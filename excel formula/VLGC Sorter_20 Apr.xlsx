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ffinityshipcom-my.sharepoint.com/personal/gina_peng_affinityship_com/Documents/Desktop/"/>
    </mc:Choice>
  </mc:AlternateContent>
  <xr:revisionPtr revIDLastSave="0" documentId="8_{24A4D498-C397-451F-8D8F-654CCC887CB5}" xr6:coauthVersionLast="47" xr6:coauthVersionMax="47" xr10:uidLastSave="{00000000-0000-0000-0000-000000000000}"/>
  <bookViews>
    <workbookView xWindow="28680" yWindow="-120" windowWidth="29040" windowHeight="15720" xr2:uid="{00000000-000D-0000-FFFF-FFFF00000000}"/>
  </bookViews>
  <sheets>
    <sheet name="1) Kpler" sheetId="1" r:id="rId1"/>
    <sheet name="2) Tracker" sheetId="2" r:id="rId2"/>
    <sheet name="3) Sorter" sheetId="3" r:id="rId3"/>
    <sheet name="Voyage days" sheetId="4" r:id="rId4"/>
  </sheets>
  <definedNames>
    <definedName name="_xlnm._FilterDatabase" localSheetId="0" hidden="1">'1) Kpler'!$E$1:$O$2031</definedName>
    <definedName name="_xlnm._FilterDatabase" localSheetId="1" hidden="1">'2) Tracker'!$A$2:$BP$339</definedName>
    <definedName name="_xlnm._FilterDatabase" localSheetId="2" hidden="1">'3) Sorter'!$A$3:$AO$345</definedName>
    <definedName name="Z_14B6F14A_4D8D_470C_B497_D7D243BC6CF3_.wvu.FilterData" localSheetId="2" hidden="1">'3) Sorter'!$C$3:$AL$192</definedName>
    <definedName name="Z_304FEF84_1511_4335_89C7_29090AAE0925_.wvu.FilterData" localSheetId="2" hidden="1">'3) Sorter'!$F$3:$AN$192</definedName>
  </definedNames>
  <calcPr calcId="191029"/>
  <customWorkbookViews>
    <customWorkbookView name="Filter 1" guid="{14B6F14A-4D8D-470C-B497-D7D243BC6CF3}" maximized="1" windowWidth="0" windowHeight="0" activeSheetId="0"/>
    <customWorkbookView name="Filter 2" guid="{304FEF84-1511-4335-89C7-29090AAE0925}"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28" i="4" l="1"/>
  <c r="B1227" i="4"/>
  <c r="H545" i="4"/>
  <c r="H485" i="4"/>
  <c r="B396" i="4"/>
  <c r="B395" i="4"/>
  <c r="I388" i="4"/>
  <c r="I308" i="4"/>
  <c r="H120" i="4"/>
  <c r="H119" i="4"/>
  <c r="H116" i="4"/>
  <c r="H115" i="4"/>
  <c r="H114" i="4"/>
  <c r="H113" i="4"/>
  <c r="H112" i="4"/>
  <c r="H110" i="4"/>
  <c r="H109" i="4"/>
  <c r="H108" i="4"/>
  <c r="J107" i="4"/>
  <c r="H105" i="4"/>
  <c r="H104" i="4"/>
  <c r="H103" i="4"/>
  <c r="H102" i="4"/>
  <c r="H101" i="4"/>
  <c r="H100" i="4"/>
  <c r="H99" i="4"/>
  <c r="M35" i="4"/>
  <c r="AZ488" i="3"/>
  <c r="AZ487" i="3"/>
  <c r="AZ486" i="3"/>
  <c r="AZ485" i="3"/>
  <c r="AZ484" i="3"/>
  <c r="AZ483" i="3"/>
  <c r="AZ482" i="3"/>
  <c r="AZ481" i="3"/>
  <c r="AZ480" i="3"/>
  <c r="AZ479" i="3"/>
  <c r="AZ478" i="3"/>
  <c r="AZ477" i="3"/>
  <c r="AZ476" i="3"/>
  <c r="AZ475" i="3"/>
  <c r="AZ474" i="3"/>
  <c r="AZ473" i="3"/>
  <c r="AZ472" i="3"/>
  <c r="AZ471" i="3"/>
  <c r="AZ470" i="3"/>
  <c r="AZ469" i="3"/>
  <c r="AZ468" i="3"/>
  <c r="AZ467" i="3"/>
  <c r="AZ466" i="3"/>
  <c r="AZ465" i="3"/>
  <c r="AZ464" i="3"/>
  <c r="AZ463" i="3"/>
  <c r="AZ462" i="3"/>
  <c r="AZ461" i="3"/>
  <c r="AZ460" i="3"/>
  <c r="AZ459" i="3"/>
  <c r="AZ458" i="3"/>
  <c r="AZ457" i="3"/>
  <c r="AZ456" i="3"/>
  <c r="AZ455" i="3"/>
  <c r="AZ454" i="3"/>
  <c r="AZ453" i="3"/>
  <c r="AZ452" i="3"/>
  <c r="AZ451" i="3"/>
  <c r="AZ450" i="3"/>
  <c r="AZ449" i="3"/>
  <c r="AZ448" i="3"/>
  <c r="AZ447" i="3"/>
  <c r="AZ446" i="3"/>
  <c r="AZ445" i="3"/>
  <c r="AZ444" i="3"/>
  <c r="AZ443" i="3"/>
  <c r="AZ442" i="3"/>
  <c r="AZ441" i="3"/>
  <c r="AZ440" i="3"/>
  <c r="AZ439" i="3"/>
  <c r="AZ438" i="3"/>
  <c r="AZ437" i="3"/>
  <c r="AZ436" i="3"/>
  <c r="AZ435" i="3"/>
  <c r="AZ434" i="3"/>
  <c r="AZ433" i="3"/>
  <c r="AZ432" i="3"/>
  <c r="AZ431" i="3"/>
  <c r="AZ430" i="3"/>
  <c r="AZ429" i="3"/>
  <c r="AZ428" i="3"/>
  <c r="AZ427" i="3"/>
  <c r="AZ426" i="3"/>
  <c r="AZ425" i="3"/>
  <c r="AZ424" i="3"/>
  <c r="AZ423" i="3"/>
  <c r="AZ422" i="3"/>
  <c r="AZ421" i="3"/>
  <c r="AZ420" i="3"/>
  <c r="AZ419" i="3"/>
  <c r="AZ418" i="3"/>
  <c r="AZ417" i="3"/>
  <c r="AZ416" i="3"/>
  <c r="AZ415" i="3"/>
  <c r="AZ414" i="3"/>
  <c r="AZ413" i="3"/>
  <c r="AZ412" i="3"/>
  <c r="AZ411" i="3"/>
  <c r="AZ410" i="3"/>
  <c r="AZ409" i="3"/>
  <c r="AZ408" i="3"/>
  <c r="AZ407" i="3"/>
  <c r="AZ406" i="3"/>
  <c r="AZ405" i="3"/>
  <c r="AZ404" i="3"/>
  <c r="AZ403" i="3"/>
  <c r="AZ402" i="3"/>
  <c r="AZ401" i="3"/>
  <c r="AZ400" i="3"/>
  <c r="AZ399" i="3"/>
  <c r="AZ398" i="3"/>
  <c r="AZ397" i="3"/>
  <c r="AZ396" i="3"/>
  <c r="AZ395" i="3"/>
  <c r="AZ394" i="3"/>
  <c r="AZ393" i="3"/>
  <c r="AZ392" i="3"/>
  <c r="AZ391" i="3"/>
  <c r="AZ390" i="3"/>
  <c r="AZ389" i="3"/>
  <c r="AZ388" i="3"/>
  <c r="AZ387" i="3"/>
  <c r="AZ386" i="3"/>
  <c r="AZ385" i="3"/>
  <c r="AZ384" i="3"/>
  <c r="AZ383" i="3"/>
  <c r="AZ382" i="3"/>
  <c r="AZ381" i="3"/>
  <c r="AZ380" i="3"/>
  <c r="AZ379" i="3"/>
  <c r="AZ378" i="3"/>
  <c r="AZ377" i="3"/>
  <c r="AZ376" i="3"/>
  <c r="AZ375" i="3"/>
  <c r="AZ374" i="3"/>
  <c r="AZ373" i="3"/>
  <c r="AZ372" i="3"/>
  <c r="AZ371" i="3"/>
  <c r="AZ370" i="3"/>
  <c r="AZ369" i="3"/>
  <c r="AZ368" i="3"/>
  <c r="AZ367" i="3"/>
  <c r="AZ366" i="3"/>
  <c r="AZ365" i="3"/>
  <c r="AZ364" i="3"/>
  <c r="AZ363" i="3"/>
  <c r="AZ362" i="3"/>
  <c r="AZ361" i="3"/>
  <c r="AZ360" i="3"/>
  <c r="AZ359" i="3"/>
  <c r="AZ358" i="3"/>
  <c r="AZ357" i="3"/>
  <c r="AZ356" i="3"/>
  <c r="AZ355" i="3"/>
  <c r="AZ354" i="3"/>
  <c r="AZ353" i="3"/>
  <c r="AZ352" i="3"/>
  <c r="AZ351" i="3"/>
  <c r="AZ350" i="3"/>
  <c r="AZ349" i="3"/>
  <c r="AZ348" i="3"/>
  <c r="AZ347" i="3"/>
  <c r="AZ346" i="3"/>
  <c r="AZ345" i="3"/>
  <c r="E345" i="3"/>
  <c r="C345" i="3"/>
  <c r="AZ344" i="3"/>
  <c r="X344" i="3"/>
  <c r="W344" i="3"/>
  <c r="U344" i="3"/>
  <c r="T344" i="3"/>
  <c r="S344" i="3"/>
  <c r="R344" i="3"/>
  <c r="Q344" i="3"/>
  <c r="P344" i="3"/>
  <c r="O344" i="3"/>
  <c r="N344" i="3"/>
  <c r="M344" i="3"/>
  <c r="L344" i="3"/>
  <c r="K344" i="3"/>
  <c r="J344" i="3"/>
  <c r="I344" i="3"/>
  <c r="H344" i="3"/>
  <c r="G344" i="3"/>
  <c r="E344" i="3"/>
  <c r="AZ343" i="3"/>
  <c r="BA343" i="3" s="1"/>
  <c r="AO343" i="3"/>
  <c r="AN343" i="3"/>
  <c r="AM343" i="3"/>
  <c r="AL343" i="3"/>
  <c r="AK343" i="3"/>
  <c r="AJ343" i="3"/>
  <c r="W343" i="3" s="1"/>
  <c r="AI343" i="3"/>
  <c r="AH343" i="3"/>
  <c r="AG343" i="3"/>
  <c r="AF343" i="3"/>
  <c r="M343" i="3" s="1"/>
  <c r="AE343" i="3"/>
  <c r="L343" i="3" s="1"/>
  <c r="AD343" i="3"/>
  <c r="K343" i="3" s="1"/>
  <c r="AB343" i="3"/>
  <c r="AA343" i="3"/>
  <c r="Z343" i="3"/>
  <c r="X343" i="3"/>
  <c r="U343" i="3"/>
  <c r="T343" i="3"/>
  <c r="S343" i="3"/>
  <c r="R343" i="3"/>
  <c r="Q343" i="3"/>
  <c r="P343" i="3"/>
  <c r="O343" i="3"/>
  <c r="N343" i="3"/>
  <c r="J343" i="3"/>
  <c r="I343" i="3"/>
  <c r="H343" i="3"/>
  <c r="G343" i="3"/>
  <c r="C343" i="3"/>
  <c r="B343" i="3"/>
  <c r="AZ342" i="3"/>
  <c r="AB342" i="3"/>
  <c r="AA342" i="3"/>
  <c r="Z342" i="3"/>
  <c r="P342" i="3"/>
  <c r="J342" i="3"/>
  <c r="I342" i="3"/>
  <c r="AZ341" i="3"/>
  <c r="AB341" i="3"/>
  <c r="AA341" i="3"/>
  <c r="Z341" i="3"/>
  <c r="P341" i="3"/>
  <c r="J341" i="3"/>
  <c r="I341" i="3"/>
  <c r="C341" i="3"/>
  <c r="B341" i="3"/>
  <c r="AZ340" i="3"/>
  <c r="AB340" i="3"/>
  <c r="AA340" i="3"/>
  <c r="Z340" i="3"/>
  <c r="P340" i="3"/>
  <c r="J340" i="3"/>
  <c r="I340" i="3"/>
  <c r="AZ339" i="3"/>
  <c r="BB339" i="3" s="1"/>
  <c r="AF339" i="3"/>
  <c r="AB339" i="3"/>
  <c r="AA339" i="3"/>
  <c r="Z339" i="3"/>
  <c r="P339" i="3"/>
  <c r="J339" i="3"/>
  <c r="I339" i="3"/>
  <c r="C339" i="3"/>
  <c r="B339" i="3"/>
  <c r="AZ338" i="3"/>
  <c r="BB338" i="3" s="1"/>
  <c r="AB338" i="3"/>
  <c r="AA338" i="3"/>
  <c r="Z338" i="3"/>
  <c r="P338" i="3"/>
  <c r="J338" i="3"/>
  <c r="I338" i="3"/>
  <c r="C338" i="3"/>
  <c r="B338" i="3"/>
  <c r="AZ337" i="3"/>
  <c r="AB337" i="3"/>
  <c r="AA337" i="3"/>
  <c r="Z337" i="3"/>
  <c r="P337" i="3"/>
  <c r="J337" i="3"/>
  <c r="I337" i="3"/>
  <c r="H337" i="3"/>
  <c r="G337" i="3"/>
  <c r="E337" i="3"/>
  <c r="C337" i="3"/>
  <c r="B337" i="3"/>
  <c r="AZ336" i="3"/>
  <c r="AB336" i="3"/>
  <c r="AA336" i="3"/>
  <c r="Z336" i="3"/>
  <c r="P336" i="3"/>
  <c r="J336" i="3"/>
  <c r="I336" i="3"/>
  <c r="H336" i="3"/>
  <c r="G336" i="3"/>
  <c r="E336" i="3"/>
  <c r="C336" i="3"/>
  <c r="B336" i="3"/>
  <c r="AZ335" i="3"/>
  <c r="AB335" i="3"/>
  <c r="AA335" i="3"/>
  <c r="Z335" i="3"/>
  <c r="P335" i="3"/>
  <c r="J335" i="3"/>
  <c r="I335" i="3"/>
  <c r="H335" i="3"/>
  <c r="G335" i="3"/>
  <c r="E335" i="3"/>
  <c r="C335" i="3"/>
  <c r="AZ334" i="3"/>
  <c r="BB334" i="3" s="1"/>
  <c r="AB334" i="3"/>
  <c r="AA334" i="3"/>
  <c r="Z334" i="3"/>
  <c r="P334" i="3"/>
  <c r="J334" i="3"/>
  <c r="I334" i="3"/>
  <c r="H334" i="3"/>
  <c r="G334" i="3"/>
  <c r="E334" i="3"/>
  <c r="C334" i="3"/>
  <c r="B334" i="3"/>
  <c r="AZ333" i="3"/>
  <c r="AY333" i="3"/>
  <c r="AX333" i="3"/>
  <c r="AB333" i="3"/>
  <c r="AA333" i="3"/>
  <c r="Z333" i="3"/>
  <c r="P333" i="3"/>
  <c r="J333" i="3"/>
  <c r="I333" i="3"/>
  <c r="H333" i="3"/>
  <c r="G333" i="3"/>
  <c r="E333" i="3"/>
  <c r="C333" i="3"/>
  <c r="B333" i="3"/>
  <c r="BB332" i="3"/>
  <c r="BA332" i="3"/>
  <c r="AL332" i="3"/>
  <c r="S332" i="3" s="1"/>
  <c r="AB332" i="3"/>
  <c r="AA332" i="3"/>
  <c r="Z332" i="3"/>
  <c r="W332" i="3"/>
  <c r="Q332" i="3"/>
  <c r="P332" i="3"/>
  <c r="J332" i="3"/>
  <c r="I332" i="3"/>
  <c r="H332" i="3"/>
  <c r="G332" i="3"/>
  <c r="E332" i="3"/>
  <c r="C332" i="3"/>
  <c r="B332" i="3"/>
  <c r="AZ331" i="3"/>
  <c r="BB331" i="3" s="1"/>
  <c r="AY331" i="3"/>
  <c r="AY335" i="3" s="1"/>
  <c r="AX331" i="3"/>
  <c r="AB331" i="3"/>
  <c r="AA331" i="3"/>
  <c r="Z331" i="3"/>
  <c r="X331" i="3"/>
  <c r="J331" i="3"/>
  <c r="I331" i="3"/>
  <c r="H331" i="3"/>
  <c r="G331" i="3"/>
  <c r="E331" i="3"/>
  <c r="C331" i="3"/>
  <c r="B331" i="3"/>
  <c r="BB330" i="3"/>
  <c r="BA330" i="3"/>
  <c r="AD330" i="3"/>
  <c r="K330" i="3" s="1"/>
  <c r="AB330" i="3"/>
  <c r="AA330" i="3"/>
  <c r="Z330" i="3"/>
  <c r="P330" i="3"/>
  <c r="J330" i="3"/>
  <c r="I330" i="3"/>
  <c r="H330" i="3"/>
  <c r="G330" i="3"/>
  <c r="E330" i="3"/>
  <c r="B330" i="3"/>
  <c r="BB329" i="3"/>
  <c r="BA329" i="3"/>
  <c r="AB329" i="3"/>
  <c r="AA329" i="3"/>
  <c r="Z329" i="3"/>
  <c r="P329" i="3"/>
  <c r="J329" i="3"/>
  <c r="I329" i="3"/>
  <c r="H329" i="3"/>
  <c r="G329" i="3"/>
  <c r="E329" i="3"/>
  <c r="C329" i="3"/>
  <c r="B329" i="3"/>
  <c r="BB328" i="3"/>
  <c r="BA328" i="3"/>
  <c r="AM328" i="3"/>
  <c r="Q328" i="3" s="1"/>
  <c r="AB328" i="3"/>
  <c r="AA328" i="3"/>
  <c r="Z328" i="3"/>
  <c r="P328" i="3"/>
  <c r="J328" i="3"/>
  <c r="I328" i="3"/>
  <c r="H328" i="3"/>
  <c r="G328" i="3"/>
  <c r="E328" i="3"/>
  <c r="BB327" i="3"/>
  <c r="BA327" i="3"/>
  <c r="AB327" i="3"/>
  <c r="AA327" i="3"/>
  <c r="Z327" i="3"/>
  <c r="P327" i="3"/>
  <c r="J327" i="3"/>
  <c r="I327" i="3"/>
  <c r="H327" i="3"/>
  <c r="G327" i="3"/>
  <c r="E327" i="3"/>
  <c r="C327" i="3"/>
  <c r="B327" i="3"/>
  <c r="BB326" i="3"/>
  <c r="BA326" i="3"/>
  <c r="AB326" i="3"/>
  <c r="AA326" i="3"/>
  <c r="Z326" i="3"/>
  <c r="P326" i="3"/>
  <c r="J326" i="3"/>
  <c r="I326" i="3"/>
  <c r="H326" i="3"/>
  <c r="G326" i="3"/>
  <c r="E326" i="3"/>
  <c r="C326" i="3"/>
  <c r="B326" i="3"/>
  <c r="BB325" i="3"/>
  <c r="BA325" i="3"/>
  <c r="AB325" i="3"/>
  <c r="AA325" i="3"/>
  <c r="Z325" i="3"/>
  <c r="P325" i="3"/>
  <c r="J325" i="3"/>
  <c r="I325" i="3"/>
  <c r="H325" i="3"/>
  <c r="G325" i="3"/>
  <c r="E325" i="3"/>
  <c r="C325" i="3"/>
  <c r="B325" i="3"/>
  <c r="BB324" i="3"/>
  <c r="BA324" i="3"/>
  <c r="AB324" i="3"/>
  <c r="AA324" i="3"/>
  <c r="Z324" i="3"/>
  <c r="P324" i="3"/>
  <c r="J324" i="3"/>
  <c r="I324" i="3"/>
  <c r="H324" i="3"/>
  <c r="G324" i="3"/>
  <c r="E324" i="3"/>
  <c r="C324" i="3"/>
  <c r="B324" i="3"/>
  <c r="AB323" i="3"/>
  <c r="AA323" i="3"/>
  <c r="Z323" i="3"/>
  <c r="P323" i="3"/>
  <c r="J323" i="3"/>
  <c r="I323" i="3"/>
  <c r="H323" i="3"/>
  <c r="G323" i="3"/>
  <c r="E323" i="3"/>
  <c r="C323" i="3"/>
  <c r="B323" i="3"/>
  <c r="BB322" i="3"/>
  <c r="BA322" i="3"/>
  <c r="AB322" i="3"/>
  <c r="AA322" i="3"/>
  <c r="Z322" i="3"/>
  <c r="P322" i="3"/>
  <c r="J322" i="3"/>
  <c r="I322" i="3"/>
  <c r="H322" i="3"/>
  <c r="G322" i="3"/>
  <c r="E322" i="3"/>
  <c r="C322" i="3"/>
  <c r="B322" i="3"/>
  <c r="BB321" i="3"/>
  <c r="BA321" i="3"/>
  <c r="AN321" i="3"/>
  <c r="R321" i="3" s="1"/>
  <c r="AL321" i="3"/>
  <c r="S321" i="3" s="1"/>
  <c r="AB321" i="3"/>
  <c r="AA321" i="3"/>
  <c r="Z321" i="3"/>
  <c r="P321" i="3"/>
  <c r="J321" i="3"/>
  <c r="I321" i="3"/>
  <c r="H321" i="3"/>
  <c r="G321" i="3"/>
  <c r="E321" i="3"/>
  <c r="C321" i="3"/>
  <c r="B321" i="3"/>
  <c r="BB320" i="3"/>
  <c r="BA320" i="3"/>
  <c r="AB320" i="3"/>
  <c r="AA320" i="3"/>
  <c r="Z320" i="3"/>
  <c r="P320" i="3"/>
  <c r="J320" i="3"/>
  <c r="I320" i="3"/>
  <c r="H320" i="3"/>
  <c r="G320" i="3"/>
  <c r="E320" i="3"/>
  <c r="B320" i="3"/>
  <c r="BB319" i="3"/>
  <c r="BA319" i="3"/>
  <c r="AB319" i="3"/>
  <c r="AA319" i="3"/>
  <c r="Z319" i="3"/>
  <c r="P319" i="3"/>
  <c r="J319" i="3"/>
  <c r="I319" i="3"/>
  <c r="H319" i="3"/>
  <c r="G319" i="3"/>
  <c r="E319" i="3"/>
  <c r="C319" i="3"/>
  <c r="B319" i="3"/>
  <c r="BB318" i="3"/>
  <c r="BA318" i="3"/>
  <c r="AB318" i="3"/>
  <c r="AA318" i="3"/>
  <c r="Z318" i="3"/>
  <c r="P318" i="3"/>
  <c r="J318" i="3"/>
  <c r="I318" i="3"/>
  <c r="H318" i="3"/>
  <c r="G318" i="3"/>
  <c r="E318" i="3"/>
  <c r="C318" i="3"/>
  <c r="B318" i="3"/>
  <c r="BB317" i="3"/>
  <c r="BA317" i="3"/>
  <c r="AB317" i="3"/>
  <c r="AA317" i="3"/>
  <c r="Z317" i="3"/>
  <c r="P317" i="3"/>
  <c r="J317" i="3"/>
  <c r="I317" i="3"/>
  <c r="H317" i="3"/>
  <c r="G317" i="3"/>
  <c r="E317" i="3"/>
  <c r="C317" i="3"/>
  <c r="B317" i="3"/>
  <c r="BB316" i="3"/>
  <c r="BA316" i="3"/>
  <c r="AB316" i="3"/>
  <c r="AA316" i="3"/>
  <c r="Z316" i="3"/>
  <c r="P316" i="3"/>
  <c r="J316" i="3"/>
  <c r="I316" i="3"/>
  <c r="H316" i="3"/>
  <c r="G316" i="3"/>
  <c r="E316" i="3"/>
  <c r="C316" i="3"/>
  <c r="B316" i="3"/>
  <c r="BB315" i="3"/>
  <c r="BA315" i="3"/>
  <c r="AB315" i="3"/>
  <c r="AA315" i="3"/>
  <c r="Z315" i="3"/>
  <c r="P315" i="3"/>
  <c r="J315" i="3"/>
  <c r="I315" i="3"/>
  <c r="H315" i="3"/>
  <c r="G315" i="3"/>
  <c r="E315" i="3"/>
  <c r="B315" i="3"/>
  <c r="BB314" i="3"/>
  <c r="BA314" i="3"/>
  <c r="AB314" i="3"/>
  <c r="AA314" i="3"/>
  <c r="Z314" i="3"/>
  <c r="P314" i="3"/>
  <c r="J314" i="3"/>
  <c r="I314" i="3"/>
  <c r="H314" i="3"/>
  <c r="G314" i="3"/>
  <c r="E314" i="3"/>
  <c r="C314" i="3"/>
  <c r="B314" i="3"/>
  <c r="BB313" i="3"/>
  <c r="BA313" i="3"/>
  <c r="AB313" i="3"/>
  <c r="AA313" i="3"/>
  <c r="Z313" i="3"/>
  <c r="P313" i="3"/>
  <c r="J313" i="3"/>
  <c r="I313" i="3"/>
  <c r="H313" i="3"/>
  <c r="G313" i="3"/>
  <c r="E313" i="3"/>
  <c r="C313" i="3"/>
  <c r="B313" i="3"/>
  <c r="BB312" i="3"/>
  <c r="BA312" i="3"/>
  <c r="AB312" i="3"/>
  <c r="AA312" i="3"/>
  <c r="Z312" i="3"/>
  <c r="P312" i="3"/>
  <c r="J312" i="3"/>
  <c r="I312" i="3"/>
  <c r="H312" i="3"/>
  <c r="G312" i="3"/>
  <c r="E312" i="3"/>
  <c r="C312" i="3"/>
  <c r="B312" i="3"/>
  <c r="BB311" i="3"/>
  <c r="BA311" i="3"/>
  <c r="AB311" i="3"/>
  <c r="AA311" i="3"/>
  <c r="Z311" i="3"/>
  <c r="P311" i="3"/>
  <c r="M311" i="3"/>
  <c r="J311" i="3"/>
  <c r="I311" i="3"/>
  <c r="H311" i="3"/>
  <c r="G311" i="3"/>
  <c r="E311" i="3"/>
  <c r="B311" i="3"/>
  <c r="BB310" i="3"/>
  <c r="BA310" i="3"/>
  <c r="AI310" i="3"/>
  <c r="U310" i="3" s="1"/>
  <c r="AB310" i="3"/>
  <c r="AA310" i="3"/>
  <c r="Z310" i="3"/>
  <c r="P310" i="3"/>
  <c r="J310" i="3"/>
  <c r="I310" i="3"/>
  <c r="H310" i="3"/>
  <c r="G310" i="3"/>
  <c r="E310" i="3"/>
  <c r="C310" i="3"/>
  <c r="B310" i="3"/>
  <c r="BB309" i="3"/>
  <c r="BA309" i="3"/>
  <c r="AB309" i="3"/>
  <c r="AA309" i="3"/>
  <c r="Z309" i="3"/>
  <c r="S309" i="3"/>
  <c r="R309" i="3"/>
  <c r="P309" i="3"/>
  <c r="J309" i="3"/>
  <c r="I309" i="3"/>
  <c r="H309" i="3"/>
  <c r="G309" i="3"/>
  <c r="E309" i="3"/>
  <c r="C309" i="3"/>
  <c r="B309" i="3"/>
  <c r="BB308" i="3"/>
  <c r="BA308" i="3"/>
  <c r="AB308" i="3"/>
  <c r="AA308" i="3"/>
  <c r="Z308" i="3"/>
  <c r="P308" i="3"/>
  <c r="J308" i="3"/>
  <c r="I308" i="3"/>
  <c r="H308" i="3"/>
  <c r="G308" i="3"/>
  <c r="E308" i="3"/>
  <c r="C308" i="3"/>
  <c r="B308" i="3"/>
  <c r="BB307" i="3"/>
  <c r="BA307" i="3"/>
  <c r="AM307" i="3"/>
  <c r="Q307" i="3" s="1"/>
  <c r="AB307" i="3"/>
  <c r="AA307" i="3"/>
  <c r="Z307" i="3"/>
  <c r="P307" i="3"/>
  <c r="J307" i="3"/>
  <c r="I307" i="3"/>
  <c r="H307" i="3"/>
  <c r="G307" i="3"/>
  <c r="E307" i="3"/>
  <c r="C307" i="3"/>
  <c r="B307" i="3"/>
  <c r="BB306" i="3"/>
  <c r="BA306" i="3"/>
  <c r="AB306" i="3"/>
  <c r="AA306" i="3"/>
  <c r="Z306" i="3"/>
  <c r="P306" i="3"/>
  <c r="J306" i="3"/>
  <c r="I306" i="3"/>
  <c r="H306" i="3"/>
  <c r="G306" i="3"/>
  <c r="BB305" i="3"/>
  <c r="BA305" i="3"/>
  <c r="AB305" i="3"/>
  <c r="AA305" i="3"/>
  <c r="Z305" i="3"/>
  <c r="P305" i="3"/>
  <c r="J305" i="3"/>
  <c r="I305" i="3"/>
  <c r="H305" i="3"/>
  <c r="G305" i="3"/>
  <c r="E305" i="3"/>
  <c r="C305" i="3"/>
  <c r="B305" i="3"/>
  <c r="BB304" i="3"/>
  <c r="BA304" i="3"/>
  <c r="AB304" i="3"/>
  <c r="AA304" i="3"/>
  <c r="Z304" i="3"/>
  <c r="P304" i="3"/>
  <c r="J304" i="3"/>
  <c r="I304" i="3"/>
  <c r="H304" i="3"/>
  <c r="E304" i="3"/>
  <c r="B304" i="3"/>
  <c r="BB303" i="3"/>
  <c r="BA303" i="3"/>
  <c r="AB303" i="3"/>
  <c r="AA303" i="3"/>
  <c r="Z303" i="3"/>
  <c r="T303" i="3"/>
  <c r="Q303" i="3"/>
  <c r="P303" i="3"/>
  <c r="L303" i="3"/>
  <c r="J303" i="3"/>
  <c r="I303" i="3"/>
  <c r="H303" i="3"/>
  <c r="G303" i="3"/>
  <c r="E303" i="3"/>
  <c r="C303" i="3"/>
  <c r="B303" i="3"/>
  <c r="BB302" i="3"/>
  <c r="BA302" i="3"/>
  <c r="AB302" i="3"/>
  <c r="Z302" i="3"/>
  <c r="P302" i="3"/>
  <c r="J302" i="3"/>
  <c r="I302" i="3"/>
  <c r="E302" i="3"/>
  <c r="AB301" i="3"/>
  <c r="AA301" i="3"/>
  <c r="Z301" i="3"/>
  <c r="P301" i="3"/>
  <c r="J301" i="3"/>
  <c r="I301" i="3"/>
  <c r="H301" i="3"/>
  <c r="G301" i="3"/>
  <c r="E301" i="3"/>
  <c r="C301" i="3"/>
  <c r="B301" i="3"/>
  <c r="BB300" i="3"/>
  <c r="BA300" i="3"/>
  <c r="AB300" i="3"/>
  <c r="AA300" i="3"/>
  <c r="Z300" i="3"/>
  <c r="P300" i="3"/>
  <c r="J300" i="3"/>
  <c r="I300" i="3"/>
  <c r="H300" i="3"/>
  <c r="G300" i="3"/>
  <c r="E300" i="3"/>
  <c r="C300" i="3"/>
  <c r="B300" i="3"/>
  <c r="AB299" i="3"/>
  <c r="AA299" i="3"/>
  <c r="Z299" i="3"/>
  <c r="U299" i="3"/>
  <c r="P299" i="3"/>
  <c r="J299" i="3"/>
  <c r="I299" i="3"/>
  <c r="H299" i="3"/>
  <c r="G299" i="3"/>
  <c r="E299" i="3"/>
  <c r="C299" i="3"/>
  <c r="B299" i="3"/>
  <c r="BB298" i="3"/>
  <c r="BA298" i="3"/>
  <c r="AB298" i="3"/>
  <c r="AA298" i="3"/>
  <c r="Z298" i="3"/>
  <c r="P298" i="3"/>
  <c r="J298" i="3"/>
  <c r="I298" i="3"/>
  <c r="H298" i="3"/>
  <c r="G298" i="3"/>
  <c r="E298" i="3"/>
  <c r="B298" i="3"/>
  <c r="AY297" i="3"/>
  <c r="AB297" i="3"/>
  <c r="AA297" i="3"/>
  <c r="P297" i="3"/>
  <c r="J297" i="3"/>
  <c r="I297" i="3"/>
  <c r="H297" i="3"/>
  <c r="G297" i="3"/>
  <c r="E297" i="3"/>
  <c r="C297" i="3"/>
  <c r="B297" i="3"/>
  <c r="BB296" i="3"/>
  <c r="BA296" i="3"/>
  <c r="AB296" i="3"/>
  <c r="AA296" i="3"/>
  <c r="Z296" i="3"/>
  <c r="P296" i="3"/>
  <c r="J296" i="3"/>
  <c r="I296" i="3"/>
  <c r="H296" i="3"/>
  <c r="G296" i="3"/>
  <c r="E296" i="3"/>
  <c r="C296" i="3"/>
  <c r="B296" i="3"/>
  <c r="BD295" i="3"/>
  <c r="BB295" i="3"/>
  <c r="BA295" i="3"/>
  <c r="AB295" i="3"/>
  <c r="AA295" i="3"/>
  <c r="Z295" i="3"/>
  <c r="P295" i="3"/>
  <c r="J295" i="3"/>
  <c r="I295" i="3"/>
  <c r="H295" i="3"/>
  <c r="G295" i="3"/>
  <c r="E295" i="3"/>
  <c r="C295" i="3"/>
  <c r="B295" i="3"/>
  <c r="BD294" i="3"/>
  <c r="BC294" i="3"/>
  <c r="AH294" i="3"/>
  <c r="O294" i="3" s="1"/>
  <c r="AB294" i="3"/>
  <c r="AA294" i="3"/>
  <c r="Z294" i="3"/>
  <c r="P294" i="3"/>
  <c r="J294" i="3"/>
  <c r="I294" i="3"/>
  <c r="H294" i="3"/>
  <c r="G294" i="3"/>
  <c r="E294" i="3"/>
  <c r="C294" i="3"/>
  <c r="B294" i="3"/>
  <c r="BB293" i="3"/>
  <c r="BA293" i="3"/>
  <c r="AB293" i="3"/>
  <c r="AA293" i="3"/>
  <c r="Z293" i="3"/>
  <c r="P293" i="3"/>
  <c r="J293" i="3"/>
  <c r="I293" i="3"/>
  <c r="H293" i="3"/>
  <c r="G293" i="3"/>
  <c r="E293" i="3"/>
  <c r="C293" i="3"/>
  <c r="B293" i="3"/>
  <c r="AB292" i="3"/>
  <c r="AA292" i="3"/>
  <c r="Z292" i="3"/>
  <c r="P292" i="3"/>
  <c r="J292" i="3"/>
  <c r="I292" i="3"/>
  <c r="H292" i="3"/>
  <c r="G292" i="3"/>
  <c r="E292" i="3"/>
  <c r="C292" i="3"/>
  <c r="B292" i="3"/>
  <c r="BB291" i="3"/>
  <c r="BA291" i="3"/>
  <c r="AB291" i="3"/>
  <c r="AA291" i="3"/>
  <c r="Z291" i="3"/>
  <c r="P291" i="3"/>
  <c r="J291" i="3"/>
  <c r="I291" i="3"/>
  <c r="H291" i="3"/>
  <c r="G291" i="3"/>
  <c r="E291" i="3"/>
  <c r="C291" i="3"/>
  <c r="B291" i="3"/>
  <c r="AB290" i="3"/>
  <c r="AA290" i="3"/>
  <c r="Z290" i="3"/>
  <c r="P290" i="3"/>
  <c r="J290" i="3"/>
  <c r="I290" i="3"/>
  <c r="H290" i="3"/>
  <c r="G290" i="3"/>
  <c r="E290" i="3"/>
  <c r="C290" i="3"/>
  <c r="B290" i="3"/>
  <c r="AB289" i="3"/>
  <c r="AA289" i="3"/>
  <c r="Z289" i="3"/>
  <c r="P289" i="3"/>
  <c r="J289" i="3"/>
  <c r="H289" i="3"/>
  <c r="E289" i="3"/>
  <c r="C289" i="3"/>
  <c r="B289" i="3"/>
  <c r="AB288" i="3"/>
  <c r="AA288" i="3"/>
  <c r="Z288" i="3"/>
  <c r="P288" i="3"/>
  <c r="J288" i="3"/>
  <c r="I288" i="3"/>
  <c r="H288" i="3"/>
  <c r="G288" i="3"/>
  <c r="E288" i="3"/>
  <c r="C288" i="3"/>
  <c r="B288" i="3"/>
  <c r="AN287" i="3"/>
  <c r="R287" i="3" s="1"/>
  <c r="AB287" i="3"/>
  <c r="AA287" i="3"/>
  <c r="Z287" i="3"/>
  <c r="P287" i="3"/>
  <c r="J287" i="3"/>
  <c r="I287" i="3"/>
  <c r="H287" i="3"/>
  <c r="G287" i="3"/>
  <c r="E287" i="3"/>
  <c r="C287" i="3"/>
  <c r="B287" i="3"/>
  <c r="BB286" i="3"/>
  <c r="BA286" i="3"/>
  <c r="AO286" i="3"/>
  <c r="X286" i="3" s="1"/>
  <c r="AB286" i="3"/>
  <c r="AA286" i="3"/>
  <c r="Z286" i="3"/>
  <c r="P286" i="3"/>
  <c r="J286" i="3"/>
  <c r="I286" i="3"/>
  <c r="H286" i="3"/>
  <c r="G286" i="3"/>
  <c r="E286" i="3"/>
  <c r="C286" i="3"/>
  <c r="B286" i="3"/>
  <c r="AB285" i="3"/>
  <c r="AA285" i="3"/>
  <c r="Z285" i="3"/>
  <c r="P285" i="3"/>
  <c r="J285" i="3"/>
  <c r="I285" i="3"/>
  <c r="H285" i="3"/>
  <c r="G285" i="3"/>
  <c r="E285" i="3"/>
  <c r="C285" i="3"/>
  <c r="B285" i="3"/>
  <c r="AB284" i="3"/>
  <c r="AA284" i="3"/>
  <c r="Z284" i="3"/>
  <c r="P284" i="3"/>
  <c r="J284" i="3"/>
  <c r="I284" i="3"/>
  <c r="H284" i="3"/>
  <c r="G284" i="3"/>
  <c r="E284" i="3"/>
  <c r="C284" i="3"/>
  <c r="B284" i="3"/>
  <c r="AJ283" i="3"/>
  <c r="W283" i="3" s="1"/>
  <c r="AB283" i="3"/>
  <c r="AA283" i="3"/>
  <c r="Z283" i="3"/>
  <c r="P283" i="3"/>
  <c r="J283" i="3"/>
  <c r="I283" i="3"/>
  <c r="H283" i="3"/>
  <c r="G283" i="3"/>
  <c r="E283" i="3"/>
  <c r="C283" i="3"/>
  <c r="B283" i="3"/>
  <c r="AB282" i="3"/>
  <c r="AA282" i="3"/>
  <c r="Z282" i="3"/>
  <c r="U282" i="3"/>
  <c r="P282" i="3"/>
  <c r="J282" i="3"/>
  <c r="I282" i="3"/>
  <c r="H282" i="3"/>
  <c r="G282" i="3"/>
  <c r="E282" i="3"/>
  <c r="C282" i="3"/>
  <c r="B282" i="3"/>
  <c r="AB281" i="3"/>
  <c r="AA281" i="3"/>
  <c r="Z281" i="3"/>
  <c r="P281" i="3"/>
  <c r="L281" i="3"/>
  <c r="J281" i="3"/>
  <c r="I281" i="3"/>
  <c r="H281" i="3"/>
  <c r="G281" i="3"/>
  <c r="E281" i="3"/>
  <c r="C281" i="3"/>
  <c r="B281" i="3"/>
  <c r="BB280" i="3"/>
  <c r="BA280" i="3"/>
  <c r="AN280" i="3"/>
  <c r="R280" i="3" s="1"/>
  <c r="AB280" i="3"/>
  <c r="AA280" i="3"/>
  <c r="Z280" i="3"/>
  <c r="P280" i="3"/>
  <c r="J280" i="3"/>
  <c r="I280" i="3"/>
  <c r="H280" i="3"/>
  <c r="G280" i="3"/>
  <c r="E280" i="3"/>
  <c r="C280" i="3"/>
  <c r="B280" i="3"/>
  <c r="BB279" i="3"/>
  <c r="BA279" i="3"/>
  <c r="AB279" i="3"/>
  <c r="AA279" i="3"/>
  <c r="Z279" i="3"/>
  <c r="P279" i="3"/>
  <c r="J279" i="3"/>
  <c r="I279" i="3"/>
  <c r="H279" i="3"/>
  <c r="G279" i="3"/>
  <c r="E279" i="3"/>
  <c r="C279" i="3"/>
  <c r="BB278" i="3"/>
  <c r="BA278" i="3"/>
  <c r="AB278" i="3"/>
  <c r="AA278" i="3"/>
  <c r="Z278" i="3"/>
  <c r="P278" i="3"/>
  <c r="J278" i="3"/>
  <c r="I278" i="3"/>
  <c r="H278" i="3"/>
  <c r="G278" i="3"/>
  <c r="E278" i="3"/>
  <c r="B278" i="3"/>
  <c r="AB277" i="3"/>
  <c r="AA277" i="3"/>
  <c r="Z277" i="3"/>
  <c r="W277" i="3"/>
  <c r="P277" i="3"/>
  <c r="J277" i="3"/>
  <c r="I277" i="3"/>
  <c r="H277" i="3"/>
  <c r="G277" i="3"/>
  <c r="E277" i="3"/>
  <c r="C277" i="3"/>
  <c r="B277" i="3"/>
  <c r="AB276" i="3"/>
  <c r="AA276" i="3"/>
  <c r="Z276" i="3"/>
  <c r="P276" i="3"/>
  <c r="J276" i="3"/>
  <c r="I276" i="3"/>
  <c r="H276" i="3"/>
  <c r="G276" i="3"/>
  <c r="E276" i="3"/>
  <c r="C276" i="3"/>
  <c r="B276" i="3"/>
  <c r="BB275" i="3"/>
  <c r="BA275" i="3"/>
  <c r="AB275" i="3"/>
  <c r="AA275" i="3"/>
  <c r="Z275" i="3"/>
  <c r="P275" i="3"/>
  <c r="J275" i="3"/>
  <c r="I275" i="3"/>
  <c r="H275" i="3"/>
  <c r="G275" i="3"/>
  <c r="C275" i="3"/>
  <c r="B275" i="3"/>
  <c r="AB274" i="3"/>
  <c r="AA274" i="3"/>
  <c r="Z274" i="3"/>
  <c r="P274" i="3"/>
  <c r="J274" i="3"/>
  <c r="I274" i="3"/>
  <c r="H274" i="3"/>
  <c r="G274" i="3"/>
  <c r="E274" i="3"/>
  <c r="B274" i="3"/>
  <c r="BB273" i="3"/>
  <c r="BA273" i="3"/>
  <c r="AB273" i="3"/>
  <c r="AA273" i="3"/>
  <c r="Z273" i="3"/>
  <c r="P273" i="3"/>
  <c r="O273" i="3"/>
  <c r="J273" i="3"/>
  <c r="I273" i="3"/>
  <c r="H273" i="3"/>
  <c r="G273" i="3"/>
  <c r="E273" i="3"/>
  <c r="C273" i="3"/>
  <c r="B273" i="3"/>
  <c r="BB272" i="3"/>
  <c r="BA272" i="3"/>
  <c r="AB272" i="3"/>
  <c r="AA272" i="3"/>
  <c r="Z272" i="3"/>
  <c r="P272" i="3"/>
  <c r="J272" i="3"/>
  <c r="I272" i="3"/>
  <c r="H272" i="3"/>
  <c r="G272" i="3"/>
  <c r="E272" i="3"/>
  <c r="C272" i="3"/>
  <c r="B272" i="3"/>
  <c r="AY271" i="3"/>
  <c r="AB271" i="3"/>
  <c r="AA271" i="3"/>
  <c r="Z271" i="3"/>
  <c r="P271" i="3"/>
  <c r="J271" i="3"/>
  <c r="I271" i="3"/>
  <c r="H271" i="3"/>
  <c r="G271" i="3"/>
  <c r="E271" i="3"/>
  <c r="C271" i="3"/>
  <c r="B271" i="3"/>
  <c r="BB270" i="3"/>
  <c r="BA270" i="3"/>
  <c r="AB270" i="3"/>
  <c r="AA270" i="3"/>
  <c r="Z270" i="3"/>
  <c r="P270" i="3"/>
  <c r="J270" i="3"/>
  <c r="I270" i="3"/>
  <c r="H270" i="3"/>
  <c r="G270" i="3"/>
  <c r="E270" i="3"/>
  <c r="C270" i="3"/>
  <c r="B270" i="3"/>
  <c r="AB269" i="3"/>
  <c r="AA269" i="3"/>
  <c r="Z269" i="3"/>
  <c r="P269" i="3"/>
  <c r="J269" i="3"/>
  <c r="I269" i="3"/>
  <c r="H269" i="3"/>
  <c r="G269" i="3"/>
  <c r="E269" i="3"/>
  <c r="C269" i="3"/>
  <c r="B269" i="3"/>
  <c r="BB268" i="3"/>
  <c r="BA268" i="3"/>
  <c r="AB268" i="3"/>
  <c r="AA268" i="3"/>
  <c r="Z268" i="3"/>
  <c r="P268" i="3"/>
  <c r="J268" i="3"/>
  <c r="I268" i="3"/>
  <c r="H268" i="3"/>
  <c r="G268" i="3"/>
  <c r="E268" i="3"/>
  <c r="C268" i="3"/>
  <c r="B268" i="3"/>
  <c r="BB267" i="3"/>
  <c r="BA267" i="3"/>
  <c r="AB267" i="3"/>
  <c r="AA267" i="3"/>
  <c r="Z267" i="3"/>
  <c r="P267" i="3"/>
  <c r="J267" i="3"/>
  <c r="I267" i="3"/>
  <c r="H267" i="3"/>
  <c r="G267" i="3"/>
  <c r="E267" i="3"/>
  <c r="C267" i="3"/>
  <c r="B267" i="3"/>
  <c r="BB266" i="3"/>
  <c r="AB266" i="3"/>
  <c r="AA266" i="3"/>
  <c r="Z266" i="3"/>
  <c r="P266" i="3"/>
  <c r="J266" i="3"/>
  <c r="I266" i="3"/>
  <c r="H266" i="3"/>
  <c r="G266" i="3"/>
  <c r="E266" i="3"/>
  <c r="C266" i="3"/>
  <c r="B266" i="3"/>
  <c r="BB265" i="3"/>
  <c r="BA265" i="3"/>
  <c r="AB265" i="3"/>
  <c r="AA265" i="3"/>
  <c r="Z265" i="3"/>
  <c r="P265" i="3"/>
  <c r="J265" i="3"/>
  <c r="I265" i="3"/>
  <c r="H265" i="3"/>
  <c r="G265" i="3"/>
  <c r="E265" i="3"/>
  <c r="C265" i="3"/>
  <c r="B265" i="3"/>
  <c r="BB264" i="3"/>
  <c r="BA264" i="3"/>
  <c r="AG264" i="3"/>
  <c r="N264" i="3" s="1"/>
  <c r="AB264" i="3"/>
  <c r="AA264" i="3"/>
  <c r="Z264" i="3"/>
  <c r="S264" i="3"/>
  <c r="P264" i="3"/>
  <c r="J264" i="3"/>
  <c r="I264" i="3"/>
  <c r="H264" i="3"/>
  <c r="G264" i="3"/>
  <c r="E264" i="3"/>
  <c r="C264" i="3"/>
  <c r="B264" i="3"/>
  <c r="AF263" i="3"/>
  <c r="M263" i="3" s="1"/>
  <c r="AB263" i="3"/>
  <c r="AA263" i="3"/>
  <c r="Z263" i="3"/>
  <c r="P263" i="3"/>
  <c r="O263" i="3"/>
  <c r="J263" i="3"/>
  <c r="I263" i="3"/>
  <c r="H263" i="3"/>
  <c r="G263" i="3"/>
  <c r="E263" i="3"/>
  <c r="C263" i="3"/>
  <c r="B263" i="3"/>
  <c r="BB262" i="3"/>
  <c r="BA262" i="3"/>
  <c r="AB262" i="3"/>
  <c r="AA262" i="3"/>
  <c r="Z262" i="3"/>
  <c r="P262" i="3"/>
  <c r="J262" i="3"/>
  <c r="I262" i="3"/>
  <c r="H262" i="3"/>
  <c r="G262" i="3"/>
  <c r="E262" i="3"/>
  <c r="C262" i="3"/>
  <c r="B262" i="3"/>
  <c r="BB261" i="3"/>
  <c r="BA261" i="3"/>
  <c r="AB261" i="3"/>
  <c r="AA261" i="3"/>
  <c r="Z261" i="3"/>
  <c r="P261" i="3"/>
  <c r="J261" i="3"/>
  <c r="I261" i="3"/>
  <c r="H261" i="3"/>
  <c r="G261" i="3"/>
  <c r="E261" i="3"/>
  <c r="C261" i="3"/>
  <c r="BB260" i="3"/>
  <c r="AB260" i="3"/>
  <c r="AA260" i="3"/>
  <c r="Z260" i="3"/>
  <c r="T260" i="3"/>
  <c r="P260" i="3"/>
  <c r="J260" i="3"/>
  <c r="I260" i="3"/>
  <c r="H260" i="3"/>
  <c r="G260" i="3"/>
  <c r="E260" i="3"/>
  <c r="C260" i="3"/>
  <c r="B260" i="3"/>
  <c r="BB259" i="3"/>
  <c r="BA259" i="3"/>
  <c r="AB259" i="3"/>
  <c r="AA259" i="3"/>
  <c r="Z259" i="3"/>
  <c r="P259" i="3"/>
  <c r="J259" i="3"/>
  <c r="I259" i="3"/>
  <c r="H259" i="3"/>
  <c r="G259" i="3"/>
  <c r="E259" i="3"/>
  <c r="C259" i="3"/>
  <c r="B259" i="3"/>
  <c r="AB258" i="3"/>
  <c r="AA258" i="3"/>
  <c r="Z258" i="3"/>
  <c r="P258" i="3"/>
  <c r="J258" i="3"/>
  <c r="I258" i="3"/>
  <c r="H258" i="3"/>
  <c r="G258" i="3"/>
  <c r="E258" i="3"/>
  <c r="C258" i="3"/>
  <c r="B258" i="3"/>
  <c r="BB257" i="3"/>
  <c r="AB257" i="3"/>
  <c r="AA257" i="3"/>
  <c r="Z257" i="3"/>
  <c r="P257" i="3"/>
  <c r="J257" i="3"/>
  <c r="I257" i="3"/>
  <c r="H257" i="3"/>
  <c r="G257" i="3"/>
  <c r="E257" i="3"/>
  <c r="C257" i="3"/>
  <c r="B257" i="3"/>
  <c r="BB256" i="3"/>
  <c r="BA256" i="3"/>
  <c r="AB256" i="3"/>
  <c r="AA256" i="3"/>
  <c r="Z256" i="3"/>
  <c r="P256" i="3"/>
  <c r="L256" i="3"/>
  <c r="J256" i="3"/>
  <c r="I256" i="3"/>
  <c r="H256" i="3"/>
  <c r="G256" i="3"/>
  <c r="E256" i="3"/>
  <c r="C256" i="3"/>
  <c r="B256" i="3"/>
  <c r="BB255" i="3"/>
  <c r="BA255" i="3"/>
  <c r="AB255" i="3"/>
  <c r="AA255" i="3"/>
  <c r="Z255" i="3"/>
  <c r="P255" i="3"/>
  <c r="K255" i="3"/>
  <c r="J255" i="3"/>
  <c r="I255" i="3"/>
  <c r="H255" i="3"/>
  <c r="G255" i="3"/>
  <c r="E255" i="3"/>
  <c r="BB254" i="3"/>
  <c r="BA254" i="3"/>
  <c r="AB254" i="3"/>
  <c r="AA254" i="3"/>
  <c r="Z254" i="3"/>
  <c r="X254" i="3"/>
  <c r="P254" i="3"/>
  <c r="J254" i="3"/>
  <c r="I254" i="3"/>
  <c r="H254" i="3"/>
  <c r="G254" i="3"/>
  <c r="E254" i="3"/>
  <c r="C254" i="3"/>
  <c r="B254" i="3"/>
  <c r="AB253" i="3"/>
  <c r="AA253" i="3"/>
  <c r="Z253" i="3"/>
  <c r="P253" i="3"/>
  <c r="J253" i="3"/>
  <c r="I253" i="3"/>
  <c r="H253" i="3"/>
  <c r="G253" i="3"/>
  <c r="E253" i="3"/>
  <c r="C253" i="3"/>
  <c r="B253" i="3"/>
  <c r="BB252" i="3"/>
  <c r="BA252" i="3"/>
  <c r="AB252" i="3"/>
  <c r="AA252" i="3"/>
  <c r="Z252" i="3"/>
  <c r="P252" i="3"/>
  <c r="L252" i="3"/>
  <c r="J252" i="3"/>
  <c r="I252" i="3"/>
  <c r="H252" i="3"/>
  <c r="G252" i="3"/>
  <c r="E252" i="3"/>
  <c r="C252" i="3"/>
  <c r="B252" i="3"/>
  <c r="BB251" i="3"/>
  <c r="BA251" i="3"/>
  <c r="AB251" i="3"/>
  <c r="AA251" i="3"/>
  <c r="Z251" i="3"/>
  <c r="P251" i="3"/>
  <c r="J251" i="3"/>
  <c r="I251" i="3"/>
  <c r="H251" i="3"/>
  <c r="G251" i="3"/>
  <c r="E251" i="3"/>
  <c r="C251" i="3"/>
  <c r="B251" i="3"/>
  <c r="BB250" i="3"/>
  <c r="BA250" i="3"/>
  <c r="AN250" i="3"/>
  <c r="R250" i="3" s="1"/>
  <c r="AB250" i="3"/>
  <c r="AA250" i="3"/>
  <c r="Z250" i="3"/>
  <c r="P250" i="3"/>
  <c r="J250" i="3"/>
  <c r="I250" i="3"/>
  <c r="H250" i="3"/>
  <c r="G250" i="3"/>
  <c r="E250" i="3"/>
  <c r="C250" i="3"/>
  <c r="B250" i="3"/>
  <c r="AB249" i="3"/>
  <c r="AA249" i="3"/>
  <c r="Z249" i="3"/>
  <c r="P249" i="3"/>
  <c r="J249" i="3"/>
  <c r="I249" i="3"/>
  <c r="H249" i="3"/>
  <c r="G249" i="3"/>
  <c r="E249" i="3"/>
  <c r="C249" i="3"/>
  <c r="B249" i="3"/>
  <c r="BB248" i="3"/>
  <c r="BA248" i="3"/>
  <c r="AB248" i="3"/>
  <c r="AA248" i="3"/>
  <c r="Z248" i="3"/>
  <c r="P248" i="3"/>
  <c r="J248" i="3"/>
  <c r="I248" i="3"/>
  <c r="H248" i="3"/>
  <c r="G248" i="3"/>
  <c r="E248" i="3"/>
  <c r="C248" i="3"/>
  <c r="B248" i="3"/>
  <c r="BB247" i="3"/>
  <c r="BA247" i="3"/>
  <c r="AB247" i="3"/>
  <c r="AA247" i="3"/>
  <c r="Z247" i="3"/>
  <c r="P247" i="3"/>
  <c r="J247" i="3"/>
  <c r="I247" i="3"/>
  <c r="H247" i="3"/>
  <c r="G247" i="3"/>
  <c r="E247" i="3"/>
  <c r="C247" i="3"/>
  <c r="B247" i="3"/>
  <c r="BB246" i="3"/>
  <c r="BA246" i="3"/>
  <c r="AB246" i="3"/>
  <c r="AA246" i="3"/>
  <c r="Z246" i="3"/>
  <c r="S246" i="3"/>
  <c r="P246" i="3"/>
  <c r="J246" i="3"/>
  <c r="I246" i="3"/>
  <c r="H246" i="3"/>
  <c r="G246" i="3"/>
  <c r="E246" i="3"/>
  <c r="C246" i="3"/>
  <c r="B246" i="3"/>
  <c r="BB245" i="3"/>
  <c r="BA245" i="3"/>
  <c r="AB245" i="3"/>
  <c r="AA245" i="3"/>
  <c r="Z245" i="3"/>
  <c r="P245" i="3"/>
  <c r="J245" i="3"/>
  <c r="I245" i="3"/>
  <c r="H245" i="3"/>
  <c r="G245" i="3"/>
  <c r="E245" i="3"/>
  <c r="C245" i="3"/>
  <c r="B245" i="3"/>
  <c r="AB244" i="3"/>
  <c r="AA244" i="3"/>
  <c r="Z244" i="3"/>
  <c r="P244" i="3"/>
  <c r="J244" i="3"/>
  <c r="I244" i="3"/>
  <c r="H244" i="3"/>
  <c r="G244" i="3"/>
  <c r="E244" i="3"/>
  <c r="C244" i="3"/>
  <c r="B244" i="3"/>
  <c r="BB243" i="3"/>
  <c r="BA243" i="3"/>
  <c r="AB243" i="3"/>
  <c r="AA243" i="3"/>
  <c r="Z243" i="3"/>
  <c r="P243" i="3"/>
  <c r="J243" i="3"/>
  <c r="I243" i="3"/>
  <c r="H243" i="3"/>
  <c r="G243" i="3"/>
  <c r="E243" i="3"/>
  <c r="C243" i="3"/>
  <c r="B243" i="3"/>
  <c r="BB242" i="3"/>
  <c r="BA242" i="3"/>
  <c r="AB242" i="3"/>
  <c r="AA242" i="3"/>
  <c r="Z242" i="3"/>
  <c r="S242" i="3"/>
  <c r="P242" i="3"/>
  <c r="L242" i="3"/>
  <c r="J242" i="3"/>
  <c r="I242" i="3"/>
  <c r="H242" i="3"/>
  <c r="G242" i="3"/>
  <c r="E242" i="3"/>
  <c r="C242" i="3"/>
  <c r="B242" i="3"/>
  <c r="BB241" i="3"/>
  <c r="BA241" i="3"/>
  <c r="AB241" i="3"/>
  <c r="AA241" i="3"/>
  <c r="Z241" i="3"/>
  <c r="P241" i="3"/>
  <c r="J241" i="3"/>
  <c r="I241" i="3"/>
  <c r="H241" i="3"/>
  <c r="G241" i="3"/>
  <c r="E241" i="3"/>
  <c r="C241" i="3"/>
  <c r="B241" i="3"/>
  <c r="BB240" i="3"/>
  <c r="BA240" i="3"/>
  <c r="AB240" i="3"/>
  <c r="AA240" i="3"/>
  <c r="Z240" i="3"/>
  <c r="S240" i="3"/>
  <c r="P240" i="3"/>
  <c r="J240" i="3"/>
  <c r="I240" i="3"/>
  <c r="H240" i="3"/>
  <c r="G240" i="3"/>
  <c r="E240" i="3"/>
  <c r="C240" i="3"/>
  <c r="B240" i="3"/>
  <c r="BB239" i="3"/>
  <c r="BA239" i="3"/>
  <c r="AB239" i="3"/>
  <c r="AA239" i="3"/>
  <c r="Z239" i="3"/>
  <c r="P239" i="3"/>
  <c r="J239" i="3"/>
  <c r="H239" i="3"/>
  <c r="E239" i="3"/>
  <c r="C239" i="3"/>
  <c r="B239" i="3"/>
  <c r="BB238" i="3"/>
  <c r="BA238" i="3"/>
  <c r="AB238" i="3"/>
  <c r="AA238" i="3"/>
  <c r="Z238" i="3"/>
  <c r="T238" i="3"/>
  <c r="P238" i="3"/>
  <c r="J238" i="3"/>
  <c r="I238" i="3"/>
  <c r="H238" i="3"/>
  <c r="G238" i="3"/>
  <c r="E238" i="3"/>
  <c r="C238" i="3"/>
  <c r="B238" i="3"/>
  <c r="BB237" i="3"/>
  <c r="BA237" i="3"/>
  <c r="AB237" i="3"/>
  <c r="AA237" i="3"/>
  <c r="Z237" i="3"/>
  <c r="P237" i="3"/>
  <c r="J237" i="3"/>
  <c r="I237" i="3"/>
  <c r="H237" i="3"/>
  <c r="G237" i="3"/>
  <c r="E237" i="3"/>
  <c r="C237" i="3"/>
  <c r="B237" i="3"/>
  <c r="BB236" i="3"/>
  <c r="BA236" i="3"/>
  <c r="AB236" i="3"/>
  <c r="AA236" i="3"/>
  <c r="Z236" i="3"/>
  <c r="P236" i="3"/>
  <c r="J236" i="3"/>
  <c r="I236" i="3"/>
  <c r="H236" i="3"/>
  <c r="G236" i="3"/>
  <c r="E236" i="3"/>
  <c r="C236" i="3"/>
  <c r="B236" i="3"/>
  <c r="BB235" i="3"/>
  <c r="BA235" i="3"/>
  <c r="AB235" i="3"/>
  <c r="AA235" i="3"/>
  <c r="Z235" i="3"/>
  <c r="R235" i="3"/>
  <c r="P235" i="3"/>
  <c r="J235" i="3"/>
  <c r="I235" i="3"/>
  <c r="H235" i="3"/>
  <c r="G235" i="3"/>
  <c r="E235" i="3"/>
  <c r="C235" i="3"/>
  <c r="B235" i="3"/>
  <c r="BB234" i="3"/>
  <c r="BA234" i="3"/>
  <c r="AI234" i="3"/>
  <c r="U234" i="3" s="1"/>
  <c r="AB234" i="3"/>
  <c r="AA234" i="3"/>
  <c r="Z234" i="3"/>
  <c r="P234" i="3"/>
  <c r="J234" i="3"/>
  <c r="I234" i="3"/>
  <c r="H234" i="3"/>
  <c r="G234" i="3"/>
  <c r="E234" i="3"/>
  <c r="C234" i="3"/>
  <c r="B234" i="3"/>
  <c r="BB233" i="3"/>
  <c r="BA233" i="3"/>
  <c r="AB233" i="3"/>
  <c r="AA233" i="3"/>
  <c r="Z233" i="3"/>
  <c r="P233" i="3"/>
  <c r="J233" i="3"/>
  <c r="I233" i="3"/>
  <c r="H233" i="3"/>
  <c r="G233" i="3"/>
  <c r="E233" i="3"/>
  <c r="C233" i="3"/>
  <c r="B233" i="3"/>
  <c r="BB232" i="3"/>
  <c r="BA232" i="3"/>
  <c r="AB232" i="3"/>
  <c r="AA232" i="3"/>
  <c r="Z232" i="3"/>
  <c r="P232" i="3"/>
  <c r="J232" i="3"/>
  <c r="I232" i="3"/>
  <c r="H232" i="3"/>
  <c r="G232" i="3"/>
  <c r="E232" i="3"/>
  <c r="C232" i="3"/>
  <c r="B232" i="3"/>
  <c r="BB231" i="3"/>
  <c r="BA231" i="3"/>
  <c r="AB231" i="3"/>
  <c r="AA231" i="3"/>
  <c r="Z231" i="3"/>
  <c r="X231" i="3"/>
  <c r="P231" i="3"/>
  <c r="J231" i="3"/>
  <c r="I231" i="3"/>
  <c r="H231" i="3"/>
  <c r="G231" i="3"/>
  <c r="E231" i="3"/>
  <c r="C231" i="3"/>
  <c r="B231" i="3"/>
  <c r="BB230" i="3"/>
  <c r="BA230" i="3"/>
  <c r="AB230" i="3"/>
  <c r="AA230" i="3"/>
  <c r="Z230" i="3"/>
  <c r="P230" i="3"/>
  <c r="J230" i="3"/>
  <c r="I230" i="3"/>
  <c r="H230" i="3"/>
  <c r="G230" i="3"/>
  <c r="E230" i="3"/>
  <c r="C230" i="3"/>
  <c r="B230" i="3"/>
  <c r="BB229" i="3"/>
  <c r="BA229" i="3"/>
  <c r="AB229" i="3"/>
  <c r="AA229" i="3"/>
  <c r="Z229" i="3"/>
  <c r="P229" i="3"/>
  <c r="J229" i="3"/>
  <c r="I229" i="3"/>
  <c r="H229" i="3"/>
  <c r="G229" i="3"/>
  <c r="E229" i="3"/>
  <c r="C229" i="3"/>
  <c r="B229" i="3"/>
  <c r="BB228" i="3"/>
  <c r="BA228" i="3"/>
  <c r="AH228" i="3"/>
  <c r="O228" i="3" s="1"/>
  <c r="AG228" i="3"/>
  <c r="N228" i="3" s="1"/>
  <c r="AB228" i="3"/>
  <c r="AA228" i="3"/>
  <c r="Z228" i="3"/>
  <c r="U228" i="3"/>
  <c r="P228" i="3"/>
  <c r="L228" i="3"/>
  <c r="J228" i="3"/>
  <c r="I228" i="3"/>
  <c r="H228" i="3"/>
  <c r="G228" i="3"/>
  <c r="E228" i="3"/>
  <c r="C228" i="3"/>
  <c r="B228" i="3"/>
  <c r="BB227" i="3"/>
  <c r="BA227" i="3"/>
  <c r="AB227" i="3"/>
  <c r="AA227" i="3"/>
  <c r="Z227" i="3"/>
  <c r="P227" i="3"/>
  <c r="J227" i="3"/>
  <c r="I227" i="3"/>
  <c r="H227" i="3"/>
  <c r="G227" i="3"/>
  <c r="E227" i="3"/>
  <c r="C227" i="3"/>
  <c r="B227" i="3"/>
  <c r="BB226" i="3"/>
  <c r="BA226" i="3"/>
  <c r="AB226" i="3"/>
  <c r="AA226" i="3"/>
  <c r="Z226" i="3"/>
  <c r="P226" i="3"/>
  <c r="J226" i="3"/>
  <c r="I226" i="3"/>
  <c r="H226" i="3"/>
  <c r="G226" i="3"/>
  <c r="E226" i="3"/>
  <c r="C226" i="3"/>
  <c r="B226" i="3"/>
  <c r="BB225" i="3"/>
  <c r="BA225" i="3"/>
  <c r="AB225" i="3"/>
  <c r="AA225" i="3"/>
  <c r="Z225" i="3"/>
  <c r="P225" i="3"/>
  <c r="K225" i="3"/>
  <c r="J225" i="3"/>
  <c r="I225" i="3"/>
  <c r="H225" i="3"/>
  <c r="G225" i="3"/>
  <c r="E225" i="3"/>
  <c r="C225" i="3"/>
  <c r="B225" i="3"/>
  <c r="BB224" i="3"/>
  <c r="BA224" i="3"/>
  <c r="AJ224" i="3"/>
  <c r="W224" i="3" s="1"/>
  <c r="AB224" i="3"/>
  <c r="AA224" i="3"/>
  <c r="Z224" i="3"/>
  <c r="P224" i="3"/>
  <c r="J224" i="3"/>
  <c r="I224" i="3"/>
  <c r="H224" i="3"/>
  <c r="G224" i="3"/>
  <c r="E224" i="3"/>
  <c r="C224" i="3"/>
  <c r="B224" i="3"/>
  <c r="BB223" i="3"/>
  <c r="BA223" i="3"/>
  <c r="AB223" i="3"/>
  <c r="AA223" i="3"/>
  <c r="Z223" i="3"/>
  <c r="P223" i="3"/>
  <c r="J223" i="3"/>
  <c r="I223" i="3"/>
  <c r="H223" i="3"/>
  <c r="G223" i="3"/>
  <c r="E223" i="3"/>
  <c r="C223" i="3"/>
  <c r="B223" i="3"/>
  <c r="BB222" i="3"/>
  <c r="BA222" i="3"/>
  <c r="AB222" i="3"/>
  <c r="AA222" i="3"/>
  <c r="Z222" i="3"/>
  <c r="P222" i="3"/>
  <c r="J222" i="3"/>
  <c r="I222" i="3"/>
  <c r="H222" i="3"/>
  <c r="G222" i="3"/>
  <c r="E222" i="3"/>
  <c r="C222" i="3"/>
  <c r="B222" i="3"/>
  <c r="BB221" i="3"/>
  <c r="BA221" i="3"/>
  <c r="AB221" i="3"/>
  <c r="AA221" i="3"/>
  <c r="Z221" i="3"/>
  <c r="W221" i="3"/>
  <c r="T221" i="3"/>
  <c r="Q221" i="3"/>
  <c r="P221" i="3"/>
  <c r="J221" i="3"/>
  <c r="I221" i="3"/>
  <c r="H221" i="3"/>
  <c r="G221" i="3"/>
  <c r="E221" i="3"/>
  <c r="C221" i="3"/>
  <c r="BB220" i="3"/>
  <c r="BA220" i="3"/>
  <c r="AB220" i="3"/>
  <c r="AA220" i="3"/>
  <c r="Z220" i="3"/>
  <c r="P220" i="3"/>
  <c r="J220" i="3"/>
  <c r="I220" i="3"/>
  <c r="H220" i="3"/>
  <c r="G220" i="3"/>
  <c r="E220" i="3"/>
  <c r="C220" i="3"/>
  <c r="B220" i="3"/>
  <c r="AB219" i="3"/>
  <c r="AA219" i="3"/>
  <c r="Z219" i="3"/>
  <c r="P219" i="3"/>
  <c r="J219" i="3"/>
  <c r="I219" i="3"/>
  <c r="H219" i="3"/>
  <c r="G219" i="3"/>
  <c r="E219" i="3"/>
  <c r="C219" i="3"/>
  <c r="B219" i="3"/>
  <c r="BB218" i="3"/>
  <c r="BA218" i="3"/>
  <c r="AB218" i="3"/>
  <c r="AA218" i="3"/>
  <c r="Z218" i="3"/>
  <c r="P218" i="3"/>
  <c r="J218" i="3"/>
  <c r="I218" i="3"/>
  <c r="H218" i="3"/>
  <c r="G218" i="3"/>
  <c r="E218" i="3"/>
  <c r="C218" i="3"/>
  <c r="B218" i="3"/>
  <c r="BB217" i="3"/>
  <c r="BA217" i="3"/>
  <c r="AB217" i="3"/>
  <c r="AA217" i="3"/>
  <c r="Z217" i="3"/>
  <c r="P217" i="3"/>
  <c r="J217" i="3"/>
  <c r="I217" i="3"/>
  <c r="H217" i="3"/>
  <c r="G217" i="3"/>
  <c r="E217" i="3"/>
  <c r="C217" i="3"/>
  <c r="B217" i="3"/>
  <c r="BB216" i="3"/>
  <c r="BA216" i="3"/>
  <c r="AE216" i="3"/>
  <c r="AB216" i="3"/>
  <c r="AA216" i="3"/>
  <c r="Z216" i="3"/>
  <c r="P216" i="3"/>
  <c r="J216" i="3"/>
  <c r="I216" i="3"/>
  <c r="H216" i="3"/>
  <c r="G216" i="3"/>
  <c r="E216" i="3"/>
  <c r="C216" i="3"/>
  <c r="B216" i="3"/>
  <c r="BB215" i="3"/>
  <c r="BA215" i="3"/>
  <c r="AJ215" i="3"/>
  <c r="W215" i="3" s="1"/>
  <c r="AH215" i="3"/>
  <c r="O215" i="3" s="1"/>
  <c r="AF215" i="3"/>
  <c r="M215" i="3" s="1"/>
  <c r="AB215" i="3"/>
  <c r="AA215" i="3"/>
  <c r="Z215" i="3"/>
  <c r="P215" i="3"/>
  <c r="J215" i="3"/>
  <c r="I215" i="3"/>
  <c r="H215" i="3"/>
  <c r="G215" i="3"/>
  <c r="E215" i="3"/>
  <c r="C215" i="3"/>
  <c r="B215" i="3"/>
  <c r="BB214" i="3"/>
  <c r="BA214" i="3"/>
  <c r="AB214" i="3"/>
  <c r="AA214" i="3"/>
  <c r="Z214" i="3"/>
  <c r="P214" i="3"/>
  <c r="J214" i="3"/>
  <c r="I214" i="3"/>
  <c r="H214" i="3"/>
  <c r="G214" i="3"/>
  <c r="E214" i="3"/>
  <c r="C214" i="3"/>
  <c r="B214" i="3"/>
  <c r="BB213" i="3"/>
  <c r="BA213" i="3"/>
  <c r="AB213" i="3"/>
  <c r="AA213" i="3"/>
  <c r="Z213" i="3"/>
  <c r="P213" i="3"/>
  <c r="J213" i="3"/>
  <c r="I213" i="3"/>
  <c r="H213" i="3"/>
  <c r="G213" i="3"/>
  <c r="E213" i="3"/>
  <c r="C213" i="3"/>
  <c r="B213" i="3"/>
  <c r="BB212" i="3"/>
  <c r="BA212" i="3"/>
  <c r="AM212" i="3"/>
  <c r="Q212" i="3" s="1"/>
  <c r="AD212" i="3"/>
  <c r="K212" i="3" s="1"/>
  <c r="AB212" i="3"/>
  <c r="AA212" i="3"/>
  <c r="Z212" i="3"/>
  <c r="P212" i="3"/>
  <c r="J212" i="3"/>
  <c r="I212" i="3"/>
  <c r="H212" i="3"/>
  <c r="G212" i="3"/>
  <c r="E212" i="3"/>
  <c r="C212" i="3"/>
  <c r="B212" i="3"/>
  <c r="BB211" i="3"/>
  <c r="BA211" i="3"/>
  <c r="AA211" i="3"/>
  <c r="Z211" i="3"/>
  <c r="P211" i="3"/>
  <c r="J211" i="3"/>
  <c r="I211" i="3"/>
  <c r="H211" i="3"/>
  <c r="G211" i="3"/>
  <c r="E211" i="3"/>
  <c r="C211" i="3"/>
  <c r="B211" i="3"/>
  <c r="BB210" i="3"/>
  <c r="BA210" i="3"/>
  <c r="AD210" i="3"/>
  <c r="K210" i="3" s="1"/>
  <c r="AB210" i="3"/>
  <c r="AA210" i="3"/>
  <c r="Z210" i="3"/>
  <c r="T210" i="3"/>
  <c r="P210" i="3"/>
  <c r="J210" i="3"/>
  <c r="I210" i="3"/>
  <c r="H210" i="3"/>
  <c r="G210" i="3"/>
  <c r="E210" i="3"/>
  <c r="C210" i="3"/>
  <c r="B210" i="3"/>
  <c r="AB209" i="3"/>
  <c r="AA209" i="3"/>
  <c r="Z209" i="3"/>
  <c r="P209" i="3"/>
  <c r="K209" i="3"/>
  <c r="J209" i="3"/>
  <c r="I209" i="3"/>
  <c r="H209" i="3"/>
  <c r="G209" i="3"/>
  <c r="E209" i="3"/>
  <c r="C209" i="3"/>
  <c r="B209" i="3"/>
  <c r="BB208" i="3"/>
  <c r="BA208" i="3"/>
  <c r="AB208" i="3"/>
  <c r="AA208" i="3"/>
  <c r="Z208" i="3"/>
  <c r="P208" i="3"/>
  <c r="J208" i="3"/>
  <c r="I208" i="3"/>
  <c r="H208" i="3"/>
  <c r="G208" i="3"/>
  <c r="E208" i="3"/>
  <c r="C208" i="3"/>
  <c r="B208" i="3"/>
  <c r="BB207" i="3"/>
  <c r="BA207" i="3"/>
  <c r="AF207" i="3"/>
  <c r="M207" i="3" s="1"/>
  <c r="AE207" i="3"/>
  <c r="L207" i="3" s="1"/>
  <c r="AB207" i="3"/>
  <c r="AA207" i="3"/>
  <c r="Z207" i="3"/>
  <c r="P207" i="3"/>
  <c r="J207" i="3"/>
  <c r="I207" i="3"/>
  <c r="H207" i="3"/>
  <c r="G207" i="3"/>
  <c r="E207" i="3"/>
  <c r="C207" i="3"/>
  <c r="B207" i="3"/>
  <c r="BB206" i="3"/>
  <c r="BA206" i="3"/>
  <c r="AB206" i="3"/>
  <c r="AA206" i="3"/>
  <c r="Z206" i="3"/>
  <c r="P206" i="3"/>
  <c r="J206" i="3"/>
  <c r="I206" i="3"/>
  <c r="H206" i="3"/>
  <c r="G206" i="3"/>
  <c r="E206" i="3"/>
  <c r="C206" i="3"/>
  <c r="B206" i="3"/>
  <c r="BB205" i="3"/>
  <c r="BA205" i="3"/>
  <c r="AB205" i="3"/>
  <c r="AA205" i="3"/>
  <c r="Z205" i="3"/>
  <c r="P205" i="3"/>
  <c r="J205" i="3"/>
  <c r="I205" i="3"/>
  <c r="H205" i="3"/>
  <c r="G205" i="3"/>
  <c r="E205" i="3"/>
  <c r="C205" i="3"/>
  <c r="B205" i="3"/>
  <c r="BB204" i="3"/>
  <c r="BA204" i="3"/>
  <c r="AB204" i="3"/>
  <c r="AA204" i="3"/>
  <c r="Z204" i="3"/>
  <c r="P204" i="3"/>
  <c r="J204" i="3"/>
  <c r="I204" i="3"/>
  <c r="H204" i="3"/>
  <c r="G204" i="3"/>
  <c r="E204" i="3"/>
  <c r="C204" i="3"/>
  <c r="B204" i="3"/>
  <c r="BB203" i="3"/>
  <c r="BA203" i="3"/>
  <c r="AE203" i="3"/>
  <c r="L203" i="3" s="1"/>
  <c r="AB203" i="3"/>
  <c r="AA203" i="3"/>
  <c r="Z203" i="3"/>
  <c r="W203" i="3"/>
  <c r="Q203" i="3"/>
  <c r="P203" i="3"/>
  <c r="J203" i="3"/>
  <c r="I203" i="3"/>
  <c r="H203" i="3"/>
  <c r="G203" i="3"/>
  <c r="E203" i="3"/>
  <c r="C203" i="3"/>
  <c r="B203" i="3"/>
  <c r="BB202" i="3"/>
  <c r="BA202" i="3"/>
  <c r="AB202" i="3"/>
  <c r="AA202" i="3"/>
  <c r="Z202" i="3"/>
  <c r="P202" i="3"/>
  <c r="J202" i="3"/>
  <c r="I202" i="3"/>
  <c r="C202" i="3"/>
  <c r="B202" i="3"/>
  <c r="BB201" i="3"/>
  <c r="BA201" i="3"/>
  <c r="AB201" i="3"/>
  <c r="AA201" i="3"/>
  <c r="Z201" i="3"/>
  <c r="W201" i="3"/>
  <c r="P201" i="3"/>
  <c r="J201" i="3"/>
  <c r="I201" i="3"/>
  <c r="H201" i="3"/>
  <c r="G201" i="3"/>
  <c r="E201" i="3"/>
  <c r="C201" i="3"/>
  <c r="B201" i="3"/>
  <c r="BB200" i="3"/>
  <c r="BA200" i="3"/>
  <c r="AB200" i="3"/>
  <c r="AA200" i="3"/>
  <c r="Z200" i="3"/>
  <c r="P200" i="3"/>
  <c r="J200" i="3"/>
  <c r="I200" i="3"/>
  <c r="H200" i="3"/>
  <c r="G200" i="3"/>
  <c r="E200" i="3"/>
  <c r="C200" i="3"/>
  <c r="B200" i="3"/>
  <c r="BB199" i="3"/>
  <c r="BA199" i="3"/>
  <c r="AO199" i="3"/>
  <c r="X199" i="3" s="1"/>
  <c r="AB199" i="3"/>
  <c r="AA199" i="3"/>
  <c r="Z199" i="3"/>
  <c r="P199" i="3"/>
  <c r="J199" i="3"/>
  <c r="I199" i="3"/>
  <c r="H199" i="3"/>
  <c r="G199" i="3"/>
  <c r="E199" i="3"/>
  <c r="C199" i="3"/>
  <c r="B199" i="3"/>
  <c r="BB198" i="3"/>
  <c r="BA198" i="3"/>
  <c r="AB198" i="3"/>
  <c r="AA198" i="3"/>
  <c r="Z198" i="3"/>
  <c r="P198" i="3"/>
  <c r="J198" i="3"/>
  <c r="I198" i="3"/>
  <c r="H198" i="3"/>
  <c r="G198" i="3"/>
  <c r="E198" i="3"/>
  <c r="C198" i="3"/>
  <c r="B198" i="3"/>
  <c r="BB197" i="3"/>
  <c r="BA197" i="3"/>
  <c r="AB197" i="3"/>
  <c r="AA197" i="3"/>
  <c r="Z197" i="3"/>
  <c r="W197" i="3"/>
  <c r="P197" i="3"/>
  <c r="J197" i="3"/>
  <c r="I197" i="3"/>
  <c r="H197" i="3"/>
  <c r="G197" i="3"/>
  <c r="E197" i="3"/>
  <c r="C197" i="3"/>
  <c r="B197" i="3"/>
  <c r="BB196" i="3"/>
  <c r="BA196" i="3"/>
  <c r="AB196" i="3"/>
  <c r="AA196" i="3"/>
  <c r="Z196" i="3"/>
  <c r="P196" i="3"/>
  <c r="J196" i="3"/>
  <c r="I196" i="3"/>
  <c r="BB195" i="3"/>
  <c r="BA195" i="3"/>
  <c r="AB195" i="3"/>
  <c r="AA195" i="3"/>
  <c r="Z195" i="3"/>
  <c r="P195" i="3"/>
  <c r="J195" i="3"/>
  <c r="I195" i="3"/>
  <c r="H195" i="3"/>
  <c r="G195" i="3"/>
  <c r="E195" i="3"/>
  <c r="C195" i="3"/>
  <c r="B195" i="3"/>
  <c r="BB194" i="3"/>
  <c r="BA194" i="3"/>
  <c r="AB194" i="3"/>
  <c r="AA194" i="3"/>
  <c r="Z194" i="3"/>
  <c r="P194" i="3"/>
  <c r="J194" i="3"/>
  <c r="I194" i="3"/>
  <c r="H194" i="3"/>
  <c r="G194" i="3"/>
  <c r="E194" i="3"/>
  <c r="C194" i="3"/>
  <c r="B194" i="3"/>
  <c r="BB193" i="3"/>
  <c r="BA193" i="3"/>
  <c r="AO193" i="3"/>
  <c r="X193" i="3" s="1"/>
  <c r="AB193" i="3"/>
  <c r="AA193" i="3"/>
  <c r="Z193" i="3"/>
  <c r="P193" i="3"/>
  <c r="J193" i="3"/>
  <c r="I193" i="3"/>
  <c r="H193" i="3"/>
  <c r="G193" i="3"/>
  <c r="E193" i="3"/>
  <c r="C193" i="3"/>
  <c r="BB192" i="3"/>
  <c r="BA192" i="3"/>
  <c r="AO192" i="3"/>
  <c r="X192" i="3" s="1"/>
  <c r="AK192" i="3"/>
  <c r="T192" i="3" s="1"/>
  <c r="AB192" i="3"/>
  <c r="AA192" i="3"/>
  <c r="Z192" i="3"/>
  <c r="P192" i="3"/>
  <c r="J192" i="3"/>
  <c r="I192" i="3"/>
  <c r="E192" i="3"/>
  <c r="C192" i="3"/>
  <c r="BB191" i="3"/>
  <c r="BA191" i="3"/>
  <c r="AB191" i="3"/>
  <c r="AA191" i="3"/>
  <c r="Z191" i="3"/>
  <c r="P191" i="3"/>
  <c r="J191" i="3"/>
  <c r="I191" i="3"/>
  <c r="C191" i="3"/>
  <c r="B191" i="3"/>
  <c r="BB190" i="3"/>
  <c r="BA190" i="3"/>
  <c r="AB190" i="3"/>
  <c r="AA190" i="3"/>
  <c r="Z190" i="3"/>
  <c r="P190" i="3"/>
  <c r="J190" i="3"/>
  <c r="I190" i="3"/>
  <c r="H190" i="3"/>
  <c r="G190" i="3"/>
  <c r="E190" i="3"/>
  <c r="C190" i="3"/>
  <c r="B190" i="3"/>
  <c r="BB189" i="3"/>
  <c r="BA189" i="3"/>
  <c r="AB189" i="3"/>
  <c r="AA189" i="3"/>
  <c r="Z189" i="3"/>
  <c r="P189" i="3"/>
  <c r="J189" i="3"/>
  <c r="I189" i="3"/>
  <c r="H189" i="3"/>
  <c r="G189" i="3"/>
  <c r="E189" i="3"/>
  <c r="C189" i="3"/>
  <c r="B189" i="3"/>
  <c r="BB188" i="3"/>
  <c r="BA188" i="3"/>
  <c r="AB188" i="3"/>
  <c r="AA188" i="3"/>
  <c r="Z188" i="3"/>
  <c r="P188" i="3"/>
  <c r="J188" i="3"/>
  <c r="I188" i="3"/>
  <c r="H188" i="3"/>
  <c r="G188" i="3"/>
  <c r="E188" i="3"/>
  <c r="B188" i="3"/>
  <c r="BB187" i="3"/>
  <c r="BA187" i="3"/>
  <c r="AB187" i="3"/>
  <c r="AA187" i="3"/>
  <c r="Z187" i="3"/>
  <c r="P187" i="3"/>
  <c r="J187" i="3"/>
  <c r="I187" i="3"/>
  <c r="H187" i="3"/>
  <c r="G187" i="3"/>
  <c r="E187" i="3"/>
  <c r="C187" i="3"/>
  <c r="B187" i="3"/>
  <c r="AB186" i="3"/>
  <c r="AA186" i="3"/>
  <c r="Z186" i="3"/>
  <c r="P186" i="3"/>
  <c r="J186" i="3"/>
  <c r="I186" i="3"/>
  <c r="H186" i="3"/>
  <c r="G186" i="3"/>
  <c r="E186" i="3"/>
  <c r="C186" i="3"/>
  <c r="B186" i="3"/>
  <c r="BB185" i="3"/>
  <c r="BA185" i="3"/>
  <c r="AB185" i="3"/>
  <c r="AA185" i="3"/>
  <c r="Z185" i="3"/>
  <c r="P185" i="3"/>
  <c r="J185" i="3"/>
  <c r="I185" i="3"/>
  <c r="H185" i="3"/>
  <c r="G185" i="3"/>
  <c r="E185" i="3"/>
  <c r="C185" i="3"/>
  <c r="B185" i="3"/>
  <c r="BB184" i="3"/>
  <c r="BA184" i="3"/>
  <c r="AH184" i="3"/>
  <c r="O184" i="3" s="1"/>
  <c r="AF184" i="3"/>
  <c r="AD184" i="3"/>
  <c r="AB184" i="3"/>
  <c r="AA184" i="3"/>
  <c r="Z184" i="3"/>
  <c r="P184" i="3"/>
  <c r="N184" i="3"/>
  <c r="M184" i="3"/>
  <c r="K184" i="3"/>
  <c r="J184" i="3"/>
  <c r="I184" i="3"/>
  <c r="H184" i="3"/>
  <c r="G184" i="3"/>
  <c r="E184" i="3"/>
  <c r="C184" i="3"/>
  <c r="B184" i="3"/>
  <c r="BB183" i="3"/>
  <c r="BA183" i="3"/>
  <c r="AF183" i="3"/>
  <c r="M183" i="3" s="1"/>
  <c r="AB183" i="3"/>
  <c r="AA183" i="3"/>
  <c r="Z183" i="3"/>
  <c r="P183" i="3"/>
  <c r="J183" i="3"/>
  <c r="I183" i="3"/>
  <c r="H183" i="3"/>
  <c r="G183" i="3"/>
  <c r="E183" i="3"/>
  <c r="C183" i="3"/>
  <c r="B183" i="3"/>
  <c r="BB182" i="3"/>
  <c r="BA182" i="3"/>
  <c r="AB182" i="3"/>
  <c r="AA182" i="3"/>
  <c r="Z182" i="3"/>
  <c r="P182" i="3"/>
  <c r="K182" i="3"/>
  <c r="J182" i="3"/>
  <c r="I182" i="3"/>
  <c r="H182" i="3"/>
  <c r="G182" i="3"/>
  <c r="E182" i="3"/>
  <c r="C182" i="3"/>
  <c r="B182" i="3"/>
  <c r="BB181" i="3"/>
  <c r="BA181" i="3"/>
  <c r="AF181" i="3"/>
  <c r="M181" i="3" s="1"/>
  <c r="AB181" i="3"/>
  <c r="AA181" i="3"/>
  <c r="Z181" i="3"/>
  <c r="P181" i="3"/>
  <c r="J181" i="3"/>
  <c r="I181" i="3"/>
  <c r="H181" i="3"/>
  <c r="G181" i="3"/>
  <c r="E181" i="3"/>
  <c r="C181" i="3"/>
  <c r="B181" i="3"/>
  <c r="BB180" i="3"/>
  <c r="BA180" i="3"/>
  <c r="AF180" i="3"/>
  <c r="M180" i="3" s="1"/>
  <c r="AB180" i="3"/>
  <c r="AA180" i="3"/>
  <c r="Z180" i="3"/>
  <c r="P180" i="3"/>
  <c r="J180" i="3"/>
  <c r="I180" i="3"/>
  <c r="H180" i="3"/>
  <c r="G180" i="3"/>
  <c r="E180" i="3"/>
  <c r="C180" i="3"/>
  <c r="B180" i="3"/>
  <c r="BB179" i="3"/>
  <c r="BA179" i="3"/>
  <c r="AB179" i="3"/>
  <c r="AA179" i="3"/>
  <c r="Z179" i="3"/>
  <c r="P179" i="3"/>
  <c r="N179" i="3"/>
  <c r="L179" i="3"/>
  <c r="J179" i="3"/>
  <c r="I179" i="3"/>
  <c r="H179" i="3"/>
  <c r="G179" i="3"/>
  <c r="E179" i="3"/>
  <c r="C179" i="3"/>
  <c r="BB178" i="3"/>
  <c r="BA178" i="3"/>
  <c r="AB178" i="3"/>
  <c r="AA178" i="3"/>
  <c r="Z178" i="3"/>
  <c r="J178" i="3"/>
  <c r="I178" i="3"/>
  <c r="H178" i="3"/>
  <c r="G178" i="3"/>
  <c r="E178" i="3"/>
  <c r="C178" i="3"/>
  <c r="B178" i="3"/>
  <c r="BB177" i="3"/>
  <c r="BA177" i="3"/>
  <c r="AN177" i="3"/>
  <c r="R177" i="3" s="1"/>
  <c r="AB177" i="3"/>
  <c r="AA177" i="3"/>
  <c r="Z177" i="3"/>
  <c r="P177" i="3"/>
  <c r="J177" i="3"/>
  <c r="I177" i="3"/>
  <c r="H177" i="3"/>
  <c r="G177" i="3"/>
  <c r="E177" i="3"/>
  <c r="C177" i="3"/>
  <c r="B177" i="3"/>
  <c r="BB176" i="3"/>
  <c r="BA176" i="3"/>
  <c r="AI176" i="3"/>
  <c r="U176" i="3" s="1"/>
  <c r="AG176" i="3"/>
  <c r="N176" i="3" s="1"/>
  <c r="AB176" i="3"/>
  <c r="AA176" i="3"/>
  <c r="Z176" i="3"/>
  <c r="P176" i="3"/>
  <c r="O176" i="3"/>
  <c r="K176" i="3"/>
  <c r="J176" i="3"/>
  <c r="I176" i="3"/>
  <c r="H176" i="3"/>
  <c r="G176" i="3"/>
  <c r="E176" i="3"/>
  <c r="C176" i="3"/>
  <c r="B176" i="3"/>
  <c r="BB175" i="3"/>
  <c r="BA175" i="3"/>
  <c r="AB175" i="3"/>
  <c r="AA175" i="3"/>
  <c r="Z175" i="3"/>
  <c r="P175" i="3"/>
  <c r="J175" i="3"/>
  <c r="I175" i="3"/>
  <c r="H175" i="3"/>
  <c r="G175" i="3"/>
  <c r="E175" i="3"/>
  <c r="C175" i="3"/>
  <c r="B175" i="3"/>
  <c r="BB174" i="3"/>
  <c r="BA174" i="3"/>
  <c r="AD174" i="3"/>
  <c r="K174" i="3" s="1"/>
  <c r="AB174" i="3"/>
  <c r="AA174" i="3"/>
  <c r="Z174" i="3"/>
  <c r="P174" i="3"/>
  <c r="J174" i="3"/>
  <c r="I174" i="3"/>
  <c r="H174" i="3"/>
  <c r="G174" i="3"/>
  <c r="E174" i="3"/>
  <c r="C174" i="3"/>
  <c r="B174" i="3"/>
  <c r="BB173" i="3"/>
  <c r="BA173" i="3"/>
  <c r="AB173" i="3"/>
  <c r="AA173" i="3"/>
  <c r="Z173" i="3"/>
  <c r="P173" i="3"/>
  <c r="J173" i="3"/>
  <c r="I173" i="3"/>
  <c r="H173" i="3"/>
  <c r="G173" i="3"/>
  <c r="E173" i="3"/>
  <c r="C173" i="3"/>
  <c r="B173" i="3"/>
  <c r="BB172" i="3"/>
  <c r="BA172" i="3"/>
  <c r="AI172" i="3"/>
  <c r="U172" i="3" s="1"/>
  <c r="AG172" i="3"/>
  <c r="N172" i="3" s="1"/>
  <c r="AB172" i="3"/>
  <c r="AA172" i="3"/>
  <c r="Z172" i="3"/>
  <c r="P172" i="3"/>
  <c r="M172" i="3"/>
  <c r="J172" i="3"/>
  <c r="I172" i="3"/>
  <c r="H172" i="3"/>
  <c r="G172" i="3"/>
  <c r="E172" i="3"/>
  <c r="C172" i="3"/>
  <c r="B172" i="3"/>
  <c r="BB171" i="3"/>
  <c r="BA171" i="3"/>
  <c r="AF171" i="3"/>
  <c r="AB171" i="3"/>
  <c r="AA171" i="3"/>
  <c r="Z171" i="3"/>
  <c r="P171" i="3"/>
  <c r="M171" i="3"/>
  <c r="J171" i="3"/>
  <c r="I171" i="3"/>
  <c r="H171" i="3"/>
  <c r="G171" i="3"/>
  <c r="E171" i="3"/>
  <c r="C171" i="3"/>
  <c r="B171" i="3"/>
  <c r="BB170" i="3"/>
  <c r="BA170" i="3"/>
  <c r="AN170" i="3"/>
  <c r="R170" i="3" s="1"/>
  <c r="AB170" i="3"/>
  <c r="AA170" i="3"/>
  <c r="Z170" i="3"/>
  <c r="P170" i="3"/>
  <c r="N170" i="3"/>
  <c r="M170" i="3"/>
  <c r="J170" i="3"/>
  <c r="I170" i="3"/>
  <c r="H170" i="3"/>
  <c r="G170" i="3"/>
  <c r="E170" i="3"/>
  <c r="C170" i="3"/>
  <c r="B170" i="3"/>
  <c r="BB169" i="3"/>
  <c r="BA169" i="3"/>
  <c r="AO169" i="3"/>
  <c r="X169" i="3" s="1"/>
  <c r="AL169" i="3"/>
  <c r="S169" i="3" s="1"/>
  <c r="AG169" i="3"/>
  <c r="N169" i="3" s="1"/>
  <c r="AB169" i="3"/>
  <c r="AA169" i="3"/>
  <c r="Z169" i="3"/>
  <c r="P169" i="3"/>
  <c r="J169" i="3"/>
  <c r="I169" i="3"/>
  <c r="H169" i="3"/>
  <c r="G169" i="3"/>
  <c r="E169" i="3"/>
  <c r="C169" i="3"/>
  <c r="B169" i="3"/>
  <c r="BB168" i="3"/>
  <c r="BA168" i="3"/>
  <c r="AB168" i="3"/>
  <c r="AA168" i="3"/>
  <c r="Z168" i="3"/>
  <c r="P168" i="3"/>
  <c r="M168" i="3"/>
  <c r="J168" i="3"/>
  <c r="I168" i="3"/>
  <c r="H168" i="3"/>
  <c r="G168" i="3"/>
  <c r="E168" i="3"/>
  <c r="C168" i="3"/>
  <c r="B168" i="3"/>
  <c r="BB167" i="3"/>
  <c r="BA167" i="3"/>
  <c r="AD167" i="3"/>
  <c r="AB167" i="3"/>
  <c r="AA167" i="3"/>
  <c r="Z167" i="3"/>
  <c r="P167" i="3"/>
  <c r="K167" i="3"/>
  <c r="J167" i="3"/>
  <c r="I167" i="3"/>
  <c r="H167" i="3"/>
  <c r="G167" i="3"/>
  <c r="E167" i="3"/>
  <c r="C167" i="3"/>
  <c r="B167" i="3"/>
  <c r="BB166" i="3"/>
  <c r="BA166" i="3"/>
  <c r="AB166" i="3"/>
  <c r="AA166" i="3"/>
  <c r="Z166" i="3"/>
  <c r="P166" i="3"/>
  <c r="J166" i="3"/>
  <c r="I166" i="3"/>
  <c r="H166" i="3"/>
  <c r="G166" i="3"/>
  <c r="E166" i="3"/>
  <c r="C166" i="3"/>
  <c r="B166" i="3"/>
  <c r="BB165" i="3"/>
  <c r="BA165" i="3"/>
  <c r="AB165" i="3"/>
  <c r="AA165" i="3"/>
  <c r="Z165" i="3"/>
  <c r="W165" i="3"/>
  <c r="P165" i="3"/>
  <c r="O165" i="3"/>
  <c r="J165" i="3"/>
  <c r="I165" i="3"/>
  <c r="H165" i="3"/>
  <c r="G165" i="3"/>
  <c r="E165" i="3"/>
  <c r="C165" i="3"/>
  <c r="B165" i="3"/>
  <c r="BB164" i="3"/>
  <c r="BA164" i="3"/>
  <c r="AB164" i="3"/>
  <c r="AA164" i="3"/>
  <c r="Z164" i="3"/>
  <c r="P164" i="3"/>
  <c r="J164" i="3"/>
  <c r="I164" i="3"/>
  <c r="H164" i="3"/>
  <c r="G164" i="3"/>
  <c r="E164" i="3"/>
  <c r="C164" i="3"/>
  <c r="B164" i="3"/>
  <c r="BB163" i="3"/>
  <c r="BA163" i="3"/>
  <c r="AB163" i="3"/>
  <c r="AA163" i="3"/>
  <c r="Z163" i="3"/>
  <c r="P163" i="3"/>
  <c r="J163" i="3"/>
  <c r="I163" i="3"/>
  <c r="H163" i="3"/>
  <c r="G163" i="3"/>
  <c r="E163" i="3"/>
  <c r="C163" i="3"/>
  <c r="B163" i="3"/>
  <c r="BB162" i="3"/>
  <c r="BA162" i="3"/>
  <c r="AB162" i="3"/>
  <c r="AA162" i="3"/>
  <c r="Z162" i="3"/>
  <c r="P162" i="3"/>
  <c r="J162" i="3"/>
  <c r="I162" i="3"/>
  <c r="H162" i="3"/>
  <c r="G162" i="3"/>
  <c r="E162" i="3"/>
  <c r="C162" i="3"/>
  <c r="B162" i="3"/>
  <c r="BB161" i="3"/>
  <c r="BA161" i="3"/>
  <c r="AB161" i="3"/>
  <c r="AA161" i="3"/>
  <c r="Z161" i="3"/>
  <c r="P161" i="3"/>
  <c r="J161" i="3"/>
  <c r="I161" i="3"/>
  <c r="H161" i="3"/>
  <c r="G161" i="3"/>
  <c r="E161" i="3"/>
  <c r="C161" i="3"/>
  <c r="B161" i="3"/>
  <c r="BB160" i="3"/>
  <c r="BA160" i="3"/>
  <c r="AB160" i="3"/>
  <c r="AA160" i="3"/>
  <c r="Z160" i="3"/>
  <c r="P160" i="3"/>
  <c r="J160" i="3"/>
  <c r="I160" i="3"/>
  <c r="H160" i="3"/>
  <c r="G160" i="3"/>
  <c r="E160" i="3"/>
  <c r="C160" i="3"/>
  <c r="B160" i="3"/>
  <c r="BB159" i="3"/>
  <c r="BA159" i="3"/>
  <c r="AB159" i="3"/>
  <c r="AA159" i="3"/>
  <c r="Z159" i="3"/>
  <c r="P159" i="3"/>
  <c r="J159" i="3"/>
  <c r="I159" i="3"/>
  <c r="H159" i="3"/>
  <c r="G159" i="3"/>
  <c r="E159" i="3"/>
  <c r="C159" i="3"/>
  <c r="B159" i="3"/>
  <c r="BB158" i="3"/>
  <c r="BA158" i="3"/>
  <c r="AL158" i="3"/>
  <c r="S158" i="3" s="1"/>
  <c r="AE158" i="3"/>
  <c r="AB158" i="3"/>
  <c r="AA158" i="3"/>
  <c r="Z158" i="3"/>
  <c r="P158" i="3"/>
  <c r="J158" i="3"/>
  <c r="I158" i="3"/>
  <c r="BB157" i="3"/>
  <c r="BA157" i="3"/>
  <c r="AB157" i="3"/>
  <c r="AA157" i="3"/>
  <c r="Z157" i="3"/>
  <c r="P157" i="3"/>
  <c r="J157" i="3"/>
  <c r="I157" i="3"/>
  <c r="H157" i="3"/>
  <c r="G157" i="3"/>
  <c r="E157" i="3"/>
  <c r="C157" i="3"/>
  <c r="B157" i="3"/>
  <c r="BB156" i="3"/>
  <c r="BA156" i="3"/>
  <c r="AB156" i="3"/>
  <c r="AA156" i="3"/>
  <c r="Z156" i="3"/>
  <c r="P156" i="3"/>
  <c r="J156" i="3"/>
  <c r="I156" i="3"/>
  <c r="H156" i="3"/>
  <c r="G156" i="3"/>
  <c r="E156" i="3"/>
  <c r="C156" i="3"/>
  <c r="B156" i="3"/>
  <c r="BB155" i="3"/>
  <c r="BA155" i="3"/>
  <c r="AB155" i="3"/>
  <c r="AA155" i="3"/>
  <c r="Z155" i="3"/>
  <c r="P155" i="3"/>
  <c r="J155" i="3"/>
  <c r="I155" i="3"/>
  <c r="H155" i="3"/>
  <c r="G155" i="3"/>
  <c r="E155" i="3"/>
  <c r="C155" i="3"/>
  <c r="B155" i="3"/>
  <c r="AK154" i="3"/>
  <c r="T154" i="3" s="1"/>
  <c r="AJ154" i="3"/>
  <c r="W154" i="3" s="1"/>
  <c r="AB154" i="3"/>
  <c r="AA154" i="3"/>
  <c r="Z154" i="3"/>
  <c r="P154" i="3"/>
  <c r="J154" i="3"/>
  <c r="I154" i="3"/>
  <c r="H154" i="3"/>
  <c r="G154" i="3"/>
  <c r="E154" i="3"/>
  <c r="C154" i="3"/>
  <c r="B154" i="3"/>
  <c r="BB153" i="3"/>
  <c r="BA153" i="3"/>
  <c r="AB153" i="3"/>
  <c r="AA153" i="3"/>
  <c r="Z153" i="3"/>
  <c r="P153" i="3"/>
  <c r="O153" i="3"/>
  <c r="J153" i="3"/>
  <c r="I153" i="3"/>
  <c r="H153" i="3"/>
  <c r="G153" i="3"/>
  <c r="E153" i="3"/>
  <c r="C153" i="3"/>
  <c r="B153" i="3"/>
  <c r="BB152" i="3"/>
  <c r="BA152" i="3"/>
  <c r="AB152" i="3"/>
  <c r="AA152" i="3"/>
  <c r="Z152" i="3"/>
  <c r="P152" i="3"/>
  <c r="J152" i="3"/>
  <c r="I152" i="3"/>
  <c r="H152" i="3"/>
  <c r="G152" i="3"/>
  <c r="E152" i="3"/>
  <c r="C152" i="3"/>
  <c r="B152" i="3"/>
  <c r="BB151" i="3"/>
  <c r="BA151" i="3"/>
  <c r="AB151" i="3"/>
  <c r="AA151" i="3"/>
  <c r="Z151" i="3"/>
  <c r="P151" i="3"/>
  <c r="J151" i="3"/>
  <c r="I151" i="3"/>
  <c r="H151" i="3"/>
  <c r="G151" i="3"/>
  <c r="E151" i="3"/>
  <c r="C151" i="3"/>
  <c r="B151" i="3"/>
  <c r="BB150" i="3"/>
  <c r="BA150" i="3"/>
  <c r="AO150" i="3"/>
  <c r="X150" i="3" s="1"/>
  <c r="AB150" i="3"/>
  <c r="AA150" i="3"/>
  <c r="Z150" i="3"/>
  <c r="P150" i="3"/>
  <c r="J150" i="3"/>
  <c r="I150" i="3"/>
  <c r="H150" i="3"/>
  <c r="G150" i="3"/>
  <c r="E150" i="3"/>
  <c r="C150" i="3"/>
  <c r="B150" i="3"/>
  <c r="AB149" i="3"/>
  <c r="AA149" i="3"/>
  <c r="Z149" i="3"/>
  <c r="P149" i="3"/>
  <c r="J149" i="3"/>
  <c r="I149" i="3"/>
  <c r="H149" i="3"/>
  <c r="E149" i="3"/>
  <c r="C149" i="3"/>
  <c r="B149" i="3"/>
  <c r="BB148" i="3"/>
  <c r="BA148" i="3"/>
  <c r="AM148" i="3"/>
  <c r="Q148" i="3" s="1"/>
  <c r="AB148" i="3"/>
  <c r="AA148" i="3"/>
  <c r="Z148" i="3"/>
  <c r="T148" i="3"/>
  <c r="R148" i="3"/>
  <c r="P148" i="3"/>
  <c r="K148" i="3"/>
  <c r="J148" i="3"/>
  <c r="I148" i="3"/>
  <c r="H148" i="3"/>
  <c r="G148" i="3"/>
  <c r="E148" i="3"/>
  <c r="C148" i="3"/>
  <c r="B148" i="3"/>
  <c r="BB147" i="3"/>
  <c r="BA147" i="3"/>
  <c r="AB147" i="3"/>
  <c r="AA147" i="3"/>
  <c r="Z147" i="3"/>
  <c r="P147" i="3"/>
  <c r="J147" i="3"/>
  <c r="I147" i="3"/>
  <c r="H147" i="3"/>
  <c r="G147" i="3"/>
  <c r="E147" i="3"/>
  <c r="C147" i="3"/>
  <c r="B147" i="3"/>
  <c r="BB146" i="3"/>
  <c r="BA146" i="3"/>
  <c r="AB146" i="3"/>
  <c r="AA146" i="3"/>
  <c r="Z146" i="3"/>
  <c r="X146" i="3"/>
  <c r="W146" i="3"/>
  <c r="P146" i="3"/>
  <c r="J146" i="3"/>
  <c r="I146" i="3"/>
  <c r="H146" i="3"/>
  <c r="G146" i="3"/>
  <c r="E146" i="3"/>
  <c r="C146" i="3"/>
  <c r="B146" i="3"/>
  <c r="BB145" i="3"/>
  <c r="BA145" i="3"/>
  <c r="AB145" i="3"/>
  <c r="AA145" i="3"/>
  <c r="Z145" i="3"/>
  <c r="P145" i="3"/>
  <c r="N145" i="3"/>
  <c r="J145" i="3"/>
  <c r="I145" i="3"/>
  <c r="H145" i="3"/>
  <c r="G145" i="3"/>
  <c r="E145" i="3"/>
  <c r="C145" i="3"/>
  <c r="B145" i="3"/>
  <c r="BB144" i="3"/>
  <c r="BA144" i="3"/>
  <c r="AB144" i="3"/>
  <c r="AA144" i="3"/>
  <c r="Z144" i="3"/>
  <c r="P144" i="3"/>
  <c r="J144" i="3"/>
  <c r="I144" i="3"/>
  <c r="H144" i="3"/>
  <c r="G144" i="3"/>
  <c r="E144" i="3"/>
  <c r="C144" i="3"/>
  <c r="B144" i="3"/>
  <c r="AB143" i="3"/>
  <c r="AA143" i="3"/>
  <c r="Z143" i="3"/>
  <c r="P143" i="3"/>
  <c r="J143" i="3"/>
  <c r="I143" i="3"/>
  <c r="H143" i="3"/>
  <c r="G143" i="3"/>
  <c r="E143" i="3"/>
  <c r="C143" i="3"/>
  <c r="B143" i="3"/>
  <c r="AB142" i="3"/>
  <c r="AA142" i="3"/>
  <c r="Z142" i="3"/>
  <c r="P142" i="3"/>
  <c r="K142" i="3"/>
  <c r="J142" i="3"/>
  <c r="I142" i="3"/>
  <c r="H142" i="3"/>
  <c r="G142" i="3"/>
  <c r="E142" i="3"/>
  <c r="C142" i="3"/>
  <c r="B142" i="3"/>
  <c r="BB141" i="3"/>
  <c r="BA141" i="3"/>
  <c r="AI141" i="3"/>
  <c r="U141" i="3" s="1"/>
  <c r="AB141" i="3"/>
  <c r="AA141" i="3"/>
  <c r="Z141" i="3"/>
  <c r="P141" i="3"/>
  <c r="J141" i="3"/>
  <c r="I141" i="3"/>
  <c r="H141" i="3"/>
  <c r="E141" i="3"/>
  <c r="C141" i="3"/>
  <c r="B141" i="3"/>
  <c r="BB140" i="3"/>
  <c r="BA140" i="3"/>
  <c r="AJ140" i="3"/>
  <c r="W140" i="3" s="1"/>
  <c r="AB140" i="3"/>
  <c r="AA140" i="3"/>
  <c r="P140" i="3"/>
  <c r="M140" i="3"/>
  <c r="L140" i="3"/>
  <c r="J140" i="3"/>
  <c r="I140" i="3"/>
  <c r="H140" i="3"/>
  <c r="G140" i="3"/>
  <c r="E140" i="3"/>
  <c r="C140" i="3"/>
  <c r="B140" i="3"/>
  <c r="BB139" i="3"/>
  <c r="BA139" i="3"/>
  <c r="AB139" i="3"/>
  <c r="AA139" i="3"/>
  <c r="Z139" i="3"/>
  <c r="P139" i="3"/>
  <c r="J139" i="3"/>
  <c r="I139" i="3"/>
  <c r="H139" i="3"/>
  <c r="G139" i="3"/>
  <c r="E139" i="3"/>
  <c r="C139" i="3"/>
  <c r="B139" i="3"/>
  <c r="AJ138" i="3"/>
  <c r="W138" i="3" s="1"/>
  <c r="AH138" i="3"/>
  <c r="O138" i="3" s="1"/>
  <c r="AG138" i="3"/>
  <c r="N138" i="3" s="1"/>
  <c r="AF138" i="3"/>
  <c r="M138" i="3" s="1"/>
  <c r="AD138" i="3"/>
  <c r="K138" i="3" s="1"/>
  <c r="AB138" i="3"/>
  <c r="AA138" i="3"/>
  <c r="Z138" i="3"/>
  <c r="P138" i="3"/>
  <c r="J138" i="3"/>
  <c r="I138" i="3"/>
  <c r="H138" i="3"/>
  <c r="G138" i="3"/>
  <c r="E138" i="3"/>
  <c r="C138" i="3"/>
  <c r="B138" i="3"/>
  <c r="BB137" i="3"/>
  <c r="BA137" i="3"/>
  <c r="AB137" i="3"/>
  <c r="AA137" i="3"/>
  <c r="Z137" i="3"/>
  <c r="P137" i="3"/>
  <c r="J137" i="3"/>
  <c r="H137" i="3"/>
  <c r="G137" i="3"/>
  <c r="E137" i="3"/>
  <c r="C137" i="3"/>
  <c r="B137" i="3"/>
  <c r="AL136" i="3"/>
  <c r="S136" i="3" s="1"/>
  <c r="AJ136" i="3"/>
  <c r="W136" i="3" s="1"/>
  <c r="AE136" i="3"/>
  <c r="L136" i="3" s="1"/>
  <c r="AB136" i="3"/>
  <c r="AA136" i="3"/>
  <c r="Z136" i="3"/>
  <c r="P136" i="3"/>
  <c r="J136" i="3"/>
  <c r="I136" i="3"/>
  <c r="H136" i="3"/>
  <c r="G136" i="3"/>
  <c r="E136" i="3"/>
  <c r="C136" i="3"/>
  <c r="B136" i="3"/>
  <c r="BB135" i="3"/>
  <c r="BA135" i="3"/>
  <c r="AB135" i="3"/>
  <c r="AA135" i="3"/>
  <c r="Z135" i="3"/>
  <c r="J135" i="3"/>
  <c r="I135" i="3"/>
  <c r="H135" i="3"/>
  <c r="G135" i="3"/>
  <c r="E135" i="3"/>
  <c r="C135" i="3"/>
  <c r="B135" i="3"/>
  <c r="BB134" i="3"/>
  <c r="BA134" i="3"/>
  <c r="AB134" i="3"/>
  <c r="AA134" i="3"/>
  <c r="Z134" i="3"/>
  <c r="P134" i="3"/>
  <c r="J134" i="3"/>
  <c r="I134" i="3"/>
  <c r="H134" i="3"/>
  <c r="G134" i="3"/>
  <c r="E134" i="3"/>
  <c r="C134" i="3"/>
  <c r="B134" i="3"/>
  <c r="BB133" i="3"/>
  <c r="BA133" i="3"/>
  <c r="AB133" i="3"/>
  <c r="AA133" i="3"/>
  <c r="Z133" i="3"/>
  <c r="W133" i="3"/>
  <c r="P133" i="3"/>
  <c r="J133" i="3"/>
  <c r="C133" i="3"/>
  <c r="B133" i="3"/>
  <c r="BB132" i="3"/>
  <c r="BA132" i="3"/>
  <c r="AB132" i="3"/>
  <c r="AA132" i="3"/>
  <c r="Z132" i="3"/>
  <c r="W132" i="3"/>
  <c r="U132" i="3"/>
  <c r="P132" i="3"/>
  <c r="J132" i="3"/>
  <c r="I132" i="3"/>
  <c r="H132" i="3"/>
  <c r="G132" i="3"/>
  <c r="E132" i="3"/>
  <c r="C132" i="3"/>
  <c r="B132" i="3"/>
  <c r="BB131" i="3"/>
  <c r="BA131" i="3"/>
  <c r="AB131" i="3"/>
  <c r="AA131" i="3"/>
  <c r="Z131" i="3"/>
  <c r="P131" i="3"/>
  <c r="J131" i="3"/>
  <c r="I131" i="3"/>
  <c r="H131" i="3"/>
  <c r="G131" i="3"/>
  <c r="E131" i="3"/>
  <c r="C131" i="3"/>
  <c r="BB130" i="3"/>
  <c r="BA130" i="3"/>
  <c r="AK130" i="3"/>
  <c r="T130" i="3" s="1"/>
  <c r="AI130" i="3"/>
  <c r="U130" i="3" s="1"/>
  <c r="AB130" i="3"/>
  <c r="AA130" i="3"/>
  <c r="Z130" i="3"/>
  <c r="X130" i="3"/>
  <c r="P130" i="3"/>
  <c r="J130" i="3"/>
  <c r="I130" i="3"/>
  <c r="H130" i="3"/>
  <c r="G130" i="3"/>
  <c r="E130" i="3"/>
  <c r="C130" i="3"/>
  <c r="B130" i="3"/>
  <c r="BB129" i="3"/>
  <c r="BA129" i="3"/>
  <c r="AB129" i="3"/>
  <c r="AA129" i="3"/>
  <c r="Z129" i="3"/>
  <c r="S129" i="3"/>
  <c r="P129" i="3"/>
  <c r="J129" i="3"/>
  <c r="I129" i="3"/>
  <c r="H129" i="3"/>
  <c r="G129" i="3"/>
  <c r="C129" i="3"/>
  <c r="B129" i="3"/>
  <c r="BB128" i="3"/>
  <c r="BA128" i="3"/>
  <c r="AB128" i="3"/>
  <c r="AA128" i="3"/>
  <c r="Z128" i="3"/>
  <c r="P128" i="3"/>
  <c r="J128" i="3"/>
  <c r="I128" i="3"/>
  <c r="H128" i="3"/>
  <c r="G128" i="3"/>
  <c r="E128" i="3"/>
  <c r="C128" i="3"/>
  <c r="B128" i="3"/>
  <c r="BB127" i="3"/>
  <c r="BA127" i="3"/>
  <c r="AK127" i="3"/>
  <c r="T127" i="3" s="1"/>
  <c r="AJ127" i="3"/>
  <c r="W127" i="3" s="1"/>
  <c r="AH127" i="3"/>
  <c r="O127" i="3" s="1"/>
  <c r="AB127" i="3"/>
  <c r="AA127" i="3"/>
  <c r="Z127" i="3"/>
  <c r="P127" i="3"/>
  <c r="J127" i="3"/>
  <c r="I127" i="3"/>
  <c r="H127" i="3"/>
  <c r="G127" i="3"/>
  <c r="E127" i="3"/>
  <c r="C127" i="3"/>
  <c r="B127" i="3"/>
  <c r="BB126" i="3"/>
  <c r="BA126" i="3"/>
  <c r="AB126" i="3"/>
  <c r="AA126" i="3"/>
  <c r="Z126" i="3"/>
  <c r="X126" i="3"/>
  <c r="U126" i="3"/>
  <c r="S126" i="3"/>
  <c r="P126" i="3"/>
  <c r="J126" i="3"/>
  <c r="I126" i="3"/>
  <c r="H126" i="3"/>
  <c r="G126" i="3"/>
  <c r="E126" i="3"/>
  <c r="C126" i="3"/>
  <c r="B126" i="3"/>
  <c r="AJ125" i="3"/>
  <c r="W125" i="3" s="1"/>
  <c r="AB125" i="3"/>
  <c r="AA125" i="3"/>
  <c r="Z125" i="3"/>
  <c r="P125" i="3"/>
  <c r="J125" i="3"/>
  <c r="I125" i="3"/>
  <c r="H125" i="3"/>
  <c r="G125" i="3"/>
  <c r="E125" i="3"/>
  <c r="C125" i="3"/>
  <c r="B125" i="3"/>
  <c r="BB124" i="3"/>
  <c r="BA124" i="3"/>
  <c r="AB124" i="3"/>
  <c r="AA124" i="3"/>
  <c r="Z124" i="3"/>
  <c r="P124" i="3"/>
  <c r="J124" i="3"/>
  <c r="I124" i="3"/>
  <c r="H124" i="3"/>
  <c r="G124" i="3"/>
  <c r="E124" i="3"/>
  <c r="C124" i="3"/>
  <c r="B124" i="3"/>
  <c r="BB123" i="3"/>
  <c r="BA123" i="3"/>
  <c r="AB123" i="3"/>
  <c r="AA123" i="3"/>
  <c r="Z123" i="3"/>
  <c r="P123" i="3"/>
  <c r="J123" i="3"/>
  <c r="I123" i="3"/>
  <c r="H123" i="3"/>
  <c r="G123" i="3"/>
  <c r="E123" i="3"/>
  <c r="C123" i="3"/>
  <c r="B123" i="3"/>
  <c r="AB122" i="3"/>
  <c r="AA122" i="3"/>
  <c r="Z122" i="3"/>
  <c r="P122" i="3"/>
  <c r="J122" i="3"/>
  <c r="I122" i="3"/>
  <c r="H122" i="3"/>
  <c r="G122" i="3"/>
  <c r="E122" i="3"/>
  <c r="C122" i="3"/>
  <c r="B122" i="3"/>
  <c r="BB121" i="3"/>
  <c r="BA121" i="3"/>
  <c r="AK121" i="3"/>
  <c r="T121" i="3" s="1"/>
  <c r="AJ121" i="3"/>
  <c r="W121" i="3" s="1"/>
  <c r="AB121" i="3"/>
  <c r="AA121" i="3"/>
  <c r="Z121" i="3"/>
  <c r="P121" i="3"/>
  <c r="J121" i="3"/>
  <c r="I121" i="3"/>
  <c r="H121" i="3"/>
  <c r="G121" i="3"/>
  <c r="E121" i="3"/>
  <c r="C121" i="3"/>
  <c r="B121" i="3"/>
  <c r="BB120" i="3"/>
  <c r="BA120" i="3"/>
  <c r="AA120" i="3"/>
  <c r="Z120" i="3"/>
  <c r="P120" i="3"/>
  <c r="J120" i="3"/>
  <c r="I120" i="3"/>
  <c r="H120" i="3"/>
  <c r="G120" i="3"/>
  <c r="E120" i="3"/>
  <c r="C120" i="3"/>
  <c r="B120" i="3"/>
  <c r="BB119" i="3"/>
  <c r="BA119" i="3"/>
  <c r="AB119" i="3"/>
  <c r="AA119" i="3"/>
  <c r="Z119" i="3"/>
  <c r="U119" i="3"/>
  <c r="P119" i="3"/>
  <c r="J119" i="3"/>
  <c r="I119" i="3"/>
  <c r="H119" i="3"/>
  <c r="G119" i="3"/>
  <c r="E119" i="3"/>
  <c r="C119" i="3"/>
  <c r="B119" i="3"/>
  <c r="BB118" i="3"/>
  <c r="AD118" i="3"/>
  <c r="K118" i="3" s="1"/>
  <c r="AB118" i="3"/>
  <c r="AA118" i="3"/>
  <c r="Z118" i="3"/>
  <c r="P118" i="3"/>
  <c r="J118" i="3"/>
  <c r="I118" i="3"/>
  <c r="H118" i="3"/>
  <c r="G118" i="3"/>
  <c r="E118" i="3"/>
  <c r="C118" i="3"/>
  <c r="B118" i="3"/>
  <c r="AO117" i="3"/>
  <c r="X117" i="3" s="1"/>
  <c r="AL117" i="3"/>
  <c r="S117" i="3" s="1"/>
  <c r="AK117" i="3"/>
  <c r="T117" i="3" s="1"/>
  <c r="AJ117" i="3"/>
  <c r="W117" i="3" s="1"/>
  <c r="AI117" i="3"/>
  <c r="U117" i="3" s="1"/>
  <c r="AB117" i="3"/>
  <c r="AA117" i="3"/>
  <c r="Z117" i="3"/>
  <c r="P117" i="3"/>
  <c r="J117" i="3"/>
  <c r="I117" i="3"/>
  <c r="H117" i="3"/>
  <c r="G117" i="3"/>
  <c r="E117" i="3"/>
  <c r="C117" i="3"/>
  <c r="B117" i="3"/>
  <c r="BB116" i="3"/>
  <c r="BA116" i="3"/>
  <c r="AH116" i="3"/>
  <c r="O116" i="3" s="1"/>
  <c r="AD116" i="3"/>
  <c r="K116" i="3" s="1"/>
  <c r="AB116" i="3"/>
  <c r="AA116" i="3"/>
  <c r="Z116" i="3"/>
  <c r="P116" i="3"/>
  <c r="J116" i="3"/>
  <c r="I116" i="3"/>
  <c r="H116" i="3"/>
  <c r="G116" i="3"/>
  <c r="E116" i="3"/>
  <c r="C116" i="3"/>
  <c r="B116" i="3"/>
  <c r="BB115" i="3"/>
  <c r="BA115" i="3"/>
  <c r="AM115" i="3"/>
  <c r="Q115" i="3" s="1"/>
  <c r="AL115" i="3"/>
  <c r="S115" i="3" s="1"/>
  <c r="AB115" i="3"/>
  <c r="AA115" i="3"/>
  <c r="Z115" i="3"/>
  <c r="X115" i="3"/>
  <c r="P115" i="3"/>
  <c r="J115" i="3"/>
  <c r="I115" i="3"/>
  <c r="H115" i="3"/>
  <c r="G115" i="3"/>
  <c r="E115" i="3"/>
  <c r="C115" i="3"/>
  <c r="B115" i="3"/>
  <c r="BB114" i="3"/>
  <c r="BA114" i="3"/>
  <c r="AF114" i="3"/>
  <c r="AB114" i="3"/>
  <c r="AA114" i="3"/>
  <c r="Z114" i="3"/>
  <c r="P114" i="3"/>
  <c r="M114" i="3"/>
  <c r="L114" i="3"/>
  <c r="J114" i="3"/>
  <c r="I114" i="3"/>
  <c r="H114" i="3"/>
  <c r="G114" i="3"/>
  <c r="E114" i="3"/>
  <c r="C114" i="3"/>
  <c r="B114" i="3"/>
  <c r="AB113" i="3"/>
  <c r="AA113" i="3"/>
  <c r="Z113" i="3"/>
  <c r="P113" i="3"/>
  <c r="J113" i="3"/>
  <c r="I113" i="3"/>
  <c r="H113" i="3"/>
  <c r="G113" i="3"/>
  <c r="E113" i="3"/>
  <c r="C113" i="3"/>
  <c r="B113" i="3"/>
  <c r="AI112" i="3"/>
  <c r="U112" i="3" s="1"/>
  <c r="AB112" i="3"/>
  <c r="AA112" i="3"/>
  <c r="Z112" i="3"/>
  <c r="P112" i="3"/>
  <c r="J112" i="3"/>
  <c r="I112" i="3"/>
  <c r="H112" i="3"/>
  <c r="G112" i="3"/>
  <c r="E112" i="3"/>
  <c r="C112" i="3"/>
  <c r="B112" i="3"/>
  <c r="BB111" i="3"/>
  <c r="BA111" i="3"/>
  <c r="AF111" i="3"/>
  <c r="M111" i="3" s="1"/>
  <c r="AE111" i="3"/>
  <c r="L111" i="3" s="1"/>
  <c r="AB111" i="3"/>
  <c r="AA111" i="3"/>
  <c r="Z111" i="3"/>
  <c r="P111" i="3"/>
  <c r="J111" i="3"/>
  <c r="I111" i="3"/>
  <c r="H111" i="3"/>
  <c r="G111" i="3"/>
  <c r="E111" i="3"/>
  <c r="C111" i="3"/>
  <c r="B111" i="3"/>
  <c r="BB110" i="3"/>
  <c r="BA110" i="3"/>
  <c r="AB110" i="3"/>
  <c r="AA110" i="3"/>
  <c r="Z110" i="3"/>
  <c r="P110" i="3"/>
  <c r="J110" i="3"/>
  <c r="I110" i="3"/>
  <c r="H110" i="3"/>
  <c r="G110" i="3"/>
  <c r="E110" i="3"/>
  <c r="C110" i="3"/>
  <c r="B110" i="3"/>
  <c r="BB109" i="3"/>
  <c r="BA109" i="3"/>
  <c r="AB109" i="3"/>
  <c r="AA109" i="3"/>
  <c r="Z109" i="3"/>
  <c r="P109" i="3"/>
  <c r="J109" i="3"/>
  <c r="I109" i="3"/>
  <c r="H109" i="3"/>
  <c r="G109" i="3"/>
  <c r="E109" i="3"/>
  <c r="C109" i="3"/>
  <c r="B109" i="3"/>
  <c r="AE108" i="3"/>
  <c r="L108" i="3" s="1"/>
  <c r="AB108" i="3"/>
  <c r="AA108" i="3"/>
  <c r="Z108" i="3"/>
  <c r="P108" i="3"/>
  <c r="J108" i="3"/>
  <c r="I108" i="3"/>
  <c r="H108" i="3"/>
  <c r="G108" i="3"/>
  <c r="E108" i="3"/>
  <c r="C108" i="3"/>
  <c r="B108" i="3"/>
  <c r="BB107" i="3"/>
  <c r="BA107" i="3"/>
  <c r="AF107" i="3"/>
  <c r="M107" i="3" s="1"/>
  <c r="AB107" i="3"/>
  <c r="AA107" i="3"/>
  <c r="Z107" i="3"/>
  <c r="Q107" i="3"/>
  <c r="P107" i="3"/>
  <c r="J107" i="3"/>
  <c r="I107" i="3"/>
  <c r="H107" i="3"/>
  <c r="G107" i="3"/>
  <c r="E107" i="3"/>
  <c r="C107" i="3"/>
  <c r="B107" i="3"/>
  <c r="BB106" i="3"/>
  <c r="BA106" i="3"/>
  <c r="AB106" i="3"/>
  <c r="AA106" i="3"/>
  <c r="Z106" i="3"/>
  <c r="P106" i="3"/>
  <c r="J106" i="3"/>
  <c r="I106" i="3"/>
  <c r="H106" i="3"/>
  <c r="G106" i="3"/>
  <c r="E106" i="3"/>
  <c r="C106" i="3"/>
  <c r="B106" i="3"/>
  <c r="BB105" i="3"/>
  <c r="BA105" i="3"/>
  <c r="AM105" i="3"/>
  <c r="Q105" i="3" s="1"/>
  <c r="AL105" i="3"/>
  <c r="S105" i="3" s="1"/>
  <c r="AJ105" i="3"/>
  <c r="W105" i="3" s="1"/>
  <c r="AB105" i="3"/>
  <c r="AA105" i="3"/>
  <c r="Z105" i="3"/>
  <c r="P105" i="3"/>
  <c r="J105" i="3"/>
  <c r="I105" i="3"/>
  <c r="H105" i="3"/>
  <c r="G105" i="3"/>
  <c r="E105" i="3"/>
  <c r="C105" i="3"/>
  <c r="B105" i="3"/>
  <c r="BB104" i="3"/>
  <c r="BA104" i="3"/>
  <c r="AB104" i="3"/>
  <c r="AA104" i="3"/>
  <c r="Z104" i="3"/>
  <c r="P104" i="3"/>
  <c r="J104" i="3"/>
  <c r="I104" i="3"/>
  <c r="H104" i="3"/>
  <c r="G104" i="3"/>
  <c r="E104" i="3"/>
  <c r="C104" i="3"/>
  <c r="B104" i="3"/>
  <c r="BB103" i="3"/>
  <c r="BA103" i="3"/>
  <c r="AB103" i="3"/>
  <c r="AA103" i="3"/>
  <c r="Z103" i="3"/>
  <c r="P103" i="3"/>
  <c r="J103" i="3"/>
  <c r="I103" i="3"/>
  <c r="H103" i="3"/>
  <c r="G103" i="3"/>
  <c r="E103" i="3"/>
  <c r="C103" i="3"/>
  <c r="B103" i="3"/>
  <c r="BB102" i="3"/>
  <c r="BA102" i="3"/>
  <c r="AE102" i="3"/>
  <c r="L102" i="3" s="1"/>
  <c r="AB102" i="3"/>
  <c r="AA102" i="3"/>
  <c r="Z102" i="3"/>
  <c r="P102" i="3"/>
  <c r="J102" i="3"/>
  <c r="I102" i="3"/>
  <c r="H102" i="3"/>
  <c r="G102" i="3"/>
  <c r="E102" i="3"/>
  <c r="C102" i="3"/>
  <c r="B102" i="3"/>
  <c r="BB101" i="3"/>
  <c r="BA101" i="3"/>
  <c r="AK101" i="3"/>
  <c r="T101" i="3" s="1"/>
  <c r="AB101" i="3"/>
  <c r="AA101" i="3"/>
  <c r="Z101" i="3"/>
  <c r="P101" i="3"/>
  <c r="J101" i="3"/>
  <c r="I101" i="3"/>
  <c r="H101" i="3"/>
  <c r="G101" i="3"/>
  <c r="E101" i="3"/>
  <c r="C101" i="3"/>
  <c r="B101" i="3"/>
  <c r="BB100" i="3"/>
  <c r="BA100" i="3"/>
  <c r="AB100" i="3"/>
  <c r="AA100" i="3"/>
  <c r="Z100" i="3"/>
  <c r="Q100" i="3"/>
  <c r="P100" i="3"/>
  <c r="O100" i="3"/>
  <c r="L100" i="3"/>
  <c r="J100" i="3"/>
  <c r="I100" i="3"/>
  <c r="H100" i="3"/>
  <c r="G100" i="3"/>
  <c r="E100" i="3"/>
  <c r="C100" i="3"/>
  <c r="B100" i="3"/>
  <c r="AB99" i="3"/>
  <c r="AA99" i="3"/>
  <c r="Z99" i="3"/>
  <c r="R99" i="3"/>
  <c r="Q99" i="3"/>
  <c r="P99" i="3"/>
  <c r="J99" i="3"/>
  <c r="I99" i="3"/>
  <c r="H99" i="3"/>
  <c r="G99" i="3"/>
  <c r="E99" i="3"/>
  <c r="C99" i="3"/>
  <c r="B99" i="3"/>
  <c r="BB98" i="3"/>
  <c r="BA98" i="3"/>
  <c r="AB98" i="3"/>
  <c r="AA98" i="3"/>
  <c r="Z98" i="3"/>
  <c r="X98" i="3"/>
  <c r="Q98" i="3"/>
  <c r="P98" i="3"/>
  <c r="J98" i="3"/>
  <c r="I98" i="3"/>
  <c r="H98" i="3"/>
  <c r="G98" i="3"/>
  <c r="E98" i="3"/>
  <c r="C98" i="3"/>
  <c r="B98" i="3"/>
  <c r="BB97" i="3"/>
  <c r="BA97" i="3"/>
  <c r="AM97" i="3"/>
  <c r="AB97" i="3"/>
  <c r="AA97" i="3"/>
  <c r="Z97" i="3"/>
  <c r="S97" i="3"/>
  <c r="Q97" i="3"/>
  <c r="P97" i="3"/>
  <c r="J97" i="3"/>
  <c r="I97" i="3"/>
  <c r="H97" i="3"/>
  <c r="G97" i="3"/>
  <c r="E97" i="3"/>
  <c r="C97" i="3"/>
  <c r="B97" i="3"/>
  <c r="BB96" i="3"/>
  <c r="BA96" i="3"/>
  <c r="AM96" i="3"/>
  <c r="Q96" i="3" s="1"/>
  <c r="AI96" i="3"/>
  <c r="U96" i="3" s="1"/>
  <c r="AB96" i="3"/>
  <c r="AA96" i="3"/>
  <c r="Z96" i="3"/>
  <c r="P96" i="3"/>
  <c r="J96" i="3"/>
  <c r="I96" i="3"/>
  <c r="H96" i="3"/>
  <c r="G96" i="3"/>
  <c r="E96" i="3"/>
  <c r="C96" i="3"/>
  <c r="B96" i="3"/>
  <c r="AK95" i="3"/>
  <c r="T95" i="3" s="1"/>
  <c r="AB95" i="3"/>
  <c r="AA95" i="3"/>
  <c r="Z95" i="3"/>
  <c r="P95" i="3"/>
  <c r="N95" i="3"/>
  <c r="J95" i="3"/>
  <c r="I95" i="3"/>
  <c r="H95" i="3"/>
  <c r="G95" i="3"/>
  <c r="E95" i="3"/>
  <c r="C95" i="3"/>
  <c r="B95" i="3"/>
  <c r="BB94" i="3"/>
  <c r="BA94" i="3"/>
  <c r="AB94" i="3"/>
  <c r="AA94" i="3"/>
  <c r="Z94" i="3"/>
  <c r="P94" i="3"/>
  <c r="J94" i="3"/>
  <c r="I94" i="3"/>
  <c r="H94" i="3"/>
  <c r="G94" i="3"/>
  <c r="E94" i="3"/>
  <c r="C94" i="3"/>
  <c r="B94" i="3"/>
  <c r="AM93" i="3"/>
  <c r="Q93" i="3" s="1"/>
  <c r="AL93" i="3"/>
  <c r="S93" i="3" s="1"/>
  <c r="AK93" i="3"/>
  <c r="AJ93" i="3"/>
  <c r="W93" i="3" s="1"/>
  <c r="AI93" i="3"/>
  <c r="U93" i="3" s="1"/>
  <c r="AB93" i="3"/>
  <c r="AA93" i="3"/>
  <c r="Z93" i="3"/>
  <c r="T93" i="3"/>
  <c r="P93" i="3"/>
  <c r="L93" i="3"/>
  <c r="J93" i="3"/>
  <c r="I93" i="3"/>
  <c r="H93" i="3"/>
  <c r="G93" i="3"/>
  <c r="E93" i="3"/>
  <c r="C93" i="3"/>
  <c r="B93" i="3"/>
  <c r="BB92" i="3"/>
  <c r="BA92" i="3"/>
  <c r="AL92" i="3"/>
  <c r="S92" i="3" s="1"/>
  <c r="AF92" i="3"/>
  <c r="M92" i="3" s="1"/>
  <c r="AB92" i="3"/>
  <c r="AA92" i="3"/>
  <c r="Z92" i="3"/>
  <c r="P92" i="3"/>
  <c r="N92" i="3"/>
  <c r="L92" i="3"/>
  <c r="K92" i="3"/>
  <c r="J92" i="3"/>
  <c r="I92" i="3"/>
  <c r="H92" i="3"/>
  <c r="G92" i="3"/>
  <c r="E92" i="3"/>
  <c r="C92" i="3"/>
  <c r="B92" i="3"/>
  <c r="BB91" i="3"/>
  <c r="BA91" i="3"/>
  <c r="AB91" i="3"/>
  <c r="AA91" i="3"/>
  <c r="Z91" i="3"/>
  <c r="P91" i="3"/>
  <c r="J91" i="3"/>
  <c r="I91" i="3"/>
  <c r="H91" i="3"/>
  <c r="E91" i="3"/>
  <c r="C91" i="3"/>
  <c r="B91" i="3"/>
  <c r="AE90" i="3"/>
  <c r="L90" i="3" s="1"/>
  <c r="AB90" i="3"/>
  <c r="AA90" i="3"/>
  <c r="Z90" i="3"/>
  <c r="P90" i="3"/>
  <c r="J90" i="3"/>
  <c r="I90" i="3"/>
  <c r="H90" i="3"/>
  <c r="G90" i="3"/>
  <c r="E90" i="3"/>
  <c r="C90" i="3"/>
  <c r="B90" i="3"/>
  <c r="BB89" i="3"/>
  <c r="BA89" i="3"/>
  <c r="AN89" i="3"/>
  <c r="R89" i="3" s="1"/>
  <c r="AB89" i="3"/>
  <c r="AA89" i="3"/>
  <c r="Z89" i="3"/>
  <c r="U89" i="3"/>
  <c r="J89" i="3"/>
  <c r="I89" i="3"/>
  <c r="H89" i="3"/>
  <c r="G89" i="3"/>
  <c r="E89" i="3"/>
  <c r="C89" i="3"/>
  <c r="B89" i="3"/>
  <c r="AB88" i="3"/>
  <c r="AA88" i="3"/>
  <c r="Z88" i="3"/>
  <c r="P88" i="3"/>
  <c r="J88" i="3"/>
  <c r="I88" i="3"/>
  <c r="H88" i="3"/>
  <c r="G88" i="3"/>
  <c r="E88" i="3"/>
  <c r="C88" i="3"/>
  <c r="B88" i="3"/>
  <c r="BB87" i="3"/>
  <c r="BA87" i="3"/>
  <c r="AK87" i="3"/>
  <c r="T87" i="3" s="1"/>
  <c r="AB87" i="3"/>
  <c r="AA87" i="3"/>
  <c r="Z87" i="3"/>
  <c r="P87" i="3"/>
  <c r="J87" i="3"/>
  <c r="I87" i="3"/>
  <c r="H87" i="3"/>
  <c r="G87" i="3"/>
  <c r="E87" i="3"/>
  <c r="C87" i="3"/>
  <c r="B87" i="3"/>
  <c r="AI86" i="3"/>
  <c r="U86" i="3" s="1"/>
  <c r="AB86" i="3"/>
  <c r="AA86" i="3"/>
  <c r="Z86" i="3"/>
  <c r="P86" i="3"/>
  <c r="J86" i="3"/>
  <c r="I86" i="3"/>
  <c r="H86" i="3"/>
  <c r="G86" i="3"/>
  <c r="E86" i="3"/>
  <c r="C86" i="3"/>
  <c r="B86" i="3"/>
  <c r="BB85" i="3"/>
  <c r="BA85" i="3"/>
  <c r="AJ85" i="3"/>
  <c r="AH85" i="3"/>
  <c r="O85" i="3" s="1"/>
  <c r="AG85" i="3"/>
  <c r="N85" i="3" s="1"/>
  <c r="AB85" i="3"/>
  <c r="AA85" i="3"/>
  <c r="Z85" i="3"/>
  <c r="X85" i="3"/>
  <c r="W85" i="3"/>
  <c r="P85" i="3"/>
  <c r="J85" i="3"/>
  <c r="I85" i="3"/>
  <c r="H85" i="3"/>
  <c r="G85" i="3"/>
  <c r="E85" i="3"/>
  <c r="C85" i="3"/>
  <c r="B85" i="3"/>
  <c r="BB84" i="3"/>
  <c r="BA84" i="3"/>
  <c r="AB84" i="3"/>
  <c r="AA84" i="3"/>
  <c r="Z84" i="3"/>
  <c r="P84" i="3"/>
  <c r="J84" i="3"/>
  <c r="I84" i="3"/>
  <c r="H84" i="3"/>
  <c r="G84" i="3"/>
  <c r="E84" i="3"/>
  <c r="C84" i="3"/>
  <c r="B84" i="3"/>
  <c r="AB83" i="3"/>
  <c r="AA83" i="3"/>
  <c r="Z83" i="3"/>
  <c r="S83" i="3"/>
  <c r="P83" i="3"/>
  <c r="J83" i="3"/>
  <c r="I83" i="3"/>
  <c r="H83" i="3"/>
  <c r="G83" i="3"/>
  <c r="E83" i="3"/>
  <c r="B83" i="3"/>
  <c r="BB82" i="3"/>
  <c r="BA82" i="3"/>
  <c r="AK82" i="3"/>
  <c r="AB82" i="3"/>
  <c r="AA82" i="3"/>
  <c r="Z82" i="3"/>
  <c r="T82" i="3"/>
  <c r="P82" i="3"/>
  <c r="J82" i="3"/>
  <c r="I82" i="3"/>
  <c r="H82" i="3"/>
  <c r="G82" i="3"/>
  <c r="E82" i="3"/>
  <c r="C82" i="3"/>
  <c r="B82" i="3"/>
  <c r="BB81" i="3"/>
  <c r="BA81" i="3"/>
  <c r="AM81" i="3"/>
  <c r="Q81" i="3" s="1"/>
  <c r="AB81" i="3"/>
  <c r="AA81" i="3"/>
  <c r="Z81" i="3"/>
  <c r="P81" i="3"/>
  <c r="J81" i="3"/>
  <c r="I81" i="3"/>
  <c r="H81" i="3"/>
  <c r="G81" i="3"/>
  <c r="E81" i="3"/>
  <c r="C81" i="3"/>
  <c r="B81" i="3"/>
  <c r="BF80" i="3"/>
  <c r="AL80" i="3"/>
  <c r="S80" i="3" s="1"/>
  <c r="AJ80" i="3"/>
  <c r="W80" i="3" s="1"/>
  <c r="AG80" i="3"/>
  <c r="N80" i="3" s="1"/>
  <c r="AB80" i="3"/>
  <c r="AA80" i="3"/>
  <c r="Z80" i="3"/>
  <c r="P80" i="3"/>
  <c r="J80" i="3"/>
  <c r="I80" i="3"/>
  <c r="H80" i="3"/>
  <c r="G80" i="3"/>
  <c r="E80" i="3"/>
  <c r="C80" i="3"/>
  <c r="B80" i="3"/>
  <c r="BB79" i="3"/>
  <c r="BA79" i="3"/>
  <c r="AB79" i="3"/>
  <c r="AA79" i="3"/>
  <c r="Z79" i="3"/>
  <c r="P79" i="3"/>
  <c r="J79" i="3"/>
  <c r="I79" i="3"/>
  <c r="H79" i="3"/>
  <c r="G79" i="3"/>
  <c r="E79" i="3"/>
  <c r="C79" i="3"/>
  <c r="BB78" i="3"/>
  <c r="BA78" i="3"/>
  <c r="AL78" i="3"/>
  <c r="AB78" i="3"/>
  <c r="AA78" i="3"/>
  <c r="Z78" i="3"/>
  <c r="S78" i="3"/>
  <c r="P78" i="3"/>
  <c r="J78" i="3"/>
  <c r="I78" i="3"/>
  <c r="H78" i="3"/>
  <c r="G78" i="3"/>
  <c r="E78" i="3"/>
  <c r="C78" i="3"/>
  <c r="B78" i="3"/>
  <c r="BB77" i="3"/>
  <c r="BA77" i="3"/>
  <c r="AB77" i="3"/>
  <c r="AA77" i="3"/>
  <c r="Z77" i="3"/>
  <c r="R77" i="3"/>
  <c r="Q77" i="3"/>
  <c r="P77" i="3"/>
  <c r="J77" i="3"/>
  <c r="I77" i="3"/>
  <c r="H77" i="3"/>
  <c r="G77" i="3"/>
  <c r="E77" i="3"/>
  <c r="C77" i="3"/>
  <c r="B77" i="3"/>
  <c r="BB76" i="3"/>
  <c r="BA76" i="3"/>
  <c r="AB76" i="3"/>
  <c r="AA76" i="3"/>
  <c r="Z76" i="3"/>
  <c r="P76" i="3"/>
  <c r="J76" i="3"/>
  <c r="I76" i="3"/>
  <c r="H76" i="3"/>
  <c r="G76" i="3"/>
  <c r="E76" i="3"/>
  <c r="C76" i="3"/>
  <c r="B76" i="3"/>
  <c r="BB75" i="3"/>
  <c r="BA75" i="3"/>
  <c r="AI75" i="3"/>
  <c r="U75" i="3" s="1"/>
  <c r="AF75" i="3"/>
  <c r="M75" i="3" s="1"/>
  <c r="AE75" i="3"/>
  <c r="L75" i="3" s="1"/>
  <c r="AB75" i="3"/>
  <c r="AA75" i="3"/>
  <c r="Z75" i="3"/>
  <c r="R75" i="3"/>
  <c r="P75" i="3"/>
  <c r="K75" i="3"/>
  <c r="J75" i="3"/>
  <c r="I75" i="3"/>
  <c r="H75" i="3"/>
  <c r="G75" i="3"/>
  <c r="E75" i="3"/>
  <c r="C75" i="3"/>
  <c r="B75" i="3"/>
  <c r="BB74" i="3"/>
  <c r="BA74" i="3"/>
  <c r="AB74" i="3"/>
  <c r="AA74" i="3"/>
  <c r="Z74" i="3"/>
  <c r="P74" i="3"/>
  <c r="J74" i="3"/>
  <c r="I74" i="3"/>
  <c r="H74" i="3"/>
  <c r="G74" i="3"/>
  <c r="E74" i="3"/>
  <c r="C74" i="3"/>
  <c r="B74" i="3"/>
  <c r="BB73" i="3"/>
  <c r="BA73" i="3"/>
  <c r="AB73" i="3"/>
  <c r="AA73" i="3"/>
  <c r="Z73" i="3"/>
  <c r="P73" i="3"/>
  <c r="J73" i="3"/>
  <c r="I73" i="3"/>
  <c r="H73" i="3"/>
  <c r="G73" i="3"/>
  <c r="E73" i="3"/>
  <c r="C73" i="3"/>
  <c r="B73" i="3"/>
  <c r="AO72" i="3"/>
  <c r="X72" i="3" s="1"/>
  <c r="AM72" i="3"/>
  <c r="Q72" i="3" s="1"/>
  <c r="AG72" i="3"/>
  <c r="N72" i="3" s="1"/>
  <c r="AB72" i="3"/>
  <c r="AA72" i="3"/>
  <c r="Z72" i="3"/>
  <c r="P72" i="3"/>
  <c r="O72" i="3"/>
  <c r="J72" i="3"/>
  <c r="I72" i="3"/>
  <c r="H72" i="3"/>
  <c r="G72" i="3"/>
  <c r="E72" i="3"/>
  <c r="C72" i="3"/>
  <c r="B72" i="3"/>
  <c r="AB71" i="3"/>
  <c r="AA71" i="3"/>
  <c r="Z71" i="3"/>
  <c r="P71" i="3"/>
  <c r="J71" i="3"/>
  <c r="I71" i="3"/>
  <c r="H71" i="3"/>
  <c r="G71" i="3"/>
  <c r="E71" i="3"/>
  <c r="C71" i="3"/>
  <c r="B71" i="3"/>
  <c r="AO70" i="3"/>
  <c r="X70" i="3" s="1"/>
  <c r="AM70" i="3"/>
  <c r="Q70" i="3" s="1"/>
  <c r="AL70" i="3"/>
  <c r="S70" i="3" s="1"/>
  <c r="AI70" i="3"/>
  <c r="U70" i="3" s="1"/>
  <c r="AE70" i="3"/>
  <c r="L70" i="3" s="1"/>
  <c r="AD70" i="3"/>
  <c r="K70" i="3" s="1"/>
  <c r="AB70" i="3"/>
  <c r="AA70" i="3"/>
  <c r="Z70" i="3"/>
  <c r="P70" i="3"/>
  <c r="J70" i="3"/>
  <c r="I70" i="3"/>
  <c r="H70" i="3"/>
  <c r="G70" i="3"/>
  <c r="E70" i="3"/>
  <c r="C70" i="3"/>
  <c r="B70" i="3"/>
  <c r="AG69" i="3"/>
  <c r="AF69" i="3"/>
  <c r="M69" i="3" s="1"/>
  <c r="AE69" i="3"/>
  <c r="L69" i="3" s="1"/>
  <c r="AD69" i="3"/>
  <c r="K69" i="3" s="1"/>
  <c r="AB69" i="3"/>
  <c r="AA69" i="3"/>
  <c r="Z69" i="3"/>
  <c r="P69" i="3"/>
  <c r="N69" i="3"/>
  <c r="J69" i="3"/>
  <c r="I69" i="3"/>
  <c r="H69" i="3"/>
  <c r="G69" i="3"/>
  <c r="E69" i="3"/>
  <c r="C69" i="3"/>
  <c r="B69" i="3"/>
  <c r="AM68" i="3"/>
  <c r="Q68" i="3" s="1"/>
  <c r="AH68" i="3"/>
  <c r="AG68" i="3"/>
  <c r="N68" i="3" s="1"/>
  <c r="AF68" i="3"/>
  <c r="M68" i="3" s="1"/>
  <c r="AD68" i="3"/>
  <c r="AB68" i="3"/>
  <c r="AA68" i="3"/>
  <c r="Z68" i="3"/>
  <c r="P68" i="3"/>
  <c r="O68" i="3"/>
  <c r="K68" i="3"/>
  <c r="J68" i="3"/>
  <c r="I68" i="3"/>
  <c r="H68" i="3"/>
  <c r="G68" i="3"/>
  <c r="E68" i="3"/>
  <c r="C68" i="3"/>
  <c r="B68" i="3"/>
  <c r="BB67" i="3"/>
  <c r="BA67" i="3"/>
  <c r="AD67" i="3"/>
  <c r="K67" i="3" s="1"/>
  <c r="AB67" i="3"/>
  <c r="AA67" i="3"/>
  <c r="Z67" i="3"/>
  <c r="P67" i="3"/>
  <c r="O67" i="3"/>
  <c r="N67" i="3"/>
  <c r="J67" i="3"/>
  <c r="I67" i="3"/>
  <c r="H67" i="3"/>
  <c r="G67" i="3"/>
  <c r="E67" i="3"/>
  <c r="C67" i="3"/>
  <c r="B67" i="3"/>
  <c r="BB66" i="3"/>
  <c r="BA66" i="3"/>
  <c r="AB66" i="3"/>
  <c r="AA66" i="3"/>
  <c r="Z66" i="3"/>
  <c r="P66" i="3"/>
  <c r="N66" i="3"/>
  <c r="K66" i="3"/>
  <c r="J66" i="3"/>
  <c r="I66" i="3"/>
  <c r="H66" i="3"/>
  <c r="G66" i="3"/>
  <c r="E66" i="3"/>
  <c r="C66" i="3"/>
  <c r="B66" i="3"/>
  <c r="AB65" i="3"/>
  <c r="AA65" i="3"/>
  <c r="Z65" i="3"/>
  <c r="P65" i="3"/>
  <c r="J65" i="3"/>
  <c r="I65" i="3"/>
  <c r="H65" i="3"/>
  <c r="G65" i="3"/>
  <c r="E65" i="3"/>
  <c r="C65" i="3"/>
  <c r="B65" i="3"/>
  <c r="BB64" i="3"/>
  <c r="BA64" i="3"/>
  <c r="AN64" i="3"/>
  <c r="R64" i="3" s="1"/>
  <c r="AM64" i="3"/>
  <c r="Q64" i="3" s="1"/>
  <c r="AG64" i="3"/>
  <c r="N64" i="3" s="1"/>
  <c r="AF64" i="3"/>
  <c r="M64" i="3" s="1"/>
  <c r="AE64" i="3"/>
  <c r="L64" i="3" s="1"/>
  <c r="AD64" i="3"/>
  <c r="K64" i="3" s="1"/>
  <c r="AB64" i="3"/>
  <c r="AA64" i="3"/>
  <c r="Z64" i="3"/>
  <c r="P64" i="3"/>
  <c r="J64" i="3"/>
  <c r="I64" i="3"/>
  <c r="H64" i="3"/>
  <c r="G64" i="3"/>
  <c r="E64" i="3"/>
  <c r="C64" i="3"/>
  <c r="B64" i="3"/>
  <c r="BB63" i="3"/>
  <c r="BA63" i="3"/>
  <c r="AG63" i="3"/>
  <c r="AF63" i="3"/>
  <c r="M63" i="3" s="1"/>
  <c r="AB63" i="3"/>
  <c r="AA63" i="3"/>
  <c r="Z63" i="3"/>
  <c r="X63" i="3"/>
  <c r="W63" i="3"/>
  <c r="U63" i="3"/>
  <c r="Q63" i="3"/>
  <c r="P63" i="3"/>
  <c r="O63" i="3"/>
  <c r="N63" i="3"/>
  <c r="L63" i="3"/>
  <c r="J63" i="3"/>
  <c r="I63" i="3"/>
  <c r="H63" i="3"/>
  <c r="G63" i="3"/>
  <c r="E63" i="3"/>
  <c r="C63" i="3"/>
  <c r="B63" i="3"/>
  <c r="AB62" i="3"/>
  <c r="AA62" i="3"/>
  <c r="Z62" i="3"/>
  <c r="P62" i="3"/>
  <c r="J62" i="3"/>
  <c r="I62" i="3"/>
  <c r="H62" i="3"/>
  <c r="G62" i="3"/>
  <c r="E62" i="3"/>
  <c r="C62" i="3"/>
  <c r="B62" i="3"/>
  <c r="AB61" i="3"/>
  <c r="AA61" i="3"/>
  <c r="Z61" i="3"/>
  <c r="P61" i="3"/>
  <c r="O61" i="3"/>
  <c r="L61" i="3"/>
  <c r="J61" i="3"/>
  <c r="I61" i="3"/>
  <c r="H61" i="3"/>
  <c r="G61" i="3"/>
  <c r="E61" i="3"/>
  <c r="C61" i="3"/>
  <c r="B61" i="3"/>
  <c r="BB60" i="3"/>
  <c r="BA60" i="3"/>
  <c r="AB60" i="3"/>
  <c r="AA60" i="3"/>
  <c r="Z60" i="3"/>
  <c r="P60" i="3"/>
  <c r="J60" i="3"/>
  <c r="I60" i="3"/>
  <c r="H60" i="3"/>
  <c r="G60" i="3"/>
  <c r="E60" i="3"/>
  <c r="C60" i="3"/>
  <c r="B60" i="3"/>
  <c r="AL59" i="3"/>
  <c r="S59" i="3" s="1"/>
  <c r="AJ59" i="3"/>
  <c r="W59" i="3" s="1"/>
  <c r="AI59" i="3"/>
  <c r="U59" i="3" s="1"/>
  <c r="AH59" i="3"/>
  <c r="O59" i="3" s="1"/>
  <c r="AG59" i="3"/>
  <c r="N59" i="3" s="1"/>
  <c r="AF59" i="3"/>
  <c r="AB59" i="3"/>
  <c r="AA59" i="3"/>
  <c r="Z59" i="3"/>
  <c r="P59" i="3"/>
  <c r="J59" i="3"/>
  <c r="I59" i="3"/>
  <c r="AB58" i="3"/>
  <c r="AA58" i="3"/>
  <c r="Z58" i="3"/>
  <c r="P58" i="3"/>
  <c r="J58" i="3"/>
  <c r="I58" i="3"/>
  <c r="H58" i="3"/>
  <c r="G58" i="3"/>
  <c r="E58" i="3"/>
  <c r="C58" i="3"/>
  <c r="B58" i="3"/>
  <c r="BB57" i="3"/>
  <c r="BA57" i="3"/>
  <c r="AB57" i="3"/>
  <c r="AA57" i="3"/>
  <c r="Z57" i="3"/>
  <c r="Q57" i="3"/>
  <c r="P57" i="3"/>
  <c r="J57" i="3"/>
  <c r="I57" i="3"/>
  <c r="H57" i="3"/>
  <c r="G57" i="3"/>
  <c r="E57" i="3"/>
  <c r="C57" i="3"/>
  <c r="B57" i="3"/>
  <c r="BB56" i="3"/>
  <c r="BA56" i="3"/>
  <c r="AB56" i="3"/>
  <c r="AA56" i="3"/>
  <c r="Z56" i="3"/>
  <c r="P56" i="3"/>
  <c r="J56" i="3"/>
  <c r="I56" i="3"/>
  <c r="H56" i="3"/>
  <c r="G56" i="3"/>
  <c r="E56" i="3"/>
  <c r="C56" i="3"/>
  <c r="B56" i="3"/>
  <c r="BB55" i="3"/>
  <c r="BA55" i="3"/>
  <c r="AB55" i="3"/>
  <c r="AA55" i="3"/>
  <c r="Z55" i="3"/>
  <c r="P55" i="3"/>
  <c r="J55" i="3"/>
  <c r="I55" i="3"/>
  <c r="H55" i="3"/>
  <c r="G55" i="3"/>
  <c r="E55" i="3"/>
  <c r="C55" i="3"/>
  <c r="B55" i="3"/>
  <c r="BB54" i="3"/>
  <c r="BA54" i="3"/>
  <c r="AM54" i="3"/>
  <c r="Q54" i="3" s="1"/>
  <c r="AB54" i="3"/>
  <c r="AA54" i="3"/>
  <c r="Z54" i="3"/>
  <c r="P54" i="3"/>
  <c r="J54" i="3"/>
  <c r="I54" i="3"/>
  <c r="H54" i="3"/>
  <c r="G54" i="3"/>
  <c r="E54" i="3"/>
  <c r="C54" i="3"/>
  <c r="B54" i="3"/>
  <c r="AB53" i="3"/>
  <c r="AA53" i="3"/>
  <c r="Z53" i="3"/>
  <c r="P53" i="3"/>
  <c r="J53" i="3"/>
  <c r="I53" i="3"/>
  <c r="H53" i="3"/>
  <c r="G53" i="3"/>
  <c r="E53" i="3"/>
  <c r="C53" i="3"/>
  <c r="B53" i="3"/>
  <c r="BB52" i="3"/>
  <c r="BA52" i="3"/>
  <c r="AO52" i="3"/>
  <c r="X52" i="3" s="1"/>
  <c r="AB52" i="3"/>
  <c r="AA52" i="3"/>
  <c r="Z52" i="3"/>
  <c r="P52" i="3"/>
  <c r="J52" i="3"/>
  <c r="I52" i="3"/>
  <c r="H52" i="3"/>
  <c r="G52" i="3"/>
  <c r="E52" i="3"/>
  <c r="C52" i="3"/>
  <c r="B52" i="3"/>
  <c r="BB51" i="3"/>
  <c r="BA51" i="3"/>
  <c r="AH51" i="3"/>
  <c r="O51" i="3" s="1"/>
  <c r="AG51" i="3"/>
  <c r="N51" i="3" s="1"/>
  <c r="AE51" i="3"/>
  <c r="L51" i="3" s="1"/>
  <c r="AB51" i="3"/>
  <c r="AA51" i="3"/>
  <c r="Z51" i="3"/>
  <c r="P51" i="3"/>
  <c r="J51" i="3"/>
  <c r="I51" i="3"/>
  <c r="H51" i="3"/>
  <c r="G51" i="3"/>
  <c r="E51" i="3"/>
  <c r="C51" i="3"/>
  <c r="B51" i="3"/>
  <c r="BB50" i="3"/>
  <c r="BA50" i="3"/>
  <c r="AL50" i="3"/>
  <c r="AB50" i="3"/>
  <c r="AA50" i="3"/>
  <c r="Z50" i="3"/>
  <c r="S50" i="3"/>
  <c r="P50" i="3"/>
  <c r="J50" i="3"/>
  <c r="I50" i="3"/>
  <c r="H50" i="3"/>
  <c r="G50" i="3"/>
  <c r="E50" i="3"/>
  <c r="C50" i="3"/>
  <c r="B50" i="3"/>
  <c r="AM49" i="3"/>
  <c r="AJ49" i="3"/>
  <c r="W49" i="3" s="1"/>
  <c r="AB49" i="3"/>
  <c r="AA49" i="3"/>
  <c r="Z49" i="3"/>
  <c r="U49" i="3"/>
  <c r="R49" i="3"/>
  <c r="Q49" i="3"/>
  <c r="P49" i="3"/>
  <c r="J49" i="3"/>
  <c r="I49" i="3"/>
  <c r="H49" i="3"/>
  <c r="G49" i="3"/>
  <c r="E49" i="3"/>
  <c r="C49" i="3"/>
  <c r="B49" i="3"/>
  <c r="BB48" i="3"/>
  <c r="BA48" i="3"/>
  <c r="AB48" i="3"/>
  <c r="AA48" i="3"/>
  <c r="Z48" i="3"/>
  <c r="X48" i="3"/>
  <c r="W48" i="3"/>
  <c r="S48" i="3"/>
  <c r="P48" i="3"/>
  <c r="J48" i="3"/>
  <c r="I48" i="3"/>
  <c r="H48" i="3"/>
  <c r="G48" i="3"/>
  <c r="E48" i="3"/>
  <c r="C48" i="3"/>
  <c r="B48" i="3"/>
  <c r="AB47" i="3"/>
  <c r="AA47" i="3"/>
  <c r="Z47" i="3"/>
  <c r="P47" i="3"/>
  <c r="J47" i="3"/>
  <c r="I47" i="3"/>
  <c r="H47" i="3"/>
  <c r="G47" i="3"/>
  <c r="E47" i="3"/>
  <c r="C47" i="3"/>
  <c r="B47" i="3"/>
  <c r="BB46" i="3"/>
  <c r="BA46" i="3"/>
  <c r="AE46" i="3"/>
  <c r="L46" i="3" s="1"/>
  <c r="AB46" i="3"/>
  <c r="AA46" i="3"/>
  <c r="Z46" i="3"/>
  <c r="P46" i="3"/>
  <c r="J46" i="3"/>
  <c r="I46" i="3"/>
  <c r="H46" i="3"/>
  <c r="G46" i="3"/>
  <c r="E46" i="3"/>
  <c r="C46" i="3"/>
  <c r="B46" i="3"/>
  <c r="AB45" i="3"/>
  <c r="AA45" i="3"/>
  <c r="Z45" i="3"/>
  <c r="P45" i="3"/>
  <c r="J45" i="3"/>
  <c r="I45" i="3"/>
  <c r="H45" i="3"/>
  <c r="G45" i="3"/>
  <c r="E45" i="3"/>
  <c r="C45" i="3"/>
  <c r="B45" i="3"/>
  <c r="BB44" i="3"/>
  <c r="BA44" i="3"/>
  <c r="AH44" i="3"/>
  <c r="O44" i="3" s="1"/>
  <c r="AD44" i="3"/>
  <c r="K44" i="3" s="1"/>
  <c r="AB44" i="3"/>
  <c r="AA44" i="3"/>
  <c r="Z44" i="3"/>
  <c r="P44" i="3"/>
  <c r="J44" i="3"/>
  <c r="I44" i="3"/>
  <c r="H44" i="3"/>
  <c r="G44" i="3"/>
  <c r="E44" i="3"/>
  <c r="C44" i="3"/>
  <c r="B44" i="3"/>
  <c r="BB43" i="3"/>
  <c r="BA43" i="3"/>
  <c r="AM43" i="3"/>
  <c r="AB43" i="3"/>
  <c r="AA43" i="3"/>
  <c r="Z43" i="3"/>
  <c r="Q43" i="3"/>
  <c r="P43" i="3"/>
  <c r="O43" i="3"/>
  <c r="L43" i="3"/>
  <c r="K43" i="3"/>
  <c r="J43" i="3"/>
  <c r="I43" i="3"/>
  <c r="H43" i="3"/>
  <c r="G43" i="3"/>
  <c r="E43" i="3"/>
  <c r="C43" i="3"/>
  <c r="B43" i="3"/>
  <c r="J42" i="3"/>
  <c r="I42" i="3"/>
  <c r="H42" i="3"/>
  <c r="G42" i="3"/>
  <c r="F42" i="3"/>
  <c r="E42" i="3" s="1"/>
  <c r="B42" i="3"/>
  <c r="BB41" i="3"/>
  <c r="BA41" i="3"/>
  <c r="AN41" i="3"/>
  <c r="R41" i="3" s="1"/>
  <c r="AM41" i="3"/>
  <c r="Q41" i="3" s="1"/>
  <c r="AB41" i="3"/>
  <c r="AA41" i="3"/>
  <c r="Z41" i="3"/>
  <c r="P41" i="3"/>
  <c r="J41" i="3"/>
  <c r="I41" i="3"/>
  <c r="H41" i="3"/>
  <c r="G41" i="3"/>
  <c r="E41" i="3"/>
  <c r="C41" i="3"/>
  <c r="B41" i="3"/>
  <c r="AO40" i="3"/>
  <c r="X40" i="3" s="1"/>
  <c r="AB40" i="3"/>
  <c r="AA40" i="3"/>
  <c r="Z40" i="3"/>
  <c r="P40" i="3"/>
  <c r="J40" i="3"/>
  <c r="I40" i="3"/>
  <c r="H40" i="3"/>
  <c r="G40" i="3"/>
  <c r="E40" i="3"/>
  <c r="C40" i="3"/>
  <c r="B40" i="3"/>
  <c r="BB39" i="3"/>
  <c r="BA39" i="3"/>
  <c r="AN39" i="3"/>
  <c r="R39" i="3" s="1"/>
  <c r="AL39" i="3"/>
  <c r="S39" i="3" s="1"/>
  <c r="AK39" i="3"/>
  <c r="T39" i="3" s="1"/>
  <c r="AH39" i="3"/>
  <c r="O39" i="3" s="1"/>
  <c r="AF39" i="3"/>
  <c r="M39" i="3" s="1"/>
  <c r="AB39" i="3"/>
  <c r="AA39" i="3"/>
  <c r="Z39" i="3"/>
  <c r="P39" i="3"/>
  <c r="N39" i="3"/>
  <c r="L39" i="3"/>
  <c r="J39" i="3"/>
  <c r="I39" i="3"/>
  <c r="H39" i="3"/>
  <c r="G39" i="3"/>
  <c r="E39" i="3"/>
  <c r="C39" i="3"/>
  <c r="B39" i="3"/>
  <c r="BB38" i="3"/>
  <c r="BA38" i="3"/>
  <c r="AB38" i="3"/>
  <c r="AA38" i="3"/>
  <c r="Z38" i="3"/>
  <c r="S38" i="3"/>
  <c r="P38" i="3"/>
  <c r="J38" i="3"/>
  <c r="I38" i="3"/>
  <c r="H38" i="3"/>
  <c r="G38" i="3"/>
  <c r="E38" i="3"/>
  <c r="C38" i="3"/>
  <c r="B38" i="3"/>
  <c r="AO37" i="3"/>
  <c r="X37" i="3" s="1"/>
  <c r="AL37" i="3"/>
  <c r="S37" i="3" s="1"/>
  <c r="AI37" i="3"/>
  <c r="U37" i="3" s="1"/>
  <c r="AE37" i="3"/>
  <c r="L37" i="3" s="1"/>
  <c r="AB37" i="3"/>
  <c r="AA37" i="3"/>
  <c r="Z37" i="3"/>
  <c r="J37" i="3"/>
  <c r="I37" i="3"/>
  <c r="H37" i="3"/>
  <c r="G37" i="3"/>
  <c r="F37" i="3"/>
  <c r="P37" i="3" s="1"/>
  <c r="E37" i="3"/>
  <c r="C37" i="3"/>
  <c r="B37" i="3"/>
  <c r="BB36" i="3"/>
  <c r="BA36" i="3"/>
  <c r="AO36" i="3"/>
  <c r="X36" i="3" s="1"/>
  <c r="AN36" i="3"/>
  <c r="R36" i="3" s="1"/>
  <c r="AL36" i="3"/>
  <c r="S36" i="3" s="1"/>
  <c r="AK36" i="3"/>
  <c r="T36" i="3" s="1"/>
  <c r="AI36" i="3"/>
  <c r="U36" i="3" s="1"/>
  <c r="AH36" i="3"/>
  <c r="O36" i="3" s="1"/>
  <c r="AB36" i="3"/>
  <c r="AA36" i="3"/>
  <c r="Z36" i="3"/>
  <c r="P36" i="3"/>
  <c r="J36" i="3"/>
  <c r="I36" i="3"/>
  <c r="H36" i="3"/>
  <c r="G36" i="3"/>
  <c r="E36" i="3"/>
  <c r="C36" i="3"/>
  <c r="B36" i="3"/>
  <c r="BB35" i="3"/>
  <c r="BA35" i="3"/>
  <c r="AO35" i="3"/>
  <c r="X35" i="3" s="1"/>
  <c r="AI35" i="3"/>
  <c r="AB35" i="3"/>
  <c r="AA35" i="3"/>
  <c r="Z35" i="3"/>
  <c r="U35" i="3"/>
  <c r="T35" i="3"/>
  <c r="Q35" i="3"/>
  <c r="P35" i="3"/>
  <c r="J35" i="3"/>
  <c r="I35" i="3"/>
  <c r="H35" i="3"/>
  <c r="G35" i="3"/>
  <c r="E35" i="3"/>
  <c r="C35" i="3"/>
  <c r="B35" i="3"/>
  <c r="AB34" i="3"/>
  <c r="AA34" i="3"/>
  <c r="Z34" i="3"/>
  <c r="W34" i="3"/>
  <c r="U34" i="3"/>
  <c r="S34" i="3"/>
  <c r="P34" i="3"/>
  <c r="O34" i="3"/>
  <c r="K34" i="3"/>
  <c r="J34" i="3"/>
  <c r="I34" i="3"/>
  <c r="H34" i="3"/>
  <c r="G34" i="3"/>
  <c r="E34" i="3"/>
  <c r="C34" i="3"/>
  <c r="B34" i="3"/>
  <c r="AB33" i="3"/>
  <c r="AA33" i="3"/>
  <c r="Z33" i="3"/>
  <c r="R33" i="3"/>
  <c r="P33" i="3"/>
  <c r="J33" i="3"/>
  <c r="I33" i="3"/>
  <c r="H33" i="3"/>
  <c r="G33" i="3"/>
  <c r="E33" i="3"/>
  <c r="C33" i="3"/>
  <c r="B33" i="3"/>
  <c r="BB32" i="3"/>
  <c r="BA32" i="3"/>
  <c r="AN32" i="3"/>
  <c r="R32" i="3" s="1"/>
  <c r="AB32" i="3"/>
  <c r="AA32" i="3"/>
  <c r="Z32" i="3"/>
  <c r="P32" i="3"/>
  <c r="J32" i="3"/>
  <c r="I32" i="3"/>
  <c r="H32" i="3"/>
  <c r="G32" i="3"/>
  <c r="E32" i="3"/>
  <c r="C32" i="3"/>
  <c r="B32" i="3"/>
  <c r="AO31" i="3"/>
  <c r="X31" i="3" s="1"/>
  <c r="AF31" i="3"/>
  <c r="M31" i="3" s="1"/>
  <c r="AE31" i="3"/>
  <c r="L31" i="3" s="1"/>
  <c r="AD31" i="3"/>
  <c r="K31" i="3" s="1"/>
  <c r="AB31" i="3"/>
  <c r="AA31" i="3"/>
  <c r="Z31" i="3"/>
  <c r="P31" i="3"/>
  <c r="J31" i="3"/>
  <c r="I31" i="3"/>
  <c r="H31" i="3"/>
  <c r="G31" i="3"/>
  <c r="E31" i="3"/>
  <c r="C31" i="3"/>
  <c r="B31" i="3"/>
  <c r="BB30" i="3"/>
  <c r="BA30" i="3"/>
  <c r="AB30" i="3"/>
  <c r="AA30" i="3"/>
  <c r="Z30" i="3"/>
  <c r="P30" i="3"/>
  <c r="J30" i="3"/>
  <c r="I30" i="3"/>
  <c r="H30" i="3"/>
  <c r="G30" i="3"/>
  <c r="E30" i="3"/>
  <c r="C30" i="3"/>
  <c r="B30" i="3"/>
  <c r="AB29" i="3"/>
  <c r="AA29" i="3"/>
  <c r="Z29" i="3"/>
  <c r="R29" i="3"/>
  <c r="P29" i="3"/>
  <c r="J29" i="3"/>
  <c r="I29" i="3"/>
  <c r="H29" i="3"/>
  <c r="G29" i="3"/>
  <c r="E29" i="3"/>
  <c r="C29" i="3"/>
  <c r="B29" i="3"/>
  <c r="AO28" i="3"/>
  <c r="X28" i="3" s="1"/>
  <c r="AN28" i="3"/>
  <c r="R28" i="3" s="1"/>
  <c r="AL28" i="3"/>
  <c r="S28" i="3" s="1"/>
  <c r="AB28" i="3"/>
  <c r="AA28" i="3"/>
  <c r="Z28" i="3"/>
  <c r="T28" i="3"/>
  <c r="P28" i="3"/>
  <c r="L28" i="3"/>
  <c r="J28" i="3"/>
  <c r="I28" i="3"/>
  <c r="H28" i="3"/>
  <c r="G28" i="3"/>
  <c r="E28" i="3"/>
  <c r="C28" i="3"/>
  <c r="B28" i="3"/>
  <c r="AM27" i="3"/>
  <c r="Q27" i="3" s="1"/>
  <c r="AG27" i="3"/>
  <c r="N27" i="3" s="1"/>
  <c r="AB27" i="3"/>
  <c r="AA27" i="3"/>
  <c r="Z27" i="3"/>
  <c r="X27" i="3"/>
  <c r="P27" i="3"/>
  <c r="J27" i="3"/>
  <c r="I27" i="3"/>
  <c r="H27" i="3"/>
  <c r="G27" i="3"/>
  <c r="C27" i="3"/>
  <c r="B27" i="3"/>
  <c r="BB26" i="3"/>
  <c r="BA26" i="3"/>
  <c r="AM26" i="3"/>
  <c r="Q26" i="3" s="1"/>
  <c r="AH26" i="3"/>
  <c r="AG26" i="3"/>
  <c r="N26" i="3" s="1"/>
  <c r="AF26" i="3"/>
  <c r="M26" i="3" s="1"/>
  <c r="AE26" i="3"/>
  <c r="L26" i="3" s="1"/>
  <c r="AD26" i="3"/>
  <c r="K26" i="3" s="1"/>
  <c r="AB26" i="3"/>
  <c r="AA26" i="3"/>
  <c r="Z26" i="3"/>
  <c r="W26" i="3"/>
  <c r="P26" i="3"/>
  <c r="O26" i="3"/>
  <c r="J26" i="3"/>
  <c r="I26" i="3"/>
  <c r="H26" i="3"/>
  <c r="G26" i="3"/>
  <c r="E26" i="3"/>
  <c r="C26" i="3"/>
  <c r="B26" i="3"/>
  <c r="AB25" i="3"/>
  <c r="AA25" i="3"/>
  <c r="Z25" i="3"/>
  <c r="P25" i="3"/>
  <c r="K25" i="3"/>
  <c r="J25" i="3"/>
  <c r="I25" i="3"/>
  <c r="H25" i="3"/>
  <c r="G25" i="3"/>
  <c r="E25" i="3"/>
  <c r="C25" i="3"/>
  <c r="B25" i="3"/>
  <c r="AM24" i="3"/>
  <c r="Q24" i="3" s="1"/>
  <c r="AF24" i="3"/>
  <c r="M24" i="3" s="1"/>
  <c r="J24" i="3"/>
  <c r="I24" i="3"/>
  <c r="H24" i="3"/>
  <c r="F24" i="3"/>
  <c r="AO23" i="3"/>
  <c r="X23" i="3" s="1"/>
  <c r="AJ23" i="3"/>
  <c r="W23" i="3" s="1"/>
  <c r="AH23" i="3"/>
  <c r="O23" i="3" s="1"/>
  <c r="AD23" i="3"/>
  <c r="K23" i="3" s="1"/>
  <c r="AB23" i="3"/>
  <c r="AA23" i="3"/>
  <c r="Z23" i="3"/>
  <c r="P23" i="3"/>
  <c r="J23" i="3"/>
  <c r="I23" i="3"/>
  <c r="H23" i="3"/>
  <c r="G23" i="3"/>
  <c r="E23" i="3"/>
  <c r="C23" i="3"/>
  <c r="B23" i="3"/>
  <c r="AJ22" i="3"/>
  <c r="W22" i="3" s="1"/>
  <c r="AH22" i="3"/>
  <c r="O22" i="3" s="1"/>
  <c r="AG22" i="3"/>
  <c r="N22" i="3" s="1"/>
  <c r="AF22" i="3"/>
  <c r="M22" i="3" s="1"/>
  <c r="AD22" i="3"/>
  <c r="K22" i="3" s="1"/>
  <c r="AB22" i="3"/>
  <c r="AA22" i="3"/>
  <c r="Z22" i="3"/>
  <c r="P22" i="3"/>
  <c r="J22" i="3"/>
  <c r="I22" i="3"/>
  <c r="H22" i="3"/>
  <c r="G22" i="3"/>
  <c r="E22" i="3"/>
  <c r="C22" i="3"/>
  <c r="B22" i="3"/>
  <c r="AK21" i="3"/>
  <c r="AB21" i="3"/>
  <c r="AA21" i="3"/>
  <c r="Z21" i="3"/>
  <c r="T21" i="3"/>
  <c r="P21" i="3"/>
  <c r="J21" i="3"/>
  <c r="I21" i="3"/>
  <c r="H21" i="3"/>
  <c r="G21" i="3"/>
  <c r="E21" i="3"/>
  <c r="C21" i="3"/>
  <c r="B21" i="3"/>
  <c r="AO20" i="3"/>
  <c r="AN20" i="3"/>
  <c r="R20" i="3" s="1"/>
  <c r="AL20" i="3"/>
  <c r="S20" i="3" s="1"/>
  <c r="AH20" i="3"/>
  <c r="O20" i="3" s="1"/>
  <c r="AB20" i="3"/>
  <c r="AA20" i="3"/>
  <c r="Z20" i="3"/>
  <c r="X20" i="3"/>
  <c r="U20" i="3"/>
  <c r="P20" i="3"/>
  <c r="L20" i="3"/>
  <c r="J20" i="3"/>
  <c r="I20" i="3"/>
  <c r="H20" i="3"/>
  <c r="G20" i="3"/>
  <c r="E20" i="3"/>
  <c r="C20" i="3"/>
  <c r="B20" i="3"/>
  <c r="AM19" i="3"/>
  <c r="Q19" i="3" s="1"/>
  <c r="AH19" i="3"/>
  <c r="O19" i="3" s="1"/>
  <c r="AF19" i="3"/>
  <c r="M19" i="3" s="1"/>
  <c r="AE19" i="3"/>
  <c r="L19" i="3" s="1"/>
  <c r="AD19" i="3"/>
  <c r="K19" i="3" s="1"/>
  <c r="AB19" i="3"/>
  <c r="AA19" i="3"/>
  <c r="Z19" i="3"/>
  <c r="T19" i="3"/>
  <c r="P19" i="3"/>
  <c r="J19" i="3"/>
  <c r="I19" i="3"/>
  <c r="H19" i="3"/>
  <c r="G19" i="3"/>
  <c r="E19" i="3"/>
  <c r="C19" i="3"/>
  <c r="B19" i="3"/>
  <c r="BB18" i="3"/>
  <c r="BA18" i="3"/>
  <c r="AJ18" i="3"/>
  <c r="AI18" i="3"/>
  <c r="U18" i="3" s="1"/>
  <c r="AB18" i="3"/>
  <c r="AA18" i="3"/>
  <c r="Z18" i="3"/>
  <c r="W18" i="3"/>
  <c r="S18" i="3"/>
  <c r="P18" i="3"/>
  <c r="J18" i="3"/>
  <c r="I18" i="3"/>
  <c r="H18" i="3"/>
  <c r="G18" i="3"/>
  <c r="E18" i="3"/>
  <c r="C18" i="3"/>
  <c r="B18" i="3"/>
  <c r="AF17" i="3"/>
  <c r="M17" i="3" s="1"/>
  <c r="AB17" i="3"/>
  <c r="AA17" i="3"/>
  <c r="Z17" i="3"/>
  <c r="U17" i="3"/>
  <c r="T17" i="3"/>
  <c r="P17" i="3"/>
  <c r="L17" i="3"/>
  <c r="K17" i="3"/>
  <c r="J17" i="3"/>
  <c r="I17" i="3"/>
  <c r="H17" i="3"/>
  <c r="G17" i="3"/>
  <c r="E17" i="3"/>
  <c r="C17" i="3"/>
  <c r="B17" i="3"/>
  <c r="AB16" i="3"/>
  <c r="AA16" i="3"/>
  <c r="Z16" i="3"/>
  <c r="P16" i="3"/>
  <c r="J16" i="3"/>
  <c r="I16" i="3"/>
  <c r="H16" i="3"/>
  <c r="G16" i="3"/>
  <c r="E16" i="3"/>
  <c r="C16" i="3"/>
  <c r="B16" i="3"/>
  <c r="BB15" i="3"/>
  <c r="BA15" i="3"/>
  <c r="AB15" i="3"/>
  <c r="AA15" i="3"/>
  <c r="Z15" i="3"/>
  <c r="P15" i="3"/>
  <c r="J15" i="3"/>
  <c r="I15" i="3"/>
  <c r="H15" i="3"/>
  <c r="G15" i="3"/>
  <c r="E15" i="3"/>
  <c r="C15" i="3"/>
  <c r="B15" i="3"/>
  <c r="AB14" i="3"/>
  <c r="AA14" i="3"/>
  <c r="Z14" i="3"/>
  <c r="U14" i="3"/>
  <c r="Q14" i="3"/>
  <c r="P14" i="3"/>
  <c r="J14" i="3"/>
  <c r="I14" i="3"/>
  <c r="H14" i="3"/>
  <c r="G14" i="3"/>
  <c r="E14" i="3"/>
  <c r="C14" i="3"/>
  <c r="B14" i="3"/>
  <c r="AK13" i="3"/>
  <c r="AB13" i="3"/>
  <c r="AA13" i="3"/>
  <c r="Z13" i="3"/>
  <c r="T13" i="3"/>
  <c r="P13" i="3"/>
  <c r="J13" i="3"/>
  <c r="I13" i="3"/>
  <c r="H13" i="3"/>
  <c r="G13" i="3"/>
  <c r="E13" i="3"/>
  <c r="C13" i="3"/>
  <c r="B13" i="3"/>
  <c r="AH12" i="3"/>
  <c r="O12" i="3" s="1"/>
  <c r="AD12" i="3"/>
  <c r="K12" i="3" s="1"/>
  <c r="AB12" i="3"/>
  <c r="AA12" i="3"/>
  <c r="Z12" i="3"/>
  <c r="W12" i="3"/>
  <c r="T12" i="3"/>
  <c r="P12" i="3"/>
  <c r="J12" i="3"/>
  <c r="I12" i="3"/>
  <c r="H12" i="3"/>
  <c r="G12" i="3"/>
  <c r="E12" i="3"/>
  <c r="C12" i="3"/>
  <c r="B12" i="3"/>
  <c r="AK11" i="3"/>
  <c r="T11" i="3" s="1"/>
  <c r="AB11" i="3"/>
  <c r="AA11" i="3"/>
  <c r="Z11" i="3"/>
  <c r="P11" i="3"/>
  <c r="J11" i="3"/>
  <c r="I11" i="3"/>
  <c r="H11" i="3"/>
  <c r="G11" i="3"/>
  <c r="E11" i="3"/>
  <c r="C11" i="3"/>
  <c r="B11" i="3"/>
  <c r="AM10" i="3"/>
  <c r="Q10" i="3" s="1"/>
  <c r="AB10" i="3"/>
  <c r="AA10" i="3"/>
  <c r="Z10" i="3"/>
  <c r="P10" i="3"/>
  <c r="J10" i="3"/>
  <c r="I10" i="3"/>
  <c r="H10" i="3"/>
  <c r="G10" i="3"/>
  <c r="E10" i="3"/>
  <c r="C10" i="3"/>
  <c r="B10" i="3"/>
  <c r="AE9" i="3"/>
  <c r="L9" i="3" s="1"/>
  <c r="AB9" i="3"/>
  <c r="AA9" i="3"/>
  <c r="Z9" i="3"/>
  <c r="U9" i="3"/>
  <c r="T9" i="3"/>
  <c r="R9" i="3"/>
  <c r="P9" i="3"/>
  <c r="O9" i="3"/>
  <c r="J9" i="3"/>
  <c r="I9" i="3"/>
  <c r="H9" i="3"/>
  <c r="G9" i="3"/>
  <c r="E9" i="3"/>
  <c r="C9" i="3"/>
  <c r="B9" i="3"/>
  <c r="BB8" i="3"/>
  <c r="AN8" i="3"/>
  <c r="R8" i="3" s="1"/>
  <c r="AM8" i="3"/>
  <c r="Q8" i="3" s="1"/>
  <c r="AB8" i="3"/>
  <c r="AA8" i="3"/>
  <c r="Z8" i="3"/>
  <c r="P8" i="3"/>
  <c r="N8" i="3"/>
  <c r="J8" i="3"/>
  <c r="I8" i="3"/>
  <c r="H8" i="3"/>
  <c r="G8" i="3"/>
  <c r="E8" i="3"/>
  <c r="C8" i="3"/>
  <c r="B8" i="3"/>
  <c r="AJ7" i="3"/>
  <c r="W7" i="3" s="1"/>
  <c r="AG7" i="3"/>
  <c r="AB7" i="3"/>
  <c r="AA7" i="3"/>
  <c r="Z7" i="3"/>
  <c r="U7" i="3"/>
  <c r="P7" i="3"/>
  <c r="N7" i="3"/>
  <c r="J7" i="3"/>
  <c r="I7" i="3"/>
  <c r="H7" i="3"/>
  <c r="G7" i="3"/>
  <c r="E7" i="3"/>
  <c r="C7" i="3"/>
  <c r="B7" i="3"/>
  <c r="AB6" i="3"/>
  <c r="AA6" i="3"/>
  <c r="Z6" i="3"/>
  <c r="P6" i="3"/>
  <c r="J6" i="3"/>
  <c r="I6" i="3"/>
  <c r="H6" i="3"/>
  <c r="G6" i="3"/>
  <c r="E6" i="3"/>
  <c r="C6" i="3"/>
  <c r="B6" i="3"/>
  <c r="BB5" i="3"/>
  <c r="AO5" i="3"/>
  <c r="X5" i="3" s="1"/>
  <c r="AN5" i="3"/>
  <c r="R5" i="3" s="1"/>
  <c r="AM5" i="3"/>
  <c r="Q5" i="3" s="1"/>
  <c r="AB5" i="3"/>
  <c r="AA5" i="3"/>
  <c r="Z5" i="3"/>
  <c r="P5" i="3"/>
  <c r="J5" i="3"/>
  <c r="I5" i="3"/>
  <c r="H5" i="3"/>
  <c r="G5" i="3"/>
  <c r="E5" i="3"/>
  <c r="AB4" i="3"/>
  <c r="AA4" i="3"/>
  <c r="Z4" i="3"/>
  <c r="P4" i="3"/>
  <c r="J4" i="3"/>
  <c r="I4" i="3"/>
  <c r="H4" i="3"/>
  <c r="G4" i="3"/>
  <c r="E4" i="3"/>
  <c r="C4" i="3"/>
  <c r="B4" i="3"/>
  <c r="BO345" i="2"/>
  <c r="AF298" i="3" s="1"/>
  <c r="M298" i="3" s="1"/>
  <c r="BN345" i="2"/>
  <c r="AH298" i="3" s="1"/>
  <c r="O298" i="3" s="1"/>
  <c r="BM345" i="2"/>
  <c r="AM298" i="3" s="1"/>
  <c r="Q298" i="3" s="1"/>
  <c r="BL345" i="2"/>
  <c r="BK345" i="2"/>
  <c r="BI345" i="2"/>
  <c r="BH345" i="2"/>
  <c r="BG345" i="2"/>
  <c r="BF345" i="2"/>
  <c r="AO298" i="3" s="1"/>
  <c r="X298" i="3" s="1"/>
  <c r="BD345" i="2"/>
  <c r="AI298" i="3" s="1"/>
  <c r="U298" i="3" s="1"/>
  <c r="BC345" i="2"/>
  <c r="BA345" i="2"/>
  <c r="AZ345" i="2"/>
  <c r="AJ298" i="3" s="1"/>
  <c r="W298" i="3" s="1"/>
  <c r="AY345" i="2"/>
  <c r="AE345" i="2" s="1"/>
  <c r="AX345" i="2"/>
  <c r="AW345" i="2"/>
  <c r="AV345" i="2" s="1"/>
  <c r="AU345" i="2"/>
  <c r="AT345" i="2"/>
  <c r="AL298" i="3" s="1"/>
  <c r="S298" i="3" s="1"/>
  <c r="AS345" i="2"/>
  <c r="AR345" i="2"/>
  <c r="AQ345" i="2"/>
  <c r="AO345" i="2"/>
  <c r="AN345" i="2"/>
  <c r="AE298" i="3" s="1"/>
  <c r="L298" i="3" s="1"/>
  <c r="AL345" i="2"/>
  <c r="AK345" i="2"/>
  <c r="AI345" i="2"/>
  <c r="AH345" i="2"/>
  <c r="AG298" i="3" s="1"/>
  <c r="N298" i="3" s="1"/>
  <c r="AC345" i="2"/>
  <c r="X345" i="2"/>
  <c r="W345" i="2"/>
  <c r="J345" i="2" s="1"/>
  <c r="V345" i="2"/>
  <c r="U345" i="2"/>
  <c r="BO344" i="2"/>
  <c r="BN344" i="2"/>
  <c r="BM344" i="2"/>
  <c r="BL344" i="2"/>
  <c r="BK344" i="2"/>
  <c r="BJ344" i="2" s="1"/>
  <c r="AF344" i="2" s="1"/>
  <c r="BI344" i="2"/>
  <c r="BH344" i="2" s="1"/>
  <c r="BG344" i="2"/>
  <c r="BF344" i="2"/>
  <c r="BE344" i="2"/>
  <c r="BD344" i="2"/>
  <c r="BC344" i="2"/>
  <c r="BA344" i="2"/>
  <c r="AZ344" i="2"/>
  <c r="AY344" i="2"/>
  <c r="AE344" i="2" s="1"/>
  <c r="AX344" i="2"/>
  <c r="AV344" i="2" s="1"/>
  <c r="AW344" i="2"/>
  <c r="AU344" i="2"/>
  <c r="AT344" i="2"/>
  <c r="AS344" i="2" s="1"/>
  <c r="AC344" i="2" s="1"/>
  <c r="AR344" i="2"/>
  <c r="AQ344" i="2"/>
  <c r="AP344" i="2"/>
  <c r="AB344" i="2" s="1"/>
  <c r="AO344" i="2"/>
  <c r="AN344" i="2"/>
  <c r="AM344" i="2"/>
  <c r="AL344" i="2"/>
  <c r="AK344" i="2"/>
  <c r="AJ344" i="2" s="1"/>
  <c r="Z344" i="2" s="1"/>
  <c r="AI344" i="2"/>
  <c r="AH344" i="2"/>
  <c r="AG344" i="2"/>
  <c r="Y344" i="2" s="1"/>
  <c r="AA344" i="2"/>
  <c r="X344" i="2"/>
  <c r="W344" i="2"/>
  <c r="V344" i="2"/>
  <c r="U344" i="2"/>
  <c r="BO343" i="2"/>
  <c r="AF338" i="3" s="1"/>
  <c r="BN343" i="2"/>
  <c r="AH338" i="3" s="1"/>
  <c r="O338" i="3" s="1"/>
  <c r="BM343" i="2"/>
  <c r="AM338" i="3" s="1"/>
  <c r="Q338" i="3" s="1"/>
  <c r="BL343" i="2"/>
  <c r="BK343" i="2"/>
  <c r="AN338" i="3" s="1"/>
  <c r="R338" i="3" s="1"/>
  <c r="BI343" i="2"/>
  <c r="BH343" i="2"/>
  <c r="BG343" i="2"/>
  <c r="BF343" i="2"/>
  <c r="AO338" i="3" s="1"/>
  <c r="X338" i="3" s="1"/>
  <c r="BE343" i="2"/>
  <c r="BD343" i="2"/>
  <c r="AI338" i="3" s="1"/>
  <c r="U338" i="3" s="1"/>
  <c r="BC343" i="2"/>
  <c r="BB343" i="2" s="1"/>
  <c r="BA343" i="2"/>
  <c r="AZ343" i="2"/>
  <c r="AX343" i="2"/>
  <c r="AW343" i="2"/>
  <c r="AV343" i="2"/>
  <c r="AU343" i="2"/>
  <c r="AT343" i="2"/>
  <c r="AR343" i="2"/>
  <c r="AQ343" i="2"/>
  <c r="AO343" i="2"/>
  <c r="AN343" i="2"/>
  <c r="AE338" i="3" s="1"/>
  <c r="AM343" i="2"/>
  <c r="AA343" i="2" s="1"/>
  <c r="AL343" i="2"/>
  <c r="AK343" i="2"/>
  <c r="AD338" i="3" s="1"/>
  <c r="K338" i="3" s="1"/>
  <c r="AJ343" i="2"/>
  <c r="AI343" i="2"/>
  <c r="AH343" i="2"/>
  <c r="AG338" i="3" s="1"/>
  <c r="N338" i="3" s="1"/>
  <c r="AD343" i="2"/>
  <c r="Z343" i="2"/>
  <c r="X343" i="2"/>
  <c r="W343" i="2"/>
  <c r="V343" i="2"/>
  <c r="U343" i="2"/>
  <c r="BO342" i="2"/>
  <c r="AF28" i="3" s="1"/>
  <c r="M28" i="3" s="1"/>
  <c r="BN342" i="2"/>
  <c r="AH28" i="3" s="1"/>
  <c r="O28" i="3" s="1"/>
  <c r="BM342" i="2"/>
  <c r="AM28" i="3" s="1"/>
  <c r="Q28" i="3" s="1"/>
  <c r="BL342" i="2"/>
  <c r="BK342" i="2"/>
  <c r="BJ342" i="2"/>
  <c r="AF342" i="2" s="1"/>
  <c r="BI342" i="2"/>
  <c r="BH342" i="2" s="1"/>
  <c r="BG342" i="2"/>
  <c r="BF342" i="2"/>
  <c r="BE342" i="2"/>
  <c r="BD342" i="2"/>
  <c r="AI28" i="3" s="1"/>
  <c r="U28" i="3" s="1"/>
  <c r="BC342" i="2"/>
  <c r="BB342" i="2" s="1"/>
  <c r="AD342" i="2" s="1"/>
  <c r="BA342" i="2"/>
  <c r="AZ342" i="2"/>
  <c r="AJ28" i="3" s="1"/>
  <c r="W28" i="3" s="1"/>
  <c r="AY342" i="2"/>
  <c r="AE342" i="2" s="1"/>
  <c r="AX342" i="2"/>
  <c r="AW342" i="2"/>
  <c r="AV342" i="2"/>
  <c r="AU342" i="2"/>
  <c r="AS342" i="2" s="1"/>
  <c r="AC342" i="2" s="1"/>
  <c r="AT342" i="2"/>
  <c r="AR342" i="2"/>
  <c r="AQ342" i="2"/>
  <c r="AK28" i="3" s="1"/>
  <c r="AP342" i="2"/>
  <c r="AO342" i="2"/>
  <c r="AN342" i="2"/>
  <c r="AE28" i="3" s="1"/>
  <c r="AL342" i="2"/>
  <c r="AK342" i="2"/>
  <c r="AD28" i="3" s="1"/>
  <c r="K28" i="3" s="1"/>
  <c r="AJ342" i="2"/>
  <c r="Z342" i="2" s="1"/>
  <c r="AI342" i="2"/>
  <c r="AH342" i="2"/>
  <c r="AG28" i="3" s="1"/>
  <c r="N28" i="3" s="1"/>
  <c r="AG342" i="2"/>
  <c r="AB342" i="2"/>
  <c r="Y342" i="2"/>
  <c r="X342" i="2"/>
  <c r="W342" i="2"/>
  <c r="J342" i="2" s="1"/>
  <c r="V342" i="2"/>
  <c r="U342" i="2"/>
  <c r="BO341" i="2"/>
  <c r="AF193" i="3" s="1"/>
  <c r="M193" i="3" s="1"/>
  <c r="BN341" i="2"/>
  <c r="AH193" i="3" s="1"/>
  <c r="O193" i="3" s="1"/>
  <c r="BM341" i="2"/>
  <c r="AM193" i="3" s="1"/>
  <c r="Q193" i="3" s="1"/>
  <c r="BL341" i="2"/>
  <c r="BK341" i="2"/>
  <c r="BI341" i="2"/>
  <c r="BH341" i="2"/>
  <c r="BG341" i="2"/>
  <c r="BF341" i="2"/>
  <c r="BE341" i="2"/>
  <c r="BD341" i="2"/>
  <c r="AI193" i="3" s="1"/>
  <c r="U193" i="3" s="1"/>
  <c r="BC341" i="2"/>
  <c r="BB341" i="2" s="1"/>
  <c r="AD341" i="2" s="1"/>
  <c r="BA341" i="2"/>
  <c r="AZ341" i="2"/>
  <c r="AX341" i="2"/>
  <c r="AW341" i="2"/>
  <c r="AV341" i="2"/>
  <c r="AU341" i="2"/>
  <c r="AS341" i="2" s="1"/>
  <c r="AC341" i="2" s="1"/>
  <c r="AT341" i="2"/>
  <c r="AL193" i="3" s="1"/>
  <c r="S193" i="3" s="1"/>
  <c r="AR341" i="2"/>
  <c r="AQ341" i="2"/>
  <c r="AO341" i="2"/>
  <c r="AM341" i="2" s="1"/>
  <c r="AA341" i="2" s="1"/>
  <c r="AN341" i="2"/>
  <c r="AE193" i="3" s="1"/>
  <c r="L193" i="3" s="1"/>
  <c r="AL341" i="2"/>
  <c r="AK341" i="2"/>
  <c r="AD193" i="3" s="1"/>
  <c r="K193" i="3" s="1"/>
  <c r="AI341" i="2"/>
  <c r="AH341" i="2"/>
  <c r="X341" i="2"/>
  <c r="W341" i="2"/>
  <c r="V341" i="2"/>
  <c r="U341" i="2"/>
  <c r="J341" i="2"/>
  <c r="BO340" i="2"/>
  <c r="AF308" i="3" s="1"/>
  <c r="M308" i="3" s="1"/>
  <c r="BN340" i="2"/>
  <c r="AH308" i="3" s="1"/>
  <c r="O308" i="3" s="1"/>
  <c r="BM340" i="2"/>
  <c r="AM308" i="3" s="1"/>
  <c r="Q308" i="3" s="1"/>
  <c r="BL340" i="2"/>
  <c r="BK340" i="2"/>
  <c r="BI340" i="2"/>
  <c r="BH340" i="2" s="1"/>
  <c r="BG340" i="2"/>
  <c r="BF340" i="2"/>
  <c r="BD340" i="2"/>
  <c r="AI308" i="3" s="1"/>
  <c r="U308" i="3" s="1"/>
  <c r="BC340" i="2"/>
  <c r="BB340" i="2" s="1"/>
  <c r="AD340" i="2" s="1"/>
  <c r="BA340" i="2"/>
  <c r="AZ340" i="2"/>
  <c r="AX340" i="2"/>
  <c r="AW340" i="2"/>
  <c r="AV340" i="2"/>
  <c r="AU340" i="2"/>
  <c r="AT340" i="2"/>
  <c r="AL308" i="3" s="1"/>
  <c r="S308" i="3" s="1"/>
  <c r="AS340" i="2"/>
  <c r="AR340" i="2"/>
  <c r="AQ340" i="2"/>
  <c r="AO340" i="2"/>
  <c r="AN340" i="2"/>
  <c r="AE308" i="3" s="1"/>
  <c r="L308" i="3" s="1"/>
  <c r="AM340" i="2"/>
  <c r="AL340" i="2"/>
  <c r="AK340" i="2"/>
  <c r="AI340" i="2"/>
  <c r="AH340" i="2"/>
  <c r="AG308" i="3" s="1"/>
  <c r="N308" i="3" s="1"/>
  <c r="AG340" i="2"/>
  <c r="AC340" i="2"/>
  <c r="AA340" i="2"/>
  <c r="Y340" i="2"/>
  <c r="X340" i="2"/>
  <c r="W340" i="2"/>
  <c r="V340" i="2"/>
  <c r="U340" i="2" s="1"/>
  <c r="J340" i="2"/>
  <c r="BO339" i="2"/>
  <c r="AF328" i="3" s="1"/>
  <c r="M328" i="3" s="1"/>
  <c r="BN339" i="2"/>
  <c r="AH328" i="3" s="1"/>
  <c r="O328" i="3" s="1"/>
  <c r="BM339" i="2"/>
  <c r="BL339" i="2"/>
  <c r="BK339" i="2"/>
  <c r="AN328" i="3" s="1"/>
  <c r="R328" i="3" s="1"/>
  <c r="BJ339" i="2"/>
  <c r="BI339" i="2"/>
  <c r="BH339" i="2" s="1"/>
  <c r="BG339" i="2"/>
  <c r="BF339" i="2"/>
  <c r="AO328" i="3" s="1"/>
  <c r="X328" i="3" s="1"/>
  <c r="BD339" i="2"/>
  <c r="AI328" i="3" s="1"/>
  <c r="U328" i="3" s="1"/>
  <c r="BC339" i="2"/>
  <c r="BB339" i="2" s="1"/>
  <c r="BA339" i="2"/>
  <c r="AZ339" i="2"/>
  <c r="AJ328" i="3" s="1"/>
  <c r="W328" i="3" s="1"/>
  <c r="AY339" i="2"/>
  <c r="AE339" i="2" s="1"/>
  <c r="AX339" i="2"/>
  <c r="AW339" i="2"/>
  <c r="AV339" i="2"/>
  <c r="AU339" i="2"/>
  <c r="AT339" i="2"/>
  <c r="AL328" i="3" s="1"/>
  <c r="S328" i="3" s="1"/>
  <c r="AS339" i="2"/>
  <c r="AC339" i="2" s="1"/>
  <c r="AR339" i="2"/>
  <c r="AQ339" i="2"/>
  <c r="AO339" i="2"/>
  <c r="AN339" i="2"/>
  <c r="AE328" i="3" s="1"/>
  <c r="L328" i="3" s="1"/>
  <c r="AM339" i="2"/>
  <c r="AA339" i="2" s="1"/>
  <c r="AL339" i="2"/>
  <c r="AK339" i="2"/>
  <c r="AD328" i="3" s="1"/>
  <c r="K328" i="3" s="1"/>
  <c r="AJ339" i="2"/>
  <c r="Z339" i="2" s="1"/>
  <c r="AI339" i="2"/>
  <c r="AH339" i="2"/>
  <c r="AG328" i="3" s="1"/>
  <c r="N328" i="3" s="1"/>
  <c r="AG339" i="2"/>
  <c r="Y339" i="2" s="1"/>
  <c r="AF339" i="2"/>
  <c r="AD339" i="2"/>
  <c r="X339" i="2"/>
  <c r="W339" i="2"/>
  <c r="V339" i="2"/>
  <c r="U339" i="2" s="1"/>
  <c r="J339" i="2"/>
  <c r="BO338" i="2"/>
  <c r="AF126" i="3" s="1"/>
  <c r="M126" i="3" s="1"/>
  <c r="BN338" i="2"/>
  <c r="AH126" i="3" s="1"/>
  <c r="O126" i="3" s="1"/>
  <c r="BM338" i="2"/>
  <c r="AM126" i="3" s="1"/>
  <c r="Q126" i="3" s="1"/>
  <c r="BL338" i="2"/>
  <c r="BK338" i="2"/>
  <c r="BI338" i="2"/>
  <c r="BH338" i="2"/>
  <c r="BG338" i="2"/>
  <c r="BF338" i="2"/>
  <c r="AO126" i="3" s="1"/>
  <c r="BE338" i="2"/>
  <c r="BD338" i="2"/>
  <c r="AI126" i="3" s="1"/>
  <c r="BC338" i="2"/>
  <c r="BB338" i="2" s="1"/>
  <c r="AD338" i="2" s="1"/>
  <c r="BA338" i="2"/>
  <c r="AZ338" i="2"/>
  <c r="AX338" i="2"/>
  <c r="AW338" i="2"/>
  <c r="AV338" i="2" s="1"/>
  <c r="AU338" i="2"/>
  <c r="AT338" i="2"/>
  <c r="AL126" i="3" s="1"/>
  <c r="AS338" i="2"/>
  <c r="AR338" i="2"/>
  <c r="AQ338" i="2"/>
  <c r="AK126" i="3" s="1"/>
  <c r="T126" i="3" s="1"/>
  <c r="AP338" i="2"/>
  <c r="AO338" i="2"/>
  <c r="AN338" i="2"/>
  <c r="AL338" i="2"/>
  <c r="AK338" i="2"/>
  <c r="AI338" i="2"/>
  <c r="AH338" i="2"/>
  <c r="AC338" i="2"/>
  <c r="AB338" i="2"/>
  <c r="X338" i="2"/>
  <c r="W338" i="2"/>
  <c r="V338" i="2"/>
  <c r="U338" i="2"/>
  <c r="J338" i="2"/>
  <c r="BO337" i="2"/>
  <c r="AF85" i="3" s="1"/>
  <c r="M85" i="3" s="1"/>
  <c r="BN337" i="2"/>
  <c r="BM337" i="2"/>
  <c r="AM85" i="3" s="1"/>
  <c r="Q85" i="3" s="1"/>
  <c r="BL337" i="2"/>
  <c r="BK337" i="2"/>
  <c r="AN85" i="3" s="1"/>
  <c r="R85" i="3" s="1"/>
  <c r="BJ337" i="2"/>
  <c r="AF337" i="2" s="1"/>
  <c r="BI337" i="2"/>
  <c r="BH337" i="2"/>
  <c r="BG337" i="2"/>
  <c r="BF337" i="2"/>
  <c r="AO85" i="3" s="1"/>
  <c r="BE337" i="2"/>
  <c r="BD337" i="2"/>
  <c r="AI85" i="3" s="1"/>
  <c r="U85" i="3" s="1"/>
  <c r="BC337" i="2"/>
  <c r="BB337" i="2"/>
  <c r="AD337" i="2" s="1"/>
  <c r="BA337" i="2"/>
  <c r="AZ337" i="2"/>
  <c r="AY337" i="2" s="1"/>
  <c r="AE337" i="2" s="1"/>
  <c r="AX337" i="2"/>
  <c r="AW337" i="2"/>
  <c r="AV337" i="2" s="1"/>
  <c r="AU337" i="2"/>
  <c r="AT337" i="2"/>
  <c r="AR337" i="2"/>
  <c r="AQ337" i="2"/>
  <c r="AP337" i="2" s="1"/>
  <c r="AO337" i="2"/>
  <c r="AN337" i="2"/>
  <c r="AE85" i="3" s="1"/>
  <c r="L85" i="3" s="1"/>
  <c r="AM337" i="2"/>
  <c r="AA337" i="2" s="1"/>
  <c r="AL337" i="2"/>
  <c r="AK337" i="2"/>
  <c r="AD85" i="3" s="1"/>
  <c r="K85" i="3" s="1"/>
  <c r="AJ337" i="2"/>
  <c r="Z337" i="2" s="1"/>
  <c r="AI337" i="2"/>
  <c r="AH337" i="2"/>
  <c r="AG337" i="2" s="1"/>
  <c r="Y337" i="2" s="1"/>
  <c r="AB337" i="2"/>
  <c r="X337" i="2"/>
  <c r="W337" i="2"/>
  <c r="V337" i="2"/>
  <c r="U337" i="2"/>
  <c r="J337" i="2"/>
  <c r="BO336" i="2"/>
  <c r="AF286" i="3" s="1"/>
  <c r="M286" i="3" s="1"/>
  <c r="BN336" i="2"/>
  <c r="AH286" i="3" s="1"/>
  <c r="O286" i="3" s="1"/>
  <c r="BM336" i="2"/>
  <c r="AM286" i="3" s="1"/>
  <c r="Q286" i="3" s="1"/>
  <c r="BL336" i="2"/>
  <c r="BJ336" i="2" s="1"/>
  <c r="AF336" i="2" s="1"/>
  <c r="BK336" i="2"/>
  <c r="AN286" i="3" s="1"/>
  <c r="R286" i="3" s="1"/>
  <c r="BI336" i="2"/>
  <c r="BH336" i="2"/>
  <c r="BG336" i="2"/>
  <c r="BF336" i="2"/>
  <c r="BE336" i="2"/>
  <c r="BD336" i="2"/>
  <c r="AI286" i="3" s="1"/>
  <c r="U286" i="3" s="1"/>
  <c r="BC336" i="2"/>
  <c r="BA336" i="2"/>
  <c r="AZ336" i="2"/>
  <c r="AX336" i="2"/>
  <c r="AW336" i="2"/>
  <c r="AV336" i="2" s="1"/>
  <c r="AU336" i="2"/>
  <c r="AT336" i="2"/>
  <c r="AR336" i="2"/>
  <c r="AQ336" i="2"/>
  <c r="AK286" i="3" s="1"/>
  <c r="T286" i="3" s="1"/>
  <c r="AP336" i="2"/>
  <c r="AO336" i="2"/>
  <c r="AN336" i="2"/>
  <c r="AL336" i="2"/>
  <c r="AK336" i="2"/>
  <c r="AI336" i="2"/>
  <c r="AG336" i="2" s="1"/>
  <c r="Y336" i="2" s="1"/>
  <c r="AH336" i="2"/>
  <c r="AG286" i="3" s="1"/>
  <c r="N286" i="3" s="1"/>
  <c r="AB336" i="2"/>
  <c r="X336" i="2"/>
  <c r="W336" i="2"/>
  <c r="J336" i="2" s="1"/>
  <c r="V336" i="2"/>
  <c r="U336" i="2" s="1"/>
  <c r="BO335" i="2"/>
  <c r="AF326" i="3" s="1"/>
  <c r="M326" i="3" s="1"/>
  <c r="BN335" i="2"/>
  <c r="AH326" i="3" s="1"/>
  <c r="O326" i="3" s="1"/>
  <c r="BM335" i="2"/>
  <c r="AM326" i="3" s="1"/>
  <c r="Q326" i="3" s="1"/>
  <c r="BL335" i="2"/>
  <c r="BK335" i="2"/>
  <c r="AN326" i="3" s="1"/>
  <c r="R326" i="3" s="1"/>
  <c r="BI335" i="2"/>
  <c r="BH335" i="2"/>
  <c r="BG335" i="2"/>
  <c r="BF335" i="2"/>
  <c r="BD335" i="2"/>
  <c r="AI326" i="3" s="1"/>
  <c r="U326" i="3" s="1"/>
  <c r="BC335" i="2"/>
  <c r="BB335" i="2" s="1"/>
  <c r="AD335" i="2" s="1"/>
  <c r="BA335" i="2"/>
  <c r="AZ335" i="2"/>
  <c r="AJ326" i="3" s="1"/>
  <c r="W326" i="3" s="1"/>
  <c r="AY335" i="2"/>
  <c r="AX335" i="2"/>
  <c r="AW335" i="2"/>
  <c r="AV335" i="2" s="1"/>
  <c r="AU335" i="2"/>
  <c r="AS335" i="2" s="1"/>
  <c r="AT335" i="2"/>
  <c r="AL326" i="3" s="1"/>
  <c r="S326" i="3" s="1"/>
  <c r="AR335" i="2"/>
  <c r="AQ335" i="2"/>
  <c r="AK326" i="3" s="1"/>
  <c r="T326" i="3" s="1"/>
  <c r="AO335" i="2"/>
  <c r="AN335" i="2"/>
  <c r="AE326" i="3" s="1"/>
  <c r="L326" i="3" s="1"/>
  <c r="AM335" i="2"/>
  <c r="AL335" i="2"/>
  <c r="AK335" i="2"/>
  <c r="AI335" i="2"/>
  <c r="AH335" i="2"/>
  <c r="AG326" i="3" s="1"/>
  <c r="N326" i="3" s="1"/>
  <c r="AG335" i="2"/>
  <c r="AE335" i="2"/>
  <c r="AC335" i="2"/>
  <c r="AA335" i="2"/>
  <c r="Y335" i="2"/>
  <c r="X335" i="2"/>
  <c r="W335" i="2"/>
  <c r="V335" i="2"/>
  <c r="U335" i="2"/>
  <c r="J335" i="2"/>
  <c r="BO334" i="2"/>
  <c r="AF331" i="3" s="1"/>
  <c r="M331" i="3" s="1"/>
  <c r="BN334" i="2"/>
  <c r="AH331" i="3" s="1"/>
  <c r="O331" i="3" s="1"/>
  <c r="BM334" i="2"/>
  <c r="AM331" i="3" s="1"/>
  <c r="Q331" i="3" s="1"/>
  <c r="BL334" i="2"/>
  <c r="BK334" i="2"/>
  <c r="AN331" i="3" s="1"/>
  <c r="R331" i="3" s="1"/>
  <c r="BJ334" i="2"/>
  <c r="AF334" i="2" s="1"/>
  <c r="BI334" i="2"/>
  <c r="BH334" i="2"/>
  <c r="BG334" i="2"/>
  <c r="BF334" i="2"/>
  <c r="AO331" i="3" s="1"/>
  <c r="BE334" i="2"/>
  <c r="BD334" i="2"/>
  <c r="AI331" i="3" s="1"/>
  <c r="U331" i="3" s="1"/>
  <c r="BC334" i="2"/>
  <c r="BB334" i="2" s="1"/>
  <c r="BA334" i="2"/>
  <c r="AZ334" i="2"/>
  <c r="AJ331" i="3" s="1"/>
  <c r="W331" i="3" s="1"/>
  <c r="AX334" i="2"/>
  <c r="AW334" i="2"/>
  <c r="AV334" i="2"/>
  <c r="AU334" i="2"/>
  <c r="AT334" i="2"/>
  <c r="AL331" i="3" s="1"/>
  <c r="S331" i="3" s="1"/>
  <c r="AS334" i="2"/>
  <c r="AC334" i="2" s="1"/>
  <c r="AR334" i="2"/>
  <c r="AQ334" i="2"/>
  <c r="AO334" i="2"/>
  <c r="AN334" i="2"/>
  <c r="AE331" i="3" s="1"/>
  <c r="L331" i="3" s="1"/>
  <c r="AL334" i="2"/>
  <c r="AK334" i="2"/>
  <c r="AI334" i="2"/>
  <c r="AH334" i="2"/>
  <c r="AG331" i="3" s="1"/>
  <c r="N331" i="3" s="1"/>
  <c r="AD334" i="2"/>
  <c r="X334" i="2"/>
  <c r="W334" i="2"/>
  <c r="J334" i="2" s="1"/>
  <c r="V334" i="2"/>
  <c r="U334" i="2" s="1"/>
  <c r="BO333" i="2"/>
  <c r="AF321" i="3" s="1"/>
  <c r="M321" i="3" s="1"/>
  <c r="BN333" i="2"/>
  <c r="AH321" i="3" s="1"/>
  <c r="O321" i="3" s="1"/>
  <c r="BM333" i="2"/>
  <c r="AM321" i="3" s="1"/>
  <c r="Q321" i="3" s="1"/>
  <c r="BL333" i="2"/>
  <c r="BK333" i="2"/>
  <c r="BJ333" i="2" s="1"/>
  <c r="AF333" i="2" s="1"/>
  <c r="BI333" i="2"/>
  <c r="BH333" i="2"/>
  <c r="BG333" i="2"/>
  <c r="BF333" i="2"/>
  <c r="BD333" i="2"/>
  <c r="AI321" i="3" s="1"/>
  <c r="U321" i="3" s="1"/>
  <c r="BC333" i="2"/>
  <c r="BB333" i="2"/>
  <c r="BA333" i="2"/>
  <c r="AZ333" i="2"/>
  <c r="AX333" i="2"/>
  <c r="AW333" i="2"/>
  <c r="AV333" i="2" s="1"/>
  <c r="AU333" i="2"/>
  <c r="AT333" i="2"/>
  <c r="AS333" i="2"/>
  <c r="AR333" i="2"/>
  <c r="AQ333" i="2"/>
  <c r="AK321" i="3" s="1"/>
  <c r="T321" i="3" s="1"/>
  <c r="AO333" i="2"/>
  <c r="AN333" i="2"/>
  <c r="AL333" i="2"/>
  <c r="AK333" i="2"/>
  <c r="AD321" i="3" s="1"/>
  <c r="K321" i="3" s="1"/>
  <c r="AJ333" i="2"/>
  <c r="AI333" i="2"/>
  <c r="AH333" i="2"/>
  <c r="AG321" i="3" s="1"/>
  <c r="N321" i="3" s="1"/>
  <c r="AG333" i="2"/>
  <c r="AD333" i="2"/>
  <c r="AC333" i="2"/>
  <c r="Z333" i="2"/>
  <c r="Y333" i="2"/>
  <c r="X333" i="2"/>
  <c r="W333" i="2"/>
  <c r="V333" i="2"/>
  <c r="U333" i="2" s="1"/>
  <c r="J333" i="2"/>
  <c r="BO332" i="2"/>
  <c r="AF332" i="3" s="1"/>
  <c r="M332" i="3" s="1"/>
  <c r="BN332" i="2"/>
  <c r="AH332" i="3" s="1"/>
  <c r="O332" i="3" s="1"/>
  <c r="BM332" i="2"/>
  <c r="AM332" i="3" s="1"/>
  <c r="BL332" i="2"/>
  <c r="BK332" i="2"/>
  <c r="BI332" i="2"/>
  <c r="BH332" i="2"/>
  <c r="BG332" i="2"/>
  <c r="BF332" i="2"/>
  <c r="AO332" i="3" s="1"/>
  <c r="X332" i="3" s="1"/>
  <c r="BE332" i="2"/>
  <c r="BD332" i="2"/>
  <c r="AI332" i="3" s="1"/>
  <c r="U332" i="3" s="1"/>
  <c r="BC332" i="2"/>
  <c r="BB332" i="2" s="1"/>
  <c r="BA332" i="2"/>
  <c r="AZ332" i="2"/>
  <c r="AJ332" i="3" s="1"/>
  <c r="AX332" i="2"/>
  <c r="AW332" i="2"/>
  <c r="AV332" i="2" s="1"/>
  <c r="AU332" i="2"/>
  <c r="AT332" i="2"/>
  <c r="AS332" i="2"/>
  <c r="AR332" i="2"/>
  <c r="AQ332" i="2"/>
  <c r="AO332" i="2"/>
  <c r="AN332" i="2"/>
  <c r="AL332" i="2"/>
  <c r="AK332" i="2"/>
  <c r="AD332" i="3" s="1"/>
  <c r="K332" i="3" s="1"/>
  <c r="AJ332" i="2"/>
  <c r="Z332" i="2" s="1"/>
  <c r="AI332" i="2"/>
  <c r="AH332" i="2"/>
  <c r="AD332" i="2"/>
  <c r="AC332" i="2"/>
  <c r="X332" i="2"/>
  <c r="W332" i="2"/>
  <c r="J332" i="2" s="1"/>
  <c r="V332" i="2"/>
  <c r="U332" i="2" s="1"/>
  <c r="BO331" i="2"/>
  <c r="AF330" i="3" s="1"/>
  <c r="M330" i="3" s="1"/>
  <c r="BN331" i="2"/>
  <c r="AH330" i="3" s="1"/>
  <c r="O330" i="3" s="1"/>
  <c r="BM331" i="2"/>
  <c r="AM330" i="3" s="1"/>
  <c r="Q330" i="3" s="1"/>
  <c r="BL331" i="2"/>
  <c r="BK331" i="2"/>
  <c r="BI331" i="2"/>
  <c r="BH331" i="2"/>
  <c r="BG331" i="2"/>
  <c r="BF331" i="2"/>
  <c r="AO330" i="3" s="1"/>
  <c r="X330" i="3" s="1"/>
  <c r="BE331" i="2"/>
  <c r="BD331" i="2"/>
  <c r="AI330" i="3" s="1"/>
  <c r="U330" i="3" s="1"/>
  <c r="BC331" i="2"/>
  <c r="BB331" i="2" s="1"/>
  <c r="BA331" i="2"/>
  <c r="AZ331" i="2"/>
  <c r="AJ330" i="3" s="1"/>
  <c r="W330" i="3" s="1"/>
  <c r="AY331" i="2"/>
  <c r="AE331" i="2" s="1"/>
  <c r="AX331" i="2"/>
  <c r="AW331" i="2"/>
  <c r="AV331" i="2" s="1"/>
  <c r="AU331" i="2"/>
  <c r="AS331" i="2" s="1"/>
  <c r="AC331" i="2" s="1"/>
  <c r="AT331" i="2"/>
  <c r="AL330" i="3" s="1"/>
  <c r="S330" i="3" s="1"/>
  <c r="AR331" i="2"/>
  <c r="AQ331" i="2"/>
  <c r="AO331" i="2"/>
  <c r="AN331" i="2"/>
  <c r="AE330" i="3" s="1"/>
  <c r="L330" i="3" s="1"/>
  <c r="AM331" i="2"/>
  <c r="AA331" i="2" s="1"/>
  <c r="AL331" i="2"/>
  <c r="AK331" i="2"/>
  <c r="AJ331" i="2" s="1"/>
  <c r="Z331" i="2" s="1"/>
  <c r="AI331" i="2"/>
  <c r="AH331" i="2"/>
  <c r="AG330" i="3" s="1"/>
  <c r="N330" i="3" s="1"/>
  <c r="AG331" i="2"/>
  <c r="Y331" i="2" s="1"/>
  <c r="AD331" i="2"/>
  <c r="X331" i="2"/>
  <c r="W331" i="2"/>
  <c r="V331" i="2"/>
  <c r="U331" i="2" s="1"/>
  <c r="J331" i="2"/>
  <c r="BO330" i="2"/>
  <c r="AF176" i="3" s="1"/>
  <c r="M176" i="3" s="1"/>
  <c r="BN330" i="2"/>
  <c r="AH176" i="3" s="1"/>
  <c r="BM330" i="2"/>
  <c r="AM176" i="3" s="1"/>
  <c r="Q176" i="3" s="1"/>
  <c r="BL330" i="2"/>
  <c r="BK330" i="2"/>
  <c r="BI330" i="2"/>
  <c r="BH330" i="2"/>
  <c r="BG330" i="2"/>
  <c r="BF330" i="2"/>
  <c r="AO176" i="3" s="1"/>
  <c r="X176" i="3" s="1"/>
  <c r="BD330" i="2"/>
  <c r="BC330" i="2"/>
  <c r="BB330" i="2" s="1"/>
  <c r="BA330" i="2"/>
  <c r="AZ330" i="2"/>
  <c r="AJ176" i="3" s="1"/>
  <c r="W176" i="3" s="1"/>
  <c r="AX330" i="2"/>
  <c r="AW330" i="2"/>
  <c r="AV330" i="2" s="1"/>
  <c r="AU330" i="2"/>
  <c r="AT330" i="2"/>
  <c r="AL176" i="3" s="1"/>
  <c r="S176" i="3" s="1"/>
  <c r="AS330" i="2"/>
  <c r="AR330" i="2"/>
  <c r="AQ330" i="2"/>
  <c r="AK176" i="3" s="1"/>
  <c r="T176" i="3" s="1"/>
  <c r="AP330" i="2"/>
  <c r="AO330" i="2"/>
  <c r="AN330" i="2"/>
  <c r="AE176" i="3" s="1"/>
  <c r="L176" i="3" s="1"/>
  <c r="AM330" i="2"/>
  <c r="AA330" i="2" s="1"/>
  <c r="AL330" i="2"/>
  <c r="AK330" i="2"/>
  <c r="AD176" i="3" s="1"/>
  <c r="AJ330" i="2"/>
  <c r="Z330" i="2" s="1"/>
  <c r="AI330" i="2"/>
  <c r="AH330" i="2"/>
  <c r="AG330" i="2" s="1"/>
  <c r="Y330" i="2" s="1"/>
  <c r="AD330" i="2"/>
  <c r="AC330" i="2"/>
  <c r="AB330" i="2"/>
  <c r="X330" i="2"/>
  <c r="W330" i="2"/>
  <c r="J330" i="2" s="1"/>
  <c r="V330" i="2"/>
  <c r="U330" i="2"/>
  <c r="BO329" i="2"/>
  <c r="BN329" i="2"/>
  <c r="AH63" i="3" s="1"/>
  <c r="BM329" i="2"/>
  <c r="AM63" i="3" s="1"/>
  <c r="BL329" i="2"/>
  <c r="BK329" i="2"/>
  <c r="BI329" i="2"/>
  <c r="BH329" i="2"/>
  <c r="BG329" i="2"/>
  <c r="BF329" i="2"/>
  <c r="AO63" i="3" s="1"/>
  <c r="BD329" i="2"/>
  <c r="AI63" i="3" s="1"/>
  <c r="BC329" i="2"/>
  <c r="BB329" i="2"/>
  <c r="AD329" i="2" s="1"/>
  <c r="BA329" i="2"/>
  <c r="AZ329" i="2"/>
  <c r="AJ63" i="3" s="1"/>
  <c r="AY329" i="2"/>
  <c r="AE329" i="2" s="1"/>
  <c r="AX329" i="2"/>
  <c r="AW329" i="2"/>
  <c r="AV329" i="2" s="1"/>
  <c r="AU329" i="2"/>
  <c r="AS329" i="2" s="1"/>
  <c r="AC329" i="2" s="1"/>
  <c r="AT329" i="2"/>
  <c r="AL63" i="3" s="1"/>
  <c r="S63" i="3" s="1"/>
  <c r="AR329" i="2"/>
  <c r="AQ329" i="2"/>
  <c r="AO329" i="2"/>
  <c r="AN329" i="2"/>
  <c r="AE63" i="3" s="1"/>
  <c r="AM329" i="2"/>
  <c r="AL329" i="2"/>
  <c r="AK329" i="2"/>
  <c r="AD63" i="3" s="1"/>
  <c r="K63" i="3" s="1"/>
  <c r="AI329" i="2"/>
  <c r="AH329" i="2"/>
  <c r="AG329" i="2"/>
  <c r="AA329" i="2"/>
  <c r="Y329" i="2"/>
  <c r="X329" i="2"/>
  <c r="W329" i="2"/>
  <c r="J329" i="2" s="1"/>
  <c r="V329" i="2"/>
  <c r="U329" i="2"/>
  <c r="BO328" i="2"/>
  <c r="BN328" i="2"/>
  <c r="BM328" i="2"/>
  <c r="AM138" i="3" s="1"/>
  <c r="Q138" i="3" s="1"/>
  <c r="BL328" i="2"/>
  <c r="BK328" i="2"/>
  <c r="BI328" i="2"/>
  <c r="BH328" i="2" s="1"/>
  <c r="BG328" i="2"/>
  <c r="BF328" i="2"/>
  <c r="AO138" i="3" s="1"/>
  <c r="X138" i="3" s="1"/>
  <c r="BE328" i="2"/>
  <c r="BD328" i="2"/>
  <c r="AI138" i="3" s="1"/>
  <c r="U138" i="3" s="1"/>
  <c r="BC328" i="2"/>
  <c r="BB328" i="2"/>
  <c r="AD328" i="2" s="1"/>
  <c r="BA328" i="2"/>
  <c r="AZ328" i="2"/>
  <c r="AY328" i="2"/>
  <c r="AE328" i="2" s="1"/>
  <c r="AX328" i="2"/>
  <c r="AW328" i="2"/>
  <c r="AV328" i="2"/>
  <c r="AU328" i="2"/>
  <c r="AT328" i="2"/>
  <c r="AR328" i="2"/>
  <c r="AQ328" i="2"/>
  <c r="AO328" i="2"/>
  <c r="AN328" i="2"/>
  <c r="AE138" i="3" s="1"/>
  <c r="L138" i="3" s="1"/>
  <c r="AL328" i="2"/>
  <c r="AJ328" i="2" s="1"/>
  <c r="AK328" i="2"/>
  <c r="AI328" i="2"/>
  <c r="AH328" i="2"/>
  <c r="AG328" i="2"/>
  <c r="Z328" i="2"/>
  <c r="Y328" i="2"/>
  <c r="X328" i="2"/>
  <c r="W328" i="2"/>
  <c r="V328" i="2"/>
  <c r="U328" i="2"/>
  <c r="J328" i="2"/>
  <c r="BO327" i="2"/>
  <c r="AF221" i="3" s="1"/>
  <c r="M221" i="3" s="1"/>
  <c r="BN327" i="2"/>
  <c r="AH221" i="3" s="1"/>
  <c r="O221" i="3" s="1"/>
  <c r="BM327" i="2"/>
  <c r="AM221" i="3" s="1"/>
  <c r="BL327" i="2"/>
  <c r="BH327" i="2" s="1"/>
  <c r="BK327" i="2"/>
  <c r="AN221" i="3" s="1"/>
  <c r="R221" i="3" s="1"/>
  <c r="BI327" i="2"/>
  <c r="BG327" i="2"/>
  <c r="BE327" i="2" s="1"/>
  <c r="BF327" i="2"/>
  <c r="AO221" i="3" s="1"/>
  <c r="X221" i="3" s="1"/>
  <c r="BD327" i="2"/>
  <c r="BC327" i="2"/>
  <c r="BA327" i="2"/>
  <c r="AZ327" i="2"/>
  <c r="AJ221" i="3" s="1"/>
  <c r="AY327" i="2"/>
  <c r="AX327" i="2"/>
  <c r="AW327" i="2"/>
  <c r="AV327" i="2" s="1"/>
  <c r="AU327" i="2"/>
  <c r="AT327" i="2"/>
  <c r="AL221" i="3" s="1"/>
  <c r="S221" i="3" s="1"/>
  <c r="AS327" i="2"/>
  <c r="AC327" i="2" s="1"/>
  <c r="AR327" i="2"/>
  <c r="AP327" i="2" s="1"/>
  <c r="AB327" i="2" s="1"/>
  <c r="AQ327" i="2"/>
  <c r="AK221" i="3" s="1"/>
  <c r="AO327" i="2"/>
  <c r="AN327" i="2"/>
  <c r="AL327" i="2"/>
  <c r="AK327" i="2"/>
  <c r="AI327" i="2"/>
  <c r="AH327" i="2"/>
  <c r="AE327" i="2"/>
  <c r="X327" i="2"/>
  <c r="W327" i="2"/>
  <c r="J327" i="2" s="1"/>
  <c r="V327" i="2"/>
  <c r="U327" i="2"/>
  <c r="BO326" i="2"/>
  <c r="AF309" i="3" s="1"/>
  <c r="M309" i="3" s="1"/>
  <c r="BN326" i="2"/>
  <c r="AH309" i="3" s="1"/>
  <c r="O309" i="3" s="1"/>
  <c r="BM326" i="2"/>
  <c r="AM309" i="3" s="1"/>
  <c r="Q309" i="3" s="1"/>
  <c r="BL326" i="2"/>
  <c r="BJ326" i="2" s="1"/>
  <c r="BK326" i="2"/>
  <c r="AN309" i="3" s="1"/>
  <c r="BI326" i="2"/>
  <c r="BH326" i="2"/>
  <c r="BG326" i="2"/>
  <c r="BF326" i="2"/>
  <c r="AO309" i="3" s="1"/>
  <c r="X309" i="3" s="1"/>
  <c r="BE326" i="2"/>
  <c r="BD326" i="2"/>
  <c r="AI309" i="3" s="1"/>
  <c r="U309" i="3" s="1"/>
  <c r="BC326" i="2"/>
  <c r="BB326" i="2"/>
  <c r="AD326" i="2" s="1"/>
  <c r="BA326" i="2"/>
  <c r="AZ326" i="2"/>
  <c r="AJ309" i="3" s="1"/>
  <c r="W309" i="3" s="1"/>
  <c r="AY326" i="2"/>
  <c r="AE326" i="2" s="1"/>
  <c r="AX326" i="2"/>
  <c r="AW326" i="2"/>
  <c r="AV326" i="2"/>
  <c r="AU326" i="2"/>
  <c r="AT326" i="2"/>
  <c r="AL309" i="3" s="1"/>
  <c r="AR326" i="2"/>
  <c r="AQ326" i="2"/>
  <c r="AK309" i="3" s="1"/>
  <c r="T309" i="3" s="1"/>
  <c r="AP326" i="2"/>
  <c r="AB326" i="2" s="1"/>
  <c r="AO326" i="2"/>
  <c r="AN326" i="2"/>
  <c r="AE309" i="3" s="1"/>
  <c r="L309" i="3" s="1"/>
  <c r="AM326" i="2"/>
  <c r="AA326" i="2" s="1"/>
  <c r="AL326" i="2"/>
  <c r="AK326" i="2"/>
  <c r="AD309" i="3" s="1"/>
  <c r="K309" i="3" s="1"/>
  <c r="AJ326" i="2"/>
  <c r="Z326" i="2" s="1"/>
  <c r="AI326" i="2"/>
  <c r="AH326" i="2"/>
  <c r="AG309" i="3" s="1"/>
  <c r="N309" i="3" s="1"/>
  <c r="AG326" i="2"/>
  <c r="AF326" i="2"/>
  <c r="Y326" i="2"/>
  <c r="X326" i="2"/>
  <c r="W326" i="2"/>
  <c r="V326" i="2"/>
  <c r="U326" i="2"/>
  <c r="J326" i="2"/>
  <c r="BO325" i="2"/>
  <c r="BN325" i="2"/>
  <c r="BM325" i="2"/>
  <c r="AM184" i="3" s="1"/>
  <c r="Q184" i="3" s="1"/>
  <c r="BL325" i="2"/>
  <c r="BK325" i="2"/>
  <c r="AN184" i="3" s="1"/>
  <c r="R184" i="3" s="1"/>
  <c r="BI325" i="2"/>
  <c r="BH325" i="2"/>
  <c r="BG325" i="2"/>
  <c r="BF325" i="2"/>
  <c r="AO184" i="3" s="1"/>
  <c r="X184" i="3" s="1"/>
  <c r="BE325" i="2"/>
  <c r="BD325" i="2"/>
  <c r="AI184" i="3" s="1"/>
  <c r="U184" i="3" s="1"/>
  <c r="BC325" i="2"/>
  <c r="BB325" i="2"/>
  <c r="BA325" i="2"/>
  <c r="AZ325" i="2"/>
  <c r="AJ184" i="3" s="1"/>
  <c r="W184" i="3" s="1"/>
  <c r="AY325" i="2"/>
  <c r="AX325" i="2"/>
  <c r="AW325" i="2"/>
  <c r="AV325" i="2"/>
  <c r="AU325" i="2"/>
  <c r="AS325" i="2" s="1"/>
  <c r="AC325" i="2" s="1"/>
  <c r="AT325" i="2"/>
  <c r="AL184" i="3" s="1"/>
  <c r="S184" i="3" s="1"/>
  <c r="AR325" i="2"/>
  <c r="AQ325" i="2"/>
  <c r="AK184" i="3" s="1"/>
  <c r="T184" i="3" s="1"/>
  <c r="AP325" i="2"/>
  <c r="AO325" i="2"/>
  <c r="AN325" i="2"/>
  <c r="AL325" i="2"/>
  <c r="AK325" i="2"/>
  <c r="AJ325" i="2"/>
  <c r="Z325" i="2" s="1"/>
  <c r="AI325" i="2"/>
  <c r="AH325" i="2"/>
  <c r="AG184" i="3" s="1"/>
  <c r="AE325" i="2"/>
  <c r="AD325" i="2"/>
  <c r="AB325" i="2"/>
  <c r="X325" i="2"/>
  <c r="W325" i="2"/>
  <c r="V325" i="2"/>
  <c r="U325" i="2"/>
  <c r="J325" i="2"/>
  <c r="BO324" i="2"/>
  <c r="AF266" i="3" s="1"/>
  <c r="M266" i="3" s="1"/>
  <c r="BN324" i="2"/>
  <c r="AH266" i="3" s="1"/>
  <c r="O266" i="3" s="1"/>
  <c r="BM324" i="2"/>
  <c r="AM266" i="3" s="1"/>
  <c r="Q266" i="3" s="1"/>
  <c r="BL324" i="2"/>
  <c r="BK324" i="2"/>
  <c r="AN266" i="3" s="1"/>
  <c r="R266" i="3" s="1"/>
  <c r="BJ324" i="2"/>
  <c r="AF324" i="2" s="1"/>
  <c r="BI324" i="2"/>
  <c r="BH324" i="2" s="1"/>
  <c r="BG324" i="2"/>
  <c r="BF324" i="2"/>
  <c r="AO266" i="3" s="1"/>
  <c r="X266" i="3" s="1"/>
  <c r="BD324" i="2"/>
  <c r="AI266" i="3" s="1"/>
  <c r="U266" i="3" s="1"/>
  <c r="BC324" i="2"/>
  <c r="BB324" i="2"/>
  <c r="AD324" i="2" s="1"/>
  <c r="BA324" i="2"/>
  <c r="AZ324" i="2"/>
  <c r="AJ266" i="3" s="1"/>
  <c r="W266" i="3" s="1"/>
  <c r="AY324" i="2"/>
  <c r="AE324" i="2" s="1"/>
  <c r="AX324" i="2"/>
  <c r="AV324" i="2" s="1"/>
  <c r="AW324" i="2"/>
  <c r="AU324" i="2"/>
  <c r="AT324" i="2"/>
  <c r="AL266" i="3" s="1"/>
  <c r="S266" i="3" s="1"/>
  <c r="AS324" i="2"/>
  <c r="AC324" i="2" s="1"/>
  <c r="AR324" i="2"/>
  <c r="AQ324" i="2"/>
  <c r="AK266" i="3" s="1"/>
  <c r="T266" i="3" s="1"/>
  <c r="AO324" i="2"/>
  <c r="AN324" i="2"/>
  <c r="AE266" i="3" s="1"/>
  <c r="L266" i="3" s="1"/>
  <c r="AM324" i="2"/>
  <c r="AA324" i="2" s="1"/>
  <c r="AL324" i="2"/>
  <c r="AJ324" i="2" s="1"/>
  <c r="Z324" i="2" s="1"/>
  <c r="AK324" i="2"/>
  <c r="AD266" i="3" s="1"/>
  <c r="K266" i="3" s="1"/>
  <c r="AI324" i="2"/>
  <c r="AH324" i="2"/>
  <c r="AG266" i="3" s="1"/>
  <c r="N266" i="3" s="1"/>
  <c r="AG324" i="2"/>
  <c r="Y324" i="2" s="1"/>
  <c r="X324" i="2"/>
  <c r="W324" i="2"/>
  <c r="V324" i="2"/>
  <c r="U324" i="2"/>
  <c r="J324" i="2"/>
  <c r="BO323" i="2"/>
  <c r="BN323" i="2"/>
  <c r="BM323" i="2"/>
  <c r="BL323" i="2"/>
  <c r="BK323" i="2"/>
  <c r="BJ323" i="2"/>
  <c r="AF323" i="2" s="1"/>
  <c r="BI323" i="2"/>
  <c r="BH323" i="2" s="1"/>
  <c r="BG323" i="2"/>
  <c r="BF323" i="2"/>
  <c r="BE323" i="2"/>
  <c r="BD323" i="2"/>
  <c r="BC323" i="2"/>
  <c r="BB323" i="2" s="1"/>
  <c r="AD323" i="2" s="1"/>
  <c r="BA323" i="2"/>
  <c r="AZ323" i="2"/>
  <c r="AY323" i="2" s="1"/>
  <c r="AE323" i="2" s="1"/>
  <c r="AX323" i="2"/>
  <c r="AW323" i="2"/>
  <c r="AV323" i="2"/>
  <c r="AU323" i="2"/>
  <c r="AT323" i="2"/>
  <c r="AS323" i="2" s="1"/>
  <c r="AC323" i="2" s="1"/>
  <c r="AR323" i="2"/>
  <c r="AQ323" i="2"/>
  <c r="AP323" i="2" s="1"/>
  <c r="AB323" i="2" s="1"/>
  <c r="AO323" i="2"/>
  <c r="AN323" i="2"/>
  <c r="AM323" i="2" s="1"/>
  <c r="AA323" i="2" s="1"/>
  <c r="AL323" i="2"/>
  <c r="AK323" i="2"/>
  <c r="AJ323" i="2" s="1"/>
  <c r="AI323" i="2"/>
  <c r="AH323" i="2"/>
  <c r="AG323" i="2" s="1"/>
  <c r="Y323" i="2" s="1"/>
  <c r="Z323" i="2"/>
  <c r="X323" i="2"/>
  <c r="W323" i="2"/>
  <c r="V323" i="2"/>
  <c r="U323" i="2" s="1"/>
  <c r="J323" i="2"/>
  <c r="BO322" i="2"/>
  <c r="AF93" i="3" s="1"/>
  <c r="M93" i="3" s="1"/>
  <c r="BN322" i="2"/>
  <c r="AH93" i="3" s="1"/>
  <c r="O93" i="3" s="1"/>
  <c r="BM322" i="2"/>
  <c r="BL322" i="2"/>
  <c r="BK322" i="2"/>
  <c r="AN93" i="3" s="1"/>
  <c r="R93" i="3" s="1"/>
  <c r="BJ322" i="2"/>
  <c r="BI322" i="2"/>
  <c r="BH322" i="2"/>
  <c r="BG322" i="2"/>
  <c r="BF322" i="2"/>
  <c r="AO93" i="3" s="1"/>
  <c r="X93" i="3" s="1"/>
  <c r="BE322" i="2"/>
  <c r="BD322" i="2"/>
  <c r="BC322" i="2"/>
  <c r="BB322" i="2" s="1"/>
  <c r="AD322" i="2" s="1"/>
  <c r="BA322" i="2"/>
  <c r="AZ322" i="2"/>
  <c r="AY322" i="2"/>
  <c r="AE322" i="2" s="1"/>
  <c r="AX322" i="2"/>
  <c r="AW322" i="2"/>
  <c r="AV322" i="2" s="1"/>
  <c r="AU322" i="2"/>
  <c r="AT322" i="2"/>
  <c r="AS322" i="2"/>
  <c r="AR322" i="2"/>
  <c r="AQ322" i="2"/>
  <c r="AP322" i="2"/>
  <c r="AO322" i="2"/>
  <c r="AN322" i="2"/>
  <c r="AE93" i="3" s="1"/>
  <c r="AM322" i="2"/>
  <c r="AL322" i="2"/>
  <c r="AJ322" i="2" s="1"/>
  <c r="Z322" i="2" s="1"/>
  <c r="AK322" i="2"/>
  <c r="AD93" i="3" s="1"/>
  <c r="K93" i="3" s="1"/>
  <c r="AI322" i="2"/>
  <c r="AH322" i="2"/>
  <c r="AG93" i="3" s="1"/>
  <c r="N93" i="3" s="1"/>
  <c r="AG322" i="2"/>
  <c r="Y322" i="2" s="1"/>
  <c r="AF322" i="2"/>
  <c r="AC322" i="2"/>
  <c r="AB322" i="2"/>
  <c r="AA322" i="2"/>
  <c r="X322" i="2"/>
  <c r="W322" i="2"/>
  <c r="J322" i="2" s="1"/>
  <c r="V322" i="2"/>
  <c r="U322" i="2" s="1"/>
  <c r="BO321" i="2"/>
  <c r="BN321" i="2"/>
  <c r="AH69" i="3" s="1"/>
  <c r="O69" i="3" s="1"/>
  <c r="BM321" i="2"/>
  <c r="AM69" i="3" s="1"/>
  <c r="Q69" i="3" s="1"/>
  <c r="BL321" i="2"/>
  <c r="BK321" i="2"/>
  <c r="AN69" i="3" s="1"/>
  <c r="R69" i="3" s="1"/>
  <c r="BJ321" i="2"/>
  <c r="BI321" i="2"/>
  <c r="BH321" i="2"/>
  <c r="BG321" i="2"/>
  <c r="BF321" i="2"/>
  <c r="AO69" i="3" s="1"/>
  <c r="X69" i="3" s="1"/>
  <c r="BE321" i="2"/>
  <c r="BD321" i="2"/>
  <c r="AI69" i="3" s="1"/>
  <c r="U69" i="3" s="1"/>
  <c r="BC321" i="2"/>
  <c r="BB321" i="2"/>
  <c r="AD321" i="2" s="1"/>
  <c r="BA321" i="2"/>
  <c r="AZ321" i="2"/>
  <c r="AX321" i="2"/>
  <c r="AW321" i="2"/>
  <c r="AV321" i="2" s="1"/>
  <c r="AU321" i="2"/>
  <c r="AS321" i="2" s="1"/>
  <c r="AC321" i="2" s="1"/>
  <c r="AT321" i="2"/>
  <c r="AL69" i="3" s="1"/>
  <c r="S69" i="3" s="1"/>
  <c r="AR321" i="2"/>
  <c r="AQ321" i="2"/>
  <c r="AK69" i="3" s="1"/>
  <c r="T69" i="3" s="1"/>
  <c r="AO321" i="2"/>
  <c r="AM321" i="2" s="1"/>
  <c r="AA321" i="2" s="1"/>
  <c r="AN321" i="2"/>
  <c r="AL321" i="2"/>
  <c r="AJ321" i="2" s="1"/>
  <c r="AK321" i="2"/>
  <c r="AI321" i="2"/>
  <c r="AH321" i="2"/>
  <c r="AG321" i="2" s="1"/>
  <c r="Y321" i="2" s="1"/>
  <c r="AF321" i="2"/>
  <c r="Z321" i="2"/>
  <c r="X321" i="2"/>
  <c r="W321" i="2"/>
  <c r="V321" i="2"/>
  <c r="U321" i="2"/>
  <c r="J321" i="2"/>
  <c r="BO320" i="2"/>
  <c r="AF152" i="3" s="1"/>
  <c r="M152" i="3" s="1"/>
  <c r="BN320" i="2"/>
  <c r="AH152" i="3" s="1"/>
  <c r="O152" i="3" s="1"/>
  <c r="BM320" i="2"/>
  <c r="AM152" i="3" s="1"/>
  <c r="Q152" i="3" s="1"/>
  <c r="BL320" i="2"/>
  <c r="BK320" i="2"/>
  <c r="BI320" i="2"/>
  <c r="BH320" i="2" s="1"/>
  <c r="BG320" i="2"/>
  <c r="BF320" i="2"/>
  <c r="BD320" i="2"/>
  <c r="AI152" i="3" s="1"/>
  <c r="U152" i="3" s="1"/>
  <c r="BC320" i="2"/>
  <c r="BB320" i="2"/>
  <c r="BA320" i="2"/>
  <c r="AZ320" i="2"/>
  <c r="AX320" i="2"/>
  <c r="AW320" i="2"/>
  <c r="AV320" i="2" s="1"/>
  <c r="AU320" i="2"/>
  <c r="AT320" i="2"/>
  <c r="AR320" i="2"/>
  <c r="AQ320" i="2"/>
  <c r="AK152" i="3" s="1"/>
  <c r="T152" i="3" s="1"/>
  <c r="AP320" i="2"/>
  <c r="AO320" i="2"/>
  <c r="AN320" i="2"/>
  <c r="AE152" i="3" s="1"/>
  <c r="L152" i="3" s="1"/>
  <c r="AM320" i="2"/>
  <c r="AA320" i="2" s="1"/>
  <c r="AL320" i="2"/>
  <c r="AK320" i="2"/>
  <c r="AD152" i="3" s="1"/>
  <c r="K152" i="3" s="1"/>
  <c r="AJ320" i="2"/>
  <c r="Z320" i="2" s="1"/>
  <c r="AI320" i="2"/>
  <c r="AH320" i="2"/>
  <c r="AG152" i="3" s="1"/>
  <c r="N152" i="3" s="1"/>
  <c r="AD320" i="2"/>
  <c r="AB320" i="2"/>
  <c r="X320" i="2"/>
  <c r="W320" i="2"/>
  <c r="U320" i="2"/>
  <c r="J320" i="2"/>
  <c r="BO319" i="2"/>
  <c r="AF276" i="3" s="1"/>
  <c r="M276" i="3" s="1"/>
  <c r="BN319" i="2"/>
  <c r="AH276" i="3" s="1"/>
  <c r="O276" i="3" s="1"/>
  <c r="BM319" i="2"/>
  <c r="AM276" i="3" s="1"/>
  <c r="Q276" i="3" s="1"/>
  <c r="BL319" i="2"/>
  <c r="BH319" i="2" s="1"/>
  <c r="BK319" i="2"/>
  <c r="BI319" i="2"/>
  <c r="BG319" i="2"/>
  <c r="BF319" i="2"/>
  <c r="AO276" i="3" s="1"/>
  <c r="X276" i="3" s="1"/>
  <c r="BE319" i="2"/>
  <c r="BD319" i="2"/>
  <c r="BC319" i="2"/>
  <c r="BA319" i="2"/>
  <c r="AZ319" i="2"/>
  <c r="AX319" i="2"/>
  <c r="AW319" i="2"/>
  <c r="AV319" i="2" s="1"/>
  <c r="AU319" i="2"/>
  <c r="AS319" i="2" s="1"/>
  <c r="AC319" i="2" s="1"/>
  <c r="AT319" i="2"/>
  <c r="AL276" i="3" s="1"/>
  <c r="S276" i="3" s="1"/>
  <c r="AR319" i="2"/>
  <c r="AQ319" i="2"/>
  <c r="AK276" i="3" s="1"/>
  <c r="T276" i="3" s="1"/>
  <c r="AO319" i="2"/>
  <c r="AN319" i="2"/>
  <c r="AE276" i="3" s="1"/>
  <c r="L276" i="3" s="1"/>
  <c r="AM319" i="2"/>
  <c r="AA319" i="2" s="1"/>
  <c r="AL319" i="2"/>
  <c r="AJ319" i="2" s="1"/>
  <c r="Z319" i="2" s="1"/>
  <c r="AK319" i="2"/>
  <c r="AD276" i="3" s="1"/>
  <c r="K276" i="3" s="1"/>
  <c r="AI319" i="2"/>
  <c r="AG319" i="2" s="1"/>
  <c r="Y319" i="2" s="1"/>
  <c r="AH319" i="2"/>
  <c r="AG276" i="3" s="1"/>
  <c r="N276" i="3" s="1"/>
  <c r="X319" i="2"/>
  <c r="W319" i="2"/>
  <c r="V319" i="2"/>
  <c r="U319" i="2"/>
  <c r="J319" i="2"/>
  <c r="BO318" i="2"/>
  <c r="AF154" i="3" s="1"/>
  <c r="M154" i="3" s="1"/>
  <c r="BN318" i="2"/>
  <c r="AH154" i="3" s="1"/>
  <c r="O154" i="3" s="1"/>
  <c r="BM318" i="2"/>
  <c r="AM154" i="3" s="1"/>
  <c r="Q154" i="3" s="1"/>
  <c r="BL318" i="2"/>
  <c r="BK318" i="2"/>
  <c r="BI318" i="2"/>
  <c r="BH318" i="2"/>
  <c r="BG318" i="2"/>
  <c r="BF318" i="2"/>
  <c r="AO154" i="3" s="1"/>
  <c r="X154" i="3" s="1"/>
  <c r="BE318" i="2"/>
  <c r="BD318" i="2"/>
  <c r="AI154" i="3" s="1"/>
  <c r="U154" i="3" s="1"/>
  <c r="BC318" i="2"/>
  <c r="BB318" i="2" s="1"/>
  <c r="AD318" i="2" s="1"/>
  <c r="BA318" i="2"/>
  <c r="AZ318" i="2"/>
  <c r="AY318" i="2"/>
  <c r="AE318" i="2" s="1"/>
  <c r="AX318" i="2"/>
  <c r="AW318" i="2"/>
  <c r="AV318" i="2"/>
  <c r="AU318" i="2"/>
  <c r="AT318" i="2"/>
  <c r="AL154" i="3" s="1"/>
  <c r="S154" i="3" s="1"/>
  <c r="AR318" i="2"/>
  <c r="AQ318" i="2"/>
  <c r="AP318" i="2"/>
  <c r="AO318" i="2"/>
  <c r="AN318" i="2"/>
  <c r="AE154" i="3" s="1"/>
  <c r="L154" i="3" s="1"/>
  <c r="AM318" i="2"/>
  <c r="AL318" i="2"/>
  <c r="AK318" i="2"/>
  <c r="AD154" i="3" s="1"/>
  <c r="K154" i="3" s="1"/>
  <c r="AI318" i="2"/>
  <c r="AH318" i="2"/>
  <c r="AB318" i="2"/>
  <c r="AA318" i="2"/>
  <c r="X318" i="2"/>
  <c r="W318" i="2"/>
  <c r="J318" i="2" s="1"/>
  <c r="V318" i="2"/>
  <c r="U318" i="2" s="1"/>
  <c r="BO317" i="2"/>
  <c r="AF70" i="3" s="1"/>
  <c r="M70" i="3" s="1"/>
  <c r="BN317" i="2"/>
  <c r="AH70" i="3" s="1"/>
  <c r="O70" i="3" s="1"/>
  <c r="BM317" i="2"/>
  <c r="BL317" i="2"/>
  <c r="BK317" i="2"/>
  <c r="AN70" i="3" s="1"/>
  <c r="R70" i="3" s="1"/>
  <c r="BI317" i="2"/>
  <c r="BH317" i="2"/>
  <c r="BG317" i="2"/>
  <c r="BF317" i="2"/>
  <c r="BE317" i="2"/>
  <c r="BD317" i="2"/>
  <c r="BC317" i="2"/>
  <c r="BB317" i="2"/>
  <c r="AD317" i="2" s="1"/>
  <c r="BA317" i="2"/>
  <c r="AZ317" i="2"/>
  <c r="AJ70" i="3" s="1"/>
  <c r="W70" i="3" s="1"/>
  <c r="AX317" i="2"/>
  <c r="AW317" i="2"/>
  <c r="AV317" i="2"/>
  <c r="AU317" i="2"/>
  <c r="AS317" i="2" s="1"/>
  <c r="AC317" i="2" s="1"/>
  <c r="AT317" i="2"/>
  <c r="AR317" i="2"/>
  <c r="AQ317" i="2"/>
  <c r="AK70" i="3" s="1"/>
  <c r="T70" i="3" s="1"/>
  <c r="AP317" i="2"/>
  <c r="AB317" i="2" s="1"/>
  <c r="AO317" i="2"/>
  <c r="AN317" i="2"/>
  <c r="AM317" i="2"/>
  <c r="AA317" i="2" s="1"/>
  <c r="AL317" i="2"/>
  <c r="AK317" i="2"/>
  <c r="AJ317" i="2"/>
  <c r="Z317" i="2" s="1"/>
  <c r="AI317" i="2"/>
  <c r="AH317" i="2"/>
  <c r="AG70" i="3" s="1"/>
  <c r="N70" i="3" s="1"/>
  <c r="AG317" i="2"/>
  <c r="Y317" i="2" s="1"/>
  <c r="X317" i="2"/>
  <c r="W317" i="2"/>
  <c r="J317" i="2" s="1"/>
  <c r="V317" i="2"/>
  <c r="U317" i="2" s="1"/>
  <c r="BO316" i="2"/>
  <c r="AF116" i="3" s="1"/>
  <c r="M116" i="3" s="1"/>
  <c r="BN316" i="2"/>
  <c r="BM316" i="2"/>
  <c r="AM116" i="3" s="1"/>
  <c r="Q116" i="3" s="1"/>
  <c r="BL316" i="2"/>
  <c r="BK316" i="2"/>
  <c r="AN116" i="3" s="1"/>
  <c r="R116" i="3" s="1"/>
  <c r="BJ316" i="2"/>
  <c r="BI316" i="2"/>
  <c r="BH316" i="2" s="1"/>
  <c r="BG316" i="2"/>
  <c r="BF316" i="2"/>
  <c r="BD316" i="2"/>
  <c r="AI116" i="3" s="1"/>
  <c r="U116" i="3" s="1"/>
  <c r="BC316" i="2"/>
  <c r="BB316" i="2" s="1"/>
  <c r="AD316" i="2" s="1"/>
  <c r="BA316" i="2"/>
  <c r="AZ316" i="2"/>
  <c r="AJ116" i="3" s="1"/>
  <c r="W116" i="3" s="1"/>
  <c r="AX316" i="2"/>
  <c r="AW316" i="2"/>
  <c r="AV316" i="2" s="1"/>
  <c r="AU316" i="2"/>
  <c r="AS316" i="2" s="1"/>
  <c r="AC316" i="2" s="1"/>
  <c r="AT316" i="2"/>
  <c r="AL116" i="3" s="1"/>
  <c r="S116" i="3" s="1"/>
  <c r="AR316" i="2"/>
  <c r="AQ316" i="2"/>
  <c r="AO316" i="2"/>
  <c r="AN316" i="2"/>
  <c r="AE116" i="3" s="1"/>
  <c r="L116" i="3" s="1"/>
  <c r="AM316" i="2"/>
  <c r="AL316" i="2"/>
  <c r="AK316" i="2"/>
  <c r="AJ316" i="2"/>
  <c r="AI316" i="2"/>
  <c r="AH316" i="2"/>
  <c r="AG116" i="3" s="1"/>
  <c r="N116" i="3" s="1"/>
  <c r="AG316" i="2"/>
  <c r="Y316" i="2" s="1"/>
  <c r="AF316" i="2"/>
  <c r="AA316" i="2"/>
  <c r="Z316" i="2"/>
  <c r="X316" i="2"/>
  <c r="W316" i="2"/>
  <c r="J316" i="2" s="1"/>
  <c r="V316" i="2"/>
  <c r="U316" i="2"/>
  <c r="BO315" i="2"/>
  <c r="AF20" i="3" s="1"/>
  <c r="M20" i="3" s="1"/>
  <c r="BN315" i="2"/>
  <c r="BM315" i="2"/>
  <c r="AM20" i="3" s="1"/>
  <c r="Q20" i="3" s="1"/>
  <c r="BL315" i="2"/>
  <c r="BK315" i="2"/>
  <c r="BJ315" i="2" s="1"/>
  <c r="AF315" i="2" s="1"/>
  <c r="BI315" i="2"/>
  <c r="BH315" i="2"/>
  <c r="BG315" i="2"/>
  <c r="BF315" i="2"/>
  <c r="BE315" i="2"/>
  <c r="BD315" i="2"/>
  <c r="AI20" i="3" s="1"/>
  <c r="BC315" i="2"/>
  <c r="BB315" i="2"/>
  <c r="AD315" i="2" s="1"/>
  <c r="BA315" i="2"/>
  <c r="AZ315" i="2"/>
  <c r="AJ20" i="3" s="1"/>
  <c r="W20" i="3" s="1"/>
  <c r="AX315" i="2"/>
  <c r="AW315" i="2"/>
  <c r="AV315" i="2"/>
  <c r="AU315" i="2"/>
  <c r="AT315" i="2"/>
  <c r="AS315" i="2"/>
  <c r="AC315" i="2" s="1"/>
  <c r="AR315" i="2"/>
  <c r="AQ315" i="2"/>
  <c r="AO315" i="2"/>
  <c r="AN315" i="2"/>
  <c r="AE20" i="3" s="1"/>
  <c r="AM315" i="2"/>
  <c r="AA315" i="2" s="1"/>
  <c r="AL315" i="2"/>
  <c r="AK315" i="2"/>
  <c r="AD20" i="3" s="1"/>
  <c r="K20" i="3" s="1"/>
  <c r="AJ315" i="2"/>
  <c r="Z315" i="2" s="1"/>
  <c r="AI315" i="2"/>
  <c r="AH315" i="2"/>
  <c r="AG20" i="3" s="1"/>
  <c r="N20" i="3" s="1"/>
  <c r="X315" i="2"/>
  <c r="W315" i="2"/>
  <c r="V315" i="2"/>
  <c r="U315" i="2"/>
  <c r="J315" i="2"/>
  <c r="BO314" i="2"/>
  <c r="AF210" i="3" s="1"/>
  <c r="M210" i="3" s="1"/>
  <c r="BN314" i="2"/>
  <c r="AH210" i="3" s="1"/>
  <c r="O210" i="3" s="1"/>
  <c r="BM314" i="2"/>
  <c r="AM210" i="3" s="1"/>
  <c r="Q210" i="3" s="1"/>
  <c r="BL314" i="2"/>
  <c r="BK314" i="2"/>
  <c r="BI314" i="2"/>
  <c r="BH314" i="2" s="1"/>
  <c r="BG314" i="2"/>
  <c r="BF314" i="2"/>
  <c r="AO210" i="3" s="1"/>
  <c r="X210" i="3" s="1"/>
  <c r="BE314" i="2"/>
  <c r="BD314" i="2"/>
  <c r="AI210" i="3" s="1"/>
  <c r="U210" i="3" s="1"/>
  <c r="BC314" i="2"/>
  <c r="BB314" i="2" s="1"/>
  <c r="AD314" i="2" s="1"/>
  <c r="BA314" i="2"/>
  <c r="AZ314" i="2"/>
  <c r="AJ210" i="3" s="1"/>
  <c r="W210" i="3" s="1"/>
  <c r="AY314" i="2"/>
  <c r="AE314" i="2" s="1"/>
  <c r="AX314" i="2"/>
  <c r="AW314" i="2"/>
  <c r="AV314" i="2"/>
  <c r="AU314" i="2"/>
  <c r="AT314" i="2"/>
  <c r="AL210" i="3" s="1"/>
  <c r="S210" i="3" s="1"/>
  <c r="AR314" i="2"/>
  <c r="AQ314" i="2"/>
  <c r="AK210" i="3" s="1"/>
  <c r="AO314" i="2"/>
  <c r="AN314" i="2"/>
  <c r="AE210" i="3" s="1"/>
  <c r="L210" i="3" s="1"/>
  <c r="AM314" i="2"/>
  <c r="AA314" i="2" s="1"/>
  <c r="AL314" i="2"/>
  <c r="AK314" i="2"/>
  <c r="AJ314" i="2"/>
  <c r="AI314" i="2"/>
  <c r="AG314" i="2" s="1"/>
  <c r="AH314" i="2"/>
  <c r="AG210" i="3" s="1"/>
  <c r="N210" i="3" s="1"/>
  <c r="Z314" i="2"/>
  <c r="Y314" i="2"/>
  <c r="X314" i="2"/>
  <c r="W314" i="2"/>
  <c r="J314" i="2" s="1"/>
  <c r="V314" i="2"/>
  <c r="U314" i="2"/>
  <c r="BO313" i="2"/>
  <c r="AF197" i="3" s="1"/>
  <c r="M197" i="3" s="1"/>
  <c r="BN313" i="2"/>
  <c r="AH197" i="3" s="1"/>
  <c r="O197" i="3" s="1"/>
  <c r="BM313" i="2"/>
  <c r="AM197" i="3" s="1"/>
  <c r="Q197" i="3" s="1"/>
  <c r="BL313" i="2"/>
  <c r="BK313" i="2"/>
  <c r="AN197" i="3" s="1"/>
  <c r="R197" i="3" s="1"/>
  <c r="BI313" i="2"/>
  <c r="BH313" i="2" s="1"/>
  <c r="BG313" i="2"/>
  <c r="BF313" i="2"/>
  <c r="AO197" i="3" s="1"/>
  <c r="X197" i="3" s="1"/>
  <c r="BE313" i="2"/>
  <c r="BD313" i="2"/>
  <c r="AI197" i="3" s="1"/>
  <c r="U197" i="3" s="1"/>
  <c r="BC313" i="2"/>
  <c r="BB313" i="2" s="1"/>
  <c r="AD313" i="2" s="1"/>
  <c r="BA313" i="2"/>
  <c r="AZ313" i="2"/>
  <c r="AJ197" i="3" s="1"/>
  <c r="AY313" i="2"/>
  <c r="AE313" i="2" s="1"/>
  <c r="AX313" i="2"/>
  <c r="AW313" i="2"/>
  <c r="AV313" i="2" s="1"/>
  <c r="AU313" i="2"/>
  <c r="AT313" i="2"/>
  <c r="AR313" i="2"/>
  <c r="AQ313" i="2"/>
  <c r="AO313" i="2"/>
  <c r="AN313" i="2"/>
  <c r="AE197" i="3" s="1"/>
  <c r="L197" i="3" s="1"/>
  <c r="AM313" i="2"/>
  <c r="AL313" i="2"/>
  <c r="AK313" i="2"/>
  <c r="AI313" i="2"/>
  <c r="AH313" i="2"/>
  <c r="AG197" i="3" s="1"/>
  <c r="N197" i="3" s="1"/>
  <c r="AA313" i="2"/>
  <c r="X313" i="2"/>
  <c r="W313" i="2"/>
  <c r="J313" i="2" s="1"/>
  <c r="V313" i="2"/>
  <c r="U313" i="2" s="1"/>
  <c r="BO312" i="2"/>
  <c r="BN312" i="2"/>
  <c r="AH92" i="3" s="1"/>
  <c r="O92" i="3" s="1"/>
  <c r="BM312" i="2"/>
  <c r="AM92" i="3" s="1"/>
  <c r="Q92" i="3" s="1"/>
  <c r="BL312" i="2"/>
  <c r="BK312" i="2"/>
  <c r="BJ312" i="2" s="1"/>
  <c r="AF312" i="2" s="1"/>
  <c r="BI312" i="2"/>
  <c r="BH312" i="2"/>
  <c r="BG312" i="2"/>
  <c r="BF312" i="2"/>
  <c r="AO92" i="3" s="1"/>
  <c r="X92" i="3" s="1"/>
  <c r="BE312" i="2"/>
  <c r="BD312" i="2"/>
  <c r="AI92" i="3" s="1"/>
  <c r="U92" i="3" s="1"/>
  <c r="BC312" i="2"/>
  <c r="BB312" i="2"/>
  <c r="BA312" i="2"/>
  <c r="AZ312" i="2"/>
  <c r="AJ92" i="3" s="1"/>
  <c r="W92" i="3" s="1"/>
  <c r="AX312" i="2"/>
  <c r="AW312" i="2"/>
  <c r="AV312" i="2" s="1"/>
  <c r="AU312" i="2"/>
  <c r="AS312" i="2" s="1"/>
  <c r="AT312" i="2"/>
  <c r="AR312" i="2"/>
  <c r="AQ312" i="2"/>
  <c r="AK92" i="3" s="1"/>
  <c r="T92" i="3" s="1"/>
  <c r="AP312" i="2"/>
  <c r="AB312" i="2" s="1"/>
  <c r="AO312" i="2"/>
  <c r="AN312" i="2"/>
  <c r="AE92" i="3" s="1"/>
  <c r="AM312" i="2"/>
  <c r="AA312" i="2" s="1"/>
  <c r="AL312" i="2"/>
  <c r="AK312" i="2"/>
  <c r="AD92" i="3" s="1"/>
  <c r="AJ312" i="2"/>
  <c r="AI312" i="2"/>
  <c r="AH312" i="2"/>
  <c r="AG92" i="3" s="1"/>
  <c r="AG312" i="2"/>
  <c r="AD312" i="2"/>
  <c r="AC312" i="2"/>
  <c r="Z312" i="2"/>
  <c r="Y312" i="2"/>
  <c r="X312" i="2"/>
  <c r="W312" i="2"/>
  <c r="V312" i="2"/>
  <c r="U312" i="2" s="1"/>
  <c r="J312" i="2"/>
  <c r="BO311" i="2"/>
  <c r="AF206" i="3" s="1"/>
  <c r="M206" i="3" s="1"/>
  <c r="BN311" i="2"/>
  <c r="AH206" i="3" s="1"/>
  <c r="O206" i="3" s="1"/>
  <c r="BM311" i="2"/>
  <c r="AM206" i="3" s="1"/>
  <c r="Q206" i="3" s="1"/>
  <c r="BL311" i="2"/>
  <c r="BK311" i="2"/>
  <c r="AN206" i="3" s="1"/>
  <c r="R206" i="3" s="1"/>
  <c r="BI311" i="2"/>
  <c r="BH311" i="2"/>
  <c r="BG311" i="2"/>
  <c r="BE311" i="2" s="1"/>
  <c r="BF311" i="2"/>
  <c r="AO206" i="3" s="1"/>
  <c r="X206" i="3" s="1"/>
  <c r="BD311" i="2"/>
  <c r="AI206" i="3" s="1"/>
  <c r="U206" i="3" s="1"/>
  <c r="BC311" i="2"/>
  <c r="BA311" i="2"/>
  <c r="AZ311" i="2"/>
  <c r="AJ206" i="3" s="1"/>
  <c r="W206" i="3" s="1"/>
  <c r="AY311" i="2"/>
  <c r="AX311" i="2"/>
  <c r="AV311" i="2" s="1"/>
  <c r="AW311" i="2"/>
  <c r="AU311" i="2"/>
  <c r="AT311" i="2"/>
  <c r="AR311" i="2"/>
  <c r="AQ311" i="2"/>
  <c r="AK206" i="3" s="1"/>
  <c r="T206" i="3" s="1"/>
  <c r="AO311" i="2"/>
  <c r="AN311" i="2"/>
  <c r="AE206" i="3" s="1"/>
  <c r="L206" i="3" s="1"/>
  <c r="AM311" i="2"/>
  <c r="AI311" i="2"/>
  <c r="AG311" i="2" s="1"/>
  <c r="Y311" i="2" s="1"/>
  <c r="AH311" i="2"/>
  <c r="AG206" i="3" s="1"/>
  <c r="N206" i="3" s="1"/>
  <c r="AE311" i="2"/>
  <c r="AA311" i="2"/>
  <c r="X311" i="2"/>
  <c r="W311" i="2"/>
  <c r="J311" i="2" s="1"/>
  <c r="V311" i="2"/>
  <c r="U311" i="2" s="1"/>
  <c r="BO310" i="2"/>
  <c r="BN310" i="2"/>
  <c r="AH111" i="3" s="1"/>
  <c r="O111" i="3" s="1"/>
  <c r="BM310" i="2"/>
  <c r="AM111" i="3" s="1"/>
  <c r="Q111" i="3" s="1"/>
  <c r="BL310" i="2"/>
  <c r="BK310" i="2"/>
  <c r="AN111" i="3" s="1"/>
  <c r="R111" i="3" s="1"/>
  <c r="BI310" i="2"/>
  <c r="BH310" i="2" s="1"/>
  <c r="BG310" i="2"/>
  <c r="BF310" i="2"/>
  <c r="AO111" i="3" s="1"/>
  <c r="X111" i="3" s="1"/>
  <c r="BE310" i="2"/>
  <c r="BD310" i="2"/>
  <c r="AI111" i="3" s="1"/>
  <c r="U111" i="3" s="1"/>
  <c r="BC310" i="2"/>
  <c r="BB310" i="2" s="1"/>
  <c r="AD310" i="2" s="1"/>
  <c r="BA310" i="2"/>
  <c r="AZ310" i="2"/>
  <c r="AJ111" i="3" s="1"/>
  <c r="W111" i="3" s="1"/>
  <c r="AY310" i="2"/>
  <c r="AX310" i="2"/>
  <c r="AW310" i="2"/>
  <c r="AV310" i="2"/>
  <c r="AU310" i="2"/>
  <c r="AS310" i="2" s="1"/>
  <c r="AC310" i="2" s="1"/>
  <c r="AT310" i="2"/>
  <c r="AL111" i="3" s="1"/>
  <c r="S111" i="3" s="1"/>
  <c r="AR310" i="2"/>
  <c r="AQ310" i="2"/>
  <c r="AK111" i="3" s="1"/>
  <c r="T111" i="3" s="1"/>
  <c r="AP310" i="2"/>
  <c r="AB310" i="2" s="1"/>
  <c r="AO310" i="2"/>
  <c r="AN310" i="2"/>
  <c r="AM310" i="2"/>
  <c r="AL310" i="2"/>
  <c r="AK310" i="2"/>
  <c r="AD111" i="3" s="1"/>
  <c r="K111" i="3" s="1"/>
  <c r="AJ310" i="2"/>
  <c r="Z310" i="2" s="1"/>
  <c r="AI310" i="2"/>
  <c r="AH310" i="2"/>
  <c r="AE310" i="2"/>
  <c r="AA310" i="2"/>
  <c r="X310" i="2"/>
  <c r="W310" i="2"/>
  <c r="J310" i="2" s="1"/>
  <c r="V310" i="2"/>
  <c r="U310" i="2" s="1"/>
  <c r="BO309" i="2"/>
  <c r="BN309" i="2"/>
  <c r="BM309" i="2"/>
  <c r="BL309" i="2"/>
  <c r="BK309" i="2"/>
  <c r="AN68" i="3" s="1"/>
  <c r="R68" i="3" s="1"/>
  <c r="BI309" i="2"/>
  <c r="BH309" i="2" s="1"/>
  <c r="BG309" i="2"/>
  <c r="BF309" i="2"/>
  <c r="BE309" i="2" s="1"/>
  <c r="BD309" i="2"/>
  <c r="AI68" i="3" s="1"/>
  <c r="U68" i="3" s="1"/>
  <c r="BC309" i="2"/>
  <c r="BB309" i="2"/>
  <c r="AD309" i="2" s="1"/>
  <c r="BA309" i="2"/>
  <c r="AZ309" i="2"/>
  <c r="AJ68" i="3" s="1"/>
  <c r="W68" i="3" s="1"/>
  <c r="AY309" i="2"/>
  <c r="AE309" i="2" s="1"/>
  <c r="AX309" i="2"/>
  <c r="AW309" i="2"/>
  <c r="AV309" i="2" s="1"/>
  <c r="AU309" i="2"/>
  <c r="AT309" i="2"/>
  <c r="AL68" i="3" s="1"/>
  <c r="S68" i="3" s="1"/>
  <c r="AS309" i="2"/>
  <c r="AC309" i="2" s="1"/>
  <c r="AR309" i="2"/>
  <c r="AQ309" i="2"/>
  <c r="AK68" i="3" s="1"/>
  <c r="T68" i="3" s="1"/>
  <c r="AO309" i="2"/>
  <c r="AN309" i="2"/>
  <c r="AL309" i="2"/>
  <c r="AK309" i="2"/>
  <c r="AJ309" i="2"/>
  <c r="AI309" i="2"/>
  <c r="AH309" i="2"/>
  <c r="AG309" i="2"/>
  <c r="Z309" i="2"/>
  <c r="Y309" i="2"/>
  <c r="X309" i="2"/>
  <c r="W309" i="2"/>
  <c r="J309" i="2" s="1"/>
  <c r="V309" i="2"/>
  <c r="U309" i="2"/>
  <c r="BO308" i="2"/>
  <c r="AF100" i="3" s="1"/>
  <c r="M100" i="3" s="1"/>
  <c r="BN308" i="2"/>
  <c r="AH100" i="3" s="1"/>
  <c r="BM308" i="2"/>
  <c r="AM100" i="3" s="1"/>
  <c r="BL308" i="2"/>
  <c r="BK308" i="2"/>
  <c r="AN100" i="3" s="1"/>
  <c r="R100" i="3" s="1"/>
  <c r="BJ308" i="2"/>
  <c r="BI308" i="2"/>
  <c r="BH308" i="2" s="1"/>
  <c r="BG308" i="2"/>
  <c r="BF308" i="2"/>
  <c r="AO100" i="3" s="1"/>
  <c r="X100" i="3" s="1"/>
  <c r="BE308" i="2"/>
  <c r="BD308" i="2"/>
  <c r="AI100" i="3" s="1"/>
  <c r="U100" i="3" s="1"/>
  <c r="BC308" i="2"/>
  <c r="BB308" i="2"/>
  <c r="AD308" i="2" s="1"/>
  <c r="BA308" i="2"/>
  <c r="AZ308" i="2"/>
  <c r="AJ100" i="3" s="1"/>
  <c r="W100" i="3" s="1"/>
  <c r="AX308" i="2"/>
  <c r="AW308" i="2"/>
  <c r="AV308" i="2"/>
  <c r="AU308" i="2"/>
  <c r="AT308" i="2"/>
  <c r="AL100" i="3" s="1"/>
  <c r="S100" i="3" s="1"/>
  <c r="AS308" i="2"/>
  <c r="AC308" i="2" s="1"/>
  <c r="AR308" i="2"/>
  <c r="AQ308" i="2"/>
  <c r="AO308" i="2"/>
  <c r="AN308" i="2"/>
  <c r="AE100" i="3" s="1"/>
  <c r="AM308" i="2"/>
  <c r="AA308" i="2" s="1"/>
  <c r="AL308" i="2"/>
  <c r="AK308" i="2"/>
  <c r="AD100" i="3" s="1"/>
  <c r="K100" i="3" s="1"/>
  <c r="AJ308" i="2"/>
  <c r="Z308" i="2" s="1"/>
  <c r="AI308" i="2"/>
  <c r="AH308" i="2"/>
  <c r="AG100" i="3" s="1"/>
  <c r="N100" i="3" s="1"/>
  <c r="AG308" i="2"/>
  <c r="Y308" i="2" s="1"/>
  <c r="AF308" i="2"/>
  <c r="X308" i="2"/>
  <c r="W308" i="2"/>
  <c r="V308" i="2"/>
  <c r="U308" i="2" s="1"/>
  <c r="J308" i="2"/>
  <c r="BO307" i="2"/>
  <c r="AF170" i="3" s="1"/>
  <c r="BN307" i="2"/>
  <c r="AH170" i="3" s="1"/>
  <c r="O170" i="3" s="1"/>
  <c r="BM307" i="2"/>
  <c r="AM170" i="3" s="1"/>
  <c r="Q170" i="3" s="1"/>
  <c r="BL307" i="2"/>
  <c r="BK307" i="2"/>
  <c r="BJ307" i="2" s="1"/>
  <c r="AF307" i="2" s="1"/>
  <c r="BI307" i="2"/>
  <c r="BH307" i="2" s="1"/>
  <c r="BG307" i="2"/>
  <c r="BF307" i="2"/>
  <c r="AO170" i="3" s="1"/>
  <c r="X170" i="3" s="1"/>
  <c r="BD307" i="2"/>
  <c r="AI170" i="3" s="1"/>
  <c r="U170" i="3" s="1"/>
  <c r="BC307" i="2"/>
  <c r="BB307" i="2"/>
  <c r="AD307" i="2" s="1"/>
  <c r="BA307" i="2"/>
  <c r="AZ307" i="2"/>
  <c r="AX307" i="2"/>
  <c r="AW307" i="2"/>
  <c r="AV307" i="2"/>
  <c r="AU307" i="2"/>
  <c r="AT307" i="2"/>
  <c r="AL170" i="3" s="1"/>
  <c r="S170" i="3" s="1"/>
  <c r="AR307" i="2"/>
  <c r="AQ307" i="2"/>
  <c r="AK170" i="3" s="1"/>
  <c r="T170" i="3" s="1"/>
  <c r="AP307" i="2"/>
  <c r="AB307" i="2" s="1"/>
  <c r="AO307" i="2"/>
  <c r="AN307" i="2"/>
  <c r="AE170" i="3" s="1"/>
  <c r="L170" i="3" s="1"/>
  <c r="AL307" i="2"/>
  <c r="AK307" i="2"/>
  <c r="AD170" i="3" s="1"/>
  <c r="K170" i="3" s="1"/>
  <c r="AJ307" i="2"/>
  <c r="Z307" i="2" s="1"/>
  <c r="AI307" i="2"/>
  <c r="AH307" i="2"/>
  <c r="AG170" i="3" s="1"/>
  <c r="AG307" i="2"/>
  <c r="Y307" i="2"/>
  <c r="X307" i="2"/>
  <c r="W307" i="2"/>
  <c r="J307" i="2" s="1"/>
  <c r="V307" i="2"/>
  <c r="U307" i="2"/>
  <c r="BO306" i="2"/>
  <c r="AF49" i="3" s="1"/>
  <c r="M49" i="3" s="1"/>
  <c r="BN306" i="2"/>
  <c r="AH49" i="3" s="1"/>
  <c r="O49" i="3" s="1"/>
  <c r="BM306" i="2"/>
  <c r="BL306" i="2"/>
  <c r="BK306" i="2"/>
  <c r="AN49" i="3" s="1"/>
  <c r="BJ306" i="2"/>
  <c r="BI306" i="2"/>
  <c r="BH306" i="2"/>
  <c r="BG306" i="2"/>
  <c r="BF306" i="2"/>
  <c r="BD306" i="2"/>
  <c r="AI49" i="3" s="1"/>
  <c r="BC306" i="2"/>
  <c r="BB306" i="2" s="1"/>
  <c r="AD306" i="2" s="1"/>
  <c r="BA306" i="2"/>
  <c r="AZ306" i="2"/>
  <c r="AY306" i="2"/>
  <c r="AX306" i="2"/>
  <c r="AW306" i="2"/>
  <c r="AV306" i="2" s="1"/>
  <c r="AU306" i="2"/>
  <c r="AT306" i="2"/>
  <c r="AL49" i="3" s="1"/>
  <c r="S49" i="3" s="1"/>
  <c r="AS306" i="2"/>
  <c r="AR306" i="2"/>
  <c r="AQ306" i="2"/>
  <c r="AO306" i="2"/>
  <c r="AN306" i="2"/>
  <c r="AL306" i="2"/>
  <c r="AK306" i="2"/>
  <c r="AD49" i="3" s="1"/>
  <c r="K49" i="3" s="1"/>
  <c r="AJ306" i="2"/>
  <c r="Z306" i="2" s="1"/>
  <c r="AI306" i="2"/>
  <c r="AH306" i="2"/>
  <c r="AG49" i="3" s="1"/>
  <c r="N49" i="3" s="1"/>
  <c r="AG306" i="2"/>
  <c r="Y306" i="2" s="1"/>
  <c r="AF306" i="2"/>
  <c r="AE306" i="2"/>
  <c r="AC306" i="2"/>
  <c r="X306" i="2"/>
  <c r="W306" i="2"/>
  <c r="V306" i="2"/>
  <c r="U306" i="2" s="1"/>
  <c r="J306" i="2"/>
  <c r="BO305" i="2"/>
  <c r="AF80" i="3" s="1"/>
  <c r="M80" i="3" s="1"/>
  <c r="BN305" i="2"/>
  <c r="AH80" i="3" s="1"/>
  <c r="O80" i="3" s="1"/>
  <c r="BM305" i="2"/>
  <c r="AM80" i="3" s="1"/>
  <c r="Q80" i="3" s="1"/>
  <c r="BL305" i="2"/>
  <c r="BK305" i="2"/>
  <c r="BI305" i="2"/>
  <c r="BH305" i="2"/>
  <c r="BG305" i="2"/>
  <c r="BF305" i="2"/>
  <c r="AO80" i="3" s="1"/>
  <c r="X80" i="3" s="1"/>
  <c r="BE305" i="2"/>
  <c r="BD305" i="2"/>
  <c r="AI80" i="3" s="1"/>
  <c r="U80" i="3" s="1"/>
  <c r="BC305" i="2"/>
  <c r="BB305" i="2" s="1"/>
  <c r="AD305" i="2" s="1"/>
  <c r="BA305" i="2"/>
  <c r="AZ305" i="2"/>
  <c r="AY305" i="2" s="1"/>
  <c r="AE305" i="2" s="1"/>
  <c r="AX305" i="2"/>
  <c r="AW305" i="2"/>
  <c r="AV305" i="2"/>
  <c r="AU305" i="2"/>
  <c r="AS305" i="2" s="1"/>
  <c r="AC305" i="2" s="1"/>
  <c r="AT305" i="2"/>
  <c r="AR305" i="2"/>
  <c r="AQ305" i="2"/>
  <c r="AO305" i="2"/>
  <c r="AN305" i="2"/>
  <c r="AL305" i="2"/>
  <c r="AK305" i="2"/>
  <c r="AI305" i="2"/>
  <c r="AH305" i="2"/>
  <c r="AG305" i="2"/>
  <c r="Y305" i="2"/>
  <c r="X305" i="2"/>
  <c r="W305" i="2"/>
  <c r="V305" i="2"/>
  <c r="U305" i="2"/>
  <c r="J305" i="2"/>
  <c r="BO304" i="2"/>
  <c r="BN304" i="2"/>
  <c r="BM304" i="2"/>
  <c r="AM215" i="3" s="1"/>
  <c r="Q215" i="3" s="1"/>
  <c r="BL304" i="2"/>
  <c r="BK304" i="2"/>
  <c r="BI304" i="2"/>
  <c r="BH304" i="2"/>
  <c r="BG304" i="2"/>
  <c r="BF304" i="2"/>
  <c r="AO215" i="3" s="1"/>
  <c r="X215" i="3" s="1"/>
  <c r="BE304" i="2"/>
  <c r="BD304" i="2"/>
  <c r="AI215" i="3" s="1"/>
  <c r="U215" i="3" s="1"/>
  <c r="BC304" i="2"/>
  <c r="BB304" i="2" s="1"/>
  <c r="AD304" i="2" s="1"/>
  <c r="BA304" i="2"/>
  <c r="AZ304" i="2"/>
  <c r="AY304" i="2" s="1"/>
  <c r="AX304" i="2"/>
  <c r="AV304" i="2" s="1"/>
  <c r="AW304" i="2"/>
  <c r="AU304" i="2"/>
  <c r="AT304" i="2"/>
  <c r="AL215" i="3" s="1"/>
  <c r="S215" i="3" s="1"/>
  <c r="AR304" i="2"/>
  <c r="AQ304" i="2"/>
  <c r="AO304" i="2"/>
  <c r="AN304" i="2"/>
  <c r="AE215" i="3" s="1"/>
  <c r="L215" i="3" s="1"/>
  <c r="AM304" i="2"/>
  <c r="AA304" i="2" s="1"/>
  <c r="AI304" i="2"/>
  <c r="AH304" i="2"/>
  <c r="AE304" i="2"/>
  <c r="X304" i="2"/>
  <c r="W304" i="2"/>
  <c r="J304" i="2" s="1"/>
  <c r="V304" i="2"/>
  <c r="U304" i="2" s="1"/>
  <c r="BO303" i="2"/>
  <c r="BN303" i="2"/>
  <c r="BM303" i="2"/>
  <c r="AM59" i="3" s="1"/>
  <c r="Q59" i="3" s="1"/>
  <c r="BL303" i="2"/>
  <c r="BK303" i="2"/>
  <c r="AN59" i="3" s="1"/>
  <c r="R59" i="3" s="1"/>
  <c r="BJ303" i="2"/>
  <c r="AF303" i="2" s="1"/>
  <c r="BI303" i="2"/>
  <c r="BH303" i="2"/>
  <c r="BG303" i="2"/>
  <c r="BF303" i="2"/>
  <c r="AO59" i="3" s="1"/>
  <c r="X59" i="3" s="1"/>
  <c r="BE303" i="2"/>
  <c r="BD303" i="2"/>
  <c r="BC303" i="2"/>
  <c r="BB303" i="2"/>
  <c r="AD303" i="2" s="1"/>
  <c r="BA303" i="2"/>
  <c r="AZ303" i="2"/>
  <c r="AY303" i="2"/>
  <c r="AX303" i="2"/>
  <c r="AW303" i="2"/>
  <c r="AV303" i="2" s="1"/>
  <c r="AU303" i="2"/>
  <c r="AS303" i="2" s="1"/>
  <c r="AC303" i="2" s="1"/>
  <c r="AT303" i="2"/>
  <c r="AR303" i="2"/>
  <c r="AQ303" i="2"/>
  <c r="AK59" i="3" s="1"/>
  <c r="T59" i="3" s="1"/>
  <c r="AP303" i="2"/>
  <c r="AB303" i="2" s="1"/>
  <c r="AO303" i="2"/>
  <c r="AN303" i="2"/>
  <c r="AL303" i="2"/>
  <c r="AK303" i="2"/>
  <c r="AD59" i="3" s="1"/>
  <c r="K59" i="3" s="1"/>
  <c r="AJ303" i="2"/>
  <c r="Z303" i="2" s="1"/>
  <c r="AI303" i="2"/>
  <c r="AH303" i="2"/>
  <c r="AG303" i="2"/>
  <c r="Y303" i="2" s="1"/>
  <c r="AE303" i="2"/>
  <c r="X303" i="2"/>
  <c r="W303" i="2"/>
  <c r="V303" i="2"/>
  <c r="U303" i="2"/>
  <c r="BO302" i="2"/>
  <c r="AF148" i="3" s="1"/>
  <c r="M148" i="3" s="1"/>
  <c r="BN302" i="2"/>
  <c r="AH148" i="3" s="1"/>
  <c r="O148" i="3" s="1"/>
  <c r="BM302" i="2"/>
  <c r="BL302" i="2"/>
  <c r="BK302" i="2"/>
  <c r="AN148" i="3" s="1"/>
  <c r="BJ302" i="2"/>
  <c r="AF302" i="2" s="1"/>
  <c r="BI302" i="2"/>
  <c r="BH302" i="2" s="1"/>
  <c r="BG302" i="2"/>
  <c r="BF302" i="2"/>
  <c r="AO148" i="3" s="1"/>
  <c r="X148" i="3" s="1"/>
  <c r="BE302" i="2"/>
  <c r="BD302" i="2"/>
  <c r="AI148" i="3" s="1"/>
  <c r="U148" i="3" s="1"/>
  <c r="BC302" i="2"/>
  <c r="BB302" i="2" s="1"/>
  <c r="AD302" i="2" s="1"/>
  <c r="BA302" i="2"/>
  <c r="AZ302" i="2"/>
  <c r="AJ148" i="3" s="1"/>
  <c r="W148" i="3" s="1"/>
  <c r="AY302" i="2"/>
  <c r="AE302" i="2" s="1"/>
  <c r="AX302" i="2"/>
  <c r="AW302" i="2"/>
  <c r="AV302" i="2"/>
  <c r="AU302" i="2"/>
  <c r="AT302" i="2"/>
  <c r="AL148" i="3" s="1"/>
  <c r="S148" i="3" s="1"/>
  <c r="AS302" i="2"/>
  <c r="AR302" i="2"/>
  <c r="AQ302" i="2"/>
  <c r="AK148" i="3" s="1"/>
  <c r="AP302" i="2"/>
  <c r="AO302" i="2"/>
  <c r="AN302" i="2"/>
  <c r="AE148" i="3" s="1"/>
  <c r="L148" i="3" s="1"/>
  <c r="AL302" i="2"/>
  <c r="AJ302" i="2" s="1"/>
  <c r="AK302" i="2"/>
  <c r="AD148" i="3" s="1"/>
  <c r="AI302" i="2"/>
  <c r="AH302" i="2"/>
  <c r="AG148" i="3" s="1"/>
  <c r="N148" i="3" s="1"/>
  <c r="AG302" i="2"/>
  <c r="AC302" i="2"/>
  <c r="AB302" i="2"/>
  <c r="Z302" i="2"/>
  <c r="Y302" i="2"/>
  <c r="X302" i="2"/>
  <c r="W302" i="2"/>
  <c r="J302" i="2" s="1"/>
  <c r="V302" i="2"/>
  <c r="U302" i="2" s="1"/>
  <c r="BO301" i="2"/>
  <c r="AF282" i="3" s="1"/>
  <c r="M282" i="3" s="1"/>
  <c r="BN301" i="2"/>
  <c r="AH282" i="3" s="1"/>
  <c r="O282" i="3" s="1"/>
  <c r="BM301" i="2"/>
  <c r="AM282" i="3" s="1"/>
  <c r="Q282" i="3" s="1"/>
  <c r="BL301" i="2"/>
  <c r="BK301" i="2"/>
  <c r="AN282" i="3" s="1"/>
  <c r="R282" i="3" s="1"/>
  <c r="BI301" i="2"/>
  <c r="BH301" i="2" s="1"/>
  <c r="BG301" i="2"/>
  <c r="BF301" i="2"/>
  <c r="BD301" i="2"/>
  <c r="AI282" i="3" s="1"/>
  <c r="BC301" i="2"/>
  <c r="BB301" i="2"/>
  <c r="AD301" i="2" s="1"/>
  <c r="BA301" i="2"/>
  <c r="AZ301" i="2"/>
  <c r="AX301" i="2"/>
  <c r="AW301" i="2"/>
  <c r="AU301" i="2"/>
  <c r="AT301" i="2"/>
  <c r="AL282" i="3" s="1"/>
  <c r="S282" i="3" s="1"/>
  <c r="AR301" i="2"/>
  <c r="AQ301" i="2"/>
  <c r="AK282" i="3" s="1"/>
  <c r="T282" i="3" s="1"/>
  <c r="AP301" i="2"/>
  <c r="AB301" i="2" s="1"/>
  <c r="AO301" i="2"/>
  <c r="AN301" i="2"/>
  <c r="AE282" i="3" s="1"/>
  <c r="L282" i="3" s="1"/>
  <c r="AL301" i="2"/>
  <c r="AK301" i="2"/>
  <c r="AI301" i="2"/>
  <c r="AH301" i="2"/>
  <c r="AG282" i="3" s="1"/>
  <c r="N282" i="3" s="1"/>
  <c r="X301" i="2"/>
  <c r="W301" i="2"/>
  <c r="J301" i="2" s="1"/>
  <c r="V301" i="2"/>
  <c r="U301" i="2" s="1"/>
  <c r="BO300" i="2"/>
  <c r="AF38" i="3" s="1"/>
  <c r="M38" i="3" s="1"/>
  <c r="BN300" i="2"/>
  <c r="AH38" i="3" s="1"/>
  <c r="O38" i="3" s="1"/>
  <c r="BM300" i="2"/>
  <c r="AM38" i="3" s="1"/>
  <c r="Q38" i="3" s="1"/>
  <c r="BL300" i="2"/>
  <c r="BK300" i="2"/>
  <c r="AN38" i="3" s="1"/>
  <c r="R38" i="3" s="1"/>
  <c r="BJ300" i="2"/>
  <c r="AF300" i="2" s="1"/>
  <c r="BI300" i="2"/>
  <c r="BH300" i="2"/>
  <c r="BG300" i="2"/>
  <c r="BF300" i="2"/>
  <c r="AO38" i="3" s="1"/>
  <c r="X38" i="3" s="1"/>
  <c r="BE300" i="2"/>
  <c r="BD300" i="2"/>
  <c r="AI38" i="3" s="1"/>
  <c r="U38" i="3" s="1"/>
  <c r="BC300" i="2"/>
  <c r="BB300" i="2" s="1"/>
  <c r="AD300" i="2" s="1"/>
  <c r="BA300" i="2"/>
  <c r="AZ300" i="2"/>
  <c r="AJ38" i="3" s="1"/>
  <c r="W38" i="3" s="1"/>
  <c r="AY300" i="2"/>
  <c r="AE300" i="2" s="1"/>
  <c r="AX300" i="2"/>
  <c r="AW300" i="2"/>
  <c r="AV300" i="2"/>
  <c r="AU300" i="2"/>
  <c r="AT300" i="2"/>
  <c r="AL38" i="3" s="1"/>
  <c r="AS300" i="2"/>
  <c r="AC300" i="2" s="1"/>
  <c r="AR300" i="2"/>
  <c r="AQ300" i="2"/>
  <c r="AK38" i="3" s="1"/>
  <c r="T38" i="3" s="1"/>
  <c r="AO300" i="2"/>
  <c r="AN300" i="2"/>
  <c r="AE38" i="3" s="1"/>
  <c r="L38" i="3" s="1"/>
  <c r="AM300" i="2"/>
  <c r="AA300" i="2" s="1"/>
  <c r="AL300" i="2"/>
  <c r="AJ300" i="2" s="1"/>
  <c r="Z300" i="2" s="1"/>
  <c r="AK300" i="2"/>
  <c r="AD38" i="3" s="1"/>
  <c r="K38" i="3" s="1"/>
  <c r="AI300" i="2"/>
  <c r="AH300" i="2"/>
  <c r="X300" i="2"/>
  <c r="W300" i="2"/>
  <c r="J300" i="2" s="1"/>
  <c r="V300" i="2"/>
  <c r="U300" i="2" s="1"/>
  <c r="BO299" i="2"/>
  <c r="AF203" i="3" s="1"/>
  <c r="M203" i="3" s="1"/>
  <c r="BN299" i="2"/>
  <c r="AH203" i="3" s="1"/>
  <c r="O203" i="3" s="1"/>
  <c r="BM299" i="2"/>
  <c r="AM203" i="3" s="1"/>
  <c r="BL299" i="2"/>
  <c r="BJ299" i="2" s="1"/>
  <c r="AF299" i="2" s="1"/>
  <c r="BK299" i="2"/>
  <c r="AN203" i="3" s="1"/>
  <c r="R203" i="3" s="1"/>
  <c r="BI299" i="2"/>
  <c r="BH299" i="2"/>
  <c r="BG299" i="2"/>
  <c r="BF299" i="2"/>
  <c r="AO203" i="3" s="1"/>
  <c r="X203" i="3" s="1"/>
  <c r="BE299" i="2"/>
  <c r="BD299" i="2"/>
  <c r="AI203" i="3" s="1"/>
  <c r="U203" i="3" s="1"/>
  <c r="BC299" i="2"/>
  <c r="BB299" i="2"/>
  <c r="AD299" i="2" s="1"/>
  <c r="BA299" i="2"/>
  <c r="AZ299" i="2"/>
  <c r="AJ203" i="3" s="1"/>
  <c r="AX299" i="2"/>
  <c r="AW299" i="2"/>
  <c r="AV299" i="2" s="1"/>
  <c r="AU299" i="2"/>
  <c r="AT299" i="2"/>
  <c r="AL203" i="3" s="1"/>
  <c r="S203" i="3" s="1"/>
  <c r="AR299" i="2"/>
  <c r="AQ299" i="2"/>
  <c r="AK203" i="3" s="1"/>
  <c r="T203" i="3" s="1"/>
  <c r="AO299" i="2"/>
  <c r="AN299" i="2"/>
  <c r="AM299" i="2"/>
  <c r="AL299" i="2"/>
  <c r="AK299" i="2"/>
  <c r="AD203" i="3" s="1"/>
  <c r="K203" i="3" s="1"/>
  <c r="AI299" i="2"/>
  <c r="AG299" i="2" s="1"/>
  <c r="Y299" i="2" s="1"/>
  <c r="AH299" i="2"/>
  <c r="AG203" i="3" s="1"/>
  <c r="N203" i="3" s="1"/>
  <c r="AA299" i="2"/>
  <c r="X299" i="2"/>
  <c r="W299" i="2"/>
  <c r="V299" i="2"/>
  <c r="U299" i="2"/>
  <c r="J299" i="2"/>
  <c r="BO298" i="2"/>
  <c r="AF144" i="3" s="1"/>
  <c r="M144" i="3" s="1"/>
  <c r="BN298" i="2"/>
  <c r="AH144" i="3" s="1"/>
  <c r="O144" i="3" s="1"/>
  <c r="BM298" i="2"/>
  <c r="AM144" i="3" s="1"/>
  <c r="Q144" i="3" s="1"/>
  <c r="BL298" i="2"/>
  <c r="BK298" i="2"/>
  <c r="AN144" i="3" s="1"/>
  <c r="BI298" i="2"/>
  <c r="BH298" i="2"/>
  <c r="BG298" i="2"/>
  <c r="BF298" i="2"/>
  <c r="AO144" i="3" s="1"/>
  <c r="X144" i="3" s="1"/>
  <c r="BE298" i="2"/>
  <c r="BD298" i="2"/>
  <c r="AI144" i="3" s="1"/>
  <c r="BC298" i="2"/>
  <c r="BB298" i="2" s="1"/>
  <c r="AD298" i="2" s="1"/>
  <c r="BA298" i="2"/>
  <c r="AZ298" i="2"/>
  <c r="AJ144" i="3" s="1"/>
  <c r="AY298" i="2"/>
  <c r="AX298" i="2"/>
  <c r="AW298" i="2"/>
  <c r="AV298" i="2"/>
  <c r="AU298" i="2"/>
  <c r="AT298" i="2"/>
  <c r="AR298" i="2"/>
  <c r="AQ298" i="2"/>
  <c r="AK144" i="3" s="1"/>
  <c r="T144" i="3" s="1"/>
  <c r="AP298" i="2"/>
  <c r="AO298" i="2"/>
  <c r="AN298" i="2"/>
  <c r="AE144" i="3" s="1"/>
  <c r="AM298" i="2"/>
  <c r="AL298" i="2"/>
  <c r="AK298" i="2"/>
  <c r="AD144" i="3" s="1"/>
  <c r="AJ298" i="2"/>
  <c r="Z298" i="2" s="1"/>
  <c r="AI298" i="2"/>
  <c r="AH298" i="2"/>
  <c r="AE298" i="2"/>
  <c r="AB298" i="2"/>
  <c r="AA298" i="2"/>
  <c r="X298" i="2"/>
  <c r="W298" i="2"/>
  <c r="V298" i="2"/>
  <c r="U298" i="2"/>
  <c r="J298" i="2"/>
  <c r="BO297" i="2"/>
  <c r="AF145" i="3" s="1"/>
  <c r="M145" i="3" s="1"/>
  <c r="BN297" i="2"/>
  <c r="AH145" i="3" s="1"/>
  <c r="O145" i="3" s="1"/>
  <c r="BM297" i="2"/>
  <c r="AM145" i="3" s="1"/>
  <c r="Q145" i="3" s="1"/>
  <c r="BL297" i="2"/>
  <c r="BK297" i="2"/>
  <c r="AN145" i="3" s="1"/>
  <c r="R145" i="3" s="1"/>
  <c r="BJ297" i="2"/>
  <c r="AF297" i="2" s="1"/>
  <c r="BI297" i="2"/>
  <c r="BH297" i="2"/>
  <c r="BG297" i="2"/>
  <c r="BF297" i="2"/>
  <c r="BD297" i="2"/>
  <c r="AI145" i="3" s="1"/>
  <c r="U145" i="3" s="1"/>
  <c r="BC297" i="2"/>
  <c r="BB297" i="2" s="1"/>
  <c r="AD297" i="2" s="1"/>
  <c r="BA297" i="2"/>
  <c r="AZ297" i="2"/>
  <c r="AJ145" i="3" s="1"/>
  <c r="W145" i="3" s="1"/>
  <c r="AY297" i="2"/>
  <c r="AX297" i="2"/>
  <c r="AW297" i="2"/>
  <c r="AV297" i="2"/>
  <c r="AU297" i="2"/>
  <c r="AS297" i="2" s="1"/>
  <c r="AC297" i="2" s="1"/>
  <c r="AT297" i="2"/>
  <c r="AL145" i="3" s="1"/>
  <c r="S145" i="3" s="1"/>
  <c r="AR297" i="2"/>
  <c r="AQ297" i="2"/>
  <c r="AK145" i="3" s="1"/>
  <c r="T145" i="3" s="1"/>
  <c r="AO297" i="2"/>
  <c r="AN297" i="2"/>
  <c r="AE145" i="3" s="1"/>
  <c r="L145" i="3" s="1"/>
  <c r="AM297" i="2"/>
  <c r="AL297" i="2"/>
  <c r="AJ297" i="2" s="1"/>
  <c r="AK297" i="2"/>
  <c r="AD145" i="3" s="1"/>
  <c r="K145" i="3" s="1"/>
  <c r="AI297" i="2"/>
  <c r="AH297" i="2"/>
  <c r="AG145" i="3" s="1"/>
  <c r="AG297" i="2"/>
  <c r="Y297" i="2" s="1"/>
  <c r="AE297" i="2"/>
  <c r="AA297" i="2"/>
  <c r="Z297" i="2"/>
  <c r="X297" i="2"/>
  <c r="W297" i="2"/>
  <c r="V297" i="2"/>
  <c r="U297" i="2" s="1"/>
  <c r="J297" i="2"/>
  <c r="BO296" i="2"/>
  <c r="BN296" i="2"/>
  <c r="AH263" i="3" s="1"/>
  <c r="BM296" i="2"/>
  <c r="AM263" i="3" s="1"/>
  <c r="Q263" i="3" s="1"/>
  <c r="BL296" i="2"/>
  <c r="BK296" i="2"/>
  <c r="BI296" i="2"/>
  <c r="BH296" i="2" s="1"/>
  <c r="BG296" i="2"/>
  <c r="BF296" i="2"/>
  <c r="BD296" i="2"/>
  <c r="AI263" i="3" s="1"/>
  <c r="U263" i="3" s="1"/>
  <c r="BC296" i="2"/>
  <c r="BB296" i="2"/>
  <c r="AD296" i="2" s="1"/>
  <c r="BA296" i="2"/>
  <c r="AZ296" i="2"/>
  <c r="AJ263" i="3" s="1"/>
  <c r="W263" i="3" s="1"/>
  <c r="AY296" i="2"/>
  <c r="AE296" i="2" s="1"/>
  <c r="AX296" i="2"/>
  <c r="AW296" i="2"/>
  <c r="AV296" i="2" s="1"/>
  <c r="AU296" i="2"/>
  <c r="AT296" i="2"/>
  <c r="AR296" i="2"/>
  <c r="AQ296" i="2"/>
  <c r="AK263" i="3" s="1"/>
  <c r="T263" i="3" s="1"/>
  <c r="AP296" i="2"/>
  <c r="AB296" i="2" s="1"/>
  <c r="AO296" i="2"/>
  <c r="AM296" i="2" s="1"/>
  <c r="AA296" i="2" s="1"/>
  <c r="AN296" i="2"/>
  <c r="AE263" i="3" s="1"/>
  <c r="L263" i="3" s="1"/>
  <c r="AL296" i="2"/>
  <c r="AK296" i="2"/>
  <c r="AI296" i="2"/>
  <c r="AG296" i="2" s="1"/>
  <c r="Y296" i="2" s="1"/>
  <c r="AH296" i="2"/>
  <c r="AG263" i="3" s="1"/>
  <c r="N263" i="3" s="1"/>
  <c r="X296" i="2"/>
  <c r="W296" i="2"/>
  <c r="V296" i="2"/>
  <c r="U296" i="2"/>
  <c r="J296" i="2"/>
  <c r="BO295" i="2"/>
  <c r="AF97" i="3" s="1"/>
  <c r="M97" i="3" s="1"/>
  <c r="BN295" i="2"/>
  <c r="AH97" i="3" s="1"/>
  <c r="O97" i="3" s="1"/>
  <c r="BM295" i="2"/>
  <c r="BL295" i="2"/>
  <c r="BK295" i="2"/>
  <c r="AN97" i="3" s="1"/>
  <c r="R97" i="3" s="1"/>
  <c r="BJ295" i="2"/>
  <c r="BI295" i="2"/>
  <c r="BH295" i="2" s="1"/>
  <c r="BG295" i="2"/>
  <c r="BF295" i="2"/>
  <c r="AO97" i="3" s="1"/>
  <c r="X97" i="3" s="1"/>
  <c r="BE295" i="2"/>
  <c r="BD295" i="2"/>
  <c r="AI97" i="3" s="1"/>
  <c r="U97" i="3" s="1"/>
  <c r="BC295" i="2"/>
  <c r="BB295" i="2"/>
  <c r="BA295" i="2"/>
  <c r="AZ295" i="2"/>
  <c r="AJ97" i="3" s="1"/>
  <c r="W97" i="3" s="1"/>
  <c r="AY295" i="2"/>
  <c r="AE295" i="2" s="1"/>
  <c r="AX295" i="2"/>
  <c r="AW295" i="2"/>
  <c r="AV295" i="2"/>
  <c r="AU295" i="2"/>
  <c r="AT295" i="2"/>
  <c r="AL97" i="3" s="1"/>
  <c r="AS295" i="2"/>
  <c r="AR295" i="2"/>
  <c r="AQ295" i="2"/>
  <c r="AK97" i="3" s="1"/>
  <c r="T97" i="3" s="1"/>
  <c r="AP295" i="2"/>
  <c r="AO295" i="2"/>
  <c r="AM295" i="2" s="1"/>
  <c r="AA295" i="2" s="1"/>
  <c r="AN295" i="2"/>
  <c r="AE97" i="3" s="1"/>
  <c r="L97" i="3" s="1"/>
  <c r="AL295" i="2"/>
  <c r="AJ295" i="2" s="1"/>
  <c r="AK295" i="2"/>
  <c r="AD97" i="3" s="1"/>
  <c r="K97" i="3" s="1"/>
  <c r="AI295" i="2"/>
  <c r="AH295" i="2"/>
  <c r="AG97" i="3" s="1"/>
  <c r="N97" i="3" s="1"/>
  <c r="AG295" i="2"/>
  <c r="AF295" i="2"/>
  <c r="AD295" i="2"/>
  <c r="AC295" i="2"/>
  <c r="AB295" i="2"/>
  <c r="Z295" i="2"/>
  <c r="Y295" i="2"/>
  <c r="X295" i="2"/>
  <c r="W295" i="2"/>
  <c r="J295" i="2" s="1"/>
  <c r="V295" i="2"/>
  <c r="U295" i="2" s="1"/>
  <c r="BO294" i="2"/>
  <c r="BN294" i="2"/>
  <c r="AH114" i="3" s="1"/>
  <c r="O114" i="3" s="1"/>
  <c r="BM294" i="2"/>
  <c r="AM114" i="3" s="1"/>
  <c r="Q114" i="3" s="1"/>
  <c r="BL294" i="2"/>
  <c r="BK294" i="2"/>
  <c r="AN114" i="3" s="1"/>
  <c r="R114" i="3" s="1"/>
  <c r="BJ294" i="2"/>
  <c r="BI294" i="2"/>
  <c r="BH294" i="2" s="1"/>
  <c r="BG294" i="2"/>
  <c r="BF294" i="2"/>
  <c r="BD294" i="2"/>
  <c r="AI114" i="3" s="1"/>
  <c r="U114" i="3" s="1"/>
  <c r="BC294" i="2"/>
  <c r="BB294" i="2"/>
  <c r="AD294" i="2" s="1"/>
  <c r="BA294" i="2"/>
  <c r="AZ294" i="2"/>
  <c r="AJ114" i="3" s="1"/>
  <c r="W114" i="3" s="1"/>
  <c r="AY294" i="2"/>
  <c r="AX294" i="2"/>
  <c r="AW294" i="2"/>
  <c r="AV294" i="2"/>
  <c r="AU294" i="2"/>
  <c r="AT294" i="2"/>
  <c r="AL114" i="3" s="1"/>
  <c r="S114" i="3" s="1"/>
  <c r="AR294" i="2"/>
  <c r="AQ294" i="2"/>
  <c r="AK114" i="3" s="1"/>
  <c r="T114" i="3" s="1"/>
  <c r="AP294" i="2"/>
  <c r="AB294" i="2" s="1"/>
  <c r="AO294" i="2"/>
  <c r="AN294" i="2"/>
  <c r="AE114" i="3" s="1"/>
  <c r="AL294" i="2"/>
  <c r="AK294" i="2"/>
  <c r="AD114" i="3" s="1"/>
  <c r="K114" i="3" s="1"/>
  <c r="AJ294" i="2"/>
  <c r="AI294" i="2"/>
  <c r="AH294" i="2"/>
  <c r="AG114" i="3" s="1"/>
  <c r="N114" i="3" s="1"/>
  <c r="AG294" i="2"/>
  <c r="AF294" i="2"/>
  <c r="AE294" i="2"/>
  <c r="Z294" i="2"/>
  <c r="Y294" i="2"/>
  <c r="X294" i="2"/>
  <c r="W294" i="2"/>
  <c r="J294" i="2" s="1"/>
  <c r="V294" i="2"/>
  <c r="U294" i="2" s="1"/>
  <c r="BO293" i="2"/>
  <c r="AF302" i="3" s="1"/>
  <c r="M302" i="3" s="1"/>
  <c r="BN293" i="2"/>
  <c r="AH302" i="3" s="1"/>
  <c r="O302" i="3" s="1"/>
  <c r="BM293" i="2"/>
  <c r="AM302" i="3" s="1"/>
  <c r="Q302" i="3" s="1"/>
  <c r="BL293" i="2"/>
  <c r="BK293" i="2"/>
  <c r="AN302" i="3" s="1"/>
  <c r="R302" i="3" s="1"/>
  <c r="BJ293" i="2"/>
  <c r="AF293" i="2" s="1"/>
  <c r="BI293" i="2"/>
  <c r="BH293" i="2"/>
  <c r="BG293" i="2"/>
  <c r="BF293" i="2"/>
  <c r="BD293" i="2"/>
  <c r="AI302" i="3" s="1"/>
  <c r="U302" i="3" s="1"/>
  <c r="BC293" i="2"/>
  <c r="BB293" i="2"/>
  <c r="AD293" i="2" s="1"/>
  <c r="BA293" i="2"/>
  <c r="AZ293" i="2"/>
  <c r="AJ302" i="3" s="1"/>
  <c r="W302" i="3" s="1"/>
  <c r="AY293" i="2"/>
  <c r="AE293" i="2" s="1"/>
  <c r="AX293" i="2"/>
  <c r="AW293" i="2"/>
  <c r="AV293" i="2"/>
  <c r="AU293" i="2"/>
  <c r="AT293" i="2"/>
  <c r="AL302" i="3" s="1"/>
  <c r="S302" i="3" s="1"/>
  <c r="AS293" i="2"/>
  <c r="AC293" i="2" s="1"/>
  <c r="AR293" i="2"/>
  <c r="AQ293" i="2"/>
  <c r="AK302" i="3" s="1"/>
  <c r="T302" i="3" s="1"/>
  <c r="AP293" i="2"/>
  <c r="AB293" i="2" s="1"/>
  <c r="AO293" i="2"/>
  <c r="AN293" i="2"/>
  <c r="AE302" i="3" s="1"/>
  <c r="L302" i="3" s="1"/>
  <c r="AM293" i="2"/>
  <c r="AL293" i="2"/>
  <c r="AK293" i="2"/>
  <c r="AD302" i="3" s="1"/>
  <c r="K302" i="3" s="1"/>
  <c r="AJ293" i="2"/>
  <c r="Z293" i="2" s="1"/>
  <c r="AI293" i="2"/>
  <c r="AH293" i="2"/>
  <c r="AA293" i="2"/>
  <c r="X293" i="2"/>
  <c r="W293" i="2"/>
  <c r="J293" i="2" s="1"/>
  <c r="V293" i="2"/>
  <c r="U293" i="2" s="1"/>
  <c r="BO292" i="2"/>
  <c r="AF34" i="3" s="1"/>
  <c r="M34" i="3" s="1"/>
  <c r="BN292" i="2"/>
  <c r="AH34" i="3" s="1"/>
  <c r="BM292" i="2"/>
  <c r="AM34" i="3" s="1"/>
  <c r="Q34" i="3" s="1"/>
  <c r="BL292" i="2"/>
  <c r="BK292" i="2"/>
  <c r="BI292" i="2"/>
  <c r="BH292" i="2" s="1"/>
  <c r="BG292" i="2"/>
  <c r="BF292" i="2"/>
  <c r="BD292" i="2"/>
  <c r="AI34" i="3" s="1"/>
  <c r="BC292" i="2"/>
  <c r="BB292" i="2"/>
  <c r="BA292" i="2"/>
  <c r="AZ292" i="2"/>
  <c r="AJ34" i="3" s="1"/>
  <c r="AX292" i="2"/>
  <c r="AW292" i="2"/>
  <c r="AV292" i="2"/>
  <c r="AU292" i="2"/>
  <c r="AT292" i="2"/>
  <c r="AL34" i="3" s="1"/>
  <c r="AS292" i="2"/>
  <c r="AC292" i="2" s="1"/>
  <c r="AR292" i="2"/>
  <c r="AQ292" i="2"/>
  <c r="AO292" i="2"/>
  <c r="AN292" i="2"/>
  <c r="AE34" i="3" s="1"/>
  <c r="L34" i="3" s="1"/>
  <c r="AM292" i="2"/>
  <c r="AA292" i="2" s="1"/>
  <c r="AL292" i="2"/>
  <c r="AK292" i="2"/>
  <c r="AD34" i="3" s="1"/>
  <c r="AJ292" i="2"/>
  <c r="AI292" i="2"/>
  <c r="AH292" i="2"/>
  <c r="AD292" i="2"/>
  <c r="Z292" i="2"/>
  <c r="BO291" i="2"/>
  <c r="AF153" i="3" s="1"/>
  <c r="M153" i="3" s="1"/>
  <c r="BN291" i="2"/>
  <c r="AH153" i="3" s="1"/>
  <c r="BM291" i="2"/>
  <c r="AM153" i="3" s="1"/>
  <c r="Q153" i="3" s="1"/>
  <c r="BL291" i="2"/>
  <c r="BK291" i="2"/>
  <c r="AN153" i="3" s="1"/>
  <c r="R153" i="3" s="1"/>
  <c r="BI291" i="2"/>
  <c r="BH291" i="2"/>
  <c r="BG291" i="2"/>
  <c r="BF291" i="2"/>
  <c r="AO153" i="3" s="1"/>
  <c r="X153" i="3" s="1"/>
  <c r="BE291" i="2"/>
  <c r="BD291" i="2"/>
  <c r="AI153" i="3" s="1"/>
  <c r="U153" i="3" s="1"/>
  <c r="BC291" i="2"/>
  <c r="BB291" i="2"/>
  <c r="BA291" i="2"/>
  <c r="AZ291" i="2"/>
  <c r="AJ153" i="3" s="1"/>
  <c r="W153" i="3" s="1"/>
  <c r="AY291" i="2"/>
  <c r="AX291" i="2"/>
  <c r="AW291" i="2"/>
  <c r="AV291" i="2"/>
  <c r="AU291" i="2"/>
  <c r="AS291" i="2" s="1"/>
  <c r="AC291" i="2" s="1"/>
  <c r="AT291" i="2"/>
  <c r="AL153" i="3" s="1"/>
  <c r="S153" i="3" s="1"/>
  <c r="AR291" i="2"/>
  <c r="AQ291" i="2"/>
  <c r="AK153" i="3" s="1"/>
  <c r="T153" i="3" s="1"/>
  <c r="AP291" i="2"/>
  <c r="AB291" i="2" s="1"/>
  <c r="AO291" i="2"/>
  <c r="AM291" i="2" s="1"/>
  <c r="AA291" i="2" s="1"/>
  <c r="AN291" i="2"/>
  <c r="AE153" i="3" s="1"/>
  <c r="L153" i="3" s="1"/>
  <c r="AL291" i="2"/>
  <c r="AK291" i="2"/>
  <c r="AD153" i="3" s="1"/>
  <c r="K153" i="3" s="1"/>
  <c r="AJ291" i="2"/>
  <c r="AI291" i="2"/>
  <c r="AH291" i="2"/>
  <c r="AG153" i="3" s="1"/>
  <c r="N153" i="3" s="1"/>
  <c r="AE291" i="2"/>
  <c r="AD291" i="2"/>
  <c r="Z291" i="2"/>
  <c r="X291" i="2"/>
  <c r="W291" i="2"/>
  <c r="J291" i="2" s="1"/>
  <c r="V291" i="2"/>
  <c r="U291" i="2" s="1"/>
  <c r="BO290" i="2"/>
  <c r="AF242" i="3" s="1"/>
  <c r="M242" i="3" s="1"/>
  <c r="BN290" i="2"/>
  <c r="AH242" i="3" s="1"/>
  <c r="O242" i="3" s="1"/>
  <c r="BM290" i="2"/>
  <c r="AM242" i="3" s="1"/>
  <c r="Q242" i="3" s="1"/>
  <c r="BL290" i="2"/>
  <c r="BK290" i="2"/>
  <c r="AN242" i="3" s="1"/>
  <c r="R242" i="3" s="1"/>
  <c r="BI290" i="2"/>
  <c r="BH290" i="2" s="1"/>
  <c r="BG290" i="2"/>
  <c r="BF290" i="2"/>
  <c r="AO242" i="3" s="1"/>
  <c r="X242" i="3" s="1"/>
  <c r="BE290" i="2"/>
  <c r="BD290" i="2"/>
  <c r="AI242" i="3" s="1"/>
  <c r="U242" i="3" s="1"/>
  <c r="BC290" i="2"/>
  <c r="BB290" i="2" s="1"/>
  <c r="AD290" i="2" s="1"/>
  <c r="BA290" i="2"/>
  <c r="AZ290" i="2"/>
  <c r="AJ242" i="3" s="1"/>
  <c r="W242" i="3" s="1"/>
  <c r="AY290" i="2"/>
  <c r="AE290" i="2" s="1"/>
  <c r="AX290" i="2"/>
  <c r="AW290" i="2"/>
  <c r="AU290" i="2"/>
  <c r="AT290" i="2"/>
  <c r="AL242" i="3" s="1"/>
  <c r="AS290" i="2"/>
  <c r="AR290" i="2"/>
  <c r="AQ290" i="2"/>
  <c r="AK242" i="3" s="1"/>
  <c r="T242" i="3" s="1"/>
  <c r="AP290" i="2"/>
  <c r="AO290" i="2"/>
  <c r="AN290" i="2"/>
  <c r="AE242" i="3" s="1"/>
  <c r="AL290" i="2"/>
  <c r="AK290" i="2"/>
  <c r="AD242" i="3" s="1"/>
  <c r="K242" i="3" s="1"/>
  <c r="AJ290" i="2"/>
  <c r="Z290" i="2" s="1"/>
  <c r="AI290" i="2"/>
  <c r="AG290" i="2" s="1"/>
  <c r="Y290" i="2" s="1"/>
  <c r="AH290" i="2"/>
  <c r="AG242" i="3" s="1"/>
  <c r="N242" i="3" s="1"/>
  <c r="AC290" i="2"/>
  <c r="AB290" i="2"/>
  <c r="X290" i="2"/>
  <c r="W290" i="2"/>
  <c r="J290" i="2" s="1"/>
  <c r="V290" i="2"/>
  <c r="U290" i="2"/>
  <c r="BO289" i="2"/>
  <c r="BN289" i="2"/>
  <c r="AH31" i="3" s="1"/>
  <c r="O31" i="3" s="1"/>
  <c r="BM289" i="2"/>
  <c r="AM31" i="3" s="1"/>
  <c r="Q31" i="3" s="1"/>
  <c r="BL289" i="2"/>
  <c r="BK289" i="2"/>
  <c r="AN31" i="3" s="1"/>
  <c r="R31" i="3" s="1"/>
  <c r="BJ289" i="2"/>
  <c r="BI289" i="2"/>
  <c r="BH289" i="2" s="1"/>
  <c r="BG289" i="2"/>
  <c r="BF289" i="2"/>
  <c r="BE289" i="2"/>
  <c r="BD289" i="2"/>
  <c r="AI31" i="3" s="1"/>
  <c r="U31" i="3" s="1"/>
  <c r="BC289" i="2"/>
  <c r="BB289" i="2"/>
  <c r="BA289" i="2"/>
  <c r="AZ289" i="2"/>
  <c r="AJ31" i="3" s="1"/>
  <c r="W31" i="3" s="1"/>
  <c r="AY289" i="2"/>
  <c r="AX289" i="2"/>
  <c r="AW289" i="2"/>
  <c r="AV289" i="2"/>
  <c r="AU289" i="2"/>
  <c r="AT289" i="2"/>
  <c r="AR289" i="2"/>
  <c r="AQ289" i="2"/>
  <c r="AO289" i="2"/>
  <c r="AM289" i="2" s="1"/>
  <c r="AA289" i="2" s="1"/>
  <c r="AN289" i="2"/>
  <c r="AL289" i="2"/>
  <c r="AK289" i="2"/>
  <c r="AJ289" i="2"/>
  <c r="Z289" i="2" s="1"/>
  <c r="AI289" i="2"/>
  <c r="AH289" i="2"/>
  <c r="AF289" i="2"/>
  <c r="AE289" i="2"/>
  <c r="AD289" i="2"/>
  <c r="X289" i="2"/>
  <c r="W289" i="2"/>
  <c r="V289" i="2"/>
  <c r="U289" i="2"/>
  <c r="J289" i="2"/>
  <c r="BO288" i="2"/>
  <c r="AF256" i="3" s="1"/>
  <c r="M256" i="3" s="1"/>
  <c r="BN288" i="2"/>
  <c r="AH256" i="3" s="1"/>
  <c r="O256" i="3" s="1"/>
  <c r="BM288" i="2"/>
  <c r="AM256" i="3" s="1"/>
  <c r="Q256" i="3" s="1"/>
  <c r="BL288" i="2"/>
  <c r="BK288" i="2"/>
  <c r="AN256" i="3" s="1"/>
  <c r="R256" i="3" s="1"/>
  <c r="BJ288" i="2"/>
  <c r="AF288" i="2" s="1"/>
  <c r="BI288" i="2"/>
  <c r="BH288" i="2" s="1"/>
  <c r="BG288" i="2"/>
  <c r="BF288" i="2"/>
  <c r="AO256" i="3" s="1"/>
  <c r="X256" i="3" s="1"/>
  <c r="BE288" i="2"/>
  <c r="BD288" i="2"/>
  <c r="AI256" i="3" s="1"/>
  <c r="U256" i="3" s="1"/>
  <c r="BC288" i="2"/>
  <c r="BB288" i="2" s="1"/>
  <c r="AD288" i="2" s="1"/>
  <c r="BA288" i="2"/>
  <c r="AZ288" i="2"/>
  <c r="AX288" i="2"/>
  <c r="AV288" i="2" s="1"/>
  <c r="AW288" i="2"/>
  <c r="AU288" i="2"/>
  <c r="AT288" i="2"/>
  <c r="AL256" i="3" s="1"/>
  <c r="S256" i="3" s="1"/>
  <c r="AR288" i="2"/>
  <c r="AQ288" i="2"/>
  <c r="AK256" i="3" s="1"/>
  <c r="T256" i="3" s="1"/>
  <c r="AO288" i="2"/>
  <c r="AN288" i="2"/>
  <c r="AE256" i="3" s="1"/>
  <c r="AL288" i="2"/>
  <c r="AK288" i="2"/>
  <c r="AD256" i="3" s="1"/>
  <c r="K256" i="3" s="1"/>
  <c r="AJ288" i="2"/>
  <c r="Z288" i="2" s="1"/>
  <c r="AI288" i="2"/>
  <c r="AH288" i="2"/>
  <c r="X288" i="2"/>
  <c r="W288" i="2"/>
  <c r="J288" i="2" s="1"/>
  <c r="V288" i="2"/>
  <c r="U288" i="2"/>
  <c r="BO287" i="2"/>
  <c r="AF251" i="3" s="1"/>
  <c r="M251" i="3" s="1"/>
  <c r="BN287" i="2"/>
  <c r="AH251" i="3" s="1"/>
  <c r="O251" i="3" s="1"/>
  <c r="BM287" i="2"/>
  <c r="AM251" i="3" s="1"/>
  <c r="Q251" i="3" s="1"/>
  <c r="BL287" i="2"/>
  <c r="BK287" i="2"/>
  <c r="AN251" i="3" s="1"/>
  <c r="R251" i="3" s="1"/>
  <c r="BI287" i="2"/>
  <c r="BH287" i="2"/>
  <c r="BG287" i="2"/>
  <c r="BF287" i="2"/>
  <c r="AO251" i="3" s="1"/>
  <c r="X251" i="3" s="1"/>
  <c r="BD287" i="2"/>
  <c r="AI251" i="3" s="1"/>
  <c r="U251" i="3" s="1"/>
  <c r="BC287" i="2"/>
  <c r="BB287" i="2"/>
  <c r="AD287" i="2" s="1"/>
  <c r="BA287" i="2"/>
  <c r="AY287" i="2" s="1"/>
  <c r="AE287" i="2" s="1"/>
  <c r="AZ287" i="2"/>
  <c r="AJ251" i="3" s="1"/>
  <c r="W251" i="3" s="1"/>
  <c r="AX287" i="2"/>
  <c r="AV287" i="2" s="1"/>
  <c r="AW287" i="2"/>
  <c r="AU287" i="2"/>
  <c r="AT287" i="2"/>
  <c r="AR287" i="2"/>
  <c r="AQ287" i="2"/>
  <c r="AO287" i="2"/>
  <c r="AN287" i="2"/>
  <c r="AE251" i="3" s="1"/>
  <c r="L251" i="3" s="1"/>
  <c r="AL287" i="2"/>
  <c r="AK287" i="2"/>
  <c r="AI287" i="2"/>
  <c r="AH287" i="2"/>
  <c r="AG251" i="3" s="1"/>
  <c r="N251" i="3" s="1"/>
  <c r="AG287" i="2"/>
  <c r="Y287" i="2" s="1"/>
  <c r="X287" i="2"/>
  <c r="W287" i="2"/>
  <c r="V287" i="2"/>
  <c r="U287" i="2" s="1"/>
  <c r="J287" i="2"/>
  <c r="BO286" i="2"/>
  <c r="AF310" i="3" s="1"/>
  <c r="M310" i="3" s="1"/>
  <c r="BN286" i="2"/>
  <c r="AH310" i="3" s="1"/>
  <c r="O310" i="3" s="1"/>
  <c r="BM286" i="2"/>
  <c r="AM310" i="3" s="1"/>
  <c r="Q310" i="3" s="1"/>
  <c r="BL286" i="2"/>
  <c r="BK286" i="2"/>
  <c r="AN310" i="3" s="1"/>
  <c r="R310" i="3" s="1"/>
  <c r="BJ286" i="2"/>
  <c r="AF286" i="2" s="1"/>
  <c r="BI286" i="2"/>
  <c r="BH286" i="2" s="1"/>
  <c r="BG286" i="2"/>
  <c r="BF286" i="2"/>
  <c r="AO310" i="3" s="1"/>
  <c r="X310" i="3" s="1"/>
  <c r="BD286" i="2"/>
  <c r="BC286" i="2"/>
  <c r="BB286" i="2" s="1"/>
  <c r="AD286" i="2" s="1"/>
  <c r="BA286" i="2"/>
  <c r="AZ286" i="2"/>
  <c r="AX286" i="2"/>
  <c r="AW286" i="2"/>
  <c r="AV286" i="2"/>
  <c r="AU286" i="2"/>
  <c r="AT286" i="2"/>
  <c r="AL310" i="3" s="1"/>
  <c r="S310" i="3" s="1"/>
  <c r="AS286" i="2"/>
  <c r="AC286" i="2" s="1"/>
  <c r="AR286" i="2"/>
  <c r="AQ286" i="2"/>
  <c r="AK310" i="3" s="1"/>
  <c r="T310" i="3" s="1"/>
  <c r="AP286" i="2"/>
  <c r="AB286" i="2" s="1"/>
  <c r="AO286" i="2"/>
  <c r="AN286" i="2"/>
  <c r="AL286" i="2"/>
  <c r="AK286" i="2"/>
  <c r="AD310" i="3" s="1"/>
  <c r="K310" i="3" s="1"/>
  <c r="AI286" i="2"/>
  <c r="AH286" i="2"/>
  <c r="X286" i="2"/>
  <c r="W286" i="2"/>
  <c r="J286" i="2" s="1"/>
  <c r="V286" i="2"/>
  <c r="U286" i="2"/>
  <c r="BO285" i="2"/>
  <c r="AF341" i="3" s="1"/>
  <c r="BN285" i="2"/>
  <c r="AH341" i="3" s="1"/>
  <c r="O341" i="3" s="1"/>
  <c r="BM285" i="2"/>
  <c r="AM341" i="3" s="1"/>
  <c r="Q341" i="3" s="1"/>
  <c r="BL285" i="2"/>
  <c r="BK285" i="2"/>
  <c r="AN341" i="3" s="1"/>
  <c r="R341" i="3" s="1"/>
  <c r="BJ285" i="2"/>
  <c r="AF285" i="2" s="1"/>
  <c r="BI285" i="2"/>
  <c r="BH285" i="2"/>
  <c r="BG285" i="2"/>
  <c r="BF285" i="2"/>
  <c r="BD285" i="2"/>
  <c r="AI341" i="3" s="1"/>
  <c r="U341" i="3" s="1"/>
  <c r="BC285" i="2"/>
  <c r="BB285" i="2"/>
  <c r="AD285" i="2" s="1"/>
  <c r="BA285" i="2"/>
  <c r="AZ285" i="2"/>
  <c r="AJ341" i="3" s="1"/>
  <c r="W341" i="3" s="1"/>
  <c r="AX285" i="2"/>
  <c r="AW285" i="2"/>
  <c r="AV285" i="2" s="1"/>
  <c r="AU285" i="2"/>
  <c r="AT285" i="2"/>
  <c r="AL341" i="3" s="1"/>
  <c r="S341" i="3" s="1"/>
  <c r="AS285" i="2"/>
  <c r="AR285" i="2"/>
  <c r="AQ285" i="2"/>
  <c r="AK341" i="3" s="1"/>
  <c r="T341" i="3" s="1"/>
  <c r="AP285" i="2"/>
  <c r="AO285" i="2"/>
  <c r="AN285" i="2"/>
  <c r="AL285" i="2"/>
  <c r="AK285" i="2"/>
  <c r="AI285" i="2"/>
  <c r="AH285" i="2"/>
  <c r="AG341" i="3" s="1"/>
  <c r="N341" i="3" s="1"/>
  <c r="AG285" i="2"/>
  <c r="AC285" i="2"/>
  <c r="AB285" i="2"/>
  <c r="Y285" i="2"/>
  <c r="X285" i="2"/>
  <c r="W285" i="2"/>
  <c r="V285" i="2"/>
  <c r="BO284" i="2"/>
  <c r="BN284" i="2"/>
  <c r="AH207" i="3" s="1"/>
  <c r="O207" i="3" s="1"/>
  <c r="BM284" i="2"/>
  <c r="AM207" i="3" s="1"/>
  <c r="Q207" i="3" s="1"/>
  <c r="BL284" i="2"/>
  <c r="BK284" i="2"/>
  <c r="AN207" i="3" s="1"/>
  <c r="R207" i="3" s="1"/>
  <c r="BJ284" i="2"/>
  <c r="AF284" i="2" s="1"/>
  <c r="BI284" i="2"/>
  <c r="BH284" i="2" s="1"/>
  <c r="BG284" i="2"/>
  <c r="BF284" i="2"/>
  <c r="BD284" i="2"/>
  <c r="AI207" i="3" s="1"/>
  <c r="U207" i="3" s="1"/>
  <c r="BC284" i="2"/>
  <c r="BB284" i="2"/>
  <c r="BA284" i="2"/>
  <c r="AZ284" i="2"/>
  <c r="AJ207" i="3" s="1"/>
  <c r="W207" i="3" s="1"/>
  <c r="AY284" i="2"/>
  <c r="AE284" i="2" s="1"/>
  <c r="AX284" i="2"/>
  <c r="AW284" i="2"/>
  <c r="AV284" i="2" s="1"/>
  <c r="AU284" i="2"/>
  <c r="AT284" i="2"/>
  <c r="AR284" i="2"/>
  <c r="AP284" i="2" s="1"/>
  <c r="AB284" i="2" s="1"/>
  <c r="AQ284" i="2"/>
  <c r="AK207" i="3" s="1"/>
  <c r="T207" i="3" s="1"/>
  <c r="AO284" i="2"/>
  <c r="AM284" i="2" s="1"/>
  <c r="AA284" i="2" s="1"/>
  <c r="AN284" i="2"/>
  <c r="AK284" i="2"/>
  <c r="AD207" i="3" s="1"/>
  <c r="K207" i="3" s="1"/>
  <c r="AI284" i="2"/>
  <c r="AH284" i="2"/>
  <c r="AG207" i="3" s="1"/>
  <c r="N207" i="3" s="1"/>
  <c r="AD284" i="2"/>
  <c r="X284" i="2"/>
  <c r="W284" i="2"/>
  <c r="V284" i="2"/>
  <c r="U284" i="2"/>
  <c r="J284" i="2"/>
  <c r="BO283" i="2"/>
  <c r="AF115" i="3" s="1"/>
  <c r="M115" i="3" s="1"/>
  <c r="BN283" i="2"/>
  <c r="AH115" i="3" s="1"/>
  <c r="O115" i="3" s="1"/>
  <c r="BM283" i="2"/>
  <c r="BL283" i="2"/>
  <c r="BK283" i="2"/>
  <c r="AN115" i="3" s="1"/>
  <c r="R115" i="3" s="1"/>
  <c r="BI283" i="2"/>
  <c r="BH283" i="2" s="1"/>
  <c r="BG283" i="2"/>
  <c r="BF283" i="2"/>
  <c r="AO115" i="3" s="1"/>
  <c r="BE283" i="2"/>
  <c r="BD283" i="2"/>
  <c r="AI115" i="3" s="1"/>
  <c r="U115" i="3" s="1"/>
  <c r="BC283" i="2"/>
  <c r="BB283" i="2"/>
  <c r="AD283" i="2" s="1"/>
  <c r="BA283" i="2"/>
  <c r="AZ283" i="2"/>
  <c r="AJ115" i="3" s="1"/>
  <c r="W115" i="3" s="1"/>
  <c r="AY283" i="2"/>
  <c r="AE283" i="2" s="1"/>
  <c r="AX283" i="2"/>
  <c r="AW283" i="2"/>
  <c r="AV283" i="2" s="1"/>
  <c r="AU283" i="2"/>
  <c r="AT283" i="2"/>
  <c r="AS283" i="2"/>
  <c r="AR283" i="2"/>
  <c r="AQ283" i="2"/>
  <c r="AK115" i="3" s="1"/>
  <c r="T115" i="3" s="1"/>
  <c r="AO283" i="2"/>
  <c r="AN283" i="2"/>
  <c r="AE115" i="3" s="1"/>
  <c r="L115" i="3" s="1"/>
  <c r="AM283" i="2"/>
  <c r="AL283" i="2"/>
  <c r="AK283" i="2"/>
  <c r="AD115" i="3" s="1"/>
  <c r="K115" i="3" s="1"/>
  <c r="AI283" i="2"/>
  <c r="AH283" i="2"/>
  <c r="AG115" i="3" s="1"/>
  <c r="N115" i="3" s="1"/>
  <c r="AG283" i="2"/>
  <c r="Y283" i="2" s="1"/>
  <c r="AC283" i="2"/>
  <c r="AA283" i="2"/>
  <c r="X283" i="2"/>
  <c r="W283" i="2"/>
  <c r="J283" i="2" s="1"/>
  <c r="V283" i="2"/>
  <c r="U283" i="2" s="1"/>
  <c r="BO282" i="2"/>
  <c r="AF140" i="3" s="1"/>
  <c r="BN282" i="2"/>
  <c r="AH140" i="3" s="1"/>
  <c r="O140" i="3" s="1"/>
  <c r="BM282" i="2"/>
  <c r="AM140" i="3" s="1"/>
  <c r="Q140" i="3" s="1"/>
  <c r="BL282" i="2"/>
  <c r="BK282" i="2"/>
  <c r="AN140" i="3" s="1"/>
  <c r="R140" i="3" s="1"/>
  <c r="BJ282" i="2"/>
  <c r="AF282" i="2" s="1"/>
  <c r="BI282" i="2"/>
  <c r="BH282" i="2"/>
  <c r="BG282" i="2"/>
  <c r="BF282" i="2"/>
  <c r="AO140" i="3" s="1"/>
  <c r="X140" i="3" s="1"/>
  <c r="BE282" i="2"/>
  <c r="BD282" i="2"/>
  <c r="AI140" i="3" s="1"/>
  <c r="U140" i="3" s="1"/>
  <c r="BC282" i="2"/>
  <c r="BB282" i="2"/>
  <c r="AD282" i="2" s="1"/>
  <c r="BA282" i="2"/>
  <c r="AZ282" i="2"/>
  <c r="AY282" i="2"/>
  <c r="AX282" i="2"/>
  <c r="AW282" i="2"/>
  <c r="AV282" i="2"/>
  <c r="AU282" i="2"/>
  <c r="AT282" i="2"/>
  <c r="AR282" i="2"/>
  <c r="AQ282" i="2"/>
  <c r="AK140" i="3" s="1"/>
  <c r="T140" i="3" s="1"/>
  <c r="AP282" i="2"/>
  <c r="AB282" i="2" s="1"/>
  <c r="AO282" i="2"/>
  <c r="AM282" i="2" s="1"/>
  <c r="AA282" i="2" s="1"/>
  <c r="AN282" i="2"/>
  <c r="AE140" i="3" s="1"/>
  <c r="AL282" i="2"/>
  <c r="AK282" i="2"/>
  <c r="AD140" i="3" s="1"/>
  <c r="K140" i="3" s="1"/>
  <c r="AJ282" i="2"/>
  <c r="Z282" i="2" s="1"/>
  <c r="AI282" i="2"/>
  <c r="AH282" i="2"/>
  <c r="AG140" i="3" s="1"/>
  <c r="N140" i="3" s="1"/>
  <c r="AG282" i="2"/>
  <c r="Y282" i="2" s="1"/>
  <c r="AE282" i="2"/>
  <c r="X282" i="2"/>
  <c r="W282" i="2"/>
  <c r="V282" i="2"/>
  <c r="U282" i="2"/>
  <c r="J282" i="2"/>
  <c r="BO281" i="2"/>
  <c r="AF306" i="3" s="1"/>
  <c r="M306" i="3" s="1"/>
  <c r="BN281" i="2"/>
  <c r="AH306" i="3" s="1"/>
  <c r="O306" i="3" s="1"/>
  <c r="BM281" i="2"/>
  <c r="AM306" i="3" s="1"/>
  <c r="Q306" i="3" s="1"/>
  <c r="BL281" i="2"/>
  <c r="BJ281" i="2" s="1"/>
  <c r="AF281" i="2" s="1"/>
  <c r="BK281" i="2"/>
  <c r="AN306" i="3" s="1"/>
  <c r="R306" i="3" s="1"/>
  <c r="BI281" i="2"/>
  <c r="BH281" i="2" s="1"/>
  <c r="BG281" i="2"/>
  <c r="BF281" i="2"/>
  <c r="AO306" i="3" s="1"/>
  <c r="X306" i="3" s="1"/>
  <c r="BE281" i="2"/>
  <c r="BD281" i="2"/>
  <c r="AI306" i="3" s="1"/>
  <c r="U306" i="3" s="1"/>
  <c r="BC281" i="2"/>
  <c r="BA281" i="2"/>
  <c r="AZ281" i="2"/>
  <c r="AJ306" i="3" s="1"/>
  <c r="W306" i="3" s="1"/>
  <c r="AY281" i="2"/>
  <c r="AE281" i="2" s="1"/>
  <c r="AX281" i="2"/>
  <c r="AW281" i="2"/>
  <c r="AU281" i="2"/>
  <c r="AT281" i="2"/>
  <c r="AL306" i="3" s="1"/>
  <c r="S306" i="3" s="1"/>
  <c r="AS281" i="2"/>
  <c r="AR281" i="2"/>
  <c r="AQ281" i="2"/>
  <c r="AP281" i="2" s="1"/>
  <c r="AO281" i="2"/>
  <c r="AM281" i="2" s="1"/>
  <c r="AA281" i="2" s="1"/>
  <c r="AN281" i="2"/>
  <c r="AE306" i="3" s="1"/>
  <c r="L306" i="3" s="1"/>
  <c r="AL281" i="2"/>
  <c r="AK281" i="2"/>
  <c r="AI281" i="2"/>
  <c r="AH281" i="2"/>
  <c r="AG306" i="3" s="1"/>
  <c r="N306" i="3" s="1"/>
  <c r="AC281" i="2"/>
  <c r="AB281" i="2"/>
  <c r="X281" i="2"/>
  <c r="W281" i="2"/>
  <c r="V281" i="2"/>
  <c r="U281" i="2"/>
  <c r="BO280" i="2"/>
  <c r="AF280" i="3" s="1"/>
  <c r="M280" i="3" s="1"/>
  <c r="BN280" i="2"/>
  <c r="AH280" i="3" s="1"/>
  <c r="O280" i="3" s="1"/>
  <c r="BM280" i="2"/>
  <c r="AM280" i="3" s="1"/>
  <c r="Q280" i="3" s="1"/>
  <c r="BL280" i="2"/>
  <c r="BJ280" i="2" s="1"/>
  <c r="BK280" i="2"/>
  <c r="BI280" i="2"/>
  <c r="BH280" i="2"/>
  <c r="BG280" i="2"/>
  <c r="BF280" i="2"/>
  <c r="AO280" i="3" s="1"/>
  <c r="X280" i="3" s="1"/>
  <c r="BD280" i="2"/>
  <c r="AI280" i="3" s="1"/>
  <c r="U280" i="3" s="1"/>
  <c r="BC280" i="2"/>
  <c r="BA280" i="2"/>
  <c r="AZ280" i="2"/>
  <c r="AX280" i="2"/>
  <c r="AW280" i="2"/>
  <c r="AV280" i="2"/>
  <c r="AU280" i="2"/>
  <c r="AS280" i="2" s="1"/>
  <c r="AC280" i="2" s="1"/>
  <c r="AT280" i="2"/>
  <c r="AL280" i="3" s="1"/>
  <c r="S280" i="3" s="1"/>
  <c r="AR280" i="2"/>
  <c r="AQ280" i="2"/>
  <c r="AO280" i="2"/>
  <c r="AN280" i="2"/>
  <c r="AE280" i="3" s="1"/>
  <c r="L280" i="3" s="1"/>
  <c r="AL280" i="2"/>
  <c r="AJ280" i="2" s="1"/>
  <c r="Z280" i="2" s="1"/>
  <c r="AK280" i="2"/>
  <c r="AD280" i="3" s="1"/>
  <c r="K280" i="3" s="1"/>
  <c r="AI280" i="2"/>
  <c r="AH280" i="2"/>
  <c r="AG280" i="3" s="1"/>
  <c r="N280" i="3" s="1"/>
  <c r="AF280" i="2"/>
  <c r="X280" i="2"/>
  <c r="W280" i="2"/>
  <c r="V280" i="2"/>
  <c r="U280" i="2"/>
  <c r="J280" i="2"/>
  <c r="BO279" i="2"/>
  <c r="AF227" i="3" s="1"/>
  <c r="M227" i="3" s="1"/>
  <c r="BN279" i="2"/>
  <c r="AH227" i="3" s="1"/>
  <c r="O227" i="3" s="1"/>
  <c r="BM279" i="2"/>
  <c r="AM227" i="3" s="1"/>
  <c r="Q227" i="3" s="1"/>
  <c r="BL279" i="2"/>
  <c r="BK279" i="2"/>
  <c r="BJ279" i="2" s="1"/>
  <c r="AF279" i="2" s="1"/>
  <c r="BI279" i="2"/>
  <c r="BH279" i="2"/>
  <c r="BG279" i="2"/>
  <c r="BF279" i="2"/>
  <c r="AO227" i="3" s="1"/>
  <c r="X227" i="3" s="1"/>
  <c r="BE279" i="2"/>
  <c r="BD279" i="2"/>
  <c r="BC279" i="2"/>
  <c r="BA279" i="2"/>
  <c r="AZ279" i="2"/>
  <c r="AJ227" i="3" s="1"/>
  <c r="W227" i="3" s="1"/>
  <c r="AY279" i="2"/>
  <c r="AX279" i="2"/>
  <c r="AW279" i="2"/>
  <c r="AV279" i="2" s="1"/>
  <c r="AU279" i="2"/>
  <c r="AT279" i="2"/>
  <c r="AL227" i="3" s="1"/>
  <c r="S227" i="3" s="1"/>
  <c r="AS279" i="2"/>
  <c r="AR279" i="2"/>
  <c r="AP279" i="2" s="1"/>
  <c r="AQ279" i="2"/>
  <c r="AK227" i="3" s="1"/>
  <c r="T227" i="3" s="1"/>
  <c r="AO279" i="2"/>
  <c r="AM279" i="2" s="1"/>
  <c r="AA279" i="2" s="1"/>
  <c r="AN279" i="2"/>
  <c r="AE227" i="3" s="1"/>
  <c r="L227" i="3" s="1"/>
  <c r="AL279" i="2"/>
  <c r="AK279" i="2"/>
  <c r="AD227" i="3" s="1"/>
  <c r="K227" i="3" s="1"/>
  <c r="AJ279" i="2"/>
  <c r="Z279" i="2" s="1"/>
  <c r="AI279" i="2"/>
  <c r="AH279" i="2"/>
  <c r="AE279" i="2"/>
  <c r="AC279" i="2"/>
  <c r="AB279" i="2"/>
  <c r="X279" i="2"/>
  <c r="W279" i="2"/>
  <c r="J279" i="2" s="1"/>
  <c r="V279" i="2"/>
  <c r="U279" i="2" s="1"/>
  <c r="BO278" i="2"/>
  <c r="AF235" i="3" s="1"/>
  <c r="M235" i="3" s="1"/>
  <c r="BN278" i="2"/>
  <c r="AH235" i="3" s="1"/>
  <c r="O235" i="3" s="1"/>
  <c r="BM278" i="2"/>
  <c r="AM235" i="3" s="1"/>
  <c r="Q235" i="3" s="1"/>
  <c r="BL278" i="2"/>
  <c r="BK278" i="2"/>
  <c r="AN235" i="3" s="1"/>
  <c r="BI278" i="2"/>
  <c r="BG278" i="2"/>
  <c r="BE278" i="2" s="1"/>
  <c r="BF278" i="2"/>
  <c r="AO235" i="3" s="1"/>
  <c r="X235" i="3" s="1"/>
  <c r="BD278" i="2"/>
  <c r="AI235" i="3" s="1"/>
  <c r="U235" i="3" s="1"/>
  <c r="BC278" i="2"/>
  <c r="BB278" i="2" s="1"/>
  <c r="AD278" i="2" s="1"/>
  <c r="BA278" i="2"/>
  <c r="AY278" i="2" s="1"/>
  <c r="AE278" i="2" s="1"/>
  <c r="AZ278" i="2"/>
  <c r="AJ235" i="3" s="1"/>
  <c r="W235" i="3" s="1"/>
  <c r="AX278" i="2"/>
  <c r="AW278" i="2"/>
  <c r="AV278" i="2" s="1"/>
  <c r="AU278" i="2"/>
  <c r="AT278" i="2"/>
  <c r="AL235" i="3" s="1"/>
  <c r="S235" i="3" s="1"/>
  <c r="AR278" i="2"/>
  <c r="AQ278" i="2"/>
  <c r="AK235" i="3" s="1"/>
  <c r="T235" i="3" s="1"/>
  <c r="AP278" i="2"/>
  <c r="AO278" i="2"/>
  <c r="AN278" i="2"/>
  <c r="AL278" i="2"/>
  <c r="AK278" i="2"/>
  <c r="AD235" i="3" s="1"/>
  <c r="K235" i="3" s="1"/>
  <c r="AJ278" i="2"/>
  <c r="AI278" i="2"/>
  <c r="AH278" i="2"/>
  <c r="AG235" i="3" s="1"/>
  <c r="N235" i="3" s="1"/>
  <c r="AG278" i="2"/>
  <c r="Y278" i="2" s="1"/>
  <c r="AB278" i="2"/>
  <c r="Z278" i="2"/>
  <c r="X278" i="2"/>
  <c r="W278" i="2"/>
  <c r="V278" i="2"/>
  <c r="U278" i="2" s="1"/>
  <c r="J278" i="2"/>
  <c r="BO277" i="2"/>
  <c r="AF72" i="3" s="1"/>
  <c r="M72" i="3" s="1"/>
  <c r="BN277" i="2"/>
  <c r="AH72" i="3" s="1"/>
  <c r="BM277" i="2"/>
  <c r="BL277" i="2"/>
  <c r="BK277" i="2"/>
  <c r="AN72" i="3" s="1"/>
  <c r="R72" i="3" s="1"/>
  <c r="BJ277" i="2"/>
  <c r="BI277" i="2"/>
  <c r="BH277" i="2" s="1"/>
  <c r="BG277" i="2"/>
  <c r="BF277" i="2"/>
  <c r="BE277" i="2"/>
  <c r="BD277" i="2"/>
  <c r="AI72" i="3" s="1"/>
  <c r="U72" i="3" s="1"/>
  <c r="BC277" i="2"/>
  <c r="BB277" i="2"/>
  <c r="BA277" i="2"/>
  <c r="AZ277" i="2"/>
  <c r="AJ72" i="3" s="1"/>
  <c r="W72" i="3" s="1"/>
  <c r="AY277" i="2"/>
  <c r="AE277" i="2" s="1"/>
  <c r="AX277" i="2"/>
  <c r="AW277" i="2"/>
  <c r="AV277" i="2"/>
  <c r="AU277" i="2"/>
  <c r="AT277" i="2"/>
  <c r="AR277" i="2"/>
  <c r="AQ277" i="2"/>
  <c r="AK72" i="3" s="1"/>
  <c r="T72" i="3" s="1"/>
  <c r="AP277" i="2"/>
  <c r="AB277" i="2" s="1"/>
  <c r="AO277" i="2"/>
  <c r="AN277" i="2"/>
  <c r="AL277" i="2"/>
  <c r="AK277" i="2"/>
  <c r="AD72" i="3" s="1"/>
  <c r="K72" i="3" s="1"/>
  <c r="AJ277" i="2"/>
  <c r="Z277" i="2" s="1"/>
  <c r="AI277" i="2"/>
  <c r="AH277" i="2"/>
  <c r="AG277" i="2"/>
  <c r="Y277" i="2" s="1"/>
  <c r="AF277" i="2"/>
  <c r="AD277" i="2"/>
  <c r="X277" i="2"/>
  <c r="W277" i="2"/>
  <c r="V277" i="2"/>
  <c r="U277" i="2" s="1"/>
  <c r="J277" i="2"/>
  <c r="BO276" i="2"/>
  <c r="AF169" i="3" s="1"/>
  <c r="M169" i="3" s="1"/>
  <c r="BN276" i="2"/>
  <c r="AH169" i="3" s="1"/>
  <c r="O169" i="3" s="1"/>
  <c r="BM276" i="2"/>
  <c r="AM169" i="3" s="1"/>
  <c r="Q169" i="3" s="1"/>
  <c r="BL276" i="2"/>
  <c r="BK276" i="2"/>
  <c r="AN169" i="3" s="1"/>
  <c r="R169" i="3" s="1"/>
  <c r="BJ276" i="2"/>
  <c r="AF276" i="2" s="1"/>
  <c r="BI276" i="2"/>
  <c r="BH276" i="2"/>
  <c r="BG276" i="2"/>
  <c r="BF276" i="2"/>
  <c r="BE276" i="2" s="1"/>
  <c r="BD276" i="2"/>
  <c r="AI169" i="3" s="1"/>
  <c r="U169" i="3" s="1"/>
  <c r="BC276" i="2"/>
  <c r="BB276" i="2" s="1"/>
  <c r="AD276" i="2" s="1"/>
  <c r="BA276" i="2"/>
  <c r="AZ276" i="2"/>
  <c r="AJ169" i="3" s="1"/>
  <c r="W169" i="3" s="1"/>
  <c r="AY276" i="2"/>
  <c r="AE276" i="2" s="1"/>
  <c r="AX276" i="2"/>
  <c r="AW276" i="2"/>
  <c r="AV276" i="2" s="1"/>
  <c r="AU276" i="2"/>
  <c r="AT276" i="2"/>
  <c r="AS276" i="2"/>
  <c r="AC276" i="2" s="1"/>
  <c r="AR276" i="2"/>
  <c r="AQ276" i="2"/>
  <c r="AK169" i="3" s="1"/>
  <c r="T169" i="3" s="1"/>
  <c r="AP276" i="2"/>
  <c r="AO276" i="2"/>
  <c r="AN276" i="2"/>
  <c r="AE169" i="3" s="1"/>
  <c r="L169" i="3" s="1"/>
  <c r="AM276" i="2"/>
  <c r="AA276" i="2" s="1"/>
  <c r="AL276" i="2"/>
  <c r="AJ276" i="2" s="1"/>
  <c r="AK276" i="2"/>
  <c r="AD169" i="3" s="1"/>
  <c r="K169" i="3" s="1"/>
  <c r="AI276" i="2"/>
  <c r="AH276" i="2"/>
  <c r="AG276" i="2"/>
  <c r="Y276" i="2" s="1"/>
  <c r="AB276" i="2"/>
  <c r="Z276" i="2"/>
  <c r="X276" i="2"/>
  <c r="W276" i="2"/>
  <c r="J276" i="2" s="1"/>
  <c r="V276" i="2"/>
  <c r="U276" i="2" s="1"/>
  <c r="BO275" i="2"/>
  <c r="AF177" i="3" s="1"/>
  <c r="M177" i="3" s="1"/>
  <c r="BN275" i="2"/>
  <c r="AH177" i="3" s="1"/>
  <c r="O177" i="3" s="1"/>
  <c r="BM275" i="2"/>
  <c r="AM177" i="3" s="1"/>
  <c r="Q177" i="3" s="1"/>
  <c r="BL275" i="2"/>
  <c r="BK275" i="2"/>
  <c r="BJ275" i="2"/>
  <c r="BI275" i="2"/>
  <c r="BH275" i="2"/>
  <c r="BG275" i="2"/>
  <c r="BF275" i="2"/>
  <c r="BD275" i="2"/>
  <c r="AI177" i="3" s="1"/>
  <c r="U177" i="3" s="1"/>
  <c r="BC275" i="2"/>
  <c r="BB275" i="2"/>
  <c r="BA275" i="2"/>
  <c r="AZ275" i="2"/>
  <c r="AX275" i="2"/>
  <c r="AW275" i="2"/>
  <c r="AV275" i="2"/>
  <c r="AU275" i="2"/>
  <c r="AT275" i="2"/>
  <c r="AL177" i="3" s="1"/>
  <c r="S177" i="3" s="1"/>
  <c r="AS275" i="2"/>
  <c r="AC275" i="2" s="1"/>
  <c r="AR275" i="2"/>
  <c r="AQ275" i="2"/>
  <c r="AK177" i="3" s="1"/>
  <c r="T177" i="3" s="1"/>
  <c r="AO275" i="2"/>
  <c r="AN275" i="2"/>
  <c r="AL275" i="2"/>
  <c r="AK275" i="2"/>
  <c r="AD177" i="3" s="1"/>
  <c r="K177" i="3" s="1"/>
  <c r="AJ275" i="2"/>
  <c r="AI275" i="2"/>
  <c r="AH275" i="2"/>
  <c r="AG177" i="3" s="1"/>
  <c r="N177" i="3" s="1"/>
  <c r="AF275" i="2"/>
  <c r="AD275" i="2"/>
  <c r="Z275" i="2"/>
  <c r="X275" i="2"/>
  <c r="W275" i="2"/>
  <c r="V275" i="2"/>
  <c r="U275" i="2" s="1"/>
  <c r="J275" i="2"/>
  <c r="BO274" i="2"/>
  <c r="AF192" i="3" s="1"/>
  <c r="BN274" i="2"/>
  <c r="AH192" i="3" s="1"/>
  <c r="O192" i="3" s="1"/>
  <c r="BM274" i="2"/>
  <c r="AM192" i="3" s="1"/>
  <c r="Q192" i="3" s="1"/>
  <c r="BL274" i="2"/>
  <c r="BK274" i="2"/>
  <c r="BI274" i="2"/>
  <c r="BH274" i="2" s="1"/>
  <c r="BG274" i="2"/>
  <c r="BF274" i="2"/>
  <c r="BE274" i="2"/>
  <c r="BD274" i="2"/>
  <c r="AI192" i="3" s="1"/>
  <c r="U192" i="3" s="1"/>
  <c r="BC274" i="2"/>
  <c r="BB274" i="2"/>
  <c r="AD274" i="2" s="1"/>
  <c r="BA274" i="2"/>
  <c r="AY274" i="2" s="1"/>
  <c r="AE274" i="2" s="1"/>
  <c r="AZ274" i="2"/>
  <c r="AJ192" i="3" s="1"/>
  <c r="W192" i="3" s="1"/>
  <c r="AX274" i="2"/>
  <c r="AW274" i="2"/>
  <c r="AV274" i="2"/>
  <c r="AU274" i="2"/>
  <c r="AT274" i="2"/>
  <c r="AR274" i="2"/>
  <c r="AP274" i="2" s="1"/>
  <c r="AB274" i="2" s="1"/>
  <c r="AQ274" i="2"/>
  <c r="AO274" i="2"/>
  <c r="AN274" i="2"/>
  <c r="AE192" i="3" s="1"/>
  <c r="AM274" i="2"/>
  <c r="AA274" i="2" s="1"/>
  <c r="AL274" i="2"/>
  <c r="AJ274" i="2" s="1"/>
  <c r="Z274" i="2" s="1"/>
  <c r="AK274" i="2"/>
  <c r="AD192" i="3" s="1"/>
  <c r="K192" i="3" s="1"/>
  <c r="AI274" i="2"/>
  <c r="AH274" i="2"/>
  <c r="AG192" i="3" s="1"/>
  <c r="N192" i="3" s="1"/>
  <c r="AG274" i="2"/>
  <c r="Y274" i="2" s="1"/>
  <c r="X274" i="2"/>
  <c r="W274" i="2"/>
  <c r="J274" i="2" s="1"/>
  <c r="V274" i="2"/>
  <c r="U274" i="2" s="1"/>
  <c r="BO273" i="2"/>
  <c r="AF272" i="3" s="1"/>
  <c r="M272" i="3" s="1"/>
  <c r="BN273" i="2"/>
  <c r="AH272" i="3" s="1"/>
  <c r="O272" i="3" s="1"/>
  <c r="BM273" i="2"/>
  <c r="AM272" i="3" s="1"/>
  <c r="Q272" i="3" s="1"/>
  <c r="BL273" i="2"/>
  <c r="BK273" i="2"/>
  <c r="AN272" i="3" s="1"/>
  <c r="R272" i="3" s="1"/>
  <c r="BI273" i="2"/>
  <c r="BG273" i="2"/>
  <c r="BF273" i="2"/>
  <c r="BD273" i="2"/>
  <c r="AI272" i="3" s="1"/>
  <c r="U272" i="3" s="1"/>
  <c r="BC273" i="2"/>
  <c r="BB273" i="2"/>
  <c r="AD273" i="2" s="1"/>
  <c r="BA273" i="2"/>
  <c r="AZ273" i="2"/>
  <c r="AX273" i="2"/>
  <c r="AW273" i="2"/>
  <c r="AV273" i="2"/>
  <c r="AU273" i="2"/>
  <c r="AT273" i="2"/>
  <c r="AL272" i="3" s="1"/>
  <c r="S272" i="3" s="1"/>
  <c r="AR273" i="2"/>
  <c r="AQ273" i="2"/>
  <c r="AO273" i="2"/>
  <c r="AN273" i="2"/>
  <c r="AE272" i="3" s="1"/>
  <c r="L272" i="3" s="1"/>
  <c r="AL273" i="2"/>
  <c r="AK273" i="2"/>
  <c r="AD272" i="3" s="1"/>
  <c r="K272" i="3" s="1"/>
  <c r="AJ273" i="2"/>
  <c r="AI273" i="2"/>
  <c r="AH273" i="2"/>
  <c r="AG272" i="3" s="1"/>
  <c r="N272" i="3" s="1"/>
  <c r="Z273" i="2"/>
  <c r="X273" i="2"/>
  <c r="W273" i="2"/>
  <c r="V273" i="2"/>
  <c r="U273" i="2"/>
  <c r="J273" i="2"/>
  <c r="BO272" i="2"/>
  <c r="AF314" i="3" s="1"/>
  <c r="M314" i="3" s="1"/>
  <c r="BN272" i="2"/>
  <c r="AH314" i="3" s="1"/>
  <c r="O314" i="3" s="1"/>
  <c r="BM272" i="2"/>
  <c r="AM314" i="3" s="1"/>
  <c r="Q314" i="3" s="1"/>
  <c r="BL272" i="2"/>
  <c r="BK272" i="2"/>
  <c r="BI272" i="2"/>
  <c r="BH272" i="2"/>
  <c r="BG272" i="2"/>
  <c r="BF272" i="2"/>
  <c r="AO314" i="3" s="1"/>
  <c r="X314" i="3" s="1"/>
  <c r="BE272" i="2"/>
  <c r="BD272" i="2"/>
  <c r="BC272" i="2"/>
  <c r="BA272" i="2"/>
  <c r="AZ272" i="2"/>
  <c r="AJ314" i="3" s="1"/>
  <c r="W314" i="3" s="1"/>
  <c r="AY272" i="2"/>
  <c r="AX272" i="2"/>
  <c r="AW272" i="2"/>
  <c r="AV272" i="2"/>
  <c r="AU272" i="2"/>
  <c r="AS272" i="2" s="1"/>
  <c r="AC272" i="2" s="1"/>
  <c r="AT272" i="2"/>
  <c r="AL314" i="3" s="1"/>
  <c r="S314" i="3" s="1"/>
  <c r="AR272" i="2"/>
  <c r="AP272" i="2" s="1"/>
  <c r="AB272" i="2" s="1"/>
  <c r="AQ272" i="2"/>
  <c r="AK314" i="3" s="1"/>
  <c r="T314" i="3" s="1"/>
  <c r="AO272" i="2"/>
  <c r="AN272" i="2"/>
  <c r="AE314" i="3" s="1"/>
  <c r="L314" i="3" s="1"/>
  <c r="AM272" i="2"/>
  <c r="AA272" i="2" s="1"/>
  <c r="AL272" i="2"/>
  <c r="AK272" i="2"/>
  <c r="AD314" i="3" s="1"/>
  <c r="K314" i="3" s="1"/>
  <c r="AJ272" i="2"/>
  <c r="Z272" i="2" s="1"/>
  <c r="AI272" i="2"/>
  <c r="AH272" i="2"/>
  <c r="AG314" i="3" s="1"/>
  <c r="N314" i="3" s="1"/>
  <c r="AG272" i="2"/>
  <c r="Y272" i="2" s="1"/>
  <c r="AE272" i="2"/>
  <c r="X272" i="2"/>
  <c r="W272" i="2"/>
  <c r="V272" i="2"/>
  <c r="U272" i="2" s="1"/>
  <c r="J272" i="2"/>
  <c r="BO271" i="2"/>
  <c r="BN271" i="2"/>
  <c r="BM271" i="2"/>
  <c r="AM39" i="3" s="1"/>
  <c r="Q39" i="3" s="1"/>
  <c r="BL271" i="2"/>
  <c r="BK271" i="2"/>
  <c r="BJ271" i="2"/>
  <c r="BI271" i="2"/>
  <c r="BH271" i="2" s="1"/>
  <c r="BG271" i="2"/>
  <c r="BF271" i="2"/>
  <c r="BD271" i="2"/>
  <c r="AI39" i="3" s="1"/>
  <c r="U39" i="3" s="1"/>
  <c r="BC271" i="2"/>
  <c r="BB271" i="2" s="1"/>
  <c r="AD271" i="2" s="1"/>
  <c r="BA271" i="2"/>
  <c r="AZ271" i="2"/>
  <c r="AJ39" i="3" s="1"/>
  <c r="W39" i="3" s="1"/>
  <c r="AY271" i="2"/>
  <c r="AX271" i="2"/>
  <c r="AW271" i="2"/>
  <c r="AV271" i="2" s="1"/>
  <c r="AU271" i="2"/>
  <c r="AT271" i="2"/>
  <c r="AS271" i="2" s="1"/>
  <c r="AR271" i="2"/>
  <c r="AQ271" i="2"/>
  <c r="AP271" i="2"/>
  <c r="AO271" i="2"/>
  <c r="AN271" i="2"/>
  <c r="AE39" i="3" s="1"/>
  <c r="AL271" i="2"/>
  <c r="AK271" i="2"/>
  <c r="AD39" i="3" s="1"/>
  <c r="K39" i="3" s="1"/>
  <c r="AJ271" i="2"/>
  <c r="AI271" i="2"/>
  <c r="AH271" i="2"/>
  <c r="AG39" i="3" s="1"/>
  <c r="AG271" i="2"/>
  <c r="AF271" i="2"/>
  <c r="AE271" i="2"/>
  <c r="AC271" i="2"/>
  <c r="AB271" i="2"/>
  <c r="Z271" i="2"/>
  <c r="Y271" i="2"/>
  <c r="X271" i="2"/>
  <c r="W271" i="2"/>
  <c r="V271" i="2"/>
  <c r="U271" i="2"/>
  <c r="J271" i="2"/>
  <c r="BO270" i="2"/>
  <c r="AF283" i="3" s="1"/>
  <c r="M283" i="3" s="1"/>
  <c r="BN270" i="2"/>
  <c r="AH283" i="3" s="1"/>
  <c r="O283" i="3" s="1"/>
  <c r="BM270" i="2"/>
  <c r="AM283" i="3" s="1"/>
  <c r="Q283" i="3" s="1"/>
  <c r="BL270" i="2"/>
  <c r="BK270" i="2"/>
  <c r="AN283" i="3" s="1"/>
  <c r="R283" i="3" s="1"/>
  <c r="BJ270" i="2"/>
  <c r="BI270" i="2"/>
  <c r="BH270" i="2" s="1"/>
  <c r="BG270" i="2"/>
  <c r="BF270" i="2"/>
  <c r="AO283" i="3" s="1"/>
  <c r="X283" i="3" s="1"/>
  <c r="BE270" i="2"/>
  <c r="BD270" i="2"/>
  <c r="BC270" i="2"/>
  <c r="BA270" i="2"/>
  <c r="AY270" i="2" s="1"/>
  <c r="AE270" i="2" s="1"/>
  <c r="AZ270" i="2"/>
  <c r="AX270" i="2"/>
  <c r="AW270" i="2"/>
  <c r="AV270" i="2" s="1"/>
  <c r="AU270" i="2"/>
  <c r="AT270" i="2"/>
  <c r="AL283" i="3" s="1"/>
  <c r="S283" i="3" s="1"/>
  <c r="AS270" i="2"/>
  <c r="AC270" i="2" s="1"/>
  <c r="AR270" i="2"/>
  <c r="AQ270" i="2"/>
  <c r="AO270" i="2"/>
  <c r="AN270" i="2"/>
  <c r="AL270" i="2"/>
  <c r="AK270" i="2"/>
  <c r="AD283" i="3" s="1"/>
  <c r="K283" i="3" s="1"/>
  <c r="AJ270" i="2"/>
  <c r="Z270" i="2" s="1"/>
  <c r="AI270" i="2"/>
  <c r="AG270" i="2" s="1"/>
  <c r="Y270" i="2" s="1"/>
  <c r="AH270" i="2"/>
  <c r="AG283" i="3" s="1"/>
  <c r="N283" i="3" s="1"/>
  <c r="AF270" i="2"/>
  <c r="X270" i="2"/>
  <c r="W270" i="2"/>
  <c r="V270" i="2"/>
  <c r="U270" i="2" s="1"/>
  <c r="J270" i="2"/>
  <c r="BO269" i="2"/>
  <c r="AF337" i="3" s="1"/>
  <c r="M337" i="3" s="1"/>
  <c r="BN269" i="2"/>
  <c r="AH337" i="3" s="1"/>
  <c r="O337" i="3" s="1"/>
  <c r="BM269" i="2"/>
  <c r="AM337" i="3" s="1"/>
  <c r="Q337" i="3" s="1"/>
  <c r="BL269" i="2"/>
  <c r="BK269" i="2"/>
  <c r="AN337" i="3" s="1"/>
  <c r="R337" i="3" s="1"/>
  <c r="BJ269" i="2"/>
  <c r="AF269" i="2" s="1"/>
  <c r="BI269" i="2"/>
  <c r="BH269" i="2" s="1"/>
  <c r="BG269" i="2"/>
  <c r="BF269" i="2"/>
  <c r="AO337" i="3" s="1"/>
  <c r="X337" i="3" s="1"/>
  <c r="BD269" i="2"/>
  <c r="AI337" i="3" s="1"/>
  <c r="U337" i="3" s="1"/>
  <c r="BC269" i="2"/>
  <c r="BB269" i="2"/>
  <c r="AD269" i="2" s="1"/>
  <c r="BA269" i="2"/>
  <c r="AZ269" i="2"/>
  <c r="AJ337" i="3" s="1"/>
  <c r="W337" i="3" s="1"/>
  <c r="AX269" i="2"/>
  <c r="AW269" i="2"/>
  <c r="AV269" i="2"/>
  <c r="AU269" i="2"/>
  <c r="AT269" i="2"/>
  <c r="AL337" i="3" s="1"/>
  <c r="S337" i="3" s="1"/>
  <c r="AS269" i="2"/>
  <c r="AC269" i="2" s="1"/>
  <c r="AR269" i="2"/>
  <c r="AQ269" i="2"/>
  <c r="AK337" i="3" s="1"/>
  <c r="T337" i="3" s="1"/>
  <c r="AO269" i="2"/>
  <c r="AN269" i="2"/>
  <c r="AE337" i="3" s="1"/>
  <c r="L337" i="3" s="1"/>
  <c r="AM269" i="2"/>
  <c r="AL269" i="2"/>
  <c r="AK269" i="2"/>
  <c r="AD337" i="3" s="1"/>
  <c r="K337" i="3" s="1"/>
  <c r="AJ269" i="2"/>
  <c r="AI269" i="2"/>
  <c r="AG269" i="2" s="1"/>
  <c r="Y269" i="2" s="1"/>
  <c r="AH269" i="2"/>
  <c r="AG337" i="3" s="1"/>
  <c r="N337" i="3" s="1"/>
  <c r="AA269" i="2"/>
  <c r="Z269" i="2"/>
  <c r="X269" i="2"/>
  <c r="W269" i="2"/>
  <c r="J269" i="2" s="1"/>
  <c r="V269" i="2"/>
  <c r="U269" i="2" s="1"/>
  <c r="BO268" i="2"/>
  <c r="BN268" i="2"/>
  <c r="BM268" i="2"/>
  <c r="BL268" i="2"/>
  <c r="BK268" i="2"/>
  <c r="BJ268" i="2"/>
  <c r="BI268" i="2"/>
  <c r="BH268" i="2"/>
  <c r="BG268" i="2"/>
  <c r="BF268" i="2"/>
  <c r="BE268" i="2"/>
  <c r="BD268" i="2"/>
  <c r="BC268" i="2"/>
  <c r="BB268" i="2"/>
  <c r="BA268" i="2"/>
  <c r="AZ268" i="2"/>
  <c r="AY268" i="2" s="1"/>
  <c r="AX268" i="2"/>
  <c r="AW268" i="2"/>
  <c r="AV268" i="2"/>
  <c r="AU268" i="2"/>
  <c r="AT268" i="2"/>
  <c r="AS268" i="2"/>
  <c r="AR268" i="2"/>
  <c r="AQ268" i="2"/>
  <c r="AP268" i="2" s="1"/>
  <c r="AO268" i="2"/>
  <c r="AN268" i="2"/>
  <c r="AM268" i="2" s="1"/>
  <c r="AL268" i="2"/>
  <c r="AK268" i="2"/>
  <c r="AJ268" i="2"/>
  <c r="AI268" i="2"/>
  <c r="AH268" i="2"/>
  <c r="S268" i="2"/>
  <c r="BO267" i="2"/>
  <c r="AF304" i="3" s="1"/>
  <c r="M304" i="3" s="1"/>
  <c r="BN267" i="2"/>
  <c r="AH304" i="3" s="1"/>
  <c r="O304" i="3" s="1"/>
  <c r="BM267" i="2"/>
  <c r="AM304" i="3" s="1"/>
  <c r="Q304" i="3" s="1"/>
  <c r="BL267" i="2"/>
  <c r="BJ267" i="2" s="1"/>
  <c r="AF267" i="2" s="1"/>
  <c r="BK267" i="2"/>
  <c r="AN304" i="3" s="1"/>
  <c r="R304" i="3" s="1"/>
  <c r="BI267" i="2"/>
  <c r="BH267" i="2"/>
  <c r="BG267" i="2"/>
  <c r="BF267" i="2"/>
  <c r="AO304" i="3" s="1"/>
  <c r="X304" i="3" s="1"/>
  <c r="BE267" i="2"/>
  <c r="BD267" i="2"/>
  <c r="AI304" i="3" s="1"/>
  <c r="U304" i="3" s="1"/>
  <c r="BC267" i="2"/>
  <c r="BB267" i="2" s="1"/>
  <c r="AD267" i="2" s="1"/>
  <c r="BA267" i="2"/>
  <c r="AZ267" i="2"/>
  <c r="AJ304" i="3" s="1"/>
  <c r="W304" i="3" s="1"/>
  <c r="AX267" i="2"/>
  <c r="AW267" i="2"/>
  <c r="AV267" i="2" s="1"/>
  <c r="AU267" i="2"/>
  <c r="AS267" i="2" s="1"/>
  <c r="AT267" i="2"/>
  <c r="AL304" i="3" s="1"/>
  <c r="S304" i="3" s="1"/>
  <c r="AR267" i="2"/>
  <c r="AQ267" i="2"/>
  <c r="AK304" i="3" s="1"/>
  <c r="T304" i="3" s="1"/>
  <c r="AP267" i="2"/>
  <c r="AB267" i="2" s="1"/>
  <c r="AO267" i="2"/>
  <c r="AM267" i="2" s="1"/>
  <c r="AA267" i="2" s="1"/>
  <c r="AN267" i="2"/>
  <c r="AE304" i="3" s="1"/>
  <c r="L304" i="3" s="1"/>
  <c r="AL267" i="2"/>
  <c r="AK267" i="2"/>
  <c r="AD304" i="3" s="1"/>
  <c r="K304" i="3" s="1"/>
  <c r="AJ267" i="2"/>
  <c r="Z267" i="2" s="1"/>
  <c r="AI267" i="2"/>
  <c r="AH267" i="2"/>
  <c r="AG304" i="3" s="1"/>
  <c r="N304" i="3" s="1"/>
  <c r="AG267" i="2"/>
  <c r="AC267" i="2"/>
  <c r="Y267" i="2"/>
  <c r="X267" i="2"/>
  <c r="W267" i="2"/>
  <c r="J267" i="2" s="1"/>
  <c r="V267" i="2"/>
  <c r="U267" i="2" s="1"/>
  <c r="BO266" i="2"/>
  <c r="AF23" i="3" s="1"/>
  <c r="M23" i="3" s="1"/>
  <c r="BN266" i="2"/>
  <c r="BM266" i="2"/>
  <c r="AM23" i="3" s="1"/>
  <c r="Q23" i="3" s="1"/>
  <c r="BL266" i="2"/>
  <c r="BK266" i="2"/>
  <c r="AN23" i="3" s="1"/>
  <c r="R23" i="3" s="1"/>
  <c r="BJ266" i="2"/>
  <c r="BI266" i="2"/>
  <c r="BH266" i="2"/>
  <c r="BG266" i="2"/>
  <c r="BF266" i="2"/>
  <c r="BE266" i="2" s="1"/>
  <c r="BD266" i="2"/>
  <c r="AI23" i="3" s="1"/>
  <c r="U23" i="3" s="1"/>
  <c r="BC266" i="2"/>
  <c r="BB266" i="2"/>
  <c r="AD266" i="2" s="1"/>
  <c r="BA266" i="2"/>
  <c r="AZ266" i="2"/>
  <c r="AY266" i="2"/>
  <c r="AX266" i="2"/>
  <c r="AW266" i="2"/>
  <c r="AV266" i="2" s="1"/>
  <c r="AU266" i="2"/>
  <c r="AT266" i="2"/>
  <c r="AL23" i="3" s="1"/>
  <c r="S23" i="3" s="1"/>
  <c r="AS266" i="2"/>
  <c r="AR266" i="2"/>
  <c r="AQ266" i="2"/>
  <c r="AK23" i="3" s="1"/>
  <c r="T23" i="3" s="1"/>
  <c r="AP266" i="2"/>
  <c r="AB266" i="2" s="1"/>
  <c r="AO266" i="2"/>
  <c r="AM266" i="2" s="1"/>
  <c r="AA266" i="2" s="1"/>
  <c r="AN266" i="2"/>
  <c r="AE23" i="3" s="1"/>
  <c r="L23" i="3" s="1"/>
  <c r="AL266" i="2"/>
  <c r="AK266" i="2"/>
  <c r="AJ266" i="2"/>
  <c r="AI266" i="2"/>
  <c r="AH266" i="2"/>
  <c r="AG23" i="3" s="1"/>
  <c r="N23" i="3" s="1"/>
  <c r="AG266" i="2"/>
  <c r="AF266" i="2"/>
  <c r="AE266" i="2"/>
  <c r="AC266" i="2"/>
  <c r="Z266" i="2"/>
  <c r="Y266" i="2"/>
  <c r="X266" i="2"/>
  <c r="W266" i="2"/>
  <c r="J266" i="2" s="1"/>
  <c r="V266" i="2"/>
  <c r="U266" i="2"/>
  <c r="BO265" i="2"/>
  <c r="AF336" i="3" s="1"/>
  <c r="M336" i="3" s="1"/>
  <c r="BN265" i="2"/>
  <c r="AH336" i="3" s="1"/>
  <c r="O336" i="3" s="1"/>
  <c r="BM265" i="2"/>
  <c r="AM336" i="3" s="1"/>
  <c r="Q336" i="3" s="1"/>
  <c r="BL265" i="2"/>
  <c r="BK265" i="2"/>
  <c r="AN336" i="3" s="1"/>
  <c r="R336" i="3" s="1"/>
  <c r="BJ265" i="2"/>
  <c r="AF265" i="2" s="1"/>
  <c r="BI265" i="2"/>
  <c r="BH265" i="2" s="1"/>
  <c r="BG265" i="2"/>
  <c r="BF265" i="2"/>
  <c r="AO336" i="3" s="1"/>
  <c r="X336" i="3" s="1"/>
  <c r="BE265" i="2"/>
  <c r="BD265" i="2"/>
  <c r="AI336" i="3" s="1"/>
  <c r="U336" i="3" s="1"/>
  <c r="BC265" i="2"/>
  <c r="BB265" i="2" s="1"/>
  <c r="AD265" i="2" s="1"/>
  <c r="BA265" i="2"/>
  <c r="AZ265" i="2"/>
  <c r="AJ336" i="3" s="1"/>
  <c r="W336" i="3" s="1"/>
  <c r="AY265" i="2"/>
  <c r="AX265" i="2"/>
  <c r="AW265" i="2"/>
  <c r="AV265" i="2"/>
  <c r="AU265" i="2"/>
  <c r="AT265" i="2"/>
  <c r="AL336" i="3" s="1"/>
  <c r="S336" i="3" s="1"/>
  <c r="AR265" i="2"/>
  <c r="AQ265" i="2"/>
  <c r="AO265" i="2"/>
  <c r="AN265" i="2"/>
  <c r="AE336" i="3" s="1"/>
  <c r="L336" i="3" s="1"/>
  <c r="AM265" i="2"/>
  <c r="AA265" i="2" s="1"/>
  <c r="AL265" i="2"/>
  <c r="AK265" i="2"/>
  <c r="AD336" i="3" s="1"/>
  <c r="K336" i="3" s="1"/>
  <c r="AJ265" i="2"/>
  <c r="AI265" i="2"/>
  <c r="AH265" i="2"/>
  <c r="AG336" i="3" s="1"/>
  <c r="N336" i="3" s="1"/>
  <c r="AE265" i="2"/>
  <c r="Z265" i="2"/>
  <c r="X265" i="2"/>
  <c r="W265" i="2"/>
  <c r="V265" i="2"/>
  <c r="U265" i="2"/>
  <c r="J265" i="2"/>
  <c r="BO264" i="2"/>
  <c r="AF179" i="3" s="1"/>
  <c r="M179" i="3" s="1"/>
  <c r="BN264" i="2"/>
  <c r="AH179" i="3" s="1"/>
  <c r="O179" i="3" s="1"/>
  <c r="BM264" i="2"/>
  <c r="AM179" i="3" s="1"/>
  <c r="Q179" i="3" s="1"/>
  <c r="BL264" i="2"/>
  <c r="BK264" i="2"/>
  <c r="BI264" i="2"/>
  <c r="BH264" i="2" s="1"/>
  <c r="BG264" i="2"/>
  <c r="BF264" i="2"/>
  <c r="BD264" i="2"/>
  <c r="AI179" i="3" s="1"/>
  <c r="U179" i="3" s="1"/>
  <c r="BC264" i="2"/>
  <c r="BB264" i="2" s="1"/>
  <c r="AD264" i="2" s="1"/>
  <c r="BA264" i="2"/>
  <c r="AY264" i="2" s="1"/>
  <c r="AE264" i="2" s="1"/>
  <c r="AZ264" i="2"/>
  <c r="AJ179" i="3" s="1"/>
  <c r="W179" i="3" s="1"/>
  <c r="AX264" i="2"/>
  <c r="AW264" i="2"/>
  <c r="AV264" i="2"/>
  <c r="AU264" i="2"/>
  <c r="AT264" i="2"/>
  <c r="AL179" i="3" s="1"/>
  <c r="S179" i="3" s="1"/>
  <c r="AR264" i="2"/>
  <c r="AQ264" i="2"/>
  <c r="AK179" i="3" s="1"/>
  <c r="T179" i="3" s="1"/>
  <c r="AP264" i="2"/>
  <c r="AB264" i="2" s="1"/>
  <c r="AO264" i="2"/>
  <c r="AM264" i="2" s="1"/>
  <c r="AA264" i="2" s="1"/>
  <c r="AN264" i="2"/>
  <c r="AE179" i="3" s="1"/>
  <c r="AL264" i="2"/>
  <c r="AK264" i="2"/>
  <c r="AD179" i="3" s="1"/>
  <c r="K179" i="3" s="1"/>
  <c r="AJ264" i="2"/>
  <c r="Z264" i="2" s="1"/>
  <c r="AI264" i="2"/>
  <c r="AH264" i="2"/>
  <c r="AG179" i="3" s="1"/>
  <c r="AG264" i="2"/>
  <c r="Y264" i="2" s="1"/>
  <c r="X264" i="2"/>
  <c r="W264" i="2"/>
  <c r="J264" i="2" s="1"/>
  <c r="V264" i="2"/>
  <c r="U264" i="2"/>
  <c r="BO263" i="2"/>
  <c r="AF132" i="3" s="1"/>
  <c r="M132" i="3" s="1"/>
  <c r="BN263" i="2"/>
  <c r="AH132" i="3" s="1"/>
  <c r="O132" i="3" s="1"/>
  <c r="BM263" i="2"/>
  <c r="AM132" i="3" s="1"/>
  <c r="Q132" i="3" s="1"/>
  <c r="BL263" i="2"/>
  <c r="BK263" i="2"/>
  <c r="BI263" i="2"/>
  <c r="BH263" i="2" s="1"/>
  <c r="BG263" i="2"/>
  <c r="BF263" i="2"/>
  <c r="AO132" i="3" s="1"/>
  <c r="X132" i="3" s="1"/>
  <c r="BE263" i="2"/>
  <c r="BD263" i="2"/>
  <c r="AI132" i="3" s="1"/>
  <c r="BC263" i="2"/>
  <c r="BB263" i="2" s="1"/>
  <c r="AD263" i="2" s="1"/>
  <c r="BA263" i="2"/>
  <c r="AZ263" i="2"/>
  <c r="AJ132" i="3" s="1"/>
  <c r="AY263" i="2"/>
  <c r="AX263" i="2"/>
  <c r="AW263" i="2"/>
  <c r="AV263" i="2" s="1"/>
  <c r="AU263" i="2"/>
  <c r="AT263" i="2"/>
  <c r="AR263" i="2"/>
  <c r="AQ263" i="2"/>
  <c r="AO263" i="2"/>
  <c r="AN263" i="2"/>
  <c r="AE132" i="3" s="1"/>
  <c r="L132" i="3" s="1"/>
  <c r="AL263" i="2"/>
  <c r="AK263" i="2"/>
  <c r="AD132" i="3" s="1"/>
  <c r="K132" i="3" s="1"/>
  <c r="AJ263" i="2"/>
  <c r="Z263" i="2" s="1"/>
  <c r="AI263" i="2"/>
  <c r="AH263" i="2"/>
  <c r="AG132" i="3" s="1"/>
  <c r="N132" i="3" s="1"/>
  <c r="AG263" i="2"/>
  <c r="Y263" i="2" s="1"/>
  <c r="AE263" i="2"/>
  <c r="X263" i="2"/>
  <c r="W263" i="2"/>
  <c r="J263" i="2" s="1"/>
  <c r="V263" i="2"/>
  <c r="U263" i="2" s="1"/>
  <c r="BO262" i="2"/>
  <c r="AF264" i="3" s="1"/>
  <c r="M264" i="3" s="1"/>
  <c r="BN262" i="2"/>
  <c r="AH264" i="3" s="1"/>
  <c r="O264" i="3" s="1"/>
  <c r="BM262" i="2"/>
  <c r="AM264" i="3" s="1"/>
  <c r="Q264" i="3" s="1"/>
  <c r="BL262" i="2"/>
  <c r="BH262" i="2" s="1"/>
  <c r="BK262" i="2"/>
  <c r="BI262" i="2"/>
  <c r="BG262" i="2"/>
  <c r="BF262" i="2"/>
  <c r="AO264" i="3" s="1"/>
  <c r="X264" i="3" s="1"/>
  <c r="BE262" i="2"/>
  <c r="BD262" i="2"/>
  <c r="AI264" i="3" s="1"/>
  <c r="U264" i="3" s="1"/>
  <c r="BC262" i="2"/>
  <c r="BB262" i="2" s="1"/>
  <c r="BA262" i="2"/>
  <c r="AZ262" i="2"/>
  <c r="AJ264" i="3" s="1"/>
  <c r="W264" i="3" s="1"/>
  <c r="AX262" i="2"/>
  <c r="AW262" i="2"/>
  <c r="AV262" i="2" s="1"/>
  <c r="AU262" i="2"/>
  <c r="AT262" i="2"/>
  <c r="AL264" i="3" s="1"/>
  <c r="AS262" i="2"/>
  <c r="AR262" i="2"/>
  <c r="AQ262" i="2"/>
  <c r="AK264" i="3" s="1"/>
  <c r="T264" i="3" s="1"/>
  <c r="AP262" i="2"/>
  <c r="AO262" i="2"/>
  <c r="AN262" i="2"/>
  <c r="AL262" i="2"/>
  <c r="AK262" i="2"/>
  <c r="AI262" i="2"/>
  <c r="AG262" i="2" s="1"/>
  <c r="AH262" i="2"/>
  <c r="AD262" i="2"/>
  <c r="AC262" i="2"/>
  <c r="AB262" i="2"/>
  <c r="Y262" i="2"/>
  <c r="X262" i="2"/>
  <c r="W262" i="2"/>
  <c r="J262" i="2" s="1"/>
  <c r="V262" i="2"/>
  <c r="U262" i="2"/>
  <c r="BO261" i="2"/>
  <c r="BN261" i="2"/>
  <c r="BM261" i="2"/>
  <c r="BL261" i="2"/>
  <c r="BK261" i="2"/>
  <c r="AN26" i="3" s="1"/>
  <c r="R26" i="3" s="1"/>
  <c r="BI261" i="2"/>
  <c r="BH261" i="2"/>
  <c r="BG261" i="2"/>
  <c r="BF261" i="2"/>
  <c r="BD261" i="2"/>
  <c r="AI26" i="3" s="1"/>
  <c r="U26" i="3" s="1"/>
  <c r="BC261" i="2"/>
  <c r="BB261" i="2" s="1"/>
  <c r="BA261" i="2"/>
  <c r="AZ261" i="2"/>
  <c r="AJ26" i="3" s="1"/>
  <c r="AY261" i="2"/>
  <c r="AE261" i="2" s="1"/>
  <c r="AX261" i="2"/>
  <c r="AW261" i="2"/>
  <c r="AV261" i="2" s="1"/>
  <c r="AU261" i="2"/>
  <c r="AT261" i="2"/>
  <c r="AL26" i="3" s="1"/>
  <c r="S26" i="3" s="1"/>
  <c r="AS261" i="2"/>
  <c r="AC261" i="2" s="1"/>
  <c r="AR261" i="2"/>
  <c r="AQ261" i="2"/>
  <c r="AO261" i="2"/>
  <c r="AM261" i="2" s="1"/>
  <c r="AA261" i="2" s="1"/>
  <c r="AN261" i="2"/>
  <c r="AL261" i="2"/>
  <c r="AK261" i="2"/>
  <c r="AJ261" i="2" s="1"/>
  <c r="Z261" i="2" s="1"/>
  <c r="AI261" i="2"/>
  <c r="AH261" i="2"/>
  <c r="AG261" i="2"/>
  <c r="Y261" i="2" s="1"/>
  <c r="AD261" i="2"/>
  <c r="X261" i="2"/>
  <c r="W261" i="2"/>
  <c r="V261" i="2"/>
  <c r="U261" i="2" s="1"/>
  <c r="J261" i="2"/>
  <c r="BO260" i="2"/>
  <c r="AF117" i="3" s="1"/>
  <c r="M117" i="3" s="1"/>
  <c r="BN260" i="2"/>
  <c r="AH117" i="3" s="1"/>
  <c r="O117" i="3" s="1"/>
  <c r="BM260" i="2"/>
  <c r="AM117" i="3" s="1"/>
  <c r="Q117" i="3" s="1"/>
  <c r="BL260" i="2"/>
  <c r="BK260" i="2"/>
  <c r="BI260" i="2"/>
  <c r="BH260" i="2"/>
  <c r="BG260" i="2"/>
  <c r="BF260" i="2"/>
  <c r="BE260" i="2"/>
  <c r="BD260" i="2"/>
  <c r="BC260" i="2"/>
  <c r="BB260" i="2" s="1"/>
  <c r="AD260" i="2" s="1"/>
  <c r="BA260" i="2"/>
  <c r="AZ260" i="2"/>
  <c r="AY260" i="2"/>
  <c r="AX260" i="2"/>
  <c r="AW260" i="2"/>
  <c r="AV260" i="2"/>
  <c r="AU260" i="2"/>
  <c r="AS260" i="2" s="1"/>
  <c r="AT260" i="2"/>
  <c r="AR260" i="2"/>
  <c r="AQ260" i="2"/>
  <c r="AO260" i="2"/>
  <c r="AN260" i="2"/>
  <c r="AE117" i="3" s="1"/>
  <c r="L117" i="3" s="1"/>
  <c r="AM260" i="2"/>
  <c r="AL260" i="2"/>
  <c r="AK260" i="2"/>
  <c r="AD117" i="3" s="1"/>
  <c r="K117" i="3" s="1"/>
  <c r="AJ260" i="2"/>
  <c r="Z260" i="2" s="1"/>
  <c r="AI260" i="2"/>
  <c r="AH260" i="2"/>
  <c r="AG117" i="3" s="1"/>
  <c r="N117" i="3" s="1"/>
  <c r="AG260" i="2"/>
  <c r="Y260" i="2" s="1"/>
  <c r="AE260" i="2"/>
  <c r="AC260" i="2"/>
  <c r="AA260" i="2"/>
  <c r="X260" i="2"/>
  <c r="W260" i="2"/>
  <c r="V260" i="2"/>
  <c r="U260" i="2"/>
  <c r="J260" i="2"/>
  <c r="BO259" i="2"/>
  <c r="AF275" i="3" s="1"/>
  <c r="M275" i="3" s="1"/>
  <c r="BN259" i="2"/>
  <c r="AH275" i="3" s="1"/>
  <c r="O275" i="3" s="1"/>
  <c r="BM259" i="2"/>
  <c r="BL259" i="2"/>
  <c r="BK259" i="2"/>
  <c r="BJ259" i="2"/>
  <c r="AF259" i="2" s="1"/>
  <c r="BI259" i="2"/>
  <c r="BH259" i="2" s="1"/>
  <c r="BG259" i="2"/>
  <c r="BF259" i="2"/>
  <c r="BE259" i="2"/>
  <c r="BD259" i="2"/>
  <c r="AI275" i="3" s="1"/>
  <c r="U275" i="3" s="1"/>
  <c r="BC259" i="2"/>
  <c r="BA259" i="2"/>
  <c r="AZ259" i="2"/>
  <c r="AY259" i="2"/>
  <c r="AE259" i="2" s="1"/>
  <c r="AX259" i="2"/>
  <c r="AW259" i="2"/>
  <c r="AV259" i="2" s="1"/>
  <c r="AU259" i="2"/>
  <c r="AT259" i="2"/>
  <c r="AR259" i="2"/>
  <c r="AQ259" i="2"/>
  <c r="AO259" i="2"/>
  <c r="AN259" i="2"/>
  <c r="AM259" i="2"/>
  <c r="AA259" i="2" s="1"/>
  <c r="AL259" i="2"/>
  <c r="AK259" i="2"/>
  <c r="AJ259" i="2"/>
  <c r="AI259" i="2"/>
  <c r="AH259" i="2"/>
  <c r="AG259" i="2"/>
  <c r="Y259" i="2" s="1"/>
  <c r="Z259" i="2"/>
  <c r="W259" i="2"/>
  <c r="V259" i="2"/>
  <c r="U259" i="2" s="1"/>
  <c r="J259" i="2"/>
  <c r="BO258" i="2"/>
  <c r="AF307" i="3" s="1"/>
  <c r="M307" i="3" s="1"/>
  <c r="BN258" i="2"/>
  <c r="AH307" i="3" s="1"/>
  <c r="O307" i="3" s="1"/>
  <c r="BM258" i="2"/>
  <c r="BL258" i="2"/>
  <c r="BK258" i="2"/>
  <c r="AN307" i="3" s="1"/>
  <c r="R307" i="3" s="1"/>
  <c r="BJ258" i="2"/>
  <c r="AF258" i="2" s="1"/>
  <c r="BI258" i="2"/>
  <c r="BH258" i="2" s="1"/>
  <c r="BG258" i="2"/>
  <c r="BF258" i="2"/>
  <c r="BD258" i="2"/>
  <c r="AI307" i="3" s="1"/>
  <c r="U307" i="3" s="1"/>
  <c r="BC258" i="2"/>
  <c r="BB258" i="2"/>
  <c r="AD258" i="2" s="1"/>
  <c r="BA258" i="2"/>
  <c r="AZ258" i="2"/>
  <c r="AJ307" i="3" s="1"/>
  <c r="W307" i="3" s="1"/>
  <c r="AX258" i="2"/>
  <c r="AW258" i="2"/>
  <c r="AU258" i="2"/>
  <c r="AT258" i="2"/>
  <c r="AL307" i="3" s="1"/>
  <c r="S307" i="3" s="1"/>
  <c r="AS258" i="2"/>
  <c r="AC258" i="2" s="1"/>
  <c r="AR258" i="2"/>
  <c r="AQ258" i="2"/>
  <c r="AK307" i="3" s="1"/>
  <c r="T307" i="3" s="1"/>
  <c r="AO258" i="2"/>
  <c r="AN258" i="2"/>
  <c r="AL258" i="2"/>
  <c r="AK258" i="2"/>
  <c r="AD307" i="3" s="1"/>
  <c r="K307" i="3" s="1"/>
  <c r="AI258" i="2"/>
  <c r="AH258" i="2"/>
  <c r="AG307" i="3" s="1"/>
  <c r="N307" i="3" s="1"/>
  <c r="AG258" i="2"/>
  <c r="Y258" i="2"/>
  <c r="X258" i="2"/>
  <c r="W258" i="2"/>
  <c r="V258" i="2"/>
  <c r="U258" i="2" s="1"/>
  <c r="J258" i="2"/>
  <c r="BO257" i="2"/>
  <c r="AF335" i="3" s="1"/>
  <c r="M335" i="3" s="1"/>
  <c r="BN257" i="2"/>
  <c r="AH335" i="3" s="1"/>
  <c r="O335" i="3" s="1"/>
  <c r="BM257" i="2"/>
  <c r="AM335" i="3" s="1"/>
  <c r="Q335" i="3" s="1"/>
  <c r="BL257" i="2"/>
  <c r="BK257" i="2"/>
  <c r="AN335" i="3" s="1"/>
  <c r="R335" i="3" s="1"/>
  <c r="BI257" i="2"/>
  <c r="BH257" i="2"/>
  <c r="BG257" i="2"/>
  <c r="BF257" i="2"/>
  <c r="AO335" i="3" s="1"/>
  <c r="X335" i="3" s="1"/>
  <c r="BE257" i="2"/>
  <c r="BD257" i="2"/>
  <c r="AI335" i="3" s="1"/>
  <c r="U335" i="3" s="1"/>
  <c r="BC257" i="2"/>
  <c r="BB257" i="2"/>
  <c r="AD257" i="2" s="1"/>
  <c r="BA257" i="2"/>
  <c r="AY257" i="2" s="1"/>
  <c r="AE257" i="2" s="1"/>
  <c r="AZ257" i="2"/>
  <c r="AJ335" i="3" s="1"/>
  <c r="W335" i="3" s="1"/>
  <c r="AX257" i="2"/>
  <c r="AW257" i="2"/>
  <c r="AV257" i="2"/>
  <c r="AU257" i="2"/>
  <c r="AT257" i="2"/>
  <c r="AL335" i="3" s="1"/>
  <c r="S335" i="3" s="1"/>
  <c r="AS257" i="2"/>
  <c r="AC257" i="2" s="1"/>
  <c r="AR257" i="2"/>
  <c r="AQ257" i="2"/>
  <c r="AK335" i="3" s="1"/>
  <c r="T335" i="3" s="1"/>
  <c r="AP257" i="2"/>
  <c r="AB257" i="2" s="1"/>
  <c r="AO257" i="2"/>
  <c r="AN257" i="2"/>
  <c r="AE335" i="3" s="1"/>
  <c r="L335" i="3" s="1"/>
  <c r="AM257" i="2"/>
  <c r="AA257" i="2" s="1"/>
  <c r="AL257" i="2"/>
  <c r="AK257" i="2"/>
  <c r="AD335" i="3" s="1"/>
  <c r="K335" i="3" s="1"/>
  <c r="AJ257" i="2"/>
  <c r="Z257" i="2" s="1"/>
  <c r="AI257" i="2"/>
  <c r="AH257" i="2"/>
  <c r="X257" i="2"/>
  <c r="W257" i="2"/>
  <c r="J257" i="2" s="1"/>
  <c r="V257" i="2"/>
  <c r="U257" i="2" s="1"/>
  <c r="BO256" i="2"/>
  <c r="AF325" i="3" s="1"/>
  <c r="M325" i="3" s="1"/>
  <c r="BN256" i="2"/>
  <c r="AH325" i="3" s="1"/>
  <c r="O325" i="3" s="1"/>
  <c r="BM256" i="2"/>
  <c r="AM325" i="3" s="1"/>
  <c r="Q325" i="3" s="1"/>
  <c r="BL256" i="2"/>
  <c r="BK256" i="2"/>
  <c r="AN325" i="3" s="1"/>
  <c r="R325" i="3" s="1"/>
  <c r="BJ256" i="2"/>
  <c r="BI256" i="2"/>
  <c r="BH256" i="2"/>
  <c r="BG256" i="2"/>
  <c r="BF256" i="2"/>
  <c r="AO325" i="3" s="1"/>
  <c r="X325" i="3" s="1"/>
  <c r="BE256" i="2"/>
  <c r="BD256" i="2"/>
  <c r="AI325" i="3" s="1"/>
  <c r="U325" i="3" s="1"/>
  <c r="BC256" i="2"/>
  <c r="BB256" i="2"/>
  <c r="BA256" i="2"/>
  <c r="AZ256" i="2"/>
  <c r="AX256" i="2"/>
  <c r="AW256" i="2"/>
  <c r="AV256" i="2"/>
  <c r="AU256" i="2"/>
  <c r="AT256" i="2"/>
  <c r="AL325" i="3" s="1"/>
  <c r="S325" i="3" s="1"/>
  <c r="AR256" i="2"/>
  <c r="AQ256" i="2"/>
  <c r="AK325" i="3" s="1"/>
  <c r="T325" i="3" s="1"/>
  <c r="AO256" i="2"/>
  <c r="AN256" i="2"/>
  <c r="AE325" i="3" s="1"/>
  <c r="L325" i="3" s="1"/>
  <c r="AM256" i="2"/>
  <c r="AA256" i="2" s="1"/>
  <c r="AL256" i="2"/>
  <c r="AK256" i="2"/>
  <c r="AI256" i="2"/>
  <c r="AH256" i="2"/>
  <c r="AG325" i="3" s="1"/>
  <c r="N325" i="3" s="1"/>
  <c r="AG256" i="2"/>
  <c r="Y256" i="2" s="1"/>
  <c r="AF256" i="2"/>
  <c r="AD256" i="2"/>
  <c r="X256" i="2"/>
  <c r="W256" i="2"/>
  <c r="V256" i="2"/>
  <c r="U256" i="2"/>
  <c r="J256" i="2"/>
  <c r="BO255" i="2"/>
  <c r="AF127" i="3" s="1"/>
  <c r="M127" i="3" s="1"/>
  <c r="BN255" i="2"/>
  <c r="BM255" i="2"/>
  <c r="AM127" i="3" s="1"/>
  <c r="Q127" i="3" s="1"/>
  <c r="BL255" i="2"/>
  <c r="BK255" i="2"/>
  <c r="AN127" i="3" s="1"/>
  <c r="R127" i="3" s="1"/>
  <c r="BI255" i="2"/>
  <c r="BH255" i="2"/>
  <c r="BG255" i="2"/>
  <c r="BF255" i="2"/>
  <c r="AO127" i="3" s="1"/>
  <c r="X127" i="3" s="1"/>
  <c r="BE255" i="2"/>
  <c r="BD255" i="2"/>
  <c r="AI127" i="3" s="1"/>
  <c r="U127" i="3" s="1"/>
  <c r="BC255" i="2"/>
  <c r="BB255" i="2" s="1"/>
  <c r="AD255" i="2" s="1"/>
  <c r="BA255" i="2"/>
  <c r="AZ255" i="2"/>
  <c r="AY255" i="2"/>
  <c r="AE255" i="2" s="1"/>
  <c r="AX255" i="2"/>
  <c r="AW255" i="2"/>
  <c r="AV255" i="2"/>
  <c r="AU255" i="2"/>
  <c r="AT255" i="2"/>
  <c r="AR255" i="2"/>
  <c r="AP255" i="2" s="1"/>
  <c r="AB255" i="2" s="1"/>
  <c r="AQ255" i="2"/>
  <c r="AO255" i="2"/>
  <c r="AM255" i="2" s="1"/>
  <c r="AA255" i="2" s="1"/>
  <c r="AN255" i="2"/>
  <c r="AE127" i="3" s="1"/>
  <c r="L127" i="3" s="1"/>
  <c r="AL255" i="2"/>
  <c r="AK255" i="2"/>
  <c r="AD127" i="3" s="1"/>
  <c r="K127" i="3" s="1"/>
  <c r="AJ255" i="2"/>
  <c r="Z255" i="2" s="1"/>
  <c r="AI255" i="2"/>
  <c r="AH255" i="2"/>
  <c r="AG255" i="2" s="1"/>
  <c r="Y255" i="2"/>
  <c r="X255" i="2"/>
  <c r="W255" i="2"/>
  <c r="V255" i="2"/>
  <c r="U255" i="2"/>
  <c r="J255" i="2"/>
  <c r="BO254" i="2"/>
  <c r="AF287" i="3" s="1"/>
  <c r="M287" i="3" s="1"/>
  <c r="BN254" i="2"/>
  <c r="AH287" i="3" s="1"/>
  <c r="O287" i="3" s="1"/>
  <c r="BM254" i="2"/>
  <c r="AM287" i="3" s="1"/>
  <c r="Q287" i="3" s="1"/>
  <c r="BL254" i="2"/>
  <c r="BK254" i="2"/>
  <c r="BJ254" i="2"/>
  <c r="AF254" i="2" s="1"/>
  <c r="BI254" i="2"/>
  <c r="BH254" i="2" s="1"/>
  <c r="BG254" i="2"/>
  <c r="BF254" i="2"/>
  <c r="BD254" i="2"/>
  <c r="AI287" i="3" s="1"/>
  <c r="U287" i="3" s="1"/>
  <c r="BC254" i="2"/>
  <c r="BB254" i="2" s="1"/>
  <c r="BA254" i="2"/>
  <c r="AZ254" i="2"/>
  <c r="AJ287" i="3" s="1"/>
  <c r="W287" i="3" s="1"/>
  <c r="AY254" i="2"/>
  <c r="AX254" i="2"/>
  <c r="AW254" i="2"/>
  <c r="AV254" i="2" s="1"/>
  <c r="AU254" i="2"/>
  <c r="AT254" i="2"/>
  <c r="AL287" i="3" s="1"/>
  <c r="S287" i="3" s="1"/>
  <c r="AS254" i="2"/>
  <c r="AR254" i="2"/>
  <c r="AP254" i="2" s="1"/>
  <c r="AQ254" i="2"/>
  <c r="AK287" i="3" s="1"/>
  <c r="T287" i="3" s="1"/>
  <c r="AO254" i="2"/>
  <c r="AN254" i="2"/>
  <c r="AE287" i="3" s="1"/>
  <c r="L287" i="3" s="1"/>
  <c r="AM254" i="2"/>
  <c r="AL254" i="2"/>
  <c r="AK254" i="2"/>
  <c r="AD287" i="3" s="1"/>
  <c r="K287" i="3" s="1"/>
  <c r="AJ254" i="2"/>
  <c r="AI254" i="2"/>
  <c r="AH254" i="2"/>
  <c r="AG287" i="3" s="1"/>
  <c r="N287" i="3" s="1"/>
  <c r="AG254" i="2"/>
  <c r="Y254" i="2" s="1"/>
  <c r="AE254" i="2"/>
  <c r="AD254" i="2"/>
  <c r="AC254" i="2"/>
  <c r="AB254" i="2"/>
  <c r="AA254" i="2"/>
  <c r="Z254" i="2"/>
  <c r="X254" i="2"/>
  <c r="W254" i="2"/>
  <c r="J254" i="2" s="1"/>
  <c r="V254" i="2"/>
  <c r="U254" i="2"/>
  <c r="BO253" i="2"/>
  <c r="AF41" i="3" s="1"/>
  <c r="M41" i="3" s="1"/>
  <c r="BN253" i="2"/>
  <c r="AH41" i="3" s="1"/>
  <c r="O41" i="3" s="1"/>
  <c r="BM253" i="2"/>
  <c r="BL253" i="2"/>
  <c r="BK253" i="2"/>
  <c r="BJ253" i="2" s="1"/>
  <c r="AF253" i="2" s="1"/>
  <c r="BI253" i="2"/>
  <c r="BH253" i="2"/>
  <c r="BG253" i="2"/>
  <c r="BF253" i="2"/>
  <c r="BD253" i="2"/>
  <c r="AI41" i="3" s="1"/>
  <c r="U41" i="3" s="1"/>
  <c r="BC253" i="2"/>
  <c r="BB253" i="2"/>
  <c r="AD253" i="2" s="1"/>
  <c r="BA253" i="2"/>
  <c r="AZ253" i="2"/>
  <c r="AX253" i="2"/>
  <c r="AW253" i="2"/>
  <c r="AV253" i="2"/>
  <c r="AU253" i="2"/>
  <c r="AT253" i="2"/>
  <c r="AR253" i="2"/>
  <c r="AQ253" i="2"/>
  <c r="AK41" i="3" s="1"/>
  <c r="T41" i="3" s="1"/>
  <c r="AP253" i="2"/>
  <c r="AB253" i="2" s="1"/>
  <c r="AO253" i="2"/>
  <c r="AN253" i="2"/>
  <c r="AL253" i="2"/>
  <c r="AJ253" i="2" s="1"/>
  <c r="Z253" i="2" s="1"/>
  <c r="AK253" i="2"/>
  <c r="AD41" i="3" s="1"/>
  <c r="K41" i="3" s="1"/>
  <c r="AI253" i="2"/>
  <c r="AH253" i="2"/>
  <c r="X253" i="2"/>
  <c r="W253" i="2"/>
  <c r="V253" i="2"/>
  <c r="U253" i="2"/>
  <c r="J253" i="2"/>
  <c r="BO252" i="2"/>
  <c r="AF265" i="3" s="1"/>
  <c r="M265" i="3" s="1"/>
  <c r="BN252" i="2"/>
  <c r="AH265" i="3" s="1"/>
  <c r="O265" i="3" s="1"/>
  <c r="BM252" i="2"/>
  <c r="AM265" i="3" s="1"/>
  <c r="Q265" i="3" s="1"/>
  <c r="BL252" i="2"/>
  <c r="BK252" i="2"/>
  <c r="BI252" i="2"/>
  <c r="BH252" i="2"/>
  <c r="BG252" i="2"/>
  <c r="BF252" i="2"/>
  <c r="AO265" i="3" s="1"/>
  <c r="X265" i="3" s="1"/>
  <c r="BE252" i="2"/>
  <c r="BD252" i="2"/>
  <c r="AI265" i="3" s="1"/>
  <c r="U265" i="3" s="1"/>
  <c r="BC252" i="2"/>
  <c r="BB252" i="2"/>
  <c r="AD252" i="2" s="1"/>
  <c r="BA252" i="2"/>
  <c r="AZ252" i="2"/>
  <c r="AX252" i="2"/>
  <c r="AW252" i="2"/>
  <c r="AV252" i="2"/>
  <c r="AU252" i="2"/>
  <c r="AT252" i="2"/>
  <c r="AR252" i="2"/>
  <c r="AQ252" i="2"/>
  <c r="AK265" i="3" s="1"/>
  <c r="T265" i="3" s="1"/>
  <c r="AP252" i="2"/>
  <c r="AO252" i="2"/>
  <c r="AN252" i="2"/>
  <c r="AL252" i="2"/>
  <c r="AJ252" i="2" s="1"/>
  <c r="AK252" i="2"/>
  <c r="AD265" i="3" s="1"/>
  <c r="K265" i="3" s="1"/>
  <c r="AI252" i="2"/>
  <c r="AG252" i="2" s="1"/>
  <c r="Y252" i="2" s="1"/>
  <c r="AH252" i="2"/>
  <c r="AG265" i="3" s="1"/>
  <c r="N265" i="3" s="1"/>
  <c r="AB252" i="2"/>
  <c r="Z252" i="2"/>
  <c r="X252" i="2"/>
  <c r="W252" i="2"/>
  <c r="J252" i="2" s="1"/>
  <c r="V252" i="2"/>
  <c r="U252" i="2" s="1"/>
  <c r="BO251" i="2"/>
  <c r="BN251" i="2"/>
  <c r="AH75" i="3" s="1"/>
  <c r="O75" i="3" s="1"/>
  <c r="BM251" i="2"/>
  <c r="AM75" i="3" s="1"/>
  <c r="Q75" i="3" s="1"/>
  <c r="BL251" i="2"/>
  <c r="BK251" i="2"/>
  <c r="AN75" i="3" s="1"/>
  <c r="BI251" i="2"/>
  <c r="BH251" i="2"/>
  <c r="BG251" i="2"/>
  <c r="BF251" i="2"/>
  <c r="BD251" i="2"/>
  <c r="BC251" i="2"/>
  <c r="BB251" i="2"/>
  <c r="AD251" i="2" s="1"/>
  <c r="BA251" i="2"/>
  <c r="AZ251" i="2"/>
  <c r="AX251" i="2"/>
  <c r="AW251" i="2"/>
  <c r="AV251" i="2" s="1"/>
  <c r="AU251" i="2"/>
  <c r="AT251" i="2"/>
  <c r="AL75" i="3" s="1"/>
  <c r="S75" i="3" s="1"/>
  <c r="AS251" i="2"/>
  <c r="AC251" i="2" s="1"/>
  <c r="AR251" i="2"/>
  <c r="AQ251" i="2"/>
  <c r="AK75" i="3" s="1"/>
  <c r="T75" i="3" s="1"/>
  <c r="AP251" i="2"/>
  <c r="AB251" i="2" s="1"/>
  <c r="AO251" i="2"/>
  <c r="AN251" i="2"/>
  <c r="AM251" i="2" s="1"/>
  <c r="AL251" i="2"/>
  <c r="AK251" i="2"/>
  <c r="AD75" i="3" s="1"/>
  <c r="AJ251" i="2"/>
  <c r="Z251" i="2" s="1"/>
  <c r="AI251" i="2"/>
  <c r="AH251" i="2"/>
  <c r="AG75" i="3" s="1"/>
  <c r="N75" i="3" s="1"/>
  <c r="AG251" i="2"/>
  <c r="Y251" i="2" s="1"/>
  <c r="AA251" i="2"/>
  <c r="X251" i="2"/>
  <c r="W251" i="2"/>
  <c r="V251" i="2"/>
  <c r="U251" i="2"/>
  <c r="J251" i="2"/>
  <c r="BO250" i="2"/>
  <c r="AF340" i="3" s="1"/>
  <c r="BN250" i="2"/>
  <c r="AH340" i="3" s="1"/>
  <c r="O340" i="3" s="1"/>
  <c r="BM250" i="2"/>
  <c r="AM340" i="3" s="1"/>
  <c r="Q340" i="3" s="1"/>
  <c r="BL250" i="2"/>
  <c r="BK250" i="2"/>
  <c r="BI250" i="2"/>
  <c r="BH250" i="2"/>
  <c r="BG250" i="2"/>
  <c r="BF250" i="2"/>
  <c r="BD250" i="2"/>
  <c r="AI340" i="3" s="1"/>
  <c r="U340" i="3" s="1"/>
  <c r="BC250" i="2"/>
  <c r="BB250" i="2"/>
  <c r="AD250" i="2" s="1"/>
  <c r="BA250" i="2"/>
  <c r="AZ250" i="2"/>
  <c r="AJ340" i="3" s="1"/>
  <c r="W340" i="3" s="1"/>
  <c r="AY250" i="2"/>
  <c r="AE250" i="2" s="1"/>
  <c r="AX250" i="2"/>
  <c r="AW250" i="2"/>
  <c r="AV250" i="2"/>
  <c r="AU250" i="2"/>
  <c r="AT250" i="2"/>
  <c r="AR250" i="2"/>
  <c r="AQ250" i="2"/>
  <c r="AK340" i="3" s="1"/>
  <c r="T340" i="3" s="1"/>
  <c r="AP250" i="2"/>
  <c r="AO250" i="2"/>
  <c r="AN250" i="2"/>
  <c r="AE340" i="3" s="1"/>
  <c r="AM250" i="2"/>
  <c r="AA250" i="2" s="1"/>
  <c r="AL250" i="2"/>
  <c r="AK250" i="2"/>
  <c r="AI250" i="2"/>
  <c r="AH250" i="2"/>
  <c r="AB250" i="2"/>
  <c r="X250" i="2"/>
  <c r="W250" i="2"/>
  <c r="J250" i="2" s="1"/>
  <c r="V250" i="2"/>
  <c r="U250" i="2" s="1"/>
  <c r="BO249" i="2"/>
  <c r="AF82" i="3" s="1"/>
  <c r="M82" i="3" s="1"/>
  <c r="BN249" i="2"/>
  <c r="AH82" i="3" s="1"/>
  <c r="O82" i="3" s="1"/>
  <c r="BM249" i="2"/>
  <c r="AM82" i="3" s="1"/>
  <c r="Q82" i="3" s="1"/>
  <c r="BL249" i="2"/>
  <c r="BK249" i="2"/>
  <c r="AN82" i="3" s="1"/>
  <c r="R82" i="3" s="1"/>
  <c r="BJ249" i="2"/>
  <c r="AF249" i="2" s="1"/>
  <c r="BI249" i="2"/>
  <c r="BH249" i="2"/>
  <c r="BG249" i="2"/>
  <c r="BF249" i="2"/>
  <c r="AO82" i="3" s="1"/>
  <c r="X82" i="3" s="1"/>
  <c r="BD249" i="2"/>
  <c r="AI82" i="3" s="1"/>
  <c r="U82" i="3" s="1"/>
  <c r="BC249" i="2"/>
  <c r="BB249" i="2"/>
  <c r="AD249" i="2" s="1"/>
  <c r="BA249" i="2"/>
  <c r="AZ249" i="2"/>
  <c r="AX249" i="2"/>
  <c r="AW249" i="2"/>
  <c r="AV249" i="2" s="1"/>
  <c r="AU249" i="2"/>
  <c r="AT249" i="2"/>
  <c r="AR249" i="2"/>
  <c r="AQ249" i="2"/>
  <c r="AP249" i="2"/>
  <c r="AO249" i="2"/>
  <c r="AN249" i="2"/>
  <c r="AE82" i="3" s="1"/>
  <c r="L82" i="3" s="1"/>
  <c r="AM249" i="2"/>
  <c r="AA249" i="2" s="1"/>
  <c r="AL249" i="2"/>
  <c r="AK249" i="2"/>
  <c r="AD82" i="3" s="1"/>
  <c r="K82" i="3" s="1"/>
  <c r="AI249" i="2"/>
  <c r="AH249" i="2"/>
  <c r="AB249" i="2"/>
  <c r="X249" i="2"/>
  <c r="W249" i="2"/>
  <c r="V249" i="2"/>
  <c r="U249" i="2" s="1"/>
  <c r="J249" i="2"/>
  <c r="BO248" i="2"/>
  <c r="AF225" i="3" s="1"/>
  <c r="M225" i="3" s="1"/>
  <c r="BN248" i="2"/>
  <c r="AH225" i="3" s="1"/>
  <c r="O225" i="3" s="1"/>
  <c r="BM248" i="2"/>
  <c r="AM225" i="3" s="1"/>
  <c r="Q225" i="3" s="1"/>
  <c r="BL248" i="2"/>
  <c r="BH248" i="2" s="1"/>
  <c r="BK248" i="2"/>
  <c r="BI248" i="2"/>
  <c r="BG248" i="2"/>
  <c r="BF248" i="2"/>
  <c r="AO225" i="3" s="1"/>
  <c r="X225" i="3" s="1"/>
  <c r="BD248" i="2"/>
  <c r="BC248" i="2"/>
  <c r="BA248" i="2"/>
  <c r="AY248" i="2" s="1"/>
  <c r="AE248" i="2" s="1"/>
  <c r="AZ248" i="2"/>
  <c r="AJ225" i="3" s="1"/>
  <c r="W225" i="3" s="1"/>
  <c r="AX248" i="2"/>
  <c r="AW248" i="2"/>
  <c r="AV248" i="2"/>
  <c r="AU248" i="2"/>
  <c r="AT248" i="2"/>
  <c r="AR248" i="2"/>
  <c r="AP248" i="2" s="1"/>
  <c r="AQ248" i="2"/>
  <c r="AK225" i="3" s="1"/>
  <c r="T225" i="3" s="1"/>
  <c r="AO248" i="2"/>
  <c r="AN248" i="2"/>
  <c r="AE225" i="3" s="1"/>
  <c r="L225" i="3" s="1"/>
  <c r="AM248" i="2"/>
  <c r="AL248" i="2"/>
  <c r="AK248" i="2"/>
  <c r="AD225" i="3" s="1"/>
  <c r="AJ248" i="2"/>
  <c r="AI248" i="2"/>
  <c r="AH248" i="2"/>
  <c r="AB248" i="2"/>
  <c r="AA248" i="2"/>
  <c r="Z248" i="2"/>
  <c r="X248" i="2"/>
  <c r="W248" i="2"/>
  <c r="V248" i="2"/>
  <c r="U248" i="2" s="1"/>
  <c r="J248" i="2"/>
  <c r="BO247" i="2"/>
  <c r="AF118" i="3" s="1"/>
  <c r="M118" i="3" s="1"/>
  <c r="BN247" i="2"/>
  <c r="AH118" i="3" s="1"/>
  <c r="O118" i="3" s="1"/>
  <c r="BM247" i="2"/>
  <c r="AM118" i="3" s="1"/>
  <c r="Q118" i="3" s="1"/>
  <c r="BL247" i="2"/>
  <c r="BK247" i="2"/>
  <c r="AN118" i="3" s="1"/>
  <c r="R118" i="3" s="1"/>
  <c r="BJ247" i="2"/>
  <c r="AF247" i="2" s="1"/>
  <c r="BI247" i="2"/>
  <c r="BH247" i="2" s="1"/>
  <c r="BG247" i="2"/>
  <c r="BF247" i="2"/>
  <c r="AO118" i="3" s="1"/>
  <c r="X118" i="3" s="1"/>
  <c r="BD247" i="2"/>
  <c r="AI118" i="3" s="1"/>
  <c r="U118" i="3" s="1"/>
  <c r="BC247" i="2"/>
  <c r="BB247" i="2"/>
  <c r="BA247" i="2"/>
  <c r="AZ247" i="2"/>
  <c r="AJ118" i="3" s="1"/>
  <c r="W118" i="3" s="1"/>
  <c r="AY247" i="2"/>
  <c r="AX247" i="2"/>
  <c r="AW247" i="2"/>
  <c r="AV247" i="2"/>
  <c r="AU247" i="2"/>
  <c r="AT247" i="2"/>
  <c r="AL118" i="3" s="1"/>
  <c r="S118" i="3" s="1"/>
  <c r="AR247" i="2"/>
  <c r="AQ247" i="2"/>
  <c r="AK118" i="3" s="1"/>
  <c r="T118" i="3" s="1"/>
  <c r="AP247" i="2"/>
  <c r="AB247" i="2" s="1"/>
  <c r="AO247" i="2"/>
  <c r="AN247" i="2"/>
  <c r="AL247" i="2"/>
  <c r="AJ247" i="2" s="1"/>
  <c r="Z247" i="2" s="1"/>
  <c r="AK247" i="2"/>
  <c r="AI247" i="2"/>
  <c r="AH247" i="2"/>
  <c r="AG118" i="3" s="1"/>
  <c r="N118" i="3" s="1"/>
  <c r="AE247" i="2"/>
  <c r="AD247" i="2"/>
  <c r="X247" i="2"/>
  <c r="W247" i="2"/>
  <c r="J247" i="2" s="1"/>
  <c r="V247" i="2"/>
  <c r="U247" i="2" s="1"/>
  <c r="BO246" i="2"/>
  <c r="AF252" i="3" s="1"/>
  <c r="M252" i="3" s="1"/>
  <c r="BN246" i="2"/>
  <c r="AH252" i="3" s="1"/>
  <c r="O252" i="3" s="1"/>
  <c r="BM246" i="2"/>
  <c r="AM252" i="3" s="1"/>
  <c r="Q252" i="3" s="1"/>
  <c r="BL246" i="2"/>
  <c r="BK246" i="2"/>
  <c r="AN252" i="3" s="1"/>
  <c r="R252" i="3" s="1"/>
  <c r="BJ246" i="2"/>
  <c r="AF246" i="2" s="1"/>
  <c r="BI246" i="2"/>
  <c r="BH246" i="2" s="1"/>
  <c r="BG246" i="2"/>
  <c r="BF246" i="2"/>
  <c r="BD246" i="2"/>
  <c r="AI252" i="3" s="1"/>
  <c r="U252" i="3" s="1"/>
  <c r="BC246" i="2"/>
  <c r="BB246" i="2"/>
  <c r="AD246" i="2" s="1"/>
  <c r="BA246" i="2"/>
  <c r="AZ246" i="2"/>
  <c r="AJ252" i="3" s="1"/>
  <c r="W252" i="3" s="1"/>
  <c r="AY246" i="2"/>
  <c r="AE246" i="2" s="1"/>
  <c r="AX246" i="2"/>
  <c r="AW246" i="2"/>
  <c r="AV246" i="2"/>
  <c r="AU246" i="2"/>
  <c r="AT246" i="2"/>
  <c r="AR246" i="2"/>
  <c r="AQ246" i="2"/>
  <c r="AK252" i="3" s="1"/>
  <c r="T252" i="3" s="1"/>
  <c r="AO246" i="2"/>
  <c r="AN246" i="2"/>
  <c r="AE252" i="3" s="1"/>
  <c r="AL246" i="2"/>
  <c r="AK246" i="2"/>
  <c r="AD252" i="3" s="1"/>
  <c r="K252" i="3" s="1"/>
  <c r="AJ246" i="2"/>
  <c r="Z246" i="2" s="1"/>
  <c r="AI246" i="2"/>
  <c r="AH246" i="2"/>
  <c r="X246" i="2"/>
  <c r="W246" i="2"/>
  <c r="V246" i="2"/>
  <c r="U246" i="2" s="1"/>
  <c r="J246" i="2"/>
  <c r="BO245" i="2"/>
  <c r="AF240" i="3" s="1"/>
  <c r="M240" i="3" s="1"/>
  <c r="BN245" i="2"/>
  <c r="AH240" i="3" s="1"/>
  <c r="O240" i="3" s="1"/>
  <c r="BM245" i="2"/>
  <c r="AM240" i="3" s="1"/>
  <c r="Q240" i="3" s="1"/>
  <c r="BL245" i="2"/>
  <c r="BK245" i="2"/>
  <c r="BI245" i="2"/>
  <c r="BH245" i="2"/>
  <c r="BG245" i="2"/>
  <c r="BF245" i="2"/>
  <c r="AO240" i="3" s="1"/>
  <c r="X240" i="3" s="1"/>
  <c r="BD245" i="2"/>
  <c r="AI240" i="3" s="1"/>
  <c r="U240" i="3" s="1"/>
  <c r="BC245" i="2"/>
  <c r="BB245" i="2"/>
  <c r="AD245" i="2" s="1"/>
  <c r="BA245" i="2"/>
  <c r="AZ245" i="2"/>
  <c r="AJ240" i="3" s="1"/>
  <c r="W240" i="3" s="1"/>
  <c r="AY245" i="2"/>
  <c r="AX245" i="2"/>
  <c r="AV245" i="2" s="1"/>
  <c r="AW245" i="2"/>
  <c r="AU245" i="2"/>
  <c r="AT245" i="2"/>
  <c r="AL240" i="3" s="1"/>
  <c r="AS245" i="2"/>
  <c r="AC245" i="2" s="1"/>
  <c r="AR245" i="2"/>
  <c r="AQ245" i="2"/>
  <c r="AK240" i="3" s="1"/>
  <c r="T240" i="3" s="1"/>
  <c r="AP245" i="2"/>
  <c r="AB245" i="2" s="1"/>
  <c r="AO245" i="2"/>
  <c r="AN245" i="2"/>
  <c r="AE240" i="3" s="1"/>
  <c r="L240" i="3" s="1"/>
  <c r="AM245" i="2"/>
  <c r="AA245" i="2" s="1"/>
  <c r="AL245" i="2"/>
  <c r="AJ245" i="2" s="1"/>
  <c r="Z245" i="2" s="1"/>
  <c r="AK245" i="2"/>
  <c r="AD240" i="3" s="1"/>
  <c r="K240" i="3" s="1"/>
  <c r="AI245" i="2"/>
  <c r="AG245" i="2" s="1"/>
  <c r="Y245" i="2" s="1"/>
  <c r="AH245" i="2"/>
  <c r="AG240" i="3" s="1"/>
  <c r="N240" i="3" s="1"/>
  <c r="AE245" i="2"/>
  <c r="X245" i="2"/>
  <c r="W245" i="2"/>
  <c r="V245" i="2"/>
  <c r="U245" i="2" s="1"/>
  <c r="J245" i="2"/>
  <c r="BO244" i="2"/>
  <c r="AF317" i="3" s="1"/>
  <c r="M317" i="3" s="1"/>
  <c r="BN244" i="2"/>
  <c r="AH317" i="3" s="1"/>
  <c r="O317" i="3" s="1"/>
  <c r="BM244" i="2"/>
  <c r="AM317" i="3" s="1"/>
  <c r="Q317" i="3" s="1"/>
  <c r="BL244" i="2"/>
  <c r="BK244" i="2"/>
  <c r="BI244" i="2"/>
  <c r="BH244" i="2"/>
  <c r="BG244" i="2"/>
  <c r="BF244" i="2"/>
  <c r="BD244" i="2"/>
  <c r="AI317" i="3" s="1"/>
  <c r="U317" i="3" s="1"/>
  <c r="BC244" i="2"/>
  <c r="BB244" i="2"/>
  <c r="AD244" i="2" s="1"/>
  <c r="BA244" i="2"/>
  <c r="AZ244" i="2"/>
  <c r="AJ317" i="3" s="1"/>
  <c r="W317" i="3" s="1"/>
  <c r="AY244" i="2"/>
  <c r="AE244" i="2" s="1"/>
  <c r="AX244" i="2"/>
  <c r="AW244" i="2"/>
  <c r="AV244" i="2"/>
  <c r="AU244" i="2"/>
  <c r="AS244" i="2" s="1"/>
  <c r="AC244" i="2" s="1"/>
  <c r="AT244" i="2"/>
  <c r="AL317" i="3" s="1"/>
  <c r="S317" i="3" s="1"/>
  <c r="AR244" i="2"/>
  <c r="AQ244" i="2"/>
  <c r="AK317" i="3" s="1"/>
  <c r="T317" i="3" s="1"/>
  <c r="AO244" i="2"/>
  <c r="AN244" i="2"/>
  <c r="AL244" i="2"/>
  <c r="AK244" i="2"/>
  <c r="AD317" i="3" s="1"/>
  <c r="K317" i="3" s="1"/>
  <c r="AJ244" i="2"/>
  <c r="AI244" i="2"/>
  <c r="AH244" i="2"/>
  <c r="AG317" i="3" s="1"/>
  <c r="N317" i="3" s="1"/>
  <c r="AG244" i="2"/>
  <c r="Y244" i="2" s="1"/>
  <c r="Z244" i="2"/>
  <c r="X244" i="2"/>
  <c r="W244" i="2"/>
  <c r="V244" i="2"/>
  <c r="U244" i="2" s="1"/>
  <c r="J244" i="2"/>
  <c r="BO243" i="2"/>
  <c r="AF7" i="3" s="1"/>
  <c r="M7" i="3" s="1"/>
  <c r="BN243" i="2"/>
  <c r="AH7" i="3" s="1"/>
  <c r="O7" i="3" s="1"/>
  <c r="BM243" i="2"/>
  <c r="AM7" i="3" s="1"/>
  <c r="Q7" i="3" s="1"/>
  <c r="BL243" i="2"/>
  <c r="BK243" i="2"/>
  <c r="AN7" i="3" s="1"/>
  <c r="R7" i="3" s="1"/>
  <c r="BJ243" i="2"/>
  <c r="BI243" i="2"/>
  <c r="BH243" i="2"/>
  <c r="BG243" i="2"/>
  <c r="BF243" i="2"/>
  <c r="AO7" i="3" s="1"/>
  <c r="X7" i="3" s="1"/>
  <c r="BD243" i="2"/>
  <c r="AI7" i="3" s="1"/>
  <c r="BC243" i="2"/>
  <c r="BB243" i="2"/>
  <c r="AD243" i="2" s="1"/>
  <c r="BA243" i="2"/>
  <c r="AZ243" i="2"/>
  <c r="AY243" i="2"/>
  <c r="AE243" i="2" s="1"/>
  <c r="AX243" i="2"/>
  <c r="AW243" i="2"/>
  <c r="AV243" i="2"/>
  <c r="AU243" i="2"/>
  <c r="AT243" i="2"/>
  <c r="AR243" i="2"/>
  <c r="AQ243" i="2"/>
  <c r="AK7" i="3" s="1"/>
  <c r="T7" i="3" s="1"/>
  <c r="AP243" i="2"/>
  <c r="AB243" i="2" s="1"/>
  <c r="AO243" i="2"/>
  <c r="AN243" i="2"/>
  <c r="AE7" i="3" s="1"/>
  <c r="L7" i="3" s="1"/>
  <c r="AL243" i="2"/>
  <c r="AK243" i="2"/>
  <c r="AI243" i="2"/>
  <c r="AH243" i="2"/>
  <c r="AG243" i="2" s="1"/>
  <c r="AF243" i="2"/>
  <c r="Y243" i="2"/>
  <c r="X243" i="2"/>
  <c r="W243" i="2"/>
  <c r="J243" i="2" s="1"/>
  <c r="V243" i="2"/>
  <c r="U243" i="2" s="1"/>
  <c r="BO242" i="2"/>
  <c r="AF65" i="3" s="1"/>
  <c r="M65" i="3" s="1"/>
  <c r="BN242" i="2"/>
  <c r="AH65" i="3" s="1"/>
  <c r="O65" i="3" s="1"/>
  <c r="BM242" i="2"/>
  <c r="AM65" i="3" s="1"/>
  <c r="Q65" i="3" s="1"/>
  <c r="BL242" i="2"/>
  <c r="BK242" i="2"/>
  <c r="AN65" i="3" s="1"/>
  <c r="R65" i="3" s="1"/>
  <c r="BJ242" i="2"/>
  <c r="BI242" i="2"/>
  <c r="BH242" i="2" s="1"/>
  <c r="BG242" i="2"/>
  <c r="BF242" i="2"/>
  <c r="BD242" i="2"/>
  <c r="AI65" i="3" s="1"/>
  <c r="U65" i="3" s="1"/>
  <c r="BC242" i="2"/>
  <c r="BB242" i="2" s="1"/>
  <c r="BA242" i="2"/>
  <c r="AZ242" i="2"/>
  <c r="AX242" i="2"/>
  <c r="AW242" i="2"/>
  <c r="AV242" i="2"/>
  <c r="AU242" i="2"/>
  <c r="AT242" i="2"/>
  <c r="AL65" i="3" s="1"/>
  <c r="S65" i="3" s="1"/>
  <c r="AR242" i="2"/>
  <c r="AQ242" i="2"/>
  <c r="AK65" i="3" s="1"/>
  <c r="T65" i="3" s="1"/>
  <c r="AP242" i="2"/>
  <c r="AO242" i="2"/>
  <c r="AN242" i="2"/>
  <c r="AE65" i="3" s="1"/>
  <c r="L65" i="3" s="1"/>
  <c r="AM242" i="2"/>
  <c r="AL242" i="2"/>
  <c r="AK242" i="2"/>
  <c r="AD65" i="3" s="1"/>
  <c r="K65" i="3" s="1"/>
  <c r="AI242" i="2"/>
  <c r="AH242" i="2"/>
  <c r="AG65" i="3" s="1"/>
  <c r="N65" i="3" s="1"/>
  <c r="AG242" i="2"/>
  <c r="Y242" i="2" s="1"/>
  <c r="AF242" i="2"/>
  <c r="AD242" i="2"/>
  <c r="AB242" i="2"/>
  <c r="AA242" i="2"/>
  <c r="X242" i="2"/>
  <c r="W242" i="2"/>
  <c r="V242" i="2"/>
  <c r="U242" i="2" s="1"/>
  <c r="J242" i="2"/>
  <c r="BO241" i="2"/>
  <c r="AF220" i="3" s="1"/>
  <c r="M220" i="3" s="1"/>
  <c r="BN241" i="2"/>
  <c r="AH220" i="3" s="1"/>
  <c r="O220" i="3" s="1"/>
  <c r="BM241" i="2"/>
  <c r="AM220" i="3" s="1"/>
  <c r="Q220" i="3" s="1"/>
  <c r="BL241" i="2"/>
  <c r="BH241" i="2" s="1"/>
  <c r="BK241" i="2"/>
  <c r="AN220" i="3" s="1"/>
  <c r="R220" i="3" s="1"/>
  <c r="BI241" i="2"/>
  <c r="BG241" i="2"/>
  <c r="BF241" i="2"/>
  <c r="BD241" i="2"/>
  <c r="AI220" i="3" s="1"/>
  <c r="U220" i="3" s="1"/>
  <c r="BC241" i="2"/>
  <c r="BB241" i="2"/>
  <c r="AD241" i="2" s="1"/>
  <c r="BA241" i="2"/>
  <c r="AZ241" i="2"/>
  <c r="AX241" i="2"/>
  <c r="AW241" i="2"/>
  <c r="AV241" i="2"/>
  <c r="AU241" i="2"/>
  <c r="AT241" i="2"/>
  <c r="AR241" i="2"/>
  <c r="AP241" i="2" s="1"/>
  <c r="AB241" i="2" s="1"/>
  <c r="AQ241" i="2"/>
  <c r="AK220" i="3" s="1"/>
  <c r="T220" i="3" s="1"/>
  <c r="AO241" i="2"/>
  <c r="AN241" i="2"/>
  <c r="AE220" i="3" s="1"/>
  <c r="L220" i="3" s="1"/>
  <c r="AL241" i="2"/>
  <c r="AK241" i="2"/>
  <c r="AD220" i="3" s="1"/>
  <c r="K220" i="3" s="1"/>
  <c r="AJ241" i="2"/>
  <c r="Z241" i="2" s="1"/>
  <c r="AI241" i="2"/>
  <c r="AH241" i="2"/>
  <c r="X241" i="2"/>
  <c r="W241" i="2"/>
  <c r="V241" i="2"/>
  <c r="U241" i="2"/>
  <c r="J241" i="2"/>
  <c r="BO240" i="2"/>
  <c r="AF277" i="3" s="1"/>
  <c r="M277" i="3" s="1"/>
  <c r="BN240" i="2"/>
  <c r="AH277" i="3" s="1"/>
  <c r="O277" i="3" s="1"/>
  <c r="BM240" i="2"/>
  <c r="AM277" i="3" s="1"/>
  <c r="Q277" i="3" s="1"/>
  <c r="BL240" i="2"/>
  <c r="BJ240" i="2" s="1"/>
  <c r="AF240" i="2" s="1"/>
  <c r="BK240" i="2"/>
  <c r="AN277" i="3" s="1"/>
  <c r="R277" i="3" s="1"/>
  <c r="BI240" i="2"/>
  <c r="BH240" i="2" s="1"/>
  <c r="BG240" i="2"/>
  <c r="BF240" i="2"/>
  <c r="BD240" i="2"/>
  <c r="AI277" i="3" s="1"/>
  <c r="U277" i="3" s="1"/>
  <c r="BC240" i="2"/>
  <c r="BB240" i="2"/>
  <c r="AD240" i="2" s="1"/>
  <c r="BA240" i="2"/>
  <c r="AZ240" i="2"/>
  <c r="AJ277" i="3" s="1"/>
  <c r="AY240" i="2"/>
  <c r="AE240" i="2" s="1"/>
  <c r="AX240" i="2"/>
  <c r="AV240" i="2" s="1"/>
  <c r="AW240" i="2"/>
  <c r="AU240" i="2"/>
  <c r="AS240" i="2" s="1"/>
  <c r="AC240" i="2" s="1"/>
  <c r="AT240" i="2"/>
  <c r="AL277" i="3" s="1"/>
  <c r="S277" i="3" s="1"/>
  <c r="AR240" i="2"/>
  <c r="AQ240" i="2"/>
  <c r="AK277" i="3" s="1"/>
  <c r="T277" i="3" s="1"/>
  <c r="AP240" i="2"/>
  <c r="AB240" i="2" s="1"/>
  <c r="AO240" i="2"/>
  <c r="AN240" i="2"/>
  <c r="AE277" i="3" s="1"/>
  <c r="L277" i="3" s="1"/>
  <c r="AM240" i="2"/>
  <c r="AL240" i="2"/>
  <c r="AJ240" i="2" s="1"/>
  <c r="Z240" i="2" s="1"/>
  <c r="AK240" i="2"/>
  <c r="AD277" i="3" s="1"/>
  <c r="K277" i="3" s="1"/>
  <c r="AI240" i="2"/>
  <c r="AH240" i="2"/>
  <c r="AA240" i="2"/>
  <c r="X240" i="2"/>
  <c r="W240" i="2"/>
  <c r="V240" i="2"/>
  <c r="U240" i="2" s="1"/>
  <c r="J240" i="2"/>
  <c r="BO239" i="2"/>
  <c r="AF313" i="3" s="1"/>
  <c r="M313" i="3" s="1"/>
  <c r="BN239" i="2"/>
  <c r="AH313" i="3" s="1"/>
  <c r="O313" i="3" s="1"/>
  <c r="BM239" i="2"/>
  <c r="AM313" i="3" s="1"/>
  <c r="Q313" i="3" s="1"/>
  <c r="BL239" i="2"/>
  <c r="BK239" i="2"/>
  <c r="AN313" i="3" s="1"/>
  <c r="R313" i="3" s="1"/>
  <c r="BI239" i="2"/>
  <c r="BH239" i="2"/>
  <c r="BG239" i="2"/>
  <c r="BF239" i="2"/>
  <c r="BD239" i="2"/>
  <c r="AI313" i="3" s="1"/>
  <c r="U313" i="3" s="1"/>
  <c r="BC239" i="2"/>
  <c r="BB239" i="2"/>
  <c r="AD239" i="2" s="1"/>
  <c r="BA239" i="2"/>
  <c r="AZ239" i="2"/>
  <c r="AJ313" i="3" s="1"/>
  <c r="W313" i="3" s="1"/>
  <c r="AY239" i="2"/>
  <c r="AE239" i="2" s="1"/>
  <c r="AX239" i="2"/>
  <c r="AW239" i="2"/>
  <c r="AV239" i="2"/>
  <c r="AU239" i="2"/>
  <c r="AT239" i="2"/>
  <c r="AR239" i="2"/>
  <c r="AQ239" i="2"/>
  <c r="AO239" i="2"/>
  <c r="AN239" i="2"/>
  <c r="AE313" i="3" s="1"/>
  <c r="L313" i="3" s="1"/>
  <c r="AL239" i="2"/>
  <c r="AK239" i="2"/>
  <c r="AI239" i="2"/>
  <c r="AH239" i="2"/>
  <c r="AG313" i="3" s="1"/>
  <c r="N313" i="3" s="1"/>
  <c r="X239" i="2"/>
  <c r="W239" i="2"/>
  <c r="J239" i="2" s="1"/>
  <c r="V239" i="2"/>
  <c r="U239" i="2"/>
  <c r="BO238" i="2"/>
  <c r="BN238" i="2"/>
  <c r="AH64" i="3" s="1"/>
  <c r="O64" i="3" s="1"/>
  <c r="BM238" i="2"/>
  <c r="BL238" i="2"/>
  <c r="BK238" i="2"/>
  <c r="BJ238" i="2"/>
  <c r="AF238" i="2" s="1"/>
  <c r="BI238" i="2"/>
  <c r="BH238" i="2" s="1"/>
  <c r="BG238" i="2"/>
  <c r="BF238" i="2"/>
  <c r="BD238" i="2"/>
  <c r="AI64" i="3" s="1"/>
  <c r="U64" i="3" s="1"/>
  <c r="BC238" i="2"/>
  <c r="BB238" i="2" s="1"/>
  <c r="AD238" i="2" s="1"/>
  <c r="BA238" i="2"/>
  <c r="AZ238" i="2"/>
  <c r="AJ64" i="3" s="1"/>
  <c r="W64" i="3" s="1"/>
  <c r="AX238" i="2"/>
  <c r="AW238" i="2"/>
  <c r="AV238" i="2"/>
  <c r="AU238" i="2"/>
  <c r="AT238" i="2"/>
  <c r="AL64" i="3" s="1"/>
  <c r="S64" i="3" s="1"/>
  <c r="AS238" i="2"/>
  <c r="AC238" i="2" s="1"/>
  <c r="AR238" i="2"/>
  <c r="AQ238" i="2"/>
  <c r="AO238" i="2"/>
  <c r="AN238" i="2"/>
  <c r="AM238" i="2"/>
  <c r="AA238" i="2" s="1"/>
  <c r="AL238" i="2"/>
  <c r="AJ238" i="2" s="1"/>
  <c r="AK238" i="2"/>
  <c r="AI238" i="2"/>
  <c r="AH238" i="2"/>
  <c r="AG238" i="2"/>
  <c r="Y238" i="2" s="1"/>
  <c r="Z238" i="2"/>
  <c r="X238" i="2"/>
  <c r="W238" i="2"/>
  <c r="J238" i="2" s="1"/>
  <c r="V238" i="2"/>
  <c r="U238" i="2" s="1"/>
  <c r="BO237" i="2"/>
  <c r="AF201" i="3" s="1"/>
  <c r="M201" i="3" s="1"/>
  <c r="BN237" i="2"/>
  <c r="AH201" i="3" s="1"/>
  <c r="O201" i="3" s="1"/>
  <c r="BM237" i="2"/>
  <c r="AM201" i="3" s="1"/>
  <c r="Q201" i="3" s="1"/>
  <c r="BL237" i="2"/>
  <c r="BK237" i="2"/>
  <c r="AN201" i="3" s="1"/>
  <c r="R201" i="3" s="1"/>
  <c r="BJ237" i="2"/>
  <c r="AF237" i="2" s="1"/>
  <c r="BI237" i="2"/>
  <c r="BH237" i="2" s="1"/>
  <c r="BG237" i="2"/>
  <c r="BF237" i="2"/>
  <c r="BD237" i="2"/>
  <c r="AI201" i="3" s="1"/>
  <c r="U201" i="3" s="1"/>
  <c r="BC237" i="2"/>
  <c r="BB237" i="2"/>
  <c r="BA237" i="2"/>
  <c r="AZ237" i="2"/>
  <c r="AJ201" i="3" s="1"/>
  <c r="AY237" i="2"/>
  <c r="AX237" i="2"/>
  <c r="AV237" i="2" s="1"/>
  <c r="AW237" i="2"/>
  <c r="AU237" i="2"/>
  <c r="AT237" i="2"/>
  <c r="AL201" i="3" s="1"/>
  <c r="S201" i="3" s="1"/>
  <c r="AS237" i="2"/>
  <c r="AC237" i="2" s="1"/>
  <c r="AR237" i="2"/>
  <c r="AQ237" i="2"/>
  <c r="AO237" i="2"/>
  <c r="AN237" i="2"/>
  <c r="AL237" i="2"/>
  <c r="AJ237" i="2" s="1"/>
  <c r="AK237" i="2"/>
  <c r="AD201" i="3" s="1"/>
  <c r="K201" i="3" s="1"/>
  <c r="AI237" i="2"/>
  <c r="AH237" i="2"/>
  <c r="AG201" i="3" s="1"/>
  <c r="N201" i="3" s="1"/>
  <c r="AE237" i="2"/>
  <c r="AD237" i="2"/>
  <c r="Z237" i="2"/>
  <c r="X237" i="2"/>
  <c r="W237" i="2"/>
  <c r="V237" i="2"/>
  <c r="U237" i="2"/>
  <c r="J237" i="2"/>
  <c r="BO236" i="2"/>
  <c r="AF133" i="3" s="1"/>
  <c r="BN236" i="2"/>
  <c r="AH133" i="3" s="1"/>
  <c r="O133" i="3" s="1"/>
  <c r="BM236" i="2"/>
  <c r="AM133" i="3" s="1"/>
  <c r="Q133" i="3" s="1"/>
  <c r="BL236" i="2"/>
  <c r="BK236" i="2"/>
  <c r="AN133" i="3" s="1"/>
  <c r="R133" i="3" s="1"/>
  <c r="BI236" i="2"/>
  <c r="BH236" i="2"/>
  <c r="BG236" i="2"/>
  <c r="BF236" i="2"/>
  <c r="AO133" i="3" s="1"/>
  <c r="X133" i="3" s="1"/>
  <c r="BD236" i="2"/>
  <c r="AI133" i="3" s="1"/>
  <c r="U133" i="3" s="1"/>
  <c r="BC236" i="2"/>
  <c r="BB236" i="2"/>
  <c r="BA236" i="2"/>
  <c r="AZ236" i="2"/>
  <c r="AJ133" i="3" s="1"/>
  <c r="AX236" i="2"/>
  <c r="AW236" i="2"/>
  <c r="AV236" i="2"/>
  <c r="AU236" i="2"/>
  <c r="AT236" i="2"/>
  <c r="AR236" i="2"/>
  <c r="AQ236" i="2"/>
  <c r="AO236" i="2"/>
  <c r="AN236" i="2"/>
  <c r="AE133" i="3" s="1"/>
  <c r="AM236" i="2"/>
  <c r="AA236" i="2" s="1"/>
  <c r="AL236" i="2"/>
  <c r="AK236" i="2"/>
  <c r="AD133" i="3" s="1"/>
  <c r="K133" i="3" s="1"/>
  <c r="AI236" i="2"/>
  <c r="AH236" i="2"/>
  <c r="AD236" i="2"/>
  <c r="X236" i="2"/>
  <c r="W236" i="2"/>
  <c r="J236" i="2" s="1"/>
  <c r="V236" i="2"/>
  <c r="U236" i="2" s="1"/>
  <c r="BO235" i="2"/>
  <c r="AF83" i="3" s="1"/>
  <c r="M83" i="3" s="1"/>
  <c r="BN235" i="2"/>
  <c r="AH83" i="3" s="1"/>
  <c r="O83" i="3" s="1"/>
  <c r="BM235" i="2"/>
  <c r="AM83" i="3" s="1"/>
  <c r="Q83" i="3" s="1"/>
  <c r="BL235" i="2"/>
  <c r="BK235" i="2"/>
  <c r="BI235" i="2"/>
  <c r="BH235" i="2"/>
  <c r="BG235" i="2"/>
  <c r="BF235" i="2"/>
  <c r="AO83" i="3" s="1"/>
  <c r="X83" i="3" s="1"/>
  <c r="BE235" i="2"/>
  <c r="BD235" i="2"/>
  <c r="AI83" i="3" s="1"/>
  <c r="U83" i="3" s="1"/>
  <c r="BC235" i="2"/>
  <c r="BB235" i="2"/>
  <c r="AD235" i="2" s="1"/>
  <c r="BA235" i="2"/>
  <c r="AZ235" i="2"/>
  <c r="AX235" i="2"/>
  <c r="AW235" i="2"/>
  <c r="AV235" i="2" s="1"/>
  <c r="AU235" i="2"/>
  <c r="AS235" i="2" s="1"/>
  <c r="AC235" i="2" s="1"/>
  <c r="AT235" i="2"/>
  <c r="AL83" i="3" s="1"/>
  <c r="AR235" i="2"/>
  <c r="AQ235" i="2"/>
  <c r="AK83" i="3" s="1"/>
  <c r="T83" i="3" s="1"/>
  <c r="AO235" i="2"/>
  <c r="AN235" i="2"/>
  <c r="AE83" i="3" s="1"/>
  <c r="L83" i="3" s="1"/>
  <c r="AM235" i="2"/>
  <c r="AL235" i="2"/>
  <c r="AK235" i="2"/>
  <c r="AD83" i="3" s="1"/>
  <c r="K83" i="3" s="1"/>
  <c r="AI235" i="2"/>
  <c r="AH235" i="2"/>
  <c r="AG83" i="3" s="1"/>
  <c r="N83" i="3" s="1"/>
  <c r="AG235" i="2"/>
  <c r="Y235" i="2" s="1"/>
  <c r="AA235" i="2"/>
  <c r="X235" i="2"/>
  <c r="W235" i="2"/>
  <c r="V235" i="2"/>
  <c r="U235" i="2"/>
  <c r="J235" i="2"/>
  <c r="BO234" i="2"/>
  <c r="AF131" i="3" s="1"/>
  <c r="M131" i="3" s="1"/>
  <c r="BN234" i="2"/>
  <c r="AH131" i="3" s="1"/>
  <c r="O131" i="3" s="1"/>
  <c r="BM234" i="2"/>
  <c r="AM131" i="3" s="1"/>
  <c r="Q131" i="3" s="1"/>
  <c r="BL234" i="2"/>
  <c r="BK234" i="2"/>
  <c r="AN131" i="3" s="1"/>
  <c r="R131" i="3" s="1"/>
  <c r="BJ234" i="2"/>
  <c r="AF234" i="2" s="1"/>
  <c r="BI234" i="2"/>
  <c r="BH234" i="2"/>
  <c r="BG234" i="2"/>
  <c r="BF234" i="2"/>
  <c r="AO131" i="3" s="1"/>
  <c r="X131" i="3" s="1"/>
  <c r="BD234" i="2"/>
  <c r="AI131" i="3" s="1"/>
  <c r="U131" i="3" s="1"/>
  <c r="BC234" i="2"/>
  <c r="BB234" i="2"/>
  <c r="BA234" i="2"/>
  <c r="AZ234" i="2"/>
  <c r="AJ131" i="3" s="1"/>
  <c r="W131" i="3" s="1"/>
  <c r="AY234" i="2"/>
  <c r="AX234" i="2"/>
  <c r="AW234" i="2"/>
  <c r="AV234" i="2" s="1"/>
  <c r="AU234" i="2"/>
  <c r="AT234" i="2"/>
  <c r="AR234" i="2"/>
  <c r="AQ234" i="2"/>
  <c r="AK131" i="3" s="1"/>
  <c r="T131" i="3" s="1"/>
  <c r="AP234" i="2"/>
  <c r="AB234" i="2" s="1"/>
  <c r="AO234" i="2"/>
  <c r="AN234" i="2"/>
  <c r="AL234" i="2"/>
  <c r="AK234" i="2"/>
  <c r="AI234" i="2"/>
  <c r="AH234" i="2"/>
  <c r="AE234" i="2"/>
  <c r="AD234" i="2"/>
  <c r="X234" i="2"/>
  <c r="W234" i="2"/>
  <c r="V234" i="2"/>
  <c r="U234" i="2"/>
  <c r="J234" i="2"/>
  <c r="BO233" i="2"/>
  <c r="AF134" i="3" s="1"/>
  <c r="M134" i="3" s="1"/>
  <c r="BN233" i="2"/>
  <c r="AH134" i="3" s="1"/>
  <c r="O134" i="3" s="1"/>
  <c r="BM233" i="2"/>
  <c r="AM134" i="3" s="1"/>
  <c r="Q134" i="3" s="1"/>
  <c r="BL233" i="2"/>
  <c r="BK233" i="2"/>
  <c r="AN134" i="3" s="1"/>
  <c r="R134" i="3" s="1"/>
  <c r="BJ233" i="2"/>
  <c r="AF233" i="2" s="1"/>
  <c r="BI233" i="2"/>
  <c r="BH233" i="2" s="1"/>
  <c r="BG233" i="2"/>
  <c r="BF233" i="2"/>
  <c r="AO134" i="3" s="1"/>
  <c r="X134" i="3" s="1"/>
  <c r="BE233" i="2"/>
  <c r="BD233" i="2"/>
  <c r="AI134" i="3" s="1"/>
  <c r="U134" i="3" s="1"/>
  <c r="BC233" i="2"/>
  <c r="BB233" i="2" s="1"/>
  <c r="AD233" i="2" s="1"/>
  <c r="BA233" i="2"/>
  <c r="AZ233" i="2"/>
  <c r="AJ134" i="3" s="1"/>
  <c r="W134" i="3" s="1"/>
  <c r="AY233" i="2"/>
  <c r="AE233" i="2" s="1"/>
  <c r="AX233" i="2"/>
  <c r="AW233" i="2"/>
  <c r="AV233" i="2"/>
  <c r="AU233" i="2"/>
  <c r="AT233" i="2"/>
  <c r="AL134" i="3" s="1"/>
  <c r="S134" i="3" s="1"/>
  <c r="AR233" i="2"/>
  <c r="AQ233" i="2"/>
  <c r="AK134" i="3" s="1"/>
  <c r="T134" i="3" s="1"/>
  <c r="AP233" i="2"/>
  <c r="AO233" i="2"/>
  <c r="AN233" i="2"/>
  <c r="AE134" i="3" s="1"/>
  <c r="L134" i="3" s="1"/>
  <c r="AL233" i="2"/>
  <c r="AJ233" i="2" s="1"/>
  <c r="Z233" i="2" s="1"/>
  <c r="AK233" i="2"/>
  <c r="AD134" i="3" s="1"/>
  <c r="K134" i="3" s="1"/>
  <c r="AI233" i="2"/>
  <c r="AH233" i="2"/>
  <c r="AG134" i="3" s="1"/>
  <c r="N134" i="3" s="1"/>
  <c r="AB233" i="2"/>
  <c r="X233" i="2"/>
  <c r="W233" i="2"/>
  <c r="V233" i="2"/>
  <c r="U233" i="2" s="1"/>
  <c r="J233" i="2"/>
  <c r="BO232" i="2"/>
  <c r="AF318" i="3" s="1"/>
  <c r="M318" i="3" s="1"/>
  <c r="BN232" i="2"/>
  <c r="AH318" i="3" s="1"/>
  <c r="O318" i="3" s="1"/>
  <c r="BM232" i="2"/>
  <c r="AM318" i="3" s="1"/>
  <c r="Q318" i="3" s="1"/>
  <c r="BL232" i="2"/>
  <c r="BK232" i="2"/>
  <c r="AN318" i="3" s="1"/>
  <c r="R318" i="3" s="1"/>
  <c r="BI232" i="2"/>
  <c r="BH232" i="2"/>
  <c r="BG232" i="2"/>
  <c r="BF232" i="2"/>
  <c r="BD232" i="2"/>
  <c r="AI318" i="3" s="1"/>
  <c r="U318" i="3" s="1"/>
  <c r="BC232" i="2"/>
  <c r="BB232" i="2"/>
  <c r="AD232" i="2" s="1"/>
  <c r="BA232" i="2"/>
  <c r="AZ232" i="2"/>
  <c r="AJ318" i="3" s="1"/>
  <c r="W318" i="3" s="1"/>
  <c r="AY232" i="2"/>
  <c r="AE232" i="2" s="1"/>
  <c r="AX232" i="2"/>
  <c r="AW232" i="2"/>
  <c r="AV232" i="2" s="1"/>
  <c r="AU232" i="2"/>
  <c r="AT232" i="2"/>
  <c r="AR232" i="2"/>
  <c r="AQ232" i="2"/>
  <c r="AK318" i="3" s="1"/>
  <c r="T318" i="3" s="1"/>
  <c r="AP232" i="2"/>
  <c r="AB232" i="2" s="1"/>
  <c r="AO232" i="2"/>
  <c r="AN232" i="2"/>
  <c r="AE318" i="3" s="1"/>
  <c r="L318" i="3" s="1"/>
  <c r="AM232" i="2"/>
  <c r="AA232" i="2" s="1"/>
  <c r="AL232" i="2"/>
  <c r="AK232" i="2"/>
  <c r="AD318" i="3" s="1"/>
  <c r="K318" i="3" s="1"/>
  <c r="AJ232" i="2"/>
  <c r="Z232" i="2" s="1"/>
  <c r="AI232" i="2"/>
  <c r="AH232" i="2"/>
  <c r="AG318" i="3" s="1"/>
  <c r="N318" i="3" s="1"/>
  <c r="X232" i="2"/>
  <c r="W232" i="2"/>
  <c r="V232" i="2"/>
  <c r="U232" i="2" s="1"/>
  <c r="J232" i="2"/>
  <c r="BO231" i="2"/>
  <c r="AF43" i="3" s="1"/>
  <c r="M43" i="3" s="1"/>
  <c r="BN231" i="2"/>
  <c r="AH43" i="3" s="1"/>
  <c r="BM231" i="2"/>
  <c r="BL231" i="2"/>
  <c r="BK231" i="2"/>
  <c r="BI231" i="2"/>
  <c r="BH231" i="2"/>
  <c r="BG231" i="2"/>
  <c r="BF231" i="2"/>
  <c r="AO43" i="3" s="1"/>
  <c r="X43" i="3" s="1"/>
  <c r="BE231" i="2"/>
  <c r="BD231" i="2"/>
  <c r="AI43" i="3" s="1"/>
  <c r="U43" i="3" s="1"/>
  <c r="BC231" i="2"/>
  <c r="BB231" i="2"/>
  <c r="BA231" i="2"/>
  <c r="AZ231" i="2"/>
  <c r="AJ43" i="3" s="1"/>
  <c r="W43" i="3" s="1"/>
  <c r="AX231" i="2"/>
  <c r="AW231" i="2"/>
  <c r="AV231" i="2"/>
  <c r="AU231" i="2"/>
  <c r="AT231" i="2"/>
  <c r="AL43" i="3" s="1"/>
  <c r="S43" i="3" s="1"/>
  <c r="AR231" i="2"/>
  <c r="AQ231" i="2"/>
  <c r="AK43" i="3" s="1"/>
  <c r="T43" i="3" s="1"/>
  <c r="AO231" i="2"/>
  <c r="AN231" i="2"/>
  <c r="AE43" i="3" s="1"/>
  <c r="AM231" i="2"/>
  <c r="AA231" i="2" s="1"/>
  <c r="AL231" i="2"/>
  <c r="AJ231" i="2" s="1"/>
  <c r="Z231" i="2" s="1"/>
  <c r="AK231" i="2"/>
  <c r="AD43" i="3" s="1"/>
  <c r="AI231" i="2"/>
  <c r="AH231" i="2"/>
  <c r="AG43" i="3" s="1"/>
  <c r="N43" i="3" s="1"/>
  <c r="AG231" i="2"/>
  <c r="Y231" i="2" s="1"/>
  <c r="AD231" i="2"/>
  <c r="X231" i="2"/>
  <c r="W231" i="2"/>
  <c r="V231" i="2"/>
  <c r="U231" i="2" s="1"/>
  <c r="BO230" i="2"/>
  <c r="AF228" i="3" s="1"/>
  <c r="M228" i="3" s="1"/>
  <c r="BN230" i="2"/>
  <c r="BM230" i="2"/>
  <c r="AM228" i="3" s="1"/>
  <c r="Q228" i="3" s="1"/>
  <c r="BL230" i="2"/>
  <c r="BK230" i="2"/>
  <c r="AN228" i="3" s="1"/>
  <c r="R228" i="3" s="1"/>
  <c r="BJ230" i="2"/>
  <c r="AF230" i="2" s="1"/>
  <c r="BI230" i="2"/>
  <c r="BH230" i="2"/>
  <c r="BG230" i="2"/>
  <c r="BF230" i="2"/>
  <c r="BD230" i="2"/>
  <c r="AI228" i="3" s="1"/>
  <c r="BC230" i="2"/>
  <c r="BB230" i="2"/>
  <c r="AD230" i="2" s="1"/>
  <c r="BA230" i="2"/>
  <c r="AZ230" i="2"/>
  <c r="AJ228" i="3" s="1"/>
  <c r="W228" i="3" s="1"/>
  <c r="AY230" i="2"/>
  <c r="AX230" i="2"/>
  <c r="AW230" i="2"/>
  <c r="AV230" i="2"/>
  <c r="AU230" i="2"/>
  <c r="AT230" i="2"/>
  <c r="AL228" i="3" s="1"/>
  <c r="S228" i="3" s="1"/>
  <c r="AS230" i="2"/>
  <c r="AC230" i="2" s="1"/>
  <c r="AR230" i="2"/>
  <c r="AQ230" i="2"/>
  <c r="AK228" i="3" s="1"/>
  <c r="T228" i="3" s="1"/>
  <c r="AP230" i="2"/>
  <c r="AB230" i="2" s="1"/>
  <c r="AO230" i="2"/>
  <c r="AN230" i="2"/>
  <c r="AE228" i="3" s="1"/>
  <c r="AM230" i="2"/>
  <c r="AA230" i="2" s="1"/>
  <c r="AL230" i="2"/>
  <c r="AK230" i="2"/>
  <c r="AD228" i="3" s="1"/>
  <c r="K228" i="3" s="1"/>
  <c r="AJ230" i="2"/>
  <c r="Z230" i="2" s="1"/>
  <c r="AI230" i="2"/>
  <c r="AH230" i="2"/>
  <c r="AG230" i="2" s="1"/>
  <c r="AE230" i="2"/>
  <c r="Y230" i="2"/>
  <c r="X230" i="2"/>
  <c r="W230" i="2"/>
  <c r="J230" i="2" s="1"/>
  <c r="V230" i="2"/>
  <c r="U230" i="2"/>
  <c r="BO229" i="2"/>
  <c r="AF146" i="3" s="1"/>
  <c r="M146" i="3" s="1"/>
  <c r="BN229" i="2"/>
  <c r="AH146" i="3" s="1"/>
  <c r="O146" i="3" s="1"/>
  <c r="BM229" i="2"/>
  <c r="AM146" i="3" s="1"/>
  <c r="Q146" i="3" s="1"/>
  <c r="BL229" i="2"/>
  <c r="BK229" i="2"/>
  <c r="AN146" i="3" s="1"/>
  <c r="R146" i="3" s="1"/>
  <c r="BJ229" i="2"/>
  <c r="AF229" i="2" s="1"/>
  <c r="BI229" i="2"/>
  <c r="BH229" i="2" s="1"/>
  <c r="BG229" i="2"/>
  <c r="BF229" i="2"/>
  <c r="AO146" i="3" s="1"/>
  <c r="BE229" i="2"/>
  <c r="BD229" i="2"/>
  <c r="AI146" i="3" s="1"/>
  <c r="U146" i="3" s="1"/>
  <c r="BC229" i="2"/>
  <c r="BB229" i="2" s="1"/>
  <c r="AD229" i="2" s="1"/>
  <c r="BA229" i="2"/>
  <c r="AZ229" i="2"/>
  <c r="AJ146" i="3" s="1"/>
  <c r="AY229" i="2"/>
  <c r="AX229" i="2"/>
  <c r="AW229" i="2"/>
  <c r="AV229" i="2" s="1"/>
  <c r="AU229" i="2"/>
  <c r="AT229" i="2"/>
  <c r="AL146" i="3" s="1"/>
  <c r="S146" i="3" s="1"/>
  <c r="AS229" i="2"/>
  <c r="AR229" i="2"/>
  <c r="AP229" i="2" s="1"/>
  <c r="AB229" i="2" s="1"/>
  <c r="AQ229" i="2"/>
  <c r="AK146" i="3" s="1"/>
  <c r="T146" i="3" s="1"/>
  <c r="AO229" i="2"/>
  <c r="AN229" i="2"/>
  <c r="AL229" i="2"/>
  <c r="AK229" i="2"/>
  <c r="AD146" i="3" s="1"/>
  <c r="K146" i="3" s="1"/>
  <c r="AJ229" i="2"/>
  <c r="Z229" i="2" s="1"/>
  <c r="AI229" i="2"/>
  <c r="AH229" i="2"/>
  <c r="AG146" i="3" s="1"/>
  <c r="N146" i="3" s="1"/>
  <c r="AG229" i="2"/>
  <c r="Y229" i="2" s="1"/>
  <c r="AE229" i="2"/>
  <c r="AC229" i="2"/>
  <c r="X229" i="2"/>
  <c r="W229" i="2"/>
  <c r="J229" i="2" s="1"/>
  <c r="V229" i="2"/>
  <c r="U229" i="2" s="1"/>
  <c r="BO228" i="2"/>
  <c r="BN228" i="2"/>
  <c r="AH17" i="3" s="1"/>
  <c r="O17" i="3" s="1"/>
  <c r="BM228" i="2"/>
  <c r="AM17" i="3" s="1"/>
  <c r="Q17" i="3" s="1"/>
  <c r="BL228" i="2"/>
  <c r="BK228" i="2"/>
  <c r="AN17" i="3" s="1"/>
  <c r="R17" i="3" s="1"/>
  <c r="BJ228" i="2"/>
  <c r="AF228" i="2" s="1"/>
  <c r="BI228" i="2"/>
  <c r="BH228" i="2" s="1"/>
  <c r="BG228" i="2"/>
  <c r="BF228" i="2"/>
  <c r="AO17" i="3" s="1"/>
  <c r="X17" i="3" s="1"/>
  <c r="BE228" i="2"/>
  <c r="BD228" i="2"/>
  <c r="AI17" i="3" s="1"/>
  <c r="BC228" i="2"/>
  <c r="BB228" i="2"/>
  <c r="AD228" i="2" s="1"/>
  <c r="BA228" i="2"/>
  <c r="AZ228" i="2"/>
  <c r="AJ17" i="3" s="1"/>
  <c r="W17" i="3" s="1"/>
  <c r="AY228" i="2"/>
  <c r="AE228" i="2" s="1"/>
  <c r="AX228" i="2"/>
  <c r="AW228" i="2"/>
  <c r="AV228" i="2"/>
  <c r="AU228" i="2"/>
  <c r="AT228" i="2"/>
  <c r="AL17" i="3" s="1"/>
  <c r="S17" i="3" s="1"/>
  <c r="AS228" i="2"/>
  <c r="AC228" i="2" s="1"/>
  <c r="AR228" i="2"/>
  <c r="AQ228" i="2"/>
  <c r="AK17" i="3" s="1"/>
  <c r="AO228" i="2"/>
  <c r="AM228" i="2" s="1"/>
  <c r="AN228" i="2"/>
  <c r="AE17" i="3" s="1"/>
  <c r="AL228" i="2"/>
  <c r="AK228" i="2"/>
  <c r="AD17" i="3" s="1"/>
  <c r="AJ228" i="2"/>
  <c r="Z228" i="2" s="1"/>
  <c r="AI228" i="2"/>
  <c r="AH228" i="2"/>
  <c r="AG17" i="3" s="1"/>
  <c r="N17" i="3" s="1"/>
  <c r="AG228" i="2"/>
  <c r="AA228" i="2"/>
  <c r="Y228" i="2"/>
  <c r="X228" i="2"/>
  <c r="W228" i="2"/>
  <c r="J228" i="2" s="1"/>
  <c r="V228" i="2"/>
  <c r="U228" i="2"/>
  <c r="BO227" i="2"/>
  <c r="AF299" i="3" s="1"/>
  <c r="M299" i="3" s="1"/>
  <c r="BN227" i="2"/>
  <c r="AH299" i="3" s="1"/>
  <c r="O299" i="3" s="1"/>
  <c r="BM227" i="2"/>
  <c r="AM299" i="3" s="1"/>
  <c r="Q299" i="3" s="1"/>
  <c r="BL227" i="2"/>
  <c r="BK227" i="2"/>
  <c r="BI227" i="2"/>
  <c r="BH227" i="2" s="1"/>
  <c r="BG227" i="2"/>
  <c r="BF227" i="2"/>
  <c r="AO299" i="3" s="1"/>
  <c r="X299" i="3" s="1"/>
  <c r="BD227" i="2"/>
  <c r="AI299" i="3" s="1"/>
  <c r="BC227" i="2"/>
  <c r="BB227" i="2"/>
  <c r="BA227" i="2"/>
  <c r="AZ227" i="2"/>
  <c r="AJ299" i="3" s="1"/>
  <c r="W299" i="3" s="1"/>
  <c r="AY227" i="2"/>
  <c r="AE227" i="2" s="1"/>
  <c r="AX227" i="2"/>
  <c r="AW227" i="2"/>
  <c r="AV227" i="2"/>
  <c r="AU227" i="2"/>
  <c r="AT227" i="2"/>
  <c r="AR227" i="2"/>
  <c r="AQ227" i="2"/>
  <c r="AO227" i="2"/>
  <c r="AN227" i="2"/>
  <c r="AL227" i="2"/>
  <c r="AK227" i="2"/>
  <c r="AD299" i="3" s="1"/>
  <c r="K299" i="3" s="1"/>
  <c r="AI227" i="2"/>
  <c r="AH227" i="2"/>
  <c r="AG299" i="3" s="1"/>
  <c r="N299" i="3" s="1"/>
  <c r="AG227" i="2"/>
  <c r="Y227" i="2" s="1"/>
  <c r="AD227" i="2"/>
  <c r="X227" i="2"/>
  <c r="W227" i="2"/>
  <c r="V227" i="2"/>
  <c r="U227" i="2"/>
  <c r="J227" i="2"/>
  <c r="BO226" i="2"/>
  <c r="AF158" i="3" s="1"/>
  <c r="BN226" i="2"/>
  <c r="AH158" i="3" s="1"/>
  <c r="O158" i="3" s="1"/>
  <c r="BM226" i="2"/>
  <c r="AM158" i="3" s="1"/>
  <c r="Q158" i="3" s="1"/>
  <c r="BL226" i="2"/>
  <c r="BK226" i="2"/>
  <c r="BI226" i="2"/>
  <c r="BH226" i="2"/>
  <c r="BG226" i="2"/>
  <c r="BF226" i="2"/>
  <c r="AO158" i="3" s="1"/>
  <c r="X158" i="3" s="1"/>
  <c r="BE226" i="2"/>
  <c r="BD226" i="2"/>
  <c r="AI158" i="3" s="1"/>
  <c r="U158" i="3" s="1"/>
  <c r="BC226" i="2"/>
  <c r="BB226" i="2" s="1"/>
  <c r="BA226" i="2"/>
  <c r="AY226" i="2" s="1"/>
  <c r="AE226" i="2" s="1"/>
  <c r="AZ226" i="2"/>
  <c r="AJ158" i="3" s="1"/>
  <c r="W158" i="3" s="1"/>
  <c r="AX226" i="2"/>
  <c r="AW226" i="2"/>
  <c r="AV226" i="2"/>
  <c r="AU226" i="2"/>
  <c r="AS226" i="2" s="1"/>
  <c r="AC226" i="2" s="1"/>
  <c r="AT226" i="2"/>
  <c r="AR226" i="2"/>
  <c r="AP226" i="2" s="1"/>
  <c r="AB226" i="2" s="1"/>
  <c r="AQ226" i="2"/>
  <c r="AK158" i="3" s="1"/>
  <c r="T158" i="3" s="1"/>
  <c r="AO226" i="2"/>
  <c r="AN226" i="2"/>
  <c r="AM226" i="2"/>
  <c r="AL226" i="2"/>
  <c r="AK226" i="2"/>
  <c r="AI226" i="2"/>
  <c r="AG226" i="2" s="1"/>
  <c r="Y226" i="2" s="1"/>
  <c r="AH226" i="2"/>
  <c r="AG158" i="3" s="1"/>
  <c r="N158" i="3" s="1"/>
  <c r="AD226" i="2"/>
  <c r="AA226" i="2"/>
  <c r="X226" i="2"/>
  <c r="W226" i="2"/>
  <c r="V226" i="2"/>
  <c r="U226" i="2"/>
  <c r="J226" i="2"/>
  <c r="BO225" i="2"/>
  <c r="AF250" i="3" s="1"/>
  <c r="M250" i="3" s="1"/>
  <c r="BN225" i="2"/>
  <c r="AH250" i="3" s="1"/>
  <c r="O250" i="3" s="1"/>
  <c r="BM225" i="2"/>
  <c r="AM250" i="3" s="1"/>
  <c r="Q250" i="3" s="1"/>
  <c r="BL225" i="2"/>
  <c r="BK225" i="2"/>
  <c r="BJ225" i="2" s="1"/>
  <c r="AF225" i="2" s="1"/>
  <c r="BI225" i="2"/>
  <c r="BH225" i="2" s="1"/>
  <c r="BG225" i="2"/>
  <c r="BF225" i="2"/>
  <c r="AO250" i="3" s="1"/>
  <c r="X250" i="3" s="1"/>
  <c r="BE225" i="2"/>
  <c r="BD225" i="2"/>
  <c r="AI250" i="3" s="1"/>
  <c r="U250" i="3" s="1"/>
  <c r="BC225" i="2"/>
  <c r="BB225" i="2" s="1"/>
  <c r="AD225" i="2" s="1"/>
  <c r="BA225" i="2"/>
  <c r="AZ225" i="2"/>
  <c r="AX225" i="2"/>
  <c r="AW225" i="2"/>
  <c r="AV225" i="2"/>
  <c r="AU225" i="2"/>
  <c r="AT225" i="2"/>
  <c r="AL250" i="3" s="1"/>
  <c r="S250" i="3" s="1"/>
  <c r="AS225" i="2"/>
  <c r="AC225" i="2" s="1"/>
  <c r="AR225" i="2"/>
  <c r="AQ225" i="2"/>
  <c r="AK250" i="3" s="1"/>
  <c r="T250" i="3" s="1"/>
  <c r="AP225" i="2"/>
  <c r="AB225" i="2" s="1"/>
  <c r="AO225" i="2"/>
  <c r="AN225" i="2"/>
  <c r="AE250" i="3" s="1"/>
  <c r="L250" i="3" s="1"/>
  <c r="AM225" i="2"/>
  <c r="AA225" i="2" s="1"/>
  <c r="AL225" i="2"/>
  <c r="AK225" i="2"/>
  <c r="AD250" i="3" s="1"/>
  <c r="K250" i="3" s="1"/>
  <c r="AJ225" i="2"/>
  <c r="Z225" i="2" s="1"/>
  <c r="AI225" i="2"/>
  <c r="AH225" i="2"/>
  <c r="AG250" i="3" s="1"/>
  <c r="N250" i="3" s="1"/>
  <c r="X225" i="2"/>
  <c r="W225" i="2"/>
  <c r="J225" i="2" s="1"/>
  <c r="V225" i="2"/>
  <c r="U225" i="2" s="1"/>
  <c r="BO224" i="2"/>
  <c r="AF305" i="3" s="1"/>
  <c r="M305" i="3" s="1"/>
  <c r="BN224" i="2"/>
  <c r="AH305" i="3" s="1"/>
  <c r="O305" i="3" s="1"/>
  <c r="BM224" i="2"/>
  <c r="AM305" i="3" s="1"/>
  <c r="Q305" i="3" s="1"/>
  <c r="BL224" i="2"/>
  <c r="BK224" i="2"/>
  <c r="AN305" i="3" s="1"/>
  <c r="R305" i="3" s="1"/>
  <c r="BJ224" i="2"/>
  <c r="AF224" i="2" s="1"/>
  <c r="BI224" i="2"/>
  <c r="BH224" i="2"/>
  <c r="BG224" i="2"/>
  <c r="BF224" i="2"/>
  <c r="AO305" i="3" s="1"/>
  <c r="X305" i="3" s="1"/>
  <c r="BE224" i="2"/>
  <c r="BD224" i="2"/>
  <c r="AI305" i="3" s="1"/>
  <c r="U305" i="3" s="1"/>
  <c r="BC224" i="2"/>
  <c r="BB224" i="2"/>
  <c r="BA224" i="2"/>
  <c r="AZ224" i="2"/>
  <c r="AJ305" i="3" s="1"/>
  <c r="W305" i="3" s="1"/>
  <c r="AY224" i="2"/>
  <c r="AX224" i="2"/>
  <c r="AW224" i="2"/>
  <c r="AV224" i="2" s="1"/>
  <c r="AU224" i="2"/>
  <c r="AT224" i="2"/>
  <c r="AL305" i="3" s="1"/>
  <c r="S305" i="3" s="1"/>
  <c r="AS224" i="2"/>
  <c r="AR224" i="2"/>
  <c r="AQ224" i="2"/>
  <c r="AK305" i="3" s="1"/>
  <c r="T305" i="3" s="1"/>
  <c r="AP224" i="2"/>
  <c r="AO224" i="2"/>
  <c r="AN224" i="2"/>
  <c r="AL224" i="2"/>
  <c r="AK224" i="2"/>
  <c r="AI224" i="2"/>
  <c r="AH224" i="2"/>
  <c r="AE224" i="2"/>
  <c r="AD224" i="2"/>
  <c r="AC224" i="2"/>
  <c r="AB224" i="2"/>
  <c r="X224" i="2"/>
  <c r="W224" i="2"/>
  <c r="J224" i="2" s="1"/>
  <c r="V224" i="2"/>
  <c r="U224" i="2" s="1"/>
  <c r="BO223" i="2"/>
  <c r="AF9" i="3" s="1"/>
  <c r="M9" i="3" s="1"/>
  <c r="BN223" i="2"/>
  <c r="AH9" i="3" s="1"/>
  <c r="BM223" i="2"/>
  <c r="AM9" i="3" s="1"/>
  <c r="Q9" i="3" s="1"/>
  <c r="BL223" i="2"/>
  <c r="BK223" i="2"/>
  <c r="AN9" i="3" s="1"/>
  <c r="BJ223" i="2"/>
  <c r="BI223" i="2"/>
  <c r="BH223" i="2" s="1"/>
  <c r="BG223" i="2"/>
  <c r="BF223" i="2"/>
  <c r="BE223" i="2" s="1"/>
  <c r="BD223" i="2"/>
  <c r="AI9" i="3" s="1"/>
  <c r="BC223" i="2"/>
  <c r="BB223" i="2"/>
  <c r="AD223" i="2" s="1"/>
  <c r="BA223" i="2"/>
  <c r="AZ223" i="2"/>
  <c r="AX223" i="2"/>
  <c r="AW223" i="2"/>
  <c r="AV223" i="2" s="1"/>
  <c r="AU223" i="2"/>
  <c r="AT223" i="2"/>
  <c r="AL9" i="3" s="1"/>
  <c r="S9" i="3" s="1"/>
  <c r="AS223" i="2"/>
  <c r="AC223" i="2" s="1"/>
  <c r="AR223" i="2"/>
  <c r="AQ223" i="2"/>
  <c r="AK9" i="3" s="1"/>
  <c r="AO223" i="2"/>
  <c r="AM223" i="2" s="1"/>
  <c r="AA223" i="2" s="1"/>
  <c r="AN223" i="2"/>
  <c r="AL223" i="2"/>
  <c r="AK223" i="2"/>
  <c r="AD9" i="3" s="1"/>
  <c r="K9" i="3" s="1"/>
  <c r="AI223" i="2"/>
  <c r="AH223" i="2"/>
  <c r="AG9" i="3" s="1"/>
  <c r="N9" i="3" s="1"/>
  <c r="AG223" i="2"/>
  <c r="Y223" i="2" s="1"/>
  <c r="AF223" i="2"/>
  <c r="X223" i="2"/>
  <c r="W223" i="2"/>
  <c r="J223" i="2" s="1"/>
  <c r="V223" i="2"/>
  <c r="U223" i="2" s="1"/>
  <c r="BO222" i="2"/>
  <c r="BN222" i="2"/>
  <c r="BM222" i="2"/>
  <c r="BL222" i="2"/>
  <c r="BK222" i="2"/>
  <c r="BJ222" i="2"/>
  <c r="AF222" i="2" s="1"/>
  <c r="BI222" i="2"/>
  <c r="BH222" i="2" s="1"/>
  <c r="BG222" i="2"/>
  <c r="BF222" i="2"/>
  <c r="BE222" i="2"/>
  <c r="BD222" i="2"/>
  <c r="BC222" i="2"/>
  <c r="BB222" i="2" s="1"/>
  <c r="AD222" i="2" s="1"/>
  <c r="BA222" i="2"/>
  <c r="AZ222" i="2"/>
  <c r="AY222" i="2"/>
  <c r="AX222" i="2"/>
  <c r="AW222" i="2"/>
  <c r="AV222" i="2" s="1"/>
  <c r="AU222" i="2"/>
  <c r="AT222" i="2"/>
  <c r="AS222" i="2"/>
  <c r="AR222" i="2"/>
  <c r="AQ222" i="2"/>
  <c r="AP222" i="2"/>
  <c r="AO222" i="2"/>
  <c r="AN222" i="2"/>
  <c r="AM222" i="2" s="1"/>
  <c r="AL222" i="2"/>
  <c r="AK222" i="2"/>
  <c r="AJ222" i="2" s="1"/>
  <c r="AI222" i="2"/>
  <c r="AH222" i="2"/>
  <c r="AG222" i="2" s="1"/>
  <c r="Y222" i="2" s="1"/>
  <c r="AE222" i="2"/>
  <c r="AC222" i="2"/>
  <c r="AB222" i="2"/>
  <c r="AA222" i="2"/>
  <c r="Z222" i="2"/>
  <c r="X222" i="2"/>
  <c r="W222" i="2"/>
  <c r="V222" i="2"/>
  <c r="U222" i="2" s="1"/>
  <c r="BO221" i="2"/>
  <c r="BN221" i="2"/>
  <c r="BM221" i="2"/>
  <c r="AM42" i="3" s="1"/>
  <c r="Q42" i="3" s="1"/>
  <c r="BL221" i="2"/>
  <c r="BK221" i="2"/>
  <c r="AN42" i="3" s="1"/>
  <c r="R42" i="3" s="1"/>
  <c r="BJ221" i="2"/>
  <c r="BI221" i="2"/>
  <c r="BH221" i="2" s="1"/>
  <c r="BG221" i="2"/>
  <c r="BF221" i="2"/>
  <c r="AO42" i="3" s="1"/>
  <c r="X42" i="3" s="1"/>
  <c r="BE221" i="2"/>
  <c r="BD221" i="2"/>
  <c r="AI42" i="3" s="1"/>
  <c r="U42" i="3" s="1"/>
  <c r="BC221" i="2"/>
  <c r="BB221" i="2"/>
  <c r="BA221" i="2"/>
  <c r="AZ221" i="2"/>
  <c r="AY221" i="2" s="1"/>
  <c r="AX221" i="2"/>
  <c r="AW221" i="2"/>
  <c r="AV221" i="2"/>
  <c r="AU221" i="2"/>
  <c r="AS221" i="2" s="1"/>
  <c r="AC221" i="2" s="1"/>
  <c r="AT221" i="2"/>
  <c r="AL42" i="3" s="1"/>
  <c r="S42" i="3" s="1"/>
  <c r="AR221" i="2"/>
  <c r="AQ221" i="2"/>
  <c r="AK42" i="3" s="1"/>
  <c r="T42" i="3" s="1"/>
  <c r="AP221" i="2"/>
  <c r="AO221" i="2"/>
  <c r="AN221" i="2"/>
  <c r="AL221" i="2"/>
  <c r="AK221" i="2"/>
  <c r="AJ221" i="2"/>
  <c r="AI221" i="2"/>
  <c r="AH221" i="2"/>
  <c r="AG221" i="2" s="1"/>
  <c r="Y221" i="2" s="1"/>
  <c r="AF221" i="2"/>
  <c r="AE221" i="2"/>
  <c r="AD221" i="2"/>
  <c r="AB221" i="2"/>
  <c r="Z221" i="2"/>
  <c r="X221" i="2"/>
  <c r="W221" i="2"/>
  <c r="V221" i="2"/>
  <c r="U221" i="2" s="1"/>
  <c r="BO220" i="2"/>
  <c r="AF37" i="3" s="1"/>
  <c r="M37" i="3" s="1"/>
  <c r="BN220" i="2"/>
  <c r="AH37" i="3" s="1"/>
  <c r="O37" i="3" s="1"/>
  <c r="BM220" i="2"/>
  <c r="AM37" i="3" s="1"/>
  <c r="Q37" i="3" s="1"/>
  <c r="BL220" i="2"/>
  <c r="BK220" i="2"/>
  <c r="AN37" i="3" s="1"/>
  <c r="R37" i="3" s="1"/>
  <c r="BJ220" i="2"/>
  <c r="BI220" i="2"/>
  <c r="BH220" i="2" s="1"/>
  <c r="BG220" i="2"/>
  <c r="BF220" i="2"/>
  <c r="BE220" i="2"/>
  <c r="BD220" i="2"/>
  <c r="BC220" i="2"/>
  <c r="BB220" i="2"/>
  <c r="AD220" i="2" s="1"/>
  <c r="BA220" i="2"/>
  <c r="AZ220" i="2"/>
  <c r="AY220" i="2" s="1"/>
  <c r="AX220" i="2"/>
  <c r="AW220" i="2"/>
  <c r="AV220" i="2" s="1"/>
  <c r="AU220" i="2"/>
  <c r="AS220" i="2" s="1"/>
  <c r="AC220" i="2" s="1"/>
  <c r="AT220" i="2"/>
  <c r="AR220" i="2"/>
  <c r="AQ220" i="2"/>
  <c r="AO220" i="2"/>
  <c r="AN220" i="2"/>
  <c r="AM220" i="2"/>
  <c r="AA220" i="2" s="1"/>
  <c r="AL220" i="2"/>
  <c r="AK220" i="2"/>
  <c r="AD37" i="3" s="1"/>
  <c r="K37" i="3" s="1"/>
  <c r="AJ220" i="2"/>
  <c r="Z220" i="2" s="1"/>
  <c r="AI220" i="2"/>
  <c r="AH220" i="2"/>
  <c r="AG37" i="3" s="1"/>
  <c r="N37" i="3" s="1"/>
  <c r="AF220" i="2"/>
  <c r="AE220" i="2"/>
  <c r="X220" i="2"/>
  <c r="W220" i="2"/>
  <c r="V220" i="2"/>
  <c r="U220" i="2" s="1"/>
  <c r="BO219" i="2"/>
  <c r="AF46" i="3" s="1"/>
  <c r="M46" i="3" s="1"/>
  <c r="BN219" i="2"/>
  <c r="AH46" i="3" s="1"/>
  <c r="O46" i="3" s="1"/>
  <c r="BM219" i="2"/>
  <c r="AM46" i="3" s="1"/>
  <c r="Q46" i="3" s="1"/>
  <c r="BL219" i="2"/>
  <c r="BK219" i="2"/>
  <c r="BI219" i="2"/>
  <c r="BH219" i="2"/>
  <c r="BG219" i="2"/>
  <c r="BF219" i="2"/>
  <c r="AO46" i="3" s="1"/>
  <c r="X46" i="3" s="1"/>
  <c r="BE219" i="2"/>
  <c r="BD219" i="2"/>
  <c r="AI46" i="3" s="1"/>
  <c r="U46" i="3" s="1"/>
  <c r="BC219" i="2"/>
  <c r="BB219" i="2" s="1"/>
  <c r="AD219" i="2" s="1"/>
  <c r="BA219" i="2"/>
  <c r="AZ219" i="2"/>
  <c r="AJ46" i="3" s="1"/>
  <c r="W46" i="3" s="1"/>
  <c r="AX219" i="2"/>
  <c r="AW219" i="2"/>
  <c r="AV219" i="2"/>
  <c r="AU219" i="2"/>
  <c r="AS219" i="2" s="1"/>
  <c r="AT219" i="2"/>
  <c r="AL46" i="3" s="1"/>
  <c r="S46" i="3" s="1"/>
  <c r="AR219" i="2"/>
  <c r="AQ219" i="2"/>
  <c r="AK46" i="3" s="1"/>
  <c r="T46" i="3" s="1"/>
  <c r="AO219" i="2"/>
  <c r="AN219" i="2"/>
  <c r="AM219" i="2"/>
  <c r="AL219" i="2"/>
  <c r="AK219" i="2"/>
  <c r="AI219" i="2"/>
  <c r="AH219" i="2"/>
  <c r="AC219" i="2"/>
  <c r="AA219" i="2"/>
  <c r="X219" i="2"/>
  <c r="W219" i="2"/>
  <c r="J219" i="2" s="1"/>
  <c r="V219" i="2"/>
  <c r="U219" i="2" s="1"/>
  <c r="BO218" i="2"/>
  <c r="AF185" i="3" s="1"/>
  <c r="M185" i="3" s="1"/>
  <c r="BN218" i="2"/>
  <c r="AH185" i="3" s="1"/>
  <c r="O185" i="3" s="1"/>
  <c r="BM218" i="2"/>
  <c r="AM185" i="3" s="1"/>
  <c r="Q185" i="3" s="1"/>
  <c r="BL218" i="2"/>
  <c r="BJ218" i="2" s="1"/>
  <c r="AF218" i="2" s="1"/>
  <c r="BK218" i="2"/>
  <c r="AN185" i="3" s="1"/>
  <c r="R185" i="3" s="1"/>
  <c r="BI218" i="2"/>
  <c r="BH218" i="2" s="1"/>
  <c r="BG218" i="2"/>
  <c r="BF218" i="2"/>
  <c r="BD218" i="2"/>
  <c r="AI185" i="3" s="1"/>
  <c r="U185" i="3" s="1"/>
  <c r="BC218" i="2"/>
  <c r="BB218" i="2" s="1"/>
  <c r="AD218" i="2" s="1"/>
  <c r="BA218" i="2"/>
  <c r="AZ218" i="2"/>
  <c r="AX218" i="2"/>
  <c r="AW218" i="2"/>
  <c r="AV218" i="2"/>
  <c r="AU218" i="2"/>
  <c r="AT218" i="2"/>
  <c r="AR218" i="2"/>
  <c r="AQ218" i="2"/>
  <c r="AK185" i="3" s="1"/>
  <c r="T185" i="3" s="1"/>
  <c r="AP218" i="2"/>
  <c r="AB218" i="2" s="1"/>
  <c r="AO218" i="2"/>
  <c r="AN218" i="2"/>
  <c r="AE185" i="3" s="1"/>
  <c r="L185" i="3" s="1"/>
  <c r="AM218" i="2"/>
  <c r="AA218" i="2" s="1"/>
  <c r="AL218" i="2"/>
  <c r="AK218" i="2"/>
  <c r="AD185" i="3" s="1"/>
  <c r="K185" i="3" s="1"/>
  <c r="AI218" i="2"/>
  <c r="AH218" i="2"/>
  <c r="X218" i="2"/>
  <c r="W218" i="2"/>
  <c r="V218" i="2"/>
  <c r="U218" i="2"/>
  <c r="J218" i="2"/>
  <c r="BO217" i="2"/>
  <c r="AF241" i="3" s="1"/>
  <c r="M241" i="3" s="1"/>
  <c r="BN217" i="2"/>
  <c r="AH241" i="3" s="1"/>
  <c r="O241" i="3" s="1"/>
  <c r="BM217" i="2"/>
  <c r="AM241" i="3" s="1"/>
  <c r="Q241" i="3" s="1"/>
  <c r="BL217" i="2"/>
  <c r="BK217" i="2"/>
  <c r="AN241" i="3" s="1"/>
  <c r="R241" i="3" s="1"/>
  <c r="BJ217" i="2"/>
  <c r="AF217" i="2" s="1"/>
  <c r="BI217" i="2"/>
  <c r="BH217" i="2"/>
  <c r="BG217" i="2"/>
  <c r="BF217" i="2"/>
  <c r="BD217" i="2"/>
  <c r="AI241" i="3" s="1"/>
  <c r="U241" i="3" s="1"/>
  <c r="BC217" i="2"/>
  <c r="BB217" i="2" s="1"/>
  <c r="AD217" i="2" s="1"/>
  <c r="BA217" i="2"/>
  <c r="AZ217" i="2"/>
  <c r="AX217" i="2"/>
  <c r="AW217" i="2"/>
  <c r="AV217" i="2" s="1"/>
  <c r="AU217" i="2"/>
  <c r="AT217" i="2"/>
  <c r="AR217" i="2"/>
  <c r="AQ217" i="2"/>
  <c r="AK241" i="3" s="1"/>
  <c r="T241" i="3" s="1"/>
  <c r="AP217" i="2"/>
  <c r="AO217" i="2"/>
  <c r="AN217" i="2"/>
  <c r="AE241" i="3" s="1"/>
  <c r="L241" i="3" s="1"/>
  <c r="AL217" i="2"/>
  <c r="AK217" i="2"/>
  <c r="AD241" i="3" s="1"/>
  <c r="K241" i="3" s="1"/>
  <c r="AJ217" i="2"/>
  <c r="AI217" i="2"/>
  <c r="AH217" i="2"/>
  <c r="AB217" i="2"/>
  <c r="Z217" i="2"/>
  <c r="Y217" i="2" s="1"/>
  <c r="X217" i="2"/>
  <c r="W217" i="2"/>
  <c r="J217" i="2" s="1"/>
  <c r="V217" i="2"/>
  <c r="U217" i="2" s="1"/>
  <c r="BO216" i="2"/>
  <c r="AF333" i="3" s="1"/>
  <c r="M333" i="3" s="1"/>
  <c r="BN216" i="2"/>
  <c r="AH333" i="3" s="1"/>
  <c r="BM216" i="2"/>
  <c r="AM333" i="3" s="1"/>
  <c r="Q333" i="3" s="1"/>
  <c r="BL216" i="2"/>
  <c r="BK216" i="2"/>
  <c r="AN333" i="3" s="1"/>
  <c r="R333" i="3" s="1"/>
  <c r="BJ216" i="2"/>
  <c r="BI216" i="2"/>
  <c r="BH216" i="2"/>
  <c r="BG216" i="2"/>
  <c r="BF216" i="2"/>
  <c r="BD216" i="2"/>
  <c r="AI333" i="3" s="1"/>
  <c r="U333" i="3" s="1"/>
  <c r="BC216" i="2"/>
  <c r="BB216" i="2"/>
  <c r="BA216" i="2"/>
  <c r="AZ216" i="2"/>
  <c r="AJ333" i="3" s="1"/>
  <c r="W333" i="3" s="1"/>
  <c r="AY216" i="2"/>
  <c r="AX216" i="2"/>
  <c r="AW216" i="2"/>
  <c r="AV216" i="2"/>
  <c r="AU216" i="2"/>
  <c r="AT216" i="2"/>
  <c r="AL333" i="3" s="1"/>
  <c r="S333" i="3" s="1"/>
  <c r="AS216" i="2"/>
  <c r="AC216" i="2" s="1"/>
  <c r="AR216" i="2"/>
  <c r="AQ216" i="2"/>
  <c r="AO216" i="2"/>
  <c r="AN216" i="2"/>
  <c r="AE333" i="3" s="1"/>
  <c r="AL216" i="2"/>
  <c r="AK216" i="2"/>
  <c r="AD333" i="3" s="1"/>
  <c r="AJ216" i="2"/>
  <c r="AI216" i="2"/>
  <c r="AH216" i="2"/>
  <c r="AF216" i="2"/>
  <c r="AE216" i="2"/>
  <c r="AD216" i="2"/>
  <c r="Z216" i="2"/>
  <c r="X216" i="2"/>
  <c r="W216" i="2"/>
  <c r="V216" i="2"/>
  <c r="U216" i="2"/>
  <c r="J216" i="2"/>
  <c r="BO215" i="2"/>
  <c r="AF71" i="3" s="1"/>
  <c r="M71" i="3" s="1"/>
  <c r="BN215" i="2"/>
  <c r="AH71" i="3" s="1"/>
  <c r="O71" i="3" s="1"/>
  <c r="BM215" i="2"/>
  <c r="AM71" i="3" s="1"/>
  <c r="Q71" i="3" s="1"/>
  <c r="BL215" i="2"/>
  <c r="BK215" i="2"/>
  <c r="BI215" i="2"/>
  <c r="BH215" i="2" s="1"/>
  <c r="BG215" i="2"/>
  <c r="BF215" i="2"/>
  <c r="BD215" i="2"/>
  <c r="AI71" i="3" s="1"/>
  <c r="U71" i="3" s="1"/>
  <c r="BC215" i="2"/>
  <c r="BB215" i="2"/>
  <c r="AD215" i="2" s="1"/>
  <c r="BA215" i="2"/>
  <c r="AZ215" i="2"/>
  <c r="AX215" i="2"/>
  <c r="AW215" i="2"/>
  <c r="AV215" i="2"/>
  <c r="AU215" i="2"/>
  <c r="AT215" i="2"/>
  <c r="AS215" i="2" s="1"/>
  <c r="AC215" i="2" s="1"/>
  <c r="AR215" i="2"/>
  <c r="AQ215" i="2"/>
  <c r="AO215" i="2"/>
  <c r="AN215" i="2"/>
  <c r="AE71" i="3" s="1"/>
  <c r="L71" i="3" s="1"/>
  <c r="AM215" i="2"/>
  <c r="AA215" i="2" s="1"/>
  <c r="AL215" i="2"/>
  <c r="AK215" i="2"/>
  <c r="AD71" i="3" s="1"/>
  <c r="K71" i="3" s="1"/>
  <c r="AJ215" i="2"/>
  <c r="Z215" i="2" s="1"/>
  <c r="AI215" i="2"/>
  <c r="AH215" i="2"/>
  <c r="AG71" i="3" s="1"/>
  <c r="N71" i="3" s="1"/>
  <c r="AG215" i="2"/>
  <c r="Y215" i="2" s="1"/>
  <c r="X215" i="2"/>
  <c r="W215" i="2"/>
  <c r="V215" i="2"/>
  <c r="U215" i="2"/>
  <c r="J215" i="2"/>
  <c r="BO214" i="2"/>
  <c r="AF255" i="3" s="1"/>
  <c r="M255" i="3" s="1"/>
  <c r="BN214" i="2"/>
  <c r="AH255" i="3" s="1"/>
  <c r="O255" i="3" s="1"/>
  <c r="BM214" i="2"/>
  <c r="AM255" i="3" s="1"/>
  <c r="Q255" i="3" s="1"/>
  <c r="BL214" i="2"/>
  <c r="BK214" i="2"/>
  <c r="AN255" i="3" s="1"/>
  <c r="R255" i="3" s="1"/>
  <c r="BJ214" i="2"/>
  <c r="AF214" i="2" s="1"/>
  <c r="BI214" i="2"/>
  <c r="BH214" i="2" s="1"/>
  <c r="BG214" i="2"/>
  <c r="BF214" i="2"/>
  <c r="BD214" i="2"/>
  <c r="AI255" i="3" s="1"/>
  <c r="U255" i="3" s="1"/>
  <c r="BC214" i="2"/>
  <c r="BB214" i="2" s="1"/>
  <c r="AD214" i="2" s="1"/>
  <c r="BA214" i="2"/>
  <c r="AZ214" i="2"/>
  <c r="AJ255" i="3" s="1"/>
  <c r="W255" i="3" s="1"/>
  <c r="AX214" i="2"/>
  <c r="AV214" i="2" s="1"/>
  <c r="AW214" i="2"/>
  <c r="AU214" i="2"/>
  <c r="AT214" i="2"/>
  <c r="AL255" i="3" s="1"/>
  <c r="S255" i="3" s="1"/>
  <c r="AR214" i="2"/>
  <c r="AQ214" i="2"/>
  <c r="AK255" i="3" s="1"/>
  <c r="T255" i="3" s="1"/>
  <c r="AP214" i="2"/>
  <c r="AO214" i="2"/>
  <c r="AM214" i="2" s="1"/>
  <c r="AN214" i="2"/>
  <c r="AE255" i="3" s="1"/>
  <c r="L255" i="3" s="1"/>
  <c r="AL214" i="2"/>
  <c r="AJ214" i="2" s="1"/>
  <c r="AK214" i="2"/>
  <c r="AD255" i="3" s="1"/>
  <c r="AI214" i="2"/>
  <c r="AH214" i="2"/>
  <c r="AG255" i="3" s="1"/>
  <c r="N255" i="3" s="1"/>
  <c r="AB214" i="2"/>
  <c r="AA214" i="2"/>
  <c r="Z214" i="2"/>
  <c r="X214" i="2"/>
  <c r="W214" i="2"/>
  <c r="J214" i="2" s="1"/>
  <c r="V214" i="2"/>
  <c r="U214" i="2" s="1"/>
  <c r="BO213" i="2"/>
  <c r="AF89" i="3" s="1"/>
  <c r="M89" i="3" s="1"/>
  <c r="BN213" i="2"/>
  <c r="AH89" i="3" s="1"/>
  <c r="O89" i="3" s="1"/>
  <c r="BM213" i="2"/>
  <c r="AM89" i="3" s="1"/>
  <c r="Q89" i="3" s="1"/>
  <c r="BL213" i="2"/>
  <c r="BK213" i="2"/>
  <c r="BJ213" i="2"/>
  <c r="AF213" i="2" s="1"/>
  <c r="BI213" i="2"/>
  <c r="BH213" i="2"/>
  <c r="BG213" i="2"/>
  <c r="BF213" i="2"/>
  <c r="BD213" i="2"/>
  <c r="AI89" i="3" s="1"/>
  <c r="BC213" i="2"/>
  <c r="BB213" i="2" s="1"/>
  <c r="AD213" i="2" s="1"/>
  <c r="BA213" i="2"/>
  <c r="AZ213" i="2"/>
  <c r="AX213" i="2"/>
  <c r="AW213" i="2"/>
  <c r="AV213" i="2" s="1"/>
  <c r="AU213" i="2"/>
  <c r="AS213" i="2" s="1"/>
  <c r="AC213" i="2" s="1"/>
  <c r="AT213" i="2"/>
  <c r="AL89" i="3" s="1"/>
  <c r="S89" i="3" s="1"/>
  <c r="AR213" i="2"/>
  <c r="AQ213" i="2"/>
  <c r="AO213" i="2"/>
  <c r="AN213" i="2"/>
  <c r="AL213" i="2"/>
  <c r="AJ213" i="2" s="1"/>
  <c r="AK213" i="2"/>
  <c r="AD89" i="3" s="1"/>
  <c r="K89" i="3" s="1"/>
  <c r="AI213" i="2"/>
  <c r="AH213" i="2"/>
  <c r="Z213" i="2"/>
  <c r="X213" i="2"/>
  <c r="W213" i="2"/>
  <c r="V213" i="2"/>
  <c r="U213" i="2"/>
  <c r="J213" i="2"/>
  <c r="BO212" i="2"/>
  <c r="AF166" i="3" s="1"/>
  <c r="M166" i="3" s="1"/>
  <c r="BN212" i="2"/>
  <c r="AH166" i="3" s="1"/>
  <c r="O166" i="3" s="1"/>
  <c r="BM212" i="2"/>
  <c r="AM166" i="3" s="1"/>
  <c r="Q166" i="3" s="1"/>
  <c r="BL212" i="2"/>
  <c r="BK212" i="2"/>
  <c r="AN166" i="3" s="1"/>
  <c r="R166" i="3" s="1"/>
  <c r="BJ212" i="2"/>
  <c r="BI212" i="2"/>
  <c r="BH212" i="2"/>
  <c r="BG212" i="2"/>
  <c r="BF212" i="2"/>
  <c r="AO166" i="3" s="1"/>
  <c r="X166" i="3" s="1"/>
  <c r="BD212" i="2"/>
  <c r="BC212" i="2"/>
  <c r="BA212" i="2"/>
  <c r="AY212" i="2" s="1"/>
  <c r="AE212" i="2" s="1"/>
  <c r="AZ212" i="2"/>
  <c r="AJ166" i="3" s="1"/>
  <c r="W166" i="3" s="1"/>
  <c r="AX212" i="2"/>
  <c r="AW212" i="2"/>
  <c r="AV212" i="2"/>
  <c r="AU212" i="2"/>
  <c r="AT212" i="2"/>
  <c r="AL166" i="3" s="1"/>
  <c r="S166" i="3" s="1"/>
  <c r="AS212" i="2"/>
  <c r="AR212" i="2"/>
  <c r="AQ212" i="2"/>
  <c r="AK166" i="3" s="1"/>
  <c r="T166" i="3" s="1"/>
  <c r="AP212" i="2"/>
  <c r="AO212" i="2"/>
  <c r="AN212" i="2"/>
  <c r="AL212" i="2"/>
  <c r="AK212" i="2"/>
  <c r="AI212" i="2"/>
  <c r="AH212" i="2"/>
  <c r="AF212" i="2"/>
  <c r="AC212" i="2"/>
  <c r="AB212" i="2"/>
  <c r="X212" i="2"/>
  <c r="W212" i="2"/>
  <c r="J212" i="2" s="1"/>
  <c r="V212" i="2"/>
  <c r="U212" i="2" s="1"/>
  <c r="BO211" i="2"/>
  <c r="AF253" i="3" s="1"/>
  <c r="M253" i="3" s="1"/>
  <c r="BN211" i="2"/>
  <c r="AH253" i="3" s="1"/>
  <c r="O253" i="3" s="1"/>
  <c r="BM211" i="2"/>
  <c r="AM253" i="3" s="1"/>
  <c r="Q253" i="3" s="1"/>
  <c r="BL211" i="2"/>
  <c r="BK211" i="2"/>
  <c r="AN253" i="3" s="1"/>
  <c r="R253" i="3" s="1"/>
  <c r="BJ211" i="2"/>
  <c r="BI211" i="2"/>
  <c r="BH211" i="2" s="1"/>
  <c r="BG211" i="2"/>
  <c r="BF211" i="2"/>
  <c r="AO253" i="3" s="1"/>
  <c r="X253" i="3" s="1"/>
  <c r="BE211" i="2"/>
  <c r="BD211" i="2"/>
  <c r="AI253" i="3" s="1"/>
  <c r="U253" i="3" s="1"/>
  <c r="BC211" i="2"/>
  <c r="BB211" i="2"/>
  <c r="AD211" i="2" s="1"/>
  <c r="BA211" i="2"/>
  <c r="AZ211" i="2"/>
  <c r="AX211" i="2"/>
  <c r="AV211" i="2" s="1"/>
  <c r="AW211" i="2"/>
  <c r="AU211" i="2"/>
  <c r="AT211" i="2"/>
  <c r="AR211" i="2"/>
  <c r="AP211" i="2" s="1"/>
  <c r="AB211" i="2" s="1"/>
  <c r="AQ211" i="2"/>
  <c r="AK253" i="3" s="1"/>
  <c r="T253" i="3" s="1"/>
  <c r="AO211" i="2"/>
  <c r="AN211" i="2"/>
  <c r="AE253" i="3" s="1"/>
  <c r="L253" i="3" s="1"/>
  <c r="AL211" i="2"/>
  <c r="AK211" i="2"/>
  <c r="AD253" i="3" s="1"/>
  <c r="K253" i="3" s="1"/>
  <c r="AJ211" i="2"/>
  <c r="Z211" i="2" s="1"/>
  <c r="AI211" i="2"/>
  <c r="AH211" i="2"/>
  <c r="AG253" i="3" s="1"/>
  <c r="N253" i="3" s="1"/>
  <c r="AF211" i="2"/>
  <c r="X211" i="2"/>
  <c r="W211" i="2"/>
  <c r="V211" i="2"/>
  <c r="U211" i="2"/>
  <c r="J211" i="2"/>
  <c r="BO210" i="2"/>
  <c r="AF249" i="3" s="1"/>
  <c r="M249" i="3" s="1"/>
  <c r="BN210" i="2"/>
  <c r="AH249" i="3" s="1"/>
  <c r="O249" i="3" s="1"/>
  <c r="BM210" i="2"/>
  <c r="AM249" i="3" s="1"/>
  <c r="Q249" i="3" s="1"/>
  <c r="BL210" i="2"/>
  <c r="BH210" i="2" s="1"/>
  <c r="BK210" i="2"/>
  <c r="BI210" i="2"/>
  <c r="BG210" i="2"/>
  <c r="BF210" i="2"/>
  <c r="AO249" i="3" s="1"/>
  <c r="X249" i="3" s="1"/>
  <c r="BE210" i="2"/>
  <c r="BD210" i="2"/>
  <c r="AI249" i="3" s="1"/>
  <c r="U249" i="3" s="1"/>
  <c r="BC210" i="2"/>
  <c r="BB210" i="2" s="1"/>
  <c r="AD210" i="2" s="1"/>
  <c r="BA210" i="2"/>
  <c r="AY210" i="2" s="1"/>
  <c r="AE210" i="2" s="1"/>
  <c r="AZ210" i="2"/>
  <c r="AJ249" i="3" s="1"/>
  <c r="W249" i="3" s="1"/>
  <c r="AX210" i="2"/>
  <c r="AW210" i="2"/>
  <c r="AV210" i="2" s="1"/>
  <c r="AU210" i="2"/>
  <c r="AT210" i="2"/>
  <c r="AR210" i="2"/>
  <c r="AQ210" i="2"/>
  <c r="AK249" i="3" s="1"/>
  <c r="T249" i="3" s="1"/>
  <c r="AP210" i="2"/>
  <c r="AB210" i="2" s="1"/>
  <c r="AO210" i="2"/>
  <c r="AN210" i="2"/>
  <c r="AE249" i="3" s="1"/>
  <c r="L249" i="3" s="1"/>
  <c r="AM210" i="2"/>
  <c r="AA210" i="2" s="1"/>
  <c r="AL210" i="2"/>
  <c r="AK210" i="2"/>
  <c r="AD249" i="3" s="1"/>
  <c r="K249" i="3" s="1"/>
  <c r="AI210" i="2"/>
  <c r="AH210" i="2"/>
  <c r="X210" i="2"/>
  <c r="W210" i="2"/>
  <c r="J210" i="2" s="1"/>
  <c r="V210" i="2"/>
  <c r="U210" i="2"/>
  <c r="BO209" i="2"/>
  <c r="AF278" i="3" s="1"/>
  <c r="M278" i="3" s="1"/>
  <c r="BN209" i="2"/>
  <c r="AH278" i="3" s="1"/>
  <c r="O278" i="3" s="1"/>
  <c r="BM209" i="2"/>
  <c r="AM278" i="3" s="1"/>
  <c r="Q278" i="3" s="1"/>
  <c r="BL209" i="2"/>
  <c r="BK209" i="2"/>
  <c r="AN278" i="3" s="1"/>
  <c r="R278" i="3" s="1"/>
  <c r="BJ209" i="2"/>
  <c r="BI209" i="2"/>
  <c r="BH209" i="2" s="1"/>
  <c r="BG209" i="2"/>
  <c r="BF209" i="2"/>
  <c r="AO278" i="3" s="1"/>
  <c r="X278" i="3" s="1"/>
  <c r="BD209" i="2"/>
  <c r="BC209" i="2"/>
  <c r="BA209" i="2"/>
  <c r="AZ209" i="2"/>
  <c r="AJ278" i="3" s="1"/>
  <c r="W278" i="3" s="1"/>
  <c r="AY209" i="2"/>
  <c r="AX209" i="2"/>
  <c r="AW209" i="2"/>
  <c r="AV209" i="2" s="1"/>
  <c r="AU209" i="2"/>
  <c r="AT209" i="2"/>
  <c r="AL278" i="3" s="1"/>
  <c r="S278" i="3" s="1"/>
  <c r="AS209" i="2"/>
  <c r="AR209" i="2"/>
  <c r="AQ209" i="2"/>
  <c r="AO209" i="2"/>
  <c r="AN209" i="2"/>
  <c r="AE278" i="3" s="1"/>
  <c r="L278" i="3" s="1"/>
  <c r="AM209" i="2"/>
  <c r="AA209" i="2" s="1"/>
  <c r="AL209" i="2"/>
  <c r="AJ209" i="2" s="1"/>
  <c r="AK209" i="2"/>
  <c r="AD278" i="3" s="1"/>
  <c r="K278" i="3" s="1"/>
  <c r="AI209" i="2"/>
  <c r="AH209" i="2"/>
  <c r="AG278" i="3" s="1"/>
  <c r="N278" i="3" s="1"/>
  <c r="AF209" i="2"/>
  <c r="AE209" i="2"/>
  <c r="AC209" i="2"/>
  <c r="Z209" i="2"/>
  <c r="X209" i="2"/>
  <c r="W209" i="2"/>
  <c r="V209" i="2"/>
  <c r="U209" i="2" s="1"/>
  <c r="J209" i="2"/>
  <c r="BO208" i="2"/>
  <c r="AF324" i="3" s="1"/>
  <c r="M324" i="3" s="1"/>
  <c r="BN208" i="2"/>
  <c r="AH324" i="3" s="1"/>
  <c r="O324" i="3" s="1"/>
  <c r="BM208" i="2"/>
  <c r="AM324" i="3" s="1"/>
  <c r="Q324" i="3" s="1"/>
  <c r="BL208" i="2"/>
  <c r="BK208" i="2"/>
  <c r="AN324" i="3" s="1"/>
  <c r="R324" i="3" s="1"/>
  <c r="BJ208" i="2"/>
  <c r="BI208" i="2"/>
  <c r="BH208" i="2"/>
  <c r="BG208" i="2"/>
  <c r="BF208" i="2"/>
  <c r="BD208" i="2"/>
  <c r="AI324" i="3" s="1"/>
  <c r="U324" i="3" s="1"/>
  <c r="BC208" i="2"/>
  <c r="BB208" i="2"/>
  <c r="BA208" i="2"/>
  <c r="AZ208" i="2"/>
  <c r="AJ324" i="3" s="1"/>
  <c r="W324" i="3" s="1"/>
  <c r="AX208" i="2"/>
  <c r="AW208" i="2"/>
  <c r="AV208" i="2"/>
  <c r="AU208" i="2"/>
  <c r="AT208" i="2"/>
  <c r="AR208" i="2"/>
  <c r="AQ208" i="2"/>
  <c r="AK324" i="3" s="1"/>
  <c r="T324" i="3" s="1"/>
  <c r="AP208" i="2"/>
  <c r="AB208" i="2" s="1"/>
  <c r="AO208" i="2"/>
  <c r="AN208" i="2"/>
  <c r="AE324" i="3" s="1"/>
  <c r="L324" i="3" s="1"/>
  <c r="AL208" i="2"/>
  <c r="AK208" i="2"/>
  <c r="AD324" i="3" s="1"/>
  <c r="K324" i="3" s="1"/>
  <c r="AJ208" i="2"/>
  <c r="AI208" i="2"/>
  <c r="AH208" i="2"/>
  <c r="AF208" i="2"/>
  <c r="AD208" i="2"/>
  <c r="Z208" i="2"/>
  <c r="X208" i="2"/>
  <c r="W208" i="2"/>
  <c r="V208" i="2"/>
  <c r="U208" i="2"/>
  <c r="J208" i="2"/>
  <c r="BO207" i="2"/>
  <c r="AF212" i="3" s="1"/>
  <c r="M212" i="3" s="1"/>
  <c r="BN207" i="2"/>
  <c r="AH212" i="3" s="1"/>
  <c r="O212" i="3" s="1"/>
  <c r="BM207" i="2"/>
  <c r="BL207" i="2"/>
  <c r="BJ207" i="2" s="1"/>
  <c r="AF207" i="2" s="1"/>
  <c r="BK207" i="2"/>
  <c r="AN212" i="3" s="1"/>
  <c r="R212" i="3" s="1"/>
  <c r="BI207" i="2"/>
  <c r="BG207" i="2"/>
  <c r="BF207" i="2"/>
  <c r="AO212" i="3" s="1"/>
  <c r="X212" i="3" s="1"/>
  <c r="BD207" i="2"/>
  <c r="AI212" i="3" s="1"/>
  <c r="U212" i="3" s="1"/>
  <c r="BC207" i="2"/>
  <c r="BA207" i="2"/>
  <c r="AZ207" i="2"/>
  <c r="AX207" i="2"/>
  <c r="AW207" i="2"/>
  <c r="AV207" i="2"/>
  <c r="AU207" i="2"/>
  <c r="AT207" i="2"/>
  <c r="AL212" i="3" s="1"/>
  <c r="S212" i="3" s="1"/>
  <c r="AR207" i="2"/>
  <c r="AQ207" i="2"/>
  <c r="AK212" i="3" s="1"/>
  <c r="T212" i="3" s="1"/>
  <c r="AP207" i="2"/>
  <c r="AB207" i="2" s="1"/>
  <c r="AO207" i="2"/>
  <c r="AN207" i="2"/>
  <c r="AE212" i="3" s="1"/>
  <c r="L212" i="3" s="1"/>
  <c r="AM207" i="2"/>
  <c r="AA207" i="2" s="1"/>
  <c r="AL207" i="2"/>
  <c r="AK207" i="2"/>
  <c r="AJ207" i="2"/>
  <c r="Z207" i="2" s="1"/>
  <c r="AI207" i="2"/>
  <c r="AH207" i="2"/>
  <c r="AG212" i="3" s="1"/>
  <c r="N212" i="3" s="1"/>
  <c r="AG207" i="2"/>
  <c r="Y207" i="2" s="1"/>
  <c r="X207" i="2"/>
  <c r="W207" i="2"/>
  <c r="V207" i="2"/>
  <c r="U207" i="2" s="1"/>
  <c r="J207" i="2"/>
  <c r="BO206" i="2"/>
  <c r="AF214" i="3" s="1"/>
  <c r="M214" i="3" s="1"/>
  <c r="BN206" i="2"/>
  <c r="AH214" i="3" s="1"/>
  <c r="O214" i="3" s="1"/>
  <c r="BM206" i="2"/>
  <c r="AM214" i="3" s="1"/>
  <c r="Q214" i="3" s="1"/>
  <c r="BL206" i="2"/>
  <c r="BH206" i="2" s="1"/>
  <c r="BK206" i="2"/>
  <c r="BI206" i="2"/>
  <c r="BG206" i="2"/>
  <c r="BF206" i="2"/>
  <c r="BD206" i="2"/>
  <c r="AI214" i="3" s="1"/>
  <c r="U214" i="3" s="1"/>
  <c r="BC206" i="2"/>
  <c r="BB206" i="2" s="1"/>
  <c r="AD206" i="2" s="1"/>
  <c r="BA206" i="2"/>
  <c r="AZ206" i="2"/>
  <c r="AX206" i="2"/>
  <c r="AV206" i="2" s="1"/>
  <c r="AW206" i="2"/>
  <c r="AU206" i="2"/>
  <c r="AT206" i="2"/>
  <c r="AL214" i="3" s="1"/>
  <c r="S214" i="3" s="1"/>
  <c r="AR206" i="2"/>
  <c r="AQ206" i="2"/>
  <c r="AK214" i="3" s="1"/>
  <c r="T214" i="3" s="1"/>
  <c r="AP206" i="2"/>
  <c r="AB206" i="2" s="1"/>
  <c r="AO206" i="2"/>
  <c r="AN206" i="2"/>
  <c r="AL206" i="2"/>
  <c r="AK206" i="2"/>
  <c r="AI206" i="2"/>
  <c r="AH206" i="2"/>
  <c r="AG214" i="3" s="1"/>
  <c r="N214" i="3" s="1"/>
  <c r="X206" i="2"/>
  <c r="W206" i="2"/>
  <c r="J206" i="2" s="1"/>
  <c r="V206" i="2"/>
  <c r="U206" i="2" s="1"/>
  <c r="BO205" i="2"/>
  <c r="AF229" i="3" s="1"/>
  <c r="M229" i="3" s="1"/>
  <c r="BN205" i="2"/>
  <c r="AH229" i="3" s="1"/>
  <c r="O229" i="3" s="1"/>
  <c r="BM205" i="2"/>
  <c r="AM229" i="3" s="1"/>
  <c r="Q229" i="3" s="1"/>
  <c r="BL205" i="2"/>
  <c r="BJ205" i="2" s="1"/>
  <c r="AF205" i="2" s="1"/>
  <c r="BK205" i="2"/>
  <c r="AN229" i="3" s="1"/>
  <c r="R229" i="3" s="1"/>
  <c r="BI205" i="2"/>
  <c r="BH205" i="2"/>
  <c r="BG205" i="2"/>
  <c r="BF205" i="2"/>
  <c r="AO229" i="3" s="1"/>
  <c r="X229" i="3" s="1"/>
  <c r="BD205" i="2"/>
  <c r="AI229" i="3" s="1"/>
  <c r="U229" i="3" s="1"/>
  <c r="BC205" i="2"/>
  <c r="BB205" i="2"/>
  <c r="AD205" i="2" s="1"/>
  <c r="BA205" i="2"/>
  <c r="AZ205" i="2"/>
  <c r="AX205" i="2"/>
  <c r="AW205" i="2"/>
  <c r="AV205" i="2"/>
  <c r="AU205" i="2"/>
  <c r="AT205" i="2"/>
  <c r="AL229" i="3" s="1"/>
  <c r="S229" i="3" s="1"/>
  <c r="AS205" i="2"/>
  <c r="AC205" i="2" s="1"/>
  <c r="AR205" i="2"/>
  <c r="AQ205" i="2"/>
  <c r="AK229" i="3" s="1"/>
  <c r="T229" i="3" s="1"/>
  <c r="AP205" i="2"/>
  <c r="AO205" i="2"/>
  <c r="AN205" i="2"/>
  <c r="AL205" i="2"/>
  <c r="AK205" i="2"/>
  <c r="AD229" i="3" s="1"/>
  <c r="K229" i="3" s="1"/>
  <c r="AI205" i="2"/>
  <c r="AH205" i="2"/>
  <c r="AB205" i="2"/>
  <c r="X205" i="2"/>
  <c r="W205" i="2"/>
  <c r="J205" i="2" s="1"/>
  <c r="V205" i="2"/>
  <c r="U205" i="2" s="1"/>
  <c r="BO204" i="2"/>
  <c r="AF271" i="3" s="1"/>
  <c r="M271" i="3" s="1"/>
  <c r="BN204" i="2"/>
  <c r="AH271" i="3" s="1"/>
  <c r="O271" i="3" s="1"/>
  <c r="BM204" i="2"/>
  <c r="AM271" i="3" s="1"/>
  <c r="Q271" i="3" s="1"/>
  <c r="BL204" i="2"/>
  <c r="BK204" i="2"/>
  <c r="AN271" i="3" s="1"/>
  <c r="R271" i="3" s="1"/>
  <c r="BI204" i="2"/>
  <c r="BH204" i="2" s="1"/>
  <c r="BG204" i="2"/>
  <c r="BE204" i="2" s="1"/>
  <c r="BF204" i="2"/>
  <c r="AO271" i="3" s="1"/>
  <c r="X271" i="3" s="1"/>
  <c r="BD204" i="2"/>
  <c r="AI271" i="3" s="1"/>
  <c r="U271" i="3" s="1"/>
  <c r="BC204" i="2"/>
  <c r="BB204" i="2" s="1"/>
  <c r="BA204" i="2"/>
  <c r="AZ204" i="2"/>
  <c r="AX204" i="2"/>
  <c r="AW204" i="2"/>
  <c r="AV204" i="2"/>
  <c r="AU204" i="2"/>
  <c r="AT204" i="2"/>
  <c r="AL271" i="3" s="1"/>
  <c r="S271" i="3" s="1"/>
  <c r="AS204" i="2"/>
  <c r="AC204" i="2" s="1"/>
  <c r="AR204" i="2"/>
  <c r="AQ204" i="2"/>
  <c r="AK271" i="3" s="1"/>
  <c r="T271" i="3" s="1"/>
  <c r="AP204" i="2"/>
  <c r="AB204" i="2" s="1"/>
  <c r="AO204" i="2"/>
  <c r="AN204" i="2"/>
  <c r="AL204" i="2"/>
  <c r="AK204" i="2"/>
  <c r="AD271" i="3" s="1"/>
  <c r="K271" i="3" s="1"/>
  <c r="AI204" i="2"/>
  <c r="AH204" i="2"/>
  <c r="AG271" i="3" s="1"/>
  <c r="N271" i="3" s="1"/>
  <c r="AD204" i="2"/>
  <c r="X204" i="2"/>
  <c r="W204" i="2"/>
  <c r="V204" i="2"/>
  <c r="U204" i="2"/>
  <c r="J204" i="2"/>
  <c r="BO203" i="2"/>
  <c r="AF13" i="3" s="1"/>
  <c r="M13" i="3" s="1"/>
  <c r="BN203" i="2"/>
  <c r="AH13" i="3" s="1"/>
  <c r="O13" i="3" s="1"/>
  <c r="BM203" i="2"/>
  <c r="AM13" i="3" s="1"/>
  <c r="Q13" i="3" s="1"/>
  <c r="BL203" i="2"/>
  <c r="BK203" i="2"/>
  <c r="BI203" i="2"/>
  <c r="BH203" i="2"/>
  <c r="BG203" i="2"/>
  <c r="BF203" i="2"/>
  <c r="AO13" i="3" s="1"/>
  <c r="X13" i="3" s="1"/>
  <c r="BE203" i="2"/>
  <c r="BD203" i="2"/>
  <c r="AI13" i="3" s="1"/>
  <c r="U13" i="3" s="1"/>
  <c r="BC203" i="2"/>
  <c r="BB203" i="2"/>
  <c r="AD203" i="2" s="1"/>
  <c r="BA203" i="2"/>
  <c r="AZ203" i="2"/>
  <c r="AJ13" i="3" s="1"/>
  <c r="W13" i="3" s="1"/>
  <c r="AX203" i="2"/>
  <c r="AW203" i="2"/>
  <c r="AV203" i="2" s="1"/>
  <c r="AU203" i="2"/>
  <c r="AT203" i="2"/>
  <c r="AR203" i="2"/>
  <c r="AQ203" i="2"/>
  <c r="AP203" i="2"/>
  <c r="AO203" i="2"/>
  <c r="AN203" i="2"/>
  <c r="AE13" i="3" s="1"/>
  <c r="L13" i="3" s="1"/>
  <c r="AM203" i="2"/>
  <c r="AL203" i="2"/>
  <c r="AK203" i="2"/>
  <c r="AD13" i="3" s="1"/>
  <c r="K13" i="3" s="1"/>
  <c r="AJ203" i="2"/>
  <c r="AI203" i="2"/>
  <c r="AH203" i="2"/>
  <c r="AB203" i="2"/>
  <c r="AA203" i="2"/>
  <c r="Z203" i="2"/>
  <c r="X203" i="2"/>
  <c r="W203" i="2"/>
  <c r="J203" i="2" s="1"/>
  <c r="V203" i="2"/>
  <c r="U203" i="2" s="1"/>
  <c r="BO202" i="2"/>
  <c r="AF99" i="3" s="1"/>
  <c r="M99" i="3" s="1"/>
  <c r="BN202" i="2"/>
  <c r="AH99" i="3" s="1"/>
  <c r="O99" i="3" s="1"/>
  <c r="BM202" i="2"/>
  <c r="AM99" i="3" s="1"/>
  <c r="BL202" i="2"/>
  <c r="BK202" i="2"/>
  <c r="AN99" i="3" s="1"/>
  <c r="BJ202" i="2"/>
  <c r="AF202" i="2" s="1"/>
  <c r="BI202" i="2"/>
  <c r="BH202" i="2" s="1"/>
  <c r="BG202" i="2"/>
  <c r="BF202" i="2"/>
  <c r="AO99" i="3" s="1"/>
  <c r="X99" i="3" s="1"/>
  <c r="BE202" i="2"/>
  <c r="BD202" i="2"/>
  <c r="AI99" i="3" s="1"/>
  <c r="U99" i="3" s="1"/>
  <c r="BC202" i="2"/>
  <c r="BB202" i="2"/>
  <c r="AD202" i="2" s="1"/>
  <c r="BA202" i="2"/>
  <c r="AZ202" i="2"/>
  <c r="AJ99" i="3" s="1"/>
  <c r="W99" i="3" s="1"/>
  <c r="AY202" i="2"/>
  <c r="AE202" i="2" s="1"/>
  <c r="AX202" i="2"/>
  <c r="AW202" i="2"/>
  <c r="AV202" i="2" s="1"/>
  <c r="AU202" i="2"/>
  <c r="AT202" i="2"/>
  <c r="AL99" i="3" s="1"/>
  <c r="S99" i="3" s="1"/>
  <c r="AS202" i="2"/>
  <c r="AR202" i="2"/>
  <c r="AQ202" i="2"/>
  <c r="AO202" i="2"/>
  <c r="AN202" i="2"/>
  <c r="AE99" i="3" s="1"/>
  <c r="L99" i="3" s="1"/>
  <c r="AL202" i="2"/>
  <c r="AK202" i="2"/>
  <c r="AI202" i="2"/>
  <c r="AH202" i="2"/>
  <c r="AG99" i="3" s="1"/>
  <c r="N99" i="3" s="1"/>
  <c r="AC202" i="2"/>
  <c r="X202" i="2"/>
  <c r="W202" i="2"/>
  <c r="V202" i="2"/>
  <c r="U202" i="2"/>
  <c r="J202" i="2"/>
  <c r="BO201" i="2"/>
  <c r="AF205" i="3" s="1"/>
  <c r="M205" i="3" s="1"/>
  <c r="BN201" i="2"/>
  <c r="AH205" i="3" s="1"/>
  <c r="O205" i="3" s="1"/>
  <c r="BM201" i="2"/>
  <c r="AM205" i="3" s="1"/>
  <c r="Q205" i="3" s="1"/>
  <c r="BL201" i="2"/>
  <c r="BK201" i="2"/>
  <c r="AN205" i="3" s="1"/>
  <c r="R205" i="3" s="1"/>
  <c r="BI201" i="2"/>
  <c r="BH201" i="2"/>
  <c r="BG201" i="2"/>
  <c r="BF201" i="2"/>
  <c r="AO205" i="3" s="1"/>
  <c r="X205" i="3" s="1"/>
  <c r="BE201" i="2"/>
  <c r="BD201" i="2"/>
  <c r="BC201" i="2"/>
  <c r="BA201" i="2"/>
  <c r="AZ201" i="2"/>
  <c r="AJ205" i="3" s="1"/>
  <c r="W205" i="3" s="1"/>
  <c r="AX201" i="2"/>
  <c r="AW201" i="2"/>
  <c r="AV201" i="2"/>
  <c r="AU201" i="2"/>
  <c r="AT201" i="2"/>
  <c r="AR201" i="2"/>
  <c r="AQ201" i="2"/>
  <c r="AO201" i="2"/>
  <c r="AN201" i="2"/>
  <c r="AL201" i="2"/>
  <c r="AK201" i="2"/>
  <c r="AD205" i="3" s="1"/>
  <c r="K205" i="3" s="1"/>
  <c r="AI201" i="2"/>
  <c r="AH201" i="2"/>
  <c r="AG205" i="3" s="1"/>
  <c r="N205" i="3" s="1"/>
  <c r="AG201" i="2"/>
  <c r="Y201" i="2" s="1"/>
  <c r="X201" i="2"/>
  <c r="W201" i="2"/>
  <c r="J201" i="2" s="1"/>
  <c r="V201" i="2"/>
  <c r="U201" i="2" s="1"/>
  <c r="BO200" i="2"/>
  <c r="AF209" i="3" s="1"/>
  <c r="M209" i="3" s="1"/>
  <c r="BN200" i="2"/>
  <c r="AH209" i="3" s="1"/>
  <c r="O209" i="3" s="1"/>
  <c r="BM200" i="2"/>
  <c r="AM209" i="3" s="1"/>
  <c r="Q209" i="3" s="1"/>
  <c r="BL200" i="2"/>
  <c r="BH200" i="2" s="1"/>
  <c r="BK200" i="2"/>
  <c r="AN209" i="3" s="1"/>
  <c r="R209" i="3" s="1"/>
  <c r="BJ200" i="2"/>
  <c r="AF200" i="2" s="1"/>
  <c r="BI200" i="2"/>
  <c r="BG200" i="2"/>
  <c r="BF200" i="2"/>
  <c r="BD200" i="2"/>
  <c r="AI209" i="3" s="1"/>
  <c r="U209" i="3" s="1"/>
  <c r="BC200" i="2"/>
  <c r="BB200" i="2" s="1"/>
  <c r="BA200" i="2"/>
  <c r="AZ200" i="2"/>
  <c r="AJ209" i="3" s="1"/>
  <c r="W209" i="3" s="1"/>
  <c r="AX200" i="2"/>
  <c r="AW200" i="2"/>
  <c r="AV200" i="2"/>
  <c r="AU200" i="2"/>
  <c r="AT200" i="2"/>
  <c r="AR200" i="2"/>
  <c r="AQ200" i="2"/>
  <c r="AK209" i="3" s="1"/>
  <c r="T209" i="3" s="1"/>
  <c r="AO200" i="2"/>
  <c r="AN200" i="2"/>
  <c r="AE209" i="3" s="1"/>
  <c r="L209" i="3" s="1"/>
  <c r="AM200" i="2"/>
  <c r="AL200" i="2"/>
  <c r="AJ200" i="2" s="1"/>
  <c r="AK200" i="2"/>
  <c r="AD209" i="3" s="1"/>
  <c r="AI200" i="2"/>
  <c r="AH200" i="2"/>
  <c r="AD200" i="2"/>
  <c r="AA200" i="2"/>
  <c r="Z200" i="2"/>
  <c r="X200" i="2"/>
  <c r="W200" i="2"/>
  <c r="J200" i="2" s="1"/>
  <c r="V200" i="2"/>
  <c r="U200" i="2"/>
  <c r="BO199" i="2"/>
  <c r="AF168" i="3" s="1"/>
  <c r="BN199" i="2"/>
  <c r="AH168" i="3" s="1"/>
  <c r="O168" i="3" s="1"/>
  <c r="BM199" i="2"/>
  <c r="AM168" i="3" s="1"/>
  <c r="Q168" i="3" s="1"/>
  <c r="BL199" i="2"/>
  <c r="BK199" i="2"/>
  <c r="AN168" i="3" s="1"/>
  <c r="R168" i="3" s="1"/>
  <c r="BI199" i="2"/>
  <c r="BH199" i="2"/>
  <c r="BG199" i="2"/>
  <c r="BF199" i="2"/>
  <c r="BD199" i="2"/>
  <c r="AI168" i="3" s="1"/>
  <c r="U168" i="3" s="1"/>
  <c r="BC199" i="2"/>
  <c r="BB199" i="2"/>
  <c r="AD199" i="2" s="1"/>
  <c r="BA199" i="2"/>
  <c r="AZ199" i="2"/>
  <c r="AJ168" i="3" s="1"/>
  <c r="W168" i="3" s="1"/>
  <c r="AY199" i="2"/>
  <c r="AE199" i="2" s="1"/>
  <c r="AX199" i="2"/>
  <c r="AW199" i="2"/>
  <c r="AV199" i="2" s="1"/>
  <c r="AU199" i="2"/>
  <c r="AT199" i="2"/>
  <c r="AL168" i="3" s="1"/>
  <c r="S168" i="3" s="1"/>
  <c r="AS199" i="2"/>
  <c r="AC199" i="2" s="1"/>
  <c r="AR199" i="2"/>
  <c r="AQ199" i="2"/>
  <c r="AO199" i="2"/>
  <c r="AN199" i="2"/>
  <c r="AL199" i="2"/>
  <c r="AK199" i="2"/>
  <c r="AD168" i="3" s="1"/>
  <c r="K168" i="3" s="1"/>
  <c r="AJ199" i="2"/>
  <c r="Z199" i="2" s="1"/>
  <c r="AI199" i="2"/>
  <c r="AH199" i="2"/>
  <c r="AG168" i="3" s="1"/>
  <c r="N168" i="3" s="1"/>
  <c r="X199" i="2"/>
  <c r="W199" i="2"/>
  <c r="V199" i="2"/>
  <c r="U199" i="2"/>
  <c r="J199" i="2"/>
  <c r="BO198" i="2"/>
  <c r="AF198" i="3" s="1"/>
  <c r="M198" i="3" s="1"/>
  <c r="BN198" i="2"/>
  <c r="AH198" i="3" s="1"/>
  <c r="O198" i="3" s="1"/>
  <c r="BM198" i="2"/>
  <c r="AM198" i="3" s="1"/>
  <c r="Q198" i="3" s="1"/>
  <c r="BL198" i="2"/>
  <c r="BK198" i="2"/>
  <c r="AN198" i="3" s="1"/>
  <c r="R198" i="3" s="1"/>
  <c r="BJ198" i="2"/>
  <c r="AF198" i="2" s="1"/>
  <c r="BI198" i="2"/>
  <c r="BH198" i="2"/>
  <c r="BG198" i="2"/>
  <c r="BF198" i="2"/>
  <c r="AO198" i="3" s="1"/>
  <c r="X198" i="3" s="1"/>
  <c r="BD198" i="2"/>
  <c r="AI198" i="3" s="1"/>
  <c r="U198" i="3" s="1"/>
  <c r="BC198" i="2"/>
  <c r="BB198" i="2" s="1"/>
  <c r="AD198" i="2" s="1"/>
  <c r="BA198" i="2"/>
  <c r="AZ198" i="2"/>
  <c r="AJ198" i="3" s="1"/>
  <c r="W198" i="3" s="1"/>
  <c r="AX198" i="2"/>
  <c r="AW198" i="2"/>
  <c r="AV198" i="2"/>
  <c r="AU198" i="2"/>
  <c r="AS198" i="2" s="1"/>
  <c r="AC198" i="2" s="1"/>
  <c r="AT198" i="2"/>
  <c r="AL198" i="3" s="1"/>
  <c r="S198" i="3" s="1"/>
  <c r="AR198" i="2"/>
  <c r="AQ198" i="2"/>
  <c r="AO198" i="2"/>
  <c r="AN198" i="2"/>
  <c r="AE198" i="3" s="1"/>
  <c r="L198" i="3" s="1"/>
  <c r="AL198" i="2"/>
  <c r="AK198" i="2"/>
  <c r="AI198" i="2"/>
  <c r="AH198" i="2"/>
  <c r="AG198" i="3" s="1"/>
  <c r="N198" i="3" s="1"/>
  <c r="AG198" i="2"/>
  <c r="Y198" i="2" s="1"/>
  <c r="X198" i="2"/>
  <c r="W198" i="2"/>
  <c r="J198" i="2" s="1"/>
  <c r="V198" i="2"/>
  <c r="U198" i="2" s="1"/>
  <c r="BO197" i="2"/>
  <c r="AF73" i="3" s="1"/>
  <c r="M73" i="3" s="1"/>
  <c r="BN197" i="2"/>
  <c r="AH73" i="3" s="1"/>
  <c r="O73" i="3" s="1"/>
  <c r="BM197" i="2"/>
  <c r="AM73" i="3" s="1"/>
  <c r="Q73" i="3" s="1"/>
  <c r="BL197" i="2"/>
  <c r="BK197" i="2"/>
  <c r="AN73" i="3" s="1"/>
  <c r="R73" i="3" s="1"/>
  <c r="BJ197" i="2"/>
  <c r="AF197" i="2" s="1"/>
  <c r="BI197" i="2"/>
  <c r="BH197" i="2" s="1"/>
  <c r="BG197" i="2"/>
  <c r="BF197" i="2"/>
  <c r="AO73" i="3" s="1"/>
  <c r="X73" i="3" s="1"/>
  <c r="BE197" i="2"/>
  <c r="BD197" i="2"/>
  <c r="AI73" i="3" s="1"/>
  <c r="U73" i="3" s="1"/>
  <c r="BC197" i="2"/>
  <c r="BB197" i="2" s="1"/>
  <c r="AD197" i="2" s="1"/>
  <c r="BA197" i="2"/>
  <c r="AZ197" i="2"/>
  <c r="AX197" i="2"/>
  <c r="AW197" i="2"/>
  <c r="AV197" i="2"/>
  <c r="AU197" i="2"/>
  <c r="AT197" i="2"/>
  <c r="AL73" i="3" s="1"/>
  <c r="S73" i="3" s="1"/>
  <c r="AS197" i="2"/>
  <c r="AC197" i="2" s="1"/>
  <c r="AR197" i="2"/>
  <c r="AQ197" i="2"/>
  <c r="AK73" i="3" s="1"/>
  <c r="T73" i="3" s="1"/>
  <c r="AP197" i="2"/>
  <c r="AO197" i="2"/>
  <c r="AN197" i="2"/>
  <c r="AE73" i="3" s="1"/>
  <c r="L73" i="3" s="1"/>
  <c r="AL197" i="2"/>
  <c r="AK197" i="2"/>
  <c r="AD73" i="3" s="1"/>
  <c r="K73" i="3" s="1"/>
  <c r="AJ197" i="2"/>
  <c r="Z197" i="2" s="1"/>
  <c r="AI197" i="2"/>
  <c r="AH197" i="2"/>
  <c r="AB197" i="2"/>
  <c r="X197" i="2"/>
  <c r="W197" i="2"/>
  <c r="V197" i="2"/>
  <c r="U197" i="2"/>
  <c r="J197" i="2"/>
  <c r="BO196" i="2"/>
  <c r="AF208" i="3" s="1"/>
  <c r="M208" i="3" s="1"/>
  <c r="BN196" i="2"/>
  <c r="AH208" i="3" s="1"/>
  <c r="O208" i="3" s="1"/>
  <c r="BM196" i="2"/>
  <c r="AM208" i="3" s="1"/>
  <c r="Q208" i="3" s="1"/>
  <c r="BL196" i="2"/>
  <c r="BK196" i="2"/>
  <c r="AN208" i="3" s="1"/>
  <c r="R208" i="3" s="1"/>
  <c r="BI196" i="2"/>
  <c r="BG196" i="2"/>
  <c r="BF196" i="2"/>
  <c r="AO208" i="3" s="1"/>
  <c r="X208" i="3" s="1"/>
  <c r="BE196" i="2"/>
  <c r="BD196" i="2"/>
  <c r="AI208" i="3" s="1"/>
  <c r="U208" i="3" s="1"/>
  <c r="BC196" i="2"/>
  <c r="BB196" i="2"/>
  <c r="AD196" i="2" s="1"/>
  <c r="BA196" i="2"/>
  <c r="AZ196" i="2"/>
  <c r="AX196" i="2"/>
  <c r="AW196" i="2"/>
  <c r="AV196" i="2" s="1"/>
  <c r="AU196" i="2"/>
  <c r="AT196" i="2"/>
  <c r="AL208" i="3" s="1"/>
  <c r="S208" i="3" s="1"/>
  <c r="AR196" i="2"/>
  <c r="AQ196" i="2"/>
  <c r="AK208" i="3" s="1"/>
  <c r="T208" i="3" s="1"/>
  <c r="AP196" i="2"/>
  <c r="AB196" i="2" s="1"/>
  <c r="AO196" i="2"/>
  <c r="AN196" i="2"/>
  <c r="AE208" i="3" s="1"/>
  <c r="L208" i="3" s="1"/>
  <c r="AL196" i="2"/>
  <c r="AK196" i="2"/>
  <c r="AI196" i="2"/>
  <c r="AH196" i="2"/>
  <c r="X196" i="2"/>
  <c r="W196" i="2"/>
  <c r="V196" i="2"/>
  <c r="U196" i="2"/>
  <c r="J196" i="2"/>
  <c r="BO195" i="2"/>
  <c r="AF94" i="3" s="1"/>
  <c r="M94" i="3" s="1"/>
  <c r="BN195" i="2"/>
  <c r="AH94" i="3" s="1"/>
  <c r="O94" i="3" s="1"/>
  <c r="BM195" i="2"/>
  <c r="AM94" i="3" s="1"/>
  <c r="Q94" i="3" s="1"/>
  <c r="BL195" i="2"/>
  <c r="BK195" i="2"/>
  <c r="AN94" i="3" s="1"/>
  <c r="R94" i="3" s="1"/>
  <c r="BJ195" i="2"/>
  <c r="AF195" i="2" s="1"/>
  <c r="BI195" i="2"/>
  <c r="BH195" i="2"/>
  <c r="BG195" i="2"/>
  <c r="BF195" i="2"/>
  <c r="AO94" i="3" s="1"/>
  <c r="X94" i="3" s="1"/>
  <c r="BE195" i="2"/>
  <c r="BD195" i="2"/>
  <c r="AI94" i="3" s="1"/>
  <c r="U94" i="3" s="1"/>
  <c r="BC195" i="2"/>
  <c r="BB195" i="2" s="1"/>
  <c r="AD195" i="2" s="1"/>
  <c r="BA195" i="2"/>
  <c r="AZ195" i="2"/>
  <c r="AJ94" i="3" s="1"/>
  <c r="W94" i="3" s="1"/>
  <c r="AX195" i="2"/>
  <c r="AW195" i="2"/>
  <c r="AV195" i="2"/>
  <c r="AU195" i="2"/>
  <c r="AT195" i="2"/>
  <c r="AL94" i="3" s="1"/>
  <c r="S94" i="3" s="1"/>
  <c r="AS195" i="2"/>
  <c r="AC195" i="2" s="1"/>
  <c r="AR195" i="2"/>
  <c r="AQ195" i="2"/>
  <c r="AO195" i="2"/>
  <c r="AN195" i="2"/>
  <c r="AE94" i="3" s="1"/>
  <c r="L94" i="3" s="1"/>
  <c r="AM195" i="2"/>
  <c r="AA195" i="2" s="1"/>
  <c r="AL195" i="2"/>
  <c r="AK195" i="2"/>
  <c r="AD94" i="3" s="1"/>
  <c r="K94" i="3" s="1"/>
  <c r="AJ195" i="2"/>
  <c r="Z195" i="2" s="1"/>
  <c r="AI195" i="2"/>
  <c r="AH195" i="2"/>
  <c r="X195" i="2"/>
  <c r="W195" i="2"/>
  <c r="J195" i="2" s="1"/>
  <c r="V195" i="2"/>
  <c r="U195" i="2" s="1"/>
  <c r="BO194" i="2"/>
  <c r="BN194" i="2"/>
  <c r="AH180" i="3" s="1"/>
  <c r="O180" i="3" s="1"/>
  <c r="BM194" i="2"/>
  <c r="AM180" i="3" s="1"/>
  <c r="Q180" i="3" s="1"/>
  <c r="BL194" i="2"/>
  <c r="BK194" i="2"/>
  <c r="BI194" i="2"/>
  <c r="BH194" i="2"/>
  <c r="BG194" i="2"/>
  <c r="BF194" i="2"/>
  <c r="BD194" i="2"/>
  <c r="AI180" i="3" s="1"/>
  <c r="U180" i="3" s="1"/>
  <c r="BC194" i="2"/>
  <c r="BB194" i="2"/>
  <c r="AD194" i="2" s="1"/>
  <c r="BA194" i="2"/>
  <c r="AZ194" i="2"/>
  <c r="AJ180" i="3" s="1"/>
  <c r="W180" i="3" s="1"/>
  <c r="AY194" i="2"/>
  <c r="AE194" i="2" s="1"/>
  <c r="AX194" i="2"/>
  <c r="AW194" i="2"/>
  <c r="AV194" i="2" s="1"/>
  <c r="AU194" i="2"/>
  <c r="AT194" i="2"/>
  <c r="AR194" i="2"/>
  <c r="AQ194" i="2"/>
  <c r="AK180" i="3" s="1"/>
  <c r="T180" i="3" s="1"/>
  <c r="AO194" i="2"/>
  <c r="AM194" i="2" s="1"/>
  <c r="AA194" i="2" s="1"/>
  <c r="AN194" i="2"/>
  <c r="AE180" i="3" s="1"/>
  <c r="L180" i="3" s="1"/>
  <c r="AL194" i="2"/>
  <c r="AK194" i="2"/>
  <c r="AI194" i="2"/>
  <c r="AH194" i="2"/>
  <c r="AG180" i="3" s="1"/>
  <c r="N180" i="3" s="1"/>
  <c r="X194" i="2"/>
  <c r="W194" i="2"/>
  <c r="V194" i="2"/>
  <c r="U194" i="2"/>
  <c r="J194" i="2"/>
  <c r="BO193" i="2"/>
  <c r="AF232" i="3" s="1"/>
  <c r="M232" i="3" s="1"/>
  <c r="BN193" i="2"/>
  <c r="AH232" i="3" s="1"/>
  <c r="O232" i="3" s="1"/>
  <c r="BM193" i="2"/>
  <c r="AM232" i="3" s="1"/>
  <c r="Q232" i="3" s="1"/>
  <c r="BL193" i="2"/>
  <c r="BK193" i="2"/>
  <c r="AN232" i="3" s="1"/>
  <c r="R232" i="3" s="1"/>
  <c r="BI193" i="2"/>
  <c r="BH193" i="2" s="1"/>
  <c r="BG193" i="2"/>
  <c r="BF193" i="2"/>
  <c r="AO232" i="3" s="1"/>
  <c r="X232" i="3" s="1"/>
  <c r="BE193" i="2"/>
  <c r="BD193" i="2"/>
  <c r="AI232" i="3" s="1"/>
  <c r="U232" i="3" s="1"/>
  <c r="BC193" i="2"/>
  <c r="BB193" i="2" s="1"/>
  <c r="AD193" i="2" s="1"/>
  <c r="BA193" i="2"/>
  <c r="AZ193" i="2"/>
  <c r="AJ232" i="3" s="1"/>
  <c r="W232" i="3" s="1"/>
  <c r="AY193" i="2"/>
  <c r="AE193" i="2" s="1"/>
  <c r="AX193" i="2"/>
  <c r="AW193" i="2"/>
  <c r="AU193" i="2"/>
  <c r="AT193" i="2"/>
  <c r="AL232" i="3" s="1"/>
  <c r="S232" i="3" s="1"/>
  <c r="AS193" i="2"/>
  <c r="AR193" i="2"/>
  <c r="AQ193" i="2"/>
  <c r="AK232" i="3" s="1"/>
  <c r="T232" i="3" s="1"/>
  <c r="AP193" i="2"/>
  <c r="AB193" i="2" s="1"/>
  <c r="AO193" i="2"/>
  <c r="AN193" i="2"/>
  <c r="AE232" i="3" s="1"/>
  <c r="L232" i="3" s="1"/>
  <c r="AM193" i="2"/>
  <c r="AL193" i="2"/>
  <c r="AK193" i="2"/>
  <c r="AI193" i="2"/>
  <c r="AH193" i="2"/>
  <c r="AG232" i="3" s="1"/>
  <c r="N232" i="3" s="1"/>
  <c r="AC193" i="2"/>
  <c r="AA193" i="2"/>
  <c r="X193" i="2"/>
  <c r="W193" i="2"/>
  <c r="J193" i="2" s="1"/>
  <c r="V193" i="2"/>
  <c r="U193" i="2"/>
  <c r="BO192" i="2"/>
  <c r="AF162" i="3" s="1"/>
  <c r="M162" i="3" s="1"/>
  <c r="BN192" i="2"/>
  <c r="AH162" i="3" s="1"/>
  <c r="O162" i="3" s="1"/>
  <c r="BM192" i="2"/>
  <c r="AM162" i="3" s="1"/>
  <c r="Q162" i="3" s="1"/>
  <c r="BL192" i="2"/>
  <c r="BK192" i="2"/>
  <c r="AN162" i="3" s="1"/>
  <c r="R162" i="3" s="1"/>
  <c r="BJ192" i="2"/>
  <c r="AF192" i="2" s="1"/>
  <c r="BI192" i="2"/>
  <c r="BH192" i="2" s="1"/>
  <c r="BG192" i="2"/>
  <c r="BF192" i="2"/>
  <c r="BD192" i="2"/>
  <c r="AI162" i="3" s="1"/>
  <c r="U162" i="3" s="1"/>
  <c r="BC192" i="2"/>
  <c r="BB192" i="2" s="1"/>
  <c r="AD192" i="2" s="1"/>
  <c r="BA192" i="2"/>
  <c r="AZ192" i="2"/>
  <c r="AJ162" i="3" s="1"/>
  <c r="W162" i="3" s="1"/>
  <c r="AY192" i="2"/>
  <c r="AX192" i="2"/>
  <c r="AW192" i="2"/>
  <c r="AV192" i="2"/>
  <c r="AU192" i="2"/>
  <c r="AT192" i="2"/>
  <c r="AL162" i="3" s="1"/>
  <c r="S162" i="3" s="1"/>
  <c r="AS192" i="2"/>
  <c r="AR192" i="2"/>
  <c r="AQ192" i="2"/>
  <c r="AK162" i="3" s="1"/>
  <c r="T162" i="3" s="1"/>
  <c r="AO192" i="2"/>
  <c r="AM192" i="2" s="1"/>
  <c r="AA192" i="2" s="1"/>
  <c r="AN192" i="2"/>
  <c r="AE162" i="3" s="1"/>
  <c r="L162" i="3" s="1"/>
  <c r="AL192" i="2"/>
  <c r="AJ192" i="2" s="1"/>
  <c r="Z192" i="2" s="1"/>
  <c r="AK192" i="2"/>
  <c r="AD162" i="3" s="1"/>
  <c r="K162" i="3" s="1"/>
  <c r="AI192" i="2"/>
  <c r="AH192" i="2"/>
  <c r="AG162" i="3" s="1"/>
  <c r="N162" i="3" s="1"/>
  <c r="AG192" i="2"/>
  <c r="Y192" i="2" s="1"/>
  <c r="AE192" i="2"/>
  <c r="AC192" i="2"/>
  <c r="X192" i="2"/>
  <c r="W192" i="2"/>
  <c r="V192" i="2"/>
  <c r="U192" i="2"/>
  <c r="J192" i="2"/>
  <c r="BO191" i="2"/>
  <c r="AF211" i="3" s="1"/>
  <c r="M211" i="3" s="1"/>
  <c r="BN191" i="2"/>
  <c r="AH211" i="3" s="1"/>
  <c r="O211" i="3" s="1"/>
  <c r="BM191" i="2"/>
  <c r="AM211" i="3" s="1"/>
  <c r="Q211" i="3" s="1"/>
  <c r="BL191" i="2"/>
  <c r="BK191" i="2"/>
  <c r="AN211" i="3" s="1"/>
  <c r="R211" i="3" s="1"/>
  <c r="BJ191" i="2"/>
  <c r="AF191" i="2" s="1"/>
  <c r="BI191" i="2"/>
  <c r="BH191" i="2" s="1"/>
  <c r="BG191" i="2"/>
  <c r="BF191" i="2"/>
  <c r="AO211" i="3" s="1"/>
  <c r="X211" i="3" s="1"/>
  <c r="BD191" i="2"/>
  <c r="BC191" i="2"/>
  <c r="BA191" i="2"/>
  <c r="AY191" i="2" s="1"/>
  <c r="AE191" i="2" s="1"/>
  <c r="AZ191" i="2"/>
  <c r="AJ211" i="3" s="1"/>
  <c r="W211" i="3" s="1"/>
  <c r="AX191" i="2"/>
  <c r="AW191" i="2"/>
  <c r="AV191" i="2" s="1"/>
  <c r="AU191" i="2"/>
  <c r="AT191" i="2"/>
  <c r="AL211" i="3" s="1"/>
  <c r="S211" i="3" s="1"/>
  <c r="AR191" i="2"/>
  <c r="AQ191" i="2"/>
  <c r="AK211" i="3" s="1"/>
  <c r="T211" i="3" s="1"/>
  <c r="AP191" i="2"/>
  <c r="AO191" i="2"/>
  <c r="AN191" i="2"/>
  <c r="AE211" i="3" s="1"/>
  <c r="L211" i="3" s="1"/>
  <c r="AM191" i="2"/>
  <c r="AA191" i="2" s="1"/>
  <c r="AL191" i="2"/>
  <c r="AK191" i="2"/>
  <c r="AI191" i="2"/>
  <c r="AH191" i="2"/>
  <c r="AG211" i="3" s="1"/>
  <c r="N211" i="3" s="1"/>
  <c r="AG191" i="2"/>
  <c r="Y191" i="2" s="1"/>
  <c r="AB191" i="2"/>
  <c r="X191" i="2"/>
  <c r="W191" i="2"/>
  <c r="J191" i="2" s="1"/>
  <c r="V191" i="2"/>
  <c r="U191" i="2"/>
  <c r="BO190" i="2"/>
  <c r="AF258" i="3" s="1"/>
  <c r="M258" i="3" s="1"/>
  <c r="BN190" i="2"/>
  <c r="AH258" i="3" s="1"/>
  <c r="O258" i="3" s="1"/>
  <c r="BM190" i="2"/>
  <c r="AM258" i="3" s="1"/>
  <c r="Q258" i="3" s="1"/>
  <c r="BL190" i="2"/>
  <c r="BK190" i="2"/>
  <c r="AN258" i="3" s="1"/>
  <c r="R258" i="3" s="1"/>
  <c r="BJ190" i="2"/>
  <c r="BI190" i="2"/>
  <c r="BH190" i="2"/>
  <c r="BG190" i="2"/>
  <c r="BE190" i="2" s="1"/>
  <c r="BF190" i="2"/>
  <c r="AO258" i="3" s="1"/>
  <c r="X258" i="3" s="1"/>
  <c r="BD190" i="2"/>
  <c r="AI258" i="3" s="1"/>
  <c r="U258" i="3" s="1"/>
  <c r="BC190" i="2"/>
  <c r="BB190" i="2" s="1"/>
  <c r="AD190" i="2" s="1"/>
  <c r="BA190" i="2"/>
  <c r="AZ190" i="2"/>
  <c r="AJ258" i="3" s="1"/>
  <c r="W258" i="3" s="1"/>
  <c r="AY190" i="2"/>
  <c r="AE190" i="2" s="1"/>
  <c r="AX190" i="2"/>
  <c r="AW190" i="2"/>
  <c r="AV190" i="2" s="1"/>
  <c r="AU190" i="2"/>
  <c r="AT190" i="2"/>
  <c r="AR190" i="2"/>
  <c r="AQ190" i="2"/>
  <c r="AO190" i="2"/>
  <c r="AM190" i="2" s="1"/>
  <c r="AN190" i="2"/>
  <c r="AE258" i="3" s="1"/>
  <c r="L258" i="3" s="1"/>
  <c r="AL190" i="2"/>
  <c r="AK190" i="2"/>
  <c r="AD258" i="3" s="1"/>
  <c r="K258" i="3" s="1"/>
  <c r="AI190" i="2"/>
  <c r="AH190" i="2"/>
  <c r="AG258" i="3" s="1"/>
  <c r="N258" i="3" s="1"/>
  <c r="AG190" i="2"/>
  <c r="AF190" i="2"/>
  <c r="AA190" i="2"/>
  <c r="Y190" i="2"/>
  <c r="X190" i="2"/>
  <c r="W190" i="2"/>
  <c r="V190" i="2"/>
  <c r="U190" i="2"/>
  <c r="J190" i="2"/>
  <c r="BO189" i="2"/>
  <c r="AF136" i="3" s="1"/>
  <c r="M136" i="3" s="1"/>
  <c r="BN189" i="2"/>
  <c r="AH136" i="3" s="1"/>
  <c r="O136" i="3" s="1"/>
  <c r="BM189" i="2"/>
  <c r="AM136" i="3" s="1"/>
  <c r="Q136" i="3" s="1"/>
  <c r="BL189" i="2"/>
  <c r="BK189" i="2"/>
  <c r="BI189" i="2"/>
  <c r="BH189" i="2" s="1"/>
  <c r="BG189" i="2"/>
  <c r="BF189" i="2"/>
  <c r="AO136" i="3" s="1"/>
  <c r="X136" i="3" s="1"/>
  <c r="BD189" i="2"/>
  <c r="AI136" i="3" s="1"/>
  <c r="U136" i="3" s="1"/>
  <c r="BC189" i="2"/>
  <c r="BB189" i="2"/>
  <c r="AD189" i="2" s="1"/>
  <c r="BA189" i="2"/>
  <c r="AZ189" i="2"/>
  <c r="AY189" i="2"/>
  <c r="AE189" i="2" s="1"/>
  <c r="AX189" i="2"/>
  <c r="AW189" i="2"/>
  <c r="AV189" i="2" s="1"/>
  <c r="AU189" i="2"/>
  <c r="AT189" i="2"/>
  <c r="AS189" i="2"/>
  <c r="AC189" i="2" s="1"/>
  <c r="AR189" i="2"/>
  <c r="AQ189" i="2"/>
  <c r="AK136" i="3" s="1"/>
  <c r="T136" i="3" s="1"/>
  <c r="AP189" i="2"/>
  <c r="AB189" i="2" s="1"/>
  <c r="AO189" i="2"/>
  <c r="AM189" i="2" s="1"/>
  <c r="AA189" i="2" s="1"/>
  <c r="AN189" i="2"/>
  <c r="AL189" i="2"/>
  <c r="AK189" i="2"/>
  <c r="AD136" i="3" s="1"/>
  <c r="K136" i="3" s="1"/>
  <c r="AJ189" i="2"/>
  <c r="Z189" i="2" s="1"/>
  <c r="AI189" i="2"/>
  <c r="AH189" i="2"/>
  <c r="AG136" i="3" s="1"/>
  <c r="N136" i="3" s="1"/>
  <c r="AG189" i="2"/>
  <c r="Y189" i="2" s="1"/>
  <c r="X189" i="2"/>
  <c r="W189" i="2"/>
  <c r="J189" i="2" s="1"/>
  <c r="V189" i="2"/>
  <c r="U189" i="2" s="1"/>
  <c r="BO188" i="2"/>
  <c r="AF90" i="3" s="1"/>
  <c r="M90" i="3" s="1"/>
  <c r="BN188" i="2"/>
  <c r="AH90" i="3" s="1"/>
  <c r="O90" i="3" s="1"/>
  <c r="BM188" i="2"/>
  <c r="AM90" i="3" s="1"/>
  <c r="Q90" i="3" s="1"/>
  <c r="BL188" i="2"/>
  <c r="BK188" i="2"/>
  <c r="AN90" i="3" s="1"/>
  <c r="R90" i="3" s="1"/>
  <c r="BJ188" i="2"/>
  <c r="BI188" i="2"/>
  <c r="BH188" i="2" s="1"/>
  <c r="BG188" i="2"/>
  <c r="BF188" i="2"/>
  <c r="AO90" i="3" s="1"/>
  <c r="X90" i="3" s="1"/>
  <c r="BE188" i="2"/>
  <c r="BD188" i="2"/>
  <c r="AI90" i="3" s="1"/>
  <c r="U90" i="3" s="1"/>
  <c r="BC188" i="2"/>
  <c r="BB188" i="2"/>
  <c r="AD188" i="2" s="1"/>
  <c r="BA188" i="2"/>
  <c r="AZ188" i="2"/>
  <c r="AJ90" i="3" s="1"/>
  <c r="W90" i="3" s="1"/>
  <c r="AY188" i="2"/>
  <c r="AX188" i="2"/>
  <c r="AW188" i="2"/>
  <c r="AV188" i="2" s="1"/>
  <c r="AU188" i="2"/>
  <c r="AT188" i="2"/>
  <c r="AL90" i="3" s="1"/>
  <c r="S90" i="3" s="1"/>
  <c r="AS188" i="2"/>
  <c r="AC188" i="2" s="1"/>
  <c r="AR188" i="2"/>
  <c r="AQ188" i="2"/>
  <c r="AO188" i="2"/>
  <c r="AM188" i="2" s="1"/>
  <c r="AA188" i="2" s="1"/>
  <c r="AN188" i="2"/>
  <c r="AL188" i="2"/>
  <c r="AK188" i="2"/>
  <c r="AI188" i="2"/>
  <c r="AH188" i="2"/>
  <c r="AG90" i="3" s="1"/>
  <c r="N90" i="3" s="1"/>
  <c r="AG188" i="2"/>
  <c r="AF188" i="2"/>
  <c r="AE188" i="2"/>
  <c r="Y188" i="2"/>
  <c r="X188" i="2"/>
  <c r="W188" i="2"/>
  <c r="J188" i="2" s="1"/>
  <c r="V188" i="2"/>
  <c r="U188" i="2" s="1"/>
  <c r="BO187" i="2"/>
  <c r="AF119" i="3" s="1"/>
  <c r="M119" i="3" s="1"/>
  <c r="BN187" i="2"/>
  <c r="AH119" i="3" s="1"/>
  <c r="O119" i="3" s="1"/>
  <c r="BM187" i="2"/>
  <c r="AM119" i="3" s="1"/>
  <c r="Q119" i="3" s="1"/>
  <c r="BL187" i="2"/>
  <c r="BK187" i="2"/>
  <c r="AN119" i="3" s="1"/>
  <c r="R119" i="3" s="1"/>
  <c r="BJ187" i="2"/>
  <c r="AF187" i="2" s="1"/>
  <c r="BI187" i="2"/>
  <c r="BH187" i="2" s="1"/>
  <c r="BG187" i="2"/>
  <c r="BF187" i="2"/>
  <c r="AO119" i="3" s="1"/>
  <c r="X119" i="3" s="1"/>
  <c r="BD187" i="2"/>
  <c r="AI119" i="3" s="1"/>
  <c r="BC187" i="2"/>
  <c r="BB187" i="2"/>
  <c r="BA187" i="2"/>
  <c r="AZ187" i="2"/>
  <c r="AJ119" i="3" s="1"/>
  <c r="W119" i="3" s="1"/>
  <c r="AY187" i="2"/>
  <c r="AX187" i="2"/>
  <c r="AW187" i="2"/>
  <c r="AV187" i="2"/>
  <c r="AU187" i="2"/>
  <c r="AT187" i="2"/>
  <c r="AL119" i="3" s="1"/>
  <c r="S119" i="3" s="1"/>
  <c r="AS187" i="2"/>
  <c r="AR187" i="2"/>
  <c r="AQ187" i="2"/>
  <c r="AK119" i="3" s="1"/>
  <c r="T119" i="3" s="1"/>
  <c r="AO187" i="2"/>
  <c r="AM187" i="2" s="1"/>
  <c r="AN187" i="2"/>
  <c r="AE119" i="3" s="1"/>
  <c r="L119" i="3" s="1"/>
  <c r="AL187" i="2"/>
  <c r="AK187" i="2"/>
  <c r="AD119" i="3" s="1"/>
  <c r="K119" i="3" s="1"/>
  <c r="AJ187" i="2"/>
  <c r="Z187" i="2" s="1"/>
  <c r="AI187" i="2"/>
  <c r="AH187" i="2"/>
  <c r="AG119" i="3" s="1"/>
  <c r="N119" i="3" s="1"/>
  <c r="AE187" i="2"/>
  <c r="AD187" i="2"/>
  <c r="AC187" i="2"/>
  <c r="AA187" i="2"/>
  <c r="X187" i="2"/>
  <c r="W187" i="2"/>
  <c r="V187" i="2"/>
  <c r="U187" i="2"/>
  <c r="J187" i="2"/>
  <c r="BO186" i="2"/>
  <c r="AF32" i="3" s="1"/>
  <c r="M32" i="3" s="1"/>
  <c r="BN186" i="2"/>
  <c r="AH32" i="3" s="1"/>
  <c r="O32" i="3" s="1"/>
  <c r="BM186" i="2"/>
  <c r="AM32" i="3" s="1"/>
  <c r="Q32" i="3" s="1"/>
  <c r="BL186" i="2"/>
  <c r="BK186" i="2"/>
  <c r="BJ186" i="2" s="1"/>
  <c r="AF186" i="2" s="1"/>
  <c r="BI186" i="2"/>
  <c r="BH186" i="2" s="1"/>
  <c r="BG186" i="2"/>
  <c r="BF186" i="2"/>
  <c r="AO32" i="3" s="1"/>
  <c r="X32" i="3" s="1"/>
  <c r="BE186" i="2"/>
  <c r="BD186" i="2"/>
  <c r="AI32" i="3" s="1"/>
  <c r="U32" i="3" s="1"/>
  <c r="BC186" i="2"/>
  <c r="BB186" i="2" s="1"/>
  <c r="AD186" i="2" s="1"/>
  <c r="BA186" i="2"/>
  <c r="AZ186" i="2"/>
  <c r="AJ32" i="3" s="1"/>
  <c r="W32" i="3" s="1"/>
  <c r="AY186" i="2"/>
  <c r="AE186" i="2" s="1"/>
  <c r="AX186" i="2"/>
  <c r="AW186" i="2"/>
  <c r="AV186" i="2" s="1"/>
  <c r="AU186" i="2"/>
  <c r="AT186" i="2"/>
  <c r="AL32" i="3" s="1"/>
  <c r="S32" i="3" s="1"/>
  <c r="AS186" i="2"/>
  <c r="AC186" i="2" s="1"/>
  <c r="AR186" i="2"/>
  <c r="AQ186" i="2"/>
  <c r="AK32" i="3" s="1"/>
  <c r="T32" i="3" s="1"/>
  <c r="AO186" i="2"/>
  <c r="AM186" i="2" s="1"/>
  <c r="AA186" i="2" s="1"/>
  <c r="AN186" i="2"/>
  <c r="AE32" i="3" s="1"/>
  <c r="L32" i="3" s="1"/>
  <c r="AL186" i="2"/>
  <c r="AK186" i="2"/>
  <c r="AI186" i="2"/>
  <c r="AH186" i="2"/>
  <c r="AG32" i="3" s="1"/>
  <c r="N32" i="3" s="1"/>
  <c r="X186" i="2"/>
  <c r="W186" i="2"/>
  <c r="V186" i="2"/>
  <c r="U186" i="2"/>
  <c r="BO185" i="2"/>
  <c r="AF121" i="3" s="1"/>
  <c r="M121" i="3" s="1"/>
  <c r="BN185" i="2"/>
  <c r="AH121" i="3" s="1"/>
  <c r="O121" i="3" s="1"/>
  <c r="BM185" i="2"/>
  <c r="AM121" i="3" s="1"/>
  <c r="Q121" i="3" s="1"/>
  <c r="BL185" i="2"/>
  <c r="BK185" i="2"/>
  <c r="BI185" i="2"/>
  <c r="BH185" i="2" s="1"/>
  <c r="BG185" i="2"/>
  <c r="BF185" i="2"/>
  <c r="BD185" i="2"/>
  <c r="AI121" i="3" s="1"/>
  <c r="U121" i="3" s="1"/>
  <c r="BC185" i="2"/>
  <c r="BB185" i="2"/>
  <c r="BA185" i="2"/>
  <c r="AZ185" i="2"/>
  <c r="AY185" i="2" s="1"/>
  <c r="AX185" i="2"/>
  <c r="AW185" i="2"/>
  <c r="AV185" i="2"/>
  <c r="AU185" i="2"/>
  <c r="AT185" i="2"/>
  <c r="AL121" i="3" s="1"/>
  <c r="S121" i="3" s="1"/>
  <c r="AR185" i="2"/>
  <c r="AQ185" i="2"/>
  <c r="AP185" i="2"/>
  <c r="AO185" i="2"/>
  <c r="AN185" i="2"/>
  <c r="AL185" i="2"/>
  <c r="AK185" i="2"/>
  <c r="AI185" i="2"/>
  <c r="AH185" i="2"/>
  <c r="AG121" i="3" s="1"/>
  <c r="N121" i="3" s="1"/>
  <c r="AE185" i="2"/>
  <c r="AD185" i="2"/>
  <c r="AB185" i="2"/>
  <c r="X185" i="2"/>
  <c r="W185" i="2"/>
  <c r="V185" i="2"/>
  <c r="U185" i="2"/>
  <c r="J185" i="2"/>
  <c r="BO184" i="2"/>
  <c r="AF267" i="3" s="1"/>
  <c r="M267" i="3" s="1"/>
  <c r="BN184" i="2"/>
  <c r="AH267" i="3" s="1"/>
  <c r="O267" i="3" s="1"/>
  <c r="BM184" i="2"/>
  <c r="AM267" i="3" s="1"/>
  <c r="Q267" i="3" s="1"/>
  <c r="BL184" i="2"/>
  <c r="BK184" i="2"/>
  <c r="AN267" i="3" s="1"/>
  <c r="R267" i="3" s="1"/>
  <c r="BJ184" i="2"/>
  <c r="BI184" i="2"/>
  <c r="BH184" i="2" s="1"/>
  <c r="BG184" i="2"/>
  <c r="BF184" i="2"/>
  <c r="BD184" i="2"/>
  <c r="AI267" i="3" s="1"/>
  <c r="U267" i="3" s="1"/>
  <c r="BC184" i="2"/>
  <c r="BB184" i="2"/>
  <c r="AD184" i="2" s="1"/>
  <c r="BA184" i="2"/>
  <c r="AZ184" i="2"/>
  <c r="AJ267" i="3" s="1"/>
  <c r="W267" i="3" s="1"/>
  <c r="AY184" i="2"/>
  <c r="AE184" i="2" s="1"/>
  <c r="AX184" i="2"/>
  <c r="AW184" i="2"/>
  <c r="AV184" i="2"/>
  <c r="AU184" i="2"/>
  <c r="AT184" i="2"/>
  <c r="AL267" i="3" s="1"/>
  <c r="S267" i="3" s="1"/>
  <c r="AR184" i="2"/>
  <c r="AP184" i="2" s="1"/>
  <c r="AB184" i="2" s="1"/>
  <c r="AQ184" i="2"/>
  <c r="AK267" i="3" s="1"/>
  <c r="T267" i="3" s="1"/>
  <c r="AO184" i="2"/>
  <c r="AN184" i="2"/>
  <c r="AL184" i="2"/>
  <c r="AK184" i="2"/>
  <c r="AD267" i="3" s="1"/>
  <c r="K267" i="3" s="1"/>
  <c r="AI184" i="2"/>
  <c r="AH184" i="2"/>
  <c r="AG267" i="3" s="1"/>
  <c r="N267" i="3" s="1"/>
  <c r="AG184" i="2"/>
  <c r="AF184" i="2"/>
  <c r="Y184" i="2"/>
  <c r="X184" i="2"/>
  <c r="W184" i="2"/>
  <c r="J184" i="2" s="1"/>
  <c r="V184" i="2"/>
  <c r="U184" i="2"/>
  <c r="BO183" i="2"/>
  <c r="BN183" i="2"/>
  <c r="AH107" i="3" s="1"/>
  <c r="O107" i="3" s="1"/>
  <c r="BM183" i="2"/>
  <c r="AM107" i="3" s="1"/>
  <c r="BL183" i="2"/>
  <c r="BK183" i="2"/>
  <c r="AN107" i="3" s="1"/>
  <c r="R107" i="3" s="1"/>
  <c r="BJ183" i="2"/>
  <c r="BI183" i="2"/>
  <c r="BH183" i="2"/>
  <c r="BG183" i="2"/>
  <c r="BF183" i="2"/>
  <c r="AO107" i="3" s="1"/>
  <c r="X107" i="3" s="1"/>
  <c r="BE183" i="2"/>
  <c r="BD183" i="2"/>
  <c r="AI107" i="3" s="1"/>
  <c r="U107" i="3" s="1"/>
  <c r="BC183" i="2"/>
  <c r="BB183" i="2"/>
  <c r="BA183" i="2"/>
  <c r="AZ183" i="2"/>
  <c r="AX183" i="2"/>
  <c r="AW183" i="2"/>
  <c r="AV183" i="2" s="1"/>
  <c r="AU183" i="2"/>
  <c r="AT183" i="2"/>
  <c r="AR183" i="2"/>
  <c r="AQ183" i="2"/>
  <c r="AK107" i="3" s="1"/>
  <c r="T107" i="3" s="1"/>
  <c r="AP183" i="2"/>
  <c r="AO183" i="2"/>
  <c r="AN183" i="2"/>
  <c r="AL183" i="2"/>
  <c r="AK183" i="2"/>
  <c r="AD107" i="3" s="1"/>
  <c r="K107" i="3" s="1"/>
  <c r="AI183" i="2"/>
  <c r="AH183" i="2"/>
  <c r="AG107" i="3" s="1"/>
  <c r="N107" i="3" s="1"/>
  <c r="AG183" i="2"/>
  <c r="AF183" i="2"/>
  <c r="AD183" i="2"/>
  <c r="AB183" i="2"/>
  <c r="Y183" i="2"/>
  <c r="X183" i="2"/>
  <c r="W183" i="2"/>
  <c r="V183" i="2"/>
  <c r="U183" i="2"/>
  <c r="J183" i="2"/>
  <c r="BO182" i="2"/>
  <c r="AF35" i="3" s="1"/>
  <c r="M35" i="3" s="1"/>
  <c r="BN182" i="2"/>
  <c r="AH35" i="3" s="1"/>
  <c r="O35" i="3" s="1"/>
  <c r="BM182" i="2"/>
  <c r="AM35" i="3" s="1"/>
  <c r="BL182" i="2"/>
  <c r="BK182" i="2"/>
  <c r="BI182" i="2"/>
  <c r="BH182" i="2"/>
  <c r="BG182" i="2"/>
  <c r="BF182" i="2"/>
  <c r="BE182" i="2" s="1"/>
  <c r="BD182" i="2"/>
  <c r="BC182" i="2"/>
  <c r="BB182" i="2"/>
  <c r="BA182" i="2"/>
  <c r="AZ182" i="2"/>
  <c r="AJ35" i="3" s="1"/>
  <c r="W35" i="3" s="1"/>
  <c r="AY182" i="2"/>
  <c r="AE182" i="2" s="1"/>
  <c r="AX182" i="2"/>
  <c r="AW182" i="2"/>
  <c r="AV182" i="2" s="1"/>
  <c r="AU182" i="2"/>
  <c r="AT182" i="2"/>
  <c r="AR182" i="2"/>
  <c r="AQ182" i="2"/>
  <c r="AK35" i="3" s="1"/>
  <c r="AP182" i="2"/>
  <c r="AB182" i="2" s="1"/>
  <c r="AO182" i="2"/>
  <c r="AN182" i="2"/>
  <c r="AE35" i="3" s="1"/>
  <c r="L35" i="3" s="1"/>
  <c r="AM182" i="2"/>
  <c r="AA182" i="2" s="1"/>
  <c r="AL182" i="2"/>
  <c r="AK182" i="2"/>
  <c r="AD35" i="3" s="1"/>
  <c r="K35" i="3" s="1"/>
  <c r="AI182" i="2"/>
  <c r="AH182" i="2"/>
  <c r="AD182" i="2"/>
  <c r="X182" i="2"/>
  <c r="W182" i="2"/>
  <c r="V182" i="2"/>
  <c r="U182" i="2"/>
  <c r="J182" i="2"/>
  <c r="BO181" i="2"/>
  <c r="AF311" i="3" s="1"/>
  <c r="BN181" i="2"/>
  <c r="AH311" i="3" s="1"/>
  <c r="O311" i="3" s="1"/>
  <c r="BM181" i="2"/>
  <c r="AM311" i="3" s="1"/>
  <c r="Q311" i="3" s="1"/>
  <c r="BL181" i="2"/>
  <c r="BJ181" i="2" s="1"/>
  <c r="BK181" i="2"/>
  <c r="AN311" i="3" s="1"/>
  <c r="R311" i="3" s="1"/>
  <c r="BI181" i="2"/>
  <c r="BH181" i="2"/>
  <c r="BG181" i="2"/>
  <c r="BF181" i="2"/>
  <c r="AO311" i="3" s="1"/>
  <c r="X311" i="3" s="1"/>
  <c r="BE181" i="2"/>
  <c r="BD181" i="2"/>
  <c r="AI311" i="3" s="1"/>
  <c r="U311" i="3" s="1"/>
  <c r="BC181" i="2"/>
  <c r="BB181" i="2"/>
  <c r="BA181" i="2"/>
  <c r="AZ181" i="2"/>
  <c r="AX181" i="2"/>
  <c r="AW181" i="2"/>
  <c r="AV181" i="2" s="1"/>
  <c r="AU181" i="2"/>
  <c r="AT181" i="2"/>
  <c r="AL311" i="3" s="1"/>
  <c r="S311" i="3" s="1"/>
  <c r="AS181" i="2"/>
  <c r="AR181" i="2"/>
  <c r="AQ181" i="2"/>
  <c r="AK311" i="3" s="1"/>
  <c r="T311" i="3" s="1"/>
  <c r="AP181" i="2"/>
  <c r="AB181" i="2" s="1"/>
  <c r="AO181" i="2"/>
  <c r="AN181" i="2"/>
  <c r="AL181" i="2"/>
  <c r="AK181" i="2"/>
  <c r="AD311" i="3" s="1"/>
  <c r="K311" i="3" s="1"/>
  <c r="AI181" i="2"/>
  <c r="AH181" i="2"/>
  <c r="AG311" i="3" s="1"/>
  <c r="N311" i="3" s="1"/>
  <c r="AF181" i="2"/>
  <c r="AD181" i="2"/>
  <c r="AC181" i="2"/>
  <c r="X181" i="2"/>
  <c r="W181" i="2"/>
  <c r="V181" i="2"/>
  <c r="U181" i="2" s="1"/>
  <c r="J181" i="2"/>
  <c r="BO180" i="2"/>
  <c r="AF238" i="3" s="1"/>
  <c r="M238" i="3" s="1"/>
  <c r="BN180" i="2"/>
  <c r="AH238" i="3" s="1"/>
  <c r="O238" i="3" s="1"/>
  <c r="BM180" i="2"/>
  <c r="AM238" i="3" s="1"/>
  <c r="Q238" i="3" s="1"/>
  <c r="BL180" i="2"/>
  <c r="BJ180" i="2" s="1"/>
  <c r="AF180" i="2" s="1"/>
  <c r="BK180" i="2"/>
  <c r="AN238" i="3" s="1"/>
  <c r="R238" i="3" s="1"/>
  <c r="BI180" i="2"/>
  <c r="BH180" i="2"/>
  <c r="BG180" i="2"/>
  <c r="BF180" i="2"/>
  <c r="AO238" i="3" s="1"/>
  <c r="X238" i="3" s="1"/>
  <c r="BE180" i="2"/>
  <c r="BD180" i="2"/>
  <c r="BC180" i="2"/>
  <c r="BA180" i="2"/>
  <c r="AY180" i="2" s="1"/>
  <c r="AE180" i="2" s="1"/>
  <c r="AZ180" i="2"/>
  <c r="AJ238" i="3" s="1"/>
  <c r="W238" i="3" s="1"/>
  <c r="AX180" i="2"/>
  <c r="AW180" i="2"/>
  <c r="AV180" i="2"/>
  <c r="AU180" i="2"/>
  <c r="AT180" i="2"/>
  <c r="AL238" i="3" s="1"/>
  <c r="S238" i="3" s="1"/>
  <c r="AS180" i="2"/>
  <c r="AR180" i="2"/>
  <c r="AP180" i="2" s="1"/>
  <c r="AQ180" i="2"/>
  <c r="AK238" i="3" s="1"/>
  <c r="AO180" i="2"/>
  <c r="AN180" i="2"/>
  <c r="AE238" i="3" s="1"/>
  <c r="L238" i="3" s="1"/>
  <c r="AL180" i="2"/>
  <c r="AK180" i="2"/>
  <c r="AD238" i="3" s="1"/>
  <c r="K238" i="3" s="1"/>
  <c r="AJ180" i="2"/>
  <c r="AI180" i="2"/>
  <c r="AH180" i="2"/>
  <c r="AC180" i="2"/>
  <c r="AB180" i="2"/>
  <c r="Z180" i="2"/>
  <c r="X180" i="2"/>
  <c r="W180" i="2"/>
  <c r="J180" i="2" s="1"/>
  <c r="V180" i="2"/>
  <c r="U180" i="2" s="1"/>
  <c r="BO179" i="2"/>
  <c r="AF147" i="3" s="1"/>
  <c r="M147" i="3" s="1"/>
  <c r="BN179" i="2"/>
  <c r="AH147" i="3" s="1"/>
  <c r="O147" i="3" s="1"/>
  <c r="BM179" i="2"/>
  <c r="AM147" i="3" s="1"/>
  <c r="Q147" i="3" s="1"/>
  <c r="BL179" i="2"/>
  <c r="BK179" i="2"/>
  <c r="AN147" i="3" s="1"/>
  <c r="R147" i="3" s="1"/>
  <c r="BJ179" i="2"/>
  <c r="AF179" i="2" s="1"/>
  <c r="BI179" i="2"/>
  <c r="BH179" i="2" s="1"/>
  <c r="BG179" i="2"/>
  <c r="BF179" i="2"/>
  <c r="AO147" i="3" s="1"/>
  <c r="X147" i="3" s="1"/>
  <c r="BE179" i="2"/>
  <c r="BD179" i="2"/>
  <c r="AI147" i="3" s="1"/>
  <c r="U147" i="3" s="1"/>
  <c r="BC179" i="2"/>
  <c r="BB179" i="2" s="1"/>
  <c r="AD179" i="2" s="1"/>
  <c r="BA179" i="2"/>
  <c r="AZ179" i="2"/>
  <c r="AX179" i="2"/>
  <c r="AW179" i="2"/>
  <c r="AV179" i="2"/>
  <c r="AU179" i="2"/>
  <c r="AT179" i="2"/>
  <c r="AR179" i="2"/>
  <c r="AQ179" i="2"/>
  <c r="AK147" i="3" s="1"/>
  <c r="T147" i="3" s="1"/>
  <c r="AP179" i="2"/>
  <c r="AB179" i="2" s="1"/>
  <c r="AO179" i="2"/>
  <c r="AN179" i="2"/>
  <c r="AE147" i="3" s="1"/>
  <c r="L147" i="3" s="1"/>
  <c r="AM179" i="2"/>
  <c r="AA179" i="2" s="1"/>
  <c r="AL179" i="2"/>
  <c r="AK179" i="2"/>
  <c r="AI179" i="2"/>
  <c r="AH179" i="2"/>
  <c r="AG147" i="3" s="1"/>
  <c r="N147" i="3" s="1"/>
  <c r="X179" i="2"/>
  <c r="W179" i="2"/>
  <c r="V179" i="2"/>
  <c r="U179" i="2"/>
  <c r="J179" i="2"/>
  <c r="BO178" i="2"/>
  <c r="AF101" i="3" s="1"/>
  <c r="M101" i="3" s="1"/>
  <c r="BN178" i="2"/>
  <c r="AH101" i="3" s="1"/>
  <c r="O101" i="3" s="1"/>
  <c r="BM178" i="2"/>
  <c r="AM101" i="3" s="1"/>
  <c r="Q101" i="3" s="1"/>
  <c r="BL178" i="2"/>
  <c r="BK178" i="2"/>
  <c r="AN101" i="3" s="1"/>
  <c r="R101" i="3" s="1"/>
  <c r="BJ178" i="2"/>
  <c r="BI178" i="2"/>
  <c r="BH178" i="2" s="1"/>
  <c r="BG178" i="2"/>
  <c r="BF178" i="2"/>
  <c r="AO101" i="3" s="1"/>
  <c r="X101" i="3" s="1"/>
  <c r="BE178" i="2"/>
  <c r="BD178" i="2"/>
  <c r="AI101" i="3" s="1"/>
  <c r="U101" i="3" s="1"/>
  <c r="BC178" i="2"/>
  <c r="BB178" i="2"/>
  <c r="BA178" i="2"/>
  <c r="AZ178" i="2"/>
  <c r="AJ101" i="3" s="1"/>
  <c r="W101" i="3" s="1"/>
  <c r="AX178" i="2"/>
  <c r="AW178" i="2"/>
  <c r="AV178" i="2"/>
  <c r="AU178" i="2"/>
  <c r="AT178" i="2"/>
  <c r="AL101" i="3" s="1"/>
  <c r="S101" i="3" s="1"/>
  <c r="AS178" i="2"/>
  <c r="AR178" i="2"/>
  <c r="AQ178" i="2"/>
  <c r="AP178" i="2"/>
  <c r="AO178" i="2"/>
  <c r="AN178" i="2"/>
  <c r="AM178" i="2" s="1"/>
  <c r="AA178" i="2" s="1"/>
  <c r="AL178" i="2"/>
  <c r="AJ178" i="2" s="1"/>
  <c r="Z178" i="2" s="1"/>
  <c r="AK178" i="2"/>
  <c r="AD101" i="3" s="1"/>
  <c r="K101" i="3" s="1"/>
  <c r="AI178" i="2"/>
  <c r="AH178" i="2"/>
  <c r="AG101" i="3" s="1"/>
  <c r="N101" i="3" s="1"/>
  <c r="AG178" i="2"/>
  <c r="Y178" i="2" s="1"/>
  <c r="AF178" i="2"/>
  <c r="AD178" i="2"/>
  <c r="AC178" i="2"/>
  <c r="AB178" i="2"/>
  <c r="X178" i="2"/>
  <c r="W178" i="2"/>
  <c r="V178" i="2"/>
  <c r="U178" i="2"/>
  <c r="J178" i="2"/>
  <c r="BO177" i="2"/>
  <c r="AF149" i="3" s="1"/>
  <c r="M149" i="3" s="1"/>
  <c r="BN177" i="2"/>
  <c r="AH149" i="3" s="1"/>
  <c r="O149" i="3" s="1"/>
  <c r="BM177" i="2"/>
  <c r="AM149" i="3" s="1"/>
  <c r="Q149" i="3" s="1"/>
  <c r="BL177" i="2"/>
  <c r="BK177" i="2"/>
  <c r="AN149" i="3" s="1"/>
  <c r="R149" i="3" s="1"/>
  <c r="BJ177" i="2"/>
  <c r="BI177" i="2"/>
  <c r="BH177" i="2" s="1"/>
  <c r="BG177" i="2"/>
  <c r="BF177" i="2"/>
  <c r="AO149" i="3" s="1"/>
  <c r="X149" i="3" s="1"/>
  <c r="BE177" i="2"/>
  <c r="BD177" i="2"/>
  <c r="AI149" i="3" s="1"/>
  <c r="U149" i="3" s="1"/>
  <c r="BC177" i="2"/>
  <c r="BB177" i="2" s="1"/>
  <c r="AD177" i="2" s="1"/>
  <c r="BA177" i="2"/>
  <c r="AZ177" i="2"/>
  <c r="AX177" i="2"/>
  <c r="AW177" i="2"/>
  <c r="AV177" i="2" s="1"/>
  <c r="AU177" i="2"/>
  <c r="AT177" i="2"/>
  <c r="AS177" i="2" s="1"/>
  <c r="AC177" i="2" s="1"/>
  <c r="AR177" i="2"/>
  <c r="AQ177" i="2"/>
  <c r="AK149" i="3" s="1"/>
  <c r="T149" i="3" s="1"/>
  <c r="AP177" i="2"/>
  <c r="AO177" i="2"/>
  <c r="AN177" i="2"/>
  <c r="AE149" i="3" s="1"/>
  <c r="L149" i="3" s="1"/>
  <c r="AM177" i="2"/>
  <c r="AA177" i="2" s="1"/>
  <c r="AL177" i="2"/>
  <c r="AK177" i="2"/>
  <c r="AD149" i="3" s="1"/>
  <c r="K149" i="3" s="1"/>
  <c r="AI177" i="2"/>
  <c r="AH177" i="2"/>
  <c r="AG149" i="3" s="1"/>
  <c r="N149" i="3" s="1"/>
  <c r="AG177" i="2"/>
  <c r="AF177" i="2"/>
  <c r="AB177" i="2"/>
  <c r="Y177" i="2"/>
  <c r="X177" i="2"/>
  <c r="W177" i="2"/>
  <c r="V177" i="2"/>
  <c r="U177" i="2" s="1"/>
  <c r="J177" i="2"/>
  <c r="BO176" i="2"/>
  <c r="AF297" i="3" s="1"/>
  <c r="M297" i="3" s="1"/>
  <c r="BN176" i="2"/>
  <c r="AH297" i="3" s="1"/>
  <c r="O297" i="3" s="1"/>
  <c r="BM176" i="2"/>
  <c r="AM297" i="3" s="1"/>
  <c r="Q297" i="3" s="1"/>
  <c r="BL176" i="2"/>
  <c r="BJ176" i="2" s="1"/>
  <c r="BK176" i="2"/>
  <c r="AN297" i="3" s="1"/>
  <c r="R297" i="3" s="1"/>
  <c r="BI176" i="2"/>
  <c r="BH176" i="2"/>
  <c r="BG176" i="2"/>
  <c r="BF176" i="2"/>
  <c r="AO297" i="3" s="1"/>
  <c r="X297" i="3" s="1"/>
  <c r="BE176" i="2"/>
  <c r="BD176" i="2"/>
  <c r="BC176" i="2"/>
  <c r="BA176" i="2"/>
  <c r="AZ176" i="2"/>
  <c r="AX176" i="2"/>
  <c r="AW176" i="2"/>
  <c r="AV176" i="2" s="1"/>
  <c r="AU176" i="2"/>
  <c r="AT176" i="2"/>
  <c r="AL297" i="3" s="1"/>
  <c r="S297" i="3" s="1"/>
  <c r="AS176" i="2"/>
  <c r="AR176" i="2"/>
  <c r="AQ176" i="2"/>
  <c r="AK297" i="3" s="1"/>
  <c r="T297" i="3" s="1"/>
  <c r="AO176" i="2"/>
  <c r="AN176" i="2"/>
  <c r="AL176" i="2"/>
  <c r="AK176" i="2"/>
  <c r="AD297" i="3" s="1"/>
  <c r="K297" i="3" s="1"/>
  <c r="AI176" i="2"/>
  <c r="AH176" i="2"/>
  <c r="AG297" i="3" s="1"/>
  <c r="N297" i="3" s="1"/>
  <c r="AG176" i="2"/>
  <c r="AF176" i="2"/>
  <c r="AC176" i="2"/>
  <c r="Y176" i="2"/>
  <c r="X176" i="2"/>
  <c r="W176" i="2"/>
  <c r="V176" i="2"/>
  <c r="U176" i="2"/>
  <c r="J176" i="2"/>
  <c r="BO175" i="2"/>
  <c r="AF130" i="3" s="1"/>
  <c r="M130" i="3" s="1"/>
  <c r="BN175" i="2"/>
  <c r="AH130" i="3" s="1"/>
  <c r="O130" i="3" s="1"/>
  <c r="BM175" i="2"/>
  <c r="AM130" i="3" s="1"/>
  <c r="Q130" i="3" s="1"/>
  <c r="BL175" i="2"/>
  <c r="BK175" i="2"/>
  <c r="AN130" i="3" s="1"/>
  <c r="R130" i="3" s="1"/>
  <c r="BJ175" i="2"/>
  <c r="BI175" i="2"/>
  <c r="BH175" i="2" s="1"/>
  <c r="BG175" i="2"/>
  <c r="BF175" i="2"/>
  <c r="AO130" i="3" s="1"/>
  <c r="BD175" i="2"/>
  <c r="BC175" i="2"/>
  <c r="BB175" i="2"/>
  <c r="BA175" i="2"/>
  <c r="AZ175" i="2"/>
  <c r="AX175" i="2"/>
  <c r="AW175" i="2"/>
  <c r="AV175" i="2" s="1"/>
  <c r="AU175" i="2"/>
  <c r="AT175" i="2"/>
  <c r="AL130" i="3" s="1"/>
  <c r="S130" i="3" s="1"/>
  <c r="AS175" i="2"/>
  <c r="AC175" i="2" s="1"/>
  <c r="AR175" i="2"/>
  <c r="AQ175" i="2"/>
  <c r="AP175" i="2"/>
  <c r="AB175" i="2" s="1"/>
  <c r="AO175" i="2"/>
  <c r="AN175" i="2"/>
  <c r="AL175" i="2"/>
  <c r="AK175" i="2"/>
  <c r="AD130" i="3" s="1"/>
  <c r="K130" i="3" s="1"/>
  <c r="AI175" i="2"/>
  <c r="AH175" i="2"/>
  <c r="AG130" i="3" s="1"/>
  <c r="N130" i="3" s="1"/>
  <c r="AG175" i="2"/>
  <c r="Y175" i="2" s="1"/>
  <c r="AF175" i="2"/>
  <c r="AD175" i="2"/>
  <c r="X175" i="2"/>
  <c r="W175" i="2"/>
  <c r="V175" i="2"/>
  <c r="U175" i="2" s="1"/>
  <c r="J175" i="2"/>
  <c r="BO174" i="2"/>
  <c r="AF316" i="3" s="1"/>
  <c r="M316" i="3" s="1"/>
  <c r="BN174" i="2"/>
  <c r="AH316" i="3" s="1"/>
  <c r="O316" i="3" s="1"/>
  <c r="BM174" i="2"/>
  <c r="AM316" i="3" s="1"/>
  <c r="Q316" i="3" s="1"/>
  <c r="BL174" i="2"/>
  <c r="BK174" i="2"/>
  <c r="AN316" i="3" s="1"/>
  <c r="R316" i="3" s="1"/>
  <c r="BJ174" i="2"/>
  <c r="AF174" i="2" s="1"/>
  <c r="BI174" i="2"/>
  <c r="BH174" i="2"/>
  <c r="BG174" i="2"/>
  <c r="BF174" i="2"/>
  <c r="AO316" i="3" s="1"/>
  <c r="X316" i="3" s="1"/>
  <c r="BE174" i="2"/>
  <c r="BD174" i="2"/>
  <c r="AI316" i="3" s="1"/>
  <c r="U316" i="3" s="1"/>
  <c r="BC174" i="2"/>
  <c r="BB174" i="2"/>
  <c r="BA174" i="2"/>
  <c r="AZ174" i="2"/>
  <c r="AX174" i="2"/>
  <c r="AW174" i="2"/>
  <c r="AV174" i="2" s="1"/>
  <c r="AU174" i="2"/>
  <c r="AT174" i="2"/>
  <c r="AL316" i="3" s="1"/>
  <c r="S316" i="3" s="1"/>
  <c r="AS174" i="2"/>
  <c r="AR174" i="2"/>
  <c r="AQ174" i="2"/>
  <c r="AK316" i="3" s="1"/>
  <c r="T316" i="3" s="1"/>
  <c r="AO174" i="2"/>
  <c r="AN174" i="2"/>
  <c r="AL174" i="2"/>
  <c r="AK174" i="2"/>
  <c r="AD316" i="3" s="1"/>
  <c r="K316" i="3" s="1"/>
  <c r="AJ174" i="2"/>
  <c r="Z174" i="2" s="1"/>
  <c r="AI174" i="2"/>
  <c r="AH174" i="2"/>
  <c r="AG316" i="3" s="1"/>
  <c r="N316" i="3" s="1"/>
  <c r="AG174" i="2"/>
  <c r="Y174" i="2" s="1"/>
  <c r="AD174" i="2"/>
  <c r="AC174" i="2"/>
  <c r="X174" i="2"/>
  <c r="W174" i="2"/>
  <c r="V174" i="2"/>
  <c r="U174" i="2" s="1"/>
  <c r="J174" i="2"/>
  <c r="BO173" i="2"/>
  <c r="AF274" i="3" s="1"/>
  <c r="M274" i="3" s="1"/>
  <c r="BN173" i="2"/>
  <c r="AH274" i="3" s="1"/>
  <c r="O274" i="3" s="1"/>
  <c r="BM173" i="2"/>
  <c r="BL173" i="2"/>
  <c r="BK173" i="2"/>
  <c r="BJ173" i="2"/>
  <c r="BI173" i="2"/>
  <c r="BH173" i="2" s="1"/>
  <c r="BG173" i="2"/>
  <c r="BF173" i="2"/>
  <c r="BE173" i="2" s="1"/>
  <c r="BD173" i="2"/>
  <c r="BC173" i="2"/>
  <c r="BB173" i="2"/>
  <c r="AD173" i="2" s="1"/>
  <c r="BA173" i="2"/>
  <c r="AZ173" i="2"/>
  <c r="AY173" i="2"/>
  <c r="AE173" i="2" s="1"/>
  <c r="AX173" i="2"/>
  <c r="AW173" i="2"/>
  <c r="AV173" i="2" s="1"/>
  <c r="AU173" i="2"/>
  <c r="AT173" i="2"/>
  <c r="AS173" i="2" s="1"/>
  <c r="AC173" i="2" s="1"/>
  <c r="AR173" i="2"/>
  <c r="AP173" i="2" s="1"/>
  <c r="AB173" i="2" s="1"/>
  <c r="AQ173" i="2"/>
  <c r="AO173" i="2"/>
  <c r="AN173" i="2"/>
  <c r="AM173" i="2" s="1"/>
  <c r="AA173" i="2" s="1"/>
  <c r="AL173" i="2"/>
  <c r="AK173" i="2"/>
  <c r="AJ173" i="2"/>
  <c r="AI173" i="2"/>
  <c r="AH173" i="2"/>
  <c r="AG173" i="2"/>
  <c r="AF173" i="2"/>
  <c r="Z173" i="2"/>
  <c r="Y173" i="2"/>
  <c r="X173" i="2"/>
  <c r="W173" i="2"/>
  <c r="V173" i="2"/>
  <c r="U173" i="2" s="1"/>
  <c r="J173" i="2"/>
  <c r="BO172" i="2"/>
  <c r="AF236" i="3" s="1"/>
  <c r="M236" i="3" s="1"/>
  <c r="BN172" i="2"/>
  <c r="AH236" i="3" s="1"/>
  <c r="O236" i="3" s="1"/>
  <c r="BM172" i="2"/>
  <c r="AM236" i="3" s="1"/>
  <c r="Q236" i="3" s="1"/>
  <c r="BL172" i="2"/>
  <c r="BJ172" i="2" s="1"/>
  <c r="AF172" i="2" s="1"/>
  <c r="BK172" i="2"/>
  <c r="AN236" i="3" s="1"/>
  <c r="R236" i="3" s="1"/>
  <c r="BI172" i="2"/>
  <c r="BH172" i="2" s="1"/>
  <c r="BG172" i="2"/>
  <c r="BF172" i="2"/>
  <c r="AO236" i="3" s="1"/>
  <c r="X236" i="3" s="1"/>
  <c r="BE172" i="2"/>
  <c r="BD172" i="2"/>
  <c r="BC172" i="2"/>
  <c r="BA172" i="2"/>
  <c r="AZ172" i="2"/>
  <c r="AX172" i="2"/>
  <c r="AW172" i="2"/>
  <c r="AV172" i="2"/>
  <c r="AU172" i="2"/>
  <c r="AT172" i="2"/>
  <c r="AL236" i="3" s="1"/>
  <c r="S236" i="3" s="1"/>
  <c r="AR172" i="2"/>
  <c r="AQ172" i="2"/>
  <c r="AO172" i="2"/>
  <c r="AN172" i="2"/>
  <c r="AE236" i="3" s="1"/>
  <c r="L236" i="3" s="1"/>
  <c r="AM172" i="2"/>
  <c r="AL172" i="2"/>
  <c r="AK172" i="2"/>
  <c r="AD236" i="3" s="1"/>
  <c r="K236" i="3" s="1"/>
  <c r="AI172" i="2"/>
  <c r="AH172" i="2"/>
  <c r="AG236" i="3" s="1"/>
  <c r="N236" i="3" s="1"/>
  <c r="AA172" i="2"/>
  <c r="X172" i="2"/>
  <c r="W172" i="2"/>
  <c r="V172" i="2"/>
  <c r="U172" i="2" s="1"/>
  <c r="J172" i="2"/>
  <c r="BO171" i="2"/>
  <c r="BN171" i="2"/>
  <c r="AH181" i="3" s="1"/>
  <c r="O181" i="3" s="1"/>
  <c r="BM171" i="2"/>
  <c r="AM181" i="3" s="1"/>
  <c r="Q181" i="3" s="1"/>
  <c r="BL171" i="2"/>
  <c r="BK171" i="2"/>
  <c r="AN181" i="3" s="1"/>
  <c r="R181" i="3" s="1"/>
  <c r="BJ171" i="2"/>
  <c r="AF171" i="2" s="1"/>
  <c r="BI171" i="2"/>
  <c r="BH171" i="2" s="1"/>
  <c r="BG171" i="2"/>
  <c r="BF171" i="2"/>
  <c r="BD171" i="2"/>
  <c r="BC171" i="2"/>
  <c r="BA171" i="2"/>
  <c r="AZ171" i="2"/>
  <c r="AJ181" i="3" s="1"/>
  <c r="W181" i="3" s="1"/>
  <c r="AX171" i="2"/>
  <c r="AW171" i="2"/>
  <c r="AV171" i="2"/>
  <c r="AU171" i="2"/>
  <c r="AS171" i="2" s="1"/>
  <c r="AC171" i="2" s="1"/>
  <c r="AT171" i="2"/>
  <c r="AL181" i="3" s="1"/>
  <c r="S181" i="3" s="1"/>
  <c r="AR171" i="2"/>
  <c r="AP171" i="2" s="1"/>
  <c r="AB171" i="2" s="1"/>
  <c r="AQ171" i="2"/>
  <c r="AK181" i="3" s="1"/>
  <c r="T181" i="3" s="1"/>
  <c r="AO171" i="2"/>
  <c r="AN171" i="2"/>
  <c r="AL171" i="2"/>
  <c r="AK171" i="2"/>
  <c r="AD181" i="3" s="1"/>
  <c r="K181" i="3" s="1"/>
  <c r="AJ171" i="2"/>
  <c r="Z171" i="2" s="1"/>
  <c r="AI171" i="2"/>
  <c r="AH171" i="2"/>
  <c r="AG181" i="3" s="1"/>
  <c r="N181" i="3" s="1"/>
  <c r="AG171" i="2"/>
  <c r="Y171" i="2" s="1"/>
  <c r="X171" i="2"/>
  <c r="W171" i="2"/>
  <c r="V171" i="2"/>
  <c r="U171" i="2"/>
  <c r="J171" i="2"/>
  <c r="BO170" i="2"/>
  <c r="AF292" i="3" s="1"/>
  <c r="M292" i="3" s="1"/>
  <c r="BN170" i="2"/>
  <c r="AH292" i="3" s="1"/>
  <c r="O292" i="3" s="1"/>
  <c r="BM170" i="2"/>
  <c r="AM292" i="3" s="1"/>
  <c r="Q292" i="3" s="1"/>
  <c r="BL170" i="2"/>
  <c r="BK170" i="2"/>
  <c r="AN292" i="3" s="1"/>
  <c r="R292" i="3" s="1"/>
  <c r="BJ170" i="2"/>
  <c r="AF170" i="2" s="1"/>
  <c r="BI170" i="2"/>
  <c r="BH170" i="2"/>
  <c r="BG170" i="2"/>
  <c r="BF170" i="2"/>
  <c r="AO292" i="3" s="1"/>
  <c r="X292" i="3" s="1"/>
  <c r="BD170" i="2"/>
  <c r="BC170" i="2"/>
  <c r="BA170" i="2"/>
  <c r="AY170" i="2" s="1"/>
  <c r="AE170" i="2" s="1"/>
  <c r="AZ170" i="2"/>
  <c r="AJ292" i="3" s="1"/>
  <c r="W292" i="3" s="1"/>
  <c r="AX170" i="2"/>
  <c r="AW170" i="2"/>
  <c r="AV170" i="2"/>
  <c r="AU170" i="2"/>
  <c r="AT170" i="2"/>
  <c r="AL292" i="3" s="1"/>
  <c r="S292" i="3" s="1"/>
  <c r="AR170" i="2"/>
  <c r="AP170" i="2" s="1"/>
  <c r="AQ170" i="2"/>
  <c r="AK292" i="3" s="1"/>
  <c r="T292" i="3" s="1"/>
  <c r="AO170" i="2"/>
  <c r="AN170" i="2"/>
  <c r="AE292" i="3" s="1"/>
  <c r="L292" i="3" s="1"/>
  <c r="AM170" i="2"/>
  <c r="AA170" i="2" s="1"/>
  <c r="AL170" i="2"/>
  <c r="AJ170" i="2" s="1"/>
  <c r="Z170" i="2" s="1"/>
  <c r="AK170" i="2"/>
  <c r="AD292" i="3" s="1"/>
  <c r="K292" i="3" s="1"/>
  <c r="AI170" i="2"/>
  <c r="AH170" i="2"/>
  <c r="AG292" i="3" s="1"/>
  <c r="N292" i="3" s="1"/>
  <c r="AG170" i="2"/>
  <c r="AB170" i="2"/>
  <c r="Y170" i="2"/>
  <c r="X170" i="2"/>
  <c r="W170" i="2"/>
  <c r="J170" i="2" s="1"/>
  <c r="V170" i="2"/>
  <c r="U170" i="2" s="1"/>
  <c r="BO169" i="2"/>
  <c r="AF173" i="3" s="1"/>
  <c r="M173" i="3" s="1"/>
  <c r="BN169" i="2"/>
  <c r="AH173" i="3" s="1"/>
  <c r="O173" i="3" s="1"/>
  <c r="BM169" i="2"/>
  <c r="AM173" i="3" s="1"/>
  <c r="Q173" i="3" s="1"/>
  <c r="BL169" i="2"/>
  <c r="BJ169" i="2" s="1"/>
  <c r="BK169" i="2"/>
  <c r="AN173" i="3" s="1"/>
  <c r="R173" i="3" s="1"/>
  <c r="BI169" i="2"/>
  <c r="BH169" i="2"/>
  <c r="BG169" i="2"/>
  <c r="BF169" i="2"/>
  <c r="AO173" i="3" s="1"/>
  <c r="X173" i="3" s="1"/>
  <c r="BE169" i="2"/>
  <c r="BD169" i="2"/>
  <c r="AI173" i="3" s="1"/>
  <c r="U173" i="3" s="1"/>
  <c r="BC169" i="2"/>
  <c r="BB169" i="2"/>
  <c r="AD169" i="2" s="1"/>
  <c r="BA169" i="2"/>
  <c r="AZ169" i="2"/>
  <c r="AX169" i="2"/>
  <c r="AW169" i="2"/>
  <c r="AV169" i="2" s="1"/>
  <c r="AU169" i="2"/>
  <c r="AT169" i="2"/>
  <c r="AR169" i="2"/>
  <c r="AQ169" i="2"/>
  <c r="AO169" i="2"/>
  <c r="AN169" i="2"/>
  <c r="AL169" i="2"/>
  <c r="AK169" i="2"/>
  <c r="AD173" i="3" s="1"/>
  <c r="K173" i="3" s="1"/>
  <c r="AI169" i="2"/>
  <c r="AH169" i="2"/>
  <c r="AG173" i="3" s="1"/>
  <c r="N173" i="3" s="1"/>
  <c r="AG169" i="2"/>
  <c r="AF169" i="2"/>
  <c r="Y169" i="2"/>
  <c r="X169" i="2"/>
  <c r="W169" i="2"/>
  <c r="V169" i="2"/>
  <c r="U169" i="2" s="1"/>
  <c r="J169" i="2"/>
  <c r="BO168" i="2"/>
  <c r="AF290" i="3" s="1"/>
  <c r="M290" i="3" s="1"/>
  <c r="BN168" i="2"/>
  <c r="AH290" i="3" s="1"/>
  <c r="O290" i="3" s="1"/>
  <c r="BM168" i="2"/>
  <c r="AM290" i="3" s="1"/>
  <c r="Q290" i="3" s="1"/>
  <c r="BL168" i="2"/>
  <c r="BH168" i="2" s="1"/>
  <c r="BK168" i="2"/>
  <c r="BI168" i="2"/>
  <c r="BG168" i="2"/>
  <c r="BF168" i="2"/>
  <c r="AO290" i="3" s="1"/>
  <c r="X290" i="3" s="1"/>
  <c r="BD168" i="2"/>
  <c r="AI290" i="3" s="1"/>
  <c r="U290" i="3" s="1"/>
  <c r="BC168" i="2"/>
  <c r="BA168" i="2"/>
  <c r="AZ168" i="2"/>
  <c r="AJ290" i="3" s="1"/>
  <c r="W290" i="3" s="1"/>
  <c r="AY168" i="2"/>
  <c r="AE168" i="2" s="1"/>
  <c r="AX168" i="2"/>
  <c r="AW168" i="2"/>
  <c r="AV168" i="2" s="1"/>
  <c r="AU168" i="2"/>
  <c r="AT168" i="2"/>
  <c r="AR168" i="2"/>
  <c r="AP168" i="2" s="1"/>
  <c r="AB168" i="2" s="1"/>
  <c r="AQ168" i="2"/>
  <c r="AK290" i="3" s="1"/>
  <c r="T290" i="3" s="1"/>
  <c r="AO168" i="2"/>
  <c r="AN168" i="2"/>
  <c r="AE290" i="3" s="1"/>
  <c r="L290" i="3" s="1"/>
  <c r="AM168" i="2"/>
  <c r="AA168" i="2" s="1"/>
  <c r="AL168" i="2"/>
  <c r="AK168" i="2"/>
  <c r="AD290" i="3" s="1"/>
  <c r="K290" i="3" s="1"/>
  <c r="AJ168" i="2"/>
  <c r="Z168" i="2" s="1"/>
  <c r="AI168" i="2"/>
  <c r="AH168" i="2"/>
  <c r="AG290" i="3" s="1"/>
  <c r="N290" i="3" s="1"/>
  <c r="X168" i="2"/>
  <c r="W168" i="2"/>
  <c r="J168" i="2" s="1"/>
  <c r="V168" i="2"/>
  <c r="U168" i="2"/>
  <c r="BO167" i="2"/>
  <c r="AF293" i="3" s="1"/>
  <c r="M293" i="3" s="1"/>
  <c r="BN167" i="2"/>
  <c r="AH293" i="3" s="1"/>
  <c r="O293" i="3" s="1"/>
  <c r="BM167" i="2"/>
  <c r="AM293" i="3" s="1"/>
  <c r="Q293" i="3" s="1"/>
  <c r="BL167" i="2"/>
  <c r="BK167" i="2"/>
  <c r="AN293" i="3" s="1"/>
  <c r="R293" i="3" s="1"/>
  <c r="BJ167" i="2"/>
  <c r="AF167" i="2" s="1"/>
  <c r="BI167" i="2"/>
  <c r="BH167" i="2"/>
  <c r="BG167" i="2"/>
  <c r="BF167" i="2"/>
  <c r="AO293" i="3" s="1"/>
  <c r="X293" i="3" s="1"/>
  <c r="BE167" i="2"/>
  <c r="BD167" i="2"/>
  <c r="AI293" i="3" s="1"/>
  <c r="U293" i="3" s="1"/>
  <c r="BC167" i="2"/>
  <c r="BB167" i="2" s="1"/>
  <c r="AD167" i="2" s="1"/>
  <c r="BA167" i="2"/>
  <c r="AZ167" i="2"/>
  <c r="AX167" i="2"/>
  <c r="AW167" i="2"/>
  <c r="AV167" i="2" s="1"/>
  <c r="AU167" i="2"/>
  <c r="AT167" i="2"/>
  <c r="AL293" i="3" s="1"/>
  <c r="S293" i="3" s="1"/>
  <c r="AS167" i="2"/>
  <c r="AR167" i="2"/>
  <c r="AQ167" i="2"/>
  <c r="AK293" i="3" s="1"/>
  <c r="T293" i="3" s="1"/>
  <c r="AO167" i="2"/>
  <c r="AN167" i="2"/>
  <c r="AL167" i="2"/>
  <c r="AK167" i="2"/>
  <c r="AD293" i="3" s="1"/>
  <c r="K293" i="3" s="1"/>
  <c r="AI167" i="2"/>
  <c r="AH167" i="2"/>
  <c r="AG293" i="3" s="1"/>
  <c r="N293" i="3" s="1"/>
  <c r="AG167" i="2"/>
  <c r="AC167" i="2"/>
  <c r="Y167" i="2"/>
  <c r="X167" i="2"/>
  <c r="W167" i="2"/>
  <c r="V167" i="2"/>
  <c r="U167" i="2" s="1"/>
  <c r="J167" i="2"/>
  <c r="BO166" i="2"/>
  <c r="AF233" i="3" s="1"/>
  <c r="M233" i="3" s="1"/>
  <c r="BN166" i="2"/>
  <c r="AH233" i="3" s="1"/>
  <c r="O233" i="3" s="1"/>
  <c r="BM166" i="2"/>
  <c r="AM233" i="3" s="1"/>
  <c r="Q233" i="3" s="1"/>
  <c r="BL166" i="2"/>
  <c r="BJ166" i="2" s="1"/>
  <c r="AF166" i="2" s="1"/>
  <c r="BK166" i="2"/>
  <c r="AN233" i="3" s="1"/>
  <c r="R233" i="3" s="1"/>
  <c r="BI166" i="2"/>
  <c r="BG166" i="2"/>
  <c r="BF166" i="2"/>
  <c r="AO233" i="3" s="1"/>
  <c r="X233" i="3" s="1"/>
  <c r="BE166" i="2"/>
  <c r="BD166" i="2"/>
  <c r="AI233" i="3" s="1"/>
  <c r="U233" i="3" s="1"/>
  <c r="BC166" i="2"/>
  <c r="BA166" i="2"/>
  <c r="AZ166" i="2"/>
  <c r="AJ233" i="3" s="1"/>
  <c r="W233" i="3" s="1"/>
  <c r="AY166" i="2"/>
  <c r="AE166" i="2" s="1"/>
  <c r="AX166" i="2"/>
  <c r="AV166" i="2" s="1"/>
  <c r="AW166" i="2"/>
  <c r="AU166" i="2"/>
  <c r="AS166" i="2" s="1"/>
  <c r="AC166" i="2" s="1"/>
  <c r="AT166" i="2"/>
  <c r="AL233" i="3" s="1"/>
  <c r="S233" i="3" s="1"/>
  <c r="AR166" i="2"/>
  <c r="AP166" i="2" s="1"/>
  <c r="AQ166" i="2"/>
  <c r="AK233" i="3" s="1"/>
  <c r="T233" i="3" s="1"/>
  <c r="AO166" i="2"/>
  <c r="AN166" i="2"/>
  <c r="AM166" i="2" s="1"/>
  <c r="AA166" i="2" s="1"/>
  <c r="AL166" i="2"/>
  <c r="AK166" i="2"/>
  <c r="AD233" i="3" s="1"/>
  <c r="K233" i="3" s="1"/>
  <c r="AJ166" i="2"/>
  <c r="Z166" i="2" s="1"/>
  <c r="AI166" i="2"/>
  <c r="AH166" i="2"/>
  <c r="AG233" i="3" s="1"/>
  <c r="N233" i="3" s="1"/>
  <c r="AG166" i="2"/>
  <c r="AB166" i="2"/>
  <c r="X166" i="2"/>
  <c r="W166" i="2"/>
  <c r="V166" i="2"/>
  <c r="U166" i="2"/>
  <c r="J166" i="2"/>
  <c r="BO165" i="2"/>
  <c r="AF234" i="3" s="1"/>
  <c r="M234" i="3" s="1"/>
  <c r="BN165" i="2"/>
  <c r="AH234" i="3" s="1"/>
  <c r="O234" i="3" s="1"/>
  <c r="BM165" i="2"/>
  <c r="AM234" i="3" s="1"/>
  <c r="Q234" i="3" s="1"/>
  <c r="BL165" i="2"/>
  <c r="BJ165" i="2" s="1"/>
  <c r="AF165" i="2" s="1"/>
  <c r="BK165" i="2"/>
  <c r="AN234" i="3" s="1"/>
  <c r="R234" i="3" s="1"/>
  <c r="BI165" i="2"/>
  <c r="BH165" i="2" s="1"/>
  <c r="BG165" i="2"/>
  <c r="BF165" i="2"/>
  <c r="AO234" i="3" s="1"/>
  <c r="X234" i="3" s="1"/>
  <c r="BE165" i="2"/>
  <c r="BD165" i="2"/>
  <c r="BC165" i="2"/>
  <c r="BB165" i="2" s="1"/>
  <c r="AD165" i="2" s="1"/>
  <c r="BA165" i="2"/>
  <c r="AZ165" i="2"/>
  <c r="AX165" i="2"/>
  <c r="AW165" i="2"/>
  <c r="AV165" i="2"/>
  <c r="AU165" i="2"/>
  <c r="AT165" i="2"/>
  <c r="AL234" i="3" s="1"/>
  <c r="S234" i="3" s="1"/>
  <c r="AR165" i="2"/>
  <c r="AP165" i="2" s="1"/>
  <c r="AB165" i="2" s="1"/>
  <c r="AQ165" i="2"/>
  <c r="AK234" i="3" s="1"/>
  <c r="T234" i="3" s="1"/>
  <c r="AO165" i="2"/>
  <c r="AM165" i="2" s="1"/>
  <c r="AN165" i="2"/>
  <c r="AE234" i="3" s="1"/>
  <c r="L234" i="3" s="1"/>
  <c r="AL165" i="2"/>
  <c r="AK165" i="2"/>
  <c r="AD234" i="3" s="1"/>
  <c r="K234" i="3" s="1"/>
  <c r="AJ165" i="2"/>
  <c r="Z165" i="2" s="1"/>
  <c r="AI165" i="2"/>
  <c r="AH165" i="2"/>
  <c r="AG234" i="3" s="1"/>
  <c r="N234" i="3" s="1"/>
  <c r="AA165" i="2"/>
  <c r="X165" i="2"/>
  <c r="W165" i="2"/>
  <c r="V165" i="2"/>
  <c r="U165" i="2"/>
  <c r="J165" i="2"/>
  <c r="BO164" i="2"/>
  <c r="AF218" i="3" s="1"/>
  <c r="M218" i="3" s="1"/>
  <c r="BN164" i="2"/>
  <c r="AH218" i="3" s="1"/>
  <c r="O218" i="3" s="1"/>
  <c r="BM164" i="2"/>
  <c r="AM218" i="3" s="1"/>
  <c r="Q218" i="3" s="1"/>
  <c r="BL164" i="2"/>
  <c r="BJ164" i="2" s="1"/>
  <c r="AF164" i="2" s="1"/>
  <c r="BK164" i="2"/>
  <c r="AN218" i="3" s="1"/>
  <c r="R218" i="3" s="1"/>
  <c r="BI164" i="2"/>
  <c r="BG164" i="2"/>
  <c r="BF164" i="2"/>
  <c r="AO218" i="3" s="1"/>
  <c r="X218" i="3" s="1"/>
  <c r="BE164" i="2"/>
  <c r="BD164" i="2"/>
  <c r="BC164" i="2"/>
  <c r="BA164" i="2"/>
  <c r="AZ164" i="2"/>
  <c r="AJ218" i="3" s="1"/>
  <c r="W218" i="3" s="1"/>
  <c r="AX164" i="2"/>
  <c r="AW164" i="2"/>
  <c r="AV164" i="2"/>
  <c r="AU164" i="2"/>
  <c r="AT164" i="2"/>
  <c r="AL218" i="3" s="1"/>
  <c r="S218" i="3" s="1"/>
  <c r="AS164" i="2"/>
  <c r="AC164" i="2" s="1"/>
  <c r="AR164" i="2"/>
  <c r="AQ164" i="2"/>
  <c r="AK218" i="3" s="1"/>
  <c r="T218" i="3" s="1"/>
  <c r="AP164" i="2"/>
  <c r="AB164" i="2" s="1"/>
  <c r="AO164" i="2"/>
  <c r="AN164" i="2"/>
  <c r="AL164" i="2"/>
  <c r="AK164" i="2"/>
  <c r="AD218" i="3" s="1"/>
  <c r="K218" i="3" s="1"/>
  <c r="AJ164" i="2"/>
  <c r="Z164" i="2" s="1"/>
  <c r="AI164" i="2"/>
  <c r="AG164" i="2" s="1"/>
  <c r="AH164" i="2"/>
  <c r="AG218" i="3" s="1"/>
  <c r="N218" i="3" s="1"/>
  <c r="X164" i="2"/>
  <c r="W164" i="2"/>
  <c r="V164" i="2"/>
  <c r="U164" i="2"/>
  <c r="J164" i="2"/>
  <c r="BO163" i="2"/>
  <c r="AF246" i="3" s="1"/>
  <c r="M246" i="3" s="1"/>
  <c r="BN163" i="2"/>
  <c r="AH246" i="3" s="1"/>
  <c r="O246" i="3" s="1"/>
  <c r="BM163" i="2"/>
  <c r="AM246" i="3" s="1"/>
  <c r="Q246" i="3" s="1"/>
  <c r="BL163" i="2"/>
  <c r="BJ163" i="2" s="1"/>
  <c r="AF163" i="2" s="1"/>
  <c r="BK163" i="2"/>
  <c r="AN246" i="3" s="1"/>
  <c r="R246" i="3" s="1"/>
  <c r="BI163" i="2"/>
  <c r="BH163" i="2" s="1"/>
  <c r="BG163" i="2"/>
  <c r="BF163" i="2"/>
  <c r="AO246" i="3" s="1"/>
  <c r="X246" i="3" s="1"/>
  <c r="BE163" i="2"/>
  <c r="BD163" i="2"/>
  <c r="AI246" i="3" s="1"/>
  <c r="U246" i="3" s="1"/>
  <c r="BC163" i="2"/>
  <c r="BB163" i="2" s="1"/>
  <c r="AD163" i="2" s="1"/>
  <c r="BA163" i="2"/>
  <c r="AZ163" i="2"/>
  <c r="AJ246" i="3" s="1"/>
  <c r="W246" i="3" s="1"/>
  <c r="AY163" i="2"/>
  <c r="AE163" i="2" s="1"/>
  <c r="AX163" i="2"/>
  <c r="AW163" i="2"/>
  <c r="AV163" i="2" s="1"/>
  <c r="AU163" i="2"/>
  <c r="AT163" i="2"/>
  <c r="AL246" i="3" s="1"/>
  <c r="AR163" i="2"/>
  <c r="AQ163" i="2"/>
  <c r="AK246" i="3" s="1"/>
  <c r="T246" i="3" s="1"/>
  <c r="AP163" i="2"/>
  <c r="AO163" i="2"/>
  <c r="AN163" i="2"/>
  <c r="AE246" i="3" s="1"/>
  <c r="L246" i="3" s="1"/>
  <c r="AM163" i="2"/>
  <c r="AL163" i="2"/>
  <c r="AK163" i="2"/>
  <c r="AD246" i="3" s="1"/>
  <c r="K246" i="3" s="1"/>
  <c r="AJ163" i="2"/>
  <c r="Z163" i="2" s="1"/>
  <c r="AI163" i="2"/>
  <c r="AH163" i="2"/>
  <c r="AG246" i="3" s="1"/>
  <c r="N246" i="3" s="1"/>
  <c r="AG163" i="2"/>
  <c r="AB163" i="2"/>
  <c r="AA163" i="2"/>
  <c r="Y163" i="2"/>
  <c r="X163" i="2"/>
  <c r="W163" i="2"/>
  <c r="V163" i="2"/>
  <c r="U163" i="2"/>
  <c r="J163" i="2"/>
  <c r="BO162" i="2"/>
  <c r="AF67" i="3" s="1"/>
  <c r="M67" i="3" s="1"/>
  <c r="BN162" i="2"/>
  <c r="AH67" i="3" s="1"/>
  <c r="BM162" i="2"/>
  <c r="AM67" i="3" s="1"/>
  <c r="Q67" i="3" s="1"/>
  <c r="BL162" i="2"/>
  <c r="BK162" i="2"/>
  <c r="AN67" i="3" s="1"/>
  <c r="R67" i="3" s="1"/>
  <c r="BJ162" i="2"/>
  <c r="BI162" i="2"/>
  <c r="BH162" i="2"/>
  <c r="BG162" i="2"/>
  <c r="BF162" i="2"/>
  <c r="AO67" i="3" s="1"/>
  <c r="X67" i="3" s="1"/>
  <c r="BE162" i="2"/>
  <c r="BD162" i="2"/>
  <c r="AI67" i="3" s="1"/>
  <c r="U67" i="3" s="1"/>
  <c r="BC162" i="2"/>
  <c r="BB162" i="2"/>
  <c r="AD162" i="2" s="1"/>
  <c r="BA162" i="2"/>
  <c r="AZ162" i="2"/>
  <c r="AX162" i="2"/>
  <c r="AW162" i="2"/>
  <c r="AV162" i="2"/>
  <c r="AU162" i="2"/>
  <c r="AT162" i="2"/>
  <c r="AR162" i="2"/>
  <c r="AQ162" i="2"/>
  <c r="AK67" i="3" s="1"/>
  <c r="T67" i="3" s="1"/>
  <c r="AP162" i="2"/>
  <c r="AB162" i="2" s="1"/>
  <c r="AO162" i="2"/>
  <c r="AN162" i="2"/>
  <c r="AL162" i="2"/>
  <c r="AK162" i="2"/>
  <c r="AJ162" i="2" s="1"/>
  <c r="Z162" i="2" s="1"/>
  <c r="AI162" i="2"/>
  <c r="AH162" i="2"/>
  <c r="AG67" i="3" s="1"/>
  <c r="AG162" i="2"/>
  <c r="AF162" i="2"/>
  <c r="Y162" i="2"/>
  <c r="X162" i="2"/>
  <c r="W162" i="2"/>
  <c r="V162" i="2"/>
  <c r="U162" i="2" s="1"/>
  <c r="J162" i="2"/>
  <c r="BO161" i="2"/>
  <c r="AF14" i="3" s="1"/>
  <c r="M14" i="3" s="1"/>
  <c r="BN161" i="2"/>
  <c r="AH14" i="3" s="1"/>
  <c r="O14" i="3" s="1"/>
  <c r="BM161" i="2"/>
  <c r="AM14" i="3" s="1"/>
  <c r="BL161" i="2"/>
  <c r="BK161" i="2"/>
  <c r="BI161" i="2"/>
  <c r="BH161" i="2"/>
  <c r="BG161" i="2"/>
  <c r="BF161" i="2"/>
  <c r="AO14" i="3" s="1"/>
  <c r="X14" i="3" s="1"/>
  <c r="BD161" i="2"/>
  <c r="AI14" i="3" s="1"/>
  <c r="BC161" i="2"/>
  <c r="BB161" i="2"/>
  <c r="BA161" i="2"/>
  <c r="AZ161" i="2"/>
  <c r="AX161" i="2"/>
  <c r="AW161" i="2"/>
  <c r="AV161" i="2"/>
  <c r="AU161" i="2"/>
  <c r="AT161" i="2"/>
  <c r="AL14" i="3" s="1"/>
  <c r="S14" i="3" s="1"/>
  <c r="AS161" i="2"/>
  <c r="AC161" i="2" s="1"/>
  <c r="AR161" i="2"/>
  <c r="AQ161" i="2"/>
  <c r="AK14" i="3" s="1"/>
  <c r="T14" i="3" s="1"/>
  <c r="AP161" i="2"/>
  <c r="AB161" i="2" s="1"/>
  <c r="AO161" i="2"/>
  <c r="AM161" i="2" s="1"/>
  <c r="AA161" i="2" s="1"/>
  <c r="AN161" i="2"/>
  <c r="AE14" i="3" s="1"/>
  <c r="L14" i="3" s="1"/>
  <c r="AL161" i="2"/>
  <c r="AK161" i="2"/>
  <c r="AD14" i="3" s="1"/>
  <c r="K14" i="3" s="1"/>
  <c r="AJ161" i="2"/>
  <c r="Z161" i="2" s="1"/>
  <c r="AI161" i="2"/>
  <c r="AH161" i="2"/>
  <c r="AD161" i="2"/>
  <c r="X161" i="2"/>
  <c r="W161" i="2"/>
  <c r="V161" i="2"/>
  <c r="U161" i="2" s="1"/>
  <c r="J161" i="2"/>
  <c r="BO160" i="2"/>
  <c r="AF327" i="3" s="1"/>
  <c r="M327" i="3" s="1"/>
  <c r="BN160" i="2"/>
  <c r="AH327" i="3" s="1"/>
  <c r="O327" i="3" s="1"/>
  <c r="BM160" i="2"/>
  <c r="AM327" i="3" s="1"/>
  <c r="Q327" i="3" s="1"/>
  <c r="BL160" i="2"/>
  <c r="BK160" i="2"/>
  <c r="AN327" i="3" s="1"/>
  <c r="R327" i="3" s="1"/>
  <c r="BJ160" i="2"/>
  <c r="AF160" i="2" s="1"/>
  <c r="BI160" i="2"/>
  <c r="BH160" i="2" s="1"/>
  <c r="BG160" i="2"/>
  <c r="BF160" i="2"/>
  <c r="AO327" i="3" s="1"/>
  <c r="X327" i="3" s="1"/>
  <c r="BE160" i="2"/>
  <c r="BD160" i="2"/>
  <c r="AI327" i="3" s="1"/>
  <c r="U327" i="3" s="1"/>
  <c r="BC160" i="2"/>
  <c r="BB160" i="2" s="1"/>
  <c r="AD160" i="2" s="1"/>
  <c r="BA160" i="2"/>
  <c r="AZ160" i="2"/>
  <c r="AX160" i="2"/>
  <c r="AW160" i="2"/>
  <c r="AV160" i="2" s="1"/>
  <c r="AU160" i="2"/>
  <c r="AT160" i="2"/>
  <c r="AL327" i="3" s="1"/>
  <c r="S327" i="3" s="1"/>
  <c r="AS160" i="2"/>
  <c r="AR160" i="2"/>
  <c r="AQ160" i="2"/>
  <c r="AK327" i="3" s="1"/>
  <c r="T327" i="3" s="1"/>
  <c r="AP160" i="2"/>
  <c r="AB160" i="2" s="1"/>
  <c r="AO160" i="2"/>
  <c r="AN160" i="2"/>
  <c r="AL160" i="2"/>
  <c r="AK160" i="2"/>
  <c r="AD327" i="3" s="1"/>
  <c r="K327" i="3" s="1"/>
  <c r="AI160" i="2"/>
  <c r="AH160" i="2"/>
  <c r="AG327" i="3" s="1"/>
  <c r="N327" i="3" s="1"/>
  <c r="AG160" i="2"/>
  <c r="Y160" i="2" s="1"/>
  <c r="AC160" i="2"/>
  <c r="X160" i="2"/>
  <c r="W160" i="2"/>
  <c r="V160" i="2"/>
  <c r="U160" i="2" s="1"/>
  <c r="J160" i="2"/>
  <c r="BO159" i="2"/>
  <c r="AF319" i="3" s="1"/>
  <c r="M319" i="3" s="1"/>
  <c r="BN159" i="2"/>
  <c r="AH319" i="3" s="1"/>
  <c r="O319" i="3" s="1"/>
  <c r="BM159" i="2"/>
  <c r="AM319" i="3" s="1"/>
  <c r="Q319" i="3" s="1"/>
  <c r="BL159" i="2"/>
  <c r="BK159" i="2"/>
  <c r="AN319" i="3" s="1"/>
  <c r="R319" i="3" s="1"/>
  <c r="BJ159" i="2"/>
  <c r="AF159" i="2" s="1"/>
  <c r="BI159" i="2"/>
  <c r="BH159" i="2"/>
  <c r="BG159" i="2"/>
  <c r="BF159" i="2"/>
  <c r="AO319" i="3" s="1"/>
  <c r="X319" i="3" s="1"/>
  <c r="BE159" i="2"/>
  <c r="BD159" i="2"/>
  <c r="AI319" i="3" s="1"/>
  <c r="U319" i="3" s="1"/>
  <c r="BC159" i="2"/>
  <c r="BB159" i="2" s="1"/>
  <c r="AD159" i="2" s="1"/>
  <c r="BA159" i="2"/>
  <c r="AZ159" i="2"/>
  <c r="AX159" i="2"/>
  <c r="AW159" i="2"/>
  <c r="AV159" i="2" s="1"/>
  <c r="AU159" i="2"/>
  <c r="AT159" i="2"/>
  <c r="AL319" i="3" s="1"/>
  <c r="S319" i="3" s="1"/>
  <c r="AS159" i="2"/>
  <c r="AR159" i="2"/>
  <c r="AP159" i="2" s="1"/>
  <c r="AQ159" i="2"/>
  <c r="AK319" i="3" s="1"/>
  <c r="T319" i="3" s="1"/>
  <c r="AO159" i="2"/>
  <c r="AN159" i="2"/>
  <c r="AE319" i="3" s="1"/>
  <c r="L319" i="3" s="1"/>
  <c r="AL159" i="2"/>
  <c r="AK159" i="2"/>
  <c r="AD319" i="3" s="1"/>
  <c r="K319" i="3" s="1"/>
  <c r="AJ159" i="2"/>
  <c r="Z159" i="2" s="1"/>
  <c r="AI159" i="2"/>
  <c r="AH159" i="2"/>
  <c r="AC159" i="2"/>
  <c r="AB159" i="2"/>
  <c r="X159" i="2"/>
  <c r="W159" i="2"/>
  <c r="J159" i="2" s="1"/>
  <c r="V159" i="2"/>
  <c r="U159" i="2"/>
  <c r="BO158" i="2"/>
  <c r="AF57" i="3" s="1"/>
  <c r="M57" i="3" s="1"/>
  <c r="BN158" i="2"/>
  <c r="AH57" i="3" s="1"/>
  <c r="O57" i="3" s="1"/>
  <c r="BM158" i="2"/>
  <c r="AM57" i="3" s="1"/>
  <c r="BL158" i="2"/>
  <c r="BK158" i="2"/>
  <c r="AN57" i="3" s="1"/>
  <c r="R57" i="3" s="1"/>
  <c r="BJ158" i="2"/>
  <c r="AF158" i="2" s="1"/>
  <c r="BI158" i="2"/>
  <c r="BH158" i="2" s="1"/>
  <c r="BG158" i="2"/>
  <c r="BF158" i="2"/>
  <c r="AO57" i="3" s="1"/>
  <c r="X57" i="3" s="1"/>
  <c r="BE158" i="2"/>
  <c r="BD158" i="2"/>
  <c r="AI57" i="3" s="1"/>
  <c r="U57" i="3" s="1"/>
  <c r="BC158" i="2"/>
  <c r="BB158" i="2"/>
  <c r="AD158" i="2" s="1"/>
  <c r="BA158" i="2"/>
  <c r="AZ158" i="2"/>
  <c r="AX158" i="2"/>
  <c r="AW158" i="2"/>
  <c r="AV158" i="2"/>
  <c r="AU158" i="2"/>
  <c r="AT158" i="2"/>
  <c r="AL57" i="3" s="1"/>
  <c r="S57" i="3" s="1"/>
  <c r="AS158" i="2"/>
  <c r="AC158" i="2" s="1"/>
  <c r="AR158" i="2"/>
  <c r="AQ158" i="2"/>
  <c r="AK57" i="3" s="1"/>
  <c r="T57" i="3" s="1"/>
  <c r="AO158" i="2"/>
  <c r="AN158" i="2"/>
  <c r="AE57" i="3" s="1"/>
  <c r="L57" i="3" s="1"/>
  <c r="AM158" i="2"/>
  <c r="AA158" i="2" s="1"/>
  <c r="AL158" i="2"/>
  <c r="AK158" i="2"/>
  <c r="AD57" i="3" s="1"/>
  <c r="K57" i="3" s="1"/>
  <c r="AJ158" i="2"/>
  <c r="Z158" i="2" s="1"/>
  <c r="AI158" i="2"/>
  <c r="AH158" i="2"/>
  <c r="AG57" i="3" s="1"/>
  <c r="N57" i="3" s="1"/>
  <c r="X158" i="2"/>
  <c r="W158" i="2"/>
  <c r="V158" i="2"/>
  <c r="U158" i="2" s="1"/>
  <c r="J158" i="2"/>
  <c r="BO157" i="2"/>
  <c r="AF160" i="3" s="1"/>
  <c r="M160" i="3" s="1"/>
  <c r="BN157" i="2"/>
  <c r="AH160" i="3" s="1"/>
  <c r="O160" i="3" s="1"/>
  <c r="BM157" i="2"/>
  <c r="AM160" i="3" s="1"/>
  <c r="Q160" i="3" s="1"/>
  <c r="BL157" i="2"/>
  <c r="BK157" i="2"/>
  <c r="AN160" i="3" s="1"/>
  <c r="R160" i="3" s="1"/>
  <c r="BJ157" i="2"/>
  <c r="BI157" i="2"/>
  <c r="BH157" i="2"/>
  <c r="BG157" i="2"/>
  <c r="BF157" i="2"/>
  <c r="AO160" i="3" s="1"/>
  <c r="X160" i="3" s="1"/>
  <c r="BE157" i="2"/>
  <c r="BD157" i="2"/>
  <c r="AI160" i="3" s="1"/>
  <c r="U160" i="3" s="1"/>
  <c r="BC157" i="2"/>
  <c r="BB157" i="2"/>
  <c r="BA157" i="2"/>
  <c r="AZ157" i="2"/>
  <c r="AJ160" i="3" s="1"/>
  <c r="W160" i="3" s="1"/>
  <c r="AX157" i="2"/>
  <c r="AW157" i="2"/>
  <c r="AV157" i="2"/>
  <c r="AU157" i="2"/>
  <c r="AT157" i="2"/>
  <c r="AL160" i="3" s="1"/>
  <c r="S160" i="3" s="1"/>
  <c r="AS157" i="2"/>
  <c r="AR157" i="2"/>
  <c r="AQ157" i="2"/>
  <c r="AK160" i="3" s="1"/>
  <c r="T160" i="3" s="1"/>
  <c r="AP157" i="2"/>
  <c r="AO157" i="2"/>
  <c r="AN157" i="2"/>
  <c r="AE160" i="3" s="1"/>
  <c r="L160" i="3" s="1"/>
  <c r="AM157" i="2"/>
  <c r="AA157" i="2" s="1"/>
  <c r="AL157" i="2"/>
  <c r="AK157" i="2"/>
  <c r="AI157" i="2"/>
  <c r="AH157" i="2"/>
  <c r="AG160" i="3" s="1"/>
  <c r="N160" i="3" s="1"/>
  <c r="AG157" i="2"/>
  <c r="Y157" i="2" s="1"/>
  <c r="AF157" i="2"/>
  <c r="AD157" i="2"/>
  <c r="AC157" i="2"/>
  <c r="AB157" i="2"/>
  <c r="X157" i="2"/>
  <c r="W157" i="2"/>
  <c r="V157" i="2"/>
  <c r="U157" i="2"/>
  <c r="J157" i="2"/>
  <c r="BO156" i="2"/>
  <c r="AF16" i="3" s="1"/>
  <c r="M16" i="3" s="1"/>
  <c r="BN156" i="2"/>
  <c r="AH16" i="3" s="1"/>
  <c r="O16" i="3" s="1"/>
  <c r="BM156" i="2"/>
  <c r="AM16" i="3" s="1"/>
  <c r="Q16" i="3" s="1"/>
  <c r="BL156" i="2"/>
  <c r="BK156" i="2"/>
  <c r="AN16" i="3" s="1"/>
  <c r="R16" i="3" s="1"/>
  <c r="BJ156" i="2"/>
  <c r="AF156" i="2" s="1"/>
  <c r="BI156" i="2"/>
  <c r="BH156" i="2" s="1"/>
  <c r="BG156" i="2"/>
  <c r="BF156" i="2"/>
  <c r="BD156" i="2"/>
  <c r="AI16" i="3" s="1"/>
  <c r="U16" i="3" s="1"/>
  <c r="BC156" i="2"/>
  <c r="BB156" i="2" s="1"/>
  <c r="AD156" i="2" s="1"/>
  <c r="BA156" i="2"/>
  <c r="AZ156" i="2"/>
  <c r="AJ16" i="3" s="1"/>
  <c r="W16" i="3" s="1"/>
  <c r="AY156" i="2"/>
  <c r="AE156" i="2" s="1"/>
  <c r="AX156" i="2"/>
  <c r="AW156" i="2"/>
  <c r="AV156" i="2"/>
  <c r="AU156" i="2"/>
  <c r="AT156" i="2"/>
  <c r="AL16" i="3" s="1"/>
  <c r="S16" i="3" s="1"/>
  <c r="AR156" i="2"/>
  <c r="AQ156" i="2"/>
  <c r="AK16" i="3" s="1"/>
  <c r="T16" i="3" s="1"/>
  <c r="AP156" i="2"/>
  <c r="AO156" i="2"/>
  <c r="AN156" i="2"/>
  <c r="AE16" i="3" s="1"/>
  <c r="L16" i="3" s="1"/>
  <c r="AM156" i="2"/>
  <c r="AL156" i="2"/>
  <c r="AJ156" i="2" s="1"/>
  <c r="Z156" i="2" s="1"/>
  <c r="AK156" i="2"/>
  <c r="AD16" i="3" s="1"/>
  <c r="K16" i="3" s="1"/>
  <c r="AI156" i="2"/>
  <c r="AH156" i="2"/>
  <c r="AG16" i="3" s="1"/>
  <c r="N16" i="3" s="1"/>
  <c r="AG156" i="2"/>
  <c r="AB156" i="2"/>
  <c r="AA156" i="2"/>
  <c r="Y156" i="2"/>
  <c r="X156" i="2"/>
  <c r="W156" i="2"/>
  <c r="V156" i="2"/>
  <c r="U156" i="2" s="1"/>
  <c r="J156" i="2"/>
  <c r="BO155" i="2"/>
  <c r="AF259" i="3" s="1"/>
  <c r="M259" i="3" s="1"/>
  <c r="BN155" i="2"/>
  <c r="AH259" i="3" s="1"/>
  <c r="O259" i="3" s="1"/>
  <c r="BM155" i="2"/>
  <c r="AM259" i="3" s="1"/>
  <c r="Q259" i="3" s="1"/>
  <c r="BL155" i="2"/>
  <c r="BK155" i="2"/>
  <c r="AN259" i="3" s="1"/>
  <c r="R259" i="3" s="1"/>
  <c r="BJ155" i="2"/>
  <c r="BI155" i="2"/>
  <c r="BH155" i="2"/>
  <c r="BG155" i="2"/>
  <c r="BF155" i="2"/>
  <c r="AO259" i="3" s="1"/>
  <c r="X259" i="3" s="1"/>
  <c r="BD155" i="2"/>
  <c r="AI259" i="3" s="1"/>
  <c r="U259" i="3" s="1"/>
  <c r="BC155" i="2"/>
  <c r="BB155" i="2"/>
  <c r="AD155" i="2" s="1"/>
  <c r="BA155" i="2"/>
  <c r="AZ155" i="2"/>
  <c r="AJ259" i="3" s="1"/>
  <c r="W259" i="3" s="1"/>
  <c r="AX155" i="2"/>
  <c r="AW155" i="2"/>
  <c r="AV155" i="2" s="1"/>
  <c r="AU155" i="2"/>
  <c r="AT155" i="2"/>
  <c r="AL259" i="3" s="1"/>
  <c r="S259" i="3" s="1"/>
  <c r="AR155" i="2"/>
  <c r="AQ155" i="2"/>
  <c r="AK259" i="3" s="1"/>
  <c r="T259" i="3" s="1"/>
  <c r="AO155" i="2"/>
  <c r="AN155" i="2"/>
  <c r="AL155" i="2"/>
  <c r="AK155" i="2"/>
  <c r="AD259" i="3" s="1"/>
  <c r="K259" i="3" s="1"/>
  <c r="AI155" i="2"/>
  <c r="AH155" i="2"/>
  <c r="AG259" i="3" s="1"/>
  <c r="N259" i="3" s="1"/>
  <c r="AG155" i="2"/>
  <c r="AF155" i="2"/>
  <c r="Y155" i="2"/>
  <c r="X155" i="2"/>
  <c r="W155" i="2"/>
  <c r="J155" i="2" s="1"/>
  <c r="V155" i="2"/>
  <c r="U155" i="2" s="1"/>
  <c r="BO154" i="2"/>
  <c r="AF58" i="3" s="1"/>
  <c r="M58" i="3" s="1"/>
  <c r="BN154" i="2"/>
  <c r="AH58" i="3" s="1"/>
  <c r="O58" i="3" s="1"/>
  <c r="BM154" i="2"/>
  <c r="AM58" i="3" s="1"/>
  <c r="Q58" i="3" s="1"/>
  <c r="BL154" i="2"/>
  <c r="BK154" i="2"/>
  <c r="BI154" i="2"/>
  <c r="BH154" i="2"/>
  <c r="BG154" i="2"/>
  <c r="BF154" i="2"/>
  <c r="AO58" i="3" s="1"/>
  <c r="X58" i="3" s="1"/>
  <c r="BD154" i="2"/>
  <c r="AI58" i="3" s="1"/>
  <c r="U58" i="3" s="1"/>
  <c r="BC154" i="2"/>
  <c r="BB154" i="2"/>
  <c r="BA154" i="2"/>
  <c r="AZ154" i="2"/>
  <c r="AJ58" i="3" s="1"/>
  <c r="W58" i="3" s="1"/>
  <c r="AY154" i="2"/>
  <c r="AE154" i="2" s="1"/>
  <c r="AX154" i="2"/>
  <c r="AW154" i="2"/>
  <c r="AV154" i="2" s="1"/>
  <c r="AU154" i="2"/>
  <c r="AT154" i="2"/>
  <c r="AL58" i="3" s="1"/>
  <c r="S58" i="3" s="1"/>
  <c r="AR154" i="2"/>
  <c r="AQ154" i="2"/>
  <c r="AK58" i="3" s="1"/>
  <c r="T58" i="3" s="1"/>
  <c r="AP154" i="2"/>
  <c r="AB154" i="2" s="1"/>
  <c r="AO154" i="2"/>
  <c r="AN154" i="2"/>
  <c r="AE58" i="3" s="1"/>
  <c r="L58" i="3" s="1"/>
  <c r="AL154" i="2"/>
  <c r="AK154" i="2"/>
  <c r="AI154" i="2"/>
  <c r="AH154" i="2"/>
  <c r="AG58" i="3" s="1"/>
  <c r="N58" i="3" s="1"/>
  <c r="AG154" i="2"/>
  <c r="Y154" i="2" s="1"/>
  <c r="AD154" i="2"/>
  <c r="X154" i="2"/>
  <c r="W154" i="2"/>
  <c r="J154" i="2" s="1"/>
  <c r="V154" i="2"/>
  <c r="U154" i="2"/>
  <c r="BO153" i="2"/>
  <c r="AF269" i="3" s="1"/>
  <c r="M269" i="3" s="1"/>
  <c r="BN153" i="2"/>
  <c r="AH269" i="3" s="1"/>
  <c r="O269" i="3" s="1"/>
  <c r="BM153" i="2"/>
  <c r="AM269" i="3" s="1"/>
  <c r="Q269" i="3" s="1"/>
  <c r="BL153" i="2"/>
  <c r="BK153" i="2"/>
  <c r="BI153" i="2"/>
  <c r="BH153" i="2"/>
  <c r="BG153" i="2"/>
  <c r="BF153" i="2"/>
  <c r="AO269" i="3" s="1"/>
  <c r="X269" i="3" s="1"/>
  <c r="BE153" i="2"/>
  <c r="BD153" i="2"/>
  <c r="AI269" i="3" s="1"/>
  <c r="U269" i="3" s="1"/>
  <c r="BC153" i="2"/>
  <c r="BB153" i="2" s="1"/>
  <c r="AD153" i="2" s="1"/>
  <c r="BA153" i="2"/>
  <c r="AZ153" i="2"/>
  <c r="AX153" i="2"/>
  <c r="AW153" i="2"/>
  <c r="AV153" i="2" s="1"/>
  <c r="AU153" i="2"/>
  <c r="AT153" i="2"/>
  <c r="AL269" i="3" s="1"/>
  <c r="S269" i="3" s="1"/>
  <c r="AS153" i="2"/>
  <c r="AR153" i="2"/>
  <c r="AQ153" i="2"/>
  <c r="AK269" i="3" s="1"/>
  <c r="T269" i="3" s="1"/>
  <c r="AP153" i="2"/>
  <c r="AB153" i="2" s="1"/>
  <c r="AO153" i="2"/>
  <c r="AN153" i="2"/>
  <c r="AL153" i="2"/>
  <c r="AJ153" i="2" s="1"/>
  <c r="Z153" i="2" s="1"/>
  <c r="AK153" i="2"/>
  <c r="AD269" i="3" s="1"/>
  <c r="K269" i="3" s="1"/>
  <c r="AI153" i="2"/>
  <c r="AH153" i="2"/>
  <c r="AC153" i="2"/>
  <c r="X153" i="2"/>
  <c r="W153" i="2"/>
  <c r="V153" i="2"/>
  <c r="U153" i="2" s="1"/>
  <c r="J153" i="2"/>
  <c r="BO152" i="2"/>
  <c r="AF329" i="3" s="1"/>
  <c r="M329" i="3" s="1"/>
  <c r="BN152" i="2"/>
  <c r="AH329" i="3" s="1"/>
  <c r="O329" i="3" s="1"/>
  <c r="BM152" i="2"/>
  <c r="AM329" i="3" s="1"/>
  <c r="Q329" i="3" s="1"/>
  <c r="BL152" i="2"/>
  <c r="BK152" i="2"/>
  <c r="BI152" i="2"/>
  <c r="BH152" i="2"/>
  <c r="BG152" i="2"/>
  <c r="BF152" i="2"/>
  <c r="AO329" i="3" s="1"/>
  <c r="X329" i="3" s="1"/>
  <c r="BE152" i="2"/>
  <c r="BD152" i="2"/>
  <c r="AI329" i="3" s="1"/>
  <c r="U329" i="3" s="1"/>
  <c r="BC152" i="2"/>
  <c r="BB152" i="2"/>
  <c r="AD152" i="2" s="1"/>
  <c r="BA152" i="2"/>
  <c r="AZ152" i="2"/>
  <c r="AJ329" i="3" s="1"/>
  <c r="W329" i="3" s="1"/>
  <c r="AY152" i="2"/>
  <c r="AE152" i="2" s="1"/>
  <c r="AX152" i="2"/>
  <c r="AW152" i="2"/>
  <c r="AV152" i="2"/>
  <c r="AU152" i="2"/>
  <c r="AT152" i="2"/>
  <c r="AL329" i="3" s="1"/>
  <c r="S329" i="3" s="1"/>
  <c r="AS152" i="2"/>
  <c r="AR152" i="2"/>
  <c r="AQ152" i="2"/>
  <c r="AK329" i="3" s="1"/>
  <c r="T329" i="3" s="1"/>
  <c r="AP152" i="2"/>
  <c r="AO152" i="2"/>
  <c r="AN152" i="2"/>
  <c r="AE329" i="3" s="1"/>
  <c r="L329" i="3" s="1"/>
  <c r="AL152" i="2"/>
  <c r="AK152" i="2"/>
  <c r="AD329" i="3" s="1"/>
  <c r="K329" i="3" s="1"/>
  <c r="AJ152" i="2"/>
  <c r="AI152" i="2"/>
  <c r="AH152" i="2"/>
  <c r="AC152" i="2"/>
  <c r="AB152" i="2"/>
  <c r="Z152" i="2"/>
  <c r="X152" i="2"/>
  <c r="W152" i="2"/>
  <c r="J152" i="2" s="1"/>
  <c r="V152" i="2"/>
  <c r="U152" i="2"/>
  <c r="AF151" i="2"/>
  <c r="AE151" i="2"/>
  <c r="AD151" i="2"/>
  <c r="AC151" i="2"/>
  <c r="AB151" i="2"/>
  <c r="AA151" i="2"/>
  <c r="Z151" i="2"/>
  <c r="Y151" i="2"/>
  <c r="X151" i="2"/>
  <c r="W151" i="2"/>
  <c r="V151" i="2"/>
  <c r="U151" i="2"/>
  <c r="J151" i="2"/>
  <c r="BO150" i="2"/>
  <c r="AF334" i="3" s="1"/>
  <c r="M334" i="3" s="1"/>
  <c r="BN150" i="2"/>
  <c r="AH334" i="3" s="1"/>
  <c r="O334" i="3" s="1"/>
  <c r="BM150" i="2"/>
  <c r="AM334" i="3" s="1"/>
  <c r="Q334" i="3" s="1"/>
  <c r="BL150" i="2"/>
  <c r="BK150" i="2"/>
  <c r="AN334" i="3" s="1"/>
  <c r="R334" i="3" s="1"/>
  <c r="BI150" i="2"/>
  <c r="BH150" i="2"/>
  <c r="BG150" i="2"/>
  <c r="BF150" i="2"/>
  <c r="AO334" i="3" s="1"/>
  <c r="X334" i="3" s="1"/>
  <c r="BE150" i="2"/>
  <c r="BD150" i="2"/>
  <c r="AI334" i="3" s="1"/>
  <c r="U334" i="3" s="1"/>
  <c r="BC150" i="2"/>
  <c r="BB150" i="2"/>
  <c r="AD150" i="2" s="1"/>
  <c r="BA150" i="2"/>
  <c r="AZ150" i="2"/>
  <c r="AJ334" i="3" s="1"/>
  <c r="W334" i="3" s="1"/>
  <c r="AY150" i="2"/>
  <c r="AX150" i="2"/>
  <c r="AW150" i="2"/>
  <c r="AV150" i="2" s="1"/>
  <c r="AU150" i="2"/>
  <c r="AT150" i="2"/>
  <c r="AL334" i="3" s="1"/>
  <c r="S334" i="3" s="1"/>
  <c r="AR150" i="2"/>
  <c r="AQ150" i="2"/>
  <c r="AK334" i="3" s="1"/>
  <c r="T334" i="3" s="1"/>
  <c r="AP150" i="2"/>
  <c r="AO150" i="2"/>
  <c r="AN150" i="2"/>
  <c r="AL150" i="2"/>
  <c r="AK150" i="2"/>
  <c r="AI150" i="2"/>
  <c r="AH150" i="2"/>
  <c r="AG334" i="3" s="1"/>
  <c r="N334" i="3" s="1"/>
  <c r="AG150" i="2"/>
  <c r="AE150" i="2"/>
  <c r="AB150" i="2"/>
  <c r="Y150" i="2"/>
  <c r="X150" i="2"/>
  <c r="W150" i="2"/>
  <c r="V150" i="2"/>
  <c r="U150" i="2"/>
  <c r="BO149" i="2"/>
  <c r="AF294" i="3" s="1"/>
  <c r="M294" i="3" s="1"/>
  <c r="BN149" i="2"/>
  <c r="BM149" i="2"/>
  <c r="AM294" i="3" s="1"/>
  <c r="Q294" i="3" s="1"/>
  <c r="BL149" i="2"/>
  <c r="BK149" i="2"/>
  <c r="AN294" i="3" s="1"/>
  <c r="R294" i="3" s="1"/>
  <c r="BJ149" i="2"/>
  <c r="BI149" i="2"/>
  <c r="BH149" i="2"/>
  <c r="BG149" i="2"/>
  <c r="BF149" i="2"/>
  <c r="BD149" i="2"/>
  <c r="AI294" i="3" s="1"/>
  <c r="U294" i="3" s="1"/>
  <c r="BC149" i="2"/>
  <c r="BB149" i="2"/>
  <c r="AD149" i="2" s="1"/>
  <c r="BA149" i="2"/>
  <c r="AZ149" i="2"/>
  <c r="AJ294" i="3" s="1"/>
  <c r="W294" i="3" s="1"/>
  <c r="AY149" i="2"/>
  <c r="AE149" i="2" s="1"/>
  <c r="AX149" i="2"/>
  <c r="AW149" i="2"/>
  <c r="AV149" i="2" s="1"/>
  <c r="AU149" i="2"/>
  <c r="AT149" i="2"/>
  <c r="AL294" i="3" s="1"/>
  <c r="S294" i="3" s="1"/>
  <c r="AS149" i="2"/>
  <c r="AC149" i="2" s="1"/>
  <c r="AR149" i="2"/>
  <c r="AQ149" i="2"/>
  <c r="AK294" i="3" s="1"/>
  <c r="T294" i="3" s="1"/>
  <c r="AP149" i="2"/>
  <c r="AB149" i="2" s="1"/>
  <c r="AO149" i="2"/>
  <c r="AN149" i="2"/>
  <c r="AL149" i="2"/>
  <c r="AK149" i="2"/>
  <c r="AD294" i="3" s="1"/>
  <c r="K294" i="3" s="1"/>
  <c r="AI149" i="2"/>
  <c r="AH149" i="2"/>
  <c r="AG294" i="3" s="1"/>
  <c r="N294" i="3" s="1"/>
  <c r="AG149" i="2"/>
  <c r="AF149" i="2"/>
  <c r="Y149" i="2"/>
  <c r="X149" i="2"/>
  <c r="W149" i="2"/>
  <c r="J149" i="2" s="1"/>
  <c r="V149" i="2"/>
  <c r="U149" i="2"/>
  <c r="BO148" i="2"/>
  <c r="AF188" i="3" s="1"/>
  <c r="M188" i="3" s="1"/>
  <c r="BN148" i="2"/>
  <c r="AH188" i="3" s="1"/>
  <c r="O188" i="3" s="1"/>
  <c r="BM148" i="2"/>
  <c r="AM188" i="3" s="1"/>
  <c r="Q188" i="3" s="1"/>
  <c r="BL148" i="2"/>
  <c r="BK148" i="2"/>
  <c r="AN188" i="3" s="1"/>
  <c r="R188" i="3" s="1"/>
  <c r="BJ148" i="2"/>
  <c r="AF148" i="2" s="1"/>
  <c r="BI148" i="2"/>
  <c r="BG148" i="2"/>
  <c r="BF148" i="2"/>
  <c r="AO188" i="3" s="1"/>
  <c r="X188" i="3" s="1"/>
  <c r="BD148" i="2"/>
  <c r="AI188" i="3" s="1"/>
  <c r="U188" i="3" s="1"/>
  <c r="BC148" i="2"/>
  <c r="BB148" i="2"/>
  <c r="BA148" i="2"/>
  <c r="AZ148" i="2"/>
  <c r="AJ188" i="3" s="1"/>
  <c r="W188" i="3" s="1"/>
  <c r="AY148" i="2"/>
  <c r="AE148" i="2" s="1"/>
  <c r="AX148" i="2"/>
  <c r="AW148" i="2"/>
  <c r="AV148" i="2" s="1"/>
  <c r="AU148" i="2"/>
  <c r="AT148" i="2"/>
  <c r="AR148" i="2"/>
  <c r="AQ148" i="2"/>
  <c r="AK188" i="3" s="1"/>
  <c r="T188" i="3" s="1"/>
  <c r="AO148" i="2"/>
  <c r="AN148" i="2"/>
  <c r="AE188" i="3" s="1"/>
  <c r="L188" i="3" s="1"/>
  <c r="AM148" i="2"/>
  <c r="AA148" i="2" s="1"/>
  <c r="AL148" i="2"/>
  <c r="AK148" i="2"/>
  <c r="AD188" i="3" s="1"/>
  <c r="K188" i="3" s="1"/>
  <c r="AJ148" i="2"/>
  <c r="Z148" i="2" s="1"/>
  <c r="AI148" i="2"/>
  <c r="AH148" i="2"/>
  <c r="AG188" i="3" s="1"/>
  <c r="N188" i="3" s="1"/>
  <c r="AG148" i="2"/>
  <c r="Y148" i="2" s="1"/>
  <c r="AD148" i="2"/>
  <c r="X148" i="2"/>
  <c r="W148" i="2"/>
  <c r="V148" i="2"/>
  <c r="U148" i="2"/>
  <c r="J148" i="2"/>
  <c r="BO147" i="2"/>
  <c r="AF10" i="3" s="1"/>
  <c r="M10" i="3" s="1"/>
  <c r="BN147" i="2"/>
  <c r="AH10" i="3" s="1"/>
  <c r="O10" i="3" s="1"/>
  <c r="BM147" i="2"/>
  <c r="BL147" i="2"/>
  <c r="BK147" i="2"/>
  <c r="AN10" i="3" s="1"/>
  <c r="R10" i="3" s="1"/>
  <c r="BI147" i="2"/>
  <c r="BH147" i="2"/>
  <c r="BG147" i="2"/>
  <c r="BF147" i="2"/>
  <c r="BD147" i="2"/>
  <c r="AI10" i="3" s="1"/>
  <c r="U10" i="3" s="1"/>
  <c r="BC147" i="2"/>
  <c r="BB147" i="2"/>
  <c r="AD147" i="2" s="1"/>
  <c r="BA147" i="2"/>
  <c r="AZ147" i="2"/>
  <c r="AX147" i="2"/>
  <c r="AW147" i="2"/>
  <c r="AV147" i="2" s="1"/>
  <c r="AU147" i="2"/>
  <c r="AT147" i="2"/>
  <c r="AL10" i="3" s="1"/>
  <c r="S10" i="3" s="1"/>
  <c r="AS147" i="2"/>
  <c r="AR147" i="2"/>
  <c r="AQ147" i="2"/>
  <c r="AK10" i="3" s="1"/>
  <c r="T10" i="3" s="1"/>
  <c r="AP147" i="2"/>
  <c r="AB147" i="2" s="1"/>
  <c r="AO147" i="2"/>
  <c r="AN147" i="2"/>
  <c r="AL147" i="2"/>
  <c r="AJ147" i="2" s="1"/>
  <c r="AK147" i="2"/>
  <c r="AD10" i="3" s="1"/>
  <c r="K10" i="3" s="1"/>
  <c r="AI147" i="2"/>
  <c r="AH147" i="2"/>
  <c r="AG10" i="3" s="1"/>
  <c r="N10" i="3" s="1"/>
  <c r="AG147" i="2"/>
  <c r="AC147" i="2"/>
  <c r="Z147" i="2"/>
  <c r="Y147" i="2"/>
  <c r="X147" i="2"/>
  <c r="W147" i="2"/>
  <c r="V147" i="2"/>
  <c r="U147" i="2" s="1"/>
  <c r="J147" i="2"/>
  <c r="BO146" i="2"/>
  <c r="AF295" i="3" s="1"/>
  <c r="M295" i="3" s="1"/>
  <c r="BN146" i="2"/>
  <c r="AH295" i="3" s="1"/>
  <c r="O295" i="3" s="1"/>
  <c r="BM146" i="2"/>
  <c r="AM295" i="3" s="1"/>
  <c r="Q295" i="3" s="1"/>
  <c r="BL146" i="2"/>
  <c r="BK146" i="2"/>
  <c r="AN295" i="3" s="1"/>
  <c r="R295" i="3" s="1"/>
  <c r="BI146" i="2"/>
  <c r="BH146" i="2"/>
  <c r="BG146" i="2"/>
  <c r="BF146" i="2"/>
  <c r="AO295" i="3" s="1"/>
  <c r="X295" i="3" s="1"/>
  <c r="BE146" i="2"/>
  <c r="BD146" i="2"/>
  <c r="AI295" i="3" s="1"/>
  <c r="U295" i="3" s="1"/>
  <c r="BC146" i="2"/>
  <c r="BB146" i="2"/>
  <c r="BA146" i="2"/>
  <c r="AZ146" i="2"/>
  <c r="AJ295" i="3" s="1"/>
  <c r="W295" i="3" s="1"/>
  <c r="AX146" i="2"/>
  <c r="AW146" i="2"/>
  <c r="AV146" i="2"/>
  <c r="AU146" i="2"/>
  <c r="AT146" i="2"/>
  <c r="AL295" i="3" s="1"/>
  <c r="S295" i="3" s="1"/>
  <c r="AS146" i="2"/>
  <c r="AC146" i="2" s="1"/>
  <c r="AR146" i="2"/>
  <c r="AQ146" i="2"/>
  <c r="AK295" i="3" s="1"/>
  <c r="T295" i="3" s="1"/>
  <c r="AP146" i="2"/>
  <c r="AO146" i="2"/>
  <c r="AN146" i="2"/>
  <c r="AE295" i="3" s="1"/>
  <c r="L295" i="3" s="1"/>
  <c r="AL146" i="2"/>
  <c r="AK146" i="2"/>
  <c r="AD295" i="3" s="1"/>
  <c r="K295" i="3" s="1"/>
  <c r="AJ146" i="2"/>
  <c r="Z146" i="2" s="1"/>
  <c r="AI146" i="2"/>
  <c r="AH146" i="2"/>
  <c r="AG295" i="3" s="1"/>
  <c r="N295" i="3" s="1"/>
  <c r="AG146" i="2"/>
  <c r="Y146" i="2" s="1"/>
  <c r="AD146" i="2"/>
  <c r="AB146" i="2"/>
  <c r="X146" i="2"/>
  <c r="W146" i="2"/>
  <c r="J146" i="2" s="1"/>
  <c r="V146" i="2"/>
  <c r="U146" i="2" s="1"/>
  <c r="BO145" i="2"/>
  <c r="AF231" i="3" s="1"/>
  <c r="M231" i="3" s="1"/>
  <c r="BN145" i="2"/>
  <c r="AH231" i="3" s="1"/>
  <c r="O231" i="3" s="1"/>
  <c r="BM145" i="2"/>
  <c r="AM231" i="3" s="1"/>
  <c r="Q231" i="3" s="1"/>
  <c r="BL145" i="2"/>
  <c r="BJ145" i="2" s="1"/>
  <c r="AF145" i="2" s="1"/>
  <c r="BK145" i="2"/>
  <c r="AN231" i="3" s="1"/>
  <c r="R231" i="3" s="1"/>
  <c r="BI145" i="2"/>
  <c r="BG145" i="2"/>
  <c r="BF145" i="2"/>
  <c r="AO231" i="3" s="1"/>
  <c r="BE145" i="2"/>
  <c r="BD145" i="2"/>
  <c r="AI231" i="3" s="1"/>
  <c r="U231" i="3" s="1"/>
  <c r="BC145" i="2"/>
  <c r="BB145" i="2"/>
  <c r="AD145" i="2" s="1"/>
  <c r="BA145" i="2"/>
  <c r="AZ145" i="2"/>
  <c r="AX145" i="2"/>
  <c r="AW145" i="2"/>
  <c r="AU145" i="2"/>
  <c r="AS145" i="2" s="1"/>
  <c r="AC145" i="2" s="1"/>
  <c r="AT145" i="2"/>
  <c r="AL231" i="3" s="1"/>
  <c r="S231" i="3" s="1"/>
  <c r="AR145" i="2"/>
  <c r="AP145" i="2" s="1"/>
  <c r="AB145" i="2" s="1"/>
  <c r="AQ145" i="2"/>
  <c r="AK231" i="3" s="1"/>
  <c r="T231" i="3" s="1"/>
  <c r="AO145" i="2"/>
  <c r="AN145" i="2"/>
  <c r="AE231" i="3" s="1"/>
  <c r="L231" i="3" s="1"/>
  <c r="AM145" i="2"/>
  <c r="AL145" i="2"/>
  <c r="AJ145" i="2" s="1"/>
  <c r="AK145" i="2"/>
  <c r="AD231" i="3" s="1"/>
  <c r="K231" i="3" s="1"/>
  <c r="AI145" i="2"/>
  <c r="AH145" i="2"/>
  <c r="AG231" i="3" s="1"/>
  <c r="N231" i="3" s="1"/>
  <c r="AA145" i="2"/>
  <c r="Z145" i="2"/>
  <c r="X145" i="2"/>
  <c r="W145" i="2"/>
  <c r="V145" i="2"/>
  <c r="U145" i="2"/>
  <c r="J145" i="2"/>
  <c r="BO144" i="2"/>
  <c r="AF200" i="3" s="1"/>
  <c r="M200" i="3" s="1"/>
  <c r="BN144" i="2"/>
  <c r="AH200" i="3" s="1"/>
  <c r="O200" i="3" s="1"/>
  <c r="BM144" i="2"/>
  <c r="AM200" i="3" s="1"/>
  <c r="Q200" i="3" s="1"/>
  <c r="BL144" i="2"/>
  <c r="BH144" i="2" s="1"/>
  <c r="BK144" i="2"/>
  <c r="AN200" i="3" s="1"/>
  <c r="R200" i="3" s="1"/>
  <c r="BJ144" i="2"/>
  <c r="BI144" i="2"/>
  <c r="BG144" i="2"/>
  <c r="BE144" i="2" s="1"/>
  <c r="BF144" i="2"/>
  <c r="AO200" i="3" s="1"/>
  <c r="X200" i="3" s="1"/>
  <c r="BD144" i="2"/>
  <c r="BC144" i="2"/>
  <c r="BA144" i="2"/>
  <c r="AZ144" i="2"/>
  <c r="AJ200" i="3" s="1"/>
  <c r="W200" i="3" s="1"/>
  <c r="AX144" i="2"/>
  <c r="AW144" i="2"/>
  <c r="AV144" i="2"/>
  <c r="AU144" i="2"/>
  <c r="AT144" i="2"/>
  <c r="AL200" i="3" s="1"/>
  <c r="S200" i="3" s="1"/>
  <c r="AS144" i="2"/>
  <c r="AC144" i="2" s="1"/>
  <c r="AR144" i="2"/>
  <c r="AQ144" i="2"/>
  <c r="AK200" i="3" s="1"/>
  <c r="T200" i="3" s="1"/>
  <c r="AP144" i="2"/>
  <c r="AB144" i="2" s="1"/>
  <c r="AO144" i="2"/>
  <c r="AN144" i="2"/>
  <c r="AE200" i="3" s="1"/>
  <c r="L200" i="3" s="1"/>
  <c r="AM144" i="2"/>
  <c r="AA144" i="2" s="1"/>
  <c r="AL144" i="2"/>
  <c r="AK144" i="2"/>
  <c r="AD200" i="3" s="1"/>
  <c r="K200" i="3" s="1"/>
  <c r="AJ144" i="2"/>
  <c r="Z144" i="2" s="1"/>
  <c r="AI144" i="2"/>
  <c r="AH144" i="2"/>
  <c r="AF144" i="2"/>
  <c r="X144" i="2"/>
  <c r="W144" i="2"/>
  <c r="V144" i="2"/>
  <c r="U144" i="2"/>
  <c r="J144" i="2"/>
  <c r="BO143" i="2"/>
  <c r="AF36" i="3" s="1"/>
  <c r="M36" i="3" s="1"/>
  <c r="BN143" i="2"/>
  <c r="BM143" i="2"/>
  <c r="AM36" i="3" s="1"/>
  <c r="Q36" i="3" s="1"/>
  <c r="BL143" i="2"/>
  <c r="BK143" i="2"/>
  <c r="BJ143" i="2"/>
  <c r="BI143" i="2"/>
  <c r="BH143" i="2" s="1"/>
  <c r="BG143" i="2"/>
  <c r="BF143" i="2"/>
  <c r="BE143" i="2"/>
  <c r="BD143" i="2"/>
  <c r="BC143" i="2"/>
  <c r="BB143" i="2"/>
  <c r="AD143" i="2" s="1"/>
  <c r="BA143" i="2"/>
  <c r="AZ143" i="2"/>
  <c r="AY143" i="2" s="1"/>
  <c r="AE143" i="2" s="1"/>
  <c r="AX143" i="2"/>
  <c r="AW143" i="2"/>
  <c r="AV143" i="2" s="1"/>
  <c r="AU143" i="2"/>
  <c r="AT143" i="2"/>
  <c r="AS143" i="2" s="1"/>
  <c r="AR143" i="2"/>
  <c r="AQ143" i="2"/>
  <c r="AP143" i="2"/>
  <c r="AO143" i="2"/>
  <c r="AN143" i="2"/>
  <c r="AE36" i="3" s="1"/>
  <c r="L36" i="3" s="1"/>
  <c r="AL143" i="2"/>
  <c r="AK143" i="2"/>
  <c r="AD36" i="3" s="1"/>
  <c r="K36" i="3" s="1"/>
  <c r="AJ143" i="2"/>
  <c r="Z143" i="2" s="1"/>
  <c r="AI143" i="2"/>
  <c r="AH143" i="2"/>
  <c r="AG143" i="2" s="1"/>
  <c r="Y143" i="2" s="1"/>
  <c r="AF143" i="2"/>
  <c r="AC143" i="2"/>
  <c r="AB143" i="2"/>
  <c r="X143" i="2"/>
  <c r="W143" i="2"/>
  <c r="V143" i="2"/>
  <c r="U143" i="2" s="1"/>
  <c r="J143" i="2"/>
  <c r="BO142" i="2"/>
  <c r="AF157" i="3" s="1"/>
  <c r="M157" i="3" s="1"/>
  <c r="BN142" i="2"/>
  <c r="AH157" i="3" s="1"/>
  <c r="O157" i="3" s="1"/>
  <c r="BM142" i="2"/>
  <c r="AM157" i="3" s="1"/>
  <c r="Q157" i="3" s="1"/>
  <c r="BL142" i="2"/>
  <c r="BK142" i="2"/>
  <c r="AN157" i="3" s="1"/>
  <c r="R157" i="3" s="1"/>
  <c r="BJ142" i="2"/>
  <c r="BI142" i="2"/>
  <c r="BH142" i="2"/>
  <c r="BG142" i="2"/>
  <c r="BE142" i="2" s="1"/>
  <c r="BF142" i="2"/>
  <c r="AO157" i="3" s="1"/>
  <c r="X157" i="3" s="1"/>
  <c r="BD142" i="2"/>
  <c r="AI157" i="3" s="1"/>
  <c r="U157" i="3" s="1"/>
  <c r="BC142" i="2"/>
  <c r="BB142" i="2"/>
  <c r="AD142" i="2" s="1"/>
  <c r="BA142" i="2"/>
  <c r="AZ142" i="2"/>
  <c r="AX142" i="2"/>
  <c r="AV142" i="2" s="1"/>
  <c r="AW142" i="2"/>
  <c r="AU142" i="2"/>
  <c r="AS142" i="2" s="1"/>
  <c r="AC142" i="2" s="1"/>
  <c r="AT142" i="2"/>
  <c r="AL157" i="3" s="1"/>
  <c r="S157" i="3" s="1"/>
  <c r="AR142" i="2"/>
  <c r="AP142" i="2" s="1"/>
  <c r="AB142" i="2" s="1"/>
  <c r="AQ142" i="2"/>
  <c r="AK157" i="3" s="1"/>
  <c r="T157" i="3" s="1"/>
  <c r="AO142" i="2"/>
  <c r="AN142" i="2"/>
  <c r="AL142" i="2"/>
  <c r="AK142" i="2"/>
  <c r="AD157" i="3" s="1"/>
  <c r="K157" i="3" s="1"/>
  <c r="AI142" i="2"/>
  <c r="AH142" i="2"/>
  <c r="AG157" i="3" s="1"/>
  <c r="N157" i="3" s="1"/>
  <c r="AG142" i="2"/>
  <c r="AF142" i="2"/>
  <c r="Y142" i="2"/>
  <c r="X142" i="2"/>
  <c r="W142" i="2"/>
  <c r="J142" i="2" s="1"/>
  <c r="V142" i="2"/>
  <c r="U142" i="2"/>
  <c r="BO141" i="2"/>
  <c r="AF315" i="3" s="1"/>
  <c r="M315" i="3" s="1"/>
  <c r="BN141" i="2"/>
  <c r="AH315" i="3" s="1"/>
  <c r="O315" i="3" s="1"/>
  <c r="BM141" i="2"/>
  <c r="AM315" i="3" s="1"/>
  <c r="Q315" i="3" s="1"/>
  <c r="BL141" i="2"/>
  <c r="BK141" i="2"/>
  <c r="AN315" i="3" s="1"/>
  <c r="R315" i="3" s="1"/>
  <c r="BJ141" i="2"/>
  <c r="AF141" i="2" s="1"/>
  <c r="BI141" i="2"/>
  <c r="BH141" i="2" s="1"/>
  <c r="BG141" i="2"/>
  <c r="BF141" i="2"/>
  <c r="AO315" i="3" s="1"/>
  <c r="X315" i="3" s="1"/>
  <c r="BD141" i="2"/>
  <c r="AI315" i="3" s="1"/>
  <c r="U315" i="3" s="1"/>
  <c r="BC141" i="2"/>
  <c r="BB141" i="2"/>
  <c r="BA141" i="2"/>
  <c r="AZ141" i="2"/>
  <c r="AJ315" i="3" s="1"/>
  <c r="W315" i="3" s="1"/>
  <c r="AY141" i="2"/>
  <c r="AE141" i="2" s="1"/>
  <c r="AX141" i="2"/>
  <c r="AW141" i="2"/>
  <c r="AV141" i="2"/>
  <c r="AU141" i="2"/>
  <c r="AT141" i="2"/>
  <c r="AL315" i="3" s="1"/>
  <c r="S315" i="3" s="1"/>
  <c r="AS141" i="2"/>
  <c r="AC141" i="2" s="1"/>
  <c r="AR141" i="2"/>
  <c r="AQ141" i="2"/>
  <c r="AK315" i="3" s="1"/>
  <c r="T315" i="3" s="1"/>
  <c r="AP141" i="2"/>
  <c r="AB141" i="2" s="1"/>
  <c r="AO141" i="2"/>
  <c r="AN141" i="2"/>
  <c r="AL141" i="2"/>
  <c r="AK141" i="2"/>
  <c r="AD315" i="3" s="1"/>
  <c r="K315" i="3" s="1"/>
  <c r="AJ141" i="2"/>
  <c r="Z141" i="2" s="1"/>
  <c r="AI141" i="2"/>
  <c r="AH141" i="2"/>
  <c r="AG315" i="3" s="1"/>
  <c r="N315" i="3" s="1"/>
  <c r="AG141" i="2"/>
  <c r="Y141" i="2" s="1"/>
  <c r="AD141" i="2"/>
  <c r="X141" i="2"/>
  <c r="W141" i="2"/>
  <c r="J141" i="2" s="1"/>
  <c r="V141" i="2"/>
  <c r="U141" i="2" s="1"/>
  <c r="BO140" i="2"/>
  <c r="AF285" i="3" s="1"/>
  <c r="M285" i="3" s="1"/>
  <c r="BN140" i="2"/>
  <c r="AH285" i="3" s="1"/>
  <c r="O285" i="3" s="1"/>
  <c r="BM140" i="2"/>
  <c r="AM285" i="3" s="1"/>
  <c r="Q285" i="3" s="1"/>
  <c r="BL140" i="2"/>
  <c r="BK140" i="2"/>
  <c r="AN285" i="3" s="1"/>
  <c r="R285" i="3" s="1"/>
  <c r="BJ140" i="2"/>
  <c r="AF140" i="2" s="1"/>
  <c r="BI140" i="2"/>
  <c r="BH140" i="2" s="1"/>
  <c r="BG140" i="2"/>
  <c r="BF140" i="2"/>
  <c r="BD140" i="2"/>
  <c r="AI285" i="3" s="1"/>
  <c r="U285" i="3" s="1"/>
  <c r="BC140" i="2"/>
  <c r="BB140" i="2"/>
  <c r="AD140" i="2" s="1"/>
  <c r="BA140" i="2"/>
  <c r="AZ140" i="2"/>
  <c r="AX140" i="2"/>
  <c r="AW140" i="2"/>
  <c r="AV140" i="2" s="1"/>
  <c r="AU140" i="2"/>
  <c r="AT140" i="2"/>
  <c r="AL285" i="3" s="1"/>
  <c r="S285" i="3" s="1"/>
  <c r="AS140" i="2"/>
  <c r="AR140" i="2"/>
  <c r="AQ140" i="2"/>
  <c r="AK285" i="3" s="1"/>
  <c r="T285" i="3" s="1"/>
  <c r="AP140" i="2"/>
  <c r="AB140" i="2" s="1"/>
  <c r="AO140" i="2"/>
  <c r="AN140" i="2"/>
  <c r="AL140" i="2"/>
  <c r="AK140" i="2"/>
  <c r="AD285" i="3" s="1"/>
  <c r="K285" i="3" s="1"/>
  <c r="AJ140" i="2"/>
  <c r="Z140" i="2" s="1"/>
  <c r="AI140" i="2"/>
  <c r="AH140" i="2"/>
  <c r="AG285" i="3" s="1"/>
  <c r="N285" i="3" s="1"/>
  <c r="AG140" i="2"/>
  <c r="AC140" i="2"/>
  <c r="Y140" i="2"/>
  <c r="X140" i="2"/>
  <c r="W140" i="2"/>
  <c r="V140" i="2"/>
  <c r="U140" i="2" s="1"/>
  <c r="J140" i="2"/>
  <c r="BO139" i="2"/>
  <c r="AF21" i="3" s="1"/>
  <c r="M21" i="3" s="1"/>
  <c r="BN139" i="2"/>
  <c r="AH21" i="3" s="1"/>
  <c r="O21" i="3" s="1"/>
  <c r="BM139" i="2"/>
  <c r="AM21" i="3" s="1"/>
  <c r="Q21" i="3" s="1"/>
  <c r="BL139" i="2"/>
  <c r="BK139" i="2"/>
  <c r="AN21" i="3" s="1"/>
  <c r="R21" i="3" s="1"/>
  <c r="BJ139" i="2"/>
  <c r="BI139" i="2"/>
  <c r="BH139" i="2"/>
  <c r="BG139" i="2"/>
  <c r="BF139" i="2"/>
  <c r="BD139" i="2"/>
  <c r="AI21" i="3" s="1"/>
  <c r="U21" i="3" s="1"/>
  <c r="BC139" i="2"/>
  <c r="BB139" i="2" s="1"/>
  <c r="AD139" i="2" s="1"/>
  <c r="BA139" i="2"/>
  <c r="AZ139" i="2"/>
  <c r="AJ21" i="3" s="1"/>
  <c r="W21" i="3" s="1"/>
  <c r="AY139" i="2"/>
  <c r="AE139" i="2" s="1"/>
  <c r="AX139" i="2"/>
  <c r="AW139" i="2"/>
  <c r="AV139" i="2" s="1"/>
  <c r="AU139" i="2"/>
  <c r="AT139" i="2"/>
  <c r="AR139" i="2"/>
  <c r="AQ139" i="2"/>
  <c r="AP139" i="2"/>
  <c r="AO139" i="2"/>
  <c r="AN139" i="2"/>
  <c r="AE21" i="3" s="1"/>
  <c r="L21" i="3" s="1"/>
  <c r="AL139" i="2"/>
  <c r="AK139" i="2"/>
  <c r="AD21" i="3" s="1"/>
  <c r="K21" i="3" s="1"/>
  <c r="AJ139" i="2"/>
  <c r="Z139" i="2" s="1"/>
  <c r="AI139" i="2"/>
  <c r="AH139" i="2"/>
  <c r="AG21" i="3" s="1"/>
  <c r="N21" i="3" s="1"/>
  <c r="AF139" i="2"/>
  <c r="AB139" i="2"/>
  <c r="X139" i="2"/>
  <c r="W139" i="2"/>
  <c r="V139" i="2"/>
  <c r="U139" i="2"/>
  <c r="J139" i="2"/>
  <c r="BO138" i="2"/>
  <c r="AF195" i="3" s="1"/>
  <c r="M195" i="3" s="1"/>
  <c r="BN138" i="2"/>
  <c r="AH195" i="3" s="1"/>
  <c r="O195" i="3" s="1"/>
  <c r="BM138" i="2"/>
  <c r="AM195" i="3" s="1"/>
  <c r="Q195" i="3" s="1"/>
  <c r="BL138" i="2"/>
  <c r="BJ138" i="2" s="1"/>
  <c r="AF138" i="2" s="1"/>
  <c r="BK138" i="2"/>
  <c r="AN195" i="3" s="1"/>
  <c r="R195" i="3" s="1"/>
  <c r="BI138" i="2"/>
  <c r="BH138" i="2" s="1"/>
  <c r="BG138" i="2"/>
  <c r="BF138" i="2"/>
  <c r="AO195" i="3" s="1"/>
  <c r="X195" i="3" s="1"/>
  <c r="BE138" i="2"/>
  <c r="BD138" i="2"/>
  <c r="AI195" i="3" s="1"/>
  <c r="U195" i="3" s="1"/>
  <c r="BC138" i="2"/>
  <c r="BB138" i="2"/>
  <c r="AD138" i="2" s="1"/>
  <c r="BA138" i="2"/>
  <c r="AZ138" i="2"/>
  <c r="AX138" i="2"/>
  <c r="AW138" i="2"/>
  <c r="AV138" i="2"/>
  <c r="AU138" i="2"/>
  <c r="AS138" i="2" s="1"/>
  <c r="AC138" i="2" s="1"/>
  <c r="AT138" i="2"/>
  <c r="AL195" i="3" s="1"/>
  <c r="S195" i="3" s="1"/>
  <c r="AR138" i="2"/>
  <c r="AQ138" i="2"/>
  <c r="AK195" i="3" s="1"/>
  <c r="T195" i="3" s="1"/>
  <c r="AP138" i="2"/>
  <c r="AO138" i="2"/>
  <c r="AN138" i="2"/>
  <c r="AE195" i="3" s="1"/>
  <c r="L195" i="3" s="1"/>
  <c r="AM138" i="2"/>
  <c r="AL138" i="2"/>
  <c r="AK138" i="2"/>
  <c r="AD195" i="3" s="1"/>
  <c r="K195" i="3" s="1"/>
  <c r="AI138" i="2"/>
  <c r="AH138" i="2"/>
  <c r="AG195" i="3" s="1"/>
  <c r="N195" i="3" s="1"/>
  <c r="AB138" i="2"/>
  <c r="AA138" i="2"/>
  <c r="X138" i="2"/>
  <c r="W138" i="2"/>
  <c r="V138" i="2"/>
  <c r="U138" i="2" s="1"/>
  <c r="J138" i="2"/>
  <c r="BO137" i="2"/>
  <c r="AF137" i="3" s="1"/>
  <c r="M137" i="3" s="1"/>
  <c r="BN137" i="2"/>
  <c r="AH137" i="3" s="1"/>
  <c r="O137" i="3" s="1"/>
  <c r="BM137" i="2"/>
  <c r="AM137" i="3" s="1"/>
  <c r="Q137" i="3" s="1"/>
  <c r="BL137" i="2"/>
  <c r="BK137" i="2"/>
  <c r="AN137" i="3" s="1"/>
  <c r="R137" i="3" s="1"/>
  <c r="BJ137" i="2"/>
  <c r="AF137" i="2" s="1"/>
  <c r="BI137" i="2"/>
  <c r="BH137" i="2"/>
  <c r="BG137" i="2"/>
  <c r="BF137" i="2"/>
  <c r="AO137" i="3" s="1"/>
  <c r="X137" i="3" s="1"/>
  <c r="BE137" i="2"/>
  <c r="BD137" i="2"/>
  <c r="AI137" i="3" s="1"/>
  <c r="U137" i="3" s="1"/>
  <c r="BC137" i="2"/>
  <c r="BB137" i="2"/>
  <c r="BA137" i="2"/>
  <c r="AZ137" i="2"/>
  <c r="AJ137" i="3" s="1"/>
  <c r="W137" i="3" s="1"/>
  <c r="AX137" i="2"/>
  <c r="AW137" i="2"/>
  <c r="AV137" i="2"/>
  <c r="AU137" i="2"/>
  <c r="AT137" i="2"/>
  <c r="AL137" i="3" s="1"/>
  <c r="S137" i="3" s="1"/>
  <c r="AS137" i="2"/>
  <c r="AC137" i="2" s="1"/>
  <c r="AR137" i="2"/>
  <c r="AQ137" i="2"/>
  <c r="AK137" i="3" s="1"/>
  <c r="T137" i="3" s="1"/>
  <c r="AP137" i="2"/>
  <c r="AO137" i="2"/>
  <c r="AM137" i="2" s="1"/>
  <c r="AA137" i="2" s="1"/>
  <c r="AN137" i="2"/>
  <c r="AE137" i="3" s="1"/>
  <c r="L137" i="3" s="1"/>
  <c r="AL137" i="2"/>
  <c r="AJ137" i="2" s="1"/>
  <c r="Z137" i="2" s="1"/>
  <c r="AK137" i="2"/>
  <c r="AD137" i="3" s="1"/>
  <c r="K137" i="3" s="1"/>
  <c r="AI137" i="2"/>
  <c r="AH137" i="2"/>
  <c r="AG137" i="3" s="1"/>
  <c r="N137" i="3" s="1"/>
  <c r="AG137" i="2"/>
  <c r="Y137" i="2" s="1"/>
  <c r="AD137" i="2"/>
  <c r="AB137" i="2"/>
  <c r="X137" i="2"/>
  <c r="W137" i="2"/>
  <c r="V137" i="2"/>
  <c r="U137" i="2"/>
  <c r="J137" i="2"/>
  <c r="BO136" i="2"/>
  <c r="AF248" i="3" s="1"/>
  <c r="M248" i="3" s="1"/>
  <c r="BN136" i="2"/>
  <c r="AH248" i="3" s="1"/>
  <c r="O248" i="3" s="1"/>
  <c r="BM136" i="2"/>
  <c r="AM248" i="3" s="1"/>
  <c r="Q248" i="3" s="1"/>
  <c r="BL136" i="2"/>
  <c r="BJ136" i="2" s="1"/>
  <c r="AF136" i="2" s="1"/>
  <c r="BK136" i="2"/>
  <c r="AN248" i="3" s="1"/>
  <c r="R248" i="3" s="1"/>
  <c r="BI136" i="2"/>
  <c r="BG136" i="2"/>
  <c r="BF136" i="2"/>
  <c r="AO248" i="3" s="1"/>
  <c r="X248" i="3" s="1"/>
  <c r="BE136" i="2"/>
  <c r="BD136" i="2"/>
  <c r="AI248" i="3" s="1"/>
  <c r="U248" i="3" s="1"/>
  <c r="BC136" i="2"/>
  <c r="BA136" i="2"/>
  <c r="AY136" i="2" s="1"/>
  <c r="AE136" i="2" s="1"/>
  <c r="AZ136" i="2"/>
  <c r="AJ248" i="3" s="1"/>
  <c r="W248" i="3" s="1"/>
  <c r="AX136" i="2"/>
  <c r="AW136" i="2"/>
  <c r="AV136" i="2"/>
  <c r="AU136" i="2"/>
  <c r="AT136" i="2"/>
  <c r="AL248" i="3" s="1"/>
  <c r="S248" i="3" s="1"/>
  <c r="AR136" i="2"/>
  <c r="AQ136" i="2"/>
  <c r="AK248" i="3" s="1"/>
  <c r="T248" i="3" s="1"/>
  <c r="AP136" i="2"/>
  <c r="AO136" i="2"/>
  <c r="AN136" i="2"/>
  <c r="AE248" i="3" s="1"/>
  <c r="L248" i="3" s="1"/>
  <c r="AM136" i="2"/>
  <c r="AL136" i="2"/>
  <c r="AJ136" i="2" s="1"/>
  <c r="AK136" i="2"/>
  <c r="AD248" i="3" s="1"/>
  <c r="K248" i="3" s="1"/>
  <c r="AI136" i="2"/>
  <c r="AH136" i="2"/>
  <c r="AG248" i="3" s="1"/>
  <c r="N248" i="3" s="1"/>
  <c r="AG136" i="2"/>
  <c r="Y136" i="2" s="1"/>
  <c r="AB136" i="2"/>
  <c r="AA136" i="2"/>
  <c r="Z136" i="2"/>
  <c r="X136" i="2"/>
  <c r="W136" i="2"/>
  <c r="J136" i="2" s="1"/>
  <c r="V136" i="2"/>
  <c r="U136" i="2" s="1"/>
  <c r="BO135" i="2"/>
  <c r="AF109" i="3" s="1"/>
  <c r="M109" i="3" s="1"/>
  <c r="BN135" i="2"/>
  <c r="AH109" i="3" s="1"/>
  <c r="O109" i="3" s="1"/>
  <c r="BM135" i="2"/>
  <c r="AM109" i="3" s="1"/>
  <c r="Q109" i="3" s="1"/>
  <c r="BL135" i="2"/>
  <c r="BK135" i="2"/>
  <c r="AN109" i="3" s="1"/>
  <c r="R109" i="3" s="1"/>
  <c r="BJ135" i="2"/>
  <c r="BI135" i="2"/>
  <c r="BH135" i="2"/>
  <c r="BG135" i="2"/>
  <c r="BF135" i="2"/>
  <c r="AO109" i="3" s="1"/>
  <c r="X109" i="3" s="1"/>
  <c r="BD135" i="2"/>
  <c r="AI109" i="3" s="1"/>
  <c r="U109" i="3" s="1"/>
  <c r="BC135" i="2"/>
  <c r="BB135" i="2"/>
  <c r="BA135" i="2"/>
  <c r="AZ135" i="2"/>
  <c r="AJ109" i="3" s="1"/>
  <c r="W109" i="3" s="1"/>
  <c r="AY135" i="2"/>
  <c r="AE135" i="2" s="1"/>
  <c r="AX135" i="2"/>
  <c r="AW135" i="2"/>
  <c r="AV135" i="2"/>
  <c r="AU135" i="2"/>
  <c r="AT135" i="2"/>
  <c r="AR135" i="2"/>
  <c r="AQ135" i="2"/>
  <c r="AK109" i="3" s="1"/>
  <c r="T109" i="3" s="1"/>
  <c r="AO135" i="2"/>
  <c r="AN135" i="2"/>
  <c r="AL135" i="2"/>
  <c r="AK135" i="2"/>
  <c r="AD109" i="3" s="1"/>
  <c r="K109" i="3" s="1"/>
  <c r="AI135" i="2"/>
  <c r="AH135" i="2"/>
  <c r="AG109" i="3" s="1"/>
  <c r="N109" i="3" s="1"/>
  <c r="AG135" i="2"/>
  <c r="AF135" i="2"/>
  <c r="AD135" i="2"/>
  <c r="Y135" i="2"/>
  <c r="X135" i="2"/>
  <c r="W135" i="2"/>
  <c r="V135" i="2"/>
  <c r="U135" i="2"/>
  <c r="J135" i="2"/>
  <c r="BO134" i="2"/>
  <c r="AF112" i="3" s="1"/>
  <c r="M112" i="3" s="1"/>
  <c r="BN134" i="2"/>
  <c r="AH112" i="3" s="1"/>
  <c r="O112" i="3" s="1"/>
  <c r="BM134" i="2"/>
  <c r="AM112" i="3" s="1"/>
  <c r="Q112" i="3" s="1"/>
  <c r="BL134" i="2"/>
  <c r="BK134" i="2"/>
  <c r="AN112" i="3" s="1"/>
  <c r="R112" i="3" s="1"/>
  <c r="BJ134" i="2"/>
  <c r="AF134" i="2" s="1"/>
  <c r="BI134" i="2"/>
  <c r="BH134" i="2"/>
  <c r="BG134" i="2"/>
  <c r="BF134" i="2"/>
  <c r="AO112" i="3" s="1"/>
  <c r="X112" i="3" s="1"/>
  <c r="BD134" i="2"/>
  <c r="BC134" i="2"/>
  <c r="BB134" i="2"/>
  <c r="BA134" i="2"/>
  <c r="AZ134" i="2"/>
  <c r="AJ112" i="3" s="1"/>
  <c r="W112" i="3" s="1"/>
  <c r="AX134" i="2"/>
  <c r="AW134" i="2"/>
  <c r="AV134" i="2"/>
  <c r="AU134" i="2"/>
  <c r="AT134" i="2"/>
  <c r="AL112" i="3" s="1"/>
  <c r="S112" i="3" s="1"/>
  <c r="AR134" i="2"/>
  <c r="AQ134" i="2"/>
  <c r="AO134" i="2"/>
  <c r="AN134" i="2"/>
  <c r="AL134" i="2"/>
  <c r="AK134" i="2"/>
  <c r="AD112" i="3" s="1"/>
  <c r="K112" i="3" s="1"/>
  <c r="AJ134" i="2"/>
  <c r="Z134" i="2" s="1"/>
  <c r="AI134" i="2"/>
  <c r="AH134" i="2"/>
  <c r="AG112" i="3" s="1"/>
  <c r="N112" i="3" s="1"/>
  <c r="AD134" i="2"/>
  <c r="X134" i="2"/>
  <c r="W134" i="2"/>
  <c r="J134" i="2" s="1"/>
  <c r="V134" i="2"/>
  <c r="U134" i="2"/>
  <c r="BO133" i="2"/>
  <c r="AF279" i="3" s="1"/>
  <c r="M279" i="3" s="1"/>
  <c r="BN133" i="2"/>
  <c r="AH279" i="3" s="1"/>
  <c r="O279" i="3" s="1"/>
  <c r="BM133" i="2"/>
  <c r="AM279" i="3" s="1"/>
  <c r="Q279" i="3" s="1"/>
  <c r="BL133" i="2"/>
  <c r="BK133" i="2"/>
  <c r="AN279" i="3" s="1"/>
  <c r="R279" i="3" s="1"/>
  <c r="BJ133" i="2"/>
  <c r="AF133" i="2" s="1"/>
  <c r="BI133" i="2"/>
  <c r="BH133" i="2" s="1"/>
  <c r="BG133" i="2"/>
  <c r="BF133" i="2"/>
  <c r="AO279" i="3" s="1"/>
  <c r="X279" i="3" s="1"/>
  <c r="BE133" i="2"/>
  <c r="BD133" i="2"/>
  <c r="AI279" i="3" s="1"/>
  <c r="U279" i="3" s="1"/>
  <c r="BC133" i="2"/>
  <c r="BB133" i="2"/>
  <c r="AD133" i="2" s="1"/>
  <c r="BA133" i="2"/>
  <c r="AZ133" i="2"/>
  <c r="AX133" i="2"/>
  <c r="AW133" i="2"/>
  <c r="AV133" i="2" s="1"/>
  <c r="AU133" i="2"/>
  <c r="AT133" i="2"/>
  <c r="AL279" i="3" s="1"/>
  <c r="S279" i="3" s="1"/>
  <c r="AS133" i="2"/>
  <c r="AR133" i="2"/>
  <c r="AQ133" i="2"/>
  <c r="AK279" i="3" s="1"/>
  <c r="T279" i="3" s="1"/>
  <c r="AO133" i="2"/>
  <c r="AN133" i="2"/>
  <c r="AL133" i="2"/>
  <c r="AJ133" i="2" s="1"/>
  <c r="Z133" i="2" s="1"/>
  <c r="AK133" i="2"/>
  <c r="AD279" i="3" s="1"/>
  <c r="K279" i="3" s="1"/>
  <c r="AI133" i="2"/>
  <c r="AG133" i="2" s="1"/>
  <c r="Y133" i="2" s="1"/>
  <c r="AH133" i="2"/>
  <c r="AG279" i="3" s="1"/>
  <c r="N279" i="3" s="1"/>
  <c r="AC133" i="2"/>
  <c r="X133" i="2"/>
  <c r="W133" i="2"/>
  <c r="V133" i="2"/>
  <c r="U133" i="2" s="1"/>
  <c r="J133" i="2"/>
  <c r="BO132" i="2"/>
  <c r="AF108" i="3" s="1"/>
  <c r="M108" i="3" s="1"/>
  <c r="BN132" i="2"/>
  <c r="AH108" i="3" s="1"/>
  <c r="O108" i="3" s="1"/>
  <c r="BM132" i="2"/>
  <c r="AM108" i="3" s="1"/>
  <c r="Q108" i="3" s="1"/>
  <c r="BL132" i="2"/>
  <c r="BK132" i="2"/>
  <c r="AN108" i="3" s="1"/>
  <c r="R108" i="3" s="1"/>
  <c r="BJ132" i="2"/>
  <c r="BI132" i="2"/>
  <c r="BH132" i="2"/>
  <c r="BG132" i="2"/>
  <c r="BF132" i="2"/>
  <c r="AO108" i="3" s="1"/>
  <c r="X108" i="3" s="1"/>
  <c r="BE132" i="2"/>
  <c r="BD132" i="2"/>
  <c r="AI108" i="3" s="1"/>
  <c r="U108" i="3" s="1"/>
  <c r="BC132" i="2"/>
  <c r="BB132" i="2"/>
  <c r="BA132" i="2"/>
  <c r="AZ132" i="2"/>
  <c r="AJ108" i="3" s="1"/>
  <c r="W108" i="3" s="1"/>
  <c r="AY132" i="2"/>
  <c r="AE132" i="2" s="1"/>
  <c r="AX132" i="2"/>
  <c r="AW132" i="2"/>
  <c r="AV132" i="2" s="1"/>
  <c r="AU132" i="2"/>
  <c r="AT132" i="2"/>
  <c r="AL108" i="3" s="1"/>
  <c r="S108" i="3" s="1"/>
  <c r="AS132" i="2"/>
  <c r="AR132" i="2"/>
  <c r="AQ132" i="2"/>
  <c r="AK108" i="3" s="1"/>
  <c r="T108" i="3" s="1"/>
  <c r="AP132" i="2"/>
  <c r="AO132" i="2"/>
  <c r="AN132" i="2"/>
  <c r="AM132" i="2" s="1"/>
  <c r="AL132" i="2"/>
  <c r="AK132" i="2"/>
  <c r="AD108" i="3" s="1"/>
  <c r="K108" i="3" s="1"/>
  <c r="AJ132" i="2"/>
  <c r="Z132" i="2" s="1"/>
  <c r="AI132" i="2"/>
  <c r="AH132" i="2"/>
  <c r="AG108" i="3" s="1"/>
  <c r="N108" i="3" s="1"/>
  <c r="AG132" i="2"/>
  <c r="Y132" i="2" s="1"/>
  <c r="AF132" i="2"/>
  <c r="AD132" i="2"/>
  <c r="AC132" i="2"/>
  <c r="AB132" i="2"/>
  <c r="AA132" i="2"/>
  <c r="X132" i="2"/>
  <c r="W132" i="2"/>
  <c r="V132" i="2"/>
  <c r="U132" i="2"/>
  <c r="J132" i="2"/>
  <c r="BO131" i="2"/>
  <c r="AF81" i="3" s="1"/>
  <c r="M81" i="3" s="1"/>
  <c r="BN131" i="2"/>
  <c r="AH81" i="3" s="1"/>
  <c r="O81" i="3" s="1"/>
  <c r="BM131" i="2"/>
  <c r="BL131" i="2"/>
  <c r="BK131" i="2"/>
  <c r="AN81" i="3" s="1"/>
  <c r="R81" i="3" s="1"/>
  <c r="BJ131" i="2"/>
  <c r="AF131" i="2" s="1"/>
  <c r="BI131" i="2"/>
  <c r="BH131" i="2" s="1"/>
  <c r="BG131" i="2"/>
  <c r="BF131" i="2"/>
  <c r="AO81" i="3" s="1"/>
  <c r="X81" i="3" s="1"/>
  <c r="BE131" i="2"/>
  <c r="BD131" i="2"/>
  <c r="AI81" i="3" s="1"/>
  <c r="U81" i="3" s="1"/>
  <c r="BC131" i="2"/>
  <c r="BB131" i="2" s="1"/>
  <c r="AD131" i="2" s="1"/>
  <c r="BA131" i="2"/>
  <c r="AZ131" i="2"/>
  <c r="AX131" i="2"/>
  <c r="AW131" i="2"/>
  <c r="AV131" i="2"/>
  <c r="AU131" i="2"/>
  <c r="AT131" i="2"/>
  <c r="AL81" i="3" s="1"/>
  <c r="S81" i="3" s="1"/>
  <c r="AS131" i="2"/>
  <c r="AC131" i="2" s="1"/>
  <c r="AR131" i="2"/>
  <c r="AQ131" i="2"/>
  <c r="AK81" i="3" s="1"/>
  <c r="T81" i="3" s="1"/>
  <c r="AP131" i="2"/>
  <c r="AO131" i="2"/>
  <c r="AN131" i="2"/>
  <c r="AE81" i="3" s="1"/>
  <c r="L81" i="3" s="1"/>
  <c r="AM131" i="2"/>
  <c r="AL131" i="2"/>
  <c r="AK131" i="2"/>
  <c r="AD81" i="3" s="1"/>
  <c r="K81" i="3" s="1"/>
  <c r="AI131" i="2"/>
  <c r="AH131" i="2"/>
  <c r="AG81" i="3" s="1"/>
  <c r="N81" i="3" s="1"/>
  <c r="AB131" i="2"/>
  <c r="AA131" i="2"/>
  <c r="X131" i="2"/>
  <c r="W131" i="2"/>
  <c r="V131" i="2"/>
  <c r="U131" i="2"/>
  <c r="J131" i="2"/>
  <c r="BO130" i="2"/>
  <c r="AF15" i="3" s="1"/>
  <c r="M15" i="3" s="1"/>
  <c r="BN130" i="2"/>
  <c r="AH15" i="3" s="1"/>
  <c r="O15" i="3" s="1"/>
  <c r="BM130" i="2"/>
  <c r="AM15" i="3" s="1"/>
  <c r="Q15" i="3" s="1"/>
  <c r="BL130" i="2"/>
  <c r="BK130" i="2"/>
  <c r="AN15" i="3" s="1"/>
  <c r="R15" i="3" s="1"/>
  <c r="BJ130" i="2"/>
  <c r="BI130" i="2"/>
  <c r="BH130" i="2" s="1"/>
  <c r="BG130" i="2"/>
  <c r="BF130" i="2"/>
  <c r="AO15" i="3" s="1"/>
  <c r="X15" i="3" s="1"/>
  <c r="BE130" i="2"/>
  <c r="BD130" i="2"/>
  <c r="AI15" i="3" s="1"/>
  <c r="U15" i="3" s="1"/>
  <c r="BC130" i="2"/>
  <c r="BB130" i="2"/>
  <c r="BA130" i="2"/>
  <c r="AZ130" i="2"/>
  <c r="AJ15" i="3" s="1"/>
  <c r="W15" i="3" s="1"/>
  <c r="AX130" i="2"/>
  <c r="AW130" i="2"/>
  <c r="AV130" i="2"/>
  <c r="AU130" i="2"/>
  <c r="AT130" i="2"/>
  <c r="AL15" i="3" s="1"/>
  <c r="S15" i="3" s="1"/>
  <c r="AS130" i="2"/>
  <c r="AC130" i="2" s="1"/>
  <c r="AR130" i="2"/>
  <c r="AQ130" i="2"/>
  <c r="AK15" i="3" s="1"/>
  <c r="T15" i="3" s="1"/>
  <c r="AP130" i="2"/>
  <c r="AO130" i="2"/>
  <c r="AN130" i="2"/>
  <c r="AE15" i="3" s="1"/>
  <c r="L15" i="3" s="1"/>
  <c r="AM130" i="2"/>
  <c r="AA130" i="2" s="1"/>
  <c r="AL130" i="2"/>
  <c r="AK130" i="2"/>
  <c r="AD15" i="3" s="1"/>
  <c r="K15" i="3" s="1"/>
  <c r="AJ130" i="2"/>
  <c r="Z130" i="2" s="1"/>
  <c r="AI130" i="2"/>
  <c r="AH130" i="2"/>
  <c r="AG15" i="3" s="1"/>
  <c r="N15" i="3" s="1"/>
  <c r="AG130" i="2"/>
  <c r="Y130" i="2" s="1"/>
  <c r="AF130" i="2"/>
  <c r="AD130" i="2"/>
  <c r="AB130" i="2"/>
  <c r="X130" i="2"/>
  <c r="W130" i="2"/>
  <c r="V130" i="2"/>
  <c r="U130" i="2"/>
  <c r="J130" i="2"/>
  <c r="BO129" i="2"/>
  <c r="AF189" i="3" s="1"/>
  <c r="M189" i="3" s="1"/>
  <c r="BN129" i="2"/>
  <c r="AH189" i="3" s="1"/>
  <c r="O189" i="3" s="1"/>
  <c r="BM129" i="2"/>
  <c r="AM189" i="3" s="1"/>
  <c r="Q189" i="3" s="1"/>
  <c r="BL129" i="2"/>
  <c r="BJ129" i="2" s="1"/>
  <c r="AF129" i="2" s="1"/>
  <c r="BK129" i="2"/>
  <c r="AN189" i="3" s="1"/>
  <c r="R189" i="3" s="1"/>
  <c r="BI129" i="2"/>
  <c r="BG129" i="2"/>
  <c r="BF129" i="2"/>
  <c r="AO189" i="3" s="1"/>
  <c r="X189" i="3" s="1"/>
  <c r="BD129" i="2"/>
  <c r="AI189" i="3" s="1"/>
  <c r="U189" i="3" s="1"/>
  <c r="BC129" i="2"/>
  <c r="BB129" i="2" s="1"/>
  <c r="AD129" i="2" s="1"/>
  <c r="BA129" i="2"/>
  <c r="AZ129" i="2"/>
  <c r="AJ189" i="3" s="1"/>
  <c r="W189" i="3" s="1"/>
  <c r="AY129" i="2"/>
  <c r="AX129" i="2"/>
  <c r="AW129" i="2"/>
  <c r="AV129" i="2"/>
  <c r="AU129" i="2"/>
  <c r="AT129" i="2"/>
  <c r="AL189" i="3" s="1"/>
  <c r="S189" i="3" s="1"/>
  <c r="AR129" i="2"/>
  <c r="AQ129" i="2"/>
  <c r="AK189" i="3" s="1"/>
  <c r="T189" i="3" s="1"/>
  <c r="AP129" i="2"/>
  <c r="AO129" i="2"/>
  <c r="AN129" i="2"/>
  <c r="AE189" i="3" s="1"/>
  <c r="L189" i="3" s="1"/>
  <c r="AM129" i="2"/>
  <c r="AL129" i="2"/>
  <c r="AJ129" i="2" s="1"/>
  <c r="Z129" i="2" s="1"/>
  <c r="AK129" i="2"/>
  <c r="AD189" i="3" s="1"/>
  <c r="K189" i="3" s="1"/>
  <c r="AI129" i="2"/>
  <c r="AH129" i="2"/>
  <c r="AG189" i="3" s="1"/>
  <c r="N189" i="3" s="1"/>
  <c r="AG129" i="2"/>
  <c r="Y129" i="2" s="1"/>
  <c r="AE129" i="2"/>
  <c r="AB129" i="2"/>
  <c r="AA129" i="2"/>
  <c r="X129" i="2"/>
  <c r="W129" i="2"/>
  <c r="V129" i="2"/>
  <c r="U129" i="2"/>
  <c r="J129" i="2"/>
  <c r="BO128" i="2"/>
  <c r="AF172" i="3" s="1"/>
  <c r="BN128" i="2"/>
  <c r="AH172" i="3" s="1"/>
  <c r="O172" i="3" s="1"/>
  <c r="BM128" i="2"/>
  <c r="AM172" i="3" s="1"/>
  <c r="Q172" i="3" s="1"/>
  <c r="BL128" i="2"/>
  <c r="BK128" i="2"/>
  <c r="AN172" i="3" s="1"/>
  <c r="R172" i="3" s="1"/>
  <c r="BJ128" i="2"/>
  <c r="BI128" i="2"/>
  <c r="BH128" i="2"/>
  <c r="BG128" i="2"/>
  <c r="BF128" i="2"/>
  <c r="AO172" i="3" s="1"/>
  <c r="X172" i="3" s="1"/>
  <c r="BD128" i="2"/>
  <c r="BC128" i="2"/>
  <c r="BB128" i="2"/>
  <c r="BA128" i="2"/>
  <c r="AZ128" i="2"/>
  <c r="AJ172" i="3" s="1"/>
  <c r="W172" i="3" s="1"/>
  <c r="AY128" i="2"/>
  <c r="AE128" i="2" s="1"/>
  <c r="AX128" i="2"/>
  <c r="AW128" i="2"/>
  <c r="AV128" i="2" s="1"/>
  <c r="AU128" i="2"/>
  <c r="AT128" i="2"/>
  <c r="AL172" i="3" s="1"/>
  <c r="S172" i="3" s="1"/>
  <c r="AR128" i="2"/>
  <c r="AQ128" i="2"/>
  <c r="AK172" i="3" s="1"/>
  <c r="T172" i="3" s="1"/>
  <c r="AO128" i="2"/>
  <c r="AN128" i="2"/>
  <c r="AL128" i="2"/>
  <c r="AK128" i="2"/>
  <c r="AD172" i="3" s="1"/>
  <c r="K172" i="3" s="1"/>
  <c r="AI128" i="2"/>
  <c r="AH128" i="2"/>
  <c r="AG128" i="2"/>
  <c r="AF128" i="2"/>
  <c r="AD128" i="2"/>
  <c r="Y128" i="2"/>
  <c r="X128" i="2"/>
  <c r="W128" i="2"/>
  <c r="V128" i="2"/>
  <c r="U128" i="2"/>
  <c r="J128" i="2"/>
  <c r="BO127" i="2"/>
  <c r="AF159" i="3" s="1"/>
  <c r="M159" i="3" s="1"/>
  <c r="BN127" i="2"/>
  <c r="AH159" i="3" s="1"/>
  <c r="O159" i="3" s="1"/>
  <c r="BM127" i="2"/>
  <c r="AM159" i="3" s="1"/>
  <c r="Q159" i="3" s="1"/>
  <c r="BL127" i="2"/>
  <c r="BK127" i="2"/>
  <c r="AN159" i="3" s="1"/>
  <c r="R159" i="3" s="1"/>
  <c r="BJ127" i="2"/>
  <c r="AF127" i="2" s="1"/>
  <c r="BI127" i="2"/>
  <c r="BH127" i="2"/>
  <c r="BG127" i="2"/>
  <c r="BF127" i="2"/>
  <c r="AO159" i="3" s="1"/>
  <c r="X159" i="3" s="1"/>
  <c r="BD127" i="2"/>
  <c r="AI159" i="3" s="1"/>
  <c r="U159" i="3" s="1"/>
  <c r="BC127" i="2"/>
  <c r="BB127" i="2"/>
  <c r="BA127" i="2"/>
  <c r="AZ127" i="2"/>
  <c r="AJ159" i="3" s="1"/>
  <c r="W159" i="3" s="1"/>
  <c r="AX127" i="2"/>
  <c r="AW127" i="2"/>
  <c r="AV127" i="2"/>
  <c r="AU127" i="2"/>
  <c r="AT127" i="2"/>
  <c r="AL159" i="3" s="1"/>
  <c r="S159" i="3" s="1"/>
  <c r="AR127" i="2"/>
  <c r="AQ127" i="2"/>
  <c r="AO127" i="2"/>
  <c r="AN127" i="2"/>
  <c r="AE159" i="3" s="1"/>
  <c r="L159" i="3" s="1"/>
  <c r="AM127" i="2"/>
  <c r="AA127" i="2" s="1"/>
  <c r="AL127" i="2"/>
  <c r="AK127" i="2"/>
  <c r="AD159" i="3" s="1"/>
  <c r="K159" i="3" s="1"/>
  <c r="AJ127" i="2"/>
  <c r="Z127" i="2" s="1"/>
  <c r="AI127" i="2"/>
  <c r="AH127" i="2"/>
  <c r="AG159" i="3" s="1"/>
  <c r="N159" i="3" s="1"/>
  <c r="AG127" i="2"/>
  <c r="Y127" i="2" s="1"/>
  <c r="AD127" i="2"/>
  <c r="X127" i="2"/>
  <c r="W127" i="2"/>
  <c r="J127" i="2" s="1"/>
  <c r="V127" i="2"/>
  <c r="U127" i="2" s="1"/>
  <c r="BO126" i="2"/>
  <c r="AF187" i="3" s="1"/>
  <c r="M187" i="3" s="1"/>
  <c r="BN126" i="2"/>
  <c r="AH187" i="3" s="1"/>
  <c r="O187" i="3" s="1"/>
  <c r="BM126" i="2"/>
  <c r="AM187" i="3" s="1"/>
  <c r="Q187" i="3" s="1"/>
  <c r="BL126" i="2"/>
  <c r="BK126" i="2"/>
  <c r="AN187" i="3" s="1"/>
  <c r="R187" i="3" s="1"/>
  <c r="BJ126" i="2"/>
  <c r="AF126" i="2" s="1"/>
  <c r="BI126" i="2"/>
  <c r="BH126" i="2" s="1"/>
  <c r="BG126" i="2"/>
  <c r="BF126" i="2"/>
  <c r="AO187" i="3" s="1"/>
  <c r="X187" i="3" s="1"/>
  <c r="BE126" i="2"/>
  <c r="BD126" i="2"/>
  <c r="AI187" i="3" s="1"/>
  <c r="U187" i="3" s="1"/>
  <c r="BC126" i="2"/>
  <c r="BB126" i="2" s="1"/>
  <c r="AD126" i="2" s="1"/>
  <c r="BA126" i="2"/>
  <c r="AZ126" i="2"/>
  <c r="AX126" i="2"/>
  <c r="AW126" i="2"/>
  <c r="AV126" i="2" s="1"/>
  <c r="AU126" i="2"/>
  <c r="AT126" i="2"/>
  <c r="AL187" i="3" s="1"/>
  <c r="S187" i="3" s="1"/>
  <c r="AS126" i="2"/>
  <c r="AR126" i="2"/>
  <c r="AQ126" i="2"/>
  <c r="AK187" i="3" s="1"/>
  <c r="T187" i="3" s="1"/>
  <c r="AP126" i="2"/>
  <c r="AB126" i="2" s="1"/>
  <c r="AO126" i="2"/>
  <c r="AN126" i="2"/>
  <c r="AL126" i="2"/>
  <c r="AJ126" i="2" s="1"/>
  <c r="Z126" i="2" s="1"/>
  <c r="AK126" i="2"/>
  <c r="AD187" i="3" s="1"/>
  <c r="K187" i="3" s="1"/>
  <c r="AI126" i="2"/>
  <c r="AG126" i="2" s="1"/>
  <c r="Y126" i="2" s="1"/>
  <c r="AH126" i="2"/>
  <c r="AG187" i="3" s="1"/>
  <c r="N187" i="3" s="1"/>
  <c r="AC126" i="2"/>
  <c r="X126" i="2"/>
  <c r="W126" i="2"/>
  <c r="V126" i="2"/>
  <c r="U126" i="2" s="1"/>
  <c r="J126" i="2"/>
  <c r="BO125" i="2"/>
  <c r="AF60" i="3" s="1"/>
  <c r="M60" i="3" s="1"/>
  <c r="BN125" i="2"/>
  <c r="AH60" i="3" s="1"/>
  <c r="O60" i="3" s="1"/>
  <c r="BM125" i="2"/>
  <c r="AM60" i="3" s="1"/>
  <c r="Q60" i="3" s="1"/>
  <c r="BL125" i="2"/>
  <c r="BK125" i="2"/>
  <c r="BI125" i="2"/>
  <c r="BH125" i="2"/>
  <c r="BG125" i="2"/>
  <c r="BF125" i="2"/>
  <c r="AO60" i="3" s="1"/>
  <c r="X60" i="3" s="1"/>
  <c r="BE125" i="2"/>
  <c r="BD125" i="2"/>
  <c r="AI60" i="3" s="1"/>
  <c r="U60" i="3" s="1"/>
  <c r="BC125" i="2"/>
  <c r="BB125" i="2"/>
  <c r="BA125" i="2"/>
  <c r="AZ125" i="2"/>
  <c r="AJ60" i="3" s="1"/>
  <c r="W60" i="3" s="1"/>
  <c r="AY125" i="2"/>
  <c r="AE125" i="2" s="1"/>
  <c r="AX125" i="2"/>
  <c r="AW125" i="2"/>
  <c r="AV125" i="2" s="1"/>
  <c r="AU125" i="2"/>
  <c r="AT125" i="2"/>
  <c r="AL60" i="3" s="1"/>
  <c r="S60" i="3" s="1"/>
  <c r="AS125" i="2"/>
  <c r="AR125" i="2"/>
  <c r="AQ125" i="2"/>
  <c r="AK60" i="3" s="1"/>
  <c r="T60" i="3" s="1"/>
  <c r="AP125" i="2"/>
  <c r="AO125" i="2"/>
  <c r="AN125" i="2"/>
  <c r="AE60" i="3" s="1"/>
  <c r="L60" i="3" s="1"/>
  <c r="AL125" i="2"/>
  <c r="AK125" i="2"/>
  <c r="AD60" i="3" s="1"/>
  <c r="K60" i="3" s="1"/>
  <c r="AJ125" i="2"/>
  <c r="Z125" i="2" s="1"/>
  <c r="AI125" i="2"/>
  <c r="AH125" i="2"/>
  <c r="AG60" i="3" s="1"/>
  <c r="N60" i="3" s="1"/>
  <c r="AG125" i="2"/>
  <c r="Y125" i="2" s="1"/>
  <c r="AD125" i="2"/>
  <c r="AC125" i="2"/>
  <c r="AB125" i="2"/>
  <c r="X125" i="2"/>
  <c r="W125" i="2"/>
  <c r="V125" i="2"/>
  <c r="U125" i="2"/>
  <c r="J125" i="2"/>
  <c r="BO124" i="2"/>
  <c r="AF217" i="3" s="1"/>
  <c r="BN124" i="2"/>
  <c r="AH217" i="3" s="1"/>
  <c r="O217" i="3" s="1"/>
  <c r="BM124" i="2"/>
  <c r="AM217" i="3" s="1"/>
  <c r="Q217" i="3" s="1"/>
  <c r="BL124" i="2"/>
  <c r="BJ124" i="2" s="1"/>
  <c r="AF124" i="2" s="1"/>
  <c r="BK124" i="2"/>
  <c r="AN217" i="3" s="1"/>
  <c r="R217" i="3" s="1"/>
  <c r="BI124" i="2"/>
  <c r="BH124" i="2" s="1"/>
  <c r="BG124" i="2"/>
  <c r="BF124" i="2"/>
  <c r="AO217" i="3" s="1"/>
  <c r="X217" i="3" s="1"/>
  <c r="BE124" i="2"/>
  <c r="BD124" i="2"/>
  <c r="AI217" i="3" s="1"/>
  <c r="U217" i="3" s="1"/>
  <c r="BC124" i="2"/>
  <c r="BB124" i="2"/>
  <c r="AD124" i="2" s="1"/>
  <c r="BA124" i="2"/>
  <c r="AZ124" i="2"/>
  <c r="AX124" i="2"/>
  <c r="AW124" i="2"/>
  <c r="AV124" i="2" s="1"/>
  <c r="AU124" i="2"/>
  <c r="AS124" i="2" s="1"/>
  <c r="AC124" i="2" s="1"/>
  <c r="AT124" i="2"/>
  <c r="AL217" i="3" s="1"/>
  <c r="S217" i="3" s="1"/>
  <c r="AR124" i="2"/>
  <c r="AP124" i="2" s="1"/>
  <c r="AB124" i="2" s="1"/>
  <c r="AQ124" i="2"/>
  <c r="AK217" i="3" s="1"/>
  <c r="T217" i="3" s="1"/>
  <c r="AO124" i="2"/>
  <c r="AM124" i="2" s="1"/>
  <c r="AN124" i="2"/>
  <c r="AE217" i="3" s="1"/>
  <c r="AL124" i="2"/>
  <c r="AK124" i="2"/>
  <c r="AD217" i="3" s="1"/>
  <c r="K217" i="3" s="1"/>
  <c r="AJ124" i="2"/>
  <c r="Z124" i="2" s="1"/>
  <c r="AI124" i="2"/>
  <c r="AH124" i="2"/>
  <c r="AG124" i="2" s="1"/>
  <c r="AA124" i="2"/>
  <c r="Y124" i="2"/>
  <c r="X124" i="2"/>
  <c r="W124" i="2"/>
  <c r="V124" i="2"/>
  <c r="U124" i="2"/>
  <c r="J124" i="2"/>
  <c r="BO123" i="2"/>
  <c r="AF55" i="3" s="1"/>
  <c r="M55" i="3" s="1"/>
  <c r="BN123" i="2"/>
  <c r="AH55" i="3" s="1"/>
  <c r="O55" i="3" s="1"/>
  <c r="BM123" i="2"/>
  <c r="AM55" i="3" s="1"/>
  <c r="Q55" i="3" s="1"/>
  <c r="BL123" i="2"/>
  <c r="BK123" i="2"/>
  <c r="AN55" i="3" s="1"/>
  <c r="R55" i="3" s="1"/>
  <c r="BJ123" i="2"/>
  <c r="BI123" i="2"/>
  <c r="BH123" i="2"/>
  <c r="BG123" i="2"/>
  <c r="BF123" i="2"/>
  <c r="AO55" i="3" s="1"/>
  <c r="X55" i="3" s="1"/>
  <c r="BE123" i="2"/>
  <c r="BD123" i="2"/>
  <c r="AI55" i="3" s="1"/>
  <c r="U55" i="3" s="1"/>
  <c r="BC123" i="2"/>
  <c r="BB123" i="2"/>
  <c r="BA123" i="2"/>
  <c r="AZ123" i="2"/>
  <c r="AJ55" i="3" s="1"/>
  <c r="W55" i="3" s="1"/>
  <c r="AX123" i="2"/>
  <c r="AW123" i="2"/>
  <c r="AV123" i="2"/>
  <c r="AU123" i="2"/>
  <c r="AT123" i="2"/>
  <c r="AR123" i="2"/>
  <c r="AQ123" i="2"/>
  <c r="AK55" i="3" s="1"/>
  <c r="T55" i="3" s="1"/>
  <c r="AP123" i="2"/>
  <c r="AB123" i="2" s="1"/>
  <c r="AO123" i="2"/>
  <c r="AN123" i="2"/>
  <c r="AE55" i="3" s="1"/>
  <c r="L55" i="3" s="1"/>
  <c r="AL123" i="2"/>
  <c r="AK123" i="2"/>
  <c r="AD55" i="3" s="1"/>
  <c r="K55" i="3" s="1"/>
  <c r="AI123" i="2"/>
  <c r="AH123" i="2"/>
  <c r="AG55" i="3" s="1"/>
  <c r="N55" i="3" s="1"/>
  <c r="AG123" i="2"/>
  <c r="Y123" i="2" s="1"/>
  <c r="AF123" i="2"/>
  <c r="AD123" i="2"/>
  <c r="X123" i="2"/>
  <c r="W123" i="2"/>
  <c r="V123" i="2"/>
  <c r="U123" i="2"/>
  <c r="J123" i="2"/>
  <c r="BO122" i="2"/>
  <c r="AF243" i="3" s="1"/>
  <c r="M243" i="3" s="1"/>
  <c r="BN122" i="2"/>
  <c r="AH243" i="3" s="1"/>
  <c r="O243" i="3" s="1"/>
  <c r="BM122" i="2"/>
  <c r="AM243" i="3" s="1"/>
  <c r="Q243" i="3" s="1"/>
  <c r="BL122" i="2"/>
  <c r="BJ122" i="2" s="1"/>
  <c r="BK122" i="2"/>
  <c r="AN243" i="3" s="1"/>
  <c r="R243" i="3" s="1"/>
  <c r="BI122" i="2"/>
  <c r="BH122" i="2"/>
  <c r="BG122" i="2"/>
  <c r="BE122" i="2" s="1"/>
  <c r="BF122" i="2"/>
  <c r="AO243" i="3" s="1"/>
  <c r="X243" i="3" s="1"/>
  <c r="BD122" i="2"/>
  <c r="AI243" i="3" s="1"/>
  <c r="U243" i="3" s="1"/>
  <c r="BC122" i="2"/>
  <c r="BB122" i="2" s="1"/>
  <c r="AD122" i="2" s="1"/>
  <c r="BA122" i="2"/>
  <c r="AZ122" i="2"/>
  <c r="AJ243" i="3" s="1"/>
  <c r="W243" i="3" s="1"/>
  <c r="AY122" i="2"/>
  <c r="AX122" i="2"/>
  <c r="AW122" i="2"/>
  <c r="AV122" i="2"/>
  <c r="AU122" i="2"/>
  <c r="AT122" i="2"/>
  <c r="AL243" i="3" s="1"/>
  <c r="S243" i="3" s="1"/>
  <c r="AR122" i="2"/>
  <c r="AQ122" i="2"/>
  <c r="AK243" i="3" s="1"/>
  <c r="T243" i="3" s="1"/>
  <c r="AP122" i="2"/>
  <c r="AO122" i="2"/>
  <c r="AN122" i="2"/>
  <c r="AE243" i="3" s="1"/>
  <c r="L243" i="3" s="1"/>
  <c r="AM122" i="2"/>
  <c r="AL122" i="2"/>
  <c r="AK122" i="2"/>
  <c r="AD243" i="3" s="1"/>
  <c r="K243" i="3" s="1"/>
  <c r="AI122" i="2"/>
  <c r="AH122" i="2"/>
  <c r="AF122" i="2"/>
  <c r="AE122" i="2"/>
  <c r="AB122" i="2"/>
  <c r="AA122" i="2"/>
  <c r="X122" i="2"/>
  <c r="W122" i="2"/>
  <c r="J122" i="2" s="1"/>
  <c r="V122" i="2"/>
  <c r="U122" i="2" s="1"/>
  <c r="BO121" i="2"/>
  <c r="AF91" i="3" s="1"/>
  <c r="M91" i="3" s="1"/>
  <c r="BN121" i="2"/>
  <c r="AH91" i="3" s="1"/>
  <c r="O91" i="3" s="1"/>
  <c r="BM121" i="2"/>
  <c r="AM91" i="3" s="1"/>
  <c r="Q91" i="3" s="1"/>
  <c r="BL121" i="2"/>
  <c r="BK121" i="2"/>
  <c r="AN91" i="3" s="1"/>
  <c r="R91" i="3" s="1"/>
  <c r="BJ121" i="2"/>
  <c r="BI121" i="2"/>
  <c r="BH121" i="2"/>
  <c r="BG121" i="2"/>
  <c r="BF121" i="2"/>
  <c r="AO91" i="3" s="1"/>
  <c r="X91" i="3" s="1"/>
  <c r="BD121" i="2"/>
  <c r="AI91" i="3" s="1"/>
  <c r="U91" i="3" s="1"/>
  <c r="BC121" i="2"/>
  <c r="BB121" i="2"/>
  <c r="AD121" i="2" s="1"/>
  <c r="BA121" i="2"/>
  <c r="AZ121" i="2"/>
  <c r="AJ91" i="3" s="1"/>
  <c r="W91" i="3" s="1"/>
  <c r="AY121" i="2"/>
  <c r="AE121" i="2" s="1"/>
  <c r="AX121" i="2"/>
  <c r="AW121" i="2"/>
  <c r="AV121" i="2"/>
  <c r="AU121" i="2"/>
  <c r="AT121" i="2"/>
  <c r="AL91" i="3" s="1"/>
  <c r="S91" i="3" s="1"/>
  <c r="AS121" i="2"/>
  <c r="AC121" i="2" s="1"/>
  <c r="AR121" i="2"/>
  <c r="AQ121" i="2"/>
  <c r="AK91" i="3" s="1"/>
  <c r="T91" i="3" s="1"/>
  <c r="AP121" i="2"/>
  <c r="AB121" i="2" s="1"/>
  <c r="AO121" i="2"/>
  <c r="AN121" i="2"/>
  <c r="AL121" i="2"/>
  <c r="AK121" i="2"/>
  <c r="AD91" i="3" s="1"/>
  <c r="K91" i="3" s="1"/>
  <c r="AI121" i="2"/>
  <c r="AH121" i="2"/>
  <c r="AG91" i="3" s="1"/>
  <c r="N91" i="3" s="1"/>
  <c r="AG121" i="2"/>
  <c r="AF121" i="2"/>
  <c r="Y121" i="2"/>
  <c r="X121" i="2"/>
  <c r="W121" i="2"/>
  <c r="V121" i="2"/>
  <c r="U121" i="2"/>
  <c r="BO120" i="2"/>
  <c r="AF4" i="3" s="1"/>
  <c r="M4" i="3" s="1"/>
  <c r="BN120" i="2"/>
  <c r="AH4" i="3" s="1"/>
  <c r="O4" i="3" s="1"/>
  <c r="BM120" i="2"/>
  <c r="AM4" i="3" s="1"/>
  <c r="Q4" i="3" s="1"/>
  <c r="BL120" i="2"/>
  <c r="BK120" i="2"/>
  <c r="AN4" i="3" s="1"/>
  <c r="R4" i="3" s="1"/>
  <c r="BJ120" i="2"/>
  <c r="BI120" i="2"/>
  <c r="BH120" i="2" s="1"/>
  <c r="BG120" i="2"/>
  <c r="BF120" i="2"/>
  <c r="AO4" i="3" s="1"/>
  <c r="X4" i="3" s="1"/>
  <c r="BE120" i="2"/>
  <c r="BD120" i="2"/>
  <c r="AI4" i="3" s="1"/>
  <c r="U4" i="3" s="1"/>
  <c r="BC120" i="2"/>
  <c r="BB120" i="2" s="1"/>
  <c r="AD120" i="2" s="1"/>
  <c r="BA120" i="2"/>
  <c r="AZ120" i="2"/>
  <c r="AJ4" i="3" s="1"/>
  <c r="W4" i="3" s="1"/>
  <c r="AY120" i="2"/>
  <c r="AX120" i="2"/>
  <c r="AW120" i="2"/>
  <c r="AV120" i="2"/>
  <c r="AU120" i="2"/>
  <c r="AT120" i="2"/>
  <c r="AL4" i="3" s="1"/>
  <c r="S4" i="3" s="1"/>
  <c r="AS120" i="2"/>
  <c r="AC120" i="2" s="1"/>
  <c r="AR120" i="2"/>
  <c r="AQ120" i="2"/>
  <c r="AK4" i="3" s="1"/>
  <c r="T4" i="3" s="1"/>
  <c r="AP120" i="2"/>
  <c r="AB120" i="2" s="1"/>
  <c r="AO120" i="2"/>
  <c r="AN120" i="2"/>
  <c r="AE4" i="3" s="1"/>
  <c r="L4" i="3" s="1"/>
  <c r="AM120" i="2"/>
  <c r="AA120" i="2" s="1"/>
  <c r="AL120" i="2"/>
  <c r="AK120" i="2"/>
  <c r="AI120" i="2"/>
  <c r="AH120" i="2"/>
  <c r="AG4" i="3" s="1"/>
  <c r="N4" i="3" s="1"/>
  <c r="AG120" i="2"/>
  <c r="Y120" i="2" s="1"/>
  <c r="AF120" i="2"/>
  <c r="AE120" i="2"/>
  <c r="X120" i="2"/>
  <c r="W120" i="2"/>
  <c r="V120" i="2"/>
  <c r="U120" i="2"/>
  <c r="BO119" i="2"/>
  <c r="AF182" i="3" s="1"/>
  <c r="M182" i="3" s="1"/>
  <c r="BN119" i="2"/>
  <c r="AH182" i="3" s="1"/>
  <c r="O182" i="3" s="1"/>
  <c r="BM119" i="2"/>
  <c r="AM182" i="3" s="1"/>
  <c r="Q182" i="3" s="1"/>
  <c r="BL119" i="2"/>
  <c r="BK119" i="2"/>
  <c r="BI119" i="2"/>
  <c r="BH119" i="2"/>
  <c r="BG119" i="2"/>
  <c r="BF119" i="2"/>
  <c r="AO182" i="3" s="1"/>
  <c r="X182" i="3" s="1"/>
  <c r="BD119" i="2"/>
  <c r="AI182" i="3" s="1"/>
  <c r="U182" i="3" s="1"/>
  <c r="BC119" i="2"/>
  <c r="BB119" i="2"/>
  <c r="AD119" i="2" s="1"/>
  <c r="BA119" i="2"/>
  <c r="AZ119" i="2"/>
  <c r="AJ182" i="3" s="1"/>
  <c r="W182" i="3" s="1"/>
  <c r="AY119" i="2"/>
  <c r="AE119" i="2" s="1"/>
  <c r="AX119" i="2"/>
  <c r="AV119" i="2" s="1"/>
  <c r="AW119" i="2"/>
  <c r="AU119" i="2"/>
  <c r="AT119" i="2"/>
  <c r="AL182" i="3" s="1"/>
  <c r="S182" i="3" s="1"/>
  <c r="AR119" i="2"/>
  <c r="AQ119" i="2"/>
  <c r="AK182" i="3" s="1"/>
  <c r="T182" i="3" s="1"/>
  <c r="AP119" i="2"/>
  <c r="AB119" i="2" s="1"/>
  <c r="AO119" i="2"/>
  <c r="AN119" i="2"/>
  <c r="AE182" i="3" s="1"/>
  <c r="L182" i="3" s="1"/>
  <c r="AL119" i="2"/>
  <c r="AK119" i="2"/>
  <c r="AD182" i="3" s="1"/>
  <c r="AJ119" i="2"/>
  <c r="Z119" i="2" s="1"/>
  <c r="AI119" i="2"/>
  <c r="AH119" i="2"/>
  <c r="AG182" i="3" s="1"/>
  <c r="N182" i="3" s="1"/>
  <c r="AG119" i="2"/>
  <c r="Y119" i="2" s="1"/>
  <c r="X119" i="2"/>
  <c r="W119" i="2"/>
  <c r="J119" i="2" s="1"/>
  <c r="V119" i="2"/>
  <c r="U119" i="2" s="1"/>
  <c r="BO118" i="2"/>
  <c r="AF79" i="3" s="1"/>
  <c r="M79" i="3" s="1"/>
  <c r="BN118" i="2"/>
  <c r="AH79" i="3" s="1"/>
  <c r="O79" i="3" s="1"/>
  <c r="BM118" i="2"/>
  <c r="AM79" i="3" s="1"/>
  <c r="Q79" i="3" s="1"/>
  <c r="BL118" i="2"/>
  <c r="BK118" i="2"/>
  <c r="AN79" i="3" s="1"/>
  <c r="R79" i="3" s="1"/>
  <c r="BJ118" i="2"/>
  <c r="BI118" i="2"/>
  <c r="BH118" i="2"/>
  <c r="BG118" i="2"/>
  <c r="BF118" i="2"/>
  <c r="BD118" i="2"/>
  <c r="AI79" i="3" s="1"/>
  <c r="U79" i="3" s="1"/>
  <c r="BC118" i="2"/>
  <c r="BB118" i="2"/>
  <c r="BA118" i="2"/>
  <c r="AZ118" i="2"/>
  <c r="AJ79" i="3" s="1"/>
  <c r="W79" i="3" s="1"/>
  <c r="AY118" i="2"/>
  <c r="AX118" i="2"/>
  <c r="AW118" i="2"/>
  <c r="AV118" i="2"/>
  <c r="AU118" i="2"/>
  <c r="AT118" i="2"/>
  <c r="AL79" i="3" s="1"/>
  <c r="S79" i="3" s="1"/>
  <c r="AS118" i="2"/>
  <c r="AC118" i="2" s="1"/>
  <c r="AR118" i="2"/>
  <c r="AQ118" i="2"/>
  <c r="AK79" i="3" s="1"/>
  <c r="T79" i="3" s="1"/>
  <c r="AP118" i="2"/>
  <c r="AO118" i="2"/>
  <c r="AN118" i="2"/>
  <c r="AE79" i="3" s="1"/>
  <c r="L79" i="3" s="1"/>
  <c r="AL118" i="2"/>
  <c r="AK118" i="2"/>
  <c r="AD79" i="3" s="1"/>
  <c r="K79" i="3" s="1"/>
  <c r="AJ118" i="2"/>
  <c r="AI118" i="2"/>
  <c r="AH118" i="2"/>
  <c r="AG79" i="3" s="1"/>
  <c r="N79" i="3" s="1"/>
  <c r="AG118" i="2"/>
  <c r="Y118" i="2" s="1"/>
  <c r="AF118" i="2"/>
  <c r="AE118" i="2"/>
  <c r="AD118" i="2"/>
  <c r="AB118" i="2"/>
  <c r="Z118" i="2"/>
  <c r="X118" i="2"/>
  <c r="W118" i="2"/>
  <c r="V118" i="2"/>
  <c r="U118" i="2"/>
  <c r="J118" i="2"/>
  <c r="BO117" i="2"/>
  <c r="AF222" i="3" s="1"/>
  <c r="M222" i="3" s="1"/>
  <c r="BN117" i="2"/>
  <c r="AH222" i="3" s="1"/>
  <c r="O222" i="3" s="1"/>
  <c r="BM117" i="2"/>
  <c r="AM222" i="3" s="1"/>
  <c r="Q222" i="3" s="1"/>
  <c r="BL117" i="2"/>
  <c r="BH117" i="2" s="1"/>
  <c r="BK117" i="2"/>
  <c r="AN222" i="3" s="1"/>
  <c r="R222" i="3" s="1"/>
  <c r="BI117" i="2"/>
  <c r="BG117" i="2"/>
  <c r="BF117" i="2"/>
  <c r="AO222" i="3" s="1"/>
  <c r="X222" i="3" s="1"/>
  <c r="BD117" i="2"/>
  <c r="AI222" i="3" s="1"/>
  <c r="U222" i="3" s="1"/>
  <c r="BC117" i="2"/>
  <c r="BB117" i="2"/>
  <c r="AD117" i="2" s="1"/>
  <c r="BA117" i="2"/>
  <c r="AY117" i="2" s="1"/>
  <c r="AE117" i="2" s="1"/>
  <c r="AZ117" i="2"/>
  <c r="AJ222" i="3" s="1"/>
  <c r="W222" i="3" s="1"/>
  <c r="AX117" i="2"/>
  <c r="AW117" i="2"/>
  <c r="AV117" i="2"/>
  <c r="AU117" i="2"/>
  <c r="AT117" i="2"/>
  <c r="AL222" i="3" s="1"/>
  <c r="S222" i="3" s="1"/>
  <c r="AS117" i="2"/>
  <c r="AC117" i="2" s="1"/>
  <c r="AR117" i="2"/>
  <c r="AQ117" i="2"/>
  <c r="AO117" i="2"/>
  <c r="AM117" i="2" s="1"/>
  <c r="AA117" i="2" s="1"/>
  <c r="AN117" i="2"/>
  <c r="AE222" i="3" s="1"/>
  <c r="L222" i="3" s="1"/>
  <c r="AL117" i="2"/>
  <c r="AJ117" i="2" s="1"/>
  <c r="Z117" i="2" s="1"/>
  <c r="AK117" i="2"/>
  <c r="AD222" i="3" s="1"/>
  <c r="K222" i="3" s="1"/>
  <c r="AI117" i="2"/>
  <c r="AH117" i="2"/>
  <c r="X117" i="2"/>
  <c r="W117" i="2"/>
  <c r="V117" i="2"/>
  <c r="U117" i="2" s="1"/>
  <c r="J117" i="2"/>
  <c r="BO116" i="2"/>
  <c r="BN116" i="2"/>
  <c r="BM116" i="2"/>
  <c r="AM104" i="3" s="1"/>
  <c r="Q104" i="3" s="1"/>
  <c r="BL116" i="2"/>
  <c r="BK116" i="2"/>
  <c r="BI116" i="2"/>
  <c r="BH116" i="2"/>
  <c r="BG116" i="2"/>
  <c r="BF116" i="2"/>
  <c r="AO104" i="3" s="1"/>
  <c r="X104" i="3" s="1"/>
  <c r="BE116" i="2"/>
  <c r="BD116" i="2"/>
  <c r="BC116" i="2"/>
  <c r="BB116" i="2"/>
  <c r="AD116" i="2" s="1"/>
  <c r="BA116" i="2"/>
  <c r="AZ116" i="2"/>
  <c r="AJ104" i="3" s="1"/>
  <c r="W104" i="3" s="1"/>
  <c r="AX116" i="2"/>
  <c r="AW116" i="2"/>
  <c r="AV116" i="2"/>
  <c r="AU116" i="2"/>
  <c r="AT116" i="2"/>
  <c r="AL104" i="3" s="1"/>
  <c r="S104" i="3" s="1"/>
  <c r="AS116" i="2"/>
  <c r="AR116" i="2"/>
  <c r="AQ116" i="2"/>
  <c r="AP116" i="2" s="1"/>
  <c r="AB116" i="2" s="1"/>
  <c r="AO116" i="2"/>
  <c r="AN116" i="2"/>
  <c r="AL116" i="2"/>
  <c r="AK116" i="2"/>
  <c r="AJ116" i="2" s="1"/>
  <c r="Z116" i="2" s="1"/>
  <c r="AI116" i="2"/>
  <c r="AH116" i="2"/>
  <c r="AG116" i="2"/>
  <c r="Y116" i="2" s="1"/>
  <c r="AC116" i="2"/>
  <c r="X116" i="2"/>
  <c r="W116" i="2"/>
  <c r="V116" i="2"/>
  <c r="U116" i="2" s="1"/>
  <c r="BO115" i="2"/>
  <c r="AF303" i="3" s="1"/>
  <c r="M303" i="3" s="1"/>
  <c r="BN115" i="2"/>
  <c r="AH303" i="3" s="1"/>
  <c r="O303" i="3" s="1"/>
  <c r="BM115" i="2"/>
  <c r="AM303" i="3" s="1"/>
  <c r="BL115" i="2"/>
  <c r="BK115" i="2"/>
  <c r="AN303" i="3" s="1"/>
  <c r="R303" i="3" s="1"/>
  <c r="BJ115" i="2"/>
  <c r="AF115" i="2" s="1"/>
  <c r="BI115" i="2"/>
  <c r="BH115" i="2" s="1"/>
  <c r="BG115" i="2"/>
  <c r="BF115" i="2"/>
  <c r="AO303" i="3" s="1"/>
  <c r="X303" i="3" s="1"/>
  <c r="BE115" i="2"/>
  <c r="BD115" i="2"/>
  <c r="AI303" i="3" s="1"/>
  <c r="U303" i="3" s="1"/>
  <c r="BC115" i="2"/>
  <c r="BB115" i="2"/>
  <c r="AD115" i="2" s="1"/>
  <c r="BA115" i="2"/>
  <c r="AZ115" i="2"/>
  <c r="AX115" i="2"/>
  <c r="AW115" i="2"/>
  <c r="AV115" i="2"/>
  <c r="AU115" i="2"/>
  <c r="AS115" i="2" s="1"/>
  <c r="AC115" i="2" s="1"/>
  <c r="AT115" i="2"/>
  <c r="AL303" i="3" s="1"/>
  <c r="S303" i="3" s="1"/>
  <c r="AR115" i="2"/>
  <c r="AQ115" i="2"/>
  <c r="AK303" i="3" s="1"/>
  <c r="AO115" i="2"/>
  <c r="AN115" i="2"/>
  <c r="AE303" i="3" s="1"/>
  <c r="AM115" i="2"/>
  <c r="AL115" i="2"/>
  <c r="AK115" i="2"/>
  <c r="AD303" i="3" s="1"/>
  <c r="K303" i="3" s="1"/>
  <c r="AJ115" i="2"/>
  <c r="Z115" i="2" s="1"/>
  <c r="AI115" i="2"/>
  <c r="AH115" i="2"/>
  <c r="AG303" i="3" s="1"/>
  <c r="N303" i="3" s="1"/>
  <c r="AG115" i="2"/>
  <c r="AA115" i="2"/>
  <c r="Y115" i="2"/>
  <c r="X115" i="2"/>
  <c r="W115" i="2"/>
  <c r="V115" i="2"/>
  <c r="U115" i="2" s="1"/>
  <c r="J115" i="2"/>
  <c r="BO114" i="2"/>
  <c r="AF291" i="3" s="1"/>
  <c r="M291" i="3" s="1"/>
  <c r="BN114" i="2"/>
  <c r="AH291" i="3" s="1"/>
  <c r="O291" i="3" s="1"/>
  <c r="BM114" i="2"/>
  <c r="AM291" i="3" s="1"/>
  <c r="Q291" i="3" s="1"/>
  <c r="BL114" i="2"/>
  <c r="BK114" i="2"/>
  <c r="AN291" i="3" s="1"/>
  <c r="R291" i="3" s="1"/>
  <c r="BI114" i="2"/>
  <c r="BH114" i="2" s="1"/>
  <c r="BG114" i="2"/>
  <c r="BF114" i="2"/>
  <c r="AO291" i="3" s="1"/>
  <c r="X291" i="3" s="1"/>
  <c r="BD114" i="2"/>
  <c r="BC114" i="2"/>
  <c r="BA114" i="2"/>
  <c r="AY114" i="2" s="1"/>
  <c r="AE114" i="2" s="1"/>
  <c r="AZ114" i="2"/>
  <c r="AJ291" i="3" s="1"/>
  <c r="W291" i="3" s="1"/>
  <c r="AX114" i="2"/>
  <c r="AW114" i="2"/>
  <c r="AV114" i="2"/>
  <c r="AU114" i="2"/>
  <c r="AS114" i="2" s="1"/>
  <c r="AT114" i="2"/>
  <c r="AL291" i="3" s="1"/>
  <c r="S291" i="3" s="1"/>
  <c r="AR114" i="2"/>
  <c r="AP114" i="2" s="1"/>
  <c r="AQ114" i="2"/>
  <c r="AK291" i="3" s="1"/>
  <c r="T291" i="3" s="1"/>
  <c r="AO114" i="2"/>
  <c r="AN114" i="2"/>
  <c r="AL114" i="2"/>
  <c r="AK114" i="2"/>
  <c r="AI114" i="2"/>
  <c r="AH114" i="2"/>
  <c r="AG291" i="3" s="1"/>
  <c r="N291" i="3" s="1"/>
  <c r="AC114" i="2"/>
  <c r="AB114" i="2"/>
  <c r="X114" i="2"/>
  <c r="W114" i="2"/>
  <c r="V114" i="2"/>
  <c r="U114" i="2"/>
  <c r="J114" i="2"/>
  <c r="BO113" i="2"/>
  <c r="AF33" i="3" s="1"/>
  <c r="M33" i="3" s="1"/>
  <c r="BN113" i="2"/>
  <c r="AH33" i="3" s="1"/>
  <c r="O33" i="3" s="1"/>
  <c r="BM113" i="2"/>
  <c r="AM33" i="3" s="1"/>
  <c r="Q33" i="3" s="1"/>
  <c r="BL113" i="2"/>
  <c r="BK113" i="2"/>
  <c r="AN33" i="3" s="1"/>
  <c r="BI113" i="2"/>
  <c r="BH113" i="2"/>
  <c r="BG113" i="2"/>
  <c r="BF113" i="2"/>
  <c r="AO33" i="3" s="1"/>
  <c r="X33" i="3" s="1"/>
  <c r="BE113" i="2"/>
  <c r="BD113" i="2"/>
  <c r="AI33" i="3" s="1"/>
  <c r="U33" i="3" s="1"/>
  <c r="BC113" i="2"/>
  <c r="BB113" i="2" s="1"/>
  <c r="BA113" i="2"/>
  <c r="AZ113" i="2"/>
  <c r="AJ33" i="3" s="1"/>
  <c r="W33" i="3" s="1"/>
  <c r="AY113" i="2"/>
  <c r="AX113" i="2"/>
  <c r="AW113" i="2"/>
  <c r="AV113" i="2"/>
  <c r="AU113" i="2"/>
  <c r="AT113" i="2"/>
  <c r="AL33" i="3" s="1"/>
  <c r="S33" i="3" s="1"/>
  <c r="AS113" i="2"/>
  <c r="AC113" i="2" s="1"/>
  <c r="AR113" i="2"/>
  <c r="AQ113" i="2"/>
  <c r="AO113" i="2"/>
  <c r="AN113" i="2"/>
  <c r="AL113" i="2"/>
  <c r="AK113" i="2"/>
  <c r="AD33" i="3" s="1"/>
  <c r="K33" i="3" s="1"/>
  <c r="AJ113" i="2"/>
  <c r="Z113" i="2" s="1"/>
  <c r="AI113" i="2"/>
  <c r="AH113" i="2"/>
  <c r="AG33" i="3" s="1"/>
  <c r="N33" i="3" s="1"/>
  <c r="AE113" i="2"/>
  <c r="AD113" i="2"/>
  <c r="X113" i="2"/>
  <c r="W113" i="2"/>
  <c r="V113" i="2"/>
  <c r="U113" i="2"/>
  <c r="J113" i="2"/>
  <c r="BO112" i="2"/>
  <c r="AF84" i="3" s="1"/>
  <c r="M84" i="3" s="1"/>
  <c r="BN112" i="2"/>
  <c r="AH84" i="3" s="1"/>
  <c r="O84" i="3" s="1"/>
  <c r="BM112" i="2"/>
  <c r="AM84" i="3" s="1"/>
  <c r="Q84" i="3" s="1"/>
  <c r="BL112" i="2"/>
  <c r="BK112" i="2"/>
  <c r="AN84" i="3" s="1"/>
  <c r="R84" i="3" s="1"/>
  <c r="BJ112" i="2"/>
  <c r="AF112" i="2" s="1"/>
  <c r="BI112" i="2"/>
  <c r="BH112" i="2" s="1"/>
  <c r="BG112" i="2"/>
  <c r="BF112" i="2"/>
  <c r="AO84" i="3" s="1"/>
  <c r="X84" i="3" s="1"/>
  <c r="BE112" i="2"/>
  <c r="BD112" i="2"/>
  <c r="AI84" i="3" s="1"/>
  <c r="U84" i="3" s="1"/>
  <c r="BC112" i="2"/>
  <c r="BB112" i="2"/>
  <c r="BA112" i="2"/>
  <c r="AZ112" i="2"/>
  <c r="AJ84" i="3" s="1"/>
  <c r="W84" i="3" s="1"/>
  <c r="AY112" i="2"/>
  <c r="AX112" i="2"/>
  <c r="AW112" i="2"/>
  <c r="AV112" i="2" s="1"/>
  <c r="AU112" i="2"/>
  <c r="AT112" i="2"/>
  <c r="AS112" i="2" s="1"/>
  <c r="AR112" i="2"/>
  <c r="AQ112" i="2"/>
  <c r="AK84" i="3" s="1"/>
  <c r="T84" i="3" s="1"/>
  <c r="AP112" i="2"/>
  <c r="AO112" i="2"/>
  <c r="AM112" i="2" s="1"/>
  <c r="AA112" i="2" s="1"/>
  <c r="AN112" i="2"/>
  <c r="AE84" i="3" s="1"/>
  <c r="L84" i="3" s="1"/>
  <c r="AL112" i="2"/>
  <c r="AK112" i="2"/>
  <c r="AI112" i="2"/>
  <c r="AH112" i="2"/>
  <c r="AG84" i="3" s="1"/>
  <c r="N84" i="3" s="1"/>
  <c r="AG112" i="2"/>
  <c r="AE112" i="2"/>
  <c r="AD112" i="2"/>
  <c r="AC112" i="2"/>
  <c r="AB112" i="2"/>
  <c r="Y112" i="2"/>
  <c r="X112" i="2"/>
  <c r="W112" i="2"/>
  <c r="V112" i="2"/>
  <c r="U112" i="2"/>
  <c r="BO111" i="2"/>
  <c r="BN111" i="2"/>
  <c r="AH171" i="3" s="1"/>
  <c r="O171" i="3" s="1"/>
  <c r="BM111" i="2"/>
  <c r="AM171" i="3" s="1"/>
  <c r="Q171" i="3" s="1"/>
  <c r="BL111" i="2"/>
  <c r="BK111" i="2"/>
  <c r="AN171" i="3" s="1"/>
  <c r="R171" i="3" s="1"/>
  <c r="BJ111" i="2"/>
  <c r="BI111" i="2"/>
  <c r="BH111" i="2"/>
  <c r="BG111" i="2"/>
  <c r="BF111" i="2"/>
  <c r="AO171" i="3" s="1"/>
  <c r="X171" i="3" s="1"/>
  <c r="BE111" i="2"/>
  <c r="BD111" i="2"/>
  <c r="AI171" i="3" s="1"/>
  <c r="U171" i="3" s="1"/>
  <c r="BC111" i="2"/>
  <c r="BB111" i="2"/>
  <c r="AD111" i="2" s="1"/>
  <c r="BA111" i="2"/>
  <c r="AZ111" i="2"/>
  <c r="AJ171" i="3" s="1"/>
  <c r="W171" i="3" s="1"/>
  <c r="AY111" i="2"/>
  <c r="AE111" i="2" s="1"/>
  <c r="AX111" i="2"/>
  <c r="AW111" i="2"/>
  <c r="AV111" i="2"/>
  <c r="AU111" i="2"/>
  <c r="AS111" i="2" s="1"/>
  <c r="AC111" i="2" s="1"/>
  <c r="AT111" i="2"/>
  <c r="AL171" i="3" s="1"/>
  <c r="S171" i="3" s="1"/>
  <c r="AR111" i="2"/>
  <c r="AQ111" i="2"/>
  <c r="AK171" i="3" s="1"/>
  <c r="T171" i="3" s="1"/>
  <c r="AP111" i="2"/>
  <c r="AO111" i="2"/>
  <c r="AN111" i="2"/>
  <c r="AM111" i="2" s="1"/>
  <c r="AA111" i="2" s="1"/>
  <c r="AL111" i="2"/>
  <c r="AK111" i="2"/>
  <c r="AD171" i="3" s="1"/>
  <c r="K171" i="3" s="1"/>
  <c r="AI111" i="2"/>
  <c r="AH111" i="2"/>
  <c r="AG171" i="3" s="1"/>
  <c r="N171" i="3" s="1"/>
  <c r="AG111" i="2"/>
  <c r="AF111" i="2"/>
  <c r="AB111" i="2"/>
  <c r="Y111" i="2"/>
  <c r="X111" i="2"/>
  <c r="W111" i="2"/>
  <c r="J111" i="2" s="1"/>
  <c r="V111" i="2"/>
  <c r="U111" i="2" s="1"/>
  <c r="BO110" i="2"/>
  <c r="AF175" i="3" s="1"/>
  <c r="M175" i="3" s="1"/>
  <c r="BN110" i="2"/>
  <c r="AH175" i="3" s="1"/>
  <c r="O175" i="3" s="1"/>
  <c r="BM110" i="2"/>
  <c r="AM175" i="3" s="1"/>
  <c r="Q175" i="3" s="1"/>
  <c r="BL110" i="2"/>
  <c r="BK110" i="2"/>
  <c r="AN175" i="3" s="1"/>
  <c r="R175" i="3" s="1"/>
  <c r="BJ110" i="2"/>
  <c r="BI110" i="2"/>
  <c r="BH110" i="2" s="1"/>
  <c r="BG110" i="2"/>
  <c r="BF110" i="2"/>
  <c r="AO175" i="3" s="1"/>
  <c r="X175" i="3" s="1"/>
  <c r="BD110" i="2"/>
  <c r="AI175" i="3" s="1"/>
  <c r="U175" i="3" s="1"/>
  <c r="BC110" i="2"/>
  <c r="BB110" i="2"/>
  <c r="BA110" i="2"/>
  <c r="AZ110" i="2"/>
  <c r="AJ175" i="3" s="1"/>
  <c r="W175" i="3" s="1"/>
  <c r="AY110" i="2"/>
  <c r="AE110" i="2" s="1"/>
  <c r="AX110" i="2"/>
  <c r="AW110" i="2"/>
  <c r="AV110" i="2" s="1"/>
  <c r="AU110" i="2"/>
  <c r="AT110" i="2"/>
  <c r="AL175" i="3" s="1"/>
  <c r="S175" i="3" s="1"/>
  <c r="AS110" i="2"/>
  <c r="AC110" i="2" s="1"/>
  <c r="AR110" i="2"/>
  <c r="AQ110" i="2"/>
  <c r="AK175" i="3" s="1"/>
  <c r="T175" i="3" s="1"/>
  <c r="AP110" i="2"/>
  <c r="AB110" i="2" s="1"/>
  <c r="AO110" i="2"/>
  <c r="AN110" i="2"/>
  <c r="AL110" i="2"/>
  <c r="AK110" i="2"/>
  <c r="AD175" i="3" s="1"/>
  <c r="K175" i="3" s="1"/>
  <c r="AJ110" i="2"/>
  <c r="Z110" i="2" s="1"/>
  <c r="AI110" i="2"/>
  <c r="AH110" i="2"/>
  <c r="AG175" i="3" s="1"/>
  <c r="N175" i="3" s="1"/>
  <c r="AG110" i="2"/>
  <c r="Y110" i="2" s="1"/>
  <c r="AF110" i="2"/>
  <c r="AD110" i="2"/>
  <c r="X110" i="2"/>
  <c r="W110" i="2"/>
  <c r="J110" i="2" s="1"/>
  <c r="V110" i="2"/>
  <c r="U110" i="2" s="1"/>
  <c r="BO109" i="2"/>
  <c r="AF223" i="3" s="1"/>
  <c r="M223" i="3" s="1"/>
  <c r="BN109" i="2"/>
  <c r="AH223" i="3" s="1"/>
  <c r="O223" i="3" s="1"/>
  <c r="BM109" i="2"/>
  <c r="AM223" i="3" s="1"/>
  <c r="Q223" i="3" s="1"/>
  <c r="BL109" i="2"/>
  <c r="BJ109" i="2" s="1"/>
  <c r="AF109" i="2" s="1"/>
  <c r="BK109" i="2"/>
  <c r="AN223" i="3" s="1"/>
  <c r="R223" i="3" s="1"/>
  <c r="BI109" i="2"/>
  <c r="BG109" i="2"/>
  <c r="BF109" i="2"/>
  <c r="AO223" i="3" s="1"/>
  <c r="X223" i="3" s="1"/>
  <c r="BE109" i="2"/>
  <c r="BD109" i="2"/>
  <c r="AI223" i="3" s="1"/>
  <c r="U223" i="3" s="1"/>
  <c r="BC109" i="2"/>
  <c r="BB109" i="2"/>
  <c r="AD109" i="2" s="1"/>
  <c r="BA109" i="2"/>
  <c r="AZ109" i="2"/>
  <c r="AX109" i="2"/>
  <c r="AW109" i="2"/>
  <c r="AV109" i="2" s="1"/>
  <c r="AU109" i="2"/>
  <c r="AT109" i="2"/>
  <c r="AL223" i="3" s="1"/>
  <c r="S223" i="3" s="1"/>
  <c r="AS109" i="2"/>
  <c r="AC109" i="2" s="1"/>
  <c r="AR109" i="2"/>
  <c r="AQ109" i="2"/>
  <c r="AK223" i="3" s="1"/>
  <c r="T223" i="3" s="1"/>
  <c r="AP109" i="2"/>
  <c r="AO109" i="2"/>
  <c r="AN109" i="2"/>
  <c r="AL109" i="2"/>
  <c r="AJ109" i="2" s="1"/>
  <c r="Z109" i="2" s="1"/>
  <c r="AK109" i="2"/>
  <c r="AD223" i="3" s="1"/>
  <c r="K223" i="3" s="1"/>
  <c r="AI109" i="2"/>
  <c r="AH109" i="2"/>
  <c r="AG223" i="3" s="1"/>
  <c r="N223" i="3" s="1"/>
  <c r="AG109" i="2"/>
  <c r="Y109" i="2" s="1"/>
  <c r="AB109" i="2"/>
  <c r="X109" i="2"/>
  <c r="W109" i="2"/>
  <c r="V109" i="2"/>
  <c r="U109" i="2" s="1"/>
  <c r="J109" i="2"/>
  <c r="BO108" i="2"/>
  <c r="AF135" i="3" s="1"/>
  <c r="M135" i="3" s="1"/>
  <c r="BN108" i="2"/>
  <c r="AH135" i="3" s="1"/>
  <c r="O135" i="3" s="1"/>
  <c r="BM108" i="2"/>
  <c r="AM135" i="3" s="1"/>
  <c r="Q135" i="3" s="1"/>
  <c r="BL108" i="2"/>
  <c r="BK108" i="2"/>
  <c r="BI108" i="2"/>
  <c r="BH108" i="2"/>
  <c r="BG108" i="2"/>
  <c r="BF108" i="2"/>
  <c r="AO135" i="3" s="1"/>
  <c r="X135" i="3" s="1"/>
  <c r="BD108" i="2"/>
  <c r="AI135" i="3" s="1"/>
  <c r="U135" i="3" s="1"/>
  <c r="BC108" i="2"/>
  <c r="BB108" i="2"/>
  <c r="AD108" i="2" s="1"/>
  <c r="BA108" i="2"/>
  <c r="AZ108" i="2"/>
  <c r="AJ135" i="3" s="1"/>
  <c r="W135" i="3" s="1"/>
  <c r="AX108" i="2"/>
  <c r="AW108" i="2"/>
  <c r="AV108" i="2"/>
  <c r="AU108" i="2"/>
  <c r="AT108" i="2"/>
  <c r="AL135" i="3" s="1"/>
  <c r="S135" i="3" s="1"/>
  <c r="AS108" i="2"/>
  <c r="AC108" i="2" s="1"/>
  <c r="AR108" i="2"/>
  <c r="AQ108" i="2"/>
  <c r="AK135" i="3" s="1"/>
  <c r="T135" i="3" s="1"/>
  <c r="AP108" i="2"/>
  <c r="AO108" i="2"/>
  <c r="AN108" i="2"/>
  <c r="AE135" i="3" s="1"/>
  <c r="L135" i="3" s="1"/>
  <c r="AL108" i="2"/>
  <c r="AK108" i="2"/>
  <c r="AI108" i="2"/>
  <c r="AH108" i="2"/>
  <c r="AB108" i="2"/>
  <c r="X108" i="2"/>
  <c r="W108" i="2"/>
  <c r="V108" i="2"/>
  <c r="U108" i="2"/>
  <c r="J108" i="2"/>
  <c r="BO107" i="2"/>
  <c r="AF74" i="3" s="1"/>
  <c r="M74" i="3" s="1"/>
  <c r="BN107" i="2"/>
  <c r="AH74" i="3" s="1"/>
  <c r="O74" i="3" s="1"/>
  <c r="BM107" i="2"/>
  <c r="AM74" i="3" s="1"/>
  <c r="Q74" i="3" s="1"/>
  <c r="BL107" i="2"/>
  <c r="BK107" i="2"/>
  <c r="AN74" i="3" s="1"/>
  <c r="R74" i="3" s="1"/>
  <c r="BJ107" i="2"/>
  <c r="AF107" i="2" s="1"/>
  <c r="BI107" i="2"/>
  <c r="BH107" i="2" s="1"/>
  <c r="BG107" i="2"/>
  <c r="BF107" i="2"/>
  <c r="AO74" i="3" s="1"/>
  <c r="X74" i="3" s="1"/>
  <c r="BE107" i="2"/>
  <c r="BD107" i="2"/>
  <c r="AI74" i="3" s="1"/>
  <c r="U74" i="3" s="1"/>
  <c r="BC107" i="2"/>
  <c r="BB107" i="2" s="1"/>
  <c r="AD107" i="2" s="1"/>
  <c r="BA107" i="2"/>
  <c r="AZ107" i="2"/>
  <c r="AX107" i="2"/>
  <c r="AW107" i="2"/>
  <c r="AV107" i="2"/>
  <c r="AU107" i="2"/>
  <c r="AT107" i="2"/>
  <c r="AR107" i="2"/>
  <c r="AQ107" i="2"/>
  <c r="AK74" i="3" s="1"/>
  <c r="T74" i="3" s="1"/>
  <c r="AP107" i="2"/>
  <c r="AB107" i="2" s="1"/>
  <c r="AO107" i="2"/>
  <c r="AN107" i="2"/>
  <c r="AE74" i="3" s="1"/>
  <c r="L74" i="3" s="1"/>
  <c r="AM107" i="2"/>
  <c r="AL107" i="2"/>
  <c r="AK107" i="2"/>
  <c r="AD74" i="3" s="1"/>
  <c r="K74" i="3" s="1"/>
  <c r="AJ107" i="2"/>
  <c r="Z107" i="2" s="1"/>
  <c r="AI107" i="2"/>
  <c r="AH107" i="2"/>
  <c r="AG107" i="2" s="1"/>
  <c r="Y107" i="2" s="1"/>
  <c r="AA107" i="2"/>
  <c r="X107" i="2"/>
  <c r="W107" i="2"/>
  <c r="V107" i="2"/>
  <c r="U107" i="2" s="1"/>
  <c r="J107" i="2"/>
  <c r="BO106" i="2"/>
  <c r="AF62" i="3" s="1"/>
  <c r="M62" i="3" s="1"/>
  <c r="BN106" i="2"/>
  <c r="AH62" i="3" s="1"/>
  <c r="O62" i="3" s="1"/>
  <c r="BM106" i="2"/>
  <c r="AM62" i="3" s="1"/>
  <c r="Q62" i="3" s="1"/>
  <c r="BL106" i="2"/>
  <c r="BK106" i="2"/>
  <c r="AN62" i="3" s="1"/>
  <c r="R62" i="3" s="1"/>
  <c r="BJ106" i="2"/>
  <c r="AF106" i="2" s="1"/>
  <c r="BI106" i="2"/>
  <c r="BH106" i="2" s="1"/>
  <c r="BG106" i="2"/>
  <c r="BF106" i="2"/>
  <c r="BD106" i="2"/>
  <c r="AI62" i="3" s="1"/>
  <c r="U62" i="3" s="1"/>
  <c r="BC106" i="2"/>
  <c r="BB106" i="2"/>
  <c r="BA106" i="2"/>
  <c r="AZ106" i="2"/>
  <c r="AJ62" i="3" s="1"/>
  <c r="W62" i="3" s="1"/>
  <c r="AX106" i="2"/>
  <c r="AW106" i="2"/>
  <c r="AV106" i="2"/>
  <c r="AU106" i="2"/>
  <c r="AT106" i="2"/>
  <c r="AL62" i="3" s="1"/>
  <c r="S62" i="3" s="1"/>
  <c r="AR106" i="2"/>
  <c r="AQ106" i="2"/>
  <c r="AK62" i="3" s="1"/>
  <c r="T62" i="3" s="1"/>
  <c r="AP106" i="2"/>
  <c r="AB106" i="2" s="1"/>
  <c r="AO106" i="2"/>
  <c r="AM106" i="2" s="1"/>
  <c r="AA106" i="2" s="1"/>
  <c r="AN106" i="2"/>
  <c r="AE62" i="3" s="1"/>
  <c r="L62" i="3" s="1"/>
  <c r="AL106" i="2"/>
  <c r="AJ106" i="2" s="1"/>
  <c r="Z106" i="2" s="1"/>
  <c r="AK106" i="2"/>
  <c r="AD62" i="3" s="1"/>
  <c r="K62" i="3" s="1"/>
  <c r="AI106" i="2"/>
  <c r="AH106" i="2"/>
  <c r="AG62" i="3" s="1"/>
  <c r="N62" i="3" s="1"/>
  <c r="AG106" i="2"/>
  <c r="Y106" i="2" s="1"/>
  <c r="AD106" i="2"/>
  <c r="X106" i="2"/>
  <c r="W106" i="2"/>
  <c r="V106" i="2"/>
  <c r="U106" i="2"/>
  <c r="J106" i="2"/>
  <c r="BO105" i="2"/>
  <c r="AF257" i="3" s="1"/>
  <c r="M257" i="3" s="1"/>
  <c r="BN105" i="2"/>
  <c r="AH257" i="3" s="1"/>
  <c r="O257" i="3" s="1"/>
  <c r="BM105" i="2"/>
  <c r="AM257" i="3" s="1"/>
  <c r="Q257" i="3" s="1"/>
  <c r="BL105" i="2"/>
  <c r="BK105" i="2"/>
  <c r="AN257" i="3" s="1"/>
  <c r="R257" i="3" s="1"/>
  <c r="BJ105" i="2"/>
  <c r="AF105" i="2" s="1"/>
  <c r="BI105" i="2"/>
  <c r="BH105" i="2"/>
  <c r="BG105" i="2"/>
  <c r="BF105" i="2"/>
  <c r="BD105" i="2"/>
  <c r="AI257" i="3" s="1"/>
  <c r="U257" i="3" s="1"/>
  <c r="BC105" i="2"/>
  <c r="BB105" i="2" s="1"/>
  <c r="AD105" i="2" s="1"/>
  <c r="BA105" i="2"/>
  <c r="AZ105" i="2"/>
  <c r="AJ257" i="3" s="1"/>
  <c r="W257" i="3" s="1"/>
  <c r="AY105" i="2"/>
  <c r="AX105" i="2"/>
  <c r="AW105" i="2"/>
  <c r="AV105" i="2" s="1"/>
  <c r="AU105" i="2"/>
  <c r="AT105" i="2"/>
  <c r="AL257" i="3" s="1"/>
  <c r="S257" i="3" s="1"/>
  <c r="AR105" i="2"/>
  <c r="AQ105" i="2"/>
  <c r="AK257" i="3" s="1"/>
  <c r="T257" i="3" s="1"/>
  <c r="AP105" i="2"/>
  <c r="AO105" i="2"/>
  <c r="AN105" i="2"/>
  <c r="AE257" i="3" s="1"/>
  <c r="L257" i="3" s="1"/>
  <c r="AM105" i="2"/>
  <c r="AA105" i="2" s="1"/>
  <c r="AL105" i="2"/>
  <c r="AK105" i="2"/>
  <c r="AD257" i="3" s="1"/>
  <c r="K257" i="3" s="1"/>
  <c r="AJ105" i="2"/>
  <c r="AI105" i="2"/>
  <c r="AH105" i="2"/>
  <c r="AE105" i="2"/>
  <c r="AB105" i="2"/>
  <c r="Z105" i="2"/>
  <c r="X105" i="2"/>
  <c r="W105" i="2"/>
  <c r="V105" i="2"/>
  <c r="U105" i="2"/>
  <c r="J105" i="2"/>
  <c r="BO104" i="2"/>
  <c r="AF8" i="3" s="1"/>
  <c r="M8" i="3" s="1"/>
  <c r="BN104" i="2"/>
  <c r="AH8" i="3" s="1"/>
  <c r="O8" i="3" s="1"/>
  <c r="BM104" i="2"/>
  <c r="BL104" i="2"/>
  <c r="BK104" i="2"/>
  <c r="BJ104" i="2"/>
  <c r="BI104" i="2"/>
  <c r="BH104" i="2" s="1"/>
  <c r="BG104" i="2"/>
  <c r="BF104" i="2"/>
  <c r="AO8" i="3" s="1"/>
  <c r="X8" i="3" s="1"/>
  <c r="BE104" i="2"/>
  <c r="BD104" i="2"/>
  <c r="AI8" i="3" s="1"/>
  <c r="U8" i="3" s="1"/>
  <c r="BC104" i="2"/>
  <c r="BB104" i="2"/>
  <c r="AD104" i="2" s="1"/>
  <c r="BA104" i="2"/>
  <c r="AZ104" i="2"/>
  <c r="AJ8" i="3" s="1"/>
  <c r="W8" i="3" s="1"/>
  <c r="AY104" i="2"/>
  <c r="AE104" i="2" s="1"/>
  <c r="AX104" i="2"/>
  <c r="AW104" i="2"/>
  <c r="AV104" i="2" s="1"/>
  <c r="AU104" i="2"/>
  <c r="AT104" i="2"/>
  <c r="AR104" i="2"/>
  <c r="AQ104" i="2"/>
  <c r="AK8" i="3" s="1"/>
  <c r="T8" i="3" s="1"/>
  <c r="AP104" i="2"/>
  <c r="AO104" i="2"/>
  <c r="AN104" i="2"/>
  <c r="AL104" i="2"/>
  <c r="AK104" i="2"/>
  <c r="AD8" i="3" s="1"/>
  <c r="K8" i="3" s="1"/>
  <c r="AI104" i="2"/>
  <c r="AH104" i="2"/>
  <c r="AG8" i="3" s="1"/>
  <c r="AG104" i="2"/>
  <c r="Y104" i="2" s="1"/>
  <c r="AF104" i="2"/>
  <c r="AB104" i="2"/>
  <c r="X104" i="2"/>
  <c r="W104" i="2"/>
  <c r="V104" i="2"/>
  <c r="U104" i="2"/>
  <c r="J104" i="2"/>
  <c r="BO103" i="2"/>
  <c r="AF96" i="3" s="1"/>
  <c r="M96" i="3" s="1"/>
  <c r="BN103" i="2"/>
  <c r="AH96" i="3" s="1"/>
  <c r="O96" i="3" s="1"/>
  <c r="BM103" i="2"/>
  <c r="BL103" i="2"/>
  <c r="BK103" i="2"/>
  <c r="BI103" i="2"/>
  <c r="BH103" i="2"/>
  <c r="BG103" i="2"/>
  <c r="BF103" i="2"/>
  <c r="AO96" i="3" s="1"/>
  <c r="X96" i="3" s="1"/>
  <c r="BD103" i="2"/>
  <c r="BC103" i="2"/>
  <c r="BB103" i="2"/>
  <c r="BA103" i="2"/>
  <c r="AZ103" i="2"/>
  <c r="AJ96" i="3" s="1"/>
  <c r="W96" i="3" s="1"/>
  <c r="AY103" i="2"/>
  <c r="AE103" i="2" s="1"/>
  <c r="AX103" i="2"/>
  <c r="AW103" i="2"/>
  <c r="AV103" i="2" s="1"/>
  <c r="AU103" i="2"/>
  <c r="AT103" i="2"/>
  <c r="AL96" i="3" s="1"/>
  <c r="S96" i="3" s="1"/>
  <c r="AR103" i="2"/>
  <c r="AQ103" i="2"/>
  <c r="AK96" i="3" s="1"/>
  <c r="T96" i="3" s="1"/>
  <c r="AO103" i="2"/>
  <c r="AN103" i="2"/>
  <c r="AE96" i="3" s="1"/>
  <c r="L96" i="3" s="1"/>
  <c r="AM103" i="2"/>
  <c r="AA103" i="2" s="1"/>
  <c r="AL103" i="2"/>
  <c r="AK103" i="2"/>
  <c r="AI103" i="2"/>
  <c r="AH103" i="2"/>
  <c r="AD103" i="2"/>
  <c r="X103" i="2"/>
  <c r="W103" i="2"/>
  <c r="V103" i="2"/>
  <c r="U103" i="2"/>
  <c r="J103" i="2"/>
  <c r="BO102" i="2"/>
  <c r="AF113" i="3" s="1"/>
  <c r="M113" i="3" s="1"/>
  <c r="BN102" i="2"/>
  <c r="AH113" i="3" s="1"/>
  <c r="O113" i="3" s="1"/>
  <c r="BM102" i="2"/>
  <c r="AM113" i="3" s="1"/>
  <c r="Q113" i="3" s="1"/>
  <c r="BL102" i="2"/>
  <c r="BK102" i="2"/>
  <c r="AN113" i="3" s="1"/>
  <c r="R113" i="3" s="1"/>
  <c r="BJ102" i="2"/>
  <c r="AF102" i="2" s="1"/>
  <c r="BI102" i="2"/>
  <c r="BH102" i="2"/>
  <c r="BG102" i="2"/>
  <c r="BF102" i="2"/>
  <c r="BD102" i="2"/>
  <c r="AI113" i="3" s="1"/>
  <c r="U113" i="3" s="1"/>
  <c r="BC102" i="2"/>
  <c r="BB102" i="2"/>
  <c r="BA102" i="2"/>
  <c r="AZ102" i="2"/>
  <c r="AX102" i="2"/>
  <c r="AW102" i="2"/>
  <c r="AV102" i="2" s="1"/>
  <c r="AU102" i="2"/>
  <c r="AT102" i="2"/>
  <c r="AL113" i="3" s="1"/>
  <c r="S113" i="3" s="1"/>
  <c r="AS102" i="2"/>
  <c r="AR102" i="2"/>
  <c r="AQ102" i="2"/>
  <c r="AK113" i="3" s="1"/>
  <c r="T113" i="3" s="1"/>
  <c r="AP102" i="2"/>
  <c r="AO102" i="2"/>
  <c r="AN102" i="2"/>
  <c r="AL102" i="2"/>
  <c r="AK102" i="2"/>
  <c r="AI102" i="2"/>
  <c r="AH102" i="2"/>
  <c r="AG113" i="3" s="1"/>
  <c r="N113" i="3" s="1"/>
  <c r="AG102" i="2"/>
  <c r="AD102" i="2"/>
  <c r="AC102" i="2"/>
  <c r="AB102" i="2"/>
  <c r="Y102" i="2"/>
  <c r="X102" i="2"/>
  <c r="W102" i="2"/>
  <c r="V102" i="2"/>
  <c r="U102" i="2" s="1"/>
  <c r="J102" i="2"/>
  <c r="BO101" i="2"/>
  <c r="AF273" i="3" s="1"/>
  <c r="M273" i="3" s="1"/>
  <c r="BN101" i="2"/>
  <c r="AH273" i="3" s="1"/>
  <c r="BM101" i="2"/>
  <c r="AM273" i="3" s="1"/>
  <c r="Q273" i="3" s="1"/>
  <c r="BL101" i="2"/>
  <c r="BK101" i="2"/>
  <c r="AN273" i="3" s="1"/>
  <c r="R273" i="3" s="1"/>
  <c r="BJ101" i="2"/>
  <c r="BI101" i="2"/>
  <c r="BH101" i="2"/>
  <c r="BG101" i="2"/>
  <c r="BF101" i="2"/>
  <c r="AO273" i="3" s="1"/>
  <c r="X273" i="3" s="1"/>
  <c r="BE101" i="2"/>
  <c r="BD101" i="2"/>
  <c r="AI273" i="3" s="1"/>
  <c r="U273" i="3" s="1"/>
  <c r="BC101" i="2"/>
  <c r="BB101" i="2"/>
  <c r="AD101" i="2" s="1"/>
  <c r="BA101" i="2"/>
  <c r="AZ101" i="2"/>
  <c r="AX101" i="2"/>
  <c r="AW101" i="2"/>
  <c r="AV101" i="2"/>
  <c r="AU101" i="2"/>
  <c r="AT101" i="2"/>
  <c r="AL273" i="3" s="1"/>
  <c r="S273" i="3" s="1"/>
  <c r="AS101" i="2"/>
  <c r="AC101" i="2" s="1"/>
  <c r="AR101" i="2"/>
  <c r="AP101" i="2" s="1"/>
  <c r="AB101" i="2" s="1"/>
  <c r="AQ101" i="2"/>
  <c r="AK273" i="3" s="1"/>
  <c r="T273" i="3" s="1"/>
  <c r="AO101" i="2"/>
  <c r="AN101" i="2"/>
  <c r="AE273" i="3" s="1"/>
  <c r="L273" i="3" s="1"/>
  <c r="AL101" i="2"/>
  <c r="AK101" i="2"/>
  <c r="AD273" i="3" s="1"/>
  <c r="K273" i="3" s="1"/>
  <c r="AJ101" i="2"/>
  <c r="AI101" i="2"/>
  <c r="AG101" i="2" s="1"/>
  <c r="AH101" i="2"/>
  <c r="AG273" i="3" s="1"/>
  <c r="N273" i="3" s="1"/>
  <c r="AF101" i="2"/>
  <c r="Z101" i="2"/>
  <c r="Y101" i="2"/>
  <c r="X101" i="2"/>
  <c r="W101" i="2"/>
  <c r="J101" i="2" s="1"/>
  <c r="V101" i="2"/>
  <c r="U101" i="2"/>
  <c r="BO100" i="2"/>
  <c r="AF254" i="3" s="1"/>
  <c r="M254" i="3" s="1"/>
  <c r="BN100" i="2"/>
  <c r="AH254" i="3" s="1"/>
  <c r="O254" i="3" s="1"/>
  <c r="BM100" i="2"/>
  <c r="AM254" i="3" s="1"/>
  <c r="Q254" i="3" s="1"/>
  <c r="BL100" i="2"/>
  <c r="BJ100" i="2" s="1"/>
  <c r="AF100" i="2" s="1"/>
  <c r="BK100" i="2"/>
  <c r="AN254" i="3" s="1"/>
  <c r="R254" i="3" s="1"/>
  <c r="BI100" i="2"/>
  <c r="BG100" i="2"/>
  <c r="BF100" i="2"/>
  <c r="AO254" i="3" s="1"/>
  <c r="BE100" i="2"/>
  <c r="BD100" i="2"/>
  <c r="AI254" i="3" s="1"/>
  <c r="U254" i="3" s="1"/>
  <c r="BC100" i="2"/>
  <c r="BB100" i="2" s="1"/>
  <c r="AD100" i="2" s="1"/>
  <c r="BA100" i="2"/>
  <c r="AZ100" i="2"/>
  <c r="AX100" i="2"/>
  <c r="AW100" i="2"/>
  <c r="AV100" i="2"/>
  <c r="AU100" i="2"/>
  <c r="AT100" i="2"/>
  <c r="AR100" i="2"/>
  <c r="AQ100" i="2"/>
  <c r="AK254" i="3" s="1"/>
  <c r="T254" i="3" s="1"/>
  <c r="AP100" i="2"/>
  <c r="AO100" i="2"/>
  <c r="AN100" i="2"/>
  <c r="AE254" i="3" s="1"/>
  <c r="L254" i="3" s="1"/>
  <c r="AM100" i="2"/>
  <c r="AL100" i="2"/>
  <c r="AJ100" i="2" s="1"/>
  <c r="AK100" i="2"/>
  <c r="AD254" i="3" s="1"/>
  <c r="K254" i="3" s="1"/>
  <c r="AI100" i="2"/>
  <c r="AH100" i="2"/>
  <c r="AG254" i="3" s="1"/>
  <c r="N254" i="3" s="1"/>
  <c r="AB100" i="2"/>
  <c r="AA100" i="2"/>
  <c r="Z100" i="2"/>
  <c r="X100" i="2"/>
  <c r="W100" i="2"/>
  <c r="V100" i="2"/>
  <c r="U100" i="2" s="1"/>
  <c r="J100" i="2"/>
  <c r="BO99" i="2"/>
  <c r="AF12" i="3" s="1"/>
  <c r="M12" i="3" s="1"/>
  <c r="BN99" i="2"/>
  <c r="BM99" i="2"/>
  <c r="AM12" i="3" s="1"/>
  <c r="Q12" i="3" s="1"/>
  <c r="BL99" i="2"/>
  <c r="BK99" i="2"/>
  <c r="AN12" i="3" s="1"/>
  <c r="R12" i="3" s="1"/>
  <c r="BJ99" i="2"/>
  <c r="AF99" i="2" s="1"/>
  <c r="BI99" i="2"/>
  <c r="BH99" i="2" s="1"/>
  <c r="BG99" i="2"/>
  <c r="BF99" i="2"/>
  <c r="BD99" i="2"/>
  <c r="AI12" i="3" s="1"/>
  <c r="U12" i="3" s="1"/>
  <c r="BC99" i="2"/>
  <c r="BB99" i="2"/>
  <c r="BA99" i="2"/>
  <c r="AZ99" i="2"/>
  <c r="AJ12" i="3" s="1"/>
  <c r="AX99" i="2"/>
  <c r="AW99" i="2"/>
  <c r="AV99" i="2" s="1"/>
  <c r="AU99" i="2"/>
  <c r="AT99" i="2"/>
  <c r="AL12" i="3" s="1"/>
  <c r="S12" i="3" s="1"/>
  <c r="AS99" i="2"/>
  <c r="AC99" i="2" s="1"/>
  <c r="AR99" i="2"/>
  <c r="AQ99" i="2"/>
  <c r="AK12" i="3" s="1"/>
  <c r="AP99" i="2"/>
  <c r="AB99" i="2" s="1"/>
  <c r="AO99" i="2"/>
  <c r="AM99" i="2" s="1"/>
  <c r="AA99" i="2" s="1"/>
  <c r="AN99" i="2"/>
  <c r="AE12" i="3" s="1"/>
  <c r="L12" i="3" s="1"/>
  <c r="AL99" i="2"/>
  <c r="AJ99" i="2" s="1"/>
  <c r="Z99" i="2" s="1"/>
  <c r="AK99" i="2"/>
  <c r="AI99" i="2"/>
  <c r="AH99" i="2"/>
  <c r="AG12" i="3" s="1"/>
  <c r="N12" i="3" s="1"/>
  <c r="AG99" i="2"/>
  <c r="Y99" i="2" s="1"/>
  <c r="AD99" i="2"/>
  <c r="X99" i="2"/>
  <c r="W99" i="2"/>
  <c r="V99" i="2"/>
  <c r="U99" i="2"/>
  <c r="J99" i="2"/>
  <c r="BO98" i="2"/>
  <c r="AF284" i="3" s="1"/>
  <c r="M284" i="3" s="1"/>
  <c r="BN98" i="2"/>
  <c r="AH284" i="3" s="1"/>
  <c r="O284" i="3" s="1"/>
  <c r="BM98" i="2"/>
  <c r="AM284" i="3" s="1"/>
  <c r="Q284" i="3" s="1"/>
  <c r="BL98" i="2"/>
  <c r="BJ98" i="2" s="1"/>
  <c r="AF98" i="2" s="1"/>
  <c r="BK98" i="2"/>
  <c r="AN284" i="3" s="1"/>
  <c r="R284" i="3" s="1"/>
  <c r="BI98" i="2"/>
  <c r="BH98" i="2" s="1"/>
  <c r="BG98" i="2"/>
  <c r="BF98" i="2"/>
  <c r="BD98" i="2"/>
  <c r="AI284" i="3" s="1"/>
  <c r="U284" i="3" s="1"/>
  <c r="BC98" i="2"/>
  <c r="BB98" i="2" s="1"/>
  <c r="AD98" i="2" s="1"/>
  <c r="BA98" i="2"/>
  <c r="AZ98" i="2"/>
  <c r="AJ284" i="3" s="1"/>
  <c r="W284" i="3" s="1"/>
  <c r="AY98" i="2"/>
  <c r="AX98" i="2"/>
  <c r="AW98" i="2"/>
  <c r="AV98" i="2" s="1"/>
  <c r="AU98" i="2"/>
  <c r="AT98" i="2"/>
  <c r="AL284" i="3" s="1"/>
  <c r="S284" i="3" s="1"/>
  <c r="AR98" i="2"/>
  <c r="AQ98" i="2"/>
  <c r="AK284" i="3" s="1"/>
  <c r="T284" i="3" s="1"/>
  <c r="AP98" i="2"/>
  <c r="AO98" i="2"/>
  <c r="AM98" i="2" s="1"/>
  <c r="AA98" i="2" s="1"/>
  <c r="AN98" i="2"/>
  <c r="AE284" i="3" s="1"/>
  <c r="L284" i="3" s="1"/>
  <c r="AL98" i="2"/>
  <c r="AJ98" i="2" s="1"/>
  <c r="Z98" i="2" s="1"/>
  <c r="AK98" i="2"/>
  <c r="AD284" i="3" s="1"/>
  <c r="K284" i="3" s="1"/>
  <c r="AI98" i="2"/>
  <c r="AH98" i="2"/>
  <c r="AG284" i="3" s="1"/>
  <c r="N284" i="3" s="1"/>
  <c r="AG98" i="2"/>
  <c r="Y98" i="2" s="1"/>
  <c r="AE98" i="2"/>
  <c r="AB98" i="2"/>
  <c r="X98" i="2"/>
  <c r="W98" i="2"/>
  <c r="V98" i="2"/>
  <c r="U98" i="2"/>
  <c r="J98" i="2"/>
  <c r="BO97" i="2"/>
  <c r="AF77" i="3" s="1"/>
  <c r="M77" i="3" s="1"/>
  <c r="BN97" i="2"/>
  <c r="AH77" i="3" s="1"/>
  <c r="O77" i="3" s="1"/>
  <c r="BM97" i="2"/>
  <c r="AM77" i="3" s="1"/>
  <c r="BL97" i="2"/>
  <c r="BK97" i="2"/>
  <c r="AN77" i="3" s="1"/>
  <c r="BJ97" i="2"/>
  <c r="BI97" i="2"/>
  <c r="BH97" i="2" s="1"/>
  <c r="BG97" i="2"/>
  <c r="BF97" i="2"/>
  <c r="AO77" i="3" s="1"/>
  <c r="X77" i="3" s="1"/>
  <c r="BD97" i="2"/>
  <c r="AI77" i="3" s="1"/>
  <c r="U77" i="3" s="1"/>
  <c r="BC97" i="2"/>
  <c r="BB97" i="2"/>
  <c r="AD97" i="2" s="1"/>
  <c r="BA97" i="2"/>
  <c r="AZ97" i="2"/>
  <c r="AJ77" i="3" s="1"/>
  <c r="W77" i="3" s="1"/>
  <c r="AY97" i="2"/>
  <c r="AX97" i="2"/>
  <c r="AW97" i="2"/>
  <c r="AV97" i="2" s="1"/>
  <c r="AU97" i="2"/>
  <c r="AT97" i="2"/>
  <c r="AR97" i="2"/>
  <c r="AQ97" i="2"/>
  <c r="AK77" i="3" s="1"/>
  <c r="T77" i="3" s="1"/>
  <c r="AP97" i="2"/>
  <c r="AO97" i="2"/>
  <c r="AN97" i="2"/>
  <c r="AL97" i="2"/>
  <c r="AK97" i="2"/>
  <c r="AD77" i="3" s="1"/>
  <c r="K77" i="3" s="1"/>
  <c r="AI97" i="2"/>
  <c r="AH97" i="2"/>
  <c r="AG77" i="3" s="1"/>
  <c r="N77" i="3" s="1"/>
  <c r="AG97" i="2"/>
  <c r="Y97" i="2" s="1"/>
  <c r="AF97" i="2"/>
  <c r="AE97" i="2"/>
  <c r="AB97" i="2"/>
  <c r="X97" i="2"/>
  <c r="W97" i="2"/>
  <c r="V97" i="2"/>
  <c r="U97" i="2"/>
  <c r="J97" i="2"/>
  <c r="BO96" i="2"/>
  <c r="AF320" i="3" s="1"/>
  <c r="M320" i="3" s="1"/>
  <c r="BN96" i="2"/>
  <c r="AH320" i="3" s="1"/>
  <c r="O320" i="3" s="1"/>
  <c r="BM96" i="2"/>
  <c r="AM320" i="3" s="1"/>
  <c r="Q320" i="3" s="1"/>
  <c r="BL96" i="2"/>
  <c r="BK96" i="2"/>
  <c r="BI96" i="2"/>
  <c r="BH96" i="2"/>
  <c r="BG96" i="2"/>
  <c r="BF96" i="2"/>
  <c r="AO320" i="3" s="1"/>
  <c r="X320" i="3" s="1"/>
  <c r="BD96" i="2"/>
  <c r="AI320" i="3" s="1"/>
  <c r="U320" i="3" s="1"/>
  <c r="BC96" i="2"/>
  <c r="BB96" i="2"/>
  <c r="BA96" i="2"/>
  <c r="AZ96" i="2"/>
  <c r="AJ320" i="3" s="1"/>
  <c r="W320" i="3" s="1"/>
  <c r="AY96" i="2"/>
  <c r="AE96" i="2" s="1"/>
  <c r="AX96" i="2"/>
  <c r="AW96" i="2"/>
  <c r="AV96" i="2" s="1"/>
  <c r="AU96" i="2"/>
  <c r="AT96" i="2"/>
  <c r="AL320" i="3" s="1"/>
  <c r="S320" i="3" s="1"/>
  <c r="AR96" i="2"/>
  <c r="AQ96" i="2"/>
  <c r="AK320" i="3" s="1"/>
  <c r="T320" i="3" s="1"/>
  <c r="AP96" i="2"/>
  <c r="AB96" i="2" s="1"/>
  <c r="AO96" i="2"/>
  <c r="AN96" i="2"/>
  <c r="AE320" i="3" s="1"/>
  <c r="L320" i="3" s="1"/>
  <c r="AM96" i="2"/>
  <c r="AA96" i="2" s="1"/>
  <c r="AL96" i="2"/>
  <c r="AK96" i="2"/>
  <c r="AI96" i="2"/>
  <c r="AH96" i="2"/>
  <c r="AD96" i="2"/>
  <c r="X96" i="2"/>
  <c r="W96" i="2"/>
  <c r="V96" i="2"/>
  <c r="U96" i="2"/>
  <c r="J96" i="2"/>
  <c r="BO95" i="2"/>
  <c r="AF78" i="3" s="1"/>
  <c r="M78" i="3" s="1"/>
  <c r="BN95" i="2"/>
  <c r="AH78" i="3" s="1"/>
  <c r="O78" i="3" s="1"/>
  <c r="BM95" i="2"/>
  <c r="AM78" i="3" s="1"/>
  <c r="Q78" i="3" s="1"/>
  <c r="BL95" i="2"/>
  <c r="BK95" i="2"/>
  <c r="AN78" i="3" s="1"/>
  <c r="R78" i="3" s="1"/>
  <c r="BJ95" i="2"/>
  <c r="AF95" i="2" s="1"/>
  <c r="BI95" i="2"/>
  <c r="BH95" i="2" s="1"/>
  <c r="BG95" i="2"/>
  <c r="BF95" i="2"/>
  <c r="AO78" i="3" s="1"/>
  <c r="X78" i="3" s="1"/>
  <c r="BE95" i="2"/>
  <c r="BD95" i="2"/>
  <c r="AI78" i="3" s="1"/>
  <c r="U78" i="3" s="1"/>
  <c r="BC95" i="2"/>
  <c r="BB95" i="2" s="1"/>
  <c r="AD95" i="2" s="1"/>
  <c r="BA95" i="2"/>
  <c r="AZ95" i="2"/>
  <c r="AX95" i="2"/>
  <c r="AW95" i="2"/>
  <c r="AV95" i="2" s="1"/>
  <c r="AU95" i="2"/>
  <c r="AT95" i="2"/>
  <c r="AS95" i="2"/>
  <c r="AR95" i="2"/>
  <c r="AQ95" i="2"/>
  <c r="AK78" i="3" s="1"/>
  <c r="T78" i="3" s="1"/>
  <c r="AP95" i="2"/>
  <c r="AO95" i="2"/>
  <c r="AN95" i="2"/>
  <c r="AL95" i="2"/>
  <c r="AK95" i="2"/>
  <c r="AI95" i="2"/>
  <c r="AH95" i="2"/>
  <c r="AG78" i="3" s="1"/>
  <c r="N78" i="3" s="1"/>
  <c r="AG95" i="2"/>
  <c r="AC95" i="2"/>
  <c r="AB95" i="2"/>
  <c r="Y95" i="2"/>
  <c r="X95" i="2"/>
  <c r="W95" i="2"/>
  <c r="V95" i="2"/>
  <c r="U95" i="2" s="1"/>
  <c r="J95" i="2"/>
  <c r="BO94" i="2"/>
  <c r="BN94" i="2"/>
  <c r="BM94" i="2"/>
  <c r="AM22" i="3" s="1"/>
  <c r="Q22" i="3" s="1"/>
  <c r="BL94" i="2"/>
  <c r="BK94" i="2"/>
  <c r="AN22" i="3" s="1"/>
  <c r="R22" i="3" s="1"/>
  <c r="BJ94" i="2"/>
  <c r="BI94" i="2"/>
  <c r="BH94" i="2"/>
  <c r="BG94" i="2"/>
  <c r="BF94" i="2"/>
  <c r="AO22" i="3" s="1"/>
  <c r="X22" i="3" s="1"/>
  <c r="BE94" i="2"/>
  <c r="BD94" i="2"/>
  <c r="AI22" i="3" s="1"/>
  <c r="U22" i="3" s="1"/>
  <c r="BC94" i="2"/>
  <c r="BB94" i="2"/>
  <c r="AD94" i="2" s="1"/>
  <c r="BA94" i="2"/>
  <c r="AZ94" i="2"/>
  <c r="AY94" i="2" s="1"/>
  <c r="AE94" i="2" s="1"/>
  <c r="AX94" i="2"/>
  <c r="AW94" i="2"/>
  <c r="AV94" i="2"/>
  <c r="AU94" i="2"/>
  <c r="AT94" i="2"/>
  <c r="AL22" i="3" s="1"/>
  <c r="S22" i="3" s="1"/>
  <c r="AS94" i="2"/>
  <c r="AC94" i="2" s="1"/>
  <c r="AR94" i="2"/>
  <c r="AQ94" i="2"/>
  <c r="AK22" i="3" s="1"/>
  <c r="T22" i="3" s="1"/>
  <c r="AP94" i="2"/>
  <c r="AO94" i="2"/>
  <c r="AN94" i="2"/>
  <c r="AE22" i="3" s="1"/>
  <c r="L22" i="3" s="1"/>
  <c r="AL94" i="2"/>
  <c r="AK94" i="2"/>
  <c r="AJ94" i="2"/>
  <c r="Z94" i="2" s="1"/>
  <c r="AI94" i="2"/>
  <c r="AH94" i="2"/>
  <c r="AG94" i="2"/>
  <c r="AF94" i="2"/>
  <c r="AB94" i="2"/>
  <c r="Y94" i="2"/>
  <c r="X94" i="2"/>
  <c r="W94" i="2"/>
  <c r="V94" i="2"/>
  <c r="U94" i="2" s="1"/>
  <c r="J94" i="2"/>
  <c r="BO93" i="2"/>
  <c r="AF110" i="3" s="1"/>
  <c r="M110" i="3" s="1"/>
  <c r="BN93" i="2"/>
  <c r="AH110" i="3" s="1"/>
  <c r="O110" i="3" s="1"/>
  <c r="BM93" i="2"/>
  <c r="AM110" i="3" s="1"/>
  <c r="Q110" i="3" s="1"/>
  <c r="BL93" i="2"/>
  <c r="BJ93" i="2" s="1"/>
  <c r="AF93" i="2" s="1"/>
  <c r="BK93" i="2"/>
  <c r="AN110" i="3" s="1"/>
  <c r="R110" i="3" s="1"/>
  <c r="BI93" i="2"/>
  <c r="BH93" i="2" s="1"/>
  <c r="BG93" i="2"/>
  <c r="BF93" i="2"/>
  <c r="AO110" i="3" s="1"/>
  <c r="X110" i="3" s="1"/>
  <c r="BE93" i="2"/>
  <c r="BD93" i="2"/>
  <c r="AI110" i="3" s="1"/>
  <c r="U110" i="3" s="1"/>
  <c r="BC93" i="2"/>
  <c r="BB93" i="2"/>
  <c r="AD93" i="2" s="1"/>
  <c r="BA93" i="2"/>
  <c r="AZ93" i="2"/>
  <c r="AX93" i="2"/>
  <c r="AW93" i="2"/>
  <c r="AV93" i="2"/>
  <c r="AU93" i="2"/>
  <c r="AT93" i="2"/>
  <c r="AL110" i="3" s="1"/>
  <c r="S110" i="3" s="1"/>
  <c r="AR93" i="2"/>
  <c r="AQ93" i="2"/>
  <c r="AO93" i="2"/>
  <c r="AN93" i="2"/>
  <c r="AE110" i="3" s="1"/>
  <c r="L110" i="3" s="1"/>
  <c r="AM93" i="2"/>
  <c r="AL93" i="2"/>
  <c r="AK93" i="2"/>
  <c r="AD110" i="3" s="1"/>
  <c r="K110" i="3" s="1"/>
  <c r="AJ93" i="2"/>
  <c r="AI93" i="2"/>
  <c r="AH93" i="2"/>
  <c r="AG110" i="3" s="1"/>
  <c r="N110" i="3" s="1"/>
  <c r="AA93" i="2"/>
  <c r="Z93" i="2"/>
  <c r="X93" i="2"/>
  <c r="W93" i="2"/>
  <c r="V93" i="2"/>
  <c r="U93" i="2"/>
  <c r="J93" i="2"/>
  <c r="BO92" i="2"/>
  <c r="AF139" i="3" s="1"/>
  <c r="M139" i="3" s="1"/>
  <c r="BN92" i="2"/>
  <c r="AH139" i="3" s="1"/>
  <c r="O139" i="3" s="1"/>
  <c r="BM92" i="2"/>
  <c r="AM139" i="3" s="1"/>
  <c r="Q139" i="3" s="1"/>
  <c r="BL92" i="2"/>
  <c r="BK92" i="2"/>
  <c r="BI92" i="2"/>
  <c r="BH92" i="2"/>
  <c r="BG92" i="2"/>
  <c r="BF92" i="2"/>
  <c r="AO139" i="3" s="1"/>
  <c r="X139" i="3" s="1"/>
  <c r="BE92" i="2"/>
  <c r="BD92" i="2"/>
  <c r="AI139" i="3" s="1"/>
  <c r="U139" i="3" s="1"/>
  <c r="BC92" i="2"/>
  <c r="BB92" i="2"/>
  <c r="BA92" i="2"/>
  <c r="AZ92" i="2"/>
  <c r="AJ139" i="3" s="1"/>
  <c r="W139" i="3" s="1"/>
  <c r="AX92" i="2"/>
  <c r="AW92" i="2"/>
  <c r="AV92" i="2" s="1"/>
  <c r="AU92" i="2"/>
  <c r="AT92" i="2"/>
  <c r="AL139" i="3" s="1"/>
  <c r="S139" i="3" s="1"/>
  <c r="AS92" i="2"/>
  <c r="AC92" i="2" s="1"/>
  <c r="AR92" i="2"/>
  <c r="AQ92" i="2"/>
  <c r="AK139" i="3" s="1"/>
  <c r="T139" i="3" s="1"/>
  <c r="AP92" i="2"/>
  <c r="AB92" i="2" s="1"/>
  <c r="AO92" i="2"/>
  <c r="AN92" i="2"/>
  <c r="AE139" i="3" s="1"/>
  <c r="L139" i="3" s="1"/>
  <c r="AM92" i="2"/>
  <c r="AA92" i="2" s="1"/>
  <c r="AL92" i="2"/>
  <c r="AK92" i="2"/>
  <c r="AD139" i="3" s="1"/>
  <c r="K139" i="3" s="1"/>
  <c r="AJ92" i="2"/>
  <c r="AI92" i="2"/>
  <c r="AH92" i="2"/>
  <c r="AD92" i="2"/>
  <c r="Z92" i="2"/>
  <c r="X92" i="2"/>
  <c r="W92" i="2"/>
  <c r="V92" i="2"/>
  <c r="U92" i="2"/>
  <c r="J92" i="2"/>
  <c r="BO91" i="2"/>
  <c r="AF262" i="3" s="1"/>
  <c r="M262" i="3" s="1"/>
  <c r="BN91" i="2"/>
  <c r="AH262" i="3" s="1"/>
  <c r="O262" i="3" s="1"/>
  <c r="BM91" i="2"/>
  <c r="AM262" i="3" s="1"/>
  <c r="Q262" i="3" s="1"/>
  <c r="BL91" i="2"/>
  <c r="BJ91" i="2" s="1"/>
  <c r="AF91" i="2" s="1"/>
  <c r="BK91" i="2"/>
  <c r="AN262" i="3" s="1"/>
  <c r="R262" i="3" s="1"/>
  <c r="BI91" i="2"/>
  <c r="BG91" i="2"/>
  <c r="BF91" i="2"/>
  <c r="AO262" i="3" s="1"/>
  <c r="X262" i="3" s="1"/>
  <c r="BE91" i="2"/>
  <c r="BD91" i="2"/>
  <c r="AI262" i="3" s="1"/>
  <c r="U262" i="3" s="1"/>
  <c r="BC91" i="2"/>
  <c r="BB91" i="2"/>
  <c r="AD91" i="2" s="1"/>
  <c r="BA91" i="2"/>
  <c r="AZ91" i="2"/>
  <c r="AX91" i="2"/>
  <c r="AW91" i="2"/>
  <c r="AV91" i="2"/>
  <c r="AU91" i="2"/>
  <c r="AT91" i="2"/>
  <c r="AR91" i="2"/>
  <c r="AQ91" i="2"/>
  <c r="AK262" i="3" s="1"/>
  <c r="T262" i="3" s="1"/>
  <c r="AP91" i="2"/>
  <c r="AO91" i="2"/>
  <c r="AN91" i="2"/>
  <c r="AE262" i="3" s="1"/>
  <c r="L262" i="3" s="1"/>
  <c r="AM91" i="2"/>
  <c r="AA91" i="2" s="1"/>
  <c r="AL91" i="2"/>
  <c r="AK91" i="2"/>
  <c r="AD262" i="3" s="1"/>
  <c r="K262" i="3" s="1"/>
  <c r="AJ91" i="2"/>
  <c r="Z91" i="2" s="1"/>
  <c r="AI91" i="2"/>
  <c r="AH91" i="2"/>
  <c r="AG262" i="3" s="1"/>
  <c r="N262" i="3" s="1"/>
  <c r="AG91" i="2"/>
  <c r="Y91" i="2" s="1"/>
  <c r="AB91" i="2"/>
  <c r="X91" i="2"/>
  <c r="W91" i="2"/>
  <c r="J91" i="2" s="1"/>
  <c r="V91" i="2"/>
  <c r="U91" i="2" s="1"/>
  <c r="BO90" i="2"/>
  <c r="AF124" i="3" s="1"/>
  <c r="M124" i="3" s="1"/>
  <c r="BN90" i="2"/>
  <c r="AH124" i="3" s="1"/>
  <c r="O124" i="3" s="1"/>
  <c r="BM90" i="2"/>
  <c r="AM124" i="3" s="1"/>
  <c r="Q124" i="3" s="1"/>
  <c r="BL90" i="2"/>
  <c r="BK90" i="2"/>
  <c r="AN124" i="3" s="1"/>
  <c r="R124" i="3" s="1"/>
  <c r="BJ90" i="2"/>
  <c r="BI90" i="2"/>
  <c r="BH90" i="2" s="1"/>
  <c r="BG90" i="2"/>
  <c r="BF90" i="2"/>
  <c r="AO124" i="3" s="1"/>
  <c r="X124" i="3" s="1"/>
  <c r="BD90" i="2"/>
  <c r="AI124" i="3" s="1"/>
  <c r="U124" i="3" s="1"/>
  <c r="BC90" i="2"/>
  <c r="BB90" i="2"/>
  <c r="BA90" i="2"/>
  <c r="AZ90" i="2"/>
  <c r="AJ124" i="3" s="1"/>
  <c r="W124" i="3" s="1"/>
  <c r="AX90" i="2"/>
  <c r="AW90" i="2"/>
  <c r="AV90" i="2"/>
  <c r="AU90" i="2"/>
  <c r="AT90" i="2"/>
  <c r="AL124" i="3" s="1"/>
  <c r="S124" i="3" s="1"/>
  <c r="AS90" i="2"/>
  <c r="AR90" i="2"/>
  <c r="AQ90" i="2"/>
  <c r="AO90" i="2"/>
  <c r="AN90" i="2"/>
  <c r="AL90" i="2"/>
  <c r="AK90" i="2"/>
  <c r="AD124" i="3" s="1"/>
  <c r="K124" i="3" s="1"/>
  <c r="AI90" i="2"/>
  <c r="AH90" i="2"/>
  <c r="AG124" i="3" s="1"/>
  <c r="N124" i="3" s="1"/>
  <c r="AG90" i="2"/>
  <c r="Y90" i="2" s="1"/>
  <c r="AF90" i="2"/>
  <c r="AD90" i="2"/>
  <c r="AC90" i="2"/>
  <c r="X90" i="2"/>
  <c r="W90" i="2"/>
  <c r="J90" i="2" s="1"/>
  <c r="V90" i="2"/>
  <c r="U90" i="2"/>
  <c r="BO89" i="2"/>
  <c r="AF6" i="3" s="1"/>
  <c r="M6" i="3" s="1"/>
  <c r="BN89" i="2"/>
  <c r="AH6" i="3" s="1"/>
  <c r="O6" i="3" s="1"/>
  <c r="BM89" i="2"/>
  <c r="AM6" i="3" s="1"/>
  <c r="Q6" i="3" s="1"/>
  <c r="BL89" i="2"/>
  <c r="BK89" i="2"/>
  <c r="AN6" i="3" s="1"/>
  <c r="R6" i="3" s="1"/>
  <c r="BJ89" i="2"/>
  <c r="BI89" i="2"/>
  <c r="BH89" i="2"/>
  <c r="BG89" i="2"/>
  <c r="BF89" i="2"/>
  <c r="BD89" i="2"/>
  <c r="AI6" i="3" s="1"/>
  <c r="U6" i="3" s="1"/>
  <c r="BC89" i="2"/>
  <c r="BB89" i="2"/>
  <c r="BA89" i="2"/>
  <c r="AZ89" i="2"/>
  <c r="AJ6" i="3" s="1"/>
  <c r="W6" i="3" s="1"/>
  <c r="AY89" i="2"/>
  <c r="AE89" i="2" s="1"/>
  <c r="AX89" i="2"/>
  <c r="AW89" i="2"/>
  <c r="AV89" i="2"/>
  <c r="AU89" i="2"/>
  <c r="AT89" i="2"/>
  <c r="AR89" i="2"/>
  <c r="AQ89" i="2"/>
  <c r="AK6" i="3" s="1"/>
  <c r="T6" i="3" s="1"/>
  <c r="AP89" i="2"/>
  <c r="AB89" i="2" s="1"/>
  <c r="AO89" i="2"/>
  <c r="AN89" i="2"/>
  <c r="AE6" i="3" s="1"/>
  <c r="L6" i="3" s="1"/>
  <c r="AM89" i="2"/>
  <c r="AA89" i="2" s="1"/>
  <c r="AL89" i="2"/>
  <c r="AK89" i="2"/>
  <c r="AD6" i="3" s="1"/>
  <c r="K6" i="3" s="1"/>
  <c r="AJ89" i="2"/>
  <c r="Z89" i="2" s="1"/>
  <c r="AI89" i="2"/>
  <c r="AH89" i="2"/>
  <c r="AG6" i="3" s="1"/>
  <c r="N6" i="3" s="1"/>
  <c r="AG89" i="2"/>
  <c r="AF89" i="2"/>
  <c r="AD89" i="2"/>
  <c r="Y89" i="2"/>
  <c r="X89" i="2"/>
  <c r="W89" i="2"/>
  <c r="V89" i="2"/>
  <c r="U89" i="2" s="1"/>
  <c r="J89" i="2"/>
  <c r="BO88" i="2"/>
  <c r="AF270" i="3" s="1"/>
  <c r="M270" i="3" s="1"/>
  <c r="BN88" i="2"/>
  <c r="AH270" i="3" s="1"/>
  <c r="O270" i="3" s="1"/>
  <c r="BM88" i="2"/>
  <c r="AM270" i="3" s="1"/>
  <c r="Q270" i="3" s="1"/>
  <c r="BL88" i="2"/>
  <c r="BH88" i="2" s="1"/>
  <c r="BK88" i="2"/>
  <c r="AN270" i="3" s="1"/>
  <c r="R270" i="3" s="1"/>
  <c r="BI88" i="2"/>
  <c r="BG88" i="2"/>
  <c r="BE88" i="2" s="1"/>
  <c r="BF88" i="2"/>
  <c r="AO270" i="3" s="1"/>
  <c r="X270" i="3" s="1"/>
  <c r="BD88" i="2"/>
  <c r="AI270" i="3" s="1"/>
  <c r="U270" i="3" s="1"/>
  <c r="BC88" i="2"/>
  <c r="BA88" i="2"/>
  <c r="AZ88" i="2"/>
  <c r="AX88" i="2"/>
  <c r="AW88" i="2"/>
  <c r="AU88" i="2"/>
  <c r="AT88" i="2"/>
  <c r="AL270" i="3" s="1"/>
  <c r="S270" i="3" s="1"/>
  <c r="AS88" i="2"/>
  <c r="AR88" i="2"/>
  <c r="AQ88" i="2"/>
  <c r="AK270" i="3" s="1"/>
  <c r="T270" i="3" s="1"/>
  <c r="AO88" i="2"/>
  <c r="AN88" i="2"/>
  <c r="AL88" i="2"/>
  <c r="AK88" i="2"/>
  <c r="AD270" i="3" s="1"/>
  <c r="K270" i="3" s="1"/>
  <c r="AI88" i="2"/>
  <c r="AH88" i="2"/>
  <c r="AG270" i="3" s="1"/>
  <c r="N270" i="3" s="1"/>
  <c r="AG88" i="2"/>
  <c r="Y88" i="2" s="1"/>
  <c r="AC88" i="2"/>
  <c r="X88" i="2"/>
  <c r="W88" i="2"/>
  <c r="V88" i="2"/>
  <c r="U88" i="2" s="1"/>
  <c r="J88" i="2"/>
  <c r="BO87" i="2"/>
  <c r="AF95" i="3" s="1"/>
  <c r="M95" i="3" s="1"/>
  <c r="BN87" i="2"/>
  <c r="AH95" i="3" s="1"/>
  <c r="O95" i="3" s="1"/>
  <c r="BM87" i="2"/>
  <c r="AM95" i="3" s="1"/>
  <c r="Q95" i="3" s="1"/>
  <c r="BL87" i="2"/>
  <c r="BK87" i="2"/>
  <c r="AN95" i="3" s="1"/>
  <c r="R95" i="3" s="1"/>
  <c r="BJ87" i="2"/>
  <c r="AF87" i="2" s="1"/>
  <c r="BI87" i="2"/>
  <c r="BH87" i="2" s="1"/>
  <c r="BG87" i="2"/>
  <c r="BF87" i="2"/>
  <c r="BD87" i="2"/>
  <c r="AI95" i="3" s="1"/>
  <c r="U95" i="3" s="1"/>
  <c r="BC87" i="2"/>
  <c r="BB87" i="2"/>
  <c r="AD87" i="2" s="1"/>
  <c r="BA87" i="2"/>
  <c r="AZ87" i="2"/>
  <c r="AJ95" i="3" s="1"/>
  <c r="W95" i="3" s="1"/>
  <c r="AX87" i="2"/>
  <c r="AW87" i="2"/>
  <c r="AV87" i="2" s="1"/>
  <c r="AU87" i="2"/>
  <c r="AT87" i="2"/>
  <c r="AL95" i="3" s="1"/>
  <c r="S95" i="3" s="1"/>
  <c r="AS87" i="2"/>
  <c r="AC87" i="2" s="1"/>
  <c r="AR87" i="2"/>
  <c r="AQ87" i="2"/>
  <c r="AP87" i="2"/>
  <c r="AO87" i="2"/>
  <c r="AN87" i="2"/>
  <c r="AE95" i="3" s="1"/>
  <c r="L95" i="3" s="1"/>
  <c r="AL87" i="2"/>
  <c r="AK87" i="2"/>
  <c r="AD95" i="3" s="1"/>
  <c r="K95" i="3" s="1"/>
  <c r="AJ87" i="2"/>
  <c r="AI87" i="2"/>
  <c r="AH87" i="2"/>
  <c r="AG95" i="3" s="1"/>
  <c r="AG87" i="2"/>
  <c r="Y87" i="2" s="1"/>
  <c r="AB87" i="2"/>
  <c r="Z87" i="2"/>
  <c r="X87" i="2"/>
  <c r="W87" i="2"/>
  <c r="V87" i="2"/>
  <c r="U87" i="2"/>
  <c r="J87" i="2"/>
  <c r="BO86" i="2"/>
  <c r="AF167" i="3" s="1"/>
  <c r="M167" i="3" s="1"/>
  <c r="BN86" i="2"/>
  <c r="AH167" i="3" s="1"/>
  <c r="O167" i="3" s="1"/>
  <c r="BM86" i="2"/>
  <c r="AM167" i="3" s="1"/>
  <c r="Q167" i="3" s="1"/>
  <c r="BL86" i="2"/>
  <c r="BK86" i="2"/>
  <c r="AN167" i="3" s="1"/>
  <c r="R167" i="3" s="1"/>
  <c r="BJ86" i="2"/>
  <c r="AF86" i="2" s="1"/>
  <c r="BI86" i="2"/>
  <c r="BH86" i="2" s="1"/>
  <c r="BG86" i="2"/>
  <c r="BF86" i="2"/>
  <c r="AO167" i="3" s="1"/>
  <c r="X167" i="3" s="1"/>
  <c r="BE86" i="2"/>
  <c r="BD86" i="2"/>
  <c r="AI167" i="3" s="1"/>
  <c r="U167" i="3" s="1"/>
  <c r="BC86" i="2"/>
  <c r="BB86" i="2"/>
  <c r="AD86" i="2" s="1"/>
  <c r="BA86" i="2"/>
  <c r="AZ86" i="2"/>
  <c r="AX86" i="2"/>
  <c r="AW86" i="2"/>
  <c r="AV86" i="2" s="1"/>
  <c r="AU86" i="2"/>
  <c r="AT86" i="2"/>
  <c r="AR86" i="2"/>
  <c r="AQ86" i="2"/>
  <c r="AK167" i="3" s="1"/>
  <c r="T167" i="3" s="1"/>
  <c r="AP86" i="2"/>
  <c r="AB86" i="2" s="1"/>
  <c r="AO86" i="2"/>
  <c r="AN86" i="2"/>
  <c r="AE167" i="3" s="1"/>
  <c r="L167" i="3" s="1"/>
  <c r="AM86" i="2"/>
  <c r="AL86" i="2"/>
  <c r="AK86" i="2"/>
  <c r="AJ86" i="2"/>
  <c r="Z86" i="2" s="1"/>
  <c r="AI86" i="2"/>
  <c r="AH86" i="2"/>
  <c r="AA86" i="2"/>
  <c r="X86" i="2"/>
  <c r="W86" i="2"/>
  <c r="V86" i="2"/>
  <c r="U86" i="2"/>
  <c r="J86" i="2"/>
  <c r="BO85" i="2"/>
  <c r="AF260" i="3" s="1"/>
  <c r="M260" i="3" s="1"/>
  <c r="BN85" i="2"/>
  <c r="AH260" i="3" s="1"/>
  <c r="O260" i="3" s="1"/>
  <c r="BM85" i="2"/>
  <c r="AM260" i="3" s="1"/>
  <c r="Q260" i="3" s="1"/>
  <c r="BL85" i="2"/>
  <c r="BK85" i="2"/>
  <c r="AN260" i="3" s="1"/>
  <c r="R260" i="3" s="1"/>
  <c r="BJ85" i="2"/>
  <c r="AF85" i="2" s="1"/>
  <c r="BI85" i="2"/>
  <c r="BH85" i="2"/>
  <c r="BG85" i="2"/>
  <c r="BF85" i="2"/>
  <c r="BD85" i="2"/>
  <c r="BC85" i="2"/>
  <c r="BA85" i="2"/>
  <c r="AZ85" i="2"/>
  <c r="AJ260" i="3" s="1"/>
  <c r="W260" i="3" s="1"/>
  <c r="AX85" i="2"/>
  <c r="AW85" i="2"/>
  <c r="AV85" i="2" s="1"/>
  <c r="AU85" i="2"/>
  <c r="AT85" i="2"/>
  <c r="AL260" i="3" s="1"/>
  <c r="S260" i="3" s="1"/>
  <c r="AS85" i="2"/>
  <c r="AC85" i="2" s="1"/>
  <c r="AR85" i="2"/>
  <c r="AQ85" i="2"/>
  <c r="AK260" i="3" s="1"/>
  <c r="AP85" i="2"/>
  <c r="AB85" i="2" s="1"/>
  <c r="AO85" i="2"/>
  <c r="AN85" i="2"/>
  <c r="AE260" i="3" s="1"/>
  <c r="L260" i="3" s="1"/>
  <c r="AM85" i="2"/>
  <c r="AA85" i="2" s="1"/>
  <c r="AL85" i="2"/>
  <c r="AK85" i="2"/>
  <c r="AI85" i="2"/>
  <c r="AH85" i="2"/>
  <c r="AG260" i="3" s="1"/>
  <c r="N260" i="3" s="1"/>
  <c r="AG85" i="2"/>
  <c r="Y85" i="2" s="1"/>
  <c r="X85" i="2"/>
  <c r="W85" i="2"/>
  <c r="V85" i="2"/>
  <c r="U85" i="2"/>
  <c r="J85" i="2"/>
  <c r="BO84" i="2"/>
  <c r="AF11" i="3" s="1"/>
  <c r="M11" i="3" s="1"/>
  <c r="BN84" i="2"/>
  <c r="AH11" i="3" s="1"/>
  <c r="O11" i="3" s="1"/>
  <c r="BM84" i="2"/>
  <c r="AM11" i="3" s="1"/>
  <c r="Q11" i="3" s="1"/>
  <c r="BL84" i="2"/>
  <c r="BK84" i="2"/>
  <c r="AN11" i="3" s="1"/>
  <c r="R11" i="3" s="1"/>
  <c r="BJ84" i="2"/>
  <c r="BI84" i="2"/>
  <c r="BH84" i="2"/>
  <c r="BG84" i="2"/>
  <c r="BF84" i="2"/>
  <c r="AO11" i="3" s="1"/>
  <c r="X11" i="3" s="1"/>
  <c r="BE84" i="2"/>
  <c r="BD84" i="2"/>
  <c r="AI11" i="3" s="1"/>
  <c r="U11" i="3" s="1"/>
  <c r="BC84" i="2"/>
  <c r="BB84" i="2" s="1"/>
  <c r="AD84" i="2" s="1"/>
  <c r="BA84" i="2"/>
  <c r="AZ84" i="2"/>
  <c r="AJ11" i="3" s="1"/>
  <c r="W11" i="3" s="1"/>
  <c r="AY84" i="2"/>
  <c r="AX84" i="2"/>
  <c r="AW84" i="2"/>
  <c r="AV84" i="2"/>
  <c r="AU84" i="2"/>
  <c r="AT84" i="2"/>
  <c r="AR84" i="2"/>
  <c r="AQ84" i="2"/>
  <c r="AP84" i="2"/>
  <c r="AO84" i="2"/>
  <c r="AN84" i="2"/>
  <c r="AL84" i="2"/>
  <c r="AK84" i="2"/>
  <c r="AD11" i="3" s="1"/>
  <c r="K11" i="3" s="1"/>
  <c r="AJ84" i="2"/>
  <c r="AI84" i="2"/>
  <c r="AH84" i="2"/>
  <c r="AF84" i="2"/>
  <c r="AE84" i="2"/>
  <c r="AB84" i="2"/>
  <c r="Z84" i="2"/>
  <c r="X84" i="2"/>
  <c r="W84" i="2"/>
  <c r="V84" i="2"/>
  <c r="U84" i="2" s="1"/>
  <c r="J84" i="2"/>
  <c r="BO83" i="2"/>
  <c r="AF122" i="3" s="1"/>
  <c r="M122" i="3" s="1"/>
  <c r="BN83" i="2"/>
  <c r="AH122" i="3" s="1"/>
  <c r="O122" i="3" s="1"/>
  <c r="BM83" i="2"/>
  <c r="AM122" i="3" s="1"/>
  <c r="Q122" i="3" s="1"/>
  <c r="BL83" i="2"/>
  <c r="BK83" i="2"/>
  <c r="AN122" i="3" s="1"/>
  <c r="R122" i="3" s="1"/>
  <c r="BJ83" i="2"/>
  <c r="BI83" i="2"/>
  <c r="BH83" i="2"/>
  <c r="BG83" i="2"/>
  <c r="BF83" i="2"/>
  <c r="AO122" i="3" s="1"/>
  <c r="X122" i="3" s="1"/>
  <c r="BE83" i="2"/>
  <c r="BD83" i="2"/>
  <c r="AI122" i="3" s="1"/>
  <c r="U122" i="3" s="1"/>
  <c r="BC83" i="2"/>
  <c r="BB83" i="2"/>
  <c r="AD83" i="2" s="1"/>
  <c r="BA83" i="2"/>
  <c r="AZ83" i="2"/>
  <c r="AJ122" i="3" s="1"/>
  <c r="W122" i="3" s="1"/>
  <c r="AY83" i="2"/>
  <c r="AE83" i="2" s="1"/>
  <c r="AX83" i="2"/>
  <c r="AW83" i="2"/>
  <c r="AV83" i="2"/>
  <c r="AU83" i="2"/>
  <c r="AT83" i="2"/>
  <c r="AR83" i="2"/>
  <c r="AQ83" i="2"/>
  <c r="AK122" i="3" s="1"/>
  <c r="T122" i="3" s="1"/>
  <c r="AP83" i="2"/>
  <c r="AB83" i="2" s="1"/>
  <c r="AO83" i="2"/>
  <c r="AN83" i="2"/>
  <c r="AL83" i="2"/>
  <c r="AK83" i="2"/>
  <c r="AD122" i="3" s="1"/>
  <c r="K122" i="3" s="1"/>
  <c r="AI83" i="2"/>
  <c r="AH83" i="2"/>
  <c r="AG122" i="3" s="1"/>
  <c r="N122" i="3" s="1"/>
  <c r="AG83" i="2"/>
  <c r="AF83" i="2"/>
  <c r="Y83" i="2"/>
  <c r="X83" i="2"/>
  <c r="W83" i="2"/>
  <c r="J83" i="2" s="1"/>
  <c r="V83" i="2"/>
  <c r="U83" i="2"/>
  <c r="BO82" i="2"/>
  <c r="AF86" i="3" s="1"/>
  <c r="M86" i="3" s="1"/>
  <c r="BN82" i="2"/>
  <c r="AH86" i="3" s="1"/>
  <c r="O86" i="3" s="1"/>
  <c r="BM82" i="2"/>
  <c r="AM86" i="3" s="1"/>
  <c r="Q86" i="3" s="1"/>
  <c r="BL82" i="2"/>
  <c r="BK82" i="2"/>
  <c r="BI82" i="2"/>
  <c r="BH82" i="2"/>
  <c r="BG82" i="2"/>
  <c r="BF82" i="2"/>
  <c r="BD82" i="2"/>
  <c r="BC82" i="2"/>
  <c r="BB82" i="2"/>
  <c r="BA82" i="2"/>
  <c r="AZ82" i="2"/>
  <c r="AJ86" i="3" s="1"/>
  <c r="W86" i="3" s="1"/>
  <c r="AX82" i="2"/>
  <c r="AW82" i="2"/>
  <c r="AV82" i="2" s="1"/>
  <c r="AU82" i="2"/>
  <c r="AT82" i="2"/>
  <c r="AL86" i="3" s="1"/>
  <c r="S86" i="3" s="1"/>
  <c r="AR82" i="2"/>
  <c r="AQ82" i="2"/>
  <c r="AK86" i="3" s="1"/>
  <c r="T86" i="3" s="1"/>
  <c r="AP82" i="2"/>
  <c r="AB82" i="2" s="1"/>
  <c r="AO82" i="2"/>
  <c r="AN82" i="2"/>
  <c r="AE86" i="3" s="1"/>
  <c r="L86" i="3" s="1"/>
  <c r="AM82" i="2"/>
  <c r="AA82" i="2" s="1"/>
  <c r="AL82" i="2"/>
  <c r="AK82" i="2"/>
  <c r="AD86" i="3" s="1"/>
  <c r="K86" i="3" s="1"/>
  <c r="AJ82" i="2"/>
  <c r="Z82" i="2" s="1"/>
  <c r="AI82" i="2"/>
  <c r="AH82" i="2"/>
  <c r="AD82" i="2"/>
  <c r="X82" i="2"/>
  <c r="W82" i="2"/>
  <c r="J82" i="2" s="1"/>
  <c r="V82" i="2"/>
  <c r="U82" i="2"/>
  <c r="BO81" i="2"/>
  <c r="AF50" i="3" s="1"/>
  <c r="M50" i="3" s="1"/>
  <c r="BN81" i="2"/>
  <c r="AH50" i="3" s="1"/>
  <c r="O50" i="3" s="1"/>
  <c r="BM81" i="2"/>
  <c r="AM50" i="3" s="1"/>
  <c r="Q50" i="3" s="1"/>
  <c r="BL81" i="2"/>
  <c r="BK81" i="2"/>
  <c r="AN50" i="3" s="1"/>
  <c r="R50" i="3" s="1"/>
  <c r="BJ81" i="2"/>
  <c r="BI81" i="2"/>
  <c r="BH81" i="2" s="1"/>
  <c r="BG81" i="2"/>
  <c r="BF81" i="2"/>
  <c r="AO50" i="3" s="1"/>
  <c r="X50" i="3" s="1"/>
  <c r="BD81" i="2"/>
  <c r="AI50" i="3" s="1"/>
  <c r="U50" i="3" s="1"/>
  <c r="BC81" i="2"/>
  <c r="BB81" i="2"/>
  <c r="AD81" i="2" s="1"/>
  <c r="BA81" i="2"/>
  <c r="AZ81" i="2"/>
  <c r="AX81" i="2"/>
  <c r="AW81" i="2"/>
  <c r="AV81" i="2" s="1"/>
  <c r="AU81" i="2"/>
  <c r="AT81" i="2"/>
  <c r="AS81" i="2"/>
  <c r="AR81" i="2"/>
  <c r="AQ81" i="2"/>
  <c r="AO81" i="2"/>
  <c r="AN81" i="2"/>
  <c r="AL81" i="2"/>
  <c r="AJ81" i="2" s="1"/>
  <c r="Z81" i="2" s="1"/>
  <c r="AK81" i="2"/>
  <c r="AD50" i="3" s="1"/>
  <c r="K50" i="3" s="1"/>
  <c r="AI81" i="2"/>
  <c r="AH81" i="2"/>
  <c r="AG50" i="3" s="1"/>
  <c r="N50" i="3" s="1"/>
  <c r="AG81" i="2"/>
  <c r="Y81" i="2" s="1"/>
  <c r="AF81" i="2"/>
  <c r="AC81" i="2"/>
  <c r="X81" i="2"/>
  <c r="W81" i="2"/>
  <c r="V81" i="2"/>
  <c r="U81" i="2" s="1"/>
  <c r="J81" i="2"/>
  <c r="BO80" i="2"/>
  <c r="AF281" i="3" s="1"/>
  <c r="M281" i="3" s="1"/>
  <c r="BN80" i="2"/>
  <c r="AH281" i="3" s="1"/>
  <c r="O281" i="3" s="1"/>
  <c r="BM80" i="2"/>
  <c r="AM281" i="3" s="1"/>
  <c r="Q281" i="3" s="1"/>
  <c r="BL80" i="2"/>
  <c r="BJ80" i="2" s="1"/>
  <c r="AF80" i="2" s="1"/>
  <c r="BK80" i="2"/>
  <c r="AN281" i="3" s="1"/>
  <c r="R281" i="3" s="1"/>
  <c r="BI80" i="2"/>
  <c r="BH80" i="2" s="1"/>
  <c r="BG80" i="2"/>
  <c r="BF80" i="2"/>
  <c r="AO281" i="3" s="1"/>
  <c r="X281" i="3" s="1"/>
  <c r="BD80" i="2"/>
  <c r="AI281" i="3" s="1"/>
  <c r="U281" i="3" s="1"/>
  <c r="BC80" i="2"/>
  <c r="BB80" i="2"/>
  <c r="AD80" i="2" s="1"/>
  <c r="BA80" i="2"/>
  <c r="AZ80" i="2"/>
  <c r="AJ281" i="3" s="1"/>
  <c r="W281" i="3" s="1"/>
  <c r="AX80" i="2"/>
  <c r="AW80" i="2"/>
  <c r="AV80" i="2" s="1"/>
  <c r="AU80" i="2"/>
  <c r="AT80" i="2"/>
  <c r="AL281" i="3" s="1"/>
  <c r="S281" i="3" s="1"/>
  <c r="AS80" i="2"/>
  <c r="AR80" i="2"/>
  <c r="AQ80" i="2"/>
  <c r="AK281" i="3" s="1"/>
  <c r="T281" i="3" s="1"/>
  <c r="AP80" i="2"/>
  <c r="AO80" i="2"/>
  <c r="AN80" i="2"/>
  <c r="AE281" i="3" s="1"/>
  <c r="AL80" i="2"/>
  <c r="AK80" i="2"/>
  <c r="AD281" i="3" s="1"/>
  <c r="K281" i="3" s="1"/>
  <c r="AJ80" i="2"/>
  <c r="Z80" i="2" s="1"/>
  <c r="AI80" i="2"/>
  <c r="AG80" i="2" s="1"/>
  <c r="Y80" i="2" s="1"/>
  <c r="AH80" i="2"/>
  <c r="AG281" i="3" s="1"/>
  <c r="N281" i="3" s="1"/>
  <c r="AC80" i="2"/>
  <c r="AB80" i="2"/>
  <c r="X80" i="2"/>
  <c r="W80" i="2"/>
  <c r="V80" i="2"/>
  <c r="U80" i="2" s="1"/>
  <c r="J80" i="2"/>
  <c r="BO79" i="2"/>
  <c r="AF194" i="3" s="1"/>
  <c r="M194" i="3" s="1"/>
  <c r="BN79" i="2"/>
  <c r="AH194" i="3" s="1"/>
  <c r="O194" i="3" s="1"/>
  <c r="BM79" i="2"/>
  <c r="AM194" i="3" s="1"/>
  <c r="Q194" i="3" s="1"/>
  <c r="BL79" i="2"/>
  <c r="BJ79" i="2" s="1"/>
  <c r="AF79" i="2" s="1"/>
  <c r="BK79" i="2"/>
  <c r="AN194" i="3" s="1"/>
  <c r="R194" i="3" s="1"/>
  <c r="BI79" i="2"/>
  <c r="BG79" i="2"/>
  <c r="BF79" i="2"/>
  <c r="AO194" i="3" s="1"/>
  <c r="X194" i="3" s="1"/>
  <c r="BE79" i="2"/>
  <c r="BD79" i="2"/>
  <c r="AI194" i="3" s="1"/>
  <c r="U194" i="3" s="1"/>
  <c r="BC79" i="2"/>
  <c r="BB79" i="2"/>
  <c r="AD79" i="2" s="1"/>
  <c r="BA79" i="2"/>
  <c r="AZ79" i="2"/>
  <c r="AX79" i="2"/>
  <c r="AW79" i="2"/>
  <c r="AV79" i="2" s="1"/>
  <c r="AU79" i="2"/>
  <c r="AS79" i="2" s="1"/>
  <c r="AC79" i="2" s="1"/>
  <c r="AT79" i="2"/>
  <c r="AL194" i="3" s="1"/>
  <c r="S194" i="3" s="1"/>
  <c r="AR79" i="2"/>
  <c r="AQ79" i="2"/>
  <c r="AK194" i="3" s="1"/>
  <c r="T194" i="3" s="1"/>
  <c r="AP79" i="2"/>
  <c r="AB79" i="2" s="1"/>
  <c r="AO79" i="2"/>
  <c r="AN79" i="2"/>
  <c r="AE194" i="3" s="1"/>
  <c r="L194" i="3" s="1"/>
  <c r="AL79" i="2"/>
  <c r="AK79" i="2"/>
  <c r="AD194" i="3" s="1"/>
  <c r="K194" i="3" s="1"/>
  <c r="AI79" i="2"/>
  <c r="AH79" i="2"/>
  <c r="X79" i="2"/>
  <c r="W79" i="2"/>
  <c r="V79" i="2"/>
  <c r="U79" i="2"/>
  <c r="J79" i="2"/>
  <c r="BO78" i="2"/>
  <c r="AF48" i="3" s="1"/>
  <c r="M48" i="3" s="1"/>
  <c r="BN78" i="2"/>
  <c r="AH48" i="3" s="1"/>
  <c r="O48" i="3" s="1"/>
  <c r="BM78" i="2"/>
  <c r="AM48" i="3" s="1"/>
  <c r="Q48" i="3" s="1"/>
  <c r="BL78" i="2"/>
  <c r="BK78" i="2"/>
  <c r="AN48" i="3" s="1"/>
  <c r="R48" i="3" s="1"/>
  <c r="BJ78" i="2"/>
  <c r="AF78" i="2" s="1"/>
  <c r="BI78" i="2"/>
  <c r="BH78" i="2" s="1"/>
  <c r="BG78" i="2"/>
  <c r="BF78" i="2"/>
  <c r="AO48" i="3" s="1"/>
  <c r="BE78" i="2"/>
  <c r="BD78" i="2"/>
  <c r="AI48" i="3" s="1"/>
  <c r="U48" i="3" s="1"/>
  <c r="BC78" i="2"/>
  <c r="BB78" i="2"/>
  <c r="AD78" i="2" s="1"/>
  <c r="BA78" i="2"/>
  <c r="AZ78" i="2"/>
  <c r="AJ48" i="3" s="1"/>
  <c r="AX78" i="2"/>
  <c r="AW78" i="2"/>
  <c r="AV78" i="2" s="1"/>
  <c r="AU78" i="2"/>
  <c r="AT78" i="2"/>
  <c r="AL48" i="3" s="1"/>
  <c r="AS78" i="2"/>
  <c r="AR78" i="2"/>
  <c r="AQ78" i="2"/>
  <c r="AK48" i="3" s="1"/>
  <c r="T48" i="3" s="1"/>
  <c r="AP78" i="2"/>
  <c r="AO78" i="2"/>
  <c r="AN78" i="2"/>
  <c r="AE48" i="3" s="1"/>
  <c r="L48" i="3" s="1"/>
  <c r="AM78" i="2"/>
  <c r="AA78" i="2" s="1"/>
  <c r="AL78" i="2"/>
  <c r="AK78" i="2"/>
  <c r="AD48" i="3" s="1"/>
  <c r="K48" i="3" s="1"/>
  <c r="AJ78" i="2"/>
  <c r="AI78" i="2"/>
  <c r="AH78" i="2"/>
  <c r="AG48" i="3" s="1"/>
  <c r="N48" i="3" s="1"/>
  <c r="AG78" i="2"/>
  <c r="Y78" i="2" s="1"/>
  <c r="AC78" i="2"/>
  <c r="AB78" i="2"/>
  <c r="Z78" i="2"/>
  <c r="X78" i="2"/>
  <c r="W78" i="2"/>
  <c r="V78" i="2"/>
  <c r="U78" i="2"/>
  <c r="J78" i="2"/>
  <c r="BO77" i="2"/>
  <c r="AF5" i="3" s="1"/>
  <c r="M5" i="3" s="1"/>
  <c r="BN77" i="2"/>
  <c r="AH5" i="3" s="1"/>
  <c r="O5" i="3" s="1"/>
  <c r="BM77" i="2"/>
  <c r="BL77" i="2"/>
  <c r="BK77" i="2"/>
  <c r="BJ77" i="2"/>
  <c r="BI77" i="2"/>
  <c r="BH77" i="2"/>
  <c r="BG77" i="2"/>
  <c r="BF77" i="2"/>
  <c r="BE77" i="2"/>
  <c r="BD77" i="2"/>
  <c r="AI5" i="3" s="1"/>
  <c r="U5" i="3" s="1"/>
  <c r="BC77" i="2"/>
  <c r="BB77" i="2"/>
  <c r="AD77" i="2" s="1"/>
  <c r="BA77" i="2"/>
  <c r="AZ77" i="2"/>
  <c r="AJ5" i="3" s="1"/>
  <c r="W5" i="3" s="1"/>
  <c r="AY77" i="2"/>
  <c r="AE77" i="2" s="1"/>
  <c r="AX77" i="2"/>
  <c r="AW77" i="2"/>
  <c r="AV77" i="2"/>
  <c r="AU77" i="2"/>
  <c r="AT77" i="2"/>
  <c r="AR77" i="2"/>
  <c r="AQ77" i="2"/>
  <c r="AK5" i="3" s="1"/>
  <c r="T5" i="3" s="1"/>
  <c r="AP77" i="2"/>
  <c r="AB77" i="2" s="1"/>
  <c r="AO77" i="2"/>
  <c r="AN77" i="2"/>
  <c r="AE5" i="3" s="1"/>
  <c r="L5" i="3" s="1"/>
  <c r="AL77" i="2"/>
  <c r="AK77" i="2"/>
  <c r="AI77" i="2"/>
  <c r="AH77" i="2"/>
  <c r="AF77" i="2"/>
  <c r="X77" i="2"/>
  <c r="W77" i="2"/>
  <c r="J77" i="2" s="1"/>
  <c r="V77" i="2"/>
  <c r="U77" i="2"/>
  <c r="BO76" i="2"/>
  <c r="AF216" i="3" s="1"/>
  <c r="BN76" i="2"/>
  <c r="AH216" i="3" s="1"/>
  <c r="O216" i="3" s="1"/>
  <c r="BM76" i="2"/>
  <c r="AM216" i="3" s="1"/>
  <c r="Q216" i="3" s="1"/>
  <c r="BL76" i="2"/>
  <c r="BK76" i="2"/>
  <c r="AN216" i="3" s="1"/>
  <c r="R216" i="3" s="1"/>
  <c r="BJ76" i="2"/>
  <c r="BI76" i="2"/>
  <c r="BH76" i="2"/>
  <c r="BG76" i="2"/>
  <c r="BE76" i="2" s="1"/>
  <c r="BF76" i="2"/>
  <c r="AO216" i="3" s="1"/>
  <c r="X216" i="3" s="1"/>
  <c r="BD76" i="2"/>
  <c r="AI216" i="3" s="1"/>
  <c r="U216" i="3" s="1"/>
  <c r="BC76" i="2"/>
  <c r="BB76" i="2"/>
  <c r="AD76" i="2" s="1"/>
  <c r="BA76" i="2"/>
  <c r="AZ76" i="2"/>
  <c r="AJ216" i="3" s="1"/>
  <c r="W216" i="3" s="1"/>
  <c r="AY76" i="2"/>
  <c r="AX76" i="2"/>
  <c r="AW76" i="2"/>
  <c r="AV76" i="2"/>
  <c r="AU76" i="2"/>
  <c r="AT76" i="2"/>
  <c r="AL216" i="3" s="1"/>
  <c r="S216" i="3" s="1"/>
  <c r="AS76" i="2"/>
  <c r="AR76" i="2"/>
  <c r="AQ76" i="2"/>
  <c r="AK216" i="3" s="1"/>
  <c r="T216" i="3" s="1"/>
  <c r="AO76" i="2"/>
  <c r="AN76" i="2"/>
  <c r="AL76" i="2"/>
  <c r="AK76" i="2"/>
  <c r="AD216" i="3" s="1"/>
  <c r="K216" i="3" s="1"/>
  <c r="AI76" i="2"/>
  <c r="AH76" i="2"/>
  <c r="AG216" i="3" s="1"/>
  <c r="N216" i="3" s="1"/>
  <c r="AG76" i="2"/>
  <c r="Y76" i="2" s="1"/>
  <c r="AF76" i="2"/>
  <c r="AE76" i="2"/>
  <c r="AC76" i="2"/>
  <c r="X76" i="2"/>
  <c r="W76" i="2"/>
  <c r="J76" i="2" s="1"/>
  <c r="V76" i="2"/>
  <c r="U76" i="2"/>
  <c r="BO75" i="2"/>
  <c r="AF244" i="3" s="1"/>
  <c r="M244" i="3" s="1"/>
  <c r="BN75" i="2"/>
  <c r="AH244" i="3" s="1"/>
  <c r="O244" i="3" s="1"/>
  <c r="BM75" i="2"/>
  <c r="AM244" i="3" s="1"/>
  <c r="Q244" i="3" s="1"/>
  <c r="BL75" i="2"/>
  <c r="BK75" i="2"/>
  <c r="AN244" i="3" s="1"/>
  <c r="R244" i="3" s="1"/>
  <c r="BJ75" i="2"/>
  <c r="AF75" i="2" s="1"/>
  <c r="BI75" i="2"/>
  <c r="BH75" i="2"/>
  <c r="BG75" i="2"/>
  <c r="BF75" i="2"/>
  <c r="BD75" i="2"/>
  <c r="AI244" i="3" s="1"/>
  <c r="U244" i="3" s="1"/>
  <c r="BC75" i="2"/>
  <c r="BB75" i="2"/>
  <c r="BA75" i="2"/>
  <c r="AZ75" i="2"/>
  <c r="AJ244" i="3" s="1"/>
  <c r="W244" i="3" s="1"/>
  <c r="AY75" i="2"/>
  <c r="AE75" i="2" s="1"/>
  <c r="AX75" i="2"/>
  <c r="AW75" i="2"/>
  <c r="AV75" i="2"/>
  <c r="AU75" i="2"/>
  <c r="AT75" i="2"/>
  <c r="AL244" i="3" s="1"/>
  <c r="S244" i="3" s="1"/>
  <c r="AS75" i="2"/>
  <c r="AC75" i="2" s="1"/>
  <c r="AR75" i="2"/>
  <c r="AQ75" i="2"/>
  <c r="AK244" i="3" s="1"/>
  <c r="T244" i="3" s="1"/>
  <c r="AP75" i="2"/>
  <c r="AB75" i="2" s="1"/>
  <c r="AO75" i="2"/>
  <c r="AN75" i="2"/>
  <c r="AE244" i="3" s="1"/>
  <c r="L244" i="3" s="1"/>
  <c r="AM75" i="2"/>
  <c r="AA75" i="2" s="1"/>
  <c r="AL75" i="2"/>
  <c r="AK75" i="2"/>
  <c r="AD244" i="3" s="1"/>
  <c r="K244" i="3" s="1"/>
  <c r="AJ75" i="2"/>
  <c r="Z75" i="2" s="1"/>
  <c r="AI75" i="2"/>
  <c r="AH75" i="2"/>
  <c r="AG244" i="3" s="1"/>
  <c r="N244" i="3" s="1"/>
  <c r="AG75" i="2"/>
  <c r="Y75" i="2" s="1"/>
  <c r="AD75" i="2"/>
  <c r="X75" i="2"/>
  <c r="W75" i="2"/>
  <c r="V75" i="2"/>
  <c r="U75" i="2"/>
  <c r="J75" i="2"/>
  <c r="BO74" i="2"/>
  <c r="BN74" i="2"/>
  <c r="BM74" i="2"/>
  <c r="BL74" i="2"/>
  <c r="BK74" i="2"/>
  <c r="BJ74" i="2"/>
  <c r="AF74" i="2" s="1"/>
  <c r="BI74" i="2"/>
  <c r="BH74" i="2" s="1"/>
  <c r="BG74" i="2"/>
  <c r="BF74" i="2"/>
  <c r="BE74" i="2" s="1"/>
  <c r="BD74" i="2"/>
  <c r="BC74" i="2"/>
  <c r="BB74" i="2"/>
  <c r="BA74" i="2"/>
  <c r="AZ74" i="2"/>
  <c r="AY74" i="2" s="1"/>
  <c r="AE74" i="2" s="1"/>
  <c r="AX74" i="2"/>
  <c r="AW74" i="2"/>
  <c r="AV74" i="2" s="1"/>
  <c r="AU74" i="2"/>
  <c r="AT74" i="2"/>
  <c r="AS74" i="2"/>
  <c r="AC74" i="2" s="1"/>
  <c r="AR74" i="2"/>
  <c r="AQ74" i="2"/>
  <c r="AP74" i="2" s="1"/>
  <c r="AB74" i="2" s="1"/>
  <c r="AO74" i="2"/>
  <c r="AN74" i="2"/>
  <c r="AM74" i="2" s="1"/>
  <c r="AA74" i="2" s="1"/>
  <c r="AL74" i="2"/>
  <c r="AJ74" i="2" s="1"/>
  <c r="Z74" i="2" s="1"/>
  <c r="AK74" i="2"/>
  <c r="AI74" i="2"/>
  <c r="AH74" i="2"/>
  <c r="AG74" i="2"/>
  <c r="Y74" i="2" s="1"/>
  <c r="AD74" i="2"/>
  <c r="X74" i="2"/>
  <c r="W74" i="2"/>
  <c r="V74" i="2"/>
  <c r="U74" i="2" s="1"/>
  <c r="J74" i="2"/>
  <c r="BO73" i="2"/>
  <c r="BN73" i="2"/>
  <c r="AH339" i="3" s="1"/>
  <c r="O339" i="3" s="1"/>
  <c r="BM73" i="2"/>
  <c r="AM339" i="3" s="1"/>
  <c r="Q339" i="3" s="1"/>
  <c r="BL73" i="2"/>
  <c r="BK73" i="2"/>
  <c r="AN339" i="3" s="1"/>
  <c r="R339" i="3" s="1"/>
  <c r="BI73" i="2"/>
  <c r="BH73" i="2" s="1"/>
  <c r="BG73" i="2"/>
  <c r="BF73" i="2"/>
  <c r="AO339" i="3" s="1"/>
  <c r="X339" i="3" s="1"/>
  <c r="BE73" i="2"/>
  <c r="BD73" i="2"/>
  <c r="AI339" i="3" s="1"/>
  <c r="U339" i="3" s="1"/>
  <c r="BC73" i="2"/>
  <c r="BB73" i="2" s="1"/>
  <c r="AD73" i="2" s="1"/>
  <c r="BA73" i="2"/>
  <c r="AZ73" i="2"/>
  <c r="AJ339" i="3" s="1"/>
  <c r="W339" i="3" s="1"/>
  <c r="AX73" i="2"/>
  <c r="AW73" i="2"/>
  <c r="AV73" i="2" s="1"/>
  <c r="AU73" i="2"/>
  <c r="AT73" i="2"/>
  <c r="AR73" i="2"/>
  <c r="AQ73" i="2"/>
  <c r="AK339" i="3" s="1"/>
  <c r="T339" i="3" s="1"/>
  <c r="AP73" i="2"/>
  <c r="AO73" i="2"/>
  <c r="AN73" i="2"/>
  <c r="AE339" i="3" s="1"/>
  <c r="AL73" i="2"/>
  <c r="AK73" i="2"/>
  <c r="AD339" i="3" s="1"/>
  <c r="K339" i="3" s="1"/>
  <c r="AJ73" i="2"/>
  <c r="AI73" i="2"/>
  <c r="AH73" i="2"/>
  <c r="AG339" i="3" s="1"/>
  <c r="N339" i="3" s="1"/>
  <c r="AG73" i="2"/>
  <c r="AB73" i="2"/>
  <c r="Z73" i="2"/>
  <c r="Y73" i="2"/>
  <c r="X73" i="2"/>
  <c r="W73" i="2"/>
  <c r="V73" i="2"/>
  <c r="U73" i="2" s="1"/>
  <c r="J73" i="2"/>
  <c r="BO72" i="2"/>
  <c r="AF322" i="3" s="1"/>
  <c r="M322" i="3" s="1"/>
  <c r="BN72" i="2"/>
  <c r="AH322" i="3" s="1"/>
  <c r="O322" i="3" s="1"/>
  <c r="BM72" i="2"/>
  <c r="AM322" i="3" s="1"/>
  <c r="Q322" i="3" s="1"/>
  <c r="BL72" i="2"/>
  <c r="BK72" i="2"/>
  <c r="AN322" i="3" s="1"/>
  <c r="R322" i="3" s="1"/>
  <c r="BJ72" i="2"/>
  <c r="AF72" i="2" s="1"/>
  <c r="BI72" i="2"/>
  <c r="BH72" i="2" s="1"/>
  <c r="BG72" i="2"/>
  <c r="BF72" i="2"/>
  <c r="AO322" i="3" s="1"/>
  <c r="X322" i="3" s="1"/>
  <c r="BE72" i="2"/>
  <c r="BD72" i="2"/>
  <c r="AI322" i="3" s="1"/>
  <c r="U322" i="3" s="1"/>
  <c r="BC72" i="2"/>
  <c r="BB72" i="2"/>
  <c r="AD72" i="2" s="1"/>
  <c r="BA72" i="2"/>
  <c r="AZ72" i="2"/>
  <c r="AX72" i="2"/>
  <c r="AW72" i="2"/>
  <c r="AV72" i="2" s="1"/>
  <c r="AU72" i="2"/>
  <c r="AT72" i="2"/>
  <c r="AL322" i="3" s="1"/>
  <c r="S322" i="3" s="1"/>
  <c r="AR72" i="2"/>
  <c r="AQ72" i="2"/>
  <c r="AK322" i="3" s="1"/>
  <c r="T322" i="3" s="1"/>
  <c r="AP72" i="2"/>
  <c r="AB72" i="2" s="1"/>
  <c r="AO72" i="2"/>
  <c r="AN72" i="2"/>
  <c r="AE322" i="3" s="1"/>
  <c r="L322" i="3" s="1"/>
  <c r="AM72" i="2"/>
  <c r="AA72" i="2" s="1"/>
  <c r="AL72" i="2"/>
  <c r="AK72" i="2"/>
  <c r="AI72" i="2"/>
  <c r="AH72" i="2"/>
  <c r="X72" i="2"/>
  <c r="W72" i="2"/>
  <c r="V72" i="2"/>
  <c r="U72" i="2" s="1"/>
  <c r="J72" i="2"/>
  <c r="BO71" i="2"/>
  <c r="AF102" i="3" s="1"/>
  <c r="M102" i="3" s="1"/>
  <c r="BN71" i="2"/>
  <c r="AH102" i="3" s="1"/>
  <c r="O102" i="3" s="1"/>
  <c r="BM71" i="2"/>
  <c r="AM102" i="3" s="1"/>
  <c r="Q102" i="3" s="1"/>
  <c r="BL71" i="2"/>
  <c r="BK71" i="2"/>
  <c r="BI71" i="2"/>
  <c r="BH71" i="2"/>
  <c r="BG71" i="2"/>
  <c r="BF71" i="2"/>
  <c r="AO102" i="3" s="1"/>
  <c r="X102" i="3" s="1"/>
  <c r="BE71" i="2"/>
  <c r="BD71" i="2"/>
  <c r="AI102" i="3" s="1"/>
  <c r="U102" i="3" s="1"/>
  <c r="BC71" i="2"/>
  <c r="BB71" i="2"/>
  <c r="AD71" i="2" s="1"/>
  <c r="BA71" i="2"/>
  <c r="AZ71" i="2"/>
  <c r="AJ102" i="3" s="1"/>
  <c r="W102" i="3" s="1"/>
  <c r="AX71" i="2"/>
  <c r="AW71" i="2"/>
  <c r="AV71" i="2"/>
  <c r="AU71" i="2"/>
  <c r="AT71" i="2"/>
  <c r="AL102" i="3" s="1"/>
  <c r="S102" i="3" s="1"/>
  <c r="AS71" i="2"/>
  <c r="AR71" i="2"/>
  <c r="AP71" i="2" s="1"/>
  <c r="AQ71" i="2"/>
  <c r="AK102" i="3" s="1"/>
  <c r="T102" i="3" s="1"/>
  <c r="AO71" i="2"/>
  <c r="AN71" i="2"/>
  <c r="AM71" i="2"/>
  <c r="AA71" i="2" s="1"/>
  <c r="AL71" i="2"/>
  <c r="AK71" i="2"/>
  <c r="AI71" i="2"/>
  <c r="AH71" i="2"/>
  <c r="AG102" i="3" s="1"/>
  <c r="N102" i="3" s="1"/>
  <c r="AG71" i="2"/>
  <c r="Y71" i="2" s="1"/>
  <c r="AC71" i="2"/>
  <c r="AB71" i="2"/>
  <c r="X71" i="2"/>
  <c r="W71" i="2"/>
  <c r="V71" i="2"/>
  <c r="U71" i="2"/>
  <c r="J71" i="2"/>
  <c r="BO70" i="2"/>
  <c r="AF52" i="3" s="1"/>
  <c r="M52" i="3" s="1"/>
  <c r="BN70" i="2"/>
  <c r="AH52" i="3" s="1"/>
  <c r="O52" i="3" s="1"/>
  <c r="BM70" i="2"/>
  <c r="AM52" i="3" s="1"/>
  <c r="Q52" i="3" s="1"/>
  <c r="BL70" i="2"/>
  <c r="BK70" i="2"/>
  <c r="AN52" i="3" s="1"/>
  <c r="R52" i="3" s="1"/>
  <c r="BJ70" i="2"/>
  <c r="AF70" i="2" s="1"/>
  <c r="BI70" i="2"/>
  <c r="BH70" i="2"/>
  <c r="BG70" i="2"/>
  <c r="BF70" i="2"/>
  <c r="BE70" i="2"/>
  <c r="BD70" i="2"/>
  <c r="AI52" i="3" s="1"/>
  <c r="U52" i="3" s="1"/>
  <c r="BC70" i="2"/>
  <c r="BB70" i="2" s="1"/>
  <c r="BA70" i="2"/>
  <c r="AZ70" i="2"/>
  <c r="AJ52" i="3" s="1"/>
  <c r="W52" i="3" s="1"/>
  <c r="AY70" i="2"/>
  <c r="AE70" i="2" s="1"/>
  <c r="AX70" i="2"/>
  <c r="AW70" i="2"/>
  <c r="AV70" i="2" s="1"/>
  <c r="AU70" i="2"/>
  <c r="AT70" i="2"/>
  <c r="AR70" i="2"/>
  <c r="AQ70" i="2"/>
  <c r="AK52" i="3" s="1"/>
  <c r="T52" i="3" s="1"/>
  <c r="AP70" i="2"/>
  <c r="AB70" i="2" s="1"/>
  <c r="AO70" i="2"/>
  <c r="AN70" i="2"/>
  <c r="AE52" i="3" s="1"/>
  <c r="L52" i="3" s="1"/>
  <c r="AM70" i="2"/>
  <c r="AA70" i="2" s="1"/>
  <c r="AL70" i="2"/>
  <c r="AK70" i="2"/>
  <c r="AD52" i="3" s="1"/>
  <c r="K52" i="3" s="1"/>
  <c r="AJ70" i="2"/>
  <c r="AI70" i="2"/>
  <c r="AH70" i="2"/>
  <c r="AG52" i="3" s="1"/>
  <c r="N52" i="3" s="1"/>
  <c r="AG70" i="2"/>
  <c r="Y70" i="2" s="1"/>
  <c r="AD70" i="2"/>
  <c r="Z70" i="2"/>
  <c r="X70" i="2"/>
  <c r="W70" i="2"/>
  <c r="V70" i="2"/>
  <c r="U70" i="2" s="1"/>
  <c r="BO69" i="2"/>
  <c r="AF129" i="3" s="1"/>
  <c r="M129" i="3" s="1"/>
  <c r="BN69" i="2"/>
  <c r="AH129" i="3" s="1"/>
  <c r="O129" i="3" s="1"/>
  <c r="BM69" i="2"/>
  <c r="AM129" i="3" s="1"/>
  <c r="Q129" i="3" s="1"/>
  <c r="BL69" i="2"/>
  <c r="BK69" i="2"/>
  <c r="AN129" i="3" s="1"/>
  <c r="R129" i="3" s="1"/>
  <c r="BI69" i="2"/>
  <c r="BH69" i="2"/>
  <c r="BG69" i="2"/>
  <c r="BF69" i="2"/>
  <c r="AO129" i="3" s="1"/>
  <c r="X129" i="3" s="1"/>
  <c r="BE69" i="2"/>
  <c r="BD69" i="2"/>
  <c r="AI129" i="3" s="1"/>
  <c r="U129" i="3" s="1"/>
  <c r="BC69" i="2"/>
  <c r="BB69" i="2" s="1"/>
  <c r="BA69" i="2"/>
  <c r="AZ69" i="2"/>
  <c r="AJ129" i="3" s="1"/>
  <c r="W129" i="3" s="1"/>
  <c r="AY69" i="2"/>
  <c r="AX69" i="2"/>
  <c r="AW69" i="2"/>
  <c r="AV69" i="2"/>
  <c r="AU69" i="2"/>
  <c r="AT69" i="2"/>
  <c r="AL129" i="3" s="1"/>
  <c r="AS69" i="2"/>
  <c r="AC69" i="2" s="1"/>
  <c r="AR69" i="2"/>
  <c r="AQ69" i="2"/>
  <c r="AO69" i="2"/>
  <c r="AN69" i="2"/>
  <c r="AE129" i="3" s="1"/>
  <c r="L129" i="3" s="1"/>
  <c r="AM69" i="2"/>
  <c r="AL69" i="2"/>
  <c r="AK69" i="2"/>
  <c r="AI69" i="2"/>
  <c r="AH69" i="2"/>
  <c r="AG129" i="3" s="1"/>
  <c r="N129" i="3" s="1"/>
  <c r="AG69" i="2"/>
  <c r="Y69" i="2" s="1"/>
  <c r="AE69" i="2"/>
  <c r="AD69" i="2"/>
  <c r="AA69" i="2"/>
  <c r="X69" i="2"/>
  <c r="W69" i="2"/>
  <c r="V69" i="2"/>
  <c r="U69" i="2"/>
  <c r="BO68" i="2"/>
  <c r="AF51" i="3" s="1"/>
  <c r="M51" i="3" s="1"/>
  <c r="BN68" i="2"/>
  <c r="BM68" i="2"/>
  <c r="AM51" i="3" s="1"/>
  <c r="Q51" i="3" s="1"/>
  <c r="BL68" i="2"/>
  <c r="BK68" i="2"/>
  <c r="AN51" i="3" s="1"/>
  <c r="R51" i="3" s="1"/>
  <c r="BJ68" i="2"/>
  <c r="AF68" i="2" s="1"/>
  <c r="BI68" i="2"/>
  <c r="BH68" i="2" s="1"/>
  <c r="BG68" i="2"/>
  <c r="BF68" i="2"/>
  <c r="BD68" i="2"/>
  <c r="AI51" i="3" s="1"/>
  <c r="U51" i="3" s="1"/>
  <c r="BC68" i="2"/>
  <c r="BB68" i="2" s="1"/>
  <c r="BA68" i="2"/>
  <c r="AZ68" i="2"/>
  <c r="AJ51" i="3" s="1"/>
  <c r="W51" i="3" s="1"/>
  <c r="AY68" i="2"/>
  <c r="AX68" i="2"/>
  <c r="AW68" i="2"/>
  <c r="AV68" i="2"/>
  <c r="AU68" i="2"/>
  <c r="AT68" i="2"/>
  <c r="AR68" i="2"/>
  <c r="AQ68" i="2"/>
  <c r="AK51" i="3" s="1"/>
  <c r="T51" i="3" s="1"/>
  <c r="AP68" i="2"/>
  <c r="AO68" i="2"/>
  <c r="AN68" i="2"/>
  <c r="AM68" i="2"/>
  <c r="AA68" i="2" s="1"/>
  <c r="AL68" i="2"/>
  <c r="AK68" i="2"/>
  <c r="AD51" i="3" s="1"/>
  <c r="K51" i="3" s="1"/>
  <c r="AI68" i="2"/>
  <c r="AH68" i="2"/>
  <c r="AG68" i="2"/>
  <c r="Y68" i="2" s="1"/>
  <c r="AE68" i="2"/>
  <c r="AD68" i="2"/>
  <c r="AB68" i="2"/>
  <c r="X68" i="2"/>
  <c r="W68" i="2"/>
  <c r="J68" i="2" s="1"/>
  <c r="V68" i="2"/>
  <c r="U68" i="2" s="1"/>
  <c r="BO67" i="2"/>
  <c r="AF150" i="3" s="1"/>
  <c r="M150" i="3" s="1"/>
  <c r="BN67" i="2"/>
  <c r="AH150" i="3" s="1"/>
  <c r="O150" i="3" s="1"/>
  <c r="BM67" i="2"/>
  <c r="AM150" i="3" s="1"/>
  <c r="Q150" i="3" s="1"/>
  <c r="BL67" i="2"/>
  <c r="BK67" i="2"/>
  <c r="AN150" i="3" s="1"/>
  <c r="R150" i="3" s="1"/>
  <c r="BJ67" i="2"/>
  <c r="AF67" i="2" s="1"/>
  <c r="BI67" i="2"/>
  <c r="BH67" i="2" s="1"/>
  <c r="BG67" i="2"/>
  <c r="BF67" i="2"/>
  <c r="BE67" i="2" s="1"/>
  <c r="BD67" i="2"/>
  <c r="AI150" i="3" s="1"/>
  <c r="U150" i="3" s="1"/>
  <c r="BC67" i="2"/>
  <c r="BB67" i="2"/>
  <c r="AD67" i="2" s="1"/>
  <c r="BA67" i="2"/>
  <c r="AZ67" i="2"/>
  <c r="AX67" i="2"/>
  <c r="AW67" i="2"/>
  <c r="AV67" i="2"/>
  <c r="AU67" i="2"/>
  <c r="AT67" i="2"/>
  <c r="AL150" i="3" s="1"/>
  <c r="S150" i="3" s="1"/>
  <c r="AR67" i="2"/>
  <c r="AQ67" i="2"/>
  <c r="AK150" i="3" s="1"/>
  <c r="T150" i="3" s="1"/>
  <c r="AP67" i="2"/>
  <c r="AB67" i="2" s="1"/>
  <c r="AO67" i="2"/>
  <c r="AN67" i="2"/>
  <c r="AE150" i="3" s="1"/>
  <c r="L150" i="3" s="1"/>
  <c r="AM67" i="2"/>
  <c r="AA67" i="2" s="1"/>
  <c r="AL67" i="2"/>
  <c r="AJ67" i="2" s="1"/>
  <c r="Z67" i="2" s="1"/>
  <c r="AK67" i="2"/>
  <c r="AD150" i="3" s="1"/>
  <c r="K150" i="3" s="1"/>
  <c r="AI67" i="2"/>
  <c r="AH67" i="2"/>
  <c r="AG150" i="3" s="1"/>
  <c r="N150" i="3" s="1"/>
  <c r="AG67" i="2"/>
  <c r="Y67" i="2" s="1"/>
  <c r="X67" i="2"/>
  <c r="W67" i="2"/>
  <c r="J67" i="2" s="1"/>
  <c r="V67" i="2"/>
  <c r="U67" i="2" s="1"/>
  <c r="BO66" i="2"/>
  <c r="BN66" i="2"/>
  <c r="BM66" i="2"/>
  <c r="BL66" i="2"/>
  <c r="BK66" i="2"/>
  <c r="BI66" i="2"/>
  <c r="BH66" i="2"/>
  <c r="BG66" i="2"/>
  <c r="BF66" i="2"/>
  <c r="BD66" i="2"/>
  <c r="AI19" i="3" s="1"/>
  <c r="U19" i="3" s="1"/>
  <c r="BC66" i="2"/>
  <c r="BB66" i="2" s="1"/>
  <c r="AD66" i="2" s="1"/>
  <c r="BA66" i="2"/>
  <c r="AZ66" i="2"/>
  <c r="AJ19" i="3" s="1"/>
  <c r="W19" i="3" s="1"/>
  <c r="AY66" i="2"/>
  <c r="AE66" i="2" s="1"/>
  <c r="AX66" i="2"/>
  <c r="AW66" i="2"/>
  <c r="AV66" i="2"/>
  <c r="AU66" i="2"/>
  <c r="AS66" i="2" s="1"/>
  <c r="AC66" i="2" s="1"/>
  <c r="AT66" i="2"/>
  <c r="AL19" i="3" s="1"/>
  <c r="S19" i="3" s="1"/>
  <c r="AR66" i="2"/>
  <c r="AQ66" i="2"/>
  <c r="AK19" i="3" s="1"/>
  <c r="AP66" i="2"/>
  <c r="AO66" i="2"/>
  <c r="AN66" i="2"/>
  <c r="AM66" i="2" s="1"/>
  <c r="AL66" i="2"/>
  <c r="AK66" i="2"/>
  <c r="AJ66" i="2"/>
  <c r="AI66" i="2"/>
  <c r="AH66" i="2"/>
  <c r="AB66" i="2"/>
  <c r="AA66" i="2"/>
  <c r="Z66" i="2"/>
  <c r="X66" i="2"/>
  <c r="W66" i="2"/>
  <c r="V66" i="2"/>
  <c r="U66" i="2"/>
  <c r="J66" i="2"/>
  <c r="BO65" i="2"/>
  <c r="AF199" i="3" s="1"/>
  <c r="M199" i="3" s="1"/>
  <c r="BN65" i="2"/>
  <c r="AH199" i="3" s="1"/>
  <c r="O199" i="3" s="1"/>
  <c r="BM65" i="2"/>
  <c r="AM199" i="3" s="1"/>
  <c r="Q199" i="3" s="1"/>
  <c r="BL65" i="2"/>
  <c r="BK65" i="2"/>
  <c r="AN199" i="3" s="1"/>
  <c r="R199" i="3" s="1"/>
  <c r="BJ65" i="2"/>
  <c r="BI65" i="2"/>
  <c r="BH65" i="2"/>
  <c r="BG65" i="2"/>
  <c r="BF65" i="2"/>
  <c r="BE65" i="2" s="1"/>
  <c r="BD65" i="2"/>
  <c r="AI199" i="3" s="1"/>
  <c r="U199" i="3" s="1"/>
  <c r="BC65" i="2"/>
  <c r="BB65" i="2" s="1"/>
  <c r="AD65" i="2" s="1"/>
  <c r="BA65" i="2"/>
  <c r="AZ65" i="2"/>
  <c r="AJ199" i="3" s="1"/>
  <c r="W199" i="3" s="1"/>
  <c r="AY65" i="2"/>
  <c r="AE65" i="2" s="1"/>
  <c r="AX65" i="2"/>
  <c r="AW65" i="2"/>
  <c r="AV65" i="2"/>
  <c r="AU65" i="2"/>
  <c r="AT65" i="2"/>
  <c r="AL199" i="3" s="1"/>
  <c r="S199" i="3" s="1"/>
  <c r="AS65" i="2"/>
  <c r="AC65" i="2" s="1"/>
  <c r="AR65" i="2"/>
  <c r="AQ65" i="2"/>
  <c r="AK199" i="3" s="1"/>
  <c r="T199" i="3" s="1"/>
  <c r="AP65" i="2"/>
  <c r="AB65" i="2" s="1"/>
  <c r="AO65" i="2"/>
  <c r="AN65" i="2"/>
  <c r="AE199" i="3" s="1"/>
  <c r="L199" i="3" s="1"/>
  <c r="AM65" i="2"/>
  <c r="AA65" i="2" s="1"/>
  <c r="AL65" i="2"/>
  <c r="AK65" i="2"/>
  <c r="AD199" i="3" s="1"/>
  <c r="K199" i="3" s="1"/>
  <c r="AJ65" i="2"/>
  <c r="Z65" i="2" s="1"/>
  <c r="AI65" i="2"/>
  <c r="AH65" i="2"/>
  <c r="AF65" i="2"/>
  <c r="X65" i="2"/>
  <c r="W65" i="2"/>
  <c r="V65" i="2"/>
  <c r="U65" i="2" s="1"/>
  <c r="J65" i="2"/>
  <c r="BO64" i="2"/>
  <c r="AF53" i="3" s="1"/>
  <c r="M53" i="3" s="1"/>
  <c r="BN64" i="2"/>
  <c r="AH53" i="3" s="1"/>
  <c r="O53" i="3" s="1"/>
  <c r="BM64" i="2"/>
  <c r="AM53" i="3" s="1"/>
  <c r="Q53" i="3" s="1"/>
  <c r="BL64" i="2"/>
  <c r="BK64" i="2"/>
  <c r="BI64" i="2"/>
  <c r="BH64" i="2"/>
  <c r="BG64" i="2"/>
  <c r="BF64" i="2"/>
  <c r="AO53" i="3" s="1"/>
  <c r="X53" i="3" s="1"/>
  <c r="BE64" i="2"/>
  <c r="BD64" i="2"/>
  <c r="AI53" i="3" s="1"/>
  <c r="U53" i="3" s="1"/>
  <c r="BC64" i="2"/>
  <c r="BB64" i="2"/>
  <c r="AD64" i="2" s="1"/>
  <c r="BA64" i="2"/>
  <c r="AZ64" i="2"/>
  <c r="AX64" i="2"/>
  <c r="AW64" i="2"/>
  <c r="AV64" i="2"/>
  <c r="AU64" i="2"/>
  <c r="AT64" i="2"/>
  <c r="AL53" i="3" s="1"/>
  <c r="S53" i="3" s="1"/>
  <c r="AS64" i="2"/>
  <c r="AR64" i="2"/>
  <c r="AQ64" i="2"/>
  <c r="AK53" i="3" s="1"/>
  <c r="T53" i="3" s="1"/>
  <c r="AP64" i="2"/>
  <c r="AO64" i="2"/>
  <c r="AN64" i="2"/>
  <c r="AE53" i="3" s="1"/>
  <c r="L53" i="3" s="1"/>
  <c r="AM64" i="2"/>
  <c r="AL64" i="2"/>
  <c r="AK64" i="2"/>
  <c r="AI64" i="2"/>
  <c r="AH64" i="2"/>
  <c r="AG53" i="3" s="1"/>
  <c r="N53" i="3" s="1"/>
  <c r="AG64" i="2"/>
  <c r="Y64" i="2" s="1"/>
  <c r="AC64" i="2"/>
  <c r="AB64" i="2"/>
  <c r="AA64" i="2"/>
  <c r="X64" i="2"/>
  <c r="W64" i="2"/>
  <c r="V64" i="2"/>
  <c r="U64" i="2" s="1"/>
  <c r="J64" i="2"/>
  <c r="BO63" i="2"/>
  <c r="AF25" i="3" s="1"/>
  <c r="M25" i="3" s="1"/>
  <c r="BN63" i="2"/>
  <c r="AH25" i="3" s="1"/>
  <c r="O25" i="3" s="1"/>
  <c r="BM63" i="2"/>
  <c r="AM25" i="3" s="1"/>
  <c r="Q25" i="3" s="1"/>
  <c r="BL63" i="2"/>
  <c r="BK63" i="2"/>
  <c r="AN25" i="3" s="1"/>
  <c r="R25" i="3" s="1"/>
  <c r="BI63" i="2"/>
  <c r="BH63" i="2"/>
  <c r="BG63" i="2"/>
  <c r="BF63" i="2"/>
  <c r="AO25" i="3" s="1"/>
  <c r="X25" i="3" s="1"/>
  <c r="BE63" i="2"/>
  <c r="BD63" i="2"/>
  <c r="AI25" i="3" s="1"/>
  <c r="U25" i="3" s="1"/>
  <c r="BC63" i="2"/>
  <c r="BB63" i="2" s="1"/>
  <c r="AD63" i="2" s="1"/>
  <c r="BA63" i="2"/>
  <c r="AZ63" i="2"/>
  <c r="AJ25" i="3" s="1"/>
  <c r="W25" i="3" s="1"/>
  <c r="AY63" i="2"/>
  <c r="AX63" i="2"/>
  <c r="AW63" i="2"/>
  <c r="AV63" i="2"/>
  <c r="AU63" i="2"/>
  <c r="AT63" i="2"/>
  <c r="AR63" i="2"/>
  <c r="AQ63" i="2"/>
  <c r="AK25" i="3" s="1"/>
  <c r="T25" i="3" s="1"/>
  <c r="AO63" i="2"/>
  <c r="AN63" i="2"/>
  <c r="AE25" i="3" s="1"/>
  <c r="L25" i="3" s="1"/>
  <c r="AM63" i="2"/>
  <c r="AL63" i="2"/>
  <c r="AJ63" i="2" s="1"/>
  <c r="Z63" i="2" s="1"/>
  <c r="AK63" i="2"/>
  <c r="AD25" i="3" s="1"/>
  <c r="AI63" i="2"/>
  <c r="AH63" i="2"/>
  <c r="AE63" i="2"/>
  <c r="AA63" i="2"/>
  <c r="X63" i="2"/>
  <c r="W63" i="2"/>
  <c r="V63" i="2"/>
  <c r="U63" i="2" s="1"/>
  <c r="J63" i="2"/>
  <c r="BO62" i="2"/>
  <c r="AF66" i="3" s="1"/>
  <c r="M66" i="3" s="1"/>
  <c r="BN62" i="2"/>
  <c r="AH66" i="3" s="1"/>
  <c r="O66" i="3" s="1"/>
  <c r="BM62" i="2"/>
  <c r="AM66" i="3" s="1"/>
  <c r="Q66" i="3" s="1"/>
  <c r="BL62" i="2"/>
  <c r="BK62" i="2"/>
  <c r="AN66" i="3" s="1"/>
  <c r="R66" i="3" s="1"/>
  <c r="BI62" i="2"/>
  <c r="BH62" i="2"/>
  <c r="BG62" i="2"/>
  <c r="BF62" i="2"/>
  <c r="AO66" i="3" s="1"/>
  <c r="X66" i="3" s="1"/>
  <c r="BE62" i="2"/>
  <c r="BD62" i="2"/>
  <c r="AI66" i="3" s="1"/>
  <c r="U66" i="3" s="1"/>
  <c r="BC62" i="2"/>
  <c r="BB62" i="2"/>
  <c r="BA62" i="2"/>
  <c r="AZ62" i="2"/>
  <c r="AJ66" i="3" s="1"/>
  <c r="W66" i="3" s="1"/>
  <c r="AY62" i="2"/>
  <c r="AE62" i="2" s="1"/>
  <c r="AX62" i="2"/>
  <c r="AW62" i="2"/>
  <c r="AV62" i="2"/>
  <c r="AU62" i="2"/>
  <c r="AS62" i="2" s="1"/>
  <c r="AC62" i="2" s="1"/>
  <c r="AT62" i="2"/>
  <c r="AL66" i="3" s="1"/>
  <c r="S66" i="3" s="1"/>
  <c r="AR62" i="2"/>
  <c r="AQ62" i="2"/>
  <c r="AO62" i="2"/>
  <c r="AN62" i="2"/>
  <c r="AE66" i="3" s="1"/>
  <c r="L66" i="3" s="1"/>
  <c r="AL62" i="2"/>
  <c r="AK62" i="2"/>
  <c r="AD66" i="3" s="1"/>
  <c r="AJ62" i="2"/>
  <c r="Z62" i="2" s="1"/>
  <c r="AI62" i="2"/>
  <c r="AH62" i="2"/>
  <c r="AG66" i="3" s="1"/>
  <c r="AD62" i="2"/>
  <c r="X62" i="2"/>
  <c r="W62" i="2"/>
  <c r="V62" i="2"/>
  <c r="U62" i="2"/>
  <c r="J62" i="2"/>
  <c r="BO61" i="2"/>
  <c r="AF47" i="3" s="1"/>
  <c r="M47" i="3" s="1"/>
  <c r="BN61" i="2"/>
  <c r="AH47" i="3" s="1"/>
  <c r="O47" i="3" s="1"/>
  <c r="BM61" i="2"/>
  <c r="AM47" i="3" s="1"/>
  <c r="Q47" i="3" s="1"/>
  <c r="BL61" i="2"/>
  <c r="BK61" i="2"/>
  <c r="AN47" i="3" s="1"/>
  <c r="R47" i="3" s="1"/>
  <c r="BJ61" i="2"/>
  <c r="AF61" i="2" s="1"/>
  <c r="BI61" i="2"/>
  <c r="BH61" i="2" s="1"/>
  <c r="BG61" i="2"/>
  <c r="BF61" i="2"/>
  <c r="BD61" i="2"/>
  <c r="AI47" i="3" s="1"/>
  <c r="U47" i="3" s="1"/>
  <c r="BC61" i="2"/>
  <c r="BB61" i="2" s="1"/>
  <c r="BA61" i="2"/>
  <c r="AZ61" i="2"/>
  <c r="AJ47" i="3" s="1"/>
  <c r="W47" i="3" s="1"/>
  <c r="AX61" i="2"/>
  <c r="AW61" i="2"/>
  <c r="AV61" i="2"/>
  <c r="AU61" i="2"/>
  <c r="AT61" i="2"/>
  <c r="AR61" i="2"/>
  <c r="AQ61" i="2"/>
  <c r="AO61" i="2"/>
  <c r="AN61" i="2"/>
  <c r="AE47" i="3" s="1"/>
  <c r="L47" i="3" s="1"/>
  <c r="AM61" i="2"/>
  <c r="AA61" i="2" s="1"/>
  <c r="AL61" i="2"/>
  <c r="AK61" i="2"/>
  <c r="AI61" i="2"/>
  <c r="AH61" i="2"/>
  <c r="AD61" i="2"/>
  <c r="X61" i="2"/>
  <c r="W61" i="2"/>
  <c r="J61" i="2" s="1"/>
  <c r="V61" i="2"/>
  <c r="U61" i="2" s="1"/>
  <c r="BO60" i="2"/>
  <c r="AF312" i="3" s="1"/>
  <c r="M312" i="3" s="1"/>
  <c r="BN60" i="2"/>
  <c r="AH312" i="3" s="1"/>
  <c r="O312" i="3" s="1"/>
  <c r="BM60" i="2"/>
  <c r="AM312" i="3" s="1"/>
  <c r="Q312" i="3" s="1"/>
  <c r="BL60" i="2"/>
  <c r="BK60" i="2"/>
  <c r="AN312" i="3" s="1"/>
  <c r="R312" i="3" s="1"/>
  <c r="BI60" i="2"/>
  <c r="BH60" i="2"/>
  <c r="BG60" i="2"/>
  <c r="BF60" i="2"/>
  <c r="AO312" i="3" s="1"/>
  <c r="X312" i="3" s="1"/>
  <c r="BE60" i="2"/>
  <c r="BD60" i="2"/>
  <c r="AI312" i="3" s="1"/>
  <c r="U312" i="3" s="1"/>
  <c r="BC60" i="2"/>
  <c r="BB60" i="2"/>
  <c r="AD60" i="2" s="1"/>
  <c r="BA60" i="2"/>
  <c r="AZ60" i="2"/>
  <c r="AJ312" i="3" s="1"/>
  <c r="W312" i="3" s="1"/>
  <c r="AY60" i="2"/>
  <c r="AE60" i="2" s="1"/>
  <c r="AX60" i="2"/>
  <c r="AV60" i="2" s="1"/>
  <c r="AW60" i="2"/>
  <c r="AU60" i="2"/>
  <c r="AT60" i="2"/>
  <c r="AL312" i="3" s="1"/>
  <c r="S312" i="3" s="1"/>
  <c r="AR60" i="2"/>
  <c r="AQ60" i="2"/>
  <c r="AO60" i="2"/>
  <c r="AN60" i="2"/>
  <c r="AE312" i="3" s="1"/>
  <c r="L312" i="3" s="1"/>
  <c r="AL60" i="2"/>
  <c r="AK60" i="2"/>
  <c r="AD312" i="3" s="1"/>
  <c r="K312" i="3" s="1"/>
  <c r="AJ60" i="2"/>
  <c r="Z60" i="2" s="1"/>
  <c r="AI60" i="2"/>
  <c r="AH60" i="2"/>
  <c r="AG312" i="3" s="1"/>
  <c r="N312" i="3" s="1"/>
  <c r="X60" i="2"/>
  <c r="W60" i="2"/>
  <c r="V60" i="2"/>
  <c r="U60" i="2" s="1"/>
  <c r="J60" i="2"/>
  <c r="BO59" i="2"/>
  <c r="AF202" i="3" s="1"/>
  <c r="BN59" i="2"/>
  <c r="AH202" i="3" s="1"/>
  <c r="O202" i="3" s="1"/>
  <c r="BM59" i="2"/>
  <c r="AM202" i="3" s="1"/>
  <c r="Q202" i="3" s="1"/>
  <c r="BL59" i="2"/>
  <c r="BK59" i="2"/>
  <c r="AN202" i="3" s="1"/>
  <c r="R202" i="3" s="1"/>
  <c r="BJ59" i="2"/>
  <c r="AF59" i="2" s="1"/>
  <c r="BI59" i="2"/>
  <c r="BH59" i="2"/>
  <c r="BG59" i="2"/>
  <c r="BF59" i="2"/>
  <c r="BD59" i="2"/>
  <c r="AI202" i="3" s="1"/>
  <c r="U202" i="3" s="1"/>
  <c r="BC59" i="2"/>
  <c r="BA59" i="2"/>
  <c r="AZ59" i="2"/>
  <c r="AJ202" i="3" s="1"/>
  <c r="W202" i="3" s="1"/>
  <c r="AX59" i="2"/>
  <c r="AW59" i="2"/>
  <c r="AV59" i="2"/>
  <c r="AU59" i="2"/>
  <c r="AT59" i="2"/>
  <c r="AL202" i="3" s="1"/>
  <c r="S202" i="3" s="1"/>
  <c r="AS59" i="2"/>
  <c r="AC59" i="2" s="1"/>
  <c r="AR59" i="2"/>
  <c r="AQ59" i="2"/>
  <c r="AK202" i="3" s="1"/>
  <c r="T202" i="3" s="1"/>
  <c r="AP59" i="2"/>
  <c r="AO59" i="2"/>
  <c r="AN59" i="2"/>
  <c r="AL59" i="2"/>
  <c r="AK59" i="2"/>
  <c r="AD202" i="3" s="1"/>
  <c r="K202" i="3" s="1"/>
  <c r="AJ59" i="2"/>
  <c r="AI59" i="2"/>
  <c r="AH59" i="2"/>
  <c r="AB59" i="2"/>
  <c r="Z59" i="2"/>
  <c r="X59" i="2"/>
  <c r="W59" i="2"/>
  <c r="J59" i="2" s="1"/>
  <c r="V59" i="2"/>
  <c r="U59" i="2" s="1"/>
  <c r="BO58" i="2"/>
  <c r="AF27" i="3" s="1"/>
  <c r="M27" i="3" s="1"/>
  <c r="BN58" i="2"/>
  <c r="AH27" i="3" s="1"/>
  <c r="O27" i="3" s="1"/>
  <c r="BM58" i="2"/>
  <c r="BL58" i="2"/>
  <c r="BK58" i="2"/>
  <c r="AN27" i="3" s="1"/>
  <c r="R27" i="3" s="1"/>
  <c r="BJ58" i="2"/>
  <c r="BI58" i="2"/>
  <c r="BH58" i="2"/>
  <c r="BG58" i="2"/>
  <c r="BF58" i="2"/>
  <c r="AO27" i="3" s="1"/>
  <c r="BD58" i="2"/>
  <c r="AI27" i="3" s="1"/>
  <c r="U27" i="3" s="1"/>
  <c r="BC58" i="2"/>
  <c r="BB58" i="2"/>
  <c r="AD58" i="2" s="1"/>
  <c r="BA58" i="2"/>
  <c r="AZ58" i="2"/>
  <c r="AX58" i="2"/>
  <c r="AW58" i="2"/>
  <c r="AV58" i="2"/>
  <c r="AU58" i="2"/>
  <c r="AT58" i="2"/>
  <c r="AL27" i="3" s="1"/>
  <c r="S27" i="3" s="1"/>
  <c r="AS58" i="2"/>
  <c r="AC58" i="2" s="1"/>
  <c r="AR58" i="2"/>
  <c r="AQ58" i="2"/>
  <c r="AK27" i="3" s="1"/>
  <c r="T27" i="3" s="1"/>
  <c r="AP58" i="2"/>
  <c r="AB58" i="2" s="1"/>
  <c r="AO58" i="2"/>
  <c r="AN58" i="2"/>
  <c r="AL58" i="2"/>
  <c r="AK58" i="2"/>
  <c r="AI58" i="2"/>
  <c r="AH58" i="2"/>
  <c r="AG58" i="2" s="1"/>
  <c r="AF58" i="2"/>
  <c r="Y58" i="2"/>
  <c r="X58" i="2"/>
  <c r="W58" i="2"/>
  <c r="V58" i="2"/>
  <c r="U58" i="2" s="1"/>
  <c r="J58" i="2"/>
  <c r="BO57" i="2"/>
  <c r="AF191" i="3" s="1"/>
  <c r="BN57" i="2"/>
  <c r="AH191" i="3" s="1"/>
  <c r="O191" i="3" s="1"/>
  <c r="BM57" i="2"/>
  <c r="AM191" i="3" s="1"/>
  <c r="Q191" i="3" s="1"/>
  <c r="BL57" i="2"/>
  <c r="BK57" i="2"/>
  <c r="AN191" i="3" s="1"/>
  <c r="R191" i="3" s="1"/>
  <c r="BJ57" i="2"/>
  <c r="AF57" i="2" s="1"/>
  <c r="BI57" i="2"/>
  <c r="BH57" i="2"/>
  <c r="BG57" i="2"/>
  <c r="BF57" i="2"/>
  <c r="AO191" i="3" s="1"/>
  <c r="X191" i="3" s="1"/>
  <c r="BE57" i="2"/>
  <c r="BD57" i="2"/>
  <c r="AI191" i="3" s="1"/>
  <c r="U191" i="3" s="1"/>
  <c r="BC57" i="2"/>
  <c r="BB57" i="2" s="1"/>
  <c r="AD57" i="2" s="1"/>
  <c r="BA57" i="2"/>
  <c r="AZ57" i="2"/>
  <c r="AX57" i="2"/>
  <c r="AW57" i="2"/>
  <c r="AV57" i="2"/>
  <c r="AU57" i="2"/>
  <c r="AT57" i="2"/>
  <c r="AL191" i="3" s="1"/>
  <c r="S191" i="3" s="1"/>
  <c r="AS57" i="2"/>
  <c r="AR57" i="2"/>
  <c r="AQ57" i="2"/>
  <c r="AK191" i="3" s="1"/>
  <c r="T191" i="3" s="1"/>
  <c r="AP57" i="2"/>
  <c r="AO57" i="2"/>
  <c r="AN57" i="2"/>
  <c r="AE191" i="3" s="1"/>
  <c r="AM57" i="2"/>
  <c r="AL57" i="2"/>
  <c r="AK57" i="2"/>
  <c r="AD191" i="3" s="1"/>
  <c r="K191" i="3" s="1"/>
  <c r="AJ57" i="2"/>
  <c r="AI57" i="2"/>
  <c r="AH57" i="2"/>
  <c r="AG191" i="3" s="1"/>
  <c r="N191" i="3" s="1"/>
  <c r="AG57" i="2"/>
  <c r="Y57" i="2" s="1"/>
  <c r="AC57" i="2"/>
  <c r="AB57" i="2"/>
  <c r="AA57" i="2"/>
  <c r="Z57" i="2"/>
  <c r="X57" i="2"/>
  <c r="W57" i="2"/>
  <c r="V57" i="2"/>
  <c r="U57" i="2" s="1"/>
  <c r="J57" i="2"/>
  <c r="BO56" i="2"/>
  <c r="AF61" i="3" s="1"/>
  <c r="M61" i="3" s="1"/>
  <c r="BN56" i="2"/>
  <c r="AH61" i="3" s="1"/>
  <c r="BM56" i="2"/>
  <c r="AM61" i="3" s="1"/>
  <c r="Q61" i="3" s="1"/>
  <c r="BL56" i="2"/>
  <c r="BK56" i="2"/>
  <c r="BI56" i="2"/>
  <c r="BH56" i="2"/>
  <c r="BG56" i="2"/>
  <c r="BF56" i="2"/>
  <c r="AO61" i="3" s="1"/>
  <c r="X61" i="3" s="1"/>
  <c r="BE56" i="2"/>
  <c r="BD56" i="2"/>
  <c r="AI61" i="3" s="1"/>
  <c r="U61" i="3" s="1"/>
  <c r="BC56" i="2"/>
  <c r="BB56" i="2"/>
  <c r="AD56" i="2" s="1"/>
  <c r="BA56" i="2"/>
  <c r="AZ56" i="2"/>
  <c r="AJ61" i="3" s="1"/>
  <c r="W61" i="3" s="1"/>
  <c r="AY56" i="2"/>
  <c r="AE56" i="2" s="1"/>
  <c r="AX56" i="2"/>
  <c r="AW56" i="2"/>
  <c r="AV56" i="2"/>
  <c r="AU56" i="2"/>
  <c r="AT56" i="2"/>
  <c r="AR56" i="2"/>
  <c r="AQ56" i="2"/>
  <c r="AK61" i="3" s="1"/>
  <c r="T61" i="3" s="1"/>
  <c r="AO56" i="2"/>
  <c r="AN56" i="2"/>
  <c r="AE61" i="3" s="1"/>
  <c r="AM56" i="2"/>
  <c r="AA56" i="2" s="1"/>
  <c r="AL56" i="2"/>
  <c r="AK56" i="2"/>
  <c r="AD61" i="3" s="1"/>
  <c r="K61" i="3" s="1"/>
  <c r="AJ56" i="2"/>
  <c r="AI56" i="2"/>
  <c r="AH56" i="2"/>
  <c r="Z56" i="2"/>
  <c r="X56" i="2"/>
  <c r="W56" i="2"/>
  <c r="V56" i="2"/>
  <c r="U56" i="2"/>
  <c r="J56" i="2"/>
  <c r="BO55" i="2"/>
  <c r="AF186" i="3" s="1"/>
  <c r="M186" i="3" s="1"/>
  <c r="BN55" i="2"/>
  <c r="AH186" i="3" s="1"/>
  <c r="O186" i="3" s="1"/>
  <c r="BM55" i="2"/>
  <c r="AM186" i="3" s="1"/>
  <c r="Q186" i="3" s="1"/>
  <c r="BL55" i="2"/>
  <c r="BK55" i="2"/>
  <c r="AN186" i="3" s="1"/>
  <c r="R186" i="3" s="1"/>
  <c r="BI55" i="2"/>
  <c r="BH55" i="2"/>
  <c r="BG55" i="2"/>
  <c r="BF55" i="2"/>
  <c r="AO186" i="3" s="1"/>
  <c r="X186" i="3" s="1"/>
  <c r="BE55" i="2"/>
  <c r="BD55" i="2"/>
  <c r="AI186" i="3" s="1"/>
  <c r="U186" i="3" s="1"/>
  <c r="BC55" i="2"/>
  <c r="BB55" i="2"/>
  <c r="AD55" i="2" s="1"/>
  <c r="BA55" i="2"/>
  <c r="AZ55" i="2"/>
  <c r="AX55" i="2"/>
  <c r="AW55" i="2"/>
  <c r="AV55" i="2"/>
  <c r="AU55" i="2"/>
  <c r="AT55" i="2"/>
  <c r="AL186" i="3" s="1"/>
  <c r="S186" i="3" s="1"/>
  <c r="AS55" i="2"/>
  <c r="AC55" i="2" s="1"/>
  <c r="AR55" i="2"/>
  <c r="AQ55" i="2"/>
  <c r="AK186" i="3" s="1"/>
  <c r="T186" i="3" s="1"/>
  <c r="AP55" i="2"/>
  <c r="AO55" i="2"/>
  <c r="AN55" i="2"/>
  <c r="AE186" i="3" s="1"/>
  <c r="L186" i="3" s="1"/>
  <c r="AM55" i="2"/>
  <c r="AA55" i="2" s="1"/>
  <c r="AL55" i="2"/>
  <c r="AK55" i="2"/>
  <c r="AD186" i="3" s="1"/>
  <c r="K186" i="3" s="1"/>
  <c r="AJ55" i="2"/>
  <c r="Z55" i="2" s="1"/>
  <c r="AI55" i="2"/>
  <c r="AH55" i="2"/>
  <c r="AG186" i="3" s="1"/>
  <c r="N186" i="3" s="1"/>
  <c r="AB55" i="2"/>
  <c r="X55" i="2"/>
  <c r="W55" i="2"/>
  <c r="J55" i="2" s="1"/>
  <c r="V55" i="2"/>
  <c r="U55" i="2"/>
  <c r="BO54" i="2"/>
  <c r="AF196" i="3" s="1"/>
  <c r="BN54" i="2"/>
  <c r="AH196" i="3" s="1"/>
  <c r="O196" i="3" s="1"/>
  <c r="BM54" i="2"/>
  <c r="AM196" i="3" s="1"/>
  <c r="Q196" i="3" s="1"/>
  <c r="BL54" i="2"/>
  <c r="BJ54" i="2" s="1"/>
  <c r="AF54" i="2" s="1"/>
  <c r="BK54" i="2"/>
  <c r="AN196" i="3" s="1"/>
  <c r="R196" i="3" s="1"/>
  <c r="BI54" i="2"/>
  <c r="BG54" i="2"/>
  <c r="BF54" i="2"/>
  <c r="BD54" i="2"/>
  <c r="AI196" i="3" s="1"/>
  <c r="U196" i="3" s="1"/>
  <c r="BC54" i="2"/>
  <c r="BB54" i="2" s="1"/>
  <c r="AD54" i="2" s="1"/>
  <c r="BA54" i="2"/>
  <c r="AZ54" i="2"/>
  <c r="AJ196" i="3" s="1"/>
  <c r="W196" i="3" s="1"/>
  <c r="AY54" i="2"/>
  <c r="AE54" i="2" s="1"/>
  <c r="AX54" i="2"/>
  <c r="AV54" i="2" s="1"/>
  <c r="AW54" i="2"/>
  <c r="AU54" i="2"/>
  <c r="AT54" i="2"/>
  <c r="AR54" i="2"/>
  <c r="AP54" i="2" s="1"/>
  <c r="AB54" i="2" s="1"/>
  <c r="AQ54" i="2"/>
  <c r="AK196" i="3" s="1"/>
  <c r="T196" i="3" s="1"/>
  <c r="AO54" i="2"/>
  <c r="AN54" i="2"/>
  <c r="AE196" i="3" s="1"/>
  <c r="AM54" i="2"/>
  <c r="AA54" i="2" s="1"/>
  <c r="AL54" i="2"/>
  <c r="AK54" i="2"/>
  <c r="AD196" i="3" s="1"/>
  <c r="K196" i="3" s="1"/>
  <c r="AJ54" i="2"/>
  <c r="Z54" i="2" s="1"/>
  <c r="AI54" i="2"/>
  <c r="AH54" i="2"/>
  <c r="AG196" i="3" s="1"/>
  <c r="N196" i="3" s="1"/>
  <c r="AG54" i="2"/>
  <c r="Y54" i="2" s="1"/>
  <c r="X54" i="2"/>
  <c r="W54" i="2"/>
  <c r="V54" i="2"/>
  <c r="U54" i="2"/>
  <c r="J54" i="2"/>
  <c r="BO53" i="2"/>
  <c r="AF142" i="3" s="1"/>
  <c r="M142" i="3" s="1"/>
  <c r="BN53" i="2"/>
  <c r="AH142" i="3" s="1"/>
  <c r="O142" i="3" s="1"/>
  <c r="BM53" i="2"/>
  <c r="AM142" i="3" s="1"/>
  <c r="Q142" i="3" s="1"/>
  <c r="BL53" i="2"/>
  <c r="BK53" i="2"/>
  <c r="BI53" i="2"/>
  <c r="BH53" i="2"/>
  <c r="BG53" i="2"/>
  <c r="BF53" i="2"/>
  <c r="AO142" i="3" s="1"/>
  <c r="X142" i="3" s="1"/>
  <c r="BE53" i="2"/>
  <c r="BD53" i="2"/>
  <c r="AI142" i="3" s="1"/>
  <c r="U142" i="3" s="1"/>
  <c r="BC53" i="2"/>
  <c r="BB53" i="2" s="1"/>
  <c r="AD53" i="2" s="1"/>
  <c r="BA53" i="2"/>
  <c r="AZ53" i="2"/>
  <c r="AJ142" i="3" s="1"/>
  <c r="W142" i="3" s="1"/>
  <c r="AY53" i="2"/>
  <c r="AX53" i="2"/>
  <c r="AW53" i="2"/>
  <c r="AV53" i="2"/>
  <c r="AU53" i="2"/>
  <c r="AT53" i="2"/>
  <c r="AL142" i="3" s="1"/>
  <c r="S142" i="3" s="1"/>
  <c r="AR53" i="2"/>
  <c r="AQ53" i="2"/>
  <c r="AK142" i="3" s="1"/>
  <c r="T142" i="3" s="1"/>
  <c r="AP53" i="2"/>
  <c r="AB53" i="2" s="1"/>
  <c r="AO53" i="2"/>
  <c r="AN53" i="2"/>
  <c r="AE142" i="3" s="1"/>
  <c r="L142" i="3" s="1"/>
  <c r="AM53" i="2"/>
  <c r="AA53" i="2" s="1"/>
  <c r="AL53" i="2"/>
  <c r="AK53" i="2"/>
  <c r="AD142" i="3" s="1"/>
  <c r="AJ53" i="2"/>
  <c r="Z53" i="2" s="1"/>
  <c r="AI53" i="2"/>
  <c r="AH53" i="2"/>
  <c r="AE53" i="2"/>
  <c r="X53" i="2"/>
  <c r="W53" i="2"/>
  <c r="J53" i="2" s="1"/>
  <c r="V53" i="2"/>
  <c r="U53" i="2" s="1"/>
  <c r="BO52" i="2"/>
  <c r="AF163" i="3" s="1"/>
  <c r="M163" i="3" s="1"/>
  <c r="BN52" i="2"/>
  <c r="AH163" i="3" s="1"/>
  <c r="O163" i="3" s="1"/>
  <c r="BM52" i="2"/>
  <c r="AM163" i="3" s="1"/>
  <c r="Q163" i="3" s="1"/>
  <c r="BL52" i="2"/>
  <c r="BK52" i="2"/>
  <c r="AN163" i="3" s="1"/>
  <c r="R163" i="3" s="1"/>
  <c r="BJ52" i="2"/>
  <c r="BI52" i="2"/>
  <c r="BH52" i="2"/>
  <c r="BG52" i="2"/>
  <c r="BF52" i="2"/>
  <c r="BD52" i="2"/>
  <c r="AI163" i="3" s="1"/>
  <c r="U163" i="3" s="1"/>
  <c r="BC52" i="2"/>
  <c r="BB52" i="2"/>
  <c r="BA52" i="2"/>
  <c r="AZ52" i="2"/>
  <c r="AX52" i="2"/>
  <c r="AW52" i="2"/>
  <c r="AV52" i="2" s="1"/>
  <c r="AU52" i="2"/>
  <c r="AT52" i="2"/>
  <c r="AL163" i="3" s="1"/>
  <c r="S163" i="3" s="1"/>
  <c r="AS52" i="2"/>
  <c r="AC52" i="2" s="1"/>
  <c r="AR52" i="2"/>
  <c r="AQ52" i="2"/>
  <c r="AO52" i="2"/>
  <c r="AN52" i="2"/>
  <c r="AL52" i="2"/>
  <c r="AK52" i="2"/>
  <c r="AD163" i="3" s="1"/>
  <c r="K163" i="3" s="1"/>
  <c r="AJ52" i="2"/>
  <c r="AI52" i="2"/>
  <c r="AH52" i="2"/>
  <c r="AG163" i="3" s="1"/>
  <c r="N163" i="3" s="1"/>
  <c r="AG52" i="2"/>
  <c r="Y52" i="2" s="1"/>
  <c r="AF52" i="2"/>
  <c r="AD52" i="2"/>
  <c r="Z52" i="2"/>
  <c r="X52" i="2"/>
  <c r="W52" i="2"/>
  <c r="J52" i="2" s="1"/>
  <c r="V52" i="2"/>
  <c r="U52" i="2" s="1"/>
  <c r="BO51" i="2"/>
  <c r="AF40" i="3" s="1"/>
  <c r="M40" i="3" s="1"/>
  <c r="BN51" i="2"/>
  <c r="AH40" i="3" s="1"/>
  <c r="O40" i="3" s="1"/>
  <c r="BM51" i="2"/>
  <c r="AM40" i="3" s="1"/>
  <c r="Q40" i="3" s="1"/>
  <c r="BL51" i="2"/>
  <c r="BK51" i="2"/>
  <c r="AN40" i="3" s="1"/>
  <c r="R40" i="3" s="1"/>
  <c r="BJ51" i="2"/>
  <c r="AF51" i="2" s="1"/>
  <c r="BI51" i="2"/>
  <c r="BH51" i="2"/>
  <c r="BG51" i="2"/>
  <c r="BF51" i="2"/>
  <c r="BE51" i="2" s="1"/>
  <c r="BD51" i="2"/>
  <c r="AI40" i="3" s="1"/>
  <c r="U40" i="3" s="1"/>
  <c r="BC51" i="2"/>
  <c r="BB51" i="2"/>
  <c r="AD51" i="2" s="1"/>
  <c r="BA51" i="2"/>
  <c r="AZ51" i="2"/>
  <c r="AJ40" i="3" s="1"/>
  <c r="W40" i="3" s="1"/>
  <c r="AY51" i="2"/>
  <c r="AE51" i="2" s="1"/>
  <c r="AX51" i="2"/>
  <c r="AW51" i="2"/>
  <c r="AV51" i="2"/>
  <c r="AU51" i="2"/>
  <c r="AT51" i="2"/>
  <c r="AL40" i="3" s="1"/>
  <c r="S40" i="3" s="1"/>
  <c r="AR51" i="2"/>
  <c r="AQ51" i="2"/>
  <c r="AO51" i="2"/>
  <c r="AM51" i="2" s="1"/>
  <c r="AA51" i="2" s="1"/>
  <c r="AN51" i="2"/>
  <c r="AE40" i="3" s="1"/>
  <c r="L40" i="3" s="1"/>
  <c r="AL51" i="2"/>
  <c r="AJ51" i="2" s="1"/>
  <c r="AK51" i="2"/>
  <c r="AD40" i="3" s="1"/>
  <c r="K40" i="3" s="1"/>
  <c r="AI51" i="2"/>
  <c r="AH51" i="2"/>
  <c r="Z51" i="2"/>
  <c r="X51" i="2"/>
  <c r="W51" i="2"/>
  <c r="V51" i="2"/>
  <c r="U51" i="2" s="1"/>
  <c r="J51" i="2"/>
  <c r="BO50" i="2"/>
  <c r="AF151" i="3" s="1"/>
  <c r="M151" i="3" s="1"/>
  <c r="BN50" i="2"/>
  <c r="AH151" i="3" s="1"/>
  <c r="O151" i="3" s="1"/>
  <c r="BM50" i="2"/>
  <c r="AM151" i="3" s="1"/>
  <c r="Q151" i="3" s="1"/>
  <c r="BL50" i="2"/>
  <c r="BK50" i="2"/>
  <c r="AN151" i="3" s="1"/>
  <c r="R151" i="3" s="1"/>
  <c r="BJ50" i="2"/>
  <c r="AF50" i="2" s="1"/>
  <c r="BI50" i="2"/>
  <c r="BH50" i="2"/>
  <c r="BG50" i="2"/>
  <c r="BF50" i="2"/>
  <c r="AO151" i="3" s="1"/>
  <c r="X151" i="3" s="1"/>
  <c r="BD50" i="2"/>
  <c r="AI151" i="3" s="1"/>
  <c r="U151" i="3" s="1"/>
  <c r="BC50" i="2"/>
  <c r="BB50" i="2"/>
  <c r="BA50" i="2"/>
  <c r="AZ50" i="2"/>
  <c r="AX50" i="2"/>
  <c r="AW50" i="2"/>
  <c r="AV50" i="2"/>
  <c r="AU50" i="2"/>
  <c r="AT50" i="2"/>
  <c r="AR50" i="2"/>
  <c r="AQ50" i="2"/>
  <c r="AO50" i="2"/>
  <c r="AN50" i="2"/>
  <c r="AE151" i="3" s="1"/>
  <c r="L151" i="3" s="1"/>
  <c r="AM50" i="2"/>
  <c r="AL50" i="2"/>
  <c r="AK50" i="2"/>
  <c r="AI50" i="2"/>
  <c r="AH50" i="2"/>
  <c r="AG151" i="3" s="1"/>
  <c r="N151" i="3" s="1"/>
  <c r="AG50" i="2"/>
  <c r="Y50" i="2" s="1"/>
  <c r="AD50" i="2"/>
  <c r="AA50" i="2"/>
  <c r="X50" i="2"/>
  <c r="W50" i="2"/>
  <c r="V50" i="2"/>
  <c r="U50" i="2" s="1"/>
  <c r="J50" i="2"/>
  <c r="BO49" i="2"/>
  <c r="AF29" i="3" s="1"/>
  <c r="M29" i="3" s="1"/>
  <c r="BN49" i="2"/>
  <c r="AH29" i="3" s="1"/>
  <c r="O29" i="3" s="1"/>
  <c r="BM49" i="2"/>
  <c r="AM29" i="3" s="1"/>
  <c r="Q29" i="3" s="1"/>
  <c r="BL49" i="2"/>
  <c r="BK49" i="2"/>
  <c r="AN29" i="3" s="1"/>
  <c r="BJ49" i="2"/>
  <c r="AF49" i="2" s="1"/>
  <c r="BI49" i="2"/>
  <c r="BH49" i="2"/>
  <c r="BG49" i="2"/>
  <c r="BF49" i="2"/>
  <c r="AO29" i="3" s="1"/>
  <c r="X29" i="3" s="1"/>
  <c r="BE49" i="2"/>
  <c r="BD49" i="2"/>
  <c r="AI29" i="3" s="1"/>
  <c r="U29" i="3" s="1"/>
  <c r="BC49" i="2"/>
  <c r="BB49" i="2"/>
  <c r="AD49" i="2" s="1"/>
  <c r="BA49" i="2"/>
  <c r="AZ49" i="2"/>
  <c r="AJ29" i="3" s="1"/>
  <c r="W29" i="3" s="1"/>
  <c r="AY49" i="2"/>
  <c r="AE49" i="2" s="1"/>
  <c r="AX49" i="2"/>
  <c r="AW49" i="2"/>
  <c r="AV49" i="2"/>
  <c r="AU49" i="2"/>
  <c r="AT49" i="2"/>
  <c r="AR49" i="2"/>
  <c r="AQ49" i="2"/>
  <c r="AP49" i="2" s="1"/>
  <c r="AO49" i="2"/>
  <c r="AN49" i="2"/>
  <c r="AL49" i="2"/>
  <c r="AK49" i="2"/>
  <c r="AD29" i="3" s="1"/>
  <c r="K29" i="3" s="1"/>
  <c r="AJ49" i="2"/>
  <c r="AI49" i="2"/>
  <c r="AH49" i="2"/>
  <c r="AB49" i="2"/>
  <c r="Z49" i="2"/>
  <c r="X49" i="2"/>
  <c r="W49" i="2"/>
  <c r="V49" i="2"/>
  <c r="U49" i="2"/>
  <c r="J49" i="2"/>
  <c r="BO48" i="2"/>
  <c r="AF300" i="3" s="1"/>
  <c r="M300" i="3" s="1"/>
  <c r="BN48" i="2"/>
  <c r="AH300" i="3" s="1"/>
  <c r="O300" i="3" s="1"/>
  <c r="BM48" i="2"/>
  <c r="AM300" i="3" s="1"/>
  <c r="Q300" i="3" s="1"/>
  <c r="BL48" i="2"/>
  <c r="BK48" i="2"/>
  <c r="AN300" i="3" s="1"/>
  <c r="R300" i="3" s="1"/>
  <c r="BI48" i="2"/>
  <c r="BH48" i="2"/>
  <c r="BG48" i="2"/>
  <c r="BF48" i="2"/>
  <c r="BD48" i="2"/>
  <c r="AI300" i="3" s="1"/>
  <c r="U300" i="3" s="1"/>
  <c r="BC48" i="2"/>
  <c r="BB48" i="2"/>
  <c r="AD48" i="2" s="1"/>
  <c r="BA48" i="2"/>
  <c r="AZ48" i="2"/>
  <c r="AX48" i="2"/>
  <c r="AW48" i="2"/>
  <c r="AV48" i="2" s="1"/>
  <c r="AU48" i="2"/>
  <c r="AT48" i="2"/>
  <c r="AL300" i="3" s="1"/>
  <c r="S300" i="3" s="1"/>
  <c r="AS48" i="2"/>
  <c r="AR48" i="2"/>
  <c r="AQ48" i="2"/>
  <c r="AK300" i="3" s="1"/>
  <c r="T300" i="3" s="1"/>
  <c r="AP48" i="2"/>
  <c r="AB48" i="2" s="1"/>
  <c r="AO48" i="2"/>
  <c r="AN48" i="2"/>
  <c r="AE300" i="3" s="1"/>
  <c r="L300" i="3" s="1"/>
  <c r="AM48" i="2"/>
  <c r="AA48" i="2" s="1"/>
  <c r="AL48" i="2"/>
  <c r="AK48" i="2"/>
  <c r="AD300" i="3" s="1"/>
  <c r="K300" i="3" s="1"/>
  <c r="AJ48" i="2"/>
  <c r="Z48" i="2" s="1"/>
  <c r="AI48" i="2"/>
  <c r="AH48" i="2"/>
  <c r="AG300" i="3" s="1"/>
  <c r="N300" i="3" s="1"/>
  <c r="AC48" i="2"/>
  <c r="X48" i="2"/>
  <c r="W48" i="2"/>
  <c r="V48" i="2"/>
  <c r="U48" i="2" s="1"/>
  <c r="J48" i="2"/>
  <c r="BO47" i="2"/>
  <c r="AF301" i="3" s="1"/>
  <c r="M301" i="3" s="1"/>
  <c r="BN47" i="2"/>
  <c r="AH301" i="3" s="1"/>
  <c r="O301" i="3" s="1"/>
  <c r="BM47" i="2"/>
  <c r="AM301" i="3" s="1"/>
  <c r="Q301" i="3" s="1"/>
  <c r="BL47" i="2"/>
  <c r="BK47" i="2"/>
  <c r="BI47" i="2"/>
  <c r="BH47" i="2" s="1"/>
  <c r="BG47" i="2"/>
  <c r="BF47" i="2"/>
  <c r="BD47" i="2"/>
  <c r="AI301" i="3" s="1"/>
  <c r="U301" i="3" s="1"/>
  <c r="BC47" i="2"/>
  <c r="BB47" i="2" s="1"/>
  <c r="BA47" i="2"/>
  <c r="AZ47" i="2"/>
  <c r="AJ301" i="3" s="1"/>
  <c r="W301" i="3" s="1"/>
  <c r="AX47" i="2"/>
  <c r="AW47" i="2"/>
  <c r="AV47" i="2" s="1"/>
  <c r="AU47" i="2"/>
  <c r="AT47" i="2"/>
  <c r="AR47" i="2"/>
  <c r="AQ47" i="2"/>
  <c r="AK301" i="3" s="1"/>
  <c r="T301" i="3" s="1"/>
  <c r="AP47" i="2"/>
  <c r="AO47" i="2"/>
  <c r="AN47" i="2"/>
  <c r="AE301" i="3" s="1"/>
  <c r="L301" i="3" s="1"/>
  <c r="AM47" i="2"/>
  <c r="AA47" i="2" s="1"/>
  <c r="AL47" i="2"/>
  <c r="AK47" i="2"/>
  <c r="AD301" i="3" s="1"/>
  <c r="K301" i="3" s="1"/>
  <c r="AJ47" i="2"/>
  <c r="Z47" i="2" s="1"/>
  <c r="AI47" i="2"/>
  <c r="AH47" i="2"/>
  <c r="AG301" i="3" s="1"/>
  <c r="N301" i="3" s="1"/>
  <c r="AG47" i="2"/>
  <c r="Y47" i="2" s="1"/>
  <c r="AD47" i="2"/>
  <c r="AB47" i="2"/>
  <c r="X47" i="2"/>
  <c r="W47" i="2"/>
  <c r="V47" i="2"/>
  <c r="U47" i="2"/>
  <c r="J47" i="2"/>
  <c r="BO46" i="2"/>
  <c r="AF54" i="3" s="1"/>
  <c r="M54" i="3" s="1"/>
  <c r="BN46" i="2"/>
  <c r="AH54" i="3" s="1"/>
  <c r="O54" i="3" s="1"/>
  <c r="BM46" i="2"/>
  <c r="BL46" i="2"/>
  <c r="BK46" i="2"/>
  <c r="AN54" i="3" s="1"/>
  <c r="R54" i="3" s="1"/>
  <c r="BJ46" i="2"/>
  <c r="BI46" i="2"/>
  <c r="BH46" i="2" s="1"/>
  <c r="BG46" i="2"/>
  <c r="BF46" i="2"/>
  <c r="AO54" i="3" s="1"/>
  <c r="X54" i="3" s="1"/>
  <c r="BE46" i="2"/>
  <c r="BD46" i="2"/>
  <c r="AI54" i="3" s="1"/>
  <c r="U54" i="3" s="1"/>
  <c r="BC46" i="2"/>
  <c r="BB46" i="2" s="1"/>
  <c r="AD46" i="2" s="1"/>
  <c r="BA46" i="2"/>
  <c r="AZ46" i="2"/>
  <c r="AX46" i="2"/>
  <c r="AW46" i="2"/>
  <c r="AV46" i="2"/>
  <c r="AU46" i="2"/>
  <c r="AT46" i="2"/>
  <c r="AL54" i="3" s="1"/>
  <c r="S54" i="3" s="1"/>
  <c r="AR46" i="2"/>
  <c r="AQ46" i="2"/>
  <c r="AO46" i="2"/>
  <c r="AN46" i="2"/>
  <c r="AE54" i="3" s="1"/>
  <c r="L54" i="3" s="1"/>
  <c r="AL46" i="2"/>
  <c r="AJ46" i="2" s="1"/>
  <c r="Z46" i="2" s="1"/>
  <c r="AK46" i="2"/>
  <c r="AD54" i="3" s="1"/>
  <c r="K54" i="3" s="1"/>
  <c r="AI46" i="2"/>
  <c r="AH46" i="2"/>
  <c r="AG54" i="3" s="1"/>
  <c r="N54" i="3" s="1"/>
  <c r="AG46" i="2"/>
  <c r="AF46" i="2"/>
  <c r="Y46" i="2"/>
  <c r="X46" i="2"/>
  <c r="W46" i="2"/>
  <c r="V46" i="2"/>
  <c r="U46" i="2" s="1"/>
  <c r="J46" i="2"/>
  <c r="BO45" i="2"/>
  <c r="AF174" i="3" s="1"/>
  <c r="M174" i="3" s="1"/>
  <c r="BN45" i="2"/>
  <c r="AH174" i="3" s="1"/>
  <c r="O174" i="3" s="1"/>
  <c r="BM45" i="2"/>
  <c r="AM174" i="3" s="1"/>
  <c r="Q174" i="3" s="1"/>
  <c r="BL45" i="2"/>
  <c r="BK45" i="2"/>
  <c r="AN174" i="3" s="1"/>
  <c r="R174" i="3" s="1"/>
  <c r="BJ45" i="2"/>
  <c r="AF45" i="2" s="1"/>
  <c r="BI45" i="2"/>
  <c r="BH45" i="2"/>
  <c r="BG45" i="2"/>
  <c r="BF45" i="2"/>
  <c r="BD45" i="2"/>
  <c r="AI174" i="3" s="1"/>
  <c r="U174" i="3" s="1"/>
  <c r="BC45" i="2"/>
  <c r="BB45" i="2" s="1"/>
  <c r="AD45" i="2" s="1"/>
  <c r="BA45" i="2"/>
  <c r="AZ45" i="2"/>
  <c r="AJ174" i="3" s="1"/>
  <c r="W174" i="3" s="1"/>
  <c r="AY45" i="2"/>
  <c r="AX45" i="2"/>
  <c r="AW45" i="2"/>
  <c r="AV45" i="2"/>
  <c r="AU45" i="2"/>
  <c r="AT45" i="2"/>
  <c r="AL174" i="3" s="1"/>
  <c r="S174" i="3" s="1"/>
  <c r="AS45" i="2"/>
  <c r="AC45" i="2" s="1"/>
  <c r="AR45" i="2"/>
  <c r="AQ45" i="2"/>
  <c r="AK174" i="3" s="1"/>
  <c r="T174" i="3" s="1"/>
  <c r="AP45" i="2"/>
  <c r="AO45" i="2"/>
  <c r="AN45" i="2"/>
  <c r="AL45" i="2"/>
  <c r="AK45" i="2"/>
  <c r="AJ45" i="2"/>
  <c r="Z45" i="2" s="1"/>
  <c r="AI45" i="2"/>
  <c r="AH45" i="2"/>
  <c r="AG174" i="3" s="1"/>
  <c r="N174" i="3" s="1"/>
  <c r="AG45" i="2"/>
  <c r="Y45" i="2" s="1"/>
  <c r="AE45" i="2"/>
  <c r="AB45" i="2"/>
  <c r="X45" i="2"/>
  <c r="W45" i="2"/>
  <c r="V45" i="2"/>
  <c r="U45" i="2"/>
  <c r="J45" i="2"/>
  <c r="BO44" i="2"/>
  <c r="AF30" i="3" s="1"/>
  <c r="M30" i="3" s="1"/>
  <c r="BN44" i="2"/>
  <c r="AH30" i="3" s="1"/>
  <c r="O30" i="3" s="1"/>
  <c r="BM44" i="2"/>
  <c r="AM30" i="3" s="1"/>
  <c r="Q30" i="3" s="1"/>
  <c r="BL44" i="2"/>
  <c r="BK44" i="2"/>
  <c r="AN30" i="3" s="1"/>
  <c r="R30" i="3" s="1"/>
  <c r="BJ44" i="2"/>
  <c r="BI44" i="2"/>
  <c r="BH44" i="2"/>
  <c r="BG44" i="2"/>
  <c r="BF44" i="2"/>
  <c r="AO30" i="3" s="1"/>
  <c r="X30" i="3" s="1"/>
  <c r="BD44" i="2"/>
  <c r="AI30" i="3" s="1"/>
  <c r="U30" i="3" s="1"/>
  <c r="BC44" i="2"/>
  <c r="BB44" i="2"/>
  <c r="AD44" i="2" s="1"/>
  <c r="BA44" i="2"/>
  <c r="AZ44" i="2"/>
  <c r="AJ30" i="3" s="1"/>
  <c r="W30" i="3" s="1"/>
  <c r="AY44" i="2"/>
  <c r="AE44" i="2" s="1"/>
  <c r="AX44" i="2"/>
  <c r="AW44" i="2"/>
  <c r="AV44" i="2"/>
  <c r="AU44" i="2"/>
  <c r="AT44" i="2"/>
  <c r="AR44" i="2"/>
  <c r="AQ44" i="2"/>
  <c r="AK30" i="3" s="1"/>
  <c r="T30" i="3" s="1"/>
  <c r="AO44" i="2"/>
  <c r="AN44" i="2"/>
  <c r="AE30" i="3" s="1"/>
  <c r="L30" i="3" s="1"/>
  <c r="AM44" i="2"/>
  <c r="AL44" i="2"/>
  <c r="AK44" i="2"/>
  <c r="AD30" i="3" s="1"/>
  <c r="K30" i="3" s="1"/>
  <c r="AJ44" i="2"/>
  <c r="AI44" i="2"/>
  <c r="AH44" i="2"/>
  <c r="AF44" i="2"/>
  <c r="AA44" i="2"/>
  <c r="Z44" i="2"/>
  <c r="X44" i="2"/>
  <c r="W44" i="2"/>
  <c r="V44" i="2"/>
  <c r="U44" i="2" s="1"/>
  <c r="J44" i="2"/>
  <c r="BO43" i="2"/>
  <c r="AF230" i="3" s="1"/>
  <c r="M230" i="3" s="1"/>
  <c r="BN43" i="2"/>
  <c r="AH230" i="3" s="1"/>
  <c r="O230" i="3" s="1"/>
  <c r="BM43" i="2"/>
  <c r="AM230" i="3" s="1"/>
  <c r="Q230" i="3" s="1"/>
  <c r="BL43" i="2"/>
  <c r="BK43" i="2"/>
  <c r="AN230" i="3" s="1"/>
  <c r="R230" i="3" s="1"/>
  <c r="BJ43" i="2"/>
  <c r="AF43" i="2" s="1"/>
  <c r="BI43" i="2"/>
  <c r="BH43" i="2"/>
  <c r="BG43" i="2"/>
  <c r="BE43" i="2" s="1"/>
  <c r="BF43" i="2"/>
  <c r="AO230" i="3" s="1"/>
  <c r="X230" i="3" s="1"/>
  <c r="BD43" i="2"/>
  <c r="AI230" i="3" s="1"/>
  <c r="U230" i="3" s="1"/>
  <c r="BC43" i="2"/>
  <c r="BB43" i="2"/>
  <c r="BA43" i="2"/>
  <c r="AZ43" i="2"/>
  <c r="AX43" i="2"/>
  <c r="AW43" i="2"/>
  <c r="AV43" i="2"/>
  <c r="AU43" i="2"/>
  <c r="AT43" i="2"/>
  <c r="AL230" i="3" s="1"/>
  <c r="S230" i="3" s="1"/>
  <c r="AS43" i="2"/>
  <c r="AC43" i="2" s="1"/>
  <c r="AR43" i="2"/>
  <c r="AP43" i="2" s="1"/>
  <c r="AB43" i="2" s="1"/>
  <c r="AQ43" i="2"/>
  <c r="AK230" i="3" s="1"/>
  <c r="T230" i="3" s="1"/>
  <c r="AO43" i="2"/>
  <c r="AN43" i="2"/>
  <c r="AE230" i="3" s="1"/>
  <c r="L230" i="3" s="1"/>
  <c r="AM43" i="2"/>
  <c r="AA43" i="2" s="1"/>
  <c r="AL43" i="2"/>
  <c r="AK43" i="2"/>
  <c r="AD230" i="3" s="1"/>
  <c r="K230" i="3" s="1"/>
  <c r="AI43" i="2"/>
  <c r="AH43" i="2"/>
  <c r="AG230" i="3" s="1"/>
  <c r="N230" i="3" s="1"/>
  <c r="AG43" i="2"/>
  <c r="Y43" i="2" s="1"/>
  <c r="AD43" i="2"/>
  <c r="X43" i="2"/>
  <c r="W43" i="2"/>
  <c r="V43" i="2"/>
  <c r="U43" i="2" s="1"/>
  <c r="J43" i="2"/>
  <c r="BO42" i="2"/>
  <c r="AF87" i="3" s="1"/>
  <c r="M87" i="3" s="1"/>
  <c r="BN42" i="2"/>
  <c r="AH87" i="3" s="1"/>
  <c r="O87" i="3" s="1"/>
  <c r="BM42" i="2"/>
  <c r="AM87" i="3" s="1"/>
  <c r="Q87" i="3" s="1"/>
  <c r="BL42" i="2"/>
  <c r="BK42" i="2"/>
  <c r="AN87" i="3" s="1"/>
  <c r="R87" i="3" s="1"/>
  <c r="BJ42" i="2"/>
  <c r="AF42" i="2" s="1"/>
  <c r="BI42" i="2"/>
  <c r="BH42" i="2"/>
  <c r="BG42" i="2"/>
  <c r="BF42" i="2"/>
  <c r="AO87" i="3" s="1"/>
  <c r="X87" i="3" s="1"/>
  <c r="BE42" i="2"/>
  <c r="BD42" i="2"/>
  <c r="AI87" i="3" s="1"/>
  <c r="U87" i="3" s="1"/>
  <c r="BC42" i="2"/>
  <c r="BB42" i="2"/>
  <c r="AD42" i="2" s="1"/>
  <c r="BA42" i="2"/>
  <c r="AZ42" i="2"/>
  <c r="AJ87" i="3" s="1"/>
  <c r="W87" i="3" s="1"/>
  <c r="AX42" i="2"/>
  <c r="AW42" i="2"/>
  <c r="AV42" i="2"/>
  <c r="AU42" i="2"/>
  <c r="AT42" i="2"/>
  <c r="AR42" i="2"/>
  <c r="AQ42" i="2"/>
  <c r="AP42" i="2" s="1"/>
  <c r="AO42" i="2"/>
  <c r="AN42" i="2"/>
  <c r="AE87" i="3" s="1"/>
  <c r="L87" i="3" s="1"/>
  <c r="AM42" i="2"/>
  <c r="AL42" i="2"/>
  <c r="AK42" i="2"/>
  <c r="AD87" i="3" s="1"/>
  <c r="K87" i="3" s="1"/>
  <c r="AJ42" i="2"/>
  <c r="Z42" i="2" s="1"/>
  <c r="AI42" i="2"/>
  <c r="AH42" i="2"/>
  <c r="AB42" i="2"/>
  <c r="AA42" i="2"/>
  <c r="X42" i="2"/>
  <c r="W42" i="2"/>
  <c r="V42" i="2"/>
  <c r="U42" i="2"/>
  <c r="BO41" i="2"/>
  <c r="AF226" i="3" s="1"/>
  <c r="M226" i="3" s="1"/>
  <c r="BN41" i="2"/>
  <c r="AH226" i="3" s="1"/>
  <c r="O226" i="3" s="1"/>
  <c r="BM41" i="2"/>
  <c r="AM226" i="3" s="1"/>
  <c r="Q226" i="3" s="1"/>
  <c r="BL41" i="2"/>
  <c r="BK41" i="2"/>
  <c r="BI41" i="2"/>
  <c r="BH41" i="2" s="1"/>
  <c r="BG41" i="2"/>
  <c r="BF41" i="2"/>
  <c r="AO226" i="3" s="1"/>
  <c r="X226" i="3" s="1"/>
  <c r="BE41" i="2"/>
  <c r="BD41" i="2"/>
  <c r="AI226" i="3" s="1"/>
  <c r="U226" i="3" s="1"/>
  <c r="BC41" i="2"/>
  <c r="BB41" i="2"/>
  <c r="BA41" i="2"/>
  <c r="AZ41" i="2"/>
  <c r="AJ226" i="3" s="1"/>
  <c r="W226" i="3" s="1"/>
  <c r="AY41" i="2"/>
  <c r="AX41" i="2"/>
  <c r="AW41" i="2"/>
  <c r="AV41" i="2"/>
  <c r="AU41" i="2"/>
  <c r="AT41" i="2"/>
  <c r="AL226" i="3" s="1"/>
  <c r="S226" i="3" s="1"/>
  <c r="AS41" i="2"/>
  <c r="AR41" i="2"/>
  <c r="AP41" i="2" s="1"/>
  <c r="AB41" i="2" s="1"/>
  <c r="AQ41" i="2"/>
  <c r="AK226" i="3" s="1"/>
  <c r="T226" i="3" s="1"/>
  <c r="AO41" i="2"/>
  <c r="AN41" i="2"/>
  <c r="AE226" i="3" s="1"/>
  <c r="L226" i="3" s="1"/>
  <c r="AM41" i="2"/>
  <c r="AA41" i="2" s="1"/>
  <c r="AL41" i="2"/>
  <c r="AK41" i="2"/>
  <c r="AI41" i="2"/>
  <c r="AH41" i="2"/>
  <c r="AG226" i="3" s="1"/>
  <c r="N226" i="3" s="1"/>
  <c r="AE41" i="2"/>
  <c r="AD41" i="2"/>
  <c r="AC41" i="2"/>
  <c r="X41" i="2"/>
  <c r="W41" i="2"/>
  <c r="V41" i="2"/>
  <c r="U41" i="2"/>
  <c r="J41" i="2"/>
  <c r="BO40" i="2"/>
  <c r="AF125" i="3" s="1"/>
  <c r="M125" i="3" s="1"/>
  <c r="BN40" i="2"/>
  <c r="AH125" i="3" s="1"/>
  <c r="O125" i="3" s="1"/>
  <c r="BM40" i="2"/>
  <c r="AM125" i="3" s="1"/>
  <c r="Q125" i="3" s="1"/>
  <c r="BL40" i="2"/>
  <c r="BK40" i="2"/>
  <c r="AN125" i="3" s="1"/>
  <c r="R125" i="3" s="1"/>
  <c r="BJ40" i="2"/>
  <c r="BI40" i="2"/>
  <c r="BH40" i="2"/>
  <c r="BG40" i="2"/>
  <c r="BF40" i="2"/>
  <c r="BD40" i="2"/>
  <c r="AI125" i="3" s="1"/>
  <c r="U125" i="3" s="1"/>
  <c r="BC40" i="2"/>
  <c r="BB40" i="2" s="1"/>
  <c r="BA40" i="2"/>
  <c r="AZ40" i="2"/>
  <c r="AY40" i="2"/>
  <c r="AE40" i="2" s="1"/>
  <c r="AX40" i="2"/>
  <c r="AW40" i="2"/>
  <c r="AV40" i="2" s="1"/>
  <c r="AU40" i="2"/>
  <c r="AT40" i="2"/>
  <c r="AL125" i="3" s="1"/>
  <c r="S125" i="3" s="1"/>
  <c r="AS40" i="2"/>
  <c r="AR40" i="2"/>
  <c r="AQ40" i="2"/>
  <c r="AK125" i="3" s="1"/>
  <c r="T125" i="3" s="1"/>
  <c r="AP40" i="2"/>
  <c r="AB40" i="2" s="1"/>
  <c r="AO40" i="2"/>
  <c r="AN40" i="2"/>
  <c r="AE125" i="3" s="1"/>
  <c r="L125" i="3" s="1"/>
  <c r="AM40" i="2"/>
  <c r="AA40" i="2" s="1"/>
  <c r="AL40" i="2"/>
  <c r="AK40" i="2"/>
  <c r="AD125" i="3" s="1"/>
  <c r="K125" i="3" s="1"/>
  <c r="AJ40" i="2"/>
  <c r="Z40" i="2" s="1"/>
  <c r="AI40" i="2"/>
  <c r="AH40" i="2"/>
  <c r="AG125" i="3" s="1"/>
  <c r="N125" i="3" s="1"/>
  <c r="AG40" i="2"/>
  <c r="Y40" i="2" s="1"/>
  <c r="AF40" i="2"/>
  <c r="AD40" i="2"/>
  <c r="AC40" i="2"/>
  <c r="X40" i="2"/>
  <c r="W40" i="2"/>
  <c r="V40" i="2"/>
  <c r="U40" i="2"/>
  <c r="J40" i="2"/>
  <c r="BO39" i="2"/>
  <c r="AF213" i="3" s="1"/>
  <c r="M213" i="3" s="1"/>
  <c r="BN39" i="2"/>
  <c r="AH213" i="3" s="1"/>
  <c r="O213" i="3" s="1"/>
  <c r="BM39" i="2"/>
  <c r="AM213" i="3" s="1"/>
  <c r="Q213" i="3" s="1"/>
  <c r="BL39" i="2"/>
  <c r="BK39" i="2"/>
  <c r="AN213" i="3" s="1"/>
  <c r="R213" i="3" s="1"/>
  <c r="BJ39" i="2"/>
  <c r="AF39" i="2" s="1"/>
  <c r="BI39" i="2"/>
  <c r="BH39" i="2"/>
  <c r="BG39" i="2"/>
  <c r="BF39" i="2"/>
  <c r="AO213" i="3" s="1"/>
  <c r="X213" i="3" s="1"/>
  <c r="BE39" i="2"/>
  <c r="BD39" i="2"/>
  <c r="AI213" i="3" s="1"/>
  <c r="U213" i="3" s="1"/>
  <c r="BC39" i="2"/>
  <c r="BA39" i="2"/>
  <c r="AZ39" i="2"/>
  <c r="AJ213" i="3" s="1"/>
  <c r="W213" i="3" s="1"/>
  <c r="AY39" i="2"/>
  <c r="AX39" i="2"/>
  <c r="AW39" i="2"/>
  <c r="AV39" i="2" s="1"/>
  <c r="AU39" i="2"/>
  <c r="AT39" i="2"/>
  <c r="AL213" i="3" s="1"/>
  <c r="S213" i="3" s="1"/>
  <c r="AR39" i="2"/>
  <c r="AQ39" i="2"/>
  <c r="AK213" i="3" s="1"/>
  <c r="T213" i="3" s="1"/>
  <c r="AP39" i="2"/>
  <c r="AB39" i="2" s="1"/>
  <c r="AO39" i="2"/>
  <c r="AN39" i="2"/>
  <c r="AE213" i="3" s="1"/>
  <c r="L213" i="3" s="1"/>
  <c r="AM39" i="2"/>
  <c r="AA39" i="2" s="1"/>
  <c r="AL39" i="2"/>
  <c r="AK39" i="2"/>
  <c r="AI39" i="2"/>
  <c r="AH39" i="2"/>
  <c r="AE39" i="2"/>
  <c r="X39" i="2"/>
  <c r="W39" i="2"/>
  <c r="J39" i="2" s="1"/>
  <c r="V39" i="2"/>
  <c r="U39" i="2" s="1"/>
  <c r="BO38" i="2"/>
  <c r="AF76" i="3" s="1"/>
  <c r="M76" i="3" s="1"/>
  <c r="BN38" i="2"/>
  <c r="AH76" i="3" s="1"/>
  <c r="O76" i="3" s="1"/>
  <c r="BM38" i="2"/>
  <c r="AM76" i="3" s="1"/>
  <c r="Q76" i="3" s="1"/>
  <c r="BL38" i="2"/>
  <c r="BK38" i="2"/>
  <c r="AN76" i="3" s="1"/>
  <c r="R76" i="3" s="1"/>
  <c r="BJ38" i="2"/>
  <c r="BI38" i="2"/>
  <c r="BH38" i="2" s="1"/>
  <c r="BG38" i="2"/>
  <c r="BF38" i="2"/>
  <c r="AO76" i="3" s="1"/>
  <c r="X76" i="3" s="1"/>
  <c r="BE38" i="2"/>
  <c r="BD38" i="2"/>
  <c r="AI76" i="3" s="1"/>
  <c r="U76" i="3" s="1"/>
  <c r="BC38" i="2"/>
  <c r="BB38" i="2" s="1"/>
  <c r="AD38" i="2" s="1"/>
  <c r="BA38" i="2"/>
  <c r="AZ38" i="2"/>
  <c r="AJ76" i="3" s="1"/>
  <c r="W76" i="3" s="1"/>
  <c r="AY38" i="2"/>
  <c r="AX38" i="2"/>
  <c r="AW38" i="2"/>
  <c r="AV38" i="2"/>
  <c r="AU38" i="2"/>
  <c r="AT38" i="2"/>
  <c r="AL76" i="3" s="1"/>
  <c r="S76" i="3" s="1"/>
  <c r="AS38" i="2"/>
  <c r="AC38" i="2" s="1"/>
  <c r="AR38" i="2"/>
  <c r="AQ38" i="2"/>
  <c r="AK76" i="3" s="1"/>
  <c r="T76" i="3" s="1"/>
  <c r="AP38" i="2"/>
  <c r="AB38" i="2" s="1"/>
  <c r="AO38" i="2"/>
  <c r="AM38" i="2" s="1"/>
  <c r="AA38" i="2" s="1"/>
  <c r="AN38" i="2"/>
  <c r="AE76" i="3" s="1"/>
  <c r="L76" i="3" s="1"/>
  <c r="AL38" i="2"/>
  <c r="AK38" i="2"/>
  <c r="AD76" i="3" s="1"/>
  <c r="K76" i="3" s="1"/>
  <c r="AI38" i="2"/>
  <c r="AH38" i="2"/>
  <c r="AG76" i="3" s="1"/>
  <c r="N76" i="3" s="1"/>
  <c r="AG38" i="2"/>
  <c r="AF38" i="2"/>
  <c r="AE38" i="2"/>
  <c r="Y38" i="2"/>
  <c r="X38" i="2"/>
  <c r="W38" i="2"/>
  <c r="V38" i="2"/>
  <c r="U38" i="2"/>
  <c r="J38" i="2"/>
  <c r="BO37" i="2"/>
  <c r="AF323" i="3" s="1"/>
  <c r="M323" i="3" s="1"/>
  <c r="BN37" i="2"/>
  <c r="AH323" i="3" s="1"/>
  <c r="O323" i="3" s="1"/>
  <c r="BM37" i="2"/>
  <c r="AM323" i="3" s="1"/>
  <c r="Q323" i="3" s="1"/>
  <c r="BL37" i="2"/>
  <c r="BK37" i="2"/>
  <c r="AN323" i="3" s="1"/>
  <c r="R323" i="3" s="1"/>
  <c r="BJ37" i="2"/>
  <c r="AF37" i="2" s="1"/>
  <c r="BI37" i="2"/>
  <c r="BH37" i="2" s="1"/>
  <c r="BG37" i="2"/>
  <c r="BF37" i="2"/>
  <c r="AO323" i="3" s="1"/>
  <c r="X323" i="3" s="1"/>
  <c r="BD37" i="2"/>
  <c r="AI323" i="3" s="1"/>
  <c r="U323" i="3" s="1"/>
  <c r="BC37" i="2"/>
  <c r="BB37" i="2" s="1"/>
  <c r="AD37" i="2" s="1"/>
  <c r="BA37" i="2"/>
  <c r="AZ37" i="2"/>
  <c r="AJ323" i="3" s="1"/>
  <c r="W323" i="3" s="1"/>
  <c r="AX37" i="2"/>
  <c r="AW37" i="2"/>
  <c r="AV37" i="2" s="1"/>
  <c r="AU37" i="2"/>
  <c r="AT37" i="2"/>
  <c r="AL323" i="3" s="1"/>
  <c r="S323" i="3" s="1"/>
  <c r="AS37" i="2"/>
  <c r="AC37" i="2" s="1"/>
  <c r="AR37" i="2"/>
  <c r="AQ37" i="2"/>
  <c r="AK323" i="3" s="1"/>
  <c r="T323" i="3" s="1"/>
  <c r="AP37" i="2"/>
  <c r="AB37" i="2" s="1"/>
  <c r="AO37" i="2"/>
  <c r="AN37" i="2"/>
  <c r="AL37" i="2"/>
  <c r="AK37" i="2"/>
  <c r="AI37" i="2"/>
  <c r="AH37" i="2"/>
  <c r="AG323" i="3" s="1"/>
  <c r="N323" i="3" s="1"/>
  <c r="AG37" i="2"/>
  <c r="Y37" i="2"/>
  <c r="X37" i="2"/>
  <c r="W37" i="2"/>
  <c r="J37" i="2" s="1"/>
  <c r="V37" i="2"/>
  <c r="U37" i="2" s="1"/>
  <c r="BO36" i="2"/>
  <c r="AF204" i="3" s="1"/>
  <c r="M204" i="3" s="1"/>
  <c r="BN36" i="2"/>
  <c r="AH204" i="3" s="1"/>
  <c r="O204" i="3" s="1"/>
  <c r="BM36" i="2"/>
  <c r="AM204" i="3" s="1"/>
  <c r="Q204" i="3" s="1"/>
  <c r="BL36" i="2"/>
  <c r="BH36" i="2" s="1"/>
  <c r="BK36" i="2"/>
  <c r="AN204" i="3" s="1"/>
  <c r="R204" i="3" s="1"/>
  <c r="BI36" i="2"/>
  <c r="BG36" i="2"/>
  <c r="BF36" i="2"/>
  <c r="AO204" i="3" s="1"/>
  <c r="X204" i="3" s="1"/>
  <c r="BE36" i="2"/>
  <c r="BD36" i="2"/>
  <c r="AI204" i="3" s="1"/>
  <c r="U204" i="3" s="1"/>
  <c r="BC36" i="2"/>
  <c r="BB36" i="2" s="1"/>
  <c r="AD36" i="2" s="1"/>
  <c r="BA36" i="2"/>
  <c r="AY36" i="2" s="1"/>
  <c r="AE36" i="2" s="1"/>
  <c r="AZ36" i="2"/>
  <c r="AJ204" i="3" s="1"/>
  <c r="W204" i="3" s="1"/>
  <c r="AX36" i="2"/>
  <c r="AW36" i="2"/>
  <c r="AV36" i="2" s="1"/>
  <c r="AU36" i="2"/>
  <c r="AT36" i="2"/>
  <c r="AL204" i="3" s="1"/>
  <c r="S204" i="3" s="1"/>
  <c r="AS36" i="2"/>
  <c r="AC36" i="2" s="1"/>
  <c r="AR36" i="2"/>
  <c r="AQ36" i="2"/>
  <c r="AK204" i="3" s="1"/>
  <c r="T204" i="3" s="1"/>
  <c r="AP36" i="2"/>
  <c r="AB36" i="2" s="1"/>
  <c r="AO36" i="2"/>
  <c r="AN36" i="2"/>
  <c r="AE204" i="3" s="1"/>
  <c r="L204" i="3" s="1"/>
  <c r="AM36" i="2"/>
  <c r="AA36" i="2" s="1"/>
  <c r="AL36" i="2"/>
  <c r="AK36" i="2"/>
  <c r="AD204" i="3" s="1"/>
  <c r="K204" i="3" s="1"/>
  <c r="AJ36" i="2"/>
  <c r="Z36" i="2" s="1"/>
  <c r="AI36" i="2"/>
  <c r="AG36" i="2" s="1"/>
  <c r="Y36" i="2" s="1"/>
  <c r="AH36" i="2"/>
  <c r="AG204" i="3" s="1"/>
  <c r="N204" i="3" s="1"/>
  <c r="X36" i="2"/>
  <c r="W36" i="2"/>
  <c r="J36" i="2" s="1"/>
  <c r="V36" i="2"/>
  <c r="U36" i="2" s="1"/>
  <c r="BO35" i="2"/>
  <c r="AF165" i="3" s="1"/>
  <c r="M165" i="3" s="1"/>
  <c r="BN35" i="2"/>
  <c r="AH165" i="3" s="1"/>
  <c r="BM35" i="2"/>
  <c r="AM165" i="3" s="1"/>
  <c r="Q165" i="3" s="1"/>
  <c r="BL35" i="2"/>
  <c r="BK35" i="2"/>
  <c r="BI35" i="2"/>
  <c r="BH35" i="2" s="1"/>
  <c r="BG35" i="2"/>
  <c r="BE35" i="2" s="1"/>
  <c r="BF35" i="2"/>
  <c r="AO165" i="3" s="1"/>
  <c r="X165" i="3" s="1"/>
  <c r="BD35" i="2"/>
  <c r="AI165" i="3" s="1"/>
  <c r="U165" i="3" s="1"/>
  <c r="BC35" i="2"/>
  <c r="BB35" i="2" s="1"/>
  <c r="AD35" i="2" s="1"/>
  <c r="BA35" i="2"/>
  <c r="AZ35" i="2"/>
  <c r="AJ165" i="3" s="1"/>
  <c r="AY35" i="2"/>
  <c r="AE35" i="2" s="1"/>
  <c r="AX35" i="2"/>
  <c r="AV35" i="2" s="1"/>
  <c r="AW35" i="2"/>
  <c r="AU35" i="2"/>
  <c r="AS35" i="2" s="1"/>
  <c r="AT35" i="2"/>
  <c r="AL165" i="3" s="1"/>
  <c r="S165" i="3" s="1"/>
  <c r="AR35" i="2"/>
  <c r="AQ35" i="2"/>
  <c r="AO35" i="2"/>
  <c r="AN35" i="2"/>
  <c r="AE165" i="3" s="1"/>
  <c r="L165" i="3" s="1"/>
  <c r="AM35" i="2"/>
  <c r="AL35" i="2"/>
  <c r="AK35" i="2"/>
  <c r="AD165" i="3" s="1"/>
  <c r="K165" i="3" s="1"/>
  <c r="AJ35" i="2"/>
  <c r="AI35" i="2"/>
  <c r="AH35" i="2"/>
  <c r="AG165" i="3" s="1"/>
  <c r="N165" i="3" s="1"/>
  <c r="AG35" i="2"/>
  <c r="AC35" i="2"/>
  <c r="AA35" i="2"/>
  <c r="Z35" i="2"/>
  <c r="Y35" i="2"/>
  <c r="X35" i="2"/>
  <c r="W35" i="2"/>
  <c r="J35" i="2" s="1"/>
  <c r="V35" i="2"/>
  <c r="U35" i="2" s="1"/>
  <c r="BO34" i="2"/>
  <c r="AF123" i="3" s="1"/>
  <c r="M123" i="3" s="1"/>
  <c r="BN34" i="2"/>
  <c r="AH123" i="3" s="1"/>
  <c r="O123" i="3" s="1"/>
  <c r="BM34" i="2"/>
  <c r="AM123" i="3" s="1"/>
  <c r="Q123" i="3" s="1"/>
  <c r="BL34" i="2"/>
  <c r="BK34" i="2"/>
  <c r="BI34" i="2"/>
  <c r="BH34" i="2" s="1"/>
  <c r="BG34" i="2"/>
  <c r="BF34" i="2"/>
  <c r="AO123" i="3" s="1"/>
  <c r="X123" i="3" s="1"/>
  <c r="BE34" i="2"/>
  <c r="BD34" i="2"/>
  <c r="AI123" i="3" s="1"/>
  <c r="U123" i="3" s="1"/>
  <c r="BC34" i="2"/>
  <c r="BB34" i="2"/>
  <c r="BA34" i="2"/>
  <c r="AZ34" i="2"/>
  <c r="AJ123" i="3" s="1"/>
  <c r="W123" i="3" s="1"/>
  <c r="AY34" i="2"/>
  <c r="AX34" i="2"/>
  <c r="AW34" i="2"/>
  <c r="AV34" i="2"/>
  <c r="AU34" i="2"/>
  <c r="AT34" i="2"/>
  <c r="AL123" i="3" s="1"/>
  <c r="S123" i="3" s="1"/>
  <c r="AS34" i="2"/>
  <c r="AC34" i="2" s="1"/>
  <c r="AR34" i="2"/>
  <c r="AQ34" i="2"/>
  <c r="AK123" i="3" s="1"/>
  <c r="T123" i="3" s="1"/>
  <c r="AO34" i="2"/>
  <c r="AN34" i="2"/>
  <c r="AE123" i="3" s="1"/>
  <c r="L123" i="3" s="1"/>
  <c r="AL34" i="2"/>
  <c r="AK34" i="2"/>
  <c r="AI34" i="2"/>
  <c r="AH34" i="2"/>
  <c r="AG123" i="3" s="1"/>
  <c r="N123" i="3" s="1"/>
  <c r="AE34" i="2"/>
  <c r="AD34" i="2"/>
  <c r="X34" i="2"/>
  <c r="W34" i="2"/>
  <c r="V34" i="2"/>
  <c r="U34" i="2"/>
  <c r="J34" i="2"/>
  <c r="BO33" i="2"/>
  <c r="AF141" i="3" s="1"/>
  <c r="M141" i="3" s="1"/>
  <c r="BN33" i="2"/>
  <c r="AH141" i="3" s="1"/>
  <c r="O141" i="3" s="1"/>
  <c r="BM33" i="2"/>
  <c r="AM141" i="3" s="1"/>
  <c r="Q141" i="3" s="1"/>
  <c r="BL33" i="2"/>
  <c r="BK33" i="2"/>
  <c r="AN141" i="3" s="1"/>
  <c r="R141" i="3" s="1"/>
  <c r="BJ33" i="2"/>
  <c r="BI33" i="2"/>
  <c r="BH33" i="2"/>
  <c r="BG33" i="2"/>
  <c r="BF33" i="2"/>
  <c r="AO141" i="3" s="1"/>
  <c r="X141" i="3" s="1"/>
  <c r="BE33" i="2"/>
  <c r="BD33" i="2"/>
  <c r="BC33" i="2"/>
  <c r="BB33" i="2" s="1"/>
  <c r="AD33" i="2" s="1"/>
  <c r="BA33" i="2"/>
  <c r="AZ33" i="2"/>
  <c r="AJ141" i="3" s="1"/>
  <c r="W141" i="3" s="1"/>
  <c r="AY33" i="2"/>
  <c r="AX33" i="2"/>
  <c r="AW33" i="2"/>
  <c r="AV33" i="2"/>
  <c r="AU33" i="2"/>
  <c r="AT33" i="2"/>
  <c r="AL141" i="3" s="1"/>
  <c r="S141" i="3" s="1"/>
  <c r="AS33" i="2"/>
  <c r="AR33" i="2"/>
  <c r="AQ33" i="2"/>
  <c r="AK141" i="3" s="1"/>
  <c r="T141" i="3" s="1"/>
  <c r="AP33" i="2"/>
  <c r="AB33" i="2" s="1"/>
  <c r="AO33" i="2"/>
  <c r="AN33" i="2"/>
  <c r="AE141" i="3" s="1"/>
  <c r="L141" i="3" s="1"/>
  <c r="AM33" i="2"/>
  <c r="AA33" i="2" s="1"/>
  <c r="AL33" i="2"/>
  <c r="AK33" i="2"/>
  <c r="AD141" i="3" s="1"/>
  <c r="K141" i="3" s="1"/>
  <c r="AJ33" i="2"/>
  <c r="AI33" i="2"/>
  <c r="AH33" i="2"/>
  <c r="AG141" i="3" s="1"/>
  <c r="N141" i="3" s="1"/>
  <c r="AG33" i="2"/>
  <c r="Y33" i="2" s="1"/>
  <c r="AF33" i="2"/>
  <c r="AE33" i="2"/>
  <c r="AC33" i="2"/>
  <c r="Z33" i="2"/>
  <c r="X33" i="2"/>
  <c r="W33" i="2"/>
  <c r="J33" i="2" s="1"/>
  <c r="V33" i="2"/>
  <c r="U33" i="2" s="1"/>
  <c r="BO32" i="2"/>
  <c r="AF56" i="3" s="1"/>
  <c r="M56" i="3" s="1"/>
  <c r="BN32" i="2"/>
  <c r="AH56" i="3" s="1"/>
  <c r="O56" i="3" s="1"/>
  <c r="BM32" i="2"/>
  <c r="AM56" i="3" s="1"/>
  <c r="Q56" i="3" s="1"/>
  <c r="BL32" i="2"/>
  <c r="BK32" i="2"/>
  <c r="BI32" i="2"/>
  <c r="BH32" i="2"/>
  <c r="BG32" i="2"/>
  <c r="BF32" i="2"/>
  <c r="AO56" i="3" s="1"/>
  <c r="X56" i="3" s="1"/>
  <c r="BE32" i="2"/>
  <c r="BD32" i="2"/>
  <c r="AI56" i="3" s="1"/>
  <c r="U56" i="3" s="1"/>
  <c r="BC32" i="2"/>
  <c r="BB32" i="2"/>
  <c r="AD32" i="2" s="1"/>
  <c r="BA32" i="2"/>
  <c r="AZ32" i="2"/>
  <c r="AJ56" i="3" s="1"/>
  <c r="W56" i="3" s="1"/>
  <c r="AY32" i="2"/>
  <c r="AE32" i="2" s="1"/>
  <c r="AX32" i="2"/>
  <c r="AW32" i="2"/>
  <c r="AV32" i="2" s="1"/>
  <c r="AU32" i="2"/>
  <c r="AT32" i="2"/>
  <c r="AR32" i="2"/>
  <c r="AQ32" i="2"/>
  <c r="AK56" i="3" s="1"/>
  <c r="T56" i="3" s="1"/>
  <c r="AP32" i="2"/>
  <c r="AB32" i="2" s="1"/>
  <c r="AO32" i="2"/>
  <c r="AM32" i="2" s="1"/>
  <c r="AA32" i="2" s="1"/>
  <c r="AN32" i="2"/>
  <c r="AE56" i="3" s="1"/>
  <c r="L56" i="3" s="1"/>
  <c r="AL32" i="2"/>
  <c r="AK32" i="2"/>
  <c r="AI32" i="2"/>
  <c r="AH32" i="2"/>
  <c r="AG56" i="3" s="1"/>
  <c r="N56" i="3" s="1"/>
  <c r="AG32" i="2"/>
  <c r="Y32" i="2"/>
  <c r="X32" i="2"/>
  <c r="W32" i="2"/>
  <c r="J32" i="2" s="1"/>
  <c r="V32" i="2"/>
  <c r="U32" i="2"/>
  <c r="BO31" i="2"/>
  <c r="AF155" i="3" s="1"/>
  <c r="M155" i="3" s="1"/>
  <c r="BN31" i="2"/>
  <c r="AH155" i="3" s="1"/>
  <c r="O155" i="3" s="1"/>
  <c r="BM31" i="2"/>
  <c r="AM155" i="3" s="1"/>
  <c r="Q155" i="3" s="1"/>
  <c r="BL31" i="2"/>
  <c r="BK31" i="2"/>
  <c r="AN155" i="3" s="1"/>
  <c r="R155" i="3" s="1"/>
  <c r="BJ31" i="2"/>
  <c r="BI31" i="2"/>
  <c r="BH31" i="2"/>
  <c r="BG31" i="2"/>
  <c r="BF31" i="2"/>
  <c r="AO155" i="3" s="1"/>
  <c r="X155" i="3" s="1"/>
  <c r="BE31" i="2"/>
  <c r="BD31" i="2"/>
  <c r="AI155" i="3" s="1"/>
  <c r="U155" i="3" s="1"/>
  <c r="BC31" i="2"/>
  <c r="BB31" i="2" s="1"/>
  <c r="AD31" i="2" s="1"/>
  <c r="BA31" i="2"/>
  <c r="AZ31" i="2"/>
  <c r="AJ155" i="3" s="1"/>
  <c r="W155" i="3" s="1"/>
  <c r="AY31" i="2"/>
  <c r="AX31" i="2"/>
  <c r="AW31" i="2"/>
  <c r="AV31" i="2"/>
  <c r="AU31" i="2"/>
  <c r="AT31" i="2"/>
  <c r="AL155" i="3" s="1"/>
  <c r="S155" i="3" s="1"/>
  <c r="AR31" i="2"/>
  <c r="AQ31" i="2"/>
  <c r="AK155" i="3" s="1"/>
  <c r="T155" i="3" s="1"/>
  <c r="AP31" i="2"/>
  <c r="AB31" i="2" s="1"/>
  <c r="AO31" i="2"/>
  <c r="AN31" i="2"/>
  <c r="AE155" i="3" s="1"/>
  <c r="L155" i="3" s="1"/>
  <c r="AM31" i="2"/>
  <c r="AL31" i="2"/>
  <c r="AK31" i="2"/>
  <c r="AI31" i="2"/>
  <c r="AH31" i="2"/>
  <c r="AG155" i="3" s="1"/>
  <c r="N155" i="3" s="1"/>
  <c r="AG31" i="2"/>
  <c r="AF31" i="2"/>
  <c r="AE31" i="2"/>
  <c r="AA31" i="2"/>
  <c r="Y31" i="2"/>
  <c r="X31" i="2"/>
  <c r="W31" i="2"/>
  <c r="V31" i="2"/>
  <c r="U31" i="2"/>
  <c r="J31" i="2"/>
  <c r="BO30" i="2"/>
  <c r="AF44" i="3" s="1"/>
  <c r="M44" i="3" s="1"/>
  <c r="BN30" i="2"/>
  <c r="BM30" i="2"/>
  <c r="AM44" i="3" s="1"/>
  <c r="Q44" i="3" s="1"/>
  <c r="BL30" i="2"/>
  <c r="BK30" i="2"/>
  <c r="BI30" i="2"/>
  <c r="BH30" i="2" s="1"/>
  <c r="BG30" i="2"/>
  <c r="BF30" i="2"/>
  <c r="AO44" i="3" s="1"/>
  <c r="X44" i="3" s="1"/>
  <c r="BE30" i="2"/>
  <c r="BD30" i="2"/>
  <c r="AI44" i="3" s="1"/>
  <c r="U44" i="3" s="1"/>
  <c r="BC30" i="2"/>
  <c r="BB30" i="2"/>
  <c r="AD30" i="2" s="1"/>
  <c r="BA30" i="2"/>
  <c r="AZ30" i="2"/>
  <c r="AJ44" i="3" s="1"/>
  <c r="W44" i="3" s="1"/>
  <c r="AY30" i="2"/>
  <c r="AE30" i="2" s="1"/>
  <c r="AX30" i="2"/>
  <c r="AW30" i="2"/>
  <c r="AV30" i="2" s="1"/>
  <c r="AU30" i="2"/>
  <c r="AT30" i="2"/>
  <c r="AL44" i="3" s="1"/>
  <c r="S44" i="3" s="1"/>
  <c r="AS30" i="2"/>
  <c r="AC30" i="2" s="1"/>
  <c r="AR30" i="2"/>
  <c r="AQ30" i="2"/>
  <c r="AK44" i="3" s="1"/>
  <c r="T44" i="3" s="1"/>
  <c r="AP30" i="2"/>
  <c r="AB30" i="2" s="1"/>
  <c r="AO30" i="2"/>
  <c r="AN30" i="2"/>
  <c r="AE44" i="3" s="1"/>
  <c r="L44" i="3" s="1"/>
  <c r="AM30" i="2"/>
  <c r="AA30" i="2" s="1"/>
  <c r="AL30" i="2"/>
  <c r="AK30" i="2"/>
  <c r="AJ30" i="2"/>
  <c r="AI30" i="2"/>
  <c r="AH30" i="2"/>
  <c r="AG44" i="3" s="1"/>
  <c r="N44" i="3" s="1"/>
  <c r="AG30" i="2"/>
  <c r="Z30" i="2"/>
  <c r="Y30" i="2"/>
  <c r="X30" i="2"/>
  <c r="W30" i="2"/>
  <c r="J30" i="2" s="1"/>
  <c r="V30" i="2"/>
  <c r="U30" i="2"/>
  <c r="BO29" i="2"/>
  <c r="AF261" i="3" s="1"/>
  <c r="M261" i="3" s="1"/>
  <c r="BN29" i="2"/>
  <c r="AH261" i="3" s="1"/>
  <c r="O261" i="3" s="1"/>
  <c r="BM29" i="2"/>
  <c r="AM261" i="3" s="1"/>
  <c r="Q261" i="3" s="1"/>
  <c r="BL29" i="2"/>
  <c r="BK29" i="2"/>
  <c r="AN261" i="3" s="1"/>
  <c r="R261" i="3" s="1"/>
  <c r="BJ29" i="2"/>
  <c r="BI29" i="2"/>
  <c r="BH29" i="2" s="1"/>
  <c r="BG29" i="2"/>
  <c r="BE29" i="2" s="1"/>
  <c r="BF29" i="2"/>
  <c r="AO261" i="3" s="1"/>
  <c r="X261" i="3" s="1"/>
  <c r="BD29" i="2"/>
  <c r="BC29" i="2"/>
  <c r="BA29" i="2"/>
  <c r="AZ29" i="2"/>
  <c r="AJ261" i="3" s="1"/>
  <c r="W261" i="3" s="1"/>
  <c r="AY29" i="2"/>
  <c r="AX29" i="2"/>
  <c r="AW29" i="2"/>
  <c r="AU29" i="2"/>
  <c r="AT29" i="2"/>
  <c r="AR29" i="2"/>
  <c r="AQ29" i="2"/>
  <c r="AK261" i="3" s="1"/>
  <c r="T261" i="3" s="1"/>
  <c r="AP29" i="2"/>
  <c r="AB29" i="2" s="1"/>
  <c r="AO29" i="2"/>
  <c r="AN29" i="2"/>
  <c r="AE261" i="3" s="1"/>
  <c r="L261" i="3" s="1"/>
  <c r="AM29" i="2"/>
  <c r="AL29" i="2"/>
  <c r="AJ29" i="2" s="1"/>
  <c r="Z29" i="2" s="1"/>
  <c r="AK29" i="2"/>
  <c r="AD261" i="3" s="1"/>
  <c r="K261" i="3" s="1"/>
  <c r="AI29" i="2"/>
  <c r="AH29" i="2"/>
  <c r="AG261" i="3" s="1"/>
  <c r="N261" i="3" s="1"/>
  <c r="AG29" i="2"/>
  <c r="Y29" i="2" s="1"/>
  <c r="AF29" i="2"/>
  <c r="AE29" i="2"/>
  <c r="AA29" i="2"/>
  <c r="X29" i="2"/>
  <c r="W29" i="2"/>
  <c r="J29" i="2" s="1"/>
  <c r="V29" i="2"/>
  <c r="U29" i="2"/>
  <c r="BO28" i="2"/>
  <c r="AF98" i="3" s="1"/>
  <c r="M98" i="3" s="1"/>
  <c r="BN28" i="2"/>
  <c r="AH98" i="3" s="1"/>
  <c r="O98" i="3" s="1"/>
  <c r="BM28" i="2"/>
  <c r="AM98" i="3" s="1"/>
  <c r="BL28" i="2"/>
  <c r="BK28" i="2"/>
  <c r="AN98" i="3" s="1"/>
  <c r="R98" i="3" s="1"/>
  <c r="BJ28" i="2"/>
  <c r="AF28" i="2" s="1"/>
  <c r="BI28" i="2"/>
  <c r="BH28" i="2" s="1"/>
  <c r="BG28" i="2"/>
  <c r="BF28" i="2"/>
  <c r="AO98" i="3" s="1"/>
  <c r="BD28" i="2"/>
  <c r="AI98" i="3" s="1"/>
  <c r="U98" i="3" s="1"/>
  <c r="BC28" i="2"/>
  <c r="BB28" i="2"/>
  <c r="AD28" i="2" s="1"/>
  <c r="BA28" i="2"/>
  <c r="AZ28" i="2"/>
  <c r="AX28" i="2"/>
  <c r="AW28" i="2"/>
  <c r="AV28" i="2"/>
  <c r="AU28" i="2"/>
  <c r="AT28" i="2"/>
  <c r="AL98" i="3" s="1"/>
  <c r="S98" i="3" s="1"/>
  <c r="AS28" i="2"/>
  <c r="AC28" i="2" s="1"/>
  <c r="AR28" i="2"/>
  <c r="AQ28" i="2"/>
  <c r="AK98" i="3" s="1"/>
  <c r="T98" i="3" s="1"/>
  <c r="AP28" i="2"/>
  <c r="AO28" i="2"/>
  <c r="AN28" i="2"/>
  <c r="AE98" i="3" s="1"/>
  <c r="L98" i="3" s="1"/>
  <c r="AM28" i="2"/>
  <c r="AA28" i="2" s="1"/>
  <c r="AL28" i="2"/>
  <c r="AK28" i="2"/>
  <c r="AI28" i="2"/>
  <c r="AH28" i="2"/>
  <c r="AG98" i="3" s="1"/>
  <c r="N98" i="3" s="1"/>
  <c r="AG28" i="2"/>
  <c r="AB28" i="2"/>
  <c r="Y28" i="2"/>
  <c r="X28" i="2"/>
  <c r="W28" i="2"/>
  <c r="J28" i="2" s="1"/>
  <c r="V28" i="2"/>
  <c r="U28" i="2"/>
  <c r="BO27" i="2"/>
  <c r="AF106" i="3" s="1"/>
  <c r="M106" i="3" s="1"/>
  <c r="BN27" i="2"/>
  <c r="AH106" i="3" s="1"/>
  <c r="O106" i="3" s="1"/>
  <c r="BM27" i="2"/>
  <c r="AM106" i="3" s="1"/>
  <c r="Q106" i="3" s="1"/>
  <c r="BL27" i="2"/>
  <c r="BK27" i="2"/>
  <c r="AN106" i="3" s="1"/>
  <c r="R106" i="3" s="1"/>
  <c r="BJ27" i="2"/>
  <c r="AF27" i="2" s="1"/>
  <c r="BI27" i="2"/>
  <c r="BH27" i="2" s="1"/>
  <c r="BG27" i="2"/>
  <c r="BF27" i="2"/>
  <c r="AO106" i="3" s="1"/>
  <c r="X106" i="3" s="1"/>
  <c r="BE27" i="2"/>
  <c r="BD27" i="2"/>
  <c r="AI106" i="3" s="1"/>
  <c r="U106" i="3" s="1"/>
  <c r="BC27" i="2"/>
  <c r="BB27" i="2" s="1"/>
  <c r="AD27" i="2" s="1"/>
  <c r="BA27" i="2"/>
  <c r="AZ27" i="2"/>
  <c r="AJ106" i="3" s="1"/>
  <c r="W106" i="3" s="1"/>
  <c r="AY27" i="2"/>
  <c r="AE27" i="2" s="1"/>
  <c r="AX27" i="2"/>
  <c r="AW27" i="2"/>
  <c r="AV27" i="2"/>
  <c r="AU27" i="2"/>
  <c r="AT27" i="2"/>
  <c r="AL106" i="3" s="1"/>
  <c r="S106" i="3" s="1"/>
  <c r="AS27" i="2"/>
  <c r="AC27" i="2" s="1"/>
  <c r="AR27" i="2"/>
  <c r="AQ27" i="2"/>
  <c r="AK106" i="3" s="1"/>
  <c r="T106" i="3" s="1"/>
  <c r="AP27" i="2"/>
  <c r="AB27" i="2" s="1"/>
  <c r="AO27" i="2"/>
  <c r="AN27" i="2"/>
  <c r="AE106" i="3" s="1"/>
  <c r="L106" i="3" s="1"/>
  <c r="AM27" i="2"/>
  <c r="AL27" i="2"/>
  <c r="AK27" i="2"/>
  <c r="AI27" i="2"/>
  <c r="AH27" i="2"/>
  <c r="AA27" i="2"/>
  <c r="X27" i="2"/>
  <c r="W27" i="2"/>
  <c r="V27" i="2"/>
  <c r="U27" i="2" s="1"/>
  <c r="J27" i="2"/>
  <c r="BO26" i="2"/>
  <c r="AF18" i="3" s="1"/>
  <c r="M18" i="3" s="1"/>
  <c r="BN26" i="2"/>
  <c r="AH18" i="3" s="1"/>
  <c r="O18" i="3" s="1"/>
  <c r="BM26" i="2"/>
  <c r="AM18" i="3" s="1"/>
  <c r="Q18" i="3" s="1"/>
  <c r="BL26" i="2"/>
  <c r="BK26" i="2"/>
  <c r="AN18" i="3" s="1"/>
  <c r="R18" i="3" s="1"/>
  <c r="BJ26" i="2"/>
  <c r="BI26" i="2"/>
  <c r="BH26" i="2" s="1"/>
  <c r="BG26" i="2"/>
  <c r="BF26" i="2"/>
  <c r="AO18" i="3" s="1"/>
  <c r="X18" i="3" s="1"/>
  <c r="BE26" i="2"/>
  <c r="BD26" i="2"/>
  <c r="BC26" i="2"/>
  <c r="BB26" i="2"/>
  <c r="BA26" i="2"/>
  <c r="AZ26" i="2"/>
  <c r="AY26" i="2"/>
  <c r="AX26" i="2"/>
  <c r="AW26" i="2"/>
  <c r="AV26" i="2"/>
  <c r="AU26" i="2"/>
  <c r="AS26" i="2" s="1"/>
  <c r="AC26" i="2" s="1"/>
  <c r="AT26" i="2"/>
  <c r="AL18" i="3" s="1"/>
  <c r="AR26" i="2"/>
  <c r="AQ26" i="2"/>
  <c r="AK18" i="3" s="1"/>
  <c r="T18" i="3" s="1"/>
  <c r="AP26" i="2"/>
  <c r="AB26" i="2" s="1"/>
  <c r="AO26" i="2"/>
  <c r="AN26" i="2"/>
  <c r="AL26" i="2"/>
  <c r="AK26" i="2"/>
  <c r="AD18" i="3" s="1"/>
  <c r="K18" i="3" s="1"/>
  <c r="AJ26" i="2"/>
  <c r="Z26" i="2" s="1"/>
  <c r="AI26" i="2"/>
  <c r="AH26" i="2"/>
  <c r="AG18" i="3" s="1"/>
  <c r="N18" i="3" s="1"/>
  <c r="AG26" i="2"/>
  <c r="Y26" i="2" s="1"/>
  <c r="AF26" i="2"/>
  <c r="AE26" i="2"/>
  <c r="AD26" i="2"/>
  <c r="X26" i="2"/>
  <c r="W26" i="2"/>
  <c r="V26" i="2"/>
  <c r="U26" i="2"/>
  <c r="J26" i="2"/>
  <c r="BO25" i="2"/>
  <c r="AF219" i="3" s="1"/>
  <c r="M219" i="3" s="1"/>
  <c r="BN25" i="2"/>
  <c r="AH219" i="3" s="1"/>
  <c r="O219" i="3" s="1"/>
  <c r="BM25" i="2"/>
  <c r="AM219" i="3" s="1"/>
  <c r="Q219" i="3" s="1"/>
  <c r="BL25" i="2"/>
  <c r="BK25" i="2"/>
  <c r="BI25" i="2"/>
  <c r="BH25" i="2"/>
  <c r="BG25" i="2"/>
  <c r="BF25" i="2"/>
  <c r="BD25" i="2"/>
  <c r="AI219" i="3" s="1"/>
  <c r="U219" i="3" s="1"/>
  <c r="BC25" i="2"/>
  <c r="BB25" i="2" s="1"/>
  <c r="BA25" i="2"/>
  <c r="AZ25" i="2"/>
  <c r="AJ219" i="3" s="1"/>
  <c r="W219" i="3" s="1"/>
  <c r="AX25" i="2"/>
  <c r="AW25" i="2"/>
  <c r="AV25" i="2" s="1"/>
  <c r="AU25" i="2"/>
  <c r="AT25" i="2"/>
  <c r="AR25" i="2"/>
  <c r="AQ25" i="2"/>
  <c r="AO25" i="2"/>
  <c r="AN25" i="2"/>
  <c r="AE219" i="3" s="1"/>
  <c r="L219" i="3" s="1"/>
  <c r="AM25" i="2"/>
  <c r="AL25" i="2"/>
  <c r="AK25" i="2"/>
  <c r="AI25" i="2"/>
  <c r="AH25" i="2"/>
  <c r="AG219" i="3" s="1"/>
  <c r="N219" i="3" s="1"/>
  <c r="AG25" i="2"/>
  <c r="Y25" i="2" s="1"/>
  <c r="AD25" i="2"/>
  <c r="AA25" i="2"/>
  <c r="X25" i="2"/>
  <c r="W25" i="2"/>
  <c r="J25" i="2" s="1"/>
  <c r="V25" i="2"/>
  <c r="U25" i="2" s="1"/>
  <c r="BO24" i="2"/>
  <c r="AF161" i="3" s="1"/>
  <c r="M161" i="3" s="1"/>
  <c r="BN24" i="2"/>
  <c r="AH161" i="3" s="1"/>
  <c r="O161" i="3" s="1"/>
  <c r="BM24" i="2"/>
  <c r="AM161" i="3" s="1"/>
  <c r="Q161" i="3" s="1"/>
  <c r="BL24" i="2"/>
  <c r="BK24" i="2"/>
  <c r="AN161" i="3" s="1"/>
  <c r="R161" i="3" s="1"/>
  <c r="BJ24" i="2"/>
  <c r="BI24" i="2"/>
  <c r="BH24" i="2" s="1"/>
  <c r="BG24" i="2"/>
  <c r="BF24" i="2"/>
  <c r="AO161" i="3" s="1"/>
  <c r="X161" i="3" s="1"/>
  <c r="BE24" i="2"/>
  <c r="BD24" i="2"/>
  <c r="AI161" i="3" s="1"/>
  <c r="U161" i="3" s="1"/>
  <c r="BC24" i="2"/>
  <c r="BB24" i="2" s="1"/>
  <c r="AD24" i="2" s="1"/>
  <c r="BA24" i="2"/>
  <c r="AZ24" i="2"/>
  <c r="AX24" i="2"/>
  <c r="AW24" i="2"/>
  <c r="AV24" i="2"/>
  <c r="AU24" i="2"/>
  <c r="AT24" i="2"/>
  <c r="AL161" i="3" s="1"/>
  <c r="S161" i="3" s="1"/>
  <c r="AS24" i="2"/>
  <c r="AC24" i="2" s="1"/>
  <c r="AR24" i="2"/>
  <c r="AQ24" i="2"/>
  <c r="AK161" i="3" s="1"/>
  <c r="T161" i="3" s="1"/>
  <c r="AO24" i="2"/>
  <c r="AM24" i="2" s="1"/>
  <c r="AA24" i="2" s="1"/>
  <c r="AN24" i="2"/>
  <c r="AE161" i="3" s="1"/>
  <c r="L161" i="3" s="1"/>
  <c r="AL24" i="2"/>
  <c r="AK24" i="2"/>
  <c r="AI24" i="2"/>
  <c r="AH24" i="2"/>
  <c r="AG161" i="3" s="1"/>
  <c r="N161" i="3" s="1"/>
  <c r="AG24" i="2"/>
  <c r="AF24" i="2"/>
  <c r="Y24" i="2"/>
  <c r="X24" i="2"/>
  <c r="W24" i="2"/>
  <c r="V24" i="2"/>
  <c r="U24" i="2" s="1"/>
  <c r="J24" i="2"/>
  <c r="BO23" i="2"/>
  <c r="AF289" i="3" s="1"/>
  <c r="M289" i="3" s="1"/>
  <c r="BN23" i="2"/>
  <c r="AH289" i="3" s="1"/>
  <c r="O289" i="3" s="1"/>
  <c r="BM23" i="2"/>
  <c r="AM289" i="3" s="1"/>
  <c r="Q289" i="3" s="1"/>
  <c r="BL23" i="2"/>
  <c r="BK23" i="2"/>
  <c r="AN289" i="3" s="1"/>
  <c r="R289" i="3" s="1"/>
  <c r="BJ23" i="2"/>
  <c r="AF23" i="2" s="1"/>
  <c r="BI23" i="2"/>
  <c r="BH23" i="2" s="1"/>
  <c r="BG23" i="2"/>
  <c r="BF23" i="2"/>
  <c r="AO289" i="3" s="1"/>
  <c r="X289" i="3" s="1"/>
  <c r="BE23" i="2"/>
  <c r="BD23" i="2"/>
  <c r="AI289" i="3" s="1"/>
  <c r="U289" i="3" s="1"/>
  <c r="BC23" i="2"/>
  <c r="BB23" i="2"/>
  <c r="AD23" i="2" s="1"/>
  <c r="BA23" i="2"/>
  <c r="AY23" i="2" s="1"/>
  <c r="AE23" i="2" s="1"/>
  <c r="AZ23" i="2"/>
  <c r="AJ289" i="3" s="1"/>
  <c r="W289" i="3" s="1"/>
  <c r="AX23" i="2"/>
  <c r="AW23" i="2"/>
  <c r="AU23" i="2"/>
  <c r="AT23" i="2"/>
  <c r="AL289" i="3" s="1"/>
  <c r="S289" i="3" s="1"/>
  <c r="AS23" i="2"/>
  <c r="AR23" i="2"/>
  <c r="AQ23" i="2"/>
  <c r="AO23" i="2"/>
  <c r="AN23" i="2"/>
  <c r="AL23" i="2"/>
  <c r="AK23" i="2"/>
  <c r="AD289" i="3" s="1"/>
  <c r="K289" i="3" s="1"/>
  <c r="AJ23" i="2"/>
  <c r="AI23" i="2"/>
  <c r="AH23" i="2"/>
  <c r="AC23" i="2"/>
  <c r="Z23" i="2"/>
  <c r="X23" i="2"/>
  <c r="W23" i="2"/>
  <c r="J23" i="2" s="1"/>
  <c r="V23" i="2"/>
  <c r="U23" i="2" s="1"/>
  <c r="BO22" i="2"/>
  <c r="AF268" i="3" s="1"/>
  <c r="M268" i="3" s="1"/>
  <c r="BN22" i="2"/>
  <c r="AH268" i="3" s="1"/>
  <c r="O268" i="3" s="1"/>
  <c r="BM22" i="2"/>
  <c r="AM268" i="3" s="1"/>
  <c r="Q268" i="3" s="1"/>
  <c r="BL22" i="2"/>
  <c r="BK22" i="2"/>
  <c r="AN268" i="3" s="1"/>
  <c r="R268" i="3" s="1"/>
  <c r="BJ22" i="2"/>
  <c r="BI22" i="2"/>
  <c r="BH22" i="2"/>
  <c r="BG22" i="2"/>
  <c r="BF22" i="2"/>
  <c r="AO268" i="3" s="1"/>
  <c r="X268" i="3" s="1"/>
  <c r="BE22" i="2"/>
  <c r="BD22" i="2"/>
  <c r="AI268" i="3" s="1"/>
  <c r="U268" i="3" s="1"/>
  <c r="BC22" i="2"/>
  <c r="BB22" i="2"/>
  <c r="AD22" i="2" s="1"/>
  <c r="BA22" i="2"/>
  <c r="AZ22" i="2"/>
  <c r="AJ268" i="3" s="1"/>
  <c r="W268" i="3" s="1"/>
  <c r="AY22" i="2"/>
  <c r="AE22" i="2" s="1"/>
  <c r="AX22" i="2"/>
  <c r="AW22" i="2"/>
  <c r="AU22" i="2"/>
  <c r="AT22" i="2"/>
  <c r="AL268" i="3" s="1"/>
  <c r="S268" i="3" s="1"/>
  <c r="AS22" i="2"/>
  <c r="AC22" i="2" s="1"/>
  <c r="AR22" i="2"/>
  <c r="AQ22" i="2"/>
  <c r="AK268" i="3" s="1"/>
  <c r="T268" i="3" s="1"/>
  <c r="AO22" i="2"/>
  <c r="AM22" i="2" s="1"/>
  <c r="AA22" i="2" s="1"/>
  <c r="AN22" i="2"/>
  <c r="AE268" i="3" s="1"/>
  <c r="L268" i="3" s="1"/>
  <c r="AL22" i="2"/>
  <c r="AK22" i="2"/>
  <c r="AI22" i="2"/>
  <c r="AH22" i="2"/>
  <c r="AG268" i="3" s="1"/>
  <c r="N268" i="3" s="1"/>
  <c r="AG22" i="2"/>
  <c r="AF22" i="2"/>
  <c r="Y22" i="2"/>
  <c r="X22" i="2"/>
  <c r="W22" i="2"/>
  <c r="J22" i="2" s="1"/>
  <c r="V22" i="2"/>
  <c r="U22" i="2"/>
  <c r="BO21" i="2"/>
  <c r="AF296" i="3" s="1"/>
  <c r="M296" i="3" s="1"/>
  <c r="BN21" i="2"/>
  <c r="AH296" i="3" s="1"/>
  <c r="O296" i="3" s="1"/>
  <c r="BM21" i="2"/>
  <c r="AM296" i="3" s="1"/>
  <c r="Q296" i="3" s="1"/>
  <c r="BL21" i="2"/>
  <c r="BJ21" i="2" s="1"/>
  <c r="AF21" i="2" s="1"/>
  <c r="BK21" i="2"/>
  <c r="AN296" i="3" s="1"/>
  <c r="R296" i="3" s="1"/>
  <c r="BI21" i="2"/>
  <c r="BH21" i="2" s="1"/>
  <c r="BG21" i="2"/>
  <c r="BF21" i="2"/>
  <c r="BD21" i="2"/>
  <c r="AI296" i="3" s="1"/>
  <c r="U296" i="3" s="1"/>
  <c r="BC21" i="2"/>
  <c r="BB21" i="2" s="1"/>
  <c r="AD21" i="2" s="1"/>
  <c r="BA21" i="2"/>
  <c r="AZ21" i="2"/>
  <c r="AJ296" i="3" s="1"/>
  <c r="W296" i="3" s="1"/>
  <c r="AY21" i="2"/>
  <c r="AX21" i="2"/>
  <c r="AW21" i="2"/>
  <c r="AV21" i="2" s="1"/>
  <c r="AU21" i="2"/>
  <c r="AT21" i="2"/>
  <c r="AR21" i="2"/>
  <c r="AQ21" i="2"/>
  <c r="AK296" i="3" s="1"/>
  <c r="T296" i="3" s="1"/>
  <c r="AO21" i="2"/>
  <c r="AM21" i="2" s="1"/>
  <c r="AA21" i="2" s="1"/>
  <c r="AN21" i="2"/>
  <c r="AE296" i="3" s="1"/>
  <c r="L296" i="3" s="1"/>
  <c r="AL21" i="2"/>
  <c r="AK21" i="2"/>
  <c r="AD296" i="3" s="1"/>
  <c r="K296" i="3" s="1"/>
  <c r="AI21" i="2"/>
  <c r="AH21" i="2"/>
  <c r="AG296" i="3" s="1"/>
  <c r="N296" i="3" s="1"/>
  <c r="AG21" i="2"/>
  <c r="Y21" i="2" s="1"/>
  <c r="AE21" i="2"/>
  <c r="X21" i="2"/>
  <c r="W21" i="2"/>
  <c r="V21" i="2"/>
  <c r="U21" i="2"/>
  <c r="J21" i="2"/>
  <c r="BO20" i="2"/>
  <c r="AF178" i="3" s="1"/>
  <c r="M178" i="3" s="1"/>
  <c r="BN20" i="2"/>
  <c r="AH178" i="3" s="1"/>
  <c r="O178" i="3" s="1"/>
  <c r="BM20" i="2"/>
  <c r="AM178" i="3" s="1"/>
  <c r="Q178" i="3" s="1"/>
  <c r="BL20" i="2"/>
  <c r="BK20" i="2"/>
  <c r="AN178" i="3" s="1"/>
  <c r="R178" i="3" s="1"/>
  <c r="BI20" i="2"/>
  <c r="BH20" i="2" s="1"/>
  <c r="BG20" i="2"/>
  <c r="BF20" i="2"/>
  <c r="AO178" i="3" s="1"/>
  <c r="X178" i="3" s="1"/>
  <c r="BD20" i="2"/>
  <c r="AI178" i="3" s="1"/>
  <c r="U178" i="3" s="1"/>
  <c r="BC20" i="2"/>
  <c r="BB20" i="2" s="1"/>
  <c r="AD20" i="2" s="1"/>
  <c r="BA20" i="2"/>
  <c r="AZ20" i="2"/>
  <c r="AJ178" i="3" s="1"/>
  <c r="W178" i="3" s="1"/>
  <c r="AY20" i="2"/>
  <c r="AX20" i="2"/>
  <c r="AW20" i="2"/>
  <c r="AV20" i="2"/>
  <c r="AU20" i="2"/>
  <c r="AT20" i="2"/>
  <c r="AL178" i="3" s="1"/>
  <c r="S178" i="3" s="1"/>
  <c r="AS20" i="2"/>
  <c r="AR20" i="2"/>
  <c r="AQ20" i="2"/>
  <c r="AK178" i="3" s="1"/>
  <c r="T178" i="3" s="1"/>
  <c r="AP20" i="2"/>
  <c r="AO20" i="2"/>
  <c r="AN20" i="2"/>
  <c r="AE178" i="3" s="1"/>
  <c r="L178" i="3" s="1"/>
  <c r="AL20" i="2"/>
  <c r="AK20" i="2"/>
  <c r="AI20" i="2"/>
  <c r="AH20" i="2"/>
  <c r="AG178" i="3" s="1"/>
  <c r="N178" i="3" s="1"/>
  <c r="AG20" i="2"/>
  <c r="Y20" i="2" s="1"/>
  <c r="AE20" i="2"/>
  <c r="AC20" i="2"/>
  <c r="AB20" i="2"/>
  <c r="X20" i="2"/>
  <c r="W20" i="2"/>
  <c r="V20" i="2"/>
  <c r="U20" i="2" s="1"/>
  <c r="J20" i="2"/>
  <c r="BO19" i="2"/>
  <c r="AF156" i="3" s="1"/>
  <c r="M156" i="3" s="1"/>
  <c r="BN19" i="2"/>
  <c r="AH156" i="3" s="1"/>
  <c r="O156" i="3" s="1"/>
  <c r="BM19" i="2"/>
  <c r="AM156" i="3" s="1"/>
  <c r="Q156" i="3" s="1"/>
  <c r="BL19" i="2"/>
  <c r="BK19" i="2"/>
  <c r="BI19" i="2"/>
  <c r="BH19" i="2"/>
  <c r="BG19" i="2"/>
  <c r="BF19" i="2"/>
  <c r="AO156" i="3" s="1"/>
  <c r="X156" i="3" s="1"/>
  <c r="BE19" i="2"/>
  <c r="BD19" i="2"/>
  <c r="AI156" i="3" s="1"/>
  <c r="U156" i="3" s="1"/>
  <c r="BC19" i="2"/>
  <c r="BB19" i="2"/>
  <c r="AD19" i="2" s="1"/>
  <c r="BA19" i="2"/>
  <c r="AZ19" i="2"/>
  <c r="AJ156" i="3" s="1"/>
  <c r="W156" i="3" s="1"/>
  <c r="AY19" i="2"/>
  <c r="AE19" i="2" s="1"/>
  <c r="AX19" i="2"/>
  <c r="AW19" i="2"/>
  <c r="AV19" i="2"/>
  <c r="AU19" i="2"/>
  <c r="AS19" i="2" s="1"/>
  <c r="AC19" i="2" s="1"/>
  <c r="AT19" i="2"/>
  <c r="AL156" i="3" s="1"/>
  <c r="S156" i="3" s="1"/>
  <c r="AR19" i="2"/>
  <c r="AQ19" i="2"/>
  <c r="AK156" i="3" s="1"/>
  <c r="T156" i="3" s="1"/>
  <c r="AP19" i="2"/>
  <c r="AB19" i="2" s="1"/>
  <c r="AO19" i="2"/>
  <c r="AN19" i="2"/>
  <c r="AE156" i="3" s="1"/>
  <c r="L156" i="3" s="1"/>
  <c r="AM19" i="2"/>
  <c r="AA19" i="2" s="1"/>
  <c r="AL19" i="2"/>
  <c r="AJ19" i="2" s="1"/>
  <c r="Z19" i="2" s="1"/>
  <c r="AK19" i="2"/>
  <c r="AD156" i="3" s="1"/>
  <c r="K156" i="3" s="1"/>
  <c r="AI19" i="2"/>
  <c r="AG19" i="2" s="1"/>
  <c r="Y19" i="2" s="1"/>
  <c r="AH19" i="2"/>
  <c r="AG156" i="3" s="1"/>
  <c r="N156" i="3" s="1"/>
  <c r="X19" i="2"/>
  <c r="W19" i="2"/>
  <c r="V19" i="2"/>
  <c r="U19" i="2"/>
  <c r="J19" i="2"/>
  <c r="BO18" i="2"/>
  <c r="AF245" i="3" s="1"/>
  <c r="M245" i="3" s="1"/>
  <c r="BN18" i="2"/>
  <c r="AH245" i="3" s="1"/>
  <c r="O245" i="3" s="1"/>
  <c r="BM18" i="2"/>
  <c r="AM245" i="3" s="1"/>
  <c r="Q245" i="3" s="1"/>
  <c r="BL18" i="2"/>
  <c r="BK18" i="2"/>
  <c r="AN245" i="3" s="1"/>
  <c r="R245" i="3" s="1"/>
  <c r="BJ18" i="2"/>
  <c r="BI18" i="2"/>
  <c r="BH18" i="2" s="1"/>
  <c r="BG18" i="2"/>
  <c r="BF18" i="2"/>
  <c r="AO245" i="3" s="1"/>
  <c r="X245" i="3" s="1"/>
  <c r="BD18" i="2"/>
  <c r="AI245" i="3" s="1"/>
  <c r="U245" i="3" s="1"/>
  <c r="BC18" i="2"/>
  <c r="BB18" i="2"/>
  <c r="AD18" i="2" s="1"/>
  <c r="BA18" i="2"/>
  <c r="AZ18" i="2"/>
  <c r="AJ245" i="3" s="1"/>
  <c r="W245" i="3" s="1"/>
  <c r="AY18" i="2"/>
  <c r="AX18" i="2"/>
  <c r="AW18" i="2"/>
  <c r="AV18" i="2" s="1"/>
  <c r="AU18" i="2"/>
  <c r="AT18" i="2"/>
  <c r="AL245" i="3" s="1"/>
  <c r="S245" i="3" s="1"/>
  <c r="AS18" i="2"/>
  <c r="AC18" i="2" s="1"/>
  <c r="AR18" i="2"/>
  <c r="AQ18" i="2"/>
  <c r="AK245" i="3" s="1"/>
  <c r="T245" i="3" s="1"/>
  <c r="AP18" i="2"/>
  <c r="AB18" i="2" s="1"/>
  <c r="AO18" i="2"/>
  <c r="AN18" i="2"/>
  <c r="AE245" i="3" s="1"/>
  <c r="L245" i="3" s="1"/>
  <c r="AM18" i="2"/>
  <c r="AA18" i="2" s="1"/>
  <c r="AL18" i="2"/>
  <c r="AK18" i="2"/>
  <c r="AI18" i="2"/>
  <c r="AH18" i="2"/>
  <c r="AF18" i="2"/>
  <c r="AE18" i="2"/>
  <c r="X18" i="2"/>
  <c r="W18" i="2"/>
  <c r="J18" i="2" s="1"/>
  <c r="V18" i="2"/>
  <c r="U18" i="2"/>
  <c r="BO17" i="2"/>
  <c r="AF143" i="3" s="1"/>
  <c r="M143" i="3" s="1"/>
  <c r="BN17" i="2"/>
  <c r="AH143" i="3" s="1"/>
  <c r="O143" i="3" s="1"/>
  <c r="BM17" i="2"/>
  <c r="AM143" i="3" s="1"/>
  <c r="Q143" i="3" s="1"/>
  <c r="BL17" i="2"/>
  <c r="BK17" i="2"/>
  <c r="AN143" i="3" s="1"/>
  <c r="BJ17" i="2"/>
  <c r="AF17" i="2" s="1"/>
  <c r="BI17" i="2"/>
  <c r="BH17" i="2"/>
  <c r="BG17" i="2"/>
  <c r="BF17" i="2"/>
  <c r="AO143" i="3" s="1"/>
  <c r="X143" i="3" s="1"/>
  <c r="BE17" i="2"/>
  <c r="BD17" i="2"/>
  <c r="AI143" i="3" s="1"/>
  <c r="BC17" i="2"/>
  <c r="BB17" i="2"/>
  <c r="AD17" i="2" s="1"/>
  <c r="BA17" i="2"/>
  <c r="AZ17" i="2"/>
  <c r="AJ143" i="3" s="1"/>
  <c r="AY17" i="2"/>
  <c r="AE17" i="2" s="1"/>
  <c r="AX17" i="2"/>
  <c r="AW17" i="2"/>
  <c r="AV17" i="2" s="1"/>
  <c r="AU17" i="2"/>
  <c r="AT17" i="2"/>
  <c r="AR17" i="2"/>
  <c r="AQ17" i="2"/>
  <c r="AO17" i="2"/>
  <c r="AN17" i="2"/>
  <c r="AE143" i="3" s="1"/>
  <c r="AM17" i="2"/>
  <c r="AL17" i="2"/>
  <c r="AK17" i="2"/>
  <c r="AI17" i="2"/>
  <c r="AH17" i="2"/>
  <c r="AG143" i="3" s="1"/>
  <c r="N143" i="3" s="1"/>
  <c r="AG17" i="2"/>
  <c r="AA17" i="2"/>
  <c r="Y17" i="2"/>
  <c r="X17" i="2"/>
  <c r="W17" i="2"/>
  <c r="J17" i="2" s="1"/>
  <c r="V17" i="2"/>
  <c r="U17" i="2"/>
  <c r="BO16" i="2"/>
  <c r="AF45" i="3" s="1"/>
  <c r="M45" i="3" s="1"/>
  <c r="BN16" i="2"/>
  <c r="AH45" i="3" s="1"/>
  <c r="O45" i="3" s="1"/>
  <c r="BM16" i="2"/>
  <c r="AM45" i="3" s="1"/>
  <c r="Q45" i="3" s="1"/>
  <c r="BL16" i="2"/>
  <c r="BK16" i="2"/>
  <c r="AN45" i="3" s="1"/>
  <c r="R45" i="3" s="1"/>
  <c r="BJ16" i="2"/>
  <c r="AF16" i="2" s="1"/>
  <c r="BI16" i="2"/>
  <c r="BH16" i="2" s="1"/>
  <c r="BG16" i="2"/>
  <c r="BF16" i="2"/>
  <c r="AO45" i="3" s="1"/>
  <c r="X45" i="3" s="1"/>
  <c r="BE16" i="2"/>
  <c r="BD16" i="2"/>
  <c r="AI45" i="3" s="1"/>
  <c r="U45" i="3" s="1"/>
  <c r="BC16" i="2"/>
  <c r="BB16" i="2"/>
  <c r="BA16" i="2"/>
  <c r="AZ16" i="2"/>
  <c r="AJ45" i="3" s="1"/>
  <c r="W45" i="3" s="1"/>
  <c r="AY16" i="2"/>
  <c r="AE16" i="2" s="1"/>
  <c r="AX16" i="2"/>
  <c r="AW16" i="2"/>
  <c r="AV16" i="2" s="1"/>
  <c r="AU16" i="2"/>
  <c r="AT16" i="2"/>
  <c r="AL45" i="3" s="1"/>
  <c r="S45" i="3" s="1"/>
  <c r="AS16" i="2"/>
  <c r="AC16" i="2" s="1"/>
  <c r="AR16" i="2"/>
  <c r="AQ16" i="2"/>
  <c r="AK45" i="3" s="1"/>
  <c r="T45" i="3" s="1"/>
  <c r="AP16" i="2"/>
  <c r="AB16" i="2" s="1"/>
  <c r="AO16" i="2"/>
  <c r="AM16" i="2" s="1"/>
  <c r="AA16" i="2" s="1"/>
  <c r="AN16" i="2"/>
  <c r="AE45" i="3" s="1"/>
  <c r="L45" i="3" s="1"/>
  <c r="AL16" i="2"/>
  <c r="AK16" i="2"/>
  <c r="AD45" i="3" s="1"/>
  <c r="K45" i="3" s="1"/>
  <c r="AI16" i="2"/>
  <c r="AH16" i="2"/>
  <c r="AD16" i="2"/>
  <c r="X16" i="2"/>
  <c r="W16" i="2"/>
  <c r="J16" i="2" s="1"/>
  <c r="V16" i="2"/>
  <c r="U16" i="2"/>
  <c r="BO15" i="2"/>
  <c r="AF224" i="3" s="1"/>
  <c r="M224" i="3" s="1"/>
  <c r="BN15" i="2"/>
  <c r="AH224" i="3" s="1"/>
  <c r="O224" i="3" s="1"/>
  <c r="BM15" i="2"/>
  <c r="AM224" i="3" s="1"/>
  <c r="Q224" i="3" s="1"/>
  <c r="BL15" i="2"/>
  <c r="BK15" i="2"/>
  <c r="AN224" i="3" s="1"/>
  <c r="R224" i="3" s="1"/>
  <c r="BJ15" i="2"/>
  <c r="AF15" i="2" s="1"/>
  <c r="BI15" i="2"/>
  <c r="BH15" i="2"/>
  <c r="BG15" i="2"/>
  <c r="BF15" i="2"/>
  <c r="AO224" i="3" s="1"/>
  <c r="X224" i="3" s="1"/>
  <c r="BE15" i="2"/>
  <c r="BD15" i="2"/>
  <c r="AI224" i="3" s="1"/>
  <c r="U224" i="3" s="1"/>
  <c r="BC15" i="2"/>
  <c r="BB15" i="2"/>
  <c r="AD15" i="2" s="1"/>
  <c r="BA15" i="2"/>
  <c r="AY15" i="2" s="1"/>
  <c r="AE15" i="2" s="1"/>
  <c r="AZ15" i="2"/>
  <c r="AX15" i="2"/>
  <c r="AW15" i="2"/>
  <c r="AV15" i="2" s="1"/>
  <c r="AU15" i="2"/>
  <c r="AS15" i="2" s="1"/>
  <c r="AC15" i="2" s="1"/>
  <c r="AT15" i="2"/>
  <c r="AL224" i="3" s="1"/>
  <c r="S224" i="3" s="1"/>
  <c r="AR15" i="2"/>
  <c r="AQ15" i="2"/>
  <c r="AK224" i="3" s="1"/>
  <c r="T224" i="3" s="1"/>
  <c r="AP15" i="2"/>
  <c r="AB15" i="2" s="1"/>
  <c r="AO15" i="2"/>
  <c r="AN15" i="2"/>
  <c r="AE224" i="3" s="1"/>
  <c r="L224" i="3" s="1"/>
  <c r="AM15" i="2"/>
  <c r="AL15" i="2"/>
  <c r="AK15" i="2"/>
  <c r="AD224" i="3" s="1"/>
  <c r="K224" i="3" s="1"/>
  <c r="AJ15" i="2"/>
  <c r="AI15" i="2"/>
  <c r="AH15" i="2"/>
  <c r="AG224" i="3" s="1"/>
  <c r="N224" i="3" s="1"/>
  <c r="AG15" i="2"/>
  <c r="AA15" i="2"/>
  <c r="Z15" i="2"/>
  <c r="Y15" i="2"/>
  <c r="X15" i="2"/>
  <c r="W15" i="2"/>
  <c r="J15" i="2" s="1"/>
  <c r="V15" i="2"/>
  <c r="U15" i="2" s="1"/>
  <c r="BO14" i="2"/>
  <c r="AF164" i="3" s="1"/>
  <c r="M164" i="3" s="1"/>
  <c r="BN14" i="2"/>
  <c r="AH164" i="3" s="1"/>
  <c r="O164" i="3" s="1"/>
  <c r="BM14" i="2"/>
  <c r="AM164" i="3" s="1"/>
  <c r="Q164" i="3" s="1"/>
  <c r="BL14" i="2"/>
  <c r="BK14" i="2"/>
  <c r="AN164" i="3" s="1"/>
  <c r="R164" i="3" s="1"/>
  <c r="BJ14" i="2"/>
  <c r="AF14" i="2" s="1"/>
  <c r="BI14" i="2"/>
  <c r="BH14" i="2" s="1"/>
  <c r="BG14" i="2"/>
  <c r="BE14" i="2" s="1"/>
  <c r="BF14" i="2"/>
  <c r="AO164" i="3" s="1"/>
  <c r="X164" i="3" s="1"/>
  <c r="BD14" i="2"/>
  <c r="AI164" i="3" s="1"/>
  <c r="U164" i="3" s="1"/>
  <c r="BC14" i="2"/>
  <c r="BA14" i="2"/>
  <c r="AZ14" i="2"/>
  <c r="AJ164" i="3" s="1"/>
  <c r="W164" i="3" s="1"/>
  <c r="AY14" i="2"/>
  <c r="AX14" i="2"/>
  <c r="AW14" i="2"/>
  <c r="AV14" i="2"/>
  <c r="AU14" i="2"/>
  <c r="AS14" i="2" s="1"/>
  <c r="AC14" i="2" s="1"/>
  <c r="AT14" i="2"/>
  <c r="AL164" i="3" s="1"/>
  <c r="S164" i="3" s="1"/>
  <c r="AR14" i="2"/>
  <c r="AQ14" i="2"/>
  <c r="AK164" i="3" s="1"/>
  <c r="T164" i="3" s="1"/>
  <c r="AP14" i="2"/>
  <c r="AO14" i="2"/>
  <c r="AM14" i="2" s="1"/>
  <c r="AA14" i="2" s="1"/>
  <c r="AN14" i="2"/>
  <c r="AE164" i="3" s="1"/>
  <c r="L164" i="3" s="1"/>
  <c r="AL14" i="2"/>
  <c r="AK14" i="2"/>
  <c r="AI14" i="2"/>
  <c r="AH14" i="2"/>
  <c r="AG164" i="3" s="1"/>
  <c r="N164" i="3" s="1"/>
  <c r="AG14" i="2"/>
  <c r="AE14" i="2"/>
  <c r="AB14" i="2"/>
  <c r="Y14" i="2"/>
  <c r="X14" i="2"/>
  <c r="W14" i="2"/>
  <c r="V14" i="2"/>
  <c r="U14" i="2"/>
  <c r="J14" i="2"/>
  <c r="BO13" i="2"/>
  <c r="AF288" i="3" s="1"/>
  <c r="M288" i="3" s="1"/>
  <c r="BN13" i="2"/>
  <c r="AH288" i="3" s="1"/>
  <c r="O288" i="3" s="1"/>
  <c r="BM13" i="2"/>
  <c r="AM288" i="3" s="1"/>
  <c r="Q288" i="3" s="1"/>
  <c r="BL13" i="2"/>
  <c r="BK13" i="2"/>
  <c r="BI13" i="2"/>
  <c r="BH13" i="2" s="1"/>
  <c r="BG13" i="2"/>
  <c r="BF13" i="2"/>
  <c r="BD13" i="2"/>
  <c r="AI288" i="3" s="1"/>
  <c r="U288" i="3" s="1"/>
  <c r="BC13" i="2"/>
  <c r="BB13" i="2" s="1"/>
  <c r="AD13" i="2" s="1"/>
  <c r="BA13" i="2"/>
  <c r="AZ13" i="2"/>
  <c r="AJ288" i="3" s="1"/>
  <c r="W288" i="3" s="1"/>
  <c r="AY13" i="2"/>
  <c r="AX13" i="2"/>
  <c r="AW13" i="2"/>
  <c r="AU13" i="2"/>
  <c r="AT13" i="2"/>
  <c r="AR13" i="2"/>
  <c r="AQ13" i="2"/>
  <c r="AK288" i="3" s="1"/>
  <c r="T288" i="3" s="1"/>
  <c r="AO13" i="2"/>
  <c r="AN13" i="2"/>
  <c r="AE288" i="3" s="1"/>
  <c r="L288" i="3" s="1"/>
  <c r="AL13" i="2"/>
  <c r="AK13" i="2"/>
  <c r="AI13" i="2"/>
  <c r="AH13" i="2"/>
  <c r="AG288" i="3" s="1"/>
  <c r="N288" i="3" s="1"/>
  <c r="AG13" i="2"/>
  <c r="Y13" i="2" s="1"/>
  <c r="AE13" i="2"/>
  <c r="X13" i="2"/>
  <c r="W13" i="2"/>
  <c r="V13" i="2"/>
  <c r="U13" i="2"/>
  <c r="J13" i="2"/>
  <c r="BO12" i="2"/>
  <c r="AF190" i="3" s="1"/>
  <c r="M190" i="3" s="1"/>
  <c r="BN12" i="2"/>
  <c r="AH190" i="3" s="1"/>
  <c r="O190" i="3" s="1"/>
  <c r="BM12" i="2"/>
  <c r="AM190" i="3" s="1"/>
  <c r="Q190" i="3" s="1"/>
  <c r="BL12" i="2"/>
  <c r="BH12" i="2" s="1"/>
  <c r="BK12" i="2"/>
  <c r="AN190" i="3" s="1"/>
  <c r="R190" i="3" s="1"/>
  <c r="BI12" i="2"/>
  <c r="BG12" i="2"/>
  <c r="BE12" i="2" s="1"/>
  <c r="BF12" i="2"/>
  <c r="AO190" i="3" s="1"/>
  <c r="X190" i="3" s="1"/>
  <c r="BD12" i="2"/>
  <c r="AI190" i="3" s="1"/>
  <c r="U190" i="3" s="1"/>
  <c r="BC12" i="2"/>
  <c r="BB12" i="2"/>
  <c r="AD12" i="2" s="1"/>
  <c r="BA12" i="2"/>
  <c r="AZ12" i="2"/>
  <c r="AJ190" i="3" s="1"/>
  <c r="W190" i="3" s="1"/>
  <c r="AY12" i="2"/>
  <c r="AX12" i="2"/>
  <c r="AW12" i="2"/>
  <c r="AV12" i="2"/>
  <c r="AU12" i="2"/>
  <c r="AT12" i="2"/>
  <c r="AL190" i="3" s="1"/>
  <c r="S190" i="3" s="1"/>
  <c r="AS12" i="2"/>
  <c r="AC12" i="2" s="1"/>
  <c r="AR12" i="2"/>
  <c r="AQ12" i="2"/>
  <c r="AK190" i="3" s="1"/>
  <c r="T190" i="3" s="1"/>
  <c r="AP12" i="2"/>
  <c r="AB12" i="2" s="1"/>
  <c r="AO12" i="2"/>
  <c r="AN12" i="2"/>
  <c r="AE190" i="3" s="1"/>
  <c r="L190" i="3" s="1"/>
  <c r="AM12" i="2"/>
  <c r="AA12" i="2" s="1"/>
  <c r="AL12" i="2"/>
  <c r="AK12" i="2"/>
  <c r="AD190" i="3" s="1"/>
  <c r="K190" i="3" s="1"/>
  <c r="AJ12" i="2"/>
  <c r="Z12" i="2" s="1"/>
  <c r="AI12" i="2"/>
  <c r="AH12" i="2"/>
  <c r="AE12" i="2"/>
  <c r="X12" i="2"/>
  <c r="W12" i="2"/>
  <c r="V12" i="2"/>
  <c r="U12" i="2"/>
  <c r="J12" i="2"/>
  <c r="BO11" i="2"/>
  <c r="AF120" i="3" s="1"/>
  <c r="M120" i="3" s="1"/>
  <c r="BN11" i="2"/>
  <c r="AH120" i="3" s="1"/>
  <c r="O120" i="3" s="1"/>
  <c r="BM11" i="2"/>
  <c r="AM120" i="3" s="1"/>
  <c r="Q120" i="3" s="1"/>
  <c r="BL11" i="2"/>
  <c r="BK11" i="2"/>
  <c r="AN120" i="3" s="1"/>
  <c r="R120" i="3" s="1"/>
  <c r="BJ11" i="2"/>
  <c r="AF11" i="2" s="1"/>
  <c r="BI11" i="2"/>
  <c r="BH11" i="2"/>
  <c r="BG11" i="2"/>
  <c r="BF11" i="2"/>
  <c r="BD11" i="2"/>
  <c r="AI120" i="3" s="1"/>
  <c r="U120" i="3" s="1"/>
  <c r="BC11" i="2"/>
  <c r="BB11" i="2"/>
  <c r="AD11" i="2" s="1"/>
  <c r="BA11" i="2"/>
  <c r="AZ11" i="2"/>
  <c r="AX11" i="2"/>
  <c r="AW11" i="2"/>
  <c r="AV11" i="2" s="1"/>
  <c r="AU11" i="2"/>
  <c r="AT11" i="2"/>
  <c r="AL120" i="3" s="1"/>
  <c r="S120" i="3" s="1"/>
  <c r="AS11" i="2"/>
  <c r="AR11" i="2"/>
  <c r="AQ11" i="2"/>
  <c r="AK120" i="3" s="1"/>
  <c r="T120" i="3" s="1"/>
  <c r="AP11" i="2"/>
  <c r="AO11" i="2"/>
  <c r="AN11" i="2"/>
  <c r="AE120" i="3" s="1"/>
  <c r="L120" i="3" s="1"/>
  <c r="AM11" i="2"/>
  <c r="AA11" i="2" s="1"/>
  <c r="AL11" i="2"/>
  <c r="AK11" i="2"/>
  <c r="AI11" i="2"/>
  <c r="AH11" i="2"/>
  <c r="AC11" i="2"/>
  <c r="AB11" i="2"/>
  <c r="X11" i="2"/>
  <c r="W11" i="2"/>
  <c r="J11" i="2" s="1"/>
  <c r="V11" i="2"/>
  <c r="U11" i="2"/>
  <c r="BO10" i="2"/>
  <c r="AF128" i="3" s="1"/>
  <c r="M128" i="3" s="1"/>
  <c r="BN10" i="2"/>
  <c r="AH128" i="3" s="1"/>
  <c r="O128" i="3" s="1"/>
  <c r="BM10" i="2"/>
  <c r="AM128" i="3" s="1"/>
  <c r="Q128" i="3" s="1"/>
  <c r="BL10" i="2"/>
  <c r="BK10" i="2"/>
  <c r="AN128" i="3" s="1"/>
  <c r="R128" i="3" s="1"/>
  <c r="BJ10" i="2"/>
  <c r="AF10" i="2" s="1"/>
  <c r="BI10" i="2"/>
  <c r="BH10" i="2" s="1"/>
  <c r="BG10" i="2"/>
  <c r="BF10" i="2"/>
  <c r="AO128" i="3" s="1"/>
  <c r="X128" i="3" s="1"/>
  <c r="BD10" i="2"/>
  <c r="AI128" i="3" s="1"/>
  <c r="U128" i="3" s="1"/>
  <c r="BC10" i="2"/>
  <c r="BB10" i="2"/>
  <c r="BA10" i="2"/>
  <c r="AZ10" i="2"/>
  <c r="AJ128" i="3" s="1"/>
  <c r="W128" i="3" s="1"/>
  <c r="AY10" i="2"/>
  <c r="AX10" i="2"/>
  <c r="AW10" i="2"/>
  <c r="AV10" i="2"/>
  <c r="AU10" i="2"/>
  <c r="AT10" i="2"/>
  <c r="AL128" i="3" s="1"/>
  <c r="S128" i="3" s="1"/>
  <c r="AS10" i="2"/>
  <c r="AC10" i="2" s="1"/>
  <c r="AR10" i="2"/>
  <c r="AQ10" i="2"/>
  <c r="AK128" i="3" s="1"/>
  <c r="T128" i="3" s="1"/>
  <c r="AP10" i="2"/>
  <c r="AB10" i="2" s="1"/>
  <c r="AO10" i="2"/>
  <c r="AN10" i="2"/>
  <c r="AE128" i="3" s="1"/>
  <c r="L128" i="3" s="1"/>
  <c r="AM10" i="2"/>
  <c r="AA10" i="2" s="1"/>
  <c r="AL10" i="2"/>
  <c r="AK10" i="2"/>
  <c r="AI10" i="2"/>
  <c r="AH10" i="2"/>
  <c r="AG128" i="3" s="1"/>
  <c r="N128" i="3" s="1"/>
  <c r="AG10" i="2"/>
  <c r="Y10" i="2" s="1"/>
  <c r="AE10" i="2"/>
  <c r="AD10" i="2"/>
  <c r="X10" i="2"/>
  <c r="W10" i="2"/>
  <c r="J10" i="2" s="1"/>
  <c r="V10" i="2"/>
  <c r="U10" i="2"/>
  <c r="BO9" i="2"/>
  <c r="AF103" i="3" s="1"/>
  <c r="M103" i="3" s="1"/>
  <c r="BN9" i="2"/>
  <c r="AH103" i="3" s="1"/>
  <c r="O103" i="3" s="1"/>
  <c r="BM9" i="2"/>
  <c r="AM103" i="3" s="1"/>
  <c r="Q103" i="3" s="1"/>
  <c r="BL9" i="2"/>
  <c r="BK9" i="2"/>
  <c r="AN103" i="3" s="1"/>
  <c r="R103" i="3" s="1"/>
  <c r="BJ9" i="2"/>
  <c r="AF9" i="2" s="1"/>
  <c r="BI9" i="2"/>
  <c r="BH9" i="2" s="1"/>
  <c r="BG9" i="2"/>
  <c r="BF9" i="2"/>
  <c r="AO103" i="3" s="1"/>
  <c r="X103" i="3" s="1"/>
  <c r="BE9" i="2"/>
  <c r="BD9" i="2"/>
  <c r="AI103" i="3" s="1"/>
  <c r="U103" i="3" s="1"/>
  <c r="BC9" i="2"/>
  <c r="BB9" i="2"/>
  <c r="AD9" i="2" s="1"/>
  <c r="BA9" i="2"/>
  <c r="AZ9" i="2"/>
  <c r="AJ103" i="3" s="1"/>
  <c r="W103" i="3" s="1"/>
  <c r="AY9" i="2"/>
  <c r="AE9" i="2" s="1"/>
  <c r="AX9" i="2"/>
  <c r="AW9" i="2"/>
  <c r="AV9" i="2" s="1"/>
  <c r="AU9" i="2"/>
  <c r="AT9" i="2"/>
  <c r="AL103" i="3" s="1"/>
  <c r="S103" i="3" s="1"/>
  <c r="AS9" i="2"/>
  <c r="AR9" i="2"/>
  <c r="AQ9" i="2"/>
  <c r="AK103" i="3" s="1"/>
  <c r="T103" i="3" s="1"/>
  <c r="AP9" i="2"/>
  <c r="AB9" i="2" s="1"/>
  <c r="AO9" i="2"/>
  <c r="AN9" i="2"/>
  <c r="AE103" i="3" s="1"/>
  <c r="L103" i="3" s="1"/>
  <c r="AM9" i="2"/>
  <c r="AL9" i="2"/>
  <c r="AK9" i="2"/>
  <c r="AD103" i="3" s="1"/>
  <c r="K103" i="3" s="1"/>
  <c r="AJ9" i="2"/>
  <c r="AI9" i="2"/>
  <c r="AH9" i="2"/>
  <c r="AG103" i="3" s="1"/>
  <c r="N103" i="3" s="1"/>
  <c r="AG9" i="2"/>
  <c r="AC9" i="2"/>
  <c r="AA9" i="2"/>
  <c r="Z9" i="2"/>
  <c r="Y9" i="2"/>
  <c r="X9" i="2"/>
  <c r="W9" i="2"/>
  <c r="J9" i="2" s="1"/>
  <c r="V9" i="2"/>
  <c r="U9" i="2"/>
  <c r="BO8" i="2"/>
  <c r="AF88" i="3" s="1"/>
  <c r="M88" i="3" s="1"/>
  <c r="BN8" i="2"/>
  <c r="AH88" i="3" s="1"/>
  <c r="O88" i="3" s="1"/>
  <c r="BM8" i="2"/>
  <c r="AM88" i="3" s="1"/>
  <c r="Q88" i="3" s="1"/>
  <c r="BL8" i="2"/>
  <c r="BK8" i="2"/>
  <c r="AN88" i="3" s="1"/>
  <c r="R88" i="3" s="1"/>
  <c r="BJ8" i="2"/>
  <c r="AF8" i="2" s="1"/>
  <c r="BI8" i="2"/>
  <c r="BH8" i="2" s="1"/>
  <c r="BG8" i="2"/>
  <c r="BF8" i="2"/>
  <c r="BD8" i="2"/>
  <c r="AI88" i="3" s="1"/>
  <c r="U88" i="3" s="1"/>
  <c r="BC8" i="2"/>
  <c r="BB8" i="2"/>
  <c r="AD8" i="2" s="1"/>
  <c r="BA8" i="2"/>
  <c r="AZ8" i="2"/>
  <c r="AJ88" i="3" s="1"/>
  <c r="W88" i="3" s="1"/>
  <c r="AY8" i="2"/>
  <c r="AE8" i="2" s="1"/>
  <c r="AX8" i="2"/>
  <c r="AW8" i="2"/>
  <c r="AV8" i="2" s="1"/>
  <c r="AU8" i="2"/>
  <c r="AT8" i="2"/>
  <c r="AL88" i="3" s="1"/>
  <c r="S88" i="3" s="1"/>
  <c r="AS8" i="2"/>
  <c r="AC8" i="2" s="1"/>
  <c r="AR8" i="2"/>
  <c r="AQ8" i="2"/>
  <c r="AK88" i="3" s="1"/>
  <c r="T88" i="3" s="1"/>
  <c r="AO8" i="2"/>
  <c r="AN8" i="2"/>
  <c r="AE88" i="3" s="1"/>
  <c r="L88" i="3" s="1"/>
  <c r="AM8" i="2"/>
  <c r="AA8" i="2" s="1"/>
  <c r="AL8" i="2"/>
  <c r="AK8" i="2"/>
  <c r="AD88" i="3" s="1"/>
  <c r="K88" i="3" s="1"/>
  <c r="AJ8" i="2"/>
  <c r="Z8" i="2" s="1"/>
  <c r="AI8" i="2"/>
  <c r="AH8" i="2"/>
  <c r="X8" i="2"/>
  <c r="W8" i="2"/>
  <c r="J8" i="2" s="1"/>
  <c r="V8" i="2"/>
  <c r="U8" i="2"/>
  <c r="BO7" i="2"/>
  <c r="AF239" i="3" s="1"/>
  <c r="M239" i="3" s="1"/>
  <c r="BN7" i="2"/>
  <c r="AH239" i="3" s="1"/>
  <c r="O239" i="3" s="1"/>
  <c r="BM7" i="2"/>
  <c r="AM239" i="3" s="1"/>
  <c r="Q239" i="3" s="1"/>
  <c r="BL7" i="2"/>
  <c r="BK7" i="2"/>
  <c r="AN239" i="3" s="1"/>
  <c r="R239" i="3" s="1"/>
  <c r="BJ7" i="2"/>
  <c r="AF7" i="2" s="1"/>
  <c r="BI7" i="2"/>
  <c r="BG7" i="2"/>
  <c r="BF7" i="2"/>
  <c r="AO239" i="3" s="1"/>
  <c r="X239" i="3" s="1"/>
  <c r="BE7" i="2"/>
  <c r="BD7" i="2"/>
  <c r="AI239" i="3" s="1"/>
  <c r="U239" i="3" s="1"/>
  <c r="BC7" i="2"/>
  <c r="BB7" i="2" s="1"/>
  <c r="AD7" i="2" s="1"/>
  <c r="BA7" i="2"/>
  <c r="AZ7" i="2"/>
  <c r="AJ239" i="3" s="1"/>
  <c r="W239" i="3" s="1"/>
  <c r="AX7" i="2"/>
  <c r="AV7" i="2" s="1"/>
  <c r="AW7" i="2"/>
  <c r="AU7" i="2"/>
  <c r="AS7" i="2" s="1"/>
  <c r="AC7" i="2" s="1"/>
  <c r="AT7" i="2"/>
  <c r="AL239" i="3" s="1"/>
  <c r="S239" i="3" s="1"/>
  <c r="AR7" i="2"/>
  <c r="AQ7" i="2"/>
  <c r="AK239" i="3" s="1"/>
  <c r="T239" i="3" s="1"/>
  <c r="AP7" i="2"/>
  <c r="AO7" i="2"/>
  <c r="AM7" i="2" s="1"/>
  <c r="AA7" i="2" s="1"/>
  <c r="AN7" i="2"/>
  <c r="AE239" i="3" s="1"/>
  <c r="L239" i="3" s="1"/>
  <c r="AL7" i="2"/>
  <c r="AK7" i="2"/>
  <c r="AD239" i="3" s="1"/>
  <c r="K239" i="3" s="1"/>
  <c r="AI7" i="2"/>
  <c r="AH7" i="2"/>
  <c r="AG239" i="3" s="1"/>
  <c r="N239" i="3" s="1"/>
  <c r="AG7" i="2"/>
  <c r="AB7" i="2"/>
  <c r="Y7" i="2"/>
  <c r="X7" i="2"/>
  <c r="W7" i="2"/>
  <c r="J7" i="2" s="1"/>
  <c r="V7" i="2"/>
  <c r="U7" i="2"/>
  <c r="BO6" i="2"/>
  <c r="BN6" i="2"/>
  <c r="AH183" i="3" s="1"/>
  <c r="O183" i="3" s="1"/>
  <c r="BM6" i="2"/>
  <c r="AM183" i="3" s="1"/>
  <c r="Q183" i="3" s="1"/>
  <c r="BL6" i="2"/>
  <c r="BK6" i="2"/>
  <c r="AN183" i="3" s="1"/>
  <c r="R183" i="3" s="1"/>
  <c r="BJ6" i="2"/>
  <c r="AF6" i="2" s="1"/>
  <c r="BI6" i="2"/>
  <c r="BH6" i="2" s="1"/>
  <c r="BG6" i="2"/>
  <c r="BF6" i="2"/>
  <c r="AO183" i="3" s="1"/>
  <c r="X183" i="3" s="1"/>
  <c r="BE6" i="2"/>
  <c r="BD6" i="2"/>
  <c r="AI183" i="3" s="1"/>
  <c r="U183" i="3" s="1"/>
  <c r="BC6" i="2"/>
  <c r="BB6" i="2"/>
  <c r="BA6" i="2"/>
  <c r="AZ6" i="2"/>
  <c r="AJ183" i="3" s="1"/>
  <c r="W183" i="3" s="1"/>
  <c r="AY6" i="2"/>
  <c r="AE6" i="2" s="1"/>
  <c r="AX6" i="2"/>
  <c r="AW6" i="2"/>
  <c r="AV6" i="2"/>
  <c r="AU6" i="2"/>
  <c r="AT6" i="2"/>
  <c r="AL183" i="3" s="1"/>
  <c r="S183" i="3" s="1"/>
  <c r="AS6" i="2"/>
  <c r="AR6" i="2"/>
  <c r="AQ6" i="2"/>
  <c r="AK183" i="3" s="1"/>
  <c r="T183" i="3" s="1"/>
  <c r="AP6" i="2"/>
  <c r="AB6" i="2" s="1"/>
  <c r="AO6" i="2"/>
  <c r="AN6" i="2"/>
  <c r="AL6" i="2"/>
  <c r="AK6" i="2"/>
  <c r="AI6" i="2"/>
  <c r="AH6" i="2"/>
  <c r="AG183" i="3" s="1"/>
  <c r="N183" i="3" s="1"/>
  <c r="AG6" i="2"/>
  <c r="AD6" i="2"/>
  <c r="AC6" i="2"/>
  <c r="Y6" i="2"/>
  <c r="X6" i="2"/>
  <c r="W6" i="2"/>
  <c r="V6" i="2"/>
  <c r="U6" i="2"/>
  <c r="J6" i="2"/>
  <c r="BO5" i="2"/>
  <c r="AF247" i="3" s="1"/>
  <c r="M247" i="3" s="1"/>
  <c r="BN5" i="2"/>
  <c r="AH247" i="3" s="1"/>
  <c r="O247" i="3" s="1"/>
  <c r="BM5" i="2"/>
  <c r="AM247" i="3" s="1"/>
  <c r="Q247" i="3" s="1"/>
  <c r="BL5" i="2"/>
  <c r="BH5" i="2" s="1"/>
  <c r="BK5" i="2"/>
  <c r="BI5" i="2"/>
  <c r="BG5" i="2"/>
  <c r="BF5" i="2"/>
  <c r="BD5" i="2"/>
  <c r="AI247" i="3" s="1"/>
  <c r="U247" i="3" s="1"/>
  <c r="BC5" i="2"/>
  <c r="BB5" i="2" s="1"/>
  <c r="AD5" i="2" s="1"/>
  <c r="BA5" i="2"/>
  <c r="AZ5" i="2"/>
  <c r="AJ247" i="3" s="1"/>
  <c r="W247" i="3" s="1"/>
  <c r="AY5" i="2"/>
  <c r="AX5" i="2"/>
  <c r="AW5" i="2"/>
  <c r="AV5" i="2" s="1"/>
  <c r="AU5" i="2"/>
  <c r="AS5" i="2" s="1"/>
  <c r="AC5" i="2" s="1"/>
  <c r="AT5" i="2"/>
  <c r="AL247" i="3" s="1"/>
  <c r="S247" i="3" s="1"/>
  <c r="AR5" i="2"/>
  <c r="AQ5" i="2"/>
  <c r="AK247" i="3" s="1"/>
  <c r="T247" i="3" s="1"/>
  <c r="AP5" i="2"/>
  <c r="AB5" i="2" s="1"/>
  <c r="AO5" i="2"/>
  <c r="AM5" i="2" s="1"/>
  <c r="AA5" i="2" s="1"/>
  <c r="AN5" i="2"/>
  <c r="AE247" i="3" s="1"/>
  <c r="L247" i="3" s="1"/>
  <c r="AL5" i="2"/>
  <c r="AK5" i="2"/>
  <c r="AD247" i="3" s="1"/>
  <c r="K247" i="3" s="1"/>
  <c r="AJ5" i="2"/>
  <c r="AI5" i="2"/>
  <c r="AH5" i="2"/>
  <c r="AG247" i="3" s="1"/>
  <c r="N247" i="3" s="1"/>
  <c r="AG5" i="2"/>
  <c r="Y5" i="2" s="1"/>
  <c r="AE5" i="2"/>
  <c r="Z5" i="2"/>
  <c r="X5" i="2"/>
  <c r="W5" i="2"/>
  <c r="V5" i="2"/>
  <c r="U5" i="2"/>
  <c r="J5" i="2"/>
  <c r="BO4" i="2"/>
  <c r="AF342" i="3" s="1"/>
  <c r="BN4" i="2"/>
  <c r="AH342" i="3" s="1"/>
  <c r="O342" i="3" s="1"/>
  <c r="BM4" i="2"/>
  <c r="AM342" i="3" s="1"/>
  <c r="Q342" i="3" s="1"/>
  <c r="BL4" i="2"/>
  <c r="BK4" i="2"/>
  <c r="BI4" i="2"/>
  <c r="BH4" i="2" s="1"/>
  <c r="BG4" i="2"/>
  <c r="BF4" i="2"/>
  <c r="AO342" i="3" s="1"/>
  <c r="X342" i="3" s="1"/>
  <c r="BE4" i="2"/>
  <c r="BD4" i="2"/>
  <c r="AI342" i="3" s="1"/>
  <c r="U342" i="3" s="1"/>
  <c r="BC4" i="2"/>
  <c r="BB4" i="2"/>
  <c r="BA4" i="2"/>
  <c r="AZ4" i="2"/>
  <c r="AJ342" i="3" s="1"/>
  <c r="W342" i="3" s="1"/>
  <c r="AY4" i="2"/>
  <c r="AX4" i="2"/>
  <c r="AW4" i="2"/>
  <c r="AV4" i="2" s="1"/>
  <c r="AU4" i="2"/>
  <c r="AT4" i="2"/>
  <c r="AL342" i="3" s="1"/>
  <c r="S342" i="3" s="1"/>
  <c r="AS4" i="2"/>
  <c r="AC4" i="2" s="1"/>
  <c r="AR4" i="2"/>
  <c r="AQ4" i="2"/>
  <c r="AK342" i="3" s="1"/>
  <c r="T342" i="3" s="1"/>
  <c r="AP4" i="2"/>
  <c r="AO4" i="2"/>
  <c r="AN4" i="2"/>
  <c r="AE342" i="3" s="1"/>
  <c r="AM4" i="2"/>
  <c r="AA4" i="2" s="1"/>
  <c r="AL4" i="2"/>
  <c r="AK4" i="2"/>
  <c r="AI4" i="2"/>
  <c r="AH4" i="2"/>
  <c r="AG342" i="3" s="1"/>
  <c r="N342" i="3" s="1"/>
  <c r="AG4" i="2"/>
  <c r="Y4" i="2" s="1"/>
  <c r="AE4" i="2"/>
  <c r="AD4" i="2"/>
  <c r="AB4" i="2"/>
  <c r="X4" i="2"/>
  <c r="W4" i="2"/>
  <c r="V4" i="2"/>
  <c r="J4" i="2"/>
  <c r="BO3" i="2"/>
  <c r="AF237" i="3" s="1"/>
  <c r="M237" i="3" s="1"/>
  <c r="BN3" i="2"/>
  <c r="AH237" i="3" s="1"/>
  <c r="O237" i="3" s="1"/>
  <c r="BM3" i="2"/>
  <c r="AM237" i="3" s="1"/>
  <c r="Q237" i="3" s="1"/>
  <c r="BL3" i="2"/>
  <c r="BJ3" i="2" s="1"/>
  <c r="AF3" i="2" s="1"/>
  <c r="BK3" i="2"/>
  <c r="AN237" i="3" s="1"/>
  <c r="R237" i="3" s="1"/>
  <c r="BI3" i="2"/>
  <c r="BH3" i="2"/>
  <c r="BG3" i="2"/>
  <c r="BF3" i="2"/>
  <c r="AO237" i="3" s="1"/>
  <c r="X237" i="3" s="1"/>
  <c r="BE3" i="2"/>
  <c r="BD3" i="2"/>
  <c r="AI237" i="3" s="1"/>
  <c r="U237" i="3" s="1"/>
  <c r="BC3" i="2"/>
  <c r="BB3" i="2"/>
  <c r="AD3" i="2" s="1"/>
  <c r="BA3" i="2"/>
  <c r="AZ3" i="2"/>
  <c r="AJ237" i="3" s="1"/>
  <c r="W237" i="3" s="1"/>
  <c r="AY3" i="2"/>
  <c r="AE3" i="2" s="1"/>
  <c r="AX3" i="2"/>
  <c r="AW3" i="2"/>
  <c r="AV3" i="2" s="1"/>
  <c r="AU3" i="2"/>
  <c r="AT3" i="2"/>
  <c r="AL237" i="3" s="1"/>
  <c r="S237" i="3" s="1"/>
  <c r="AS3" i="2"/>
  <c r="AC3" i="2" s="1"/>
  <c r="AR3" i="2"/>
  <c r="AQ3" i="2"/>
  <c r="AK237" i="3" s="1"/>
  <c r="T237" i="3" s="1"/>
  <c r="AP3" i="2"/>
  <c r="AO3" i="2"/>
  <c r="AN3" i="2"/>
  <c r="AL3" i="2"/>
  <c r="AK3" i="2"/>
  <c r="AI3" i="2"/>
  <c r="AH3" i="2"/>
  <c r="AB3" i="2"/>
  <c r="X3" i="2"/>
  <c r="W3" i="2"/>
  <c r="V3" i="2"/>
  <c r="U3" i="2" s="1"/>
  <c r="J3" i="2"/>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F424" i="1"/>
  <c r="AE424" i="1"/>
  <c r="AF423" i="1"/>
  <c r="AE423" i="1"/>
  <c r="AF422" i="1"/>
  <c r="AE422" i="1"/>
  <c r="AF421" i="1"/>
  <c r="AE421" i="1"/>
  <c r="AF420" i="1"/>
  <c r="AE420" i="1"/>
  <c r="AF419" i="1"/>
  <c r="AE419" i="1"/>
  <c r="AF418" i="1"/>
  <c r="AE418" i="1"/>
  <c r="AF417" i="1"/>
  <c r="AE417" i="1"/>
  <c r="AF416" i="1"/>
  <c r="AE416" i="1"/>
  <c r="AF415" i="1"/>
  <c r="AE415" i="1"/>
  <c r="AF414" i="1"/>
  <c r="AE414" i="1"/>
  <c r="AF413" i="1"/>
  <c r="AE413" i="1"/>
  <c r="AF412" i="1"/>
  <c r="AE412" i="1"/>
  <c r="AF411" i="1"/>
  <c r="AE411" i="1"/>
  <c r="AF410" i="1"/>
  <c r="AE410" i="1"/>
  <c r="AF409" i="1"/>
  <c r="AE409" i="1"/>
  <c r="AF408" i="1"/>
  <c r="AE408" i="1"/>
  <c r="AF407" i="1"/>
  <c r="AE407" i="1"/>
  <c r="AF406" i="1"/>
  <c r="AE406" i="1"/>
  <c r="AF405" i="1"/>
  <c r="AE405" i="1"/>
  <c r="AF404" i="1"/>
  <c r="AE404" i="1"/>
  <c r="AF403" i="1"/>
  <c r="AE403" i="1"/>
  <c r="AF402" i="1"/>
  <c r="AE402" i="1"/>
  <c r="AF401" i="1"/>
  <c r="AE401" i="1"/>
  <c r="AF400" i="1"/>
  <c r="AE400" i="1"/>
  <c r="AF399" i="1"/>
  <c r="AE399" i="1"/>
  <c r="AF398" i="1"/>
  <c r="AE398" i="1"/>
  <c r="AF397" i="1"/>
  <c r="AE397" i="1"/>
  <c r="AF396" i="1"/>
  <c r="AE396" i="1"/>
  <c r="AF395" i="1"/>
  <c r="AE395" i="1"/>
  <c r="AF394" i="1"/>
  <c r="AE394" i="1"/>
  <c r="AF393" i="1"/>
  <c r="AE393" i="1"/>
  <c r="AF392" i="1"/>
  <c r="AE392" i="1"/>
  <c r="AF391" i="1"/>
  <c r="AE391" i="1"/>
  <c r="AF390" i="1"/>
  <c r="AE390" i="1"/>
  <c r="AF389" i="1"/>
  <c r="AE389" i="1"/>
  <c r="AF388" i="1"/>
  <c r="AE388" i="1"/>
  <c r="AF387" i="1"/>
  <c r="AE387" i="1"/>
  <c r="AF386" i="1"/>
  <c r="AE386" i="1"/>
  <c r="AF385" i="1"/>
  <c r="AE385" i="1"/>
  <c r="AF384" i="1"/>
  <c r="AE384" i="1"/>
  <c r="AF383" i="1"/>
  <c r="AE383" i="1"/>
  <c r="AF382" i="1"/>
  <c r="AE382" i="1"/>
  <c r="AF381" i="1"/>
  <c r="AE381" i="1"/>
  <c r="AF380" i="1"/>
  <c r="AE380" i="1"/>
  <c r="AF379" i="1"/>
  <c r="AE379" i="1"/>
  <c r="AF378" i="1"/>
  <c r="AE378" i="1"/>
  <c r="AF377" i="1"/>
  <c r="AE377" i="1"/>
  <c r="AF376" i="1"/>
  <c r="AE376" i="1"/>
  <c r="AF375" i="1"/>
  <c r="AE375" i="1"/>
  <c r="AF374" i="1"/>
  <c r="AE374" i="1"/>
  <c r="AF373" i="1"/>
  <c r="AE373" i="1"/>
  <c r="AF372" i="1"/>
  <c r="AE372" i="1"/>
  <c r="AF371" i="1"/>
  <c r="AE371" i="1"/>
  <c r="AF370" i="1"/>
  <c r="AE370" i="1"/>
  <c r="AF369" i="1"/>
  <c r="AE369" i="1"/>
  <c r="AF368" i="1"/>
  <c r="AE368" i="1"/>
  <c r="AF367" i="1"/>
  <c r="AE367" i="1"/>
  <c r="AF366" i="1"/>
  <c r="AE366" i="1"/>
  <c r="AF365" i="1"/>
  <c r="AE365" i="1"/>
  <c r="AF364" i="1"/>
  <c r="AE364" i="1"/>
  <c r="AF363" i="1"/>
  <c r="AE363" i="1"/>
  <c r="AF362" i="1"/>
  <c r="AE362" i="1"/>
  <c r="AF361" i="1"/>
  <c r="AE361" i="1"/>
  <c r="AF360" i="1"/>
  <c r="AE360" i="1"/>
  <c r="AF359" i="1"/>
  <c r="AE359" i="1"/>
  <c r="AF358" i="1"/>
  <c r="AE358" i="1"/>
  <c r="AF357" i="1"/>
  <c r="AE357" i="1"/>
  <c r="AF356" i="1"/>
  <c r="AE356" i="1"/>
  <c r="AF355" i="1"/>
  <c r="AE355" i="1"/>
  <c r="AF354" i="1"/>
  <c r="AE354" i="1"/>
  <c r="AF353" i="1"/>
  <c r="AE353" i="1"/>
  <c r="AF352" i="1"/>
  <c r="AE352" i="1"/>
  <c r="AF351" i="1"/>
  <c r="AE351" i="1"/>
  <c r="AF350" i="1"/>
  <c r="AE350" i="1"/>
  <c r="AF349" i="1"/>
  <c r="AE349" i="1"/>
  <c r="AF348" i="1"/>
  <c r="AE348" i="1"/>
  <c r="AF347" i="1"/>
  <c r="AE347" i="1"/>
  <c r="AF346" i="1"/>
  <c r="AE346" i="1"/>
  <c r="AF345" i="1"/>
  <c r="AE345" i="1"/>
  <c r="AF344" i="1"/>
  <c r="AE344" i="1"/>
  <c r="AC344" i="1"/>
  <c r="AF343" i="1"/>
  <c r="AE343" i="1"/>
  <c r="AC343" i="1"/>
  <c r="AF342" i="1"/>
  <c r="AE342" i="1"/>
  <c r="AC342" i="1"/>
  <c r="AF341" i="1"/>
  <c r="AE341" i="1"/>
  <c r="AC341" i="1"/>
  <c r="AF340" i="1"/>
  <c r="AE340" i="1"/>
  <c r="AC340" i="1"/>
  <c r="AF339" i="1"/>
  <c r="AE339" i="1"/>
  <c r="AC339" i="1"/>
  <c r="AF338" i="1"/>
  <c r="AE338" i="1"/>
  <c r="AC338" i="1"/>
  <c r="AF337" i="1"/>
  <c r="AE337" i="1"/>
  <c r="AC337" i="1"/>
  <c r="AF336" i="1"/>
  <c r="AE336" i="1"/>
  <c r="AC336" i="1"/>
  <c r="AF335" i="1"/>
  <c r="AE335" i="1"/>
  <c r="AC335" i="1"/>
  <c r="AF334" i="1"/>
  <c r="AE334" i="1"/>
  <c r="AC334" i="1"/>
  <c r="AF333" i="1"/>
  <c r="AE333" i="1"/>
  <c r="AC333" i="1"/>
  <c r="AF332" i="1"/>
  <c r="AE332" i="1"/>
  <c r="AC332" i="1"/>
  <c r="AF331" i="1"/>
  <c r="AE331" i="1"/>
  <c r="AC331" i="1"/>
  <c r="AF330" i="1"/>
  <c r="AE330" i="1"/>
  <c r="AC330" i="1"/>
  <c r="AF329" i="1"/>
  <c r="AE329" i="1"/>
  <c r="AC329" i="1"/>
  <c r="AF328" i="1"/>
  <c r="AE328" i="1"/>
  <c r="AC328" i="1"/>
  <c r="AF327" i="1"/>
  <c r="AE327" i="1"/>
  <c r="AC327" i="1"/>
  <c r="AF326" i="1"/>
  <c r="AE326" i="1"/>
  <c r="AC326" i="1"/>
  <c r="AF325" i="1"/>
  <c r="AE325" i="1"/>
  <c r="AC325" i="1"/>
  <c r="AF324" i="1"/>
  <c r="AE324" i="1"/>
  <c r="AC324" i="1"/>
  <c r="AF323" i="1"/>
  <c r="AE323" i="1"/>
  <c r="AC323" i="1"/>
  <c r="AF322" i="1"/>
  <c r="AE322" i="1"/>
  <c r="AC322" i="1"/>
  <c r="AF321" i="1"/>
  <c r="AE321" i="1"/>
  <c r="AC321" i="1"/>
  <c r="AF320" i="1"/>
  <c r="AE320" i="1"/>
  <c r="AC320" i="1"/>
  <c r="AF319" i="1"/>
  <c r="AE319" i="1"/>
  <c r="AC319" i="1"/>
  <c r="AF318" i="1"/>
  <c r="AE318" i="1"/>
  <c r="AC318" i="1"/>
  <c r="AF317" i="1"/>
  <c r="AE317" i="1"/>
  <c r="AC317" i="1"/>
  <c r="AF316" i="1"/>
  <c r="AE316" i="1"/>
  <c r="AC316" i="1"/>
  <c r="AF315" i="1"/>
  <c r="AE315" i="1"/>
  <c r="AC315" i="1"/>
  <c r="AF314" i="1"/>
  <c r="AE314" i="1"/>
  <c r="AC314" i="1"/>
  <c r="AF313" i="1"/>
  <c r="AE313" i="1"/>
  <c r="AC313" i="1"/>
  <c r="AF312" i="1"/>
  <c r="AE312" i="1"/>
  <c r="AC312" i="1"/>
  <c r="AF311" i="1"/>
  <c r="AE311" i="1"/>
  <c r="AC311" i="1"/>
  <c r="AF310" i="1"/>
  <c r="AE310" i="1"/>
  <c r="AC310" i="1"/>
  <c r="AF309" i="1"/>
  <c r="AE309" i="1"/>
  <c r="AC309" i="1"/>
  <c r="AF308" i="1"/>
  <c r="AE308" i="1"/>
  <c r="AC308" i="1"/>
  <c r="AF307" i="1"/>
  <c r="AE307" i="1"/>
  <c r="AC307" i="1"/>
  <c r="AF306" i="1"/>
  <c r="AE306" i="1"/>
  <c r="AC306" i="1"/>
  <c r="AF305" i="1"/>
  <c r="AE305" i="1"/>
  <c r="AC305" i="1"/>
  <c r="AF304" i="1"/>
  <c r="AE304" i="1"/>
  <c r="AC304" i="1"/>
  <c r="AF303" i="1"/>
  <c r="AE303" i="1"/>
  <c r="AC303" i="1"/>
  <c r="AF302" i="1"/>
  <c r="AE302" i="1"/>
  <c r="AC302" i="1"/>
  <c r="AF301" i="1"/>
  <c r="AE301" i="1"/>
  <c r="AC301" i="1"/>
  <c r="AF300" i="1"/>
  <c r="AE300" i="1"/>
  <c r="AC300" i="1"/>
  <c r="AF299" i="1"/>
  <c r="AE299" i="1"/>
  <c r="AC299" i="1"/>
  <c r="AF298" i="1"/>
  <c r="AE298" i="1"/>
  <c r="AC298" i="1"/>
  <c r="AF297" i="1"/>
  <c r="AE297" i="1"/>
  <c r="AC297" i="1"/>
  <c r="AF296" i="1"/>
  <c r="AE296" i="1"/>
  <c r="AC296" i="1"/>
  <c r="AF295" i="1"/>
  <c r="AE295" i="1"/>
  <c r="AC295" i="1"/>
  <c r="AF294" i="1"/>
  <c r="AE294" i="1"/>
  <c r="AC294" i="1"/>
  <c r="AF293" i="1"/>
  <c r="AE293" i="1"/>
  <c r="AC293" i="1"/>
  <c r="AF292" i="1"/>
  <c r="AE292" i="1"/>
  <c r="AC292" i="1"/>
  <c r="AF291" i="1"/>
  <c r="AE291" i="1"/>
  <c r="AC291" i="1"/>
  <c r="AF290" i="1"/>
  <c r="AE290" i="1"/>
  <c r="AC290" i="1"/>
  <c r="AF289" i="1"/>
  <c r="AE289" i="1"/>
  <c r="AC289" i="1"/>
  <c r="AF288" i="1"/>
  <c r="AE288" i="1"/>
  <c r="AC288" i="1"/>
  <c r="AF287" i="1"/>
  <c r="AE287" i="1"/>
  <c r="AC287" i="1"/>
  <c r="AF286" i="1"/>
  <c r="AE286" i="1"/>
  <c r="AC286" i="1"/>
  <c r="AF285" i="1"/>
  <c r="AE285" i="1"/>
  <c r="AC285" i="1"/>
  <c r="AF284" i="1"/>
  <c r="AE284" i="1"/>
  <c r="AC284" i="1"/>
  <c r="AF283" i="1"/>
  <c r="AE283" i="1"/>
  <c r="AC283" i="1"/>
  <c r="AF282" i="1"/>
  <c r="AE282" i="1"/>
  <c r="AC282" i="1"/>
  <c r="AF281" i="1"/>
  <c r="AE281" i="1"/>
  <c r="AC281" i="1"/>
  <c r="AF280" i="1"/>
  <c r="AE280" i="1"/>
  <c r="AC280" i="1"/>
  <c r="AF279" i="1"/>
  <c r="AE279" i="1"/>
  <c r="AC279" i="1"/>
  <c r="AF278" i="1"/>
  <c r="AE278" i="1"/>
  <c r="AC278" i="1"/>
  <c r="AF277" i="1"/>
  <c r="AE277" i="1"/>
  <c r="AC277" i="1"/>
  <c r="AF276" i="1"/>
  <c r="AE276" i="1"/>
  <c r="AC276" i="1"/>
  <c r="AF275" i="1"/>
  <c r="AE275" i="1"/>
  <c r="AC275" i="1"/>
  <c r="AF274" i="1"/>
  <c r="AE274" i="1"/>
  <c r="AC274" i="1"/>
  <c r="AF273" i="1"/>
  <c r="AE273" i="1"/>
  <c r="AC273" i="1"/>
  <c r="AF272" i="1"/>
  <c r="AE272" i="1"/>
  <c r="AC272" i="1"/>
  <c r="AF271" i="1"/>
  <c r="AE271" i="1"/>
  <c r="AC271" i="1"/>
  <c r="AF270" i="1"/>
  <c r="AE270" i="1"/>
  <c r="AC270" i="1"/>
  <c r="AF269" i="1"/>
  <c r="AE269" i="1"/>
  <c r="AC269" i="1"/>
  <c r="AF268" i="1"/>
  <c r="AE268" i="1"/>
  <c r="AC268" i="1"/>
  <c r="AF267" i="1"/>
  <c r="AE267" i="1"/>
  <c r="AC267" i="1"/>
  <c r="AF266" i="1"/>
  <c r="AE266" i="1"/>
  <c r="AC266" i="1"/>
  <c r="AF265" i="1"/>
  <c r="AE265" i="1"/>
  <c r="AC265" i="1"/>
  <c r="AF264" i="1"/>
  <c r="AE264" i="1"/>
  <c r="AC264" i="1"/>
  <c r="AF263" i="1"/>
  <c r="AE263" i="1"/>
  <c r="AC263" i="1"/>
  <c r="AF262" i="1"/>
  <c r="AE262" i="1"/>
  <c r="AC262" i="1"/>
  <c r="AF261" i="1"/>
  <c r="AE261" i="1"/>
  <c r="AC261" i="1"/>
  <c r="AF260" i="1"/>
  <c r="AE260" i="1"/>
  <c r="AC260" i="1"/>
  <c r="AF259" i="1"/>
  <c r="AE259" i="1"/>
  <c r="AC259" i="1"/>
  <c r="AF258" i="1"/>
  <c r="AE258" i="1"/>
  <c r="AC258" i="1"/>
  <c r="AF257" i="1"/>
  <c r="AE257" i="1"/>
  <c r="AC257" i="1"/>
  <c r="AF256" i="1"/>
  <c r="AE256" i="1"/>
  <c r="AC256" i="1"/>
  <c r="AF255" i="1"/>
  <c r="AE255" i="1"/>
  <c r="AC255" i="1"/>
  <c r="AF254" i="1"/>
  <c r="AE254" i="1"/>
  <c r="AC254" i="1"/>
  <c r="AF253" i="1"/>
  <c r="AE253" i="1"/>
  <c r="AC253" i="1"/>
  <c r="AF252" i="1"/>
  <c r="AE252" i="1"/>
  <c r="AC252" i="1"/>
  <c r="AF251" i="1"/>
  <c r="AE251" i="1"/>
  <c r="AC251" i="1"/>
  <c r="AF250" i="1"/>
  <c r="AE250" i="1"/>
  <c r="AC250" i="1"/>
  <c r="AF249" i="1"/>
  <c r="AE249" i="1"/>
  <c r="AC249" i="1"/>
  <c r="AF248" i="1"/>
  <c r="AE248" i="1"/>
  <c r="AC248" i="1"/>
  <c r="AF247" i="1"/>
  <c r="AE247" i="1"/>
  <c r="AC247" i="1"/>
  <c r="AF246" i="1"/>
  <c r="AE246" i="1"/>
  <c r="AC246" i="1"/>
  <c r="AF245" i="1"/>
  <c r="AE245" i="1"/>
  <c r="AC245" i="1"/>
  <c r="AF244" i="1"/>
  <c r="AE244" i="1"/>
  <c r="AC244" i="1"/>
  <c r="AF243" i="1"/>
  <c r="AE243" i="1"/>
  <c r="AC243" i="1"/>
  <c r="AF242" i="1"/>
  <c r="AE242" i="1"/>
  <c r="AC242" i="1"/>
  <c r="AF241" i="1"/>
  <c r="AE241" i="1"/>
  <c r="AC241" i="1"/>
  <c r="AF240" i="1"/>
  <c r="AE240" i="1"/>
  <c r="AC240" i="1"/>
  <c r="AF239" i="1"/>
  <c r="AE239" i="1"/>
  <c r="AC239" i="1"/>
  <c r="AF238" i="1"/>
  <c r="AE238" i="1"/>
  <c r="AC238" i="1"/>
  <c r="AF237" i="1"/>
  <c r="AE237" i="1"/>
  <c r="AC237" i="1"/>
  <c r="AF236" i="1"/>
  <c r="AE236" i="1"/>
  <c r="AC236" i="1"/>
  <c r="AF235" i="1"/>
  <c r="AE235" i="1"/>
  <c r="AC235" i="1"/>
  <c r="AF234" i="1"/>
  <c r="AE234" i="1"/>
  <c r="AC234" i="1"/>
  <c r="AF233" i="1"/>
  <c r="AE233" i="1"/>
  <c r="AC233" i="1"/>
  <c r="AF232" i="1"/>
  <c r="AE232" i="1"/>
  <c r="AC232" i="1"/>
  <c r="AF231" i="1"/>
  <c r="AE231" i="1"/>
  <c r="AC231" i="1"/>
  <c r="AF230" i="1"/>
  <c r="AE230" i="1"/>
  <c r="AC230" i="1"/>
  <c r="AF229" i="1"/>
  <c r="AE229" i="1"/>
  <c r="AC229" i="1"/>
  <c r="AF228" i="1"/>
  <c r="AE228" i="1"/>
  <c r="AC228" i="1"/>
  <c r="AF227" i="1"/>
  <c r="AE227" i="1"/>
  <c r="AC227" i="1"/>
  <c r="AF226" i="1"/>
  <c r="AE226" i="1"/>
  <c r="AC226" i="1"/>
  <c r="AF225" i="1"/>
  <c r="AE225" i="1"/>
  <c r="AC225" i="1"/>
  <c r="AF224" i="1"/>
  <c r="AE224" i="1"/>
  <c r="AC224" i="1"/>
  <c r="AF223" i="1"/>
  <c r="AE223" i="1"/>
  <c r="AC223" i="1"/>
  <c r="AF222" i="1"/>
  <c r="AE222" i="1"/>
  <c r="AC222" i="1"/>
  <c r="AF221" i="1"/>
  <c r="AE221" i="1"/>
  <c r="AC221" i="1"/>
  <c r="AF220" i="1"/>
  <c r="AE220" i="1"/>
  <c r="AC220" i="1"/>
  <c r="AF219" i="1"/>
  <c r="AE219" i="1"/>
  <c r="AC219" i="1"/>
  <c r="AF218" i="1"/>
  <c r="AE218" i="1"/>
  <c r="AC218" i="1"/>
  <c r="AF217" i="1"/>
  <c r="AE217" i="1"/>
  <c r="AC217" i="1"/>
  <c r="AF216" i="1"/>
  <c r="AE216" i="1"/>
  <c r="AC216" i="1"/>
  <c r="AF215" i="1"/>
  <c r="AE215" i="1"/>
  <c r="AC215" i="1"/>
  <c r="AF214" i="1"/>
  <c r="AE214" i="1"/>
  <c r="AC214" i="1"/>
  <c r="AF213" i="1"/>
  <c r="AE213" i="1"/>
  <c r="AC213" i="1"/>
  <c r="AF212" i="1"/>
  <c r="AE212" i="1"/>
  <c r="AC212" i="1"/>
  <c r="AF211" i="1"/>
  <c r="AE211" i="1"/>
  <c r="AC211" i="1"/>
  <c r="AF210" i="1"/>
  <c r="AE210" i="1"/>
  <c r="AC210" i="1"/>
  <c r="AF209" i="1"/>
  <c r="AE209" i="1"/>
  <c r="AC209" i="1"/>
  <c r="AF208" i="1"/>
  <c r="AE208" i="1"/>
  <c r="AC208" i="1"/>
  <c r="AF207" i="1"/>
  <c r="AE207" i="1"/>
  <c r="AC207" i="1"/>
  <c r="AF206" i="1"/>
  <c r="AE206" i="1"/>
  <c r="AC206" i="1"/>
  <c r="AF205" i="1"/>
  <c r="AE205" i="1"/>
  <c r="AC205" i="1"/>
  <c r="AF204" i="1"/>
  <c r="AE204" i="1"/>
  <c r="AC204" i="1"/>
  <c r="AF203" i="1"/>
  <c r="AE203" i="1"/>
  <c r="AC203" i="1"/>
  <c r="AF202" i="1"/>
  <c r="AE202" i="1"/>
  <c r="AC202" i="1"/>
  <c r="AF201" i="1"/>
  <c r="AE201" i="1"/>
  <c r="AC201" i="1"/>
  <c r="AF200" i="1"/>
  <c r="AE200" i="1"/>
  <c r="AC200" i="1"/>
  <c r="AF199" i="1"/>
  <c r="AE199" i="1"/>
  <c r="AC199" i="1"/>
  <c r="AF198" i="1"/>
  <c r="AE198" i="1"/>
  <c r="AC198" i="1"/>
  <c r="AF197" i="1"/>
  <c r="AE197" i="1"/>
  <c r="AC197" i="1"/>
  <c r="AF196" i="1"/>
  <c r="AE196" i="1"/>
  <c r="AC196" i="1"/>
  <c r="AF195" i="1"/>
  <c r="AE195" i="1"/>
  <c r="AC195" i="1"/>
  <c r="AF194" i="1"/>
  <c r="AE194" i="1"/>
  <c r="AC194" i="1"/>
  <c r="AF193" i="1"/>
  <c r="AE193" i="1"/>
  <c r="AC193" i="1"/>
  <c r="AF192" i="1"/>
  <c r="AE192" i="1"/>
  <c r="AC192" i="1"/>
  <c r="AF191" i="1"/>
  <c r="AE191" i="1"/>
  <c r="AC191" i="1"/>
  <c r="AF190" i="1"/>
  <c r="AE190" i="1"/>
  <c r="AC190" i="1"/>
  <c r="AF189" i="1"/>
  <c r="AE189" i="1"/>
  <c r="AC189" i="1"/>
  <c r="AF188" i="1"/>
  <c r="AE188" i="1"/>
  <c r="AC188" i="1"/>
  <c r="AF187" i="1"/>
  <c r="AE187" i="1"/>
  <c r="AC187" i="1"/>
  <c r="AF186" i="1"/>
  <c r="AE186" i="1"/>
  <c r="AC186" i="1"/>
  <c r="AF185" i="1"/>
  <c r="AE185" i="1"/>
  <c r="AC185" i="1"/>
  <c r="AF184" i="1"/>
  <c r="AE184" i="1"/>
  <c r="AC184" i="1"/>
  <c r="AF183" i="1"/>
  <c r="AE183" i="1"/>
  <c r="AC183" i="1"/>
  <c r="AF182" i="1"/>
  <c r="AE182" i="1"/>
  <c r="AC182" i="1"/>
  <c r="AF181" i="1"/>
  <c r="AE181" i="1"/>
  <c r="AC181" i="1"/>
  <c r="AF180" i="1"/>
  <c r="AE180" i="1"/>
  <c r="AC180" i="1"/>
  <c r="AF179" i="1"/>
  <c r="AE179" i="1"/>
  <c r="AC179" i="1"/>
  <c r="AF178" i="1"/>
  <c r="AE178" i="1"/>
  <c r="AC178" i="1"/>
  <c r="AF177" i="1"/>
  <c r="AE177" i="1"/>
  <c r="AC177" i="1"/>
  <c r="AF176" i="1"/>
  <c r="AE176" i="1"/>
  <c r="AC176" i="1"/>
  <c r="AF175" i="1"/>
  <c r="AE175" i="1"/>
  <c r="AC175" i="1"/>
  <c r="AG174" i="1"/>
  <c r="AF174" i="1"/>
  <c r="AE174" i="1"/>
  <c r="AC174" i="1"/>
  <c r="AF173" i="1"/>
  <c r="AE173" i="1"/>
  <c r="AC173" i="1"/>
  <c r="AF172" i="1"/>
  <c r="AE172" i="1"/>
  <c r="AC172" i="1"/>
  <c r="AF171" i="1"/>
  <c r="AE171" i="1"/>
  <c r="AC171" i="1"/>
  <c r="AF170" i="1"/>
  <c r="AE170" i="1"/>
  <c r="AC170" i="1"/>
  <c r="AF169" i="1"/>
  <c r="AE169" i="1"/>
  <c r="AC169" i="1"/>
  <c r="AF168" i="1"/>
  <c r="AE168" i="1"/>
  <c r="AC168" i="1"/>
  <c r="AF167" i="1"/>
  <c r="AE167" i="1"/>
  <c r="AC167" i="1"/>
  <c r="AF166" i="1"/>
  <c r="AE166" i="1"/>
  <c r="AC166" i="1"/>
  <c r="AF165" i="1"/>
  <c r="AE165" i="1"/>
  <c r="AC165" i="1"/>
  <c r="AF164" i="1"/>
  <c r="AE164" i="1"/>
  <c r="AC164" i="1"/>
  <c r="AF163" i="1"/>
  <c r="AE163" i="1"/>
  <c r="AC163" i="1"/>
  <c r="AF162" i="1"/>
  <c r="AE162" i="1"/>
  <c r="AC162" i="1"/>
  <c r="AF161" i="1"/>
  <c r="AE161" i="1"/>
  <c r="AC161" i="1"/>
  <c r="AF160" i="1"/>
  <c r="AE160" i="1"/>
  <c r="AC160" i="1"/>
  <c r="AF159" i="1"/>
  <c r="AE159" i="1"/>
  <c r="AC159" i="1"/>
  <c r="AF158" i="1"/>
  <c r="AE158" i="1"/>
  <c r="AC158" i="1"/>
  <c r="AE157" i="1"/>
  <c r="AC157" i="1"/>
  <c r="Y157" i="1"/>
  <c r="AF157" i="1" s="1"/>
  <c r="AE156" i="1"/>
  <c r="AC156" i="1"/>
  <c r="Y156" i="1"/>
  <c r="AF156" i="1" s="1"/>
  <c r="AE155" i="1"/>
  <c r="AC155" i="1"/>
  <c r="Y155" i="1"/>
  <c r="AF155" i="1" s="1"/>
  <c r="AE154" i="1"/>
  <c r="AC154" i="1"/>
  <c r="Y154" i="1"/>
  <c r="AF154" i="1" s="1"/>
  <c r="AE153" i="1"/>
  <c r="AC153" i="1"/>
  <c r="Y153" i="1"/>
  <c r="AF153" i="1" s="1"/>
  <c r="AE152" i="1"/>
  <c r="AC152" i="1"/>
  <c r="Y152" i="1"/>
  <c r="AF152" i="1" s="1"/>
  <c r="AE151" i="1"/>
  <c r="AC151" i="1"/>
  <c r="Y151" i="1"/>
  <c r="AF151" i="1" s="1"/>
  <c r="AE150" i="1"/>
  <c r="AC150" i="1"/>
  <c r="Y150" i="1"/>
  <c r="AF150" i="1" s="1"/>
  <c r="AE149" i="1"/>
  <c r="AC149" i="1"/>
  <c r="Y149" i="1"/>
  <c r="AF149" i="1" s="1"/>
  <c r="AE148" i="1"/>
  <c r="AC148" i="1"/>
  <c r="Y148" i="1"/>
  <c r="AF148" i="1" s="1"/>
  <c r="AE147" i="1"/>
  <c r="AC147" i="1"/>
  <c r="Y147" i="1"/>
  <c r="AF147" i="1" s="1"/>
  <c r="AE146" i="1"/>
  <c r="AC146" i="1"/>
  <c r="Y146" i="1"/>
  <c r="AF146" i="1" s="1"/>
  <c r="AE145" i="1"/>
  <c r="AC145" i="1"/>
  <c r="Y145" i="1"/>
  <c r="AF145" i="1" s="1"/>
  <c r="AE144" i="1"/>
  <c r="AC144" i="1"/>
  <c r="Y144" i="1"/>
  <c r="AF144" i="1" s="1"/>
  <c r="AE143" i="1"/>
  <c r="AC143" i="1"/>
  <c r="Y143" i="1"/>
  <c r="AF143" i="1" s="1"/>
  <c r="AE142" i="1"/>
  <c r="AC142" i="1"/>
  <c r="Y142" i="1"/>
  <c r="AF142" i="1" s="1"/>
  <c r="AE141" i="1"/>
  <c r="AC141" i="1"/>
  <c r="Y141" i="1"/>
  <c r="AF141" i="1" s="1"/>
  <c r="AE140" i="1"/>
  <c r="AC140" i="1"/>
  <c r="Y140" i="1"/>
  <c r="AF140" i="1" s="1"/>
  <c r="AE139" i="1"/>
  <c r="AC139" i="1"/>
  <c r="Y139" i="1"/>
  <c r="AF139" i="1" s="1"/>
  <c r="AE138" i="1"/>
  <c r="AC138" i="1"/>
  <c r="Y138" i="1"/>
  <c r="AF138" i="1" s="1"/>
  <c r="AE137" i="1"/>
  <c r="AC137" i="1"/>
  <c r="Y137" i="1"/>
  <c r="AF137" i="1" s="1"/>
  <c r="AE136" i="1"/>
  <c r="AC136" i="1"/>
  <c r="Y136" i="1"/>
  <c r="AF136" i="1" s="1"/>
  <c r="AE135" i="1"/>
  <c r="AC135" i="1"/>
  <c r="Y135" i="1"/>
  <c r="AF135" i="1" s="1"/>
  <c r="AE134" i="1"/>
  <c r="AC134" i="1"/>
  <c r="Y134" i="1"/>
  <c r="AF134" i="1" s="1"/>
  <c r="AE133" i="1"/>
  <c r="AC133" i="1"/>
  <c r="Y133" i="1"/>
  <c r="AF133" i="1" s="1"/>
  <c r="AE132" i="1"/>
  <c r="AC132" i="1"/>
  <c r="Y132" i="1"/>
  <c r="AF132" i="1" s="1"/>
  <c r="AE131" i="1"/>
  <c r="AC131" i="1"/>
  <c r="Y131" i="1"/>
  <c r="AF131" i="1" s="1"/>
  <c r="AE130" i="1"/>
  <c r="AC130" i="1"/>
  <c r="Y130" i="1"/>
  <c r="AF130" i="1" s="1"/>
  <c r="AE129" i="1"/>
  <c r="AC129" i="1"/>
  <c r="Y129" i="1"/>
  <c r="AF129" i="1" s="1"/>
  <c r="AE128" i="1"/>
  <c r="AC128" i="1"/>
  <c r="Y128" i="1"/>
  <c r="AF128" i="1" s="1"/>
  <c r="AE127" i="1"/>
  <c r="AC127" i="1"/>
  <c r="Y127" i="1"/>
  <c r="AF127" i="1" s="1"/>
  <c r="AE126" i="1"/>
  <c r="AC126" i="1"/>
  <c r="Y126" i="1"/>
  <c r="AF126" i="1" s="1"/>
  <c r="AE125" i="1"/>
  <c r="AC125" i="1"/>
  <c r="Y125" i="1"/>
  <c r="AF125" i="1" s="1"/>
  <c r="AE124" i="1"/>
  <c r="AC124" i="1"/>
  <c r="Y124" i="1"/>
  <c r="AF124" i="1" s="1"/>
  <c r="AE123" i="1"/>
  <c r="AC123" i="1"/>
  <c r="Y123" i="1"/>
  <c r="AF123" i="1" s="1"/>
  <c r="AE122" i="1"/>
  <c r="AC122" i="1"/>
  <c r="Y122" i="1"/>
  <c r="AF122" i="1" s="1"/>
  <c r="AE121" i="1"/>
  <c r="AC121" i="1"/>
  <c r="Y121" i="1"/>
  <c r="AF121" i="1" s="1"/>
  <c r="AE120" i="1"/>
  <c r="AC120" i="1"/>
  <c r="Y120" i="1"/>
  <c r="AF120" i="1" s="1"/>
  <c r="AE119" i="1"/>
  <c r="AC119" i="1"/>
  <c r="Y119" i="1"/>
  <c r="AF119" i="1" s="1"/>
  <c r="AE118" i="1"/>
  <c r="AC118" i="1"/>
  <c r="Y118" i="1"/>
  <c r="AF118" i="1" s="1"/>
  <c r="AE117" i="1"/>
  <c r="AC117" i="1"/>
  <c r="Y117" i="1"/>
  <c r="AF117" i="1" s="1"/>
  <c r="AE116" i="1"/>
  <c r="AC116" i="1"/>
  <c r="Y116" i="1"/>
  <c r="AF116" i="1" s="1"/>
  <c r="AE115" i="1"/>
  <c r="AC115" i="1"/>
  <c r="Y115" i="1"/>
  <c r="AF115" i="1" s="1"/>
  <c r="AE114" i="1"/>
  <c r="AC114" i="1"/>
  <c r="Y114" i="1"/>
  <c r="AF114" i="1" s="1"/>
  <c r="AE113" i="1"/>
  <c r="AC113" i="1"/>
  <c r="Y113" i="1"/>
  <c r="AF113" i="1" s="1"/>
  <c r="AE112" i="1"/>
  <c r="AC112" i="1"/>
  <c r="Y112" i="1"/>
  <c r="AF112" i="1" s="1"/>
  <c r="AE111" i="1"/>
  <c r="AC111" i="1"/>
  <c r="Y111" i="1"/>
  <c r="AF111" i="1" s="1"/>
  <c r="AE110" i="1"/>
  <c r="AC110" i="1"/>
  <c r="Y110" i="1"/>
  <c r="AF110" i="1" s="1"/>
  <c r="AE109" i="1"/>
  <c r="AC109" i="1"/>
  <c r="Y109" i="1"/>
  <c r="AF109" i="1" s="1"/>
  <c r="AE108" i="1"/>
  <c r="AC108" i="1"/>
  <c r="Y108" i="1"/>
  <c r="AF108" i="1" s="1"/>
  <c r="AE107" i="1"/>
  <c r="AC107" i="1"/>
  <c r="Y107" i="1"/>
  <c r="AF107" i="1" s="1"/>
  <c r="AE106" i="1"/>
  <c r="AC106" i="1"/>
  <c r="Y106" i="1"/>
  <c r="AF106" i="1" s="1"/>
  <c r="AE105" i="1"/>
  <c r="AC105" i="1"/>
  <c r="Y105" i="1"/>
  <c r="AF105" i="1" s="1"/>
  <c r="AE104" i="1"/>
  <c r="AC104" i="1"/>
  <c r="Y104" i="1"/>
  <c r="AF104" i="1" s="1"/>
  <c r="AE103" i="1"/>
  <c r="AC103" i="1"/>
  <c r="Y103" i="1"/>
  <c r="AF103" i="1" s="1"/>
  <c r="AE102" i="1"/>
  <c r="AC102" i="1"/>
  <c r="Y102" i="1"/>
  <c r="AF102" i="1" s="1"/>
  <c r="AE101" i="1"/>
  <c r="AC101" i="1"/>
  <c r="Y101" i="1"/>
  <c r="AF101" i="1" s="1"/>
  <c r="AE100" i="1"/>
  <c r="AC100" i="1"/>
  <c r="Y100" i="1"/>
  <c r="AF100" i="1" s="1"/>
  <c r="AE99" i="1"/>
  <c r="AC99" i="1"/>
  <c r="Y99" i="1"/>
  <c r="AF99" i="1" s="1"/>
  <c r="AE98" i="1"/>
  <c r="AC98" i="1"/>
  <c r="Y98" i="1"/>
  <c r="AF98" i="1" s="1"/>
  <c r="AE97" i="1"/>
  <c r="AC97" i="1"/>
  <c r="Y97" i="1"/>
  <c r="AF97" i="1" s="1"/>
  <c r="AE96" i="1"/>
  <c r="AC96" i="1"/>
  <c r="Y96" i="1"/>
  <c r="AF96" i="1" s="1"/>
  <c r="AE95" i="1"/>
  <c r="AC95" i="1"/>
  <c r="Y95" i="1"/>
  <c r="AF95" i="1" s="1"/>
  <c r="AE94" i="1"/>
  <c r="AC94" i="1"/>
  <c r="Y94" i="1"/>
  <c r="AF94" i="1" s="1"/>
  <c r="AE93" i="1"/>
  <c r="AC93" i="1"/>
  <c r="Y93" i="1"/>
  <c r="AF93" i="1" s="1"/>
  <c r="AE92" i="1"/>
  <c r="AC92" i="1"/>
  <c r="Y92" i="1"/>
  <c r="AF92" i="1" s="1"/>
  <c r="AE91" i="1"/>
  <c r="AC91" i="1"/>
  <c r="Y91" i="1"/>
  <c r="AF91" i="1" s="1"/>
  <c r="AE90" i="1"/>
  <c r="AC90" i="1"/>
  <c r="Y90" i="1"/>
  <c r="AF90" i="1" s="1"/>
  <c r="AE89" i="1"/>
  <c r="AC89" i="1"/>
  <c r="Y89" i="1"/>
  <c r="AF89" i="1" s="1"/>
  <c r="AE88" i="1"/>
  <c r="AC88" i="1"/>
  <c r="Y88" i="1"/>
  <c r="AF88" i="1" s="1"/>
  <c r="AE87" i="1"/>
  <c r="AC87" i="1"/>
  <c r="Y87" i="1"/>
  <c r="AF87" i="1" s="1"/>
  <c r="AE86" i="1"/>
  <c r="AC86" i="1"/>
  <c r="Y86" i="1"/>
  <c r="AF86" i="1" s="1"/>
  <c r="AE85" i="1"/>
  <c r="AC85" i="1"/>
  <c r="Y85" i="1"/>
  <c r="AF85" i="1" s="1"/>
  <c r="AE84" i="1"/>
  <c r="AC84" i="1"/>
  <c r="Y84" i="1"/>
  <c r="AF84" i="1" s="1"/>
  <c r="AE83" i="1"/>
  <c r="AC83" i="1"/>
  <c r="Y83" i="1"/>
  <c r="AF83" i="1" s="1"/>
  <c r="AE82" i="1"/>
  <c r="AC82" i="1"/>
  <c r="Y82" i="1"/>
  <c r="AF82" i="1" s="1"/>
  <c r="AE81" i="1"/>
  <c r="AC81" i="1"/>
  <c r="Y81" i="1"/>
  <c r="AF81" i="1" s="1"/>
  <c r="AE80" i="1"/>
  <c r="AC80" i="1"/>
  <c r="Y80" i="1"/>
  <c r="AF80" i="1" s="1"/>
  <c r="AE79" i="1"/>
  <c r="AC79" i="1"/>
  <c r="Y79" i="1"/>
  <c r="AF79" i="1" s="1"/>
  <c r="AE78" i="1"/>
  <c r="AC78" i="1"/>
  <c r="Y78" i="1"/>
  <c r="AF78" i="1" s="1"/>
  <c r="AE77" i="1"/>
  <c r="AC77" i="1"/>
  <c r="Y77" i="1"/>
  <c r="AF77" i="1" s="1"/>
  <c r="AE76" i="1"/>
  <c r="AC76" i="1"/>
  <c r="Y76" i="1"/>
  <c r="AF76" i="1" s="1"/>
  <c r="AE75" i="1"/>
  <c r="AC75" i="1"/>
  <c r="Y75" i="1"/>
  <c r="AF75" i="1" s="1"/>
  <c r="AE74" i="1"/>
  <c r="AC74" i="1"/>
  <c r="Y74" i="1"/>
  <c r="AF74" i="1" s="1"/>
  <c r="AE73" i="1"/>
  <c r="AC73" i="1"/>
  <c r="Y73" i="1"/>
  <c r="AF73" i="1" s="1"/>
  <c r="AE72" i="1"/>
  <c r="AC72" i="1"/>
  <c r="Y72" i="1"/>
  <c r="AF72" i="1" s="1"/>
  <c r="AE71" i="1"/>
  <c r="AC71" i="1"/>
  <c r="Y71" i="1"/>
  <c r="AF71" i="1" s="1"/>
  <c r="AE70" i="1"/>
  <c r="AC70" i="1"/>
  <c r="Y70" i="1"/>
  <c r="AF70" i="1" s="1"/>
  <c r="AE69" i="1"/>
  <c r="AC69" i="1"/>
  <c r="Y69" i="1"/>
  <c r="AF69" i="1" s="1"/>
  <c r="AE68" i="1"/>
  <c r="AC68" i="1"/>
  <c r="Y68" i="1"/>
  <c r="AF68" i="1" s="1"/>
  <c r="AE67" i="1"/>
  <c r="AC67" i="1"/>
  <c r="Y67" i="1"/>
  <c r="AF67" i="1" s="1"/>
  <c r="AE66" i="1"/>
  <c r="AC66" i="1"/>
  <c r="Y66" i="1"/>
  <c r="AF66" i="1" s="1"/>
  <c r="AE65" i="1"/>
  <c r="AC65" i="1"/>
  <c r="Y65" i="1"/>
  <c r="AF65" i="1" s="1"/>
  <c r="AE64" i="1"/>
  <c r="AC64" i="1"/>
  <c r="Y64" i="1"/>
  <c r="AF64" i="1" s="1"/>
  <c r="AE63" i="1"/>
  <c r="AC63" i="1"/>
  <c r="Y63" i="1"/>
  <c r="AF63" i="1" s="1"/>
  <c r="AE62" i="1"/>
  <c r="AC62" i="1"/>
  <c r="Y62" i="1"/>
  <c r="AF62" i="1" s="1"/>
  <c r="AE61" i="1"/>
  <c r="AC61" i="1"/>
  <c r="Y61" i="1"/>
  <c r="AF61" i="1" s="1"/>
  <c r="AE60" i="1"/>
  <c r="AC60" i="1"/>
  <c r="Y60" i="1"/>
  <c r="AF60" i="1" s="1"/>
  <c r="AE59" i="1"/>
  <c r="AC59" i="1"/>
  <c r="Y59" i="1"/>
  <c r="AF59" i="1" s="1"/>
  <c r="AE58" i="1"/>
  <c r="AC58" i="1"/>
  <c r="Y58" i="1"/>
  <c r="AF58" i="1" s="1"/>
  <c r="AE57" i="1"/>
  <c r="AC57" i="1"/>
  <c r="Y57" i="1"/>
  <c r="AF57" i="1" s="1"/>
  <c r="AE56" i="1"/>
  <c r="AC56" i="1"/>
  <c r="Y56" i="1"/>
  <c r="AF56" i="1" s="1"/>
  <c r="AE55" i="1"/>
  <c r="AC55" i="1"/>
  <c r="Y55" i="1"/>
  <c r="AF55" i="1" s="1"/>
  <c r="AE54" i="1"/>
  <c r="AC54" i="1"/>
  <c r="Y54" i="1"/>
  <c r="AF54" i="1" s="1"/>
  <c r="AE53" i="1"/>
  <c r="AC53" i="1"/>
  <c r="Y53" i="1"/>
  <c r="AF53" i="1" s="1"/>
  <c r="AE52" i="1"/>
  <c r="AC52" i="1"/>
  <c r="Y52" i="1"/>
  <c r="AF52" i="1" s="1"/>
  <c r="AE51" i="1"/>
  <c r="AC51" i="1"/>
  <c r="Y51" i="1"/>
  <c r="AF51" i="1" s="1"/>
  <c r="AE50" i="1"/>
  <c r="AC50" i="1"/>
  <c r="Y50" i="1"/>
  <c r="AF50" i="1" s="1"/>
  <c r="AE49" i="1"/>
  <c r="AC49" i="1"/>
  <c r="Y49" i="1"/>
  <c r="AF49" i="1" s="1"/>
  <c r="AE48" i="1"/>
  <c r="AC48" i="1"/>
  <c r="Y48" i="1"/>
  <c r="AF48" i="1" s="1"/>
  <c r="AE47" i="1"/>
  <c r="AC47" i="1"/>
  <c r="Y47" i="1"/>
  <c r="AF47" i="1" s="1"/>
  <c r="AE46" i="1"/>
  <c r="AC46" i="1"/>
  <c r="Y46" i="1"/>
  <c r="AF46" i="1" s="1"/>
  <c r="AE45" i="1"/>
  <c r="AC45" i="1"/>
  <c r="Y45" i="1"/>
  <c r="AF45" i="1" s="1"/>
  <c r="AE44" i="1"/>
  <c r="AC44" i="1"/>
  <c r="Y44" i="1"/>
  <c r="AF44" i="1" s="1"/>
  <c r="AE43" i="1"/>
  <c r="AC43" i="1"/>
  <c r="Y43" i="1"/>
  <c r="AF43" i="1" s="1"/>
  <c r="AE42" i="1"/>
  <c r="AC42" i="1"/>
  <c r="Y42" i="1"/>
  <c r="AF42" i="1" s="1"/>
  <c r="AE41" i="1"/>
  <c r="AC41" i="1"/>
  <c r="Y41" i="1"/>
  <c r="AF41" i="1" s="1"/>
  <c r="AE40" i="1"/>
  <c r="AC40" i="1"/>
  <c r="Y40" i="1"/>
  <c r="AF40" i="1" s="1"/>
  <c r="AE39" i="1"/>
  <c r="AC39" i="1"/>
  <c r="Y39" i="1"/>
  <c r="AF39" i="1" s="1"/>
  <c r="AE38" i="1"/>
  <c r="AC38" i="1"/>
  <c r="Y38" i="1"/>
  <c r="AF38" i="1" s="1"/>
  <c r="AE37" i="1"/>
  <c r="AC37" i="1"/>
  <c r="Y37" i="1"/>
  <c r="AF37" i="1" s="1"/>
  <c r="AE36" i="1"/>
  <c r="AC36" i="1"/>
  <c r="Y36" i="1"/>
  <c r="AF36" i="1" s="1"/>
  <c r="AE35" i="1"/>
  <c r="AC35" i="1"/>
  <c r="Y35" i="1"/>
  <c r="AF35" i="1" s="1"/>
  <c r="AE34" i="1"/>
  <c r="AC34" i="1"/>
  <c r="Y34" i="1"/>
  <c r="AF34" i="1" s="1"/>
  <c r="AE33" i="1"/>
  <c r="AC33" i="1"/>
  <c r="Y33" i="1"/>
  <c r="AF33" i="1" s="1"/>
  <c r="AE32" i="1"/>
  <c r="AC32" i="1"/>
  <c r="Y32" i="1"/>
  <c r="AF32" i="1" s="1"/>
  <c r="AE31" i="1"/>
  <c r="AC31" i="1"/>
  <c r="Y31" i="1"/>
  <c r="AF31" i="1" s="1"/>
  <c r="AE30" i="1"/>
  <c r="AC30" i="1"/>
  <c r="Y30" i="1"/>
  <c r="AF30" i="1" s="1"/>
  <c r="AE29" i="1"/>
  <c r="AC29" i="1"/>
  <c r="Y29" i="1"/>
  <c r="AF29" i="1" s="1"/>
  <c r="AE28" i="1"/>
  <c r="AC28" i="1"/>
  <c r="Y28" i="1"/>
  <c r="AF28" i="1" s="1"/>
  <c r="AE27" i="1"/>
  <c r="AC27" i="1"/>
  <c r="Y27" i="1"/>
  <c r="AF27" i="1" s="1"/>
  <c r="AE26" i="1"/>
  <c r="AC26" i="1"/>
  <c r="Y26" i="1"/>
  <c r="AF26" i="1" s="1"/>
  <c r="AE25" i="1"/>
  <c r="AC25" i="1"/>
  <c r="Y25" i="1"/>
  <c r="AF25" i="1" s="1"/>
  <c r="AE24" i="1"/>
  <c r="AC24" i="1"/>
  <c r="Y24" i="1"/>
  <c r="AF24" i="1" s="1"/>
  <c r="AE23" i="1"/>
  <c r="AC23" i="1"/>
  <c r="Y23" i="1"/>
  <c r="AF23" i="1" s="1"/>
  <c r="AE22" i="1"/>
  <c r="AC22" i="1"/>
  <c r="Y22" i="1"/>
  <c r="AE21" i="1"/>
  <c r="AC21" i="1"/>
  <c r="Y21" i="1"/>
  <c r="AF21" i="1" s="1"/>
  <c r="AE20" i="1"/>
  <c r="AC20" i="1"/>
  <c r="Y20" i="1"/>
  <c r="AF20" i="1" s="1"/>
  <c r="AE19" i="1"/>
  <c r="AC19" i="1"/>
  <c r="Y19" i="1"/>
  <c r="AF19" i="1" s="1"/>
  <c r="AE18" i="1"/>
  <c r="AC18" i="1"/>
  <c r="Y18" i="1"/>
  <c r="AE17" i="1"/>
  <c r="AC17" i="1"/>
  <c r="Y17" i="1"/>
  <c r="AF17" i="1" s="1"/>
  <c r="AE16" i="1"/>
  <c r="AC16" i="1"/>
  <c r="Y16" i="1"/>
  <c r="AF16" i="1" s="1"/>
  <c r="AE15" i="1"/>
  <c r="AC15" i="1"/>
  <c r="Y15" i="1"/>
  <c r="AF15" i="1" s="1"/>
  <c r="AE14" i="1"/>
  <c r="V4" i="1" s="1"/>
  <c r="AC14" i="1"/>
  <c r="Y14" i="1"/>
  <c r="AF14" i="1" s="1"/>
  <c r="AE13" i="1"/>
  <c r="AC13" i="1"/>
  <c r="Y13" i="1"/>
  <c r="AF13" i="1" s="1"/>
  <c r="AE12" i="1"/>
  <c r="AC12" i="1"/>
  <c r="Y12" i="1"/>
  <c r="AF12" i="1" s="1"/>
  <c r="AE11" i="1"/>
  <c r="AC11" i="1"/>
  <c r="Y11" i="1"/>
  <c r="AF11" i="1" s="1"/>
  <c r="AE10" i="1"/>
  <c r="AC10" i="1"/>
  <c r="Y10" i="1"/>
  <c r="AF10" i="1" s="1"/>
  <c r="AE9" i="1"/>
  <c r="AC9" i="1"/>
  <c r="Y9" i="1"/>
  <c r="AF9" i="1" s="1"/>
  <c r="AE8" i="1"/>
  <c r="AC8" i="1"/>
  <c r="Y8" i="1"/>
  <c r="AF8" i="1" s="1"/>
  <c r="AE7" i="1"/>
  <c r="AC7" i="1"/>
  <c r="Y7" i="1"/>
  <c r="AF7" i="1" s="1"/>
  <c r="A7" i="1"/>
  <c r="AE6" i="1"/>
  <c r="AC6" i="1"/>
  <c r="Y6" i="1"/>
  <c r="AF6" i="1" s="1"/>
  <c r="B6" i="1"/>
  <c r="A6" i="1"/>
  <c r="AE5" i="1"/>
  <c r="AC5" i="1"/>
  <c r="Y5" i="1"/>
  <c r="AF5" i="1" s="1"/>
  <c r="AE4" i="1"/>
  <c r="AC4" i="1"/>
  <c r="Y4" i="1"/>
  <c r="AE3" i="1"/>
  <c r="AC3" i="1"/>
  <c r="Y3" i="1"/>
  <c r="AF3" i="1" s="1"/>
  <c r="V3" i="1"/>
  <c r="B3" i="1"/>
  <c r="AF2" i="1"/>
  <c r="AE2" i="1"/>
  <c r="AA2" i="1"/>
  <c r="Y2" i="1"/>
  <c r="V2" i="1"/>
  <c r="B2" i="1"/>
  <c r="B4" i="1" s="1"/>
  <c r="AG64" i="1" l="1"/>
  <c r="BA338" i="3"/>
  <c r="BB343" i="3"/>
  <c r="BA339" i="3"/>
  <c r="AG366" i="1"/>
  <c r="AG14" i="1"/>
  <c r="AG22" i="1"/>
  <c r="AG63" i="1"/>
  <c r="AE285" i="3"/>
  <c r="L285" i="3" s="1"/>
  <c r="AM140" i="2"/>
  <c r="AA140" i="2" s="1"/>
  <c r="AG116" i="1"/>
  <c r="AG145" i="1"/>
  <c r="AG389" i="1"/>
  <c r="BJ12" i="2"/>
  <c r="AF12" i="2" s="1"/>
  <c r="AN219" i="3"/>
  <c r="R219" i="3" s="1"/>
  <c r="BJ25" i="2"/>
  <c r="AF25" i="2" s="1"/>
  <c r="AE29" i="3"/>
  <c r="L29" i="3" s="1"/>
  <c r="AM49" i="2"/>
  <c r="AA49" i="2" s="1"/>
  <c r="AM77" i="2"/>
  <c r="AA77" i="2" s="1"/>
  <c r="AS106" i="2"/>
  <c r="AC106" i="2" s="1"/>
  <c r="AE175" i="3"/>
  <c r="L175" i="3" s="1"/>
  <c r="AM110" i="2"/>
  <c r="AA110" i="2" s="1"/>
  <c r="AJ157" i="3"/>
  <c r="W157" i="3" s="1"/>
  <c r="AY142" i="2"/>
  <c r="AE142" i="2" s="1"/>
  <c r="AN58" i="3"/>
  <c r="R58" i="3" s="1"/>
  <c r="BJ154" i="2"/>
  <c r="AF154" i="2" s="1"/>
  <c r="AG168" i="2"/>
  <c r="AG57" i="1"/>
  <c r="AG138" i="1"/>
  <c r="AG233" i="1"/>
  <c r="AG312" i="1"/>
  <c r="AG401" i="1"/>
  <c r="AG190" i="3"/>
  <c r="N190" i="3" s="1"/>
  <c r="AG12" i="2"/>
  <c r="Y12" i="2" s="1"/>
  <c r="AG245" i="3"/>
  <c r="N245" i="3" s="1"/>
  <c r="AG18" i="2"/>
  <c r="Y18" i="2" s="1"/>
  <c r="AP24" i="2"/>
  <c r="AB24" i="2" s="1"/>
  <c r="AO202" i="3"/>
  <c r="X202" i="3" s="1"/>
  <c r="BE59" i="2"/>
  <c r="AG139" i="3"/>
  <c r="N139" i="3" s="1"/>
  <c r="AG92" i="2"/>
  <c r="Y92" i="2" s="1"/>
  <c r="AI205" i="3"/>
  <c r="U205" i="3" s="1"/>
  <c r="BB201" i="2"/>
  <c r="AD201" i="2" s="1"/>
  <c r="AY215" i="2"/>
  <c r="AE215" i="2" s="1"/>
  <c r="AJ71" i="3"/>
  <c r="W71" i="3" s="1"/>
  <c r="AG88" i="1"/>
  <c r="AG257" i="3"/>
  <c r="N257" i="3" s="1"/>
  <c r="AG105" i="2"/>
  <c r="Y105" i="2" s="1"/>
  <c r="AL220" i="3"/>
  <c r="S220" i="3" s="1"/>
  <c r="AS241" i="2"/>
  <c r="AC241" i="2" s="1"/>
  <c r="AG8" i="1"/>
  <c r="AG191" i="1"/>
  <c r="AG200" i="1"/>
  <c r="AG289" i="1"/>
  <c r="AG393" i="1"/>
  <c r="AJ16" i="2"/>
  <c r="Z16" i="2" s="1"/>
  <c r="AP22" i="2"/>
  <c r="AB22" i="2" s="1"/>
  <c r="AG19" i="3"/>
  <c r="N19" i="3" s="1"/>
  <c r="AG66" i="2"/>
  <c r="Y66" i="2" s="1"/>
  <c r="BJ73" i="2"/>
  <c r="AF73" i="2" s="1"/>
  <c r="AN86" i="3"/>
  <c r="R86" i="3" s="1"/>
  <c r="BJ82" i="2"/>
  <c r="AF82" i="2" s="1"/>
  <c r="AE11" i="3"/>
  <c r="L11" i="3" s="1"/>
  <c r="AM84" i="2"/>
  <c r="AA84" i="2" s="1"/>
  <c r="AG209" i="2"/>
  <c r="Y209" i="2" s="1"/>
  <c r="AL133" i="3"/>
  <c r="S133" i="3" s="1"/>
  <c r="AS236" i="2"/>
  <c r="AC236" i="2" s="1"/>
  <c r="AJ242" i="2"/>
  <c r="Z242" i="2" s="1"/>
  <c r="AG418" i="1"/>
  <c r="AG96" i="1"/>
  <c r="AM213" i="2"/>
  <c r="AA213" i="2" s="1"/>
  <c r="AE89" i="3"/>
  <c r="L89" i="3" s="1"/>
  <c r="AD183" i="3"/>
  <c r="K183" i="3" s="1"/>
  <c r="AJ6" i="2"/>
  <c r="Z6" i="2" s="1"/>
  <c r="AK333" i="3"/>
  <c r="T333" i="3" s="1"/>
  <c r="AP216" i="2"/>
  <c r="AB216" i="2" s="1"/>
  <c r="AG390" i="1"/>
  <c r="AD245" i="3"/>
  <c r="K245" i="3" s="1"/>
  <c r="AJ18" i="2"/>
  <c r="Z18" i="2" s="1"/>
  <c r="AN142" i="3"/>
  <c r="R142" i="3" s="1"/>
  <c r="BJ53" i="2"/>
  <c r="AF53" i="2" s="1"/>
  <c r="AE269" i="3"/>
  <c r="L269" i="3" s="1"/>
  <c r="AM153" i="2"/>
  <c r="AA153" i="2" s="1"/>
  <c r="AD263" i="3"/>
  <c r="K263" i="3" s="1"/>
  <c r="AJ296" i="2"/>
  <c r="Z296" i="2" s="1"/>
  <c r="AG216" i="1"/>
  <c r="AE183" i="3"/>
  <c r="L183" i="3" s="1"/>
  <c r="AM6" i="2"/>
  <c r="AA6" i="2" s="1"/>
  <c r="AS49" i="2"/>
  <c r="AC49" i="2" s="1"/>
  <c r="AL29" i="3"/>
  <c r="S29" i="3" s="1"/>
  <c r="AL122" i="3"/>
  <c r="S122" i="3" s="1"/>
  <c r="AS83" i="2"/>
  <c r="AC83" i="2" s="1"/>
  <c r="AG58" i="1"/>
  <c r="AL56" i="3"/>
  <c r="S56" i="3" s="1"/>
  <c r="AS32" i="2"/>
  <c r="AC32" i="2" s="1"/>
  <c r="AO113" i="3"/>
  <c r="X113" i="3" s="1"/>
  <c r="BE102" i="2"/>
  <c r="Y164" i="2"/>
  <c r="AE168" i="3"/>
  <c r="L168" i="3" s="1"/>
  <c r="AM199" i="2"/>
  <c r="AA199" i="2" s="1"/>
  <c r="AG139" i="1"/>
  <c r="AG391" i="1"/>
  <c r="AG11" i="3"/>
  <c r="N11" i="3" s="1"/>
  <c r="AG84" i="2"/>
  <c r="Y84" i="2" s="1"/>
  <c r="AG379" i="1"/>
  <c r="AJ120" i="3"/>
  <c r="W120" i="3" s="1"/>
  <c r="AY11" i="2"/>
  <c r="AE11" i="2" s="1"/>
  <c r="AD268" i="3"/>
  <c r="K268" i="3" s="1"/>
  <c r="AJ22" i="2"/>
  <c r="Z22" i="2" s="1"/>
  <c r="AD322" i="3"/>
  <c r="K322" i="3" s="1"/>
  <c r="AJ72" i="2"/>
  <c r="Z72" i="2" s="1"/>
  <c r="AD58" i="3"/>
  <c r="K58" i="3" s="1"/>
  <c r="AJ154" i="2"/>
  <c r="Z154" i="2" s="1"/>
  <c r="AK168" i="3"/>
  <c r="T168" i="3" s="1"/>
  <c r="AP199" i="2"/>
  <c r="AB199" i="2" s="1"/>
  <c r="AG279" i="1"/>
  <c r="AG314" i="1"/>
  <c r="AJ262" i="3"/>
  <c r="W262" i="3" s="1"/>
  <c r="AY91" i="2"/>
  <c r="AE91" i="2" s="1"/>
  <c r="AJ254" i="3"/>
  <c r="W254" i="3" s="1"/>
  <c r="AY100" i="2"/>
  <c r="AE100" i="2" s="1"/>
  <c r="AE297" i="3"/>
  <c r="L297" i="3" s="1"/>
  <c r="AM176" i="2"/>
  <c r="AA176" i="2" s="1"/>
  <c r="AE332" i="3"/>
  <c r="L332" i="3" s="1"/>
  <c r="AM332" i="2"/>
  <c r="AA332" i="2" s="1"/>
  <c r="AG52" i="1"/>
  <c r="AG126" i="1"/>
  <c r="AG297" i="1"/>
  <c r="AG16" i="2"/>
  <c r="Y16" i="2" s="1"/>
  <c r="AG45" i="3"/>
  <c r="N45" i="3" s="1"/>
  <c r="AD98" i="3"/>
  <c r="K98" i="3" s="1"/>
  <c r="AJ28" i="2"/>
  <c r="Z28" i="2" s="1"/>
  <c r="AO125" i="3"/>
  <c r="X125" i="3" s="1"/>
  <c r="BE40" i="2"/>
  <c r="AJ186" i="3"/>
  <c r="W186" i="3" s="1"/>
  <c r="AY55" i="2"/>
  <c r="AE55" i="2" s="1"/>
  <c r="AJ95" i="2"/>
  <c r="Z95" i="2" s="1"/>
  <c r="AD78" i="3"/>
  <c r="K78" i="3" s="1"/>
  <c r="AG135" i="3"/>
  <c r="N135" i="3" s="1"/>
  <c r="AG108" i="2"/>
  <c r="AJ130" i="3"/>
  <c r="W130" i="3" s="1"/>
  <c r="AY175" i="2"/>
  <c r="AE175" i="2" s="1"/>
  <c r="AL82" i="3"/>
  <c r="S82" i="3" s="1"/>
  <c r="AS249" i="2"/>
  <c r="AC249" i="2" s="1"/>
  <c r="AG45" i="1"/>
  <c r="AD342" i="3"/>
  <c r="AJ4" i="2"/>
  <c r="Z4" i="2" s="1"/>
  <c r="AD151" i="3"/>
  <c r="K151" i="3" s="1"/>
  <c r="AJ50" i="2"/>
  <c r="Z50" i="2" s="1"/>
  <c r="AO21" i="3"/>
  <c r="X21" i="3" s="1"/>
  <c r="BE139" i="2"/>
  <c r="AL147" i="3"/>
  <c r="S147" i="3" s="1"/>
  <c r="AS179" i="2"/>
  <c r="AC179" i="2" s="1"/>
  <c r="AL180" i="3"/>
  <c r="S180" i="3" s="1"/>
  <c r="AS194" i="2"/>
  <c r="AC194" i="2" s="1"/>
  <c r="AL324" i="3"/>
  <c r="S324" i="3" s="1"/>
  <c r="AS208" i="2"/>
  <c r="AC208" i="2" s="1"/>
  <c r="AG82" i="1"/>
  <c r="AO120" i="3"/>
  <c r="X120" i="3" s="1"/>
  <c r="BE11" i="2"/>
  <c r="BE45" i="2"/>
  <c r="AO174" i="3"/>
  <c r="X174" i="3" s="1"/>
  <c r="AL61" i="3"/>
  <c r="S61" i="3" s="1"/>
  <c r="AS56" i="2"/>
  <c r="AC56" i="2" s="1"/>
  <c r="AL6" i="3"/>
  <c r="S6" i="3" s="1"/>
  <c r="AS89" i="2"/>
  <c r="AC89" i="2" s="1"/>
  <c r="BH136" i="2"/>
  <c r="BH207" i="2"/>
  <c r="AG298" i="1"/>
  <c r="AD128" i="3"/>
  <c r="K128" i="3" s="1"/>
  <c r="AJ10" i="2"/>
  <c r="Z10" i="2" s="1"/>
  <c r="AG3" i="1"/>
  <c r="AG39" i="1"/>
  <c r="AG127" i="1"/>
  <c r="AG165" i="1"/>
  <c r="AG272" i="1"/>
  <c r="AG369" i="1"/>
  <c r="AG419" i="1"/>
  <c r="AN247" i="3"/>
  <c r="R247" i="3" s="1"/>
  <c r="BJ5" i="2"/>
  <c r="AF5" i="2" s="1"/>
  <c r="AG289" i="3"/>
  <c r="N289" i="3" s="1"/>
  <c r="AG23" i="2"/>
  <c r="Y23" i="2" s="1"/>
  <c r="AL30" i="3"/>
  <c r="S30" i="3" s="1"/>
  <c r="AS44" i="2"/>
  <c r="AC44" i="2" s="1"/>
  <c r="AJ54" i="3"/>
  <c r="W54" i="3" s="1"/>
  <c r="AY46" i="2"/>
  <c r="AE46" i="2" s="1"/>
  <c r="AE50" i="3"/>
  <c r="L50" i="3" s="1"/>
  <c r="AM81" i="2"/>
  <c r="AA81" i="2" s="1"/>
  <c r="AL55" i="3"/>
  <c r="S55" i="3" s="1"/>
  <c r="AS123" i="2"/>
  <c r="AC123" i="2" s="1"/>
  <c r="AI236" i="3"/>
  <c r="U236" i="3" s="1"/>
  <c r="BB172" i="2"/>
  <c r="AD172" i="2" s="1"/>
  <c r="BJ278" i="2"/>
  <c r="AF278" i="2" s="1"/>
  <c r="BH278" i="2"/>
  <c r="AI227" i="3"/>
  <c r="U227" i="3" s="1"/>
  <c r="BB279" i="2"/>
  <c r="AD279" i="2" s="1"/>
  <c r="AG46" i="1"/>
  <c r="AG120" i="1"/>
  <c r="AG290" i="1"/>
  <c r="BJ20" i="2"/>
  <c r="AF20" i="2" s="1"/>
  <c r="AS72" i="2"/>
  <c r="AC72" i="2" s="1"/>
  <c r="AY80" i="2"/>
  <c r="AE80" i="2" s="1"/>
  <c r="AG86" i="3"/>
  <c r="N86" i="3" s="1"/>
  <c r="AG82" i="2"/>
  <c r="Y82" i="2" s="1"/>
  <c r="BJ88" i="2"/>
  <c r="AF88" i="2" s="1"/>
  <c r="BH100" i="2"/>
  <c r="AJ273" i="3"/>
  <c r="W273" i="3" s="1"/>
  <c r="AY101" i="2"/>
  <c r="AE101" i="2" s="1"/>
  <c r="AL109" i="3"/>
  <c r="S109" i="3" s="1"/>
  <c r="AS135" i="2"/>
  <c r="AC135" i="2" s="1"/>
  <c r="AY208" i="2"/>
  <c r="AE208" i="2" s="1"/>
  <c r="AN176" i="3"/>
  <c r="R176" i="3" s="1"/>
  <c r="BJ330" i="2"/>
  <c r="AF330" i="2" s="1"/>
  <c r="AG409" i="1"/>
  <c r="AG421" i="1"/>
  <c r="AN60" i="3"/>
  <c r="R60" i="3" s="1"/>
  <c r="BJ125" i="2"/>
  <c r="AF125" i="2" s="1"/>
  <c r="AJ250" i="3"/>
  <c r="W250" i="3" s="1"/>
  <c r="AY225" i="2"/>
  <c r="AE225" i="2" s="1"/>
  <c r="AJ234" i="2"/>
  <c r="Z234" i="2" s="1"/>
  <c r="AD131" i="3"/>
  <c r="K131" i="3" s="1"/>
  <c r="AL192" i="3"/>
  <c r="S192" i="3" s="1"/>
  <c r="AS274" i="2"/>
  <c r="AC274" i="2" s="1"/>
  <c r="AE112" i="3"/>
  <c r="L112" i="3" s="1"/>
  <c r="AM134" i="2"/>
  <c r="AA134" i="2" s="1"/>
  <c r="AI260" i="3"/>
  <c r="U260" i="3" s="1"/>
  <c r="BB85" i="2"/>
  <c r="AD85" i="2" s="1"/>
  <c r="AG83" i="1"/>
  <c r="AG345" i="1"/>
  <c r="AO163" i="3"/>
  <c r="X163" i="3" s="1"/>
  <c r="BE52" i="2"/>
  <c r="AG33" i="1"/>
  <c r="AG256" i="1"/>
  <c r="AG151" i="1"/>
  <c r="AG346" i="1"/>
  <c r="AD178" i="3"/>
  <c r="K178" i="3" s="1"/>
  <c r="AJ20" i="2"/>
  <c r="Z20" i="2" s="1"/>
  <c r="AK40" i="3"/>
  <c r="T40" i="3" s="1"/>
  <c r="AP51" i="2"/>
  <c r="AB51" i="2" s="1"/>
  <c r="AJ79" i="2"/>
  <c r="Z79" i="2" s="1"/>
  <c r="BE80" i="2"/>
  <c r="AV145" i="2"/>
  <c r="AG319" i="3"/>
  <c r="N319" i="3" s="1"/>
  <c r="AG159" i="2"/>
  <c r="Y159" i="2" s="1"/>
  <c r="AP223" i="2"/>
  <c r="AB223" i="2" s="1"/>
  <c r="AJ227" i="2"/>
  <c r="Z227" i="2" s="1"/>
  <c r="AG184" i="1"/>
  <c r="AN121" i="3"/>
  <c r="R121" i="3" s="1"/>
  <c r="BJ185" i="2"/>
  <c r="AF185" i="2" s="1"/>
  <c r="AG158" i="1"/>
  <c r="AG265" i="1"/>
  <c r="AL288" i="3"/>
  <c r="S288" i="3" s="1"/>
  <c r="AS13" i="2"/>
  <c r="AC13" i="2" s="1"/>
  <c r="AJ34" i="2"/>
  <c r="Z34" i="2" s="1"/>
  <c r="AD123" i="3"/>
  <c r="K123" i="3" s="1"/>
  <c r="AK312" i="3"/>
  <c r="T312" i="3" s="1"/>
  <c r="AP60" i="2"/>
  <c r="AB60" i="2" s="1"/>
  <c r="AH104" i="3"/>
  <c r="O104" i="3" s="1"/>
  <c r="AH105" i="3"/>
  <c r="O105" i="3" s="1"/>
  <c r="AO241" i="3"/>
  <c r="X241" i="3" s="1"/>
  <c r="BE217" i="2"/>
  <c r="AG114" i="1"/>
  <c r="AG129" i="1"/>
  <c r="AG248" i="1"/>
  <c r="AD164" i="3"/>
  <c r="K164" i="3" s="1"/>
  <c r="AJ14" i="2"/>
  <c r="Z14" i="2" s="1"/>
  <c r="AG240" i="1"/>
  <c r="AG422" i="1"/>
  <c r="AM20" i="2"/>
  <c r="AA20" i="2" s="1"/>
  <c r="AJ98" i="3"/>
  <c r="W98" i="3" s="1"/>
  <c r="AY28" i="2"/>
  <c r="AE28" i="2" s="1"/>
  <c r="AY42" i="2"/>
  <c r="AE42" i="2" s="1"/>
  <c r="AJ43" i="2"/>
  <c r="Z43" i="2" s="1"/>
  <c r="AS51" i="2"/>
  <c r="AC51" i="2" s="1"/>
  <c r="AG47" i="3"/>
  <c r="N47" i="3" s="1"/>
  <c r="AG61" i="2"/>
  <c r="AJ88" i="2"/>
  <c r="Z88" i="2" s="1"/>
  <c r="AF104" i="3"/>
  <c r="M104" i="3" s="1"/>
  <c r="AF105" i="3"/>
  <c r="M105" i="3" s="1"/>
  <c r="AM119" i="2"/>
  <c r="AA119" i="2" s="1"/>
  <c r="AG243" i="3"/>
  <c r="N243" i="3" s="1"/>
  <c r="AG122" i="2"/>
  <c r="Y122" i="2" s="1"/>
  <c r="BH129" i="2"/>
  <c r="AP133" i="2"/>
  <c r="AB133" i="2" s="1"/>
  <c r="AJ231" i="3"/>
  <c r="W231" i="3" s="1"/>
  <c r="AY145" i="2"/>
  <c r="AE145" i="2" s="1"/>
  <c r="AK90" i="3"/>
  <c r="T90" i="3" s="1"/>
  <c r="AP188" i="2"/>
  <c r="AB188" i="2" s="1"/>
  <c r="AD226" i="3"/>
  <c r="K226" i="3" s="1"/>
  <c r="AJ41" i="2"/>
  <c r="Z41" i="2" s="1"/>
  <c r="AG121" i="1"/>
  <c r="AG410" i="1"/>
  <c r="AG70" i="1"/>
  <c r="AG347" i="1"/>
  <c r="AG399" i="1"/>
  <c r="AY7" i="2"/>
  <c r="AE7" i="2" s="1"/>
  <c r="AP8" i="2"/>
  <c r="AB8" i="2" s="1"/>
  <c r="AV13" i="2"/>
  <c r="AO219" i="3"/>
  <c r="X219" i="3" s="1"/>
  <c r="BE25" i="2"/>
  <c r="AM34" i="2"/>
  <c r="AA34" i="2" s="1"/>
  <c r="AN102" i="3"/>
  <c r="R102" i="3" s="1"/>
  <c r="BJ71" i="2"/>
  <c r="AF71" i="2" s="1"/>
  <c r="AG5" i="3"/>
  <c r="N5" i="3" s="1"/>
  <c r="AG77" i="2"/>
  <c r="Y77" i="2" s="1"/>
  <c r="AM79" i="2"/>
  <c r="AA79" i="2" s="1"/>
  <c r="AY87" i="2"/>
  <c r="AE87" i="2" s="1"/>
  <c r="AS96" i="2"/>
  <c r="AC96" i="2" s="1"/>
  <c r="AY108" i="2"/>
  <c r="AE108" i="2" s="1"/>
  <c r="AG134" i="2"/>
  <c r="Y134" i="2" s="1"/>
  <c r="AE181" i="3"/>
  <c r="L181" i="3" s="1"/>
  <c r="AM171" i="2"/>
  <c r="AA171" i="2" s="1"/>
  <c r="AG185" i="2"/>
  <c r="Y185" i="2" s="1"/>
  <c r="AK99" i="3"/>
  <c r="T99" i="3" s="1"/>
  <c r="AP202" i="2"/>
  <c r="AB202" i="2" s="1"/>
  <c r="AM307" i="2"/>
  <c r="AA307" i="2" s="1"/>
  <c r="AG36" i="3"/>
  <c r="N36" i="3" s="1"/>
  <c r="AG255" i="1"/>
  <c r="AG88" i="3"/>
  <c r="N88" i="3" s="1"/>
  <c r="AG8" i="2"/>
  <c r="Y8" i="2" s="1"/>
  <c r="AS42" i="2"/>
  <c r="AC42" i="2" s="1"/>
  <c r="AL87" i="3"/>
  <c r="S87" i="3" s="1"/>
  <c r="AG411" i="1"/>
  <c r="AN226" i="3"/>
  <c r="R226" i="3" s="1"/>
  <c r="BJ41" i="2"/>
  <c r="AF41" i="2" s="1"/>
  <c r="AD104" i="3"/>
  <c r="K104" i="3" s="1"/>
  <c r="AD105" i="3"/>
  <c r="K105" i="3" s="1"/>
  <c r="AG247" i="1"/>
  <c r="AJ57" i="3"/>
  <c r="W57" i="3" s="1"/>
  <c r="AY158" i="2"/>
  <c r="AE158" i="2" s="1"/>
  <c r="AM303" i="2"/>
  <c r="AA303" i="2" s="1"/>
  <c r="AE59" i="3"/>
  <c r="L59" i="3" s="1"/>
  <c r="AG321" i="1"/>
  <c r="AO257" i="3"/>
  <c r="X257" i="3" s="1"/>
  <c r="BE105" i="2"/>
  <c r="AJ303" i="3"/>
  <c r="W303" i="3" s="1"/>
  <c r="AY115" i="2"/>
  <c r="AE115" i="2" s="1"/>
  <c r="AG28" i="1"/>
  <c r="AG102" i="1"/>
  <c r="AJ223" i="3"/>
  <c r="W223" i="3" s="1"/>
  <c r="AY109" i="2"/>
  <c r="AE109" i="2" s="1"/>
  <c r="AG413" i="1"/>
  <c r="AG146" i="1"/>
  <c r="AG213" i="3"/>
  <c r="N213" i="3" s="1"/>
  <c r="AG39" i="2"/>
  <c r="Y39" i="2" s="1"/>
  <c r="AN301" i="3"/>
  <c r="R301" i="3" s="1"/>
  <c r="BJ47" i="2"/>
  <c r="AF47" i="2" s="1"/>
  <c r="AJ191" i="3"/>
  <c r="W191" i="3" s="1"/>
  <c r="AY57" i="2"/>
  <c r="AE57" i="2" s="1"/>
  <c r="AO19" i="3"/>
  <c r="X19" i="3" s="1"/>
  <c r="BE66" i="2"/>
  <c r="AJ256" i="3"/>
  <c r="W256" i="3" s="1"/>
  <c r="AY288" i="2"/>
  <c r="AE288" i="2" s="1"/>
  <c r="AN342" i="3"/>
  <c r="R342" i="3" s="1"/>
  <c r="BJ4" i="2"/>
  <c r="AF4" i="2" s="1"/>
  <c r="AK33" i="3"/>
  <c r="T33" i="3" s="1"/>
  <c r="AP113" i="2"/>
  <c r="AB113" i="2" s="1"/>
  <c r="AK31" i="3"/>
  <c r="T31" i="3" s="1"/>
  <c r="AP289" i="2"/>
  <c r="AB289" i="2" s="1"/>
  <c r="AG403" i="1"/>
  <c r="AN288" i="3"/>
  <c r="R288" i="3" s="1"/>
  <c r="BJ13" i="2"/>
  <c r="AF13" i="2" s="1"/>
  <c r="AD213" i="3"/>
  <c r="K213" i="3" s="1"/>
  <c r="AJ39" i="2"/>
  <c r="Z39" i="2" s="1"/>
  <c r="AK222" i="3"/>
  <c r="T222" i="3" s="1"/>
  <c r="AP117" i="2"/>
  <c r="AB117" i="2" s="1"/>
  <c r="AE187" i="3"/>
  <c r="L187" i="3" s="1"/>
  <c r="AM126" i="2"/>
  <c r="AA126" i="2" s="1"/>
  <c r="AY197" i="2"/>
  <c r="AE197" i="2" s="1"/>
  <c r="AJ73" i="3"/>
  <c r="W73" i="3" s="1"/>
  <c r="AS253" i="2"/>
  <c r="AC253" i="2" s="1"/>
  <c r="AL41" i="3"/>
  <c r="S41" i="3" s="1"/>
  <c r="AF22" i="1"/>
  <c r="AG305" i="1"/>
  <c r="AK54" i="3"/>
  <c r="T54" i="3" s="1"/>
  <c r="AP46" i="2"/>
  <c r="AB46" i="2" s="1"/>
  <c r="AO300" i="3"/>
  <c r="X300" i="3" s="1"/>
  <c r="BE48" i="2"/>
  <c r="AL31" i="3"/>
  <c r="S31" i="3" s="1"/>
  <c r="AS289" i="2"/>
  <c r="AC289" i="2" s="1"/>
  <c r="AI261" i="3"/>
  <c r="U261" i="3" s="1"/>
  <c r="BB29" i="2"/>
  <c r="AD29" i="2" s="1"/>
  <c r="BJ196" i="2"/>
  <c r="AF196" i="2" s="1"/>
  <c r="BH196" i="2"/>
  <c r="AF4" i="1"/>
  <c r="V5" i="1" s="1"/>
  <c r="AG227" i="1"/>
  <c r="AG104" i="1"/>
  <c r="AG60" i="1"/>
  <c r="AG394" i="1"/>
  <c r="AG383" i="1"/>
  <c r="AG85" i="1"/>
  <c r="AG110" i="1"/>
  <c r="AG79" i="1"/>
  <c r="AG17" i="1"/>
  <c r="AG333" i="1"/>
  <c r="AG268" i="1"/>
  <c r="AG155" i="1"/>
  <c r="AG30" i="1"/>
  <c r="AG219" i="1"/>
  <c r="AG178" i="1"/>
  <c r="AG98" i="1"/>
  <c r="AG73" i="1"/>
  <c r="AG42" i="1"/>
  <c r="AG351" i="1"/>
  <c r="AG170" i="1"/>
  <c r="AG404" i="1"/>
  <c r="AG186" i="1"/>
  <c r="AG202" i="1"/>
  <c r="AG123" i="1"/>
  <c r="AG48" i="1"/>
  <c r="AG362" i="1"/>
  <c r="AG251" i="1"/>
  <c r="AG11" i="1"/>
  <c r="AG373" i="1"/>
  <c r="AG325" i="1"/>
  <c r="AG209" i="1"/>
  <c r="AG109" i="1"/>
  <c r="AG53" i="1"/>
  <c r="AG16" i="1"/>
  <c r="AG10" i="1"/>
  <c r="AG360" i="1"/>
  <c r="AG282" i="1"/>
  <c r="AG249" i="1"/>
  <c r="AG192" i="1"/>
  <c r="AG71" i="1"/>
  <c r="AG412" i="1"/>
  <c r="AG103" i="1"/>
  <c r="AG370" i="1"/>
  <c r="AG134" i="1"/>
  <c r="AG128" i="1"/>
  <c r="AG115" i="1"/>
  <c r="AG381" i="1"/>
  <c r="AG59" i="1"/>
  <c r="AG398" i="1"/>
  <c r="AG328" i="1"/>
  <c r="AG304" i="1"/>
  <c r="AG296" i="1"/>
  <c r="AG263" i="1"/>
  <c r="AG132" i="1"/>
  <c r="AG107" i="1"/>
  <c r="AG51" i="1"/>
  <c r="AG235" i="1"/>
  <c r="AG91" i="1"/>
  <c r="AG54" i="1"/>
  <c r="AG157" i="1"/>
  <c r="AN53" i="3"/>
  <c r="R53" i="3" s="1"/>
  <c r="BJ64" i="2"/>
  <c r="AF64" i="2" s="1"/>
  <c r="AK50" i="3"/>
  <c r="T50" i="3" s="1"/>
  <c r="AP81" i="2"/>
  <c r="AB81" i="2" s="1"/>
  <c r="AL188" i="3"/>
  <c r="S188" i="3" s="1"/>
  <c r="AS148" i="2"/>
  <c r="AC148" i="2" s="1"/>
  <c r="L216" i="3"/>
  <c r="L217" i="3"/>
  <c r="AG76" i="1"/>
  <c r="AG420" i="1"/>
  <c r="AD214" i="3"/>
  <c r="K214" i="3" s="1"/>
  <c r="AJ206" i="2"/>
  <c r="Z206" i="2" s="1"/>
  <c r="AO10" i="3"/>
  <c r="X10" i="3" s="1"/>
  <c r="BE147" i="2"/>
  <c r="AE67" i="3"/>
  <c r="L67" i="3" s="1"/>
  <c r="AM162" i="2"/>
  <c r="AA162" i="2" s="1"/>
  <c r="AG131" i="3"/>
  <c r="N131" i="3" s="1"/>
  <c r="AG234" i="2"/>
  <c r="Y234" i="2" s="1"/>
  <c r="AL72" i="3"/>
  <c r="S72" i="3" s="1"/>
  <c r="AS277" i="2"/>
  <c r="AC277" i="2" s="1"/>
  <c r="AG4" i="1"/>
  <c r="AG40" i="1"/>
  <c r="AE18" i="3"/>
  <c r="L18" i="3" s="1"/>
  <c r="AM26" i="2"/>
  <c r="AA26" i="2" s="1"/>
  <c r="AG194" i="3"/>
  <c r="N194" i="3" s="1"/>
  <c r="AG79" i="2"/>
  <c r="Y79" i="2" s="1"/>
  <c r="AN136" i="3"/>
  <c r="R136" i="3" s="1"/>
  <c r="BJ189" i="2"/>
  <c r="AF189" i="2" s="1"/>
  <c r="AN152" i="3"/>
  <c r="R152" i="3" s="1"/>
  <c r="BJ320" i="2"/>
  <c r="AF320" i="2" s="1"/>
  <c r="AG34" i="1"/>
  <c r="AG108" i="1"/>
  <c r="AG106" i="3"/>
  <c r="N106" i="3" s="1"/>
  <c r="AG27" i="2"/>
  <c r="Y27" i="2" s="1"/>
  <c r="AD47" i="3"/>
  <c r="K47" i="3" s="1"/>
  <c r="AJ61" i="2"/>
  <c r="Z61" i="2" s="1"/>
  <c r="AG27" i="1"/>
  <c r="AG152" i="1"/>
  <c r="AG223" i="1"/>
  <c r="AG237" i="3"/>
  <c r="N237" i="3" s="1"/>
  <c r="AG3" i="2"/>
  <c r="Y3" i="2" s="1"/>
  <c r="AD5" i="3"/>
  <c r="K5" i="3" s="1"/>
  <c r="AJ77" i="2"/>
  <c r="Z77" i="2" s="1"/>
  <c r="AG167" i="3"/>
  <c r="N167" i="3" s="1"/>
  <c r="AG86" i="2"/>
  <c r="Y86" i="2" s="1"/>
  <c r="AG241" i="1"/>
  <c r="AP34" i="2"/>
  <c r="AB34" i="2" s="1"/>
  <c r="BE50" i="2"/>
  <c r="BB59" i="2"/>
  <c r="AD59" i="2" s="1"/>
  <c r="AJ68" i="2"/>
  <c r="Z68" i="2" s="1"/>
  <c r="AE122" i="3"/>
  <c r="L122" i="3" s="1"/>
  <c r="AM83" i="2"/>
  <c r="AA83" i="2" s="1"/>
  <c r="AE104" i="3"/>
  <c r="L104" i="3" s="1"/>
  <c r="AE105" i="3"/>
  <c r="L105" i="3" s="1"/>
  <c r="AM116" i="2"/>
  <c r="AA116" i="2" s="1"/>
  <c r="AI238" i="3"/>
  <c r="U238" i="3" s="1"/>
  <c r="BB180" i="2"/>
  <c r="AD180" i="2" s="1"/>
  <c r="AD121" i="3"/>
  <c r="K121" i="3" s="1"/>
  <c r="AJ185" i="2"/>
  <c r="Z185" i="2" s="1"/>
  <c r="AO255" i="3"/>
  <c r="X255" i="3" s="1"/>
  <c r="BE214" i="2"/>
  <c r="AI166" i="3"/>
  <c r="U166" i="3" s="1"/>
  <c r="BB212" i="2"/>
  <c r="AD212" i="2" s="1"/>
  <c r="AS68" i="2"/>
  <c r="AC68" i="2" s="1"/>
  <c r="AL51" i="3"/>
  <c r="S51" i="3" s="1"/>
  <c r="AG32" i="1"/>
  <c r="AG75" i="1"/>
  <c r="AG230" i="1"/>
  <c r="AG355" i="1"/>
  <c r="AG376" i="1"/>
  <c r="AD27" i="3"/>
  <c r="K27" i="3" s="1"/>
  <c r="AJ58" i="2"/>
  <c r="Z58" i="2" s="1"/>
  <c r="AO51" i="3"/>
  <c r="X51" i="3" s="1"/>
  <c r="BE68" i="2"/>
  <c r="AO244" i="3"/>
  <c r="X244" i="3" s="1"/>
  <c r="BE75" i="2"/>
  <c r="AL262" i="3"/>
  <c r="S262" i="3" s="1"/>
  <c r="AS91" i="2"/>
  <c r="AC91" i="2" s="1"/>
  <c r="AN139" i="3"/>
  <c r="R139" i="3" s="1"/>
  <c r="BJ92" i="2"/>
  <c r="AF92" i="2" s="1"/>
  <c r="AY95" i="2"/>
  <c r="AE95" i="2" s="1"/>
  <c r="AJ78" i="3"/>
  <c r="W78" i="3" s="1"/>
  <c r="AN104" i="3"/>
  <c r="R104" i="3" s="1"/>
  <c r="AN105" i="3"/>
  <c r="R105" i="3" s="1"/>
  <c r="AN182" i="3"/>
  <c r="R182" i="3" s="1"/>
  <c r="BJ119" i="2"/>
  <c r="AF119" i="2" s="1"/>
  <c r="AL21" i="3"/>
  <c r="S21" i="3" s="1"/>
  <c r="AS139" i="2"/>
  <c r="AC139" i="2" s="1"/>
  <c r="AP148" i="2"/>
  <c r="AB148" i="2" s="1"/>
  <c r="AP158" i="2"/>
  <c r="AB158" i="2" s="1"/>
  <c r="AE267" i="3"/>
  <c r="L267" i="3" s="1"/>
  <c r="AM184" i="2"/>
  <c r="AA184" i="2" s="1"/>
  <c r="AK258" i="3"/>
  <c r="T258" i="3" s="1"/>
  <c r="AP190" i="2"/>
  <c r="AB190" i="2" s="1"/>
  <c r="AD198" i="3"/>
  <c r="K198" i="3" s="1"/>
  <c r="AJ198" i="2"/>
  <c r="Z198" i="2" s="1"/>
  <c r="AM202" i="2"/>
  <c r="AA202" i="2" s="1"/>
  <c r="AD166" i="3"/>
  <c r="K166" i="3" s="1"/>
  <c r="AJ212" i="2"/>
  <c r="Z212" i="2" s="1"/>
  <c r="AP215" i="2"/>
  <c r="AB215" i="2" s="1"/>
  <c r="AK71" i="3"/>
  <c r="T71" i="3" s="1"/>
  <c r="AL185" i="3"/>
  <c r="S185" i="3" s="1"/>
  <c r="AS218" i="2"/>
  <c r="AC218" i="2" s="1"/>
  <c r="AD46" i="3"/>
  <c r="K46" i="3" s="1"/>
  <c r="AJ219" i="2"/>
  <c r="Z219" i="2" s="1"/>
  <c r="AE146" i="3"/>
  <c r="L146" i="3" s="1"/>
  <c r="AM229" i="2"/>
  <c r="AA229" i="2" s="1"/>
  <c r="AL275" i="3"/>
  <c r="S275" i="3" s="1"/>
  <c r="AL274" i="3"/>
  <c r="S274" i="3" s="1"/>
  <c r="AS259" i="2"/>
  <c r="AC259" i="2" s="1"/>
  <c r="AE283" i="3"/>
  <c r="L283" i="3" s="1"/>
  <c r="AM270" i="2"/>
  <c r="AA270" i="2" s="1"/>
  <c r="AK280" i="3"/>
  <c r="T280" i="3" s="1"/>
  <c r="AP280" i="2"/>
  <c r="AB280" i="2" s="1"/>
  <c r="AG281" i="2"/>
  <c r="Y281" i="2" s="1"/>
  <c r="AK138" i="3"/>
  <c r="T138" i="3" s="1"/>
  <c r="AP328" i="2"/>
  <c r="AB328" i="2" s="1"/>
  <c r="AE33" i="3"/>
  <c r="L33" i="3" s="1"/>
  <c r="AM113" i="2"/>
  <c r="AA113" i="2" s="1"/>
  <c r="AG94" i="3"/>
  <c r="N94" i="3" s="1"/>
  <c r="AG195" i="2"/>
  <c r="Y195" i="2" s="1"/>
  <c r="AJ226" i="2"/>
  <c r="Z226" i="2" s="1"/>
  <c r="AD158" i="3"/>
  <c r="K158" i="3" s="1"/>
  <c r="AN299" i="3"/>
  <c r="R299" i="3" s="1"/>
  <c r="BJ227" i="2"/>
  <c r="AF227" i="2" s="1"/>
  <c r="AD325" i="3"/>
  <c r="K325" i="3" s="1"/>
  <c r="AJ256" i="2"/>
  <c r="Z256" i="2" s="1"/>
  <c r="AE49" i="3"/>
  <c r="L49" i="3" s="1"/>
  <c r="AM306" i="2"/>
  <c r="AA306" i="2" s="1"/>
  <c r="AL296" i="3"/>
  <c r="S296" i="3" s="1"/>
  <c r="AS21" i="2"/>
  <c r="AC21" i="2" s="1"/>
  <c r="AJ300" i="3"/>
  <c r="W300" i="3" s="1"/>
  <c r="AY48" i="2"/>
  <c r="AE48" i="2" s="1"/>
  <c r="AE27" i="3"/>
  <c r="L27" i="3" s="1"/>
  <c r="AM58" i="2"/>
  <c r="AA58" i="2" s="1"/>
  <c r="AG105" i="3"/>
  <c r="N105" i="3" s="1"/>
  <c r="AG104" i="3"/>
  <c r="N104" i="3" s="1"/>
  <c r="AJ327" i="3"/>
  <c r="W327" i="3" s="1"/>
  <c r="AY160" i="2"/>
  <c r="AE160" i="2" s="1"/>
  <c r="AN290" i="3"/>
  <c r="R290" i="3" s="1"/>
  <c r="BJ168" i="2"/>
  <c r="AF168" i="2" s="1"/>
  <c r="AJ173" i="3"/>
  <c r="W173" i="3" s="1"/>
  <c r="AY169" i="2"/>
  <c r="AE169" i="2" s="1"/>
  <c r="AD147" i="3"/>
  <c r="K147" i="3" s="1"/>
  <c r="AJ179" i="2"/>
  <c r="Z179" i="2" s="1"/>
  <c r="AG35" i="3"/>
  <c r="N35" i="3" s="1"/>
  <c r="AG182" i="2"/>
  <c r="Y182" i="2" s="1"/>
  <c r="AL258" i="3"/>
  <c r="S258" i="3" s="1"/>
  <c r="AS190" i="2"/>
  <c r="AC190" i="2" s="1"/>
  <c r="AO162" i="3"/>
  <c r="X162" i="3" s="1"/>
  <c r="BE192" i="2"/>
  <c r="AG333" i="3"/>
  <c r="N333" i="3" s="1"/>
  <c r="AG216" i="2"/>
  <c r="Y216" i="2" s="1"/>
  <c r="AJ83" i="3"/>
  <c r="W83" i="3" s="1"/>
  <c r="AY235" i="2"/>
  <c r="AE235" i="2" s="1"/>
  <c r="AO287" i="3"/>
  <c r="X287" i="3" s="1"/>
  <c r="BE254" i="2"/>
  <c r="AK283" i="3"/>
  <c r="T283" i="3" s="1"/>
  <c r="AP270" i="2"/>
  <c r="AB270" i="2" s="1"/>
  <c r="AK34" i="3"/>
  <c r="T34" i="3" s="1"/>
  <c r="AP292" i="2"/>
  <c r="AB292" i="2" s="1"/>
  <c r="AL138" i="3"/>
  <c r="S138" i="3" s="1"/>
  <c r="AS328" i="2"/>
  <c r="AC328" i="2" s="1"/>
  <c r="AE270" i="3"/>
  <c r="L270" i="3" s="1"/>
  <c r="AM88" i="2"/>
  <c r="AA88" i="2" s="1"/>
  <c r="AG423" i="1"/>
  <c r="AN19" i="3"/>
  <c r="R19" i="3" s="1"/>
  <c r="BJ66" i="2"/>
  <c r="AF66" i="2" s="1"/>
  <c r="AL52" i="3"/>
  <c r="S52" i="3" s="1"/>
  <c r="AS70" i="2"/>
  <c r="AC70" i="2" s="1"/>
  <c r="AO284" i="3"/>
  <c r="X284" i="3" s="1"/>
  <c r="BE98" i="2"/>
  <c r="AN135" i="3"/>
  <c r="R135" i="3" s="1"/>
  <c r="BJ108" i="2"/>
  <c r="AF108" i="2" s="1"/>
  <c r="AL67" i="3"/>
  <c r="S67" i="3" s="1"/>
  <c r="AS162" i="2"/>
  <c r="AC162" i="2" s="1"/>
  <c r="BH166" i="2"/>
  <c r="AK278" i="3"/>
  <c r="T278" i="3" s="1"/>
  <c r="AP209" i="2"/>
  <c r="AB209" i="2" s="1"/>
  <c r="AO277" i="3"/>
  <c r="X277" i="3" s="1"/>
  <c r="BE240" i="2"/>
  <c r="AI225" i="3"/>
  <c r="U225" i="3" s="1"/>
  <c r="BB248" i="2"/>
  <c r="AD248" i="2" s="1"/>
  <c r="AJ82" i="3"/>
  <c r="W82" i="3" s="1"/>
  <c r="AY249" i="2"/>
  <c r="AE249" i="2" s="1"/>
  <c r="AJ41" i="3"/>
  <c r="W41" i="3" s="1"/>
  <c r="AY253" i="2"/>
  <c r="AE253" i="2" s="1"/>
  <c r="AS264" i="2"/>
  <c r="AC264" i="2" s="1"/>
  <c r="AG215" i="3"/>
  <c r="N215" i="3" s="1"/>
  <c r="AG304" i="2"/>
  <c r="Y304" i="2" s="1"/>
  <c r="AG320" i="2"/>
  <c r="Y320" i="2" s="1"/>
  <c r="AD331" i="3"/>
  <c r="K331" i="3" s="1"/>
  <c r="AJ334" i="2"/>
  <c r="Z334" i="2" s="1"/>
  <c r="BB336" i="2"/>
  <c r="AD336" i="2" s="1"/>
  <c r="AL85" i="3"/>
  <c r="S85" i="3" s="1"/>
  <c r="AS337" i="2"/>
  <c r="AC337" i="2" s="1"/>
  <c r="AD298" i="3"/>
  <c r="K298" i="3" s="1"/>
  <c r="AJ345" i="2"/>
  <c r="Z345" i="2" s="1"/>
  <c r="AO105" i="3"/>
  <c r="X105" i="3" s="1"/>
  <c r="AN227" i="3"/>
  <c r="R227" i="3" s="1"/>
  <c r="AN165" i="3"/>
  <c r="R165" i="3" s="1"/>
  <c r="BJ35" i="2"/>
  <c r="AF35" i="2" s="1"/>
  <c r="AG202" i="3"/>
  <c r="N202" i="3" s="1"/>
  <c r="AG59" i="2"/>
  <c r="Y59" i="2" s="1"/>
  <c r="AD113" i="3"/>
  <c r="K113" i="3" s="1"/>
  <c r="AJ102" i="2"/>
  <c r="Z102" i="2" s="1"/>
  <c r="AD291" i="3"/>
  <c r="K291" i="3" s="1"/>
  <c r="AJ114" i="2"/>
  <c r="Z114" i="2" s="1"/>
  <c r="AG200" i="3"/>
  <c r="N200" i="3" s="1"/>
  <c r="AG144" i="2"/>
  <c r="Y144" i="2" s="1"/>
  <c r="AE214" i="3"/>
  <c r="L214" i="3" s="1"/>
  <c r="AM206" i="2"/>
  <c r="AA206" i="2" s="1"/>
  <c r="AE299" i="3"/>
  <c r="L299" i="3" s="1"/>
  <c r="AM227" i="2"/>
  <c r="AA227" i="2" s="1"/>
  <c r="AN314" i="3"/>
  <c r="R314" i="3" s="1"/>
  <c r="BJ272" i="2"/>
  <c r="AF272" i="2" s="1"/>
  <c r="AL25" i="3"/>
  <c r="S25" i="3" s="1"/>
  <c r="AS63" i="2"/>
  <c r="AC63" i="2" s="1"/>
  <c r="AE316" i="3"/>
  <c r="L316" i="3" s="1"/>
  <c r="AM174" i="2"/>
  <c r="AA174" i="2" s="1"/>
  <c r="AD208" i="3"/>
  <c r="K208" i="3" s="1"/>
  <c r="AJ196" i="2"/>
  <c r="Z196" i="2" s="1"/>
  <c r="AK20" i="3"/>
  <c r="T20" i="3" s="1"/>
  <c r="AP315" i="2"/>
  <c r="AB315" i="2" s="1"/>
  <c r="AG47" i="1"/>
  <c r="AG122" i="1"/>
  <c r="AG392" i="1"/>
  <c r="AE323" i="3"/>
  <c r="L323" i="3" s="1"/>
  <c r="AM37" i="2"/>
  <c r="AA37" i="2" s="1"/>
  <c r="AK47" i="3"/>
  <c r="T47" i="3" s="1"/>
  <c r="AP61" i="2"/>
  <c r="AB61" i="2" s="1"/>
  <c r="AJ322" i="3"/>
  <c r="W322" i="3" s="1"/>
  <c r="AY72" i="2"/>
  <c r="AE72" i="2" s="1"/>
  <c r="AN96" i="3"/>
  <c r="R96" i="3" s="1"/>
  <c r="BJ103" i="2"/>
  <c r="AF103" i="2" s="1"/>
  <c r="AD160" i="3"/>
  <c r="K160" i="3" s="1"/>
  <c r="AJ157" i="2"/>
  <c r="Z157" i="2" s="1"/>
  <c r="AD305" i="3"/>
  <c r="K305" i="3" s="1"/>
  <c r="AJ224" i="2"/>
  <c r="Z224" i="2" s="1"/>
  <c r="AJ243" i="2"/>
  <c r="Z243" i="2" s="1"/>
  <c r="AD7" i="3"/>
  <c r="K7" i="3" s="1"/>
  <c r="AO247" i="3"/>
  <c r="X247" i="3" s="1"/>
  <c r="BE5" i="2"/>
  <c r="AO296" i="3"/>
  <c r="X296" i="3" s="1"/>
  <c r="BE21" i="2"/>
  <c r="AE315" i="3"/>
  <c r="L315" i="3" s="1"/>
  <c r="AM141" i="2"/>
  <c r="AA141" i="2" s="1"/>
  <c r="AJ14" i="3"/>
  <c r="W14" i="3" s="1"/>
  <c r="AY161" i="2"/>
  <c r="AE161" i="2" s="1"/>
  <c r="AG238" i="3"/>
  <c r="N238" i="3" s="1"/>
  <c r="AG180" i="2"/>
  <c r="Y180" i="2" s="1"/>
  <c r="AN43" i="3"/>
  <c r="R43" i="3" s="1"/>
  <c r="BJ231" i="2"/>
  <c r="AF231" i="2" s="1"/>
  <c r="AO288" i="3"/>
  <c r="X288" i="3" s="1"/>
  <c r="BE13" i="2"/>
  <c r="AD323" i="3"/>
  <c r="K323" i="3" s="1"/>
  <c r="AJ37" i="2"/>
  <c r="Z37" i="2" s="1"/>
  <c r="AJ150" i="3"/>
  <c r="W150" i="3" s="1"/>
  <c r="AY67" i="2"/>
  <c r="AE67" i="2" s="1"/>
  <c r="AL8" i="3"/>
  <c r="S8" i="3" s="1"/>
  <c r="AS104" i="2"/>
  <c r="AC104" i="2" s="1"/>
  <c r="AL35" i="3"/>
  <c r="S35" i="3" s="1"/>
  <c r="AS182" i="2"/>
  <c r="AC182" i="2" s="1"/>
  <c r="AK89" i="3"/>
  <c r="T89" i="3" s="1"/>
  <c r="AP213" i="2"/>
  <c r="AB213" i="2" s="1"/>
  <c r="AE131" i="3"/>
  <c r="L131" i="3" s="1"/>
  <c r="AM234" i="2"/>
  <c r="AA234" i="2" s="1"/>
  <c r="AN83" i="3"/>
  <c r="R83" i="3" s="1"/>
  <c r="BJ235" i="2"/>
  <c r="AF235" i="2" s="1"/>
  <c r="AJ220" i="3"/>
  <c r="W220" i="3" s="1"/>
  <c r="AY241" i="2"/>
  <c r="AE241" i="2" s="1"/>
  <c r="AJ36" i="3"/>
  <c r="W36" i="3" s="1"/>
  <c r="AG65" i="1"/>
  <c r="AG307" i="1"/>
  <c r="AG402" i="1"/>
  <c r="AJ161" i="3"/>
  <c r="W161" i="3" s="1"/>
  <c r="AY24" i="2"/>
  <c r="AE24" i="2" s="1"/>
  <c r="AD219" i="3"/>
  <c r="K219" i="3" s="1"/>
  <c r="AJ25" i="2"/>
  <c r="Z25" i="2" s="1"/>
  <c r="AD155" i="3"/>
  <c r="K155" i="3" s="1"/>
  <c r="AJ31" i="2"/>
  <c r="Z31" i="2" s="1"/>
  <c r="AJ27" i="3"/>
  <c r="W27" i="3" s="1"/>
  <c r="AY58" i="2"/>
  <c r="AE58" i="2" s="1"/>
  <c r="AO95" i="3"/>
  <c r="X95" i="3" s="1"/>
  <c r="BE87" i="2"/>
  <c r="AK124" i="3"/>
  <c r="T124" i="3" s="1"/>
  <c r="AP90" i="2"/>
  <c r="AB90" i="2" s="1"/>
  <c r="BH91" i="2"/>
  <c r="AE291" i="3"/>
  <c r="L291" i="3" s="1"/>
  <c r="AM114" i="2"/>
  <c r="AA114" i="2" s="1"/>
  <c r="AG154" i="1"/>
  <c r="AG177" i="1"/>
  <c r="AG185" i="1"/>
  <c r="AG226" i="1"/>
  <c r="AG234" i="1"/>
  <c r="AG242" i="1"/>
  <c r="AG258" i="1"/>
  <c r="AG291" i="1"/>
  <c r="AG350" i="1"/>
  <c r="AG361" i="1"/>
  <c r="AG371" i="1"/>
  <c r="AD4" i="3"/>
  <c r="K4" i="3" s="1"/>
  <c r="AJ120" i="2"/>
  <c r="Z120" i="2" s="1"/>
  <c r="AJ285" i="3"/>
  <c r="W285" i="3" s="1"/>
  <c r="AY140" i="2"/>
  <c r="AE140" i="2" s="1"/>
  <c r="BH145" i="2"/>
  <c r="AJ293" i="3"/>
  <c r="W293" i="3" s="1"/>
  <c r="AY167" i="2"/>
  <c r="AE167" i="2" s="1"/>
  <c r="AG209" i="3"/>
  <c r="N209" i="3" s="1"/>
  <c r="AG200" i="2"/>
  <c r="Y200" i="2" s="1"/>
  <c r="AO207" i="3"/>
  <c r="X207" i="3" s="1"/>
  <c r="BE284" i="2"/>
  <c r="AG23" i="1"/>
  <c r="AG29" i="1"/>
  <c r="AG35" i="1"/>
  <c r="AG148" i="1"/>
  <c r="AG193" i="1"/>
  <c r="AG275" i="1"/>
  <c r="AG332" i="1"/>
  <c r="AG382" i="1"/>
  <c r="BH7" i="2"/>
  <c r="AG120" i="3"/>
  <c r="N120" i="3" s="1"/>
  <c r="AG11" i="2"/>
  <c r="Y11" i="2" s="1"/>
  <c r="AN156" i="3"/>
  <c r="R156" i="3" s="1"/>
  <c r="BJ19" i="2"/>
  <c r="AF19" i="2" s="1"/>
  <c r="AV22" i="2"/>
  <c r="AE163" i="3"/>
  <c r="L163" i="3" s="1"/>
  <c r="AM52" i="2"/>
  <c r="AA52" i="2" s="1"/>
  <c r="AL5" i="3"/>
  <c r="S5" i="3" s="1"/>
  <c r="AS77" i="2"/>
  <c r="AC77" i="2" s="1"/>
  <c r="AD84" i="3"/>
  <c r="K84" i="3" s="1"/>
  <c r="AJ112" i="2"/>
  <c r="Z112" i="2" s="1"/>
  <c r="AK159" i="3"/>
  <c r="T159" i="3" s="1"/>
  <c r="AP127" i="2"/>
  <c r="AB127" i="2" s="1"/>
  <c r="BH148" i="2"/>
  <c r="BJ150" i="2"/>
  <c r="AF150" i="2" s="1"/>
  <c r="AJ172" i="2"/>
  <c r="Z172" i="2" s="1"/>
  <c r="AO267" i="3"/>
  <c r="X267" i="3" s="1"/>
  <c r="BE184" i="2"/>
  <c r="AG73" i="3"/>
  <c r="N73" i="3" s="1"/>
  <c r="AG197" i="2"/>
  <c r="Y197" i="2" s="1"/>
  <c r="BE198" i="2"/>
  <c r="AG214" i="2"/>
  <c r="Y214" i="2" s="1"/>
  <c r="AN71" i="3"/>
  <c r="R71" i="3" s="1"/>
  <c r="BJ215" i="2"/>
  <c r="AF215" i="2" s="1"/>
  <c r="AK64" i="3"/>
  <c r="T64" i="3" s="1"/>
  <c r="AP238" i="2"/>
  <c r="AB238" i="2" s="1"/>
  <c r="AD313" i="3"/>
  <c r="K313" i="3" s="1"/>
  <c r="AJ239" i="2"/>
  <c r="Z239" i="2" s="1"/>
  <c r="AE235" i="3"/>
  <c r="L235" i="3" s="1"/>
  <c r="AM278" i="2"/>
  <c r="AA278" i="2" s="1"/>
  <c r="AG227" i="3"/>
  <c r="N227" i="3" s="1"/>
  <c r="AG279" i="2"/>
  <c r="Y279" i="2" s="1"/>
  <c r="AP300" i="2"/>
  <c r="AB300" i="2" s="1"/>
  <c r="AL77" i="3"/>
  <c r="S77" i="3" s="1"/>
  <c r="AS97" i="2"/>
  <c r="AC97" i="2" s="1"/>
  <c r="AG96" i="3"/>
  <c r="N96" i="3" s="1"/>
  <c r="AG103" i="2"/>
  <c r="Y103" i="2" s="1"/>
  <c r="AO79" i="3"/>
  <c r="X79" i="3" s="1"/>
  <c r="BE118" i="2"/>
  <c r="AG139" i="2"/>
  <c r="Y139" i="2" s="1"/>
  <c r="AG329" i="3"/>
  <c r="N329" i="3" s="1"/>
  <c r="AG152" i="2"/>
  <c r="Y152" i="2" s="1"/>
  <c r="AJ160" i="2"/>
  <c r="Z160" i="2" s="1"/>
  <c r="AL290" i="3"/>
  <c r="S290" i="3" s="1"/>
  <c r="AS168" i="2"/>
  <c r="AC168" i="2" s="1"/>
  <c r="BJ204" i="2"/>
  <c r="AF204" i="2" s="1"/>
  <c r="BE212" i="2"/>
  <c r="AM239" i="2"/>
  <c r="AA239" i="2" s="1"/>
  <c r="BJ248" i="2"/>
  <c r="AF248" i="2" s="1"/>
  <c r="AN264" i="3"/>
  <c r="R264" i="3" s="1"/>
  <c r="BJ262" i="2"/>
  <c r="AF262" i="2" s="1"/>
  <c r="AG301" i="2"/>
  <c r="Y301" i="2" s="1"/>
  <c r="BJ317" i="2"/>
  <c r="AF317" i="2" s="1"/>
  <c r="AL167" i="3"/>
  <c r="S167" i="3" s="1"/>
  <c r="AS86" i="2"/>
  <c r="AC86" i="2" s="1"/>
  <c r="AJ287" i="2"/>
  <c r="Z287" i="2" s="1"/>
  <c r="AD251" i="3"/>
  <c r="K251" i="3" s="1"/>
  <c r="AJ305" i="2"/>
  <c r="Z305" i="2" s="1"/>
  <c r="AD80" i="3"/>
  <c r="K80" i="3" s="1"/>
  <c r="AN329" i="3"/>
  <c r="R329" i="3" s="1"/>
  <c r="BJ152" i="2"/>
  <c r="AF152" i="2" s="1"/>
  <c r="AK26" i="3"/>
  <c r="T26" i="3" s="1"/>
  <c r="AP261" i="2"/>
  <c r="AB261" i="2" s="1"/>
  <c r="AD135" i="3"/>
  <c r="K135" i="3" s="1"/>
  <c r="AJ108" i="2"/>
  <c r="Z108" i="2" s="1"/>
  <c r="AL74" i="3"/>
  <c r="S74" i="3" s="1"/>
  <c r="AS107" i="2"/>
  <c r="AC107" i="2" s="1"/>
  <c r="AG363" i="1"/>
  <c r="AE237" i="3"/>
  <c r="L237" i="3" s="1"/>
  <c r="AM3" i="2"/>
  <c r="AA3" i="2" s="1"/>
  <c r="AL219" i="3"/>
  <c r="S219" i="3" s="1"/>
  <c r="AS25" i="2"/>
  <c r="AC25" i="2" s="1"/>
  <c r="AD102" i="3"/>
  <c r="K102" i="3" s="1"/>
  <c r="AJ71" i="2"/>
  <c r="Z71" i="2" s="1"/>
  <c r="AN14" i="3"/>
  <c r="R14" i="3" s="1"/>
  <c r="BJ161" i="2"/>
  <c r="AF161" i="2" s="1"/>
  <c r="AE130" i="3"/>
  <c r="L130" i="3" s="1"/>
  <c r="AM175" i="2"/>
  <c r="AA175" i="2" s="1"/>
  <c r="AD232" i="3"/>
  <c r="K232" i="3" s="1"/>
  <c r="AJ193" i="2"/>
  <c r="Z193" i="2" s="1"/>
  <c r="AN180" i="3"/>
  <c r="R180" i="3" s="1"/>
  <c r="BJ194" i="2"/>
  <c r="AF194" i="2" s="1"/>
  <c r="AJ214" i="3"/>
  <c r="W214" i="3" s="1"/>
  <c r="AY206" i="2"/>
  <c r="AE206" i="2" s="1"/>
  <c r="AJ89" i="3"/>
  <c r="W89" i="3" s="1"/>
  <c r="AY213" i="2"/>
  <c r="AE213" i="2" s="1"/>
  <c r="AK313" i="3"/>
  <c r="T313" i="3" s="1"/>
  <c r="AP239" i="2"/>
  <c r="AB239" i="2" s="1"/>
  <c r="AD282" i="3"/>
  <c r="K282" i="3" s="1"/>
  <c r="AJ301" i="2"/>
  <c r="Z301" i="2" s="1"/>
  <c r="AJ276" i="3"/>
  <c r="W276" i="3" s="1"/>
  <c r="AY319" i="2"/>
  <c r="AE319" i="2" s="1"/>
  <c r="AJ193" i="3"/>
  <c r="W193" i="3" s="1"/>
  <c r="AY341" i="2"/>
  <c r="AE341" i="2" s="1"/>
  <c r="AO16" i="3"/>
  <c r="X16" i="3" s="1"/>
  <c r="BE156" i="2"/>
  <c r="AG400" i="1"/>
  <c r="AG372" i="1"/>
  <c r="AG344" i="1"/>
  <c r="AG337" i="1"/>
  <c r="AG330" i="1"/>
  <c r="AG323" i="1"/>
  <c r="AG316" i="1"/>
  <c r="AG309" i="1"/>
  <c r="AG302" i="1"/>
  <c r="AG295" i="1"/>
  <c r="AG288" i="1"/>
  <c r="AG281" i="1"/>
  <c r="AG274" i="1"/>
  <c r="AG267" i="1"/>
  <c r="AG260" i="1"/>
  <c r="AG253" i="1"/>
  <c r="AG246" i="1"/>
  <c r="AG239" i="1"/>
  <c r="AG232" i="1"/>
  <c r="AG225" i="1"/>
  <c r="AG218" i="1"/>
  <c r="AG211" i="1"/>
  <c r="AG204" i="1"/>
  <c r="AG197" i="1"/>
  <c r="AG190" i="1"/>
  <c r="AG183" i="1"/>
  <c r="AG176" i="1"/>
  <c r="AG169" i="1"/>
  <c r="AG162" i="1"/>
  <c r="AG133" i="1"/>
  <c r="AG105" i="1"/>
  <c r="AG77" i="1"/>
  <c r="AG49" i="1"/>
  <c r="AG21" i="1"/>
  <c r="AG5" i="1"/>
  <c r="AG408" i="1"/>
  <c r="AG380" i="1"/>
  <c r="AG352" i="1"/>
  <c r="AG343" i="1"/>
  <c r="AG336" i="1"/>
  <c r="AG329" i="1"/>
  <c r="AG322" i="1"/>
  <c r="AG315" i="1"/>
  <c r="AG308" i="1"/>
  <c r="AG301" i="1"/>
  <c r="AG294" i="1"/>
  <c r="AG287" i="1"/>
  <c r="AG280" i="1"/>
  <c r="AG273" i="1"/>
  <c r="AG266" i="1"/>
  <c r="AG259" i="1"/>
  <c r="AG252" i="1"/>
  <c r="AG245" i="1"/>
  <c r="AG238" i="1"/>
  <c r="AG231" i="1"/>
  <c r="AG224" i="1"/>
  <c r="AG217" i="1"/>
  <c r="AG210" i="1"/>
  <c r="AG203" i="1"/>
  <c r="AG196" i="1"/>
  <c r="AG189" i="1"/>
  <c r="AG182" i="1"/>
  <c r="AG175" i="1"/>
  <c r="AG168" i="1"/>
  <c r="AG161" i="1"/>
  <c r="AG424" i="1"/>
  <c r="AG396" i="1"/>
  <c r="AG368" i="1"/>
  <c r="AG341" i="1"/>
  <c r="AG334" i="1"/>
  <c r="AG327" i="1"/>
  <c r="AG320" i="1"/>
  <c r="AG313" i="1"/>
  <c r="AG306" i="1"/>
  <c r="AG299" i="1"/>
  <c r="AG292" i="1"/>
  <c r="AG285" i="1"/>
  <c r="AG278" i="1"/>
  <c r="AG271" i="1"/>
  <c r="AG264" i="1"/>
  <c r="AG257" i="1"/>
  <c r="AG250" i="1"/>
  <c r="AG243" i="1"/>
  <c r="AG236" i="1"/>
  <c r="AG229" i="1"/>
  <c r="AG222" i="1"/>
  <c r="AG215" i="1"/>
  <c r="AG208" i="1"/>
  <c r="AG201" i="1"/>
  <c r="AG194" i="1"/>
  <c r="AG187" i="1"/>
  <c r="AG180" i="1"/>
  <c r="AG173" i="1"/>
  <c r="AG166" i="1"/>
  <c r="AG159" i="1"/>
  <c r="AG153" i="1"/>
  <c r="AG125" i="1"/>
  <c r="AG97" i="1"/>
  <c r="AG69" i="1"/>
  <c r="AG41" i="1"/>
  <c r="AG13" i="1"/>
  <c r="AG417" i="1"/>
  <c r="AG388" i="1"/>
  <c r="AG359" i="1"/>
  <c r="AG317" i="1"/>
  <c r="AG262" i="1"/>
  <c r="AG207" i="1"/>
  <c r="AG160" i="1"/>
  <c r="AG142" i="1"/>
  <c r="AG113" i="1"/>
  <c r="AG90" i="1"/>
  <c r="AG67" i="1"/>
  <c r="AG44" i="1"/>
  <c r="AG378" i="1"/>
  <c r="AG349" i="1"/>
  <c r="AG293" i="1"/>
  <c r="AG254" i="1"/>
  <c r="AG199" i="1"/>
  <c r="AG136" i="1"/>
  <c r="AG84" i="1"/>
  <c r="AG407" i="1"/>
  <c r="AG340" i="1"/>
  <c r="AG61" i="1"/>
  <c r="AG38" i="1"/>
  <c r="AG15" i="1"/>
  <c r="AG9" i="1"/>
  <c r="AG416" i="1"/>
  <c r="AG387" i="1"/>
  <c r="AG358" i="1"/>
  <c r="AG324" i="1"/>
  <c r="AG269" i="1"/>
  <c r="AG214" i="1"/>
  <c r="AG167" i="1"/>
  <c r="AG147" i="1"/>
  <c r="AG124" i="1"/>
  <c r="AG101" i="1"/>
  <c r="AG78" i="1"/>
  <c r="AG26" i="1"/>
  <c r="AG367" i="1"/>
  <c r="AG300" i="1"/>
  <c r="AG261" i="1"/>
  <c r="AG206" i="1"/>
  <c r="AG141" i="1"/>
  <c r="AG118" i="1"/>
  <c r="AG95" i="1"/>
  <c r="AG339" i="1"/>
  <c r="AG198" i="1"/>
  <c r="AG112" i="1"/>
  <c r="AG66" i="1"/>
  <c r="AG43" i="1"/>
  <c r="AG37" i="1"/>
  <c r="AG135" i="1"/>
  <c r="AG406" i="1"/>
  <c r="AG377" i="1"/>
  <c r="AG348" i="1"/>
  <c r="AG72" i="1"/>
  <c r="AG20" i="1"/>
  <c r="AG237" i="1"/>
  <c r="AG89" i="1"/>
  <c r="AG415" i="1"/>
  <c r="AG357" i="1"/>
  <c r="AG331" i="1"/>
  <c r="AG221" i="1"/>
  <c r="AG284" i="1"/>
  <c r="AG386" i="1"/>
  <c r="AG276" i="1"/>
  <c r="AG414" i="1"/>
  <c r="AG385" i="1"/>
  <c r="AG356" i="1"/>
  <c r="AG338" i="1"/>
  <c r="AG283" i="1"/>
  <c r="AG228" i="1"/>
  <c r="AG181" i="1"/>
  <c r="AG140" i="1"/>
  <c r="AG117" i="1"/>
  <c r="AG94" i="1"/>
  <c r="AG6" i="1"/>
  <c r="AF18" i="1"/>
  <c r="AG55" i="1"/>
  <c r="AG143" i="1"/>
  <c r="AG163" i="1"/>
  <c r="AG171" i="1"/>
  <c r="AG244" i="1"/>
  <c r="AG384" i="1"/>
  <c r="AJ7" i="2"/>
  <c r="Z7" i="2" s="1"/>
  <c r="AJ21" i="2"/>
  <c r="Z21" i="2" s="1"/>
  <c r="AE289" i="3"/>
  <c r="L289" i="3" s="1"/>
  <c r="AM23" i="2"/>
  <c r="AA23" i="2" s="1"/>
  <c r="BE28" i="2"/>
  <c r="AN44" i="3"/>
  <c r="R44" i="3" s="1"/>
  <c r="BJ30" i="2"/>
  <c r="AF30" i="2" s="1"/>
  <c r="AS31" i="2"/>
  <c r="AC31" i="2" s="1"/>
  <c r="AK165" i="3"/>
  <c r="T165" i="3" s="1"/>
  <c r="AP35" i="2"/>
  <c r="AB35" i="2" s="1"/>
  <c r="AY47" i="2"/>
  <c r="AE47" i="2" s="1"/>
  <c r="AK151" i="3"/>
  <c r="T151" i="3" s="1"/>
  <c r="AP50" i="2"/>
  <c r="AB50" i="2" s="1"/>
  <c r="AG60" i="2"/>
  <c r="Y60" i="2" s="1"/>
  <c r="BJ60" i="2"/>
  <c r="AF60" i="2" s="1"/>
  <c r="AY61" i="2"/>
  <c r="AE61" i="2" s="1"/>
  <c r="AM62" i="2"/>
  <c r="AA62" i="2" s="1"/>
  <c r="AD129" i="3"/>
  <c r="K129" i="3" s="1"/>
  <c r="AJ69" i="2"/>
  <c r="Z69" i="2" s="1"/>
  <c r="BE81" i="2"/>
  <c r="AS82" i="2"/>
  <c r="AC82" i="2" s="1"/>
  <c r="AY90" i="2"/>
  <c r="AE90" i="2" s="1"/>
  <c r="AI104" i="3"/>
  <c r="U104" i="3" s="1"/>
  <c r="AI105" i="3"/>
  <c r="U105" i="3" s="1"/>
  <c r="AE157" i="3"/>
  <c r="L157" i="3" s="1"/>
  <c r="AM142" i="2"/>
  <c r="AA142" i="2" s="1"/>
  <c r="AD334" i="3"/>
  <c r="AJ150" i="2"/>
  <c r="Z150" i="2" s="1"/>
  <c r="AP155" i="2"/>
  <c r="AB155" i="2" s="1"/>
  <c r="AJ319" i="3"/>
  <c r="W319" i="3" s="1"/>
  <c r="AY159" i="2"/>
  <c r="AE159" i="2" s="1"/>
  <c r="AK236" i="3"/>
  <c r="T236" i="3" s="1"/>
  <c r="AP172" i="2"/>
  <c r="AB172" i="2" s="1"/>
  <c r="AG181" i="2"/>
  <c r="Y181" i="2" s="1"/>
  <c r="AG187" i="2"/>
  <c r="Y187" i="2" s="1"/>
  <c r="AI211" i="3"/>
  <c r="U211" i="3" s="1"/>
  <c r="BB191" i="2"/>
  <c r="AD191" i="2" s="1"/>
  <c r="AG204" i="2"/>
  <c r="Y204" i="2" s="1"/>
  <c r="BE205" i="2"/>
  <c r="BJ219" i="2"/>
  <c r="AF219" i="2" s="1"/>
  <c r="AN46" i="3"/>
  <c r="R46" i="3" s="1"/>
  <c r="AP231" i="2"/>
  <c r="AB231" i="2" s="1"/>
  <c r="AG277" i="3"/>
  <c r="N277" i="3" s="1"/>
  <c r="AG240" i="2"/>
  <c r="Y240" i="2" s="1"/>
  <c r="AN132" i="3"/>
  <c r="R132" i="3" s="1"/>
  <c r="BJ263" i="2"/>
  <c r="AF263" i="2" s="1"/>
  <c r="AK336" i="3"/>
  <c r="T336" i="3" s="1"/>
  <c r="AP265" i="2"/>
  <c r="AB265" i="2" s="1"/>
  <c r="AM287" i="2"/>
  <c r="AA287" i="2" s="1"/>
  <c r="AN332" i="3"/>
  <c r="R332" i="3" s="1"/>
  <c r="BJ332" i="2"/>
  <c r="AF332" i="2" s="1"/>
  <c r="AO308" i="3"/>
  <c r="X308" i="3" s="1"/>
  <c r="BE340" i="2"/>
  <c r="AL301" i="3"/>
  <c r="S301" i="3" s="1"/>
  <c r="AS47" i="2"/>
  <c r="AC47" i="2" s="1"/>
  <c r="AK219" i="3"/>
  <c r="T219" i="3" s="1"/>
  <c r="AP25" i="2"/>
  <c r="AB25" i="2" s="1"/>
  <c r="AO62" i="3"/>
  <c r="X62" i="3" s="1"/>
  <c r="BE106" i="2"/>
  <c r="AJ17" i="2"/>
  <c r="Z17" i="2" s="1"/>
  <c r="AD143" i="3"/>
  <c r="AG44" i="2"/>
  <c r="Y44" i="2" s="1"/>
  <c r="AG30" i="3"/>
  <c r="N30" i="3" s="1"/>
  <c r="AD53" i="3"/>
  <c r="K53" i="3" s="1"/>
  <c r="AJ64" i="2"/>
  <c r="Z64" i="2" s="1"/>
  <c r="AN320" i="3"/>
  <c r="R320" i="3" s="1"/>
  <c r="BJ96" i="2"/>
  <c r="AF96" i="2" s="1"/>
  <c r="AO285" i="3"/>
  <c r="X285" i="3" s="1"/>
  <c r="BE140" i="2"/>
  <c r="AG130" i="1"/>
  <c r="AG342" i="1"/>
  <c r="AG12" i="1"/>
  <c r="AG80" i="1"/>
  <c r="AG92" i="1"/>
  <c r="AG179" i="1"/>
  <c r="AG212" i="1"/>
  <c r="AG220" i="1"/>
  <c r="AG277" i="1"/>
  <c r="AG374" i="1"/>
  <c r="AD288" i="3"/>
  <c r="K288" i="3" s="1"/>
  <c r="AJ13" i="2"/>
  <c r="Z13" i="2" s="1"/>
  <c r="AN56" i="3"/>
  <c r="R56" i="3" s="1"/>
  <c r="BJ32" i="2"/>
  <c r="AF32" i="2" s="1"/>
  <c r="AO196" i="3"/>
  <c r="X196" i="3" s="1"/>
  <c r="BE54" i="2"/>
  <c r="AG320" i="3"/>
  <c r="N320" i="3" s="1"/>
  <c r="AG96" i="2"/>
  <c r="Y96" i="2" s="1"/>
  <c r="AE172" i="3"/>
  <c r="L172" i="3" s="1"/>
  <c r="AM128" i="2"/>
  <c r="AA128" i="2" s="1"/>
  <c r="AJ81" i="3"/>
  <c r="W81" i="3" s="1"/>
  <c r="AY131" i="2"/>
  <c r="AE131" i="2" s="1"/>
  <c r="AO201" i="3"/>
  <c r="X201" i="3" s="1"/>
  <c r="BE237" i="2"/>
  <c r="AD197" i="3"/>
  <c r="K197" i="3" s="1"/>
  <c r="AJ313" i="2"/>
  <c r="Z313" i="2" s="1"/>
  <c r="AI292" i="3"/>
  <c r="U292" i="3" s="1"/>
  <c r="BB170" i="2"/>
  <c r="AD170" i="2" s="1"/>
  <c r="AI297" i="3"/>
  <c r="U297" i="3" s="1"/>
  <c r="BB176" i="2"/>
  <c r="AD176" i="2" s="1"/>
  <c r="AD96" i="3"/>
  <c r="K96" i="3" s="1"/>
  <c r="AJ103" i="2"/>
  <c r="Z103" i="2" s="1"/>
  <c r="AE259" i="3"/>
  <c r="L259" i="3" s="1"/>
  <c r="AM155" i="2"/>
  <c r="AA155" i="2" s="1"/>
  <c r="AG36" i="1"/>
  <c r="AG149" i="1"/>
  <c r="AJ217" i="3"/>
  <c r="W217" i="3" s="1"/>
  <c r="AY124" i="2"/>
  <c r="AE124" i="2" s="1"/>
  <c r="AE327" i="3"/>
  <c r="L327" i="3" s="1"/>
  <c r="AM160" i="2"/>
  <c r="AA160" i="2" s="1"/>
  <c r="AG18" i="1"/>
  <c r="AG353" i="1"/>
  <c r="AG405" i="1"/>
  <c r="AG364" i="1"/>
  <c r="AO88" i="3"/>
  <c r="X88" i="3" s="1"/>
  <c r="BE8" i="2"/>
  <c r="BB14" i="2"/>
  <c r="AD14" i="2" s="1"/>
  <c r="AK289" i="3"/>
  <c r="T289" i="3" s="1"/>
  <c r="AP23" i="2"/>
  <c r="AB23" i="2" s="1"/>
  <c r="AL261" i="3"/>
  <c r="S261" i="3" s="1"/>
  <c r="AS29" i="2"/>
  <c r="AC29" i="2" s="1"/>
  <c r="AL151" i="3"/>
  <c r="S151" i="3" s="1"/>
  <c r="AS50" i="2"/>
  <c r="AC50" i="2" s="1"/>
  <c r="AL339" i="3"/>
  <c r="S339" i="3" s="1"/>
  <c r="AS73" i="2"/>
  <c r="AC73" i="2" s="1"/>
  <c r="BB88" i="2"/>
  <c r="AD88" i="2" s="1"/>
  <c r="AK110" i="3"/>
  <c r="T110" i="3" s="1"/>
  <c r="AP93" i="2"/>
  <c r="AB93" i="2" s="1"/>
  <c r="AO12" i="3"/>
  <c r="X12" i="3" s="1"/>
  <c r="BE99" i="2"/>
  <c r="AJ113" i="3"/>
  <c r="W113" i="3" s="1"/>
  <c r="AY102" i="2"/>
  <c r="AE102" i="2" s="1"/>
  <c r="AJ195" i="3"/>
  <c r="W195" i="3" s="1"/>
  <c r="AY138" i="2"/>
  <c r="AE138" i="2" s="1"/>
  <c r="AE334" i="3"/>
  <c r="AM150" i="2"/>
  <c r="AA150" i="2" s="1"/>
  <c r="AN269" i="3"/>
  <c r="R269" i="3" s="1"/>
  <c r="BJ153" i="2"/>
  <c r="AF153" i="2" s="1"/>
  <c r="AG14" i="3"/>
  <c r="N14" i="3" s="1"/>
  <c r="AG161" i="2"/>
  <c r="Y161" i="2" s="1"/>
  <c r="AK173" i="3"/>
  <c r="T173" i="3" s="1"/>
  <c r="AP169" i="2"/>
  <c r="AB169" i="2" s="1"/>
  <c r="AL107" i="3"/>
  <c r="S107" i="3" s="1"/>
  <c r="AS183" i="2"/>
  <c r="AC183" i="2" s="1"/>
  <c r="AO168" i="3"/>
  <c r="X168" i="3" s="1"/>
  <c r="BE199" i="2"/>
  <c r="AE205" i="3"/>
  <c r="L205" i="3" s="1"/>
  <c r="AM201" i="2"/>
  <c r="AA201" i="2" s="1"/>
  <c r="AS247" i="2"/>
  <c r="AC247" i="2" s="1"/>
  <c r="J285" i="2"/>
  <c r="U285" i="2"/>
  <c r="AO341" i="3"/>
  <c r="X341" i="3" s="1"/>
  <c r="BE285" i="2"/>
  <c r="AG144" i="3"/>
  <c r="N144" i="3" s="1"/>
  <c r="AG298" i="2"/>
  <c r="Y298" i="2" s="1"/>
  <c r="AK116" i="3"/>
  <c r="T116" i="3" s="1"/>
  <c r="AP316" i="2"/>
  <c r="AB316" i="2" s="1"/>
  <c r="AI276" i="3"/>
  <c r="U276" i="3" s="1"/>
  <c r="BB319" i="2"/>
  <c r="AD319" i="2" s="1"/>
  <c r="AJ229" i="3"/>
  <c r="W229" i="3" s="1"/>
  <c r="AY205" i="2"/>
  <c r="AE205" i="2" s="1"/>
  <c r="AO272" i="3"/>
  <c r="X272" i="3" s="1"/>
  <c r="BE273" i="2"/>
  <c r="Y166" i="2"/>
  <c r="AG24" i="1"/>
  <c r="AG86" i="1"/>
  <c r="AG111" i="1"/>
  <c r="AG195" i="1"/>
  <c r="AG395" i="1"/>
  <c r="AG74" i="1"/>
  <c r="AG99" i="1"/>
  <c r="AG310" i="1"/>
  <c r="AG318" i="1"/>
  <c r="AG326" i="1"/>
  <c r="AG31" i="1"/>
  <c r="AG137" i="1"/>
  <c r="AG150" i="1"/>
  <c r="AG156" i="1"/>
  <c r="AG286" i="1"/>
  <c r="BE10" i="2"/>
  <c r="AM13" i="2"/>
  <c r="AA13" i="2" s="1"/>
  <c r="AK143" i="3"/>
  <c r="T143" i="3" s="1"/>
  <c r="AP17" i="2"/>
  <c r="AB17" i="2" s="1"/>
  <c r="BE18" i="2"/>
  <c r="AY25" i="2"/>
  <c r="AE25" i="2" s="1"/>
  <c r="BJ36" i="2"/>
  <c r="AF36" i="2" s="1"/>
  <c r="AY37" i="2"/>
  <c r="AE37" i="2" s="1"/>
  <c r="BB39" i="2"/>
  <c r="AD39" i="2" s="1"/>
  <c r="AJ163" i="3"/>
  <c r="W163" i="3" s="1"/>
  <c r="AY52" i="2"/>
  <c r="AE52" i="2" s="1"/>
  <c r="BH54" i="2"/>
  <c r="AK66" i="3"/>
  <c r="T66" i="3" s="1"/>
  <c r="AP62" i="2"/>
  <c r="AB62" i="2" s="1"/>
  <c r="AD320" i="3"/>
  <c r="K320" i="3" s="1"/>
  <c r="AJ96" i="2"/>
  <c r="Z96" i="2" s="1"/>
  <c r="AL254" i="3"/>
  <c r="S254" i="3" s="1"/>
  <c r="AS100" i="2"/>
  <c r="AC100" i="2" s="1"/>
  <c r="AP103" i="2"/>
  <c r="AB103" i="2" s="1"/>
  <c r="AJ74" i="3"/>
  <c r="W74" i="3" s="1"/>
  <c r="AY107" i="2"/>
  <c r="AE107" i="2" s="1"/>
  <c r="BH109" i="2"/>
  <c r="AJ123" i="2"/>
  <c r="Z123" i="2" s="1"/>
  <c r="AP128" i="2"/>
  <c r="AB128" i="2" s="1"/>
  <c r="BJ146" i="2"/>
  <c r="AF146" i="2" s="1"/>
  <c r="AO294" i="3"/>
  <c r="X294" i="3" s="1"/>
  <c r="BE149" i="2"/>
  <c r="AS155" i="2"/>
  <c r="AC155" i="2" s="1"/>
  <c r="AO181" i="3"/>
  <c r="X181" i="3" s="1"/>
  <c r="BE171" i="2"/>
  <c r="AJ149" i="3"/>
  <c r="W149" i="3" s="1"/>
  <c r="AY177" i="2"/>
  <c r="AE177" i="2" s="1"/>
  <c r="AJ181" i="2"/>
  <c r="Z181" i="2" s="1"/>
  <c r="AY203" i="2"/>
  <c r="AE203" i="2" s="1"/>
  <c r="AJ204" i="2"/>
  <c r="Z204" i="2" s="1"/>
  <c r="AI278" i="3"/>
  <c r="U278" i="3" s="1"/>
  <c r="BB209" i="2"/>
  <c r="AD209" i="2" s="1"/>
  <c r="BE213" i="2"/>
  <c r="AO89" i="3"/>
  <c r="X89" i="3" s="1"/>
  <c r="AN240" i="3"/>
  <c r="R240" i="3" s="1"/>
  <c r="BJ245" i="2"/>
  <c r="AF245" i="2" s="1"/>
  <c r="AD264" i="3"/>
  <c r="K264" i="3" s="1"/>
  <c r="AJ262" i="2"/>
  <c r="Z262" i="2" s="1"/>
  <c r="AK251" i="3"/>
  <c r="T251" i="3" s="1"/>
  <c r="AP287" i="2"/>
  <c r="AB287" i="2" s="1"/>
  <c r="AO302" i="3"/>
  <c r="X302" i="3" s="1"/>
  <c r="BE293" i="2"/>
  <c r="AK330" i="3"/>
  <c r="T330" i="3" s="1"/>
  <c r="AP331" i="2"/>
  <c r="AB331" i="2" s="1"/>
  <c r="AK163" i="3"/>
  <c r="T163" i="3" s="1"/>
  <c r="AP52" i="2"/>
  <c r="AB52" i="2" s="1"/>
  <c r="AG142" i="3"/>
  <c r="N142" i="3" s="1"/>
  <c r="AG53" i="2"/>
  <c r="Y53" i="2" s="1"/>
  <c r="AE107" i="3"/>
  <c r="L107" i="3" s="1"/>
  <c r="AM183" i="2"/>
  <c r="AA183" i="2" s="1"/>
  <c r="AG2" i="1"/>
  <c r="AG25" i="1"/>
  <c r="AG354" i="1"/>
  <c r="AN123" i="3"/>
  <c r="R123" i="3" s="1"/>
  <c r="BJ34" i="2"/>
  <c r="AF34" i="2" s="1"/>
  <c r="AN61" i="3"/>
  <c r="R61" i="3" s="1"/>
  <c r="BJ56" i="2"/>
  <c r="AF56" i="2" s="1"/>
  <c r="AJ10" i="3"/>
  <c r="W10" i="3" s="1"/>
  <c r="AY147" i="2"/>
  <c r="AE147" i="2" s="1"/>
  <c r="BH164" i="2"/>
  <c r="AY165" i="2"/>
  <c r="AE165" i="2" s="1"/>
  <c r="AJ234" i="3"/>
  <c r="W234" i="3" s="1"/>
  <c r="AL173" i="3"/>
  <c r="S173" i="3" s="1"/>
  <c r="AS169" i="2"/>
  <c r="AC169" i="2" s="1"/>
  <c r="AO228" i="3"/>
  <c r="X228" i="3" s="1"/>
  <c r="BE230" i="2"/>
  <c r="AO260" i="3"/>
  <c r="X260" i="3" s="1"/>
  <c r="BE85" i="2"/>
  <c r="AD237" i="3"/>
  <c r="K237" i="3" s="1"/>
  <c r="AJ3" i="2"/>
  <c r="Z3" i="2" s="1"/>
  <c r="AK112" i="3"/>
  <c r="T112" i="3" s="1"/>
  <c r="AP134" i="2"/>
  <c r="AB134" i="2" s="1"/>
  <c r="AG50" i="1"/>
  <c r="AG68" i="1"/>
  <c r="AG131" i="1"/>
  <c r="AG164" i="1"/>
  <c r="AG172" i="1"/>
  <c r="AG188" i="1"/>
  <c r="AG375" i="1"/>
  <c r="AG56" i="1"/>
  <c r="AG62" i="1"/>
  <c r="AG106" i="1"/>
  <c r="AG144" i="1"/>
  <c r="AG213" i="1"/>
  <c r="AG270" i="1"/>
  <c r="AG303" i="1"/>
  <c r="AG335" i="1"/>
  <c r="AG365" i="1"/>
  <c r="AL143" i="3"/>
  <c r="S143" i="3" s="1"/>
  <c r="AS17" i="2"/>
  <c r="AC17" i="2" s="1"/>
  <c r="AO301" i="3"/>
  <c r="X301" i="3" s="1"/>
  <c r="BE47" i="2"/>
  <c r="AO47" i="3"/>
  <c r="X47" i="3" s="1"/>
  <c r="BE61" i="2"/>
  <c r="AK129" i="3"/>
  <c r="T129" i="3" s="1"/>
  <c r="AP69" i="2"/>
  <c r="AB69" i="2" s="1"/>
  <c r="AD260" i="3"/>
  <c r="K260" i="3" s="1"/>
  <c r="AJ85" i="2"/>
  <c r="Z85" i="2" s="1"/>
  <c r="AI291" i="3"/>
  <c r="U291" i="3" s="1"/>
  <c r="BB114" i="2"/>
  <c r="AD114" i="2" s="1"/>
  <c r="BB136" i="2"/>
  <c r="AD136" i="2" s="1"/>
  <c r="AN35" i="3"/>
  <c r="R35" i="3" s="1"/>
  <c r="BJ182" i="2"/>
  <c r="AF182" i="2" s="1"/>
  <c r="AO121" i="3"/>
  <c r="X121" i="3" s="1"/>
  <c r="BE185" i="2"/>
  <c r="AD99" i="3"/>
  <c r="K99" i="3" s="1"/>
  <c r="AJ202" i="2"/>
  <c r="Z202" i="2" s="1"/>
  <c r="AG166" i="3"/>
  <c r="N166" i="3" s="1"/>
  <c r="AG212" i="2"/>
  <c r="Y212" i="2" s="1"/>
  <c r="AJ241" i="3"/>
  <c r="W241" i="3" s="1"/>
  <c r="AY217" i="2"/>
  <c r="AE217" i="2" s="1"/>
  <c r="BE242" i="2"/>
  <c r="AO65" i="3"/>
  <c r="X65" i="3" s="1"/>
  <c r="AS255" i="2"/>
  <c r="AC255" i="2" s="1"/>
  <c r="AL127" i="3"/>
  <c r="S127" i="3" s="1"/>
  <c r="AG332" i="3"/>
  <c r="N332" i="3" s="1"/>
  <c r="AG332" i="2"/>
  <c r="Y332" i="2" s="1"/>
  <c r="AG7" i="1"/>
  <c r="AG19" i="1"/>
  <c r="AG81" i="1"/>
  <c r="AG87" i="1"/>
  <c r="AG93" i="1"/>
  <c r="AG100" i="1"/>
  <c r="AG119" i="1"/>
  <c r="AG205" i="1"/>
  <c r="AG311" i="1"/>
  <c r="AG319" i="1"/>
  <c r="AG397" i="1"/>
  <c r="AP13" i="2"/>
  <c r="AB13" i="2" s="1"/>
  <c r="BE20" i="2"/>
  <c r="AP21" i="2"/>
  <c r="AB21" i="2" s="1"/>
  <c r="AD161" i="3"/>
  <c r="K161" i="3" s="1"/>
  <c r="AJ24" i="2"/>
  <c r="Z24" i="2" s="1"/>
  <c r="AD56" i="3"/>
  <c r="K56" i="3" s="1"/>
  <c r="AJ32" i="2"/>
  <c r="Z32" i="2" s="1"/>
  <c r="AP44" i="2"/>
  <c r="AB44" i="2" s="1"/>
  <c r="AM46" i="2"/>
  <c r="AA46" i="2" s="1"/>
  <c r="AG29" i="3"/>
  <c r="N29" i="3" s="1"/>
  <c r="AG49" i="2"/>
  <c r="Y49" i="2" s="1"/>
  <c r="AG61" i="3"/>
  <c r="N61" i="3" s="1"/>
  <c r="AG56" i="2"/>
  <c r="Y56" i="2" s="1"/>
  <c r="AY59" i="2"/>
  <c r="AE59" i="2" s="1"/>
  <c r="AM60" i="2"/>
  <c r="AA60" i="2" s="1"/>
  <c r="BJ63" i="2"/>
  <c r="AF63" i="2" s="1"/>
  <c r="AG322" i="3"/>
  <c r="N322" i="3" s="1"/>
  <c r="AG72" i="2"/>
  <c r="Y72" i="2" s="1"/>
  <c r="AY73" i="2"/>
  <c r="AE73" i="2" s="1"/>
  <c r="AP76" i="2"/>
  <c r="AB76" i="2" s="1"/>
  <c r="AY82" i="2"/>
  <c r="AE82" i="2" s="1"/>
  <c r="BE90" i="2"/>
  <c r="BE97" i="2"/>
  <c r="AS103" i="2"/>
  <c r="AC103" i="2" s="1"/>
  <c r="BE114" i="2"/>
  <c r="BJ116" i="2"/>
  <c r="AF116" i="2" s="1"/>
  <c r="AE91" i="3"/>
  <c r="L91" i="3" s="1"/>
  <c r="AM121" i="2"/>
  <c r="AA121" i="2" s="1"/>
  <c r="AM123" i="2"/>
  <c r="AA123" i="2" s="1"/>
  <c r="AS128" i="2"/>
  <c r="AC128" i="2" s="1"/>
  <c r="BE129" i="2"/>
  <c r="AP135" i="2"/>
  <c r="AB135" i="2" s="1"/>
  <c r="AG269" i="3"/>
  <c r="N269" i="3" s="1"/>
  <c r="AG153" i="2"/>
  <c r="Y153" i="2" s="1"/>
  <c r="AE311" i="3"/>
  <c r="L311" i="3" s="1"/>
  <c r="AM181" i="2"/>
  <c r="AA181" i="2" s="1"/>
  <c r="AL205" i="3"/>
  <c r="S205" i="3" s="1"/>
  <c r="AS201" i="2"/>
  <c r="AC201" i="2" s="1"/>
  <c r="AL253" i="3"/>
  <c r="S253" i="3" s="1"/>
  <c r="AS211" i="2"/>
  <c r="AC211" i="2" s="1"/>
  <c r="AO64" i="3"/>
  <c r="X64" i="3" s="1"/>
  <c r="BE238" i="2"/>
  <c r="AG82" i="3"/>
  <c r="N82" i="3" s="1"/>
  <c r="AG249" i="2"/>
  <c r="Y249" i="2" s="1"/>
  <c r="AN117" i="3"/>
  <c r="R117" i="3" s="1"/>
  <c r="BJ260" i="2"/>
  <c r="AF260" i="2" s="1"/>
  <c r="AO39" i="3"/>
  <c r="X39" i="3" s="1"/>
  <c r="BE271" i="2"/>
  <c r="AG111" i="3"/>
  <c r="N111" i="3" s="1"/>
  <c r="AG310" i="2"/>
  <c r="Y310" i="2" s="1"/>
  <c r="BJ311" i="2"/>
  <c r="AF311" i="2" s="1"/>
  <c r="AE279" i="3"/>
  <c r="L279" i="3" s="1"/>
  <c r="AM133" i="2"/>
  <c r="AA133" i="2" s="1"/>
  <c r="AE109" i="3"/>
  <c r="L109" i="3" s="1"/>
  <c r="AM135" i="2"/>
  <c r="AA135" i="2" s="1"/>
  <c r="AS165" i="2"/>
  <c r="AC165" i="2" s="1"/>
  <c r="AP167" i="2"/>
  <c r="AB167" i="2" s="1"/>
  <c r="BE170" i="2"/>
  <c r="AJ177" i="2"/>
  <c r="Z177" i="2" s="1"/>
  <c r="AP186" i="2"/>
  <c r="AB186" i="2" s="1"/>
  <c r="BE187" i="2"/>
  <c r="BE191" i="2"/>
  <c r="AP192" i="2"/>
  <c r="AB192" i="2" s="1"/>
  <c r="AG206" i="2"/>
  <c r="Y206" i="2" s="1"/>
  <c r="BE209" i="2"/>
  <c r="AG211" i="2"/>
  <c r="Y211" i="2" s="1"/>
  <c r="AJ218" i="2"/>
  <c r="Z218" i="2" s="1"/>
  <c r="AJ236" i="2"/>
  <c r="Z236" i="2" s="1"/>
  <c r="BE248" i="2"/>
  <c r="AE41" i="3"/>
  <c r="L41" i="3" s="1"/>
  <c r="AM253" i="2"/>
  <c r="AA253" i="2" s="1"/>
  <c r="AM280" i="2"/>
  <c r="AA280" i="2" s="1"/>
  <c r="AJ283" i="2"/>
  <c r="Z283" i="2" s="1"/>
  <c r="BJ290" i="2"/>
  <c r="AF290" i="2" s="1"/>
  <c r="AS294" i="2"/>
  <c r="AC294" i="2" s="1"/>
  <c r="BJ301" i="2"/>
  <c r="AF301" i="2" s="1"/>
  <c r="AP309" i="2"/>
  <c r="AB309" i="2" s="1"/>
  <c r="BJ310" i="2"/>
  <c r="AF310" i="2" s="1"/>
  <c r="AG313" i="2"/>
  <c r="Y313" i="2" s="1"/>
  <c r="AM325" i="2"/>
  <c r="AA325" i="2" s="1"/>
  <c r="AE184" i="3"/>
  <c r="L184" i="3" s="1"/>
  <c r="AO326" i="3"/>
  <c r="X326" i="3" s="1"/>
  <c r="BE335" i="2"/>
  <c r="AJ208" i="3"/>
  <c r="W208" i="3" s="1"/>
  <c r="AY196" i="2"/>
  <c r="AE196" i="2" s="1"/>
  <c r="AO209" i="3"/>
  <c r="X209" i="3" s="1"/>
  <c r="BE200" i="2"/>
  <c r="AK205" i="3"/>
  <c r="T205" i="3" s="1"/>
  <c r="AP201" i="2"/>
  <c r="AB201" i="2" s="1"/>
  <c r="AM247" i="2"/>
  <c r="AA247" i="2" s="1"/>
  <c r="AE118" i="3"/>
  <c r="L118" i="3" s="1"/>
  <c r="AJ272" i="3"/>
  <c r="W272" i="3" s="1"/>
  <c r="AY273" i="2"/>
  <c r="AE273" i="2" s="1"/>
  <c r="AY321" i="2"/>
  <c r="AE321" i="2" s="1"/>
  <c r="AJ69" i="3"/>
  <c r="W69" i="3" s="1"/>
  <c r="AN298" i="3"/>
  <c r="R298" i="3" s="1"/>
  <c r="BJ345" i="2"/>
  <c r="AF345" i="2" s="1"/>
  <c r="AM76" i="2"/>
  <c r="AA76" i="2" s="1"/>
  <c r="AS84" i="2"/>
  <c r="AC84" i="2" s="1"/>
  <c r="AL11" i="3"/>
  <c r="S11" i="3" s="1"/>
  <c r="AJ187" i="3"/>
  <c r="W187" i="3" s="1"/>
  <c r="AY126" i="2"/>
  <c r="AE126" i="2" s="1"/>
  <c r="AJ279" i="3"/>
  <c r="W279" i="3" s="1"/>
  <c r="AY133" i="2"/>
  <c r="AE133" i="2" s="1"/>
  <c r="AE218" i="3"/>
  <c r="L218" i="3" s="1"/>
  <c r="AM164" i="2"/>
  <c r="AA164" i="2" s="1"/>
  <c r="AD211" i="3"/>
  <c r="K211" i="3" s="1"/>
  <c r="AJ191" i="2"/>
  <c r="Z191" i="2" s="1"/>
  <c r="AO180" i="3"/>
  <c r="X180" i="3" s="1"/>
  <c r="BE194" i="2"/>
  <c r="AK94" i="3"/>
  <c r="T94" i="3" s="1"/>
  <c r="AP195" i="2"/>
  <c r="AB195" i="2" s="1"/>
  <c r="AE271" i="3"/>
  <c r="L271" i="3" s="1"/>
  <c r="AM204" i="2"/>
  <c r="AA204" i="2" s="1"/>
  <c r="AG305" i="3"/>
  <c r="N305" i="3" s="1"/>
  <c r="AG224" i="2"/>
  <c r="Y224" i="2" s="1"/>
  <c r="BJ273" i="2"/>
  <c r="AF273" i="2" s="1"/>
  <c r="BH273" i="2"/>
  <c r="K144" i="3"/>
  <c r="K143" i="3"/>
  <c r="AI181" i="3"/>
  <c r="U181" i="3" s="1"/>
  <c r="BB171" i="2"/>
  <c r="AD171" i="2" s="1"/>
  <c r="AE121" i="3"/>
  <c r="L121" i="3" s="1"/>
  <c r="AM185" i="2"/>
  <c r="AA185" i="2" s="1"/>
  <c r="AO324" i="3"/>
  <c r="X324" i="3" s="1"/>
  <c r="BE208" i="2"/>
  <c r="AN249" i="3"/>
  <c r="R249" i="3" s="1"/>
  <c r="BJ210" i="2"/>
  <c r="AF210" i="2" s="1"/>
  <c r="AJ9" i="3"/>
  <c r="W9" i="3" s="1"/>
  <c r="AY223" i="2"/>
  <c r="AE223" i="2" s="1"/>
  <c r="AE264" i="3"/>
  <c r="L264" i="3" s="1"/>
  <c r="AM262" i="2"/>
  <c r="AA262" i="2" s="1"/>
  <c r="L143" i="3"/>
  <c r="L144" i="3"/>
  <c r="AO49" i="3"/>
  <c r="X49" i="3" s="1"/>
  <c r="BE306" i="2"/>
  <c r="AK298" i="3"/>
  <c r="T298" i="3" s="1"/>
  <c r="AP345" i="2"/>
  <c r="AB345" i="2" s="1"/>
  <c r="AL71" i="3"/>
  <c r="S71" i="3" s="1"/>
  <c r="AE174" i="3"/>
  <c r="L174" i="3" s="1"/>
  <c r="AM45" i="2"/>
  <c r="AA45" i="2" s="1"/>
  <c r="AO86" i="3"/>
  <c r="X86" i="3" s="1"/>
  <c r="BE82" i="2"/>
  <c r="AJ185" i="3"/>
  <c r="W185" i="3" s="1"/>
  <c r="AY218" i="2"/>
  <c r="AE218" i="2" s="1"/>
  <c r="AE305" i="3"/>
  <c r="L305" i="3" s="1"/>
  <c r="AM224" i="2"/>
  <c r="AA224" i="2" s="1"/>
  <c r="AN265" i="3"/>
  <c r="R265" i="3" s="1"/>
  <c r="BJ252" i="2"/>
  <c r="AF252" i="2" s="1"/>
  <c r="AE202" i="3"/>
  <c r="AM59" i="2"/>
  <c r="AA59" i="2" s="1"/>
  <c r="AE124" i="3"/>
  <c r="L124" i="3" s="1"/>
  <c r="AM90" i="2"/>
  <c r="AA90" i="2" s="1"/>
  <c r="AJ269" i="3"/>
  <c r="W269" i="3" s="1"/>
  <c r="AY153" i="2"/>
  <c r="AE153" i="2" s="1"/>
  <c r="AJ67" i="3"/>
  <c r="W67" i="3" s="1"/>
  <c r="AY162" i="2"/>
  <c r="AE162" i="2" s="1"/>
  <c r="AJ147" i="3"/>
  <c r="W147" i="3" s="1"/>
  <c r="AY179" i="2"/>
  <c r="AE179" i="2" s="1"/>
  <c r="AG249" i="3"/>
  <c r="N249" i="3" s="1"/>
  <c r="AG210" i="2"/>
  <c r="Y210" i="2" s="1"/>
  <c r="AJ253" i="3"/>
  <c r="W253" i="3" s="1"/>
  <c r="AY211" i="2"/>
  <c r="AE211" i="2" s="1"/>
  <c r="AL131" i="3"/>
  <c r="S131" i="3" s="1"/>
  <c r="AS234" i="2"/>
  <c r="AC234" i="2" s="1"/>
  <c r="AG252" i="3"/>
  <c r="N252" i="3" s="1"/>
  <c r="AG246" i="2"/>
  <c r="Y246" i="2" s="1"/>
  <c r="AO41" i="3"/>
  <c r="X41" i="3" s="1"/>
  <c r="BE253" i="2"/>
  <c r="AJ275" i="3"/>
  <c r="W275" i="3" s="1"/>
  <c r="AJ274" i="3"/>
  <c r="W274" i="3" s="1"/>
  <c r="AN192" i="3"/>
  <c r="R192" i="3" s="1"/>
  <c r="BJ274" i="2"/>
  <c r="AF274" i="2" s="1"/>
  <c r="AS284" i="2"/>
  <c r="AC284" i="2" s="1"/>
  <c r="AL207" i="3"/>
  <c r="S207" i="3" s="1"/>
  <c r="AO34" i="3"/>
  <c r="X34" i="3" s="1"/>
  <c r="BE292" i="2"/>
  <c r="AJ126" i="3"/>
  <c r="W126" i="3" s="1"/>
  <c r="AY338" i="2"/>
  <c r="AE338" i="2" s="1"/>
  <c r="AV29" i="2"/>
  <c r="AG87" i="3"/>
  <c r="N87" i="3" s="1"/>
  <c r="AG42" i="2"/>
  <c r="Y42" i="2" s="1"/>
  <c r="AJ194" i="3"/>
  <c r="W194" i="3" s="1"/>
  <c r="AY79" i="2"/>
  <c r="AE79" i="2" s="1"/>
  <c r="AP88" i="2"/>
  <c r="AB88" i="2" s="1"/>
  <c r="AO6" i="3"/>
  <c r="X6" i="3" s="1"/>
  <c r="BE89" i="2"/>
  <c r="AS93" i="2"/>
  <c r="AC93" i="2" s="1"/>
  <c r="AE78" i="3"/>
  <c r="L78" i="3" s="1"/>
  <c r="AM95" i="2"/>
  <c r="AA95" i="2" s="1"/>
  <c r="AE113" i="3"/>
  <c r="L113" i="3" s="1"/>
  <c r="AM102" i="2"/>
  <c r="AA102" i="2" s="1"/>
  <c r="AG113" i="2"/>
  <c r="Y113" i="2" s="1"/>
  <c r="BJ113" i="2"/>
  <c r="AF113" i="2" s="1"/>
  <c r="AJ122" i="2"/>
  <c r="Z122" i="2" s="1"/>
  <c r="AS127" i="2"/>
  <c r="AC127" i="2" s="1"/>
  <c r="BE128" i="2"/>
  <c r="AS134" i="2"/>
  <c r="AC134" i="2" s="1"/>
  <c r="BE135" i="2"/>
  <c r="BJ147" i="2"/>
  <c r="AF147" i="2" s="1"/>
  <c r="AM154" i="2"/>
  <c r="AA154" i="2" s="1"/>
  <c r="AY155" i="2"/>
  <c r="AE155" i="2" s="1"/>
  <c r="AS172" i="2"/>
  <c r="AC172" i="2" s="1"/>
  <c r="AP174" i="2"/>
  <c r="AB174" i="2" s="1"/>
  <c r="AP176" i="2"/>
  <c r="AB176" i="2" s="1"/>
  <c r="AJ182" i="2"/>
  <c r="Z182" i="2" s="1"/>
  <c r="AM196" i="2"/>
  <c r="AA196" i="2" s="1"/>
  <c r="AM198" i="2"/>
  <c r="AA198" i="2" s="1"/>
  <c r="BJ201" i="2"/>
  <c r="AF201" i="2" s="1"/>
  <c r="AN13" i="3"/>
  <c r="R13" i="3" s="1"/>
  <c r="BJ203" i="2"/>
  <c r="AF203" i="2" s="1"/>
  <c r="AE166" i="3"/>
  <c r="L166" i="3" s="1"/>
  <c r="AM212" i="2"/>
  <c r="AA212" i="2" s="1"/>
  <c r="AG220" i="2"/>
  <c r="Y220" i="2" s="1"/>
  <c r="AK299" i="3"/>
  <c r="T299" i="3" s="1"/>
  <c r="AP227" i="2"/>
  <c r="AB227" i="2" s="1"/>
  <c r="AM243" i="2"/>
  <c r="AA243" i="2" s="1"/>
  <c r="AJ249" i="2"/>
  <c r="Z249" i="2" s="1"/>
  <c r="AO340" i="3"/>
  <c r="X340" i="3" s="1"/>
  <c r="BE250" i="2"/>
  <c r="AO179" i="3"/>
  <c r="X179" i="3" s="1"/>
  <c r="BE264" i="2"/>
  <c r="AS265" i="2"/>
  <c r="AC265" i="2" s="1"/>
  <c r="AV281" i="2"/>
  <c r="BE286" i="2"/>
  <c r="AO145" i="3"/>
  <c r="X145" i="3" s="1"/>
  <c r="BE297" i="2"/>
  <c r="AJ170" i="3"/>
  <c r="W170" i="3" s="1"/>
  <c r="AY307" i="2"/>
  <c r="AE307" i="2" s="1"/>
  <c r="AG221" i="3"/>
  <c r="AG327" i="2"/>
  <c r="Y327" i="2" s="1"/>
  <c r="AE171" i="3"/>
  <c r="L171" i="3" s="1"/>
  <c r="AE77" i="3"/>
  <c r="L77" i="3" s="1"/>
  <c r="AM97" i="2"/>
  <c r="AA97" i="2" s="1"/>
  <c r="AE8" i="3"/>
  <c r="L8" i="3" s="1"/>
  <c r="AM104" i="2"/>
  <c r="AA104" i="2" s="1"/>
  <c r="BE108" i="2"/>
  <c r="AK104" i="3"/>
  <c r="T104" i="3" s="1"/>
  <c r="AK105" i="3"/>
  <c r="T105" i="3" s="1"/>
  <c r="BJ117" i="2"/>
  <c r="AF117" i="2" s="1"/>
  <c r="BE119" i="2"/>
  <c r="BE121" i="2"/>
  <c r="AJ131" i="2"/>
  <c r="Z131" i="2" s="1"/>
  <c r="AJ138" i="2"/>
  <c r="Z138" i="2" s="1"/>
  <c r="AM143" i="2"/>
  <c r="AA143" i="2" s="1"/>
  <c r="AY146" i="2"/>
  <c r="AE146" i="2" s="1"/>
  <c r="AS185" i="2"/>
  <c r="AC185" i="2" s="1"/>
  <c r="AV193" i="2"/>
  <c r="AG194" i="2"/>
  <c r="Y194" i="2" s="1"/>
  <c r="AL209" i="3"/>
  <c r="S209" i="3" s="1"/>
  <c r="AS200" i="2"/>
  <c r="AC200" i="2" s="1"/>
  <c r="AG13" i="3"/>
  <c r="N13" i="3" s="1"/>
  <c r="AG203" i="2"/>
  <c r="Y203" i="2" s="1"/>
  <c r="AS207" i="2"/>
  <c r="AC207" i="2" s="1"/>
  <c r="AJ210" i="2"/>
  <c r="Z210" i="2" s="1"/>
  <c r="AI274" i="3"/>
  <c r="U274" i="3" s="1"/>
  <c r="BB259" i="2"/>
  <c r="AD259" i="2" s="1"/>
  <c r="AL144" i="3"/>
  <c r="S144" i="3" s="1"/>
  <c r="AS298" i="2"/>
  <c r="AC298" i="2" s="1"/>
  <c r="AS314" i="2"/>
  <c r="AC314" i="2" s="1"/>
  <c r="AG315" i="2"/>
  <c r="Y315" i="2" s="1"/>
  <c r="AY316" i="2"/>
  <c r="AE316" i="2" s="1"/>
  <c r="AG343" i="2"/>
  <c r="Y343" i="2" s="1"/>
  <c r="AE223" i="3"/>
  <c r="L223" i="3" s="1"/>
  <c r="AM109" i="2"/>
  <c r="AA109" i="2" s="1"/>
  <c r="AJ311" i="3"/>
  <c r="W311" i="3" s="1"/>
  <c r="AY181" i="2"/>
  <c r="AE181" i="2" s="1"/>
  <c r="AE229" i="3"/>
  <c r="L229" i="3" s="1"/>
  <c r="AM205" i="2"/>
  <c r="AA205" i="2" s="1"/>
  <c r="AL299" i="3"/>
  <c r="S299" i="3" s="1"/>
  <c r="AS227" i="2"/>
  <c r="AC227" i="2" s="1"/>
  <c r="AK80" i="3"/>
  <c r="T80" i="3" s="1"/>
  <c r="AP305" i="2"/>
  <c r="AB305" i="2" s="1"/>
  <c r="AG154" i="3"/>
  <c r="N154" i="3" s="1"/>
  <c r="AG318" i="2"/>
  <c r="Y318" i="2" s="1"/>
  <c r="AD221" i="3"/>
  <c r="K221" i="3" s="1"/>
  <c r="AJ327" i="2"/>
  <c r="Z327" i="2" s="1"/>
  <c r="AJ107" i="3"/>
  <c r="W107" i="3" s="1"/>
  <c r="AY183" i="2"/>
  <c r="AE183" i="2" s="1"/>
  <c r="AK198" i="3"/>
  <c r="T198" i="3" s="1"/>
  <c r="AP198" i="2"/>
  <c r="AB198" i="2" s="1"/>
  <c r="AO214" i="3"/>
  <c r="X214" i="3" s="1"/>
  <c r="BE206" i="2"/>
  <c r="AG324" i="3"/>
  <c r="N324" i="3" s="1"/>
  <c r="AG208" i="2"/>
  <c r="Y208" i="2" s="1"/>
  <c r="AN179" i="3"/>
  <c r="R179" i="3" s="1"/>
  <c r="BJ264" i="2"/>
  <c r="AF264" i="2" s="1"/>
  <c r="BJ292" i="2"/>
  <c r="AF292" i="2" s="1"/>
  <c r="AN34" i="3"/>
  <c r="R34" i="3" s="1"/>
  <c r="AN138" i="3"/>
  <c r="R138" i="3" s="1"/>
  <c r="BJ328" i="2"/>
  <c r="AF328" i="2" s="1"/>
  <c r="AG222" i="3"/>
  <c r="N222" i="3" s="1"/>
  <c r="AG117" i="2"/>
  <c r="Y117" i="2" s="1"/>
  <c r="AI200" i="3"/>
  <c r="U200" i="3" s="1"/>
  <c r="BB144" i="2"/>
  <c r="AD144" i="2" s="1"/>
  <c r="AD180" i="3"/>
  <c r="K180" i="3" s="1"/>
  <c r="AJ194" i="2"/>
  <c r="Z194" i="2" s="1"/>
  <c r="AN340" i="3"/>
  <c r="R340" i="3" s="1"/>
  <c r="BJ250" i="2"/>
  <c r="AF250" i="2" s="1"/>
  <c r="AJ75" i="3"/>
  <c r="W75" i="3" s="1"/>
  <c r="AY251" i="2"/>
  <c r="AE251" i="2" s="1"/>
  <c r="AK272" i="3"/>
  <c r="T272" i="3" s="1"/>
  <c r="AP273" i="2"/>
  <c r="AB273" i="2" s="1"/>
  <c r="AE221" i="3"/>
  <c r="L221" i="3" s="1"/>
  <c r="AM327" i="2"/>
  <c r="AA327" i="2" s="1"/>
  <c r="AE321" i="3"/>
  <c r="L321" i="3" s="1"/>
  <c r="AM333" i="2"/>
  <c r="AA333" i="2" s="1"/>
  <c r="AG25" i="3"/>
  <c r="N25" i="3" s="1"/>
  <c r="AG63" i="2"/>
  <c r="Y63" i="2" s="1"/>
  <c r="AJ167" i="3"/>
  <c r="W167" i="3" s="1"/>
  <c r="AY86" i="2"/>
  <c r="AE86" i="2" s="1"/>
  <c r="AG199" i="3"/>
  <c r="N199" i="3" s="1"/>
  <c r="AG65" i="2"/>
  <c r="Y65" i="2" s="1"/>
  <c r="AJ50" i="3"/>
  <c r="W50" i="3" s="1"/>
  <c r="AY81" i="2"/>
  <c r="AE81" i="2" s="1"/>
  <c r="BB166" i="2"/>
  <c r="AD166" i="2" s="1"/>
  <c r="AL318" i="3"/>
  <c r="S318" i="3" s="1"/>
  <c r="AS232" i="2"/>
  <c r="AC232" i="2" s="1"/>
  <c r="AG241" i="2"/>
  <c r="Y241" i="2" s="1"/>
  <c r="AG220" i="3"/>
  <c r="N220" i="3" s="1"/>
  <c r="AN317" i="3"/>
  <c r="R317" i="3" s="1"/>
  <c r="BJ244" i="2"/>
  <c r="AF244" i="2" s="1"/>
  <c r="AO177" i="3"/>
  <c r="X177" i="3" s="1"/>
  <c r="BE275" i="2"/>
  <c r="BB281" i="2"/>
  <c r="AD281" i="2" s="1"/>
  <c r="AG31" i="3"/>
  <c r="N31" i="3" s="1"/>
  <c r="AG289" i="2"/>
  <c r="Y289" i="2" s="1"/>
  <c r="AO9" i="3"/>
  <c r="X9" i="3" s="1"/>
  <c r="AG40" i="3"/>
  <c r="N40" i="3" s="1"/>
  <c r="AG51" i="2"/>
  <c r="Y51" i="2" s="1"/>
  <c r="AJ230" i="3"/>
  <c r="W230" i="3" s="1"/>
  <c r="AY43" i="2"/>
  <c r="AE43" i="2" s="1"/>
  <c r="AV23" i="2"/>
  <c r="AJ151" i="3"/>
  <c r="W151" i="3" s="1"/>
  <c r="AY50" i="2"/>
  <c r="AE50" i="2" s="1"/>
  <c r="AV88" i="2"/>
  <c r="AJ110" i="3"/>
  <c r="W110" i="3" s="1"/>
  <c r="AY93" i="2"/>
  <c r="AE93" i="2" s="1"/>
  <c r="AY127" i="2"/>
  <c r="AE127" i="2" s="1"/>
  <c r="AY134" i="2"/>
  <c r="AE134" i="2" s="1"/>
  <c r="AS154" i="2"/>
  <c r="AC154" i="2" s="1"/>
  <c r="BE155" i="2"/>
  <c r="AJ167" i="2"/>
  <c r="Z167" i="2" s="1"/>
  <c r="AJ236" i="3"/>
  <c r="W236" i="3" s="1"/>
  <c r="AY172" i="2"/>
  <c r="AE172" i="2" s="1"/>
  <c r="AJ175" i="2"/>
  <c r="Z175" i="2" s="1"/>
  <c r="AJ184" i="2"/>
  <c r="Z184" i="2" s="1"/>
  <c r="AD32" i="3"/>
  <c r="K32" i="3" s="1"/>
  <c r="AJ186" i="2"/>
  <c r="Z186" i="2" s="1"/>
  <c r="AS196" i="2"/>
  <c r="AC196" i="2" s="1"/>
  <c r="AY200" i="2"/>
  <c r="AE200" i="2" s="1"/>
  <c r="AJ201" i="2"/>
  <c r="Z201" i="2" s="1"/>
  <c r="AY214" i="2"/>
  <c r="AE214" i="2" s="1"/>
  <c r="AM217" i="2"/>
  <c r="AA217" i="2" s="1"/>
  <c r="AY219" i="2"/>
  <c r="AE219" i="2" s="1"/>
  <c r="AG233" i="2"/>
  <c r="Y233" i="2" s="1"/>
  <c r="BJ236" i="2"/>
  <c r="AF236" i="2" s="1"/>
  <c r="AL7" i="3"/>
  <c r="S7" i="3" s="1"/>
  <c r="AS243" i="2"/>
  <c r="AC243" i="2" s="1"/>
  <c r="AG247" i="2"/>
  <c r="Y247" i="2" s="1"/>
  <c r="AJ258" i="2"/>
  <c r="Z258" i="2" s="1"/>
  <c r="AY267" i="2"/>
  <c r="AE267" i="2" s="1"/>
  <c r="AS273" i="2"/>
  <c r="AC273" i="2" s="1"/>
  <c r="BJ283" i="2"/>
  <c r="AF283" i="2" s="1"/>
  <c r="AG292" i="2"/>
  <c r="Y292" i="2" s="1"/>
  <c r="AG34" i="3"/>
  <c r="N34" i="3" s="1"/>
  <c r="AL263" i="3"/>
  <c r="S263" i="3" s="1"/>
  <c r="AS296" i="2"/>
  <c r="AC296" i="2" s="1"/>
  <c r="BJ313" i="2"/>
  <c r="AF313" i="2" s="1"/>
  <c r="AO116" i="3"/>
  <c r="X116" i="3" s="1"/>
  <c r="BE316" i="2"/>
  <c r="AP333" i="2"/>
  <c r="AB333" i="2" s="1"/>
  <c r="AG334" i="2"/>
  <c r="Y334" i="2" s="1"/>
  <c r="AO68" i="3"/>
  <c r="X68" i="3" s="1"/>
  <c r="AL140" i="3"/>
  <c r="S140" i="3" s="1"/>
  <c r="AS282" i="2"/>
  <c r="AC282" i="2" s="1"/>
  <c r="AD90" i="3"/>
  <c r="K90" i="3" s="1"/>
  <c r="AJ188" i="2"/>
  <c r="Z188" i="2" s="1"/>
  <c r="AJ212" i="3"/>
  <c r="W212" i="3" s="1"/>
  <c r="AY207" i="2"/>
  <c r="AE207" i="2" s="1"/>
  <c r="AG340" i="3"/>
  <c r="N340" i="3" s="1"/>
  <c r="AG250" i="2"/>
  <c r="Y250" i="2" s="1"/>
  <c r="AL132" i="3"/>
  <c r="S132" i="3" s="1"/>
  <c r="AS263" i="2"/>
  <c r="AC263" i="2" s="1"/>
  <c r="AL196" i="3"/>
  <c r="S196" i="3" s="1"/>
  <c r="AS54" i="2"/>
  <c r="AC54" i="2" s="1"/>
  <c r="AJ53" i="3"/>
  <c r="W53" i="3" s="1"/>
  <c r="AY64" i="2"/>
  <c r="AE64" i="2" s="1"/>
  <c r="BH79" i="2"/>
  <c r="AJ270" i="3"/>
  <c r="W270" i="3" s="1"/>
  <c r="AY88" i="2"/>
  <c r="AE88" i="2" s="1"/>
  <c r="AE10" i="3"/>
  <c r="L10" i="3" s="1"/>
  <c r="AM147" i="2"/>
  <c r="AA147" i="2" s="1"/>
  <c r="AE294" i="3"/>
  <c r="L294" i="3" s="1"/>
  <c r="AM149" i="2"/>
  <c r="AA149" i="2" s="1"/>
  <c r="AJ316" i="3"/>
  <c r="W316" i="3" s="1"/>
  <c r="AY174" i="2"/>
  <c r="AE174" i="2" s="1"/>
  <c r="AO333" i="3"/>
  <c r="X333" i="3" s="1"/>
  <c r="BE216" i="2"/>
  <c r="BJ226" i="2"/>
  <c r="AF226" i="2" s="1"/>
  <c r="AN158" i="3"/>
  <c r="R158" i="3" s="1"/>
  <c r="AN126" i="3"/>
  <c r="R126" i="3" s="1"/>
  <c r="BJ338" i="2"/>
  <c r="AF338" i="2" s="1"/>
  <c r="AN92" i="3"/>
  <c r="R92" i="3" s="1"/>
  <c r="AE101" i="3"/>
  <c r="L101" i="3" s="1"/>
  <c r="AI218" i="3"/>
  <c r="U218" i="3" s="1"/>
  <c r="BB164" i="2"/>
  <c r="AD164" i="2" s="1"/>
  <c r="AE173" i="3"/>
  <c r="L173" i="3" s="1"/>
  <c r="AM169" i="2"/>
  <c r="AA169" i="2" s="1"/>
  <c r="AN214" i="3"/>
  <c r="R214" i="3" s="1"/>
  <c r="BJ206" i="2"/>
  <c r="AF206" i="2" s="1"/>
  <c r="AD120" i="3"/>
  <c r="K120" i="3" s="1"/>
  <c r="AJ11" i="2"/>
  <c r="Z11" i="2" s="1"/>
  <c r="AD106" i="3"/>
  <c r="K106" i="3" s="1"/>
  <c r="AJ27" i="2"/>
  <c r="Z27" i="2" s="1"/>
  <c r="AL47" i="3"/>
  <c r="S47" i="3" s="1"/>
  <c r="AS61" i="2"/>
  <c r="AC61" i="2" s="1"/>
  <c r="AE293" i="3"/>
  <c r="L293" i="3" s="1"/>
  <c r="AM167" i="2"/>
  <c r="AA167" i="2" s="1"/>
  <c r="AJ297" i="3"/>
  <c r="W297" i="3" s="1"/>
  <c r="AY176" i="2"/>
  <c r="AE176" i="2" s="1"/>
  <c r="AG185" i="3"/>
  <c r="N185" i="3" s="1"/>
  <c r="AG218" i="2"/>
  <c r="Y218" i="2" s="1"/>
  <c r="AP220" i="2"/>
  <c r="AB220" i="2" s="1"/>
  <c r="AG133" i="3"/>
  <c r="N133" i="3" s="1"/>
  <c r="AG236" i="2"/>
  <c r="Y236" i="2" s="1"/>
  <c r="AD340" i="3"/>
  <c r="AJ250" i="2"/>
  <c r="Z250" i="2" s="1"/>
  <c r="AE307" i="3"/>
  <c r="L307" i="3" s="1"/>
  <c r="AM258" i="2"/>
  <c r="AA258" i="2" s="1"/>
  <c r="AJ286" i="3"/>
  <c r="W286" i="3" s="1"/>
  <c r="AY336" i="2"/>
  <c r="AE336" i="2" s="1"/>
  <c r="AJ265" i="3"/>
  <c r="W265" i="3" s="1"/>
  <c r="AY252" i="2"/>
  <c r="AE252" i="2" s="1"/>
  <c r="AJ325" i="3"/>
  <c r="W325" i="3" s="1"/>
  <c r="AY256" i="2"/>
  <c r="AE256" i="2" s="1"/>
  <c r="AP259" i="2"/>
  <c r="AB259" i="2" s="1"/>
  <c r="AO114" i="3"/>
  <c r="X114" i="3" s="1"/>
  <c r="BE294" i="2"/>
  <c r="AN263" i="3"/>
  <c r="R263" i="3" s="1"/>
  <c r="BJ296" i="2"/>
  <c r="AF296" i="2" s="1"/>
  <c r="AI221" i="3"/>
  <c r="U221" i="3" s="1"/>
  <c r="BB327" i="2"/>
  <c r="AD327" i="2" s="1"/>
  <c r="AE286" i="3"/>
  <c r="L286" i="3" s="1"/>
  <c r="AM336" i="2"/>
  <c r="AA336" i="2" s="1"/>
  <c r="AK193" i="3"/>
  <c r="T193" i="3" s="1"/>
  <c r="AP341" i="2"/>
  <c r="AB341" i="2" s="1"/>
  <c r="AJ37" i="3"/>
  <c r="W37" i="3" s="1"/>
  <c r="AL249" i="3"/>
  <c r="S249" i="3" s="1"/>
  <c r="AS210" i="2"/>
  <c r="AC210" i="2" s="1"/>
  <c r="AG241" i="3"/>
  <c r="N241" i="3" s="1"/>
  <c r="AG217" i="2"/>
  <c r="AK133" i="3"/>
  <c r="T133" i="3" s="1"/>
  <c r="AP236" i="2"/>
  <c r="AB236" i="2" s="1"/>
  <c r="AO317" i="3"/>
  <c r="X317" i="3" s="1"/>
  <c r="BE244" i="2"/>
  <c r="AN215" i="3"/>
  <c r="R215" i="3" s="1"/>
  <c r="BJ304" i="2"/>
  <c r="AF304" i="2" s="1"/>
  <c r="AN154" i="3"/>
  <c r="R154" i="3" s="1"/>
  <c r="BJ318" i="2"/>
  <c r="AF318" i="2" s="1"/>
  <c r="AK63" i="3"/>
  <c r="T63" i="3" s="1"/>
  <c r="AP329" i="2"/>
  <c r="AB329" i="2" s="1"/>
  <c r="AJ321" i="3"/>
  <c r="W321" i="3" s="1"/>
  <c r="AY333" i="2"/>
  <c r="AE333" i="2" s="1"/>
  <c r="AG127" i="3"/>
  <c r="N127" i="3" s="1"/>
  <c r="AG219" i="2"/>
  <c r="Y219" i="2" s="1"/>
  <c r="AG46" i="3"/>
  <c r="N46" i="3" s="1"/>
  <c r="AG225" i="3"/>
  <c r="N225" i="3" s="1"/>
  <c r="AG248" i="2"/>
  <c r="Y248" i="2" s="1"/>
  <c r="AO26" i="3"/>
  <c r="X26" i="3" s="1"/>
  <c r="BE261" i="2"/>
  <c r="AE341" i="3"/>
  <c r="AM285" i="2"/>
  <c r="AA285" i="2" s="1"/>
  <c r="AL251" i="3"/>
  <c r="S251" i="3" s="1"/>
  <c r="AS287" i="2"/>
  <c r="AC287" i="2" s="1"/>
  <c r="AK100" i="3"/>
  <c r="T100" i="3" s="1"/>
  <c r="AP308" i="2"/>
  <c r="AB308" i="2" s="1"/>
  <c r="AG126" i="3"/>
  <c r="N126" i="3" s="1"/>
  <c r="AG338" i="2"/>
  <c r="Y338" i="2" s="1"/>
  <c r="BB344" i="2"/>
  <c r="AD344" i="2" s="1"/>
  <c r="AS231" i="2"/>
  <c r="AC231" i="2" s="1"/>
  <c r="AM233" i="2"/>
  <c r="AA233" i="2" s="1"/>
  <c r="AJ235" i="2"/>
  <c r="Z235" i="2" s="1"/>
  <c r="AY236" i="2"/>
  <c r="AE236" i="2" s="1"/>
  <c r="AG237" i="2"/>
  <c r="Y237" i="2" s="1"/>
  <c r="AO313" i="3"/>
  <c r="X313" i="3" s="1"/>
  <c r="BE239" i="2"/>
  <c r="AE265" i="3"/>
  <c r="L265" i="3" s="1"/>
  <c r="AM252" i="2"/>
  <c r="AA252" i="2" s="1"/>
  <c r="AN275" i="3"/>
  <c r="R275" i="3" s="1"/>
  <c r="AN274" i="3"/>
  <c r="R274" i="3" s="1"/>
  <c r="BJ261" i="2"/>
  <c r="AF261" i="2" s="1"/>
  <c r="AG265" i="2"/>
  <c r="Y265" i="2" s="1"/>
  <c r="AM288" i="2"/>
  <c r="AA288" i="2" s="1"/>
  <c r="AJ299" i="2"/>
  <c r="Z299" i="2" s="1"/>
  <c r="AS301" i="2"/>
  <c r="AC301" i="2" s="1"/>
  <c r="AP306" i="2"/>
  <c r="AB306" i="2" s="1"/>
  <c r="AK49" i="3"/>
  <c r="T49" i="3" s="1"/>
  <c r="BE307" i="2"/>
  <c r="BJ309" i="2"/>
  <c r="AF309" i="2" s="1"/>
  <c r="AY312" i="2"/>
  <c r="AE312" i="2" s="1"/>
  <c r="AY317" i="2"/>
  <c r="AE317" i="2" s="1"/>
  <c r="AK332" i="3"/>
  <c r="T332" i="3" s="1"/>
  <c r="AP332" i="2"/>
  <c r="AB332" i="2" s="1"/>
  <c r="AJ335" i="2"/>
  <c r="Z335" i="2" s="1"/>
  <c r="AD326" i="3"/>
  <c r="K326" i="3" s="1"/>
  <c r="AK308" i="3"/>
  <c r="T308" i="3" s="1"/>
  <c r="AP340" i="2"/>
  <c r="AB340" i="2" s="1"/>
  <c r="AL84" i="3"/>
  <c r="S84" i="3" s="1"/>
  <c r="AE233" i="3"/>
  <c r="L233" i="3" s="1"/>
  <c r="AO318" i="3"/>
  <c r="X318" i="3" s="1"/>
  <c r="BE232" i="2"/>
  <c r="AI283" i="3"/>
  <c r="U283" i="3" s="1"/>
  <c r="BB270" i="2"/>
  <c r="AD270" i="2" s="1"/>
  <c r="AD306" i="3"/>
  <c r="K306" i="3" s="1"/>
  <c r="AJ281" i="2"/>
  <c r="Z281" i="2" s="1"/>
  <c r="AG302" i="3"/>
  <c r="N302" i="3" s="1"/>
  <c r="AG293" i="2"/>
  <c r="Y293" i="2" s="1"/>
  <c r="AK29" i="3"/>
  <c r="T29" i="3" s="1"/>
  <c r="AG74" i="3"/>
  <c r="N74" i="3" s="1"/>
  <c r="AG217" i="3"/>
  <c r="N217" i="3" s="1"/>
  <c r="AO220" i="3"/>
  <c r="X220" i="3" s="1"/>
  <c r="BE241" i="2"/>
  <c r="AO75" i="3"/>
  <c r="X75" i="3" s="1"/>
  <c r="BE251" i="2"/>
  <c r="AG274" i="3"/>
  <c r="N274" i="3" s="1"/>
  <c r="AG275" i="3"/>
  <c r="N275" i="3" s="1"/>
  <c r="AG310" i="3"/>
  <c r="N310" i="3" s="1"/>
  <c r="AG286" i="2"/>
  <c r="Y286" i="2" s="1"/>
  <c r="AK215" i="3"/>
  <c r="T215" i="3" s="1"/>
  <c r="AP304" i="2"/>
  <c r="AB304" i="2" s="1"/>
  <c r="AK197" i="3"/>
  <c r="T197" i="3" s="1"/>
  <c r="AP313" i="2"/>
  <c r="AB313" i="2" s="1"/>
  <c r="BJ319" i="2"/>
  <c r="AF319" i="2" s="1"/>
  <c r="AN276" i="3"/>
  <c r="R276" i="3" s="1"/>
  <c r="AG341" i="2"/>
  <c r="Y341" i="2" s="1"/>
  <c r="AG193" i="3"/>
  <c r="N193" i="3" s="1"/>
  <c r="AL149" i="3"/>
  <c r="S149" i="3" s="1"/>
  <c r="BB168" i="2"/>
  <c r="AD168" i="2" s="1"/>
  <c r="AG229" i="3"/>
  <c r="N229" i="3" s="1"/>
  <c r="AG205" i="2"/>
  <c r="Y205" i="2" s="1"/>
  <c r="BB207" i="2"/>
  <c r="AD207" i="2" s="1"/>
  <c r="AL241" i="3"/>
  <c r="S241" i="3" s="1"/>
  <c r="AS217" i="2"/>
  <c r="AC217" i="2" s="1"/>
  <c r="AO185" i="3"/>
  <c r="X185" i="3" s="1"/>
  <c r="BE218" i="2"/>
  <c r="BB280" i="2"/>
  <c r="AD280" i="2" s="1"/>
  <c r="AN210" i="3"/>
  <c r="R210" i="3" s="1"/>
  <c r="BJ314" i="2"/>
  <c r="AF314" i="2" s="1"/>
  <c r="AJ152" i="3"/>
  <c r="W152" i="3" s="1"/>
  <c r="AY320" i="2"/>
  <c r="AE320" i="2" s="1"/>
  <c r="AJ38" i="2"/>
  <c r="Z38" i="2" s="1"/>
  <c r="BE44" i="2"/>
  <c r="AS46" i="2"/>
  <c r="AC46" i="2" s="1"/>
  <c r="AG48" i="2"/>
  <c r="Y48" i="2" s="1"/>
  <c r="AS53" i="2"/>
  <c r="AC53" i="2" s="1"/>
  <c r="AG55" i="2"/>
  <c r="Y55" i="2" s="1"/>
  <c r="BE58" i="2"/>
  <c r="AS60" i="2"/>
  <c r="AC60" i="2" s="1"/>
  <c r="AG62" i="2"/>
  <c r="Y62" i="2" s="1"/>
  <c r="AS67" i="2"/>
  <c r="AC67" i="2" s="1"/>
  <c r="BJ69" i="2"/>
  <c r="AF69" i="2" s="1"/>
  <c r="AY71" i="2"/>
  <c r="AE71" i="2" s="1"/>
  <c r="AM73" i="2"/>
  <c r="AA73" i="2" s="1"/>
  <c r="AY78" i="2"/>
  <c r="AE78" i="2" s="1"/>
  <c r="AM80" i="2"/>
  <c r="AA80" i="2" s="1"/>
  <c r="AY85" i="2"/>
  <c r="AE85" i="2" s="1"/>
  <c r="AM87" i="2"/>
  <c r="AA87" i="2" s="1"/>
  <c r="AY92" i="2"/>
  <c r="AE92" i="2" s="1"/>
  <c r="AM94" i="2"/>
  <c r="AA94" i="2" s="1"/>
  <c r="AY99" i="2"/>
  <c r="AE99" i="2" s="1"/>
  <c r="AM101" i="2"/>
  <c r="AA101" i="2" s="1"/>
  <c r="AY106" i="2"/>
  <c r="AE106" i="2" s="1"/>
  <c r="AM108" i="2"/>
  <c r="AA108" i="2" s="1"/>
  <c r="BE117" i="2"/>
  <c r="AS119" i="2"/>
  <c r="AC119" i="2" s="1"/>
  <c r="AY123" i="2"/>
  <c r="AE123" i="2" s="1"/>
  <c r="AM125" i="2"/>
  <c r="AA125" i="2" s="1"/>
  <c r="AY130" i="2"/>
  <c r="AE130" i="2" s="1"/>
  <c r="AY137" i="2"/>
  <c r="AE137" i="2" s="1"/>
  <c r="AM139" i="2"/>
  <c r="AA139" i="2" s="1"/>
  <c r="AY144" i="2"/>
  <c r="AE144" i="2" s="1"/>
  <c r="AM146" i="2"/>
  <c r="AA146" i="2" s="1"/>
  <c r="AM152" i="2"/>
  <c r="AA152" i="2" s="1"/>
  <c r="AY157" i="2"/>
  <c r="AE157" i="2" s="1"/>
  <c r="AM159" i="2"/>
  <c r="AA159" i="2" s="1"/>
  <c r="AY164" i="2"/>
  <c r="AE164" i="2" s="1"/>
  <c r="AY171" i="2"/>
  <c r="AE171" i="2" s="1"/>
  <c r="AY178" i="2"/>
  <c r="AE178" i="2" s="1"/>
  <c r="AM180" i="2"/>
  <c r="AA180" i="2" s="1"/>
  <c r="AJ190" i="2"/>
  <c r="Z190" i="2" s="1"/>
  <c r="AM197" i="2"/>
  <c r="AA197" i="2" s="1"/>
  <c r="AY201" i="2"/>
  <c r="AE201" i="2" s="1"/>
  <c r="AY204" i="2"/>
  <c r="AE204" i="2" s="1"/>
  <c r="AJ271" i="3"/>
  <c r="W271" i="3" s="1"/>
  <c r="AS206" i="2"/>
  <c r="AC206" i="2" s="1"/>
  <c r="AM211" i="2"/>
  <c r="AA211" i="2" s="1"/>
  <c r="AP219" i="2"/>
  <c r="AB219" i="2" s="1"/>
  <c r="BE227" i="2"/>
  <c r="BE234" i="2"/>
  <c r="BJ239" i="2"/>
  <c r="AF239" i="2" s="1"/>
  <c r="BE243" i="2"/>
  <c r="AE317" i="3"/>
  <c r="L317" i="3" s="1"/>
  <c r="AM244" i="2"/>
  <c r="AA244" i="2" s="1"/>
  <c r="AP246" i="2"/>
  <c r="AB246" i="2" s="1"/>
  <c r="BE249" i="2"/>
  <c r="BJ255" i="2"/>
  <c r="AF255" i="2" s="1"/>
  <c r="AS256" i="2"/>
  <c r="AC256" i="2" s="1"/>
  <c r="AV258" i="2"/>
  <c r="AP269" i="2"/>
  <c r="AB269" i="2" s="1"/>
  <c r="AM271" i="2"/>
  <c r="AA271" i="2" s="1"/>
  <c r="AE177" i="3"/>
  <c r="L177" i="3" s="1"/>
  <c r="AM275" i="2"/>
  <c r="AA275" i="2" s="1"/>
  <c r="AJ286" i="2"/>
  <c r="Z286" i="2" s="1"/>
  <c r="AG291" i="2"/>
  <c r="Y291" i="2" s="1"/>
  <c r="BJ291" i="2"/>
  <c r="AF291" i="2" s="1"/>
  <c r="U143" i="3"/>
  <c r="U144" i="3"/>
  <c r="AS304" i="2"/>
  <c r="AC304" i="2" s="1"/>
  <c r="AY308" i="2"/>
  <c r="AE308" i="2" s="1"/>
  <c r="AP311" i="2"/>
  <c r="AB311" i="2" s="1"/>
  <c r="AL197" i="3"/>
  <c r="S197" i="3" s="1"/>
  <c r="AS313" i="2"/>
  <c r="AC313" i="2" s="1"/>
  <c r="AJ341" i="2"/>
  <c r="Z341" i="2" s="1"/>
  <c r="AG34" i="2"/>
  <c r="Y34" i="2" s="1"/>
  <c r="BE37" i="2"/>
  <c r="AS39" i="2"/>
  <c r="AC39" i="2" s="1"/>
  <c r="AG41" i="2"/>
  <c r="Y41" i="2" s="1"/>
  <c r="BJ48" i="2"/>
  <c r="AF48" i="2" s="1"/>
  <c r="BJ55" i="2"/>
  <c r="AF55" i="2" s="1"/>
  <c r="AP56" i="2"/>
  <c r="AB56" i="2" s="1"/>
  <c r="BJ62" i="2"/>
  <c r="AF62" i="2" s="1"/>
  <c r="AP63" i="2"/>
  <c r="AB63" i="2" s="1"/>
  <c r="AJ76" i="2"/>
  <c r="Z76" i="2" s="1"/>
  <c r="AJ83" i="2"/>
  <c r="Z83" i="2" s="1"/>
  <c r="AJ90" i="2"/>
  <c r="Z90" i="2" s="1"/>
  <c r="AJ97" i="2"/>
  <c r="Z97" i="2" s="1"/>
  <c r="AJ104" i="2"/>
  <c r="Z104" i="2" s="1"/>
  <c r="AJ111" i="2"/>
  <c r="Z111" i="2" s="1"/>
  <c r="AG114" i="2"/>
  <c r="Y114" i="2" s="1"/>
  <c r="AJ121" i="2"/>
  <c r="Z121" i="2" s="1"/>
  <c r="AJ128" i="2"/>
  <c r="Z128" i="2" s="1"/>
  <c r="AJ135" i="2"/>
  <c r="Z135" i="2" s="1"/>
  <c r="AJ142" i="2"/>
  <c r="Z142" i="2" s="1"/>
  <c r="AJ149" i="2"/>
  <c r="Z149" i="2" s="1"/>
  <c r="AS150" i="2"/>
  <c r="AC150" i="2" s="1"/>
  <c r="AJ155" i="2"/>
  <c r="Z155" i="2" s="1"/>
  <c r="AJ169" i="2"/>
  <c r="Z169" i="2" s="1"/>
  <c r="AJ176" i="2"/>
  <c r="Z176" i="2" s="1"/>
  <c r="AJ183" i="2"/>
  <c r="Z183" i="2" s="1"/>
  <c r="AG186" i="2"/>
  <c r="Y186" i="2" s="1"/>
  <c r="BE189" i="2"/>
  <c r="AS191" i="2"/>
  <c r="AC191" i="2" s="1"/>
  <c r="AG193" i="2"/>
  <c r="Y193" i="2" s="1"/>
  <c r="AY195" i="2"/>
  <c r="AE195" i="2" s="1"/>
  <c r="AY198" i="2"/>
  <c r="AE198" i="2" s="1"/>
  <c r="BJ199" i="2"/>
  <c r="AF199" i="2" s="1"/>
  <c r="AP200" i="2"/>
  <c r="AB200" i="2" s="1"/>
  <c r="AG202" i="2"/>
  <c r="Y202" i="2" s="1"/>
  <c r="AJ205" i="2"/>
  <c r="Z205" i="2" s="1"/>
  <c r="AG89" i="3"/>
  <c r="N89" i="3" s="1"/>
  <c r="AG213" i="2"/>
  <c r="Y213" i="2" s="1"/>
  <c r="AS214" i="2"/>
  <c r="AC214" i="2" s="1"/>
  <c r="AM221" i="2"/>
  <c r="AA221" i="2" s="1"/>
  <c r="AJ223" i="2"/>
  <c r="Z223" i="2" s="1"/>
  <c r="BJ232" i="2"/>
  <c r="AF232" i="2" s="1"/>
  <c r="AY238" i="2"/>
  <c r="AE238" i="2" s="1"/>
  <c r="AG239" i="2"/>
  <c r="Y239" i="2" s="1"/>
  <c r="BJ241" i="2"/>
  <c r="AF241" i="2" s="1"/>
  <c r="BE247" i="2"/>
  <c r="AL340" i="3"/>
  <c r="S340" i="3" s="1"/>
  <c r="AS250" i="2"/>
  <c r="AC250" i="2" s="1"/>
  <c r="AL265" i="3"/>
  <c r="S265" i="3" s="1"/>
  <c r="AS252" i="2"/>
  <c r="AC252" i="2" s="1"/>
  <c r="AG41" i="3"/>
  <c r="N41" i="3" s="1"/>
  <c r="AG253" i="2"/>
  <c r="Y253" i="2" s="1"/>
  <c r="AY262" i="2"/>
  <c r="AE262" i="2" s="1"/>
  <c r="AM263" i="2"/>
  <c r="AA263" i="2" s="1"/>
  <c r="AM277" i="2"/>
  <c r="AA277" i="2" s="1"/>
  <c r="AE72" i="3"/>
  <c r="L72" i="3" s="1"/>
  <c r="BE287" i="2"/>
  <c r="AV290" i="2"/>
  <c r="AJ282" i="3"/>
  <c r="W282" i="3" s="1"/>
  <c r="AY301" i="2"/>
  <c r="AE301" i="2" s="1"/>
  <c r="AM302" i="2"/>
  <c r="AA302" i="2" s="1"/>
  <c r="AY315" i="2"/>
  <c r="AE315" i="2" s="1"/>
  <c r="AM328" i="2"/>
  <c r="AA328" i="2" s="1"/>
  <c r="BE329" i="2"/>
  <c r="AN330" i="3"/>
  <c r="R330" i="3" s="1"/>
  <c r="BJ331" i="2"/>
  <c r="AF331" i="2" s="1"/>
  <c r="AG93" i="2"/>
  <c r="Y93" i="2" s="1"/>
  <c r="BE96" i="2"/>
  <c r="AS98" i="2"/>
  <c r="AC98" i="2" s="1"/>
  <c r="AG100" i="2"/>
  <c r="Y100" i="2" s="1"/>
  <c r="BE103" i="2"/>
  <c r="AS105" i="2"/>
  <c r="AC105" i="2" s="1"/>
  <c r="BE110" i="2"/>
  <c r="BJ114" i="2"/>
  <c r="AF114" i="2" s="1"/>
  <c r="AP115" i="2"/>
  <c r="AB115" i="2" s="1"/>
  <c r="AY116" i="2"/>
  <c r="AE116" i="2" s="1"/>
  <c r="AM118" i="2"/>
  <c r="AA118" i="2" s="1"/>
  <c r="AS122" i="2"/>
  <c r="AC122" i="2" s="1"/>
  <c r="BE127" i="2"/>
  <c r="AS129" i="2"/>
  <c r="AC129" i="2" s="1"/>
  <c r="AG131" i="2"/>
  <c r="Y131" i="2" s="1"/>
  <c r="BE134" i="2"/>
  <c r="AS136" i="2"/>
  <c r="AC136" i="2" s="1"/>
  <c r="AG138" i="2"/>
  <c r="Y138" i="2" s="1"/>
  <c r="BE141" i="2"/>
  <c r="AG145" i="2"/>
  <c r="Y145" i="2" s="1"/>
  <c r="BE148" i="2"/>
  <c r="BE154" i="2"/>
  <c r="AS156" i="2"/>
  <c r="AC156" i="2" s="1"/>
  <c r="AG158" i="2"/>
  <c r="Y158" i="2" s="1"/>
  <c r="BE161" i="2"/>
  <c r="AS163" i="2"/>
  <c r="AC163" i="2" s="1"/>
  <c r="AG165" i="2"/>
  <c r="BE168" i="2"/>
  <c r="AS170" i="2"/>
  <c r="AC170" i="2" s="1"/>
  <c r="AG172" i="2"/>
  <c r="Y172" i="2" s="1"/>
  <c r="BE175" i="2"/>
  <c r="AG179" i="2"/>
  <c r="Y179" i="2" s="1"/>
  <c r="AS184" i="2"/>
  <c r="AC184" i="2" s="1"/>
  <c r="AP187" i="2"/>
  <c r="AB187" i="2" s="1"/>
  <c r="BJ193" i="2"/>
  <c r="AF193" i="2" s="1"/>
  <c r="AP194" i="2"/>
  <c r="AB194" i="2" s="1"/>
  <c r="AG199" i="2"/>
  <c r="Y199" i="2" s="1"/>
  <c r="BE207" i="2"/>
  <c r="AM208" i="2"/>
  <c r="AA208" i="2" s="1"/>
  <c r="AO71" i="3"/>
  <c r="X71" i="3" s="1"/>
  <c r="BE215" i="2"/>
  <c r="AM216" i="2"/>
  <c r="AA216" i="2" s="1"/>
  <c r="AG225" i="2"/>
  <c r="Y225" i="2" s="1"/>
  <c r="AP228" i="2"/>
  <c r="AB228" i="2" s="1"/>
  <c r="AY231" i="2"/>
  <c r="AE231" i="2" s="1"/>
  <c r="AG232" i="2"/>
  <c r="Y232" i="2" s="1"/>
  <c r="AS233" i="2"/>
  <c r="AC233" i="2" s="1"/>
  <c r="AP235" i="2"/>
  <c r="AB235" i="2" s="1"/>
  <c r="BE236" i="2"/>
  <c r="AM237" i="2"/>
  <c r="AA237" i="2" s="1"/>
  <c r="AE201" i="3"/>
  <c r="L201" i="3" s="1"/>
  <c r="AS242" i="2"/>
  <c r="AC242" i="2" s="1"/>
  <c r="AP244" i="2"/>
  <c r="AB244" i="2" s="1"/>
  <c r="BJ251" i="2"/>
  <c r="AF251" i="2" s="1"/>
  <c r="AG335" i="3"/>
  <c r="N335" i="3" s="1"/>
  <c r="AG257" i="2"/>
  <c r="Y257" i="2" s="1"/>
  <c r="BJ257" i="2"/>
  <c r="AF257" i="2" s="1"/>
  <c r="AY258" i="2"/>
  <c r="AE258" i="2" s="1"/>
  <c r="AP275" i="2"/>
  <c r="AB275" i="2" s="1"/>
  <c r="BE280" i="2"/>
  <c r="AG284" i="2"/>
  <c r="Y284" i="2" s="1"/>
  <c r="AY285" i="2"/>
  <c r="AE285" i="2" s="1"/>
  <c r="AP299" i="2"/>
  <c r="AB299" i="2" s="1"/>
  <c r="AG300" i="2"/>
  <c r="Y300" i="2" s="1"/>
  <c r="AG38" i="3"/>
  <c r="N38" i="3" s="1"/>
  <c r="BJ305" i="2"/>
  <c r="AF305" i="2" s="1"/>
  <c r="AN80" i="3"/>
  <c r="R80" i="3" s="1"/>
  <c r="AP321" i="2"/>
  <c r="AB321" i="2" s="1"/>
  <c r="AK338" i="3"/>
  <c r="T338" i="3" s="1"/>
  <c r="AP343" i="2"/>
  <c r="AB343" i="2" s="1"/>
  <c r="BE345" i="2"/>
  <c r="AG208" i="3"/>
  <c r="N208" i="3" s="1"/>
  <c r="AG196" i="2"/>
  <c r="Y196" i="2" s="1"/>
  <c r="AL252" i="3"/>
  <c r="S252" i="3" s="1"/>
  <c r="AS246" i="2"/>
  <c r="AC246" i="2" s="1"/>
  <c r="AE310" i="3"/>
  <c r="L310" i="3" s="1"/>
  <c r="AM286" i="2"/>
  <c r="AA286" i="2" s="1"/>
  <c r="AL206" i="3"/>
  <c r="S206" i="3" s="1"/>
  <c r="AS311" i="2"/>
  <c r="AC311" i="2" s="1"/>
  <c r="M216" i="3"/>
  <c r="M217" i="3"/>
  <c r="AS203" i="2"/>
  <c r="AC203" i="2" s="1"/>
  <c r="AL13" i="3"/>
  <c r="S13" i="3" s="1"/>
  <c r="AK201" i="3"/>
  <c r="T201" i="3" s="1"/>
  <c r="AP237" i="2"/>
  <c r="AB237" i="2" s="1"/>
  <c r="AK132" i="3"/>
  <c r="T132" i="3" s="1"/>
  <c r="AP263" i="2"/>
  <c r="AB263" i="2" s="1"/>
  <c r="AO152" i="3"/>
  <c r="X152" i="3" s="1"/>
  <c r="BE320" i="2"/>
  <c r="AD286" i="3"/>
  <c r="K286" i="3" s="1"/>
  <c r="AJ336" i="2"/>
  <c r="Z336" i="2" s="1"/>
  <c r="AJ308" i="3"/>
  <c r="W308" i="3" s="1"/>
  <c r="AY340" i="2"/>
  <c r="AE340" i="2" s="1"/>
  <c r="AL338" i="3"/>
  <c r="S338" i="3" s="1"/>
  <c r="AS343" i="2"/>
  <c r="AC343" i="2" s="1"/>
  <c r="AJ310" i="3"/>
  <c r="W310" i="3" s="1"/>
  <c r="AY286" i="2"/>
  <c r="AE286" i="2" s="1"/>
  <c r="AM305" i="2"/>
  <c r="AA305" i="2" s="1"/>
  <c r="AM309" i="2"/>
  <c r="AA309" i="2" s="1"/>
  <c r="AK328" i="3"/>
  <c r="T328" i="3" s="1"/>
  <c r="AP339" i="2"/>
  <c r="AB339" i="2" s="1"/>
  <c r="BB345" i="2"/>
  <c r="AD345" i="2" s="1"/>
  <c r="AL24" i="3"/>
  <c r="S24" i="3" s="1"/>
  <c r="G24" i="3"/>
  <c r="AJ24" i="3"/>
  <c r="W24" i="3" s="1"/>
  <c r="E24" i="3"/>
  <c r="AI24" i="3"/>
  <c r="U24" i="3" s="1"/>
  <c r="C24" i="3"/>
  <c r="AH24" i="3"/>
  <c r="O24" i="3" s="1"/>
  <c r="B24" i="3"/>
  <c r="P24" i="3"/>
  <c r="AO24" i="3"/>
  <c r="X24" i="3" s="1"/>
  <c r="AN24" i="3"/>
  <c r="R24" i="3" s="1"/>
  <c r="AK24" i="3"/>
  <c r="T24" i="3" s="1"/>
  <c r="AG24" i="3"/>
  <c r="N24" i="3" s="1"/>
  <c r="AD24" i="3"/>
  <c r="K24" i="3" s="1"/>
  <c r="Z24" i="3"/>
  <c r="AE80" i="3"/>
  <c r="L80" i="3" s="1"/>
  <c r="AL225" i="3"/>
  <c r="S225" i="3" s="1"/>
  <c r="AS248" i="2"/>
  <c r="AC248" i="2" s="1"/>
  <c r="AP256" i="2"/>
  <c r="AB256" i="2" s="1"/>
  <c r="AP258" i="2"/>
  <c r="AB258" i="2" s="1"/>
  <c r="AO274" i="3"/>
  <c r="X274" i="3" s="1"/>
  <c r="AO275" i="3"/>
  <c r="X275" i="3" s="1"/>
  <c r="AL152" i="3"/>
  <c r="S152" i="3" s="1"/>
  <c r="AS320" i="2"/>
  <c r="AC320" i="2" s="1"/>
  <c r="AD126" i="3"/>
  <c r="K126" i="3" s="1"/>
  <c r="AJ338" i="2"/>
  <c r="Z338" i="2" s="1"/>
  <c r="AA24" i="3"/>
  <c r="AP260" i="2"/>
  <c r="AB260" i="2" s="1"/>
  <c r="AG256" i="3"/>
  <c r="N256" i="3" s="1"/>
  <c r="AG288" i="2"/>
  <c r="Y288" i="2" s="1"/>
  <c r="BJ298" i="2"/>
  <c r="AF298" i="2" s="1"/>
  <c r="AS299" i="2"/>
  <c r="AC299" i="2" s="1"/>
  <c r="AV301" i="2"/>
  <c r="AS318" i="2"/>
  <c r="AC318" i="2" s="1"/>
  <c r="AG325" i="2"/>
  <c r="Y325" i="2" s="1"/>
  <c r="BJ325" i="2"/>
  <c r="AF325" i="2" s="1"/>
  <c r="BJ327" i="2"/>
  <c r="AF327" i="2" s="1"/>
  <c r="AP335" i="2"/>
  <c r="AB335" i="2" s="1"/>
  <c r="BJ343" i="2"/>
  <c r="AF343" i="2" s="1"/>
  <c r="AG345" i="2"/>
  <c r="Y345" i="2" s="1"/>
  <c r="AB24" i="3"/>
  <c r="R143" i="3"/>
  <c r="R144" i="3"/>
  <c r="AE126" i="3"/>
  <c r="L126" i="3" s="1"/>
  <c r="AM338" i="2"/>
  <c r="AA338" i="2" s="1"/>
  <c r="AN193" i="3"/>
  <c r="R193" i="3" s="1"/>
  <c r="BJ341" i="2"/>
  <c r="AF341" i="2" s="1"/>
  <c r="AE24" i="3"/>
  <c r="L24" i="3" s="1"/>
  <c r="AO252" i="3"/>
  <c r="X252" i="3" s="1"/>
  <c r="BE246" i="2"/>
  <c r="AJ177" i="3"/>
  <c r="W177" i="3" s="1"/>
  <c r="AY275" i="2"/>
  <c r="AE275" i="2" s="1"/>
  <c r="AJ280" i="3"/>
  <c r="W280" i="3" s="1"/>
  <c r="AY280" i="2"/>
  <c r="AE280" i="2" s="1"/>
  <c r="BB311" i="2"/>
  <c r="AD311" i="2" s="1"/>
  <c r="AE68" i="3"/>
  <c r="L68" i="3" s="1"/>
  <c r="AN63" i="3"/>
  <c r="R63" i="3" s="1"/>
  <c r="BJ329" i="2"/>
  <c r="AF329" i="2" s="1"/>
  <c r="AK331" i="3"/>
  <c r="T331" i="3" s="1"/>
  <c r="AP334" i="2"/>
  <c r="AB334" i="2" s="1"/>
  <c r="AN308" i="3"/>
  <c r="R308" i="3" s="1"/>
  <c r="BJ340" i="2"/>
  <c r="AF340" i="2" s="1"/>
  <c r="AJ329" i="2"/>
  <c r="Z329" i="2" s="1"/>
  <c r="AY330" i="2"/>
  <c r="AE330" i="2" s="1"/>
  <c r="AO321" i="3"/>
  <c r="X321" i="3" s="1"/>
  <c r="BE333" i="2"/>
  <c r="AD308" i="3"/>
  <c r="K308" i="3" s="1"/>
  <c r="AJ340" i="2"/>
  <c r="Z340" i="2" s="1"/>
  <c r="AN225" i="3"/>
  <c r="R225" i="3" s="1"/>
  <c r="AL284" i="2"/>
  <c r="AJ284" i="2" s="1"/>
  <c r="Z284" i="2" s="1"/>
  <c r="AO307" i="3"/>
  <c r="X307" i="3" s="1"/>
  <c r="BE258" i="2"/>
  <c r="AE274" i="3"/>
  <c r="L274" i="3" s="1"/>
  <c r="AE275" i="3"/>
  <c r="L275" i="3" s="1"/>
  <c r="AI314" i="3"/>
  <c r="U314" i="3" s="1"/>
  <c r="BB272" i="2"/>
  <c r="AD272" i="2" s="1"/>
  <c r="AO263" i="3"/>
  <c r="X263" i="3" s="1"/>
  <c r="BE296" i="2"/>
  <c r="AO282" i="3"/>
  <c r="X282" i="3" s="1"/>
  <c r="BE301" i="2"/>
  <c r="AL286" i="3"/>
  <c r="S286" i="3" s="1"/>
  <c r="AS336" i="2"/>
  <c r="AC336" i="2" s="1"/>
  <c r="BE339" i="2"/>
  <c r="AL313" i="3"/>
  <c r="S313" i="3" s="1"/>
  <c r="AS239" i="2"/>
  <c r="AC239" i="2" s="1"/>
  <c r="AD341" i="3"/>
  <c r="AJ285" i="2"/>
  <c r="Z285" i="2" s="1"/>
  <c r="W143" i="3"/>
  <c r="W144" i="3"/>
  <c r="AM241" i="2"/>
  <c r="AA241" i="2" s="1"/>
  <c r="BE245" i="2"/>
  <c r="AM246" i="2"/>
  <c r="AA246" i="2" s="1"/>
  <c r="AY269" i="2"/>
  <c r="AE269" i="2" s="1"/>
  <c r="AM273" i="2"/>
  <c r="AA273" i="2" s="1"/>
  <c r="AG275" i="2"/>
  <c r="Y275" i="2" s="1"/>
  <c r="AP283" i="2"/>
  <c r="AB283" i="2" s="1"/>
  <c r="AS288" i="2"/>
  <c r="AC288" i="2" s="1"/>
  <c r="AM290" i="2"/>
  <c r="AA290" i="2" s="1"/>
  <c r="AP297" i="2"/>
  <c r="AB297" i="2" s="1"/>
  <c r="AS307" i="2"/>
  <c r="AC307" i="2" s="1"/>
  <c r="AP314" i="2"/>
  <c r="AB314" i="2" s="1"/>
  <c r="AP319" i="2"/>
  <c r="AB319" i="2" s="1"/>
  <c r="AP324" i="2"/>
  <c r="AB324" i="2" s="1"/>
  <c r="BE330" i="2"/>
  <c r="AY332" i="2"/>
  <c r="AE332" i="2" s="1"/>
  <c r="AY334" i="2"/>
  <c r="AE334" i="2" s="1"/>
  <c r="AL311" i="2"/>
  <c r="AL304" i="2"/>
  <c r="AK311" i="2"/>
  <c r="AK304" i="2"/>
  <c r="AJ65" i="3"/>
  <c r="W65" i="3" s="1"/>
  <c r="AY242" i="2"/>
  <c r="AE242" i="2" s="1"/>
  <c r="AK275" i="3"/>
  <c r="T275" i="3" s="1"/>
  <c r="AK274" i="3"/>
  <c r="T274" i="3" s="1"/>
  <c r="AD274" i="3"/>
  <c r="K274" i="3" s="1"/>
  <c r="AD275" i="3"/>
  <c r="K275" i="3" s="1"/>
  <c r="AM275" i="3"/>
  <c r="Q275" i="3" s="1"/>
  <c r="AM274" i="3"/>
  <c r="Q274" i="3" s="1"/>
  <c r="AK85" i="3"/>
  <c r="T85" i="3" s="1"/>
  <c r="AJ42" i="3"/>
  <c r="W42" i="3" s="1"/>
  <c r="C42" i="3"/>
  <c r="AH42" i="3"/>
  <c r="O42" i="3" s="1"/>
  <c r="AG42" i="3"/>
  <c r="N42" i="3" s="1"/>
  <c r="AF42" i="3"/>
  <c r="M42" i="3" s="1"/>
  <c r="AE42" i="3"/>
  <c r="L42" i="3" s="1"/>
  <c r="AD42" i="3"/>
  <c r="K42" i="3" s="1"/>
  <c r="AA42" i="3"/>
  <c r="Z42" i="3"/>
  <c r="AK306" i="3"/>
  <c r="T306" i="3" s="1"/>
  <c r="BE269" i="2"/>
  <c r="AG273" i="2"/>
  <c r="Y273" i="2" s="1"/>
  <c r="AS278" i="2"/>
  <c r="AC278" i="2" s="1"/>
  <c r="AG280" i="2"/>
  <c r="Y280" i="2" s="1"/>
  <c r="BJ287" i="2"/>
  <c r="AF287" i="2" s="1"/>
  <c r="AP288" i="2"/>
  <c r="AB288" i="2" s="1"/>
  <c r="AY292" i="2"/>
  <c r="AE292" i="2" s="1"/>
  <c r="AM294" i="2"/>
  <c r="AA294" i="2" s="1"/>
  <c r="AY299" i="2"/>
  <c r="AE299" i="2" s="1"/>
  <c r="AM301" i="2"/>
  <c r="AA301" i="2" s="1"/>
  <c r="AJ318" i="2"/>
  <c r="Z318" i="2" s="1"/>
  <c r="BE324" i="2"/>
  <c r="AS326" i="2"/>
  <c r="AC326" i="2" s="1"/>
  <c r="AM334" i="2"/>
  <c r="AA334" i="2" s="1"/>
  <c r="AY343" i="2"/>
  <c r="AE343" i="2" s="1"/>
  <c r="AJ338" i="3"/>
  <c r="W338" i="3" s="1"/>
  <c r="P42" i="3"/>
  <c r="BA333" i="3"/>
  <c r="BB333" i="3"/>
  <c r="BJ335" i="2"/>
  <c r="AF335" i="2" s="1"/>
  <c r="AM342" i="2"/>
  <c r="AA342" i="2" s="1"/>
  <c r="AM345" i="2"/>
  <c r="AA345" i="2" s="1"/>
  <c r="AK37" i="3"/>
  <c r="T37" i="3" s="1"/>
  <c r="BA331" i="3"/>
  <c r="BA334" i="3"/>
  <c r="L334" i="3" l="1"/>
  <c r="L333" i="3"/>
  <c r="AD215" i="3"/>
  <c r="K215" i="3" s="1"/>
  <c r="AJ304" i="2"/>
  <c r="Z304" i="2" s="1"/>
  <c r="AJ311" i="2"/>
  <c r="Z311" i="2" s="1"/>
  <c r="AD206" i="3"/>
  <c r="K206" i="3" s="1"/>
  <c r="Y61" i="2"/>
  <c r="Y165" i="2"/>
  <c r="V6" i="1"/>
  <c r="Y168" i="2"/>
  <c r="Y108" i="2"/>
  <c r="K334" i="3"/>
  <c r="K33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tc={2682b306-26d7-4cdd-9991-35303ca600dd}</author>
  </authors>
  <commentList>
    <comment ref="A1" authorId="0" shapeId="0" xr:uid="{2682B306-26D7-4CDD-9991-35303CA600DD}">
      <text>
        <t>[Threaded comment]
Your version of Excel allows you to read this threaded comment; however, any edits to it will get removed if the file is opened in a newer version of Excel. Learn more: https://go.microsoft.com/fwlink/?linkid=870924
Comment:
    sold in Guangzhou Shipping Exchange yesterday to Chinese buyer at around $84 mil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tc={f3b5b625-7c26-41c9-8cc8-44f670f4284b}</author>
    <author>tc={2e0a34f0-39ee-41e2-8388-517417c1fa11}</author>
    <author>tc={0962599a-4810-4c04-88bb-9f2be3ca7023}</author>
    <author>tc={4a2abcd2-80e9-4fae-8235-db8a8e582eea}</author>
    <author>tc={933d161e-3408-459e-a9ca-e825bf088550}</author>
    <author>tc={46953fbe-d5ac-425b-ae77-dfb734bbdedd}</author>
    <author>tc={79da0261-9714-47b8-bfc7-150d89d0942d}</author>
    <author>tc={88beac0e-a9e8-4412-b0c8-a9070a4c04a6}</author>
    <author>tc={1d2af859-88f8-4c3e-94df-4a65a6b1b33e}</author>
    <author>tc={62a33f35-1b1f-4f98-94bd-0e2d9c2f6049}</author>
    <author>tc={f28014b0-49d1-40b8-8b5f-00630e0b470e}</author>
    <author>tc={7dda6a16-7f3f-47f1-89e7-1e75c9bd2014}</author>
    <author>tc={71935b23-33a6-4b77-bd52-af629801f8a2}</author>
    <author>tc={db255095-9bb1-4606-9003-0d4576f03111}</author>
    <author>tc={f4c1290f-fd41-426a-a925-a72262ae197a}</author>
  </authors>
  <commentList>
    <comment ref="P3" authorId="0" shapeId="0" xr:uid="{00000000-0006-0000-0100-000001000000}">
      <text>
        <r>
          <rPr>
            <sz val="11"/>
            <color rgb="FF000000"/>
            <rFont val="Calibri"/>
            <scheme val="minor"/>
          </rPr>
          <t xml:space="preserve">Astomos Venus last DD 06 Mar 2026 @ Yiulian Shipyard (DO NOT DELETE)
USWC-Far East shuttle
</t>
        </r>
      </text>
    </comment>
    <comment ref="A8" authorId="0" shapeId="0" xr:uid="{00000000-0006-0000-0100-000002000000}">
      <text>
        <r>
          <rPr>
            <sz val="11"/>
            <color rgb="FF000000"/>
            <rFont val="Calibri"/>
            <scheme val="minor"/>
          </rPr>
          <t>IMO: 9255701 (2 x Gas Capricorn)</t>
        </r>
      </text>
    </comment>
    <comment ref="P9" authorId="0" shapeId="0" xr:uid="{00000000-0006-0000-0100-000003000000}">
      <text>
        <r>
          <rPr>
            <sz val="11"/>
            <color rgb="FF000000"/>
            <rFont val="Calibri"/>
            <scheme val="minor"/>
          </rPr>
          <t xml:space="preserve">Kodaijisan last DD 28 Jan 2026 @ Yiulian Shipyard (DO NOT DELETE)
</t>
        </r>
      </text>
    </comment>
    <comment ref="P10" authorId="0" shapeId="0" xr:uid="{00000000-0006-0000-0100-000004000000}">
      <text>
        <r>
          <rPr>
            <sz val="11"/>
            <color rgb="FF000000"/>
            <rFont val="Calibri"/>
            <scheme val="minor"/>
          </rPr>
          <t>Lantana Planet last DD 28 Dec 2025 @ Xiaoqian Island Shipyard (DO NOT DELETE)</t>
        </r>
      </text>
    </comment>
    <comment ref="P19" authorId="0" shapeId="0" xr:uid="{00000000-0006-0000-0100-000005000000}">
      <text>
        <r>
          <rPr>
            <sz val="11"/>
            <color rgb="FF000000"/>
            <rFont val="Calibri"/>
            <scheme val="minor"/>
          </rPr>
          <t>Sumire Gas last DD 16 Mar 2026 @ Zhoushan Zinya Shipyard (DO NOT DELETE)
redelivered by Neptune to Astomos prior to DD Mar 2026
to be redelivered by Astomos to NS United mid 2026
to be delivered to Itochu on TC mid 2026</t>
        </r>
      </text>
    </comment>
    <comment ref="E23" authorId="0" shapeId="0" xr:uid="{00000000-0006-0000-0100-000006000000}">
      <text>
        <r>
          <rPr>
            <sz val="11"/>
            <color rgb="FF000000"/>
            <rFont val="Calibri"/>
            <scheme val="minor"/>
          </rPr>
          <t>Registered Owner
XIANG L15 HK INTERNATIONAL
as of 22Oct2025</t>
        </r>
      </text>
    </comment>
    <comment ref="E27" authorId="0" shapeId="0" xr:uid="{00000000-0006-0000-0100-000007000000}">
      <text>
        <r>
          <rPr>
            <sz val="11"/>
            <color rgb="FF000000"/>
            <rFont val="Calibri"/>
            <scheme val="minor"/>
          </rPr>
          <t>Registered Owner
XIANG L15 HK INTERNATIONAL
as of 22Oct2025</t>
        </r>
      </text>
    </comment>
    <comment ref="P28" authorId="0" shapeId="0" xr:uid="{00000000-0006-0000-0100-000008000000}">
      <text>
        <r>
          <rPr>
            <sz val="11"/>
            <color rgb="FF000000"/>
            <rFont val="Calibri"/>
            <scheme val="minor"/>
          </rPr>
          <t>Shuttle run Yanbu to Suez</t>
        </r>
      </text>
    </comment>
    <comment ref="G31" authorId="0" shapeId="0" xr:uid="{00000000-0006-0000-0100-000009000000}">
      <text>
        <r>
          <rPr>
            <sz val="11"/>
            <color rgb="FF000000"/>
            <rFont val="Calibri"/>
            <scheme val="minor"/>
          </rPr>
          <t xml:space="preserve">
2 x 1000 CBM</t>
        </r>
      </text>
    </comment>
    <comment ref="P32" authorId="0" shapeId="0" xr:uid="{00000000-0006-0000-0100-00000A000000}">
      <text>
        <r>
          <rPr>
            <sz val="11"/>
            <color rgb="FF000000"/>
            <rFont val="Calibri"/>
            <scheme val="minor"/>
          </rPr>
          <t>Hellas Sparta last DD 22 Feb 2026 @ Keppel Shipyard Singapore (DO NOT DELETE)</t>
        </r>
      </text>
    </comment>
    <comment ref="P33" authorId="0" shapeId="0" xr:uid="{00000000-0006-0000-0100-00000B000000}">
      <text>
        <r>
          <rPr>
            <sz val="11"/>
            <color rgb="FF000000"/>
            <rFont val="Calibri"/>
            <scheme val="minor"/>
          </rPr>
          <t>Shuttle run Yanbu to Suez</t>
        </r>
      </text>
    </comment>
    <comment ref="A37" authorId="0" shapeId="0" xr:uid="{00000000-0006-0000-0100-00000C000000}">
      <text>
        <r>
          <rPr>
            <sz val="11"/>
            <color rgb="FF000000"/>
            <rFont val="Calibri"/>
            <scheme val="minor"/>
          </rPr>
          <t xml:space="preserve">Ex Manifesto
</t>
        </r>
      </text>
    </comment>
    <comment ref="P44" authorId="0" shapeId="0" xr:uid="{00000000-0006-0000-0100-00000D000000}">
      <text>
        <r>
          <rPr>
            <sz val="11"/>
            <color rgb="FF000000"/>
            <rFont val="Calibri"/>
            <scheme val="minor"/>
          </rPr>
          <t>Gas Ares last DD 03 Mar 2026 @ Zhoushan Zhongtian shipyard (DO NOT DELETE)</t>
        </r>
      </text>
    </comment>
    <comment ref="P47" authorId="0" shapeId="0" xr:uid="{00000000-0006-0000-0100-00000E000000}">
      <text>
        <r>
          <rPr>
            <sz val="11"/>
            <color rgb="FF000000"/>
            <rFont val="Calibri"/>
            <scheme val="minor"/>
          </rPr>
          <t>Gas Gala last DD 24 Mar 2026 @ Keppel Shipyard Singapore (DO NOT DELETE)</t>
        </r>
      </text>
    </comment>
    <comment ref="P49" authorId="0" shapeId="0" xr:uid="{00000000-0006-0000-0100-00000F000000}">
      <text>
        <r>
          <rPr>
            <sz val="11"/>
            <color rgb="FF000000"/>
            <rFont val="Calibri"/>
            <scheme val="minor"/>
          </rPr>
          <t>Gas Ghazi last DD 01 Mar 2026 @ MMH Engineering shipyard, Pasir Gudang Malaysia (DO NOT DELETE)</t>
        </r>
      </text>
    </comment>
    <comment ref="D53" authorId="1" shapeId="0" xr:uid="{F3B5B625-7C26-41C9-8CC8-44F670F4284B}">
      <text>
        <t>[Threaded comment]
Your version of Excel allows you to read this threaded comment; however, any edits to it will get removed if the file is opened in a newer version of Excel. Learn more: https://go.microsoft.com/fwlink/?linkid=870924
Comment:
    Cido Shipping</t>
      </text>
    </comment>
    <comment ref="A61" authorId="0" shapeId="0" xr:uid="{00000000-0006-0000-0100-000010000000}">
      <text>
        <r>
          <rPr>
            <sz val="11"/>
            <color rgb="FF000000"/>
            <rFont val="Calibri"/>
            <scheme val="minor"/>
          </rPr>
          <t>On TC to SwissChemGas (3-5 years TC) ???</t>
        </r>
      </text>
    </comment>
    <comment ref="I64" authorId="2" shapeId="0" xr:uid="{2E0A34F0-39EE-41E2-8388-517417C1FA11}">
      <text>
        <t>[Threaded comment]
Your version of Excel allows you to read this threaded comment; however, any edits to it will get removed if the file is opened in a newer version of Excel. Learn more: https://go.microsoft.com/fwlink/?linkid=870924
Comment:
    BP mainly loads from Marcus Hook</t>
      </text>
    </comment>
    <comment ref="I80" authorId="0" shapeId="0" xr:uid="{00000000-0006-0000-0100-000011000000}">
      <text>
        <r>
          <rPr>
            <sz val="11"/>
            <color rgb="FF000000"/>
            <rFont val="Calibri"/>
            <scheme val="minor"/>
          </rPr>
          <t>AG FOBs + 2/2 CFR per mth. Not interested in Pertamina due to internal issues</t>
        </r>
      </text>
    </comment>
    <comment ref="I86" authorId="0" shapeId="0" xr:uid="{00000000-0006-0000-0100-000012000000}">
      <text>
        <r>
          <rPr>
            <sz val="11"/>
            <color rgb="FF000000"/>
            <rFont val="Calibri"/>
            <scheme val="minor"/>
          </rPr>
          <t xml:space="preserve">Relet more during summer, fix in more during winter
</t>
        </r>
      </text>
    </comment>
    <comment ref="A92" authorId="0" shapeId="0" xr:uid="{00000000-0006-0000-0100-000013000000}">
      <text>
        <r>
          <rPr>
            <sz val="11"/>
            <color rgb="FF000000"/>
            <rFont val="Calibri"/>
            <scheme val="minor"/>
          </rPr>
          <t>E1's Gas Stella for 2 yrs (delivering in 1Q25) to ET</t>
        </r>
      </text>
    </comment>
    <comment ref="I92" authorId="3" shapeId="0" xr:uid="{0962599A-4810-4C04-88BB-9F2BE3CA7023}">
      <text>
        <t>[Threaded comment]
Your version of Excel allows you to read this threaded comment; however, any edits to it will get removed if the file is opened in a newer version of Excel. Learn more: https://go.microsoft.com/fwlink/?linkid=870924
Comment:
    CVC with SHV</t>
      </text>
    </comment>
    <comment ref="A93" authorId="0" shapeId="0" xr:uid="{00000000-0006-0000-0100-000014000000}">
      <text>
        <r>
          <rPr>
            <sz val="11"/>
            <color rgb="FF000000"/>
            <rFont val="Calibri"/>
            <scheme val="minor"/>
          </rPr>
          <t xml:space="preserve">NS Dream has been fixed on TC to ETP in August
Will be redelivered to Astomos in mid 2026 - HC 15Jan2026
</t>
        </r>
      </text>
    </comment>
    <comment ref="A94" authorId="0" shapeId="0" xr:uid="{00000000-0006-0000-0100-000015000000}">
      <text>
        <r>
          <rPr>
            <sz val="11"/>
            <color rgb="FF000000"/>
            <rFont val="Calibri"/>
            <scheme val="minor"/>
          </rPr>
          <t>Transpetrol's Perseverance V for 2 yrs (delivering in 1Q25) to ET</t>
        </r>
      </text>
    </comment>
    <comment ref="I108" authorId="4" shapeId="0" xr:uid="{4A2ABCD2-80E9-4FAE-8235-DB8A8E582EEA}">
      <text>
        <t>[Threaded comment]
Your version of Excel allows you to read this threaded comment; however, any edits to it will get removed if the file is opened in a newer version of Excel. Learn more: https://go.microsoft.com/fwlink/?linkid=870924
Comment:
    Pertamina &gt; Mercuria (TC - duration TBC)</t>
      </text>
    </comment>
    <comment ref="A111" authorId="0" shapeId="0" xr:uid="{00000000-0006-0000-0100-000016000000}">
      <text>
        <r>
          <rPr>
            <sz val="11"/>
            <color rgb="FF000000"/>
            <rFont val="Calibri"/>
            <scheme val="minor"/>
          </rPr>
          <t>ex-Navigare Generosa</t>
        </r>
      </text>
    </comment>
    <comment ref="I124" authorId="0" shapeId="0" xr:uid="{00000000-0006-0000-0100-000017000000}">
      <text>
        <r>
          <rPr>
            <sz val="11"/>
            <color rgb="FF000000"/>
            <rFont val="Calibri"/>
            <scheme val="minor"/>
          </rPr>
          <t>Using which own ship to load 23-26 May Prince Rupert ?</t>
        </r>
      </text>
    </comment>
    <comment ref="P124" authorId="0" shapeId="0" xr:uid="{00000000-0006-0000-0100-000018000000}">
      <text>
        <r>
          <rPr>
            <sz val="11"/>
            <color rgb="FF000000"/>
            <rFont val="Calibri"/>
            <scheme val="minor"/>
          </rPr>
          <t xml:space="preserve">Sunny Vista last DD @ Daqianmen Shipyard on 25 Mar 2026 (DO NOT DELETE)
</t>
        </r>
      </text>
    </comment>
    <comment ref="A135" authorId="0" shapeId="0" xr:uid="{00000000-0006-0000-0100-000019000000}">
      <text>
        <r>
          <rPr>
            <sz val="11"/>
            <color rgb="FF000000"/>
            <rFont val="Calibri"/>
            <scheme val="minor"/>
          </rPr>
          <t>ex-Eneos Gunjo</t>
        </r>
      </text>
    </comment>
    <comment ref="I135" authorId="5" shapeId="0" xr:uid="{933D161E-3408-459E-A9CA-E825BF088550}">
      <text>
        <t>[Threaded comment]
Your version of Excel allows you to read this threaded comment; however, any edits to it will get removed if the file is opened in a newer version of Excel. Learn more: https://go.microsoft.com/fwlink/?linkid=870924
Comment:
    No more requirement for Nov in USG</t>
      </text>
    </comment>
    <comment ref="P138" authorId="0" shapeId="0" xr:uid="{00000000-0006-0000-0100-00001A000000}">
      <text>
        <r>
          <rPr>
            <sz val="11"/>
            <color rgb="FF000000"/>
            <rFont val="Calibri"/>
            <scheme val="minor"/>
          </rPr>
          <t>Shaamit last DD 21 Mar 2025 @ Zhoushan Xinya Shipyard (DO NOT DELETE)</t>
        </r>
      </text>
    </comment>
    <comment ref="P139" authorId="0" shapeId="0" xr:uid="{00000000-0006-0000-0100-00001B000000}">
      <text>
        <r>
          <rPr>
            <sz val="11"/>
            <color rgb="FF000000"/>
            <rFont val="Calibri"/>
            <scheme val="minor"/>
          </rPr>
          <t>last DD xx Mar 2025 @ xxx (DO NOT DELETE)</t>
        </r>
      </text>
    </comment>
    <comment ref="A144" authorId="0" shapeId="0" xr:uid="{00000000-0006-0000-0100-00001C000000}">
      <text>
        <r>
          <rPr>
            <sz val="11"/>
            <color rgb="FF000000"/>
            <rFont val="Calibri"/>
            <scheme val="minor"/>
          </rPr>
          <t xml:space="preserve">ex Gas Taurus
to be renamed Gas Quila
Cassa Mega Lautan PT are the owners, same as the Gas Camelot
</t>
        </r>
      </text>
    </comment>
    <comment ref="P144" authorId="0" shapeId="0" xr:uid="{00000000-0006-0000-0100-00001D000000}">
      <text>
        <r>
          <rPr>
            <sz val="11"/>
            <color rgb="FF000000"/>
            <rFont val="Calibri"/>
            <scheme val="minor"/>
          </rPr>
          <t>last DD 25 Dec 2025 @ Huangpu Shipyard (DO NOT DELETE)
DD then delivery to new Owners as per Ivan/Sinogas (BR 15Dec2025)</t>
        </r>
      </text>
    </comment>
    <comment ref="P147" authorId="0" shapeId="0" xr:uid="{00000000-0006-0000-0100-00001E000000}">
      <text>
        <r>
          <rPr>
            <sz val="11"/>
            <color rgb="FF000000"/>
            <rFont val="Calibri"/>
            <scheme val="minor"/>
          </rPr>
          <t>Bottom survey due in Oct 2025</t>
        </r>
      </text>
    </comment>
    <comment ref="P148" authorId="0" shapeId="0" xr:uid="{00000000-0006-0000-0100-00001F000000}">
      <text>
        <r>
          <rPr>
            <sz val="11"/>
            <color rgb="FF000000"/>
            <rFont val="Calibri"/>
            <scheme val="minor"/>
          </rPr>
          <t>last DD 24 Jan 2025 @ Zhoushan Zhongtian Shipyard (DO NOT DELETE)</t>
        </r>
      </text>
    </comment>
    <comment ref="I149" authorId="6" shapeId="0" xr:uid="{46953FBE-D5AC-425B-AE77-DFB734BBDEDD}">
      <text>
        <t>[Threaded comment]
Your version of Excel allows you to read this threaded comment; however, any edits to it will get removed if the file is opened in a newer version of Excel. Learn more: https://go.microsoft.com/fwlink/?linkid=870924
Comment:
    Mercuria TC to ATC till Oct 26</t>
      </text>
    </comment>
    <comment ref="P149" authorId="0" shapeId="0" xr:uid="{00000000-0006-0000-0100-000020000000}">
      <text>
        <r>
          <rPr>
            <sz val="11"/>
            <color rgb="FF000000"/>
            <rFont val="Calibri"/>
            <scheme val="minor"/>
          </rPr>
          <t>last DD 29 Jan 2025 @ Lujia Shipyard (DO NOT DELETE)</t>
        </r>
      </text>
    </comment>
    <comment ref="P151" authorId="0" shapeId="0" xr:uid="{00000000-0006-0000-0100-000021000000}">
      <text>
        <r>
          <rPr>
            <sz val="11"/>
            <color rgb="FF000000"/>
            <rFont val="Calibri"/>
            <scheme val="minor"/>
          </rPr>
          <t>last DD 24 Jan 2025 @ Zhoushan Zhongtian Shipyard (DO NOT DELETE)</t>
        </r>
      </text>
    </comment>
    <comment ref="I164" authorId="0" shapeId="0" xr:uid="{00000000-0006-0000-0100-000022000000}">
      <text>
        <r>
          <rPr>
            <sz val="11"/>
            <color rgb="FF000000"/>
            <rFont val="Calibri"/>
            <scheme val="minor"/>
          </rPr>
          <t>1 US fob every 10 days
(3 per month)
2 AG fob every month
For USG: Indo + roughly 45 days later
For AG: Indo + 10 days later</t>
        </r>
      </text>
    </comment>
    <comment ref="D171" authorId="7" shapeId="0" xr:uid="{79DA0261-9714-47B8-BFC7-150D89D0942D}">
      <text>
        <t>[Threaded comment]
Your version of Excel allows you to read this threaded comment; however, any edits to it will get removed if the file is opened in a newer version of Excel. Learn more: https://go.microsoft.com/fwlink/?linkid=870924
Comment:
    Chinese built so exempted</t>
      </text>
    </comment>
    <comment ref="D172" authorId="8" shapeId="0" xr:uid="{88BEAC0E-A9E8-4412-B0C8-A9070A4C04A6}">
      <text>
        <t>[Threaded comment]
Your version of Excel allows you to read this threaded comment; however, any edits to it will get removed if the file is opened in a newer version of Excel. Learn more: https://go.microsoft.com/fwlink/?linkid=870924
Comment:
    Chinese built so exempted</t>
      </text>
    </comment>
    <comment ref="A180" authorId="0" shapeId="0" xr:uid="{00000000-0006-0000-0100-000023000000}">
      <text>
        <r>
          <rPr>
            <sz val="11"/>
            <color rgb="FF000000"/>
            <rFont val="Calibri"/>
            <scheme val="minor"/>
          </rPr>
          <t>Redelivered by Mercuria in mid Feb 2026</t>
        </r>
      </text>
    </comment>
    <comment ref="A182" authorId="0" shapeId="0" xr:uid="{00000000-0006-0000-0100-000024000000}">
      <text>
        <r>
          <rPr>
            <sz val="11"/>
            <color rgb="FF000000"/>
            <rFont val="Calibri"/>
            <scheme val="minor"/>
          </rPr>
          <t xml:space="preserve">
Gas Tiffany
ex Shahrastani
will deliver to Itochu on TC on about Mar 2026 and will be on TC until the remainder of the TC period with KSS</t>
        </r>
      </text>
    </comment>
    <comment ref="P182" authorId="0" shapeId="0" xr:uid="{00000000-0006-0000-0100-000025000000}">
      <text>
        <r>
          <rPr>
            <sz val="11"/>
            <color rgb="FF000000"/>
            <rFont val="Calibri"/>
            <scheme val="minor"/>
          </rPr>
          <t>last DD 25 Feb 2026 @ Cosco Zhoushan Shipyard (DO NOT DELETE)
DD, one more voy then del to Itochu for TC ~May 2026</t>
        </r>
      </text>
    </comment>
    <comment ref="A183" authorId="0" shapeId="0" xr:uid="{00000000-0006-0000-0100-000026000000}">
      <text>
        <r>
          <rPr>
            <sz val="11"/>
            <color rgb="FF000000"/>
            <rFont val="Calibri"/>
            <scheme val="minor"/>
          </rPr>
          <t>Retrofitted with a scrubber during Dec 2025 drydock
- BR 15Dec2025</t>
        </r>
      </text>
    </comment>
    <comment ref="A186" authorId="0" shapeId="0" xr:uid="{00000000-0006-0000-0100-000027000000}">
      <text>
        <r>
          <rPr>
            <sz val="11"/>
            <color rgb="FF000000"/>
            <rFont val="Calibri"/>
            <scheme val="minor"/>
          </rPr>
          <t>ex Aeolian Pearl</t>
        </r>
      </text>
    </comment>
    <comment ref="I187" authorId="9" shapeId="0" xr:uid="{1D2AF859-88F8-4C3E-94DF-4A65A6B1B33E}">
      <text>
        <t>[Threaded comment]
Your version of Excel allows you to read this threaded comment; however, any edits to it will get removed if the file is opened in a newer version of Excel. Learn more: https://go.microsoft.com/fwlink/?linkid=870924
Comment:
    2H contract with Petron (Liquigaz) while ATC has the 1H contract</t>
      </text>
    </comment>
    <comment ref="A210" authorId="0" shapeId="0" xr:uid="{00000000-0006-0000-0100-000028000000}">
      <text>
        <r>
          <rPr>
            <sz val="11"/>
            <color rgb="FF000000"/>
            <rFont val="Calibri"/>
            <scheme val="minor"/>
          </rPr>
          <t>ML: Shuttle Bethioua to Aygaz's terminals</t>
        </r>
      </text>
    </comment>
    <comment ref="A211" authorId="0" shapeId="0" xr:uid="{00000000-0006-0000-0100-000029000000}">
      <text>
        <r>
          <rPr>
            <sz val="11"/>
            <color rgb="FF000000"/>
            <rFont val="Calibri"/>
            <scheme val="minor"/>
          </rPr>
          <t xml:space="preserve">Can't call AG. Now Swiss 60-90 day TC  del Singapore 08-09 July
</t>
        </r>
      </text>
    </comment>
    <comment ref="A220" authorId="0" shapeId="0" xr:uid="{00000000-0006-0000-0100-00002A000000}">
      <text>
        <r>
          <rPr>
            <sz val="11"/>
            <color rgb="FF000000"/>
            <rFont val="Calibri"/>
            <scheme val="minor"/>
          </rPr>
          <t>ML: Shuttle USG - Tuxpan/Omoa</t>
        </r>
      </text>
    </comment>
    <comment ref="A221" authorId="0" shapeId="0" xr:uid="{00000000-0006-0000-0100-00002B000000}">
      <text>
        <r>
          <rPr>
            <sz val="11"/>
            <color rgb="FF000000"/>
            <rFont val="Calibri"/>
            <scheme val="minor"/>
          </rPr>
          <t>ML: Shuttle USG - Pajaritos</t>
        </r>
      </text>
    </comment>
    <comment ref="A222" authorId="0" shapeId="0" xr:uid="{00000000-0006-0000-0100-00002C000000}">
      <text>
        <r>
          <rPr>
            <sz val="11"/>
            <color rgb="FF000000"/>
            <rFont val="Calibri"/>
            <scheme val="minor"/>
          </rPr>
          <t>ML: Shuttle USG - Tuxpan/Omoa</t>
        </r>
      </text>
    </comment>
    <comment ref="P234" authorId="0" shapeId="0" xr:uid="{00000000-0006-0000-0100-00002D000000}">
      <text>
        <r>
          <rPr>
            <sz val="11"/>
            <color rgb="FF000000"/>
            <rFont val="Calibri"/>
            <scheme val="minor"/>
          </rPr>
          <t xml:space="preserve">(Trader Ship) </t>
        </r>
      </text>
    </comment>
    <comment ref="P237" authorId="0" shapeId="0" xr:uid="{00000000-0006-0000-0100-00002E000000}">
      <text>
        <r>
          <rPr>
            <sz val="11"/>
            <color rgb="FF000000"/>
            <rFont val="Calibri"/>
            <scheme val="minor"/>
          </rPr>
          <t xml:space="preserve">(Trader Ship) </t>
        </r>
      </text>
    </comment>
    <comment ref="P241" authorId="0" shapeId="0" xr:uid="{00000000-0006-0000-0100-00002F000000}">
      <text>
        <r>
          <rPr>
            <sz val="11"/>
            <color rgb="FF000000"/>
            <rFont val="Calibri"/>
            <scheme val="minor"/>
          </rPr>
          <t xml:space="preserve">(Trader Ship) </t>
        </r>
      </text>
    </comment>
    <comment ref="P242" authorId="0" shapeId="0" xr:uid="{00000000-0006-0000-0100-000030000000}">
      <text>
        <r>
          <rPr>
            <sz val="11"/>
            <color rgb="FF000000"/>
            <rFont val="Calibri"/>
            <scheme val="minor"/>
          </rPr>
          <t xml:space="preserve">(Trader Ship) </t>
        </r>
      </text>
    </comment>
    <comment ref="P243" authorId="0" shapeId="0" xr:uid="{00000000-0006-0000-0100-000031000000}">
      <text>
        <r>
          <rPr>
            <sz val="11"/>
            <color rgb="FF000000"/>
            <rFont val="Calibri"/>
            <scheme val="minor"/>
          </rPr>
          <t xml:space="preserve">(Trader Ship) </t>
        </r>
      </text>
    </comment>
    <comment ref="P245" authorId="0" shapeId="0" xr:uid="{00000000-0006-0000-0100-000032000000}">
      <text>
        <r>
          <rPr>
            <sz val="11"/>
            <color rgb="FF000000"/>
            <rFont val="Calibri"/>
            <scheme val="minor"/>
          </rPr>
          <t xml:space="preserve">(Trader Ship) </t>
        </r>
      </text>
    </comment>
    <comment ref="A246" authorId="10" shapeId="0" xr:uid="{62A33F35-1B1F-4F98-94BD-0E2D9C2F6049}">
      <text>
        <t>[Threaded comment]
Your version of Excel allows you to read this threaded comment; however, any edits to it will get removed if the file is opened in a newer version of Excel. Learn more: https://go.microsoft.com/fwlink/?linkid=870924
Comment:
    ex-Taebaek Explorer</t>
      </text>
    </comment>
    <comment ref="A250" authorId="11" shapeId="0" xr:uid="{F28014B0-49D1-40B8-8B5F-00630E0B470E}">
      <text>
        <t>[Threaded comment]
Your version of Excel allows you to read this threaded comment; however, any edits to it will get removed if the file is opened in a newer version of Excel. Learn more: https://go.microsoft.com/fwlink/?linkid=870924
Comment:
    Ex-Vivit Altais</t>
      </text>
    </comment>
    <comment ref="A251" authorId="12" shapeId="0" xr:uid="{7DDA6A16-7F3F-47F1-89E7-1E75C9BD2014}">
      <text>
        <t>[Threaded comment]
Your version of Excel allows you to read this threaded comment; however, any edits to it will get removed if the file is opened in a newer version of Excel. Learn more: https://go.microsoft.com/fwlink/?linkid=870924
Comment:
    ex-Vivit Dubhe</t>
      </text>
    </comment>
    <comment ref="A252" authorId="13" shapeId="0" xr:uid="{71935B23-33A6-4B77-BD52-AF629801F8A2}">
      <text>
        <t>[Threaded comment]
Your version of Excel allows you to read this threaded comment; however, any edits to it will get removed if the file is opened in a newer version of Excel. Learn more: https://go.microsoft.com/fwlink/?linkid=870924
Comment:
    ex-Vivit Fornax</t>
      </text>
    </comment>
    <comment ref="A253" authorId="14" shapeId="0" xr:uid="{DB255095-9BB1-4606-9003-0D4576F03111}">
      <text>
        <t>[Threaded comment]
Your version of Excel allows you to read this threaded comment; however, any edits to it will get removed if the file is opened in a newer version of Excel. Learn more: https://go.microsoft.com/fwlink/?linkid=870924
Comment:
    ex-Vivit Thuban</t>
      </text>
    </comment>
    <comment ref="I269" authorId="15" shapeId="0" xr:uid="{F4C1290F-FD41-426A-A925-A72262AE197A}">
      <text>
        <t>[Threaded comment]
Your version of Excel allows you to read this threaded comment; however, any edits to it will get removed if the file is opened in a newer version of Excel. Learn more: https://go.microsoft.com/fwlink/?linkid=870924
Comment:
    Chinagas COA - 
30 days before laycan (e.g. if end Jul they will declare later this week - end Jun)</t>
      </text>
    </comment>
    <comment ref="G271" authorId="0" shapeId="0" xr:uid="{00000000-0006-0000-0100-000033000000}">
      <text>
        <r>
          <rPr>
            <sz val="11"/>
            <color rgb="FF000000"/>
            <rFont val="Calibri"/>
            <scheme val="minor"/>
          </rPr>
          <t xml:space="preserve">
2 x 250 CBM</t>
        </r>
      </text>
    </comment>
    <comment ref="G272" authorId="0" shapeId="0" xr:uid="{00000000-0006-0000-0100-000034000000}">
      <text>
        <r>
          <rPr>
            <sz val="11"/>
            <color rgb="FF000000"/>
            <rFont val="Calibri"/>
            <scheme val="minor"/>
          </rPr>
          <t xml:space="preserve">
2 x 1000 CBM</t>
        </r>
      </text>
    </comment>
    <comment ref="P275" authorId="0" shapeId="0" xr:uid="{00000000-0006-0000-0100-000035000000}">
      <text>
        <r>
          <rPr>
            <sz val="11"/>
            <color rgb="FF000000"/>
            <rFont val="Calibri"/>
            <scheme val="minor"/>
          </rPr>
          <t>Berge Ningbo last DD 08 Jan 2026 @ Drydocks World Pertama (DO NOT DELETE)</t>
        </r>
      </text>
    </comment>
    <comment ref="P277" authorId="0" shapeId="0" xr:uid="{00000000-0006-0000-0100-000036000000}">
      <text>
        <r>
          <rPr>
            <sz val="11"/>
            <color rgb="FF000000"/>
            <rFont val="Calibri"/>
            <scheme val="minor"/>
          </rPr>
          <t>BW Avior last DD 12 Mar 2026 @ Zhoushan Xinya Shipyard (DO NOT DELETE)</t>
        </r>
      </text>
    </comment>
    <comment ref="P278" authorId="0" shapeId="0" xr:uid="{00000000-0006-0000-0100-000037000000}">
      <text>
        <r>
          <rPr>
            <sz val="11"/>
            <color rgb="FF000000"/>
            <rFont val="Calibri"/>
            <scheme val="minor"/>
          </rPr>
          <t>BW Brage last DD 17 Apr 2026 @ Xiaoqian Island Shipyard (DO NOT DELETE)</t>
        </r>
      </text>
    </comment>
    <comment ref="P285" authorId="0" shapeId="0" xr:uid="{00000000-0006-0000-0100-000038000000}">
      <text>
        <r>
          <rPr>
            <sz val="11"/>
            <color rgb="FF000000"/>
            <rFont val="Calibri"/>
            <scheme val="minor"/>
          </rPr>
          <t>BW Loyalty last DD 25 Feb 2026 @ Dubai Dry Docks (DO NOT DELETE)</t>
        </r>
      </text>
    </comment>
    <comment ref="A288" authorId="0" shapeId="0" xr:uid="{00000000-0006-0000-0100-000039000000}">
      <text>
        <r>
          <rPr>
            <sz val="11"/>
            <color rgb="FF000000"/>
            <rFont val="Calibri"/>
            <scheme val="minor"/>
          </rPr>
          <t>TC to Geogas from Mar 2026 onwards, NFD</t>
        </r>
      </text>
    </comment>
    <comment ref="P288" authorId="0" shapeId="0" xr:uid="{00000000-0006-0000-0100-00003A000000}">
      <text>
        <r>
          <rPr>
            <sz val="11"/>
            <color rgb="FF000000"/>
            <rFont val="Calibri"/>
            <scheme val="minor"/>
          </rPr>
          <t xml:space="preserve">Geogas TC 60-90 days
will do another USG-EAF voyage and will finish around Mar 2026 - BR 19Dec2025
Geogas TC extended, no further details - BR 04Mar2026
</t>
        </r>
      </text>
    </comment>
    <comment ref="P289" authorId="0" shapeId="0" xr:uid="{00000000-0006-0000-0100-00003B000000}">
      <text>
        <r>
          <rPr>
            <sz val="11"/>
            <color rgb="FF000000"/>
            <rFont val="Calibri"/>
            <scheme val="minor"/>
          </rPr>
          <t>BW Njord last DD 23 Feb 2026 @ Dinghai shipyard (DO NOT DELETE)</t>
        </r>
      </text>
    </comment>
    <comment ref="P293" authorId="0" shapeId="0" xr:uid="{00000000-0006-0000-0100-00003C000000}">
      <text>
        <r>
          <rPr>
            <sz val="11"/>
            <color rgb="FF000000"/>
            <rFont val="Calibri"/>
            <scheme val="minor"/>
          </rPr>
          <t>BW Pine last DD 17 Mar 2026 @ Pax Ocean Batam shipyard (DO NOT DELETE)</t>
        </r>
      </text>
    </comment>
    <comment ref="P295" authorId="0" shapeId="0" xr:uid="{00000000-0006-0000-0100-00003D000000}">
      <text>
        <r>
          <rPr>
            <sz val="11"/>
            <color rgb="FF000000"/>
            <rFont val="Calibri"/>
            <scheme val="minor"/>
          </rPr>
          <t>BW Var last DD 12 Mar 2026 @ Zhoushan Xinya shipyard (DO NOT DELETE)</t>
        </r>
      </text>
    </comment>
    <comment ref="A301" authorId="0" shapeId="0" xr:uid="{00000000-0006-0000-0100-00003E000000}">
      <text>
        <r>
          <rPr>
            <sz val="11"/>
            <color rgb="FF000000"/>
            <rFont val="Calibri"/>
            <scheme val="minor"/>
          </rPr>
          <t>renewed on TC by 1 year i.e. until Jan 2027</t>
        </r>
      </text>
    </comment>
    <comment ref="I302" authorId="0" shapeId="0" xr:uid="{00000000-0006-0000-0100-00003F000000}">
      <text>
        <r>
          <rPr>
            <sz val="11"/>
            <color rgb="FF000000"/>
            <rFont val="Calibri"/>
            <scheme val="minor"/>
          </rPr>
          <t xml:space="preserve">22-23 Jun: OE
24-25 Jun: BWPS COA
</t>
        </r>
      </text>
    </comment>
    <comment ref="P325" authorId="0" shapeId="0" xr:uid="{00000000-0006-0000-0100-000040000000}">
      <text>
        <r>
          <rPr>
            <sz val="11"/>
            <color rgb="FF000000"/>
            <rFont val="Calibri"/>
            <scheme val="minor"/>
          </rPr>
          <t xml:space="preserve">previously was drifing off Houston 05 Mar, PNC has issue with ballast water tank </t>
        </r>
      </text>
    </comment>
    <comment ref="P327" authorId="0" shapeId="0" xr:uid="{00000000-0006-0000-0100-000041000000}">
      <text>
        <r>
          <rPr>
            <sz val="11"/>
            <color rgb="FF000000"/>
            <rFont val="Calibri"/>
            <scheme val="minor"/>
          </rPr>
          <t xml:space="preserve">previously was drifing off Houston 05 Mar, PNC has issue with ballast water tank </t>
        </r>
      </text>
    </comment>
    <comment ref="I329" authorId="0" shapeId="0" xr:uid="{00000000-0006-0000-0100-000042000000}">
      <text>
        <r>
          <rPr>
            <sz val="11"/>
            <color rgb="FF000000"/>
            <rFont val="Calibri"/>
            <scheme val="minor"/>
          </rPr>
          <t>Want to TC in as always</t>
        </r>
      </text>
    </comment>
    <comment ref="P337" authorId="0" shapeId="0" xr:uid="{00000000-0006-0000-0100-000043000000}">
      <text>
        <r>
          <rPr>
            <sz val="11"/>
            <color rgb="FF000000"/>
            <rFont val="Calibri"/>
            <scheme val="minor"/>
          </rPr>
          <t xml:space="preserve">Sansovino last DD 08 Mar 2026 @ Cosco Zhoushan Shipyard (DO NOT DELETE)
</t>
        </r>
      </text>
    </comment>
    <comment ref="P338" authorId="0" shapeId="0" xr:uid="{00000000-0006-0000-0100-000044000000}">
      <text>
        <r>
          <rPr>
            <sz val="11"/>
            <color rgb="FF000000"/>
            <rFont val="Calibri"/>
            <scheme val="minor"/>
          </rPr>
          <t xml:space="preserve">Sunny Joy last DD 24 Oct 2025 @ Yiulian Shipyard (DO NOT DELETE)
Egyptian General Petroleum Corporation floating storage TC from Nov 2025 (1+1)
</t>
        </r>
      </text>
    </comment>
    <comment ref="A339" authorId="0" shapeId="0" xr:uid="{00000000-0006-0000-0100-000045000000}">
      <text>
        <r>
          <rPr>
            <sz val="11"/>
            <color rgb="FF000000"/>
            <rFont val="Calibri"/>
            <scheme val="minor"/>
          </rPr>
          <t>ex Bella Victoria</t>
        </r>
      </text>
    </comment>
    <comment ref="A341" authorId="0" shapeId="0" xr:uid="{00000000-0006-0000-0100-000046000000}">
      <text>
        <r>
          <rPr>
            <sz val="11"/>
            <color rgb="FF000000"/>
            <rFont val="Calibri"/>
            <scheme val="minor"/>
          </rPr>
          <t xml:space="preserve">Sold by SK Gas to Chinese owners del Mar 2026
Ex Gas Friend, renamed Gas Mia
</t>
        </r>
      </text>
    </comment>
    <comment ref="P341" authorId="0" shapeId="0" xr:uid="{00000000-0006-0000-0100-000047000000}">
      <text>
        <r>
          <rPr>
            <sz val="11"/>
            <color rgb="FF000000"/>
            <rFont val="Calibri"/>
            <scheme val="minor"/>
          </rPr>
          <t>Gas Friend/Gas Mia last DD 19 Mar 2026 @ Tsing Yi Shipyard (DO NOT DELETE)</t>
        </r>
      </text>
    </comment>
    <comment ref="P342" authorId="0" shapeId="0" xr:uid="{00000000-0006-0000-0100-000048000000}">
      <text>
        <r>
          <rPr>
            <sz val="11"/>
            <color rgb="FF000000"/>
            <rFont val="Calibri"/>
            <scheme val="minor"/>
          </rPr>
          <t>Lycaste Peace last DD 19 Jan 2026 @ Xiaoqian Shipyard (DO NOT DELETE)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tc={04844b4a-8e32-48d0-8059-383e63ae5f66}</author>
    <author/>
    <author>tc={1621ce69-7ae4-40b7-abab-d30028353cfa}</author>
  </authors>
  <commentList>
    <comment ref="O3" authorId="0" shapeId="0" xr:uid="{04844B4A-8E32-48D0-8059-383E63AE5F66}">
      <text>
        <t>[Threaded comment]
Your version of Excel allows you to read this threaded comment; however, any edits to it will get removed if the file is opened in a newer version of Excel. Learn more: https://go.microsoft.com/fwlink/?linkid=870924
Comment:
    BGN discharge in Indo
PTT
Pertamina etc etc</t>
      </text>
    </comment>
    <comment ref="S3" authorId="1" shapeId="0" xr:uid="{00000000-0006-0000-0200-000001000000}">
      <text>
        <r>
          <rPr>
            <sz val="11"/>
            <color rgb="FF000000"/>
            <rFont val="Calibri"/>
            <scheme val="minor"/>
          </rPr>
          <t xml:space="preserve">Wanhua, Total, BGN, BWPS | Gunvor, Vitol, </t>
        </r>
      </text>
    </comment>
    <comment ref="T3" authorId="1" shapeId="0" xr:uid="{00000000-0006-0000-0200-000002000000}">
      <text>
        <r>
          <rPr>
            <sz val="11"/>
            <color rgb="FF000000"/>
            <rFont val="Calibri"/>
            <scheme val="minor"/>
          </rPr>
          <t xml:space="preserve">Gunvor, Vitol, Chevron, Augusta
</t>
        </r>
      </text>
    </comment>
    <comment ref="W3" authorId="1" shapeId="0" xr:uid="{00000000-0006-0000-0200-000003000000}">
      <text>
        <r>
          <rPr>
            <sz val="11"/>
            <color rgb="FF000000"/>
            <rFont val="Calibri"/>
            <scheme val="minor"/>
          </rPr>
          <t xml:space="preserve">Inpex, Total, Petrochina,  BP.
Search for vessels open Botany and Indo
SG to Dampier is 5 days 
Dampier 1 day earlier ETA than Darwin from Singapore
SG to P. Bonython vs SG to Darwin 
is 5 days later
</t>
        </r>
      </text>
    </comment>
    <comment ref="X3" authorId="1" shapeId="0" xr:uid="{00000000-0006-0000-0200-000004000000}">
      <text>
        <r>
          <rPr>
            <sz val="11"/>
            <color rgb="FF000000"/>
            <rFont val="Calibri"/>
            <scheme val="minor"/>
          </rPr>
          <t>BP, Gyxis, Astomos?</t>
        </r>
      </text>
    </comment>
    <comment ref="V138" authorId="1" shapeId="0" xr:uid="{00000000-0006-0000-0200-000005000000}">
      <text>
        <r>
          <rPr>
            <sz val="11"/>
            <color rgb="FF000000"/>
            <rFont val="Calibri"/>
            <scheme val="minor"/>
          </rPr>
          <t>Nick/Petredec said that the S types and the Panamaxes are not accepted at Dampier, he thinks that the R types might be ok
Gas Tiffany (ex Shahrastani)
Kedarnath (ex Spread Eagle)
Navigare Gaia (ex Kedarnath)
Sansovino
Secreto
Shaamit
Shergar
Sinndar
Silvio
Sunstar
- BR 07Nov2025</t>
        </r>
      </text>
    </comment>
    <comment ref="AX294" authorId="2" shapeId="0" xr:uid="{1621CE69-7AE4-40B7-ABAB-D30028353CFA}">
      <text>
        <t>[Threaded comment]
Your version of Excel allows you to read this threaded comment; however, any edits to it will get removed if the file is opened in a newer version of Excel. Learn more: https://go.microsoft.com/fwlink/?linkid=870924
Comment:
    if we put two Parthias , the script below doesn't work</t>
      </text>
    </comment>
  </commentList>
</comments>
</file>

<file path=xl/sharedStrings.xml><?xml version="1.0" encoding="utf-8"?>
<sst xmlns="http://schemas.openxmlformats.org/spreadsheetml/2006/main" count="8450" uniqueCount="2913">
  <si>
    <t>.</t>
  </si>
  <si>
    <t>Name</t>
  </si>
  <si>
    <t>Capacity (m3)</t>
  </si>
  <si>
    <t>Deadweight</t>
  </si>
  <si>
    <t>State</t>
  </si>
  <si>
    <t>Status</t>
  </si>
  <si>
    <t>MMSI</t>
  </si>
  <si>
    <t>IMO</t>
  </si>
  <si>
    <t>Next destination</t>
  </si>
  <si>
    <t>Next destination ETA</t>
  </si>
  <si>
    <t>Loaded</t>
  </si>
  <si>
    <t>LAST DOWNLOADED</t>
  </si>
  <si>
    <t>According to Kpler:</t>
  </si>
  <si>
    <t>From '2) VLGC' + "India, Iran, FS"</t>
  </si>
  <si>
    <t>Not In Kpler List</t>
  </si>
  <si>
    <t>VLEC Check &gt; 93k cbm</t>
  </si>
  <si>
    <t>Not in Kpler. In Sorter</t>
  </si>
  <si>
    <t>In Kpler. Not in sorter</t>
  </si>
  <si>
    <t>From 2) Tracker</t>
  </si>
  <si>
    <t>Al Ain</t>
  </si>
  <si>
    <t>loaded</t>
  </si>
  <si>
    <t>Active</t>
  </si>
  <si>
    <t>Actively trading:</t>
  </si>
  <si>
    <t>NEWSHIPS?</t>
  </si>
  <si>
    <t>From 3) Sorter</t>
  </si>
  <si>
    <t>Al Maryah</t>
  </si>
  <si>
    <t>ballast</t>
  </si>
  <si>
    <t>Date</t>
  </si>
  <si>
    <t>Time</t>
  </si>
  <si>
    <t>By:</t>
  </si>
  <si>
    <t>Soon-to-be delivered</t>
  </si>
  <si>
    <t xml:space="preserve">Missing: </t>
  </si>
  <si>
    <t>Al Salam</t>
  </si>
  <si>
    <t>BR</t>
  </si>
  <si>
    <t>VLEC</t>
  </si>
  <si>
    <t>In 2) but not in 3)</t>
  </si>
  <si>
    <t>In 3) but not in 2)</t>
  </si>
  <si>
    <t>Al Wukir</t>
  </si>
  <si>
    <t>Houston</t>
  </si>
  <si>
    <t>Albert</t>
  </si>
  <si>
    <t>Pajaritos</t>
  </si>
  <si>
    <t>Albert Ii</t>
  </si>
  <si>
    <t>Albert Iii</t>
  </si>
  <si>
    <t>Energy Transfer Nederland</t>
  </si>
  <si>
    <t>Newbuilds</t>
  </si>
  <si>
    <t>Apollo Ocean</t>
  </si>
  <si>
    <t>Advario Oman</t>
  </si>
  <si>
    <t>1) Manual check on all the under constructions with newbuild list</t>
  </si>
  <si>
    <t>Aquamarine Progress</t>
  </si>
  <si>
    <t>Aquamarine Progress Ii</t>
  </si>
  <si>
    <t>Areion</t>
  </si>
  <si>
    <t>Yeosu</t>
  </si>
  <si>
    <t>Argonaftis</t>
  </si>
  <si>
    <t>underConstruction</t>
  </si>
  <si>
    <t>Under Construction</t>
  </si>
  <si>
    <t>Daily</t>
  </si>
  <si>
    <t>Aristaios</t>
  </si>
  <si>
    <t>WA -&gt; Position lists</t>
  </si>
  <si>
    <t>Astir Thuban</t>
  </si>
  <si>
    <t>1) Sorter to align with position lists</t>
  </si>
  <si>
    <t>Astomos Earth</t>
  </si>
  <si>
    <t>Freeport Texas</t>
  </si>
  <si>
    <t>2) VL and Product operations info to be reflected</t>
  </si>
  <si>
    <t>Astomos Venus</t>
  </si>
  <si>
    <t>3) Haldia / India line up to be updated</t>
  </si>
  <si>
    <t>Astra</t>
  </si>
  <si>
    <t>Astram</t>
  </si>
  <si>
    <t>Khor Fakkan Anchorage</t>
  </si>
  <si>
    <t>Then use Kpler AIS to update</t>
  </si>
  <si>
    <t>Atlantic Victory</t>
  </si>
  <si>
    <t>Zanzibar</t>
  </si>
  <si>
    <t xml:space="preserve"> </t>
  </si>
  <si>
    <t>Atlantic Voyager</t>
  </si>
  <si>
    <t>Ningbo Area</t>
  </si>
  <si>
    <t>Aura</t>
  </si>
  <si>
    <t>floatingStorage</t>
  </si>
  <si>
    <t>Guangzhou</t>
  </si>
  <si>
    <t>Aurora</t>
  </si>
  <si>
    <t>Aurora Guardian</t>
  </si>
  <si>
    <t>Axis River</t>
  </si>
  <si>
    <t>RIPET</t>
  </si>
  <si>
    <t>Axon I</t>
  </si>
  <si>
    <t>Sharjah</t>
  </si>
  <si>
    <t>Ayame</t>
  </si>
  <si>
    <t>Badrinath</t>
  </si>
  <si>
    <t>Mangalore</t>
  </si>
  <si>
    <t>Banian</t>
  </si>
  <si>
    <t>Bao Yu</t>
  </si>
  <si>
    <t>Baynounah</t>
  </si>
  <si>
    <t>Bella Niagara</t>
  </si>
  <si>
    <t>Bellavista Explorer</t>
  </si>
  <si>
    <t>FREP Plant</t>
  </si>
  <si>
    <t>Berge Nantong</t>
  </si>
  <si>
    <t>Berge Ningbo</t>
  </si>
  <si>
    <t>Port Elizabeth</t>
  </si>
  <si>
    <t>Bonneville</t>
  </si>
  <si>
    <t>Boreal Pioneer</t>
  </si>
  <si>
    <t>Boreal Voyager</t>
  </si>
  <si>
    <t>Wenzhou</t>
  </si>
  <si>
    <t>Botan</t>
  </si>
  <si>
    <t>open</t>
  </si>
  <si>
    <t>Singapore</t>
  </si>
  <si>
    <t>Brizo</t>
  </si>
  <si>
    <t>Bw Aries</t>
  </si>
  <si>
    <t>Bw Avior</t>
  </si>
  <si>
    <t>PADD 3</t>
  </si>
  <si>
    <t>Bw Balder</t>
  </si>
  <si>
    <t>Panama Canal</t>
  </si>
  <si>
    <t>Bw Birch</t>
  </si>
  <si>
    <t>Ruwais Refinery</t>
  </si>
  <si>
    <t>Bw Brage</t>
  </si>
  <si>
    <t>Bw Breeze</t>
  </si>
  <si>
    <t>Kalbut</t>
  </si>
  <si>
    <t>Bw Capella</t>
  </si>
  <si>
    <t>Ferndale</t>
  </si>
  <si>
    <t>Bw Carina</t>
  </si>
  <si>
    <t>Bw Chinook</t>
  </si>
  <si>
    <t>Bw Elm</t>
  </si>
  <si>
    <t>Bw Freyja</t>
  </si>
  <si>
    <t>Bw Frigg</t>
  </si>
  <si>
    <t>Mohammedia Refinery</t>
  </si>
  <si>
    <t>Bw Gemini</t>
  </si>
  <si>
    <t>Bw Kizoku</t>
  </si>
  <si>
    <t>Bw Kyoto</t>
  </si>
  <si>
    <t>Bw Leo</t>
  </si>
  <si>
    <t>Bw Levant</t>
  </si>
  <si>
    <t>Bw Libra</t>
  </si>
  <si>
    <t>Lianyungang</t>
  </si>
  <si>
    <t>Bw Loyalty</t>
  </si>
  <si>
    <t>Bw Magellan</t>
  </si>
  <si>
    <t>Ennore Port</t>
  </si>
  <si>
    <t>Bw Malacca</t>
  </si>
  <si>
    <t>Bw Messina</t>
  </si>
  <si>
    <t>Energy Transfer Marcus Hook</t>
  </si>
  <si>
    <t>Bw Mindoro</t>
  </si>
  <si>
    <t>Bw Mistral</t>
  </si>
  <si>
    <t>Ko Sichang</t>
  </si>
  <si>
    <t>Bw Monsoon</t>
  </si>
  <si>
    <t>Bw Njord</t>
  </si>
  <si>
    <t>Bw Oak</t>
  </si>
  <si>
    <t>Kandla</t>
  </si>
  <si>
    <t>Bw Orion</t>
  </si>
  <si>
    <t>Bw Pampero</t>
  </si>
  <si>
    <t>Bw Passat</t>
  </si>
  <si>
    <t>Port Louis</t>
  </si>
  <si>
    <t>Bw Pine</t>
  </si>
  <si>
    <t>Bw Polaris</t>
  </si>
  <si>
    <t>Bw Rigel</t>
  </si>
  <si>
    <t>Bw Sirocco</t>
  </si>
  <si>
    <t>Bw Tokyo</t>
  </si>
  <si>
    <t>Incheon LPG</t>
  </si>
  <si>
    <t>Bw Tucana</t>
  </si>
  <si>
    <t>Cristobal Light.</t>
  </si>
  <si>
    <t>Bw Tyr</t>
  </si>
  <si>
    <t>Bw Var</t>
  </si>
  <si>
    <t>Bw Volans</t>
  </si>
  <si>
    <t>Bw Yushi</t>
  </si>
  <si>
    <t>Oiltank. Merak</t>
  </si>
  <si>
    <t>Calluna Gas</t>
  </si>
  <si>
    <t>Captain John Np</t>
  </si>
  <si>
    <t>Captain Markos</t>
  </si>
  <si>
    <t>Caravelle</t>
  </si>
  <si>
    <t>Celeste</t>
  </si>
  <si>
    <t>Fujairah</t>
  </si>
  <si>
    <t>Challenger</t>
  </si>
  <si>
    <t>Valletta</t>
  </si>
  <si>
    <t>Chang Xing Yuan</t>
  </si>
  <si>
    <t>Chaparral</t>
  </si>
  <si>
    <t>Cheyenne</t>
  </si>
  <si>
    <t>Clermont</t>
  </si>
  <si>
    <t>Clipper Explorer</t>
  </si>
  <si>
    <t>Clipper Freeport</t>
  </si>
  <si>
    <t>Total Daesan Hanwha Refinery</t>
  </si>
  <si>
    <t>Clipper Galiot</t>
  </si>
  <si>
    <t>Clipper Galleon</t>
  </si>
  <si>
    <t>Clipper Gannet</t>
  </si>
  <si>
    <t>Clipper Genesis</t>
  </si>
  <si>
    <t>Clipper Geneva</t>
  </si>
  <si>
    <t>Clipper Grace</t>
  </si>
  <si>
    <t>Clipper Guardian</t>
  </si>
  <si>
    <t>Clipper Posh</t>
  </si>
  <si>
    <t>San Pedro de Macoris LPG</t>
  </si>
  <si>
    <t>Clipper Quito</t>
  </si>
  <si>
    <t>Clipper Valiant</t>
  </si>
  <si>
    <t>Clipper Vanguard</t>
  </si>
  <si>
    <t>Clipper Viking</t>
  </si>
  <si>
    <t>Clipper Voyager</t>
  </si>
  <si>
    <t>Sinopec Zhanjiang Dongxing Refinery</t>
  </si>
  <si>
    <t>Clipper Wilma</t>
  </si>
  <si>
    <t>Cobra</t>
  </si>
  <si>
    <t>Comet</t>
  </si>
  <si>
    <t>Commander</t>
  </si>
  <si>
    <t>China</t>
  </si>
  <si>
    <t>Commodore</t>
  </si>
  <si>
    <t>Chiba</t>
  </si>
  <si>
    <t>Concorde</t>
  </si>
  <si>
    <t>Constellation</t>
  </si>
  <si>
    <t>Sendai Refinery</t>
  </si>
  <si>
    <t>Constitution</t>
  </si>
  <si>
    <t>Continental</t>
  </si>
  <si>
    <t>Copernicus</t>
  </si>
  <si>
    <t>Corfu Gas</t>
  </si>
  <si>
    <t>Corsair</t>
  </si>
  <si>
    <t>Corvette</t>
  </si>
  <si>
    <t>Cosco Qidong N1348</t>
  </si>
  <si>
    <t>Cosco Qidong N1349</t>
  </si>
  <si>
    <t>Cougar</t>
  </si>
  <si>
    <t>Cratis</t>
  </si>
  <si>
    <t>Cresques</t>
  </si>
  <si>
    <t>Cristobal</t>
  </si>
  <si>
    <t>Crystal Angel</t>
  </si>
  <si>
    <t>Crystal Asteria</t>
  </si>
  <si>
    <t>Crystal Explorer</t>
  </si>
  <si>
    <t>Crystal Oasis</t>
  </si>
  <si>
    <t>Crystal Odyssey</t>
  </si>
  <si>
    <t>Jorf Lasfar</t>
  </si>
  <si>
    <t>Crystal River</t>
  </si>
  <si>
    <t>Galle</t>
  </si>
  <si>
    <t>Crystal Sunrise</t>
  </si>
  <si>
    <t>Crystal Trinity</t>
  </si>
  <si>
    <t>Da Li</t>
  </si>
  <si>
    <t>Danisa</t>
  </si>
  <si>
    <t>Danube River</t>
  </si>
  <si>
    <t>Danuta I</t>
  </si>
  <si>
    <t>Delma</t>
  </si>
  <si>
    <t>Djanet</t>
  </si>
  <si>
    <t>Arun</t>
  </si>
  <si>
    <t>Dom Explorer</t>
  </si>
  <si>
    <t>Dominator L</t>
  </si>
  <si>
    <t>Doraji Gas</t>
  </si>
  <si>
    <t>Dorset</t>
  </si>
  <si>
    <t>Double In</t>
  </si>
  <si>
    <t>Durham</t>
  </si>
  <si>
    <t>Mizushima</t>
  </si>
  <si>
    <t>Eiger Explorer</t>
  </si>
  <si>
    <t>Elly</t>
  </si>
  <si>
    <t>Eneos Mirai</t>
  </si>
  <si>
    <t>Eneos Wisdom</t>
  </si>
  <si>
    <t>Eastern Asia</t>
  </si>
  <si>
    <t>Energia Grandeur</t>
  </si>
  <si>
    <t>Energia Soleil</t>
  </si>
  <si>
    <t>Energy Guardian</t>
  </si>
  <si>
    <t>Energy Pioneer</t>
  </si>
  <si>
    <t>Eternal Glory</t>
  </si>
  <si>
    <t>Exonave</t>
  </si>
  <si>
    <t>Fas Gas</t>
  </si>
  <si>
    <t>Flanders Innovation</t>
  </si>
  <si>
    <t>Flanders Pioneer</t>
  </si>
  <si>
    <t>Fogas</t>
  </si>
  <si>
    <t>Fotis</t>
  </si>
  <si>
    <t>Freycinet</t>
  </si>
  <si>
    <t>Fritzi N</t>
  </si>
  <si>
    <t>Future Ace</t>
  </si>
  <si>
    <t>Future Diamond</t>
  </si>
  <si>
    <t>Sakai Mitsui Chemicals</t>
  </si>
  <si>
    <t>Future Energy</t>
  </si>
  <si>
    <t>Future Explorer</t>
  </si>
  <si>
    <t>Future Japan</t>
  </si>
  <si>
    <t>G Arete</t>
  </si>
  <si>
    <t>Ulsan</t>
  </si>
  <si>
    <t>G Swan</t>
  </si>
  <si>
    <t>G. Dolce</t>
  </si>
  <si>
    <t>G. Forever</t>
  </si>
  <si>
    <t>G. Paragon</t>
  </si>
  <si>
    <t>G. Spirit</t>
  </si>
  <si>
    <t>SK Gas Pyeongtaek</t>
  </si>
  <si>
    <t>Gafus</t>
  </si>
  <si>
    <t>Galaxy River</t>
  </si>
  <si>
    <t>Galvin</t>
  </si>
  <si>
    <t>Gardian</t>
  </si>
  <si>
    <t>Gas Al Ahmadiah</t>
  </si>
  <si>
    <t>Gas Al Kuwait Ii</t>
  </si>
  <si>
    <t>Gas Al Mubarakiah</t>
  </si>
  <si>
    <t>Yanbu NGL &amp; Yasref</t>
  </si>
  <si>
    <t>Gas Al Negeh</t>
  </si>
  <si>
    <t>Gas Alkhaleej</t>
  </si>
  <si>
    <t>Gas Altair</t>
  </si>
  <si>
    <t>Gas Alyssa</t>
  </si>
  <si>
    <t>Balikpapan</t>
  </si>
  <si>
    <t>Gas Amethyst</t>
  </si>
  <si>
    <t>Nagoya</t>
  </si>
  <si>
    <t>Gas Aquarius</t>
  </si>
  <si>
    <t>Gas Arcturus</t>
  </si>
  <si>
    <t>Gas Ares</t>
  </si>
  <si>
    <t>Gas Aries</t>
  </si>
  <si>
    <t>Gas Barbarossa</t>
  </si>
  <si>
    <t>Port Said</t>
  </si>
  <si>
    <t>Gas Benua</t>
  </si>
  <si>
    <t>Gas Bombax</t>
  </si>
  <si>
    <t>Cape Town</t>
  </si>
  <si>
    <t>Gas Camelot</t>
  </si>
  <si>
    <t>Gas Capricorn</t>
  </si>
  <si>
    <t>Gas Capricorn (Wanhua)</t>
  </si>
  <si>
    <t>Wanhua Yantai NGL Terminal</t>
  </si>
  <si>
    <t>Gas Concept</t>
  </si>
  <si>
    <t>Oman</t>
  </si>
  <si>
    <t>Gas Endurance</t>
  </si>
  <si>
    <t>Gas Felicity</t>
  </si>
  <si>
    <t>Gas Gabriela</t>
  </si>
  <si>
    <t>PV Vung Tau</t>
  </si>
  <si>
    <t>Gas Gala</t>
  </si>
  <si>
    <t>Gas Garnet</t>
  </si>
  <si>
    <t>Gas Gemini</t>
  </si>
  <si>
    <t>Gas Ghazi</t>
  </si>
  <si>
    <t>Gas Ivory</t>
  </si>
  <si>
    <t>Gas Jupiter</t>
  </si>
  <si>
    <t>Gas Justesen</t>
  </si>
  <si>
    <t>Gas Kaiserin</t>
  </si>
  <si>
    <t>Gas King</t>
  </si>
  <si>
    <t>Gas Lagoon</t>
  </si>
  <si>
    <t>Gas Leo</t>
  </si>
  <si>
    <t>Gas Libra</t>
  </si>
  <si>
    <t>Terneuzen</t>
  </si>
  <si>
    <t>Gas Marakua</t>
  </si>
  <si>
    <t>Gas Mia</t>
  </si>
  <si>
    <t>Gas Neptune</t>
  </si>
  <si>
    <t>Gas Nouveau Bauhinia</t>
  </si>
  <si>
    <t>Panama</t>
  </si>
  <si>
    <t>Gas Nouveau Crystal</t>
  </si>
  <si>
    <t>Gas Pisces</t>
  </si>
  <si>
    <t>Arzew</t>
  </si>
  <si>
    <t>Gas Planet</t>
  </si>
  <si>
    <t>Gas Power</t>
  </si>
  <si>
    <t>Gas Queen</t>
  </si>
  <si>
    <t>Gas Quila</t>
  </si>
  <si>
    <t>Aomori</t>
  </si>
  <si>
    <t>Gas Sagittarius</t>
  </si>
  <si>
    <t>Gas Scorpio</t>
  </si>
  <si>
    <t>Gas Stella</t>
  </si>
  <si>
    <t>Stenungsund</t>
  </si>
  <si>
    <t>Gas Strength</t>
  </si>
  <si>
    <t>Gas Summit</t>
  </si>
  <si>
    <t>Bay Area Houston</t>
  </si>
  <si>
    <t>Gas Tiffany</t>
  </si>
  <si>
    <t>Gas Umm Al Rowaisat</t>
  </si>
  <si>
    <t>Gas Vela</t>
  </si>
  <si>
    <t>Gas Venus</t>
  </si>
  <si>
    <t>Gas Virgo</t>
  </si>
  <si>
    <t>Gas Wanaka</t>
  </si>
  <si>
    <t>Gas Wisdom</t>
  </si>
  <si>
    <t>Gas Young</t>
  </si>
  <si>
    <t>Gas Zenith</t>
  </si>
  <si>
    <t>Gaz Gms</t>
  </si>
  <si>
    <t>Gaz Gotham</t>
  </si>
  <si>
    <t>Gaz Imperial</t>
  </si>
  <si>
    <t>Gaz Pegasus</t>
  </si>
  <si>
    <t>Gaz Ronin</t>
  </si>
  <si>
    <t>Bonaire Sint Eustatius</t>
  </si>
  <si>
    <t>Gaz Rose</t>
  </si>
  <si>
    <t>Genesis River</t>
  </si>
  <si>
    <t>Genevi</t>
  </si>
  <si>
    <t>Global Vivian</t>
  </si>
  <si>
    <t>Khor Al Zubair Port</t>
  </si>
  <si>
    <t>Globe Atlas</t>
  </si>
  <si>
    <t>Globe Frontier</t>
  </si>
  <si>
    <t>Jinshan Caojing</t>
  </si>
  <si>
    <t>Globe Iris</t>
  </si>
  <si>
    <t>Globe Polaris</t>
  </si>
  <si>
    <t>Gong De Tian</t>
  </si>
  <si>
    <t>Green Sachi</t>
  </si>
  <si>
    <t>Mina al-Ahmadi</t>
  </si>
  <si>
    <t>Green Sanvi</t>
  </si>
  <si>
    <t>Mundra</t>
  </si>
  <si>
    <t>Green Sarita</t>
  </si>
  <si>
    <t>Green Shakti</t>
  </si>
  <si>
    <t>Haana</t>
  </si>
  <si>
    <t>Hallasan Explorer</t>
  </si>
  <si>
    <t>Hannibal</t>
  </si>
  <si>
    <t>Hanwha Ocean</t>
  </si>
  <si>
    <t>Hanwha Ocean 2376</t>
  </si>
  <si>
    <t>Harzand</t>
  </si>
  <si>
    <t>Imari</t>
  </si>
  <si>
    <t>Hd Hyundai Samho 8272</t>
  </si>
  <si>
    <t>Hd Hyundai Samho 8273</t>
  </si>
  <si>
    <t>Hellas Bliss</t>
  </si>
  <si>
    <t>Hellas Dynasty</t>
  </si>
  <si>
    <t>Hellas Gladiator</t>
  </si>
  <si>
    <t>Hellas Hercules</t>
  </si>
  <si>
    <t>Escravos Offshore Terminal</t>
  </si>
  <si>
    <t>Hellas Poseidon</t>
  </si>
  <si>
    <t>Hellas Prosperity</t>
  </si>
  <si>
    <t>Hellas Sparta</t>
  </si>
  <si>
    <t>Hellas Voyager</t>
  </si>
  <si>
    <t>Henbit</t>
  </si>
  <si>
    <t>Hermit</t>
  </si>
  <si>
    <t>Hh Glory</t>
  </si>
  <si>
    <t>Hisui</t>
  </si>
  <si>
    <t>IOC Haldia Refinery</t>
  </si>
  <si>
    <t>Hls Amber</t>
  </si>
  <si>
    <t>Hls Blue Sapphire</t>
  </si>
  <si>
    <t>Hls Citrine</t>
  </si>
  <si>
    <t>Richards Bay</t>
  </si>
  <si>
    <t>Hls Diamond</t>
  </si>
  <si>
    <t>Hls Emerald</t>
  </si>
  <si>
    <t>Hls Fluorite</t>
  </si>
  <si>
    <t>Horizon Tangier Terminal</t>
  </si>
  <si>
    <t>Humorist</t>
  </si>
  <si>
    <t>Nanrong Petrochemical Terminal</t>
  </si>
  <si>
    <t>Hyperion</t>
  </si>
  <si>
    <t>Hyundai Samho 8246</t>
  </si>
  <si>
    <t>Hyundai Samho 8247</t>
  </si>
  <si>
    <t>Hyundai Samho 8248</t>
  </si>
  <si>
    <t>Hyundai Samho 8249</t>
  </si>
  <si>
    <t>Hyundai Samho 8264</t>
  </si>
  <si>
    <t>Hyundai Samho 8265</t>
  </si>
  <si>
    <t>Hyundai Samho 8266</t>
  </si>
  <si>
    <t>Hyundai Samho 8267</t>
  </si>
  <si>
    <t>Hyundai Samho 8268</t>
  </si>
  <si>
    <t>Hyundai Samho 8269</t>
  </si>
  <si>
    <t>Hyundai Samho 8270</t>
  </si>
  <si>
    <t>Hyundai Samho 8271</t>
  </si>
  <si>
    <t>Hyundai Ulsan 3498</t>
  </si>
  <si>
    <t>Hyundai Ulsan 3499</t>
  </si>
  <si>
    <t>Hyundai Ulsan 3500</t>
  </si>
  <si>
    <t>Hyundai Ulsan 3503</t>
  </si>
  <si>
    <t>Hyundai Ulsan 3504</t>
  </si>
  <si>
    <t>Hyundai Ulsan 3505</t>
  </si>
  <si>
    <t>Hyundai Ulsan 3506</t>
  </si>
  <si>
    <t>Hyundai Ulsan 3510</t>
  </si>
  <si>
    <t>Hyundai Ulsan 3513</t>
  </si>
  <si>
    <t>Hyundai Ulsan 3516</t>
  </si>
  <si>
    <t>Hyundai Ulsan 3517</t>
  </si>
  <si>
    <t>Hyundai Ulsan 3518</t>
  </si>
  <si>
    <t>Hyundai Ulsan 3531</t>
  </si>
  <si>
    <t>Hyundai Ulsan 3532</t>
  </si>
  <si>
    <t>Hyundai Ulsan 3542</t>
  </si>
  <si>
    <t>Ithaca Gas</t>
  </si>
  <si>
    <t>Qingdao Huangdao</t>
  </si>
  <si>
    <t>Ivy Cove</t>
  </si>
  <si>
    <t>Jag Vasant</t>
  </si>
  <si>
    <t>Mumbai</t>
  </si>
  <si>
    <t>Jag Vijay</t>
  </si>
  <si>
    <t>Jag Viraat</t>
  </si>
  <si>
    <t>Jagannath</t>
  </si>
  <si>
    <t>Jean Raspail</t>
  </si>
  <si>
    <t>Jenggala 21</t>
  </si>
  <si>
    <t>Jia Yuan</t>
  </si>
  <si>
    <t>India</t>
  </si>
  <si>
    <t>Jiangnam H2841</t>
  </si>
  <si>
    <t>Jiangnan H2750</t>
  </si>
  <si>
    <t>Jiangnan H2754</t>
  </si>
  <si>
    <t>Jiangnan H2755</t>
  </si>
  <si>
    <t>Jiangnan H2840</t>
  </si>
  <si>
    <t>Jiangsu Yangzi Xinfu Yzj2024-1715</t>
  </si>
  <si>
    <t>Jiangsu Yangzi-Mitsui</t>
  </si>
  <si>
    <t>Jirisan Explorer</t>
  </si>
  <si>
    <t>Kingston LPG</t>
  </si>
  <si>
    <t>Kaede</t>
  </si>
  <si>
    <t>Kalastin</t>
  </si>
  <si>
    <t>Kawasaki Sakaide 1769</t>
  </si>
  <si>
    <t>Kawasaki Sakaide 1770</t>
  </si>
  <si>
    <t>Kedarnath</t>
  </si>
  <si>
    <t>Antwerp</t>
  </si>
  <si>
    <t>Kefalonia Gas</t>
  </si>
  <si>
    <t>Kodaijisan</t>
  </si>
  <si>
    <t>Kohaku</t>
  </si>
  <si>
    <t>Ain Sukhna</t>
  </si>
  <si>
    <t>Lantana Planet</t>
  </si>
  <si>
    <t>Laurel Prime</t>
  </si>
  <si>
    <t>Legend Prestige</t>
  </si>
  <si>
    <t>Legend Prosperity</t>
  </si>
  <si>
    <t>Legislator</t>
  </si>
  <si>
    <t>Leo Green</t>
  </si>
  <si>
    <t>Leto Providence</t>
  </si>
  <si>
    <t>Pupuk Ammonia</t>
  </si>
  <si>
    <t>Liberty Pathfinder</t>
  </si>
  <si>
    <t>Lilac Cove</t>
  </si>
  <si>
    <t>Lilac Promenade</t>
  </si>
  <si>
    <t>Lily Promenade</t>
  </si>
  <si>
    <t>Taixing</t>
  </si>
  <si>
    <t>Logan Explorer</t>
  </si>
  <si>
    <t>Lucent Pathfinder</t>
  </si>
  <si>
    <t>Lucina Providence</t>
  </si>
  <si>
    <t>Lucky Gas</t>
  </si>
  <si>
    <t>Suez Canal</t>
  </si>
  <si>
    <t>Lumina Polaris</t>
  </si>
  <si>
    <t>Luna Pathfinder</t>
  </si>
  <si>
    <t>Lupinus Planet</t>
  </si>
  <si>
    <t>Lycaste Peace</t>
  </si>
  <si>
    <t>Targa</t>
  </si>
  <si>
    <t>Madam Xian</t>
  </si>
  <si>
    <t>Mado</t>
  </si>
  <si>
    <t>Manasarovar</t>
  </si>
  <si>
    <t>Maoming Pan</t>
  </si>
  <si>
    <t>Maple Gas</t>
  </si>
  <si>
    <t>Marser</t>
  </si>
  <si>
    <t>Min Jiang</t>
  </si>
  <si>
    <t>Matterhorn Explorer</t>
  </si>
  <si>
    <t>Meda</t>
  </si>
  <si>
    <t>Meera</t>
  </si>
  <si>
    <t>Megrez</t>
  </si>
  <si>
    <t>Merak</t>
  </si>
  <si>
    <t>Mercator</t>
  </si>
  <si>
    <t>Mailiao</t>
  </si>
  <si>
    <t>Mighty Navigator</t>
  </si>
  <si>
    <t>Sri Lanka</t>
  </si>
  <si>
    <t>Mile</t>
  </si>
  <si>
    <t>Ming Long</t>
  </si>
  <si>
    <t>Miura</t>
  </si>
  <si>
    <t>Mizar</t>
  </si>
  <si>
    <t>Monza L</t>
  </si>
  <si>
    <t>Musanah</t>
  </si>
  <si>
    <t>Myra Gas</t>
  </si>
  <si>
    <t>Shantou</t>
  </si>
  <si>
    <t>Nadeshiko Gas</t>
  </si>
  <si>
    <t>Nanda Devi</t>
  </si>
  <si>
    <t>Navigare Gaia</t>
  </si>
  <si>
    <t>Navixon</t>
  </si>
  <si>
    <t>Nile River</t>
  </si>
  <si>
    <t>Nirvana Explorer</t>
  </si>
  <si>
    <t>North Gas</t>
  </si>
  <si>
    <t>Ns Dream</t>
  </si>
  <si>
    <t>Ns Frontier</t>
  </si>
  <si>
    <t>Nv Aquamarine</t>
  </si>
  <si>
    <t>NV Sunshine</t>
  </si>
  <si>
    <t>NY Lord</t>
  </si>
  <si>
    <t>Ocean Gas</t>
  </si>
  <si>
    <t>Ocean Radiance</t>
  </si>
  <si>
    <t>Oceanus Aurora</t>
  </si>
  <si>
    <t>Orchid Cove</t>
  </si>
  <si>
    <t>Oriental Jubilee</t>
  </si>
  <si>
    <t>Oriental King</t>
  </si>
  <si>
    <t>Orlando 1</t>
  </si>
  <si>
    <t>Pacific Binzhou</t>
  </si>
  <si>
    <t>Pacific Dongying</t>
  </si>
  <si>
    <t>Pacific Hong Kong</t>
  </si>
  <si>
    <t>Pacific Qingdao</t>
  </si>
  <si>
    <t>Pacific Rizhao</t>
  </si>
  <si>
    <t>Pacific Shanghai</t>
  </si>
  <si>
    <t>Pacific Voyager</t>
  </si>
  <si>
    <t>Pacific Weihai</t>
  </si>
  <si>
    <t>Pacific Yantai</t>
  </si>
  <si>
    <t>Pacificator</t>
  </si>
  <si>
    <t>Parthia</t>
  </si>
  <si>
    <t>Pawan Putra</t>
  </si>
  <si>
    <t>Pertamina Gas 1</t>
  </si>
  <si>
    <t>Pertamina Gas 2</t>
  </si>
  <si>
    <t>Pertamina Gas Amaryllis</t>
  </si>
  <si>
    <t>Pertamina Gas Bergenia</t>
  </si>
  <si>
    <t>Pertamina Gas Caspia</t>
  </si>
  <si>
    <t>Liaoning Kingfa Cracker</t>
  </si>
  <si>
    <t>Pertamina Gas Dahlia</t>
  </si>
  <si>
    <t>Pertamina Gas Tulip</t>
  </si>
  <si>
    <t>Phoenix Gaia</t>
  </si>
  <si>
    <t>Phoenix Harmonia</t>
  </si>
  <si>
    <t>Pinar Gas</t>
  </si>
  <si>
    <t>Pine Gas</t>
  </si>
  <si>
    <t>Qatar</t>
  </si>
  <si>
    <t>Pinza</t>
  </si>
  <si>
    <t>Pointis</t>
  </si>
  <si>
    <t>Prima Energy</t>
  </si>
  <si>
    <t>Pyra</t>
  </si>
  <si>
    <t>Pyxis Alfa</t>
  </si>
  <si>
    <t>Pyxis Pioneer</t>
  </si>
  <si>
    <t>Quantum Star</t>
  </si>
  <si>
    <t>Rabdan</t>
  </si>
  <si>
    <t/>
  </si>
  <si>
    <t>Raine</t>
  </si>
  <si>
    <t>Daxie Ningbo</t>
  </si>
  <si>
    <t>Red Admiral</t>
  </si>
  <si>
    <t>Red Marauder</t>
  </si>
  <si>
    <t>Red Rum</t>
  </si>
  <si>
    <t>Reference Point</t>
  </si>
  <si>
    <t>Reggane</t>
  </si>
  <si>
    <t>Reimei</t>
  </si>
  <si>
    <t>Porbandar</t>
  </si>
  <si>
    <t>Roberto</t>
  </si>
  <si>
    <t>Rong Hao</t>
  </si>
  <si>
    <t>Rosablanche</t>
  </si>
  <si>
    <t>Sahyadri</t>
  </si>
  <si>
    <t>Ras Laffan Refinery</t>
  </si>
  <si>
    <t>Sakura Gas</t>
  </si>
  <si>
    <t>Salute</t>
  </si>
  <si>
    <t>Gaolan Siamgas</t>
  </si>
  <si>
    <t>Samsung 2689</t>
  </si>
  <si>
    <t>Samsung 2690</t>
  </si>
  <si>
    <t>Samsung 2691</t>
  </si>
  <si>
    <t>Samsung 2692</t>
  </si>
  <si>
    <t>Sansovino</t>
  </si>
  <si>
    <t>Sarv Shakti</t>
  </si>
  <si>
    <t>Sea Opera</t>
  </si>
  <si>
    <t>Seabus</t>
  </si>
  <si>
    <t>Sudong</t>
  </si>
  <si>
    <t>Secreto</t>
  </si>
  <si>
    <t>Sequoia Cove</t>
  </si>
  <si>
    <t>Shaamit</t>
  </si>
  <si>
    <t>Shergar</t>
  </si>
  <si>
    <t>Shivalik</t>
  </si>
  <si>
    <t>Sia</t>
  </si>
  <si>
    <t>Silvio</t>
  </si>
  <si>
    <t>Zhangjiagang</t>
  </si>
  <si>
    <t>Sinndar</t>
  </si>
  <si>
    <t>Siona</t>
  </si>
  <si>
    <t>Sobaek Explorer</t>
  </si>
  <si>
    <t>Sogl</t>
  </si>
  <si>
    <t>Sumire Gas</t>
  </si>
  <si>
    <t>Summit River</t>
  </si>
  <si>
    <t>Sunny Bright</t>
  </si>
  <si>
    <t>Tokyo Bay</t>
  </si>
  <si>
    <t>Sunny Joy</t>
  </si>
  <si>
    <t>Wadi Feiran LPG</t>
  </si>
  <si>
    <t>Sunny Vista</t>
  </si>
  <si>
    <t>Sunstar</t>
  </si>
  <si>
    <t>Surya Veerya</t>
  </si>
  <si>
    <t>Taebaek</t>
  </si>
  <si>
    <t>Tara Gas</t>
  </si>
  <si>
    <t>Terra Clove</t>
  </si>
  <si>
    <t>Terra Moss</t>
  </si>
  <si>
    <t>Terra Rose</t>
  </si>
  <si>
    <t>Terra Sycamore</t>
  </si>
  <si>
    <t>Tethys</t>
  </si>
  <si>
    <t>Soyo</t>
  </si>
  <si>
    <t>The Gas Amelia</t>
  </si>
  <si>
    <t>Tinos I</t>
  </si>
  <si>
    <t>Tp Perseverance</t>
  </si>
  <si>
    <t>Tp Tenacity</t>
  </si>
  <si>
    <t>Tsubaki</t>
  </si>
  <si>
    <t>Gibraltar</t>
  </si>
  <si>
    <t>Tulip</t>
  </si>
  <si>
    <t>United Arab Emirates</t>
  </si>
  <si>
    <t>Umm Laqhab</t>
  </si>
  <si>
    <t>Valano</t>
  </si>
  <si>
    <t>Vallee Blanche</t>
  </si>
  <si>
    <t>Vega Sage</t>
  </si>
  <si>
    <t>Kaohsiung</t>
  </si>
  <si>
    <t>Vega Sea</t>
  </si>
  <si>
    <t>Vega Sky</t>
  </si>
  <si>
    <t>Vega Song</t>
  </si>
  <si>
    <t>Vega Star</t>
  </si>
  <si>
    <t>Vega Sun</t>
  </si>
  <si>
    <t>Victoria Lyra</t>
  </si>
  <si>
    <t>Viet Dragon 68</t>
  </si>
  <si>
    <t>Vishvakarmaa</t>
  </si>
  <si>
    <t>Westport</t>
  </si>
  <si>
    <t>White Cliffs</t>
  </si>
  <si>
    <t>Xavia</t>
  </si>
  <si>
    <t>Xi Wang Mu</t>
  </si>
  <si>
    <t>Yuhsan</t>
  </si>
  <si>
    <t>Yuyo</t>
  </si>
  <si>
    <t>Yuyo Spirits</t>
  </si>
  <si>
    <t>Zakher</t>
  </si>
  <si>
    <t>Zante Gas</t>
  </si>
  <si>
    <t>Ziran</t>
  </si>
  <si>
    <t>Zixuan</t>
  </si>
  <si>
    <t>Laden</t>
  </si>
  <si>
    <t>What</t>
  </si>
  <si>
    <t>botan</t>
  </si>
  <si>
    <t>With Waiting</t>
  </si>
  <si>
    <t>Vessel</t>
  </si>
  <si>
    <t>BLT</t>
  </si>
  <si>
    <t>CBM</t>
  </si>
  <si>
    <t>US</t>
  </si>
  <si>
    <t>Chinese</t>
  </si>
  <si>
    <t>Deck Tank</t>
  </si>
  <si>
    <t>Scrubber/Dual Fuel/Deck Tank</t>
  </si>
  <si>
    <t>Control</t>
  </si>
  <si>
    <t>AIS</t>
  </si>
  <si>
    <t>v Cape</t>
  </si>
  <si>
    <t>Position</t>
  </si>
  <si>
    <t>Open From</t>
  </si>
  <si>
    <t>Open To</t>
  </si>
  <si>
    <t>Notes</t>
  </si>
  <si>
    <t>Next loading:</t>
  </si>
  <si>
    <t>Voyage (no rate; + opts):</t>
  </si>
  <si>
    <t>Edited by:</t>
  </si>
  <si>
    <t>Updated</t>
  </si>
  <si>
    <t>Area</t>
  </si>
  <si>
    <t>AIS Location</t>
  </si>
  <si>
    <t>ETA AG</t>
  </si>
  <si>
    <t>ETA USG (P)</t>
  </si>
  <si>
    <t>ETA USG (C)</t>
  </si>
  <si>
    <t>ETA Bonny</t>
  </si>
  <si>
    <t>Bethioua</t>
  </si>
  <si>
    <t>ETA S'pore</t>
  </si>
  <si>
    <t>ETA Darwin</t>
  </si>
  <si>
    <t>ETA Yanbu</t>
  </si>
  <si>
    <t>ETA AG 1</t>
  </si>
  <si>
    <t>ETA AG 2</t>
  </si>
  <si>
    <t>ETA USG1</t>
  </si>
  <si>
    <t>ETA USG2</t>
  </si>
  <si>
    <t>ETA WAF</t>
  </si>
  <si>
    <t>ETA WAF1</t>
  </si>
  <si>
    <t>ETA WAF2</t>
  </si>
  <si>
    <t>ETA Bethouia</t>
  </si>
  <si>
    <t>ETA Bethioua</t>
  </si>
  <si>
    <t>ETA WEST'PORT</t>
  </si>
  <si>
    <t>ETA WEST'PORT 1</t>
  </si>
  <si>
    <t>ETA WEST'PORT 2</t>
  </si>
  <si>
    <t>ETA DARWIN</t>
  </si>
  <si>
    <t>ETA DARWIN1</t>
  </si>
  <si>
    <t>ETA DARWIN2</t>
  </si>
  <si>
    <t>ETA S'PORE</t>
  </si>
  <si>
    <t>ETA SPORE1</t>
  </si>
  <si>
    <t>ETA SPORE2</t>
  </si>
  <si>
    <t>ETA P.Rupert</t>
  </si>
  <si>
    <t>ETA P. Rupert 1</t>
  </si>
  <si>
    <t>ETA P. Rupert 2</t>
  </si>
  <si>
    <t>ETA Bonython</t>
  </si>
  <si>
    <t>ETA Yanbu 1</t>
  </si>
  <si>
    <t>ETA Yanbu 2</t>
  </si>
  <si>
    <t>GOA Yanbu</t>
  </si>
  <si>
    <t>ETA AG O</t>
  </si>
  <si>
    <t>ETA USG O</t>
  </si>
  <si>
    <t>AltaGas</t>
  </si>
  <si>
    <t>Far East</t>
  </si>
  <si>
    <t>ex DD, @ Ferndale 16 Apr, waiting to berth</t>
  </si>
  <si>
    <t>Altagas 18-19 Apr Ferndale</t>
  </si>
  <si>
    <t>New Build @ Japan</t>
  </si>
  <si>
    <t>ETA Prince Rupert 23 Apr</t>
  </si>
  <si>
    <t>Altagas 23 Mar RIPET</t>
  </si>
  <si>
    <t>East China</t>
  </si>
  <si>
    <t>ETA Wenzhou 20 Apr</t>
  </si>
  <si>
    <t>Altagas 05 Apr RIPET</t>
  </si>
  <si>
    <t>DF</t>
  </si>
  <si>
    <t>Astomos</t>
  </si>
  <si>
    <t>Japan</t>
  </si>
  <si>
    <t>ETA 1st port Nagoya 04 May</t>
  </si>
  <si>
    <t>Astomos 29-30 Mar Freeport</t>
  </si>
  <si>
    <t>loads USG</t>
  </si>
  <si>
    <t>ETA USG 04 May via Cape Proxy / SWAP give 05-06 May / take back 15-16 May</t>
  </si>
  <si>
    <t>Astomos 04-05 May USG</t>
  </si>
  <si>
    <t>Honolulu</t>
  </si>
  <si>
    <t>ex DD, @ Honolulu 11 Apr</t>
  </si>
  <si>
    <t>Astomos 25-26 Dec Ras Laffan</t>
  </si>
  <si>
    <t>GP</t>
  </si>
  <si>
    <t>Balboa</t>
  </si>
  <si>
    <t>R?</t>
  </si>
  <si>
    <t>ETA Balboa 01 May</t>
  </si>
  <si>
    <t>Marathon 22-23 Feb Freeport</t>
  </si>
  <si>
    <t>Mohammedia</t>
  </si>
  <si>
    <t>pending firm disport - either FE / Morocco</t>
  </si>
  <si>
    <t>Exxon 09-10 Apr USG</t>
  </si>
  <si>
    <t>ETA 1st port Sodegaura 21 Apr</t>
  </si>
  <si>
    <t>Astomos 18-19 Mar Enterprise</t>
  </si>
  <si>
    <t>Indo</t>
  </si>
  <si>
    <t>ETA Blang Lancang 24 May</t>
  </si>
  <si>
    <t>Astomos 09-10 Apr Nederland</t>
  </si>
  <si>
    <t>@ 2nd berth Sakai 16 Apr</t>
  </si>
  <si>
    <t>Astomos 25-26 Mar Dampier</t>
  </si>
  <si>
    <t>S</t>
  </si>
  <si>
    <t>ETA Taixing 2 May</t>
  </si>
  <si>
    <t>Astomos 15-16 Apr RIPET</t>
  </si>
  <si>
    <t>25 Apar</t>
  </si>
  <si>
    <t>ETA USG 23 Apr</t>
  </si>
  <si>
    <t xml:space="preserve">Astomos 23-24 Apr USG </t>
  </si>
  <si>
    <t>ETA Port Elizabeth 21 Apr</t>
  </si>
  <si>
    <t>Vitol 16-17 May USG</t>
  </si>
  <si>
    <t>ETA Indo 29 May</t>
  </si>
  <si>
    <t>MB Energy 11-12 Jan Enterprise</t>
  </si>
  <si>
    <t>Nep-Asto-NSU-Itochu</t>
  </si>
  <si>
    <t>Singapore ballast</t>
  </si>
  <si>
    <t>ex DD, @ Singapore 15 Apr</t>
  </si>
  <si>
    <t>Inpex 17-18 Feb Darwin</t>
  </si>
  <si>
    <t>AGT&gt;ATL 60-90days</t>
  </si>
  <si>
    <t>South China</t>
  </si>
  <si>
    <t>ATC short TC, ETA South China 18 Apr</t>
  </si>
  <si>
    <t>ATC End Mar Yanbu (short TC)</t>
  </si>
  <si>
    <t>C</t>
  </si>
  <si>
    <t>AGT</t>
  </si>
  <si>
    <t>Port Louis ballast</t>
  </si>
  <si>
    <t>sailed 27 Mar, ETA USG 02 May via Cape</t>
  </si>
  <si>
    <t>AGT 25 Feb Ruwais</t>
  </si>
  <si>
    <t>BW Kizoku</t>
  </si>
  <si>
    <t>ETA Cristobal 19 Apr, pending disport</t>
  </si>
  <si>
    <t>Wanhua 13-14 Apr Nederland</t>
  </si>
  <si>
    <t>ETA South China 26 May</t>
  </si>
  <si>
    <t>BASF 15-16 Apr Freeport</t>
  </si>
  <si>
    <t>Astomos &gt; AGT</t>
  </si>
  <si>
    <t>ETA Singapore 18 Apr</t>
  </si>
  <si>
    <t>AGT 22-23 May USG</t>
  </si>
  <si>
    <t>Korea</t>
  </si>
  <si>
    <t>ETA 1st port Ulsan 1 May</t>
  </si>
  <si>
    <t>AGT 26 Mar Enterprise</t>
  </si>
  <si>
    <t>ETA USG 20 Apr via Cape</t>
  </si>
  <si>
    <t>AGT 17-18 Apr USG (delay)?</t>
  </si>
  <si>
    <t>ETA Balboa 29 Apr</t>
  </si>
  <si>
    <t>Exxon 08-09 May USG</t>
  </si>
  <si>
    <t>ATC</t>
  </si>
  <si>
    <t>Turkey</t>
  </si>
  <si>
    <t>eu</t>
  </si>
  <si>
    <t>@ Dortyol 07 Apr, ETD 23 Apr</t>
  </si>
  <si>
    <t>ATC 01-02 Apr Yanbu</t>
  </si>
  <si>
    <t>BW Tucana</t>
  </si>
  <si>
    <t>BW &gt; ATC</t>
  </si>
  <si>
    <t>@ Enterprise 15 Apr, pending firm disport</t>
  </si>
  <si>
    <t>ATC 15-16 Apr Enterprise</t>
  </si>
  <si>
    <t>ETA Nederland 22 Apr</t>
  </si>
  <si>
    <t>c3 / c4 in deck tanks</t>
  </si>
  <si>
    <t>Naftomar 23-24 Apr USG</t>
  </si>
  <si>
    <t>DT</t>
  </si>
  <si>
    <t>Eu</t>
  </si>
  <si>
    <t>@ Houston anchorage 08 Apr, ETA Eu 30 Apr</t>
  </si>
  <si>
    <t>Dow 10-11 Apr USG</t>
  </si>
  <si>
    <t>ATC &gt; AGT</t>
  </si>
  <si>
    <t>ex DD, ETA USG 22 Apr via Cape</t>
  </si>
  <si>
    <t>Geogas 25-26 Apr USG</t>
  </si>
  <si>
    <t>ATC&gt;Mercuria</t>
  </si>
  <si>
    <t>Suez</t>
  </si>
  <si>
    <t>drifting off Jizan since 29 Mar</t>
  </si>
  <si>
    <t>ATC 7 Jan STS Red Sea (G Alkhaleej)</t>
  </si>
  <si>
    <t>BASF</t>
  </si>
  <si>
    <t>ETA Freeport 12 May via Cape</t>
  </si>
  <si>
    <t>BASF 04-05 May Freeport</t>
  </si>
  <si>
    <t>BW Freyja</t>
  </si>
  <si>
    <t>ETA Jinshan 16 Apr</t>
  </si>
  <si>
    <t>BASF 21-22 Feb Freeport</t>
  </si>
  <si>
    <t>BB Energy</t>
  </si>
  <si>
    <t>R</t>
  </si>
  <si>
    <t>ETA Darwin 12-13 Apr / heard on subs with inpex</t>
  </si>
  <si>
    <t>Total 10-11 Apr Darwin</t>
  </si>
  <si>
    <t>loads WAF</t>
  </si>
  <si>
    <t>ETA Soyo 22 Apr, ex Singapore 31 Mar</t>
  </si>
  <si>
    <t>Total 21-25 Apr Soyo</t>
  </si>
  <si>
    <t>BGN</t>
  </si>
  <si>
    <t>ETA USG 29 Apr</t>
  </si>
  <si>
    <t>BGN 01-02 May USG</t>
  </si>
  <si>
    <t>BW Yushi</t>
  </si>
  <si>
    <t>Cape</t>
  </si>
  <si>
    <t>ETA Merak 23 Apr</t>
  </si>
  <si>
    <t>BGN 10-11 Mar Freeport</t>
  </si>
  <si>
    <t>ETA Brinidis 24 Apr</t>
  </si>
  <si>
    <t>BGN 08-09 Apr MH</t>
  </si>
  <si>
    <t>Port Louis laden</t>
  </si>
  <si>
    <t>Pendung firm disport</t>
  </si>
  <si>
    <t>BGN 17-18 Mar Nederland</t>
  </si>
  <si>
    <t>ETA Horizon Tangier 13 Apr</t>
  </si>
  <si>
    <t>BGN 23-24 Mar Nederland</t>
  </si>
  <si>
    <t>Ex Nederland 06 Apr</t>
  </si>
  <si>
    <t>BGN 21-22 Mar Nederland</t>
  </si>
  <si>
    <t>ETA Balboa 14 Apr</t>
  </si>
  <si>
    <t>BGN 20-21 Apr USG</t>
  </si>
  <si>
    <t>ETA Port Said 30 Apr</t>
  </si>
  <si>
    <t>BGN 08-09 Apr Nederland</t>
  </si>
  <si>
    <t>ETA Nederland 25 Apr</t>
  </si>
  <si>
    <t>BGN 25-26 Apr Nederland</t>
  </si>
  <si>
    <t>ex DD, Ex Port Klang 07 Apr coolant</t>
  </si>
  <si>
    <t>BGN 19-20 Jan Nederland (delay)?</t>
  </si>
  <si>
    <t>ETD Balikpapan 13 Apr, heading back to USG?</t>
  </si>
  <si>
    <t>BGN 15-17 Feb USG (delay)</t>
  </si>
  <si>
    <t>ex DD, ETA Nederland 22 Apr via Cape</t>
  </si>
  <si>
    <t>BGN 18-19 Apr Nederland</t>
  </si>
  <si>
    <t>ETA USGC 18 May</t>
  </si>
  <si>
    <t>BGN 25-26 Feb Targa</t>
  </si>
  <si>
    <t>HLS Emerald</t>
  </si>
  <si>
    <t>ETA 11 Apr USG</t>
  </si>
  <si>
    <t>BGN 22-23 Apr USG</t>
  </si>
  <si>
    <t>ETA Horizon 8 May</t>
  </si>
  <si>
    <t>BGN 07-08 Apr USG</t>
  </si>
  <si>
    <t>ETA Ain Sukhna 18 Apr</t>
  </si>
  <si>
    <t>BGN 27-28 Mar Nederland</t>
  </si>
  <si>
    <t>ETA indo 20 Apr</t>
  </si>
  <si>
    <t>BGN 22-23 Mar Nederland</t>
  </si>
  <si>
    <t>ETA Suez 3 May</t>
  </si>
  <si>
    <t>BGN 02-03 Apr Nederland</t>
  </si>
  <si>
    <t>Heading towards Panama 22 apr</t>
  </si>
  <si>
    <t>BGN 27-28 Mar USG</t>
  </si>
  <si>
    <t>Heading towards Eygpt 20 Apr</t>
  </si>
  <si>
    <t>BGN 25-26 Mar USG</t>
  </si>
  <si>
    <t>@ Anchorage, waiting to berth</t>
  </si>
  <si>
    <t>BGN 10-11 Mar Nederland</t>
  </si>
  <si>
    <t>Vietnam</t>
  </si>
  <si>
    <t>ETA Vung Tau 21 Apr</t>
  </si>
  <si>
    <t>BGN 10-11 Mar Enterprise</t>
  </si>
  <si>
    <t>ECI</t>
  </si>
  <si>
    <t>ETA Port Louis 13 Apr / heading ECI</t>
  </si>
  <si>
    <t>BGN 13-14 Mar Nederland?</t>
  </si>
  <si>
    <t>BGN&gt; ???</t>
  </si>
  <si>
    <t>ETA Nderlanjd 23 Apr</t>
  </si>
  <si>
    <t>BGN 23-24 Apr Nederland</t>
  </si>
  <si>
    <t>Borealis</t>
  </si>
  <si>
    <t>@ Skagen 08 Apr</t>
  </si>
  <si>
    <t>Borealis 05-06 Mar Targa</t>
  </si>
  <si>
    <t>BW Aries</t>
  </si>
  <si>
    <t>BP</t>
  </si>
  <si>
    <t>loads MH</t>
  </si>
  <si>
    <t>Arrived on 15 Apr / india voyage next</t>
  </si>
  <si>
    <t>10-15 Apr USG next; unless sold FOB</t>
  </si>
  <si>
    <t>BP 14-15 Apr MH</t>
  </si>
  <si>
    <t>BW Messina</t>
  </si>
  <si>
    <t>@ Lavera 06 Apr</t>
  </si>
  <si>
    <t>Exxon/ATC 23-24 Mar USG</t>
  </si>
  <si>
    <t>BWPS</t>
  </si>
  <si>
    <t>BWPS 15-16 Mar Targa</t>
  </si>
  <si>
    <t>@ Houston anchorage 11 Apr, waiting to berth</t>
  </si>
  <si>
    <t>BWPS 12-13 Apr USG (delay)</t>
  </si>
  <si>
    <t>ETA Balboa 05 May</t>
  </si>
  <si>
    <t>STL 18-19 May USG</t>
  </si>
  <si>
    <t>Chevron 24-25 Apr USG</t>
  </si>
  <si>
    <t>Chevron</t>
  </si>
  <si>
    <t>ETA Balboa 03 May</t>
  </si>
  <si>
    <t>Chevron 03-04 Mar Enterprise</t>
  </si>
  <si>
    <t>Has 18-19 Apr looking to swap for 28-29 Apr</t>
  </si>
  <si>
    <t>Chevron 24-25 Feb Targa</t>
  </si>
  <si>
    <t>ETA Antwerp 19 Apr</t>
  </si>
  <si>
    <t>Chevron 02 Apr Targa</t>
  </si>
  <si>
    <t>Ex SG 17 Apr, ETA WAF 11 May</t>
  </si>
  <si>
    <t>Chevron 22-23 Feb Escravos</t>
  </si>
  <si>
    <t>drifing USG 02 Apr</t>
  </si>
  <si>
    <t>Chevron 18-19 Apr USG?</t>
  </si>
  <si>
    <t>ETA Port Louis 16 Apr</t>
  </si>
  <si>
    <t>Chevron 30-31 May USG</t>
  </si>
  <si>
    <t>North China</t>
  </si>
  <si>
    <t>ETA North China 6 May</t>
  </si>
  <si>
    <t>Chevron 26-27 Mar Enterprise</t>
  </si>
  <si>
    <t>ETA 1st port Chiba 28 Apr</t>
  </si>
  <si>
    <t>Chevron 25-26 Mar Targa</t>
  </si>
  <si>
    <t>@ Enterprise 12 Apr, pending disport</t>
  </si>
  <si>
    <t>Chevron 12-13 Apr Enterprise</t>
  </si>
  <si>
    <t>ETA USG 12 Apr, ex Antwerp 29 Mar</t>
  </si>
  <si>
    <t>Singapore laden</t>
  </si>
  <si>
    <t>ETA Singapore 21 Apr</t>
  </si>
  <si>
    <t>Chevron 07-08 Mar Escravos+Soyo</t>
  </si>
  <si>
    <t>E1</t>
  </si>
  <si>
    <t>ETA Tg Sekong 16 May</t>
  </si>
  <si>
    <t>BGN 05-06 Apr Freeport</t>
  </si>
  <si>
    <t>ETA Houston 22 Apr via Cape</t>
  </si>
  <si>
    <t>Astomos 23-24 Apr USG (via Vitol)</t>
  </si>
  <si>
    <t>ETA Houston 01 May via Cape</t>
  </si>
  <si>
    <t>Trafi 03-04 May USG</t>
  </si>
  <si>
    <t>ETA USG 07 May via Cape</t>
  </si>
  <si>
    <t>BGN 12-13 May USG</t>
  </si>
  <si>
    <t>HLS Amber</t>
  </si>
  <si>
    <t xml:space="preserve">ETA USG 14 Apr via Cape, pending firm disport </t>
  </si>
  <si>
    <t>Marathon 18-19 Apr Freeport</t>
  </si>
  <si>
    <t>HLS Blue Sapphire</t>
  </si>
  <si>
    <t>ETA Cristobal 17 Apr, pending disport</t>
  </si>
  <si>
    <t>E1 11-12 Apr Nederland</t>
  </si>
  <si>
    <t>Eneos</t>
  </si>
  <si>
    <t>ETA Daesan 16 Apr</t>
  </si>
  <si>
    <t>Eneos 23-25 May USG</t>
  </si>
  <si>
    <t>Eneos&gt;Itochu</t>
  </si>
  <si>
    <t>ETA Balboa 25 Apr</t>
  </si>
  <si>
    <t>Vitol 06-07 May USG</t>
  </si>
  <si>
    <t>pending disport</t>
  </si>
  <si>
    <t>Eneos 14-15 Apr Nederland</t>
  </si>
  <si>
    <t>Eneos 13-14 Apr Nederland?</t>
  </si>
  <si>
    <t>East Med</t>
  </si>
  <si>
    <t>@ Dortyol 11 Apr</t>
  </si>
  <si>
    <t>Vitol 07-08 May USG</t>
  </si>
  <si>
    <t>ETA Cristobal 13 Apr, pending disport</t>
  </si>
  <si>
    <t>Eneos 03-04 Apr Targa</t>
  </si>
  <si>
    <t>Energy Transfer</t>
  </si>
  <si>
    <t xml:space="preserve">ETA Stenungsund 26 Apr </t>
  </si>
  <si>
    <t>ET 06-07 Apr Nederland</t>
  </si>
  <si>
    <t>NS Dream</t>
  </si>
  <si>
    <t>ETA eu 22 Apr</t>
  </si>
  <si>
    <t>ET 03-04 Apr MH</t>
  </si>
  <si>
    <t>ETA 19 Apr Marcus Hook</t>
  </si>
  <si>
    <t>ET 11-12 Mar MH</t>
  </si>
  <si>
    <t>Equinor</t>
  </si>
  <si>
    <t>ETA Balboa 24 Apr</t>
  </si>
  <si>
    <t>Equinor 01-05 May USG?</t>
  </si>
  <si>
    <t>Ocoa</t>
  </si>
  <si>
    <t>ETA Ocoa 25 Apr</t>
  </si>
  <si>
    <t>Equinor 23-24 Dec Enterprise</t>
  </si>
  <si>
    <t>ETA Balboa 22 Apr</t>
  </si>
  <si>
    <t>@ ETA Port Louis 13 may</t>
  </si>
  <si>
    <t>Equinor 12-13 Apr Enterprise</t>
  </si>
  <si>
    <t>pending firm disport</t>
  </si>
  <si>
    <t>Equinor 11-12 Apr Targa</t>
  </si>
  <si>
    <t>@ Balboa 11 Apr, waiting to transit</t>
  </si>
  <si>
    <t>Equinor 16-20 Apr USG?</t>
  </si>
  <si>
    <t>ETA Cristobal 14 Apr</t>
  </si>
  <si>
    <t>Equinor 07-08 Apr Targa</t>
  </si>
  <si>
    <t>Heading back to USG</t>
  </si>
  <si>
    <t>Equinor 10-11 May USG</t>
  </si>
  <si>
    <t>Equinor 06-10 May USG</t>
  </si>
  <si>
    <t>Exxon</t>
  </si>
  <si>
    <t>Axpo 08-09 Apr USG</t>
  </si>
  <si>
    <t>BW Malacca</t>
  </si>
  <si>
    <r>
      <rPr>
        <sz val="11"/>
        <color rgb="FF000000"/>
        <rFont val="Calibri"/>
      </rPr>
      <t xml:space="preserve">ETA Kalbut 06 May, </t>
    </r>
    <r>
      <rPr>
        <b/>
        <sz val="11"/>
        <color rgb="FF9900FF"/>
        <rFont val="Calibri"/>
      </rPr>
      <t>Darwin candidate?</t>
    </r>
  </si>
  <si>
    <t>Pertamina 25-26 Mar Freeport</t>
  </si>
  <si>
    <t>BW Mindoro</t>
  </si>
  <si>
    <t>ETA USG 26 Apr via Cape</t>
  </si>
  <si>
    <t>Helios &gt; Exxon</t>
  </si>
  <si>
    <t>ETA Balboa 13 Apr</t>
  </si>
  <si>
    <t>Chevron 01 Feb Escravos</t>
  </si>
  <si>
    <t>SwissChemGas 15-16 May USG</t>
  </si>
  <si>
    <t>ETA Vung Tau 28 Apr</t>
  </si>
  <si>
    <t>ATC 16-17 Mar Targa</t>
  </si>
  <si>
    <t>ETA Singapore 13 Apr</t>
  </si>
  <si>
    <t>Marathon 26-27 May USG</t>
  </si>
  <si>
    <t>ETA USG 24 May</t>
  </si>
  <si>
    <t>Pertamina 27-28 Feb Freeport</t>
  </si>
  <si>
    <t>ETA Balboa 18 Apr</t>
  </si>
  <si>
    <t>BWPS 02-04 May USG</t>
  </si>
  <si>
    <t>TP Tenacity</t>
  </si>
  <si>
    <t>ETA Freeport 20 Apr via Cape</t>
  </si>
  <si>
    <t>Swiss via Pdec 21-22 April Freeport</t>
  </si>
  <si>
    <t>Geogas</t>
  </si>
  <si>
    <t>Tanzania</t>
  </si>
  <si>
    <t>Ex San Pedro de Macoris 11 Apr, ETA USG 17 Apr</t>
  </si>
  <si>
    <t>Geogas 27-28 Mar Freeport</t>
  </si>
  <si>
    <t>ETA Male 21 Apr, for STS ops</t>
  </si>
  <si>
    <t>Geogas 16 Mar Enterprise</t>
  </si>
  <si>
    <t xml:space="preserve">Evalend&gt;Geogas </t>
  </si>
  <si>
    <t>ETA Balboa 27 Apr</t>
  </si>
  <si>
    <t>charter out 05-06 May / charter in 13-14 May</t>
  </si>
  <si>
    <t>Geogas 07-08 May USG</t>
  </si>
  <si>
    <t>shuttle/STS ship East Africa 05 Feb</t>
  </si>
  <si>
    <t>Geogas 29 Mar STS Bumbwini</t>
  </si>
  <si>
    <t>Sailed Mombasa 03 Apr, ETA USG 1 May</t>
  </si>
  <si>
    <t>Geogas 29-30 Apr USG Enterprise</t>
  </si>
  <si>
    <t>Gunvor</t>
  </si>
  <si>
    <t>Taiwan</t>
  </si>
  <si>
    <t>ETA 1st port Mailiao 20 Apr</t>
  </si>
  <si>
    <t>Gunvor 16 Mar Enterprise</t>
  </si>
  <si>
    <t>Gunvor 06-07 Apr Freeport</t>
  </si>
  <si>
    <t>6 &lt;ay</t>
  </si>
  <si>
    <t>ETA USG 5 May</t>
  </si>
  <si>
    <t>Gunvor 10-11 May USG</t>
  </si>
  <si>
    <t>ETA 1st port Qingdao 06 May</t>
  </si>
  <si>
    <t>Gunvor 09-10 Feb Enterprise</t>
  </si>
  <si>
    <t>Ex Dortyol 02 Apr, ETA 25 Apr USG</t>
  </si>
  <si>
    <t>ATC 21-22 Feb Enterprise</t>
  </si>
  <si>
    <t>Gyxis</t>
  </si>
  <si>
    <t>ex DD, ETA RIPET 22 Apr</t>
  </si>
  <si>
    <t>Gyxis 03-04 Feb Enterprise</t>
  </si>
  <si>
    <t>Aquamarine Progress II</t>
  </si>
  <si>
    <t>ETA USG 25 Apr via Cape</t>
  </si>
  <si>
    <t>SK Gas 05 Feb Nederland</t>
  </si>
  <si>
    <t>ETA 1st port Chiba 19 Apr</t>
  </si>
  <si>
    <t>Sinochem 17-18 Mar Nederland</t>
  </si>
  <si>
    <t>ETA 1st port Senboku 21 May</t>
  </si>
  <si>
    <t>BGN 21-22 May USG</t>
  </si>
  <si>
    <t>ETA 1st port Oita 16 Apr</t>
  </si>
  <si>
    <t>Internally Programmed 24-25 May</t>
  </si>
  <si>
    <t>PetroChina 13-14 Mar Enterprise</t>
  </si>
  <si>
    <t>ETA 1st port Nagoya 20 Apr</t>
  </si>
  <si>
    <t>MB Energy 16-17 Mar Enterprise</t>
  </si>
  <si>
    <t>@ Houston 16 Apr. waiting to berth</t>
  </si>
  <si>
    <t>Gyxis 16-17 Apr USG</t>
  </si>
  <si>
    <t>ETA Nederland 01 May via Cape</t>
  </si>
  <si>
    <t>Gyxis 01-02 May Nederland</t>
  </si>
  <si>
    <t>ETA USG 05 May via Cape</t>
  </si>
  <si>
    <t>BGN 09-10 May USG</t>
  </si>
  <si>
    <r>
      <rPr>
        <sz val="11"/>
        <color rgb="FF000000"/>
        <rFont val="Calibri"/>
      </rPr>
      <t xml:space="preserve">ETA Merak 17 May, </t>
    </r>
    <r>
      <rPr>
        <b/>
        <sz val="11"/>
        <color rgb="FF9900FF"/>
        <rFont val="Calibri"/>
      </rPr>
      <t>Darwin candidate?</t>
    </r>
  </si>
  <si>
    <t>BGN 03-04 Apr Nederland</t>
  </si>
  <si>
    <t>ETA Antwerp 17 Apr</t>
  </si>
  <si>
    <t>Dow 10-11 May USG</t>
  </si>
  <si>
    <t>Itochu</t>
  </si>
  <si>
    <t>ETA USG via Cape 05 May</t>
  </si>
  <si>
    <t>Helios/BP 09-10 May USG?</t>
  </si>
  <si>
    <r>
      <rPr>
        <sz val="11"/>
        <color rgb="FF000000"/>
        <rFont val="Calibri"/>
      </rPr>
      <t xml:space="preserve">ETA Kalbut 02 May, </t>
    </r>
    <r>
      <rPr>
        <b/>
        <sz val="11"/>
        <color rgb="FF9900FF"/>
        <rFont val="Calibri"/>
      </rPr>
      <t>Darwin candidate?</t>
    </r>
  </si>
  <si>
    <t>Itochu 17-18 Mar Nederland</t>
  </si>
  <si>
    <t>ETA Cape 23 Apr</t>
  </si>
  <si>
    <t>Give out 2/2 15-16 May, Take back ~20 May</t>
  </si>
  <si>
    <t>Itochu 15-16 May USG</t>
  </si>
  <si>
    <t>ex-DD / taking coolant in korea - ETA USG 06-08 Jun</t>
  </si>
  <si>
    <t>Itochu 17-18 Jan Nederland</t>
  </si>
  <si>
    <t>BW Gemini</t>
  </si>
  <si>
    <t>Marathon</t>
  </si>
  <si>
    <t>ex DD, @ Balboa 09 Apr, waiting to transit</t>
  </si>
  <si>
    <t>Marathon 20-21 Apr USG</t>
  </si>
  <si>
    <t>Mercuria</t>
  </si>
  <si>
    <t>ETA Eastern Asia 30 May</t>
  </si>
  <si>
    <t>Eneos 21-22 Apr Nederland</t>
  </si>
  <si>
    <t>Cape laden</t>
  </si>
  <si>
    <t>ETA Singapore 09 May, pending disport</t>
  </si>
  <si>
    <t>Ineos 04-05 Apr MH</t>
  </si>
  <si>
    <t>idling outside of Japan</t>
  </si>
  <si>
    <t>E1 07-08 Mar Nederland</t>
  </si>
  <si>
    <t>@ Balboa 12 Apr / not a relet but can look at reshuffling</t>
  </si>
  <si>
    <t>Total 01-02 Feb Nederland</t>
  </si>
  <si>
    <t>ETA 1st port Chiba 20 Apr</t>
  </si>
  <si>
    <t>Mercuria 18-19 Mar Nederland</t>
  </si>
  <si>
    <t>ETA Daesan 3 May</t>
  </si>
  <si>
    <t>Mercuria 26 Mar Nederland</t>
  </si>
  <si>
    <t>Cayman</t>
  </si>
  <si>
    <t>ETA St Eustatius 25 Apr bunkers?, ETA USG 01 May</t>
  </si>
  <si>
    <t>Mercuria (Repsol FOB) 10-11 Feb USG</t>
  </si>
  <si>
    <t>ETA USG 16 Apr, pending firm disport</t>
  </si>
  <si>
    <t>Mercuria 18-19 Apr USG</t>
  </si>
  <si>
    <t>ex DD, ETA 1st port Kaohsiung 21 Apr</t>
  </si>
  <si>
    <t>BP 14-15 Mar Nederland</t>
  </si>
  <si>
    <t>ATC &gt; Mercuria</t>
  </si>
  <si>
    <t>ex DD, @ Targa 13 Apr, pending firm disport</t>
  </si>
  <si>
    <t>Chevron 12-13 Apr USG</t>
  </si>
  <si>
    <t>Naftomar&gt; ATL</t>
  </si>
  <si>
    <t>WCI</t>
  </si>
  <si>
    <t>drifting off Yanbu 10 Apr, waiting to berth</t>
  </si>
  <si>
    <t>ATC 10 Apr Yanbu (short TC)</t>
  </si>
  <si>
    <t xml:space="preserve">Naftomar&gt; </t>
  </si>
  <si>
    <t>ETA Cape Town 02 May, for orders</t>
  </si>
  <si>
    <t>? 07 Apr Enterprise</t>
  </si>
  <si>
    <t xml:space="preserve">Naftomar </t>
  </si>
  <si>
    <t>AG</t>
  </si>
  <si>
    <t>drifting off Sharjah 06 Mar (laden) - still in SoH</t>
  </si>
  <si>
    <t>Equinor 01-02 Mar MAA</t>
  </si>
  <si>
    <t>OE</t>
  </si>
  <si>
    <t>via Cape, ETA Singapore 15 May</t>
  </si>
  <si>
    <t>OE 03 Apr Enterprise</t>
  </si>
  <si>
    <t>ETA USG 24 Apr via Cape</t>
  </si>
  <si>
    <t>SK 25-26 Apr USG OOS?</t>
  </si>
  <si>
    <t>via Cape, pending disport</t>
  </si>
  <si>
    <t>OE 31 Mar Enterprise</t>
  </si>
  <si>
    <t>ETA USG 17 Apr via Cape, waiting to berth</t>
  </si>
  <si>
    <t>Gunvor 18-19 Apr USG</t>
  </si>
  <si>
    <t>ETA USG 21 May</t>
  </si>
  <si>
    <t>OE 21-22 May USG (own FOB)</t>
  </si>
  <si>
    <t>ETA USG 23 Apr via Cape</t>
  </si>
  <si>
    <t>SK 25-26 Apr USG</t>
  </si>
  <si>
    <t>ETA Galle 22 May</t>
  </si>
  <si>
    <t>BGN 09-10 Apr Nederland</t>
  </si>
  <si>
    <t>@ Doha anchorage (laden) 19 Mar - still in SoH</t>
  </si>
  <si>
    <t>OE 28-29 Feb Mesaieed</t>
  </si>
  <si>
    <t>ETA 18 Apr USG, waiting to berth</t>
  </si>
  <si>
    <t>ATC 15-16 Apr USG</t>
  </si>
  <si>
    <t>P66</t>
  </si>
  <si>
    <t>ETA Freeport 27 Apr via Cape</t>
  </si>
  <si>
    <t>P66 28-29 Apr Freeport</t>
  </si>
  <si>
    <t>ETA 1st port Daesan 06 May</t>
  </si>
  <si>
    <t>Vitol 28-29 Mar Nederland</t>
  </si>
  <si>
    <t>Pertamina</t>
  </si>
  <si>
    <t>ETA Balikpapan 22 Apr</t>
  </si>
  <si>
    <t>Perta 02-03 Mar Freeport</t>
  </si>
  <si>
    <t>Floater ex Balikpapan</t>
  </si>
  <si>
    <t>Floating Storage</t>
  </si>
  <si>
    <t>Floater ex Kalbut</t>
  </si>
  <si>
    <t>ETA Freeport 20 May</t>
  </si>
  <si>
    <t>Perta 21-22 May Freeport</t>
  </si>
  <si>
    <t>ETA Freeport 17 Apr</t>
  </si>
  <si>
    <t>Perta 18-19 Apr Freeport</t>
  </si>
  <si>
    <t>Drifting off Kalbut 18 Feb</t>
  </si>
  <si>
    <t>Perta 24-25 Oct Freeport</t>
  </si>
  <si>
    <t>ETA Freeport 10 May</t>
  </si>
  <si>
    <t>Perta 11-12 May Freeport</t>
  </si>
  <si>
    <t>Petredec</t>
  </si>
  <si>
    <t>ETA 1st port Oita 20 Apr</t>
  </si>
  <si>
    <t>Petredec 12 Mar Targa</t>
  </si>
  <si>
    <t>ETA 1st port Jiangyin 04 May</t>
  </si>
  <si>
    <t>Petredec 28 Mar Targa</t>
  </si>
  <si>
    <t>ETA 2nd port Haldia 19 Apr, ETA 28-29 May - sub disport</t>
  </si>
  <si>
    <t>Petredec 03 Mar Targa</t>
  </si>
  <si>
    <t>ETA Mangalore 16 May</t>
  </si>
  <si>
    <t>Petredec 07-08 Apr USG</t>
  </si>
  <si>
    <t>ETA Balboa 28 Apr</t>
  </si>
  <si>
    <t>Petredec 14-15 May USG</t>
  </si>
  <si>
    <t>Cape ballast</t>
  </si>
  <si>
    <t>Proxy for ETA 14-15 May</t>
  </si>
  <si>
    <t>Petredec 22 Feb Targa</t>
  </si>
  <si>
    <t>@ 2nd port Niigata 14 Apr</t>
  </si>
  <si>
    <t>Exxon 18-19 May USG</t>
  </si>
  <si>
    <t>Total 07-08 May USG</t>
  </si>
  <si>
    <t>ETA Singapore 10 Apr</t>
  </si>
  <si>
    <t>Borealis 17-18 May USG</t>
  </si>
  <si>
    <r>
      <rPr>
        <sz val="11"/>
        <color rgb="FF000000"/>
        <rFont val="Calibri"/>
      </rPr>
      <t xml:space="preserve">ETA Merak 29 Apr, </t>
    </r>
    <r>
      <rPr>
        <b/>
        <sz val="11"/>
        <color rgb="FF9900FF"/>
        <rFont val="Calibri"/>
      </rPr>
      <t>Darwin candidate?</t>
    </r>
  </si>
  <si>
    <t>Petredec 22 Mar Freeport</t>
  </si>
  <si>
    <t>pending disport, likely India as per Nick ETA USG 04-06 Jun</t>
  </si>
  <si>
    <t>Chevron 13-14 Mar Enterprise</t>
  </si>
  <si>
    <t>Petredec&gt;Itochu</t>
  </si>
  <si>
    <t>ex DD, ETA Balboa 14 Apr</t>
  </si>
  <si>
    <t>Petredec 21-22 Apr USG</t>
  </si>
  <si>
    <t>ETA Freeport 08 May via Cape</t>
  </si>
  <si>
    <t>Petredec 08-09 May Freeport</t>
  </si>
  <si>
    <t>2016</t>
  </si>
  <si>
    <t>Petrobras &gt; Petredec</t>
  </si>
  <si>
    <t>ETA South china 12 May</t>
  </si>
  <si>
    <t>Petredec 01 Apr Freeport</t>
  </si>
  <si>
    <t>@ Nederland 06 Apr, pending firm disport</t>
  </si>
  <si>
    <t>ET 05-06 Apr Nederland</t>
  </si>
  <si>
    <t xml:space="preserve">Petrobras&gt;swiss </t>
  </si>
  <si>
    <t>@ Suape 02 Apr, ETA USG 20 Apr</t>
  </si>
  <si>
    <t>Petrobras 21-22 Apr USG</t>
  </si>
  <si>
    <t>DF, no deck tank</t>
  </si>
  <si>
    <t>PTT</t>
  </si>
  <si>
    <t>ETA USG 10 May via Cape</t>
  </si>
  <si>
    <t>BGN 11-12 May USG</t>
  </si>
  <si>
    <t>ETA USG 03 May via Cape</t>
  </si>
  <si>
    <t xml:space="preserve">"14 knots speed" </t>
  </si>
  <si>
    <t>ATC 05-06 May USG</t>
  </si>
  <si>
    <t>BW Carina</t>
  </si>
  <si>
    <t>Satellite</t>
  </si>
  <si>
    <t>ETA 3rd port Tokyo Bay 13 Apr</t>
  </si>
  <si>
    <t xml:space="preserve">Has 18-19 May Ndl looking to swap for 22-25 May </t>
  </si>
  <si>
    <t>SK Gas 15-16 May USG</t>
  </si>
  <si>
    <t>BW Sirocco</t>
  </si>
  <si>
    <t>ETA 1st port Yeosu 11 May</t>
  </si>
  <si>
    <t>1H June (2/2) ex-Ned, take back 4/0 (non targa)</t>
  </si>
  <si>
    <t>PC FOB -&gt; STL 04-05 Apr Nederland</t>
  </si>
  <si>
    <t>ETA 1st port Chiba 27 Apr</t>
  </si>
  <si>
    <t>Exxon 24-25 Mar Nederland</t>
  </si>
  <si>
    <t>ETA USG 20 May via Cape</t>
  </si>
  <si>
    <t>ATC 22-23 May USG</t>
  </si>
  <si>
    <t>Shell</t>
  </si>
  <si>
    <t>ETA 1st port Ulsan 04 May</t>
  </si>
  <si>
    <t>ATC 29-30 Mar Nederland</t>
  </si>
  <si>
    <t>@ Dongguan 11 Apr</t>
  </si>
  <si>
    <t>Petredec 27-28 May USG</t>
  </si>
  <si>
    <t>ETA Nederland 03 May via Cape</t>
  </si>
  <si>
    <t>ET 06-07 May Nederland</t>
  </si>
  <si>
    <t>ETA North China 29 Apr</t>
  </si>
  <si>
    <t>Shell 14-15 Apr Prelude</t>
  </si>
  <si>
    <t>SHV</t>
  </si>
  <si>
    <t>ETA Freeport 30 Apr via Cape</t>
  </si>
  <si>
    <t>Pertamina 29-30 Apr Freeport</t>
  </si>
  <si>
    <t>Malaysia laden</t>
  </si>
  <si>
    <t>@ Tentative ETD 22 Apr Port Klang, Proxy USG 27-29 May</t>
  </si>
  <si>
    <t>OQ 30-31 Mar Salalah</t>
  </si>
  <si>
    <t>BW Kyoto</t>
  </si>
  <si>
    <t>SK Gas</t>
  </si>
  <si>
    <t>ETA Balboa 14 May</t>
  </si>
  <si>
    <t>SK Gas 18 Feb Enterprise</t>
  </si>
  <si>
    <t>ETA Singapore 26 Apr, pending disport</t>
  </si>
  <si>
    <t>Exxon 12-13 Mar Targa</t>
  </si>
  <si>
    <t>ETA 1st port Ulsan 25 Apr</t>
  </si>
  <si>
    <t>SK Gas 17 Mar Enterprise</t>
  </si>
  <si>
    <t>ETA Balboa 26 Apr</t>
  </si>
  <si>
    <t>SK Gas 13 Feb Enterprise</t>
  </si>
  <si>
    <t>SK Gas 20-21 Apr USG</t>
  </si>
  <si>
    <t>ETA Ulsan 21 May</t>
  </si>
  <si>
    <t>SK Gas 06-07 Apr Enterprise</t>
  </si>
  <si>
    <t>ETA 1st port Pyeongtaek 03 May</t>
  </si>
  <si>
    <t>SK Gas 29 Mar Enterprise</t>
  </si>
  <si>
    <t>ETA Singapore 27 Apr, pending disport</t>
  </si>
  <si>
    <t>BASF 07-08 Mar Freeport - FC C4</t>
  </si>
  <si>
    <t>Sinochem Intl</t>
  </si>
  <si>
    <t>Kpler WRONG</t>
  </si>
  <si>
    <t>Gyxis 23-24 Mar Freeport</t>
  </si>
  <si>
    <t>HC</t>
  </si>
  <si>
    <t>Sonangol</t>
  </si>
  <si>
    <t>WAF</t>
  </si>
  <si>
    <t>Floater ex WAF / Luanda</t>
  </si>
  <si>
    <t>Sonangol Soyo+Sanha 26 Mar</t>
  </si>
  <si>
    <t>Sonatrach</t>
  </si>
  <si>
    <t>ETA Merak 14 May</t>
  </si>
  <si>
    <t>Sonatrach 07 Apr Bethioua</t>
  </si>
  <si>
    <t>ETA Arun 30 Apr</t>
  </si>
  <si>
    <t>Sonatrach 23 Mar Bethioua</t>
  </si>
  <si>
    <t>SwissChemGas</t>
  </si>
  <si>
    <t>ETA Chiba 10 May</t>
  </si>
  <si>
    <t>Gunvor 06-07 Apr Targa</t>
  </si>
  <si>
    <t>ETA Singapore 20 Apr</t>
  </si>
  <si>
    <t xml:space="preserve">Swiss to BWPS 16-17 to Marathon </t>
  </si>
  <si>
    <t>Marathon 25-26 Feb Freeport</t>
  </si>
  <si>
    <t>ETA Balboa 28 Apr / SWAP - give back 05-06 May</t>
  </si>
  <si>
    <t>BWPS 04-05 May USG</t>
  </si>
  <si>
    <t>ETA 18 May as proxy</t>
  </si>
  <si>
    <t>SwissChemGas 11-12 Apr Nederland</t>
  </si>
  <si>
    <t>Ex Eu</t>
  </si>
  <si>
    <t>SwissChemGas 26-27 Mar USG</t>
  </si>
  <si>
    <t>IOC</t>
  </si>
  <si>
    <t>SwissChemGas&gt;ATL</t>
  </si>
  <si>
    <t>loads AG</t>
  </si>
  <si>
    <t>Ex Trincomalee 12 Apr</t>
  </si>
  <si>
    <t>ATC 19 Mar Yanbu</t>
  </si>
  <si>
    <t>ETA 1st port Liaoning 05 May</t>
  </si>
  <si>
    <t>SwissChemGas 02 Apr Enterprise</t>
  </si>
  <si>
    <t>ETA Port Klang 19 Apr</t>
  </si>
  <si>
    <t>SwissChemGas 07 Mar Enterprise</t>
  </si>
  <si>
    <t>Mexico</t>
  </si>
  <si>
    <t>@ Pajaritos 11 Apr</t>
  </si>
  <si>
    <t>SwissChemGas 05 Apr Targa</t>
  </si>
  <si>
    <t>Tomza</t>
  </si>
  <si>
    <t>@ Pajaritos 15 Apr</t>
  </si>
  <si>
    <t>Tomza 23 Mar Targa</t>
  </si>
  <si>
    <t>Albert II</t>
  </si>
  <si>
    <t>@ Omoa 12 Apr</t>
  </si>
  <si>
    <t>Tomza 06 Apr Enterprise</t>
  </si>
  <si>
    <t>Albert III</t>
  </si>
  <si>
    <t>@ Tuxpan 12 Apr</t>
  </si>
  <si>
    <t>Tomza 20 Mar Enterprise</t>
  </si>
  <si>
    <t>BW Leo</t>
  </si>
  <si>
    <t>Total</t>
  </si>
  <si>
    <t>@ Port Arthur lighterage 12 Apr via Cape</t>
  </si>
  <si>
    <t>Total 12-13 Apr Nederland</t>
  </si>
  <si>
    <t>BW Polaris</t>
  </si>
  <si>
    <t>ETA Mangalore 21 Apr</t>
  </si>
  <si>
    <t>Total 14 Mar Freeport</t>
  </si>
  <si>
    <t>ETA Cristobal 13 Apr, heading Far East</t>
  </si>
  <si>
    <t>Total 06-07 Apr Freeport</t>
  </si>
  <si>
    <t>ETA Jiangyin 15 Apr</t>
  </si>
  <si>
    <t>Total 11 Mar Nederland</t>
  </si>
  <si>
    <t>ETA Nederland 10 May via Cape</t>
  </si>
  <si>
    <t>Total 10-11 May Nederland</t>
  </si>
  <si>
    <t xml:space="preserve">ETA Nederland 20 Apr via Cape </t>
  </si>
  <si>
    <t>Total 18-19 Apr Nederland</t>
  </si>
  <si>
    <t>ETA Terneuzen 17 Apr</t>
  </si>
  <si>
    <t>Total 31 Mar Nederland</t>
  </si>
  <si>
    <t>Trafigura</t>
  </si>
  <si>
    <t xml:space="preserve">ETA Chiba 26 Apr (no firm order yet) </t>
  </si>
  <si>
    <t>BWPS 19-20 Mar Enterprise</t>
  </si>
  <si>
    <t>Trafigura 23-24 Apr USG</t>
  </si>
  <si>
    <t>ETA Ennore 15 May</t>
  </si>
  <si>
    <t>BWPS 06-07 Apr USG</t>
  </si>
  <si>
    <t>Gunvor 15-16 May USG</t>
  </si>
  <si>
    <t>ETA Balboa 3 May</t>
  </si>
  <si>
    <t>Trafi 24-25 Jan USG</t>
  </si>
  <si>
    <t>ETA USG via Cape 30 Apr</t>
  </si>
  <si>
    <t>Petredec 02-03 May USG</t>
  </si>
  <si>
    <t>Petredec 14-15 May USG (2/2)</t>
  </si>
  <si>
    <t>ETA 1st port Ningbo 24 Apr</t>
  </si>
  <si>
    <t>Trafigura 22 Mar Enterprise</t>
  </si>
  <si>
    <t>Caribs</t>
  </si>
  <si>
    <t>ETA Ennore 21 may</t>
  </si>
  <si>
    <t>Trafigura 12-13 Apr USG</t>
  </si>
  <si>
    <t>ETA Mangalore 20 Apr</t>
  </si>
  <si>
    <t>P66 07-08 Mar Enterprise</t>
  </si>
  <si>
    <t>ETA Port Louis 09 May</t>
  </si>
  <si>
    <t>Trafigura 09-10 Apr Enterprise</t>
  </si>
  <si>
    <t>ETA 1st port Chiba 29 Apr</t>
  </si>
  <si>
    <t>Trafigura 27 Mar Enterprise</t>
  </si>
  <si>
    <t>Monteverde</t>
  </si>
  <si>
    <t>@ Corpus Christi 06 Apr, pending disport</t>
  </si>
  <si>
    <t>Trafigura 06-07 Apr Corpus Christi</t>
  </si>
  <si>
    <t>Trafigura 15-16 Apr USG</t>
  </si>
  <si>
    <t>ETA Mangalore 05 May</t>
  </si>
  <si>
    <t>Trafigura 29 Mar Enterprise</t>
  </si>
  <si>
    <t>ETA Cristobal 10 Apr, pending disport</t>
  </si>
  <si>
    <t>ATC 30-31 Mar Nederland</t>
  </si>
  <si>
    <t>Trafigura?</t>
  </si>
  <si>
    <t>ETA USG 12 Apr via Panama</t>
  </si>
  <si>
    <t>Trafigura 13-14 Apr USG</t>
  </si>
  <si>
    <t>Petrochina 11-12 May USG</t>
  </si>
  <si>
    <t>ETA Singapore 30 Apr</t>
  </si>
  <si>
    <t>Vitol 01-03 Apr Bonny</t>
  </si>
  <si>
    <t>Vitol</t>
  </si>
  <si>
    <t>USG</t>
  </si>
  <si>
    <t>ML: Newbuild / floating outside - Iran owner. Blacklisted by US.</t>
  </si>
  <si>
    <t>ETA Mohammedia 22 Apr</t>
  </si>
  <si>
    <t>Vitol 05 Apr Enterprise</t>
  </si>
  <si>
    <t>ETA USG 30 Apr</t>
  </si>
  <si>
    <t>Vitol 30-01 May USG</t>
  </si>
  <si>
    <t>ETA 1st port Zhanjiang 13 May via Cape</t>
  </si>
  <si>
    <t>Vitol 31 Mar Targa</t>
  </si>
  <si>
    <t>Vitol 22-23 Apr Nederland</t>
  </si>
  <si>
    <t>ETA Merak 20 May</t>
  </si>
  <si>
    <t>Vitol 07-08 Apr Nederland</t>
  </si>
  <si>
    <t>Wanhua</t>
  </si>
  <si>
    <t>Discharge STS in Suez (ML) / Loading at Yanbu / ATC TC?</t>
  </si>
  <si>
    <t>ATC 13 Apr Yanbu</t>
  </si>
  <si>
    <t>@ Dubai Anchorage 28 Feb laden</t>
  </si>
  <si>
    <t>Wanhua 18 Feb Yanbu</t>
  </si>
  <si>
    <t>ATC 90 day TC, @ Ras Laffan anchorage 01 Apr</t>
  </si>
  <si>
    <t>ATC 20-21 Feb Ras Tanura</t>
  </si>
  <si>
    <t>ETA Ennore 20 Apr</t>
  </si>
  <si>
    <t>Wanhua 06-07 Apr Yanbu</t>
  </si>
  <si>
    <t>ETA Yantai 19 May</t>
  </si>
  <si>
    <t>Wanhua 02-03 Apr Bethioua</t>
  </si>
  <si>
    <t>ETA Arzew 26 Apr</t>
  </si>
  <si>
    <t>Wanhua 26-27 Apr Bethioua</t>
  </si>
  <si>
    <t>@ Nederland 19 Apr, still loading</t>
  </si>
  <si>
    <t>Wanhua 19-20 Apr Nederland</t>
  </si>
  <si>
    <t>DF, Have Deck Tank</t>
  </si>
  <si>
    <t>ETA 1st port Yantai 12 May</t>
  </si>
  <si>
    <t>Wanhua 01-02 Apr Nederland</t>
  </si>
  <si>
    <t>ETA Balboa 04 May / proxy for USG</t>
  </si>
  <si>
    <t>load end May USG</t>
  </si>
  <si>
    <t>Wanhua 20-21 Feb Nederland</t>
  </si>
  <si>
    <t>ETA 1st port Yantai 20 Apr</t>
  </si>
  <si>
    <t>Wanhua 06 Mar Bethioua</t>
  </si>
  <si>
    <t>Arabian Sea 02 Apr, WCI as proxy, gave vsl to ADNOC (Charterer)</t>
  </si>
  <si>
    <t>Wanhua 09 Feb Bethioua</t>
  </si>
  <si>
    <t>C4</t>
  </si>
  <si>
    <t>@ Nederland 18 Apr, waiting to berth</t>
  </si>
  <si>
    <t>Satellite 20-21 Apr Nederland</t>
  </si>
  <si>
    <t>Wellbred</t>
  </si>
  <si>
    <t>drifting Arabian Sea 11 Mar</t>
  </si>
  <si>
    <t>Flaked by charterer to load Iraq</t>
  </si>
  <si>
    <t>"PURE" SHIPOWNERS</t>
  </si>
  <si>
    <t>Sinogas</t>
  </si>
  <si>
    <t>ATC 04-05 May Yanbu</t>
  </si>
  <si>
    <t>ETA Vung Tau 20 May</t>
  </si>
  <si>
    <t>BP 07-08 Apr Nederland</t>
  </si>
  <si>
    <t>ETA USG 20 Apr</t>
  </si>
  <si>
    <t>Gunvor 12-13 Apr USG</t>
  </si>
  <si>
    <t>DF; Deck Tank</t>
  </si>
  <si>
    <t>O</t>
  </si>
  <si>
    <t>ETA Ennore Port 29 Apr, ETA USG 10-12 Jun via Cape</t>
  </si>
  <si>
    <t>Total 18-19 Mar Nederland</t>
  </si>
  <si>
    <t>ETA Vung Tau 16 May</t>
  </si>
  <si>
    <t>BWPS 01-02 Apr Enterprise</t>
  </si>
  <si>
    <t>Pacific Gas</t>
  </si>
  <si>
    <t>Philippines</t>
  </si>
  <si>
    <t>O?</t>
  </si>
  <si>
    <t>@ Batangas 18 Apr, 4 ports Phils discharge</t>
  </si>
  <si>
    <t>ATC 28 Mar Yanbu</t>
  </si>
  <si>
    <t>BW</t>
  </si>
  <si>
    <t>ETA Port Elizabeth 23 Apr</t>
  </si>
  <si>
    <t>Wanhua 26-27 May USG</t>
  </si>
  <si>
    <t>BW Avior</t>
  </si>
  <si>
    <t>ETA 3rd port Kashima 20 Apr</t>
  </si>
  <si>
    <t>P66 24-25 May USG</t>
  </si>
  <si>
    <t>BW Balder</t>
  </si>
  <si>
    <t>ex DD, ETA Balboa 23 Apr</t>
  </si>
  <si>
    <t>BASF 29-30 Apr USG</t>
  </si>
  <si>
    <t>ML</t>
  </si>
  <si>
    <t>BW Brage</t>
  </si>
  <si>
    <t>@ Zhoushan 17 Apr, DD</t>
  </si>
  <si>
    <t>BASF COA 03-04 Mar Freeport</t>
  </si>
  <si>
    <t>BW Breeze</t>
  </si>
  <si>
    <t>ETA Kalbur 27 Apr</t>
  </si>
  <si>
    <t>BGN 14-15 Mar Nederland</t>
  </si>
  <si>
    <t>BW Capella</t>
  </si>
  <si>
    <t>ETA Ferndale 06 May</t>
  </si>
  <si>
    <t>Altagas COA 06-07 May Ferndale</t>
  </si>
  <si>
    <t>BW Elm</t>
  </si>
  <si>
    <t>@ Haldia 18 April / ETA USG 29-31 May</t>
  </si>
  <si>
    <t>HPCL 02 Mar Ras Laffan</t>
  </si>
  <si>
    <t>BW Frigg</t>
  </si>
  <si>
    <t>ETA Mohamedia 28 Apr</t>
  </si>
  <si>
    <t>BGN 26-27 May USG</t>
  </si>
  <si>
    <t>Total 16-17 Apr MH</t>
  </si>
  <si>
    <t>BW Levant</t>
  </si>
  <si>
    <t>ETA Balboa 02 May</t>
  </si>
  <si>
    <t>COA? 10-11 May USG?</t>
  </si>
  <si>
    <t>BW Libra</t>
  </si>
  <si>
    <t>ETA Lianyungang 27 Apr</t>
  </si>
  <si>
    <t>Altagas 09-10 Apr RIPET</t>
  </si>
  <si>
    <t>BW Loyalty</t>
  </si>
  <si>
    <t>HPCL</t>
  </si>
  <si>
    <t>drifting near Sharjah 19 Apr</t>
  </si>
  <si>
    <t>QE short TC 01 Apr onwards</t>
  </si>
  <si>
    <t>BW Magellan</t>
  </si>
  <si>
    <t>ETA Ennore 24 Apr</t>
  </si>
  <si>
    <t>BGN 21-22 Mar Freeport</t>
  </si>
  <si>
    <t>BW Mistral</t>
  </si>
  <si>
    <t>Thailand</t>
  </si>
  <si>
    <t>ETA Sri Racha 10 May</t>
  </si>
  <si>
    <t>Marathon 27-28 Mar Freeport</t>
  </si>
  <si>
    <t>BW Monsoon</t>
  </si>
  <si>
    <t>BW&gt;Geogas</t>
  </si>
  <si>
    <t>ETA Zanzibar 26 Apr</t>
  </si>
  <si>
    <t>Geogas 25-26 Mar Enterprise</t>
  </si>
  <si>
    <t>BW Njord</t>
  </si>
  <si>
    <t>@ Galveston 19 Apr</t>
  </si>
  <si>
    <t>Geogas 20-21 Apr USG</t>
  </si>
  <si>
    <t>BW Orion</t>
  </si>
  <si>
    <r>
      <rPr>
        <sz val="11"/>
        <color rgb="FF000000"/>
        <rFont val="Calibri"/>
      </rPr>
      <t xml:space="preserve">ETA Kalbut 01 May, </t>
    </r>
    <r>
      <rPr>
        <b/>
        <sz val="11"/>
        <color rgb="FF9900FF"/>
        <rFont val="Calibri"/>
      </rPr>
      <t>Darwin candidate?</t>
    </r>
  </si>
  <si>
    <t>BGN 20-21 Mar Enterprise</t>
  </si>
  <si>
    <t>BW Passat</t>
  </si>
  <si>
    <r>
      <rPr>
        <sz val="11"/>
        <color rgb="FF000000"/>
        <rFont val="Calibri"/>
      </rPr>
      <t>ETA Port Louis 22 Apr,</t>
    </r>
    <r>
      <rPr>
        <b/>
        <sz val="11"/>
        <color rgb="FF000000"/>
        <rFont val="Calibri"/>
      </rPr>
      <t xml:space="preserve"> </t>
    </r>
    <r>
      <rPr>
        <b/>
        <sz val="11"/>
        <color rgb="FFFF0000"/>
        <rFont val="Calibri"/>
      </rPr>
      <t>programmed</t>
    </r>
  </si>
  <si>
    <t>COA? 19-20 May USG</t>
  </si>
  <si>
    <t>BW Pampero</t>
  </si>
  <si>
    <t>NO AIS</t>
  </si>
  <si>
    <t>@ Galveston 19 Apr, waiting to berth</t>
  </si>
  <si>
    <t>COA? 21-22 Apr Freeport</t>
  </si>
  <si>
    <t>No AIS</t>
  </si>
  <si>
    <t>BW Pine</t>
  </si>
  <si>
    <t>ex DD, Redel from IOC - will trade spot after DD</t>
  </si>
  <si>
    <t>IOC 08 Feb Ruwais</t>
  </si>
  <si>
    <t>BW Rigel</t>
  </si>
  <si>
    <t>ETA USG 04 May via Cape / SWAP - give back 05-06 May</t>
  </si>
  <si>
    <t>BW Var</t>
  </si>
  <si>
    <t>ex DD, ETA Balboa 25 Apr</t>
  </si>
  <si>
    <t>BGN 06-07 May USG</t>
  </si>
  <si>
    <t>BW Volans</t>
  </si>
  <si>
    <t>ATC &gt; BW?</t>
  </si>
  <si>
    <t>ETA Ferndale 28 Apr</t>
  </si>
  <si>
    <t>Altagas 29-30 Apr</t>
  </si>
  <si>
    <r>
      <rPr>
        <sz val="11"/>
        <color rgb="FF000000"/>
        <rFont val="Calibri"/>
      </rPr>
      <t xml:space="preserve">ETA Balboa 11 May, </t>
    </r>
    <r>
      <rPr>
        <b/>
        <sz val="11"/>
        <color rgb="FFFF0000"/>
        <rFont val="Calibri"/>
      </rPr>
      <t>programmed</t>
    </r>
  </si>
  <si>
    <t>Altagas 27-28 Mar RIPET</t>
  </si>
  <si>
    <t>BW-Sinogas pool</t>
  </si>
  <si>
    <t>ETA Nederland 14 May via Cape</t>
  </si>
  <si>
    <t>SHV 16-17 May Nederland</t>
  </si>
  <si>
    <t>Sinogas&gt;BASF</t>
  </si>
  <si>
    <t>ETA Guangzhou 25 Apr</t>
  </si>
  <si>
    <t>Altagas 19 Mar Ferndale</t>
  </si>
  <si>
    <t>@ Houston anchorage 14 Apr, waiting to berth</t>
  </si>
  <si>
    <t>ATC 16-17 Apr USG</t>
  </si>
  <si>
    <t>ETA Singapore 20 May</t>
  </si>
  <si>
    <t>Vitol 11-12 Apr Enterprise</t>
  </si>
  <si>
    <t>Helios</t>
  </si>
  <si>
    <t>ETA USG 17 May via Cape</t>
  </si>
  <si>
    <t>@ Balboa 19 Apr</t>
  </si>
  <si>
    <t>Petredec 25-26 Apr USG</t>
  </si>
  <si>
    <t>BW Tokyo</t>
  </si>
  <si>
    <t>ETA Korea 27 Apr</t>
  </si>
  <si>
    <t>Altagas 01-02 Apr Ferndale</t>
  </si>
  <si>
    <t>Captain John NP</t>
  </si>
  <si>
    <t>ETA USG 29 Apr via Cape</t>
  </si>
  <si>
    <t>BGN Ely May USG</t>
  </si>
  <si>
    <t>@ Houston Anchorage 19 Apr</t>
  </si>
  <si>
    <t>MB Energy 23-24 Apr USG</t>
  </si>
  <si>
    <t>@ 1st port Ulsan 19 Apr</t>
  </si>
  <si>
    <t>Axpo 27-28 May USG</t>
  </si>
  <si>
    <t>Helios &gt; Petrobras</t>
  </si>
  <si>
    <t>Suape</t>
  </si>
  <si>
    <t>@ Suape since 06 Mar</t>
  </si>
  <si>
    <t>ATC 09 Nov Nederland</t>
  </si>
  <si>
    <t>ETA Cristobal 20 Apr</t>
  </si>
  <si>
    <t>Axpo 28-29 Apr Freeport</t>
  </si>
  <si>
    <t>BP 09-10 May MH</t>
  </si>
  <si>
    <t>Helios &gt; Sold to HK company</t>
  </si>
  <si>
    <t>ETA 1st port Daesan 25 Apr</t>
  </si>
  <si>
    <t>? 23 Mar Nederland</t>
  </si>
  <si>
    <t>ETA Ternuezen 16 Apr</t>
  </si>
  <si>
    <t>COA 27-28 Mar Enterprise</t>
  </si>
  <si>
    <t>ETA 1st port Sendai 22 Apr</t>
  </si>
  <si>
    <t>Axpo 30-31 May USG</t>
  </si>
  <si>
    <t>Equinor 18-19 Mar Enterprise</t>
  </si>
  <si>
    <t>@ Freeport 17 Apr, still loading</t>
  </si>
  <si>
    <t>P66 18-19 Apr Freeport</t>
  </si>
  <si>
    <t>ETA Nederland 23 Apr</t>
  </si>
  <si>
    <t>Total 28-29 Apr Nederland</t>
  </si>
  <si>
    <t>ETa Balboa 28 Apr</t>
  </si>
  <si>
    <t>PetroChina 20-21 May USG</t>
  </si>
  <si>
    <t>ETA Ningbo 18 Apr via Cape</t>
  </si>
  <si>
    <t>ATC 05-06 Apr Enterprise</t>
  </si>
  <si>
    <t>ETA Balboa 08 May</t>
  </si>
  <si>
    <t>Unipec 23-24 Feb Enterprise</t>
  </si>
  <si>
    <t>ETA Balboa 20 Apr</t>
  </si>
  <si>
    <t>BP 28-29 Apr USG</t>
  </si>
  <si>
    <t>ETA Balboa 24 Apr, USG 04-05 May</t>
  </si>
  <si>
    <t>Gyxis 21-22 Feb Enterprise</t>
  </si>
  <si>
    <t>ETA USG 19 May, passing Port Louis</t>
  </si>
  <si>
    <t>E1 18-19 May USG</t>
  </si>
  <si>
    <t>ETA RIPET 01 May</t>
  </si>
  <si>
    <t>Altagas 01-02 May RIPET</t>
  </si>
  <si>
    <t>ETA 1st port Sakai 26 Apr</t>
  </si>
  <si>
    <t>Equinor 28-29 May USG</t>
  </si>
  <si>
    <t>HLS Citrine</t>
  </si>
  <si>
    <t>ETA Richards Bay 11 May</t>
  </si>
  <si>
    <t>Petredec 07-08 Apr Targa</t>
  </si>
  <si>
    <t>HLS Diamond</t>
  </si>
  <si>
    <t>ETA Ningbo 30 Apr</t>
  </si>
  <si>
    <t>Equinor? 24-25 Mar Targa</t>
  </si>
  <si>
    <t>BASF 15-16 May USG</t>
  </si>
  <si>
    <t>Neptune</t>
  </si>
  <si>
    <t>Abalone 26-27 Apr USG</t>
  </si>
  <si>
    <t>Geogas 26-27 May USG</t>
  </si>
  <si>
    <t>drifting off Sohar since 07 Mar</t>
  </si>
  <si>
    <t>COA 06-07 Mar AG</t>
  </si>
  <si>
    <t>drifting off Fujairah 19 Apr</t>
  </si>
  <si>
    <t>KPC 21-22 Feb MAA</t>
  </si>
  <si>
    <t>ETA Yanbu 24 Apr</t>
  </si>
  <si>
    <t>ATC 01-02 Mar Yanbu</t>
  </si>
  <si>
    <t>2007</t>
  </si>
  <si>
    <t>drifting off Sohar since 11 Apr</t>
  </si>
  <si>
    <t>BGN 09-10 Feb Ras Laffan</t>
  </si>
  <si>
    <t>ON HOLD FOR KPC, drifting off Sohar since 10 Apr</t>
  </si>
  <si>
    <t>E1 02-03 Feb MAA</t>
  </si>
  <si>
    <t>ETA Tg Sekong 19 May</t>
  </si>
  <si>
    <t>Pertamina 08-09 Apr Freeport</t>
  </si>
  <si>
    <t>Levgas 03-04 May USG</t>
  </si>
  <si>
    <t>EGPC</t>
  </si>
  <si>
    <t>Floater ex Egypt from 06 Jan 26</t>
  </si>
  <si>
    <t>BGN &gt; ???</t>
  </si>
  <si>
    <t>@ Khalid Port 17 Apr</t>
  </si>
  <si>
    <t>Great Eastern (GESCO)</t>
  </si>
  <si>
    <t>drifting off Mumbai 16 Apr / ETA 01-02 Jun USG</t>
  </si>
  <si>
    <t>IOC 27-28 Feb MAA</t>
  </si>
  <si>
    <t>Phecda Leading Shipping Limited</t>
  </si>
  <si>
    <t>ex DD,  ETA USG 25 May via Cape</t>
  </si>
  <si>
    <t>SwissChemGas End May USG</t>
  </si>
  <si>
    <t>European Navigation Group</t>
  </si>
  <si>
    <t>ex DD, @ Houston anchorage 11 Apr, waiting to berth</t>
  </si>
  <si>
    <t>BGN 07-08 Apr Targa</t>
  </si>
  <si>
    <t>NV Trans</t>
  </si>
  <si>
    <t>Drifting off Abu Dhabi 18 Apr</t>
  </si>
  <si>
    <t>AGT 21 Apr Ruwais</t>
  </si>
  <si>
    <t>NV Aquamarine</t>
  </si>
  <si>
    <t>Left SoH, ETA Indo 2 May</t>
  </si>
  <si>
    <t>JGE</t>
  </si>
  <si>
    <t>ETA USG 11 May via Cape</t>
  </si>
  <si>
    <t>ATC 10-11 Feb Targa</t>
  </si>
  <si>
    <t>"Chinese"</t>
  </si>
  <si>
    <t>Rarely relet</t>
  </si>
  <si>
    <t>Programmed</t>
  </si>
  <si>
    <t>Prime candidates</t>
  </si>
  <si>
    <t>NB waiting days</t>
  </si>
  <si>
    <t>* Vessels that miss laycan are not in this list</t>
  </si>
  <si>
    <t>* Vessels undergoing TC ownership changes</t>
  </si>
  <si>
    <t>SSS</t>
  </si>
  <si>
    <t>Panamax</t>
  </si>
  <si>
    <t>Pure owner</t>
  </si>
  <si>
    <t>R = Relet; O = Open</t>
  </si>
  <si>
    <t>GOA</t>
  </si>
  <si>
    <t>* Vessels that might not have lifted full subs yet</t>
  </si>
  <si>
    <t>PMAX</t>
  </si>
  <si>
    <t>Open</t>
  </si>
  <si>
    <t>Owner</t>
  </si>
  <si>
    <t>Eu O</t>
  </si>
  <si>
    <t>AG O</t>
  </si>
  <si>
    <t>Yanbu</t>
  </si>
  <si>
    <t>Bonny</t>
  </si>
  <si>
    <t>S'pore</t>
  </si>
  <si>
    <t>Dampier</t>
  </si>
  <si>
    <t>Darwin</t>
  </si>
  <si>
    <t>P. Rupert</t>
  </si>
  <si>
    <t>Comments</t>
  </si>
  <si>
    <t>Notes:</t>
  </si>
  <si>
    <t>Current Voyage</t>
  </si>
  <si>
    <t>Next loading</t>
  </si>
  <si>
    <t>WAF (Bonny)</t>
  </si>
  <si>
    <t>P.Rupert</t>
  </si>
  <si>
    <t>(Trader Vessel / will not relet)</t>
  </si>
  <si>
    <t>E1 27-28 Dec Nederland</t>
  </si>
  <si>
    <t>Solvang's newbuilds</t>
  </si>
  <si>
    <t>TP Perseverance</t>
  </si>
  <si>
    <t>Neu Gas</t>
  </si>
  <si>
    <t>ex DD</t>
  </si>
  <si>
    <t>We are working Total early Jul ex Darwin</t>
  </si>
  <si>
    <t>Assume Pacific Hong Kong will be used for Prelude?</t>
  </si>
  <si>
    <t>Sub disports</t>
  </si>
  <si>
    <t>Ethane DIamon - VLEC</t>
  </si>
  <si>
    <t>In 1) but not in 2)</t>
  </si>
  <si>
    <t>In "India, Iran, FS"</t>
  </si>
  <si>
    <t>cbm, Ethane?</t>
  </si>
  <si>
    <t>Swisschem</t>
  </si>
  <si>
    <t>Solvang</t>
  </si>
  <si>
    <t>BGN 22-23 Jan USG  (delay)</t>
  </si>
  <si>
    <t>Going in for Pertamina End Apr USG</t>
  </si>
  <si>
    <t>Ethane Coral - VLEC</t>
  </si>
  <si>
    <t>Firm relet</t>
  </si>
  <si>
    <t>Sea Hermes</t>
  </si>
  <si>
    <t>Yanbu Shuttles</t>
  </si>
  <si>
    <t>Petredec Ely May USG (programmed)</t>
  </si>
  <si>
    <t>Candidates</t>
  </si>
  <si>
    <t>Tentative relet /  intention own program</t>
  </si>
  <si>
    <t>Potential candidates</t>
  </si>
  <si>
    <t>Trader (internal) ship</t>
  </si>
  <si>
    <t xml:space="preserve">Back with Head Owner Cassa Mega Lautan PT </t>
  </si>
  <si>
    <t>BP 08-09 May USG OOS</t>
  </si>
  <si>
    <t>Firm Position</t>
  </si>
  <si>
    <t>Petrochina 20-21 May USG</t>
  </si>
  <si>
    <t>New build ex Yard</t>
  </si>
  <si>
    <t>Astra - Iran ship changed name</t>
  </si>
  <si>
    <t>Petrogas</t>
  </si>
  <si>
    <t xml:space="preserve">Delivers to Petrobras </t>
  </si>
  <si>
    <t>Eneos 12 Mar Nederland</t>
  </si>
  <si>
    <t>AXPO 27-28 May USG</t>
  </si>
  <si>
    <t>Ethane Jade - VLEC</t>
  </si>
  <si>
    <t>Tentative relet / sub programme</t>
  </si>
  <si>
    <t>BGN 07-08 Feb AG</t>
  </si>
  <si>
    <t>SwissChem End May USG</t>
  </si>
  <si>
    <r>
      <rPr>
        <b/>
        <sz val="10"/>
        <color rgb="FF000000"/>
        <rFont val="Calibri"/>
      </rPr>
      <t>Firm Relet</t>
    </r>
    <r>
      <rPr>
        <sz val="10"/>
        <color rgb="FF000000"/>
        <rFont val="Calibri"/>
      </rPr>
      <t xml:space="preserve"> / </t>
    </r>
    <r>
      <rPr>
        <sz val="10"/>
        <color rgb="FFFF0000"/>
        <rFont val="Calibri"/>
      </rPr>
      <t>ex DD</t>
    </r>
  </si>
  <si>
    <t>AXPO 30-31 May USG</t>
  </si>
  <si>
    <t>Firm Relet</t>
  </si>
  <si>
    <t>Hi Tore, can i check with you BW Capella, would she be open out of Eu soon?</t>
  </si>
  <si>
    <t>Can you consider Navigare Gaia for Darwin?</t>
  </si>
  <si>
    <t>Not available</t>
  </si>
  <si>
    <t>Programmed 1H June</t>
  </si>
  <si>
    <t>Danisa - Iran Ship</t>
  </si>
  <si>
    <t>Tentative relet</t>
  </si>
  <si>
    <t>Tentative Relet</t>
  </si>
  <si>
    <t>NS Frontier</t>
  </si>
  <si>
    <t>Gas Jupiter as well?</t>
  </si>
  <si>
    <t>R = Confirmed Relet</t>
  </si>
  <si>
    <t>what is the missing vsl?</t>
  </si>
  <si>
    <t>Hua Xu (Iran)</t>
  </si>
  <si>
    <t>Not in VLGC list</t>
  </si>
  <si>
    <t>Duplicates</t>
  </si>
  <si>
    <t>Maersk Code</t>
  </si>
  <si>
    <t>Pure Owner</t>
  </si>
  <si>
    <t>Grey highlight owner</t>
  </si>
  <si>
    <t>1) Tally check for Sorter</t>
  </si>
  <si>
    <t>2) Tally check for AIS</t>
  </si>
  <si>
    <t>Key:</t>
  </si>
  <si>
    <t>Wirana</t>
  </si>
  <si>
    <t>Can use Maersk Code</t>
  </si>
  <si>
    <t>Atlantic voyager - NB</t>
  </si>
  <si>
    <t>latsco</t>
  </si>
  <si>
    <t>DD at Batam</t>
  </si>
  <si>
    <t>Pure owners</t>
  </si>
  <si>
    <t>Apollo Ocean Iran ship</t>
  </si>
  <si>
    <t>Transpetrol</t>
  </si>
  <si>
    <t>Programmed for BPCL</t>
  </si>
  <si>
    <t>Avance</t>
  </si>
  <si>
    <t>WAF Floating strorage</t>
  </si>
  <si>
    <t>Held back for KPC COA</t>
  </si>
  <si>
    <t>OE 27 Feb AG</t>
  </si>
  <si>
    <t>"loads AG" = fixed/programmed for AG</t>
  </si>
  <si>
    <t>Aira - Iran ship changed name</t>
  </si>
  <si>
    <t>Lecotra</t>
  </si>
  <si>
    <t>Gas Al Kuwait ii</t>
  </si>
  <si>
    <t>O = Confirmed Open</t>
  </si>
  <si>
    <t>Missing:</t>
  </si>
  <si>
    <t>IOC 07-08 Feb AG</t>
  </si>
  <si>
    <t>Atlantic voyager - Iran ship changed name</t>
  </si>
  <si>
    <t>Nakilat</t>
  </si>
  <si>
    <t>Repsol</t>
  </si>
  <si>
    <r>
      <rPr>
        <b/>
        <sz val="10"/>
        <color rgb="FF000000"/>
        <rFont val="Calibri"/>
      </rPr>
      <t>Firm Position</t>
    </r>
    <r>
      <rPr>
        <sz val="10"/>
        <color rgb="FF000000"/>
        <rFont val="Calibri"/>
      </rPr>
      <t xml:space="preserve"> / </t>
    </r>
    <r>
      <rPr>
        <sz val="10"/>
        <color rgb="FFFF0000"/>
        <rFont val="Calibri"/>
      </rPr>
      <t>ex DD</t>
    </r>
  </si>
  <si>
    <t>Relet</t>
  </si>
  <si>
    <t>Chinese owned and/or operated</t>
  </si>
  <si>
    <t>R = Relet</t>
  </si>
  <si>
    <t>O = Open</t>
  </si>
  <si>
    <t>F</t>
  </si>
  <si>
    <t>More ports</t>
  </si>
  <si>
    <t>Users</t>
  </si>
  <si>
    <t>loads Karsto</t>
  </si>
  <si>
    <t xml:space="preserve">Ridley Island </t>
  </si>
  <si>
    <t>Use P.Rupert</t>
  </si>
  <si>
    <t>USG REGION</t>
  </si>
  <si>
    <t>loads Bethouia</t>
  </si>
  <si>
    <t>loads Kaarstoe</t>
  </si>
  <si>
    <t>Port Bonython</t>
  </si>
  <si>
    <t>Sunoco Nederland Terminal</t>
  </si>
  <si>
    <t>Port Louis?</t>
  </si>
  <si>
    <t>Galveston Light.</t>
  </si>
  <si>
    <t>loads Darwin</t>
  </si>
  <si>
    <t>Bahia Blanca</t>
  </si>
  <si>
    <t>Too rare</t>
  </si>
  <si>
    <t>Cole Bay</t>
  </si>
  <si>
    <t>Crown Point</t>
  </si>
  <si>
    <t>Caribbean Netherlands</t>
  </si>
  <si>
    <t>loads Corpus Christi</t>
  </si>
  <si>
    <t>Relets/Owners' guidance</t>
  </si>
  <si>
    <t>loads Westernport</t>
  </si>
  <si>
    <t>loads Au</t>
  </si>
  <si>
    <t>Enterprise Houston</t>
  </si>
  <si>
    <t>Energy Transfer Nederland LPG</t>
  </si>
  <si>
    <t>Corpus Christi</t>
  </si>
  <si>
    <t>Terminals/STS locations that has slower discharge:</t>
  </si>
  <si>
    <t>Buckeye Texas Hub Terminal</t>
  </si>
  <si>
    <t>USG-Far East</t>
  </si>
  <si>
    <t>PORT LOUIS*</t>
  </si>
  <si>
    <t>Ain Sukhna or Wadi Feiran, Egypt</t>
  </si>
  <si>
    <t>2 weeks</t>
  </si>
  <si>
    <t>USGC (US Gulf Coast)</t>
  </si>
  <si>
    <t>Port Louis, Mauritius</t>
  </si>
  <si>
    <t>10 days</t>
  </si>
  <si>
    <t>To USG via Panama // or nearby USG</t>
  </si>
  <si>
    <t>(Cape fastest so N/A)</t>
  </si>
  <si>
    <t>Dongguan, China</t>
  </si>
  <si>
    <t>4-5 days</t>
  </si>
  <si>
    <t>Americas</t>
  </si>
  <si>
    <t>To USG (Cape)</t>
  </si>
  <si>
    <t>Sariaya plus Bataan, Philippines (around 4 to 5 days)</t>
  </si>
  <si>
    <t>Texas</t>
  </si>
  <si>
    <t>to MH</t>
  </si>
  <si>
    <t>Beaumont/Port Arthur</t>
  </si>
  <si>
    <t xml:space="preserve">To WAF (Bonny) </t>
  </si>
  <si>
    <t>To Darwin</t>
  </si>
  <si>
    <t>Tsugaru Strait</t>
  </si>
  <si>
    <t>To Prince Rupert</t>
  </si>
  <si>
    <t>To Yanbu (suez)</t>
  </si>
  <si>
    <t>(inc 1 day transit)</t>
  </si>
  <si>
    <t>To Yanbu (Cape/Med)</t>
  </si>
  <si>
    <t>To Bethioua</t>
  </si>
  <si>
    <t>Singapore to:</t>
  </si>
  <si>
    <t>Port Louis to USG</t>
  </si>
  <si>
    <t>26 days</t>
  </si>
  <si>
    <t>P</t>
  </si>
  <si>
    <t>Cape to Houston</t>
  </si>
  <si>
    <t>to AG</t>
  </si>
  <si>
    <t>To AG (Ras Tanura)</t>
  </si>
  <si>
    <t>Optimization</t>
  </si>
  <si>
    <t>Assuming Indo discharge</t>
  </si>
  <si>
    <t>Open AG</t>
  </si>
  <si>
    <t>New Mangalore</t>
  </si>
  <si>
    <t>X</t>
  </si>
  <si>
    <t>Ennore/Haldia</t>
  </si>
  <si>
    <t>Scrubber</t>
  </si>
  <si>
    <t>Bangladesh</t>
  </si>
  <si>
    <t>Chittagong</t>
  </si>
  <si>
    <t>Botany</t>
  </si>
  <si>
    <t>This is assuming that vessel is coming from Asia. Not from Europe.</t>
  </si>
  <si>
    <t>loads Prince Rupert</t>
  </si>
  <si>
    <t>no Cape ballast - since the ship won't deviate back to AG</t>
  </si>
  <si>
    <t>no Port Louis ballast - since the ship won't deviate back to AG</t>
  </si>
  <si>
    <t>Malaysia ballast</t>
  </si>
  <si>
    <t>Teluk Semangka</t>
  </si>
  <si>
    <t>MTP</t>
  </si>
  <si>
    <t>Vungtao</t>
  </si>
  <si>
    <t>Bataan</t>
  </si>
  <si>
    <t>Kaohsiung/Mailiao</t>
  </si>
  <si>
    <t>Ningbo</t>
  </si>
  <si>
    <t>ZJG is very close to 16 days</t>
  </si>
  <si>
    <t>Dongguan</t>
  </si>
  <si>
    <t>Tianjin, Yantai (17 days)</t>
  </si>
  <si>
    <t>Australia</t>
  </si>
  <si>
    <t>Brisbane, Botany Bay</t>
  </si>
  <si>
    <t>Dortyol</t>
  </si>
  <si>
    <t xml:space="preserve">With Panama waiting </t>
  </si>
  <si>
    <t xml:space="preserve">Actual days / no waiting </t>
  </si>
  <si>
    <t>Open USG</t>
  </si>
  <si>
    <t>Assuming ARA discharge</t>
  </si>
  <si>
    <t>Assuming Southeast asian discharge</t>
  </si>
  <si>
    <t>Yantai</t>
  </si>
  <si>
    <t>USHOU LA.</t>
  </si>
  <si>
    <t>US HOU&gt;EG PSD</t>
  </si>
  <si>
    <t>NEDERL</t>
  </si>
  <si>
    <t>TEXAS CITY TX</t>
  </si>
  <si>
    <t>Jamaica</t>
  </si>
  <si>
    <t>TEXAS CITY</t>
  </si>
  <si>
    <t>FPT USA</t>
  </si>
  <si>
    <t>FREEPQLVESTON</t>
  </si>
  <si>
    <t>Add it just in case</t>
  </si>
  <si>
    <t>HOUSTMS&gt;0751</t>
  </si>
  <si>
    <t>NEDERLAND, US</t>
  </si>
  <si>
    <t>Suez canal exit</t>
  </si>
  <si>
    <t>HOU,US</t>
  </si>
  <si>
    <t>PABLB&gt;USHOU</t>
  </si>
  <si>
    <t>PA BLB &gt; US HOU</t>
  </si>
  <si>
    <t>Gulf Coast Ammonia</t>
  </si>
  <si>
    <t>Vung Tau</t>
  </si>
  <si>
    <t>US NDD</t>
  </si>
  <si>
    <t>DO SPM&gt;US FPO</t>
  </si>
  <si>
    <t>USHOU" MEADOW,LA.</t>
  </si>
  <si>
    <t>TARGA TERMINAL</t>
  </si>
  <si>
    <t>USHOU BAYTOWN</t>
  </si>
  <si>
    <t>Chile</t>
  </si>
  <si>
    <t>Quintero</t>
  </si>
  <si>
    <t>Buckeye Texas Hub</t>
  </si>
  <si>
    <t>Tuxpan</t>
  </si>
  <si>
    <t>NEDERLAND. USA</t>
  </si>
  <si>
    <t>KRTSN-&gt;PABLB</t>
  </si>
  <si>
    <t>BASF Freeport</t>
  </si>
  <si>
    <t>PADD 5</t>
  </si>
  <si>
    <t>Assume discharge in Southeast asia</t>
  </si>
  <si>
    <t>Tarragona (Spain) / Stenungsung (Sweden) / Rotterdam / Skagen (Denmark)</t>
  </si>
  <si>
    <t>St Thomas</t>
  </si>
  <si>
    <t>(Morocco)</t>
  </si>
  <si>
    <t>(Hualpen)</t>
  </si>
  <si>
    <t xml:space="preserve">Flushing </t>
  </si>
  <si>
    <t>Santos</t>
  </si>
  <si>
    <t>Malta</t>
  </si>
  <si>
    <t>Ocoa Bay</t>
  </si>
  <si>
    <t>Puerto Viejo de Azua</t>
  </si>
  <si>
    <t>Las Palmas (Canary Islands)</t>
  </si>
  <si>
    <t>La Libertad, Ecaudor</t>
  </si>
  <si>
    <t>West Mexico</t>
  </si>
  <si>
    <t>Manza (Mex)</t>
  </si>
  <si>
    <t>Phillips 66 Freeport Marine Terminal</t>
  </si>
  <si>
    <t>ConocoPhillips Teesside Refinery</t>
  </si>
  <si>
    <t>HOUSTON UP</t>
  </si>
  <si>
    <t>US RV BUNKERING</t>
  </si>
  <si>
    <t>US GALVESTON</t>
  </si>
  <si>
    <t>PA BLB &gt;&gt; US NDX</t>
  </si>
  <si>
    <t>USHOU IRU REFINING</t>
  </si>
  <si>
    <t>MARCUS HOOK USA</t>
  </si>
  <si>
    <t>United States</t>
  </si>
  <si>
    <t>US HOU "9P</t>
  </si>
  <si>
    <t>FREE PORT</t>
  </si>
  <si>
    <t>NEDERLAND, USA</t>
  </si>
  <si>
    <t>US NDZ3</t>
  </si>
  <si>
    <t>GOLA,USA</t>
  </si>
  <si>
    <t>HOU US</t>
  </si>
  <si>
    <t>US-HOU</t>
  </si>
  <si>
    <t>HOUSTL&gt;US^0QRX</t>
  </si>
  <si>
    <t>US FPL LMR</t>
  </si>
  <si>
    <t>HOUSTON US</t>
  </si>
  <si>
    <t>US HOU #VV</t>
  </si>
  <si>
    <t>PA GTN&gt;US HOU</t>
  </si>
  <si>
    <t>US CRP</t>
  </si>
  <si>
    <t>Southern Louisiana</t>
  </si>
  <si>
    <t>US HOU B0QS1</t>
  </si>
  <si>
    <t>US NDX</t>
  </si>
  <si>
    <t>NEDERLAND</t>
  </si>
  <si>
    <t>KR YOS&gt;US</t>
  </si>
  <si>
    <t>US HOWN REFINING</t>
  </si>
  <si>
    <t>NEDERLAND USA</t>
  </si>
  <si>
    <t>PA BLB&gt;US MAH</t>
  </si>
  <si>
    <t>NEDERLAND US</t>
  </si>
  <si>
    <t>US HOS</t>
  </si>
  <si>
    <t>USHOU</t>
  </si>
  <si>
    <t>US HOU</t>
  </si>
  <si>
    <t>HOUSTON-USA</t>
  </si>
  <si>
    <t>US HOUS</t>
  </si>
  <si>
    <t>USHOUS #IUM</t>
  </si>
  <si>
    <t>US HOTTX</t>
  </si>
  <si>
    <t>PA BLB &gt; US NDX</t>
  </si>
  <si>
    <t>HOUSTON,TX.</t>
  </si>
  <si>
    <t>US HOU &gt; PA CTB</t>
  </si>
  <si>
    <t>USHOU PLT STN</t>
  </si>
  <si>
    <t>MAMOH&gt;USHOU (7NO</t>
  </si>
  <si>
    <t>USOGL</t>
  </si>
  <si>
    <t>USFRP</t>
  </si>
  <si>
    <t>FREEPORT-USA</t>
  </si>
  <si>
    <t>US LCH</t>
  </si>
  <si>
    <t>US SBP</t>
  </si>
  <si>
    <t>"Optimization" to Europe</t>
  </si>
  <si>
    <t>US HOTCITY</t>
  </si>
  <si>
    <t>FREEPORT USA</t>
  </si>
  <si>
    <t>USMAH</t>
  </si>
  <si>
    <t>Lake Charles</t>
  </si>
  <si>
    <t>US HOWEA</t>
  </si>
  <si>
    <t>bss 15 knots</t>
  </si>
  <si>
    <t>US HOU &lt;&gt; US GRY</t>
  </si>
  <si>
    <t>&gt;US NDX</t>
  </si>
  <si>
    <t>No Cape laden - since vessel haven't discharged</t>
  </si>
  <si>
    <t>P66 Freeport</t>
  </si>
  <si>
    <t>USFPO</t>
  </si>
  <si>
    <t>HOUSTON USA</t>
  </si>
  <si>
    <t>Bahamas</t>
  </si>
  <si>
    <t>Freeport Bahamas</t>
  </si>
  <si>
    <t>HOUSTON TX</t>
  </si>
  <si>
    <t>Omoa</t>
  </si>
  <si>
    <t>US GLS</t>
  </si>
  <si>
    <t>George Town</t>
  </si>
  <si>
    <t>CNZOS&gt;PABLB</t>
  </si>
  <si>
    <t>USHOU#</t>
  </si>
  <si>
    <t>HOUSTON TEXAS</t>
  </si>
  <si>
    <t>PABLB&gt;USFPO</t>
  </si>
  <si>
    <t>US NED</t>
  </si>
  <si>
    <t>USNDX</t>
  </si>
  <si>
    <t>MARCUS HOOK</t>
  </si>
  <si>
    <t>Panjin</t>
  </si>
  <si>
    <t>BGN 16-30 Jan USG</t>
  </si>
  <si>
    <t>FREEPORT</t>
  </si>
  <si>
    <t>IDTSE&gt;USHOU</t>
  </si>
  <si>
    <t>PABAL&gt;USHOU</t>
  </si>
  <si>
    <t>FREEPORT US</t>
  </si>
  <si>
    <t>USFPO ILE CUT GALVES</t>
  </si>
  <si>
    <t>Sabine Pass</t>
  </si>
  <si>
    <t>Energy Transfer Nederland Terminal</t>
  </si>
  <si>
    <t>PORT EVERGLADES</t>
  </si>
  <si>
    <t>USHOU #</t>
  </si>
  <si>
    <t>Henry edit (Prince Ruper&gt;Ningbo&gt;USGvia Cape</t>
  </si>
  <si>
    <t>MAMOH USHOU</t>
  </si>
  <si>
    <t>Flushing</t>
  </si>
  <si>
    <t>US_GLS</t>
  </si>
  <si>
    <t>USHOU#N</t>
  </si>
  <si>
    <t>CORPUS</t>
  </si>
  <si>
    <t>Algeria</t>
  </si>
  <si>
    <t>Arzew (Algeria)</t>
  </si>
  <si>
    <t>HOUSTON,USA</t>
  </si>
  <si>
    <t>CRIST0BAL</t>
  </si>
  <si>
    <t>Northern America</t>
  </si>
  <si>
    <t>NEDUS</t>
  </si>
  <si>
    <t>US BPT</t>
  </si>
  <si>
    <t>HOUSTON #NY</t>
  </si>
  <si>
    <t>PORT NECHES TX</t>
  </si>
  <si>
    <t>USA-FREEPORT</t>
  </si>
  <si>
    <t>US NEDERLAND</t>
  </si>
  <si>
    <t>Tanjung Sekong</t>
  </si>
  <si>
    <t>US FREEPORT</t>
  </si>
  <si>
    <t>N. Atlantic</t>
  </si>
  <si>
    <t>PHILADELPHIA</t>
  </si>
  <si>
    <t>Vungtau</t>
  </si>
  <si>
    <t>GALVESTON</t>
  </si>
  <si>
    <t>HOUSTON, USA</t>
  </si>
  <si>
    <t>US FPT</t>
  </si>
  <si>
    <t>USBPT</t>
  </si>
  <si>
    <t>Haldia</t>
  </si>
  <si>
    <t>PR CTBLINE LOGISTICS</t>
  </si>
  <si>
    <t>PA CTB &gt; UPX # ND</t>
  </si>
  <si>
    <t>Dev Point</t>
  </si>
  <si>
    <t>PA BLB&gt;US HOU</t>
  </si>
  <si>
    <t>US HOUR CUT</t>
  </si>
  <si>
    <t>USFPO-GBIMM</t>
  </si>
  <si>
    <t>NEDERLAND, U.S.A</t>
  </si>
  <si>
    <t>US GOLUSHOU</t>
  </si>
  <si>
    <t>USGLS&lt;&gt;USHOU</t>
  </si>
  <si>
    <t>U&lt;HKOU</t>
  </si>
  <si>
    <t>PA CTB &gt; US NDX</t>
  </si>
  <si>
    <t>US MAH</t>
  </si>
  <si>
    <t>PA CTB &gt; H</t>
  </si>
  <si>
    <t>USHOU MAMOH</t>
  </si>
  <si>
    <t>HOUSTO BAYOU</t>
  </si>
  <si>
    <t>US HOW5 GALVESTON</t>
  </si>
  <si>
    <t>MARCUS HOOK US</t>
  </si>
  <si>
    <t>HOUSTON,TX</t>
  </si>
  <si>
    <t>US HOUSTON</t>
  </si>
  <si>
    <t>US HOWN, TX</t>
  </si>
  <si>
    <t>USHOU ES</t>
  </si>
  <si>
    <t>NEDERLAND,U.S.A</t>
  </si>
  <si>
    <t>FREEPORT TX</t>
  </si>
  <si>
    <t>HOUSTN</t>
  </si>
  <si>
    <t>1 day bunker, -2 days to Soyo</t>
  </si>
  <si>
    <t>Or Tangiers</t>
  </si>
  <si>
    <t>Dortyol, Izmit</t>
  </si>
  <si>
    <t>Teluk Semangka - Singapore - Bonny</t>
  </si>
  <si>
    <t>MTP,Rayong</t>
  </si>
  <si>
    <t>Tianjin</t>
  </si>
  <si>
    <t>Lujia Shipyard</t>
  </si>
  <si>
    <t>Tarragona (Spain)</t>
  </si>
  <si>
    <t>Aruba</t>
  </si>
  <si>
    <t>CITGO Aruba Refinery</t>
  </si>
  <si>
    <t>Kingston LPG Terminal</t>
  </si>
  <si>
    <t>St. Thomas</t>
  </si>
  <si>
    <t>Cayman Islands</t>
  </si>
  <si>
    <t>Georgetown</t>
  </si>
  <si>
    <t>Ocoa (as proxy)</t>
  </si>
  <si>
    <t>Dominican Republic</t>
  </si>
  <si>
    <t>Ocoa Bay Anchorage</t>
  </si>
  <si>
    <t>Caribbean Sea</t>
  </si>
  <si>
    <t>SAN PEDRO</t>
  </si>
  <si>
    <t>San Pedro de Macoris LPG Terminal</t>
  </si>
  <si>
    <t>OCOA BAY</t>
  </si>
  <si>
    <t>Curacao</t>
  </si>
  <si>
    <t>Kingston</t>
  </si>
  <si>
    <t>CA PRR</t>
  </si>
  <si>
    <t>Ridley-&gt;Far East + 14</t>
  </si>
  <si>
    <t>Ridley Island Terminal</t>
  </si>
  <si>
    <t>Ridley Island Propane Export Terminal</t>
  </si>
  <si>
    <t>Canada</t>
  </si>
  <si>
    <t>MH</t>
  </si>
  <si>
    <t>Assume to Sines then to Bethioua. 15 knots &amp; 5 days discharge</t>
  </si>
  <si>
    <t>Assume to Sines then to Bethioua. 15 knots and 5 days discharge</t>
  </si>
  <si>
    <t>USWC (US West Coast)</t>
  </si>
  <si>
    <t>loads Bethioua</t>
  </si>
  <si>
    <t>Cherry Point</t>
  </si>
  <si>
    <t>Ferndale-&gt;Far East + 14</t>
  </si>
  <si>
    <t>Yesil Terminal</t>
  </si>
  <si>
    <t>Panama LNG</t>
  </si>
  <si>
    <t>PA CRI</t>
  </si>
  <si>
    <t>&gt; PA CRI</t>
  </si>
  <si>
    <t>BLB PA</t>
  </si>
  <si>
    <t>PNBLB</t>
  </si>
  <si>
    <t>PN BLB</t>
  </si>
  <si>
    <t>Via Cape</t>
  </si>
  <si>
    <t>Via Suez</t>
  </si>
  <si>
    <t>PACBL</t>
  </si>
  <si>
    <t>PACR</t>
  </si>
  <si>
    <t>Panama Canal Light.</t>
  </si>
  <si>
    <t>Black Sea</t>
  </si>
  <si>
    <t>CRSTBL</t>
  </si>
  <si>
    <t>New Mangolare</t>
  </si>
  <si>
    <t>PABLB W TPE</t>
  </si>
  <si>
    <t>PR CTB 28</t>
  </si>
  <si>
    <t>Jizan</t>
  </si>
  <si>
    <t>PA CBL</t>
  </si>
  <si>
    <t>CTB PA</t>
  </si>
  <si>
    <t>Bahia Las Minas Refineria</t>
  </si>
  <si>
    <t>Marcus Hook</t>
  </si>
  <si>
    <t>PABLB</t>
  </si>
  <si>
    <t>Energy Transfer Marcus Hook Refinery</t>
  </si>
  <si>
    <t>Sunoco Marcus Hook Refinery</t>
  </si>
  <si>
    <t>Tuxpan Gas Tomza</t>
  </si>
  <si>
    <t>Bunker in Jamaica</t>
  </si>
  <si>
    <t>San Gregorio</t>
  </si>
  <si>
    <t>Come By Chance Refinery</t>
  </si>
  <si>
    <t>DD in AG</t>
  </si>
  <si>
    <t>Botany Bay</t>
  </si>
  <si>
    <t>MIDDLE EAST REGION</t>
  </si>
  <si>
    <t>Drydocks World – Dubai</t>
  </si>
  <si>
    <t>Saudi Arabia</t>
  </si>
  <si>
    <t>RAS BUDRAN EGYPT</t>
  </si>
  <si>
    <t>Karachi Shipyard</t>
  </si>
  <si>
    <t>AE RUS</t>
  </si>
  <si>
    <t>AE FJR &gt;&gt;QA RLF</t>
  </si>
  <si>
    <t>FUJAIRAH UAE</t>
  </si>
  <si>
    <t>MESAIEED_QATAR</t>
  </si>
  <si>
    <t>RAS LAFFAN QATAR R</t>
  </si>
  <si>
    <t>RAS_LAFFAN</t>
  </si>
  <si>
    <t>QA UMS</t>
  </si>
  <si>
    <t>To Singapore</t>
  </si>
  <si>
    <t>RAS LAFFAN QATAR 1L</t>
  </si>
  <si>
    <t>MINA BAN</t>
  </si>
  <si>
    <t>THSRI&gt;AEFUJ</t>
  </si>
  <si>
    <t>Oiltank. Sohar</t>
  </si>
  <si>
    <t>SOHAR OMAN</t>
  </si>
  <si>
    <t>Saudi Aramco Ras Tanura LPG Terminal</t>
  </si>
  <si>
    <t>MAA KUWAIT</t>
  </si>
  <si>
    <t>KU MAA HY</t>
  </si>
  <si>
    <t>MINA AL AHMADY</t>
  </si>
  <si>
    <t>AE FJR&gt;KW MEA</t>
  </si>
  <si>
    <t>ID TSE TO QA RLF</t>
  </si>
  <si>
    <t>SA RTAHEEN FIELD</t>
  </si>
  <si>
    <t>Ras Al Khair</t>
  </si>
  <si>
    <t>KW ME</t>
  </si>
  <si>
    <t>Mina al-Ahmadi LPG</t>
  </si>
  <si>
    <t>RASLAFFAN K</t>
  </si>
  <si>
    <t>Jebel Ali LPG</t>
  </si>
  <si>
    <t>Qatar Petroleum Ras Laffan Refinery</t>
  </si>
  <si>
    <t>BHMIN</t>
  </si>
  <si>
    <t>EG AIRUSORF</t>
  </si>
  <si>
    <t>RUWAIP</t>
  </si>
  <si>
    <t>RLF</t>
  </si>
  <si>
    <t>SGSIN QARLF</t>
  </si>
  <si>
    <t>AT MAA</t>
  </si>
  <si>
    <t>MINA AL AHAMADIA</t>
  </si>
  <si>
    <t>Ju'aymah NGL</t>
  </si>
  <si>
    <t>INHAL &gt;QA RLF</t>
  </si>
  <si>
    <t>KWMEA/MINCUMYA</t>
  </si>
  <si>
    <t>MINA AL AHMADI KUWAI</t>
  </si>
  <si>
    <t>AE RUUEH</t>
  </si>
  <si>
    <t>IN HAL QA RLF</t>
  </si>
  <si>
    <t>Persian Gulf</t>
  </si>
  <si>
    <t>RASLAFAN QATAR</t>
  </si>
  <si>
    <t>AERWP</t>
  </si>
  <si>
    <t>To Westernport</t>
  </si>
  <si>
    <t>YANBU KSA</t>
  </si>
  <si>
    <t>Horizon Djibouti</t>
  </si>
  <si>
    <t>PK KHI --- AE RUW</t>
  </si>
  <si>
    <t>SAYBI</t>
  </si>
  <si>
    <t>10+5+2+11</t>
  </si>
  <si>
    <t>AE FJR D ANCHORAGE</t>
  </si>
  <si>
    <t>QA RLEEH</t>
  </si>
  <si>
    <t>AEFJR</t>
  </si>
  <si>
    <t>FUJAIRAH_OPL</t>
  </si>
  <si>
    <t>RUWAIS,UAE</t>
  </si>
  <si>
    <t>IN VTZ - QA RLF</t>
  </si>
  <si>
    <t>AE FUJ&gt;KW MEA</t>
  </si>
  <si>
    <t>INHAL &gt; AEFJR</t>
  </si>
  <si>
    <t>AEDAS</t>
  </si>
  <si>
    <t>MINA AI AHMADI</t>
  </si>
  <si>
    <t>AE DAS</t>
  </si>
  <si>
    <t>FUJ UAE</t>
  </si>
  <si>
    <t>AEFJRC</t>
  </si>
  <si>
    <t>Iraq</t>
  </si>
  <si>
    <t>RASLAFAN</t>
  </si>
  <si>
    <t>Jubail Industrial Port</t>
  </si>
  <si>
    <t>JPOIT K 3 E OFF</t>
  </si>
  <si>
    <t>Mesaieed</t>
  </si>
  <si>
    <t>Umm Said</t>
  </si>
  <si>
    <t>AE_DAS</t>
  </si>
  <si>
    <t>AERUW</t>
  </si>
  <si>
    <t>FUJ</t>
  </si>
  <si>
    <t>ID MRK &gt; AU RUW</t>
  </si>
  <si>
    <t>AEPRA</t>
  </si>
  <si>
    <t>SA RTA</t>
  </si>
  <si>
    <t>FUJAIRAH 3</t>
  </si>
  <si>
    <t>SA_RTA</t>
  </si>
  <si>
    <t>AE KLFIELD</t>
  </si>
  <si>
    <t>QARLF!N</t>
  </si>
  <si>
    <t>SA RT</t>
  </si>
  <si>
    <t>QARLD</t>
  </si>
  <si>
    <t>RLF Q</t>
  </si>
  <si>
    <t>AERWS</t>
  </si>
  <si>
    <t>RAS LAFFAN,QATAR</t>
  </si>
  <si>
    <t>SGSIN&gt;KWMEA</t>
  </si>
  <si>
    <t>AE FJR&gt;&gt;QA RLF</t>
  </si>
  <si>
    <t>SA TRA</t>
  </si>
  <si>
    <t>ASRY</t>
  </si>
  <si>
    <t>AG (Baharin DD, Gas Alkhaleej)</t>
  </si>
  <si>
    <t>Das Island Products</t>
  </si>
  <si>
    <t>BAPCO Sitra Refinery</t>
  </si>
  <si>
    <t>QARLF#0</t>
  </si>
  <si>
    <t>AE KLF &gt; KW MEA</t>
  </si>
  <si>
    <t>QA RALF</t>
  </si>
  <si>
    <t>SGSIN &gt; QARLF</t>
  </si>
  <si>
    <t>MMA,KUWAIT</t>
  </si>
  <si>
    <t>Gulf of Oman</t>
  </si>
  <si>
    <t>QA RLD</t>
  </si>
  <si>
    <t>Duqm</t>
  </si>
  <si>
    <t>KW MAA</t>
  </si>
  <si>
    <t>SA JUT #?&amp;</t>
  </si>
  <si>
    <t>RAS LAFFAN "&amp;;</t>
  </si>
  <si>
    <t>Oiltanking Odfjell Terminal Oman</t>
  </si>
  <si>
    <t>Kuwait</t>
  </si>
  <si>
    <t>AG (MAA)</t>
  </si>
  <si>
    <t>Jubail Refinery</t>
  </si>
  <si>
    <t>KR YOS &gt; KE MEA</t>
  </si>
  <si>
    <t>IN HAL&gt; AE FUJ</t>
  </si>
  <si>
    <t>KHORFAKAN</t>
  </si>
  <si>
    <t>Mina' Saqr</t>
  </si>
  <si>
    <t>DAS ISLAND, U.A.E</t>
  </si>
  <si>
    <t>Sharjah Anchorage</t>
  </si>
  <si>
    <t>Horizon Djibouti Terminal</t>
  </si>
  <si>
    <t>AE RWS</t>
  </si>
  <si>
    <t>ASRY,BAHARIN ES</t>
  </si>
  <si>
    <t>MEA KUW</t>
  </si>
  <si>
    <t>Asaluyeh South Pars Terminal</t>
  </si>
  <si>
    <t>ASRY M</t>
  </si>
  <si>
    <t>Sitra Refinery</t>
  </si>
  <si>
    <t>ASRY,BAHARIN #;\</t>
  </si>
  <si>
    <t>IN HAL&gt;&gt;RUWAIP</t>
  </si>
  <si>
    <t>ASRY BEERA PORT</t>
  </si>
  <si>
    <t>RAS TANNURAH.KSA</t>
  </si>
  <si>
    <t>Yanbu NGL Terminal</t>
  </si>
  <si>
    <t>QA RLF</t>
  </si>
  <si>
    <t>AEFJR&gt;KWMEA</t>
  </si>
  <si>
    <t>Romano Terminal</t>
  </si>
  <si>
    <t>INDAH KWMEA</t>
  </si>
  <si>
    <t>RAS LAFAN</t>
  </si>
  <si>
    <t>AE FUJ AE KLF GE</t>
  </si>
  <si>
    <t>RAS LAFFAN</t>
  </si>
  <si>
    <t>AE RWP &gt;</t>
  </si>
  <si>
    <t>FUJAIRAHX</t>
  </si>
  <si>
    <t>Jiangsu Yangtzejiang Petrochemical</t>
  </si>
  <si>
    <t>FUJAIRAH D ANCR</t>
  </si>
  <si>
    <t>SA RTAFFAN</t>
  </si>
  <si>
    <t>HAMRIYAH.U.A.E.</t>
  </si>
  <si>
    <t>Dongjiakou</t>
  </si>
  <si>
    <t>IN HAL &gt; AE FJ</t>
  </si>
  <si>
    <t>Tianjin Lingang</t>
  </si>
  <si>
    <t>KHORFAKKAN</t>
  </si>
  <si>
    <t>QA RLE</t>
  </si>
  <si>
    <t>Fuzhou</t>
  </si>
  <si>
    <t>KU MAA</t>
  </si>
  <si>
    <t>Raoping</t>
  </si>
  <si>
    <t>OPL FUJAIRAH</t>
  </si>
  <si>
    <t>Southwest China</t>
  </si>
  <si>
    <t>Qinzhou</t>
  </si>
  <si>
    <t>AE RWP</t>
  </si>
  <si>
    <t>Guangxi Tiansheng</t>
  </si>
  <si>
    <t>Khasab Anchorage</t>
  </si>
  <si>
    <t>Chita Fuels Terminal</t>
  </si>
  <si>
    <t>ARMED GUARDS ONBOARD</t>
  </si>
  <si>
    <t>Cosmo Matsuyama</t>
  </si>
  <si>
    <t>RUWAIS</t>
  </si>
  <si>
    <t>Hekinan</t>
  </si>
  <si>
    <t>Idemitsu Chiba Kosan Refinery</t>
  </si>
  <si>
    <t>Iwatani Sakai</t>
  </si>
  <si>
    <t>Karatsu</t>
  </si>
  <si>
    <t>Kashima JGE</t>
  </si>
  <si>
    <t>Kashima LPG</t>
  </si>
  <si>
    <t>Kawasaki - Eneos Globe</t>
  </si>
  <si>
    <t>Kawasaki - Gyxis</t>
  </si>
  <si>
    <t>Kawasaki - JGEC</t>
  </si>
  <si>
    <t>Marubeni Chiba</t>
  </si>
  <si>
    <t>RAS LAFFAN, QATAR</t>
  </si>
  <si>
    <t>Matsuura Kyushu</t>
  </si>
  <si>
    <t>Mina Al-Ahmadi</t>
  </si>
  <si>
    <t>Namikata</t>
  </si>
  <si>
    <t>Middle East</t>
  </si>
  <si>
    <t>Nanao</t>
  </si>
  <si>
    <t>Mideast Gulf</t>
  </si>
  <si>
    <t>Niigata</t>
  </si>
  <si>
    <t>JEBEL ALI</t>
  </si>
  <si>
    <t>Nippon Mizushima Refinery B</t>
  </si>
  <si>
    <t>RUWAIS^5E5E5E5E5E5E5</t>
  </si>
  <si>
    <t>Oita</t>
  </si>
  <si>
    <t>QARFL</t>
  </si>
  <si>
    <t>Oita Refinery</t>
  </si>
  <si>
    <t>QARLF</t>
  </si>
  <si>
    <t>Osaka</t>
  </si>
  <si>
    <t>RAS LAFFAN\QATAR</t>
  </si>
  <si>
    <t>Sakai Refinery</t>
  </si>
  <si>
    <t>AE RUW</t>
  </si>
  <si>
    <t>Sakaide</t>
  </si>
  <si>
    <t>&gt;FUJ</t>
  </si>
  <si>
    <t>SGSIN &gt;&gt; AEFJR</t>
  </si>
  <si>
    <t>Showa Kobe</t>
  </si>
  <si>
    <t>INHAL &gt; AEDAS</t>
  </si>
  <si>
    <t>Tokuyama LPG</t>
  </si>
  <si>
    <t>AE FJR</t>
  </si>
  <si>
    <t>Yokkaichi Plant</t>
  </si>
  <si>
    <t>RUWAIS UAE</t>
  </si>
  <si>
    <t>South Korea</t>
  </si>
  <si>
    <t>AG FOR ORDERS</t>
  </si>
  <si>
    <t>KWMEA</t>
  </si>
  <si>
    <t>SK Ulsan</t>
  </si>
  <si>
    <t>FUJAIRAH,UAE</t>
  </si>
  <si>
    <t>Ulsan Liquid Pier</t>
  </si>
  <si>
    <t>East Coast UAE - Fujairah</t>
  </si>
  <si>
    <t>Sitra</t>
  </si>
  <si>
    <t>DUBAI OPL</t>
  </si>
  <si>
    <t>IN HAL &gt;AE-FJR</t>
  </si>
  <si>
    <t>DUQM, OMAN</t>
  </si>
  <si>
    <t>BH SIT</t>
  </si>
  <si>
    <t>ID MRK-AE FJR</t>
  </si>
  <si>
    <t>IN HAL &gt;&gt; AE FUJ</t>
  </si>
  <si>
    <t>Red Sea</t>
  </si>
  <si>
    <t>DUBAI</t>
  </si>
  <si>
    <t>QA RUS</t>
  </si>
  <si>
    <t>AE FJR &gt;&gt; KW MAA</t>
  </si>
  <si>
    <t>KHASAB</t>
  </si>
  <si>
    <t>SHARJAH</t>
  </si>
  <si>
    <t>RASTANURAH</t>
  </si>
  <si>
    <t>RASLAFFAN QATAR</t>
  </si>
  <si>
    <t>ASRY FAN QATAR</t>
  </si>
  <si>
    <t>DASISLAND</t>
  </si>
  <si>
    <t>AG (Iran)</t>
  </si>
  <si>
    <t>YOSU,SOUTH KOREA</t>
  </si>
  <si>
    <t>AE JEA &gt; AE FJR</t>
  </si>
  <si>
    <t>QA QLF</t>
  </si>
  <si>
    <t>RAS TANURA</t>
  </si>
  <si>
    <t>AEF-JR</t>
  </si>
  <si>
    <t>QA RLF S</t>
  </si>
  <si>
    <t>SA YNB</t>
  </si>
  <si>
    <t>RUWAIS FOR ORDERS</t>
  </si>
  <si>
    <t>SARTA</t>
  </si>
  <si>
    <t>RAS LAN</t>
  </si>
  <si>
    <t>MINA ALAHMADI</t>
  </si>
  <si>
    <t>SGSIN &gt; AEFJR</t>
  </si>
  <si>
    <t>SA YNB&gt;SA GIZ</t>
  </si>
  <si>
    <t>QR RLF</t>
  </si>
  <si>
    <t>RAS LABAI</t>
  </si>
  <si>
    <t>Iran</t>
  </si>
  <si>
    <t>Yanbu NGL &amp; Yanbu Aramco Sinopec Refining Company</t>
  </si>
  <si>
    <t>Ras Tanura LPG</t>
  </si>
  <si>
    <t>RUW UAE</t>
  </si>
  <si>
    <t>INHAL &gt; AEFUJ</t>
  </si>
  <si>
    <t>SOHAR</t>
  </si>
  <si>
    <t>KWMEA #UMYA</t>
  </si>
  <si>
    <t>RAS LAFFAN BC O&gt;U</t>
  </si>
  <si>
    <t>AE FUJ</t>
  </si>
  <si>
    <t>AE DAS &gt; AE RUW</t>
  </si>
  <si>
    <t>AE RUW&gt;&gt;OM SOH</t>
  </si>
  <si>
    <t>QA MES</t>
  </si>
  <si>
    <t>MINA AL AHAMEDI</t>
  </si>
  <si>
    <t>MINAALAHMADI</t>
  </si>
  <si>
    <t>West Coast UAE</t>
  </si>
  <si>
    <t>KWMEA"</t>
  </si>
  <si>
    <t>RASLAFFAN.QATAR</t>
  </si>
  <si>
    <t>ASRY,BAHARIN IJ</t>
  </si>
  <si>
    <t>QA RAS</t>
  </si>
  <si>
    <t>MINA AL AH</t>
  </si>
  <si>
    <t>DDW-D</t>
  </si>
  <si>
    <t>AG (DD)</t>
  </si>
  <si>
    <t>AE PRA</t>
  </si>
  <si>
    <t>AG (DD, Kodaijisan)</t>
  </si>
  <si>
    <t>AE FJR&gt;AE DXB</t>
  </si>
  <si>
    <t>AE DXB</t>
  </si>
  <si>
    <t>AG ( DD, BW Trader)</t>
  </si>
  <si>
    <t>PORTSAID,EGYPT</t>
  </si>
  <si>
    <t>Suez + 7</t>
  </si>
  <si>
    <t>RAS GHARIB</t>
  </si>
  <si>
    <t>SUMED EGYPT</t>
  </si>
  <si>
    <t>OPL SUEZ</t>
  </si>
  <si>
    <t>SUEZ STS AREA</t>
  </si>
  <si>
    <t>IDBDJ&gt;EGADA</t>
  </si>
  <si>
    <t>EG WAF</t>
  </si>
  <si>
    <t>EG SZC</t>
  </si>
  <si>
    <t>AINSUKHANA</t>
  </si>
  <si>
    <t>Egypt</t>
  </si>
  <si>
    <t>EGDAM</t>
  </si>
  <si>
    <t>Alexandria</t>
  </si>
  <si>
    <t>El Dekheila</t>
  </si>
  <si>
    <t>South Suez Canal</t>
  </si>
  <si>
    <t>ABO RUDIS</t>
  </si>
  <si>
    <t>SA RTA SA JH</t>
  </si>
  <si>
    <t>Alexandria Products Import Terminal</t>
  </si>
  <si>
    <t>To Port Bonython</t>
  </si>
  <si>
    <t>Wadi Feiran LGP Terminal</t>
  </si>
  <si>
    <t>SUEZ, EGYPT</t>
  </si>
  <si>
    <t>Gulf of Aqaba</t>
  </si>
  <si>
    <t>Ain Sukhna 2</t>
  </si>
  <si>
    <t>WADIFEIRAN</t>
  </si>
  <si>
    <t>WADI FAYRAN,EG</t>
  </si>
  <si>
    <t>SUEZ EGYPT</t>
  </si>
  <si>
    <t>EGSCN</t>
  </si>
  <si>
    <t>Damietta</t>
  </si>
  <si>
    <t>EGSUZ &gt; SAGIZ</t>
  </si>
  <si>
    <t>Port of Suez</t>
  </si>
  <si>
    <t>RAS BVDRAN</t>
  </si>
  <si>
    <t>SUEZ OPL EGYPT</t>
  </si>
  <si>
    <t>WADI ETI</t>
  </si>
  <si>
    <t>SUEZ OPL</t>
  </si>
  <si>
    <t>US NDX&gt;EG SUZ</t>
  </si>
  <si>
    <t>EG SUZ</t>
  </si>
  <si>
    <t>EGSUZ</t>
  </si>
  <si>
    <t>EGWAF</t>
  </si>
  <si>
    <t>EG PSD&gt;EG SUZ</t>
  </si>
  <si>
    <t>EG AIS</t>
  </si>
  <si>
    <t>EGAIS</t>
  </si>
  <si>
    <t>SAGIZ</t>
  </si>
  <si>
    <t>SUMED. PEBGA</t>
  </si>
  <si>
    <t>RAS SHUQIR</t>
  </si>
  <si>
    <t>assuming southeast asia discharge</t>
  </si>
  <si>
    <t>WADI EAYQAN,EF</t>
  </si>
  <si>
    <t>WADI FEIRAN</t>
  </si>
  <si>
    <t>AIN SUKHNAH</t>
  </si>
  <si>
    <t>SA RTA&gt;SA GIZ</t>
  </si>
  <si>
    <t>RAS BUDRAN</t>
  </si>
  <si>
    <t>Jizan Refinery</t>
  </si>
  <si>
    <t>To Dampier</t>
  </si>
  <si>
    <t>SA GIZ</t>
  </si>
  <si>
    <t>JIZAN OPL</t>
  </si>
  <si>
    <t>Sonker Ain Sukhna</t>
  </si>
  <si>
    <t>Port Qasim</t>
  </si>
  <si>
    <t>Red Sea Light.</t>
  </si>
  <si>
    <t>WADI FERAN</t>
  </si>
  <si>
    <t>AIN SUKHNA EGYPT</t>
  </si>
  <si>
    <t>SUEZE GYPT</t>
  </si>
  <si>
    <t>JIZAN</t>
  </si>
  <si>
    <t>PORT SAID EGYPT</t>
  </si>
  <si>
    <t>EGSZC</t>
  </si>
  <si>
    <t>Jordan</t>
  </si>
  <si>
    <t>EG_AIS</t>
  </si>
  <si>
    <t>JIZAN_ARMEDGUARD</t>
  </si>
  <si>
    <t>Aqaba Terminal</t>
  </si>
  <si>
    <t>EG RAB</t>
  </si>
  <si>
    <t>AINSUKHNA</t>
  </si>
  <si>
    <t>ABU RUDEIS</t>
  </si>
  <si>
    <t>SG SIN - EG SUZ</t>
  </si>
  <si>
    <t>EGYPT SUEZ</t>
  </si>
  <si>
    <t>Mailao</t>
  </si>
  <si>
    <t>(SUEZ)</t>
  </si>
  <si>
    <t>Ain Sukhna Ammonia</t>
  </si>
  <si>
    <t>SUEZ SOUTH STS</t>
  </si>
  <si>
    <t>EG SCZ</t>
  </si>
  <si>
    <t>EAST COAST SAUDI ARABIA</t>
  </si>
  <si>
    <t>Las Palmas</t>
  </si>
  <si>
    <t>Canary Islands</t>
  </si>
  <si>
    <t>Bethioua -&gt; SG</t>
  </si>
  <si>
    <t>USHOU&gt;MAMNY</t>
  </si>
  <si>
    <t>Mohammedia + 5</t>
  </si>
  <si>
    <t>DZ AZW</t>
  </si>
  <si>
    <t>Skikda</t>
  </si>
  <si>
    <t>MOHAMMEDIA</t>
  </si>
  <si>
    <t>Samir Mohammedia Refinery</t>
  </si>
  <si>
    <t>MA JFL</t>
  </si>
  <si>
    <t>MA MOH</t>
  </si>
  <si>
    <t>ESALG&gt;MAML</t>
  </si>
  <si>
    <t>MOHMMEDIA</t>
  </si>
  <si>
    <t>Talara Refinery</t>
  </si>
  <si>
    <t>Sanha FPSO</t>
  </si>
  <si>
    <t>Western Africa</t>
  </si>
  <si>
    <t>Tema Oil Refinery</t>
  </si>
  <si>
    <t>Soyo Condensate terminal</t>
  </si>
  <si>
    <t>Bonny LPG</t>
  </si>
  <si>
    <t>WAF (Soyo)</t>
  </si>
  <si>
    <t>Escravos Terminal</t>
  </si>
  <si>
    <t>assuming Southeast asia discharge</t>
  </si>
  <si>
    <t>Nigeria</t>
  </si>
  <si>
    <t>Angola</t>
  </si>
  <si>
    <t>LUANDA 0("H</t>
  </si>
  <si>
    <t>AO LAD</t>
  </si>
  <si>
    <t>Luanda Refinery</t>
  </si>
  <si>
    <t>FPSO_SANHA</t>
  </si>
  <si>
    <t>Pointe Noire Terminal</t>
  </si>
  <si>
    <t>N'Kossa FPSO</t>
  </si>
  <si>
    <t>SANHA FSO</t>
  </si>
  <si>
    <t>SANHA ANGOLA</t>
  </si>
  <si>
    <t>SOYO</t>
  </si>
  <si>
    <t>NGESC</t>
  </si>
  <si>
    <t>BONNY</t>
  </si>
  <si>
    <t>TG TFW&gt;NG ESC</t>
  </si>
  <si>
    <t>Onne</t>
  </si>
  <si>
    <t>ESCRAVOS</t>
  </si>
  <si>
    <t>NG ESC</t>
  </si>
  <si>
    <t>Durban LPG</t>
  </si>
  <si>
    <t>Pointe Noire</t>
  </si>
  <si>
    <t>ZA PLZ&gt;ZA RCB</t>
  </si>
  <si>
    <t>ZARCB</t>
  </si>
  <si>
    <t>NG ESC FSO</t>
  </si>
  <si>
    <t>PlusPetrol Pisco</t>
  </si>
  <si>
    <t>LUANDA</t>
  </si>
  <si>
    <t>To Yanbu - via Cape</t>
  </si>
  <si>
    <t>To Yanbu - via GOA</t>
  </si>
  <si>
    <t>Ships that can do GOA</t>
  </si>
  <si>
    <t>US HOU ZA RCB</t>
  </si>
  <si>
    <t>EAST</t>
  </si>
  <si>
    <t>Walvis Bay</t>
  </si>
  <si>
    <t>WAF (discharge)</t>
  </si>
  <si>
    <t>SANHA</t>
  </si>
  <si>
    <t>Lome</t>
  </si>
  <si>
    <t>Bioko</t>
  </si>
  <si>
    <t>ESCRAVOS NIGERIA</t>
  </si>
  <si>
    <t>BONNY NIGERIA</t>
  </si>
  <si>
    <t>LUAND</t>
  </si>
  <si>
    <t>SANHA,ANGOLA</t>
  </si>
  <si>
    <t>Bata</t>
  </si>
  <si>
    <t>Alba LPG Plant</t>
  </si>
  <si>
    <t>Map Ta Phut</t>
  </si>
  <si>
    <t>Cape (as proxy)</t>
  </si>
  <si>
    <t>Durban</t>
  </si>
  <si>
    <t>Richards Bay Bidvest Terminal</t>
  </si>
  <si>
    <t>Durban LPG Terminal</t>
  </si>
  <si>
    <t>Beira (Mozambique, East Africa)</t>
  </si>
  <si>
    <t>Petredec Mauritius</t>
  </si>
  <si>
    <t>PORT ELZBTH</t>
  </si>
  <si>
    <t>BP Beira Products Terminal</t>
  </si>
  <si>
    <t>ZA RCB &gt; ZA CPT</t>
  </si>
  <si>
    <t>ZA PLZ</t>
  </si>
  <si>
    <t>MU PLU</t>
  </si>
  <si>
    <t>Tanzania + 7</t>
  </si>
  <si>
    <t>ZNZ</t>
  </si>
  <si>
    <t>TZZNZ</t>
  </si>
  <si>
    <t>WEST</t>
  </si>
  <si>
    <t>Cape of Good Hope</t>
  </si>
  <si>
    <t>COEGA</t>
  </si>
  <si>
    <t>South Africa</t>
  </si>
  <si>
    <t>Eastern Africa</t>
  </si>
  <si>
    <t>Tanzania International Petroleum Reserves</t>
  </si>
  <si>
    <t>BVI</t>
  </si>
  <si>
    <t>MBSA</t>
  </si>
  <si>
    <t>Mombasa</t>
  </si>
  <si>
    <t>Brazil</t>
  </si>
  <si>
    <t>MU PLU&gt;ZA RCB</t>
  </si>
  <si>
    <t>ZA RCB,SOUTH AFRICA</t>
  </si>
  <si>
    <t>ZA RCB</t>
  </si>
  <si>
    <t>TZ ZNZ</t>
  </si>
  <si>
    <t>Porvoo</t>
  </si>
  <si>
    <t>ZANZIBAR</t>
  </si>
  <si>
    <t>Greece</t>
  </si>
  <si>
    <t>Kalamata</t>
  </si>
  <si>
    <t>Kenya</t>
  </si>
  <si>
    <t>Nipah Light.</t>
  </si>
  <si>
    <t>SPORE PWBGA</t>
  </si>
  <si>
    <t>San Pedro?</t>
  </si>
  <si>
    <t>SGSIN PEBGB</t>
  </si>
  <si>
    <t>NG ESC&gt;SG SIN</t>
  </si>
  <si>
    <t>Pelepas Light.</t>
  </si>
  <si>
    <t>Singapore Strait</t>
  </si>
  <si>
    <t>SPORE</t>
  </si>
  <si>
    <t>SGSJN</t>
  </si>
  <si>
    <t>SG SINANG</t>
  </si>
  <si>
    <t>Singapore Republic</t>
  </si>
  <si>
    <t>SG PBGB</t>
  </si>
  <si>
    <t>SG SIN (PEBGA)</t>
  </si>
  <si>
    <t>SGSIN ASSPU</t>
  </si>
  <si>
    <t>SGSIN</t>
  </si>
  <si>
    <t>SINGAPORE-HORIZON</t>
  </si>
  <si>
    <t>SG WPBGA</t>
  </si>
  <si>
    <t>SG SILPWBGA</t>
  </si>
  <si>
    <t>PJSB SINGAPORE</t>
  </si>
  <si>
    <t>SG SIOGSIN</t>
  </si>
  <si>
    <t>ASSPU ANCHORAGE</t>
  </si>
  <si>
    <t>Malacca Strait</t>
  </si>
  <si>
    <t>Singapore (DD)</t>
  </si>
  <si>
    <t>KRINC ASSPU SIN</t>
  </si>
  <si>
    <t>KEPPEL</t>
  </si>
  <si>
    <t>SG-SIN/ASSPU</t>
  </si>
  <si>
    <t>SG-PGBG</t>
  </si>
  <si>
    <t>SG SIN PWBGA</t>
  </si>
  <si>
    <t>SG SIG</t>
  </si>
  <si>
    <t>SGSIG-PGBG</t>
  </si>
  <si>
    <t>SG SIN PGBG</t>
  </si>
  <si>
    <t>SGSIN PWBGA</t>
  </si>
  <si>
    <t>SG-PG</t>
  </si>
  <si>
    <t>SGSIN YTRDK</t>
  </si>
  <si>
    <t>NIPAH,ORE PEBGC</t>
  </si>
  <si>
    <t>SGSIG PGBG</t>
  </si>
  <si>
    <t>Huchem Bintulu Ammonia</t>
  </si>
  <si>
    <t>SNG</t>
  </si>
  <si>
    <t>PEBG</t>
  </si>
  <si>
    <t>Singapore (M'sia)</t>
  </si>
  <si>
    <t>SG SIN KEPPEL</t>
  </si>
  <si>
    <t>Western Petroleum B Anchorage</t>
  </si>
  <si>
    <t>SIN TUAS DD</t>
  </si>
  <si>
    <t>SG KEQRTH</t>
  </si>
  <si>
    <t>Johor Port Berhad</t>
  </si>
  <si>
    <t>Semabawang</t>
  </si>
  <si>
    <t>Tanjung Sulong</t>
  </si>
  <si>
    <t>Load Msia - Disch South/East China likely</t>
  </si>
  <si>
    <t>ATB</t>
  </si>
  <si>
    <t>KR MOK TO SG SIN</t>
  </si>
  <si>
    <t>Bintulu</t>
  </si>
  <si>
    <t>Johor Port</t>
  </si>
  <si>
    <t>Malaysia</t>
  </si>
  <si>
    <t>Kuantan</t>
  </si>
  <si>
    <t>Malaysia (bunkers)</t>
  </si>
  <si>
    <t>Petronas PBCT terminal</t>
  </si>
  <si>
    <t>Malaysia + 2</t>
  </si>
  <si>
    <t>Rapid</t>
  </si>
  <si>
    <t>Malaysia - Malacca Strait</t>
  </si>
  <si>
    <t>Stolthaven Westport Klang Terminal</t>
  </si>
  <si>
    <t>Sabah Ammonia Urea Terminal</t>
  </si>
  <si>
    <t>Petronas Melaka Refinery</t>
  </si>
  <si>
    <t>India?/SG-JP?</t>
  </si>
  <si>
    <t>Asia</t>
  </si>
  <si>
    <t>Taipei</t>
  </si>
  <si>
    <t>Taiwan + 2</t>
  </si>
  <si>
    <t>Shen-ao Oil Harbour</t>
  </si>
  <si>
    <t>Talin Refinery</t>
  </si>
  <si>
    <t>Talin Products Terminal</t>
  </si>
  <si>
    <t>Taichung LPG</t>
  </si>
  <si>
    <t>Taichung LPG Terminal</t>
  </si>
  <si>
    <t>Talin Products</t>
  </si>
  <si>
    <t>Shen-ao</t>
  </si>
  <si>
    <t>North China +4</t>
  </si>
  <si>
    <t>Rizhao</t>
  </si>
  <si>
    <t>Binzhou</t>
  </si>
  <si>
    <t>Huludao</t>
  </si>
  <si>
    <t>Bora LyondellBasell Panjin Cracker</t>
  </si>
  <si>
    <t>Laoining Kingfa Cracker</t>
  </si>
  <si>
    <t>Shandong</t>
  </si>
  <si>
    <t>Zhifu</t>
  </si>
  <si>
    <t>Dalian LPG</t>
  </si>
  <si>
    <t>Yantai LPG</t>
  </si>
  <si>
    <t>Yantai LPG Terminal</t>
  </si>
  <si>
    <t>Yantai Area</t>
  </si>
  <si>
    <t>Longkou Port</t>
  </si>
  <si>
    <t>Vopak Terminal Tianjin Lingang</t>
  </si>
  <si>
    <t>Rizhao Area</t>
  </si>
  <si>
    <t>Dalian Fujia</t>
  </si>
  <si>
    <t>Longkou LPG</t>
  </si>
  <si>
    <t>Longkou</t>
  </si>
  <si>
    <t>Tianjin Anchorage</t>
  </si>
  <si>
    <t>Vopak Tianjin Lingang</t>
  </si>
  <si>
    <t>Qingdao</t>
  </si>
  <si>
    <t>CN PAJ</t>
  </si>
  <si>
    <t>Lianyungang Petrochemical Storage</t>
  </si>
  <si>
    <t>Dongying LPG</t>
  </si>
  <si>
    <t>Sinopec Hainan</t>
  </si>
  <si>
    <t>South China + 4</t>
  </si>
  <si>
    <t>Hainan</t>
  </si>
  <si>
    <t>Dongshan Bay</t>
  </si>
  <si>
    <t>Shenzhen LPG</t>
  </si>
  <si>
    <t>Qinzhou LPG</t>
  </si>
  <si>
    <t>Guangdong Area</t>
  </si>
  <si>
    <t>Nansha</t>
  </si>
  <si>
    <t>Chaozhou</t>
  </si>
  <si>
    <t>Shenzhen LPG Terminal</t>
  </si>
  <si>
    <t>Fangcheng</t>
  </si>
  <si>
    <t>CN SHG HRDD</t>
  </si>
  <si>
    <t>Sinopec Fujian</t>
  </si>
  <si>
    <t>Shenzhen</t>
  </si>
  <si>
    <t>Hong Kong Port</t>
  </si>
  <si>
    <t>Fujian</t>
  </si>
  <si>
    <t>Haikou LPG</t>
  </si>
  <si>
    <t>CNFZG</t>
  </si>
  <si>
    <t>Hong Kong</t>
  </si>
  <si>
    <t>Sinochem Quanzhou Petrochemical</t>
  </si>
  <si>
    <t>South China Sea</t>
  </si>
  <si>
    <t>Fuzhou Chemicals</t>
  </si>
  <si>
    <t>Huizhou Petrochemicals</t>
  </si>
  <si>
    <t>Guangdong</t>
  </si>
  <si>
    <t>Chiwan Petroleum</t>
  </si>
  <si>
    <t>Guangzhou Area</t>
  </si>
  <si>
    <t>Dongshan LPG</t>
  </si>
  <si>
    <t>Zhu Hai</t>
  </si>
  <si>
    <t>Yiulian Shipyard</t>
  </si>
  <si>
    <t>Dry dock</t>
  </si>
  <si>
    <t>Zhanjiang</t>
  </si>
  <si>
    <t>BASF Zhanjiang Verbund</t>
  </si>
  <si>
    <t>Jingjiang LPG</t>
  </si>
  <si>
    <t>East China + 4</t>
  </si>
  <si>
    <t>Tongshouwei Shipyard</t>
  </si>
  <si>
    <t>Dry Dock</t>
  </si>
  <si>
    <t>Yellow Sea</t>
  </si>
  <si>
    <t>Daxie Ningbo LPG</t>
  </si>
  <si>
    <t>Chongming</t>
  </si>
  <si>
    <t>Jiangyin Lyon</t>
  </si>
  <si>
    <t>Huangyan Shanzui Tou Import Terminal</t>
  </si>
  <si>
    <t>Zhapu LPG Terminal</t>
  </si>
  <si>
    <t>Caojing</t>
  </si>
  <si>
    <t>Caojing Anchorage</t>
  </si>
  <si>
    <t>Jiangsu Litian</t>
  </si>
  <si>
    <t>Qidu</t>
  </si>
  <si>
    <t>Chang Jiang Kou Anch.</t>
  </si>
  <si>
    <t>Nantong 2</t>
  </si>
  <si>
    <t>Shanghai Area</t>
  </si>
  <si>
    <t>West Pacific Petrochemical Company Refinery</t>
  </si>
  <si>
    <t>Jiangsu Litian Terminal</t>
  </si>
  <si>
    <t>Chengxi Shipyard</t>
  </si>
  <si>
    <t>Jiangyin Chengxi Ship Voyage Repair</t>
  </si>
  <si>
    <t>Vopak Ningbo</t>
  </si>
  <si>
    <t>CJK</t>
  </si>
  <si>
    <t>Shanghai</t>
  </si>
  <si>
    <t>Shuidong</t>
  </si>
  <si>
    <t>South China + 3</t>
  </si>
  <si>
    <t>Dafeng</t>
  </si>
  <si>
    <t>Yangtze river</t>
  </si>
  <si>
    <t>Xiaomenyu Port</t>
  </si>
  <si>
    <t>Huangyan Shanzui Tou</t>
  </si>
  <si>
    <t>Zhenjiang</t>
  </si>
  <si>
    <t>Jiangnan Shipyard</t>
  </si>
  <si>
    <t>Zhapu LPG</t>
  </si>
  <si>
    <t>Zhoushan</t>
  </si>
  <si>
    <t>East China Sea</t>
  </si>
  <si>
    <t>Hengli Petrochemical</t>
  </si>
  <si>
    <t>Sinopec Nanjing</t>
  </si>
  <si>
    <t>Eastern China Sea</t>
  </si>
  <si>
    <t>Gyeongsangnam</t>
  </si>
  <si>
    <t>Korea + 4</t>
  </si>
  <si>
    <t>Korea+3/+1 bunkers</t>
  </si>
  <si>
    <t>Yeosu Light.</t>
  </si>
  <si>
    <t>Ulsan Ammonia Terminal</t>
  </si>
  <si>
    <t>SK Ulsan Refinery</t>
  </si>
  <si>
    <t>Seetec Daesan</t>
  </si>
  <si>
    <t>Busan</t>
  </si>
  <si>
    <t>Ulsan Ammonia</t>
  </si>
  <si>
    <t>Boryeong</t>
  </si>
  <si>
    <t>Boryeong LNG Terminal</t>
  </si>
  <si>
    <t>Incheon Port</t>
  </si>
  <si>
    <t>Hyundai Daesan Refinery</t>
  </si>
  <si>
    <t>Niihama</t>
  </si>
  <si>
    <t>Japan + 6</t>
  </si>
  <si>
    <t>Naoetsu INPEX</t>
  </si>
  <si>
    <t>Tsuneishi Shipyard</t>
  </si>
  <si>
    <t>Marifu Refinery</t>
  </si>
  <si>
    <t>Matsuura</t>
  </si>
  <si>
    <t>Niigata LPG</t>
  </si>
  <si>
    <t>Yokkaichi</t>
  </si>
  <si>
    <t>Chiba Area</t>
  </si>
  <si>
    <t>Kagoshima</t>
  </si>
  <si>
    <t>Nagasaki Works</t>
  </si>
  <si>
    <t>Tokuyama</t>
  </si>
  <si>
    <t>Hitachi LPG</t>
  </si>
  <si>
    <t>Kawasaki</t>
  </si>
  <si>
    <t>Negishi LNG Terminal</t>
  </si>
  <si>
    <t>Sakaide LPG</t>
  </si>
  <si>
    <t>Kashima</t>
  </si>
  <si>
    <t>Oita LPG</t>
  </si>
  <si>
    <t>Naoetsu INPEX LNG Terminal</t>
  </si>
  <si>
    <t>Kinuura</t>
  </si>
  <si>
    <t>Tokuyama LPG Terminal</t>
  </si>
  <si>
    <t>Nisshin Oillio Okayama</t>
  </si>
  <si>
    <t>Yokohama</t>
  </si>
  <si>
    <t>Kobe</t>
  </si>
  <si>
    <t>Ohgishima LNG Terminal</t>
  </si>
  <si>
    <t>Japan Sea</t>
  </si>
  <si>
    <t>Himeji</t>
  </si>
  <si>
    <t>Joetsu INPEX</t>
  </si>
  <si>
    <t>Yokosuka</t>
  </si>
  <si>
    <t>Kaita</t>
  </si>
  <si>
    <t>Fukuoka LPG Centre</t>
  </si>
  <si>
    <t>Showa Kobe Terminal</t>
  </si>
  <si>
    <t>Fukuyama</t>
  </si>
  <si>
    <t>Visakhapatnam Refinery</t>
  </si>
  <si>
    <t>ECI + 5</t>
  </si>
  <si>
    <t>Ennore Fertilizer Plant</t>
  </si>
  <si>
    <t>Kakinada Fertilizer</t>
  </si>
  <si>
    <t>Petregaz Krishnapatnam</t>
  </si>
  <si>
    <t>Paradip</t>
  </si>
  <si>
    <t>Ennore</t>
  </si>
  <si>
    <t>Ennore Terminal</t>
  </si>
  <si>
    <t>East Coast India</t>
  </si>
  <si>
    <t>Dhamra Anchorage</t>
  </si>
  <si>
    <t>"ECI" +3 (Bangladesh)</t>
  </si>
  <si>
    <t>Visakhapatnam</t>
  </si>
  <si>
    <t>Dhamra Light.</t>
  </si>
  <si>
    <t>Aegis Pipavav</t>
  </si>
  <si>
    <t>WCI + 5</t>
  </si>
  <si>
    <t>Tuticorin</t>
  </si>
  <si>
    <t>Kakinada Fertilizer Terminal</t>
  </si>
  <si>
    <t>Hazira</t>
  </si>
  <si>
    <t>New Manglore</t>
  </si>
  <si>
    <t xml:space="preserve">New Mangalore </t>
  </si>
  <si>
    <t xml:space="preserve">New Manglore </t>
  </si>
  <si>
    <t>Kochi</t>
  </si>
  <si>
    <t>Kochi LNG Terminal</t>
  </si>
  <si>
    <t>LKCMB</t>
  </si>
  <si>
    <t>Colombo Anch</t>
  </si>
  <si>
    <t>Dahej</t>
  </si>
  <si>
    <t>Sikka</t>
  </si>
  <si>
    <t>BPCL Mumbai</t>
  </si>
  <si>
    <t>West Coast India</t>
  </si>
  <si>
    <t>Mumbai Light.</t>
  </si>
  <si>
    <t>Villa Male tanks farm</t>
  </si>
  <si>
    <t>Galle +2</t>
  </si>
  <si>
    <t>LAUGFS Colombo</t>
  </si>
  <si>
    <t>LAUGFS Hambantota</t>
  </si>
  <si>
    <t>Male Anchorage</t>
  </si>
  <si>
    <t>Male</t>
  </si>
  <si>
    <t>Trincomalee Light.</t>
  </si>
  <si>
    <t>Indian Ocean</t>
  </si>
  <si>
    <t>Colombo</t>
  </si>
  <si>
    <t>Manila</t>
  </si>
  <si>
    <t>Philippines + 3</t>
  </si>
  <si>
    <t>Sual</t>
  </si>
  <si>
    <t>Port Dickson Refinery</t>
  </si>
  <si>
    <t>Liquigaz Sariaya Terminal</t>
  </si>
  <si>
    <t>Batangas</t>
  </si>
  <si>
    <t>Petron Mandaue Depot</t>
  </si>
  <si>
    <t>Petron Bataan Refinery</t>
  </si>
  <si>
    <t>Davao</t>
  </si>
  <si>
    <t>Subic Bay</t>
  </si>
  <si>
    <t>Liquigaz Sariaya</t>
  </si>
  <si>
    <t>Luzon</t>
  </si>
  <si>
    <t>Hai Phong</t>
  </si>
  <si>
    <t>Vietnam + 3</t>
  </si>
  <si>
    <t>Philphos Fertilizer Plant</t>
  </si>
  <si>
    <t>PetroVietnam Vung Tau Oil Terminal</t>
  </si>
  <si>
    <t>Ho Chi Minh</t>
  </si>
  <si>
    <t>Haiphong</t>
  </si>
  <si>
    <t>Thai Binh</t>
  </si>
  <si>
    <t>Map Ta Phut Terminal</t>
  </si>
  <si>
    <t>Thailand +3</t>
  </si>
  <si>
    <t>Sriracha LPG</t>
  </si>
  <si>
    <t>Sriracha LPG Terminal</t>
  </si>
  <si>
    <t>Indo + 4</t>
  </si>
  <si>
    <t>South-East Asia</t>
  </si>
  <si>
    <t>Teluk Semangka Terminal</t>
  </si>
  <si>
    <t>Indo + 4 (STS)</t>
  </si>
  <si>
    <t>Bontang LPG</t>
  </si>
  <si>
    <t>Pertamina Bintan BBM</t>
  </si>
  <si>
    <t>Pertamina TBBM Tanjung Uban Import Terminal</t>
  </si>
  <si>
    <t>Indonesia</t>
  </si>
  <si>
    <t>Pertamina Panjang Bandar Lampung</t>
  </si>
  <si>
    <t>Teluk Kabung Terminal</t>
  </si>
  <si>
    <t>Oiltanking Merak</t>
  </si>
  <si>
    <t>Batam Port</t>
  </si>
  <si>
    <t>Anyer Terminal</t>
  </si>
  <si>
    <t>Teluk Kabung</t>
  </si>
  <si>
    <t>Pertamina Tanjung Sekong</t>
  </si>
  <si>
    <t>Kalbut Situbondo</t>
  </si>
  <si>
    <t>Anyer</t>
  </si>
  <si>
    <t>Tanjung Priok</t>
  </si>
  <si>
    <t>Banggai</t>
  </si>
  <si>
    <t>Kalimantan</t>
  </si>
  <si>
    <t>Rayong</t>
  </si>
  <si>
    <t>Thailand + 3</t>
  </si>
  <si>
    <t>Westernport</t>
  </si>
  <si>
    <t>open "Indo" + 7</t>
  </si>
  <si>
    <t>Australia + 2</t>
  </si>
  <si>
    <t>Ichthys</t>
  </si>
  <si>
    <t>Bonython</t>
  </si>
  <si>
    <t>Gladstone</t>
  </si>
  <si>
    <t>Bayu Undan FPSO</t>
  </si>
  <si>
    <t>Kwinana Ammonia</t>
  </si>
  <si>
    <t>Channel Island LPG</t>
  </si>
  <si>
    <t>Prelude FLNG</t>
  </si>
  <si>
    <t>Prelude</t>
  </si>
  <si>
    <t>North West Shelf LPG</t>
  </si>
  <si>
    <t>BP Pinkenba</t>
  </si>
  <si>
    <t>Aus discharge</t>
  </si>
  <si>
    <t>Put open "Indo" first</t>
  </si>
  <si>
    <t>Repsol Tarragona Butano</t>
  </si>
  <si>
    <t>Eu +8</t>
  </si>
  <si>
    <t>Tarragona</t>
  </si>
  <si>
    <t>Stenungsund Terminal</t>
  </si>
  <si>
    <t>Eu + 4</t>
  </si>
  <si>
    <t>Fortuneswell</t>
  </si>
  <si>
    <t>Switzerland</t>
  </si>
  <si>
    <t>Kemaman</t>
  </si>
  <si>
    <t>Zeebrugge</t>
  </si>
  <si>
    <t>Ravenna</t>
  </si>
  <si>
    <t>Naples Refinery</t>
  </si>
  <si>
    <t>BE ANR H</t>
  </si>
  <si>
    <t>Rotterdam</t>
  </si>
  <si>
    <t>Skagen</t>
  </si>
  <si>
    <t>Netherlands</t>
  </si>
  <si>
    <t>Lavera 2</t>
  </si>
  <si>
    <t>Poland</t>
  </si>
  <si>
    <t>Vopak Vlissingen</t>
  </si>
  <si>
    <t>United Kingdom</t>
  </si>
  <si>
    <t>Port of Spain</t>
  </si>
  <si>
    <t>Zeebrugge LPG Terminal</t>
  </si>
  <si>
    <t>Borealis Porvoo</t>
  </si>
  <si>
    <t>English Channel</t>
  </si>
  <si>
    <t>Repsol Butano</t>
  </si>
  <si>
    <t>Repsol Cartagena Refinery</t>
  </si>
  <si>
    <t>Sines Terminal de Graneis Liquidos</t>
  </si>
  <si>
    <t>Fos</t>
  </si>
  <si>
    <t>Europe</t>
  </si>
  <si>
    <t>Donges</t>
  </si>
  <si>
    <t>Marseille</t>
  </si>
  <si>
    <t>Ceuta</t>
  </si>
  <si>
    <t>Le Havre</t>
  </si>
  <si>
    <t>BASF Antwerpen</t>
  </si>
  <si>
    <t>North West Europe Zone</t>
  </si>
  <si>
    <t>Teesside</t>
  </si>
  <si>
    <t>Ghent</t>
  </si>
  <si>
    <t>Gijon LPG</t>
  </si>
  <si>
    <t>Spain</t>
  </si>
  <si>
    <t>Portugal</t>
  </si>
  <si>
    <t>Le Havre Norgal</t>
  </si>
  <si>
    <t>Karlshamn</t>
  </si>
  <si>
    <t>Canvey Island</t>
  </si>
  <si>
    <t>Gothenburg</t>
  </si>
  <si>
    <t>BASF Antwerp</t>
  </si>
  <si>
    <t>Gijon LPG Terminal</t>
  </si>
  <si>
    <t>ETT Rotterdam</t>
  </si>
  <si>
    <t>Sines</t>
  </si>
  <si>
    <t>Eu + 5</t>
  </si>
  <si>
    <t>Denmark</t>
  </si>
  <si>
    <t>ARA</t>
  </si>
  <si>
    <t>Lisbon</t>
  </si>
  <si>
    <t>Vlissingen</t>
  </si>
  <si>
    <t>Porvoo LPG</t>
  </si>
  <si>
    <t>Immingham Gas</t>
  </si>
  <si>
    <t>Brest</t>
  </si>
  <si>
    <t>Fort de France Refinery</t>
  </si>
  <si>
    <t>Dunkirk</t>
  </si>
  <si>
    <t>Versalis Dunkirk Cracker</t>
  </si>
  <si>
    <t>Skagen Anchorage</t>
  </si>
  <si>
    <t>Immingham</t>
  </si>
  <si>
    <t>US MAH - NL VLI</t>
  </si>
  <si>
    <t>Brindisi</t>
  </si>
  <si>
    <t>Karsto</t>
  </si>
  <si>
    <t>Cartagena</t>
  </si>
  <si>
    <t>Karsto Processing Plant</t>
  </si>
  <si>
    <t>Dow Terneuzen</t>
  </si>
  <si>
    <t>Brunsbuttel</t>
  </si>
  <si>
    <t>Oiltank. Amsterdam</t>
  </si>
  <si>
    <t>Snohvit</t>
  </si>
  <si>
    <t>BMF Burgas</t>
  </si>
  <si>
    <t>Turkey + 5</t>
  </si>
  <si>
    <t>Burgas</t>
  </si>
  <si>
    <t>Yara Sluiskil</t>
  </si>
  <si>
    <t>Vopak Terminal Vlissingen</t>
  </si>
  <si>
    <t>Swinoujscie Area</t>
  </si>
  <si>
    <t>Bosphorus Strait</t>
  </si>
  <si>
    <t>Augusta</t>
  </si>
  <si>
    <t>Vassiliko</t>
  </si>
  <si>
    <t>Livorno</t>
  </si>
  <si>
    <t>Guzeliali Shipyard</t>
  </si>
  <si>
    <t>Italy</t>
  </si>
  <si>
    <t>Romano</t>
  </si>
  <si>
    <t>Canakkale</t>
  </si>
  <si>
    <t>Aygaz Izmit</t>
  </si>
  <si>
    <t>Nemrut</t>
  </si>
  <si>
    <t>Ceyhan</t>
  </si>
  <si>
    <t>Aliaga</t>
  </si>
  <si>
    <t>Tuzla Shipyard</t>
  </si>
  <si>
    <t>Equinor Mongstad Refinery</t>
  </si>
  <si>
    <t>Greece (Turkey)</t>
  </si>
  <si>
    <t>Piraeus</t>
  </si>
  <si>
    <t>Aygaz-Ipragaz Terminal</t>
  </si>
  <si>
    <t>Nemrut LPG</t>
  </si>
  <si>
    <t>Alania</t>
  </si>
  <si>
    <t>Gibraltar Dockyard</t>
  </si>
  <si>
    <t>Flushing Anchorage 2</t>
  </si>
  <si>
    <t>Falmouth</t>
  </si>
  <si>
    <t>Vopak Terminal Vlissngen</t>
  </si>
  <si>
    <t>Northern Europe</t>
  </si>
  <si>
    <t>Tangier</t>
  </si>
  <si>
    <t>Tunisia</t>
  </si>
  <si>
    <t>Sarroch Refinery</t>
  </si>
  <si>
    <t>Algeciras</t>
  </si>
  <si>
    <t>East Med (Malta)</t>
  </si>
  <si>
    <t>Gibraltar-San Roque Refinery</t>
  </si>
  <si>
    <t>East Med (Cypress)</t>
  </si>
  <si>
    <t>East Med (Greece)</t>
  </si>
  <si>
    <t>Med SEA</t>
  </si>
  <si>
    <t>Limassol Light.</t>
  </si>
  <si>
    <t>Malta Light.</t>
  </si>
  <si>
    <t>Kalamata Light.</t>
  </si>
  <si>
    <t>Morocco</t>
  </si>
  <si>
    <t>Tenerife</t>
  </si>
  <si>
    <t>Mohammedia + 1</t>
  </si>
  <si>
    <t>MOH Corinth Refinery</t>
  </si>
  <si>
    <t>Birzebbugia</t>
  </si>
  <si>
    <t>Paldisky -&gt; South/East China (Ust Luga, Estonia; likely SIBUR)</t>
  </si>
  <si>
    <t>ZOUK</t>
  </si>
  <si>
    <t>AS Alexela Terminal</t>
  </si>
  <si>
    <t>Hualpen Gas</t>
  </si>
  <si>
    <t>Mejillones</t>
  </si>
  <si>
    <t>Quintero Lipigas</t>
  </si>
  <si>
    <t>Quintero Gasmar</t>
  </si>
  <si>
    <t>Hualpen Gas Terminal</t>
  </si>
  <si>
    <t>Bay of Campeche</t>
  </si>
  <si>
    <t>Puerto Quetzal</t>
  </si>
  <si>
    <t>Gulf of Mexico</t>
  </si>
  <si>
    <t>Omoa LPG</t>
  </si>
  <si>
    <t>Tuxpan Termigas</t>
  </si>
  <si>
    <t>Lazaro Cardenas LPG Terminal</t>
  </si>
  <si>
    <t>Ensenada</t>
  </si>
  <si>
    <t>Manzanillo</t>
  </si>
  <si>
    <t>Monteverde (Ecuador)</t>
  </si>
  <si>
    <t>Callao</t>
  </si>
  <si>
    <t>Suape + 4</t>
  </si>
  <si>
    <t>Rio Grande LPG</t>
  </si>
  <si>
    <t>Rio Grande LPG Terminal</t>
  </si>
  <si>
    <t>Rio de Janeiro LPG Terminal</t>
  </si>
  <si>
    <t>Chorrillo</t>
  </si>
  <si>
    <t>Ecuador</t>
  </si>
  <si>
    <t>BR SUA</t>
  </si>
  <si>
    <t>Santo Tomas de Castilla</t>
  </si>
  <si>
    <t>La Teja Refinery</t>
  </si>
  <si>
    <t>Santos + 2</t>
  </si>
  <si>
    <t>+14 days to Far East</t>
  </si>
  <si>
    <t>Alemoa</t>
  </si>
  <si>
    <t>Manzanillo (Mexico)</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</si>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</sst>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d\ mmm\ yyyy\ h:mm"/>
    <numFmt numFmtId="165" formatCode="dmmm"/>
    <numFmt numFmtId="166" formatCode="h:mm\ AM/PM"/>
    <numFmt numFmtId="167" formatCode="d\ mmmm\ yyyy\ h:mm"/>
    <numFmt numFmtId="168" formatCode="d\-mmm\-yyyy\ h:mm"/>
    <numFmt numFmtId="169" formatCode="mmm\-d"/>
    <numFmt numFmtId="170" formatCode="mmm&quot;-&quot;yy"/>
    <numFmt numFmtId="171" formatCode="mmmd"/>
    <numFmt numFmtId="172" formatCode="dd\ mmm"/>
    <numFmt numFmtId="173" formatCode="yyyy"/>
    <numFmt numFmtId="174" formatCode="d\ mmm"/>
    <numFmt numFmtId="175" formatCode="d\ mmmm"/>
    <numFmt numFmtId="176" formatCode="dd\ mmmm"/>
    <numFmt numFmtId="177" formatCode="mmm\ yy"/>
    <numFmt numFmtId="178" formatCode="mmm\ yyyy"/>
    <numFmt numFmtId="179" formatCode="dd\ mmm\ h:mm\ AM/PM"/>
    <numFmt numFmtId="180" formatCode="m\-d"/>
    <numFmt numFmtId="181" formatCode="0.000"/>
    <numFmt numFmtId="182" formatCode="0.0"/>
  </numFmts>
  <fonts count="72" x14ac:knownFonts="1">
    <font>
      <sz val="11"/>
      <color rgb="FF000000"/>
      <name val="Calibri"/>
      <scheme val="minor"/>
    </font>
    <font>
      <b/>
      <u/>
      <sz val="10"/>
      <color theme="1"/>
      <name val="Calibri"/>
      <scheme val="minor"/>
    </font>
    <font>
      <sz val="10"/>
      <color theme="1"/>
      <name val="Calibri"/>
    </font>
    <font>
      <sz val="11"/>
      <color rgb="FF000000"/>
      <name val="Calibri"/>
    </font>
    <font>
      <sz val="11"/>
      <color rgb="FF000000"/>
      <name val="Calibri"/>
      <scheme val="minor"/>
    </font>
    <font>
      <sz val="12"/>
      <color rgb="FF000000"/>
      <name val="Calibri"/>
    </font>
    <font>
      <b/>
      <u/>
      <sz val="11"/>
      <color rgb="FF000000"/>
      <name val="Calibri"/>
      <scheme val="minor"/>
    </font>
    <font>
      <b/>
      <u/>
      <sz val="11"/>
      <color rgb="FF000000"/>
      <name val="Calibri"/>
    </font>
    <font>
      <b/>
      <sz val="11"/>
      <color rgb="FF000000"/>
      <name val="Calibri"/>
    </font>
    <font>
      <b/>
      <u/>
      <sz val="11"/>
      <color rgb="FF000000"/>
      <name val="Calibri"/>
    </font>
    <font>
      <b/>
      <u/>
      <sz val="11"/>
      <color rgb="FF000000"/>
      <name val="Calibri"/>
    </font>
    <font>
      <b/>
      <u/>
      <sz val="11"/>
      <color rgb="FF000000"/>
      <name val="Calibri"/>
    </font>
    <font>
      <sz val="10"/>
      <color theme="1"/>
      <name val="Calibri"/>
      <scheme val="minor"/>
    </font>
    <font>
      <b/>
      <sz val="12"/>
      <color rgb="FF000000"/>
      <name val="Calibri"/>
    </font>
    <font>
      <b/>
      <u/>
      <sz val="11"/>
      <color theme="1"/>
      <name val="Calibri"/>
      <scheme val="minor"/>
    </font>
    <font>
      <sz val="11"/>
      <color theme="1"/>
      <name val="Calibri"/>
      <scheme val="minor"/>
    </font>
    <font>
      <b/>
      <u/>
      <sz val="11"/>
      <color rgb="FF000000"/>
      <name val="Calibri"/>
    </font>
    <font>
      <sz val="11"/>
      <color rgb="FF0000FF"/>
      <name val="Calibri"/>
      <scheme val="minor"/>
    </font>
    <font>
      <sz val="11"/>
      <color rgb="FF0000FF"/>
      <name val="Calibri"/>
    </font>
    <font>
      <sz val="11"/>
      <color rgb="FF000000"/>
      <name val="Calibri"/>
    </font>
    <font>
      <sz val="11"/>
      <color theme="1"/>
      <name val="Calibri"/>
    </font>
    <font>
      <sz val="11"/>
      <color rgb="FFFFFFFF"/>
      <name val="Calibri"/>
    </font>
    <font>
      <b/>
      <sz val="11"/>
      <color rgb="FFFFFFFF"/>
      <name val="Calibri"/>
    </font>
    <font>
      <sz val="11"/>
      <color theme="1"/>
      <name val="Calibri"/>
      <scheme val="minor"/>
    </font>
    <font>
      <sz val="11"/>
      <color rgb="FFFF00FF"/>
      <name val="Calibri"/>
    </font>
    <font>
      <b/>
      <sz val="11"/>
      <color rgb="FF990000"/>
      <name val="Calibri"/>
    </font>
    <font>
      <b/>
      <sz val="11"/>
      <color theme="1"/>
      <name val="Calibri"/>
    </font>
    <font>
      <sz val="11"/>
      <color rgb="FFFF0000"/>
      <name val="Calibri"/>
    </font>
    <font>
      <sz val="11"/>
      <color rgb="FF181A1B"/>
      <name val="Calibri"/>
    </font>
    <font>
      <b/>
      <sz val="11"/>
      <color rgb="FF9C0006"/>
      <name val="Calibri"/>
    </font>
    <font>
      <b/>
      <i/>
      <sz val="11"/>
      <color rgb="FFFF00FF"/>
      <name val="Calibri"/>
    </font>
    <font>
      <b/>
      <i/>
      <sz val="11"/>
      <color rgb="FF000000"/>
      <name val="Calibri"/>
    </font>
    <font>
      <sz val="11"/>
      <color rgb="FF1155CC"/>
      <name val="Calibri"/>
    </font>
    <font>
      <i/>
      <sz val="11"/>
      <color rgb="FF000000"/>
      <name val="Calibri"/>
    </font>
    <font>
      <b/>
      <i/>
      <sz val="11"/>
      <color rgb="FF9900FF"/>
      <name val="Calibri"/>
    </font>
    <font>
      <b/>
      <i/>
      <sz val="11"/>
      <color theme="1"/>
      <name val="Calibri"/>
    </font>
    <font>
      <strike/>
      <sz val="11"/>
      <color theme="1"/>
      <name val="Calibri"/>
    </font>
    <font>
      <strike/>
      <sz val="11"/>
      <color rgb="FF000000"/>
      <name val="Calibri"/>
    </font>
    <font>
      <sz val="11"/>
      <color rgb="FF9900CC"/>
      <name val="Calibri"/>
    </font>
    <font>
      <b/>
      <sz val="11"/>
      <color rgb="FF9900CC"/>
      <name val="Calibri"/>
    </font>
    <font>
      <sz val="11"/>
      <color rgb="FF9900FF"/>
      <name val="Calibri"/>
    </font>
    <font>
      <b/>
      <sz val="11"/>
      <color rgb="FF181A1B"/>
      <name val="Calibri"/>
    </font>
    <font>
      <b/>
      <sz val="10"/>
      <color rgb="FF000000"/>
      <name val="Calibri"/>
    </font>
    <font>
      <sz val="10"/>
      <color rgb="FF000000"/>
      <name val="Calibri"/>
    </font>
    <font>
      <b/>
      <sz val="10"/>
      <color theme="1"/>
      <name val="Calibri"/>
    </font>
    <font>
      <b/>
      <sz val="10"/>
      <color rgb="FFFF0000"/>
      <name val="Calibri"/>
    </font>
    <font>
      <b/>
      <sz val="10"/>
      <color rgb="FFFFFFFF"/>
      <name val="Calibri"/>
    </font>
    <font>
      <b/>
      <i/>
      <sz val="10"/>
      <color rgb="FF000000"/>
      <name val="Calibri"/>
    </font>
    <font>
      <sz val="10"/>
      <color rgb="FFFF0000"/>
      <name val="Calibri"/>
    </font>
    <font>
      <sz val="10"/>
      <color rgb="FF0000FF"/>
      <name val="Calibri"/>
    </font>
    <font>
      <b/>
      <i/>
      <sz val="10"/>
      <color rgb="FFFF9900"/>
      <name val="Calibri"/>
    </font>
    <font>
      <sz val="10"/>
      <color rgb="FFFF9900"/>
      <name val="Calibri"/>
    </font>
    <font>
      <sz val="10"/>
      <color rgb="FF000000"/>
      <name val="Arial"/>
    </font>
    <font>
      <i/>
      <sz val="10"/>
      <color rgb="FFFF0000"/>
      <name val="Calibri"/>
    </font>
    <font>
      <i/>
      <sz val="10"/>
      <color rgb="FF000000"/>
      <name val="Calibri"/>
    </font>
    <font>
      <b/>
      <sz val="10"/>
      <color rgb="FF9900FF"/>
      <name val="Calibri"/>
    </font>
    <font>
      <b/>
      <u/>
      <sz val="10"/>
      <color theme="1"/>
      <name val="Calibri"/>
      <scheme val="minor"/>
    </font>
    <font>
      <b/>
      <u/>
      <sz val="10"/>
      <color rgb="FF000000"/>
      <name val="Calibri"/>
    </font>
    <font>
      <sz val="10"/>
      <color rgb="FF000000"/>
      <name val="Roboto"/>
    </font>
    <font>
      <sz val="10"/>
      <color theme="1"/>
      <name val="Aptos"/>
    </font>
    <font>
      <sz val="10"/>
      <color rgb="FFFFFFFF"/>
      <name val="Calibri"/>
      <scheme val="minor"/>
    </font>
    <font>
      <strike/>
      <sz val="10"/>
      <color theme="1"/>
      <name val="Calibri"/>
    </font>
    <font>
      <b/>
      <sz val="10"/>
      <color theme="1"/>
      <name val="Calibri"/>
      <scheme val="minor"/>
    </font>
    <font>
      <b/>
      <u/>
      <sz val="11"/>
      <color theme="1"/>
      <name val="Calibri"/>
    </font>
    <font>
      <b/>
      <u/>
      <sz val="11"/>
      <color rgb="FF000000"/>
      <name val="Calibri"/>
    </font>
    <font>
      <b/>
      <u/>
      <sz val="11"/>
      <color rgb="FF000000"/>
      <name val="Calibri"/>
    </font>
    <font>
      <b/>
      <u/>
      <sz val="11"/>
      <color rgb="FF000000"/>
      <name val="Calibri"/>
    </font>
    <font>
      <b/>
      <sz val="11"/>
      <color rgb="FF0000FF"/>
      <name val="Calibri"/>
    </font>
    <font>
      <sz val="11"/>
      <color rgb="FF666666"/>
      <name val="Calibri"/>
    </font>
    <font>
      <b/>
      <u/>
      <sz val="11"/>
      <color theme="1"/>
      <name val="Calibri"/>
    </font>
    <font>
      <b/>
      <sz val="11"/>
      <color rgb="FFFF0000"/>
      <name val="Calibri"/>
    </font>
    <font>
      <b/>
      <sz val="11"/>
      <color rgb="FF9900FF"/>
      <name val="Calibri"/>
    </font>
  </fonts>
  <fills count="28">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1F3864"/>
        <bgColor rgb="FF1F3864"/>
      </patternFill>
    </fill>
    <fill>
      <patternFill patternType="solid">
        <fgColor rgb="FF2F5496"/>
        <bgColor rgb="FF2F5496"/>
      </patternFill>
    </fill>
    <fill>
      <patternFill patternType="solid">
        <fgColor rgb="FFD9E2F3"/>
        <bgColor rgb="FFD9E2F3"/>
      </patternFill>
    </fill>
    <fill>
      <patternFill patternType="solid">
        <fgColor rgb="FFB7B7B7"/>
        <bgColor rgb="FFB7B7B7"/>
      </patternFill>
    </fill>
    <fill>
      <patternFill patternType="solid">
        <fgColor rgb="FFC9DAF8"/>
        <bgColor rgb="FFC9DAF8"/>
      </patternFill>
    </fill>
    <fill>
      <patternFill patternType="solid">
        <fgColor theme="0"/>
        <bgColor theme="0"/>
      </patternFill>
    </fill>
    <fill>
      <patternFill patternType="solid">
        <fgColor rgb="FFFF9900"/>
        <bgColor rgb="FFFF9900"/>
      </patternFill>
    </fill>
    <fill>
      <patternFill patternType="solid">
        <fgColor rgb="FFFEF2CB"/>
        <bgColor rgb="FFFEF2CB"/>
      </patternFill>
    </fill>
    <fill>
      <patternFill patternType="solid">
        <fgColor rgb="FFFFF2CC"/>
        <bgColor rgb="FFFFF2CC"/>
      </patternFill>
    </fill>
    <fill>
      <patternFill patternType="solid">
        <fgColor rgb="FF666666"/>
        <bgColor rgb="FF666666"/>
      </patternFill>
    </fill>
    <fill>
      <patternFill patternType="solid">
        <fgColor rgb="FFF4CCCC"/>
        <bgColor rgb="FFF4CCCC"/>
      </patternFill>
    </fill>
    <fill>
      <patternFill patternType="solid">
        <fgColor rgb="FFFFFF00"/>
        <bgColor rgb="FFFFFF00"/>
      </patternFill>
    </fill>
    <fill>
      <patternFill patternType="solid">
        <fgColor rgb="FF741B47"/>
        <bgColor rgb="FF741B47"/>
      </patternFill>
    </fill>
    <fill>
      <patternFill patternType="solid">
        <fgColor rgb="FFE69138"/>
        <bgColor rgb="FFE69138"/>
      </patternFill>
    </fill>
    <fill>
      <patternFill patternType="solid">
        <fgColor rgb="FF999999"/>
        <bgColor rgb="FF999999"/>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D0E0E3"/>
        <bgColor rgb="FFD0E0E3"/>
      </patternFill>
    </fill>
    <fill>
      <patternFill patternType="solid">
        <fgColor rgb="FF1E6679"/>
        <bgColor rgb="FF1E6679"/>
      </patternFill>
    </fill>
    <fill>
      <patternFill patternType="solid">
        <fgColor rgb="FF9FC5E8"/>
        <bgColor rgb="FF9FC5E8"/>
      </patternFill>
    </fill>
    <fill>
      <patternFill patternType="solid">
        <fgColor rgb="FFA4C2F4"/>
        <bgColor rgb="FFA4C2F4"/>
      </patternFill>
    </fill>
    <fill>
      <patternFill patternType="solid">
        <fgColor rgb="FFD9D9D9"/>
        <bgColor rgb="FFD9D9D9"/>
      </patternFill>
    </fill>
    <fill>
      <patternFill patternType="solid">
        <fgColor rgb="FF3C78D8"/>
        <bgColor rgb="FF3C78D8"/>
      </patternFill>
    </fill>
  </fills>
  <borders count="49">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right/>
      <top/>
      <bottom/>
      <diagonal/>
    </border>
    <border>
      <left/>
      <right/>
      <top/>
      <bottom/>
      <diagonal/>
    </border>
    <border>
      <left style="thin">
        <color rgb="FF000000"/>
      </left>
      <right/>
      <top/>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45">
    <xf numFmtId="0" fontId="0" fillId="0" borderId="0" xfId="0"/>
    <xf numFmtId="0" fontId="1" fillId="2" borderId="1" xfId="0" applyFont="1" applyFill="1" applyBorder="1" applyAlignment="1">
      <alignment vertical="center"/>
    </xf>
    <xf numFmtId="0" fontId="2" fillId="2" borderId="2" xfId="0" applyFont="1" applyFill="1" applyBorder="1" applyAlignment="1">
      <alignment vertical="center"/>
    </xf>
    <xf numFmtId="0" fontId="3" fillId="2" borderId="0" xfId="0" applyFont="1" applyFill="1"/>
    <xf numFmtId="0" fontId="4" fillId="2" borderId="0" xfId="0" applyFont="1" applyFill="1"/>
    <xf numFmtId="0" fontId="5" fillId="0" borderId="0" xfId="0" applyFont="1"/>
    <xf numFmtId="3" fontId="5" fillId="0" borderId="0" xfId="0" applyNumberFormat="1" applyFont="1"/>
    <xf numFmtId="0" fontId="6" fillId="0" borderId="0" xfId="0" applyFont="1"/>
    <xf numFmtId="0" fontId="4" fillId="0" borderId="0" xfId="0" applyFont="1"/>
    <xf numFmtId="0" fontId="7" fillId="2" borderId="0" xfId="0" applyFont="1" applyFill="1"/>
    <xf numFmtId="0" fontId="8" fillId="0" borderId="0" xfId="0" applyFont="1"/>
    <xf numFmtId="0" fontId="9" fillId="0" borderId="0" xfId="0" applyFont="1" applyAlignment="1">
      <alignment horizontal="center"/>
    </xf>
    <xf numFmtId="0" fontId="10" fillId="0" borderId="0" xfId="0" applyFont="1" applyAlignment="1">
      <alignment horizontal="left"/>
    </xf>
    <xf numFmtId="0" fontId="11" fillId="0" borderId="0" xfId="0" applyFont="1"/>
    <xf numFmtId="0" fontId="12" fillId="0" borderId="3" xfId="0" applyFont="1" applyBorder="1" applyAlignment="1">
      <alignment vertical="center"/>
    </xf>
    <xf numFmtId="0" fontId="12" fillId="0" borderId="4" xfId="0" applyFont="1" applyBorder="1" applyAlignment="1">
      <alignment vertical="center"/>
    </xf>
    <xf numFmtId="3" fontId="5" fillId="0" borderId="0" xfId="0" applyNumberFormat="1" applyFont="1" applyAlignment="1">
      <alignment horizontal="right"/>
    </xf>
    <xf numFmtId="164" fontId="5" fillId="0" borderId="0" xfId="0" applyNumberFormat="1" applyFont="1"/>
    <xf numFmtId="0" fontId="5" fillId="0" borderId="0" xfId="0" applyFont="1" applyAlignment="1">
      <alignment horizontal="center"/>
    </xf>
    <xf numFmtId="0" fontId="3" fillId="2" borderId="0" xfId="0" applyFont="1" applyFill="1" applyAlignment="1">
      <alignment horizontal="left"/>
    </xf>
    <xf numFmtId="0" fontId="12" fillId="3" borderId="0" xfId="0" applyFont="1" applyFill="1" applyAlignment="1">
      <alignment vertical="center"/>
    </xf>
    <xf numFmtId="0" fontId="12" fillId="3" borderId="5" xfId="0" applyFont="1" applyFill="1" applyBorder="1" applyAlignment="1">
      <alignment vertical="center"/>
    </xf>
    <xf numFmtId="0" fontId="3" fillId="0" borderId="0" xfId="0" applyFont="1"/>
    <xf numFmtId="0" fontId="13" fillId="2" borderId="0" xfId="0" applyFont="1" applyFill="1"/>
    <xf numFmtId="0" fontId="3" fillId="0" borderId="0" xfId="0" applyFont="1" applyAlignment="1">
      <alignment horizontal="center"/>
    </xf>
    <xf numFmtId="0" fontId="14" fillId="0" borderId="0" xfId="0" applyFont="1"/>
    <xf numFmtId="0" fontId="2" fillId="0" borderId="3" xfId="0" applyFont="1" applyBorder="1" applyAlignment="1">
      <alignment vertical="center"/>
    </xf>
    <xf numFmtId="0" fontId="2" fillId="0" borderId="4" xfId="0" applyFont="1" applyBorder="1" applyAlignment="1">
      <alignment vertical="center"/>
    </xf>
    <xf numFmtId="165" fontId="4" fillId="0" borderId="0" xfId="0" applyNumberFormat="1" applyFont="1" applyAlignment="1">
      <alignment horizontal="left"/>
    </xf>
    <xf numFmtId="166" fontId="4" fillId="0" borderId="0" xfId="0" applyNumberFormat="1" applyFont="1" applyAlignment="1">
      <alignment horizontal="left"/>
    </xf>
    <xf numFmtId="0" fontId="5" fillId="2" borderId="0" xfId="0" applyFont="1" applyFill="1"/>
    <xf numFmtId="0" fontId="12" fillId="3" borderId="4" xfId="0" applyFont="1" applyFill="1" applyBorder="1" applyAlignment="1">
      <alignment vertical="center"/>
    </xf>
    <xf numFmtId="0" fontId="12" fillId="0" borderId="0" xfId="0" applyFont="1"/>
    <xf numFmtId="167" fontId="5" fillId="0" borderId="0" xfId="0" applyNumberFormat="1" applyFont="1"/>
    <xf numFmtId="168" fontId="5" fillId="0" borderId="0" xfId="0" applyNumberFormat="1" applyFont="1"/>
    <xf numFmtId="3" fontId="3" fillId="2" borderId="0" xfId="0" applyNumberFormat="1" applyFont="1" applyFill="1" applyAlignment="1">
      <alignment horizontal="center"/>
    </xf>
    <xf numFmtId="169" fontId="3" fillId="2" borderId="0" xfId="0" applyNumberFormat="1" applyFont="1" applyFill="1" applyAlignment="1">
      <alignment horizontal="center"/>
    </xf>
    <xf numFmtId="0" fontId="8" fillId="2" borderId="0" xfId="0" applyFont="1" applyFill="1" applyAlignment="1">
      <alignment horizontal="center"/>
    </xf>
    <xf numFmtId="0" fontId="15" fillId="0" borderId="0" xfId="0" applyFont="1"/>
    <xf numFmtId="0" fontId="16" fillId="2" borderId="0" xfId="0" applyFont="1" applyFill="1" applyAlignment="1">
      <alignment horizontal="left"/>
    </xf>
    <xf numFmtId="170" fontId="3" fillId="2" borderId="0" xfId="0" applyNumberFormat="1" applyFont="1" applyFill="1" applyAlignment="1">
      <alignment horizontal="center"/>
    </xf>
    <xf numFmtId="0" fontId="17" fillId="0" borderId="0" xfId="0" applyFont="1"/>
    <xf numFmtId="0" fontId="17" fillId="2" borderId="0" xfId="0" applyFont="1" applyFill="1" applyAlignment="1">
      <alignment horizontal="left"/>
    </xf>
    <xf numFmtId="0" fontId="18" fillId="2" borderId="0" xfId="0" applyFont="1" applyFill="1" applyAlignment="1">
      <alignment horizontal="left"/>
    </xf>
    <xf numFmtId="171" fontId="3" fillId="2" borderId="0" xfId="0" applyNumberFormat="1" applyFont="1" applyFill="1" applyAlignment="1">
      <alignment horizontal="center"/>
    </xf>
    <xf numFmtId="0" fontId="3" fillId="2" borderId="0" xfId="0" applyFont="1" applyFill="1" applyAlignment="1">
      <alignment horizontal="center"/>
    </xf>
    <xf numFmtId="0" fontId="12" fillId="0" borderId="0" xfId="0" applyFont="1" applyAlignment="1">
      <alignment vertical="center"/>
    </xf>
    <xf numFmtId="0" fontId="19" fillId="0" borderId="0" xfId="0" applyFont="1"/>
    <xf numFmtId="167" fontId="5" fillId="0" borderId="0" xfId="0" applyNumberFormat="1" applyFont="1" applyAlignment="1">
      <alignment horizontal="left"/>
    </xf>
    <xf numFmtId="164" fontId="5" fillId="0" borderId="0" xfId="0" applyNumberFormat="1" applyFont="1" applyAlignment="1">
      <alignment horizontal="left"/>
    </xf>
    <xf numFmtId="0" fontId="20" fillId="0" borderId="0" xfId="0" applyFont="1"/>
    <xf numFmtId="3" fontId="5" fillId="0" borderId="0" xfId="0" applyNumberFormat="1" applyFont="1" applyAlignment="1">
      <alignment horizontal="left"/>
    </xf>
    <xf numFmtId="0" fontId="5" fillId="0" borderId="0" xfId="0" applyFont="1" applyAlignment="1">
      <alignment horizontal="left"/>
    </xf>
    <xf numFmtId="0" fontId="3" fillId="2" borderId="6" xfId="0" applyFont="1" applyFill="1" applyBorder="1"/>
    <xf numFmtId="0" fontId="21" fillId="2" borderId="6" xfId="0" applyFont="1" applyFill="1" applyBorder="1"/>
    <xf numFmtId="3" fontId="21" fillId="2" borderId="6" xfId="0" applyNumberFormat="1" applyFont="1" applyFill="1" applyBorder="1" applyAlignment="1">
      <alignment horizontal="left"/>
    </xf>
    <xf numFmtId="0" fontId="21" fillId="2" borderId="6" xfId="0" applyFont="1" applyFill="1" applyBorder="1" applyAlignment="1">
      <alignment horizontal="center"/>
    </xf>
    <xf numFmtId="0" fontId="21" fillId="2" borderId="6" xfId="0" applyFont="1" applyFill="1" applyBorder="1" applyAlignment="1">
      <alignment horizontal="left"/>
    </xf>
    <xf numFmtId="0" fontId="22" fillId="4" borderId="6" xfId="0" applyFont="1" applyFill="1" applyBorder="1" applyAlignment="1">
      <alignment horizontal="left"/>
    </xf>
    <xf numFmtId="172" fontId="21" fillId="2" borderId="6" xfId="0" applyNumberFormat="1" applyFont="1" applyFill="1" applyBorder="1"/>
    <xf numFmtId="172" fontId="21" fillId="2" borderId="6" xfId="0" applyNumberFormat="1" applyFont="1" applyFill="1" applyBorder="1" applyAlignment="1">
      <alignment horizontal="center"/>
    </xf>
    <xf numFmtId="0" fontId="22" fillId="2" borderId="6" xfId="0" applyFont="1" applyFill="1" applyBorder="1"/>
    <xf numFmtId="0" fontId="22" fillId="2" borderId="6" xfId="0" applyFont="1" applyFill="1" applyBorder="1" applyAlignment="1">
      <alignment horizontal="left"/>
    </xf>
    <xf numFmtId="0" fontId="3" fillId="2" borderId="6" xfId="0" applyFont="1" applyFill="1" applyBorder="1" applyAlignment="1">
      <alignment horizontal="center"/>
    </xf>
    <xf numFmtId="0" fontId="23" fillId="0" borderId="7" xfId="0" applyFont="1" applyBorder="1"/>
    <xf numFmtId="0" fontId="21" fillId="2" borderId="8" xfId="0" applyFont="1" applyFill="1" applyBorder="1" applyAlignment="1">
      <alignment horizontal="center"/>
    </xf>
    <xf numFmtId="0" fontId="22" fillId="4" borderId="6" xfId="0" applyFont="1" applyFill="1" applyBorder="1"/>
    <xf numFmtId="173" fontId="22" fillId="4" borderId="6" xfId="0" applyNumberFormat="1" applyFont="1" applyFill="1" applyBorder="1" applyAlignment="1">
      <alignment horizontal="center"/>
    </xf>
    <xf numFmtId="3" fontId="22" fillId="4" borderId="6" xfId="0" applyNumberFormat="1" applyFont="1" applyFill="1" applyBorder="1" applyAlignment="1">
      <alignment horizontal="left"/>
    </xf>
    <xf numFmtId="0" fontId="22" fillId="4" borderId="6" xfId="0" applyFont="1" applyFill="1" applyBorder="1" applyAlignment="1">
      <alignment horizontal="center"/>
    </xf>
    <xf numFmtId="172" fontId="22" fillId="4" borderId="6" xfId="0" applyNumberFormat="1" applyFont="1" applyFill="1" applyBorder="1" applyAlignment="1">
      <alignment horizontal="center"/>
    </xf>
    <xf numFmtId="0" fontId="22" fillId="5" borderId="6" xfId="0" applyFont="1" applyFill="1" applyBorder="1" applyAlignment="1">
      <alignment horizontal="center"/>
    </xf>
    <xf numFmtId="0" fontId="22" fillId="5" borderId="6" xfId="0" applyFont="1" applyFill="1" applyBorder="1" applyAlignment="1">
      <alignment horizontal="left"/>
    </xf>
    <xf numFmtId="0" fontId="22" fillId="4" borderId="8" xfId="0" applyFont="1" applyFill="1" applyBorder="1" applyAlignment="1">
      <alignment horizontal="center"/>
    </xf>
    <xf numFmtId="0" fontId="20" fillId="2" borderId="6" xfId="0" applyFont="1" applyFill="1" applyBorder="1"/>
    <xf numFmtId="173" fontId="3" fillId="0" borderId="7" xfId="0" applyNumberFormat="1" applyFont="1" applyBorder="1" applyAlignment="1">
      <alignment horizontal="center"/>
    </xf>
    <xf numFmtId="3" fontId="3" fillId="0" borderId="7" xfId="0" applyNumberFormat="1" applyFont="1" applyBorder="1" applyAlignment="1">
      <alignment horizontal="left"/>
    </xf>
    <xf numFmtId="0" fontId="3" fillId="6" borderId="6" xfId="0" applyFont="1" applyFill="1" applyBorder="1" applyAlignment="1">
      <alignment horizontal="center"/>
    </xf>
    <xf numFmtId="0" fontId="3" fillId="6" borderId="6" xfId="0" applyFont="1" applyFill="1" applyBorder="1" applyAlignment="1">
      <alignment horizontal="left"/>
    </xf>
    <xf numFmtId="0" fontId="3" fillId="7" borderId="9" xfId="0" applyFont="1" applyFill="1" applyBorder="1"/>
    <xf numFmtId="2" fontId="24" fillId="2" borderId="6" xfId="0" applyNumberFormat="1" applyFont="1" applyFill="1" applyBorder="1" applyAlignment="1">
      <alignment horizontal="center"/>
    </xf>
    <xf numFmtId="2" fontId="25" fillId="6" borderId="6" xfId="0" applyNumberFormat="1" applyFont="1" applyFill="1" applyBorder="1" applyAlignment="1">
      <alignment horizontal="left"/>
    </xf>
    <xf numFmtId="0" fontId="3" fillId="6" borderId="6" xfId="0" applyFont="1" applyFill="1" applyBorder="1"/>
    <xf numFmtId="172" fontId="3" fillId="6" borderId="6" xfId="0" applyNumberFormat="1" applyFont="1" applyFill="1" applyBorder="1"/>
    <xf numFmtId="0" fontId="8" fillId="6" borderId="6" xfId="0" applyFont="1" applyFill="1" applyBorder="1" applyAlignment="1">
      <alignment horizontal="center"/>
    </xf>
    <xf numFmtId="0" fontId="20" fillId="6" borderId="6" xfId="0" applyFont="1" applyFill="1" applyBorder="1"/>
    <xf numFmtId="174" fontId="3" fillId="6" borderId="6" xfId="0" applyNumberFormat="1" applyFont="1" applyFill="1" applyBorder="1" applyAlignment="1">
      <alignment horizontal="center"/>
    </xf>
    <xf numFmtId="0" fontId="3" fillId="2" borderId="10" xfId="0" applyFont="1" applyFill="1" applyBorder="1" applyAlignment="1">
      <alignment horizontal="left"/>
    </xf>
    <xf numFmtId="0" fontId="3" fillId="2" borderId="6" xfId="0" applyFont="1" applyFill="1" applyBorder="1" applyAlignment="1">
      <alignment horizontal="left"/>
    </xf>
    <xf numFmtId="164" fontId="3" fillId="2" borderId="6" xfId="0" applyNumberFormat="1" applyFont="1" applyFill="1" applyBorder="1" applyAlignment="1">
      <alignment horizontal="left"/>
    </xf>
    <xf numFmtId="0" fontId="3" fillId="8" borderId="6" xfId="0" applyFont="1" applyFill="1" applyBorder="1" applyAlignment="1">
      <alignment horizontal="center"/>
    </xf>
    <xf numFmtId="0" fontId="3" fillId="8" borderId="11" xfId="0" applyFont="1" applyFill="1" applyBorder="1" applyAlignment="1">
      <alignment horizontal="center"/>
    </xf>
    <xf numFmtId="0" fontId="23" fillId="8" borderId="7" xfId="0" applyFont="1" applyFill="1" applyBorder="1"/>
    <xf numFmtId="0" fontId="3" fillId="2" borderId="12" xfId="0" applyFont="1" applyFill="1" applyBorder="1" applyAlignment="1">
      <alignment horizontal="center"/>
    </xf>
    <xf numFmtId="172" fontId="3" fillId="2" borderId="12" xfId="0" applyNumberFormat="1" applyFont="1" applyFill="1" applyBorder="1" applyAlignment="1">
      <alignment horizontal="center"/>
    </xf>
    <xf numFmtId="172" fontId="3" fillId="2" borderId="13" xfId="0" applyNumberFormat="1" applyFont="1" applyFill="1" applyBorder="1" applyAlignment="1">
      <alignment horizontal="center"/>
    </xf>
    <xf numFmtId="172" fontId="3" fillId="0" borderId="14" xfId="0" applyNumberFormat="1" applyFont="1" applyBorder="1" applyAlignment="1">
      <alignment horizontal="center"/>
    </xf>
    <xf numFmtId="0" fontId="20" fillId="0" borderId="7" xfId="0" applyFont="1" applyBorder="1"/>
    <xf numFmtId="0" fontId="20" fillId="0" borderId="7" xfId="0" applyFont="1" applyBorder="1" applyAlignment="1">
      <alignment horizontal="center"/>
    </xf>
    <xf numFmtId="3" fontId="20" fillId="0" borderId="7" xfId="0" applyNumberFormat="1" applyFont="1" applyBorder="1"/>
    <xf numFmtId="0" fontId="20" fillId="6" borderId="10" xfId="0" applyFont="1" applyFill="1" applyBorder="1"/>
    <xf numFmtId="0" fontId="20" fillId="7" borderId="9" xfId="0" applyFont="1" applyFill="1" applyBorder="1"/>
    <xf numFmtId="2" fontId="24" fillId="2" borderId="10" xfId="0" applyNumberFormat="1" applyFont="1" applyFill="1" applyBorder="1"/>
    <xf numFmtId="2" fontId="20" fillId="6" borderId="10" xfId="0" applyNumberFormat="1" applyFont="1" applyFill="1" applyBorder="1"/>
    <xf numFmtId="172" fontId="20" fillId="6" borderId="6" xfId="0" applyNumberFormat="1" applyFont="1" applyFill="1" applyBorder="1" applyAlignment="1">
      <alignment horizontal="right"/>
    </xf>
    <xf numFmtId="0" fontId="20" fillId="6" borderId="15" xfId="0" applyFont="1" applyFill="1" applyBorder="1"/>
    <xf numFmtId="0" fontId="20" fillId="6" borderId="16" xfId="0" applyFont="1" applyFill="1" applyBorder="1"/>
    <xf numFmtId="0" fontId="20" fillId="6" borderId="6" xfId="0" applyFont="1" applyFill="1" applyBorder="1" applyAlignment="1">
      <alignment horizontal="center"/>
    </xf>
    <xf numFmtId="174" fontId="18" fillId="2" borderId="6" xfId="0" applyNumberFormat="1" applyFont="1" applyFill="1" applyBorder="1" applyAlignment="1">
      <alignment horizontal="center"/>
    </xf>
    <xf numFmtId="0" fontId="20" fillId="2" borderId="10" xfId="0" applyFont="1" applyFill="1" applyBorder="1"/>
    <xf numFmtId="164" fontId="20" fillId="2" borderId="10" xfId="0" applyNumberFormat="1" applyFont="1" applyFill="1" applyBorder="1"/>
    <xf numFmtId="0" fontId="20" fillId="2" borderId="6" xfId="0" applyFont="1" applyFill="1" applyBorder="1" applyAlignment="1">
      <alignment horizontal="center"/>
    </xf>
    <xf numFmtId="0" fontId="20" fillId="2" borderId="11" xfId="0" applyFont="1" applyFill="1" applyBorder="1" applyAlignment="1">
      <alignment horizontal="center"/>
    </xf>
    <xf numFmtId="0" fontId="20" fillId="2" borderId="7" xfId="0" applyFont="1" applyFill="1" applyBorder="1"/>
    <xf numFmtId="0" fontId="20" fillId="2" borderId="13" xfId="0" applyFont="1" applyFill="1" applyBorder="1" applyAlignment="1">
      <alignment horizontal="center"/>
    </xf>
    <xf numFmtId="172" fontId="20" fillId="2" borderId="13" xfId="0" applyNumberFormat="1" applyFont="1" applyFill="1" applyBorder="1" applyAlignment="1">
      <alignment horizontal="center"/>
    </xf>
    <xf numFmtId="172" fontId="20" fillId="2" borderId="12" xfId="0" applyNumberFormat="1" applyFont="1" applyFill="1" applyBorder="1" applyAlignment="1">
      <alignment horizontal="center"/>
    </xf>
    <xf numFmtId="172" fontId="20" fillId="0" borderId="14" xfId="0" applyNumberFormat="1" applyFont="1" applyBorder="1" applyAlignment="1">
      <alignment horizontal="center"/>
    </xf>
    <xf numFmtId="172" fontId="20" fillId="2" borderId="12" xfId="0" applyNumberFormat="1" applyFont="1" applyFill="1" applyBorder="1"/>
    <xf numFmtId="0" fontId="3" fillId="0" borderId="7" xfId="0" applyFont="1" applyBorder="1" applyAlignment="1">
      <alignment horizontal="center"/>
    </xf>
    <xf numFmtId="0" fontId="3" fillId="6" borderId="10" xfId="0" applyFont="1" applyFill="1" applyBorder="1" applyAlignment="1">
      <alignment horizontal="center"/>
    </xf>
    <xf numFmtId="0" fontId="3" fillId="6" borderId="10" xfId="0" applyFont="1" applyFill="1" applyBorder="1" applyAlignment="1">
      <alignment horizontal="left"/>
    </xf>
    <xf numFmtId="2" fontId="24" fillId="2" borderId="10" xfId="0" applyNumberFormat="1" applyFont="1" applyFill="1" applyBorder="1" applyAlignment="1">
      <alignment horizontal="center"/>
    </xf>
    <xf numFmtId="2" fontId="25" fillId="6" borderId="10" xfId="0" applyNumberFormat="1" applyFont="1" applyFill="1" applyBorder="1" applyAlignment="1">
      <alignment horizontal="left"/>
    </xf>
    <xf numFmtId="0" fontId="3" fillId="6" borderId="10" xfId="0" applyFont="1" applyFill="1" applyBorder="1"/>
    <xf numFmtId="172" fontId="20" fillId="6" borderId="6" xfId="0" applyNumberFormat="1" applyFont="1" applyFill="1" applyBorder="1"/>
    <xf numFmtId="0" fontId="8" fillId="6" borderId="10" xfId="0" applyFont="1" applyFill="1" applyBorder="1" applyAlignment="1">
      <alignment horizontal="center"/>
    </xf>
    <xf numFmtId="0" fontId="3" fillId="6" borderId="16" xfId="0" applyFont="1" applyFill="1" applyBorder="1"/>
    <xf numFmtId="164" fontId="3" fillId="2" borderId="10" xfId="0" applyNumberFormat="1" applyFont="1" applyFill="1" applyBorder="1" applyAlignment="1">
      <alignment horizontal="left"/>
    </xf>
    <xf numFmtId="0" fontId="3" fillId="2" borderId="11" xfId="0" applyFont="1" applyFill="1" applyBorder="1" applyAlignment="1">
      <alignment horizontal="center"/>
    </xf>
    <xf numFmtId="0" fontId="23" fillId="2" borderId="7" xfId="0" applyFont="1" applyFill="1" applyBorder="1"/>
    <xf numFmtId="0" fontId="3" fillId="2" borderId="13" xfId="0" applyFont="1" applyFill="1" applyBorder="1" applyAlignment="1">
      <alignment horizontal="center"/>
    </xf>
    <xf numFmtId="0" fontId="3" fillId="2" borderId="12" xfId="0" applyFont="1" applyFill="1" applyBorder="1"/>
    <xf numFmtId="0" fontId="3" fillId="0" borderId="13" xfId="0" applyFont="1" applyBorder="1" applyAlignment="1">
      <alignment horizontal="center"/>
    </xf>
    <xf numFmtId="3" fontId="3" fillId="0" borderId="13" xfId="0" applyNumberFormat="1" applyFont="1" applyBorder="1" applyAlignment="1">
      <alignment horizontal="left"/>
    </xf>
    <xf numFmtId="0" fontId="20" fillId="6" borderId="12" xfId="0" applyFont="1" applyFill="1" applyBorder="1" applyAlignment="1">
      <alignment horizontal="center"/>
    </xf>
    <xf numFmtId="0" fontId="3" fillId="6" borderId="12" xfId="0" applyFont="1" applyFill="1" applyBorder="1" applyAlignment="1">
      <alignment horizontal="left"/>
    </xf>
    <xf numFmtId="0" fontId="3" fillId="7" borderId="17" xfId="0" applyFont="1" applyFill="1" applyBorder="1"/>
    <xf numFmtId="2" fontId="24" fillId="2" borderId="12" xfId="0" applyNumberFormat="1" applyFont="1" applyFill="1" applyBorder="1" applyAlignment="1">
      <alignment horizontal="center"/>
    </xf>
    <xf numFmtId="2" fontId="25" fillId="6" borderId="12" xfId="0" applyNumberFormat="1" applyFont="1" applyFill="1" applyBorder="1" applyAlignment="1">
      <alignment horizontal="left"/>
    </xf>
    <xf numFmtId="0" fontId="3" fillId="6" borderId="12" xfId="0" applyFont="1" applyFill="1" applyBorder="1"/>
    <xf numFmtId="172" fontId="3" fillId="6" borderId="12" xfId="0" applyNumberFormat="1" applyFont="1" applyFill="1" applyBorder="1"/>
    <xf numFmtId="0" fontId="8" fillId="6" borderId="12" xfId="0" applyFont="1" applyFill="1" applyBorder="1" applyAlignment="1">
      <alignment horizontal="center"/>
    </xf>
    <xf numFmtId="0" fontId="3" fillId="6" borderId="12" xfId="0" applyFont="1" applyFill="1" applyBorder="1" applyAlignment="1">
      <alignment horizontal="center"/>
    </xf>
    <xf numFmtId="174" fontId="3" fillId="6" borderId="12" xfId="0" applyNumberFormat="1" applyFont="1" applyFill="1" applyBorder="1" applyAlignment="1">
      <alignment horizontal="center"/>
    </xf>
    <xf numFmtId="0" fontId="3" fillId="2" borderId="13" xfId="0" applyFont="1" applyFill="1" applyBorder="1" applyAlignment="1">
      <alignment horizontal="left"/>
    </xf>
    <xf numFmtId="0" fontId="3" fillId="2" borderId="12" xfId="0" applyFont="1" applyFill="1" applyBorder="1" applyAlignment="1">
      <alignment horizontal="left"/>
    </xf>
    <xf numFmtId="164" fontId="3" fillId="2" borderId="12" xfId="0" applyNumberFormat="1" applyFont="1" applyFill="1" applyBorder="1" applyAlignment="1">
      <alignment horizontal="left"/>
    </xf>
    <xf numFmtId="0" fontId="3" fillId="8" borderId="12" xfId="0" applyFont="1" applyFill="1" applyBorder="1" applyAlignment="1">
      <alignment horizontal="center"/>
    </xf>
    <xf numFmtId="0" fontId="3" fillId="8" borderId="18" xfId="0" applyFont="1" applyFill="1" applyBorder="1" applyAlignment="1">
      <alignment horizontal="center"/>
    </xf>
    <xf numFmtId="0" fontId="23" fillId="8" borderId="13" xfId="0" applyFont="1" applyFill="1" applyBorder="1"/>
    <xf numFmtId="3" fontId="20" fillId="0" borderId="7" xfId="0" applyNumberFormat="1" applyFont="1" applyBorder="1" applyAlignment="1">
      <alignment horizontal="left"/>
    </xf>
    <xf numFmtId="0" fontId="26" fillId="6" borderId="10" xfId="0" applyFont="1" applyFill="1" applyBorder="1" applyAlignment="1">
      <alignment horizontal="center"/>
    </xf>
    <xf numFmtId="173" fontId="27" fillId="0" borderId="7" xfId="0" applyNumberFormat="1" applyFont="1" applyBorder="1" applyAlignment="1">
      <alignment horizontal="center"/>
    </xf>
    <xf numFmtId="3" fontId="27" fillId="0" borderId="7" xfId="0" applyNumberFormat="1" applyFont="1" applyBorder="1" applyAlignment="1">
      <alignment horizontal="left"/>
    </xf>
    <xf numFmtId="173" fontId="20" fillId="0" borderId="7" xfId="0" applyNumberFormat="1" applyFont="1" applyBorder="1" applyAlignment="1">
      <alignment horizontal="center"/>
    </xf>
    <xf numFmtId="0" fontId="20" fillId="6" borderId="6" xfId="0" applyFont="1" applyFill="1" applyBorder="1" applyAlignment="1">
      <alignment horizontal="left"/>
    </xf>
    <xf numFmtId="0" fontId="3" fillId="6" borderId="19" xfId="0" applyFont="1" applyFill="1" applyBorder="1"/>
    <xf numFmtId="0" fontId="27" fillId="6" borderId="6" xfId="0" applyFont="1" applyFill="1" applyBorder="1"/>
    <xf numFmtId="0" fontId="28" fillId="6" borderId="6" xfId="0" applyFont="1" applyFill="1" applyBorder="1"/>
    <xf numFmtId="172" fontId="3" fillId="6" borderId="6" xfId="0" applyNumberFormat="1" applyFont="1" applyFill="1" applyBorder="1" applyAlignment="1">
      <alignment horizontal="center"/>
    </xf>
    <xf numFmtId="0" fontId="8" fillId="6" borderId="6" xfId="0" applyFont="1" applyFill="1" applyBorder="1"/>
    <xf numFmtId="0" fontId="20" fillId="6" borderId="20" xfId="0" applyFont="1" applyFill="1" applyBorder="1" applyAlignment="1">
      <alignment horizontal="center"/>
    </xf>
    <xf numFmtId="0" fontId="3" fillId="6" borderId="20" xfId="0" applyFont="1" applyFill="1" applyBorder="1" applyAlignment="1">
      <alignment horizontal="left"/>
    </xf>
    <xf numFmtId="0" fontId="3" fillId="6" borderId="21" xfId="0" applyFont="1" applyFill="1" applyBorder="1"/>
    <xf numFmtId="2" fontId="24" fillId="2" borderId="20" xfId="0" applyNumberFormat="1" applyFont="1" applyFill="1" applyBorder="1" applyAlignment="1">
      <alignment horizontal="center"/>
    </xf>
    <xf numFmtId="2" fontId="25" fillId="6" borderId="20" xfId="0" applyNumberFormat="1" applyFont="1" applyFill="1" applyBorder="1" applyAlignment="1">
      <alignment horizontal="left"/>
    </xf>
    <xf numFmtId="0" fontId="3" fillId="6" borderId="20" xfId="0" applyFont="1" applyFill="1" applyBorder="1"/>
    <xf numFmtId="0" fontId="8" fillId="6" borderId="20" xfId="0" applyFont="1" applyFill="1" applyBorder="1" applyAlignment="1">
      <alignment horizontal="center"/>
    </xf>
    <xf numFmtId="0" fontId="20" fillId="6" borderId="20" xfId="0" applyFont="1" applyFill="1" applyBorder="1"/>
    <xf numFmtId="0" fontId="3" fillId="2" borderId="7" xfId="0" applyFont="1" applyFill="1" applyBorder="1" applyAlignment="1">
      <alignment horizontal="left"/>
    </xf>
    <xf numFmtId="0" fontId="3" fillId="2" borderId="20" xfId="0" applyFont="1" applyFill="1" applyBorder="1" applyAlignment="1">
      <alignment horizontal="left"/>
    </xf>
    <xf numFmtId="164" fontId="3" fillId="2" borderId="20" xfId="0" applyNumberFormat="1" applyFont="1" applyFill="1" applyBorder="1" applyAlignment="1">
      <alignment horizontal="left"/>
    </xf>
    <xf numFmtId="0" fontId="3" fillId="8" borderId="7" xfId="0" applyFont="1" applyFill="1" applyBorder="1" applyAlignment="1">
      <alignment horizontal="center"/>
    </xf>
    <xf numFmtId="0" fontId="3" fillId="8" borderId="3" xfId="0" applyFont="1" applyFill="1" applyBorder="1" applyAlignment="1">
      <alignment horizontal="center"/>
    </xf>
    <xf numFmtId="0" fontId="3" fillId="9" borderId="12" xfId="0" applyFont="1" applyFill="1" applyBorder="1"/>
    <xf numFmtId="173" fontId="3" fillId="0" borderId="13" xfId="0" applyNumberFormat="1" applyFont="1" applyBorder="1" applyAlignment="1">
      <alignment horizontal="center"/>
    </xf>
    <xf numFmtId="0" fontId="3" fillId="6" borderId="17" xfId="0" applyFont="1" applyFill="1" applyBorder="1"/>
    <xf numFmtId="0" fontId="3" fillId="6" borderId="20" xfId="0" applyFont="1" applyFill="1" applyBorder="1" applyAlignment="1">
      <alignment horizontal="center"/>
    </xf>
    <xf numFmtId="0" fontId="3" fillId="2" borderId="18" xfId="0" applyFont="1" applyFill="1" applyBorder="1" applyAlignment="1">
      <alignment horizontal="center"/>
    </xf>
    <xf numFmtId="0" fontId="23" fillId="2" borderId="13" xfId="0" applyFont="1" applyFill="1" applyBorder="1"/>
    <xf numFmtId="0" fontId="20" fillId="0" borderId="22" xfId="0" applyFont="1" applyBorder="1"/>
    <xf numFmtId="0" fontId="3" fillId="0" borderId="22" xfId="0" applyFont="1" applyBorder="1" applyAlignment="1">
      <alignment horizontal="center"/>
    </xf>
    <xf numFmtId="3" fontId="3" fillId="0" borderId="22" xfId="0" applyNumberFormat="1" applyFont="1" applyBorder="1" applyAlignment="1">
      <alignment horizontal="left"/>
    </xf>
    <xf numFmtId="0" fontId="3" fillId="6" borderId="23" xfId="0" applyFont="1" applyFill="1" applyBorder="1" applyAlignment="1">
      <alignment horizontal="center"/>
    </xf>
    <xf numFmtId="0" fontId="3" fillId="6" borderId="23" xfId="0" applyFont="1" applyFill="1" applyBorder="1" applyAlignment="1">
      <alignment horizontal="left"/>
    </xf>
    <xf numFmtId="0" fontId="3" fillId="6" borderId="23" xfId="0" applyFont="1" applyFill="1" applyBorder="1"/>
    <xf numFmtId="2" fontId="24" fillId="2" borderId="23" xfId="0" applyNumberFormat="1" applyFont="1" applyFill="1" applyBorder="1" applyAlignment="1">
      <alignment horizontal="center"/>
    </xf>
    <xf numFmtId="2" fontId="25" fillId="6" borderId="23" xfId="0" applyNumberFormat="1" applyFont="1" applyFill="1" applyBorder="1" applyAlignment="1">
      <alignment horizontal="left"/>
    </xf>
    <xf numFmtId="172" fontId="3" fillId="6" borderId="23" xfId="0" applyNumberFormat="1" applyFont="1" applyFill="1" applyBorder="1"/>
    <xf numFmtId="0" fontId="26" fillId="6" borderId="23" xfId="0" applyFont="1" applyFill="1" applyBorder="1" applyAlignment="1">
      <alignment horizontal="center"/>
    </xf>
    <xf numFmtId="0" fontId="3" fillId="6" borderId="24" xfId="0" applyFont="1" applyFill="1" applyBorder="1"/>
    <xf numFmtId="0" fontId="3" fillId="6" borderId="25" xfId="0" applyFont="1" applyFill="1" applyBorder="1"/>
    <xf numFmtId="0" fontId="3" fillId="6" borderId="22" xfId="0" applyFont="1" applyFill="1" applyBorder="1" applyAlignment="1">
      <alignment horizontal="center"/>
    </xf>
    <xf numFmtId="174" fontId="3" fillId="6" borderId="26" xfId="0" applyNumberFormat="1" applyFont="1" applyFill="1" applyBorder="1" applyAlignment="1">
      <alignment horizontal="center"/>
    </xf>
    <xf numFmtId="0" fontId="3" fillId="2" borderId="23" xfId="0" applyFont="1" applyFill="1" applyBorder="1" applyAlignment="1">
      <alignment horizontal="left"/>
    </xf>
    <xf numFmtId="164" fontId="3" fillId="2" borderId="23" xfId="0" applyNumberFormat="1" applyFont="1" applyFill="1" applyBorder="1" applyAlignment="1">
      <alignment horizontal="left"/>
    </xf>
    <xf numFmtId="0" fontId="3" fillId="2" borderId="23" xfId="0" applyFont="1" applyFill="1" applyBorder="1" applyAlignment="1">
      <alignment horizontal="center"/>
    </xf>
    <xf numFmtId="0" fontId="3" fillId="2" borderId="25" xfId="0" applyFont="1" applyFill="1" applyBorder="1" applyAlignment="1">
      <alignment horizontal="center"/>
    </xf>
    <xf numFmtId="0" fontId="23" fillId="2" borderId="22" xfId="0" applyFont="1" applyFill="1" applyBorder="1"/>
    <xf numFmtId="0" fontId="3" fillId="2" borderId="27" xfId="0" applyFont="1" applyFill="1" applyBorder="1" applyAlignment="1">
      <alignment horizontal="center"/>
    </xf>
    <xf numFmtId="172" fontId="3" fillId="2" borderId="27" xfId="0" applyNumberFormat="1" applyFont="1" applyFill="1" applyBorder="1" applyAlignment="1">
      <alignment horizontal="center"/>
    </xf>
    <xf numFmtId="172" fontId="3" fillId="0" borderId="28" xfId="0" applyNumberFormat="1" applyFont="1" applyBorder="1" applyAlignment="1">
      <alignment horizontal="center"/>
    </xf>
    <xf numFmtId="0" fontId="15" fillId="0" borderId="29" xfId="0" applyFont="1" applyBorder="1"/>
    <xf numFmtId="0" fontId="27" fillId="0" borderId="7" xfId="0" applyFont="1" applyBorder="1" applyAlignment="1">
      <alignment horizontal="center"/>
    </xf>
    <xf numFmtId="172" fontId="3" fillId="6" borderId="20" xfId="0" applyNumberFormat="1" applyFont="1" applyFill="1" applyBorder="1"/>
    <xf numFmtId="0" fontId="26" fillId="6" borderId="6" xfId="0" applyFont="1" applyFill="1" applyBorder="1" applyAlignment="1">
      <alignment horizontal="center"/>
    </xf>
    <xf numFmtId="0" fontId="3" fillId="10" borderId="6" xfId="0" applyFont="1" applyFill="1" applyBorder="1" applyAlignment="1">
      <alignment horizontal="center"/>
    </xf>
    <xf numFmtId="0" fontId="20" fillId="0" borderId="4" xfId="0" applyFont="1" applyBorder="1"/>
    <xf numFmtId="0" fontId="3" fillId="0" borderId="3" xfId="0" applyFont="1" applyBorder="1" applyAlignment="1">
      <alignment horizontal="center"/>
    </xf>
    <xf numFmtId="3" fontId="3" fillId="0" borderId="3" xfId="0" applyNumberFormat="1" applyFont="1" applyBorder="1" applyAlignment="1">
      <alignment horizontal="left"/>
    </xf>
    <xf numFmtId="2" fontId="3" fillId="6" borderId="6" xfId="0" applyNumberFormat="1" applyFont="1" applyFill="1" applyBorder="1" applyAlignment="1">
      <alignment horizontal="left"/>
    </xf>
    <xf numFmtId="0" fontId="3" fillId="6" borderId="11" xfId="0" applyFont="1" applyFill="1" applyBorder="1"/>
    <xf numFmtId="0" fontId="3" fillId="11" borderId="4" xfId="0" applyFont="1" applyFill="1" applyBorder="1"/>
    <xf numFmtId="3" fontId="24" fillId="0" borderId="7" xfId="0" applyNumberFormat="1" applyFont="1" applyBorder="1" applyAlignment="1">
      <alignment horizontal="center"/>
    </xf>
    <xf numFmtId="0" fontId="8" fillId="6" borderId="9" xfId="0" applyFont="1" applyFill="1" applyBorder="1" applyAlignment="1">
      <alignment horizontal="center"/>
    </xf>
    <xf numFmtId="0" fontId="3" fillId="6" borderId="30" xfId="0" applyFont="1" applyFill="1" applyBorder="1" applyAlignment="1">
      <alignment horizontal="left"/>
    </xf>
    <xf numFmtId="172" fontId="3" fillId="2" borderId="10" xfId="0" applyNumberFormat="1" applyFont="1" applyFill="1" applyBorder="1"/>
    <xf numFmtId="0" fontId="3" fillId="2" borderId="10" xfId="0" applyFont="1" applyFill="1" applyBorder="1"/>
    <xf numFmtId="0" fontId="3" fillId="2" borderId="10" xfId="0" applyFont="1" applyFill="1" applyBorder="1" applyAlignment="1">
      <alignment horizontal="center"/>
    </xf>
    <xf numFmtId="0" fontId="3" fillId="2" borderId="30" xfId="0" applyFont="1" applyFill="1" applyBorder="1" applyAlignment="1">
      <alignment horizontal="center"/>
    </xf>
    <xf numFmtId="0" fontId="20" fillId="6" borderId="10" xfId="0" applyFont="1" applyFill="1" applyBorder="1" applyAlignment="1">
      <alignment horizontal="center"/>
    </xf>
    <xf numFmtId="172" fontId="3" fillId="6" borderId="10" xfId="0" applyNumberFormat="1" applyFont="1" applyFill="1" applyBorder="1"/>
    <xf numFmtId="0" fontId="20" fillId="11" borderId="13" xfId="0" applyFont="1" applyFill="1" applyBorder="1"/>
    <xf numFmtId="0" fontId="3" fillId="6" borderId="13" xfId="0" applyFont="1" applyFill="1" applyBorder="1" applyAlignment="1">
      <alignment horizontal="left"/>
    </xf>
    <xf numFmtId="172" fontId="3" fillId="6" borderId="13" xfId="0" applyNumberFormat="1" applyFont="1" applyFill="1" applyBorder="1"/>
    <xf numFmtId="0" fontId="26" fillId="6" borderId="12" xfId="0" applyFont="1" applyFill="1" applyBorder="1" applyAlignment="1">
      <alignment horizontal="center"/>
    </xf>
    <xf numFmtId="0" fontId="3" fillId="6" borderId="13" xfId="0" applyFont="1" applyFill="1" applyBorder="1"/>
    <xf numFmtId="0" fontId="3" fillId="0" borderId="22" xfId="0" applyFont="1" applyBorder="1"/>
    <xf numFmtId="173" fontId="3" fillId="0" borderId="22" xfId="0" applyNumberFormat="1" applyFont="1" applyBorder="1" applyAlignment="1">
      <alignment horizontal="center"/>
    </xf>
    <xf numFmtId="0" fontId="3" fillId="7" borderId="23" xfId="0" applyFont="1" applyFill="1" applyBorder="1"/>
    <xf numFmtId="0" fontId="3" fillId="6" borderId="8" xfId="0" applyFont="1" applyFill="1" applyBorder="1"/>
    <xf numFmtId="174" fontId="3" fillId="6" borderId="10" xfId="0" applyNumberFormat="1" applyFont="1" applyFill="1" applyBorder="1" applyAlignment="1">
      <alignment horizontal="center"/>
    </xf>
    <xf numFmtId="0" fontId="3" fillId="6" borderId="31" xfId="0" applyFont="1" applyFill="1" applyBorder="1"/>
    <xf numFmtId="0" fontId="3" fillId="8" borderId="10" xfId="0" applyFont="1" applyFill="1" applyBorder="1" applyAlignment="1">
      <alignment horizontal="center"/>
    </xf>
    <xf numFmtId="0" fontId="3" fillId="8" borderId="30" xfId="0" applyFont="1" applyFill="1" applyBorder="1" applyAlignment="1">
      <alignment horizontal="center"/>
    </xf>
    <xf numFmtId="0" fontId="20" fillId="11" borderId="6" xfId="0" applyFont="1" applyFill="1" applyBorder="1"/>
    <xf numFmtId="0" fontId="3" fillId="7" borderId="6" xfId="0" applyFont="1" applyFill="1" applyBorder="1"/>
    <xf numFmtId="0" fontId="20" fillId="2" borderId="10" xfId="0" applyFont="1" applyFill="1" applyBorder="1" applyAlignment="1">
      <alignment horizontal="left"/>
    </xf>
    <xf numFmtId="164" fontId="20" fillId="2" borderId="10" xfId="0" applyNumberFormat="1" applyFont="1" applyFill="1" applyBorder="1" applyAlignment="1">
      <alignment horizontal="left"/>
    </xf>
    <xf numFmtId="0" fontId="3" fillId="0" borderId="14" xfId="0" applyFont="1" applyBorder="1"/>
    <xf numFmtId="3" fontId="3" fillId="0" borderId="14" xfId="0" applyNumberFormat="1" applyFont="1" applyBorder="1" applyAlignment="1">
      <alignment horizontal="left"/>
    </xf>
    <xf numFmtId="0" fontId="3" fillId="6" borderId="32" xfId="0" applyFont="1" applyFill="1" applyBorder="1" applyAlignment="1">
      <alignment horizontal="center"/>
    </xf>
    <xf numFmtId="0" fontId="3" fillId="6" borderId="32" xfId="0" applyFont="1" applyFill="1" applyBorder="1" applyAlignment="1">
      <alignment horizontal="left"/>
    </xf>
    <xf numFmtId="0" fontId="3" fillId="7" borderId="12" xfId="0" applyFont="1" applyFill="1" applyBorder="1"/>
    <xf numFmtId="172" fontId="20" fillId="6" borderId="12" xfId="0" applyNumberFormat="1" applyFont="1" applyFill="1" applyBorder="1" applyAlignment="1">
      <alignment horizontal="center"/>
    </xf>
    <xf numFmtId="0" fontId="3" fillId="6" borderId="33" xfId="0" applyFont="1" applyFill="1" applyBorder="1"/>
    <xf numFmtId="0" fontId="20" fillId="6" borderId="12" xfId="0" applyFont="1" applyFill="1" applyBorder="1"/>
    <xf numFmtId="0" fontId="15" fillId="0" borderId="14" xfId="0" applyFont="1" applyBorder="1"/>
    <xf numFmtId="0" fontId="3" fillId="6" borderId="9" xfId="0" applyFont="1" applyFill="1" applyBorder="1"/>
    <xf numFmtId="0" fontId="28" fillId="6" borderId="10" xfId="0" applyFont="1" applyFill="1" applyBorder="1"/>
    <xf numFmtId="0" fontId="28" fillId="6" borderId="12" xfId="0" applyFont="1" applyFill="1" applyBorder="1"/>
    <xf numFmtId="0" fontId="3" fillId="6" borderId="30" xfId="0" applyFont="1" applyFill="1" applyBorder="1"/>
    <xf numFmtId="0" fontId="3" fillId="6" borderId="9" xfId="0" applyFont="1" applyFill="1" applyBorder="1" applyAlignment="1">
      <alignment horizontal="center"/>
    </xf>
    <xf numFmtId="2" fontId="25" fillId="6" borderId="13" xfId="0" applyNumberFormat="1" applyFont="1" applyFill="1" applyBorder="1" applyAlignment="1">
      <alignment horizontal="left"/>
    </xf>
    <xf numFmtId="0" fontId="26" fillId="6" borderId="13" xfId="0" applyFont="1" applyFill="1" applyBorder="1" applyAlignment="1">
      <alignment horizontal="center"/>
    </xf>
    <xf numFmtId="0" fontId="27" fillId="6" borderId="34" xfId="0" applyFont="1" applyFill="1" applyBorder="1"/>
    <xf numFmtId="0" fontId="3" fillId="6" borderId="5" xfId="0" applyFont="1" applyFill="1" applyBorder="1" applyAlignment="1">
      <alignment horizontal="center"/>
    </xf>
    <xf numFmtId="0" fontId="3" fillId="6" borderId="15" xfId="0" applyFont="1" applyFill="1" applyBorder="1"/>
    <xf numFmtId="0" fontId="3" fillId="6" borderId="16" xfId="0" applyFont="1" applyFill="1" applyBorder="1" applyAlignment="1">
      <alignment horizontal="center"/>
    </xf>
    <xf numFmtId="0" fontId="3" fillId="7" borderId="31" xfId="0" applyFont="1" applyFill="1" applyBorder="1"/>
    <xf numFmtId="2" fontId="3" fillId="2" borderId="6" xfId="0" applyNumberFormat="1" applyFont="1" applyFill="1" applyBorder="1" applyAlignment="1">
      <alignment horizontal="center"/>
    </xf>
    <xf numFmtId="175" fontId="3" fillId="6" borderId="6" xfId="0" applyNumberFormat="1" applyFont="1" applyFill="1" applyBorder="1"/>
    <xf numFmtId="0" fontId="3" fillId="11" borderId="6" xfId="0" applyFont="1" applyFill="1" applyBorder="1"/>
    <xf numFmtId="0" fontId="20" fillId="6" borderId="8" xfId="0" applyFont="1" applyFill="1" applyBorder="1"/>
    <xf numFmtId="0" fontId="20" fillId="6" borderId="19" xfId="0" applyFont="1" applyFill="1" applyBorder="1"/>
    <xf numFmtId="0" fontId="3" fillId="0" borderId="7" xfId="0" applyFont="1" applyBorder="1"/>
    <xf numFmtId="0" fontId="20" fillId="0" borderId="4" xfId="0" applyFont="1" applyBorder="1" applyAlignment="1">
      <alignment horizontal="center"/>
    </xf>
    <xf numFmtId="3" fontId="20" fillId="0" borderId="4" xfId="0" applyNumberFormat="1" applyFont="1" applyBorder="1" applyAlignment="1">
      <alignment horizontal="left"/>
    </xf>
    <xf numFmtId="0" fontId="20" fillId="6" borderId="35" xfId="0" applyFont="1" applyFill="1" applyBorder="1" applyAlignment="1">
      <alignment horizontal="center"/>
    </xf>
    <xf numFmtId="0" fontId="20" fillId="6" borderId="35" xfId="0" applyFont="1" applyFill="1" applyBorder="1" applyAlignment="1">
      <alignment horizontal="left"/>
    </xf>
    <xf numFmtId="0" fontId="20" fillId="6" borderId="35" xfId="0" applyFont="1" applyFill="1" applyBorder="1"/>
    <xf numFmtId="0" fontId="3" fillId="6" borderId="35" xfId="0" applyFont="1" applyFill="1" applyBorder="1"/>
    <xf numFmtId="0" fontId="3" fillId="0" borderId="34" xfId="0" applyFont="1" applyBorder="1" applyAlignment="1">
      <alignment horizontal="center"/>
    </xf>
    <xf numFmtId="3" fontId="20" fillId="0" borderId="13" xfId="0" applyNumberFormat="1" applyFont="1" applyBorder="1" applyAlignment="1">
      <alignment horizontal="left"/>
    </xf>
    <xf numFmtId="0" fontId="3" fillId="6" borderId="18" xfId="0" applyFont="1" applyFill="1" applyBorder="1"/>
    <xf numFmtId="0" fontId="26" fillId="6" borderId="36" xfId="0" applyFont="1" applyFill="1" applyBorder="1" applyAlignment="1">
      <alignment horizontal="center"/>
    </xf>
    <xf numFmtId="0" fontId="20" fillId="6" borderId="32" xfId="0" applyFont="1" applyFill="1" applyBorder="1"/>
    <xf numFmtId="0" fontId="3" fillId="6" borderId="32" xfId="0" applyFont="1" applyFill="1" applyBorder="1"/>
    <xf numFmtId="0" fontId="3" fillId="6" borderId="13" xfId="0" applyFont="1" applyFill="1" applyBorder="1" applyAlignment="1">
      <alignment horizontal="center"/>
    </xf>
    <xf numFmtId="0" fontId="20" fillId="2" borderId="13" xfId="0" applyFont="1" applyFill="1" applyBorder="1"/>
    <xf numFmtId="0" fontId="20" fillId="0" borderId="13" xfId="0" applyFont="1" applyBorder="1" applyAlignment="1">
      <alignment horizontal="center"/>
    </xf>
    <xf numFmtId="0" fontId="20" fillId="6" borderId="13" xfId="0" applyFont="1" applyFill="1" applyBorder="1" applyAlignment="1">
      <alignment horizontal="center"/>
    </xf>
    <xf numFmtId="0" fontId="20" fillId="6" borderId="13" xfId="0" applyFont="1" applyFill="1" applyBorder="1" applyAlignment="1">
      <alignment horizontal="left"/>
    </xf>
    <xf numFmtId="0" fontId="3" fillId="7" borderId="13" xfId="0" applyFont="1" applyFill="1" applyBorder="1"/>
    <xf numFmtId="2" fontId="24" fillId="2" borderId="13" xfId="0" applyNumberFormat="1" applyFont="1" applyFill="1" applyBorder="1" applyAlignment="1">
      <alignment horizontal="center"/>
    </xf>
    <xf numFmtId="0" fontId="20" fillId="6" borderId="13" xfId="0" applyFont="1" applyFill="1" applyBorder="1"/>
    <xf numFmtId="174" fontId="3" fillId="6" borderId="27" xfId="0" applyNumberFormat="1" applyFont="1" applyFill="1" applyBorder="1"/>
    <xf numFmtId="172" fontId="3" fillId="6" borderId="27" xfId="0" applyNumberFormat="1" applyFont="1" applyFill="1" applyBorder="1"/>
    <xf numFmtId="174" fontId="3" fillId="6" borderId="13" xfId="0" applyNumberFormat="1" applyFont="1" applyFill="1" applyBorder="1" applyAlignment="1">
      <alignment horizontal="center"/>
    </xf>
    <xf numFmtId="164" fontId="3" fillId="2" borderId="13" xfId="0" applyNumberFormat="1" applyFont="1" applyFill="1" applyBorder="1" applyAlignment="1">
      <alignment horizontal="left"/>
    </xf>
    <xf numFmtId="0" fontId="3" fillId="2" borderId="34" xfId="0" applyFont="1" applyFill="1" applyBorder="1" applyAlignment="1">
      <alignment horizontal="center"/>
    </xf>
    <xf numFmtId="174" fontId="3" fillId="6" borderId="7" xfId="0" applyNumberFormat="1" applyFont="1" applyFill="1" applyBorder="1" applyAlignment="1">
      <alignment horizontal="center"/>
    </xf>
    <xf numFmtId="0" fontId="3" fillId="2" borderId="13" xfId="0" applyFont="1" applyFill="1" applyBorder="1"/>
    <xf numFmtId="0" fontId="3" fillId="11" borderId="10" xfId="0" applyFont="1" applyFill="1" applyBorder="1"/>
    <xf numFmtId="0" fontId="20" fillId="12" borderId="12" xfId="0" applyFont="1" applyFill="1" applyBorder="1"/>
    <xf numFmtId="0" fontId="27" fillId="6" borderId="12" xfId="0" applyFont="1" applyFill="1" applyBorder="1" applyAlignment="1">
      <alignment horizontal="left"/>
    </xf>
    <xf numFmtId="0" fontId="20" fillId="6" borderId="12" xfId="0" applyFont="1" applyFill="1" applyBorder="1" applyAlignment="1">
      <alignment horizontal="left"/>
    </xf>
    <xf numFmtId="0" fontId="3" fillId="11" borderId="7" xfId="0" applyFont="1" applyFill="1" applyBorder="1"/>
    <xf numFmtId="3" fontId="20" fillId="0" borderId="22" xfId="0" applyNumberFormat="1" applyFont="1" applyBorder="1" applyAlignment="1">
      <alignment horizontal="left"/>
    </xf>
    <xf numFmtId="0" fontId="3" fillId="6" borderId="7" xfId="0" applyFont="1" applyFill="1" applyBorder="1" applyAlignment="1">
      <alignment horizontal="left"/>
    </xf>
    <xf numFmtId="0" fontId="3" fillId="7" borderId="4" xfId="0" applyFont="1" applyFill="1" applyBorder="1"/>
    <xf numFmtId="2" fontId="3" fillId="2" borderId="7" xfId="0" applyNumberFormat="1" applyFont="1" applyFill="1" applyBorder="1" applyAlignment="1">
      <alignment horizontal="center"/>
    </xf>
    <xf numFmtId="2" fontId="25" fillId="6" borderId="7" xfId="0" applyNumberFormat="1" applyFont="1" applyFill="1" applyBorder="1" applyAlignment="1">
      <alignment horizontal="left"/>
    </xf>
    <xf numFmtId="0" fontId="3" fillId="6" borderId="7" xfId="0" applyFont="1" applyFill="1" applyBorder="1"/>
    <xf numFmtId="0" fontId="8" fillId="6" borderId="7" xfId="0" applyFont="1" applyFill="1" applyBorder="1" applyAlignment="1">
      <alignment horizontal="center"/>
    </xf>
    <xf numFmtId="0" fontId="20" fillId="6" borderId="7" xfId="0" applyFont="1" applyFill="1" applyBorder="1"/>
    <xf numFmtId="174" fontId="3" fillId="6" borderId="6" xfId="0" applyNumberFormat="1" applyFont="1" applyFill="1" applyBorder="1"/>
    <xf numFmtId="0" fontId="3" fillId="12" borderId="20" xfId="0" applyFont="1" applyFill="1" applyBorder="1"/>
    <xf numFmtId="0" fontId="20" fillId="6" borderId="11" xfId="0" applyFont="1" applyFill="1" applyBorder="1"/>
    <xf numFmtId="0" fontId="3" fillId="0" borderId="4" xfId="0" applyFont="1" applyBorder="1" applyAlignment="1">
      <alignment horizontal="center"/>
    </xf>
    <xf numFmtId="2" fontId="24" fillId="2" borderId="7" xfId="0" applyNumberFormat="1" applyFont="1" applyFill="1" applyBorder="1" applyAlignment="1">
      <alignment horizontal="center"/>
    </xf>
    <xf numFmtId="0" fontId="29" fillId="6" borderId="10" xfId="0" applyFont="1" applyFill="1" applyBorder="1" applyAlignment="1">
      <alignment horizontal="center"/>
    </xf>
    <xf numFmtId="0" fontId="28" fillId="6" borderId="10" xfId="0" applyFont="1" applyFill="1" applyBorder="1" applyAlignment="1">
      <alignment horizontal="center"/>
    </xf>
    <xf numFmtId="0" fontId="8" fillId="6" borderId="19" xfId="0" applyFont="1" applyFill="1" applyBorder="1" applyAlignment="1">
      <alignment horizontal="center"/>
    </xf>
    <xf numFmtId="0" fontId="3" fillId="11" borderId="12" xfId="0" applyFont="1" applyFill="1" applyBorder="1"/>
    <xf numFmtId="0" fontId="20" fillId="6" borderId="37" xfId="0" applyFont="1" applyFill="1" applyBorder="1"/>
    <xf numFmtId="0" fontId="3" fillId="12" borderId="6" xfId="0" applyFont="1" applyFill="1" applyBorder="1"/>
    <xf numFmtId="0" fontId="26" fillId="6" borderId="11" xfId="0" applyFont="1" applyFill="1" applyBorder="1" applyAlignment="1">
      <alignment horizontal="center"/>
    </xf>
    <xf numFmtId="0" fontId="20" fillId="2" borderId="20" xfId="0" applyFont="1" applyFill="1" applyBorder="1"/>
    <xf numFmtId="0" fontId="26" fillId="6" borderId="20" xfId="0" applyFont="1" applyFill="1" applyBorder="1" applyAlignment="1">
      <alignment horizontal="center"/>
    </xf>
    <xf numFmtId="0" fontId="20" fillId="6" borderId="38" xfId="0" applyFont="1" applyFill="1" applyBorder="1"/>
    <xf numFmtId="0" fontId="20" fillId="6" borderId="39" xfId="0" applyFont="1" applyFill="1" applyBorder="1"/>
    <xf numFmtId="174" fontId="3" fillId="6" borderId="20" xfId="0" applyNumberFormat="1" applyFont="1" applyFill="1" applyBorder="1" applyAlignment="1">
      <alignment horizontal="center"/>
    </xf>
    <xf numFmtId="0" fontId="3" fillId="2" borderId="20" xfId="0" applyFont="1" applyFill="1" applyBorder="1" applyAlignment="1">
      <alignment horizontal="center"/>
    </xf>
    <xf numFmtId="0" fontId="3" fillId="2" borderId="40" xfId="0" applyFont="1" applyFill="1" applyBorder="1" applyAlignment="1">
      <alignment horizontal="center"/>
    </xf>
    <xf numFmtId="0" fontId="20" fillId="9" borderId="23" xfId="0" applyFont="1" applyFill="1" applyBorder="1"/>
    <xf numFmtId="0" fontId="3" fillId="7" borderId="26" xfId="0" applyFont="1" applyFill="1" applyBorder="1"/>
    <xf numFmtId="0" fontId="26" fillId="6" borderId="22" xfId="0" applyFont="1" applyFill="1" applyBorder="1" applyAlignment="1">
      <alignment horizontal="center"/>
    </xf>
    <xf numFmtId="174" fontId="3" fillId="6" borderId="23" xfId="0" applyNumberFormat="1" applyFont="1" applyFill="1" applyBorder="1" applyAlignment="1">
      <alignment horizontal="center"/>
    </xf>
    <xf numFmtId="0" fontId="3" fillId="8" borderId="23" xfId="0" applyFont="1" applyFill="1" applyBorder="1" applyAlignment="1">
      <alignment horizontal="center"/>
    </xf>
    <xf numFmtId="0" fontId="3" fillId="8" borderId="25" xfId="0" applyFont="1" applyFill="1" applyBorder="1" applyAlignment="1">
      <alignment horizontal="center"/>
    </xf>
    <xf numFmtId="0" fontId="23" fillId="8" borderId="22" xfId="0" applyFont="1" applyFill="1" applyBorder="1"/>
    <xf numFmtId="164" fontId="3" fillId="2" borderId="0" xfId="0" applyNumberFormat="1" applyFont="1" applyFill="1" applyAlignment="1">
      <alignment horizontal="left"/>
    </xf>
    <xf numFmtId="0" fontId="3" fillId="2" borderId="3" xfId="0" applyFont="1" applyFill="1" applyBorder="1" applyAlignment="1">
      <alignment horizontal="left"/>
    </xf>
    <xf numFmtId="0" fontId="3" fillId="7" borderId="5" xfId="0" applyFont="1" applyFill="1" applyBorder="1"/>
    <xf numFmtId="0" fontId="20" fillId="9" borderId="10" xfId="0" applyFont="1" applyFill="1" applyBorder="1"/>
    <xf numFmtId="0" fontId="26" fillId="6" borderId="7" xfId="0" applyFont="1" applyFill="1" applyBorder="1" applyAlignment="1">
      <alignment horizontal="center"/>
    </xf>
    <xf numFmtId="0" fontId="20" fillId="9" borderId="6" xfId="0" applyFont="1" applyFill="1" applyBorder="1"/>
    <xf numFmtId="0" fontId="3" fillId="9" borderId="6" xfId="0" applyFont="1" applyFill="1" applyBorder="1"/>
    <xf numFmtId="0" fontId="3" fillId="9" borderId="7" xfId="0" applyFont="1" applyFill="1" applyBorder="1"/>
    <xf numFmtId="0" fontId="3" fillId="6" borderId="22" xfId="0" applyFont="1" applyFill="1" applyBorder="1" applyAlignment="1">
      <alignment horizontal="left"/>
    </xf>
    <xf numFmtId="0" fontId="3" fillId="6" borderId="2" xfId="0" applyFont="1" applyFill="1" applyBorder="1"/>
    <xf numFmtId="2" fontId="24" fillId="2" borderId="22" xfId="0" applyNumberFormat="1" applyFont="1" applyFill="1" applyBorder="1" applyAlignment="1">
      <alignment horizontal="center"/>
    </xf>
    <xf numFmtId="0" fontId="3" fillId="6" borderId="22" xfId="0" applyFont="1" applyFill="1" applyBorder="1"/>
    <xf numFmtId="172" fontId="3" fillId="6" borderId="22" xfId="0" applyNumberFormat="1" applyFont="1" applyFill="1" applyBorder="1"/>
    <xf numFmtId="0" fontId="3" fillId="2" borderId="22" xfId="0" applyFont="1" applyFill="1" applyBorder="1" applyAlignment="1">
      <alignment horizontal="left"/>
    </xf>
    <xf numFmtId="164" fontId="3" fillId="2" borderId="22" xfId="0" applyNumberFormat="1" applyFont="1" applyFill="1" applyBorder="1" applyAlignment="1">
      <alignment horizontal="left"/>
    </xf>
    <xf numFmtId="0" fontId="3" fillId="2" borderId="7" xfId="0" applyFont="1" applyFill="1" applyBorder="1" applyAlignment="1">
      <alignment horizontal="center"/>
    </xf>
    <xf numFmtId="0" fontId="3" fillId="2" borderId="3" xfId="0" applyFont="1" applyFill="1" applyBorder="1" applyAlignment="1">
      <alignment horizontal="center"/>
    </xf>
    <xf numFmtId="0" fontId="3" fillId="2" borderId="22" xfId="0" applyFont="1" applyFill="1" applyBorder="1" applyAlignment="1">
      <alignment horizontal="center"/>
    </xf>
    <xf numFmtId="172" fontId="3" fillId="2" borderId="22" xfId="0" applyNumberFormat="1" applyFont="1" applyFill="1" applyBorder="1" applyAlignment="1">
      <alignment horizontal="center"/>
    </xf>
    <xf numFmtId="172" fontId="3" fillId="2" borderId="20" xfId="0" applyNumberFormat="1" applyFont="1" applyFill="1" applyBorder="1" applyAlignment="1">
      <alignment horizontal="center"/>
    </xf>
    <xf numFmtId="172" fontId="3" fillId="0" borderId="29" xfId="0" applyNumberFormat="1" applyFont="1" applyBorder="1" applyAlignment="1">
      <alignment horizontal="center"/>
    </xf>
    <xf numFmtId="172" fontId="3" fillId="2" borderId="7" xfId="0" applyNumberFormat="1" applyFont="1" applyFill="1" applyBorder="1" applyAlignment="1">
      <alignment horizontal="center"/>
    </xf>
    <xf numFmtId="0" fontId="3" fillId="13" borderId="6" xfId="0" applyFont="1" applyFill="1" applyBorder="1" applyAlignment="1">
      <alignment horizontal="center"/>
    </xf>
    <xf numFmtId="0" fontId="3" fillId="2" borderId="7" xfId="0" applyFont="1" applyFill="1" applyBorder="1"/>
    <xf numFmtId="0" fontId="20" fillId="6" borderId="31" xfId="0" applyFont="1" applyFill="1" applyBorder="1"/>
    <xf numFmtId="0" fontId="3" fillId="2" borderId="20" xfId="0" applyFont="1" applyFill="1" applyBorder="1"/>
    <xf numFmtId="2" fontId="3" fillId="2" borderId="20" xfId="0" applyNumberFormat="1" applyFont="1" applyFill="1" applyBorder="1" applyAlignment="1">
      <alignment horizontal="center"/>
    </xf>
    <xf numFmtId="0" fontId="3" fillId="12" borderId="12" xfId="0" applyFont="1" applyFill="1" applyBorder="1"/>
    <xf numFmtId="174" fontId="3" fillId="6" borderId="12" xfId="0" applyNumberFormat="1" applyFont="1" applyFill="1" applyBorder="1"/>
    <xf numFmtId="2" fontId="26" fillId="6" borderId="6" xfId="0" applyNumberFormat="1" applyFont="1" applyFill="1" applyBorder="1" applyAlignment="1">
      <alignment horizontal="left"/>
    </xf>
    <xf numFmtId="0" fontId="3" fillId="2" borderId="6" xfId="0" applyFont="1" applyFill="1" applyBorder="1" applyAlignment="1">
      <alignment vertical="center"/>
    </xf>
    <xf numFmtId="0" fontId="24" fillId="6" borderId="6" xfId="0" applyFont="1" applyFill="1" applyBorder="1"/>
    <xf numFmtId="2" fontId="3" fillId="2" borderId="12" xfId="0" applyNumberFormat="1" applyFont="1" applyFill="1" applyBorder="1" applyAlignment="1">
      <alignment horizontal="center"/>
    </xf>
    <xf numFmtId="2" fontId="3" fillId="2" borderId="10" xfId="0" applyNumberFormat="1" applyFont="1" applyFill="1" applyBorder="1" applyAlignment="1">
      <alignment horizontal="center"/>
    </xf>
    <xf numFmtId="2" fontId="8" fillId="6" borderId="6" xfId="0" applyNumberFormat="1" applyFont="1" applyFill="1" applyBorder="1" applyAlignment="1">
      <alignment horizontal="left"/>
    </xf>
    <xf numFmtId="0" fontId="0" fillId="2" borderId="7" xfId="0" applyFill="1" applyBorder="1"/>
    <xf numFmtId="0" fontId="20" fillId="2" borderId="12" xfId="0" applyFont="1" applyFill="1" applyBorder="1"/>
    <xf numFmtId="0" fontId="3" fillId="6" borderId="0" xfId="0" applyFont="1" applyFill="1"/>
    <xf numFmtId="0" fontId="20" fillId="2" borderId="22" xfId="0" applyFont="1" applyFill="1" applyBorder="1"/>
    <xf numFmtId="173" fontId="3" fillId="0" borderId="27" xfId="0" applyNumberFormat="1" applyFont="1" applyBorder="1" applyAlignment="1">
      <alignment horizontal="center"/>
    </xf>
    <xf numFmtId="3" fontId="3" fillId="0" borderId="27" xfId="0" applyNumberFormat="1" applyFont="1" applyBorder="1" applyAlignment="1">
      <alignment horizontal="left"/>
    </xf>
    <xf numFmtId="0" fontId="3" fillId="6" borderId="27" xfId="0" applyFont="1" applyFill="1" applyBorder="1" applyAlignment="1">
      <alignment horizontal="center"/>
    </xf>
    <xf numFmtId="0" fontId="3" fillId="6" borderId="27" xfId="0" applyFont="1" applyFill="1" applyBorder="1" applyAlignment="1">
      <alignment horizontal="left"/>
    </xf>
    <xf numFmtId="0" fontId="3" fillId="7" borderId="41" xfId="0" applyFont="1" applyFill="1" applyBorder="1"/>
    <xf numFmtId="2" fontId="3" fillId="2" borderId="13" xfId="0" applyNumberFormat="1" applyFont="1" applyFill="1" applyBorder="1" applyAlignment="1">
      <alignment horizontal="center"/>
    </xf>
    <xf numFmtId="0" fontId="3" fillId="6" borderId="27" xfId="0" applyFont="1" applyFill="1" applyBorder="1"/>
    <xf numFmtId="0" fontId="8" fillId="6" borderId="27" xfId="0" applyFont="1" applyFill="1" applyBorder="1" applyAlignment="1">
      <alignment horizontal="center"/>
    </xf>
    <xf numFmtId="174" fontId="3" fillId="6" borderId="27" xfId="0" applyNumberFormat="1" applyFont="1" applyFill="1" applyBorder="1" applyAlignment="1">
      <alignment horizontal="center"/>
    </xf>
    <xf numFmtId="0" fontId="28" fillId="6" borderId="23" xfId="0" applyFont="1" applyFill="1" applyBorder="1" applyAlignment="1">
      <alignment horizontal="center"/>
    </xf>
    <xf numFmtId="0" fontId="3" fillId="0" borderId="7" xfId="0" applyFont="1" applyBorder="1" applyAlignment="1">
      <alignment horizontal="left"/>
    </xf>
    <xf numFmtId="0" fontId="3" fillId="6" borderId="7" xfId="0" applyFont="1" applyFill="1" applyBorder="1" applyAlignment="1">
      <alignment horizontal="center"/>
    </xf>
    <xf numFmtId="0" fontId="20" fillId="6" borderId="20" xfId="0" applyFont="1" applyFill="1" applyBorder="1" applyAlignment="1">
      <alignment horizontal="left"/>
    </xf>
    <xf numFmtId="0" fontId="26" fillId="6" borderId="39" xfId="0" applyFont="1" applyFill="1" applyBorder="1" applyAlignment="1">
      <alignment horizontal="center"/>
    </xf>
    <xf numFmtId="0" fontId="27" fillId="6" borderId="20" xfId="0" applyFont="1" applyFill="1" applyBorder="1"/>
    <xf numFmtId="0" fontId="3" fillId="8" borderId="20" xfId="0" applyFont="1" applyFill="1" applyBorder="1" applyAlignment="1">
      <alignment horizontal="center"/>
    </xf>
    <xf numFmtId="0" fontId="3" fillId="8" borderId="40" xfId="0" applyFont="1" applyFill="1" applyBorder="1" applyAlignment="1">
      <alignment horizontal="center"/>
    </xf>
    <xf numFmtId="172" fontId="3" fillId="0" borderId="0" xfId="0" applyNumberFormat="1" applyFont="1" applyAlignment="1">
      <alignment horizontal="center"/>
    </xf>
    <xf numFmtId="0" fontId="3" fillId="6" borderId="4" xfId="0" applyFont="1" applyFill="1" applyBorder="1"/>
    <xf numFmtId="172" fontId="3" fillId="6" borderId="7" xfId="0" applyNumberFormat="1" applyFont="1" applyFill="1" applyBorder="1"/>
    <xf numFmtId="0" fontId="8" fillId="6" borderId="3" xfId="0" applyFont="1" applyFill="1" applyBorder="1" applyAlignment="1">
      <alignment horizontal="center"/>
    </xf>
    <xf numFmtId="164" fontId="3" fillId="2" borderId="7" xfId="0" applyNumberFormat="1" applyFont="1" applyFill="1" applyBorder="1" applyAlignment="1">
      <alignment horizontal="left"/>
    </xf>
    <xf numFmtId="3" fontId="3" fillId="0" borderId="0" xfId="0" applyNumberFormat="1" applyFont="1" applyAlignment="1">
      <alignment horizontal="left"/>
    </xf>
    <xf numFmtId="0" fontId="3" fillId="6" borderId="15" xfId="0" applyFont="1" applyFill="1" applyBorder="1" applyAlignment="1">
      <alignment horizontal="center"/>
    </xf>
    <xf numFmtId="0" fontId="3" fillId="6" borderId="15" xfId="0" applyFont="1" applyFill="1" applyBorder="1" applyAlignment="1">
      <alignment horizontal="left"/>
    </xf>
    <xf numFmtId="0" fontId="3" fillId="6" borderId="37" xfId="0" applyFont="1" applyFill="1" applyBorder="1"/>
    <xf numFmtId="0" fontId="3" fillId="9" borderId="6" xfId="0" applyFont="1" applyFill="1" applyBorder="1" applyAlignment="1">
      <alignment horizontal="center"/>
    </xf>
    <xf numFmtId="0" fontId="20" fillId="6" borderId="21" xfId="0" applyFont="1" applyFill="1" applyBorder="1"/>
    <xf numFmtId="0" fontId="20" fillId="0" borderId="13" xfId="0" applyFont="1" applyBorder="1"/>
    <xf numFmtId="0" fontId="3" fillId="6" borderId="0" xfId="0" applyFont="1" applyFill="1" applyAlignment="1">
      <alignment horizontal="center"/>
    </xf>
    <xf numFmtId="0" fontId="3" fillId="6" borderId="0" xfId="0" applyFont="1" applyFill="1" applyAlignment="1">
      <alignment horizontal="left"/>
    </xf>
    <xf numFmtId="0" fontId="3" fillId="2" borderId="23" xfId="0" applyFont="1" applyFill="1" applyBorder="1"/>
    <xf numFmtId="0" fontId="3" fillId="6" borderId="26" xfId="0" applyFont="1" applyFill="1" applyBorder="1"/>
    <xf numFmtId="2" fontId="3" fillId="2" borderId="23" xfId="0" applyNumberFormat="1" applyFont="1" applyFill="1" applyBorder="1" applyAlignment="1">
      <alignment horizontal="center"/>
    </xf>
    <xf numFmtId="174" fontId="3" fillId="6" borderId="26" xfId="0" applyNumberFormat="1" applyFont="1" applyFill="1" applyBorder="1"/>
    <xf numFmtId="0" fontId="8" fillId="6" borderId="23" xfId="0" applyFont="1" applyFill="1" applyBorder="1" applyAlignment="1">
      <alignment horizontal="center"/>
    </xf>
    <xf numFmtId="0" fontId="27" fillId="6" borderId="24" xfId="0" applyFont="1" applyFill="1" applyBorder="1"/>
    <xf numFmtId="0" fontId="3" fillId="14" borderId="12" xfId="0" applyFont="1" applyFill="1" applyBorder="1"/>
    <xf numFmtId="174" fontId="18" fillId="6" borderId="10" xfId="0" applyNumberFormat="1" applyFont="1" applyFill="1" applyBorder="1" applyAlignment="1">
      <alignment horizontal="center"/>
    </xf>
    <xf numFmtId="3" fontId="20" fillId="6" borderId="6" xfId="0" applyNumberFormat="1" applyFont="1" applyFill="1" applyBorder="1"/>
    <xf numFmtId="0" fontId="3" fillId="14" borderId="6" xfId="0" applyFont="1" applyFill="1" applyBorder="1"/>
    <xf numFmtId="0" fontId="20" fillId="6" borderId="17" xfId="0" applyFont="1" applyFill="1" applyBorder="1"/>
    <xf numFmtId="172" fontId="3" fillId="6" borderId="26" xfId="0" applyNumberFormat="1" applyFont="1" applyFill="1" applyBorder="1"/>
    <xf numFmtId="0" fontId="28" fillId="6" borderId="30" xfId="0" applyFont="1" applyFill="1" applyBorder="1"/>
    <xf numFmtId="0" fontId="3" fillId="7" borderId="7" xfId="0" applyFont="1" applyFill="1" applyBorder="1"/>
    <xf numFmtId="0" fontId="20" fillId="7" borderId="31" xfId="0" applyFont="1" applyFill="1" applyBorder="1"/>
    <xf numFmtId="0" fontId="30" fillId="6" borderId="6" xfId="0" applyFont="1" applyFill="1" applyBorder="1"/>
    <xf numFmtId="0" fontId="31" fillId="6" borderId="6" xfId="0" applyFont="1" applyFill="1" applyBorder="1"/>
    <xf numFmtId="0" fontId="24" fillId="2" borderId="10" xfId="0" applyFont="1" applyFill="1" applyBorder="1" applyAlignment="1">
      <alignment horizontal="left"/>
    </xf>
    <xf numFmtId="173" fontId="3" fillId="0" borderId="3" xfId="0" applyNumberFormat="1" applyFont="1" applyBorder="1" applyAlignment="1">
      <alignment horizontal="center"/>
    </xf>
    <xf numFmtId="0" fontId="3" fillId="6" borderId="35" xfId="0" applyFont="1" applyFill="1" applyBorder="1" applyAlignment="1">
      <alignment horizontal="center"/>
    </xf>
    <xf numFmtId="0" fontId="3" fillId="6" borderId="11" xfId="0" applyFont="1" applyFill="1" applyBorder="1" applyAlignment="1">
      <alignment horizontal="left"/>
    </xf>
    <xf numFmtId="0" fontId="20" fillId="7" borderId="6" xfId="0" applyFont="1" applyFill="1" applyBorder="1"/>
    <xf numFmtId="0" fontId="3" fillId="0" borderId="13" xfId="0" applyFont="1" applyBorder="1"/>
    <xf numFmtId="0" fontId="20" fillId="7" borderId="17" xfId="0" applyFont="1" applyFill="1" applyBorder="1"/>
    <xf numFmtId="3" fontId="3" fillId="2" borderId="7" xfId="0" applyNumberFormat="1" applyFont="1" applyFill="1" applyBorder="1" applyAlignment="1">
      <alignment horizontal="left"/>
    </xf>
    <xf numFmtId="1" fontId="3" fillId="0" borderId="7" xfId="0" applyNumberFormat="1" applyFont="1" applyBorder="1" applyAlignment="1">
      <alignment horizontal="center"/>
    </xf>
    <xf numFmtId="0" fontId="3" fillId="11" borderId="37" xfId="0" applyFont="1" applyFill="1" applyBorder="1"/>
    <xf numFmtId="0" fontId="3" fillId="6" borderId="42" xfId="0" applyFont="1" applyFill="1" applyBorder="1" applyAlignment="1">
      <alignment horizontal="center"/>
    </xf>
    <xf numFmtId="0" fontId="3" fillId="6" borderId="30" xfId="0" applyFont="1" applyFill="1" applyBorder="1" applyAlignment="1">
      <alignment horizontal="center"/>
    </xf>
    <xf numFmtId="0" fontId="3" fillId="2" borderId="43" xfId="0" applyFont="1" applyFill="1" applyBorder="1"/>
    <xf numFmtId="0" fontId="3" fillId="6" borderId="44" xfId="0" applyFont="1" applyFill="1" applyBorder="1" applyAlignment="1">
      <alignment horizontal="center"/>
    </xf>
    <xf numFmtId="0" fontId="3" fillId="6" borderId="44" xfId="0" applyFont="1" applyFill="1" applyBorder="1" applyAlignment="1">
      <alignment horizontal="left"/>
    </xf>
    <xf numFmtId="0" fontId="28" fillId="6" borderId="44" xfId="0" applyFont="1" applyFill="1" applyBorder="1"/>
    <xf numFmtId="173" fontId="3" fillId="0" borderId="0" xfId="0" applyNumberFormat="1" applyFont="1" applyAlignment="1">
      <alignment horizontal="center"/>
    </xf>
    <xf numFmtId="2" fontId="25" fillId="6" borderId="0" xfId="0" applyNumberFormat="1" applyFont="1" applyFill="1" applyAlignment="1">
      <alignment horizontal="left"/>
    </xf>
    <xf numFmtId="172" fontId="3" fillId="0" borderId="27" xfId="0" applyNumberFormat="1" applyFont="1" applyBorder="1" applyAlignment="1">
      <alignment horizontal="center"/>
    </xf>
    <xf numFmtId="0" fontId="8" fillId="6" borderId="10" xfId="0" applyFont="1" applyFill="1" applyBorder="1"/>
    <xf numFmtId="49" fontId="3" fillId="0" borderId="7" xfId="0" applyNumberFormat="1" applyFont="1" applyBorder="1" applyAlignment="1">
      <alignment horizontal="center"/>
    </xf>
    <xf numFmtId="3" fontId="3" fillId="2" borderId="13" xfId="0" applyNumberFormat="1" applyFont="1" applyFill="1" applyBorder="1" applyAlignment="1">
      <alignment horizontal="left"/>
    </xf>
    <xf numFmtId="174" fontId="3" fillId="6" borderId="5" xfId="0" applyNumberFormat="1" applyFont="1" applyFill="1" applyBorder="1"/>
    <xf numFmtId="0" fontId="8" fillId="6" borderId="17" xfId="0" applyFont="1" applyFill="1" applyBorder="1" applyAlignment="1">
      <alignment horizontal="center"/>
    </xf>
    <xf numFmtId="0" fontId="3" fillId="9" borderId="13" xfId="0" applyFont="1" applyFill="1" applyBorder="1" applyAlignment="1">
      <alignment horizontal="center"/>
    </xf>
    <xf numFmtId="0" fontId="3" fillId="8" borderId="13" xfId="0" applyFont="1" applyFill="1" applyBorder="1" applyAlignment="1">
      <alignment horizontal="center"/>
    </xf>
    <xf numFmtId="0" fontId="3" fillId="8" borderId="34" xfId="0" applyFont="1" applyFill="1" applyBorder="1" applyAlignment="1">
      <alignment horizontal="center"/>
    </xf>
    <xf numFmtId="172" fontId="3" fillId="6" borderId="25" xfId="0" applyNumberFormat="1" applyFont="1" applyFill="1" applyBorder="1"/>
    <xf numFmtId="0" fontId="8" fillId="6" borderId="22" xfId="0" applyFont="1" applyFill="1" applyBorder="1" applyAlignment="1">
      <alignment horizontal="center"/>
    </xf>
    <xf numFmtId="0" fontId="3" fillId="6" borderId="26" xfId="0" applyFont="1" applyFill="1" applyBorder="1" applyAlignment="1">
      <alignment horizontal="center"/>
    </xf>
    <xf numFmtId="2" fontId="8" fillId="6" borderId="12" xfId="0" applyNumberFormat="1" applyFont="1" applyFill="1" applyBorder="1" applyAlignment="1">
      <alignment horizontal="left"/>
    </xf>
    <xf numFmtId="176" fontId="3" fillId="6" borderId="12" xfId="0" applyNumberFormat="1" applyFont="1" applyFill="1" applyBorder="1"/>
    <xf numFmtId="0" fontId="8" fillId="6" borderId="13" xfId="0" applyFont="1" applyFill="1" applyBorder="1" applyAlignment="1">
      <alignment horizontal="center"/>
    </xf>
    <xf numFmtId="0" fontId="32" fillId="6" borderId="6" xfId="0" applyFont="1" applyFill="1" applyBorder="1"/>
    <xf numFmtId="0" fontId="8" fillId="6" borderId="4" xfId="0" applyFont="1" applyFill="1" applyBorder="1" applyAlignment="1">
      <alignment horizontal="center"/>
    </xf>
    <xf numFmtId="2" fontId="24" fillId="2" borderId="25" xfId="0" applyNumberFormat="1" applyFont="1" applyFill="1" applyBorder="1" applyAlignment="1">
      <alignment horizontal="center"/>
    </xf>
    <xf numFmtId="174" fontId="3" fillId="6" borderId="23" xfId="0" applyNumberFormat="1" applyFont="1" applyFill="1" applyBorder="1"/>
    <xf numFmtId="172" fontId="3" fillId="6" borderId="18" xfId="0" applyNumberFormat="1" applyFont="1" applyFill="1" applyBorder="1"/>
    <xf numFmtId="0" fontId="33" fillId="8" borderId="10" xfId="0" applyFont="1" applyFill="1" applyBorder="1" applyAlignment="1">
      <alignment horizontal="center"/>
    </xf>
    <xf numFmtId="2" fontId="24" fillId="2" borderId="27" xfId="0" applyNumberFormat="1" applyFont="1" applyFill="1" applyBorder="1" applyAlignment="1">
      <alignment horizontal="center"/>
    </xf>
    <xf numFmtId="0" fontId="34" fillId="6" borderId="13" xfId="0" applyFont="1" applyFill="1" applyBorder="1"/>
    <xf numFmtId="0" fontId="35" fillId="6" borderId="13" xfId="0" applyFont="1" applyFill="1" applyBorder="1"/>
    <xf numFmtId="173" fontId="27" fillId="0" borderId="13" xfId="0" applyNumberFormat="1" applyFont="1" applyBorder="1" applyAlignment="1">
      <alignment horizontal="center"/>
    </xf>
    <xf numFmtId="0" fontId="24" fillId="2" borderId="10" xfId="0" applyFont="1" applyFill="1" applyBorder="1"/>
    <xf numFmtId="173" fontId="3" fillId="9" borderId="10" xfId="0" applyNumberFormat="1" applyFont="1" applyFill="1" applyBorder="1" applyAlignment="1">
      <alignment horizontal="center"/>
    </xf>
    <xf numFmtId="0" fontId="20" fillId="15" borderId="0" xfId="0" applyFont="1" applyFill="1"/>
    <xf numFmtId="177" fontId="3" fillId="6" borderId="6" xfId="0" applyNumberFormat="1" applyFont="1" applyFill="1" applyBorder="1" applyAlignment="1">
      <alignment horizontal="center"/>
    </xf>
    <xf numFmtId="178" fontId="3" fillId="6" borderId="6" xfId="0" applyNumberFormat="1" applyFont="1" applyFill="1" applyBorder="1" applyAlignment="1">
      <alignment horizontal="center"/>
    </xf>
    <xf numFmtId="172" fontId="3" fillId="2" borderId="6" xfId="0" applyNumberFormat="1" applyFont="1" applyFill="1" applyBorder="1" applyAlignment="1">
      <alignment horizontal="center"/>
    </xf>
    <xf numFmtId="172" fontId="3" fillId="2" borderId="11" xfId="0" applyNumberFormat="1" applyFont="1" applyFill="1" applyBorder="1" applyAlignment="1">
      <alignment horizontal="center"/>
    </xf>
    <xf numFmtId="172" fontId="3" fillId="2" borderId="0" xfId="0" applyNumberFormat="1" applyFont="1" applyFill="1" applyAlignment="1">
      <alignment horizontal="center"/>
    </xf>
    <xf numFmtId="0" fontId="27" fillId="9" borderId="12" xfId="0" applyFont="1" applyFill="1" applyBorder="1" applyAlignment="1">
      <alignment horizontal="center"/>
    </xf>
    <xf numFmtId="0" fontId="3" fillId="7" borderId="10" xfId="0" applyFont="1" applyFill="1" applyBorder="1"/>
    <xf numFmtId="0" fontId="8" fillId="6" borderId="31" xfId="0" applyFont="1" applyFill="1" applyBorder="1" applyAlignment="1">
      <alignment horizontal="center"/>
    </xf>
    <xf numFmtId="0" fontId="20" fillId="0" borderId="5" xfId="0" applyFont="1" applyBorder="1"/>
    <xf numFmtId="0" fontId="24" fillId="6" borderId="10" xfId="0" applyFont="1" applyFill="1" applyBorder="1" applyAlignment="1">
      <alignment horizontal="center"/>
    </xf>
    <xf numFmtId="0" fontId="20" fillId="2" borderId="23" xfId="0" applyFont="1" applyFill="1" applyBorder="1"/>
    <xf numFmtId="0" fontId="18" fillId="6" borderId="6" xfId="0" applyFont="1" applyFill="1" applyBorder="1"/>
    <xf numFmtId="0" fontId="27" fillId="6" borderId="10" xfId="0" applyFont="1" applyFill="1" applyBorder="1"/>
    <xf numFmtId="0" fontId="20" fillId="0" borderId="6" xfId="0" applyFont="1" applyBorder="1"/>
    <xf numFmtId="0" fontId="20" fillId="12" borderId="6" xfId="0" applyFont="1" applyFill="1" applyBorder="1"/>
    <xf numFmtId="0" fontId="36" fillId="6" borderId="6" xfId="0" applyFont="1" applyFill="1" applyBorder="1"/>
    <xf numFmtId="0" fontId="8" fillId="6" borderId="11" xfId="0" applyFont="1" applyFill="1" applyBorder="1" applyAlignment="1">
      <alignment horizontal="center"/>
    </xf>
    <xf numFmtId="0" fontId="8" fillId="6" borderId="23" xfId="0" applyFont="1" applyFill="1" applyBorder="1" applyAlignment="1">
      <alignment horizontal="center" vertical="center"/>
    </xf>
    <xf numFmtId="0" fontId="18" fillId="6" borderId="23" xfId="0" applyFont="1" applyFill="1" applyBorder="1"/>
    <xf numFmtId="0" fontId="20" fillId="14" borderId="6" xfId="0" applyFont="1" applyFill="1" applyBorder="1"/>
    <xf numFmtId="0" fontId="24" fillId="2" borderId="6" xfId="0" applyFont="1" applyFill="1" applyBorder="1" applyAlignment="1">
      <alignment horizontal="left"/>
    </xf>
    <xf numFmtId="0" fontId="37" fillId="6" borderId="20" xfId="0" applyFont="1" applyFill="1" applyBorder="1"/>
    <xf numFmtId="0" fontId="20" fillId="9" borderId="12" xfId="0" applyFont="1" applyFill="1" applyBorder="1"/>
    <xf numFmtId="0" fontId="27" fillId="0" borderId="13" xfId="0" applyFont="1" applyBorder="1" applyAlignment="1">
      <alignment horizontal="center"/>
    </xf>
    <xf numFmtId="0" fontId="22" fillId="16" borderId="10" xfId="0" applyFont="1" applyFill="1" applyBorder="1"/>
    <xf numFmtId="3" fontId="38" fillId="16" borderId="10" xfId="0" applyNumberFormat="1" applyFont="1" applyFill="1" applyBorder="1" applyAlignment="1">
      <alignment horizontal="left"/>
    </xf>
    <xf numFmtId="0" fontId="38" fillId="16" borderId="10" xfId="0" applyFont="1" applyFill="1" applyBorder="1" applyAlignment="1">
      <alignment horizontal="center"/>
    </xf>
    <xf numFmtId="0" fontId="38" fillId="16" borderId="10" xfId="0" applyFont="1" applyFill="1" applyBorder="1" applyAlignment="1">
      <alignment horizontal="left"/>
    </xf>
    <xf numFmtId="0" fontId="38" fillId="16" borderId="30" xfId="0" applyFont="1" applyFill="1" applyBorder="1" applyAlignment="1">
      <alignment horizontal="center"/>
    </xf>
    <xf numFmtId="0" fontId="3" fillId="16" borderId="10" xfId="0" applyFont="1" applyFill="1" applyBorder="1"/>
    <xf numFmtId="0" fontId="3" fillId="16" borderId="10" xfId="0" applyFont="1" applyFill="1" applyBorder="1" applyAlignment="1">
      <alignment horizontal="left"/>
    </xf>
    <xf numFmtId="172" fontId="38" fillId="16" borderId="7" xfId="0" applyNumberFormat="1" applyFont="1" applyFill="1" applyBorder="1"/>
    <xf numFmtId="0" fontId="39" fillId="16" borderId="10" xfId="0" applyFont="1" applyFill="1" applyBorder="1" applyAlignment="1">
      <alignment horizontal="center"/>
    </xf>
    <xf numFmtId="0" fontId="38" fillId="16" borderId="10" xfId="0" applyFont="1" applyFill="1" applyBorder="1"/>
    <xf numFmtId="0" fontId="8" fillId="16" borderId="10" xfId="0" applyFont="1" applyFill="1" applyBorder="1"/>
    <xf numFmtId="179" fontId="38" fillId="16" borderId="10" xfId="0" applyNumberFormat="1" applyFont="1" applyFill="1" applyBorder="1" applyAlignment="1">
      <alignment horizontal="center"/>
    </xf>
    <xf numFmtId="172" fontId="38" fillId="16" borderId="10" xfId="0" applyNumberFormat="1" applyFont="1" applyFill="1" applyBorder="1" applyAlignment="1">
      <alignment horizontal="center"/>
    </xf>
    <xf numFmtId="164" fontId="3" fillId="16" borderId="10" xfId="0" applyNumberFormat="1" applyFont="1" applyFill="1" applyBorder="1" applyAlignment="1">
      <alignment horizontal="left"/>
    </xf>
    <xf numFmtId="172" fontId="3" fillId="16" borderId="13" xfId="0" applyNumberFormat="1" applyFont="1" applyFill="1" applyBorder="1" applyAlignment="1">
      <alignment horizontal="center"/>
    </xf>
    <xf numFmtId="0" fontId="3" fillId="16" borderId="13" xfId="0" applyFont="1" applyFill="1" applyBorder="1" applyAlignment="1">
      <alignment horizontal="center"/>
    </xf>
    <xf numFmtId="172" fontId="3" fillId="16" borderId="14" xfId="0" applyNumberFormat="1" applyFont="1" applyFill="1" applyBorder="1" applyAlignment="1">
      <alignment horizontal="center"/>
    </xf>
    <xf numFmtId="0" fontId="20" fillId="6" borderId="10" xfId="0" applyFont="1" applyFill="1" applyBorder="1" applyAlignment="1">
      <alignment horizontal="left"/>
    </xf>
    <xf numFmtId="0" fontId="20" fillId="6" borderId="9" xfId="0" applyFont="1" applyFill="1" applyBorder="1"/>
    <xf numFmtId="172" fontId="3" fillId="6" borderId="11" xfId="0" applyNumberFormat="1" applyFont="1" applyFill="1" applyBorder="1"/>
    <xf numFmtId="164" fontId="3" fillId="2" borderId="10" xfId="0" applyNumberFormat="1" applyFont="1" applyFill="1" applyBorder="1" applyAlignment="1">
      <alignment horizontal="center"/>
    </xf>
    <xf numFmtId="174" fontId="3" fillId="2" borderId="10" xfId="0" applyNumberFormat="1" applyFont="1" applyFill="1" applyBorder="1" applyAlignment="1">
      <alignment horizontal="center"/>
    </xf>
    <xf numFmtId="0" fontId="3" fillId="6" borderId="5" xfId="0" applyFont="1" applyFill="1" applyBorder="1"/>
    <xf numFmtId="0" fontId="26" fillId="6" borderId="27" xfId="0" applyFont="1" applyFill="1" applyBorder="1" applyAlignment="1">
      <alignment horizontal="center"/>
    </xf>
    <xf numFmtId="0" fontId="20" fillId="9" borderId="7" xfId="0" applyFont="1" applyFill="1" applyBorder="1"/>
    <xf numFmtId="175" fontId="3" fillId="6" borderId="20" xfId="0" applyNumberFormat="1" applyFont="1" applyFill="1" applyBorder="1"/>
    <xf numFmtId="0" fontId="20" fillId="6" borderId="42" xfId="0" applyFont="1" applyFill="1" applyBorder="1"/>
    <xf numFmtId="0" fontId="8" fillId="2" borderId="10" xfId="0" applyFont="1" applyFill="1" applyBorder="1" applyAlignment="1">
      <alignment horizontal="left"/>
    </xf>
    <xf numFmtId="0" fontId="20" fillId="15" borderId="7" xfId="0" applyFont="1" applyFill="1" applyBorder="1"/>
    <xf numFmtId="0" fontId="20" fillId="17" borderId="7" xfId="0" applyFont="1" applyFill="1" applyBorder="1"/>
    <xf numFmtId="0" fontId="40" fillId="6" borderId="12" xfId="0" applyFont="1" applyFill="1" applyBorder="1"/>
    <xf numFmtId="175" fontId="3" fillId="6" borderId="23" xfId="0" applyNumberFormat="1" applyFont="1" applyFill="1" applyBorder="1"/>
    <xf numFmtId="0" fontId="41" fillId="6" borderId="10" xfId="0" applyFont="1" applyFill="1" applyBorder="1" applyAlignment="1">
      <alignment horizontal="center"/>
    </xf>
    <xf numFmtId="0" fontId="3" fillId="6" borderId="45" xfId="0" applyFont="1" applyFill="1" applyBorder="1"/>
    <xf numFmtId="2" fontId="25" fillId="6" borderId="9" xfId="0" applyNumberFormat="1" applyFont="1" applyFill="1" applyBorder="1" applyAlignment="1">
      <alignment horizontal="left"/>
    </xf>
    <xf numFmtId="164" fontId="20" fillId="2" borderId="6" xfId="0" applyNumberFormat="1" applyFont="1" applyFill="1" applyBorder="1"/>
    <xf numFmtId="0" fontId="20" fillId="2" borderId="12" xfId="0" applyFont="1" applyFill="1" applyBorder="1" applyAlignment="1">
      <alignment horizontal="center"/>
    </xf>
    <xf numFmtId="0" fontId="24" fillId="6" borderId="23" xfId="0" applyFont="1" applyFill="1" applyBorder="1"/>
    <xf numFmtId="0" fontId="3" fillId="18" borderId="10" xfId="0" applyFont="1" applyFill="1" applyBorder="1" applyAlignment="1">
      <alignment horizontal="center"/>
    </xf>
    <xf numFmtId="0" fontId="3" fillId="18" borderId="6" xfId="0" applyFont="1" applyFill="1" applyBorder="1" applyAlignment="1">
      <alignment horizontal="center"/>
    </xf>
    <xf numFmtId="0" fontId="20" fillId="0" borderId="46" xfId="0" applyFont="1" applyBorder="1"/>
    <xf numFmtId="49" fontId="20" fillId="0" borderId="3" xfId="0" applyNumberFormat="1" applyFont="1" applyBorder="1" applyAlignment="1">
      <alignment horizontal="center"/>
    </xf>
    <xf numFmtId="172" fontId="20" fillId="6" borderId="12" xfId="0" applyNumberFormat="1" applyFont="1" applyFill="1" applyBorder="1"/>
    <xf numFmtId="0" fontId="3" fillId="2" borderId="27" xfId="0" applyFont="1" applyFill="1" applyBorder="1"/>
    <xf numFmtId="173" fontId="27" fillId="0" borderId="27" xfId="0" applyNumberFormat="1" applyFont="1" applyBorder="1" applyAlignment="1">
      <alignment horizontal="center"/>
    </xf>
    <xf numFmtId="3" fontId="27" fillId="0" borderId="27" xfId="0" applyNumberFormat="1" applyFont="1" applyBorder="1" applyAlignment="1">
      <alignment horizontal="left"/>
    </xf>
    <xf numFmtId="0" fontId="3" fillId="6" borderId="41" xfId="0" applyFont="1" applyFill="1" applyBorder="1"/>
    <xf numFmtId="2" fontId="25" fillId="6" borderId="27" xfId="0" applyNumberFormat="1" applyFont="1" applyFill="1" applyBorder="1" applyAlignment="1">
      <alignment horizontal="left"/>
    </xf>
    <xf numFmtId="0" fontId="28" fillId="6" borderId="27" xfId="0" applyFont="1" applyFill="1" applyBorder="1"/>
    <xf numFmtId="0" fontId="30" fillId="6" borderId="27" xfId="0" applyFont="1" applyFill="1" applyBorder="1"/>
    <xf numFmtId="0" fontId="31" fillId="6" borderId="27" xfId="0" applyFont="1" applyFill="1" applyBorder="1"/>
    <xf numFmtId="0" fontId="3" fillId="2" borderId="27" xfId="0" applyFont="1" applyFill="1" applyBorder="1" applyAlignment="1">
      <alignment horizontal="left"/>
    </xf>
    <xf numFmtId="164" fontId="3" fillId="2" borderId="27" xfId="0" applyNumberFormat="1" applyFont="1" applyFill="1" applyBorder="1" applyAlignment="1">
      <alignment horizontal="left"/>
    </xf>
    <xf numFmtId="0" fontId="3" fillId="8" borderId="27" xfId="0" applyFont="1" applyFill="1" applyBorder="1" applyAlignment="1">
      <alignment horizontal="center"/>
    </xf>
    <xf numFmtId="0" fontId="3" fillId="8" borderId="47" xfId="0" applyFont="1" applyFill="1" applyBorder="1" applyAlignment="1">
      <alignment horizontal="center"/>
    </xf>
    <xf numFmtId="0" fontId="23" fillId="8" borderId="27" xfId="0" applyFont="1" applyFill="1" applyBorder="1"/>
    <xf numFmtId="0" fontId="20" fillId="14" borderId="7" xfId="0" applyFont="1" applyFill="1" applyBorder="1"/>
    <xf numFmtId="0" fontId="3" fillId="6" borderId="48" xfId="0" applyFont="1" applyFill="1" applyBorder="1" applyAlignment="1">
      <alignment horizontal="center"/>
    </xf>
    <xf numFmtId="0" fontId="20" fillId="2" borderId="27" xfId="0" applyFont="1" applyFill="1" applyBorder="1"/>
    <xf numFmtId="0" fontId="3" fillId="0" borderId="27" xfId="0" applyFont="1" applyBorder="1" applyAlignment="1">
      <alignment horizontal="center"/>
    </xf>
    <xf numFmtId="0" fontId="8" fillId="6" borderId="47" xfId="0" applyFont="1" applyFill="1" applyBorder="1" applyAlignment="1">
      <alignment horizontal="center"/>
    </xf>
    <xf numFmtId="0" fontId="3" fillId="2" borderId="47" xfId="0" applyFont="1" applyFill="1" applyBorder="1" applyAlignment="1">
      <alignment horizontal="center"/>
    </xf>
    <xf numFmtId="0" fontId="23" fillId="2" borderId="27" xfId="0" applyFont="1" applyFill="1" applyBorder="1"/>
    <xf numFmtId="0" fontId="3" fillId="14" borderId="27" xfId="0" applyFont="1" applyFill="1" applyBorder="1"/>
    <xf numFmtId="0" fontId="15" fillId="0" borderId="27" xfId="0" applyFont="1" applyBorder="1"/>
    <xf numFmtId="0" fontId="23" fillId="0" borderId="0" xfId="0" applyFont="1" applyAlignment="1">
      <alignment horizontal="left"/>
    </xf>
    <xf numFmtId="0" fontId="20" fillId="2" borderId="7" xfId="0" applyFont="1" applyFill="1" applyBorder="1" applyAlignment="1">
      <alignment horizontal="left"/>
    </xf>
    <xf numFmtId="0" fontId="12" fillId="10" borderId="0" xfId="0" applyFont="1" applyFill="1" applyAlignment="1">
      <alignment vertical="center"/>
    </xf>
    <xf numFmtId="0" fontId="42" fillId="0" borderId="0" xfId="0" applyFont="1" applyAlignment="1">
      <alignment horizontal="left" vertical="center"/>
    </xf>
    <xf numFmtId="0" fontId="43" fillId="7" borderId="8" xfId="0" applyFont="1" applyFill="1" applyBorder="1" applyAlignment="1">
      <alignment horizontal="left" vertical="center"/>
    </xf>
    <xf numFmtId="0" fontId="43" fillId="18" borderId="0" xfId="0" applyFont="1" applyFill="1" applyAlignment="1">
      <alignment horizontal="left" vertical="center"/>
    </xf>
    <xf numFmtId="0" fontId="2" fillId="19" borderId="0" xfId="0" applyFont="1" applyFill="1" applyAlignment="1">
      <alignment horizontal="left" vertical="center"/>
    </xf>
    <xf numFmtId="0" fontId="44" fillId="15" borderId="0" xfId="0" applyFont="1" applyFill="1" applyAlignment="1">
      <alignment horizontal="center" vertical="center"/>
    </xf>
    <xf numFmtId="0" fontId="2" fillId="0" borderId="0" xfId="0"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wrapText="1"/>
    </xf>
    <xf numFmtId="0" fontId="45" fillId="9" borderId="8" xfId="0" applyFont="1" applyFill="1" applyBorder="1" applyAlignment="1">
      <alignment horizontal="left" vertical="center"/>
    </xf>
    <xf numFmtId="0" fontId="2" fillId="0" borderId="0" xfId="0" applyFont="1" applyAlignment="1">
      <alignment horizontal="left" vertical="center" wrapText="1"/>
    </xf>
    <xf numFmtId="0" fontId="42" fillId="20" borderId="0" xfId="0" applyFont="1" applyFill="1" applyAlignment="1">
      <alignment horizontal="left" vertical="center"/>
    </xf>
    <xf numFmtId="0" fontId="2" fillId="0" borderId="0" xfId="0" applyFont="1" applyAlignment="1">
      <alignment horizontal="left" vertical="center"/>
    </xf>
    <xf numFmtId="0" fontId="44" fillId="0" borderId="0" xfId="0" applyFont="1" applyAlignment="1">
      <alignment horizontal="center" vertical="center"/>
    </xf>
    <xf numFmtId="0" fontId="43" fillId="12" borderId="8" xfId="0" applyFont="1" applyFill="1" applyBorder="1" applyAlignment="1">
      <alignment horizontal="left" vertical="center"/>
    </xf>
    <xf numFmtId="0" fontId="44" fillId="21" borderId="0" xfId="0" applyFont="1" applyFill="1" applyAlignment="1">
      <alignment horizontal="left" vertical="center"/>
    </xf>
    <xf numFmtId="0" fontId="44" fillId="0" borderId="0" xfId="0" applyFont="1" applyAlignment="1">
      <alignment horizontal="left" vertical="center"/>
    </xf>
    <xf numFmtId="0" fontId="44" fillId="22" borderId="43" xfId="0" applyFont="1" applyFill="1" applyBorder="1" applyAlignment="1">
      <alignment horizontal="center" vertical="center"/>
    </xf>
    <xf numFmtId="0" fontId="44" fillId="0" borderId="0" xfId="0" applyFont="1" applyAlignment="1">
      <alignment horizontal="center" vertical="center" wrapText="1"/>
    </xf>
    <xf numFmtId="0" fontId="46" fillId="9" borderId="0" xfId="0" applyFont="1" applyFill="1" applyAlignment="1">
      <alignment horizontal="center" vertical="center"/>
    </xf>
    <xf numFmtId="0" fontId="46" fillId="9" borderId="0" xfId="0" applyFont="1" applyFill="1" applyAlignment="1">
      <alignment horizontal="left" vertical="center"/>
    </xf>
    <xf numFmtId="0" fontId="46" fillId="9" borderId="8" xfId="0" applyFont="1" applyFill="1" applyBorder="1" applyAlignment="1">
      <alignment horizontal="center" vertical="center"/>
    </xf>
    <xf numFmtId="0" fontId="46" fillId="23" borderId="0" xfId="0" applyFont="1" applyFill="1"/>
    <xf numFmtId="0" fontId="46" fillId="23" borderId="3" xfId="0" applyFont="1" applyFill="1" applyBorder="1"/>
    <xf numFmtId="0" fontId="46" fillId="23" borderId="0" xfId="0" applyFont="1" applyFill="1" applyAlignment="1">
      <alignment horizontal="left"/>
    </xf>
    <xf numFmtId="0" fontId="2" fillId="22" borderId="43" xfId="0" applyFont="1" applyFill="1" applyBorder="1" applyAlignment="1">
      <alignment horizontal="center" vertical="center"/>
    </xf>
    <xf numFmtId="0" fontId="42" fillId="22" borderId="0" xfId="0" applyFont="1" applyFill="1" applyAlignment="1">
      <alignment horizontal="left"/>
    </xf>
    <xf numFmtId="0" fontId="44" fillId="24" borderId="0" xfId="0" applyFont="1" applyFill="1" applyAlignment="1">
      <alignment horizontal="left" vertical="center"/>
    </xf>
    <xf numFmtId="0" fontId="44" fillId="24" borderId="43" xfId="0" applyFont="1" applyFill="1" applyBorder="1" applyAlignment="1">
      <alignment horizontal="center" vertical="center"/>
    </xf>
    <xf numFmtId="0" fontId="42" fillId="25" borderId="43" xfId="0" applyFont="1" applyFill="1" applyBorder="1" applyAlignment="1">
      <alignment horizontal="center" vertical="center"/>
    </xf>
    <xf numFmtId="0" fontId="44" fillId="25" borderId="43" xfId="0" applyFont="1" applyFill="1" applyBorder="1" applyAlignment="1">
      <alignment horizontal="center" vertical="center"/>
    </xf>
    <xf numFmtId="0" fontId="46" fillId="9" borderId="43" xfId="0" applyFont="1" applyFill="1" applyBorder="1" applyAlignment="1">
      <alignment horizontal="center" vertical="center"/>
    </xf>
    <xf numFmtId="0" fontId="2" fillId="0" borderId="7" xfId="0" applyFont="1" applyBorder="1" applyAlignment="1">
      <alignment horizontal="center" vertical="center"/>
    </xf>
    <xf numFmtId="0" fontId="2" fillId="12" borderId="0" xfId="0" applyFont="1" applyFill="1" applyAlignment="1">
      <alignment horizontal="left" vertical="center"/>
    </xf>
    <xf numFmtId="0" fontId="43" fillId="2" borderId="0" xfId="0" applyFont="1" applyFill="1" applyAlignment="1">
      <alignment horizontal="center" vertical="center"/>
    </xf>
    <xf numFmtId="3" fontId="43" fillId="2" borderId="0" xfId="0" applyNumberFormat="1" applyFont="1" applyFill="1" applyAlignment="1">
      <alignment horizontal="center" vertical="center"/>
    </xf>
    <xf numFmtId="0" fontId="43" fillId="26" borderId="0" xfId="0" applyFont="1" applyFill="1" applyAlignment="1">
      <alignment horizontal="left" vertical="center"/>
    </xf>
    <xf numFmtId="0" fontId="43" fillId="2" borderId="0" xfId="0" applyFont="1" applyFill="1" applyAlignment="1">
      <alignment horizontal="left" vertical="center"/>
    </xf>
    <xf numFmtId="172" fontId="2" fillId="2" borderId="0" xfId="0" applyNumberFormat="1" applyFont="1" applyFill="1" applyAlignment="1">
      <alignment horizontal="center" vertical="center"/>
    </xf>
    <xf numFmtId="172" fontId="2" fillId="0" borderId="0" xfId="0" applyNumberFormat="1" applyFont="1" applyAlignment="1">
      <alignment horizontal="center" vertical="center"/>
    </xf>
    <xf numFmtId="172" fontId="43" fillId="0" borderId="0" xfId="0" applyNumberFormat="1" applyFont="1" applyAlignment="1">
      <alignment horizontal="center" vertical="center"/>
    </xf>
    <xf numFmtId="172" fontId="47" fillId="0" borderId="0" xfId="0" applyNumberFormat="1" applyFont="1" applyAlignment="1">
      <alignment horizontal="center" vertical="center"/>
    </xf>
    <xf numFmtId="172" fontId="43" fillId="2" borderId="0" xfId="0" applyNumberFormat="1" applyFont="1" applyFill="1" applyAlignment="1">
      <alignment horizontal="center" vertical="center" wrapText="1"/>
    </xf>
    <xf numFmtId="0" fontId="43" fillId="0" borderId="0" xfId="0" applyFont="1" applyAlignment="1">
      <alignment horizontal="left" vertical="center"/>
    </xf>
    <xf numFmtId="172" fontId="43" fillId="2" borderId="0" xfId="0" applyNumberFormat="1" applyFont="1" applyFill="1" applyAlignment="1">
      <alignment horizontal="center" vertical="center"/>
    </xf>
    <xf numFmtId="0" fontId="12" fillId="0" borderId="1" xfId="0" applyFont="1" applyBorder="1" applyAlignment="1">
      <alignment vertical="center"/>
    </xf>
    <xf numFmtId="0" fontId="12" fillId="0" borderId="2" xfId="0" applyFont="1" applyBorder="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0" fontId="48" fillId="2" borderId="0" xfId="0" applyFont="1" applyFill="1" applyAlignment="1">
      <alignment horizontal="left" vertical="center"/>
    </xf>
    <xf numFmtId="173" fontId="43" fillId="2" borderId="0" xfId="0" applyNumberFormat="1" applyFont="1" applyFill="1" applyAlignment="1">
      <alignment horizontal="center" vertical="center"/>
    </xf>
    <xf numFmtId="0" fontId="2" fillId="26" borderId="0" xfId="0" applyFont="1" applyFill="1" applyAlignment="1">
      <alignment horizontal="left" vertical="center"/>
    </xf>
    <xf numFmtId="0" fontId="12" fillId="0" borderId="34" xfId="0" applyFont="1" applyBorder="1" applyAlignment="1">
      <alignment vertical="center"/>
    </xf>
    <xf numFmtId="0" fontId="12" fillId="0" borderId="5" xfId="0" applyFont="1" applyBorder="1" applyAlignment="1">
      <alignment vertical="center"/>
    </xf>
    <xf numFmtId="0" fontId="43" fillId="15" borderId="0" xfId="0" applyFont="1" applyFill="1" applyAlignment="1">
      <alignment horizontal="left" vertical="center"/>
    </xf>
    <xf numFmtId="0" fontId="2" fillId="0" borderId="0" xfId="0" applyFont="1" applyAlignment="1">
      <alignment horizontal="right" vertical="center"/>
    </xf>
    <xf numFmtId="0" fontId="12" fillId="0" borderId="8" xfId="0" applyFont="1" applyBorder="1" applyAlignment="1">
      <alignment vertical="center"/>
    </xf>
    <xf numFmtId="0" fontId="42" fillId="2" borderId="0" xfId="0" applyFont="1" applyFill="1" applyAlignment="1">
      <alignment horizontal="left" vertical="center"/>
    </xf>
    <xf numFmtId="49" fontId="43" fillId="2" borderId="0" xfId="0" applyNumberFormat="1" applyFont="1" applyFill="1" applyAlignment="1">
      <alignment horizontal="center" vertical="center"/>
    </xf>
    <xf numFmtId="172" fontId="2" fillId="9" borderId="0" xfId="0" applyNumberFormat="1" applyFont="1" applyFill="1" applyAlignment="1">
      <alignment horizontal="center" vertical="center"/>
    </xf>
    <xf numFmtId="173" fontId="48" fillId="2" borderId="0" xfId="0" applyNumberFormat="1" applyFont="1" applyFill="1" applyAlignment="1">
      <alignment horizontal="center" vertical="center"/>
    </xf>
    <xf numFmtId="0" fontId="49" fillId="0" borderId="0" xfId="0" applyFont="1" applyAlignment="1">
      <alignment vertical="center"/>
    </xf>
    <xf numFmtId="0" fontId="2" fillId="26" borderId="0" xfId="0" applyFont="1" applyFill="1" applyAlignment="1">
      <alignment vertical="center"/>
    </xf>
    <xf numFmtId="172" fontId="43" fillId="2" borderId="0" xfId="0" applyNumberFormat="1" applyFont="1" applyFill="1" applyAlignment="1">
      <alignment horizontal="left" vertical="center"/>
    </xf>
    <xf numFmtId="172" fontId="43" fillId="2" borderId="0" xfId="0" applyNumberFormat="1" applyFont="1" applyFill="1" applyAlignment="1">
      <alignment vertical="center"/>
    </xf>
    <xf numFmtId="172" fontId="50" fillId="0" borderId="0" xfId="0" applyNumberFormat="1" applyFont="1" applyAlignment="1">
      <alignment horizontal="center" vertical="center"/>
    </xf>
    <xf numFmtId="172" fontId="51" fillId="0" borderId="0" xfId="0" applyNumberFormat="1" applyFont="1" applyAlignment="1">
      <alignment horizontal="center" vertical="center"/>
    </xf>
    <xf numFmtId="0" fontId="48" fillId="2" borderId="0" xfId="0" applyFont="1" applyFill="1" applyAlignment="1">
      <alignment horizontal="center" vertical="center"/>
    </xf>
    <xf numFmtId="0" fontId="43" fillId="12" borderId="0" xfId="0" applyFont="1" applyFill="1" applyAlignment="1">
      <alignment horizontal="left" vertical="center"/>
    </xf>
    <xf numFmtId="1" fontId="43" fillId="2" borderId="0" xfId="0" applyNumberFormat="1" applyFont="1" applyFill="1" applyAlignment="1">
      <alignment horizontal="center" vertical="center"/>
    </xf>
    <xf numFmtId="0" fontId="2" fillId="0" borderId="0" xfId="0" applyFont="1" applyAlignment="1">
      <alignment vertical="center"/>
    </xf>
    <xf numFmtId="0" fontId="52" fillId="26" borderId="0" xfId="0" applyFont="1" applyFill="1" applyAlignment="1">
      <alignment vertical="center"/>
    </xf>
    <xf numFmtId="0" fontId="2" fillId="9" borderId="0" xfId="0" applyFont="1" applyFill="1" applyAlignment="1">
      <alignment horizontal="left" vertical="center"/>
    </xf>
    <xf numFmtId="172" fontId="2" fillId="0" borderId="0" xfId="0" applyNumberFormat="1" applyFont="1" applyAlignment="1">
      <alignment horizontal="left" vertical="center"/>
    </xf>
    <xf numFmtId="0" fontId="2" fillId="0" borderId="0" xfId="0" applyFont="1"/>
    <xf numFmtId="0" fontId="2" fillId="2" borderId="0" xfId="0" applyFont="1" applyFill="1"/>
    <xf numFmtId="0" fontId="47" fillId="0" borderId="0" xfId="0" applyFont="1" applyAlignment="1">
      <alignment horizontal="center" vertical="center"/>
    </xf>
    <xf numFmtId="173" fontId="2" fillId="2" borderId="0" xfId="0" applyNumberFormat="1" applyFont="1" applyFill="1" applyAlignment="1">
      <alignment horizontal="left" vertical="center"/>
    </xf>
    <xf numFmtId="172" fontId="2" fillId="2" borderId="3" xfId="0" applyNumberFormat="1" applyFont="1" applyFill="1" applyBorder="1" applyAlignment="1">
      <alignment horizontal="center" vertical="center"/>
    </xf>
    <xf numFmtId="0" fontId="43" fillId="19" borderId="0" xfId="0" applyFont="1" applyFill="1" applyAlignment="1">
      <alignment vertical="center"/>
    </xf>
    <xf numFmtId="0" fontId="52" fillId="8" borderId="0" xfId="0" applyFont="1" applyFill="1" applyAlignment="1">
      <alignment vertical="center"/>
    </xf>
    <xf numFmtId="0" fontId="2" fillId="0" borderId="7" xfId="0" applyFont="1" applyBorder="1" applyAlignment="1">
      <alignment horizontal="left" vertical="center"/>
    </xf>
    <xf numFmtId="0" fontId="15" fillId="0" borderId="0" xfId="0" applyFont="1" applyAlignment="1">
      <alignment horizontal="center"/>
    </xf>
    <xf numFmtId="0" fontId="43" fillId="21" borderId="0" xfId="0" applyFont="1" applyFill="1" applyAlignment="1">
      <alignment horizontal="left" vertical="center"/>
    </xf>
    <xf numFmtId="0" fontId="43" fillId="7" borderId="0" xfId="0" applyFont="1" applyFill="1" applyAlignment="1">
      <alignment horizontal="left" vertical="center"/>
    </xf>
    <xf numFmtId="3" fontId="2" fillId="0" borderId="0" xfId="0" applyNumberFormat="1" applyFont="1" applyAlignment="1">
      <alignment horizontal="center" vertical="center"/>
    </xf>
    <xf numFmtId="0" fontId="44" fillId="0" borderId="0" xfId="0" applyFont="1" applyAlignment="1">
      <alignment vertical="center"/>
    </xf>
    <xf numFmtId="173" fontId="43" fillId="0" borderId="0" xfId="0" applyNumberFormat="1" applyFont="1" applyAlignment="1">
      <alignment horizontal="center" vertical="center"/>
    </xf>
    <xf numFmtId="3" fontId="43" fillId="0" borderId="0" xfId="0" applyNumberFormat="1" applyFont="1" applyAlignment="1">
      <alignment horizontal="center" vertical="center"/>
    </xf>
    <xf numFmtId="0" fontId="43" fillId="19" borderId="0" xfId="0" applyFont="1" applyFill="1" applyAlignment="1">
      <alignment horizontal="left" vertical="center"/>
    </xf>
    <xf numFmtId="0" fontId="43" fillId="0" borderId="0" xfId="0" applyFont="1" applyAlignment="1">
      <alignment horizontal="center" vertical="center"/>
    </xf>
    <xf numFmtId="0" fontId="43" fillId="27" borderId="0" xfId="0" applyFont="1" applyFill="1" applyAlignment="1">
      <alignment horizontal="left" vertical="center"/>
    </xf>
    <xf numFmtId="3" fontId="48" fillId="2" borderId="0" xfId="0" applyNumberFormat="1" applyFont="1" applyFill="1" applyAlignment="1">
      <alignment horizontal="center" vertical="center"/>
    </xf>
    <xf numFmtId="0" fontId="53" fillId="2" borderId="0" xfId="0" applyFont="1" applyFill="1" applyAlignment="1">
      <alignment horizontal="left" vertical="center"/>
    </xf>
    <xf numFmtId="0" fontId="54" fillId="2" borderId="0" xfId="0" applyFont="1" applyFill="1" applyAlignment="1">
      <alignment horizontal="left" vertical="center"/>
    </xf>
    <xf numFmtId="0" fontId="45" fillId="2" borderId="0" xfId="0" applyFont="1" applyFill="1" applyAlignment="1">
      <alignment horizontal="center" vertical="center"/>
    </xf>
    <xf numFmtId="0" fontId="45" fillId="2" borderId="0" xfId="0" applyFont="1" applyFill="1" applyAlignment="1">
      <alignment horizontal="left" vertical="center"/>
    </xf>
    <xf numFmtId="0" fontId="55" fillId="2" borderId="0" xfId="0" applyFont="1" applyFill="1" applyAlignment="1">
      <alignment horizontal="center" vertical="center"/>
    </xf>
    <xf numFmtId="0" fontId="44" fillId="2" borderId="0" xfId="0" applyFont="1" applyFill="1" applyAlignment="1">
      <alignment horizontal="center" vertical="center"/>
    </xf>
    <xf numFmtId="0" fontId="56" fillId="15" borderId="0" xfId="0" applyFont="1" applyFill="1" applyAlignment="1">
      <alignment vertical="center"/>
    </xf>
    <xf numFmtId="0" fontId="2" fillId="15" borderId="0" xfId="0" applyFont="1" applyFill="1" applyAlignment="1">
      <alignment vertical="center"/>
    </xf>
    <xf numFmtId="0" fontId="57" fillId="2" borderId="0" xfId="0" applyFont="1" applyFill="1" applyAlignment="1">
      <alignment horizontal="center" vertical="center"/>
    </xf>
    <xf numFmtId="0" fontId="58" fillId="2" borderId="0" xfId="0" applyFont="1" applyFill="1" applyAlignment="1">
      <alignment vertical="center"/>
    </xf>
    <xf numFmtId="0" fontId="59" fillId="0" borderId="0" xfId="0" applyFont="1" applyAlignment="1">
      <alignment vertical="center"/>
    </xf>
    <xf numFmtId="0" fontId="49" fillId="20" borderId="0" xfId="0" applyFont="1" applyFill="1" applyAlignment="1">
      <alignment vertical="center"/>
    </xf>
    <xf numFmtId="0" fontId="12" fillId="0" borderId="0" xfId="0" applyFont="1" applyAlignment="1">
      <alignment horizontal="left" vertical="center"/>
    </xf>
    <xf numFmtId="0" fontId="60" fillId="21" borderId="0" xfId="0" applyFont="1" applyFill="1" applyAlignment="1">
      <alignment vertical="center"/>
    </xf>
    <xf numFmtId="0" fontId="49" fillId="2" borderId="0" xfId="0" applyFont="1" applyFill="1" applyAlignment="1">
      <alignment horizontal="left" vertical="center"/>
    </xf>
    <xf numFmtId="3" fontId="43" fillId="0" borderId="0" xfId="0" applyNumberFormat="1" applyFont="1" applyAlignment="1">
      <alignment horizontal="left" vertical="center"/>
    </xf>
    <xf numFmtId="0" fontId="44" fillId="2" borderId="0" xfId="0" applyFont="1" applyFill="1" applyAlignment="1">
      <alignment horizontal="left" vertical="center"/>
    </xf>
    <xf numFmtId="0" fontId="2" fillId="2" borderId="0" xfId="0" applyFont="1" applyFill="1" applyAlignment="1">
      <alignment vertical="center"/>
    </xf>
    <xf numFmtId="0" fontId="12" fillId="18" borderId="0" xfId="0" applyFont="1" applyFill="1" applyAlignment="1">
      <alignment vertical="center"/>
    </xf>
    <xf numFmtId="0" fontId="12" fillId="3" borderId="0" xfId="0" applyFont="1" applyFill="1" applyAlignment="1">
      <alignment horizontal="center" vertical="center"/>
    </xf>
    <xf numFmtId="3" fontId="2" fillId="2" borderId="0" xfId="0" applyNumberFormat="1" applyFont="1" applyFill="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61" fillId="0" borderId="0" xfId="0" applyFont="1" applyAlignment="1">
      <alignment horizontal="center" vertical="center"/>
    </xf>
    <xf numFmtId="180" fontId="2" fillId="0" borderId="0" xfId="0" applyNumberFormat="1" applyFont="1" applyAlignment="1">
      <alignment horizontal="center" vertical="center"/>
    </xf>
    <xf numFmtId="0" fontId="42" fillId="7" borderId="8" xfId="0" applyFont="1" applyFill="1" applyBorder="1" applyAlignment="1">
      <alignment horizontal="left" vertical="center"/>
    </xf>
    <xf numFmtId="0" fontId="42" fillId="18" borderId="0" xfId="0" applyFont="1" applyFill="1" applyAlignment="1">
      <alignment horizontal="left" vertical="center"/>
    </xf>
    <xf numFmtId="0" fontId="44" fillId="19" borderId="0" xfId="0" applyFont="1" applyFill="1" applyAlignment="1">
      <alignment horizontal="left" vertical="center"/>
    </xf>
    <xf numFmtId="0" fontId="62" fillId="10" borderId="0" xfId="0" applyFont="1" applyFill="1" applyAlignment="1">
      <alignment vertical="center"/>
    </xf>
    <xf numFmtId="0" fontId="42" fillId="12" borderId="8" xfId="0" applyFont="1" applyFill="1" applyBorder="1" applyAlignment="1">
      <alignment horizontal="left" vertical="center"/>
    </xf>
    <xf numFmtId="0" fontId="2" fillId="2" borderId="8" xfId="0" applyFont="1" applyFill="1" applyBorder="1" applyAlignment="1">
      <alignment horizontal="center" vertical="center"/>
    </xf>
    <xf numFmtId="0" fontId="62" fillId="0" borderId="0" xfId="0" applyFont="1" applyAlignment="1">
      <alignment vertical="center"/>
    </xf>
    <xf numFmtId="0" fontId="21" fillId="2" borderId="0" xfId="0" applyFont="1" applyFill="1" applyAlignment="1">
      <alignment horizontal="center"/>
    </xf>
    <xf numFmtId="0" fontId="20" fillId="2" borderId="0" xfId="0" applyFont="1" applyFill="1"/>
    <xf numFmtId="1" fontId="3" fillId="2" borderId="0" xfId="0" applyNumberFormat="1" applyFont="1" applyFill="1" applyAlignment="1">
      <alignment horizontal="right"/>
    </xf>
    <xf numFmtId="181" fontId="20" fillId="2" borderId="0" xfId="0" applyNumberFormat="1" applyFont="1" applyFill="1" applyAlignment="1">
      <alignment horizontal="right"/>
    </xf>
    <xf numFmtId="0" fontId="22" fillId="2" borderId="0" xfId="0" applyFont="1" applyFill="1"/>
    <xf numFmtId="0" fontId="8" fillId="2" borderId="0" xfId="0" applyFont="1" applyFill="1"/>
    <xf numFmtId="0" fontId="27" fillId="2" borderId="0" xfId="0" applyFont="1" applyFill="1"/>
    <xf numFmtId="0" fontId="63" fillId="2" borderId="0" xfId="0" applyFont="1" applyFill="1"/>
    <xf numFmtId="181" fontId="3" fillId="2" borderId="0" xfId="0" applyNumberFormat="1" applyFont="1" applyFill="1" applyAlignment="1">
      <alignment horizontal="right"/>
    </xf>
    <xf numFmtId="0" fontId="26" fillId="2" borderId="0" xfId="0" applyFont="1" applyFill="1"/>
    <xf numFmtId="1" fontId="15" fillId="0" borderId="0" xfId="0" applyNumberFormat="1" applyFont="1" applyAlignment="1">
      <alignment horizontal="right"/>
    </xf>
    <xf numFmtId="0" fontId="64" fillId="2" borderId="0" xfId="0" applyFont="1" applyFill="1"/>
    <xf numFmtId="0" fontId="3" fillId="15" borderId="0" xfId="0" applyFont="1" applyFill="1"/>
    <xf numFmtId="0" fontId="65" fillId="15" borderId="0" xfId="0" applyFont="1" applyFill="1"/>
    <xf numFmtId="1" fontId="3" fillId="15" borderId="0" xfId="0" applyNumberFormat="1" applyFont="1" applyFill="1" applyAlignment="1">
      <alignment horizontal="right"/>
    </xf>
    <xf numFmtId="0" fontId="3" fillId="2" borderId="1" xfId="0" applyFont="1" applyFill="1" applyBorder="1"/>
    <xf numFmtId="0" fontId="66" fillId="2" borderId="2" xfId="0" applyFont="1" applyFill="1" applyBorder="1"/>
    <xf numFmtId="0" fontId="3" fillId="2" borderId="3" xfId="0" applyFont="1" applyFill="1" applyBorder="1"/>
    <xf numFmtId="0" fontId="3" fillId="2" borderId="4" xfId="0" applyFont="1" applyFill="1" applyBorder="1" applyAlignment="1">
      <alignment horizontal="left"/>
    </xf>
    <xf numFmtId="0" fontId="3" fillId="2" borderId="34" xfId="0" applyFont="1" applyFill="1" applyBorder="1"/>
    <xf numFmtId="0" fontId="3" fillId="2" borderId="5" xfId="0" applyFont="1" applyFill="1" applyBorder="1" applyAlignment="1">
      <alignment horizontal="left"/>
    </xf>
    <xf numFmtId="0" fontId="67" fillId="2" borderId="0" xfId="0" applyFont="1" applyFill="1"/>
    <xf numFmtId="0" fontId="18" fillId="2" borderId="0" xfId="0" applyFont="1" applyFill="1"/>
    <xf numFmtId="0" fontId="68" fillId="2" borderId="0" xfId="0" applyFont="1" applyFill="1"/>
    <xf numFmtId="1" fontId="3" fillId="2" borderId="0" xfId="0" quotePrefix="1" applyNumberFormat="1" applyFont="1" applyFill="1" applyAlignment="1">
      <alignment horizontal="right"/>
    </xf>
    <xf numFmtId="0" fontId="20" fillId="2" borderId="0" xfId="0" applyFont="1" applyFill="1" applyAlignment="1">
      <alignment horizontal="left"/>
    </xf>
    <xf numFmtId="0" fontId="15" fillId="0" borderId="0" xfId="0" applyFont="1" applyAlignment="1">
      <alignment horizontal="left"/>
    </xf>
    <xf numFmtId="182" fontId="20" fillId="2" borderId="0" xfId="0" applyNumberFormat="1" applyFont="1" applyFill="1" applyAlignment="1">
      <alignment horizontal="right"/>
    </xf>
    <xf numFmtId="182" fontId="3" fillId="2" borderId="0" xfId="0" applyNumberFormat="1" applyFont="1" applyFill="1" applyAlignment="1">
      <alignment horizontal="right"/>
    </xf>
    <xf numFmtId="1" fontId="20" fillId="2" borderId="0" xfId="0" applyNumberFormat="1" applyFont="1" applyFill="1" applyAlignment="1">
      <alignment horizontal="right"/>
    </xf>
    <xf numFmtId="182" fontId="15" fillId="0" borderId="0" xfId="0" applyNumberFormat="1" applyFont="1"/>
    <xf numFmtId="0" fontId="20" fillId="2" borderId="1" xfId="0" applyFont="1" applyFill="1" applyBorder="1"/>
    <xf numFmtId="0" fontId="26" fillId="2" borderId="29" xfId="0" applyFont="1" applyFill="1" applyBorder="1"/>
    <xf numFmtId="1" fontId="15" fillId="0" borderId="2" xfId="0" applyNumberFormat="1" applyFont="1" applyBorder="1" applyAlignment="1">
      <alignment horizontal="right"/>
    </xf>
    <xf numFmtId="0" fontId="20" fillId="2" borderId="3" xfId="0" applyFont="1" applyFill="1" applyBorder="1"/>
    <xf numFmtId="1" fontId="20" fillId="2" borderId="4" xfId="0" applyNumberFormat="1" applyFont="1" applyFill="1" applyBorder="1" applyAlignment="1">
      <alignment horizontal="right"/>
    </xf>
    <xf numFmtId="0" fontId="15" fillId="0" borderId="3" xfId="0" applyFont="1" applyBorder="1"/>
    <xf numFmtId="1" fontId="15" fillId="0" borderId="4" xfId="0" applyNumberFormat="1" applyFont="1" applyBorder="1" applyAlignment="1">
      <alignment horizontal="right"/>
    </xf>
    <xf numFmtId="1" fontId="3" fillId="2" borderId="4" xfId="0" applyNumberFormat="1" applyFont="1" applyFill="1" applyBorder="1" applyAlignment="1">
      <alignment horizontal="right"/>
    </xf>
    <xf numFmtId="174" fontId="20" fillId="2" borderId="0" xfId="0" applyNumberFormat="1" applyFont="1" applyFill="1"/>
    <xf numFmtId="0" fontId="3" fillId="2" borderId="14" xfId="0" applyFont="1" applyFill="1" applyBorder="1"/>
    <xf numFmtId="1" fontId="3" fillId="2" borderId="5" xfId="0" applyNumberFormat="1" applyFont="1" applyFill="1" applyBorder="1" applyAlignment="1">
      <alignment horizontal="right"/>
    </xf>
    <xf numFmtId="0" fontId="69" fillId="2" borderId="0" xfId="0" applyFont="1" applyFill="1"/>
    <xf numFmtId="1" fontId="3" fillId="2" borderId="29" xfId="0" applyNumberFormat="1" applyFont="1" applyFill="1" applyBorder="1" applyAlignment="1">
      <alignment horizontal="right"/>
    </xf>
    <xf numFmtId="0" fontId="20" fillId="2" borderId="29" xfId="0" applyFont="1" applyFill="1" applyBorder="1"/>
    <xf numFmtId="0" fontId="8" fillId="2" borderId="29" xfId="0" applyFont="1" applyFill="1" applyBorder="1"/>
    <xf numFmtId="0" fontId="3" fillId="2" borderId="2" xfId="0" applyFont="1" applyFill="1" applyBorder="1"/>
    <xf numFmtId="0" fontId="26" fillId="2" borderId="3" xfId="0" applyFont="1" applyFill="1" applyBorder="1"/>
    <xf numFmtId="0" fontId="3" fillId="2" borderId="4" xfId="0" applyFont="1" applyFill="1" applyBorder="1"/>
    <xf numFmtId="0" fontId="20" fillId="2" borderId="0" xfId="0" applyFont="1" applyFill="1" applyAlignment="1">
      <alignment horizontal="left" vertical="center"/>
    </xf>
    <xf numFmtId="0" fontId="18" fillId="2" borderId="3" xfId="0" applyFont="1" applyFill="1" applyBorder="1"/>
    <xf numFmtId="0" fontId="17" fillId="0" borderId="3" xfId="0" applyFont="1" applyBorder="1"/>
    <xf numFmtId="0" fontId="3" fillId="2" borderId="0" xfId="0" applyFont="1" applyFill="1" applyAlignment="1">
      <alignment horizontal="left" vertical="center"/>
    </xf>
    <xf numFmtId="0" fontId="20" fillId="0" borderId="0" xfId="0" applyFont="1" applyAlignment="1">
      <alignment horizontal="left" vertical="center"/>
    </xf>
    <xf numFmtId="0" fontId="3" fillId="0" borderId="0" xfId="0" applyFont="1" applyAlignment="1">
      <alignment horizontal="left" vertical="center"/>
    </xf>
    <xf numFmtId="0" fontId="3" fillId="2" borderId="5" xfId="0" applyFont="1" applyFill="1" applyBorder="1"/>
    <xf numFmtId="0" fontId="23" fillId="0" borderId="0" xfId="0" applyFont="1"/>
    <xf numFmtId="0" fontId="26" fillId="2" borderId="0" xfId="0" applyFont="1" applyFill="1" applyAlignment="1">
      <alignment horizontal="center"/>
    </xf>
    <xf numFmtId="0" fontId="15" fillId="0" borderId="0" xfId="0" quotePrefix="1" applyFont="1"/>
    <xf numFmtId="0" fontId="5" fillId="0" borderId="0" xfId="0" applyFont="1"/>
    <xf numFmtId="0" fontId="0" fillId="0" borderId="0" xfId="0"/>
    <xf numFmtId="0" fontId="43" fillId="18" borderId="0" xfId="0" applyFont="1" applyFill="1" applyAlignment="1">
      <alignment horizontal="left" vertical="center"/>
    </xf>
    <xf numFmtId="0" fontId="44" fillId="21" borderId="0" xfId="0" applyFont="1" applyFill="1" applyAlignment="1">
      <alignment horizontal="left" vertical="center"/>
    </xf>
  </cellXfs>
  <cellStyles count="1">
    <cellStyle name="Normal" xfId="0" builtinId="0"/>
  </cellStyles>
  <dxfs count="93">
    <dxf>
      <fill>
        <patternFill patternType="solid">
          <fgColor rgb="FFB7E1CD"/>
          <bgColor rgb="FFB7E1CD"/>
        </patternFill>
      </fill>
    </dxf>
    <dxf>
      <fill>
        <patternFill patternType="solid">
          <fgColor rgb="FF4A86E8"/>
          <bgColor rgb="FF4A86E8"/>
        </patternFill>
      </fill>
    </dxf>
    <dxf>
      <fill>
        <patternFill patternType="solid">
          <fgColor rgb="FF4A86E8"/>
          <bgColor rgb="FF4A86E8"/>
        </patternFill>
      </fill>
    </dxf>
    <dxf>
      <fill>
        <patternFill patternType="solid">
          <fgColor rgb="FF4A86E8"/>
          <bgColor rgb="FF4A86E8"/>
        </patternFill>
      </fill>
    </dxf>
    <dxf>
      <font>
        <color rgb="FFFF0000"/>
      </font>
      <fill>
        <patternFill patternType="none"/>
      </fill>
    </dxf>
    <dxf>
      <font>
        <color rgb="FFFF0000"/>
      </font>
      <fill>
        <patternFill patternType="none"/>
      </fill>
    </dxf>
    <dxf>
      <fill>
        <patternFill patternType="solid">
          <fgColor rgb="FFB7E1CD"/>
          <bgColor rgb="FFB7E1CD"/>
        </patternFill>
      </fill>
    </dxf>
    <dxf>
      <fill>
        <patternFill patternType="solid">
          <fgColor rgb="FFFFFF00"/>
          <bgColor rgb="FFFFFF00"/>
        </patternFill>
      </fill>
    </dxf>
    <dxf>
      <fill>
        <patternFill patternType="solid">
          <fgColor rgb="FF4A86E8"/>
          <bgColor rgb="FF4A86E8"/>
        </patternFill>
      </fill>
    </dxf>
    <dxf>
      <fill>
        <patternFill patternType="solid">
          <fgColor rgb="FF4A86E8"/>
          <bgColor rgb="FF4A86E8"/>
        </patternFill>
      </fill>
    </dxf>
    <dxf>
      <fill>
        <patternFill patternType="solid">
          <fgColor rgb="FFFF9900"/>
          <bgColor rgb="FFFF9900"/>
        </patternFill>
      </fill>
    </dxf>
    <dxf>
      <fill>
        <patternFill patternType="solid">
          <fgColor rgb="FF999999"/>
          <bgColor rgb="FF999999"/>
        </patternFill>
      </fill>
    </dxf>
    <dxf>
      <fill>
        <patternFill patternType="solid">
          <fgColor rgb="FF999999"/>
          <bgColor rgb="FF999999"/>
        </patternFill>
      </fill>
    </dxf>
    <dxf>
      <fill>
        <patternFill patternType="solid">
          <fgColor rgb="FF999999"/>
          <bgColor rgb="FF999999"/>
        </patternFill>
      </fill>
    </dxf>
    <dxf>
      <font>
        <color rgb="FF000000"/>
      </font>
      <fill>
        <patternFill patternType="solid">
          <fgColor rgb="FF999999"/>
          <bgColor rgb="FF999999"/>
        </patternFill>
      </fill>
    </dxf>
    <dxf>
      <fill>
        <patternFill patternType="solid">
          <fgColor rgb="FF999999"/>
          <bgColor rgb="FF999999"/>
        </patternFill>
      </fill>
    </dxf>
    <dxf>
      <fill>
        <patternFill patternType="solid">
          <fgColor rgb="FFB7E1CD"/>
          <bgColor rgb="FFB7E1CD"/>
        </patternFill>
      </fill>
    </dxf>
    <dxf>
      <fill>
        <patternFill patternType="solid">
          <fgColor rgb="FFF1C232"/>
          <bgColor rgb="FFF1C232"/>
        </patternFill>
      </fill>
    </dxf>
    <dxf>
      <font>
        <color rgb="FF0000FF"/>
      </font>
      <fill>
        <patternFill patternType="solid">
          <fgColor rgb="FFFFFFFF"/>
          <bgColor rgb="FFFFFFFF"/>
        </patternFill>
      </fill>
    </dxf>
    <dxf>
      <font>
        <color rgb="FF0000FF"/>
      </font>
      <fill>
        <patternFill patternType="solid">
          <fgColor rgb="FFFFFFFF"/>
          <bgColor rgb="FFFFFFFF"/>
        </patternFill>
      </fill>
    </dxf>
    <dxf>
      <font>
        <color rgb="FFFF0000"/>
      </font>
      <fill>
        <patternFill patternType="solid">
          <fgColor rgb="FFFFFFFF"/>
          <bgColor rgb="FFFFFFFF"/>
        </patternFill>
      </fill>
    </dxf>
    <dxf>
      <fill>
        <patternFill patternType="solid">
          <fgColor rgb="FFFF00FF"/>
          <bgColor rgb="FFFF00FF"/>
        </patternFill>
      </fill>
    </dxf>
    <dxf>
      <fill>
        <patternFill patternType="solid">
          <fgColor rgb="FFFF00FF"/>
          <bgColor rgb="FFFF00FF"/>
        </patternFill>
      </fill>
    </dxf>
    <dxf>
      <fill>
        <patternFill patternType="solid">
          <fgColor rgb="FF00B050"/>
          <bgColor rgb="FF00B050"/>
        </patternFill>
      </fill>
    </dxf>
    <dxf>
      <fill>
        <patternFill patternType="solid">
          <fgColor rgb="FFF4C7C3"/>
          <bgColor rgb="FFF4C7C3"/>
        </patternFill>
      </fill>
    </dxf>
    <dxf>
      <fill>
        <patternFill patternType="solid">
          <fgColor rgb="FFB7E1CD"/>
          <bgColor rgb="FFB7E1CD"/>
        </patternFill>
      </fill>
    </dxf>
    <dxf>
      <fill>
        <patternFill patternType="solid">
          <fgColor rgb="FFFF00FF"/>
          <bgColor rgb="FFFF00FF"/>
        </patternFill>
      </fill>
    </dxf>
    <dxf>
      <fill>
        <patternFill patternType="solid">
          <fgColor rgb="FFFFFF00"/>
          <bgColor rgb="FFFFFF00"/>
        </patternFill>
      </fill>
    </dxf>
    <dxf>
      <font>
        <color rgb="FFFFFFFF"/>
      </font>
      <fill>
        <patternFill patternType="solid">
          <fgColor rgb="FF9900FF"/>
          <bgColor rgb="FF9900FF"/>
        </patternFill>
      </fill>
    </dxf>
    <dxf>
      <fill>
        <patternFill patternType="solid">
          <fgColor rgb="FF00B050"/>
          <bgColor rgb="FF00B050"/>
        </patternFill>
      </fill>
    </dxf>
    <dxf>
      <fill>
        <patternFill patternType="solid">
          <fgColor rgb="FFFF9900"/>
          <bgColor rgb="FFFF9900"/>
        </patternFill>
      </fill>
    </dxf>
    <dxf>
      <fill>
        <patternFill patternType="solid">
          <fgColor rgb="FFFF0000"/>
          <bgColor rgb="FFFF0000"/>
        </patternFill>
      </fill>
    </dxf>
    <dxf>
      <fill>
        <patternFill patternType="solid">
          <fgColor rgb="FFFF0000"/>
          <bgColor rgb="FFFF00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30">
    <tableStyle name="Voyage days-style" pivot="0" count="2" xr9:uid="{00000000-0011-0000-FFFF-FFFF00000000}">
      <tableStyleElement type="firstRowStripe" dxfId="92"/>
      <tableStyleElement type="secondRowStripe" dxfId="91"/>
    </tableStyle>
    <tableStyle name="Highlighter-style" pivot="0" count="2" xr9:uid="{00000000-0011-0000-FFFF-FFFF01000000}">
      <tableStyleElement type="firstRowStripe" dxfId="90"/>
      <tableStyleElement type="secondRowStripe" dxfId="89"/>
    </tableStyle>
    <tableStyle name="Highlighter-style 2" pivot="0" count="2" xr9:uid="{00000000-0011-0000-FFFF-FFFF02000000}">
      <tableStyleElement type="firstRowStripe" dxfId="88"/>
      <tableStyleElement type="secondRowStripe" dxfId="87"/>
    </tableStyle>
    <tableStyle name="Highlighter-style 3" pivot="0" count="2" xr9:uid="{00000000-0011-0000-FFFF-FFFF03000000}">
      <tableStyleElement type="firstRowStripe" dxfId="86"/>
      <tableStyleElement type="secondRowStripe" dxfId="85"/>
    </tableStyle>
    <tableStyle name="Highlighter-style 4" pivot="0" count="2" xr9:uid="{00000000-0011-0000-FFFF-FFFF04000000}">
      <tableStyleElement type="firstRowStripe" dxfId="84"/>
      <tableStyleElement type="secondRowStripe" dxfId="83"/>
    </tableStyle>
    <tableStyle name="Highlighter-style 5" pivot="0" count="2" xr9:uid="{00000000-0011-0000-FFFF-FFFF05000000}">
      <tableStyleElement type="firstRowStripe" dxfId="82"/>
      <tableStyleElement type="secondRowStripe" dxfId="81"/>
    </tableStyle>
    <tableStyle name="Highlighter-style 6" pivot="0" count="2" xr9:uid="{00000000-0011-0000-FFFF-FFFF06000000}">
      <tableStyleElement type="firstRowStripe" dxfId="80"/>
      <tableStyleElement type="secondRowStripe" dxfId="79"/>
    </tableStyle>
    <tableStyle name="Highlighter-style 7" pivot="0" count="2" xr9:uid="{00000000-0011-0000-FFFF-FFFF07000000}">
      <tableStyleElement type="firstRowStripe" dxfId="78"/>
      <tableStyleElement type="secondRowStripe" dxfId="77"/>
    </tableStyle>
    <tableStyle name="Highlighter-style 8" pivot="0" count="2" xr9:uid="{00000000-0011-0000-FFFF-FFFF08000000}">
      <tableStyleElement type="firstRowStripe" dxfId="76"/>
      <tableStyleElement type="secondRowStripe" dxfId="75"/>
    </tableStyle>
    <tableStyle name="Highlighter-style 9" pivot="0" count="2" xr9:uid="{00000000-0011-0000-FFFF-FFFF09000000}">
      <tableStyleElement type="firstRowStripe" dxfId="74"/>
      <tableStyleElement type="secondRowStripe" dxfId="73"/>
    </tableStyle>
    <tableStyle name="Highlighter-style 10" pivot="0" count="2" xr9:uid="{00000000-0011-0000-FFFF-FFFF0A000000}">
      <tableStyleElement type="firstRowStripe" dxfId="72"/>
      <tableStyleElement type="secondRowStripe" dxfId="71"/>
    </tableStyle>
    <tableStyle name="Highlighter-style 11" pivot="0" count="2" xr9:uid="{00000000-0011-0000-FFFF-FFFF0B000000}">
      <tableStyleElement type="firstRowStripe" dxfId="70"/>
      <tableStyleElement type="secondRowStripe" dxfId="69"/>
    </tableStyle>
    <tableStyle name="Highlighter-style 12" pivot="0" count="2" xr9:uid="{00000000-0011-0000-FFFF-FFFF0C000000}">
      <tableStyleElement type="firstRowStripe" dxfId="68"/>
      <tableStyleElement type="secondRowStripe" dxfId="67"/>
    </tableStyle>
    <tableStyle name="Highlighter-style 13" pivot="0" count="2" xr9:uid="{00000000-0011-0000-FFFF-FFFF0D000000}">
      <tableStyleElement type="firstRowStripe" dxfId="66"/>
      <tableStyleElement type="secondRowStripe" dxfId="65"/>
    </tableStyle>
    <tableStyle name="Highlighter-style 14" pivot="0" count="2" xr9:uid="{00000000-0011-0000-FFFF-FFFF0E000000}">
      <tableStyleElement type="firstRowStripe" dxfId="64"/>
      <tableStyleElement type="secondRowStripe" dxfId="63"/>
    </tableStyle>
    <tableStyle name="Highlighter-style 15" pivot="0" count="2" xr9:uid="{00000000-0011-0000-FFFF-FFFF0F000000}">
      <tableStyleElement type="firstRowStripe" dxfId="62"/>
      <tableStyleElement type="secondRowStripe" dxfId="61"/>
    </tableStyle>
    <tableStyle name="Highlighter-style 16" pivot="0" count="2" xr9:uid="{00000000-0011-0000-FFFF-FFFF10000000}">
      <tableStyleElement type="firstRowStripe" dxfId="60"/>
      <tableStyleElement type="secondRowStripe" dxfId="59"/>
    </tableStyle>
    <tableStyle name="Highlighter-style 17" pivot="0" count="2" xr9:uid="{00000000-0011-0000-FFFF-FFFF11000000}">
      <tableStyleElement type="firstRowStripe" dxfId="58"/>
      <tableStyleElement type="secondRowStripe" dxfId="57"/>
    </tableStyle>
    <tableStyle name="Highlighter-style 18" pivot="0" count="2" xr9:uid="{00000000-0011-0000-FFFF-FFFF12000000}">
      <tableStyleElement type="firstRowStripe" dxfId="56"/>
      <tableStyleElement type="secondRowStripe" dxfId="55"/>
    </tableStyle>
    <tableStyle name="Highlighter-style 19" pivot="0" count="2" xr9:uid="{00000000-0011-0000-FFFF-FFFF13000000}">
      <tableStyleElement type="firstRowStripe" dxfId="54"/>
      <tableStyleElement type="secondRowStripe" dxfId="53"/>
    </tableStyle>
    <tableStyle name="Highlighter-style 20" pivot="0" count="2" xr9:uid="{00000000-0011-0000-FFFF-FFFF14000000}">
      <tableStyleElement type="firstRowStripe" dxfId="52"/>
      <tableStyleElement type="secondRowStripe" dxfId="51"/>
    </tableStyle>
    <tableStyle name="Highlighter-style 21" pivot="0" count="2" xr9:uid="{00000000-0011-0000-FFFF-FFFF15000000}">
      <tableStyleElement type="firstRowStripe" dxfId="50"/>
      <tableStyleElement type="secondRowStripe" dxfId="49"/>
    </tableStyle>
    <tableStyle name="Highlighter-style 22" pivot="0" count="2" xr9:uid="{00000000-0011-0000-FFFF-FFFF16000000}">
      <tableStyleElement type="firstRowStripe" dxfId="48"/>
      <tableStyleElement type="secondRowStripe" dxfId="47"/>
    </tableStyle>
    <tableStyle name="Highlighter-style 23" pivot="0" count="2" xr9:uid="{00000000-0011-0000-FFFF-FFFF17000000}">
      <tableStyleElement type="firstRowStripe" dxfId="46"/>
      <tableStyleElement type="secondRowStripe" dxfId="45"/>
    </tableStyle>
    <tableStyle name="Highlighter-style 24" pivot="0" count="2" xr9:uid="{00000000-0011-0000-FFFF-FFFF18000000}">
      <tableStyleElement type="firstRowStripe" dxfId="44"/>
      <tableStyleElement type="secondRowStripe" dxfId="43"/>
    </tableStyle>
    <tableStyle name="Highlighter-style 25" pivot="0" count="2" xr9:uid="{00000000-0011-0000-FFFF-FFFF19000000}">
      <tableStyleElement type="firstRowStripe" dxfId="42"/>
      <tableStyleElement type="secondRowStripe" dxfId="41"/>
    </tableStyle>
    <tableStyle name="Highlighter-style 26" pivot="0" count="2" xr9:uid="{00000000-0011-0000-FFFF-FFFF1A000000}">
      <tableStyleElement type="firstRowStripe" dxfId="40"/>
      <tableStyleElement type="secondRowStripe" dxfId="39"/>
    </tableStyle>
    <tableStyle name="Highlighter-style 27" pivot="0" count="2" xr9:uid="{00000000-0011-0000-FFFF-FFFF1B000000}">
      <tableStyleElement type="firstRowStripe" dxfId="38"/>
      <tableStyleElement type="secondRowStripe" dxfId="37"/>
    </tableStyle>
    <tableStyle name="Highlighter-style 28" pivot="0" count="2" xr9:uid="{00000000-0011-0000-FFFF-FFFF1C000000}">
      <tableStyleElement type="firstRowStripe" dxfId="36"/>
      <tableStyleElement type="secondRowStripe" dxfId="35"/>
    </tableStyle>
    <tableStyle name="Highlighter-style 29" pivot="0" count="2" xr9:uid="{00000000-0011-0000-FFFF-FFFF1D000000}">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5</xdr:col>
      <xdr:colOff>142875</xdr:colOff>
      <xdr:row>23</xdr:row>
      <xdr:rowOff>95250</xdr:rowOff>
    </xdr:from>
    <xdr:to>
      <xdr:col>9</xdr:col>
      <xdr:colOff>142875</xdr:colOff>
      <xdr:row>29</xdr:row>
      <xdr:rowOff>38100</xdr:rowOff>
    </xdr:to>
    <xdr:sp macro="" textlink="">
      <xdr:nvSpPr>
        <xdr:cNvPr id="2064" name="Text Box 16" hidden="1">
          <a:extLst>
            <a:ext uri="{FF2B5EF4-FFF2-40B4-BE49-F238E27FC236}">
              <a16:creationId xmlns:a16="http://schemas.microsoft.com/office/drawing/2014/main" id="{93B1B320-7F69-A0B1-9726-65832D040775}"/>
            </a:ext>
          </a:extLst>
        </xdr:cNvPr>
        <xdr:cNvSpPr txBox="1">
          <a:spLocks noChangeArrowheads="1"/>
        </xdr:cNvSpPr>
      </xdr:nvSpPr>
      <xdr:spPr bwMode="auto">
        <a:xfrm>
          <a:off x="2219325" y="4657725"/>
          <a:ext cx="1057275"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142875</xdr:colOff>
      <xdr:row>92</xdr:row>
      <xdr:rowOff>95250</xdr:rowOff>
    </xdr:from>
    <xdr:to>
      <xdr:col>13</xdr:col>
      <xdr:colOff>142875</xdr:colOff>
      <xdr:row>98</xdr:row>
      <xdr:rowOff>38100</xdr:rowOff>
    </xdr:to>
    <xdr:sp macro="" textlink="">
      <xdr:nvSpPr>
        <xdr:cNvPr id="2055" name="Text Box 7" hidden="1">
          <a:extLst>
            <a:ext uri="{FF2B5EF4-FFF2-40B4-BE49-F238E27FC236}">
              <a16:creationId xmlns:a16="http://schemas.microsoft.com/office/drawing/2014/main" id="{BC552B51-D354-75DA-05FC-AEF42EB5A1BB}"/>
            </a:ext>
          </a:extLst>
        </xdr:cNvPr>
        <xdr:cNvSpPr txBox="1">
          <a:spLocks noChangeArrowheads="1"/>
        </xdr:cNvSpPr>
      </xdr:nvSpPr>
      <xdr:spPr bwMode="auto">
        <a:xfrm>
          <a:off x="3276600" y="18288000"/>
          <a:ext cx="238125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GP" id="{4B11850E-3C21-4EDC-A70D-A6784885CEAF}" userId="" providerId="google-sheets"/>
  <person displayName="Melvin Li" id="{87F2DD22-A9EC-48A1-9EC5-84E42D5D33D8}"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M808:M828" headerRowCount="0">
  <tableColumns count="1">
    <tableColumn id="1" xr3:uid="{00000000-0010-0000-0000-000001000000}" name="Column1"/>
  </tableColumns>
  <tableStyleInfo name="Voyage day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3-19T04:40:10.00" personId="{4B11850E-3C21-4EDC-A70D-A6784885CEAF}" id="{2682B306-26D7-4CDD-9991-35303CA600DD}">
    <text>sold in Guangzhou Shipping Exchange yesterday to Chinese buyer at around $84 mil</text>
  </threadedComment>
</ThreadedComments>
</file>

<file path=xl/threadedComments/threadedComment2.xml><?xml version="1.0" encoding="utf-8"?>
<ThreadedComments xmlns="http://schemas.microsoft.com/office/spreadsheetml/2018/threadedcomments" xmlns:x="http://schemas.openxmlformats.org/spreadsheetml/2006/main">
  <threadedComment ref="D53" dT="2025-09-29T10:09:27.00" personId="{87F2DD22-A9EC-48A1-9EC5-84E42D5D33D8}" id="{F3B5B625-7C26-41C9-8CC8-44F670F4284B}">
    <text>Cido Shipping</text>
  </threadedComment>
  <threadedComment ref="I64" dT="2025-05-11T06:38:18.00" personId="{87F2DD22-A9EC-48A1-9EC5-84E42D5D33D8}" id="{2E0A34F0-39EE-41E2-8388-517417C1FA11}">
    <text>BP mainly loads from Marcus Hook</text>
  </threadedComment>
  <threadedComment ref="I92" dT="2025-05-09T01:54:21.00" personId="{87F2DD22-A9EC-48A1-9EC5-84E42D5D33D8}" id="{0962599A-4810-4C04-88BB-9F2BE3CA7023}" done="1">
    <text>CVC with SHV</text>
  </threadedComment>
  <threadedComment ref="I108" dT="2026-01-02T03:47:57.00" personId="{4B11850E-3C21-4EDC-A70D-A6784885CEAF}" id="{4A2ABCD2-80E9-4FAE-8235-DB8A8E582EEA}">
    <text>Pertamina &gt; Mercuria (TC - duration TBC)</text>
  </threadedComment>
  <threadedComment ref="I135" dT="2025-10-27T07:32:05.00" personId="{87F2DD22-A9EC-48A1-9EC5-84E42D5D33D8}" id="{933D161E-3408-459E-A9CA-E825BF088550}" done="1">
    <text>No more requirement for Nov in USG</text>
  </threadedComment>
  <threadedComment ref="I149" dT="2026-02-09T08:11:07.00" personId="{4B11850E-3C21-4EDC-A70D-A6784885CEAF}" id="{46953FBE-D5AC-425B-AE77-DFB734BBDEDD}">
    <text>Mercuria TC to ATC till Oct 26</text>
  </threadedComment>
  <threadedComment ref="D171" dT="2025-10-22T04:23:09.00" personId="{87F2DD22-A9EC-48A1-9EC5-84E42D5D33D8}" id="{79DA0261-9714-47B8-BFC7-150D89D0942D}">
    <text>Chinese built so exempted</text>
  </threadedComment>
  <threadedComment ref="D172" dT="2025-10-22T04:23:40.00" personId="{87F2DD22-A9EC-48A1-9EC5-84E42D5D33D8}" id="{88BEAC0E-A9E8-4412-B0C8-A9070A4C04A6}">
    <text>Chinese built so exempted</text>
  </threadedComment>
  <threadedComment ref="I187" dT="2025-04-01T03:09:17.00" personId="{87F2DD22-A9EC-48A1-9EC5-84E42D5D33D8}" id="{1D2AF859-88F8-4C3E-94DF-4A65A6B1B33E}" done="1">
    <text>2H contract with Petron (Liquigaz) while ATC has the 1H contract</text>
  </threadedComment>
  <threadedComment ref="A246" dT="2026-03-26T08:22:12.00" personId="{4B11850E-3C21-4EDC-A70D-A6784885CEAF}" id="{62A33F35-1B1F-4F98-94BD-0E2D9C2F6049}">
    <text>ex-Taebaek Explorer</text>
  </threadedComment>
  <threadedComment ref="A250" dT="2026-04-06T08:30:32.00" personId="{4B11850E-3C21-4EDC-A70D-A6784885CEAF}" id="{F28014B0-49D1-40B8-8B5F-00630E0B470E}">
    <text>Ex-Vivit Altais</text>
  </threadedComment>
  <threadedComment ref="A251" dT="2026-03-26T08:21:48.00" personId="{4B11850E-3C21-4EDC-A70D-A6784885CEAF}" id="{7DDA6A16-7F3F-47F1-89E7-1E75C9BD2014}" done="1">
    <text>ex-Vivit Dubhe</text>
  </threadedComment>
  <threadedComment ref="A252" dT="2026-03-26T08:21:03.00" personId="{4B11850E-3C21-4EDC-A70D-A6784885CEAF}" id="{71935B23-33A6-4B77-BD52-AF629801F8A2}">
    <text>ex-Vivit Fornax</text>
  </threadedComment>
  <threadedComment ref="A253" dT="2026-03-26T08:20:01.00" personId="{4B11850E-3C21-4EDC-A70D-A6784885CEAF}" id="{DB255095-9BB1-4606-9003-0D4576F03111}">
    <text>ex-Vivit Thuban</text>
  </threadedComment>
  <threadedComment ref="I269" dT="2025-06-24T09:14:13.00" personId="{87F2DD22-A9EC-48A1-9EC5-84E42D5D33D8}" id="{F4C1290F-FD41-426A-A925-A72262AE197A}">
    <text>Chinagas COA - 
30 days before laycan (e.g. if end Jul they will declare later this week - end Jun)</text>
  </threadedComment>
</ThreadedComments>
</file>

<file path=xl/threadedComments/threadedComment3.xml><?xml version="1.0" encoding="utf-8"?>
<ThreadedComments xmlns="http://schemas.microsoft.com/office/spreadsheetml/2018/threadedcomments" xmlns:x="http://schemas.openxmlformats.org/spreadsheetml/2006/main">
  <threadedComment ref="O3" dT="2025-12-24T11:02:12.00" personId="{87F2DD22-A9EC-48A1-9EC5-84E42D5D33D8}" id="{04844B4A-8E32-48D0-8059-383E63AE5F66}">
    <text>BGN discharge in Indo
PTT
Pertamina etc etc</text>
  </threadedComment>
  <threadedComment ref="AX294" dT="2025-11-20T10:04:04.00" personId="{87F2DD22-A9EC-48A1-9EC5-84E42D5D33D8}" id="{1621CE69-7AE4-40B7-ABAB-D30028353CFA}">
    <text>if we put two Parthias , the script below doesn't work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66"/>
  </sheetPr>
  <dimension ref="A1:AI2031"/>
  <sheetViews>
    <sheetView tabSelected="1" workbookViewId="0">
      <selection activeCell="I16" sqref="I16"/>
    </sheetView>
  </sheetViews>
  <sheetFormatPr defaultColWidth="14.42578125" defaultRowHeight="15" customHeight="1" x14ac:dyDescent="0.25"/>
  <cols>
    <col min="1" max="1" width="22.5703125" customWidth="1"/>
    <col min="2" max="2" width="20.85546875" customWidth="1"/>
    <col min="3" max="4" width="4.140625" customWidth="1"/>
    <col min="5" max="5" width="24.28515625" customWidth="1"/>
    <col min="6" max="6" width="9.28515625" customWidth="1"/>
    <col min="7" max="7" width="10.85546875" customWidth="1"/>
    <col min="8" max="8" width="9" customWidth="1"/>
    <col min="9" max="9" width="10.28515625" customWidth="1"/>
    <col min="10" max="10" width="11.5703125" customWidth="1"/>
    <col min="11" max="11" width="9.28515625" customWidth="1"/>
    <col min="12" max="12" width="18.7109375" customWidth="1"/>
    <col min="13" max="13" width="22" customWidth="1"/>
    <col min="14" max="14" width="13.140625" customWidth="1"/>
    <col min="15" max="15" width="0.42578125" customWidth="1"/>
    <col min="16" max="16" width="9.5703125" customWidth="1"/>
    <col min="17" max="17" width="10.7109375" customWidth="1"/>
    <col min="18" max="18" width="10.85546875" customWidth="1"/>
    <col min="21" max="21" width="56.5703125" customWidth="1"/>
    <col min="24" max="25" width="25.28515625" customWidth="1"/>
    <col min="26" max="26" width="2.7109375" customWidth="1"/>
    <col min="27" max="27" width="23.5703125" customWidth="1"/>
    <col min="28" max="29" width="19.7109375" customWidth="1"/>
    <col min="31" max="31" width="16.28515625" customWidth="1"/>
    <col min="32" max="32" width="19.85546875" customWidth="1"/>
    <col min="33" max="33" width="19.7109375" customWidth="1"/>
  </cols>
  <sheetData>
    <row r="1" spans="1:35" ht="15.75" x14ac:dyDescent="0.25">
      <c r="A1" s="1" t="s">
        <v>0</v>
      </c>
      <c r="B1" s="2"/>
      <c r="C1" s="3"/>
      <c r="D1" s="4"/>
      <c r="E1" s="5" t="s">
        <v>1</v>
      </c>
      <c r="F1" s="6" t="s">
        <v>2</v>
      </c>
      <c r="G1" s="6" t="s">
        <v>3</v>
      </c>
      <c r="H1" s="5" t="s">
        <v>4</v>
      </c>
      <c r="I1" s="5" t="s">
        <v>5</v>
      </c>
      <c r="J1" s="5" t="s">
        <v>6</v>
      </c>
      <c r="K1" s="5" t="s">
        <v>7</v>
      </c>
      <c r="L1" s="5" t="s">
        <v>8</v>
      </c>
      <c r="M1" s="5" t="s">
        <v>9</v>
      </c>
      <c r="N1" s="5" t="s">
        <v>10</v>
      </c>
      <c r="O1" s="5"/>
      <c r="P1" s="5"/>
      <c r="Q1" s="7" t="s">
        <v>11</v>
      </c>
      <c r="R1" s="8"/>
      <c r="S1" s="8"/>
      <c r="T1" s="8"/>
      <c r="U1" s="9" t="s">
        <v>12</v>
      </c>
      <c r="V1" s="4"/>
      <c r="W1" s="8"/>
      <c r="X1" s="10"/>
      <c r="Y1" s="10" t="s">
        <v>13</v>
      </c>
      <c r="Z1" s="10"/>
      <c r="AA1" s="10" t="s">
        <v>14</v>
      </c>
      <c r="AB1" s="8"/>
      <c r="AC1" s="8"/>
      <c r="AD1" s="11"/>
      <c r="AE1" s="12" t="s">
        <v>15</v>
      </c>
      <c r="AF1" s="13" t="s">
        <v>16</v>
      </c>
      <c r="AG1" s="13" t="s">
        <v>17</v>
      </c>
      <c r="AH1" s="8"/>
      <c r="AI1" s="8"/>
    </row>
    <row r="2" spans="1:35" ht="15.75" x14ac:dyDescent="0.25">
      <c r="A2" s="14" t="s">
        <v>18</v>
      </c>
      <c r="B2" s="15">
        <f>COUNTA('2) Tracker'!A3:A511)</f>
        <v>342</v>
      </c>
      <c r="C2" s="4"/>
      <c r="D2" s="4"/>
      <c r="E2" s="5" t="s">
        <v>19</v>
      </c>
      <c r="F2" s="16">
        <v>86000</v>
      </c>
      <c r="G2" s="16">
        <v>55324</v>
      </c>
      <c r="H2" s="5" t="s">
        <v>20</v>
      </c>
      <c r="I2" s="5" t="s">
        <v>21</v>
      </c>
      <c r="J2" s="5">
        <v>636021495</v>
      </c>
      <c r="K2" s="5">
        <v>9916812</v>
      </c>
      <c r="L2" s="5"/>
      <c r="M2" s="17"/>
      <c r="N2" s="18" t="b">
        <v>1</v>
      </c>
      <c r="O2" s="18"/>
      <c r="P2" s="5"/>
      <c r="U2" s="3" t="s">
        <v>22</v>
      </c>
      <c r="V2" s="19">
        <f>COUNTIF($I$2:$I$1000,"active")</f>
        <v>423</v>
      </c>
      <c r="W2" s="8"/>
      <c r="X2" s="20"/>
      <c r="Y2" s="21" t="str">
        <f ca="1">IFERROR(__xludf.DUMMYFUNCTION("filter($E$4:$E$600,not(countif('2) Tracker'!$A$3:$A$610,$E$4:$E$600)))"),"Apollo Ocean")</f>
        <v>Apollo Ocean</v>
      </c>
      <c r="Z2" s="22">
        <v>1</v>
      </c>
      <c r="AA2" s="22" t="str">
        <f ca="1">IFERROR(__xludf.DUMMYFUNCTION("FILTER(Y2:Y501, ISNA(MATCH(TRIM(LOWER(CLEAN(Y2:Y501))), $E$2:$E$501, 0)))"),"")</f>
        <v/>
      </c>
      <c r="AB2" s="23"/>
      <c r="AC2" s="23" t="s">
        <v>23</v>
      </c>
      <c r="AD2" s="24"/>
      <c r="AE2" s="24" t="str">
        <f>IF(E174="","", IF(F2&gt;93000,1,""))</f>
        <v/>
      </c>
      <c r="AF2" s="22">
        <f>IF(ISERROR(VLOOKUP(#REF!,$E$2:$F$600,2, FALSE)),1,"")</f>
        <v>1</v>
      </c>
      <c r="AG2" s="22">
        <f ca="1">IF(ISERROR(VLOOKUP(E174,$Y$2:$Z$600,2,FALSE)),1,"")</f>
        <v>1</v>
      </c>
      <c r="AH2" s="8"/>
      <c r="AI2" s="8"/>
    </row>
    <row r="3" spans="1:35" ht="15.75" x14ac:dyDescent="0.25">
      <c r="A3" s="14" t="s">
        <v>24</v>
      </c>
      <c r="B3" s="15">
        <f>COUNTA('3) Sorter'!F4:F507)</f>
        <v>349</v>
      </c>
      <c r="C3" s="4"/>
      <c r="D3" s="4"/>
      <c r="E3" s="5" t="s">
        <v>25</v>
      </c>
      <c r="F3" s="16">
        <v>83765</v>
      </c>
      <c r="G3" s="16">
        <v>54474</v>
      </c>
      <c r="H3" s="5" t="s">
        <v>26</v>
      </c>
      <c r="I3" s="5" t="s">
        <v>21</v>
      </c>
      <c r="J3" s="5">
        <v>636023795</v>
      </c>
      <c r="K3" s="5">
        <v>9393682</v>
      </c>
      <c r="L3" s="5"/>
      <c r="M3" s="17"/>
      <c r="N3" s="18" t="b">
        <v>0</v>
      </c>
      <c r="O3" s="18"/>
      <c r="P3" s="5"/>
      <c r="Q3" s="25" t="s">
        <v>27</v>
      </c>
      <c r="R3" s="25" t="s">
        <v>28</v>
      </c>
      <c r="S3" s="25" t="s">
        <v>29</v>
      </c>
      <c r="T3" s="8"/>
      <c r="U3" s="3" t="s">
        <v>30</v>
      </c>
      <c r="V3" s="19">
        <f>COUNTIF($I$2:$I$1000,"under construction")</f>
        <v>75</v>
      </c>
      <c r="W3" s="8"/>
      <c r="X3" s="22"/>
      <c r="Y3" s="22" t="str">
        <f ca="1">IFERROR(__xludf.DUMMYFUNCTION("""COMPUTED_VALUE"""),"Argonaftis")</f>
        <v>Argonaftis</v>
      </c>
      <c r="Z3" s="22"/>
      <c r="AA3" s="22"/>
      <c r="AB3" s="3"/>
      <c r="AC3" s="3" t="str">
        <f ca="1">IFERROR(__xludf.DUMMYFUNCTION("FILTER(E2:E501, ISNA(MATCH(TRIM(LOWER(CLEAN(E2:E501))), $Y$2:$Y$501, 0)))"),"Al Ain")</f>
        <v>Al Ain</v>
      </c>
      <c r="AD3" s="24"/>
      <c r="AE3" s="24" t="str">
        <f t="shared" ref="AE3:AE173" si="0">IF(E3="","", IF(F3&gt;93000,1,""))</f>
        <v/>
      </c>
      <c r="AF3" s="22" t="str">
        <f t="shared" ref="AF3:AF17" ca="1" si="1">IF(ISERROR(VLOOKUP(Y3,$E$2:$F$600,2, FALSE)),1,"")</f>
        <v/>
      </c>
      <c r="AG3" s="22">
        <f t="shared" ref="AG3:AG173" ca="1" si="2">IF(ISERROR(VLOOKUP(E3,$Y$2:$Z$600,2,FALSE)),1,"")</f>
        <v>1</v>
      </c>
      <c r="AH3" s="8"/>
      <c r="AI3" s="8"/>
    </row>
    <row r="4" spans="1:35" ht="15.75" x14ac:dyDescent="0.25">
      <c r="A4" s="26" t="s">
        <v>31</v>
      </c>
      <c r="B4" s="27">
        <f>B2-B3</f>
        <v>-7</v>
      </c>
      <c r="C4" s="4"/>
      <c r="D4" s="4"/>
      <c r="E4" s="5" t="s">
        <v>32</v>
      </c>
      <c r="F4" s="16">
        <v>86000</v>
      </c>
      <c r="G4" s="16">
        <v>54000</v>
      </c>
      <c r="H4" s="5" t="s">
        <v>20</v>
      </c>
      <c r="I4" s="5" t="s">
        <v>21</v>
      </c>
      <c r="J4" s="5">
        <v>636021498</v>
      </c>
      <c r="K4" s="5">
        <v>9923085</v>
      </c>
      <c r="L4" s="5"/>
      <c r="M4" s="17"/>
      <c r="N4" s="18" t="b">
        <v>1</v>
      </c>
      <c r="O4" s="18"/>
      <c r="P4" s="5"/>
      <c r="Q4" s="28">
        <v>46132</v>
      </c>
      <c r="R4" s="29">
        <v>0.41666666666666669</v>
      </c>
      <c r="S4" s="8" t="s">
        <v>33</v>
      </c>
      <c r="T4" s="8"/>
      <c r="U4" s="3" t="s">
        <v>34</v>
      </c>
      <c r="V4" s="19" t="e">
        <f>SUM(AE2:AE500)</f>
        <v>#REF!</v>
      </c>
      <c r="W4" s="8"/>
      <c r="X4" s="22"/>
      <c r="Y4" s="22" t="str">
        <f ca="1">IFERROR(__xludf.DUMMYFUNCTION("""COMPUTED_VALUE"""),"Aristaios")</f>
        <v>Aristaios</v>
      </c>
      <c r="Z4" s="22"/>
      <c r="AA4" s="22"/>
      <c r="AB4" s="30"/>
      <c r="AC4" s="30" t="str">
        <f ca="1">IFERROR(__xludf.DUMMYFUNCTION("""COMPUTED_VALUE"""),"Al Maryah")</f>
        <v>Al Maryah</v>
      </c>
      <c r="AD4" s="24"/>
      <c r="AE4" s="24" t="str">
        <f t="shared" si="0"/>
        <v/>
      </c>
      <c r="AF4" s="22" t="str">
        <f t="shared" ca="1" si="1"/>
        <v/>
      </c>
      <c r="AG4" s="22">
        <f t="shared" ca="1" si="2"/>
        <v>1</v>
      </c>
      <c r="AH4" s="8"/>
      <c r="AI4" s="8"/>
    </row>
    <row r="5" spans="1:35" ht="15.75" x14ac:dyDescent="0.25">
      <c r="A5" s="26" t="s">
        <v>35</v>
      </c>
      <c r="B5" s="27" t="s">
        <v>36</v>
      </c>
      <c r="C5" s="4"/>
      <c r="D5" s="4"/>
      <c r="E5" s="5" t="s">
        <v>37</v>
      </c>
      <c r="F5" s="16">
        <v>80841</v>
      </c>
      <c r="G5" s="16">
        <v>53999</v>
      </c>
      <c r="H5" s="5" t="s">
        <v>26</v>
      </c>
      <c r="I5" s="5" t="s">
        <v>21</v>
      </c>
      <c r="J5" s="5">
        <v>538005255</v>
      </c>
      <c r="K5" s="5">
        <v>9359466</v>
      </c>
      <c r="L5" s="5" t="s">
        <v>38</v>
      </c>
      <c r="M5" s="17">
        <v>46138.125</v>
      </c>
      <c r="N5" s="18" t="b">
        <v>0</v>
      </c>
      <c r="O5" s="18"/>
      <c r="P5" s="5"/>
      <c r="Q5" s="8"/>
      <c r="R5" s="8"/>
      <c r="S5" s="8"/>
      <c r="T5" s="8"/>
      <c r="U5" s="3" t="s">
        <v>16</v>
      </c>
      <c r="V5" s="19">
        <f ca="1">SUM(AF2:AF399)</f>
        <v>243</v>
      </c>
      <c r="W5" s="8"/>
      <c r="X5" s="22"/>
      <c r="Y5" s="22" t="str">
        <f ca="1">IFERROR(__xludf.DUMMYFUNCTION("""COMPUTED_VALUE"""),"Astra")</f>
        <v>Astra</v>
      </c>
      <c r="Z5" s="22"/>
      <c r="AA5" s="22"/>
      <c r="AB5" s="3"/>
      <c r="AC5" s="3" t="str">
        <f ca="1">IFERROR(__xludf.DUMMYFUNCTION("""COMPUTED_VALUE"""),"Al Salam")</f>
        <v>Al Salam</v>
      </c>
      <c r="AD5" s="24"/>
      <c r="AE5" s="24" t="str">
        <f t="shared" si="0"/>
        <v/>
      </c>
      <c r="AF5" s="22" t="str">
        <f t="shared" ca="1" si="1"/>
        <v/>
      </c>
      <c r="AG5" s="22">
        <f t="shared" ca="1" si="2"/>
        <v>1</v>
      </c>
      <c r="AH5" s="8"/>
      <c r="AI5" s="8"/>
    </row>
    <row r="6" spans="1:35" ht="15.75" x14ac:dyDescent="0.25">
      <c r="A6" s="20" t="str">
        <f ca="1">IFERROR(__xludf.DUMMYFUNCTION("filter('2) Tracker'!$A3:$A$403,not(countif('3) Sorter'!$F$4:$F$344,'2) Tracker'!$A$3:$A$403)))"),"")</f>
        <v/>
      </c>
      <c r="B6" s="31" t="str">
        <f ca="1">IFERROR(__xludf.DUMMYFUNCTION("filter('3) Sorter'!$F$4:$F$366,not(countif('2) Tracker'!$A$3:$A$504,'3) Sorter'!$F$4:$F$366)))"),"")</f>
        <v/>
      </c>
      <c r="C6" s="4"/>
      <c r="D6" s="4"/>
      <c r="E6" s="5" t="s">
        <v>39</v>
      </c>
      <c r="F6" s="16">
        <v>84000</v>
      </c>
      <c r="G6" s="16">
        <v>54354</v>
      </c>
      <c r="H6" s="5" t="s">
        <v>20</v>
      </c>
      <c r="I6" s="5" t="s">
        <v>21</v>
      </c>
      <c r="J6" s="5">
        <v>371353000</v>
      </c>
      <c r="K6" s="5">
        <v>9682447</v>
      </c>
      <c r="L6" s="5" t="s">
        <v>40</v>
      </c>
      <c r="M6" s="17">
        <v>46132.625</v>
      </c>
      <c r="N6" s="18" t="b">
        <v>1</v>
      </c>
      <c r="O6" s="18"/>
      <c r="P6" s="5"/>
      <c r="Q6" s="8"/>
      <c r="R6" s="8"/>
      <c r="S6" s="8"/>
      <c r="T6" s="8"/>
      <c r="U6" s="3" t="s">
        <v>17</v>
      </c>
      <c r="V6" s="19">
        <f ca="1">SUM(AG2:AG394)</f>
        <v>272</v>
      </c>
      <c r="W6" s="8"/>
      <c r="X6" s="22"/>
      <c r="Y6" s="22" t="str">
        <f ca="1">IFERROR(__xludf.DUMMYFUNCTION("""COMPUTED_VALUE"""),"Astram")</f>
        <v>Astram</v>
      </c>
      <c r="Z6" s="22"/>
      <c r="AA6" s="22"/>
      <c r="AB6" s="22"/>
      <c r="AC6" s="22" t="str">
        <f ca="1">IFERROR(__xludf.DUMMYFUNCTION("""COMPUTED_VALUE"""),"Al Wukir")</f>
        <v>Al Wukir</v>
      </c>
      <c r="AD6" s="24"/>
      <c r="AE6" s="24" t="str">
        <f t="shared" si="0"/>
        <v/>
      </c>
      <c r="AF6" s="22" t="str">
        <f t="shared" ca="1" si="1"/>
        <v/>
      </c>
      <c r="AG6" s="22">
        <f t="shared" ca="1" si="2"/>
        <v>1</v>
      </c>
      <c r="AH6" s="8"/>
      <c r="AI6" s="8"/>
    </row>
    <row r="7" spans="1:35" ht="15.75" x14ac:dyDescent="0.25">
      <c r="A7" s="32" t="str">
        <f ca="1">IFERROR(__xludf.DUMMYFUNCTION("""COMPUTED_VALUE"""),"NV Aquamarine")</f>
        <v>NV Aquamarine</v>
      </c>
      <c r="B7" s="32"/>
      <c r="C7" s="4"/>
      <c r="D7" s="4"/>
      <c r="E7" s="5" t="s">
        <v>41</v>
      </c>
      <c r="F7" s="16">
        <v>84000</v>
      </c>
      <c r="G7" s="16">
        <v>54358</v>
      </c>
      <c r="H7" s="5" t="s">
        <v>20</v>
      </c>
      <c r="I7" s="5" t="s">
        <v>21</v>
      </c>
      <c r="J7" s="5">
        <v>371669000</v>
      </c>
      <c r="K7" s="5">
        <v>9780732</v>
      </c>
      <c r="L7" s="5" t="s">
        <v>38</v>
      </c>
      <c r="M7" s="33">
        <v>46134.895833333336</v>
      </c>
      <c r="N7" s="18" t="b">
        <v>1</v>
      </c>
      <c r="O7" s="18"/>
      <c r="P7" s="5"/>
      <c r="T7" s="8"/>
      <c r="U7" s="4"/>
      <c r="V7" s="4"/>
      <c r="W7" s="8"/>
      <c r="X7" s="22"/>
      <c r="Y7" s="22" t="str">
        <f ca="1">IFERROR(__xludf.DUMMYFUNCTION("""COMPUTED_VALUE"""),"Aura")</f>
        <v>Aura</v>
      </c>
      <c r="Z7" s="22"/>
      <c r="AA7" s="22"/>
      <c r="AB7" s="22"/>
      <c r="AC7" s="22" t="str">
        <f ca="1">IFERROR(__xludf.DUMMYFUNCTION("""COMPUTED_VALUE"""),"Albert")</f>
        <v>Albert</v>
      </c>
      <c r="AD7" s="24"/>
      <c r="AE7" s="24" t="str">
        <f t="shared" si="0"/>
        <v/>
      </c>
      <c r="AF7" s="22" t="str">
        <f t="shared" ca="1" si="1"/>
        <v/>
      </c>
      <c r="AG7" s="22">
        <f t="shared" ca="1" si="2"/>
        <v>1</v>
      </c>
      <c r="AH7" s="8"/>
      <c r="AI7" s="8"/>
    </row>
    <row r="8" spans="1:35" ht="15.75" x14ac:dyDescent="0.25">
      <c r="A8" s="32"/>
      <c r="B8" s="32"/>
      <c r="C8" s="4"/>
      <c r="D8" s="4"/>
      <c r="E8" s="5" t="s">
        <v>42</v>
      </c>
      <c r="F8" s="16">
        <v>84000</v>
      </c>
      <c r="G8" s="16">
        <v>54365</v>
      </c>
      <c r="H8" s="5" t="s">
        <v>26</v>
      </c>
      <c r="I8" s="5" t="s">
        <v>21</v>
      </c>
      <c r="J8" s="5">
        <v>371557000</v>
      </c>
      <c r="K8" s="5">
        <v>9794288</v>
      </c>
      <c r="L8" s="5" t="s">
        <v>43</v>
      </c>
      <c r="M8" s="34">
        <v>46132.541666666664</v>
      </c>
      <c r="N8" s="18" t="b">
        <v>0</v>
      </c>
      <c r="O8" s="18"/>
      <c r="P8" s="5"/>
      <c r="T8" s="8"/>
      <c r="U8" s="9" t="s">
        <v>44</v>
      </c>
      <c r="V8" s="4"/>
      <c r="W8" s="8"/>
      <c r="X8" s="22"/>
      <c r="Y8" s="22" t="str">
        <f ca="1">IFERROR(__xludf.DUMMYFUNCTION("""COMPUTED_VALUE"""),"Aurora")</f>
        <v>Aurora</v>
      </c>
      <c r="Z8" s="22"/>
      <c r="AA8" s="22"/>
      <c r="AB8" s="22"/>
      <c r="AC8" s="22" t="str">
        <f ca="1">IFERROR(__xludf.DUMMYFUNCTION("""COMPUTED_VALUE"""),"Albert Ii")</f>
        <v>Albert Ii</v>
      </c>
      <c r="AD8" s="24"/>
      <c r="AE8" s="24" t="str">
        <f t="shared" si="0"/>
        <v/>
      </c>
      <c r="AF8" s="22" t="str">
        <f t="shared" ca="1" si="1"/>
        <v/>
      </c>
      <c r="AG8" s="22">
        <f t="shared" ca="1" si="2"/>
        <v>1</v>
      </c>
      <c r="AH8" s="8"/>
      <c r="AI8" s="8"/>
    </row>
    <row r="9" spans="1:35" ht="15.75" x14ac:dyDescent="0.25">
      <c r="A9" s="32"/>
      <c r="B9" s="32"/>
      <c r="C9" s="4"/>
      <c r="D9" s="4"/>
      <c r="E9" s="5" t="s">
        <v>45</v>
      </c>
      <c r="F9" s="16">
        <v>78907</v>
      </c>
      <c r="G9" s="16">
        <v>49999</v>
      </c>
      <c r="H9" s="5" t="s">
        <v>26</v>
      </c>
      <c r="I9" s="5" t="s">
        <v>21</v>
      </c>
      <c r="J9" s="5">
        <v>574005600</v>
      </c>
      <c r="K9" s="5">
        <v>9423322</v>
      </c>
      <c r="L9" s="5" t="s">
        <v>46</v>
      </c>
      <c r="M9" s="17">
        <v>46134.458333333336</v>
      </c>
      <c r="N9" s="18" t="b">
        <v>0</v>
      </c>
      <c r="O9" s="18"/>
      <c r="P9" s="5"/>
      <c r="T9" s="8"/>
      <c r="U9" s="8" t="s">
        <v>47</v>
      </c>
      <c r="V9" s="35"/>
      <c r="W9" s="8"/>
      <c r="X9" s="22"/>
      <c r="Y9" s="22" t="str">
        <f ca="1">IFERROR(__xludf.DUMMYFUNCTION("""COMPUTED_VALUE"""),"Axon I")</f>
        <v>Axon I</v>
      </c>
      <c r="Z9" s="22"/>
      <c r="AA9" s="22"/>
      <c r="AB9" s="22"/>
      <c r="AC9" s="22" t="str">
        <f ca="1">IFERROR(__xludf.DUMMYFUNCTION("""COMPUTED_VALUE"""),"Albert Iii")</f>
        <v>Albert Iii</v>
      </c>
      <c r="AD9" s="24"/>
      <c r="AE9" s="24" t="str">
        <f t="shared" si="0"/>
        <v/>
      </c>
      <c r="AF9" s="22" t="str">
        <f t="shared" ca="1" si="1"/>
        <v/>
      </c>
      <c r="AG9" s="22" t="str">
        <f t="shared" ca="1" si="2"/>
        <v/>
      </c>
      <c r="AH9" s="8"/>
      <c r="AI9" s="8"/>
    </row>
    <row r="10" spans="1:35" ht="15.75" x14ac:dyDescent="0.25">
      <c r="A10" s="32"/>
      <c r="B10" s="32"/>
      <c r="C10" s="36"/>
      <c r="D10" s="4"/>
      <c r="E10" s="5" t="s">
        <v>48</v>
      </c>
      <c r="F10" s="16">
        <v>83278</v>
      </c>
      <c r="G10" s="16">
        <v>54866</v>
      </c>
      <c r="H10" s="5" t="s">
        <v>26</v>
      </c>
      <c r="I10" s="5" t="s">
        <v>21</v>
      </c>
      <c r="J10" s="5">
        <v>565210000</v>
      </c>
      <c r="K10" s="5">
        <v>9415650</v>
      </c>
      <c r="L10" s="5" t="s">
        <v>38</v>
      </c>
      <c r="M10" s="33">
        <v>46159.208333333336</v>
      </c>
      <c r="N10" s="18" t="b">
        <v>0</v>
      </c>
      <c r="O10" s="18"/>
      <c r="P10" s="5"/>
      <c r="T10" s="8"/>
      <c r="U10" s="37"/>
      <c r="V10" s="35"/>
      <c r="W10" s="8"/>
      <c r="X10" s="22"/>
      <c r="Y10" s="22" t="str">
        <f ca="1">IFERROR(__xludf.DUMMYFUNCTION("""COMPUTED_VALUE"""),"Banian")</f>
        <v>Banian</v>
      </c>
      <c r="Z10" s="22"/>
      <c r="AA10" s="22"/>
      <c r="AB10" s="22"/>
      <c r="AC10" s="22" t="str">
        <f ca="1">IFERROR(__xludf.DUMMYFUNCTION("""COMPUTED_VALUE"""),"Aquamarine Progress")</f>
        <v>Aquamarine Progress</v>
      </c>
      <c r="AD10" s="24"/>
      <c r="AE10" s="24" t="str">
        <f t="shared" si="0"/>
        <v/>
      </c>
      <c r="AF10" s="22" t="str">
        <f t="shared" ca="1" si="1"/>
        <v/>
      </c>
      <c r="AG10" s="22">
        <f t="shared" ca="1" si="2"/>
        <v>1</v>
      </c>
      <c r="AH10" s="8"/>
      <c r="AI10" s="8"/>
    </row>
    <row r="11" spans="1:35" ht="15.75" x14ac:dyDescent="0.25">
      <c r="A11" s="38"/>
      <c r="B11" s="38"/>
      <c r="C11" s="36"/>
      <c r="D11" s="4"/>
      <c r="E11" s="5" t="s">
        <v>49</v>
      </c>
      <c r="F11" s="16">
        <v>87000</v>
      </c>
      <c r="G11" s="16">
        <v>56805</v>
      </c>
      <c r="H11" s="5" t="s">
        <v>26</v>
      </c>
      <c r="I11" s="5" t="s">
        <v>21</v>
      </c>
      <c r="J11" s="5">
        <v>563220700</v>
      </c>
      <c r="K11" s="5">
        <v>9947495</v>
      </c>
      <c r="L11" s="5" t="s">
        <v>38</v>
      </c>
      <c r="M11" s="17">
        <v>46137.291666666664</v>
      </c>
      <c r="N11" s="18" t="b">
        <v>0</v>
      </c>
      <c r="O11" s="18"/>
      <c r="P11" s="5"/>
      <c r="T11" s="8"/>
      <c r="V11" s="35"/>
      <c r="W11" s="8"/>
      <c r="X11" s="22"/>
      <c r="Y11" s="22" t="str">
        <f ca="1">IFERROR(__xludf.DUMMYFUNCTION("""COMPUTED_VALUE"""),"Bao Yu")</f>
        <v>Bao Yu</v>
      </c>
      <c r="Z11" s="22"/>
      <c r="AA11" s="22"/>
      <c r="AB11" s="22"/>
      <c r="AC11" s="22" t="str">
        <f ca="1">IFERROR(__xludf.DUMMYFUNCTION("""COMPUTED_VALUE"""),"Aquamarine Progress Ii")</f>
        <v>Aquamarine Progress Ii</v>
      </c>
      <c r="AD11" s="24"/>
      <c r="AE11" s="24" t="str">
        <f t="shared" si="0"/>
        <v/>
      </c>
      <c r="AF11" s="22" t="str">
        <f t="shared" ca="1" si="1"/>
        <v/>
      </c>
      <c r="AG11" s="22">
        <f t="shared" ca="1" si="2"/>
        <v>1</v>
      </c>
      <c r="AH11" s="8"/>
      <c r="AI11" s="8"/>
    </row>
    <row r="12" spans="1:35" ht="15.75" x14ac:dyDescent="0.25">
      <c r="A12" s="38"/>
      <c r="B12" s="38"/>
      <c r="C12" s="36"/>
      <c r="D12" s="4"/>
      <c r="E12" s="5" t="s">
        <v>50</v>
      </c>
      <c r="F12" s="16">
        <v>93000</v>
      </c>
      <c r="G12" s="16">
        <v>60000</v>
      </c>
      <c r="H12" s="5" t="s">
        <v>26</v>
      </c>
      <c r="I12" s="5" t="s">
        <v>21</v>
      </c>
      <c r="J12" s="5">
        <v>311001737</v>
      </c>
      <c r="K12" s="5">
        <v>1060318</v>
      </c>
      <c r="L12" s="5" t="s">
        <v>51</v>
      </c>
      <c r="M12" s="17">
        <v>46156.527777777781</v>
      </c>
      <c r="N12" s="18" t="b">
        <v>0</v>
      </c>
      <c r="O12" s="18"/>
      <c r="P12" s="5"/>
      <c r="T12" s="8"/>
      <c r="V12" s="4"/>
      <c r="W12" s="8"/>
      <c r="X12" s="22"/>
      <c r="Y12" s="22" t="str">
        <f ca="1">IFERROR(__xludf.DUMMYFUNCTION("""COMPUTED_VALUE"""),"Bw Birch")</f>
        <v>Bw Birch</v>
      </c>
      <c r="Z12" s="22"/>
      <c r="AA12" s="22"/>
      <c r="AB12" s="22"/>
      <c r="AC12" s="22" t="str">
        <f ca="1">IFERROR(__xludf.DUMMYFUNCTION("""COMPUTED_VALUE"""),"Areion")</f>
        <v>Areion</v>
      </c>
      <c r="AD12" s="24"/>
      <c r="AE12" s="24" t="str">
        <f t="shared" si="0"/>
        <v/>
      </c>
      <c r="AF12" s="22" t="str">
        <f t="shared" ca="1" si="1"/>
        <v/>
      </c>
      <c r="AG12" s="22">
        <f t="shared" ca="1" si="2"/>
        <v>1</v>
      </c>
      <c r="AH12" s="8"/>
      <c r="AI12" s="8"/>
    </row>
    <row r="13" spans="1:35" ht="15.75" x14ac:dyDescent="0.25">
      <c r="A13" s="38"/>
      <c r="B13" s="38"/>
      <c r="C13" s="4"/>
      <c r="D13" s="4"/>
      <c r="E13" s="5" t="s">
        <v>52</v>
      </c>
      <c r="F13" s="16">
        <v>93000</v>
      </c>
      <c r="G13" s="16">
        <v>63968</v>
      </c>
      <c r="H13" s="5" t="s">
        <v>53</v>
      </c>
      <c r="I13" s="741" t="s">
        <v>54</v>
      </c>
      <c r="J13" s="742"/>
      <c r="K13" s="5">
        <v>1033999</v>
      </c>
      <c r="L13" s="5"/>
      <c r="M13" s="17"/>
      <c r="N13" s="18" t="b">
        <v>0</v>
      </c>
      <c r="O13" s="18"/>
      <c r="P13" s="5"/>
      <c r="T13" s="8"/>
      <c r="U13" s="39" t="s">
        <v>55</v>
      </c>
      <c r="V13" s="40"/>
      <c r="W13" s="8"/>
      <c r="X13" s="22"/>
      <c r="Y13" s="22" t="str">
        <f ca="1">IFERROR(__xludf.DUMMYFUNCTION("""COMPUTED_VALUE"""),"Bw Chinook")</f>
        <v>Bw Chinook</v>
      </c>
      <c r="Z13" s="22"/>
      <c r="AA13" s="22"/>
      <c r="AB13" s="22"/>
      <c r="AC13" s="22" t="str">
        <f ca="1">IFERROR(__xludf.DUMMYFUNCTION("""COMPUTED_VALUE"""),"Astir Thuban")</f>
        <v>Astir Thuban</v>
      </c>
      <c r="AD13" s="24"/>
      <c r="AE13" s="24" t="str">
        <f t="shared" si="0"/>
        <v/>
      </c>
      <c r="AF13" s="22" t="str">
        <f t="shared" ca="1" si="1"/>
        <v/>
      </c>
      <c r="AG13" s="22" t="str">
        <f t="shared" ca="1" si="2"/>
        <v/>
      </c>
      <c r="AH13" s="8"/>
      <c r="AI13" s="8"/>
    </row>
    <row r="14" spans="1:35" ht="15.75" x14ac:dyDescent="0.25">
      <c r="A14" s="38"/>
      <c r="B14" s="38"/>
      <c r="C14" s="35"/>
      <c r="D14" s="4"/>
      <c r="E14" s="5" t="s">
        <v>56</v>
      </c>
      <c r="F14" s="16">
        <v>93000</v>
      </c>
      <c r="G14" s="16">
        <v>63968</v>
      </c>
      <c r="H14" s="5" t="s">
        <v>53</v>
      </c>
      <c r="I14" s="741" t="s">
        <v>54</v>
      </c>
      <c r="J14" s="742"/>
      <c r="K14" s="5">
        <v>1033987</v>
      </c>
      <c r="L14" s="5"/>
      <c r="M14" s="17"/>
      <c r="N14" s="18" t="b">
        <v>0</v>
      </c>
      <c r="O14" s="18"/>
      <c r="P14" s="5"/>
      <c r="T14" s="8"/>
      <c r="U14" s="41" t="s">
        <v>57</v>
      </c>
      <c r="V14" s="4"/>
      <c r="W14" s="22"/>
      <c r="X14" s="22"/>
      <c r="Y14" s="22" t="str">
        <f ca="1">IFERROR(__xludf.DUMMYFUNCTION("""COMPUTED_VALUE"""),"Bw Oak")</f>
        <v>Bw Oak</v>
      </c>
      <c r="Z14" s="22"/>
      <c r="AA14" s="22"/>
      <c r="AB14" s="22"/>
      <c r="AC14" s="22" t="str">
        <f ca="1">IFERROR(__xludf.DUMMYFUNCTION("""COMPUTED_VALUE"""),"Astomos Earth")</f>
        <v>Astomos Earth</v>
      </c>
      <c r="AD14" s="24"/>
      <c r="AE14" s="24" t="str">
        <f t="shared" si="0"/>
        <v/>
      </c>
      <c r="AF14" s="22" t="str">
        <f t="shared" ca="1" si="1"/>
        <v/>
      </c>
      <c r="AG14" s="22" t="str">
        <f t="shared" ca="1" si="2"/>
        <v/>
      </c>
      <c r="AH14" s="8"/>
      <c r="AI14" s="8"/>
    </row>
    <row r="15" spans="1:35" ht="15.75" x14ac:dyDescent="0.25">
      <c r="A15" s="38"/>
      <c r="B15" s="38"/>
      <c r="C15" s="4"/>
      <c r="D15" s="4"/>
      <c r="E15" s="5" t="s">
        <v>58</v>
      </c>
      <c r="F15" s="16">
        <v>80546</v>
      </c>
      <c r="G15" s="16">
        <v>54650</v>
      </c>
      <c r="H15" s="5" t="s">
        <v>26</v>
      </c>
      <c r="I15" s="5" t="s">
        <v>21</v>
      </c>
      <c r="J15" s="5">
        <v>636018567</v>
      </c>
      <c r="K15" s="5">
        <v>9840867</v>
      </c>
      <c r="L15" s="5" t="s">
        <v>43</v>
      </c>
      <c r="M15" s="17">
        <v>46134.041666666664</v>
      </c>
      <c r="N15" s="18" t="b">
        <v>0</v>
      </c>
      <c r="O15" s="18"/>
      <c r="P15" s="5"/>
      <c r="T15" s="8"/>
      <c r="U15" s="42" t="s">
        <v>59</v>
      </c>
      <c r="V15" s="4"/>
      <c r="W15" s="8"/>
      <c r="X15" s="22"/>
      <c r="Y15" s="22" t="str">
        <f ca="1">IFERROR(__xludf.DUMMYFUNCTION("""COMPUTED_VALUE"""),"Bw Tyr")</f>
        <v>Bw Tyr</v>
      </c>
      <c r="Z15" s="22"/>
      <c r="AA15" s="22"/>
      <c r="AB15" s="22"/>
      <c r="AC15" s="22" t="str">
        <f ca="1">IFERROR(__xludf.DUMMYFUNCTION("""COMPUTED_VALUE"""),"Astomos Venus")</f>
        <v>Astomos Venus</v>
      </c>
      <c r="AD15" s="24"/>
      <c r="AE15" s="24" t="str">
        <f t="shared" si="0"/>
        <v/>
      </c>
      <c r="AF15" s="22" t="str">
        <f t="shared" ca="1" si="1"/>
        <v/>
      </c>
      <c r="AG15" s="22">
        <f t="shared" ca="1" si="2"/>
        <v>1</v>
      </c>
      <c r="AH15" s="8"/>
      <c r="AI15" s="8"/>
    </row>
    <row r="16" spans="1:35" ht="15.75" x14ac:dyDescent="0.25">
      <c r="A16" s="38"/>
      <c r="B16" s="38"/>
      <c r="C16" s="4"/>
      <c r="D16" s="4"/>
      <c r="E16" s="5" t="s">
        <v>60</v>
      </c>
      <c r="F16" s="16">
        <v>83426</v>
      </c>
      <c r="G16" s="16">
        <v>55250</v>
      </c>
      <c r="H16" s="5" t="s">
        <v>26</v>
      </c>
      <c r="I16" s="5" t="s">
        <v>21</v>
      </c>
      <c r="J16" s="5">
        <v>373740000</v>
      </c>
      <c r="K16" s="5">
        <v>9607069</v>
      </c>
      <c r="L16" s="5" t="s">
        <v>61</v>
      </c>
      <c r="M16" s="17">
        <v>46154.645833333336</v>
      </c>
      <c r="N16" s="18" t="b">
        <v>0</v>
      </c>
      <c r="O16" s="18"/>
      <c r="P16" s="5"/>
      <c r="T16" s="8"/>
      <c r="U16" s="43" t="s">
        <v>62</v>
      </c>
      <c r="V16" s="44"/>
      <c r="W16" s="8"/>
      <c r="X16" s="22"/>
      <c r="Y16" s="22" t="str">
        <f ca="1">IFERROR(__xludf.DUMMYFUNCTION("""COMPUTED_VALUE"""),"Celeste")</f>
        <v>Celeste</v>
      </c>
      <c r="Z16" s="22"/>
      <c r="AA16" s="22"/>
      <c r="AB16" s="22"/>
      <c r="AC16" s="22" t="str">
        <f ca="1">IFERROR(__xludf.DUMMYFUNCTION("""COMPUTED_VALUE"""),"Atlantic Victory")</f>
        <v>Atlantic Victory</v>
      </c>
      <c r="AD16" s="24"/>
      <c r="AE16" s="24" t="str">
        <f t="shared" si="0"/>
        <v/>
      </c>
      <c r="AF16" s="22" t="str">
        <f t="shared" ca="1" si="1"/>
        <v/>
      </c>
      <c r="AG16" s="22">
        <f t="shared" ca="1" si="2"/>
        <v>1</v>
      </c>
      <c r="AH16" s="8"/>
      <c r="AI16" s="8"/>
    </row>
    <row r="17" spans="1:35" ht="15.75" x14ac:dyDescent="0.25">
      <c r="A17" s="38"/>
      <c r="B17" s="38"/>
      <c r="C17" s="3"/>
      <c r="D17" s="4"/>
      <c r="E17" s="5" t="s">
        <v>63</v>
      </c>
      <c r="F17" s="16">
        <v>83000</v>
      </c>
      <c r="G17" s="16">
        <v>55209</v>
      </c>
      <c r="H17" s="5" t="s">
        <v>20</v>
      </c>
      <c r="I17" s="5" t="s">
        <v>21</v>
      </c>
      <c r="J17" s="5">
        <v>374614000</v>
      </c>
      <c r="K17" s="5">
        <v>9738545</v>
      </c>
      <c r="L17" s="5"/>
      <c r="M17" s="17"/>
      <c r="N17" s="18" t="b">
        <v>1</v>
      </c>
      <c r="O17" s="18"/>
      <c r="P17" s="5"/>
      <c r="T17" s="8"/>
      <c r="U17" s="42" t="s">
        <v>64</v>
      </c>
      <c r="V17" s="45"/>
      <c r="W17" s="8"/>
      <c r="X17" s="22"/>
      <c r="Y17" s="22" t="str">
        <f ca="1">IFERROR(__xludf.DUMMYFUNCTION("""COMPUTED_VALUE"""),"Clipper Galiot")</f>
        <v>Clipper Galiot</v>
      </c>
      <c r="Z17" s="22"/>
      <c r="AA17" s="22"/>
      <c r="AB17" s="22"/>
      <c r="AC17" s="22" t="str">
        <f ca="1">IFERROR(__xludf.DUMMYFUNCTION("""COMPUTED_VALUE"""),"Atlantic Voyager")</f>
        <v>Atlantic Voyager</v>
      </c>
      <c r="AD17" s="24"/>
      <c r="AE17" s="24" t="str">
        <f t="shared" si="0"/>
        <v/>
      </c>
      <c r="AF17" s="22" t="str">
        <f t="shared" ca="1" si="1"/>
        <v/>
      </c>
      <c r="AG17" s="22">
        <f t="shared" ca="1" si="2"/>
        <v>1</v>
      </c>
      <c r="AH17" s="8"/>
      <c r="AI17" s="8"/>
    </row>
    <row r="18" spans="1:35" ht="15.75" x14ac:dyDescent="0.25">
      <c r="A18" s="38"/>
      <c r="B18" s="38"/>
      <c r="C18" s="3"/>
      <c r="D18" s="4"/>
      <c r="E18" s="5" t="s">
        <v>65</v>
      </c>
      <c r="F18" s="16">
        <v>82000</v>
      </c>
      <c r="G18" s="16">
        <v>54368</v>
      </c>
      <c r="H18" s="5" t="s">
        <v>26</v>
      </c>
      <c r="I18" s="5" t="s">
        <v>21</v>
      </c>
      <c r="J18" s="5">
        <v>650000174</v>
      </c>
      <c r="K18" s="5">
        <v>9350422</v>
      </c>
      <c r="L18" s="5" t="s">
        <v>46</v>
      </c>
      <c r="M18" s="17">
        <v>46133.75</v>
      </c>
      <c r="N18" s="18" t="b">
        <v>0</v>
      </c>
      <c r="O18" s="18"/>
      <c r="P18" s="5"/>
      <c r="T18" s="8"/>
      <c r="U18" s="4"/>
      <c r="V18" s="4"/>
      <c r="W18" s="8"/>
      <c r="Y18" s="38" t="str">
        <f ca="1">IFERROR(__xludf.DUMMYFUNCTION("""COMPUTED_VALUE"""),"Clipper Galleon")</f>
        <v>Clipper Galleon</v>
      </c>
      <c r="Z18" s="22"/>
      <c r="AA18" s="22"/>
      <c r="AB18" s="22"/>
      <c r="AC18" s="22" t="str">
        <f ca="1">IFERROR(__xludf.DUMMYFUNCTION("""COMPUTED_VALUE"""),"Aurora Guardian")</f>
        <v>Aurora Guardian</v>
      </c>
      <c r="AD18" s="24"/>
      <c r="AE18" s="24" t="str">
        <f t="shared" si="0"/>
        <v/>
      </c>
      <c r="AF18" s="22" t="str">
        <f ca="1">IF(ISERROR(VLOOKUP(Y2,$E$2:$F$600,2, FALSE)),1,"")</f>
        <v/>
      </c>
      <c r="AG18" s="22" t="str">
        <f t="shared" ca="1" si="2"/>
        <v/>
      </c>
      <c r="AH18" s="8"/>
      <c r="AI18" s="8"/>
    </row>
    <row r="19" spans="1:35" ht="15.75" x14ac:dyDescent="0.25">
      <c r="A19" s="38"/>
      <c r="B19" s="38"/>
      <c r="C19" s="4"/>
      <c r="D19" s="4"/>
      <c r="E19" s="5" t="s">
        <v>66</v>
      </c>
      <c r="F19" s="16">
        <v>81605</v>
      </c>
      <c r="G19" s="16">
        <v>54533</v>
      </c>
      <c r="H19" s="5" t="s">
        <v>26</v>
      </c>
      <c r="I19" s="5" t="s">
        <v>21</v>
      </c>
      <c r="J19" s="5">
        <v>603914000</v>
      </c>
      <c r="K19" s="5">
        <v>9307748</v>
      </c>
      <c r="L19" s="5" t="s">
        <v>67</v>
      </c>
      <c r="M19" s="17">
        <v>46132.875</v>
      </c>
      <c r="N19" s="18" t="b">
        <v>0</v>
      </c>
      <c r="O19" s="18"/>
      <c r="P19" s="5"/>
      <c r="T19" s="8"/>
      <c r="U19" s="41" t="s">
        <v>68</v>
      </c>
      <c r="V19" s="3"/>
      <c r="W19" s="8"/>
      <c r="X19" s="22"/>
      <c r="Y19" s="22" t="str">
        <f ca="1">IFERROR(__xludf.DUMMYFUNCTION("""COMPUTED_VALUE"""),"Clipper Gannet")</f>
        <v>Clipper Gannet</v>
      </c>
      <c r="Z19" s="22"/>
      <c r="AA19" s="22"/>
      <c r="AB19" s="22"/>
      <c r="AC19" s="22" t="str">
        <f ca="1">IFERROR(__xludf.DUMMYFUNCTION("""COMPUTED_VALUE"""),"Axis River")</f>
        <v>Axis River</v>
      </c>
      <c r="AD19" s="24"/>
      <c r="AE19" s="24" t="str">
        <f t="shared" si="0"/>
        <v/>
      </c>
      <c r="AF19" s="22" t="str">
        <f t="shared" ref="AF19:AF273" ca="1" si="3">IF(ISERROR(VLOOKUP(Y19,$E$2:$F$600,2, FALSE)),1,"")</f>
        <v/>
      </c>
      <c r="AG19" s="22" t="str">
        <f t="shared" ca="1" si="2"/>
        <v/>
      </c>
      <c r="AH19" s="8"/>
      <c r="AI19" s="8"/>
    </row>
    <row r="20" spans="1:35" ht="15.75" x14ac:dyDescent="0.25">
      <c r="A20" s="38"/>
      <c r="B20" s="38"/>
      <c r="C20" s="4"/>
      <c r="D20" s="4"/>
      <c r="E20" s="5" t="s">
        <v>69</v>
      </c>
      <c r="F20" s="16">
        <v>75000</v>
      </c>
      <c r="G20" s="16">
        <v>54048</v>
      </c>
      <c r="H20" s="5" t="s">
        <v>20</v>
      </c>
      <c r="I20" s="5" t="s">
        <v>21</v>
      </c>
      <c r="J20" s="5">
        <v>352003378</v>
      </c>
      <c r="K20" s="5">
        <v>9379399</v>
      </c>
      <c r="L20" s="5" t="s">
        <v>70</v>
      </c>
      <c r="M20" s="17">
        <v>46161.333333333336</v>
      </c>
      <c r="N20" s="18" t="b">
        <v>1</v>
      </c>
      <c r="O20" s="18"/>
      <c r="P20" s="5"/>
      <c r="T20" s="22"/>
      <c r="U20" s="22"/>
      <c r="V20" s="22"/>
      <c r="W20" s="22" t="s">
        <v>71</v>
      </c>
      <c r="X20" s="22"/>
      <c r="Y20" s="22" t="str">
        <f ca="1">IFERROR(__xludf.DUMMYFUNCTION("""COMPUTED_VALUE"""),"Clipper Genesis")</f>
        <v>Clipper Genesis</v>
      </c>
      <c r="Z20" s="22"/>
      <c r="AA20" s="22"/>
      <c r="AB20" s="22"/>
      <c r="AC20" s="22" t="str">
        <f ca="1">IFERROR(__xludf.DUMMYFUNCTION("""COMPUTED_VALUE"""),"Ayame")</f>
        <v>Ayame</v>
      </c>
      <c r="AD20" s="24"/>
      <c r="AE20" s="24" t="str">
        <f t="shared" si="0"/>
        <v/>
      </c>
      <c r="AF20" s="22" t="str">
        <f t="shared" ca="1" si="3"/>
        <v/>
      </c>
      <c r="AG20" s="22">
        <f t="shared" ca="1" si="2"/>
        <v>1</v>
      </c>
      <c r="AH20" s="8"/>
      <c r="AI20" s="8"/>
    </row>
    <row r="21" spans="1:35" ht="15.75" customHeight="1" x14ac:dyDescent="0.25">
      <c r="A21" s="38"/>
      <c r="B21" s="22"/>
      <c r="C21" s="8" t="s">
        <v>71</v>
      </c>
      <c r="D21" s="4"/>
      <c r="E21" s="5" t="s">
        <v>72</v>
      </c>
      <c r="F21" s="16">
        <v>87000</v>
      </c>
      <c r="G21" s="16">
        <v>55885</v>
      </c>
      <c r="H21" s="5" t="s">
        <v>26</v>
      </c>
      <c r="I21" s="5" t="s">
        <v>21</v>
      </c>
      <c r="J21" s="5">
        <v>311001673</v>
      </c>
      <c r="K21" s="5">
        <v>9996020</v>
      </c>
      <c r="L21" s="5" t="s">
        <v>73</v>
      </c>
      <c r="M21" s="17">
        <v>46145.625</v>
      </c>
      <c r="N21" s="18" t="b">
        <v>0</v>
      </c>
      <c r="O21" s="18"/>
      <c r="P21" s="5"/>
      <c r="T21" s="8"/>
      <c r="U21" s="8"/>
      <c r="V21" s="8"/>
      <c r="W21" s="8"/>
      <c r="X21" s="22"/>
      <c r="Y21" s="22" t="str">
        <f ca="1">IFERROR(__xludf.DUMMYFUNCTION("""COMPUTED_VALUE"""),"Clipper Geneva")</f>
        <v>Clipper Geneva</v>
      </c>
      <c r="Z21" s="22"/>
      <c r="AA21" s="22"/>
      <c r="AB21" s="22"/>
      <c r="AC21" s="22" t="str">
        <f ca="1">IFERROR(__xludf.DUMMYFUNCTION("""COMPUTED_VALUE"""),"Badrinath")</f>
        <v>Badrinath</v>
      </c>
      <c r="AD21" s="24"/>
      <c r="AE21" s="24" t="str">
        <f t="shared" si="0"/>
        <v/>
      </c>
      <c r="AF21" s="22" t="str">
        <f t="shared" ca="1" si="3"/>
        <v/>
      </c>
      <c r="AG21" s="22">
        <f t="shared" ca="1" si="2"/>
        <v>1</v>
      </c>
      <c r="AH21" s="8"/>
      <c r="AI21" s="8"/>
    </row>
    <row r="22" spans="1:35" ht="15.75" customHeight="1" x14ac:dyDescent="0.25">
      <c r="A22" s="38"/>
      <c r="B22" s="22"/>
      <c r="C22" s="8"/>
      <c r="D22" s="4"/>
      <c r="E22" s="5" t="s">
        <v>74</v>
      </c>
      <c r="F22" s="16">
        <v>80138</v>
      </c>
      <c r="G22" s="16">
        <v>53395</v>
      </c>
      <c r="H22" s="5" t="s">
        <v>75</v>
      </c>
      <c r="I22" s="5" t="s">
        <v>21</v>
      </c>
      <c r="J22" s="5">
        <v>650000181</v>
      </c>
      <c r="K22" s="5">
        <v>9274563</v>
      </c>
      <c r="L22" s="5" t="s">
        <v>76</v>
      </c>
      <c r="M22" s="17">
        <v>46133.125</v>
      </c>
      <c r="N22" s="18" t="b">
        <v>1</v>
      </c>
      <c r="O22" s="18"/>
      <c r="P22" s="5"/>
      <c r="T22" s="8"/>
      <c r="U22" s="8"/>
      <c r="V22" s="8"/>
      <c r="W22" s="8"/>
      <c r="X22" s="22"/>
      <c r="Y22" s="22" t="str">
        <f ca="1">IFERROR(__xludf.DUMMYFUNCTION("""COMPUTED_VALUE"""),"Clipper Grace")</f>
        <v>Clipper Grace</v>
      </c>
      <c r="Z22" s="22"/>
      <c r="AA22" s="22"/>
      <c r="AB22" s="22"/>
      <c r="AC22" s="22" t="str">
        <f ca="1">IFERROR(__xludf.DUMMYFUNCTION("""COMPUTED_VALUE"""),"Baynounah")</f>
        <v>Baynounah</v>
      </c>
      <c r="AD22" s="24"/>
      <c r="AE22" s="24" t="str">
        <f t="shared" si="0"/>
        <v/>
      </c>
      <c r="AF22" s="22" t="str">
        <f t="shared" ca="1" si="3"/>
        <v/>
      </c>
      <c r="AG22" s="22" t="str">
        <f t="shared" ca="1" si="2"/>
        <v/>
      </c>
      <c r="AH22" s="8"/>
      <c r="AI22" s="8"/>
    </row>
    <row r="23" spans="1:35" ht="15.75" customHeight="1" x14ac:dyDescent="0.25">
      <c r="A23" s="38"/>
      <c r="B23" s="22"/>
      <c r="C23" s="8"/>
      <c r="D23" s="4"/>
      <c r="E23" s="5" t="s">
        <v>77</v>
      </c>
      <c r="F23" s="16">
        <v>78462</v>
      </c>
      <c r="G23" s="16">
        <v>49679</v>
      </c>
      <c r="H23" s="5" t="s">
        <v>20</v>
      </c>
      <c r="I23" s="5" t="s">
        <v>21</v>
      </c>
      <c r="J23" s="5">
        <v>511101458</v>
      </c>
      <c r="K23" s="5">
        <v>9088536</v>
      </c>
      <c r="L23" s="5"/>
      <c r="M23" s="17"/>
      <c r="N23" s="18" t="b">
        <v>1</v>
      </c>
      <c r="O23" s="18"/>
      <c r="P23" s="5"/>
      <c r="T23" s="8"/>
      <c r="U23" s="8"/>
      <c r="V23" s="8"/>
      <c r="W23" s="8"/>
      <c r="X23" s="22"/>
      <c r="Y23" s="22" t="str">
        <f ca="1">IFERROR(__xludf.DUMMYFUNCTION("""COMPUTED_VALUE"""),"Clipper Guardian")</f>
        <v>Clipper Guardian</v>
      </c>
      <c r="Z23" s="22"/>
      <c r="AA23" s="22"/>
      <c r="AB23" s="22"/>
      <c r="AC23" s="22" t="str">
        <f ca="1">IFERROR(__xludf.DUMMYFUNCTION("""COMPUTED_VALUE"""),"Bella Niagara")</f>
        <v>Bella Niagara</v>
      </c>
      <c r="AD23" s="24"/>
      <c r="AE23" s="24" t="str">
        <f t="shared" si="0"/>
        <v/>
      </c>
      <c r="AF23" s="22" t="str">
        <f t="shared" ca="1" si="3"/>
        <v/>
      </c>
      <c r="AG23" s="22" t="str">
        <f t="shared" ca="1" si="2"/>
        <v/>
      </c>
      <c r="AH23" s="8"/>
      <c r="AI23" s="8"/>
    </row>
    <row r="24" spans="1:35" ht="15.75" customHeight="1" x14ac:dyDescent="0.25">
      <c r="A24" s="38"/>
      <c r="B24" s="38"/>
      <c r="C24" s="8"/>
      <c r="D24" s="4"/>
      <c r="E24" s="5" t="s">
        <v>78</v>
      </c>
      <c r="F24" s="16">
        <v>86700</v>
      </c>
      <c r="G24" s="16">
        <v>55000</v>
      </c>
      <c r="H24" s="5" t="s">
        <v>53</v>
      </c>
      <c r="I24" s="5" t="s">
        <v>54</v>
      </c>
      <c r="J24" s="5">
        <v>563319300</v>
      </c>
      <c r="K24" s="5">
        <v>1015399</v>
      </c>
      <c r="L24" s="5"/>
      <c r="M24" s="17"/>
      <c r="N24" s="18" t="b">
        <v>0</v>
      </c>
      <c r="O24" s="18"/>
      <c r="P24" s="5"/>
      <c r="T24" s="8"/>
      <c r="U24" s="8"/>
      <c r="V24" s="8"/>
      <c r="W24" s="8"/>
      <c r="X24" s="22"/>
      <c r="Y24" s="22" t="str">
        <f ca="1">IFERROR(__xludf.DUMMYFUNCTION("""COMPUTED_VALUE"""),"Cosco Qidong N1348")</f>
        <v>Cosco Qidong N1348</v>
      </c>
      <c r="Z24" s="22"/>
      <c r="AA24" s="22"/>
      <c r="AB24" s="22"/>
      <c r="AC24" s="22" t="str">
        <f ca="1">IFERROR(__xludf.DUMMYFUNCTION("""COMPUTED_VALUE"""),"Bellavista Explorer")</f>
        <v>Bellavista Explorer</v>
      </c>
      <c r="AD24" s="24"/>
      <c r="AE24" s="24" t="str">
        <f t="shared" si="0"/>
        <v/>
      </c>
      <c r="AF24" s="22" t="str">
        <f t="shared" ca="1" si="3"/>
        <v/>
      </c>
      <c r="AG24" s="22">
        <f t="shared" ca="1" si="2"/>
        <v>1</v>
      </c>
      <c r="AH24" s="8"/>
      <c r="AI24" s="8"/>
    </row>
    <row r="25" spans="1:35" ht="15.75" customHeight="1" x14ac:dyDescent="0.25">
      <c r="A25" s="38"/>
      <c r="B25" s="38"/>
      <c r="C25" s="8"/>
      <c r="D25" s="4"/>
      <c r="E25" s="5" t="s">
        <v>79</v>
      </c>
      <c r="F25" s="16">
        <v>86700</v>
      </c>
      <c r="G25" s="16">
        <v>55000</v>
      </c>
      <c r="H25" s="5" t="s">
        <v>26</v>
      </c>
      <c r="I25" s="5" t="s">
        <v>21</v>
      </c>
      <c r="J25" s="5">
        <v>352002455</v>
      </c>
      <c r="K25" s="5">
        <v>9949704</v>
      </c>
      <c r="L25" s="5" t="s">
        <v>80</v>
      </c>
      <c r="M25" s="17">
        <v>46133.833333333336</v>
      </c>
      <c r="N25" s="18" t="b">
        <v>0</v>
      </c>
      <c r="O25" s="18"/>
      <c r="P25" s="5"/>
      <c r="T25" s="8"/>
      <c r="U25" s="8"/>
      <c r="V25" s="8"/>
      <c r="W25" s="8"/>
      <c r="X25" s="22"/>
      <c r="Y25" s="22" t="str">
        <f ca="1">IFERROR(__xludf.DUMMYFUNCTION("""COMPUTED_VALUE"""),"Cosco Qidong N1349")</f>
        <v>Cosco Qidong N1349</v>
      </c>
      <c r="Z25" s="22"/>
      <c r="AA25" s="22"/>
      <c r="AB25" s="22"/>
      <c r="AC25" s="22" t="str">
        <f ca="1">IFERROR(__xludf.DUMMYFUNCTION("""COMPUTED_VALUE"""),"Berge Nantong")</f>
        <v>Berge Nantong</v>
      </c>
      <c r="AD25" s="24"/>
      <c r="AE25" s="24" t="str">
        <f t="shared" si="0"/>
        <v/>
      </c>
      <c r="AF25" s="22" t="str">
        <f t="shared" ca="1" si="3"/>
        <v/>
      </c>
      <c r="AG25" s="22">
        <f t="shared" ca="1" si="2"/>
        <v>1</v>
      </c>
      <c r="AH25" s="8"/>
      <c r="AI25" s="8"/>
    </row>
    <row r="26" spans="1:35" ht="15.75" customHeight="1" x14ac:dyDescent="0.25">
      <c r="A26" s="38"/>
      <c r="B26" s="38"/>
      <c r="C26" s="8"/>
      <c r="D26" s="4"/>
      <c r="E26" s="5" t="s">
        <v>81</v>
      </c>
      <c r="F26" s="16">
        <v>76905</v>
      </c>
      <c r="G26" s="16">
        <v>49874</v>
      </c>
      <c r="H26" s="5" t="s">
        <v>26</v>
      </c>
      <c r="I26" s="5" t="s">
        <v>21</v>
      </c>
      <c r="J26" s="5">
        <v>603920000</v>
      </c>
      <c r="K26" s="5">
        <v>9005053</v>
      </c>
      <c r="L26" s="5" t="s">
        <v>82</v>
      </c>
      <c r="M26" s="17">
        <v>46132.583333333336</v>
      </c>
      <c r="N26" s="18" t="b">
        <v>0</v>
      </c>
      <c r="O26" s="18"/>
      <c r="P26" s="5"/>
      <c r="Q26" s="8"/>
      <c r="R26" s="8"/>
      <c r="S26" s="8"/>
      <c r="T26" s="8"/>
      <c r="U26" s="8"/>
      <c r="V26" s="8"/>
      <c r="W26" s="8"/>
      <c r="X26" s="22"/>
      <c r="Y26" s="22" t="str">
        <f ca="1">IFERROR(__xludf.DUMMYFUNCTION("""COMPUTED_VALUE"""),"Da Li")</f>
        <v>Da Li</v>
      </c>
      <c r="Z26" s="22"/>
      <c r="AA26" s="22"/>
      <c r="AB26" s="22"/>
      <c r="AC26" s="22" t="str">
        <f ca="1">IFERROR(__xludf.DUMMYFUNCTION("""COMPUTED_VALUE"""),"Berge Ningbo")</f>
        <v>Berge Ningbo</v>
      </c>
      <c r="AD26" s="24"/>
      <c r="AE26" s="24" t="str">
        <f t="shared" si="0"/>
        <v/>
      </c>
      <c r="AF26" s="22" t="str">
        <f t="shared" ca="1" si="3"/>
        <v/>
      </c>
      <c r="AG26" s="22" t="str">
        <f t="shared" ca="1" si="2"/>
        <v/>
      </c>
      <c r="AH26" s="8"/>
      <c r="AI26" s="8"/>
    </row>
    <row r="27" spans="1:35" ht="15.75" customHeight="1" x14ac:dyDescent="0.25">
      <c r="A27" s="38"/>
      <c r="B27" s="38"/>
      <c r="C27" s="8"/>
      <c r="D27" s="4"/>
      <c r="E27" s="5" t="s">
        <v>83</v>
      </c>
      <c r="F27" s="16">
        <v>81605</v>
      </c>
      <c r="G27" s="16">
        <v>55076</v>
      </c>
      <c r="H27" s="5" t="s">
        <v>26</v>
      </c>
      <c r="I27" s="5" t="s">
        <v>21</v>
      </c>
      <c r="J27" s="5">
        <v>565238000</v>
      </c>
      <c r="K27" s="5">
        <v>9415662</v>
      </c>
      <c r="L27" s="5"/>
      <c r="M27" s="17"/>
      <c r="N27" s="18" t="b">
        <v>0</v>
      </c>
      <c r="O27" s="18"/>
      <c r="P27" s="5"/>
      <c r="Q27" s="8"/>
      <c r="R27" s="8"/>
      <c r="S27" s="8"/>
      <c r="T27" s="8"/>
      <c r="U27" s="8"/>
      <c r="V27" s="8"/>
      <c r="W27" s="8"/>
      <c r="X27" s="22"/>
      <c r="Y27" s="22" t="str">
        <f ca="1">IFERROR(__xludf.DUMMYFUNCTION("""COMPUTED_VALUE"""),"Danisa")</f>
        <v>Danisa</v>
      </c>
      <c r="Z27" s="22"/>
      <c r="AA27" s="22"/>
      <c r="AB27" s="22"/>
      <c r="AC27" s="22" t="str">
        <f ca="1">IFERROR(__xludf.DUMMYFUNCTION("""COMPUTED_VALUE"""),"Bonneville")</f>
        <v>Bonneville</v>
      </c>
      <c r="AD27" s="24"/>
      <c r="AE27" s="24" t="str">
        <f t="shared" si="0"/>
        <v/>
      </c>
      <c r="AF27" s="22" t="str">
        <f t="shared" ca="1" si="3"/>
        <v/>
      </c>
      <c r="AG27" s="22">
        <f t="shared" ca="1" si="2"/>
        <v>1</v>
      </c>
      <c r="AH27" s="8"/>
      <c r="AI27" s="8"/>
    </row>
    <row r="28" spans="1:35" ht="15.75" customHeight="1" x14ac:dyDescent="0.25">
      <c r="A28" s="38"/>
      <c r="C28" s="8"/>
      <c r="D28" s="4"/>
      <c r="E28" s="5" t="s">
        <v>84</v>
      </c>
      <c r="F28" s="16">
        <v>82230</v>
      </c>
      <c r="G28" s="16">
        <v>54901</v>
      </c>
      <c r="H28" s="5" t="s">
        <v>20</v>
      </c>
      <c r="I28" s="5" t="s">
        <v>21</v>
      </c>
      <c r="J28" s="5">
        <v>538011595</v>
      </c>
      <c r="K28" s="5">
        <v>9608300</v>
      </c>
      <c r="L28" s="5" t="s">
        <v>85</v>
      </c>
      <c r="M28" s="17">
        <v>46169.5</v>
      </c>
      <c r="N28" s="18" t="b">
        <v>1</v>
      </c>
      <c r="O28" s="18"/>
      <c r="P28" s="5"/>
      <c r="Q28" s="8"/>
      <c r="R28" s="8"/>
      <c r="S28" s="8"/>
      <c r="T28" s="8"/>
      <c r="U28" s="8"/>
      <c r="V28" s="8"/>
      <c r="W28" s="8"/>
      <c r="X28" s="22"/>
      <c r="Y28" s="22" t="str">
        <f ca="1">IFERROR(__xludf.DUMMYFUNCTION("""COMPUTED_VALUE"""),"Danuta I")</f>
        <v>Danuta I</v>
      </c>
      <c r="Z28" s="22"/>
      <c r="AA28" s="22"/>
      <c r="AB28" s="22"/>
      <c r="AC28" s="22" t="str">
        <f ca="1">IFERROR(__xludf.DUMMYFUNCTION("""COMPUTED_VALUE"""),"Boreal Pioneer")</f>
        <v>Boreal Pioneer</v>
      </c>
      <c r="AD28" s="24"/>
      <c r="AE28" s="24" t="str">
        <f t="shared" si="0"/>
        <v/>
      </c>
      <c r="AF28" s="22" t="str">
        <f t="shared" ca="1" si="3"/>
        <v/>
      </c>
      <c r="AG28" s="22">
        <f t="shared" ca="1" si="2"/>
        <v>1</v>
      </c>
      <c r="AH28" s="8"/>
      <c r="AI28" s="8"/>
    </row>
    <row r="29" spans="1:35" ht="15.75" customHeight="1" x14ac:dyDescent="0.25">
      <c r="A29" s="38"/>
      <c r="C29" s="8"/>
      <c r="D29" s="4"/>
      <c r="E29" s="5" t="s">
        <v>86</v>
      </c>
      <c r="F29" s="16">
        <v>76928</v>
      </c>
      <c r="G29" s="16">
        <v>49999</v>
      </c>
      <c r="H29" s="5" t="s">
        <v>20</v>
      </c>
      <c r="I29" s="5" t="s">
        <v>21</v>
      </c>
      <c r="J29" s="5">
        <v>603919000</v>
      </c>
      <c r="K29" s="5">
        <v>9046784</v>
      </c>
      <c r="L29" s="5"/>
      <c r="M29" s="17"/>
      <c r="N29" s="18" t="b">
        <v>1</v>
      </c>
      <c r="O29" s="18"/>
      <c r="P29" s="5"/>
      <c r="Q29" s="8"/>
      <c r="R29" s="8"/>
      <c r="S29" s="8"/>
      <c r="T29" s="8"/>
      <c r="U29" s="8"/>
      <c r="V29" s="8"/>
      <c r="W29" s="8"/>
      <c r="X29" s="22"/>
      <c r="Y29" s="22" t="str">
        <f ca="1">IFERROR(__xludf.DUMMYFUNCTION("""COMPUTED_VALUE"""),"Double In")</f>
        <v>Double In</v>
      </c>
      <c r="Z29" s="22"/>
      <c r="AA29" s="22"/>
      <c r="AB29" s="22"/>
      <c r="AC29" s="22" t="str">
        <f ca="1">IFERROR(__xludf.DUMMYFUNCTION("""COMPUTED_VALUE"""),"Boreal Voyager")</f>
        <v>Boreal Voyager</v>
      </c>
      <c r="AD29" s="24"/>
      <c r="AE29" s="24" t="str">
        <f t="shared" si="0"/>
        <v/>
      </c>
      <c r="AF29" s="22" t="str">
        <f t="shared" ca="1" si="3"/>
        <v/>
      </c>
      <c r="AG29" s="22" t="str">
        <f t="shared" ca="1" si="2"/>
        <v/>
      </c>
      <c r="AH29" s="8"/>
      <c r="AI29" s="8"/>
    </row>
    <row r="30" spans="1:35" ht="15.75" customHeight="1" x14ac:dyDescent="0.25">
      <c r="A30" s="46"/>
      <c r="B30" s="46"/>
      <c r="C30" s="8"/>
      <c r="D30" s="4"/>
      <c r="E30" s="5" t="s">
        <v>87</v>
      </c>
      <c r="F30" s="16">
        <v>76194</v>
      </c>
      <c r="G30" s="16">
        <v>51466</v>
      </c>
      <c r="H30" s="5" t="s">
        <v>26</v>
      </c>
      <c r="I30" s="5" t="s">
        <v>21</v>
      </c>
      <c r="J30" s="5">
        <v>610000074</v>
      </c>
      <c r="K30" s="5">
        <v>8519966</v>
      </c>
      <c r="L30" s="5"/>
      <c r="M30" s="17"/>
      <c r="N30" s="18" t="b">
        <v>0</v>
      </c>
      <c r="O30" s="18"/>
      <c r="P30" s="5"/>
      <c r="Q30" s="8"/>
      <c r="R30" s="8"/>
      <c r="S30" s="8"/>
      <c r="T30" s="8"/>
      <c r="U30" s="8"/>
      <c r="V30" s="8"/>
      <c r="W30" s="8"/>
      <c r="X30" s="22"/>
      <c r="Y30" s="22" t="str">
        <f ca="1">IFERROR(__xludf.DUMMYFUNCTION("""COMPUTED_VALUE"""),"Elly")</f>
        <v>Elly</v>
      </c>
      <c r="Z30" s="22"/>
      <c r="AA30" s="22"/>
      <c r="AB30" s="22"/>
      <c r="AC30" s="22" t="str">
        <f ca="1">IFERROR(__xludf.DUMMYFUNCTION("""COMPUTED_VALUE"""),"Botan")</f>
        <v>Botan</v>
      </c>
      <c r="AD30" s="24"/>
      <c r="AE30" s="24" t="str">
        <f t="shared" si="0"/>
        <v/>
      </c>
      <c r="AF30" s="22" t="str">
        <f t="shared" ca="1" si="3"/>
        <v/>
      </c>
      <c r="AG30" s="22" t="str">
        <f t="shared" ca="1" si="2"/>
        <v/>
      </c>
      <c r="AH30" s="8"/>
      <c r="AI30" s="8"/>
    </row>
    <row r="31" spans="1:35" ht="15.75" customHeight="1" x14ac:dyDescent="0.25">
      <c r="A31" s="46"/>
      <c r="B31" s="46"/>
      <c r="C31" s="8"/>
      <c r="D31" s="8"/>
      <c r="E31" s="5" t="s">
        <v>88</v>
      </c>
      <c r="F31" s="16">
        <v>86000</v>
      </c>
      <c r="G31" s="16">
        <v>54000</v>
      </c>
      <c r="H31" s="5" t="s">
        <v>26</v>
      </c>
      <c r="I31" s="5" t="s">
        <v>21</v>
      </c>
      <c r="J31" s="5">
        <v>636021499</v>
      </c>
      <c r="K31" s="5">
        <v>9923097</v>
      </c>
      <c r="L31" s="5"/>
      <c r="M31" s="17"/>
      <c r="N31" s="18" t="b">
        <v>0</v>
      </c>
      <c r="O31" s="18"/>
      <c r="P31" s="5"/>
      <c r="Q31" s="8"/>
      <c r="R31" s="8"/>
      <c r="S31" s="8"/>
      <c r="T31" s="8"/>
      <c r="U31" s="8"/>
      <c r="V31" s="8"/>
      <c r="W31" s="8"/>
      <c r="X31" s="22"/>
      <c r="Y31" s="22" t="str">
        <f ca="1">IFERROR(__xludf.DUMMYFUNCTION("""COMPUTED_VALUE"""),"Energia Soleil")</f>
        <v>Energia Soleil</v>
      </c>
      <c r="Z31" s="22"/>
      <c r="AA31" s="22"/>
      <c r="AB31" s="22"/>
      <c r="AC31" s="22" t="str">
        <f ca="1">IFERROR(__xludf.DUMMYFUNCTION("""COMPUTED_VALUE"""),"Brizo")</f>
        <v>Brizo</v>
      </c>
      <c r="AD31" s="24"/>
      <c r="AE31" s="24" t="str">
        <f t="shared" si="0"/>
        <v/>
      </c>
      <c r="AF31" s="22" t="str">
        <f t="shared" ca="1" si="3"/>
        <v/>
      </c>
      <c r="AG31" s="22">
        <f t="shared" ca="1" si="2"/>
        <v>1</v>
      </c>
      <c r="AH31" s="8"/>
      <c r="AI31" s="8"/>
    </row>
    <row r="32" spans="1:35" ht="15.75" customHeight="1" x14ac:dyDescent="0.25">
      <c r="A32" s="38"/>
      <c r="C32" s="8"/>
      <c r="D32" s="8"/>
      <c r="E32" s="5" t="s">
        <v>89</v>
      </c>
      <c r="F32" s="16">
        <v>91000</v>
      </c>
      <c r="G32" s="16">
        <v>62500</v>
      </c>
      <c r="H32" s="5" t="s">
        <v>26</v>
      </c>
      <c r="I32" s="5" t="s">
        <v>21</v>
      </c>
      <c r="J32" s="5">
        <v>636022369</v>
      </c>
      <c r="K32" s="5">
        <v>9933781</v>
      </c>
      <c r="L32" s="5" t="s">
        <v>43</v>
      </c>
      <c r="M32" s="17">
        <v>46143.666666666664</v>
      </c>
      <c r="N32" s="18" t="b">
        <v>0</v>
      </c>
      <c r="O32" s="18"/>
      <c r="P32" s="5"/>
      <c r="Q32" s="8"/>
      <c r="R32" s="8"/>
      <c r="S32" s="8"/>
      <c r="T32" s="8"/>
      <c r="U32" s="8"/>
      <c r="V32" s="8"/>
      <c r="W32" s="8"/>
      <c r="X32" s="22"/>
      <c r="Y32" s="22" t="str">
        <f ca="1">IFERROR(__xludf.DUMMYFUNCTION("""COMPUTED_VALUE"""),"Energy Guardian")</f>
        <v>Energy Guardian</v>
      </c>
      <c r="Z32" s="22"/>
      <c r="AA32" s="22"/>
      <c r="AB32" s="22"/>
      <c r="AC32" s="22" t="str">
        <f ca="1">IFERROR(__xludf.DUMMYFUNCTION("""COMPUTED_VALUE"""),"Bw Aries")</f>
        <v>Bw Aries</v>
      </c>
      <c r="AD32" s="24"/>
      <c r="AE32" s="24" t="str">
        <f t="shared" si="0"/>
        <v/>
      </c>
      <c r="AF32" s="22" t="str">
        <f t="shared" ca="1" si="3"/>
        <v/>
      </c>
      <c r="AG32" s="22">
        <f t="shared" ca="1" si="2"/>
        <v>1</v>
      </c>
      <c r="AH32" s="8"/>
      <c r="AI32" s="8"/>
    </row>
    <row r="33" spans="1:35" ht="15.75" customHeight="1" x14ac:dyDescent="0.25">
      <c r="A33" s="38"/>
      <c r="C33" s="8"/>
      <c r="D33" s="8"/>
      <c r="E33" s="5" t="s">
        <v>90</v>
      </c>
      <c r="F33" s="16">
        <v>90000</v>
      </c>
      <c r="G33" s="16">
        <v>54000</v>
      </c>
      <c r="H33" s="5" t="s">
        <v>20</v>
      </c>
      <c r="I33" s="5" t="s">
        <v>21</v>
      </c>
      <c r="J33" s="5">
        <v>538090722</v>
      </c>
      <c r="K33" s="5">
        <v>9895305</v>
      </c>
      <c r="L33" s="5" t="s">
        <v>91</v>
      </c>
      <c r="M33" s="33">
        <v>46141.5</v>
      </c>
      <c r="N33" s="18" t="b">
        <v>1</v>
      </c>
      <c r="O33" s="18"/>
      <c r="P33" s="5"/>
      <c r="Q33" s="8"/>
      <c r="R33" s="8"/>
      <c r="S33" s="8"/>
      <c r="T33" s="8"/>
      <c r="U33" s="8"/>
      <c r="V33" s="8"/>
      <c r="W33" s="8"/>
      <c r="X33" s="22"/>
      <c r="Y33" s="22" t="str">
        <f ca="1">IFERROR(__xludf.DUMMYFUNCTION("""COMPUTED_VALUE"""),"Energy Pioneer")</f>
        <v>Energy Pioneer</v>
      </c>
      <c r="Z33" s="22"/>
      <c r="AA33" s="22"/>
      <c r="AB33" s="22"/>
      <c r="AC33" s="22" t="str">
        <f ca="1">IFERROR(__xludf.DUMMYFUNCTION("""COMPUTED_VALUE"""),"Bw Avior")</f>
        <v>Bw Avior</v>
      </c>
      <c r="AD33" s="24"/>
      <c r="AE33" s="24" t="str">
        <f t="shared" si="0"/>
        <v/>
      </c>
      <c r="AF33" s="22" t="str">
        <f t="shared" ca="1" si="3"/>
        <v/>
      </c>
      <c r="AG33" s="22">
        <f t="shared" ca="1" si="2"/>
        <v>1</v>
      </c>
      <c r="AH33" s="8"/>
      <c r="AI33" s="8"/>
    </row>
    <row r="34" spans="1:35" ht="15.75" customHeight="1" x14ac:dyDescent="0.25">
      <c r="A34" s="38"/>
      <c r="C34" s="8"/>
      <c r="D34" s="8"/>
      <c r="E34" s="5" t="s">
        <v>92</v>
      </c>
      <c r="F34" s="16">
        <v>80360</v>
      </c>
      <c r="G34" s="16">
        <v>58757</v>
      </c>
      <c r="H34" s="5" t="s">
        <v>26</v>
      </c>
      <c r="I34" s="5" t="s">
        <v>21</v>
      </c>
      <c r="J34" s="5">
        <v>477241500</v>
      </c>
      <c r="K34" s="5">
        <v>9317987</v>
      </c>
      <c r="L34" s="5" t="s">
        <v>38</v>
      </c>
      <c r="M34" s="17">
        <v>46144.5</v>
      </c>
      <c r="N34" s="18" t="b">
        <v>0</v>
      </c>
      <c r="O34" s="18"/>
      <c r="P34" s="5"/>
      <c r="Q34" s="8"/>
      <c r="R34" s="8"/>
      <c r="S34" s="8"/>
      <c r="T34" s="8"/>
      <c r="U34" s="8"/>
      <c r="V34" s="8"/>
      <c r="W34" s="8"/>
      <c r="X34" s="22"/>
      <c r="Y34" s="22" t="str">
        <f ca="1">IFERROR(__xludf.DUMMYFUNCTION("""COMPUTED_VALUE"""),"Exonave")</f>
        <v>Exonave</v>
      </c>
      <c r="Z34" s="22"/>
      <c r="AA34" s="22"/>
      <c r="AB34" s="22"/>
      <c r="AC34" s="22" t="str">
        <f ca="1">IFERROR(__xludf.DUMMYFUNCTION("""COMPUTED_VALUE"""),"Bw Balder")</f>
        <v>Bw Balder</v>
      </c>
      <c r="AD34" s="24"/>
      <c r="AE34" s="24" t="str">
        <f t="shared" si="0"/>
        <v/>
      </c>
      <c r="AF34" s="22" t="str">
        <f t="shared" ca="1" si="3"/>
        <v/>
      </c>
      <c r="AG34" s="22">
        <f t="shared" ca="1" si="2"/>
        <v>1</v>
      </c>
      <c r="AH34" s="8"/>
      <c r="AI34" s="8"/>
    </row>
    <row r="35" spans="1:35" ht="15.75" customHeight="1" x14ac:dyDescent="0.25">
      <c r="A35" s="38"/>
      <c r="C35" s="8"/>
      <c r="D35" s="8"/>
      <c r="E35" s="5" t="s">
        <v>93</v>
      </c>
      <c r="F35" s="16">
        <v>80607</v>
      </c>
      <c r="G35" s="16">
        <v>58899</v>
      </c>
      <c r="H35" s="5" t="s">
        <v>26</v>
      </c>
      <c r="I35" s="5" t="s">
        <v>21</v>
      </c>
      <c r="J35" s="5">
        <v>477099600</v>
      </c>
      <c r="K35" s="5">
        <v>9308493</v>
      </c>
      <c r="L35" s="5" t="s">
        <v>94</v>
      </c>
      <c r="M35" s="17">
        <v>46135.833333333336</v>
      </c>
      <c r="N35" s="18" t="b">
        <v>0</v>
      </c>
      <c r="O35" s="18"/>
      <c r="P35" s="5"/>
      <c r="Q35" s="8"/>
      <c r="R35" s="8"/>
      <c r="S35" s="8"/>
      <c r="T35" s="8"/>
      <c r="U35" s="8"/>
      <c r="V35" s="8"/>
      <c r="W35" s="8"/>
      <c r="X35" s="22"/>
      <c r="Y35" s="22" t="str">
        <f ca="1">IFERROR(__xludf.DUMMYFUNCTION("""COMPUTED_VALUE"""),"Fas Gas")</f>
        <v>Fas Gas</v>
      </c>
      <c r="Z35" s="22"/>
      <c r="AA35" s="22"/>
      <c r="AB35" s="22"/>
      <c r="AC35" s="22" t="str">
        <f ca="1">IFERROR(__xludf.DUMMYFUNCTION("""COMPUTED_VALUE"""),"Bw Brage")</f>
        <v>Bw Brage</v>
      </c>
      <c r="AD35" s="24"/>
      <c r="AE35" s="24" t="str">
        <f t="shared" si="0"/>
        <v/>
      </c>
      <c r="AF35" s="22" t="str">
        <f t="shared" ca="1" si="3"/>
        <v/>
      </c>
      <c r="AG35" s="22">
        <f t="shared" ca="1" si="2"/>
        <v>1</v>
      </c>
      <c r="AH35" s="8"/>
      <c r="AI35" s="8"/>
    </row>
    <row r="36" spans="1:35" ht="15.75" customHeight="1" x14ac:dyDescent="0.25">
      <c r="A36" s="38"/>
      <c r="C36" s="8"/>
      <c r="D36" s="8"/>
      <c r="E36" s="5" t="s">
        <v>95</v>
      </c>
      <c r="F36" s="16">
        <v>88000</v>
      </c>
      <c r="G36" s="16">
        <v>56044</v>
      </c>
      <c r="H36" s="5" t="s">
        <v>26</v>
      </c>
      <c r="I36" s="5" t="s">
        <v>21</v>
      </c>
      <c r="J36" s="5">
        <v>636022845</v>
      </c>
      <c r="K36" s="5">
        <v>9993626</v>
      </c>
      <c r="L36" s="5" t="s">
        <v>38</v>
      </c>
      <c r="M36" s="17">
        <v>46135.75</v>
      </c>
      <c r="N36" s="18" t="b">
        <v>0</v>
      </c>
      <c r="O36" s="18"/>
      <c r="P36" s="5"/>
      <c r="Q36" s="8"/>
      <c r="R36" s="8"/>
      <c r="S36" s="8"/>
      <c r="T36" s="8"/>
      <c r="U36" s="8"/>
      <c r="V36" s="8"/>
      <c r="W36" s="8"/>
      <c r="X36" s="22"/>
      <c r="Y36" s="22" t="str">
        <f ca="1">IFERROR(__xludf.DUMMYFUNCTION("""COMPUTED_VALUE"""),"Fogas")</f>
        <v>Fogas</v>
      </c>
      <c r="Z36" s="22"/>
      <c r="AA36" s="22"/>
      <c r="AB36" s="22"/>
      <c r="AC36" s="22" t="str">
        <f ca="1">IFERROR(__xludf.DUMMYFUNCTION("""COMPUTED_VALUE"""),"Bw Breeze")</f>
        <v>Bw Breeze</v>
      </c>
      <c r="AD36" s="24"/>
      <c r="AE36" s="24" t="str">
        <f t="shared" si="0"/>
        <v/>
      </c>
      <c r="AF36" s="22" t="str">
        <f t="shared" ca="1" si="3"/>
        <v/>
      </c>
      <c r="AG36" s="22">
        <f t="shared" ca="1" si="2"/>
        <v>1</v>
      </c>
      <c r="AH36" s="8"/>
      <c r="AI36" s="8"/>
    </row>
    <row r="37" spans="1:35" ht="15.75" customHeight="1" x14ac:dyDescent="0.25">
      <c r="A37" s="38"/>
      <c r="C37" s="8"/>
      <c r="D37" s="8"/>
      <c r="E37" s="5" t="s">
        <v>96</v>
      </c>
      <c r="F37" s="16">
        <v>91000</v>
      </c>
      <c r="G37" s="16">
        <v>59206</v>
      </c>
      <c r="H37" s="5" t="s">
        <v>26</v>
      </c>
      <c r="I37" s="5" t="s">
        <v>21</v>
      </c>
      <c r="J37" s="5">
        <v>636023404</v>
      </c>
      <c r="K37" s="5">
        <v>9945198</v>
      </c>
      <c r="L37" s="5" t="s">
        <v>80</v>
      </c>
      <c r="M37" s="17">
        <v>46135.125</v>
      </c>
      <c r="N37" s="18" t="b">
        <v>0</v>
      </c>
      <c r="O37" s="18"/>
      <c r="P37" s="5"/>
      <c r="Q37" s="8"/>
      <c r="R37" s="8"/>
      <c r="S37" s="8"/>
      <c r="T37" s="8"/>
      <c r="U37" s="8"/>
      <c r="V37" s="8"/>
      <c r="W37" s="8"/>
      <c r="X37" s="22"/>
      <c r="Y37" s="22" t="str">
        <f ca="1">IFERROR(__xludf.DUMMYFUNCTION("""COMPUTED_VALUE"""),"Fotis")</f>
        <v>Fotis</v>
      </c>
      <c r="Z37" s="22"/>
      <c r="AA37" s="22"/>
      <c r="AB37" s="22"/>
      <c r="AC37" s="22" t="str">
        <f ca="1">IFERROR(__xludf.DUMMYFUNCTION("""COMPUTED_VALUE"""),"Bw Capella")</f>
        <v>Bw Capella</v>
      </c>
      <c r="AD37" s="24"/>
      <c r="AE37" s="24" t="str">
        <f t="shared" si="0"/>
        <v/>
      </c>
      <c r="AF37" s="22" t="str">
        <f t="shared" ca="1" si="3"/>
        <v/>
      </c>
      <c r="AG37" s="22">
        <f t="shared" ca="1" si="2"/>
        <v>1</v>
      </c>
      <c r="AH37" s="8"/>
      <c r="AI37" s="8"/>
    </row>
    <row r="38" spans="1:35" ht="15.75" customHeight="1" x14ac:dyDescent="0.25">
      <c r="A38" s="38"/>
      <c r="C38" s="8"/>
      <c r="D38" s="8"/>
      <c r="E38" s="5" t="s">
        <v>97</v>
      </c>
      <c r="F38" s="16">
        <v>91000</v>
      </c>
      <c r="G38" s="16">
        <v>58263</v>
      </c>
      <c r="H38" s="5" t="s">
        <v>20</v>
      </c>
      <c r="I38" s="5" t="s">
        <v>21</v>
      </c>
      <c r="J38" s="5">
        <v>636023667</v>
      </c>
      <c r="K38" s="5">
        <v>9945203</v>
      </c>
      <c r="L38" s="5" t="s">
        <v>98</v>
      </c>
      <c r="M38" s="17">
        <v>46132.708333333336</v>
      </c>
      <c r="N38" s="18" t="b">
        <v>1</v>
      </c>
      <c r="O38" s="18"/>
      <c r="P38" s="5"/>
      <c r="Q38" s="8"/>
      <c r="R38" s="8"/>
      <c r="S38" s="8"/>
      <c r="T38" s="8"/>
      <c r="U38" s="8"/>
      <c r="V38" s="8"/>
      <c r="W38" s="8"/>
      <c r="X38" s="22"/>
      <c r="Y38" s="22" t="str">
        <f ca="1">IFERROR(__xludf.DUMMYFUNCTION("""COMPUTED_VALUE"""),"Gafus")</f>
        <v>Gafus</v>
      </c>
      <c r="Z38" s="22"/>
      <c r="AA38" s="22"/>
      <c r="AB38" s="22"/>
      <c r="AC38" s="22" t="str">
        <f ca="1">IFERROR(__xludf.DUMMYFUNCTION("""COMPUTED_VALUE"""),"Bw Carina")</f>
        <v>Bw Carina</v>
      </c>
      <c r="AD38" s="24"/>
      <c r="AE38" s="24" t="str">
        <f t="shared" si="0"/>
        <v/>
      </c>
      <c r="AF38" s="22" t="str">
        <f t="shared" ca="1" si="3"/>
        <v/>
      </c>
      <c r="AG38" s="22">
        <f t="shared" ca="1" si="2"/>
        <v>1</v>
      </c>
      <c r="AH38" s="8"/>
      <c r="AI38" s="8"/>
    </row>
    <row r="39" spans="1:35" ht="15.75" customHeight="1" x14ac:dyDescent="0.25">
      <c r="A39" s="38"/>
      <c r="C39" s="8"/>
      <c r="D39" s="8"/>
      <c r="E39" s="5" t="s">
        <v>99</v>
      </c>
      <c r="F39" s="16">
        <v>91000</v>
      </c>
      <c r="G39" s="16">
        <v>59312</v>
      </c>
      <c r="H39" s="5" t="s">
        <v>100</v>
      </c>
      <c r="I39" s="5" t="s">
        <v>21</v>
      </c>
      <c r="J39" s="5">
        <v>538010117</v>
      </c>
      <c r="K39" s="5">
        <v>9940966</v>
      </c>
      <c r="L39" s="5" t="s">
        <v>101</v>
      </c>
      <c r="M39" s="33">
        <v>46133.666666666664</v>
      </c>
      <c r="N39" s="18" t="b">
        <v>0</v>
      </c>
      <c r="O39" s="18"/>
      <c r="P39" s="5"/>
      <c r="Q39" s="8"/>
      <c r="R39" s="8"/>
      <c r="S39" s="8"/>
      <c r="T39" s="8"/>
      <c r="U39" s="8"/>
      <c r="V39" s="8"/>
      <c r="W39" s="8"/>
      <c r="X39" s="22"/>
      <c r="Y39" s="22" t="str">
        <f ca="1">IFERROR(__xludf.DUMMYFUNCTION("""COMPUTED_VALUE"""),"Galvin")</f>
        <v>Galvin</v>
      </c>
      <c r="Z39" s="22"/>
      <c r="AA39" s="22"/>
      <c r="AB39" s="22"/>
      <c r="AC39" s="22" t="str">
        <f ca="1">IFERROR(__xludf.DUMMYFUNCTION("""COMPUTED_VALUE"""),"Bw Elm")</f>
        <v>Bw Elm</v>
      </c>
      <c r="AD39" s="24"/>
      <c r="AE39" s="24" t="str">
        <f t="shared" si="0"/>
        <v/>
      </c>
      <c r="AF39" s="22" t="str">
        <f t="shared" ca="1" si="3"/>
        <v/>
      </c>
      <c r="AG39" s="22">
        <f t="shared" ca="1" si="2"/>
        <v>1</v>
      </c>
      <c r="AH39" s="8"/>
      <c r="AI39" s="8"/>
    </row>
    <row r="40" spans="1:35" ht="15.75" customHeight="1" x14ac:dyDescent="0.25">
      <c r="A40" s="38"/>
      <c r="C40" s="8"/>
      <c r="D40" s="8"/>
      <c r="E40" s="5" t="s">
        <v>102</v>
      </c>
      <c r="F40" s="16">
        <v>82557</v>
      </c>
      <c r="G40" s="16">
        <v>53677</v>
      </c>
      <c r="H40" s="5" t="s">
        <v>26</v>
      </c>
      <c r="I40" s="5" t="s">
        <v>21</v>
      </c>
      <c r="J40" s="5">
        <v>352004952</v>
      </c>
      <c r="K40" s="5">
        <v>9238284</v>
      </c>
      <c r="L40" s="5"/>
      <c r="M40" s="17"/>
      <c r="N40" s="18" t="b">
        <v>0</v>
      </c>
      <c r="O40" s="18"/>
      <c r="P40" s="5"/>
      <c r="Q40" s="8"/>
      <c r="R40" s="8"/>
      <c r="S40" s="8"/>
      <c r="T40" s="8"/>
      <c r="U40" s="8"/>
      <c r="V40" s="8"/>
      <c r="W40" s="8"/>
      <c r="X40" s="22"/>
      <c r="Y40" s="22" t="str">
        <f ca="1">IFERROR(__xludf.DUMMYFUNCTION("""COMPUTED_VALUE"""),"Gardian")</f>
        <v>Gardian</v>
      </c>
      <c r="Z40" s="22"/>
      <c r="AA40" s="22"/>
      <c r="AB40" s="22"/>
      <c r="AC40" s="22" t="str">
        <f ca="1">IFERROR(__xludf.DUMMYFUNCTION("""COMPUTED_VALUE"""),"Bw Freyja")</f>
        <v>Bw Freyja</v>
      </c>
      <c r="AD40" s="24"/>
      <c r="AE40" s="24" t="str">
        <f t="shared" si="0"/>
        <v/>
      </c>
      <c r="AF40" s="22" t="str">
        <f t="shared" ca="1" si="3"/>
        <v/>
      </c>
      <c r="AG40" s="22">
        <f t="shared" ca="1" si="2"/>
        <v>1</v>
      </c>
      <c r="AH40" s="8"/>
      <c r="AI40" s="8"/>
    </row>
    <row r="41" spans="1:35" ht="15.75" customHeight="1" x14ac:dyDescent="0.25">
      <c r="A41" s="38"/>
      <c r="C41" s="8"/>
      <c r="D41" s="8"/>
      <c r="E41" s="5" t="s">
        <v>103</v>
      </c>
      <c r="F41" s="16">
        <v>84196</v>
      </c>
      <c r="G41" s="16">
        <v>54561</v>
      </c>
      <c r="H41" s="5" t="s">
        <v>20</v>
      </c>
      <c r="I41" s="5" t="s">
        <v>21</v>
      </c>
      <c r="J41" s="5">
        <v>235106302</v>
      </c>
      <c r="K41" s="5">
        <v>9701786</v>
      </c>
      <c r="L41" s="5"/>
      <c r="M41" s="17"/>
      <c r="N41" s="18" t="b">
        <v>1</v>
      </c>
      <c r="O41" s="18"/>
      <c r="P41" s="5"/>
      <c r="Q41" s="8"/>
      <c r="R41" s="8"/>
      <c r="S41" s="8"/>
      <c r="T41" s="8"/>
      <c r="U41" s="8"/>
      <c r="V41" s="8"/>
      <c r="W41" s="8"/>
      <c r="X41" s="22"/>
      <c r="Y41" s="22" t="str">
        <f ca="1">IFERROR(__xludf.DUMMYFUNCTION("""COMPUTED_VALUE"""),"Gas Altair")</f>
        <v>Gas Altair</v>
      </c>
      <c r="Z41" s="22"/>
      <c r="AA41" s="22"/>
      <c r="AB41" s="22"/>
      <c r="AC41" s="22" t="str">
        <f ca="1">IFERROR(__xludf.DUMMYFUNCTION("""COMPUTED_VALUE"""),"Bw Frigg")</f>
        <v>Bw Frigg</v>
      </c>
      <c r="AD41" s="24"/>
      <c r="AE41" s="24" t="str">
        <f t="shared" si="0"/>
        <v/>
      </c>
      <c r="AF41" s="22" t="str">
        <f t="shared" ca="1" si="3"/>
        <v/>
      </c>
      <c r="AG41" s="22">
        <f t="shared" ca="1" si="2"/>
        <v>1</v>
      </c>
      <c r="AH41" s="8"/>
      <c r="AI41" s="8"/>
    </row>
    <row r="42" spans="1:35" ht="15.75" customHeight="1" x14ac:dyDescent="0.25">
      <c r="A42" s="38"/>
      <c r="C42" s="8"/>
      <c r="D42" s="8"/>
      <c r="E42" s="5" t="s">
        <v>104</v>
      </c>
      <c r="F42" s="16">
        <v>91000</v>
      </c>
      <c r="G42" s="16">
        <v>62500</v>
      </c>
      <c r="H42" s="5" t="s">
        <v>26</v>
      </c>
      <c r="I42" s="5" t="s">
        <v>21</v>
      </c>
      <c r="J42" s="5">
        <v>538010183</v>
      </c>
      <c r="K42" s="5">
        <v>9930296</v>
      </c>
      <c r="L42" s="5" t="s">
        <v>105</v>
      </c>
      <c r="M42" s="17">
        <v>46166</v>
      </c>
      <c r="N42" s="18" t="b">
        <v>0</v>
      </c>
      <c r="O42" s="18"/>
      <c r="P42" s="5"/>
      <c r="Q42" s="8"/>
      <c r="R42" s="8"/>
      <c r="S42" s="8"/>
      <c r="T42" s="8"/>
      <c r="U42" s="8"/>
      <c r="V42" s="8"/>
      <c r="W42" s="8"/>
      <c r="X42" s="22"/>
      <c r="Y42" s="22" t="str">
        <f ca="1">IFERROR(__xludf.DUMMYFUNCTION("""COMPUTED_VALUE"""),"Gas Concept")</f>
        <v>Gas Concept</v>
      </c>
      <c r="Z42" s="22"/>
      <c r="AA42" s="22"/>
      <c r="AB42" s="22"/>
      <c r="AC42" s="22" t="str">
        <f ca="1">IFERROR(__xludf.DUMMYFUNCTION("""COMPUTED_VALUE"""),"Bw Gemini")</f>
        <v>Bw Gemini</v>
      </c>
      <c r="AD42" s="24"/>
      <c r="AE42" s="24" t="str">
        <f t="shared" si="0"/>
        <v/>
      </c>
      <c r="AF42" s="22" t="str">
        <f t="shared" ca="1" si="3"/>
        <v/>
      </c>
      <c r="AG42" s="22">
        <f t="shared" ca="1" si="2"/>
        <v>1</v>
      </c>
      <c r="AH42" s="8"/>
      <c r="AI42" s="8"/>
    </row>
    <row r="43" spans="1:35" ht="15.75" customHeight="1" x14ac:dyDescent="0.25">
      <c r="A43" s="38"/>
      <c r="C43" s="8"/>
      <c r="D43" s="8"/>
      <c r="E43" s="5" t="s">
        <v>106</v>
      </c>
      <c r="F43" s="16">
        <v>84000</v>
      </c>
      <c r="G43" s="16">
        <v>54053</v>
      </c>
      <c r="H43" s="5" t="s">
        <v>26</v>
      </c>
      <c r="I43" s="5" t="s">
        <v>21</v>
      </c>
      <c r="J43" s="5">
        <v>538006835</v>
      </c>
      <c r="K43" s="5">
        <v>9732527</v>
      </c>
      <c r="L43" s="5" t="s">
        <v>107</v>
      </c>
      <c r="M43" s="17">
        <v>46135.458333333336</v>
      </c>
      <c r="N43" s="18" t="b">
        <v>0</v>
      </c>
      <c r="O43" s="18"/>
      <c r="P43" s="5"/>
      <c r="Q43" s="8"/>
      <c r="R43" s="8"/>
      <c r="S43" s="8"/>
      <c r="T43" s="8"/>
      <c r="U43" s="8"/>
      <c r="V43" s="8"/>
      <c r="W43" s="8"/>
      <c r="X43" s="22"/>
      <c r="Y43" s="22" t="str">
        <f ca="1">IFERROR(__xludf.DUMMYFUNCTION("""COMPUTED_VALUE"""),"Gas Endurance")</f>
        <v>Gas Endurance</v>
      </c>
      <c r="Z43" s="22"/>
      <c r="AA43" s="22"/>
      <c r="AB43" s="22"/>
      <c r="AC43" s="22" t="str">
        <f ca="1">IFERROR(__xludf.DUMMYFUNCTION("""COMPUTED_VALUE"""),"Bw Kizoku")</f>
        <v>Bw Kizoku</v>
      </c>
      <c r="AD43" s="24"/>
      <c r="AE43" s="24" t="str">
        <f t="shared" si="0"/>
        <v/>
      </c>
      <c r="AF43" s="22" t="str">
        <f t="shared" ca="1" si="3"/>
        <v/>
      </c>
      <c r="AG43" s="22">
        <f t="shared" ca="1" si="2"/>
        <v>1</v>
      </c>
      <c r="AH43" s="8"/>
      <c r="AI43" s="8"/>
    </row>
    <row r="44" spans="1:35" ht="15.75" customHeight="1" x14ac:dyDescent="0.25">
      <c r="A44" s="38"/>
      <c r="C44" s="8"/>
      <c r="D44" s="8"/>
      <c r="E44" s="5" t="s">
        <v>108</v>
      </c>
      <c r="F44" s="16">
        <v>82291</v>
      </c>
      <c r="G44" s="16">
        <v>58124</v>
      </c>
      <c r="H44" s="5" t="s">
        <v>26</v>
      </c>
      <c r="I44" s="5" t="s">
        <v>21</v>
      </c>
      <c r="J44" s="5">
        <v>419001563</v>
      </c>
      <c r="K44" s="5">
        <v>9320740</v>
      </c>
      <c r="L44" s="5" t="s">
        <v>109</v>
      </c>
      <c r="M44" s="17">
        <v>46132.271527777775</v>
      </c>
      <c r="N44" s="18" t="b">
        <v>0</v>
      </c>
      <c r="O44" s="18"/>
      <c r="P44" s="5"/>
      <c r="Q44" s="8"/>
      <c r="R44" s="8"/>
      <c r="S44" s="8"/>
      <c r="T44" s="8"/>
      <c r="U44" s="8"/>
      <c r="V44" s="8"/>
      <c r="W44" s="8"/>
      <c r="X44" s="22"/>
      <c r="Y44" s="22" t="str">
        <f ca="1">IFERROR(__xludf.DUMMYFUNCTION("""COMPUTED_VALUE"""),"Gas Lagoon")</f>
        <v>Gas Lagoon</v>
      </c>
      <c r="Z44" s="22"/>
      <c r="AA44" s="22"/>
      <c r="AB44" s="22"/>
      <c r="AC44" s="22" t="str">
        <f ca="1">IFERROR(__xludf.DUMMYFUNCTION("""COMPUTED_VALUE"""),"Bw Kyoto")</f>
        <v>Bw Kyoto</v>
      </c>
      <c r="AD44" s="24"/>
      <c r="AE44" s="24" t="str">
        <f t="shared" si="0"/>
        <v/>
      </c>
      <c r="AF44" s="22" t="str">
        <f t="shared" ca="1" si="3"/>
        <v/>
      </c>
      <c r="AG44" s="22" t="str">
        <f t="shared" ca="1" si="2"/>
        <v/>
      </c>
      <c r="AH44" s="8"/>
      <c r="AI44" s="8"/>
    </row>
    <row r="45" spans="1:35" ht="15.75" customHeight="1" x14ac:dyDescent="0.25">
      <c r="A45" s="38"/>
      <c r="C45" s="8"/>
      <c r="D45" s="8"/>
      <c r="E45" s="5" t="s">
        <v>110</v>
      </c>
      <c r="F45" s="16">
        <v>84000</v>
      </c>
      <c r="G45" s="16">
        <v>54053</v>
      </c>
      <c r="H45" s="5" t="s">
        <v>26</v>
      </c>
      <c r="I45" s="5" t="s">
        <v>21</v>
      </c>
      <c r="J45" s="5">
        <v>538006837</v>
      </c>
      <c r="K45" s="5">
        <v>9732539</v>
      </c>
      <c r="L45" s="5"/>
      <c r="M45" s="17"/>
      <c r="N45" s="18" t="b">
        <v>0</v>
      </c>
      <c r="O45" s="18"/>
      <c r="P45" s="5"/>
      <c r="Q45" s="8"/>
      <c r="R45" s="8"/>
      <c r="S45" s="8"/>
      <c r="T45" s="8"/>
      <c r="U45" s="8"/>
      <c r="V45" s="8"/>
      <c r="W45" s="8"/>
      <c r="X45" s="22"/>
      <c r="Y45" s="22" t="str">
        <f ca="1">IFERROR(__xludf.DUMMYFUNCTION("""COMPUTED_VALUE"""),"Gas Marakua")</f>
        <v>Gas Marakua</v>
      </c>
      <c r="Z45" s="22"/>
      <c r="AA45" s="22"/>
      <c r="AB45" s="22"/>
      <c r="AC45" s="22" t="str">
        <f ca="1">IFERROR(__xludf.DUMMYFUNCTION("""COMPUTED_VALUE"""),"Bw Leo")</f>
        <v>Bw Leo</v>
      </c>
      <c r="AD45" s="24"/>
      <c r="AE45" s="24" t="str">
        <f t="shared" si="0"/>
        <v/>
      </c>
      <c r="AF45" s="22" t="str">
        <f t="shared" ca="1" si="3"/>
        <v/>
      </c>
      <c r="AG45" s="22">
        <f t="shared" ca="1" si="2"/>
        <v>1</v>
      </c>
      <c r="AH45" s="8"/>
      <c r="AI45" s="8"/>
    </row>
    <row r="46" spans="1:35" ht="15.75" customHeight="1" x14ac:dyDescent="0.25">
      <c r="A46" s="38"/>
      <c r="C46" s="8"/>
      <c r="D46" s="8"/>
      <c r="E46" s="5" t="s">
        <v>111</v>
      </c>
      <c r="F46" s="16">
        <v>83000</v>
      </c>
      <c r="G46" s="16">
        <v>53781</v>
      </c>
      <c r="H46" s="5" t="s">
        <v>20</v>
      </c>
      <c r="I46" s="5" t="s">
        <v>21</v>
      </c>
      <c r="J46" s="5">
        <v>538005615</v>
      </c>
      <c r="K46" s="5">
        <v>9674842</v>
      </c>
      <c r="L46" s="5" t="s">
        <v>112</v>
      </c>
      <c r="M46" s="17">
        <v>46139.875</v>
      </c>
      <c r="N46" s="18" t="b">
        <v>1</v>
      </c>
      <c r="O46" s="18"/>
      <c r="P46" s="5"/>
      <c r="Q46" s="8"/>
      <c r="R46" s="8"/>
      <c r="S46" s="8"/>
      <c r="T46" s="8"/>
      <c r="U46" s="8"/>
      <c r="V46" s="8"/>
      <c r="W46" s="8"/>
      <c r="X46" s="22"/>
      <c r="Y46" s="22" t="str">
        <f ca="1">IFERROR(__xludf.DUMMYFUNCTION("""COMPUTED_VALUE"""),"Gas Strength")</f>
        <v>Gas Strength</v>
      </c>
      <c r="Z46" s="22"/>
      <c r="AA46" s="22"/>
      <c r="AB46" s="22"/>
      <c r="AC46" s="22" t="str">
        <f ca="1">IFERROR(__xludf.DUMMYFUNCTION("""COMPUTED_VALUE"""),"Bw Levant")</f>
        <v>Bw Levant</v>
      </c>
      <c r="AD46" s="24"/>
      <c r="AE46" s="24" t="str">
        <f t="shared" si="0"/>
        <v/>
      </c>
      <c r="AF46" s="22" t="str">
        <f t="shared" ca="1" si="3"/>
        <v/>
      </c>
      <c r="AG46" s="22">
        <f t="shared" ca="1" si="2"/>
        <v>1</v>
      </c>
      <c r="AH46" s="8"/>
      <c r="AI46" s="8"/>
    </row>
    <row r="47" spans="1:35" ht="15.75" customHeight="1" x14ac:dyDescent="0.25">
      <c r="A47" s="38"/>
      <c r="C47" s="8"/>
      <c r="D47" s="8"/>
      <c r="E47" s="5" t="s">
        <v>113</v>
      </c>
      <c r="F47" s="16">
        <v>91000</v>
      </c>
      <c r="G47" s="16">
        <v>62500</v>
      </c>
      <c r="H47" s="5" t="s">
        <v>26</v>
      </c>
      <c r="I47" s="5" t="s">
        <v>21</v>
      </c>
      <c r="J47" s="5">
        <v>538009680</v>
      </c>
      <c r="K47" s="5">
        <v>9901996</v>
      </c>
      <c r="L47" s="5" t="s">
        <v>114</v>
      </c>
      <c r="M47" s="17">
        <v>46148.25</v>
      </c>
      <c r="N47" s="18" t="b">
        <v>0</v>
      </c>
      <c r="O47" s="18"/>
      <c r="P47" s="5"/>
      <c r="Q47" s="8"/>
      <c r="R47" s="8"/>
      <c r="S47" s="8"/>
      <c r="T47" s="8"/>
      <c r="U47" s="8"/>
      <c r="V47" s="8"/>
      <c r="W47" s="8"/>
      <c r="X47" s="22"/>
      <c r="Y47" s="22" t="str">
        <f ca="1">IFERROR(__xludf.DUMMYFUNCTION("""COMPUTED_VALUE"""),"Gas Wanaka")</f>
        <v>Gas Wanaka</v>
      </c>
      <c r="Z47" s="22"/>
      <c r="AA47" s="22"/>
      <c r="AB47" s="22"/>
      <c r="AC47" s="22" t="str">
        <f ca="1">IFERROR(__xludf.DUMMYFUNCTION("""COMPUTED_VALUE"""),"Bw Libra")</f>
        <v>Bw Libra</v>
      </c>
      <c r="AD47" s="24"/>
      <c r="AE47" s="24" t="str">
        <f t="shared" si="0"/>
        <v/>
      </c>
      <c r="AF47" s="22" t="str">
        <f t="shared" ca="1" si="3"/>
        <v/>
      </c>
      <c r="AG47" s="22">
        <f t="shared" ca="1" si="2"/>
        <v>1</v>
      </c>
      <c r="AH47" s="8"/>
      <c r="AI47" s="8"/>
    </row>
    <row r="48" spans="1:35" ht="15.75" customHeight="1" x14ac:dyDescent="0.25">
      <c r="A48" s="38"/>
      <c r="C48" s="8"/>
      <c r="D48" s="8"/>
      <c r="E48" s="5" t="s">
        <v>115</v>
      </c>
      <c r="F48" s="16">
        <v>84195</v>
      </c>
      <c r="G48" s="16">
        <v>54561</v>
      </c>
      <c r="H48" s="5" t="s">
        <v>26</v>
      </c>
      <c r="I48" s="5" t="s">
        <v>21</v>
      </c>
      <c r="J48" s="5">
        <v>235108619</v>
      </c>
      <c r="K48" s="5">
        <v>9701798</v>
      </c>
      <c r="L48" s="5" t="s">
        <v>107</v>
      </c>
      <c r="M48" s="17">
        <v>46149.5</v>
      </c>
      <c r="N48" s="18" t="b">
        <v>0</v>
      </c>
      <c r="O48" s="18"/>
      <c r="P48" s="5"/>
      <c r="Q48" s="8"/>
      <c r="R48" s="8"/>
      <c r="S48" s="8"/>
      <c r="T48" s="8"/>
      <c r="U48" s="8"/>
      <c r="V48" s="8"/>
      <c r="W48" s="8"/>
      <c r="X48" s="22"/>
      <c r="Y48" s="22" t="str">
        <f ca="1">IFERROR(__xludf.DUMMYFUNCTION("""COMPUTED_VALUE"""),"Gaz Gms")</f>
        <v>Gaz Gms</v>
      </c>
      <c r="Z48" s="22"/>
      <c r="AA48" s="22"/>
      <c r="AB48" s="22"/>
      <c r="AC48" s="22" t="str">
        <f ca="1">IFERROR(__xludf.DUMMYFUNCTION("""COMPUTED_VALUE"""),"Bw Loyalty")</f>
        <v>Bw Loyalty</v>
      </c>
      <c r="AD48" s="24"/>
      <c r="AE48" s="24" t="str">
        <f t="shared" si="0"/>
        <v/>
      </c>
      <c r="AF48" s="22" t="str">
        <f t="shared" ca="1" si="3"/>
        <v/>
      </c>
      <c r="AG48" s="22">
        <f t="shared" ca="1" si="2"/>
        <v>1</v>
      </c>
      <c r="AH48" s="8"/>
      <c r="AI48" s="8"/>
    </row>
    <row r="49" spans="1:35" ht="15.75" customHeight="1" x14ac:dyDescent="0.25">
      <c r="A49" s="38"/>
      <c r="C49" s="8"/>
      <c r="D49" s="8"/>
      <c r="E49" s="5" t="s">
        <v>116</v>
      </c>
      <c r="F49" s="16">
        <v>83000</v>
      </c>
      <c r="G49" s="16">
        <v>53660</v>
      </c>
      <c r="H49" s="5" t="s">
        <v>26</v>
      </c>
      <c r="I49" s="5" t="s">
        <v>21</v>
      </c>
      <c r="J49" s="5">
        <v>419002041</v>
      </c>
      <c r="K49" s="5">
        <v>9689536</v>
      </c>
      <c r="L49" s="5" t="s">
        <v>38</v>
      </c>
      <c r="M49" s="17">
        <v>46165.458333333336</v>
      </c>
      <c r="N49" s="18" t="b">
        <v>0</v>
      </c>
      <c r="O49" s="18"/>
      <c r="P49" s="5"/>
      <c r="Q49" s="8"/>
      <c r="R49" s="8"/>
      <c r="S49" s="8"/>
      <c r="T49" s="8"/>
      <c r="U49" s="8"/>
      <c r="V49" s="8"/>
      <c r="W49" s="8"/>
      <c r="X49" s="22"/>
      <c r="Y49" s="22" t="str">
        <f ca="1">IFERROR(__xludf.DUMMYFUNCTION("""COMPUTED_VALUE"""),"Gaz Gotham")</f>
        <v>Gaz Gotham</v>
      </c>
      <c r="Z49" s="22"/>
      <c r="AA49" s="22"/>
      <c r="AB49" s="22"/>
      <c r="AC49" s="22" t="str">
        <f ca="1">IFERROR(__xludf.DUMMYFUNCTION("""COMPUTED_VALUE"""),"Bw Magellan")</f>
        <v>Bw Magellan</v>
      </c>
      <c r="AD49" s="24"/>
      <c r="AE49" s="24" t="str">
        <f t="shared" si="0"/>
        <v/>
      </c>
      <c r="AF49" s="22" t="str">
        <f t="shared" ca="1" si="3"/>
        <v/>
      </c>
      <c r="AG49" s="22" t="str">
        <f t="shared" ca="1" si="2"/>
        <v/>
      </c>
      <c r="AH49" s="8"/>
      <c r="AI49" s="8"/>
    </row>
    <row r="50" spans="1:35" ht="15.75" customHeight="1" x14ac:dyDescent="0.25">
      <c r="A50" s="38"/>
      <c r="C50" s="8"/>
      <c r="D50" s="8"/>
      <c r="E50" s="5" t="s">
        <v>117</v>
      </c>
      <c r="F50" s="16">
        <v>82291</v>
      </c>
      <c r="G50" s="16">
        <v>58136</v>
      </c>
      <c r="H50" s="5" t="s">
        <v>26</v>
      </c>
      <c r="I50" s="5" t="s">
        <v>21</v>
      </c>
      <c r="J50" s="5">
        <v>419001620</v>
      </c>
      <c r="K50" s="5">
        <v>9320752</v>
      </c>
      <c r="L50" s="5"/>
      <c r="M50" s="17"/>
      <c r="N50" s="18" t="b">
        <v>0</v>
      </c>
      <c r="O50" s="18"/>
      <c r="P50" s="5"/>
      <c r="Q50" s="8"/>
      <c r="R50" s="8"/>
      <c r="S50" s="8"/>
      <c r="T50" s="8"/>
      <c r="U50" s="8"/>
      <c r="V50" s="8"/>
      <c r="W50" s="8"/>
      <c r="X50" s="22"/>
      <c r="Y50" s="22" t="str">
        <f ca="1">IFERROR(__xludf.DUMMYFUNCTION("""COMPUTED_VALUE"""),"Gaz Pegasus")</f>
        <v>Gaz Pegasus</v>
      </c>
      <c r="Z50" s="22"/>
      <c r="AA50" s="22"/>
      <c r="AB50" s="22"/>
      <c r="AC50" s="22" t="str">
        <f ca="1">IFERROR(__xludf.DUMMYFUNCTION("""COMPUTED_VALUE"""),"Bw Malacca")</f>
        <v>Bw Malacca</v>
      </c>
      <c r="AD50" s="24"/>
      <c r="AE50" s="24" t="str">
        <f t="shared" si="0"/>
        <v/>
      </c>
      <c r="AF50" s="22" t="str">
        <f t="shared" ca="1" si="3"/>
        <v/>
      </c>
      <c r="AG50" s="22">
        <f t="shared" ca="1" si="2"/>
        <v>1</v>
      </c>
      <c r="AH50" s="8"/>
      <c r="AI50" s="8"/>
    </row>
    <row r="51" spans="1:35" ht="15.75" customHeight="1" x14ac:dyDescent="0.25">
      <c r="A51" s="38"/>
      <c r="B51" s="8"/>
      <c r="C51" s="8"/>
      <c r="D51" s="8"/>
      <c r="E51" s="5" t="s">
        <v>118</v>
      </c>
      <c r="F51" s="16">
        <v>84000</v>
      </c>
      <c r="G51" s="16">
        <v>54053</v>
      </c>
      <c r="H51" s="5" t="s">
        <v>26</v>
      </c>
      <c r="I51" s="5" t="s">
        <v>21</v>
      </c>
      <c r="J51" s="5">
        <v>538006838</v>
      </c>
      <c r="K51" s="5">
        <v>9733325</v>
      </c>
      <c r="L51" s="5" t="s">
        <v>107</v>
      </c>
      <c r="M51" s="17">
        <v>46156.833333333336</v>
      </c>
      <c r="N51" s="18" t="b">
        <v>0</v>
      </c>
      <c r="O51" s="18"/>
      <c r="P51" s="5"/>
      <c r="Q51" s="8"/>
      <c r="R51" s="8"/>
      <c r="S51" s="8"/>
      <c r="T51" s="8"/>
      <c r="U51" s="8"/>
      <c r="V51" s="8"/>
      <c r="W51" s="8"/>
      <c r="X51" s="22"/>
      <c r="Y51" s="22" t="str">
        <f ca="1">IFERROR(__xludf.DUMMYFUNCTION("""COMPUTED_VALUE"""),"Gaz Rose")</f>
        <v>Gaz Rose</v>
      </c>
      <c r="Z51" s="22"/>
      <c r="AA51" s="22"/>
      <c r="AB51" s="22"/>
      <c r="AC51" s="22" t="str">
        <f ca="1">IFERROR(__xludf.DUMMYFUNCTION("""COMPUTED_VALUE"""),"Bw Messina")</f>
        <v>Bw Messina</v>
      </c>
      <c r="AD51" s="24"/>
      <c r="AE51" s="24" t="str">
        <f t="shared" si="0"/>
        <v/>
      </c>
      <c r="AF51" s="22" t="str">
        <f t="shared" ca="1" si="3"/>
        <v/>
      </c>
      <c r="AG51" s="22">
        <f t="shared" ca="1" si="2"/>
        <v>1</v>
      </c>
      <c r="AH51" s="8"/>
      <c r="AI51" s="8"/>
    </row>
    <row r="52" spans="1:35" ht="15.75" customHeight="1" x14ac:dyDescent="0.25">
      <c r="A52" s="38"/>
      <c r="B52" s="8"/>
      <c r="C52" s="8"/>
      <c r="D52" s="8"/>
      <c r="E52" s="5" t="s">
        <v>119</v>
      </c>
      <c r="F52" s="16">
        <v>84000</v>
      </c>
      <c r="G52" s="16">
        <v>54053</v>
      </c>
      <c r="H52" s="5" t="s">
        <v>20</v>
      </c>
      <c r="I52" s="5" t="s">
        <v>21</v>
      </c>
      <c r="J52" s="5">
        <v>538006839</v>
      </c>
      <c r="K52" s="5">
        <v>9733337</v>
      </c>
      <c r="L52" s="5" t="s">
        <v>120</v>
      </c>
      <c r="M52" s="17">
        <v>46140.708333333336</v>
      </c>
      <c r="N52" s="18" t="b">
        <v>1</v>
      </c>
      <c r="O52" s="18"/>
      <c r="P52" s="5"/>
      <c r="Q52" s="8"/>
      <c r="R52" s="8"/>
      <c r="S52" s="8"/>
      <c r="T52" s="8"/>
      <c r="U52" s="8"/>
      <c r="V52" s="8"/>
      <c r="W52" s="8"/>
      <c r="X52" s="22"/>
      <c r="Y52" s="22" t="str">
        <f ca="1">IFERROR(__xludf.DUMMYFUNCTION("""COMPUTED_VALUE"""),"Global Vivian")</f>
        <v>Global Vivian</v>
      </c>
      <c r="Z52" s="22"/>
      <c r="AA52" s="22"/>
      <c r="AB52" s="22"/>
      <c r="AC52" s="22" t="str">
        <f ca="1">IFERROR(__xludf.DUMMYFUNCTION("""COMPUTED_VALUE"""),"Bw Mindoro")</f>
        <v>Bw Mindoro</v>
      </c>
      <c r="AD52" s="24"/>
      <c r="AE52" s="24" t="str">
        <f t="shared" si="0"/>
        <v/>
      </c>
      <c r="AF52" s="22" t="str">
        <f t="shared" ca="1" si="3"/>
        <v/>
      </c>
      <c r="AG52" s="22">
        <f t="shared" ca="1" si="2"/>
        <v>1</v>
      </c>
      <c r="AH52" s="8"/>
      <c r="AI52" s="8"/>
    </row>
    <row r="53" spans="1:35" ht="15.75" customHeight="1" x14ac:dyDescent="0.25">
      <c r="A53" s="38"/>
      <c r="B53" s="8"/>
      <c r="C53" s="8"/>
      <c r="D53" s="8"/>
      <c r="E53" s="5" t="s">
        <v>121</v>
      </c>
      <c r="F53" s="16">
        <v>84196</v>
      </c>
      <c r="G53" s="16">
        <v>54116</v>
      </c>
      <c r="H53" s="5" t="s">
        <v>26</v>
      </c>
      <c r="I53" s="5" t="s">
        <v>21</v>
      </c>
      <c r="J53" s="5">
        <v>235108666</v>
      </c>
      <c r="K53" s="5">
        <v>9703007</v>
      </c>
      <c r="L53" s="5" t="s">
        <v>61</v>
      </c>
      <c r="M53" s="17">
        <v>46132.083333333336</v>
      </c>
      <c r="N53" s="18" t="b">
        <v>0</v>
      </c>
      <c r="O53" s="18"/>
      <c r="P53" s="5"/>
      <c r="Q53" s="8"/>
      <c r="R53" s="8"/>
      <c r="S53" s="8"/>
      <c r="T53" s="8"/>
      <c r="U53" s="8"/>
      <c r="V53" s="8"/>
      <c r="W53" s="8"/>
      <c r="X53" s="22"/>
      <c r="Y53" s="22" t="str">
        <f ca="1">IFERROR(__xludf.DUMMYFUNCTION("""COMPUTED_VALUE"""),"Gong De Tian")</f>
        <v>Gong De Tian</v>
      </c>
      <c r="Z53" s="22"/>
      <c r="AA53" s="22"/>
      <c r="AB53" s="22"/>
      <c r="AC53" s="22" t="str">
        <f ca="1">IFERROR(__xludf.DUMMYFUNCTION("""COMPUTED_VALUE"""),"Bw Mistral")</f>
        <v>Bw Mistral</v>
      </c>
      <c r="AD53" s="24"/>
      <c r="AE53" s="24" t="str">
        <f t="shared" si="0"/>
        <v/>
      </c>
      <c r="AF53" s="22" t="str">
        <f t="shared" ca="1" si="3"/>
        <v/>
      </c>
      <c r="AG53" s="22">
        <f t="shared" ca="1" si="2"/>
        <v>1</v>
      </c>
      <c r="AH53" s="8"/>
      <c r="AI53" s="8"/>
    </row>
    <row r="54" spans="1:35" ht="15.75" customHeight="1" x14ac:dyDescent="0.25">
      <c r="A54" s="38"/>
      <c r="B54" s="8"/>
      <c r="C54" s="8"/>
      <c r="D54" s="8"/>
      <c r="E54" s="5" t="s">
        <v>122</v>
      </c>
      <c r="F54" s="16">
        <v>83325</v>
      </c>
      <c r="G54" s="16">
        <v>51100</v>
      </c>
      <c r="H54" s="5" t="s">
        <v>20</v>
      </c>
      <c r="I54" s="5" t="s">
        <v>21</v>
      </c>
      <c r="J54" s="5">
        <v>563094300</v>
      </c>
      <c r="K54" s="5">
        <v>9810032</v>
      </c>
      <c r="L54" s="5" t="s">
        <v>107</v>
      </c>
      <c r="M54" s="17">
        <v>46133.5</v>
      </c>
      <c r="N54" s="18" t="b">
        <v>1</v>
      </c>
      <c r="O54" s="18"/>
      <c r="P54" s="5"/>
      <c r="Q54" s="8"/>
      <c r="R54" s="8"/>
      <c r="S54" s="8"/>
      <c r="T54" s="8"/>
      <c r="U54" s="8"/>
      <c r="V54" s="8"/>
      <c r="W54" s="8"/>
      <c r="X54" s="22"/>
      <c r="Y54" s="22" t="str">
        <f ca="1">IFERROR(__xludf.DUMMYFUNCTION("""COMPUTED_VALUE"""),"Green Sachi")</f>
        <v>Green Sachi</v>
      </c>
      <c r="Z54" s="22"/>
      <c r="AA54" s="22"/>
      <c r="AB54" s="22"/>
      <c r="AC54" s="22" t="str">
        <f ca="1">IFERROR(__xludf.DUMMYFUNCTION("""COMPUTED_VALUE"""),"Bw Monsoon")</f>
        <v>Bw Monsoon</v>
      </c>
      <c r="AD54" s="24"/>
      <c r="AE54" s="24" t="str">
        <f t="shared" si="0"/>
        <v/>
      </c>
      <c r="AF54" s="22" t="str">
        <f t="shared" ca="1" si="3"/>
        <v/>
      </c>
      <c r="AG54" s="22">
        <f t="shared" ca="1" si="2"/>
        <v>1</v>
      </c>
      <c r="AH54" s="8"/>
      <c r="AI54" s="8"/>
    </row>
    <row r="55" spans="1:35" ht="15.75" customHeight="1" x14ac:dyDescent="0.25">
      <c r="A55" s="38"/>
      <c r="B55" s="8"/>
      <c r="C55" s="8"/>
      <c r="D55" s="8"/>
      <c r="E55" s="5" t="s">
        <v>123</v>
      </c>
      <c r="F55" s="16">
        <v>83298</v>
      </c>
      <c r="G55" s="16">
        <v>54920</v>
      </c>
      <c r="H55" s="5" t="s">
        <v>26</v>
      </c>
      <c r="I55" s="5" t="s">
        <v>21</v>
      </c>
      <c r="J55" s="5">
        <v>564818000</v>
      </c>
      <c r="K55" s="5">
        <v>9405083</v>
      </c>
      <c r="L55" s="5" t="s">
        <v>107</v>
      </c>
      <c r="M55" s="17">
        <v>46155.708333333336</v>
      </c>
      <c r="N55" s="18" t="b">
        <v>0</v>
      </c>
      <c r="O55" s="18"/>
      <c r="P55" s="5"/>
      <c r="Q55" s="8"/>
      <c r="R55" s="8"/>
      <c r="S55" s="8"/>
      <c r="T55" s="8"/>
      <c r="U55" s="8"/>
      <c r="V55" s="8"/>
      <c r="W55" s="8"/>
      <c r="X55" s="22"/>
      <c r="Y55" s="22" t="str">
        <f ca="1">IFERROR(__xludf.DUMMYFUNCTION("""COMPUTED_VALUE"""),"Green Sanvi")</f>
        <v>Green Sanvi</v>
      </c>
      <c r="Z55" s="22"/>
      <c r="AA55" s="22"/>
      <c r="AB55" s="22"/>
      <c r="AC55" s="22" t="str">
        <f ca="1">IFERROR(__xludf.DUMMYFUNCTION("""COMPUTED_VALUE"""),"Bw Njord")</f>
        <v>Bw Njord</v>
      </c>
      <c r="AD55" s="24"/>
      <c r="AE55" s="24" t="str">
        <f t="shared" si="0"/>
        <v/>
      </c>
      <c r="AF55" s="22" t="str">
        <f t="shared" ca="1" si="3"/>
        <v/>
      </c>
      <c r="AG55" s="22">
        <f t="shared" ca="1" si="2"/>
        <v>1</v>
      </c>
      <c r="AH55" s="8"/>
      <c r="AI55" s="8"/>
    </row>
    <row r="56" spans="1:35" ht="15.75" customHeight="1" x14ac:dyDescent="0.25">
      <c r="A56" s="38"/>
      <c r="B56" s="8"/>
      <c r="C56" s="8"/>
      <c r="D56" s="8"/>
      <c r="E56" s="5" t="s">
        <v>124</v>
      </c>
      <c r="F56" s="16">
        <v>84195</v>
      </c>
      <c r="G56" s="16">
        <v>54116</v>
      </c>
      <c r="H56" s="5" t="s">
        <v>20</v>
      </c>
      <c r="I56" s="5" t="s">
        <v>21</v>
      </c>
      <c r="J56" s="5">
        <v>235109137</v>
      </c>
      <c r="K56" s="5">
        <v>9703019</v>
      </c>
      <c r="L56" s="5" t="s">
        <v>107</v>
      </c>
      <c r="M56" s="17">
        <v>46135.000694444447</v>
      </c>
      <c r="N56" s="18" t="b">
        <v>1</v>
      </c>
      <c r="O56" s="18"/>
      <c r="P56" s="5"/>
      <c r="Q56" s="8"/>
      <c r="R56" s="8"/>
      <c r="S56" s="8"/>
      <c r="T56" s="8"/>
      <c r="U56" s="8"/>
      <c r="V56" s="8"/>
      <c r="W56" s="8"/>
      <c r="X56" s="22"/>
      <c r="Y56" s="22" t="str">
        <f ca="1">IFERROR(__xludf.DUMMYFUNCTION("""COMPUTED_VALUE"""),"Green Sarita")</f>
        <v>Green Sarita</v>
      </c>
      <c r="Z56" s="22"/>
      <c r="AA56" s="22"/>
      <c r="AB56" s="22"/>
      <c r="AC56" s="22" t="str">
        <f ca="1">IFERROR(__xludf.DUMMYFUNCTION("""COMPUTED_VALUE"""),"Bw Orion")</f>
        <v>Bw Orion</v>
      </c>
      <c r="AD56" s="24"/>
      <c r="AE56" s="24" t="str">
        <f t="shared" si="0"/>
        <v/>
      </c>
      <c r="AF56" s="22" t="str">
        <f t="shared" ca="1" si="3"/>
        <v/>
      </c>
      <c r="AG56" s="22">
        <f t="shared" ca="1" si="2"/>
        <v>1</v>
      </c>
      <c r="AH56" s="8"/>
      <c r="AI56" s="8"/>
    </row>
    <row r="57" spans="1:35" ht="15.75" customHeight="1" x14ac:dyDescent="0.25">
      <c r="A57" s="38"/>
      <c r="B57" s="8"/>
      <c r="C57" s="8"/>
      <c r="D57" s="8"/>
      <c r="E57" s="5" t="s">
        <v>125</v>
      </c>
      <c r="F57" s="16">
        <v>83000</v>
      </c>
      <c r="G57" s="16">
        <v>53658</v>
      </c>
      <c r="H57" s="5" t="s">
        <v>26</v>
      </c>
      <c r="I57" s="5" t="s">
        <v>21</v>
      </c>
      <c r="J57" s="5">
        <v>538012003</v>
      </c>
      <c r="K57" s="5">
        <v>9686388</v>
      </c>
      <c r="L57" s="5" t="s">
        <v>107</v>
      </c>
      <c r="M57" s="17">
        <v>46144.208333333336</v>
      </c>
      <c r="N57" s="18" t="b">
        <v>0</v>
      </c>
      <c r="O57" s="18"/>
      <c r="P57" s="5"/>
      <c r="Q57" s="8"/>
      <c r="R57" s="8"/>
      <c r="S57" s="8"/>
      <c r="T57" s="8"/>
      <c r="U57" s="8"/>
      <c r="V57" s="8"/>
      <c r="W57" s="8"/>
      <c r="X57" s="22"/>
      <c r="Y57" s="22" t="str">
        <f ca="1">IFERROR(__xludf.DUMMYFUNCTION("""COMPUTED_VALUE"""),"Green Shakti")</f>
        <v>Green Shakti</v>
      </c>
      <c r="Z57" s="22"/>
      <c r="AA57" s="22"/>
      <c r="AB57" s="22"/>
      <c r="AC57" s="22" t="str">
        <f ca="1">IFERROR(__xludf.DUMMYFUNCTION("""COMPUTED_VALUE"""),"Bw Pampero")</f>
        <v>Bw Pampero</v>
      </c>
      <c r="AD57" s="24"/>
      <c r="AE57" s="24" t="str">
        <f t="shared" si="0"/>
        <v/>
      </c>
      <c r="AF57" s="22" t="str">
        <f t="shared" ca="1" si="3"/>
        <v/>
      </c>
      <c r="AG57" s="22">
        <f t="shared" ca="1" si="2"/>
        <v>1</v>
      </c>
      <c r="AH57" s="8"/>
      <c r="AI57" s="8"/>
    </row>
    <row r="58" spans="1:35" ht="15.75" customHeight="1" x14ac:dyDescent="0.25">
      <c r="A58" s="38"/>
      <c r="B58" s="8"/>
      <c r="C58" s="8"/>
      <c r="D58" s="8"/>
      <c r="E58" s="5" t="s">
        <v>126</v>
      </c>
      <c r="F58" s="16">
        <v>84000</v>
      </c>
      <c r="G58" s="16">
        <v>54561</v>
      </c>
      <c r="H58" s="5" t="s">
        <v>20</v>
      </c>
      <c r="I58" s="5" t="s">
        <v>21</v>
      </c>
      <c r="J58" s="5">
        <v>235111639</v>
      </c>
      <c r="K58" s="5">
        <v>9719496</v>
      </c>
      <c r="L58" s="5" t="s">
        <v>127</v>
      </c>
      <c r="M58" s="17">
        <v>46140.583333333336</v>
      </c>
      <c r="N58" s="18" t="b">
        <v>1</v>
      </c>
      <c r="O58" s="18"/>
      <c r="P58" s="5"/>
      <c r="Q58" s="8"/>
      <c r="R58" s="8"/>
      <c r="S58" s="8"/>
      <c r="T58" s="8"/>
      <c r="U58" s="8"/>
      <c r="V58" s="8"/>
      <c r="W58" s="8"/>
      <c r="X58" s="22"/>
      <c r="Y58" s="22" t="str">
        <f ca="1">IFERROR(__xludf.DUMMYFUNCTION("""COMPUTED_VALUE"""),"Hanwha Ocean")</f>
        <v>Hanwha Ocean</v>
      </c>
      <c r="Z58" s="22"/>
      <c r="AA58" s="22"/>
      <c r="AB58" s="22"/>
      <c r="AC58" s="22" t="str">
        <f ca="1">IFERROR(__xludf.DUMMYFUNCTION("""COMPUTED_VALUE"""),"Bw Passat")</f>
        <v>Bw Passat</v>
      </c>
      <c r="AD58" s="24"/>
      <c r="AE58" s="24" t="str">
        <f t="shared" si="0"/>
        <v/>
      </c>
      <c r="AF58" s="22" t="str">
        <f t="shared" ca="1" si="3"/>
        <v/>
      </c>
      <c r="AG58" s="22">
        <f t="shared" ca="1" si="2"/>
        <v>1</v>
      </c>
      <c r="AH58" s="8"/>
      <c r="AI58" s="8"/>
    </row>
    <row r="59" spans="1:35" ht="15.75" customHeight="1" x14ac:dyDescent="0.25">
      <c r="A59" s="38"/>
      <c r="B59" s="8"/>
      <c r="C59" s="8"/>
      <c r="D59" s="8"/>
      <c r="E59" s="5" t="s">
        <v>128</v>
      </c>
      <c r="F59" s="16">
        <v>84631</v>
      </c>
      <c r="G59" s="16">
        <v>55057</v>
      </c>
      <c r="H59" s="5" t="s">
        <v>20</v>
      </c>
      <c r="I59" s="5" t="s">
        <v>21</v>
      </c>
      <c r="J59" s="5">
        <v>419001720</v>
      </c>
      <c r="K59" s="5">
        <v>9350290</v>
      </c>
      <c r="L59" s="5"/>
      <c r="M59" s="33"/>
      <c r="N59" s="18" t="b">
        <v>1</v>
      </c>
      <c r="O59" s="18"/>
      <c r="P59" s="5"/>
      <c r="Q59" s="8"/>
      <c r="R59" s="8"/>
      <c r="S59" s="8"/>
      <c r="T59" s="8"/>
      <c r="U59" s="8"/>
      <c r="V59" s="8"/>
      <c r="W59" s="8"/>
      <c r="X59" s="22"/>
      <c r="Y59" s="22" t="str">
        <f ca="1">IFERROR(__xludf.DUMMYFUNCTION("""COMPUTED_VALUE"""),"Hanwha Ocean")</f>
        <v>Hanwha Ocean</v>
      </c>
      <c r="Z59" s="22"/>
      <c r="AA59" s="22"/>
      <c r="AB59" s="22"/>
      <c r="AC59" s="22" t="str">
        <f ca="1">IFERROR(__xludf.DUMMYFUNCTION("""COMPUTED_VALUE"""),"Bw Pine")</f>
        <v>Bw Pine</v>
      </c>
      <c r="AD59" s="24"/>
      <c r="AE59" s="24" t="str">
        <f t="shared" si="0"/>
        <v/>
      </c>
      <c r="AF59" s="22" t="str">
        <f t="shared" ca="1" si="3"/>
        <v/>
      </c>
      <c r="AG59" s="22">
        <f t="shared" ca="1" si="2"/>
        <v>1</v>
      </c>
      <c r="AH59" s="8"/>
      <c r="AI59" s="8"/>
    </row>
    <row r="60" spans="1:35" ht="15.75" customHeight="1" x14ac:dyDescent="0.25">
      <c r="A60" s="38"/>
      <c r="B60" s="8"/>
      <c r="C60" s="8"/>
      <c r="D60" s="8"/>
      <c r="E60" s="5" t="s">
        <v>129</v>
      </c>
      <c r="F60" s="16">
        <v>84000</v>
      </c>
      <c r="G60" s="16">
        <v>54268</v>
      </c>
      <c r="H60" s="5" t="s">
        <v>20</v>
      </c>
      <c r="I60" s="5" t="s">
        <v>21</v>
      </c>
      <c r="J60" s="5">
        <v>232003788</v>
      </c>
      <c r="K60" s="5">
        <v>9735036</v>
      </c>
      <c r="L60" s="5" t="s">
        <v>130</v>
      </c>
      <c r="M60" s="17">
        <v>46136.854166666664</v>
      </c>
      <c r="N60" s="18" t="b">
        <v>1</v>
      </c>
      <c r="O60" s="18"/>
      <c r="P60" s="5"/>
      <c r="Q60" s="8"/>
      <c r="R60" s="8"/>
      <c r="S60" s="8"/>
      <c r="T60" s="8"/>
      <c r="U60" s="8"/>
      <c r="V60" s="8"/>
      <c r="W60" s="8"/>
      <c r="X60" s="22"/>
      <c r="Y60" s="22" t="str">
        <f ca="1">IFERROR(__xludf.DUMMYFUNCTION("""COMPUTED_VALUE"""),"Hanwha Ocean 2376")</f>
        <v>Hanwha Ocean 2376</v>
      </c>
      <c r="Z60" s="22"/>
      <c r="AA60" s="22"/>
      <c r="AB60" s="22"/>
      <c r="AC60" s="22" t="str">
        <f ca="1">IFERROR(__xludf.DUMMYFUNCTION("""COMPUTED_VALUE"""),"Bw Polaris")</f>
        <v>Bw Polaris</v>
      </c>
      <c r="AD60" s="24"/>
      <c r="AE60" s="24" t="str">
        <f t="shared" si="0"/>
        <v/>
      </c>
      <c r="AF60" s="22" t="str">
        <f t="shared" ca="1" si="3"/>
        <v/>
      </c>
      <c r="AG60" s="22">
        <f t="shared" ca="1" si="2"/>
        <v>1</v>
      </c>
      <c r="AH60" s="8"/>
      <c r="AI60" s="8"/>
    </row>
    <row r="61" spans="1:35" ht="15.75" customHeight="1" x14ac:dyDescent="0.25">
      <c r="A61" s="38"/>
      <c r="B61" s="8"/>
      <c r="C61" s="8"/>
      <c r="D61" s="8"/>
      <c r="E61" s="5" t="s">
        <v>131</v>
      </c>
      <c r="F61" s="16">
        <v>84000</v>
      </c>
      <c r="G61" s="16">
        <v>54268</v>
      </c>
      <c r="H61" s="5" t="s">
        <v>20</v>
      </c>
      <c r="I61" s="5" t="s">
        <v>21</v>
      </c>
      <c r="J61" s="5">
        <v>232004100</v>
      </c>
      <c r="K61" s="5">
        <v>9735048</v>
      </c>
      <c r="L61" s="5" t="s">
        <v>112</v>
      </c>
      <c r="M61" s="17">
        <v>46148.208333333336</v>
      </c>
      <c r="N61" s="18" t="b">
        <v>1</v>
      </c>
      <c r="O61" s="18"/>
      <c r="P61" s="5"/>
      <c r="Q61" s="8"/>
      <c r="R61" s="8"/>
      <c r="S61" s="8"/>
      <c r="T61" s="8"/>
      <c r="U61" s="8"/>
      <c r="V61" s="8"/>
      <c r="W61" s="8"/>
      <c r="X61" s="22"/>
      <c r="Y61" s="22" t="str">
        <f ca="1">IFERROR(__xludf.DUMMYFUNCTION("""COMPUTED_VALUE"""),"Hd Hyundai Samho 8272")</f>
        <v>Hd Hyundai Samho 8272</v>
      </c>
      <c r="Z61" s="22"/>
      <c r="AA61" s="22"/>
      <c r="AB61" s="22"/>
      <c r="AC61" s="22" t="str">
        <f ca="1">IFERROR(__xludf.DUMMYFUNCTION("""COMPUTED_VALUE"""),"Bw Rigel")</f>
        <v>Bw Rigel</v>
      </c>
      <c r="AD61" s="24"/>
      <c r="AE61" s="24" t="str">
        <f t="shared" si="0"/>
        <v/>
      </c>
      <c r="AF61" s="22" t="str">
        <f t="shared" ca="1" si="3"/>
        <v/>
      </c>
      <c r="AG61" s="22">
        <f t="shared" ca="1" si="2"/>
        <v>1</v>
      </c>
      <c r="AH61" s="8"/>
      <c r="AI61" s="8"/>
    </row>
    <row r="62" spans="1:35" ht="15.75" customHeight="1" x14ac:dyDescent="0.25">
      <c r="A62" s="38"/>
      <c r="B62" s="8"/>
      <c r="C62" s="8"/>
      <c r="D62" s="8"/>
      <c r="E62" s="5" t="s">
        <v>132</v>
      </c>
      <c r="F62" s="16">
        <v>84000</v>
      </c>
      <c r="G62" s="16">
        <v>54647</v>
      </c>
      <c r="H62" s="5" t="s">
        <v>26</v>
      </c>
      <c r="I62" s="5" t="s">
        <v>21</v>
      </c>
      <c r="J62" s="5">
        <v>357498000</v>
      </c>
      <c r="K62" s="5">
        <v>9735062</v>
      </c>
      <c r="L62" s="5" t="s">
        <v>133</v>
      </c>
      <c r="M62" s="17">
        <v>46137.583333333336</v>
      </c>
      <c r="N62" s="18" t="b">
        <v>0</v>
      </c>
      <c r="O62" s="18"/>
      <c r="P62" s="5"/>
      <c r="Q62" s="8"/>
      <c r="R62" s="8"/>
      <c r="S62" s="8"/>
      <c r="T62" s="8"/>
      <c r="U62" s="8"/>
      <c r="V62" s="8"/>
      <c r="W62" s="8"/>
      <c r="X62" s="22"/>
      <c r="Y62" s="22" t="str">
        <f ca="1">IFERROR(__xludf.DUMMYFUNCTION("""COMPUTED_VALUE"""),"Hd Hyundai Samho 8273")</f>
        <v>Hd Hyundai Samho 8273</v>
      </c>
      <c r="Z62" s="22"/>
      <c r="AA62" s="22"/>
      <c r="AB62" s="22"/>
      <c r="AC62" s="22" t="str">
        <f ca="1">IFERROR(__xludf.DUMMYFUNCTION("""COMPUTED_VALUE"""),"Bw Sirocco")</f>
        <v>Bw Sirocco</v>
      </c>
      <c r="AD62" s="24"/>
      <c r="AE62" s="24" t="str">
        <f t="shared" si="0"/>
        <v/>
      </c>
      <c r="AF62" s="22" t="str">
        <f t="shared" ca="1" si="3"/>
        <v/>
      </c>
      <c r="AG62" s="22">
        <f t="shared" ca="1" si="2"/>
        <v>1</v>
      </c>
      <c r="AH62" s="8"/>
      <c r="AI62" s="8"/>
    </row>
    <row r="63" spans="1:35" ht="15.75" customHeight="1" x14ac:dyDescent="0.25">
      <c r="A63" s="38"/>
      <c r="B63" s="8"/>
      <c r="C63" s="8"/>
      <c r="D63" s="8"/>
      <c r="E63" s="5" t="s">
        <v>134</v>
      </c>
      <c r="F63" s="16">
        <v>84000</v>
      </c>
      <c r="G63" s="16">
        <v>54647</v>
      </c>
      <c r="H63" s="5" t="s">
        <v>26</v>
      </c>
      <c r="I63" s="5" t="s">
        <v>21</v>
      </c>
      <c r="J63" s="5">
        <v>232005596</v>
      </c>
      <c r="K63" s="5">
        <v>9735050</v>
      </c>
      <c r="L63" s="5" t="s">
        <v>43</v>
      </c>
      <c r="M63" s="17">
        <v>46138.375</v>
      </c>
      <c r="N63" s="18" t="b">
        <v>0</v>
      </c>
      <c r="O63" s="18"/>
      <c r="P63" s="5"/>
      <c r="Q63" s="8"/>
      <c r="R63" s="8"/>
      <c r="S63" s="8"/>
      <c r="T63" s="8"/>
      <c r="U63" s="8"/>
      <c r="V63" s="8"/>
      <c r="W63" s="8"/>
      <c r="X63" s="22"/>
      <c r="Y63" s="22" t="str">
        <f ca="1">IFERROR(__xludf.DUMMYFUNCTION("""COMPUTED_VALUE"""),"Hh Glory")</f>
        <v>Hh Glory</v>
      </c>
      <c r="Z63" s="22"/>
      <c r="AA63" s="22"/>
      <c r="AB63" s="22"/>
      <c r="AC63" s="22" t="str">
        <f ca="1">IFERROR(__xludf.DUMMYFUNCTION("""COMPUTED_VALUE"""),"Bw Tokyo")</f>
        <v>Bw Tokyo</v>
      </c>
      <c r="AD63" s="24"/>
      <c r="AE63" s="24" t="str">
        <f t="shared" si="0"/>
        <v/>
      </c>
      <c r="AF63" s="22" t="str">
        <f t="shared" ca="1" si="3"/>
        <v/>
      </c>
      <c r="AG63" s="22">
        <f t="shared" ca="1" si="2"/>
        <v>1</v>
      </c>
      <c r="AH63" s="8"/>
      <c r="AI63" s="8"/>
    </row>
    <row r="64" spans="1:35" ht="15.75" customHeight="1" x14ac:dyDescent="0.25">
      <c r="A64" s="38"/>
      <c r="B64" s="8"/>
      <c r="C64" s="8"/>
      <c r="D64" s="8"/>
      <c r="E64" s="5" t="s">
        <v>135</v>
      </c>
      <c r="F64" s="16">
        <v>83000</v>
      </c>
      <c r="G64" s="16">
        <v>53854</v>
      </c>
      <c r="H64" s="5" t="s">
        <v>20</v>
      </c>
      <c r="I64" s="5" t="s">
        <v>21</v>
      </c>
      <c r="J64" s="5">
        <v>538005576</v>
      </c>
      <c r="K64" s="5">
        <v>9667540</v>
      </c>
      <c r="L64" s="5" t="s">
        <v>136</v>
      </c>
      <c r="M64" s="17">
        <v>46152.791666666664</v>
      </c>
      <c r="N64" s="18" t="b">
        <v>1</v>
      </c>
      <c r="O64" s="18"/>
      <c r="P64" s="5"/>
      <c r="Q64" s="8"/>
      <c r="R64" s="8"/>
      <c r="S64" s="8"/>
      <c r="T64" s="8"/>
      <c r="U64" s="8"/>
      <c r="V64" s="8"/>
      <c r="W64" s="8"/>
      <c r="X64" s="22"/>
      <c r="Y64" s="22" t="str">
        <f ca="1">IFERROR(__xludf.DUMMYFUNCTION("""COMPUTED_VALUE"""),"Hisui")</f>
        <v>Hisui</v>
      </c>
      <c r="Z64" s="22"/>
      <c r="AA64" s="22"/>
      <c r="AB64" s="22"/>
      <c r="AC64" s="22" t="str">
        <f ca="1">IFERROR(__xludf.DUMMYFUNCTION("""COMPUTED_VALUE"""),"Bw Tucana")</f>
        <v>Bw Tucana</v>
      </c>
      <c r="AD64" s="24"/>
      <c r="AE64" s="24" t="str">
        <f t="shared" si="0"/>
        <v/>
      </c>
      <c r="AF64" s="22" t="str">
        <f t="shared" ca="1" si="3"/>
        <v/>
      </c>
      <c r="AG64" s="22">
        <f t="shared" ca="1" si="2"/>
        <v>1</v>
      </c>
      <c r="AH64" s="8"/>
      <c r="AI64" s="8"/>
    </row>
    <row r="65" spans="1:35" ht="15.75" customHeight="1" x14ac:dyDescent="0.25">
      <c r="A65" s="38"/>
      <c r="B65" s="8"/>
      <c r="C65" s="8"/>
      <c r="D65" s="8"/>
      <c r="E65" s="5" t="s">
        <v>137</v>
      </c>
      <c r="F65" s="16">
        <v>83000</v>
      </c>
      <c r="G65" s="16">
        <v>53751</v>
      </c>
      <c r="H65" s="5" t="s">
        <v>20</v>
      </c>
      <c r="I65" s="5" t="s">
        <v>21</v>
      </c>
      <c r="J65" s="5">
        <v>538005614</v>
      </c>
      <c r="K65" s="5">
        <v>9667564</v>
      </c>
      <c r="L65" s="5" t="s">
        <v>70</v>
      </c>
      <c r="M65" s="17">
        <v>46138.5</v>
      </c>
      <c r="N65" s="18" t="b">
        <v>1</v>
      </c>
      <c r="O65" s="18"/>
      <c r="P65" s="5"/>
      <c r="Q65" s="8"/>
      <c r="R65" s="8"/>
      <c r="S65" s="8"/>
      <c r="T65" s="8"/>
      <c r="U65" s="8"/>
      <c r="V65" s="8"/>
      <c r="W65" s="8"/>
      <c r="X65" s="22"/>
      <c r="Y65" s="22" t="str">
        <f ca="1">IFERROR(__xludf.DUMMYFUNCTION("""COMPUTED_VALUE"""),"Hyundai Samho 8246")</f>
        <v>Hyundai Samho 8246</v>
      </c>
      <c r="Z65" s="22"/>
      <c r="AA65" s="22"/>
      <c r="AB65" s="22"/>
      <c r="AC65" s="22" t="str">
        <f ca="1">IFERROR(__xludf.DUMMYFUNCTION("""COMPUTED_VALUE"""),"Bw Var")</f>
        <v>Bw Var</v>
      </c>
      <c r="AD65" s="24"/>
      <c r="AE65" s="24" t="str">
        <f t="shared" si="0"/>
        <v/>
      </c>
      <c r="AF65" s="22" t="str">
        <f t="shared" ca="1" si="3"/>
        <v/>
      </c>
      <c r="AG65" s="22">
        <f t="shared" ca="1" si="2"/>
        <v>1</v>
      </c>
      <c r="AH65" s="8"/>
      <c r="AI65" s="8"/>
    </row>
    <row r="66" spans="1:35" ht="15.75" customHeight="1" x14ac:dyDescent="0.25">
      <c r="B66" s="8"/>
      <c r="C66" s="8"/>
      <c r="D66" s="8"/>
      <c r="E66" s="5" t="s">
        <v>138</v>
      </c>
      <c r="F66" s="16">
        <v>84000</v>
      </c>
      <c r="G66" s="16">
        <v>54053</v>
      </c>
      <c r="H66" s="5" t="s">
        <v>100</v>
      </c>
      <c r="I66" s="5" t="s">
        <v>21</v>
      </c>
      <c r="J66" s="5">
        <v>538006840</v>
      </c>
      <c r="K66" s="5">
        <v>9741827</v>
      </c>
      <c r="L66" s="5" t="s">
        <v>38</v>
      </c>
      <c r="M66" s="17">
        <v>46134</v>
      </c>
      <c r="N66" s="18" t="b">
        <v>0</v>
      </c>
      <c r="O66" s="18"/>
      <c r="P66" s="5"/>
      <c r="Q66" s="8"/>
      <c r="R66" s="8"/>
      <c r="S66" s="8"/>
      <c r="T66" s="8"/>
      <c r="U66" s="8"/>
      <c r="V66" s="8"/>
      <c r="W66" s="8"/>
      <c r="X66" s="22"/>
      <c r="Y66" s="22" t="str">
        <f ca="1">IFERROR(__xludf.DUMMYFUNCTION("""COMPUTED_VALUE"""),"Hyundai Samho 8247")</f>
        <v>Hyundai Samho 8247</v>
      </c>
      <c r="Z66" s="22"/>
      <c r="AA66" s="22"/>
      <c r="AB66" s="22"/>
      <c r="AC66" s="22" t="str">
        <f ca="1">IFERROR(__xludf.DUMMYFUNCTION("""COMPUTED_VALUE"""),"Bw Volans")</f>
        <v>Bw Volans</v>
      </c>
      <c r="AD66" s="24"/>
      <c r="AE66" s="24" t="str">
        <f t="shared" si="0"/>
        <v/>
      </c>
      <c r="AF66" s="22" t="str">
        <f t="shared" ca="1" si="3"/>
        <v/>
      </c>
      <c r="AG66" s="22">
        <f t="shared" ca="1" si="2"/>
        <v>1</v>
      </c>
      <c r="AH66" s="8"/>
      <c r="AI66" s="8"/>
    </row>
    <row r="67" spans="1:35" ht="15.75" customHeight="1" x14ac:dyDescent="0.25">
      <c r="B67" s="8"/>
      <c r="C67" s="8"/>
      <c r="D67" s="8"/>
      <c r="E67" s="5" t="s">
        <v>139</v>
      </c>
      <c r="F67" s="16">
        <v>82291</v>
      </c>
      <c r="G67" s="16">
        <v>58159</v>
      </c>
      <c r="H67" s="5" t="s">
        <v>26</v>
      </c>
      <c r="I67" s="5" t="s">
        <v>21</v>
      </c>
      <c r="J67" s="5">
        <v>419001669</v>
      </c>
      <c r="K67" s="5">
        <v>9320764</v>
      </c>
      <c r="L67" s="5" t="s">
        <v>140</v>
      </c>
      <c r="M67" s="17">
        <v>46133.875</v>
      </c>
      <c r="N67" s="18" t="b">
        <v>0</v>
      </c>
      <c r="O67" s="18"/>
      <c r="P67" s="5"/>
      <c r="Q67" s="8"/>
      <c r="R67" s="8"/>
      <c r="S67" s="8"/>
      <c r="T67" s="8"/>
      <c r="U67" s="8"/>
      <c r="V67" s="8"/>
      <c r="W67" s="8"/>
      <c r="X67" s="22"/>
      <c r="Y67" s="22" t="str">
        <f ca="1">IFERROR(__xludf.DUMMYFUNCTION("""COMPUTED_VALUE"""),"Hyundai Samho 8248")</f>
        <v>Hyundai Samho 8248</v>
      </c>
      <c r="Z67" s="22"/>
      <c r="AA67" s="22"/>
      <c r="AB67" s="22"/>
      <c r="AC67" s="22" t="str">
        <f ca="1">IFERROR(__xludf.DUMMYFUNCTION("""COMPUTED_VALUE"""),"Bw Yushi")</f>
        <v>Bw Yushi</v>
      </c>
      <c r="AD67" s="24"/>
      <c r="AE67" s="24" t="str">
        <f t="shared" si="0"/>
        <v/>
      </c>
      <c r="AF67" s="22" t="str">
        <f t="shared" ca="1" si="3"/>
        <v/>
      </c>
      <c r="AG67" s="22" t="str">
        <f t="shared" ca="1" si="2"/>
        <v/>
      </c>
      <c r="AH67" s="8"/>
      <c r="AI67" s="8"/>
    </row>
    <row r="68" spans="1:35" ht="15.75" customHeight="1" x14ac:dyDescent="0.25">
      <c r="B68" s="8"/>
      <c r="C68" s="8"/>
      <c r="D68" s="8"/>
      <c r="E68" s="5" t="s">
        <v>141</v>
      </c>
      <c r="F68" s="16">
        <v>84195</v>
      </c>
      <c r="G68" s="16">
        <v>54116</v>
      </c>
      <c r="H68" s="5" t="s">
        <v>20</v>
      </c>
      <c r="I68" s="5" t="s">
        <v>21</v>
      </c>
      <c r="J68" s="5">
        <v>235112806</v>
      </c>
      <c r="K68" s="5">
        <v>9719501</v>
      </c>
      <c r="L68" s="5" t="s">
        <v>112</v>
      </c>
      <c r="M68" s="17">
        <v>46143.5</v>
      </c>
      <c r="N68" s="18" t="b">
        <v>1</v>
      </c>
      <c r="O68" s="18"/>
      <c r="P68" s="5"/>
      <c r="Q68" s="8"/>
      <c r="R68" s="8"/>
      <c r="S68" s="8"/>
      <c r="T68" s="8"/>
      <c r="U68" s="8"/>
      <c r="V68" s="8"/>
      <c r="W68" s="8"/>
      <c r="X68" s="22"/>
      <c r="Y68" s="22" t="str">
        <f ca="1">IFERROR(__xludf.DUMMYFUNCTION("""COMPUTED_VALUE"""),"Hyundai Samho 8249")</f>
        <v>Hyundai Samho 8249</v>
      </c>
      <c r="Z68" s="22"/>
      <c r="AA68" s="22"/>
      <c r="AB68" s="22"/>
      <c r="AC68" s="22" t="str">
        <f ca="1">IFERROR(__xludf.DUMMYFUNCTION("""COMPUTED_VALUE"""),"Calluna Gas")</f>
        <v>Calluna Gas</v>
      </c>
      <c r="AD68" s="24"/>
      <c r="AE68" s="24" t="str">
        <f t="shared" si="0"/>
        <v/>
      </c>
      <c r="AF68" s="22" t="str">
        <f t="shared" ca="1" si="3"/>
        <v/>
      </c>
      <c r="AG68" s="22">
        <f t="shared" ca="1" si="2"/>
        <v>1</v>
      </c>
      <c r="AH68" s="8"/>
      <c r="AI68" s="8"/>
    </row>
    <row r="69" spans="1:35" ht="15.75" customHeight="1" x14ac:dyDescent="0.25">
      <c r="B69" s="8"/>
      <c r="C69" s="8"/>
      <c r="D69" s="8"/>
      <c r="E69" s="5" t="s">
        <v>142</v>
      </c>
      <c r="F69" s="16">
        <v>83000</v>
      </c>
      <c r="G69" s="16">
        <v>53503</v>
      </c>
      <c r="H69" s="5" t="s">
        <v>26</v>
      </c>
      <c r="I69" s="5" t="s">
        <v>21</v>
      </c>
      <c r="J69" s="5">
        <v>419002054</v>
      </c>
      <c r="K69" s="5">
        <v>9689548</v>
      </c>
      <c r="L69" s="5" t="s">
        <v>61</v>
      </c>
      <c r="M69" s="17">
        <v>46134</v>
      </c>
      <c r="N69" s="18" t="b">
        <v>0</v>
      </c>
      <c r="O69" s="18"/>
      <c r="P69" s="5"/>
      <c r="Q69" s="8"/>
      <c r="R69" s="8"/>
      <c r="S69" s="8"/>
      <c r="T69" s="8"/>
      <c r="U69" s="8"/>
      <c r="V69" s="8"/>
      <c r="W69" s="8"/>
      <c r="X69" s="22"/>
      <c r="Y69" s="22" t="str">
        <f ca="1">IFERROR(__xludf.DUMMYFUNCTION("""COMPUTED_VALUE"""),"Hyundai Samho 8264")</f>
        <v>Hyundai Samho 8264</v>
      </c>
      <c r="Z69" s="22"/>
      <c r="AA69" s="22"/>
      <c r="AB69" s="22"/>
      <c r="AC69" s="22" t="str">
        <f ca="1">IFERROR(__xludf.DUMMYFUNCTION("""COMPUTED_VALUE"""),"Captain John Np")</f>
        <v>Captain John Np</v>
      </c>
      <c r="AD69" s="24"/>
      <c r="AE69" s="24" t="str">
        <f t="shared" si="0"/>
        <v/>
      </c>
      <c r="AF69" s="22" t="str">
        <f t="shared" ca="1" si="3"/>
        <v/>
      </c>
      <c r="AG69" s="22">
        <f t="shared" ca="1" si="2"/>
        <v>1</v>
      </c>
      <c r="AH69" s="8"/>
      <c r="AI69" s="8"/>
    </row>
    <row r="70" spans="1:35" ht="15.75" customHeight="1" x14ac:dyDescent="0.25">
      <c r="B70" s="8"/>
      <c r="C70" s="8"/>
      <c r="D70" s="8"/>
      <c r="E70" s="5" t="s">
        <v>143</v>
      </c>
      <c r="F70" s="16">
        <v>83000</v>
      </c>
      <c r="G70" s="16">
        <v>53701</v>
      </c>
      <c r="H70" s="5" t="s">
        <v>26</v>
      </c>
      <c r="I70" s="5" t="s">
        <v>21</v>
      </c>
      <c r="J70" s="5">
        <v>538005616</v>
      </c>
      <c r="K70" s="5">
        <v>9674854</v>
      </c>
      <c r="L70" s="5" t="s">
        <v>144</v>
      </c>
      <c r="M70" s="17">
        <v>46134.395833333336</v>
      </c>
      <c r="N70" s="18" t="b">
        <v>0</v>
      </c>
      <c r="O70" s="18"/>
      <c r="P70" s="5"/>
      <c r="Q70" s="8"/>
      <c r="R70" s="8"/>
      <c r="S70" s="8"/>
      <c r="T70" s="8"/>
      <c r="U70" s="8"/>
      <c r="V70" s="8"/>
      <c r="W70" s="8"/>
      <c r="X70" s="22"/>
      <c r="Y70" s="22" t="str">
        <f ca="1">IFERROR(__xludf.DUMMYFUNCTION("""COMPUTED_VALUE"""),"Hyundai Samho 8265")</f>
        <v>Hyundai Samho 8265</v>
      </c>
      <c r="Z70" s="22"/>
      <c r="AA70" s="22"/>
      <c r="AB70" s="22"/>
      <c r="AC70" s="22" t="str">
        <f ca="1">IFERROR(__xludf.DUMMYFUNCTION("""COMPUTED_VALUE"""),"Captain Markos")</f>
        <v>Captain Markos</v>
      </c>
      <c r="AD70" s="24"/>
      <c r="AE70" s="24" t="str">
        <f t="shared" si="0"/>
        <v/>
      </c>
      <c r="AF70" s="22" t="str">
        <f t="shared" ca="1" si="3"/>
        <v/>
      </c>
      <c r="AG70" s="22">
        <f t="shared" ca="1" si="2"/>
        <v>1</v>
      </c>
      <c r="AH70" s="8"/>
      <c r="AI70" s="8"/>
    </row>
    <row r="71" spans="1:35" ht="15.75" customHeight="1" x14ac:dyDescent="0.25">
      <c r="B71" s="8"/>
      <c r="C71" s="8"/>
      <c r="D71" s="8"/>
      <c r="E71" s="5" t="s">
        <v>145</v>
      </c>
      <c r="F71" s="16">
        <v>80156</v>
      </c>
      <c r="G71" s="16">
        <v>53028</v>
      </c>
      <c r="H71" s="5" t="s">
        <v>20</v>
      </c>
      <c r="I71" s="5" t="s">
        <v>21</v>
      </c>
      <c r="J71" s="5">
        <v>419001637</v>
      </c>
      <c r="K71" s="5">
        <v>9479929</v>
      </c>
      <c r="L71" s="5"/>
      <c r="M71" s="17"/>
      <c r="N71" s="18" t="b">
        <v>0</v>
      </c>
      <c r="O71" s="18"/>
      <c r="P71" s="5"/>
      <c r="Q71" s="8"/>
      <c r="R71" s="8"/>
      <c r="S71" s="8"/>
      <c r="T71" s="8"/>
      <c r="U71" s="8"/>
      <c r="V71" s="8"/>
      <c r="W71" s="8"/>
      <c r="X71" s="22"/>
      <c r="Y71" s="22" t="str">
        <f ca="1">IFERROR(__xludf.DUMMYFUNCTION("""COMPUTED_VALUE"""),"Hyundai Samho 8266")</f>
        <v>Hyundai Samho 8266</v>
      </c>
      <c r="Z71" s="22"/>
      <c r="AA71" s="22"/>
      <c r="AB71" s="22"/>
      <c r="AC71" s="22" t="str">
        <f ca="1">IFERROR(__xludf.DUMMYFUNCTION("""COMPUTED_VALUE"""),"Caravelle")</f>
        <v>Caravelle</v>
      </c>
      <c r="AD71" s="24"/>
      <c r="AE71" s="24" t="str">
        <f t="shared" si="0"/>
        <v/>
      </c>
      <c r="AF71" s="22" t="str">
        <f t="shared" ca="1" si="3"/>
        <v/>
      </c>
      <c r="AG71" s="22">
        <f t="shared" ca="1" si="2"/>
        <v>1</v>
      </c>
      <c r="AH71" s="8"/>
      <c r="AI71" s="8"/>
    </row>
    <row r="72" spans="1:35" ht="15.75" customHeight="1" x14ac:dyDescent="0.25">
      <c r="B72" s="8"/>
      <c r="C72" s="8"/>
      <c r="D72" s="8"/>
      <c r="E72" s="5" t="s">
        <v>146</v>
      </c>
      <c r="F72" s="16">
        <v>91000</v>
      </c>
      <c r="G72" s="16">
        <v>62500</v>
      </c>
      <c r="H72" s="5" t="s">
        <v>20</v>
      </c>
      <c r="I72" s="5" t="s">
        <v>21</v>
      </c>
      <c r="J72" s="5">
        <v>538009599</v>
      </c>
      <c r="K72" s="5">
        <v>9901984</v>
      </c>
      <c r="L72" s="5" t="s">
        <v>85</v>
      </c>
      <c r="M72" s="33">
        <v>46133.416666666664</v>
      </c>
      <c r="N72" s="18" t="b">
        <v>1</v>
      </c>
      <c r="O72" s="18"/>
      <c r="P72" s="5"/>
      <c r="Q72" s="8"/>
      <c r="R72" s="8"/>
      <c r="S72" s="8"/>
      <c r="T72" s="8"/>
      <c r="U72" s="8"/>
      <c r="V72" s="8"/>
      <c r="W72" s="8"/>
      <c r="X72" s="22"/>
      <c r="Y72" s="22" t="str">
        <f ca="1">IFERROR(__xludf.DUMMYFUNCTION("""COMPUTED_VALUE"""),"Hyundai Samho 8267")</f>
        <v>Hyundai Samho 8267</v>
      </c>
      <c r="Z72" s="22"/>
      <c r="AA72" s="22"/>
      <c r="AB72" s="22"/>
      <c r="AC72" s="22" t="str">
        <f ca="1">IFERROR(__xludf.DUMMYFUNCTION("""COMPUTED_VALUE"""),"Challenger")</f>
        <v>Challenger</v>
      </c>
      <c r="AD72" s="24"/>
      <c r="AE72" s="24" t="str">
        <f t="shared" si="0"/>
        <v/>
      </c>
      <c r="AF72" s="22" t="str">
        <f t="shared" ca="1" si="3"/>
        <v/>
      </c>
      <c r="AG72" s="22">
        <f t="shared" ca="1" si="2"/>
        <v>1</v>
      </c>
      <c r="AH72" s="8"/>
      <c r="AI72" s="8"/>
    </row>
    <row r="73" spans="1:35" ht="15.75" customHeight="1" x14ac:dyDescent="0.25">
      <c r="B73" s="8"/>
      <c r="C73" s="8"/>
      <c r="D73" s="8"/>
      <c r="E73" s="5" t="s">
        <v>147</v>
      </c>
      <c r="F73" s="16">
        <v>91000</v>
      </c>
      <c r="G73" s="16">
        <v>62500</v>
      </c>
      <c r="H73" s="5" t="s">
        <v>26</v>
      </c>
      <c r="I73" s="5" t="s">
        <v>21</v>
      </c>
      <c r="J73" s="5">
        <v>538010182</v>
      </c>
      <c r="K73" s="5">
        <v>9540091</v>
      </c>
      <c r="L73" s="5" t="s">
        <v>38</v>
      </c>
      <c r="M73" s="17">
        <v>46146.708333333336</v>
      </c>
      <c r="N73" s="18" t="b">
        <v>0</v>
      </c>
      <c r="O73" s="18"/>
      <c r="P73" s="5"/>
      <c r="Q73" s="8"/>
      <c r="R73" s="8"/>
      <c r="S73" s="8"/>
      <c r="T73" s="8"/>
      <c r="U73" s="8"/>
      <c r="V73" s="8"/>
      <c r="W73" s="8"/>
      <c r="X73" s="22"/>
      <c r="Y73" s="22" t="str">
        <f ca="1">IFERROR(__xludf.DUMMYFUNCTION("""COMPUTED_VALUE"""),"Hyundai Samho 8268")</f>
        <v>Hyundai Samho 8268</v>
      </c>
      <c r="Z73" s="22"/>
      <c r="AA73" s="22"/>
      <c r="AB73" s="22"/>
      <c r="AC73" s="22" t="str">
        <f ca="1">IFERROR(__xludf.DUMMYFUNCTION("""COMPUTED_VALUE"""),"Chang Xing Yuan")</f>
        <v>Chang Xing Yuan</v>
      </c>
      <c r="AD73" s="24"/>
      <c r="AE73" s="24" t="str">
        <f t="shared" si="0"/>
        <v/>
      </c>
      <c r="AF73" s="22" t="str">
        <f t="shared" ca="1" si="3"/>
        <v/>
      </c>
      <c r="AG73" s="22">
        <f t="shared" ca="1" si="2"/>
        <v>1</v>
      </c>
      <c r="AH73" s="8"/>
      <c r="AI73" s="8"/>
    </row>
    <row r="74" spans="1:35" ht="15.75" customHeight="1" x14ac:dyDescent="0.25">
      <c r="B74" s="8"/>
      <c r="C74" s="8"/>
      <c r="D74" s="8"/>
      <c r="E74" s="5" t="s">
        <v>148</v>
      </c>
      <c r="F74" s="16">
        <v>83000</v>
      </c>
      <c r="G74" s="16">
        <v>53558</v>
      </c>
      <c r="H74" s="5" t="s">
        <v>20</v>
      </c>
      <c r="I74" s="5" t="s">
        <v>21</v>
      </c>
      <c r="J74" s="5">
        <v>538006045</v>
      </c>
      <c r="K74" s="5">
        <v>9686376</v>
      </c>
      <c r="L74" s="5" t="s">
        <v>51</v>
      </c>
      <c r="M74" s="33">
        <v>46153.583333333336</v>
      </c>
      <c r="N74" s="18" t="b">
        <v>1</v>
      </c>
      <c r="O74" s="18"/>
      <c r="P74" s="5"/>
      <c r="Q74" s="8"/>
      <c r="R74" s="8"/>
      <c r="S74" s="8"/>
      <c r="T74" s="8"/>
      <c r="U74" s="8"/>
      <c r="V74" s="8"/>
      <c r="W74" s="8"/>
      <c r="X74" s="22"/>
      <c r="Y74" s="22" t="str">
        <f ca="1">IFERROR(__xludf.DUMMYFUNCTION("""COMPUTED_VALUE"""),"Hyundai Samho 8269")</f>
        <v>Hyundai Samho 8269</v>
      </c>
      <c r="Z74" s="22"/>
      <c r="AA74" s="22"/>
      <c r="AB74" s="22"/>
      <c r="AC74" s="22" t="str">
        <f ca="1">IFERROR(__xludf.DUMMYFUNCTION("""COMPUTED_VALUE"""),"Chaparral")</f>
        <v>Chaparral</v>
      </c>
      <c r="AD74" s="24"/>
      <c r="AE74" s="24" t="str">
        <f t="shared" si="0"/>
        <v/>
      </c>
      <c r="AF74" s="22" t="str">
        <f t="shared" ca="1" si="3"/>
        <v/>
      </c>
      <c r="AG74" s="22">
        <f t="shared" ca="1" si="2"/>
        <v>1</v>
      </c>
      <c r="AH74" s="8"/>
      <c r="AI74" s="8"/>
    </row>
    <row r="75" spans="1:35" ht="15.75" customHeight="1" x14ac:dyDescent="0.25">
      <c r="B75" s="8"/>
      <c r="C75" s="8"/>
      <c r="D75" s="8"/>
      <c r="E75" s="5" t="s">
        <v>149</v>
      </c>
      <c r="F75" s="16">
        <v>83270</v>
      </c>
      <c r="G75" s="16">
        <v>54936</v>
      </c>
      <c r="H75" s="5" t="s">
        <v>100</v>
      </c>
      <c r="I75" s="5" t="s">
        <v>21</v>
      </c>
      <c r="J75" s="5">
        <v>563343000</v>
      </c>
      <c r="K75" s="5">
        <v>9398307</v>
      </c>
      <c r="L75" s="5" t="s">
        <v>150</v>
      </c>
      <c r="M75" s="17">
        <v>46141.583333333336</v>
      </c>
      <c r="N75" s="18" t="b">
        <v>1</v>
      </c>
      <c r="O75" s="18"/>
      <c r="P75" s="5"/>
      <c r="Q75" s="8"/>
      <c r="R75" s="8"/>
      <c r="S75" s="8"/>
      <c r="T75" s="8"/>
      <c r="U75" s="8"/>
      <c r="V75" s="8"/>
      <c r="W75" s="8"/>
      <c r="X75" s="22"/>
      <c r="Y75" s="22" t="str">
        <f ca="1">IFERROR(__xludf.DUMMYFUNCTION("""COMPUTED_VALUE"""),"Hyundai Samho 8270")</f>
        <v>Hyundai Samho 8270</v>
      </c>
      <c r="Z75" s="22"/>
      <c r="AA75" s="22"/>
      <c r="AB75" s="22"/>
      <c r="AC75" s="22" t="str">
        <f ca="1">IFERROR(__xludf.DUMMYFUNCTION("""COMPUTED_VALUE"""),"Cheyenne")</f>
        <v>Cheyenne</v>
      </c>
      <c r="AD75" s="24"/>
      <c r="AE75" s="24" t="str">
        <f t="shared" si="0"/>
        <v/>
      </c>
      <c r="AF75" s="22" t="str">
        <f t="shared" ca="1" si="3"/>
        <v/>
      </c>
      <c r="AG75" s="22">
        <f t="shared" ca="1" si="2"/>
        <v>1</v>
      </c>
      <c r="AH75" s="8"/>
      <c r="AI75" s="8"/>
    </row>
    <row r="76" spans="1:35" ht="15.75" customHeight="1" x14ac:dyDescent="0.25">
      <c r="B76" s="8"/>
      <c r="C76" s="8"/>
      <c r="D76" s="8"/>
      <c r="E76" s="5" t="s">
        <v>151</v>
      </c>
      <c r="F76" s="16">
        <v>84195</v>
      </c>
      <c r="G76" s="16">
        <v>54116</v>
      </c>
      <c r="H76" s="5" t="s">
        <v>20</v>
      </c>
      <c r="I76" s="5" t="s">
        <v>21</v>
      </c>
      <c r="J76" s="5">
        <v>235115081</v>
      </c>
      <c r="K76" s="5">
        <v>9735658</v>
      </c>
      <c r="L76" s="5" t="s">
        <v>152</v>
      </c>
      <c r="M76" s="17">
        <v>46134.25</v>
      </c>
      <c r="N76" s="18" t="b">
        <v>1</v>
      </c>
      <c r="O76" s="18"/>
      <c r="P76" s="5"/>
      <c r="Q76" s="8"/>
      <c r="R76" s="8"/>
      <c r="S76" s="8"/>
      <c r="T76" s="8"/>
      <c r="U76" s="8"/>
      <c r="V76" s="8"/>
      <c r="W76" s="8"/>
      <c r="X76" s="22"/>
      <c r="Y76" s="22" t="str">
        <f ca="1">IFERROR(__xludf.DUMMYFUNCTION("""COMPUTED_VALUE"""),"Hyundai Samho 8271")</f>
        <v>Hyundai Samho 8271</v>
      </c>
      <c r="Z76" s="22"/>
      <c r="AA76" s="22"/>
      <c r="AB76" s="22"/>
      <c r="AC76" s="22" t="str">
        <f ca="1">IFERROR(__xludf.DUMMYFUNCTION("""COMPUTED_VALUE"""),"Clermont")</f>
        <v>Clermont</v>
      </c>
      <c r="AD76" s="24"/>
      <c r="AE76" s="24" t="str">
        <f t="shared" si="0"/>
        <v/>
      </c>
      <c r="AF76" s="22" t="str">
        <f t="shared" ca="1" si="3"/>
        <v/>
      </c>
      <c r="AG76" s="22">
        <f t="shared" ca="1" si="2"/>
        <v>1</v>
      </c>
      <c r="AH76" s="8"/>
      <c r="AI76" s="8"/>
    </row>
    <row r="77" spans="1:35" ht="15.75" customHeight="1" x14ac:dyDescent="0.25">
      <c r="B77" s="8"/>
      <c r="C77" s="8"/>
      <c r="D77" s="8"/>
      <c r="E77" s="5" t="s">
        <v>153</v>
      </c>
      <c r="F77" s="16">
        <v>80657</v>
      </c>
      <c r="G77" s="16">
        <v>50700</v>
      </c>
      <c r="H77" s="5" t="s">
        <v>20</v>
      </c>
      <c r="I77" s="5" t="s">
        <v>21</v>
      </c>
      <c r="J77" s="5">
        <v>419001673</v>
      </c>
      <c r="K77" s="5">
        <v>9346122</v>
      </c>
      <c r="L77" s="5"/>
      <c r="M77" s="17"/>
      <c r="N77" s="18" t="b">
        <v>1</v>
      </c>
      <c r="O77" s="18"/>
      <c r="P77" s="5"/>
      <c r="Q77" s="8"/>
      <c r="R77" s="8"/>
      <c r="S77" s="8"/>
      <c r="T77" s="8"/>
      <c r="U77" s="8"/>
      <c r="V77" s="8"/>
      <c r="W77" s="8"/>
      <c r="X77" s="22"/>
      <c r="Y77" s="22" t="str">
        <f ca="1">IFERROR(__xludf.DUMMYFUNCTION("""COMPUTED_VALUE"""),"Hyundai Ulsan 3498")</f>
        <v>Hyundai Ulsan 3498</v>
      </c>
      <c r="Z77" s="22"/>
      <c r="AA77" s="22"/>
      <c r="AB77" s="22"/>
      <c r="AC77" s="22" t="str">
        <f ca="1">IFERROR(__xludf.DUMMYFUNCTION("""COMPUTED_VALUE"""),"Clipper Explorer")</f>
        <v>Clipper Explorer</v>
      </c>
      <c r="AD77" s="24"/>
      <c r="AE77" s="24" t="str">
        <f t="shared" si="0"/>
        <v/>
      </c>
      <c r="AF77" s="22" t="str">
        <f t="shared" ca="1" si="3"/>
        <v/>
      </c>
      <c r="AG77" s="22" t="str">
        <f t="shared" ca="1" si="2"/>
        <v/>
      </c>
      <c r="AH77" s="8"/>
      <c r="AI77" s="8"/>
    </row>
    <row r="78" spans="1:35" ht="15.75" customHeight="1" x14ac:dyDescent="0.25">
      <c r="B78" s="8"/>
      <c r="C78" s="8"/>
      <c r="D78" s="8"/>
      <c r="E78" s="5" t="s">
        <v>154</v>
      </c>
      <c r="F78" s="16">
        <v>84000</v>
      </c>
      <c r="G78" s="16">
        <v>54053</v>
      </c>
      <c r="H78" s="5" t="s">
        <v>26</v>
      </c>
      <c r="I78" s="5" t="s">
        <v>21</v>
      </c>
      <c r="J78" s="5">
        <v>538006841</v>
      </c>
      <c r="K78" s="5">
        <v>9748227</v>
      </c>
      <c r="L78" s="5" t="s">
        <v>107</v>
      </c>
      <c r="M78" s="17">
        <v>46137.375</v>
      </c>
      <c r="N78" s="18" t="b">
        <v>0</v>
      </c>
      <c r="O78" s="18"/>
      <c r="P78" s="5"/>
      <c r="Q78" s="8"/>
      <c r="R78" s="8"/>
      <c r="S78" s="8"/>
      <c r="T78" s="8"/>
      <c r="U78" s="8"/>
      <c r="V78" s="8"/>
      <c r="W78" s="8"/>
      <c r="X78" s="22"/>
      <c r="Y78" s="22" t="str">
        <f ca="1">IFERROR(__xludf.DUMMYFUNCTION("""COMPUTED_VALUE"""),"Hyundai Ulsan 3499")</f>
        <v>Hyundai Ulsan 3499</v>
      </c>
      <c r="Z78" s="22"/>
      <c r="AA78" s="22"/>
      <c r="AB78" s="22"/>
      <c r="AC78" s="22" t="str">
        <f ca="1">IFERROR(__xludf.DUMMYFUNCTION("""COMPUTED_VALUE"""),"Clipper Freeport")</f>
        <v>Clipper Freeport</v>
      </c>
      <c r="AD78" s="24"/>
      <c r="AE78" s="24" t="str">
        <f t="shared" si="0"/>
        <v/>
      </c>
      <c r="AF78" s="22" t="str">
        <f t="shared" ca="1" si="3"/>
        <v/>
      </c>
      <c r="AG78" s="22">
        <f t="shared" ca="1" si="2"/>
        <v>1</v>
      </c>
      <c r="AH78" s="8"/>
      <c r="AI78" s="8"/>
    </row>
    <row r="79" spans="1:35" ht="15.75" customHeight="1" x14ac:dyDescent="0.25">
      <c r="B79" s="8"/>
      <c r="C79" s="8"/>
      <c r="D79" s="8"/>
      <c r="E79" s="5" t="s">
        <v>155</v>
      </c>
      <c r="F79" s="16">
        <v>84195</v>
      </c>
      <c r="G79" s="16">
        <v>54116</v>
      </c>
      <c r="H79" s="5" t="s">
        <v>26</v>
      </c>
      <c r="I79" s="5" t="s">
        <v>21</v>
      </c>
      <c r="J79" s="5">
        <v>235115082</v>
      </c>
      <c r="K79" s="5">
        <v>9735660</v>
      </c>
      <c r="L79" s="5" t="s">
        <v>114</v>
      </c>
      <c r="M79" s="17">
        <v>46140.791666666664</v>
      </c>
      <c r="N79" s="18" t="b">
        <v>0</v>
      </c>
      <c r="O79" s="18"/>
      <c r="P79" s="5"/>
      <c r="Q79" s="8"/>
      <c r="R79" s="8"/>
      <c r="S79" s="8"/>
      <c r="T79" s="8"/>
      <c r="U79" s="8"/>
      <c r="V79" s="8"/>
      <c r="W79" s="8"/>
      <c r="X79" s="22"/>
      <c r="Y79" s="22" t="str">
        <f ca="1">IFERROR(__xludf.DUMMYFUNCTION("""COMPUTED_VALUE"""),"Hyundai Ulsan 3500")</f>
        <v>Hyundai Ulsan 3500</v>
      </c>
      <c r="Z79" s="22"/>
      <c r="AA79" s="22"/>
      <c r="AB79" s="22"/>
      <c r="AC79" s="22" t="str">
        <f ca="1">IFERROR(__xludf.DUMMYFUNCTION("""COMPUTED_VALUE"""),"Clipper Posh")</f>
        <v>Clipper Posh</v>
      </c>
      <c r="AD79" s="24"/>
      <c r="AE79" s="24" t="str">
        <f t="shared" si="0"/>
        <v/>
      </c>
      <c r="AF79" s="22" t="str">
        <f t="shared" ca="1" si="3"/>
        <v/>
      </c>
      <c r="AG79" s="22">
        <f t="shared" ca="1" si="2"/>
        <v>1</v>
      </c>
      <c r="AH79" s="8"/>
      <c r="AI79" s="8"/>
    </row>
    <row r="80" spans="1:35" ht="15.75" customHeight="1" x14ac:dyDescent="0.25">
      <c r="B80" s="8"/>
      <c r="C80" s="8"/>
      <c r="D80" s="8"/>
      <c r="E80" s="5" t="s">
        <v>156</v>
      </c>
      <c r="F80" s="16">
        <v>83000</v>
      </c>
      <c r="G80" s="16">
        <v>51100</v>
      </c>
      <c r="H80" s="5" t="s">
        <v>20</v>
      </c>
      <c r="I80" s="5" t="s">
        <v>21</v>
      </c>
      <c r="J80" s="5">
        <v>563101300</v>
      </c>
      <c r="K80" s="5">
        <v>9810044</v>
      </c>
      <c r="L80" s="5" t="s">
        <v>157</v>
      </c>
      <c r="M80" s="17">
        <v>46135.328472222223</v>
      </c>
      <c r="N80" s="18" t="b">
        <v>1</v>
      </c>
      <c r="O80" s="18"/>
      <c r="P80" s="5"/>
      <c r="Q80" s="8"/>
      <c r="R80" s="8"/>
      <c r="S80" s="8"/>
      <c r="T80" s="8"/>
      <c r="U80" s="8"/>
      <c r="V80" s="8"/>
      <c r="W80" s="8"/>
      <c r="X80" s="22"/>
      <c r="Y80" s="22" t="str">
        <f ca="1">IFERROR(__xludf.DUMMYFUNCTION("""COMPUTED_VALUE"""),"Hyundai Ulsan 3503")</f>
        <v>Hyundai Ulsan 3503</v>
      </c>
      <c r="Z80" s="22"/>
      <c r="AA80" s="22"/>
      <c r="AB80" s="22"/>
      <c r="AC80" s="22" t="str">
        <f ca="1">IFERROR(__xludf.DUMMYFUNCTION("""COMPUTED_VALUE"""),"Clipper Quito")</f>
        <v>Clipper Quito</v>
      </c>
      <c r="AD80" s="24"/>
      <c r="AE80" s="24" t="str">
        <f t="shared" si="0"/>
        <v/>
      </c>
      <c r="AF80" s="22" t="str">
        <f t="shared" ca="1" si="3"/>
        <v/>
      </c>
      <c r="AG80" s="22">
        <f t="shared" ca="1" si="2"/>
        <v>1</v>
      </c>
      <c r="AH80" s="8"/>
      <c r="AI80" s="8"/>
    </row>
    <row r="81" spans="2:35" ht="15.75" customHeight="1" x14ac:dyDescent="0.25">
      <c r="B81" s="8"/>
      <c r="C81" s="8"/>
      <c r="D81" s="8"/>
      <c r="E81" s="5" t="s">
        <v>158</v>
      </c>
      <c r="F81" s="16">
        <v>84000</v>
      </c>
      <c r="G81" s="16">
        <v>55086</v>
      </c>
      <c r="H81" s="5" t="s">
        <v>26</v>
      </c>
      <c r="I81" s="5" t="s">
        <v>21</v>
      </c>
      <c r="J81" s="5">
        <v>352001015</v>
      </c>
      <c r="K81" s="5">
        <v>9914058</v>
      </c>
      <c r="L81" s="5" t="s">
        <v>107</v>
      </c>
      <c r="M81" s="17">
        <v>46136.958333333336</v>
      </c>
      <c r="N81" s="18" t="b">
        <v>0</v>
      </c>
      <c r="O81" s="18"/>
      <c r="P81" s="5"/>
      <c r="Q81" s="8"/>
      <c r="R81" s="8"/>
      <c r="S81" s="8"/>
      <c r="T81" s="8"/>
      <c r="U81" s="8"/>
      <c r="V81" s="8"/>
      <c r="W81" s="8"/>
      <c r="X81" s="22"/>
      <c r="Y81" s="22" t="str">
        <f ca="1">IFERROR(__xludf.DUMMYFUNCTION("""COMPUTED_VALUE"""),"Hyundai Ulsan 3504")</f>
        <v>Hyundai Ulsan 3504</v>
      </c>
      <c r="Z81" s="22"/>
      <c r="AA81" s="22"/>
      <c r="AB81" s="22"/>
      <c r="AC81" s="22" t="str">
        <f ca="1">IFERROR(__xludf.DUMMYFUNCTION("""COMPUTED_VALUE"""),"Clipper Valiant")</f>
        <v>Clipper Valiant</v>
      </c>
      <c r="AD81" s="24"/>
      <c r="AE81" s="24" t="str">
        <f t="shared" si="0"/>
        <v/>
      </c>
      <c r="AF81" s="22" t="str">
        <f t="shared" ca="1" si="3"/>
        <v/>
      </c>
      <c r="AG81" s="22">
        <f t="shared" ca="1" si="2"/>
        <v>1</v>
      </c>
      <c r="AH81" s="8"/>
      <c r="AI81" s="8"/>
    </row>
    <row r="82" spans="2:35" ht="15.75" customHeight="1" x14ac:dyDescent="0.25">
      <c r="B82" s="8"/>
      <c r="C82" s="8"/>
      <c r="D82" s="8"/>
      <c r="E82" s="5" t="s">
        <v>159</v>
      </c>
      <c r="F82" s="16">
        <v>80595</v>
      </c>
      <c r="G82" s="16">
        <v>58691</v>
      </c>
      <c r="H82" s="5" t="s">
        <v>100</v>
      </c>
      <c r="I82" s="5" t="s">
        <v>21</v>
      </c>
      <c r="J82" s="5">
        <v>255915947</v>
      </c>
      <c r="K82" s="5">
        <v>9347504</v>
      </c>
      <c r="L82" s="5" t="s">
        <v>38</v>
      </c>
      <c r="M82" s="17">
        <v>46141.708333333336</v>
      </c>
      <c r="N82" s="18" t="b">
        <v>0</v>
      </c>
      <c r="O82" s="18"/>
      <c r="P82" s="5"/>
      <c r="Q82" s="8"/>
      <c r="R82" s="8"/>
      <c r="S82" s="8"/>
      <c r="T82" s="8"/>
      <c r="U82" s="8"/>
      <c r="V82" s="8"/>
      <c r="W82" s="8"/>
      <c r="X82" s="22"/>
      <c r="Y82" s="22" t="str">
        <f ca="1">IFERROR(__xludf.DUMMYFUNCTION("""COMPUTED_VALUE"""),"Hyundai Ulsan 3505")</f>
        <v>Hyundai Ulsan 3505</v>
      </c>
      <c r="Z82" s="22"/>
      <c r="AA82" s="22"/>
      <c r="AB82" s="22"/>
      <c r="AC82" s="22" t="str">
        <f ca="1">IFERROR(__xludf.DUMMYFUNCTION("""COMPUTED_VALUE"""),"Clipper Vanguard")</f>
        <v>Clipper Vanguard</v>
      </c>
      <c r="AD82" s="24"/>
      <c r="AE82" s="24" t="str">
        <f t="shared" si="0"/>
        <v/>
      </c>
      <c r="AF82" s="22" t="str">
        <f t="shared" ca="1" si="3"/>
        <v/>
      </c>
      <c r="AG82" s="22">
        <f t="shared" ca="1" si="2"/>
        <v>1</v>
      </c>
      <c r="AH82" s="8"/>
      <c r="AI82" s="8"/>
    </row>
    <row r="83" spans="2:35" ht="15.75" customHeight="1" x14ac:dyDescent="0.25">
      <c r="B83" s="8"/>
      <c r="C83" s="8"/>
      <c r="D83" s="8"/>
      <c r="E83" s="5" t="s">
        <v>160</v>
      </c>
      <c r="F83" s="16">
        <v>84000</v>
      </c>
      <c r="G83" s="16">
        <v>54000</v>
      </c>
      <c r="H83" s="5" t="s">
        <v>26</v>
      </c>
      <c r="I83" s="5" t="s">
        <v>21</v>
      </c>
      <c r="J83" s="5">
        <v>311001157</v>
      </c>
      <c r="K83" s="5">
        <v>9939917</v>
      </c>
      <c r="L83" s="5" t="s">
        <v>38</v>
      </c>
      <c r="M83" s="17">
        <v>46134.666666666664</v>
      </c>
      <c r="N83" s="18" t="b">
        <v>0</v>
      </c>
      <c r="O83" s="18"/>
      <c r="P83" s="5"/>
      <c r="Q83" s="8"/>
      <c r="R83" s="8"/>
      <c r="S83" s="8"/>
      <c r="T83" s="8"/>
      <c r="U83" s="8"/>
      <c r="V83" s="8"/>
      <c r="W83" s="8"/>
      <c r="X83" s="22"/>
      <c r="Y83" s="22" t="str">
        <f ca="1">IFERROR(__xludf.DUMMYFUNCTION("""COMPUTED_VALUE"""),"Hyundai Ulsan 3506")</f>
        <v>Hyundai Ulsan 3506</v>
      </c>
      <c r="Z83" s="22"/>
      <c r="AA83" s="22"/>
      <c r="AB83" s="22"/>
      <c r="AC83" s="22" t="str">
        <f ca="1">IFERROR(__xludf.DUMMYFUNCTION("""COMPUTED_VALUE"""),"Clipper Viking")</f>
        <v>Clipper Viking</v>
      </c>
      <c r="AD83" s="24"/>
      <c r="AE83" s="24" t="str">
        <f t="shared" si="0"/>
        <v/>
      </c>
      <c r="AF83" s="22" t="str">
        <f t="shared" ca="1" si="3"/>
        <v/>
      </c>
      <c r="AG83" s="22">
        <f t="shared" ca="1" si="2"/>
        <v>1</v>
      </c>
      <c r="AH83" s="8"/>
      <c r="AI83" s="8"/>
    </row>
    <row r="84" spans="2:35" ht="15.75" customHeight="1" x14ac:dyDescent="0.25">
      <c r="B84" s="8"/>
      <c r="C84" s="8"/>
      <c r="D84" s="8"/>
      <c r="E84" s="5" t="s">
        <v>161</v>
      </c>
      <c r="F84" s="16">
        <v>84000</v>
      </c>
      <c r="G84" s="16">
        <v>54553</v>
      </c>
      <c r="H84" s="5" t="s">
        <v>100</v>
      </c>
      <c r="I84" s="5" t="s">
        <v>21</v>
      </c>
      <c r="J84" s="5">
        <v>311000390</v>
      </c>
      <c r="K84" s="5">
        <v>9722807</v>
      </c>
      <c r="L84" s="5" t="s">
        <v>105</v>
      </c>
      <c r="M84" s="17">
        <v>46168</v>
      </c>
      <c r="N84" s="18" t="b">
        <v>0</v>
      </c>
      <c r="O84" s="18"/>
      <c r="P84" s="5"/>
      <c r="Q84" s="8"/>
      <c r="R84" s="8"/>
      <c r="S84" s="8"/>
      <c r="T84" s="8"/>
      <c r="U84" s="8"/>
      <c r="V84" s="8"/>
      <c r="W84" s="8"/>
      <c r="X84" s="22"/>
      <c r="Y84" s="22" t="str">
        <f ca="1">IFERROR(__xludf.DUMMYFUNCTION("""COMPUTED_VALUE"""),"Hyundai Ulsan 3510")</f>
        <v>Hyundai Ulsan 3510</v>
      </c>
      <c r="Z84" s="22"/>
      <c r="AA84" s="22"/>
      <c r="AB84" s="22"/>
      <c r="AC84" s="22" t="str">
        <f ca="1">IFERROR(__xludf.DUMMYFUNCTION("""COMPUTED_VALUE"""),"Clipper Voyager")</f>
        <v>Clipper Voyager</v>
      </c>
      <c r="AD84" s="24"/>
      <c r="AE84" s="24" t="str">
        <f t="shared" si="0"/>
        <v/>
      </c>
      <c r="AF84" s="22" t="str">
        <f t="shared" ca="1" si="3"/>
        <v/>
      </c>
      <c r="AG84" s="22">
        <f t="shared" ca="1" si="2"/>
        <v>1</v>
      </c>
      <c r="AH84" s="8"/>
      <c r="AI84" s="8"/>
    </row>
    <row r="85" spans="2:35" ht="15.75" customHeight="1" x14ac:dyDescent="0.25">
      <c r="B85" s="8"/>
      <c r="C85" s="8"/>
      <c r="D85" s="8"/>
      <c r="E85" s="5" t="s">
        <v>162</v>
      </c>
      <c r="F85" s="16">
        <v>75000</v>
      </c>
      <c r="G85" s="16">
        <v>54048</v>
      </c>
      <c r="H85" s="5" t="s">
        <v>26</v>
      </c>
      <c r="I85" s="5" t="s">
        <v>21</v>
      </c>
      <c r="J85" s="5">
        <v>603922000</v>
      </c>
      <c r="K85" s="5">
        <v>9379404</v>
      </c>
      <c r="L85" s="5" t="s">
        <v>163</v>
      </c>
      <c r="M85" s="17">
        <v>46143.791666666664</v>
      </c>
      <c r="N85" s="18" t="b">
        <v>0</v>
      </c>
      <c r="O85" s="18"/>
      <c r="P85" s="5"/>
      <c r="Q85" s="8"/>
      <c r="R85" s="8"/>
      <c r="S85" s="8"/>
      <c r="T85" s="8"/>
      <c r="U85" s="8"/>
      <c r="V85" s="8"/>
      <c r="W85" s="8"/>
      <c r="X85" s="22"/>
      <c r="Y85" s="22" t="str">
        <f ca="1">IFERROR(__xludf.DUMMYFUNCTION("""COMPUTED_VALUE"""),"Hyundai Ulsan 3513")</f>
        <v>Hyundai Ulsan 3513</v>
      </c>
      <c r="Z85" s="22"/>
      <c r="AA85" s="22"/>
      <c r="AB85" s="22"/>
      <c r="AC85" s="22" t="str">
        <f ca="1">IFERROR(__xludf.DUMMYFUNCTION("""COMPUTED_VALUE"""),"Clipper Wilma")</f>
        <v>Clipper Wilma</v>
      </c>
      <c r="AD85" s="24"/>
      <c r="AE85" s="24" t="str">
        <f t="shared" si="0"/>
        <v/>
      </c>
      <c r="AF85" s="22" t="str">
        <f t="shared" ca="1" si="3"/>
        <v/>
      </c>
      <c r="AG85" s="22" t="str">
        <f t="shared" ca="1" si="2"/>
        <v/>
      </c>
      <c r="AH85" s="8"/>
      <c r="AI85" s="8"/>
    </row>
    <row r="86" spans="2:35" ht="15.75" customHeight="1" x14ac:dyDescent="0.25">
      <c r="B86" s="8"/>
      <c r="C86" s="8"/>
      <c r="D86" s="8"/>
      <c r="E86" s="5" t="s">
        <v>164</v>
      </c>
      <c r="F86" s="16">
        <v>84000</v>
      </c>
      <c r="G86" s="16">
        <v>54553</v>
      </c>
      <c r="H86" s="5" t="s">
        <v>20</v>
      </c>
      <c r="I86" s="5" t="s">
        <v>21</v>
      </c>
      <c r="J86" s="5">
        <v>311000393</v>
      </c>
      <c r="K86" s="5">
        <v>9722792</v>
      </c>
      <c r="L86" s="5" t="s">
        <v>165</v>
      </c>
      <c r="M86" s="17">
        <v>46136.875</v>
      </c>
      <c r="N86" s="18" t="b">
        <v>1</v>
      </c>
      <c r="O86" s="18"/>
      <c r="P86" s="5"/>
      <c r="Q86" s="8"/>
      <c r="R86" s="8"/>
      <c r="S86" s="8"/>
      <c r="T86" s="8"/>
      <c r="U86" s="8"/>
      <c r="V86" s="8"/>
      <c r="W86" s="8"/>
      <c r="X86" s="22"/>
      <c r="Y86" s="22" t="str">
        <f ca="1">IFERROR(__xludf.DUMMYFUNCTION("""COMPUTED_VALUE"""),"Hyundai Ulsan 3516")</f>
        <v>Hyundai Ulsan 3516</v>
      </c>
      <c r="Z86" s="22"/>
      <c r="AA86" s="22"/>
      <c r="AB86" s="22"/>
      <c r="AC86" s="22" t="str">
        <f ca="1">IFERROR(__xludf.DUMMYFUNCTION("""COMPUTED_VALUE"""),"Cobra")</f>
        <v>Cobra</v>
      </c>
      <c r="AD86" s="24"/>
      <c r="AE86" s="24" t="str">
        <f t="shared" si="0"/>
        <v/>
      </c>
      <c r="AF86" s="22" t="str">
        <f t="shared" ca="1" si="3"/>
        <v/>
      </c>
      <c r="AG86" s="22">
        <f t="shared" ca="1" si="2"/>
        <v>1</v>
      </c>
      <c r="AH86" s="8"/>
      <c r="AI86" s="8"/>
    </row>
    <row r="87" spans="2:35" ht="15.75" customHeight="1" x14ac:dyDescent="0.25">
      <c r="B87" s="8"/>
      <c r="C87" s="8"/>
      <c r="D87" s="8"/>
      <c r="E87" s="5" t="s">
        <v>166</v>
      </c>
      <c r="F87" s="16">
        <v>83000</v>
      </c>
      <c r="G87" s="16">
        <v>53688</v>
      </c>
      <c r="H87" s="5" t="s">
        <v>20</v>
      </c>
      <c r="I87" s="5" t="s">
        <v>21</v>
      </c>
      <c r="J87" s="5">
        <v>414670000</v>
      </c>
      <c r="K87" s="5">
        <v>9710397</v>
      </c>
      <c r="L87" s="5" t="s">
        <v>76</v>
      </c>
      <c r="M87" s="17">
        <v>46139.416666666664</v>
      </c>
      <c r="N87" s="18" t="b">
        <v>1</v>
      </c>
      <c r="O87" s="18"/>
      <c r="P87" s="5"/>
      <c r="Q87" s="8"/>
      <c r="R87" s="8"/>
      <c r="S87" s="8"/>
      <c r="T87" s="8"/>
      <c r="U87" s="8"/>
      <c r="V87" s="8"/>
      <c r="W87" s="8"/>
      <c r="X87" s="22"/>
      <c r="Y87" s="22" t="str">
        <f ca="1">IFERROR(__xludf.DUMMYFUNCTION("""COMPUTED_VALUE"""),"Hyundai Ulsan 3517")</f>
        <v>Hyundai Ulsan 3517</v>
      </c>
      <c r="Z87" s="22"/>
      <c r="AA87" s="22"/>
      <c r="AB87" s="22"/>
      <c r="AC87" s="22" t="str">
        <f ca="1">IFERROR(__xludf.DUMMYFUNCTION("""COMPUTED_VALUE"""),"Comet")</f>
        <v>Comet</v>
      </c>
      <c r="AD87" s="24"/>
      <c r="AE87" s="24" t="str">
        <f t="shared" si="0"/>
        <v/>
      </c>
      <c r="AF87" s="22" t="str">
        <f t="shared" ca="1" si="3"/>
        <v/>
      </c>
      <c r="AG87" s="22">
        <f t="shared" ca="1" si="2"/>
        <v>1</v>
      </c>
      <c r="AH87" s="8"/>
      <c r="AI87" s="8"/>
    </row>
    <row r="88" spans="2:35" ht="15.75" customHeight="1" x14ac:dyDescent="0.25">
      <c r="B88" s="8"/>
      <c r="C88" s="8"/>
      <c r="D88" s="8"/>
      <c r="E88" s="5" t="s">
        <v>167</v>
      </c>
      <c r="F88" s="16">
        <v>84126</v>
      </c>
      <c r="G88" s="16">
        <v>54584</v>
      </c>
      <c r="H88" s="5" t="s">
        <v>26</v>
      </c>
      <c r="I88" s="5" t="s">
        <v>21</v>
      </c>
      <c r="J88" s="5">
        <v>311000389</v>
      </c>
      <c r="K88" s="5">
        <v>9714393</v>
      </c>
      <c r="L88" s="5"/>
      <c r="M88" s="17"/>
      <c r="N88" s="18" t="b">
        <v>0</v>
      </c>
      <c r="O88" s="18"/>
      <c r="P88" s="5"/>
      <c r="Q88" s="8"/>
      <c r="R88" s="8"/>
      <c r="S88" s="8"/>
      <c r="T88" s="8"/>
      <c r="U88" s="8"/>
      <c r="V88" s="8"/>
      <c r="W88" s="8"/>
      <c r="X88" s="22"/>
      <c r="Y88" s="22" t="str">
        <f ca="1">IFERROR(__xludf.DUMMYFUNCTION("""COMPUTED_VALUE"""),"Hyundai Ulsan 3518")</f>
        <v>Hyundai Ulsan 3518</v>
      </c>
      <c r="Z88" s="22"/>
      <c r="AA88" s="22"/>
      <c r="AB88" s="22"/>
      <c r="AC88" s="22" t="str">
        <f ca="1">IFERROR(__xludf.DUMMYFUNCTION("""COMPUTED_VALUE"""),"Commander")</f>
        <v>Commander</v>
      </c>
      <c r="AD88" s="24"/>
      <c r="AE88" s="24" t="str">
        <f t="shared" si="0"/>
        <v/>
      </c>
      <c r="AF88" s="22" t="str">
        <f t="shared" ca="1" si="3"/>
        <v/>
      </c>
      <c r="AG88" s="22">
        <f t="shared" ca="1" si="2"/>
        <v>1</v>
      </c>
      <c r="AH88" s="8"/>
      <c r="AI88" s="8"/>
    </row>
    <row r="89" spans="2:35" ht="15.75" customHeight="1" x14ac:dyDescent="0.25">
      <c r="B89" s="8"/>
      <c r="C89" s="8"/>
      <c r="D89" s="8"/>
      <c r="E89" s="5" t="s">
        <v>168</v>
      </c>
      <c r="F89" s="16">
        <v>84000</v>
      </c>
      <c r="G89" s="16">
        <v>54599</v>
      </c>
      <c r="H89" s="5" t="s">
        <v>20</v>
      </c>
      <c r="I89" s="5" t="s">
        <v>21</v>
      </c>
      <c r="J89" s="5">
        <v>311000387</v>
      </c>
      <c r="K89" s="5">
        <v>9706504</v>
      </c>
      <c r="L89" s="5" t="s">
        <v>107</v>
      </c>
      <c r="M89" s="17">
        <v>46132.541666666664</v>
      </c>
      <c r="N89" s="18" t="b">
        <v>1</v>
      </c>
      <c r="O89" s="18"/>
      <c r="P89" s="5"/>
      <c r="Q89" s="8"/>
      <c r="R89" s="8"/>
      <c r="S89" s="8"/>
      <c r="T89" s="8"/>
      <c r="U89" s="8"/>
      <c r="V89" s="8"/>
      <c r="W89" s="8"/>
      <c r="X89" s="22"/>
      <c r="Y89" s="22" t="str">
        <f ca="1">IFERROR(__xludf.DUMMYFUNCTION("""COMPUTED_VALUE"""),"Hyundai Ulsan 3531")</f>
        <v>Hyundai Ulsan 3531</v>
      </c>
      <c r="Z89" s="22"/>
      <c r="AA89" s="22"/>
      <c r="AB89" s="22"/>
      <c r="AC89" s="22" t="str">
        <f ca="1">IFERROR(__xludf.DUMMYFUNCTION("""COMPUTED_VALUE"""),"Commodore")</f>
        <v>Commodore</v>
      </c>
      <c r="AD89" s="24"/>
      <c r="AE89" s="24" t="str">
        <f t="shared" si="0"/>
        <v/>
      </c>
      <c r="AF89" s="22" t="str">
        <f t="shared" ca="1" si="3"/>
        <v/>
      </c>
      <c r="AG89" s="22">
        <f t="shared" ca="1" si="2"/>
        <v>1</v>
      </c>
      <c r="AH89" s="8"/>
      <c r="AI89" s="8"/>
    </row>
    <row r="90" spans="2:35" ht="15.75" customHeight="1" x14ac:dyDescent="0.25">
      <c r="B90" s="8"/>
      <c r="C90" s="8"/>
      <c r="D90" s="8"/>
      <c r="E90" s="5" t="s">
        <v>169</v>
      </c>
      <c r="F90" s="16">
        <v>84000</v>
      </c>
      <c r="G90" s="16">
        <v>54587</v>
      </c>
      <c r="H90" s="5" t="s">
        <v>26</v>
      </c>
      <c r="I90" s="5" t="s">
        <v>21</v>
      </c>
      <c r="J90" s="5">
        <v>311000391</v>
      </c>
      <c r="K90" s="5">
        <v>9706487</v>
      </c>
      <c r="L90" s="5" t="s">
        <v>107</v>
      </c>
      <c r="M90" s="17">
        <v>46139.625</v>
      </c>
      <c r="N90" s="18" t="b">
        <v>0</v>
      </c>
      <c r="O90" s="18"/>
      <c r="P90" s="5"/>
      <c r="Q90" s="8"/>
      <c r="R90" s="8"/>
      <c r="S90" s="8"/>
      <c r="T90" s="8"/>
      <c r="U90" s="8"/>
      <c r="V90" s="8"/>
      <c r="W90" s="8"/>
      <c r="X90" s="22"/>
      <c r="Y90" s="22" t="str">
        <f ca="1">IFERROR(__xludf.DUMMYFUNCTION("""COMPUTED_VALUE"""),"Hyundai Ulsan 3532")</f>
        <v>Hyundai Ulsan 3532</v>
      </c>
      <c r="Z90" s="22"/>
      <c r="AA90" s="22"/>
      <c r="AB90" s="22"/>
      <c r="AC90" s="22" t="str">
        <f ca="1">IFERROR(__xludf.DUMMYFUNCTION("""COMPUTED_VALUE"""),"Concorde")</f>
        <v>Concorde</v>
      </c>
      <c r="AD90" s="24"/>
      <c r="AE90" s="24" t="str">
        <f t="shared" si="0"/>
        <v/>
      </c>
      <c r="AF90" s="22" t="str">
        <f t="shared" ca="1" si="3"/>
        <v/>
      </c>
      <c r="AG90" s="22">
        <f t="shared" ca="1" si="2"/>
        <v>1</v>
      </c>
      <c r="AH90" s="8"/>
      <c r="AI90" s="8"/>
    </row>
    <row r="91" spans="2:35" ht="15.75" customHeight="1" x14ac:dyDescent="0.25">
      <c r="B91" s="8"/>
      <c r="C91" s="8"/>
      <c r="D91" s="8"/>
      <c r="E91" s="5" t="s">
        <v>170</v>
      </c>
      <c r="F91" s="16">
        <v>80000</v>
      </c>
      <c r="G91" s="16">
        <v>50513</v>
      </c>
      <c r="H91" s="5" t="s">
        <v>26</v>
      </c>
      <c r="I91" s="5" t="s">
        <v>21</v>
      </c>
      <c r="J91" s="5">
        <v>257968000</v>
      </c>
      <c r="K91" s="5">
        <v>9852949</v>
      </c>
      <c r="L91" s="5" t="s">
        <v>105</v>
      </c>
      <c r="M91" s="17">
        <v>46152</v>
      </c>
      <c r="N91" s="18" t="b">
        <v>0</v>
      </c>
      <c r="O91" s="18"/>
      <c r="P91" s="5"/>
      <c r="Q91" s="8"/>
      <c r="R91" s="8"/>
      <c r="S91" s="8"/>
      <c r="T91" s="8"/>
      <c r="U91" s="8"/>
      <c r="V91" s="8"/>
      <c r="W91" s="8"/>
      <c r="X91" s="22"/>
      <c r="Y91" s="22" t="str">
        <f ca="1">IFERROR(__xludf.DUMMYFUNCTION("""COMPUTED_VALUE"""),"Hyundai Ulsan 3542")</f>
        <v>Hyundai Ulsan 3542</v>
      </c>
      <c r="Z91" s="22"/>
      <c r="AA91" s="22"/>
      <c r="AB91" s="22"/>
      <c r="AC91" s="22" t="str">
        <f ca="1">IFERROR(__xludf.DUMMYFUNCTION("""COMPUTED_VALUE"""),"Constellation")</f>
        <v>Constellation</v>
      </c>
      <c r="AD91" s="24"/>
      <c r="AE91" s="24" t="str">
        <f t="shared" si="0"/>
        <v/>
      </c>
      <c r="AF91" s="22" t="str">
        <f t="shared" ca="1" si="3"/>
        <v/>
      </c>
      <c r="AG91" s="22">
        <f t="shared" ca="1" si="2"/>
        <v>1</v>
      </c>
      <c r="AH91" s="8"/>
      <c r="AI91" s="8"/>
    </row>
    <row r="92" spans="2:35" ht="15.75" customHeight="1" x14ac:dyDescent="0.25">
      <c r="B92" s="8"/>
      <c r="C92" s="8"/>
      <c r="D92" s="8"/>
      <c r="E92" s="5" t="s">
        <v>171</v>
      </c>
      <c r="F92" s="16">
        <v>78000</v>
      </c>
      <c r="G92" s="16">
        <v>50891</v>
      </c>
      <c r="H92" s="5" t="s">
        <v>20</v>
      </c>
      <c r="I92" s="5" t="s">
        <v>21</v>
      </c>
      <c r="J92" s="5">
        <v>259104000</v>
      </c>
      <c r="K92" s="5">
        <v>9789154</v>
      </c>
      <c r="L92" s="5" t="s">
        <v>172</v>
      </c>
      <c r="M92" s="17">
        <v>46148.583333333336</v>
      </c>
      <c r="N92" s="18" t="b">
        <v>1</v>
      </c>
      <c r="O92" s="18"/>
      <c r="P92" s="5"/>
      <c r="Q92" s="8"/>
      <c r="R92" s="8"/>
      <c r="S92" s="8"/>
      <c r="T92" s="8"/>
      <c r="U92" s="8"/>
      <c r="V92" s="8"/>
      <c r="W92" s="8"/>
      <c r="X92" s="22"/>
      <c r="Y92" s="22" t="str">
        <f ca="1">IFERROR(__xludf.DUMMYFUNCTION("""COMPUTED_VALUE"""),"Ivy Cove")</f>
        <v>Ivy Cove</v>
      </c>
      <c r="Z92" s="22"/>
      <c r="AA92" s="22"/>
      <c r="AB92" s="22"/>
      <c r="AC92" s="22" t="str">
        <f ca="1">IFERROR(__xludf.DUMMYFUNCTION("""COMPUTED_VALUE"""),"Constitution")</f>
        <v>Constitution</v>
      </c>
      <c r="AD92" s="24"/>
      <c r="AE92" s="24" t="str">
        <f t="shared" si="0"/>
        <v/>
      </c>
      <c r="AF92" s="22" t="str">
        <f t="shared" ca="1" si="3"/>
        <v/>
      </c>
      <c r="AG92" s="22">
        <f t="shared" ca="1" si="2"/>
        <v>1</v>
      </c>
      <c r="AH92" s="8"/>
      <c r="AI92" s="8"/>
    </row>
    <row r="93" spans="2:35" ht="15.75" customHeight="1" x14ac:dyDescent="0.25">
      <c r="B93" s="8"/>
      <c r="C93" s="8"/>
      <c r="D93" s="8"/>
      <c r="E93" s="5" t="s">
        <v>173</v>
      </c>
      <c r="F93" s="16">
        <v>88000</v>
      </c>
      <c r="G93" s="16">
        <v>51497</v>
      </c>
      <c r="H93" s="5" t="s">
        <v>53</v>
      </c>
      <c r="I93" s="5" t="s">
        <v>54</v>
      </c>
      <c r="J93" s="5">
        <v>258233000</v>
      </c>
      <c r="K93" s="5">
        <v>1026817</v>
      </c>
      <c r="L93" s="5"/>
      <c r="M93" s="17"/>
      <c r="N93" s="18" t="b">
        <v>0</v>
      </c>
      <c r="O93" s="18"/>
      <c r="P93" s="5"/>
      <c r="Q93" s="8"/>
      <c r="R93" s="8"/>
      <c r="S93" s="8"/>
      <c r="T93" s="8"/>
      <c r="U93" s="8"/>
      <c r="V93" s="8"/>
      <c r="W93" s="8"/>
      <c r="X93" s="22"/>
      <c r="Y93" s="22" t="str">
        <f ca="1">IFERROR(__xludf.DUMMYFUNCTION("""COMPUTED_VALUE"""),"Jag Viraat")</f>
        <v>Jag Viraat</v>
      </c>
      <c r="Z93" s="22"/>
      <c r="AA93" s="22"/>
      <c r="AB93" s="22"/>
      <c r="AC93" s="22" t="str">
        <f ca="1">IFERROR(__xludf.DUMMYFUNCTION("""COMPUTED_VALUE"""),"Continental")</f>
        <v>Continental</v>
      </c>
      <c r="AD93" s="24"/>
      <c r="AE93" s="24" t="str">
        <f t="shared" si="0"/>
        <v/>
      </c>
      <c r="AF93" s="22" t="str">
        <f t="shared" ca="1" si="3"/>
        <v/>
      </c>
      <c r="AG93" s="22" t="str">
        <f t="shared" ca="1" si="2"/>
        <v/>
      </c>
      <c r="AH93" s="8"/>
      <c r="AI93" s="8"/>
    </row>
    <row r="94" spans="2:35" ht="15.75" customHeight="1" x14ac:dyDescent="0.25">
      <c r="B94" s="8"/>
      <c r="C94" s="8"/>
      <c r="D94" s="8"/>
      <c r="E94" s="5" t="s">
        <v>174</v>
      </c>
      <c r="F94" s="16">
        <v>88000</v>
      </c>
      <c r="G94" s="16">
        <v>51497</v>
      </c>
      <c r="H94" s="5" t="s">
        <v>53</v>
      </c>
      <c r="I94" s="5" t="s">
        <v>54</v>
      </c>
      <c r="J94" s="5">
        <v>257492850</v>
      </c>
      <c r="K94" s="5">
        <v>1026829</v>
      </c>
      <c r="L94" s="5"/>
      <c r="M94" s="17"/>
      <c r="N94" s="18" t="b">
        <v>0</v>
      </c>
      <c r="O94" s="18"/>
      <c r="P94" s="5"/>
      <c r="Q94" s="8"/>
      <c r="R94" s="8"/>
      <c r="S94" s="8"/>
      <c r="T94" s="8"/>
      <c r="U94" s="8"/>
      <c r="V94" s="8"/>
      <c r="W94" s="8"/>
      <c r="X94" s="22"/>
      <c r="Y94" s="22" t="str">
        <f ca="1">IFERROR(__xludf.DUMMYFUNCTION("""COMPUTED_VALUE"""),"Jiangnam H2841")</f>
        <v>Jiangnam H2841</v>
      </c>
      <c r="Z94" s="22"/>
      <c r="AA94" s="22"/>
      <c r="AB94" s="22"/>
      <c r="AC94" s="22" t="str">
        <f ca="1">IFERROR(__xludf.DUMMYFUNCTION("""COMPUTED_VALUE"""),"Copernicus")</f>
        <v>Copernicus</v>
      </c>
      <c r="AD94" s="24"/>
      <c r="AE94" s="24" t="str">
        <f t="shared" si="0"/>
        <v/>
      </c>
      <c r="AF94" s="22" t="str">
        <f t="shared" ca="1" si="3"/>
        <v/>
      </c>
      <c r="AG94" s="22" t="str">
        <f t="shared" ca="1" si="2"/>
        <v/>
      </c>
      <c r="AH94" s="8"/>
      <c r="AI94" s="8"/>
    </row>
    <row r="95" spans="2:35" ht="15.75" customHeight="1" x14ac:dyDescent="0.25">
      <c r="B95" s="8"/>
      <c r="C95" s="8"/>
      <c r="D95" s="8"/>
      <c r="E95" s="5" t="s">
        <v>175</v>
      </c>
      <c r="F95" s="16">
        <v>88000</v>
      </c>
      <c r="G95" s="16">
        <v>51497</v>
      </c>
      <c r="H95" s="5" t="s">
        <v>53</v>
      </c>
      <c r="I95" s="741" t="s">
        <v>54</v>
      </c>
      <c r="J95" s="742"/>
      <c r="K95" s="5">
        <v>1032751</v>
      </c>
      <c r="L95" s="5"/>
      <c r="M95" s="17"/>
      <c r="N95" s="18" t="b">
        <v>0</v>
      </c>
      <c r="O95" s="18"/>
      <c r="P95" s="5"/>
      <c r="Q95" s="8"/>
      <c r="R95" s="8"/>
      <c r="S95" s="8"/>
      <c r="T95" s="8"/>
      <c r="U95" s="8"/>
      <c r="V95" s="8"/>
      <c r="W95" s="8"/>
      <c r="X95" s="22"/>
      <c r="Y95" s="22" t="str">
        <f ca="1">IFERROR(__xludf.DUMMYFUNCTION("""COMPUTED_VALUE"""),"Jiangnan H2750")</f>
        <v>Jiangnan H2750</v>
      </c>
      <c r="Z95" s="22"/>
      <c r="AA95" s="22"/>
      <c r="AB95" s="22"/>
      <c r="AC95" s="22" t="str">
        <f ca="1">IFERROR(__xludf.DUMMYFUNCTION("""COMPUTED_VALUE"""),"Corfu Gas")</f>
        <v>Corfu Gas</v>
      </c>
      <c r="AD95" s="24"/>
      <c r="AE95" s="24" t="str">
        <f t="shared" si="0"/>
        <v/>
      </c>
      <c r="AF95" s="22" t="str">
        <f t="shared" ca="1" si="3"/>
        <v/>
      </c>
      <c r="AG95" s="22" t="str">
        <f t="shared" ca="1" si="2"/>
        <v/>
      </c>
      <c r="AH95" s="8"/>
      <c r="AI95" s="8"/>
    </row>
    <row r="96" spans="2:35" ht="15.75" customHeight="1" x14ac:dyDescent="0.25">
      <c r="B96" s="8"/>
      <c r="C96" s="8"/>
      <c r="D96" s="8"/>
      <c r="E96" s="5" t="s">
        <v>176</v>
      </c>
      <c r="F96" s="16">
        <v>88000</v>
      </c>
      <c r="G96" s="16">
        <v>56844</v>
      </c>
      <c r="H96" s="5" t="s">
        <v>53</v>
      </c>
      <c r="I96" s="741" t="s">
        <v>54</v>
      </c>
      <c r="J96" s="742"/>
      <c r="K96" s="5">
        <v>1048102</v>
      </c>
      <c r="L96" s="5"/>
      <c r="M96" s="17"/>
      <c r="N96" s="18" t="b">
        <v>0</v>
      </c>
      <c r="O96" s="18"/>
      <c r="P96" s="5"/>
      <c r="Q96" s="8"/>
      <c r="R96" s="8"/>
      <c r="S96" s="8"/>
      <c r="T96" s="8"/>
      <c r="U96" s="8"/>
      <c r="V96" s="8"/>
      <c r="W96" s="8"/>
      <c r="X96" s="22"/>
      <c r="Y96" s="22" t="str">
        <f ca="1">IFERROR(__xludf.DUMMYFUNCTION("""COMPUTED_VALUE"""),"Jiangnan H2754")</f>
        <v>Jiangnan H2754</v>
      </c>
      <c r="Z96" s="22"/>
      <c r="AA96" s="22"/>
      <c r="AB96" s="22"/>
      <c r="AC96" s="22" t="str">
        <f ca="1">IFERROR(__xludf.DUMMYFUNCTION("""COMPUTED_VALUE"""),"Corsair")</f>
        <v>Corsair</v>
      </c>
      <c r="AD96" s="24"/>
      <c r="AE96" s="24" t="str">
        <f t="shared" si="0"/>
        <v/>
      </c>
      <c r="AF96" s="22" t="str">
        <f t="shared" ca="1" si="3"/>
        <v/>
      </c>
      <c r="AG96" s="22" t="str">
        <f t="shared" ca="1" si="2"/>
        <v/>
      </c>
      <c r="AH96" s="8"/>
      <c r="AI96" s="8"/>
    </row>
    <row r="97" spans="2:35" ht="15.75" customHeight="1" x14ac:dyDescent="0.25">
      <c r="B97" s="8"/>
      <c r="C97" s="8"/>
      <c r="D97" s="8"/>
      <c r="E97" s="5" t="s">
        <v>177</v>
      </c>
      <c r="F97" s="16">
        <v>88000</v>
      </c>
      <c r="G97" s="16">
        <v>56844</v>
      </c>
      <c r="H97" s="5" t="s">
        <v>53</v>
      </c>
      <c r="I97" s="741" t="s">
        <v>54</v>
      </c>
      <c r="J97" s="742"/>
      <c r="K97" s="5">
        <v>1048097</v>
      </c>
      <c r="L97" s="5"/>
      <c r="M97" s="17"/>
      <c r="N97" s="18" t="b">
        <v>0</v>
      </c>
      <c r="O97" s="18"/>
      <c r="P97" s="5"/>
      <c r="Q97" s="8"/>
      <c r="R97" s="8"/>
      <c r="S97" s="8"/>
      <c r="T97" s="8"/>
      <c r="U97" s="8"/>
      <c r="V97" s="8"/>
      <c r="W97" s="8"/>
      <c r="X97" s="22"/>
      <c r="Y97" s="22" t="str">
        <f ca="1">IFERROR(__xludf.DUMMYFUNCTION("""COMPUTED_VALUE"""),"Jiangnan H2755")</f>
        <v>Jiangnan H2755</v>
      </c>
      <c r="Z97" s="22"/>
      <c r="AA97" s="22"/>
      <c r="AB97" s="22"/>
      <c r="AC97" s="22" t="str">
        <f ca="1">IFERROR(__xludf.DUMMYFUNCTION("""COMPUTED_VALUE"""),"Corvette")</f>
        <v>Corvette</v>
      </c>
      <c r="AD97" s="24"/>
      <c r="AE97" s="24" t="str">
        <f t="shared" si="0"/>
        <v/>
      </c>
      <c r="AF97" s="22" t="str">
        <f t="shared" ca="1" si="3"/>
        <v/>
      </c>
      <c r="AG97" s="22" t="str">
        <f t="shared" ca="1" si="2"/>
        <v/>
      </c>
      <c r="AH97" s="8"/>
      <c r="AI97" s="8"/>
    </row>
    <row r="98" spans="2:35" ht="15.75" customHeight="1" x14ac:dyDescent="0.25">
      <c r="B98" s="8"/>
      <c r="C98" s="8"/>
      <c r="D98" s="8"/>
      <c r="E98" s="5" t="s">
        <v>178</v>
      </c>
      <c r="F98" s="16">
        <v>88000</v>
      </c>
      <c r="G98" s="16">
        <v>51497</v>
      </c>
      <c r="H98" s="5" t="s">
        <v>53</v>
      </c>
      <c r="I98" s="741" t="s">
        <v>54</v>
      </c>
      <c r="J98" s="742"/>
      <c r="K98" s="5">
        <v>1032763</v>
      </c>
      <c r="L98" s="5"/>
      <c r="M98" s="17"/>
      <c r="N98" s="18" t="b">
        <v>0</v>
      </c>
      <c r="O98" s="18"/>
      <c r="P98" s="5"/>
      <c r="Q98" s="8"/>
      <c r="R98" s="8"/>
      <c r="S98" s="8"/>
      <c r="T98" s="8"/>
      <c r="U98" s="8"/>
      <c r="V98" s="8"/>
      <c r="W98" s="8"/>
      <c r="X98" s="22"/>
      <c r="Y98" s="22" t="str">
        <f ca="1">IFERROR(__xludf.DUMMYFUNCTION("""COMPUTED_VALUE"""),"Jiangnan H2840")</f>
        <v>Jiangnan H2840</v>
      </c>
      <c r="Z98" s="22"/>
      <c r="AA98" s="22"/>
      <c r="AB98" s="22"/>
      <c r="AC98" s="22" t="str">
        <f ca="1">IFERROR(__xludf.DUMMYFUNCTION("""COMPUTED_VALUE"""),"Cougar")</f>
        <v>Cougar</v>
      </c>
      <c r="AD98" s="24"/>
      <c r="AE98" s="24" t="str">
        <f t="shared" si="0"/>
        <v/>
      </c>
      <c r="AF98" s="22" t="str">
        <f t="shared" ca="1" si="3"/>
        <v/>
      </c>
      <c r="AG98" s="22" t="str">
        <f t="shared" ca="1" si="2"/>
        <v/>
      </c>
      <c r="AH98" s="8"/>
      <c r="AI98" s="8"/>
    </row>
    <row r="99" spans="2:35" ht="15.75" customHeight="1" x14ac:dyDescent="0.25">
      <c r="B99" s="8"/>
      <c r="C99" s="8"/>
      <c r="D99" s="8"/>
      <c r="E99" s="5" t="s">
        <v>179</v>
      </c>
      <c r="F99" s="16">
        <v>88000</v>
      </c>
      <c r="G99" s="16">
        <v>51497</v>
      </c>
      <c r="H99" s="5" t="s">
        <v>26</v>
      </c>
      <c r="I99" s="5" t="s">
        <v>21</v>
      </c>
      <c r="J99" s="5">
        <v>258220000</v>
      </c>
      <c r="K99" s="5">
        <v>1026805</v>
      </c>
      <c r="L99" s="5" t="s">
        <v>107</v>
      </c>
      <c r="M99" s="17">
        <v>46139.041666666664</v>
      </c>
      <c r="N99" s="18" t="b">
        <v>0</v>
      </c>
      <c r="O99" s="18"/>
      <c r="P99" s="5"/>
      <c r="Q99" s="8"/>
      <c r="R99" s="8"/>
      <c r="S99" s="8"/>
      <c r="T99" s="8"/>
      <c r="U99" s="8"/>
      <c r="V99" s="8"/>
      <c r="W99" s="8"/>
      <c r="X99" s="22"/>
      <c r="Y99" s="22" t="str">
        <f ca="1">IFERROR(__xludf.DUMMYFUNCTION("""COMPUTED_VALUE"""),"Jiangsu Yangzi Xinfu Yzj2024-1715")</f>
        <v>Jiangsu Yangzi Xinfu Yzj2024-1715</v>
      </c>
      <c r="Z99" s="22"/>
      <c r="AA99" s="22"/>
      <c r="AB99" s="22"/>
      <c r="AC99" s="22" t="str">
        <f ca="1">IFERROR(__xludf.DUMMYFUNCTION("""COMPUTED_VALUE"""),"Cratis")</f>
        <v>Cratis</v>
      </c>
      <c r="AD99" s="24"/>
      <c r="AE99" s="24" t="str">
        <f t="shared" si="0"/>
        <v/>
      </c>
      <c r="AF99" s="22" t="str">
        <f t="shared" ca="1" si="3"/>
        <v/>
      </c>
      <c r="AG99" s="22" t="str">
        <f t="shared" ca="1" si="2"/>
        <v/>
      </c>
      <c r="AH99" s="8"/>
      <c r="AI99" s="8"/>
    </row>
    <row r="100" spans="2:35" ht="15.75" customHeight="1" x14ac:dyDescent="0.25">
      <c r="B100" s="8"/>
      <c r="C100" s="8"/>
      <c r="D100" s="8"/>
      <c r="E100" s="5" t="s">
        <v>180</v>
      </c>
      <c r="F100" s="16">
        <v>84000</v>
      </c>
      <c r="G100" s="16">
        <v>54999</v>
      </c>
      <c r="H100" s="5" t="s">
        <v>20</v>
      </c>
      <c r="I100" s="5" t="s">
        <v>21</v>
      </c>
      <c r="J100" s="5">
        <v>257919000</v>
      </c>
      <c r="K100" s="5">
        <v>9656747</v>
      </c>
      <c r="L100" s="5" t="s">
        <v>181</v>
      </c>
      <c r="M100" s="33">
        <v>46137.000694444447</v>
      </c>
      <c r="N100" s="18" t="b">
        <v>1</v>
      </c>
      <c r="O100" s="18"/>
      <c r="P100" s="5"/>
      <c r="Q100" s="8"/>
      <c r="R100" s="8"/>
      <c r="S100" s="8"/>
      <c r="T100" s="8"/>
      <c r="U100" s="8"/>
      <c r="V100" s="8"/>
      <c r="W100" s="8"/>
      <c r="X100" s="22"/>
      <c r="Y100" s="22" t="str">
        <f ca="1">IFERROR(__xludf.DUMMYFUNCTION("""COMPUTED_VALUE"""),"Jiangsu Yangzi-Mitsui")</f>
        <v>Jiangsu Yangzi-Mitsui</v>
      </c>
      <c r="Z100" s="22"/>
      <c r="AA100" s="22"/>
      <c r="AB100" s="22"/>
      <c r="AC100" s="22" t="str">
        <f ca="1">IFERROR(__xludf.DUMMYFUNCTION("""COMPUTED_VALUE"""),"Cresques")</f>
        <v>Cresques</v>
      </c>
      <c r="AD100" s="24"/>
      <c r="AE100" s="24" t="str">
        <f t="shared" si="0"/>
        <v/>
      </c>
      <c r="AF100" s="22" t="str">
        <f t="shared" ca="1" si="3"/>
        <v/>
      </c>
      <c r="AG100" s="22">
        <f t="shared" ca="1" si="2"/>
        <v>1</v>
      </c>
      <c r="AH100" s="8"/>
      <c r="AI100" s="8"/>
    </row>
    <row r="101" spans="2:35" ht="15.75" customHeight="1" x14ac:dyDescent="0.25">
      <c r="B101" s="8"/>
      <c r="C101" s="8"/>
      <c r="D101" s="8"/>
      <c r="E101" s="5" t="s">
        <v>182</v>
      </c>
      <c r="F101" s="16">
        <v>84000</v>
      </c>
      <c r="G101" s="16">
        <v>55047</v>
      </c>
      <c r="H101" s="5" t="s">
        <v>100</v>
      </c>
      <c r="I101" s="5" t="s">
        <v>21</v>
      </c>
      <c r="J101" s="5">
        <v>257928000</v>
      </c>
      <c r="K101" s="5">
        <v>9630755</v>
      </c>
      <c r="L101" s="5" t="s">
        <v>107</v>
      </c>
      <c r="M101" s="17">
        <v>46134.75</v>
      </c>
      <c r="N101" s="18" t="b">
        <v>0</v>
      </c>
      <c r="O101" s="18"/>
      <c r="P101" s="5"/>
      <c r="Q101" s="8"/>
      <c r="R101" s="8"/>
      <c r="S101" s="8"/>
      <c r="T101" s="8"/>
      <c r="U101" s="8"/>
      <c r="V101" s="8"/>
      <c r="W101" s="8"/>
      <c r="X101" s="22"/>
      <c r="Y101" s="22" t="str">
        <f ca="1">IFERROR(__xludf.DUMMYFUNCTION("""COMPUTED_VALUE"""),"Jiangsu Yangzi-Mitsui")</f>
        <v>Jiangsu Yangzi-Mitsui</v>
      </c>
      <c r="Z101" s="22"/>
      <c r="AA101" s="22"/>
      <c r="AB101" s="22"/>
      <c r="AC101" s="22" t="str">
        <f ca="1">IFERROR(__xludf.DUMMYFUNCTION("""COMPUTED_VALUE"""),"Cristobal")</f>
        <v>Cristobal</v>
      </c>
      <c r="AD101" s="24"/>
      <c r="AE101" s="24" t="str">
        <f t="shared" si="0"/>
        <v/>
      </c>
      <c r="AF101" s="22" t="str">
        <f t="shared" ca="1" si="3"/>
        <v/>
      </c>
      <c r="AG101" s="22">
        <f t="shared" ca="1" si="2"/>
        <v>1</v>
      </c>
      <c r="AH101" s="8"/>
      <c r="AI101" s="8"/>
    </row>
    <row r="102" spans="2:35" ht="15.75" customHeight="1" x14ac:dyDescent="0.25">
      <c r="B102" s="8"/>
      <c r="C102" s="8"/>
      <c r="D102" s="8"/>
      <c r="E102" s="5" t="s">
        <v>183</v>
      </c>
      <c r="F102" s="16">
        <v>84765</v>
      </c>
      <c r="G102" s="16">
        <v>50877</v>
      </c>
      <c r="H102" s="5" t="s">
        <v>20</v>
      </c>
      <c r="I102" s="5" t="s">
        <v>21</v>
      </c>
      <c r="J102" s="5">
        <v>636018565</v>
      </c>
      <c r="K102" s="5">
        <v>9835173</v>
      </c>
      <c r="L102" s="5" t="s">
        <v>38</v>
      </c>
      <c r="M102" s="33">
        <v>46142.791666666664</v>
      </c>
      <c r="N102" s="18" t="b">
        <v>1</v>
      </c>
      <c r="O102" s="18"/>
      <c r="P102" s="5"/>
      <c r="Q102" s="8"/>
      <c r="R102" s="8"/>
      <c r="S102" s="8"/>
      <c r="T102" s="8"/>
      <c r="U102" s="8"/>
      <c r="V102" s="8"/>
      <c r="W102" s="8"/>
      <c r="X102" s="22"/>
      <c r="Y102" s="22" t="str">
        <f ca="1">IFERROR(__xludf.DUMMYFUNCTION("""COMPUTED_VALUE"""),"Jiangsu Yangzi-Mitsui")</f>
        <v>Jiangsu Yangzi-Mitsui</v>
      </c>
      <c r="Z102" s="22"/>
      <c r="AA102" s="22"/>
      <c r="AB102" s="22"/>
      <c r="AC102" s="22" t="str">
        <f ca="1">IFERROR(__xludf.DUMMYFUNCTION("""COMPUTED_VALUE"""),"Crystal Angel")</f>
        <v>Crystal Angel</v>
      </c>
      <c r="AD102" s="24"/>
      <c r="AE102" s="24" t="str">
        <f t="shared" si="0"/>
        <v/>
      </c>
      <c r="AF102" s="22" t="str">
        <f t="shared" ca="1" si="3"/>
        <v/>
      </c>
      <c r="AG102" s="22">
        <f t="shared" ca="1" si="2"/>
        <v>1</v>
      </c>
      <c r="AH102" s="8"/>
      <c r="AI102" s="8"/>
    </row>
    <row r="103" spans="2:35" ht="15.75" customHeight="1" x14ac:dyDescent="0.25">
      <c r="B103" s="8"/>
      <c r="C103" s="8"/>
      <c r="D103" s="8"/>
      <c r="E103" s="5" t="s">
        <v>184</v>
      </c>
      <c r="F103" s="16">
        <v>78000</v>
      </c>
      <c r="G103" s="16">
        <v>50891</v>
      </c>
      <c r="H103" s="5" t="s">
        <v>26</v>
      </c>
      <c r="I103" s="5" t="s">
        <v>21</v>
      </c>
      <c r="J103" s="5">
        <v>259138000</v>
      </c>
      <c r="K103" s="5">
        <v>9789166</v>
      </c>
      <c r="L103" s="5" t="s">
        <v>61</v>
      </c>
      <c r="M103" s="17">
        <v>46139.958333333336</v>
      </c>
      <c r="N103" s="18" t="b">
        <v>0</v>
      </c>
      <c r="O103" s="18"/>
      <c r="P103" s="5"/>
      <c r="Q103" s="8"/>
      <c r="R103" s="8"/>
      <c r="S103" s="8"/>
      <c r="T103" s="8"/>
      <c r="U103" s="8"/>
      <c r="V103" s="8"/>
      <c r="W103" s="8"/>
      <c r="X103" s="22"/>
      <c r="Y103" s="22" t="str">
        <f ca="1">IFERROR(__xludf.DUMMYFUNCTION("""COMPUTED_VALUE"""),"Jiangsu Yangzi-Mitsui")</f>
        <v>Jiangsu Yangzi-Mitsui</v>
      </c>
      <c r="Z103" s="22"/>
      <c r="AA103" s="22"/>
      <c r="AB103" s="22"/>
      <c r="AC103" s="22" t="str">
        <f ca="1">IFERROR(__xludf.DUMMYFUNCTION("""COMPUTED_VALUE"""),"Crystal Asteria")</f>
        <v>Crystal Asteria</v>
      </c>
      <c r="AD103" s="24"/>
      <c r="AE103" s="24" t="str">
        <f t="shared" si="0"/>
        <v/>
      </c>
      <c r="AF103" s="22" t="str">
        <f t="shared" ca="1" si="3"/>
        <v/>
      </c>
      <c r="AG103" s="22">
        <f t="shared" ca="1" si="2"/>
        <v>1</v>
      </c>
      <c r="AH103" s="8"/>
      <c r="AI103" s="8"/>
    </row>
    <row r="104" spans="2:35" ht="15.75" customHeight="1" x14ac:dyDescent="0.25">
      <c r="B104" s="8"/>
      <c r="C104" s="8"/>
      <c r="D104" s="8"/>
      <c r="E104" s="5" t="s">
        <v>185</v>
      </c>
      <c r="F104" s="16">
        <v>80546</v>
      </c>
      <c r="G104" s="16">
        <v>54650</v>
      </c>
      <c r="H104" s="5" t="s">
        <v>20</v>
      </c>
      <c r="I104" s="5" t="s">
        <v>21</v>
      </c>
      <c r="J104" s="5">
        <v>636018568</v>
      </c>
      <c r="K104" s="5">
        <v>9840879</v>
      </c>
      <c r="L104" s="5" t="s">
        <v>120</v>
      </c>
      <c r="M104" s="17">
        <v>46134.25</v>
      </c>
      <c r="N104" s="18" t="b">
        <v>1</v>
      </c>
      <c r="O104" s="18"/>
      <c r="P104" s="5"/>
      <c r="Q104" s="8"/>
      <c r="R104" s="8"/>
      <c r="S104" s="8"/>
      <c r="T104" s="8"/>
      <c r="U104" s="8"/>
      <c r="V104" s="8"/>
      <c r="W104" s="8"/>
      <c r="X104" s="22"/>
      <c r="Y104" s="22" t="str">
        <f ca="1">IFERROR(__xludf.DUMMYFUNCTION("""COMPUTED_VALUE"""),"Kalastin")</f>
        <v>Kalastin</v>
      </c>
      <c r="Z104" s="22"/>
      <c r="AA104" s="22"/>
      <c r="AB104" s="22"/>
      <c r="AC104" s="22" t="str">
        <f ca="1">IFERROR(__xludf.DUMMYFUNCTION("""COMPUTED_VALUE"""),"Crystal Explorer")</f>
        <v>Crystal Explorer</v>
      </c>
      <c r="AD104" s="24"/>
      <c r="AE104" s="24" t="str">
        <f t="shared" si="0"/>
        <v/>
      </c>
      <c r="AF104" s="22" t="str">
        <f t="shared" ca="1" si="3"/>
        <v/>
      </c>
      <c r="AG104" s="22">
        <f t="shared" ca="1" si="2"/>
        <v>1</v>
      </c>
      <c r="AH104" s="8"/>
      <c r="AI104" s="8"/>
    </row>
    <row r="105" spans="2:35" ht="15.75" customHeight="1" x14ac:dyDescent="0.25">
      <c r="B105" s="8"/>
      <c r="C105" s="8"/>
      <c r="D105" s="8"/>
      <c r="E105" s="5" t="s">
        <v>186</v>
      </c>
      <c r="F105" s="16">
        <v>84794</v>
      </c>
      <c r="G105" s="16">
        <v>54406</v>
      </c>
      <c r="H105" s="5" t="s">
        <v>20</v>
      </c>
      <c r="I105" s="5" t="s">
        <v>21</v>
      </c>
      <c r="J105" s="5">
        <v>636018566</v>
      </c>
      <c r="K105" s="5">
        <v>9835185</v>
      </c>
      <c r="L105" s="5" t="s">
        <v>187</v>
      </c>
      <c r="M105" s="17">
        <v>46155.1875</v>
      </c>
      <c r="N105" s="18" t="b">
        <v>1</v>
      </c>
      <c r="O105" s="18"/>
      <c r="P105" s="5"/>
      <c r="Q105" s="8"/>
      <c r="R105" s="8"/>
      <c r="S105" s="8"/>
      <c r="T105" s="8"/>
      <c r="U105" s="8"/>
      <c r="V105" s="8"/>
      <c r="W105" s="8"/>
      <c r="X105" s="22"/>
      <c r="Y105" s="22" t="str">
        <f ca="1">IFERROR(__xludf.DUMMYFUNCTION("""COMPUTED_VALUE"""),"Kawasaki Sakaide 1769")</f>
        <v>Kawasaki Sakaide 1769</v>
      </c>
      <c r="Z105" s="22"/>
      <c r="AA105" s="22"/>
      <c r="AB105" s="22"/>
      <c r="AC105" s="22" t="str">
        <f ca="1">IFERROR(__xludf.DUMMYFUNCTION("""COMPUTED_VALUE"""),"Crystal Oasis")</f>
        <v>Crystal Oasis</v>
      </c>
      <c r="AD105" s="24"/>
      <c r="AE105" s="24" t="str">
        <f t="shared" si="0"/>
        <v/>
      </c>
      <c r="AF105" s="22" t="str">
        <f t="shared" ca="1" si="3"/>
        <v/>
      </c>
      <c r="AG105" s="22">
        <f t="shared" ca="1" si="2"/>
        <v>1</v>
      </c>
      <c r="AH105" s="8"/>
      <c r="AI105" s="8"/>
    </row>
    <row r="106" spans="2:35" ht="15.75" customHeight="1" x14ac:dyDescent="0.25">
      <c r="B106" s="8"/>
      <c r="C106" s="8"/>
      <c r="D106" s="8"/>
      <c r="E106" s="5" t="s">
        <v>188</v>
      </c>
      <c r="F106" s="16">
        <v>80000</v>
      </c>
      <c r="G106" s="16">
        <v>51098</v>
      </c>
      <c r="H106" s="5" t="s">
        <v>26</v>
      </c>
      <c r="I106" s="5" t="s">
        <v>21</v>
      </c>
      <c r="J106" s="5">
        <v>257085990</v>
      </c>
      <c r="K106" s="5">
        <v>9855941</v>
      </c>
      <c r="L106" s="5" t="s">
        <v>38</v>
      </c>
      <c r="M106" s="17">
        <v>46132.5</v>
      </c>
      <c r="N106" s="18" t="b">
        <v>0</v>
      </c>
      <c r="O106" s="18"/>
      <c r="P106" s="5"/>
      <c r="Q106" s="8"/>
      <c r="R106" s="8"/>
      <c r="S106" s="8"/>
      <c r="T106" s="8"/>
      <c r="U106" s="8"/>
      <c r="V106" s="8"/>
      <c r="W106" s="8"/>
      <c r="X106" s="22"/>
      <c r="Y106" s="22" t="str">
        <f ca="1">IFERROR(__xludf.DUMMYFUNCTION("""COMPUTED_VALUE"""),"Kawasaki Sakaide 1770")</f>
        <v>Kawasaki Sakaide 1770</v>
      </c>
      <c r="Z106" s="22"/>
      <c r="AA106" s="22"/>
      <c r="AB106" s="22"/>
      <c r="AC106" s="22" t="str">
        <f ca="1">IFERROR(__xludf.DUMMYFUNCTION("""COMPUTED_VALUE"""),"Crystal Odyssey")</f>
        <v>Crystal Odyssey</v>
      </c>
      <c r="AD106" s="24"/>
      <c r="AE106" s="24" t="str">
        <f t="shared" si="0"/>
        <v/>
      </c>
      <c r="AF106" s="22" t="str">
        <f t="shared" ca="1" si="3"/>
        <v/>
      </c>
      <c r="AG106" s="22">
        <f t="shared" ca="1" si="2"/>
        <v>1</v>
      </c>
      <c r="AH106" s="8"/>
      <c r="AI106" s="8"/>
    </row>
    <row r="107" spans="2:35" ht="15.75" customHeight="1" x14ac:dyDescent="0.25">
      <c r="B107" s="8"/>
      <c r="C107" s="8"/>
      <c r="D107" s="8"/>
      <c r="E107" s="5" t="s">
        <v>189</v>
      </c>
      <c r="F107" s="16">
        <v>84000</v>
      </c>
      <c r="G107" s="16">
        <v>54545</v>
      </c>
      <c r="H107" s="5" t="s">
        <v>100</v>
      </c>
      <c r="I107" s="5" t="s">
        <v>21</v>
      </c>
      <c r="J107" s="5">
        <v>311000345</v>
      </c>
      <c r="K107" s="5">
        <v>9702015</v>
      </c>
      <c r="L107" s="5" t="s">
        <v>172</v>
      </c>
      <c r="M107" s="17">
        <v>46137.958333333336</v>
      </c>
      <c r="N107" s="18" t="b">
        <v>1</v>
      </c>
      <c r="O107" s="18"/>
      <c r="P107" s="5"/>
      <c r="Q107" s="8"/>
      <c r="R107" s="8"/>
      <c r="S107" s="8"/>
      <c r="T107" s="8"/>
      <c r="U107" s="8"/>
      <c r="V107" s="8"/>
      <c r="W107" s="8"/>
      <c r="X107" s="22"/>
      <c r="Y107" s="22" t="str">
        <f ca="1">IFERROR(__xludf.DUMMYFUNCTION("""COMPUTED_VALUE"""),"Lilac Cove")</f>
        <v>Lilac Cove</v>
      </c>
      <c r="Z107" s="22"/>
      <c r="AA107" s="22"/>
      <c r="AB107" s="47"/>
      <c r="AC107" s="47" t="str">
        <f ca="1">IFERROR(__xludf.DUMMYFUNCTION("""COMPUTED_VALUE"""),"Crystal River")</f>
        <v>Crystal River</v>
      </c>
      <c r="AD107" s="24"/>
      <c r="AE107" s="24" t="str">
        <f t="shared" si="0"/>
        <v/>
      </c>
      <c r="AF107" s="22" t="str">
        <f t="shared" ca="1" si="3"/>
        <v/>
      </c>
      <c r="AG107" s="22">
        <f t="shared" ca="1" si="2"/>
        <v>1</v>
      </c>
      <c r="AH107" s="8"/>
      <c r="AI107" s="8"/>
    </row>
    <row r="108" spans="2:35" ht="15.75" customHeight="1" x14ac:dyDescent="0.25">
      <c r="B108" s="8"/>
      <c r="C108" s="8"/>
      <c r="D108" s="8"/>
      <c r="E108" s="5" t="s">
        <v>190</v>
      </c>
      <c r="F108" s="16">
        <v>84000</v>
      </c>
      <c r="G108" s="16">
        <v>54336</v>
      </c>
      <c r="H108" s="5" t="s">
        <v>26</v>
      </c>
      <c r="I108" s="5" t="s">
        <v>21</v>
      </c>
      <c r="J108" s="5">
        <v>311000251</v>
      </c>
      <c r="K108" s="5">
        <v>9689914</v>
      </c>
      <c r="L108" s="5" t="s">
        <v>38</v>
      </c>
      <c r="M108" s="17">
        <v>46148.5</v>
      </c>
      <c r="N108" s="18" t="b">
        <v>0</v>
      </c>
      <c r="O108" s="18"/>
      <c r="P108" s="5"/>
      <c r="Q108" s="8"/>
      <c r="R108" s="8"/>
      <c r="S108" s="8"/>
      <c r="T108" s="8"/>
      <c r="U108" s="8"/>
      <c r="V108" s="8"/>
      <c r="W108" s="8"/>
      <c r="X108" s="22"/>
      <c r="Y108" s="22" t="str">
        <f ca="1">IFERROR(__xludf.DUMMYFUNCTION("""COMPUTED_VALUE"""),"Lumina Polaris")</f>
        <v>Lumina Polaris</v>
      </c>
      <c r="Z108" s="22"/>
      <c r="AA108" s="22"/>
      <c r="AB108" s="47"/>
      <c r="AC108" s="47" t="str">
        <f ca="1">IFERROR(__xludf.DUMMYFUNCTION("""COMPUTED_VALUE"""),"Crystal Sunrise")</f>
        <v>Crystal Sunrise</v>
      </c>
      <c r="AD108" s="24"/>
      <c r="AE108" s="24" t="str">
        <f t="shared" si="0"/>
        <v/>
      </c>
      <c r="AF108" s="22" t="str">
        <f t="shared" ca="1" si="3"/>
        <v/>
      </c>
      <c r="AG108" s="22">
        <f t="shared" ca="1" si="2"/>
        <v>1</v>
      </c>
      <c r="AH108" s="8"/>
      <c r="AI108" s="8"/>
    </row>
    <row r="109" spans="2:35" ht="15.75" customHeight="1" x14ac:dyDescent="0.25">
      <c r="B109" s="8"/>
      <c r="C109" s="8"/>
      <c r="D109" s="8"/>
      <c r="E109" s="5" t="s">
        <v>191</v>
      </c>
      <c r="F109" s="16">
        <v>84000</v>
      </c>
      <c r="G109" s="16">
        <v>54336</v>
      </c>
      <c r="H109" s="5" t="s">
        <v>100</v>
      </c>
      <c r="I109" s="5" t="s">
        <v>21</v>
      </c>
      <c r="J109" s="5">
        <v>311000392</v>
      </c>
      <c r="K109" s="5">
        <v>9734692</v>
      </c>
      <c r="L109" s="5" t="s">
        <v>192</v>
      </c>
      <c r="M109" s="17">
        <v>46133.625</v>
      </c>
      <c r="N109" s="18" t="b">
        <v>0</v>
      </c>
      <c r="O109" s="18"/>
      <c r="P109" s="5"/>
      <c r="Q109" s="8"/>
      <c r="R109" s="8"/>
      <c r="S109" s="8"/>
      <c r="T109" s="8"/>
      <c r="U109" s="8"/>
      <c r="V109" s="8"/>
      <c r="W109" s="8"/>
      <c r="X109" s="22"/>
      <c r="Y109" s="22" t="str">
        <f ca="1">IFERROR(__xludf.DUMMYFUNCTION("""COMPUTED_VALUE"""),"Manasarovar")</f>
        <v>Manasarovar</v>
      </c>
      <c r="Z109" s="22"/>
      <c r="AA109" s="22"/>
      <c r="AB109" s="47"/>
      <c r="AC109" s="47" t="str">
        <f ca="1">IFERROR(__xludf.DUMMYFUNCTION("""COMPUTED_VALUE"""),"Crystal Trinity")</f>
        <v>Crystal Trinity</v>
      </c>
      <c r="AD109" s="24"/>
      <c r="AE109" s="24" t="str">
        <f t="shared" si="0"/>
        <v/>
      </c>
      <c r="AF109" s="22" t="str">
        <f t="shared" ca="1" si="3"/>
        <v/>
      </c>
      <c r="AG109" s="22">
        <f t="shared" ca="1" si="2"/>
        <v>1</v>
      </c>
      <c r="AH109" s="8"/>
      <c r="AI109" s="8"/>
    </row>
    <row r="110" spans="2:35" ht="15.75" customHeight="1" x14ac:dyDescent="0.25">
      <c r="B110" s="8"/>
      <c r="C110" s="8"/>
      <c r="D110" s="8"/>
      <c r="E110" s="5" t="s">
        <v>193</v>
      </c>
      <c r="F110" s="16">
        <v>84000</v>
      </c>
      <c r="G110" s="16">
        <v>54494</v>
      </c>
      <c r="H110" s="5" t="s">
        <v>20</v>
      </c>
      <c r="I110" s="5" t="s">
        <v>21</v>
      </c>
      <c r="J110" s="5">
        <v>311000377</v>
      </c>
      <c r="K110" s="5">
        <v>9702027</v>
      </c>
      <c r="L110" s="5" t="s">
        <v>194</v>
      </c>
      <c r="M110" s="17">
        <v>46139.458333333336</v>
      </c>
      <c r="N110" s="18" t="b">
        <v>1</v>
      </c>
      <c r="O110" s="18"/>
      <c r="P110" s="5"/>
      <c r="Q110" s="8"/>
      <c r="R110" s="8"/>
      <c r="S110" s="8"/>
      <c r="T110" s="8"/>
      <c r="U110" s="8"/>
      <c r="V110" s="8"/>
      <c r="W110" s="8"/>
      <c r="X110" s="22"/>
      <c r="Y110" s="22" t="str">
        <f ca="1">IFERROR(__xludf.DUMMYFUNCTION("""COMPUTED_VALUE"""),"Marser")</f>
        <v>Marser</v>
      </c>
      <c r="Z110" s="22"/>
      <c r="AA110" s="22"/>
      <c r="AB110" s="8"/>
      <c r="AC110" s="8" t="str">
        <f ca="1">IFERROR(__xludf.DUMMYFUNCTION("""COMPUTED_VALUE"""),"Danube River")</f>
        <v>Danube River</v>
      </c>
      <c r="AD110" s="24"/>
      <c r="AE110" s="24" t="str">
        <f t="shared" si="0"/>
        <v/>
      </c>
      <c r="AF110" s="22" t="str">
        <f t="shared" ca="1" si="3"/>
        <v/>
      </c>
      <c r="AG110" s="22">
        <f t="shared" ca="1" si="2"/>
        <v>1</v>
      </c>
      <c r="AH110" s="8"/>
      <c r="AI110" s="8"/>
    </row>
    <row r="111" spans="2:35" ht="15.75" customHeight="1" x14ac:dyDescent="0.25">
      <c r="B111" s="8"/>
      <c r="C111" s="8"/>
      <c r="D111" s="8"/>
      <c r="E111" s="5" t="s">
        <v>195</v>
      </c>
      <c r="F111" s="16">
        <v>84000</v>
      </c>
      <c r="G111" s="16">
        <v>54336</v>
      </c>
      <c r="H111" s="5" t="s">
        <v>26</v>
      </c>
      <c r="I111" s="5" t="s">
        <v>21</v>
      </c>
      <c r="J111" s="5">
        <v>311000378</v>
      </c>
      <c r="K111" s="5">
        <v>9734678</v>
      </c>
      <c r="L111" s="5" t="s">
        <v>107</v>
      </c>
      <c r="M111" s="17">
        <v>46138.833333333336</v>
      </c>
      <c r="N111" s="18" t="b">
        <v>0</v>
      </c>
      <c r="O111" s="18"/>
      <c r="P111" s="5"/>
      <c r="Q111" s="8"/>
      <c r="R111" s="8"/>
      <c r="S111" s="8"/>
      <c r="T111" s="8"/>
      <c r="U111" s="8"/>
      <c r="V111" s="8"/>
      <c r="W111" s="8"/>
      <c r="X111" s="22"/>
      <c r="Y111" s="22" t="str">
        <f ca="1">IFERROR(__xludf.DUMMYFUNCTION("""COMPUTED_VALUE"""),"Meda")</f>
        <v>Meda</v>
      </c>
      <c r="Z111" s="22"/>
      <c r="AA111" s="22"/>
      <c r="AB111" s="8"/>
      <c r="AC111" s="8" t="str">
        <f ca="1">IFERROR(__xludf.DUMMYFUNCTION("""COMPUTED_VALUE"""),"Delma")</f>
        <v>Delma</v>
      </c>
      <c r="AD111" s="24"/>
      <c r="AE111" s="24" t="str">
        <f t="shared" si="0"/>
        <v/>
      </c>
      <c r="AF111" s="22" t="str">
        <f t="shared" ca="1" si="3"/>
        <v/>
      </c>
      <c r="AG111" s="22">
        <f t="shared" ca="1" si="2"/>
        <v>1</v>
      </c>
      <c r="AH111" s="8"/>
      <c r="AI111" s="8"/>
    </row>
    <row r="112" spans="2:35" ht="15.75" customHeight="1" x14ac:dyDescent="0.25">
      <c r="B112" s="8"/>
      <c r="C112" s="8"/>
      <c r="D112" s="8"/>
      <c r="E112" s="5" t="s">
        <v>196</v>
      </c>
      <c r="F112" s="16">
        <v>84000</v>
      </c>
      <c r="G112" s="16">
        <v>54336</v>
      </c>
      <c r="H112" s="5" t="s">
        <v>20</v>
      </c>
      <c r="I112" s="5" t="s">
        <v>21</v>
      </c>
      <c r="J112" s="5">
        <v>311000388</v>
      </c>
      <c r="K112" s="5">
        <v>9734680</v>
      </c>
      <c r="L112" s="5" t="s">
        <v>197</v>
      </c>
      <c r="M112" s="33">
        <v>46134.875</v>
      </c>
      <c r="N112" s="18" t="b">
        <v>1</v>
      </c>
      <c r="O112" s="18"/>
      <c r="P112" s="5"/>
      <c r="Q112" s="8"/>
      <c r="R112" s="8"/>
      <c r="S112" s="8"/>
      <c r="T112" s="8"/>
      <c r="U112" s="8"/>
      <c r="V112" s="8"/>
      <c r="W112" s="8"/>
      <c r="X112" s="22"/>
      <c r="Y112" s="22" t="str">
        <f ca="1">IFERROR(__xludf.DUMMYFUNCTION("""COMPUTED_VALUE"""),"Meera")</f>
        <v>Meera</v>
      </c>
      <c r="Z112" s="22"/>
      <c r="AA112" s="22"/>
      <c r="AB112" s="8"/>
      <c r="AC112" s="8" t="str">
        <f ca="1">IFERROR(__xludf.DUMMYFUNCTION("""COMPUTED_VALUE"""),"Djanet")</f>
        <v>Djanet</v>
      </c>
      <c r="AD112" s="24"/>
      <c r="AE112" s="24" t="str">
        <f t="shared" si="0"/>
        <v/>
      </c>
      <c r="AF112" s="22" t="str">
        <f t="shared" ca="1" si="3"/>
        <v/>
      </c>
      <c r="AG112" s="22">
        <f t="shared" ca="1" si="2"/>
        <v>1</v>
      </c>
      <c r="AH112" s="8"/>
      <c r="AI112" s="8"/>
    </row>
    <row r="113" spans="2:35" ht="15.75" customHeight="1" x14ac:dyDescent="0.25">
      <c r="B113" s="8"/>
      <c r="C113" s="8"/>
      <c r="D113" s="8"/>
      <c r="E113" s="5" t="s">
        <v>198</v>
      </c>
      <c r="F113" s="16">
        <v>84000</v>
      </c>
      <c r="G113" s="16">
        <v>54577</v>
      </c>
      <c r="H113" s="5" t="s">
        <v>26</v>
      </c>
      <c r="I113" s="5" t="s">
        <v>21</v>
      </c>
      <c r="J113" s="5">
        <v>311000379</v>
      </c>
      <c r="K113" s="5">
        <v>9706499</v>
      </c>
      <c r="L113" s="5" t="s">
        <v>38</v>
      </c>
      <c r="M113" s="17">
        <v>46140.708333333336</v>
      </c>
      <c r="N113" s="18" t="b">
        <v>0</v>
      </c>
      <c r="O113" s="18"/>
      <c r="P113" s="5"/>
      <c r="Q113" s="8"/>
      <c r="R113" s="8"/>
      <c r="S113" s="8"/>
      <c r="T113" s="8"/>
      <c r="U113" s="8"/>
      <c r="V113" s="8"/>
      <c r="W113" s="8"/>
      <c r="X113" s="22"/>
      <c r="Y113" s="22" t="str">
        <f ca="1">IFERROR(__xludf.DUMMYFUNCTION("""COMPUTED_VALUE"""),"Mighty Navigator")</f>
        <v>Mighty Navigator</v>
      </c>
      <c r="Z113" s="22"/>
      <c r="AA113" s="22"/>
      <c r="AB113" s="8"/>
      <c r="AC113" s="8" t="str">
        <f ca="1">IFERROR(__xludf.DUMMYFUNCTION("""COMPUTED_VALUE"""),"Dom Explorer")</f>
        <v>Dom Explorer</v>
      </c>
      <c r="AD113" s="24"/>
      <c r="AE113" s="24" t="str">
        <f t="shared" si="0"/>
        <v/>
      </c>
      <c r="AF113" s="22" t="str">
        <f t="shared" ca="1" si="3"/>
        <v/>
      </c>
      <c r="AG113" s="22">
        <f t="shared" ca="1" si="2"/>
        <v>1</v>
      </c>
      <c r="AH113" s="8"/>
      <c r="AI113" s="8"/>
    </row>
    <row r="114" spans="2:35" ht="15.75" customHeight="1" x14ac:dyDescent="0.25">
      <c r="B114" s="8"/>
      <c r="C114" s="8"/>
      <c r="D114" s="8"/>
      <c r="E114" s="5" t="s">
        <v>199</v>
      </c>
      <c r="F114" s="16">
        <v>84000</v>
      </c>
      <c r="G114" s="16">
        <v>54554</v>
      </c>
      <c r="H114" s="5" t="s">
        <v>20</v>
      </c>
      <c r="I114" s="5" t="s">
        <v>21</v>
      </c>
      <c r="J114" s="5">
        <v>311000346</v>
      </c>
      <c r="K114" s="5">
        <v>9714381</v>
      </c>
      <c r="L114" s="5" t="s">
        <v>194</v>
      </c>
      <c r="M114" s="17">
        <v>46140.583333333336</v>
      </c>
      <c r="N114" s="18" t="b">
        <v>1</v>
      </c>
      <c r="O114" s="18"/>
      <c r="P114" s="5"/>
      <c r="Q114" s="8"/>
      <c r="R114" s="8"/>
      <c r="S114" s="8"/>
      <c r="T114" s="8"/>
      <c r="U114" s="8"/>
      <c r="V114" s="8"/>
      <c r="W114" s="8"/>
      <c r="X114" s="22"/>
      <c r="Y114" s="22" t="str">
        <f ca="1">IFERROR(__xludf.DUMMYFUNCTION("""COMPUTED_VALUE"""),"Mile")</f>
        <v>Mile</v>
      </c>
      <c r="Z114" s="22"/>
      <c r="AA114" s="22"/>
      <c r="AB114" s="8"/>
      <c r="AC114" s="8" t="str">
        <f ca="1">IFERROR(__xludf.DUMMYFUNCTION("""COMPUTED_VALUE"""),"Dominator L")</f>
        <v>Dominator L</v>
      </c>
      <c r="AD114" s="24"/>
      <c r="AE114" s="24" t="str">
        <f t="shared" si="0"/>
        <v/>
      </c>
      <c r="AF114" s="22" t="str">
        <f t="shared" ca="1" si="3"/>
        <v/>
      </c>
      <c r="AG114" s="22">
        <f t="shared" ca="1" si="2"/>
        <v>1</v>
      </c>
      <c r="AH114" s="8"/>
      <c r="AI114" s="8"/>
    </row>
    <row r="115" spans="2:35" ht="15.75" customHeight="1" x14ac:dyDescent="0.25">
      <c r="B115" s="8"/>
      <c r="C115" s="8"/>
      <c r="D115" s="8"/>
      <c r="E115" s="5" t="s">
        <v>200</v>
      </c>
      <c r="F115" s="16">
        <v>84000</v>
      </c>
      <c r="G115" s="16">
        <v>54656</v>
      </c>
      <c r="H115" s="5" t="s">
        <v>20</v>
      </c>
      <c r="I115" s="5" t="s">
        <v>21</v>
      </c>
      <c r="J115" s="5">
        <v>311000375</v>
      </c>
      <c r="K115" s="5">
        <v>9706516</v>
      </c>
      <c r="L115" s="5"/>
      <c r="M115" s="17"/>
      <c r="N115" s="18" t="b">
        <v>1</v>
      </c>
      <c r="O115" s="18"/>
      <c r="P115" s="5"/>
      <c r="Q115" s="8"/>
      <c r="R115" s="8"/>
      <c r="S115" s="8"/>
      <c r="T115" s="8"/>
      <c r="U115" s="8"/>
      <c r="V115" s="8"/>
      <c r="W115" s="8"/>
      <c r="X115" s="22"/>
      <c r="Y115" s="22" t="str">
        <f ca="1">IFERROR(__xludf.DUMMYFUNCTION("""COMPUTED_VALUE"""),"Ming Long")</f>
        <v>Ming Long</v>
      </c>
      <c r="Z115" s="22"/>
      <c r="AA115" s="22"/>
      <c r="AB115" s="8"/>
      <c r="AC115" s="8" t="str">
        <f ca="1">IFERROR(__xludf.DUMMYFUNCTION("""COMPUTED_VALUE"""),"Doraji Gas")</f>
        <v>Doraji Gas</v>
      </c>
      <c r="AD115" s="24"/>
      <c r="AE115" s="24" t="str">
        <f t="shared" si="0"/>
        <v/>
      </c>
      <c r="AF115" s="22" t="str">
        <f t="shared" ca="1" si="3"/>
        <v/>
      </c>
      <c r="AG115" s="22">
        <f t="shared" ca="1" si="2"/>
        <v>1</v>
      </c>
      <c r="AH115" s="8"/>
      <c r="AI115" s="8"/>
    </row>
    <row r="116" spans="2:35" ht="15.75" customHeight="1" x14ac:dyDescent="0.25">
      <c r="B116" s="8"/>
      <c r="C116" s="8"/>
      <c r="D116" s="8"/>
      <c r="E116" s="5" t="s">
        <v>201</v>
      </c>
      <c r="F116" s="16">
        <v>88000</v>
      </c>
      <c r="G116" s="16">
        <v>56044</v>
      </c>
      <c r="H116" s="5" t="s">
        <v>20</v>
      </c>
      <c r="I116" s="5" t="s">
        <v>21</v>
      </c>
      <c r="J116" s="5">
        <v>636022843</v>
      </c>
      <c r="K116" s="5">
        <v>9984728</v>
      </c>
      <c r="L116" s="5" t="s">
        <v>107</v>
      </c>
      <c r="M116" s="17">
        <v>46135.25</v>
      </c>
      <c r="N116" s="18" t="b">
        <v>1</v>
      </c>
      <c r="O116" s="18"/>
      <c r="P116" s="5"/>
      <c r="Q116" s="8"/>
      <c r="R116" s="8"/>
      <c r="S116" s="8"/>
      <c r="T116" s="8"/>
      <c r="U116" s="8"/>
      <c r="V116" s="8"/>
      <c r="W116" s="8"/>
      <c r="X116" s="22"/>
      <c r="Y116" s="22" t="str">
        <f ca="1">IFERROR(__xludf.DUMMYFUNCTION("""COMPUTED_VALUE"""),"Miura")</f>
        <v>Miura</v>
      </c>
      <c r="Z116" s="22"/>
      <c r="AA116" s="22"/>
      <c r="AB116" s="8"/>
      <c r="AC116" s="8" t="str">
        <f ca="1">IFERROR(__xludf.DUMMYFUNCTION("""COMPUTED_VALUE"""),"Dorset")</f>
        <v>Dorset</v>
      </c>
      <c r="AD116" s="24"/>
      <c r="AE116" s="24" t="str">
        <f t="shared" si="0"/>
        <v/>
      </c>
      <c r="AF116" s="22" t="str">
        <f t="shared" ca="1" si="3"/>
        <v/>
      </c>
      <c r="AG116" s="22">
        <f t="shared" ca="1" si="2"/>
        <v>1</v>
      </c>
      <c r="AH116" s="8"/>
      <c r="AI116" s="8"/>
    </row>
    <row r="117" spans="2:35" ht="15.75" customHeight="1" x14ac:dyDescent="0.25">
      <c r="B117" s="8"/>
      <c r="C117" s="8"/>
      <c r="D117" s="8"/>
      <c r="E117" s="5" t="s">
        <v>202</v>
      </c>
      <c r="F117" s="16">
        <v>84000</v>
      </c>
      <c r="G117" s="16">
        <v>54336</v>
      </c>
      <c r="H117" s="5" t="s">
        <v>26</v>
      </c>
      <c r="I117" s="5" t="s">
        <v>21</v>
      </c>
      <c r="J117" s="5">
        <v>311000252</v>
      </c>
      <c r="K117" s="5">
        <v>9689926</v>
      </c>
      <c r="L117" s="5" t="s">
        <v>107</v>
      </c>
      <c r="M117" s="17">
        <v>46140.208333333336</v>
      </c>
      <c r="N117" s="18" t="b">
        <v>0</v>
      </c>
      <c r="O117" s="18"/>
      <c r="P117" s="5"/>
      <c r="Q117" s="8"/>
      <c r="R117" s="8"/>
      <c r="S117" s="8"/>
      <c r="T117" s="8"/>
      <c r="U117" s="8"/>
      <c r="V117" s="8"/>
      <c r="W117" s="8"/>
      <c r="X117" s="22"/>
      <c r="Y117" s="22" t="str">
        <f ca="1">IFERROR(__xludf.DUMMYFUNCTION("""COMPUTED_VALUE"""),"Myra Gas")</f>
        <v>Myra Gas</v>
      </c>
      <c r="Z117" s="22"/>
      <c r="AA117" s="22"/>
      <c r="AB117" s="8"/>
      <c r="AC117" s="8" t="str">
        <f ca="1">IFERROR(__xludf.DUMMYFUNCTION("""COMPUTED_VALUE"""),"Durham")</f>
        <v>Durham</v>
      </c>
      <c r="AD117" s="24"/>
      <c r="AE117" s="24" t="str">
        <f t="shared" si="0"/>
        <v/>
      </c>
      <c r="AF117" s="22" t="str">
        <f t="shared" ca="1" si="3"/>
        <v/>
      </c>
      <c r="AG117" s="22">
        <f t="shared" ca="1" si="2"/>
        <v>1</v>
      </c>
      <c r="AH117" s="8"/>
      <c r="AI117" s="8"/>
    </row>
    <row r="118" spans="2:35" ht="15.75" customHeight="1" x14ac:dyDescent="0.25">
      <c r="B118" s="8"/>
      <c r="C118" s="8"/>
      <c r="D118" s="8"/>
      <c r="E118" s="5" t="s">
        <v>203</v>
      </c>
      <c r="F118" s="16">
        <v>84000</v>
      </c>
      <c r="G118" s="16">
        <v>54336</v>
      </c>
      <c r="H118" s="5" t="s">
        <v>20</v>
      </c>
      <c r="I118" s="5" t="s">
        <v>21</v>
      </c>
      <c r="J118" s="5">
        <v>311000255</v>
      </c>
      <c r="K118" s="5">
        <v>9703837</v>
      </c>
      <c r="L118" s="5" t="s">
        <v>73</v>
      </c>
      <c r="M118" s="17">
        <v>46160.25</v>
      </c>
      <c r="N118" s="18" t="b">
        <v>1</v>
      </c>
      <c r="O118" s="18"/>
      <c r="P118" s="5"/>
      <c r="Q118" s="8"/>
      <c r="R118" s="8"/>
      <c r="S118" s="8"/>
      <c r="T118" s="8"/>
      <c r="U118" s="8"/>
      <c r="V118" s="8"/>
      <c r="W118" s="8"/>
      <c r="X118" s="22"/>
      <c r="Y118" s="22" t="str">
        <f ca="1">IFERROR(__xludf.DUMMYFUNCTION("""COMPUTED_VALUE"""),"Nanda Devi")</f>
        <v>Nanda Devi</v>
      </c>
      <c r="Z118" s="22"/>
      <c r="AA118" s="22"/>
      <c r="AB118" s="8"/>
      <c r="AC118" s="8" t="str">
        <f ca="1">IFERROR(__xludf.DUMMYFUNCTION("""COMPUTED_VALUE"""),"Eiger Explorer")</f>
        <v>Eiger Explorer</v>
      </c>
      <c r="AD118" s="24"/>
      <c r="AE118" s="24" t="str">
        <f t="shared" si="0"/>
        <v/>
      </c>
      <c r="AF118" s="22" t="str">
        <f t="shared" ca="1" si="3"/>
        <v/>
      </c>
      <c r="AG118" s="22">
        <f t="shared" ca="1" si="2"/>
        <v>1</v>
      </c>
      <c r="AH118" s="8"/>
      <c r="AI118" s="8"/>
    </row>
    <row r="119" spans="2:35" ht="15.75" customHeight="1" x14ac:dyDescent="0.25">
      <c r="B119" s="8"/>
      <c r="C119" s="8"/>
      <c r="D119" s="8"/>
      <c r="E119" s="5" t="s">
        <v>204</v>
      </c>
      <c r="F119" s="16">
        <v>85000</v>
      </c>
      <c r="G119" s="16">
        <v>55500</v>
      </c>
      <c r="H119" s="5" t="s">
        <v>53</v>
      </c>
      <c r="I119" s="741" t="s">
        <v>54</v>
      </c>
      <c r="J119" s="742"/>
      <c r="K119" s="5">
        <v>1103029</v>
      </c>
      <c r="L119" s="5"/>
      <c r="M119" s="17"/>
      <c r="N119" s="18" t="b">
        <v>0</v>
      </c>
      <c r="O119" s="18"/>
      <c r="P119" s="5"/>
      <c r="Q119" s="8"/>
      <c r="R119" s="8"/>
      <c r="S119" s="8"/>
      <c r="T119" s="8"/>
      <c r="U119" s="8"/>
      <c r="V119" s="8"/>
      <c r="W119" s="8"/>
      <c r="X119" s="22"/>
      <c r="Y119" s="22" t="str">
        <f ca="1">IFERROR(__xludf.DUMMYFUNCTION("""COMPUTED_VALUE"""),"Navixon")</f>
        <v>Navixon</v>
      </c>
      <c r="Z119" s="22"/>
      <c r="AA119" s="22"/>
      <c r="AB119" s="8"/>
      <c r="AC119" s="8" t="str">
        <f ca="1">IFERROR(__xludf.DUMMYFUNCTION("""COMPUTED_VALUE"""),"Eneos Mirai")</f>
        <v>Eneos Mirai</v>
      </c>
      <c r="AD119" s="24"/>
      <c r="AE119" s="24" t="str">
        <f t="shared" si="0"/>
        <v/>
      </c>
      <c r="AF119" s="22" t="str">
        <f t="shared" ca="1" si="3"/>
        <v/>
      </c>
      <c r="AG119" s="22" t="str">
        <f t="shared" ca="1" si="2"/>
        <v/>
      </c>
      <c r="AH119" s="8"/>
      <c r="AI119" s="8"/>
    </row>
    <row r="120" spans="2:35" ht="15.75" customHeight="1" x14ac:dyDescent="0.25">
      <c r="B120" s="8"/>
      <c r="C120" s="8"/>
      <c r="D120" s="8"/>
      <c r="E120" s="5" t="s">
        <v>205</v>
      </c>
      <c r="F120" s="16">
        <v>85000</v>
      </c>
      <c r="G120" s="16">
        <v>55500</v>
      </c>
      <c r="H120" s="5" t="s">
        <v>53</v>
      </c>
      <c r="I120" s="741" t="s">
        <v>54</v>
      </c>
      <c r="J120" s="742"/>
      <c r="K120" s="5">
        <v>1103031</v>
      </c>
      <c r="L120" s="5"/>
      <c r="M120" s="17"/>
      <c r="N120" s="18" t="b">
        <v>0</v>
      </c>
      <c r="O120" s="18"/>
      <c r="P120" s="5"/>
      <c r="Q120" s="8"/>
      <c r="R120" s="8"/>
      <c r="S120" s="8"/>
      <c r="T120" s="8"/>
      <c r="U120" s="8"/>
      <c r="V120" s="8"/>
      <c r="W120" s="8"/>
      <c r="X120" s="22"/>
      <c r="Y120" s="22" t="str">
        <f ca="1">IFERROR(__xludf.DUMMYFUNCTION("""COMPUTED_VALUE"""),"Ocean Radiance")</f>
        <v>Ocean Radiance</v>
      </c>
      <c r="Z120" s="22"/>
      <c r="AA120" s="22"/>
      <c r="AB120" s="8"/>
      <c r="AC120" s="8" t="str">
        <f ca="1">IFERROR(__xludf.DUMMYFUNCTION("""COMPUTED_VALUE"""),"Eneos Wisdom")</f>
        <v>Eneos Wisdom</v>
      </c>
      <c r="AD120" s="24"/>
      <c r="AE120" s="24" t="str">
        <f t="shared" si="0"/>
        <v/>
      </c>
      <c r="AF120" s="22" t="str">
        <f t="shared" ca="1" si="3"/>
        <v/>
      </c>
      <c r="AG120" s="22" t="str">
        <f t="shared" ca="1" si="2"/>
        <v/>
      </c>
      <c r="AH120" s="8"/>
      <c r="AI120" s="8"/>
    </row>
    <row r="121" spans="2:35" ht="15.75" customHeight="1" x14ac:dyDescent="0.25">
      <c r="B121" s="8"/>
      <c r="C121" s="8"/>
      <c r="D121" s="8"/>
      <c r="E121" s="5" t="s">
        <v>206</v>
      </c>
      <c r="F121" s="16">
        <v>84000</v>
      </c>
      <c r="G121" s="16">
        <v>54494</v>
      </c>
      <c r="H121" s="5" t="s">
        <v>26</v>
      </c>
      <c r="I121" s="5" t="s">
        <v>21</v>
      </c>
      <c r="J121" s="5">
        <v>311000344</v>
      </c>
      <c r="K121" s="5">
        <v>9702003</v>
      </c>
      <c r="L121" s="5" t="s">
        <v>107</v>
      </c>
      <c r="M121" s="17">
        <v>46150.625</v>
      </c>
      <c r="N121" s="18" t="b">
        <v>0</v>
      </c>
      <c r="O121" s="18"/>
      <c r="P121" s="5"/>
      <c r="Q121" s="8"/>
      <c r="R121" s="8"/>
      <c r="S121" s="8"/>
      <c r="T121" s="8"/>
      <c r="U121" s="8"/>
      <c r="V121" s="8"/>
      <c r="W121" s="8"/>
      <c r="X121" s="22"/>
      <c r="Y121" s="22" t="str">
        <f ca="1">IFERROR(__xludf.DUMMYFUNCTION("""COMPUTED_VALUE"""),"Orchid Cove")</f>
        <v>Orchid Cove</v>
      </c>
      <c r="Z121" s="22"/>
      <c r="AA121" s="22"/>
      <c r="AB121" s="8"/>
      <c r="AC121" s="8" t="str">
        <f ca="1">IFERROR(__xludf.DUMMYFUNCTION("""COMPUTED_VALUE"""),"Energia Grandeur")</f>
        <v>Energia Grandeur</v>
      </c>
      <c r="AD121" s="24"/>
      <c r="AE121" s="24" t="str">
        <f t="shared" si="0"/>
        <v/>
      </c>
      <c r="AF121" s="22" t="str">
        <f t="shared" ca="1" si="3"/>
        <v/>
      </c>
      <c r="AG121" s="22">
        <f t="shared" ca="1" si="2"/>
        <v>1</v>
      </c>
      <c r="AH121" s="8"/>
      <c r="AI121" s="8"/>
    </row>
    <row r="122" spans="2:35" ht="15.75" customHeight="1" x14ac:dyDescent="0.25">
      <c r="B122" s="8"/>
      <c r="C122" s="8"/>
      <c r="D122" s="8"/>
      <c r="E122" s="5" t="s">
        <v>207</v>
      </c>
      <c r="F122" s="16">
        <v>84000</v>
      </c>
      <c r="G122" s="16">
        <v>54656</v>
      </c>
      <c r="H122" s="5" t="s">
        <v>100</v>
      </c>
      <c r="I122" s="5" t="s">
        <v>21</v>
      </c>
      <c r="J122" s="5">
        <v>311000374</v>
      </c>
      <c r="K122" s="5">
        <v>9702041</v>
      </c>
      <c r="L122" s="5" t="s">
        <v>107</v>
      </c>
      <c r="M122" s="17">
        <v>46132.375</v>
      </c>
      <c r="N122" s="18" t="b">
        <v>0</v>
      </c>
      <c r="O122" s="18"/>
      <c r="P122" s="5"/>
      <c r="Q122" s="8"/>
      <c r="R122" s="8"/>
      <c r="S122" s="8"/>
      <c r="T122" s="8"/>
      <c r="U122" s="8"/>
      <c r="V122" s="8"/>
      <c r="W122" s="8"/>
      <c r="X122" s="22"/>
      <c r="Y122" s="22" t="str">
        <f ca="1">IFERROR(__xludf.DUMMYFUNCTION("""COMPUTED_VALUE"""),"Orlando 1")</f>
        <v>Orlando 1</v>
      </c>
      <c r="Z122" s="22"/>
      <c r="AA122" s="22"/>
      <c r="AB122" s="8"/>
      <c r="AC122" s="8" t="str">
        <f ca="1">IFERROR(__xludf.DUMMYFUNCTION("""COMPUTED_VALUE"""),"Eternal Glory")</f>
        <v>Eternal Glory</v>
      </c>
      <c r="AD122" s="24"/>
      <c r="AE122" s="24" t="str">
        <f t="shared" si="0"/>
        <v/>
      </c>
      <c r="AF122" s="22" t="str">
        <f t="shared" ca="1" si="3"/>
        <v/>
      </c>
      <c r="AG122" s="22">
        <f t="shared" ca="1" si="2"/>
        <v>1</v>
      </c>
      <c r="AH122" s="8"/>
      <c r="AI122" s="8"/>
    </row>
    <row r="123" spans="2:35" ht="15.75" customHeight="1" x14ac:dyDescent="0.25">
      <c r="B123" s="8"/>
      <c r="C123" s="8"/>
      <c r="D123" s="8"/>
      <c r="E123" s="5" t="s">
        <v>208</v>
      </c>
      <c r="F123" s="16">
        <v>84000</v>
      </c>
      <c r="G123" s="16">
        <v>54657</v>
      </c>
      <c r="H123" s="5" t="s">
        <v>26</v>
      </c>
      <c r="I123" s="5" t="s">
        <v>21</v>
      </c>
      <c r="J123" s="5">
        <v>311000373</v>
      </c>
      <c r="K123" s="5">
        <v>9702039</v>
      </c>
      <c r="L123" s="5" t="s">
        <v>107</v>
      </c>
      <c r="M123" s="17">
        <v>46136.75</v>
      </c>
      <c r="N123" s="18" t="b">
        <v>0</v>
      </c>
      <c r="O123" s="18"/>
      <c r="P123" s="5"/>
      <c r="Q123" s="8"/>
      <c r="R123" s="8"/>
      <c r="S123" s="8"/>
      <c r="T123" s="8"/>
      <c r="U123" s="8"/>
      <c r="V123" s="8"/>
      <c r="W123" s="8"/>
      <c r="X123" s="22"/>
      <c r="Y123" s="22" t="str">
        <f ca="1">IFERROR(__xludf.DUMMYFUNCTION("""COMPUTED_VALUE"""),"Pawan Putra")</f>
        <v>Pawan Putra</v>
      </c>
      <c r="Z123" s="22"/>
      <c r="AA123" s="22"/>
      <c r="AB123" s="8"/>
      <c r="AC123" s="8" t="str">
        <f ca="1">IFERROR(__xludf.DUMMYFUNCTION("""COMPUTED_VALUE"""),"Flanders Innovation")</f>
        <v>Flanders Innovation</v>
      </c>
      <c r="AD123" s="24"/>
      <c r="AE123" s="24" t="str">
        <f t="shared" si="0"/>
        <v/>
      </c>
      <c r="AF123" s="22" t="str">
        <f t="shared" ca="1" si="3"/>
        <v/>
      </c>
      <c r="AG123" s="22">
        <f t="shared" ca="1" si="2"/>
        <v>1</v>
      </c>
      <c r="AH123" s="8"/>
      <c r="AI123" s="8"/>
    </row>
    <row r="124" spans="2:35" ht="15.75" customHeight="1" x14ac:dyDescent="0.25">
      <c r="B124" s="8"/>
      <c r="C124" s="8"/>
      <c r="D124" s="8"/>
      <c r="E124" s="5" t="s">
        <v>209</v>
      </c>
      <c r="F124" s="16">
        <v>86000</v>
      </c>
      <c r="G124" s="16">
        <v>51111</v>
      </c>
      <c r="H124" s="5" t="s">
        <v>26</v>
      </c>
      <c r="I124" s="5" t="s">
        <v>21</v>
      </c>
      <c r="J124" s="5">
        <v>352002747</v>
      </c>
      <c r="K124" s="5">
        <v>9944974</v>
      </c>
      <c r="L124" s="5" t="s">
        <v>38</v>
      </c>
      <c r="M124" s="17">
        <v>46161.333333333336</v>
      </c>
      <c r="N124" s="18" t="b">
        <v>0</v>
      </c>
      <c r="O124" s="18"/>
      <c r="P124" s="5"/>
      <c r="Q124" s="8"/>
      <c r="R124" s="8"/>
      <c r="S124" s="8"/>
      <c r="T124" s="8"/>
      <c r="U124" s="8"/>
      <c r="V124" s="8"/>
      <c r="W124" s="8"/>
      <c r="X124" s="22"/>
      <c r="Y124" s="22" t="str">
        <f ca="1">IFERROR(__xludf.DUMMYFUNCTION("""COMPUTED_VALUE"""),"Pinar Gas")</f>
        <v>Pinar Gas</v>
      </c>
      <c r="Z124" s="22"/>
      <c r="AA124" s="22"/>
      <c r="AB124" s="8"/>
      <c r="AC124" s="8" t="str">
        <f ca="1">IFERROR(__xludf.DUMMYFUNCTION("""COMPUTED_VALUE"""),"Flanders Pioneer")</f>
        <v>Flanders Pioneer</v>
      </c>
      <c r="AD124" s="24"/>
      <c r="AE124" s="24" t="str">
        <f t="shared" si="0"/>
        <v/>
      </c>
      <c r="AF124" s="22" t="str">
        <f t="shared" ca="1" si="3"/>
        <v/>
      </c>
      <c r="AG124" s="22">
        <f t="shared" ca="1" si="2"/>
        <v>1</v>
      </c>
      <c r="AH124" s="8"/>
      <c r="AI124" s="8"/>
    </row>
    <row r="125" spans="2:35" ht="15.75" customHeight="1" x14ac:dyDescent="0.25">
      <c r="B125" s="8"/>
      <c r="C125" s="8"/>
      <c r="D125" s="8"/>
      <c r="E125" s="5" t="s">
        <v>210</v>
      </c>
      <c r="F125" s="16">
        <v>82200</v>
      </c>
      <c r="G125" s="16">
        <v>53995</v>
      </c>
      <c r="H125" s="5" t="s">
        <v>26</v>
      </c>
      <c r="I125" s="5" t="s">
        <v>21</v>
      </c>
      <c r="J125" s="5">
        <v>563101100</v>
      </c>
      <c r="K125" s="5">
        <v>9833199</v>
      </c>
      <c r="L125" s="5" t="s">
        <v>107</v>
      </c>
      <c r="M125" s="17">
        <v>46134.000694444447</v>
      </c>
      <c r="N125" s="18" t="b">
        <v>0</v>
      </c>
      <c r="O125" s="18"/>
      <c r="P125" s="5"/>
      <c r="Q125" s="8"/>
      <c r="R125" s="8"/>
      <c r="S125" s="8"/>
      <c r="T125" s="8"/>
      <c r="U125" s="8"/>
      <c r="V125" s="8"/>
      <c r="W125" s="8"/>
      <c r="X125" s="22"/>
      <c r="Y125" s="22" t="str">
        <f ca="1">IFERROR(__xludf.DUMMYFUNCTION("""COMPUTED_VALUE"""),"Pine Gas")</f>
        <v>Pine Gas</v>
      </c>
      <c r="Z125" s="22"/>
      <c r="AA125" s="22"/>
      <c r="AB125" s="8"/>
      <c r="AC125" s="8" t="str">
        <f ca="1">IFERROR(__xludf.DUMMYFUNCTION("""COMPUTED_VALUE"""),"Freycinet")</f>
        <v>Freycinet</v>
      </c>
      <c r="AD125" s="24"/>
      <c r="AE125" s="24" t="str">
        <f t="shared" si="0"/>
        <v/>
      </c>
      <c r="AF125" s="22" t="str">
        <f t="shared" ca="1" si="3"/>
        <v/>
      </c>
      <c r="AG125" s="22">
        <f t="shared" ca="1" si="2"/>
        <v>1</v>
      </c>
      <c r="AH125" s="8"/>
      <c r="AI125" s="8"/>
    </row>
    <row r="126" spans="2:35" ht="15.75" customHeight="1" x14ac:dyDescent="0.25">
      <c r="B126" s="8"/>
      <c r="C126" s="8"/>
      <c r="D126" s="22"/>
      <c r="E126" s="5" t="s">
        <v>211</v>
      </c>
      <c r="F126" s="16">
        <v>84000</v>
      </c>
      <c r="G126" s="16">
        <v>54922</v>
      </c>
      <c r="H126" s="5" t="s">
        <v>26</v>
      </c>
      <c r="I126" s="5" t="s">
        <v>21</v>
      </c>
      <c r="J126" s="5">
        <v>563134600</v>
      </c>
      <c r="K126" s="5">
        <v>9889576</v>
      </c>
      <c r="L126" s="5" t="s">
        <v>80</v>
      </c>
      <c r="M126" s="17">
        <v>46143.791666666664</v>
      </c>
      <c r="N126" s="18" t="b">
        <v>0</v>
      </c>
      <c r="O126" s="18"/>
      <c r="P126" s="5"/>
      <c r="Q126" s="8"/>
      <c r="R126" s="8"/>
      <c r="S126" s="8"/>
      <c r="T126" s="8"/>
      <c r="U126" s="8"/>
      <c r="V126" s="8"/>
      <c r="W126" s="8"/>
      <c r="X126" s="22"/>
      <c r="Y126" s="22" t="str">
        <f ca="1">IFERROR(__xludf.DUMMYFUNCTION("""COMPUTED_VALUE"""),"Pyra")</f>
        <v>Pyra</v>
      </c>
      <c r="Z126" s="22"/>
      <c r="AA126" s="22"/>
      <c r="AB126" s="8"/>
      <c r="AC126" s="8" t="str">
        <f ca="1">IFERROR(__xludf.DUMMYFUNCTION("""COMPUTED_VALUE"""),"Fritzi N")</f>
        <v>Fritzi N</v>
      </c>
      <c r="AD126" s="24"/>
      <c r="AE126" s="24" t="str">
        <f t="shared" si="0"/>
        <v/>
      </c>
      <c r="AF126" s="22" t="str">
        <f t="shared" ca="1" si="3"/>
        <v/>
      </c>
      <c r="AG126" s="22">
        <f t="shared" ca="1" si="2"/>
        <v>1</v>
      </c>
      <c r="AH126" s="8"/>
      <c r="AI126" s="8"/>
    </row>
    <row r="127" spans="2:35" ht="15.75" customHeight="1" x14ac:dyDescent="0.25">
      <c r="B127" s="8"/>
      <c r="C127" s="8"/>
      <c r="D127" s="8"/>
      <c r="E127" s="5" t="s">
        <v>212</v>
      </c>
      <c r="F127" s="16">
        <v>86700</v>
      </c>
      <c r="G127" s="16">
        <v>55000</v>
      </c>
      <c r="H127" s="5" t="s">
        <v>20</v>
      </c>
      <c r="I127" s="5" t="s">
        <v>21</v>
      </c>
      <c r="J127" s="5">
        <v>563249400</v>
      </c>
      <c r="K127" s="5">
        <v>9978781</v>
      </c>
      <c r="L127" s="5" t="s">
        <v>130</v>
      </c>
      <c r="M127" s="17">
        <v>46157.375</v>
      </c>
      <c r="N127" s="18" t="b">
        <v>1</v>
      </c>
      <c r="O127" s="18"/>
      <c r="P127" s="5"/>
      <c r="Q127" s="8"/>
      <c r="R127" s="8"/>
      <c r="S127" s="8"/>
      <c r="T127" s="8"/>
      <c r="U127" s="8"/>
      <c r="V127" s="8"/>
      <c r="W127" s="8"/>
      <c r="X127" s="22"/>
      <c r="Y127" s="22" t="str">
        <f ca="1">IFERROR(__xludf.DUMMYFUNCTION("""COMPUTED_VALUE"""),"Quantum Star")</f>
        <v>Quantum Star</v>
      </c>
      <c r="Z127" s="22"/>
      <c r="AA127" s="22"/>
      <c r="AB127" s="8"/>
      <c r="AC127" s="8" t="str">
        <f ca="1">IFERROR(__xludf.DUMMYFUNCTION("""COMPUTED_VALUE"""),"Future Ace")</f>
        <v>Future Ace</v>
      </c>
      <c r="AD127" s="24"/>
      <c r="AE127" s="24" t="str">
        <f t="shared" si="0"/>
        <v/>
      </c>
      <c r="AF127" s="22" t="str">
        <f t="shared" ca="1" si="3"/>
        <v/>
      </c>
      <c r="AG127" s="22">
        <f t="shared" ca="1" si="2"/>
        <v>1</v>
      </c>
      <c r="AH127" s="8"/>
      <c r="AI127" s="8"/>
    </row>
    <row r="128" spans="2:35" ht="15.75" customHeight="1" x14ac:dyDescent="0.25">
      <c r="B128" s="8"/>
      <c r="C128" s="8"/>
      <c r="D128" s="8"/>
      <c r="E128" s="5" t="s">
        <v>213</v>
      </c>
      <c r="F128" s="16">
        <v>84000</v>
      </c>
      <c r="G128" s="16">
        <v>55090</v>
      </c>
      <c r="H128" s="5" t="s">
        <v>20</v>
      </c>
      <c r="I128" s="5" t="s">
        <v>21</v>
      </c>
      <c r="J128" s="5">
        <v>563156500</v>
      </c>
      <c r="K128" s="5">
        <v>9915806</v>
      </c>
      <c r="L128" s="5" t="s">
        <v>144</v>
      </c>
      <c r="M128" s="17">
        <v>46134.375</v>
      </c>
      <c r="N128" s="18" t="b">
        <v>1</v>
      </c>
      <c r="O128" s="18"/>
      <c r="P128" s="5"/>
      <c r="Q128" s="8"/>
      <c r="R128" s="8"/>
      <c r="S128" s="8"/>
      <c r="T128" s="8"/>
      <c r="U128" s="8"/>
      <c r="V128" s="8"/>
      <c r="W128" s="8"/>
      <c r="X128" s="22"/>
      <c r="Y128" s="22" t="str">
        <f ca="1">IFERROR(__xludf.DUMMYFUNCTION("""COMPUTED_VALUE"""),"Raine")</f>
        <v>Raine</v>
      </c>
      <c r="Z128" s="22"/>
      <c r="AA128" s="22"/>
      <c r="AB128" s="8"/>
      <c r="AC128" s="8" t="str">
        <f ca="1">IFERROR(__xludf.DUMMYFUNCTION("""COMPUTED_VALUE"""),"Future Diamond")</f>
        <v>Future Diamond</v>
      </c>
      <c r="AD128" s="24"/>
      <c r="AE128" s="24" t="str">
        <f t="shared" si="0"/>
        <v/>
      </c>
      <c r="AF128" s="22" t="str">
        <f t="shared" ca="1" si="3"/>
        <v/>
      </c>
      <c r="AG128" s="22">
        <f t="shared" ca="1" si="2"/>
        <v>1</v>
      </c>
      <c r="AH128" s="8"/>
      <c r="AI128" s="8"/>
    </row>
    <row r="129" spans="2:35" ht="15.75" customHeight="1" x14ac:dyDescent="0.25">
      <c r="B129" s="8"/>
      <c r="C129" s="8"/>
      <c r="D129" s="8"/>
      <c r="E129" s="5" t="s">
        <v>214</v>
      </c>
      <c r="F129" s="16">
        <v>86700</v>
      </c>
      <c r="G129" s="16">
        <v>55000</v>
      </c>
      <c r="H129" s="5" t="s">
        <v>20</v>
      </c>
      <c r="I129" s="5" t="s">
        <v>21</v>
      </c>
      <c r="J129" s="5">
        <v>563259200</v>
      </c>
      <c r="K129" s="5">
        <v>9997177</v>
      </c>
      <c r="L129" s="5" t="s">
        <v>215</v>
      </c>
      <c r="M129" s="17">
        <v>46132.5</v>
      </c>
      <c r="N129" s="18" t="b">
        <v>1</v>
      </c>
      <c r="O129" s="18"/>
      <c r="P129" s="5"/>
      <c r="Q129" s="8"/>
      <c r="R129" s="8"/>
      <c r="S129" s="8"/>
      <c r="T129" s="8"/>
      <c r="U129" s="8"/>
      <c r="V129" s="8"/>
      <c r="W129" s="8"/>
      <c r="X129" s="22"/>
      <c r="Y129" s="22" t="str">
        <f ca="1">IFERROR(__xludf.DUMMYFUNCTION("""COMPUTED_VALUE"""),"Reimei")</f>
        <v>Reimei</v>
      </c>
      <c r="Z129" s="22"/>
      <c r="AA129" s="22"/>
      <c r="AB129" s="8"/>
      <c r="AC129" s="8" t="str">
        <f ca="1">IFERROR(__xludf.DUMMYFUNCTION("""COMPUTED_VALUE"""),"Future Energy")</f>
        <v>Future Energy</v>
      </c>
      <c r="AD129" s="24"/>
      <c r="AE129" s="24" t="str">
        <f t="shared" si="0"/>
        <v/>
      </c>
      <c r="AF129" s="22" t="str">
        <f t="shared" ca="1" si="3"/>
        <v/>
      </c>
      <c r="AG129" s="22">
        <f t="shared" ca="1" si="2"/>
        <v>1</v>
      </c>
      <c r="AH129" s="8"/>
      <c r="AI129" s="8"/>
    </row>
    <row r="130" spans="2:35" ht="15.75" customHeight="1" x14ac:dyDescent="0.25">
      <c r="B130" s="8"/>
      <c r="C130" s="8"/>
      <c r="D130" s="8"/>
      <c r="E130" s="5" t="s">
        <v>216</v>
      </c>
      <c r="F130" s="16">
        <v>82200</v>
      </c>
      <c r="G130" s="16">
        <v>54171</v>
      </c>
      <c r="H130" s="5" t="s">
        <v>26</v>
      </c>
      <c r="I130" s="5" t="s">
        <v>21</v>
      </c>
      <c r="J130" s="5">
        <v>374097000</v>
      </c>
      <c r="K130" s="5">
        <v>9780641</v>
      </c>
      <c r="L130" s="5" t="s">
        <v>217</v>
      </c>
      <c r="M130" s="17">
        <v>46135.958333333336</v>
      </c>
      <c r="N130" s="18" t="b">
        <v>0</v>
      </c>
      <c r="O130" s="18"/>
      <c r="P130" s="5"/>
      <c r="Q130" s="8"/>
      <c r="R130" s="8"/>
      <c r="S130" s="8"/>
      <c r="T130" s="8"/>
      <c r="U130" s="8"/>
      <c r="V130" s="8"/>
      <c r="W130" s="8"/>
      <c r="X130" s="22"/>
      <c r="Y130" s="22" t="str">
        <f ca="1">IFERROR(__xludf.DUMMYFUNCTION("""COMPUTED_VALUE"""),"Rong Hao")</f>
        <v>Rong Hao</v>
      </c>
      <c r="Z130" s="22"/>
      <c r="AA130" s="22"/>
      <c r="AB130" s="8"/>
      <c r="AC130" s="8" t="str">
        <f ca="1">IFERROR(__xludf.DUMMYFUNCTION("""COMPUTED_VALUE"""),"Future Explorer")</f>
        <v>Future Explorer</v>
      </c>
      <c r="AD130" s="24"/>
      <c r="AE130" s="24" t="str">
        <f t="shared" si="0"/>
        <v/>
      </c>
      <c r="AF130" s="22" t="str">
        <f t="shared" ca="1" si="3"/>
        <v/>
      </c>
      <c r="AG130" s="22">
        <f t="shared" ca="1" si="2"/>
        <v>1</v>
      </c>
      <c r="AH130" s="8"/>
      <c r="AI130" s="8"/>
    </row>
    <row r="131" spans="2:35" ht="15.75" customHeight="1" x14ac:dyDescent="0.25">
      <c r="B131" s="8"/>
      <c r="C131" s="8"/>
      <c r="D131" s="8"/>
      <c r="E131" s="5" t="s">
        <v>218</v>
      </c>
      <c r="F131" s="16">
        <v>82394</v>
      </c>
      <c r="G131" s="16">
        <v>54070</v>
      </c>
      <c r="H131" s="5" t="s">
        <v>20</v>
      </c>
      <c r="I131" s="5" t="s">
        <v>21</v>
      </c>
      <c r="J131" s="5">
        <v>563689000</v>
      </c>
      <c r="K131" s="5">
        <v>9631682</v>
      </c>
      <c r="L131" s="5" t="s">
        <v>144</v>
      </c>
      <c r="M131" s="33">
        <v>46155.583333333336</v>
      </c>
      <c r="N131" s="18" t="b">
        <v>1</v>
      </c>
      <c r="O131" s="18"/>
      <c r="P131" s="5"/>
      <c r="Q131" s="8"/>
      <c r="R131" s="8"/>
      <c r="S131" s="8"/>
      <c r="T131" s="8"/>
      <c r="U131" s="8"/>
      <c r="V131" s="8"/>
      <c r="W131" s="8"/>
      <c r="X131" s="22"/>
      <c r="Y131" s="22" t="str">
        <f ca="1">IFERROR(__xludf.DUMMYFUNCTION("""COMPUTED_VALUE"""),"Sahyadri")</f>
        <v>Sahyadri</v>
      </c>
      <c r="Z131" s="22"/>
      <c r="AA131" s="22"/>
      <c r="AB131" s="8"/>
      <c r="AC131" s="8" t="str">
        <f ca="1">IFERROR(__xludf.DUMMYFUNCTION("""COMPUTED_VALUE"""),"Future Japan")</f>
        <v>Future Japan</v>
      </c>
      <c r="AD131" s="24"/>
      <c r="AE131" s="24" t="str">
        <f t="shared" si="0"/>
        <v/>
      </c>
      <c r="AF131" s="22" t="str">
        <f t="shared" ca="1" si="3"/>
        <v/>
      </c>
      <c r="AG131" s="22">
        <f t="shared" ca="1" si="2"/>
        <v>1</v>
      </c>
      <c r="AH131" s="8"/>
      <c r="AI131" s="8"/>
    </row>
    <row r="132" spans="2:35" ht="15.75" customHeight="1" x14ac:dyDescent="0.25">
      <c r="B132" s="8"/>
      <c r="C132" s="8"/>
      <c r="D132" s="8"/>
      <c r="E132" s="5" t="s">
        <v>219</v>
      </c>
      <c r="F132" s="16">
        <v>84000</v>
      </c>
      <c r="G132" s="16">
        <v>53600</v>
      </c>
      <c r="H132" s="5" t="s">
        <v>20</v>
      </c>
      <c r="I132" s="5" t="s">
        <v>21</v>
      </c>
      <c r="J132" s="5">
        <v>563144100</v>
      </c>
      <c r="K132" s="5">
        <v>9906269</v>
      </c>
      <c r="L132" s="5" t="s">
        <v>107</v>
      </c>
      <c r="M132" s="17">
        <v>46133.375</v>
      </c>
      <c r="N132" s="18" t="b">
        <v>1</v>
      </c>
      <c r="O132" s="18"/>
      <c r="P132" s="5"/>
      <c r="Q132" s="8"/>
      <c r="R132" s="8"/>
      <c r="S132" s="8"/>
      <c r="T132" s="8"/>
      <c r="U132" s="8"/>
      <c r="V132" s="8"/>
      <c r="W132" s="8"/>
      <c r="X132" s="22"/>
      <c r="Y132" s="22" t="str">
        <f ca="1">IFERROR(__xludf.DUMMYFUNCTION("""COMPUTED_VALUE"""),"Salute")</f>
        <v>Salute</v>
      </c>
      <c r="Z132" s="22"/>
      <c r="AA132" s="22"/>
      <c r="AB132" s="8"/>
      <c r="AC132" s="8" t="str">
        <f ca="1">IFERROR(__xludf.DUMMYFUNCTION("""COMPUTED_VALUE"""),"G Arete")</f>
        <v>G Arete</v>
      </c>
      <c r="AD132" s="24"/>
      <c r="AE132" s="24" t="str">
        <f t="shared" si="0"/>
        <v/>
      </c>
      <c r="AF132" s="22" t="str">
        <f t="shared" ca="1" si="3"/>
        <v/>
      </c>
      <c r="AG132" s="22">
        <f t="shared" ca="1" si="2"/>
        <v>1</v>
      </c>
      <c r="AH132" s="8"/>
      <c r="AI132" s="8"/>
    </row>
    <row r="133" spans="2:35" ht="15.75" customHeight="1" x14ac:dyDescent="0.25">
      <c r="B133" s="8"/>
      <c r="C133" s="8"/>
      <c r="D133" s="8"/>
      <c r="E133" s="5" t="s">
        <v>220</v>
      </c>
      <c r="F133" s="16">
        <v>84269</v>
      </c>
      <c r="G133" s="16">
        <v>54155</v>
      </c>
      <c r="H133" s="5" t="s">
        <v>26</v>
      </c>
      <c r="I133" s="5" t="s">
        <v>21</v>
      </c>
      <c r="J133" s="5">
        <v>307087000</v>
      </c>
      <c r="K133" s="5">
        <v>9113379</v>
      </c>
      <c r="L133" s="5"/>
      <c r="M133" s="17"/>
      <c r="N133" s="18" t="b">
        <v>0</v>
      </c>
      <c r="O133" s="18"/>
      <c r="P133" s="5"/>
      <c r="Q133" s="8"/>
      <c r="R133" s="8"/>
      <c r="S133" s="8"/>
      <c r="T133" s="8"/>
      <c r="U133" s="8"/>
      <c r="V133" s="8"/>
      <c r="W133" s="8"/>
      <c r="X133" s="22"/>
      <c r="Y133" s="22" t="str">
        <f ca="1">IFERROR(__xludf.DUMMYFUNCTION("""COMPUTED_VALUE"""),"Samsung 2689")</f>
        <v>Samsung 2689</v>
      </c>
      <c r="Z133" s="22"/>
      <c r="AA133" s="22"/>
      <c r="AB133" s="8"/>
      <c r="AC133" s="8" t="str">
        <f ca="1">IFERROR(__xludf.DUMMYFUNCTION("""COMPUTED_VALUE"""),"G Swan")</f>
        <v>G Swan</v>
      </c>
      <c r="AD133" s="24"/>
      <c r="AE133" s="24" t="str">
        <f t="shared" si="0"/>
        <v/>
      </c>
      <c r="AF133" s="22" t="str">
        <f t="shared" ca="1" si="3"/>
        <v/>
      </c>
      <c r="AG133" s="22" t="str">
        <f t="shared" ca="1" si="2"/>
        <v/>
      </c>
      <c r="AH133" s="8"/>
      <c r="AI133" s="8"/>
    </row>
    <row r="134" spans="2:35" ht="15.75" customHeight="1" x14ac:dyDescent="0.25">
      <c r="B134" s="8"/>
      <c r="C134" s="8"/>
      <c r="D134" s="8"/>
      <c r="E134" s="5" t="s">
        <v>221</v>
      </c>
      <c r="F134" s="16">
        <v>76929</v>
      </c>
      <c r="G134" s="16">
        <v>49723</v>
      </c>
      <c r="H134" s="5" t="s">
        <v>20</v>
      </c>
      <c r="I134" s="5" t="s">
        <v>21</v>
      </c>
      <c r="J134" s="5">
        <v>352004406</v>
      </c>
      <c r="K134" s="5">
        <v>9172739</v>
      </c>
      <c r="L134" s="5"/>
      <c r="M134" s="33"/>
      <c r="N134" s="18" t="b">
        <v>1</v>
      </c>
      <c r="O134" s="18"/>
      <c r="P134" s="5"/>
      <c r="Q134" s="8"/>
      <c r="R134" s="8"/>
      <c r="S134" s="8"/>
      <c r="T134" s="8"/>
      <c r="U134" s="8"/>
      <c r="V134" s="8"/>
      <c r="W134" s="8"/>
      <c r="X134" s="22"/>
      <c r="Y134" s="22" t="str">
        <f ca="1">IFERROR(__xludf.DUMMYFUNCTION("""COMPUTED_VALUE"""),"Samsung 2690")</f>
        <v>Samsung 2690</v>
      </c>
      <c r="Z134" s="22"/>
      <c r="AA134" s="22"/>
      <c r="AB134" s="8"/>
      <c r="AC134" s="8" t="str">
        <f ca="1">IFERROR(__xludf.DUMMYFUNCTION("""COMPUTED_VALUE"""),"G. Dolce")</f>
        <v>G. Dolce</v>
      </c>
      <c r="AD134" s="24"/>
      <c r="AE134" s="24" t="str">
        <f t="shared" si="0"/>
        <v/>
      </c>
      <c r="AF134" s="22" t="str">
        <f t="shared" ca="1" si="3"/>
        <v/>
      </c>
      <c r="AG134" s="22" t="str">
        <f t="shared" ca="1" si="2"/>
        <v/>
      </c>
      <c r="AH134" s="8"/>
      <c r="AI134" s="8"/>
    </row>
    <row r="135" spans="2:35" ht="15.75" customHeight="1" x14ac:dyDescent="0.25">
      <c r="B135" s="8"/>
      <c r="C135" s="8"/>
      <c r="D135" s="8"/>
      <c r="E135" s="5" t="s">
        <v>222</v>
      </c>
      <c r="F135" s="16">
        <v>91000</v>
      </c>
      <c r="G135" s="16">
        <v>62500</v>
      </c>
      <c r="H135" s="5" t="s">
        <v>20</v>
      </c>
      <c r="I135" s="5" t="s">
        <v>21</v>
      </c>
      <c r="J135" s="5">
        <v>636022367</v>
      </c>
      <c r="K135" s="5">
        <v>9933767</v>
      </c>
      <c r="L135" s="5" t="s">
        <v>194</v>
      </c>
      <c r="M135" s="17">
        <v>46152.75</v>
      </c>
      <c r="N135" s="18" t="b">
        <v>1</v>
      </c>
      <c r="O135" s="18"/>
      <c r="P135" s="5"/>
      <c r="Q135" s="8"/>
      <c r="R135" s="8"/>
      <c r="S135" s="8"/>
      <c r="T135" s="8"/>
      <c r="U135" s="8"/>
      <c r="V135" s="8"/>
      <c r="W135" s="8"/>
      <c r="X135" s="22"/>
      <c r="Y135" s="22" t="str">
        <f ca="1">IFERROR(__xludf.DUMMYFUNCTION("""COMPUTED_VALUE"""),"Samsung 2691")</f>
        <v>Samsung 2691</v>
      </c>
      <c r="Z135" s="22"/>
      <c r="AA135" s="22"/>
      <c r="AB135" s="8"/>
      <c r="AC135" s="8" t="str">
        <f ca="1">IFERROR(__xludf.DUMMYFUNCTION("""COMPUTED_VALUE"""),"G. Forever")</f>
        <v>G. Forever</v>
      </c>
      <c r="AD135" s="24"/>
      <c r="AE135" s="24" t="str">
        <f t="shared" si="0"/>
        <v/>
      </c>
      <c r="AF135" s="22" t="str">
        <f t="shared" ca="1" si="3"/>
        <v/>
      </c>
      <c r="AG135" s="22">
        <f t="shared" ca="1" si="2"/>
        <v>1</v>
      </c>
      <c r="AH135" s="8"/>
      <c r="AI135" s="8"/>
    </row>
    <row r="136" spans="2:35" ht="15.75" customHeight="1" x14ac:dyDescent="0.25">
      <c r="B136" s="8"/>
      <c r="C136" s="8"/>
      <c r="D136" s="8"/>
      <c r="E136" s="5" t="s">
        <v>223</v>
      </c>
      <c r="F136" s="16">
        <v>76980</v>
      </c>
      <c r="G136" s="16">
        <v>56824</v>
      </c>
      <c r="H136" s="5" t="s">
        <v>20</v>
      </c>
      <c r="I136" s="5" t="s">
        <v>21</v>
      </c>
      <c r="J136" s="5">
        <v>511101556</v>
      </c>
      <c r="K136" s="5">
        <v>9193721</v>
      </c>
      <c r="L136" s="5"/>
      <c r="M136" s="17"/>
      <c r="N136" s="18" t="b">
        <v>1</v>
      </c>
      <c r="O136" s="18"/>
      <c r="P136" s="5"/>
      <c r="Q136" s="8"/>
      <c r="R136" s="8"/>
      <c r="S136" s="8"/>
      <c r="T136" s="8"/>
      <c r="U136" s="8"/>
      <c r="V136" s="8"/>
      <c r="W136" s="8"/>
      <c r="X136" s="22"/>
      <c r="Y136" s="22" t="str">
        <f ca="1">IFERROR(__xludf.DUMMYFUNCTION("""COMPUTED_VALUE"""),"Samsung 2692")</f>
        <v>Samsung 2692</v>
      </c>
      <c r="Z136" s="22"/>
      <c r="AA136" s="22"/>
      <c r="AB136" s="8"/>
      <c r="AC136" s="8" t="str">
        <f ca="1">IFERROR(__xludf.DUMMYFUNCTION("""COMPUTED_VALUE"""),"G. Paragon")</f>
        <v>G. Paragon</v>
      </c>
      <c r="AD136" s="24"/>
      <c r="AE136" s="24" t="str">
        <f t="shared" si="0"/>
        <v/>
      </c>
      <c r="AF136" s="22" t="str">
        <f t="shared" ca="1" si="3"/>
        <v/>
      </c>
      <c r="AG136" s="22" t="str">
        <f t="shared" ca="1" si="2"/>
        <v/>
      </c>
      <c r="AH136" s="8"/>
      <c r="AI136" s="8"/>
    </row>
    <row r="137" spans="2:35" ht="15.75" customHeight="1" x14ac:dyDescent="0.25">
      <c r="B137" s="8"/>
      <c r="C137" s="8"/>
      <c r="D137" s="8"/>
      <c r="E137" s="5" t="s">
        <v>224</v>
      </c>
      <c r="F137" s="16">
        <v>84000</v>
      </c>
      <c r="G137" s="16">
        <v>53991</v>
      </c>
      <c r="H137" s="5" t="s">
        <v>20</v>
      </c>
      <c r="I137" s="5" t="s">
        <v>21</v>
      </c>
      <c r="J137" s="5">
        <v>636021037</v>
      </c>
      <c r="K137" s="5">
        <v>9719408</v>
      </c>
      <c r="L137" s="5" t="s">
        <v>130</v>
      </c>
      <c r="M137" s="17">
        <v>46132.4375</v>
      </c>
      <c r="N137" s="18" t="b">
        <v>1</v>
      </c>
      <c r="O137" s="18"/>
      <c r="P137" s="5"/>
      <c r="Q137" s="8"/>
      <c r="R137" s="8"/>
      <c r="S137" s="8"/>
      <c r="T137" s="8"/>
      <c r="U137" s="8"/>
      <c r="V137" s="8"/>
      <c r="W137" s="8"/>
      <c r="X137" s="22"/>
      <c r="Y137" s="22" t="str">
        <f ca="1">IFERROR(__xludf.DUMMYFUNCTION("""COMPUTED_VALUE"""),"Sarv Shakti")</f>
        <v>Sarv Shakti</v>
      </c>
      <c r="Z137" s="22"/>
      <c r="AA137" s="22"/>
      <c r="AB137" s="8"/>
      <c r="AC137" s="8" t="str">
        <f ca="1">IFERROR(__xludf.DUMMYFUNCTION("""COMPUTED_VALUE"""),"G. Spirit")</f>
        <v>G. Spirit</v>
      </c>
      <c r="AD137" s="24"/>
      <c r="AE137" s="24" t="str">
        <f t="shared" si="0"/>
        <v/>
      </c>
      <c r="AF137" s="22" t="str">
        <f t="shared" ca="1" si="3"/>
        <v/>
      </c>
      <c r="AG137" s="22">
        <f t="shared" ca="1" si="2"/>
        <v>1</v>
      </c>
      <c r="AH137" s="8"/>
      <c r="AI137" s="8"/>
    </row>
    <row r="138" spans="2:35" ht="15.75" customHeight="1" x14ac:dyDescent="0.25">
      <c r="B138" s="8"/>
      <c r="C138" s="8"/>
      <c r="D138" s="8"/>
      <c r="E138" s="5" t="s">
        <v>225</v>
      </c>
      <c r="F138" s="16">
        <v>82623</v>
      </c>
      <c r="G138" s="16">
        <v>54584</v>
      </c>
      <c r="H138" s="5" t="s">
        <v>20</v>
      </c>
      <c r="I138" s="5" t="s">
        <v>21</v>
      </c>
      <c r="J138" s="5">
        <v>636011305</v>
      </c>
      <c r="K138" s="5">
        <v>9176369</v>
      </c>
      <c r="L138" s="5" t="s">
        <v>226</v>
      </c>
      <c r="M138" s="17">
        <v>46142.5</v>
      </c>
      <c r="N138" s="18" t="b">
        <v>1</v>
      </c>
      <c r="O138" s="18"/>
      <c r="P138" s="5"/>
      <c r="Q138" s="8"/>
      <c r="R138" s="8"/>
      <c r="S138" s="8"/>
      <c r="T138" s="8"/>
      <c r="U138" s="8"/>
      <c r="V138" s="8"/>
      <c r="W138" s="8"/>
      <c r="X138" s="22"/>
      <c r="Y138" s="22" t="str">
        <f ca="1">IFERROR(__xludf.DUMMYFUNCTION("""COMPUTED_VALUE"""),"Sea Opera")</f>
        <v>Sea Opera</v>
      </c>
      <c r="Z138" s="22"/>
      <c r="AA138" s="22"/>
      <c r="AB138" s="8"/>
      <c r="AC138" s="8" t="str">
        <f ca="1">IFERROR(__xludf.DUMMYFUNCTION("""COMPUTED_VALUE"""),"Galaxy River")</f>
        <v>Galaxy River</v>
      </c>
      <c r="AD138" s="24"/>
      <c r="AE138" s="24" t="str">
        <f t="shared" si="0"/>
        <v/>
      </c>
      <c r="AF138" s="22" t="str">
        <f t="shared" ca="1" si="3"/>
        <v/>
      </c>
      <c r="AG138" s="22">
        <f t="shared" ca="1" si="2"/>
        <v>1</v>
      </c>
      <c r="AH138" s="8"/>
      <c r="AI138" s="8"/>
    </row>
    <row r="139" spans="2:35" ht="15.75" customHeight="1" x14ac:dyDescent="0.25">
      <c r="B139" s="8"/>
      <c r="C139" s="8"/>
      <c r="D139" s="8"/>
      <c r="E139" s="5" t="s">
        <v>227</v>
      </c>
      <c r="F139" s="16">
        <v>80000</v>
      </c>
      <c r="G139" s="16">
        <v>51038</v>
      </c>
      <c r="H139" s="5" t="s">
        <v>26</v>
      </c>
      <c r="I139" s="5" t="s">
        <v>21</v>
      </c>
      <c r="J139" s="5">
        <v>636020882</v>
      </c>
      <c r="K139" s="5">
        <v>9852951</v>
      </c>
      <c r="L139" s="5" t="s">
        <v>107</v>
      </c>
      <c r="M139" s="34">
        <v>46146.520833333336</v>
      </c>
      <c r="N139" s="18" t="b">
        <v>0</v>
      </c>
      <c r="O139" s="18"/>
      <c r="P139" s="5"/>
      <c r="Q139" s="8"/>
      <c r="R139" s="8"/>
      <c r="S139" s="8"/>
      <c r="T139" s="8"/>
      <c r="U139" s="8"/>
      <c r="V139" s="8"/>
      <c r="W139" s="8"/>
      <c r="X139" s="22"/>
      <c r="Y139" s="22" t="str">
        <f ca="1">IFERROR(__xludf.DUMMYFUNCTION("""COMPUTED_VALUE"""),"Seabus")</f>
        <v>Seabus</v>
      </c>
      <c r="Z139" s="22"/>
      <c r="AA139" s="22"/>
      <c r="AB139" s="8"/>
      <c r="AC139" s="8" t="str">
        <f ca="1">IFERROR(__xludf.DUMMYFUNCTION("""COMPUTED_VALUE"""),"Gas Al Ahmadiah")</f>
        <v>Gas Al Ahmadiah</v>
      </c>
      <c r="AD139" s="24"/>
      <c r="AE139" s="24" t="str">
        <f t="shared" si="0"/>
        <v/>
      </c>
      <c r="AF139" s="22" t="str">
        <f t="shared" ca="1" si="3"/>
        <v/>
      </c>
      <c r="AG139" s="22">
        <f t="shared" ca="1" si="2"/>
        <v>1</v>
      </c>
      <c r="AH139" s="8"/>
      <c r="AI139" s="8"/>
    </row>
    <row r="140" spans="2:35" ht="15.75" customHeight="1" x14ac:dyDescent="0.25">
      <c r="B140" s="8"/>
      <c r="C140" s="8"/>
      <c r="D140" s="8"/>
      <c r="E140" s="5" t="s">
        <v>228</v>
      </c>
      <c r="F140" s="16">
        <v>88000</v>
      </c>
      <c r="G140" s="16">
        <v>56044</v>
      </c>
      <c r="H140" s="5" t="s">
        <v>26</v>
      </c>
      <c r="I140" s="5" t="s">
        <v>21</v>
      </c>
      <c r="J140" s="5">
        <v>636022849</v>
      </c>
      <c r="K140" s="5">
        <v>9993638</v>
      </c>
      <c r="L140" s="5" t="s">
        <v>107</v>
      </c>
      <c r="M140" s="17">
        <v>46139.875</v>
      </c>
      <c r="N140" s="18" t="b">
        <v>0</v>
      </c>
      <c r="O140" s="18"/>
      <c r="P140" s="5"/>
      <c r="Q140" s="8"/>
      <c r="R140" s="8"/>
      <c r="S140" s="8"/>
      <c r="T140" s="8"/>
      <c r="U140" s="8"/>
      <c r="V140" s="8"/>
      <c r="W140" s="8"/>
      <c r="X140" s="22"/>
      <c r="Y140" s="22" t="str">
        <f ca="1">IFERROR(__xludf.DUMMYFUNCTION("""COMPUTED_VALUE"""),"Sequoia Cove")</f>
        <v>Sequoia Cove</v>
      </c>
      <c r="Z140" s="22"/>
      <c r="AA140" s="22"/>
      <c r="AB140" s="8"/>
      <c r="AC140" s="8" t="str">
        <f ca="1">IFERROR(__xludf.DUMMYFUNCTION("""COMPUTED_VALUE"""),"Gas Al Kuwait Ii")</f>
        <v>Gas Al Kuwait Ii</v>
      </c>
      <c r="AD140" s="24"/>
      <c r="AE140" s="24" t="str">
        <f t="shared" si="0"/>
        <v/>
      </c>
      <c r="AF140" s="22" t="str">
        <f t="shared" ca="1" si="3"/>
        <v/>
      </c>
      <c r="AG140" s="22">
        <f t="shared" ca="1" si="2"/>
        <v>1</v>
      </c>
      <c r="AH140" s="8"/>
      <c r="AI140" s="8"/>
    </row>
    <row r="141" spans="2:35" ht="15.75" customHeight="1" x14ac:dyDescent="0.25">
      <c r="B141" s="8"/>
      <c r="C141" s="8"/>
      <c r="D141" s="8"/>
      <c r="E141" s="5" t="s">
        <v>229</v>
      </c>
      <c r="F141" s="16">
        <v>83000</v>
      </c>
      <c r="G141" s="16">
        <v>55134</v>
      </c>
      <c r="H141" s="5" t="s">
        <v>26</v>
      </c>
      <c r="I141" s="5" t="s">
        <v>21</v>
      </c>
      <c r="J141" s="5">
        <v>354850000</v>
      </c>
      <c r="K141" s="5">
        <v>9759185</v>
      </c>
      <c r="L141" s="5" t="s">
        <v>107</v>
      </c>
      <c r="M141" s="17">
        <v>46153.125</v>
      </c>
      <c r="N141" s="18" t="b">
        <v>0</v>
      </c>
      <c r="O141" s="18"/>
      <c r="P141" s="5"/>
      <c r="Q141" s="8"/>
      <c r="R141" s="8"/>
      <c r="S141" s="8"/>
      <c r="T141" s="8"/>
      <c r="U141" s="8"/>
      <c r="V141" s="8"/>
      <c r="W141" s="8"/>
      <c r="X141" s="22"/>
      <c r="Y141" s="22" t="str">
        <f ca="1">IFERROR(__xludf.DUMMYFUNCTION("""COMPUTED_VALUE"""),"Shivalik")</f>
        <v>Shivalik</v>
      </c>
      <c r="Z141" s="22"/>
      <c r="AA141" s="22"/>
      <c r="AB141" s="8"/>
      <c r="AC141" s="8" t="str">
        <f ca="1">IFERROR(__xludf.DUMMYFUNCTION("""COMPUTED_VALUE"""),"Gas Al Mubarakiah")</f>
        <v>Gas Al Mubarakiah</v>
      </c>
      <c r="AD141" s="24"/>
      <c r="AE141" s="24" t="str">
        <f t="shared" si="0"/>
        <v/>
      </c>
      <c r="AF141" s="22" t="str">
        <f t="shared" ca="1" si="3"/>
        <v/>
      </c>
      <c r="AG141" s="22">
        <f t="shared" ca="1" si="2"/>
        <v>1</v>
      </c>
      <c r="AH141" s="8"/>
      <c r="AI141" s="8"/>
    </row>
    <row r="142" spans="2:35" ht="15.75" customHeight="1" x14ac:dyDescent="0.25">
      <c r="B142" s="8"/>
      <c r="C142" s="8"/>
      <c r="D142" s="8"/>
      <c r="E142" s="5" t="s">
        <v>230</v>
      </c>
      <c r="F142" s="16">
        <v>78400</v>
      </c>
      <c r="G142" s="16">
        <v>53076</v>
      </c>
      <c r="H142" s="5" t="s">
        <v>26</v>
      </c>
      <c r="I142" s="5" t="s">
        <v>21</v>
      </c>
      <c r="J142" s="5">
        <v>235089774</v>
      </c>
      <c r="K142" s="5">
        <v>9470088</v>
      </c>
      <c r="L142" s="5" t="s">
        <v>101</v>
      </c>
      <c r="M142" s="17">
        <v>46132.125</v>
      </c>
      <c r="N142" s="18" t="b">
        <v>0</v>
      </c>
      <c r="O142" s="18"/>
      <c r="P142" s="5"/>
      <c r="Q142" s="8"/>
      <c r="R142" s="8"/>
      <c r="S142" s="8"/>
      <c r="T142" s="8"/>
      <c r="U142" s="8"/>
      <c r="V142" s="8"/>
      <c r="W142" s="8"/>
      <c r="X142" s="22"/>
      <c r="Y142" s="22" t="str">
        <f ca="1">IFERROR(__xludf.DUMMYFUNCTION("""COMPUTED_VALUE"""),"Sia")</f>
        <v>Sia</v>
      </c>
      <c r="Z142" s="22"/>
      <c r="AA142" s="22"/>
      <c r="AB142" s="8"/>
      <c r="AC142" s="8" t="str">
        <f ca="1">IFERROR(__xludf.DUMMYFUNCTION("""COMPUTED_VALUE"""),"Gas Al Negeh")</f>
        <v>Gas Al Negeh</v>
      </c>
      <c r="AD142" s="24"/>
      <c r="AE142" s="24" t="str">
        <f t="shared" si="0"/>
        <v/>
      </c>
      <c r="AF142" s="22" t="str">
        <f t="shared" ca="1" si="3"/>
        <v/>
      </c>
      <c r="AG142" s="22">
        <f t="shared" ca="1" si="2"/>
        <v>1</v>
      </c>
      <c r="AH142" s="8"/>
      <c r="AI142" s="8"/>
    </row>
    <row r="143" spans="2:35" ht="15.75" customHeight="1" x14ac:dyDescent="0.25">
      <c r="B143" s="8"/>
      <c r="C143" s="8"/>
      <c r="D143" s="8"/>
      <c r="E143" s="5" t="s">
        <v>231</v>
      </c>
      <c r="F143" s="16">
        <v>78549</v>
      </c>
      <c r="G143" s="16">
        <v>56864</v>
      </c>
      <c r="H143" s="5" t="s">
        <v>20</v>
      </c>
      <c r="I143" s="5" t="s">
        <v>21</v>
      </c>
      <c r="J143" s="5">
        <v>268252804</v>
      </c>
      <c r="K143" s="5">
        <v>8917807</v>
      </c>
      <c r="L143" s="5" t="s">
        <v>46</v>
      </c>
      <c r="M143" s="17">
        <v>46133.875</v>
      </c>
      <c r="N143" s="18" t="b">
        <v>1</v>
      </c>
      <c r="O143" s="18"/>
      <c r="P143" s="5"/>
      <c r="Q143" s="8"/>
      <c r="R143" s="8"/>
      <c r="S143" s="8"/>
      <c r="T143" s="8"/>
      <c r="U143" s="8"/>
      <c r="V143" s="8"/>
      <c r="W143" s="8"/>
      <c r="X143" s="22"/>
      <c r="Y143" s="22" t="str">
        <f ca="1">IFERROR(__xludf.DUMMYFUNCTION("""COMPUTED_VALUE"""),"Siona")</f>
        <v>Siona</v>
      </c>
      <c r="Z143" s="22"/>
      <c r="AA143" s="22"/>
      <c r="AB143" s="8"/>
      <c r="AC143" s="8" t="str">
        <f ca="1">IFERROR(__xludf.DUMMYFUNCTION("""COMPUTED_VALUE"""),"Gas Alkhaleej")</f>
        <v>Gas Alkhaleej</v>
      </c>
      <c r="AD143" s="24"/>
      <c r="AE143" s="24" t="str">
        <f t="shared" si="0"/>
        <v/>
      </c>
      <c r="AF143" s="22" t="str">
        <f t="shared" ca="1" si="3"/>
        <v/>
      </c>
      <c r="AG143" s="22" t="str">
        <f t="shared" ca="1" si="2"/>
        <v/>
      </c>
      <c r="AH143" s="8"/>
      <c r="AI143" s="8"/>
    </row>
    <row r="144" spans="2:35" ht="15.75" customHeight="1" x14ac:dyDescent="0.25">
      <c r="B144" s="8"/>
      <c r="C144" s="8"/>
      <c r="D144" s="8"/>
      <c r="E144" s="5" t="s">
        <v>232</v>
      </c>
      <c r="F144" s="16">
        <v>84000</v>
      </c>
      <c r="G144" s="16">
        <v>53696</v>
      </c>
      <c r="H144" s="5" t="s">
        <v>20</v>
      </c>
      <c r="I144" s="5" t="s">
        <v>21</v>
      </c>
      <c r="J144" s="5">
        <v>232031864</v>
      </c>
      <c r="K144" s="5">
        <v>9889564</v>
      </c>
      <c r="L144" s="5" t="s">
        <v>233</v>
      </c>
      <c r="M144" s="33">
        <v>46133.288194444445</v>
      </c>
      <c r="N144" s="18" t="b">
        <v>1</v>
      </c>
      <c r="O144" s="18"/>
      <c r="P144" s="5"/>
      <c r="Q144" s="8"/>
      <c r="R144" s="8"/>
      <c r="S144" s="8"/>
      <c r="T144" s="8"/>
      <c r="U144" s="8"/>
      <c r="V144" s="8"/>
      <c r="W144" s="8"/>
      <c r="X144" s="22"/>
      <c r="Y144" s="22" t="str">
        <f ca="1">IFERROR(__xludf.DUMMYFUNCTION("""COMPUTED_VALUE"""),"Sogl")</f>
        <v>Sogl</v>
      </c>
      <c r="Z144" s="22"/>
      <c r="AA144" s="22"/>
      <c r="AB144" s="8"/>
      <c r="AC144" s="8" t="str">
        <f ca="1">IFERROR(__xludf.DUMMYFUNCTION("""COMPUTED_VALUE"""),"Gas Alyssa")</f>
        <v>Gas Alyssa</v>
      </c>
      <c r="AD144" s="24"/>
      <c r="AE144" s="24" t="str">
        <f t="shared" si="0"/>
        <v/>
      </c>
      <c r="AF144" s="22" t="str">
        <f t="shared" ca="1" si="3"/>
        <v/>
      </c>
      <c r="AG144" s="22">
        <f t="shared" ca="1" si="2"/>
        <v>1</v>
      </c>
      <c r="AH144" s="8"/>
      <c r="AI144" s="8"/>
    </row>
    <row r="145" spans="2:35" ht="15.75" customHeight="1" x14ac:dyDescent="0.25">
      <c r="B145" s="8"/>
      <c r="C145" s="8"/>
      <c r="D145" s="8"/>
      <c r="E145" s="5" t="s">
        <v>234</v>
      </c>
      <c r="F145" s="16">
        <v>80000</v>
      </c>
      <c r="G145" s="16">
        <v>50513</v>
      </c>
      <c r="H145" s="5" t="s">
        <v>26</v>
      </c>
      <c r="I145" s="5" t="s">
        <v>21</v>
      </c>
      <c r="J145" s="5">
        <v>636020881</v>
      </c>
      <c r="K145" s="5">
        <v>9847437</v>
      </c>
      <c r="L145" s="5" t="s">
        <v>43</v>
      </c>
      <c r="M145" s="17">
        <v>46133.833333333336</v>
      </c>
      <c r="N145" s="18" t="b">
        <v>0</v>
      </c>
      <c r="O145" s="18"/>
      <c r="P145" s="5"/>
      <c r="Q145" s="8"/>
      <c r="R145" s="8"/>
      <c r="S145" s="8"/>
      <c r="T145" s="8"/>
      <c r="U145" s="8"/>
      <c r="V145" s="8"/>
      <c r="W145" s="8"/>
      <c r="X145" s="22"/>
      <c r="Y145" s="22" t="str">
        <f ca="1">IFERROR(__xludf.DUMMYFUNCTION("""COMPUTED_VALUE"""),"Tara Gas")</f>
        <v>Tara Gas</v>
      </c>
      <c r="Z145" s="22"/>
      <c r="AA145" s="22"/>
      <c r="AB145" s="8"/>
      <c r="AC145" s="8" t="str">
        <f ca="1">IFERROR(__xludf.DUMMYFUNCTION("""COMPUTED_VALUE"""),"Gas Amethyst")</f>
        <v>Gas Amethyst</v>
      </c>
      <c r="AD145" s="24"/>
      <c r="AE145" s="24" t="str">
        <f t="shared" si="0"/>
        <v/>
      </c>
      <c r="AF145" s="22" t="str">
        <f t="shared" ca="1" si="3"/>
        <v/>
      </c>
      <c r="AG145" s="22">
        <f t="shared" ca="1" si="2"/>
        <v>1</v>
      </c>
      <c r="AH145" s="8"/>
      <c r="AI145" s="8"/>
    </row>
    <row r="146" spans="2:35" ht="15.75" customHeight="1" x14ac:dyDescent="0.25">
      <c r="B146" s="8"/>
      <c r="C146" s="8"/>
      <c r="D146" s="8"/>
      <c r="E146" s="5" t="s">
        <v>235</v>
      </c>
      <c r="F146" s="16">
        <v>78462</v>
      </c>
      <c r="G146" s="16">
        <v>49651</v>
      </c>
      <c r="H146" s="5" t="s">
        <v>26</v>
      </c>
      <c r="I146" s="5" t="s">
        <v>21</v>
      </c>
      <c r="J146" s="5">
        <v>647553040</v>
      </c>
      <c r="K146" s="5">
        <v>9134294</v>
      </c>
      <c r="L146" s="5"/>
      <c r="M146" s="17"/>
      <c r="N146" s="18" t="b">
        <v>0</v>
      </c>
      <c r="O146" s="18"/>
      <c r="P146" s="5"/>
      <c r="Q146" s="8"/>
      <c r="R146" s="8"/>
      <c r="S146" s="8"/>
      <c r="T146" s="8"/>
      <c r="U146" s="8"/>
      <c r="V146" s="8"/>
      <c r="W146" s="8"/>
      <c r="X146" s="22"/>
      <c r="Y146" s="22" t="str">
        <f ca="1">IFERROR(__xludf.DUMMYFUNCTION("""COMPUTED_VALUE"""),"Terra Clove")</f>
        <v>Terra Clove</v>
      </c>
      <c r="Z146" s="22"/>
      <c r="AA146" s="22"/>
      <c r="AB146" s="8"/>
      <c r="AC146" s="8" t="str">
        <f ca="1">IFERROR(__xludf.DUMMYFUNCTION("""COMPUTED_VALUE"""),"Gas Aquarius")</f>
        <v>Gas Aquarius</v>
      </c>
      <c r="AD146" s="24"/>
      <c r="AE146" s="24" t="str">
        <f t="shared" si="0"/>
        <v/>
      </c>
      <c r="AF146" s="22" t="str">
        <f t="shared" ca="1" si="3"/>
        <v/>
      </c>
      <c r="AG146" s="22" t="str">
        <f t="shared" ca="1" si="2"/>
        <v/>
      </c>
      <c r="AH146" s="8"/>
      <c r="AI146" s="8"/>
    </row>
    <row r="147" spans="2:35" ht="15.75" customHeight="1" x14ac:dyDescent="0.25">
      <c r="B147" s="8"/>
      <c r="C147" s="8"/>
      <c r="D147" s="8"/>
      <c r="E147" s="5" t="s">
        <v>236</v>
      </c>
      <c r="F147" s="16">
        <v>86700</v>
      </c>
      <c r="G147" s="16">
        <v>55000</v>
      </c>
      <c r="H147" s="5" t="s">
        <v>20</v>
      </c>
      <c r="I147" s="5" t="s">
        <v>21</v>
      </c>
      <c r="J147" s="5">
        <v>352003182</v>
      </c>
      <c r="K147" s="5">
        <v>9957892</v>
      </c>
      <c r="L147" s="5" t="s">
        <v>107</v>
      </c>
      <c r="M147" s="33">
        <v>46133.666666666664</v>
      </c>
      <c r="N147" s="18" t="b">
        <v>1</v>
      </c>
      <c r="O147" s="18"/>
      <c r="P147" s="5"/>
      <c r="Q147" s="8"/>
      <c r="R147" s="8"/>
      <c r="S147" s="8"/>
      <c r="T147" s="8"/>
      <c r="U147" s="8"/>
      <c r="V147" s="8"/>
      <c r="W147" s="8"/>
      <c r="X147" s="22"/>
      <c r="Y147" s="22" t="str">
        <f ca="1">IFERROR(__xludf.DUMMYFUNCTION("""COMPUTED_VALUE"""),"Terra Moss")</f>
        <v>Terra Moss</v>
      </c>
      <c r="Z147" s="22"/>
      <c r="AA147" s="22"/>
      <c r="AB147" s="8"/>
      <c r="AC147" s="8" t="str">
        <f ca="1">IFERROR(__xludf.DUMMYFUNCTION("""COMPUTED_VALUE"""),"Gas Arcturus")</f>
        <v>Gas Arcturus</v>
      </c>
      <c r="AD147" s="24"/>
      <c r="AE147" s="24" t="str">
        <f t="shared" si="0"/>
        <v/>
      </c>
      <c r="AF147" s="22" t="str">
        <f t="shared" ca="1" si="3"/>
        <v/>
      </c>
      <c r="AG147" s="22">
        <f t="shared" ca="1" si="2"/>
        <v>1</v>
      </c>
      <c r="AH147" s="8"/>
      <c r="AI147" s="8"/>
    </row>
    <row r="148" spans="2:35" ht="15.75" customHeight="1" x14ac:dyDescent="0.25">
      <c r="B148" s="8"/>
      <c r="C148" s="8"/>
      <c r="D148" s="8"/>
      <c r="E148" s="5" t="s">
        <v>237</v>
      </c>
      <c r="F148" s="16">
        <v>91000</v>
      </c>
      <c r="G148" s="16">
        <v>57914</v>
      </c>
      <c r="H148" s="5" t="s">
        <v>20</v>
      </c>
      <c r="I148" s="5" t="s">
        <v>21</v>
      </c>
      <c r="J148" s="5">
        <v>352001885</v>
      </c>
      <c r="K148" s="5">
        <v>9935507</v>
      </c>
      <c r="L148" s="5" t="s">
        <v>238</v>
      </c>
      <c r="M148" s="17">
        <v>46157.463888888888</v>
      </c>
      <c r="N148" s="18" t="b">
        <v>1</v>
      </c>
      <c r="O148" s="18"/>
      <c r="P148" s="5"/>
      <c r="Q148" s="8"/>
      <c r="R148" s="8"/>
      <c r="S148" s="8"/>
      <c r="T148" s="8"/>
      <c r="U148" s="8"/>
      <c r="V148" s="8"/>
      <c r="W148" s="8"/>
      <c r="X148" s="22"/>
      <c r="Y148" s="22" t="str">
        <f ca="1">IFERROR(__xludf.DUMMYFUNCTION("""COMPUTED_VALUE"""),"Terra Rose")</f>
        <v>Terra Rose</v>
      </c>
      <c r="Z148" s="22"/>
      <c r="AA148" s="22"/>
      <c r="AB148" s="8"/>
      <c r="AC148" s="8" t="str">
        <f ca="1">IFERROR(__xludf.DUMMYFUNCTION("""COMPUTED_VALUE"""),"Gas Ares")</f>
        <v>Gas Ares</v>
      </c>
      <c r="AD148" s="24"/>
      <c r="AE148" s="24" t="str">
        <f t="shared" si="0"/>
        <v/>
      </c>
      <c r="AF148" s="22" t="str">
        <f t="shared" ca="1" si="3"/>
        <v/>
      </c>
      <c r="AG148" s="22">
        <f t="shared" ca="1" si="2"/>
        <v>1</v>
      </c>
      <c r="AH148" s="8"/>
      <c r="AI148" s="8"/>
    </row>
    <row r="149" spans="2:35" ht="15.75" customHeight="1" x14ac:dyDescent="0.25">
      <c r="B149" s="8"/>
      <c r="C149" s="8"/>
      <c r="D149" s="8"/>
      <c r="E149" s="5" t="s">
        <v>239</v>
      </c>
      <c r="F149" s="16">
        <v>88000</v>
      </c>
      <c r="G149" s="16">
        <v>51497</v>
      </c>
      <c r="H149" s="5" t="s">
        <v>26</v>
      </c>
      <c r="I149" s="5" t="s">
        <v>21</v>
      </c>
      <c r="J149" s="5">
        <v>636025679</v>
      </c>
      <c r="K149" s="5">
        <v>1051630</v>
      </c>
      <c r="L149" s="5" t="s">
        <v>107</v>
      </c>
      <c r="M149" s="17">
        <v>46155.791666666664</v>
      </c>
      <c r="N149" s="18" t="b">
        <v>0</v>
      </c>
      <c r="O149" s="18"/>
      <c r="P149" s="5"/>
      <c r="Q149" s="8"/>
      <c r="R149" s="8"/>
      <c r="S149" s="8"/>
      <c r="T149" s="8"/>
      <c r="U149" s="8"/>
      <c r="V149" s="8"/>
      <c r="W149" s="8"/>
      <c r="X149" s="22"/>
      <c r="Y149" s="22" t="str">
        <f ca="1">IFERROR(__xludf.DUMMYFUNCTION("""COMPUTED_VALUE"""),"Terra Sycamore")</f>
        <v>Terra Sycamore</v>
      </c>
      <c r="Z149" s="22"/>
      <c r="AA149" s="22"/>
      <c r="AB149" s="8"/>
      <c r="AC149" s="8" t="str">
        <f ca="1">IFERROR(__xludf.DUMMYFUNCTION("""COMPUTED_VALUE"""),"Gas Aries")</f>
        <v>Gas Aries</v>
      </c>
      <c r="AD149" s="24"/>
      <c r="AE149" s="24" t="str">
        <f t="shared" si="0"/>
        <v/>
      </c>
      <c r="AF149" s="22" t="str">
        <f t="shared" ca="1" si="3"/>
        <v/>
      </c>
      <c r="AG149" s="22">
        <f t="shared" ca="1" si="2"/>
        <v>1</v>
      </c>
      <c r="AH149" s="8"/>
      <c r="AI149" s="8"/>
    </row>
    <row r="150" spans="2:35" ht="15.75" customHeight="1" x14ac:dyDescent="0.25">
      <c r="B150" s="8"/>
      <c r="C150" s="8"/>
      <c r="D150" s="8"/>
      <c r="E150" s="5" t="s">
        <v>240</v>
      </c>
      <c r="F150" s="16">
        <v>88000</v>
      </c>
      <c r="G150" s="16">
        <v>51497</v>
      </c>
      <c r="H150" s="5" t="s">
        <v>53</v>
      </c>
      <c r="I150" s="5" t="s">
        <v>54</v>
      </c>
      <c r="J150" s="5">
        <v>636025680</v>
      </c>
      <c r="K150" s="5">
        <v>1051642</v>
      </c>
      <c r="L150" s="5"/>
      <c r="M150" s="17"/>
      <c r="N150" s="18" t="b">
        <v>0</v>
      </c>
      <c r="O150" s="18"/>
      <c r="P150" s="5"/>
      <c r="Q150" s="8"/>
      <c r="R150" s="8"/>
      <c r="S150" s="8"/>
      <c r="T150" s="8"/>
      <c r="U150" s="8"/>
      <c r="V150" s="8"/>
      <c r="W150" s="8"/>
      <c r="X150" s="22"/>
      <c r="Y150" s="22" t="str">
        <f ca="1">IFERROR(__xludf.DUMMYFUNCTION("""COMPUTED_VALUE"""),"The Gas Amelia")</f>
        <v>The Gas Amelia</v>
      </c>
      <c r="Z150" s="22"/>
      <c r="AA150" s="22"/>
      <c r="AB150" s="8"/>
      <c r="AC150" s="8" t="str">
        <f ca="1">IFERROR(__xludf.DUMMYFUNCTION("""COMPUTED_VALUE"""),"Gas Barbarossa")</f>
        <v>Gas Barbarossa</v>
      </c>
      <c r="AD150" s="24"/>
      <c r="AE150" s="24" t="str">
        <f t="shared" si="0"/>
        <v/>
      </c>
      <c r="AF150" s="22" t="str">
        <f t="shared" ca="1" si="3"/>
        <v/>
      </c>
      <c r="AG150" s="22" t="str">
        <f t="shared" ca="1" si="2"/>
        <v/>
      </c>
      <c r="AH150" s="8"/>
      <c r="AI150" s="8"/>
    </row>
    <row r="151" spans="2:35" ht="15.75" customHeight="1" x14ac:dyDescent="0.25">
      <c r="B151" s="8"/>
      <c r="C151" s="8"/>
      <c r="D151" s="8"/>
      <c r="E151" s="5" t="s">
        <v>241</v>
      </c>
      <c r="F151" s="16">
        <v>88000</v>
      </c>
      <c r="G151" s="16">
        <v>63690</v>
      </c>
      <c r="H151" s="5" t="s">
        <v>53</v>
      </c>
      <c r="I151" s="741" t="s">
        <v>54</v>
      </c>
      <c r="J151" s="742"/>
      <c r="K151" s="5">
        <v>1050117</v>
      </c>
      <c r="L151" s="5"/>
      <c r="M151" s="33"/>
      <c r="N151" s="18" t="b">
        <v>0</v>
      </c>
      <c r="O151" s="18"/>
      <c r="P151" s="5"/>
      <c r="Q151" s="8"/>
      <c r="R151" s="8"/>
      <c r="S151" s="8"/>
      <c r="T151" s="8"/>
      <c r="U151" s="8"/>
      <c r="V151" s="8"/>
      <c r="W151" s="8"/>
      <c r="X151" s="22"/>
      <c r="Y151" s="22" t="str">
        <f ca="1">IFERROR(__xludf.DUMMYFUNCTION("""COMPUTED_VALUE"""),"Tulip")</f>
        <v>Tulip</v>
      </c>
      <c r="Z151" s="22"/>
      <c r="AA151" s="22"/>
      <c r="AB151" s="8"/>
      <c r="AC151" s="8" t="str">
        <f ca="1">IFERROR(__xludf.DUMMYFUNCTION("""COMPUTED_VALUE"""),"Gas Benua")</f>
        <v>Gas Benua</v>
      </c>
      <c r="AD151" s="24"/>
      <c r="AE151" s="24" t="str">
        <f t="shared" si="0"/>
        <v/>
      </c>
      <c r="AF151" s="22" t="str">
        <f t="shared" ca="1" si="3"/>
        <v/>
      </c>
      <c r="AG151" s="22" t="str">
        <f t="shared" ca="1" si="2"/>
        <v/>
      </c>
      <c r="AH151" s="8"/>
      <c r="AI151" s="8"/>
    </row>
    <row r="152" spans="2:35" ht="15.75" customHeight="1" x14ac:dyDescent="0.25">
      <c r="B152" s="8"/>
      <c r="C152" s="8"/>
      <c r="D152" s="8"/>
      <c r="E152" s="5" t="s">
        <v>242</v>
      </c>
      <c r="F152" s="16">
        <v>93000</v>
      </c>
      <c r="G152" s="16">
        <v>61000</v>
      </c>
      <c r="H152" s="5" t="s">
        <v>53</v>
      </c>
      <c r="I152" s="5" t="s">
        <v>54</v>
      </c>
      <c r="J152" s="5">
        <v>538012312</v>
      </c>
      <c r="K152" s="5">
        <v>1050571</v>
      </c>
      <c r="L152" s="5"/>
      <c r="M152" s="17"/>
      <c r="N152" s="18" t="b">
        <v>0</v>
      </c>
      <c r="O152" s="18"/>
      <c r="P152" s="5"/>
      <c r="Q152" s="8"/>
      <c r="R152" s="8"/>
      <c r="S152" s="8"/>
      <c r="T152" s="8"/>
      <c r="U152" s="8"/>
      <c r="V152" s="8"/>
      <c r="W152" s="8"/>
      <c r="X152" s="22"/>
      <c r="Y152" s="22" t="str">
        <f ca="1">IFERROR(__xludf.DUMMYFUNCTION("""COMPUTED_VALUE"""),"Valano")</f>
        <v>Valano</v>
      </c>
      <c r="Z152" s="22"/>
      <c r="AA152" s="22"/>
      <c r="AB152" s="8"/>
      <c r="AC152" s="8" t="str">
        <f ca="1">IFERROR(__xludf.DUMMYFUNCTION("""COMPUTED_VALUE"""),"Gas Bombax")</f>
        <v>Gas Bombax</v>
      </c>
      <c r="AD152" s="24"/>
      <c r="AE152" s="24" t="str">
        <f t="shared" si="0"/>
        <v/>
      </c>
      <c r="AF152" s="22" t="str">
        <f t="shared" ca="1" si="3"/>
        <v/>
      </c>
      <c r="AG152" s="22" t="str">
        <f t="shared" ca="1" si="2"/>
        <v/>
      </c>
      <c r="AH152" s="8"/>
      <c r="AI152" s="8"/>
    </row>
    <row r="153" spans="2:35" ht="15.75" customHeight="1" x14ac:dyDescent="0.25">
      <c r="B153" s="8"/>
      <c r="C153" s="8"/>
      <c r="D153" s="8"/>
      <c r="E153" s="5" t="s">
        <v>243</v>
      </c>
      <c r="F153" s="16">
        <v>83000</v>
      </c>
      <c r="G153" s="16">
        <v>50850</v>
      </c>
      <c r="H153" s="5" t="s">
        <v>20</v>
      </c>
      <c r="I153" s="5" t="s">
        <v>21</v>
      </c>
      <c r="J153" s="5">
        <v>370360000</v>
      </c>
      <c r="K153" s="5">
        <v>9875408</v>
      </c>
      <c r="L153" s="5" t="s">
        <v>107</v>
      </c>
      <c r="M153" s="17">
        <v>46136.333333333336</v>
      </c>
      <c r="N153" s="18" t="b">
        <v>1</v>
      </c>
      <c r="O153" s="18"/>
      <c r="P153" s="5"/>
      <c r="Q153" s="8"/>
      <c r="R153" s="8"/>
      <c r="S153" s="8"/>
      <c r="T153" s="8"/>
      <c r="U153" s="8"/>
      <c r="V153" s="8"/>
      <c r="W153" s="8"/>
      <c r="X153" s="22"/>
      <c r="Y153" s="22" t="str">
        <f ca="1">IFERROR(__xludf.DUMMYFUNCTION("""COMPUTED_VALUE"""),"Viet Dragon 68")</f>
        <v>Viet Dragon 68</v>
      </c>
      <c r="Z153" s="22"/>
      <c r="AA153" s="22"/>
      <c r="AB153" s="8"/>
      <c r="AC153" s="8" t="str">
        <f ca="1">IFERROR(__xludf.DUMMYFUNCTION("""COMPUTED_VALUE"""),"Gas Camelot")</f>
        <v>Gas Camelot</v>
      </c>
      <c r="AD153" s="24"/>
      <c r="AE153" s="24" t="str">
        <f t="shared" si="0"/>
        <v/>
      </c>
      <c r="AF153" s="22" t="str">
        <f t="shared" ca="1" si="3"/>
        <v/>
      </c>
      <c r="AG153" s="22">
        <f t="shared" ca="1" si="2"/>
        <v>1</v>
      </c>
      <c r="AH153" s="8"/>
      <c r="AI153" s="8"/>
    </row>
    <row r="154" spans="2:35" ht="15.75" customHeight="1" x14ac:dyDescent="0.25">
      <c r="B154" s="8"/>
      <c r="C154" s="8"/>
      <c r="D154" s="8"/>
      <c r="E154" s="5" t="s">
        <v>244</v>
      </c>
      <c r="F154" s="16">
        <v>75362</v>
      </c>
      <c r="G154" s="16">
        <v>49996</v>
      </c>
      <c r="H154" s="5" t="s">
        <v>20</v>
      </c>
      <c r="I154" s="5" t="s">
        <v>21</v>
      </c>
      <c r="J154" s="5">
        <v>647553066</v>
      </c>
      <c r="K154" s="5">
        <v>9014456</v>
      </c>
      <c r="L154" s="5" t="s">
        <v>192</v>
      </c>
      <c r="M154" s="17">
        <v>46147.478472222225</v>
      </c>
      <c r="N154" s="18" t="b">
        <v>1</v>
      </c>
      <c r="O154" s="18"/>
      <c r="P154" s="5"/>
      <c r="Q154" s="8"/>
      <c r="R154" s="8"/>
      <c r="S154" s="8"/>
      <c r="T154" s="8"/>
      <c r="U154" s="8"/>
      <c r="V154" s="8"/>
      <c r="W154" s="8"/>
      <c r="X154" s="22"/>
      <c r="Y154" s="22" t="str">
        <f ca="1">IFERROR(__xludf.DUMMYFUNCTION("""COMPUTED_VALUE"""),"Xavia")</f>
        <v>Xavia</v>
      </c>
      <c r="Z154" s="22"/>
      <c r="AA154" s="22"/>
      <c r="AB154" s="8"/>
      <c r="AC154" s="8" t="str">
        <f ca="1">IFERROR(__xludf.DUMMYFUNCTION("""COMPUTED_VALUE"""),"Gas Capricorn")</f>
        <v>Gas Capricorn</v>
      </c>
      <c r="AD154" s="24"/>
      <c r="AE154" s="24" t="str">
        <f t="shared" si="0"/>
        <v/>
      </c>
      <c r="AF154" s="22" t="str">
        <f t="shared" ca="1" si="3"/>
        <v/>
      </c>
      <c r="AG154" s="22" t="str">
        <f t="shared" ca="1" si="2"/>
        <v/>
      </c>
      <c r="AH154" s="8"/>
      <c r="AI154" s="8"/>
    </row>
    <row r="155" spans="2:35" ht="15.75" customHeight="1" x14ac:dyDescent="0.25">
      <c r="B155" s="8"/>
      <c r="C155" s="8"/>
      <c r="D155" s="8"/>
      <c r="E155" s="5" t="s">
        <v>245</v>
      </c>
      <c r="F155" s="16">
        <v>82291</v>
      </c>
      <c r="G155" s="16">
        <v>58063</v>
      </c>
      <c r="H155" s="5" t="s">
        <v>26</v>
      </c>
      <c r="I155" s="5" t="s">
        <v>21</v>
      </c>
      <c r="J155" s="5">
        <v>603915000</v>
      </c>
      <c r="K155" s="5">
        <v>9320738</v>
      </c>
      <c r="L155" s="5"/>
      <c r="M155" s="17"/>
      <c r="N155" s="18" t="b">
        <v>0</v>
      </c>
      <c r="O155" s="18"/>
      <c r="P155" s="5"/>
      <c r="Q155" s="8"/>
      <c r="R155" s="8"/>
      <c r="S155" s="8"/>
      <c r="T155" s="8"/>
      <c r="U155" s="8"/>
      <c r="V155" s="8"/>
      <c r="W155" s="8"/>
      <c r="X155" s="22"/>
      <c r="Y155" s="22" t="str">
        <f ca="1">IFERROR(__xludf.DUMMYFUNCTION("""COMPUTED_VALUE"""),"Xi Wang Mu")</f>
        <v>Xi Wang Mu</v>
      </c>
      <c r="Z155" s="22"/>
      <c r="AA155" s="22"/>
      <c r="AB155" s="8"/>
      <c r="AC155" s="8" t="str">
        <f ca="1">IFERROR(__xludf.DUMMYFUNCTION("""COMPUTED_VALUE"""),"Gas Capricorn (Wanhua)")</f>
        <v>Gas Capricorn (Wanhua)</v>
      </c>
      <c r="AD155" s="24"/>
      <c r="AE155" s="24" t="str">
        <f t="shared" si="0"/>
        <v/>
      </c>
      <c r="AF155" s="22" t="str">
        <f t="shared" ca="1" si="3"/>
        <v/>
      </c>
      <c r="AG155" s="22" t="str">
        <f t="shared" ca="1" si="2"/>
        <v/>
      </c>
      <c r="AH155" s="8"/>
      <c r="AI155" s="8"/>
    </row>
    <row r="156" spans="2:35" ht="15.75" customHeight="1" x14ac:dyDescent="0.25">
      <c r="B156" s="8"/>
      <c r="C156" s="8"/>
      <c r="D156" s="8"/>
      <c r="E156" s="5" t="s">
        <v>246</v>
      </c>
      <c r="F156" s="16">
        <v>88000</v>
      </c>
      <c r="G156" s="16">
        <v>54998</v>
      </c>
      <c r="H156" s="5" t="s">
        <v>26</v>
      </c>
      <c r="I156" s="5" t="s">
        <v>21</v>
      </c>
      <c r="J156" s="5">
        <v>205097000</v>
      </c>
      <c r="K156" s="5">
        <v>9897547</v>
      </c>
      <c r="L156" s="5" t="s">
        <v>38</v>
      </c>
      <c r="M156" s="17">
        <v>46132.5</v>
      </c>
      <c r="N156" s="18" t="b">
        <v>0</v>
      </c>
      <c r="O156" s="18"/>
      <c r="P156" s="5"/>
      <c r="Q156" s="8"/>
      <c r="R156" s="8"/>
      <c r="S156" s="8"/>
      <c r="T156" s="8"/>
      <c r="U156" s="8"/>
      <c r="V156" s="8"/>
      <c r="W156" s="8"/>
      <c r="X156" s="22"/>
      <c r="Y156" s="22" t="str">
        <f ca="1">IFERROR(__xludf.DUMMYFUNCTION("""COMPUTED_VALUE"""),"Ziran")</f>
        <v>Ziran</v>
      </c>
      <c r="Z156" s="22"/>
      <c r="AA156" s="22"/>
      <c r="AB156" s="8"/>
      <c r="AC156" s="8" t="str">
        <f ca="1">IFERROR(__xludf.DUMMYFUNCTION("""COMPUTED_VALUE"""),"Gas Felicity")</f>
        <v>Gas Felicity</v>
      </c>
      <c r="AD156" s="24"/>
      <c r="AE156" s="24" t="str">
        <f t="shared" si="0"/>
        <v/>
      </c>
      <c r="AF156" s="22" t="str">
        <f t="shared" ca="1" si="3"/>
        <v/>
      </c>
      <c r="AG156" s="22">
        <f t="shared" ca="1" si="2"/>
        <v>1</v>
      </c>
      <c r="AH156" s="8"/>
      <c r="AI156" s="8"/>
    </row>
    <row r="157" spans="2:35" ht="15.75" customHeight="1" x14ac:dyDescent="0.25">
      <c r="B157" s="8"/>
      <c r="C157" s="8"/>
      <c r="D157" s="8"/>
      <c r="E157" s="5" t="s">
        <v>247</v>
      </c>
      <c r="F157" s="16">
        <v>88000</v>
      </c>
      <c r="G157" s="16">
        <v>54857</v>
      </c>
      <c r="H157" s="5" t="s">
        <v>20</v>
      </c>
      <c r="I157" s="5" t="s">
        <v>21</v>
      </c>
      <c r="J157" s="5">
        <v>205104000</v>
      </c>
      <c r="K157" s="5">
        <v>9897559</v>
      </c>
      <c r="L157" s="5" t="s">
        <v>144</v>
      </c>
      <c r="M157" s="17">
        <v>46150.583333333336</v>
      </c>
      <c r="N157" s="18" t="b">
        <v>1</v>
      </c>
      <c r="O157" s="18"/>
      <c r="P157" s="5"/>
      <c r="Q157" s="8"/>
      <c r="R157" s="8"/>
      <c r="S157" s="8"/>
      <c r="T157" s="8"/>
      <c r="U157" s="8"/>
      <c r="V157" s="8"/>
      <c r="W157" s="8"/>
      <c r="X157" s="22"/>
      <c r="Y157" s="22" t="str">
        <f ca="1">IFERROR(__xludf.DUMMYFUNCTION("""COMPUTED_VALUE"""),"Zixuan")</f>
        <v>Zixuan</v>
      </c>
      <c r="Z157" s="22"/>
      <c r="AA157" s="22"/>
      <c r="AB157" s="8"/>
      <c r="AC157" s="8" t="str">
        <f ca="1">IFERROR(__xludf.DUMMYFUNCTION("""COMPUTED_VALUE"""),"Gas Gabriela")</f>
        <v>Gas Gabriela</v>
      </c>
      <c r="AD157" s="24"/>
      <c r="AE157" s="24" t="str">
        <f t="shared" si="0"/>
        <v/>
      </c>
      <c r="AF157" s="22" t="str">
        <f t="shared" ca="1" si="3"/>
        <v/>
      </c>
      <c r="AG157" s="22">
        <f t="shared" ca="1" si="2"/>
        <v>1</v>
      </c>
      <c r="AH157" s="8"/>
      <c r="AI157" s="8"/>
    </row>
    <row r="158" spans="2:35" ht="15.75" customHeight="1" x14ac:dyDescent="0.25">
      <c r="B158" s="8"/>
      <c r="C158" s="8"/>
      <c r="D158" s="8"/>
      <c r="E158" s="5" t="s">
        <v>248</v>
      </c>
      <c r="F158" s="16">
        <v>75358</v>
      </c>
      <c r="G158" s="16">
        <v>49255</v>
      </c>
      <c r="H158" s="5" t="s">
        <v>20</v>
      </c>
      <c r="I158" s="5" t="s">
        <v>21</v>
      </c>
      <c r="J158" s="5">
        <v>603911000</v>
      </c>
      <c r="K158" s="5">
        <v>9012886</v>
      </c>
      <c r="L158" s="5" t="s">
        <v>192</v>
      </c>
      <c r="M158" s="17">
        <v>46134.5</v>
      </c>
      <c r="N158" s="18" t="b">
        <v>1</v>
      </c>
      <c r="O158" s="18"/>
      <c r="P158" s="5"/>
      <c r="Q158" s="8"/>
      <c r="R158" s="8"/>
      <c r="S158" s="8"/>
      <c r="T158" s="8"/>
      <c r="U158" s="8"/>
      <c r="V158" s="8"/>
      <c r="W158" s="8"/>
      <c r="X158" s="22"/>
      <c r="Y158" s="22"/>
      <c r="Z158" s="22"/>
      <c r="AA158" s="22"/>
      <c r="AB158" s="8"/>
      <c r="AC158" s="8" t="str">
        <f ca="1">IFERROR(__xludf.DUMMYFUNCTION("""COMPUTED_VALUE"""),"Gas Gala")</f>
        <v>Gas Gala</v>
      </c>
      <c r="AD158" s="24"/>
      <c r="AE158" s="24" t="str">
        <f t="shared" si="0"/>
        <v/>
      </c>
      <c r="AF158" s="22">
        <f t="shared" si="3"/>
        <v>1</v>
      </c>
      <c r="AG158" s="22" t="str">
        <f t="shared" ca="1" si="2"/>
        <v/>
      </c>
      <c r="AH158" s="8"/>
      <c r="AI158" s="8"/>
    </row>
    <row r="159" spans="2:35" ht="15.75" customHeight="1" x14ac:dyDescent="0.25">
      <c r="B159" s="8"/>
      <c r="C159" s="8"/>
      <c r="D159" s="8"/>
      <c r="E159" s="5" t="s">
        <v>249</v>
      </c>
      <c r="F159" s="16">
        <v>78631</v>
      </c>
      <c r="G159" s="16">
        <v>53151</v>
      </c>
      <c r="H159" s="5" t="s">
        <v>20</v>
      </c>
      <c r="I159" s="5" t="s">
        <v>21</v>
      </c>
      <c r="J159" s="5">
        <v>603917000</v>
      </c>
      <c r="K159" s="5">
        <v>9306548</v>
      </c>
      <c r="L159" s="5"/>
      <c r="M159" s="33"/>
      <c r="N159" s="18" t="b">
        <v>1</v>
      </c>
      <c r="O159" s="18"/>
      <c r="P159" s="5"/>
      <c r="Q159" s="8"/>
      <c r="R159" s="8"/>
      <c r="S159" s="8"/>
      <c r="T159" s="8"/>
      <c r="U159" s="8"/>
      <c r="V159" s="8"/>
      <c r="W159" s="8"/>
      <c r="X159" s="22"/>
      <c r="Y159" s="22"/>
      <c r="Z159" s="22"/>
      <c r="AA159" s="22"/>
      <c r="AB159" s="8"/>
      <c r="AC159" s="8" t="str">
        <f ca="1">IFERROR(__xludf.DUMMYFUNCTION("""COMPUTED_VALUE"""),"Gas Garnet")</f>
        <v>Gas Garnet</v>
      </c>
      <c r="AD159" s="24"/>
      <c r="AE159" s="24" t="str">
        <f t="shared" si="0"/>
        <v/>
      </c>
      <c r="AF159" s="22">
        <f t="shared" si="3"/>
        <v>1</v>
      </c>
      <c r="AG159" s="22" t="str">
        <f t="shared" ca="1" si="2"/>
        <v/>
      </c>
      <c r="AH159" s="8"/>
      <c r="AI159" s="8"/>
    </row>
    <row r="160" spans="2:35" ht="15.75" customHeight="1" x14ac:dyDescent="0.25">
      <c r="B160" s="8"/>
      <c r="C160" s="8"/>
      <c r="D160" s="8"/>
      <c r="E160" s="5" t="s">
        <v>250</v>
      </c>
      <c r="F160" s="16">
        <v>90000</v>
      </c>
      <c r="G160" s="16">
        <v>57847</v>
      </c>
      <c r="H160" s="5" t="s">
        <v>20</v>
      </c>
      <c r="I160" s="5" t="s">
        <v>21</v>
      </c>
      <c r="J160" s="5">
        <v>228406800</v>
      </c>
      <c r="K160" s="5">
        <v>9904211</v>
      </c>
      <c r="L160" s="5" t="s">
        <v>238</v>
      </c>
      <c r="M160" s="17">
        <v>46132.463888888888</v>
      </c>
      <c r="N160" s="18" t="b">
        <v>1</v>
      </c>
      <c r="O160" s="18"/>
      <c r="P160" s="5"/>
      <c r="Q160" s="8"/>
      <c r="R160" s="8"/>
      <c r="S160" s="8"/>
      <c r="T160" s="8"/>
      <c r="U160" s="8"/>
      <c r="V160" s="8"/>
      <c r="W160" s="8"/>
      <c r="X160" s="22"/>
      <c r="Y160" s="22"/>
      <c r="Z160" s="22"/>
      <c r="AA160" s="22"/>
      <c r="AB160" s="8"/>
      <c r="AC160" s="8" t="str">
        <f ca="1">IFERROR(__xludf.DUMMYFUNCTION("""COMPUTED_VALUE"""),"Gas Gemini")</f>
        <v>Gas Gemini</v>
      </c>
      <c r="AD160" s="24"/>
      <c r="AE160" s="24" t="str">
        <f t="shared" si="0"/>
        <v/>
      </c>
      <c r="AF160" s="22">
        <f t="shared" si="3"/>
        <v>1</v>
      </c>
      <c r="AG160" s="22">
        <f t="shared" ca="1" si="2"/>
        <v>1</v>
      </c>
      <c r="AH160" s="8"/>
      <c r="AI160" s="8"/>
    </row>
    <row r="161" spans="2:35" ht="15.75" customHeight="1" x14ac:dyDescent="0.25">
      <c r="B161" s="8"/>
      <c r="C161" s="8"/>
      <c r="D161" s="8"/>
      <c r="E161" s="5" t="s">
        <v>251</v>
      </c>
      <c r="F161" s="16">
        <v>80676</v>
      </c>
      <c r="G161" s="16">
        <v>58448</v>
      </c>
      <c r="H161" s="5" t="s">
        <v>26</v>
      </c>
      <c r="I161" s="5" t="s">
        <v>21</v>
      </c>
      <c r="J161" s="5">
        <v>538010305</v>
      </c>
      <c r="K161" s="5">
        <v>9407122</v>
      </c>
      <c r="L161" s="5" t="s">
        <v>61</v>
      </c>
      <c r="M161" s="17">
        <v>46141.958333333336</v>
      </c>
      <c r="N161" s="18" t="b">
        <v>0</v>
      </c>
      <c r="O161" s="18"/>
      <c r="P161" s="5"/>
      <c r="Q161" s="8"/>
      <c r="R161" s="8"/>
      <c r="S161" s="8"/>
      <c r="T161" s="8"/>
      <c r="U161" s="8"/>
      <c r="V161" s="8"/>
      <c r="W161" s="8"/>
      <c r="X161" s="22"/>
      <c r="Y161" s="22"/>
      <c r="Z161" s="22"/>
      <c r="AA161" s="22"/>
      <c r="AB161" s="8"/>
      <c r="AC161" s="8" t="str">
        <f ca="1">IFERROR(__xludf.DUMMYFUNCTION("""COMPUTED_VALUE"""),"Gas Ghazi")</f>
        <v>Gas Ghazi</v>
      </c>
      <c r="AD161" s="24"/>
      <c r="AE161" s="24" t="str">
        <f t="shared" si="0"/>
        <v/>
      </c>
      <c r="AF161" s="22">
        <f t="shared" si="3"/>
        <v>1</v>
      </c>
      <c r="AG161" s="22">
        <f t="shared" ca="1" si="2"/>
        <v>1</v>
      </c>
      <c r="AH161" s="8"/>
      <c r="AI161" s="8"/>
    </row>
    <row r="162" spans="2:35" ht="15.75" customHeight="1" x14ac:dyDescent="0.25">
      <c r="B162" s="8"/>
      <c r="C162" s="8"/>
      <c r="D162" s="8"/>
      <c r="E162" s="5" t="s">
        <v>252</v>
      </c>
      <c r="F162" s="16">
        <v>83000</v>
      </c>
      <c r="G162" s="16">
        <v>54868</v>
      </c>
      <c r="H162" s="5" t="s">
        <v>20</v>
      </c>
      <c r="I162" s="5" t="s">
        <v>21</v>
      </c>
      <c r="J162" s="5">
        <v>374577000</v>
      </c>
      <c r="K162" s="5">
        <v>9810056</v>
      </c>
      <c r="L162" s="5"/>
      <c r="M162" s="17"/>
      <c r="N162" s="18" t="b">
        <v>1</v>
      </c>
      <c r="O162" s="18"/>
      <c r="P162" s="5"/>
      <c r="Q162" s="8"/>
      <c r="R162" s="8"/>
      <c r="S162" s="8"/>
      <c r="T162" s="8"/>
      <c r="U162" s="8"/>
      <c r="V162" s="8"/>
      <c r="W162" s="8"/>
      <c r="X162" s="22"/>
      <c r="Y162" s="22"/>
      <c r="Z162" s="22"/>
      <c r="AA162" s="22"/>
      <c r="AB162" s="8"/>
      <c r="AC162" s="8" t="str">
        <f ca="1">IFERROR(__xludf.DUMMYFUNCTION("""COMPUTED_VALUE"""),"Gas Ivory")</f>
        <v>Gas Ivory</v>
      </c>
      <c r="AD162" s="24"/>
      <c r="AE162" s="24" t="str">
        <f t="shared" si="0"/>
        <v/>
      </c>
      <c r="AF162" s="22">
        <f t="shared" si="3"/>
        <v>1</v>
      </c>
      <c r="AG162" s="22">
        <f t="shared" ca="1" si="2"/>
        <v>1</v>
      </c>
      <c r="AH162" s="8"/>
      <c r="AI162" s="8"/>
    </row>
    <row r="163" spans="2:35" ht="15.75" customHeight="1" x14ac:dyDescent="0.25">
      <c r="B163" s="8"/>
      <c r="C163" s="8"/>
      <c r="D163" s="8"/>
      <c r="E163" s="5" t="s">
        <v>253</v>
      </c>
      <c r="F163" s="16">
        <v>80000</v>
      </c>
      <c r="G163" s="16">
        <v>50900</v>
      </c>
      <c r="H163" s="5" t="s">
        <v>20</v>
      </c>
      <c r="I163" s="5" t="s">
        <v>21</v>
      </c>
      <c r="J163" s="5">
        <v>374651000</v>
      </c>
      <c r="K163" s="5">
        <v>9853864</v>
      </c>
      <c r="L163" s="5" t="s">
        <v>254</v>
      </c>
      <c r="M163" s="33">
        <v>46138.666666666664</v>
      </c>
      <c r="N163" s="18" t="b">
        <v>1</v>
      </c>
      <c r="O163" s="18"/>
      <c r="P163" s="5"/>
      <c r="Q163" s="8"/>
      <c r="R163" s="8"/>
      <c r="S163" s="8"/>
      <c r="T163" s="8"/>
      <c r="U163" s="8"/>
      <c r="V163" s="8"/>
      <c r="W163" s="8"/>
      <c r="X163" s="22"/>
      <c r="Y163" s="22"/>
      <c r="Z163" s="22"/>
      <c r="AA163" s="22"/>
      <c r="AB163" s="8"/>
      <c r="AC163" s="8" t="str">
        <f ca="1">IFERROR(__xludf.DUMMYFUNCTION("""COMPUTED_VALUE"""),"Gas Jupiter")</f>
        <v>Gas Jupiter</v>
      </c>
      <c r="AD163" s="24"/>
      <c r="AE163" s="24" t="str">
        <f t="shared" si="0"/>
        <v/>
      </c>
      <c r="AF163" s="22">
        <f t="shared" si="3"/>
        <v>1</v>
      </c>
      <c r="AG163" s="22">
        <f t="shared" ca="1" si="2"/>
        <v>1</v>
      </c>
      <c r="AH163" s="8"/>
      <c r="AI163" s="8"/>
    </row>
    <row r="164" spans="2:35" ht="15.75" customHeight="1" x14ac:dyDescent="0.25">
      <c r="B164" s="8"/>
      <c r="C164" s="8"/>
      <c r="D164" s="8"/>
      <c r="E164" s="5" t="s">
        <v>255</v>
      </c>
      <c r="F164" s="16">
        <v>83000</v>
      </c>
      <c r="G164" s="16">
        <v>50850</v>
      </c>
      <c r="H164" s="5" t="s">
        <v>20</v>
      </c>
      <c r="I164" s="5" t="s">
        <v>21</v>
      </c>
      <c r="J164" s="5">
        <v>356356000</v>
      </c>
      <c r="K164" s="5">
        <v>9867102</v>
      </c>
      <c r="L164" s="5" t="s">
        <v>157</v>
      </c>
      <c r="M164" s="17">
        <v>46143.375</v>
      </c>
      <c r="N164" s="18" t="b">
        <v>1</v>
      </c>
      <c r="O164" s="18"/>
      <c r="P164" s="5"/>
      <c r="Q164" s="8"/>
      <c r="R164" s="8"/>
      <c r="S164" s="8"/>
      <c r="T164" s="8"/>
      <c r="U164" s="8"/>
      <c r="V164" s="8"/>
      <c r="W164" s="8"/>
      <c r="X164" s="22"/>
      <c r="Y164" s="22"/>
      <c r="Z164" s="22"/>
      <c r="AA164" s="22"/>
      <c r="AB164" s="8"/>
      <c r="AC164" s="8" t="str">
        <f ca="1">IFERROR(__xludf.DUMMYFUNCTION("""COMPUTED_VALUE"""),"Gas Justesen")</f>
        <v>Gas Justesen</v>
      </c>
      <c r="AD164" s="24"/>
      <c r="AE164" s="24" t="str">
        <f t="shared" si="0"/>
        <v/>
      </c>
      <c r="AF164" s="22">
        <f t="shared" si="3"/>
        <v>1</v>
      </c>
      <c r="AG164" s="22">
        <f t="shared" ca="1" si="2"/>
        <v>1</v>
      </c>
      <c r="AH164" s="8"/>
      <c r="AI164" s="8"/>
    </row>
    <row r="165" spans="2:35" ht="15.75" customHeight="1" x14ac:dyDescent="0.25">
      <c r="B165" s="8"/>
      <c r="C165" s="8"/>
      <c r="D165" s="8"/>
      <c r="E165" s="5" t="s">
        <v>256</v>
      </c>
      <c r="F165" s="16">
        <v>91000</v>
      </c>
      <c r="G165" s="16">
        <v>57914</v>
      </c>
      <c r="H165" s="5" t="s">
        <v>26</v>
      </c>
      <c r="I165" s="5" t="s">
        <v>21</v>
      </c>
      <c r="J165" s="5">
        <v>352001704</v>
      </c>
      <c r="K165" s="5">
        <v>9935492</v>
      </c>
      <c r="L165" s="5" t="s">
        <v>38</v>
      </c>
      <c r="M165" s="17">
        <v>46142.583333333336</v>
      </c>
      <c r="N165" s="18" t="b">
        <v>0</v>
      </c>
      <c r="O165" s="18"/>
      <c r="P165" s="5"/>
      <c r="Q165" s="8"/>
      <c r="R165" s="8"/>
      <c r="S165" s="8"/>
      <c r="T165" s="8"/>
      <c r="U165" s="8"/>
      <c r="V165" s="8"/>
      <c r="W165" s="8"/>
      <c r="X165" s="22"/>
      <c r="Y165" s="22"/>
      <c r="Z165" s="22"/>
      <c r="AA165" s="22"/>
      <c r="AB165" s="8"/>
      <c r="AC165" s="8" t="str">
        <f ca="1">IFERROR(__xludf.DUMMYFUNCTION("""COMPUTED_VALUE"""),"Gas Kaiserin")</f>
        <v>Gas Kaiserin</v>
      </c>
      <c r="AD165" s="24"/>
      <c r="AE165" s="24" t="str">
        <f t="shared" si="0"/>
        <v/>
      </c>
      <c r="AF165" s="22">
        <f t="shared" si="3"/>
        <v>1</v>
      </c>
      <c r="AG165" s="22">
        <f t="shared" ca="1" si="2"/>
        <v>1</v>
      </c>
      <c r="AH165" s="8"/>
      <c r="AI165" s="8"/>
    </row>
    <row r="166" spans="2:35" ht="15.75" customHeight="1" x14ac:dyDescent="0.25">
      <c r="B166" s="8"/>
      <c r="C166" s="8"/>
      <c r="D166" s="8"/>
      <c r="E166" s="5" t="s">
        <v>257</v>
      </c>
      <c r="F166" s="16">
        <v>86700</v>
      </c>
      <c r="G166" s="16">
        <v>55000</v>
      </c>
      <c r="H166" s="5" t="s">
        <v>26</v>
      </c>
      <c r="I166" s="5" t="s">
        <v>21</v>
      </c>
      <c r="J166" s="5">
        <v>352002937</v>
      </c>
      <c r="K166" s="5">
        <v>9950583</v>
      </c>
      <c r="L166" s="5" t="s">
        <v>133</v>
      </c>
      <c r="M166" s="17">
        <v>46146.291666666664</v>
      </c>
      <c r="N166" s="18" t="b">
        <v>0</v>
      </c>
      <c r="O166" s="18"/>
      <c r="P166" s="5"/>
      <c r="Q166" s="8"/>
      <c r="R166" s="8"/>
      <c r="S166" s="8"/>
      <c r="T166" s="8"/>
      <c r="U166" s="8"/>
      <c r="V166" s="8"/>
      <c r="W166" s="8"/>
      <c r="X166" s="22"/>
      <c r="Y166" s="22"/>
      <c r="Z166" s="22"/>
      <c r="AA166" s="22"/>
      <c r="AB166" s="8"/>
      <c r="AC166" s="8" t="str">
        <f ca="1">IFERROR(__xludf.DUMMYFUNCTION("""COMPUTED_VALUE"""),"Gas King")</f>
        <v>Gas King</v>
      </c>
      <c r="AD166" s="24"/>
      <c r="AE166" s="24" t="str">
        <f t="shared" si="0"/>
        <v/>
      </c>
      <c r="AF166" s="22">
        <f t="shared" si="3"/>
        <v>1</v>
      </c>
      <c r="AG166" s="22">
        <f t="shared" ca="1" si="2"/>
        <v>1</v>
      </c>
      <c r="AH166" s="8"/>
      <c r="AI166" s="8"/>
    </row>
    <row r="167" spans="2:35" ht="15.75" customHeight="1" x14ac:dyDescent="0.25">
      <c r="B167" s="8"/>
      <c r="C167" s="8"/>
      <c r="D167" s="8"/>
      <c r="E167" s="5" t="s">
        <v>258</v>
      </c>
      <c r="F167" s="16">
        <v>80754</v>
      </c>
      <c r="G167" s="16">
        <v>54597</v>
      </c>
      <c r="H167" s="5" t="s">
        <v>20</v>
      </c>
      <c r="I167" s="5" t="s">
        <v>21</v>
      </c>
      <c r="J167" s="5">
        <v>373728000</v>
      </c>
      <c r="K167" s="5">
        <v>9621584</v>
      </c>
      <c r="L167" s="5" t="s">
        <v>259</v>
      </c>
      <c r="M167" s="17">
        <v>46137.041666666664</v>
      </c>
      <c r="N167" s="18" t="b">
        <v>1</v>
      </c>
      <c r="O167" s="18"/>
      <c r="P167" s="5"/>
      <c r="Q167" s="8"/>
      <c r="R167" s="8"/>
      <c r="S167" s="8"/>
      <c r="T167" s="8"/>
      <c r="U167" s="8"/>
      <c r="V167" s="8"/>
      <c r="W167" s="8"/>
      <c r="X167" s="22"/>
      <c r="Y167" s="22"/>
      <c r="Z167" s="22"/>
      <c r="AA167" s="22"/>
      <c r="AB167" s="8"/>
      <c r="AC167" s="8" t="str">
        <f ca="1">IFERROR(__xludf.DUMMYFUNCTION("""COMPUTED_VALUE"""),"Gas Leo")</f>
        <v>Gas Leo</v>
      </c>
      <c r="AD167" s="24"/>
      <c r="AE167" s="24" t="str">
        <f t="shared" si="0"/>
        <v/>
      </c>
      <c r="AF167" s="22">
        <f t="shared" si="3"/>
        <v>1</v>
      </c>
      <c r="AG167" s="22">
        <f t="shared" ca="1" si="2"/>
        <v>1</v>
      </c>
      <c r="AH167" s="8"/>
      <c r="AI167" s="8"/>
    </row>
    <row r="168" spans="2:35" ht="15.75" customHeight="1" x14ac:dyDescent="0.25">
      <c r="B168" s="8"/>
      <c r="C168" s="8"/>
      <c r="D168" s="8"/>
      <c r="E168" s="5" t="s">
        <v>260</v>
      </c>
      <c r="F168" s="16">
        <v>80754</v>
      </c>
      <c r="G168" s="16">
        <v>54842</v>
      </c>
      <c r="H168" s="5" t="s">
        <v>20</v>
      </c>
      <c r="I168" s="5" t="s">
        <v>21</v>
      </c>
      <c r="J168" s="5">
        <v>355147000</v>
      </c>
      <c r="K168" s="5">
        <v>9611955</v>
      </c>
      <c r="L168" s="5" t="s">
        <v>101</v>
      </c>
      <c r="M168" s="17">
        <v>46139.833333333336</v>
      </c>
      <c r="N168" s="18" t="b">
        <v>1</v>
      </c>
      <c r="O168" s="18"/>
      <c r="P168" s="5"/>
      <c r="Q168" s="8"/>
      <c r="R168" s="8"/>
      <c r="S168" s="8"/>
      <c r="T168" s="8"/>
      <c r="U168" s="8"/>
      <c r="V168" s="8"/>
      <c r="W168" s="8"/>
      <c r="X168" s="22"/>
      <c r="Y168" s="22"/>
      <c r="Z168" s="22"/>
      <c r="AA168" s="22"/>
      <c r="AB168" s="8"/>
      <c r="AC168" s="8" t="str">
        <f ca="1">IFERROR(__xludf.DUMMYFUNCTION("""COMPUTED_VALUE"""),"Gas Libra")</f>
        <v>Gas Libra</v>
      </c>
      <c r="AD168" s="24"/>
      <c r="AE168" s="24" t="str">
        <f t="shared" si="0"/>
        <v/>
      </c>
      <c r="AF168" s="22">
        <f t="shared" si="3"/>
        <v>1</v>
      </c>
      <c r="AG168" s="22">
        <f t="shared" ca="1" si="2"/>
        <v>1</v>
      </c>
      <c r="AH168" s="8"/>
      <c r="AI168" s="8"/>
    </row>
    <row r="169" spans="2:35" ht="15.75" customHeight="1" x14ac:dyDescent="0.25">
      <c r="B169" s="8"/>
      <c r="C169" s="8"/>
      <c r="D169" s="8"/>
      <c r="E169" s="5" t="s">
        <v>261</v>
      </c>
      <c r="F169" s="16">
        <v>84000</v>
      </c>
      <c r="G169" s="16">
        <v>54502</v>
      </c>
      <c r="H169" s="5" t="s">
        <v>26</v>
      </c>
      <c r="I169" s="5" t="s">
        <v>21</v>
      </c>
      <c r="J169" s="5">
        <v>353700000</v>
      </c>
      <c r="K169" s="5">
        <v>9797864</v>
      </c>
      <c r="L169" s="5" t="s">
        <v>107</v>
      </c>
      <c r="M169" s="17">
        <v>46138.625</v>
      </c>
      <c r="N169" s="18" t="b">
        <v>0</v>
      </c>
      <c r="O169" s="18"/>
      <c r="P169" s="5"/>
      <c r="Q169" s="8"/>
      <c r="R169" s="8"/>
      <c r="S169" s="8"/>
      <c r="T169" s="8"/>
      <c r="U169" s="8"/>
      <c r="V169" s="8"/>
      <c r="W169" s="8"/>
      <c r="X169" s="22"/>
      <c r="Y169" s="22"/>
      <c r="Z169" s="22"/>
      <c r="AA169" s="22"/>
      <c r="AB169" s="8"/>
      <c r="AC169" s="8" t="str">
        <f ca="1">IFERROR(__xludf.DUMMYFUNCTION("""COMPUTED_VALUE"""),"Gas Mia")</f>
        <v>Gas Mia</v>
      </c>
      <c r="AD169" s="24"/>
      <c r="AE169" s="24" t="str">
        <f t="shared" si="0"/>
        <v/>
      </c>
      <c r="AF169" s="22">
        <f t="shared" si="3"/>
        <v>1</v>
      </c>
      <c r="AG169" s="22">
        <f t="shared" ca="1" si="2"/>
        <v>1</v>
      </c>
      <c r="AH169" s="8"/>
      <c r="AI169" s="8"/>
    </row>
    <row r="170" spans="2:35" ht="15.75" customHeight="1" x14ac:dyDescent="0.25">
      <c r="B170" s="8"/>
      <c r="C170" s="8"/>
      <c r="D170" s="8"/>
      <c r="E170" s="5" t="s">
        <v>262</v>
      </c>
      <c r="F170" s="16">
        <v>80780</v>
      </c>
      <c r="G170" s="16">
        <v>54800</v>
      </c>
      <c r="H170" s="5" t="s">
        <v>26</v>
      </c>
      <c r="I170" s="5" t="s">
        <v>21</v>
      </c>
      <c r="J170" s="5">
        <v>441125000</v>
      </c>
      <c r="K170" s="5">
        <v>9409302</v>
      </c>
      <c r="L170" s="5" t="s">
        <v>38</v>
      </c>
      <c r="M170" s="17">
        <v>46132.486805555556</v>
      </c>
      <c r="N170" s="18" t="b">
        <v>0</v>
      </c>
      <c r="O170" s="18"/>
      <c r="P170" s="5"/>
      <c r="Q170" s="8"/>
      <c r="R170" s="8"/>
      <c r="S170" s="8"/>
      <c r="T170" s="8"/>
      <c r="U170" s="8"/>
      <c r="V170" s="8"/>
      <c r="W170" s="8"/>
      <c r="X170" s="22"/>
      <c r="Y170" s="22"/>
      <c r="Z170" s="22"/>
      <c r="AA170" s="22"/>
      <c r="AB170" s="8"/>
      <c r="AC170" s="8" t="str">
        <f ca="1">IFERROR(__xludf.DUMMYFUNCTION("""COMPUTED_VALUE"""),"Gas Neptune")</f>
        <v>Gas Neptune</v>
      </c>
      <c r="AD170" s="24"/>
      <c r="AE170" s="24" t="str">
        <f t="shared" si="0"/>
        <v/>
      </c>
      <c r="AF170" s="22">
        <f t="shared" si="3"/>
        <v>1</v>
      </c>
      <c r="AG170" s="22">
        <f t="shared" ca="1" si="2"/>
        <v>1</v>
      </c>
      <c r="AH170" s="8"/>
      <c r="AI170" s="8"/>
    </row>
    <row r="171" spans="2:35" ht="15.75" customHeight="1" x14ac:dyDescent="0.25">
      <c r="B171" s="8"/>
      <c r="C171" s="8"/>
      <c r="D171" s="8"/>
      <c r="E171" s="5" t="s">
        <v>263</v>
      </c>
      <c r="F171" s="16">
        <v>80623</v>
      </c>
      <c r="G171" s="16">
        <v>54776</v>
      </c>
      <c r="H171" s="5" t="s">
        <v>20</v>
      </c>
      <c r="I171" s="5" t="s">
        <v>21</v>
      </c>
      <c r="J171" s="5">
        <v>356117000</v>
      </c>
      <c r="K171" s="5">
        <v>9656888</v>
      </c>
      <c r="L171" s="5" t="s">
        <v>259</v>
      </c>
      <c r="M171" s="17">
        <v>46159.958333333336</v>
      </c>
      <c r="N171" s="18" t="b">
        <v>1</v>
      </c>
      <c r="O171" s="18"/>
      <c r="P171" s="5"/>
      <c r="Q171" s="8"/>
      <c r="R171" s="8"/>
      <c r="S171" s="8"/>
      <c r="T171" s="8"/>
      <c r="U171" s="8"/>
      <c r="V171" s="8"/>
      <c r="W171" s="8"/>
      <c r="X171" s="22"/>
      <c r="Y171" s="22"/>
      <c r="Z171" s="22"/>
      <c r="AA171" s="22"/>
      <c r="AB171" s="8"/>
      <c r="AC171" s="8" t="str">
        <f ca="1">IFERROR(__xludf.DUMMYFUNCTION("""COMPUTED_VALUE"""),"Gas Nouveau Bauhinia")</f>
        <v>Gas Nouveau Bauhinia</v>
      </c>
      <c r="AD171" s="24"/>
      <c r="AE171" s="24" t="str">
        <f t="shared" si="0"/>
        <v/>
      </c>
      <c r="AF171" s="22">
        <f t="shared" si="3"/>
        <v>1</v>
      </c>
      <c r="AG171" s="22">
        <f t="shared" ca="1" si="2"/>
        <v>1</v>
      </c>
      <c r="AH171" s="8"/>
      <c r="AI171" s="8"/>
    </row>
    <row r="172" spans="2:35" ht="15.75" customHeight="1" x14ac:dyDescent="0.25">
      <c r="B172" s="8"/>
      <c r="C172" s="8"/>
      <c r="D172" s="8"/>
      <c r="E172" s="5" t="s">
        <v>264</v>
      </c>
      <c r="F172" s="16">
        <v>86000</v>
      </c>
      <c r="G172" s="16">
        <v>54502</v>
      </c>
      <c r="H172" s="5" t="s">
        <v>20</v>
      </c>
      <c r="I172" s="5" t="s">
        <v>21</v>
      </c>
      <c r="J172" s="5">
        <v>374993000</v>
      </c>
      <c r="K172" s="5">
        <v>9797876</v>
      </c>
      <c r="L172" s="5" t="s">
        <v>265</v>
      </c>
      <c r="M172" s="17">
        <v>46144.375</v>
      </c>
      <c r="N172" s="18" t="b">
        <v>1</v>
      </c>
      <c r="O172" s="18"/>
      <c r="P172" s="5"/>
      <c r="Q172" s="8"/>
      <c r="R172" s="8"/>
      <c r="S172" s="8"/>
      <c r="T172" s="8"/>
      <c r="U172" s="8"/>
      <c r="V172" s="8"/>
      <c r="W172" s="8"/>
      <c r="X172" s="22"/>
      <c r="Y172" s="22"/>
      <c r="Z172" s="22"/>
      <c r="AA172" s="22"/>
      <c r="AB172" s="8"/>
      <c r="AC172" s="8" t="str">
        <f ca="1">IFERROR(__xludf.DUMMYFUNCTION("""COMPUTED_VALUE"""),"Gas Nouveau Crystal")</f>
        <v>Gas Nouveau Crystal</v>
      </c>
      <c r="AD172" s="24"/>
      <c r="AE172" s="24" t="str">
        <f t="shared" si="0"/>
        <v/>
      </c>
      <c r="AF172" s="22">
        <f t="shared" si="3"/>
        <v>1</v>
      </c>
      <c r="AG172" s="22">
        <f t="shared" ca="1" si="2"/>
        <v>1</v>
      </c>
      <c r="AH172" s="8"/>
      <c r="AI172" s="8"/>
    </row>
    <row r="173" spans="2:35" ht="15.75" customHeight="1" x14ac:dyDescent="0.25">
      <c r="B173" s="8"/>
      <c r="C173" s="8"/>
      <c r="D173" s="8"/>
      <c r="E173" s="5" t="s">
        <v>266</v>
      </c>
      <c r="F173" s="16">
        <v>84333</v>
      </c>
      <c r="G173" s="16">
        <v>54800</v>
      </c>
      <c r="H173" s="5" t="s">
        <v>26</v>
      </c>
      <c r="I173" s="5" t="s">
        <v>21</v>
      </c>
      <c r="J173" s="5">
        <v>620999947</v>
      </c>
      <c r="K173" s="5">
        <v>9208239</v>
      </c>
      <c r="L173" s="5"/>
      <c r="M173" s="17"/>
      <c r="N173" s="18" t="b">
        <v>0</v>
      </c>
      <c r="O173" s="18"/>
      <c r="P173" s="5"/>
      <c r="Q173" s="8"/>
      <c r="R173" s="8"/>
      <c r="S173" s="8"/>
      <c r="T173" s="8"/>
      <c r="U173" s="8"/>
      <c r="V173" s="8"/>
      <c r="W173" s="8"/>
      <c r="X173" s="22"/>
      <c r="Y173" s="22"/>
      <c r="Z173" s="22"/>
      <c r="AA173" s="22"/>
      <c r="AB173" s="8"/>
      <c r="AC173" s="8" t="str">
        <f ca="1">IFERROR(__xludf.DUMMYFUNCTION("""COMPUTED_VALUE"""),"Gas Pisces")</f>
        <v>Gas Pisces</v>
      </c>
      <c r="AD173" s="24"/>
      <c r="AE173" s="24" t="str">
        <f t="shared" si="0"/>
        <v/>
      </c>
      <c r="AF173" s="22">
        <f t="shared" si="3"/>
        <v>1</v>
      </c>
      <c r="AG173" s="22" t="str">
        <f t="shared" ca="1" si="2"/>
        <v/>
      </c>
      <c r="AH173" s="8"/>
      <c r="AI173" s="8"/>
    </row>
    <row r="174" spans="2:35" ht="15.75" customHeight="1" x14ac:dyDescent="0.25">
      <c r="B174" s="8"/>
      <c r="C174" s="8"/>
      <c r="D174" s="8"/>
      <c r="E174" s="5" t="s">
        <v>267</v>
      </c>
      <c r="F174" s="16">
        <v>82391</v>
      </c>
      <c r="G174" s="16">
        <v>54081</v>
      </c>
      <c r="H174" s="5" t="s">
        <v>26</v>
      </c>
      <c r="I174" s="5" t="s">
        <v>21</v>
      </c>
      <c r="J174" s="5">
        <v>372915000</v>
      </c>
      <c r="K174" s="5">
        <v>9670016</v>
      </c>
      <c r="L174" s="5" t="s">
        <v>259</v>
      </c>
      <c r="M174" s="17">
        <v>46133.5</v>
      </c>
      <c r="N174" s="18" t="b">
        <v>0</v>
      </c>
      <c r="O174" s="18"/>
      <c r="P174" s="5"/>
      <c r="Q174" s="8"/>
      <c r="R174" s="8"/>
      <c r="S174" s="8"/>
      <c r="T174" s="8"/>
      <c r="U174" s="8"/>
      <c r="V174" s="8"/>
      <c r="W174" s="8"/>
      <c r="X174" s="22"/>
      <c r="Y174" s="22"/>
      <c r="Z174" s="22"/>
      <c r="AA174" s="22"/>
      <c r="AB174" s="8"/>
      <c r="AC174" s="8" t="str">
        <f ca="1">IFERROR(__xludf.DUMMYFUNCTION("""COMPUTED_VALUE"""),"Gas Planet")</f>
        <v>Gas Planet</v>
      </c>
      <c r="AD174" s="24"/>
      <c r="AE174" s="24" t="e">
        <f>IF(#REF!="","", IF(F174&gt;93000,1,""))</f>
        <v>#REF!</v>
      </c>
      <c r="AF174" s="22">
        <f t="shared" si="3"/>
        <v>1</v>
      </c>
      <c r="AG174" s="22">
        <f>IF(ISERROR(VLOOKUP(#REF!,$Y$2:$Z$600,2,FALSE)),1,"")</f>
        <v>1</v>
      </c>
      <c r="AH174" s="8"/>
      <c r="AI174" s="8"/>
    </row>
    <row r="175" spans="2:35" ht="15.75" customHeight="1" x14ac:dyDescent="0.25">
      <c r="B175" s="8"/>
      <c r="C175" s="8"/>
      <c r="D175" s="8"/>
      <c r="E175" s="5" t="s">
        <v>268</v>
      </c>
      <c r="F175" s="16">
        <v>80797</v>
      </c>
      <c r="G175" s="16">
        <v>58551</v>
      </c>
      <c r="H175" s="5" t="s">
        <v>26</v>
      </c>
      <c r="I175" s="5" t="s">
        <v>21</v>
      </c>
      <c r="J175" s="5">
        <v>352002602</v>
      </c>
      <c r="K175" s="5">
        <v>9387762</v>
      </c>
      <c r="L175" s="5"/>
      <c r="M175" s="17"/>
      <c r="N175" s="18" t="b">
        <v>0</v>
      </c>
      <c r="O175" s="18"/>
      <c r="P175" s="5"/>
      <c r="Q175" s="8"/>
      <c r="R175" s="8"/>
      <c r="S175" s="8"/>
      <c r="T175" s="8"/>
      <c r="U175" s="8"/>
      <c r="V175" s="8"/>
      <c r="W175" s="8"/>
      <c r="X175" s="22"/>
      <c r="Y175" s="22"/>
      <c r="Z175" s="22"/>
      <c r="AA175" s="22"/>
      <c r="AB175" s="8"/>
      <c r="AC175" s="8" t="str">
        <f ca="1">IFERROR(__xludf.DUMMYFUNCTION("""COMPUTED_VALUE"""),"Gas Power")</f>
        <v>Gas Power</v>
      </c>
      <c r="AD175" s="24"/>
      <c r="AE175" s="24" t="str">
        <f t="shared" ref="AE175:AE424" si="4">IF(E175="","", IF(F175&gt;93000,1,""))</f>
        <v/>
      </c>
      <c r="AF175" s="22">
        <f t="shared" si="3"/>
        <v>1</v>
      </c>
      <c r="AG175" s="22" t="str">
        <f t="shared" ref="AG175:AG424" ca="1" si="5">IF(ISERROR(VLOOKUP(E175,$Y$2:$Z$600,2,FALSE)),1,"")</f>
        <v/>
      </c>
      <c r="AH175" s="8"/>
      <c r="AI175" s="8"/>
    </row>
    <row r="176" spans="2:35" ht="15.75" customHeight="1" x14ac:dyDescent="0.25">
      <c r="B176" s="8"/>
      <c r="C176" s="8"/>
      <c r="D176" s="8"/>
      <c r="E176" s="5" t="s">
        <v>269</v>
      </c>
      <c r="F176" s="16">
        <v>76909</v>
      </c>
      <c r="G176" s="16">
        <v>49743</v>
      </c>
      <c r="H176" s="5" t="s">
        <v>20</v>
      </c>
      <c r="I176" s="5" t="s">
        <v>21</v>
      </c>
      <c r="J176" s="5">
        <v>603916000</v>
      </c>
      <c r="K176" s="5">
        <v>9114581</v>
      </c>
      <c r="L176" s="5" t="s">
        <v>82</v>
      </c>
      <c r="M176" s="17">
        <v>46132.486805555556</v>
      </c>
      <c r="N176" s="18" t="b">
        <v>1</v>
      </c>
      <c r="O176" s="18"/>
      <c r="P176" s="5"/>
      <c r="Q176" s="8"/>
      <c r="R176" s="8"/>
      <c r="S176" s="8"/>
      <c r="T176" s="8"/>
      <c r="U176" s="8"/>
      <c r="V176" s="8"/>
      <c r="W176" s="8"/>
      <c r="X176" s="22"/>
      <c r="Y176" s="22"/>
      <c r="Z176" s="22"/>
      <c r="AA176" s="22"/>
      <c r="AB176" s="8"/>
      <c r="AC176" s="8" t="str">
        <f ca="1">IFERROR(__xludf.DUMMYFUNCTION("""COMPUTED_VALUE"""),"Gas Queen")</f>
        <v>Gas Queen</v>
      </c>
      <c r="AD176" s="24"/>
      <c r="AE176" s="24" t="str">
        <f t="shared" si="4"/>
        <v/>
      </c>
      <c r="AF176" s="22">
        <f t="shared" si="3"/>
        <v>1</v>
      </c>
      <c r="AG176" s="22" t="str">
        <f t="shared" ca="1" si="5"/>
        <v/>
      </c>
      <c r="AH176" s="8"/>
      <c r="AI176" s="8"/>
    </row>
    <row r="177" spans="2:35" ht="15.75" customHeight="1" x14ac:dyDescent="0.25">
      <c r="B177" s="8"/>
      <c r="C177" s="8"/>
      <c r="D177" s="8"/>
      <c r="E177" s="5" t="s">
        <v>270</v>
      </c>
      <c r="F177" s="16">
        <v>84000</v>
      </c>
      <c r="G177" s="16">
        <v>54503</v>
      </c>
      <c r="H177" s="5" t="s">
        <v>100</v>
      </c>
      <c r="I177" s="5" t="s">
        <v>21</v>
      </c>
      <c r="J177" s="5">
        <v>447275000</v>
      </c>
      <c r="K177" s="5">
        <v>9849629</v>
      </c>
      <c r="L177" s="5" t="s">
        <v>163</v>
      </c>
      <c r="M177" s="17">
        <v>46132.5</v>
      </c>
      <c r="N177" s="18" t="b">
        <v>0</v>
      </c>
      <c r="O177" s="18"/>
      <c r="P177" s="5"/>
      <c r="Q177" s="8"/>
      <c r="R177" s="8"/>
      <c r="S177" s="8"/>
      <c r="T177" s="8"/>
      <c r="U177" s="8"/>
      <c r="V177" s="8"/>
      <c r="W177" s="8"/>
      <c r="X177" s="22"/>
      <c r="Y177" s="22"/>
      <c r="Z177" s="22"/>
      <c r="AA177" s="22"/>
      <c r="AB177" s="8"/>
      <c r="AC177" s="8" t="str">
        <f ca="1">IFERROR(__xludf.DUMMYFUNCTION("""COMPUTED_VALUE"""),"Gas Quila")</f>
        <v>Gas Quila</v>
      </c>
      <c r="AD177" s="24"/>
      <c r="AE177" s="24" t="str">
        <f t="shared" si="4"/>
        <v/>
      </c>
      <c r="AF177" s="22">
        <f t="shared" si="3"/>
        <v>1</v>
      </c>
      <c r="AG177" s="22">
        <f t="shared" ca="1" si="5"/>
        <v>1</v>
      </c>
      <c r="AH177" s="8"/>
      <c r="AI177" s="8"/>
    </row>
    <row r="178" spans="2:35" ht="15.75" customHeight="1" x14ac:dyDescent="0.25">
      <c r="B178" s="8"/>
      <c r="C178" s="8"/>
      <c r="D178" s="8"/>
      <c r="E178" s="5" t="s">
        <v>271</v>
      </c>
      <c r="F178" s="16">
        <v>80613</v>
      </c>
      <c r="G178" s="16">
        <v>57738</v>
      </c>
      <c r="H178" s="5" t="s">
        <v>26</v>
      </c>
      <c r="I178" s="5" t="s">
        <v>21</v>
      </c>
      <c r="J178" s="5">
        <v>447161000</v>
      </c>
      <c r="K178" s="5">
        <v>9329710</v>
      </c>
      <c r="L178" s="5" t="s">
        <v>163</v>
      </c>
      <c r="M178" s="17">
        <v>46132.208333333336</v>
      </c>
      <c r="N178" s="18" t="b">
        <v>0</v>
      </c>
      <c r="O178" s="18"/>
      <c r="P178" s="5"/>
      <c r="Q178" s="8"/>
      <c r="R178" s="8"/>
      <c r="S178" s="8"/>
      <c r="T178" s="8"/>
      <c r="U178" s="8"/>
      <c r="V178" s="8"/>
      <c r="W178" s="8"/>
      <c r="X178" s="22"/>
      <c r="Y178" s="22"/>
      <c r="Z178" s="22"/>
      <c r="AA178" s="22"/>
      <c r="AB178" s="8"/>
      <c r="AC178" s="8" t="str">
        <f ca="1">IFERROR(__xludf.DUMMYFUNCTION("""COMPUTED_VALUE"""),"Gas Sagittarius")</f>
        <v>Gas Sagittarius</v>
      </c>
      <c r="AD178" s="24"/>
      <c r="AE178" s="24" t="str">
        <f t="shared" si="4"/>
        <v/>
      </c>
      <c r="AF178" s="22">
        <f t="shared" si="3"/>
        <v>1</v>
      </c>
      <c r="AG178" s="22">
        <f t="shared" ca="1" si="5"/>
        <v>1</v>
      </c>
      <c r="AH178" s="8"/>
      <c r="AI178" s="8"/>
    </row>
    <row r="179" spans="2:35" ht="15.75" customHeight="1" x14ac:dyDescent="0.25">
      <c r="B179" s="8"/>
      <c r="C179" s="8"/>
      <c r="D179" s="8"/>
      <c r="E179" s="5" t="s">
        <v>272</v>
      </c>
      <c r="F179" s="16">
        <v>84000</v>
      </c>
      <c r="G179" s="16">
        <v>54520</v>
      </c>
      <c r="H179" s="5" t="s">
        <v>26</v>
      </c>
      <c r="I179" s="5" t="s">
        <v>21</v>
      </c>
      <c r="J179" s="5">
        <v>447273000</v>
      </c>
      <c r="K179" s="5">
        <v>9849617</v>
      </c>
      <c r="L179" s="5" t="s">
        <v>273</v>
      </c>
      <c r="M179" s="17">
        <v>46136.000694444447</v>
      </c>
      <c r="N179" s="18" t="b">
        <v>0</v>
      </c>
      <c r="O179" s="18"/>
      <c r="P179" s="5"/>
      <c r="Q179" s="8"/>
      <c r="R179" s="8"/>
      <c r="S179" s="8"/>
      <c r="T179" s="8"/>
      <c r="U179" s="8"/>
      <c r="V179" s="8"/>
      <c r="W179" s="8"/>
      <c r="X179" s="22"/>
      <c r="Y179" s="22"/>
      <c r="Z179" s="22"/>
      <c r="AA179" s="22"/>
      <c r="AB179" s="8"/>
      <c r="AC179" s="8" t="str">
        <f ca="1">IFERROR(__xludf.DUMMYFUNCTION("""COMPUTED_VALUE"""),"Gas Scorpio")</f>
        <v>Gas Scorpio</v>
      </c>
      <c r="AD179" s="24"/>
      <c r="AE179" s="24" t="str">
        <f t="shared" si="4"/>
        <v/>
      </c>
      <c r="AF179" s="22">
        <f t="shared" si="3"/>
        <v>1</v>
      </c>
      <c r="AG179" s="22">
        <f t="shared" ca="1" si="5"/>
        <v>1</v>
      </c>
      <c r="AH179" s="8"/>
      <c r="AI179" s="8"/>
    </row>
    <row r="180" spans="2:35" ht="15.75" customHeight="1" x14ac:dyDescent="0.25">
      <c r="B180" s="8"/>
      <c r="C180" s="8"/>
      <c r="D180" s="8"/>
      <c r="E180" s="5" t="s">
        <v>274</v>
      </c>
      <c r="F180" s="16">
        <v>80681</v>
      </c>
      <c r="G180" s="16">
        <v>57748</v>
      </c>
      <c r="H180" s="5" t="s">
        <v>100</v>
      </c>
      <c r="I180" s="5" t="s">
        <v>21</v>
      </c>
      <c r="J180" s="5">
        <v>447087000</v>
      </c>
      <c r="K180" s="5">
        <v>9329722</v>
      </c>
      <c r="L180" s="5" t="s">
        <v>163</v>
      </c>
      <c r="M180" s="17">
        <v>46132.625</v>
      </c>
      <c r="N180" s="18" t="b">
        <v>0</v>
      </c>
      <c r="O180" s="18"/>
      <c r="P180" s="5"/>
      <c r="Q180" s="8"/>
      <c r="R180" s="8"/>
      <c r="S180" s="8"/>
      <c r="T180" s="8"/>
      <c r="U180" s="8"/>
      <c r="V180" s="8"/>
      <c r="W180" s="8"/>
      <c r="X180" s="22"/>
      <c r="Y180" s="22"/>
      <c r="Z180" s="22"/>
      <c r="AA180" s="22"/>
      <c r="AB180" s="8"/>
      <c r="AC180" s="8" t="str">
        <f ca="1">IFERROR(__xludf.DUMMYFUNCTION("""COMPUTED_VALUE"""),"Gas Stella")</f>
        <v>Gas Stella</v>
      </c>
      <c r="AD180" s="24"/>
      <c r="AE180" s="24" t="str">
        <f t="shared" si="4"/>
        <v/>
      </c>
      <c r="AF180" s="22">
        <f t="shared" si="3"/>
        <v>1</v>
      </c>
      <c r="AG180" s="22">
        <f t="shared" ca="1" si="5"/>
        <v>1</v>
      </c>
      <c r="AH180" s="8"/>
      <c r="AI180" s="8"/>
    </row>
    <row r="181" spans="2:35" ht="15.75" customHeight="1" x14ac:dyDescent="0.25">
      <c r="B181" s="8"/>
      <c r="C181" s="8"/>
      <c r="D181" s="8"/>
      <c r="E181" s="5" t="s">
        <v>275</v>
      </c>
      <c r="F181" s="16">
        <v>80701</v>
      </c>
      <c r="G181" s="16">
        <v>54491</v>
      </c>
      <c r="H181" s="5" t="s">
        <v>26</v>
      </c>
      <c r="I181" s="5" t="s">
        <v>21</v>
      </c>
      <c r="J181" s="5">
        <v>370355000</v>
      </c>
      <c r="K181" s="5">
        <v>9385685</v>
      </c>
      <c r="L181" s="5" t="s">
        <v>107</v>
      </c>
      <c r="M181" s="33">
        <v>46140.5</v>
      </c>
      <c r="N181" s="18" t="b">
        <v>0</v>
      </c>
      <c r="O181" s="18"/>
      <c r="P181" s="5"/>
      <c r="Q181" s="8"/>
      <c r="R181" s="8"/>
      <c r="S181" s="8"/>
      <c r="T181" s="8"/>
      <c r="U181" s="8"/>
      <c r="V181" s="8"/>
      <c r="W181" s="8"/>
      <c r="X181" s="22"/>
      <c r="Y181" s="22"/>
      <c r="Z181" s="22"/>
      <c r="AA181" s="22"/>
      <c r="AB181" s="8"/>
      <c r="AC181" s="8" t="str">
        <f ca="1">IFERROR(__xludf.DUMMYFUNCTION("""COMPUTED_VALUE"""),"Gas Summit")</f>
        <v>Gas Summit</v>
      </c>
      <c r="AD181" s="24"/>
      <c r="AE181" s="24" t="str">
        <f t="shared" si="4"/>
        <v/>
      </c>
      <c r="AF181" s="22">
        <f t="shared" si="3"/>
        <v>1</v>
      </c>
      <c r="AG181" s="22">
        <f t="shared" ca="1" si="5"/>
        <v>1</v>
      </c>
      <c r="AH181" s="8"/>
      <c r="AI181" s="8"/>
    </row>
    <row r="182" spans="2:35" ht="15.75" customHeight="1" x14ac:dyDescent="0.25">
      <c r="B182" s="8"/>
      <c r="C182" s="8"/>
      <c r="D182" s="8"/>
      <c r="E182" s="5" t="s">
        <v>276</v>
      </c>
      <c r="F182" s="16">
        <v>88000</v>
      </c>
      <c r="G182" s="16">
        <v>57234</v>
      </c>
      <c r="H182" s="5" t="s">
        <v>53</v>
      </c>
      <c r="I182" s="741" t="s">
        <v>54</v>
      </c>
      <c r="J182" s="742"/>
      <c r="K182" s="5">
        <v>1054163</v>
      </c>
      <c r="L182" s="5"/>
      <c r="M182" s="17"/>
      <c r="N182" s="18" t="b">
        <v>0</v>
      </c>
      <c r="O182" s="18"/>
      <c r="P182" s="5"/>
      <c r="Q182" s="8"/>
      <c r="R182" s="8"/>
      <c r="S182" s="8"/>
      <c r="T182" s="8"/>
      <c r="U182" s="8"/>
      <c r="V182" s="8"/>
      <c r="W182" s="8"/>
      <c r="X182" s="22"/>
      <c r="Y182" s="22"/>
      <c r="Z182" s="22"/>
      <c r="AA182" s="22"/>
      <c r="AB182" s="8"/>
      <c r="AC182" s="8" t="str">
        <f ca="1">IFERROR(__xludf.DUMMYFUNCTION("""COMPUTED_VALUE"""),"Gas Tiffany")</f>
        <v>Gas Tiffany</v>
      </c>
      <c r="AD182" s="24"/>
      <c r="AE182" s="24" t="str">
        <f t="shared" si="4"/>
        <v/>
      </c>
      <c r="AF182" s="22">
        <f t="shared" si="3"/>
        <v>1</v>
      </c>
      <c r="AG182" s="22" t="str">
        <f t="shared" ca="1" si="5"/>
        <v/>
      </c>
      <c r="AH182" s="8"/>
      <c r="AI182" s="8"/>
    </row>
    <row r="183" spans="2:35" ht="15.75" customHeight="1" x14ac:dyDescent="0.25">
      <c r="B183" s="8"/>
      <c r="C183" s="8"/>
      <c r="D183" s="8"/>
      <c r="E183" s="5" t="s">
        <v>277</v>
      </c>
      <c r="F183" s="16">
        <v>83783</v>
      </c>
      <c r="G183" s="16">
        <v>53999</v>
      </c>
      <c r="H183" s="5" t="s">
        <v>20</v>
      </c>
      <c r="I183" s="5" t="s">
        <v>21</v>
      </c>
      <c r="J183" s="5">
        <v>525401047</v>
      </c>
      <c r="K183" s="5">
        <v>9364394</v>
      </c>
      <c r="L183" s="5" t="s">
        <v>278</v>
      </c>
      <c r="M183" s="17">
        <v>46134.625</v>
      </c>
      <c r="N183" s="18" t="b">
        <v>1</v>
      </c>
      <c r="O183" s="18"/>
      <c r="P183" s="5"/>
      <c r="Q183" s="8"/>
      <c r="R183" s="8"/>
      <c r="S183" s="8"/>
      <c r="T183" s="8"/>
      <c r="U183" s="8"/>
      <c r="V183" s="8"/>
      <c r="W183" s="8"/>
      <c r="X183" s="22"/>
      <c r="Y183" s="22"/>
      <c r="Z183" s="22"/>
      <c r="AA183" s="22"/>
      <c r="AB183" s="8"/>
      <c r="AC183" s="8" t="str">
        <f ca="1">IFERROR(__xludf.DUMMYFUNCTION("""COMPUTED_VALUE"""),"Gas Umm Al Rowaisat")</f>
        <v>Gas Umm Al Rowaisat</v>
      </c>
      <c r="AD183" s="24"/>
      <c r="AE183" s="24" t="str">
        <f t="shared" si="4"/>
        <v/>
      </c>
      <c r="AF183" s="22">
        <f t="shared" si="3"/>
        <v>1</v>
      </c>
      <c r="AG183" s="22">
        <f t="shared" ca="1" si="5"/>
        <v>1</v>
      </c>
      <c r="AH183" s="8"/>
      <c r="AI183" s="8"/>
    </row>
    <row r="184" spans="2:35" ht="15.75" customHeight="1" x14ac:dyDescent="0.25">
      <c r="B184" s="8"/>
      <c r="C184" s="8"/>
      <c r="D184" s="8"/>
      <c r="E184" s="5" t="s">
        <v>279</v>
      </c>
      <c r="F184" s="16">
        <v>86953</v>
      </c>
      <c r="G184" s="16">
        <v>55000</v>
      </c>
      <c r="H184" s="5" t="s">
        <v>20</v>
      </c>
      <c r="I184" s="5" t="s">
        <v>21</v>
      </c>
      <c r="J184" s="5">
        <v>352003871</v>
      </c>
      <c r="K184" s="5">
        <v>9958391</v>
      </c>
      <c r="L184" s="5" t="s">
        <v>280</v>
      </c>
      <c r="M184" s="17">
        <v>46146.125</v>
      </c>
      <c r="N184" s="18" t="b">
        <v>1</v>
      </c>
      <c r="O184" s="18"/>
      <c r="P184" s="5"/>
      <c r="Q184" s="8"/>
      <c r="R184" s="8"/>
      <c r="S184" s="8"/>
      <c r="T184" s="8"/>
      <c r="U184" s="8"/>
      <c r="V184" s="8"/>
      <c r="W184" s="8"/>
      <c r="X184" s="22"/>
      <c r="Y184" s="22"/>
      <c r="Z184" s="22"/>
      <c r="AA184" s="22"/>
      <c r="AB184" s="8"/>
      <c r="AC184" s="8" t="str">
        <f ca="1">IFERROR(__xludf.DUMMYFUNCTION("""COMPUTED_VALUE"""),"Gas Vela")</f>
        <v>Gas Vela</v>
      </c>
      <c r="AD184" s="24"/>
      <c r="AE184" s="24" t="str">
        <f t="shared" si="4"/>
        <v/>
      </c>
      <c r="AF184" s="22">
        <f t="shared" si="3"/>
        <v>1</v>
      </c>
      <c r="AG184" s="22">
        <f t="shared" ca="1" si="5"/>
        <v>1</v>
      </c>
      <c r="AH184" s="8"/>
      <c r="AI184" s="8"/>
    </row>
    <row r="185" spans="2:35" ht="15.75" customHeight="1" x14ac:dyDescent="0.25">
      <c r="B185" s="8"/>
      <c r="C185" s="8"/>
      <c r="D185" s="8"/>
      <c r="E185" s="5" t="s">
        <v>281</v>
      </c>
      <c r="F185" s="16">
        <v>85000</v>
      </c>
      <c r="G185" s="16">
        <v>54656</v>
      </c>
      <c r="H185" s="5" t="s">
        <v>26</v>
      </c>
      <c r="I185" s="5" t="s">
        <v>21</v>
      </c>
      <c r="J185" s="5">
        <v>477118200</v>
      </c>
      <c r="K185" s="5">
        <v>9780005</v>
      </c>
      <c r="L185" s="5" t="s">
        <v>38</v>
      </c>
      <c r="M185" s="17">
        <v>46134.333333333336</v>
      </c>
      <c r="N185" s="18" t="b">
        <v>0</v>
      </c>
      <c r="O185" s="18"/>
      <c r="P185" s="5"/>
      <c r="Q185" s="8"/>
      <c r="R185" s="8"/>
      <c r="S185" s="8"/>
      <c r="T185" s="8"/>
      <c r="U185" s="8"/>
      <c r="V185" s="8"/>
      <c r="W185" s="8"/>
      <c r="X185" s="22"/>
      <c r="Y185" s="22"/>
      <c r="Z185" s="22"/>
      <c r="AA185" s="22"/>
      <c r="AB185" s="8"/>
      <c r="AC185" s="8" t="str">
        <f ca="1">IFERROR(__xludf.DUMMYFUNCTION("""COMPUTED_VALUE"""),"Gas Venus")</f>
        <v>Gas Venus</v>
      </c>
      <c r="AD185" s="24"/>
      <c r="AE185" s="24" t="str">
        <f t="shared" si="4"/>
        <v/>
      </c>
      <c r="AF185" s="22">
        <f t="shared" si="3"/>
        <v>1</v>
      </c>
      <c r="AG185" s="22">
        <f t="shared" ca="1" si="5"/>
        <v>1</v>
      </c>
      <c r="AH185" s="8"/>
      <c r="AI185" s="8"/>
    </row>
    <row r="186" spans="2:35" ht="15.75" customHeight="1" x14ac:dyDescent="0.25">
      <c r="B186" s="8"/>
      <c r="C186" s="8"/>
      <c r="D186" s="8"/>
      <c r="E186" s="5" t="s">
        <v>282</v>
      </c>
      <c r="F186" s="16">
        <v>91140</v>
      </c>
      <c r="G186" s="16">
        <v>60000</v>
      </c>
      <c r="H186" s="5" t="s">
        <v>100</v>
      </c>
      <c r="I186" s="5" t="s">
        <v>21</v>
      </c>
      <c r="J186" s="5">
        <v>563248200</v>
      </c>
      <c r="K186" s="5">
        <v>9969833</v>
      </c>
      <c r="L186" s="5" t="s">
        <v>101</v>
      </c>
      <c r="M186" s="17">
        <v>46132.916666666664</v>
      </c>
      <c r="N186" s="18" t="b">
        <v>0</v>
      </c>
      <c r="O186" s="18"/>
      <c r="P186" s="5"/>
      <c r="Q186" s="8"/>
      <c r="R186" s="8"/>
      <c r="S186" s="8"/>
      <c r="T186" s="8"/>
      <c r="U186" s="8"/>
      <c r="V186" s="8"/>
      <c r="W186" s="8"/>
      <c r="X186" s="22"/>
      <c r="Y186" s="22"/>
      <c r="Z186" s="22"/>
      <c r="AA186" s="22"/>
      <c r="AB186" s="8"/>
      <c r="AC186" s="8" t="str">
        <f ca="1">IFERROR(__xludf.DUMMYFUNCTION("""COMPUTED_VALUE"""),"Gas Virgo")</f>
        <v>Gas Virgo</v>
      </c>
      <c r="AD186" s="24"/>
      <c r="AE186" s="24" t="str">
        <f t="shared" si="4"/>
        <v/>
      </c>
      <c r="AF186" s="22">
        <f t="shared" si="3"/>
        <v>1</v>
      </c>
      <c r="AG186" s="22">
        <f t="shared" ca="1" si="5"/>
        <v>1</v>
      </c>
      <c r="AH186" s="8"/>
      <c r="AI186" s="8"/>
    </row>
    <row r="187" spans="2:35" ht="15.75" customHeight="1" x14ac:dyDescent="0.25">
      <c r="B187" s="8"/>
      <c r="C187" s="8"/>
      <c r="D187" s="8"/>
      <c r="E187" s="5" t="s">
        <v>283</v>
      </c>
      <c r="F187" s="16">
        <v>84000</v>
      </c>
      <c r="G187" s="16">
        <v>53349</v>
      </c>
      <c r="H187" s="5" t="s">
        <v>26</v>
      </c>
      <c r="I187" s="5" t="s">
        <v>21</v>
      </c>
      <c r="J187" s="5">
        <v>351104000</v>
      </c>
      <c r="K187" s="5">
        <v>9892391</v>
      </c>
      <c r="L187" s="5" t="s">
        <v>43</v>
      </c>
      <c r="M187" s="33">
        <v>46133.791666666664</v>
      </c>
      <c r="N187" s="18" t="b">
        <v>0</v>
      </c>
      <c r="O187" s="18"/>
      <c r="P187" s="5"/>
      <c r="Q187" s="8"/>
      <c r="R187" s="8"/>
      <c r="S187" s="8"/>
      <c r="T187" s="8"/>
      <c r="U187" s="8"/>
      <c r="V187" s="8"/>
      <c r="W187" s="8"/>
      <c r="X187" s="22"/>
      <c r="Y187" s="22"/>
      <c r="Z187" s="22"/>
      <c r="AA187" s="22"/>
      <c r="AB187" s="8"/>
      <c r="AC187" s="8" t="str">
        <f ca="1">IFERROR(__xludf.DUMMYFUNCTION("""COMPUTED_VALUE"""),"Gas Wisdom")</f>
        <v>Gas Wisdom</v>
      </c>
      <c r="AD187" s="24"/>
      <c r="AE187" s="24" t="str">
        <f t="shared" si="4"/>
        <v/>
      </c>
      <c r="AF187" s="22">
        <f t="shared" si="3"/>
        <v>1</v>
      </c>
      <c r="AG187" s="22">
        <f t="shared" ca="1" si="5"/>
        <v>1</v>
      </c>
      <c r="AH187" s="8"/>
      <c r="AI187" s="8"/>
    </row>
    <row r="188" spans="2:35" ht="15.75" customHeight="1" x14ac:dyDescent="0.25">
      <c r="B188" s="8"/>
      <c r="C188" s="8"/>
      <c r="D188" s="8"/>
      <c r="E188" s="5" t="s">
        <v>284</v>
      </c>
      <c r="F188" s="16">
        <v>84000</v>
      </c>
      <c r="G188" s="16">
        <v>54732</v>
      </c>
      <c r="H188" s="5" t="s">
        <v>20</v>
      </c>
      <c r="I188" s="5" t="s">
        <v>21</v>
      </c>
      <c r="J188" s="5">
        <v>563215300</v>
      </c>
      <c r="K188" s="5">
        <v>9670004</v>
      </c>
      <c r="L188" s="5" t="s">
        <v>157</v>
      </c>
      <c r="M188" s="17">
        <v>46158.166666666664</v>
      </c>
      <c r="N188" s="18" t="b">
        <v>1</v>
      </c>
      <c r="O188" s="18"/>
      <c r="P188" s="5"/>
      <c r="Q188" s="8"/>
      <c r="R188" s="8"/>
      <c r="S188" s="8"/>
      <c r="T188" s="8"/>
      <c r="U188" s="8"/>
      <c r="V188" s="8"/>
      <c r="W188" s="8"/>
      <c r="X188" s="22"/>
      <c r="Y188" s="22"/>
      <c r="Z188" s="22"/>
      <c r="AA188" s="22"/>
      <c r="AB188" s="8"/>
      <c r="AC188" s="8" t="str">
        <f ca="1">IFERROR(__xludf.DUMMYFUNCTION("""COMPUTED_VALUE"""),"Gas Young")</f>
        <v>Gas Young</v>
      </c>
      <c r="AD188" s="24"/>
      <c r="AE188" s="24" t="str">
        <f t="shared" si="4"/>
        <v/>
      </c>
      <c r="AF188" s="22">
        <f t="shared" si="3"/>
        <v>1</v>
      </c>
      <c r="AG188" s="22">
        <f t="shared" ca="1" si="5"/>
        <v>1</v>
      </c>
      <c r="AH188" s="8"/>
      <c r="AI188" s="8"/>
    </row>
    <row r="189" spans="2:35" ht="15.75" customHeight="1" x14ac:dyDescent="0.25">
      <c r="B189" s="8"/>
      <c r="C189" s="8"/>
      <c r="D189" s="8"/>
      <c r="E189" s="5" t="s">
        <v>285</v>
      </c>
      <c r="F189" s="16">
        <v>84000</v>
      </c>
      <c r="G189" s="16">
        <v>53919</v>
      </c>
      <c r="H189" s="5" t="s">
        <v>20</v>
      </c>
      <c r="I189" s="5" t="s">
        <v>21</v>
      </c>
      <c r="J189" s="5">
        <v>355369000</v>
      </c>
      <c r="K189" s="5">
        <v>9903762</v>
      </c>
      <c r="L189" s="5" t="s">
        <v>286</v>
      </c>
      <c r="M189" s="17">
        <v>46142.166666666664</v>
      </c>
      <c r="N189" s="18" t="b">
        <v>1</v>
      </c>
      <c r="O189" s="18"/>
      <c r="P189" s="5"/>
      <c r="Q189" s="8"/>
      <c r="R189" s="8"/>
      <c r="S189" s="8"/>
      <c r="T189" s="8"/>
      <c r="U189" s="8"/>
      <c r="V189" s="8"/>
      <c r="W189" s="8"/>
      <c r="X189" s="22"/>
      <c r="Y189" s="22"/>
      <c r="Z189" s="22"/>
      <c r="AA189" s="22"/>
      <c r="AB189" s="8"/>
      <c r="AC189" s="8" t="str">
        <f ca="1">IFERROR(__xludf.DUMMYFUNCTION("""COMPUTED_VALUE"""),"Gas Zenith")</f>
        <v>Gas Zenith</v>
      </c>
      <c r="AD189" s="24"/>
      <c r="AE189" s="24" t="str">
        <f t="shared" si="4"/>
        <v/>
      </c>
      <c r="AF189" s="22">
        <f t="shared" si="3"/>
        <v>1</v>
      </c>
      <c r="AG189" s="22">
        <f t="shared" ca="1" si="5"/>
        <v>1</v>
      </c>
      <c r="AH189" s="8"/>
      <c r="AI189" s="8"/>
    </row>
    <row r="190" spans="2:35" ht="15.75" customHeight="1" x14ac:dyDescent="0.25">
      <c r="B190" s="8"/>
      <c r="C190" s="8"/>
      <c r="D190" s="8"/>
      <c r="E190" s="5" t="s">
        <v>287</v>
      </c>
      <c r="F190" s="16">
        <v>82000</v>
      </c>
      <c r="G190" s="16">
        <v>58610</v>
      </c>
      <c r="H190" s="5" t="s">
        <v>75</v>
      </c>
      <c r="I190" s="5" t="s">
        <v>21</v>
      </c>
      <c r="J190" s="5">
        <v>525501372</v>
      </c>
      <c r="K190" s="5">
        <v>9346134</v>
      </c>
      <c r="L190" s="5"/>
      <c r="M190" s="17"/>
      <c r="N190" s="18" t="b">
        <v>1</v>
      </c>
      <c r="O190" s="18"/>
      <c r="P190" s="5"/>
      <c r="Q190" s="8"/>
      <c r="R190" s="8"/>
      <c r="S190" s="8"/>
      <c r="T190" s="8"/>
      <c r="U190" s="8"/>
      <c r="V190" s="8"/>
      <c r="W190" s="8"/>
      <c r="X190" s="22"/>
      <c r="Y190" s="22"/>
      <c r="Z190" s="22"/>
      <c r="AA190" s="22"/>
      <c r="AB190" s="8"/>
      <c r="AC190" s="8" t="str">
        <f ca="1">IFERROR(__xludf.DUMMYFUNCTION("""COMPUTED_VALUE"""),"Gaz Imperial")</f>
        <v>Gaz Imperial</v>
      </c>
      <c r="AD190" s="24"/>
      <c r="AE190" s="24" t="str">
        <f t="shared" si="4"/>
        <v/>
      </c>
      <c r="AF190" s="22">
        <f t="shared" si="3"/>
        <v>1</v>
      </c>
      <c r="AG190" s="22">
        <f t="shared" ca="1" si="5"/>
        <v>1</v>
      </c>
      <c r="AH190" s="8"/>
      <c r="AI190" s="8"/>
    </row>
    <row r="191" spans="2:35" ht="15.75" customHeight="1" x14ac:dyDescent="0.25">
      <c r="B191" s="8"/>
      <c r="C191" s="8"/>
      <c r="D191" s="8"/>
      <c r="E191" s="5" t="s">
        <v>288</v>
      </c>
      <c r="F191" s="16">
        <v>84000</v>
      </c>
      <c r="G191" s="16">
        <v>54000</v>
      </c>
      <c r="H191" s="5" t="s">
        <v>20</v>
      </c>
      <c r="I191" s="5" t="s">
        <v>21</v>
      </c>
      <c r="J191" s="5">
        <v>563236700</v>
      </c>
      <c r="K191" s="5">
        <v>9847944</v>
      </c>
      <c r="L191" s="5" t="s">
        <v>289</v>
      </c>
      <c r="M191" s="17">
        <v>46137.75</v>
      </c>
      <c r="N191" s="18" t="b">
        <v>1</v>
      </c>
      <c r="O191" s="18"/>
      <c r="P191" s="5"/>
      <c r="Q191" s="8"/>
      <c r="R191" s="8"/>
      <c r="S191" s="8"/>
      <c r="T191" s="8"/>
      <c r="U191" s="8"/>
      <c r="V191" s="8"/>
      <c r="W191" s="8"/>
      <c r="X191" s="22"/>
      <c r="Y191" s="22"/>
      <c r="Z191" s="22"/>
      <c r="AA191" s="22"/>
      <c r="AB191" s="8"/>
      <c r="AC191" s="8" t="str">
        <f ca="1">IFERROR(__xludf.DUMMYFUNCTION("""COMPUTED_VALUE"""),"Gaz Ronin")</f>
        <v>Gaz Ronin</v>
      </c>
      <c r="AD191" s="24"/>
      <c r="AE191" s="24" t="str">
        <f t="shared" si="4"/>
        <v/>
      </c>
      <c r="AF191" s="22">
        <f t="shared" si="3"/>
        <v>1</v>
      </c>
      <c r="AG191" s="22">
        <f t="shared" ca="1" si="5"/>
        <v>1</v>
      </c>
      <c r="AH191" s="8"/>
      <c r="AI191" s="8"/>
    </row>
    <row r="192" spans="2:35" ht="15.75" customHeight="1" x14ac:dyDescent="0.25">
      <c r="B192" s="8"/>
      <c r="C192" s="8"/>
      <c r="D192" s="8"/>
      <c r="E192" s="5" t="s">
        <v>290</v>
      </c>
      <c r="F192" s="16">
        <v>80705</v>
      </c>
      <c r="G192" s="16">
        <v>54995</v>
      </c>
      <c r="H192" s="5" t="s">
        <v>26</v>
      </c>
      <c r="I192" s="5" t="s">
        <v>21</v>
      </c>
      <c r="J192" s="5">
        <v>525301585</v>
      </c>
      <c r="K192" s="5">
        <v>9352963</v>
      </c>
      <c r="L192" s="5" t="s">
        <v>94</v>
      </c>
      <c r="M192" s="17">
        <v>46132.70416666667</v>
      </c>
      <c r="N192" s="18" t="b">
        <v>0</v>
      </c>
      <c r="O192" s="18"/>
      <c r="P192" s="5"/>
      <c r="Q192" s="8"/>
      <c r="R192" s="8"/>
      <c r="S192" s="8"/>
      <c r="T192" s="8"/>
      <c r="U192" s="8"/>
      <c r="V192" s="8"/>
      <c r="W192" s="8"/>
      <c r="X192" s="22"/>
      <c r="Y192" s="22"/>
      <c r="Z192" s="22"/>
      <c r="AA192" s="22"/>
      <c r="AB192" s="8"/>
      <c r="AC192" s="8" t="str">
        <f ca="1">IFERROR(__xludf.DUMMYFUNCTION("""COMPUTED_VALUE"""),"Genesis River")</f>
        <v>Genesis River</v>
      </c>
      <c r="AD192" s="24"/>
      <c r="AE192" s="24" t="str">
        <f t="shared" si="4"/>
        <v/>
      </c>
      <c r="AF192" s="22">
        <f t="shared" si="3"/>
        <v>1</v>
      </c>
      <c r="AG192" s="22">
        <f t="shared" ca="1" si="5"/>
        <v>1</v>
      </c>
      <c r="AH192" s="8"/>
      <c r="AI192" s="8"/>
    </row>
    <row r="193" spans="2:35" ht="15.75" customHeight="1" x14ac:dyDescent="0.25">
      <c r="B193" s="8"/>
      <c r="C193" s="8"/>
      <c r="D193" s="8"/>
      <c r="E193" s="5" t="s">
        <v>291</v>
      </c>
      <c r="F193" s="16">
        <v>78934</v>
      </c>
      <c r="G193" s="16">
        <v>49999</v>
      </c>
      <c r="H193" s="5" t="s">
        <v>26</v>
      </c>
      <c r="I193" s="5" t="s">
        <v>21</v>
      </c>
      <c r="J193" s="5">
        <v>636011617</v>
      </c>
      <c r="K193" s="5">
        <v>9255701</v>
      </c>
      <c r="L193" s="5" t="s">
        <v>38</v>
      </c>
      <c r="M193" s="17">
        <v>46146.125</v>
      </c>
      <c r="N193" s="18" t="b">
        <v>0</v>
      </c>
      <c r="O193" s="18"/>
      <c r="P193" s="5"/>
      <c r="Q193" s="8"/>
      <c r="R193" s="8"/>
      <c r="S193" s="8"/>
      <c r="T193" s="8"/>
      <c r="U193" s="8"/>
      <c r="V193" s="8"/>
      <c r="W193" s="8"/>
      <c r="X193" s="22"/>
      <c r="Y193" s="22"/>
      <c r="Z193" s="22"/>
      <c r="AA193" s="22"/>
      <c r="AB193" s="8"/>
      <c r="AC193" s="8" t="str">
        <f ca="1">IFERROR(__xludf.DUMMYFUNCTION("""COMPUTED_VALUE"""),"Genevi")</f>
        <v>Genevi</v>
      </c>
      <c r="AD193" s="24"/>
      <c r="AE193" s="24" t="str">
        <f t="shared" si="4"/>
        <v/>
      </c>
      <c r="AF193" s="22">
        <f t="shared" si="3"/>
        <v>1</v>
      </c>
      <c r="AG193" s="22">
        <f t="shared" ca="1" si="5"/>
        <v>1</v>
      </c>
      <c r="AH193" s="8"/>
      <c r="AI193" s="8"/>
    </row>
    <row r="194" spans="2:35" ht="15.75" customHeight="1" x14ac:dyDescent="0.25">
      <c r="B194" s="8"/>
      <c r="C194" s="8"/>
      <c r="D194" s="8"/>
      <c r="E194" s="5" t="s">
        <v>292</v>
      </c>
      <c r="F194" s="16">
        <v>86000</v>
      </c>
      <c r="G194" s="16">
        <v>55081</v>
      </c>
      <c r="H194" s="5" t="s">
        <v>20</v>
      </c>
      <c r="I194" s="5" t="s">
        <v>21</v>
      </c>
      <c r="J194" s="5">
        <v>563144300</v>
      </c>
      <c r="K194" s="5">
        <v>9902809</v>
      </c>
      <c r="L194" s="5" t="s">
        <v>293</v>
      </c>
      <c r="M194" s="17">
        <v>46161.208333333336</v>
      </c>
      <c r="N194" s="18" t="b">
        <v>1</v>
      </c>
      <c r="O194" s="18"/>
      <c r="P194" s="5"/>
      <c r="Q194" s="8"/>
      <c r="R194" s="8"/>
      <c r="S194" s="8"/>
      <c r="T194" s="8"/>
      <c r="U194" s="8"/>
      <c r="V194" s="8"/>
      <c r="W194" s="8"/>
      <c r="X194" s="22"/>
      <c r="Y194" s="22"/>
      <c r="Z194" s="22"/>
      <c r="AA194" s="22"/>
      <c r="AB194" s="8"/>
      <c r="AC194" s="8" t="str">
        <f ca="1">IFERROR(__xludf.DUMMYFUNCTION("""COMPUTED_VALUE"""),"Globe Atlas")</f>
        <v>Globe Atlas</v>
      </c>
      <c r="AD194" s="24"/>
      <c r="AE194" s="24" t="str">
        <f t="shared" si="4"/>
        <v/>
      </c>
      <c r="AF194" s="22">
        <f t="shared" si="3"/>
        <v>1</v>
      </c>
      <c r="AG194" s="22">
        <f t="shared" ca="1" si="5"/>
        <v>1</v>
      </c>
      <c r="AH194" s="8"/>
      <c r="AI194" s="8"/>
    </row>
    <row r="195" spans="2:35" ht="15.75" customHeight="1" x14ac:dyDescent="0.25">
      <c r="B195" s="8"/>
      <c r="C195" s="8"/>
      <c r="D195" s="8"/>
      <c r="E195" s="5" t="s">
        <v>294</v>
      </c>
      <c r="F195" s="16">
        <v>73555</v>
      </c>
      <c r="G195" s="16">
        <v>54004</v>
      </c>
      <c r="H195" s="5" t="s">
        <v>26</v>
      </c>
      <c r="I195" s="5" t="s">
        <v>21</v>
      </c>
      <c r="J195" s="5">
        <v>314132000</v>
      </c>
      <c r="K195" s="5">
        <v>9386299</v>
      </c>
      <c r="L195" s="5" t="s">
        <v>295</v>
      </c>
      <c r="M195" s="17">
        <v>46133.25</v>
      </c>
      <c r="N195" s="18" t="b">
        <v>0</v>
      </c>
      <c r="O195" s="18"/>
      <c r="P195" s="5"/>
      <c r="Q195" s="8"/>
      <c r="R195" s="8"/>
      <c r="S195" s="8"/>
      <c r="T195" s="8"/>
      <c r="U195" s="8"/>
      <c r="V195" s="8"/>
      <c r="W195" s="8"/>
      <c r="X195" s="22"/>
      <c r="Y195" s="22"/>
      <c r="Z195" s="22"/>
      <c r="AA195" s="22"/>
      <c r="AB195" s="8"/>
      <c r="AC195" s="8" t="str">
        <f ca="1">IFERROR(__xludf.DUMMYFUNCTION("""COMPUTED_VALUE"""),"Globe Frontier")</f>
        <v>Globe Frontier</v>
      </c>
      <c r="AD195" s="24"/>
      <c r="AE195" s="24" t="str">
        <f t="shared" si="4"/>
        <v/>
      </c>
      <c r="AF195" s="22">
        <f t="shared" si="3"/>
        <v>1</v>
      </c>
      <c r="AG195" s="22" t="str">
        <f t="shared" ca="1" si="5"/>
        <v/>
      </c>
      <c r="AH195" s="8"/>
      <c r="AI195" s="8"/>
    </row>
    <row r="196" spans="2:35" ht="15.75" customHeight="1" x14ac:dyDescent="0.25">
      <c r="B196" s="8"/>
      <c r="C196" s="8"/>
      <c r="D196" s="8"/>
      <c r="E196" s="5" t="s">
        <v>296</v>
      </c>
      <c r="F196" s="16">
        <v>80551</v>
      </c>
      <c r="G196" s="16">
        <v>54998</v>
      </c>
      <c r="H196" s="5" t="s">
        <v>20</v>
      </c>
      <c r="I196" s="5" t="s">
        <v>21</v>
      </c>
      <c r="J196" s="5">
        <v>626480000</v>
      </c>
      <c r="K196" s="5">
        <v>9240419</v>
      </c>
      <c r="L196" s="5" t="s">
        <v>101</v>
      </c>
      <c r="M196" s="17">
        <v>46134.5</v>
      </c>
      <c r="N196" s="18" t="b">
        <v>1</v>
      </c>
      <c r="O196" s="18"/>
      <c r="P196" s="5"/>
      <c r="Q196" s="8"/>
      <c r="R196" s="8"/>
      <c r="S196" s="8"/>
      <c r="T196" s="8"/>
      <c r="U196" s="8"/>
      <c r="V196" s="8"/>
      <c r="W196" s="8"/>
      <c r="X196" s="22"/>
      <c r="Y196" s="22"/>
      <c r="Z196" s="22"/>
      <c r="AA196" s="22"/>
      <c r="AB196" s="8"/>
      <c r="AC196" s="8" t="str">
        <f ca="1">IFERROR(__xludf.DUMMYFUNCTION("""COMPUTED_VALUE"""),"Globe Iris")</f>
        <v>Globe Iris</v>
      </c>
      <c r="AD196" s="24"/>
      <c r="AE196" s="24" t="str">
        <f t="shared" si="4"/>
        <v/>
      </c>
      <c r="AF196" s="22">
        <f t="shared" si="3"/>
        <v>1</v>
      </c>
      <c r="AG196" s="22" t="str">
        <f t="shared" ca="1" si="5"/>
        <v/>
      </c>
      <c r="AH196" s="8"/>
      <c r="AI196" s="8"/>
    </row>
    <row r="197" spans="2:35" ht="15.75" customHeight="1" x14ac:dyDescent="0.25">
      <c r="B197" s="8"/>
      <c r="C197" s="8"/>
      <c r="D197" s="8"/>
      <c r="E197" s="5" t="s">
        <v>297</v>
      </c>
      <c r="F197" s="16">
        <v>80791</v>
      </c>
      <c r="G197" s="16">
        <v>54994</v>
      </c>
      <c r="H197" s="5" t="s">
        <v>26</v>
      </c>
      <c r="I197" s="5" t="s">
        <v>21</v>
      </c>
      <c r="J197" s="5">
        <v>525114114</v>
      </c>
      <c r="K197" s="5">
        <v>9354624</v>
      </c>
      <c r="L197" s="5"/>
      <c r="M197" s="17"/>
      <c r="N197" s="18" t="b">
        <v>0</v>
      </c>
      <c r="O197" s="18"/>
      <c r="P197" s="5"/>
      <c r="Q197" s="8"/>
      <c r="R197" s="8"/>
      <c r="S197" s="8"/>
      <c r="T197" s="8"/>
      <c r="U197" s="8"/>
      <c r="V197" s="8"/>
      <c r="W197" s="8"/>
      <c r="X197" s="22"/>
      <c r="Y197" s="22"/>
      <c r="Z197" s="22"/>
      <c r="AA197" s="22"/>
      <c r="AB197" s="8"/>
      <c r="AC197" s="8" t="str">
        <f ca="1">IFERROR(__xludf.DUMMYFUNCTION("""COMPUTED_VALUE"""),"Globe Polaris")</f>
        <v>Globe Polaris</v>
      </c>
      <c r="AD197" s="24"/>
      <c r="AE197" s="24" t="str">
        <f t="shared" si="4"/>
        <v/>
      </c>
      <c r="AF197" s="22">
        <f t="shared" si="3"/>
        <v>1</v>
      </c>
      <c r="AG197" s="22">
        <f t="shared" ca="1" si="5"/>
        <v>1</v>
      </c>
      <c r="AH197" s="8"/>
      <c r="AI197" s="8"/>
    </row>
    <row r="198" spans="2:35" ht="15.75" customHeight="1" x14ac:dyDescent="0.25">
      <c r="B198" s="8"/>
      <c r="C198" s="8"/>
      <c r="D198" s="8"/>
      <c r="E198" s="5" t="s">
        <v>298</v>
      </c>
      <c r="F198" s="16">
        <v>84000</v>
      </c>
      <c r="G198" s="16">
        <v>55000</v>
      </c>
      <c r="H198" s="5" t="s">
        <v>20</v>
      </c>
      <c r="I198" s="5" t="s">
        <v>21</v>
      </c>
      <c r="J198" s="5">
        <v>351328000</v>
      </c>
      <c r="K198" s="5">
        <v>9887451</v>
      </c>
      <c r="L198" s="5" t="s">
        <v>299</v>
      </c>
      <c r="M198" s="17">
        <v>46133.458333333336</v>
      </c>
      <c r="N198" s="18" t="b">
        <v>1</v>
      </c>
      <c r="O198" s="18"/>
      <c r="P198" s="5"/>
      <c r="Q198" s="8"/>
      <c r="R198" s="8"/>
      <c r="S198" s="8"/>
      <c r="T198" s="8"/>
      <c r="U198" s="8"/>
      <c r="V198" s="8"/>
      <c r="W198" s="8"/>
      <c r="X198" s="22"/>
      <c r="Y198" s="22"/>
      <c r="Z198" s="22"/>
      <c r="AA198" s="22"/>
      <c r="AB198" s="8"/>
      <c r="AC198" s="8" t="str">
        <f ca="1">IFERROR(__xludf.DUMMYFUNCTION("""COMPUTED_VALUE"""),"Haana")</f>
        <v>Haana</v>
      </c>
      <c r="AD198" s="24"/>
      <c r="AE198" s="24" t="str">
        <f t="shared" si="4"/>
        <v/>
      </c>
      <c r="AF198" s="22">
        <f t="shared" si="3"/>
        <v>1</v>
      </c>
      <c r="AG198" s="22">
        <f t="shared" ca="1" si="5"/>
        <v>1</v>
      </c>
      <c r="AH198" s="8"/>
      <c r="AI198" s="8"/>
    </row>
    <row r="199" spans="2:35" ht="15.75" customHeight="1" x14ac:dyDescent="0.25">
      <c r="B199" s="8"/>
      <c r="C199" s="8"/>
      <c r="D199" s="8"/>
      <c r="E199" s="5" t="s">
        <v>300</v>
      </c>
      <c r="F199" s="16">
        <v>84000</v>
      </c>
      <c r="G199" s="16">
        <v>53349</v>
      </c>
      <c r="H199" s="5" t="s">
        <v>26</v>
      </c>
      <c r="I199" s="5" t="s">
        <v>21</v>
      </c>
      <c r="J199" s="5">
        <v>373568000</v>
      </c>
      <c r="K199" s="5">
        <v>9892406</v>
      </c>
      <c r="L199" s="5" t="s">
        <v>144</v>
      </c>
      <c r="M199" s="17">
        <v>46132.708333333336</v>
      </c>
      <c r="N199" s="18" t="b">
        <v>0</v>
      </c>
      <c r="O199" s="18"/>
      <c r="P199" s="5"/>
      <c r="Q199" s="8"/>
      <c r="R199" s="8"/>
      <c r="S199" s="8"/>
      <c r="T199" s="8"/>
      <c r="U199" s="8"/>
      <c r="V199" s="8"/>
      <c r="W199" s="8"/>
      <c r="X199" s="22"/>
      <c r="Y199" s="22"/>
      <c r="Z199" s="22"/>
      <c r="AA199" s="22"/>
      <c r="AB199" s="8"/>
      <c r="AC199" s="8" t="str">
        <f ca="1">IFERROR(__xludf.DUMMYFUNCTION("""COMPUTED_VALUE"""),"Hallasan Explorer")</f>
        <v>Hallasan Explorer</v>
      </c>
      <c r="AD199" s="24"/>
      <c r="AE199" s="24" t="str">
        <f t="shared" si="4"/>
        <v/>
      </c>
      <c r="AF199" s="22">
        <f t="shared" si="3"/>
        <v>1</v>
      </c>
      <c r="AG199" s="22">
        <f t="shared" ca="1" si="5"/>
        <v>1</v>
      </c>
      <c r="AH199" s="8"/>
      <c r="AI199" s="8"/>
    </row>
    <row r="200" spans="2:35" ht="15.75" customHeight="1" x14ac:dyDescent="0.25">
      <c r="B200" s="8"/>
      <c r="C200" s="8"/>
      <c r="D200" s="8"/>
      <c r="E200" s="5" t="s">
        <v>301</v>
      </c>
      <c r="F200" s="16">
        <v>86953</v>
      </c>
      <c r="G200" s="16">
        <v>55000</v>
      </c>
      <c r="H200" s="5" t="s">
        <v>26</v>
      </c>
      <c r="I200" s="5" t="s">
        <v>21</v>
      </c>
      <c r="J200" s="5">
        <v>352003586</v>
      </c>
      <c r="K200" s="5">
        <v>9958389</v>
      </c>
      <c r="L200" s="5" t="s">
        <v>38</v>
      </c>
      <c r="M200" s="17">
        <v>46137.000694444447</v>
      </c>
      <c r="N200" s="18" t="b">
        <v>0</v>
      </c>
      <c r="O200" s="18"/>
      <c r="P200" s="5"/>
      <c r="Q200" s="8"/>
      <c r="R200" s="8"/>
      <c r="S200" s="8"/>
      <c r="T200" s="8"/>
      <c r="U200" s="8"/>
      <c r="V200" s="8"/>
      <c r="W200" s="8"/>
      <c r="X200" s="22"/>
      <c r="Y200" s="22"/>
      <c r="Z200" s="22"/>
      <c r="AA200" s="22"/>
      <c r="AB200" s="8"/>
      <c r="AC200" s="8" t="str">
        <f ca="1">IFERROR(__xludf.DUMMYFUNCTION("""COMPUTED_VALUE"""),"Hannibal")</f>
        <v>Hannibal</v>
      </c>
      <c r="AD200" s="24"/>
      <c r="AE200" s="24" t="str">
        <f t="shared" si="4"/>
        <v/>
      </c>
      <c r="AF200" s="22">
        <f t="shared" si="3"/>
        <v>1</v>
      </c>
      <c r="AG200" s="22">
        <f t="shared" ca="1" si="5"/>
        <v>1</v>
      </c>
      <c r="AH200" s="8"/>
      <c r="AI200" s="8"/>
    </row>
    <row r="201" spans="2:35" ht="15.75" customHeight="1" x14ac:dyDescent="0.25">
      <c r="B201" s="8"/>
      <c r="C201" s="8"/>
      <c r="D201" s="8"/>
      <c r="E201" s="5" t="s">
        <v>302</v>
      </c>
      <c r="F201" s="16">
        <v>85000</v>
      </c>
      <c r="G201" s="16">
        <v>54605</v>
      </c>
      <c r="H201" s="5" t="s">
        <v>26</v>
      </c>
      <c r="I201" s="5" t="s">
        <v>21</v>
      </c>
      <c r="J201" s="5">
        <v>636022458</v>
      </c>
      <c r="K201" s="5">
        <v>9779991</v>
      </c>
      <c r="L201" s="5" t="s">
        <v>38</v>
      </c>
      <c r="M201" s="17">
        <v>46162.583333333336</v>
      </c>
      <c r="N201" s="18" t="b">
        <v>0</v>
      </c>
      <c r="O201" s="18"/>
      <c r="P201" s="5"/>
      <c r="Q201" s="8"/>
      <c r="R201" s="8"/>
      <c r="S201" s="8"/>
      <c r="T201" s="8"/>
      <c r="U201" s="8"/>
      <c r="V201" s="8"/>
      <c r="W201" s="8"/>
      <c r="X201" s="22"/>
      <c r="Y201" s="22"/>
      <c r="Z201" s="22"/>
      <c r="AA201" s="22"/>
      <c r="AB201" s="8"/>
      <c r="AC201" s="8" t="str">
        <f ca="1">IFERROR(__xludf.DUMMYFUNCTION("""COMPUTED_VALUE"""),"Harzand")</f>
        <v>Harzand</v>
      </c>
      <c r="AD201" s="24"/>
      <c r="AE201" s="24" t="str">
        <f t="shared" si="4"/>
        <v/>
      </c>
      <c r="AF201" s="22">
        <f t="shared" si="3"/>
        <v>1</v>
      </c>
      <c r="AG201" s="22">
        <f t="shared" ca="1" si="5"/>
        <v>1</v>
      </c>
      <c r="AH201" s="8"/>
      <c r="AI201" s="8"/>
    </row>
    <row r="202" spans="2:35" ht="15.75" customHeight="1" x14ac:dyDescent="0.25">
      <c r="B202" s="8"/>
      <c r="C202" s="8"/>
      <c r="D202" s="8"/>
      <c r="E202" s="5" t="s">
        <v>303</v>
      </c>
      <c r="F202" s="16">
        <v>84000</v>
      </c>
      <c r="G202" s="16">
        <v>53349</v>
      </c>
      <c r="H202" s="5" t="s">
        <v>26</v>
      </c>
      <c r="I202" s="5" t="s">
        <v>21</v>
      </c>
      <c r="J202" s="5">
        <v>352498732</v>
      </c>
      <c r="K202" s="5">
        <v>9906922</v>
      </c>
      <c r="L202" s="5" t="s">
        <v>144</v>
      </c>
      <c r="M202" s="17">
        <v>46132.333333333336</v>
      </c>
      <c r="N202" s="18" t="b">
        <v>0</v>
      </c>
      <c r="O202" s="18"/>
      <c r="P202" s="5"/>
      <c r="Q202" s="8"/>
      <c r="R202" s="8"/>
      <c r="S202" s="8"/>
      <c r="T202" s="8"/>
      <c r="U202" s="8"/>
      <c r="V202" s="8"/>
      <c r="W202" s="8"/>
      <c r="X202" s="22"/>
      <c r="Y202" s="22"/>
      <c r="Z202" s="22"/>
      <c r="AA202" s="22"/>
      <c r="AB202" s="8"/>
      <c r="AC202" s="8" t="str">
        <f ca="1">IFERROR(__xludf.DUMMYFUNCTION("""COMPUTED_VALUE"""),"Hellas Bliss")</f>
        <v>Hellas Bliss</v>
      </c>
      <c r="AD202" s="24"/>
      <c r="AE202" s="24" t="str">
        <f t="shared" si="4"/>
        <v/>
      </c>
      <c r="AF202" s="22">
        <f t="shared" si="3"/>
        <v>1</v>
      </c>
      <c r="AG202" s="22">
        <f t="shared" ca="1" si="5"/>
        <v>1</v>
      </c>
      <c r="AH202" s="8"/>
      <c r="AI202" s="8"/>
    </row>
    <row r="203" spans="2:35" ht="15.75" customHeight="1" x14ac:dyDescent="0.25">
      <c r="B203" s="8"/>
      <c r="C203" s="8"/>
      <c r="D203" s="8"/>
      <c r="E203" s="5" t="s">
        <v>304</v>
      </c>
      <c r="F203" s="16">
        <v>91000</v>
      </c>
      <c r="G203" s="16">
        <v>58886</v>
      </c>
      <c r="H203" s="5" t="s">
        <v>26</v>
      </c>
      <c r="I203" s="5" t="s">
        <v>21</v>
      </c>
      <c r="J203" s="5">
        <v>352001415</v>
      </c>
      <c r="K203" s="5">
        <v>9929132</v>
      </c>
      <c r="L203" s="5" t="s">
        <v>38</v>
      </c>
      <c r="M203" s="17">
        <v>46151.833333333336</v>
      </c>
      <c r="N203" s="18" t="b">
        <v>0</v>
      </c>
      <c r="O203" s="18"/>
      <c r="P203" s="5"/>
      <c r="Q203" s="8"/>
      <c r="R203" s="8"/>
      <c r="S203" s="8"/>
      <c r="T203" s="8"/>
      <c r="U203" s="8"/>
      <c r="V203" s="8"/>
      <c r="W203" s="8"/>
      <c r="X203" s="22"/>
      <c r="Y203" s="22"/>
      <c r="Z203" s="22"/>
      <c r="AA203" s="22"/>
      <c r="AB203" s="8"/>
      <c r="AC203" s="8" t="str">
        <f ca="1">IFERROR(__xludf.DUMMYFUNCTION("""COMPUTED_VALUE"""),"Hellas Dynasty")</f>
        <v>Hellas Dynasty</v>
      </c>
      <c r="AD203" s="24"/>
      <c r="AE203" s="24" t="str">
        <f t="shared" si="4"/>
        <v/>
      </c>
      <c r="AF203" s="22">
        <f t="shared" si="3"/>
        <v>1</v>
      </c>
      <c r="AG203" s="22">
        <f t="shared" ca="1" si="5"/>
        <v>1</v>
      </c>
      <c r="AH203" s="8"/>
      <c r="AI203" s="8"/>
    </row>
    <row r="204" spans="2:35" ht="15.75" customHeight="1" x14ac:dyDescent="0.25">
      <c r="B204" s="8"/>
      <c r="C204" s="8"/>
      <c r="D204" s="8"/>
      <c r="E204" s="5" t="s">
        <v>305</v>
      </c>
      <c r="F204" s="16">
        <v>93000</v>
      </c>
      <c r="G204" s="16">
        <v>62000</v>
      </c>
      <c r="H204" s="5" t="s">
        <v>100</v>
      </c>
      <c r="I204" s="5" t="s">
        <v>21</v>
      </c>
      <c r="J204" s="5">
        <v>477890400</v>
      </c>
      <c r="K204" s="5">
        <v>9941465</v>
      </c>
      <c r="L204" s="5" t="s">
        <v>43</v>
      </c>
      <c r="M204" s="17">
        <v>46156.458333333336</v>
      </c>
      <c r="N204" s="18" t="b">
        <v>0</v>
      </c>
      <c r="O204" s="18"/>
      <c r="P204" s="5"/>
      <c r="Q204" s="8"/>
      <c r="R204" s="8"/>
      <c r="S204" s="8"/>
      <c r="T204" s="8"/>
      <c r="U204" s="8"/>
      <c r="V204" s="8"/>
      <c r="W204" s="8"/>
      <c r="X204" s="22"/>
      <c r="Y204" s="22"/>
      <c r="Z204" s="22"/>
      <c r="AA204" s="22"/>
      <c r="AB204" s="8"/>
      <c r="AC204" s="8" t="str">
        <f ca="1">IFERROR(__xludf.DUMMYFUNCTION("""COMPUTED_VALUE"""),"Hellas Gladiator")</f>
        <v>Hellas Gladiator</v>
      </c>
      <c r="AD204" s="24"/>
      <c r="AE204" s="24" t="str">
        <f t="shared" si="4"/>
        <v/>
      </c>
      <c r="AF204" s="22">
        <f t="shared" si="3"/>
        <v>1</v>
      </c>
      <c r="AG204" s="22">
        <f t="shared" ca="1" si="5"/>
        <v>1</v>
      </c>
      <c r="AH204" s="8"/>
      <c r="AI204" s="8"/>
    </row>
    <row r="205" spans="2:35" ht="15.75" customHeight="1" x14ac:dyDescent="0.25">
      <c r="B205" s="8"/>
      <c r="C205" s="8"/>
      <c r="D205" s="8"/>
      <c r="E205" s="5" t="s">
        <v>306</v>
      </c>
      <c r="F205" s="16">
        <v>84000</v>
      </c>
      <c r="G205" s="16">
        <v>55076</v>
      </c>
      <c r="H205" s="5" t="s">
        <v>20</v>
      </c>
      <c r="I205" s="5" t="s">
        <v>21</v>
      </c>
      <c r="J205" s="5">
        <v>352002349</v>
      </c>
      <c r="K205" s="5">
        <v>9940992</v>
      </c>
      <c r="L205" s="5"/>
      <c r="M205" s="17"/>
      <c r="N205" s="18" t="b">
        <v>1</v>
      </c>
      <c r="O205" s="18"/>
      <c r="P205" s="5"/>
      <c r="Q205" s="8"/>
      <c r="R205" s="8"/>
      <c r="S205" s="8"/>
      <c r="T205" s="8"/>
      <c r="U205" s="8"/>
      <c r="V205" s="8"/>
      <c r="W205" s="8"/>
      <c r="X205" s="22"/>
      <c r="Y205" s="22"/>
      <c r="Z205" s="22"/>
      <c r="AA205" s="22"/>
      <c r="AB205" s="8"/>
      <c r="AC205" s="8" t="str">
        <f ca="1">IFERROR(__xludf.DUMMYFUNCTION("""COMPUTED_VALUE"""),"Hellas Hercules")</f>
        <v>Hellas Hercules</v>
      </c>
      <c r="AD205" s="24"/>
      <c r="AE205" s="24" t="str">
        <f t="shared" si="4"/>
        <v/>
      </c>
      <c r="AF205" s="22">
        <f t="shared" si="3"/>
        <v>1</v>
      </c>
      <c r="AG205" s="22">
        <f t="shared" ca="1" si="5"/>
        <v>1</v>
      </c>
      <c r="AH205" s="8"/>
      <c r="AI205" s="8"/>
    </row>
    <row r="206" spans="2:35" ht="15.75" customHeight="1" x14ac:dyDescent="0.25">
      <c r="B206" s="8"/>
      <c r="C206" s="8"/>
      <c r="D206" s="8"/>
      <c r="E206" s="5" t="s">
        <v>307</v>
      </c>
      <c r="F206" s="16">
        <v>84000</v>
      </c>
      <c r="G206" s="16">
        <v>54303</v>
      </c>
      <c r="H206" s="5" t="s">
        <v>26</v>
      </c>
      <c r="I206" s="5" t="s">
        <v>21</v>
      </c>
      <c r="J206" s="5">
        <v>352002460</v>
      </c>
      <c r="K206" s="5">
        <v>9941001</v>
      </c>
      <c r="L206" s="5" t="s">
        <v>51</v>
      </c>
      <c r="M206" s="17">
        <v>46150.333333333336</v>
      </c>
      <c r="N206" s="18" t="b">
        <v>0</v>
      </c>
      <c r="O206" s="18"/>
      <c r="P206" s="5"/>
      <c r="Q206" s="8"/>
      <c r="R206" s="8"/>
      <c r="S206" s="8"/>
      <c r="T206" s="8"/>
      <c r="U206" s="8"/>
      <c r="V206" s="8"/>
      <c r="W206" s="8"/>
      <c r="X206" s="22"/>
      <c r="Y206" s="22"/>
      <c r="Z206" s="22"/>
      <c r="AA206" s="22"/>
      <c r="AB206" s="8"/>
      <c r="AC206" s="8" t="str">
        <f ca="1">IFERROR(__xludf.DUMMYFUNCTION("""COMPUTED_VALUE"""),"Hellas Poseidon")</f>
        <v>Hellas Poseidon</v>
      </c>
      <c r="AD206" s="24"/>
      <c r="AE206" s="24" t="str">
        <f t="shared" si="4"/>
        <v/>
      </c>
      <c r="AF206" s="22">
        <f t="shared" si="3"/>
        <v>1</v>
      </c>
      <c r="AG206" s="22">
        <f t="shared" ca="1" si="5"/>
        <v>1</v>
      </c>
      <c r="AH206" s="8"/>
      <c r="AI206" s="8"/>
    </row>
    <row r="207" spans="2:35" ht="15.75" customHeight="1" x14ac:dyDescent="0.25">
      <c r="B207" s="8"/>
      <c r="C207" s="8"/>
      <c r="D207" s="8"/>
      <c r="E207" s="5" t="s">
        <v>308</v>
      </c>
      <c r="F207" s="16">
        <v>91000</v>
      </c>
      <c r="G207" s="16">
        <v>57234</v>
      </c>
      <c r="H207" s="5" t="s">
        <v>26</v>
      </c>
      <c r="I207" s="5" t="s">
        <v>21</v>
      </c>
      <c r="J207" s="5">
        <v>352005692</v>
      </c>
      <c r="K207" s="5">
        <v>1014058</v>
      </c>
      <c r="L207" s="5" t="s">
        <v>107</v>
      </c>
      <c r="M207" s="17">
        <v>46144.916666666664</v>
      </c>
      <c r="N207" s="18" t="b">
        <v>0</v>
      </c>
      <c r="O207" s="18"/>
      <c r="P207" s="5"/>
      <c r="Q207" s="8"/>
      <c r="R207" s="8"/>
      <c r="S207" s="8"/>
      <c r="T207" s="8"/>
      <c r="U207" s="8"/>
      <c r="V207" s="8"/>
      <c r="W207" s="8"/>
      <c r="X207" s="22"/>
      <c r="Y207" s="22"/>
      <c r="Z207" s="22"/>
      <c r="AA207" s="22"/>
      <c r="AB207" s="8"/>
      <c r="AC207" s="8" t="str">
        <f ca="1">IFERROR(__xludf.DUMMYFUNCTION("""COMPUTED_VALUE"""),"Hellas Prosperity")</f>
        <v>Hellas Prosperity</v>
      </c>
      <c r="AD207" s="24"/>
      <c r="AE207" s="24" t="str">
        <f t="shared" si="4"/>
        <v/>
      </c>
      <c r="AF207" s="22">
        <f t="shared" si="3"/>
        <v>1</v>
      </c>
      <c r="AG207" s="22">
        <f t="shared" ca="1" si="5"/>
        <v>1</v>
      </c>
      <c r="AH207" s="8"/>
      <c r="AI207" s="8"/>
    </row>
    <row r="208" spans="2:35" ht="15.75" customHeight="1" x14ac:dyDescent="0.25">
      <c r="B208" s="8"/>
      <c r="C208" s="8"/>
      <c r="D208" s="8"/>
      <c r="E208" s="5" t="s">
        <v>309</v>
      </c>
      <c r="F208" s="16">
        <v>73517</v>
      </c>
      <c r="G208" s="16">
        <v>54004</v>
      </c>
      <c r="H208" s="5" t="s">
        <v>26</v>
      </c>
      <c r="I208" s="5" t="s">
        <v>21</v>
      </c>
      <c r="J208" s="5">
        <v>352002989</v>
      </c>
      <c r="K208" s="5">
        <v>9386304</v>
      </c>
      <c r="L208" s="5"/>
      <c r="M208" s="17"/>
      <c r="N208" s="18" t="b">
        <v>0</v>
      </c>
      <c r="O208" s="18"/>
      <c r="P208" s="5"/>
      <c r="Q208" s="8"/>
      <c r="R208" s="8"/>
      <c r="S208" s="8"/>
      <c r="T208" s="8"/>
      <c r="U208" s="8"/>
      <c r="V208" s="8"/>
      <c r="W208" s="8"/>
      <c r="X208" s="22"/>
      <c r="Y208" s="22"/>
      <c r="Z208" s="22"/>
      <c r="AA208" s="22"/>
      <c r="AB208" s="8"/>
      <c r="AC208" s="8" t="str">
        <f ca="1">IFERROR(__xludf.DUMMYFUNCTION("""COMPUTED_VALUE"""),"Hellas Sparta")</f>
        <v>Hellas Sparta</v>
      </c>
      <c r="AD208" s="24"/>
      <c r="AE208" s="24" t="str">
        <f t="shared" si="4"/>
        <v/>
      </c>
      <c r="AF208" s="22">
        <f t="shared" si="3"/>
        <v>1</v>
      </c>
      <c r="AG208" s="22" t="str">
        <f t="shared" ca="1" si="5"/>
        <v/>
      </c>
      <c r="AH208" s="8"/>
      <c r="AI208" s="8"/>
    </row>
    <row r="209" spans="2:35" ht="15.75" customHeight="1" x14ac:dyDescent="0.25">
      <c r="B209" s="8"/>
      <c r="C209" s="8"/>
      <c r="D209" s="8"/>
      <c r="E209" s="5" t="s">
        <v>310</v>
      </c>
      <c r="F209" s="16">
        <v>83000</v>
      </c>
      <c r="G209" s="16">
        <v>53748</v>
      </c>
      <c r="H209" s="5" t="s">
        <v>20</v>
      </c>
      <c r="I209" s="5" t="s">
        <v>21</v>
      </c>
      <c r="J209" s="5">
        <v>477654800</v>
      </c>
      <c r="K209" s="5">
        <v>9735282</v>
      </c>
      <c r="L209" s="5" t="s">
        <v>299</v>
      </c>
      <c r="M209" s="17">
        <v>46162.625</v>
      </c>
      <c r="N209" s="18" t="b">
        <v>1</v>
      </c>
      <c r="O209" s="18"/>
      <c r="P209" s="5"/>
      <c r="Q209" s="8"/>
      <c r="R209" s="8"/>
      <c r="S209" s="8"/>
      <c r="T209" s="8"/>
      <c r="U209" s="8"/>
      <c r="V209" s="8"/>
      <c r="W209" s="8"/>
      <c r="X209" s="22"/>
      <c r="Y209" s="22"/>
      <c r="Z209" s="22"/>
      <c r="AA209" s="22"/>
      <c r="AB209" s="8"/>
      <c r="AC209" s="8" t="str">
        <f ca="1">IFERROR(__xludf.DUMMYFUNCTION("""COMPUTED_VALUE"""),"Hellas Voyager")</f>
        <v>Hellas Voyager</v>
      </c>
      <c r="AD209" s="24"/>
      <c r="AE209" s="24" t="str">
        <f t="shared" si="4"/>
        <v/>
      </c>
      <c r="AF209" s="22">
        <f t="shared" si="3"/>
        <v>1</v>
      </c>
      <c r="AG209" s="22">
        <f t="shared" ca="1" si="5"/>
        <v>1</v>
      </c>
      <c r="AH209" s="8"/>
      <c r="AI209" s="8"/>
    </row>
    <row r="210" spans="2:35" ht="15.75" customHeight="1" x14ac:dyDescent="0.25">
      <c r="B210" s="8"/>
      <c r="C210" s="8"/>
      <c r="D210" s="8"/>
      <c r="E210" s="5" t="s">
        <v>311</v>
      </c>
      <c r="F210" s="16">
        <v>84000</v>
      </c>
      <c r="G210" s="16">
        <v>54650</v>
      </c>
      <c r="H210" s="5" t="s">
        <v>20</v>
      </c>
      <c r="I210" s="5" t="s">
        <v>21</v>
      </c>
      <c r="J210" s="5">
        <v>477333800</v>
      </c>
      <c r="K210" s="5">
        <v>9752711</v>
      </c>
      <c r="L210" s="5" t="s">
        <v>312</v>
      </c>
      <c r="M210" s="17">
        <v>46142.113888888889</v>
      </c>
      <c r="N210" s="18" t="b">
        <v>1</v>
      </c>
      <c r="O210" s="18"/>
      <c r="P210" s="5"/>
      <c r="Q210" s="8"/>
      <c r="R210" s="8"/>
      <c r="S210" s="8"/>
      <c r="T210" s="8"/>
      <c r="U210" s="8"/>
      <c r="V210" s="8"/>
      <c r="W210" s="8"/>
      <c r="X210" s="22"/>
      <c r="Y210" s="22"/>
      <c r="Z210" s="22"/>
      <c r="AA210" s="22"/>
      <c r="AB210" s="8"/>
      <c r="AC210" s="8" t="str">
        <f ca="1">IFERROR(__xludf.DUMMYFUNCTION("""COMPUTED_VALUE"""),"Henbit")</f>
        <v>Henbit</v>
      </c>
      <c r="AD210" s="24"/>
      <c r="AE210" s="24" t="str">
        <f t="shared" si="4"/>
        <v/>
      </c>
      <c r="AF210" s="22">
        <f t="shared" si="3"/>
        <v>1</v>
      </c>
      <c r="AG210" s="22">
        <f t="shared" ca="1" si="5"/>
        <v>1</v>
      </c>
      <c r="AH210" s="8"/>
      <c r="AI210" s="8"/>
    </row>
    <row r="211" spans="2:35" ht="15.75" customHeight="1" x14ac:dyDescent="0.25">
      <c r="B211" s="8"/>
      <c r="C211" s="8"/>
      <c r="D211" s="8"/>
      <c r="E211" s="5" t="s">
        <v>313</v>
      </c>
      <c r="F211" s="16">
        <v>80530</v>
      </c>
      <c r="G211" s="16">
        <v>58814</v>
      </c>
      <c r="H211" s="5" t="s">
        <v>26</v>
      </c>
      <c r="I211" s="5" t="s">
        <v>21</v>
      </c>
      <c r="J211" s="5">
        <v>667002467</v>
      </c>
      <c r="K211" s="5">
        <v>9240421</v>
      </c>
      <c r="L211" s="5" t="s">
        <v>46</v>
      </c>
      <c r="M211" s="17">
        <v>46134.916666666664</v>
      </c>
      <c r="N211" s="18" t="b">
        <v>0</v>
      </c>
      <c r="O211" s="18"/>
      <c r="P211" s="5"/>
      <c r="Q211" s="8"/>
      <c r="R211" s="8"/>
      <c r="S211" s="8"/>
      <c r="T211" s="8"/>
      <c r="U211" s="8"/>
      <c r="V211" s="8"/>
      <c r="W211" s="8"/>
      <c r="X211" s="22"/>
      <c r="Y211" s="22"/>
      <c r="Z211" s="22"/>
      <c r="AA211" s="22"/>
      <c r="AB211" s="8"/>
      <c r="AC211" s="8" t="str">
        <f ca="1">IFERROR(__xludf.DUMMYFUNCTION("""COMPUTED_VALUE"""),"Hermit")</f>
        <v>Hermit</v>
      </c>
      <c r="AD211" s="24"/>
      <c r="AE211" s="24" t="str">
        <f t="shared" si="4"/>
        <v/>
      </c>
      <c r="AF211" s="22">
        <f t="shared" si="3"/>
        <v>1</v>
      </c>
      <c r="AG211" s="22" t="str">
        <f t="shared" ca="1" si="5"/>
        <v/>
      </c>
      <c r="AH211" s="8"/>
      <c r="AI211" s="8"/>
    </row>
    <row r="212" spans="2:35" ht="15.75" customHeight="1" x14ac:dyDescent="0.25">
      <c r="B212" s="8"/>
      <c r="C212" s="8"/>
      <c r="D212" s="8"/>
      <c r="E212" s="5" t="s">
        <v>314</v>
      </c>
      <c r="F212" s="16">
        <v>78912</v>
      </c>
      <c r="G212" s="16">
        <v>49997</v>
      </c>
      <c r="H212" s="5" t="s">
        <v>26</v>
      </c>
      <c r="I212" s="5" t="s">
        <v>21</v>
      </c>
      <c r="J212" s="5">
        <v>371660000</v>
      </c>
      <c r="K212" s="5">
        <v>9321225</v>
      </c>
      <c r="L212" s="5" t="s">
        <v>101</v>
      </c>
      <c r="M212" s="17">
        <v>46133.15</v>
      </c>
      <c r="N212" s="18" t="b">
        <v>0</v>
      </c>
      <c r="O212" s="18"/>
      <c r="P212" s="5"/>
      <c r="Q212" s="8"/>
      <c r="R212" s="8"/>
      <c r="S212" s="8"/>
      <c r="T212" s="8"/>
      <c r="U212" s="8"/>
      <c r="V212" s="8"/>
      <c r="W212" s="8"/>
      <c r="X212" s="22"/>
      <c r="Y212" s="22"/>
      <c r="Z212" s="22"/>
      <c r="AA212" s="22"/>
      <c r="AB212" s="8"/>
      <c r="AC212" s="8" t="str">
        <f ca="1">IFERROR(__xludf.DUMMYFUNCTION("""COMPUTED_VALUE"""),"Hls Amber")</f>
        <v>Hls Amber</v>
      </c>
      <c r="AD212" s="24"/>
      <c r="AE212" s="24" t="str">
        <f t="shared" si="4"/>
        <v/>
      </c>
      <c r="AF212" s="22">
        <f t="shared" si="3"/>
        <v>1</v>
      </c>
      <c r="AG212" s="22">
        <f t="shared" ca="1" si="5"/>
        <v>1</v>
      </c>
      <c r="AH212" s="8"/>
      <c r="AI212" s="8"/>
    </row>
    <row r="213" spans="2:35" ht="15.75" customHeight="1" x14ac:dyDescent="0.25">
      <c r="B213" s="8"/>
      <c r="C213" s="8"/>
      <c r="D213" s="8"/>
      <c r="E213" s="5" t="s">
        <v>315</v>
      </c>
      <c r="F213" s="16">
        <v>91215</v>
      </c>
      <c r="G213" s="16">
        <v>62000</v>
      </c>
      <c r="H213" s="5" t="s">
        <v>26</v>
      </c>
      <c r="I213" s="5" t="s">
        <v>21</v>
      </c>
      <c r="J213" s="5">
        <v>477895100</v>
      </c>
      <c r="K213" s="5">
        <v>9944065</v>
      </c>
      <c r="L213" s="5" t="s">
        <v>38</v>
      </c>
      <c r="M213" s="17">
        <v>46132.375</v>
      </c>
      <c r="N213" s="18" t="b">
        <v>0</v>
      </c>
      <c r="O213" s="18"/>
      <c r="P213" s="5"/>
      <c r="Q213" s="8"/>
      <c r="R213" s="8"/>
      <c r="S213" s="8"/>
      <c r="T213" s="8"/>
      <c r="U213" s="8"/>
      <c r="V213" s="8"/>
      <c r="W213" s="8"/>
      <c r="X213" s="22"/>
      <c r="Y213" s="22"/>
      <c r="Z213" s="22"/>
      <c r="AA213" s="22"/>
      <c r="AB213" s="8"/>
      <c r="AC213" s="8" t="str">
        <f ca="1">IFERROR(__xludf.DUMMYFUNCTION("""COMPUTED_VALUE"""),"Hls Blue Sapphire")</f>
        <v>Hls Blue Sapphire</v>
      </c>
      <c r="AD213" s="24"/>
      <c r="AE213" s="24" t="str">
        <f t="shared" si="4"/>
        <v/>
      </c>
      <c r="AF213" s="22">
        <f t="shared" si="3"/>
        <v>1</v>
      </c>
      <c r="AG213" s="22">
        <f t="shared" ca="1" si="5"/>
        <v>1</v>
      </c>
      <c r="AH213" s="8"/>
      <c r="AI213" s="8"/>
    </row>
    <row r="214" spans="2:35" ht="15.75" customHeight="1" x14ac:dyDescent="0.25">
      <c r="B214" s="8"/>
      <c r="C214" s="8"/>
      <c r="D214" s="8"/>
      <c r="E214" s="5" t="s">
        <v>316</v>
      </c>
      <c r="F214" s="16">
        <v>91140</v>
      </c>
      <c r="G214" s="16">
        <v>58201</v>
      </c>
      <c r="H214" s="5" t="s">
        <v>26</v>
      </c>
      <c r="I214" s="5" t="s">
        <v>21</v>
      </c>
      <c r="J214" s="5">
        <v>563211600</v>
      </c>
      <c r="K214" s="5">
        <v>9958987</v>
      </c>
      <c r="L214" s="5" t="s">
        <v>317</v>
      </c>
      <c r="M214" s="17">
        <v>46132.875</v>
      </c>
      <c r="N214" s="18" t="b">
        <v>0</v>
      </c>
      <c r="O214" s="18"/>
      <c r="P214" s="5"/>
      <c r="Q214" s="8"/>
      <c r="R214" s="8"/>
      <c r="S214" s="8"/>
      <c r="T214" s="8"/>
      <c r="U214" s="8"/>
      <c r="V214" s="8"/>
      <c r="W214" s="8"/>
      <c r="X214" s="22"/>
      <c r="Y214" s="22"/>
      <c r="Z214" s="22"/>
      <c r="AA214" s="22"/>
      <c r="AB214" s="8"/>
      <c r="AC214" s="8" t="str">
        <f ca="1">IFERROR(__xludf.DUMMYFUNCTION("""COMPUTED_VALUE"""),"Hls Citrine")</f>
        <v>Hls Citrine</v>
      </c>
      <c r="AD214" s="24"/>
      <c r="AE214" s="24" t="str">
        <f t="shared" si="4"/>
        <v/>
      </c>
      <c r="AF214" s="22">
        <f t="shared" si="3"/>
        <v>1</v>
      </c>
      <c r="AG214" s="22">
        <f t="shared" ca="1" si="5"/>
        <v>1</v>
      </c>
      <c r="AH214" s="8"/>
      <c r="AI214" s="8"/>
    </row>
    <row r="215" spans="2:35" ht="15.75" customHeight="1" x14ac:dyDescent="0.25">
      <c r="B215" s="8"/>
      <c r="C215" s="8"/>
      <c r="D215" s="8"/>
      <c r="E215" s="5" t="s">
        <v>318</v>
      </c>
      <c r="F215" s="16">
        <v>84000</v>
      </c>
      <c r="G215" s="16">
        <v>54000</v>
      </c>
      <c r="H215" s="5" t="s">
        <v>26</v>
      </c>
      <c r="I215" s="5" t="s">
        <v>21</v>
      </c>
      <c r="J215" s="5">
        <v>563221800</v>
      </c>
      <c r="K215" s="5">
        <v>9847956</v>
      </c>
      <c r="L215" s="5" t="s">
        <v>107</v>
      </c>
      <c r="M215" s="17">
        <v>46150.791666666664</v>
      </c>
      <c r="N215" s="18" t="b">
        <v>0</v>
      </c>
      <c r="O215" s="18"/>
      <c r="P215" s="5"/>
      <c r="Q215" s="8"/>
      <c r="R215" s="8"/>
      <c r="S215" s="8"/>
      <c r="T215" s="8"/>
      <c r="U215" s="8"/>
      <c r="V215" s="8"/>
      <c r="W215" s="8"/>
      <c r="X215" s="22"/>
      <c r="Y215" s="22"/>
      <c r="Z215" s="22"/>
      <c r="AA215" s="22"/>
      <c r="AB215" s="8"/>
      <c r="AC215" s="8" t="str">
        <f ca="1">IFERROR(__xludf.DUMMYFUNCTION("""COMPUTED_VALUE"""),"Hls Diamond")</f>
        <v>Hls Diamond</v>
      </c>
      <c r="AD215" s="24"/>
      <c r="AE215" s="24" t="str">
        <f t="shared" si="4"/>
        <v/>
      </c>
      <c r="AF215" s="22">
        <f t="shared" si="3"/>
        <v>1</v>
      </c>
      <c r="AG215" s="22">
        <f t="shared" ca="1" si="5"/>
        <v>1</v>
      </c>
      <c r="AH215" s="8"/>
      <c r="AI215" s="8"/>
    </row>
    <row r="216" spans="2:35" ht="15.75" customHeight="1" x14ac:dyDescent="0.25">
      <c r="B216" s="8"/>
      <c r="C216" s="8"/>
      <c r="D216" s="8"/>
      <c r="E216" s="5" t="s">
        <v>319</v>
      </c>
      <c r="F216" s="16">
        <v>86000</v>
      </c>
      <c r="G216" s="16">
        <v>57000</v>
      </c>
      <c r="H216" s="5" t="s">
        <v>26</v>
      </c>
      <c r="I216" s="5" t="s">
        <v>21</v>
      </c>
      <c r="J216" s="5">
        <v>563128100</v>
      </c>
      <c r="K216" s="5">
        <v>9892951</v>
      </c>
      <c r="L216" s="5" t="s">
        <v>320</v>
      </c>
      <c r="M216" s="17">
        <v>46138</v>
      </c>
      <c r="N216" s="18" t="b">
        <v>0</v>
      </c>
      <c r="O216" s="18"/>
      <c r="P216" s="5"/>
      <c r="Q216" s="8"/>
      <c r="R216" s="8"/>
      <c r="S216" s="8"/>
      <c r="T216" s="8"/>
      <c r="U216" s="8"/>
      <c r="V216" s="8"/>
      <c r="W216" s="8"/>
      <c r="X216" s="22"/>
      <c r="Y216" s="22"/>
      <c r="Z216" s="22"/>
      <c r="AA216" s="22"/>
      <c r="AB216" s="8"/>
      <c r="AC216" s="8" t="str">
        <f ca="1">IFERROR(__xludf.DUMMYFUNCTION("""COMPUTED_VALUE"""),"Hls Emerald")</f>
        <v>Hls Emerald</v>
      </c>
      <c r="AD216" s="24"/>
      <c r="AE216" s="24" t="str">
        <f t="shared" si="4"/>
        <v/>
      </c>
      <c r="AF216" s="22">
        <f t="shared" si="3"/>
        <v>1</v>
      </c>
      <c r="AG216" s="22">
        <f t="shared" ca="1" si="5"/>
        <v>1</v>
      </c>
      <c r="AH216" s="8"/>
      <c r="AI216" s="8"/>
    </row>
    <row r="217" spans="2:35" ht="15.75" customHeight="1" x14ac:dyDescent="0.25">
      <c r="B217" s="8"/>
      <c r="C217" s="8"/>
      <c r="D217" s="8"/>
      <c r="E217" s="5" t="s">
        <v>321</v>
      </c>
      <c r="F217" s="16">
        <v>84144</v>
      </c>
      <c r="G217" s="16">
        <v>53696</v>
      </c>
      <c r="H217" s="5" t="s">
        <v>26</v>
      </c>
      <c r="I217" s="5" t="s">
        <v>21</v>
      </c>
      <c r="J217" s="5">
        <v>355437000</v>
      </c>
      <c r="K217" s="5">
        <v>9889552</v>
      </c>
      <c r="L217" s="5" t="s">
        <v>38</v>
      </c>
      <c r="M217" s="17">
        <v>46142.791666666664</v>
      </c>
      <c r="N217" s="18" t="b">
        <v>0</v>
      </c>
      <c r="O217" s="18"/>
      <c r="P217" s="5"/>
      <c r="Q217" s="8"/>
      <c r="R217" s="8"/>
      <c r="S217" s="8"/>
      <c r="T217" s="8"/>
      <c r="U217" s="8"/>
      <c r="V217" s="8"/>
      <c r="W217" s="8"/>
      <c r="X217" s="22"/>
      <c r="Y217" s="22"/>
      <c r="Z217" s="22"/>
      <c r="AA217" s="22"/>
      <c r="AB217" s="8"/>
      <c r="AC217" s="8" t="str">
        <f ca="1">IFERROR(__xludf.DUMMYFUNCTION("""COMPUTED_VALUE"""),"Hls Fluorite")</f>
        <v>Hls Fluorite</v>
      </c>
      <c r="AD217" s="24"/>
      <c r="AE217" s="24" t="str">
        <f t="shared" si="4"/>
        <v/>
      </c>
      <c r="AF217" s="22">
        <f t="shared" si="3"/>
        <v>1</v>
      </c>
      <c r="AG217" s="22">
        <f t="shared" ca="1" si="5"/>
        <v>1</v>
      </c>
      <c r="AH217" s="8"/>
      <c r="AI217" s="8"/>
    </row>
    <row r="218" spans="2:35" ht="15.75" customHeight="1" x14ac:dyDescent="0.25">
      <c r="B218" s="8"/>
      <c r="C218" s="8"/>
      <c r="D218" s="8"/>
      <c r="E218" s="5" t="s">
        <v>322</v>
      </c>
      <c r="F218" s="16">
        <v>78000</v>
      </c>
      <c r="G218" s="16">
        <v>49999</v>
      </c>
      <c r="H218" s="5" t="s">
        <v>26</v>
      </c>
      <c r="I218" s="5" t="s">
        <v>21</v>
      </c>
      <c r="J218" s="5">
        <v>373129000</v>
      </c>
      <c r="K218" s="5">
        <v>9522415</v>
      </c>
      <c r="L218" s="5" t="s">
        <v>38</v>
      </c>
      <c r="M218" s="33">
        <v>46144.25</v>
      </c>
      <c r="N218" s="18" t="b">
        <v>0</v>
      </c>
      <c r="O218" s="18"/>
      <c r="P218" s="5"/>
      <c r="Q218" s="8"/>
      <c r="R218" s="8"/>
      <c r="S218" s="8"/>
      <c r="T218" s="8"/>
      <c r="U218" s="8"/>
      <c r="V218" s="8"/>
      <c r="W218" s="8"/>
      <c r="X218" s="22"/>
      <c r="Y218" s="22"/>
      <c r="Z218" s="22"/>
      <c r="AA218" s="22"/>
      <c r="AB218" s="8"/>
      <c r="AC218" s="8" t="str">
        <f ca="1">IFERROR(__xludf.DUMMYFUNCTION("""COMPUTED_VALUE"""),"Humorist")</f>
        <v>Humorist</v>
      </c>
      <c r="AD218" s="24"/>
      <c r="AE218" s="24" t="str">
        <f t="shared" si="4"/>
        <v/>
      </c>
      <c r="AF218" s="22">
        <f t="shared" si="3"/>
        <v>1</v>
      </c>
      <c r="AG218" s="22">
        <f t="shared" ca="1" si="5"/>
        <v>1</v>
      </c>
      <c r="AH218" s="8"/>
      <c r="AI218" s="8"/>
    </row>
    <row r="219" spans="2:35" ht="15.75" customHeight="1" x14ac:dyDescent="0.25">
      <c r="B219" s="8"/>
      <c r="C219" s="8"/>
      <c r="D219" s="8"/>
      <c r="E219" s="5" t="s">
        <v>323</v>
      </c>
      <c r="F219" s="16">
        <v>91000</v>
      </c>
      <c r="G219" s="16">
        <v>56000</v>
      </c>
      <c r="H219" s="5" t="s">
        <v>20</v>
      </c>
      <c r="I219" s="5" t="s">
        <v>21</v>
      </c>
      <c r="J219" s="5">
        <v>352005872</v>
      </c>
      <c r="K219" s="5">
        <v>1014072</v>
      </c>
      <c r="L219" s="5" t="s">
        <v>238</v>
      </c>
      <c r="M219" s="17">
        <v>46160.245138888888</v>
      </c>
      <c r="N219" s="18" t="b">
        <v>1</v>
      </c>
      <c r="O219" s="18"/>
      <c r="P219" s="5"/>
      <c r="Q219" s="8"/>
      <c r="R219" s="8"/>
      <c r="S219" s="8"/>
      <c r="T219" s="8"/>
      <c r="U219" s="8"/>
      <c r="V219" s="8"/>
      <c r="W219" s="8"/>
      <c r="X219" s="22"/>
      <c r="Y219" s="22"/>
      <c r="Z219" s="22"/>
      <c r="AA219" s="22"/>
      <c r="AB219" s="8"/>
      <c r="AC219" s="8" t="str">
        <f ca="1">IFERROR(__xludf.DUMMYFUNCTION("""COMPUTED_VALUE"""),"Hyperion")</f>
        <v>Hyperion</v>
      </c>
      <c r="AD219" s="24"/>
      <c r="AE219" s="24" t="str">
        <f t="shared" si="4"/>
        <v/>
      </c>
      <c r="AF219" s="22">
        <f t="shared" si="3"/>
        <v>1</v>
      </c>
      <c r="AG219" s="22">
        <f t="shared" ca="1" si="5"/>
        <v>1</v>
      </c>
      <c r="AH219" s="8"/>
      <c r="AI219" s="8"/>
    </row>
    <row r="220" spans="2:35" ht="15.75" customHeight="1" x14ac:dyDescent="0.25">
      <c r="B220" s="8"/>
      <c r="C220" s="8"/>
      <c r="D220" s="8"/>
      <c r="E220" s="5" t="s">
        <v>324</v>
      </c>
      <c r="F220" s="16">
        <v>83000</v>
      </c>
      <c r="G220" s="16">
        <v>53765</v>
      </c>
      <c r="H220" s="5" t="s">
        <v>20</v>
      </c>
      <c r="I220" s="5" t="s">
        <v>21</v>
      </c>
      <c r="J220" s="5">
        <v>525110231</v>
      </c>
      <c r="K220" s="5">
        <v>9710385</v>
      </c>
      <c r="L220" s="5" t="s">
        <v>325</v>
      </c>
      <c r="M220" s="33">
        <v>46135.333333333336</v>
      </c>
      <c r="N220" s="18" t="b">
        <v>1</v>
      </c>
      <c r="O220" s="18"/>
      <c r="P220" s="5"/>
      <c r="Q220" s="8"/>
      <c r="R220" s="8"/>
      <c r="S220" s="8"/>
      <c r="T220" s="8"/>
      <c r="U220" s="8"/>
      <c r="V220" s="8"/>
      <c r="W220" s="8"/>
      <c r="X220" s="22"/>
      <c r="Y220" s="22"/>
      <c r="Z220" s="22"/>
      <c r="AA220" s="22"/>
      <c r="AB220" s="8"/>
      <c r="AC220" s="8" t="str">
        <f ca="1">IFERROR(__xludf.DUMMYFUNCTION("""COMPUTED_VALUE"""),"Ithaca Gas")</f>
        <v>Ithaca Gas</v>
      </c>
      <c r="AD220" s="24"/>
      <c r="AE220" s="24" t="str">
        <f t="shared" si="4"/>
        <v/>
      </c>
      <c r="AF220" s="22">
        <f t="shared" si="3"/>
        <v>1</v>
      </c>
      <c r="AG220" s="22">
        <f t="shared" ca="1" si="5"/>
        <v>1</v>
      </c>
      <c r="AH220" s="8"/>
      <c r="AI220" s="8"/>
    </row>
    <row r="221" spans="2:35" ht="15.75" customHeight="1" x14ac:dyDescent="0.25">
      <c r="B221" s="8"/>
      <c r="C221" s="8"/>
      <c r="D221" s="8"/>
      <c r="E221" s="5" t="s">
        <v>326</v>
      </c>
      <c r="F221" s="16">
        <v>86000</v>
      </c>
      <c r="G221" s="16">
        <v>55087</v>
      </c>
      <c r="H221" s="5" t="s">
        <v>20</v>
      </c>
      <c r="I221" s="5" t="s">
        <v>21</v>
      </c>
      <c r="J221" s="5">
        <v>563140200</v>
      </c>
      <c r="K221" s="5">
        <v>9902794</v>
      </c>
      <c r="L221" s="5"/>
      <c r="M221" s="17"/>
      <c r="N221" s="18" t="b">
        <v>1</v>
      </c>
      <c r="O221" s="18"/>
      <c r="P221" s="5"/>
      <c r="Q221" s="8"/>
      <c r="R221" s="8"/>
      <c r="S221" s="8"/>
      <c r="T221" s="8"/>
      <c r="U221" s="8"/>
      <c r="V221" s="8"/>
      <c r="W221" s="8"/>
      <c r="X221" s="22"/>
      <c r="Y221" s="22"/>
      <c r="Z221" s="22"/>
      <c r="AA221" s="22"/>
      <c r="AB221" s="8"/>
      <c r="AC221" s="8" t="str">
        <f ca="1">IFERROR(__xludf.DUMMYFUNCTION("""COMPUTED_VALUE"""),"Jag Vasant")</f>
        <v>Jag Vasant</v>
      </c>
      <c r="AD221" s="24"/>
      <c r="AE221" s="24" t="str">
        <f t="shared" si="4"/>
        <v/>
      </c>
      <c r="AF221" s="22">
        <f t="shared" si="3"/>
        <v>1</v>
      </c>
      <c r="AG221" s="22">
        <f t="shared" ca="1" si="5"/>
        <v>1</v>
      </c>
      <c r="AH221" s="8"/>
      <c r="AI221" s="8"/>
    </row>
    <row r="222" spans="2:35" ht="15.75" customHeight="1" x14ac:dyDescent="0.25">
      <c r="B222" s="8"/>
      <c r="C222" s="8"/>
      <c r="D222" s="8"/>
      <c r="E222" s="5" t="s">
        <v>327</v>
      </c>
      <c r="F222" s="16">
        <v>84000</v>
      </c>
      <c r="G222" s="16">
        <v>54746</v>
      </c>
      <c r="H222" s="5" t="s">
        <v>20</v>
      </c>
      <c r="I222" s="5" t="s">
        <v>21</v>
      </c>
      <c r="J222" s="5">
        <v>477100500</v>
      </c>
      <c r="K222" s="5">
        <v>9752723</v>
      </c>
      <c r="L222" s="5" t="s">
        <v>130</v>
      </c>
      <c r="M222" s="17">
        <v>46141.520833333336</v>
      </c>
      <c r="N222" s="18" t="b">
        <v>1</v>
      </c>
      <c r="O222" s="18"/>
      <c r="P222" s="5"/>
      <c r="Q222" s="8"/>
      <c r="R222" s="8"/>
      <c r="S222" s="8"/>
      <c r="T222" s="8"/>
      <c r="U222" s="8"/>
      <c r="V222" s="8"/>
      <c r="W222" s="8"/>
      <c r="X222" s="22"/>
      <c r="Y222" s="22"/>
      <c r="Z222" s="22"/>
      <c r="AA222" s="22"/>
      <c r="AB222" s="8"/>
      <c r="AC222" s="8" t="str">
        <f ca="1">IFERROR(__xludf.DUMMYFUNCTION("""COMPUTED_VALUE"""),"Jag Vijay")</f>
        <v>Jag Vijay</v>
      </c>
      <c r="AD222" s="24"/>
      <c r="AE222" s="24" t="str">
        <f t="shared" si="4"/>
        <v/>
      </c>
      <c r="AF222" s="22">
        <f t="shared" si="3"/>
        <v>1</v>
      </c>
      <c r="AG222" s="22">
        <f t="shared" ca="1" si="5"/>
        <v>1</v>
      </c>
      <c r="AH222" s="8"/>
      <c r="AI222" s="8"/>
    </row>
    <row r="223" spans="2:35" ht="15.75" customHeight="1" x14ac:dyDescent="0.25">
      <c r="B223" s="8"/>
      <c r="C223" s="8"/>
      <c r="D223" s="8"/>
      <c r="E223" s="5" t="s">
        <v>328</v>
      </c>
      <c r="F223" s="16">
        <v>83000</v>
      </c>
      <c r="G223" s="16">
        <v>51100</v>
      </c>
      <c r="H223" s="5" t="s">
        <v>20</v>
      </c>
      <c r="I223" s="5" t="s">
        <v>21</v>
      </c>
      <c r="J223" s="5">
        <v>374345000</v>
      </c>
      <c r="K223" s="5">
        <v>9765562</v>
      </c>
      <c r="L223" s="5" t="s">
        <v>329</v>
      </c>
      <c r="M223" s="17">
        <v>46138.666666666664</v>
      </c>
      <c r="N223" s="18" t="b">
        <v>1</v>
      </c>
      <c r="O223" s="18"/>
      <c r="P223" s="5"/>
      <c r="Q223" s="8"/>
      <c r="R223" s="8"/>
      <c r="S223" s="8"/>
      <c r="T223" s="8"/>
      <c r="U223" s="8"/>
      <c r="V223" s="8"/>
      <c r="W223" s="8"/>
      <c r="X223" s="22"/>
      <c r="Y223" s="22"/>
      <c r="Z223" s="22"/>
      <c r="AA223" s="22"/>
      <c r="AB223" s="8"/>
      <c r="AC223" s="8" t="str">
        <f ca="1">IFERROR(__xludf.DUMMYFUNCTION("""COMPUTED_VALUE"""),"Jagannath")</f>
        <v>Jagannath</v>
      </c>
      <c r="AD223" s="24"/>
      <c r="AE223" s="24" t="str">
        <f t="shared" si="4"/>
        <v/>
      </c>
      <c r="AF223" s="22">
        <f t="shared" si="3"/>
        <v>1</v>
      </c>
      <c r="AG223" s="22">
        <f t="shared" ca="1" si="5"/>
        <v>1</v>
      </c>
      <c r="AH223" s="8"/>
      <c r="AI223" s="8"/>
    </row>
    <row r="224" spans="2:35" ht="15.75" customHeight="1" x14ac:dyDescent="0.25">
      <c r="B224" s="8"/>
      <c r="C224" s="8"/>
      <c r="D224" s="8"/>
      <c r="E224" s="5" t="s">
        <v>330</v>
      </c>
      <c r="F224" s="16">
        <v>78432</v>
      </c>
      <c r="G224" s="16">
        <v>49609</v>
      </c>
      <c r="H224" s="5" t="s">
        <v>26</v>
      </c>
      <c r="I224" s="5" t="s">
        <v>21</v>
      </c>
      <c r="J224" s="5">
        <v>626457000</v>
      </c>
      <c r="K224" s="5">
        <v>9172636</v>
      </c>
      <c r="L224" s="5" t="s">
        <v>217</v>
      </c>
      <c r="M224" s="17">
        <v>46133</v>
      </c>
      <c r="N224" s="18" t="b">
        <v>0</v>
      </c>
      <c r="O224" s="18"/>
      <c r="P224" s="5"/>
      <c r="Q224" s="8"/>
      <c r="R224" s="8"/>
      <c r="S224" s="8"/>
      <c r="T224" s="8"/>
      <c r="U224" s="8"/>
      <c r="V224" s="8"/>
      <c r="W224" s="8"/>
      <c r="X224" s="22"/>
      <c r="Y224" s="22"/>
      <c r="Z224" s="22"/>
      <c r="AA224" s="22"/>
      <c r="AB224" s="8"/>
      <c r="AC224" s="8" t="str">
        <f ca="1">IFERROR(__xludf.DUMMYFUNCTION("""COMPUTED_VALUE"""),"Jean Raspail")</f>
        <v>Jean Raspail</v>
      </c>
      <c r="AD224" s="24"/>
      <c r="AE224" s="24" t="str">
        <f t="shared" si="4"/>
        <v/>
      </c>
      <c r="AF224" s="22">
        <f t="shared" si="3"/>
        <v>1</v>
      </c>
      <c r="AG224" s="22" t="str">
        <f t="shared" ca="1" si="5"/>
        <v/>
      </c>
      <c r="AH224" s="8"/>
      <c r="AI224" s="8"/>
    </row>
    <row r="225" spans="2:35" ht="15.75" customHeight="1" x14ac:dyDescent="0.25">
      <c r="B225" s="8"/>
      <c r="C225" s="8"/>
      <c r="D225" s="8"/>
      <c r="E225" s="5" t="s">
        <v>331</v>
      </c>
      <c r="F225" s="16">
        <v>84000</v>
      </c>
      <c r="G225" s="16">
        <v>54684</v>
      </c>
      <c r="H225" s="5" t="s">
        <v>26</v>
      </c>
      <c r="I225" s="5" t="s">
        <v>21</v>
      </c>
      <c r="J225" s="5">
        <v>373215000</v>
      </c>
      <c r="K225" s="5">
        <v>9693549</v>
      </c>
      <c r="L225" s="5" t="s">
        <v>332</v>
      </c>
      <c r="M225" s="17">
        <v>46149.416666666664</v>
      </c>
      <c r="N225" s="18" t="b">
        <v>0</v>
      </c>
      <c r="O225" s="18"/>
      <c r="P225" s="5"/>
      <c r="Q225" s="8"/>
      <c r="R225" s="8"/>
      <c r="S225" s="8"/>
      <c r="T225" s="8"/>
      <c r="U225" s="8"/>
      <c r="V225" s="8"/>
      <c r="W225" s="8"/>
      <c r="X225" s="22"/>
      <c r="Y225" s="22"/>
      <c r="Z225" s="22"/>
      <c r="AA225" s="22"/>
      <c r="AB225" s="8"/>
      <c r="AC225" s="8" t="str">
        <f ca="1">IFERROR(__xludf.DUMMYFUNCTION("""COMPUTED_VALUE"""),"Jenggala 21")</f>
        <v>Jenggala 21</v>
      </c>
      <c r="AD225" s="24"/>
      <c r="AE225" s="24" t="str">
        <f t="shared" si="4"/>
        <v/>
      </c>
      <c r="AF225" s="22">
        <f t="shared" si="3"/>
        <v>1</v>
      </c>
      <c r="AG225" s="22">
        <f t="shared" ca="1" si="5"/>
        <v>1</v>
      </c>
      <c r="AH225" s="8"/>
      <c r="AI225" s="8"/>
    </row>
    <row r="226" spans="2:35" ht="15.75" customHeight="1" x14ac:dyDescent="0.25">
      <c r="B226" s="8"/>
      <c r="C226" s="8"/>
      <c r="D226" s="8"/>
      <c r="E226" s="5" t="s">
        <v>333</v>
      </c>
      <c r="F226" s="16">
        <v>84000</v>
      </c>
      <c r="G226" s="16">
        <v>51700</v>
      </c>
      <c r="H226" s="5" t="s">
        <v>100</v>
      </c>
      <c r="I226" s="5" t="s">
        <v>21</v>
      </c>
      <c r="J226" s="5">
        <v>352006303</v>
      </c>
      <c r="K226" s="5">
        <v>9726085</v>
      </c>
      <c r="L226" s="5" t="s">
        <v>38</v>
      </c>
      <c r="M226" s="17">
        <v>46133.833333333336</v>
      </c>
      <c r="N226" s="18" t="b">
        <v>0</v>
      </c>
      <c r="O226" s="18"/>
      <c r="P226" s="5"/>
      <c r="Q226" s="8"/>
      <c r="R226" s="8"/>
      <c r="S226" s="8"/>
      <c r="T226" s="8"/>
      <c r="U226" s="8"/>
      <c r="V226" s="8"/>
      <c r="W226" s="8"/>
      <c r="X226" s="22"/>
      <c r="Y226" s="22"/>
      <c r="Z226" s="22"/>
      <c r="AA226" s="22"/>
      <c r="AB226" s="8"/>
      <c r="AC226" s="8" t="str">
        <f ca="1">IFERROR(__xludf.DUMMYFUNCTION("""COMPUTED_VALUE"""),"Jia Yuan")</f>
        <v>Jia Yuan</v>
      </c>
      <c r="AD226" s="24"/>
      <c r="AE226" s="24" t="str">
        <f t="shared" si="4"/>
        <v/>
      </c>
      <c r="AF226" s="22">
        <f t="shared" si="3"/>
        <v>1</v>
      </c>
      <c r="AG226" s="22">
        <f t="shared" ca="1" si="5"/>
        <v>1</v>
      </c>
      <c r="AH226" s="8"/>
      <c r="AI226" s="8"/>
    </row>
    <row r="227" spans="2:35" ht="15.75" customHeight="1" x14ac:dyDescent="0.25">
      <c r="B227" s="8"/>
      <c r="C227" s="8"/>
      <c r="D227" s="8"/>
      <c r="E227" s="5" t="s">
        <v>334</v>
      </c>
      <c r="F227" s="16">
        <v>84000</v>
      </c>
      <c r="G227" s="16">
        <v>54551</v>
      </c>
      <c r="H227" s="5" t="s">
        <v>100</v>
      </c>
      <c r="I227" s="5" t="s">
        <v>21</v>
      </c>
      <c r="J227" s="5">
        <v>447274000</v>
      </c>
      <c r="K227" s="5">
        <v>9849631</v>
      </c>
      <c r="L227" s="5" t="s">
        <v>163</v>
      </c>
      <c r="M227" s="17">
        <v>46132.5</v>
      </c>
      <c r="N227" s="18" t="b">
        <v>0</v>
      </c>
      <c r="O227" s="18"/>
      <c r="P227" s="5"/>
      <c r="Q227" s="8"/>
      <c r="R227" s="8"/>
      <c r="S227" s="8"/>
      <c r="T227" s="8"/>
      <c r="U227" s="8"/>
      <c r="V227" s="8"/>
      <c r="W227" s="8"/>
      <c r="X227" s="22"/>
      <c r="Y227" s="22"/>
      <c r="Z227" s="22"/>
      <c r="AA227" s="22"/>
      <c r="AB227" s="8"/>
      <c r="AC227" s="8" t="str">
        <f ca="1">IFERROR(__xludf.DUMMYFUNCTION("""COMPUTED_VALUE"""),"Jirisan Explorer")</f>
        <v>Jirisan Explorer</v>
      </c>
      <c r="AD227" s="24"/>
      <c r="AE227" s="24" t="str">
        <f t="shared" si="4"/>
        <v/>
      </c>
      <c r="AF227" s="22">
        <f t="shared" si="3"/>
        <v>1</v>
      </c>
      <c r="AG227" s="22">
        <f t="shared" ca="1" si="5"/>
        <v>1</v>
      </c>
      <c r="AH227" s="8"/>
      <c r="AI227" s="8"/>
    </row>
    <row r="228" spans="2:35" ht="15.75" customHeight="1" x14ac:dyDescent="0.25">
      <c r="B228" s="8"/>
      <c r="C228" s="8"/>
      <c r="D228" s="8"/>
      <c r="E228" s="5" t="s">
        <v>335</v>
      </c>
      <c r="F228" s="16">
        <v>93000</v>
      </c>
      <c r="G228" s="16">
        <v>60000</v>
      </c>
      <c r="H228" s="5" t="s">
        <v>20</v>
      </c>
      <c r="I228" s="5" t="s">
        <v>21</v>
      </c>
      <c r="J228" s="5">
        <v>563248100</v>
      </c>
      <c r="K228" s="5">
        <v>9969845</v>
      </c>
      <c r="L228" s="5" t="s">
        <v>238</v>
      </c>
      <c r="M228" s="17">
        <v>46153.463888888888</v>
      </c>
      <c r="N228" s="18" t="b">
        <v>1</v>
      </c>
      <c r="O228" s="18"/>
      <c r="P228" s="5"/>
      <c r="Q228" s="8"/>
      <c r="R228" s="8"/>
      <c r="S228" s="8"/>
      <c r="T228" s="8"/>
      <c r="U228" s="8"/>
      <c r="V228" s="8"/>
      <c r="W228" s="8"/>
      <c r="X228" s="22"/>
      <c r="Y228" s="22"/>
      <c r="Z228" s="22"/>
      <c r="AA228" s="22"/>
      <c r="AB228" s="8"/>
      <c r="AC228" s="8" t="str">
        <f ca="1">IFERROR(__xludf.DUMMYFUNCTION("""COMPUTED_VALUE"""),"Kaede")</f>
        <v>Kaede</v>
      </c>
      <c r="AD228" s="24"/>
      <c r="AE228" s="24" t="str">
        <f t="shared" si="4"/>
        <v/>
      </c>
      <c r="AF228" s="22">
        <f t="shared" si="3"/>
        <v>1</v>
      </c>
      <c r="AG228" s="22">
        <f t="shared" ca="1" si="5"/>
        <v>1</v>
      </c>
      <c r="AH228" s="8"/>
      <c r="AI228" s="8"/>
    </row>
    <row r="229" spans="2:35" ht="15.75" customHeight="1" x14ac:dyDescent="0.25">
      <c r="B229" s="8"/>
      <c r="C229" s="8"/>
      <c r="D229" s="8"/>
      <c r="E229" s="5" t="s">
        <v>336</v>
      </c>
      <c r="F229" s="16">
        <v>86000</v>
      </c>
      <c r="G229" s="16">
        <v>57000</v>
      </c>
      <c r="H229" s="5" t="s">
        <v>26</v>
      </c>
      <c r="I229" s="5" t="s">
        <v>21</v>
      </c>
      <c r="J229" s="5">
        <v>563123400</v>
      </c>
      <c r="K229" s="5">
        <v>9876490</v>
      </c>
      <c r="L229" s="5" t="s">
        <v>76</v>
      </c>
      <c r="M229" s="17">
        <v>46137.083333333336</v>
      </c>
      <c r="N229" s="18" t="b">
        <v>0</v>
      </c>
      <c r="O229" s="18"/>
      <c r="P229" s="5"/>
      <c r="Q229" s="8"/>
      <c r="R229" s="8"/>
      <c r="S229" s="8"/>
      <c r="T229" s="8"/>
      <c r="U229" s="8"/>
      <c r="V229" s="8"/>
      <c r="W229" s="8"/>
      <c r="X229" s="22"/>
      <c r="Y229" s="22"/>
      <c r="Z229" s="22"/>
      <c r="AA229" s="22"/>
      <c r="AB229" s="8"/>
      <c r="AC229" s="8" t="str">
        <f ca="1">IFERROR(__xludf.DUMMYFUNCTION("""COMPUTED_VALUE"""),"Kedarnath")</f>
        <v>Kedarnath</v>
      </c>
      <c r="AD229" s="24"/>
      <c r="AE229" s="24" t="str">
        <f t="shared" si="4"/>
        <v/>
      </c>
      <c r="AF229" s="22">
        <f t="shared" si="3"/>
        <v>1</v>
      </c>
      <c r="AG229" s="22">
        <f t="shared" ca="1" si="5"/>
        <v>1</v>
      </c>
      <c r="AH229" s="8"/>
      <c r="AI229" s="8"/>
    </row>
    <row r="230" spans="2:35" ht="15.75" customHeight="1" x14ac:dyDescent="0.25">
      <c r="B230" s="8"/>
      <c r="C230" s="8"/>
      <c r="D230" s="8"/>
      <c r="E230" s="5" t="s">
        <v>337</v>
      </c>
      <c r="F230" s="16">
        <v>86000</v>
      </c>
      <c r="G230" s="16">
        <v>54966</v>
      </c>
      <c r="H230" s="5" t="s">
        <v>20</v>
      </c>
      <c r="I230" s="5" t="s">
        <v>21</v>
      </c>
      <c r="J230" s="5">
        <v>563133600</v>
      </c>
      <c r="K230" s="5">
        <v>9902782</v>
      </c>
      <c r="L230" s="5" t="s">
        <v>293</v>
      </c>
      <c r="M230" s="17">
        <v>46154.541666666664</v>
      </c>
      <c r="N230" s="18" t="b">
        <v>1</v>
      </c>
      <c r="O230" s="18"/>
      <c r="P230" s="5"/>
      <c r="Q230" s="8"/>
      <c r="R230" s="8"/>
      <c r="S230" s="8"/>
      <c r="T230" s="8"/>
      <c r="U230" s="8"/>
      <c r="V230" s="8"/>
      <c r="W230" s="8"/>
      <c r="X230" s="22"/>
      <c r="Y230" s="22"/>
      <c r="Z230" s="22"/>
      <c r="AA230" s="22"/>
      <c r="AB230" s="8"/>
      <c r="AC230" s="8" t="str">
        <f ca="1">IFERROR(__xludf.DUMMYFUNCTION("""COMPUTED_VALUE"""),"Kefalonia Gas")</f>
        <v>Kefalonia Gas</v>
      </c>
      <c r="AD230" s="24"/>
      <c r="AE230" s="24" t="str">
        <f t="shared" si="4"/>
        <v/>
      </c>
      <c r="AF230" s="22">
        <f t="shared" si="3"/>
        <v>1</v>
      </c>
      <c r="AG230" s="22">
        <f t="shared" ca="1" si="5"/>
        <v>1</v>
      </c>
      <c r="AH230" s="8"/>
      <c r="AI230" s="8"/>
    </row>
    <row r="231" spans="2:35" ht="15.75" customHeight="1" x14ac:dyDescent="0.25">
      <c r="B231" s="8"/>
      <c r="C231" s="8"/>
      <c r="D231" s="8"/>
      <c r="E231" s="5" t="s">
        <v>338</v>
      </c>
      <c r="F231" s="16">
        <v>83783</v>
      </c>
      <c r="G231" s="16">
        <v>54707</v>
      </c>
      <c r="H231" s="5" t="s">
        <v>26</v>
      </c>
      <c r="I231" s="5" t="s">
        <v>21</v>
      </c>
      <c r="J231" s="5">
        <v>352003445</v>
      </c>
      <c r="K231" s="5">
        <v>9364382</v>
      </c>
      <c r="L231" s="5"/>
      <c r="M231" s="17"/>
      <c r="N231" s="18" t="b">
        <v>0</v>
      </c>
      <c r="O231" s="18"/>
      <c r="P231" s="5"/>
      <c r="Q231" s="8"/>
      <c r="R231" s="8"/>
      <c r="S231" s="8"/>
      <c r="T231" s="8"/>
      <c r="U231" s="8"/>
      <c r="V231" s="8"/>
      <c r="W231" s="8"/>
      <c r="X231" s="22"/>
      <c r="Y231" s="22"/>
      <c r="Z231" s="22"/>
      <c r="AA231" s="22"/>
      <c r="AB231" s="8"/>
      <c r="AC231" s="8" t="str">
        <f ca="1">IFERROR(__xludf.DUMMYFUNCTION("""COMPUTED_VALUE"""),"Kodaijisan")</f>
        <v>Kodaijisan</v>
      </c>
      <c r="AD231" s="24"/>
      <c r="AE231" s="24" t="str">
        <f t="shared" si="4"/>
        <v/>
      </c>
      <c r="AF231" s="22">
        <f t="shared" si="3"/>
        <v>1</v>
      </c>
      <c r="AG231" s="22" t="str">
        <f t="shared" ca="1" si="5"/>
        <v/>
      </c>
      <c r="AH231" s="8"/>
      <c r="AI231" s="8"/>
    </row>
    <row r="232" spans="2:35" ht="15.75" customHeight="1" x14ac:dyDescent="0.25">
      <c r="B232" s="8"/>
      <c r="C232" s="8"/>
      <c r="D232" s="8"/>
      <c r="E232" s="5" t="s">
        <v>339</v>
      </c>
      <c r="F232" s="16">
        <v>84000</v>
      </c>
      <c r="G232" s="16">
        <v>54675</v>
      </c>
      <c r="H232" s="5" t="s">
        <v>26</v>
      </c>
      <c r="I232" s="5" t="s">
        <v>21</v>
      </c>
      <c r="J232" s="5">
        <v>373435000</v>
      </c>
      <c r="K232" s="5">
        <v>9788992</v>
      </c>
      <c r="L232" s="5"/>
      <c r="M232" s="17"/>
      <c r="N232" s="18" t="b">
        <v>0</v>
      </c>
      <c r="O232" s="18"/>
      <c r="P232" s="5"/>
      <c r="Q232" s="8"/>
      <c r="R232" s="8"/>
      <c r="S232" s="8"/>
      <c r="T232" s="8"/>
      <c r="U232" s="8"/>
      <c r="V232" s="8"/>
      <c r="W232" s="8"/>
      <c r="X232" s="22"/>
      <c r="Y232" s="22"/>
      <c r="Z232" s="22"/>
      <c r="AA232" s="22"/>
      <c r="AB232" s="8"/>
      <c r="AC232" s="8" t="str">
        <f ca="1">IFERROR(__xludf.DUMMYFUNCTION("""COMPUTED_VALUE"""),"Kohaku")</f>
        <v>Kohaku</v>
      </c>
      <c r="AD232" s="24"/>
      <c r="AE232" s="24" t="str">
        <f t="shared" si="4"/>
        <v/>
      </c>
      <c r="AF232" s="22">
        <f t="shared" si="3"/>
        <v>1</v>
      </c>
      <c r="AG232" s="22">
        <f t="shared" ca="1" si="5"/>
        <v>1</v>
      </c>
      <c r="AH232" s="8"/>
      <c r="AI232" s="8"/>
    </row>
    <row r="233" spans="2:35" ht="15.75" customHeight="1" x14ac:dyDescent="0.25">
      <c r="B233" s="8"/>
      <c r="C233" s="8"/>
      <c r="D233" s="8"/>
      <c r="E233" s="5" t="s">
        <v>340</v>
      </c>
      <c r="F233" s="16">
        <v>80000</v>
      </c>
      <c r="G233" s="16">
        <v>54645</v>
      </c>
      <c r="H233" s="5" t="s">
        <v>100</v>
      </c>
      <c r="I233" s="5" t="s">
        <v>21</v>
      </c>
      <c r="J233" s="5">
        <v>373729000</v>
      </c>
      <c r="K233" s="5">
        <v>9800099</v>
      </c>
      <c r="L233" s="5"/>
      <c r="M233" s="17"/>
      <c r="N233" s="18" t="b">
        <v>0</v>
      </c>
      <c r="O233" s="18"/>
      <c r="P233" s="5"/>
      <c r="Q233" s="8"/>
      <c r="R233" s="8"/>
      <c r="S233" s="8"/>
      <c r="T233" s="8"/>
      <c r="U233" s="8"/>
      <c r="V233" s="8"/>
      <c r="W233" s="8"/>
      <c r="X233" s="22"/>
      <c r="Y233" s="22"/>
      <c r="Z233" s="22"/>
      <c r="AA233" s="22"/>
      <c r="AB233" s="8"/>
      <c r="AC233" s="8" t="str">
        <f ca="1">IFERROR(__xludf.DUMMYFUNCTION("""COMPUTED_VALUE"""),"Lantana Planet")</f>
        <v>Lantana Planet</v>
      </c>
      <c r="AD233" s="24"/>
      <c r="AE233" s="24" t="str">
        <f t="shared" si="4"/>
        <v/>
      </c>
      <c r="AF233" s="22">
        <f t="shared" si="3"/>
        <v>1</v>
      </c>
      <c r="AG233" s="22">
        <f t="shared" ca="1" si="5"/>
        <v>1</v>
      </c>
      <c r="AH233" s="8"/>
      <c r="AI233" s="8"/>
    </row>
    <row r="234" spans="2:35" ht="15.75" customHeight="1" x14ac:dyDescent="0.25">
      <c r="B234" s="8"/>
      <c r="C234" s="8"/>
      <c r="D234" s="8"/>
      <c r="E234" s="5" t="s">
        <v>341</v>
      </c>
      <c r="F234" s="16">
        <v>84000</v>
      </c>
      <c r="G234" s="16">
        <v>54675</v>
      </c>
      <c r="H234" s="5" t="s">
        <v>20</v>
      </c>
      <c r="I234" s="5" t="s">
        <v>21</v>
      </c>
      <c r="J234" s="5">
        <v>371639000</v>
      </c>
      <c r="K234" s="5">
        <v>9795543</v>
      </c>
      <c r="L234" s="5" t="s">
        <v>101</v>
      </c>
      <c r="M234" s="17">
        <v>46138.958333333336</v>
      </c>
      <c r="N234" s="18" t="b">
        <v>1</v>
      </c>
      <c r="O234" s="18"/>
      <c r="P234" s="5"/>
      <c r="Q234" s="8"/>
      <c r="R234" s="8"/>
      <c r="S234" s="8"/>
      <c r="T234" s="8"/>
      <c r="U234" s="8"/>
      <c r="V234" s="8"/>
      <c r="W234" s="8"/>
      <c r="X234" s="22"/>
      <c r="Y234" s="22"/>
      <c r="Z234" s="22"/>
      <c r="AA234" s="22"/>
      <c r="AB234" s="8"/>
      <c r="AC234" s="8" t="str">
        <f ca="1">IFERROR(__xludf.DUMMYFUNCTION("""COMPUTED_VALUE"""),"Laurel Prime")</f>
        <v>Laurel Prime</v>
      </c>
      <c r="AD234" s="24"/>
      <c r="AE234" s="24" t="str">
        <f t="shared" si="4"/>
        <v/>
      </c>
      <c r="AF234" s="22">
        <f t="shared" si="3"/>
        <v>1</v>
      </c>
      <c r="AG234" s="22">
        <f t="shared" ca="1" si="5"/>
        <v>1</v>
      </c>
      <c r="AH234" s="8"/>
      <c r="AI234" s="8"/>
    </row>
    <row r="235" spans="2:35" ht="15.75" customHeight="1" x14ac:dyDescent="0.25">
      <c r="B235" s="8"/>
      <c r="C235" s="8"/>
      <c r="D235" s="8"/>
      <c r="E235" s="5" t="s">
        <v>342</v>
      </c>
      <c r="F235" s="16">
        <v>79527</v>
      </c>
      <c r="G235" s="16">
        <v>49996</v>
      </c>
      <c r="H235" s="5" t="s">
        <v>26</v>
      </c>
      <c r="I235" s="5" t="s">
        <v>21</v>
      </c>
      <c r="J235" s="5">
        <v>352002853</v>
      </c>
      <c r="K235" s="5">
        <v>9131539</v>
      </c>
      <c r="L235" s="5" t="s">
        <v>163</v>
      </c>
      <c r="M235" s="17">
        <v>46132.333333333336</v>
      </c>
      <c r="N235" s="18" t="b">
        <v>0</v>
      </c>
      <c r="O235" s="18"/>
      <c r="P235" s="5"/>
      <c r="Q235" s="8"/>
      <c r="R235" s="8"/>
      <c r="S235" s="8"/>
      <c r="T235" s="8"/>
      <c r="U235" s="8"/>
      <c r="V235" s="8"/>
      <c r="W235" s="8"/>
      <c r="X235" s="22"/>
      <c r="Y235" s="22"/>
      <c r="Z235" s="22"/>
      <c r="AA235" s="22"/>
      <c r="AB235" s="8"/>
      <c r="AC235" s="8" t="str">
        <f ca="1">IFERROR(__xludf.DUMMYFUNCTION("""COMPUTED_VALUE"""),"Legend Prestige")</f>
        <v>Legend Prestige</v>
      </c>
      <c r="AD235" s="24"/>
      <c r="AE235" s="24" t="str">
        <f t="shared" si="4"/>
        <v/>
      </c>
      <c r="AF235" s="22">
        <f t="shared" si="3"/>
        <v>1</v>
      </c>
      <c r="AG235" s="22" t="str">
        <f t="shared" ca="1" si="5"/>
        <v/>
      </c>
      <c r="AH235" s="8"/>
      <c r="AI235" s="8"/>
    </row>
    <row r="236" spans="2:35" ht="15.75" customHeight="1" x14ac:dyDescent="0.25">
      <c r="B236" s="8"/>
      <c r="C236" s="8"/>
      <c r="D236" s="8"/>
      <c r="E236" s="5" t="s">
        <v>343</v>
      </c>
      <c r="F236" s="16">
        <v>93000</v>
      </c>
      <c r="G236" s="16">
        <v>61000</v>
      </c>
      <c r="H236" s="5" t="s">
        <v>53</v>
      </c>
      <c r="I236" s="741" t="s">
        <v>54</v>
      </c>
      <c r="J236" s="742"/>
      <c r="K236" s="5">
        <v>1042574</v>
      </c>
      <c r="L236" s="5"/>
      <c r="M236" s="33"/>
      <c r="N236" s="18" t="b">
        <v>0</v>
      </c>
      <c r="O236" s="18"/>
      <c r="P236" s="5"/>
      <c r="Q236" s="8"/>
      <c r="R236" s="8"/>
      <c r="S236" s="8"/>
      <c r="T236" s="8"/>
      <c r="U236" s="8"/>
      <c r="V236" s="8"/>
      <c r="W236" s="8"/>
      <c r="X236" s="22"/>
      <c r="Y236" s="22"/>
      <c r="Z236" s="22"/>
      <c r="AA236" s="22"/>
      <c r="AB236" s="8"/>
      <c r="AC236" s="8" t="str">
        <f ca="1">IFERROR(__xludf.DUMMYFUNCTION("""COMPUTED_VALUE"""),"Legend Prosperity")</f>
        <v>Legend Prosperity</v>
      </c>
      <c r="AD236" s="24"/>
      <c r="AE236" s="24" t="str">
        <f t="shared" si="4"/>
        <v/>
      </c>
      <c r="AF236" s="22">
        <f t="shared" si="3"/>
        <v>1</v>
      </c>
      <c r="AG236" s="22" t="str">
        <f t="shared" ca="1" si="5"/>
        <v/>
      </c>
      <c r="AH236" s="8"/>
      <c r="AI236" s="8"/>
    </row>
    <row r="237" spans="2:35" ht="15.75" customHeight="1" x14ac:dyDescent="0.25">
      <c r="B237" s="8"/>
      <c r="C237" s="8"/>
      <c r="D237" s="8"/>
      <c r="E237" s="5" t="s">
        <v>344</v>
      </c>
      <c r="F237" s="16">
        <v>84000</v>
      </c>
      <c r="G237" s="16">
        <v>54304</v>
      </c>
      <c r="H237" s="5" t="s">
        <v>75</v>
      </c>
      <c r="I237" s="5" t="s">
        <v>21</v>
      </c>
      <c r="J237" s="5">
        <v>538007631</v>
      </c>
      <c r="K237" s="5">
        <v>9795919</v>
      </c>
      <c r="L237" s="5" t="s">
        <v>76</v>
      </c>
      <c r="M237" s="17">
        <v>46144.166666666664</v>
      </c>
      <c r="N237" s="18" t="b">
        <v>1</v>
      </c>
      <c r="O237" s="18"/>
      <c r="P237" s="5"/>
      <c r="Q237" s="8"/>
      <c r="R237" s="8"/>
      <c r="S237" s="8"/>
      <c r="T237" s="8"/>
      <c r="U237" s="8"/>
      <c r="V237" s="8"/>
      <c r="W237" s="8"/>
      <c r="X237" s="22"/>
      <c r="Y237" s="22"/>
      <c r="Z237" s="22"/>
      <c r="AA237" s="22"/>
      <c r="AB237" s="8"/>
      <c r="AC237" s="8" t="str">
        <f ca="1">IFERROR(__xludf.DUMMYFUNCTION("""COMPUTED_VALUE"""),"Legislator")</f>
        <v>Legislator</v>
      </c>
      <c r="AD237" s="24"/>
      <c r="AE237" s="24" t="str">
        <f t="shared" si="4"/>
        <v/>
      </c>
      <c r="AF237" s="22">
        <f t="shared" si="3"/>
        <v>1</v>
      </c>
      <c r="AG237" s="22">
        <f t="shared" ca="1" si="5"/>
        <v>1</v>
      </c>
      <c r="AH237" s="8"/>
      <c r="AI237" s="8"/>
    </row>
    <row r="238" spans="2:35" ht="15.75" customHeight="1" x14ac:dyDescent="0.25">
      <c r="B238" s="8"/>
      <c r="C238" s="8"/>
      <c r="D238" s="8"/>
      <c r="E238" s="5" t="s">
        <v>345</v>
      </c>
      <c r="F238" s="16">
        <v>93000</v>
      </c>
      <c r="G238" s="16">
        <v>61000</v>
      </c>
      <c r="H238" s="5" t="s">
        <v>53</v>
      </c>
      <c r="I238" s="741" t="s">
        <v>54</v>
      </c>
      <c r="J238" s="742"/>
      <c r="K238" s="5">
        <v>1042598</v>
      </c>
      <c r="L238" s="5"/>
      <c r="M238" s="17"/>
      <c r="N238" s="18" t="b">
        <v>0</v>
      </c>
      <c r="O238" s="18"/>
      <c r="P238" s="5"/>
      <c r="Q238" s="8"/>
      <c r="R238" s="8"/>
      <c r="S238" s="8"/>
      <c r="T238" s="8"/>
      <c r="U238" s="8"/>
      <c r="V238" s="8"/>
      <c r="W238" s="8"/>
      <c r="X238" s="22"/>
      <c r="Y238" s="22"/>
      <c r="Z238" s="22"/>
      <c r="AA238" s="22"/>
      <c r="AB238" s="8"/>
      <c r="AC238" s="8" t="str">
        <f ca="1">IFERROR(__xludf.DUMMYFUNCTION("""COMPUTED_VALUE"""),"Leo Green")</f>
        <v>Leo Green</v>
      </c>
      <c r="AD238" s="24"/>
      <c r="AE238" s="24" t="str">
        <f t="shared" si="4"/>
        <v/>
      </c>
      <c r="AF238" s="22">
        <f t="shared" si="3"/>
        <v>1</v>
      </c>
      <c r="AG238" s="22" t="str">
        <f t="shared" ca="1" si="5"/>
        <v/>
      </c>
      <c r="AH238" s="8"/>
      <c r="AI238" s="8"/>
    </row>
    <row r="239" spans="2:35" ht="15.75" customHeight="1" x14ac:dyDescent="0.25">
      <c r="B239" s="8"/>
      <c r="C239" s="8"/>
      <c r="D239" s="8"/>
      <c r="E239" s="5" t="s">
        <v>346</v>
      </c>
      <c r="F239" s="16">
        <v>93000</v>
      </c>
      <c r="G239" s="16">
        <v>61000</v>
      </c>
      <c r="H239" s="5" t="s">
        <v>20</v>
      </c>
      <c r="I239" s="5" t="s">
        <v>21</v>
      </c>
      <c r="J239" s="5">
        <v>538011925</v>
      </c>
      <c r="K239" s="5">
        <v>1042562</v>
      </c>
      <c r="L239" s="5" t="s">
        <v>347</v>
      </c>
      <c r="M239" s="17">
        <v>46144.5</v>
      </c>
      <c r="N239" s="18" t="b">
        <v>1</v>
      </c>
      <c r="O239" s="18"/>
      <c r="P239" s="5"/>
      <c r="Q239" s="8"/>
      <c r="R239" s="8"/>
      <c r="S239" s="8"/>
      <c r="T239" s="8"/>
      <c r="U239" s="8"/>
      <c r="V239" s="8"/>
      <c r="W239" s="8"/>
      <c r="X239" s="22"/>
      <c r="Y239" s="22"/>
      <c r="Z239" s="22"/>
      <c r="AA239" s="22"/>
      <c r="AB239" s="8"/>
      <c r="AC239" s="8" t="str">
        <f ca="1">IFERROR(__xludf.DUMMYFUNCTION("""COMPUTED_VALUE"""),"Leto Providence")</f>
        <v>Leto Providence</v>
      </c>
      <c r="AD239" s="24"/>
      <c r="AE239" s="24" t="str">
        <f t="shared" si="4"/>
        <v/>
      </c>
      <c r="AF239" s="22">
        <f t="shared" si="3"/>
        <v>1</v>
      </c>
      <c r="AG239" s="22">
        <f t="shared" ca="1" si="5"/>
        <v>1</v>
      </c>
      <c r="AH239" s="8"/>
      <c r="AI239" s="8"/>
    </row>
    <row r="240" spans="2:35" ht="15.75" customHeight="1" x14ac:dyDescent="0.25">
      <c r="B240" s="8"/>
      <c r="C240" s="8"/>
      <c r="D240" s="8"/>
      <c r="E240" s="5" t="s">
        <v>348</v>
      </c>
      <c r="F240" s="16">
        <v>93000</v>
      </c>
      <c r="G240" s="16">
        <v>61000</v>
      </c>
      <c r="H240" s="5" t="s">
        <v>53</v>
      </c>
      <c r="I240" s="741" t="s">
        <v>54</v>
      </c>
      <c r="J240" s="742"/>
      <c r="K240" s="5">
        <v>1042586</v>
      </c>
      <c r="L240" s="5"/>
      <c r="M240" s="17"/>
      <c r="N240" s="18" t="b">
        <v>0</v>
      </c>
      <c r="O240" s="18"/>
      <c r="P240" s="5"/>
      <c r="Q240" s="8"/>
      <c r="R240" s="8"/>
      <c r="S240" s="8"/>
      <c r="T240" s="8"/>
      <c r="U240" s="8"/>
      <c r="V240" s="8"/>
      <c r="W240" s="8"/>
      <c r="X240" s="22"/>
      <c r="Y240" s="22"/>
      <c r="Z240" s="22"/>
      <c r="AA240" s="22"/>
      <c r="AB240" s="8"/>
      <c r="AC240" s="8" t="str">
        <f ca="1">IFERROR(__xludf.DUMMYFUNCTION("""COMPUTED_VALUE"""),"Liberty Pathfinder")</f>
        <v>Liberty Pathfinder</v>
      </c>
      <c r="AD240" s="24"/>
      <c r="AE240" s="24" t="str">
        <f t="shared" si="4"/>
        <v/>
      </c>
      <c r="AF240" s="22">
        <f t="shared" si="3"/>
        <v>1</v>
      </c>
      <c r="AG240" s="22" t="str">
        <f t="shared" ca="1" si="5"/>
        <v/>
      </c>
      <c r="AH240" s="8"/>
      <c r="AI240" s="8"/>
    </row>
    <row r="241" spans="2:35" ht="15.75" customHeight="1" x14ac:dyDescent="0.25">
      <c r="B241" s="8"/>
      <c r="C241" s="8"/>
      <c r="D241" s="8"/>
      <c r="E241" s="5" t="s">
        <v>349</v>
      </c>
      <c r="F241" s="16">
        <v>82000</v>
      </c>
      <c r="G241" s="16">
        <v>54149</v>
      </c>
      <c r="H241" s="5" t="s">
        <v>20</v>
      </c>
      <c r="I241" s="5" t="s">
        <v>21</v>
      </c>
      <c r="J241" s="5">
        <v>356144000</v>
      </c>
      <c r="K241" s="5">
        <v>9791224</v>
      </c>
      <c r="L241" s="5" t="s">
        <v>280</v>
      </c>
      <c r="M241" s="33">
        <v>46133.270833333336</v>
      </c>
      <c r="N241" s="18" t="b">
        <v>1</v>
      </c>
      <c r="O241" s="18"/>
      <c r="P241" s="5"/>
      <c r="Q241" s="8"/>
      <c r="R241" s="8"/>
      <c r="S241" s="8"/>
      <c r="T241" s="8"/>
      <c r="U241" s="8"/>
      <c r="V241" s="8"/>
      <c r="W241" s="8"/>
      <c r="X241" s="22"/>
      <c r="Y241" s="22"/>
      <c r="Z241" s="22"/>
      <c r="AA241" s="22"/>
      <c r="AB241" s="8"/>
      <c r="AC241" s="8" t="str">
        <f ca="1">IFERROR(__xludf.DUMMYFUNCTION("""COMPUTED_VALUE"""),"Lilac Promenade")</f>
        <v>Lilac Promenade</v>
      </c>
      <c r="AD241" s="24"/>
      <c r="AE241" s="24" t="str">
        <f t="shared" si="4"/>
        <v/>
      </c>
      <c r="AF241" s="22">
        <f t="shared" si="3"/>
        <v>1</v>
      </c>
      <c r="AG241" s="22">
        <f t="shared" ca="1" si="5"/>
        <v>1</v>
      </c>
      <c r="AH241" s="8"/>
      <c r="AI241" s="8"/>
    </row>
    <row r="242" spans="2:35" ht="15.75" customHeight="1" x14ac:dyDescent="0.25">
      <c r="B242" s="8"/>
      <c r="C242" s="8"/>
      <c r="D242" s="8"/>
      <c r="E242" s="5" t="s">
        <v>350</v>
      </c>
      <c r="F242" s="16">
        <v>82000</v>
      </c>
      <c r="G242" s="16">
        <v>54901</v>
      </c>
      <c r="H242" s="5" t="s">
        <v>20</v>
      </c>
      <c r="I242" s="5" t="s">
        <v>21</v>
      </c>
      <c r="J242" s="5">
        <v>352004310</v>
      </c>
      <c r="K242" s="5">
        <v>9604392</v>
      </c>
      <c r="L242" s="5" t="s">
        <v>172</v>
      </c>
      <c r="M242" s="17">
        <v>46145.375</v>
      </c>
      <c r="N242" s="18" t="b">
        <v>1</v>
      </c>
      <c r="O242" s="18"/>
      <c r="P242" s="5"/>
      <c r="Q242" s="8"/>
      <c r="R242" s="8"/>
      <c r="S242" s="8"/>
      <c r="T242" s="8"/>
      <c r="U242" s="8"/>
      <c r="V242" s="8"/>
      <c r="W242" s="8"/>
      <c r="X242" s="22"/>
      <c r="Y242" s="22"/>
      <c r="Z242" s="22"/>
      <c r="AA242" s="22"/>
      <c r="AB242" s="8"/>
      <c r="AC242" s="8" t="str">
        <f ca="1">IFERROR(__xludf.DUMMYFUNCTION("""COMPUTED_VALUE"""),"Lily Promenade")</f>
        <v>Lily Promenade</v>
      </c>
      <c r="AD242" s="24"/>
      <c r="AE242" s="24" t="str">
        <f t="shared" si="4"/>
        <v/>
      </c>
      <c r="AF242" s="22">
        <f t="shared" si="3"/>
        <v>1</v>
      </c>
      <c r="AG242" s="22">
        <f t="shared" ca="1" si="5"/>
        <v>1</v>
      </c>
      <c r="AH242" s="8"/>
      <c r="AI242" s="8"/>
    </row>
    <row r="243" spans="2:35" ht="15.75" customHeight="1" x14ac:dyDescent="0.25">
      <c r="B243" s="8"/>
      <c r="C243" s="8"/>
      <c r="D243" s="8"/>
      <c r="E243" s="5" t="s">
        <v>351</v>
      </c>
      <c r="F243" s="16">
        <v>84109</v>
      </c>
      <c r="G243" s="16">
        <v>64220</v>
      </c>
      <c r="H243" s="5" t="s">
        <v>26</v>
      </c>
      <c r="I243" s="5" t="s">
        <v>21</v>
      </c>
      <c r="J243" s="5">
        <v>373502000</v>
      </c>
      <c r="K243" s="5">
        <v>9002908</v>
      </c>
      <c r="L243" s="5" t="s">
        <v>352</v>
      </c>
      <c r="M243" s="17">
        <v>46132.875</v>
      </c>
      <c r="N243" s="18" t="b">
        <v>0</v>
      </c>
      <c r="O243" s="18"/>
      <c r="P243" s="5"/>
      <c r="Q243" s="8"/>
      <c r="R243" s="8"/>
      <c r="S243" s="8"/>
      <c r="T243" s="8"/>
      <c r="U243" s="8"/>
      <c r="V243" s="8"/>
      <c r="W243" s="8"/>
      <c r="X243" s="22"/>
      <c r="Y243" s="22"/>
      <c r="Z243" s="22"/>
      <c r="AA243" s="22"/>
      <c r="AB243" s="8"/>
      <c r="AC243" s="8" t="str">
        <f ca="1">IFERROR(__xludf.DUMMYFUNCTION("""COMPUTED_VALUE"""),"Logan Explorer")</f>
        <v>Logan Explorer</v>
      </c>
      <c r="AD243" s="24"/>
      <c r="AE243" s="24" t="str">
        <f t="shared" si="4"/>
        <v/>
      </c>
      <c r="AF243" s="22">
        <f t="shared" si="3"/>
        <v>1</v>
      </c>
      <c r="AG243" s="22" t="str">
        <f t="shared" ca="1" si="5"/>
        <v/>
      </c>
      <c r="AH243" s="8"/>
      <c r="AI243" s="8"/>
    </row>
    <row r="244" spans="2:35" ht="15.75" customHeight="1" x14ac:dyDescent="0.25">
      <c r="B244" s="8"/>
      <c r="C244" s="8"/>
      <c r="D244" s="8"/>
      <c r="E244" s="5" t="s">
        <v>353</v>
      </c>
      <c r="F244" s="16">
        <v>83000</v>
      </c>
      <c r="G244" s="16">
        <v>54994</v>
      </c>
      <c r="H244" s="5" t="s">
        <v>26</v>
      </c>
      <c r="I244" s="5" t="s">
        <v>21</v>
      </c>
      <c r="J244" s="5">
        <v>373045000</v>
      </c>
      <c r="K244" s="5">
        <v>9765550</v>
      </c>
      <c r="L244" s="5" t="s">
        <v>107</v>
      </c>
      <c r="M244" s="33">
        <v>46137.125</v>
      </c>
      <c r="N244" s="18" t="b">
        <v>0</v>
      </c>
      <c r="O244" s="18"/>
      <c r="P244" s="5"/>
      <c r="Q244" s="8"/>
      <c r="R244" s="8"/>
      <c r="S244" s="8"/>
      <c r="T244" s="8"/>
      <c r="U244" s="8"/>
      <c r="V244" s="8"/>
      <c r="W244" s="8"/>
      <c r="X244" s="22"/>
      <c r="Y244" s="22"/>
      <c r="Z244" s="22"/>
      <c r="AA244" s="22"/>
      <c r="AB244" s="8"/>
      <c r="AC244" s="8" t="str">
        <f ca="1">IFERROR(__xludf.DUMMYFUNCTION("""COMPUTED_VALUE"""),"Lucent Pathfinder")</f>
        <v>Lucent Pathfinder</v>
      </c>
      <c r="AD244" s="24"/>
      <c r="AE244" s="24" t="str">
        <f t="shared" si="4"/>
        <v/>
      </c>
      <c r="AF244" s="22">
        <f t="shared" si="3"/>
        <v>1</v>
      </c>
      <c r="AG244" s="22">
        <f t="shared" ca="1" si="5"/>
        <v>1</v>
      </c>
      <c r="AH244" s="8"/>
      <c r="AI244" s="8"/>
    </row>
    <row r="245" spans="2:35" ht="15.75" customHeight="1" x14ac:dyDescent="0.25">
      <c r="B245" s="8"/>
      <c r="C245" s="8"/>
      <c r="D245" s="8"/>
      <c r="E245" s="5" t="s">
        <v>354</v>
      </c>
      <c r="F245" s="16">
        <v>86000</v>
      </c>
      <c r="G245" s="16">
        <v>51111</v>
      </c>
      <c r="H245" s="5" t="s">
        <v>26</v>
      </c>
      <c r="I245" s="5" t="s">
        <v>21</v>
      </c>
      <c r="J245" s="5">
        <v>352003070</v>
      </c>
      <c r="K245" s="5">
        <v>9944986</v>
      </c>
      <c r="L245" s="5" t="s">
        <v>355</v>
      </c>
      <c r="M245" s="17">
        <v>46133.5</v>
      </c>
      <c r="N245" s="18" t="b">
        <v>0</v>
      </c>
      <c r="O245" s="18"/>
      <c r="P245" s="5"/>
      <c r="Q245" s="8"/>
      <c r="R245" s="8"/>
      <c r="S245" s="8"/>
      <c r="T245" s="8"/>
      <c r="U245" s="8"/>
      <c r="V245" s="8"/>
      <c r="W245" s="8"/>
      <c r="X245" s="22"/>
      <c r="Y245" s="22"/>
      <c r="Z245" s="22"/>
      <c r="AA245" s="22"/>
      <c r="AB245" s="8"/>
      <c r="AC245" s="8" t="str">
        <f ca="1">IFERROR(__xludf.DUMMYFUNCTION("""COMPUTED_VALUE"""),"Lucina Providence")</f>
        <v>Lucina Providence</v>
      </c>
      <c r="AD245" s="24"/>
      <c r="AE245" s="24" t="str">
        <f t="shared" si="4"/>
        <v/>
      </c>
      <c r="AF245" s="22">
        <f t="shared" si="3"/>
        <v>1</v>
      </c>
      <c r="AG245" s="22">
        <f t="shared" ca="1" si="5"/>
        <v>1</v>
      </c>
      <c r="AH245" s="8"/>
      <c r="AI245" s="8"/>
    </row>
    <row r="246" spans="2:35" ht="15.75" customHeight="1" x14ac:dyDescent="0.25">
      <c r="B246" s="8"/>
      <c r="C246" s="8"/>
      <c r="D246" s="8"/>
      <c r="E246" s="5" t="s">
        <v>356</v>
      </c>
      <c r="F246" s="16">
        <v>84000</v>
      </c>
      <c r="G246" s="16">
        <v>54002</v>
      </c>
      <c r="H246" s="5" t="s">
        <v>20</v>
      </c>
      <c r="I246" s="5" t="s">
        <v>21</v>
      </c>
      <c r="J246" s="5">
        <v>373263000</v>
      </c>
      <c r="K246" s="5">
        <v>9902160</v>
      </c>
      <c r="L246" s="5" t="s">
        <v>317</v>
      </c>
      <c r="M246" s="17">
        <v>46136.958333333336</v>
      </c>
      <c r="N246" s="18" t="b">
        <v>1</v>
      </c>
      <c r="O246" s="18"/>
      <c r="P246" s="5"/>
      <c r="Q246" s="8"/>
      <c r="R246" s="8"/>
      <c r="S246" s="8"/>
      <c r="T246" s="8"/>
      <c r="U246" s="8"/>
      <c r="V246" s="8"/>
      <c r="W246" s="8"/>
      <c r="X246" s="22"/>
      <c r="Y246" s="22"/>
      <c r="Z246" s="22"/>
      <c r="AA246" s="22"/>
      <c r="AB246" s="8"/>
      <c r="AC246" s="8" t="str">
        <f ca="1">IFERROR(__xludf.DUMMYFUNCTION("""COMPUTED_VALUE"""),"Lucky Gas")</f>
        <v>Lucky Gas</v>
      </c>
      <c r="AD246" s="24"/>
      <c r="AE246" s="24" t="str">
        <f t="shared" si="4"/>
        <v/>
      </c>
      <c r="AF246" s="22">
        <f t="shared" si="3"/>
        <v>1</v>
      </c>
      <c r="AG246" s="22">
        <f t="shared" ca="1" si="5"/>
        <v>1</v>
      </c>
      <c r="AH246" s="8"/>
      <c r="AI246" s="8"/>
    </row>
    <row r="247" spans="2:35" ht="15.75" customHeight="1" x14ac:dyDescent="0.25">
      <c r="B247" s="8"/>
      <c r="C247" s="8"/>
      <c r="D247" s="8"/>
      <c r="E247" s="5" t="s">
        <v>357</v>
      </c>
      <c r="F247" s="16">
        <v>84000</v>
      </c>
      <c r="G247" s="16">
        <v>54238</v>
      </c>
      <c r="H247" s="5" t="s">
        <v>26</v>
      </c>
      <c r="I247" s="5" t="s">
        <v>21</v>
      </c>
      <c r="J247" s="5">
        <v>371720000</v>
      </c>
      <c r="K247" s="5">
        <v>9879703</v>
      </c>
      <c r="L247" s="5" t="s">
        <v>347</v>
      </c>
      <c r="M247" s="17">
        <v>46137.25</v>
      </c>
      <c r="N247" s="18" t="b">
        <v>0</v>
      </c>
      <c r="O247" s="18"/>
      <c r="P247" s="5"/>
      <c r="Q247" s="8"/>
      <c r="R247" s="8"/>
      <c r="S247" s="8"/>
      <c r="T247" s="8"/>
      <c r="U247" s="8"/>
      <c r="V247" s="8"/>
      <c r="W247" s="8"/>
      <c r="X247" s="22"/>
      <c r="Y247" s="22"/>
      <c r="Z247" s="22"/>
      <c r="AA247" s="22"/>
      <c r="AB247" s="8"/>
      <c r="AC247" s="8" t="str">
        <f ca="1">IFERROR(__xludf.DUMMYFUNCTION("""COMPUTED_VALUE"""),"Luna Pathfinder")</f>
        <v>Luna Pathfinder</v>
      </c>
      <c r="AD247" s="24"/>
      <c r="AE247" s="24" t="str">
        <f t="shared" si="4"/>
        <v/>
      </c>
      <c r="AF247" s="22">
        <f t="shared" si="3"/>
        <v>1</v>
      </c>
      <c r="AG247" s="22">
        <f t="shared" ca="1" si="5"/>
        <v>1</v>
      </c>
      <c r="AH247" s="8"/>
      <c r="AI247" s="8"/>
    </row>
    <row r="248" spans="2:35" ht="15.75" customHeight="1" x14ac:dyDescent="0.25">
      <c r="B248" s="8"/>
      <c r="C248" s="8"/>
      <c r="D248" s="8"/>
      <c r="E248" s="5" t="s">
        <v>358</v>
      </c>
      <c r="F248" s="16">
        <v>76893</v>
      </c>
      <c r="G248" s="16">
        <v>49880</v>
      </c>
      <c r="H248" s="5" t="s">
        <v>26</v>
      </c>
      <c r="I248" s="5" t="s">
        <v>21</v>
      </c>
      <c r="J248" s="5">
        <v>307086000</v>
      </c>
      <c r="K248" s="5">
        <v>9005065</v>
      </c>
      <c r="L248" s="5"/>
      <c r="M248" s="17"/>
      <c r="N248" s="18" t="b">
        <v>0</v>
      </c>
      <c r="O248" s="18"/>
      <c r="P248" s="5"/>
      <c r="Q248" s="8"/>
      <c r="R248" s="8"/>
      <c r="S248" s="8"/>
      <c r="T248" s="8"/>
      <c r="U248" s="8"/>
      <c r="V248" s="8"/>
      <c r="W248" s="8"/>
      <c r="X248" s="22"/>
      <c r="Y248" s="22"/>
      <c r="Z248" s="22"/>
      <c r="AA248" s="22"/>
      <c r="AB248" s="8"/>
      <c r="AC248" s="8" t="str">
        <f ca="1">IFERROR(__xludf.DUMMYFUNCTION("""COMPUTED_VALUE"""),"Lupinus Planet")</f>
        <v>Lupinus Planet</v>
      </c>
      <c r="AD248" s="24"/>
      <c r="AE248" s="24" t="str">
        <f t="shared" si="4"/>
        <v/>
      </c>
      <c r="AF248" s="22">
        <f t="shared" si="3"/>
        <v>1</v>
      </c>
      <c r="AG248" s="22" t="str">
        <f t="shared" ca="1" si="5"/>
        <v/>
      </c>
      <c r="AH248" s="8"/>
      <c r="AI248" s="8"/>
    </row>
    <row r="249" spans="2:35" ht="15.75" customHeight="1" x14ac:dyDescent="0.25">
      <c r="B249" s="8"/>
      <c r="C249" s="8"/>
      <c r="D249" s="8"/>
      <c r="E249" s="5" t="s">
        <v>359</v>
      </c>
      <c r="F249" s="16">
        <v>80793</v>
      </c>
      <c r="G249" s="16">
        <v>58811</v>
      </c>
      <c r="H249" s="5" t="s">
        <v>26</v>
      </c>
      <c r="I249" s="5" t="s">
        <v>21</v>
      </c>
      <c r="J249" s="5">
        <v>419002009</v>
      </c>
      <c r="K249" s="5">
        <v>9415698</v>
      </c>
      <c r="L249" s="5" t="s">
        <v>360</v>
      </c>
      <c r="M249" s="17">
        <v>46134.493055555555</v>
      </c>
      <c r="N249" s="18" t="b">
        <v>0</v>
      </c>
      <c r="O249" s="18"/>
      <c r="P249" s="5"/>
      <c r="Q249" s="8"/>
      <c r="R249" s="8"/>
      <c r="S249" s="8"/>
      <c r="T249" s="8"/>
      <c r="U249" s="8"/>
      <c r="V249" s="8"/>
      <c r="W249" s="8"/>
      <c r="X249" s="22"/>
      <c r="Y249" s="22"/>
      <c r="Z249" s="22"/>
      <c r="AA249" s="22"/>
      <c r="AB249" s="8"/>
      <c r="AC249" s="8" t="str">
        <f ca="1">IFERROR(__xludf.DUMMYFUNCTION("""COMPUTED_VALUE"""),"Lycaste Peace")</f>
        <v>Lycaste Peace</v>
      </c>
      <c r="AD249" s="24"/>
      <c r="AE249" s="24" t="str">
        <f t="shared" si="4"/>
        <v/>
      </c>
      <c r="AF249" s="22">
        <f t="shared" si="3"/>
        <v>1</v>
      </c>
      <c r="AG249" s="22" t="str">
        <f t="shared" ca="1" si="5"/>
        <v/>
      </c>
      <c r="AH249" s="8"/>
      <c r="AI249" s="8"/>
    </row>
    <row r="250" spans="2:35" ht="15.75" customHeight="1" x14ac:dyDescent="0.25">
      <c r="B250" s="8"/>
      <c r="C250" s="8"/>
      <c r="D250" s="8"/>
      <c r="E250" s="5" t="s">
        <v>361</v>
      </c>
      <c r="F250" s="16">
        <v>80781</v>
      </c>
      <c r="G250" s="16">
        <v>58811</v>
      </c>
      <c r="H250" s="5" t="s">
        <v>26</v>
      </c>
      <c r="I250" s="5" t="s">
        <v>21</v>
      </c>
      <c r="J250" s="5">
        <v>419001979</v>
      </c>
      <c r="K250" s="5">
        <v>9415686</v>
      </c>
      <c r="L250" s="5" t="s">
        <v>362</v>
      </c>
      <c r="M250" s="17">
        <v>46133.875</v>
      </c>
      <c r="N250" s="18" t="b">
        <v>0</v>
      </c>
      <c r="O250" s="18"/>
      <c r="P250" s="5"/>
      <c r="Q250" s="8"/>
      <c r="R250" s="8"/>
      <c r="S250" s="8"/>
      <c r="T250" s="8"/>
      <c r="U250" s="8"/>
      <c r="V250" s="8"/>
      <c r="W250" s="8"/>
      <c r="X250" s="22"/>
      <c r="Y250" s="22"/>
      <c r="Z250" s="22"/>
      <c r="AA250" s="22"/>
      <c r="AB250" s="8"/>
      <c r="AC250" s="8" t="str">
        <f ca="1">IFERROR(__xludf.DUMMYFUNCTION("""COMPUTED_VALUE"""),"Madam Xian")</f>
        <v>Madam Xian</v>
      </c>
      <c r="AD250" s="24"/>
      <c r="AE250" s="24" t="str">
        <f t="shared" si="4"/>
        <v/>
      </c>
      <c r="AF250" s="22">
        <f t="shared" si="3"/>
        <v>1</v>
      </c>
      <c r="AG250" s="22" t="str">
        <f t="shared" ca="1" si="5"/>
        <v/>
      </c>
      <c r="AH250" s="8"/>
      <c r="AI250" s="8"/>
    </row>
    <row r="251" spans="2:35" ht="15.75" customHeight="1" x14ac:dyDescent="0.25">
      <c r="B251" s="8"/>
      <c r="C251" s="8"/>
      <c r="D251" s="8"/>
      <c r="E251" s="5" t="s">
        <v>363</v>
      </c>
      <c r="F251" s="16">
        <v>82000</v>
      </c>
      <c r="G251" s="16">
        <v>58690</v>
      </c>
      <c r="H251" s="5" t="s">
        <v>26</v>
      </c>
      <c r="I251" s="5" t="s">
        <v>21</v>
      </c>
      <c r="J251" s="5">
        <v>419001701</v>
      </c>
      <c r="K251" s="5">
        <v>9351919</v>
      </c>
      <c r="L251" s="5"/>
      <c r="M251" s="33"/>
      <c r="N251" s="18" t="b">
        <v>0</v>
      </c>
      <c r="O251" s="18"/>
      <c r="P251" s="5"/>
      <c r="Q251" s="8"/>
      <c r="R251" s="8"/>
      <c r="S251" s="8"/>
      <c r="T251" s="8"/>
      <c r="U251" s="8"/>
      <c r="V251" s="8"/>
      <c r="W251" s="8"/>
      <c r="X251" s="22"/>
      <c r="Y251" s="22"/>
      <c r="Z251" s="22"/>
      <c r="AA251" s="22"/>
      <c r="AB251" s="8"/>
      <c r="AC251" s="8" t="str">
        <f ca="1">IFERROR(__xludf.DUMMYFUNCTION("""COMPUTED_VALUE"""),"Mado")</f>
        <v>Mado</v>
      </c>
      <c r="AD251" s="24"/>
      <c r="AE251" s="24" t="str">
        <f t="shared" si="4"/>
        <v/>
      </c>
      <c r="AF251" s="22">
        <f t="shared" si="3"/>
        <v>1</v>
      </c>
      <c r="AG251" s="22" t="str">
        <f t="shared" ca="1" si="5"/>
        <v/>
      </c>
      <c r="AH251" s="8"/>
      <c r="AI251" s="8"/>
    </row>
    <row r="252" spans="2:35" ht="15.75" customHeight="1" x14ac:dyDescent="0.25">
      <c r="B252" s="8"/>
      <c r="C252" s="8"/>
      <c r="D252" s="8"/>
      <c r="E252" s="5" t="s">
        <v>364</v>
      </c>
      <c r="F252" s="16">
        <v>80783</v>
      </c>
      <c r="G252" s="16">
        <v>58811</v>
      </c>
      <c r="H252" s="5" t="s">
        <v>26</v>
      </c>
      <c r="I252" s="5" t="s">
        <v>21</v>
      </c>
      <c r="J252" s="5">
        <v>419002026</v>
      </c>
      <c r="K252" s="5">
        <v>9415703</v>
      </c>
      <c r="L252" s="5"/>
      <c r="M252" s="33"/>
      <c r="N252" s="18" t="b">
        <v>0</v>
      </c>
      <c r="O252" s="18"/>
      <c r="P252" s="5"/>
      <c r="Q252" s="8"/>
      <c r="R252" s="8"/>
      <c r="S252" s="8"/>
      <c r="T252" s="8"/>
      <c r="U252" s="8"/>
      <c r="V252" s="8"/>
      <c r="W252" s="8"/>
      <c r="X252" s="22"/>
      <c r="Y252" s="22"/>
      <c r="Z252" s="22"/>
      <c r="AA252" s="22"/>
      <c r="AB252" s="8"/>
      <c r="AC252" s="8" t="str">
        <f ca="1">IFERROR(__xludf.DUMMYFUNCTION("""COMPUTED_VALUE"""),"Maoming Pan")</f>
        <v>Maoming Pan</v>
      </c>
      <c r="AD252" s="24"/>
      <c r="AE252" s="24" t="str">
        <f t="shared" si="4"/>
        <v/>
      </c>
      <c r="AF252" s="22">
        <f t="shared" si="3"/>
        <v>1</v>
      </c>
      <c r="AG252" s="22" t="str">
        <f t="shared" ca="1" si="5"/>
        <v/>
      </c>
      <c r="AH252" s="8"/>
      <c r="AI252" s="8"/>
    </row>
    <row r="253" spans="2:35" ht="15.75" customHeight="1" x14ac:dyDescent="0.25">
      <c r="B253" s="8"/>
      <c r="C253" s="8"/>
      <c r="D253" s="8"/>
      <c r="E253" s="5" t="s">
        <v>365</v>
      </c>
      <c r="F253" s="16">
        <v>82383</v>
      </c>
      <c r="G253" s="16">
        <v>54368</v>
      </c>
      <c r="H253" s="5" t="s">
        <v>26</v>
      </c>
      <c r="I253" s="5" t="s">
        <v>21</v>
      </c>
      <c r="J253" s="5">
        <v>538011959</v>
      </c>
      <c r="K253" s="5">
        <v>9353242</v>
      </c>
      <c r="L253" s="5"/>
      <c r="M253" s="17"/>
      <c r="N253" s="18" t="b">
        <v>0</v>
      </c>
      <c r="O253" s="18"/>
      <c r="P253" s="5"/>
      <c r="Q253" s="8"/>
      <c r="R253" s="8"/>
      <c r="S253" s="8"/>
      <c r="T253" s="8"/>
      <c r="U253" s="8"/>
      <c r="V253" s="8"/>
      <c r="W253" s="8"/>
      <c r="X253" s="22"/>
      <c r="Y253" s="22"/>
      <c r="Z253" s="22"/>
      <c r="AA253" s="22"/>
      <c r="AB253" s="8"/>
      <c r="AC253" s="8" t="str">
        <f ca="1">IFERROR(__xludf.DUMMYFUNCTION("""COMPUTED_VALUE"""),"Maple Gas")</f>
        <v>Maple Gas</v>
      </c>
      <c r="AD253" s="24"/>
      <c r="AE253" s="24" t="str">
        <f t="shared" si="4"/>
        <v/>
      </c>
      <c r="AF253" s="22">
        <f t="shared" si="3"/>
        <v>1</v>
      </c>
      <c r="AG253" s="22">
        <f t="shared" ca="1" si="5"/>
        <v>1</v>
      </c>
      <c r="AH253" s="8"/>
      <c r="AI253" s="8"/>
    </row>
    <row r="254" spans="2:35" ht="15.75" customHeight="1" x14ac:dyDescent="0.25">
      <c r="B254" s="8"/>
      <c r="C254" s="8"/>
      <c r="D254" s="8"/>
      <c r="E254" s="5" t="s">
        <v>366</v>
      </c>
      <c r="F254" s="16">
        <v>86000</v>
      </c>
      <c r="G254" s="16">
        <v>51269</v>
      </c>
      <c r="H254" s="5" t="s">
        <v>20</v>
      </c>
      <c r="I254" s="5" t="s">
        <v>21</v>
      </c>
      <c r="J254" s="5">
        <v>636022275</v>
      </c>
      <c r="K254" s="5">
        <v>9941219</v>
      </c>
      <c r="L254" s="5" t="s">
        <v>73</v>
      </c>
      <c r="M254" s="17">
        <v>46136.5</v>
      </c>
      <c r="N254" s="18" t="b">
        <v>1</v>
      </c>
      <c r="O254" s="18"/>
      <c r="P254" s="5"/>
      <c r="Q254" s="8"/>
      <c r="R254" s="8"/>
      <c r="S254" s="8"/>
      <c r="T254" s="8"/>
      <c r="U254" s="8"/>
      <c r="V254" s="8"/>
      <c r="W254" s="8"/>
      <c r="X254" s="22"/>
      <c r="Y254" s="22"/>
      <c r="Z254" s="22"/>
      <c r="AA254" s="22"/>
      <c r="AB254" s="8"/>
      <c r="AC254" s="8" t="str">
        <f ca="1">IFERROR(__xludf.DUMMYFUNCTION("""COMPUTED_VALUE"""),"Matterhorn Explorer")</f>
        <v>Matterhorn Explorer</v>
      </c>
      <c r="AD254" s="24"/>
      <c r="AE254" s="24" t="str">
        <f t="shared" si="4"/>
        <v/>
      </c>
      <c r="AF254" s="22">
        <f t="shared" si="3"/>
        <v>1</v>
      </c>
      <c r="AG254" s="22">
        <f t="shared" ca="1" si="5"/>
        <v>1</v>
      </c>
      <c r="AH254" s="8"/>
      <c r="AI254" s="8"/>
    </row>
    <row r="255" spans="2:35" ht="15.75" customHeight="1" x14ac:dyDescent="0.25">
      <c r="B255" s="8"/>
      <c r="C255" s="8"/>
      <c r="D255" s="8"/>
      <c r="E255" s="5" t="s">
        <v>367</v>
      </c>
      <c r="F255" s="16">
        <v>93000</v>
      </c>
      <c r="G255" s="16">
        <v>60000</v>
      </c>
      <c r="H255" s="5" t="s">
        <v>20</v>
      </c>
      <c r="I255" s="5" t="s">
        <v>21</v>
      </c>
      <c r="J255" s="5">
        <v>563207900</v>
      </c>
      <c r="K255" s="5">
        <v>9933523</v>
      </c>
      <c r="L255" s="5" t="s">
        <v>85</v>
      </c>
      <c r="M255" s="17">
        <v>46158.625</v>
      </c>
      <c r="N255" s="18" t="b">
        <v>1</v>
      </c>
      <c r="O255" s="18"/>
      <c r="P255" s="5"/>
      <c r="Q255" s="8"/>
      <c r="R255" s="8"/>
      <c r="S255" s="8"/>
      <c r="T255" s="8"/>
      <c r="U255" s="8"/>
      <c r="V255" s="8"/>
      <c r="W255" s="8"/>
      <c r="X255" s="22"/>
      <c r="Y255" s="22"/>
      <c r="Z255" s="22"/>
      <c r="AA255" s="22"/>
      <c r="AB255" s="8"/>
      <c r="AC255" s="8" t="str">
        <f ca="1">IFERROR(__xludf.DUMMYFUNCTION("""COMPUTED_VALUE"""),"Megrez")</f>
        <v>Megrez</v>
      </c>
      <c r="AD255" s="24"/>
      <c r="AE255" s="24" t="str">
        <f t="shared" si="4"/>
        <v/>
      </c>
      <c r="AF255" s="22">
        <f t="shared" si="3"/>
        <v>1</v>
      </c>
      <c r="AG255" s="22">
        <f t="shared" ca="1" si="5"/>
        <v>1</v>
      </c>
      <c r="AH255" s="8"/>
      <c r="AI255" s="8"/>
    </row>
    <row r="256" spans="2:35" ht="15.75" customHeight="1" x14ac:dyDescent="0.25">
      <c r="B256" s="8"/>
      <c r="C256" s="8"/>
      <c r="D256" s="8"/>
      <c r="E256" s="5" t="s">
        <v>368</v>
      </c>
      <c r="F256" s="16">
        <v>86240</v>
      </c>
      <c r="G256" s="16">
        <v>62500</v>
      </c>
      <c r="H256" s="5" t="s">
        <v>53</v>
      </c>
      <c r="I256" s="741" t="s">
        <v>54</v>
      </c>
      <c r="J256" s="742"/>
      <c r="K256" s="5">
        <v>1099163</v>
      </c>
      <c r="L256" s="5"/>
      <c r="M256" s="17"/>
      <c r="N256" s="18" t="b">
        <v>0</v>
      </c>
      <c r="O256" s="18"/>
      <c r="P256" s="5"/>
      <c r="Q256" s="8"/>
      <c r="R256" s="8"/>
      <c r="S256" s="8"/>
      <c r="T256" s="8"/>
      <c r="U256" s="8"/>
      <c r="V256" s="8"/>
      <c r="W256" s="8"/>
      <c r="X256" s="22"/>
      <c r="Y256" s="22"/>
      <c r="Z256" s="22"/>
      <c r="AA256" s="22"/>
      <c r="AB256" s="8"/>
      <c r="AC256" s="8" t="str">
        <f ca="1">IFERROR(__xludf.DUMMYFUNCTION("""COMPUTED_VALUE"""),"Merak")</f>
        <v>Merak</v>
      </c>
      <c r="AD256" s="24"/>
      <c r="AE256" s="24" t="str">
        <f t="shared" si="4"/>
        <v/>
      </c>
      <c r="AF256" s="22">
        <f t="shared" si="3"/>
        <v>1</v>
      </c>
      <c r="AG256" s="22" t="str">
        <f t="shared" ca="1" si="5"/>
        <v/>
      </c>
      <c r="AH256" s="8"/>
      <c r="AI256" s="8"/>
    </row>
    <row r="257" spans="2:35" ht="15.75" customHeight="1" x14ac:dyDescent="0.25">
      <c r="B257" s="8"/>
      <c r="C257" s="8"/>
      <c r="D257" s="8"/>
      <c r="E257" s="5" t="s">
        <v>368</v>
      </c>
      <c r="F257" s="16">
        <v>86240</v>
      </c>
      <c r="G257" s="16">
        <v>62500</v>
      </c>
      <c r="H257" s="5" t="s">
        <v>53</v>
      </c>
      <c r="I257" s="741" t="s">
        <v>54</v>
      </c>
      <c r="J257" s="742"/>
      <c r="K257" s="5">
        <v>1099175</v>
      </c>
      <c r="L257" s="5"/>
      <c r="M257" s="17"/>
      <c r="N257" s="18" t="b">
        <v>0</v>
      </c>
      <c r="O257" s="18"/>
      <c r="P257" s="5"/>
      <c r="Q257" s="8"/>
      <c r="R257" s="8"/>
      <c r="S257" s="8"/>
      <c r="T257" s="8"/>
      <c r="U257" s="8"/>
      <c r="V257" s="8"/>
      <c r="W257" s="8"/>
      <c r="X257" s="22"/>
      <c r="Y257" s="22"/>
      <c r="Z257" s="22"/>
      <c r="AA257" s="22"/>
      <c r="AB257" s="8"/>
      <c r="AC257" s="8" t="str">
        <f ca="1">IFERROR(__xludf.DUMMYFUNCTION("""COMPUTED_VALUE"""),"Mercator")</f>
        <v>Mercator</v>
      </c>
      <c r="AD257" s="24"/>
      <c r="AE257" s="24" t="str">
        <f t="shared" si="4"/>
        <v/>
      </c>
      <c r="AF257" s="22">
        <f t="shared" si="3"/>
        <v>1</v>
      </c>
      <c r="AG257" s="22" t="str">
        <f t="shared" ca="1" si="5"/>
        <v/>
      </c>
      <c r="AH257" s="8"/>
      <c r="AI257" s="8"/>
    </row>
    <row r="258" spans="2:35" ht="15.75" customHeight="1" x14ac:dyDescent="0.25">
      <c r="B258" s="8"/>
      <c r="C258" s="8"/>
      <c r="D258" s="8"/>
      <c r="E258" s="5" t="s">
        <v>369</v>
      </c>
      <c r="F258" s="16">
        <v>93000</v>
      </c>
      <c r="G258" s="16">
        <v>61000</v>
      </c>
      <c r="H258" s="5" t="s">
        <v>53</v>
      </c>
      <c r="I258" s="741" t="s">
        <v>54</v>
      </c>
      <c r="J258" s="742"/>
      <c r="K258" s="5">
        <v>1050583</v>
      </c>
      <c r="L258" s="5"/>
      <c r="M258" s="17"/>
      <c r="N258" s="18" t="b">
        <v>0</v>
      </c>
      <c r="O258" s="18"/>
      <c r="P258" s="5"/>
      <c r="Q258" s="8"/>
      <c r="R258" s="8"/>
      <c r="S258" s="8"/>
      <c r="T258" s="8"/>
      <c r="U258" s="8"/>
      <c r="V258" s="8"/>
      <c r="W258" s="8"/>
      <c r="X258" s="22"/>
      <c r="Y258" s="22"/>
      <c r="Z258" s="22"/>
      <c r="AA258" s="22"/>
      <c r="AB258" s="8"/>
      <c r="AC258" s="8" t="str">
        <f ca="1">IFERROR(__xludf.DUMMYFUNCTION("""COMPUTED_VALUE"""),"Mizar")</f>
        <v>Mizar</v>
      </c>
      <c r="AD258" s="24"/>
      <c r="AE258" s="24" t="str">
        <f t="shared" si="4"/>
        <v/>
      </c>
      <c r="AF258" s="22">
        <f t="shared" si="3"/>
        <v>1</v>
      </c>
      <c r="AG258" s="22" t="str">
        <f t="shared" ca="1" si="5"/>
        <v/>
      </c>
      <c r="AH258" s="8"/>
      <c r="AI258" s="8"/>
    </row>
    <row r="259" spans="2:35" ht="15.75" customHeight="1" x14ac:dyDescent="0.25">
      <c r="B259" s="8"/>
      <c r="C259" s="8"/>
      <c r="D259" s="8"/>
      <c r="E259" s="5" t="s">
        <v>370</v>
      </c>
      <c r="F259" s="16">
        <v>90000</v>
      </c>
      <c r="G259" s="16">
        <v>60000</v>
      </c>
      <c r="H259" s="5" t="s">
        <v>20</v>
      </c>
      <c r="I259" s="5" t="s">
        <v>21</v>
      </c>
      <c r="J259" s="5">
        <v>563181500</v>
      </c>
      <c r="K259" s="5">
        <v>9922768</v>
      </c>
      <c r="L259" s="5" t="s">
        <v>371</v>
      </c>
      <c r="M259" s="17">
        <v>46132.5</v>
      </c>
      <c r="N259" s="18" t="b">
        <v>1</v>
      </c>
      <c r="O259" s="18"/>
      <c r="P259" s="5"/>
      <c r="Q259" s="8"/>
      <c r="R259" s="8"/>
      <c r="S259" s="8"/>
      <c r="T259" s="8"/>
      <c r="U259" s="8"/>
      <c r="V259" s="8"/>
      <c r="W259" s="8"/>
      <c r="X259" s="22"/>
      <c r="Y259" s="22"/>
      <c r="Z259" s="22"/>
      <c r="AA259" s="22"/>
      <c r="AB259" s="8"/>
      <c r="AC259" s="8" t="str">
        <f ca="1">IFERROR(__xludf.DUMMYFUNCTION("""COMPUTED_VALUE"""),"Monza L")</f>
        <v>Monza L</v>
      </c>
      <c r="AD259" s="24"/>
      <c r="AE259" s="24" t="str">
        <f t="shared" si="4"/>
        <v/>
      </c>
      <c r="AF259" s="22">
        <f t="shared" si="3"/>
        <v>1</v>
      </c>
      <c r="AG259" s="22">
        <f t="shared" ca="1" si="5"/>
        <v>1</v>
      </c>
      <c r="AH259" s="8"/>
      <c r="AI259" s="8"/>
    </row>
    <row r="260" spans="2:35" ht="15.75" customHeight="1" x14ac:dyDescent="0.25">
      <c r="B260" s="8"/>
      <c r="C260" s="8"/>
      <c r="D260" s="8"/>
      <c r="E260" s="5" t="s">
        <v>372</v>
      </c>
      <c r="F260" s="16">
        <v>93000</v>
      </c>
      <c r="G260" s="16">
        <v>58000</v>
      </c>
      <c r="H260" s="5" t="s">
        <v>53</v>
      </c>
      <c r="I260" s="741" t="s">
        <v>54</v>
      </c>
      <c r="J260" s="742"/>
      <c r="K260" s="5">
        <v>1075806</v>
      </c>
      <c r="L260" s="5"/>
      <c r="M260" s="17"/>
      <c r="N260" s="18" t="b">
        <v>0</v>
      </c>
      <c r="O260" s="18"/>
      <c r="P260" s="5"/>
      <c r="Q260" s="8"/>
      <c r="R260" s="8"/>
      <c r="S260" s="8"/>
      <c r="T260" s="8"/>
      <c r="U260" s="8"/>
      <c r="V260" s="8"/>
      <c r="W260" s="8"/>
      <c r="X260" s="22"/>
      <c r="Y260" s="22"/>
      <c r="Z260" s="22"/>
      <c r="AA260" s="22"/>
      <c r="AB260" s="8"/>
      <c r="AC260" s="8" t="str">
        <f ca="1">IFERROR(__xludf.DUMMYFUNCTION("""COMPUTED_VALUE"""),"Musanah")</f>
        <v>Musanah</v>
      </c>
      <c r="AD260" s="24"/>
      <c r="AE260" s="24" t="str">
        <f t="shared" si="4"/>
        <v/>
      </c>
      <c r="AF260" s="22">
        <f t="shared" si="3"/>
        <v>1</v>
      </c>
      <c r="AG260" s="22" t="str">
        <f t="shared" ca="1" si="5"/>
        <v/>
      </c>
      <c r="AH260" s="8"/>
      <c r="AI260" s="8"/>
    </row>
    <row r="261" spans="2:35" ht="15.75" customHeight="1" x14ac:dyDescent="0.25">
      <c r="B261" s="8"/>
      <c r="C261" s="8"/>
      <c r="D261" s="8"/>
      <c r="E261" s="5" t="s">
        <v>373</v>
      </c>
      <c r="F261" s="16">
        <v>93000</v>
      </c>
      <c r="G261" s="16">
        <v>58000</v>
      </c>
      <c r="H261" s="5" t="s">
        <v>53</v>
      </c>
      <c r="I261" s="741" t="s">
        <v>54</v>
      </c>
      <c r="J261" s="742"/>
      <c r="K261" s="5">
        <v>1075818</v>
      </c>
      <c r="L261" s="5"/>
      <c r="M261" s="17"/>
      <c r="N261" s="18" t="b">
        <v>0</v>
      </c>
      <c r="O261" s="18"/>
      <c r="P261" s="5"/>
      <c r="Q261" s="8"/>
      <c r="R261" s="8"/>
      <c r="S261" s="8"/>
      <c r="T261" s="8"/>
      <c r="U261" s="8"/>
      <c r="V261" s="8"/>
      <c r="W261" s="8"/>
      <c r="X261" s="22"/>
      <c r="Y261" s="22"/>
      <c r="Z261" s="22"/>
      <c r="AA261" s="22"/>
      <c r="AB261" s="8"/>
      <c r="AC261" s="8" t="str">
        <f ca="1">IFERROR(__xludf.DUMMYFUNCTION("""COMPUTED_VALUE"""),"Nadeshiko Gas")</f>
        <v>Nadeshiko Gas</v>
      </c>
      <c r="AD261" s="24"/>
      <c r="AE261" s="24" t="str">
        <f t="shared" si="4"/>
        <v/>
      </c>
      <c r="AF261" s="22">
        <f t="shared" si="3"/>
        <v>1</v>
      </c>
      <c r="AG261" s="22" t="str">
        <f t="shared" ca="1" si="5"/>
        <v/>
      </c>
      <c r="AH261" s="8"/>
      <c r="AI261" s="8"/>
    </row>
    <row r="262" spans="2:35" ht="15.75" customHeight="1" x14ac:dyDescent="0.25">
      <c r="B262" s="8"/>
      <c r="C262" s="8"/>
      <c r="D262" s="8"/>
      <c r="E262" s="5" t="s">
        <v>374</v>
      </c>
      <c r="F262" s="16">
        <v>87000</v>
      </c>
      <c r="G262" s="16">
        <v>55885</v>
      </c>
      <c r="H262" s="5" t="s">
        <v>26</v>
      </c>
      <c r="I262" s="5" t="s">
        <v>21</v>
      </c>
      <c r="J262" s="5">
        <v>538011340</v>
      </c>
      <c r="K262" s="5">
        <v>9989649</v>
      </c>
      <c r="L262" s="5" t="s">
        <v>38</v>
      </c>
      <c r="M262" s="17">
        <v>46136.209027777775</v>
      </c>
      <c r="N262" s="18" t="b">
        <v>0</v>
      </c>
      <c r="O262" s="18"/>
      <c r="P262" s="5"/>
      <c r="Q262" s="8"/>
      <c r="R262" s="8"/>
      <c r="S262" s="8"/>
      <c r="T262" s="8"/>
      <c r="U262" s="8"/>
      <c r="V262" s="8"/>
      <c r="W262" s="8"/>
      <c r="X262" s="22"/>
      <c r="Y262" s="22"/>
      <c r="Z262" s="22"/>
      <c r="AA262" s="22"/>
      <c r="AB262" s="8"/>
      <c r="AC262" s="8" t="str">
        <f ca="1">IFERROR(__xludf.DUMMYFUNCTION("""COMPUTED_VALUE"""),"Navigare Gaia")</f>
        <v>Navigare Gaia</v>
      </c>
      <c r="AD262" s="24"/>
      <c r="AE262" s="24" t="str">
        <f t="shared" si="4"/>
        <v/>
      </c>
      <c r="AF262" s="22">
        <f t="shared" si="3"/>
        <v>1</v>
      </c>
      <c r="AG262" s="22">
        <f t="shared" ca="1" si="5"/>
        <v>1</v>
      </c>
      <c r="AH262" s="8"/>
      <c r="AI262" s="8"/>
    </row>
    <row r="263" spans="2:35" ht="15.75" customHeight="1" x14ac:dyDescent="0.25">
      <c r="B263" s="8"/>
      <c r="C263" s="8"/>
      <c r="D263" s="8"/>
      <c r="E263" s="5" t="s">
        <v>375</v>
      </c>
      <c r="F263" s="16">
        <v>80000</v>
      </c>
      <c r="G263" s="16">
        <v>51116</v>
      </c>
      <c r="H263" s="5" t="s">
        <v>26</v>
      </c>
      <c r="I263" s="5" t="s">
        <v>21</v>
      </c>
      <c r="J263" s="5">
        <v>538008424</v>
      </c>
      <c r="K263" s="5">
        <v>9869241</v>
      </c>
      <c r="L263" s="5"/>
      <c r="M263" s="17"/>
      <c r="N263" s="18" t="b">
        <v>0</v>
      </c>
      <c r="O263" s="18"/>
      <c r="P263" s="5"/>
      <c r="Q263" s="8"/>
      <c r="R263" s="8"/>
      <c r="S263" s="8"/>
      <c r="T263" s="8"/>
      <c r="U263" s="8"/>
      <c r="V263" s="8"/>
      <c r="W263" s="8"/>
      <c r="X263" s="22"/>
      <c r="Y263" s="22"/>
      <c r="Z263" s="22"/>
      <c r="AA263" s="22"/>
      <c r="AB263" s="8"/>
      <c r="AC263" s="8" t="str">
        <f ca="1">IFERROR(__xludf.DUMMYFUNCTION("""COMPUTED_VALUE"""),"Nile River")</f>
        <v>Nile River</v>
      </c>
      <c r="AD263" s="24"/>
      <c r="AE263" s="24" t="str">
        <f t="shared" si="4"/>
        <v/>
      </c>
      <c r="AF263" s="22">
        <f t="shared" si="3"/>
        <v>1</v>
      </c>
      <c r="AG263" s="22">
        <f t="shared" ca="1" si="5"/>
        <v>1</v>
      </c>
      <c r="AH263" s="8"/>
      <c r="AI263" s="8"/>
    </row>
    <row r="264" spans="2:35" ht="15.75" customHeight="1" x14ac:dyDescent="0.25">
      <c r="B264" s="8"/>
      <c r="C264" s="8"/>
      <c r="D264" s="8"/>
      <c r="E264" s="5" t="s">
        <v>376</v>
      </c>
      <c r="F264" s="16">
        <v>84000</v>
      </c>
      <c r="G264" s="16">
        <v>54376</v>
      </c>
      <c r="H264" s="5" t="s">
        <v>26</v>
      </c>
      <c r="I264" s="5" t="s">
        <v>21</v>
      </c>
      <c r="J264" s="5">
        <v>256742000</v>
      </c>
      <c r="K264" s="5">
        <v>9732503</v>
      </c>
      <c r="L264" s="5" t="s">
        <v>289</v>
      </c>
      <c r="M264" s="17">
        <v>46132.75</v>
      </c>
      <c r="N264" s="18" t="b">
        <v>0</v>
      </c>
      <c r="O264" s="18"/>
      <c r="P264" s="5"/>
      <c r="Q264" s="8"/>
      <c r="R264" s="8"/>
      <c r="S264" s="8"/>
      <c r="T264" s="8"/>
      <c r="U264" s="8"/>
      <c r="V264" s="8"/>
      <c r="W264" s="8"/>
      <c r="X264" s="22"/>
      <c r="Y264" s="22"/>
      <c r="Z264" s="22"/>
      <c r="AA264" s="22"/>
      <c r="AB264" s="8"/>
      <c r="AC264" s="8" t="str">
        <f ca="1">IFERROR(__xludf.DUMMYFUNCTION("""COMPUTED_VALUE"""),"Nirvana Explorer")</f>
        <v>Nirvana Explorer</v>
      </c>
      <c r="AD264" s="24"/>
      <c r="AE264" s="24" t="str">
        <f t="shared" si="4"/>
        <v/>
      </c>
      <c r="AF264" s="22">
        <f t="shared" si="3"/>
        <v>1</v>
      </c>
      <c r="AG264" s="22">
        <f t="shared" ca="1" si="5"/>
        <v>1</v>
      </c>
      <c r="AH264" s="8"/>
      <c r="AI264" s="8"/>
    </row>
    <row r="265" spans="2:35" ht="15.75" customHeight="1" x14ac:dyDescent="0.25">
      <c r="B265" s="8"/>
      <c r="C265" s="8"/>
      <c r="D265" s="8"/>
      <c r="E265" s="5" t="s">
        <v>377</v>
      </c>
      <c r="F265" s="16">
        <v>80705</v>
      </c>
      <c r="G265" s="16">
        <v>54409</v>
      </c>
      <c r="H265" s="5" t="s">
        <v>26</v>
      </c>
      <c r="I265" s="5" t="s">
        <v>21</v>
      </c>
      <c r="J265" s="5">
        <v>256734000</v>
      </c>
      <c r="K265" s="5">
        <v>9721138</v>
      </c>
      <c r="L265" s="5" t="s">
        <v>378</v>
      </c>
      <c r="M265" s="17">
        <v>46153.958333333336</v>
      </c>
      <c r="N265" s="18" t="b">
        <v>0</v>
      </c>
      <c r="O265" s="18"/>
      <c r="P265" s="5"/>
      <c r="Q265" s="8"/>
      <c r="R265" s="8"/>
      <c r="S265" s="8"/>
      <c r="T265" s="8"/>
      <c r="U265" s="8"/>
      <c r="V265" s="8"/>
      <c r="W265" s="8"/>
      <c r="X265" s="22"/>
      <c r="Y265" s="22"/>
      <c r="Z265" s="22"/>
      <c r="AA265" s="22"/>
      <c r="AB265" s="8"/>
      <c r="AC265" s="8" t="str">
        <f ca="1">IFERROR(__xludf.DUMMYFUNCTION("""COMPUTED_VALUE"""),"North Gas")</f>
        <v>North Gas</v>
      </c>
      <c r="AD265" s="24"/>
      <c r="AE265" s="24" t="str">
        <f t="shared" si="4"/>
        <v/>
      </c>
      <c r="AF265" s="22">
        <f t="shared" si="3"/>
        <v>1</v>
      </c>
      <c r="AG265" s="22">
        <f t="shared" ca="1" si="5"/>
        <v>1</v>
      </c>
      <c r="AH265" s="8"/>
      <c r="AI265" s="8"/>
    </row>
    <row r="266" spans="2:35" ht="15.75" customHeight="1" x14ac:dyDescent="0.25">
      <c r="B266" s="8"/>
      <c r="C266" s="8"/>
      <c r="D266" s="8"/>
      <c r="E266" s="5" t="s">
        <v>379</v>
      </c>
      <c r="F266" s="16">
        <v>84000</v>
      </c>
      <c r="G266" s="16">
        <v>54361</v>
      </c>
      <c r="H266" s="5" t="s">
        <v>26</v>
      </c>
      <c r="I266" s="5" t="s">
        <v>21</v>
      </c>
      <c r="J266" s="5">
        <v>256732000</v>
      </c>
      <c r="K266" s="5">
        <v>9721140</v>
      </c>
      <c r="L266" s="5" t="s">
        <v>43</v>
      </c>
      <c r="M266" s="17">
        <v>46132.5</v>
      </c>
      <c r="N266" s="18" t="b">
        <v>0</v>
      </c>
      <c r="O266" s="18"/>
      <c r="P266" s="5"/>
      <c r="Q266" s="8"/>
      <c r="R266" s="8"/>
      <c r="S266" s="8"/>
      <c r="T266" s="8"/>
      <c r="U266" s="8"/>
      <c r="V266" s="8"/>
      <c r="W266" s="8"/>
      <c r="X266" s="22"/>
      <c r="Y266" s="22"/>
      <c r="Z266" s="22"/>
      <c r="AA266" s="22"/>
      <c r="AB266" s="8"/>
      <c r="AC266" s="8" t="str">
        <f ca="1">IFERROR(__xludf.DUMMYFUNCTION("""COMPUTED_VALUE"""),"Ns Dream")</f>
        <v>Ns Dream</v>
      </c>
      <c r="AD266" s="24"/>
      <c r="AE266" s="24" t="str">
        <f t="shared" si="4"/>
        <v/>
      </c>
      <c r="AF266" s="22">
        <f t="shared" si="3"/>
        <v>1</v>
      </c>
      <c r="AG266" s="22">
        <f t="shared" ca="1" si="5"/>
        <v>1</v>
      </c>
      <c r="AH266" s="8"/>
      <c r="AI266" s="8"/>
    </row>
    <row r="267" spans="2:35" ht="15.75" customHeight="1" x14ac:dyDescent="0.25">
      <c r="B267" s="8"/>
      <c r="C267" s="8"/>
      <c r="D267" s="8"/>
      <c r="E267" s="5" t="s">
        <v>380</v>
      </c>
      <c r="F267" s="16">
        <v>87000</v>
      </c>
      <c r="G267" s="16">
        <v>55885</v>
      </c>
      <c r="H267" s="5" t="s">
        <v>26</v>
      </c>
      <c r="I267" s="5" t="s">
        <v>21</v>
      </c>
      <c r="J267" s="5">
        <v>538011339</v>
      </c>
      <c r="K267" s="5">
        <v>9989651</v>
      </c>
      <c r="L267" s="5" t="s">
        <v>38</v>
      </c>
      <c r="M267" s="17">
        <v>46132.486805555556</v>
      </c>
      <c r="N267" s="18" t="b">
        <v>0</v>
      </c>
      <c r="O267" s="18"/>
      <c r="P267" s="5"/>
      <c r="Q267" s="8"/>
      <c r="R267" s="8"/>
      <c r="S267" s="8"/>
      <c r="T267" s="8"/>
      <c r="U267" s="8"/>
      <c r="V267" s="8"/>
      <c r="W267" s="8"/>
      <c r="X267" s="22"/>
      <c r="Y267" s="22"/>
      <c r="Z267" s="22"/>
      <c r="AA267" s="22"/>
      <c r="AB267" s="8"/>
      <c r="AC267" s="8" t="str">
        <f ca="1">IFERROR(__xludf.DUMMYFUNCTION("""COMPUTED_VALUE"""),"Ns Frontier")</f>
        <v>Ns Frontier</v>
      </c>
      <c r="AD267" s="24"/>
      <c r="AE267" s="24" t="str">
        <f t="shared" si="4"/>
        <v/>
      </c>
      <c r="AF267" s="22">
        <f t="shared" si="3"/>
        <v>1</v>
      </c>
      <c r="AG267" s="22">
        <f t="shared" ca="1" si="5"/>
        <v>1</v>
      </c>
      <c r="AH267" s="8"/>
      <c r="AI267" s="8"/>
    </row>
    <row r="268" spans="2:35" ht="15.75" customHeight="1" x14ac:dyDescent="0.25">
      <c r="B268" s="8"/>
      <c r="C268" s="8"/>
      <c r="D268" s="8"/>
      <c r="E268" s="5" t="s">
        <v>381</v>
      </c>
      <c r="F268" s="16">
        <v>84000</v>
      </c>
      <c r="G268" s="16">
        <v>54415</v>
      </c>
      <c r="H268" s="5" t="s">
        <v>26</v>
      </c>
      <c r="I268" s="5" t="s">
        <v>21</v>
      </c>
      <c r="J268" s="5">
        <v>249401000</v>
      </c>
      <c r="K268" s="5">
        <v>9732515</v>
      </c>
      <c r="L268" s="5" t="s">
        <v>38</v>
      </c>
      <c r="M268" s="17">
        <v>46136.708333333336</v>
      </c>
      <c r="N268" s="18" t="b">
        <v>0</v>
      </c>
      <c r="O268" s="18"/>
      <c r="P268" s="5"/>
      <c r="Q268" s="8"/>
      <c r="R268" s="8"/>
      <c r="S268" s="8"/>
      <c r="T268" s="8"/>
      <c r="U268" s="8"/>
      <c r="V268" s="8"/>
      <c r="W268" s="8"/>
      <c r="X268" s="22"/>
      <c r="Y268" s="22"/>
      <c r="Z268" s="22"/>
      <c r="AA268" s="22"/>
      <c r="AB268" s="8"/>
      <c r="AC268" s="8" t="str">
        <f ca="1">IFERROR(__xludf.DUMMYFUNCTION("""COMPUTED_VALUE"""),"Nv Aquamarine")</f>
        <v>Nv Aquamarine</v>
      </c>
      <c r="AD268" s="24"/>
      <c r="AE268" s="24" t="str">
        <f t="shared" si="4"/>
        <v/>
      </c>
      <c r="AF268" s="22">
        <f t="shared" si="3"/>
        <v>1</v>
      </c>
      <c r="AG268" s="22">
        <f t="shared" ca="1" si="5"/>
        <v>1</v>
      </c>
      <c r="AH268" s="8"/>
      <c r="AI268" s="8"/>
    </row>
    <row r="269" spans="2:35" ht="15.75" customHeight="1" x14ac:dyDescent="0.25">
      <c r="B269" s="8"/>
      <c r="C269" s="8"/>
      <c r="D269" s="8"/>
      <c r="E269" s="5" t="s">
        <v>382</v>
      </c>
      <c r="F269" s="16">
        <v>80000</v>
      </c>
      <c r="G269" s="16">
        <v>51116</v>
      </c>
      <c r="H269" s="5" t="s">
        <v>26</v>
      </c>
      <c r="I269" s="5" t="s">
        <v>21</v>
      </c>
      <c r="J269" s="5">
        <v>538008425</v>
      </c>
      <c r="K269" s="5">
        <v>9869253</v>
      </c>
      <c r="L269" s="5" t="s">
        <v>38</v>
      </c>
      <c r="M269" s="17">
        <v>46155.041666666664</v>
      </c>
      <c r="N269" s="18" t="b">
        <v>0</v>
      </c>
      <c r="O269" s="18"/>
      <c r="P269" s="5"/>
      <c r="Q269" s="8"/>
      <c r="R269" s="8"/>
      <c r="S269" s="8"/>
      <c r="T269" s="8"/>
      <c r="U269" s="8"/>
      <c r="V269" s="8"/>
      <c r="W269" s="8"/>
      <c r="X269" s="22"/>
      <c r="Y269" s="22"/>
      <c r="Z269" s="22"/>
      <c r="AA269" s="22"/>
      <c r="AB269" s="8"/>
      <c r="AC269" s="8" t="str">
        <f ca="1">IFERROR(__xludf.DUMMYFUNCTION("""COMPUTED_VALUE"""),"NV Sunshine")</f>
        <v>NV Sunshine</v>
      </c>
      <c r="AD269" s="24"/>
      <c r="AE269" s="24" t="str">
        <f t="shared" si="4"/>
        <v/>
      </c>
      <c r="AF269" s="22">
        <f t="shared" si="3"/>
        <v>1</v>
      </c>
      <c r="AG269" s="22">
        <f t="shared" ca="1" si="5"/>
        <v>1</v>
      </c>
      <c r="AH269" s="8"/>
      <c r="AI269" s="8"/>
    </row>
    <row r="270" spans="2:35" ht="15.75" customHeight="1" x14ac:dyDescent="0.25">
      <c r="B270" s="8"/>
      <c r="C270" s="8"/>
      <c r="D270" s="8"/>
      <c r="E270" s="5" t="s">
        <v>383</v>
      </c>
      <c r="F270" s="16">
        <v>93000</v>
      </c>
      <c r="G270" s="16">
        <v>60000</v>
      </c>
      <c r="H270" s="5" t="s">
        <v>26</v>
      </c>
      <c r="I270" s="5" t="s">
        <v>21</v>
      </c>
      <c r="J270" s="5">
        <v>563203300</v>
      </c>
      <c r="K270" s="5">
        <v>9933509</v>
      </c>
      <c r="L270" s="5" t="s">
        <v>38</v>
      </c>
      <c r="M270" s="17">
        <v>46156.406944444447</v>
      </c>
      <c r="N270" s="18" t="b">
        <v>0</v>
      </c>
      <c r="O270" s="18"/>
      <c r="P270" s="5"/>
      <c r="Q270" s="8"/>
      <c r="R270" s="8"/>
      <c r="S270" s="8"/>
      <c r="T270" s="8"/>
      <c r="U270" s="8"/>
      <c r="V270" s="8"/>
      <c r="W270" s="8"/>
      <c r="X270" s="22"/>
      <c r="Y270" s="22"/>
      <c r="Z270" s="22"/>
      <c r="AA270" s="22"/>
      <c r="AB270" s="8"/>
      <c r="AC270" s="8" t="str">
        <f ca="1">IFERROR(__xludf.DUMMYFUNCTION("""COMPUTED_VALUE"""),"NY Lord")</f>
        <v>NY Lord</v>
      </c>
      <c r="AD270" s="24"/>
      <c r="AE270" s="24" t="str">
        <f t="shared" si="4"/>
        <v/>
      </c>
      <c r="AF270" s="22">
        <f t="shared" si="3"/>
        <v>1</v>
      </c>
      <c r="AG270" s="22">
        <f t="shared" ca="1" si="5"/>
        <v>1</v>
      </c>
      <c r="AH270" s="8"/>
      <c r="AI270" s="8"/>
    </row>
    <row r="271" spans="2:35" ht="15.75" customHeight="1" x14ac:dyDescent="0.25">
      <c r="B271" s="8"/>
      <c r="C271" s="8"/>
      <c r="D271" s="8"/>
      <c r="E271" s="5" t="s">
        <v>384</v>
      </c>
      <c r="F271" s="16">
        <v>93000</v>
      </c>
      <c r="G271" s="16">
        <v>60000</v>
      </c>
      <c r="H271" s="5" t="s">
        <v>26</v>
      </c>
      <c r="I271" s="5" t="s">
        <v>21</v>
      </c>
      <c r="J271" s="5">
        <v>563203400</v>
      </c>
      <c r="K271" s="5">
        <v>9933511</v>
      </c>
      <c r="L271" s="5" t="s">
        <v>107</v>
      </c>
      <c r="M271" s="17">
        <v>46140.333333333336</v>
      </c>
      <c r="N271" s="18" t="b">
        <v>0</v>
      </c>
      <c r="O271" s="18"/>
      <c r="P271" s="5"/>
      <c r="Q271" s="8"/>
      <c r="R271" s="8"/>
      <c r="S271" s="8"/>
      <c r="T271" s="8"/>
      <c r="U271" s="8"/>
      <c r="V271" s="8"/>
      <c r="W271" s="8"/>
      <c r="X271" s="22"/>
      <c r="Y271" s="22"/>
      <c r="Z271" s="22"/>
      <c r="AA271" s="22"/>
      <c r="AB271" s="8"/>
      <c r="AC271" s="8" t="str">
        <f ca="1">IFERROR(__xludf.DUMMYFUNCTION("""COMPUTED_VALUE"""),"Ocean Gas")</f>
        <v>Ocean Gas</v>
      </c>
      <c r="AD271" s="24"/>
      <c r="AE271" s="24" t="str">
        <f t="shared" si="4"/>
        <v/>
      </c>
      <c r="AF271" s="22">
        <f t="shared" si="3"/>
        <v>1</v>
      </c>
      <c r="AG271" s="22">
        <f t="shared" ca="1" si="5"/>
        <v>1</v>
      </c>
      <c r="AH271" s="8"/>
      <c r="AI271" s="8"/>
    </row>
    <row r="272" spans="2:35" ht="15.75" customHeight="1" x14ac:dyDescent="0.25">
      <c r="B272" s="8"/>
      <c r="C272" s="8"/>
      <c r="D272" s="8"/>
      <c r="E272" s="5" t="s">
        <v>385</v>
      </c>
      <c r="F272" s="16">
        <v>83275</v>
      </c>
      <c r="G272" s="16">
        <v>54867</v>
      </c>
      <c r="H272" s="5" t="s">
        <v>26</v>
      </c>
      <c r="I272" s="5" t="s">
        <v>21</v>
      </c>
      <c r="J272" s="5">
        <v>352255000</v>
      </c>
      <c r="K272" s="5">
        <v>9534614</v>
      </c>
      <c r="L272" s="5" t="s">
        <v>67</v>
      </c>
      <c r="M272" s="17">
        <v>46145.166666666664</v>
      </c>
      <c r="N272" s="18" t="b">
        <v>0</v>
      </c>
      <c r="O272" s="18"/>
      <c r="P272" s="5"/>
      <c r="Q272" s="8"/>
      <c r="R272" s="8"/>
      <c r="S272" s="8"/>
      <c r="T272" s="8"/>
      <c r="U272" s="8"/>
      <c r="V272" s="8"/>
      <c r="W272" s="8"/>
      <c r="X272" s="22"/>
      <c r="Y272" s="22"/>
      <c r="Z272" s="22"/>
      <c r="AA272" s="22"/>
      <c r="AB272" s="8"/>
      <c r="AC272" s="8" t="str">
        <f ca="1">IFERROR(__xludf.DUMMYFUNCTION("""COMPUTED_VALUE"""),"Oceanus Aurora")</f>
        <v>Oceanus Aurora</v>
      </c>
      <c r="AD272" s="24"/>
      <c r="AE272" s="24" t="str">
        <f t="shared" si="4"/>
        <v/>
      </c>
      <c r="AF272" s="22">
        <f t="shared" si="3"/>
        <v>1</v>
      </c>
      <c r="AG272" s="22" t="str">
        <f t="shared" ca="1" si="5"/>
        <v/>
      </c>
      <c r="AH272" s="8"/>
      <c r="AI272" s="8"/>
    </row>
    <row r="273" spans="2:35" ht="15.75" customHeight="1" x14ac:dyDescent="0.25">
      <c r="B273" s="8"/>
      <c r="C273" s="8"/>
      <c r="D273" s="8"/>
      <c r="E273" s="5" t="s">
        <v>386</v>
      </c>
      <c r="F273" s="16">
        <v>78595</v>
      </c>
      <c r="G273" s="16">
        <v>53012</v>
      </c>
      <c r="H273" s="5" t="s">
        <v>20</v>
      </c>
      <c r="I273" s="5" t="s">
        <v>21</v>
      </c>
      <c r="J273" s="5">
        <v>419001640</v>
      </c>
      <c r="K273" s="5">
        <v>9405875</v>
      </c>
      <c r="L273" s="5" t="s">
        <v>387</v>
      </c>
      <c r="M273" s="33">
        <v>46142.895833333336</v>
      </c>
      <c r="N273" s="18" t="b">
        <v>1</v>
      </c>
      <c r="O273" s="18"/>
      <c r="P273" s="5"/>
      <c r="Q273" s="8"/>
      <c r="R273" s="8"/>
      <c r="S273" s="8"/>
      <c r="T273" s="8"/>
      <c r="U273" s="8"/>
      <c r="V273" s="8"/>
      <c r="W273" s="8"/>
      <c r="X273" s="22"/>
      <c r="Y273" s="22"/>
      <c r="Z273" s="22"/>
      <c r="AA273" s="22"/>
      <c r="AB273" s="8"/>
      <c r="AC273" s="8" t="str">
        <f ca="1">IFERROR(__xludf.DUMMYFUNCTION("""COMPUTED_VALUE"""),"Oriental Jubilee")</f>
        <v>Oriental Jubilee</v>
      </c>
      <c r="AD273" s="24"/>
      <c r="AE273" s="24" t="str">
        <f t="shared" si="4"/>
        <v/>
      </c>
      <c r="AF273" s="22">
        <f t="shared" si="3"/>
        <v>1</v>
      </c>
      <c r="AG273" s="22" t="str">
        <f t="shared" ca="1" si="5"/>
        <v/>
      </c>
      <c r="AH273" s="8"/>
      <c r="AI273" s="8"/>
    </row>
    <row r="274" spans="2:35" ht="15.75" customHeight="1" x14ac:dyDescent="0.25">
      <c r="B274" s="8"/>
      <c r="C274" s="8"/>
      <c r="D274" s="8"/>
      <c r="E274" s="5" t="s">
        <v>388</v>
      </c>
      <c r="F274" s="16">
        <v>84600</v>
      </c>
      <c r="G274" s="16">
        <v>47500</v>
      </c>
      <c r="H274" s="5" t="s">
        <v>20</v>
      </c>
      <c r="I274" s="5" t="s">
        <v>21</v>
      </c>
      <c r="J274" s="5">
        <v>636020121</v>
      </c>
      <c r="K274" s="5">
        <v>9883819</v>
      </c>
      <c r="L274" s="5" t="s">
        <v>107</v>
      </c>
      <c r="M274" s="17">
        <v>46134.916666666664</v>
      </c>
      <c r="N274" s="18" t="b">
        <v>1</v>
      </c>
      <c r="O274" s="18"/>
      <c r="P274" s="5"/>
      <c r="Q274" s="8"/>
      <c r="R274" s="8"/>
      <c r="S274" s="8"/>
      <c r="T274" s="8"/>
      <c r="U274" s="8"/>
      <c r="V274" s="8"/>
      <c r="W274" s="8"/>
      <c r="X274" s="22"/>
      <c r="Y274" s="22"/>
      <c r="Z274" s="22"/>
      <c r="AA274" s="22"/>
      <c r="AB274" s="8"/>
      <c r="AC274" s="8" t="str">
        <f ca="1">IFERROR(__xludf.DUMMYFUNCTION("""COMPUTED_VALUE"""),"Oriental King")</f>
        <v>Oriental King</v>
      </c>
      <c r="AD274" s="24"/>
      <c r="AE274" s="24" t="str">
        <f t="shared" si="4"/>
        <v/>
      </c>
      <c r="AF274" s="22">
        <f t="shared" ref="AF274:AF344" si="6">IF(ISERROR(VLOOKUP(Y274,$E$2:$F$600,2, FALSE)),1,"")</f>
        <v>1</v>
      </c>
      <c r="AG274" s="22">
        <f t="shared" ca="1" si="5"/>
        <v>1</v>
      </c>
      <c r="AH274" s="8"/>
      <c r="AI274" s="8"/>
    </row>
    <row r="275" spans="2:35" ht="15.75" customHeight="1" x14ac:dyDescent="0.25">
      <c r="B275" s="8"/>
      <c r="C275" s="8"/>
      <c r="D275" s="8"/>
      <c r="E275" s="5" t="s">
        <v>389</v>
      </c>
      <c r="F275" s="16">
        <v>86000</v>
      </c>
      <c r="G275" s="16">
        <v>51269</v>
      </c>
      <c r="H275" s="5" t="s">
        <v>20</v>
      </c>
      <c r="I275" s="5" t="s">
        <v>21</v>
      </c>
      <c r="J275" s="5">
        <v>636021821</v>
      </c>
      <c r="K275" s="5">
        <v>9938573</v>
      </c>
      <c r="L275" s="5" t="s">
        <v>194</v>
      </c>
      <c r="M275" s="17">
        <v>46153.875</v>
      </c>
      <c r="N275" s="18" t="b">
        <v>1</v>
      </c>
      <c r="O275" s="18"/>
      <c r="P275" s="5"/>
      <c r="Q275" s="8"/>
      <c r="R275" s="8"/>
      <c r="S275" s="8"/>
      <c r="T275" s="8"/>
      <c r="U275" s="8"/>
      <c r="V275" s="8"/>
      <c r="W275" s="8"/>
      <c r="X275" s="22"/>
      <c r="Y275" s="22"/>
      <c r="Z275" s="22"/>
      <c r="AA275" s="22"/>
      <c r="AB275" s="8"/>
      <c r="AC275" s="8" t="str">
        <f ca="1">IFERROR(__xludf.DUMMYFUNCTION("""COMPUTED_VALUE"""),"Pacific Binzhou")</f>
        <v>Pacific Binzhou</v>
      </c>
      <c r="AD275" s="24"/>
      <c r="AE275" s="24" t="str">
        <f t="shared" si="4"/>
        <v/>
      </c>
      <c r="AF275" s="22">
        <f t="shared" si="6"/>
        <v>1</v>
      </c>
      <c r="AG275" s="22">
        <f t="shared" ca="1" si="5"/>
        <v>1</v>
      </c>
      <c r="AH275" s="8"/>
      <c r="AI275" s="8"/>
    </row>
    <row r="276" spans="2:35" ht="15.75" customHeight="1" x14ac:dyDescent="0.25">
      <c r="B276" s="8"/>
      <c r="C276" s="8"/>
      <c r="D276" s="8"/>
      <c r="E276" s="5" t="s">
        <v>390</v>
      </c>
      <c r="F276" s="16">
        <v>86000</v>
      </c>
      <c r="G276" s="16">
        <v>51269</v>
      </c>
      <c r="H276" s="5" t="s">
        <v>20</v>
      </c>
      <c r="I276" s="5" t="s">
        <v>21</v>
      </c>
      <c r="J276" s="5">
        <v>636021822</v>
      </c>
      <c r="K276" s="5">
        <v>9938585</v>
      </c>
      <c r="L276" s="5" t="s">
        <v>391</v>
      </c>
      <c r="M276" s="17">
        <v>46153.333333333336</v>
      </c>
      <c r="N276" s="18" t="b">
        <v>1</v>
      </c>
      <c r="O276" s="18"/>
      <c r="P276" s="5"/>
      <c r="Q276" s="8"/>
      <c r="R276" s="8"/>
      <c r="S276" s="8"/>
      <c r="T276" s="8"/>
      <c r="U276" s="8"/>
      <c r="V276" s="8"/>
      <c r="W276" s="8"/>
      <c r="X276" s="22"/>
      <c r="Y276" s="22"/>
      <c r="Z276" s="22"/>
      <c r="AA276" s="22"/>
      <c r="AB276" s="8"/>
      <c r="AC276" s="8" t="str">
        <f ca="1">IFERROR(__xludf.DUMMYFUNCTION("""COMPUTED_VALUE"""),"Pacific Dongying")</f>
        <v>Pacific Dongying</v>
      </c>
      <c r="AD276" s="24"/>
      <c r="AE276" s="24" t="str">
        <f t="shared" si="4"/>
        <v/>
      </c>
      <c r="AF276" s="22">
        <f t="shared" si="6"/>
        <v>1</v>
      </c>
      <c r="AG276" s="22">
        <f t="shared" ca="1" si="5"/>
        <v>1</v>
      </c>
      <c r="AH276" s="8"/>
      <c r="AI276" s="8"/>
    </row>
    <row r="277" spans="2:35" ht="15.75" customHeight="1" x14ac:dyDescent="0.25">
      <c r="B277" s="8"/>
      <c r="C277" s="8"/>
      <c r="D277" s="8"/>
      <c r="E277" s="5" t="s">
        <v>392</v>
      </c>
      <c r="F277" s="16">
        <v>86000</v>
      </c>
      <c r="G277" s="16">
        <v>51269</v>
      </c>
      <c r="H277" s="5" t="s">
        <v>20</v>
      </c>
      <c r="I277" s="5" t="s">
        <v>21</v>
      </c>
      <c r="J277" s="5">
        <v>636021823</v>
      </c>
      <c r="K277" s="5">
        <v>9940605</v>
      </c>
      <c r="L277" s="5" t="s">
        <v>73</v>
      </c>
      <c r="M277" s="33">
        <v>46142.208333333336</v>
      </c>
      <c r="N277" s="18" t="b">
        <v>1</v>
      </c>
      <c r="O277" s="18"/>
      <c r="P277" s="5"/>
      <c r="Q277" s="8"/>
      <c r="R277" s="8"/>
      <c r="S277" s="8"/>
      <c r="T277" s="8"/>
      <c r="U277" s="8"/>
      <c r="V277" s="8"/>
      <c r="W277" s="8"/>
      <c r="X277" s="22"/>
      <c r="Y277" s="22"/>
      <c r="Z277" s="22"/>
      <c r="AA277" s="22"/>
      <c r="AB277" s="8"/>
      <c r="AC277" s="8" t="str">
        <f ca="1">IFERROR(__xludf.DUMMYFUNCTION("""COMPUTED_VALUE"""),"Pacific Hong Kong")</f>
        <v>Pacific Hong Kong</v>
      </c>
      <c r="AD277" s="24"/>
      <c r="AE277" s="24" t="str">
        <f t="shared" si="4"/>
        <v/>
      </c>
      <c r="AF277" s="22">
        <f t="shared" si="6"/>
        <v>1</v>
      </c>
      <c r="AG277" s="22">
        <f t="shared" ca="1" si="5"/>
        <v>1</v>
      </c>
      <c r="AH277" s="8"/>
      <c r="AI277" s="8"/>
    </row>
    <row r="278" spans="2:35" ht="15.75" customHeight="1" x14ac:dyDescent="0.25">
      <c r="B278" s="8"/>
      <c r="C278" s="8"/>
      <c r="D278" s="8"/>
      <c r="E278" s="5" t="s">
        <v>393</v>
      </c>
      <c r="F278" s="16">
        <v>91000</v>
      </c>
      <c r="G278" s="16">
        <v>62500</v>
      </c>
      <c r="H278" s="5" t="s">
        <v>26</v>
      </c>
      <c r="I278" s="5" t="s">
        <v>21</v>
      </c>
      <c r="J278" s="5">
        <v>636022185</v>
      </c>
      <c r="K278" s="5">
        <v>9938054</v>
      </c>
      <c r="L278" s="5" t="s">
        <v>43</v>
      </c>
      <c r="M278" s="17">
        <v>46134.000694444447</v>
      </c>
      <c r="N278" s="18" t="b">
        <v>0</v>
      </c>
      <c r="O278" s="18"/>
      <c r="P278" s="5"/>
      <c r="Q278" s="8"/>
      <c r="R278" s="8"/>
      <c r="S278" s="8"/>
      <c r="T278" s="8"/>
      <c r="U278" s="8"/>
      <c r="V278" s="8"/>
      <c r="W278" s="8"/>
      <c r="X278" s="22"/>
      <c r="Y278" s="22"/>
      <c r="Z278" s="22"/>
      <c r="AA278" s="22"/>
      <c r="AB278" s="8"/>
      <c r="AC278" s="8" t="str">
        <f ca="1">IFERROR(__xludf.DUMMYFUNCTION("""COMPUTED_VALUE"""),"Pacific Qingdao")</f>
        <v>Pacific Qingdao</v>
      </c>
      <c r="AD278" s="24"/>
      <c r="AE278" s="24" t="str">
        <f t="shared" si="4"/>
        <v/>
      </c>
      <c r="AF278" s="22">
        <f t="shared" si="6"/>
        <v>1</v>
      </c>
      <c r="AG278" s="22">
        <f t="shared" ca="1" si="5"/>
        <v>1</v>
      </c>
      <c r="AH278" s="8"/>
      <c r="AI278" s="8"/>
    </row>
    <row r="279" spans="2:35" ht="15.75" customHeight="1" x14ac:dyDescent="0.25">
      <c r="B279" s="8"/>
      <c r="C279" s="8"/>
      <c r="D279" s="8"/>
      <c r="E279" s="5" t="s">
        <v>394</v>
      </c>
      <c r="F279" s="16">
        <v>91000</v>
      </c>
      <c r="G279" s="16">
        <v>62500</v>
      </c>
      <c r="H279" s="5" t="s">
        <v>20</v>
      </c>
      <c r="I279" s="5" t="s">
        <v>21</v>
      </c>
      <c r="J279" s="5">
        <v>636022186</v>
      </c>
      <c r="K279" s="5">
        <v>9938066</v>
      </c>
      <c r="L279" s="5" t="s">
        <v>395</v>
      </c>
      <c r="M279" s="33">
        <v>46144.000694444447</v>
      </c>
      <c r="N279" s="18" t="b">
        <v>1</v>
      </c>
      <c r="O279" s="18"/>
      <c r="P279" s="5"/>
      <c r="Q279" s="8"/>
      <c r="R279" s="8"/>
      <c r="S279" s="8"/>
      <c r="T279" s="8"/>
      <c r="U279" s="8"/>
      <c r="V279" s="8"/>
      <c r="W279" s="8"/>
      <c r="X279" s="22"/>
      <c r="Y279" s="22"/>
      <c r="Z279" s="22"/>
      <c r="AA279" s="22"/>
      <c r="AB279" s="8"/>
      <c r="AC279" s="8" t="str">
        <f ca="1">IFERROR(__xludf.DUMMYFUNCTION("""COMPUTED_VALUE"""),"Pacific Rizhao")</f>
        <v>Pacific Rizhao</v>
      </c>
      <c r="AD279" s="24"/>
      <c r="AE279" s="24" t="str">
        <f t="shared" si="4"/>
        <v/>
      </c>
      <c r="AF279" s="22">
        <f t="shared" si="6"/>
        <v>1</v>
      </c>
      <c r="AG279" s="22">
        <f t="shared" ca="1" si="5"/>
        <v>1</v>
      </c>
      <c r="AH279" s="8"/>
      <c r="AI279" s="8"/>
    </row>
    <row r="280" spans="2:35" ht="15.75" customHeight="1" x14ac:dyDescent="0.25">
      <c r="B280" s="8"/>
      <c r="C280" s="8"/>
      <c r="D280" s="8"/>
      <c r="E280" s="5" t="s">
        <v>396</v>
      </c>
      <c r="F280" s="16">
        <v>90000</v>
      </c>
      <c r="G280" s="16">
        <v>60000</v>
      </c>
      <c r="H280" s="5" t="s">
        <v>20</v>
      </c>
      <c r="I280" s="5" t="s">
        <v>21</v>
      </c>
      <c r="J280" s="5">
        <v>563188600</v>
      </c>
      <c r="K280" s="5">
        <v>9922782</v>
      </c>
      <c r="L280" s="5" t="s">
        <v>397</v>
      </c>
      <c r="M280" s="17">
        <v>46146.416666666664</v>
      </c>
      <c r="N280" s="18" t="b">
        <v>1</v>
      </c>
      <c r="O280" s="18"/>
      <c r="P280" s="5"/>
      <c r="Q280" s="8"/>
      <c r="R280" s="8"/>
      <c r="S280" s="8"/>
      <c r="T280" s="8"/>
      <c r="U280" s="8"/>
      <c r="V280" s="8"/>
      <c r="W280" s="8"/>
      <c r="X280" s="22"/>
      <c r="Y280" s="22"/>
      <c r="Z280" s="22"/>
      <c r="AA280" s="22"/>
      <c r="AB280" s="8"/>
      <c r="AC280" s="8" t="str">
        <f ca="1">IFERROR(__xludf.DUMMYFUNCTION("""COMPUTED_VALUE"""),"Pacific Shanghai")</f>
        <v>Pacific Shanghai</v>
      </c>
      <c r="AD280" s="24"/>
      <c r="AE280" s="24" t="str">
        <f t="shared" si="4"/>
        <v/>
      </c>
      <c r="AF280" s="22">
        <f t="shared" si="6"/>
        <v>1</v>
      </c>
      <c r="AG280" s="22">
        <f t="shared" ca="1" si="5"/>
        <v>1</v>
      </c>
      <c r="AH280" s="8"/>
      <c r="AI280" s="8"/>
    </row>
    <row r="281" spans="2:35" ht="15.75" customHeight="1" x14ac:dyDescent="0.25">
      <c r="B281" s="8"/>
      <c r="C281" s="8"/>
      <c r="D281" s="8"/>
      <c r="E281" s="5" t="s">
        <v>398</v>
      </c>
      <c r="F281" s="16">
        <v>90000</v>
      </c>
      <c r="G281" s="16">
        <v>60000</v>
      </c>
      <c r="H281" s="5" t="s">
        <v>26</v>
      </c>
      <c r="I281" s="5" t="s">
        <v>21</v>
      </c>
      <c r="J281" s="5">
        <v>563196600</v>
      </c>
      <c r="K281" s="5">
        <v>9922770</v>
      </c>
      <c r="L281" s="5"/>
      <c r="M281" s="17"/>
      <c r="N281" s="18" t="b">
        <v>0</v>
      </c>
      <c r="O281" s="18"/>
      <c r="P281" s="5"/>
      <c r="Q281" s="8"/>
      <c r="R281" s="8"/>
      <c r="S281" s="8"/>
      <c r="T281" s="8"/>
      <c r="U281" s="8"/>
      <c r="V281" s="8"/>
      <c r="W281" s="8"/>
      <c r="X281" s="22"/>
      <c r="Y281" s="22"/>
      <c r="Z281" s="22"/>
      <c r="AA281" s="22"/>
      <c r="AB281" s="8"/>
      <c r="AC281" s="8" t="str">
        <f ca="1">IFERROR(__xludf.DUMMYFUNCTION("""COMPUTED_VALUE"""),"Pacific Voyager")</f>
        <v>Pacific Voyager</v>
      </c>
      <c r="AD281" s="24"/>
      <c r="AE281" s="24" t="str">
        <f t="shared" si="4"/>
        <v/>
      </c>
      <c r="AF281" s="22">
        <f t="shared" si="6"/>
        <v>1</v>
      </c>
      <c r="AG281" s="22">
        <f t="shared" ca="1" si="5"/>
        <v>1</v>
      </c>
      <c r="AH281" s="8"/>
      <c r="AI281" s="8"/>
    </row>
    <row r="282" spans="2:35" ht="15.75" customHeight="1" x14ac:dyDescent="0.25">
      <c r="B282" s="8"/>
      <c r="C282" s="8"/>
      <c r="D282" s="8"/>
      <c r="E282" s="5" t="s">
        <v>399</v>
      </c>
      <c r="F282" s="16">
        <v>88000</v>
      </c>
      <c r="G282" s="16">
        <v>51674</v>
      </c>
      <c r="H282" s="5" t="s">
        <v>53</v>
      </c>
      <c r="I282" s="741" t="s">
        <v>54</v>
      </c>
      <c r="J282" s="742"/>
      <c r="K282" s="5">
        <v>1051472</v>
      </c>
      <c r="L282" s="5"/>
      <c r="M282" s="17"/>
      <c r="N282" s="18" t="b">
        <v>0</v>
      </c>
      <c r="O282" s="18"/>
      <c r="P282" s="5"/>
      <c r="Q282" s="8"/>
      <c r="R282" s="8"/>
      <c r="S282" s="8"/>
      <c r="T282" s="8"/>
      <c r="U282" s="8"/>
      <c r="V282" s="8"/>
      <c r="W282" s="8"/>
      <c r="X282" s="22"/>
      <c r="Y282" s="22"/>
      <c r="Z282" s="22"/>
      <c r="AA282" s="22"/>
      <c r="AB282" s="8"/>
      <c r="AC282" s="8" t="str">
        <f ca="1">IFERROR(__xludf.DUMMYFUNCTION("""COMPUTED_VALUE"""),"Pacific Weihai")</f>
        <v>Pacific Weihai</v>
      </c>
      <c r="AD282" s="24"/>
      <c r="AE282" s="24" t="str">
        <f t="shared" si="4"/>
        <v/>
      </c>
      <c r="AF282" s="22">
        <f t="shared" si="6"/>
        <v>1</v>
      </c>
      <c r="AG282" s="22" t="str">
        <f t="shared" ca="1" si="5"/>
        <v/>
      </c>
      <c r="AH282" s="8"/>
      <c r="AI282" s="8"/>
    </row>
    <row r="283" spans="2:35" ht="15.75" customHeight="1" x14ac:dyDescent="0.25">
      <c r="B283" s="8"/>
      <c r="C283" s="8"/>
      <c r="D283" s="8"/>
      <c r="E283" s="5" t="s">
        <v>400</v>
      </c>
      <c r="F283" s="16">
        <v>88000</v>
      </c>
      <c r="G283" s="16">
        <v>51674</v>
      </c>
      <c r="H283" s="5" t="s">
        <v>53</v>
      </c>
      <c r="I283" s="741" t="s">
        <v>54</v>
      </c>
      <c r="J283" s="742"/>
      <c r="K283" s="5">
        <v>1051484</v>
      </c>
      <c r="L283" s="5"/>
      <c r="M283" s="33"/>
      <c r="N283" s="18" t="b">
        <v>0</v>
      </c>
      <c r="O283" s="18"/>
      <c r="P283" s="5"/>
      <c r="Q283" s="8"/>
      <c r="R283" s="8"/>
      <c r="S283" s="8"/>
      <c r="T283" s="8"/>
      <c r="U283" s="8"/>
      <c r="V283" s="8"/>
      <c r="W283" s="8"/>
      <c r="X283" s="22"/>
      <c r="Y283" s="22"/>
      <c r="Z283" s="22"/>
      <c r="AA283" s="22"/>
      <c r="AB283" s="8"/>
      <c r="AC283" s="8" t="str">
        <f ca="1">IFERROR(__xludf.DUMMYFUNCTION("""COMPUTED_VALUE"""),"Pacific Yantai")</f>
        <v>Pacific Yantai</v>
      </c>
      <c r="AD283" s="24"/>
      <c r="AE283" s="24" t="str">
        <f t="shared" si="4"/>
        <v/>
      </c>
      <c r="AF283" s="22">
        <f t="shared" si="6"/>
        <v>1</v>
      </c>
      <c r="AG283" s="22" t="str">
        <f t="shared" ca="1" si="5"/>
        <v/>
      </c>
      <c r="AH283" s="8"/>
      <c r="AI283" s="8"/>
    </row>
    <row r="284" spans="2:35" ht="15.75" customHeight="1" x14ac:dyDescent="0.25">
      <c r="B284" s="8"/>
      <c r="C284" s="8"/>
      <c r="D284" s="8"/>
      <c r="E284" s="5" t="s">
        <v>401</v>
      </c>
      <c r="F284" s="16">
        <v>88000</v>
      </c>
      <c r="G284" s="16">
        <v>51674</v>
      </c>
      <c r="H284" s="5" t="s">
        <v>53</v>
      </c>
      <c r="I284" s="741" t="s">
        <v>54</v>
      </c>
      <c r="J284" s="742"/>
      <c r="K284" s="5">
        <v>1051496</v>
      </c>
      <c r="L284" s="5"/>
      <c r="M284" s="17"/>
      <c r="N284" s="18" t="b">
        <v>0</v>
      </c>
      <c r="O284" s="18"/>
      <c r="P284" s="5"/>
      <c r="Q284" s="8"/>
      <c r="R284" s="8"/>
      <c r="S284" s="8"/>
      <c r="T284" s="8"/>
      <c r="U284" s="8"/>
      <c r="V284" s="8"/>
      <c r="W284" s="8"/>
      <c r="X284" s="22"/>
      <c r="Y284" s="22"/>
      <c r="Z284" s="22"/>
      <c r="AA284" s="22"/>
      <c r="AB284" s="8"/>
      <c r="AC284" s="8" t="str">
        <f ca="1">IFERROR(__xludf.DUMMYFUNCTION("""COMPUTED_VALUE"""),"Pacificator")</f>
        <v>Pacificator</v>
      </c>
      <c r="AD284" s="24"/>
      <c r="AE284" s="24" t="str">
        <f t="shared" si="4"/>
        <v/>
      </c>
      <c r="AF284" s="22">
        <f t="shared" si="6"/>
        <v>1</v>
      </c>
      <c r="AG284" s="22" t="str">
        <f t="shared" ca="1" si="5"/>
        <v/>
      </c>
      <c r="AH284" s="8"/>
      <c r="AI284" s="8"/>
    </row>
    <row r="285" spans="2:35" ht="15.75" customHeight="1" x14ac:dyDescent="0.25">
      <c r="B285" s="8"/>
      <c r="C285" s="8"/>
      <c r="D285" s="8"/>
      <c r="E285" s="5" t="s">
        <v>402</v>
      </c>
      <c r="F285" s="16">
        <v>88000</v>
      </c>
      <c r="G285" s="16">
        <v>51674</v>
      </c>
      <c r="H285" s="5" t="s">
        <v>53</v>
      </c>
      <c r="I285" s="741" t="s">
        <v>54</v>
      </c>
      <c r="J285" s="742"/>
      <c r="K285" s="5">
        <v>1051501</v>
      </c>
      <c r="L285" s="5"/>
      <c r="M285" s="17"/>
      <c r="N285" s="18" t="b">
        <v>0</v>
      </c>
      <c r="O285" s="18"/>
      <c r="P285" s="5"/>
      <c r="Q285" s="8"/>
      <c r="R285" s="8"/>
      <c r="S285" s="8"/>
      <c r="T285" s="8"/>
      <c r="U285" s="8"/>
      <c r="V285" s="8"/>
      <c r="W285" s="8"/>
      <c r="X285" s="22"/>
      <c r="Y285" s="22"/>
      <c r="Z285" s="22"/>
      <c r="AA285" s="22"/>
      <c r="AB285" s="8"/>
      <c r="AC285" s="8" t="str">
        <f ca="1">IFERROR(__xludf.DUMMYFUNCTION("""COMPUTED_VALUE"""),"Parthia")</f>
        <v>Parthia</v>
      </c>
      <c r="AD285" s="24"/>
      <c r="AE285" s="24" t="str">
        <f t="shared" si="4"/>
        <v/>
      </c>
      <c r="AF285" s="22">
        <f t="shared" si="6"/>
        <v>1</v>
      </c>
      <c r="AG285" s="22" t="str">
        <f t="shared" ca="1" si="5"/>
        <v/>
      </c>
      <c r="AH285" s="8"/>
      <c r="AI285" s="8"/>
    </row>
    <row r="286" spans="2:35" ht="15.75" customHeight="1" x14ac:dyDescent="0.25">
      <c r="B286" s="8"/>
      <c r="C286" s="8"/>
      <c r="D286" s="8"/>
      <c r="E286" s="5" t="s">
        <v>403</v>
      </c>
      <c r="F286" s="16">
        <v>93000</v>
      </c>
      <c r="G286" s="16">
        <v>58000</v>
      </c>
      <c r="H286" s="5" t="s">
        <v>53</v>
      </c>
      <c r="I286" s="741" t="s">
        <v>54</v>
      </c>
      <c r="J286" s="742"/>
      <c r="K286" s="5">
        <v>1044974</v>
      </c>
      <c r="L286" s="5"/>
      <c r="M286" s="17"/>
      <c r="N286" s="18" t="b">
        <v>0</v>
      </c>
      <c r="O286" s="18"/>
      <c r="P286" s="5"/>
      <c r="Q286" s="8"/>
      <c r="R286" s="8"/>
      <c r="S286" s="8"/>
      <c r="T286" s="8"/>
      <c r="U286" s="8"/>
      <c r="V286" s="8"/>
      <c r="W286" s="8"/>
      <c r="X286" s="22"/>
      <c r="Y286" s="22"/>
      <c r="Z286" s="22"/>
      <c r="AA286" s="22"/>
      <c r="AB286" s="8"/>
      <c r="AC286" s="8" t="str">
        <f ca="1">IFERROR(__xludf.DUMMYFUNCTION("""COMPUTED_VALUE"""),"Pertamina Gas 1")</f>
        <v>Pertamina Gas 1</v>
      </c>
      <c r="AD286" s="24"/>
      <c r="AE286" s="24" t="str">
        <f t="shared" si="4"/>
        <v/>
      </c>
      <c r="AF286" s="22">
        <f t="shared" si="6"/>
        <v>1</v>
      </c>
      <c r="AG286" s="22" t="str">
        <f t="shared" ca="1" si="5"/>
        <v/>
      </c>
      <c r="AH286" s="8"/>
      <c r="AI286" s="8"/>
    </row>
    <row r="287" spans="2:35" ht="15.75" customHeight="1" x14ac:dyDescent="0.25">
      <c r="B287" s="8"/>
      <c r="C287" s="8"/>
      <c r="D287" s="8"/>
      <c r="E287" s="5" t="s">
        <v>404</v>
      </c>
      <c r="F287" s="16">
        <v>93000</v>
      </c>
      <c r="G287" s="16">
        <v>58000</v>
      </c>
      <c r="H287" s="5" t="s">
        <v>53</v>
      </c>
      <c r="I287" s="741" t="s">
        <v>54</v>
      </c>
      <c r="J287" s="742"/>
      <c r="K287" s="5">
        <v>1044986</v>
      </c>
      <c r="L287" s="5"/>
      <c r="M287" s="33"/>
      <c r="N287" s="18" t="b">
        <v>0</v>
      </c>
      <c r="O287" s="18"/>
      <c r="P287" s="5"/>
      <c r="Q287" s="8"/>
      <c r="R287" s="8"/>
      <c r="S287" s="8"/>
      <c r="T287" s="8"/>
      <c r="U287" s="8"/>
      <c r="V287" s="8"/>
      <c r="W287" s="8"/>
      <c r="X287" s="22"/>
      <c r="Y287" s="22"/>
      <c r="Z287" s="22"/>
      <c r="AA287" s="22"/>
      <c r="AB287" s="8"/>
      <c r="AC287" s="8" t="str">
        <f ca="1">IFERROR(__xludf.DUMMYFUNCTION("""COMPUTED_VALUE"""),"Pertamina Gas 2")</f>
        <v>Pertamina Gas 2</v>
      </c>
      <c r="AD287" s="24"/>
      <c r="AE287" s="24" t="str">
        <f t="shared" si="4"/>
        <v/>
      </c>
      <c r="AF287" s="22">
        <f t="shared" si="6"/>
        <v>1</v>
      </c>
      <c r="AG287" s="22" t="str">
        <f t="shared" ca="1" si="5"/>
        <v/>
      </c>
      <c r="AH287" s="8"/>
      <c r="AI287" s="8"/>
    </row>
    <row r="288" spans="2:35" ht="15.75" customHeight="1" x14ac:dyDescent="0.25">
      <c r="B288" s="8"/>
      <c r="C288" s="8"/>
      <c r="D288" s="8"/>
      <c r="E288" s="5" t="s">
        <v>405</v>
      </c>
      <c r="F288" s="16">
        <v>93000</v>
      </c>
      <c r="G288" s="16">
        <v>58000</v>
      </c>
      <c r="H288" s="5" t="s">
        <v>53</v>
      </c>
      <c r="I288" s="741" t="s">
        <v>54</v>
      </c>
      <c r="J288" s="742"/>
      <c r="K288" s="5">
        <v>1044998</v>
      </c>
      <c r="L288" s="5"/>
      <c r="M288" s="17"/>
      <c r="N288" s="18" t="b">
        <v>0</v>
      </c>
      <c r="O288" s="18"/>
      <c r="P288" s="5"/>
      <c r="Q288" s="8"/>
      <c r="R288" s="8"/>
      <c r="S288" s="8"/>
      <c r="T288" s="8"/>
      <c r="U288" s="8"/>
      <c r="V288" s="8"/>
      <c r="W288" s="8"/>
      <c r="X288" s="22"/>
      <c r="Y288" s="22"/>
      <c r="Z288" s="22"/>
      <c r="AA288" s="22"/>
      <c r="AB288" s="8"/>
      <c r="AC288" s="8" t="str">
        <f ca="1">IFERROR(__xludf.DUMMYFUNCTION("""COMPUTED_VALUE"""),"Pertamina Gas Amaryllis")</f>
        <v>Pertamina Gas Amaryllis</v>
      </c>
      <c r="AD288" s="24"/>
      <c r="AE288" s="24" t="str">
        <f t="shared" si="4"/>
        <v/>
      </c>
      <c r="AF288" s="22">
        <f t="shared" si="6"/>
        <v>1</v>
      </c>
      <c r="AG288" s="22" t="str">
        <f t="shared" ca="1" si="5"/>
        <v/>
      </c>
      <c r="AH288" s="8"/>
      <c r="AI288" s="8"/>
    </row>
    <row r="289" spans="1:35" ht="15.75" customHeight="1" x14ac:dyDescent="0.25">
      <c r="B289" s="8"/>
      <c r="C289" s="8"/>
      <c r="D289" s="8"/>
      <c r="E289" s="5" t="s">
        <v>406</v>
      </c>
      <c r="F289" s="16">
        <v>93000</v>
      </c>
      <c r="G289" s="16">
        <v>58000</v>
      </c>
      <c r="H289" s="5" t="s">
        <v>53</v>
      </c>
      <c r="I289" s="741" t="s">
        <v>54</v>
      </c>
      <c r="J289" s="742"/>
      <c r="K289" s="5">
        <v>1045007</v>
      </c>
      <c r="L289" s="5"/>
      <c r="M289" s="17"/>
      <c r="N289" s="18" t="b">
        <v>0</v>
      </c>
      <c r="O289" s="18"/>
      <c r="P289" s="5"/>
      <c r="Q289" s="8"/>
      <c r="R289" s="8"/>
      <c r="S289" s="8"/>
      <c r="T289" s="8"/>
      <c r="U289" s="8"/>
      <c r="V289" s="8"/>
      <c r="W289" s="8"/>
      <c r="X289" s="22"/>
      <c r="Y289" s="22"/>
      <c r="Z289" s="22"/>
      <c r="AA289" s="22"/>
      <c r="AB289" s="8"/>
      <c r="AC289" s="8" t="str">
        <f ca="1">IFERROR(__xludf.DUMMYFUNCTION("""COMPUTED_VALUE"""),"Pertamina Gas Bergenia")</f>
        <v>Pertamina Gas Bergenia</v>
      </c>
      <c r="AD289" s="24"/>
      <c r="AE289" s="24" t="str">
        <f t="shared" si="4"/>
        <v/>
      </c>
      <c r="AF289" s="22">
        <f t="shared" si="6"/>
        <v>1</v>
      </c>
      <c r="AG289" s="22" t="str">
        <f t="shared" ca="1" si="5"/>
        <v/>
      </c>
      <c r="AH289" s="8"/>
      <c r="AI289" s="8"/>
    </row>
    <row r="290" spans="1:35" ht="15" customHeight="1" x14ac:dyDescent="0.25">
      <c r="B290" s="8"/>
      <c r="C290" s="8"/>
      <c r="D290" s="8"/>
      <c r="E290" s="5" t="s">
        <v>407</v>
      </c>
      <c r="F290" s="16">
        <v>93000</v>
      </c>
      <c r="G290" s="16">
        <v>58000</v>
      </c>
      <c r="H290" s="5" t="s">
        <v>53</v>
      </c>
      <c r="I290" s="741" t="s">
        <v>54</v>
      </c>
      <c r="J290" s="742"/>
      <c r="K290" s="5">
        <v>1061972</v>
      </c>
      <c r="L290" s="5"/>
      <c r="M290" s="17"/>
      <c r="N290" s="18" t="b">
        <v>0</v>
      </c>
      <c r="O290" s="18"/>
      <c r="P290" s="5"/>
      <c r="Q290" s="8"/>
      <c r="R290" s="8"/>
      <c r="S290" s="8"/>
      <c r="T290" s="8"/>
      <c r="U290" s="8"/>
      <c r="V290" s="8"/>
      <c r="W290" s="8"/>
      <c r="X290" s="22"/>
      <c r="Y290" s="22"/>
      <c r="Z290" s="22"/>
      <c r="AA290" s="22"/>
      <c r="AB290" s="8"/>
      <c r="AC290" s="8" t="str">
        <f ca="1">IFERROR(__xludf.DUMMYFUNCTION("""COMPUTED_VALUE"""),"Pertamina Gas Caspia")</f>
        <v>Pertamina Gas Caspia</v>
      </c>
      <c r="AD290" s="24"/>
      <c r="AE290" s="24" t="str">
        <f t="shared" si="4"/>
        <v/>
      </c>
      <c r="AF290" s="22">
        <f t="shared" si="6"/>
        <v>1</v>
      </c>
      <c r="AG290" s="22" t="str">
        <f t="shared" ca="1" si="5"/>
        <v/>
      </c>
      <c r="AH290" s="8"/>
      <c r="AI290" s="8"/>
    </row>
    <row r="291" spans="1:35" ht="15.75" customHeight="1" x14ac:dyDescent="0.25">
      <c r="B291" s="8"/>
      <c r="C291" s="8"/>
      <c r="D291" s="8"/>
      <c r="E291" s="5" t="s">
        <v>408</v>
      </c>
      <c r="F291" s="16">
        <v>93000</v>
      </c>
      <c r="G291" s="16">
        <v>58000</v>
      </c>
      <c r="H291" s="5" t="s">
        <v>53</v>
      </c>
      <c r="I291" s="741" t="s">
        <v>54</v>
      </c>
      <c r="J291" s="742"/>
      <c r="K291" s="5">
        <v>1061984</v>
      </c>
      <c r="L291" s="5"/>
      <c r="M291" s="17"/>
      <c r="N291" s="18" t="b">
        <v>0</v>
      </c>
      <c r="O291" s="18"/>
      <c r="P291" s="5"/>
      <c r="Q291" s="8"/>
      <c r="R291" s="8"/>
      <c r="S291" s="8"/>
      <c r="T291" s="8"/>
      <c r="U291" s="8"/>
      <c r="V291" s="8"/>
      <c r="W291" s="8"/>
      <c r="X291" s="22"/>
      <c r="Y291" s="22"/>
      <c r="Z291" s="22"/>
      <c r="AA291" s="22"/>
      <c r="AB291" s="8"/>
      <c r="AC291" s="8" t="str">
        <f ca="1">IFERROR(__xludf.DUMMYFUNCTION("""COMPUTED_VALUE"""),"Pertamina Gas Dahlia")</f>
        <v>Pertamina Gas Dahlia</v>
      </c>
      <c r="AD291" s="24"/>
      <c r="AE291" s="24" t="str">
        <f t="shared" si="4"/>
        <v/>
      </c>
      <c r="AF291" s="22">
        <f t="shared" si="6"/>
        <v>1</v>
      </c>
      <c r="AG291" s="22" t="str">
        <f t="shared" ca="1" si="5"/>
        <v/>
      </c>
      <c r="AH291" s="8"/>
      <c r="AI291" s="8"/>
    </row>
    <row r="292" spans="1:35" ht="15.75" customHeight="1" x14ac:dyDescent="0.25">
      <c r="B292" s="8"/>
      <c r="C292" s="8"/>
      <c r="D292" s="8"/>
      <c r="E292" s="5" t="s">
        <v>409</v>
      </c>
      <c r="F292" s="16">
        <v>93000</v>
      </c>
      <c r="G292" s="16">
        <v>58000</v>
      </c>
      <c r="H292" s="5" t="s">
        <v>53</v>
      </c>
      <c r="I292" s="741" t="s">
        <v>54</v>
      </c>
      <c r="J292" s="742"/>
      <c r="K292" s="5">
        <v>1061996</v>
      </c>
      <c r="L292" s="5"/>
      <c r="M292" s="17"/>
      <c r="N292" s="18" t="b">
        <v>0</v>
      </c>
      <c r="O292" s="18"/>
      <c r="P292" s="5"/>
      <c r="Q292" s="8"/>
      <c r="R292" s="8"/>
      <c r="S292" s="8"/>
      <c r="T292" s="8"/>
      <c r="U292" s="8"/>
      <c r="V292" s="8"/>
      <c r="W292" s="8"/>
      <c r="X292" s="22"/>
      <c r="Y292" s="22"/>
      <c r="Z292" s="22"/>
      <c r="AA292" s="22"/>
      <c r="AB292" s="8"/>
      <c r="AC292" s="8" t="str">
        <f ca="1">IFERROR(__xludf.DUMMYFUNCTION("""COMPUTED_VALUE"""),"Pertamina Gas Tulip")</f>
        <v>Pertamina Gas Tulip</v>
      </c>
      <c r="AD292" s="24"/>
      <c r="AE292" s="24" t="str">
        <f t="shared" si="4"/>
        <v/>
      </c>
      <c r="AF292" s="22">
        <f t="shared" si="6"/>
        <v>1</v>
      </c>
      <c r="AG292" s="22" t="str">
        <f t="shared" ca="1" si="5"/>
        <v/>
      </c>
      <c r="AH292" s="8"/>
      <c r="AI292" s="8"/>
    </row>
    <row r="293" spans="1:35" ht="15.75" customHeight="1" x14ac:dyDescent="0.25">
      <c r="B293" s="8"/>
      <c r="C293" s="8"/>
      <c r="D293" s="8"/>
      <c r="E293" s="5" t="s">
        <v>410</v>
      </c>
      <c r="F293" s="16">
        <v>93000</v>
      </c>
      <c r="G293" s="16">
        <v>58000</v>
      </c>
      <c r="H293" s="5" t="s">
        <v>53</v>
      </c>
      <c r="I293" s="741" t="s">
        <v>54</v>
      </c>
      <c r="J293" s="742"/>
      <c r="K293" s="5">
        <v>1062005</v>
      </c>
      <c r="L293" s="5"/>
      <c r="M293" s="33"/>
      <c r="N293" s="18" t="b">
        <v>0</v>
      </c>
      <c r="O293" s="18"/>
      <c r="P293" s="5"/>
      <c r="Q293" s="8"/>
      <c r="R293" s="8"/>
      <c r="S293" s="8"/>
      <c r="T293" s="8"/>
      <c r="U293" s="8"/>
      <c r="V293" s="8"/>
      <c r="W293" s="8"/>
      <c r="X293" s="22"/>
      <c r="Y293" s="22"/>
      <c r="Z293" s="22"/>
      <c r="AA293" s="22"/>
      <c r="AB293" s="8"/>
      <c r="AC293" s="8" t="str">
        <f ca="1">IFERROR(__xludf.DUMMYFUNCTION("""COMPUTED_VALUE"""),"Phoenix Gaia")</f>
        <v>Phoenix Gaia</v>
      </c>
      <c r="AD293" s="24"/>
      <c r="AE293" s="24" t="str">
        <f t="shared" si="4"/>
        <v/>
      </c>
      <c r="AF293" s="22">
        <f t="shared" si="6"/>
        <v>1</v>
      </c>
      <c r="AG293" s="22" t="str">
        <f t="shared" ca="1" si="5"/>
        <v/>
      </c>
      <c r="AH293" s="8"/>
      <c r="AI293" s="8"/>
    </row>
    <row r="294" spans="1:35" ht="15.75" customHeight="1" x14ac:dyDescent="0.25">
      <c r="B294" s="8"/>
      <c r="C294" s="8"/>
      <c r="D294" s="8"/>
      <c r="E294" s="5" t="s">
        <v>411</v>
      </c>
      <c r="F294" s="16">
        <v>93000</v>
      </c>
      <c r="G294" s="16">
        <v>63690</v>
      </c>
      <c r="H294" s="5" t="s">
        <v>53</v>
      </c>
      <c r="I294" s="741" t="s">
        <v>54</v>
      </c>
      <c r="J294" s="742"/>
      <c r="K294" s="5">
        <v>1050466</v>
      </c>
      <c r="L294" s="5"/>
      <c r="M294" s="33"/>
      <c r="N294" s="18" t="b">
        <v>0</v>
      </c>
      <c r="O294" s="18"/>
      <c r="P294" s="5"/>
      <c r="Q294" s="8"/>
      <c r="R294" s="8"/>
      <c r="S294" s="8"/>
      <c r="T294" s="8"/>
      <c r="U294" s="8"/>
      <c r="V294" s="8"/>
      <c r="W294" s="8"/>
      <c r="X294" s="22"/>
      <c r="Y294" s="22"/>
      <c r="Z294" s="22"/>
      <c r="AA294" s="22"/>
      <c r="AB294" s="8"/>
      <c r="AC294" s="8" t="str">
        <f ca="1">IFERROR(__xludf.DUMMYFUNCTION("""COMPUTED_VALUE"""),"Phoenix Harmonia")</f>
        <v>Phoenix Harmonia</v>
      </c>
      <c r="AD294" s="24"/>
      <c r="AE294" s="24" t="str">
        <f t="shared" si="4"/>
        <v/>
      </c>
      <c r="AF294" s="22">
        <f t="shared" si="6"/>
        <v>1</v>
      </c>
      <c r="AG294" s="22" t="str">
        <f t="shared" ca="1" si="5"/>
        <v/>
      </c>
      <c r="AH294" s="8"/>
      <c r="AI294" s="8"/>
    </row>
    <row r="295" spans="1:35" ht="15.75" customHeight="1" x14ac:dyDescent="0.25">
      <c r="B295" s="8"/>
      <c r="C295" s="8"/>
      <c r="D295" s="8"/>
      <c r="E295" s="5" t="s">
        <v>412</v>
      </c>
      <c r="F295" s="16">
        <v>93000</v>
      </c>
      <c r="G295" s="16">
        <v>63690</v>
      </c>
      <c r="H295" s="5" t="s">
        <v>53</v>
      </c>
      <c r="I295" s="741" t="s">
        <v>54</v>
      </c>
      <c r="J295" s="742"/>
      <c r="K295" s="5">
        <v>1050478</v>
      </c>
      <c r="L295" s="5"/>
      <c r="M295" s="17"/>
      <c r="N295" s="18" t="b">
        <v>0</v>
      </c>
      <c r="O295" s="18"/>
      <c r="P295" s="5"/>
      <c r="Q295" s="8"/>
      <c r="R295" s="8"/>
      <c r="S295" s="8"/>
      <c r="T295" s="8"/>
      <c r="U295" s="8"/>
      <c r="V295" s="8"/>
      <c r="W295" s="8"/>
      <c r="X295" s="22"/>
      <c r="Y295" s="22"/>
      <c r="Z295" s="22"/>
      <c r="AA295" s="22"/>
      <c r="AB295" s="8"/>
      <c r="AC295" s="8" t="str">
        <f ca="1">IFERROR(__xludf.DUMMYFUNCTION("""COMPUTED_VALUE"""),"Pinza")</f>
        <v>Pinza</v>
      </c>
      <c r="AD295" s="24"/>
      <c r="AE295" s="24" t="str">
        <f t="shared" si="4"/>
        <v/>
      </c>
      <c r="AF295" s="22">
        <f t="shared" si="6"/>
        <v>1</v>
      </c>
      <c r="AG295" s="22" t="str">
        <f t="shared" ca="1" si="5"/>
        <v/>
      </c>
      <c r="AH295" s="8"/>
      <c r="AI295" s="8"/>
    </row>
    <row r="296" spans="1:35" ht="15.75" customHeight="1" x14ac:dyDescent="0.25">
      <c r="B296" s="8"/>
      <c r="C296" s="8"/>
      <c r="D296" s="8"/>
      <c r="E296" s="5" t="s">
        <v>413</v>
      </c>
      <c r="F296" s="16">
        <v>93000</v>
      </c>
      <c r="G296" s="16">
        <v>63690</v>
      </c>
      <c r="H296" s="5" t="s">
        <v>53</v>
      </c>
      <c r="I296" s="741" t="s">
        <v>54</v>
      </c>
      <c r="J296" s="742"/>
      <c r="K296" s="5">
        <v>1050480</v>
      </c>
      <c r="L296" s="5"/>
      <c r="M296" s="17"/>
      <c r="N296" s="18" t="b">
        <v>0</v>
      </c>
      <c r="O296" s="18"/>
      <c r="P296" s="5"/>
      <c r="Q296" s="8"/>
      <c r="R296" s="8"/>
      <c r="S296" s="8"/>
      <c r="T296" s="8"/>
      <c r="U296" s="8"/>
      <c r="V296" s="8"/>
      <c r="W296" s="8"/>
      <c r="X296" s="22"/>
      <c r="Y296" s="22"/>
      <c r="Z296" s="22"/>
      <c r="AA296" s="22"/>
      <c r="AB296" s="8"/>
      <c r="AC296" s="8" t="str">
        <f ca="1">IFERROR(__xludf.DUMMYFUNCTION("""COMPUTED_VALUE"""),"Pointis")</f>
        <v>Pointis</v>
      </c>
      <c r="AD296" s="24"/>
      <c r="AE296" s="24" t="str">
        <f t="shared" si="4"/>
        <v/>
      </c>
      <c r="AF296" s="22">
        <f t="shared" si="6"/>
        <v>1</v>
      </c>
      <c r="AG296" s="22" t="str">
        <f t="shared" ca="1" si="5"/>
        <v/>
      </c>
      <c r="AH296" s="8"/>
      <c r="AI296" s="8"/>
    </row>
    <row r="297" spans="1:35" ht="15.75" customHeight="1" x14ac:dyDescent="0.25">
      <c r="B297" s="8"/>
      <c r="C297" s="8"/>
      <c r="D297" s="8"/>
      <c r="E297" s="5" t="s">
        <v>414</v>
      </c>
      <c r="F297" s="16">
        <v>88000</v>
      </c>
      <c r="G297" s="16">
        <v>57000</v>
      </c>
      <c r="H297" s="5" t="s">
        <v>53</v>
      </c>
      <c r="I297" s="741" t="s">
        <v>54</v>
      </c>
      <c r="J297" s="742"/>
      <c r="K297" s="5">
        <v>1049766</v>
      </c>
      <c r="L297" s="5"/>
      <c r="M297" s="17"/>
      <c r="N297" s="18" t="b">
        <v>0</v>
      </c>
      <c r="O297" s="18"/>
      <c r="P297" s="5"/>
      <c r="Q297" s="8"/>
      <c r="R297" s="8"/>
      <c r="S297" s="8"/>
      <c r="T297" s="8"/>
      <c r="U297" s="8"/>
      <c r="V297" s="8"/>
      <c r="W297" s="8"/>
      <c r="X297" s="22"/>
      <c r="Y297" s="22"/>
      <c r="Z297" s="22"/>
      <c r="AA297" s="22"/>
      <c r="AB297" s="8"/>
      <c r="AC297" s="8" t="str">
        <f ca="1">IFERROR(__xludf.DUMMYFUNCTION("""COMPUTED_VALUE"""),"Prima Energy")</f>
        <v>Prima Energy</v>
      </c>
      <c r="AD297" s="24"/>
      <c r="AE297" s="24" t="str">
        <f t="shared" si="4"/>
        <v/>
      </c>
      <c r="AF297" s="22">
        <f t="shared" si="6"/>
        <v>1</v>
      </c>
      <c r="AG297" s="22" t="str">
        <f t="shared" ca="1" si="5"/>
        <v/>
      </c>
      <c r="AH297" s="8"/>
      <c r="AI297" s="8"/>
    </row>
    <row r="298" spans="1:35" ht="15.75" customHeight="1" x14ac:dyDescent="0.25">
      <c r="B298" s="8"/>
      <c r="C298" s="8"/>
      <c r="D298" s="8"/>
      <c r="E298" s="5" t="s">
        <v>415</v>
      </c>
      <c r="F298" s="16">
        <v>88000</v>
      </c>
      <c r="G298" s="16">
        <v>57000</v>
      </c>
      <c r="H298" s="5" t="s">
        <v>53</v>
      </c>
      <c r="I298" s="741" t="s">
        <v>54</v>
      </c>
      <c r="J298" s="742"/>
      <c r="K298" s="5">
        <v>1049778</v>
      </c>
      <c r="L298" s="5"/>
      <c r="M298" s="17"/>
      <c r="N298" s="18" t="b">
        <v>0</v>
      </c>
      <c r="O298" s="18"/>
      <c r="P298" s="5"/>
      <c r="Q298" s="8"/>
      <c r="R298" s="8"/>
      <c r="S298" s="8"/>
      <c r="T298" s="8"/>
      <c r="U298" s="8"/>
      <c r="V298" s="8"/>
      <c r="W298" s="8"/>
      <c r="X298" s="22"/>
      <c r="Y298" s="22"/>
      <c r="Z298" s="22"/>
      <c r="AA298" s="22"/>
      <c r="AB298" s="8"/>
      <c r="AC298" s="8" t="str">
        <f ca="1">IFERROR(__xludf.DUMMYFUNCTION("""COMPUTED_VALUE"""),"Pyxis Alfa")</f>
        <v>Pyxis Alfa</v>
      </c>
      <c r="AD298" s="24"/>
      <c r="AE298" s="24" t="str">
        <f t="shared" si="4"/>
        <v/>
      </c>
      <c r="AF298" s="22">
        <f t="shared" si="6"/>
        <v>1</v>
      </c>
      <c r="AG298" s="22" t="str">
        <f t="shared" ca="1" si="5"/>
        <v/>
      </c>
      <c r="AH298" s="8"/>
      <c r="AI298" s="8"/>
    </row>
    <row r="299" spans="1:35" ht="15.75" customHeight="1" x14ac:dyDescent="0.25">
      <c r="B299" s="8"/>
      <c r="C299" s="8"/>
      <c r="D299" s="8"/>
      <c r="E299" s="5" t="s">
        <v>416</v>
      </c>
      <c r="F299" s="16">
        <v>88000</v>
      </c>
      <c r="G299" s="16">
        <v>75000</v>
      </c>
      <c r="H299" s="5" t="s">
        <v>53</v>
      </c>
      <c r="I299" s="741" t="s">
        <v>54</v>
      </c>
      <c r="J299" s="742"/>
      <c r="K299" s="5">
        <v>1049900</v>
      </c>
      <c r="L299" s="5"/>
      <c r="M299" s="17"/>
      <c r="N299" s="18" t="b">
        <v>0</v>
      </c>
      <c r="O299" s="18"/>
      <c r="P299" s="5"/>
      <c r="Q299" s="8"/>
      <c r="R299" s="8"/>
      <c r="S299" s="8"/>
      <c r="T299" s="8"/>
      <c r="U299" s="8"/>
      <c r="V299" s="8"/>
      <c r="W299" s="8"/>
      <c r="X299" s="22"/>
      <c r="Y299" s="22"/>
      <c r="Z299" s="22"/>
      <c r="AA299" s="22"/>
      <c r="AB299" s="8"/>
      <c r="AC299" s="8" t="str">
        <f ca="1">IFERROR(__xludf.DUMMYFUNCTION("""COMPUTED_VALUE"""),"Pyxis Pioneer")</f>
        <v>Pyxis Pioneer</v>
      </c>
      <c r="AD299" s="24"/>
      <c r="AE299" s="24" t="str">
        <f t="shared" si="4"/>
        <v/>
      </c>
      <c r="AF299" s="22">
        <f t="shared" si="6"/>
        <v>1</v>
      </c>
      <c r="AG299" s="22" t="str">
        <f t="shared" ca="1" si="5"/>
        <v/>
      </c>
      <c r="AH299" s="8"/>
      <c r="AI299" s="8"/>
    </row>
    <row r="300" spans="1:35" ht="15.75" customHeight="1" x14ac:dyDescent="0.25">
      <c r="B300" s="8"/>
      <c r="C300" s="8"/>
      <c r="D300" s="8"/>
      <c r="E300" s="5" t="s">
        <v>417</v>
      </c>
      <c r="F300" s="16">
        <v>88000</v>
      </c>
      <c r="G300" s="16">
        <v>75000</v>
      </c>
      <c r="H300" s="5" t="s">
        <v>53</v>
      </c>
      <c r="I300" s="741" t="s">
        <v>54</v>
      </c>
      <c r="J300" s="742"/>
      <c r="K300" s="5">
        <v>1049912</v>
      </c>
      <c r="L300" s="5"/>
      <c r="M300" s="17"/>
      <c r="N300" s="18" t="b">
        <v>0</v>
      </c>
      <c r="O300" s="18"/>
      <c r="P300" s="5"/>
      <c r="Q300" s="8"/>
      <c r="R300" s="8"/>
      <c r="S300" s="8"/>
      <c r="T300" s="8"/>
      <c r="U300" s="8"/>
      <c r="V300" s="8"/>
      <c r="W300" s="8"/>
      <c r="X300" s="22"/>
      <c r="Y300" s="22"/>
      <c r="Z300" s="22"/>
      <c r="AA300" s="22"/>
      <c r="AB300" s="8"/>
      <c r="AC300" s="8" t="str">
        <f ca="1">IFERROR(__xludf.DUMMYFUNCTION("""COMPUTED_VALUE"""),"Rabdan")</f>
        <v>Rabdan</v>
      </c>
      <c r="AD300" s="24"/>
      <c r="AE300" s="24" t="str">
        <f t="shared" si="4"/>
        <v/>
      </c>
      <c r="AF300" s="22">
        <f t="shared" si="6"/>
        <v>1</v>
      </c>
      <c r="AG300" s="22" t="str">
        <f t="shared" ca="1" si="5"/>
        <v/>
      </c>
      <c r="AH300" s="8"/>
      <c r="AI300" s="8"/>
    </row>
    <row r="301" spans="1:35" ht="15.75" customHeight="1" x14ac:dyDescent="0.25">
      <c r="B301" s="8"/>
      <c r="C301" s="8"/>
      <c r="D301" s="8"/>
      <c r="E301" s="5" t="s">
        <v>418</v>
      </c>
      <c r="F301" s="16">
        <v>88000</v>
      </c>
      <c r="G301" s="16">
        <v>63690</v>
      </c>
      <c r="H301" s="5" t="s">
        <v>53</v>
      </c>
      <c r="I301" s="741" t="s">
        <v>54</v>
      </c>
      <c r="J301" s="742"/>
      <c r="K301" s="5">
        <v>1050129</v>
      </c>
      <c r="L301" s="5"/>
      <c r="M301" s="17"/>
      <c r="N301" s="18" t="b">
        <v>0</v>
      </c>
      <c r="O301" s="18"/>
      <c r="P301" s="5"/>
      <c r="Q301" s="8"/>
      <c r="R301" s="8"/>
      <c r="S301" s="8"/>
      <c r="T301" s="8"/>
      <c r="U301" s="8"/>
      <c r="V301" s="8"/>
      <c r="W301" s="8"/>
      <c r="X301" s="22"/>
      <c r="Y301" s="22"/>
      <c r="Z301" s="22"/>
      <c r="AA301" s="22"/>
      <c r="AB301" s="8"/>
      <c r="AC301" s="8" t="str">
        <f ca="1">IFERROR(__xludf.DUMMYFUNCTION("""COMPUTED_VALUE"""),"Red Admiral")</f>
        <v>Red Admiral</v>
      </c>
      <c r="AD301" s="24"/>
      <c r="AE301" s="24" t="str">
        <f t="shared" si="4"/>
        <v/>
      </c>
      <c r="AF301" s="22">
        <f t="shared" si="6"/>
        <v>1</v>
      </c>
      <c r="AG301" s="22" t="str">
        <f t="shared" ca="1" si="5"/>
        <v/>
      </c>
      <c r="AH301" s="8"/>
      <c r="AI301" s="8"/>
    </row>
    <row r="302" spans="1:35" ht="15.75" customHeight="1" x14ac:dyDescent="0.25">
      <c r="B302" s="8"/>
      <c r="C302" s="8"/>
      <c r="D302" s="8"/>
      <c r="E302" s="5" t="s">
        <v>419</v>
      </c>
      <c r="F302" s="16">
        <v>88000</v>
      </c>
      <c r="G302" s="16">
        <v>57234</v>
      </c>
      <c r="H302" s="5" t="s">
        <v>53</v>
      </c>
      <c r="I302" s="741" t="s">
        <v>54</v>
      </c>
      <c r="J302" s="742"/>
      <c r="K302" s="5">
        <v>1054175</v>
      </c>
      <c r="L302" s="5"/>
      <c r="M302" s="17"/>
      <c r="N302" s="18" t="b">
        <v>0</v>
      </c>
      <c r="O302" s="18"/>
      <c r="P302" s="5"/>
      <c r="Q302" s="8"/>
      <c r="R302" s="8"/>
      <c r="S302" s="8"/>
      <c r="T302" s="8"/>
      <c r="U302" s="8"/>
      <c r="V302" s="8"/>
      <c r="W302" s="8"/>
      <c r="X302" s="22"/>
      <c r="Y302" s="22"/>
      <c r="Z302" s="22"/>
      <c r="AA302" s="22"/>
      <c r="AB302" s="8"/>
      <c r="AC302" s="8" t="str">
        <f ca="1">IFERROR(__xludf.DUMMYFUNCTION("""COMPUTED_VALUE"""),"Red Marauder")</f>
        <v>Red Marauder</v>
      </c>
      <c r="AD302" s="24"/>
      <c r="AE302" s="24" t="str">
        <f t="shared" si="4"/>
        <v/>
      </c>
      <c r="AF302" s="22">
        <f t="shared" si="6"/>
        <v>1</v>
      </c>
      <c r="AG302" s="22" t="str">
        <f t="shared" ca="1" si="5"/>
        <v/>
      </c>
      <c r="AH302" s="8"/>
      <c r="AI302" s="8"/>
    </row>
    <row r="303" spans="1:35" ht="15.75" customHeight="1" x14ac:dyDescent="0.25">
      <c r="B303" s="8"/>
      <c r="C303" s="8"/>
      <c r="D303" s="8"/>
      <c r="E303" s="5" t="s">
        <v>420</v>
      </c>
      <c r="F303" s="16">
        <v>88000</v>
      </c>
      <c r="G303" s="16">
        <v>56044</v>
      </c>
      <c r="H303" s="5" t="s">
        <v>53</v>
      </c>
      <c r="I303" s="741" t="s">
        <v>54</v>
      </c>
      <c r="J303" s="742"/>
      <c r="K303" s="5">
        <v>1058731</v>
      </c>
      <c r="L303" s="5"/>
      <c r="M303" s="17"/>
      <c r="N303" s="18" t="b">
        <v>0</v>
      </c>
      <c r="O303" s="18"/>
      <c r="P303" s="5"/>
      <c r="Q303" s="8"/>
      <c r="R303" s="8"/>
      <c r="S303" s="8"/>
      <c r="T303" s="8"/>
      <c r="U303" s="8"/>
      <c r="V303" s="8"/>
      <c r="W303" s="8"/>
      <c r="X303" s="22"/>
      <c r="Y303" s="22"/>
      <c r="Z303" s="22"/>
      <c r="AA303" s="22"/>
      <c r="AB303" s="8"/>
      <c r="AC303" s="8" t="str">
        <f ca="1">IFERROR(__xludf.DUMMYFUNCTION("""COMPUTED_VALUE"""),"Red Rum")</f>
        <v>Red Rum</v>
      </c>
      <c r="AD303" s="24"/>
      <c r="AE303" s="24" t="str">
        <f t="shared" si="4"/>
        <v/>
      </c>
      <c r="AF303" s="22">
        <f t="shared" si="6"/>
        <v>1</v>
      </c>
      <c r="AG303" s="22" t="str">
        <f t="shared" ca="1" si="5"/>
        <v/>
      </c>
      <c r="AH303" s="8"/>
      <c r="AI303" s="8"/>
    </row>
    <row r="304" spans="1:35" ht="15.75" customHeight="1" x14ac:dyDescent="0.25">
      <c r="A304" s="8"/>
      <c r="B304" s="8"/>
      <c r="C304" s="8"/>
      <c r="D304" s="8"/>
      <c r="E304" s="5" t="s">
        <v>421</v>
      </c>
      <c r="F304" s="16">
        <v>88000</v>
      </c>
      <c r="G304" s="16">
        <v>56044</v>
      </c>
      <c r="H304" s="5" t="s">
        <v>53</v>
      </c>
      <c r="I304" s="741" t="s">
        <v>54</v>
      </c>
      <c r="J304" s="742"/>
      <c r="K304" s="5">
        <v>1058743</v>
      </c>
      <c r="L304" s="5"/>
      <c r="M304" s="17"/>
      <c r="N304" s="18" t="b">
        <v>0</v>
      </c>
      <c r="O304" s="18"/>
      <c r="P304" s="5"/>
      <c r="Q304" s="8"/>
      <c r="R304" s="8"/>
      <c r="S304" s="8"/>
      <c r="T304" s="8"/>
      <c r="U304" s="8"/>
      <c r="V304" s="8"/>
      <c r="W304" s="8"/>
      <c r="X304" s="22"/>
      <c r="Y304" s="22"/>
      <c r="Z304" s="22"/>
      <c r="AA304" s="22"/>
      <c r="AB304" s="8"/>
      <c r="AC304" s="8" t="str">
        <f ca="1">IFERROR(__xludf.DUMMYFUNCTION("""COMPUTED_VALUE"""),"Reference Point")</f>
        <v>Reference Point</v>
      </c>
      <c r="AD304" s="24"/>
      <c r="AE304" s="24" t="str">
        <f t="shared" si="4"/>
        <v/>
      </c>
      <c r="AF304" s="22">
        <f t="shared" si="6"/>
        <v>1</v>
      </c>
      <c r="AG304" s="22" t="str">
        <f t="shared" ca="1" si="5"/>
        <v/>
      </c>
      <c r="AH304" s="8"/>
      <c r="AI304" s="8"/>
    </row>
    <row r="305" spans="1:35" ht="15.75" customHeight="1" x14ac:dyDescent="0.25">
      <c r="A305" s="8"/>
      <c r="B305" s="8"/>
      <c r="C305" s="8"/>
      <c r="D305" s="8"/>
      <c r="E305" s="5" t="s">
        <v>422</v>
      </c>
      <c r="F305" s="16">
        <v>88000</v>
      </c>
      <c r="G305" s="16">
        <v>56044</v>
      </c>
      <c r="H305" s="5" t="s">
        <v>53</v>
      </c>
      <c r="I305" s="741" t="s">
        <v>54</v>
      </c>
      <c r="J305" s="742"/>
      <c r="K305" s="5">
        <v>1058755</v>
      </c>
      <c r="L305" s="5"/>
      <c r="M305" s="17"/>
      <c r="N305" s="18" t="b">
        <v>0</v>
      </c>
      <c r="O305" s="18"/>
      <c r="P305" s="5"/>
      <c r="Q305" s="8"/>
      <c r="R305" s="8"/>
      <c r="S305" s="8"/>
      <c r="T305" s="8"/>
      <c r="U305" s="8"/>
      <c r="V305" s="8"/>
      <c r="W305" s="8"/>
      <c r="X305" s="22"/>
      <c r="Y305" s="22"/>
      <c r="Z305" s="22"/>
      <c r="AA305" s="22"/>
      <c r="AB305" s="8"/>
      <c r="AC305" s="8" t="str">
        <f ca="1">IFERROR(__xludf.DUMMYFUNCTION("""COMPUTED_VALUE"""),"Reggane")</f>
        <v>Reggane</v>
      </c>
      <c r="AD305" s="24"/>
      <c r="AE305" s="24" t="str">
        <f t="shared" si="4"/>
        <v/>
      </c>
      <c r="AF305" s="22">
        <f t="shared" si="6"/>
        <v>1</v>
      </c>
      <c r="AG305" s="22" t="str">
        <f t="shared" ca="1" si="5"/>
        <v/>
      </c>
      <c r="AH305" s="8"/>
      <c r="AI305" s="8"/>
    </row>
    <row r="306" spans="1:35" ht="15.75" customHeight="1" x14ac:dyDescent="0.25">
      <c r="A306" s="8"/>
      <c r="B306" s="8"/>
      <c r="C306" s="8"/>
      <c r="D306" s="8"/>
      <c r="E306" s="5" t="s">
        <v>423</v>
      </c>
      <c r="F306" s="16">
        <v>88000</v>
      </c>
      <c r="G306" s="16">
        <v>57000</v>
      </c>
      <c r="H306" s="5" t="s">
        <v>53</v>
      </c>
      <c r="I306" s="741" t="s">
        <v>54</v>
      </c>
      <c r="J306" s="742"/>
      <c r="K306" s="5">
        <v>1076044</v>
      </c>
      <c r="L306" s="5"/>
      <c r="M306" s="17"/>
      <c r="N306" s="18" t="b">
        <v>0</v>
      </c>
      <c r="O306" s="18"/>
      <c r="P306" s="5"/>
      <c r="Q306" s="8"/>
      <c r="R306" s="8"/>
      <c r="S306" s="8"/>
      <c r="T306" s="8"/>
      <c r="U306" s="8"/>
      <c r="V306" s="8"/>
      <c r="W306" s="8"/>
      <c r="X306" s="22"/>
      <c r="Y306" s="22"/>
      <c r="Z306" s="22"/>
      <c r="AA306" s="22"/>
      <c r="AB306" s="8"/>
      <c r="AC306" s="8" t="str">
        <f ca="1">IFERROR(__xludf.DUMMYFUNCTION("""COMPUTED_VALUE"""),"Roberto")</f>
        <v>Roberto</v>
      </c>
      <c r="AD306" s="24"/>
      <c r="AE306" s="24" t="str">
        <f t="shared" si="4"/>
        <v/>
      </c>
      <c r="AF306" s="22">
        <f t="shared" si="6"/>
        <v>1</v>
      </c>
      <c r="AG306" s="22" t="str">
        <f t="shared" ca="1" si="5"/>
        <v/>
      </c>
      <c r="AH306" s="8"/>
      <c r="AI306" s="8"/>
    </row>
    <row r="307" spans="1:35" ht="15.75" customHeight="1" x14ac:dyDescent="0.25">
      <c r="A307" s="8"/>
      <c r="B307" s="8"/>
      <c r="C307" s="8"/>
      <c r="D307" s="8"/>
      <c r="E307" s="5" t="s">
        <v>424</v>
      </c>
      <c r="F307" s="16">
        <v>88000</v>
      </c>
      <c r="G307" s="16">
        <v>57000</v>
      </c>
      <c r="H307" s="5" t="s">
        <v>53</v>
      </c>
      <c r="I307" s="741" t="s">
        <v>54</v>
      </c>
      <c r="J307" s="742"/>
      <c r="K307" s="5">
        <v>1076056</v>
      </c>
      <c r="L307" s="5"/>
      <c r="M307" s="17"/>
      <c r="N307" s="18" t="b">
        <v>0</v>
      </c>
      <c r="O307" s="18"/>
      <c r="P307" s="5"/>
      <c r="Q307" s="8"/>
      <c r="R307" s="8"/>
      <c r="S307" s="8"/>
      <c r="T307" s="8"/>
      <c r="U307" s="8"/>
      <c r="V307" s="8"/>
      <c r="W307" s="8"/>
      <c r="X307" s="22"/>
      <c r="Y307" s="22"/>
      <c r="Z307" s="22"/>
      <c r="AA307" s="22"/>
      <c r="AB307" s="8"/>
      <c r="AC307" s="8" t="str">
        <f ca="1">IFERROR(__xludf.DUMMYFUNCTION("""COMPUTED_VALUE"""),"Rosablanche")</f>
        <v>Rosablanche</v>
      </c>
      <c r="AD307" s="24"/>
      <c r="AE307" s="24" t="str">
        <f t="shared" si="4"/>
        <v/>
      </c>
      <c r="AF307" s="22">
        <f t="shared" si="6"/>
        <v>1</v>
      </c>
      <c r="AG307" s="22" t="str">
        <f t="shared" ca="1" si="5"/>
        <v/>
      </c>
      <c r="AH307" s="8"/>
      <c r="AI307" s="8"/>
    </row>
    <row r="308" spans="1:35" ht="15.75" customHeight="1" x14ac:dyDescent="0.25">
      <c r="A308" s="8"/>
      <c r="B308" s="8"/>
      <c r="C308" s="8"/>
      <c r="D308" s="8"/>
      <c r="E308" s="5" t="s">
        <v>425</v>
      </c>
      <c r="F308" s="16">
        <v>86240</v>
      </c>
      <c r="G308" s="16">
        <v>63000</v>
      </c>
      <c r="H308" s="5" t="s">
        <v>53</v>
      </c>
      <c r="I308" s="741" t="s">
        <v>54</v>
      </c>
      <c r="J308" s="742"/>
      <c r="K308" s="5">
        <v>1098975</v>
      </c>
      <c r="L308" s="5"/>
      <c r="M308" s="17"/>
      <c r="N308" s="18" t="b">
        <v>0</v>
      </c>
      <c r="O308" s="18"/>
      <c r="P308" s="5"/>
      <c r="Q308" s="8"/>
      <c r="R308" s="8"/>
      <c r="S308" s="8"/>
      <c r="T308" s="8"/>
      <c r="U308" s="8"/>
      <c r="V308" s="8"/>
      <c r="W308" s="8"/>
      <c r="X308" s="22"/>
      <c r="Y308" s="22"/>
      <c r="Z308" s="22"/>
      <c r="AA308" s="22"/>
      <c r="AB308" s="8"/>
      <c r="AC308" s="8" t="str">
        <f ca="1">IFERROR(__xludf.DUMMYFUNCTION("""COMPUTED_VALUE"""),"Sakura Gas")</f>
        <v>Sakura Gas</v>
      </c>
      <c r="AD308" s="24"/>
      <c r="AE308" s="24" t="str">
        <f t="shared" si="4"/>
        <v/>
      </c>
      <c r="AF308" s="22">
        <f t="shared" si="6"/>
        <v>1</v>
      </c>
      <c r="AG308" s="22" t="str">
        <f t="shared" ca="1" si="5"/>
        <v/>
      </c>
      <c r="AH308" s="8"/>
      <c r="AI308" s="8"/>
    </row>
    <row r="309" spans="1:35" ht="15.75" customHeight="1" x14ac:dyDescent="0.25">
      <c r="A309" s="8"/>
      <c r="B309" s="8"/>
      <c r="C309" s="8"/>
      <c r="D309" s="8"/>
      <c r="E309" s="5" t="s">
        <v>426</v>
      </c>
      <c r="F309" s="16">
        <v>88000</v>
      </c>
      <c r="G309" s="16">
        <v>58045</v>
      </c>
      <c r="H309" s="5" t="s">
        <v>20</v>
      </c>
      <c r="I309" s="5" t="s">
        <v>21</v>
      </c>
      <c r="J309" s="5">
        <v>636022844</v>
      </c>
      <c r="K309" s="5">
        <v>9987550</v>
      </c>
      <c r="L309" s="5" t="s">
        <v>427</v>
      </c>
      <c r="M309" s="33">
        <v>46148</v>
      </c>
      <c r="N309" s="18" t="b">
        <v>1</v>
      </c>
      <c r="O309" s="18"/>
      <c r="P309" s="5"/>
      <c r="Q309" s="8"/>
      <c r="R309" s="8"/>
      <c r="S309" s="8"/>
      <c r="T309" s="8"/>
      <c r="U309" s="8"/>
      <c r="V309" s="8"/>
      <c r="W309" s="8"/>
      <c r="X309" s="22"/>
      <c r="Y309" s="22"/>
      <c r="Z309" s="22"/>
      <c r="AA309" s="22"/>
      <c r="AB309" s="8"/>
      <c r="AC309" s="8" t="str">
        <f ca="1">IFERROR(__xludf.DUMMYFUNCTION("""COMPUTED_VALUE"""),"Sansovino")</f>
        <v>Sansovino</v>
      </c>
      <c r="AD309" s="24"/>
      <c r="AE309" s="24" t="str">
        <f t="shared" si="4"/>
        <v/>
      </c>
      <c r="AF309" s="22">
        <f t="shared" si="6"/>
        <v>1</v>
      </c>
      <c r="AG309" s="22">
        <f t="shared" ca="1" si="5"/>
        <v>1</v>
      </c>
      <c r="AH309" s="8"/>
      <c r="AI309" s="8"/>
    </row>
    <row r="310" spans="1:35" ht="15.75" customHeight="1" x14ac:dyDescent="0.25">
      <c r="A310" s="8"/>
      <c r="B310" s="8"/>
      <c r="C310" s="8"/>
      <c r="D310" s="8"/>
      <c r="E310" s="5" t="s">
        <v>428</v>
      </c>
      <c r="F310" s="16">
        <v>93000</v>
      </c>
      <c r="G310" s="16">
        <v>59800</v>
      </c>
      <c r="H310" s="5" t="s">
        <v>53</v>
      </c>
      <c r="I310" s="5" t="s">
        <v>54</v>
      </c>
      <c r="J310" s="5">
        <v>636026044</v>
      </c>
      <c r="K310" s="5">
        <v>1017103</v>
      </c>
      <c r="L310" s="5"/>
      <c r="M310" s="17"/>
      <c r="N310" s="18" t="b">
        <v>0</v>
      </c>
      <c r="O310" s="18"/>
      <c r="P310" s="5"/>
      <c r="Q310" s="8"/>
      <c r="R310" s="8"/>
      <c r="S310" s="8"/>
      <c r="T310" s="8"/>
      <c r="U310" s="8"/>
      <c r="V310" s="8"/>
      <c r="W310" s="8"/>
      <c r="X310" s="22"/>
      <c r="Y310" s="22"/>
      <c r="Z310" s="22"/>
      <c r="AA310" s="22"/>
      <c r="AB310" s="8"/>
      <c r="AC310" s="8" t="str">
        <f ca="1">IFERROR(__xludf.DUMMYFUNCTION("""COMPUTED_VALUE"""),"Secreto")</f>
        <v>Secreto</v>
      </c>
      <c r="AD310" s="24"/>
      <c r="AE310" s="24" t="str">
        <f t="shared" si="4"/>
        <v/>
      </c>
      <c r="AF310" s="22">
        <f t="shared" si="6"/>
        <v>1</v>
      </c>
      <c r="AG310" s="22" t="str">
        <f t="shared" ca="1" si="5"/>
        <v/>
      </c>
      <c r="AH310" s="8"/>
      <c r="AI310" s="8"/>
    </row>
    <row r="311" spans="1:35" ht="15.75" customHeight="1" x14ac:dyDescent="0.25">
      <c r="A311" s="8"/>
      <c r="B311" s="8"/>
      <c r="C311" s="8"/>
      <c r="D311" s="8"/>
      <c r="E311" s="5" t="s">
        <v>429</v>
      </c>
      <c r="F311" s="16">
        <v>83269</v>
      </c>
      <c r="G311" s="16">
        <v>54450</v>
      </c>
      <c r="H311" s="5" t="s">
        <v>26</v>
      </c>
      <c r="I311" s="5" t="s">
        <v>21</v>
      </c>
      <c r="J311" s="5">
        <v>419001387</v>
      </c>
      <c r="K311" s="5">
        <v>9307750</v>
      </c>
      <c r="L311" s="5" t="s">
        <v>430</v>
      </c>
      <c r="M311" s="17">
        <v>46132.875</v>
      </c>
      <c r="N311" s="18" t="b">
        <v>0</v>
      </c>
      <c r="O311" s="18"/>
      <c r="P311" s="5"/>
      <c r="Q311" s="8"/>
      <c r="R311" s="8"/>
      <c r="S311" s="8"/>
      <c r="T311" s="8"/>
      <c r="U311" s="8"/>
      <c r="V311" s="8"/>
      <c r="W311" s="8"/>
      <c r="X311" s="22"/>
      <c r="Y311" s="22"/>
      <c r="Z311" s="22"/>
      <c r="AA311" s="22"/>
      <c r="AB311" s="8"/>
      <c r="AC311" s="8" t="str">
        <f ca="1">IFERROR(__xludf.DUMMYFUNCTION("""COMPUTED_VALUE"""),"Shaamit")</f>
        <v>Shaamit</v>
      </c>
      <c r="AD311" s="24"/>
      <c r="AE311" s="24" t="str">
        <f t="shared" si="4"/>
        <v/>
      </c>
      <c r="AF311" s="22">
        <f t="shared" si="6"/>
        <v>1</v>
      </c>
      <c r="AG311" s="22">
        <f t="shared" ca="1" si="5"/>
        <v>1</v>
      </c>
      <c r="AH311" s="8"/>
      <c r="AI311" s="8"/>
    </row>
    <row r="312" spans="1:35" ht="15.75" customHeight="1" x14ac:dyDescent="0.25">
      <c r="A312" s="8"/>
      <c r="B312" s="8"/>
      <c r="C312" s="8"/>
      <c r="D312" s="8"/>
      <c r="E312" s="5" t="s">
        <v>431</v>
      </c>
      <c r="F312" s="16">
        <v>84124</v>
      </c>
      <c r="G312" s="16">
        <v>51747</v>
      </c>
      <c r="H312" s="5" t="s">
        <v>26</v>
      </c>
      <c r="I312" s="5" t="s">
        <v>21</v>
      </c>
      <c r="J312" s="5">
        <v>538012251</v>
      </c>
      <c r="K312" s="5">
        <v>9726061</v>
      </c>
      <c r="L312" s="5" t="s">
        <v>38</v>
      </c>
      <c r="M312" s="17">
        <v>46166.000694444447</v>
      </c>
      <c r="N312" s="18" t="b">
        <v>0</v>
      </c>
      <c r="O312" s="18"/>
      <c r="P312" s="5"/>
      <c r="Q312" s="8"/>
      <c r="R312" s="8"/>
      <c r="S312" s="8"/>
      <c r="T312" s="8"/>
      <c r="U312" s="8"/>
      <c r="V312" s="8"/>
      <c r="W312" s="8"/>
      <c r="X312" s="22"/>
      <c r="Y312" s="22"/>
      <c r="Z312" s="22"/>
      <c r="AA312" s="22"/>
      <c r="AB312" s="8"/>
      <c r="AC312" s="8" t="str">
        <f ca="1">IFERROR(__xludf.DUMMYFUNCTION("""COMPUTED_VALUE"""),"Shergar")</f>
        <v>Shergar</v>
      </c>
      <c r="AD312" s="24"/>
      <c r="AE312" s="24" t="str">
        <f t="shared" si="4"/>
        <v/>
      </c>
      <c r="AF312" s="22">
        <f t="shared" si="6"/>
        <v>1</v>
      </c>
      <c r="AG312" s="22">
        <f t="shared" ca="1" si="5"/>
        <v>1</v>
      </c>
      <c r="AH312" s="8"/>
      <c r="AI312" s="8"/>
    </row>
    <row r="313" spans="1:35" ht="15.75" customHeight="1" x14ac:dyDescent="0.25">
      <c r="A313" s="8"/>
      <c r="B313" s="8"/>
      <c r="C313" s="8"/>
      <c r="D313" s="8"/>
      <c r="E313" s="5" t="s">
        <v>432</v>
      </c>
      <c r="F313" s="16">
        <v>81605</v>
      </c>
      <c r="G313" s="16">
        <v>54490</v>
      </c>
      <c r="H313" s="5" t="s">
        <v>20</v>
      </c>
      <c r="I313" s="5" t="s">
        <v>21</v>
      </c>
      <c r="J313" s="5">
        <v>419001357</v>
      </c>
      <c r="K313" s="5">
        <v>9307762</v>
      </c>
      <c r="L313" s="5" t="s">
        <v>387</v>
      </c>
      <c r="M313" s="17">
        <v>46132.25</v>
      </c>
      <c r="N313" s="18" t="b">
        <v>1</v>
      </c>
      <c r="O313" s="18"/>
      <c r="P313" s="5"/>
      <c r="Q313" s="8"/>
      <c r="R313" s="8"/>
      <c r="S313" s="8"/>
      <c r="T313" s="8"/>
      <c r="U313" s="8"/>
      <c r="V313" s="8"/>
      <c r="W313" s="8"/>
      <c r="X313" s="22"/>
      <c r="Y313" s="22"/>
      <c r="Z313" s="22"/>
      <c r="AA313" s="22"/>
      <c r="AB313" s="8"/>
      <c r="AC313" s="8" t="str">
        <f ca="1">IFERROR(__xludf.DUMMYFUNCTION("""COMPUTED_VALUE"""),"Silvio")</f>
        <v>Silvio</v>
      </c>
      <c r="AD313" s="24"/>
      <c r="AE313" s="24" t="str">
        <f t="shared" si="4"/>
        <v/>
      </c>
      <c r="AF313" s="22">
        <f t="shared" si="6"/>
        <v>1</v>
      </c>
      <c r="AG313" s="22" t="str">
        <f t="shared" ca="1" si="5"/>
        <v/>
      </c>
      <c r="AH313" s="8"/>
      <c r="AI313" s="8"/>
    </row>
    <row r="314" spans="1:35" ht="15.75" customHeight="1" x14ac:dyDescent="0.25">
      <c r="A314" s="8"/>
      <c r="B314" s="8"/>
      <c r="C314" s="8"/>
      <c r="D314" s="8"/>
      <c r="E314" s="5" t="s">
        <v>433</v>
      </c>
      <c r="F314" s="16">
        <v>84000</v>
      </c>
      <c r="G314" s="16">
        <v>54675</v>
      </c>
      <c r="H314" s="5" t="s">
        <v>26</v>
      </c>
      <c r="I314" s="5" t="s">
        <v>21</v>
      </c>
      <c r="J314" s="5">
        <v>374797000</v>
      </c>
      <c r="K314" s="5">
        <v>9754824</v>
      </c>
      <c r="L314" s="5" t="s">
        <v>43</v>
      </c>
      <c r="M314" s="33">
        <v>46132.208333333336</v>
      </c>
      <c r="N314" s="18" t="b">
        <v>0</v>
      </c>
      <c r="O314" s="18"/>
      <c r="P314" s="5"/>
      <c r="Q314" s="8"/>
      <c r="R314" s="8"/>
      <c r="S314" s="8"/>
      <c r="T314" s="8"/>
      <c r="U314" s="8"/>
      <c r="V314" s="8"/>
      <c r="W314" s="8"/>
      <c r="X314" s="22"/>
      <c r="Y314" s="22"/>
      <c r="Z314" s="22"/>
      <c r="AA314" s="22"/>
      <c r="AB314" s="8"/>
      <c r="AC314" s="8" t="str">
        <f ca="1">IFERROR(__xludf.DUMMYFUNCTION("""COMPUTED_VALUE"""),"Sinndar")</f>
        <v>Sinndar</v>
      </c>
      <c r="AD314" s="24"/>
      <c r="AE314" s="24" t="str">
        <f t="shared" si="4"/>
        <v/>
      </c>
      <c r="AF314" s="22">
        <f t="shared" si="6"/>
        <v>1</v>
      </c>
      <c r="AG314" s="22">
        <f t="shared" ca="1" si="5"/>
        <v>1</v>
      </c>
      <c r="AH314" s="8"/>
      <c r="AI314" s="8"/>
    </row>
    <row r="315" spans="1:35" ht="15.75" customHeight="1" x14ac:dyDescent="0.25">
      <c r="A315" s="8"/>
      <c r="B315" s="8"/>
      <c r="C315" s="8"/>
      <c r="D315" s="8"/>
      <c r="E315" s="5" t="s">
        <v>434</v>
      </c>
      <c r="F315" s="16">
        <v>90000</v>
      </c>
      <c r="G315" s="16">
        <v>57847</v>
      </c>
      <c r="H315" s="5" t="s">
        <v>20</v>
      </c>
      <c r="I315" s="5" t="s">
        <v>21</v>
      </c>
      <c r="J315" s="5">
        <v>228406700</v>
      </c>
      <c r="K315" s="5">
        <v>9904091</v>
      </c>
      <c r="L315" s="5"/>
      <c r="M315" s="17"/>
      <c r="N315" s="18" t="b">
        <v>1</v>
      </c>
      <c r="O315" s="18"/>
      <c r="P315" s="5"/>
      <c r="Q315" s="8"/>
      <c r="R315" s="8"/>
      <c r="S315" s="8"/>
      <c r="T315" s="8"/>
      <c r="U315" s="8"/>
      <c r="V315" s="8"/>
      <c r="W315" s="8"/>
      <c r="X315" s="22"/>
      <c r="Y315" s="22"/>
      <c r="Z315" s="22"/>
      <c r="AA315" s="22"/>
      <c r="AB315" s="8"/>
      <c r="AC315" s="8" t="str">
        <f ca="1">IFERROR(__xludf.DUMMYFUNCTION("""COMPUTED_VALUE"""),"Sobaek Explorer")</f>
        <v>Sobaek Explorer</v>
      </c>
      <c r="AD315" s="24"/>
      <c r="AE315" s="24" t="str">
        <f t="shared" si="4"/>
        <v/>
      </c>
      <c r="AF315" s="22">
        <f t="shared" si="6"/>
        <v>1</v>
      </c>
      <c r="AG315" s="22">
        <f t="shared" ca="1" si="5"/>
        <v>1</v>
      </c>
      <c r="AH315" s="8"/>
      <c r="AI315" s="8"/>
    </row>
    <row r="316" spans="1:35" ht="15.75" customHeight="1" x14ac:dyDescent="0.25">
      <c r="A316" s="8"/>
      <c r="B316" s="8"/>
      <c r="C316" s="8"/>
      <c r="D316" s="8"/>
      <c r="E316" s="5" t="s">
        <v>435</v>
      </c>
      <c r="F316" s="16">
        <v>80200</v>
      </c>
      <c r="G316" s="16">
        <v>53010</v>
      </c>
      <c r="H316" s="5" t="s">
        <v>20</v>
      </c>
      <c r="I316" s="5" t="s">
        <v>21</v>
      </c>
      <c r="J316" s="5">
        <v>525121060</v>
      </c>
      <c r="K316" s="5">
        <v>9454010</v>
      </c>
      <c r="L316" s="5" t="s">
        <v>299</v>
      </c>
      <c r="M316" s="33">
        <v>46140.416666666664</v>
      </c>
      <c r="N316" s="18" t="b">
        <v>1</v>
      </c>
      <c r="O316" s="18"/>
      <c r="P316" s="5"/>
      <c r="Q316" s="8"/>
      <c r="R316" s="8"/>
      <c r="S316" s="8"/>
      <c r="T316" s="8"/>
      <c r="U316" s="8"/>
      <c r="V316" s="8"/>
      <c r="W316" s="8"/>
      <c r="X316" s="22"/>
      <c r="Y316" s="22"/>
      <c r="Z316" s="22"/>
      <c r="AA316" s="22"/>
      <c r="AB316" s="8"/>
      <c r="AC316" s="8" t="str">
        <f ca="1">IFERROR(__xludf.DUMMYFUNCTION("""COMPUTED_VALUE"""),"Sumire Gas")</f>
        <v>Sumire Gas</v>
      </c>
      <c r="AD316" s="24"/>
      <c r="AE316" s="24" t="str">
        <f t="shared" si="4"/>
        <v/>
      </c>
      <c r="AF316" s="22">
        <f t="shared" si="6"/>
        <v>1</v>
      </c>
      <c r="AG316" s="22">
        <f t="shared" ca="1" si="5"/>
        <v>1</v>
      </c>
      <c r="AH316" s="8"/>
      <c r="AI316" s="8"/>
    </row>
    <row r="317" spans="1:35" ht="15.75" customHeight="1" x14ac:dyDescent="0.25">
      <c r="A317" s="8"/>
      <c r="B317" s="8"/>
      <c r="C317" s="8"/>
      <c r="D317" s="8"/>
      <c r="E317" s="5" t="s">
        <v>436</v>
      </c>
      <c r="F317" s="16">
        <v>84000</v>
      </c>
      <c r="G317" s="16">
        <v>53999</v>
      </c>
      <c r="H317" s="5" t="s">
        <v>20</v>
      </c>
      <c r="I317" s="5" t="s">
        <v>21</v>
      </c>
      <c r="J317" s="5">
        <v>538007028</v>
      </c>
      <c r="K317" s="5">
        <v>9735787</v>
      </c>
      <c r="L317" s="5" t="s">
        <v>437</v>
      </c>
      <c r="M317" s="17">
        <v>46164.333333333336</v>
      </c>
      <c r="N317" s="18" t="b">
        <v>1</v>
      </c>
      <c r="O317" s="18"/>
      <c r="P317" s="5"/>
      <c r="Q317" s="8"/>
      <c r="R317" s="8"/>
      <c r="S317" s="8"/>
      <c r="T317" s="8"/>
      <c r="U317" s="8"/>
      <c r="V317" s="8"/>
      <c r="W317" s="8"/>
      <c r="X317" s="22"/>
      <c r="Y317" s="22"/>
      <c r="Z317" s="22"/>
      <c r="AA317" s="22"/>
      <c r="AB317" s="8"/>
      <c r="AC317" s="8" t="str">
        <f ca="1">IFERROR(__xludf.DUMMYFUNCTION("""COMPUTED_VALUE"""),"Summit River")</f>
        <v>Summit River</v>
      </c>
      <c r="AD317" s="24"/>
      <c r="AE317" s="24" t="str">
        <f t="shared" si="4"/>
        <v/>
      </c>
      <c r="AF317" s="22">
        <f t="shared" si="6"/>
        <v>1</v>
      </c>
      <c r="AG317" s="22">
        <f t="shared" ca="1" si="5"/>
        <v>1</v>
      </c>
      <c r="AH317" s="8"/>
      <c r="AI317" s="8"/>
    </row>
    <row r="318" spans="1:35" ht="15.75" customHeight="1" x14ac:dyDescent="0.25">
      <c r="A318" s="8"/>
      <c r="B318" s="8"/>
      <c r="C318" s="8"/>
      <c r="D318" s="8"/>
      <c r="E318" s="5" t="s">
        <v>438</v>
      </c>
      <c r="F318" s="16">
        <v>93000</v>
      </c>
      <c r="G318" s="16">
        <v>65000</v>
      </c>
      <c r="H318" s="5" t="s">
        <v>53</v>
      </c>
      <c r="I318" s="741" t="s">
        <v>54</v>
      </c>
      <c r="J318" s="742"/>
      <c r="K318" s="5">
        <v>1080899</v>
      </c>
      <c r="L318" s="5"/>
      <c r="M318" s="33"/>
      <c r="N318" s="18" t="b">
        <v>0</v>
      </c>
      <c r="O318" s="18"/>
      <c r="P318" s="5"/>
      <c r="Q318" s="8"/>
      <c r="R318" s="8"/>
      <c r="S318" s="8"/>
      <c r="T318" s="8"/>
      <c r="U318" s="8"/>
      <c r="V318" s="8"/>
      <c r="W318" s="8"/>
      <c r="X318" s="22"/>
      <c r="Y318" s="22"/>
      <c r="Z318" s="22"/>
      <c r="AA318" s="22"/>
      <c r="AB318" s="8"/>
      <c r="AC318" s="8" t="str">
        <f ca="1">IFERROR(__xludf.DUMMYFUNCTION("""COMPUTED_VALUE"""),"Sunny Bright")</f>
        <v>Sunny Bright</v>
      </c>
      <c r="AD318" s="24"/>
      <c r="AE318" s="24" t="str">
        <f t="shared" si="4"/>
        <v/>
      </c>
      <c r="AF318" s="22">
        <f t="shared" si="6"/>
        <v>1</v>
      </c>
      <c r="AG318" s="22" t="str">
        <f t="shared" ca="1" si="5"/>
        <v/>
      </c>
      <c r="AH318" s="8"/>
      <c r="AI318" s="8"/>
    </row>
    <row r="319" spans="1:35" ht="15.75" customHeight="1" x14ac:dyDescent="0.25">
      <c r="A319" s="8"/>
      <c r="B319" s="8"/>
      <c r="C319" s="8"/>
      <c r="D319" s="8"/>
      <c r="E319" s="5" t="s">
        <v>439</v>
      </c>
      <c r="F319" s="16">
        <v>93000</v>
      </c>
      <c r="G319" s="16">
        <v>65500</v>
      </c>
      <c r="H319" s="5" t="s">
        <v>53</v>
      </c>
      <c r="I319" s="741" t="s">
        <v>54</v>
      </c>
      <c r="J319" s="742"/>
      <c r="K319" s="5">
        <v>1066910</v>
      </c>
      <c r="L319" s="5"/>
      <c r="M319" s="17"/>
      <c r="N319" s="18" t="b">
        <v>0</v>
      </c>
      <c r="O319" s="18"/>
      <c r="P319" s="5"/>
      <c r="Q319" s="8"/>
      <c r="R319" s="8"/>
      <c r="S319" s="8"/>
      <c r="T319" s="8"/>
      <c r="U319" s="8"/>
      <c r="V319" s="8"/>
      <c r="W319" s="8"/>
      <c r="X319" s="22"/>
      <c r="Y319" s="22"/>
      <c r="Z319" s="22"/>
      <c r="AA319" s="22"/>
      <c r="AB319" s="8"/>
      <c r="AC319" s="8" t="str">
        <f ca="1">IFERROR(__xludf.DUMMYFUNCTION("""COMPUTED_VALUE"""),"Sunny Joy")</f>
        <v>Sunny Joy</v>
      </c>
      <c r="AD319" s="24"/>
      <c r="AE319" s="24" t="str">
        <f t="shared" si="4"/>
        <v/>
      </c>
      <c r="AF319" s="22">
        <f t="shared" si="6"/>
        <v>1</v>
      </c>
      <c r="AG319" s="22" t="str">
        <f t="shared" ca="1" si="5"/>
        <v/>
      </c>
      <c r="AH319" s="8"/>
      <c r="AI319" s="8"/>
    </row>
    <row r="320" spans="1:35" ht="15.75" customHeight="1" x14ac:dyDescent="0.25">
      <c r="A320" s="8"/>
      <c r="B320" s="8"/>
      <c r="C320" s="8"/>
      <c r="D320" s="8"/>
      <c r="E320" s="5" t="s">
        <v>440</v>
      </c>
      <c r="F320" s="16">
        <v>93000</v>
      </c>
      <c r="G320" s="16">
        <v>59800</v>
      </c>
      <c r="H320" s="5" t="s">
        <v>53</v>
      </c>
      <c r="I320" s="741" t="s">
        <v>54</v>
      </c>
      <c r="J320" s="742"/>
      <c r="K320" s="5">
        <v>1039618</v>
      </c>
      <c r="L320" s="5"/>
      <c r="M320" s="17"/>
      <c r="N320" s="18" t="b">
        <v>0</v>
      </c>
      <c r="O320" s="18"/>
      <c r="P320" s="5"/>
      <c r="Q320" s="8"/>
      <c r="R320" s="8"/>
      <c r="S320" s="8"/>
      <c r="T320" s="8"/>
      <c r="U320" s="8"/>
      <c r="V320" s="8"/>
      <c r="W320" s="8"/>
      <c r="X320" s="22"/>
      <c r="Y320" s="22"/>
      <c r="Z320" s="22"/>
      <c r="AA320" s="22"/>
      <c r="AB320" s="8"/>
      <c r="AC320" s="8" t="str">
        <f ca="1">IFERROR(__xludf.DUMMYFUNCTION("""COMPUTED_VALUE"""),"Sunny Vista")</f>
        <v>Sunny Vista</v>
      </c>
      <c r="AD320" s="24"/>
      <c r="AE320" s="24" t="str">
        <f t="shared" si="4"/>
        <v/>
      </c>
      <c r="AF320" s="22">
        <f t="shared" si="6"/>
        <v>1</v>
      </c>
      <c r="AG320" s="22" t="str">
        <f t="shared" ca="1" si="5"/>
        <v/>
      </c>
      <c r="AH320" s="8"/>
      <c r="AI320" s="8"/>
    </row>
    <row r="321" spans="1:35" ht="15.75" customHeight="1" x14ac:dyDescent="0.25">
      <c r="A321" s="8"/>
      <c r="B321" s="8"/>
      <c r="C321" s="8"/>
      <c r="D321" s="8"/>
      <c r="E321" s="5" t="s">
        <v>441</v>
      </c>
      <c r="F321" s="16">
        <v>93000</v>
      </c>
      <c r="G321" s="16">
        <v>59800</v>
      </c>
      <c r="H321" s="5" t="s">
        <v>53</v>
      </c>
      <c r="I321" s="741" t="s">
        <v>54</v>
      </c>
      <c r="J321" s="742"/>
      <c r="K321" s="5">
        <v>1039620</v>
      </c>
      <c r="L321" s="5"/>
      <c r="M321" s="17"/>
      <c r="N321" s="18" t="b">
        <v>0</v>
      </c>
      <c r="O321" s="18"/>
      <c r="P321" s="5"/>
      <c r="Q321" s="8"/>
      <c r="R321" s="8"/>
      <c r="S321" s="8"/>
      <c r="T321" s="8"/>
      <c r="U321" s="8"/>
      <c r="V321" s="8"/>
      <c r="W321" s="8"/>
      <c r="X321" s="22"/>
      <c r="Y321" s="22"/>
      <c r="Z321" s="22"/>
      <c r="AA321" s="22"/>
      <c r="AB321" s="8"/>
      <c r="AC321" s="8" t="str">
        <f ca="1">IFERROR(__xludf.DUMMYFUNCTION("""COMPUTED_VALUE"""),"Sunstar")</f>
        <v>Sunstar</v>
      </c>
      <c r="AD321" s="24"/>
      <c r="AE321" s="24" t="str">
        <f t="shared" si="4"/>
        <v/>
      </c>
      <c r="AF321" s="22">
        <f t="shared" si="6"/>
        <v>1</v>
      </c>
      <c r="AG321" s="22" t="str">
        <f t="shared" ca="1" si="5"/>
        <v/>
      </c>
      <c r="AH321" s="8"/>
      <c r="AI321" s="8"/>
    </row>
    <row r="322" spans="1:35" ht="15.75" customHeight="1" x14ac:dyDescent="0.25">
      <c r="A322" s="8"/>
      <c r="B322" s="8"/>
      <c r="C322" s="8"/>
      <c r="D322" s="8"/>
      <c r="E322" s="5" t="s">
        <v>442</v>
      </c>
      <c r="F322" s="16">
        <v>93000</v>
      </c>
      <c r="G322" s="16">
        <v>65000</v>
      </c>
      <c r="H322" s="5" t="s">
        <v>53</v>
      </c>
      <c r="I322" s="741" t="s">
        <v>54</v>
      </c>
      <c r="J322" s="742"/>
      <c r="K322" s="5">
        <v>1080887</v>
      </c>
      <c r="L322" s="5"/>
      <c r="M322" s="17"/>
      <c r="N322" s="18" t="b">
        <v>0</v>
      </c>
      <c r="O322" s="18"/>
      <c r="P322" s="5"/>
      <c r="Q322" s="8"/>
      <c r="R322" s="8"/>
      <c r="S322" s="8"/>
      <c r="T322" s="8"/>
      <c r="U322" s="8"/>
      <c r="V322" s="8"/>
      <c r="W322" s="8"/>
      <c r="X322" s="22"/>
      <c r="Y322" s="22"/>
      <c r="Z322" s="22"/>
      <c r="AA322" s="22"/>
      <c r="AB322" s="8"/>
      <c r="AC322" s="8" t="str">
        <f ca="1">IFERROR(__xludf.DUMMYFUNCTION("""COMPUTED_VALUE"""),"Surya Veerya")</f>
        <v>Surya Veerya</v>
      </c>
      <c r="AD322" s="24"/>
      <c r="AE322" s="24" t="str">
        <f t="shared" si="4"/>
        <v/>
      </c>
      <c r="AF322" s="22">
        <f t="shared" si="6"/>
        <v>1</v>
      </c>
      <c r="AG322" s="22" t="str">
        <f t="shared" ca="1" si="5"/>
        <v/>
      </c>
      <c r="AH322" s="8"/>
      <c r="AI322" s="8"/>
    </row>
    <row r="323" spans="1:35" ht="15.75" customHeight="1" x14ac:dyDescent="0.25">
      <c r="A323" s="8"/>
      <c r="B323" s="8"/>
      <c r="C323" s="8"/>
      <c r="D323" s="8"/>
      <c r="E323" s="5" t="s">
        <v>443</v>
      </c>
      <c r="F323" s="16">
        <v>90000</v>
      </c>
      <c r="G323" s="16">
        <v>63500</v>
      </c>
      <c r="H323" s="5" t="s">
        <v>53</v>
      </c>
      <c r="I323" s="741" t="s">
        <v>54</v>
      </c>
      <c r="J323" s="742"/>
      <c r="K323" s="5">
        <v>1088009</v>
      </c>
      <c r="L323" s="5"/>
      <c r="M323" s="17"/>
      <c r="N323" s="18" t="b">
        <v>0</v>
      </c>
      <c r="O323" s="18"/>
      <c r="P323" s="5"/>
      <c r="Q323" s="8"/>
      <c r="R323" s="8"/>
      <c r="S323" s="8"/>
      <c r="T323" s="8"/>
      <c r="U323" s="8"/>
      <c r="V323" s="8"/>
      <c r="W323" s="8"/>
      <c r="X323" s="22"/>
      <c r="Y323" s="22"/>
      <c r="Z323" s="22"/>
      <c r="AA323" s="22"/>
      <c r="AB323" s="8"/>
      <c r="AC323" s="8" t="str">
        <f ca="1">IFERROR(__xludf.DUMMYFUNCTION("""COMPUTED_VALUE"""),"Taebaek")</f>
        <v>Taebaek</v>
      </c>
      <c r="AD323" s="24"/>
      <c r="AE323" s="24" t="str">
        <f t="shared" si="4"/>
        <v/>
      </c>
      <c r="AF323" s="22">
        <f t="shared" si="6"/>
        <v>1</v>
      </c>
      <c r="AG323" s="22" t="str">
        <f t="shared" ca="1" si="5"/>
        <v/>
      </c>
      <c r="AH323" s="8"/>
      <c r="AI323" s="8"/>
    </row>
    <row r="324" spans="1:35" ht="15.75" customHeight="1" x14ac:dyDescent="0.25">
      <c r="A324" s="8"/>
      <c r="B324" s="8"/>
      <c r="C324" s="8"/>
      <c r="D324" s="8"/>
      <c r="E324" s="5" t="s">
        <v>444</v>
      </c>
      <c r="F324" s="16">
        <v>88000</v>
      </c>
      <c r="G324" s="16">
        <v>60000</v>
      </c>
      <c r="H324" s="5" t="s">
        <v>53</v>
      </c>
      <c r="I324" s="741" t="s">
        <v>54</v>
      </c>
      <c r="J324" s="742"/>
      <c r="K324" s="5">
        <v>1077866</v>
      </c>
      <c r="L324" s="5"/>
      <c r="M324" s="17"/>
      <c r="N324" s="18" t="b">
        <v>0</v>
      </c>
      <c r="O324" s="18"/>
      <c r="P324" s="5"/>
      <c r="Q324" s="8"/>
      <c r="R324" s="8"/>
      <c r="S324" s="8"/>
      <c r="T324" s="8"/>
      <c r="U324" s="8"/>
      <c r="V324" s="8"/>
      <c r="W324" s="8"/>
      <c r="X324" s="22"/>
      <c r="Y324" s="22"/>
      <c r="Z324" s="22"/>
      <c r="AA324" s="22"/>
      <c r="AB324" s="8"/>
      <c r="AC324" s="8" t="str">
        <f ca="1">IFERROR(__xludf.DUMMYFUNCTION("""COMPUTED_VALUE"""),"Tethys")</f>
        <v>Tethys</v>
      </c>
      <c r="AD324" s="24"/>
      <c r="AE324" s="24" t="str">
        <f t="shared" si="4"/>
        <v/>
      </c>
      <c r="AF324" s="22">
        <f t="shared" si="6"/>
        <v>1</v>
      </c>
      <c r="AG324" s="22" t="str">
        <f t="shared" ca="1" si="5"/>
        <v/>
      </c>
      <c r="AH324" s="8"/>
      <c r="AI324" s="8"/>
    </row>
    <row r="325" spans="1:35" ht="15.75" customHeight="1" x14ac:dyDescent="0.25">
      <c r="A325" s="8"/>
      <c r="B325" s="8"/>
      <c r="C325" s="8"/>
      <c r="D325" s="8"/>
      <c r="E325" s="5" t="s">
        <v>444</v>
      </c>
      <c r="F325" s="16">
        <v>88000</v>
      </c>
      <c r="G325" s="16">
        <v>60000</v>
      </c>
      <c r="H325" s="5" t="s">
        <v>53</v>
      </c>
      <c r="I325" s="741" t="s">
        <v>54</v>
      </c>
      <c r="J325" s="742"/>
      <c r="K325" s="5">
        <v>1077878</v>
      </c>
      <c r="L325" s="5"/>
      <c r="M325" s="17"/>
      <c r="N325" s="18" t="b">
        <v>0</v>
      </c>
      <c r="O325" s="18"/>
      <c r="P325" s="5"/>
      <c r="Q325" s="8"/>
      <c r="R325" s="8"/>
      <c r="S325" s="8"/>
      <c r="T325" s="8"/>
      <c r="U325" s="8"/>
      <c r="V325" s="8"/>
      <c r="W325" s="8"/>
      <c r="X325" s="22"/>
      <c r="Y325" s="22"/>
      <c r="Z325" s="22"/>
      <c r="AA325" s="22"/>
      <c r="AB325" s="8"/>
      <c r="AC325" s="8" t="str">
        <f ca="1">IFERROR(__xludf.DUMMYFUNCTION("""COMPUTED_VALUE"""),"Tinos I")</f>
        <v>Tinos I</v>
      </c>
      <c r="AD325" s="24"/>
      <c r="AE325" s="24" t="str">
        <f t="shared" si="4"/>
        <v/>
      </c>
      <c r="AF325" s="22">
        <f t="shared" si="6"/>
        <v>1</v>
      </c>
      <c r="AG325" s="22" t="str">
        <f t="shared" ca="1" si="5"/>
        <v/>
      </c>
      <c r="AH325" s="8"/>
      <c r="AI325" s="8"/>
    </row>
    <row r="326" spans="1:35" ht="15.75" customHeight="1" x14ac:dyDescent="0.25">
      <c r="A326" s="8"/>
      <c r="B326" s="8"/>
      <c r="C326" s="8"/>
      <c r="D326" s="8"/>
      <c r="E326" s="5" t="s">
        <v>444</v>
      </c>
      <c r="F326" s="16">
        <v>88000</v>
      </c>
      <c r="G326" s="16">
        <v>60000</v>
      </c>
      <c r="H326" s="5" t="s">
        <v>53</v>
      </c>
      <c r="I326" s="741" t="s">
        <v>54</v>
      </c>
      <c r="J326" s="742"/>
      <c r="K326" s="5">
        <v>1077880</v>
      </c>
      <c r="L326" s="5"/>
      <c r="M326" s="17"/>
      <c r="N326" s="18" t="b">
        <v>0</v>
      </c>
      <c r="O326" s="18"/>
      <c r="P326" s="5"/>
      <c r="Q326" s="8"/>
      <c r="R326" s="8"/>
      <c r="S326" s="8"/>
      <c r="T326" s="8"/>
      <c r="U326" s="8"/>
      <c r="V326" s="8"/>
      <c r="W326" s="8"/>
      <c r="X326" s="22"/>
      <c r="Y326" s="22"/>
      <c r="Z326" s="22"/>
      <c r="AA326" s="22"/>
      <c r="AB326" s="8"/>
      <c r="AC326" s="8" t="str">
        <f ca="1">IFERROR(__xludf.DUMMYFUNCTION("""COMPUTED_VALUE"""),"Tp Perseverance")</f>
        <v>Tp Perseverance</v>
      </c>
      <c r="AD326" s="24"/>
      <c r="AE326" s="24" t="str">
        <f t="shared" si="4"/>
        <v/>
      </c>
      <c r="AF326" s="22">
        <f t="shared" si="6"/>
        <v>1</v>
      </c>
      <c r="AG326" s="22" t="str">
        <f t="shared" ca="1" si="5"/>
        <v/>
      </c>
      <c r="AH326" s="8"/>
      <c r="AI326" s="8"/>
    </row>
    <row r="327" spans="1:35" ht="15.75" customHeight="1" x14ac:dyDescent="0.25">
      <c r="A327" s="8"/>
      <c r="B327" s="8"/>
      <c r="C327" s="8"/>
      <c r="D327" s="8"/>
      <c r="E327" s="5" t="s">
        <v>444</v>
      </c>
      <c r="F327" s="16">
        <v>88000</v>
      </c>
      <c r="G327" s="16">
        <v>60000</v>
      </c>
      <c r="H327" s="5" t="s">
        <v>53</v>
      </c>
      <c r="I327" s="741" t="s">
        <v>54</v>
      </c>
      <c r="J327" s="742"/>
      <c r="K327" s="5">
        <v>1077892</v>
      </c>
      <c r="L327" s="5"/>
      <c r="M327" s="17"/>
      <c r="N327" s="18" t="b">
        <v>0</v>
      </c>
      <c r="O327" s="18"/>
      <c r="P327" s="5"/>
      <c r="Q327" s="8"/>
      <c r="R327" s="8"/>
      <c r="S327" s="8"/>
      <c r="T327" s="8"/>
      <c r="U327" s="8"/>
      <c r="V327" s="8"/>
      <c r="W327" s="8"/>
      <c r="X327" s="22"/>
      <c r="Y327" s="22"/>
      <c r="Z327" s="22"/>
      <c r="AA327" s="22"/>
      <c r="AB327" s="8"/>
      <c r="AC327" s="8" t="str">
        <f ca="1">IFERROR(__xludf.DUMMYFUNCTION("""COMPUTED_VALUE"""),"Tp Tenacity")</f>
        <v>Tp Tenacity</v>
      </c>
      <c r="AD327" s="24"/>
      <c r="AE327" s="24" t="str">
        <f t="shared" si="4"/>
        <v/>
      </c>
      <c r="AF327" s="22">
        <f t="shared" si="6"/>
        <v>1</v>
      </c>
      <c r="AG327" s="22" t="str">
        <f t="shared" ca="1" si="5"/>
        <v/>
      </c>
      <c r="AH327" s="8"/>
      <c r="AI327" s="8"/>
    </row>
    <row r="328" spans="1:35" ht="15.75" customHeight="1" x14ac:dyDescent="0.25">
      <c r="A328" s="8"/>
      <c r="B328" s="8"/>
      <c r="C328" s="8"/>
      <c r="D328" s="8"/>
      <c r="E328" s="5" t="s">
        <v>445</v>
      </c>
      <c r="F328" s="16">
        <v>86000</v>
      </c>
      <c r="G328" s="16">
        <v>51269</v>
      </c>
      <c r="H328" s="5" t="s">
        <v>20</v>
      </c>
      <c r="I328" s="5" t="s">
        <v>21</v>
      </c>
      <c r="J328" s="5">
        <v>636022279</v>
      </c>
      <c r="K328" s="5">
        <v>9941221</v>
      </c>
      <c r="L328" s="5" t="s">
        <v>446</v>
      </c>
      <c r="M328" s="17">
        <v>46132.125</v>
      </c>
      <c r="N328" s="18" t="b">
        <v>1</v>
      </c>
      <c r="O328" s="18"/>
      <c r="P328" s="5"/>
      <c r="Q328" s="8"/>
      <c r="R328" s="8"/>
      <c r="S328" s="8"/>
      <c r="T328" s="8"/>
      <c r="U328" s="8"/>
      <c r="V328" s="8"/>
      <c r="W328" s="8"/>
      <c r="X328" s="22"/>
      <c r="Y328" s="22"/>
      <c r="Z328" s="22"/>
      <c r="AA328" s="22"/>
      <c r="AB328" s="8"/>
      <c r="AC328" s="8" t="str">
        <f ca="1">IFERROR(__xludf.DUMMYFUNCTION("""COMPUTED_VALUE"""),"Tsubaki")</f>
        <v>Tsubaki</v>
      </c>
      <c r="AD328" s="24"/>
      <c r="AE328" s="24" t="str">
        <f t="shared" si="4"/>
        <v/>
      </c>
      <c r="AF328" s="22">
        <f t="shared" si="6"/>
        <v>1</v>
      </c>
      <c r="AG328" s="22">
        <f t="shared" ca="1" si="5"/>
        <v>1</v>
      </c>
      <c r="AH328" s="8"/>
      <c r="AI328" s="8"/>
    </row>
    <row r="329" spans="1:35" ht="15.75" customHeight="1" x14ac:dyDescent="0.25">
      <c r="A329" s="8"/>
      <c r="B329" s="8"/>
      <c r="C329" s="8"/>
      <c r="D329" s="8"/>
      <c r="E329" s="5" t="s">
        <v>447</v>
      </c>
      <c r="F329" s="16">
        <v>91000</v>
      </c>
      <c r="G329" s="16">
        <v>58272</v>
      </c>
      <c r="H329" s="5" t="s">
        <v>100</v>
      </c>
      <c r="I329" s="5" t="s">
        <v>21</v>
      </c>
      <c r="J329" s="5">
        <v>538009826</v>
      </c>
      <c r="K329" s="5">
        <v>9932581</v>
      </c>
      <c r="L329" s="5" t="s">
        <v>38</v>
      </c>
      <c r="M329" s="33">
        <v>46132.486805555556</v>
      </c>
      <c r="N329" s="18" t="b">
        <v>0</v>
      </c>
      <c r="O329" s="18"/>
      <c r="P329" s="5"/>
      <c r="Q329" s="8"/>
      <c r="R329" s="8"/>
      <c r="S329" s="8"/>
      <c r="T329" s="8"/>
      <c r="U329" s="8"/>
      <c r="V329" s="8"/>
      <c r="W329" s="8"/>
      <c r="X329" s="22"/>
      <c r="Y329" s="22"/>
      <c r="Z329" s="22"/>
      <c r="AA329" s="22"/>
      <c r="AB329" s="8"/>
      <c r="AC329" s="8" t="str">
        <f ca="1">IFERROR(__xludf.DUMMYFUNCTION("""COMPUTED_VALUE"""),"Umm Laqhab")</f>
        <v>Umm Laqhab</v>
      </c>
      <c r="AD329" s="24"/>
      <c r="AE329" s="24" t="str">
        <f t="shared" si="4"/>
        <v/>
      </c>
      <c r="AF329" s="22">
        <f t="shared" si="6"/>
        <v>1</v>
      </c>
      <c r="AG329" s="22">
        <f t="shared" ca="1" si="5"/>
        <v>1</v>
      </c>
      <c r="AH329" s="8"/>
      <c r="AI329" s="8"/>
    </row>
    <row r="330" spans="1:35" ht="15.75" customHeight="1" x14ac:dyDescent="0.25">
      <c r="A330" s="8"/>
      <c r="B330" s="8"/>
      <c r="C330" s="8"/>
      <c r="D330" s="8"/>
      <c r="E330" s="5" t="s">
        <v>448</v>
      </c>
      <c r="F330" s="16">
        <v>78488</v>
      </c>
      <c r="G330" s="16">
        <v>50667</v>
      </c>
      <c r="H330" s="5" t="s">
        <v>26</v>
      </c>
      <c r="I330" s="5" t="s">
        <v>21</v>
      </c>
      <c r="J330" s="5">
        <v>647553031</v>
      </c>
      <c r="K330" s="5">
        <v>9008108</v>
      </c>
      <c r="L330" s="5" t="s">
        <v>163</v>
      </c>
      <c r="M330" s="17">
        <v>46145.583333333336</v>
      </c>
      <c r="N330" s="18" t="b">
        <v>0</v>
      </c>
      <c r="O330" s="18"/>
      <c r="P330" s="5"/>
      <c r="Q330" s="8"/>
      <c r="R330" s="8"/>
      <c r="S330" s="8"/>
      <c r="T330" s="8"/>
      <c r="U330" s="8"/>
      <c r="V330" s="8"/>
      <c r="W330" s="8"/>
      <c r="X330" s="22"/>
      <c r="Y330" s="22"/>
      <c r="Z330" s="22"/>
      <c r="AA330" s="22"/>
      <c r="AB330" s="8"/>
      <c r="AC330" s="8" t="str">
        <f ca="1">IFERROR(__xludf.DUMMYFUNCTION("""COMPUTED_VALUE"""),"Vallee Blanche")</f>
        <v>Vallee Blanche</v>
      </c>
      <c r="AD330" s="24"/>
      <c r="AE330" s="24" t="str">
        <f t="shared" si="4"/>
        <v/>
      </c>
      <c r="AF330" s="22">
        <f t="shared" si="6"/>
        <v>1</v>
      </c>
      <c r="AG330" s="22" t="str">
        <f t="shared" ca="1" si="5"/>
        <v/>
      </c>
      <c r="AH330" s="8"/>
      <c r="AI330" s="8"/>
    </row>
    <row r="331" spans="1:35" ht="15.75" customHeight="1" x14ac:dyDescent="0.25">
      <c r="A331" s="8"/>
      <c r="B331" s="8"/>
      <c r="C331" s="8"/>
      <c r="D331" s="8"/>
      <c r="E331" s="5" t="s">
        <v>449</v>
      </c>
      <c r="F331" s="16">
        <v>87000</v>
      </c>
      <c r="G331" s="16">
        <v>55000</v>
      </c>
      <c r="H331" s="5" t="s">
        <v>53</v>
      </c>
      <c r="I331" s="741" t="s">
        <v>54</v>
      </c>
      <c r="J331" s="742"/>
      <c r="K331" s="5">
        <v>1027421</v>
      </c>
      <c r="L331" s="5"/>
      <c r="M331" s="17"/>
      <c r="N331" s="18" t="b">
        <v>0</v>
      </c>
      <c r="O331" s="18"/>
      <c r="P331" s="5"/>
      <c r="Q331" s="8"/>
      <c r="R331" s="8"/>
      <c r="S331" s="8"/>
      <c r="T331" s="8"/>
      <c r="U331" s="8"/>
      <c r="V331" s="8"/>
      <c r="W331" s="8"/>
      <c r="X331" s="22"/>
      <c r="Y331" s="22"/>
      <c r="Z331" s="22"/>
      <c r="AA331" s="22"/>
      <c r="AB331" s="8"/>
      <c r="AC331" s="8" t="str">
        <f ca="1">IFERROR(__xludf.DUMMYFUNCTION("""COMPUTED_VALUE"""),"Vega Sage")</f>
        <v>Vega Sage</v>
      </c>
      <c r="AD331" s="24"/>
      <c r="AE331" s="24" t="str">
        <f t="shared" si="4"/>
        <v/>
      </c>
      <c r="AF331" s="22">
        <f t="shared" si="6"/>
        <v>1</v>
      </c>
      <c r="AG331" s="22" t="str">
        <f t="shared" ca="1" si="5"/>
        <v/>
      </c>
      <c r="AH331" s="8"/>
      <c r="AI331" s="8"/>
    </row>
    <row r="332" spans="1:35" ht="15.75" customHeight="1" x14ac:dyDescent="0.25">
      <c r="A332" s="8"/>
      <c r="B332" s="8"/>
      <c r="C332" s="8"/>
      <c r="D332" s="8"/>
      <c r="E332" s="5" t="s">
        <v>450</v>
      </c>
      <c r="F332" s="16">
        <v>86700</v>
      </c>
      <c r="G332" s="16">
        <v>55000</v>
      </c>
      <c r="H332" s="5" t="s">
        <v>53</v>
      </c>
      <c r="I332" s="741" t="s">
        <v>54</v>
      </c>
      <c r="J332" s="742"/>
      <c r="K332" s="5">
        <v>1071018</v>
      </c>
      <c r="L332" s="5"/>
      <c r="M332" s="33"/>
      <c r="N332" s="18" t="b">
        <v>0</v>
      </c>
      <c r="O332" s="18"/>
      <c r="P332" s="5"/>
      <c r="Q332" s="8"/>
      <c r="R332" s="8"/>
      <c r="S332" s="8"/>
      <c r="T332" s="8"/>
      <c r="U332" s="8"/>
      <c r="V332" s="8"/>
      <c r="W332" s="8"/>
      <c r="X332" s="22"/>
      <c r="Y332" s="22"/>
      <c r="Z332" s="22"/>
      <c r="AA332" s="22"/>
      <c r="AB332" s="8"/>
      <c r="AC332" s="8" t="str">
        <f ca="1">IFERROR(__xludf.DUMMYFUNCTION("""COMPUTED_VALUE"""),"Vega Sea")</f>
        <v>Vega Sea</v>
      </c>
      <c r="AD332" s="24"/>
      <c r="AE332" s="24" t="str">
        <f t="shared" si="4"/>
        <v/>
      </c>
      <c r="AF332" s="22">
        <f t="shared" si="6"/>
        <v>1</v>
      </c>
      <c r="AG332" s="22" t="str">
        <f t="shared" ca="1" si="5"/>
        <v/>
      </c>
      <c r="AH332" s="8"/>
      <c r="AI332" s="8"/>
    </row>
    <row r="333" spans="1:35" ht="15.75" customHeight="1" x14ac:dyDescent="0.25">
      <c r="A333" s="8"/>
      <c r="B333" s="8"/>
      <c r="C333" s="8"/>
      <c r="D333" s="8"/>
      <c r="E333" s="5" t="s">
        <v>451</v>
      </c>
      <c r="F333" s="16">
        <v>84000</v>
      </c>
      <c r="G333" s="16">
        <v>54557</v>
      </c>
      <c r="H333" s="5" t="s">
        <v>20</v>
      </c>
      <c r="I333" s="5" t="s">
        <v>21</v>
      </c>
      <c r="J333" s="5">
        <v>538011491</v>
      </c>
      <c r="K333" s="5">
        <v>9699995</v>
      </c>
      <c r="L333" s="5" t="s">
        <v>452</v>
      </c>
      <c r="M333" s="17">
        <v>46134.75</v>
      </c>
      <c r="N333" s="18" t="b">
        <v>1</v>
      </c>
      <c r="O333" s="18"/>
      <c r="P333" s="5"/>
      <c r="Q333" s="8"/>
      <c r="R333" s="8"/>
      <c r="S333" s="8"/>
      <c r="T333" s="8"/>
      <c r="U333" s="8"/>
      <c r="V333" s="8"/>
      <c r="W333" s="8"/>
      <c r="X333" s="22"/>
      <c r="Y333" s="22"/>
      <c r="Z333" s="22"/>
      <c r="AA333" s="22"/>
      <c r="AB333" s="8"/>
      <c r="AC333" s="8" t="str">
        <f ca="1">IFERROR(__xludf.DUMMYFUNCTION("""COMPUTED_VALUE"""),"Vega Sky")</f>
        <v>Vega Sky</v>
      </c>
      <c r="AD333" s="24"/>
      <c r="AE333" s="24" t="str">
        <f t="shared" si="4"/>
        <v/>
      </c>
      <c r="AF333" s="22">
        <f t="shared" si="6"/>
        <v>1</v>
      </c>
      <c r="AG333" s="22">
        <f t="shared" ca="1" si="5"/>
        <v>1</v>
      </c>
      <c r="AH333" s="8"/>
      <c r="AI333" s="8"/>
    </row>
    <row r="334" spans="1:35" ht="15.75" customHeight="1" x14ac:dyDescent="0.25">
      <c r="A334" s="8"/>
      <c r="B334" s="8"/>
      <c r="C334" s="8"/>
      <c r="D334" s="8"/>
      <c r="E334" s="5" t="s">
        <v>453</v>
      </c>
      <c r="F334" s="16">
        <v>89000</v>
      </c>
      <c r="G334" s="16">
        <v>56419</v>
      </c>
      <c r="H334" s="5" t="s">
        <v>20</v>
      </c>
      <c r="I334" s="5" t="s">
        <v>21</v>
      </c>
      <c r="J334" s="5">
        <v>636022842</v>
      </c>
      <c r="K334" s="5">
        <v>9984716</v>
      </c>
      <c r="L334" s="5" t="s">
        <v>194</v>
      </c>
      <c r="M334" s="17">
        <v>46140.291666666664</v>
      </c>
      <c r="N334" s="18" t="b">
        <v>1</v>
      </c>
      <c r="O334" s="18"/>
      <c r="P334" s="5"/>
      <c r="Q334" s="8"/>
      <c r="R334" s="8"/>
      <c r="S334" s="8"/>
      <c r="T334" s="8"/>
      <c r="U334" s="8"/>
      <c r="V334" s="8"/>
      <c r="W334" s="8"/>
      <c r="X334" s="22"/>
      <c r="Y334" s="22"/>
      <c r="Z334" s="22"/>
      <c r="AA334" s="22"/>
      <c r="AB334" s="8"/>
      <c r="AC334" s="8" t="str">
        <f ca="1">IFERROR(__xludf.DUMMYFUNCTION("""COMPUTED_VALUE"""),"Vega Song")</f>
        <v>Vega Song</v>
      </c>
      <c r="AD334" s="24"/>
      <c r="AE334" s="24" t="str">
        <f t="shared" si="4"/>
        <v/>
      </c>
      <c r="AF334" s="22">
        <f t="shared" si="6"/>
        <v>1</v>
      </c>
      <c r="AG334" s="22">
        <f t="shared" ca="1" si="5"/>
        <v>1</v>
      </c>
      <c r="AH334" s="8"/>
      <c r="AI334" s="8"/>
    </row>
    <row r="335" spans="1:35" ht="15.75" customHeight="1" x14ac:dyDescent="0.25">
      <c r="A335" s="8"/>
      <c r="B335" s="8"/>
      <c r="C335" s="8"/>
      <c r="D335" s="8"/>
      <c r="E335" s="5" t="s">
        <v>454</v>
      </c>
      <c r="F335" s="16">
        <v>80595</v>
      </c>
      <c r="G335" s="16">
        <v>58591</v>
      </c>
      <c r="H335" s="5" t="s">
        <v>26</v>
      </c>
      <c r="I335" s="5" t="s">
        <v>21</v>
      </c>
      <c r="J335" s="5">
        <v>354453000</v>
      </c>
      <c r="K335" s="5">
        <v>9249049</v>
      </c>
      <c r="L335" s="5"/>
      <c r="M335" s="33"/>
      <c r="N335" s="18" t="b">
        <v>0</v>
      </c>
      <c r="O335" s="18"/>
      <c r="P335" s="5"/>
      <c r="Q335" s="8"/>
      <c r="R335" s="8"/>
      <c r="S335" s="8"/>
      <c r="T335" s="8"/>
      <c r="U335" s="8"/>
      <c r="V335" s="8"/>
      <c r="W335" s="8"/>
      <c r="X335" s="22"/>
      <c r="Y335" s="22"/>
      <c r="Z335" s="22"/>
      <c r="AA335" s="22"/>
      <c r="AB335" s="8"/>
      <c r="AC335" s="8" t="str">
        <f ca="1">IFERROR(__xludf.DUMMYFUNCTION("""COMPUTED_VALUE"""),"Vega Star")</f>
        <v>Vega Star</v>
      </c>
      <c r="AD335" s="24"/>
      <c r="AE335" s="24" t="str">
        <f t="shared" si="4"/>
        <v/>
      </c>
      <c r="AF335" s="22">
        <f t="shared" si="6"/>
        <v>1</v>
      </c>
      <c r="AG335" s="22">
        <f t="shared" ca="1" si="5"/>
        <v>1</v>
      </c>
      <c r="AH335" s="8"/>
      <c r="AI335" s="8"/>
    </row>
    <row r="336" spans="1:35" ht="15.75" customHeight="1" x14ac:dyDescent="0.25">
      <c r="A336" s="8"/>
      <c r="B336" s="8"/>
      <c r="C336" s="8"/>
      <c r="D336" s="8"/>
      <c r="E336" s="5" t="s">
        <v>455</v>
      </c>
      <c r="F336" s="16">
        <v>91000</v>
      </c>
      <c r="G336" s="16">
        <v>59350</v>
      </c>
      <c r="H336" s="5" t="s">
        <v>20</v>
      </c>
      <c r="I336" s="5" t="s">
        <v>21</v>
      </c>
      <c r="J336" s="5">
        <v>538009827</v>
      </c>
      <c r="K336" s="5">
        <v>9932608</v>
      </c>
      <c r="L336" s="5" t="s">
        <v>456</v>
      </c>
      <c r="M336" s="17">
        <v>46132.625</v>
      </c>
      <c r="N336" s="18" t="b">
        <v>1</v>
      </c>
      <c r="O336" s="18"/>
      <c r="P336" s="5"/>
      <c r="Q336" s="8"/>
      <c r="R336" s="8"/>
      <c r="S336" s="8"/>
      <c r="T336" s="8"/>
      <c r="U336" s="8"/>
      <c r="V336" s="8"/>
      <c r="W336" s="8"/>
      <c r="X336" s="22"/>
      <c r="Y336" s="22"/>
      <c r="Z336" s="22"/>
      <c r="AA336" s="22"/>
      <c r="AB336" s="8"/>
      <c r="AC336" s="8" t="str">
        <f ca="1">IFERROR(__xludf.DUMMYFUNCTION("""COMPUTED_VALUE"""),"Vega Sun")</f>
        <v>Vega Sun</v>
      </c>
      <c r="AD336" s="24"/>
      <c r="AE336" s="24" t="str">
        <f t="shared" si="4"/>
        <v/>
      </c>
      <c r="AF336" s="22">
        <f t="shared" si="6"/>
        <v>1</v>
      </c>
      <c r="AG336" s="22">
        <f t="shared" ca="1" si="5"/>
        <v>1</v>
      </c>
      <c r="AH336" s="8"/>
      <c r="AI336" s="8"/>
    </row>
    <row r="337" spans="1:35" ht="15.75" customHeight="1" x14ac:dyDescent="0.25">
      <c r="A337" s="8"/>
      <c r="B337" s="8"/>
      <c r="C337" s="8"/>
      <c r="D337" s="8"/>
      <c r="E337" s="5" t="s">
        <v>457</v>
      </c>
      <c r="F337" s="16">
        <v>84000</v>
      </c>
      <c r="G337" s="16">
        <v>54000</v>
      </c>
      <c r="H337" s="5" t="s">
        <v>26</v>
      </c>
      <c r="I337" s="5" t="s">
        <v>21</v>
      </c>
      <c r="J337" s="5">
        <v>352001822</v>
      </c>
      <c r="K337" s="5">
        <v>9933444</v>
      </c>
      <c r="L337" s="5" t="s">
        <v>107</v>
      </c>
      <c r="M337" s="17">
        <v>46145.708333333336</v>
      </c>
      <c r="N337" s="18" t="b">
        <v>0</v>
      </c>
      <c r="O337" s="18"/>
      <c r="P337" s="5"/>
      <c r="Q337" s="8"/>
      <c r="R337" s="8"/>
      <c r="S337" s="8"/>
      <c r="T337" s="8"/>
      <c r="U337" s="8"/>
      <c r="V337" s="8"/>
      <c r="W337" s="8"/>
      <c r="X337" s="22"/>
      <c r="Y337" s="22"/>
      <c r="Z337" s="22"/>
      <c r="AA337" s="22"/>
      <c r="AB337" s="8"/>
      <c r="AC337" s="8" t="str">
        <f ca="1">IFERROR(__xludf.DUMMYFUNCTION("""COMPUTED_VALUE"""),"Victoria Lyra")</f>
        <v>Victoria Lyra</v>
      </c>
      <c r="AD337" s="24"/>
      <c r="AE337" s="24" t="str">
        <f t="shared" si="4"/>
        <v/>
      </c>
      <c r="AF337" s="22">
        <f t="shared" si="6"/>
        <v>1</v>
      </c>
      <c r="AG337" s="22">
        <f t="shared" ca="1" si="5"/>
        <v>1</v>
      </c>
      <c r="AH337" s="8"/>
      <c r="AI337" s="8"/>
    </row>
    <row r="338" spans="1:35" ht="15.75" customHeight="1" x14ac:dyDescent="0.25">
      <c r="A338" s="8"/>
      <c r="B338" s="8"/>
      <c r="C338" s="8"/>
      <c r="D338" s="8"/>
      <c r="E338" s="5" t="s">
        <v>458</v>
      </c>
      <c r="F338" s="16">
        <v>83000</v>
      </c>
      <c r="G338" s="16">
        <v>55115</v>
      </c>
      <c r="H338" s="5" t="s">
        <v>20</v>
      </c>
      <c r="I338" s="5" t="s">
        <v>21</v>
      </c>
      <c r="J338" s="5">
        <v>431200000</v>
      </c>
      <c r="K338" s="5">
        <v>9795672</v>
      </c>
      <c r="L338" s="5" t="s">
        <v>107</v>
      </c>
      <c r="M338" s="17">
        <v>46136.875</v>
      </c>
      <c r="N338" s="18" t="b">
        <v>1</v>
      </c>
      <c r="O338" s="18"/>
      <c r="P338" s="5"/>
      <c r="Q338" s="8"/>
      <c r="R338" s="8"/>
      <c r="S338" s="8"/>
      <c r="T338" s="8"/>
      <c r="U338" s="8"/>
      <c r="V338" s="8"/>
      <c r="W338" s="8"/>
      <c r="X338" s="22"/>
      <c r="Y338" s="22"/>
      <c r="Z338" s="22"/>
      <c r="AA338" s="22"/>
      <c r="AB338" s="8"/>
      <c r="AC338" s="8" t="str">
        <f ca="1">IFERROR(__xludf.DUMMYFUNCTION("""COMPUTED_VALUE"""),"Vishvakarmaa")</f>
        <v>Vishvakarmaa</v>
      </c>
      <c r="AD338" s="24"/>
      <c r="AE338" s="24" t="str">
        <f t="shared" si="4"/>
        <v/>
      </c>
      <c r="AF338" s="22">
        <f t="shared" si="6"/>
        <v>1</v>
      </c>
      <c r="AG338" s="22">
        <f t="shared" ca="1" si="5"/>
        <v>1</v>
      </c>
      <c r="AH338" s="8"/>
      <c r="AI338" s="8"/>
    </row>
    <row r="339" spans="1:35" ht="15.75" customHeight="1" x14ac:dyDescent="0.25">
      <c r="A339" s="8"/>
      <c r="B339" s="8"/>
      <c r="C339" s="8"/>
      <c r="D339" s="8"/>
      <c r="E339" s="5" t="s">
        <v>459</v>
      </c>
      <c r="F339" s="16">
        <v>83000</v>
      </c>
      <c r="G339" s="16">
        <v>55076</v>
      </c>
      <c r="H339" s="5" t="s">
        <v>100</v>
      </c>
      <c r="I339" s="5" t="s">
        <v>21</v>
      </c>
      <c r="J339" s="5">
        <v>374773000</v>
      </c>
      <c r="K339" s="5">
        <v>9773234</v>
      </c>
      <c r="L339" s="5" t="s">
        <v>43</v>
      </c>
      <c r="M339" s="17">
        <v>46145.625</v>
      </c>
      <c r="N339" s="18" t="b">
        <v>0</v>
      </c>
      <c r="O339" s="18"/>
      <c r="P339" s="5"/>
      <c r="Q339" s="8"/>
      <c r="R339" s="8"/>
      <c r="S339" s="8"/>
      <c r="T339" s="8"/>
      <c r="U339" s="8"/>
      <c r="V339" s="8"/>
      <c r="W339" s="8"/>
      <c r="X339" s="22"/>
      <c r="Y339" s="22"/>
      <c r="Z339" s="22"/>
      <c r="AA339" s="22"/>
      <c r="AB339" s="8"/>
      <c r="AC339" s="8" t="str">
        <f ca="1">IFERROR(__xludf.DUMMYFUNCTION("""COMPUTED_VALUE"""),"White Cliffs")</f>
        <v>White Cliffs</v>
      </c>
      <c r="AD339" s="24"/>
      <c r="AE339" s="24" t="str">
        <f t="shared" si="4"/>
        <v/>
      </c>
      <c r="AF339" s="22">
        <f t="shared" si="6"/>
        <v>1</v>
      </c>
      <c r="AG339" s="22">
        <f t="shared" ca="1" si="5"/>
        <v>1</v>
      </c>
      <c r="AH339" s="8"/>
      <c r="AI339" s="8"/>
    </row>
    <row r="340" spans="1:35" ht="15.75" customHeight="1" x14ac:dyDescent="0.25">
      <c r="A340" s="8"/>
      <c r="B340" s="8"/>
      <c r="C340" s="8"/>
      <c r="D340" s="8"/>
      <c r="E340" s="5" t="s">
        <v>460</v>
      </c>
      <c r="F340" s="16">
        <v>83000</v>
      </c>
      <c r="G340" s="16">
        <v>55133</v>
      </c>
      <c r="H340" s="5" t="s">
        <v>20</v>
      </c>
      <c r="I340" s="5" t="s">
        <v>21</v>
      </c>
      <c r="J340" s="5">
        <v>374192000</v>
      </c>
      <c r="K340" s="5">
        <v>9723679</v>
      </c>
      <c r="L340" s="5" t="s">
        <v>194</v>
      </c>
      <c r="M340" s="17">
        <v>46133.354166666664</v>
      </c>
      <c r="N340" s="18" t="b">
        <v>1</v>
      </c>
      <c r="O340" s="18"/>
      <c r="P340" s="5"/>
      <c r="Q340" s="8"/>
      <c r="R340" s="8"/>
      <c r="S340" s="8"/>
      <c r="T340" s="8"/>
      <c r="U340" s="8"/>
      <c r="V340" s="8"/>
      <c r="W340" s="8"/>
      <c r="X340" s="22"/>
      <c r="Y340" s="22"/>
      <c r="Z340" s="22"/>
      <c r="AA340" s="22"/>
      <c r="AB340" s="8"/>
      <c r="AC340" s="8" t="str">
        <f ca="1">IFERROR(__xludf.DUMMYFUNCTION("""COMPUTED_VALUE"""),"Yuhsan")</f>
        <v>Yuhsan</v>
      </c>
      <c r="AD340" s="24"/>
      <c r="AE340" s="24" t="str">
        <f t="shared" si="4"/>
        <v/>
      </c>
      <c r="AF340" s="22">
        <f t="shared" si="6"/>
        <v>1</v>
      </c>
      <c r="AG340" s="22">
        <f t="shared" ca="1" si="5"/>
        <v>1</v>
      </c>
      <c r="AH340" s="8"/>
      <c r="AI340" s="8"/>
    </row>
    <row r="341" spans="1:35" ht="15.75" customHeight="1" x14ac:dyDescent="0.25">
      <c r="A341" s="8"/>
      <c r="B341" s="8"/>
      <c r="C341" s="8"/>
      <c r="D341" s="8"/>
      <c r="E341" s="5" t="s">
        <v>461</v>
      </c>
      <c r="F341" s="16">
        <v>91000</v>
      </c>
      <c r="G341" s="16">
        <v>59017</v>
      </c>
      <c r="H341" s="5" t="s">
        <v>20</v>
      </c>
      <c r="I341" s="5" t="s">
        <v>21</v>
      </c>
      <c r="J341" s="5">
        <v>636021162</v>
      </c>
      <c r="K341" s="5">
        <v>9938523</v>
      </c>
      <c r="L341" s="5" t="s">
        <v>144</v>
      </c>
      <c r="M341" s="17">
        <v>46151.208333333336</v>
      </c>
      <c r="N341" s="18" t="b">
        <v>1</v>
      </c>
      <c r="O341" s="18"/>
      <c r="P341" s="5"/>
      <c r="Q341" s="8"/>
      <c r="R341" s="8"/>
      <c r="S341" s="8"/>
      <c r="T341" s="8"/>
      <c r="U341" s="8"/>
      <c r="V341" s="8"/>
      <c r="W341" s="8"/>
      <c r="X341" s="22"/>
      <c r="Y341" s="22"/>
      <c r="Z341" s="22"/>
      <c r="AA341" s="22"/>
      <c r="AB341" s="8"/>
      <c r="AC341" s="8" t="str">
        <f ca="1">IFERROR(__xludf.DUMMYFUNCTION("""COMPUTED_VALUE"""),"Yuyo")</f>
        <v>Yuyo</v>
      </c>
      <c r="AD341" s="24"/>
      <c r="AE341" s="24" t="str">
        <f t="shared" si="4"/>
        <v/>
      </c>
      <c r="AF341" s="22">
        <f t="shared" si="6"/>
        <v>1</v>
      </c>
      <c r="AG341" s="22">
        <f t="shared" ca="1" si="5"/>
        <v>1</v>
      </c>
      <c r="AH341" s="8"/>
      <c r="AI341" s="8"/>
    </row>
    <row r="342" spans="1:35" ht="15.75" customHeight="1" x14ac:dyDescent="0.25">
      <c r="A342" s="8"/>
      <c r="B342" s="8"/>
      <c r="C342" s="8"/>
      <c r="D342" s="8"/>
      <c r="E342" s="5" t="s">
        <v>462</v>
      </c>
      <c r="F342" s="16">
        <v>83000</v>
      </c>
      <c r="G342" s="16">
        <v>54893</v>
      </c>
      <c r="H342" s="5" t="s">
        <v>20</v>
      </c>
      <c r="I342" s="5" t="s">
        <v>21</v>
      </c>
      <c r="J342" s="5">
        <v>356560000</v>
      </c>
      <c r="K342" s="5">
        <v>9776341</v>
      </c>
      <c r="L342" s="5" t="s">
        <v>85</v>
      </c>
      <c r="M342" s="17">
        <v>46134.208333333336</v>
      </c>
      <c r="N342" s="18" t="b">
        <v>1</v>
      </c>
      <c r="O342" s="18"/>
      <c r="P342" s="5"/>
      <c r="Q342" s="8"/>
      <c r="R342" s="8"/>
      <c r="S342" s="8"/>
      <c r="T342" s="8"/>
      <c r="U342" s="8"/>
      <c r="V342" s="8"/>
      <c r="W342" s="8"/>
      <c r="X342" s="22"/>
      <c r="Y342" s="22"/>
      <c r="Z342" s="22"/>
      <c r="AA342" s="22"/>
      <c r="AB342" s="8"/>
      <c r="AC342" s="8" t="str">
        <f ca="1">IFERROR(__xludf.DUMMYFUNCTION("""COMPUTED_VALUE"""),"Yuyo Spirits")</f>
        <v>Yuyo Spirits</v>
      </c>
      <c r="AD342" s="24"/>
      <c r="AE342" s="24" t="str">
        <f t="shared" si="4"/>
        <v/>
      </c>
      <c r="AF342" s="22">
        <f t="shared" si="6"/>
        <v>1</v>
      </c>
      <c r="AG342" s="22">
        <f t="shared" ca="1" si="5"/>
        <v>1</v>
      </c>
      <c r="AH342" s="8"/>
      <c r="AI342" s="8"/>
    </row>
    <row r="343" spans="1:35" ht="15.75" customHeight="1" x14ac:dyDescent="0.25">
      <c r="A343" s="8"/>
      <c r="B343" s="8"/>
      <c r="C343" s="8"/>
      <c r="D343" s="8"/>
      <c r="E343" s="5" t="s">
        <v>463</v>
      </c>
      <c r="F343" s="16">
        <v>77330</v>
      </c>
      <c r="G343" s="16">
        <v>49999</v>
      </c>
      <c r="H343" s="5" t="s">
        <v>20</v>
      </c>
      <c r="I343" s="5" t="s">
        <v>21</v>
      </c>
      <c r="J343" s="5">
        <v>564692000</v>
      </c>
      <c r="K343" s="5">
        <v>9255713</v>
      </c>
      <c r="L343" s="5" t="s">
        <v>464</v>
      </c>
      <c r="M343" s="17">
        <v>46166.125</v>
      </c>
      <c r="N343" s="18" t="b">
        <v>1</v>
      </c>
      <c r="O343" s="18"/>
      <c r="P343" s="5"/>
      <c r="Q343" s="8"/>
      <c r="R343" s="8"/>
      <c r="S343" s="8"/>
      <c r="T343" s="8"/>
      <c r="U343" s="8"/>
      <c r="V343" s="8"/>
      <c r="W343" s="8"/>
      <c r="X343" s="22"/>
      <c r="Y343" s="22"/>
      <c r="Z343" s="22"/>
      <c r="AA343" s="22"/>
      <c r="AB343" s="8"/>
      <c r="AC343" s="8" t="str">
        <f ca="1">IFERROR(__xludf.DUMMYFUNCTION("""COMPUTED_VALUE"""),"Zakher")</f>
        <v>Zakher</v>
      </c>
      <c r="AD343" s="24"/>
      <c r="AE343" s="24" t="str">
        <f t="shared" si="4"/>
        <v/>
      </c>
      <c r="AF343" s="22">
        <f t="shared" si="6"/>
        <v>1</v>
      </c>
      <c r="AG343" s="22">
        <f t="shared" ca="1" si="5"/>
        <v>1</v>
      </c>
      <c r="AH343" s="8"/>
      <c r="AI343" s="8"/>
    </row>
    <row r="344" spans="1:35" ht="15.75" customHeight="1" x14ac:dyDescent="0.25">
      <c r="A344" s="8"/>
      <c r="B344" s="8"/>
      <c r="C344" s="8"/>
      <c r="D344" s="8"/>
      <c r="E344" s="5" t="s">
        <v>465</v>
      </c>
      <c r="F344" s="16">
        <v>86700</v>
      </c>
      <c r="G344" s="16">
        <v>55000</v>
      </c>
      <c r="H344" s="5" t="s">
        <v>26</v>
      </c>
      <c r="I344" s="5" t="s">
        <v>21</v>
      </c>
      <c r="J344" s="5">
        <v>431232000</v>
      </c>
      <c r="K344" s="5">
        <v>9970698</v>
      </c>
      <c r="L344" s="5"/>
      <c r="M344" s="17"/>
      <c r="N344" s="18" t="b">
        <v>0</v>
      </c>
      <c r="O344" s="18"/>
      <c r="P344" s="5"/>
      <c r="Q344" s="8"/>
      <c r="R344" s="8"/>
      <c r="S344" s="8"/>
      <c r="T344" s="8"/>
      <c r="U344" s="8"/>
      <c r="V344" s="8"/>
      <c r="W344" s="8"/>
      <c r="X344" s="22"/>
      <c r="Y344" s="22"/>
      <c r="Z344" s="22"/>
      <c r="AA344" s="22"/>
      <c r="AB344" s="8"/>
      <c r="AC344" s="8" t="str">
        <f ca="1">IFERROR(__xludf.DUMMYFUNCTION("""COMPUTED_VALUE"""),"Zante Gas")</f>
        <v>Zante Gas</v>
      </c>
      <c r="AD344" s="24"/>
      <c r="AE344" s="24" t="str">
        <f t="shared" si="4"/>
        <v/>
      </c>
      <c r="AF344" s="22">
        <f t="shared" si="6"/>
        <v>1</v>
      </c>
      <c r="AG344" s="22">
        <f t="shared" ca="1" si="5"/>
        <v>1</v>
      </c>
      <c r="AH344" s="8"/>
      <c r="AI344" s="8"/>
    </row>
    <row r="345" spans="1:35" ht="15.75" customHeight="1" x14ac:dyDescent="0.25">
      <c r="A345" s="8"/>
      <c r="B345" s="8"/>
      <c r="C345" s="8"/>
      <c r="D345" s="8"/>
      <c r="E345" s="5" t="s">
        <v>466</v>
      </c>
      <c r="F345" s="16">
        <v>93000</v>
      </c>
      <c r="G345" s="16">
        <v>59800</v>
      </c>
      <c r="H345" s="5" t="s">
        <v>53</v>
      </c>
      <c r="I345" s="741" t="s">
        <v>54</v>
      </c>
      <c r="J345" s="742"/>
      <c r="K345" s="5">
        <v>1017115</v>
      </c>
      <c r="L345" s="5"/>
      <c r="M345" s="17"/>
      <c r="N345" s="18" t="b">
        <v>0</v>
      </c>
      <c r="O345" s="18"/>
      <c r="P345" s="5"/>
      <c r="Q345" s="8"/>
      <c r="R345" s="8"/>
      <c r="S345" s="8"/>
      <c r="T345" s="8"/>
      <c r="U345" s="8"/>
      <c r="V345" s="8"/>
      <c r="W345" s="8"/>
      <c r="X345" s="22"/>
      <c r="Y345" s="22"/>
      <c r="Z345" s="22"/>
      <c r="AA345" s="22"/>
      <c r="AB345" s="8"/>
      <c r="AC345" s="8"/>
      <c r="AD345" s="24"/>
      <c r="AE345" s="24" t="str">
        <f t="shared" si="4"/>
        <v/>
      </c>
      <c r="AF345" s="22">
        <f>IF(ISERROR(VLOOKUP(#REF!,$E$2:$F$600,2, FALSE)),1,"")</f>
        <v>1</v>
      </c>
      <c r="AG345" s="22" t="str">
        <f t="shared" ca="1" si="5"/>
        <v/>
      </c>
      <c r="AH345" s="8"/>
      <c r="AI345" s="8"/>
    </row>
    <row r="346" spans="1:35" ht="15.75" customHeight="1" x14ac:dyDescent="0.25">
      <c r="A346" s="8"/>
      <c r="B346" s="8"/>
      <c r="C346" s="8"/>
      <c r="D346" s="8"/>
      <c r="E346" s="5" t="s">
        <v>467</v>
      </c>
      <c r="F346" s="16">
        <v>83000</v>
      </c>
      <c r="G346" s="16">
        <v>52000</v>
      </c>
      <c r="H346" s="5" t="s">
        <v>20</v>
      </c>
      <c r="I346" s="5" t="s">
        <v>21</v>
      </c>
      <c r="J346" s="5">
        <v>353727000</v>
      </c>
      <c r="K346" s="5">
        <v>9809540</v>
      </c>
      <c r="L346" s="5" t="s">
        <v>312</v>
      </c>
      <c r="M346" s="17">
        <v>46141.729861111111</v>
      </c>
      <c r="N346" s="18" t="b">
        <v>1</v>
      </c>
      <c r="O346" s="18"/>
      <c r="P346" s="5"/>
      <c r="Q346" s="8"/>
      <c r="R346" s="8"/>
      <c r="S346" s="8"/>
      <c r="T346" s="8"/>
      <c r="U346" s="8"/>
      <c r="V346" s="8"/>
      <c r="W346" s="8"/>
      <c r="X346" s="22"/>
      <c r="Y346" s="22"/>
      <c r="Z346" s="22"/>
      <c r="AA346" s="22"/>
      <c r="AB346" s="8"/>
      <c r="AC346" s="8"/>
      <c r="AD346" s="24"/>
      <c r="AE346" s="24" t="str">
        <f t="shared" si="4"/>
        <v/>
      </c>
      <c r="AF346" s="22">
        <f t="shared" ref="AF346:AF399" si="7">IF(ISERROR(VLOOKUP(Y345,$E$2:$F$600,2, FALSE)),1,"")</f>
        <v>1</v>
      </c>
      <c r="AG346" s="22">
        <f t="shared" ca="1" si="5"/>
        <v>1</v>
      </c>
      <c r="AH346" s="8"/>
      <c r="AI346" s="8"/>
    </row>
    <row r="347" spans="1:35" ht="15.75" customHeight="1" x14ac:dyDescent="0.25">
      <c r="A347" s="8"/>
      <c r="B347" s="8"/>
      <c r="C347" s="8"/>
      <c r="D347" s="8"/>
      <c r="E347" s="5" t="s">
        <v>468</v>
      </c>
      <c r="F347" s="16">
        <v>83000</v>
      </c>
      <c r="G347" s="16">
        <v>52000</v>
      </c>
      <c r="H347" s="5" t="s">
        <v>20</v>
      </c>
      <c r="I347" s="5" t="s">
        <v>21</v>
      </c>
      <c r="J347" s="5">
        <v>370503000</v>
      </c>
      <c r="K347" s="5">
        <v>9809552</v>
      </c>
      <c r="L347" s="5" t="s">
        <v>469</v>
      </c>
      <c r="M347" s="17">
        <v>46143.5</v>
      </c>
      <c r="N347" s="18" t="b">
        <v>1</v>
      </c>
      <c r="O347" s="18"/>
      <c r="P347" s="5"/>
      <c r="Q347" s="8"/>
      <c r="R347" s="8"/>
      <c r="S347" s="8"/>
      <c r="T347" s="8"/>
      <c r="U347" s="8"/>
      <c r="V347" s="8"/>
      <c r="W347" s="8"/>
      <c r="X347" s="22"/>
      <c r="Y347" s="22"/>
      <c r="Z347" s="22"/>
      <c r="AA347" s="22"/>
      <c r="AB347" s="8"/>
      <c r="AC347" s="8"/>
      <c r="AD347" s="24"/>
      <c r="AE347" s="24" t="str">
        <f t="shared" si="4"/>
        <v/>
      </c>
      <c r="AF347" s="22">
        <f t="shared" si="7"/>
        <v>1</v>
      </c>
      <c r="AG347" s="22">
        <f t="shared" ca="1" si="5"/>
        <v>1</v>
      </c>
      <c r="AH347" s="8"/>
      <c r="AI347" s="8"/>
    </row>
    <row r="348" spans="1:35" ht="15.75" customHeight="1" x14ac:dyDescent="0.25">
      <c r="A348" s="8"/>
      <c r="B348" s="8"/>
      <c r="C348" s="8"/>
      <c r="D348" s="8"/>
      <c r="E348" s="5" t="s">
        <v>470</v>
      </c>
      <c r="F348" s="16">
        <v>86000</v>
      </c>
      <c r="G348" s="16">
        <v>51269</v>
      </c>
      <c r="H348" s="5" t="s">
        <v>20</v>
      </c>
      <c r="I348" s="5" t="s">
        <v>21</v>
      </c>
      <c r="J348" s="5">
        <v>636022939</v>
      </c>
      <c r="K348" s="5">
        <v>9941233</v>
      </c>
      <c r="L348" s="5" t="s">
        <v>194</v>
      </c>
      <c r="M348" s="17">
        <v>46141.041666666664</v>
      </c>
      <c r="N348" s="18" t="b">
        <v>1</v>
      </c>
      <c r="O348" s="18"/>
      <c r="P348" s="5"/>
      <c r="Q348" s="8"/>
      <c r="R348" s="8"/>
      <c r="S348" s="8"/>
      <c r="T348" s="8"/>
      <c r="U348" s="8"/>
      <c r="V348" s="8"/>
      <c r="W348" s="8"/>
      <c r="X348" s="22"/>
      <c r="Y348" s="22"/>
      <c r="Z348" s="22"/>
      <c r="AA348" s="22"/>
      <c r="AB348" s="8"/>
      <c r="AC348" s="8"/>
      <c r="AD348" s="24"/>
      <c r="AE348" s="24" t="str">
        <f t="shared" si="4"/>
        <v/>
      </c>
      <c r="AF348" s="22">
        <f t="shared" si="7"/>
        <v>1</v>
      </c>
      <c r="AG348" s="22">
        <f t="shared" ca="1" si="5"/>
        <v>1</v>
      </c>
      <c r="AH348" s="8"/>
      <c r="AI348" s="8"/>
    </row>
    <row r="349" spans="1:35" ht="15.75" customHeight="1" x14ac:dyDescent="0.25">
      <c r="A349" s="8"/>
      <c r="B349" s="8"/>
      <c r="C349" s="8"/>
      <c r="D349" s="8"/>
      <c r="E349" s="5" t="s">
        <v>471</v>
      </c>
      <c r="F349" s="16">
        <v>87000</v>
      </c>
      <c r="G349" s="16">
        <v>55000</v>
      </c>
      <c r="H349" s="5" t="s">
        <v>26</v>
      </c>
      <c r="I349" s="5" t="s">
        <v>21</v>
      </c>
      <c r="J349" s="5">
        <v>352006279</v>
      </c>
      <c r="K349" s="5">
        <v>9997191</v>
      </c>
      <c r="L349" s="5"/>
      <c r="M349" s="17"/>
      <c r="N349" s="18" t="b">
        <v>0</v>
      </c>
      <c r="O349" s="18"/>
      <c r="P349" s="5"/>
      <c r="Q349" s="8"/>
      <c r="R349" s="8"/>
      <c r="S349" s="8"/>
      <c r="T349" s="8"/>
      <c r="U349" s="8"/>
      <c r="V349" s="8"/>
      <c r="W349" s="8"/>
      <c r="X349" s="22"/>
      <c r="Y349" s="22"/>
      <c r="Z349" s="22"/>
      <c r="AA349" s="22"/>
      <c r="AB349" s="8"/>
      <c r="AC349" s="8"/>
      <c r="AD349" s="24"/>
      <c r="AE349" s="24" t="str">
        <f t="shared" si="4"/>
        <v/>
      </c>
      <c r="AF349" s="22">
        <f t="shared" si="7"/>
        <v>1</v>
      </c>
      <c r="AG349" s="22">
        <f t="shared" ca="1" si="5"/>
        <v>1</v>
      </c>
      <c r="AH349" s="8"/>
      <c r="AI349" s="8"/>
    </row>
    <row r="350" spans="1:35" ht="15.75" customHeight="1" x14ac:dyDescent="0.25">
      <c r="A350" s="8"/>
      <c r="B350" s="8"/>
      <c r="C350" s="8"/>
      <c r="D350" s="8"/>
      <c r="E350" s="5" t="s">
        <v>472</v>
      </c>
      <c r="F350" s="16">
        <v>77321</v>
      </c>
      <c r="G350" s="16">
        <v>49999</v>
      </c>
      <c r="H350" s="5" t="s">
        <v>26</v>
      </c>
      <c r="I350" s="5" t="s">
        <v>21</v>
      </c>
      <c r="J350" s="5">
        <v>370914000</v>
      </c>
      <c r="K350" s="5">
        <v>9349784</v>
      </c>
      <c r="L350" s="5" t="s">
        <v>38</v>
      </c>
      <c r="M350" s="17">
        <v>46163.833333333336</v>
      </c>
      <c r="N350" s="18" t="b">
        <v>0</v>
      </c>
      <c r="O350" s="18"/>
      <c r="P350" s="5"/>
      <c r="Q350" s="8"/>
      <c r="R350" s="8"/>
      <c r="S350" s="8"/>
      <c r="T350" s="8"/>
      <c r="U350" s="8"/>
      <c r="V350" s="8"/>
      <c r="W350" s="8"/>
      <c r="X350" s="22"/>
      <c r="Y350" s="22"/>
      <c r="Z350" s="22"/>
      <c r="AA350" s="22"/>
      <c r="AB350" s="8"/>
      <c r="AC350" s="8"/>
      <c r="AD350" s="24"/>
      <c r="AE350" s="24" t="str">
        <f t="shared" si="4"/>
        <v/>
      </c>
      <c r="AF350" s="22">
        <f t="shared" si="7"/>
        <v>1</v>
      </c>
      <c r="AG350" s="22">
        <f t="shared" ca="1" si="5"/>
        <v>1</v>
      </c>
      <c r="AH350" s="8"/>
      <c r="AI350" s="8"/>
    </row>
    <row r="351" spans="1:35" ht="15.75" customHeight="1" x14ac:dyDescent="0.25">
      <c r="A351" s="8"/>
      <c r="B351" s="8"/>
      <c r="C351" s="8"/>
      <c r="D351" s="8"/>
      <c r="E351" s="5" t="s">
        <v>473</v>
      </c>
      <c r="F351" s="16">
        <v>84300</v>
      </c>
      <c r="G351" s="16">
        <v>55231</v>
      </c>
      <c r="H351" s="5" t="s">
        <v>20</v>
      </c>
      <c r="I351" s="5" t="s">
        <v>21</v>
      </c>
      <c r="J351" s="5">
        <v>538010617</v>
      </c>
      <c r="K351" s="5">
        <v>9943516</v>
      </c>
      <c r="L351" s="5" t="s">
        <v>474</v>
      </c>
      <c r="M351" s="17">
        <v>46145.958333333336</v>
      </c>
      <c r="N351" s="18" t="b">
        <v>1</v>
      </c>
      <c r="O351" s="18"/>
      <c r="P351" s="5"/>
      <c r="Q351" s="8"/>
      <c r="R351" s="8"/>
      <c r="S351" s="8"/>
      <c r="T351" s="8"/>
      <c r="U351" s="8"/>
      <c r="V351" s="8"/>
      <c r="W351" s="8"/>
      <c r="X351" s="22"/>
      <c r="Y351" s="22"/>
      <c r="Z351" s="22"/>
      <c r="AA351" s="22"/>
      <c r="AB351" s="8"/>
      <c r="AC351" s="8"/>
      <c r="AD351" s="24"/>
      <c r="AE351" s="24" t="str">
        <f t="shared" si="4"/>
        <v/>
      </c>
      <c r="AF351" s="22">
        <f t="shared" si="7"/>
        <v>1</v>
      </c>
      <c r="AG351" s="22">
        <f t="shared" ca="1" si="5"/>
        <v>1</v>
      </c>
      <c r="AH351" s="8"/>
      <c r="AI351" s="8"/>
    </row>
    <row r="352" spans="1:35" ht="15.75" customHeight="1" x14ac:dyDescent="0.25">
      <c r="A352" s="8"/>
      <c r="B352" s="8"/>
      <c r="C352" s="8"/>
      <c r="D352" s="8"/>
      <c r="E352" s="5" t="s">
        <v>475</v>
      </c>
      <c r="F352" s="16">
        <v>79334</v>
      </c>
      <c r="G352" s="16">
        <v>49996</v>
      </c>
      <c r="H352" s="5" t="s">
        <v>26</v>
      </c>
      <c r="I352" s="5" t="s">
        <v>21</v>
      </c>
      <c r="J352" s="5">
        <v>477223600</v>
      </c>
      <c r="K352" s="5">
        <v>9264908</v>
      </c>
      <c r="L352" s="5" t="s">
        <v>163</v>
      </c>
      <c r="M352" s="33">
        <v>46132.5</v>
      </c>
      <c r="N352" s="18" t="b">
        <v>0</v>
      </c>
      <c r="O352" s="18"/>
      <c r="P352" s="5"/>
      <c r="Q352" s="8"/>
      <c r="R352" s="8"/>
      <c r="S352" s="8"/>
      <c r="T352" s="8"/>
      <c r="U352" s="8"/>
      <c r="V352" s="8"/>
      <c r="W352" s="8"/>
      <c r="X352" s="22"/>
      <c r="Y352" s="22"/>
      <c r="Z352" s="22"/>
      <c r="AA352" s="22"/>
      <c r="AB352" s="8"/>
      <c r="AC352" s="8"/>
      <c r="AD352" s="24"/>
      <c r="AE352" s="24" t="str">
        <f t="shared" si="4"/>
        <v/>
      </c>
      <c r="AF352" s="22">
        <f t="shared" si="7"/>
        <v>1</v>
      </c>
      <c r="AG352" s="22" t="str">
        <f t="shared" ca="1" si="5"/>
        <v/>
      </c>
      <c r="AH352" s="8"/>
      <c r="AI352" s="8"/>
    </row>
    <row r="353" spans="1:35" ht="15.75" customHeight="1" x14ac:dyDescent="0.25">
      <c r="A353" s="8"/>
      <c r="B353" s="8"/>
      <c r="C353" s="8"/>
      <c r="D353" s="8"/>
      <c r="E353" s="5" t="s">
        <v>476</v>
      </c>
      <c r="F353" s="16">
        <v>87000</v>
      </c>
      <c r="G353" s="16">
        <v>55000</v>
      </c>
      <c r="H353" s="5" t="s">
        <v>100</v>
      </c>
      <c r="I353" s="5" t="s">
        <v>21</v>
      </c>
      <c r="J353" s="5">
        <v>352005790</v>
      </c>
      <c r="K353" s="5">
        <v>9980150</v>
      </c>
      <c r="L353" s="5" t="s">
        <v>38</v>
      </c>
      <c r="M353" s="17">
        <v>46133</v>
      </c>
      <c r="N353" s="18" t="b">
        <v>0</v>
      </c>
      <c r="O353" s="18"/>
      <c r="P353" s="5"/>
      <c r="Q353" s="8"/>
      <c r="R353" s="8"/>
      <c r="S353" s="8"/>
      <c r="T353" s="8"/>
      <c r="U353" s="8"/>
      <c r="V353" s="8"/>
      <c r="W353" s="8"/>
      <c r="X353" s="22"/>
      <c r="Y353" s="22"/>
      <c r="Z353" s="22"/>
      <c r="AA353" s="22"/>
      <c r="AB353" s="8"/>
      <c r="AC353" s="8"/>
      <c r="AD353" s="24"/>
      <c r="AE353" s="24" t="str">
        <f t="shared" si="4"/>
        <v/>
      </c>
      <c r="AF353" s="22">
        <f t="shared" si="7"/>
        <v>1</v>
      </c>
      <c r="AG353" s="22">
        <f t="shared" ca="1" si="5"/>
        <v>1</v>
      </c>
      <c r="AH353" s="8"/>
      <c r="AI353" s="8"/>
    </row>
    <row r="354" spans="1:35" ht="15.75" customHeight="1" x14ac:dyDescent="0.25">
      <c r="A354" s="8"/>
      <c r="B354" s="8"/>
      <c r="C354" s="8"/>
      <c r="D354" s="8"/>
      <c r="E354" s="5" t="s">
        <v>477</v>
      </c>
      <c r="F354" s="16">
        <v>84000</v>
      </c>
      <c r="G354" s="16">
        <v>55091</v>
      </c>
      <c r="H354" s="5" t="s">
        <v>26</v>
      </c>
      <c r="I354" s="5" t="s">
        <v>21</v>
      </c>
      <c r="J354" s="5">
        <v>352001447</v>
      </c>
      <c r="K354" s="5">
        <v>9929209</v>
      </c>
      <c r="L354" s="5" t="s">
        <v>38</v>
      </c>
      <c r="M354" s="17">
        <v>46132.486805555556</v>
      </c>
      <c r="N354" s="18" t="b">
        <v>0</v>
      </c>
      <c r="O354" s="18"/>
      <c r="P354" s="5"/>
      <c r="Q354" s="8"/>
      <c r="R354" s="8"/>
      <c r="S354" s="8"/>
      <c r="T354" s="8"/>
      <c r="U354" s="8"/>
      <c r="V354" s="8"/>
      <c r="W354" s="8"/>
      <c r="X354" s="22"/>
      <c r="Y354" s="22"/>
      <c r="Z354" s="22"/>
      <c r="AA354" s="22"/>
      <c r="AB354" s="8"/>
      <c r="AC354" s="8"/>
      <c r="AD354" s="24"/>
      <c r="AE354" s="24" t="str">
        <f t="shared" si="4"/>
        <v/>
      </c>
      <c r="AF354" s="22">
        <f t="shared" si="7"/>
        <v>1</v>
      </c>
      <c r="AG354" s="22">
        <f t="shared" ca="1" si="5"/>
        <v>1</v>
      </c>
      <c r="AH354" s="8"/>
      <c r="AI354" s="8"/>
    </row>
    <row r="355" spans="1:35" ht="15.75" customHeight="1" x14ac:dyDescent="0.25">
      <c r="A355" s="8"/>
      <c r="B355" s="8"/>
      <c r="C355" s="8"/>
      <c r="D355" s="8"/>
      <c r="E355" s="5" t="s">
        <v>478</v>
      </c>
      <c r="F355" s="16">
        <v>77367</v>
      </c>
      <c r="G355" s="16">
        <v>49999</v>
      </c>
      <c r="H355" s="5" t="s">
        <v>26</v>
      </c>
      <c r="I355" s="5" t="s">
        <v>21</v>
      </c>
      <c r="J355" s="5">
        <v>357261000</v>
      </c>
      <c r="K355" s="5">
        <v>9249336</v>
      </c>
      <c r="L355" s="5" t="s">
        <v>479</v>
      </c>
      <c r="M355" s="17">
        <v>46133.125</v>
      </c>
      <c r="N355" s="18" t="b">
        <v>0</v>
      </c>
      <c r="O355" s="18"/>
      <c r="P355" s="5"/>
      <c r="Q355" s="8"/>
      <c r="R355" s="8"/>
      <c r="S355" s="8"/>
      <c r="T355" s="8"/>
      <c r="U355" s="8"/>
      <c r="V355" s="8"/>
      <c r="W355" s="8"/>
      <c r="X355" s="22"/>
      <c r="Y355" s="22"/>
      <c r="Z355" s="22"/>
      <c r="AA355" s="22"/>
      <c r="AB355" s="8"/>
      <c r="AC355" s="8"/>
      <c r="AD355" s="24"/>
      <c r="AE355" s="24" t="str">
        <f t="shared" si="4"/>
        <v/>
      </c>
      <c r="AF355" s="22">
        <f t="shared" si="7"/>
        <v>1</v>
      </c>
      <c r="AG355" s="22">
        <f t="shared" ca="1" si="5"/>
        <v>1</v>
      </c>
      <c r="AH355" s="8"/>
      <c r="AI355" s="8"/>
    </row>
    <row r="356" spans="1:35" ht="15.75" customHeight="1" x14ac:dyDescent="0.25">
      <c r="A356" s="8"/>
      <c r="B356" s="8"/>
      <c r="C356" s="8"/>
      <c r="D356" s="8"/>
      <c r="E356" s="5" t="s">
        <v>480</v>
      </c>
      <c r="F356" s="16">
        <v>93000</v>
      </c>
      <c r="G356" s="16">
        <v>60000</v>
      </c>
      <c r="H356" s="5" t="s">
        <v>26</v>
      </c>
      <c r="I356" s="5" t="s">
        <v>21</v>
      </c>
      <c r="J356" s="5">
        <v>563200900</v>
      </c>
      <c r="K356" s="5">
        <v>9941441</v>
      </c>
      <c r="L356" s="5" t="s">
        <v>38</v>
      </c>
      <c r="M356" s="17">
        <v>46163.625</v>
      </c>
      <c r="N356" s="18" t="b">
        <v>0</v>
      </c>
      <c r="O356" s="18"/>
      <c r="P356" s="5"/>
      <c r="Q356" s="8"/>
      <c r="R356" s="8"/>
      <c r="S356" s="8"/>
      <c r="T356" s="8"/>
      <c r="U356" s="8"/>
      <c r="V356" s="8"/>
      <c r="W356" s="8"/>
      <c r="X356" s="22"/>
      <c r="Y356" s="22"/>
      <c r="Z356" s="22"/>
      <c r="AA356" s="22"/>
      <c r="AB356" s="8"/>
      <c r="AC356" s="8"/>
      <c r="AD356" s="24"/>
      <c r="AE356" s="24" t="str">
        <f t="shared" si="4"/>
        <v/>
      </c>
      <c r="AF356" s="22">
        <f t="shared" si="7"/>
        <v>1</v>
      </c>
      <c r="AG356" s="22">
        <f t="shared" ca="1" si="5"/>
        <v>1</v>
      </c>
      <c r="AH356" s="8"/>
      <c r="AI356" s="8"/>
    </row>
    <row r="357" spans="1:35" ht="15.75" customHeight="1" x14ac:dyDescent="0.25">
      <c r="A357" s="8"/>
      <c r="B357" s="8"/>
      <c r="C357" s="8"/>
      <c r="D357" s="8"/>
      <c r="E357" s="5" t="s">
        <v>481</v>
      </c>
      <c r="F357" s="16">
        <v>84000</v>
      </c>
      <c r="G357" s="16">
        <v>51668</v>
      </c>
      <c r="H357" s="5" t="s">
        <v>100</v>
      </c>
      <c r="I357" s="5" t="s">
        <v>21</v>
      </c>
      <c r="J357" s="5">
        <v>538010974</v>
      </c>
      <c r="K357" s="5">
        <v>9694622</v>
      </c>
      <c r="L357" s="5" t="s">
        <v>85</v>
      </c>
      <c r="M357" s="17">
        <v>46136.000694444447</v>
      </c>
      <c r="N357" s="18" t="b">
        <v>1</v>
      </c>
      <c r="O357" s="18"/>
      <c r="P357" s="5"/>
      <c r="Q357" s="8"/>
      <c r="R357" s="8"/>
      <c r="S357" s="8"/>
      <c r="T357" s="8"/>
      <c r="U357" s="8"/>
      <c r="V357" s="8"/>
      <c r="W357" s="8"/>
      <c r="X357" s="22"/>
      <c r="Y357" s="22"/>
      <c r="Z357" s="22"/>
      <c r="AA357" s="22"/>
      <c r="AB357" s="8"/>
      <c r="AC357" s="8"/>
      <c r="AD357" s="24"/>
      <c r="AE357" s="24" t="str">
        <f t="shared" si="4"/>
        <v/>
      </c>
      <c r="AF357" s="22">
        <f t="shared" si="7"/>
        <v>1</v>
      </c>
      <c r="AG357" s="22">
        <f t="shared" ca="1" si="5"/>
        <v>1</v>
      </c>
      <c r="AH357" s="8"/>
      <c r="AI357" s="8"/>
    </row>
    <row r="358" spans="1:35" ht="15.75" customHeight="1" x14ac:dyDescent="0.25">
      <c r="A358" s="8"/>
      <c r="B358" s="8"/>
      <c r="C358" s="8"/>
      <c r="D358" s="8"/>
      <c r="E358" s="5" t="s">
        <v>482</v>
      </c>
      <c r="F358" s="16">
        <v>84597</v>
      </c>
      <c r="G358" s="16">
        <v>54634</v>
      </c>
      <c r="H358" s="5" t="s">
        <v>26</v>
      </c>
      <c r="I358" s="5" t="s">
        <v>21</v>
      </c>
      <c r="J358" s="5">
        <v>538005631</v>
      </c>
      <c r="K358" s="5">
        <v>9354935</v>
      </c>
      <c r="L358" s="5"/>
      <c r="M358" s="17"/>
      <c r="N358" s="18" t="b">
        <v>0</v>
      </c>
      <c r="O358" s="18"/>
      <c r="P358" s="5"/>
      <c r="Q358" s="8"/>
      <c r="R358" s="8"/>
      <c r="S358" s="8"/>
      <c r="T358" s="8"/>
      <c r="U358" s="8"/>
      <c r="V358" s="8"/>
      <c r="W358" s="8"/>
      <c r="X358" s="22"/>
      <c r="Y358" s="22"/>
      <c r="Z358" s="22"/>
      <c r="AA358" s="22"/>
      <c r="AB358" s="8"/>
      <c r="AC358" s="8"/>
      <c r="AD358" s="24"/>
      <c r="AE358" s="24" t="str">
        <f t="shared" si="4"/>
        <v/>
      </c>
      <c r="AF358" s="22">
        <f t="shared" si="7"/>
        <v>1</v>
      </c>
      <c r="AG358" s="22" t="str">
        <f t="shared" ca="1" si="5"/>
        <v/>
      </c>
      <c r="AH358" s="8"/>
      <c r="AI358" s="8"/>
    </row>
    <row r="359" spans="1:35" ht="15.75" customHeight="1" x14ac:dyDescent="0.25">
      <c r="A359" s="8"/>
      <c r="B359" s="8"/>
      <c r="C359" s="8"/>
      <c r="D359" s="8"/>
      <c r="E359" s="5" t="s">
        <v>483</v>
      </c>
      <c r="F359" s="16">
        <v>93000</v>
      </c>
      <c r="G359" s="16">
        <v>62000</v>
      </c>
      <c r="H359" s="5" t="s">
        <v>26</v>
      </c>
      <c r="I359" s="5" t="s">
        <v>21</v>
      </c>
      <c r="J359" s="5">
        <v>563208200</v>
      </c>
      <c r="K359" s="5">
        <v>9941453</v>
      </c>
      <c r="L359" s="5" t="s">
        <v>38</v>
      </c>
      <c r="M359" s="17">
        <v>46135.75</v>
      </c>
      <c r="N359" s="18" t="b">
        <v>0</v>
      </c>
      <c r="O359" s="18"/>
      <c r="P359" s="5"/>
      <c r="Q359" s="8"/>
      <c r="R359" s="8"/>
      <c r="S359" s="8"/>
      <c r="T359" s="8"/>
      <c r="U359" s="8"/>
      <c r="V359" s="8"/>
      <c r="W359" s="8"/>
      <c r="X359" s="22"/>
      <c r="Y359" s="22"/>
      <c r="Z359" s="22"/>
      <c r="AA359" s="22"/>
      <c r="AB359" s="8"/>
      <c r="AC359" s="8"/>
      <c r="AD359" s="24"/>
      <c r="AE359" s="24" t="str">
        <f t="shared" si="4"/>
        <v/>
      </c>
      <c r="AF359" s="22">
        <f t="shared" si="7"/>
        <v>1</v>
      </c>
      <c r="AG359" s="22">
        <f t="shared" ca="1" si="5"/>
        <v>1</v>
      </c>
      <c r="AH359" s="8"/>
      <c r="AI359" s="8"/>
    </row>
    <row r="360" spans="1:35" ht="15.75" customHeight="1" x14ac:dyDescent="0.25">
      <c r="A360" s="8"/>
      <c r="B360" s="8"/>
      <c r="C360" s="8"/>
      <c r="D360" s="8"/>
      <c r="E360" s="5" t="s">
        <v>484</v>
      </c>
      <c r="F360" s="16">
        <v>82411</v>
      </c>
      <c r="G360" s="16">
        <v>53716</v>
      </c>
      <c r="H360" s="5" t="s">
        <v>20</v>
      </c>
      <c r="I360" s="5" t="s">
        <v>21</v>
      </c>
      <c r="J360" s="5">
        <v>431648000</v>
      </c>
      <c r="K360" s="5">
        <v>9800491</v>
      </c>
      <c r="L360" s="5" t="s">
        <v>259</v>
      </c>
      <c r="M360" s="17">
        <v>46142.166666666664</v>
      </c>
      <c r="N360" s="18" t="b">
        <v>1</v>
      </c>
      <c r="O360" s="18"/>
      <c r="P360" s="5"/>
      <c r="Q360" s="8"/>
      <c r="R360" s="8"/>
      <c r="S360" s="8"/>
      <c r="T360" s="8"/>
      <c r="U360" s="8"/>
      <c r="V360" s="8"/>
      <c r="W360" s="8"/>
      <c r="X360" s="22"/>
      <c r="Y360" s="22"/>
      <c r="Z360" s="22"/>
      <c r="AA360" s="22"/>
      <c r="AB360" s="8"/>
      <c r="AC360" s="8"/>
      <c r="AD360" s="24"/>
      <c r="AE360" s="24" t="str">
        <f t="shared" si="4"/>
        <v/>
      </c>
      <c r="AF360" s="22">
        <f t="shared" si="7"/>
        <v>1</v>
      </c>
      <c r="AG360" s="22">
        <f t="shared" ca="1" si="5"/>
        <v>1</v>
      </c>
      <c r="AH360" s="8"/>
      <c r="AI360" s="8"/>
    </row>
    <row r="361" spans="1:35" ht="15.75" customHeight="1" x14ac:dyDescent="0.25">
      <c r="A361" s="8"/>
      <c r="B361" s="8"/>
      <c r="C361" s="8"/>
      <c r="D361" s="8"/>
      <c r="E361" s="5" t="s">
        <v>485</v>
      </c>
      <c r="F361" s="16">
        <v>73882</v>
      </c>
      <c r="G361" s="16">
        <v>49242</v>
      </c>
      <c r="H361" s="5" t="s">
        <v>75</v>
      </c>
      <c r="I361" s="5" t="s">
        <v>21</v>
      </c>
      <c r="J361" s="5">
        <v>603927000</v>
      </c>
      <c r="K361" s="5">
        <v>9031519</v>
      </c>
      <c r="L361" s="5" t="s">
        <v>486</v>
      </c>
      <c r="M361" s="17">
        <v>46133.75</v>
      </c>
      <c r="N361" s="18" t="b">
        <v>1</v>
      </c>
      <c r="O361" s="18"/>
      <c r="P361" s="5"/>
      <c r="Q361" s="8"/>
      <c r="R361" s="8"/>
      <c r="S361" s="8"/>
      <c r="T361" s="8"/>
      <c r="U361" s="8"/>
      <c r="V361" s="8"/>
      <c r="W361" s="8"/>
      <c r="X361" s="22"/>
      <c r="Y361" s="22"/>
      <c r="Z361" s="22"/>
      <c r="AA361" s="22"/>
      <c r="AB361" s="8"/>
      <c r="AC361" s="8"/>
      <c r="AD361" s="24"/>
      <c r="AE361" s="24" t="str">
        <f t="shared" si="4"/>
        <v/>
      </c>
      <c r="AF361" s="22">
        <f t="shared" si="7"/>
        <v>1</v>
      </c>
      <c r="AG361" s="22" t="str">
        <f t="shared" ca="1" si="5"/>
        <v/>
      </c>
      <c r="AH361" s="8"/>
      <c r="AI361" s="8"/>
    </row>
    <row r="362" spans="1:35" ht="15.75" customHeight="1" x14ac:dyDescent="0.25">
      <c r="A362" s="8"/>
      <c r="B362" s="8"/>
      <c r="C362" s="8"/>
      <c r="D362" s="8"/>
      <c r="E362" s="5" t="s">
        <v>487</v>
      </c>
      <c r="F362" s="16">
        <v>80000</v>
      </c>
      <c r="G362" s="16">
        <v>50513</v>
      </c>
      <c r="H362" s="5" t="s">
        <v>26</v>
      </c>
      <c r="I362" s="5" t="s">
        <v>21</v>
      </c>
      <c r="J362" s="5">
        <v>636020880</v>
      </c>
      <c r="K362" s="5">
        <v>9847425</v>
      </c>
      <c r="L362" s="5"/>
      <c r="M362" s="17"/>
      <c r="N362" s="18" t="b">
        <v>0</v>
      </c>
      <c r="O362" s="18"/>
      <c r="P362" s="5"/>
      <c r="Q362" s="8"/>
      <c r="R362" s="8"/>
      <c r="S362" s="8"/>
      <c r="T362" s="8"/>
      <c r="U362" s="8"/>
      <c r="V362" s="8"/>
      <c r="W362" s="8"/>
      <c r="X362" s="22"/>
      <c r="Y362" s="22"/>
      <c r="Z362" s="22"/>
      <c r="AA362" s="22"/>
      <c r="AB362" s="8"/>
      <c r="AC362" s="8"/>
      <c r="AD362" s="24"/>
      <c r="AE362" s="24" t="str">
        <f t="shared" si="4"/>
        <v/>
      </c>
      <c r="AF362" s="22">
        <f t="shared" si="7"/>
        <v>1</v>
      </c>
      <c r="AG362" s="22">
        <f t="shared" ca="1" si="5"/>
        <v>1</v>
      </c>
      <c r="AH362" s="8"/>
      <c r="AI362" s="8"/>
    </row>
    <row r="363" spans="1:35" ht="15.75" customHeight="1" x14ac:dyDescent="0.25">
      <c r="A363" s="8"/>
      <c r="B363" s="8"/>
      <c r="C363" s="8"/>
      <c r="D363" s="8"/>
      <c r="E363" s="5" t="s">
        <v>488</v>
      </c>
      <c r="F363" s="16">
        <v>78484</v>
      </c>
      <c r="G363" s="16">
        <v>49996</v>
      </c>
      <c r="H363" s="5" t="s">
        <v>20</v>
      </c>
      <c r="I363" s="5" t="s">
        <v>21</v>
      </c>
      <c r="J363" s="5">
        <v>611000112</v>
      </c>
      <c r="K363" s="5">
        <v>8818219</v>
      </c>
      <c r="L363" s="5" t="s">
        <v>67</v>
      </c>
      <c r="M363" s="33">
        <v>46134</v>
      </c>
      <c r="N363" s="18" t="b">
        <v>1</v>
      </c>
      <c r="O363" s="18"/>
      <c r="P363" s="5"/>
      <c r="Q363" s="8"/>
      <c r="R363" s="8"/>
      <c r="S363" s="8"/>
      <c r="T363" s="8"/>
      <c r="U363" s="8"/>
      <c r="V363" s="8"/>
      <c r="W363" s="8"/>
      <c r="X363" s="22"/>
      <c r="Y363" s="22"/>
      <c r="Z363" s="22"/>
      <c r="AA363" s="22"/>
      <c r="AB363" s="8"/>
      <c r="AC363" s="8"/>
      <c r="AD363" s="24"/>
      <c r="AE363" s="24" t="str">
        <f t="shared" si="4"/>
        <v/>
      </c>
      <c r="AF363" s="22">
        <f t="shared" si="7"/>
        <v>1</v>
      </c>
      <c r="AG363" s="22" t="str">
        <f t="shared" ca="1" si="5"/>
        <v/>
      </c>
      <c r="AH363" s="8"/>
      <c r="AI363" s="8"/>
    </row>
    <row r="364" spans="1:35" ht="15.75" customHeight="1" x14ac:dyDescent="0.25">
      <c r="A364" s="8"/>
      <c r="B364" s="8"/>
      <c r="C364" s="8"/>
      <c r="D364" s="8"/>
      <c r="E364" s="5" t="s">
        <v>489</v>
      </c>
      <c r="F364" s="16">
        <v>93000</v>
      </c>
      <c r="G364" s="16">
        <v>65500</v>
      </c>
      <c r="H364" s="5" t="s">
        <v>53</v>
      </c>
      <c r="I364" s="741" t="s">
        <v>54</v>
      </c>
      <c r="J364" s="742"/>
      <c r="K364" s="5">
        <v>1066908</v>
      </c>
      <c r="L364" s="5"/>
      <c r="M364" s="17"/>
      <c r="N364" s="18" t="b">
        <v>0</v>
      </c>
      <c r="O364" s="18"/>
      <c r="P364" s="5"/>
      <c r="Q364" s="8"/>
      <c r="R364" s="8"/>
      <c r="S364" s="8"/>
      <c r="T364" s="8"/>
      <c r="U364" s="8"/>
      <c r="V364" s="8"/>
      <c r="W364" s="8"/>
      <c r="X364" s="22"/>
      <c r="Y364" s="22"/>
      <c r="Z364" s="22"/>
      <c r="AA364" s="22"/>
      <c r="AB364" s="8"/>
      <c r="AC364" s="8"/>
      <c r="AD364" s="24"/>
      <c r="AE364" s="24" t="str">
        <f t="shared" si="4"/>
        <v/>
      </c>
      <c r="AF364" s="22">
        <f t="shared" si="7"/>
        <v>1</v>
      </c>
      <c r="AG364" s="22" t="str">
        <f t="shared" ca="1" si="5"/>
        <v/>
      </c>
      <c r="AH364" s="8"/>
      <c r="AI364" s="8"/>
    </row>
    <row r="365" spans="1:35" ht="15.75" customHeight="1" x14ac:dyDescent="0.25">
      <c r="A365" s="8"/>
      <c r="B365" s="8"/>
      <c r="C365" s="8"/>
      <c r="D365" s="8"/>
      <c r="E365" s="5" t="s">
        <v>490</v>
      </c>
      <c r="F365" s="16">
        <v>86700</v>
      </c>
      <c r="G365" s="16">
        <v>55000</v>
      </c>
      <c r="H365" s="5" t="s">
        <v>20</v>
      </c>
      <c r="I365" s="5" t="s">
        <v>21</v>
      </c>
      <c r="J365" s="5">
        <v>538011891</v>
      </c>
      <c r="K365" s="5">
        <v>9997189</v>
      </c>
      <c r="L365" s="5" t="s">
        <v>286</v>
      </c>
      <c r="M365" s="17">
        <v>46132.666666666664</v>
      </c>
      <c r="N365" s="18" t="b">
        <v>1</v>
      </c>
      <c r="O365" s="18"/>
      <c r="P365" s="5"/>
      <c r="Q365" s="8"/>
      <c r="R365" s="8"/>
      <c r="S365" s="8"/>
      <c r="T365" s="8"/>
      <c r="U365" s="8"/>
      <c r="V365" s="8"/>
      <c r="W365" s="8"/>
      <c r="X365" s="22"/>
      <c r="Y365" s="22"/>
      <c r="Z365" s="22"/>
      <c r="AA365" s="22"/>
      <c r="AB365" s="8"/>
      <c r="AC365" s="8"/>
      <c r="AD365" s="24"/>
      <c r="AE365" s="24" t="str">
        <f t="shared" si="4"/>
        <v/>
      </c>
      <c r="AF365" s="22">
        <f t="shared" si="7"/>
        <v>1</v>
      </c>
      <c r="AG365" s="22">
        <f t="shared" ca="1" si="5"/>
        <v>1</v>
      </c>
      <c r="AH365" s="8"/>
      <c r="AI365" s="8"/>
    </row>
    <row r="366" spans="1:35" ht="15.75" customHeight="1" x14ac:dyDescent="0.25">
      <c r="A366" s="8"/>
      <c r="B366" s="8"/>
      <c r="C366" s="8"/>
      <c r="D366" s="8"/>
      <c r="E366" s="5" t="s">
        <v>491</v>
      </c>
      <c r="F366" s="16">
        <v>86000</v>
      </c>
      <c r="G366" s="16">
        <v>51497</v>
      </c>
      <c r="H366" s="5" t="s">
        <v>26</v>
      </c>
      <c r="I366" s="5" t="s">
        <v>21</v>
      </c>
      <c r="J366" s="5">
        <v>538011502</v>
      </c>
      <c r="K366" s="5">
        <v>1024572</v>
      </c>
      <c r="L366" s="5" t="s">
        <v>43</v>
      </c>
      <c r="M366" s="17">
        <v>46133.75</v>
      </c>
      <c r="N366" s="18" t="b">
        <v>0</v>
      </c>
      <c r="O366" s="18"/>
      <c r="P366" s="5"/>
      <c r="Q366" s="8"/>
      <c r="R366" s="8"/>
      <c r="S366" s="8"/>
      <c r="T366" s="8"/>
      <c r="U366" s="8"/>
      <c r="V366" s="8"/>
      <c r="W366" s="8"/>
      <c r="X366" s="22"/>
      <c r="Y366" s="22"/>
      <c r="Z366" s="22"/>
      <c r="AA366" s="22"/>
      <c r="AB366" s="8"/>
      <c r="AC366" s="8"/>
      <c r="AD366" s="24"/>
      <c r="AE366" s="24" t="str">
        <f t="shared" si="4"/>
        <v/>
      </c>
      <c r="AF366" s="22">
        <f t="shared" si="7"/>
        <v>1</v>
      </c>
      <c r="AG366" s="22">
        <f t="shared" ca="1" si="5"/>
        <v>1</v>
      </c>
      <c r="AH366" s="8"/>
      <c r="AI366" s="8"/>
    </row>
    <row r="367" spans="1:35" ht="15.75" customHeight="1" x14ac:dyDescent="0.25">
      <c r="A367" s="8"/>
      <c r="B367" s="8"/>
      <c r="C367" s="8"/>
      <c r="D367" s="8"/>
      <c r="E367" s="5" t="s">
        <v>492</v>
      </c>
      <c r="F367" s="16">
        <v>91000</v>
      </c>
      <c r="G367" s="16">
        <v>59017</v>
      </c>
      <c r="H367" s="5" t="s">
        <v>20</v>
      </c>
      <c r="I367" s="5" t="s">
        <v>21</v>
      </c>
      <c r="J367" s="5">
        <v>636021163</v>
      </c>
      <c r="K367" s="5">
        <v>9938535</v>
      </c>
      <c r="L367" s="5" t="s">
        <v>493</v>
      </c>
      <c r="M367" s="17">
        <v>46132.791666666664</v>
      </c>
      <c r="N367" s="18" t="b">
        <v>1</v>
      </c>
      <c r="O367" s="18"/>
      <c r="P367" s="5"/>
      <c r="Q367" s="8"/>
      <c r="R367" s="8"/>
      <c r="S367" s="8"/>
      <c r="T367" s="8"/>
      <c r="U367" s="8"/>
      <c r="V367" s="8"/>
      <c r="W367" s="8"/>
      <c r="X367" s="22"/>
      <c r="Y367" s="22"/>
      <c r="Z367" s="22"/>
      <c r="AA367" s="22"/>
      <c r="AB367" s="8"/>
      <c r="AC367" s="8"/>
      <c r="AD367" s="24"/>
      <c r="AE367" s="24" t="str">
        <f t="shared" si="4"/>
        <v/>
      </c>
      <c r="AF367" s="22">
        <f t="shared" si="7"/>
        <v>1</v>
      </c>
      <c r="AG367" s="22">
        <f t="shared" ca="1" si="5"/>
        <v>1</v>
      </c>
      <c r="AH367" s="8"/>
      <c r="AI367" s="8"/>
    </row>
    <row r="368" spans="1:35" ht="15.75" customHeight="1" x14ac:dyDescent="0.25">
      <c r="A368" s="8"/>
      <c r="B368" s="8"/>
      <c r="C368" s="8"/>
      <c r="D368" s="8"/>
      <c r="E368" s="5" t="s">
        <v>494</v>
      </c>
      <c r="F368" s="16">
        <v>78874</v>
      </c>
      <c r="G368" s="16">
        <v>49999</v>
      </c>
      <c r="H368" s="5" t="s">
        <v>26</v>
      </c>
      <c r="I368" s="5" t="s">
        <v>21</v>
      </c>
      <c r="J368" s="5">
        <v>477227800</v>
      </c>
      <c r="K368" s="5">
        <v>9206396</v>
      </c>
      <c r="L368" s="5" t="s">
        <v>495</v>
      </c>
      <c r="M368" s="17">
        <v>46133.416666666664</v>
      </c>
      <c r="N368" s="18" t="b">
        <v>0</v>
      </c>
      <c r="O368" s="18"/>
      <c r="P368" s="5"/>
      <c r="Q368" s="8"/>
      <c r="R368" s="8"/>
      <c r="S368" s="8"/>
      <c r="T368" s="8"/>
      <c r="U368" s="8"/>
      <c r="V368" s="8"/>
      <c r="W368" s="8"/>
      <c r="X368" s="22"/>
      <c r="Y368" s="22"/>
      <c r="Z368" s="22"/>
      <c r="AA368" s="22"/>
      <c r="AB368" s="8"/>
      <c r="AC368" s="8"/>
      <c r="AD368" s="24"/>
      <c r="AE368" s="24" t="str">
        <f t="shared" si="4"/>
        <v/>
      </c>
      <c r="AF368" s="22">
        <f t="shared" si="7"/>
        <v>1</v>
      </c>
      <c r="AG368" s="22" t="str">
        <f t="shared" ca="1" si="5"/>
        <v/>
      </c>
      <c r="AH368" s="8"/>
      <c r="AI368" s="8"/>
    </row>
    <row r="369" spans="1:35" ht="15.75" customHeight="1" x14ac:dyDescent="0.25">
      <c r="A369" s="8"/>
      <c r="B369" s="8"/>
      <c r="C369" s="8"/>
      <c r="D369" s="8"/>
      <c r="E369" s="5" t="s">
        <v>496</v>
      </c>
      <c r="F369" s="16">
        <v>78374</v>
      </c>
      <c r="G369" s="16">
        <v>56875</v>
      </c>
      <c r="H369" s="5" t="s">
        <v>26</v>
      </c>
      <c r="I369" s="5" t="s">
        <v>21</v>
      </c>
      <c r="J369" s="5">
        <v>352002974</v>
      </c>
      <c r="K369" s="5">
        <v>8910897</v>
      </c>
      <c r="L369" s="5" t="s">
        <v>163</v>
      </c>
      <c r="M369" s="17">
        <v>46143.75</v>
      </c>
      <c r="N369" s="18" t="b">
        <v>0</v>
      </c>
      <c r="O369" s="18"/>
      <c r="P369" s="5"/>
      <c r="Q369" s="8"/>
      <c r="R369" s="8"/>
      <c r="S369" s="8"/>
      <c r="T369" s="8"/>
      <c r="U369" s="8"/>
      <c r="V369" s="8"/>
      <c r="W369" s="8"/>
      <c r="X369" s="22"/>
      <c r="Y369" s="22"/>
      <c r="Z369" s="22"/>
      <c r="AA369" s="22"/>
      <c r="AB369" s="8"/>
      <c r="AC369" s="8"/>
      <c r="AD369" s="24"/>
      <c r="AE369" s="24" t="str">
        <f t="shared" si="4"/>
        <v/>
      </c>
      <c r="AF369" s="22">
        <f t="shared" si="7"/>
        <v>1</v>
      </c>
      <c r="AG369" s="22" t="str">
        <f t="shared" ca="1" si="5"/>
        <v/>
      </c>
      <c r="AH369" s="8"/>
      <c r="AI369" s="8"/>
    </row>
    <row r="370" spans="1:35" ht="15.75" customHeight="1" x14ac:dyDescent="0.25">
      <c r="A370" s="8"/>
      <c r="B370" s="8"/>
      <c r="C370" s="8"/>
      <c r="D370" s="8"/>
      <c r="E370" s="5" t="s">
        <v>497</v>
      </c>
      <c r="F370" s="16">
        <v>75203</v>
      </c>
      <c r="G370" s="16">
        <v>49412</v>
      </c>
      <c r="H370" s="5" t="s">
        <v>75</v>
      </c>
      <c r="I370" s="5" t="s">
        <v>21</v>
      </c>
      <c r="J370" s="5">
        <v>567419000</v>
      </c>
      <c r="K370" s="5">
        <v>9006679</v>
      </c>
      <c r="L370" s="5"/>
      <c r="M370" s="33"/>
      <c r="N370" s="18" t="b">
        <v>1</v>
      </c>
      <c r="O370" s="18"/>
      <c r="P370" s="5"/>
      <c r="Q370" s="8"/>
      <c r="R370" s="8"/>
      <c r="S370" s="8"/>
      <c r="T370" s="8"/>
      <c r="U370" s="8"/>
      <c r="V370" s="8"/>
      <c r="W370" s="8"/>
      <c r="X370" s="22"/>
      <c r="Y370" s="22"/>
      <c r="Z370" s="22"/>
      <c r="AA370" s="22"/>
      <c r="AB370" s="8"/>
      <c r="AC370" s="8"/>
      <c r="AD370" s="24"/>
      <c r="AE370" s="24" t="str">
        <f t="shared" si="4"/>
        <v/>
      </c>
      <c r="AF370" s="22">
        <f t="shared" si="7"/>
        <v>1</v>
      </c>
      <c r="AG370" s="22" t="str">
        <f t="shared" ca="1" si="5"/>
        <v/>
      </c>
      <c r="AH370" s="8"/>
      <c r="AI370" s="8"/>
    </row>
    <row r="371" spans="1:35" ht="15.75" customHeight="1" x14ac:dyDescent="0.25">
      <c r="A371" s="8"/>
      <c r="B371" s="8"/>
      <c r="C371" s="8"/>
      <c r="D371" s="8"/>
      <c r="E371" s="5" t="s">
        <v>498</v>
      </c>
      <c r="F371" s="16">
        <v>76959</v>
      </c>
      <c r="G371" s="16">
        <v>56945</v>
      </c>
      <c r="H371" s="5" t="s">
        <v>75</v>
      </c>
      <c r="I371" s="5" t="s">
        <v>21</v>
      </c>
      <c r="J371" s="5">
        <v>567591000</v>
      </c>
      <c r="K371" s="5">
        <v>8910902</v>
      </c>
      <c r="L371" s="5"/>
      <c r="M371" s="17"/>
      <c r="N371" s="18" t="b">
        <v>1</v>
      </c>
      <c r="O371" s="18"/>
      <c r="P371" s="5"/>
      <c r="Q371" s="8"/>
      <c r="R371" s="8"/>
      <c r="S371" s="8"/>
      <c r="T371" s="8"/>
      <c r="U371" s="8"/>
      <c r="V371" s="8"/>
      <c r="W371" s="8"/>
      <c r="X371" s="22"/>
      <c r="Y371" s="22"/>
      <c r="Z371" s="22"/>
      <c r="AA371" s="22"/>
      <c r="AB371" s="8"/>
      <c r="AC371" s="8"/>
      <c r="AD371" s="24"/>
      <c r="AE371" s="24" t="str">
        <f t="shared" si="4"/>
        <v/>
      </c>
      <c r="AF371" s="22">
        <f t="shared" si="7"/>
        <v>1</v>
      </c>
      <c r="AG371" s="22" t="str">
        <f t="shared" ca="1" si="5"/>
        <v/>
      </c>
      <c r="AH371" s="8"/>
      <c r="AI371" s="8"/>
    </row>
    <row r="372" spans="1:35" ht="15.75" customHeight="1" x14ac:dyDescent="0.25">
      <c r="A372" s="8"/>
      <c r="B372" s="8"/>
      <c r="C372" s="8"/>
      <c r="D372" s="8"/>
      <c r="E372" s="5" t="s">
        <v>499</v>
      </c>
      <c r="F372" s="16">
        <v>86000</v>
      </c>
      <c r="G372" s="16">
        <v>51497</v>
      </c>
      <c r="H372" s="5" t="s">
        <v>20</v>
      </c>
      <c r="I372" s="5" t="s">
        <v>21</v>
      </c>
      <c r="J372" s="5">
        <v>538011501</v>
      </c>
      <c r="K372" s="5">
        <v>1024584</v>
      </c>
      <c r="L372" s="5" t="s">
        <v>299</v>
      </c>
      <c r="M372" s="17">
        <v>46133.583333333336</v>
      </c>
      <c r="N372" s="18" t="b">
        <v>1</v>
      </c>
      <c r="O372" s="18"/>
      <c r="P372" s="5"/>
      <c r="Q372" s="8"/>
      <c r="R372" s="8"/>
      <c r="S372" s="8"/>
      <c r="T372" s="8"/>
      <c r="U372" s="8"/>
      <c r="V372" s="8"/>
      <c r="W372" s="8"/>
      <c r="X372" s="22"/>
      <c r="Y372" s="22"/>
      <c r="Z372" s="22"/>
      <c r="AA372" s="22"/>
      <c r="AB372" s="8"/>
      <c r="AC372" s="8"/>
      <c r="AD372" s="24"/>
      <c r="AE372" s="24" t="str">
        <f t="shared" si="4"/>
        <v/>
      </c>
      <c r="AF372" s="22">
        <f t="shared" si="7"/>
        <v>1</v>
      </c>
      <c r="AG372" s="22">
        <f t="shared" ca="1" si="5"/>
        <v>1</v>
      </c>
      <c r="AH372" s="8"/>
      <c r="AI372" s="8"/>
    </row>
    <row r="373" spans="1:35" ht="15.75" customHeight="1" x14ac:dyDescent="0.25">
      <c r="A373" s="8"/>
      <c r="B373" s="8"/>
      <c r="C373" s="8"/>
      <c r="D373" s="8"/>
      <c r="E373" s="5" t="s">
        <v>500</v>
      </c>
      <c r="F373" s="16">
        <v>88000</v>
      </c>
      <c r="G373" s="16">
        <v>56044</v>
      </c>
      <c r="H373" s="5" t="s">
        <v>26</v>
      </c>
      <c r="I373" s="5" t="s">
        <v>21</v>
      </c>
      <c r="J373" s="5">
        <v>636022847</v>
      </c>
      <c r="K373" s="5">
        <v>9984704</v>
      </c>
      <c r="L373" s="5"/>
      <c r="M373" s="17"/>
      <c r="N373" s="18" t="b">
        <v>0</v>
      </c>
      <c r="O373" s="18"/>
      <c r="P373" s="5"/>
      <c r="Q373" s="8"/>
      <c r="R373" s="8"/>
      <c r="S373" s="8"/>
      <c r="T373" s="8"/>
      <c r="U373" s="8"/>
      <c r="V373" s="8"/>
      <c r="W373" s="8"/>
      <c r="X373" s="22"/>
      <c r="Y373" s="22"/>
      <c r="Z373" s="22"/>
      <c r="AA373" s="22"/>
      <c r="AB373" s="8"/>
      <c r="AC373" s="8"/>
      <c r="AD373" s="24"/>
      <c r="AE373" s="24" t="str">
        <f t="shared" si="4"/>
        <v/>
      </c>
      <c r="AF373" s="22">
        <f t="shared" si="7"/>
        <v>1</v>
      </c>
      <c r="AG373" s="22">
        <f t="shared" ca="1" si="5"/>
        <v>1</v>
      </c>
      <c r="AH373" s="8"/>
      <c r="AI373" s="8"/>
    </row>
    <row r="374" spans="1:35" ht="15.75" customHeight="1" x14ac:dyDescent="0.25">
      <c r="A374" s="8"/>
      <c r="B374" s="8"/>
      <c r="C374" s="8"/>
      <c r="D374" s="8"/>
      <c r="E374" s="5" t="s">
        <v>501</v>
      </c>
      <c r="F374" s="16">
        <v>81629</v>
      </c>
      <c r="G374" s="16">
        <v>54804</v>
      </c>
      <c r="H374" s="5" t="s">
        <v>20</v>
      </c>
      <c r="I374" s="5" t="s">
        <v>21</v>
      </c>
      <c r="J374" s="5">
        <v>372470000</v>
      </c>
      <c r="K374" s="5">
        <v>9415648</v>
      </c>
      <c r="L374" s="5"/>
      <c r="M374" s="17"/>
      <c r="N374" s="18" t="b">
        <v>1</v>
      </c>
      <c r="O374" s="18"/>
      <c r="P374" s="5"/>
      <c r="Q374" s="8"/>
      <c r="R374" s="8"/>
      <c r="S374" s="8"/>
      <c r="T374" s="8"/>
      <c r="U374" s="8"/>
      <c r="V374" s="8"/>
      <c r="W374" s="8"/>
      <c r="X374" s="22"/>
      <c r="Y374" s="22"/>
      <c r="Z374" s="22"/>
      <c r="AA374" s="22"/>
      <c r="AB374" s="8"/>
      <c r="AC374" s="8"/>
      <c r="AD374" s="24"/>
      <c r="AE374" s="24" t="str">
        <f t="shared" si="4"/>
        <v/>
      </c>
      <c r="AF374" s="22">
        <f t="shared" si="7"/>
        <v>1</v>
      </c>
      <c r="AG374" s="22">
        <f t="shared" ca="1" si="5"/>
        <v>1</v>
      </c>
      <c r="AH374" s="8"/>
      <c r="AI374" s="8"/>
    </row>
    <row r="375" spans="1:35" ht="15.75" customHeight="1" x14ac:dyDescent="0.25">
      <c r="A375" s="8"/>
      <c r="B375" s="8"/>
      <c r="C375" s="8"/>
      <c r="D375" s="8"/>
      <c r="E375" s="5" t="s">
        <v>502</v>
      </c>
      <c r="F375" s="16">
        <v>73879</v>
      </c>
      <c r="G375" s="16">
        <v>49701</v>
      </c>
      <c r="H375" s="5" t="s">
        <v>20</v>
      </c>
      <c r="I375" s="5" t="s">
        <v>21</v>
      </c>
      <c r="J375" s="5">
        <v>352001324</v>
      </c>
      <c r="K375" s="5">
        <v>8818207</v>
      </c>
      <c r="L375" s="5" t="s">
        <v>503</v>
      </c>
      <c r="M375" s="17">
        <v>46137.166666666664</v>
      </c>
      <c r="N375" s="18" t="b">
        <v>1</v>
      </c>
      <c r="O375" s="18"/>
      <c r="P375" s="5"/>
      <c r="Q375" s="8"/>
      <c r="R375" s="8"/>
      <c r="S375" s="8"/>
      <c r="T375" s="8"/>
      <c r="U375" s="8"/>
      <c r="V375" s="8"/>
      <c r="W375" s="8"/>
      <c r="X375" s="22"/>
      <c r="Y375" s="22"/>
      <c r="Z375" s="22"/>
      <c r="AA375" s="22"/>
      <c r="AB375" s="8"/>
      <c r="AC375" s="8"/>
      <c r="AD375" s="24"/>
      <c r="AE375" s="24" t="str">
        <f t="shared" si="4"/>
        <v/>
      </c>
      <c r="AF375" s="22">
        <f t="shared" si="7"/>
        <v>1</v>
      </c>
      <c r="AG375" s="22" t="str">
        <f t="shared" ca="1" si="5"/>
        <v/>
      </c>
      <c r="AH375" s="8"/>
      <c r="AI375" s="8"/>
    </row>
    <row r="376" spans="1:35" ht="15.75" customHeight="1" x14ac:dyDescent="0.25">
      <c r="A376" s="8"/>
      <c r="B376" s="8"/>
      <c r="C376" s="8"/>
      <c r="D376" s="8"/>
      <c r="E376" s="5" t="s">
        <v>504</v>
      </c>
      <c r="F376" s="16">
        <v>78549</v>
      </c>
      <c r="G376" s="16">
        <v>53003</v>
      </c>
      <c r="H376" s="5" t="s">
        <v>26</v>
      </c>
      <c r="I376" s="5" t="s">
        <v>21</v>
      </c>
      <c r="J376" s="5">
        <v>370313000</v>
      </c>
      <c r="K376" s="5">
        <v>9534810</v>
      </c>
      <c r="L376" s="5" t="s">
        <v>94</v>
      </c>
      <c r="M376" s="17">
        <v>46133.291666666664</v>
      </c>
      <c r="N376" s="18" t="b">
        <v>0</v>
      </c>
      <c r="O376" s="18"/>
      <c r="P376" s="5"/>
      <c r="Q376" s="8"/>
      <c r="R376" s="8"/>
      <c r="S376" s="8"/>
      <c r="T376" s="8"/>
      <c r="U376" s="8"/>
      <c r="V376" s="8"/>
      <c r="W376" s="8"/>
      <c r="X376" s="22"/>
      <c r="Y376" s="22"/>
      <c r="Z376" s="22"/>
      <c r="AA376" s="22"/>
      <c r="AB376" s="8"/>
      <c r="AC376" s="8"/>
      <c r="AD376" s="24"/>
      <c r="AE376" s="24" t="str">
        <f t="shared" si="4"/>
        <v/>
      </c>
      <c r="AF376" s="22">
        <f t="shared" si="7"/>
        <v>1</v>
      </c>
      <c r="AG376" s="22">
        <f t="shared" ca="1" si="5"/>
        <v>1</v>
      </c>
      <c r="AH376" s="8"/>
      <c r="AI376" s="8"/>
    </row>
    <row r="377" spans="1:35" ht="15.75" customHeight="1" x14ac:dyDescent="0.25">
      <c r="A377" s="8"/>
      <c r="B377" s="8"/>
      <c r="C377" s="8"/>
      <c r="D377" s="8"/>
      <c r="E377" s="5" t="s">
        <v>505</v>
      </c>
      <c r="F377" s="16">
        <v>82200</v>
      </c>
      <c r="G377" s="16">
        <v>53503</v>
      </c>
      <c r="H377" s="5" t="s">
        <v>26</v>
      </c>
      <c r="I377" s="5" t="s">
        <v>21</v>
      </c>
      <c r="J377" s="5">
        <v>419001302</v>
      </c>
      <c r="K377" s="5">
        <v>9232503</v>
      </c>
      <c r="L377" s="5" t="s">
        <v>295</v>
      </c>
      <c r="M377" s="17">
        <v>46133.375</v>
      </c>
      <c r="N377" s="18" t="b">
        <v>0</v>
      </c>
      <c r="O377" s="18"/>
      <c r="P377" s="5"/>
      <c r="Q377" s="8"/>
      <c r="R377" s="8"/>
      <c r="S377" s="8"/>
      <c r="T377" s="8"/>
      <c r="U377" s="8"/>
      <c r="V377" s="8"/>
      <c r="W377" s="8"/>
      <c r="X377" s="22"/>
      <c r="Y377" s="22"/>
      <c r="Z377" s="22"/>
      <c r="AA377" s="22"/>
      <c r="AB377" s="8"/>
      <c r="AC377" s="8"/>
      <c r="AD377" s="24"/>
      <c r="AE377" s="24" t="str">
        <f t="shared" si="4"/>
        <v/>
      </c>
      <c r="AF377" s="22">
        <f t="shared" si="7"/>
        <v>1</v>
      </c>
      <c r="AG377" s="22" t="str">
        <f t="shared" ca="1" si="5"/>
        <v/>
      </c>
      <c r="AH377" s="8"/>
      <c r="AI377" s="8"/>
    </row>
    <row r="378" spans="1:35" ht="15.75" customHeight="1" x14ac:dyDescent="0.25">
      <c r="A378" s="8"/>
      <c r="B378" s="8"/>
      <c r="C378" s="8"/>
      <c r="D378" s="8"/>
      <c r="E378" s="5" t="s">
        <v>506</v>
      </c>
      <c r="F378" s="16">
        <v>84000</v>
      </c>
      <c r="G378" s="16">
        <v>51668</v>
      </c>
      <c r="H378" s="5" t="s">
        <v>20</v>
      </c>
      <c r="I378" s="5" t="s">
        <v>21</v>
      </c>
      <c r="J378" s="5">
        <v>219654000</v>
      </c>
      <c r="K378" s="5">
        <v>9694634</v>
      </c>
      <c r="L378" s="5" t="s">
        <v>293</v>
      </c>
      <c r="M378" s="17">
        <v>46141.791666666664</v>
      </c>
      <c r="N378" s="18" t="b">
        <v>1</v>
      </c>
      <c r="O378" s="18"/>
      <c r="P378" s="5"/>
      <c r="Q378" s="8"/>
      <c r="R378" s="8"/>
      <c r="S378" s="8"/>
      <c r="T378" s="8"/>
      <c r="U378" s="8"/>
      <c r="V378" s="8"/>
      <c r="W378" s="8"/>
      <c r="X378" s="22"/>
      <c r="Y378" s="22"/>
      <c r="Z378" s="22"/>
      <c r="AA378" s="22"/>
      <c r="AB378" s="8"/>
      <c r="AC378" s="8"/>
      <c r="AD378" s="24"/>
      <c r="AE378" s="24" t="str">
        <f t="shared" si="4"/>
        <v/>
      </c>
      <c r="AF378" s="22">
        <f t="shared" si="7"/>
        <v>1</v>
      </c>
      <c r="AG378" s="22">
        <f t="shared" ca="1" si="5"/>
        <v>1</v>
      </c>
      <c r="AH378" s="8"/>
      <c r="AI378" s="8"/>
    </row>
    <row r="379" spans="1:35" ht="15.75" customHeight="1" x14ac:dyDescent="0.25">
      <c r="A379" s="8"/>
      <c r="B379" s="8"/>
      <c r="C379" s="8"/>
      <c r="D379" s="8"/>
      <c r="E379" s="5" t="s">
        <v>507</v>
      </c>
      <c r="F379" s="16">
        <v>78502</v>
      </c>
      <c r="G379" s="16">
        <v>49849</v>
      </c>
      <c r="H379" s="5" t="s">
        <v>20</v>
      </c>
      <c r="I379" s="5" t="s">
        <v>21</v>
      </c>
      <c r="J379" s="5">
        <v>603924000</v>
      </c>
      <c r="K379" s="5">
        <v>9115303</v>
      </c>
      <c r="L379" s="5"/>
      <c r="M379" s="17"/>
      <c r="N379" s="18" t="b">
        <v>1</v>
      </c>
      <c r="O379" s="18"/>
      <c r="P379" s="5"/>
      <c r="Q379" s="8"/>
      <c r="R379" s="8"/>
      <c r="S379" s="8"/>
      <c r="T379" s="8"/>
      <c r="U379" s="8"/>
      <c r="V379" s="8"/>
      <c r="W379" s="8"/>
      <c r="X379" s="22"/>
      <c r="Y379" s="22"/>
      <c r="Z379" s="22"/>
      <c r="AA379" s="22"/>
      <c r="AB379" s="8"/>
      <c r="AC379" s="8"/>
      <c r="AD379" s="24"/>
      <c r="AE379" s="24" t="str">
        <f t="shared" si="4"/>
        <v/>
      </c>
      <c r="AF379" s="22">
        <f t="shared" si="7"/>
        <v>1</v>
      </c>
      <c r="AG379" s="22" t="str">
        <f t="shared" ca="1" si="5"/>
        <v/>
      </c>
      <c r="AH379" s="8"/>
      <c r="AI379" s="8"/>
    </row>
    <row r="380" spans="1:35" ht="15.75" customHeight="1" x14ac:dyDescent="0.25">
      <c r="A380" s="8"/>
      <c r="B380" s="8"/>
      <c r="C380" s="8"/>
      <c r="D380" s="8"/>
      <c r="E380" s="5" t="s">
        <v>508</v>
      </c>
      <c r="F380" s="16">
        <v>91000</v>
      </c>
      <c r="G380" s="16">
        <v>62500</v>
      </c>
      <c r="H380" s="5" t="s">
        <v>26</v>
      </c>
      <c r="I380" s="5" t="s">
        <v>21</v>
      </c>
      <c r="J380" s="5">
        <v>636022368</v>
      </c>
      <c r="K380" s="5">
        <v>9933779</v>
      </c>
      <c r="L380" s="5" t="s">
        <v>133</v>
      </c>
      <c r="M380" s="17">
        <v>46140.791666666664</v>
      </c>
      <c r="N380" s="18" t="b">
        <v>0</v>
      </c>
      <c r="O380" s="18"/>
      <c r="P380" s="22"/>
      <c r="Q380" s="8"/>
      <c r="R380" s="8"/>
      <c r="S380" s="8"/>
      <c r="T380" s="8"/>
      <c r="U380" s="8"/>
      <c r="V380" s="8"/>
      <c r="W380" s="8"/>
      <c r="X380" s="22"/>
      <c r="Y380" s="22"/>
      <c r="Z380" s="22"/>
      <c r="AA380" s="22"/>
      <c r="AB380" s="8"/>
      <c r="AC380" s="8"/>
      <c r="AD380" s="24"/>
      <c r="AE380" s="24" t="str">
        <f t="shared" si="4"/>
        <v/>
      </c>
      <c r="AF380" s="22">
        <f t="shared" si="7"/>
        <v>1</v>
      </c>
      <c r="AG380" s="22">
        <f t="shared" ca="1" si="5"/>
        <v>1</v>
      </c>
      <c r="AH380" s="8"/>
      <c r="AI380" s="8"/>
    </row>
    <row r="381" spans="1:35" ht="15.75" customHeight="1" x14ac:dyDescent="0.25">
      <c r="A381" s="8"/>
      <c r="B381" s="8"/>
      <c r="C381" s="8"/>
      <c r="D381" s="8"/>
      <c r="E381" s="5" t="s">
        <v>509</v>
      </c>
      <c r="F381" s="16">
        <v>86000</v>
      </c>
      <c r="G381" s="16">
        <v>51269</v>
      </c>
      <c r="H381" s="5" t="s">
        <v>20</v>
      </c>
      <c r="I381" s="5" t="s">
        <v>21</v>
      </c>
      <c r="J381" s="5">
        <v>636022940</v>
      </c>
      <c r="K381" s="5">
        <v>9941245</v>
      </c>
      <c r="L381" s="5" t="s">
        <v>107</v>
      </c>
      <c r="M381" s="17">
        <v>46134.958333333336</v>
      </c>
      <c r="N381" s="18" t="b">
        <v>1</v>
      </c>
      <c r="O381" s="18"/>
      <c r="P381" s="22"/>
      <c r="Q381" s="8"/>
      <c r="R381" s="8"/>
      <c r="S381" s="8"/>
      <c r="T381" s="8"/>
      <c r="U381" s="8"/>
      <c r="V381" s="8"/>
      <c r="W381" s="8"/>
      <c r="X381" s="22"/>
      <c r="Y381" s="22"/>
      <c r="Z381" s="22"/>
      <c r="AA381" s="22"/>
      <c r="AB381" s="8"/>
      <c r="AC381" s="8"/>
      <c r="AD381" s="24"/>
      <c r="AE381" s="24" t="str">
        <f t="shared" si="4"/>
        <v/>
      </c>
      <c r="AF381" s="22">
        <f t="shared" si="7"/>
        <v>1</v>
      </c>
      <c r="AG381" s="22">
        <f t="shared" ca="1" si="5"/>
        <v>1</v>
      </c>
      <c r="AH381" s="8"/>
      <c r="AI381" s="8"/>
    </row>
    <row r="382" spans="1:35" ht="15.75" customHeight="1" x14ac:dyDescent="0.25">
      <c r="A382" s="8"/>
      <c r="B382" s="8"/>
      <c r="C382" s="8"/>
      <c r="D382" s="8"/>
      <c r="E382" s="5" t="s">
        <v>510</v>
      </c>
      <c r="F382" s="16">
        <v>86000</v>
      </c>
      <c r="G382" s="16">
        <v>55231</v>
      </c>
      <c r="H382" s="5" t="s">
        <v>26</v>
      </c>
      <c r="I382" s="5" t="s">
        <v>21</v>
      </c>
      <c r="J382" s="5">
        <v>538010751</v>
      </c>
      <c r="K382" s="5">
        <v>9943528</v>
      </c>
      <c r="L382" s="5" t="s">
        <v>107</v>
      </c>
      <c r="M382" s="17">
        <v>46134</v>
      </c>
      <c r="N382" s="18" t="b">
        <v>0</v>
      </c>
      <c r="O382" s="18"/>
      <c r="P382" s="22"/>
      <c r="Q382" s="8"/>
      <c r="R382" s="8"/>
      <c r="S382" s="8"/>
      <c r="T382" s="8"/>
      <c r="U382" s="8"/>
      <c r="V382" s="8"/>
      <c r="W382" s="8"/>
      <c r="X382" s="22"/>
      <c r="Y382" s="22"/>
      <c r="Z382" s="22"/>
      <c r="AA382" s="22"/>
      <c r="AB382" s="8"/>
      <c r="AC382" s="8"/>
      <c r="AD382" s="24"/>
      <c r="AE382" s="24" t="str">
        <f t="shared" si="4"/>
        <v/>
      </c>
      <c r="AF382" s="22">
        <f t="shared" si="7"/>
        <v>1</v>
      </c>
      <c r="AG382" s="22">
        <f t="shared" ca="1" si="5"/>
        <v>1</v>
      </c>
      <c r="AH382" s="8"/>
      <c r="AI382" s="8"/>
    </row>
    <row r="383" spans="1:35" ht="15.75" customHeight="1" x14ac:dyDescent="0.25">
      <c r="A383" s="8"/>
      <c r="B383" s="8"/>
      <c r="C383" s="8"/>
      <c r="D383" s="8"/>
      <c r="E383" s="5" t="s">
        <v>511</v>
      </c>
      <c r="F383" s="16">
        <v>82200</v>
      </c>
      <c r="G383" s="16">
        <v>54052</v>
      </c>
      <c r="H383" s="5" t="s">
        <v>20</v>
      </c>
      <c r="I383" s="5" t="s">
        <v>21</v>
      </c>
      <c r="J383" s="5">
        <v>351236000</v>
      </c>
      <c r="K383" s="5">
        <v>9800506</v>
      </c>
      <c r="L383" s="5"/>
      <c r="M383" s="33"/>
      <c r="N383" s="18" t="b">
        <v>1</v>
      </c>
      <c r="O383" s="18"/>
      <c r="P383" s="22"/>
      <c r="Q383" s="8"/>
      <c r="R383" s="8"/>
      <c r="S383" s="8"/>
      <c r="T383" s="8"/>
      <c r="U383" s="8"/>
      <c r="V383" s="8"/>
      <c r="W383" s="8"/>
      <c r="X383" s="22"/>
      <c r="Y383" s="22"/>
      <c r="Z383" s="22"/>
      <c r="AA383" s="22"/>
      <c r="AB383" s="8"/>
      <c r="AC383" s="8"/>
      <c r="AD383" s="24"/>
      <c r="AE383" s="24" t="str">
        <f t="shared" si="4"/>
        <v/>
      </c>
      <c r="AF383" s="22">
        <f t="shared" si="7"/>
        <v>1</v>
      </c>
      <c r="AG383" s="22">
        <f t="shared" ca="1" si="5"/>
        <v>1</v>
      </c>
      <c r="AH383" s="8"/>
      <c r="AI383" s="8"/>
    </row>
    <row r="384" spans="1:35" ht="15.75" customHeight="1" x14ac:dyDescent="0.25">
      <c r="A384" s="8"/>
      <c r="B384" s="8"/>
      <c r="C384" s="8"/>
      <c r="D384" s="8"/>
      <c r="E384" s="5" t="s">
        <v>512</v>
      </c>
      <c r="F384" s="16">
        <v>84000</v>
      </c>
      <c r="G384" s="16">
        <v>54312</v>
      </c>
      <c r="H384" s="5" t="s">
        <v>20</v>
      </c>
      <c r="I384" s="5" t="s">
        <v>21</v>
      </c>
      <c r="J384" s="5">
        <v>354737000</v>
      </c>
      <c r="K384" s="5">
        <v>9749788</v>
      </c>
      <c r="L384" s="5" t="s">
        <v>112</v>
      </c>
      <c r="M384" s="17">
        <v>46171.000694444447</v>
      </c>
      <c r="N384" s="18" t="b">
        <v>1</v>
      </c>
      <c r="O384" s="18"/>
      <c r="P384" s="22"/>
      <c r="Q384" s="8"/>
      <c r="R384" s="8"/>
      <c r="S384" s="8"/>
      <c r="T384" s="8"/>
      <c r="U384" s="8"/>
      <c r="V384" s="8"/>
      <c r="W384" s="8"/>
      <c r="X384" s="22"/>
      <c r="Y384" s="22"/>
      <c r="Z384" s="22"/>
      <c r="AA384" s="22"/>
      <c r="AB384" s="8"/>
      <c r="AC384" s="8"/>
      <c r="AD384" s="24"/>
      <c r="AE384" s="24" t="str">
        <f t="shared" si="4"/>
        <v/>
      </c>
      <c r="AF384" s="22">
        <f t="shared" si="7"/>
        <v>1</v>
      </c>
      <c r="AG384" s="22">
        <f t="shared" ca="1" si="5"/>
        <v>1</v>
      </c>
      <c r="AH384" s="8"/>
      <c r="AI384" s="8"/>
    </row>
    <row r="385" spans="1:35" ht="15.75" customHeight="1" x14ac:dyDescent="0.25">
      <c r="A385" s="8"/>
      <c r="B385" s="8"/>
      <c r="C385" s="8"/>
      <c r="D385" s="8"/>
      <c r="E385" s="5" t="s">
        <v>513</v>
      </c>
      <c r="F385" s="16">
        <v>83270</v>
      </c>
      <c r="G385" s="16">
        <v>54490</v>
      </c>
      <c r="H385" s="5" t="s">
        <v>20</v>
      </c>
      <c r="I385" s="5" t="s">
        <v>21</v>
      </c>
      <c r="J385" s="5">
        <v>574005390</v>
      </c>
      <c r="K385" s="5">
        <v>9307736</v>
      </c>
      <c r="L385" s="5" t="s">
        <v>157</v>
      </c>
      <c r="M385" s="33">
        <v>46144.8125</v>
      </c>
      <c r="N385" s="18" t="b">
        <v>1</v>
      </c>
      <c r="O385" s="18"/>
      <c r="P385" s="22"/>
      <c r="Q385" s="8"/>
      <c r="R385" s="8"/>
      <c r="S385" s="8"/>
      <c r="T385" s="8"/>
      <c r="U385" s="8"/>
      <c r="V385" s="8"/>
      <c r="W385" s="8"/>
      <c r="X385" s="22"/>
      <c r="Y385" s="22"/>
      <c r="Z385" s="22"/>
      <c r="AA385" s="22"/>
      <c r="AB385" s="8"/>
      <c r="AC385" s="8"/>
      <c r="AD385" s="24"/>
      <c r="AE385" s="24" t="str">
        <f t="shared" si="4"/>
        <v/>
      </c>
      <c r="AF385" s="22">
        <f t="shared" si="7"/>
        <v>1</v>
      </c>
      <c r="AG385" s="22">
        <f t="shared" ca="1" si="5"/>
        <v>1</v>
      </c>
      <c r="AH385" s="8"/>
      <c r="AI385" s="8"/>
    </row>
    <row r="386" spans="1:35" ht="15.75" customHeight="1" x14ac:dyDescent="0.25">
      <c r="A386" s="8"/>
      <c r="B386" s="8"/>
      <c r="C386" s="8"/>
      <c r="D386" s="8"/>
      <c r="E386" s="5" t="s">
        <v>514</v>
      </c>
      <c r="F386" s="16">
        <v>84597</v>
      </c>
      <c r="G386" s="16">
        <v>54975</v>
      </c>
      <c r="H386" s="5" t="s">
        <v>26</v>
      </c>
      <c r="I386" s="5" t="s">
        <v>21</v>
      </c>
      <c r="J386" s="5">
        <v>574005710</v>
      </c>
      <c r="K386" s="5">
        <v>9350288</v>
      </c>
      <c r="L386" s="5" t="s">
        <v>163</v>
      </c>
      <c r="M386" s="17">
        <v>46132.625</v>
      </c>
      <c r="N386" s="18" t="b">
        <v>0</v>
      </c>
      <c r="O386" s="18"/>
      <c r="P386" s="22"/>
      <c r="Q386" s="8"/>
      <c r="R386" s="8"/>
      <c r="S386" s="8"/>
      <c r="T386" s="8"/>
      <c r="U386" s="8"/>
      <c r="V386" s="8"/>
      <c r="W386" s="8"/>
      <c r="X386" s="22"/>
      <c r="Y386" s="22"/>
      <c r="Z386" s="22"/>
      <c r="AA386" s="22"/>
      <c r="AB386" s="8"/>
      <c r="AC386" s="8"/>
      <c r="AD386" s="24"/>
      <c r="AE386" s="24" t="str">
        <f t="shared" si="4"/>
        <v/>
      </c>
      <c r="AF386" s="22">
        <f t="shared" si="7"/>
        <v>1</v>
      </c>
      <c r="AG386" s="22">
        <f t="shared" ca="1" si="5"/>
        <v>1</v>
      </c>
      <c r="AH386" s="8"/>
      <c r="AI386" s="8"/>
    </row>
    <row r="387" spans="1:35" ht="15.75" customHeight="1" x14ac:dyDescent="0.25">
      <c r="A387" s="8"/>
      <c r="B387" s="8"/>
      <c r="C387" s="8"/>
      <c r="D387" s="8"/>
      <c r="E387" s="5" t="s">
        <v>515</v>
      </c>
      <c r="F387" s="16">
        <v>84614</v>
      </c>
      <c r="G387" s="16">
        <v>54691</v>
      </c>
      <c r="H387" s="5" t="s">
        <v>26</v>
      </c>
      <c r="I387" s="5" t="s">
        <v>21</v>
      </c>
      <c r="J387" s="5">
        <v>636024958</v>
      </c>
      <c r="K387" s="5">
        <v>9350604</v>
      </c>
      <c r="L387" s="5"/>
      <c r="M387" s="33"/>
      <c r="N387" s="18" t="b">
        <v>0</v>
      </c>
      <c r="O387" s="18"/>
      <c r="P387" s="22"/>
      <c r="Q387" s="8"/>
      <c r="R387" s="8"/>
      <c r="S387" s="8"/>
      <c r="T387" s="8"/>
      <c r="U387" s="8"/>
      <c r="V387" s="8"/>
      <c r="W387" s="8"/>
      <c r="X387" s="22"/>
      <c r="Y387" s="22"/>
      <c r="Z387" s="22"/>
      <c r="AA387" s="22"/>
      <c r="AB387" s="8"/>
      <c r="AC387" s="8"/>
      <c r="AD387" s="24"/>
      <c r="AE387" s="24" t="str">
        <f t="shared" si="4"/>
        <v/>
      </c>
      <c r="AF387" s="22">
        <f t="shared" si="7"/>
        <v>1</v>
      </c>
      <c r="AG387" s="22">
        <f t="shared" ca="1" si="5"/>
        <v>1</v>
      </c>
      <c r="AH387" s="8"/>
      <c r="AI387" s="8"/>
    </row>
    <row r="388" spans="1:35" ht="15.75" customHeight="1" x14ac:dyDescent="0.25">
      <c r="A388" s="8"/>
      <c r="B388" s="8"/>
      <c r="C388" s="8"/>
      <c r="D388" s="8"/>
      <c r="E388" s="5" t="s">
        <v>516</v>
      </c>
      <c r="F388" s="16">
        <v>82303</v>
      </c>
      <c r="G388" s="16">
        <v>54517</v>
      </c>
      <c r="H388" s="5" t="s">
        <v>26</v>
      </c>
      <c r="I388" s="5" t="s">
        <v>21</v>
      </c>
      <c r="J388" s="5">
        <v>370653000</v>
      </c>
      <c r="K388" s="5">
        <v>9388687</v>
      </c>
      <c r="L388" s="5" t="s">
        <v>273</v>
      </c>
      <c r="M388" s="17">
        <v>46134.666666666664</v>
      </c>
      <c r="N388" s="18" t="b">
        <v>0</v>
      </c>
      <c r="O388" s="18"/>
      <c r="P388" s="22"/>
      <c r="Q388" s="8"/>
      <c r="R388" s="8"/>
      <c r="S388" s="8"/>
      <c r="T388" s="8"/>
      <c r="U388" s="8"/>
      <c r="V388" s="8"/>
      <c r="W388" s="8"/>
      <c r="X388" s="22"/>
      <c r="Y388" s="22"/>
      <c r="Z388" s="22"/>
      <c r="AA388" s="22"/>
      <c r="AB388" s="8"/>
      <c r="AC388" s="8"/>
      <c r="AD388" s="24"/>
      <c r="AE388" s="24" t="str">
        <f t="shared" si="4"/>
        <v/>
      </c>
      <c r="AF388" s="22">
        <f t="shared" si="7"/>
        <v>1</v>
      </c>
      <c r="AG388" s="22">
        <f t="shared" ca="1" si="5"/>
        <v>1</v>
      </c>
      <c r="AH388" s="8"/>
      <c r="AI388" s="8"/>
    </row>
    <row r="389" spans="1:35" ht="15.75" customHeight="1" x14ac:dyDescent="0.25">
      <c r="A389" s="8"/>
      <c r="B389" s="8"/>
      <c r="C389" s="8"/>
      <c r="D389" s="8"/>
      <c r="E389" s="5" t="s">
        <v>517</v>
      </c>
      <c r="F389" s="16">
        <v>78888</v>
      </c>
      <c r="G389" s="16">
        <v>49999</v>
      </c>
      <c r="H389" s="5" t="s">
        <v>26</v>
      </c>
      <c r="I389" s="5" t="s">
        <v>21</v>
      </c>
      <c r="J389" s="5">
        <v>511101444</v>
      </c>
      <c r="K389" s="5">
        <v>9194969</v>
      </c>
      <c r="L389" s="5" t="s">
        <v>46</v>
      </c>
      <c r="M389" s="17">
        <v>46133.875</v>
      </c>
      <c r="N389" s="18" t="b">
        <v>0</v>
      </c>
      <c r="O389" s="18"/>
      <c r="P389" s="22"/>
      <c r="Q389" s="8"/>
      <c r="R389" s="8"/>
      <c r="S389" s="8"/>
      <c r="T389" s="8"/>
      <c r="U389" s="8"/>
      <c r="V389" s="8"/>
      <c r="W389" s="8"/>
      <c r="X389" s="22"/>
      <c r="Y389" s="22"/>
      <c r="Z389" s="22"/>
      <c r="AA389" s="22"/>
      <c r="AB389" s="8"/>
      <c r="AC389" s="8"/>
      <c r="AD389" s="24"/>
      <c r="AE389" s="24" t="str">
        <f t="shared" si="4"/>
        <v/>
      </c>
      <c r="AF389" s="22">
        <f t="shared" si="7"/>
        <v>1</v>
      </c>
      <c r="AG389" s="22" t="str">
        <f t="shared" ca="1" si="5"/>
        <v/>
      </c>
      <c r="AH389" s="8"/>
      <c r="AI389" s="8"/>
    </row>
    <row r="390" spans="1:35" ht="15.75" customHeight="1" x14ac:dyDescent="0.25">
      <c r="A390" s="8"/>
      <c r="B390" s="8"/>
      <c r="C390" s="8"/>
      <c r="D390" s="8"/>
      <c r="E390" s="5" t="s">
        <v>518</v>
      </c>
      <c r="F390" s="16">
        <v>91000</v>
      </c>
      <c r="G390" s="16">
        <v>62000</v>
      </c>
      <c r="H390" s="5" t="s">
        <v>26</v>
      </c>
      <c r="I390" s="5" t="s">
        <v>21</v>
      </c>
      <c r="J390" s="5">
        <v>636021172</v>
      </c>
      <c r="K390" s="5">
        <v>9555008</v>
      </c>
      <c r="L390" s="5" t="s">
        <v>43</v>
      </c>
      <c r="M390" s="17">
        <v>46140.000694444447</v>
      </c>
      <c r="N390" s="18" t="b">
        <v>0</v>
      </c>
      <c r="O390" s="18"/>
      <c r="P390" s="22"/>
      <c r="Q390" s="8"/>
      <c r="R390" s="8"/>
      <c r="S390" s="8"/>
      <c r="T390" s="8"/>
      <c r="U390" s="8"/>
      <c r="V390" s="8"/>
      <c r="W390" s="8"/>
      <c r="X390" s="22"/>
      <c r="Y390" s="22"/>
      <c r="Z390" s="22"/>
      <c r="AA390" s="22"/>
      <c r="AB390" s="8"/>
      <c r="AC390" s="8"/>
      <c r="AD390" s="24"/>
      <c r="AE390" s="24" t="str">
        <f t="shared" si="4"/>
        <v/>
      </c>
      <c r="AF390" s="22">
        <f t="shared" si="7"/>
        <v>1</v>
      </c>
      <c r="AG390" s="22">
        <f t="shared" ca="1" si="5"/>
        <v>1</v>
      </c>
      <c r="AH390" s="8"/>
      <c r="AI390" s="8"/>
    </row>
    <row r="391" spans="1:35" ht="15.75" customHeight="1" x14ac:dyDescent="0.25">
      <c r="A391" s="8"/>
      <c r="B391" s="8"/>
      <c r="C391" s="8"/>
      <c r="D391" s="8"/>
      <c r="E391" s="5" t="s">
        <v>519</v>
      </c>
      <c r="F391" s="16">
        <v>93000</v>
      </c>
      <c r="G391" s="16">
        <v>59800</v>
      </c>
      <c r="H391" s="5" t="s">
        <v>53</v>
      </c>
      <c r="I391" s="741" t="s">
        <v>54</v>
      </c>
      <c r="J391" s="742"/>
      <c r="K391" s="5">
        <v>1017127</v>
      </c>
      <c r="L391" s="5"/>
      <c r="M391" s="33"/>
      <c r="N391" s="18" t="b">
        <v>0</v>
      </c>
      <c r="O391" s="18"/>
      <c r="P391" s="22"/>
      <c r="Q391" s="8"/>
      <c r="R391" s="8"/>
      <c r="S391" s="8"/>
      <c r="T391" s="8"/>
      <c r="U391" s="8"/>
      <c r="V391" s="8"/>
      <c r="W391" s="8"/>
      <c r="X391" s="22"/>
      <c r="Y391" s="22"/>
      <c r="Z391" s="22"/>
      <c r="AA391" s="22"/>
      <c r="AB391" s="8"/>
      <c r="AC391" s="8"/>
      <c r="AD391" s="24"/>
      <c r="AE391" s="24" t="str">
        <f t="shared" si="4"/>
        <v/>
      </c>
      <c r="AF391" s="22">
        <f t="shared" si="7"/>
        <v>1</v>
      </c>
      <c r="AG391" s="22" t="str">
        <f t="shared" ca="1" si="5"/>
        <v/>
      </c>
      <c r="AH391" s="8"/>
      <c r="AI391" s="8"/>
    </row>
    <row r="392" spans="1:35" ht="15.75" customHeight="1" x14ac:dyDescent="0.25">
      <c r="A392" s="8"/>
      <c r="B392" s="8"/>
      <c r="C392" s="8"/>
      <c r="D392" s="8"/>
      <c r="E392" s="5" t="s">
        <v>520</v>
      </c>
      <c r="F392" s="16">
        <v>84000</v>
      </c>
      <c r="G392" s="16">
        <v>54520</v>
      </c>
      <c r="H392" s="5" t="s">
        <v>100</v>
      </c>
      <c r="I392" s="5" t="s">
        <v>21</v>
      </c>
      <c r="J392" s="5">
        <v>477137600</v>
      </c>
      <c r="K392" s="5">
        <v>9763813</v>
      </c>
      <c r="L392" s="5" t="s">
        <v>94</v>
      </c>
      <c r="M392" s="17">
        <v>46133.5</v>
      </c>
      <c r="N392" s="18" t="b">
        <v>0</v>
      </c>
      <c r="O392" s="18"/>
      <c r="P392" s="22"/>
      <c r="Q392" s="8"/>
      <c r="R392" s="8"/>
      <c r="S392" s="8"/>
      <c r="T392" s="8"/>
      <c r="U392" s="8"/>
      <c r="V392" s="8"/>
      <c r="W392" s="8"/>
      <c r="X392" s="22"/>
      <c r="Y392" s="22"/>
      <c r="Z392" s="22"/>
      <c r="AA392" s="22"/>
      <c r="AB392" s="8"/>
      <c r="AC392" s="8"/>
      <c r="AD392" s="24"/>
      <c r="AE392" s="24" t="str">
        <f t="shared" si="4"/>
        <v/>
      </c>
      <c r="AF392" s="22">
        <f t="shared" si="7"/>
        <v>1</v>
      </c>
      <c r="AG392" s="22">
        <f t="shared" ca="1" si="5"/>
        <v>1</v>
      </c>
      <c r="AH392" s="8"/>
      <c r="AI392" s="8"/>
    </row>
    <row r="393" spans="1:35" ht="15.75" customHeight="1" x14ac:dyDescent="0.25">
      <c r="A393" s="8"/>
      <c r="B393" s="8"/>
      <c r="C393" s="8"/>
      <c r="D393" s="8"/>
      <c r="E393" s="5" t="s">
        <v>521</v>
      </c>
      <c r="F393" s="16">
        <v>84000</v>
      </c>
      <c r="G393" s="16">
        <v>54373</v>
      </c>
      <c r="H393" s="5" t="s">
        <v>20</v>
      </c>
      <c r="I393" s="5" t="s">
        <v>21</v>
      </c>
      <c r="J393" s="5">
        <v>477112900</v>
      </c>
      <c r="K393" s="5">
        <v>9804253</v>
      </c>
      <c r="L393" s="5" t="s">
        <v>101</v>
      </c>
      <c r="M393" s="17">
        <v>46162.375</v>
      </c>
      <c r="N393" s="18" t="b">
        <v>1</v>
      </c>
      <c r="O393" s="18"/>
      <c r="P393" s="22"/>
      <c r="Q393" s="8"/>
      <c r="R393" s="8"/>
      <c r="S393" s="8"/>
      <c r="T393" s="8"/>
      <c r="U393" s="8"/>
      <c r="V393" s="8"/>
      <c r="W393" s="8"/>
      <c r="X393" s="22"/>
      <c r="Y393" s="22"/>
      <c r="Z393" s="22"/>
      <c r="AA393" s="22"/>
      <c r="AB393" s="8"/>
      <c r="AC393" s="8"/>
      <c r="AD393" s="24"/>
      <c r="AE393" s="24" t="str">
        <f t="shared" si="4"/>
        <v/>
      </c>
      <c r="AF393" s="22">
        <f t="shared" si="7"/>
        <v>1</v>
      </c>
      <c r="AG393" s="22">
        <f t="shared" ca="1" si="5"/>
        <v>1</v>
      </c>
      <c r="AH393" s="8"/>
      <c r="AI393" s="8"/>
    </row>
    <row r="394" spans="1:35" ht="15.75" customHeight="1" x14ac:dyDescent="0.25">
      <c r="A394" s="8"/>
      <c r="B394" s="8"/>
      <c r="C394" s="8"/>
      <c r="D394" s="8"/>
      <c r="E394" s="5" t="s">
        <v>522</v>
      </c>
      <c r="F394" s="16">
        <v>78488</v>
      </c>
      <c r="G394" s="16">
        <v>50748</v>
      </c>
      <c r="H394" s="5" t="s">
        <v>75</v>
      </c>
      <c r="I394" s="5" t="s">
        <v>21</v>
      </c>
      <c r="J394" s="5">
        <v>352478000</v>
      </c>
      <c r="K394" s="5">
        <v>8902371</v>
      </c>
      <c r="L394" s="5"/>
      <c r="M394" s="33"/>
      <c r="N394" s="18" t="b">
        <v>1</v>
      </c>
      <c r="O394" s="18"/>
      <c r="P394" s="22"/>
      <c r="Q394" s="8"/>
      <c r="R394" s="8"/>
      <c r="S394" s="8"/>
      <c r="T394" s="8"/>
      <c r="U394" s="8"/>
      <c r="V394" s="8"/>
      <c r="W394" s="8"/>
      <c r="X394" s="22"/>
      <c r="Y394" s="22"/>
      <c r="Z394" s="22"/>
      <c r="AA394" s="8"/>
      <c r="AB394" s="8"/>
      <c r="AC394" s="8"/>
      <c r="AD394" s="24"/>
      <c r="AE394" s="24" t="str">
        <f t="shared" si="4"/>
        <v/>
      </c>
      <c r="AF394" s="22">
        <f t="shared" si="7"/>
        <v>1</v>
      </c>
      <c r="AG394" s="22" t="str">
        <f t="shared" ca="1" si="5"/>
        <v/>
      </c>
      <c r="AH394" s="8"/>
      <c r="AI394" s="8"/>
    </row>
    <row r="395" spans="1:35" ht="15.75" customHeight="1" x14ac:dyDescent="0.25">
      <c r="A395" s="8"/>
      <c r="B395" s="8"/>
      <c r="C395" s="8"/>
      <c r="D395" s="8"/>
      <c r="E395" s="5" t="s">
        <v>523</v>
      </c>
      <c r="F395" s="16">
        <v>84000</v>
      </c>
      <c r="G395" s="16">
        <v>54747</v>
      </c>
      <c r="H395" s="5" t="s">
        <v>20</v>
      </c>
      <c r="I395" s="5" t="s">
        <v>21</v>
      </c>
      <c r="J395" s="5">
        <v>477584100</v>
      </c>
      <c r="K395" s="5">
        <v>9743734</v>
      </c>
      <c r="L395" s="5" t="s">
        <v>259</v>
      </c>
      <c r="M395" s="17">
        <v>46145.5</v>
      </c>
      <c r="N395" s="18" t="b">
        <v>1</v>
      </c>
      <c r="O395" s="18"/>
      <c r="P395" s="22"/>
      <c r="Q395" s="8"/>
      <c r="R395" s="8"/>
      <c r="S395" s="8"/>
      <c r="T395" s="8"/>
      <c r="U395" s="8"/>
      <c r="V395" s="8"/>
      <c r="W395" s="8"/>
      <c r="X395" s="22"/>
      <c r="Y395" s="22"/>
      <c r="Z395" s="22"/>
      <c r="AA395" s="8"/>
      <c r="AB395" s="8"/>
      <c r="AC395" s="8"/>
      <c r="AD395" s="24"/>
      <c r="AE395" s="24" t="str">
        <f t="shared" si="4"/>
        <v/>
      </c>
      <c r="AF395" s="22">
        <f t="shared" si="7"/>
        <v>1</v>
      </c>
      <c r="AG395" s="22">
        <f t="shared" ca="1" si="5"/>
        <v>1</v>
      </c>
      <c r="AH395" s="8"/>
      <c r="AI395" s="8"/>
    </row>
    <row r="396" spans="1:35" ht="15.75" customHeight="1" x14ac:dyDescent="0.25">
      <c r="A396" s="8"/>
      <c r="B396" s="8"/>
      <c r="C396" s="8"/>
      <c r="D396" s="8"/>
      <c r="E396" s="5" t="s">
        <v>524</v>
      </c>
      <c r="F396" s="16">
        <v>84000</v>
      </c>
      <c r="G396" s="16">
        <v>54747</v>
      </c>
      <c r="H396" s="5" t="s">
        <v>26</v>
      </c>
      <c r="I396" s="5" t="s">
        <v>21</v>
      </c>
      <c r="J396" s="5">
        <v>477620900</v>
      </c>
      <c r="K396" s="5">
        <v>9743722</v>
      </c>
      <c r="L396" s="5" t="s">
        <v>107</v>
      </c>
      <c r="M396" s="17">
        <v>46146.25</v>
      </c>
      <c r="N396" s="18" t="b">
        <v>0</v>
      </c>
      <c r="O396" s="18"/>
      <c r="P396" s="22"/>
      <c r="Q396" s="8"/>
      <c r="R396" s="8"/>
      <c r="S396" s="8"/>
      <c r="T396" s="8"/>
      <c r="U396" s="8"/>
      <c r="V396" s="8"/>
      <c r="W396" s="8"/>
      <c r="X396" s="22"/>
      <c r="Y396" s="22"/>
      <c r="Z396" s="22"/>
      <c r="AA396" s="8"/>
      <c r="AB396" s="8"/>
      <c r="AC396" s="8"/>
      <c r="AD396" s="24"/>
      <c r="AE396" s="24" t="str">
        <f t="shared" si="4"/>
        <v/>
      </c>
      <c r="AF396" s="22">
        <f t="shared" si="7"/>
        <v>1</v>
      </c>
      <c r="AG396" s="22">
        <f t="shared" ca="1" si="5"/>
        <v>1</v>
      </c>
      <c r="AH396" s="8"/>
      <c r="AI396" s="8"/>
    </row>
    <row r="397" spans="1:35" ht="15.75" customHeight="1" x14ac:dyDescent="0.25">
      <c r="A397" s="8"/>
      <c r="B397" s="8"/>
      <c r="C397" s="8"/>
      <c r="D397" s="8"/>
      <c r="E397" s="5" t="s">
        <v>525</v>
      </c>
      <c r="F397" s="16">
        <v>84000</v>
      </c>
      <c r="G397" s="16">
        <v>54747</v>
      </c>
      <c r="H397" s="5" t="s">
        <v>26</v>
      </c>
      <c r="I397" s="5" t="s">
        <v>21</v>
      </c>
      <c r="J397" s="5">
        <v>477035900</v>
      </c>
      <c r="K397" s="5">
        <v>9778478</v>
      </c>
      <c r="L397" s="5" t="s">
        <v>105</v>
      </c>
      <c r="M397" s="17">
        <v>46169</v>
      </c>
      <c r="N397" s="18" t="b">
        <v>0</v>
      </c>
      <c r="O397" s="18"/>
      <c r="P397" s="22"/>
      <c r="Q397" s="8"/>
      <c r="R397" s="8"/>
      <c r="S397" s="8"/>
      <c r="T397" s="8"/>
      <c r="U397" s="8"/>
      <c r="V397" s="8"/>
      <c r="W397" s="8"/>
      <c r="X397" s="22"/>
      <c r="Y397" s="22"/>
      <c r="Z397" s="22"/>
      <c r="AA397" s="8"/>
      <c r="AB397" s="8"/>
      <c r="AC397" s="8"/>
      <c r="AD397" s="24"/>
      <c r="AE397" s="24" t="str">
        <f t="shared" si="4"/>
        <v/>
      </c>
      <c r="AF397" s="22">
        <f t="shared" si="7"/>
        <v>1</v>
      </c>
      <c r="AG397" s="22">
        <f t="shared" ca="1" si="5"/>
        <v>1</v>
      </c>
      <c r="AH397" s="8"/>
      <c r="AI397" s="8"/>
    </row>
    <row r="398" spans="1:35" ht="15.75" customHeight="1" x14ac:dyDescent="0.25">
      <c r="A398" s="8"/>
      <c r="B398" s="8"/>
      <c r="C398" s="8"/>
      <c r="D398" s="8"/>
      <c r="E398" s="5" t="s">
        <v>526</v>
      </c>
      <c r="F398" s="16">
        <v>84000</v>
      </c>
      <c r="G398" s="16">
        <v>53992</v>
      </c>
      <c r="H398" s="5" t="s">
        <v>20</v>
      </c>
      <c r="I398" s="5" t="s">
        <v>21</v>
      </c>
      <c r="J398" s="5">
        <v>477129700</v>
      </c>
      <c r="K398" s="5">
        <v>9739953</v>
      </c>
      <c r="L398" s="5" t="s">
        <v>101</v>
      </c>
      <c r="M398" s="17">
        <v>46157.75</v>
      </c>
      <c r="N398" s="18" t="b">
        <v>1</v>
      </c>
      <c r="O398" s="18"/>
      <c r="P398" s="22"/>
      <c r="Q398" s="8"/>
      <c r="R398" s="8"/>
      <c r="S398" s="8"/>
      <c r="T398" s="8"/>
      <c r="U398" s="8"/>
      <c r="V398" s="8"/>
      <c r="W398" s="8"/>
      <c r="X398" s="22"/>
      <c r="Y398" s="22"/>
      <c r="Z398" s="22"/>
      <c r="AA398" s="8"/>
      <c r="AB398" s="8"/>
      <c r="AC398" s="8"/>
      <c r="AD398" s="24"/>
      <c r="AE398" s="24" t="str">
        <f t="shared" si="4"/>
        <v/>
      </c>
      <c r="AF398" s="22">
        <f t="shared" si="7"/>
        <v>1</v>
      </c>
      <c r="AG398" s="22">
        <f t="shared" ca="1" si="5"/>
        <v>1</v>
      </c>
      <c r="AH398" s="8"/>
      <c r="AI398" s="8"/>
    </row>
    <row r="399" spans="1:35" ht="15.75" customHeight="1" x14ac:dyDescent="0.25">
      <c r="A399" s="8"/>
      <c r="B399" s="8"/>
      <c r="C399" s="8"/>
      <c r="D399" s="8"/>
      <c r="E399" s="5" t="s">
        <v>527</v>
      </c>
      <c r="F399" s="16">
        <v>84000</v>
      </c>
      <c r="G399" s="16">
        <v>53999</v>
      </c>
      <c r="H399" s="5" t="s">
        <v>26</v>
      </c>
      <c r="I399" s="5" t="s">
        <v>21</v>
      </c>
      <c r="J399" s="5">
        <v>636025270</v>
      </c>
      <c r="K399" s="5">
        <v>9739989</v>
      </c>
      <c r="L399" s="5" t="s">
        <v>38</v>
      </c>
      <c r="M399" s="33">
        <v>46136.041666666664</v>
      </c>
      <c r="N399" s="18" t="b">
        <v>0</v>
      </c>
      <c r="O399" s="5"/>
      <c r="P399" s="22"/>
      <c r="Q399" s="8"/>
      <c r="R399" s="8"/>
      <c r="S399" s="8"/>
      <c r="T399" s="8"/>
      <c r="U399" s="8"/>
      <c r="V399" s="8"/>
      <c r="W399" s="8"/>
      <c r="X399" s="22"/>
      <c r="Y399" s="22"/>
      <c r="Z399" s="22"/>
      <c r="AA399" s="8"/>
      <c r="AB399" s="8"/>
      <c r="AC399" s="8"/>
      <c r="AD399" s="24"/>
      <c r="AE399" s="24" t="str">
        <f t="shared" si="4"/>
        <v/>
      </c>
      <c r="AF399" s="22">
        <f t="shared" si="7"/>
        <v>1</v>
      </c>
      <c r="AG399" s="22">
        <f t="shared" ca="1" si="5"/>
        <v>1</v>
      </c>
      <c r="AH399" s="8"/>
      <c r="AI399" s="8"/>
    </row>
    <row r="400" spans="1:35" ht="15.75" customHeight="1" x14ac:dyDescent="0.25">
      <c r="A400" s="8"/>
      <c r="B400" s="8"/>
      <c r="C400" s="8"/>
      <c r="D400" s="8"/>
      <c r="E400" s="5" t="s">
        <v>528</v>
      </c>
      <c r="F400" s="16">
        <v>84000</v>
      </c>
      <c r="G400" s="16">
        <v>54747</v>
      </c>
      <c r="H400" s="5" t="s">
        <v>20</v>
      </c>
      <c r="I400" s="5" t="s">
        <v>21</v>
      </c>
      <c r="J400" s="5">
        <v>477045100</v>
      </c>
      <c r="K400" s="5">
        <v>9778480</v>
      </c>
      <c r="L400" s="5" t="s">
        <v>293</v>
      </c>
      <c r="M400" s="33">
        <v>46132.708333333336</v>
      </c>
      <c r="N400" s="18" t="b">
        <v>1</v>
      </c>
      <c r="O400" s="5"/>
      <c r="P400" s="22"/>
      <c r="Q400" s="8"/>
      <c r="R400" s="8"/>
      <c r="S400" s="8"/>
      <c r="T400" s="8"/>
      <c r="U400" s="8"/>
      <c r="V400" s="8"/>
      <c r="W400" s="8"/>
      <c r="X400" s="8"/>
      <c r="Y400" s="8"/>
      <c r="Z400" s="22"/>
      <c r="AA400" s="8"/>
      <c r="AB400" s="8"/>
      <c r="AC400" s="8"/>
      <c r="AD400" s="24"/>
      <c r="AE400" s="24" t="str">
        <f t="shared" si="4"/>
        <v/>
      </c>
      <c r="AF400" s="22">
        <f t="shared" ref="AF400:AF424" si="8">IF(ISERROR(VLOOKUP(Y400,$E$2:$F$600,2, FALSE)),1,"")</f>
        <v>1</v>
      </c>
      <c r="AG400" s="22">
        <f t="shared" ca="1" si="5"/>
        <v>1</v>
      </c>
      <c r="AH400" s="8"/>
      <c r="AI400" s="8"/>
    </row>
    <row r="401" spans="1:35" ht="15.75" customHeight="1" x14ac:dyDescent="0.25">
      <c r="A401" s="8"/>
      <c r="B401" s="8"/>
      <c r="C401" s="8"/>
      <c r="D401" s="8"/>
      <c r="E401" s="5" t="s">
        <v>529</v>
      </c>
      <c r="F401" s="16">
        <v>87000</v>
      </c>
      <c r="G401" s="16">
        <v>55885</v>
      </c>
      <c r="H401" s="5" t="s">
        <v>20</v>
      </c>
      <c r="I401" s="5" t="s">
        <v>21</v>
      </c>
      <c r="J401" s="5">
        <v>311001674</v>
      </c>
      <c r="K401" s="5">
        <v>9996032</v>
      </c>
      <c r="L401" s="5" t="s">
        <v>107</v>
      </c>
      <c r="M401" s="33">
        <v>46132.875</v>
      </c>
      <c r="N401" s="18" t="b">
        <v>1</v>
      </c>
      <c r="O401" s="5"/>
      <c r="P401" s="22"/>
      <c r="Q401" s="8"/>
      <c r="R401" s="8"/>
      <c r="S401" s="8"/>
      <c r="T401" s="8"/>
      <c r="U401" s="8"/>
      <c r="V401" s="8"/>
      <c r="W401" s="8"/>
      <c r="X401" s="8"/>
      <c r="Y401" s="8"/>
      <c r="Z401" s="22"/>
      <c r="AA401" s="8"/>
      <c r="AB401" s="8"/>
      <c r="AC401" s="8"/>
      <c r="AD401" s="24"/>
      <c r="AE401" s="24" t="str">
        <f t="shared" si="4"/>
        <v/>
      </c>
      <c r="AF401" s="22">
        <f t="shared" si="8"/>
        <v>1</v>
      </c>
      <c r="AG401" s="22">
        <f t="shared" ca="1" si="5"/>
        <v>1</v>
      </c>
      <c r="AH401" s="8"/>
      <c r="AI401" s="8"/>
    </row>
    <row r="402" spans="1:35" ht="15.75" customHeight="1" x14ac:dyDescent="0.25">
      <c r="A402" s="8"/>
      <c r="B402" s="8"/>
      <c r="C402" s="8"/>
      <c r="D402" s="8"/>
      <c r="E402" s="5" t="s">
        <v>530</v>
      </c>
      <c r="F402" s="16">
        <v>84000</v>
      </c>
      <c r="G402" s="16">
        <v>54747</v>
      </c>
      <c r="H402" s="5" t="s">
        <v>20</v>
      </c>
      <c r="I402" s="5" t="s">
        <v>21</v>
      </c>
      <c r="J402" s="5">
        <v>477027700</v>
      </c>
      <c r="K402" s="5">
        <v>9739977</v>
      </c>
      <c r="L402" s="5" t="s">
        <v>144</v>
      </c>
      <c r="M402" s="17">
        <v>46144.791666666664</v>
      </c>
      <c r="N402" s="18" t="b">
        <v>1</v>
      </c>
      <c r="O402" s="5"/>
      <c r="P402" s="22"/>
      <c r="Q402" s="8"/>
      <c r="R402" s="8"/>
      <c r="S402" s="8"/>
      <c r="T402" s="8"/>
      <c r="U402" s="8"/>
      <c r="V402" s="8"/>
      <c r="W402" s="8"/>
      <c r="X402" s="8"/>
      <c r="Y402" s="8"/>
      <c r="Z402" s="22"/>
      <c r="AA402" s="8"/>
      <c r="AB402" s="8"/>
      <c r="AC402" s="8"/>
      <c r="AD402" s="24"/>
      <c r="AE402" s="24" t="str">
        <f t="shared" si="4"/>
        <v/>
      </c>
      <c r="AF402" s="22">
        <f t="shared" si="8"/>
        <v>1</v>
      </c>
      <c r="AG402" s="22">
        <f t="shared" ca="1" si="5"/>
        <v>1</v>
      </c>
      <c r="AH402" s="8"/>
      <c r="AI402" s="8"/>
    </row>
    <row r="403" spans="1:35" ht="15.75" customHeight="1" x14ac:dyDescent="0.25">
      <c r="A403" s="8"/>
      <c r="B403" s="8"/>
      <c r="C403" s="8"/>
      <c r="D403" s="8"/>
      <c r="E403" s="5" t="s">
        <v>531</v>
      </c>
      <c r="F403" s="16">
        <v>84000</v>
      </c>
      <c r="G403" s="16">
        <v>53999</v>
      </c>
      <c r="H403" s="5" t="s">
        <v>20</v>
      </c>
      <c r="I403" s="5" t="s">
        <v>21</v>
      </c>
      <c r="J403" s="5">
        <v>477129800</v>
      </c>
      <c r="K403" s="5">
        <v>9739965</v>
      </c>
      <c r="L403" s="5" t="s">
        <v>238</v>
      </c>
      <c r="M403" s="33">
        <v>46168.569444444445</v>
      </c>
      <c r="N403" s="18" t="b">
        <v>1</v>
      </c>
      <c r="O403" s="5"/>
      <c r="P403" s="22"/>
      <c r="Q403" s="8"/>
      <c r="R403" s="8"/>
      <c r="S403" s="8"/>
      <c r="T403" s="8"/>
      <c r="U403" s="8"/>
      <c r="V403" s="8"/>
      <c r="W403" s="8"/>
      <c r="X403" s="8"/>
      <c r="Y403" s="8"/>
      <c r="Z403" s="22"/>
      <c r="AA403" s="8"/>
      <c r="AB403" s="8"/>
      <c r="AC403" s="8"/>
      <c r="AD403" s="24"/>
      <c r="AE403" s="24" t="str">
        <f t="shared" si="4"/>
        <v/>
      </c>
      <c r="AF403" s="22">
        <f t="shared" si="8"/>
        <v>1</v>
      </c>
      <c r="AG403" s="22">
        <f t="shared" ca="1" si="5"/>
        <v>1</v>
      </c>
      <c r="AH403" s="8"/>
      <c r="AI403" s="8"/>
    </row>
    <row r="404" spans="1:35" ht="15.75" customHeight="1" x14ac:dyDescent="0.25">
      <c r="A404" s="8"/>
      <c r="B404" s="8"/>
      <c r="C404" s="8"/>
      <c r="D404" s="8"/>
      <c r="E404" s="5" t="s">
        <v>532</v>
      </c>
      <c r="F404" s="16">
        <v>90000</v>
      </c>
      <c r="G404" s="16">
        <v>58995</v>
      </c>
      <c r="H404" s="5" t="s">
        <v>20</v>
      </c>
      <c r="I404" s="5" t="s">
        <v>21</v>
      </c>
      <c r="J404" s="5">
        <v>636021070</v>
      </c>
      <c r="K404" s="5">
        <v>9938511</v>
      </c>
      <c r="L404" s="5"/>
      <c r="M404" s="17"/>
      <c r="N404" s="18" t="b">
        <v>1</v>
      </c>
      <c r="O404" s="5"/>
      <c r="P404" s="22"/>
      <c r="Q404" s="8"/>
      <c r="R404" s="8"/>
      <c r="S404" s="8"/>
      <c r="T404" s="8"/>
      <c r="U404" s="8"/>
      <c r="V404" s="8"/>
      <c r="W404" s="8"/>
      <c r="X404" s="8"/>
      <c r="Y404" s="8"/>
      <c r="Z404" s="22"/>
      <c r="AA404" s="8"/>
      <c r="AB404" s="8"/>
      <c r="AC404" s="8"/>
      <c r="AD404" s="24"/>
      <c r="AE404" s="24" t="str">
        <f t="shared" si="4"/>
        <v/>
      </c>
      <c r="AF404" s="22">
        <f t="shared" si="8"/>
        <v>1</v>
      </c>
      <c r="AG404" s="22">
        <f t="shared" ca="1" si="5"/>
        <v>1</v>
      </c>
      <c r="AH404" s="8"/>
      <c r="AI404" s="8"/>
    </row>
    <row r="405" spans="1:35" ht="15.75" customHeight="1" x14ac:dyDescent="0.25">
      <c r="A405" s="8"/>
      <c r="B405" s="8"/>
      <c r="C405" s="8"/>
      <c r="D405" s="8"/>
      <c r="E405" s="5" t="s">
        <v>533</v>
      </c>
      <c r="F405" s="16">
        <v>78500</v>
      </c>
      <c r="G405" s="16">
        <v>51096</v>
      </c>
      <c r="H405" s="5" t="s">
        <v>100</v>
      </c>
      <c r="I405" s="5" t="s">
        <v>21</v>
      </c>
      <c r="J405" s="5">
        <v>563027500</v>
      </c>
      <c r="K405" s="5">
        <v>9790220</v>
      </c>
      <c r="L405" s="5" t="s">
        <v>107</v>
      </c>
      <c r="M405" s="33">
        <v>46151.5</v>
      </c>
      <c r="N405" s="18" t="b">
        <v>0</v>
      </c>
      <c r="O405" s="5"/>
      <c r="P405" s="22"/>
      <c r="Q405" s="8"/>
      <c r="R405" s="8"/>
      <c r="S405" s="8"/>
      <c r="T405" s="8"/>
      <c r="U405" s="8"/>
      <c r="V405" s="8"/>
      <c r="W405" s="8"/>
      <c r="X405" s="8"/>
      <c r="Y405" s="8"/>
      <c r="Z405" s="22"/>
      <c r="AA405" s="8"/>
      <c r="AB405" s="8"/>
      <c r="AC405" s="8"/>
      <c r="AD405" s="24"/>
      <c r="AE405" s="24" t="str">
        <f t="shared" si="4"/>
        <v/>
      </c>
      <c r="AF405" s="22">
        <f t="shared" si="8"/>
        <v>1</v>
      </c>
      <c r="AG405" s="22">
        <f t="shared" ca="1" si="5"/>
        <v>1</v>
      </c>
      <c r="AH405" s="8"/>
      <c r="AI405" s="8"/>
    </row>
    <row r="406" spans="1:35" ht="15.75" customHeight="1" x14ac:dyDescent="0.25">
      <c r="A406" s="8"/>
      <c r="B406" s="8"/>
      <c r="C406" s="8"/>
      <c r="D406" s="8"/>
      <c r="E406" s="5" t="s">
        <v>534</v>
      </c>
      <c r="F406" s="16">
        <v>77105</v>
      </c>
      <c r="G406" s="16">
        <v>53488</v>
      </c>
      <c r="H406" s="5" t="s">
        <v>26</v>
      </c>
      <c r="I406" s="5" t="s">
        <v>21</v>
      </c>
      <c r="J406" s="5">
        <v>357223000</v>
      </c>
      <c r="K406" s="5">
        <v>9195494</v>
      </c>
      <c r="L406" s="5"/>
      <c r="M406" s="17"/>
      <c r="N406" s="18" t="b">
        <v>0</v>
      </c>
      <c r="O406" s="5"/>
      <c r="P406" s="22"/>
      <c r="Q406" s="8"/>
      <c r="R406" s="8"/>
      <c r="S406" s="8"/>
      <c r="T406" s="8"/>
      <c r="U406" s="8"/>
      <c r="V406" s="8"/>
      <c r="W406" s="8"/>
      <c r="X406" s="8"/>
      <c r="Y406" s="8"/>
      <c r="Z406" s="8"/>
      <c r="AA406" s="8"/>
      <c r="AB406" s="8"/>
      <c r="AC406" s="8"/>
      <c r="AD406" s="24"/>
      <c r="AE406" s="24" t="str">
        <f t="shared" si="4"/>
        <v/>
      </c>
      <c r="AF406" s="22">
        <f t="shared" si="8"/>
        <v>1</v>
      </c>
      <c r="AG406" s="22" t="str">
        <f t="shared" ca="1" si="5"/>
        <v/>
      </c>
      <c r="AH406" s="8"/>
      <c r="AI406" s="8"/>
    </row>
    <row r="407" spans="1:35" ht="15.75" customHeight="1" x14ac:dyDescent="0.25">
      <c r="A407" s="8"/>
      <c r="B407" s="8"/>
      <c r="C407" s="8"/>
      <c r="D407" s="8"/>
      <c r="E407" s="5" t="s">
        <v>535</v>
      </c>
      <c r="F407" s="16">
        <v>84000</v>
      </c>
      <c r="G407" s="16">
        <v>50500</v>
      </c>
      <c r="H407" s="5" t="s">
        <v>26</v>
      </c>
      <c r="I407" s="5" t="s">
        <v>21</v>
      </c>
      <c r="J407" s="5">
        <v>525008084</v>
      </c>
      <c r="K407" s="5">
        <v>9643348</v>
      </c>
      <c r="L407" s="5" t="s">
        <v>61</v>
      </c>
      <c r="M407" s="33">
        <v>46162.75</v>
      </c>
      <c r="N407" s="18" t="b">
        <v>0</v>
      </c>
      <c r="O407" s="5"/>
      <c r="P407" s="22"/>
      <c r="Q407" s="8"/>
      <c r="R407" s="8"/>
      <c r="S407" s="8"/>
      <c r="T407" s="8"/>
      <c r="U407" s="8"/>
      <c r="V407" s="8"/>
      <c r="W407" s="8"/>
      <c r="X407" s="8"/>
      <c r="Y407" s="8"/>
      <c r="Z407" s="8"/>
      <c r="AA407" s="8"/>
      <c r="AB407" s="8"/>
      <c r="AC407" s="8"/>
      <c r="AD407" s="24"/>
      <c r="AE407" s="24" t="str">
        <f t="shared" si="4"/>
        <v/>
      </c>
      <c r="AF407" s="22">
        <f t="shared" si="8"/>
        <v>1</v>
      </c>
      <c r="AG407" s="22">
        <f t="shared" ca="1" si="5"/>
        <v>1</v>
      </c>
      <c r="AH407" s="8"/>
      <c r="AI407" s="8"/>
    </row>
    <row r="408" spans="1:35" ht="15.75" customHeight="1" x14ac:dyDescent="0.25">
      <c r="A408" s="8"/>
      <c r="B408" s="8"/>
      <c r="C408" s="8"/>
      <c r="D408" s="8"/>
      <c r="E408" s="5" t="s">
        <v>536</v>
      </c>
      <c r="F408" s="16">
        <v>84000</v>
      </c>
      <c r="G408" s="16">
        <v>54683</v>
      </c>
      <c r="H408" s="5" t="s">
        <v>26</v>
      </c>
      <c r="I408" s="5" t="s">
        <v>21</v>
      </c>
      <c r="J408" s="5">
        <v>525008121</v>
      </c>
      <c r="K408" s="5">
        <v>9685217</v>
      </c>
      <c r="L408" s="5" t="s">
        <v>61</v>
      </c>
      <c r="M408" s="33">
        <v>46132.486805555556</v>
      </c>
      <c r="N408" s="18" t="b">
        <v>0</v>
      </c>
      <c r="O408" s="5"/>
      <c r="P408" s="22"/>
      <c r="Q408" s="8"/>
      <c r="R408" s="8"/>
      <c r="S408" s="8"/>
      <c r="T408" s="8"/>
      <c r="U408" s="8"/>
      <c r="V408" s="8"/>
      <c r="W408" s="8"/>
      <c r="X408" s="8"/>
      <c r="Y408" s="8"/>
      <c r="Z408" s="8"/>
      <c r="AA408" s="8"/>
      <c r="AB408" s="8"/>
      <c r="AC408" s="8"/>
      <c r="AD408" s="24"/>
      <c r="AE408" s="24" t="str">
        <f t="shared" si="4"/>
        <v/>
      </c>
      <c r="AF408" s="22">
        <f t="shared" si="8"/>
        <v>1</v>
      </c>
      <c r="AG408" s="22">
        <f t="shared" ca="1" si="5"/>
        <v>1</v>
      </c>
      <c r="AH408" s="8"/>
      <c r="AI408" s="8"/>
    </row>
    <row r="409" spans="1:35" ht="15.75" customHeight="1" x14ac:dyDescent="0.25">
      <c r="A409" s="8"/>
      <c r="B409" s="8"/>
      <c r="C409" s="8"/>
      <c r="D409" s="8"/>
      <c r="E409" s="5" t="s">
        <v>537</v>
      </c>
      <c r="F409" s="16">
        <v>90000</v>
      </c>
      <c r="G409" s="16">
        <v>54000</v>
      </c>
      <c r="H409" s="5" t="s">
        <v>20</v>
      </c>
      <c r="I409" s="5" t="s">
        <v>21</v>
      </c>
      <c r="J409" s="5">
        <v>352002389</v>
      </c>
      <c r="K409" s="5">
        <v>9895317</v>
      </c>
      <c r="L409" s="5" t="s">
        <v>85</v>
      </c>
      <c r="M409" s="17">
        <v>46147.5</v>
      </c>
      <c r="N409" s="18" t="b">
        <v>1</v>
      </c>
      <c r="O409" s="5"/>
      <c r="P409" s="22"/>
      <c r="Q409" s="8"/>
      <c r="R409" s="8"/>
      <c r="S409" s="8"/>
      <c r="T409" s="8"/>
      <c r="U409" s="8"/>
      <c r="V409" s="8"/>
      <c r="W409" s="8"/>
      <c r="X409" s="8"/>
      <c r="Y409" s="8"/>
      <c r="Z409" s="8"/>
      <c r="AA409" s="8"/>
      <c r="AB409" s="8"/>
      <c r="AC409" s="8"/>
      <c r="AD409" s="24"/>
      <c r="AE409" s="24" t="str">
        <f t="shared" si="4"/>
        <v/>
      </c>
      <c r="AF409" s="22">
        <f t="shared" si="8"/>
        <v>1</v>
      </c>
      <c r="AG409" s="22">
        <f t="shared" ca="1" si="5"/>
        <v>1</v>
      </c>
      <c r="AH409" s="8"/>
      <c r="AI409" s="8"/>
    </row>
    <row r="410" spans="1:35" ht="15.75" customHeight="1" x14ac:dyDescent="0.25">
      <c r="A410" s="8"/>
      <c r="B410" s="8"/>
      <c r="C410" s="8"/>
      <c r="D410" s="8"/>
      <c r="E410" s="5" t="s">
        <v>538</v>
      </c>
      <c r="F410" s="16">
        <v>91000</v>
      </c>
      <c r="G410" s="16">
        <v>58971</v>
      </c>
      <c r="H410" s="5" t="s">
        <v>20</v>
      </c>
      <c r="I410" s="5" t="s">
        <v>21</v>
      </c>
      <c r="J410" s="5">
        <v>636021180</v>
      </c>
      <c r="K410" s="5">
        <v>9943920</v>
      </c>
      <c r="L410" s="5"/>
      <c r="M410" s="17"/>
      <c r="N410" s="18" t="b">
        <v>1</v>
      </c>
      <c r="O410" s="5"/>
      <c r="P410" s="22"/>
      <c r="Q410" s="8"/>
      <c r="R410" s="8"/>
      <c r="S410" s="8"/>
      <c r="T410" s="8"/>
      <c r="U410" s="8"/>
      <c r="V410" s="8"/>
      <c r="W410" s="8"/>
      <c r="X410" s="8"/>
      <c r="Y410" s="8"/>
      <c r="Z410" s="8"/>
      <c r="AA410" s="8"/>
      <c r="AB410" s="8"/>
      <c r="AC410" s="8"/>
      <c r="AD410" s="24"/>
      <c r="AE410" s="24" t="str">
        <f t="shared" si="4"/>
        <v/>
      </c>
      <c r="AF410" s="22">
        <f t="shared" si="8"/>
        <v>1</v>
      </c>
      <c r="AG410" s="22">
        <f t="shared" ca="1" si="5"/>
        <v>1</v>
      </c>
      <c r="AH410" s="8"/>
      <c r="AI410" s="8"/>
    </row>
    <row r="411" spans="1:35" ht="15.75" customHeight="1" x14ac:dyDescent="0.25">
      <c r="A411" s="8"/>
      <c r="B411" s="8"/>
      <c r="C411" s="8"/>
      <c r="D411" s="8"/>
      <c r="E411" s="5" t="s">
        <v>539</v>
      </c>
      <c r="F411" s="16">
        <v>91000</v>
      </c>
      <c r="G411" s="16">
        <v>62500</v>
      </c>
      <c r="H411" s="5" t="s">
        <v>20</v>
      </c>
      <c r="I411" s="5" t="s">
        <v>21</v>
      </c>
      <c r="J411" s="5">
        <v>352003541</v>
      </c>
      <c r="K411" s="5">
        <v>9937062</v>
      </c>
      <c r="L411" s="5" t="s">
        <v>540</v>
      </c>
      <c r="M411" s="33">
        <v>46147.666666666664</v>
      </c>
      <c r="N411" s="18" t="b">
        <v>1</v>
      </c>
      <c r="O411" s="5"/>
      <c r="P411" s="22"/>
      <c r="Q411" s="8"/>
      <c r="R411" s="8"/>
      <c r="S411" s="8"/>
      <c r="T411" s="8"/>
      <c r="U411" s="8"/>
      <c r="V411" s="8"/>
      <c r="W411" s="8"/>
      <c r="X411" s="8"/>
      <c r="Y411" s="8"/>
      <c r="Z411" s="8"/>
      <c r="AA411" s="8"/>
      <c r="AB411" s="8"/>
      <c r="AC411" s="8"/>
      <c r="AD411" s="24"/>
      <c r="AE411" s="24" t="str">
        <f t="shared" si="4"/>
        <v/>
      </c>
      <c r="AF411" s="22">
        <f t="shared" si="8"/>
        <v>1</v>
      </c>
      <c r="AG411" s="22">
        <f t="shared" ca="1" si="5"/>
        <v>1</v>
      </c>
      <c r="AH411" s="8"/>
      <c r="AI411" s="8"/>
    </row>
    <row r="412" spans="1:35" ht="15.75" customHeight="1" x14ac:dyDescent="0.25">
      <c r="A412" s="8"/>
      <c r="B412" s="8"/>
      <c r="C412" s="8"/>
      <c r="D412" s="8"/>
      <c r="E412" s="5" t="s">
        <v>541</v>
      </c>
      <c r="F412" s="16">
        <v>91000</v>
      </c>
      <c r="G412" s="16">
        <v>62500</v>
      </c>
      <c r="H412" s="5" t="s">
        <v>20</v>
      </c>
      <c r="I412" s="5" t="s">
        <v>21</v>
      </c>
      <c r="J412" s="5">
        <v>352003540</v>
      </c>
      <c r="K412" s="5">
        <v>9937074</v>
      </c>
      <c r="L412" s="5" t="s">
        <v>238</v>
      </c>
      <c r="M412" s="17">
        <v>46134</v>
      </c>
      <c r="N412" s="18" t="b">
        <v>1</v>
      </c>
      <c r="O412" s="5"/>
      <c r="P412" s="22"/>
      <c r="Q412" s="8"/>
      <c r="R412" s="8"/>
      <c r="S412" s="8"/>
      <c r="T412" s="8"/>
      <c r="U412" s="8"/>
      <c r="V412" s="8"/>
      <c r="W412" s="8"/>
      <c r="X412" s="8"/>
      <c r="Y412" s="8"/>
      <c r="Z412" s="8"/>
      <c r="AA412" s="8"/>
      <c r="AB412" s="8"/>
      <c r="AC412" s="8"/>
      <c r="AD412" s="24"/>
      <c r="AE412" s="24" t="str">
        <f t="shared" si="4"/>
        <v/>
      </c>
      <c r="AF412" s="22">
        <f t="shared" si="8"/>
        <v>1</v>
      </c>
      <c r="AG412" s="22">
        <f t="shared" ca="1" si="5"/>
        <v>1</v>
      </c>
      <c r="AH412" s="8"/>
      <c r="AI412" s="8"/>
    </row>
    <row r="413" spans="1:35" ht="15.75" customHeight="1" x14ac:dyDescent="0.25">
      <c r="A413" s="8"/>
      <c r="B413" s="8"/>
      <c r="C413" s="8"/>
      <c r="D413" s="8"/>
      <c r="E413" s="5" t="s">
        <v>542</v>
      </c>
      <c r="F413" s="16">
        <v>86000</v>
      </c>
      <c r="G413" s="16">
        <v>58956</v>
      </c>
      <c r="H413" s="5" t="s">
        <v>26</v>
      </c>
      <c r="I413" s="5" t="s">
        <v>21</v>
      </c>
      <c r="J413" s="5">
        <v>636021164</v>
      </c>
      <c r="K413" s="5">
        <v>9940320</v>
      </c>
      <c r="L413" s="5" t="s">
        <v>43</v>
      </c>
      <c r="M413" s="17">
        <v>46136.75</v>
      </c>
      <c r="N413" s="18" t="b">
        <v>0</v>
      </c>
      <c r="O413" s="5"/>
      <c r="P413" s="22"/>
      <c r="Q413" s="8"/>
      <c r="R413" s="8"/>
      <c r="S413" s="8"/>
      <c r="T413" s="8"/>
      <c r="U413" s="8"/>
      <c r="V413" s="8"/>
      <c r="W413" s="8"/>
      <c r="X413" s="8"/>
      <c r="Y413" s="8"/>
      <c r="Z413" s="8"/>
      <c r="AA413" s="8"/>
      <c r="AB413" s="8"/>
      <c r="AC413" s="8"/>
      <c r="AD413" s="24"/>
      <c r="AE413" s="24" t="str">
        <f t="shared" si="4"/>
        <v/>
      </c>
      <c r="AF413" s="22">
        <f t="shared" si="8"/>
        <v>1</v>
      </c>
      <c r="AG413" s="22">
        <f t="shared" ca="1" si="5"/>
        <v>1</v>
      </c>
      <c r="AH413" s="8"/>
      <c r="AI413" s="8"/>
    </row>
    <row r="414" spans="1:35" ht="15.75" customHeight="1" x14ac:dyDescent="0.25">
      <c r="A414" s="8"/>
      <c r="B414" s="8"/>
      <c r="C414" s="8"/>
      <c r="D414" s="8"/>
      <c r="E414" s="5" t="s">
        <v>543</v>
      </c>
      <c r="F414" s="16">
        <v>82200</v>
      </c>
      <c r="G414" s="16">
        <v>53928</v>
      </c>
      <c r="H414" s="5" t="s">
        <v>26</v>
      </c>
      <c r="I414" s="5" t="s">
        <v>21</v>
      </c>
      <c r="J414" s="5">
        <v>563099800</v>
      </c>
      <c r="K414" s="5">
        <v>9850367</v>
      </c>
      <c r="L414" s="5" t="s">
        <v>38</v>
      </c>
      <c r="M414" s="17">
        <v>46153.958333333336</v>
      </c>
      <c r="N414" s="18" t="b">
        <v>0</v>
      </c>
      <c r="O414" s="5"/>
      <c r="P414" s="22"/>
      <c r="Q414" s="8"/>
      <c r="R414" s="8"/>
      <c r="S414" s="8"/>
      <c r="T414" s="8"/>
      <c r="U414" s="8"/>
      <c r="V414" s="8"/>
      <c r="W414" s="8"/>
      <c r="X414" s="8"/>
      <c r="Y414" s="8"/>
      <c r="Z414" s="8"/>
      <c r="AA414" s="8"/>
      <c r="AB414" s="8"/>
      <c r="AC414" s="8"/>
      <c r="AD414" s="24"/>
      <c r="AE414" s="24" t="str">
        <f t="shared" si="4"/>
        <v/>
      </c>
      <c r="AF414" s="22">
        <f t="shared" si="8"/>
        <v>1</v>
      </c>
      <c r="AG414" s="22">
        <f t="shared" ca="1" si="5"/>
        <v>1</v>
      </c>
      <c r="AH414" s="8"/>
      <c r="AI414" s="8"/>
    </row>
    <row r="415" spans="1:35" ht="15.75" customHeight="1" x14ac:dyDescent="0.25">
      <c r="A415" s="8"/>
      <c r="B415" s="8"/>
      <c r="C415" s="8"/>
      <c r="D415" s="8"/>
      <c r="E415" s="5" t="s">
        <v>544</v>
      </c>
      <c r="F415" s="16">
        <v>87000</v>
      </c>
      <c r="G415" s="16">
        <v>56711</v>
      </c>
      <c r="H415" s="5" t="s">
        <v>26</v>
      </c>
      <c r="I415" s="5" t="s">
        <v>21</v>
      </c>
      <c r="J415" s="5">
        <v>352002825</v>
      </c>
      <c r="K415" s="5">
        <v>9947483</v>
      </c>
      <c r="L415" s="5" t="s">
        <v>107</v>
      </c>
      <c r="M415" s="17">
        <v>46134</v>
      </c>
      <c r="N415" s="18" t="b">
        <v>0</v>
      </c>
      <c r="O415" s="5"/>
      <c r="P415" s="22"/>
      <c r="Q415" s="8"/>
      <c r="R415" s="8"/>
      <c r="S415" s="8"/>
      <c r="T415" s="8"/>
      <c r="U415" s="8"/>
      <c r="V415" s="8"/>
      <c r="W415" s="8"/>
      <c r="X415" s="8"/>
      <c r="Y415" s="8"/>
      <c r="Z415" s="8"/>
      <c r="AA415" s="8"/>
      <c r="AB415" s="8"/>
      <c r="AC415" s="8"/>
      <c r="AD415" s="24"/>
      <c r="AE415" s="24" t="str">
        <f t="shared" si="4"/>
        <v/>
      </c>
      <c r="AF415" s="22">
        <f t="shared" si="8"/>
        <v>1</v>
      </c>
      <c r="AG415" s="22">
        <f t="shared" ca="1" si="5"/>
        <v>1</v>
      </c>
      <c r="AH415" s="8"/>
      <c r="AI415" s="8"/>
    </row>
    <row r="416" spans="1:35" ht="15.75" customHeight="1" x14ac:dyDescent="0.25">
      <c r="A416" s="8"/>
      <c r="B416" s="8"/>
      <c r="C416" s="8"/>
      <c r="D416" s="8"/>
      <c r="E416" s="5" t="s">
        <v>545</v>
      </c>
      <c r="F416" s="16">
        <v>80738</v>
      </c>
      <c r="G416" s="16">
        <v>54985</v>
      </c>
      <c r="H416" s="5" t="s">
        <v>26</v>
      </c>
      <c r="I416" s="5" t="s">
        <v>21</v>
      </c>
      <c r="J416" s="5">
        <v>352002220</v>
      </c>
      <c r="K416" s="5">
        <v>9354612</v>
      </c>
      <c r="L416" s="5" t="s">
        <v>109</v>
      </c>
      <c r="M416" s="17">
        <v>46133.520833333336</v>
      </c>
      <c r="N416" s="18" t="b">
        <v>0</v>
      </c>
      <c r="O416" s="5"/>
      <c r="P416" s="22"/>
      <c r="Q416" s="8"/>
      <c r="R416" s="8"/>
      <c r="S416" s="8"/>
      <c r="T416" s="8"/>
      <c r="U416" s="8"/>
      <c r="V416" s="8"/>
      <c r="W416" s="8"/>
      <c r="X416" s="8"/>
      <c r="Y416" s="8"/>
      <c r="Z416" s="8"/>
      <c r="AA416" s="8"/>
      <c r="AB416" s="8"/>
      <c r="AC416" s="8"/>
      <c r="AD416" s="24"/>
      <c r="AE416" s="24" t="str">
        <f t="shared" si="4"/>
        <v/>
      </c>
      <c r="AF416" s="22">
        <f t="shared" si="8"/>
        <v>1</v>
      </c>
      <c r="AG416" s="22" t="str">
        <f t="shared" ca="1" si="5"/>
        <v/>
      </c>
      <c r="AH416" s="8"/>
      <c r="AI416" s="8"/>
    </row>
    <row r="417" spans="1:35" ht="15.75" customHeight="1" x14ac:dyDescent="0.25">
      <c r="A417" s="8"/>
      <c r="B417" s="8"/>
      <c r="C417" s="8"/>
      <c r="D417" s="8"/>
      <c r="E417" s="5" t="s">
        <v>546</v>
      </c>
      <c r="F417" s="16">
        <v>80701</v>
      </c>
      <c r="G417" s="16">
        <v>58691</v>
      </c>
      <c r="H417" s="5" t="s">
        <v>26</v>
      </c>
      <c r="I417" s="5" t="s">
        <v>21</v>
      </c>
      <c r="J417" s="5">
        <v>419001655</v>
      </c>
      <c r="K417" s="5">
        <v>9315680</v>
      </c>
      <c r="L417" s="5" t="s">
        <v>547</v>
      </c>
      <c r="M417" s="33">
        <v>46133.375</v>
      </c>
      <c r="N417" s="18" t="b">
        <v>0</v>
      </c>
      <c r="O417" s="5"/>
      <c r="P417" s="22"/>
      <c r="Q417" s="8"/>
      <c r="R417" s="8"/>
      <c r="S417" s="8"/>
      <c r="T417" s="8"/>
      <c r="U417" s="8"/>
      <c r="V417" s="8"/>
      <c r="W417" s="8"/>
      <c r="X417" s="8"/>
      <c r="Y417" s="8"/>
      <c r="Z417" s="8"/>
      <c r="AA417" s="8"/>
      <c r="AB417" s="8"/>
      <c r="AC417" s="8"/>
      <c r="AD417" s="24"/>
      <c r="AE417" s="24" t="str">
        <f t="shared" si="4"/>
        <v/>
      </c>
      <c r="AF417" s="22">
        <f t="shared" si="8"/>
        <v>1</v>
      </c>
      <c r="AG417" s="22" t="str">
        <f t="shared" ca="1" si="5"/>
        <v/>
      </c>
      <c r="AH417" s="8"/>
      <c r="AI417" s="8"/>
    </row>
    <row r="418" spans="1:35" ht="15.75" customHeight="1" x14ac:dyDescent="0.25">
      <c r="A418" s="8"/>
      <c r="B418" s="8"/>
      <c r="C418" s="8"/>
      <c r="D418" s="8"/>
      <c r="E418" s="5" t="s">
        <v>548</v>
      </c>
      <c r="F418" s="16">
        <v>78700</v>
      </c>
      <c r="G418" s="16">
        <v>51202</v>
      </c>
      <c r="H418" s="5" t="s">
        <v>26</v>
      </c>
      <c r="I418" s="5" t="s">
        <v>21</v>
      </c>
      <c r="J418" s="5">
        <v>563043900</v>
      </c>
      <c r="K418" s="5">
        <v>9790232</v>
      </c>
      <c r="L418" s="5" t="s">
        <v>107</v>
      </c>
      <c r="M418" s="33">
        <v>46140.625</v>
      </c>
      <c r="N418" s="18" t="b">
        <v>0</v>
      </c>
      <c r="O418" s="5"/>
      <c r="P418" s="22"/>
      <c r="Q418" s="8"/>
      <c r="R418" s="8"/>
      <c r="S418" s="8"/>
      <c r="T418" s="8"/>
      <c r="U418" s="8"/>
      <c r="V418" s="8"/>
      <c r="W418" s="8"/>
      <c r="X418" s="8"/>
      <c r="Y418" s="8"/>
      <c r="Z418" s="8"/>
      <c r="AA418" s="8"/>
      <c r="AB418" s="8"/>
      <c r="AC418" s="8"/>
      <c r="AD418" s="24"/>
      <c r="AE418" s="24" t="str">
        <f t="shared" si="4"/>
        <v/>
      </c>
      <c r="AF418" s="22">
        <f t="shared" si="8"/>
        <v>1</v>
      </c>
      <c r="AG418" s="22">
        <f t="shared" ca="1" si="5"/>
        <v>1</v>
      </c>
      <c r="AH418" s="8"/>
      <c r="AI418" s="8"/>
    </row>
    <row r="419" spans="1:35" ht="15.75" customHeight="1" x14ac:dyDescent="0.25">
      <c r="A419" s="8"/>
      <c r="B419" s="8"/>
      <c r="C419" s="8"/>
      <c r="D419" s="8"/>
      <c r="E419" s="5" t="s">
        <v>549</v>
      </c>
      <c r="F419" s="16">
        <v>84000</v>
      </c>
      <c r="G419" s="16">
        <v>53991</v>
      </c>
      <c r="H419" s="5" t="s">
        <v>26</v>
      </c>
      <c r="I419" s="5" t="s">
        <v>21</v>
      </c>
      <c r="J419" s="5">
        <v>636021773</v>
      </c>
      <c r="K419" s="5">
        <v>9719410</v>
      </c>
      <c r="L419" s="5"/>
      <c r="M419" s="33"/>
      <c r="N419" s="18" t="b">
        <v>0</v>
      </c>
      <c r="O419" s="5"/>
      <c r="P419" s="22"/>
      <c r="Q419" s="8"/>
      <c r="R419" s="8"/>
      <c r="S419" s="8"/>
      <c r="T419" s="8"/>
      <c r="U419" s="8"/>
      <c r="V419" s="8"/>
      <c r="W419" s="8"/>
      <c r="X419" s="8"/>
      <c r="Y419" s="8"/>
      <c r="Z419" s="8"/>
      <c r="AA419" s="8"/>
      <c r="AB419" s="8"/>
      <c r="AC419" s="8"/>
      <c r="AD419" s="24"/>
      <c r="AE419" s="24" t="str">
        <f t="shared" si="4"/>
        <v/>
      </c>
      <c r="AF419" s="22">
        <f t="shared" si="8"/>
        <v>1</v>
      </c>
      <c r="AG419" s="22">
        <f t="shared" ca="1" si="5"/>
        <v>1</v>
      </c>
      <c r="AH419" s="8"/>
      <c r="AI419" s="8"/>
    </row>
    <row r="420" spans="1:35" ht="15.75" customHeight="1" x14ac:dyDescent="0.25">
      <c r="A420" s="8"/>
      <c r="B420" s="8"/>
      <c r="C420" s="8"/>
      <c r="D420" s="8"/>
      <c r="E420" s="5" t="s">
        <v>550</v>
      </c>
      <c r="F420" s="16">
        <v>82200</v>
      </c>
      <c r="G420" s="16">
        <v>53556</v>
      </c>
      <c r="H420" s="5" t="s">
        <v>26</v>
      </c>
      <c r="I420" s="5" t="s">
        <v>21</v>
      </c>
      <c r="J420" s="5">
        <v>525119194</v>
      </c>
      <c r="K420" s="5">
        <v>9232515</v>
      </c>
      <c r="L420" s="5"/>
      <c r="M420" s="33"/>
      <c r="N420" s="18" t="b">
        <v>0</v>
      </c>
      <c r="O420" s="5"/>
      <c r="P420" s="22"/>
      <c r="Q420" s="8"/>
      <c r="R420" s="8"/>
      <c r="S420" s="8"/>
      <c r="T420" s="8"/>
      <c r="U420" s="8"/>
      <c r="V420" s="8"/>
      <c r="W420" s="8"/>
      <c r="X420" s="8"/>
      <c r="Y420" s="8"/>
      <c r="Z420" s="8"/>
      <c r="AA420" s="8"/>
      <c r="AB420" s="8"/>
      <c r="AC420" s="8"/>
      <c r="AD420" s="24"/>
      <c r="AE420" s="24" t="str">
        <f t="shared" si="4"/>
        <v/>
      </c>
      <c r="AF420" s="22">
        <f t="shared" si="8"/>
        <v>1</v>
      </c>
      <c r="AG420" s="22">
        <f t="shared" ca="1" si="5"/>
        <v>1</v>
      </c>
      <c r="AH420" s="8"/>
      <c r="AI420" s="8"/>
    </row>
    <row r="421" spans="1:35" ht="15.75" customHeight="1" x14ac:dyDescent="0.25">
      <c r="A421" s="8"/>
      <c r="B421" s="8"/>
      <c r="C421" s="8"/>
      <c r="D421" s="8"/>
      <c r="E421" s="5" t="s">
        <v>551</v>
      </c>
      <c r="F421" s="16">
        <v>78539</v>
      </c>
      <c r="G421" s="16">
        <v>56885</v>
      </c>
      <c r="H421" s="5" t="s">
        <v>26</v>
      </c>
      <c r="I421" s="5" t="s">
        <v>21</v>
      </c>
      <c r="J421" s="5">
        <v>650000169</v>
      </c>
      <c r="K421" s="5">
        <v>9002491</v>
      </c>
      <c r="L421" s="5" t="s">
        <v>101</v>
      </c>
      <c r="M421" s="33">
        <v>46134.5</v>
      </c>
      <c r="N421" s="18" t="b">
        <v>0</v>
      </c>
      <c r="O421" s="5"/>
      <c r="P421" s="22"/>
      <c r="Q421" s="8"/>
      <c r="R421" s="8"/>
      <c r="S421" s="8"/>
      <c r="T421" s="8"/>
      <c r="U421" s="8"/>
      <c r="V421" s="8"/>
      <c r="W421" s="8"/>
      <c r="X421" s="8"/>
      <c r="Y421" s="8"/>
      <c r="Z421" s="8"/>
      <c r="AA421" s="8"/>
      <c r="AB421" s="8"/>
      <c r="AC421" s="8"/>
      <c r="AD421" s="24"/>
      <c r="AE421" s="24" t="str">
        <f t="shared" si="4"/>
        <v/>
      </c>
      <c r="AF421" s="22">
        <f t="shared" si="8"/>
        <v>1</v>
      </c>
      <c r="AG421" s="22" t="str">
        <f t="shared" ca="1" si="5"/>
        <v/>
      </c>
      <c r="AH421" s="8"/>
      <c r="AI421" s="8"/>
    </row>
    <row r="422" spans="1:35" ht="15.75" customHeight="1" x14ac:dyDescent="0.25">
      <c r="A422" s="8"/>
      <c r="B422" s="8"/>
      <c r="C422" s="8"/>
      <c r="D422" s="8"/>
      <c r="E422" s="5" t="s">
        <v>552</v>
      </c>
      <c r="F422" s="16">
        <v>82200</v>
      </c>
      <c r="G422" s="16">
        <v>54140</v>
      </c>
      <c r="H422" s="5" t="s">
        <v>26</v>
      </c>
      <c r="I422" s="5" t="s">
        <v>21</v>
      </c>
      <c r="J422" s="5">
        <v>563019900</v>
      </c>
      <c r="K422" s="5">
        <v>9765457</v>
      </c>
      <c r="L422" s="5"/>
      <c r="M422" s="33"/>
      <c r="N422" s="18" t="b">
        <v>0</v>
      </c>
      <c r="O422" s="5"/>
      <c r="P422" s="22"/>
      <c r="Q422" s="8"/>
      <c r="R422" s="8"/>
      <c r="S422" s="8"/>
      <c r="T422" s="8"/>
      <c r="U422" s="8"/>
      <c r="V422" s="8"/>
      <c r="W422" s="8"/>
      <c r="X422" s="8"/>
      <c r="Y422" s="8"/>
      <c r="Z422" s="8"/>
      <c r="AA422" s="8"/>
      <c r="AB422" s="8"/>
      <c r="AC422" s="8"/>
      <c r="AD422" s="24"/>
      <c r="AE422" s="24" t="str">
        <f t="shared" si="4"/>
        <v/>
      </c>
      <c r="AF422" s="22">
        <f t="shared" si="8"/>
        <v>1</v>
      </c>
      <c r="AG422" s="22">
        <f t="shared" ca="1" si="5"/>
        <v>1</v>
      </c>
      <c r="AH422" s="8"/>
      <c r="AI422" s="8"/>
    </row>
    <row r="423" spans="1:35" ht="15.75" customHeight="1" x14ac:dyDescent="0.25">
      <c r="A423" s="8"/>
      <c r="B423" s="8"/>
      <c r="C423" s="8"/>
      <c r="D423" s="8"/>
      <c r="E423" s="5" t="s">
        <v>553</v>
      </c>
      <c r="F423" s="16">
        <v>82200</v>
      </c>
      <c r="G423" s="16">
        <v>53928</v>
      </c>
      <c r="H423" s="5" t="s">
        <v>26</v>
      </c>
      <c r="I423" s="5" t="s">
        <v>21</v>
      </c>
      <c r="J423" s="5">
        <v>563080100</v>
      </c>
      <c r="K423" s="5">
        <v>9792747</v>
      </c>
      <c r="L423" s="5" t="s">
        <v>38</v>
      </c>
      <c r="M423" s="33">
        <v>46148.208333333336</v>
      </c>
      <c r="N423" s="18" t="b">
        <v>0</v>
      </c>
      <c r="O423" s="5"/>
      <c r="P423" s="22"/>
      <c r="Q423" s="8"/>
      <c r="R423" s="8"/>
      <c r="S423" s="8"/>
      <c r="T423" s="8"/>
      <c r="U423" s="8"/>
      <c r="V423" s="8"/>
      <c r="W423" s="8"/>
      <c r="X423" s="8"/>
      <c r="Y423" s="8"/>
      <c r="Z423" s="8"/>
      <c r="AA423" s="8"/>
      <c r="AB423" s="8"/>
      <c r="AC423" s="8"/>
      <c r="AD423" s="24"/>
      <c r="AE423" s="24" t="str">
        <f t="shared" si="4"/>
        <v/>
      </c>
      <c r="AF423" s="22">
        <f t="shared" si="8"/>
        <v>1</v>
      </c>
      <c r="AG423" s="22">
        <f t="shared" ca="1" si="5"/>
        <v>1</v>
      </c>
      <c r="AH423" s="8"/>
      <c r="AI423" s="8"/>
    </row>
    <row r="424" spans="1:35" ht="15.75" customHeight="1" x14ac:dyDescent="0.25">
      <c r="A424" s="8"/>
      <c r="B424" s="8"/>
      <c r="C424" s="8"/>
      <c r="D424" s="8"/>
      <c r="E424" s="5" t="s">
        <v>554</v>
      </c>
      <c r="F424" s="16">
        <v>78921</v>
      </c>
      <c r="G424" s="16">
        <v>49999</v>
      </c>
      <c r="H424" s="5" t="s">
        <v>26</v>
      </c>
      <c r="I424" s="5" t="s">
        <v>21</v>
      </c>
      <c r="J424" s="5">
        <v>352003912</v>
      </c>
      <c r="K424" s="5">
        <v>9225342</v>
      </c>
      <c r="L424" s="5" t="s">
        <v>67</v>
      </c>
      <c r="M424" s="17">
        <v>46133.25</v>
      </c>
      <c r="N424" s="18" t="b">
        <v>0</v>
      </c>
      <c r="O424" s="5"/>
      <c r="P424" s="22"/>
      <c r="Q424" s="8"/>
      <c r="R424" s="8"/>
      <c r="S424" s="8"/>
      <c r="T424" s="8"/>
      <c r="U424" s="8"/>
      <c r="V424" s="8"/>
      <c r="W424" s="8"/>
      <c r="X424" s="8"/>
      <c r="Y424" s="8"/>
      <c r="Z424" s="8"/>
      <c r="AA424" s="8"/>
      <c r="AB424" s="8"/>
      <c r="AC424" s="8"/>
      <c r="AD424" s="24"/>
      <c r="AE424" s="24" t="str">
        <f t="shared" si="4"/>
        <v/>
      </c>
      <c r="AF424" s="22">
        <f t="shared" si="8"/>
        <v>1</v>
      </c>
      <c r="AG424" s="22" t="str">
        <f t="shared" ca="1" si="5"/>
        <v/>
      </c>
      <c r="AH424" s="8"/>
      <c r="AI424" s="8"/>
    </row>
    <row r="425" spans="1:35" ht="15.75" customHeight="1" x14ac:dyDescent="0.25">
      <c r="A425" s="8"/>
      <c r="B425" s="8"/>
      <c r="C425" s="8"/>
      <c r="D425" s="8"/>
      <c r="E425" s="5" t="s">
        <v>555</v>
      </c>
      <c r="F425" s="16">
        <v>86000</v>
      </c>
      <c r="G425" s="16">
        <v>55145</v>
      </c>
      <c r="H425" s="5" t="s">
        <v>26</v>
      </c>
      <c r="I425" s="5" t="s">
        <v>21</v>
      </c>
      <c r="J425" s="5">
        <v>636021497</v>
      </c>
      <c r="K425" s="5">
        <v>9916836</v>
      </c>
      <c r="L425" s="5" t="s">
        <v>163</v>
      </c>
      <c r="M425" s="17">
        <v>46132.75</v>
      </c>
      <c r="N425" s="18" t="b">
        <v>0</v>
      </c>
      <c r="O425" s="5"/>
      <c r="P425" s="22"/>
      <c r="Q425" s="8"/>
      <c r="R425" s="8"/>
      <c r="S425" s="8"/>
      <c r="T425" s="8"/>
      <c r="U425" s="8"/>
      <c r="V425" s="8"/>
      <c r="W425" s="8"/>
      <c r="X425" s="8"/>
      <c r="Y425" s="8"/>
      <c r="Z425" s="8"/>
      <c r="AA425" s="8"/>
      <c r="AB425" s="8"/>
      <c r="AC425" s="8"/>
      <c r="AD425" s="24"/>
      <c r="AE425" s="24">
        <f t="shared" ref="AE425:AE500" si="9">IF(E425="","", IF(F425&gt;93000,1,0))</f>
        <v>0</v>
      </c>
      <c r="AF425" s="22" t="s">
        <v>556</v>
      </c>
      <c r="AG425" s="8"/>
      <c r="AH425" s="8"/>
      <c r="AI425" s="8"/>
    </row>
    <row r="426" spans="1:35" ht="15.75" customHeight="1" x14ac:dyDescent="0.25">
      <c r="A426" s="8"/>
      <c r="B426" s="8"/>
      <c r="C426" s="8"/>
      <c r="D426" s="8"/>
      <c r="E426" s="5" t="s">
        <v>557</v>
      </c>
      <c r="F426" s="16">
        <v>79538</v>
      </c>
      <c r="G426" s="16">
        <v>49995</v>
      </c>
      <c r="H426" s="5" t="s">
        <v>20</v>
      </c>
      <c r="I426" s="5" t="s">
        <v>21</v>
      </c>
      <c r="J426" s="5">
        <v>632001122</v>
      </c>
      <c r="K426" s="5">
        <v>9223540</v>
      </c>
      <c r="L426" s="5" t="s">
        <v>558</v>
      </c>
      <c r="M426" s="17">
        <v>46150.541666666664</v>
      </c>
      <c r="N426" s="18" t="b">
        <v>1</v>
      </c>
      <c r="O426" s="5"/>
      <c r="P426" s="22"/>
      <c r="Q426" s="8"/>
      <c r="R426" s="8"/>
      <c r="S426" s="8"/>
      <c r="T426" s="8"/>
      <c r="U426" s="8"/>
      <c r="V426" s="8"/>
      <c r="W426" s="8"/>
      <c r="X426" s="8"/>
      <c r="Y426" s="8"/>
      <c r="Z426" s="8"/>
      <c r="AA426" s="8"/>
      <c r="AB426" s="8"/>
      <c r="AC426" s="8"/>
      <c r="AD426" s="24"/>
      <c r="AE426" s="24">
        <f t="shared" si="9"/>
        <v>0</v>
      </c>
      <c r="AF426" s="22" t="s">
        <v>556</v>
      </c>
      <c r="AG426" s="8"/>
      <c r="AH426" s="8"/>
      <c r="AI426" s="8"/>
    </row>
    <row r="427" spans="1:35" ht="15.75" customHeight="1" x14ac:dyDescent="0.25">
      <c r="A427" s="8"/>
      <c r="B427" s="8"/>
      <c r="C427" s="8"/>
      <c r="D427" s="8"/>
      <c r="E427" s="5" t="s">
        <v>559</v>
      </c>
      <c r="F427" s="16">
        <v>84000</v>
      </c>
      <c r="G427" s="16">
        <v>53914</v>
      </c>
      <c r="H427" s="5" t="s">
        <v>26</v>
      </c>
      <c r="I427" s="5" t="s">
        <v>21</v>
      </c>
      <c r="J427" s="5">
        <v>352980766</v>
      </c>
      <c r="K427" s="5">
        <v>9903140</v>
      </c>
      <c r="L427" s="5" t="s">
        <v>38</v>
      </c>
      <c r="M427" s="17">
        <v>46136.5</v>
      </c>
      <c r="N427" s="18" t="b">
        <v>0</v>
      </c>
      <c r="O427" s="5"/>
      <c r="P427" s="22"/>
      <c r="Q427" s="8"/>
      <c r="R427" s="8"/>
      <c r="S427" s="8"/>
      <c r="T427" s="8"/>
      <c r="U427" s="8"/>
      <c r="V427" s="8"/>
      <c r="W427" s="8"/>
      <c r="X427" s="8"/>
      <c r="Y427" s="8"/>
      <c r="Z427" s="8"/>
      <c r="AA427" s="8"/>
      <c r="AB427" s="8"/>
      <c r="AC427" s="8"/>
      <c r="AD427" s="24"/>
      <c r="AE427" s="24">
        <f t="shared" si="9"/>
        <v>0</v>
      </c>
      <c r="AF427" s="22" t="s">
        <v>556</v>
      </c>
      <c r="AG427" s="8"/>
      <c r="AH427" s="8"/>
      <c r="AI427" s="8"/>
    </row>
    <row r="428" spans="1:35" ht="15.75" customHeight="1" x14ac:dyDescent="0.25">
      <c r="A428" s="8"/>
      <c r="B428" s="8"/>
      <c r="C428" s="8"/>
      <c r="D428" s="8"/>
      <c r="E428" s="5" t="s">
        <v>560</v>
      </c>
      <c r="F428" s="16">
        <v>84000</v>
      </c>
      <c r="G428" s="16">
        <v>54000</v>
      </c>
      <c r="H428" s="5" t="s">
        <v>26</v>
      </c>
      <c r="I428" s="5" t="s">
        <v>21</v>
      </c>
      <c r="J428" s="5">
        <v>563100600</v>
      </c>
      <c r="K428" s="5">
        <v>9839739</v>
      </c>
      <c r="L428" s="5" t="s">
        <v>43</v>
      </c>
      <c r="M428" s="33">
        <v>46160.25</v>
      </c>
      <c r="N428" s="18" t="b">
        <v>0</v>
      </c>
      <c r="O428" s="5"/>
      <c r="P428" s="22"/>
      <c r="Q428" s="8"/>
      <c r="R428" s="8"/>
      <c r="S428" s="8"/>
      <c r="T428" s="8"/>
      <c r="U428" s="8"/>
      <c r="V428" s="8"/>
      <c r="W428" s="8"/>
      <c r="X428" s="8"/>
      <c r="Y428" s="8"/>
      <c r="Z428" s="8"/>
      <c r="AA428" s="8"/>
      <c r="AB428" s="8"/>
      <c r="AC428" s="8"/>
      <c r="AD428" s="24"/>
      <c r="AE428" s="24">
        <f t="shared" si="9"/>
        <v>0</v>
      </c>
      <c r="AF428" s="22" t="s">
        <v>556</v>
      </c>
      <c r="AG428" s="8"/>
      <c r="AH428" s="8"/>
      <c r="AI428" s="8"/>
    </row>
    <row r="429" spans="1:35" ht="15.75" customHeight="1" x14ac:dyDescent="0.25">
      <c r="A429" s="8"/>
      <c r="B429" s="8"/>
      <c r="C429" s="8"/>
      <c r="D429" s="8"/>
      <c r="E429" s="5" t="s">
        <v>561</v>
      </c>
      <c r="F429" s="16">
        <v>84000</v>
      </c>
      <c r="G429" s="16">
        <v>54000</v>
      </c>
      <c r="H429" s="5" t="s">
        <v>20</v>
      </c>
      <c r="I429" s="5" t="s">
        <v>21</v>
      </c>
      <c r="J429" s="5">
        <v>563097600</v>
      </c>
      <c r="K429" s="5">
        <v>9832793</v>
      </c>
      <c r="L429" s="5" t="s">
        <v>157</v>
      </c>
      <c r="M429" s="33">
        <v>46141.75</v>
      </c>
      <c r="N429" s="18" t="b">
        <v>1</v>
      </c>
      <c r="O429" s="5"/>
      <c r="P429" s="22"/>
      <c r="Q429" s="8"/>
      <c r="R429" s="8"/>
      <c r="S429" s="8"/>
      <c r="T429" s="8"/>
      <c r="U429" s="8"/>
      <c r="V429" s="8"/>
      <c r="W429" s="8"/>
      <c r="X429" s="8"/>
      <c r="Y429" s="8"/>
      <c r="Z429" s="8"/>
      <c r="AA429" s="8"/>
      <c r="AB429" s="8"/>
      <c r="AC429" s="8"/>
      <c r="AD429" s="24"/>
      <c r="AE429" s="24">
        <f t="shared" si="9"/>
        <v>0</v>
      </c>
      <c r="AF429" s="22" t="s">
        <v>556</v>
      </c>
      <c r="AG429" s="8"/>
      <c r="AH429" s="8"/>
      <c r="AI429" s="8"/>
    </row>
    <row r="430" spans="1:35" ht="15.75" customHeight="1" x14ac:dyDescent="0.25">
      <c r="A430" s="8"/>
      <c r="B430" s="8"/>
      <c r="C430" s="8"/>
      <c r="D430" s="8"/>
      <c r="E430" s="5" t="s">
        <v>562</v>
      </c>
      <c r="F430" s="16">
        <v>84000</v>
      </c>
      <c r="G430" s="16">
        <v>54000</v>
      </c>
      <c r="H430" s="5" t="s">
        <v>20</v>
      </c>
      <c r="I430" s="5" t="s">
        <v>21</v>
      </c>
      <c r="J430" s="5">
        <v>563091800</v>
      </c>
      <c r="K430" s="5">
        <v>9832808</v>
      </c>
      <c r="L430" s="5" t="s">
        <v>130</v>
      </c>
      <c r="M430" s="17">
        <v>46133.1875</v>
      </c>
      <c r="N430" s="18" t="b">
        <v>1</v>
      </c>
      <c r="O430" s="5"/>
      <c r="P430" s="22"/>
      <c r="Q430" s="8"/>
      <c r="R430" s="8"/>
      <c r="S430" s="8"/>
      <c r="T430" s="8"/>
      <c r="U430" s="8"/>
      <c r="V430" s="8"/>
      <c r="W430" s="8"/>
      <c r="X430" s="8"/>
      <c r="Y430" s="8"/>
      <c r="Z430" s="8"/>
      <c r="AA430" s="8"/>
      <c r="AB430" s="8"/>
      <c r="AC430" s="8"/>
      <c r="AD430" s="24"/>
      <c r="AE430" s="24">
        <f t="shared" si="9"/>
        <v>0</v>
      </c>
      <c r="AF430" s="22" t="s">
        <v>556</v>
      </c>
      <c r="AG430" s="8"/>
      <c r="AH430" s="8"/>
      <c r="AI430" s="8"/>
    </row>
    <row r="431" spans="1:35" ht="15.75" customHeight="1" x14ac:dyDescent="0.25">
      <c r="A431" s="8"/>
      <c r="B431" s="8"/>
      <c r="C431" s="8"/>
      <c r="D431" s="8"/>
      <c r="E431" s="5" t="s">
        <v>563</v>
      </c>
      <c r="F431" s="16">
        <v>84358</v>
      </c>
      <c r="G431" s="16">
        <v>54592</v>
      </c>
      <c r="H431" s="5" t="s">
        <v>20</v>
      </c>
      <c r="I431" s="5" t="s">
        <v>21</v>
      </c>
      <c r="J431" s="5">
        <v>636011212</v>
      </c>
      <c r="K431" s="5">
        <v>9176357</v>
      </c>
      <c r="L431" s="5" t="s">
        <v>157</v>
      </c>
      <c r="M431" s="33">
        <v>46156.5</v>
      </c>
      <c r="N431" s="18" t="b">
        <v>1</v>
      </c>
      <c r="O431" s="5"/>
      <c r="P431" s="22"/>
      <c r="Q431" s="8"/>
      <c r="R431" s="8"/>
      <c r="S431" s="8"/>
      <c r="T431" s="8"/>
      <c r="U431" s="8"/>
      <c r="V431" s="8"/>
      <c r="W431" s="8"/>
      <c r="X431" s="8"/>
      <c r="Y431" s="8"/>
      <c r="Z431" s="8"/>
      <c r="AA431" s="8"/>
      <c r="AB431" s="8"/>
      <c r="AC431" s="8"/>
      <c r="AD431" s="24"/>
      <c r="AE431" s="24">
        <f t="shared" si="9"/>
        <v>0</v>
      </c>
      <c r="AF431" s="22" t="s">
        <v>556</v>
      </c>
      <c r="AG431" s="8"/>
      <c r="AH431" s="8"/>
      <c r="AI431" s="8"/>
    </row>
    <row r="432" spans="1:35" ht="15.75" customHeight="1" x14ac:dyDescent="0.25">
      <c r="A432" s="8"/>
      <c r="B432" s="8"/>
      <c r="C432" s="8"/>
      <c r="D432" s="8"/>
      <c r="E432" s="5" t="s">
        <v>564</v>
      </c>
      <c r="F432" s="16">
        <v>78593</v>
      </c>
      <c r="G432" s="16">
        <v>53100</v>
      </c>
      <c r="H432" s="5" t="s">
        <v>26</v>
      </c>
      <c r="I432" s="5" t="s">
        <v>21</v>
      </c>
      <c r="J432" s="5">
        <v>419001727</v>
      </c>
      <c r="K432" s="5">
        <v>9377793</v>
      </c>
      <c r="L432" s="5" t="s">
        <v>565</v>
      </c>
      <c r="M432" s="17">
        <v>46133.625</v>
      </c>
      <c r="N432" s="18" t="b">
        <v>0</v>
      </c>
      <c r="O432" s="5"/>
      <c r="P432" s="22"/>
      <c r="Q432" s="8"/>
      <c r="R432" s="8"/>
      <c r="S432" s="8"/>
      <c r="T432" s="8"/>
      <c r="U432" s="8"/>
      <c r="V432" s="8"/>
      <c r="W432" s="8"/>
      <c r="X432" s="8"/>
      <c r="Y432" s="8"/>
      <c r="Z432" s="8"/>
      <c r="AA432" s="8"/>
      <c r="AB432" s="8"/>
      <c r="AC432" s="8"/>
      <c r="AD432" s="24"/>
      <c r="AE432" s="24">
        <f t="shared" si="9"/>
        <v>0</v>
      </c>
      <c r="AF432" s="22" t="s">
        <v>556</v>
      </c>
      <c r="AG432" s="8"/>
      <c r="AH432" s="8"/>
      <c r="AI432" s="8"/>
    </row>
    <row r="433" spans="1:35" ht="15.75" customHeight="1" x14ac:dyDescent="0.25">
      <c r="A433" s="8"/>
      <c r="B433" s="8"/>
      <c r="C433" s="8"/>
      <c r="D433" s="8"/>
      <c r="E433" s="5" t="s">
        <v>566</v>
      </c>
      <c r="F433" s="16">
        <v>84000</v>
      </c>
      <c r="G433" s="16">
        <v>54000</v>
      </c>
      <c r="H433" s="5" t="s">
        <v>26</v>
      </c>
      <c r="I433" s="5" t="s">
        <v>21</v>
      </c>
      <c r="J433" s="5">
        <v>563097700</v>
      </c>
      <c r="K433" s="5">
        <v>9839727</v>
      </c>
      <c r="L433" s="5" t="s">
        <v>107</v>
      </c>
      <c r="M433" s="17">
        <v>46148.708333333336</v>
      </c>
      <c r="N433" s="18" t="b">
        <v>0</v>
      </c>
      <c r="O433" s="5"/>
      <c r="P433" s="22"/>
      <c r="Q433" s="8"/>
      <c r="R433" s="8"/>
      <c r="S433" s="8"/>
      <c r="T433" s="8"/>
      <c r="U433" s="8"/>
      <c r="V433" s="8"/>
      <c r="W433" s="8"/>
      <c r="X433" s="8"/>
      <c r="Y433" s="8"/>
      <c r="Z433" s="8"/>
      <c r="AA433" s="8"/>
      <c r="AB433" s="8"/>
      <c r="AC433" s="8"/>
      <c r="AD433" s="24"/>
      <c r="AE433" s="24">
        <f t="shared" si="9"/>
        <v>0</v>
      </c>
      <c r="AF433" s="22" t="s">
        <v>556</v>
      </c>
      <c r="AG433" s="8"/>
      <c r="AH433" s="8"/>
      <c r="AI433" s="8"/>
    </row>
    <row r="434" spans="1:35" ht="15.75" customHeight="1" x14ac:dyDescent="0.25">
      <c r="A434" s="8"/>
      <c r="B434" s="8"/>
      <c r="C434" s="8"/>
      <c r="D434" s="8"/>
      <c r="E434" s="5" t="s">
        <v>567</v>
      </c>
      <c r="F434" s="16">
        <v>78551</v>
      </c>
      <c r="G434" s="16">
        <v>56745</v>
      </c>
      <c r="H434" s="5" t="s">
        <v>26</v>
      </c>
      <c r="I434" s="5" t="s">
        <v>21</v>
      </c>
      <c r="J434" s="5">
        <v>477212200</v>
      </c>
      <c r="K434" s="5">
        <v>9193733</v>
      </c>
      <c r="L434" s="5"/>
      <c r="M434" s="17"/>
      <c r="N434" s="18" t="b">
        <v>0</v>
      </c>
      <c r="O434" s="5"/>
      <c r="P434" s="22"/>
      <c r="Q434" s="8"/>
      <c r="R434" s="8"/>
      <c r="S434" s="8"/>
      <c r="T434" s="8"/>
      <c r="U434" s="8"/>
      <c r="V434" s="8"/>
      <c r="W434" s="8"/>
      <c r="X434" s="8"/>
      <c r="Y434" s="8"/>
      <c r="Z434" s="8"/>
      <c r="AA434" s="8"/>
      <c r="AB434" s="8"/>
      <c r="AC434" s="8"/>
      <c r="AD434" s="24"/>
      <c r="AE434" s="24">
        <f t="shared" si="9"/>
        <v>0</v>
      </c>
      <c r="AF434" s="22" t="s">
        <v>556</v>
      </c>
      <c r="AG434" s="8"/>
      <c r="AH434" s="8"/>
      <c r="AI434" s="8"/>
    </row>
    <row r="435" spans="1:35" ht="15.75" customHeight="1" x14ac:dyDescent="0.25">
      <c r="A435" s="8"/>
      <c r="B435" s="8"/>
      <c r="C435" s="8"/>
      <c r="D435" s="8"/>
      <c r="E435" s="5" t="s">
        <v>568</v>
      </c>
      <c r="F435" s="16">
        <v>88000</v>
      </c>
      <c r="G435" s="16">
        <v>60000</v>
      </c>
      <c r="H435" s="5" t="s">
        <v>20</v>
      </c>
      <c r="I435" s="5" t="s">
        <v>21</v>
      </c>
      <c r="J435" s="5">
        <v>636023948</v>
      </c>
      <c r="K435" s="5">
        <v>9987081</v>
      </c>
      <c r="L435" s="5" t="s">
        <v>107</v>
      </c>
      <c r="M435" s="33">
        <v>46133.875</v>
      </c>
      <c r="N435" s="18" t="b">
        <v>1</v>
      </c>
      <c r="O435" s="5"/>
      <c r="P435" s="22"/>
      <c r="Q435" s="8"/>
      <c r="R435" s="8"/>
      <c r="S435" s="8"/>
      <c r="T435" s="8"/>
      <c r="U435" s="8"/>
      <c r="V435" s="8"/>
      <c r="W435" s="8"/>
      <c r="X435" s="8"/>
      <c r="Y435" s="8"/>
      <c r="Z435" s="8"/>
      <c r="AA435" s="8"/>
      <c r="AB435" s="8"/>
      <c r="AC435" s="8"/>
      <c r="AD435" s="24"/>
      <c r="AE435" s="24">
        <f t="shared" si="9"/>
        <v>0</v>
      </c>
      <c r="AF435" s="22" t="s">
        <v>556</v>
      </c>
      <c r="AG435" s="8"/>
      <c r="AH435" s="8"/>
      <c r="AI435" s="8"/>
    </row>
    <row r="436" spans="1:35" ht="15.75" customHeight="1" x14ac:dyDescent="0.25">
      <c r="A436" s="8"/>
      <c r="B436" s="8"/>
      <c r="C436" s="8"/>
      <c r="D436" s="8"/>
      <c r="E436" s="5" t="s">
        <v>569</v>
      </c>
      <c r="F436" s="16">
        <v>80803</v>
      </c>
      <c r="G436" s="16">
        <v>53999</v>
      </c>
      <c r="H436" s="5" t="s">
        <v>26</v>
      </c>
      <c r="I436" s="5" t="s">
        <v>21</v>
      </c>
      <c r="J436" s="5">
        <v>419002053</v>
      </c>
      <c r="K436" s="5">
        <v>9359478</v>
      </c>
      <c r="L436" s="5" t="s">
        <v>570</v>
      </c>
      <c r="M436" s="33">
        <v>46133.612500000003</v>
      </c>
      <c r="N436" s="18" t="b">
        <v>0</v>
      </c>
      <c r="O436" s="5"/>
      <c r="P436" s="22"/>
      <c r="Q436" s="8"/>
      <c r="R436" s="8"/>
      <c r="S436" s="8"/>
      <c r="T436" s="8"/>
      <c r="U436" s="8"/>
      <c r="V436" s="8"/>
      <c r="W436" s="8"/>
      <c r="X436" s="8"/>
      <c r="Y436" s="8"/>
      <c r="Z436" s="8"/>
      <c r="AA436" s="8"/>
      <c r="AB436" s="8"/>
      <c r="AC436" s="8"/>
      <c r="AD436" s="24"/>
      <c r="AE436" s="24">
        <f t="shared" si="9"/>
        <v>0</v>
      </c>
      <c r="AF436" s="22" t="s">
        <v>556</v>
      </c>
      <c r="AG436" s="8"/>
      <c r="AH436" s="8"/>
      <c r="AI436" s="8"/>
    </row>
    <row r="437" spans="1:35" ht="15.75" customHeight="1" x14ac:dyDescent="0.25">
      <c r="A437" s="8"/>
      <c r="B437" s="8"/>
      <c r="C437" s="8"/>
      <c r="D437" s="8"/>
      <c r="E437" s="5" t="s">
        <v>571</v>
      </c>
      <c r="F437" s="16">
        <v>83385</v>
      </c>
      <c r="G437" s="16">
        <v>55214</v>
      </c>
      <c r="H437" s="5" t="s">
        <v>26</v>
      </c>
      <c r="I437" s="5" t="s">
        <v>21</v>
      </c>
      <c r="J437" s="5">
        <v>354957000</v>
      </c>
      <c r="K437" s="5">
        <v>9629873</v>
      </c>
      <c r="L437" s="5" t="s">
        <v>107</v>
      </c>
      <c r="M437" s="33">
        <v>46141.916666666664</v>
      </c>
      <c r="N437" s="18" t="b">
        <v>0</v>
      </c>
      <c r="O437" s="5"/>
      <c r="P437" s="22"/>
      <c r="Q437" s="8"/>
      <c r="R437" s="8"/>
      <c r="S437" s="8"/>
      <c r="T437" s="8"/>
      <c r="U437" s="8"/>
      <c r="V437" s="8"/>
      <c r="W437" s="8"/>
      <c r="X437" s="8"/>
      <c r="Y437" s="8"/>
      <c r="Z437" s="8"/>
      <c r="AA437" s="8"/>
      <c r="AB437" s="8"/>
      <c r="AC437" s="8"/>
      <c r="AD437" s="24"/>
      <c r="AE437" s="24">
        <f t="shared" si="9"/>
        <v>0</v>
      </c>
      <c r="AF437" s="22" t="s">
        <v>556</v>
      </c>
      <c r="AG437" s="8"/>
      <c r="AH437" s="8"/>
      <c r="AI437" s="8"/>
    </row>
    <row r="438" spans="1:35" ht="15.75" customHeight="1" x14ac:dyDescent="0.25">
      <c r="A438" s="8"/>
      <c r="B438" s="8"/>
      <c r="C438" s="8"/>
      <c r="D438" s="8"/>
      <c r="E438" s="5" t="s">
        <v>572</v>
      </c>
      <c r="F438" s="16">
        <v>73869</v>
      </c>
      <c r="G438" s="16">
        <v>49301</v>
      </c>
      <c r="H438" s="5" t="s">
        <v>20</v>
      </c>
      <c r="I438" s="5" t="s">
        <v>21</v>
      </c>
      <c r="J438" s="5">
        <v>647553028</v>
      </c>
      <c r="K438" s="5">
        <v>8912546</v>
      </c>
      <c r="L438" s="5" t="s">
        <v>573</v>
      </c>
      <c r="M438" s="33">
        <v>46138</v>
      </c>
      <c r="N438" s="18" t="b">
        <v>1</v>
      </c>
      <c r="O438" s="5"/>
      <c r="P438" s="22"/>
      <c r="Q438" s="8"/>
      <c r="R438" s="8"/>
      <c r="S438" s="8"/>
      <c r="T438" s="8"/>
      <c r="U438" s="8"/>
      <c r="V438" s="8"/>
      <c r="W438" s="8"/>
      <c r="X438" s="8"/>
      <c r="Y438" s="8"/>
      <c r="Z438" s="8"/>
      <c r="AA438" s="8"/>
      <c r="AB438" s="8"/>
      <c r="AC438" s="8"/>
      <c r="AD438" s="24"/>
      <c r="AE438" s="24">
        <f t="shared" si="9"/>
        <v>0</v>
      </c>
      <c r="AF438" s="22" t="s">
        <v>556</v>
      </c>
      <c r="AG438" s="8"/>
      <c r="AH438" s="8"/>
      <c r="AI438" s="8"/>
    </row>
    <row r="439" spans="1:35" ht="15.75" customHeight="1" x14ac:dyDescent="0.25">
      <c r="A439" s="8"/>
      <c r="B439" s="8"/>
      <c r="C439" s="8"/>
      <c r="D439" s="8"/>
      <c r="E439" s="5" t="s">
        <v>574</v>
      </c>
      <c r="F439" s="16">
        <v>88000</v>
      </c>
      <c r="G439" s="16">
        <v>64000</v>
      </c>
      <c r="H439" s="5" t="s">
        <v>53</v>
      </c>
      <c r="I439" s="741" t="s">
        <v>54</v>
      </c>
      <c r="J439" s="742"/>
      <c r="K439" s="5">
        <v>1050557</v>
      </c>
      <c r="L439" s="5"/>
      <c r="M439" s="33"/>
      <c r="N439" s="18" t="b">
        <v>0</v>
      </c>
      <c r="O439" s="5"/>
      <c r="P439" s="22"/>
      <c r="Q439" s="8"/>
      <c r="R439" s="8"/>
      <c r="S439" s="8"/>
      <c r="T439" s="8"/>
      <c r="U439" s="8"/>
      <c r="V439" s="8"/>
      <c r="W439" s="8"/>
      <c r="X439" s="8"/>
      <c r="Y439" s="8"/>
      <c r="Z439" s="8"/>
      <c r="AA439" s="8"/>
      <c r="AB439" s="8"/>
      <c r="AC439" s="8"/>
      <c r="AD439" s="24"/>
      <c r="AE439" s="24">
        <f t="shared" si="9"/>
        <v>0</v>
      </c>
      <c r="AF439" s="22" t="s">
        <v>556</v>
      </c>
      <c r="AG439" s="8"/>
      <c r="AH439" s="8"/>
      <c r="AI439" s="8"/>
    </row>
    <row r="440" spans="1:35" ht="15.75" customHeight="1" x14ac:dyDescent="0.25">
      <c r="A440" s="8"/>
      <c r="B440" s="8"/>
      <c r="C440" s="8"/>
      <c r="D440" s="8"/>
      <c r="E440" s="5" t="s">
        <v>575</v>
      </c>
      <c r="F440" s="16">
        <v>88000</v>
      </c>
      <c r="G440" s="16">
        <v>56000</v>
      </c>
      <c r="H440" s="5" t="s">
        <v>53</v>
      </c>
      <c r="I440" s="741" t="s">
        <v>54</v>
      </c>
      <c r="J440" s="742"/>
      <c r="K440" s="5">
        <v>1050569</v>
      </c>
      <c r="L440" s="5"/>
      <c r="M440" s="17"/>
      <c r="N440" s="18" t="b">
        <v>0</v>
      </c>
      <c r="O440" s="5"/>
      <c r="P440" s="22"/>
      <c r="Q440" s="8"/>
      <c r="R440" s="8"/>
      <c r="S440" s="8"/>
      <c r="T440" s="8"/>
      <c r="U440" s="8"/>
      <c r="V440" s="8"/>
      <c r="W440" s="8"/>
      <c r="X440" s="8"/>
      <c r="Y440" s="8"/>
      <c r="Z440" s="8"/>
      <c r="AA440" s="8"/>
      <c r="AB440" s="8"/>
      <c r="AC440" s="8"/>
      <c r="AD440" s="24"/>
      <c r="AE440" s="24">
        <f t="shared" si="9"/>
        <v>0</v>
      </c>
      <c r="AF440" s="22" t="s">
        <v>556</v>
      </c>
      <c r="AG440" s="8"/>
      <c r="AH440" s="8"/>
      <c r="AI440" s="8"/>
    </row>
    <row r="441" spans="1:35" ht="15.75" customHeight="1" x14ac:dyDescent="0.25">
      <c r="A441" s="8"/>
      <c r="B441" s="8"/>
      <c r="C441" s="8"/>
      <c r="D441" s="8"/>
      <c r="E441" s="5" t="s">
        <v>576</v>
      </c>
      <c r="F441" s="16">
        <v>88000</v>
      </c>
      <c r="G441" s="16">
        <v>56000</v>
      </c>
      <c r="H441" s="5" t="s">
        <v>53</v>
      </c>
      <c r="I441" s="741" t="s">
        <v>54</v>
      </c>
      <c r="J441" s="742"/>
      <c r="K441" s="5">
        <v>1053767</v>
      </c>
      <c r="L441" s="5"/>
      <c r="M441" s="33"/>
      <c r="N441" s="18" t="b">
        <v>0</v>
      </c>
      <c r="O441" s="5"/>
      <c r="P441" s="22"/>
      <c r="Q441" s="8"/>
      <c r="R441" s="8"/>
      <c r="S441" s="8"/>
      <c r="T441" s="8"/>
      <c r="U441" s="8"/>
      <c r="V441" s="8"/>
      <c r="W441" s="8"/>
      <c r="X441" s="8"/>
      <c r="Y441" s="8"/>
      <c r="Z441" s="8"/>
      <c r="AA441" s="8"/>
      <c r="AB441" s="8"/>
      <c r="AC441" s="8"/>
      <c r="AD441" s="24"/>
      <c r="AE441" s="24">
        <f t="shared" si="9"/>
        <v>0</v>
      </c>
      <c r="AF441" s="22" t="s">
        <v>556</v>
      </c>
      <c r="AG441" s="8"/>
      <c r="AH441" s="8"/>
      <c r="AI441" s="8"/>
    </row>
    <row r="442" spans="1:35" ht="15.75" customHeight="1" x14ac:dyDescent="0.25">
      <c r="A442" s="8"/>
      <c r="B442" s="8"/>
      <c r="C442" s="8"/>
      <c r="D442" s="8"/>
      <c r="E442" s="5" t="s">
        <v>577</v>
      </c>
      <c r="F442" s="16">
        <v>88000</v>
      </c>
      <c r="G442" s="16">
        <v>64000</v>
      </c>
      <c r="H442" s="5" t="s">
        <v>53</v>
      </c>
      <c r="I442" s="741" t="s">
        <v>54</v>
      </c>
      <c r="J442" s="742"/>
      <c r="K442" s="5">
        <v>1053779</v>
      </c>
      <c r="L442" s="5"/>
      <c r="M442" s="17"/>
      <c r="N442" s="18" t="b">
        <v>0</v>
      </c>
      <c r="O442" s="5"/>
      <c r="P442" s="22"/>
      <c r="Q442" s="8"/>
      <c r="R442" s="8"/>
      <c r="S442" s="8"/>
      <c r="T442" s="8"/>
      <c r="U442" s="8"/>
      <c r="V442" s="8"/>
      <c r="W442" s="8"/>
      <c r="X442" s="8"/>
      <c r="Y442" s="8"/>
      <c r="Z442" s="8"/>
      <c r="AA442" s="8"/>
      <c r="AB442" s="8"/>
      <c r="AC442" s="8"/>
      <c r="AD442" s="24"/>
      <c r="AE442" s="24">
        <f t="shared" si="9"/>
        <v>0</v>
      </c>
      <c r="AF442" s="22" t="s">
        <v>556</v>
      </c>
      <c r="AG442" s="8"/>
      <c r="AH442" s="8"/>
      <c r="AI442" s="8"/>
    </row>
    <row r="443" spans="1:35" ht="15.75" customHeight="1" x14ac:dyDescent="0.25">
      <c r="A443" s="8"/>
      <c r="B443" s="8"/>
      <c r="C443" s="8"/>
      <c r="D443" s="8"/>
      <c r="E443" s="5" t="s">
        <v>578</v>
      </c>
      <c r="F443" s="16">
        <v>84000</v>
      </c>
      <c r="G443" s="16">
        <v>54481</v>
      </c>
      <c r="H443" s="5" t="s">
        <v>26</v>
      </c>
      <c r="I443" s="5" t="s">
        <v>21</v>
      </c>
      <c r="J443" s="5">
        <v>565960000</v>
      </c>
      <c r="K443" s="5">
        <v>9734525</v>
      </c>
      <c r="L443" s="5" t="s">
        <v>107</v>
      </c>
      <c r="M443" s="33">
        <v>46137.541666666664</v>
      </c>
      <c r="N443" s="18" t="b">
        <v>0</v>
      </c>
      <c r="O443" s="5"/>
      <c r="P443" s="22"/>
      <c r="Q443" s="8"/>
      <c r="R443" s="8"/>
      <c r="S443" s="8"/>
      <c r="T443" s="8"/>
      <c r="U443" s="8"/>
      <c r="V443" s="8"/>
      <c r="W443" s="8"/>
      <c r="X443" s="8"/>
      <c r="Y443" s="8"/>
      <c r="Z443" s="8"/>
      <c r="AA443" s="8"/>
      <c r="AB443" s="8"/>
      <c r="AC443" s="8"/>
      <c r="AD443" s="24"/>
      <c r="AE443" s="24">
        <f t="shared" si="9"/>
        <v>0</v>
      </c>
      <c r="AF443" s="22" t="s">
        <v>556</v>
      </c>
      <c r="AG443" s="8"/>
      <c r="AH443" s="8"/>
      <c r="AI443" s="8"/>
    </row>
    <row r="444" spans="1:35" ht="15.75" customHeight="1" x14ac:dyDescent="0.25">
      <c r="A444" s="8"/>
      <c r="B444" s="8"/>
      <c r="C444" s="8"/>
      <c r="D444" s="8"/>
      <c r="E444" s="5" t="s">
        <v>579</v>
      </c>
      <c r="F444" s="16">
        <v>82423</v>
      </c>
      <c r="G444" s="16">
        <v>54784</v>
      </c>
      <c r="H444" s="5" t="s">
        <v>75</v>
      </c>
      <c r="I444" s="5" t="s">
        <v>21</v>
      </c>
      <c r="J444" s="5">
        <v>538005632</v>
      </c>
      <c r="K444" s="5">
        <v>9350599</v>
      </c>
      <c r="L444" s="5"/>
      <c r="M444" s="33"/>
      <c r="N444" s="18" t="b">
        <v>1</v>
      </c>
      <c r="O444" s="5"/>
      <c r="P444" s="22"/>
      <c r="Q444" s="8"/>
      <c r="R444" s="8"/>
      <c r="S444" s="8"/>
      <c r="T444" s="8"/>
      <c r="U444" s="8"/>
      <c r="V444" s="8"/>
      <c r="W444" s="8"/>
      <c r="X444" s="8"/>
      <c r="Y444" s="8"/>
      <c r="Z444" s="8"/>
      <c r="AA444" s="8"/>
      <c r="AB444" s="8"/>
      <c r="AC444" s="8"/>
      <c r="AD444" s="24"/>
      <c r="AE444" s="24">
        <f t="shared" si="9"/>
        <v>0</v>
      </c>
      <c r="AF444" s="22" t="s">
        <v>556</v>
      </c>
      <c r="AG444" s="8"/>
      <c r="AH444" s="8"/>
      <c r="AI444" s="8"/>
    </row>
    <row r="445" spans="1:35" ht="15.75" customHeight="1" x14ac:dyDescent="0.25">
      <c r="A445" s="8"/>
      <c r="B445" s="8"/>
      <c r="C445" s="8"/>
      <c r="D445" s="8"/>
      <c r="E445" s="5" t="s">
        <v>580</v>
      </c>
      <c r="F445" s="16">
        <v>75353</v>
      </c>
      <c r="G445" s="16">
        <v>49345</v>
      </c>
      <c r="H445" s="5" t="s">
        <v>26</v>
      </c>
      <c r="I445" s="5" t="s">
        <v>21</v>
      </c>
      <c r="J445" s="5">
        <v>613490000</v>
      </c>
      <c r="K445" s="5">
        <v>9000883</v>
      </c>
      <c r="L445" s="5" t="s">
        <v>46</v>
      </c>
      <c r="M445" s="33">
        <v>46137.75</v>
      </c>
      <c r="N445" s="18" t="b">
        <v>0</v>
      </c>
      <c r="O445" s="5"/>
      <c r="P445" s="22"/>
      <c r="Q445" s="8"/>
      <c r="R445" s="8"/>
      <c r="S445" s="8"/>
      <c r="T445" s="8"/>
      <c r="U445" s="8"/>
      <c r="V445" s="8"/>
      <c r="W445" s="8"/>
      <c r="X445" s="8"/>
      <c r="Y445" s="8"/>
      <c r="Z445" s="8"/>
      <c r="AA445" s="8"/>
      <c r="AB445" s="8"/>
      <c r="AC445" s="8"/>
      <c r="AD445" s="24"/>
      <c r="AE445" s="24">
        <f t="shared" si="9"/>
        <v>0</v>
      </c>
      <c r="AF445" s="22" t="s">
        <v>556</v>
      </c>
      <c r="AG445" s="8"/>
      <c r="AH445" s="8"/>
      <c r="AI445" s="8"/>
    </row>
    <row r="446" spans="1:35" ht="15.75" customHeight="1" x14ac:dyDescent="0.25">
      <c r="A446" s="8"/>
      <c r="B446" s="8"/>
      <c r="C446" s="8"/>
      <c r="D446" s="8"/>
      <c r="E446" s="5" t="s">
        <v>581</v>
      </c>
      <c r="F446" s="16">
        <v>80138</v>
      </c>
      <c r="G446" s="16">
        <v>53293</v>
      </c>
      <c r="H446" s="5" t="s">
        <v>20</v>
      </c>
      <c r="I446" s="5" t="s">
        <v>21</v>
      </c>
      <c r="J446" s="5">
        <v>311001930</v>
      </c>
      <c r="K446" s="5">
        <v>9377781</v>
      </c>
      <c r="L446" s="5" t="s">
        <v>582</v>
      </c>
      <c r="M446" s="17">
        <v>46135.833333333336</v>
      </c>
      <c r="N446" s="18" t="b">
        <v>1</v>
      </c>
      <c r="O446" s="5"/>
      <c r="P446" s="22"/>
      <c r="Q446" s="8"/>
      <c r="R446" s="8"/>
      <c r="S446" s="8"/>
      <c r="T446" s="8"/>
      <c r="U446" s="8"/>
      <c r="V446" s="8"/>
      <c r="W446" s="8"/>
      <c r="X446" s="8"/>
      <c r="Y446" s="8"/>
      <c r="Z446" s="8"/>
      <c r="AA446" s="8"/>
      <c r="AB446" s="8"/>
      <c r="AC446" s="8"/>
      <c r="AD446" s="24"/>
      <c r="AE446" s="24">
        <f t="shared" si="9"/>
        <v>0</v>
      </c>
      <c r="AF446" s="22" t="s">
        <v>556</v>
      </c>
      <c r="AG446" s="8"/>
      <c r="AH446" s="8"/>
      <c r="AI446" s="8"/>
    </row>
    <row r="447" spans="1:35" ht="15.75" customHeight="1" x14ac:dyDescent="0.25">
      <c r="A447" s="8"/>
      <c r="B447" s="8"/>
      <c r="C447" s="8"/>
      <c r="D447" s="8"/>
      <c r="E447" s="5" t="s">
        <v>583</v>
      </c>
      <c r="F447" s="16">
        <v>84000</v>
      </c>
      <c r="G447" s="16">
        <v>54603</v>
      </c>
      <c r="H447" s="5" t="s">
        <v>26</v>
      </c>
      <c r="I447" s="5" t="s">
        <v>21</v>
      </c>
      <c r="J447" s="5">
        <v>563853000</v>
      </c>
      <c r="K447" s="5">
        <v>9726102</v>
      </c>
      <c r="L447" s="5" t="s">
        <v>107</v>
      </c>
      <c r="M447" s="33">
        <v>46147.000694444447</v>
      </c>
      <c r="N447" s="18" t="b">
        <v>0</v>
      </c>
      <c r="O447" s="5"/>
      <c r="P447" s="22"/>
      <c r="Q447" s="8"/>
      <c r="R447" s="8"/>
      <c r="S447" s="8"/>
      <c r="T447" s="8"/>
      <c r="U447" s="8"/>
      <c r="V447" s="8"/>
      <c r="W447" s="8"/>
      <c r="X447" s="8"/>
      <c r="Y447" s="8"/>
      <c r="Z447" s="8"/>
      <c r="AA447" s="8"/>
      <c r="AB447" s="8"/>
      <c r="AC447" s="8"/>
      <c r="AD447" s="24"/>
      <c r="AE447" s="24">
        <f t="shared" si="9"/>
        <v>0</v>
      </c>
      <c r="AF447" s="22" t="s">
        <v>556</v>
      </c>
      <c r="AG447" s="8"/>
      <c r="AH447" s="8"/>
      <c r="AI447" s="8"/>
    </row>
    <row r="448" spans="1:35" ht="15.75" customHeight="1" x14ac:dyDescent="0.25">
      <c r="A448" s="8"/>
      <c r="B448" s="8"/>
      <c r="C448" s="8"/>
      <c r="D448" s="8"/>
      <c r="E448" s="5" t="s">
        <v>584</v>
      </c>
      <c r="F448" s="16">
        <v>93000</v>
      </c>
      <c r="G448" s="16">
        <v>59800</v>
      </c>
      <c r="H448" s="5" t="s">
        <v>53</v>
      </c>
      <c r="I448" s="741" t="s">
        <v>54</v>
      </c>
      <c r="J448" s="742"/>
      <c r="K448" s="5">
        <v>1017139</v>
      </c>
      <c r="L448" s="5"/>
      <c r="M448" s="33"/>
      <c r="N448" s="18" t="b">
        <v>0</v>
      </c>
      <c r="O448" s="5"/>
      <c r="P448" s="22"/>
      <c r="Q448" s="8"/>
      <c r="R448" s="8"/>
      <c r="S448" s="8"/>
      <c r="T448" s="8"/>
      <c r="U448" s="8"/>
      <c r="V448" s="8"/>
      <c r="W448" s="8"/>
      <c r="X448" s="8"/>
      <c r="Y448" s="8"/>
      <c r="Z448" s="8"/>
      <c r="AA448" s="8"/>
      <c r="AB448" s="8"/>
      <c r="AC448" s="8"/>
      <c r="AD448" s="24"/>
      <c r="AE448" s="24">
        <f t="shared" si="9"/>
        <v>0</v>
      </c>
      <c r="AF448" s="22" t="s">
        <v>556</v>
      </c>
      <c r="AG448" s="8"/>
      <c r="AH448" s="8"/>
      <c r="AI448" s="8"/>
    </row>
    <row r="449" spans="1:35" ht="15.75" customHeight="1" x14ac:dyDescent="0.25">
      <c r="A449" s="8"/>
      <c r="B449" s="8"/>
      <c r="C449" s="8"/>
      <c r="D449" s="8"/>
      <c r="E449" s="5" t="s">
        <v>585</v>
      </c>
      <c r="F449" s="16">
        <v>84000</v>
      </c>
      <c r="G449" s="16">
        <v>54596</v>
      </c>
      <c r="H449" s="5" t="s">
        <v>26</v>
      </c>
      <c r="I449" s="5" t="s">
        <v>21</v>
      </c>
      <c r="J449" s="5">
        <v>565943000</v>
      </c>
      <c r="K449" s="5">
        <v>9726114</v>
      </c>
      <c r="L449" s="5" t="s">
        <v>51</v>
      </c>
      <c r="M449" s="17">
        <v>46132.291666666664</v>
      </c>
      <c r="N449" s="18" t="b">
        <v>0</v>
      </c>
      <c r="O449" s="5"/>
      <c r="P449" s="22"/>
      <c r="Q449" s="8"/>
      <c r="R449" s="8"/>
      <c r="S449" s="8"/>
      <c r="T449" s="8"/>
      <c r="U449" s="8"/>
      <c r="V449" s="8"/>
      <c r="W449" s="8"/>
      <c r="X449" s="8"/>
      <c r="Y449" s="8"/>
      <c r="Z449" s="8"/>
      <c r="AA449" s="8"/>
      <c r="AB449" s="8"/>
      <c r="AC449" s="8"/>
      <c r="AD449" s="24"/>
      <c r="AE449" s="24">
        <f t="shared" si="9"/>
        <v>0</v>
      </c>
      <c r="AF449" s="22" t="s">
        <v>556</v>
      </c>
      <c r="AG449" s="8"/>
      <c r="AH449" s="8"/>
      <c r="AI449" s="8"/>
    </row>
    <row r="450" spans="1:35" ht="15.75" customHeight="1" x14ac:dyDescent="0.25">
      <c r="A450" s="8"/>
      <c r="B450" s="8"/>
      <c r="C450" s="8"/>
      <c r="D450" s="8"/>
      <c r="E450" s="5" t="s">
        <v>586</v>
      </c>
      <c r="F450" s="16">
        <v>84000</v>
      </c>
      <c r="G450" s="16">
        <v>51700</v>
      </c>
      <c r="H450" s="5" t="s">
        <v>26</v>
      </c>
      <c r="I450" s="5" t="s">
        <v>21</v>
      </c>
      <c r="J450" s="5">
        <v>565355000</v>
      </c>
      <c r="K450" s="5">
        <v>9726073</v>
      </c>
      <c r="L450" s="5" t="s">
        <v>61</v>
      </c>
      <c r="M450" s="17">
        <v>46150.625</v>
      </c>
      <c r="N450" s="18" t="b">
        <v>0</v>
      </c>
      <c r="O450" s="5"/>
      <c r="P450" s="22"/>
      <c r="Q450" s="8"/>
      <c r="R450" s="8"/>
      <c r="S450" s="8"/>
      <c r="T450" s="8"/>
      <c r="U450" s="8"/>
      <c r="V450" s="8"/>
      <c r="W450" s="8"/>
      <c r="X450" s="8"/>
      <c r="Y450" s="8"/>
      <c r="Z450" s="8"/>
      <c r="AA450" s="8"/>
      <c r="AB450" s="8"/>
      <c r="AC450" s="8"/>
      <c r="AD450" s="24"/>
      <c r="AE450" s="24">
        <f t="shared" si="9"/>
        <v>0</v>
      </c>
      <c r="AF450" s="22" t="s">
        <v>556</v>
      </c>
      <c r="AG450" s="8"/>
      <c r="AH450" s="8"/>
      <c r="AI450" s="8"/>
    </row>
    <row r="451" spans="1:35" ht="15.75" customHeight="1" x14ac:dyDescent="0.25">
      <c r="A451" s="8"/>
      <c r="B451" s="8"/>
      <c r="C451" s="8"/>
      <c r="D451" s="8"/>
      <c r="E451" s="5" t="s">
        <v>587</v>
      </c>
      <c r="F451" s="16">
        <v>80770</v>
      </c>
      <c r="G451" s="16">
        <v>53999</v>
      </c>
      <c r="H451" s="5" t="s">
        <v>26</v>
      </c>
      <c r="I451" s="5" t="s">
        <v>21</v>
      </c>
      <c r="J451" s="5">
        <v>419002052</v>
      </c>
      <c r="K451" s="5">
        <v>9356892</v>
      </c>
      <c r="L451" s="5"/>
      <c r="M451" s="17"/>
      <c r="N451" s="18" t="b">
        <v>0</v>
      </c>
      <c r="O451" s="5"/>
      <c r="P451" s="22"/>
      <c r="Q451" s="8"/>
      <c r="R451" s="8"/>
      <c r="S451" s="8"/>
      <c r="T451" s="8"/>
      <c r="U451" s="8"/>
      <c r="V451" s="8"/>
      <c r="W451" s="8"/>
      <c r="X451" s="8"/>
      <c r="Y451" s="8"/>
      <c r="Z451" s="8"/>
      <c r="AA451" s="8"/>
      <c r="AB451" s="8"/>
      <c r="AC451" s="8"/>
      <c r="AD451" s="24"/>
      <c r="AE451" s="24">
        <f t="shared" si="9"/>
        <v>0</v>
      </c>
      <c r="AF451" s="22" t="s">
        <v>556</v>
      </c>
      <c r="AG451" s="8"/>
      <c r="AH451" s="8"/>
      <c r="AI451" s="8"/>
    </row>
    <row r="452" spans="1:35" ht="15.75" customHeight="1" x14ac:dyDescent="0.25">
      <c r="A452" s="8"/>
      <c r="B452" s="8"/>
      <c r="C452" s="8"/>
      <c r="D452" s="8"/>
      <c r="E452" s="5" t="s">
        <v>588</v>
      </c>
      <c r="F452" s="16">
        <v>78901</v>
      </c>
      <c r="G452" s="16">
        <v>49999</v>
      </c>
      <c r="H452" s="5" t="s">
        <v>26</v>
      </c>
      <c r="I452" s="5" t="s">
        <v>21</v>
      </c>
      <c r="J452" s="5">
        <v>603928000</v>
      </c>
      <c r="K452" s="5">
        <v>9397080</v>
      </c>
      <c r="L452" s="5" t="s">
        <v>46</v>
      </c>
      <c r="M452" s="33">
        <v>46135.791666666664</v>
      </c>
      <c r="N452" s="18" t="b">
        <v>0</v>
      </c>
      <c r="O452" s="5"/>
      <c r="P452" s="22"/>
      <c r="Q452" s="8"/>
      <c r="R452" s="8"/>
      <c r="S452" s="8"/>
      <c r="T452" s="8"/>
      <c r="U452" s="8"/>
      <c r="V452" s="8"/>
      <c r="W452" s="8"/>
      <c r="X452" s="8"/>
      <c r="Y452" s="8"/>
      <c r="Z452" s="8"/>
      <c r="AA452" s="8"/>
      <c r="AB452" s="8"/>
      <c r="AC452" s="8"/>
      <c r="AD452" s="24"/>
      <c r="AE452" s="24">
        <f t="shared" si="9"/>
        <v>0</v>
      </c>
      <c r="AF452" s="22" t="s">
        <v>556</v>
      </c>
      <c r="AG452" s="8"/>
      <c r="AH452" s="8"/>
      <c r="AI452" s="8"/>
    </row>
    <row r="453" spans="1:35" ht="15.75" customHeight="1" x14ac:dyDescent="0.25">
      <c r="A453" s="8"/>
      <c r="B453" s="8"/>
      <c r="C453" s="8"/>
      <c r="D453" s="8"/>
      <c r="E453" s="5" t="s">
        <v>589</v>
      </c>
      <c r="F453" s="16">
        <v>84000</v>
      </c>
      <c r="G453" s="16">
        <v>54576</v>
      </c>
      <c r="H453" s="5" t="s">
        <v>75</v>
      </c>
      <c r="I453" s="5" t="s">
        <v>21</v>
      </c>
      <c r="J453" s="5">
        <v>565404000</v>
      </c>
      <c r="K453" s="5">
        <v>9722223</v>
      </c>
      <c r="L453" s="5" t="s">
        <v>590</v>
      </c>
      <c r="M453" s="17">
        <v>46141.5</v>
      </c>
      <c r="N453" s="18" t="b">
        <v>1</v>
      </c>
      <c r="O453" s="5"/>
      <c r="P453" s="22"/>
      <c r="Q453" s="8"/>
      <c r="R453" s="8"/>
      <c r="S453" s="8"/>
      <c r="T453" s="8"/>
      <c r="U453" s="8"/>
      <c r="V453" s="8"/>
      <c r="W453" s="8"/>
      <c r="X453" s="8"/>
      <c r="Y453" s="8"/>
      <c r="Z453" s="8"/>
      <c r="AA453" s="8"/>
      <c r="AB453" s="8"/>
      <c r="AC453" s="8"/>
      <c r="AD453" s="24"/>
      <c r="AE453" s="24">
        <f t="shared" si="9"/>
        <v>0</v>
      </c>
      <c r="AF453" s="22" t="s">
        <v>556</v>
      </c>
      <c r="AG453" s="8"/>
      <c r="AH453" s="8"/>
      <c r="AI453" s="8"/>
    </row>
    <row r="454" spans="1:35" ht="15.75" customHeight="1" x14ac:dyDescent="0.25">
      <c r="A454" s="8"/>
      <c r="B454" s="8"/>
      <c r="C454" s="8"/>
      <c r="D454" s="8"/>
      <c r="E454" s="5" t="s">
        <v>591</v>
      </c>
      <c r="F454" s="16">
        <v>84000</v>
      </c>
      <c r="G454" s="16">
        <v>54596</v>
      </c>
      <c r="H454" s="5" t="s">
        <v>20</v>
      </c>
      <c r="I454" s="5" t="s">
        <v>21</v>
      </c>
      <c r="J454" s="5">
        <v>565962000</v>
      </c>
      <c r="K454" s="5">
        <v>9726126</v>
      </c>
      <c r="L454" s="5" t="s">
        <v>187</v>
      </c>
      <c r="M454" s="33">
        <v>46154.166666666664</v>
      </c>
      <c r="N454" s="18" t="b">
        <v>1</v>
      </c>
      <c r="O454" s="5"/>
      <c r="P454" s="22"/>
      <c r="Q454" s="8"/>
      <c r="R454" s="8"/>
      <c r="S454" s="8"/>
      <c r="T454" s="8"/>
      <c r="U454" s="8"/>
      <c r="V454" s="8"/>
      <c r="W454" s="8"/>
      <c r="X454" s="8"/>
      <c r="Y454" s="8"/>
      <c r="Z454" s="8"/>
      <c r="AA454" s="8"/>
      <c r="AB454" s="8"/>
      <c r="AC454" s="8"/>
      <c r="AD454" s="24"/>
      <c r="AE454" s="24">
        <f t="shared" si="9"/>
        <v>0</v>
      </c>
      <c r="AF454" s="22" t="s">
        <v>556</v>
      </c>
      <c r="AG454" s="8"/>
      <c r="AH454" s="8"/>
      <c r="AI454" s="8"/>
    </row>
    <row r="455" spans="1:35" ht="15.75" customHeight="1" x14ac:dyDescent="0.25">
      <c r="A455" s="8"/>
      <c r="B455" s="8"/>
      <c r="C455" s="8"/>
      <c r="D455" s="8"/>
      <c r="E455" s="5" t="s">
        <v>592</v>
      </c>
      <c r="F455" s="16">
        <v>80874</v>
      </c>
      <c r="G455" s="16">
        <v>53194</v>
      </c>
      <c r="H455" s="5" t="s">
        <v>26</v>
      </c>
      <c r="I455" s="5" t="s">
        <v>21</v>
      </c>
      <c r="J455" s="5">
        <v>603913000</v>
      </c>
      <c r="K455" s="5">
        <v>9282106</v>
      </c>
      <c r="L455" s="5" t="s">
        <v>163</v>
      </c>
      <c r="M455" s="17">
        <v>46132.75</v>
      </c>
      <c r="N455" s="18" t="b">
        <v>0</v>
      </c>
      <c r="O455" s="5"/>
      <c r="P455" s="22"/>
      <c r="Q455" s="8"/>
      <c r="R455" s="8"/>
      <c r="S455" s="8"/>
      <c r="T455" s="8"/>
      <c r="U455" s="8"/>
      <c r="V455" s="8"/>
      <c r="W455" s="8"/>
      <c r="X455" s="8"/>
      <c r="Y455" s="8"/>
      <c r="Z455" s="8"/>
      <c r="AA455" s="8"/>
      <c r="AB455" s="8"/>
      <c r="AC455" s="8"/>
      <c r="AD455" s="24"/>
      <c r="AE455" s="24">
        <f t="shared" si="9"/>
        <v>0</v>
      </c>
      <c r="AF455" s="22" t="s">
        <v>556</v>
      </c>
      <c r="AG455" s="8"/>
      <c r="AH455" s="8"/>
      <c r="AI455" s="8"/>
    </row>
    <row r="456" spans="1:35" ht="15.75" customHeight="1" x14ac:dyDescent="0.25">
      <c r="A456" s="8"/>
      <c r="B456" s="8"/>
      <c r="C456" s="8"/>
      <c r="D456" s="8"/>
      <c r="E456" s="5" t="s">
        <v>593</v>
      </c>
      <c r="F456" s="16">
        <v>86000</v>
      </c>
      <c r="G456" s="16">
        <v>50912</v>
      </c>
      <c r="H456" s="5" t="s">
        <v>20</v>
      </c>
      <c r="I456" s="5" t="s">
        <v>21</v>
      </c>
      <c r="J456" s="5">
        <v>636023912</v>
      </c>
      <c r="K456" s="5">
        <v>9958274</v>
      </c>
      <c r="L456" s="5" t="s">
        <v>194</v>
      </c>
      <c r="M456" s="33">
        <v>46146.083333333336</v>
      </c>
      <c r="N456" s="18" t="b">
        <v>1</v>
      </c>
      <c r="O456" s="5"/>
      <c r="P456" s="22"/>
      <c r="Q456" s="8"/>
      <c r="R456" s="8"/>
      <c r="S456" s="8"/>
      <c r="T456" s="8"/>
      <c r="U456" s="8"/>
      <c r="V456" s="8"/>
      <c r="W456" s="8"/>
      <c r="X456" s="8"/>
      <c r="Y456" s="8"/>
      <c r="Z456" s="8"/>
      <c r="AA456" s="8"/>
      <c r="AB456" s="8"/>
      <c r="AC456" s="8"/>
      <c r="AD456" s="24"/>
      <c r="AE456" s="24">
        <f t="shared" si="9"/>
        <v>0</v>
      </c>
      <c r="AF456" s="22" t="s">
        <v>556</v>
      </c>
      <c r="AG456" s="8"/>
      <c r="AH456" s="8"/>
      <c r="AI456" s="8"/>
    </row>
    <row r="457" spans="1:35" ht="15.75" customHeight="1" x14ac:dyDescent="0.25">
      <c r="A457" s="8"/>
      <c r="B457" s="8"/>
      <c r="C457" s="8"/>
      <c r="D457" s="8"/>
      <c r="E457" s="5" t="s">
        <v>594</v>
      </c>
      <c r="F457" s="16">
        <v>84333</v>
      </c>
      <c r="G457" s="16">
        <v>54826</v>
      </c>
      <c r="H457" s="5" t="s">
        <v>20</v>
      </c>
      <c r="I457" s="5" t="s">
        <v>21</v>
      </c>
      <c r="J457" s="5">
        <v>352004527</v>
      </c>
      <c r="K457" s="5">
        <v>9208227</v>
      </c>
      <c r="L457" s="5" t="s">
        <v>76</v>
      </c>
      <c r="M457" s="33">
        <v>46139.333333333336</v>
      </c>
      <c r="N457" s="18" t="b">
        <v>1</v>
      </c>
      <c r="O457" s="5"/>
      <c r="P457" s="22"/>
      <c r="Q457" s="8"/>
      <c r="R457" s="8"/>
      <c r="S457" s="8"/>
      <c r="T457" s="8"/>
      <c r="U457" s="8"/>
      <c r="V457" s="8"/>
      <c r="W457" s="8"/>
      <c r="X457" s="8"/>
      <c r="Y457" s="8"/>
      <c r="Z457" s="8"/>
      <c r="AA457" s="8"/>
      <c r="AB457" s="8"/>
      <c r="AC457" s="8"/>
      <c r="AD457" s="24"/>
      <c r="AE457" s="24">
        <f t="shared" si="9"/>
        <v>0</v>
      </c>
      <c r="AF457" s="22" t="s">
        <v>556</v>
      </c>
      <c r="AG457" s="8"/>
      <c r="AH457" s="8"/>
      <c r="AI457" s="8"/>
    </row>
    <row r="458" spans="1:35" ht="15.75" customHeight="1" x14ac:dyDescent="0.25">
      <c r="A458" s="8"/>
      <c r="B458" s="8"/>
      <c r="C458" s="8"/>
      <c r="D458" s="8"/>
      <c r="E458" s="5" t="s">
        <v>595</v>
      </c>
      <c r="F458" s="16">
        <v>82200</v>
      </c>
      <c r="G458" s="16">
        <v>54243</v>
      </c>
      <c r="H458" s="5" t="s">
        <v>26</v>
      </c>
      <c r="I458" s="5" t="s">
        <v>21</v>
      </c>
      <c r="J458" s="5">
        <v>431571000</v>
      </c>
      <c r="K458" s="5">
        <v>9723681</v>
      </c>
      <c r="L458" s="5" t="s">
        <v>38</v>
      </c>
      <c r="M458" s="17">
        <v>46163.354166666664</v>
      </c>
      <c r="N458" s="18" t="b">
        <v>0</v>
      </c>
      <c r="O458" s="5"/>
      <c r="P458" s="22"/>
      <c r="Q458" s="8"/>
      <c r="R458" s="8"/>
      <c r="S458" s="8"/>
      <c r="T458" s="8"/>
      <c r="U458" s="8"/>
      <c r="V458" s="8"/>
      <c r="W458" s="8"/>
      <c r="X458" s="8"/>
      <c r="Y458" s="8"/>
      <c r="Z458" s="8"/>
      <c r="AA458" s="8"/>
      <c r="AB458" s="8"/>
      <c r="AC458" s="8"/>
      <c r="AD458" s="24"/>
      <c r="AE458" s="24">
        <f t="shared" si="9"/>
        <v>0</v>
      </c>
      <c r="AF458" s="22" t="s">
        <v>556</v>
      </c>
      <c r="AG458" s="8"/>
      <c r="AH458" s="8"/>
      <c r="AI458" s="8"/>
    </row>
    <row r="459" spans="1:35" ht="15.75" customHeight="1" x14ac:dyDescent="0.25">
      <c r="A459" s="8"/>
      <c r="B459" s="8"/>
      <c r="C459" s="8"/>
      <c r="D459" s="8"/>
      <c r="E459" s="5" t="s">
        <v>596</v>
      </c>
      <c r="F459" s="16">
        <v>78566</v>
      </c>
      <c r="G459" s="16">
        <v>52991</v>
      </c>
      <c r="H459" s="5" t="s">
        <v>20</v>
      </c>
      <c r="I459" s="5" t="s">
        <v>21</v>
      </c>
      <c r="J459" s="5">
        <v>370163000</v>
      </c>
      <c r="K459" s="5">
        <v>9369461</v>
      </c>
      <c r="L459" s="5" t="s">
        <v>464</v>
      </c>
      <c r="M459" s="33">
        <v>46157.583333333336</v>
      </c>
      <c r="N459" s="18" t="b">
        <v>1</v>
      </c>
      <c r="O459" s="5"/>
      <c r="P459" s="22"/>
      <c r="Q459" s="8"/>
      <c r="R459" s="8"/>
      <c r="S459" s="8"/>
      <c r="T459" s="8"/>
      <c r="U459" s="8"/>
      <c r="V459" s="8"/>
      <c r="W459" s="8"/>
      <c r="X459" s="8"/>
      <c r="Y459" s="8"/>
      <c r="Z459" s="8"/>
      <c r="AA459" s="8"/>
      <c r="AB459" s="8"/>
      <c r="AC459" s="8"/>
      <c r="AD459" s="24"/>
      <c r="AE459" s="24">
        <f t="shared" si="9"/>
        <v>0</v>
      </c>
      <c r="AF459" s="22" t="s">
        <v>556</v>
      </c>
      <c r="AG459" s="8"/>
      <c r="AH459" s="8"/>
      <c r="AI459" s="8"/>
    </row>
    <row r="460" spans="1:35" ht="15.75" customHeight="1" x14ac:dyDescent="0.25">
      <c r="A460" s="8"/>
      <c r="B460" s="8"/>
      <c r="C460" s="8"/>
      <c r="D460" s="8"/>
      <c r="E460" s="5" t="s">
        <v>597</v>
      </c>
      <c r="F460" s="16">
        <v>77340</v>
      </c>
      <c r="G460" s="16">
        <v>49999</v>
      </c>
      <c r="H460" s="5" t="s">
        <v>20</v>
      </c>
      <c r="I460" s="5" t="s">
        <v>21</v>
      </c>
      <c r="J460" s="5">
        <v>431653000</v>
      </c>
      <c r="K460" s="5">
        <v>9287948</v>
      </c>
      <c r="L460" s="5" t="s">
        <v>598</v>
      </c>
      <c r="M460" s="33">
        <v>46154.479166666664</v>
      </c>
      <c r="N460" s="18" t="b">
        <v>1</v>
      </c>
      <c r="O460" s="5"/>
      <c r="P460" s="22"/>
      <c r="Q460" s="8"/>
      <c r="R460" s="8"/>
      <c r="S460" s="8"/>
      <c r="T460" s="8"/>
      <c r="U460" s="8"/>
      <c r="V460" s="8"/>
      <c r="W460" s="8"/>
      <c r="X460" s="8"/>
      <c r="Y460" s="8"/>
      <c r="Z460" s="8"/>
      <c r="AA460" s="8"/>
      <c r="AB460" s="8"/>
      <c r="AC460" s="8"/>
      <c r="AD460" s="24"/>
      <c r="AE460" s="24">
        <f t="shared" si="9"/>
        <v>0</v>
      </c>
      <c r="AF460" s="22" t="s">
        <v>556</v>
      </c>
      <c r="AG460" s="8"/>
      <c r="AH460" s="8"/>
      <c r="AI460" s="8"/>
    </row>
    <row r="461" spans="1:35" ht="15.75" customHeight="1" x14ac:dyDescent="0.25">
      <c r="A461" s="8"/>
      <c r="B461" s="8"/>
      <c r="C461" s="8"/>
      <c r="D461" s="8"/>
      <c r="E461" s="5" t="s">
        <v>599</v>
      </c>
      <c r="F461" s="16">
        <v>77297</v>
      </c>
      <c r="G461" s="16">
        <v>49999</v>
      </c>
      <c r="H461" s="5" t="s">
        <v>75</v>
      </c>
      <c r="I461" s="5" t="s">
        <v>21</v>
      </c>
      <c r="J461" s="5">
        <v>356950000</v>
      </c>
      <c r="K461" s="5">
        <v>9206384</v>
      </c>
      <c r="L461" s="5" t="s">
        <v>600</v>
      </c>
      <c r="M461" s="17">
        <v>46132.486805555556</v>
      </c>
      <c r="N461" s="18" t="b">
        <v>1</v>
      </c>
      <c r="O461" s="5"/>
      <c r="P461" s="22"/>
      <c r="Q461" s="8"/>
      <c r="R461" s="8"/>
      <c r="S461" s="8"/>
      <c r="T461" s="8"/>
      <c r="U461" s="8"/>
      <c r="V461" s="8"/>
      <c r="W461" s="8"/>
      <c r="X461" s="8"/>
      <c r="Y461" s="8"/>
      <c r="Z461" s="8"/>
      <c r="AA461" s="8"/>
      <c r="AB461" s="8"/>
      <c r="AC461" s="8"/>
      <c r="AD461" s="24"/>
      <c r="AE461" s="24">
        <f t="shared" si="9"/>
        <v>0</v>
      </c>
      <c r="AF461" s="22" t="s">
        <v>556</v>
      </c>
      <c r="AG461" s="8"/>
      <c r="AH461" s="8"/>
      <c r="AI461" s="8"/>
    </row>
    <row r="462" spans="1:35" ht="15.75" customHeight="1" x14ac:dyDescent="0.25">
      <c r="A462" s="8"/>
      <c r="B462" s="8"/>
      <c r="C462" s="8"/>
      <c r="D462" s="8"/>
      <c r="E462" s="5" t="s">
        <v>601</v>
      </c>
      <c r="F462" s="16">
        <v>83332</v>
      </c>
      <c r="G462" s="16">
        <v>55154</v>
      </c>
      <c r="H462" s="5" t="s">
        <v>26</v>
      </c>
      <c r="I462" s="5" t="s">
        <v>21</v>
      </c>
      <c r="J462" s="5">
        <v>431230000</v>
      </c>
      <c r="K462" s="5">
        <v>9607758</v>
      </c>
      <c r="L462" s="5" t="s">
        <v>105</v>
      </c>
      <c r="M462" s="33">
        <v>46152</v>
      </c>
      <c r="N462" s="18" t="b">
        <v>0</v>
      </c>
      <c r="O462" s="5"/>
      <c r="P462" s="22"/>
      <c r="Q462" s="8"/>
      <c r="R462" s="8"/>
      <c r="S462" s="8"/>
      <c r="T462" s="8"/>
      <c r="U462" s="8"/>
      <c r="V462" s="8"/>
      <c r="W462" s="8"/>
      <c r="X462" s="8"/>
      <c r="Y462" s="8"/>
      <c r="Z462" s="8"/>
      <c r="AA462" s="8"/>
      <c r="AB462" s="8"/>
      <c r="AC462" s="8"/>
      <c r="AD462" s="24"/>
      <c r="AE462" s="24">
        <f t="shared" si="9"/>
        <v>0</v>
      </c>
      <c r="AF462" s="22" t="s">
        <v>556</v>
      </c>
      <c r="AG462" s="8"/>
      <c r="AH462" s="8"/>
      <c r="AI462" s="8"/>
    </row>
    <row r="463" spans="1:35" ht="15.75" customHeight="1" x14ac:dyDescent="0.25">
      <c r="A463" s="8"/>
      <c r="B463" s="8"/>
      <c r="C463" s="8"/>
      <c r="D463" s="8"/>
      <c r="E463" s="5" t="s">
        <v>602</v>
      </c>
      <c r="F463" s="16">
        <v>84000</v>
      </c>
      <c r="G463" s="16">
        <v>54505</v>
      </c>
      <c r="H463" s="5" t="s">
        <v>20</v>
      </c>
      <c r="I463" s="5" t="s">
        <v>21</v>
      </c>
      <c r="J463" s="5">
        <v>566013000</v>
      </c>
      <c r="K463" s="5">
        <v>9734513</v>
      </c>
      <c r="L463" s="5" t="s">
        <v>238</v>
      </c>
      <c r="M463" s="17">
        <v>46161.245138888888</v>
      </c>
      <c r="N463" s="18" t="b">
        <v>1</v>
      </c>
      <c r="O463" s="5"/>
      <c r="P463" s="22"/>
      <c r="Q463" s="8"/>
      <c r="R463" s="8"/>
      <c r="S463" s="8"/>
      <c r="T463" s="8"/>
      <c r="U463" s="8"/>
      <c r="V463" s="8"/>
      <c r="W463" s="8"/>
      <c r="X463" s="8"/>
      <c r="Y463" s="8"/>
      <c r="Z463" s="8"/>
      <c r="AA463" s="8"/>
      <c r="AB463" s="8"/>
      <c r="AC463" s="8"/>
      <c r="AD463" s="24"/>
      <c r="AE463" s="24">
        <f t="shared" si="9"/>
        <v>0</v>
      </c>
      <c r="AF463" s="22" t="s">
        <v>556</v>
      </c>
      <c r="AG463" s="8"/>
      <c r="AH463" s="8"/>
      <c r="AI463" s="8"/>
    </row>
    <row r="464" spans="1:35" ht="15.75" customHeight="1" x14ac:dyDescent="0.25">
      <c r="A464" s="8"/>
      <c r="B464" s="8"/>
      <c r="C464" s="8"/>
      <c r="D464" s="8"/>
      <c r="E464" s="5" t="s">
        <v>603</v>
      </c>
      <c r="F464" s="16">
        <v>80186</v>
      </c>
      <c r="G464" s="16">
        <v>53067</v>
      </c>
      <c r="H464" s="5" t="s">
        <v>20</v>
      </c>
      <c r="I464" s="5" t="s">
        <v>21</v>
      </c>
      <c r="J464" s="5">
        <v>636020799</v>
      </c>
      <c r="K464" s="5">
        <v>9405887</v>
      </c>
      <c r="L464" s="5" t="s">
        <v>107</v>
      </c>
      <c r="M464" s="33">
        <v>46136.708333333336</v>
      </c>
      <c r="N464" s="18" t="b">
        <v>1</v>
      </c>
      <c r="O464" s="5"/>
      <c r="P464" s="22"/>
      <c r="Q464" s="8"/>
      <c r="R464" s="8"/>
      <c r="S464" s="8"/>
      <c r="T464" s="8"/>
      <c r="U464" s="8"/>
      <c r="V464" s="8"/>
      <c r="W464" s="8"/>
      <c r="X464" s="8"/>
      <c r="Y464" s="8"/>
      <c r="Z464" s="8"/>
      <c r="AA464" s="8"/>
      <c r="AB464" s="8"/>
      <c r="AC464" s="8"/>
      <c r="AD464" s="24"/>
      <c r="AE464" s="24">
        <f t="shared" si="9"/>
        <v>0</v>
      </c>
      <c r="AF464" s="22" t="s">
        <v>556</v>
      </c>
      <c r="AG464" s="8"/>
      <c r="AH464" s="8"/>
      <c r="AI464" s="8"/>
    </row>
    <row r="465" spans="1:35" ht="15.75" customHeight="1" x14ac:dyDescent="0.25">
      <c r="A465" s="8"/>
      <c r="B465" s="8"/>
      <c r="C465" s="8"/>
      <c r="D465" s="8"/>
      <c r="E465" s="5" t="s">
        <v>604</v>
      </c>
      <c r="F465" s="16">
        <v>86000</v>
      </c>
      <c r="G465" s="16">
        <v>50912</v>
      </c>
      <c r="H465" s="5" t="s">
        <v>20</v>
      </c>
      <c r="I465" s="5" t="s">
        <v>21</v>
      </c>
      <c r="J465" s="5">
        <v>563299600</v>
      </c>
      <c r="K465" s="5">
        <v>9958262</v>
      </c>
      <c r="L465" s="5" t="s">
        <v>107</v>
      </c>
      <c r="M465" s="17">
        <v>46133.958333333336</v>
      </c>
      <c r="N465" s="18" t="b">
        <v>1</v>
      </c>
      <c r="O465" s="5"/>
      <c r="P465" s="22"/>
      <c r="Q465" s="8"/>
      <c r="R465" s="8"/>
      <c r="S465" s="8"/>
      <c r="T465" s="8"/>
      <c r="U465" s="8"/>
      <c r="V465" s="8"/>
      <c r="W465" s="8"/>
      <c r="X465" s="8"/>
      <c r="Y465" s="8"/>
      <c r="Z465" s="8"/>
      <c r="AA465" s="8"/>
      <c r="AB465" s="8"/>
      <c r="AC465" s="8"/>
      <c r="AD465" s="24"/>
      <c r="AE465" s="24">
        <f t="shared" si="9"/>
        <v>0</v>
      </c>
      <c r="AF465" s="22" t="s">
        <v>556</v>
      </c>
      <c r="AG465" s="8"/>
      <c r="AH465" s="8"/>
      <c r="AI465" s="8"/>
    </row>
    <row r="466" spans="1:35" ht="15.75" customHeight="1" x14ac:dyDescent="0.25">
      <c r="A466" s="8"/>
      <c r="B466" s="8"/>
      <c r="C466" s="8"/>
      <c r="D466" s="8"/>
      <c r="E466" s="5" t="s">
        <v>605</v>
      </c>
      <c r="F466" s="16">
        <v>78614</v>
      </c>
      <c r="G466" s="16">
        <v>53208</v>
      </c>
      <c r="H466" s="5" t="s">
        <v>26</v>
      </c>
      <c r="I466" s="5" t="s">
        <v>21</v>
      </c>
      <c r="J466" s="5">
        <v>352002154</v>
      </c>
      <c r="K466" s="5">
        <v>9290270</v>
      </c>
      <c r="L466" s="5" t="s">
        <v>46</v>
      </c>
      <c r="M466" s="33">
        <v>46132.541666666664</v>
      </c>
      <c r="N466" s="18" t="b">
        <v>0</v>
      </c>
      <c r="O466" s="5"/>
      <c r="P466" s="22"/>
      <c r="Q466" s="8"/>
      <c r="R466" s="8"/>
      <c r="S466" s="8"/>
      <c r="T466" s="8"/>
      <c r="U466" s="8"/>
      <c r="V466" s="8"/>
      <c r="W466" s="8"/>
      <c r="X466" s="8"/>
      <c r="Y466" s="8"/>
      <c r="Z466" s="8"/>
      <c r="AA466" s="8"/>
      <c r="AB466" s="8"/>
      <c r="AC466" s="8"/>
      <c r="AD466" s="24"/>
      <c r="AE466" s="24">
        <f t="shared" si="9"/>
        <v>0</v>
      </c>
      <c r="AF466" s="22" t="s">
        <v>556</v>
      </c>
      <c r="AG466" s="8"/>
      <c r="AH466" s="8"/>
      <c r="AI466" s="8"/>
    </row>
    <row r="467" spans="1:35" ht="15.75" customHeight="1" x14ac:dyDescent="0.25">
      <c r="A467" s="8"/>
      <c r="B467" s="8"/>
      <c r="C467" s="8"/>
      <c r="D467" s="8"/>
      <c r="E467" s="5" t="s">
        <v>606</v>
      </c>
      <c r="F467" s="16">
        <v>88000</v>
      </c>
      <c r="G467" s="16">
        <v>63968</v>
      </c>
      <c r="H467" s="5" t="s">
        <v>53</v>
      </c>
      <c r="I467" s="741" t="s">
        <v>54</v>
      </c>
      <c r="J467" s="742"/>
      <c r="K467" s="5">
        <v>1033963</v>
      </c>
      <c r="L467" s="5"/>
      <c r="M467" s="33"/>
      <c r="N467" s="18" t="b">
        <v>0</v>
      </c>
      <c r="O467" s="5"/>
      <c r="P467" s="22"/>
      <c r="Q467" s="8"/>
      <c r="R467" s="8"/>
      <c r="S467" s="8"/>
      <c r="T467" s="8"/>
      <c r="U467" s="8"/>
      <c r="V467" s="8"/>
      <c r="W467" s="8"/>
      <c r="X467" s="8"/>
      <c r="Y467" s="8"/>
      <c r="Z467" s="8"/>
      <c r="AA467" s="8"/>
      <c r="AB467" s="8"/>
      <c r="AC467" s="8"/>
      <c r="AD467" s="24"/>
      <c r="AE467" s="24">
        <f t="shared" si="9"/>
        <v>0</v>
      </c>
      <c r="AF467" s="22" t="s">
        <v>556</v>
      </c>
      <c r="AG467" s="8"/>
      <c r="AH467" s="8"/>
      <c r="AI467" s="8"/>
    </row>
    <row r="468" spans="1:35" ht="15.75" customHeight="1" x14ac:dyDescent="0.25">
      <c r="A468" s="8"/>
      <c r="B468" s="8"/>
      <c r="C468" s="8"/>
      <c r="D468" s="8"/>
      <c r="E468" s="5" t="s">
        <v>607</v>
      </c>
      <c r="F468" s="16">
        <v>88000</v>
      </c>
      <c r="G468" s="16">
        <v>63968</v>
      </c>
      <c r="H468" s="5" t="s">
        <v>53</v>
      </c>
      <c r="I468" s="741" t="s">
        <v>54</v>
      </c>
      <c r="J468" s="742"/>
      <c r="K468" s="5">
        <v>1033975</v>
      </c>
      <c r="L468" s="5"/>
      <c r="M468" s="33"/>
      <c r="N468" s="18" t="b">
        <v>0</v>
      </c>
      <c r="O468" s="5"/>
      <c r="P468" s="22"/>
      <c r="Q468" s="8"/>
      <c r="R468" s="8"/>
      <c r="S468" s="8"/>
      <c r="T468" s="8"/>
      <c r="U468" s="8"/>
      <c r="V468" s="8"/>
      <c r="W468" s="8"/>
      <c r="X468" s="8"/>
      <c r="Y468" s="8"/>
      <c r="Z468" s="8"/>
      <c r="AA468" s="8"/>
      <c r="AB468" s="8"/>
      <c r="AC468" s="8"/>
      <c r="AD468" s="24"/>
      <c r="AE468" s="24">
        <f t="shared" si="9"/>
        <v>0</v>
      </c>
      <c r="AF468" s="22" t="s">
        <v>556</v>
      </c>
      <c r="AG468" s="8"/>
      <c r="AH468" s="8"/>
      <c r="AI468" s="8"/>
    </row>
    <row r="469" spans="1:35" ht="15.75" customHeight="1" x14ac:dyDescent="0.25">
      <c r="A469" s="8"/>
      <c r="B469" s="8"/>
      <c r="C469" s="8"/>
      <c r="D469" s="8"/>
      <c r="E469" s="5" t="s">
        <v>608</v>
      </c>
      <c r="F469" s="16">
        <v>93000</v>
      </c>
      <c r="G469" s="16">
        <v>65000</v>
      </c>
      <c r="H469" s="5" t="s">
        <v>53</v>
      </c>
      <c r="I469" s="741" t="s">
        <v>54</v>
      </c>
      <c r="J469" s="742"/>
      <c r="K469" s="5">
        <v>1041142</v>
      </c>
      <c r="L469" s="5"/>
      <c r="M469" s="33"/>
      <c r="N469" s="18" t="b">
        <v>0</v>
      </c>
      <c r="O469" s="5"/>
      <c r="P469" s="22"/>
      <c r="Q469" s="8"/>
      <c r="R469" s="8"/>
      <c r="S469" s="8"/>
      <c r="T469" s="8"/>
      <c r="U469" s="8"/>
      <c r="V469" s="8"/>
      <c r="W469" s="8"/>
      <c r="X469" s="8"/>
      <c r="Y469" s="8"/>
      <c r="Z469" s="8"/>
      <c r="AA469" s="8"/>
      <c r="AB469" s="8"/>
      <c r="AC469" s="8"/>
      <c r="AD469" s="24"/>
      <c r="AE469" s="24">
        <f t="shared" si="9"/>
        <v>0</v>
      </c>
      <c r="AF469" s="22" t="s">
        <v>556</v>
      </c>
      <c r="AG469" s="8"/>
      <c r="AH469" s="8"/>
      <c r="AI469" s="8"/>
    </row>
    <row r="470" spans="1:35" ht="15.75" customHeight="1" x14ac:dyDescent="0.25">
      <c r="A470" s="8"/>
      <c r="B470" s="8"/>
      <c r="C470" s="8"/>
      <c r="D470" s="8"/>
      <c r="E470" s="5" t="s">
        <v>609</v>
      </c>
      <c r="F470" s="16">
        <v>93000</v>
      </c>
      <c r="G470" s="16">
        <v>65000</v>
      </c>
      <c r="H470" s="5" t="s">
        <v>53</v>
      </c>
      <c r="I470" s="741" t="s">
        <v>54</v>
      </c>
      <c r="J470" s="742"/>
      <c r="K470" s="5">
        <v>1041154</v>
      </c>
      <c r="L470" s="5"/>
      <c r="M470" s="33"/>
      <c r="N470" s="18" t="b">
        <v>0</v>
      </c>
      <c r="O470" s="5"/>
      <c r="P470" s="22"/>
      <c r="Q470" s="8"/>
      <c r="R470" s="8"/>
      <c r="S470" s="8"/>
      <c r="T470" s="8"/>
      <c r="U470" s="8"/>
      <c r="V470" s="8"/>
      <c r="W470" s="8"/>
      <c r="X470" s="8"/>
      <c r="Y470" s="8"/>
      <c r="Z470" s="8"/>
      <c r="AA470" s="8"/>
      <c r="AB470" s="8"/>
      <c r="AC470" s="8"/>
      <c r="AD470" s="24"/>
      <c r="AE470" s="24">
        <f t="shared" si="9"/>
        <v>0</v>
      </c>
      <c r="AF470" s="22" t="s">
        <v>556</v>
      </c>
      <c r="AG470" s="8"/>
      <c r="AH470" s="8"/>
      <c r="AI470" s="8"/>
    </row>
    <row r="471" spans="1:35" ht="15.75" customHeight="1" x14ac:dyDescent="0.25">
      <c r="A471" s="8"/>
      <c r="B471" s="8"/>
      <c r="C471" s="8"/>
      <c r="D471" s="8"/>
      <c r="E471" s="5" t="s">
        <v>610</v>
      </c>
      <c r="F471" s="16">
        <v>82000</v>
      </c>
      <c r="G471" s="16">
        <v>54901</v>
      </c>
      <c r="H471" s="5" t="s">
        <v>26</v>
      </c>
      <c r="I471" s="5" t="s">
        <v>21</v>
      </c>
      <c r="J471" s="5">
        <v>352005658</v>
      </c>
      <c r="K471" s="5">
        <v>9625152</v>
      </c>
      <c r="L471" s="5" t="s">
        <v>611</v>
      </c>
      <c r="M471" s="33">
        <v>46134.583333333336</v>
      </c>
      <c r="N471" s="18" t="b">
        <v>0</v>
      </c>
      <c r="O471" s="5"/>
      <c r="P471" s="22"/>
      <c r="Q471" s="8"/>
      <c r="R471" s="8"/>
      <c r="S471" s="8"/>
      <c r="T471" s="8"/>
      <c r="U471" s="8"/>
      <c r="V471" s="8"/>
      <c r="W471" s="8"/>
      <c r="X471" s="8"/>
      <c r="Y471" s="8"/>
      <c r="Z471" s="8"/>
      <c r="AA471" s="8"/>
      <c r="AB471" s="8"/>
      <c r="AC471" s="8"/>
      <c r="AD471" s="24"/>
      <c r="AE471" s="24">
        <f t="shared" si="9"/>
        <v>0</v>
      </c>
      <c r="AF471" s="22" t="s">
        <v>556</v>
      </c>
      <c r="AG471" s="8"/>
      <c r="AH471" s="8"/>
      <c r="AI471" s="8"/>
    </row>
    <row r="472" spans="1:35" ht="15.75" customHeight="1" x14ac:dyDescent="0.25">
      <c r="A472" s="8"/>
      <c r="B472" s="8"/>
      <c r="C472" s="8"/>
      <c r="D472" s="8"/>
      <c r="E472" s="5" t="s">
        <v>612</v>
      </c>
      <c r="F472" s="16">
        <v>76882</v>
      </c>
      <c r="G472" s="16">
        <v>49708</v>
      </c>
      <c r="H472" s="5" t="s">
        <v>26</v>
      </c>
      <c r="I472" s="5" t="s">
        <v>21</v>
      </c>
      <c r="J472" s="5">
        <v>357862000</v>
      </c>
      <c r="K472" s="5">
        <v>9127033</v>
      </c>
      <c r="L472" s="5" t="s">
        <v>163</v>
      </c>
      <c r="M472" s="17">
        <v>46132.75</v>
      </c>
      <c r="N472" s="18" t="b">
        <v>0</v>
      </c>
      <c r="O472" s="5"/>
      <c r="P472" s="22"/>
      <c r="Q472" s="8"/>
      <c r="R472" s="8"/>
      <c r="S472" s="8"/>
      <c r="T472" s="8"/>
      <c r="U472" s="8"/>
      <c r="V472" s="8"/>
      <c r="W472" s="8"/>
      <c r="X472" s="8"/>
      <c r="Y472" s="8"/>
      <c r="Z472" s="8"/>
      <c r="AA472" s="8"/>
      <c r="AB472" s="8"/>
      <c r="AC472" s="8"/>
      <c r="AD472" s="24"/>
      <c r="AE472" s="24">
        <f t="shared" si="9"/>
        <v>0</v>
      </c>
      <c r="AF472" s="22" t="s">
        <v>556</v>
      </c>
      <c r="AG472" s="8"/>
      <c r="AH472" s="8"/>
      <c r="AI472" s="8"/>
    </row>
    <row r="473" spans="1:35" ht="15.75" customHeight="1" x14ac:dyDescent="0.25">
      <c r="A473" s="8"/>
      <c r="B473" s="8"/>
      <c r="C473" s="8"/>
      <c r="D473" s="8"/>
      <c r="E473" s="5" t="s">
        <v>613</v>
      </c>
      <c r="F473" s="16">
        <v>93000</v>
      </c>
      <c r="G473" s="16">
        <v>58032</v>
      </c>
      <c r="H473" s="5" t="s">
        <v>26</v>
      </c>
      <c r="I473" s="5" t="s">
        <v>21</v>
      </c>
      <c r="J473" s="5">
        <v>352003638</v>
      </c>
      <c r="K473" s="5">
        <v>9969821</v>
      </c>
      <c r="L473" s="5"/>
      <c r="M473" s="33"/>
      <c r="N473" s="18" t="b">
        <v>0</v>
      </c>
      <c r="O473" s="5"/>
      <c r="P473" s="22"/>
      <c r="Q473" s="8"/>
      <c r="R473" s="8"/>
      <c r="S473" s="8"/>
      <c r="T473" s="8"/>
      <c r="U473" s="8"/>
      <c r="V473" s="8"/>
      <c r="W473" s="8"/>
      <c r="X473" s="8"/>
      <c r="Y473" s="8"/>
      <c r="Z473" s="8"/>
      <c r="AA473" s="8"/>
      <c r="AB473" s="8"/>
      <c r="AC473" s="8"/>
      <c r="AD473" s="24"/>
      <c r="AE473" s="24">
        <f t="shared" si="9"/>
        <v>0</v>
      </c>
      <c r="AF473" s="22" t="s">
        <v>556</v>
      </c>
      <c r="AG473" s="8"/>
      <c r="AH473" s="8"/>
      <c r="AI473" s="8"/>
    </row>
    <row r="474" spans="1:35" ht="15.75" customHeight="1" x14ac:dyDescent="0.25">
      <c r="A474" s="8"/>
      <c r="B474" s="8"/>
      <c r="C474" s="8"/>
      <c r="D474" s="8"/>
      <c r="E474" s="5" t="s">
        <v>614</v>
      </c>
      <c r="F474" s="16">
        <v>84000</v>
      </c>
      <c r="G474" s="16">
        <v>54669</v>
      </c>
      <c r="H474" s="5" t="s">
        <v>26</v>
      </c>
      <c r="I474" s="5" t="s">
        <v>21</v>
      </c>
      <c r="J474" s="5">
        <v>259127000</v>
      </c>
      <c r="K474" s="5">
        <v>9730139</v>
      </c>
      <c r="L474" s="5" t="s">
        <v>133</v>
      </c>
      <c r="M474" s="17">
        <v>46132.25</v>
      </c>
      <c r="N474" s="18" t="b">
        <v>0</v>
      </c>
      <c r="O474" s="5"/>
      <c r="P474" s="22"/>
      <c r="Q474" s="8"/>
      <c r="R474" s="8"/>
      <c r="S474" s="8"/>
      <c r="T474" s="8"/>
      <c r="U474" s="8"/>
      <c r="V474" s="8"/>
      <c r="W474" s="8"/>
      <c r="X474" s="8"/>
      <c r="Y474" s="8"/>
      <c r="Z474" s="8"/>
      <c r="AA474" s="8"/>
      <c r="AB474" s="8"/>
      <c r="AC474" s="8"/>
      <c r="AD474" s="24"/>
      <c r="AE474" s="24">
        <f t="shared" si="9"/>
        <v>0</v>
      </c>
      <c r="AF474" s="22" t="s">
        <v>556</v>
      </c>
      <c r="AG474" s="8"/>
      <c r="AH474" s="8"/>
      <c r="AI474" s="8"/>
    </row>
    <row r="475" spans="1:35" ht="15.75" customHeight="1" x14ac:dyDescent="0.25">
      <c r="A475" s="8"/>
      <c r="B475" s="8"/>
      <c r="C475" s="8"/>
      <c r="D475" s="8"/>
      <c r="E475" s="5" t="s">
        <v>615</v>
      </c>
      <c r="F475" s="16">
        <v>84000</v>
      </c>
      <c r="G475" s="16">
        <v>54593</v>
      </c>
      <c r="H475" s="5" t="s">
        <v>26</v>
      </c>
      <c r="I475" s="5" t="s">
        <v>21</v>
      </c>
      <c r="J475" s="5">
        <v>259156000</v>
      </c>
      <c r="K475" s="5">
        <v>9762118</v>
      </c>
      <c r="L475" s="5" t="s">
        <v>61</v>
      </c>
      <c r="M475" s="33">
        <v>46132.041666666664</v>
      </c>
      <c r="N475" s="18" t="b">
        <v>0</v>
      </c>
      <c r="O475" s="5"/>
      <c r="P475" s="22"/>
      <c r="Q475" s="8"/>
      <c r="R475" s="8"/>
      <c r="S475" s="8"/>
      <c r="T475" s="8"/>
      <c r="U475" s="8"/>
      <c r="V475" s="8"/>
      <c r="W475" s="8"/>
      <c r="X475" s="8"/>
      <c r="Y475" s="8"/>
      <c r="Z475" s="8"/>
      <c r="AA475" s="8"/>
      <c r="AB475" s="8"/>
      <c r="AC475" s="8"/>
      <c r="AD475" s="24"/>
      <c r="AE475" s="24">
        <f t="shared" si="9"/>
        <v>0</v>
      </c>
      <c r="AF475" s="22" t="s">
        <v>556</v>
      </c>
      <c r="AG475" s="8"/>
      <c r="AH475" s="8"/>
      <c r="AI475" s="8"/>
    </row>
    <row r="476" spans="1:35" ht="15.75" customHeight="1" x14ac:dyDescent="0.25">
      <c r="A476" s="8"/>
      <c r="B476" s="8"/>
      <c r="C476" s="8"/>
      <c r="D476" s="8"/>
      <c r="E476" s="5" t="s">
        <v>616</v>
      </c>
      <c r="F476" s="16">
        <v>89348</v>
      </c>
      <c r="G476" s="16">
        <v>53940</v>
      </c>
      <c r="H476" s="5" t="s">
        <v>26</v>
      </c>
      <c r="I476" s="5" t="s">
        <v>21</v>
      </c>
      <c r="J476" s="5">
        <v>538010118</v>
      </c>
      <c r="K476" s="5">
        <v>9940978</v>
      </c>
      <c r="L476" s="5" t="s">
        <v>617</v>
      </c>
      <c r="M476" s="33">
        <v>46135.5</v>
      </c>
      <c r="N476" s="18" t="b">
        <v>0</v>
      </c>
      <c r="O476" s="5"/>
      <c r="P476" s="22"/>
      <c r="Q476" s="8"/>
      <c r="R476" s="8"/>
      <c r="S476" s="8"/>
      <c r="T476" s="8"/>
      <c r="U476" s="8"/>
      <c r="V476" s="8"/>
      <c r="W476" s="8"/>
      <c r="X476" s="8"/>
      <c r="Y476" s="8"/>
      <c r="Z476" s="8"/>
      <c r="AA476" s="8"/>
      <c r="AB476" s="8"/>
      <c r="AC476" s="8"/>
      <c r="AD476" s="24"/>
      <c r="AE476" s="24">
        <f t="shared" si="9"/>
        <v>0</v>
      </c>
      <c r="AF476" s="22" t="s">
        <v>556</v>
      </c>
      <c r="AG476" s="8"/>
      <c r="AH476" s="8"/>
      <c r="AI476" s="8"/>
    </row>
    <row r="477" spans="1:35" ht="15.75" customHeight="1" x14ac:dyDescent="0.25">
      <c r="A477" s="8"/>
      <c r="B477" s="8"/>
      <c r="C477" s="8"/>
      <c r="D477" s="8"/>
      <c r="E477" s="5" t="s">
        <v>618</v>
      </c>
      <c r="F477" s="16">
        <v>75382</v>
      </c>
      <c r="G477" s="16">
        <v>49618</v>
      </c>
      <c r="H477" s="5" t="s">
        <v>26</v>
      </c>
      <c r="I477" s="5" t="s">
        <v>21</v>
      </c>
      <c r="J477" s="5">
        <v>613467106</v>
      </c>
      <c r="K477" s="5">
        <v>8912558</v>
      </c>
      <c r="L477" s="5" t="s">
        <v>619</v>
      </c>
      <c r="M477" s="33">
        <v>46132.375</v>
      </c>
      <c r="N477" s="18" t="b">
        <v>0</v>
      </c>
      <c r="O477" s="5"/>
      <c r="P477" s="22"/>
      <c r="Q477" s="8"/>
      <c r="R477" s="8"/>
      <c r="S477" s="8"/>
      <c r="T477" s="8"/>
      <c r="U477" s="8"/>
      <c r="V477" s="8"/>
      <c r="W477" s="8"/>
      <c r="X477" s="8"/>
      <c r="Y477" s="8"/>
      <c r="Z477" s="8"/>
      <c r="AA477" s="8"/>
      <c r="AB477" s="8"/>
      <c r="AC477" s="8"/>
      <c r="AD477" s="24"/>
      <c r="AE477" s="24">
        <f t="shared" si="9"/>
        <v>0</v>
      </c>
      <c r="AF477" s="22" t="s">
        <v>556</v>
      </c>
      <c r="AG477" s="8"/>
      <c r="AH477" s="8"/>
      <c r="AI477" s="8"/>
    </row>
    <row r="478" spans="1:35" ht="15.75" customHeight="1" x14ac:dyDescent="0.25">
      <c r="A478" s="8"/>
      <c r="B478" s="8"/>
      <c r="C478" s="8"/>
      <c r="D478" s="8"/>
      <c r="E478" s="5" t="s">
        <v>620</v>
      </c>
      <c r="F478" s="16">
        <v>80771</v>
      </c>
      <c r="G478" s="16">
        <v>54538</v>
      </c>
      <c r="H478" s="5" t="s">
        <v>20</v>
      </c>
      <c r="I478" s="5" t="s">
        <v>21</v>
      </c>
      <c r="J478" s="5">
        <v>538005256</v>
      </c>
      <c r="K478" s="5">
        <v>9359454</v>
      </c>
      <c r="L478" s="5" t="s">
        <v>157</v>
      </c>
      <c r="M478" s="33">
        <v>46161.104166666664</v>
      </c>
      <c r="N478" s="18" t="b">
        <v>1</v>
      </c>
      <c r="O478" s="5"/>
      <c r="P478" s="22"/>
      <c r="Q478" s="8"/>
      <c r="R478" s="8"/>
      <c r="S478" s="8"/>
      <c r="T478" s="8"/>
      <c r="U478" s="8"/>
      <c r="V478" s="8"/>
      <c r="W478" s="8"/>
      <c r="X478" s="8"/>
      <c r="Y478" s="8"/>
      <c r="Z478" s="8"/>
      <c r="AA478" s="8"/>
      <c r="AB478" s="8"/>
      <c r="AC478" s="8"/>
      <c r="AD478" s="24"/>
      <c r="AE478" s="24">
        <f t="shared" si="9"/>
        <v>0</v>
      </c>
      <c r="AF478" s="22" t="s">
        <v>556</v>
      </c>
      <c r="AG478" s="8"/>
      <c r="AH478" s="8"/>
      <c r="AI478" s="8"/>
    </row>
    <row r="479" spans="1:35" ht="15.75" customHeight="1" x14ac:dyDescent="0.25">
      <c r="A479" s="8"/>
      <c r="B479" s="8"/>
      <c r="C479" s="8"/>
      <c r="D479" s="8"/>
      <c r="E479" s="5" t="s">
        <v>621</v>
      </c>
      <c r="F479" s="16">
        <v>84614</v>
      </c>
      <c r="G479" s="16">
        <v>54707</v>
      </c>
      <c r="H479" s="5" t="s">
        <v>26</v>
      </c>
      <c r="I479" s="5" t="s">
        <v>21</v>
      </c>
      <c r="J479" s="5">
        <v>314188000</v>
      </c>
      <c r="K479" s="5">
        <v>9370537</v>
      </c>
      <c r="L479" s="5"/>
      <c r="M479" s="17"/>
      <c r="N479" s="18" t="b">
        <v>0</v>
      </c>
      <c r="O479" s="5"/>
      <c r="P479" s="22"/>
      <c r="Q479" s="8"/>
      <c r="R479" s="8"/>
      <c r="S479" s="8"/>
      <c r="T479" s="8"/>
      <c r="U479" s="8"/>
      <c r="V479" s="8"/>
      <c r="W479" s="8"/>
      <c r="X479" s="8"/>
      <c r="Y479" s="8"/>
      <c r="Z479" s="8"/>
      <c r="AA479" s="8"/>
      <c r="AB479" s="8"/>
      <c r="AC479" s="8"/>
      <c r="AD479" s="24"/>
      <c r="AE479" s="24">
        <f t="shared" si="9"/>
        <v>0</v>
      </c>
      <c r="AF479" s="22" t="s">
        <v>556</v>
      </c>
      <c r="AG479" s="8"/>
      <c r="AH479" s="8"/>
      <c r="AI479" s="8"/>
    </row>
    <row r="480" spans="1:35" ht="15.75" customHeight="1" x14ac:dyDescent="0.25">
      <c r="A480" s="8"/>
      <c r="B480" s="8"/>
      <c r="C480" s="8"/>
      <c r="D480" s="8"/>
      <c r="E480" s="5" t="s">
        <v>622</v>
      </c>
      <c r="F480" s="16">
        <v>88000</v>
      </c>
      <c r="G480" s="16">
        <v>60000</v>
      </c>
      <c r="H480" s="5" t="s">
        <v>26</v>
      </c>
      <c r="I480" s="5" t="s">
        <v>21</v>
      </c>
      <c r="J480" s="5">
        <v>636023949</v>
      </c>
      <c r="K480" s="5">
        <v>9987093</v>
      </c>
      <c r="L480" s="5" t="s">
        <v>38</v>
      </c>
      <c r="M480" s="33">
        <v>46147.625</v>
      </c>
      <c r="N480" s="18" t="b">
        <v>0</v>
      </c>
      <c r="O480" s="5"/>
      <c r="P480" s="22"/>
      <c r="Q480" s="8"/>
      <c r="R480" s="8"/>
      <c r="S480" s="8"/>
      <c r="T480" s="8"/>
      <c r="U480" s="8"/>
      <c r="V480" s="8"/>
      <c r="W480" s="8"/>
      <c r="X480" s="8"/>
      <c r="Y480" s="8"/>
      <c r="Z480" s="8"/>
      <c r="AA480" s="8"/>
      <c r="AB480" s="8"/>
      <c r="AC480" s="8"/>
      <c r="AD480" s="24"/>
      <c r="AE480" s="24">
        <f t="shared" si="9"/>
        <v>0</v>
      </c>
      <c r="AF480" s="22" t="s">
        <v>556</v>
      </c>
      <c r="AG480" s="8"/>
      <c r="AH480" s="8"/>
      <c r="AI480" s="8"/>
    </row>
    <row r="481" spans="1:35" ht="15.75" customHeight="1" x14ac:dyDescent="0.25">
      <c r="A481" s="8"/>
      <c r="B481" s="8"/>
      <c r="C481" s="8"/>
      <c r="D481" s="8"/>
      <c r="E481" s="5" t="s">
        <v>623</v>
      </c>
      <c r="F481" s="16">
        <v>84000</v>
      </c>
      <c r="G481" s="16">
        <v>55075</v>
      </c>
      <c r="H481" s="5" t="s">
        <v>20</v>
      </c>
      <c r="I481" s="5" t="s">
        <v>21</v>
      </c>
      <c r="J481" s="5">
        <v>636024433</v>
      </c>
      <c r="K481" s="5">
        <v>9849277</v>
      </c>
      <c r="L481" s="5" t="s">
        <v>624</v>
      </c>
      <c r="M481" s="33">
        <v>46133.125</v>
      </c>
      <c r="N481" s="18" t="b">
        <v>1</v>
      </c>
      <c r="O481" s="5"/>
      <c r="P481" s="22"/>
      <c r="Q481" s="8"/>
      <c r="R481" s="8"/>
      <c r="S481" s="8"/>
      <c r="T481" s="8"/>
      <c r="U481" s="8"/>
      <c r="V481" s="8"/>
      <c r="W481" s="8"/>
      <c r="X481" s="8"/>
      <c r="Y481" s="8"/>
      <c r="Z481" s="8"/>
      <c r="AA481" s="8"/>
      <c r="AB481" s="8"/>
      <c r="AC481" s="8"/>
      <c r="AD481" s="24"/>
      <c r="AE481" s="24">
        <f t="shared" si="9"/>
        <v>0</v>
      </c>
      <c r="AF481" s="22" t="s">
        <v>556</v>
      </c>
      <c r="AG481" s="8"/>
      <c r="AH481" s="8"/>
      <c r="AI481" s="8"/>
    </row>
    <row r="482" spans="1:35" ht="15.75" customHeight="1" x14ac:dyDescent="0.25">
      <c r="A482" s="8"/>
      <c r="B482" s="8"/>
      <c r="C482" s="8"/>
      <c r="D482" s="8"/>
      <c r="E482" s="5" t="s">
        <v>625</v>
      </c>
      <c r="F482" s="16">
        <v>80000</v>
      </c>
      <c r="G482" s="16">
        <v>50591</v>
      </c>
      <c r="H482" s="5" t="s">
        <v>26</v>
      </c>
      <c r="I482" s="5" t="s">
        <v>21</v>
      </c>
      <c r="J482" s="5">
        <v>636018849</v>
      </c>
      <c r="K482" s="5">
        <v>9793234</v>
      </c>
      <c r="L482" s="5" t="s">
        <v>107</v>
      </c>
      <c r="M482" s="17">
        <v>46146.541666666664</v>
      </c>
      <c r="N482" s="18" t="b">
        <v>0</v>
      </c>
      <c r="O482" s="5"/>
      <c r="P482" s="22"/>
      <c r="Q482" s="8"/>
      <c r="R482" s="8"/>
      <c r="S482" s="8"/>
      <c r="T482" s="8"/>
      <c r="U482" s="8"/>
      <c r="V482" s="8"/>
      <c r="W482" s="8"/>
      <c r="X482" s="8"/>
      <c r="Y482" s="8"/>
      <c r="Z482" s="8"/>
      <c r="AA482" s="8"/>
      <c r="AB482" s="8"/>
      <c r="AC482" s="8"/>
      <c r="AD482" s="24"/>
      <c r="AE482" s="24">
        <f t="shared" si="9"/>
        <v>0</v>
      </c>
      <c r="AF482" s="22" t="s">
        <v>556</v>
      </c>
      <c r="AG482" s="8"/>
      <c r="AH482" s="8"/>
      <c r="AI482" s="8"/>
    </row>
    <row r="483" spans="1:35" ht="15.75" customHeight="1" x14ac:dyDescent="0.25">
      <c r="A483" s="8"/>
      <c r="B483" s="8"/>
      <c r="C483" s="8"/>
      <c r="D483" s="8"/>
      <c r="E483" s="5" t="s">
        <v>626</v>
      </c>
      <c r="F483" s="16">
        <v>84000</v>
      </c>
      <c r="G483" s="16">
        <v>55065</v>
      </c>
      <c r="H483" s="5" t="s">
        <v>20</v>
      </c>
      <c r="I483" s="5" t="s">
        <v>21</v>
      </c>
      <c r="J483" s="5">
        <v>636024434</v>
      </c>
      <c r="K483" s="5">
        <v>9849289</v>
      </c>
      <c r="L483" s="5" t="s">
        <v>130</v>
      </c>
      <c r="M483" s="33">
        <v>46162.000694444447</v>
      </c>
      <c r="N483" s="18" t="b">
        <v>1</v>
      </c>
      <c r="O483" s="5"/>
      <c r="P483" s="22"/>
      <c r="Q483" s="8"/>
      <c r="R483" s="8"/>
      <c r="S483" s="8"/>
      <c r="T483" s="8"/>
      <c r="U483" s="8"/>
      <c r="V483" s="8"/>
      <c r="W483" s="8"/>
      <c r="X483" s="8"/>
      <c r="Y483" s="8"/>
      <c r="Z483" s="8"/>
      <c r="AA483" s="8"/>
      <c r="AB483" s="8"/>
      <c r="AC483" s="8"/>
      <c r="AD483" s="24"/>
      <c r="AE483" s="24">
        <f t="shared" si="9"/>
        <v>0</v>
      </c>
      <c r="AF483" s="22" t="s">
        <v>556</v>
      </c>
      <c r="AG483" s="8"/>
      <c r="AH483" s="8"/>
      <c r="AI483" s="8"/>
    </row>
    <row r="484" spans="1:35" ht="15.75" customHeight="1" x14ac:dyDescent="0.25">
      <c r="A484" s="8"/>
      <c r="B484" s="8"/>
      <c r="C484" s="8"/>
      <c r="D484" s="8"/>
      <c r="E484" s="5" t="s">
        <v>627</v>
      </c>
      <c r="F484" s="16">
        <v>84000</v>
      </c>
      <c r="G484" s="16">
        <v>50591</v>
      </c>
      <c r="H484" s="5" t="s">
        <v>26</v>
      </c>
      <c r="I484" s="5" t="s">
        <v>21</v>
      </c>
      <c r="J484" s="5">
        <v>636018926</v>
      </c>
      <c r="K484" s="5">
        <v>9793260</v>
      </c>
      <c r="L484" s="5" t="s">
        <v>38</v>
      </c>
      <c r="M484" s="33">
        <v>46137.708333333336</v>
      </c>
      <c r="N484" s="18" t="b">
        <v>0</v>
      </c>
      <c r="O484" s="5"/>
      <c r="P484" s="22"/>
      <c r="Q484" s="8"/>
      <c r="R484" s="8"/>
      <c r="S484" s="8"/>
      <c r="T484" s="8"/>
      <c r="U484" s="8"/>
      <c r="V484" s="8"/>
      <c r="W484" s="8"/>
      <c r="X484" s="8"/>
      <c r="Y484" s="8"/>
      <c r="Z484" s="8"/>
      <c r="AA484" s="8"/>
      <c r="AB484" s="8"/>
      <c r="AC484" s="8"/>
      <c r="AD484" s="24"/>
      <c r="AE484" s="24">
        <f t="shared" si="9"/>
        <v>0</v>
      </c>
      <c r="AF484" s="22" t="s">
        <v>556</v>
      </c>
      <c r="AG484" s="8"/>
      <c r="AH484" s="8"/>
      <c r="AI484" s="8"/>
    </row>
    <row r="485" spans="1:35" ht="15.75" customHeight="1" x14ac:dyDescent="0.25">
      <c r="A485" s="8"/>
      <c r="B485" s="8"/>
      <c r="C485" s="8"/>
      <c r="D485" s="8"/>
      <c r="E485" s="5" t="s">
        <v>628</v>
      </c>
      <c r="F485" s="16">
        <v>78700</v>
      </c>
      <c r="G485" s="16">
        <v>50591</v>
      </c>
      <c r="H485" s="5" t="s">
        <v>100</v>
      </c>
      <c r="I485" s="5" t="s">
        <v>21</v>
      </c>
      <c r="J485" s="5">
        <v>636018848</v>
      </c>
      <c r="K485" s="5">
        <v>9793246</v>
      </c>
      <c r="L485" s="5" t="s">
        <v>38</v>
      </c>
      <c r="M485" s="33">
        <v>46132.958333333336</v>
      </c>
      <c r="N485" s="18" t="b">
        <v>0</v>
      </c>
      <c r="O485" s="5"/>
      <c r="P485" s="22"/>
      <c r="Q485" s="8"/>
      <c r="R485" s="8"/>
      <c r="S485" s="8"/>
      <c r="T485" s="8"/>
      <c r="U485" s="8"/>
      <c r="V485" s="8"/>
      <c r="W485" s="8"/>
      <c r="X485" s="8"/>
      <c r="Y485" s="8"/>
      <c r="Z485" s="8"/>
      <c r="AA485" s="8"/>
      <c r="AB485" s="8"/>
      <c r="AC485" s="8"/>
      <c r="AD485" s="24"/>
      <c r="AE485" s="24">
        <f t="shared" si="9"/>
        <v>0</v>
      </c>
      <c r="AF485" s="22" t="s">
        <v>556</v>
      </c>
      <c r="AG485" s="8"/>
      <c r="AH485" s="8"/>
      <c r="AI485" s="8"/>
    </row>
    <row r="486" spans="1:35" ht="15.75" customHeight="1" x14ac:dyDescent="0.25">
      <c r="A486" s="8"/>
      <c r="B486" s="8"/>
      <c r="C486" s="8"/>
      <c r="D486" s="8"/>
      <c r="E486" s="5" t="s">
        <v>629</v>
      </c>
      <c r="F486" s="16">
        <v>78700</v>
      </c>
      <c r="G486" s="16">
        <v>50591</v>
      </c>
      <c r="H486" s="5" t="s">
        <v>20</v>
      </c>
      <c r="I486" s="5" t="s">
        <v>21</v>
      </c>
      <c r="J486" s="5">
        <v>636018925</v>
      </c>
      <c r="K486" s="5">
        <v>9793258</v>
      </c>
      <c r="L486" s="5" t="s">
        <v>427</v>
      </c>
      <c r="M486" s="17">
        <v>46148.458333333336</v>
      </c>
      <c r="N486" s="18" t="b">
        <v>1</v>
      </c>
      <c r="O486" s="5"/>
      <c r="P486" s="22"/>
      <c r="Q486" s="8"/>
      <c r="R486" s="8"/>
      <c r="S486" s="8"/>
      <c r="T486" s="8"/>
      <c r="U486" s="8"/>
      <c r="V486" s="8"/>
      <c r="W486" s="8"/>
      <c r="X486" s="8"/>
      <c r="Y486" s="8"/>
      <c r="Z486" s="8"/>
      <c r="AA486" s="8"/>
      <c r="AB486" s="8"/>
      <c r="AC486" s="8"/>
      <c r="AD486" s="24"/>
      <c r="AE486" s="24">
        <f t="shared" si="9"/>
        <v>0</v>
      </c>
      <c r="AF486" s="22" t="s">
        <v>556</v>
      </c>
      <c r="AG486" s="8"/>
      <c r="AH486" s="8"/>
      <c r="AI486" s="8"/>
    </row>
    <row r="487" spans="1:35" ht="15.75" customHeight="1" x14ac:dyDescent="0.25">
      <c r="A487" s="8"/>
      <c r="B487" s="8"/>
      <c r="C487" s="8"/>
      <c r="D487" s="8"/>
      <c r="E487" s="5" t="s">
        <v>630</v>
      </c>
      <c r="F487" s="16">
        <v>80623</v>
      </c>
      <c r="G487" s="16">
        <v>58677</v>
      </c>
      <c r="H487" s="5" t="s">
        <v>26</v>
      </c>
      <c r="I487" s="5" t="s">
        <v>21</v>
      </c>
      <c r="J487" s="5">
        <v>525114108</v>
      </c>
      <c r="K487" s="5">
        <v>9347516</v>
      </c>
      <c r="L487" s="5" t="s">
        <v>61</v>
      </c>
      <c r="M487" s="17">
        <v>46152.625</v>
      </c>
      <c r="N487" s="18" t="b">
        <v>0</v>
      </c>
      <c r="O487" s="5"/>
      <c r="P487" s="22"/>
      <c r="Q487" s="8"/>
      <c r="R487" s="8"/>
      <c r="S487" s="8"/>
      <c r="T487" s="8"/>
      <c r="U487" s="8"/>
      <c r="V487" s="8"/>
      <c r="W487" s="8"/>
      <c r="X487" s="8"/>
      <c r="Y487" s="8"/>
      <c r="Z487" s="8"/>
      <c r="AA487" s="8"/>
      <c r="AB487" s="8"/>
      <c r="AC487" s="8"/>
      <c r="AD487" s="24"/>
      <c r="AE487" s="24">
        <f t="shared" si="9"/>
        <v>0</v>
      </c>
      <c r="AF487" s="22" t="s">
        <v>556</v>
      </c>
      <c r="AG487" s="8"/>
      <c r="AH487" s="8"/>
      <c r="AI487" s="8"/>
    </row>
    <row r="488" spans="1:35" ht="15.75" customHeight="1" x14ac:dyDescent="0.25">
      <c r="A488" s="8"/>
      <c r="B488" s="8"/>
      <c r="C488" s="8"/>
      <c r="D488" s="8"/>
      <c r="E488" s="5" t="s">
        <v>631</v>
      </c>
      <c r="F488" s="16">
        <v>75684</v>
      </c>
      <c r="G488" s="16">
        <v>55361</v>
      </c>
      <c r="H488" s="5" t="s">
        <v>75</v>
      </c>
      <c r="I488" s="5" t="s">
        <v>21</v>
      </c>
      <c r="J488" s="5">
        <v>371368000</v>
      </c>
      <c r="K488" s="5">
        <v>7420089</v>
      </c>
      <c r="L488" s="5"/>
      <c r="M488" s="33"/>
      <c r="N488" s="18" t="b">
        <v>1</v>
      </c>
      <c r="O488" s="5"/>
      <c r="P488" s="22"/>
      <c r="Q488" s="8"/>
      <c r="R488" s="8"/>
      <c r="S488" s="8"/>
      <c r="T488" s="8"/>
      <c r="U488" s="8"/>
      <c r="V488" s="8"/>
      <c r="W488" s="8"/>
      <c r="X488" s="8"/>
      <c r="Y488" s="8"/>
      <c r="Z488" s="8"/>
      <c r="AA488" s="8"/>
      <c r="AB488" s="8"/>
      <c r="AC488" s="8"/>
      <c r="AD488" s="24"/>
      <c r="AE488" s="24">
        <f t="shared" si="9"/>
        <v>0</v>
      </c>
      <c r="AF488" s="22" t="s">
        <v>556</v>
      </c>
      <c r="AG488" s="8"/>
      <c r="AH488" s="8"/>
      <c r="AI488" s="8"/>
    </row>
    <row r="489" spans="1:35" ht="15.75" customHeight="1" x14ac:dyDescent="0.25">
      <c r="A489" s="8"/>
      <c r="B489" s="8"/>
      <c r="C489" s="8"/>
      <c r="D489" s="8"/>
      <c r="E489" s="5" t="s">
        <v>632</v>
      </c>
      <c r="F489" s="16">
        <v>80793</v>
      </c>
      <c r="G489" s="16">
        <v>58560</v>
      </c>
      <c r="H489" s="5" t="s">
        <v>20</v>
      </c>
      <c r="I489" s="5" t="s">
        <v>21</v>
      </c>
      <c r="J489" s="5">
        <v>538010314</v>
      </c>
      <c r="K489" s="5">
        <v>9387750</v>
      </c>
      <c r="L489" s="5" t="s">
        <v>633</v>
      </c>
      <c r="M489" s="17">
        <v>46133.5</v>
      </c>
      <c r="N489" s="18" t="b">
        <v>1</v>
      </c>
      <c r="O489" s="5"/>
      <c r="P489" s="22"/>
      <c r="Q489" s="8"/>
      <c r="R489" s="8"/>
      <c r="S489" s="8"/>
      <c r="T489" s="8"/>
      <c r="U489" s="8"/>
      <c r="V489" s="8"/>
      <c r="W489" s="8"/>
      <c r="X489" s="8"/>
      <c r="Y489" s="8"/>
      <c r="Z489" s="8"/>
      <c r="AA489" s="8"/>
      <c r="AB489" s="8"/>
      <c r="AC489" s="8"/>
      <c r="AD489" s="24"/>
      <c r="AE489" s="24">
        <f t="shared" si="9"/>
        <v>0</v>
      </c>
      <c r="AF489" s="22" t="s">
        <v>556</v>
      </c>
      <c r="AG489" s="8"/>
      <c r="AH489" s="8"/>
      <c r="AI489" s="8"/>
    </row>
    <row r="490" spans="1:35" ht="15.75" customHeight="1" x14ac:dyDescent="0.25">
      <c r="A490" s="8"/>
      <c r="B490" s="8"/>
      <c r="C490" s="8"/>
      <c r="D490" s="8"/>
      <c r="E490" s="5" t="s">
        <v>634</v>
      </c>
      <c r="F490" s="16">
        <v>84000</v>
      </c>
      <c r="G490" s="16">
        <v>53971</v>
      </c>
      <c r="H490" s="5" t="s">
        <v>20</v>
      </c>
      <c r="I490" s="5" t="s">
        <v>21</v>
      </c>
      <c r="J490" s="5">
        <v>371513000</v>
      </c>
      <c r="K490" s="5">
        <v>9902172</v>
      </c>
      <c r="L490" s="5" t="s">
        <v>101</v>
      </c>
      <c r="M490" s="17">
        <v>46133.5</v>
      </c>
      <c r="N490" s="18" t="b">
        <v>1</v>
      </c>
      <c r="O490" s="5"/>
      <c r="P490" s="22"/>
      <c r="Q490" s="8"/>
      <c r="R490" s="8"/>
      <c r="S490" s="8"/>
      <c r="T490" s="8"/>
      <c r="U490" s="8"/>
      <c r="V490" s="8"/>
      <c r="W490" s="8"/>
      <c r="X490" s="8"/>
      <c r="Y490" s="8"/>
      <c r="Z490" s="8"/>
      <c r="AA490" s="8"/>
      <c r="AB490" s="8"/>
      <c r="AC490" s="8"/>
      <c r="AD490" s="24"/>
      <c r="AE490" s="24">
        <f t="shared" si="9"/>
        <v>0</v>
      </c>
      <c r="AF490" s="22" t="s">
        <v>556</v>
      </c>
      <c r="AG490" s="8"/>
      <c r="AH490" s="8"/>
      <c r="AI490" s="8"/>
    </row>
    <row r="491" spans="1:35" ht="15.75" customHeight="1" x14ac:dyDescent="0.25">
      <c r="A491" s="8"/>
      <c r="B491" s="8"/>
      <c r="C491" s="8"/>
      <c r="D491" s="8"/>
      <c r="E491" s="5" t="s">
        <v>635</v>
      </c>
      <c r="F491" s="16">
        <v>74080</v>
      </c>
      <c r="G491" s="16">
        <v>49353</v>
      </c>
      <c r="H491" s="5" t="s">
        <v>26</v>
      </c>
      <c r="I491" s="5" t="s">
        <v>21</v>
      </c>
      <c r="J491" s="5">
        <v>632001092</v>
      </c>
      <c r="K491" s="5">
        <v>9052331</v>
      </c>
      <c r="L491" s="5"/>
      <c r="M491" s="17"/>
      <c r="N491" s="18" t="b">
        <v>0</v>
      </c>
      <c r="O491" s="5"/>
      <c r="P491" s="22"/>
      <c r="Q491" s="8"/>
      <c r="R491" s="8"/>
      <c r="S491" s="8"/>
      <c r="T491" s="8"/>
      <c r="U491" s="8"/>
      <c r="V491" s="8"/>
      <c r="W491" s="8"/>
      <c r="X491" s="8"/>
      <c r="Y491" s="8"/>
      <c r="Z491" s="8"/>
      <c r="AA491" s="8"/>
      <c r="AB491" s="8"/>
      <c r="AC491" s="8"/>
      <c r="AD491" s="24"/>
      <c r="AE491" s="24">
        <f t="shared" si="9"/>
        <v>0</v>
      </c>
      <c r="AF491" s="22" t="s">
        <v>556</v>
      </c>
      <c r="AG491" s="8"/>
      <c r="AH491" s="8"/>
      <c r="AI491" s="8"/>
    </row>
    <row r="492" spans="1:35" ht="15.75" customHeight="1" x14ac:dyDescent="0.25">
      <c r="A492" s="8"/>
      <c r="B492" s="8"/>
      <c r="C492" s="8"/>
      <c r="D492" s="8"/>
      <c r="E492" s="5" t="s">
        <v>636</v>
      </c>
      <c r="F492" s="16">
        <v>76916</v>
      </c>
      <c r="G492" s="16">
        <v>50357</v>
      </c>
      <c r="H492" s="5" t="s">
        <v>75</v>
      </c>
      <c r="I492" s="5" t="s">
        <v>21</v>
      </c>
      <c r="J492" s="5">
        <v>306212000</v>
      </c>
      <c r="K492" s="5">
        <v>9007386</v>
      </c>
      <c r="L492" s="5"/>
      <c r="M492" s="33"/>
      <c r="N492" s="18" t="b">
        <v>1</v>
      </c>
      <c r="O492" s="5"/>
      <c r="P492" s="22"/>
      <c r="Q492" s="8"/>
      <c r="R492" s="8"/>
      <c r="S492" s="8"/>
      <c r="T492" s="8"/>
      <c r="U492" s="8"/>
      <c r="V492" s="8"/>
      <c r="W492" s="8"/>
      <c r="X492" s="8"/>
      <c r="Y492" s="8"/>
      <c r="Z492" s="8"/>
      <c r="AA492" s="8"/>
      <c r="AB492" s="8"/>
      <c r="AC492" s="8"/>
      <c r="AD492" s="24"/>
      <c r="AE492" s="24">
        <f t="shared" si="9"/>
        <v>0</v>
      </c>
      <c r="AF492" s="22" t="s">
        <v>556</v>
      </c>
      <c r="AG492" s="8"/>
      <c r="AH492" s="8"/>
      <c r="AI492" s="8"/>
    </row>
    <row r="493" spans="1:35" ht="15.75" customHeight="1" x14ac:dyDescent="0.25">
      <c r="A493" s="8"/>
      <c r="B493" s="8"/>
      <c r="C493" s="8"/>
      <c r="D493" s="8"/>
      <c r="E493" s="5" t="s">
        <v>637</v>
      </c>
      <c r="F493" s="16">
        <v>77351</v>
      </c>
      <c r="G493" s="16">
        <v>49999</v>
      </c>
      <c r="H493" s="5" t="s">
        <v>20</v>
      </c>
      <c r="I493" s="5" t="s">
        <v>21</v>
      </c>
      <c r="J493" s="5">
        <v>353812000</v>
      </c>
      <c r="K493" s="5">
        <v>9238272</v>
      </c>
      <c r="L493" s="5" t="s">
        <v>40</v>
      </c>
      <c r="M493" s="17">
        <v>46134</v>
      </c>
      <c r="N493" s="18" t="b">
        <v>1</v>
      </c>
      <c r="O493" s="5"/>
      <c r="P493" s="22"/>
      <c r="Q493" s="8"/>
      <c r="R493" s="8"/>
      <c r="S493" s="8"/>
      <c r="T493" s="8"/>
      <c r="U493" s="8"/>
      <c r="V493" s="8"/>
      <c r="W493" s="8"/>
      <c r="X493" s="8"/>
      <c r="Y493" s="8"/>
      <c r="Z493" s="8"/>
      <c r="AA493" s="8"/>
      <c r="AB493" s="8"/>
      <c r="AC493" s="8"/>
      <c r="AD493" s="24"/>
      <c r="AE493" s="24">
        <f t="shared" si="9"/>
        <v>0</v>
      </c>
      <c r="AF493" s="22" t="s">
        <v>556</v>
      </c>
      <c r="AG493" s="8"/>
      <c r="AH493" s="8"/>
      <c r="AI493" s="8"/>
    </row>
    <row r="494" spans="1:35" ht="15.75" customHeight="1" x14ac:dyDescent="0.25">
      <c r="A494" s="8"/>
      <c r="B494" s="8"/>
      <c r="C494" s="8"/>
      <c r="D494" s="8"/>
      <c r="E494" s="5" t="s">
        <v>638</v>
      </c>
      <c r="F494" s="16">
        <v>77338</v>
      </c>
      <c r="G494" s="16">
        <v>49999</v>
      </c>
      <c r="H494" s="5" t="s">
        <v>100</v>
      </c>
      <c r="I494" s="5" t="s">
        <v>21</v>
      </c>
      <c r="J494" s="5">
        <v>371230000</v>
      </c>
      <c r="K494" s="5">
        <v>9322657</v>
      </c>
      <c r="L494" s="5" t="s">
        <v>101</v>
      </c>
      <c r="M494" s="17">
        <v>46142.000694444447</v>
      </c>
      <c r="N494" s="18" t="b">
        <v>1</v>
      </c>
      <c r="O494" s="5"/>
      <c r="P494" s="22"/>
      <c r="Q494" s="8"/>
      <c r="R494" s="8"/>
      <c r="S494" s="8"/>
      <c r="T494" s="8"/>
      <c r="U494" s="8"/>
      <c r="V494" s="8"/>
      <c r="W494" s="8"/>
      <c r="X494" s="8"/>
      <c r="Y494" s="8"/>
      <c r="Z494" s="8"/>
      <c r="AA494" s="8"/>
      <c r="AB494" s="8"/>
      <c r="AC494" s="8"/>
      <c r="AD494" s="24"/>
      <c r="AE494" s="24">
        <f t="shared" si="9"/>
        <v>0</v>
      </c>
      <c r="AF494" s="22" t="s">
        <v>556</v>
      </c>
      <c r="AG494" s="8"/>
      <c r="AH494" s="8"/>
      <c r="AI494" s="8"/>
    </row>
    <row r="495" spans="1:35" ht="15.75" customHeight="1" x14ac:dyDescent="0.25">
      <c r="A495" s="8"/>
      <c r="B495" s="8"/>
      <c r="C495" s="8"/>
      <c r="D495" s="8"/>
      <c r="E495" s="5" t="s">
        <v>639</v>
      </c>
      <c r="F495" s="16">
        <v>77324</v>
      </c>
      <c r="G495" s="16">
        <v>49999</v>
      </c>
      <c r="H495" s="5" t="s">
        <v>20</v>
      </c>
      <c r="I495" s="5" t="s">
        <v>21</v>
      </c>
      <c r="J495" s="5">
        <v>357117000</v>
      </c>
      <c r="K495" s="5">
        <v>9395501</v>
      </c>
      <c r="L495" s="5" t="s">
        <v>157</v>
      </c>
      <c r="M495" s="17">
        <v>46162.333333333336</v>
      </c>
      <c r="N495" s="18" t="b">
        <v>1</v>
      </c>
      <c r="O495" s="5"/>
      <c r="P495" s="22"/>
      <c r="Q495" s="8"/>
      <c r="R495" s="8"/>
      <c r="S495" s="8"/>
      <c r="T495" s="8"/>
      <c r="U495" s="8"/>
      <c r="V495" s="8"/>
      <c r="W495" s="8"/>
      <c r="X495" s="8"/>
      <c r="Y495" s="8"/>
      <c r="Z495" s="8"/>
      <c r="AA495" s="8"/>
      <c r="AB495" s="8"/>
      <c r="AC495" s="8"/>
      <c r="AD495" s="24"/>
      <c r="AE495" s="24">
        <f t="shared" si="9"/>
        <v>0</v>
      </c>
      <c r="AF495" s="22" t="s">
        <v>556</v>
      </c>
      <c r="AG495" s="8"/>
      <c r="AH495" s="8"/>
      <c r="AI495" s="8"/>
    </row>
    <row r="496" spans="1:35" ht="15.75" customHeight="1" x14ac:dyDescent="0.25">
      <c r="A496" s="8"/>
      <c r="B496" s="8"/>
      <c r="C496" s="8"/>
      <c r="D496" s="8"/>
      <c r="E496" s="5" t="s">
        <v>640</v>
      </c>
      <c r="F496" s="16">
        <v>86000</v>
      </c>
      <c r="G496" s="16">
        <v>55211</v>
      </c>
      <c r="H496" s="5" t="s">
        <v>26</v>
      </c>
      <c r="I496" s="5" t="s">
        <v>21</v>
      </c>
      <c r="J496" s="5">
        <v>636021496</v>
      </c>
      <c r="K496" s="5">
        <v>9916824</v>
      </c>
      <c r="L496" s="5" t="s">
        <v>43</v>
      </c>
      <c r="M496" s="33">
        <v>46132.486805555556</v>
      </c>
      <c r="N496" s="18" t="b">
        <v>0</v>
      </c>
      <c r="O496" s="5"/>
      <c r="P496" s="22"/>
      <c r="Q496" s="8"/>
      <c r="R496" s="8"/>
      <c r="S496" s="8"/>
      <c r="T496" s="8"/>
      <c r="U496" s="8"/>
      <c r="V496" s="8"/>
      <c r="W496" s="8"/>
      <c r="X496" s="8"/>
      <c r="Y496" s="8"/>
      <c r="Z496" s="8"/>
      <c r="AA496" s="8"/>
      <c r="AB496" s="8"/>
      <c r="AC496" s="8"/>
      <c r="AD496" s="24"/>
      <c r="AE496" s="24">
        <f t="shared" si="9"/>
        <v>0</v>
      </c>
      <c r="AF496" s="22" t="s">
        <v>556</v>
      </c>
      <c r="AG496" s="8"/>
      <c r="AH496" s="8"/>
      <c r="AI496" s="8"/>
    </row>
    <row r="497" spans="1:35" ht="15.75" customHeight="1" x14ac:dyDescent="0.25">
      <c r="A497" s="8"/>
      <c r="B497" s="8"/>
      <c r="C497" s="8"/>
      <c r="D497" s="8"/>
      <c r="E497" s="5" t="s">
        <v>641</v>
      </c>
      <c r="F497" s="16">
        <v>88000</v>
      </c>
      <c r="G497" s="16">
        <v>58045</v>
      </c>
      <c r="H497" s="5" t="s">
        <v>26</v>
      </c>
      <c r="I497" s="5" t="s">
        <v>21</v>
      </c>
      <c r="J497" s="5">
        <v>636022848</v>
      </c>
      <c r="K497" s="5">
        <v>9987562</v>
      </c>
      <c r="L497" s="5" t="s">
        <v>105</v>
      </c>
      <c r="M497" s="33">
        <v>46150</v>
      </c>
      <c r="N497" s="18" t="b">
        <v>0</v>
      </c>
      <c r="O497" s="5"/>
      <c r="P497" s="22"/>
      <c r="Q497" s="8"/>
      <c r="R497" s="8"/>
      <c r="S497" s="8"/>
      <c r="T497" s="8"/>
      <c r="U497" s="8"/>
      <c r="V497" s="8"/>
      <c r="W497" s="8"/>
      <c r="X497" s="8"/>
      <c r="Y497" s="8"/>
      <c r="Z497" s="8"/>
      <c r="AA497" s="8"/>
      <c r="AB497" s="8"/>
      <c r="AC497" s="8"/>
      <c r="AD497" s="24"/>
      <c r="AE497" s="24">
        <f t="shared" si="9"/>
        <v>0</v>
      </c>
      <c r="AF497" s="22" t="s">
        <v>556</v>
      </c>
      <c r="AG497" s="8"/>
      <c r="AH497" s="8"/>
      <c r="AI497" s="8"/>
    </row>
    <row r="498" spans="1:35" ht="15.75" customHeight="1" x14ac:dyDescent="0.25">
      <c r="A498" s="8"/>
      <c r="B498" s="8"/>
      <c r="C498" s="8"/>
      <c r="D498" s="8"/>
      <c r="E498" s="5" t="s">
        <v>642</v>
      </c>
      <c r="F498" s="16">
        <v>78503</v>
      </c>
      <c r="G498" s="16">
        <v>50400</v>
      </c>
      <c r="H498" s="5" t="s">
        <v>75</v>
      </c>
      <c r="I498" s="5" t="s">
        <v>21</v>
      </c>
      <c r="J498" s="5">
        <v>620800045</v>
      </c>
      <c r="K498" s="5">
        <v>9041655</v>
      </c>
      <c r="L498" s="5"/>
      <c r="M498" s="17"/>
      <c r="N498" s="18" t="b">
        <v>1</v>
      </c>
      <c r="O498" s="5"/>
      <c r="P498" s="22"/>
      <c r="Q498" s="8"/>
      <c r="R498" s="8"/>
      <c r="S498" s="8"/>
      <c r="T498" s="8"/>
      <c r="U498" s="8"/>
      <c r="V498" s="8"/>
      <c r="W498" s="8"/>
      <c r="X498" s="8"/>
      <c r="Y498" s="8"/>
      <c r="Z498" s="8"/>
      <c r="AA498" s="8"/>
      <c r="AB498" s="8"/>
      <c r="AC498" s="8"/>
      <c r="AD498" s="24"/>
      <c r="AE498" s="24">
        <f t="shared" si="9"/>
        <v>0</v>
      </c>
      <c r="AF498" s="22" t="s">
        <v>556</v>
      </c>
      <c r="AG498" s="8"/>
      <c r="AH498" s="8"/>
      <c r="AI498" s="8"/>
    </row>
    <row r="499" spans="1:35" ht="15.75" customHeight="1" x14ac:dyDescent="0.25">
      <c r="A499" s="8"/>
      <c r="B499" s="8"/>
      <c r="C499" s="8"/>
      <c r="D499" s="8"/>
      <c r="E499" s="5" t="s">
        <v>643</v>
      </c>
      <c r="F499" s="16">
        <v>78900</v>
      </c>
      <c r="G499" s="16">
        <v>49999</v>
      </c>
      <c r="H499" s="5" t="s">
        <v>26</v>
      </c>
      <c r="I499" s="5" t="s">
        <v>21</v>
      </c>
      <c r="J499" s="5">
        <v>374994000</v>
      </c>
      <c r="K499" s="5">
        <v>9317298</v>
      </c>
      <c r="L499" s="5" t="s">
        <v>101</v>
      </c>
      <c r="M499" s="17">
        <v>46132.75</v>
      </c>
      <c r="N499" s="18" t="b">
        <v>0</v>
      </c>
      <c r="O499" s="5"/>
      <c r="P499" s="22"/>
      <c r="Q499" s="8"/>
      <c r="R499" s="8"/>
      <c r="S499" s="8"/>
      <c r="T499" s="8"/>
      <c r="U499" s="8"/>
      <c r="V499" s="8"/>
      <c r="W499" s="8"/>
      <c r="X499" s="8"/>
      <c r="Y499" s="8"/>
      <c r="Z499" s="8"/>
      <c r="AA499" s="8"/>
      <c r="AB499" s="8"/>
      <c r="AC499" s="8"/>
      <c r="AD499" s="24"/>
      <c r="AE499" s="24">
        <f t="shared" si="9"/>
        <v>0</v>
      </c>
      <c r="AF499" s="22" t="s">
        <v>556</v>
      </c>
      <c r="AG499" s="8"/>
      <c r="AH499" s="8"/>
      <c r="AI499" s="8"/>
    </row>
    <row r="500" spans="1:35" ht="15.75" customHeight="1" x14ac:dyDescent="0.25">
      <c r="A500" s="8"/>
      <c r="B500" s="8"/>
      <c r="C500" s="8"/>
      <c r="D500" s="8"/>
      <c r="E500" s="5"/>
      <c r="F500" s="16"/>
      <c r="G500" s="16"/>
      <c r="H500" s="5"/>
      <c r="I500" s="5"/>
      <c r="J500" s="5"/>
      <c r="K500" s="5"/>
      <c r="L500" s="5"/>
      <c r="M500" s="48"/>
      <c r="N500" s="18"/>
      <c r="O500" s="5"/>
      <c r="P500" s="22"/>
      <c r="Q500" s="8"/>
      <c r="R500" s="8"/>
      <c r="S500" s="8"/>
      <c r="T500" s="8"/>
      <c r="U500" s="8"/>
      <c r="V500" s="8"/>
      <c r="W500" s="8"/>
      <c r="X500" s="8"/>
      <c r="Y500" s="8"/>
      <c r="Z500" s="8"/>
      <c r="AA500" s="8"/>
      <c r="AB500" s="8"/>
      <c r="AC500" s="8"/>
      <c r="AD500" s="24"/>
      <c r="AE500" s="24" t="str">
        <f t="shared" si="9"/>
        <v/>
      </c>
      <c r="AF500" s="22" t="s">
        <v>556</v>
      </c>
      <c r="AG500" s="8"/>
      <c r="AH500" s="8"/>
      <c r="AI500" s="8"/>
    </row>
    <row r="501" spans="1:35" ht="15.75" customHeight="1" x14ac:dyDescent="0.25">
      <c r="A501" s="8"/>
      <c r="B501" s="8"/>
      <c r="C501" s="8"/>
      <c r="D501" s="8"/>
      <c r="E501" s="5"/>
      <c r="F501" s="16"/>
      <c r="G501" s="16"/>
      <c r="H501" s="5"/>
      <c r="I501" s="5"/>
      <c r="J501" s="5"/>
      <c r="K501" s="5"/>
      <c r="L501" s="5"/>
      <c r="M501" s="48"/>
      <c r="N501" s="18"/>
      <c r="O501" s="5"/>
      <c r="P501" s="22"/>
      <c r="Q501" s="8"/>
      <c r="R501" s="8"/>
      <c r="S501" s="8"/>
      <c r="T501" s="8"/>
      <c r="U501" s="8"/>
      <c r="V501" s="8"/>
      <c r="W501" s="8"/>
      <c r="X501" s="8"/>
      <c r="Y501" s="8"/>
      <c r="Z501" s="8"/>
      <c r="AA501" s="8"/>
      <c r="AB501" s="8"/>
      <c r="AC501" s="8"/>
      <c r="AD501" s="24"/>
      <c r="AE501" s="24"/>
      <c r="AF501" s="8"/>
      <c r="AG501" s="8"/>
      <c r="AH501" s="8"/>
      <c r="AI501" s="8"/>
    </row>
    <row r="502" spans="1:35" ht="15.75" customHeight="1" x14ac:dyDescent="0.25">
      <c r="A502" s="8"/>
      <c r="B502" s="8"/>
      <c r="C502" s="8"/>
      <c r="D502" s="8"/>
      <c r="E502" s="5"/>
      <c r="F502" s="16"/>
      <c r="G502" s="16"/>
      <c r="H502" s="5"/>
      <c r="I502" s="5"/>
      <c r="J502" s="5"/>
      <c r="K502" s="5"/>
      <c r="L502" s="5"/>
      <c r="M502" s="49"/>
      <c r="N502" s="18"/>
      <c r="O502" s="5"/>
      <c r="P502" s="22"/>
      <c r="Q502" s="8"/>
      <c r="R502" s="8"/>
      <c r="S502" s="8"/>
      <c r="T502" s="8"/>
      <c r="U502" s="8"/>
      <c r="V502" s="8"/>
      <c r="W502" s="8"/>
      <c r="X502" s="8"/>
      <c r="Y502" s="8"/>
      <c r="Z502" s="8"/>
      <c r="AA502" s="8"/>
      <c r="AB502" s="8"/>
      <c r="AC502" s="8"/>
      <c r="AD502" s="24"/>
      <c r="AE502" s="24"/>
      <c r="AF502" s="8"/>
      <c r="AG502" s="8"/>
      <c r="AH502" s="8"/>
      <c r="AI502" s="8"/>
    </row>
    <row r="503" spans="1:35" ht="15.75" customHeight="1" x14ac:dyDescent="0.25">
      <c r="A503" s="8"/>
      <c r="B503" s="8"/>
      <c r="C503" s="8"/>
      <c r="D503" s="8"/>
      <c r="E503" s="5"/>
      <c r="F503" s="16"/>
      <c r="G503" s="16"/>
      <c r="H503" s="5"/>
      <c r="I503" s="5"/>
      <c r="J503" s="5"/>
      <c r="K503" s="5"/>
      <c r="L503" s="5"/>
      <c r="M503" s="48"/>
      <c r="N503" s="18"/>
      <c r="O503" s="5"/>
      <c r="P503" s="22"/>
      <c r="Q503" s="8"/>
      <c r="R503" s="8"/>
      <c r="S503" s="8"/>
      <c r="T503" s="8"/>
      <c r="U503" s="8"/>
      <c r="V503" s="8"/>
      <c r="W503" s="8"/>
      <c r="X503" s="8"/>
      <c r="Y503" s="8"/>
      <c r="Z503" s="8"/>
      <c r="AA503" s="8"/>
      <c r="AB503" s="8"/>
      <c r="AC503" s="8"/>
      <c r="AD503" s="24"/>
      <c r="AE503" s="24"/>
      <c r="AF503" s="8"/>
      <c r="AG503" s="8"/>
      <c r="AH503" s="8"/>
      <c r="AI503" s="8"/>
    </row>
    <row r="504" spans="1:35" ht="15.75" customHeight="1" x14ac:dyDescent="0.25">
      <c r="A504" s="8"/>
      <c r="B504" s="8"/>
      <c r="C504" s="8"/>
      <c r="D504" s="8"/>
      <c r="E504" s="5"/>
      <c r="F504" s="16"/>
      <c r="G504" s="16"/>
      <c r="H504" s="5"/>
      <c r="I504" s="5"/>
      <c r="J504" s="5"/>
      <c r="K504" s="5"/>
      <c r="L504" s="5"/>
      <c r="M504" s="49"/>
      <c r="N504" s="18"/>
      <c r="O504" s="5"/>
      <c r="P504" s="22"/>
      <c r="Q504" s="8"/>
      <c r="R504" s="8"/>
      <c r="S504" s="8"/>
      <c r="T504" s="8"/>
      <c r="U504" s="8"/>
      <c r="V504" s="8"/>
      <c r="W504" s="8"/>
      <c r="X504" s="8"/>
      <c r="Y504" s="8"/>
      <c r="Z504" s="8"/>
      <c r="AA504" s="8"/>
      <c r="AB504" s="8"/>
      <c r="AC504" s="8"/>
      <c r="AD504" s="24"/>
      <c r="AE504" s="24"/>
      <c r="AF504" s="8"/>
      <c r="AG504" s="8"/>
      <c r="AH504" s="8"/>
      <c r="AI504" s="8"/>
    </row>
    <row r="505" spans="1:35" ht="15.75" customHeight="1" x14ac:dyDescent="0.25">
      <c r="A505" s="8"/>
      <c r="B505" s="8"/>
      <c r="C505" s="8"/>
      <c r="D505" s="8"/>
      <c r="E505" s="5"/>
      <c r="F505" s="16"/>
      <c r="G505" s="16"/>
      <c r="H505" s="5"/>
      <c r="I505" s="5"/>
      <c r="J505" s="5"/>
      <c r="K505" s="5"/>
      <c r="L505" s="5"/>
      <c r="M505" s="48"/>
      <c r="N505" s="18"/>
      <c r="O505" s="5"/>
      <c r="P505" s="22"/>
      <c r="Q505" s="8"/>
      <c r="R505" s="8"/>
      <c r="S505" s="8"/>
      <c r="T505" s="8"/>
      <c r="U505" s="8"/>
      <c r="V505" s="8"/>
      <c r="W505" s="8"/>
      <c r="X505" s="8"/>
      <c r="Y505" s="8"/>
      <c r="Z505" s="8"/>
      <c r="AA505" s="8"/>
      <c r="AB505" s="8"/>
      <c r="AC505" s="8"/>
      <c r="AD505" s="24"/>
      <c r="AE505" s="24"/>
      <c r="AF505" s="8"/>
      <c r="AG505" s="8"/>
      <c r="AH505" s="8"/>
      <c r="AI505" s="8"/>
    </row>
    <row r="506" spans="1:35" ht="15.75" customHeight="1" x14ac:dyDescent="0.25">
      <c r="A506" s="8"/>
      <c r="B506" s="8"/>
      <c r="C506" s="8"/>
      <c r="D506" s="8"/>
      <c r="E506" s="5"/>
      <c r="F506" s="16"/>
      <c r="G506" s="16"/>
      <c r="H506" s="5"/>
      <c r="I506" s="5"/>
      <c r="J506" s="5"/>
      <c r="K506" s="5"/>
      <c r="L506" s="5"/>
      <c r="M506" s="48"/>
      <c r="N506" s="18"/>
      <c r="O506" s="5"/>
      <c r="P506" s="22"/>
      <c r="Q506" s="8"/>
      <c r="R506" s="8"/>
      <c r="S506" s="8"/>
      <c r="T506" s="8"/>
      <c r="U506" s="8"/>
      <c r="V506" s="8"/>
      <c r="W506" s="8"/>
      <c r="X506" s="8"/>
      <c r="Y506" s="8"/>
      <c r="Z506" s="8"/>
      <c r="AA506" s="8"/>
      <c r="AB506" s="8"/>
      <c r="AC506" s="8"/>
      <c r="AD506" s="24"/>
      <c r="AE506" s="24"/>
      <c r="AF506" s="8"/>
      <c r="AG506" s="8"/>
      <c r="AH506" s="8"/>
      <c r="AI506" s="8"/>
    </row>
    <row r="507" spans="1:35" ht="15.75" customHeight="1" x14ac:dyDescent="0.25">
      <c r="A507" s="8"/>
      <c r="B507" s="8"/>
      <c r="C507" s="8"/>
      <c r="D507" s="8"/>
      <c r="E507" s="5"/>
      <c r="F507" s="16"/>
      <c r="G507" s="16"/>
      <c r="H507" s="5"/>
      <c r="I507" s="5"/>
      <c r="J507" s="5"/>
      <c r="K507" s="5"/>
      <c r="L507" s="5"/>
      <c r="M507" s="49"/>
      <c r="N507" s="18"/>
      <c r="O507" s="5"/>
      <c r="P507" s="22"/>
      <c r="Q507" s="8"/>
      <c r="R507" s="8"/>
      <c r="S507" s="8"/>
      <c r="T507" s="8"/>
      <c r="U507" s="8"/>
      <c r="V507" s="8"/>
      <c r="W507" s="8"/>
      <c r="X507" s="8"/>
      <c r="Y507" s="8"/>
      <c r="Z507" s="8"/>
      <c r="AA507" s="8"/>
      <c r="AB507" s="8"/>
      <c r="AC507" s="8"/>
      <c r="AD507" s="24"/>
      <c r="AE507" s="24"/>
      <c r="AF507" s="8"/>
      <c r="AG507" s="8"/>
      <c r="AH507" s="8"/>
      <c r="AI507" s="8"/>
    </row>
    <row r="508" spans="1:35" ht="15.75" customHeight="1" x14ac:dyDescent="0.25">
      <c r="A508" s="8"/>
      <c r="B508" s="8"/>
      <c r="C508" s="8"/>
      <c r="D508" s="8"/>
      <c r="E508" s="5"/>
      <c r="F508" s="16"/>
      <c r="G508" s="16"/>
      <c r="H508" s="5"/>
      <c r="I508" s="5"/>
      <c r="J508" s="5"/>
      <c r="K508" s="5"/>
      <c r="L508" s="5"/>
      <c r="M508" s="49"/>
      <c r="N508" s="18"/>
      <c r="O508" s="5"/>
      <c r="P508" s="22"/>
      <c r="Q508" s="8"/>
      <c r="R508" s="8"/>
      <c r="S508" s="8"/>
      <c r="T508" s="8"/>
      <c r="U508" s="8"/>
      <c r="V508" s="8"/>
      <c r="W508" s="8"/>
      <c r="X508" s="8"/>
      <c r="Y508" s="8"/>
      <c r="Z508" s="8"/>
      <c r="AA508" s="8"/>
      <c r="AB508" s="8"/>
      <c r="AC508" s="8"/>
      <c r="AD508" s="24"/>
      <c r="AE508" s="24"/>
      <c r="AF508" s="8"/>
      <c r="AG508" s="8"/>
      <c r="AH508" s="8"/>
      <c r="AI508" s="8"/>
    </row>
    <row r="509" spans="1:35" ht="15.75" customHeight="1" x14ac:dyDescent="0.25">
      <c r="A509" s="8"/>
      <c r="B509" s="8"/>
      <c r="C509" s="8"/>
      <c r="D509" s="8"/>
      <c r="E509" s="5"/>
      <c r="F509" s="16"/>
      <c r="G509" s="16"/>
      <c r="H509" s="5"/>
      <c r="I509" s="5"/>
      <c r="J509" s="5"/>
      <c r="K509" s="5"/>
      <c r="L509" s="5"/>
      <c r="M509" s="49"/>
      <c r="N509" s="18"/>
      <c r="O509" s="5"/>
      <c r="P509" s="22"/>
      <c r="Q509" s="8"/>
      <c r="R509" s="8"/>
      <c r="S509" s="8"/>
      <c r="T509" s="8"/>
      <c r="U509" s="8"/>
      <c r="V509" s="8"/>
      <c r="W509" s="8"/>
      <c r="X509" s="8"/>
      <c r="Y509" s="8"/>
      <c r="Z509" s="8"/>
      <c r="AA509" s="8"/>
      <c r="AB509" s="8"/>
      <c r="AC509" s="8"/>
      <c r="AD509" s="24"/>
      <c r="AE509" s="24"/>
      <c r="AF509" s="8"/>
      <c r="AG509" s="8"/>
      <c r="AH509" s="8"/>
      <c r="AI509" s="8"/>
    </row>
    <row r="510" spans="1:35" ht="15.75" customHeight="1" x14ac:dyDescent="0.25">
      <c r="A510" s="8"/>
      <c r="B510" s="8"/>
      <c r="C510" s="8"/>
      <c r="D510" s="8"/>
      <c r="E510" s="5"/>
      <c r="F510" s="16"/>
      <c r="G510" s="16"/>
      <c r="H510" s="5"/>
      <c r="I510" s="5"/>
      <c r="J510" s="5"/>
      <c r="K510" s="5"/>
      <c r="L510" s="5"/>
      <c r="M510" s="48"/>
      <c r="N510" s="18"/>
      <c r="O510" s="5"/>
      <c r="P510" s="22"/>
      <c r="Q510" s="8"/>
      <c r="R510" s="8"/>
      <c r="S510" s="8"/>
      <c r="T510" s="8"/>
      <c r="U510" s="8"/>
      <c r="V510" s="8"/>
      <c r="W510" s="8"/>
      <c r="X510" s="8"/>
      <c r="Y510" s="8"/>
      <c r="Z510" s="8"/>
      <c r="AA510" s="8"/>
      <c r="AB510" s="8"/>
      <c r="AC510" s="8"/>
      <c r="AD510" s="24"/>
      <c r="AE510" s="24"/>
      <c r="AF510" s="8"/>
      <c r="AG510" s="8"/>
      <c r="AH510" s="8"/>
      <c r="AI510" s="8"/>
    </row>
    <row r="511" spans="1:35" ht="15.75" customHeight="1" x14ac:dyDescent="0.25">
      <c r="A511" s="8"/>
      <c r="B511" s="8"/>
      <c r="C511" s="8"/>
      <c r="D511" s="8"/>
      <c r="E511" s="5"/>
      <c r="F511" s="16"/>
      <c r="G511" s="16"/>
      <c r="H511" s="5"/>
      <c r="I511" s="5"/>
      <c r="J511" s="5"/>
      <c r="K511" s="5"/>
      <c r="L511" s="5"/>
      <c r="M511" s="49"/>
      <c r="N511" s="18"/>
      <c r="O511" s="5"/>
      <c r="P511" s="22"/>
      <c r="Q511" s="8"/>
      <c r="R511" s="8"/>
      <c r="S511" s="8"/>
      <c r="T511" s="8"/>
      <c r="U511" s="8"/>
      <c r="V511" s="8"/>
      <c r="W511" s="8"/>
      <c r="X511" s="8"/>
      <c r="Y511" s="8"/>
      <c r="Z511" s="8"/>
      <c r="AA511" s="8"/>
      <c r="AB511" s="8"/>
      <c r="AC511" s="8"/>
      <c r="AD511" s="24"/>
      <c r="AE511" s="24"/>
      <c r="AF511" s="8"/>
      <c r="AG511" s="8"/>
      <c r="AH511" s="8"/>
      <c r="AI511" s="8"/>
    </row>
    <row r="512" spans="1:35" ht="15.75" customHeight="1" x14ac:dyDescent="0.25">
      <c r="A512" s="8"/>
      <c r="B512" s="8"/>
      <c r="C512" s="8"/>
      <c r="D512" s="8"/>
      <c r="E512" s="5"/>
      <c r="F512" s="16"/>
      <c r="G512" s="16"/>
      <c r="H512" s="5"/>
      <c r="I512" s="5"/>
      <c r="J512" s="5"/>
      <c r="K512" s="5"/>
      <c r="L512" s="5"/>
      <c r="M512" s="48"/>
      <c r="N512" s="18"/>
      <c r="O512" s="5"/>
      <c r="P512" s="22"/>
      <c r="Q512" s="8"/>
      <c r="R512" s="8"/>
      <c r="S512" s="8"/>
      <c r="T512" s="8"/>
      <c r="U512" s="8"/>
      <c r="V512" s="8"/>
      <c r="W512" s="8"/>
      <c r="X512" s="8"/>
      <c r="Y512" s="8"/>
      <c r="Z512" s="8"/>
      <c r="AA512" s="8"/>
      <c r="AB512" s="8"/>
      <c r="AC512" s="8"/>
      <c r="AD512" s="24"/>
      <c r="AE512" s="24"/>
      <c r="AF512" s="8"/>
      <c r="AG512" s="8"/>
      <c r="AH512" s="8"/>
      <c r="AI512" s="8"/>
    </row>
    <row r="513" spans="1:35" ht="15.75" customHeight="1" x14ac:dyDescent="0.25">
      <c r="A513" s="8"/>
      <c r="B513" s="8"/>
      <c r="C513" s="8"/>
      <c r="D513" s="8"/>
      <c r="E513" s="5"/>
      <c r="F513" s="16"/>
      <c r="G513" s="16"/>
      <c r="H513" s="5"/>
      <c r="I513" s="5"/>
      <c r="J513" s="5"/>
      <c r="K513" s="5"/>
      <c r="L513" s="5"/>
      <c r="M513" s="49"/>
      <c r="N513" s="18"/>
      <c r="O513" s="5"/>
      <c r="P513" s="22"/>
      <c r="Q513" s="8"/>
      <c r="R513" s="8"/>
      <c r="S513" s="8"/>
      <c r="T513" s="8"/>
      <c r="U513" s="8"/>
      <c r="V513" s="8"/>
      <c r="W513" s="8"/>
      <c r="X513" s="8"/>
      <c r="Y513" s="8"/>
      <c r="Z513" s="8"/>
      <c r="AA513" s="8"/>
      <c r="AB513" s="8"/>
      <c r="AC513" s="8"/>
      <c r="AD513" s="24"/>
      <c r="AE513" s="24"/>
      <c r="AF513" s="8"/>
      <c r="AG513" s="8"/>
      <c r="AH513" s="8"/>
      <c r="AI513" s="8"/>
    </row>
    <row r="514" spans="1:35" ht="15.75" customHeight="1" x14ac:dyDescent="0.25">
      <c r="A514" s="8"/>
      <c r="B514" s="8"/>
      <c r="C514" s="8"/>
      <c r="D514" s="8"/>
      <c r="E514" s="5"/>
      <c r="F514" s="16"/>
      <c r="G514" s="16"/>
      <c r="H514" s="5"/>
      <c r="I514" s="5"/>
      <c r="J514" s="5"/>
      <c r="K514" s="5"/>
      <c r="L514" s="5"/>
      <c r="M514" s="49"/>
      <c r="N514" s="18"/>
      <c r="O514" s="5"/>
      <c r="P514" s="22"/>
      <c r="Q514" s="8"/>
      <c r="R514" s="8"/>
      <c r="S514" s="8"/>
      <c r="T514" s="8"/>
      <c r="U514" s="8"/>
      <c r="V514" s="8"/>
      <c r="W514" s="8"/>
      <c r="X514" s="8"/>
      <c r="Y514" s="8"/>
      <c r="Z514" s="8"/>
      <c r="AA514" s="8"/>
      <c r="AB514" s="8"/>
      <c r="AC514" s="8"/>
      <c r="AD514" s="24"/>
      <c r="AE514" s="24"/>
      <c r="AF514" s="8"/>
      <c r="AG514" s="8"/>
      <c r="AH514" s="8"/>
      <c r="AI514" s="8"/>
    </row>
    <row r="515" spans="1:35" ht="15.75" customHeight="1" x14ac:dyDescent="0.25">
      <c r="A515" s="8"/>
      <c r="B515" s="8"/>
      <c r="C515" s="8"/>
      <c r="D515" s="8"/>
      <c r="E515" s="5"/>
      <c r="F515" s="16"/>
      <c r="G515" s="16"/>
      <c r="H515" s="5"/>
      <c r="I515" s="5"/>
      <c r="J515" s="5"/>
      <c r="K515" s="5"/>
      <c r="L515" s="5"/>
      <c r="M515" s="48"/>
      <c r="N515" s="18"/>
      <c r="O515" s="5"/>
      <c r="P515" s="22"/>
      <c r="Q515" s="8"/>
      <c r="R515" s="8"/>
      <c r="S515" s="8"/>
      <c r="T515" s="8"/>
      <c r="U515" s="8"/>
      <c r="V515" s="8"/>
      <c r="W515" s="8"/>
      <c r="X515" s="8"/>
      <c r="Y515" s="8"/>
      <c r="Z515" s="8"/>
      <c r="AA515" s="8"/>
      <c r="AB515" s="8"/>
      <c r="AC515" s="8"/>
      <c r="AD515" s="24"/>
      <c r="AE515" s="24"/>
      <c r="AF515" s="8"/>
      <c r="AG515" s="8"/>
      <c r="AH515" s="8"/>
      <c r="AI515" s="8"/>
    </row>
    <row r="516" spans="1:35" ht="15.75" customHeight="1" x14ac:dyDescent="0.25">
      <c r="A516" s="8"/>
      <c r="B516" s="8"/>
      <c r="C516" s="8"/>
      <c r="D516" s="8"/>
      <c r="E516" s="5"/>
      <c r="F516" s="16"/>
      <c r="G516" s="16"/>
      <c r="H516" s="5"/>
      <c r="I516" s="5"/>
      <c r="J516" s="5"/>
      <c r="K516" s="5"/>
      <c r="L516" s="5"/>
      <c r="M516" s="48"/>
      <c r="N516" s="18"/>
      <c r="O516" s="5"/>
      <c r="P516" s="22"/>
      <c r="Q516" s="8"/>
      <c r="R516" s="8"/>
      <c r="S516" s="8"/>
      <c r="T516" s="8"/>
      <c r="U516" s="8"/>
      <c r="V516" s="8"/>
      <c r="W516" s="8"/>
      <c r="X516" s="8"/>
      <c r="Y516" s="8"/>
      <c r="Z516" s="8"/>
      <c r="AA516" s="8"/>
      <c r="AB516" s="8"/>
      <c r="AC516" s="8"/>
      <c r="AD516" s="24"/>
      <c r="AE516" s="24"/>
      <c r="AF516" s="8"/>
      <c r="AG516" s="8"/>
      <c r="AH516" s="8"/>
      <c r="AI516" s="8"/>
    </row>
    <row r="517" spans="1:35" ht="15.75" customHeight="1" x14ac:dyDescent="0.25">
      <c r="A517" s="8"/>
      <c r="B517" s="8"/>
      <c r="C517" s="8"/>
      <c r="D517" s="8"/>
      <c r="E517" s="5"/>
      <c r="F517" s="16"/>
      <c r="G517" s="16"/>
      <c r="H517" s="5"/>
      <c r="I517" s="5"/>
      <c r="J517" s="5"/>
      <c r="K517" s="5"/>
      <c r="L517" s="5"/>
      <c r="M517" s="48"/>
      <c r="N517" s="18"/>
      <c r="O517" s="5"/>
      <c r="P517" s="22"/>
      <c r="Q517" s="8"/>
      <c r="R517" s="8"/>
      <c r="S517" s="8"/>
      <c r="T517" s="8"/>
      <c r="U517" s="8"/>
      <c r="V517" s="8"/>
      <c r="W517" s="8"/>
      <c r="X517" s="8"/>
      <c r="Y517" s="8"/>
      <c r="Z517" s="8"/>
      <c r="AA517" s="8"/>
      <c r="AB517" s="8"/>
      <c r="AC517" s="8"/>
      <c r="AD517" s="24"/>
      <c r="AE517" s="24"/>
      <c r="AF517" s="8"/>
      <c r="AG517" s="8"/>
      <c r="AH517" s="8"/>
      <c r="AI517" s="8"/>
    </row>
    <row r="518" spans="1:35" ht="15.75" customHeight="1" x14ac:dyDescent="0.25">
      <c r="A518" s="8"/>
      <c r="B518" s="8"/>
      <c r="C518" s="8"/>
      <c r="D518" s="8"/>
      <c r="E518" s="5"/>
      <c r="F518" s="16"/>
      <c r="G518" s="16"/>
      <c r="H518" s="5"/>
      <c r="I518" s="5"/>
      <c r="J518" s="5"/>
      <c r="K518" s="5"/>
      <c r="L518" s="5"/>
      <c r="M518" s="48"/>
      <c r="N518" s="18"/>
      <c r="O518" s="5"/>
      <c r="P518" s="22"/>
      <c r="Q518" s="8"/>
      <c r="R518" s="8"/>
      <c r="S518" s="8"/>
      <c r="T518" s="8"/>
      <c r="U518" s="8"/>
      <c r="V518" s="8"/>
      <c r="W518" s="8"/>
      <c r="X518" s="8"/>
      <c r="Y518" s="8"/>
      <c r="Z518" s="8"/>
      <c r="AA518" s="8"/>
      <c r="AB518" s="8"/>
      <c r="AC518" s="8"/>
      <c r="AD518" s="24"/>
      <c r="AE518" s="24"/>
      <c r="AF518" s="8"/>
      <c r="AG518" s="8"/>
      <c r="AH518" s="8"/>
      <c r="AI518" s="8"/>
    </row>
    <row r="519" spans="1:35" ht="15.75" customHeight="1" x14ac:dyDescent="0.25">
      <c r="A519" s="8"/>
      <c r="B519" s="8"/>
      <c r="C519" s="8"/>
      <c r="D519" s="8"/>
      <c r="E519" s="5"/>
      <c r="F519" s="16"/>
      <c r="G519" s="16"/>
      <c r="H519" s="5"/>
      <c r="I519" s="5"/>
      <c r="J519" s="5"/>
      <c r="K519" s="5"/>
      <c r="L519" s="5"/>
      <c r="M519" s="49"/>
      <c r="N519" s="18"/>
      <c r="O519" s="5"/>
      <c r="P519" s="22"/>
      <c r="Q519" s="8"/>
      <c r="R519" s="8"/>
      <c r="S519" s="8"/>
      <c r="T519" s="8"/>
      <c r="U519" s="8"/>
      <c r="V519" s="8"/>
      <c r="W519" s="8"/>
      <c r="X519" s="8"/>
      <c r="Y519" s="8"/>
      <c r="Z519" s="8"/>
      <c r="AA519" s="8"/>
      <c r="AB519" s="8"/>
      <c r="AC519" s="8"/>
      <c r="AD519" s="24"/>
      <c r="AE519" s="24"/>
      <c r="AF519" s="8"/>
      <c r="AG519" s="8"/>
      <c r="AH519" s="8"/>
      <c r="AI519" s="8"/>
    </row>
    <row r="520" spans="1:35" ht="15.75" customHeight="1" x14ac:dyDescent="0.25">
      <c r="A520" s="8"/>
      <c r="B520" s="8"/>
      <c r="C520" s="8"/>
      <c r="D520" s="8"/>
      <c r="E520" s="5"/>
      <c r="F520" s="16"/>
      <c r="G520" s="16"/>
      <c r="H520" s="5"/>
      <c r="I520" s="5"/>
      <c r="J520" s="5"/>
      <c r="K520" s="5"/>
      <c r="L520" s="5"/>
      <c r="M520" s="49"/>
      <c r="N520" s="18"/>
      <c r="O520" s="5"/>
      <c r="P520" s="22"/>
      <c r="Q520" s="8"/>
      <c r="R520" s="8"/>
      <c r="S520" s="8"/>
      <c r="T520" s="8"/>
      <c r="U520" s="8"/>
      <c r="V520" s="8"/>
      <c r="W520" s="8"/>
      <c r="X520" s="8"/>
      <c r="Y520" s="8"/>
      <c r="Z520" s="8"/>
      <c r="AA520" s="8"/>
      <c r="AB520" s="8"/>
      <c r="AC520" s="8"/>
      <c r="AD520" s="24"/>
      <c r="AE520" s="24"/>
      <c r="AF520" s="8"/>
      <c r="AG520" s="8"/>
      <c r="AH520" s="8"/>
      <c r="AI520" s="8"/>
    </row>
    <row r="521" spans="1:35" ht="15.75" customHeight="1" x14ac:dyDescent="0.25">
      <c r="A521" s="8"/>
      <c r="B521" s="8"/>
      <c r="C521" s="8"/>
      <c r="D521" s="8"/>
      <c r="E521" s="5"/>
      <c r="F521" s="16"/>
      <c r="G521" s="16"/>
      <c r="H521" s="5"/>
      <c r="I521" s="5"/>
      <c r="J521" s="5"/>
      <c r="K521" s="5"/>
      <c r="L521" s="5"/>
      <c r="M521" s="49"/>
      <c r="N521" s="18"/>
      <c r="O521" s="5"/>
      <c r="P521" s="22"/>
      <c r="Q521" s="8"/>
      <c r="R521" s="8"/>
      <c r="S521" s="8"/>
      <c r="T521" s="8"/>
      <c r="U521" s="8"/>
      <c r="V521" s="8"/>
      <c r="W521" s="8"/>
      <c r="X521" s="8"/>
      <c r="Y521" s="8"/>
      <c r="Z521" s="8"/>
      <c r="AA521" s="8"/>
      <c r="AB521" s="8"/>
      <c r="AC521" s="8"/>
      <c r="AD521" s="24"/>
      <c r="AE521" s="24"/>
      <c r="AF521" s="8"/>
      <c r="AG521" s="8"/>
      <c r="AH521" s="8"/>
      <c r="AI521" s="8"/>
    </row>
    <row r="522" spans="1:35" ht="15.75" customHeight="1" x14ac:dyDescent="0.25">
      <c r="A522" s="8"/>
      <c r="B522" s="8"/>
      <c r="C522" s="8"/>
      <c r="D522" s="8"/>
      <c r="E522" s="5"/>
      <c r="F522" s="16"/>
      <c r="G522" s="16"/>
      <c r="H522" s="5"/>
      <c r="I522" s="5"/>
      <c r="J522" s="5"/>
      <c r="K522" s="5"/>
      <c r="L522" s="5"/>
      <c r="M522" s="49"/>
      <c r="N522" s="18"/>
      <c r="O522" s="5"/>
      <c r="P522" s="22"/>
      <c r="Q522" s="8"/>
      <c r="R522" s="8"/>
      <c r="S522" s="8"/>
      <c r="T522" s="8"/>
      <c r="U522" s="8"/>
      <c r="V522" s="8"/>
      <c r="W522" s="8"/>
      <c r="X522" s="8"/>
      <c r="Y522" s="8"/>
      <c r="Z522" s="8"/>
      <c r="AA522" s="8"/>
      <c r="AB522" s="8"/>
      <c r="AC522" s="8"/>
      <c r="AD522" s="24"/>
      <c r="AE522" s="24"/>
      <c r="AF522" s="8"/>
      <c r="AG522" s="8"/>
      <c r="AH522" s="8"/>
      <c r="AI522" s="8"/>
    </row>
    <row r="523" spans="1:35" ht="15.75" customHeight="1" x14ac:dyDescent="0.25">
      <c r="A523" s="8"/>
      <c r="B523" s="8"/>
      <c r="C523" s="8"/>
      <c r="D523" s="8"/>
      <c r="E523" s="5"/>
      <c r="F523" s="16"/>
      <c r="G523" s="16"/>
      <c r="H523" s="5"/>
      <c r="I523" s="5"/>
      <c r="J523" s="5"/>
      <c r="K523" s="5"/>
      <c r="L523" s="5"/>
      <c r="M523" s="48"/>
      <c r="N523" s="18"/>
      <c r="O523" s="5"/>
      <c r="P523" s="22"/>
      <c r="Q523" s="8"/>
      <c r="R523" s="8"/>
      <c r="S523" s="8"/>
      <c r="T523" s="8"/>
      <c r="U523" s="8"/>
      <c r="V523" s="8"/>
      <c r="W523" s="8"/>
      <c r="X523" s="8"/>
      <c r="Y523" s="8"/>
      <c r="Z523" s="8"/>
      <c r="AA523" s="8"/>
      <c r="AB523" s="8"/>
      <c r="AC523" s="8"/>
      <c r="AD523" s="24"/>
      <c r="AE523" s="24"/>
      <c r="AF523" s="8"/>
      <c r="AG523" s="8"/>
      <c r="AH523" s="8"/>
      <c r="AI523" s="8"/>
    </row>
    <row r="524" spans="1:35" ht="15.75" customHeight="1" x14ac:dyDescent="0.25">
      <c r="A524" s="8"/>
      <c r="B524" s="8"/>
      <c r="C524" s="8"/>
      <c r="D524" s="8"/>
      <c r="E524" s="5"/>
      <c r="F524" s="16"/>
      <c r="G524" s="16"/>
      <c r="H524" s="5"/>
      <c r="I524" s="5"/>
      <c r="J524" s="5"/>
      <c r="K524" s="5"/>
      <c r="L524" s="5"/>
      <c r="M524" s="48"/>
      <c r="N524" s="18"/>
      <c r="O524" s="5"/>
      <c r="P524" s="22"/>
      <c r="Q524" s="8"/>
      <c r="R524" s="8"/>
      <c r="S524" s="8"/>
      <c r="T524" s="8"/>
      <c r="U524" s="8"/>
      <c r="V524" s="8"/>
      <c r="W524" s="8"/>
      <c r="X524" s="8"/>
      <c r="Y524" s="8"/>
      <c r="Z524" s="8"/>
      <c r="AA524" s="8"/>
      <c r="AB524" s="8"/>
      <c r="AC524" s="8"/>
      <c r="AD524" s="24"/>
      <c r="AE524" s="24"/>
      <c r="AF524" s="8"/>
      <c r="AG524" s="8"/>
      <c r="AH524" s="8"/>
      <c r="AI524" s="8"/>
    </row>
    <row r="525" spans="1:35" ht="15.75" customHeight="1" x14ac:dyDescent="0.25">
      <c r="A525" s="8"/>
      <c r="B525" s="8"/>
      <c r="C525" s="8"/>
      <c r="D525" s="8"/>
      <c r="E525" s="5"/>
      <c r="F525" s="16"/>
      <c r="G525" s="16"/>
      <c r="H525" s="5"/>
      <c r="I525" s="5"/>
      <c r="J525" s="5"/>
      <c r="K525" s="5"/>
      <c r="L525" s="5"/>
      <c r="M525" s="48"/>
      <c r="N525" s="18"/>
      <c r="O525" s="5"/>
      <c r="P525" s="22"/>
      <c r="Q525" s="8"/>
      <c r="R525" s="8"/>
      <c r="S525" s="8"/>
      <c r="T525" s="8"/>
      <c r="U525" s="8"/>
      <c r="V525" s="8"/>
      <c r="W525" s="8"/>
      <c r="X525" s="8"/>
      <c r="Y525" s="8"/>
      <c r="Z525" s="8"/>
      <c r="AA525" s="8"/>
      <c r="AB525" s="8"/>
      <c r="AC525" s="8"/>
      <c r="AD525" s="24"/>
      <c r="AE525" s="24"/>
      <c r="AF525" s="8"/>
      <c r="AG525" s="8"/>
      <c r="AH525" s="8"/>
      <c r="AI525" s="8"/>
    </row>
    <row r="526" spans="1:35" ht="15.75" customHeight="1" x14ac:dyDescent="0.25">
      <c r="A526" s="8"/>
      <c r="B526" s="8"/>
      <c r="C526" s="8"/>
      <c r="D526" s="8"/>
      <c r="E526" s="5"/>
      <c r="F526" s="16"/>
      <c r="G526" s="16"/>
      <c r="H526" s="5"/>
      <c r="I526" s="5"/>
      <c r="J526" s="5"/>
      <c r="K526" s="5"/>
      <c r="L526" s="5"/>
      <c r="M526" s="49"/>
      <c r="N526" s="18"/>
      <c r="O526" s="5"/>
      <c r="P526" s="22"/>
      <c r="Q526" s="8"/>
      <c r="R526" s="8"/>
      <c r="S526" s="8"/>
      <c r="T526" s="8"/>
      <c r="U526" s="8"/>
      <c r="V526" s="8"/>
      <c r="W526" s="8"/>
      <c r="X526" s="8"/>
      <c r="Y526" s="8"/>
      <c r="Z526" s="8"/>
      <c r="AA526" s="8"/>
      <c r="AB526" s="8"/>
      <c r="AC526" s="8"/>
      <c r="AD526" s="24"/>
      <c r="AE526" s="24"/>
      <c r="AF526" s="8"/>
      <c r="AG526" s="8"/>
      <c r="AH526" s="8"/>
      <c r="AI526" s="8"/>
    </row>
    <row r="527" spans="1:35" ht="15.75" customHeight="1" x14ac:dyDescent="0.25">
      <c r="A527" s="8"/>
      <c r="B527" s="8"/>
      <c r="C527" s="8"/>
      <c r="D527" s="8"/>
      <c r="E527" s="5"/>
      <c r="F527" s="16"/>
      <c r="G527" s="16"/>
      <c r="H527" s="5"/>
      <c r="I527" s="5"/>
      <c r="J527" s="5"/>
      <c r="K527" s="5"/>
      <c r="L527" s="5"/>
      <c r="M527" s="48"/>
      <c r="N527" s="18"/>
      <c r="O527" s="5"/>
      <c r="P527" s="22"/>
      <c r="Q527" s="8"/>
      <c r="R527" s="8"/>
      <c r="S527" s="8"/>
      <c r="T527" s="8"/>
      <c r="U527" s="8"/>
      <c r="V527" s="8"/>
      <c r="W527" s="8"/>
      <c r="X527" s="8"/>
      <c r="Y527" s="8"/>
      <c r="Z527" s="8"/>
      <c r="AA527" s="8"/>
      <c r="AB527" s="8"/>
      <c r="AC527" s="8"/>
      <c r="AD527" s="24"/>
      <c r="AE527" s="24"/>
      <c r="AF527" s="8"/>
      <c r="AG527" s="8"/>
      <c r="AH527" s="8"/>
      <c r="AI527" s="8"/>
    </row>
    <row r="528" spans="1:35" ht="15.75" customHeight="1" x14ac:dyDescent="0.25">
      <c r="A528" s="8"/>
      <c r="B528" s="8"/>
      <c r="C528" s="8"/>
      <c r="D528" s="8"/>
      <c r="E528" s="5"/>
      <c r="F528" s="16"/>
      <c r="G528" s="16"/>
      <c r="H528" s="5"/>
      <c r="I528" s="5"/>
      <c r="J528" s="5"/>
      <c r="K528" s="5"/>
      <c r="L528" s="5"/>
      <c r="M528" s="49"/>
      <c r="N528" s="18"/>
      <c r="O528" s="5"/>
      <c r="P528" s="22"/>
      <c r="Q528" s="8"/>
      <c r="R528" s="8"/>
      <c r="S528" s="8"/>
      <c r="T528" s="8"/>
      <c r="U528" s="8"/>
      <c r="V528" s="8"/>
      <c r="W528" s="8"/>
      <c r="X528" s="8"/>
      <c r="Y528" s="8"/>
      <c r="Z528" s="8"/>
      <c r="AA528" s="8"/>
      <c r="AB528" s="8"/>
      <c r="AC528" s="8"/>
      <c r="AD528" s="24"/>
      <c r="AE528" s="24"/>
      <c r="AF528" s="8"/>
      <c r="AG528" s="8"/>
      <c r="AH528" s="8"/>
      <c r="AI528" s="8"/>
    </row>
    <row r="529" spans="1:35" ht="15.75" customHeight="1" x14ac:dyDescent="0.25">
      <c r="A529" s="8"/>
      <c r="B529" s="8"/>
      <c r="C529" s="8"/>
      <c r="D529" s="8"/>
      <c r="E529" s="5"/>
      <c r="F529" s="16"/>
      <c r="G529" s="16"/>
      <c r="H529" s="5"/>
      <c r="I529" s="5"/>
      <c r="J529" s="5"/>
      <c r="K529" s="5"/>
      <c r="L529" s="5"/>
      <c r="M529" s="49"/>
      <c r="N529" s="18"/>
      <c r="O529" s="5"/>
      <c r="P529" s="22"/>
      <c r="Q529" s="8"/>
      <c r="R529" s="8"/>
      <c r="S529" s="8"/>
      <c r="T529" s="8"/>
      <c r="U529" s="8"/>
      <c r="V529" s="8"/>
      <c r="W529" s="8"/>
      <c r="X529" s="8"/>
      <c r="Y529" s="8"/>
      <c r="Z529" s="8"/>
      <c r="AA529" s="8"/>
      <c r="AB529" s="8"/>
      <c r="AC529" s="8"/>
      <c r="AD529" s="24"/>
      <c r="AE529" s="24"/>
      <c r="AF529" s="8"/>
      <c r="AG529" s="8"/>
      <c r="AH529" s="8"/>
      <c r="AI529" s="8"/>
    </row>
    <row r="530" spans="1:35" ht="15.75" customHeight="1" x14ac:dyDescent="0.25">
      <c r="A530" s="8"/>
      <c r="B530" s="8"/>
      <c r="C530" s="8"/>
      <c r="D530" s="8"/>
      <c r="E530" s="5"/>
      <c r="F530" s="16"/>
      <c r="G530" s="16"/>
      <c r="H530" s="5"/>
      <c r="I530" s="5"/>
      <c r="J530" s="5"/>
      <c r="K530" s="5"/>
      <c r="L530" s="5"/>
      <c r="M530" s="48"/>
      <c r="N530" s="18"/>
      <c r="O530" s="5"/>
      <c r="P530" s="22"/>
      <c r="Q530" s="8"/>
      <c r="R530" s="8"/>
      <c r="S530" s="8"/>
      <c r="T530" s="8"/>
      <c r="U530" s="8"/>
      <c r="V530" s="8"/>
      <c r="W530" s="8"/>
      <c r="X530" s="8"/>
      <c r="Y530" s="8"/>
      <c r="Z530" s="8"/>
      <c r="AA530" s="8"/>
      <c r="AB530" s="8"/>
      <c r="AC530" s="8"/>
      <c r="AD530" s="24"/>
      <c r="AE530" s="24"/>
      <c r="AF530" s="8"/>
      <c r="AG530" s="8"/>
      <c r="AH530" s="8"/>
      <c r="AI530" s="8"/>
    </row>
    <row r="531" spans="1:35" ht="15.75" customHeight="1" x14ac:dyDescent="0.25">
      <c r="A531" s="8"/>
      <c r="B531" s="8"/>
      <c r="C531" s="8"/>
      <c r="D531" s="8"/>
      <c r="E531" s="5"/>
      <c r="F531" s="16"/>
      <c r="G531" s="16"/>
      <c r="H531" s="5"/>
      <c r="I531" s="5"/>
      <c r="J531" s="5"/>
      <c r="K531" s="5"/>
      <c r="L531" s="5"/>
      <c r="M531" s="48"/>
      <c r="N531" s="18"/>
      <c r="O531" s="5"/>
      <c r="P531" s="22"/>
      <c r="Q531" s="8"/>
      <c r="R531" s="8"/>
      <c r="S531" s="8"/>
      <c r="T531" s="8"/>
      <c r="U531" s="8"/>
      <c r="V531" s="8"/>
      <c r="W531" s="8"/>
      <c r="X531" s="8"/>
      <c r="Y531" s="8"/>
      <c r="Z531" s="8"/>
      <c r="AA531" s="8"/>
      <c r="AB531" s="8"/>
      <c r="AC531" s="8"/>
      <c r="AD531" s="24"/>
      <c r="AE531" s="24"/>
      <c r="AF531" s="8"/>
      <c r="AG531" s="8"/>
      <c r="AH531" s="8"/>
      <c r="AI531" s="8"/>
    </row>
    <row r="532" spans="1:35" ht="15.75" customHeight="1" x14ac:dyDescent="0.25">
      <c r="A532" s="8"/>
      <c r="B532" s="8"/>
      <c r="C532" s="8"/>
      <c r="D532" s="8"/>
      <c r="E532" s="5"/>
      <c r="F532" s="16"/>
      <c r="G532" s="16"/>
      <c r="H532" s="5"/>
      <c r="I532" s="5"/>
      <c r="J532" s="5"/>
      <c r="K532" s="5"/>
      <c r="L532" s="5"/>
      <c r="M532" s="48"/>
      <c r="N532" s="18"/>
      <c r="O532" s="5"/>
      <c r="P532" s="22"/>
      <c r="Q532" s="8"/>
      <c r="R532" s="8"/>
      <c r="S532" s="8"/>
      <c r="T532" s="8"/>
      <c r="U532" s="8"/>
      <c r="V532" s="8"/>
      <c r="W532" s="8"/>
      <c r="X532" s="8"/>
      <c r="Y532" s="8"/>
      <c r="Z532" s="8"/>
      <c r="AA532" s="8"/>
      <c r="AB532" s="8"/>
      <c r="AC532" s="8"/>
      <c r="AD532" s="24"/>
      <c r="AE532" s="24"/>
      <c r="AF532" s="8"/>
      <c r="AG532" s="8"/>
      <c r="AH532" s="8"/>
      <c r="AI532" s="8"/>
    </row>
    <row r="533" spans="1:35" ht="15.75" customHeight="1" x14ac:dyDescent="0.25">
      <c r="A533" s="8"/>
      <c r="B533" s="8"/>
      <c r="C533" s="8"/>
      <c r="D533" s="8"/>
      <c r="E533" s="5"/>
      <c r="F533" s="16"/>
      <c r="G533" s="16"/>
      <c r="H533" s="5"/>
      <c r="I533" s="5"/>
      <c r="J533" s="5"/>
      <c r="K533" s="5"/>
      <c r="L533" s="5"/>
      <c r="M533" s="48"/>
      <c r="N533" s="18"/>
      <c r="O533" s="5"/>
      <c r="P533" s="22"/>
      <c r="Q533" s="8"/>
      <c r="R533" s="8"/>
      <c r="S533" s="8"/>
      <c r="T533" s="8"/>
      <c r="U533" s="8"/>
      <c r="V533" s="8"/>
      <c r="W533" s="8"/>
      <c r="X533" s="8"/>
      <c r="Y533" s="8"/>
      <c r="Z533" s="8"/>
      <c r="AA533" s="8"/>
      <c r="AB533" s="8"/>
      <c r="AC533" s="8"/>
      <c r="AD533" s="24"/>
      <c r="AE533" s="24"/>
      <c r="AF533" s="8"/>
      <c r="AG533" s="8"/>
      <c r="AH533" s="8"/>
      <c r="AI533" s="8"/>
    </row>
    <row r="534" spans="1:35" ht="15.75" customHeight="1" x14ac:dyDescent="0.25">
      <c r="A534" s="8"/>
      <c r="B534" s="8"/>
      <c r="C534" s="8"/>
      <c r="D534" s="8"/>
      <c r="E534" s="5"/>
      <c r="F534" s="16"/>
      <c r="G534" s="16"/>
      <c r="H534" s="5"/>
      <c r="I534" s="5"/>
      <c r="J534" s="5"/>
      <c r="K534" s="5"/>
      <c r="L534" s="5"/>
      <c r="M534" s="49"/>
      <c r="N534" s="18"/>
      <c r="O534" s="5"/>
      <c r="P534" s="22"/>
      <c r="Q534" s="8"/>
      <c r="R534" s="8"/>
      <c r="S534" s="8"/>
      <c r="T534" s="8"/>
      <c r="U534" s="8"/>
      <c r="V534" s="8"/>
      <c r="W534" s="8"/>
      <c r="X534" s="8"/>
      <c r="Y534" s="8"/>
      <c r="Z534" s="8"/>
      <c r="AA534" s="8"/>
      <c r="AB534" s="8"/>
      <c r="AC534" s="8"/>
      <c r="AD534" s="24"/>
      <c r="AE534" s="24"/>
      <c r="AF534" s="8"/>
      <c r="AG534" s="8"/>
      <c r="AH534" s="8"/>
      <c r="AI534" s="8"/>
    </row>
    <row r="535" spans="1:35" ht="15.75" customHeight="1" x14ac:dyDescent="0.25">
      <c r="A535" s="8"/>
      <c r="B535" s="8"/>
      <c r="C535" s="8"/>
      <c r="D535" s="8"/>
      <c r="E535" s="5"/>
      <c r="F535" s="16"/>
      <c r="G535" s="16"/>
      <c r="H535" s="5"/>
      <c r="I535" s="5"/>
      <c r="J535" s="5"/>
      <c r="K535" s="5"/>
      <c r="L535" s="5"/>
      <c r="M535" s="48"/>
      <c r="N535" s="18"/>
      <c r="O535" s="5"/>
      <c r="P535" s="22"/>
      <c r="Q535" s="8"/>
      <c r="R535" s="8"/>
      <c r="S535" s="8"/>
      <c r="T535" s="8"/>
      <c r="U535" s="8"/>
      <c r="V535" s="8"/>
      <c r="W535" s="8"/>
      <c r="X535" s="8"/>
      <c r="Y535" s="8"/>
      <c r="Z535" s="8"/>
      <c r="AA535" s="8"/>
      <c r="AB535" s="8"/>
      <c r="AC535" s="8"/>
      <c r="AD535" s="24"/>
      <c r="AE535" s="24"/>
      <c r="AF535" s="8"/>
      <c r="AG535" s="8"/>
      <c r="AH535" s="8"/>
      <c r="AI535" s="8"/>
    </row>
    <row r="536" spans="1:35" ht="15.75" customHeight="1" x14ac:dyDescent="0.25">
      <c r="A536" s="8"/>
      <c r="B536" s="8"/>
      <c r="C536" s="8"/>
      <c r="D536" s="8"/>
      <c r="E536" s="5"/>
      <c r="F536" s="16"/>
      <c r="G536" s="16"/>
      <c r="H536" s="5"/>
      <c r="I536" s="5"/>
      <c r="J536" s="5"/>
      <c r="K536" s="5"/>
      <c r="L536" s="5"/>
      <c r="M536" s="49"/>
      <c r="N536" s="18"/>
      <c r="O536" s="5"/>
      <c r="P536" s="22"/>
      <c r="Q536" s="8"/>
      <c r="R536" s="8"/>
      <c r="S536" s="8"/>
      <c r="T536" s="8"/>
      <c r="U536" s="8"/>
      <c r="V536" s="8"/>
      <c r="W536" s="8"/>
      <c r="X536" s="8"/>
      <c r="Y536" s="8"/>
      <c r="Z536" s="8"/>
      <c r="AA536" s="8"/>
      <c r="AB536" s="8"/>
      <c r="AC536" s="8"/>
      <c r="AD536" s="24"/>
      <c r="AE536" s="24"/>
      <c r="AF536" s="8"/>
      <c r="AG536" s="8"/>
      <c r="AH536" s="8"/>
      <c r="AI536" s="8"/>
    </row>
    <row r="537" spans="1:35" ht="15.75" customHeight="1" x14ac:dyDescent="0.25">
      <c r="A537" s="8"/>
      <c r="B537" s="8"/>
      <c r="C537" s="8"/>
      <c r="D537" s="8"/>
      <c r="E537" s="5"/>
      <c r="F537" s="16"/>
      <c r="G537" s="16"/>
      <c r="H537" s="5"/>
      <c r="I537" s="5"/>
      <c r="J537" s="5"/>
      <c r="K537" s="5"/>
      <c r="L537" s="5"/>
      <c r="M537" s="48"/>
      <c r="N537" s="18"/>
      <c r="O537" s="5"/>
      <c r="P537" s="22"/>
      <c r="Q537" s="8"/>
      <c r="R537" s="8"/>
      <c r="S537" s="8"/>
      <c r="T537" s="8"/>
      <c r="U537" s="8"/>
      <c r="V537" s="8"/>
      <c r="W537" s="8"/>
      <c r="X537" s="8"/>
      <c r="Y537" s="8"/>
      <c r="Z537" s="8"/>
      <c r="AA537" s="8"/>
      <c r="AB537" s="8"/>
      <c r="AC537" s="8"/>
      <c r="AD537" s="24"/>
      <c r="AE537" s="24"/>
      <c r="AF537" s="8"/>
      <c r="AG537" s="8"/>
      <c r="AH537" s="8"/>
      <c r="AI537" s="8"/>
    </row>
    <row r="538" spans="1:35" ht="15.75" customHeight="1" x14ac:dyDescent="0.25">
      <c r="A538" s="8"/>
      <c r="B538" s="8"/>
      <c r="C538" s="8"/>
      <c r="D538" s="8"/>
      <c r="E538" s="5"/>
      <c r="F538" s="16"/>
      <c r="G538" s="16"/>
      <c r="H538" s="5"/>
      <c r="I538" s="5"/>
      <c r="J538" s="5"/>
      <c r="K538" s="5"/>
      <c r="L538" s="5"/>
      <c r="M538" s="48"/>
      <c r="N538" s="18"/>
      <c r="O538" s="5"/>
      <c r="P538" s="22"/>
      <c r="Q538" s="8"/>
      <c r="R538" s="8"/>
      <c r="S538" s="8"/>
      <c r="T538" s="8"/>
      <c r="U538" s="8"/>
      <c r="V538" s="8"/>
      <c r="W538" s="8"/>
      <c r="X538" s="8"/>
      <c r="Y538" s="8"/>
      <c r="Z538" s="8"/>
      <c r="AA538" s="8"/>
      <c r="AB538" s="8"/>
      <c r="AC538" s="8"/>
      <c r="AD538" s="24"/>
      <c r="AE538" s="24"/>
      <c r="AF538" s="8"/>
      <c r="AG538" s="8"/>
      <c r="AH538" s="8"/>
      <c r="AI538" s="8"/>
    </row>
    <row r="539" spans="1:35" ht="15.75" customHeight="1" x14ac:dyDescent="0.25">
      <c r="A539" s="8"/>
      <c r="B539" s="8"/>
      <c r="C539" s="8"/>
      <c r="D539" s="8"/>
      <c r="E539" s="5"/>
      <c r="F539" s="16"/>
      <c r="G539" s="16"/>
      <c r="H539" s="5"/>
      <c r="I539" s="5"/>
      <c r="J539" s="5"/>
      <c r="K539" s="5"/>
      <c r="L539" s="5"/>
      <c r="M539" s="49"/>
      <c r="N539" s="18"/>
      <c r="O539" s="5"/>
      <c r="P539" s="22"/>
      <c r="Q539" s="8"/>
      <c r="R539" s="8"/>
      <c r="S539" s="8"/>
      <c r="T539" s="8"/>
      <c r="U539" s="8"/>
      <c r="V539" s="8"/>
      <c r="W539" s="8"/>
      <c r="X539" s="8"/>
      <c r="Y539" s="8"/>
      <c r="Z539" s="8"/>
      <c r="AA539" s="8"/>
      <c r="AB539" s="8"/>
      <c r="AC539" s="8"/>
      <c r="AD539" s="24"/>
      <c r="AE539" s="24"/>
      <c r="AF539" s="8"/>
      <c r="AG539" s="8"/>
      <c r="AH539" s="8"/>
      <c r="AI539" s="8"/>
    </row>
    <row r="540" spans="1:35" ht="15.75" customHeight="1" x14ac:dyDescent="0.25">
      <c r="A540" s="8"/>
      <c r="B540" s="8"/>
      <c r="C540" s="8"/>
      <c r="D540" s="8"/>
      <c r="E540" s="5"/>
      <c r="F540" s="16"/>
      <c r="G540" s="16"/>
      <c r="H540" s="5"/>
      <c r="I540" s="5"/>
      <c r="J540" s="5"/>
      <c r="K540" s="5"/>
      <c r="L540" s="5"/>
      <c r="M540" s="48"/>
      <c r="N540" s="18"/>
      <c r="O540" s="5"/>
      <c r="P540" s="22"/>
      <c r="Q540" s="8"/>
      <c r="R540" s="8"/>
      <c r="S540" s="8"/>
      <c r="T540" s="8"/>
      <c r="U540" s="8"/>
      <c r="V540" s="8"/>
      <c r="W540" s="8"/>
      <c r="X540" s="8"/>
      <c r="Y540" s="8"/>
      <c r="Z540" s="8"/>
      <c r="AA540" s="8"/>
      <c r="AB540" s="8"/>
      <c r="AC540" s="8"/>
      <c r="AD540" s="24"/>
      <c r="AE540" s="24"/>
      <c r="AF540" s="8"/>
      <c r="AG540" s="8"/>
      <c r="AH540" s="8"/>
      <c r="AI540" s="8"/>
    </row>
    <row r="541" spans="1:35" ht="15.75" customHeight="1" x14ac:dyDescent="0.25">
      <c r="A541" s="8"/>
      <c r="B541" s="8"/>
      <c r="C541" s="8"/>
      <c r="D541" s="8"/>
      <c r="E541" s="5"/>
      <c r="F541" s="16"/>
      <c r="G541" s="16"/>
      <c r="H541" s="5"/>
      <c r="I541" s="5"/>
      <c r="J541" s="5"/>
      <c r="K541" s="5"/>
      <c r="L541" s="5"/>
      <c r="M541" s="49"/>
      <c r="N541" s="18"/>
      <c r="O541" s="5"/>
      <c r="P541" s="22"/>
      <c r="Q541" s="8"/>
      <c r="R541" s="8"/>
      <c r="S541" s="8"/>
      <c r="T541" s="8"/>
      <c r="U541" s="8"/>
      <c r="V541" s="8"/>
      <c r="W541" s="8"/>
      <c r="X541" s="8"/>
      <c r="Y541" s="8"/>
      <c r="Z541" s="8"/>
      <c r="AA541" s="8"/>
      <c r="AB541" s="8"/>
      <c r="AC541" s="8"/>
      <c r="AD541" s="24"/>
      <c r="AE541" s="24"/>
      <c r="AF541" s="8"/>
      <c r="AG541" s="8"/>
      <c r="AH541" s="8"/>
      <c r="AI541" s="8"/>
    </row>
    <row r="542" spans="1:35" ht="15.75" customHeight="1" x14ac:dyDescent="0.25">
      <c r="A542" s="8"/>
      <c r="B542" s="8"/>
      <c r="C542" s="8"/>
      <c r="D542" s="8"/>
      <c r="E542" s="5"/>
      <c r="F542" s="16"/>
      <c r="G542" s="16"/>
      <c r="H542" s="5"/>
      <c r="I542" s="5"/>
      <c r="J542" s="5"/>
      <c r="K542" s="5"/>
      <c r="L542" s="5"/>
      <c r="M542" s="48"/>
      <c r="N542" s="18"/>
      <c r="O542" s="5"/>
      <c r="P542" s="22"/>
      <c r="Q542" s="8"/>
      <c r="R542" s="8"/>
      <c r="S542" s="8"/>
      <c r="T542" s="8"/>
      <c r="U542" s="8"/>
      <c r="V542" s="8"/>
      <c r="W542" s="8"/>
      <c r="X542" s="8"/>
      <c r="Y542" s="8"/>
      <c r="Z542" s="8"/>
      <c r="AA542" s="8"/>
      <c r="AB542" s="8"/>
      <c r="AC542" s="8"/>
      <c r="AD542" s="24"/>
      <c r="AE542" s="24"/>
      <c r="AF542" s="8"/>
      <c r="AG542" s="8"/>
      <c r="AH542" s="8"/>
      <c r="AI542" s="8"/>
    </row>
    <row r="543" spans="1:35" ht="15.75" customHeight="1" x14ac:dyDescent="0.25">
      <c r="A543" s="8"/>
      <c r="B543" s="8"/>
      <c r="C543" s="8"/>
      <c r="D543" s="8"/>
      <c r="E543" s="5"/>
      <c r="F543" s="16"/>
      <c r="G543" s="16"/>
      <c r="H543" s="5"/>
      <c r="I543" s="5"/>
      <c r="J543" s="5"/>
      <c r="K543" s="5"/>
      <c r="L543" s="5"/>
      <c r="M543" s="48"/>
      <c r="N543" s="18"/>
      <c r="O543" s="5"/>
      <c r="P543" s="22"/>
      <c r="Q543" s="8"/>
      <c r="R543" s="8"/>
      <c r="S543" s="8"/>
      <c r="T543" s="8"/>
      <c r="U543" s="8"/>
      <c r="V543" s="8"/>
      <c r="W543" s="8"/>
      <c r="X543" s="8"/>
      <c r="Y543" s="8"/>
      <c r="Z543" s="8"/>
      <c r="AA543" s="8"/>
      <c r="AB543" s="8"/>
      <c r="AC543" s="8"/>
      <c r="AD543" s="24"/>
      <c r="AE543" s="24"/>
      <c r="AF543" s="8"/>
      <c r="AG543" s="8"/>
      <c r="AH543" s="8"/>
      <c r="AI543" s="8"/>
    </row>
    <row r="544" spans="1:35" ht="15.75" customHeight="1" x14ac:dyDescent="0.25">
      <c r="A544" s="8"/>
      <c r="B544" s="8"/>
      <c r="C544" s="8"/>
      <c r="D544" s="8"/>
      <c r="E544" s="5"/>
      <c r="F544" s="16"/>
      <c r="G544" s="16"/>
      <c r="H544" s="5"/>
      <c r="I544" s="5"/>
      <c r="J544" s="5"/>
      <c r="K544" s="5"/>
      <c r="L544" s="5"/>
      <c r="M544" s="49"/>
      <c r="N544" s="18"/>
      <c r="O544" s="5"/>
      <c r="P544" s="22"/>
      <c r="Q544" s="8"/>
      <c r="R544" s="8"/>
      <c r="S544" s="8"/>
      <c r="T544" s="8"/>
      <c r="U544" s="8"/>
      <c r="V544" s="8"/>
      <c r="W544" s="8"/>
      <c r="X544" s="8"/>
      <c r="Y544" s="8"/>
      <c r="Z544" s="8"/>
      <c r="AA544" s="8"/>
      <c r="AB544" s="8"/>
      <c r="AC544" s="8"/>
      <c r="AD544" s="24"/>
      <c r="AE544" s="24"/>
      <c r="AF544" s="8"/>
      <c r="AG544" s="8"/>
      <c r="AH544" s="8"/>
      <c r="AI544" s="8"/>
    </row>
    <row r="545" spans="1:35" ht="15.75" customHeight="1" x14ac:dyDescent="0.25">
      <c r="A545" s="8"/>
      <c r="B545" s="8"/>
      <c r="C545" s="8"/>
      <c r="D545" s="8"/>
      <c r="E545" s="5"/>
      <c r="F545" s="16"/>
      <c r="G545" s="16"/>
      <c r="H545" s="5"/>
      <c r="I545" s="5"/>
      <c r="J545" s="5"/>
      <c r="K545" s="5"/>
      <c r="L545" s="5"/>
      <c r="M545" s="48"/>
      <c r="N545" s="18"/>
      <c r="O545" s="5"/>
      <c r="P545" s="22"/>
      <c r="Q545" s="8"/>
      <c r="R545" s="8"/>
      <c r="S545" s="8"/>
      <c r="T545" s="8"/>
      <c r="U545" s="8"/>
      <c r="V545" s="8"/>
      <c r="W545" s="8"/>
      <c r="X545" s="8"/>
      <c r="Y545" s="8"/>
      <c r="Z545" s="8"/>
      <c r="AA545" s="8"/>
      <c r="AB545" s="8"/>
      <c r="AC545" s="8"/>
      <c r="AD545" s="24"/>
      <c r="AE545" s="24"/>
      <c r="AF545" s="8"/>
      <c r="AG545" s="8"/>
      <c r="AH545" s="8"/>
      <c r="AI545" s="8"/>
    </row>
    <row r="546" spans="1:35" ht="15.75" customHeight="1" x14ac:dyDescent="0.25">
      <c r="A546" s="8"/>
      <c r="B546" s="8"/>
      <c r="C546" s="8"/>
      <c r="D546" s="8"/>
      <c r="E546" s="5"/>
      <c r="F546" s="16"/>
      <c r="G546" s="16"/>
      <c r="H546" s="5"/>
      <c r="I546" s="5"/>
      <c r="J546" s="5"/>
      <c r="K546" s="5"/>
      <c r="L546" s="5"/>
      <c r="M546" s="48"/>
      <c r="N546" s="18"/>
      <c r="O546" s="5"/>
      <c r="P546" s="22"/>
      <c r="Q546" s="8"/>
      <c r="R546" s="8"/>
      <c r="S546" s="8"/>
      <c r="T546" s="8"/>
      <c r="U546" s="8"/>
      <c r="V546" s="8"/>
      <c r="W546" s="8"/>
      <c r="X546" s="8"/>
      <c r="Y546" s="8"/>
      <c r="Z546" s="8"/>
      <c r="AA546" s="8"/>
      <c r="AB546" s="8"/>
      <c r="AC546" s="8"/>
      <c r="AD546" s="24"/>
      <c r="AE546" s="24"/>
      <c r="AF546" s="8"/>
      <c r="AG546" s="8"/>
      <c r="AH546" s="8"/>
      <c r="AI546" s="8"/>
    </row>
    <row r="547" spans="1:35" ht="15.75" customHeight="1" x14ac:dyDescent="0.25">
      <c r="A547" s="8"/>
      <c r="B547" s="8"/>
      <c r="C547" s="8"/>
      <c r="D547" s="8"/>
      <c r="E547" s="50"/>
      <c r="F547" s="51"/>
      <c r="G547" s="51"/>
      <c r="H547" s="52"/>
      <c r="I547" s="52"/>
      <c r="J547" s="52"/>
      <c r="K547" s="52"/>
      <c r="L547" s="52"/>
      <c r="M547" s="52"/>
      <c r="N547" s="52"/>
      <c r="O547" s="5"/>
      <c r="P547" s="22"/>
      <c r="Q547" s="8"/>
      <c r="R547" s="8"/>
      <c r="S547" s="8"/>
      <c r="T547" s="8"/>
      <c r="U547" s="8"/>
      <c r="V547" s="8"/>
      <c r="W547" s="8"/>
      <c r="X547" s="8"/>
      <c r="Y547" s="8"/>
      <c r="Z547" s="8"/>
      <c r="AA547" s="8"/>
      <c r="AB547" s="8"/>
      <c r="AC547" s="8"/>
      <c r="AD547" s="24"/>
      <c r="AE547" s="24"/>
      <c r="AF547" s="8"/>
      <c r="AG547" s="8"/>
      <c r="AH547" s="8"/>
      <c r="AI547" s="8"/>
    </row>
    <row r="548" spans="1:35" ht="15.75" customHeight="1" x14ac:dyDescent="0.25">
      <c r="A548" s="8"/>
      <c r="B548" s="8"/>
      <c r="C548" s="8"/>
      <c r="D548" s="8"/>
      <c r="E548" s="50"/>
      <c r="F548" s="51"/>
      <c r="G548" s="51"/>
      <c r="H548" s="52"/>
      <c r="I548" s="52"/>
      <c r="J548" s="52"/>
      <c r="K548" s="52"/>
      <c r="L548" s="52"/>
      <c r="M548" s="48"/>
      <c r="N548" s="52"/>
      <c r="O548" s="5"/>
      <c r="P548" s="22"/>
      <c r="Q548" s="8"/>
      <c r="R548" s="8"/>
      <c r="S548" s="8"/>
      <c r="T548" s="8"/>
      <c r="U548" s="8"/>
      <c r="V548" s="8"/>
      <c r="W548" s="8"/>
      <c r="X548" s="8"/>
      <c r="Y548" s="8"/>
      <c r="Z548" s="8"/>
      <c r="AA548" s="8"/>
      <c r="AB548" s="8"/>
      <c r="AC548" s="8"/>
      <c r="AD548" s="24"/>
      <c r="AE548" s="24"/>
      <c r="AF548" s="8"/>
      <c r="AG548" s="8"/>
      <c r="AH548" s="8"/>
      <c r="AI548" s="8"/>
    </row>
    <row r="549" spans="1:35" ht="15.75" customHeight="1" x14ac:dyDescent="0.25">
      <c r="A549" s="8"/>
      <c r="B549" s="8"/>
      <c r="C549" s="8"/>
      <c r="D549" s="8"/>
      <c r="E549" s="50"/>
      <c r="F549" s="51"/>
      <c r="G549" s="51"/>
      <c r="H549" s="52"/>
      <c r="I549" s="52"/>
      <c r="J549" s="52"/>
      <c r="K549" s="52"/>
      <c r="L549" s="52"/>
      <c r="M549" s="49"/>
      <c r="N549" s="52"/>
      <c r="O549" s="5"/>
      <c r="P549" s="22"/>
      <c r="Q549" s="8"/>
      <c r="R549" s="8"/>
      <c r="S549" s="8"/>
      <c r="T549" s="8"/>
      <c r="U549" s="8"/>
      <c r="V549" s="8"/>
      <c r="W549" s="8"/>
      <c r="X549" s="8"/>
      <c r="Y549" s="8"/>
      <c r="Z549" s="8"/>
      <c r="AA549" s="8"/>
      <c r="AB549" s="8"/>
      <c r="AC549" s="8"/>
      <c r="AD549" s="24"/>
      <c r="AE549" s="24"/>
      <c r="AF549" s="8"/>
      <c r="AG549" s="8"/>
      <c r="AH549" s="8"/>
      <c r="AI549" s="8"/>
    </row>
    <row r="550" spans="1:35" ht="15.75" customHeight="1" x14ac:dyDescent="0.25">
      <c r="A550" s="8"/>
      <c r="B550" s="8"/>
      <c r="C550" s="8"/>
      <c r="D550" s="8"/>
      <c r="E550" s="50"/>
      <c r="F550" s="51"/>
      <c r="G550" s="51"/>
      <c r="H550" s="52"/>
      <c r="I550" s="52"/>
      <c r="J550" s="52"/>
      <c r="K550" s="52"/>
      <c r="L550" s="52"/>
      <c r="M550" s="48"/>
      <c r="N550" s="52"/>
      <c r="O550" s="5"/>
      <c r="P550" s="22"/>
      <c r="Q550" s="8"/>
      <c r="R550" s="8"/>
      <c r="S550" s="8"/>
      <c r="T550" s="8"/>
      <c r="U550" s="8"/>
      <c r="V550" s="8"/>
      <c r="W550" s="8"/>
      <c r="X550" s="8"/>
      <c r="Y550" s="8"/>
      <c r="Z550" s="8"/>
      <c r="AA550" s="8"/>
      <c r="AB550" s="8"/>
      <c r="AC550" s="8"/>
      <c r="AD550" s="24"/>
      <c r="AE550" s="24"/>
      <c r="AF550" s="8"/>
      <c r="AG550" s="8"/>
      <c r="AH550" s="8"/>
      <c r="AI550" s="8"/>
    </row>
    <row r="551" spans="1:35" ht="15.75" customHeight="1" x14ac:dyDescent="0.25">
      <c r="A551" s="8"/>
      <c r="B551" s="8"/>
      <c r="C551" s="8"/>
      <c r="D551" s="8"/>
      <c r="E551" s="50"/>
      <c r="F551" s="51"/>
      <c r="G551" s="51"/>
      <c r="H551" s="52"/>
      <c r="I551" s="52"/>
      <c r="J551" s="52"/>
      <c r="K551" s="52"/>
      <c r="L551" s="52"/>
      <c r="M551" s="49"/>
      <c r="N551" s="52"/>
      <c r="O551" s="5"/>
      <c r="P551" s="22"/>
      <c r="Q551" s="8"/>
      <c r="R551" s="8"/>
      <c r="S551" s="8"/>
      <c r="T551" s="8"/>
      <c r="U551" s="8"/>
      <c r="V551" s="8"/>
      <c r="W551" s="8"/>
      <c r="X551" s="8"/>
      <c r="Y551" s="8"/>
      <c r="Z551" s="8"/>
      <c r="AA551" s="8"/>
      <c r="AB551" s="8"/>
      <c r="AC551" s="8"/>
      <c r="AD551" s="24"/>
      <c r="AE551" s="24"/>
      <c r="AF551" s="8"/>
      <c r="AG551" s="8"/>
      <c r="AH551" s="8"/>
      <c r="AI551" s="8"/>
    </row>
    <row r="552" spans="1:35" ht="15.75" customHeight="1" x14ac:dyDescent="0.25">
      <c r="A552" s="8"/>
      <c r="B552" s="8"/>
      <c r="C552" s="8"/>
      <c r="D552" s="8"/>
      <c r="E552" s="50"/>
      <c r="F552" s="51"/>
      <c r="G552" s="51"/>
      <c r="H552" s="52"/>
      <c r="I552" s="52"/>
      <c r="J552" s="52"/>
      <c r="K552" s="52"/>
      <c r="L552" s="52"/>
      <c r="M552" s="48"/>
      <c r="N552" s="52"/>
      <c r="O552" s="5"/>
      <c r="P552" s="22"/>
      <c r="Q552" s="8"/>
      <c r="R552" s="8"/>
      <c r="S552" s="8"/>
      <c r="T552" s="8"/>
      <c r="U552" s="8"/>
      <c r="V552" s="8"/>
      <c r="W552" s="8"/>
      <c r="X552" s="8"/>
      <c r="Y552" s="8"/>
      <c r="Z552" s="8"/>
      <c r="AA552" s="8"/>
      <c r="AB552" s="8"/>
      <c r="AC552" s="8"/>
      <c r="AD552" s="24"/>
      <c r="AE552" s="24"/>
      <c r="AF552" s="8"/>
      <c r="AG552" s="8"/>
      <c r="AH552" s="8"/>
      <c r="AI552" s="8"/>
    </row>
    <row r="553" spans="1:35" ht="15.75" customHeight="1" x14ac:dyDescent="0.25">
      <c r="A553" s="8"/>
      <c r="B553" s="8"/>
      <c r="C553" s="8"/>
      <c r="D553" s="8"/>
      <c r="E553" s="50"/>
      <c r="F553" s="51"/>
      <c r="G553" s="51"/>
      <c r="H553" s="52"/>
      <c r="I553" s="52"/>
      <c r="J553" s="52"/>
      <c r="K553" s="52"/>
      <c r="L553" s="52"/>
      <c r="M553" s="49"/>
      <c r="N553" s="52"/>
      <c r="O553" s="5"/>
      <c r="P553" s="22"/>
      <c r="Q553" s="8"/>
      <c r="R553" s="8"/>
      <c r="S553" s="8"/>
      <c r="T553" s="8"/>
      <c r="U553" s="8"/>
      <c r="V553" s="8"/>
      <c r="W553" s="8"/>
      <c r="X553" s="8"/>
      <c r="Y553" s="8"/>
      <c r="Z553" s="8"/>
      <c r="AA553" s="8"/>
      <c r="AB553" s="8"/>
      <c r="AC553" s="8"/>
      <c r="AD553" s="24"/>
      <c r="AE553" s="24"/>
      <c r="AF553" s="8"/>
      <c r="AG553" s="8"/>
      <c r="AH553" s="8"/>
      <c r="AI553" s="8"/>
    </row>
    <row r="554" spans="1:35" ht="15.75" customHeight="1" x14ac:dyDescent="0.25">
      <c r="A554" s="8"/>
      <c r="B554" s="8"/>
      <c r="C554" s="8"/>
      <c r="D554" s="8"/>
      <c r="E554" s="50"/>
      <c r="F554" s="51"/>
      <c r="G554" s="51"/>
      <c r="H554" s="52"/>
      <c r="I554" s="52"/>
      <c r="J554" s="52"/>
      <c r="K554" s="52"/>
      <c r="L554" s="52"/>
      <c r="M554" s="48"/>
      <c r="N554" s="52"/>
      <c r="O554" s="5"/>
      <c r="P554" s="22"/>
      <c r="Q554" s="8"/>
      <c r="R554" s="8"/>
      <c r="S554" s="8"/>
      <c r="T554" s="8"/>
      <c r="U554" s="8"/>
      <c r="V554" s="8"/>
      <c r="W554" s="8"/>
      <c r="X554" s="8"/>
      <c r="Y554" s="8"/>
      <c r="Z554" s="8"/>
      <c r="AA554" s="8"/>
      <c r="AB554" s="8"/>
      <c r="AC554" s="8"/>
      <c r="AD554" s="24"/>
      <c r="AE554" s="24"/>
      <c r="AF554" s="8"/>
      <c r="AG554" s="8"/>
      <c r="AH554" s="8"/>
      <c r="AI554" s="8"/>
    </row>
    <row r="555" spans="1:35" ht="15.75" customHeight="1" x14ac:dyDescent="0.25">
      <c r="A555" s="8"/>
      <c r="B555" s="8"/>
      <c r="C555" s="8"/>
      <c r="D555" s="8"/>
      <c r="E555" s="50"/>
      <c r="F555" s="51"/>
      <c r="G555" s="51"/>
      <c r="H555" s="52"/>
      <c r="I555" s="52"/>
      <c r="J555" s="52"/>
      <c r="K555" s="52"/>
      <c r="L555" s="52"/>
      <c r="M555" s="48"/>
      <c r="N555" s="52"/>
      <c r="O555" s="5"/>
      <c r="P555" s="22"/>
      <c r="Q555" s="8"/>
      <c r="R555" s="8"/>
      <c r="S555" s="8"/>
      <c r="T555" s="8"/>
      <c r="U555" s="8"/>
      <c r="V555" s="8"/>
      <c r="W555" s="8"/>
      <c r="X555" s="8"/>
      <c r="Y555" s="8"/>
      <c r="Z555" s="8"/>
      <c r="AA555" s="8"/>
      <c r="AB555" s="8"/>
      <c r="AC555" s="8"/>
      <c r="AD555" s="24"/>
      <c r="AE555" s="24"/>
      <c r="AF555" s="8"/>
      <c r="AG555" s="8"/>
      <c r="AH555" s="8"/>
      <c r="AI555" s="8"/>
    </row>
    <row r="556" spans="1:35" ht="15.75" customHeight="1" x14ac:dyDescent="0.25">
      <c r="A556" s="8"/>
      <c r="B556" s="8"/>
      <c r="C556" s="8"/>
      <c r="D556" s="8"/>
      <c r="E556" s="50"/>
      <c r="F556" s="51"/>
      <c r="G556" s="51"/>
      <c r="H556" s="52"/>
      <c r="I556" s="52"/>
      <c r="J556" s="52"/>
      <c r="K556" s="52"/>
      <c r="L556" s="52"/>
      <c r="M556" s="48"/>
      <c r="N556" s="52"/>
      <c r="O556" s="5"/>
      <c r="P556" s="22"/>
      <c r="Q556" s="8"/>
      <c r="R556" s="8"/>
      <c r="S556" s="8"/>
      <c r="T556" s="8"/>
      <c r="U556" s="8"/>
      <c r="V556" s="8"/>
      <c r="W556" s="8"/>
      <c r="X556" s="8"/>
      <c r="Y556" s="8"/>
      <c r="Z556" s="8"/>
      <c r="AA556" s="8"/>
      <c r="AB556" s="8"/>
      <c r="AC556" s="8"/>
      <c r="AD556" s="24"/>
      <c r="AE556" s="24"/>
      <c r="AF556" s="8"/>
      <c r="AG556" s="8"/>
      <c r="AH556" s="8"/>
      <c r="AI556" s="8"/>
    </row>
    <row r="557" spans="1:35" ht="15.75" customHeight="1" x14ac:dyDescent="0.25">
      <c r="A557" s="8"/>
      <c r="B557" s="8"/>
      <c r="C557" s="8"/>
      <c r="D557" s="8"/>
      <c r="E557" s="50"/>
      <c r="F557" s="51"/>
      <c r="G557" s="51"/>
      <c r="H557" s="52"/>
      <c r="I557" s="52"/>
      <c r="J557" s="52"/>
      <c r="K557" s="52"/>
      <c r="L557" s="52"/>
      <c r="M557" s="48"/>
      <c r="N557" s="52"/>
      <c r="O557" s="5"/>
      <c r="P557" s="22"/>
      <c r="Q557" s="8"/>
      <c r="R557" s="8"/>
      <c r="S557" s="8"/>
      <c r="T557" s="8"/>
      <c r="U557" s="8"/>
      <c r="V557" s="8"/>
      <c r="W557" s="8"/>
      <c r="X557" s="8"/>
      <c r="Y557" s="8"/>
      <c r="Z557" s="8"/>
      <c r="AA557" s="8"/>
      <c r="AB557" s="8"/>
      <c r="AC557" s="8"/>
      <c r="AD557" s="24"/>
      <c r="AE557" s="24"/>
      <c r="AF557" s="8"/>
      <c r="AG557" s="8"/>
      <c r="AH557" s="8"/>
      <c r="AI557" s="8"/>
    </row>
    <row r="558" spans="1:35" ht="15.75" customHeight="1" x14ac:dyDescent="0.25">
      <c r="A558" s="8"/>
      <c r="B558" s="8"/>
      <c r="C558" s="8"/>
      <c r="D558" s="8"/>
      <c r="E558" s="50"/>
      <c r="F558" s="51"/>
      <c r="G558" s="51"/>
      <c r="H558" s="52"/>
      <c r="I558" s="52"/>
      <c r="J558" s="52"/>
      <c r="K558" s="52"/>
      <c r="L558" s="52"/>
      <c r="M558" s="52"/>
      <c r="N558" s="52"/>
      <c r="O558" s="5"/>
      <c r="P558" s="22"/>
      <c r="Q558" s="8"/>
      <c r="R558" s="8"/>
      <c r="S558" s="8"/>
      <c r="T558" s="8"/>
      <c r="U558" s="8"/>
      <c r="V558" s="8"/>
      <c r="W558" s="8"/>
      <c r="X558" s="8"/>
      <c r="Y558" s="8"/>
      <c r="Z558" s="8"/>
      <c r="AA558" s="8"/>
      <c r="AB558" s="8"/>
      <c r="AC558" s="8"/>
      <c r="AD558" s="24"/>
      <c r="AE558" s="24"/>
      <c r="AF558" s="8"/>
      <c r="AG558" s="8"/>
      <c r="AH558" s="8"/>
      <c r="AI558" s="8"/>
    </row>
    <row r="559" spans="1:35" ht="15.75" customHeight="1" x14ac:dyDescent="0.25">
      <c r="A559" s="8"/>
      <c r="B559" s="8"/>
      <c r="C559" s="8"/>
      <c r="D559" s="8"/>
      <c r="E559" s="50"/>
      <c r="F559" s="51"/>
      <c r="G559" s="51"/>
      <c r="H559" s="52"/>
      <c r="I559" s="52"/>
      <c r="J559" s="52"/>
      <c r="K559" s="52"/>
      <c r="L559" s="52"/>
      <c r="M559" s="52"/>
      <c r="N559" s="52"/>
      <c r="O559" s="5"/>
      <c r="P559" s="22"/>
      <c r="Q559" s="8"/>
      <c r="R559" s="8"/>
      <c r="S559" s="8"/>
      <c r="T559" s="8"/>
      <c r="U559" s="8"/>
      <c r="V559" s="8"/>
      <c r="W559" s="8"/>
      <c r="X559" s="8"/>
      <c r="Y559" s="8"/>
      <c r="Z559" s="8"/>
      <c r="AA559" s="8"/>
      <c r="AB559" s="8"/>
      <c r="AC559" s="8"/>
      <c r="AD559" s="24"/>
      <c r="AE559" s="24"/>
      <c r="AF559" s="8"/>
      <c r="AG559" s="8"/>
      <c r="AH559" s="8"/>
      <c r="AI559" s="8"/>
    </row>
    <row r="560" spans="1:35" ht="15.75" customHeight="1" x14ac:dyDescent="0.25">
      <c r="A560" s="8"/>
      <c r="B560" s="8"/>
      <c r="C560" s="8"/>
      <c r="D560" s="8"/>
      <c r="E560" s="50"/>
      <c r="F560" s="51"/>
      <c r="G560" s="51"/>
      <c r="H560" s="52"/>
      <c r="I560" s="52"/>
      <c r="J560" s="52"/>
      <c r="K560" s="52"/>
      <c r="L560" s="52"/>
      <c r="M560" s="52"/>
      <c r="N560" s="52"/>
      <c r="O560" s="5"/>
      <c r="P560" s="22"/>
      <c r="Q560" s="8"/>
      <c r="R560" s="8"/>
      <c r="S560" s="8"/>
      <c r="T560" s="8"/>
      <c r="U560" s="8"/>
      <c r="V560" s="8"/>
      <c r="W560" s="8"/>
      <c r="X560" s="8"/>
      <c r="Y560" s="8"/>
      <c r="Z560" s="8"/>
      <c r="AA560" s="8"/>
      <c r="AB560" s="8"/>
      <c r="AC560" s="8"/>
      <c r="AD560" s="24"/>
      <c r="AE560" s="24"/>
      <c r="AF560" s="8"/>
      <c r="AG560" s="8"/>
      <c r="AH560" s="8"/>
      <c r="AI560" s="8"/>
    </row>
    <row r="561" spans="1:35" ht="15.75" customHeight="1" x14ac:dyDescent="0.25">
      <c r="A561" s="8"/>
      <c r="B561" s="8"/>
      <c r="C561" s="8"/>
      <c r="D561" s="8"/>
      <c r="E561" s="50"/>
      <c r="F561" s="51"/>
      <c r="G561" s="51"/>
      <c r="H561" s="52"/>
      <c r="I561" s="52"/>
      <c r="J561" s="52"/>
      <c r="K561" s="52"/>
      <c r="L561" s="52"/>
      <c r="M561" s="48"/>
      <c r="N561" s="52"/>
      <c r="O561" s="5"/>
      <c r="P561" s="22"/>
      <c r="Q561" s="8"/>
      <c r="R561" s="8"/>
      <c r="S561" s="8"/>
      <c r="T561" s="8"/>
      <c r="U561" s="8"/>
      <c r="V561" s="8"/>
      <c r="W561" s="8"/>
      <c r="X561" s="8"/>
      <c r="Y561" s="8"/>
      <c r="Z561" s="8"/>
      <c r="AA561" s="8"/>
      <c r="AB561" s="8"/>
      <c r="AC561" s="8"/>
      <c r="AD561" s="24"/>
      <c r="AE561" s="24"/>
      <c r="AF561" s="8"/>
      <c r="AG561" s="8"/>
      <c r="AH561" s="8"/>
      <c r="AI561" s="8"/>
    </row>
    <row r="562" spans="1:35" ht="15.75" customHeight="1" x14ac:dyDescent="0.25">
      <c r="A562" s="8"/>
      <c r="B562" s="8"/>
      <c r="C562" s="8"/>
      <c r="D562" s="8"/>
      <c r="E562" s="50"/>
      <c r="F562" s="51"/>
      <c r="G562" s="51"/>
      <c r="H562" s="52"/>
      <c r="I562" s="52"/>
      <c r="J562" s="52"/>
      <c r="K562" s="52"/>
      <c r="L562" s="52"/>
      <c r="M562" s="48"/>
      <c r="N562" s="52"/>
      <c r="O562" s="5"/>
      <c r="P562" s="22"/>
      <c r="Q562" s="8"/>
      <c r="R562" s="8"/>
      <c r="S562" s="8"/>
      <c r="T562" s="8"/>
      <c r="U562" s="8"/>
      <c r="V562" s="8"/>
      <c r="W562" s="8"/>
      <c r="X562" s="8"/>
      <c r="Y562" s="8"/>
      <c r="Z562" s="8"/>
      <c r="AA562" s="8"/>
      <c r="AB562" s="8"/>
      <c r="AC562" s="8"/>
      <c r="AD562" s="24"/>
      <c r="AE562" s="24"/>
      <c r="AF562" s="8"/>
      <c r="AG562" s="8"/>
      <c r="AH562" s="8"/>
      <c r="AI562" s="8"/>
    </row>
    <row r="563" spans="1:35" ht="15.75" customHeight="1" x14ac:dyDescent="0.25">
      <c r="A563" s="8"/>
      <c r="B563" s="8"/>
      <c r="C563" s="8"/>
      <c r="D563" s="8"/>
      <c r="E563" s="50"/>
      <c r="F563" s="51"/>
      <c r="G563" s="51"/>
      <c r="H563" s="52"/>
      <c r="I563" s="52"/>
      <c r="J563" s="52"/>
      <c r="K563" s="52"/>
      <c r="L563" s="52"/>
      <c r="M563" s="52"/>
      <c r="N563" s="52"/>
      <c r="O563" s="5"/>
      <c r="P563" s="22"/>
      <c r="Q563" s="8"/>
      <c r="R563" s="8"/>
      <c r="S563" s="8"/>
      <c r="T563" s="8"/>
      <c r="U563" s="8"/>
      <c r="V563" s="8"/>
      <c r="W563" s="8"/>
      <c r="X563" s="8"/>
      <c r="Y563" s="8"/>
      <c r="Z563" s="8"/>
      <c r="AA563" s="8"/>
      <c r="AB563" s="8"/>
      <c r="AC563" s="8"/>
      <c r="AD563" s="24"/>
      <c r="AE563" s="24"/>
      <c r="AF563" s="8"/>
      <c r="AG563" s="8"/>
      <c r="AH563" s="8"/>
      <c r="AI563" s="8"/>
    </row>
    <row r="564" spans="1:35" ht="15.75" customHeight="1" x14ac:dyDescent="0.25">
      <c r="A564" s="8"/>
      <c r="B564" s="8"/>
      <c r="C564" s="8"/>
      <c r="D564" s="8"/>
      <c r="E564" s="50"/>
      <c r="F564" s="51"/>
      <c r="G564" s="51"/>
      <c r="H564" s="52"/>
      <c r="I564" s="52"/>
      <c r="J564" s="52"/>
      <c r="K564" s="52"/>
      <c r="L564" s="52"/>
      <c r="M564" s="49"/>
      <c r="N564" s="52"/>
      <c r="O564" s="5"/>
      <c r="P564" s="22"/>
      <c r="Q564" s="8"/>
      <c r="R564" s="8"/>
      <c r="S564" s="8"/>
      <c r="T564" s="8"/>
      <c r="U564" s="8"/>
      <c r="V564" s="8"/>
      <c r="W564" s="8"/>
      <c r="X564" s="8"/>
      <c r="Y564" s="8"/>
      <c r="Z564" s="8"/>
      <c r="AA564" s="8"/>
      <c r="AB564" s="8"/>
      <c r="AC564" s="8"/>
      <c r="AD564" s="24"/>
      <c r="AE564" s="24"/>
      <c r="AF564" s="8"/>
      <c r="AG564" s="8"/>
      <c r="AH564" s="8"/>
      <c r="AI564" s="8"/>
    </row>
    <row r="565" spans="1:35" ht="15.75" customHeight="1" x14ac:dyDescent="0.25">
      <c r="A565" s="8"/>
      <c r="B565" s="8"/>
      <c r="C565" s="8"/>
      <c r="D565" s="8"/>
      <c r="E565" s="50"/>
      <c r="F565" s="51"/>
      <c r="G565" s="51"/>
      <c r="H565" s="52"/>
      <c r="I565" s="52"/>
      <c r="J565" s="52"/>
      <c r="K565" s="52"/>
      <c r="L565" s="52"/>
      <c r="M565" s="48"/>
      <c r="N565" s="52"/>
      <c r="O565" s="5"/>
      <c r="P565" s="22"/>
      <c r="Q565" s="8"/>
      <c r="R565" s="8"/>
      <c r="S565" s="8"/>
      <c r="T565" s="8"/>
      <c r="U565" s="8"/>
      <c r="V565" s="8"/>
      <c r="W565" s="8"/>
      <c r="X565" s="8"/>
      <c r="Y565" s="8"/>
      <c r="Z565" s="8"/>
      <c r="AA565" s="8"/>
      <c r="AB565" s="8"/>
      <c r="AC565" s="8"/>
      <c r="AD565" s="24"/>
      <c r="AE565" s="24"/>
      <c r="AF565" s="8"/>
      <c r="AG565" s="8"/>
      <c r="AH565" s="8"/>
      <c r="AI565" s="8"/>
    </row>
    <row r="566" spans="1:35" ht="15.75" customHeight="1" x14ac:dyDescent="0.25">
      <c r="A566" s="8"/>
      <c r="B566" s="8"/>
      <c r="C566" s="8"/>
      <c r="D566" s="8"/>
      <c r="E566" s="50"/>
      <c r="F566" s="51"/>
      <c r="G566" s="51"/>
      <c r="H566" s="52"/>
      <c r="I566" s="52"/>
      <c r="J566" s="52"/>
      <c r="K566" s="52"/>
      <c r="L566" s="52"/>
      <c r="M566" s="48"/>
      <c r="N566" s="52"/>
      <c r="O566" s="5"/>
      <c r="P566" s="22"/>
      <c r="Q566" s="8"/>
      <c r="R566" s="8"/>
      <c r="S566" s="8"/>
      <c r="T566" s="8"/>
      <c r="U566" s="8"/>
      <c r="V566" s="8"/>
      <c r="W566" s="8"/>
      <c r="X566" s="8"/>
      <c r="Y566" s="8"/>
      <c r="Z566" s="8"/>
      <c r="AA566" s="8"/>
      <c r="AB566" s="8"/>
      <c r="AC566" s="8"/>
      <c r="AD566" s="24"/>
      <c r="AE566" s="24"/>
      <c r="AF566" s="8"/>
      <c r="AG566" s="8"/>
      <c r="AH566" s="8"/>
      <c r="AI566" s="8"/>
    </row>
    <row r="567" spans="1:35" ht="15.75" customHeight="1" x14ac:dyDescent="0.25">
      <c r="A567" s="8"/>
      <c r="B567" s="8"/>
      <c r="C567" s="8"/>
      <c r="D567" s="8"/>
      <c r="E567" s="50"/>
      <c r="F567" s="51"/>
      <c r="G567" s="51"/>
      <c r="H567" s="52"/>
      <c r="I567" s="52"/>
      <c r="J567" s="52"/>
      <c r="K567" s="52"/>
      <c r="L567" s="52"/>
      <c r="M567" s="48"/>
      <c r="N567" s="52"/>
      <c r="O567" s="5"/>
      <c r="P567" s="22"/>
      <c r="Q567" s="8"/>
      <c r="R567" s="8"/>
      <c r="S567" s="8"/>
      <c r="T567" s="8"/>
      <c r="U567" s="8"/>
      <c r="V567" s="8"/>
      <c r="W567" s="8"/>
      <c r="X567" s="8"/>
      <c r="Y567" s="8"/>
      <c r="Z567" s="8"/>
      <c r="AA567" s="8"/>
      <c r="AB567" s="8"/>
      <c r="AC567" s="8"/>
      <c r="AD567" s="24"/>
      <c r="AE567" s="24"/>
      <c r="AF567" s="8"/>
      <c r="AG567" s="8"/>
      <c r="AH567" s="8"/>
      <c r="AI567" s="8"/>
    </row>
    <row r="568" spans="1:35" ht="15.75" customHeight="1" x14ac:dyDescent="0.25">
      <c r="A568" s="8"/>
      <c r="B568" s="8"/>
      <c r="C568" s="8"/>
      <c r="D568" s="8"/>
      <c r="E568" s="50"/>
      <c r="F568" s="51"/>
      <c r="G568" s="51"/>
      <c r="H568" s="52"/>
      <c r="I568" s="52"/>
      <c r="J568" s="52"/>
      <c r="K568" s="52"/>
      <c r="L568" s="52"/>
      <c r="M568" s="49"/>
      <c r="N568" s="52"/>
      <c r="O568" s="5"/>
      <c r="P568" s="22"/>
      <c r="Q568" s="8"/>
      <c r="R568" s="8"/>
      <c r="S568" s="8"/>
      <c r="T568" s="8"/>
      <c r="U568" s="8"/>
      <c r="V568" s="8"/>
      <c r="W568" s="8"/>
      <c r="X568" s="8"/>
      <c r="Y568" s="8"/>
      <c r="Z568" s="8"/>
      <c r="AA568" s="8"/>
      <c r="AB568" s="8"/>
      <c r="AC568" s="8"/>
      <c r="AD568" s="24"/>
      <c r="AE568" s="24"/>
      <c r="AF568" s="8"/>
      <c r="AG568" s="8"/>
      <c r="AH568" s="8"/>
      <c r="AI568" s="8"/>
    </row>
    <row r="569" spans="1:35" ht="15.75" customHeight="1" x14ac:dyDescent="0.25">
      <c r="A569" s="8"/>
      <c r="B569" s="8"/>
      <c r="C569" s="8"/>
      <c r="D569" s="8"/>
      <c r="E569" s="50"/>
      <c r="F569" s="51"/>
      <c r="G569" s="51"/>
      <c r="H569" s="52"/>
      <c r="I569" s="52"/>
      <c r="J569" s="52"/>
      <c r="K569" s="52"/>
      <c r="L569" s="52"/>
      <c r="M569" s="48"/>
      <c r="N569" s="52"/>
      <c r="O569" s="5"/>
      <c r="P569" s="22"/>
      <c r="Q569" s="8"/>
      <c r="R569" s="8"/>
      <c r="S569" s="8"/>
      <c r="T569" s="8"/>
      <c r="U569" s="8"/>
      <c r="V569" s="8"/>
      <c r="W569" s="8"/>
      <c r="X569" s="8"/>
      <c r="Y569" s="8"/>
      <c r="Z569" s="8"/>
      <c r="AA569" s="8"/>
      <c r="AB569" s="8"/>
      <c r="AC569" s="8"/>
      <c r="AD569" s="24"/>
      <c r="AE569" s="24"/>
      <c r="AF569" s="8"/>
      <c r="AG569" s="8"/>
      <c r="AH569" s="8"/>
      <c r="AI569" s="8"/>
    </row>
    <row r="570" spans="1:35" ht="15.75" customHeight="1" x14ac:dyDescent="0.25">
      <c r="A570" s="8"/>
      <c r="B570" s="8"/>
      <c r="C570" s="8"/>
      <c r="D570" s="8"/>
      <c r="E570" s="50"/>
      <c r="F570" s="51"/>
      <c r="G570" s="51"/>
      <c r="H570" s="52"/>
      <c r="I570" s="52"/>
      <c r="J570" s="52"/>
      <c r="K570" s="52"/>
      <c r="L570" s="52"/>
      <c r="M570" s="48"/>
      <c r="N570" s="52"/>
      <c r="O570" s="5"/>
      <c r="P570" s="22"/>
      <c r="Q570" s="8"/>
      <c r="R570" s="8"/>
      <c r="S570" s="8"/>
      <c r="T570" s="8"/>
      <c r="U570" s="8"/>
      <c r="V570" s="8"/>
      <c r="W570" s="8"/>
      <c r="X570" s="8"/>
      <c r="Y570" s="8"/>
      <c r="Z570" s="8"/>
      <c r="AA570" s="8"/>
      <c r="AB570" s="8"/>
      <c r="AC570" s="8"/>
      <c r="AD570" s="24"/>
      <c r="AE570" s="24"/>
      <c r="AF570" s="8"/>
      <c r="AG570" s="8"/>
      <c r="AH570" s="8"/>
      <c r="AI570" s="8"/>
    </row>
    <row r="571" spans="1:35" ht="15.75" customHeight="1" x14ac:dyDescent="0.25">
      <c r="A571" s="8"/>
      <c r="B571" s="8"/>
      <c r="C571" s="8"/>
      <c r="D571" s="8"/>
      <c r="E571" s="50"/>
      <c r="F571" s="51"/>
      <c r="G571" s="51"/>
      <c r="H571" s="52"/>
      <c r="I571" s="52"/>
      <c r="J571" s="52"/>
      <c r="K571" s="52"/>
      <c r="L571" s="52"/>
      <c r="M571" s="48"/>
      <c r="N571" s="52"/>
      <c r="O571" s="5"/>
      <c r="P571" s="22"/>
      <c r="Q571" s="8"/>
      <c r="R571" s="8"/>
      <c r="S571" s="8"/>
      <c r="T571" s="8"/>
      <c r="U571" s="8"/>
      <c r="V571" s="8"/>
      <c r="W571" s="8"/>
      <c r="X571" s="8"/>
      <c r="Y571" s="8"/>
      <c r="Z571" s="8"/>
      <c r="AA571" s="8"/>
      <c r="AB571" s="8"/>
      <c r="AC571" s="8"/>
      <c r="AD571" s="24"/>
      <c r="AE571" s="24"/>
      <c r="AF571" s="8"/>
      <c r="AG571" s="8"/>
      <c r="AH571" s="8"/>
      <c r="AI571" s="8"/>
    </row>
    <row r="572" spans="1:35" ht="15.75" customHeight="1" x14ac:dyDescent="0.25">
      <c r="A572" s="8"/>
      <c r="B572" s="8"/>
      <c r="C572" s="8"/>
      <c r="D572" s="8"/>
      <c r="E572" s="50"/>
      <c r="F572" s="51"/>
      <c r="G572" s="51"/>
      <c r="H572" s="52"/>
      <c r="I572" s="52"/>
      <c r="J572" s="52"/>
      <c r="K572" s="52"/>
      <c r="L572" s="52"/>
      <c r="M572" s="48"/>
      <c r="N572" s="52"/>
      <c r="O572" s="5"/>
      <c r="P572" s="22"/>
      <c r="Q572" s="8"/>
      <c r="R572" s="8"/>
      <c r="S572" s="8"/>
      <c r="T572" s="8"/>
      <c r="U572" s="8"/>
      <c r="V572" s="8"/>
      <c r="W572" s="8"/>
      <c r="X572" s="8"/>
      <c r="Y572" s="8"/>
      <c r="Z572" s="8"/>
      <c r="AA572" s="8"/>
      <c r="AB572" s="8"/>
      <c r="AC572" s="8"/>
      <c r="AD572" s="24"/>
      <c r="AE572" s="24"/>
      <c r="AF572" s="8"/>
      <c r="AG572" s="8"/>
      <c r="AH572" s="8"/>
      <c r="AI572" s="8"/>
    </row>
    <row r="573" spans="1:35" ht="15.75" customHeight="1" x14ac:dyDescent="0.25">
      <c r="A573" s="8"/>
      <c r="B573" s="8"/>
      <c r="C573" s="8"/>
      <c r="D573" s="8"/>
      <c r="E573" s="50"/>
      <c r="F573" s="51"/>
      <c r="G573" s="51"/>
      <c r="H573" s="52"/>
      <c r="I573" s="52"/>
      <c r="J573" s="52"/>
      <c r="K573" s="52"/>
      <c r="L573" s="52"/>
      <c r="M573" s="52"/>
      <c r="N573" s="52"/>
      <c r="O573" s="5"/>
      <c r="P573" s="22"/>
      <c r="Q573" s="8"/>
      <c r="R573" s="8"/>
      <c r="S573" s="8"/>
      <c r="T573" s="8"/>
      <c r="U573" s="8"/>
      <c r="V573" s="8"/>
      <c r="W573" s="8"/>
      <c r="X573" s="8"/>
      <c r="Y573" s="8"/>
      <c r="Z573" s="8"/>
      <c r="AA573" s="8"/>
      <c r="AB573" s="8"/>
      <c r="AC573" s="8"/>
      <c r="AD573" s="24"/>
      <c r="AE573" s="24"/>
      <c r="AF573" s="8"/>
      <c r="AG573" s="8"/>
      <c r="AH573" s="8"/>
      <c r="AI573" s="8"/>
    </row>
    <row r="574" spans="1:35" ht="15.75" customHeight="1" x14ac:dyDescent="0.25">
      <c r="A574" s="8"/>
      <c r="B574" s="8"/>
      <c r="C574" s="8"/>
      <c r="D574" s="8"/>
      <c r="E574" s="50"/>
      <c r="F574" s="51"/>
      <c r="G574" s="51"/>
      <c r="H574" s="52"/>
      <c r="I574" s="52"/>
      <c r="J574" s="52"/>
      <c r="K574" s="52"/>
      <c r="L574" s="52"/>
      <c r="M574" s="48"/>
      <c r="N574" s="52"/>
      <c r="O574" s="5"/>
      <c r="P574" s="22"/>
      <c r="Q574" s="8"/>
      <c r="R574" s="8"/>
      <c r="S574" s="8"/>
      <c r="T574" s="8"/>
      <c r="U574" s="8"/>
      <c r="V574" s="8"/>
      <c r="W574" s="8"/>
      <c r="X574" s="8"/>
      <c r="Y574" s="8"/>
      <c r="Z574" s="8"/>
      <c r="AA574" s="8"/>
      <c r="AB574" s="8"/>
      <c r="AC574" s="8"/>
      <c r="AD574" s="24"/>
      <c r="AE574" s="24"/>
      <c r="AF574" s="8"/>
      <c r="AG574" s="8"/>
      <c r="AH574" s="8"/>
      <c r="AI574" s="8"/>
    </row>
    <row r="575" spans="1:35" ht="15.75" customHeight="1" x14ac:dyDescent="0.25">
      <c r="A575" s="8"/>
      <c r="B575" s="8"/>
      <c r="C575" s="8"/>
      <c r="D575" s="8"/>
      <c r="E575" s="50"/>
      <c r="F575" s="51"/>
      <c r="G575" s="51"/>
      <c r="H575" s="52"/>
      <c r="I575" s="52"/>
      <c r="J575" s="52"/>
      <c r="K575" s="52"/>
      <c r="L575" s="52"/>
      <c r="M575" s="52"/>
      <c r="N575" s="52"/>
      <c r="O575" s="5"/>
      <c r="P575" s="22"/>
      <c r="Q575" s="8"/>
      <c r="R575" s="8"/>
      <c r="S575" s="8"/>
      <c r="T575" s="8"/>
      <c r="U575" s="8"/>
      <c r="V575" s="8"/>
      <c r="W575" s="8"/>
      <c r="X575" s="8"/>
      <c r="Y575" s="8"/>
      <c r="Z575" s="8"/>
      <c r="AA575" s="8"/>
      <c r="AB575" s="8"/>
      <c r="AC575" s="8"/>
      <c r="AD575" s="24"/>
      <c r="AE575" s="24"/>
      <c r="AF575" s="8"/>
      <c r="AG575" s="8"/>
      <c r="AH575" s="8"/>
      <c r="AI575" s="8"/>
    </row>
    <row r="576" spans="1:35" ht="15.75" customHeight="1" x14ac:dyDescent="0.25">
      <c r="A576" s="8"/>
      <c r="B576" s="8"/>
      <c r="C576" s="8"/>
      <c r="D576" s="8"/>
      <c r="E576" s="50"/>
      <c r="F576" s="51"/>
      <c r="G576" s="51"/>
      <c r="H576" s="52"/>
      <c r="I576" s="52"/>
      <c r="J576" s="52"/>
      <c r="K576" s="52"/>
      <c r="L576" s="52"/>
      <c r="M576" s="52"/>
      <c r="N576" s="52"/>
      <c r="O576" s="5"/>
      <c r="P576" s="22"/>
      <c r="Q576" s="8"/>
      <c r="R576" s="8"/>
      <c r="S576" s="8"/>
      <c r="T576" s="8"/>
      <c r="U576" s="8"/>
      <c r="V576" s="8"/>
      <c r="W576" s="8"/>
      <c r="X576" s="8"/>
      <c r="Y576" s="8"/>
      <c r="Z576" s="8"/>
      <c r="AA576" s="8"/>
      <c r="AB576" s="8"/>
      <c r="AC576" s="8"/>
      <c r="AD576" s="24"/>
      <c r="AE576" s="24"/>
      <c r="AF576" s="8"/>
      <c r="AG576" s="8"/>
      <c r="AH576" s="8"/>
      <c r="AI576" s="8"/>
    </row>
    <row r="577" spans="1:35" ht="15.75" customHeight="1" x14ac:dyDescent="0.25">
      <c r="A577" s="8"/>
      <c r="B577" s="8"/>
      <c r="C577" s="8"/>
      <c r="D577" s="8"/>
      <c r="E577" s="50"/>
      <c r="F577" s="51"/>
      <c r="G577" s="51"/>
      <c r="H577" s="52"/>
      <c r="I577" s="52"/>
      <c r="J577" s="52"/>
      <c r="K577" s="52"/>
      <c r="L577" s="52"/>
      <c r="M577" s="48"/>
      <c r="N577" s="52"/>
      <c r="O577" s="5"/>
      <c r="P577" s="22"/>
      <c r="Q577" s="8"/>
      <c r="R577" s="8"/>
      <c r="S577" s="8"/>
      <c r="T577" s="8"/>
      <c r="U577" s="8"/>
      <c r="V577" s="8"/>
      <c r="W577" s="8"/>
      <c r="X577" s="8"/>
      <c r="Y577" s="8"/>
      <c r="Z577" s="8"/>
      <c r="AA577" s="8"/>
      <c r="AB577" s="8"/>
      <c r="AC577" s="8"/>
      <c r="AD577" s="24"/>
      <c r="AE577" s="24"/>
      <c r="AF577" s="8"/>
      <c r="AG577" s="8"/>
      <c r="AH577" s="8"/>
      <c r="AI577" s="8"/>
    </row>
    <row r="578" spans="1:35" ht="15.75" customHeight="1" x14ac:dyDescent="0.25">
      <c r="A578" s="8"/>
      <c r="B578" s="8"/>
      <c r="C578" s="8"/>
      <c r="D578" s="8"/>
      <c r="E578" s="50"/>
      <c r="F578" s="51"/>
      <c r="G578" s="51"/>
      <c r="H578" s="52"/>
      <c r="I578" s="52"/>
      <c r="J578" s="52"/>
      <c r="K578" s="52"/>
      <c r="L578" s="52"/>
      <c r="M578" s="48"/>
      <c r="N578" s="52"/>
      <c r="O578" s="5"/>
      <c r="P578" s="22"/>
      <c r="Q578" s="8"/>
      <c r="R578" s="8"/>
      <c r="S578" s="8"/>
      <c r="T578" s="8"/>
      <c r="U578" s="8"/>
      <c r="V578" s="8"/>
      <c r="W578" s="8"/>
      <c r="X578" s="8"/>
      <c r="Y578" s="8"/>
      <c r="Z578" s="8"/>
      <c r="AA578" s="8"/>
      <c r="AB578" s="8"/>
      <c r="AC578" s="8"/>
      <c r="AD578" s="24"/>
      <c r="AE578" s="24"/>
      <c r="AF578" s="8"/>
      <c r="AG578" s="8"/>
      <c r="AH578" s="8"/>
      <c r="AI578" s="8"/>
    </row>
    <row r="579" spans="1:35" ht="15.75" customHeight="1" x14ac:dyDescent="0.25">
      <c r="A579" s="8"/>
      <c r="B579" s="8"/>
      <c r="C579" s="8"/>
      <c r="D579" s="8"/>
      <c r="E579" s="50"/>
      <c r="F579" s="51"/>
      <c r="G579" s="51"/>
      <c r="H579" s="52"/>
      <c r="I579" s="52"/>
      <c r="J579" s="52"/>
      <c r="K579" s="52"/>
      <c r="L579" s="52"/>
      <c r="M579" s="48"/>
      <c r="N579" s="52"/>
      <c r="O579" s="5"/>
      <c r="P579" s="22"/>
      <c r="Q579" s="8"/>
      <c r="R579" s="8"/>
      <c r="S579" s="8"/>
      <c r="T579" s="8"/>
      <c r="U579" s="8"/>
      <c r="V579" s="8"/>
      <c r="W579" s="8"/>
      <c r="X579" s="8"/>
      <c r="Y579" s="8"/>
      <c r="Z579" s="8"/>
      <c r="AA579" s="8"/>
      <c r="AB579" s="8"/>
      <c r="AC579" s="8"/>
      <c r="AD579" s="24"/>
      <c r="AE579" s="24"/>
      <c r="AF579" s="8"/>
      <c r="AG579" s="8"/>
      <c r="AH579" s="8"/>
      <c r="AI579" s="8"/>
    </row>
    <row r="580" spans="1:35" ht="15.75" customHeight="1" x14ac:dyDescent="0.25">
      <c r="A580" s="8"/>
      <c r="B580" s="8"/>
      <c r="C580" s="8"/>
      <c r="D580" s="8"/>
      <c r="E580" s="50"/>
      <c r="F580" s="51"/>
      <c r="G580" s="51"/>
      <c r="H580" s="52"/>
      <c r="I580" s="52"/>
      <c r="J580" s="52"/>
      <c r="K580" s="52"/>
      <c r="L580" s="52"/>
      <c r="M580" s="48"/>
      <c r="N580" s="52"/>
      <c r="O580" s="5"/>
      <c r="P580" s="22"/>
      <c r="Q580" s="8"/>
      <c r="R580" s="8"/>
      <c r="S580" s="8"/>
      <c r="T580" s="8"/>
      <c r="U580" s="8"/>
      <c r="V580" s="8"/>
      <c r="W580" s="8"/>
      <c r="X580" s="8"/>
      <c r="Y580" s="8"/>
      <c r="Z580" s="8"/>
      <c r="AA580" s="8"/>
      <c r="AB580" s="8"/>
      <c r="AC580" s="8"/>
      <c r="AD580" s="24"/>
      <c r="AE580" s="24"/>
      <c r="AF580" s="8"/>
      <c r="AG580" s="8"/>
      <c r="AH580" s="8"/>
      <c r="AI580" s="8"/>
    </row>
    <row r="581" spans="1:35" ht="15.75" customHeight="1" x14ac:dyDescent="0.25">
      <c r="A581" s="8"/>
      <c r="B581" s="8"/>
      <c r="C581" s="8"/>
      <c r="D581" s="8"/>
      <c r="E581" s="50"/>
      <c r="F581" s="51"/>
      <c r="G581" s="51"/>
      <c r="H581" s="52"/>
      <c r="I581" s="52"/>
      <c r="J581" s="52"/>
      <c r="K581" s="52"/>
      <c r="L581" s="52"/>
      <c r="M581" s="52"/>
      <c r="N581" s="52"/>
      <c r="O581" s="5"/>
      <c r="P581" s="22"/>
      <c r="Q581" s="8"/>
      <c r="R581" s="8"/>
      <c r="S581" s="8"/>
      <c r="T581" s="8"/>
      <c r="U581" s="8"/>
      <c r="V581" s="8"/>
      <c r="W581" s="8"/>
      <c r="X581" s="8"/>
      <c r="Y581" s="8"/>
      <c r="Z581" s="8"/>
      <c r="AA581" s="8"/>
      <c r="AB581" s="8"/>
      <c r="AC581" s="8"/>
      <c r="AD581" s="24"/>
      <c r="AE581" s="24"/>
      <c r="AF581" s="8"/>
      <c r="AG581" s="8"/>
      <c r="AH581" s="8"/>
      <c r="AI581" s="8"/>
    </row>
    <row r="582" spans="1:35" ht="15.75" customHeight="1" x14ac:dyDescent="0.25">
      <c r="A582" s="8"/>
      <c r="B582" s="8"/>
      <c r="C582" s="8"/>
      <c r="D582" s="8"/>
      <c r="E582" s="50"/>
      <c r="F582" s="51"/>
      <c r="G582" s="51"/>
      <c r="H582" s="52"/>
      <c r="I582" s="52"/>
      <c r="J582" s="52"/>
      <c r="K582" s="52"/>
      <c r="L582" s="52"/>
      <c r="M582" s="52"/>
      <c r="N582" s="52"/>
      <c r="O582" s="5"/>
      <c r="P582" s="22"/>
      <c r="Q582" s="8"/>
      <c r="R582" s="8"/>
      <c r="S582" s="8"/>
      <c r="T582" s="8"/>
      <c r="U582" s="8"/>
      <c r="V582" s="8"/>
      <c r="W582" s="8"/>
      <c r="X582" s="8"/>
      <c r="Y582" s="8"/>
      <c r="Z582" s="8"/>
      <c r="AA582" s="8"/>
      <c r="AB582" s="8"/>
      <c r="AC582" s="8"/>
      <c r="AD582" s="24"/>
      <c r="AE582" s="24"/>
      <c r="AF582" s="8"/>
      <c r="AG582" s="8"/>
      <c r="AH582" s="8"/>
      <c r="AI582" s="8"/>
    </row>
    <row r="583" spans="1:35" ht="15.75" customHeight="1" x14ac:dyDescent="0.25">
      <c r="A583" s="8"/>
      <c r="B583" s="8"/>
      <c r="C583" s="8"/>
      <c r="D583" s="8"/>
      <c r="E583" s="50"/>
      <c r="F583" s="51"/>
      <c r="G583" s="51"/>
      <c r="H583" s="52"/>
      <c r="I583" s="52"/>
      <c r="J583" s="52"/>
      <c r="K583" s="52"/>
      <c r="L583" s="52"/>
      <c r="M583" s="52"/>
      <c r="N583" s="52"/>
      <c r="O583" s="5"/>
      <c r="P583" s="22"/>
      <c r="Q583" s="8"/>
      <c r="R583" s="8"/>
      <c r="S583" s="8"/>
      <c r="T583" s="8"/>
      <c r="U583" s="8"/>
      <c r="V583" s="8"/>
      <c r="W583" s="8"/>
      <c r="X583" s="8"/>
      <c r="Y583" s="8"/>
      <c r="Z583" s="8"/>
      <c r="AA583" s="8"/>
      <c r="AB583" s="8"/>
      <c r="AC583" s="8"/>
      <c r="AD583" s="24"/>
      <c r="AE583" s="24"/>
      <c r="AF583" s="8"/>
      <c r="AG583" s="8"/>
      <c r="AH583" s="8"/>
      <c r="AI583" s="8"/>
    </row>
    <row r="584" spans="1:35" ht="15.75" customHeight="1" x14ac:dyDescent="0.25">
      <c r="A584" s="8"/>
      <c r="B584" s="8"/>
      <c r="C584" s="8"/>
      <c r="D584" s="8"/>
      <c r="E584" s="50"/>
      <c r="F584" s="51"/>
      <c r="G584" s="51"/>
      <c r="H584" s="52"/>
      <c r="I584" s="52"/>
      <c r="J584" s="52"/>
      <c r="K584" s="52"/>
      <c r="L584" s="52"/>
      <c r="M584" s="48"/>
      <c r="N584" s="52"/>
      <c r="O584" s="5"/>
      <c r="P584" s="22"/>
      <c r="Q584" s="8"/>
      <c r="R584" s="8"/>
      <c r="S584" s="8"/>
      <c r="T584" s="8"/>
      <c r="U584" s="8"/>
      <c r="V584" s="8"/>
      <c r="W584" s="8"/>
      <c r="X584" s="8"/>
      <c r="Y584" s="8"/>
      <c r="Z584" s="8"/>
      <c r="AA584" s="8"/>
      <c r="AB584" s="8"/>
      <c r="AC584" s="8"/>
      <c r="AD584" s="24"/>
      <c r="AE584" s="24"/>
      <c r="AF584" s="8"/>
      <c r="AG584" s="8"/>
      <c r="AH584" s="8"/>
      <c r="AI584" s="8"/>
    </row>
    <row r="585" spans="1:35" ht="15.75" customHeight="1" x14ac:dyDescent="0.25">
      <c r="A585" s="8"/>
      <c r="B585" s="8"/>
      <c r="C585" s="8"/>
      <c r="D585" s="8"/>
      <c r="E585" s="50"/>
      <c r="F585" s="51"/>
      <c r="G585" s="51"/>
      <c r="H585" s="52"/>
      <c r="I585" s="52"/>
      <c r="J585" s="52"/>
      <c r="K585" s="52"/>
      <c r="L585" s="52"/>
      <c r="M585" s="48"/>
      <c r="N585" s="52"/>
      <c r="O585" s="5"/>
      <c r="P585" s="22"/>
      <c r="Q585" s="8"/>
      <c r="R585" s="8"/>
      <c r="S585" s="8"/>
      <c r="T585" s="8"/>
      <c r="U585" s="8"/>
      <c r="V585" s="8"/>
      <c r="W585" s="8"/>
      <c r="X585" s="8"/>
      <c r="Y585" s="8"/>
      <c r="Z585" s="8"/>
      <c r="AA585" s="8"/>
      <c r="AB585" s="8"/>
      <c r="AC585" s="8"/>
      <c r="AD585" s="24"/>
      <c r="AE585" s="24"/>
      <c r="AF585" s="8"/>
      <c r="AG585" s="8"/>
      <c r="AH585" s="8"/>
      <c r="AI585" s="8"/>
    </row>
    <row r="586" spans="1:35" ht="15.75" customHeight="1" x14ac:dyDescent="0.25">
      <c r="A586" s="8"/>
      <c r="B586" s="8"/>
      <c r="C586" s="8"/>
      <c r="D586" s="8"/>
      <c r="E586" s="50"/>
      <c r="F586" s="51"/>
      <c r="G586" s="51"/>
      <c r="H586" s="52"/>
      <c r="I586" s="52"/>
      <c r="J586" s="52"/>
      <c r="K586" s="52"/>
      <c r="L586" s="52"/>
      <c r="M586" s="48"/>
      <c r="N586" s="52"/>
      <c r="O586" s="5"/>
      <c r="P586" s="22"/>
      <c r="Q586" s="8"/>
      <c r="R586" s="8"/>
      <c r="S586" s="8"/>
      <c r="T586" s="8"/>
      <c r="U586" s="8"/>
      <c r="V586" s="8"/>
      <c r="W586" s="8"/>
      <c r="X586" s="8"/>
      <c r="Y586" s="8"/>
      <c r="Z586" s="8"/>
      <c r="AA586" s="8"/>
      <c r="AB586" s="8"/>
      <c r="AC586" s="8"/>
      <c r="AD586" s="24"/>
      <c r="AE586" s="24"/>
      <c r="AF586" s="8"/>
      <c r="AG586" s="8"/>
      <c r="AH586" s="8"/>
      <c r="AI586" s="8"/>
    </row>
    <row r="587" spans="1:35" ht="15.75" customHeight="1" x14ac:dyDescent="0.25">
      <c r="A587" s="8"/>
      <c r="B587" s="8"/>
      <c r="C587" s="8"/>
      <c r="D587" s="8"/>
      <c r="E587" s="50"/>
      <c r="F587" s="51"/>
      <c r="G587" s="51"/>
      <c r="H587" s="52"/>
      <c r="I587" s="52"/>
      <c r="J587" s="52"/>
      <c r="K587" s="52"/>
      <c r="L587" s="52"/>
      <c r="M587" s="52"/>
      <c r="N587" s="52"/>
      <c r="O587" s="5"/>
      <c r="P587" s="22"/>
      <c r="Q587" s="8"/>
      <c r="R587" s="8"/>
      <c r="S587" s="8"/>
      <c r="T587" s="8"/>
      <c r="U587" s="8"/>
      <c r="V587" s="8"/>
      <c r="W587" s="8"/>
      <c r="X587" s="8"/>
      <c r="Y587" s="8"/>
      <c r="Z587" s="8"/>
      <c r="AA587" s="8"/>
      <c r="AB587" s="8"/>
      <c r="AC587" s="8"/>
      <c r="AD587" s="24"/>
      <c r="AE587" s="24"/>
      <c r="AF587" s="8"/>
      <c r="AG587" s="8"/>
      <c r="AH587" s="8"/>
      <c r="AI587" s="8"/>
    </row>
    <row r="588" spans="1:35" ht="15.75" customHeight="1" x14ac:dyDescent="0.25">
      <c r="A588" s="8"/>
      <c r="B588" s="8"/>
      <c r="C588" s="8"/>
      <c r="D588" s="8"/>
      <c r="E588" s="50"/>
      <c r="F588" s="51"/>
      <c r="G588" s="51"/>
      <c r="H588" s="52"/>
      <c r="I588" s="52"/>
      <c r="J588" s="52"/>
      <c r="K588" s="52"/>
      <c r="L588" s="52"/>
      <c r="M588" s="52"/>
      <c r="N588" s="52"/>
      <c r="O588" s="5"/>
      <c r="P588" s="22"/>
      <c r="Q588" s="8"/>
      <c r="R588" s="8"/>
      <c r="S588" s="8"/>
      <c r="T588" s="8"/>
      <c r="U588" s="8"/>
      <c r="V588" s="8"/>
      <c r="W588" s="8"/>
      <c r="X588" s="8"/>
      <c r="Y588" s="8"/>
      <c r="Z588" s="8"/>
      <c r="AA588" s="8"/>
      <c r="AB588" s="8"/>
      <c r="AC588" s="8"/>
      <c r="AD588" s="24"/>
      <c r="AE588" s="24"/>
      <c r="AF588" s="8"/>
      <c r="AG588" s="8"/>
      <c r="AH588" s="8"/>
      <c r="AI588" s="8"/>
    </row>
    <row r="589" spans="1:35" ht="15.75" customHeight="1" x14ac:dyDescent="0.25">
      <c r="A589" s="8"/>
      <c r="B589" s="8"/>
      <c r="C589" s="8"/>
      <c r="D589" s="8"/>
      <c r="E589" s="50"/>
      <c r="F589" s="51"/>
      <c r="G589" s="51"/>
      <c r="H589" s="52"/>
      <c r="I589" s="52"/>
      <c r="J589" s="52"/>
      <c r="K589" s="52"/>
      <c r="L589" s="52"/>
      <c r="M589" s="48"/>
      <c r="N589" s="52"/>
      <c r="O589" s="5"/>
      <c r="P589" s="22"/>
      <c r="Q589" s="8"/>
      <c r="R589" s="8"/>
      <c r="S589" s="8"/>
      <c r="T589" s="8"/>
      <c r="U589" s="8"/>
      <c r="V589" s="8"/>
      <c r="W589" s="8"/>
      <c r="X589" s="8"/>
      <c r="Y589" s="8"/>
      <c r="Z589" s="8"/>
      <c r="AA589" s="8"/>
      <c r="AB589" s="8"/>
      <c r="AC589" s="8"/>
      <c r="AD589" s="24"/>
      <c r="AE589" s="24"/>
      <c r="AF589" s="8"/>
      <c r="AG589" s="8"/>
      <c r="AH589" s="8"/>
      <c r="AI589" s="8"/>
    </row>
    <row r="590" spans="1:35" ht="15.75" customHeight="1" x14ac:dyDescent="0.25">
      <c r="A590" s="8"/>
      <c r="B590" s="8"/>
      <c r="C590" s="8"/>
      <c r="D590" s="8"/>
      <c r="E590" s="50"/>
      <c r="F590" s="51"/>
      <c r="G590" s="51"/>
      <c r="H590" s="52"/>
      <c r="I590" s="52"/>
      <c r="J590" s="52"/>
      <c r="K590" s="52"/>
      <c r="L590" s="52"/>
      <c r="M590" s="52"/>
      <c r="N590" s="52"/>
      <c r="O590" s="5"/>
      <c r="P590" s="22"/>
      <c r="Q590" s="8"/>
      <c r="R590" s="8"/>
      <c r="S590" s="8"/>
      <c r="T590" s="8"/>
      <c r="U590" s="8"/>
      <c r="V590" s="8"/>
      <c r="W590" s="8"/>
      <c r="X590" s="8"/>
      <c r="Y590" s="8"/>
      <c r="Z590" s="8"/>
      <c r="AA590" s="8"/>
      <c r="AB590" s="8"/>
      <c r="AC590" s="8"/>
      <c r="AD590" s="24"/>
      <c r="AE590" s="24"/>
      <c r="AF590" s="8"/>
      <c r="AG590" s="8"/>
      <c r="AH590" s="8"/>
      <c r="AI590" s="8"/>
    </row>
    <row r="591" spans="1:35" ht="15.75" customHeight="1" x14ac:dyDescent="0.25">
      <c r="A591" s="8"/>
      <c r="B591" s="8"/>
      <c r="C591" s="8"/>
      <c r="D591" s="8"/>
      <c r="E591" s="50"/>
      <c r="F591" s="51"/>
      <c r="G591" s="51"/>
      <c r="H591" s="52"/>
      <c r="I591" s="52"/>
      <c r="J591" s="52"/>
      <c r="K591" s="52"/>
      <c r="L591" s="52"/>
      <c r="M591" s="48"/>
      <c r="N591" s="52"/>
      <c r="O591" s="5"/>
      <c r="P591" s="22"/>
      <c r="Q591" s="8"/>
      <c r="R591" s="8"/>
      <c r="S591" s="8"/>
      <c r="T591" s="8"/>
      <c r="U591" s="8"/>
      <c r="V591" s="8"/>
      <c r="W591" s="8"/>
      <c r="X591" s="8"/>
      <c r="Y591" s="8"/>
      <c r="Z591" s="8"/>
      <c r="AA591" s="8"/>
      <c r="AB591" s="8"/>
      <c r="AC591" s="8"/>
      <c r="AD591" s="24"/>
      <c r="AE591" s="24"/>
      <c r="AF591" s="8"/>
      <c r="AG591" s="8"/>
      <c r="AH591" s="8"/>
      <c r="AI591" s="8"/>
    </row>
    <row r="592" spans="1:35" ht="15.75" customHeight="1" x14ac:dyDescent="0.25">
      <c r="A592" s="8"/>
      <c r="B592" s="8"/>
      <c r="C592" s="8"/>
      <c r="D592" s="8"/>
      <c r="E592" s="50"/>
      <c r="F592" s="51"/>
      <c r="G592" s="51"/>
      <c r="H592" s="52"/>
      <c r="I592" s="52"/>
      <c r="J592" s="52"/>
      <c r="K592" s="52"/>
      <c r="L592" s="52"/>
      <c r="M592" s="52"/>
      <c r="N592" s="52"/>
      <c r="O592" s="5"/>
      <c r="P592" s="22"/>
      <c r="Q592" s="8"/>
      <c r="R592" s="8"/>
      <c r="S592" s="8"/>
      <c r="T592" s="8"/>
      <c r="U592" s="8"/>
      <c r="V592" s="8"/>
      <c r="W592" s="8"/>
      <c r="X592" s="8"/>
      <c r="Y592" s="8"/>
      <c r="Z592" s="8"/>
      <c r="AA592" s="8"/>
      <c r="AB592" s="8"/>
      <c r="AC592" s="8"/>
      <c r="AD592" s="24"/>
      <c r="AE592" s="24"/>
      <c r="AF592" s="8"/>
      <c r="AG592" s="8"/>
      <c r="AH592" s="8"/>
      <c r="AI592" s="8"/>
    </row>
    <row r="593" spans="1:35" ht="15.75" customHeight="1" x14ac:dyDescent="0.25">
      <c r="A593" s="8"/>
      <c r="B593" s="8"/>
      <c r="C593" s="8"/>
      <c r="D593" s="8"/>
      <c r="E593" s="50"/>
      <c r="F593" s="51"/>
      <c r="G593" s="51"/>
      <c r="H593" s="52"/>
      <c r="I593" s="52"/>
      <c r="J593" s="52"/>
      <c r="K593" s="52"/>
      <c r="L593" s="52"/>
      <c r="M593" s="48"/>
      <c r="N593" s="52"/>
      <c r="O593" s="5"/>
      <c r="P593" s="22"/>
      <c r="Q593" s="8"/>
      <c r="R593" s="8"/>
      <c r="S593" s="8"/>
      <c r="T593" s="8"/>
      <c r="U593" s="8"/>
      <c r="V593" s="8"/>
      <c r="W593" s="8"/>
      <c r="X593" s="8"/>
      <c r="Y593" s="8"/>
      <c r="Z593" s="8"/>
      <c r="AA593" s="8"/>
      <c r="AB593" s="8"/>
      <c r="AC593" s="8"/>
      <c r="AD593" s="24"/>
      <c r="AE593" s="24"/>
      <c r="AF593" s="8"/>
      <c r="AG593" s="8"/>
      <c r="AH593" s="8"/>
      <c r="AI593" s="8"/>
    </row>
    <row r="594" spans="1:35" ht="15.75" customHeight="1" x14ac:dyDescent="0.25">
      <c r="A594" s="8"/>
      <c r="B594" s="8"/>
      <c r="C594" s="8"/>
      <c r="D594" s="8"/>
      <c r="E594" s="50"/>
      <c r="F594" s="51"/>
      <c r="G594" s="51"/>
      <c r="H594" s="52"/>
      <c r="I594" s="52"/>
      <c r="J594" s="52"/>
      <c r="K594" s="52"/>
      <c r="L594" s="52"/>
      <c r="M594" s="48"/>
      <c r="N594" s="52"/>
      <c r="O594" s="5"/>
      <c r="P594" s="22"/>
      <c r="Q594" s="8"/>
      <c r="R594" s="8"/>
      <c r="S594" s="8"/>
      <c r="T594" s="8"/>
      <c r="U594" s="8"/>
      <c r="V594" s="8"/>
      <c r="W594" s="8"/>
      <c r="X594" s="8"/>
      <c r="Y594" s="8"/>
      <c r="Z594" s="8"/>
      <c r="AA594" s="8"/>
      <c r="AB594" s="8"/>
      <c r="AC594" s="8"/>
      <c r="AD594" s="24"/>
      <c r="AE594" s="24"/>
      <c r="AF594" s="8"/>
      <c r="AG594" s="8"/>
      <c r="AH594" s="8"/>
      <c r="AI594" s="8"/>
    </row>
    <row r="595" spans="1:35" ht="15.75" customHeight="1" x14ac:dyDescent="0.25">
      <c r="A595" s="8"/>
      <c r="B595" s="8"/>
      <c r="C595" s="8"/>
      <c r="D595" s="8"/>
      <c r="E595" s="50"/>
      <c r="F595" s="51"/>
      <c r="G595" s="51"/>
      <c r="H595" s="52"/>
      <c r="I595" s="52"/>
      <c r="J595" s="52"/>
      <c r="K595" s="52"/>
      <c r="L595" s="52"/>
      <c r="M595" s="52"/>
      <c r="N595" s="52"/>
      <c r="O595" s="5"/>
      <c r="P595" s="22"/>
      <c r="Q595" s="8"/>
      <c r="R595" s="8"/>
      <c r="S595" s="8"/>
      <c r="T595" s="8"/>
      <c r="U595" s="8"/>
      <c r="V595" s="8"/>
      <c r="W595" s="8"/>
      <c r="X595" s="8"/>
      <c r="Y595" s="8"/>
      <c r="Z595" s="8"/>
      <c r="AA595" s="8"/>
      <c r="AB595" s="8"/>
      <c r="AC595" s="8"/>
      <c r="AD595" s="24"/>
      <c r="AE595" s="24"/>
      <c r="AF595" s="8"/>
      <c r="AG595" s="8"/>
      <c r="AH595" s="8"/>
      <c r="AI595" s="8"/>
    </row>
    <row r="596" spans="1:35" ht="15.75" customHeight="1" x14ac:dyDescent="0.25">
      <c r="A596" s="8"/>
      <c r="B596" s="8"/>
      <c r="C596" s="8"/>
      <c r="D596" s="8"/>
      <c r="E596" s="50"/>
      <c r="F596" s="51"/>
      <c r="G596" s="51"/>
      <c r="H596" s="52"/>
      <c r="I596" s="52"/>
      <c r="J596" s="52"/>
      <c r="K596" s="52"/>
      <c r="L596" s="52"/>
      <c r="M596" s="49"/>
      <c r="N596" s="52"/>
      <c r="O596" s="5"/>
      <c r="P596" s="22"/>
      <c r="Q596" s="8"/>
      <c r="R596" s="8"/>
      <c r="S596" s="8"/>
      <c r="T596" s="8"/>
      <c r="U596" s="8"/>
      <c r="V596" s="8"/>
      <c r="W596" s="8"/>
      <c r="X596" s="8"/>
      <c r="Y596" s="8"/>
      <c r="Z596" s="8"/>
      <c r="AA596" s="8"/>
      <c r="AB596" s="8"/>
      <c r="AC596" s="8"/>
      <c r="AD596" s="24"/>
      <c r="AE596" s="24"/>
      <c r="AF596" s="8"/>
      <c r="AG596" s="8"/>
      <c r="AH596" s="8"/>
      <c r="AI596" s="8"/>
    </row>
    <row r="597" spans="1:35" ht="15.75" customHeight="1" x14ac:dyDescent="0.25">
      <c r="A597" s="8"/>
      <c r="B597" s="8"/>
      <c r="C597" s="8"/>
      <c r="D597" s="8"/>
      <c r="E597" s="50"/>
      <c r="F597" s="51"/>
      <c r="G597" s="51"/>
      <c r="H597" s="52"/>
      <c r="I597" s="52"/>
      <c r="J597" s="52"/>
      <c r="K597" s="52"/>
      <c r="L597" s="52"/>
      <c r="M597" s="48"/>
      <c r="N597" s="52"/>
      <c r="O597" s="5"/>
      <c r="P597" s="22"/>
      <c r="Q597" s="8"/>
      <c r="R597" s="8"/>
      <c r="S597" s="8"/>
      <c r="T597" s="8"/>
      <c r="U597" s="8"/>
      <c r="V597" s="8"/>
      <c r="W597" s="8"/>
      <c r="X597" s="8"/>
      <c r="Y597" s="8"/>
      <c r="Z597" s="8"/>
      <c r="AA597" s="8"/>
      <c r="AB597" s="8"/>
      <c r="AC597" s="8"/>
      <c r="AD597" s="24"/>
      <c r="AE597" s="24"/>
      <c r="AF597" s="8"/>
      <c r="AG597" s="8"/>
      <c r="AH597" s="8"/>
      <c r="AI597" s="8"/>
    </row>
    <row r="598" spans="1:35" ht="15.75" customHeight="1" x14ac:dyDescent="0.25">
      <c r="A598" s="8"/>
      <c r="B598" s="8"/>
      <c r="C598" s="8"/>
      <c r="D598" s="8"/>
      <c r="E598" s="50"/>
      <c r="F598" s="51"/>
      <c r="G598" s="51"/>
      <c r="H598" s="52"/>
      <c r="I598" s="52"/>
      <c r="J598" s="52"/>
      <c r="K598" s="52"/>
      <c r="L598" s="52"/>
      <c r="M598" s="49"/>
      <c r="N598" s="52"/>
      <c r="O598" s="5"/>
      <c r="P598" s="22"/>
      <c r="Q598" s="8"/>
      <c r="R598" s="8"/>
      <c r="S598" s="8"/>
      <c r="T598" s="8"/>
      <c r="U598" s="8"/>
      <c r="V598" s="8"/>
      <c r="W598" s="8"/>
      <c r="X598" s="8"/>
      <c r="Y598" s="8"/>
      <c r="Z598" s="8"/>
      <c r="AA598" s="8"/>
      <c r="AB598" s="8"/>
      <c r="AC598" s="8"/>
      <c r="AD598" s="24"/>
      <c r="AE598" s="24"/>
      <c r="AF598" s="8"/>
      <c r="AG598" s="8"/>
      <c r="AH598" s="8"/>
      <c r="AI598" s="8"/>
    </row>
    <row r="599" spans="1:35" ht="15.75" customHeight="1" x14ac:dyDescent="0.25">
      <c r="A599" s="8"/>
      <c r="B599" s="8"/>
      <c r="C599" s="8"/>
      <c r="D599" s="8"/>
      <c r="E599" s="50"/>
      <c r="F599" s="51"/>
      <c r="G599" s="51"/>
      <c r="H599" s="52"/>
      <c r="I599" s="52"/>
      <c r="J599" s="52"/>
      <c r="K599" s="52"/>
      <c r="L599" s="52"/>
      <c r="M599" s="48"/>
      <c r="N599" s="52"/>
      <c r="O599" s="5"/>
      <c r="P599" s="22"/>
      <c r="Q599" s="8"/>
      <c r="R599" s="8"/>
      <c r="S599" s="8"/>
      <c r="T599" s="8"/>
      <c r="U599" s="8"/>
      <c r="V599" s="8"/>
      <c r="W599" s="8"/>
      <c r="X599" s="8"/>
      <c r="Y599" s="8"/>
      <c r="Z599" s="8"/>
      <c r="AA599" s="8"/>
      <c r="AB599" s="8"/>
      <c r="AC599" s="8"/>
      <c r="AD599" s="24"/>
      <c r="AE599" s="24"/>
      <c r="AF599" s="8"/>
      <c r="AG599" s="8"/>
      <c r="AH599" s="8"/>
      <c r="AI599" s="8"/>
    </row>
    <row r="600" spans="1:35" ht="15.75" customHeight="1" x14ac:dyDescent="0.25">
      <c r="A600" s="8"/>
      <c r="B600" s="8"/>
      <c r="C600" s="8"/>
      <c r="D600" s="8"/>
      <c r="E600" s="50"/>
      <c r="F600" s="51"/>
      <c r="G600" s="51"/>
      <c r="H600" s="52"/>
      <c r="I600" s="52"/>
      <c r="J600" s="52"/>
      <c r="K600" s="52"/>
      <c r="L600" s="52"/>
      <c r="M600" s="48"/>
      <c r="N600" s="52"/>
      <c r="O600" s="5"/>
      <c r="P600" s="22"/>
      <c r="Q600" s="8"/>
      <c r="R600" s="8"/>
      <c r="S600" s="8"/>
      <c r="T600" s="8"/>
      <c r="U600" s="8"/>
      <c r="V600" s="8"/>
      <c r="W600" s="8"/>
      <c r="X600" s="8"/>
      <c r="Y600" s="8"/>
      <c r="Z600" s="8"/>
      <c r="AA600" s="8"/>
      <c r="AB600" s="8"/>
      <c r="AC600" s="8"/>
      <c r="AD600" s="24"/>
      <c r="AE600" s="24"/>
      <c r="AF600" s="8"/>
      <c r="AG600" s="8"/>
      <c r="AH600" s="8"/>
      <c r="AI600" s="8"/>
    </row>
    <row r="601" spans="1:35" ht="15.75" customHeight="1" x14ac:dyDescent="0.25">
      <c r="A601" s="8"/>
      <c r="B601" s="8"/>
      <c r="C601" s="8"/>
      <c r="D601" s="8"/>
      <c r="E601" s="50"/>
      <c r="F601" s="51"/>
      <c r="G601" s="51"/>
      <c r="H601" s="52"/>
      <c r="I601" s="52"/>
      <c r="J601" s="52"/>
      <c r="K601" s="52"/>
      <c r="L601" s="52"/>
      <c r="M601" s="48"/>
      <c r="N601" s="52"/>
      <c r="O601" s="5"/>
      <c r="P601" s="22"/>
      <c r="Q601" s="8"/>
      <c r="R601" s="8"/>
      <c r="S601" s="8"/>
      <c r="T601" s="8"/>
      <c r="U601" s="8"/>
      <c r="V601" s="8"/>
      <c r="W601" s="8"/>
      <c r="X601" s="8"/>
      <c r="Y601" s="8"/>
      <c r="Z601" s="8"/>
      <c r="AA601" s="8"/>
      <c r="AB601" s="8"/>
      <c r="AC601" s="8"/>
      <c r="AD601" s="24"/>
      <c r="AE601" s="24"/>
      <c r="AF601" s="8"/>
      <c r="AG601" s="8"/>
      <c r="AH601" s="8"/>
      <c r="AI601" s="8"/>
    </row>
    <row r="602" spans="1:35" ht="15.75" customHeight="1" x14ac:dyDescent="0.25">
      <c r="A602" s="8"/>
      <c r="B602" s="8"/>
      <c r="C602" s="8"/>
      <c r="D602" s="8"/>
      <c r="E602" s="50"/>
      <c r="F602" s="51"/>
      <c r="G602" s="51"/>
      <c r="H602" s="52"/>
      <c r="I602" s="52"/>
      <c r="J602" s="52"/>
      <c r="K602" s="52"/>
      <c r="L602" s="52"/>
      <c r="M602" s="48"/>
      <c r="N602" s="52"/>
      <c r="O602" s="5"/>
      <c r="P602" s="22"/>
      <c r="Q602" s="8"/>
      <c r="R602" s="8"/>
      <c r="S602" s="8"/>
      <c r="T602" s="8"/>
      <c r="U602" s="8"/>
      <c r="V602" s="8"/>
      <c r="W602" s="8"/>
      <c r="X602" s="8"/>
      <c r="Y602" s="8"/>
      <c r="Z602" s="8"/>
      <c r="AA602" s="8"/>
      <c r="AB602" s="8"/>
      <c r="AC602" s="8"/>
      <c r="AD602" s="24"/>
      <c r="AE602" s="24"/>
      <c r="AF602" s="8"/>
      <c r="AG602" s="8"/>
      <c r="AH602" s="8"/>
      <c r="AI602" s="8"/>
    </row>
    <row r="603" spans="1:35" ht="15.75" customHeight="1" x14ac:dyDescent="0.25">
      <c r="A603" s="8"/>
      <c r="B603" s="8"/>
      <c r="C603" s="8"/>
      <c r="D603" s="8"/>
      <c r="E603" s="50"/>
      <c r="F603" s="51"/>
      <c r="G603" s="51"/>
      <c r="H603" s="52"/>
      <c r="I603" s="52"/>
      <c r="J603" s="52"/>
      <c r="K603" s="52"/>
      <c r="L603" s="52"/>
      <c r="M603" s="52"/>
      <c r="N603" s="52"/>
      <c r="O603" s="5"/>
      <c r="P603" s="22"/>
      <c r="Q603" s="8"/>
      <c r="R603" s="8"/>
      <c r="S603" s="8"/>
      <c r="T603" s="8"/>
      <c r="U603" s="8"/>
      <c r="V603" s="8"/>
      <c r="W603" s="8"/>
      <c r="X603" s="8"/>
      <c r="Y603" s="8"/>
      <c r="Z603" s="8"/>
      <c r="AA603" s="8"/>
      <c r="AB603" s="8"/>
      <c r="AC603" s="8"/>
      <c r="AD603" s="24"/>
      <c r="AE603" s="24"/>
      <c r="AF603" s="8"/>
      <c r="AG603" s="8"/>
      <c r="AH603" s="8"/>
      <c r="AI603" s="8"/>
    </row>
    <row r="604" spans="1:35" ht="15.75" customHeight="1" x14ac:dyDescent="0.25">
      <c r="A604" s="8"/>
      <c r="B604" s="8"/>
      <c r="C604" s="8"/>
      <c r="D604" s="8"/>
      <c r="E604" s="50"/>
      <c r="F604" s="51"/>
      <c r="G604" s="51"/>
      <c r="H604" s="52"/>
      <c r="I604" s="52"/>
      <c r="J604" s="52"/>
      <c r="K604" s="52"/>
      <c r="L604" s="52"/>
      <c r="M604" s="49"/>
      <c r="N604" s="52"/>
      <c r="O604" s="5"/>
      <c r="P604" s="22"/>
      <c r="Q604" s="8"/>
      <c r="R604" s="8"/>
      <c r="S604" s="8"/>
      <c r="T604" s="8"/>
      <c r="U604" s="8"/>
      <c r="V604" s="8"/>
      <c r="W604" s="8"/>
      <c r="X604" s="8"/>
      <c r="Y604" s="8"/>
      <c r="Z604" s="8"/>
      <c r="AA604" s="8"/>
      <c r="AB604" s="8"/>
      <c r="AC604" s="8"/>
      <c r="AD604" s="24"/>
      <c r="AE604" s="24"/>
      <c r="AF604" s="8"/>
      <c r="AG604" s="8"/>
      <c r="AH604" s="8"/>
      <c r="AI604" s="8"/>
    </row>
    <row r="605" spans="1:35" ht="15.75" customHeight="1" x14ac:dyDescent="0.25">
      <c r="A605" s="8"/>
      <c r="B605" s="8"/>
      <c r="C605" s="8"/>
      <c r="D605" s="8"/>
      <c r="E605" s="50"/>
      <c r="F605" s="51"/>
      <c r="G605" s="51"/>
      <c r="H605" s="52"/>
      <c r="I605" s="52"/>
      <c r="J605" s="52"/>
      <c r="K605" s="52"/>
      <c r="L605" s="52"/>
      <c r="M605" s="48"/>
      <c r="N605" s="52"/>
      <c r="O605" s="5"/>
      <c r="P605" s="22"/>
      <c r="Q605" s="8"/>
      <c r="R605" s="8"/>
      <c r="S605" s="8"/>
      <c r="T605" s="8"/>
      <c r="U605" s="8"/>
      <c r="V605" s="8"/>
      <c r="W605" s="8"/>
      <c r="X605" s="8"/>
      <c r="Y605" s="8"/>
      <c r="Z605" s="8"/>
      <c r="AA605" s="8"/>
      <c r="AB605" s="8"/>
      <c r="AC605" s="8"/>
      <c r="AD605" s="24"/>
      <c r="AE605" s="24"/>
      <c r="AF605" s="8"/>
      <c r="AG605" s="8"/>
      <c r="AH605" s="8"/>
      <c r="AI605" s="8"/>
    </row>
    <row r="606" spans="1:35" ht="15.75" customHeight="1" x14ac:dyDescent="0.25">
      <c r="A606" s="8"/>
      <c r="B606" s="8"/>
      <c r="C606" s="8"/>
      <c r="D606" s="8"/>
      <c r="E606" s="50"/>
      <c r="F606" s="51"/>
      <c r="G606" s="51"/>
      <c r="H606" s="52"/>
      <c r="I606" s="52"/>
      <c r="J606" s="52"/>
      <c r="K606" s="52"/>
      <c r="L606" s="52"/>
      <c r="M606" s="48"/>
      <c r="N606" s="52"/>
      <c r="O606" s="5"/>
      <c r="P606" s="22"/>
      <c r="Q606" s="8"/>
      <c r="R606" s="8"/>
      <c r="S606" s="8"/>
      <c r="T606" s="8"/>
      <c r="U606" s="8"/>
      <c r="V606" s="8"/>
      <c r="W606" s="8"/>
      <c r="X606" s="8"/>
      <c r="Y606" s="8"/>
      <c r="Z606" s="8"/>
      <c r="AA606" s="8"/>
      <c r="AB606" s="8"/>
      <c r="AC606" s="8"/>
      <c r="AD606" s="24"/>
      <c r="AE606" s="24"/>
      <c r="AF606" s="8"/>
      <c r="AG606" s="8"/>
      <c r="AH606" s="8"/>
      <c r="AI606" s="8"/>
    </row>
    <row r="607" spans="1:35" ht="15.75" customHeight="1" x14ac:dyDescent="0.25">
      <c r="A607" s="8"/>
      <c r="B607" s="8"/>
      <c r="C607" s="8"/>
      <c r="D607" s="8"/>
      <c r="E607" s="50"/>
      <c r="F607" s="51"/>
      <c r="G607" s="51"/>
      <c r="H607" s="52"/>
      <c r="I607" s="52"/>
      <c r="J607" s="52"/>
      <c r="K607" s="52"/>
      <c r="L607" s="52"/>
      <c r="M607" s="48"/>
      <c r="N607" s="52"/>
      <c r="O607" s="5"/>
      <c r="P607" s="22"/>
      <c r="Q607" s="8"/>
      <c r="R607" s="8"/>
      <c r="S607" s="8"/>
      <c r="T607" s="8"/>
      <c r="U607" s="8"/>
      <c r="V607" s="8"/>
      <c r="W607" s="8"/>
      <c r="X607" s="8"/>
      <c r="Y607" s="8"/>
      <c r="Z607" s="8"/>
      <c r="AA607" s="8"/>
      <c r="AB607" s="8"/>
      <c r="AC607" s="8"/>
      <c r="AD607" s="24"/>
      <c r="AE607" s="24"/>
      <c r="AF607" s="8"/>
      <c r="AG607" s="8"/>
      <c r="AH607" s="8"/>
      <c r="AI607" s="8"/>
    </row>
    <row r="608" spans="1:35" ht="15.75" customHeight="1" x14ac:dyDescent="0.25">
      <c r="A608" s="8"/>
      <c r="B608" s="8"/>
      <c r="C608" s="8"/>
      <c r="D608" s="8"/>
      <c r="E608" s="50"/>
      <c r="F608" s="51"/>
      <c r="G608" s="51"/>
      <c r="H608" s="52"/>
      <c r="I608" s="52"/>
      <c r="J608" s="52"/>
      <c r="K608" s="52"/>
      <c r="L608" s="52"/>
      <c r="M608" s="52"/>
      <c r="N608" s="52"/>
      <c r="O608" s="5"/>
      <c r="P608" s="22"/>
      <c r="Q608" s="8"/>
      <c r="R608" s="8"/>
      <c r="S608" s="8"/>
      <c r="T608" s="8"/>
      <c r="U608" s="8"/>
      <c r="V608" s="8"/>
      <c r="W608" s="8"/>
      <c r="X608" s="8"/>
      <c r="Y608" s="8"/>
      <c r="Z608" s="8"/>
      <c r="AA608" s="8"/>
      <c r="AB608" s="8"/>
      <c r="AC608" s="8"/>
      <c r="AD608" s="24"/>
      <c r="AE608" s="24"/>
      <c r="AF608" s="8"/>
      <c r="AG608" s="8"/>
      <c r="AH608" s="8"/>
      <c r="AI608" s="8"/>
    </row>
    <row r="609" spans="1:35" ht="15.75" customHeight="1" x14ac:dyDescent="0.25">
      <c r="A609" s="8"/>
      <c r="B609" s="8"/>
      <c r="C609" s="8"/>
      <c r="D609" s="8"/>
      <c r="E609" s="50"/>
      <c r="F609" s="51"/>
      <c r="G609" s="51"/>
      <c r="H609" s="52"/>
      <c r="I609" s="52"/>
      <c r="J609" s="52"/>
      <c r="K609" s="52"/>
      <c r="L609" s="52"/>
      <c r="M609" s="49"/>
      <c r="N609" s="52"/>
      <c r="O609" s="5"/>
      <c r="P609" s="22"/>
      <c r="Q609" s="8"/>
      <c r="R609" s="8"/>
      <c r="S609" s="8"/>
      <c r="T609" s="8"/>
      <c r="U609" s="8"/>
      <c r="V609" s="8"/>
      <c r="W609" s="8"/>
      <c r="X609" s="8"/>
      <c r="Y609" s="8"/>
      <c r="Z609" s="8"/>
      <c r="AA609" s="8"/>
      <c r="AB609" s="8"/>
      <c r="AC609" s="8"/>
      <c r="AD609" s="24"/>
      <c r="AE609" s="24"/>
      <c r="AF609" s="8"/>
      <c r="AG609" s="8"/>
      <c r="AH609" s="8"/>
      <c r="AI609" s="8"/>
    </row>
    <row r="610" spans="1:35" ht="15.75" customHeight="1" x14ac:dyDescent="0.25">
      <c r="A610" s="8"/>
      <c r="B610" s="8"/>
      <c r="C610" s="8"/>
      <c r="D610" s="8"/>
      <c r="E610" s="50"/>
      <c r="F610" s="51"/>
      <c r="G610" s="51"/>
      <c r="H610" s="52"/>
      <c r="I610" s="52"/>
      <c r="J610" s="52"/>
      <c r="K610" s="52"/>
      <c r="L610" s="52"/>
      <c r="M610" s="52"/>
      <c r="N610" s="52"/>
      <c r="O610" s="5"/>
      <c r="P610" s="22"/>
      <c r="Q610" s="8"/>
      <c r="R610" s="8"/>
      <c r="S610" s="8"/>
      <c r="T610" s="8"/>
      <c r="U610" s="8"/>
      <c r="V610" s="8"/>
      <c r="W610" s="8"/>
      <c r="X610" s="8"/>
      <c r="Y610" s="8"/>
      <c r="Z610" s="8"/>
      <c r="AA610" s="8"/>
      <c r="AB610" s="8"/>
      <c r="AC610" s="8"/>
      <c r="AD610" s="24"/>
      <c r="AE610" s="24"/>
      <c r="AF610" s="8"/>
      <c r="AG610" s="8"/>
      <c r="AH610" s="8"/>
      <c r="AI610" s="8"/>
    </row>
    <row r="611" spans="1:35" ht="15.75" customHeight="1" x14ac:dyDescent="0.25">
      <c r="A611" s="8"/>
      <c r="B611" s="8"/>
      <c r="C611" s="8"/>
      <c r="D611" s="8"/>
      <c r="E611" s="50"/>
      <c r="F611" s="51"/>
      <c r="G611" s="51"/>
      <c r="H611" s="52"/>
      <c r="I611" s="52"/>
      <c r="J611" s="52"/>
      <c r="K611" s="52"/>
      <c r="L611" s="52"/>
      <c r="M611" s="52"/>
      <c r="N611" s="52"/>
      <c r="O611" s="5"/>
      <c r="P611" s="22"/>
      <c r="Q611" s="8"/>
      <c r="R611" s="8"/>
      <c r="S611" s="8"/>
      <c r="T611" s="8"/>
      <c r="U611" s="8"/>
      <c r="V611" s="8"/>
      <c r="W611" s="8"/>
      <c r="X611" s="8"/>
      <c r="Y611" s="8"/>
      <c r="Z611" s="8"/>
      <c r="AA611" s="8"/>
      <c r="AB611" s="8"/>
      <c r="AC611" s="8"/>
      <c r="AD611" s="24"/>
      <c r="AE611" s="24"/>
      <c r="AF611" s="8"/>
      <c r="AG611" s="8"/>
      <c r="AH611" s="8"/>
      <c r="AI611" s="8"/>
    </row>
    <row r="612" spans="1:35" ht="15.75" customHeight="1" x14ac:dyDescent="0.25">
      <c r="A612" s="8"/>
      <c r="B612" s="8"/>
      <c r="C612" s="8"/>
      <c r="D612" s="8"/>
      <c r="E612" s="50"/>
      <c r="F612" s="51"/>
      <c r="G612" s="51"/>
      <c r="H612" s="52"/>
      <c r="I612" s="52"/>
      <c r="J612" s="52"/>
      <c r="K612" s="52"/>
      <c r="L612" s="52"/>
      <c r="M612" s="48"/>
      <c r="N612" s="52"/>
      <c r="O612" s="5"/>
      <c r="P612" s="22"/>
      <c r="Q612" s="8"/>
      <c r="R612" s="8"/>
      <c r="S612" s="8"/>
      <c r="T612" s="8"/>
      <c r="U612" s="8"/>
      <c r="V612" s="8"/>
      <c r="W612" s="8"/>
      <c r="X612" s="8"/>
      <c r="Y612" s="8"/>
      <c r="Z612" s="8"/>
      <c r="AA612" s="8"/>
      <c r="AB612" s="8"/>
      <c r="AC612" s="8"/>
      <c r="AD612" s="24"/>
      <c r="AE612" s="24"/>
      <c r="AF612" s="8"/>
      <c r="AG612" s="8"/>
      <c r="AH612" s="8"/>
      <c r="AI612" s="8"/>
    </row>
    <row r="613" spans="1:35" ht="15.75" customHeight="1" x14ac:dyDescent="0.25">
      <c r="A613" s="8"/>
      <c r="B613" s="8"/>
      <c r="C613" s="8"/>
      <c r="D613" s="8"/>
      <c r="E613" s="50"/>
      <c r="F613" s="51"/>
      <c r="G613" s="51"/>
      <c r="H613" s="52"/>
      <c r="I613" s="52"/>
      <c r="J613" s="52"/>
      <c r="K613" s="52"/>
      <c r="L613" s="52"/>
      <c r="M613" s="49"/>
      <c r="N613" s="52"/>
      <c r="O613" s="5"/>
      <c r="P613" s="22"/>
      <c r="Q613" s="8"/>
      <c r="R613" s="8"/>
      <c r="S613" s="8"/>
      <c r="T613" s="8"/>
      <c r="U613" s="8"/>
      <c r="V613" s="8"/>
      <c r="W613" s="8"/>
      <c r="X613" s="8"/>
      <c r="Y613" s="8"/>
      <c r="Z613" s="8"/>
      <c r="AA613" s="8"/>
      <c r="AB613" s="8"/>
      <c r="AC613" s="8"/>
      <c r="AD613" s="24"/>
      <c r="AE613" s="24"/>
      <c r="AF613" s="8"/>
      <c r="AG613" s="8"/>
      <c r="AH613" s="8"/>
      <c r="AI613" s="8"/>
    </row>
    <row r="614" spans="1:35" ht="15.75" customHeight="1" x14ac:dyDescent="0.25">
      <c r="A614" s="8"/>
      <c r="B614" s="8"/>
      <c r="C614" s="8"/>
      <c r="D614" s="8"/>
      <c r="E614" s="50"/>
      <c r="F614" s="51"/>
      <c r="G614" s="51"/>
      <c r="H614" s="52"/>
      <c r="I614" s="52"/>
      <c r="J614" s="52"/>
      <c r="K614" s="52"/>
      <c r="L614" s="52"/>
      <c r="M614" s="48"/>
      <c r="N614" s="52"/>
      <c r="O614" s="5"/>
      <c r="P614" s="22"/>
      <c r="Q614" s="8"/>
      <c r="R614" s="8"/>
      <c r="S614" s="8"/>
      <c r="T614" s="8"/>
      <c r="U614" s="8"/>
      <c r="V614" s="8"/>
      <c r="W614" s="8"/>
      <c r="X614" s="8"/>
      <c r="Y614" s="8"/>
      <c r="Z614" s="8"/>
      <c r="AA614" s="8"/>
      <c r="AB614" s="8"/>
      <c r="AC614" s="8"/>
      <c r="AD614" s="24"/>
      <c r="AE614" s="24"/>
      <c r="AF614" s="8"/>
      <c r="AG614" s="8"/>
      <c r="AH614" s="8"/>
      <c r="AI614" s="8"/>
    </row>
    <row r="615" spans="1:35" ht="15.75" customHeight="1" x14ac:dyDescent="0.25">
      <c r="A615" s="8"/>
      <c r="B615" s="8"/>
      <c r="C615" s="8"/>
      <c r="D615" s="8"/>
      <c r="E615" s="50"/>
      <c r="F615" s="51"/>
      <c r="G615" s="51"/>
      <c r="H615" s="52"/>
      <c r="I615" s="52"/>
      <c r="J615" s="52"/>
      <c r="K615" s="52"/>
      <c r="L615" s="52"/>
      <c r="M615" s="48"/>
      <c r="N615" s="52"/>
      <c r="O615" s="5"/>
      <c r="P615" s="22"/>
      <c r="Q615" s="8"/>
      <c r="R615" s="8"/>
      <c r="S615" s="8"/>
      <c r="T615" s="8"/>
      <c r="U615" s="8"/>
      <c r="V615" s="8"/>
      <c r="W615" s="8"/>
      <c r="X615" s="8"/>
      <c r="Y615" s="8"/>
      <c r="Z615" s="8"/>
      <c r="AA615" s="8"/>
      <c r="AB615" s="8"/>
      <c r="AC615" s="8"/>
      <c r="AD615" s="24"/>
      <c r="AE615" s="24"/>
      <c r="AF615" s="8"/>
      <c r="AG615" s="8"/>
      <c r="AH615" s="8"/>
      <c r="AI615" s="8"/>
    </row>
    <row r="616" spans="1:35" ht="15.75" customHeight="1" x14ac:dyDescent="0.25">
      <c r="A616" s="8"/>
      <c r="B616" s="8"/>
      <c r="C616" s="8"/>
      <c r="D616" s="8"/>
      <c r="E616" s="50"/>
      <c r="F616" s="51"/>
      <c r="G616" s="51"/>
      <c r="H616" s="52"/>
      <c r="I616" s="52"/>
      <c r="J616" s="52"/>
      <c r="K616" s="52"/>
      <c r="L616" s="52"/>
      <c r="M616" s="52"/>
      <c r="N616" s="52"/>
      <c r="O616" s="5"/>
      <c r="P616" s="22"/>
      <c r="Q616" s="8"/>
      <c r="R616" s="8"/>
      <c r="S616" s="8"/>
      <c r="T616" s="8"/>
      <c r="U616" s="8"/>
      <c r="V616" s="8"/>
      <c r="W616" s="8"/>
      <c r="X616" s="8"/>
      <c r="Y616" s="8"/>
      <c r="Z616" s="8"/>
      <c r="AA616" s="8"/>
      <c r="AB616" s="8"/>
      <c r="AC616" s="8"/>
      <c r="AD616" s="24"/>
      <c r="AE616" s="24"/>
      <c r="AF616" s="8"/>
      <c r="AG616" s="8"/>
      <c r="AH616" s="8"/>
      <c r="AI616" s="8"/>
    </row>
    <row r="617" spans="1:35" ht="15.75" customHeight="1" x14ac:dyDescent="0.25">
      <c r="A617" s="8"/>
      <c r="B617" s="8"/>
      <c r="C617" s="8"/>
      <c r="D617" s="8"/>
      <c r="E617" s="50"/>
      <c r="F617" s="51"/>
      <c r="G617" s="51"/>
      <c r="H617" s="52"/>
      <c r="I617" s="52"/>
      <c r="J617" s="52"/>
      <c r="K617" s="52"/>
      <c r="L617" s="52"/>
      <c r="M617" s="52"/>
      <c r="N617" s="52"/>
      <c r="O617" s="5"/>
      <c r="P617" s="22"/>
      <c r="Q617" s="8"/>
      <c r="R617" s="8"/>
      <c r="S617" s="8"/>
      <c r="T617" s="8"/>
      <c r="U617" s="8"/>
      <c r="V617" s="8"/>
      <c r="W617" s="8"/>
      <c r="X617" s="8"/>
      <c r="Y617" s="8"/>
      <c r="Z617" s="8"/>
      <c r="AA617" s="8"/>
      <c r="AB617" s="8"/>
      <c r="AC617" s="8"/>
      <c r="AD617" s="24"/>
      <c r="AE617" s="24"/>
      <c r="AF617" s="8"/>
      <c r="AG617" s="8"/>
      <c r="AH617" s="8"/>
      <c r="AI617" s="8"/>
    </row>
    <row r="618" spans="1:35" ht="15.75" customHeight="1" x14ac:dyDescent="0.25">
      <c r="A618" s="8"/>
      <c r="B618" s="8"/>
      <c r="C618" s="8"/>
      <c r="D618" s="8"/>
      <c r="E618" s="50"/>
      <c r="F618" s="51"/>
      <c r="G618" s="51"/>
      <c r="H618" s="52"/>
      <c r="I618" s="52"/>
      <c r="J618" s="52"/>
      <c r="K618" s="52"/>
      <c r="L618" s="52"/>
      <c r="M618" s="48"/>
      <c r="N618" s="52"/>
      <c r="O618" s="5"/>
      <c r="P618" s="22"/>
      <c r="Q618" s="8"/>
      <c r="R618" s="8"/>
      <c r="S618" s="8"/>
      <c r="T618" s="8"/>
      <c r="U618" s="8"/>
      <c r="V618" s="8"/>
      <c r="W618" s="8"/>
      <c r="X618" s="8"/>
      <c r="Y618" s="8"/>
      <c r="Z618" s="8"/>
      <c r="AA618" s="8"/>
      <c r="AB618" s="8"/>
      <c r="AC618" s="8"/>
      <c r="AD618" s="24"/>
      <c r="AE618" s="24"/>
      <c r="AF618" s="8"/>
      <c r="AG618" s="8"/>
      <c r="AH618" s="8"/>
      <c r="AI618" s="8"/>
    </row>
    <row r="619" spans="1:35" ht="15.75" customHeight="1" x14ac:dyDescent="0.25">
      <c r="A619" s="8"/>
      <c r="B619" s="8"/>
      <c r="C619" s="8"/>
      <c r="D619" s="8"/>
      <c r="E619" s="50"/>
      <c r="F619" s="51"/>
      <c r="G619" s="51"/>
      <c r="H619" s="52"/>
      <c r="I619" s="52"/>
      <c r="J619" s="52"/>
      <c r="K619" s="52"/>
      <c r="L619" s="52"/>
      <c r="M619" s="48"/>
      <c r="N619" s="52"/>
      <c r="O619" s="5"/>
      <c r="P619" s="22"/>
      <c r="Q619" s="8"/>
      <c r="R619" s="8"/>
      <c r="S619" s="8"/>
      <c r="T619" s="8"/>
      <c r="U619" s="8"/>
      <c r="V619" s="8"/>
      <c r="W619" s="8"/>
      <c r="X619" s="8"/>
      <c r="Y619" s="8"/>
      <c r="Z619" s="8"/>
      <c r="AA619" s="8"/>
      <c r="AB619" s="8"/>
      <c r="AC619" s="8"/>
      <c r="AD619" s="24"/>
      <c r="AE619" s="24"/>
      <c r="AF619" s="8"/>
      <c r="AG619" s="8"/>
      <c r="AH619" s="8"/>
      <c r="AI619" s="8"/>
    </row>
    <row r="620" spans="1:35" ht="15.75" customHeight="1" x14ac:dyDescent="0.25">
      <c r="A620" s="8"/>
      <c r="B620" s="8"/>
      <c r="C620" s="8"/>
      <c r="D620" s="8"/>
      <c r="E620" s="50"/>
      <c r="F620" s="51"/>
      <c r="G620" s="51"/>
      <c r="H620" s="52"/>
      <c r="I620" s="52"/>
      <c r="J620" s="52"/>
      <c r="K620" s="52"/>
      <c r="L620" s="52"/>
      <c r="M620" s="48"/>
      <c r="N620" s="52"/>
      <c r="O620" s="5"/>
      <c r="P620" s="22"/>
      <c r="Q620" s="8"/>
      <c r="R620" s="8"/>
      <c r="S620" s="8"/>
      <c r="T620" s="8"/>
      <c r="U620" s="8"/>
      <c r="V620" s="8"/>
      <c r="W620" s="8"/>
      <c r="X620" s="8"/>
      <c r="Y620" s="8"/>
      <c r="Z620" s="8"/>
      <c r="AA620" s="8"/>
      <c r="AB620" s="8"/>
      <c r="AC620" s="8"/>
      <c r="AD620" s="24"/>
      <c r="AE620" s="24"/>
      <c r="AF620" s="8"/>
      <c r="AG620" s="8"/>
      <c r="AH620" s="8"/>
      <c r="AI620" s="8"/>
    </row>
    <row r="621" spans="1:35" ht="15.75" customHeight="1" x14ac:dyDescent="0.25">
      <c r="A621" s="8"/>
      <c r="B621" s="8"/>
      <c r="C621" s="8"/>
      <c r="D621" s="8"/>
      <c r="E621" s="50"/>
      <c r="F621" s="51"/>
      <c r="G621" s="51"/>
      <c r="H621" s="52"/>
      <c r="I621" s="52"/>
      <c r="J621" s="52"/>
      <c r="K621" s="52"/>
      <c r="L621" s="52"/>
      <c r="M621" s="48"/>
      <c r="N621" s="52"/>
      <c r="O621" s="5"/>
      <c r="P621" s="22"/>
      <c r="Q621" s="8"/>
      <c r="R621" s="8"/>
      <c r="S621" s="8"/>
      <c r="T621" s="8"/>
      <c r="U621" s="8"/>
      <c r="V621" s="8"/>
      <c r="W621" s="8"/>
      <c r="X621" s="8"/>
      <c r="Y621" s="8"/>
      <c r="Z621" s="8"/>
      <c r="AA621" s="8"/>
      <c r="AB621" s="8"/>
      <c r="AC621" s="8"/>
      <c r="AD621" s="24"/>
      <c r="AE621" s="24"/>
      <c r="AF621" s="8"/>
      <c r="AG621" s="8"/>
      <c r="AH621" s="8"/>
      <c r="AI621" s="8"/>
    </row>
    <row r="622" spans="1:35" ht="15.75" customHeight="1" x14ac:dyDescent="0.25">
      <c r="A622" s="8"/>
      <c r="B622" s="8"/>
      <c r="C622" s="8"/>
      <c r="D622" s="8"/>
      <c r="E622" s="50"/>
      <c r="F622" s="51"/>
      <c r="G622" s="51"/>
      <c r="H622" s="52"/>
      <c r="I622" s="52"/>
      <c r="J622" s="52"/>
      <c r="K622" s="52"/>
      <c r="L622" s="52"/>
      <c r="M622" s="52"/>
      <c r="N622" s="52"/>
      <c r="O622" s="5"/>
      <c r="P622" s="22"/>
      <c r="Q622" s="8"/>
      <c r="R622" s="8"/>
      <c r="S622" s="8"/>
      <c r="T622" s="8"/>
      <c r="U622" s="8"/>
      <c r="V622" s="8"/>
      <c r="W622" s="8"/>
      <c r="X622" s="8"/>
      <c r="Y622" s="8"/>
      <c r="Z622" s="8"/>
      <c r="AA622" s="8"/>
      <c r="AB622" s="8"/>
      <c r="AC622" s="8"/>
      <c r="AD622" s="24"/>
      <c r="AE622" s="24"/>
      <c r="AF622" s="8"/>
      <c r="AG622" s="8"/>
      <c r="AH622" s="8"/>
      <c r="AI622" s="8"/>
    </row>
    <row r="623" spans="1:35" ht="15.75" customHeight="1" x14ac:dyDescent="0.25">
      <c r="A623" s="8"/>
      <c r="B623" s="8"/>
      <c r="C623" s="8"/>
      <c r="D623" s="8"/>
      <c r="E623" s="50"/>
      <c r="F623" s="51"/>
      <c r="G623" s="51"/>
      <c r="H623" s="52"/>
      <c r="I623" s="52"/>
      <c r="J623" s="52"/>
      <c r="K623" s="52"/>
      <c r="L623" s="52"/>
      <c r="M623" s="48"/>
      <c r="N623" s="52"/>
      <c r="O623" s="5"/>
      <c r="P623" s="22"/>
      <c r="Q623" s="8"/>
      <c r="R623" s="8"/>
      <c r="S623" s="8"/>
      <c r="T623" s="8"/>
      <c r="U623" s="8"/>
      <c r="V623" s="8"/>
      <c r="W623" s="8"/>
      <c r="X623" s="8"/>
      <c r="Y623" s="8"/>
      <c r="Z623" s="8"/>
      <c r="AA623" s="8"/>
      <c r="AB623" s="8"/>
      <c r="AC623" s="8"/>
      <c r="AD623" s="24"/>
      <c r="AE623" s="24"/>
      <c r="AF623" s="8"/>
      <c r="AG623" s="8"/>
      <c r="AH623" s="8"/>
      <c r="AI623" s="8"/>
    </row>
    <row r="624" spans="1:35" ht="15.75" customHeight="1" x14ac:dyDescent="0.25">
      <c r="A624" s="8"/>
      <c r="B624" s="8"/>
      <c r="C624" s="8"/>
      <c r="D624" s="8"/>
      <c r="E624" s="50"/>
      <c r="F624" s="51"/>
      <c r="G624" s="51"/>
      <c r="H624" s="52"/>
      <c r="I624" s="52"/>
      <c r="J624" s="52"/>
      <c r="K624" s="52"/>
      <c r="L624" s="52"/>
      <c r="M624" s="48"/>
      <c r="N624" s="52"/>
      <c r="O624" s="5"/>
      <c r="P624" s="22"/>
      <c r="Q624" s="8"/>
      <c r="R624" s="8"/>
      <c r="S624" s="8"/>
      <c r="T624" s="8"/>
      <c r="U624" s="8"/>
      <c r="V624" s="8"/>
      <c r="W624" s="8"/>
      <c r="X624" s="8"/>
      <c r="Y624" s="8"/>
      <c r="Z624" s="8"/>
      <c r="AA624" s="8"/>
      <c r="AB624" s="8"/>
      <c r="AC624" s="8"/>
      <c r="AD624" s="24"/>
      <c r="AE624" s="24"/>
      <c r="AF624" s="8"/>
      <c r="AG624" s="8"/>
      <c r="AH624" s="8"/>
      <c r="AI624" s="8"/>
    </row>
    <row r="625" spans="1:35" ht="15.75" customHeight="1" x14ac:dyDescent="0.25">
      <c r="A625" s="8"/>
      <c r="B625" s="8"/>
      <c r="C625" s="8"/>
      <c r="D625" s="8"/>
      <c r="E625" s="50"/>
      <c r="F625" s="51"/>
      <c r="G625" s="51"/>
      <c r="H625" s="52"/>
      <c r="I625" s="52"/>
      <c r="J625" s="52"/>
      <c r="K625" s="52"/>
      <c r="L625" s="52"/>
      <c r="M625" s="48"/>
      <c r="N625" s="52"/>
      <c r="O625" s="5"/>
      <c r="P625" s="22"/>
      <c r="Q625" s="8"/>
      <c r="R625" s="8"/>
      <c r="S625" s="8"/>
      <c r="T625" s="8"/>
      <c r="U625" s="8"/>
      <c r="V625" s="8"/>
      <c r="W625" s="8"/>
      <c r="X625" s="8"/>
      <c r="Y625" s="8"/>
      <c r="Z625" s="8"/>
      <c r="AA625" s="8"/>
      <c r="AB625" s="8"/>
      <c r="AC625" s="8"/>
      <c r="AD625" s="24"/>
      <c r="AE625" s="24"/>
      <c r="AF625" s="8"/>
      <c r="AG625" s="8"/>
      <c r="AH625" s="8"/>
      <c r="AI625" s="8"/>
    </row>
    <row r="626" spans="1:35" ht="15.75" customHeight="1" x14ac:dyDescent="0.25">
      <c r="A626" s="8"/>
      <c r="B626" s="8"/>
      <c r="C626" s="8"/>
      <c r="D626" s="8"/>
      <c r="E626" s="50"/>
      <c r="F626" s="51"/>
      <c r="G626" s="51"/>
      <c r="H626" s="52"/>
      <c r="I626" s="52"/>
      <c r="J626" s="52"/>
      <c r="K626" s="52"/>
      <c r="L626" s="52"/>
      <c r="M626" s="48"/>
      <c r="N626" s="52"/>
      <c r="O626" s="5"/>
      <c r="P626" s="22"/>
      <c r="Q626" s="8"/>
      <c r="R626" s="8"/>
      <c r="S626" s="8"/>
      <c r="T626" s="8"/>
      <c r="U626" s="8"/>
      <c r="V626" s="8"/>
      <c r="W626" s="8"/>
      <c r="X626" s="8"/>
      <c r="Y626" s="8"/>
      <c r="Z626" s="8"/>
      <c r="AA626" s="8"/>
      <c r="AB626" s="8"/>
      <c r="AC626" s="8"/>
      <c r="AD626" s="24"/>
      <c r="AE626" s="24"/>
      <c r="AF626" s="8"/>
      <c r="AG626" s="8"/>
      <c r="AH626" s="8"/>
      <c r="AI626" s="8"/>
    </row>
    <row r="627" spans="1:35" ht="15.75" customHeight="1" x14ac:dyDescent="0.25">
      <c r="A627" s="8"/>
      <c r="B627" s="8"/>
      <c r="C627" s="8"/>
      <c r="D627" s="8"/>
      <c r="E627" s="50"/>
      <c r="F627" s="51"/>
      <c r="G627" s="51"/>
      <c r="H627" s="52"/>
      <c r="I627" s="52"/>
      <c r="J627" s="52"/>
      <c r="K627" s="52"/>
      <c r="L627" s="52"/>
      <c r="M627" s="48"/>
      <c r="N627" s="52"/>
      <c r="O627" s="5"/>
      <c r="P627" s="22"/>
      <c r="Q627" s="8"/>
      <c r="R627" s="8"/>
      <c r="S627" s="8"/>
      <c r="T627" s="8"/>
      <c r="U627" s="8"/>
      <c r="V627" s="8"/>
      <c r="W627" s="8"/>
      <c r="X627" s="8"/>
      <c r="Y627" s="8"/>
      <c r="Z627" s="8"/>
      <c r="AA627" s="8"/>
      <c r="AB627" s="8"/>
      <c r="AC627" s="8"/>
      <c r="AD627" s="24"/>
      <c r="AE627" s="24"/>
      <c r="AF627" s="8"/>
      <c r="AG627" s="8"/>
      <c r="AH627" s="8"/>
      <c r="AI627" s="8"/>
    </row>
    <row r="628" spans="1:35" ht="15.75" customHeight="1" x14ac:dyDescent="0.25">
      <c r="A628" s="8"/>
      <c r="B628" s="8"/>
      <c r="C628" s="8"/>
      <c r="D628" s="8"/>
      <c r="E628" s="50"/>
      <c r="F628" s="51"/>
      <c r="G628" s="51"/>
      <c r="H628" s="52"/>
      <c r="I628" s="52"/>
      <c r="J628" s="52"/>
      <c r="K628" s="52"/>
      <c r="L628" s="52"/>
      <c r="M628" s="48"/>
      <c r="N628" s="52"/>
      <c r="O628" s="5"/>
      <c r="P628" s="22"/>
      <c r="Q628" s="8"/>
      <c r="R628" s="8"/>
      <c r="S628" s="8"/>
      <c r="T628" s="8"/>
      <c r="U628" s="8"/>
      <c r="V628" s="8"/>
      <c r="W628" s="8"/>
      <c r="X628" s="8"/>
      <c r="Y628" s="8"/>
      <c r="Z628" s="8"/>
      <c r="AA628" s="8"/>
      <c r="AB628" s="8"/>
      <c r="AC628" s="8"/>
      <c r="AD628" s="24"/>
      <c r="AE628" s="24"/>
      <c r="AF628" s="8"/>
      <c r="AG628" s="8"/>
      <c r="AH628" s="8"/>
      <c r="AI628" s="8"/>
    </row>
    <row r="629" spans="1:35" ht="15.75" customHeight="1" x14ac:dyDescent="0.25">
      <c r="A629" s="8"/>
      <c r="B629" s="8"/>
      <c r="C629" s="8"/>
      <c r="D629" s="8"/>
      <c r="E629" s="50"/>
      <c r="F629" s="51"/>
      <c r="G629" s="51"/>
      <c r="H629" s="52"/>
      <c r="I629" s="52"/>
      <c r="J629" s="52"/>
      <c r="K629" s="52"/>
      <c r="L629" s="52"/>
      <c r="M629" s="48"/>
      <c r="N629" s="52"/>
      <c r="O629" s="5"/>
      <c r="P629" s="22"/>
      <c r="Q629" s="8"/>
      <c r="R629" s="8"/>
      <c r="S629" s="8"/>
      <c r="T629" s="8"/>
      <c r="U629" s="8"/>
      <c r="V629" s="8"/>
      <c r="W629" s="8"/>
      <c r="X629" s="8"/>
      <c r="Y629" s="8"/>
      <c r="Z629" s="8"/>
      <c r="AA629" s="8"/>
      <c r="AB629" s="8"/>
      <c r="AC629" s="8"/>
      <c r="AD629" s="24"/>
      <c r="AE629" s="24"/>
      <c r="AF629" s="8"/>
      <c r="AG629" s="8"/>
      <c r="AH629" s="8"/>
      <c r="AI629" s="8"/>
    </row>
    <row r="630" spans="1:35" ht="15.75" customHeight="1" x14ac:dyDescent="0.25">
      <c r="A630" s="8"/>
      <c r="B630" s="8"/>
      <c r="C630" s="8"/>
      <c r="D630" s="8"/>
      <c r="E630" s="50"/>
      <c r="F630" s="51"/>
      <c r="G630" s="51"/>
      <c r="H630" s="52"/>
      <c r="I630" s="52"/>
      <c r="J630" s="52"/>
      <c r="K630" s="52"/>
      <c r="L630" s="52"/>
      <c r="M630" s="48"/>
      <c r="N630" s="52"/>
      <c r="O630" s="5"/>
      <c r="P630" s="22"/>
      <c r="Q630" s="8"/>
      <c r="R630" s="8"/>
      <c r="S630" s="8"/>
      <c r="T630" s="8"/>
      <c r="U630" s="8"/>
      <c r="V630" s="8"/>
      <c r="W630" s="8"/>
      <c r="X630" s="8"/>
      <c r="Y630" s="8"/>
      <c r="Z630" s="8"/>
      <c r="AA630" s="8"/>
      <c r="AB630" s="8"/>
      <c r="AC630" s="8"/>
      <c r="AD630" s="24"/>
      <c r="AE630" s="24"/>
      <c r="AF630" s="8"/>
      <c r="AG630" s="8"/>
      <c r="AH630" s="8"/>
      <c r="AI630" s="8"/>
    </row>
    <row r="631" spans="1:35" ht="15.75" customHeight="1" x14ac:dyDescent="0.25">
      <c r="A631" s="8"/>
      <c r="B631" s="8"/>
      <c r="C631" s="8"/>
      <c r="D631" s="8"/>
      <c r="E631" s="50"/>
      <c r="F631" s="51"/>
      <c r="G631" s="51"/>
      <c r="H631" s="52"/>
      <c r="I631" s="52"/>
      <c r="J631" s="52"/>
      <c r="K631" s="52"/>
      <c r="L631" s="52"/>
      <c r="M631" s="48"/>
      <c r="N631" s="52"/>
      <c r="O631" s="5"/>
      <c r="P631" s="22"/>
      <c r="Q631" s="8"/>
      <c r="R631" s="8"/>
      <c r="S631" s="8"/>
      <c r="T631" s="8"/>
      <c r="U631" s="8"/>
      <c r="V631" s="8"/>
      <c r="W631" s="8"/>
      <c r="X631" s="8"/>
      <c r="Y631" s="8"/>
      <c r="Z631" s="8"/>
      <c r="AA631" s="8"/>
      <c r="AB631" s="8"/>
      <c r="AC631" s="8"/>
      <c r="AD631" s="24"/>
      <c r="AE631" s="24"/>
      <c r="AF631" s="8"/>
      <c r="AG631" s="8"/>
      <c r="AH631" s="8"/>
      <c r="AI631" s="8"/>
    </row>
    <row r="632" spans="1:35" ht="15.75" customHeight="1" x14ac:dyDescent="0.25">
      <c r="A632" s="8"/>
      <c r="B632" s="8"/>
      <c r="C632" s="8"/>
      <c r="D632" s="8"/>
      <c r="E632" s="50"/>
      <c r="F632" s="51"/>
      <c r="G632" s="51"/>
      <c r="H632" s="52"/>
      <c r="I632" s="52"/>
      <c r="J632" s="52"/>
      <c r="K632" s="52"/>
      <c r="L632" s="52"/>
      <c r="M632" s="48"/>
      <c r="N632" s="52"/>
      <c r="O632" s="5"/>
      <c r="P632" s="22"/>
      <c r="Q632" s="8"/>
      <c r="R632" s="8"/>
      <c r="S632" s="8"/>
      <c r="T632" s="8"/>
      <c r="U632" s="8"/>
      <c r="V632" s="8"/>
      <c r="W632" s="8"/>
      <c r="X632" s="8"/>
      <c r="Y632" s="8"/>
      <c r="Z632" s="8"/>
      <c r="AA632" s="8"/>
      <c r="AB632" s="8"/>
      <c r="AC632" s="8"/>
      <c r="AD632" s="24"/>
      <c r="AE632" s="24"/>
      <c r="AF632" s="8"/>
      <c r="AG632" s="8"/>
      <c r="AH632" s="8"/>
      <c r="AI632" s="8"/>
    </row>
    <row r="633" spans="1:35" ht="15.75" customHeight="1" x14ac:dyDescent="0.25">
      <c r="A633" s="8"/>
      <c r="B633" s="8"/>
      <c r="C633" s="8"/>
      <c r="D633" s="8"/>
      <c r="E633" s="50"/>
      <c r="F633" s="51"/>
      <c r="G633" s="51"/>
      <c r="H633" s="52"/>
      <c r="I633" s="52"/>
      <c r="J633" s="52"/>
      <c r="K633" s="52"/>
      <c r="L633" s="52"/>
      <c r="M633" s="48"/>
      <c r="N633" s="52"/>
      <c r="O633" s="5"/>
      <c r="P633" s="22"/>
      <c r="Q633" s="8"/>
      <c r="R633" s="8"/>
      <c r="S633" s="8"/>
      <c r="T633" s="8"/>
      <c r="U633" s="8"/>
      <c r="V633" s="8"/>
      <c r="W633" s="8"/>
      <c r="X633" s="8"/>
      <c r="Y633" s="8"/>
      <c r="Z633" s="8"/>
      <c r="AA633" s="8"/>
      <c r="AB633" s="8"/>
      <c r="AC633" s="8"/>
      <c r="AD633" s="24"/>
      <c r="AE633" s="24"/>
      <c r="AF633" s="8"/>
      <c r="AG633" s="8"/>
      <c r="AH633" s="8"/>
      <c r="AI633" s="8"/>
    </row>
    <row r="634" spans="1:35" ht="15.75" customHeight="1" x14ac:dyDescent="0.25">
      <c r="A634" s="8"/>
      <c r="B634" s="8"/>
      <c r="C634" s="8"/>
      <c r="D634" s="8"/>
      <c r="E634" s="50"/>
      <c r="F634" s="51"/>
      <c r="G634" s="51"/>
      <c r="H634" s="52"/>
      <c r="I634" s="52"/>
      <c r="J634" s="52"/>
      <c r="K634" s="52"/>
      <c r="L634" s="52"/>
      <c r="M634" s="48"/>
      <c r="N634" s="52"/>
      <c r="O634" s="5"/>
      <c r="P634" s="22"/>
      <c r="Q634" s="8"/>
      <c r="R634" s="8"/>
      <c r="S634" s="8"/>
      <c r="T634" s="8"/>
      <c r="U634" s="8"/>
      <c r="V634" s="8"/>
      <c r="W634" s="8"/>
      <c r="X634" s="8"/>
      <c r="Y634" s="8"/>
      <c r="Z634" s="8"/>
      <c r="AA634" s="8"/>
      <c r="AB634" s="8"/>
      <c r="AC634" s="8"/>
      <c r="AD634" s="24"/>
      <c r="AE634" s="24"/>
      <c r="AF634" s="8"/>
      <c r="AG634" s="8"/>
      <c r="AH634" s="8"/>
      <c r="AI634" s="8"/>
    </row>
    <row r="635" spans="1:35" ht="15.75" customHeight="1" x14ac:dyDescent="0.25">
      <c r="A635" s="8"/>
      <c r="B635" s="8"/>
      <c r="C635" s="8"/>
      <c r="D635" s="8"/>
      <c r="E635" s="50"/>
      <c r="F635" s="51"/>
      <c r="G635" s="51"/>
      <c r="H635" s="52"/>
      <c r="I635" s="52"/>
      <c r="J635" s="52"/>
      <c r="K635" s="52"/>
      <c r="L635" s="52"/>
      <c r="M635" s="49"/>
      <c r="N635" s="52"/>
      <c r="O635" s="5"/>
      <c r="P635" s="22"/>
      <c r="Q635" s="8"/>
      <c r="R635" s="8"/>
      <c r="S635" s="8"/>
      <c r="T635" s="8"/>
      <c r="U635" s="8"/>
      <c r="V635" s="8"/>
      <c r="W635" s="8"/>
      <c r="X635" s="8"/>
      <c r="Y635" s="8"/>
      <c r="Z635" s="8"/>
      <c r="AA635" s="8"/>
      <c r="AB635" s="8"/>
      <c r="AC635" s="8"/>
      <c r="AD635" s="24"/>
      <c r="AE635" s="24"/>
      <c r="AF635" s="8"/>
      <c r="AG635" s="8"/>
      <c r="AH635" s="8"/>
      <c r="AI635" s="8"/>
    </row>
    <row r="636" spans="1:35" ht="15.75" customHeight="1" x14ac:dyDescent="0.25">
      <c r="A636" s="8"/>
      <c r="B636" s="8"/>
      <c r="C636" s="8"/>
      <c r="D636" s="8"/>
      <c r="E636" s="50"/>
      <c r="F636" s="51"/>
      <c r="G636" s="51"/>
      <c r="H636" s="52"/>
      <c r="I636" s="52"/>
      <c r="J636" s="52"/>
      <c r="K636" s="52"/>
      <c r="L636" s="52"/>
      <c r="M636" s="48"/>
      <c r="N636" s="52"/>
      <c r="O636" s="5"/>
      <c r="P636" s="22"/>
      <c r="Q636" s="8"/>
      <c r="R636" s="8"/>
      <c r="S636" s="8"/>
      <c r="T636" s="8"/>
      <c r="U636" s="8"/>
      <c r="V636" s="8"/>
      <c r="W636" s="8"/>
      <c r="X636" s="8"/>
      <c r="Y636" s="8"/>
      <c r="Z636" s="8"/>
      <c r="AA636" s="8"/>
      <c r="AB636" s="8"/>
      <c r="AC636" s="8"/>
      <c r="AD636" s="24"/>
      <c r="AE636" s="24"/>
      <c r="AF636" s="8"/>
      <c r="AG636" s="8"/>
      <c r="AH636" s="8"/>
      <c r="AI636" s="8"/>
    </row>
    <row r="637" spans="1:35" ht="15.75" customHeight="1" x14ac:dyDescent="0.25">
      <c r="A637" s="8"/>
      <c r="B637" s="8"/>
      <c r="C637" s="8"/>
      <c r="D637" s="8"/>
      <c r="E637" s="50"/>
      <c r="F637" s="51"/>
      <c r="G637" s="51"/>
      <c r="H637" s="52"/>
      <c r="I637" s="52"/>
      <c r="J637" s="52"/>
      <c r="K637" s="52"/>
      <c r="L637" s="52"/>
      <c r="M637" s="48"/>
      <c r="N637" s="52"/>
      <c r="O637" s="5"/>
      <c r="P637" s="22"/>
      <c r="Q637" s="8"/>
      <c r="R637" s="8"/>
      <c r="S637" s="8"/>
      <c r="T637" s="8"/>
      <c r="U637" s="8"/>
      <c r="V637" s="8"/>
      <c r="W637" s="8"/>
      <c r="X637" s="8"/>
      <c r="Y637" s="8"/>
      <c r="Z637" s="8"/>
      <c r="AA637" s="8"/>
      <c r="AB637" s="8"/>
      <c r="AC637" s="8"/>
      <c r="AD637" s="24"/>
      <c r="AE637" s="24"/>
      <c r="AF637" s="8"/>
      <c r="AG637" s="8"/>
      <c r="AH637" s="8"/>
      <c r="AI637" s="8"/>
    </row>
    <row r="638" spans="1:35" ht="15.75" customHeight="1" x14ac:dyDescent="0.25">
      <c r="A638" s="8"/>
      <c r="B638" s="8"/>
      <c r="C638" s="8"/>
      <c r="D638" s="8"/>
      <c r="E638" s="50"/>
      <c r="F638" s="51"/>
      <c r="G638" s="51"/>
      <c r="H638" s="52"/>
      <c r="I638" s="52"/>
      <c r="J638" s="52"/>
      <c r="K638" s="52"/>
      <c r="L638" s="52"/>
      <c r="M638" s="48"/>
      <c r="N638" s="52"/>
      <c r="O638" s="5"/>
      <c r="P638" s="22"/>
      <c r="Q638" s="8"/>
      <c r="R638" s="8"/>
      <c r="S638" s="8"/>
      <c r="T638" s="8"/>
      <c r="U638" s="8"/>
      <c r="V638" s="8"/>
      <c r="W638" s="8"/>
      <c r="X638" s="8"/>
      <c r="Y638" s="8"/>
      <c r="Z638" s="8"/>
      <c r="AA638" s="8"/>
      <c r="AB638" s="8"/>
      <c r="AC638" s="8"/>
      <c r="AD638" s="24"/>
      <c r="AE638" s="24"/>
      <c r="AF638" s="8"/>
      <c r="AG638" s="8"/>
      <c r="AH638" s="8"/>
      <c r="AI638" s="8"/>
    </row>
    <row r="639" spans="1:35" ht="15.75" customHeight="1" x14ac:dyDescent="0.25">
      <c r="A639" s="8"/>
      <c r="B639" s="8"/>
      <c r="C639" s="8"/>
      <c r="D639" s="8"/>
      <c r="E639" s="50"/>
      <c r="F639" s="51"/>
      <c r="G639" s="51"/>
      <c r="H639" s="52"/>
      <c r="I639" s="52"/>
      <c r="J639" s="52"/>
      <c r="K639" s="52"/>
      <c r="L639" s="52"/>
      <c r="M639" s="48"/>
      <c r="N639" s="52"/>
      <c r="O639" s="5"/>
      <c r="P639" s="22"/>
      <c r="Q639" s="8"/>
      <c r="R639" s="8"/>
      <c r="S639" s="8"/>
      <c r="T639" s="8"/>
      <c r="U639" s="8"/>
      <c r="V639" s="8"/>
      <c r="W639" s="8"/>
      <c r="X639" s="8"/>
      <c r="Y639" s="8"/>
      <c r="Z639" s="8"/>
      <c r="AA639" s="8"/>
      <c r="AB639" s="8"/>
      <c r="AC639" s="8"/>
      <c r="AD639" s="24"/>
      <c r="AE639" s="24"/>
      <c r="AF639" s="8"/>
      <c r="AG639" s="8"/>
      <c r="AH639" s="8"/>
      <c r="AI639" s="8"/>
    </row>
    <row r="640" spans="1:35" ht="15.75" customHeight="1" x14ac:dyDescent="0.25">
      <c r="A640" s="8"/>
      <c r="B640" s="8"/>
      <c r="C640" s="8"/>
      <c r="D640" s="8"/>
      <c r="E640" s="50"/>
      <c r="F640" s="51"/>
      <c r="G640" s="51"/>
      <c r="H640" s="52"/>
      <c r="I640" s="52"/>
      <c r="J640" s="52"/>
      <c r="K640" s="52"/>
      <c r="L640" s="52"/>
      <c r="M640" s="48"/>
      <c r="N640" s="52"/>
      <c r="O640" s="5"/>
      <c r="P640" s="22"/>
      <c r="Q640" s="8"/>
      <c r="R640" s="8"/>
      <c r="S640" s="8"/>
      <c r="T640" s="8"/>
      <c r="U640" s="8"/>
      <c r="V640" s="8"/>
      <c r="W640" s="8"/>
      <c r="X640" s="8"/>
      <c r="Y640" s="8"/>
      <c r="Z640" s="8"/>
      <c r="AA640" s="8"/>
      <c r="AB640" s="8"/>
      <c r="AC640" s="8"/>
      <c r="AD640" s="24"/>
      <c r="AE640" s="24"/>
      <c r="AF640" s="8"/>
      <c r="AG640" s="8"/>
      <c r="AH640" s="8"/>
      <c r="AI640" s="8"/>
    </row>
    <row r="641" spans="1:35" ht="15.75" customHeight="1" x14ac:dyDescent="0.25">
      <c r="A641" s="8"/>
      <c r="B641" s="8"/>
      <c r="C641" s="8"/>
      <c r="D641" s="8"/>
      <c r="E641" s="50"/>
      <c r="F641" s="51"/>
      <c r="G641" s="51"/>
      <c r="H641" s="52"/>
      <c r="I641" s="52"/>
      <c r="J641" s="52"/>
      <c r="K641" s="52"/>
      <c r="L641" s="52"/>
      <c r="M641" s="48"/>
      <c r="N641" s="52"/>
      <c r="O641" s="5"/>
      <c r="P641" s="22"/>
      <c r="Q641" s="8"/>
      <c r="R641" s="8"/>
      <c r="S641" s="8"/>
      <c r="T641" s="8"/>
      <c r="U641" s="8"/>
      <c r="V641" s="8"/>
      <c r="W641" s="8"/>
      <c r="X641" s="8"/>
      <c r="Y641" s="8"/>
      <c r="Z641" s="8"/>
      <c r="AA641" s="8"/>
      <c r="AB641" s="8"/>
      <c r="AC641" s="8"/>
      <c r="AD641" s="24"/>
      <c r="AE641" s="24"/>
      <c r="AF641" s="8"/>
      <c r="AG641" s="8"/>
      <c r="AH641" s="8"/>
      <c r="AI641" s="8"/>
    </row>
    <row r="642" spans="1:35" ht="15.75" customHeight="1" x14ac:dyDescent="0.25">
      <c r="A642" s="8"/>
      <c r="B642" s="8"/>
      <c r="C642" s="8"/>
      <c r="D642" s="8"/>
      <c r="E642" s="50"/>
      <c r="F642" s="51"/>
      <c r="G642" s="51"/>
      <c r="H642" s="52"/>
      <c r="I642" s="52"/>
      <c r="J642" s="52"/>
      <c r="K642" s="52"/>
      <c r="L642" s="52"/>
      <c r="M642" s="52"/>
      <c r="N642" s="52"/>
      <c r="O642" s="5"/>
      <c r="P642" s="22"/>
      <c r="Q642" s="8"/>
      <c r="R642" s="8"/>
      <c r="S642" s="8"/>
      <c r="T642" s="8"/>
      <c r="U642" s="8"/>
      <c r="V642" s="8"/>
      <c r="W642" s="8"/>
      <c r="X642" s="8"/>
      <c r="Y642" s="8"/>
      <c r="Z642" s="8"/>
      <c r="AA642" s="8"/>
      <c r="AB642" s="8"/>
      <c r="AC642" s="8"/>
      <c r="AD642" s="24"/>
      <c r="AE642" s="24"/>
      <c r="AF642" s="8"/>
      <c r="AG642" s="8"/>
      <c r="AH642" s="8"/>
      <c r="AI642" s="8"/>
    </row>
    <row r="643" spans="1:35" ht="15.75" customHeight="1" x14ac:dyDescent="0.25">
      <c r="A643" s="8"/>
      <c r="B643" s="8"/>
      <c r="C643" s="8"/>
      <c r="D643" s="8"/>
      <c r="E643" s="50"/>
      <c r="F643" s="51"/>
      <c r="G643" s="51"/>
      <c r="H643" s="52"/>
      <c r="I643" s="52"/>
      <c r="J643" s="52"/>
      <c r="K643" s="52"/>
      <c r="L643" s="52"/>
      <c r="M643" s="48"/>
      <c r="N643" s="52"/>
      <c r="O643" s="5"/>
      <c r="P643" s="22"/>
      <c r="Q643" s="8"/>
      <c r="R643" s="8"/>
      <c r="S643" s="8"/>
      <c r="T643" s="8"/>
      <c r="U643" s="8"/>
      <c r="V643" s="8"/>
      <c r="W643" s="8"/>
      <c r="X643" s="8"/>
      <c r="Y643" s="8"/>
      <c r="Z643" s="8"/>
      <c r="AA643" s="8"/>
      <c r="AB643" s="8"/>
      <c r="AC643" s="8"/>
      <c r="AD643" s="24"/>
      <c r="AE643" s="24"/>
      <c r="AF643" s="8"/>
      <c r="AG643" s="8"/>
      <c r="AH643" s="8"/>
      <c r="AI643" s="8"/>
    </row>
    <row r="644" spans="1:35" ht="15.75" customHeight="1" x14ac:dyDescent="0.25">
      <c r="A644" s="8"/>
      <c r="B644" s="8"/>
      <c r="C644" s="8"/>
      <c r="D644" s="8"/>
      <c r="E644" s="50"/>
      <c r="F644" s="51"/>
      <c r="G644" s="51"/>
      <c r="H644" s="52"/>
      <c r="I644" s="52"/>
      <c r="J644" s="52"/>
      <c r="K644" s="52"/>
      <c r="L644" s="52"/>
      <c r="M644" s="48"/>
      <c r="N644" s="52"/>
      <c r="O644" s="5"/>
      <c r="P644" s="22"/>
      <c r="Q644" s="8"/>
      <c r="R644" s="8"/>
      <c r="S644" s="8"/>
      <c r="T644" s="8"/>
      <c r="U644" s="8"/>
      <c r="V644" s="8"/>
      <c r="W644" s="8"/>
      <c r="X644" s="8"/>
      <c r="Y644" s="8"/>
      <c r="Z644" s="8"/>
      <c r="AA644" s="8"/>
      <c r="AB644" s="8"/>
      <c r="AC644" s="8"/>
      <c r="AD644" s="24"/>
      <c r="AE644" s="24"/>
      <c r="AF644" s="8"/>
      <c r="AG644" s="8"/>
      <c r="AH644" s="8"/>
      <c r="AI644" s="8"/>
    </row>
    <row r="645" spans="1:35" ht="15.75" customHeight="1" x14ac:dyDescent="0.25">
      <c r="A645" s="8"/>
      <c r="B645" s="8"/>
      <c r="C645" s="8"/>
      <c r="D645" s="8"/>
      <c r="E645" s="50"/>
      <c r="F645" s="51"/>
      <c r="G645" s="51"/>
      <c r="H645" s="52"/>
      <c r="I645" s="52"/>
      <c r="J645" s="52"/>
      <c r="K645" s="52"/>
      <c r="L645" s="52"/>
      <c r="M645" s="52"/>
      <c r="N645" s="52"/>
      <c r="O645" s="5"/>
      <c r="P645" s="22"/>
      <c r="Q645" s="8"/>
      <c r="R645" s="8"/>
      <c r="S645" s="8"/>
      <c r="T645" s="8"/>
      <c r="U645" s="8"/>
      <c r="V645" s="8"/>
      <c r="W645" s="8"/>
      <c r="X645" s="8"/>
      <c r="Y645" s="8"/>
      <c r="Z645" s="8"/>
      <c r="AA645" s="8"/>
      <c r="AB645" s="8"/>
      <c r="AC645" s="8"/>
      <c r="AD645" s="24"/>
      <c r="AE645" s="24"/>
      <c r="AF645" s="8"/>
      <c r="AG645" s="8"/>
      <c r="AH645" s="8"/>
      <c r="AI645" s="8"/>
    </row>
    <row r="646" spans="1:35" ht="15.75" customHeight="1" x14ac:dyDescent="0.25">
      <c r="A646" s="8"/>
      <c r="B646" s="8"/>
      <c r="C646" s="8"/>
      <c r="D646" s="8"/>
      <c r="E646" s="50"/>
      <c r="F646" s="51"/>
      <c r="G646" s="51"/>
      <c r="H646" s="52"/>
      <c r="I646" s="52"/>
      <c r="J646" s="52"/>
      <c r="K646" s="52"/>
      <c r="L646" s="52"/>
      <c r="M646" s="48"/>
      <c r="N646" s="52"/>
      <c r="O646" s="5"/>
      <c r="P646" s="22"/>
      <c r="Q646" s="8"/>
      <c r="R646" s="8"/>
      <c r="S646" s="8"/>
      <c r="T646" s="8"/>
      <c r="U646" s="8"/>
      <c r="V646" s="8"/>
      <c r="W646" s="8"/>
      <c r="X646" s="8"/>
      <c r="Y646" s="8"/>
      <c r="Z646" s="8"/>
      <c r="AA646" s="8"/>
      <c r="AB646" s="8"/>
      <c r="AC646" s="8"/>
      <c r="AD646" s="24"/>
      <c r="AE646" s="24"/>
      <c r="AF646" s="8"/>
      <c r="AG646" s="8"/>
      <c r="AH646" s="8"/>
      <c r="AI646" s="8"/>
    </row>
    <row r="647" spans="1:35" ht="15.75" customHeight="1" x14ac:dyDescent="0.25">
      <c r="A647" s="8"/>
      <c r="B647" s="8"/>
      <c r="C647" s="8"/>
      <c r="D647" s="8"/>
      <c r="E647" s="50"/>
      <c r="F647" s="51"/>
      <c r="G647" s="51"/>
      <c r="H647" s="52"/>
      <c r="I647" s="52"/>
      <c r="J647" s="52"/>
      <c r="K647" s="52"/>
      <c r="L647" s="52"/>
      <c r="M647" s="48"/>
      <c r="N647" s="52"/>
      <c r="O647" s="5"/>
      <c r="P647" s="22"/>
      <c r="Q647" s="8"/>
      <c r="R647" s="8"/>
      <c r="S647" s="8"/>
      <c r="T647" s="8"/>
      <c r="U647" s="8"/>
      <c r="V647" s="8"/>
      <c r="W647" s="8"/>
      <c r="X647" s="8"/>
      <c r="Y647" s="8"/>
      <c r="Z647" s="8"/>
      <c r="AA647" s="8"/>
      <c r="AB647" s="8"/>
      <c r="AC647" s="8"/>
      <c r="AD647" s="24"/>
      <c r="AE647" s="24"/>
      <c r="AF647" s="8"/>
      <c r="AG647" s="8"/>
      <c r="AH647" s="8"/>
      <c r="AI647" s="8"/>
    </row>
    <row r="648" spans="1:35" ht="15.75" customHeight="1" x14ac:dyDescent="0.25">
      <c r="A648" s="8"/>
      <c r="B648" s="8"/>
      <c r="C648" s="8"/>
      <c r="D648" s="8"/>
      <c r="E648" s="50"/>
      <c r="F648" s="51"/>
      <c r="G648" s="51"/>
      <c r="H648" s="52"/>
      <c r="I648" s="52"/>
      <c r="J648" s="52"/>
      <c r="K648" s="52"/>
      <c r="L648" s="52"/>
      <c r="M648" s="49"/>
      <c r="N648" s="52"/>
      <c r="O648" s="5"/>
      <c r="P648" s="22"/>
      <c r="Q648" s="8"/>
      <c r="R648" s="8"/>
      <c r="S648" s="8"/>
      <c r="T648" s="8"/>
      <c r="U648" s="8"/>
      <c r="V648" s="8"/>
      <c r="W648" s="8"/>
      <c r="X648" s="8"/>
      <c r="Y648" s="8"/>
      <c r="Z648" s="8"/>
      <c r="AA648" s="8"/>
      <c r="AB648" s="8"/>
      <c r="AC648" s="8"/>
      <c r="AD648" s="24"/>
      <c r="AE648" s="24"/>
      <c r="AF648" s="8"/>
      <c r="AG648" s="8"/>
      <c r="AH648" s="8"/>
      <c r="AI648" s="8"/>
    </row>
    <row r="649" spans="1:35" ht="15.75" customHeight="1" x14ac:dyDescent="0.25">
      <c r="A649" s="8"/>
      <c r="B649" s="8"/>
      <c r="C649" s="8"/>
      <c r="D649" s="8"/>
      <c r="E649" s="50"/>
      <c r="F649" s="51"/>
      <c r="G649" s="51"/>
      <c r="H649" s="52"/>
      <c r="I649" s="52"/>
      <c r="J649" s="52"/>
      <c r="K649" s="52"/>
      <c r="L649" s="52"/>
      <c r="M649" s="48"/>
      <c r="N649" s="52"/>
      <c r="O649" s="5"/>
      <c r="P649" s="22"/>
      <c r="Q649" s="8"/>
      <c r="R649" s="8"/>
      <c r="S649" s="8"/>
      <c r="T649" s="8"/>
      <c r="U649" s="8"/>
      <c r="V649" s="8"/>
      <c r="W649" s="8"/>
      <c r="X649" s="8"/>
      <c r="Y649" s="8"/>
      <c r="Z649" s="8"/>
      <c r="AA649" s="8"/>
      <c r="AB649" s="8"/>
      <c r="AC649" s="8"/>
      <c r="AD649" s="24"/>
      <c r="AE649" s="24"/>
      <c r="AF649" s="8"/>
      <c r="AG649" s="8"/>
      <c r="AH649" s="8"/>
      <c r="AI649" s="8"/>
    </row>
    <row r="650" spans="1:35" ht="15.75" customHeight="1" x14ac:dyDescent="0.25">
      <c r="A650" s="8"/>
      <c r="B650" s="8"/>
      <c r="C650" s="8"/>
      <c r="D650" s="8"/>
      <c r="E650" s="50"/>
      <c r="F650" s="51"/>
      <c r="G650" s="51"/>
      <c r="H650" s="52"/>
      <c r="I650" s="52"/>
      <c r="J650" s="52"/>
      <c r="K650" s="52"/>
      <c r="L650" s="52"/>
      <c r="M650" s="48"/>
      <c r="N650" s="52"/>
      <c r="O650" s="5"/>
      <c r="P650" s="22"/>
      <c r="Q650" s="8"/>
      <c r="R650" s="8"/>
      <c r="S650" s="8"/>
      <c r="T650" s="8"/>
      <c r="U650" s="8"/>
      <c r="V650" s="8"/>
      <c r="W650" s="8"/>
      <c r="X650" s="8"/>
      <c r="Y650" s="8"/>
      <c r="Z650" s="8"/>
      <c r="AA650" s="8"/>
      <c r="AB650" s="8"/>
      <c r="AC650" s="8"/>
      <c r="AD650" s="24"/>
      <c r="AE650" s="24"/>
      <c r="AF650" s="8"/>
      <c r="AG650" s="8"/>
      <c r="AH650" s="8"/>
      <c r="AI650" s="8"/>
    </row>
    <row r="651" spans="1:35" ht="15.75" customHeight="1" x14ac:dyDescent="0.25">
      <c r="A651" s="8"/>
      <c r="B651" s="8"/>
      <c r="C651" s="8"/>
      <c r="D651" s="8"/>
      <c r="E651" s="50"/>
      <c r="F651" s="51"/>
      <c r="G651" s="51"/>
      <c r="H651" s="52"/>
      <c r="I651" s="52"/>
      <c r="J651" s="52"/>
      <c r="K651" s="52"/>
      <c r="L651" s="52"/>
      <c r="M651" s="48"/>
      <c r="N651" s="52"/>
      <c r="O651" s="5"/>
      <c r="P651" s="22"/>
      <c r="Q651" s="8"/>
      <c r="R651" s="8"/>
      <c r="S651" s="8"/>
      <c r="T651" s="8"/>
      <c r="U651" s="8"/>
      <c r="V651" s="8"/>
      <c r="W651" s="8"/>
      <c r="X651" s="8"/>
      <c r="Y651" s="8"/>
      <c r="Z651" s="8"/>
      <c r="AA651" s="8"/>
      <c r="AB651" s="8"/>
      <c r="AC651" s="8"/>
      <c r="AD651" s="24"/>
      <c r="AE651" s="24"/>
      <c r="AF651" s="8"/>
      <c r="AG651" s="8"/>
      <c r="AH651" s="8"/>
      <c r="AI651" s="8"/>
    </row>
    <row r="652" spans="1:35" ht="15.75" customHeight="1" x14ac:dyDescent="0.25">
      <c r="A652" s="8"/>
      <c r="B652" s="8"/>
      <c r="C652" s="8"/>
      <c r="D652" s="8"/>
      <c r="E652" s="50"/>
      <c r="F652" s="51"/>
      <c r="G652" s="51"/>
      <c r="H652" s="52"/>
      <c r="I652" s="52"/>
      <c r="J652" s="52"/>
      <c r="K652" s="52"/>
      <c r="L652" s="52"/>
      <c r="M652" s="48"/>
      <c r="N652" s="52"/>
      <c r="O652" s="5"/>
      <c r="P652" s="22"/>
      <c r="Q652" s="8"/>
      <c r="R652" s="8"/>
      <c r="S652" s="8"/>
      <c r="T652" s="8"/>
      <c r="U652" s="8"/>
      <c r="V652" s="8"/>
      <c r="W652" s="8"/>
      <c r="X652" s="8"/>
      <c r="Y652" s="8"/>
      <c r="Z652" s="8"/>
      <c r="AA652" s="8"/>
      <c r="AB652" s="8"/>
      <c r="AC652" s="8"/>
      <c r="AD652" s="24"/>
      <c r="AE652" s="24"/>
      <c r="AF652" s="8"/>
      <c r="AG652" s="8"/>
      <c r="AH652" s="8"/>
      <c r="AI652" s="8"/>
    </row>
    <row r="653" spans="1:35" ht="15.75" customHeight="1" x14ac:dyDescent="0.25">
      <c r="A653" s="8"/>
      <c r="B653" s="8"/>
      <c r="C653" s="8"/>
      <c r="D653" s="8"/>
      <c r="E653" s="50"/>
      <c r="F653" s="51"/>
      <c r="G653" s="51"/>
      <c r="H653" s="52"/>
      <c r="I653" s="52"/>
      <c r="J653" s="52"/>
      <c r="K653" s="52"/>
      <c r="L653" s="52"/>
      <c r="M653" s="48"/>
      <c r="N653" s="52"/>
      <c r="O653" s="5"/>
      <c r="P653" s="22"/>
      <c r="Q653" s="8"/>
      <c r="R653" s="8"/>
      <c r="S653" s="8"/>
      <c r="T653" s="8"/>
      <c r="U653" s="8"/>
      <c r="V653" s="8"/>
      <c r="W653" s="8"/>
      <c r="X653" s="8"/>
      <c r="Y653" s="8"/>
      <c r="Z653" s="8"/>
      <c r="AA653" s="8"/>
      <c r="AB653" s="8"/>
      <c r="AC653" s="8"/>
      <c r="AD653" s="24"/>
      <c r="AE653" s="24"/>
      <c r="AF653" s="8"/>
      <c r="AG653" s="8"/>
      <c r="AH653" s="8"/>
      <c r="AI653" s="8"/>
    </row>
    <row r="654" spans="1:35" ht="15.75" customHeight="1" x14ac:dyDescent="0.25">
      <c r="A654" s="8"/>
      <c r="B654" s="8"/>
      <c r="C654" s="8"/>
      <c r="D654" s="8"/>
      <c r="E654" s="50"/>
      <c r="F654" s="51"/>
      <c r="G654" s="51"/>
      <c r="H654" s="52"/>
      <c r="I654" s="52"/>
      <c r="J654" s="52"/>
      <c r="K654" s="52"/>
      <c r="L654" s="52"/>
      <c r="M654" s="52"/>
      <c r="N654" s="52"/>
      <c r="O654" s="5"/>
      <c r="P654" s="22"/>
      <c r="Q654" s="8"/>
      <c r="R654" s="8"/>
      <c r="S654" s="8"/>
      <c r="T654" s="8"/>
      <c r="U654" s="8"/>
      <c r="V654" s="8"/>
      <c r="W654" s="8"/>
      <c r="X654" s="8"/>
      <c r="Y654" s="8"/>
      <c r="Z654" s="8"/>
      <c r="AA654" s="8"/>
      <c r="AB654" s="8"/>
      <c r="AC654" s="8"/>
      <c r="AD654" s="24"/>
      <c r="AE654" s="24"/>
      <c r="AF654" s="8"/>
      <c r="AG654" s="8"/>
      <c r="AH654" s="8"/>
      <c r="AI654" s="8"/>
    </row>
    <row r="655" spans="1:35" ht="15.75" customHeight="1" x14ac:dyDescent="0.25">
      <c r="A655" s="8"/>
      <c r="B655" s="8"/>
      <c r="C655" s="8"/>
      <c r="D655" s="8"/>
      <c r="E655" s="50"/>
      <c r="F655" s="51"/>
      <c r="G655" s="51"/>
      <c r="H655" s="52"/>
      <c r="I655" s="52"/>
      <c r="J655" s="52"/>
      <c r="K655" s="52"/>
      <c r="L655" s="52"/>
      <c r="M655" s="48"/>
      <c r="N655" s="52"/>
      <c r="O655" s="5"/>
      <c r="P655" s="22"/>
      <c r="Q655" s="8"/>
      <c r="R655" s="8"/>
      <c r="S655" s="8"/>
      <c r="T655" s="8"/>
      <c r="U655" s="8"/>
      <c r="V655" s="8"/>
      <c r="W655" s="8"/>
      <c r="X655" s="8"/>
      <c r="Y655" s="8"/>
      <c r="Z655" s="8"/>
      <c r="AA655" s="8"/>
      <c r="AB655" s="8"/>
      <c r="AC655" s="8"/>
      <c r="AD655" s="24"/>
      <c r="AE655" s="24"/>
      <c r="AF655" s="8"/>
      <c r="AG655" s="8"/>
      <c r="AH655" s="8"/>
      <c r="AI655" s="8"/>
    </row>
    <row r="656" spans="1:35" ht="15.75" customHeight="1" x14ac:dyDescent="0.25">
      <c r="A656" s="8"/>
      <c r="B656" s="8"/>
      <c r="C656" s="8"/>
      <c r="D656" s="8"/>
      <c r="E656" s="50"/>
      <c r="F656" s="51"/>
      <c r="G656" s="51"/>
      <c r="H656" s="52"/>
      <c r="I656" s="52"/>
      <c r="J656" s="52"/>
      <c r="K656" s="52"/>
      <c r="L656" s="52"/>
      <c r="M656" s="48"/>
      <c r="N656" s="52"/>
      <c r="O656" s="5"/>
      <c r="P656" s="22"/>
      <c r="Q656" s="8"/>
      <c r="R656" s="8"/>
      <c r="S656" s="8"/>
      <c r="T656" s="8"/>
      <c r="U656" s="8"/>
      <c r="V656" s="8"/>
      <c r="W656" s="8"/>
      <c r="X656" s="8"/>
      <c r="Y656" s="8"/>
      <c r="Z656" s="8"/>
      <c r="AA656" s="8"/>
      <c r="AB656" s="8"/>
      <c r="AC656" s="8"/>
      <c r="AD656" s="24"/>
      <c r="AE656" s="24"/>
      <c r="AF656" s="8"/>
      <c r="AG656" s="8"/>
      <c r="AH656" s="8"/>
      <c r="AI656" s="8"/>
    </row>
    <row r="657" spans="1:35" ht="15.75" customHeight="1" x14ac:dyDescent="0.25">
      <c r="A657" s="8"/>
      <c r="B657" s="8"/>
      <c r="C657" s="8"/>
      <c r="D657" s="8"/>
      <c r="E657" s="50"/>
      <c r="F657" s="51"/>
      <c r="G657" s="51"/>
      <c r="H657" s="52"/>
      <c r="I657" s="52"/>
      <c r="J657" s="52"/>
      <c r="K657" s="52"/>
      <c r="L657" s="52"/>
      <c r="M657" s="48"/>
      <c r="N657" s="52"/>
      <c r="O657" s="5"/>
      <c r="P657" s="22"/>
      <c r="Q657" s="8"/>
      <c r="R657" s="8"/>
      <c r="S657" s="8"/>
      <c r="T657" s="8"/>
      <c r="U657" s="8"/>
      <c r="V657" s="8"/>
      <c r="W657" s="8"/>
      <c r="X657" s="8"/>
      <c r="Y657" s="8"/>
      <c r="Z657" s="8"/>
      <c r="AA657" s="8"/>
      <c r="AB657" s="8"/>
      <c r="AC657" s="8"/>
      <c r="AD657" s="24"/>
      <c r="AE657" s="24"/>
      <c r="AF657" s="8"/>
      <c r="AG657" s="8"/>
      <c r="AH657" s="8"/>
      <c r="AI657" s="8"/>
    </row>
    <row r="658" spans="1:35" ht="15.75" customHeight="1" x14ac:dyDescent="0.25">
      <c r="A658" s="8"/>
      <c r="B658" s="8"/>
      <c r="C658" s="8"/>
      <c r="D658" s="8"/>
      <c r="E658" s="50"/>
      <c r="F658" s="51"/>
      <c r="G658" s="51"/>
      <c r="H658" s="52"/>
      <c r="I658" s="52"/>
      <c r="J658" s="52"/>
      <c r="K658" s="52"/>
      <c r="L658" s="52"/>
      <c r="M658" s="52"/>
      <c r="N658" s="52"/>
      <c r="O658" s="5"/>
      <c r="P658" s="22"/>
      <c r="Q658" s="8"/>
      <c r="R658" s="8"/>
      <c r="S658" s="8"/>
      <c r="T658" s="8"/>
      <c r="U658" s="8"/>
      <c r="V658" s="8"/>
      <c r="W658" s="8"/>
      <c r="X658" s="8"/>
      <c r="Y658" s="8"/>
      <c r="Z658" s="8"/>
      <c r="AA658" s="8"/>
      <c r="AB658" s="8"/>
      <c r="AC658" s="8"/>
      <c r="AD658" s="24"/>
      <c r="AE658" s="24"/>
      <c r="AF658" s="8"/>
      <c r="AG658" s="8"/>
      <c r="AH658" s="8"/>
      <c r="AI658" s="8"/>
    </row>
    <row r="659" spans="1:35" ht="15.75" customHeight="1" x14ac:dyDescent="0.25">
      <c r="A659" s="8"/>
      <c r="B659" s="8"/>
      <c r="C659" s="8"/>
      <c r="D659" s="8"/>
      <c r="E659" s="50"/>
      <c r="F659" s="51"/>
      <c r="G659" s="51"/>
      <c r="H659" s="52"/>
      <c r="I659" s="52"/>
      <c r="J659" s="52"/>
      <c r="K659" s="52"/>
      <c r="L659" s="52"/>
      <c r="M659" s="48"/>
      <c r="N659" s="52"/>
      <c r="O659" s="5"/>
      <c r="P659" s="22"/>
      <c r="Q659" s="8"/>
      <c r="R659" s="8"/>
      <c r="S659" s="8"/>
      <c r="T659" s="8"/>
      <c r="U659" s="8"/>
      <c r="V659" s="8"/>
      <c r="W659" s="8"/>
      <c r="X659" s="8"/>
      <c r="Y659" s="8"/>
      <c r="Z659" s="8"/>
      <c r="AA659" s="8"/>
      <c r="AB659" s="8"/>
      <c r="AC659" s="8"/>
      <c r="AD659" s="24"/>
      <c r="AE659" s="24"/>
      <c r="AF659" s="8"/>
      <c r="AG659" s="8"/>
      <c r="AH659" s="8"/>
      <c r="AI659" s="8"/>
    </row>
    <row r="660" spans="1:35" ht="15.75" customHeight="1" x14ac:dyDescent="0.25">
      <c r="A660" s="8"/>
      <c r="B660" s="8"/>
      <c r="C660" s="8"/>
      <c r="D660" s="8"/>
      <c r="E660" s="50"/>
      <c r="F660" s="51"/>
      <c r="G660" s="51"/>
      <c r="H660" s="52"/>
      <c r="I660" s="52"/>
      <c r="J660" s="52"/>
      <c r="K660" s="52"/>
      <c r="L660" s="52"/>
      <c r="M660" s="52"/>
      <c r="N660" s="52"/>
      <c r="O660" s="5"/>
      <c r="P660" s="22"/>
      <c r="Q660" s="8"/>
      <c r="R660" s="8"/>
      <c r="S660" s="8"/>
      <c r="T660" s="8"/>
      <c r="U660" s="8"/>
      <c r="V660" s="8"/>
      <c r="W660" s="8"/>
      <c r="X660" s="8"/>
      <c r="Y660" s="8"/>
      <c r="Z660" s="8"/>
      <c r="AA660" s="8"/>
      <c r="AB660" s="8"/>
      <c r="AC660" s="8"/>
      <c r="AD660" s="24"/>
      <c r="AE660" s="24"/>
      <c r="AF660" s="8"/>
      <c r="AG660" s="8"/>
      <c r="AH660" s="8"/>
      <c r="AI660" s="8"/>
    </row>
    <row r="661" spans="1:35" ht="15.75" customHeight="1" x14ac:dyDescent="0.25">
      <c r="A661" s="8"/>
      <c r="B661" s="8"/>
      <c r="C661" s="8"/>
      <c r="D661" s="8"/>
      <c r="E661" s="50"/>
      <c r="F661" s="51"/>
      <c r="G661" s="51"/>
      <c r="H661" s="52"/>
      <c r="I661" s="52"/>
      <c r="J661" s="52"/>
      <c r="K661" s="52"/>
      <c r="L661" s="52"/>
      <c r="M661" s="48"/>
      <c r="N661" s="52"/>
      <c r="O661" s="5"/>
      <c r="P661" s="22"/>
      <c r="Q661" s="8"/>
      <c r="R661" s="8"/>
      <c r="S661" s="8"/>
      <c r="T661" s="8"/>
      <c r="U661" s="8"/>
      <c r="V661" s="8"/>
      <c r="W661" s="8"/>
      <c r="X661" s="8"/>
      <c r="Y661" s="8"/>
      <c r="Z661" s="8"/>
      <c r="AA661" s="8"/>
      <c r="AB661" s="8"/>
      <c r="AC661" s="8"/>
      <c r="AD661" s="24"/>
      <c r="AE661" s="24"/>
      <c r="AF661" s="8"/>
      <c r="AG661" s="8"/>
      <c r="AH661" s="8"/>
      <c r="AI661" s="8"/>
    </row>
    <row r="662" spans="1:35" ht="15.75" customHeight="1" x14ac:dyDescent="0.25">
      <c r="A662" s="8"/>
      <c r="B662" s="8"/>
      <c r="C662" s="8"/>
      <c r="D662" s="8"/>
      <c r="E662" s="50"/>
      <c r="F662" s="51"/>
      <c r="G662" s="51"/>
      <c r="H662" s="52"/>
      <c r="I662" s="52"/>
      <c r="J662" s="52"/>
      <c r="K662" s="52"/>
      <c r="L662" s="52"/>
      <c r="M662" s="52"/>
      <c r="N662" s="52"/>
      <c r="O662" s="5"/>
      <c r="P662" s="22"/>
      <c r="Q662" s="8"/>
      <c r="R662" s="8"/>
      <c r="S662" s="8"/>
      <c r="T662" s="8"/>
      <c r="U662" s="8"/>
      <c r="V662" s="8"/>
      <c r="W662" s="8"/>
      <c r="X662" s="8"/>
      <c r="Y662" s="8"/>
      <c r="Z662" s="8"/>
      <c r="AA662" s="8"/>
      <c r="AB662" s="8"/>
      <c r="AC662" s="8"/>
      <c r="AD662" s="24"/>
      <c r="AE662" s="24"/>
      <c r="AF662" s="8"/>
      <c r="AG662" s="8"/>
      <c r="AH662" s="8"/>
      <c r="AI662" s="8"/>
    </row>
    <row r="663" spans="1:35" ht="15.75" customHeight="1" x14ac:dyDescent="0.25">
      <c r="A663" s="8"/>
      <c r="B663" s="8"/>
      <c r="C663" s="8"/>
      <c r="D663" s="8"/>
      <c r="E663" s="50"/>
      <c r="F663" s="51"/>
      <c r="G663" s="51"/>
      <c r="H663" s="52"/>
      <c r="I663" s="52"/>
      <c r="J663" s="52"/>
      <c r="K663" s="52"/>
      <c r="L663" s="52"/>
      <c r="M663" s="48"/>
      <c r="N663" s="52"/>
      <c r="O663" s="5"/>
      <c r="P663" s="22"/>
      <c r="Q663" s="8"/>
      <c r="R663" s="8"/>
      <c r="S663" s="8"/>
      <c r="T663" s="8"/>
      <c r="U663" s="8"/>
      <c r="V663" s="8"/>
      <c r="W663" s="8"/>
      <c r="X663" s="8"/>
      <c r="Y663" s="8"/>
      <c r="Z663" s="8"/>
      <c r="AA663" s="8"/>
      <c r="AB663" s="8"/>
      <c r="AC663" s="8"/>
      <c r="AD663" s="24"/>
      <c r="AE663" s="24"/>
      <c r="AF663" s="8"/>
      <c r="AG663" s="8"/>
      <c r="AH663" s="8"/>
      <c r="AI663" s="8"/>
    </row>
    <row r="664" spans="1:35" ht="15.75" customHeight="1" x14ac:dyDescent="0.25">
      <c r="A664" s="8"/>
      <c r="B664" s="8"/>
      <c r="C664" s="8"/>
      <c r="D664" s="8"/>
      <c r="E664" s="50"/>
      <c r="F664" s="51"/>
      <c r="G664" s="51"/>
      <c r="H664" s="52"/>
      <c r="I664" s="52"/>
      <c r="J664" s="52"/>
      <c r="K664" s="52"/>
      <c r="L664" s="52"/>
      <c r="M664" s="48"/>
      <c r="N664" s="52"/>
      <c r="O664" s="5"/>
      <c r="P664" s="22"/>
      <c r="Q664" s="8"/>
      <c r="R664" s="8"/>
      <c r="S664" s="8"/>
      <c r="T664" s="8"/>
      <c r="U664" s="8"/>
      <c r="V664" s="8"/>
      <c r="W664" s="8"/>
      <c r="X664" s="8"/>
      <c r="Y664" s="8"/>
      <c r="Z664" s="8"/>
      <c r="AA664" s="8"/>
      <c r="AB664" s="8"/>
      <c r="AC664" s="8"/>
      <c r="AD664" s="24"/>
      <c r="AE664" s="24"/>
      <c r="AF664" s="8"/>
      <c r="AG664" s="8"/>
      <c r="AH664" s="8"/>
      <c r="AI664" s="8"/>
    </row>
    <row r="665" spans="1:35" ht="15.75" customHeight="1" x14ac:dyDescent="0.25">
      <c r="A665" s="8"/>
      <c r="B665" s="8"/>
      <c r="C665" s="8"/>
      <c r="D665" s="8"/>
      <c r="E665" s="50"/>
      <c r="F665" s="51"/>
      <c r="G665" s="51"/>
      <c r="H665" s="52"/>
      <c r="I665" s="52"/>
      <c r="J665" s="52"/>
      <c r="K665" s="52"/>
      <c r="L665" s="52"/>
      <c r="M665" s="48"/>
      <c r="N665" s="52"/>
      <c r="O665" s="5"/>
      <c r="P665" s="22"/>
      <c r="Q665" s="8"/>
      <c r="R665" s="8"/>
      <c r="S665" s="8"/>
      <c r="T665" s="8"/>
      <c r="U665" s="8"/>
      <c r="V665" s="8"/>
      <c r="W665" s="8"/>
      <c r="X665" s="8"/>
      <c r="Y665" s="8"/>
      <c r="Z665" s="8"/>
      <c r="AA665" s="8"/>
      <c r="AB665" s="8"/>
      <c r="AC665" s="8"/>
      <c r="AD665" s="24"/>
      <c r="AE665" s="24"/>
      <c r="AF665" s="8"/>
      <c r="AG665" s="8"/>
      <c r="AH665" s="8"/>
      <c r="AI665" s="8"/>
    </row>
    <row r="666" spans="1:35" ht="15.75" customHeight="1" x14ac:dyDescent="0.25">
      <c r="A666" s="8"/>
      <c r="B666" s="8"/>
      <c r="C666" s="8"/>
      <c r="D666" s="8"/>
      <c r="E666" s="50"/>
      <c r="F666" s="51"/>
      <c r="G666" s="51"/>
      <c r="H666" s="52"/>
      <c r="I666" s="52"/>
      <c r="J666" s="52"/>
      <c r="K666" s="52"/>
      <c r="L666" s="52"/>
      <c r="M666" s="48"/>
      <c r="N666" s="52"/>
      <c r="O666" s="5"/>
      <c r="P666" s="22"/>
      <c r="Q666" s="8"/>
      <c r="R666" s="8"/>
      <c r="S666" s="8"/>
      <c r="T666" s="8"/>
      <c r="U666" s="8"/>
      <c r="V666" s="8"/>
      <c r="W666" s="8"/>
      <c r="X666" s="8"/>
      <c r="Y666" s="8"/>
      <c r="Z666" s="8"/>
      <c r="AA666" s="8"/>
      <c r="AB666" s="8"/>
      <c r="AC666" s="8"/>
      <c r="AD666" s="24"/>
      <c r="AE666" s="24"/>
      <c r="AF666" s="8"/>
      <c r="AG666" s="8"/>
      <c r="AH666" s="8"/>
      <c r="AI666" s="8"/>
    </row>
    <row r="667" spans="1:35" ht="15.75" customHeight="1" x14ac:dyDescent="0.25">
      <c r="A667" s="8"/>
      <c r="B667" s="8"/>
      <c r="C667" s="8"/>
      <c r="D667" s="8"/>
      <c r="E667" s="50"/>
      <c r="F667" s="51"/>
      <c r="G667" s="51"/>
      <c r="H667" s="52"/>
      <c r="I667" s="52"/>
      <c r="J667" s="52"/>
      <c r="K667" s="52"/>
      <c r="L667" s="52"/>
      <c r="M667" s="48"/>
      <c r="N667" s="52"/>
      <c r="O667" s="5"/>
      <c r="P667" s="22"/>
      <c r="Q667" s="8"/>
      <c r="R667" s="8"/>
      <c r="S667" s="8"/>
      <c r="T667" s="8"/>
      <c r="U667" s="8"/>
      <c r="V667" s="8"/>
      <c r="W667" s="8"/>
      <c r="X667" s="8"/>
      <c r="Y667" s="8"/>
      <c r="Z667" s="8"/>
      <c r="AA667" s="8"/>
      <c r="AB667" s="8"/>
      <c r="AC667" s="8"/>
      <c r="AD667" s="24"/>
      <c r="AE667" s="24"/>
      <c r="AF667" s="8"/>
      <c r="AG667" s="8"/>
      <c r="AH667" s="8"/>
      <c r="AI667" s="8"/>
    </row>
    <row r="668" spans="1:35" ht="15.75" customHeight="1" x14ac:dyDescent="0.25">
      <c r="A668" s="8"/>
      <c r="B668" s="8"/>
      <c r="C668" s="8"/>
      <c r="D668" s="8"/>
      <c r="E668" s="50"/>
      <c r="F668" s="51"/>
      <c r="G668" s="51"/>
      <c r="H668" s="52"/>
      <c r="I668" s="52"/>
      <c r="J668" s="52"/>
      <c r="K668" s="52"/>
      <c r="L668" s="52"/>
      <c r="M668" s="52"/>
      <c r="N668" s="52"/>
      <c r="O668" s="5"/>
      <c r="P668" s="22"/>
      <c r="Q668" s="8"/>
      <c r="R668" s="8"/>
      <c r="S668" s="8"/>
      <c r="T668" s="8"/>
      <c r="U668" s="8"/>
      <c r="V668" s="8"/>
      <c r="W668" s="8"/>
      <c r="X668" s="8"/>
      <c r="Y668" s="8"/>
      <c r="Z668" s="8"/>
      <c r="AA668" s="8"/>
      <c r="AB668" s="8"/>
      <c r="AC668" s="8"/>
      <c r="AD668" s="24"/>
      <c r="AE668" s="24"/>
      <c r="AF668" s="8"/>
      <c r="AG668" s="8"/>
      <c r="AH668" s="8"/>
      <c r="AI668" s="8"/>
    </row>
    <row r="669" spans="1:35" ht="15.75" customHeight="1" x14ac:dyDescent="0.25">
      <c r="A669" s="8"/>
      <c r="B669" s="8"/>
      <c r="C669" s="8"/>
      <c r="D669" s="8"/>
      <c r="E669" s="50"/>
      <c r="F669" s="51"/>
      <c r="G669" s="51"/>
      <c r="H669" s="52"/>
      <c r="I669" s="52"/>
      <c r="J669" s="52"/>
      <c r="K669" s="52"/>
      <c r="L669" s="52"/>
      <c r="M669" s="52"/>
      <c r="N669" s="52"/>
      <c r="O669" s="5"/>
      <c r="P669" s="22"/>
      <c r="Q669" s="8"/>
      <c r="R669" s="8"/>
      <c r="S669" s="8"/>
      <c r="T669" s="8"/>
      <c r="U669" s="8"/>
      <c r="V669" s="8"/>
      <c r="W669" s="8"/>
      <c r="X669" s="8"/>
      <c r="Y669" s="8"/>
      <c r="Z669" s="8"/>
      <c r="AA669" s="8"/>
      <c r="AB669" s="8"/>
      <c r="AC669" s="8"/>
      <c r="AD669" s="24"/>
      <c r="AE669" s="24"/>
      <c r="AF669" s="8"/>
      <c r="AG669" s="8"/>
      <c r="AH669" s="8"/>
      <c r="AI669" s="8"/>
    </row>
    <row r="670" spans="1:35" ht="15.75" customHeight="1" x14ac:dyDescent="0.25">
      <c r="A670" s="8"/>
      <c r="B670" s="8"/>
      <c r="C670" s="8"/>
      <c r="D670" s="8"/>
      <c r="E670" s="50"/>
      <c r="F670" s="51"/>
      <c r="G670" s="51"/>
      <c r="H670" s="52"/>
      <c r="I670" s="52"/>
      <c r="J670" s="52"/>
      <c r="K670" s="52"/>
      <c r="L670" s="52"/>
      <c r="M670" s="48"/>
      <c r="N670" s="52"/>
      <c r="O670" s="5"/>
      <c r="P670" s="22"/>
      <c r="Q670" s="8"/>
      <c r="R670" s="8"/>
      <c r="S670" s="8"/>
      <c r="T670" s="8"/>
      <c r="U670" s="8"/>
      <c r="V670" s="8"/>
      <c r="W670" s="8"/>
      <c r="X670" s="8"/>
      <c r="Y670" s="8"/>
      <c r="Z670" s="8"/>
      <c r="AA670" s="8"/>
      <c r="AB670" s="8"/>
      <c r="AC670" s="8"/>
      <c r="AD670" s="24"/>
      <c r="AE670" s="24"/>
      <c r="AF670" s="8"/>
      <c r="AG670" s="8"/>
      <c r="AH670" s="8"/>
      <c r="AI670" s="8"/>
    </row>
    <row r="671" spans="1:35" ht="15.75" customHeight="1" x14ac:dyDescent="0.25">
      <c r="A671" s="8"/>
      <c r="B671" s="8"/>
      <c r="C671" s="8"/>
      <c r="D671" s="8"/>
      <c r="E671" s="50"/>
      <c r="F671" s="51"/>
      <c r="G671" s="51"/>
      <c r="H671" s="52"/>
      <c r="I671" s="52"/>
      <c r="J671" s="52"/>
      <c r="K671" s="52"/>
      <c r="L671" s="52"/>
      <c r="M671" s="52"/>
      <c r="N671" s="52"/>
      <c r="O671" s="5"/>
      <c r="P671" s="22"/>
      <c r="Q671" s="8"/>
      <c r="R671" s="8"/>
      <c r="S671" s="8"/>
      <c r="T671" s="8"/>
      <c r="U671" s="8"/>
      <c r="V671" s="8"/>
      <c r="W671" s="8"/>
      <c r="X671" s="8"/>
      <c r="Y671" s="8"/>
      <c r="Z671" s="8"/>
      <c r="AA671" s="8"/>
      <c r="AB671" s="8"/>
      <c r="AC671" s="8"/>
      <c r="AD671" s="24"/>
      <c r="AE671" s="24"/>
      <c r="AF671" s="8"/>
      <c r="AG671" s="8"/>
      <c r="AH671" s="8"/>
      <c r="AI671" s="8"/>
    </row>
    <row r="672" spans="1:35" ht="15.75" customHeight="1" x14ac:dyDescent="0.25">
      <c r="A672" s="8"/>
      <c r="B672" s="8"/>
      <c r="C672" s="8"/>
      <c r="D672" s="8"/>
      <c r="E672" s="50"/>
      <c r="F672" s="51"/>
      <c r="G672" s="51"/>
      <c r="H672" s="52"/>
      <c r="I672" s="52"/>
      <c r="J672" s="52"/>
      <c r="K672" s="52"/>
      <c r="L672" s="52"/>
      <c r="M672" s="52"/>
      <c r="N672" s="52"/>
      <c r="O672" s="5"/>
      <c r="P672" s="22"/>
      <c r="Q672" s="8"/>
      <c r="R672" s="8"/>
      <c r="S672" s="8"/>
      <c r="T672" s="8"/>
      <c r="U672" s="8"/>
      <c r="V672" s="8"/>
      <c r="W672" s="8"/>
      <c r="X672" s="8"/>
      <c r="Y672" s="8"/>
      <c r="Z672" s="8"/>
      <c r="AA672" s="8"/>
      <c r="AB672" s="8"/>
      <c r="AC672" s="8"/>
      <c r="AD672" s="24"/>
      <c r="AE672" s="24"/>
      <c r="AF672" s="8"/>
      <c r="AG672" s="8"/>
      <c r="AH672" s="8"/>
      <c r="AI672" s="8"/>
    </row>
    <row r="673" spans="1:35" ht="15.75" customHeight="1" x14ac:dyDescent="0.25">
      <c r="A673" s="8"/>
      <c r="B673" s="8"/>
      <c r="C673" s="8"/>
      <c r="D673" s="8"/>
      <c r="E673" s="50"/>
      <c r="F673" s="51"/>
      <c r="G673" s="51"/>
      <c r="H673" s="52"/>
      <c r="I673" s="52"/>
      <c r="J673" s="52"/>
      <c r="K673" s="52"/>
      <c r="L673" s="52"/>
      <c r="M673" s="48"/>
      <c r="N673" s="52"/>
      <c r="O673" s="5"/>
      <c r="P673" s="22"/>
      <c r="Q673" s="8"/>
      <c r="R673" s="8"/>
      <c r="S673" s="8"/>
      <c r="T673" s="8"/>
      <c r="U673" s="8"/>
      <c r="V673" s="8"/>
      <c r="W673" s="8"/>
      <c r="X673" s="8"/>
      <c r="Y673" s="8"/>
      <c r="Z673" s="8"/>
      <c r="AA673" s="8"/>
      <c r="AB673" s="8"/>
      <c r="AC673" s="8"/>
      <c r="AD673" s="24"/>
      <c r="AE673" s="24"/>
      <c r="AF673" s="8"/>
      <c r="AG673" s="8"/>
      <c r="AH673" s="8"/>
      <c r="AI673" s="8"/>
    </row>
    <row r="674" spans="1:35" ht="15.75" customHeight="1" x14ac:dyDescent="0.25">
      <c r="A674" s="8"/>
      <c r="B674" s="8"/>
      <c r="C674" s="8"/>
      <c r="D674" s="8"/>
      <c r="E674" s="50"/>
      <c r="F674" s="51"/>
      <c r="G674" s="51"/>
      <c r="H674" s="52"/>
      <c r="I674" s="52"/>
      <c r="J674" s="52"/>
      <c r="K674" s="52"/>
      <c r="L674" s="52"/>
      <c r="M674" s="48"/>
      <c r="N674" s="52"/>
      <c r="O674" s="5"/>
      <c r="P674" s="22"/>
      <c r="Q674" s="8"/>
      <c r="R674" s="8"/>
      <c r="S674" s="8"/>
      <c r="T674" s="8"/>
      <c r="U674" s="8"/>
      <c r="V674" s="8"/>
      <c r="W674" s="8"/>
      <c r="X674" s="8"/>
      <c r="Y674" s="8"/>
      <c r="Z674" s="8"/>
      <c r="AA674" s="8"/>
      <c r="AB674" s="8"/>
      <c r="AC674" s="8"/>
      <c r="AD674" s="24"/>
      <c r="AE674" s="24"/>
      <c r="AF674" s="8"/>
      <c r="AG674" s="8"/>
      <c r="AH674" s="8"/>
      <c r="AI674" s="8"/>
    </row>
    <row r="675" spans="1:35" ht="15.75" customHeight="1" x14ac:dyDescent="0.25">
      <c r="A675" s="8"/>
      <c r="B675" s="8"/>
      <c r="C675" s="8"/>
      <c r="D675" s="8"/>
      <c r="E675" s="50"/>
      <c r="F675" s="51"/>
      <c r="G675" s="51"/>
      <c r="H675" s="52"/>
      <c r="I675" s="52"/>
      <c r="J675" s="52"/>
      <c r="K675" s="52"/>
      <c r="L675" s="52"/>
      <c r="M675" s="52"/>
      <c r="N675" s="52"/>
      <c r="O675" s="5"/>
      <c r="P675" s="22"/>
      <c r="Q675" s="8"/>
      <c r="R675" s="8"/>
      <c r="S675" s="8"/>
      <c r="T675" s="8"/>
      <c r="U675" s="8"/>
      <c r="V675" s="8"/>
      <c r="W675" s="8"/>
      <c r="X675" s="8"/>
      <c r="Y675" s="8"/>
      <c r="Z675" s="8"/>
      <c r="AA675" s="8"/>
      <c r="AB675" s="8"/>
      <c r="AC675" s="8"/>
      <c r="AD675" s="24"/>
      <c r="AE675" s="24"/>
      <c r="AF675" s="8"/>
      <c r="AG675" s="8"/>
      <c r="AH675" s="8"/>
      <c r="AI675" s="8"/>
    </row>
    <row r="676" spans="1:35" ht="15.75" customHeight="1" x14ac:dyDescent="0.25">
      <c r="A676" s="8"/>
      <c r="B676" s="8"/>
      <c r="C676" s="8"/>
      <c r="D676" s="8"/>
      <c r="E676" s="50"/>
      <c r="F676" s="51"/>
      <c r="G676" s="51"/>
      <c r="H676" s="52"/>
      <c r="I676" s="52"/>
      <c r="J676" s="52"/>
      <c r="K676" s="52"/>
      <c r="L676" s="52"/>
      <c r="M676" s="48"/>
      <c r="N676" s="52"/>
      <c r="O676" s="5"/>
      <c r="P676" s="22"/>
      <c r="Q676" s="8"/>
      <c r="R676" s="8"/>
      <c r="S676" s="8"/>
      <c r="T676" s="8"/>
      <c r="U676" s="8"/>
      <c r="V676" s="8"/>
      <c r="W676" s="8"/>
      <c r="X676" s="8"/>
      <c r="Y676" s="8"/>
      <c r="Z676" s="8"/>
      <c r="AA676" s="8"/>
      <c r="AB676" s="8"/>
      <c r="AC676" s="8"/>
      <c r="AD676" s="24"/>
      <c r="AE676" s="24"/>
      <c r="AF676" s="8"/>
      <c r="AG676" s="8"/>
      <c r="AH676" s="8"/>
      <c r="AI676" s="8"/>
    </row>
    <row r="677" spans="1:35" ht="15.75" customHeight="1" x14ac:dyDescent="0.25">
      <c r="A677" s="8"/>
      <c r="B677" s="8"/>
      <c r="C677" s="8"/>
      <c r="D677" s="8"/>
      <c r="E677" s="50"/>
      <c r="F677" s="51"/>
      <c r="G677" s="51"/>
      <c r="H677" s="52"/>
      <c r="I677" s="52"/>
      <c r="J677" s="52"/>
      <c r="K677" s="52"/>
      <c r="L677" s="52"/>
      <c r="M677" s="48"/>
      <c r="N677" s="52"/>
      <c r="O677" s="5"/>
      <c r="P677" s="22"/>
      <c r="Q677" s="8"/>
      <c r="R677" s="8"/>
      <c r="S677" s="8"/>
      <c r="T677" s="8"/>
      <c r="U677" s="8"/>
      <c r="V677" s="8"/>
      <c r="W677" s="8"/>
      <c r="X677" s="8"/>
      <c r="Y677" s="8"/>
      <c r="Z677" s="8"/>
      <c r="AA677" s="8"/>
      <c r="AB677" s="8"/>
      <c r="AC677" s="8"/>
      <c r="AD677" s="24"/>
      <c r="AE677" s="24"/>
      <c r="AF677" s="8"/>
      <c r="AG677" s="8"/>
      <c r="AH677" s="8"/>
      <c r="AI677" s="8"/>
    </row>
    <row r="678" spans="1:35" ht="15.75" customHeight="1" x14ac:dyDescent="0.25">
      <c r="A678" s="8"/>
      <c r="B678" s="8"/>
      <c r="C678" s="8"/>
      <c r="D678" s="8"/>
      <c r="E678" s="50"/>
      <c r="F678" s="51"/>
      <c r="G678" s="51"/>
      <c r="H678" s="52"/>
      <c r="I678" s="52"/>
      <c r="J678" s="52"/>
      <c r="K678" s="52"/>
      <c r="L678" s="52"/>
      <c r="M678" s="52"/>
      <c r="N678" s="52"/>
      <c r="O678" s="5"/>
      <c r="P678" s="22"/>
      <c r="Q678" s="8"/>
      <c r="R678" s="8"/>
      <c r="S678" s="8"/>
      <c r="T678" s="8"/>
      <c r="U678" s="8"/>
      <c r="V678" s="8"/>
      <c r="W678" s="8"/>
      <c r="X678" s="8"/>
      <c r="Y678" s="8"/>
      <c r="Z678" s="8"/>
      <c r="AA678" s="8"/>
      <c r="AB678" s="8"/>
      <c r="AC678" s="8"/>
      <c r="AD678" s="24"/>
      <c r="AE678" s="24"/>
      <c r="AF678" s="8"/>
      <c r="AG678" s="8"/>
      <c r="AH678" s="8"/>
      <c r="AI678" s="8"/>
    </row>
    <row r="679" spans="1:35" ht="15.75" customHeight="1" x14ac:dyDescent="0.25">
      <c r="A679" s="8"/>
      <c r="B679" s="8"/>
      <c r="C679" s="8"/>
      <c r="D679" s="8"/>
      <c r="E679" s="50"/>
      <c r="F679" s="51"/>
      <c r="G679" s="51"/>
      <c r="H679" s="52"/>
      <c r="I679" s="52"/>
      <c r="J679" s="52"/>
      <c r="K679" s="52"/>
      <c r="L679" s="52"/>
      <c r="M679" s="48"/>
      <c r="N679" s="52"/>
      <c r="O679" s="5"/>
      <c r="P679" s="22"/>
      <c r="Q679" s="8"/>
      <c r="R679" s="8"/>
      <c r="S679" s="8"/>
      <c r="T679" s="8"/>
      <c r="U679" s="8"/>
      <c r="V679" s="8"/>
      <c r="W679" s="8"/>
      <c r="X679" s="8"/>
      <c r="Y679" s="8"/>
      <c r="Z679" s="8"/>
      <c r="AA679" s="8"/>
      <c r="AB679" s="8"/>
      <c r="AC679" s="8"/>
      <c r="AD679" s="24"/>
      <c r="AE679" s="24"/>
      <c r="AF679" s="8"/>
      <c r="AG679" s="8"/>
      <c r="AH679" s="8"/>
      <c r="AI679" s="8"/>
    </row>
    <row r="680" spans="1:35" ht="15.75" customHeight="1" x14ac:dyDescent="0.25">
      <c r="A680" s="8"/>
      <c r="B680" s="8"/>
      <c r="C680" s="8"/>
      <c r="D680" s="8"/>
      <c r="E680" s="50"/>
      <c r="F680" s="51"/>
      <c r="G680" s="51"/>
      <c r="H680" s="52"/>
      <c r="I680" s="52"/>
      <c r="J680" s="52"/>
      <c r="K680" s="52"/>
      <c r="L680" s="52"/>
      <c r="M680" s="48"/>
      <c r="N680" s="52"/>
      <c r="O680" s="5"/>
      <c r="P680" s="22"/>
      <c r="Q680" s="8"/>
      <c r="R680" s="8"/>
      <c r="S680" s="8"/>
      <c r="T680" s="8"/>
      <c r="U680" s="8"/>
      <c r="V680" s="8"/>
      <c r="W680" s="8"/>
      <c r="X680" s="8"/>
      <c r="Y680" s="8"/>
      <c r="Z680" s="8"/>
      <c r="AA680" s="8"/>
      <c r="AB680" s="8"/>
      <c r="AC680" s="8"/>
      <c r="AD680" s="24"/>
      <c r="AE680" s="24"/>
      <c r="AF680" s="8"/>
      <c r="AG680" s="8"/>
      <c r="AH680" s="8"/>
      <c r="AI680" s="8"/>
    </row>
    <row r="681" spans="1:35" ht="15.75" customHeight="1" x14ac:dyDescent="0.25">
      <c r="A681" s="8"/>
      <c r="B681" s="8"/>
      <c r="C681" s="8"/>
      <c r="D681" s="8"/>
      <c r="E681" s="50"/>
      <c r="F681" s="51"/>
      <c r="G681" s="51"/>
      <c r="H681" s="52"/>
      <c r="I681" s="52"/>
      <c r="J681" s="52"/>
      <c r="K681" s="52"/>
      <c r="L681" s="52"/>
      <c r="M681" s="48"/>
      <c r="N681" s="52"/>
      <c r="O681" s="5"/>
      <c r="P681" s="22"/>
      <c r="Q681" s="8"/>
      <c r="R681" s="8"/>
      <c r="S681" s="8"/>
      <c r="T681" s="8"/>
      <c r="U681" s="8"/>
      <c r="V681" s="8"/>
      <c r="W681" s="8"/>
      <c r="X681" s="8"/>
      <c r="Y681" s="8"/>
      <c r="Z681" s="8"/>
      <c r="AA681" s="8"/>
      <c r="AB681" s="8"/>
      <c r="AC681" s="8"/>
      <c r="AD681" s="24"/>
      <c r="AE681" s="24"/>
      <c r="AF681" s="8"/>
      <c r="AG681" s="8"/>
      <c r="AH681" s="8"/>
      <c r="AI681" s="8"/>
    </row>
    <row r="682" spans="1:35" ht="15.75" customHeight="1" x14ac:dyDescent="0.25">
      <c r="A682" s="8"/>
      <c r="B682" s="8"/>
      <c r="C682" s="8"/>
      <c r="D682" s="8"/>
      <c r="E682" s="50"/>
      <c r="F682" s="51"/>
      <c r="G682" s="51"/>
      <c r="H682" s="52"/>
      <c r="I682" s="52"/>
      <c r="J682" s="52"/>
      <c r="K682" s="52"/>
      <c r="L682" s="52"/>
      <c r="M682" s="48"/>
      <c r="N682" s="52"/>
      <c r="O682" s="5"/>
      <c r="P682" s="22"/>
      <c r="Q682" s="8"/>
      <c r="R682" s="8"/>
      <c r="S682" s="8"/>
      <c r="T682" s="8"/>
      <c r="U682" s="8"/>
      <c r="V682" s="8"/>
      <c r="W682" s="8"/>
      <c r="X682" s="8"/>
      <c r="Y682" s="8"/>
      <c r="Z682" s="8"/>
      <c r="AA682" s="8"/>
      <c r="AB682" s="8"/>
      <c r="AC682" s="8"/>
      <c r="AD682" s="24"/>
      <c r="AE682" s="24"/>
      <c r="AF682" s="8"/>
      <c r="AG682" s="8"/>
      <c r="AH682" s="8"/>
      <c r="AI682" s="8"/>
    </row>
    <row r="683" spans="1:35" ht="15.75" customHeight="1" x14ac:dyDescent="0.25">
      <c r="A683" s="8"/>
      <c r="B683" s="8"/>
      <c r="C683" s="8"/>
      <c r="D683" s="8"/>
      <c r="E683" s="50"/>
      <c r="F683" s="51"/>
      <c r="G683" s="51"/>
      <c r="H683" s="52"/>
      <c r="I683" s="52"/>
      <c r="J683" s="52"/>
      <c r="K683" s="52"/>
      <c r="L683" s="52"/>
      <c r="M683" s="49"/>
      <c r="N683" s="52"/>
      <c r="O683" s="5"/>
      <c r="P683" s="22"/>
      <c r="Q683" s="8"/>
      <c r="R683" s="8"/>
      <c r="S683" s="8"/>
      <c r="T683" s="8"/>
      <c r="U683" s="8"/>
      <c r="V683" s="8"/>
      <c r="W683" s="8"/>
      <c r="X683" s="8"/>
      <c r="Y683" s="8"/>
      <c r="Z683" s="8"/>
      <c r="AA683" s="8"/>
      <c r="AB683" s="8"/>
      <c r="AC683" s="8"/>
      <c r="AD683" s="24"/>
      <c r="AE683" s="24"/>
      <c r="AF683" s="8"/>
      <c r="AG683" s="8"/>
      <c r="AH683" s="8"/>
      <c r="AI683" s="8"/>
    </row>
    <row r="684" spans="1:35" ht="15.75" customHeight="1" x14ac:dyDescent="0.25">
      <c r="A684" s="8"/>
      <c r="B684" s="8"/>
      <c r="C684" s="8"/>
      <c r="D684" s="8"/>
      <c r="E684" s="50"/>
      <c r="F684" s="51"/>
      <c r="G684" s="51"/>
      <c r="H684" s="52"/>
      <c r="I684" s="52"/>
      <c r="J684" s="52"/>
      <c r="K684" s="52"/>
      <c r="L684" s="52"/>
      <c r="M684" s="49"/>
      <c r="N684" s="52"/>
      <c r="O684" s="5"/>
      <c r="P684" s="22"/>
      <c r="Q684" s="8"/>
      <c r="R684" s="8"/>
      <c r="S684" s="8"/>
      <c r="T684" s="8"/>
      <c r="U684" s="8"/>
      <c r="V684" s="8"/>
      <c r="W684" s="8"/>
      <c r="X684" s="8"/>
      <c r="Y684" s="8"/>
      <c r="Z684" s="8"/>
      <c r="AA684" s="8"/>
      <c r="AB684" s="8"/>
      <c r="AC684" s="8"/>
      <c r="AD684" s="24"/>
      <c r="AE684" s="24"/>
      <c r="AF684" s="8"/>
      <c r="AG684" s="8"/>
      <c r="AH684" s="8"/>
      <c r="AI684" s="8"/>
    </row>
    <row r="685" spans="1:35" ht="15.75" customHeight="1" x14ac:dyDescent="0.25">
      <c r="A685" s="8"/>
      <c r="B685" s="8"/>
      <c r="C685" s="8"/>
      <c r="D685" s="8"/>
      <c r="E685" s="50"/>
      <c r="F685" s="51"/>
      <c r="G685" s="51"/>
      <c r="H685" s="52"/>
      <c r="I685" s="52"/>
      <c r="J685" s="52"/>
      <c r="K685" s="52"/>
      <c r="L685" s="52"/>
      <c r="M685" s="48"/>
      <c r="N685" s="52"/>
      <c r="O685" s="5"/>
      <c r="P685" s="22"/>
      <c r="Q685" s="8"/>
      <c r="R685" s="8"/>
      <c r="S685" s="8"/>
      <c r="T685" s="8"/>
      <c r="U685" s="8"/>
      <c r="V685" s="8"/>
      <c r="W685" s="8"/>
      <c r="X685" s="8"/>
      <c r="Y685" s="8"/>
      <c r="Z685" s="8"/>
      <c r="AA685" s="8"/>
      <c r="AB685" s="8"/>
      <c r="AC685" s="8"/>
      <c r="AD685" s="24"/>
      <c r="AE685" s="24"/>
      <c r="AF685" s="8"/>
      <c r="AG685" s="8"/>
      <c r="AH685" s="8"/>
      <c r="AI685" s="8"/>
    </row>
    <row r="686" spans="1:35" ht="15.75" customHeight="1" x14ac:dyDescent="0.25">
      <c r="A686" s="8"/>
      <c r="B686" s="8"/>
      <c r="C686" s="8"/>
      <c r="D686" s="8"/>
      <c r="E686" s="50"/>
      <c r="F686" s="51"/>
      <c r="G686" s="51"/>
      <c r="H686" s="52"/>
      <c r="I686" s="52"/>
      <c r="J686" s="52"/>
      <c r="K686" s="52"/>
      <c r="L686" s="52"/>
      <c r="M686" s="49"/>
      <c r="N686" s="52"/>
      <c r="O686" s="5"/>
      <c r="P686" s="22"/>
      <c r="Q686" s="8"/>
      <c r="R686" s="8"/>
      <c r="S686" s="8"/>
      <c r="T686" s="8"/>
      <c r="U686" s="8"/>
      <c r="V686" s="8"/>
      <c r="W686" s="8"/>
      <c r="X686" s="8"/>
      <c r="Y686" s="8"/>
      <c r="Z686" s="8"/>
      <c r="AA686" s="8"/>
      <c r="AB686" s="8"/>
      <c r="AC686" s="8"/>
      <c r="AD686" s="24"/>
      <c r="AE686" s="24"/>
      <c r="AF686" s="8"/>
      <c r="AG686" s="8"/>
      <c r="AH686" s="8"/>
      <c r="AI686" s="8"/>
    </row>
    <row r="687" spans="1:35" ht="15.75" customHeight="1" x14ac:dyDescent="0.25">
      <c r="A687" s="8"/>
      <c r="B687" s="8"/>
      <c r="C687" s="8"/>
      <c r="D687" s="8"/>
      <c r="E687" s="50"/>
      <c r="F687" s="51"/>
      <c r="G687" s="51"/>
      <c r="H687" s="52"/>
      <c r="I687" s="52"/>
      <c r="J687" s="52"/>
      <c r="K687" s="52"/>
      <c r="L687" s="52"/>
      <c r="M687" s="48"/>
      <c r="N687" s="52"/>
      <c r="O687" s="5"/>
      <c r="P687" s="22"/>
      <c r="Q687" s="8"/>
      <c r="R687" s="8"/>
      <c r="S687" s="8"/>
      <c r="T687" s="8"/>
      <c r="U687" s="8"/>
      <c r="V687" s="8"/>
      <c r="W687" s="8"/>
      <c r="X687" s="8"/>
      <c r="Y687" s="8"/>
      <c r="Z687" s="8"/>
      <c r="AA687" s="8"/>
      <c r="AB687" s="8"/>
      <c r="AC687" s="8"/>
      <c r="AD687" s="24"/>
      <c r="AE687" s="24"/>
      <c r="AF687" s="8"/>
      <c r="AG687" s="8"/>
      <c r="AH687" s="8"/>
      <c r="AI687" s="8"/>
    </row>
    <row r="688" spans="1:35" ht="15.75" customHeight="1" x14ac:dyDescent="0.25">
      <c r="A688" s="8"/>
      <c r="B688" s="8"/>
      <c r="C688" s="8"/>
      <c r="D688" s="8"/>
      <c r="E688" s="50"/>
      <c r="F688" s="51"/>
      <c r="G688" s="51"/>
      <c r="H688" s="52"/>
      <c r="I688" s="52"/>
      <c r="J688" s="52"/>
      <c r="K688" s="52"/>
      <c r="L688" s="52"/>
      <c r="M688" s="52"/>
      <c r="N688" s="52"/>
      <c r="O688" s="5"/>
      <c r="P688" s="22"/>
      <c r="Q688" s="8"/>
      <c r="R688" s="8"/>
      <c r="S688" s="8"/>
      <c r="T688" s="8"/>
      <c r="U688" s="8"/>
      <c r="V688" s="8"/>
      <c r="W688" s="8"/>
      <c r="X688" s="8"/>
      <c r="Y688" s="8"/>
      <c r="Z688" s="8"/>
      <c r="AA688" s="8"/>
      <c r="AB688" s="8"/>
      <c r="AC688" s="8"/>
      <c r="AD688" s="24"/>
      <c r="AE688" s="24"/>
      <c r="AF688" s="8"/>
      <c r="AG688" s="8"/>
      <c r="AH688" s="8"/>
      <c r="AI688" s="8"/>
    </row>
    <row r="689" spans="1:35" ht="15.75" customHeight="1" x14ac:dyDescent="0.25">
      <c r="A689" s="8"/>
      <c r="B689" s="8"/>
      <c r="C689" s="8"/>
      <c r="D689" s="8"/>
      <c r="E689" s="50"/>
      <c r="F689" s="51"/>
      <c r="G689" s="51"/>
      <c r="H689" s="52"/>
      <c r="I689" s="52"/>
      <c r="J689" s="52"/>
      <c r="K689" s="52"/>
      <c r="L689" s="52"/>
      <c r="M689" s="48"/>
      <c r="N689" s="52"/>
      <c r="O689" s="5"/>
      <c r="P689" s="22"/>
      <c r="Q689" s="8"/>
      <c r="R689" s="8"/>
      <c r="S689" s="8"/>
      <c r="T689" s="8"/>
      <c r="U689" s="8"/>
      <c r="V689" s="8"/>
      <c r="W689" s="8"/>
      <c r="X689" s="8"/>
      <c r="Y689" s="8"/>
      <c r="Z689" s="8"/>
      <c r="AA689" s="8"/>
      <c r="AB689" s="8"/>
      <c r="AC689" s="8"/>
      <c r="AD689" s="24"/>
      <c r="AE689" s="24"/>
      <c r="AF689" s="8"/>
      <c r="AG689" s="8"/>
      <c r="AH689" s="8"/>
      <c r="AI689" s="8"/>
    </row>
    <row r="690" spans="1:35" ht="15.75" customHeight="1" x14ac:dyDescent="0.25">
      <c r="A690" s="8"/>
      <c r="B690" s="8"/>
      <c r="C690" s="8"/>
      <c r="D690" s="8"/>
      <c r="E690" s="50"/>
      <c r="F690" s="51"/>
      <c r="G690" s="51"/>
      <c r="H690" s="52"/>
      <c r="I690" s="52"/>
      <c r="J690" s="52"/>
      <c r="K690" s="52"/>
      <c r="L690" s="52"/>
      <c r="M690" s="48"/>
      <c r="N690" s="52"/>
      <c r="O690" s="5"/>
      <c r="P690" s="22"/>
      <c r="Q690" s="8"/>
      <c r="R690" s="8"/>
      <c r="S690" s="8"/>
      <c r="T690" s="8"/>
      <c r="U690" s="8"/>
      <c r="V690" s="8"/>
      <c r="W690" s="8"/>
      <c r="X690" s="8"/>
      <c r="Y690" s="8"/>
      <c r="Z690" s="8"/>
      <c r="AA690" s="8"/>
      <c r="AB690" s="8"/>
      <c r="AC690" s="8"/>
      <c r="AD690" s="24"/>
      <c r="AE690" s="24"/>
      <c r="AF690" s="8"/>
      <c r="AG690" s="8"/>
      <c r="AH690" s="8"/>
      <c r="AI690" s="8"/>
    </row>
    <row r="691" spans="1:35" ht="15.75" customHeight="1" x14ac:dyDescent="0.25">
      <c r="A691" s="8"/>
      <c r="B691" s="8"/>
      <c r="C691" s="8"/>
      <c r="D691" s="8"/>
      <c r="E691" s="50"/>
      <c r="F691" s="51"/>
      <c r="G691" s="51"/>
      <c r="H691" s="52"/>
      <c r="I691" s="52"/>
      <c r="J691" s="52"/>
      <c r="K691" s="52"/>
      <c r="L691" s="52"/>
      <c r="M691" s="48"/>
      <c r="N691" s="52"/>
      <c r="O691" s="5"/>
      <c r="P691" s="22"/>
      <c r="Q691" s="8"/>
      <c r="R691" s="8"/>
      <c r="S691" s="8"/>
      <c r="T691" s="8"/>
      <c r="U691" s="8"/>
      <c r="V691" s="8"/>
      <c r="W691" s="8"/>
      <c r="X691" s="8"/>
      <c r="Y691" s="8"/>
      <c r="Z691" s="8"/>
      <c r="AA691" s="8"/>
      <c r="AB691" s="8"/>
      <c r="AC691" s="8"/>
      <c r="AD691" s="24"/>
      <c r="AE691" s="24"/>
      <c r="AF691" s="8"/>
      <c r="AG691" s="8"/>
      <c r="AH691" s="8"/>
      <c r="AI691" s="8"/>
    </row>
    <row r="692" spans="1:35" ht="15.75" customHeight="1" x14ac:dyDescent="0.25">
      <c r="A692" s="8"/>
      <c r="B692" s="8"/>
      <c r="C692" s="8"/>
      <c r="D692" s="8"/>
      <c r="E692" s="50"/>
      <c r="F692" s="51"/>
      <c r="G692" s="51"/>
      <c r="H692" s="52"/>
      <c r="I692" s="52"/>
      <c r="J692" s="52"/>
      <c r="K692" s="52"/>
      <c r="L692" s="52"/>
      <c r="M692" s="48"/>
      <c r="N692" s="52"/>
      <c r="O692" s="5"/>
      <c r="P692" s="22"/>
      <c r="Q692" s="8"/>
      <c r="R692" s="8"/>
      <c r="S692" s="8"/>
      <c r="T692" s="8"/>
      <c r="U692" s="8"/>
      <c r="V692" s="8"/>
      <c r="W692" s="8"/>
      <c r="X692" s="8"/>
      <c r="Y692" s="8"/>
      <c r="Z692" s="8"/>
      <c r="AA692" s="8"/>
      <c r="AB692" s="8"/>
      <c r="AC692" s="8"/>
      <c r="AD692" s="24"/>
      <c r="AE692" s="24"/>
      <c r="AF692" s="8"/>
      <c r="AG692" s="8"/>
      <c r="AH692" s="8"/>
      <c r="AI692" s="8"/>
    </row>
    <row r="693" spans="1:35" ht="15.75" customHeight="1" x14ac:dyDescent="0.25">
      <c r="A693" s="8"/>
      <c r="B693" s="8"/>
      <c r="C693" s="8"/>
      <c r="D693" s="8"/>
      <c r="E693" s="50"/>
      <c r="F693" s="51"/>
      <c r="G693" s="51"/>
      <c r="H693" s="52"/>
      <c r="I693" s="52"/>
      <c r="J693" s="52"/>
      <c r="K693" s="52"/>
      <c r="L693" s="52"/>
      <c r="M693" s="52"/>
      <c r="N693" s="52"/>
      <c r="O693" s="5"/>
      <c r="P693" s="22"/>
      <c r="Q693" s="8"/>
      <c r="R693" s="8"/>
      <c r="S693" s="8"/>
      <c r="T693" s="8"/>
      <c r="U693" s="8"/>
      <c r="V693" s="8"/>
      <c r="W693" s="8"/>
      <c r="X693" s="8"/>
      <c r="Y693" s="8"/>
      <c r="Z693" s="8"/>
      <c r="AA693" s="8"/>
      <c r="AB693" s="8"/>
      <c r="AC693" s="8"/>
      <c r="AD693" s="24"/>
      <c r="AE693" s="24"/>
      <c r="AF693" s="8"/>
      <c r="AG693" s="8"/>
      <c r="AH693" s="8"/>
      <c r="AI693" s="8"/>
    </row>
    <row r="694" spans="1:35" ht="15.75" customHeight="1" x14ac:dyDescent="0.25">
      <c r="A694" s="8"/>
      <c r="B694" s="8"/>
      <c r="C694" s="8"/>
      <c r="D694" s="8"/>
      <c r="E694" s="50"/>
      <c r="F694" s="51"/>
      <c r="G694" s="51"/>
      <c r="H694" s="52"/>
      <c r="I694" s="52"/>
      <c r="J694" s="52"/>
      <c r="K694" s="52"/>
      <c r="L694" s="52"/>
      <c r="M694" s="48"/>
      <c r="N694" s="52"/>
      <c r="O694" s="5"/>
      <c r="P694" s="22"/>
      <c r="Q694" s="8"/>
      <c r="R694" s="8"/>
      <c r="S694" s="8"/>
      <c r="T694" s="8"/>
      <c r="U694" s="8"/>
      <c r="V694" s="8"/>
      <c r="W694" s="8"/>
      <c r="X694" s="8"/>
      <c r="Y694" s="8"/>
      <c r="Z694" s="8"/>
      <c r="AA694" s="8"/>
      <c r="AB694" s="8"/>
      <c r="AC694" s="8"/>
      <c r="AD694" s="24"/>
      <c r="AE694" s="24"/>
      <c r="AF694" s="8"/>
      <c r="AG694" s="8"/>
      <c r="AH694" s="8"/>
      <c r="AI694" s="8"/>
    </row>
    <row r="695" spans="1:35" ht="15.75" customHeight="1" x14ac:dyDescent="0.25">
      <c r="A695" s="8"/>
      <c r="B695" s="8"/>
      <c r="C695" s="8"/>
      <c r="D695" s="8"/>
      <c r="E695" s="50"/>
      <c r="F695" s="51"/>
      <c r="G695" s="51"/>
      <c r="H695" s="52"/>
      <c r="I695" s="52"/>
      <c r="J695" s="52"/>
      <c r="K695" s="52"/>
      <c r="L695" s="52"/>
      <c r="M695" s="48"/>
      <c r="N695" s="52"/>
      <c r="O695" s="5"/>
      <c r="P695" s="22"/>
      <c r="Q695" s="8"/>
      <c r="R695" s="8"/>
      <c r="S695" s="8"/>
      <c r="T695" s="8"/>
      <c r="U695" s="8"/>
      <c r="V695" s="8"/>
      <c r="W695" s="8"/>
      <c r="X695" s="8"/>
      <c r="Y695" s="8"/>
      <c r="Z695" s="8"/>
      <c r="AA695" s="8"/>
      <c r="AB695" s="8"/>
      <c r="AC695" s="8"/>
      <c r="AD695" s="24"/>
      <c r="AE695" s="24"/>
      <c r="AF695" s="8"/>
      <c r="AG695" s="8"/>
      <c r="AH695" s="8"/>
      <c r="AI695" s="8"/>
    </row>
    <row r="696" spans="1:35" ht="15.75" customHeight="1" x14ac:dyDescent="0.25">
      <c r="A696" s="8"/>
      <c r="B696" s="8"/>
      <c r="C696" s="8"/>
      <c r="D696" s="8"/>
      <c r="E696" s="50"/>
      <c r="F696" s="51"/>
      <c r="G696" s="51"/>
      <c r="H696" s="52"/>
      <c r="I696" s="52"/>
      <c r="J696" s="52"/>
      <c r="K696" s="52"/>
      <c r="L696" s="52"/>
      <c r="M696" s="49"/>
      <c r="N696" s="52"/>
      <c r="O696" s="5"/>
      <c r="P696" s="22"/>
      <c r="Q696" s="8"/>
      <c r="R696" s="8"/>
      <c r="S696" s="8"/>
      <c r="T696" s="8"/>
      <c r="U696" s="8"/>
      <c r="V696" s="8"/>
      <c r="W696" s="8"/>
      <c r="X696" s="8"/>
      <c r="Y696" s="8"/>
      <c r="Z696" s="8"/>
      <c r="AA696" s="8"/>
      <c r="AB696" s="8"/>
      <c r="AC696" s="8"/>
      <c r="AD696" s="24"/>
      <c r="AE696" s="24"/>
      <c r="AF696" s="8"/>
      <c r="AG696" s="8"/>
      <c r="AH696" s="8"/>
      <c r="AI696" s="8"/>
    </row>
    <row r="697" spans="1:35" ht="15.75" customHeight="1" x14ac:dyDescent="0.25">
      <c r="A697" s="8"/>
      <c r="B697" s="8"/>
      <c r="C697" s="8"/>
      <c r="D697" s="8"/>
      <c r="E697" s="50"/>
      <c r="F697" s="51"/>
      <c r="G697" s="51"/>
      <c r="H697" s="52"/>
      <c r="I697" s="52"/>
      <c r="J697" s="52"/>
      <c r="K697" s="52"/>
      <c r="L697" s="52"/>
      <c r="M697" s="48"/>
      <c r="N697" s="52"/>
      <c r="O697" s="5"/>
      <c r="P697" s="22"/>
      <c r="Q697" s="8"/>
      <c r="R697" s="8"/>
      <c r="S697" s="8"/>
      <c r="T697" s="8"/>
      <c r="U697" s="8"/>
      <c r="V697" s="8"/>
      <c r="W697" s="8"/>
      <c r="X697" s="8"/>
      <c r="Y697" s="8"/>
      <c r="Z697" s="8"/>
      <c r="AA697" s="8"/>
      <c r="AB697" s="8"/>
      <c r="AC697" s="8"/>
      <c r="AD697" s="24"/>
      <c r="AE697" s="24"/>
      <c r="AF697" s="8"/>
      <c r="AG697" s="8"/>
      <c r="AH697" s="8"/>
      <c r="AI697" s="8"/>
    </row>
    <row r="698" spans="1:35" ht="15.75" customHeight="1" x14ac:dyDescent="0.25">
      <c r="A698" s="8"/>
      <c r="B698" s="8"/>
      <c r="C698" s="8"/>
      <c r="D698" s="8"/>
      <c r="E698" s="50"/>
      <c r="F698" s="51"/>
      <c r="G698" s="51"/>
      <c r="H698" s="52"/>
      <c r="I698" s="52"/>
      <c r="J698" s="52"/>
      <c r="K698" s="52"/>
      <c r="L698" s="52"/>
      <c r="M698" s="52"/>
      <c r="N698" s="52"/>
      <c r="O698" s="5"/>
      <c r="P698" s="22"/>
      <c r="Q698" s="8"/>
      <c r="R698" s="8"/>
      <c r="S698" s="8"/>
      <c r="T698" s="8"/>
      <c r="U698" s="8"/>
      <c r="V698" s="8"/>
      <c r="W698" s="8"/>
      <c r="X698" s="8"/>
      <c r="Y698" s="8"/>
      <c r="Z698" s="8"/>
      <c r="AA698" s="8"/>
      <c r="AB698" s="8"/>
      <c r="AC698" s="8"/>
      <c r="AD698" s="24"/>
      <c r="AE698" s="24"/>
      <c r="AF698" s="8"/>
      <c r="AG698" s="8"/>
      <c r="AH698" s="8"/>
      <c r="AI698" s="8"/>
    </row>
    <row r="699" spans="1:35" ht="15.75" customHeight="1" x14ac:dyDescent="0.25">
      <c r="A699" s="8"/>
      <c r="B699" s="8"/>
      <c r="C699" s="8"/>
      <c r="D699" s="8"/>
      <c r="E699" s="50"/>
      <c r="F699" s="51"/>
      <c r="G699" s="51"/>
      <c r="H699" s="52"/>
      <c r="I699" s="52"/>
      <c r="J699" s="52"/>
      <c r="K699" s="52"/>
      <c r="L699" s="52"/>
      <c r="M699" s="48"/>
      <c r="N699" s="52"/>
      <c r="O699" s="5"/>
      <c r="P699" s="22"/>
      <c r="Q699" s="8"/>
      <c r="R699" s="8"/>
      <c r="S699" s="8"/>
      <c r="T699" s="8"/>
      <c r="U699" s="8"/>
      <c r="V699" s="8"/>
      <c r="W699" s="8"/>
      <c r="X699" s="8"/>
      <c r="Y699" s="8"/>
      <c r="Z699" s="8"/>
      <c r="AA699" s="8"/>
      <c r="AB699" s="8"/>
      <c r="AC699" s="8"/>
      <c r="AD699" s="24"/>
      <c r="AE699" s="24"/>
      <c r="AF699" s="8"/>
      <c r="AG699" s="8"/>
      <c r="AH699" s="8"/>
      <c r="AI699" s="8"/>
    </row>
    <row r="700" spans="1:35" ht="15.75" customHeight="1" x14ac:dyDescent="0.25">
      <c r="A700" s="8"/>
      <c r="B700" s="8"/>
      <c r="C700" s="8"/>
      <c r="D700" s="8"/>
      <c r="E700" s="50"/>
      <c r="F700" s="51"/>
      <c r="G700" s="51"/>
      <c r="H700" s="52"/>
      <c r="I700" s="52"/>
      <c r="J700" s="52"/>
      <c r="K700" s="52"/>
      <c r="L700" s="52"/>
      <c r="M700" s="52"/>
      <c r="N700" s="52"/>
      <c r="O700" s="5"/>
      <c r="P700" s="22"/>
      <c r="Q700" s="8"/>
      <c r="R700" s="8"/>
      <c r="S700" s="8"/>
      <c r="T700" s="8"/>
      <c r="U700" s="8"/>
      <c r="V700" s="8"/>
      <c r="W700" s="8"/>
      <c r="X700" s="8"/>
      <c r="Y700" s="8"/>
      <c r="Z700" s="8"/>
      <c r="AA700" s="8"/>
      <c r="AB700" s="8"/>
      <c r="AC700" s="8"/>
      <c r="AD700" s="24"/>
      <c r="AE700" s="24"/>
      <c r="AF700" s="8"/>
      <c r="AG700" s="8"/>
      <c r="AH700" s="8"/>
      <c r="AI700" s="8"/>
    </row>
    <row r="701" spans="1:35" ht="15.75" customHeight="1" x14ac:dyDescent="0.25">
      <c r="A701" s="8"/>
      <c r="B701" s="8"/>
      <c r="C701" s="8"/>
      <c r="D701" s="8"/>
      <c r="E701" s="50"/>
      <c r="F701" s="51"/>
      <c r="G701" s="51"/>
      <c r="H701" s="52"/>
      <c r="I701" s="52"/>
      <c r="J701" s="52"/>
      <c r="K701" s="52"/>
      <c r="L701" s="52"/>
      <c r="M701" s="52"/>
      <c r="N701" s="52"/>
      <c r="O701" s="5"/>
      <c r="P701" s="22"/>
      <c r="Q701" s="8"/>
      <c r="R701" s="8"/>
      <c r="S701" s="8"/>
      <c r="T701" s="8"/>
      <c r="U701" s="8"/>
      <c r="V701" s="8"/>
      <c r="W701" s="8"/>
      <c r="X701" s="8"/>
      <c r="Y701" s="8"/>
      <c r="Z701" s="8"/>
      <c r="AA701" s="8"/>
      <c r="AB701" s="8"/>
      <c r="AC701" s="8"/>
      <c r="AD701" s="24"/>
      <c r="AE701" s="24"/>
      <c r="AF701" s="8"/>
      <c r="AG701" s="8"/>
      <c r="AH701" s="8"/>
      <c r="AI701" s="8"/>
    </row>
    <row r="702" spans="1:35" ht="15.75" customHeight="1" x14ac:dyDescent="0.25">
      <c r="A702" s="8"/>
      <c r="B702" s="8"/>
      <c r="C702" s="8"/>
      <c r="D702" s="8"/>
      <c r="E702" s="50"/>
      <c r="F702" s="51"/>
      <c r="G702" s="51"/>
      <c r="H702" s="52"/>
      <c r="I702" s="52"/>
      <c r="J702" s="52"/>
      <c r="K702" s="52"/>
      <c r="L702" s="52"/>
      <c r="M702" s="48"/>
      <c r="N702" s="52"/>
      <c r="O702" s="5"/>
      <c r="P702" s="22"/>
      <c r="Q702" s="8"/>
      <c r="R702" s="8"/>
      <c r="S702" s="8"/>
      <c r="T702" s="8"/>
      <c r="U702" s="8"/>
      <c r="V702" s="8"/>
      <c r="W702" s="8"/>
      <c r="X702" s="8"/>
      <c r="Y702" s="8"/>
      <c r="Z702" s="8"/>
      <c r="AA702" s="8"/>
      <c r="AB702" s="8"/>
      <c r="AC702" s="8"/>
      <c r="AD702" s="24"/>
      <c r="AE702" s="24"/>
      <c r="AF702" s="8"/>
      <c r="AG702" s="8"/>
      <c r="AH702" s="8"/>
      <c r="AI702" s="8"/>
    </row>
    <row r="703" spans="1:35" ht="15.75" customHeight="1" x14ac:dyDescent="0.25">
      <c r="A703" s="8"/>
      <c r="B703" s="8"/>
      <c r="C703" s="8"/>
      <c r="D703" s="8"/>
      <c r="E703" s="50"/>
      <c r="F703" s="51"/>
      <c r="G703" s="51"/>
      <c r="H703" s="52"/>
      <c r="I703" s="52"/>
      <c r="J703" s="52"/>
      <c r="K703" s="52"/>
      <c r="L703" s="52"/>
      <c r="M703" s="52"/>
      <c r="N703" s="52"/>
      <c r="O703" s="5"/>
      <c r="P703" s="22"/>
      <c r="Q703" s="8"/>
      <c r="R703" s="8"/>
      <c r="S703" s="8"/>
      <c r="T703" s="8"/>
      <c r="U703" s="8"/>
      <c r="V703" s="8"/>
      <c r="W703" s="8"/>
      <c r="X703" s="8"/>
      <c r="Y703" s="8"/>
      <c r="Z703" s="8"/>
      <c r="AA703" s="8"/>
      <c r="AB703" s="8"/>
      <c r="AC703" s="8"/>
      <c r="AD703" s="24"/>
      <c r="AE703" s="24"/>
      <c r="AF703" s="8"/>
      <c r="AG703" s="8"/>
      <c r="AH703" s="8"/>
      <c r="AI703" s="8"/>
    </row>
    <row r="704" spans="1:35" ht="15.75" customHeight="1" x14ac:dyDescent="0.25">
      <c r="A704" s="8"/>
      <c r="B704" s="8"/>
      <c r="C704" s="8"/>
      <c r="D704" s="8"/>
      <c r="E704" s="50"/>
      <c r="F704" s="51"/>
      <c r="G704" s="51"/>
      <c r="H704" s="52"/>
      <c r="I704" s="52"/>
      <c r="J704" s="52"/>
      <c r="K704" s="52"/>
      <c r="L704" s="52"/>
      <c r="M704" s="48"/>
      <c r="N704" s="52"/>
      <c r="O704" s="5"/>
      <c r="P704" s="22"/>
      <c r="Q704" s="8"/>
      <c r="R704" s="8"/>
      <c r="S704" s="8"/>
      <c r="T704" s="8"/>
      <c r="U704" s="8"/>
      <c r="V704" s="8"/>
      <c r="W704" s="8"/>
      <c r="X704" s="8"/>
      <c r="Y704" s="8"/>
      <c r="Z704" s="8"/>
      <c r="AA704" s="8"/>
      <c r="AB704" s="8"/>
      <c r="AC704" s="8"/>
      <c r="AD704" s="24"/>
      <c r="AE704" s="24"/>
      <c r="AF704" s="8"/>
      <c r="AG704" s="8"/>
      <c r="AH704" s="8"/>
      <c r="AI704" s="8"/>
    </row>
    <row r="705" spans="1:35" ht="15.75" customHeight="1" x14ac:dyDescent="0.25">
      <c r="A705" s="8"/>
      <c r="B705" s="8"/>
      <c r="C705" s="8"/>
      <c r="D705" s="8"/>
      <c r="E705" s="50"/>
      <c r="F705" s="51"/>
      <c r="G705" s="51"/>
      <c r="H705" s="52"/>
      <c r="I705" s="52"/>
      <c r="J705" s="52"/>
      <c r="K705" s="52"/>
      <c r="L705" s="52"/>
      <c r="M705" s="48"/>
      <c r="N705" s="52"/>
      <c r="O705" s="5"/>
      <c r="P705" s="22"/>
      <c r="Q705" s="8"/>
      <c r="R705" s="8"/>
      <c r="S705" s="8"/>
      <c r="T705" s="8"/>
      <c r="U705" s="8"/>
      <c r="V705" s="8"/>
      <c r="W705" s="8"/>
      <c r="X705" s="8"/>
      <c r="Y705" s="8"/>
      <c r="Z705" s="8"/>
      <c r="AA705" s="8"/>
      <c r="AB705" s="8"/>
      <c r="AC705" s="8"/>
      <c r="AD705" s="24"/>
      <c r="AE705" s="24"/>
      <c r="AF705" s="8"/>
      <c r="AG705" s="8"/>
      <c r="AH705" s="8"/>
      <c r="AI705" s="8"/>
    </row>
    <row r="706" spans="1:35" ht="15.75" customHeight="1" x14ac:dyDescent="0.25">
      <c r="A706" s="8"/>
      <c r="B706" s="8"/>
      <c r="C706" s="8"/>
      <c r="D706" s="8"/>
      <c r="E706" s="50"/>
      <c r="F706" s="51"/>
      <c r="G706" s="51"/>
      <c r="H706" s="52"/>
      <c r="I706" s="52"/>
      <c r="J706" s="52"/>
      <c r="K706" s="52"/>
      <c r="L706" s="52"/>
      <c r="M706" s="48"/>
      <c r="N706" s="52"/>
      <c r="O706" s="5"/>
      <c r="P706" s="22"/>
      <c r="Q706" s="8"/>
      <c r="R706" s="8"/>
      <c r="S706" s="8"/>
      <c r="T706" s="8"/>
      <c r="U706" s="8"/>
      <c r="V706" s="8"/>
      <c r="W706" s="8"/>
      <c r="X706" s="8"/>
      <c r="Y706" s="8"/>
      <c r="Z706" s="8"/>
      <c r="AA706" s="8"/>
      <c r="AB706" s="8"/>
      <c r="AC706" s="8"/>
      <c r="AD706" s="24"/>
      <c r="AE706" s="24"/>
      <c r="AF706" s="8"/>
      <c r="AG706" s="8"/>
      <c r="AH706" s="8"/>
      <c r="AI706" s="8"/>
    </row>
    <row r="707" spans="1:35" ht="15.75" customHeight="1" x14ac:dyDescent="0.25">
      <c r="A707" s="8"/>
      <c r="B707" s="8"/>
      <c r="C707" s="8"/>
      <c r="D707" s="8"/>
      <c r="E707" s="50"/>
      <c r="F707" s="51"/>
      <c r="G707" s="51"/>
      <c r="H707" s="52"/>
      <c r="I707" s="52"/>
      <c r="J707" s="52"/>
      <c r="K707" s="52"/>
      <c r="L707" s="52"/>
      <c r="M707" s="48"/>
      <c r="N707" s="52"/>
      <c r="O707" s="5"/>
      <c r="P707" s="22"/>
      <c r="Q707" s="8"/>
      <c r="R707" s="8"/>
      <c r="S707" s="8"/>
      <c r="T707" s="8"/>
      <c r="U707" s="8"/>
      <c r="V707" s="8"/>
      <c r="W707" s="8"/>
      <c r="X707" s="8"/>
      <c r="Y707" s="8"/>
      <c r="Z707" s="8"/>
      <c r="AA707" s="8"/>
      <c r="AB707" s="8"/>
      <c r="AC707" s="8"/>
      <c r="AD707" s="24"/>
      <c r="AE707" s="24"/>
      <c r="AF707" s="8"/>
      <c r="AG707" s="8"/>
      <c r="AH707" s="8"/>
      <c r="AI707" s="8"/>
    </row>
    <row r="708" spans="1:35" ht="15.75" customHeight="1" x14ac:dyDescent="0.25">
      <c r="A708" s="8"/>
      <c r="B708" s="8"/>
      <c r="C708" s="8"/>
      <c r="D708" s="8"/>
      <c r="E708" s="50"/>
      <c r="F708" s="51"/>
      <c r="G708" s="51"/>
      <c r="H708" s="52"/>
      <c r="I708" s="52"/>
      <c r="J708" s="52"/>
      <c r="K708" s="52"/>
      <c r="L708" s="52"/>
      <c r="M708" s="52"/>
      <c r="N708" s="52"/>
      <c r="O708" s="5"/>
      <c r="P708" s="22"/>
      <c r="Q708" s="8"/>
      <c r="R708" s="8"/>
      <c r="S708" s="8"/>
      <c r="T708" s="8"/>
      <c r="U708" s="8"/>
      <c r="V708" s="8"/>
      <c r="W708" s="8"/>
      <c r="X708" s="8"/>
      <c r="Y708" s="8"/>
      <c r="Z708" s="8"/>
      <c r="AA708" s="8"/>
      <c r="AB708" s="8"/>
      <c r="AC708" s="8"/>
      <c r="AD708" s="24"/>
      <c r="AE708" s="24"/>
      <c r="AF708" s="8"/>
      <c r="AG708" s="8"/>
      <c r="AH708" s="8"/>
      <c r="AI708" s="8"/>
    </row>
    <row r="709" spans="1:35" ht="15.75" customHeight="1" x14ac:dyDescent="0.25">
      <c r="A709" s="8"/>
      <c r="B709" s="8"/>
      <c r="C709" s="8"/>
      <c r="D709" s="8"/>
      <c r="E709" s="50"/>
      <c r="F709" s="51"/>
      <c r="G709" s="51"/>
      <c r="H709" s="52"/>
      <c r="I709" s="52"/>
      <c r="J709" s="52"/>
      <c r="K709" s="52"/>
      <c r="L709" s="52"/>
      <c r="M709" s="48"/>
      <c r="N709" s="52"/>
      <c r="O709" s="5"/>
      <c r="P709" s="22"/>
      <c r="Q709" s="8"/>
      <c r="R709" s="8"/>
      <c r="S709" s="8"/>
      <c r="T709" s="8"/>
      <c r="U709" s="8"/>
      <c r="V709" s="8"/>
      <c r="W709" s="8"/>
      <c r="X709" s="8"/>
      <c r="Y709" s="8"/>
      <c r="Z709" s="8"/>
      <c r="AA709" s="8"/>
      <c r="AB709" s="8"/>
      <c r="AC709" s="8"/>
      <c r="AD709" s="24"/>
      <c r="AE709" s="24"/>
      <c r="AF709" s="8"/>
      <c r="AG709" s="8"/>
      <c r="AH709" s="8"/>
      <c r="AI709" s="8"/>
    </row>
    <row r="710" spans="1:35" ht="15.75" customHeight="1" x14ac:dyDescent="0.25">
      <c r="A710" s="8"/>
      <c r="B710" s="8"/>
      <c r="C710" s="8"/>
      <c r="D710" s="8"/>
      <c r="E710" s="50"/>
      <c r="F710" s="51"/>
      <c r="G710" s="51"/>
      <c r="H710" s="52"/>
      <c r="I710" s="52"/>
      <c r="J710" s="52"/>
      <c r="K710" s="52"/>
      <c r="L710" s="52"/>
      <c r="M710" s="52"/>
      <c r="N710" s="52"/>
      <c r="O710" s="5"/>
      <c r="P710" s="22"/>
      <c r="Q710" s="8"/>
      <c r="R710" s="8"/>
      <c r="S710" s="8"/>
      <c r="T710" s="8"/>
      <c r="U710" s="8"/>
      <c r="V710" s="8"/>
      <c r="W710" s="8"/>
      <c r="X710" s="8"/>
      <c r="Y710" s="8"/>
      <c r="Z710" s="8"/>
      <c r="AA710" s="8"/>
      <c r="AB710" s="8"/>
      <c r="AC710" s="8"/>
      <c r="AD710" s="24"/>
      <c r="AE710" s="24"/>
      <c r="AF710" s="8"/>
      <c r="AG710" s="8"/>
      <c r="AH710" s="8"/>
      <c r="AI710" s="8"/>
    </row>
    <row r="711" spans="1:35" ht="15.75" customHeight="1" x14ac:dyDescent="0.25">
      <c r="A711" s="8"/>
      <c r="B711" s="8"/>
      <c r="C711" s="8"/>
      <c r="D711" s="8"/>
      <c r="E711" s="50"/>
      <c r="F711" s="51"/>
      <c r="G711" s="51"/>
      <c r="H711" s="52"/>
      <c r="I711" s="52"/>
      <c r="J711" s="52"/>
      <c r="K711" s="52"/>
      <c r="L711" s="52"/>
      <c r="M711" s="52"/>
      <c r="N711" s="52"/>
      <c r="O711" s="5"/>
      <c r="P711" s="22"/>
      <c r="Q711" s="8"/>
      <c r="R711" s="8"/>
      <c r="S711" s="8"/>
      <c r="T711" s="8"/>
      <c r="U711" s="8"/>
      <c r="V711" s="8"/>
      <c r="W711" s="8"/>
      <c r="X711" s="8"/>
      <c r="Y711" s="8"/>
      <c r="Z711" s="8"/>
      <c r="AA711" s="8"/>
      <c r="AB711" s="8"/>
      <c r="AC711" s="8"/>
      <c r="AD711" s="24"/>
      <c r="AE711" s="24"/>
      <c r="AF711" s="8"/>
      <c r="AG711" s="8"/>
      <c r="AH711" s="8"/>
      <c r="AI711" s="8"/>
    </row>
    <row r="712" spans="1:35" ht="15.75" customHeight="1" x14ac:dyDescent="0.25">
      <c r="A712" s="8"/>
      <c r="B712" s="8"/>
      <c r="C712" s="8"/>
      <c r="D712" s="8"/>
      <c r="E712" s="50"/>
      <c r="F712" s="51"/>
      <c r="G712" s="51"/>
      <c r="H712" s="52"/>
      <c r="I712" s="52"/>
      <c r="J712" s="52"/>
      <c r="K712" s="52"/>
      <c r="L712" s="52"/>
      <c r="M712" s="48"/>
      <c r="N712" s="52"/>
      <c r="O712" s="5"/>
      <c r="P712" s="22"/>
      <c r="Q712" s="8"/>
      <c r="R712" s="8"/>
      <c r="S712" s="8"/>
      <c r="T712" s="8"/>
      <c r="U712" s="8"/>
      <c r="V712" s="8"/>
      <c r="W712" s="8"/>
      <c r="X712" s="8"/>
      <c r="Y712" s="8"/>
      <c r="Z712" s="8"/>
      <c r="AA712" s="8"/>
      <c r="AB712" s="8"/>
      <c r="AC712" s="8"/>
      <c r="AD712" s="24"/>
      <c r="AE712" s="24"/>
      <c r="AF712" s="8"/>
      <c r="AG712" s="8"/>
      <c r="AH712" s="8"/>
      <c r="AI712" s="8"/>
    </row>
    <row r="713" spans="1:35" ht="15.75" customHeight="1" x14ac:dyDescent="0.25">
      <c r="A713" s="8"/>
      <c r="B713" s="8"/>
      <c r="C713" s="8"/>
      <c r="D713" s="8"/>
      <c r="E713" s="50"/>
      <c r="F713" s="51"/>
      <c r="G713" s="51"/>
      <c r="H713" s="52"/>
      <c r="I713" s="52"/>
      <c r="J713" s="52"/>
      <c r="K713" s="52"/>
      <c r="L713" s="52"/>
      <c r="M713" s="48"/>
      <c r="N713" s="52"/>
      <c r="O713" s="5"/>
      <c r="P713" s="22"/>
      <c r="Q713" s="8"/>
      <c r="R713" s="8"/>
      <c r="S713" s="8"/>
      <c r="T713" s="8"/>
      <c r="U713" s="8"/>
      <c r="V713" s="8"/>
      <c r="W713" s="8"/>
      <c r="X713" s="8"/>
      <c r="Y713" s="8"/>
      <c r="Z713" s="8"/>
      <c r="AA713" s="8"/>
      <c r="AB713" s="8"/>
      <c r="AC713" s="8"/>
      <c r="AD713" s="24"/>
      <c r="AE713" s="24"/>
      <c r="AF713" s="8"/>
      <c r="AG713" s="8"/>
      <c r="AH713" s="8"/>
      <c r="AI713" s="8"/>
    </row>
    <row r="714" spans="1:35" ht="15.75" customHeight="1" x14ac:dyDescent="0.25">
      <c r="A714" s="8"/>
      <c r="B714" s="8"/>
      <c r="C714" s="8"/>
      <c r="D714" s="8"/>
      <c r="E714" s="50"/>
      <c r="F714" s="51"/>
      <c r="G714" s="51"/>
      <c r="H714" s="52"/>
      <c r="I714" s="52"/>
      <c r="J714" s="52"/>
      <c r="K714" s="52"/>
      <c r="L714" s="52"/>
      <c r="M714" s="49"/>
      <c r="N714" s="52"/>
      <c r="O714" s="5"/>
      <c r="P714" s="22"/>
      <c r="Q714" s="8"/>
      <c r="R714" s="8"/>
      <c r="S714" s="8"/>
      <c r="T714" s="8"/>
      <c r="U714" s="8"/>
      <c r="V714" s="8"/>
      <c r="W714" s="8"/>
      <c r="X714" s="8"/>
      <c r="Y714" s="8"/>
      <c r="Z714" s="8"/>
      <c r="AA714" s="8"/>
      <c r="AB714" s="8"/>
      <c r="AC714" s="8"/>
      <c r="AD714" s="24"/>
      <c r="AE714" s="24"/>
      <c r="AF714" s="8"/>
      <c r="AG714" s="8"/>
      <c r="AH714" s="8"/>
      <c r="AI714" s="8"/>
    </row>
    <row r="715" spans="1:35" ht="15.75" customHeight="1" x14ac:dyDescent="0.25">
      <c r="A715" s="8"/>
      <c r="B715" s="8"/>
      <c r="C715" s="8"/>
      <c r="D715" s="8"/>
      <c r="E715" s="50"/>
      <c r="F715" s="51"/>
      <c r="G715" s="51"/>
      <c r="H715" s="52"/>
      <c r="I715" s="52"/>
      <c r="J715" s="52"/>
      <c r="K715" s="52"/>
      <c r="L715" s="52"/>
      <c r="M715" s="48"/>
      <c r="N715" s="52"/>
      <c r="O715" s="5"/>
      <c r="P715" s="22"/>
      <c r="Q715" s="8"/>
      <c r="R715" s="8"/>
      <c r="S715" s="8"/>
      <c r="T715" s="8"/>
      <c r="U715" s="8"/>
      <c r="V715" s="8"/>
      <c r="W715" s="8"/>
      <c r="X715" s="8"/>
      <c r="Y715" s="8"/>
      <c r="Z715" s="8"/>
      <c r="AA715" s="8"/>
      <c r="AB715" s="8"/>
      <c r="AC715" s="8"/>
      <c r="AD715" s="24"/>
      <c r="AE715" s="24"/>
      <c r="AF715" s="8"/>
      <c r="AG715" s="8"/>
      <c r="AH715" s="8"/>
      <c r="AI715" s="8"/>
    </row>
    <row r="716" spans="1:35" ht="15.75" customHeight="1" x14ac:dyDescent="0.25">
      <c r="A716" s="8"/>
      <c r="B716" s="8"/>
      <c r="C716" s="8"/>
      <c r="D716" s="8"/>
      <c r="E716" s="50"/>
      <c r="F716" s="51"/>
      <c r="G716" s="51"/>
      <c r="H716" s="52"/>
      <c r="I716" s="52"/>
      <c r="J716" s="52"/>
      <c r="K716" s="52"/>
      <c r="L716" s="52"/>
      <c r="M716" s="48"/>
      <c r="N716" s="52"/>
      <c r="O716" s="5"/>
      <c r="P716" s="22"/>
      <c r="Q716" s="8"/>
      <c r="R716" s="8"/>
      <c r="S716" s="8"/>
      <c r="T716" s="8"/>
      <c r="U716" s="8"/>
      <c r="V716" s="8"/>
      <c r="W716" s="8"/>
      <c r="X716" s="8"/>
      <c r="Y716" s="8"/>
      <c r="Z716" s="8"/>
      <c r="AA716" s="8"/>
      <c r="AB716" s="8"/>
      <c r="AC716" s="8"/>
      <c r="AD716" s="24"/>
      <c r="AE716" s="24"/>
      <c r="AF716" s="8"/>
      <c r="AG716" s="8"/>
      <c r="AH716" s="8"/>
      <c r="AI716" s="8"/>
    </row>
    <row r="717" spans="1:35" ht="15.75" customHeight="1" x14ac:dyDescent="0.25">
      <c r="A717" s="8"/>
      <c r="B717" s="8"/>
      <c r="C717" s="8"/>
      <c r="D717" s="8"/>
      <c r="E717" s="50"/>
      <c r="F717" s="51"/>
      <c r="G717" s="51"/>
      <c r="H717" s="52"/>
      <c r="I717" s="52"/>
      <c r="J717" s="52"/>
      <c r="K717" s="52"/>
      <c r="L717" s="52"/>
      <c r="M717" s="49"/>
      <c r="N717" s="52"/>
      <c r="O717" s="5"/>
      <c r="P717" s="22"/>
      <c r="Q717" s="8"/>
      <c r="R717" s="8"/>
      <c r="S717" s="8"/>
      <c r="T717" s="8"/>
      <c r="U717" s="8"/>
      <c r="V717" s="8"/>
      <c r="W717" s="8"/>
      <c r="X717" s="8"/>
      <c r="Y717" s="8"/>
      <c r="Z717" s="8"/>
      <c r="AA717" s="8"/>
      <c r="AB717" s="8"/>
      <c r="AC717" s="8"/>
      <c r="AD717" s="24"/>
      <c r="AE717" s="24"/>
      <c r="AF717" s="8"/>
      <c r="AG717" s="8"/>
      <c r="AH717" s="8"/>
      <c r="AI717" s="8"/>
    </row>
    <row r="718" spans="1:35" ht="15.75" customHeight="1" x14ac:dyDescent="0.25">
      <c r="A718" s="8"/>
      <c r="B718" s="8"/>
      <c r="C718" s="8"/>
      <c r="D718" s="8"/>
      <c r="E718" s="50"/>
      <c r="F718" s="51"/>
      <c r="G718" s="51"/>
      <c r="H718" s="52"/>
      <c r="I718" s="52"/>
      <c r="J718" s="52"/>
      <c r="K718" s="52"/>
      <c r="L718" s="52"/>
      <c r="M718" s="52"/>
      <c r="N718" s="52"/>
      <c r="O718" s="5"/>
      <c r="P718" s="22"/>
      <c r="Q718" s="8"/>
      <c r="R718" s="8"/>
      <c r="S718" s="8"/>
      <c r="T718" s="8"/>
      <c r="U718" s="8"/>
      <c r="V718" s="8"/>
      <c r="W718" s="8"/>
      <c r="X718" s="8"/>
      <c r="Y718" s="8"/>
      <c r="Z718" s="8"/>
      <c r="AA718" s="8"/>
      <c r="AB718" s="8"/>
      <c r="AC718" s="8"/>
      <c r="AD718" s="24"/>
      <c r="AE718" s="24"/>
      <c r="AF718" s="8"/>
      <c r="AG718" s="8"/>
      <c r="AH718" s="8"/>
      <c r="AI718" s="8"/>
    </row>
    <row r="719" spans="1:35" ht="15.75" customHeight="1" x14ac:dyDescent="0.25">
      <c r="A719" s="8"/>
      <c r="B719" s="8"/>
      <c r="C719" s="8"/>
      <c r="D719" s="8"/>
      <c r="E719" s="50"/>
      <c r="F719" s="51"/>
      <c r="G719" s="51"/>
      <c r="H719" s="52"/>
      <c r="I719" s="52"/>
      <c r="J719" s="52"/>
      <c r="K719" s="52"/>
      <c r="L719" s="52"/>
      <c r="M719" s="48"/>
      <c r="N719" s="52"/>
      <c r="O719" s="5"/>
      <c r="P719" s="22"/>
      <c r="Q719" s="8"/>
      <c r="R719" s="8"/>
      <c r="S719" s="8"/>
      <c r="T719" s="8"/>
      <c r="U719" s="8"/>
      <c r="V719" s="8"/>
      <c r="W719" s="8"/>
      <c r="X719" s="8"/>
      <c r="Y719" s="8"/>
      <c r="Z719" s="8"/>
      <c r="AA719" s="8"/>
      <c r="AB719" s="8"/>
      <c r="AC719" s="8"/>
      <c r="AD719" s="24"/>
      <c r="AE719" s="24"/>
      <c r="AF719" s="8"/>
      <c r="AG719" s="8"/>
      <c r="AH719" s="8"/>
      <c r="AI719" s="8"/>
    </row>
    <row r="720" spans="1:35" ht="15.75" customHeight="1" x14ac:dyDescent="0.25">
      <c r="A720" s="8"/>
      <c r="B720" s="8"/>
      <c r="C720" s="8"/>
      <c r="D720" s="8"/>
      <c r="E720" s="50"/>
      <c r="F720" s="51"/>
      <c r="G720" s="51"/>
      <c r="H720" s="52"/>
      <c r="I720" s="52"/>
      <c r="J720" s="52"/>
      <c r="K720" s="52"/>
      <c r="L720" s="52"/>
      <c r="M720" s="52"/>
      <c r="N720" s="52"/>
      <c r="O720" s="5"/>
      <c r="P720" s="22"/>
      <c r="Q720" s="8"/>
      <c r="R720" s="8"/>
      <c r="S720" s="8"/>
      <c r="T720" s="8"/>
      <c r="U720" s="8"/>
      <c r="V720" s="8"/>
      <c r="W720" s="8"/>
      <c r="X720" s="8"/>
      <c r="Y720" s="8"/>
      <c r="Z720" s="8"/>
      <c r="AA720" s="8"/>
      <c r="AB720" s="8"/>
      <c r="AC720" s="8"/>
      <c r="AD720" s="24"/>
      <c r="AE720" s="24"/>
      <c r="AF720" s="8"/>
      <c r="AG720" s="8"/>
      <c r="AH720" s="8"/>
      <c r="AI720" s="8"/>
    </row>
    <row r="721" spans="1:35" ht="15.75" customHeight="1" x14ac:dyDescent="0.25">
      <c r="A721" s="8"/>
      <c r="B721" s="8"/>
      <c r="C721" s="8"/>
      <c r="D721" s="8"/>
      <c r="E721" s="50"/>
      <c r="F721" s="51"/>
      <c r="G721" s="51"/>
      <c r="H721" s="52"/>
      <c r="I721" s="52"/>
      <c r="J721" s="52"/>
      <c r="K721" s="52"/>
      <c r="L721" s="52"/>
      <c r="M721" s="48"/>
      <c r="N721" s="52"/>
      <c r="O721" s="5"/>
      <c r="P721" s="22"/>
      <c r="Q721" s="8"/>
      <c r="R721" s="8"/>
      <c r="S721" s="8"/>
      <c r="T721" s="8"/>
      <c r="U721" s="8"/>
      <c r="V721" s="8"/>
      <c r="W721" s="8"/>
      <c r="X721" s="8"/>
      <c r="Y721" s="8"/>
      <c r="Z721" s="8"/>
      <c r="AA721" s="8"/>
      <c r="AB721" s="8"/>
      <c r="AC721" s="8"/>
      <c r="AD721" s="24"/>
      <c r="AE721" s="24"/>
      <c r="AF721" s="8"/>
      <c r="AG721" s="8"/>
      <c r="AH721" s="8"/>
      <c r="AI721" s="8"/>
    </row>
    <row r="722" spans="1:35" ht="15.75" customHeight="1" x14ac:dyDescent="0.25">
      <c r="A722" s="8"/>
      <c r="B722" s="8"/>
      <c r="C722" s="8"/>
      <c r="D722" s="8"/>
      <c r="E722" s="50"/>
      <c r="F722" s="51"/>
      <c r="G722" s="51"/>
      <c r="H722" s="52"/>
      <c r="I722" s="52"/>
      <c r="J722" s="52"/>
      <c r="K722" s="52"/>
      <c r="L722" s="52"/>
      <c r="M722" s="48"/>
      <c r="N722" s="52"/>
      <c r="O722" s="5"/>
      <c r="P722" s="22"/>
      <c r="Q722" s="8"/>
      <c r="R722" s="8"/>
      <c r="S722" s="8"/>
      <c r="T722" s="8"/>
      <c r="U722" s="8"/>
      <c r="V722" s="8"/>
      <c r="W722" s="8"/>
      <c r="X722" s="8"/>
      <c r="Y722" s="8"/>
      <c r="Z722" s="8"/>
      <c r="AA722" s="8"/>
      <c r="AB722" s="8"/>
      <c r="AC722" s="8"/>
      <c r="AD722" s="24"/>
      <c r="AE722" s="24"/>
      <c r="AF722" s="8"/>
      <c r="AG722" s="8"/>
      <c r="AH722" s="8"/>
      <c r="AI722" s="8"/>
    </row>
    <row r="723" spans="1:35" ht="15.75" customHeight="1" x14ac:dyDescent="0.25">
      <c r="A723" s="8"/>
      <c r="B723" s="8"/>
      <c r="C723" s="8"/>
      <c r="D723" s="8"/>
      <c r="E723" s="50"/>
      <c r="F723" s="51"/>
      <c r="G723" s="51"/>
      <c r="H723" s="52"/>
      <c r="I723" s="52"/>
      <c r="J723" s="52"/>
      <c r="K723" s="52"/>
      <c r="L723" s="52"/>
      <c r="M723" s="52"/>
      <c r="N723" s="52"/>
      <c r="O723" s="5"/>
      <c r="P723" s="22"/>
      <c r="Q723" s="8"/>
      <c r="R723" s="8"/>
      <c r="S723" s="8"/>
      <c r="T723" s="8"/>
      <c r="U723" s="8"/>
      <c r="V723" s="8"/>
      <c r="W723" s="8"/>
      <c r="X723" s="8"/>
      <c r="Y723" s="8"/>
      <c r="Z723" s="8"/>
      <c r="AA723" s="8"/>
      <c r="AB723" s="8"/>
      <c r="AC723" s="8"/>
      <c r="AD723" s="24"/>
      <c r="AE723" s="24"/>
      <c r="AF723" s="8"/>
      <c r="AG723" s="8"/>
      <c r="AH723" s="8"/>
      <c r="AI723" s="8"/>
    </row>
    <row r="724" spans="1:35" ht="15.75" customHeight="1" x14ac:dyDescent="0.25">
      <c r="A724" s="8"/>
      <c r="B724" s="8"/>
      <c r="C724" s="8"/>
      <c r="D724" s="8"/>
      <c r="E724" s="50"/>
      <c r="F724" s="51"/>
      <c r="G724" s="51"/>
      <c r="H724" s="52"/>
      <c r="I724" s="52"/>
      <c r="J724" s="52"/>
      <c r="K724" s="52"/>
      <c r="L724" s="52"/>
      <c r="M724" s="52"/>
      <c r="N724" s="52"/>
      <c r="O724" s="5"/>
      <c r="P724" s="22"/>
      <c r="Q724" s="8"/>
      <c r="R724" s="8"/>
      <c r="S724" s="8"/>
      <c r="T724" s="8"/>
      <c r="U724" s="8"/>
      <c r="V724" s="8"/>
      <c r="W724" s="8"/>
      <c r="X724" s="8"/>
      <c r="Y724" s="8"/>
      <c r="Z724" s="8"/>
      <c r="AA724" s="8"/>
      <c r="AB724" s="8"/>
      <c r="AC724" s="8"/>
      <c r="AD724" s="24"/>
      <c r="AE724" s="24"/>
      <c r="AF724" s="8"/>
      <c r="AG724" s="8"/>
      <c r="AH724" s="8"/>
      <c r="AI724" s="8"/>
    </row>
    <row r="725" spans="1:35" ht="15.75" customHeight="1" x14ac:dyDescent="0.25">
      <c r="A725" s="8"/>
      <c r="B725" s="8"/>
      <c r="C725" s="8"/>
      <c r="D725" s="8"/>
      <c r="E725" s="50"/>
      <c r="F725" s="51"/>
      <c r="G725" s="51"/>
      <c r="H725" s="52"/>
      <c r="I725" s="52"/>
      <c r="J725" s="52"/>
      <c r="K725" s="52"/>
      <c r="L725" s="52"/>
      <c r="M725" s="49"/>
      <c r="N725" s="52"/>
      <c r="O725" s="5"/>
      <c r="P725" s="22"/>
      <c r="Q725" s="8"/>
      <c r="R725" s="8"/>
      <c r="S725" s="8"/>
      <c r="T725" s="8"/>
      <c r="U725" s="8"/>
      <c r="V725" s="8"/>
      <c r="W725" s="8"/>
      <c r="X725" s="8"/>
      <c r="Y725" s="8"/>
      <c r="Z725" s="8"/>
      <c r="AA725" s="8"/>
      <c r="AB725" s="8"/>
      <c r="AC725" s="8"/>
      <c r="AD725" s="24"/>
      <c r="AE725" s="24"/>
      <c r="AF725" s="8"/>
      <c r="AG725" s="8"/>
      <c r="AH725" s="8"/>
      <c r="AI725" s="8"/>
    </row>
    <row r="726" spans="1:35" ht="15.75" customHeight="1" x14ac:dyDescent="0.25">
      <c r="A726" s="8"/>
      <c r="B726" s="8"/>
      <c r="C726" s="8"/>
      <c r="D726" s="8"/>
      <c r="E726" s="50"/>
      <c r="F726" s="51"/>
      <c r="G726" s="51"/>
      <c r="H726" s="52"/>
      <c r="I726" s="52"/>
      <c r="J726" s="52"/>
      <c r="K726" s="52"/>
      <c r="L726" s="52"/>
      <c r="M726" s="48"/>
      <c r="N726" s="52"/>
      <c r="O726" s="5"/>
      <c r="P726" s="22"/>
      <c r="Q726" s="8"/>
      <c r="R726" s="8"/>
      <c r="S726" s="8"/>
      <c r="T726" s="8"/>
      <c r="U726" s="8"/>
      <c r="V726" s="8"/>
      <c r="W726" s="8"/>
      <c r="X726" s="8"/>
      <c r="Y726" s="8"/>
      <c r="Z726" s="8"/>
      <c r="AA726" s="8"/>
      <c r="AB726" s="8"/>
      <c r="AC726" s="8"/>
      <c r="AD726" s="24"/>
      <c r="AE726" s="24"/>
      <c r="AF726" s="8"/>
      <c r="AG726" s="8"/>
      <c r="AH726" s="8"/>
      <c r="AI726" s="8"/>
    </row>
    <row r="727" spans="1:35" ht="15.75" customHeight="1" x14ac:dyDescent="0.25">
      <c r="A727" s="8"/>
      <c r="B727" s="8"/>
      <c r="C727" s="8"/>
      <c r="D727" s="8"/>
      <c r="E727" s="50"/>
      <c r="F727" s="51"/>
      <c r="G727" s="51"/>
      <c r="H727" s="52"/>
      <c r="I727" s="52"/>
      <c r="J727" s="52"/>
      <c r="K727" s="52"/>
      <c r="L727" s="52"/>
      <c r="M727" s="52"/>
      <c r="N727" s="52"/>
      <c r="O727" s="5"/>
      <c r="P727" s="22"/>
      <c r="Q727" s="8"/>
      <c r="R727" s="8"/>
      <c r="S727" s="8"/>
      <c r="T727" s="8"/>
      <c r="U727" s="8"/>
      <c r="V727" s="8"/>
      <c r="W727" s="8"/>
      <c r="X727" s="8"/>
      <c r="Y727" s="8"/>
      <c r="Z727" s="8"/>
      <c r="AA727" s="8"/>
      <c r="AB727" s="8"/>
      <c r="AC727" s="8"/>
      <c r="AD727" s="24"/>
      <c r="AE727" s="24"/>
      <c r="AF727" s="8"/>
      <c r="AG727" s="8"/>
      <c r="AH727" s="8"/>
      <c r="AI727" s="8"/>
    </row>
    <row r="728" spans="1:35" ht="15.75" customHeight="1" x14ac:dyDescent="0.25">
      <c r="A728" s="8"/>
      <c r="B728" s="8"/>
      <c r="C728" s="8"/>
      <c r="D728" s="8"/>
      <c r="E728" s="50"/>
      <c r="F728" s="51"/>
      <c r="G728" s="51"/>
      <c r="H728" s="52"/>
      <c r="I728" s="52"/>
      <c r="J728" s="52"/>
      <c r="K728" s="52"/>
      <c r="L728" s="52"/>
      <c r="M728" s="48"/>
      <c r="N728" s="52"/>
      <c r="O728" s="5"/>
      <c r="P728" s="22"/>
      <c r="Q728" s="8"/>
      <c r="R728" s="8"/>
      <c r="S728" s="8"/>
      <c r="T728" s="8"/>
      <c r="U728" s="8"/>
      <c r="V728" s="8"/>
      <c r="W728" s="8"/>
      <c r="X728" s="8"/>
      <c r="Y728" s="8"/>
      <c r="Z728" s="8"/>
      <c r="AA728" s="8"/>
      <c r="AB728" s="8"/>
      <c r="AC728" s="8"/>
      <c r="AD728" s="24"/>
      <c r="AE728" s="24"/>
      <c r="AF728" s="8"/>
      <c r="AG728" s="8"/>
      <c r="AH728" s="8"/>
      <c r="AI728" s="8"/>
    </row>
    <row r="729" spans="1:35" ht="15.75" customHeight="1" x14ac:dyDescent="0.25">
      <c r="A729" s="8"/>
      <c r="B729" s="8"/>
      <c r="C729" s="8"/>
      <c r="D729" s="8"/>
      <c r="E729" s="50"/>
      <c r="F729" s="51"/>
      <c r="G729" s="51"/>
      <c r="H729" s="52"/>
      <c r="I729" s="52"/>
      <c r="J729" s="52"/>
      <c r="K729" s="52"/>
      <c r="L729" s="52"/>
      <c r="M729" s="52"/>
      <c r="N729" s="52"/>
      <c r="O729" s="5"/>
      <c r="P729" s="22"/>
      <c r="Q729" s="8"/>
      <c r="R729" s="8"/>
      <c r="S729" s="8"/>
      <c r="T729" s="8"/>
      <c r="U729" s="8"/>
      <c r="V729" s="8"/>
      <c r="W729" s="8"/>
      <c r="X729" s="8"/>
      <c r="Y729" s="8"/>
      <c r="Z729" s="8"/>
      <c r="AA729" s="8"/>
      <c r="AB729" s="8"/>
      <c r="AC729" s="8"/>
      <c r="AD729" s="24"/>
      <c r="AE729" s="24"/>
      <c r="AF729" s="8"/>
      <c r="AG729" s="8"/>
      <c r="AH729" s="8"/>
      <c r="AI729" s="8"/>
    </row>
    <row r="730" spans="1:35" ht="15.75" customHeight="1" x14ac:dyDescent="0.25">
      <c r="A730" s="8"/>
      <c r="B730" s="8"/>
      <c r="C730" s="8"/>
      <c r="D730" s="8"/>
      <c r="E730" s="50"/>
      <c r="F730" s="51"/>
      <c r="G730" s="51"/>
      <c r="H730" s="52"/>
      <c r="I730" s="52"/>
      <c r="J730" s="52"/>
      <c r="K730" s="52"/>
      <c r="L730" s="52"/>
      <c r="M730" s="48"/>
      <c r="N730" s="52"/>
      <c r="O730" s="5"/>
      <c r="P730" s="22"/>
      <c r="Q730" s="8"/>
      <c r="R730" s="8"/>
      <c r="S730" s="8"/>
      <c r="T730" s="8"/>
      <c r="U730" s="8"/>
      <c r="V730" s="8"/>
      <c r="W730" s="8"/>
      <c r="X730" s="8"/>
      <c r="Y730" s="8"/>
      <c r="Z730" s="8"/>
      <c r="AA730" s="8"/>
      <c r="AB730" s="8"/>
      <c r="AC730" s="8"/>
      <c r="AD730" s="24"/>
      <c r="AE730" s="24"/>
      <c r="AF730" s="8"/>
      <c r="AG730" s="8"/>
      <c r="AH730" s="8"/>
      <c r="AI730" s="8"/>
    </row>
    <row r="731" spans="1:35" ht="15.75" customHeight="1" x14ac:dyDescent="0.25">
      <c r="A731" s="8"/>
      <c r="B731" s="8"/>
      <c r="C731" s="8"/>
      <c r="D731" s="8"/>
      <c r="E731" s="50"/>
      <c r="F731" s="51"/>
      <c r="G731" s="51"/>
      <c r="H731" s="52"/>
      <c r="I731" s="52"/>
      <c r="J731" s="52"/>
      <c r="K731" s="52"/>
      <c r="L731" s="52"/>
      <c r="M731" s="52"/>
      <c r="N731" s="52"/>
      <c r="O731" s="5"/>
      <c r="P731" s="22"/>
      <c r="Q731" s="8"/>
      <c r="R731" s="8"/>
      <c r="S731" s="8"/>
      <c r="T731" s="8"/>
      <c r="U731" s="8"/>
      <c r="V731" s="8"/>
      <c r="W731" s="8"/>
      <c r="X731" s="8"/>
      <c r="Y731" s="8"/>
      <c r="Z731" s="8"/>
      <c r="AA731" s="8"/>
      <c r="AB731" s="8"/>
      <c r="AC731" s="8"/>
      <c r="AD731" s="24"/>
      <c r="AE731" s="24"/>
      <c r="AF731" s="8"/>
      <c r="AG731" s="8"/>
      <c r="AH731" s="8"/>
      <c r="AI731" s="8"/>
    </row>
    <row r="732" spans="1:35" ht="15.75" customHeight="1" x14ac:dyDescent="0.25">
      <c r="A732" s="8"/>
      <c r="B732" s="8"/>
      <c r="C732" s="8"/>
      <c r="D732" s="8"/>
      <c r="E732" s="50"/>
      <c r="F732" s="51"/>
      <c r="G732" s="51"/>
      <c r="H732" s="52"/>
      <c r="I732" s="52"/>
      <c r="J732" s="52"/>
      <c r="K732" s="52"/>
      <c r="L732" s="52"/>
      <c r="M732" s="48"/>
      <c r="N732" s="52"/>
      <c r="O732" s="5"/>
      <c r="P732" s="22"/>
      <c r="Q732" s="8"/>
      <c r="R732" s="8"/>
      <c r="S732" s="8"/>
      <c r="T732" s="8"/>
      <c r="U732" s="8"/>
      <c r="V732" s="8"/>
      <c r="W732" s="8"/>
      <c r="X732" s="8"/>
      <c r="Y732" s="8"/>
      <c r="Z732" s="8"/>
      <c r="AA732" s="8"/>
      <c r="AB732" s="8"/>
      <c r="AC732" s="8"/>
      <c r="AD732" s="24"/>
      <c r="AE732" s="24"/>
      <c r="AF732" s="8"/>
      <c r="AG732" s="8"/>
      <c r="AH732" s="8"/>
      <c r="AI732" s="8"/>
    </row>
    <row r="733" spans="1:35" ht="15.75" customHeight="1" x14ac:dyDescent="0.25">
      <c r="A733" s="8"/>
      <c r="B733" s="8"/>
      <c r="C733" s="8"/>
      <c r="D733" s="8"/>
      <c r="E733" s="50"/>
      <c r="F733" s="51"/>
      <c r="G733" s="51"/>
      <c r="H733" s="52"/>
      <c r="I733" s="52"/>
      <c r="J733" s="52"/>
      <c r="K733" s="52"/>
      <c r="L733" s="52"/>
      <c r="M733" s="48"/>
      <c r="N733" s="52"/>
      <c r="O733" s="5"/>
      <c r="P733" s="22"/>
      <c r="Q733" s="8"/>
      <c r="R733" s="8"/>
      <c r="S733" s="8"/>
      <c r="T733" s="8"/>
      <c r="U733" s="8"/>
      <c r="V733" s="8"/>
      <c r="W733" s="8"/>
      <c r="X733" s="8"/>
      <c r="Y733" s="8"/>
      <c r="Z733" s="8"/>
      <c r="AA733" s="8"/>
      <c r="AB733" s="8"/>
      <c r="AC733" s="8"/>
      <c r="AD733" s="24"/>
      <c r="AE733" s="24"/>
      <c r="AF733" s="8"/>
      <c r="AG733" s="8"/>
      <c r="AH733" s="8"/>
      <c r="AI733" s="8"/>
    </row>
    <row r="734" spans="1:35" ht="15.75" customHeight="1" x14ac:dyDescent="0.25">
      <c r="A734" s="8"/>
      <c r="B734" s="8"/>
      <c r="C734" s="8"/>
      <c r="D734" s="8"/>
      <c r="E734" s="50"/>
      <c r="F734" s="51"/>
      <c r="G734" s="51"/>
      <c r="H734" s="52"/>
      <c r="I734" s="52"/>
      <c r="J734" s="52"/>
      <c r="K734" s="52"/>
      <c r="L734" s="52"/>
      <c r="M734" s="48"/>
      <c r="N734" s="52"/>
      <c r="O734" s="5"/>
      <c r="P734" s="22"/>
      <c r="Q734" s="8"/>
      <c r="R734" s="8"/>
      <c r="S734" s="8"/>
      <c r="T734" s="8"/>
      <c r="U734" s="8"/>
      <c r="V734" s="8"/>
      <c r="W734" s="8"/>
      <c r="X734" s="8"/>
      <c r="Y734" s="8"/>
      <c r="Z734" s="8"/>
      <c r="AA734" s="8"/>
      <c r="AB734" s="8"/>
      <c r="AC734" s="8"/>
      <c r="AD734" s="24"/>
      <c r="AE734" s="24"/>
      <c r="AF734" s="8"/>
      <c r="AG734" s="8"/>
      <c r="AH734" s="8"/>
      <c r="AI734" s="8"/>
    </row>
    <row r="735" spans="1:35" ht="15.75" customHeight="1" x14ac:dyDescent="0.25">
      <c r="A735" s="8"/>
      <c r="B735" s="8"/>
      <c r="C735" s="8"/>
      <c r="D735" s="8"/>
      <c r="E735" s="50"/>
      <c r="F735" s="51"/>
      <c r="G735" s="51"/>
      <c r="H735" s="52"/>
      <c r="I735" s="52"/>
      <c r="J735" s="52"/>
      <c r="K735" s="52"/>
      <c r="L735" s="52"/>
      <c r="M735" s="48"/>
      <c r="N735" s="52"/>
      <c r="O735" s="5"/>
      <c r="P735" s="22"/>
      <c r="Q735" s="8"/>
      <c r="R735" s="8"/>
      <c r="S735" s="8"/>
      <c r="T735" s="8"/>
      <c r="U735" s="8"/>
      <c r="V735" s="8"/>
      <c r="W735" s="8"/>
      <c r="X735" s="8"/>
      <c r="Y735" s="8"/>
      <c r="Z735" s="8"/>
      <c r="AA735" s="8"/>
      <c r="AB735" s="8"/>
      <c r="AC735" s="8"/>
      <c r="AD735" s="24"/>
      <c r="AE735" s="24"/>
      <c r="AF735" s="8"/>
      <c r="AG735" s="8"/>
      <c r="AH735" s="8"/>
      <c r="AI735" s="8"/>
    </row>
    <row r="736" spans="1:35" ht="15.75" customHeight="1" x14ac:dyDescent="0.25">
      <c r="A736" s="8"/>
      <c r="B736" s="8"/>
      <c r="C736" s="8"/>
      <c r="D736" s="8"/>
      <c r="E736" s="50"/>
      <c r="F736" s="51"/>
      <c r="G736" s="51"/>
      <c r="H736" s="52"/>
      <c r="I736" s="52"/>
      <c r="J736" s="52"/>
      <c r="K736" s="52"/>
      <c r="L736" s="52"/>
      <c r="M736" s="48"/>
      <c r="N736" s="52"/>
      <c r="O736" s="5"/>
      <c r="P736" s="22"/>
      <c r="Q736" s="8"/>
      <c r="R736" s="8"/>
      <c r="S736" s="8"/>
      <c r="T736" s="8"/>
      <c r="U736" s="8"/>
      <c r="V736" s="8"/>
      <c r="W736" s="8"/>
      <c r="X736" s="8"/>
      <c r="Y736" s="8"/>
      <c r="Z736" s="8"/>
      <c r="AA736" s="8"/>
      <c r="AB736" s="8"/>
      <c r="AC736" s="8"/>
      <c r="AD736" s="24"/>
      <c r="AE736" s="24"/>
      <c r="AF736" s="8"/>
      <c r="AG736" s="8"/>
      <c r="AH736" s="8"/>
      <c r="AI736" s="8"/>
    </row>
    <row r="737" spans="1:35" ht="15.75" customHeight="1" x14ac:dyDescent="0.25">
      <c r="A737" s="8"/>
      <c r="B737" s="8"/>
      <c r="C737" s="8"/>
      <c r="D737" s="8"/>
      <c r="E737" s="50"/>
      <c r="F737" s="51"/>
      <c r="G737" s="51"/>
      <c r="H737" s="52"/>
      <c r="I737" s="52"/>
      <c r="J737" s="52"/>
      <c r="K737" s="52"/>
      <c r="L737" s="52"/>
      <c r="M737" s="48"/>
      <c r="N737" s="52"/>
      <c r="O737" s="5"/>
      <c r="P737" s="22"/>
      <c r="Q737" s="8"/>
      <c r="R737" s="8"/>
      <c r="S737" s="8"/>
      <c r="T737" s="8"/>
      <c r="U737" s="8"/>
      <c r="V737" s="8"/>
      <c r="W737" s="8"/>
      <c r="X737" s="8"/>
      <c r="Y737" s="8"/>
      <c r="Z737" s="8"/>
      <c r="AA737" s="8"/>
      <c r="AB737" s="8"/>
      <c r="AC737" s="8"/>
      <c r="AD737" s="24"/>
      <c r="AE737" s="24"/>
      <c r="AF737" s="8"/>
      <c r="AG737" s="8"/>
      <c r="AH737" s="8"/>
      <c r="AI737" s="8"/>
    </row>
    <row r="738" spans="1:35" ht="15.75" customHeight="1" x14ac:dyDescent="0.25">
      <c r="A738" s="8"/>
      <c r="B738" s="8"/>
      <c r="C738" s="8"/>
      <c r="D738" s="8"/>
      <c r="E738" s="50"/>
      <c r="F738" s="51"/>
      <c r="G738" s="51"/>
      <c r="H738" s="52"/>
      <c r="I738" s="52"/>
      <c r="J738" s="52"/>
      <c r="K738" s="52"/>
      <c r="L738" s="52"/>
      <c r="M738" s="48"/>
      <c r="N738" s="52"/>
      <c r="O738" s="5"/>
      <c r="P738" s="22"/>
      <c r="Q738" s="8"/>
      <c r="R738" s="8"/>
      <c r="S738" s="8"/>
      <c r="T738" s="8"/>
      <c r="U738" s="8"/>
      <c r="V738" s="8"/>
      <c r="W738" s="8"/>
      <c r="X738" s="8"/>
      <c r="Y738" s="8"/>
      <c r="Z738" s="8"/>
      <c r="AA738" s="8"/>
      <c r="AB738" s="8"/>
      <c r="AC738" s="8"/>
      <c r="AD738" s="24"/>
      <c r="AE738" s="24"/>
      <c r="AF738" s="8"/>
      <c r="AG738" s="8"/>
      <c r="AH738" s="8"/>
      <c r="AI738" s="8"/>
    </row>
    <row r="739" spans="1:35" ht="15.75" customHeight="1" x14ac:dyDescent="0.25">
      <c r="A739" s="8"/>
      <c r="B739" s="8"/>
      <c r="C739" s="8"/>
      <c r="D739" s="8"/>
      <c r="E739" s="50"/>
      <c r="F739" s="51"/>
      <c r="G739" s="51"/>
      <c r="H739" s="52"/>
      <c r="I739" s="52"/>
      <c r="J739" s="52"/>
      <c r="K739" s="52"/>
      <c r="L739" s="52"/>
      <c r="M739" s="48"/>
      <c r="N739" s="52"/>
      <c r="O739" s="5"/>
      <c r="P739" s="22"/>
      <c r="Q739" s="8"/>
      <c r="R739" s="8"/>
      <c r="S739" s="8"/>
      <c r="T739" s="8"/>
      <c r="U739" s="8"/>
      <c r="V739" s="8"/>
      <c r="W739" s="8"/>
      <c r="X739" s="8"/>
      <c r="Y739" s="8"/>
      <c r="Z739" s="8"/>
      <c r="AA739" s="8"/>
      <c r="AB739" s="8"/>
      <c r="AC739" s="8"/>
      <c r="AD739" s="24"/>
      <c r="AE739" s="24"/>
      <c r="AF739" s="8"/>
      <c r="AG739" s="8"/>
      <c r="AH739" s="8"/>
      <c r="AI739" s="8"/>
    </row>
    <row r="740" spans="1:35" ht="15.75" customHeight="1" x14ac:dyDescent="0.25">
      <c r="A740" s="8"/>
      <c r="B740" s="8"/>
      <c r="C740" s="8"/>
      <c r="D740" s="8"/>
      <c r="E740" s="50"/>
      <c r="F740" s="51"/>
      <c r="G740" s="51"/>
      <c r="H740" s="52"/>
      <c r="I740" s="52"/>
      <c r="J740" s="52"/>
      <c r="K740" s="52"/>
      <c r="L740" s="52"/>
      <c r="M740" s="48"/>
      <c r="N740" s="52"/>
      <c r="O740" s="22"/>
      <c r="P740" s="22"/>
      <c r="Q740" s="8"/>
      <c r="R740" s="8"/>
      <c r="S740" s="8"/>
      <c r="T740" s="8"/>
      <c r="U740" s="8"/>
      <c r="V740" s="8"/>
      <c r="W740" s="8"/>
      <c r="X740" s="8"/>
      <c r="Y740" s="8"/>
      <c r="Z740" s="8"/>
      <c r="AA740" s="8"/>
      <c r="AB740" s="8"/>
      <c r="AC740" s="8"/>
      <c r="AD740" s="24"/>
      <c r="AE740" s="24"/>
      <c r="AF740" s="8"/>
      <c r="AG740" s="8"/>
      <c r="AH740" s="8"/>
      <c r="AI740" s="8"/>
    </row>
    <row r="741" spans="1:35" ht="15.75" customHeight="1" x14ac:dyDescent="0.25">
      <c r="A741" s="8"/>
      <c r="B741" s="8"/>
      <c r="C741" s="8"/>
      <c r="D741" s="8"/>
      <c r="E741" s="50"/>
      <c r="F741" s="51"/>
      <c r="G741" s="51"/>
      <c r="H741" s="52"/>
      <c r="I741" s="52"/>
      <c r="J741" s="52"/>
      <c r="K741" s="52"/>
      <c r="L741" s="52"/>
      <c r="M741" s="48"/>
      <c r="N741" s="52"/>
      <c r="O741" s="22"/>
      <c r="P741" s="22"/>
      <c r="Q741" s="8"/>
      <c r="R741" s="8"/>
      <c r="S741" s="8"/>
      <c r="T741" s="8"/>
      <c r="U741" s="8"/>
      <c r="V741" s="8"/>
      <c r="W741" s="8"/>
      <c r="X741" s="8"/>
      <c r="Y741" s="8"/>
      <c r="Z741" s="8"/>
      <c r="AA741" s="8"/>
      <c r="AB741" s="8"/>
      <c r="AC741" s="8"/>
      <c r="AD741" s="24"/>
      <c r="AE741" s="24"/>
      <c r="AF741" s="8"/>
      <c r="AG741" s="8"/>
      <c r="AH741" s="8"/>
      <c r="AI741" s="8"/>
    </row>
    <row r="742" spans="1:35" ht="15.75" customHeight="1" x14ac:dyDescent="0.25">
      <c r="A742" s="8"/>
      <c r="B742" s="8"/>
      <c r="C742" s="8"/>
      <c r="D742" s="8"/>
      <c r="E742" s="50"/>
      <c r="F742" s="51"/>
      <c r="G742" s="51"/>
      <c r="H742" s="52"/>
      <c r="I742" s="52"/>
      <c r="J742" s="52"/>
      <c r="K742" s="52"/>
      <c r="L742" s="52"/>
      <c r="M742" s="48"/>
      <c r="N742" s="52"/>
      <c r="O742" s="22"/>
      <c r="P742" s="22"/>
      <c r="Q742" s="8"/>
      <c r="R742" s="8"/>
      <c r="S742" s="8"/>
      <c r="T742" s="8"/>
      <c r="U742" s="8"/>
      <c r="V742" s="8"/>
      <c r="W742" s="8"/>
      <c r="X742" s="8"/>
      <c r="Y742" s="8"/>
      <c r="Z742" s="8"/>
      <c r="AA742" s="8"/>
      <c r="AB742" s="8"/>
      <c r="AC742" s="8"/>
      <c r="AD742" s="24"/>
      <c r="AE742" s="24"/>
      <c r="AF742" s="8"/>
      <c r="AG742" s="8"/>
      <c r="AH742" s="8"/>
      <c r="AI742" s="8"/>
    </row>
    <row r="743" spans="1:35" ht="15.75" customHeight="1" x14ac:dyDescent="0.25">
      <c r="A743" s="8"/>
      <c r="B743" s="8"/>
      <c r="C743" s="8"/>
      <c r="D743" s="8"/>
      <c r="E743" s="50"/>
      <c r="F743" s="51"/>
      <c r="G743" s="51"/>
      <c r="H743" s="52"/>
      <c r="I743" s="52"/>
      <c r="J743" s="52"/>
      <c r="K743" s="52"/>
      <c r="L743" s="52"/>
      <c r="M743" s="48"/>
      <c r="N743" s="52"/>
      <c r="O743" s="22"/>
      <c r="P743" s="22"/>
      <c r="Q743" s="8"/>
      <c r="R743" s="8"/>
      <c r="S743" s="8"/>
      <c r="T743" s="8"/>
      <c r="U743" s="8"/>
      <c r="V743" s="8"/>
      <c r="W743" s="8"/>
      <c r="X743" s="8"/>
      <c r="Y743" s="8"/>
      <c r="Z743" s="8"/>
      <c r="AA743" s="8"/>
      <c r="AB743" s="8"/>
      <c r="AC743" s="8"/>
      <c r="AD743" s="24"/>
      <c r="AE743" s="24"/>
      <c r="AF743" s="8"/>
      <c r="AG743" s="8"/>
      <c r="AH743" s="8"/>
      <c r="AI743" s="8"/>
    </row>
    <row r="744" spans="1:35" ht="15.75" customHeight="1" x14ac:dyDescent="0.25">
      <c r="A744" s="8"/>
      <c r="B744" s="8"/>
      <c r="C744" s="8"/>
      <c r="D744" s="8"/>
      <c r="E744" s="50"/>
      <c r="F744" s="51"/>
      <c r="G744" s="51"/>
      <c r="H744" s="52"/>
      <c r="I744" s="52"/>
      <c r="J744" s="52"/>
      <c r="K744" s="52"/>
      <c r="L744" s="52"/>
      <c r="M744" s="48"/>
      <c r="N744" s="52"/>
      <c r="O744" s="22"/>
      <c r="P744" s="22"/>
      <c r="Q744" s="8"/>
      <c r="R744" s="8"/>
      <c r="S744" s="8"/>
      <c r="T744" s="8"/>
      <c r="U744" s="8"/>
      <c r="V744" s="8"/>
      <c r="W744" s="8"/>
      <c r="X744" s="8"/>
      <c r="Y744" s="8"/>
      <c r="Z744" s="8"/>
      <c r="AA744" s="8"/>
      <c r="AB744" s="8"/>
      <c r="AC744" s="8"/>
      <c r="AD744" s="24"/>
      <c r="AE744" s="24"/>
      <c r="AF744" s="8"/>
      <c r="AG744" s="8"/>
      <c r="AH744" s="8"/>
      <c r="AI744" s="8"/>
    </row>
    <row r="745" spans="1:35" ht="15.75" customHeight="1" x14ac:dyDescent="0.25">
      <c r="A745" s="8"/>
      <c r="B745" s="8"/>
      <c r="C745" s="8"/>
      <c r="D745" s="8"/>
      <c r="E745" s="50"/>
      <c r="F745" s="51"/>
      <c r="G745" s="51"/>
      <c r="H745" s="52"/>
      <c r="I745" s="52"/>
      <c r="J745" s="52"/>
      <c r="K745" s="52"/>
      <c r="L745" s="52"/>
      <c r="M745" s="48"/>
      <c r="N745" s="52"/>
      <c r="O745" s="22"/>
      <c r="P745" s="22"/>
      <c r="Q745" s="8"/>
      <c r="R745" s="8"/>
      <c r="S745" s="8"/>
      <c r="T745" s="8"/>
      <c r="U745" s="8"/>
      <c r="V745" s="8"/>
      <c r="W745" s="8"/>
      <c r="X745" s="8"/>
      <c r="Y745" s="8"/>
      <c r="Z745" s="8"/>
      <c r="AA745" s="8"/>
      <c r="AB745" s="8"/>
      <c r="AC745" s="8"/>
      <c r="AD745" s="24"/>
      <c r="AE745" s="24"/>
      <c r="AF745" s="8"/>
      <c r="AG745" s="8"/>
      <c r="AH745" s="8"/>
      <c r="AI745" s="8"/>
    </row>
    <row r="746" spans="1:35" ht="15.75" customHeight="1" x14ac:dyDescent="0.25">
      <c r="A746" s="8"/>
      <c r="B746" s="8"/>
      <c r="C746" s="8"/>
      <c r="D746" s="8"/>
      <c r="E746" s="50"/>
      <c r="F746" s="51"/>
      <c r="G746" s="51"/>
      <c r="H746" s="52"/>
      <c r="I746" s="52"/>
      <c r="J746" s="52"/>
      <c r="K746" s="52"/>
      <c r="L746" s="52"/>
      <c r="M746" s="52"/>
      <c r="N746" s="52"/>
      <c r="O746" s="22"/>
      <c r="P746" s="22"/>
      <c r="Q746" s="8"/>
      <c r="R746" s="8"/>
      <c r="S746" s="8"/>
      <c r="T746" s="8"/>
      <c r="U746" s="8"/>
      <c r="V746" s="8"/>
      <c r="W746" s="8"/>
      <c r="X746" s="8"/>
      <c r="Y746" s="8"/>
      <c r="Z746" s="8"/>
      <c r="AA746" s="8"/>
      <c r="AB746" s="8"/>
      <c r="AC746" s="8"/>
      <c r="AD746" s="24"/>
      <c r="AE746" s="24"/>
      <c r="AF746" s="8"/>
      <c r="AG746" s="8"/>
      <c r="AH746" s="8"/>
      <c r="AI746" s="8"/>
    </row>
    <row r="747" spans="1:35" ht="15.75" customHeight="1" x14ac:dyDescent="0.25">
      <c r="A747" s="8"/>
      <c r="B747" s="8"/>
      <c r="C747" s="8"/>
      <c r="D747" s="8"/>
      <c r="E747" s="50"/>
      <c r="F747" s="51"/>
      <c r="G747" s="51"/>
      <c r="H747" s="52"/>
      <c r="I747" s="52"/>
      <c r="J747" s="52"/>
      <c r="K747" s="52"/>
      <c r="L747" s="52"/>
      <c r="M747" s="48"/>
      <c r="N747" s="52"/>
      <c r="O747" s="22"/>
      <c r="P747" s="22"/>
      <c r="Q747" s="8"/>
      <c r="R747" s="8"/>
      <c r="S747" s="8"/>
      <c r="T747" s="8"/>
      <c r="U747" s="8"/>
      <c r="V747" s="8"/>
      <c r="W747" s="8"/>
      <c r="X747" s="8"/>
      <c r="Y747" s="8"/>
      <c r="Z747" s="8"/>
      <c r="AA747" s="8"/>
      <c r="AB747" s="8"/>
      <c r="AC747" s="8"/>
      <c r="AD747" s="24"/>
      <c r="AE747" s="24"/>
      <c r="AF747" s="8"/>
      <c r="AG747" s="8"/>
      <c r="AH747" s="8"/>
      <c r="AI747" s="8"/>
    </row>
    <row r="748" spans="1:35" ht="15.75" customHeight="1" x14ac:dyDescent="0.25">
      <c r="A748" s="8"/>
      <c r="B748" s="8"/>
      <c r="C748" s="8"/>
      <c r="D748" s="8"/>
      <c r="E748" s="50"/>
      <c r="F748" s="51"/>
      <c r="G748" s="51"/>
      <c r="H748" s="52"/>
      <c r="I748" s="52"/>
      <c r="J748" s="52"/>
      <c r="K748" s="52"/>
      <c r="L748" s="52"/>
      <c r="M748" s="52"/>
      <c r="N748" s="52"/>
      <c r="O748" s="22"/>
      <c r="P748" s="22"/>
      <c r="Q748" s="8"/>
      <c r="R748" s="8"/>
      <c r="S748" s="8"/>
      <c r="T748" s="8"/>
      <c r="U748" s="8"/>
      <c r="V748" s="8"/>
      <c r="W748" s="8"/>
      <c r="X748" s="8"/>
      <c r="Y748" s="8"/>
      <c r="Z748" s="8"/>
      <c r="AA748" s="8"/>
      <c r="AB748" s="8"/>
      <c r="AC748" s="8"/>
      <c r="AD748" s="24"/>
      <c r="AE748" s="24"/>
      <c r="AF748" s="8"/>
      <c r="AG748" s="8"/>
      <c r="AH748" s="8"/>
      <c r="AI748" s="8"/>
    </row>
    <row r="749" spans="1:35" ht="15.75" customHeight="1" x14ac:dyDescent="0.25">
      <c r="A749" s="8"/>
      <c r="B749" s="8"/>
      <c r="C749" s="8"/>
      <c r="D749" s="8"/>
      <c r="E749" s="50"/>
      <c r="F749" s="51"/>
      <c r="G749" s="51"/>
      <c r="H749" s="52"/>
      <c r="I749" s="52"/>
      <c r="J749" s="52"/>
      <c r="K749" s="52"/>
      <c r="L749" s="52"/>
      <c r="M749" s="49"/>
      <c r="N749" s="52"/>
      <c r="O749" s="22"/>
      <c r="P749" s="22"/>
      <c r="Q749" s="8"/>
      <c r="R749" s="8"/>
      <c r="S749" s="8"/>
      <c r="T749" s="8"/>
      <c r="U749" s="8"/>
      <c r="V749" s="8"/>
      <c r="W749" s="8"/>
      <c r="X749" s="8"/>
      <c r="Y749" s="8"/>
      <c r="Z749" s="8"/>
      <c r="AA749" s="8"/>
      <c r="AB749" s="8"/>
      <c r="AC749" s="8"/>
      <c r="AD749" s="24"/>
      <c r="AE749" s="24"/>
      <c r="AF749" s="8"/>
      <c r="AG749" s="8"/>
      <c r="AH749" s="8"/>
      <c r="AI749" s="8"/>
    </row>
    <row r="750" spans="1:35" ht="15.75" customHeight="1" x14ac:dyDescent="0.25">
      <c r="A750" s="8"/>
      <c r="B750" s="8"/>
      <c r="C750" s="8"/>
      <c r="D750" s="8"/>
      <c r="E750" s="50"/>
      <c r="F750" s="51"/>
      <c r="G750" s="51"/>
      <c r="H750" s="52"/>
      <c r="I750" s="52"/>
      <c r="J750" s="52"/>
      <c r="K750" s="52"/>
      <c r="L750" s="52"/>
      <c r="M750" s="48"/>
      <c r="N750" s="52"/>
      <c r="O750" s="22"/>
      <c r="P750" s="22"/>
      <c r="Q750" s="8"/>
      <c r="R750" s="8"/>
      <c r="S750" s="8"/>
      <c r="T750" s="8"/>
      <c r="U750" s="8"/>
      <c r="V750" s="8"/>
      <c r="W750" s="8"/>
      <c r="X750" s="8"/>
      <c r="Y750" s="8"/>
      <c r="Z750" s="8"/>
      <c r="AA750" s="8"/>
      <c r="AB750" s="8"/>
      <c r="AC750" s="8"/>
      <c r="AD750" s="24"/>
      <c r="AE750" s="24"/>
      <c r="AF750" s="8"/>
      <c r="AG750" s="8"/>
      <c r="AH750" s="8"/>
      <c r="AI750" s="8"/>
    </row>
    <row r="751" spans="1:35" ht="15.75" customHeight="1" x14ac:dyDescent="0.25">
      <c r="A751" s="8"/>
      <c r="B751" s="8"/>
      <c r="C751" s="8"/>
      <c r="D751" s="8"/>
      <c r="E751" s="50"/>
      <c r="F751" s="51"/>
      <c r="G751" s="51"/>
      <c r="H751" s="52"/>
      <c r="I751" s="52"/>
      <c r="J751" s="52"/>
      <c r="K751" s="52"/>
      <c r="L751" s="52"/>
      <c r="M751" s="48"/>
      <c r="N751" s="52"/>
      <c r="O751" s="22"/>
      <c r="P751" s="22"/>
      <c r="Q751" s="8"/>
      <c r="R751" s="8"/>
      <c r="S751" s="8"/>
      <c r="T751" s="8"/>
      <c r="U751" s="8"/>
      <c r="V751" s="8"/>
      <c r="W751" s="8"/>
      <c r="X751" s="8"/>
      <c r="Y751" s="8"/>
      <c r="Z751" s="8"/>
      <c r="AA751" s="8"/>
      <c r="AB751" s="8"/>
      <c r="AC751" s="8"/>
      <c r="AD751" s="24"/>
      <c r="AE751" s="24"/>
      <c r="AF751" s="8"/>
      <c r="AG751" s="8"/>
      <c r="AH751" s="8"/>
      <c r="AI751" s="8"/>
    </row>
    <row r="752" spans="1:35" ht="15.75" customHeight="1" x14ac:dyDescent="0.25">
      <c r="A752" s="8"/>
      <c r="B752" s="8"/>
      <c r="C752" s="8"/>
      <c r="D752" s="8"/>
      <c r="E752" s="50"/>
      <c r="F752" s="51"/>
      <c r="G752" s="51"/>
      <c r="H752" s="52"/>
      <c r="I752" s="52"/>
      <c r="J752" s="52"/>
      <c r="K752" s="52"/>
      <c r="L752" s="52"/>
      <c r="M752" s="48"/>
      <c r="N752" s="52"/>
      <c r="O752" s="22"/>
      <c r="P752" s="22"/>
      <c r="Q752" s="8"/>
      <c r="R752" s="8"/>
      <c r="S752" s="8"/>
      <c r="T752" s="8"/>
      <c r="U752" s="8"/>
      <c r="V752" s="8"/>
      <c r="W752" s="8"/>
      <c r="X752" s="8"/>
      <c r="Y752" s="8"/>
      <c r="Z752" s="8"/>
      <c r="AA752" s="8"/>
      <c r="AB752" s="8"/>
      <c r="AC752" s="8"/>
      <c r="AD752" s="24"/>
      <c r="AE752" s="24"/>
      <c r="AF752" s="8"/>
      <c r="AG752" s="8"/>
      <c r="AH752" s="8"/>
      <c r="AI752" s="8"/>
    </row>
    <row r="753" spans="1:35" ht="15.75" customHeight="1" x14ac:dyDescent="0.25">
      <c r="A753" s="8"/>
      <c r="B753" s="8"/>
      <c r="C753" s="8"/>
      <c r="D753" s="8"/>
      <c r="E753" s="50"/>
      <c r="F753" s="51"/>
      <c r="G753" s="51"/>
      <c r="H753" s="52"/>
      <c r="I753" s="52"/>
      <c r="J753" s="52"/>
      <c r="K753" s="52"/>
      <c r="L753" s="52"/>
      <c r="M753" s="48"/>
      <c r="N753" s="52"/>
      <c r="O753" s="22"/>
      <c r="P753" s="22"/>
      <c r="Q753" s="8"/>
      <c r="R753" s="8"/>
      <c r="S753" s="8"/>
      <c r="T753" s="8"/>
      <c r="U753" s="8"/>
      <c r="V753" s="8"/>
      <c r="W753" s="8"/>
      <c r="X753" s="8"/>
      <c r="Y753" s="8"/>
      <c r="Z753" s="8"/>
      <c r="AA753" s="8"/>
      <c r="AB753" s="8"/>
      <c r="AC753" s="8"/>
      <c r="AD753" s="24"/>
      <c r="AE753" s="24"/>
      <c r="AF753" s="8"/>
      <c r="AG753" s="8"/>
      <c r="AH753" s="8"/>
      <c r="AI753" s="8"/>
    </row>
    <row r="754" spans="1:35" ht="15.75" customHeight="1" x14ac:dyDescent="0.25">
      <c r="A754" s="8"/>
      <c r="B754" s="8"/>
      <c r="C754" s="8"/>
      <c r="D754" s="8"/>
      <c r="E754" s="50"/>
      <c r="F754" s="51"/>
      <c r="G754" s="51"/>
      <c r="H754" s="52"/>
      <c r="I754" s="52"/>
      <c r="J754" s="52"/>
      <c r="K754" s="52"/>
      <c r="L754" s="52"/>
      <c r="M754" s="49"/>
      <c r="N754" s="52"/>
      <c r="O754" s="22"/>
      <c r="P754" s="22"/>
      <c r="Q754" s="8"/>
      <c r="R754" s="8"/>
      <c r="S754" s="8"/>
      <c r="T754" s="8"/>
      <c r="U754" s="8"/>
      <c r="V754" s="8"/>
      <c r="W754" s="8"/>
      <c r="X754" s="8"/>
      <c r="Y754" s="8"/>
      <c r="Z754" s="8"/>
      <c r="AA754" s="8"/>
      <c r="AB754" s="8"/>
      <c r="AC754" s="8"/>
      <c r="AD754" s="24"/>
      <c r="AE754" s="24"/>
      <c r="AF754" s="8"/>
      <c r="AG754" s="8"/>
      <c r="AH754" s="8"/>
      <c r="AI754" s="8"/>
    </row>
    <row r="755" spans="1:35" ht="15.75" customHeight="1" x14ac:dyDescent="0.25">
      <c r="A755" s="8"/>
      <c r="B755" s="8"/>
      <c r="C755" s="8"/>
      <c r="D755" s="8"/>
      <c r="E755" s="50"/>
      <c r="F755" s="51"/>
      <c r="G755" s="51"/>
      <c r="H755" s="52"/>
      <c r="I755" s="52"/>
      <c r="J755" s="52"/>
      <c r="K755" s="52"/>
      <c r="L755" s="52"/>
      <c r="M755" s="48"/>
      <c r="N755" s="52"/>
      <c r="O755" s="22"/>
      <c r="P755" s="22"/>
      <c r="Q755" s="8"/>
      <c r="R755" s="8"/>
      <c r="S755" s="8"/>
      <c r="T755" s="8"/>
      <c r="U755" s="8"/>
      <c r="V755" s="8"/>
      <c r="W755" s="8"/>
      <c r="X755" s="8"/>
      <c r="Y755" s="8"/>
      <c r="Z755" s="8"/>
      <c r="AA755" s="8"/>
      <c r="AB755" s="8"/>
      <c r="AC755" s="8"/>
      <c r="AD755" s="24"/>
      <c r="AE755" s="24"/>
      <c r="AF755" s="8"/>
      <c r="AG755" s="8"/>
      <c r="AH755" s="8"/>
      <c r="AI755" s="8"/>
    </row>
    <row r="756" spans="1:35" ht="15.75" customHeight="1" x14ac:dyDescent="0.25">
      <c r="A756" s="8"/>
      <c r="B756" s="8"/>
      <c r="C756" s="8"/>
      <c r="D756" s="8"/>
      <c r="E756" s="50"/>
      <c r="F756" s="51"/>
      <c r="G756" s="51"/>
      <c r="H756" s="52"/>
      <c r="I756" s="52"/>
      <c r="J756" s="52"/>
      <c r="K756" s="52"/>
      <c r="L756" s="52"/>
      <c r="M756" s="49"/>
      <c r="N756" s="52"/>
      <c r="O756" s="22"/>
      <c r="P756" s="22"/>
      <c r="Q756" s="8"/>
      <c r="R756" s="8"/>
      <c r="S756" s="8"/>
      <c r="T756" s="8"/>
      <c r="U756" s="8"/>
      <c r="V756" s="8"/>
      <c r="W756" s="8"/>
      <c r="X756" s="8"/>
      <c r="Y756" s="8"/>
      <c r="Z756" s="8"/>
      <c r="AA756" s="8"/>
      <c r="AB756" s="8"/>
      <c r="AC756" s="8"/>
      <c r="AD756" s="24"/>
      <c r="AE756" s="24"/>
      <c r="AF756" s="8"/>
      <c r="AG756" s="8"/>
      <c r="AH756" s="8"/>
      <c r="AI756" s="8"/>
    </row>
    <row r="757" spans="1:35" ht="15.75" customHeight="1" x14ac:dyDescent="0.25">
      <c r="A757" s="8"/>
      <c r="B757" s="8"/>
      <c r="C757" s="8"/>
      <c r="D757" s="8"/>
      <c r="E757" s="50"/>
      <c r="F757" s="51"/>
      <c r="G757" s="51"/>
      <c r="H757" s="52"/>
      <c r="I757" s="52"/>
      <c r="J757" s="52"/>
      <c r="K757" s="52"/>
      <c r="L757" s="52"/>
      <c r="M757" s="52"/>
      <c r="N757" s="52"/>
      <c r="O757" s="22"/>
      <c r="P757" s="22"/>
      <c r="Q757" s="8"/>
      <c r="R757" s="8"/>
      <c r="S757" s="8"/>
      <c r="T757" s="8"/>
      <c r="U757" s="8"/>
      <c r="V757" s="8"/>
      <c r="W757" s="8"/>
      <c r="X757" s="8"/>
      <c r="Y757" s="8"/>
      <c r="Z757" s="8"/>
      <c r="AA757" s="8"/>
      <c r="AB757" s="8"/>
      <c r="AC757" s="8"/>
      <c r="AD757" s="24"/>
      <c r="AE757" s="24"/>
      <c r="AF757" s="8"/>
      <c r="AG757" s="8"/>
      <c r="AH757" s="8"/>
      <c r="AI757" s="8"/>
    </row>
    <row r="758" spans="1:35" ht="15.75" customHeight="1" x14ac:dyDescent="0.25">
      <c r="A758" s="8"/>
      <c r="B758" s="8"/>
      <c r="C758" s="8"/>
      <c r="D758" s="8"/>
      <c r="E758" s="50"/>
      <c r="F758" s="51"/>
      <c r="G758" s="51"/>
      <c r="H758" s="52"/>
      <c r="I758" s="52"/>
      <c r="J758" s="52"/>
      <c r="K758" s="52"/>
      <c r="L758" s="52"/>
      <c r="M758" s="48"/>
      <c r="N758" s="52"/>
      <c r="O758" s="22"/>
      <c r="P758" s="22"/>
      <c r="Q758" s="8"/>
      <c r="R758" s="8"/>
      <c r="S758" s="8"/>
      <c r="T758" s="8"/>
      <c r="U758" s="8"/>
      <c r="V758" s="8"/>
      <c r="W758" s="8"/>
      <c r="X758" s="8"/>
      <c r="Y758" s="8"/>
      <c r="Z758" s="8"/>
      <c r="AA758" s="8"/>
      <c r="AB758" s="8"/>
      <c r="AC758" s="8"/>
      <c r="AD758" s="24"/>
      <c r="AE758" s="24"/>
      <c r="AF758" s="8"/>
      <c r="AG758" s="8"/>
      <c r="AH758" s="8"/>
      <c r="AI758" s="8"/>
    </row>
    <row r="759" spans="1:35" ht="15.75" customHeight="1" x14ac:dyDescent="0.25">
      <c r="A759" s="8"/>
      <c r="B759" s="8"/>
      <c r="C759" s="8"/>
      <c r="D759" s="8"/>
      <c r="E759" s="50"/>
      <c r="F759" s="51"/>
      <c r="G759" s="51"/>
      <c r="H759" s="52"/>
      <c r="I759" s="52"/>
      <c r="J759" s="52"/>
      <c r="K759" s="52"/>
      <c r="L759" s="52"/>
      <c r="M759" s="48"/>
      <c r="N759" s="52"/>
      <c r="O759" s="22"/>
      <c r="P759" s="22"/>
      <c r="Q759" s="8"/>
      <c r="R759" s="8"/>
      <c r="S759" s="8"/>
      <c r="T759" s="8"/>
      <c r="U759" s="8"/>
      <c r="V759" s="8"/>
      <c r="W759" s="8"/>
      <c r="X759" s="8"/>
      <c r="Y759" s="8"/>
      <c r="Z759" s="8"/>
      <c r="AA759" s="8"/>
      <c r="AB759" s="8"/>
      <c r="AC759" s="8"/>
      <c r="AD759" s="24"/>
      <c r="AE759" s="24"/>
      <c r="AF759" s="8"/>
      <c r="AG759" s="8"/>
      <c r="AH759" s="8"/>
      <c r="AI759" s="8"/>
    </row>
    <row r="760" spans="1:35" ht="15.75" customHeight="1" x14ac:dyDescent="0.25">
      <c r="A760" s="8"/>
      <c r="B760" s="8"/>
      <c r="C760" s="8"/>
      <c r="D760" s="8"/>
      <c r="E760" s="50"/>
      <c r="F760" s="51"/>
      <c r="G760" s="51"/>
      <c r="H760" s="52"/>
      <c r="I760" s="52"/>
      <c r="J760" s="52"/>
      <c r="K760" s="52"/>
      <c r="L760" s="52"/>
      <c r="M760" s="48"/>
      <c r="N760" s="52"/>
      <c r="O760" s="22"/>
      <c r="P760" s="22"/>
      <c r="Q760" s="8"/>
      <c r="R760" s="8"/>
      <c r="S760" s="8"/>
      <c r="T760" s="8"/>
      <c r="U760" s="8"/>
      <c r="V760" s="8"/>
      <c r="W760" s="8"/>
      <c r="X760" s="8"/>
      <c r="Y760" s="8"/>
      <c r="Z760" s="8"/>
      <c r="AA760" s="8"/>
      <c r="AB760" s="8"/>
      <c r="AC760" s="8"/>
      <c r="AD760" s="24"/>
      <c r="AE760" s="24"/>
      <c r="AF760" s="8"/>
      <c r="AG760" s="8"/>
      <c r="AH760" s="8"/>
      <c r="AI760" s="8"/>
    </row>
    <row r="761" spans="1:35" ht="15.75" customHeight="1" x14ac:dyDescent="0.25">
      <c r="A761" s="8"/>
      <c r="B761" s="8"/>
      <c r="C761" s="8"/>
      <c r="D761" s="8"/>
      <c r="E761" s="50"/>
      <c r="F761" s="51"/>
      <c r="G761" s="51"/>
      <c r="H761" s="52"/>
      <c r="I761" s="52"/>
      <c r="J761" s="52"/>
      <c r="K761" s="52"/>
      <c r="L761" s="52"/>
      <c r="M761" s="52"/>
      <c r="N761" s="52"/>
      <c r="O761" s="22"/>
      <c r="P761" s="22"/>
      <c r="Q761" s="8"/>
      <c r="R761" s="8"/>
      <c r="S761" s="8"/>
      <c r="T761" s="8"/>
      <c r="U761" s="8"/>
      <c r="V761" s="8"/>
      <c r="W761" s="8"/>
      <c r="X761" s="8"/>
      <c r="Y761" s="8"/>
      <c r="Z761" s="8"/>
      <c r="AA761" s="8"/>
      <c r="AB761" s="8"/>
      <c r="AC761" s="8"/>
      <c r="AD761" s="24"/>
      <c r="AE761" s="24"/>
      <c r="AF761" s="8"/>
      <c r="AG761" s="8"/>
      <c r="AH761" s="8"/>
      <c r="AI761" s="8"/>
    </row>
    <row r="762" spans="1:35" ht="15.75" customHeight="1" x14ac:dyDescent="0.25">
      <c r="A762" s="8"/>
      <c r="B762" s="8"/>
      <c r="C762" s="8"/>
      <c r="D762" s="8"/>
      <c r="E762" s="50"/>
      <c r="F762" s="51"/>
      <c r="G762" s="51"/>
      <c r="H762" s="52"/>
      <c r="I762" s="52"/>
      <c r="J762" s="52"/>
      <c r="K762" s="52"/>
      <c r="L762" s="52"/>
      <c r="M762" s="52"/>
      <c r="N762" s="52"/>
      <c r="O762" s="22"/>
      <c r="P762" s="22"/>
      <c r="Q762" s="8"/>
      <c r="R762" s="8"/>
      <c r="S762" s="8"/>
      <c r="T762" s="8"/>
      <c r="U762" s="8"/>
      <c r="V762" s="8"/>
      <c r="W762" s="8"/>
      <c r="X762" s="8"/>
      <c r="Y762" s="8"/>
      <c r="Z762" s="8"/>
      <c r="AA762" s="8"/>
      <c r="AB762" s="8"/>
      <c r="AC762" s="8"/>
      <c r="AD762" s="24"/>
      <c r="AE762" s="24"/>
      <c r="AF762" s="8"/>
      <c r="AG762" s="8"/>
      <c r="AH762" s="8"/>
      <c r="AI762" s="8"/>
    </row>
    <row r="763" spans="1:35" ht="15.75" customHeight="1" x14ac:dyDescent="0.25">
      <c r="A763" s="8"/>
      <c r="B763" s="8"/>
      <c r="C763" s="8"/>
      <c r="D763" s="8"/>
      <c r="E763" s="50"/>
      <c r="F763" s="51"/>
      <c r="G763" s="51"/>
      <c r="H763" s="52"/>
      <c r="I763" s="52"/>
      <c r="J763" s="52"/>
      <c r="K763" s="52"/>
      <c r="L763" s="52"/>
      <c r="M763" s="48"/>
      <c r="N763" s="52"/>
      <c r="O763" s="22"/>
      <c r="P763" s="22"/>
      <c r="Q763" s="8"/>
      <c r="R763" s="8"/>
      <c r="S763" s="8"/>
      <c r="T763" s="8"/>
      <c r="U763" s="8"/>
      <c r="V763" s="8"/>
      <c r="W763" s="8"/>
      <c r="X763" s="8"/>
      <c r="Y763" s="8"/>
      <c r="Z763" s="8"/>
      <c r="AA763" s="8"/>
      <c r="AB763" s="8"/>
      <c r="AC763" s="8"/>
      <c r="AD763" s="24"/>
      <c r="AE763" s="24"/>
      <c r="AF763" s="8"/>
      <c r="AG763" s="8"/>
      <c r="AH763" s="8"/>
      <c r="AI763" s="8"/>
    </row>
    <row r="764" spans="1:35" ht="15.75" customHeight="1" x14ac:dyDescent="0.25">
      <c r="A764" s="8"/>
      <c r="B764" s="8"/>
      <c r="C764" s="8"/>
      <c r="D764" s="8"/>
      <c r="E764" s="50"/>
      <c r="F764" s="51"/>
      <c r="G764" s="51"/>
      <c r="H764" s="52"/>
      <c r="I764" s="52"/>
      <c r="J764" s="52"/>
      <c r="K764" s="52"/>
      <c r="L764" s="52"/>
      <c r="M764" s="48"/>
      <c r="N764" s="52"/>
      <c r="O764" s="22"/>
      <c r="P764" s="22"/>
      <c r="Q764" s="8"/>
      <c r="R764" s="8"/>
      <c r="S764" s="8"/>
      <c r="T764" s="8"/>
      <c r="U764" s="8"/>
      <c r="V764" s="8"/>
      <c r="W764" s="8"/>
      <c r="X764" s="8"/>
      <c r="Y764" s="8"/>
      <c r="Z764" s="8"/>
      <c r="AA764" s="8"/>
      <c r="AB764" s="8"/>
      <c r="AC764" s="8"/>
      <c r="AD764" s="24"/>
      <c r="AE764" s="24"/>
      <c r="AF764" s="8"/>
      <c r="AG764" s="8"/>
      <c r="AH764" s="8"/>
      <c r="AI764" s="8"/>
    </row>
    <row r="765" spans="1:35" ht="15.75" customHeight="1" x14ac:dyDescent="0.25">
      <c r="A765" s="8"/>
      <c r="B765" s="8"/>
      <c r="C765" s="8"/>
      <c r="D765" s="8"/>
      <c r="E765" s="50"/>
      <c r="F765" s="51"/>
      <c r="G765" s="51"/>
      <c r="H765" s="52"/>
      <c r="I765" s="52"/>
      <c r="J765" s="52"/>
      <c r="K765" s="52"/>
      <c r="L765" s="52"/>
      <c r="M765" s="48"/>
      <c r="N765" s="52"/>
      <c r="O765" s="22"/>
      <c r="P765" s="22"/>
      <c r="Q765" s="8"/>
      <c r="R765" s="8"/>
      <c r="S765" s="8"/>
      <c r="T765" s="8"/>
      <c r="U765" s="8"/>
      <c r="V765" s="8"/>
      <c r="W765" s="8"/>
      <c r="X765" s="8"/>
      <c r="Y765" s="8"/>
      <c r="Z765" s="8"/>
      <c r="AA765" s="8"/>
      <c r="AB765" s="8"/>
      <c r="AC765" s="8"/>
      <c r="AD765" s="24"/>
      <c r="AE765" s="24"/>
      <c r="AF765" s="8"/>
      <c r="AG765" s="8"/>
      <c r="AH765" s="8"/>
      <c r="AI765" s="8"/>
    </row>
    <row r="766" spans="1:35" ht="15.75" customHeight="1" x14ac:dyDescent="0.25">
      <c r="A766" s="8"/>
      <c r="B766" s="8"/>
      <c r="C766" s="8"/>
      <c r="D766" s="8"/>
      <c r="E766" s="50"/>
      <c r="F766" s="51"/>
      <c r="G766" s="51"/>
      <c r="H766" s="52"/>
      <c r="I766" s="52"/>
      <c r="J766" s="52"/>
      <c r="K766" s="52"/>
      <c r="L766" s="52"/>
      <c r="M766" s="48"/>
      <c r="N766" s="52"/>
      <c r="O766" s="22"/>
      <c r="P766" s="22"/>
      <c r="Q766" s="8"/>
      <c r="R766" s="8"/>
      <c r="S766" s="8"/>
      <c r="T766" s="8"/>
      <c r="U766" s="8"/>
      <c r="V766" s="8"/>
      <c r="W766" s="8"/>
      <c r="X766" s="8"/>
      <c r="Y766" s="8"/>
      <c r="Z766" s="8"/>
      <c r="AA766" s="8"/>
      <c r="AB766" s="8"/>
      <c r="AC766" s="8"/>
      <c r="AD766" s="24"/>
      <c r="AE766" s="24"/>
      <c r="AF766" s="8"/>
      <c r="AG766" s="8"/>
      <c r="AH766" s="8"/>
      <c r="AI766" s="8"/>
    </row>
    <row r="767" spans="1:35" ht="15.75" customHeight="1" x14ac:dyDescent="0.25">
      <c r="A767" s="8"/>
      <c r="B767" s="8"/>
      <c r="C767" s="8"/>
      <c r="D767" s="8"/>
      <c r="E767" s="50"/>
      <c r="F767" s="51"/>
      <c r="G767" s="51"/>
      <c r="H767" s="52"/>
      <c r="I767" s="52"/>
      <c r="J767" s="52"/>
      <c r="K767" s="52"/>
      <c r="L767" s="52"/>
      <c r="M767" s="52"/>
      <c r="N767" s="52"/>
      <c r="O767" s="22"/>
      <c r="P767" s="22"/>
      <c r="Q767" s="8"/>
      <c r="R767" s="8"/>
      <c r="S767" s="8"/>
      <c r="T767" s="8"/>
      <c r="U767" s="8"/>
      <c r="V767" s="8"/>
      <c r="W767" s="8"/>
      <c r="X767" s="8"/>
      <c r="Y767" s="8"/>
      <c r="Z767" s="8"/>
      <c r="AA767" s="8"/>
      <c r="AB767" s="8"/>
      <c r="AC767" s="8"/>
      <c r="AD767" s="24"/>
      <c r="AE767" s="24"/>
      <c r="AF767" s="8"/>
      <c r="AG767" s="8"/>
      <c r="AH767" s="8"/>
      <c r="AI767" s="8"/>
    </row>
    <row r="768" spans="1:35" ht="15.75" customHeight="1" x14ac:dyDescent="0.25">
      <c r="A768" s="8"/>
      <c r="B768" s="8"/>
      <c r="C768" s="8"/>
      <c r="D768" s="8"/>
      <c r="E768" s="50"/>
      <c r="F768" s="51"/>
      <c r="G768" s="51"/>
      <c r="H768" s="52"/>
      <c r="I768" s="52"/>
      <c r="J768" s="52"/>
      <c r="K768" s="52"/>
      <c r="L768" s="52"/>
      <c r="M768" s="48"/>
      <c r="N768" s="52"/>
      <c r="O768" s="22"/>
      <c r="P768" s="22"/>
      <c r="Q768" s="8"/>
      <c r="R768" s="8"/>
      <c r="S768" s="8"/>
      <c r="T768" s="8"/>
      <c r="U768" s="8"/>
      <c r="V768" s="8"/>
      <c r="W768" s="8"/>
      <c r="X768" s="8"/>
      <c r="Y768" s="8"/>
      <c r="Z768" s="8"/>
      <c r="AA768" s="8"/>
      <c r="AB768" s="8"/>
      <c r="AC768" s="8"/>
      <c r="AD768" s="24"/>
      <c r="AE768" s="24"/>
      <c r="AF768" s="8"/>
      <c r="AG768" s="8"/>
      <c r="AH768" s="8"/>
      <c r="AI768" s="8"/>
    </row>
    <row r="769" spans="1:35" ht="15.75" customHeight="1" x14ac:dyDescent="0.25">
      <c r="A769" s="8"/>
      <c r="B769" s="8"/>
      <c r="C769" s="8"/>
      <c r="D769" s="8"/>
      <c r="E769" s="50"/>
      <c r="F769" s="51"/>
      <c r="G769" s="51"/>
      <c r="H769" s="52"/>
      <c r="I769" s="52"/>
      <c r="J769" s="52"/>
      <c r="K769" s="52"/>
      <c r="L769" s="52"/>
      <c r="M769" s="48"/>
      <c r="N769" s="52"/>
      <c r="O769" s="22"/>
      <c r="P769" s="22"/>
      <c r="Q769" s="8"/>
      <c r="R769" s="8"/>
      <c r="S769" s="8"/>
      <c r="T769" s="8"/>
      <c r="U769" s="8"/>
      <c r="V769" s="8"/>
      <c r="W769" s="8"/>
      <c r="X769" s="8"/>
      <c r="Y769" s="8"/>
      <c r="Z769" s="8"/>
      <c r="AA769" s="8"/>
      <c r="AB769" s="8"/>
      <c r="AC769" s="8"/>
      <c r="AD769" s="24"/>
      <c r="AE769" s="24"/>
      <c r="AF769" s="8"/>
      <c r="AG769" s="8"/>
      <c r="AH769" s="8"/>
      <c r="AI769" s="8"/>
    </row>
    <row r="770" spans="1:35" ht="15.75" customHeight="1" x14ac:dyDescent="0.25">
      <c r="A770" s="8"/>
      <c r="B770" s="8"/>
      <c r="C770" s="8"/>
      <c r="D770" s="8"/>
      <c r="E770" s="50"/>
      <c r="F770" s="51"/>
      <c r="G770" s="51"/>
      <c r="H770" s="52"/>
      <c r="I770" s="52"/>
      <c r="J770" s="52"/>
      <c r="K770" s="52"/>
      <c r="L770" s="52"/>
      <c r="M770" s="48"/>
      <c r="N770" s="52"/>
      <c r="O770" s="22"/>
      <c r="P770" s="22"/>
      <c r="Q770" s="8"/>
      <c r="R770" s="8"/>
      <c r="S770" s="8"/>
      <c r="T770" s="8"/>
      <c r="U770" s="8"/>
      <c r="V770" s="8"/>
      <c r="W770" s="8"/>
      <c r="X770" s="8"/>
      <c r="Y770" s="8"/>
      <c r="Z770" s="8"/>
      <c r="AA770" s="8"/>
      <c r="AB770" s="8"/>
      <c r="AC770" s="8"/>
      <c r="AD770" s="24"/>
      <c r="AE770" s="24"/>
      <c r="AF770" s="8"/>
      <c r="AG770" s="8"/>
      <c r="AH770" s="8"/>
      <c r="AI770" s="8"/>
    </row>
    <row r="771" spans="1:35" ht="15.75" customHeight="1" x14ac:dyDescent="0.25">
      <c r="A771" s="8"/>
      <c r="B771" s="8"/>
      <c r="C771" s="8"/>
      <c r="D771" s="8"/>
      <c r="E771" s="50"/>
      <c r="F771" s="51"/>
      <c r="G771" s="51"/>
      <c r="H771" s="52"/>
      <c r="I771" s="52"/>
      <c r="J771" s="52"/>
      <c r="K771" s="52"/>
      <c r="L771" s="52"/>
      <c r="M771" s="48"/>
      <c r="N771" s="52"/>
      <c r="O771" s="22"/>
      <c r="P771" s="22"/>
      <c r="Q771" s="8"/>
      <c r="R771" s="8"/>
      <c r="S771" s="8"/>
      <c r="T771" s="8"/>
      <c r="U771" s="8"/>
      <c r="V771" s="8"/>
      <c r="W771" s="8"/>
      <c r="X771" s="8"/>
      <c r="Y771" s="8"/>
      <c r="Z771" s="8"/>
      <c r="AA771" s="8"/>
      <c r="AB771" s="8"/>
      <c r="AC771" s="8"/>
      <c r="AD771" s="24"/>
      <c r="AE771" s="24"/>
      <c r="AF771" s="8"/>
      <c r="AG771" s="8"/>
      <c r="AH771" s="8"/>
      <c r="AI771" s="8"/>
    </row>
    <row r="772" spans="1:35" ht="15.75" customHeight="1" x14ac:dyDescent="0.25">
      <c r="A772" s="8"/>
      <c r="B772" s="8"/>
      <c r="C772" s="8"/>
      <c r="D772" s="8"/>
      <c r="E772" s="50"/>
      <c r="F772" s="51"/>
      <c r="G772" s="51"/>
      <c r="H772" s="52"/>
      <c r="I772" s="52"/>
      <c r="J772" s="52"/>
      <c r="K772" s="52"/>
      <c r="L772" s="52"/>
      <c r="M772" s="48"/>
      <c r="N772" s="52"/>
      <c r="O772" s="22"/>
      <c r="P772" s="22"/>
      <c r="Q772" s="8"/>
      <c r="R772" s="8"/>
      <c r="S772" s="8"/>
      <c r="T772" s="8"/>
      <c r="U772" s="8"/>
      <c r="V772" s="8"/>
      <c r="W772" s="8"/>
      <c r="X772" s="8"/>
      <c r="Y772" s="8"/>
      <c r="Z772" s="8"/>
      <c r="AA772" s="8"/>
      <c r="AB772" s="8"/>
      <c r="AC772" s="8"/>
      <c r="AD772" s="24"/>
      <c r="AE772" s="24"/>
      <c r="AF772" s="8"/>
      <c r="AG772" s="8"/>
      <c r="AH772" s="8"/>
      <c r="AI772" s="8"/>
    </row>
    <row r="773" spans="1:35" ht="15.75" customHeight="1" x14ac:dyDescent="0.25">
      <c r="A773" s="8"/>
      <c r="B773" s="8"/>
      <c r="C773" s="8"/>
      <c r="D773" s="8"/>
      <c r="E773" s="50"/>
      <c r="F773" s="51"/>
      <c r="G773" s="51"/>
      <c r="H773" s="52"/>
      <c r="I773" s="52"/>
      <c r="J773" s="52"/>
      <c r="K773" s="52"/>
      <c r="L773" s="52"/>
      <c r="M773" s="48"/>
      <c r="N773" s="52"/>
      <c r="O773" s="22"/>
      <c r="P773" s="22"/>
      <c r="Q773" s="8"/>
      <c r="R773" s="8"/>
      <c r="S773" s="8"/>
      <c r="T773" s="8"/>
      <c r="U773" s="8"/>
      <c r="V773" s="8"/>
      <c r="W773" s="8"/>
      <c r="X773" s="8"/>
      <c r="Y773" s="8"/>
      <c r="Z773" s="8"/>
      <c r="AA773" s="8"/>
      <c r="AB773" s="8"/>
      <c r="AC773" s="8"/>
      <c r="AD773" s="24"/>
      <c r="AE773" s="24"/>
      <c r="AF773" s="8"/>
      <c r="AG773" s="8"/>
      <c r="AH773" s="8"/>
      <c r="AI773" s="8"/>
    </row>
    <row r="774" spans="1:35" ht="15.75" customHeight="1" x14ac:dyDescent="0.25">
      <c r="A774" s="8"/>
      <c r="B774" s="8"/>
      <c r="C774" s="8"/>
      <c r="D774" s="8"/>
      <c r="E774" s="50"/>
      <c r="F774" s="51"/>
      <c r="G774" s="51"/>
      <c r="H774" s="52"/>
      <c r="I774" s="52"/>
      <c r="J774" s="52"/>
      <c r="K774" s="52"/>
      <c r="L774" s="52"/>
      <c r="M774" s="48"/>
      <c r="N774" s="52"/>
      <c r="O774" s="22"/>
      <c r="P774" s="22"/>
      <c r="Q774" s="8"/>
      <c r="R774" s="8"/>
      <c r="S774" s="8"/>
      <c r="T774" s="8"/>
      <c r="U774" s="8"/>
      <c r="V774" s="8"/>
      <c r="W774" s="8"/>
      <c r="X774" s="8"/>
      <c r="Y774" s="8"/>
      <c r="Z774" s="8"/>
      <c r="AA774" s="8"/>
      <c r="AB774" s="8"/>
      <c r="AC774" s="8"/>
      <c r="AD774" s="24"/>
      <c r="AE774" s="24"/>
      <c r="AF774" s="8"/>
      <c r="AG774" s="8"/>
      <c r="AH774" s="8"/>
      <c r="AI774" s="8"/>
    </row>
    <row r="775" spans="1:35" ht="15.75" customHeight="1" x14ac:dyDescent="0.25">
      <c r="A775" s="8"/>
      <c r="B775" s="8"/>
      <c r="C775" s="8"/>
      <c r="D775" s="8"/>
      <c r="E775" s="50"/>
      <c r="F775" s="51"/>
      <c r="G775" s="51"/>
      <c r="H775" s="52"/>
      <c r="I775" s="52"/>
      <c r="J775" s="52"/>
      <c r="K775" s="52"/>
      <c r="L775" s="52"/>
      <c r="M775" s="48"/>
      <c r="N775" s="52"/>
      <c r="O775" s="22"/>
      <c r="P775" s="22"/>
      <c r="Q775" s="8"/>
      <c r="R775" s="8"/>
      <c r="S775" s="8"/>
      <c r="T775" s="8"/>
      <c r="U775" s="8"/>
      <c r="V775" s="8"/>
      <c r="W775" s="8"/>
      <c r="X775" s="8"/>
      <c r="Y775" s="8"/>
      <c r="Z775" s="8"/>
      <c r="AA775" s="8"/>
      <c r="AB775" s="8"/>
      <c r="AC775" s="8"/>
      <c r="AD775" s="24"/>
      <c r="AE775" s="24"/>
      <c r="AF775" s="8"/>
      <c r="AG775" s="8"/>
      <c r="AH775" s="8"/>
      <c r="AI775" s="8"/>
    </row>
    <row r="776" spans="1:35" ht="15.75" customHeight="1" x14ac:dyDescent="0.25">
      <c r="A776" s="8"/>
      <c r="B776" s="8"/>
      <c r="C776" s="8"/>
      <c r="D776" s="8"/>
      <c r="E776" s="50"/>
      <c r="F776" s="51"/>
      <c r="G776" s="51"/>
      <c r="H776" s="52"/>
      <c r="I776" s="52"/>
      <c r="J776" s="52"/>
      <c r="K776" s="52"/>
      <c r="L776" s="52"/>
      <c r="M776" s="48"/>
      <c r="N776" s="52"/>
      <c r="O776" s="22"/>
      <c r="P776" s="22"/>
      <c r="Q776" s="8"/>
      <c r="R776" s="8"/>
      <c r="S776" s="8"/>
      <c r="T776" s="8"/>
      <c r="U776" s="8"/>
      <c r="V776" s="8"/>
      <c r="W776" s="8"/>
      <c r="X776" s="8"/>
      <c r="Y776" s="8"/>
      <c r="Z776" s="8"/>
      <c r="AA776" s="8"/>
      <c r="AB776" s="8"/>
      <c r="AC776" s="8"/>
      <c r="AD776" s="24"/>
      <c r="AE776" s="24"/>
      <c r="AF776" s="8"/>
      <c r="AG776" s="8"/>
      <c r="AH776" s="8"/>
      <c r="AI776" s="8"/>
    </row>
    <row r="777" spans="1:35" ht="15.75" customHeight="1" x14ac:dyDescent="0.25">
      <c r="A777" s="8"/>
      <c r="B777" s="8"/>
      <c r="C777" s="8"/>
      <c r="D777" s="8"/>
      <c r="E777" s="50"/>
      <c r="F777" s="51"/>
      <c r="G777" s="51"/>
      <c r="H777" s="52"/>
      <c r="I777" s="52"/>
      <c r="J777" s="52"/>
      <c r="K777" s="52"/>
      <c r="L777" s="52"/>
      <c r="M777" s="48"/>
      <c r="N777" s="52"/>
      <c r="O777" s="22"/>
      <c r="P777" s="22"/>
      <c r="Q777" s="8"/>
      <c r="R777" s="8"/>
      <c r="S777" s="8"/>
      <c r="T777" s="8"/>
      <c r="U777" s="8"/>
      <c r="V777" s="8"/>
      <c r="W777" s="8"/>
      <c r="X777" s="8"/>
      <c r="Y777" s="8"/>
      <c r="Z777" s="8"/>
      <c r="AA777" s="8"/>
      <c r="AB777" s="8"/>
      <c r="AC777" s="8"/>
      <c r="AD777" s="24"/>
      <c r="AE777" s="24"/>
      <c r="AF777" s="8"/>
      <c r="AG777" s="8"/>
      <c r="AH777" s="8"/>
      <c r="AI777" s="8"/>
    </row>
    <row r="778" spans="1:35" ht="15.75" customHeight="1" x14ac:dyDescent="0.25">
      <c r="A778" s="8"/>
      <c r="B778" s="8"/>
      <c r="C778" s="8"/>
      <c r="D778" s="8"/>
      <c r="E778" s="50"/>
      <c r="F778" s="51"/>
      <c r="G778" s="51"/>
      <c r="H778" s="52"/>
      <c r="I778" s="52"/>
      <c r="J778" s="52"/>
      <c r="K778" s="52"/>
      <c r="L778" s="52"/>
      <c r="M778" s="48"/>
      <c r="N778" s="52"/>
      <c r="O778" s="22"/>
      <c r="P778" s="22"/>
      <c r="Q778" s="8"/>
      <c r="R778" s="8"/>
      <c r="S778" s="8"/>
      <c r="T778" s="8"/>
      <c r="U778" s="8"/>
      <c r="V778" s="8"/>
      <c r="W778" s="8"/>
      <c r="X778" s="8"/>
      <c r="Y778" s="8"/>
      <c r="Z778" s="8"/>
      <c r="AA778" s="8"/>
      <c r="AB778" s="8"/>
      <c r="AC778" s="8"/>
      <c r="AD778" s="24"/>
      <c r="AE778" s="24"/>
      <c r="AF778" s="8"/>
      <c r="AG778" s="8"/>
      <c r="AH778" s="8"/>
      <c r="AI778" s="8"/>
    </row>
    <row r="779" spans="1:35" ht="15.75" customHeight="1" x14ac:dyDescent="0.25">
      <c r="A779" s="8"/>
      <c r="B779" s="8"/>
      <c r="C779" s="8"/>
      <c r="D779" s="8"/>
      <c r="E779" s="50"/>
      <c r="F779" s="51"/>
      <c r="G779" s="51"/>
      <c r="H779" s="52"/>
      <c r="I779" s="52"/>
      <c r="J779" s="52"/>
      <c r="K779" s="52"/>
      <c r="L779" s="52"/>
      <c r="M779" s="48"/>
      <c r="N779" s="52"/>
      <c r="O779" s="22"/>
      <c r="P779" s="22"/>
      <c r="Q779" s="8"/>
      <c r="R779" s="8"/>
      <c r="S779" s="8"/>
      <c r="T779" s="8"/>
      <c r="U779" s="8"/>
      <c r="V779" s="8"/>
      <c r="W779" s="8"/>
      <c r="X779" s="8"/>
      <c r="Y779" s="8"/>
      <c r="Z779" s="8"/>
      <c r="AA779" s="8"/>
      <c r="AB779" s="8"/>
      <c r="AC779" s="8"/>
      <c r="AD779" s="24"/>
      <c r="AE779" s="24"/>
      <c r="AF779" s="8"/>
      <c r="AG779" s="8"/>
      <c r="AH779" s="8"/>
      <c r="AI779" s="8"/>
    </row>
    <row r="780" spans="1:35" ht="15.75" customHeight="1" x14ac:dyDescent="0.25">
      <c r="A780" s="8"/>
      <c r="B780" s="8"/>
      <c r="C780" s="8"/>
      <c r="D780" s="8"/>
      <c r="E780" s="50"/>
      <c r="F780" s="51"/>
      <c r="G780" s="51"/>
      <c r="H780" s="52"/>
      <c r="I780" s="52"/>
      <c r="J780" s="52"/>
      <c r="K780" s="52"/>
      <c r="L780" s="52"/>
      <c r="M780" s="48"/>
      <c r="N780" s="52"/>
      <c r="O780" s="22"/>
      <c r="P780" s="22"/>
      <c r="Q780" s="8"/>
      <c r="R780" s="8"/>
      <c r="S780" s="8"/>
      <c r="T780" s="8"/>
      <c r="U780" s="8"/>
      <c r="V780" s="8"/>
      <c r="W780" s="8"/>
      <c r="X780" s="8"/>
      <c r="Y780" s="8"/>
      <c r="Z780" s="8"/>
      <c r="AA780" s="8"/>
      <c r="AB780" s="8"/>
      <c r="AC780" s="8"/>
      <c r="AD780" s="24"/>
      <c r="AE780" s="24"/>
      <c r="AF780" s="8"/>
      <c r="AG780" s="8"/>
      <c r="AH780" s="8"/>
      <c r="AI780" s="8"/>
    </row>
    <row r="781" spans="1:35" ht="15.75" customHeight="1" x14ac:dyDescent="0.25">
      <c r="A781" s="8"/>
      <c r="B781" s="8"/>
      <c r="C781" s="8"/>
      <c r="D781" s="8"/>
      <c r="E781" s="50"/>
      <c r="F781" s="51"/>
      <c r="G781" s="51"/>
      <c r="H781" s="52"/>
      <c r="I781" s="52"/>
      <c r="J781" s="52"/>
      <c r="K781" s="52"/>
      <c r="L781" s="52"/>
      <c r="M781" s="48"/>
      <c r="N781" s="52"/>
      <c r="O781" s="22"/>
      <c r="P781" s="22"/>
      <c r="Q781" s="8"/>
      <c r="R781" s="8"/>
      <c r="S781" s="8"/>
      <c r="T781" s="8"/>
      <c r="U781" s="8"/>
      <c r="V781" s="8"/>
      <c r="W781" s="8"/>
      <c r="X781" s="8"/>
      <c r="Y781" s="8"/>
      <c r="Z781" s="8"/>
      <c r="AA781" s="8"/>
      <c r="AB781" s="8"/>
      <c r="AC781" s="8"/>
      <c r="AD781" s="24"/>
      <c r="AE781" s="24"/>
      <c r="AF781" s="8"/>
      <c r="AG781" s="8"/>
      <c r="AH781" s="8"/>
      <c r="AI781" s="8"/>
    </row>
    <row r="782" spans="1:35" ht="15.75" customHeight="1" x14ac:dyDescent="0.25">
      <c r="A782" s="8"/>
      <c r="B782" s="8"/>
      <c r="C782" s="8"/>
      <c r="D782" s="8"/>
      <c r="E782" s="50"/>
      <c r="F782" s="51"/>
      <c r="G782" s="51"/>
      <c r="H782" s="52"/>
      <c r="I782" s="52"/>
      <c r="J782" s="52"/>
      <c r="K782" s="52"/>
      <c r="L782" s="52"/>
      <c r="M782" s="48"/>
      <c r="N782" s="52"/>
      <c r="O782" s="22"/>
      <c r="P782" s="22"/>
      <c r="Q782" s="8"/>
      <c r="R782" s="8"/>
      <c r="S782" s="8"/>
      <c r="T782" s="8"/>
      <c r="U782" s="8"/>
      <c r="V782" s="8"/>
      <c r="W782" s="8"/>
      <c r="X782" s="8"/>
      <c r="Y782" s="8"/>
      <c r="Z782" s="8"/>
      <c r="AA782" s="8"/>
      <c r="AB782" s="8"/>
      <c r="AC782" s="8"/>
      <c r="AD782" s="24"/>
      <c r="AE782" s="24"/>
      <c r="AF782" s="8"/>
      <c r="AG782" s="8"/>
      <c r="AH782" s="8"/>
      <c r="AI782" s="8"/>
    </row>
    <row r="783" spans="1:35" ht="15.75" customHeight="1" x14ac:dyDescent="0.25">
      <c r="A783" s="8"/>
      <c r="B783" s="8"/>
      <c r="C783" s="8"/>
      <c r="D783" s="8"/>
      <c r="E783" s="50"/>
      <c r="F783" s="51"/>
      <c r="G783" s="51"/>
      <c r="H783" s="52"/>
      <c r="I783" s="52"/>
      <c r="J783" s="52"/>
      <c r="K783" s="52"/>
      <c r="L783" s="52"/>
      <c r="M783" s="48"/>
      <c r="N783" s="52"/>
      <c r="O783" s="22"/>
      <c r="P783" s="22"/>
      <c r="Q783" s="8"/>
      <c r="R783" s="8"/>
      <c r="S783" s="8"/>
      <c r="T783" s="8"/>
      <c r="U783" s="8"/>
      <c r="V783" s="8"/>
      <c r="W783" s="8"/>
      <c r="X783" s="8"/>
      <c r="Y783" s="8"/>
      <c r="Z783" s="8"/>
      <c r="AA783" s="8"/>
      <c r="AB783" s="8"/>
      <c r="AC783" s="8"/>
      <c r="AD783" s="24"/>
      <c r="AE783" s="24"/>
      <c r="AF783" s="8"/>
      <c r="AG783" s="8"/>
      <c r="AH783" s="8"/>
      <c r="AI783" s="8"/>
    </row>
    <row r="784" spans="1:35" ht="15.75" customHeight="1" x14ac:dyDescent="0.25">
      <c r="A784" s="8"/>
      <c r="B784" s="8"/>
      <c r="C784" s="8"/>
      <c r="D784" s="8"/>
      <c r="E784" s="50"/>
      <c r="F784" s="51"/>
      <c r="G784" s="51"/>
      <c r="H784" s="52"/>
      <c r="I784" s="52"/>
      <c r="J784" s="52"/>
      <c r="K784" s="52"/>
      <c r="L784" s="52"/>
      <c r="M784" s="52"/>
      <c r="N784" s="52"/>
      <c r="O784" s="22"/>
      <c r="P784" s="22"/>
      <c r="Q784" s="8"/>
      <c r="R784" s="8"/>
      <c r="S784" s="8"/>
      <c r="T784" s="8"/>
      <c r="U784" s="8"/>
      <c r="V784" s="8"/>
      <c r="W784" s="8"/>
      <c r="X784" s="8"/>
      <c r="Y784" s="8"/>
      <c r="Z784" s="8"/>
      <c r="AA784" s="8"/>
      <c r="AB784" s="8"/>
      <c r="AC784" s="8"/>
      <c r="AD784" s="24"/>
      <c r="AE784" s="24"/>
      <c r="AF784" s="8"/>
      <c r="AG784" s="8"/>
      <c r="AH784" s="8"/>
      <c r="AI784" s="8"/>
    </row>
    <row r="785" spans="1:35" ht="15.75" customHeight="1" x14ac:dyDescent="0.25">
      <c r="A785" s="8"/>
      <c r="B785" s="8"/>
      <c r="C785" s="8"/>
      <c r="D785" s="8"/>
      <c r="E785" s="50"/>
      <c r="F785" s="51"/>
      <c r="G785" s="51"/>
      <c r="H785" s="52"/>
      <c r="I785" s="52"/>
      <c r="J785" s="52"/>
      <c r="K785" s="52"/>
      <c r="L785" s="52"/>
      <c r="M785" s="48"/>
      <c r="N785" s="52"/>
      <c r="O785" s="22"/>
      <c r="P785" s="22"/>
      <c r="Q785" s="8"/>
      <c r="R785" s="8"/>
      <c r="S785" s="8"/>
      <c r="T785" s="8"/>
      <c r="U785" s="8"/>
      <c r="V785" s="8"/>
      <c r="W785" s="8"/>
      <c r="X785" s="8"/>
      <c r="Y785" s="8"/>
      <c r="Z785" s="8"/>
      <c r="AA785" s="8"/>
      <c r="AB785" s="8"/>
      <c r="AC785" s="8"/>
      <c r="AD785" s="24"/>
      <c r="AE785" s="24"/>
      <c r="AF785" s="8"/>
      <c r="AG785" s="8"/>
      <c r="AH785" s="8"/>
      <c r="AI785" s="8"/>
    </row>
    <row r="786" spans="1:35" ht="15.75" customHeight="1" x14ac:dyDescent="0.25">
      <c r="A786" s="8"/>
      <c r="B786" s="8"/>
      <c r="C786" s="8"/>
      <c r="D786" s="8"/>
      <c r="E786" s="50"/>
      <c r="F786" s="51"/>
      <c r="G786" s="51"/>
      <c r="H786" s="52"/>
      <c r="I786" s="52"/>
      <c r="J786" s="52"/>
      <c r="K786" s="52"/>
      <c r="L786" s="52"/>
      <c r="M786" s="48"/>
      <c r="N786" s="52"/>
      <c r="O786" s="22"/>
      <c r="P786" s="22"/>
      <c r="Q786" s="8"/>
      <c r="R786" s="8"/>
      <c r="S786" s="8"/>
      <c r="T786" s="8"/>
      <c r="U786" s="8"/>
      <c r="V786" s="8"/>
      <c r="W786" s="8"/>
      <c r="X786" s="8"/>
      <c r="Y786" s="8"/>
      <c r="Z786" s="8"/>
      <c r="AA786" s="8"/>
      <c r="AB786" s="8"/>
      <c r="AC786" s="8"/>
      <c r="AD786" s="24"/>
      <c r="AE786" s="24"/>
      <c r="AF786" s="8"/>
      <c r="AG786" s="8"/>
      <c r="AH786" s="8"/>
      <c r="AI786" s="8"/>
    </row>
    <row r="787" spans="1:35" ht="15.75" customHeight="1" x14ac:dyDescent="0.25">
      <c r="A787" s="8"/>
      <c r="B787" s="8"/>
      <c r="C787" s="8"/>
      <c r="D787" s="8"/>
      <c r="E787" s="50"/>
      <c r="F787" s="51"/>
      <c r="G787" s="51"/>
      <c r="H787" s="52"/>
      <c r="I787" s="52"/>
      <c r="J787" s="52"/>
      <c r="K787" s="52"/>
      <c r="L787" s="52"/>
      <c r="M787" s="52"/>
      <c r="N787" s="52"/>
      <c r="O787" s="22"/>
      <c r="P787" s="22"/>
      <c r="Q787" s="8"/>
      <c r="R787" s="8"/>
      <c r="S787" s="8"/>
      <c r="T787" s="8"/>
      <c r="U787" s="8"/>
      <c r="V787" s="8"/>
      <c r="W787" s="8"/>
      <c r="X787" s="8"/>
      <c r="Y787" s="8"/>
      <c r="Z787" s="8"/>
      <c r="AA787" s="8"/>
      <c r="AB787" s="8"/>
      <c r="AC787" s="8"/>
      <c r="AD787" s="24"/>
      <c r="AE787" s="24"/>
      <c r="AF787" s="8"/>
      <c r="AG787" s="8"/>
      <c r="AH787" s="8"/>
      <c r="AI787" s="8"/>
    </row>
    <row r="788" spans="1:35" ht="15.75" customHeight="1" x14ac:dyDescent="0.25">
      <c r="A788" s="8"/>
      <c r="B788" s="8"/>
      <c r="C788" s="8"/>
      <c r="D788" s="8"/>
      <c r="E788" s="50"/>
      <c r="F788" s="51"/>
      <c r="G788" s="51"/>
      <c r="H788" s="52"/>
      <c r="I788" s="52"/>
      <c r="J788" s="52"/>
      <c r="K788" s="52"/>
      <c r="L788" s="52"/>
      <c r="M788" s="48"/>
      <c r="N788" s="52"/>
      <c r="O788" s="22"/>
      <c r="P788" s="22"/>
      <c r="Q788" s="8"/>
      <c r="R788" s="8"/>
      <c r="S788" s="8"/>
      <c r="T788" s="8"/>
      <c r="U788" s="8"/>
      <c r="V788" s="8"/>
      <c r="W788" s="8"/>
      <c r="X788" s="8"/>
      <c r="Y788" s="8"/>
      <c r="Z788" s="8"/>
      <c r="AA788" s="8"/>
      <c r="AB788" s="8"/>
      <c r="AC788" s="8"/>
      <c r="AD788" s="24"/>
      <c r="AE788" s="24"/>
      <c r="AF788" s="8"/>
      <c r="AG788" s="8"/>
      <c r="AH788" s="8"/>
      <c r="AI788" s="8"/>
    </row>
    <row r="789" spans="1:35" ht="15.75" customHeight="1" x14ac:dyDescent="0.25">
      <c r="A789" s="8"/>
      <c r="B789" s="8"/>
      <c r="C789" s="8"/>
      <c r="D789" s="8"/>
      <c r="E789" s="50"/>
      <c r="F789" s="51"/>
      <c r="G789" s="51"/>
      <c r="H789" s="52"/>
      <c r="I789" s="52"/>
      <c r="J789" s="52"/>
      <c r="K789" s="52"/>
      <c r="L789" s="52"/>
      <c r="M789" s="48"/>
      <c r="N789" s="52"/>
      <c r="O789" s="22"/>
      <c r="P789" s="22"/>
      <c r="Q789" s="8"/>
      <c r="R789" s="8"/>
      <c r="S789" s="8"/>
      <c r="T789" s="8"/>
      <c r="U789" s="8"/>
      <c r="V789" s="8"/>
      <c r="W789" s="8"/>
      <c r="X789" s="8"/>
      <c r="Y789" s="8"/>
      <c r="Z789" s="8"/>
      <c r="AA789" s="8"/>
      <c r="AB789" s="8"/>
      <c r="AC789" s="8"/>
      <c r="AD789" s="24"/>
      <c r="AE789" s="24"/>
      <c r="AF789" s="8"/>
      <c r="AG789" s="8"/>
      <c r="AH789" s="8"/>
      <c r="AI789" s="8"/>
    </row>
    <row r="790" spans="1:35" ht="15.75" customHeight="1" x14ac:dyDescent="0.25">
      <c r="A790" s="8"/>
      <c r="B790" s="8"/>
      <c r="C790" s="8"/>
      <c r="D790" s="8"/>
      <c r="E790" s="50"/>
      <c r="F790" s="51"/>
      <c r="G790" s="51"/>
      <c r="H790" s="52"/>
      <c r="I790" s="52"/>
      <c r="J790" s="52"/>
      <c r="K790" s="52"/>
      <c r="L790" s="52"/>
      <c r="M790" s="48"/>
      <c r="N790" s="52"/>
      <c r="O790" s="22"/>
      <c r="P790" s="22"/>
      <c r="Q790" s="8"/>
      <c r="R790" s="8"/>
      <c r="S790" s="8"/>
      <c r="T790" s="8"/>
      <c r="U790" s="8"/>
      <c r="V790" s="8"/>
      <c r="W790" s="8"/>
      <c r="X790" s="8"/>
      <c r="Y790" s="8"/>
      <c r="Z790" s="8"/>
      <c r="AA790" s="8"/>
      <c r="AB790" s="8"/>
      <c r="AC790" s="8"/>
      <c r="AD790" s="24"/>
      <c r="AE790" s="24"/>
      <c r="AF790" s="8"/>
      <c r="AG790" s="8"/>
      <c r="AH790" s="8"/>
      <c r="AI790" s="8"/>
    </row>
    <row r="791" spans="1:35" ht="15.75" customHeight="1" x14ac:dyDescent="0.25">
      <c r="A791" s="8"/>
      <c r="B791" s="8"/>
      <c r="C791" s="8"/>
      <c r="D791" s="8"/>
      <c r="E791" s="50"/>
      <c r="F791" s="51"/>
      <c r="G791" s="51"/>
      <c r="H791" s="52"/>
      <c r="I791" s="52"/>
      <c r="J791" s="52"/>
      <c r="K791" s="52"/>
      <c r="L791" s="52"/>
      <c r="M791" s="49"/>
      <c r="N791" s="52"/>
      <c r="O791" s="22"/>
      <c r="P791" s="22"/>
      <c r="Q791" s="8"/>
      <c r="R791" s="8"/>
      <c r="S791" s="8"/>
      <c r="T791" s="8"/>
      <c r="U791" s="8"/>
      <c r="V791" s="8"/>
      <c r="W791" s="8"/>
      <c r="X791" s="8"/>
      <c r="Y791" s="8"/>
      <c r="Z791" s="8"/>
      <c r="AA791" s="8"/>
      <c r="AB791" s="8"/>
      <c r="AC791" s="8"/>
      <c r="AD791" s="24"/>
      <c r="AE791" s="24"/>
      <c r="AF791" s="8"/>
      <c r="AG791" s="8"/>
      <c r="AH791" s="8"/>
      <c r="AI791" s="8"/>
    </row>
    <row r="792" spans="1:35" ht="15.75" customHeight="1" x14ac:dyDescent="0.25">
      <c r="A792" s="8"/>
      <c r="B792" s="8"/>
      <c r="C792" s="8"/>
      <c r="D792" s="8"/>
      <c r="E792" s="50"/>
      <c r="F792" s="51"/>
      <c r="G792" s="51"/>
      <c r="H792" s="52"/>
      <c r="I792" s="52"/>
      <c r="J792" s="52"/>
      <c r="K792" s="52"/>
      <c r="L792" s="52"/>
      <c r="M792" s="48"/>
      <c r="N792" s="52"/>
      <c r="O792" s="22"/>
      <c r="P792" s="22"/>
      <c r="Q792" s="8"/>
      <c r="R792" s="8"/>
      <c r="S792" s="8"/>
      <c r="T792" s="8"/>
      <c r="U792" s="8"/>
      <c r="V792" s="8"/>
      <c r="W792" s="8"/>
      <c r="X792" s="8"/>
      <c r="Y792" s="8"/>
      <c r="Z792" s="8"/>
      <c r="AA792" s="8"/>
      <c r="AB792" s="8"/>
      <c r="AC792" s="8"/>
      <c r="AD792" s="24"/>
      <c r="AE792" s="24"/>
      <c r="AF792" s="8"/>
      <c r="AG792" s="8"/>
      <c r="AH792" s="8"/>
      <c r="AI792" s="8"/>
    </row>
    <row r="793" spans="1:35" ht="15.75" customHeight="1" x14ac:dyDescent="0.25">
      <c r="A793" s="8"/>
      <c r="B793" s="8"/>
      <c r="C793" s="8"/>
      <c r="D793" s="8"/>
      <c r="E793" s="50"/>
      <c r="F793" s="51"/>
      <c r="G793" s="51"/>
      <c r="H793" s="52"/>
      <c r="I793" s="52"/>
      <c r="J793" s="52"/>
      <c r="K793" s="52"/>
      <c r="L793" s="52"/>
      <c r="M793" s="49"/>
      <c r="N793" s="52"/>
      <c r="O793" s="22"/>
      <c r="P793" s="22"/>
      <c r="Q793" s="8"/>
      <c r="R793" s="8"/>
      <c r="S793" s="8"/>
      <c r="T793" s="8"/>
      <c r="U793" s="8"/>
      <c r="V793" s="8"/>
      <c r="W793" s="8"/>
      <c r="X793" s="8"/>
      <c r="Y793" s="8"/>
      <c r="Z793" s="8"/>
      <c r="AA793" s="8"/>
      <c r="AB793" s="8"/>
      <c r="AC793" s="8"/>
      <c r="AD793" s="24"/>
      <c r="AE793" s="24"/>
      <c r="AF793" s="8"/>
      <c r="AG793" s="8"/>
      <c r="AH793" s="8"/>
      <c r="AI793" s="8"/>
    </row>
    <row r="794" spans="1:35" ht="15.75" customHeight="1" x14ac:dyDescent="0.25">
      <c r="A794" s="8"/>
      <c r="B794" s="8"/>
      <c r="C794" s="8"/>
      <c r="D794" s="8"/>
      <c r="E794" s="50"/>
      <c r="F794" s="51"/>
      <c r="G794" s="51"/>
      <c r="H794" s="52"/>
      <c r="I794" s="52"/>
      <c r="J794" s="52"/>
      <c r="K794" s="52"/>
      <c r="L794" s="52"/>
      <c r="M794" s="48"/>
      <c r="N794" s="52"/>
      <c r="O794" s="22"/>
      <c r="P794" s="22"/>
      <c r="Q794" s="8"/>
      <c r="R794" s="8"/>
      <c r="S794" s="8"/>
      <c r="T794" s="8"/>
      <c r="U794" s="8"/>
      <c r="V794" s="8"/>
      <c r="W794" s="8"/>
      <c r="X794" s="8"/>
      <c r="Y794" s="8"/>
      <c r="Z794" s="8"/>
      <c r="AA794" s="8"/>
      <c r="AB794" s="8"/>
      <c r="AC794" s="8"/>
      <c r="AD794" s="24"/>
      <c r="AE794" s="24"/>
      <c r="AF794" s="8"/>
      <c r="AG794" s="8"/>
      <c r="AH794" s="8"/>
      <c r="AI794" s="8"/>
    </row>
    <row r="795" spans="1:35" ht="15.75" customHeight="1" x14ac:dyDescent="0.25">
      <c r="A795" s="8"/>
      <c r="B795" s="8"/>
      <c r="C795" s="8"/>
      <c r="D795" s="8"/>
      <c r="E795" s="50"/>
      <c r="F795" s="51"/>
      <c r="G795" s="51"/>
      <c r="H795" s="52"/>
      <c r="I795" s="52"/>
      <c r="J795" s="52"/>
      <c r="K795" s="52"/>
      <c r="L795" s="52"/>
      <c r="M795" s="52"/>
      <c r="N795" s="52"/>
      <c r="O795" s="22"/>
      <c r="P795" s="22"/>
      <c r="Q795" s="8"/>
      <c r="R795" s="8"/>
      <c r="S795" s="8"/>
      <c r="T795" s="8"/>
      <c r="U795" s="8"/>
      <c r="V795" s="8"/>
      <c r="W795" s="8"/>
      <c r="X795" s="8"/>
      <c r="Y795" s="8"/>
      <c r="Z795" s="8"/>
      <c r="AA795" s="8"/>
      <c r="AB795" s="8"/>
      <c r="AC795" s="8"/>
      <c r="AD795" s="24"/>
      <c r="AE795" s="24"/>
      <c r="AF795" s="8"/>
      <c r="AG795" s="8"/>
      <c r="AH795" s="8"/>
      <c r="AI795" s="8"/>
    </row>
    <row r="796" spans="1:35" ht="15.75" customHeight="1" x14ac:dyDescent="0.25">
      <c r="A796" s="8"/>
      <c r="B796" s="8"/>
      <c r="C796" s="8"/>
      <c r="D796" s="8"/>
      <c r="E796" s="50"/>
      <c r="F796" s="51"/>
      <c r="G796" s="51"/>
      <c r="H796" s="52"/>
      <c r="I796" s="52"/>
      <c r="J796" s="52"/>
      <c r="K796" s="52"/>
      <c r="L796" s="52"/>
      <c r="M796" s="52"/>
      <c r="N796" s="52"/>
      <c r="O796" s="22"/>
      <c r="P796" s="22"/>
      <c r="Q796" s="8"/>
      <c r="R796" s="8"/>
      <c r="S796" s="8"/>
      <c r="T796" s="8"/>
      <c r="U796" s="8"/>
      <c r="V796" s="8"/>
      <c r="W796" s="8"/>
      <c r="X796" s="8"/>
      <c r="Y796" s="8"/>
      <c r="Z796" s="8"/>
      <c r="AA796" s="8"/>
      <c r="AB796" s="8"/>
      <c r="AC796" s="8"/>
      <c r="AD796" s="24"/>
      <c r="AE796" s="24"/>
      <c r="AF796" s="8"/>
      <c r="AG796" s="8"/>
      <c r="AH796" s="8"/>
      <c r="AI796" s="8"/>
    </row>
    <row r="797" spans="1:35" ht="15.75" customHeight="1" x14ac:dyDescent="0.25">
      <c r="A797" s="8"/>
      <c r="B797" s="8"/>
      <c r="C797" s="8"/>
      <c r="D797" s="8"/>
      <c r="E797" s="50"/>
      <c r="F797" s="51"/>
      <c r="G797" s="51"/>
      <c r="H797" s="52"/>
      <c r="I797" s="52"/>
      <c r="J797" s="52"/>
      <c r="K797" s="52"/>
      <c r="L797" s="52"/>
      <c r="M797" s="52"/>
      <c r="N797" s="52"/>
      <c r="O797" s="22"/>
      <c r="P797" s="22"/>
      <c r="Q797" s="8"/>
      <c r="R797" s="8"/>
      <c r="S797" s="8"/>
      <c r="T797" s="8"/>
      <c r="U797" s="8"/>
      <c r="V797" s="8"/>
      <c r="W797" s="8"/>
      <c r="X797" s="8"/>
      <c r="Y797" s="8"/>
      <c r="Z797" s="8"/>
      <c r="AA797" s="8"/>
      <c r="AB797" s="8"/>
      <c r="AC797" s="8"/>
      <c r="AD797" s="24"/>
      <c r="AE797" s="24"/>
      <c r="AF797" s="8"/>
      <c r="AG797" s="8"/>
      <c r="AH797" s="8"/>
      <c r="AI797" s="8"/>
    </row>
    <row r="798" spans="1:35" ht="15.75" customHeight="1" x14ac:dyDescent="0.25">
      <c r="A798" s="8"/>
      <c r="B798" s="8"/>
      <c r="C798" s="8"/>
      <c r="D798" s="8"/>
      <c r="E798" s="50"/>
      <c r="F798" s="51"/>
      <c r="G798" s="51"/>
      <c r="H798" s="52"/>
      <c r="I798" s="52"/>
      <c r="J798" s="52"/>
      <c r="K798" s="52"/>
      <c r="L798" s="52"/>
      <c r="M798" s="52"/>
      <c r="N798" s="52"/>
      <c r="O798" s="22"/>
      <c r="P798" s="22"/>
      <c r="Q798" s="8"/>
      <c r="R798" s="8"/>
      <c r="S798" s="8"/>
      <c r="T798" s="8"/>
      <c r="U798" s="8"/>
      <c r="V798" s="8"/>
      <c r="W798" s="8"/>
      <c r="X798" s="8"/>
      <c r="Y798" s="8"/>
      <c r="Z798" s="8"/>
      <c r="AA798" s="8"/>
      <c r="AB798" s="8"/>
      <c r="AC798" s="8"/>
      <c r="AD798" s="24"/>
      <c r="AE798" s="24"/>
      <c r="AF798" s="8"/>
      <c r="AG798" s="8"/>
      <c r="AH798" s="8"/>
      <c r="AI798" s="8"/>
    </row>
    <row r="799" spans="1:35" ht="15.75" customHeight="1" x14ac:dyDescent="0.25">
      <c r="A799" s="8"/>
      <c r="B799" s="8"/>
      <c r="C799" s="8"/>
      <c r="D799" s="8"/>
      <c r="E799" s="50"/>
      <c r="F799" s="51"/>
      <c r="G799" s="51"/>
      <c r="H799" s="52"/>
      <c r="I799" s="52"/>
      <c r="J799" s="52"/>
      <c r="K799" s="52"/>
      <c r="L799" s="52"/>
      <c r="M799" s="52"/>
      <c r="N799" s="52"/>
      <c r="O799" s="22"/>
      <c r="P799" s="22"/>
      <c r="Q799" s="8"/>
      <c r="R799" s="8"/>
      <c r="S799" s="8"/>
      <c r="T799" s="8"/>
      <c r="U799" s="8"/>
      <c r="V799" s="8"/>
      <c r="W799" s="8"/>
      <c r="X799" s="8"/>
      <c r="Y799" s="8"/>
      <c r="Z799" s="8"/>
      <c r="AA799" s="8"/>
      <c r="AB799" s="8"/>
      <c r="AC799" s="8"/>
      <c r="AD799" s="24"/>
      <c r="AE799" s="24"/>
      <c r="AF799" s="8"/>
      <c r="AG799" s="8"/>
      <c r="AH799" s="8"/>
      <c r="AI799" s="8"/>
    </row>
    <row r="800" spans="1:35" ht="15.75" customHeight="1" x14ac:dyDescent="0.25">
      <c r="A800" s="8"/>
      <c r="B800" s="8"/>
      <c r="C800" s="8"/>
      <c r="D800" s="8"/>
      <c r="E800" s="50"/>
      <c r="F800" s="51"/>
      <c r="G800" s="51"/>
      <c r="H800" s="52"/>
      <c r="I800" s="52"/>
      <c r="J800" s="52"/>
      <c r="K800" s="52"/>
      <c r="L800" s="52"/>
      <c r="M800" s="52"/>
      <c r="N800" s="52"/>
      <c r="O800" s="22"/>
      <c r="P800" s="22"/>
      <c r="Q800" s="8"/>
      <c r="R800" s="8"/>
      <c r="S800" s="8"/>
      <c r="T800" s="8"/>
      <c r="U800" s="8"/>
      <c r="V800" s="8"/>
      <c r="W800" s="8"/>
      <c r="X800" s="8"/>
      <c r="Y800" s="8"/>
      <c r="Z800" s="8"/>
      <c r="AA800" s="8"/>
      <c r="AB800" s="8"/>
      <c r="AC800" s="8"/>
      <c r="AD800" s="24"/>
      <c r="AE800" s="24"/>
      <c r="AF800" s="8"/>
      <c r="AG800" s="8"/>
      <c r="AH800" s="8"/>
      <c r="AI800" s="8"/>
    </row>
    <row r="801" spans="1:35" ht="15.75" customHeight="1" x14ac:dyDescent="0.25">
      <c r="A801" s="8"/>
      <c r="B801" s="8"/>
      <c r="C801" s="8"/>
      <c r="D801" s="8"/>
      <c r="E801" s="50"/>
      <c r="F801" s="51"/>
      <c r="G801" s="51"/>
      <c r="H801" s="52"/>
      <c r="I801" s="52"/>
      <c r="J801" s="52"/>
      <c r="K801" s="52"/>
      <c r="L801" s="52"/>
      <c r="M801" s="52"/>
      <c r="N801" s="52"/>
      <c r="O801" s="22"/>
      <c r="P801" s="22"/>
      <c r="Q801" s="8"/>
      <c r="R801" s="8"/>
      <c r="S801" s="8"/>
      <c r="T801" s="8"/>
      <c r="U801" s="8"/>
      <c r="V801" s="8"/>
      <c r="W801" s="8"/>
      <c r="X801" s="8"/>
      <c r="Y801" s="8"/>
      <c r="Z801" s="8"/>
      <c r="AA801" s="8"/>
      <c r="AB801" s="8"/>
      <c r="AC801" s="8"/>
      <c r="AD801" s="24"/>
      <c r="AE801" s="24"/>
      <c r="AF801" s="8"/>
      <c r="AG801" s="8"/>
      <c r="AH801" s="8"/>
      <c r="AI801" s="8"/>
    </row>
    <row r="802" spans="1:35" ht="15.75" customHeight="1" x14ac:dyDescent="0.25">
      <c r="A802" s="8"/>
      <c r="B802" s="8"/>
      <c r="C802" s="8"/>
      <c r="D802" s="8"/>
      <c r="E802" s="50"/>
      <c r="F802" s="51"/>
      <c r="G802" s="51"/>
      <c r="H802" s="52"/>
      <c r="I802" s="52"/>
      <c r="J802" s="52"/>
      <c r="K802" s="52"/>
      <c r="L802" s="52"/>
      <c r="M802" s="52"/>
      <c r="N802" s="52"/>
      <c r="O802" s="22"/>
      <c r="P802" s="22"/>
      <c r="Q802" s="8"/>
      <c r="R802" s="8"/>
      <c r="S802" s="8"/>
      <c r="T802" s="8"/>
      <c r="U802" s="8"/>
      <c r="V802" s="8"/>
      <c r="W802" s="8"/>
      <c r="X802" s="8"/>
      <c r="Y802" s="8"/>
      <c r="Z802" s="8"/>
      <c r="AA802" s="8"/>
      <c r="AB802" s="8"/>
      <c r="AC802" s="8"/>
      <c r="AD802" s="24"/>
      <c r="AE802" s="24"/>
      <c r="AF802" s="8"/>
      <c r="AG802" s="8"/>
      <c r="AH802" s="8"/>
      <c r="AI802" s="8"/>
    </row>
    <row r="803" spans="1:35" ht="15.75" customHeight="1" x14ac:dyDescent="0.25">
      <c r="A803" s="8"/>
      <c r="B803" s="8"/>
      <c r="C803" s="8"/>
      <c r="D803" s="8"/>
      <c r="E803" s="50"/>
      <c r="F803" s="51"/>
      <c r="G803" s="51"/>
      <c r="H803" s="52"/>
      <c r="I803" s="52"/>
      <c r="J803" s="52"/>
      <c r="K803" s="52"/>
      <c r="L803" s="52"/>
      <c r="M803" s="52"/>
      <c r="N803" s="52"/>
      <c r="O803" s="22"/>
      <c r="P803" s="22"/>
      <c r="Q803" s="8"/>
      <c r="R803" s="8"/>
      <c r="S803" s="8"/>
      <c r="T803" s="8"/>
      <c r="U803" s="8"/>
      <c r="V803" s="8"/>
      <c r="W803" s="8"/>
      <c r="X803" s="8"/>
      <c r="Y803" s="8"/>
      <c r="Z803" s="8"/>
      <c r="AA803" s="8"/>
      <c r="AB803" s="8"/>
      <c r="AC803" s="8"/>
      <c r="AD803" s="24"/>
      <c r="AE803" s="24"/>
      <c r="AF803" s="8"/>
      <c r="AG803" s="8"/>
      <c r="AH803" s="8"/>
      <c r="AI803" s="8"/>
    </row>
    <row r="804" spans="1:35" ht="15.75" customHeight="1" x14ac:dyDescent="0.25">
      <c r="A804" s="8"/>
      <c r="B804" s="8"/>
      <c r="C804" s="8"/>
      <c r="D804" s="8"/>
      <c r="E804" s="50"/>
      <c r="F804" s="51"/>
      <c r="G804" s="51"/>
      <c r="H804" s="52"/>
      <c r="I804" s="52"/>
      <c r="J804" s="52"/>
      <c r="K804" s="52"/>
      <c r="L804" s="52"/>
      <c r="M804" s="52"/>
      <c r="N804" s="52"/>
      <c r="O804" s="22"/>
      <c r="P804" s="22"/>
      <c r="Q804" s="8"/>
      <c r="R804" s="8"/>
      <c r="S804" s="8"/>
      <c r="T804" s="8"/>
      <c r="U804" s="8"/>
      <c r="V804" s="8"/>
      <c r="W804" s="8"/>
      <c r="X804" s="8"/>
      <c r="Y804" s="8"/>
      <c r="Z804" s="8"/>
      <c r="AA804" s="8"/>
      <c r="AB804" s="8"/>
      <c r="AC804" s="8"/>
      <c r="AD804" s="24"/>
      <c r="AE804" s="24"/>
      <c r="AF804" s="8"/>
      <c r="AG804" s="8"/>
      <c r="AH804" s="8"/>
      <c r="AI804" s="8"/>
    </row>
    <row r="805" spans="1:35" ht="15.75" customHeight="1" x14ac:dyDescent="0.25">
      <c r="A805" s="8"/>
      <c r="B805" s="8"/>
      <c r="C805" s="8"/>
      <c r="D805" s="8"/>
      <c r="E805" s="50"/>
      <c r="F805" s="51"/>
      <c r="G805" s="51"/>
      <c r="H805" s="52"/>
      <c r="I805" s="52"/>
      <c r="J805" s="52"/>
      <c r="K805" s="52"/>
      <c r="L805" s="52"/>
      <c r="M805" s="52"/>
      <c r="N805" s="52"/>
      <c r="O805" s="22"/>
      <c r="P805" s="22"/>
      <c r="Q805" s="8"/>
      <c r="R805" s="8"/>
      <c r="S805" s="8"/>
      <c r="T805" s="8"/>
      <c r="U805" s="8"/>
      <c r="V805" s="8"/>
      <c r="W805" s="8"/>
      <c r="X805" s="8"/>
      <c r="Y805" s="8"/>
      <c r="Z805" s="8"/>
      <c r="AA805" s="8"/>
      <c r="AB805" s="8"/>
      <c r="AC805" s="8"/>
      <c r="AD805" s="24"/>
      <c r="AE805" s="24"/>
      <c r="AF805" s="8"/>
      <c r="AG805" s="8"/>
      <c r="AH805" s="8"/>
      <c r="AI805" s="8"/>
    </row>
    <row r="806" spans="1:35" ht="15.75" customHeight="1" x14ac:dyDescent="0.25">
      <c r="A806" s="8"/>
      <c r="B806" s="8"/>
      <c r="C806" s="8"/>
      <c r="D806" s="8"/>
      <c r="E806" s="50"/>
      <c r="F806" s="51"/>
      <c r="G806" s="51"/>
      <c r="H806" s="52"/>
      <c r="I806" s="52"/>
      <c r="J806" s="52"/>
      <c r="K806" s="52"/>
      <c r="L806" s="52"/>
      <c r="M806" s="48"/>
      <c r="N806" s="52"/>
      <c r="O806" s="22"/>
      <c r="P806" s="22"/>
      <c r="Q806" s="8"/>
      <c r="R806" s="8"/>
      <c r="S806" s="8"/>
      <c r="T806" s="8"/>
      <c r="U806" s="8"/>
      <c r="V806" s="8"/>
      <c r="W806" s="8"/>
      <c r="X806" s="8"/>
      <c r="Y806" s="8"/>
      <c r="Z806" s="8"/>
      <c r="AA806" s="8"/>
      <c r="AB806" s="8"/>
      <c r="AC806" s="8"/>
      <c r="AD806" s="24"/>
      <c r="AE806" s="24"/>
      <c r="AF806" s="8"/>
      <c r="AG806" s="8"/>
      <c r="AH806" s="8"/>
      <c r="AI806" s="8"/>
    </row>
    <row r="807" spans="1:35" ht="15.75" customHeight="1" x14ac:dyDescent="0.25">
      <c r="A807" s="8"/>
      <c r="B807" s="8"/>
      <c r="C807" s="8"/>
      <c r="D807" s="8"/>
      <c r="E807" s="50"/>
      <c r="F807" s="51"/>
      <c r="G807" s="51"/>
      <c r="H807" s="52"/>
      <c r="I807" s="52"/>
      <c r="J807" s="52"/>
      <c r="K807" s="52"/>
      <c r="L807" s="52"/>
      <c r="M807" s="48"/>
      <c r="N807" s="52"/>
      <c r="O807" s="22"/>
      <c r="P807" s="22"/>
      <c r="Q807" s="8"/>
      <c r="R807" s="8"/>
      <c r="S807" s="8"/>
      <c r="T807" s="8"/>
      <c r="U807" s="8"/>
      <c r="V807" s="8"/>
      <c r="W807" s="8"/>
      <c r="X807" s="8"/>
      <c r="Y807" s="8"/>
      <c r="Z807" s="8"/>
      <c r="AA807" s="8"/>
      <c r="AB807" s="8"/>
      <c r="AC807" s="8"/>
      <c r="AD807" s="24"/>
      <c r="AE807" s="24"/>
      <c r="AF807" s="8"/>
      <c r="AG807" s="8"/>
      <c r="AH807" s="8"/>
      <c r="AI807" s="8"/>
    </row>
    <row r="808" spans="1:35" ht="15.75" customHeight="1" x14ac:dyDescent="0.25">
      <c r="A808" s="8"/>
      <c r="B808" s="8"/>
      <c r="C808" s="8"/>
      <c r="D808" s="8"/>
      <c r="E808" s="50"/>
      <c r="F808" s="51"/>
      <c r="G808" s="51"/>
      <c r="H808" s="52"/>
      <c r="I808" s="52"/>
      <c r="J808" s="52"/>
      <c r="K808" s="52"/>
      <c r="L808" s="52"/>
      <c r="M808" s="48"/>
      <c r="N808" s="52"/>
      <c r="O808" s="22"/>
      <c r="P808" s="22"/>
      <c r="Q808" s="8"/>
      <c r="R808" s="8"/>
      <c r="S808" s="8"/>
      <c r="T808" s="8"/>
      <c r="U808" s="8"/>
      <c r="V808" s="8"/>
      <c r="W808" s="8"/>
      <c r="X808" s="8"/>
      <c r="Y808" s="8"/>
      <c r="Z808" s="8"/>
      <c r="AA808" s="8"/>
      <c r="AB808" s="8"/>
      <c r="AC808" s="8"/>
      <c r="AD808" s="24"/>
      <c r="AE808" s="24"/>
      <c r="AF808" s="8"/>
      <c r="AG808" s="8"/>
      <c r="AH808" s="8"/>
      <c r="AI808" s="8"/>
    </row>
    <row r="809" spans="1:35" ht="15.75" customHeight="1" x14ac:dyDescent="0.25">
      <c r="A809" s="8"/>
      <c r="B809" s="8"/>
      <c r="C809" s="8"/>
      <c r="D809" s="8"/>
      <c r="E809" s="50"/>
      <c r="F809" s="51"/>
      <c r="G809" s="51"/>
      <c r="H809" s="52"/>
      <c r="I809" s="52"/>
      <c r="J809" s="52"/>
      <c r="K809" s="52"/>
      <c r="L809" s="52"/>
      <c r="M809" s="48"/>
      <c r="N809" s="52"/>
      <c r="O809" s="22"/>
      <c r="P809" s="22"/>
      <c r="Q809" s="8"/>
      <c r="R809" s="8"/>
      <c r="S809" s="8"/>
      <c r="T809" s="8"/>
      <c r="U809" s="8"/>
      <c r="V809" s="8"/>
      <c r="W809" s="8"/>
      <c r="X809" s="8"/>
      <c r="Y809" s="8"/>
      <c r="Z809" s="8"/>
      <c r="AA809" s="8"/>
      <c r="AB809" s="8"/>
      <c r="AC809" s="8"/>
      <c r="AD809" s="24"/>
      <c r="AE809" s="24"/>
      <c r="AF809" s="8"/>
      <c r="AG809" s="8"/>
      <c r="AH809" s="8"/>
      <c r="AI809" s="8"/>
    </row>
    <row r="810" spans="1:35" ht="15.75" customHeight="1" x14ac:dyDescent="0.25">
      <c r="A810" s="8"/>
      <c r="B810" s="8"/>
      <c r="C810" s="8"/>
      <c r="D810" s="8"/>
      <c r="E810" s="50"/>
      <c r="F810" s="51"/>
      <c r="G810" s="51"/>
      <c r="H810" s="52"/>
      <c r="I810" s="52"/>
      <c r="J810" s="52"/>
      <c r="K810" s="52"/>
      <c r="L810" s="52"/>
      <c r="M810" s="48"/>
      <c r="N810" s="52"/>
      <c r="O810" s="22"/>
      <c r="P810" s="22"/>
      <c r="Q810" s="8"/>
      <c r="R810" s="8"/>
      <c r="S810" s="8"/>
      <c r="T810" s="8"/>
      <c r="U810" s="8"/>
      <c r="V810" s="8"/>
      <c r="W810" s="8"/>
      <c r="X810" s="8"/>
      <c r="Y810" s="8"/>
      <c r="Z810" s="8"/>
      <c r="AA810" s="8"/>
      <c r="AB810" s="8"/>
      <c r="AC810" s="8"/>
      <c r="AD810" s="24"/>
      <c r="AE810" s="24"/>
      <c r="AF810" s="8"/>
      <c r="AG810" s="8"/>
      <c r="AH810" s="8"/>
      <c r="AI810" s="8"/>
    </row>
    <row r="811" spans="1:35" ht="15.75" customHeight="1" x14ac:dyDescent="0.25">
      <c r="A811" s="8"/>
      <c r="B811" s="8"/>
      <c r="C811" s="8"/>
      <c r="D811" s="8"/>
      <c r="E811" s="50"/>
      <c r="F811" s="51"/>
      <c r="G811" s="51"/>
      <c r="H811" s="52"/>
      <c r="I811" s="52"/>
      <c r="J811" s="52"/>
      <c r="K811" s="52"/>
      <c r="L811" s="52"/>
      <c r="M811" s="48"/>
      <c r="N811" s="52"/>
      <c r="O811" s="22"/>
      <c r="P811" s="22"/>
      <c r="Q811" s="8"/>
      <c r="R811" s="8"/>
      <c r="S811" s="8"/>
      <c r="T811" s="8"/>
      <c r="U811" s="8"/>
      <c r="V811" s="8"/>
      <c r="W811" s="8"/>
      <c r="X811" s="8"/>
      <c r="Y811" s="8"/>
      <c r="Z811" s="8"/>
      <c r="AA811" s="8"/>
      <c r="AB811" s="8"/>
      <c r="AC811" s="8"/>
      <c r="AD811" s="24"/>
      <c r="AE811" s="24"/>
      <c r="AF811" s="8"/>
      <c r="AG811" s="8"/>
      <c r="AH811" s="8"/>
      <c r="AI811" s="8"/>
    </row>
    <row r="812" spans="1:35" ht="15.75" customHeight="1" x14ac:dyDescent="0.25">
      <c r="A812" s="8"/>
      <c r="B812" s="8"/>
      <c r="C812" s="8"/>
      <c r="D812" s="8"/>
      <c r="E812" s="50"/>
      <c r="F812" s="51"/>
      <c r="G812" s="51"/>
      <c r="H812" s="52"/>
      <c r="I812" s="52"/>
      <c r="J812" s="52"/>
      <c r="K812" s="52"/>
      <c r="L812" s="52"/>
      <c r="M812" s="48"/>
      <c r="N812" s="52"/>
      <c r="O812" s="22"/>
      <c r="P812" s="22"/>
      <c r="Q812" s="8"/>
      <c r="R812" s="8"/>
      <c r="S812" s="8"/>
      <c r="T812" s="8"/>
      <c r="U812" s="8"/>
      <c r="V812" s="8"/>
      <c r="W812" s="8"/>
      <c r="X812" s="8"/>
      <c r="Y812" s="8"/>
      <c r="Z812" s="8"/>
      <c r="AA812" s="8"/>
      <c r="AB812" s="8"/>
      <c r="AC812" s="8"/>
      <c r="AD812" s="24"/>
      <c r="AE812" s="24"/>
      <c r="AF812" s="8"/>
      <c r="AG812" s="8"/>
      <c r="AH812" s="8"/>
      <c r="AI812" s="8"/>
    </row>
    <row r="813" spans="1:35" ht="15.75" customHeight="1" x14ac:dyDescent="0.25">
      <c r="A813" s="8"/>
      <c r="B813" s="8"/>
      <c r="C813" s="8"/>
      <c r="D813" s="8"/>
      <c r="E813" s="50"/>
      <c r="F813" s="51"/>
      <c r="G813" s="51"/>
      <c r="H813" s="52"/>
      <c r="I813" s="52"/>
      <c r="J813" s="52"/>
      <c r="K813" s="52"/>
      <c r="L813" s="52"/>
      <c r="M813" s="48"/>
      <c r="N813" s="52"/>
      <c r="O813" s="22"/>
      <c r="P813" s="22"/>
      <c r="Q813" s="8"/>
      <c r="R813" s="8"/>
      <c r="S813" s="8"/>
      <c r="T813" s="8"/>
      <c r="U813" s="8"/>
      <c r="V813" s="8"/>
      <c r="W813" s="8"/>
      <c r="X813" s="8"/>
      <c r="Y813" s="8"/>
      <c r="Z813" s="8"/>
      <c r="AA813" s="8"/>
      <c r="AB813" s="8"/>
      <c r="AC813" s="8"/>
      <c r="AD813" s="24"/>
      <c r="AE813" s="24"/>
      <c r="AF813" s="8"/>
      <c r="AG813" s="8"/>
      <c r="AH813" s="8"/>
      <c r="AI813" s="8"/>
    </row>
    <row r="814" spans="1:35" ht="15.75" customHeight="1" x14ac:dyDescent="0.25">
      <c r="A814" s="8"/>
      <c r="B814" s="8"/>
      <c r="C814" s="8"/>
      <c r="D814" s="8"/>
      <c r="E814" s="50"/>
      <c r="F814" s="51"/>
      <c r="G814" s="51"/>
      <c r="H814" s="52"/>
      <c r="I814" s="52"/>
      <c r="J814" s="52"/>
      <c r="K814" s="52"/>
      <c r="L814" s="52"/>
      <c r="M814" s="48"/>
      <c r="N814" s="52"/>
      <c r="O814" s="22"/>
      <c r="P814" s="22"/>
      <c r="Q814" s="8"/>
      <c r="R814" s="8"/>
      <c r="S814" s="8"/>
      <c r="T814" s="8"/>
      <c r="U814" s="8"/>
      <c r="V814" s="8"/>
      <c r="W814" s="8"/>
      <c r="X814" s="8"/>
      <c r="Y814" s="8"/>
      <c r="Z814" s="8"/>
      <c r="AA814" s="8"/>
      <c r="AB814" s="8"/>
      <c r="AC814" s="8"/>
      <c r="AD814" s="24"/>
      <c r="AE814" s="24"/>
      <c r="AF814" s="8"/>
      <c r="AG814" s="8"/>
      <c r="AH814" s="8"/>
      <c r="AI814" s="8"/>
    </row>
    <row r="815" spans="1:35" ht="15.75" customHeight="1" x14ac:dyDescent="0.25">
      <c r="A815" s="8"/>
      <c r="B815" s="8"/>
      <c r="C815" s="8"/>
      <c r="D815" s="8"/>
      <c r="E815" s="50"/>
      <c r="F815" s="51"/>
      <c r="G815" s="51"/>
      <c r="H815" s="52"/>
      <c r="I815" s="52"/>
      <c r="J815" s="52"/>
      <c r="K815" s="52"/>
      <c r="L815" s="52"/>
      <c r="M815" s="48"/>
      <c r="N815" s="52"/>
      <c r="O815" s="22"/>
      <c r="P815" s="22"/>
      <c r="Q815" s="8"/>
      <c r="R815" s="8"/>
      <c r="S815" s="8"/>
      <c r="T815" s="8"/>
      <c r="U815" s="8"/>
      <c r="V815" s="8"/>
      <c r="W815" s="8"/>
      <c r="X815" s="8"/>
      <c r="Y815" s="8"/>
      <c r="Z815" s="8"/>
      <c r="AA815" s="8"/>
      <c r="AB815" s="8"/>
      <c r="AC815" s="8"/>
      <c r="AD815" s="24"/>
      <c r="AE815" s="24"/>
      <c r="AF815" s="8"/>
      <c r="AG815" s="8"/>
      <c r="AH815" s="8"/>
      <c r="AI815" s="8"/>
    </row>
    <row r="816" spans="1:35" ht="15.75" customHeight="1" x14ac:dyDescent="0.25">
      <c r="A816" s="8"/>
      <c r="B816" s="8"/>
      <c r="C816" s="8"/>
      <c r="D816" s="8"/>
      <c r="E816" s="50"/>
      <c r="F816" s="51"/>
      <c r="G816" s="51"/>
      <c r="H816" s="52"/>
      <c r="I816" s="52"/>
      <c r="J816" s="52"/>
      <c r="K816" s="52"/>
      <c r="L816" s="52"/>
      <c r="M816" s="48"/>
      <c r="N816" s="52"/>
      <c r="O816" s="22"/>
      <c r="P816" s="22"/>
      <c r="Q816" s="8"/>
      <c r="R816" s="8"/>
      <c r="S816" s="8"/>
      <c r="T816" s="8"/>
      <c r="U816" s="8"/>
      <c r="V816" s="8"/>
      <c r="W816" s="8"/>
      <c r="X816" s="8"/>
      <c r="Y816" s="8"/>
      <c r="Z816" s="8"/>
      <c r="AA816" s="8"/>
      <c r="AB816" s="8"/>
      <c r="AC816" s="8"/>
      <c r="AD816" s="24"/>
      <c r="AE816" s="24"/>
      <c r="AF816" s="8"/>
      <c r="AG816" s="8"/>
      <c r="AH816" s="8"/>
      <c r="AI816" s="8"/>
    </row>
    <row r="817" spans="1:35" ht="15.75" customHeight="1" x14ac:dyDescent="0.25">
      <c r="A817" s="8"/>
      <c r="B817" s="8"/>
      <c r="C817" s="8"/>
      <c r="D817" s="8"/>
      <c r="E817" s="50"/>
      <c r="F817" s="51"/>
      <c r="G817" s="51"/>
      <c r="H817" s="52"/>
      <c r="I817" s="52"/>
      <c r="J817" s="52"/>
      <c r="K817" s="52"/>
      <c r="L817" s="52"/>
      <c r="M817" s="52"/>
      <c r="N817" s="52"/>
      <c r="O817" s="22"/>
      <c r="P817" s="22"/>
      <c r="Q817" s="8"/>
      <c r="R817" s="8"/>
      <c r="S817" s="8"/>
      <c r="T817" s="8"/>
      <c r="U817" s="8"/>
      <c r="V817" s="8"/>
      <c r="W817" s="8"/>
      <c r="X817" s="8"/>
      <c r="Y817" s="8"/>
      <c r="Z817" s="8"/>
      <c r="AA817" s="8"/>
      <c r="AB817" s="8"/>
      <c r="AC817" s="8"/>
      <c r="AD817" s="24"/>
      <c r="AE817" s="24"/>
      <c r="AF817" s="8"/>
      <c r="AG817" s="8"/>
      <c r="AH817" s="8"/>
      <c r="AI817" s="8"/>
    </row>
    <row r="818" spans="1:35" ht="15.75" customHeight="1" x14ac:dyDescent="0.25">
      <c r="A818" s="8"/>
      <c r="B818" s="8"/>
      <c r="C818" s="8"/>
      <c r="D818" s="8"/>
      <c r="E818" s="50"/>
      <c r="F818" s="51"/>
      <c r="G818" s="51"/>
      <c r="H818" s="52"/>
      <c r="I818" s="52"/>
      <c r="J818" s="52"/>
      <c r="K818" s="52"/>
      <c r="L818" s="52"/>
      <c r="M818" s="52"/>
      <c r="N818" s="52"/>
      <c r="O818" s="22"/>
      <c r="P818" s="22"/>
      <c r="Q818" s="8"/>
      <c r="R818" s="8"/>
      <c r="S818" s="8"/>
      <c r="T818" s="8"/>
      <c r="U818" s="8"/>
      <c r="V818" s="8"/>
      <c r="W818" s="8"/>
      <c r="X818" s="8"/>
      <c r="Y818" s="8"/>
      <c r="Z818" s="8"/>
      <c r="AA818" s="8"/>
      <c r="AB818" s="8"/>
      <c r="AC818" s="8"/>
      <c r="AD818" s="24"/>
      <c r="AE818" s="24"/>
      <c r="AF818" s="8"/>
      <c r="AG818" s="8"/>
      <c r="AH818" s="8"/>
      <c r="AI818" s="8"/>
    </row>
    <row r="819" spans="1:35" ht="15.75" customHeight="1" x14ac:dyDescent="0.25">
      <c r="A819" s="8"/>
      <c r="B819" s="8"/>
      <c r="C819" s="8"/>
      <c r="D819" s="8"/>
      <c r="E819" s="50"/>
      <c r="F819" s="51"/>
      <c r="G819" s="51"/>
      <c r="H819" s="52"/>
      <c r="I819" s="52"/>
      <c r="J819" s="52"/>
      <c r="K819" s="52"/>
      <c r="L819" s="52"/>
      <c r="M819" s="48"/>
      <c r="N819" s="52"/>
      <c r="O819" s="22"/>
      <c r="P819" s="22"/>
      <c r="Q819" s="8"/>
      <c r="R819" s="8"/>
      <c r="S819" s="8"/>
      <c r="T819" s="8"/>
      <c r="U819" s="8"/>
      <c r="V819" s="8"/>
      <c r="W819" s="8"/>
      <c r="X819" s="8"/>
      <c r="Y819" s="8"/>
      <c r="Z819" s="8"/>
      <c r="AA819" s="8"/>
      <c r="AB819" s="8"/>
      <c r="AC819" s="8"/>
      <c r="AD819" s="24"/>
      <c r="AE819" s="24"/>
      <c r="AF819" s="8"/>
      <c r="AG819" s="8"/>
      <c r="AH819" s="8"/>
      <c r="AI819" s="8"/>
    </row>
    <row r="820" spans="1:35" ht="15.75" customHeight="1" x14ac:dyDescent="0.25">
      <c r="A820" s="8"/>
      <c r="B820" s="8"/>
      <c r="C820" s="8"/>
      <c r="D820" s="8"/>
      <c r="E820" s="50"/>
      <c r="F820" s="51"/>
      <c r="G820" s="51"/>
      <c r="H820" s="52"/>
      <c r="I820" s="52"/>
      <c r="J820" s="52"/>
      <c r="K820" s="52"/>
      <c r="L820" s="52"/>
      <c r="M820" s="52"/>
      <c r="N820" s="52"/>
      <c r="O820" s="22"/>
      <c r="P820" s="22"/>
      <c r="Q820" s="8"/>
      <c r="R820" s="8"/>
      <c r="S820" s="8"/>
      <c r="T820" s="8"/>
      <c r="U820" s="8"/>
      <c r="V820" s="8"/>
      <c r="W820" s="8"/>
      <c r="X820" s="8"/>
      <c r="Y820" s="8"/>
      <c r="Z820" s="8"/>
      <c r="AA820" s="8"/>
      <c r="AB820" s="8"/>
      <c r="AC820" s="8"/>
      <c r="AD820" s="24"/>
      <c r="AE820" s="24"/>
      <c r="AF820" s="8"/>
      <c r="AG820" s="8"/>
      <c r="AH820" s="8"/>
      <c r="AI820" s="8"/>
    </row>
    <row r="821" spans="1:35" ht="15.75" customHeight="1" x14ac:dyDescent="0.25">
      <c r="A821" s="8"/>
      <c r="B821" s="8"/>
      <c r="C821" s="8"/>
      <c r="D821" s="8"/>
      <c r="E821" s="50"/>
      <c r="F821" s="51"/>
      <c r="G821" s="51"/>
      <c r="H821" s="52"/>
      <c r="I821" s="52"/>
      <c r="J821" s="52"/>
      <c r="K821" s="52"/>
      <c r="L821" s="52"/>
      <c r="M821" s="52"/>
      <c r="N821" s="52"/>
      <c r="O821" s="22"/>
      <c r="P821" s="22"/>
      <c r="Q821" s="8"/>
      <c r="R821" s="8"/>
      <c r="S821" s="8"/>
      <c r="T821" s="8"/>
      <c r="U821" s="8"/>
      <c r="V821" s="8"/>
      <c r="W821" s="8"/>
      <c r="X821" s="8"/>
      <c r="Y821" s="8"/>
      <c r="Z821" s="8"/>
      <c r="AA821" s="8"/>
      <c r="AB821" s="8"/>
      <c r="AC821" s="8"/>
      <c r="AD821" s="24"/>
      <c r="AE821" s="24"/>
      <c r="AF821" s="8"/>
      <c r="AG821" s="8"/>
      <c r="AH821" s="8"/>
      <c r="AI821" s="8"/>
    </row>
    <row r="822" spans="1:35" ht="15.75" customHeight="1" x14ac:dyDescent="0.25">
      <c r="A822" s="8"/>
      <c r="B822" s="8"/>
      <c r="C822" s="8"/>
      <c r="D822" s="8"/>
      <c r="E822" s="50"/>
      <c r="F822" s="51"/>
      <c r="G822" s="51"/>
      <c r="H822" s="52"/>
      <c r="I822" s="52"/>
      <c r="J822" s="52"/>
      <c r="K822" s="52"/>
      <c r="L822" s="52"/>
      <c r="M822" s="52"/>
      <c r="N822" s="52"/>
      <c r="O822" s="22"/>
      <c r="P822" s="22"/>
      <c r="Q822" s="8"/>
      <c r="R822" s="8"/>
      <c r="S822" s="8"/>
      <c r="T822" s="8"/>
      <c r="U822" s="8"/>
      <c r="V822" s="8"/>
      <c r="W822" s="8"/>
      <c r="X822" s="8"/>
      <c r="Y822" s="8"/>
      <c r="Z822" s="8"/>
      <c r="AA822" s="8"/>
      <c r="AB822" s="8"/>
      <c r="AC822" s="8"/>
      <c r="AD822" s="24"/>
      <c r="AE822" s="24"/>
      <c r="AF822" s="8"/>
      <c r="AG822" s="8"/>
      <c r="AH822" s="8"/>
      <c r="AI822" s="8"/>
    </row>
    <row r="823" spans="1:35" ht="15.75" customHeight="1" x14ac:dyDescent="0.25">
      <c r="A823" s="8"/>
      <c r="B823" s="8"/>
      <c r="C823" s="8"/>
      <c r="D823" s="8"/>
      <c r="E823" s="50"/>
      <c r="F823" s="51"/>
      <c r="G823" s="51"/>
      <c r="H823" s="52"/>
      <c r="I823" s="52"/>
      <c r="J823" s="52"/>
      <c r="K823" s="52"/>
      <c r="L823" s="52"/>
      <c r="M823" s="52"/>
      <c r="N823" s="52"/>
      <c r="O823" s="22"/>
      <c r="P823" s="22"/>
      <c r="Q823" s="8"/>
      <c r="R823" s="8"/>
      <c r="S823" s="8"/>
      <c r="T823" s="8"/>
      <c r="U823" s="8"/>
      <c r="V823" s="8"/>
      <c r="W823" s="8"/>
      <c r="X823" s="8"/>
      <c r="Y823" s="8"/>
      <c r="Z823" s="8"/>
      <c r="AA823" s="8"/>
      <c r="AB823" s="8"/>
      <c r="AC823" s="8"/>
      <c r="AD823" s="24"/>
      <c r="AE823" s="24"/>
      <c r="AF823" s="8"/>
      <c r="AG823" s="8"/>
      <c r="AH823" s="8"/>
      <c r="AI823" s="8"/>
    </row>
    <row r="824" spans="1:35" ht="15.75" customHeight="1" x14ac:dyDescent="0.25">
      <c r="A824" s="8"/>
      <c r="B824" s="8"/>
      <c r="C824" s="8"/>
      <c r="D824" s="8"/>
      <c r="E824" s="50"/>
      <c r="F824" s="51"/>
      <c r="G824" s="51"/>
      <c r="H824" s="52"/>
      <c r="I824" s="52"/>
      <c r="J824" s="52"/>
      <c r="K824" s="52"/>
      <c r="L824" s="52"/>
      <c r="M824" s="52"/>
      <c r="N824" s="52"/>
      <c r="O824" s="22"/>
      <c r="P824" s="22"/>
      <c r="Q824" s="8"/>
      <c r="R824" s="8"/>
      <c r="S824" s="8"/>
      <c r="T824" s="8"/>
      <c r="U824" s="8"/>
      <c r="V824" s="8"/>
      <c r="W824" s="8"/>
      <c r="X824" s="8"/>
      <c r="Y824" s="8"/>
      <c r="Z824" s="8"/>
      <c r="AA824" s="8"/>
      <c r="AB824" s="8"/>
      <c r="AC824" s="8"/>
      <c r="AD824" s="24"/>
      <c r="AE824" s="24"/>
      <c r="AF824" s="8"/>
      <c r="AG824" s="8"/>
      <c r="AH824" s="8"/>
      <c r="AI824" s="8"/>
    </row>
    <row r="825" spans="1:35" ht="15.75" customHeight="1" x14ac:dyDescent="0.25">
      <c r="A825" s="8"/>
      <c r="B825" s="8"/>
      <c r="C825" s="8"/>
      <c r="D825" s="8"/>
      <c r="E825" s="50"/>
      <c r="F825" s="51"/>
      <c r="G825" s="51"/>
      <c r="H825" s="52"/>
      <c r="I825" s="52"/>
      <c r="J825" s="52"/>
      <c r="K825" s="52"/>
      <c r="L825" s="52"/>
      <c r="M825" s="48"/>
      <c r="N825" s="52"/>
      <c r="O825" s="22"/>
      <c r="P825" s="22"/>
      <c r="Q825" s="8"/>
      <c r="R825" s="8"/>
      <c r="S825" s="8"/>
      <c r="T825" s="8"/>
      <c r="U825" s="8"/>
      <c r="V825" s="8"/>
      <c r="W825" s="8"/>
      <c r="X825" s="8"/>
      <c r="Y825" s="8"/>
      <c r="Z825" s="8"/>
      <c r="AA825" s="8"/>
      <c r="AB825" s="8"/>
      <c r="AC825" s="8"/>
      <c r="AD825" s="24"/>
      <c r="AE825" s="24"/>
      <c r="AF825" s="8"/>
      <c r="AG825" s="8"/>
      <c r="AH825" s="8"/>
      <c r="AI825" s="8"/>
    </row>
    <row r="826" spans="1:35" ht="15.75" customHeight="1" x14ac:dyDescent="0.25">
      <c r="A826" s="8"/>
      <c r="B826" s="8"/>
      <c r="C826" s="8"/>
      <c r="D826" s="8"/>
      <c r="E826" s="50"/>
      <c r="F826" s="51"/>
      <c r="G826" s="51"/>
      <c r="H826" s="52"/>
      <c r="I826" s="52"/>
      <c r="J826" s="52"/>
      <c r="K826" s="52"/>
      <c r="L826" s="52"/>
      <c r="M826" s="52"/>
      <c r="N826" s="52"/>
      <c r="O826" s="22"/>
      <c r="P826" s="22"/>
      <c r="Q826" s="8"/>
      <c r="R826" s="8"/>
      <c r="S826" s="8"/>
      <c r="T826" s="8"/>
      <c r="U826" s="8"/>
      <c r="V826" s="8"/>
      <c r="W826" s="8"/>
      <c r="X826" s="8"/>
      <c r="Y826" s="8"/>
      <c r="Z826" s="8"/>
      <c r="AA826" s="8"/>
      <c r="AB826" s="8"/>
      <c r="AC826" s="8"/>
      <c r="AD826" s="24"/>
      <c r="AE826" s="24"/>
      <c r="AF826" s="8"/>
      <c r="AG826" s="8"/>
      <c r="AH826" s="8"/>
      <c r="AI826" s="8"/>
    </row>
    <row r="827" spans="1:35" ht="15.75" customHeight="1" x14ac:dyDescent="0.25">
      <c r="A827" s="8"/>
      <c r="B827" s="8"/>
      <c r="C827" s="8"/>
      <c r="D827" s="8"/>
      <c r="E827" s="50"/>
      <c r="F827" s="51"/>
      <c r="G827" s="51"/>
      <c r="H827" s="52"/>
      <c r="I827" s="52"/>
      <c r="J827" s="52"/>
      <c r="K827" s="52"/>
      <c r="L827" s="52"/>
      <c r="M827" s="48"/>
      <c r="N827" s="52"/>
      <c r="O827" s="22"/>
      <c r="P827" s="22"/>
      <c r="Q827" s="8"/>
      <c r="R827" s="8"/>
      <c r="S827" s="8"/>
      <c r="T827" s="8"/>
      <c r="U827" s="8"/>
      <c r="V827" s="8"/>
      <c r="W827" s="8"/>
      <c r="X827" s="8"/>
      <c r="Y827" s="8"/>
      <c r="Z827" s="8"/>
      <c r="AA827" s="8"/>
      <c r="AB827" s="8"/>
      <c r="AC827" s="8"/>
      <c r="AD827" s="24"/>
      <c r="AE827" s="24"/>
      <c r="AF827" s="8"/>
      <c r="AG827" s="8"/>
      <c r="AH827" s="8"/>
      <c r="AI827" s="8"/>
    </row>
    <row r="828" spans="1:35" ht="15.75" customHeight="1" x14ac:dyDescent="0.25">
      <c r="A828" s="8"/>
      <c r="B828" s="8"/>
      <c r="C828" s="8"/>
      <c r="D828" s="8"/>
      <c r="E828" s="50"/>
      <c r="F828" s="51"/>
      <c r="G828" s="51"/>
      <c r="H828" s="52"/>
      <c r="I828" s="52"/>
      <c r="J828" s="52"/>
      <c r="K828" s="52"/>
      <c r="L828" s="52"/>
      <c r="M828" s="52"/>
      <c r="N828" s="52"/>
      <c r="O828" s="22"/>
      <c r="P828" s="22"/>
      <c r="Q828" s="8"/>
      <c r="R828" s="8"/>
      <c r="S828" s="8"/>
      <c r="T828" s="8"/>
      <c r="U828" s="8"/>
      <c r="V828" s="8"/>
      <c r="W828" s="8"/>
      <c r="X828" s="8"/>
      <c r="Y828" s="8"/>
      <c r="Z828" s="8"/>
      <c r="AA828" s="8"/>
      <c r="AB828" s="8"/>
      <c r="AC828" s="8"/>
      <c r="AD828" s="24"/>
      <c r="AE828" s="24"/>
      <c r="AF828" s="8"/>
      <c r="AG828" s="8"/>
      <c r="AH828" s="8"/>
      <c r="AI828" s="8"/>
    </row>
    <row r="829" spans="1:35" ht="15.75" customHeight="1" x14ac:dyDescent="0.25">
      <c r="A829" s="8"/>
      <c r="B829" s="8"/>
      <c r="C829" s="8"/>
      <c r="D829" s="8"/>
      <c r="E829" s="50"/>
      <c r="F829" s="51"/>
      <c r="G829" s="51"/>
      <c r="H829" s="52"/>
      <c r="I829" s="52"/>
      <c r="J829" s="52"/>
      <c r="K829" s="52"/>
      <c r="L829" s="52"/>
      <c r="M829" s="52"/>
      <c r="N829" s="52"/>
      <c r="O829" s="22"/>
      <c r="P829" s="22"/>
      <c r="Q829" s="8"/>
      <c r="R829" s="8"/>
      <c r="S829" s="8"/>
      <c r="T829" s="8"/>
      <c r="U829" s="8"/>
      <c r="V829" s="8"/>
      <c r="W829" s="8"/>
      <c r="X829" s="8"/>
      <c r="Y829" s="8"/>
      <c r="Z829" s="8"/>
      <c r="AA829" s="8"/>
      <c r="AB829" s="8"/>
      <c r="AC829" s="8"/>
      <c r="AD829" s="24"/>
      <c r="AE829" s="24"/>
      <c r="AF829" s="8"/>
      <c r="AG829" s="8"/>
      <c r="AH829" s="8"/>
      <c r="AI829" s="8"/>
    </row>
    <row r="830" spans="1:35" ht="15.75" customHeight="1" x14ac:dyDescent="0.25">
      <c r="A830" s="8"/>
      <c r="B830" s="8"/>
      <c r="C830" s="8"/>
      <c r="D830" s="8"/>
      <c r="E830" s="50"/>
      <c r="F830" s="51"/>
      <c r="G830" s="51"/>
      <c r="H830" s="52"/>
      <c r="I830" s="52"/>
      <c r="J830" s="52"/>
      <c r="K830" s="52"/>
      <c r="L830" s="52"/>
      <c r="M830" s="48"/>
      <c r="N830" s="52"/>
      <c r="O830" s="22"/>
      <c r="P830" s="22"/>
      <c r="Q830" s="8"/>
      <c r="R830" s="8"/>
      <c r="S830" s="8"/>
      <c r="T830" s="8"/>
      <c r="U830" s="8"/>
      <c r="V830" s="8"/>
      <c r="W830" s="8"/>
      <c r="X830" s="8"/>
      <c r="Y830" s="8"/>
      <c r="Z830" s="8"/>
      <c r="AA830" s="8"/>
      <c r="AB830" s="8"/>
      <c r="AC830" s="8"/>
      <c r="AD830" s="24"/>
      <c r="AE830" s="24"/>
      <c r="AF830" s="8"/>
      <c r="AG830" s="8"/>
      <c r="AH830" s="8"/>
      <c r="AI830" s="8"/>
    </row>
    <row r="831" spans="1:35" ht="15.75" customHeight="1" x14ac:dyDescent="0.25">
      <c r="A831" s="8"/>
      <c r="B831" s="8"/>
      <c r="C831" s="8"/>
      <c r="D831" s="8"/>
      <c r="E831" s="50"/>
      <c r="F831" s="51"/>
      <c r="G831" s="51"/>
      <c r="H831" s="52"/>
      <c r="I831" s="52"/>
      <c r="J831" s="52"/>
      <c r="K831" s="52"/>
      <c r="L831" s="52"/>
      <c r="M831" s="48"/>
      <c r="N831" s="52"/>
      <c r="O831" s="22"/>
      <c r="P831" s="22"/>
      <c r="Q831" s="8"/>
      <c r="R831" s="8"/>
      <c r="S831" s="8"/>
      <c r="T831" s="8"/>
      <c r="U831" s="8"/>
      <c r="V831" s="8"/>
      <c r="W831" s="8"/>
      <c r="X831" s="8"/>
      <c r="Y831" s="8"/>
      <c r="Z831" s="8"/>
      <c r="AA831" s="8"/>
      <c r="AB831" s="8"/>
      <c r="AC831" s="8"/>
      <c r="AD831" s="24"/>
      <c r="AE831" s="24"/>
      <c r="AF831" s="8"/>
      <c r="AG831" s="8"/>
      <c r="AH831" s="8"/>
      <c r="AI831" s="8"/>
    </row>
    <row r="832" spans="1:35" ht="15.75" customHeight="1" x14ac:dyDescent="0.25">
      <c r="A832" s="8"/>
      <c r="B832" s="8"/>
      <c r="C832" s="8"/>
      <c r="D832" s="8"/>
      <c r="E832" s="50"/>
      <c r="F832" s="51"/>
      <c r="G832" s="51"/>
      <c r="H832" s="52"/>
      <c r="I832" s="52"/>
      <c r="J832" s="52"/>
      <c r="K832" s="52"/>
      <c r="L832" s="52"/>
      <c r="M832" s="48"/>
      <c r="N832" s="52"/>
      <c r="O832" s="22"/>
      <c r="P832" s="22"/>
      <c r="Q832" s="8"/>
      <c r="R832" s="8"/>
      <c r="S832" s="8"/>
      <c r="T832" s="8"/>
      <c r="U832" s="8"/>
      <c r="V832" s="8"/>
      <c r="W832" s="8"/>
      <c r="X832" s="8"/>
      <c r="Y832" s="8"/>
      <c r="Z832" s="8"/>
      <c r="AA832" s="8"/>
      <c r="AB832" s="8"/>
      <c r="AC832" s="8"/>
      <c r="AD832" s="24"/>
      <c r="AE832" s="24"/>
      <c r="AF832" s="8"/>
      <c r="AG832" s="8"/>
      <c r="AH832" s="8"/>
      <c r="AI832" s="8"/>
    </row>
    <row r="833" spans="1:35" ht="15.75" customHeight="1" x14ac:dyDescent="0.25">
      <c r="A833" s="8"/>
      <c r="B833" s="8"/>
      <c r="C833" s="8"/>
      <c r="D833" s="8"/>
      <c r="E833" s="50"/>
      <c r="F833" s="51"/>
      <c r="G833" s="51"/>
      <c r="H833" s="52"/>
      <c r="I833" s="52"/>
      <c r="J833" s="52"/>
      <c r="K833" s="52"/>
      <c r="L833" s="52"/>
      <c r="M833" s="48"/>
      <c r="N833" s="52"/>
      <c r="O833" s="22"/>
      <c r="P833" s="22"/>
      <c r="Q833" s="8"/>
      <c r="R833" s="8"/>
      <c r="S833" s="8"/>
      <c r="T833" s="8"/>
      <c r="U833" s="8"/>
      <c r="V833" s="8"/>
      <c r="W833" s="8"/>
      <c r="X833" s="8"/>
      <c r="Y833" s="8"/>
      <c r="Z833" s="8"/>
      <c r="AA833" s="8"/>
      <c r="AB833" s="8"/>
      <c r="AC833" s="8"/>
      <c r="AD833" s="24"/>
      <c r="AE833" s="24"/>
      <c r="AF833" s="8"/>
      <c r="AG833" s="8"/>
      <c r="AH833" s="8"/>
      <c r="AI833" s="8"/>
    </row>
    <row r="834" spans="1:35" ht="15.75" customHeight="1" x14ac:dyDescent="0.25">
      <c r="A834" s="8"/>
      <c r="B834" s="8"/>
      <c r="C834" s="8"/>
      <c r="D834" s="8"/>
      <c r="E834" s="50"/>
      <c r="F834" s="51"/>
      <c r="G834" s="51"/>
      <c r="H834" s="52"/>
      <c r="I834" s="52"/>
      <c r="J834" s="52"/>
      <c r="K834" s="52"/>
      <c r="L834" s="52"/>
      <c r="M834" s="48"/>
      <c r="N834" s="52"/>
      <c r="O834" s="22"/>
      <c r="P834" s="22"/>
      <c r="Q834" s="8"/>
      <c r="R834" s="8"/>
      <c r="S834" s="8"/>
      <c r="T834" s="8"/>
      <c r="U834" s="8"/>
      <c r="V834" s="8"/>
      <c r="W834" s="8"/>
      <c r="X834" s="8"/>
      <c r="Y834" s="8"/>
      <c r="Z834" s="8"/>
      <c r="AA834" s="8"/>
      <c r="AB834" s="8"/>
      <c r="AC834" s="8"/>
      <c r="AD834" s="24"/>
      <c r="AE834" s="24"/>
      <c r="AF834" s="8"/>
      <c r="AG834" s="8"/>
      <c r="AH834" s="8"/>
      <c r="AI834" s="8"/>
    </row>
    <row r="835" spans="1:35" ht="15.75" customHeight="1" x14ac:dyDescent="0.25">
      <c r="A835" s="8"/>
      <c r="B835" s="8"/>
      <c r="C835" s="8"/>
      <c r="D835" s="8"/>
      <c r="E835" s="50"/>
      <c r="F835" s="51"/>
      <c r="G835" s="51"/>
      <c r="H835" s="52"/>
      <c r="I835" s="52"/>
      <c r="J835" s="52"/>
      <c r="K835" s="52"/>
      <c r="L835" s="52"/>
      <c r="M835" s="48"/>
      <c r="N835" s="52"/>
      <c r="O835" s="22"/>
      <c r="P835" s="22"/>
      <c r="Q835" s="8"/>
      <c r="R835" s="8"/>
      <c r="S835" s="8"/>
      <c r="T835" s="8"/>
      <c r="U835" s="8"/>
      <c r="V835" s="8"/>
      <c r="W835" s="8"/>
      <c r="X835" s="8"/>
      <c r="Y835" s="8"/>
      <c r="Z835" s="8"/>
      <c r="AA835" s="8"/>
      <c r="AB835" s="8"/>
      <c r="AC835" s="8"/>
      <c r="AD835" s="24"/>
      <c r="AE835" s="24"/>
      <c r="AF835" s="8"/>
      <c r="AG835" s="8"/>
      <c r="AH835" s="8"/>
      <c r="AI835" s="8"/>
    </row>
    <row r="836" spans="1:35" ht="15.75" customHeight="1" x14ac:dyDescent="0.25">
      <c r="A836" s="8"/>
      <c r="B836" s="8"/>
      <c r="C836" s="8"/>
      <c r="D836" s="8"/>
      <c r="E836" s="50"/>
      <c r="F836" s="51"/>
      <c r="G836" s="51"/>
      <c r="H836" s="52"/>
      <c r="I836" s="52"/>
      <c r="J836" s="52"/>
      <c r="K836" s="52"/>
      <c r="L836" s="52"/>
      <c r="M836" s="52"/>
      <c r="N836" s="52"/>
      <c r="O836" s="22"/>
      <c r="P836" s="22"/>
      <c r="Q836" s="8"/>
      <c r="R836" s="8"/>
      <c r="S836" s="8"/>
      <c r="T836" s="8"/>
      <c r="U836" s="8"/>
      <c r="V836" s="8"/>
      <c r="W836" s="8"/>
      <c r="X836" s="8"/>
      <c r="Y836" s="8"/>
      <c r="Z836" s="8"/>
      <c r="AA836" s="8"/>
      <c r="AB836" s="8"/>
      <c r="AC836" s="8"/>
      <c r="AD836" s="24"/>
      <c r="AE836" s="24"/>
      <c r="AF836" s="8"/>
      <c r="AG836" s="8"/>
      <c r="AH836" s="8"/>
      <c r="AI836" s="8"/>
    </row>
    <row r="837" spans="1:35" ht="15.75" customHeight="1" x14ac:dyDescent="0.25">
      <c r="A837" s="8"/>
      <c r="B837" s="8"/>
      <c r="C837" s="8"/>
      <c r="D837" s="8"/>
      <c r="E837" s="50"/>
      <c r="F837" s="51"/>
      <c r="G837" s="51"/>
      <c r="H837" s="52"/>
      <c r="I837" s="52"/>
      <c r="J837" s="52"/>
      <c r="K837" s="52"/>
      <c r="L837" s="52"/>
      <c r="M837" s="48"/>
      <c r="N837" s="52"/>
      <c r="O837" s="22"/>
      <c r="P837" s="22"/>
      <c r="Q837" s="8"/>
      <c r="R837" s="8"/>
      <c r="S837" s="8"/>
      <c r="T837" s="8"/>
      <c r="U837" s="8"/>
      <c r="V837" s="8"/>
      <c r="W837" s="8"/>
      <c r="X837" s="8"/>
      <c r="Y837" s="8"/>
      <c r="Z837" s="8"/>
      <c r="AA837" s="8"/>
      <c r="AB837" s="8"/>
      <c r="AC837" s="8"/>
      <c r="AD837" s="24"/>
      <c r="AE837" s="24"/>
      <c r="AF837" s="8"/>
      <c r="AG837" s="8"/>
      <c r="AH837" s="8"/>
      <c r="AI837" s="8"/>
    </row>
    <row r="838" spans="1:35" ht="15.75" customHeight="1" x14ac:dyDescent="0.25">
      <c r="A838" s="8"/>
      <c r="B838" s="8"/>
      <c r="C838" s="8"/>
      <c r="D838" s="8"/>
      <c r="E838" s="50"/>
      <c r="F838" s="51"/>
      <c r="G838" s="51"/>
      <c r="H838" s="52"/>
      <c r="I838" s="52"/>
      <c r="J838" s="52"/>
      <c r="K838" s="52"/>
      <c r="L838" s="52"/>
      <c r="M838" s="48"/>
      <c r="N838" s="52"/>
      <c r="O838" s="22"/>
      <c r="P838" s="22"/>
      <c r="Q838" s="8"/>
      <c r="R838" s="8"/>
      <c r="S838" s="8"/>
      <c r="T838" s="8"/>
      <c r="U838" s="8"/>
      <c r="V838" s="8"/>
      <c r="W838" s="8"/>
      <c r="X838" s="8"/>
      <c r="Y838" s="8"/>
      <c r="Z838" s="8"/>
      <c r="AA838" s="8"/>
      <c r="AB838" s="8"/>
      <c r="AC838" s="8"/>
      <c r="AD838" s="24"/>
      <c r="AE838" s="24"/>
      <c r="AF838" s="8"/>
      <c r="AG838" s="8"/>
      <c r="AH838" s="8"/>
      <c r="AI838" s="8"/>
    </row>
    <row r="839" spans="1:35" ht="15.75" customHeight="1" x14ac:dyDescent="0.25">
      <c r="A839" s="8"/>
      <c r="B839" s="8"/>
      <c r="C839" s="8"/>
      <c r="D839" s="8"/>
      <c r="E839" s="50"/>
      <c r="F839" s="51"/>
      <c r="G839" s="51"/>
      <c r="H839" s="52"/>
      <c r="I839" s="52"/>
      <c r="J839" s="52"/>
      <c r="K839" s="52"/>
      <c r="L839" s="52"/>
      <c r="M839" s="48"/>
      <c r="N839" s="52"/>
      <c r="O839" s="22"/>
      <c r="P839" s="22"/>
      <c r="Q839" s="8"/>
      <c r="R839" s="8"/>
      <c r="S839" s="8"/>
      <c r="T839" s="8"/>
      <c r="U839" s="8"/>
      <c r="V839" s="8"/>
      <c r="W839" s="8"/>
      <c r="X839" s="8"/>
      <c r="Y839" s="8"/>
      <c r="Z839" s="8"/>
      <c r="AA839" s="8"/>
      <c r="AB839" s="8"/>
      <c r="AC839" s="8"/>
      <c r="AD839" s="24"/>
      <c r="AE839" s="24"/>
      <c r="AF839" s="8"/>
      <c r="AG839" s="8"/>
      <c r="AH839" s="8"/>
      <c r="AI839" s="8"/>
    </row>
    <row r="840" spans="1:35" ht="15.75" customHeight="1" x14ac:dyDescent="0.25">
      <c r="A840" s="8"/>
      <c r="B840" s="8"/>
      <c r="C840" s="8"/>
      <c r="D840" s="8"/>
      <c r="E840" s="50"/>
      <c r="F840" s="51"/>
      <c r="G840" s="51"/>
      <c r="H840" s="52"/>
      <c r="I840" s="52"/>
      <c r="J840" s="52"/>
      <c r="K840" s="52"/>
      <c r="L840" s="52"/>
      <c r="M840" s="52"/>
      <c r="N840" s="52"/>
      <c r="O840" s="22"/>
      <c r="P840" s="22"/>
      <c r="Q840" s="8"/>
      <c r="R840" s="8"/>
      <c r="S840" s="8"/>
      <c r="T840" s="8"/>
      <c r="U840" s="8"/>
      <c r="V840" s="8"/>
      <c r="W840" s="8"/>
      <c r="X840" s="8"/>
      <c r="Y840" s="8"/>
      <c r="Z840" s="8"/>
      <c r="AA840" s="8"/>
      <c r="AB840" s="8"/>
      <c r="AC840" s="8"/>
      <c r="AD840" s="24"/>
      <c r="AE840" s="24"/>
      <c r="AF840" s="8"/>
      <c r="AG840" s="8"/>
      <c r="AH840" s="8"/>
      <c r="AI840" s="8"/>
    </row>
    <row r="841" spans="1:35" ht="15.75" customHeight="1" x14ac:dyDescent="0.25">
      <c r="A841" s="8"/>
      <c r="B841" s="8"/>
      <c r="C841" s="8"/>
      <c r="D841" s="8"/>
      <c r="E841" s="50"/>
      <c r="F841" s="51"/>
      <c r="G841" s="51"/>
      <c r="H841" s="52"/>
      <c r="I841" s="52"/>
      <c r="J841" s="52"/>
      <c r="K841" s="52"/>
      <c r="L841" s="52"/>
      <c r="M841" s="48"/>
      <c r="N841" s="52"/>
      <c r="O841" s="22"/>
      <c r="P841" s="22"/>
      <c r="Q841" s="8"/>
      <c r="R841" s="8"/>
      <c r="S841" s="8"/>
      <c r="T841" s="8"/>
      <c r="U841" s="8"/>
      <c r="V841" s="8"/>
      <c r="W841" s="8"/>
      <c r="X841" s="8"/>
      <c r="Y841" s="8"/>
      <c r="Z841" s="8"/>
      <c r="AA841" s="8"/>
      <c r="AB841" s="8"/>
      <c r="AC841" s="8"/>
      <c r="AD841" s="24"/>
      <c r="AE841" s="24"/>
      <c r="AF841" s="8"/>
      <c r="AG841" s="8"/>
      <c r="AH841" s="8"/>
      <c r="AI841" s="8"/>
    </row>
    <row r="842" spans="1:35" ht="15.75" customHeight="1" x14ac:dyDescent="0.25">
      <c r="A842" s="8"/>
      <c r="B842" s="8"/>
      <c r="C842" s="8"/>
      <c r="D842" s="8"/>
      <c r="E842" s="50"/>
      <c r="F842" s="51"/>
      <c r="G842" s="51"/>
      <c r="H842" s="52"/>
      <c r="I842" s="52"/>
      <c r="J842" s="52"/>
      <c r="K842" s="52"/>
      <c r="L842" s="52"/>
      <c r="M842" s="49"/>
      <c r="N842" s="52"/>
      <c r="O842" s="22"/>
      <c r="P842" s="22"/>
      <c r="Q842" s="8"/>
      <c r="R842" s="8"/>
      <c r="S842" s="8"/>
      <c r="T842" s="8"/>
      <c r="U842" s="8"/>
      <c r="V842" s="8"/>
      <c r="W842" s="8"/>
      <c r="X842" s="8"/>
      <c r="Y842" s="8"/>
      <c r="Z842" s="8"/>
      <c r="AA842" s="8"/>
      <c r="AB842" s="8"/>
      <c r="AC842" s="8"/>
      <c r="AD842" s="24"/>
      <c r="AE842" s="24"/>
      <c r="AF842" s="8"/>
      <c r="AG842" s="8"/>
      <c r="AH842" s="8"/>
      <c r="AI842" s="8"/>
    </row>
    <row r="843" spans="1:35" ht="15.75" customHeight="1" x14ac:dyDescent="0.25">
      <c r="A843" s="8"/>
      <c r="B843" s="8"/>
      <c r="C843" s="8"/>
      <c r="D843" s="8"/>
      <c r="E843" s="50"/>
      <c r="F843" s="51"/>
      <c r="G843" s="51"/>
      <c r="H843" s="52"/>
      <c r="I843" s="52"/>
      <c r="J843" s="52"/>
      <c r="K843" s="52"/>
      <c r="L843" s="52"/>
      <c r="M843" s="48"/>
      <c r="N843" s="52"/>
      <c r="O843" s="22"/>
      <c r="P843" s="22"/>
      <c r="Q843" s="8"/>
      <c r="R843" s="8"/>
      <c r="S843" s="8"/>
      <c r="T843" s="8"/>
      <c r="U843" s="8"/>
      <c r="V843" s="8"/>
      <c r="W843" s="8"/>
      <c r="X843" s="8"/>
      <c r="Y843" s="8"/>
      <c r="Z843" s="8"/>
      <c r="AA843" s="8"/>
      <c r="AB843" s="8"/>
      <c r="AC843" s="8"/>
      <c r="AD843" s="24"/>
      <c r="AE843" s="24"/>
      <c r="AF843" s="8"/>
      <c r="AG843" s="8"/>
      <c r="AH843" s="8"/>
      <c r="AI843" s="8"/>
    </row>
    <row r="844" spans="1:35" ht="15.75" customHeight="1" x14ac:dyDescent="0.25">
      <c r="A844" s="8"/>
      <c r="B844" s="8"/>
      <c r="C844" s="8"/>
      <c r="D844" s="8"/>
      <c r="E844" s="50"/>
      <c r="F844" s="51"/>
      <c r="G844" s="51"/>
      <c r="H844" s="52"/>
      <c r="I844" s="52"/>
      <c r="J844" s="52"/>
      <c r="K844" s="52"/>
      <c r="L844" s="52"/>
      <c r="M844" s="52"/>
      <c r="N844" s="52"/>
      <c r="O844" s="22"/>
      <c r="P844" s="22"/>
      <c r="Q844" s="8"/>
      <c r="R844" s="8"/>
      <c r="S844" s="8"/>
      <c r="T844" s="8"/>
      <c r="U844" s="8"/>
      <c r="V844" s="8"/>
      <c r="W844" s="8"/>
      <c r="X844" s="8"/>
      <c r="Y844" s="8"/>
      <c r="Z844" s="8"/>
      <c r="AA844" s="8"/>
      <c r="AB844" s="8"/>
      <c r="AC844" s="8"/>
      <c r="AD844" s="24"/>
      <c r="AE844" s="24"/>
      <c r="AF844" s="8"/>
      <c r="AG844" s="8"/>
      <c r="AH844" s="8"/>
      <c r="AI844" s="8"/>
    </row>
    <row r="845" spans="1:35" ht="15.75" customHeight="1" x14ac:dyDescent="0.25">
      <c r="A845" s="8"/>
      <c r="B845" s="8"/>
      <c r="C845" s="8"/>
      <c r="D845" s="8"/>
      <c r="E845" s="50"/>
      <c r="F845" s="51"/>
      <c r="G845" s="51"/>
      <c r="H845" s="52"/>
      <c r="I845" s="52"/>
      <c r="J845" s="52"/>
      <c r="K845" s="52"/>
      <c r="L845" s="52"/>
      <c r="M845" s="52"/>
      <c r="N845" s="52"/>
      <c r="O845" s="22"/>
      <c r="P845" s="22"/>
      <c r="Q845" s="8"/>
      <c r="R845" s="8"/>
      <c r="S845" s="8"/>
      <c r="T845" s="8"/>
      <c r="U845" s="8"/>
      <c r="V845" s="8"/>
      <c r="W845" s="8"/>
      <c r="X845" s="8"/>
      <c r="Y845" s="8"/>
      <c r="Z845" s="8"/>
      <c r="AA845" s="8"/>
      <c r="AB845" s="8"/>
      <c r="AC845" s="8"/>
      <c r="AD845" s="24"/>
      <c r="AE845" s="24"/>
      <c r="AF845" s="8"/>
      <c r="AG845" s="8"/>
      <c r="AH845" s="8"/>
      <c r="AI845" s="8"/>
    </row>
    <row r="846" spans="1:35" ht="15.75" customHeight="1" x14ac:dyDescent="0.25">
      <c r="A846" s="8"/>
      <c r="B846" s="8"/>
      <c r="C846" s="8"/>
      <c r="D846" s="8"/>
      <c r="E846" s="50"/>
      <c r="F846" s="51"/>
      <c r="G846" s="51"/>
      <c r="H846" s="52"/>
      <c r="I846" s="52"/>
      <c r="J846" s="52"/>
      <c r="K846" s="52"/>
      <c r="L846" s="52"/>
      <c r="M846" s="48"/>
      <c r="N846" s="52"/>
      <c r="O846" s="22"/>
      <c r="P846" s="22"/>
      <c r="Q846" s="8"/>
      <c r="R846" s="8"/>
      <c r="S846" s="8"/>
      <c r="T846" s="8"/>
      <c r="U846" s="8"/>
      <c r="V846" s="8"/>
      <c r="W846" s="8"/>
      <c r="X846" s="8"/>
      <c r="Y846" s="8"/>
      <c r="Z846" s="8"/>
      <c r="AA846" s="8"/>
      <c r="AB846" s="8"/>
      <c r="AC846" s="8"/>
      <c r="AD846" s="24"/>
      <c r="AE846" s="24"/>
      <c r="AF846" s="8"/>
      <c r="AG846" s="8"/>
      <c r="AH846" s="8"/>
      <c r="AI846" s="8"/>
    </row>
    <row r="847" spans="1:35" ht="15.75" customHeight="1" x14ac:dyDescent="0.25">
      <c r="A847" s="8"/>
      <c r="B847" s="8"/>
      <c r="C847" s="8"/>
      <c r="D847" s="8"/>
      <c r="E847" s="50"/>
      <c r="F847" s="51"/>
      <c r="G847" s="51"/>
      <c r="H847" s="52"/>
      <c r="I847" s="52"/>
      <c r="J847" s="52"/>
      <c r="K847" s="52"/>
      <c r="L847" s="52"/>
      <c r="M847" s="48"/>
      <c r="N847" s="52"/>
      <c r="O847" s="22"/>
      <c r="P847" s="22"/>
      <c r="Q847" s="8"/>
      <c r="R847" s="8"/>
      <c r="S847" s="8"/>
      <c r="T847" s="8"/>
      <c r="U847" s="8"/>
      <c r="V847" s="8"/>
      <c r="W847" s="8"/>
      <c r="X847" s="8"/>
      <c r="Y847" s="8"/>
      <c r="Z847" s="8"/>
      <c r="AA847" s="8"/>
      <c r="AB847" s="8"/>
      <c r="AC847" s="8"/>
      <c r="AD847" s="24"/>
      <c r="AE847" s="24"/>
      <c r="AF847" s="8"/>
      <c r="AG847" s="8"/>
      <c r="AH847" s="8"/>
      <c r="AI847" s="8"/>
    </row>
    <row r="848" spans="1:35" ht="15.75" customHeight="1" x14ac:dyDescent="0.25">
      <c r="A848" s="8"/>
      <c r="B848" s="8"/>
      <c r="C848" s="8"/>
      <c r="D848" s="8"/>
      <c r="E848" s="50"/>
      <c r="F848" s="51"/>
      <c r="G848" s="51"/>
      <c r="H848" s="52"/>
      <c r="I848" s="52"/>
      <c r="J848" s="52"/>
      <c r="K848" s="52"/>
      <c r="L848" s="52"/>
      <c r="M848" s="48"/>
      <c r="N848" s="52"/>
      <c r="O848" s="22"/>
      <c r="P848" s="22"/>
      <c r="Q848" s="8"/>
      <c r="R848" s="8"/>
      <c r="S848" s="8"/>
      <c r="T848" s="8"/>
      <c r="U848" s="8"/>
      <c r="V848" s="8"/>
      <c r="W848" s="8"/>
      <c r="X848" s="8"/>
      <c r="Y848" s="8"/>
      <c r="Z848" s="8"/>
      <c r="AA848" s="8"/>
      <c r="AB848" s="8"/>
      <c r="AC848" s="8"/>
      <c r="AD848" s="24"/>
      <c r="AE848" s="24"/>
      <c r="AF848" s="8"/>
      <c r="AG848" s="8"/>
      <c r="AH848" s="8"/>
      <c r="AI848" s="8"/>
    </row>
    <row r="849" spans="1:35" ht="15.75" customHeight="1" x14ac:dyDescent="0.25">
      <c r="A849" s="8"/>
      <c r="B849" s="8"/>
      <c r="C849" s="8"/>
      <c r="D849" s="8"/>
      <c r="E849" s="50"/>
      <c r="F849" s="51"/>
      <c r="G849" s="51"/>
      <c r="H849" s="52"/>
      <c r="I849" s="52"/>
      <c r="J849" s="52"/>
      <c r="K849" s="52"/>
      <c r="L849" s="52"/>
      <c r="M849" s="48"/>
      <c r="N849" s="52"/>
      <c r="O849" s="22"/>
      <c r="P849" s="22"/>
      <c r="Q849" s="8"/>
      <c r="R849" s="8"/>
      <c r="S849" s="8"/>
      <c r="T849" s="8"/>
      <c r="U849" s="8"/>
      <c r="V849" s="8"/>
      <c r="W849" s="8"/>
      <c r="X849" s="8"/>
      <c r="Y849" s="8"/>
      <c r="Z849" s="8"/>
      <c r="AA849" s="8"/>
      <c r="AB849" s="8"/>
      <c r="AC849" s="8"/>
      <c r="AD849" s="24"/>
      <c r="AE849" s="24"/>
      <c r="AF849" s="8"/>
      <c r="AG849" s="8"/>
      <c r="AH849" s="8"/>
      <c r="AI849" s="8"/>
    </row>
    <row r="850" spans="1:35" ht="15.75" customHeight="1" x14ac:dyDescent="0.25">
      <c r="A850" s="8"/>
      <c r="B850" s="8"/>
      <c r="C850" s="8"/>
      <c r="D850" s="8"/>
      <c r="E850" s="50"/>
      <c r="F850" s="51"/>
      <c r="G850" s="51"/>
      <c r="H850" s="52"/>
      <c r="I850" s="52"/>
      <c r="J850" s="52"/>
      <c r="K850" s="52"/>
      <c r="L850" s="52"/>
      <c r="M850" s="52"/>
      <c r="N850" s="52"/>
      <c r="O850" s="22"/>
      <c r="P850" s="22"/>
      <c r="Q850" s="8"/>
      <c r="R850" s="8"/>
      <c r="S850" s="8"/>
      <c r="T850" s="8"/>
      <c r="U850" s="8"/>
      <c r="V850" s="8"/>
      <c r="W850" s="8"/>
      <c r="X850" s="8"/>
      <c r="Y850" s="8"/>
      <c r="Z850" s="8"/>
      <c r="AA850" s="8"/>
      <c r="AB850" s="8"/>
      <c r="AC850" s="8"/>
      <c r="AD850" s="24"/>
      <c r="AE850" s="24"/>
      <c r="AF850" s="8"/>
      <c r="AG850" s="8"/>
      <c r="AH850" s="8"/>
      <c r="AI850" s="8"/>
    </row>
    <row r="851" spans="1:35" ht="15.75" customHeight="1" x14ac:dyDescent="0.25">
      <c r="A851" s="8"/>
      <c r="B851" s="8"/>
      <c r="C851" s="8"/>
      <c r="D851" s="8"/>
      <c r="E851" s="50"/>
      <c r="F851" s="51"/>
      <c r="G851" s="51"/>
      <c r="H851" s="52"/>
      <c r="I851" s="52"/>
      <c r="J851" s="52"/>
      <c r="K851" s="52"/>
      <c r="L851" s="52"/>
      <c r="M851" s="52"/>
      <c r="N851" s="52"/>
      <c r="O851" s="22"/>
      <c r="P851" s="22"/>
      <c r="Q851" s="8"/>
      <c r="R851" s="8"/>
      <c r="S851" s="8"/>
      <c r="T851" s="8"/>
      <c r="U851" s="8"/>
      <c r="V851" s="8"/>
      <c r="W851" s="8"/>
      <c r="X851" s="8"/>
      <c r="Y851" s="8"/>
      <c r="Z851" s="8"/>
      <c r="AA851" s="8"/>
      <c r="AB851" s="8"/>
      <c r="AC851" s="8"/>
      <c r="AD851" s="24"/>
      <c r="AE851" s="24"/>
      <c r="AF851" s="8"/>
      <c r="AG851" s="8"/>
      <c r="AH851" s="8"/>
      <c r="AI851" s="8"/>
    </row>
    <row r="852" spans="1:35" ht="15.75" customHeight="1" x14ac:dyDescent="0.25">
      <c r="A852" s="8"/>
      <c r="B852" s="8"/>
      <c r="C852" s="8"/>
      <c r="D852" s="8"/>
      <c r="E852" s="50"/>
      <c r="F852" s="51"/>
      <c r="G852" s="51"/>
      <c r="H852" s="52"/>
      <c r="I852" s="52"/>
      <c r="J852" s="52"/>
      <c r="K852" s="52"/>
      <c r="L852" s="52"/>
      <c r="M852" s="48"/>
      <c r="N852" s="52"/>
      <c r="O852" s="22"/>
      <c r="P852" s="22"/>
      <c r="Q852" s="8"/>
      <c r="R852" s="8"/>
      <c r="S852" s="8"/>
      <c r="T852" s="8"/>
      <c r="U852" s="8"/>
      <c r="V852" s="8"/>
      <c r="W852" s="8"/>
      <c r="X852" s="8"/>
      <c r="Y852" s="8"/>
      <c r="Z852" s="8"/>
      <c r="AA852" s="8"/>
      <c r="AB852" s="8"/>
      <c r="AC852" s="8"/>
      <c r="AD852" s="24"/>
      <c r="AE852" s="24"/>
      <c r="AF852" s="8"/>
      <c r="AG852" s="8"/>
      <c r="AH852" s="8"/>
      <c r="AI852" s="8"/>
    </row>
    <row r="853" spans="1:35" ht="15.75" customHeight="1" x14ac:dyDescent="0.25">
      <c r="A853" s="8"/>
      <c r="B853" s="8"/>
      <c r="C853" s="8"/>
      <c r="D853" s="8"/>
      <c r="E853" s="50"/>
      <c r="F853" s="51"/>
      <c r="G853" s="51"/>
      <c r="H853" s="52"/>
      <c r="I853" s="52"/>
      <c r="J853" s="52"/>
      <c r="K853" s="52"/>
      <c r="L853" s="52"/>
      <c r="M853" s="52"/>
      <c r="N853" s="52"/>
      <c r="O853" s="22"/>
      <c r="P853" s="22"/>
      <c r="Q853" s="8"/>
      <c r="R853" s="8"/>
      <c r="S853" s="8"/>
      <c r="T853" s="8"/>
      <c r="U853" s="8"/>
      <c r="V853" s="8"/>
      <c r="W853" s="8"/>
      <c r="X853" s="8"/>
      <c r="Y853" s="8"/>
      <c r="Z853" s="8"/>
      <c r="AA853" s="8"/>
      <c r="AB853" s="8"/>
      <c r="AC853" s="8"/>
      <c r="AD853" s="24"/>
      <c r="AE853" s="24"/>
      <c r="AF853" s="8"/>
      <c r="AG853" s="8"/>
      <c r="AH853" s="8"/>
      <c r="AI853" s="8"/>
    </row>
    <row r="854" spans="1:35" ht="15.75" customHeight="1" x14ac:dyDescent="0.25">
      <c r="A854" s="8"/>
      <c r="B854" s="8"/>
      <c r="C854" s="8"/>
      <c r="D854" s="8"/>
      <c r="E854" s="50"/>
      <c r="F854" s="51"/>
      <c r="G854" s="51"/>
      <c r="H854" s="52"/>
      <c r="I854" s="52"/>
      <c r="J854" s="52"/>
      <c r="K854" s="52"/>
      <c r="L854" s="52"/>
      <c r="M854" s="49"/>
      <c r="N854" s="52"/>
      <c r="O854" s="22"/>
      <c r="P854" s="22"/>
      <c r="Q854" s="8"/>
      <c r="R854" s="8"/>
      <c r="S854" s="8"/>
      <c r="T854" s="8"/>
      <c r="U854" s="8"/>
      <c r="V854" s="8"/>
      <c r="W854" s="8"/>
      <c r="X854" s="8"/>
      <c r="Y854" s="8"/>
      <c r="Z854" s="8"/>
      <c r="AA854" s="8"/>
      <c r="AB854" s="8"/>
      <c r="AC854" s="8"/>
      <c r="AD854" s="24"/>
      <c r="AE854" s="24"/>
      <c r="AF854" s="8"/>
      <c r="AG854" s="8"/>
      <c r="AH854" s="8"/>
      <c r="AI854" s="8"/>
    </row>
    <row r="855" spans="1:35" ht="15.75" customHeight="1" x14ac:dyDescent="0.25">
      <c r="A855" s="8"/>
      <c r="B855" s="8"/>
      <c r="C855" s="8"/>
      <c r="D855" s="8"/>
      <c r="E855" s="50"/>
      <c r="F855" s="51"/>
      <c r="G855" s="51"/>
      <c r="H855" s="52"/>
      <c r="I855" s="52"/>
      <c r="J855" s="52"/>
      <c r="K855" s="52"/>
      <c r="L855" s="52"/>
      <c r="M855" s="52"/>
      <c r="N855" s="52"/>
      <c r="O855" s="22"/>
      <c r="P855" s="22"/>
      <c r="Q855" s="8"/>
      <c r="R855" s="8"/>
      <c r="S855" s="8"/>
      <c r="T855" s="8"/>
      <c r="U855" s="8"/>
      <c r="V855" s="8"/>
      <c r="W855" s="8"/>
      <c r="X855" s="8"/>
      <c r="Y855" s="8"/>
      <c r="Z855" s="8"/>
      <c r="AA855" s="8"/>
      <c r="AB855" s="8"/>
      <c r="AC855" s="8"/>
      <c r="AD855" s="24"/>
      <c r="AE855" s="24"/>
      <c r="AF855" s="8"/>
      <c r="AG855" s="8"/>
      <c r="AH855" s="8"/>
      <c r="AI855" s="8"/>
    </row>
    <row r="856" spans="1:35" ht="15.75" customHeight="1" x14ac:dyDescent="0.25">
      <c r="A856" s="8"/>
      <c r="B856" s="8"/>
      <c r="C856" s="8"/>
      <c r="D856" s="8"/>
      <c r="E856" s="50"/>
      <c r="F856" s="51"/>
      <c r="G856" s="51"/>
      <c r="H856" s="52"/>
      <c r="I856" s="52"/>
      <c r="J856" s="52"/>
      <c r="K856" s="52"/>
      <c r="L856" s="52"/>
      <c r="M856" s="48"/>
      <c r="N856" s="52"/>
      <c r="O856" s="22"/>
      <c r="P856" s="22"/>
      <c r="Q856" s="8"/>
      <c r="R856" s="8"/>
      <c r="S856" s="8"/>
      <c r="T856" s="8"/>
      <c r="U856" s="8"/>
      <c r="V856" s="8"/>
      <c r="W856" s="8"/>
      <c r="X856" s="8"/>
      <c r="Y856" s="8"/>
      <c r="Z856" s="8"/>
      <c r="AA856" s="8"/>
      <c r="AB856" s="8"/>
      <c r="AC856" s="8"/>
      <c r="AD856" s="24"/>
      <c r="AE856" s="24"/>
      <c r="AF856" s="8"/>
      <c r="AG856" s="8"/>
      <c r="AH856" s="8"/>
      <c r="AI856" s="8"/>
    </row>
    <row r="857" spans="1:35" ht="15.75" customHeight="1" x14ac:dyDescent="0.25">
      <c r="A857" s="8"/>
      <c r="B857" s="8"/>
      <c r="C857" s="8"/>
      <c r="D857" s="8"/>
      <c r="E857" s="50"/>
      <c r="F857" s="51"/>
      <c r="G857" s="51"/>
      <c r="H857" s="52"/>
      <c r="I857" s="52"/>
      <c r="J857" s="52"/>
      <c r="K857" s="52"/>
      <c r="L857" s="52"/>
      <c r="M857" s="48"/>
      <c r="N857" s="52"/>
      <c r="O857" s="22"/>
      <c r="P857" s="22"/>
      <c r="Q857" s="8"/>
      <c r="R857" s="8"/>
      <c r="S857" s="8"/>
      <c r="T857" s="8"/>
      <c r="U857" s="8"/>
      <c r="V857" s="8"/>
      <c r="W857" s="8"/>
      <c r="X857" s="8"/>
      <c r="Y857" s="8"/>
      <c r="Z857" s="8"/>
      <c r="AA857" s="8"/>
      <c r="AB857" s="8"/>
      <c r="AC857" s="8"/>
      <c r="AD857" s="24"/>
      <c r="AE857" s="24"/>
      <c r="AF857" s="8"/>
      <c r="AG857" s="8"/>
      <c r="AH857" s="8"/>
      <c r="AI857" s="8"/>
    </row>
    <row r="858" spans="1:35" ht="15.75" customHeight="1" x14ac:dyDescent="0.25">
      <c r="A858" s="8"/>
      <c r="B858" s="8"/>
      <c r="C858" s="8"/>
      <c r="D858" s="8"/>
      <c r="E858" s="50"/>
      <c r="F858" s="51"/>
      <c r="G858" s="51"/>
      <c r="H858" s="52"/>
      <c r="I858" s="52"/>
      <c r="J858" s="52"/>
      <c r="K858" s="52"/>
      <c r="L858" s="52"/>
      <c r="M858" s="52"/>
      <c r="N858" s="52"/>
      <c r="O858" s="22"/>
      <c r="P858" s="22"/>
      <c r="Q858" s="8"/>
      <c r="R858" s="8"/>
      <c r="S858" s="8"/>
      <c r="T858" s="8"/>
      <c r="U858" s="8"/>
      <c r="V858" s="8"/>
      <c r="W858" s="8"/>
      <c r="X858" s="8"/>
      <c r="Y858" s="8"/>
      <c r="Z858" s="8"/>
      <c r="AA858" s="8"/>
      <c r="AB858" s="8"/>
      <c r="AC858" s="8"/>
      <c r="AD858" s="24"/>
      <c r="AE858" s="24"/>
      <c r="AF858" s="8"/>
      <c r="AG858" s="8"/>
      <c r="AH858" s="8"/>
      <c r="AI858" s="8"/>
    </row>
    <row r="859" spans="1:35" ht="15.75" customHeight="1" x14ac:dyDescent="0.25">
      <c r="A859" s="8"/>
      <c r="B859" s="8"/>
      <c r="C859" s="8"/>
      <c r="D859" s="8"/>
      <c r="E859" s="50"/>
      <c r="F859" s="51"/>
      <c r="G859" s="51"/>
      <c r="H859" s="52"/>
      <c r="I859" s="52"/>
      <c r="J859" s="52"/>
      <c r="K859" s="52"/>
      <c r="L859" s="52"/>
      <c r="M859" s="48"/>
      <c r="N859" s="52"/>
      <c r="O859" s="22"/>
      <c r="P859" s="22"/>
      <c r="Q859" s="8"/>
      <c r="R859" s="8"/>
      <c r="S859" s="8"/>
      <c r="T859" s="8"/>
      <c r="U859" s="8"/>
      <c r="V859" s="8"/>
      <c r="W859" s="8"/>
      <c r="X859" s="8"/>
      <c r="Y859" s="8"/>
      <c r="Z859" s="8"/>
      <c r="AA859" s="8"/>
      <c r="AB859" s="8"/>
      <c r="AC859" s="8"/>
      <c r="AD859" s="24"/>
      <c r="AE859" s="24"/>
      <c r="AF859" s="8"/>
      <c r="AG859" s="8"/>
      <c r="AH859" s="8"/>
      <c r="AI859" s="8"/>
    </row>
    <row r="860" spans="1:35" ht="15.75" customHeight="1" x14ac:dyDescent="0.25">
      <c r="A860" s="8"/>
      <c r="B860" s="8"/>
      <c r="C860" s="8"/>
      <c r="D860" s="8"/>
      <c r="E860" s="50"/>
      <c r="F860" s="51"/>
      <c r="G860" s="51"/>
      <c r="H860" s="52"/>
      <c r="I860" s="52"/>
      <c r="J860" s="52"/>
      <c r="K860" s="52"/>
      <c r="L860" s="52"/>
      <c r="M860" s="48"/>
      <c r="N860" s="52"/>
      <c r="O860" s="22"/>
      <c r="P860" s="22"/>
      <c r="Q860" s="8"/>
      <c r="R860" s="8"/>
      <c r="S860" s="8"/>
      <c r="T860" s="8"/>
      <c r="U860" s="8"/>
      <c r="V860" s="8"/>
      <c r="W860" s="8"/>
      <c r="X860" s="8"/>
      <c r="Y860" s="8"/>
      <c r="Z860" s="8"/>
      <c r="AA860" s="8"/>
      <c r="AB860" s="8"/>
      <c r="AC860" s="8"/>
      <c r="AD860" s="24"/>
      <c r="AE860" s="24"/>
      <c r="AF860" s="8"/>
      <c r="AG860" s="8"/>
      <c r="AH860" s="8"/>
      <c r="AI860" s="8"/>
    </row>
    <row r="861" spans="1:35" ht="15.75" customHeight="1" x14ac:dyDescent="0.25">
      <c r="A861" s="8"/>
      <c r="B861" s="8"/>
      <c r="C861" s="8"/>
      <c r="D861" s="8"/>
      <c r="E861" s="50"/>
      <c r="F861" s="51"/>
      <c r="G861" s="51"/>
      <c r="H861" s="52"/>
      <c r="I861" s="52"/>
      <c r="J861" s="52"/>
      <c r="K861" s="52"/>
      <c r="L861" s="52"/>
      <c r="M861" s="48"/>
      <c r="N861" s="52"/>
      <c r="O861" s="22"/>
      <c r="P861" s="22"/>
      <c r="Q861" s="8"/>
      <c r="R861" s="8"/>
      <c r="S861" s="8"/>
      <c r="T861" s="8"/>
      <c r="U861" s="8"/>
      <c r="V861" s="8"/>
      <c r="W861" s="8"/>
      <c r="X861" s="8"/>
      <c r="Y861" s="8"/>
      <c r="Z861" s="8"/>
      <c r="AA861" s="8"/>
      <c r="AB861" s="8"/>
      <c r="AC861" s="8"/>
      <c r="AD861" s="24"/>
      <c r="AE861" s="24"/>
      <c r="AF861" s="8"/>
      <c r="AG861" s="8"/>
      <c r="AH861" s="8"/>
      <c r="AI861" s="8"/>
    </row>
    <row r="862" spans="1:35" ht="15.75" customHeight="1" x14ac:dyDescent="0.25">
      <c r="A862" s="8"/>
      <c r="B862" s="8"/>
      <c r="C862" s="8"/>
      <c r="D862" s="8"/>
      <c r="E862" s="50"/>
      <c r="F862" s="51"/>
      <c r="G862" s="51"/>
      <c r="H862" s="52"/>
      <c r="I862" s="52"/>
      <c r="J862" s="52"/>
      <c r="K862" s="52"/>
      <c r="L862" s="52"/>
      <c r="M862" s="52"/>
      <c r="N862" s="52"/>
      <c r="O862" s="22"/>
      <c r="P862" s="22"/>
      <c r="Q862" s="8"/>
      <c r="R862" s="8"/>
      <c r="S862" s="8"/>
      <c r="T862" s="8"/>
      <c r="U862" s="8"/>
      <c r="V862" s="8"/>
      <c r="W862" s="8"/>
      <c r="X862" s="8"/>
      <c r="Y862" s="8"/>
      <c r="Z862" s="8"/>
      <c r="AA862" s="8"/>
      <c r="AB862" s="8"/>
      <c r="AC862" s="8"/>
      <c r="AD862" s="24"/>
      <c r="AE862" s="24"/>
      <c r="AF862" s="8"/>
      <c r="AG862" s="8"/>
      <c r="AH862" s="8"/>
      <c r="AI862" s="8"/>
    </row>
    <row r="863" spans="1:35" ht="15.75" customHeight="1" x14ac:dyDescent="0.25">
      <c r="A863" s="8"/>
      <c r="B863" s="8"/>
      <c r="C863" s="8"/>
      <c r="D863" s="8"/>
      <c r="E863" s="50"/>
      <c r="F863" s="51"/>
      <c r="G863" s="51"/>
      <c r="H863" s="52"/>
      <c r="I863" s="52"/>
      <c r="J863" s="52"/>
      <c r="K863" s="52"/>
      <c r="L863" s="52"/>
      <c r="M863" s="48"/>
      <c r="N863" s="52"/>
      <c r="O863" s="22"/>
      <c r="P863" s="22"/>
      <c r="Q863" s="8"/>
      <c r="R863" s="8"/>
      <c r="S863" s="8"/>
      <c r="T863" s="8"/>
      <c r="U863" s="8"/>
      <c r="V863" s="8"/>
      <c r="W863" s="8"/>
      <c r="X863" s="8"/>
      <c r="Y863" s="8"/>
      <c r="Z863" s="8"/>
      <c r="AA863" s="8"/>
      <c r="AB863" s="8"/>
      <c r="AC863" s="8"/>
      <c r="AD863" s="24"/>
      <c r="AE863" s="24"/>
      <c r="AF863" s="8"/>
      <c r="AG863" s="8"/>
      <c r="AH863" s="8"/>
      <c r="AI863" s="8"/>
    </row>
    <row r="864" spans="1:35" ht="15.75" customHeight="1" x14ac:dyDescent="0.25">
      <c r="A864" s="8"/>
      <c r="B864" s="8"/>
      <c r="C864" s="8"/>
      <c r="D864" s="8"/>
      <c r="E864" s="50"/>
      <c r="F864" s="51"/>
      <c r="G864" s="51"/>
      <c r="H864" s="52"/>
      <c r="I864" s="52"/>
      <c r="J864" s="52"/>
      <c r="K864" s="52"/>
      <c r="L864" s="52"/>
      <c r="M864" s="48"/>
      <c r="N864" s="52"/>
      <c r="O864" s="22"/>
      <c r="P864" s="22"/>
      <c r="Q864" s="8"/>
      <c r="R864" s="8"/>
      <c r="S864" s="8"/>
      <c r="T864" s="8"/>
      <c r="U864" s="8"/>
      <c r="V864" s="8"/>
      <c r="W864" s="8"/>
      <c r="X864" s="8"/>
      <c r="Y864" s="8"/>
      <c r="Z864" s="8"/>
      <c r="AA864" s="8"/>
      <c r="AB864" s="8"/>
      <c r="AC864" s="8"/>
      <c r="AD864" s="24"/>
      <c r="AE864" s="24"/>
      <c r="AF864" s="8"/>
      <c r="AG864" s="8"/>
      <c r="AH864" s="8"/>
      <c r="AI864" s="8"/>
    </row>
    <row r="865" spans="1:35" ht="15.75" customHeight="1" x14ac:dyDescent="0.25">
      <c r="A865" s="8"/>
      <c r="B865" s="8"/>
      <c r="C865" s="8"/>
      <c r="D865" s="8"/>
      <c r="E865" s="50"/>
      <c r="F865" s="51"/>
      <c r="G865" s="51"/>
      <c r="H865" s="52"/>
      <c r="I865" s="52"/>
      <c r="J865" s="52"/>
      <c r="K865" s="52"/>
      <c r="L865" s="52"/>
      <c r="M865" s="52"/>
      <c r="N865" s="52"/>
      <c r="O865" s="22"/>
      <c r="P865" s="22"/>
      <c r="Q865" s="8"/>
      <c r="R865" s="8"/>
      <c r="S865" s="8"/>
      <c r="T865" s="8"/>
      <c r="U865" s="8"/>
      <c r="V865" s="8"/>
      <c r="W865" s="8"/>
      <c r="X865" s="8"/>
      <c r="Y865" s="8"/>
      <c r="Z865" s="8"/>
      <c r="AA865" s="8"/>
      <c r="AB865" s="8"/>
      <c r="AC865" s="8"/>
      <c r="AD865" s="24"/>
      <c r="AE865" s="24"/>
      <c r="AF865" s="8"/>
      <c r="AG865" s="8"/>
      <c r="AH865" s="8"/>
      <c r="AI865" s="8"/>
    </row>
    <row r="866" spans="1:35" ht="15.75" customHeight="1" x14ac:dyDescent="0.25">
      <c r="A866" s="8"/>
      <c r="B866" s="8"/>
      <c r="C866" s="8"/>
      <c r="D866" s="8"/>
      <c r="E866" s="50"/>
      <c r="F866" s="51"/>
      <c r="G866" s="51"/>
      <c r="H866" s="52"/>
      <c r="I866" s="52"/>
      <c r="J866" s="52"/>
      <c r="K866" s="52"/>
      <c r="L866" s="52"/>
      <c r="M866" s="52"/>
      <c r="N866" s="52"/>
      <c r="O866" s="22"/>
      <c r="P866" s="22"/>
      <c r="Q866" s="8"/>
      <c r="R866" s="8"/>
      <c r="S866" s="8"/>
      <c r="T866" s="8"/>
      <c r="U866" s="8"/>
      <c r="V866" s="8"/>
      <c r="W866" s="8"/>
      <c r="X866" s="8"/>
      <c r="Y866" s="8"/>
      <c r="Z866" s="8"/>
      <c r="AA866" s="8"/>
      <c r="AB866" s="8"/>
      <c r="AC866" s="8"/>
      <c r="AD866" s="24"/>
      <c r="AE866" s="24"/>
      <c r="AF866" s="8"/>
      <c r="AG866" s="8"/>
      <c r="AH866" s="8"/>
      <c r="AI866" s="8"/>
    </row>
    <row r="867" spans="1:35" ht="15.75" customHeight="1" x14ac:dyDescent="0.25">
      <c r="A867" s="8"/>
      <c r="B867" s="8"/>
      <c r="C867" s="8"/>
      <c r="D867" s="8"/>
      <c r="E867" s="50"/>
      <c r="F867" s="51"/>
      <c r="G867" s="51"/>
      <c r="H867" s="52"/>
      <c r="I867" s="52"/>
      <c r="J867" s="52"/>
      <c r="K867" s="52"/>
      <c r="L867" s="52"/>
      <c r="M867" s="48"/>
      <c r="N867" s="52"/>
      <c r="O867" s="22"/>
      <c r="P867" s="22"/>
      <c r="Q867" s="8"/>
      <c r="R867" s="8"/>
      <c r="S867" s="8"/>
      <c r="T867" s="8"/>
      <c r="U867" s="8"/>
      <c r="V867" s="8"/>
      <c r="W867" s="8"/>
      <c r="X867" s="8"/>
      <c r="Y867" s="8"/>
      <c r="Z867" s="8"/>
      <c r="AA867" s="8"/>
      <c r="AB867" s="8"/>
      <c r="AC867" s="8"/>
      <c r="AD867" s="24"/>
      <c r="AE867" s="24"/>
      <c r="AF867" s="8"/>
      <c r="AG867" s="8"/>
      <c r="AH867" s="8"/>
      <c r="AI867" s="8"/>
    </row>
    <row r="868" spans="1:35" ht="15.75" customHeight="1" x14ac:dyDescent="0.25">
      <c r="A868" s="8"/>
      <c r="B868" s="8"/>
      <c r="C868" s="8"/>
      <c r="D868" s="8"/>
      <c r="E868" s="50"/>
      <c r="F868" s="51"/>
      <c r="G868" s="51"/>
      <c r="H868" s="52"/>
      <c r="I868" s="52"/>
      <c r="J868" s="52"/>
      <c r="K868" s="52"/>
      <c r="L868" s="52"/>
      <c r="M868" s="48"/>
      <c r="N868" s="52"/>
      <c r="O868" s="22"/>
      <c r="P868" s="22"/>
      <c r="Q868" s="8"/>
      <c r="R868" s="8"/>
      <c r="S868" s="8"/>
      <c r="T868" s="8"/>
      <c r="U868" s="8"/>
      <c r="V868" s="8"/>
      <c r="W868" s="8"/>
      <c r="X868" s="8"/>
      <c r="Y868" s="8"/>
      <c r="Z868" s="8"/>
      <c r="AA868" s="8"/>
      <c r="AB868" s="8"/>
      <c r="AC868" s="8"/>
      <c r="AD868" s="24"/>
      <c r="AE868" s="24"/>
      <c r="AF868" s="8"/>
      <c r="AG868" s="8"/>
      <c r="AH868" s="8"/>
      <c r="AI868" s="8"/>
    </row>
    <row r="869" spans="1:35" ht="15.75" customHeight="1" x14ac:dyDescent="0.25">
      <c r="A869" s="8"/>
      <c r="B869" s="8"/>
      <c r="C869" s="8"/>
      <c r="D869" s="8"/>
      <c r="E869" s="50"/>
      <c r="F869" s="51"/>
      <c r="G869" s="51"/>
      <c r="H869" s="52"/>
      <c r="I869" s="52"/>
      <c r="J869" s="52"/>
      <c r="K869" s="52"/>
      <c r="L869" s="52"/>
      <c r="M869" s="48"/>
      <c r="N869" s="52"/>
      <c r="O869" s="22"/>
      <c r="P869" s="22"/>
      <c r="Q869" s="8"/>
      <c r="R869" s="8"/>
      <c r="S869" s="8"/>
      <c r="T869" s="8"/>
      <c r="U869" s="8"/>
      <c r="V869" s="8"/>
      <c r="W869" s="8"/>
      <c r="X869" s="8"/>
      <c r="Y869" s="8"/>
      <c r="Z869" s="8"/>
      <c r="AA869" s="8"/>
      <c r="AB869" s="8"/>
      <c r="AC869" s="8"/>
      <c r="AD869" s="24"/>
      <c r="AE869" s="24"/>
      <c r="AF869" s="8"/>
      <c r="AG869" s="8"/>
      <c r="AH869" s="8"/>
      <c r="AI869" s="8"/>
    </row>
    <row r="870" spans="1:35" ht="15.75" customHeight="1" x14ac:dyDescent="0.25">
      <c r="A870" s="8"/>
      <c r="B870" s="8"/>
      <c r="C870" s="8"/>
      <c r="D870" s="8"/>
      <c r="E870" s="50"/>
      <c r="F870" s="51"/>
      <c r="G870" s="51"/>
      <c r="H870" s="52"/>
      <c r="I870" s="52"/>
      <c r="J870" s="52"/>
      <c r="K870" s="52"/>
      <c r="L870" s="52"/>
      <c r="M870" s="52"/>
      <c r="N870" s="52"/>
      <c r="O870" s="22"/>
      <c r="P870" s="22"/>
      <c r="Q870" s="8"/>
      <c r="R870" s="8"/>
      <c r="S870" s="8"/>
      <c r="T870" s="8"/>
      <c r="U870" s="8"/>
      <c r="V870" s="8"/>
      <c r="W870" s="8"/>
      <c r="X870" s="8"/>
      <c r="Y870" s="8"/>
      <c r="Z870" s="8"/>
      <c r="AA870" s="8"/>
      <c r="AB870" s="8"/>
      <c r="AC870" s="8"/>
      <c r="AD870" s="24"/>
      <c r="AE870" s="24"/>
      <c r="AF870" s="8"/>
      <c r="AG870" s="8"/>
      <c r="AH870" s="8"/>
      <c r="AI870" s="8"/>
    </row>
    <row r="871" spans="1:35" ht="15.75" customHeight="1" x14ac:dyDescent="0.25">
      <c r="A871" s="8"/>
      <c r="B871" s="8"/>
      <c r="C871" s="8"/>
      <c r="D871" s="8"/>
      <c r="E871" s="50"/>
      <c r="F871" s="51"/>
      <c r="G871" s="51"/>
      <c r="H871" s="52"/>
      <c r="I871" s="52"/>
      <c r="J871" s="52"/>
      <c r="K871" s="52"/>
      <c r="L871" s="52"/>
      <c r="M871" s="48"/>
      <c r="N871" s="52"/>
      <c r="O871" s="22"/>
      <c r="P871" s="22"/>
      <c r="Q871" s="8"/>
      <c r="R871" s="8"/>
      <c r="S871" s="8"/>
      <c r="T871" s="8"/>
      <c r="U871" s="8"/>
      <c r="V871" s="8"/>
      <c r="W871" s="8"/>
      <c r="X871" s="8"/>
      <c r="Y871" s="8"/>
      <c r="Z871" s="8"/>
      <c r="AA871" s="8"/>
      <c r="AB871" s="8"/>
      <c r="AC871" s="8"/>
      <c r="AD871" s="24"/>
      <c r="AE871" s="24"/>
      <c r="AF871" s="8"/>
      <c r="AG871" s="8"/>
      <c r="AH871" s="8"/>
      <c r="AI871" s="8"/>
    </row>
    <row r="872" spans="1:35" ht="15.75" customHeight="1" x14ac:dyDescent="0.25">
      <c r="A872" s="8"/>
      <c r="B872" s="8"/>
      <c r="C872" s="8"/>
      <c r="D872" s="8"/>
      <c r="E872" s="50"/>
      <c r="F872" s="51"/>
      <c r="G872" s="51"/>
      <c r="H872" s="52"/>
      <c r="I872" s="52"/>
      <c r="J872" s="52"/>
      <c r="K872" s="52"/>
      <c r="L872" s="52"/>
      <c r="M872" s="48"/>
      <c r="N872" s="52"/>
      <c r="O872" s="22"/>
      <c r="P872" s="22"/>
      <c r="Q872" s="8"/>
      <c r="R872" s="8"/>
      <c r="S872" s="8"/>
      <c r="T872" s="8"/>
      <c r="U872" s="8"/>
      <c r="V872" s="8"/>
      <c r="W872" s="8"/>
      <c r="X872" s="8"/>
      <c r="Y872" s="8"/>
      <c r="Z872" s="8"/>
      <c r="AA872" s="8"/>
      <c r="AB872" s="8"/>
      <c r="AC872" s="8"/>
      <c r="AD872" s="24"/>
      <c r="AE872" s="24"/>
      <c r="AF872" s="8"/>
      <c r="AG872" s="8"/>
      <c r="AH872" s="8"/>
      <c r="AI872" s="8"/>
    </row>
    <row r="873" spans="1:35" ht="15.75" customHeight="1" x14ac:dyDescent="0.25">
      <c r="A873" s="8"/>
      <c r="B873" s="8"/>
      <c r="C873" s="8"/>
      <c r="D873" s="8"/>
      <c r="E873" s="50"/>
      <c r="F873" s="51"/>
      <c r="G873" s="51"/>
      <c r="H873" s="52"/>
      <c r="I873" s="52"/>
      <c r="J873" s="52"/>
      <c r="K873" s="52"/>
      <c r="L873" s="52"/>
      <c r="M873" s="48"/>
      <c r="N873" s="52"/>
      <c r="O873" s="22"/>
      <c r="P873" s="22"/>
      <c r="Q873" s="8"/>
      <c r="R873" s="8"/>
      <c r="S873" s="8"/>
      <c r="T873" s="8"/>
      <c r="U873" s="8"/>
      <c r="V873" s="8"/>
      <c r="W873" s="8"/>
      <c r="X873" s="8"/>
      <c r="Y873" s="8"/>
      <c r="Z873" s="8"/>
      <c r="AA873" s="8"/>
      <c r="AB873" s="8"/>
      <c r="AC873" s="8"/>
      <c r="AD873" s="24"/>
      <c r="AE873" s="24"/>
      <c r="AF873" s="8"/>
      <c r="AG873" s="8"/>
      <c r="AH873" s="8"/>
      <c r="AI873" s="8"/>
    </row>
    <row r="874" spans="1:35" ht="15.75" customHeight="1" x14ac:dyDescent="0.25">
      <c r="A874" s="8"/>
      <c r="B874" s="8"/>
      <c r="C874" s="8"/>
      <c r="D874" s="8"/>
      <c r="E874" s="50"/>
      <c r="F874" s="51"/>
      <c r="G874" s="51"/>
      <c r="H874" s="52"/>
      <c r="I874" s="52"/>
      <c r="J874" s="52"/>
      <c r="K874" s="52"/>
      <c r="L874" s="52"/>
      <c r="M874" s="48"/>
      <c r="N874" s="52"/>
      <c r="O874" s="22"/>
      <c r="P874" s="22"/>
      <c r="Q874" s="8"/>
      <c r="R874" s="8"/>
      <c r="S874" s="8"/>
      <c r="T874" s="8"/>
      <c r="U874" s="8"/>
      <c r="V874" s="8"/>
      <c r="W874" s="8"/>
      <c r="X874" s="8"/>
      <c r="Y874" s="8"/>
      <c r="Z874" s="8"/>
      <c r="AA874" s="8"/>
      <c r="AB874" s="8"/>
      <c r="AC874" s="8"/>
      <c r="AD874" s="24"/>
      <c r="AE874" s="24"/>
      <c r="AF874" s="8"/>
      <c r="AG874" s="8"/>
      <c r="AH874" s="8"/>
      <c r="AI874" s="8"/>
    </row>
    <row r="875" spans="1:35" ht="15.75" customHeight="1" x14ac:dyDescent="0.25">
      <c r="A875" s="8"/>
      <c r="B875" s="8"/>
      <c r="C875" s="8"/>
      <c r="D875" s="8"/>
      <c r="E875" s="50"/>
      <c r="F875" s="51"/>
      <c r="G875" s="51"/>
      <c r="H875" s="52"/>
      <c r="I875" s="52"/>
      <c r="J875" s="52"/>
      <c r="K875" s="52"/>
      <c r="L875" s="52"/>
      <c r="M875" s="52"/>
      <c r="N875" s="52"/>
      <c r="O875" s="22"/>
      <c r="P875" s="22"/>
      <c r="Q875" s="8"/>
      <c r="R875" s="8"/>
      <c r="S875" s="8"/>
      <c r="T875" s="8"/>
      <c r="U875" s="8"/>
      <c r="V875" s="8"/>
      <c r="W875" s="8"/>
      <c r="X875" s="8"/>
      <c r="Y875" s="8"/>
      <c r="Z875" s="8"/>
      <c r="AA875" s="8"/>
      <c r="AB875" s="8"/>
      <c r="AC875" s="8"/>
      <c r="AD875" s="24"/>
      <c r="AE875" s="24"/>
      <c r="AF875" s="8"/>
      <c r="AG875" s="8"/>
      <c r="AH875" s="8"/>
      <c r="AI875" s="8"/>
    </row>
    <row r="876" spans="1:35" ht="15.75" customHeight="1" x14ac:dyDescent="0.25">
      <c r="A876" s="8"/>
      <c r="B876" s="8"/>
      <c r="C876" s="8"/>
      <c r="D876" s="8"/>
      <c r="E876" s="50"/>
      <c r="F876" s="51"/>
      <c r="G876" s="51"/>
      <c r="H876" s="52"/>
      <c r="I876" s="52"/>
      <c r="J876" s="52"/>
      <c r="K876" s="52"/>
      <c r="L876" s="52"/>
      <c r="M876" s="48"/>
      <c r="N876" s="52"/>
      <c r="O876" s="22"/>
      <c r="P876" s="22"/>
      <c r="Q876" s="8"/>
      <c r="R876" s="8"/>
      <c r="S876" s="8"/>
      <c r="T876" s="8"/>
      <c r="U876" s="8"/>
      <c r="V876" s="8"/>
      <c r="W876" s="8"/>
      <c r="X876" s="8"/>
      <c r="Y876" s="8"/>
      <c r="Z876" s="8"/>
      <c r="AA876" s="8"/>
      <c r="AB876" s="8"/>
      <c r="AC876" s="8"/>
      <c r="AD876" s="24"/>
      <c r="AE876" s="24"/>
      <c r="AF876" s="8"/>
      <c r="AG876" s="8"/>
      <c r="AH876" s="8"/>
      <c r="AI876" s="8"/>
    </row>
    <row r="877" spans="1:35" ht="15.75" customHeight="1" x14ac:dyDescent="0.25">
      <c r="A877" s="8"/>
      <c r="B877" s="8"/>
      <c r="C877" s="8"/>
      <c r="D877" s="8"/>
      <c r="E877" s="50"/>
      <c r="F877" s="51"/>
      <c r="G877" s="51"/>
      <c r="H877" s="52"/>
      <c r="I877" s="52"/>
      <c r="J877" s="52"/>
      <c r="K877" s="52"/>
      <c r="L877" s="52"/>
      <c r="M877" s="49"/>
      <c r="N877" s="52"/>
      <c r="O877" s="22"/>
      <c r="P877" s="22"/>
      <c r="Q877" s="8"/>
      <c r="R877" s="8"/>
      <c r="S877" s="8"/>
      <c r="T877" s="8"/>
      <c r="U877" s="8"/>
      <c r="V877" s="8"/>
      <c r="W877" s="8"/>
      <c r="X877" s="8"/>
      <c r="Y877" s="8"/>
      <c r="Z877" s="8"/>
      <c r="AA877" s="8"/>
      <c r="AB877" s="8"/>
      <c r="AC877" s="8"/>
      <c r="AD877" s="24"/>
      <c r="AE877" s="24"/>
      <c r="AF877" s="8"/>
      <c r="AG877" s="8"/>
      <c r="AH877" s="8"/>
      <c r="AI877" s="8"/>
    </row>
    <row r="878" spans="1:35" ht="15.75" customHeight="1" x14ac:dyDescent="0.25">
      <c r="A878" s="8"/>
      <c r="B878" s="8"/>
      <c r="C878" s="8"/>
      <c r="D878" s="8"/>
      <c r="E878" s="50"/>
      <c r="F878" s="51"/>
      <c r="G878" s="51"/>
      <c r="H878" s="52"/>
      <c r="I878" s="52"/>
      <c r="J878" s="52"/>
      <c r="K878" s="52"/>
      <c r="L878" s="52"/>
      <c r="M878" s="49"/>
      <c r="N878" s="52"/>
      <c r="O878" s="22"/>
      <c r="P878" s="22"/>
      <c r="Q878" s="8"/>
      <c r="R878" s="8"/>
      <c r="S878" s="8"/>
      <c r="T878" s="8"/>
      <c r="U878" s="8"/>
      <c r="V878" s="8"/>
      <c r="W878" s="8"/>
      <c r="X878" s="8"/>
      <c r="Y878" s="8"/>
      <c r="Z878" s="8"/>
      <c r="AA878" s="8"/>
      <c r="AB878" s="8"/>
      <c r="AC878" s="8"/>
      <c r="AD878" s="24"/>
      <c r="AE878" s="24"/>
      <c r="AF878" s="8"/>
      <c r="AG878" s="8"/>
      <c r="AH878" s="8"/>
      <c r="AI878" s="8"/>
    </row>
    <row r="879" spans="1:35" ht="15.75" customHeight="1" x14ac:dyDescent="0.25">
      <c r="A879" s="8"/>
      <c r="B879" s="8"/>
      <c r="C879" s="8"/>
      <c r="D879" s="8"/>
      <c r="E879" s="50"/>
      <c r="F879" s="51"/>
      <c r="G879" s="51"/>
      <c r="H879" s="52"/>
      <c r="I879" s="52"/>
      <c r="J879" s="52"/>
      <c r="K879" s="52"/>
      <c r="L879" s="52"/>
      <c r="M879" s="52"/>
      <c r="N879" s="52"/>
      <c r="O879" s="22"/>
      <c r="P879" s="22"/>
      <c r="Q879" s="8"/>
      <c r="R879" s="8"/>
      <c r="S879" s="8"/>
      <c r="T879" s="8"/>
      <c r="U879" s="8"/>
      <c r="V879" s="8"/>
      <c r="W879" s="8"/>
      <c r="X879" s="8"/>
      <c r="Y879" s="8"/>
      <c r="Z879" s="8"/>
      <c r="AA879" s="8"/>
      <c r="AB879" s="8"/>
      <c r="AC879" s="8"/>
      <c r="AD879" s="24"/>
      <c r="AE879" s="24"/>
      <c r="AF879" s="8"/>
      <c r="AG879" s="8"/>
      <c r="AH879" s="8"/>
      <c r="AI879" s="8"/>
    </row>
    <row r="880" spans="1:35" ht="15.75" customHeight="1" x14ac:dyDescent="0.25">
      <c r="A880" s="8"/>
      <c r="B880" s="8"/>
      <c r="C880" s="8"/>
      <c r="D880" s="8"/>
      <c r="E880" s="50"/>
      <c r="F880" s="51"/>
      <c r="G880" s="51"/>
      <c r="H880" s="52"/>
      <c r="I880" s="52"/>
      <c r="J880" s="52"/>
      <c r="K880" s="52"/>
      <c r="L880" s="52"/>
      <c r="M880" s="48"/>
      <c r="N880" s="52"/>
      <c r="O880" s="22"/>
      <c r="P880" s="22"/>
      <c r="Q880" s="8"/>
      <c r="R880" s="8"/>
      <c r="S880" s="8"/>
      <c r="T880" s="8"/>
      <c r="U880" s="8"/>
      <c r="V880" s="8"/>
      <c r="W880" s="8"/>
      <c r="X880" s="8"/>
      <c r="Y880" s="8"/>
      <c r="Z880" s="8"/>
      <c r="AA880" s="8"/>
      <c r="AB880" s="8"/>
      <c r="AC880" s="8"/>
      <c r="AD880" s="24"/>
      <c r="AE880" s="24"/>
      <c r="AF880" s="8"/>
      <c r="AG880" s="8"/>
      <c r="AH880" s="8"/>
      <c r="AI880" s="8"/>
    </row>
    <row r="881" spans="1:35" ht="15.75" customHeight="1" x14ac:dyDescent="0.25">
      <c r="A881" s="8"/>
      <c r="B881" s="8"/>
      <c r="C881" s="8"/>
      <c r="D881" s="8"/>
      <c r="E881" s="50"/>
      <c r="F881" s="51"/>
      <c r="G881" s="51"/>
      <c r="H881" s="52"/>
      <c r="I881" s="52"/>
      <c r="J881" s="52"/>
      <c r="K881" s="52"/>
      <c r="L881" s="52"/>
      <c r="M881" s="48"/>
      <c r="N881" s="52"/>
      <c r="O881" s="22"/>
      <c r="P881" s="22"/>
      <c r="Q881" s="8"/>
      <c r="R881" s="8"/>
      <c r="S881" s="8"/>
      <c r="T881" s="8"/>
      <c r="U881" s="8"/>
      <c r="V881" s="8"/>
      <c r="W881" s="8"/>
      <c r="X881" s="8"/>
      <c r="Y881" s="8"/>
      <c r="Z881" s="8"/>
      <c r="AA881" s="8"/>
      <c r="AB881" s="8"/>
      <c r="AC881" s="8"/>
      <c r="AD881" s="24"/>
      <c r="AE881" s="24"/>
      <c r="AF881" s="8"/>
      <c r="AG881" s="8"/>
      <c r="AH881" s="8"/>
      <c r="AI881" s="8"/>
    </row>
    <row r="882" spans="1:35" ht="15.75" customHeight="1" x14ac:dyDescent="0.25">
      <c r="A882" s="8"/>
      <c r="B882" s="8"/>
      <c r="C882" s="8"/>
      <c r="D882" s="8"/>
      <c r="E882" s="50"/>
      <c r="F882" s="51"/>
      <c r="G882" s="51"/>
      <c r="H882" s="52"/>
      <c r="I882" s="52"/>
      <c r="J882" s="52"/>
      <c r="K882" s="52"/>
      <c r="L882" s="52"/>
      <c r="M882" s="48"/>
      <c r="N882" s="52"/>
      <c r="O882" s="22"/>
      <c r="P882" s="22"/>
      <c r="Q882" s="8"/>
      <c r="R882" s="8"/>
      <c r="S882" s="8"/>
      <c r="T882" s="8"/>
      <c r="U882" s="8"/>
      <c r="V882" s="8"/>
      <c r="W882" s="8"/>
      <c r="X882" s="8"/>
      <c r="Y882" s="8"/>
      <c r="Z882" s="8"/>
      <c r="AA882" s="8"/>
      <c r="AB882" s="8"/>
      <c r="AC882" s="8"/>
      <c r="AD882" s="24"/>
      <c r="AE882" s="24"/>
      <c r="AF882" s="8"/>
      <c r="AG882" s="8"/>
      <c r="AH882" s="8"/>
      <c r="AI882" s="8"/>
    </row>
    <row r="883" spans="1:35" ht="15.75" customHeight="1" x14ac:dyDescent="0.25">
      <c r="A883" s="8"/>
      <c r="B883" s="8"/>
      <c r="C883" s="8"/>
      <c r="D883" s="8"/>
      <c r="E883" s="50"/>
      <c r="F883" s="51"/>
      <c r="G883" s="51"/>
      <c r="H883" s="52"/>
      <c r="I883" s="52"/>
      <c r="J883" s="52"/>
      <c r="K883" s="52"/>
      <c r="L883" s="52"/>
      <c r="M883" s="52"/>
      <c r="N883" s="52"/>
      <c r="O883" s="22"/>
      <c r="P883" s="22"/>
      <c r="Q883" s="8"/>
      <c r="R883" s="8"/>
      <c r="S883" s="8"/>
      <c r="T883" s="8"/>
      <c r="U883" s="8"/>
      <c r="V883" s="8"/>
      <c r="W883" s="8"/>
      <c r="X883" s="8"/>
      <c r="Y883" s="8"/>
      <c r="Z883" s="8"/>
      <c r="AA883" s="8"/>
      <c r="AB883" s="8"/>
      <c r="AC883" s="8"/>
      <c r="AD883" s="24"/>
      <c r="AE883" s="24"/>
      <c r="AF883" s="8"/>
      <c r="AG883" s="8"/>
      <c r="AH883" s="8"/>
      <c r="AI883" s="8"/>
    </row>
    <row r="884" spans="1:35" ht="15.75" customHeight="1" x14ac:dyDescent="0.25">
      <c r="A884" s="8"/>
      <c r="B884" s="8"/>
      <c r="C884" s="8"/>
      <c r="D884" s="8"/>
      <c r="E884" s="50"/>
      <c r="F884" s="51"/>
      <c r="G884" s="51"/>
      <c r="H884" s="52"/>
      <c r="I884" s="52"/>
      <c r="J884" s="52"/>
      <c r="K884" s="52"/>
      <c r="L884" s="52"/>
      <c r="M884" s="48"/>
      <c r="N884" s="52"/>
      <c r="O884" s="22"/>
      <c r="P884" s="22"/>
      <c r="Q884" s="8"/>
      <c r="R884" s="8"/>
      <c r="S884" s="8"/>
      <c r="T884" s="8"/>
      <c r="U884" s="8"/>
      <c r="V884" s="8"/>
      <c r="W884" s="8"/>
      <c r="X884" s="8"/>
      <c r="Y884" s="8"/>
      <c r="Z884" s="8"/>
      <c r="AA884" s="8"/>
      <c r="AB884" s="8"/>
      <c r="AC884" s="8"/>
      <c r="AD884" s="24"/>
      <c r="AE884" s="24"/>
      <c r="AF884" s="8"/>
      <c r="AG884" s="8"/>
      <c r="AH884" s="8"/>
      <c r="AI884" s="8"/>
    </row>
    <row r="885" spans="1:35" ht="15.75" customHeight="1" x14ac:dyDescent="0.25">
      <c r="A885" s="8"/>
      <c r="B885" s="8"/>
      <c r="C885" s="8"/>
      <c r="D885" s="8"/>
      <c r="E885" s="50"/>
      <c r="F885" s="51"/>
      <c r="G885" s="51"/>
      <c r="H885" s="52"/>
      <c r="I885" s="52"/>
      <c r="J885" s="52"/>
      <c r="K885" s="52"/>
      <c r="L885" s="52"/>
      <c r="M885" s="52"/>
      <c r="N885" s="52"/>
      <c r="O885" s="22"/>
      <c r="P885" s="22"/>
      <c r="Q885" s="8"/>
      <c r="R885" s="8"/>
      <c r="S885" s="8"/>
      <c r="T885" s="8"/>
      <c r="U885" s="8"/>
      <c r="V885" s="8"/>
      <c r="W885" s="8"/>
      <c r="X885" s="8"/>
      <c r="Y885" s="8"/>
      <c r="Z885" s="8"/>
      <c r="AA885" s="8"/>
      <c r="AB885" s="8"/>
      <c r="AC885" s="8"/>
      <c r="AD885" s="24"/>
      <c r="AE885" s="24"/>
      <c r="AF885" s="8"/>
      <c r="AG885" s="8"/>
      <c r="AH885" s="8"/>
      <c r="AI885" s="8"/>
    </row>
    <row r="886" spans="1:35" ht="15.75" customHeight="1" x14ac:dyDescent="0.25">
      <c r="A886" s="8"/>
      <c r="B886" s="8"/>
      <c r="C886" s="8"/>
      <c r="D886" s="8"/>
      <c r="E886" s="50"/>
      <c r="F886" s="51"/>
      <c r="G886" s="51"/>
      <c r="H886" s="52"/>
      <c r="I886" s="52"/>
      <c r="J886" s="52"/>
      <c r="K886" s="52"/>
      <c r="L886" s="52"/>
      <c r="M886" s="48"/>
      <c r="N886" s="52"/>
      <c r="O886" s="22"/>
      <c r="P886" s="22"/>
      <c r="Q886" s="8"/>
      <c r="R886" s="8"/>
      <c r="S886" s="8"/>
      <c r="T886" s="8"/>
      <c r="U886" s="8"/>
      <c r="V886" s="8"/>
      <c r="W886" s="8"/>
      <c r="X886" s="8"/>
      <c r="Y886" s="8"/>
      <c r="Z886" s="8"/>
      <c r="AA886" s="8"/>
      <c r="AB886" s="8"/>
      <c r="AC886" s="8"/>
      <c r="AD886" s="24"/>
      <c r="AE886" s="24"/>
      <c r="AF886" s="8"/>
      <c r="AG886" s="8"/>
      <c r="AH886" s="8"/>
      <c r="AI886" s="8"/>
    </row>
    <row r="887" spans="1:35" ht="15.75" customHeight="1" x14ac:dyDescent="0.25">
      <c r="A887" s="8"/>
      <c r="B887" s="8"/>
      <c r="C887" s="8"/>
      <c r="D887" s="8"/>
      <c r="E887" s="50"/>
      <c r="F887" s="51"/>
      <c r="G887" s="51"/>
      <c r="H887" s="52"/>
      <c r="I887" s="52"/>
      <c r="J887" s="52"/>
      <c r="K887" s="52"/>
      <c r="L887" s="52"/>
      <c r="M887" s="48"/>
      <c r="N887" s="52"/>
      <c r="O887" s="22"/>
      <c r="P887" s="22"/>
      <c r="Q887" s="8"/>
      <c r="R887" s="8"/>
      <c r="S887" s="8"/>
      <c r="T887" s="8"/>
      <c r="U887" s="8"/>
      <c r="V887" s="8"/>
      <c r="W887" s="8"/>
      <c r="X887" s="8"/>
      <c r="Y887" s="8"/>
      <c r="Z887" s="8"/>
      <c r="AA887" s="8"/>
      <c r="AB887" s="8"/>
      <c r="AC887" s="8"/>
      <c r="AD887" s="24"/>
      <c r="AE887" s="24"/>
      <c r="AF887" s="8"/>
      <c r="AG887" s="8"/>
      <c r="AH887" s="8"/>
      <c r="AI887" s="8"/>
    </row>
    <row r="888" spans="1:35" ht="15.75" customHeight="1" x14ac:dyDescent="0.25">
      <c r="A888" s="8"/>
      <c r="B888" s="8"/>
      <c r="C888" s="8"/>
      <c r="D888" s="8"/>
      <c r="E888" s="50"/>
      <c r="F888" s="51"/>
      <c r="G888" s="51"/>
      <c r="H888" s="52"/>
      <c r="I888" s="52"/>
      <c r="J888" s="52"/>
      <c r="K888" s="52"/>
      <c r="L888" s="52"/>
      <c r="M888" s="52"/>
      <c r="N888" s="52"/>
      <c r="O888" s="22"/>
      <c r="P888" s="22"/>
      <c r="Q888" s="8"/>
      <c r="R888" s="8"/>
      <c r="S888" s="8"/>
      <c r="T888" s="8"/>
      <c r="U888" s="8"/>
      <c r="V888" s="8"/>
      <c r="W888" s="8"/>
      <c r="X888" s="8"/>
      <c r="Y888" s="8"/>
      <c r="Z888" s="8"/>
      <c r="AA888" s="8"/>
      <c r="AB888" s="8"/>
      <c r="AC888" s="8"/>
      <c r="AD888" s="24"/>
      <c r="AE888" s="24"/>
      <c r="AF888" s="8"/>
      <c r="AG888" s="8"/>
      <c r="AH888" s="8"/>
      <c r="AI888" s="8"/>
    </row>
    <row r="889" spans="1:35" ht="15.75" customHeight="1" x14ac:dyDescent="0.25">
      <c r="A889" s="8"/>
      <c r="B889" s="8"/>
      <c r="C889" s="8"/>
      <c r="D889" s="8"/>
      <c r="E889" s="50"/>
      <c r="F889" s="51"/>
      <c r="G889" s="51"/>
      <c r="H889" s="52"/>
      <c r="I889" s="52"/>
      <c r="J889" s="52"/>
      <c r="K889" s="52"/>
      <c r="L889" s="52"/>
      <c r="M889" s="48"/>
      <c r="N889" s="52"/>
      <c r="O889" s="22"/>
      <c r="P889" s="22"/>
      <c r="Q889" s="8"/>
      <c r="R889" s="8"/>
      <c r="S889" s="8"/>
      <c r="T889" s="8"/>
      <c r="U889" s="8"/>
      <c r="V889" s="8"/>
      <c r="W889" s="8"/>
      <c r="X889" s="8"/>
      <c r="Y889" s="8"/>
      <c r="Z889" s="8"/>
      <c r="AA889" s="8"/>
      <c r="AB889" s="8"/>
      <c r="AC889" s="8"/>
      <c r="AD889" s="24"/>
      <c r="AE889" s="24"/>
      <c r="AF889" s="8"/>
      <c r="AG889" s="8"/>
      <c r="AH889" s="8"/>
      <c r="AI889" s="8"/>
    </row>
    <row r="890" spans="1:35" ht="15.75" customHeight="1" x14ac:dyDescent="0.25">
      <c r="A890" s="8"/>
      <c r="B890" s="8"/>
      <c r="C890" s="8"/>
      <c r="D890" s="8"/>
      <c r="E890" s="50"/>
      <c r="F890" s="51"/>
      <c r="G890" s="51"/>
      <c r="H890" s="52"/>
      <c r="I890" s="52"/>
      <c r="J890" s="52"/>
      <c r="K890" s="52"/>
      <c r="L890" s="52"/>
      <c r="M890" s="48"/>
      <c r="N890" s="52"/>
      <c r="O890" s="22"/>
      <c r="P890" s="22"/>
      <c r="Q890" s="8"/>
      <c r="R890" s="8"/>
      <c r="S890" s="8"/>
      <c r="T890" s="8"/>
      <c r="U890" s="8"/>
      <c r="V890" s="8"/>
      <c r="W890" s="8"/>
      <c r="X890" s="8"/>
      <c r="Y890" s="8"/>
      <c r="Z890" s="8"/>
      <c r="AA890" s="8"/>
      <c r="AB890" s="8"/>
      <c r="AC890" s="8"/>
      <c r="AD890" s="24"/>
      <c r="AE890" s="24"/>
      <c r="AF890" s="8"/>
      <c r="AG890" s="8"/>
      <c r="AH890" s="8"/>
      <c r="AI890" s="8"/>
    </row>
    <row r="891" spans="1:35" ht="15.75" customHeight="1" x14ac:dyDescent="0.25">
      <c r="A891" s="8"/>
      <c r="B891" s="8"/>
      <c r="C891" s="8"/>
      <c r="D891" s="8"/>
      <c r="E891" s="50"/>
      <c r="F891" s="51"/>
      <c r="G891" s="51"/>
      <c r="H891" s="52"/>
      <c r="I891" s="52"/>
      <c r="J891" s="52"/>
      <c r="K891" s="52"/>
      <c r="L891" s="52"/>
      <c r="M891" s="48"/>
      <c r="N891" s="52"/>
      <c r="O891" s="22"/>
      <c r="P891" s="22"/>
      <c r="Q891" s="8"/>
      <c r="R891" s="8"/>
      <c r="S891" s="8"/>
      <c r="T891" s="8"/>
      <c r="U891" s="8"/>
      <c r="V891" s="8"/>
      <c r="W891" s="8"/>
      <c r="X891" s="8"/>
      <c r="Y891" s="8"/>
      <c r="Z891" s="8"/>
      <c r="AA891" s="8"/>
      <c r="AB891" s="8"/>
      <c r="AC891" s="8"/>
      <c r="AD891" s="24"/>
      <c r="AE891" s="24"/>
      <c r="AF891" s="8"/>
      <c r="AG891" s="8"/>
      <c r="AH891" s="8"/>
      <c r="AI891" s="8"/>
    </row>
    <row r="892" spans="1:35" ht="15.75" customHeight="1" x14ac:dyDescent="0.25">
      <c r="A892" s="8"/>
      <c r="B892" s="8"/>
      <c r="C892" s="8"/>
      <c r="D892" s="8"/>
      <c r="E892" s="50"/>
      <c r="F892" s="51"/>
      <c r="G892" s="51"/>
      <c r="H892" s="52"/>
      <c r="I892" s="52"/>
      <c r="J892" s="52"/>
      <c r="K892" s="52"/>
      <c r="L892" s="52"/>
      <c r="M892" s="48"/>
      <c r="N892" s="52"/>
      <c r="O892" s="22"/>
      <c r="P892" s="22"/>
      <c r="Q892" s="8"/>
      <c r="R892" s="8"/>
      <c r="S892" s="8"/>
      <c r="T892" s="8"/>
      <c r="U892" s="8"/>
      <c r="V892" s="8"/>
      <c r="W892" s="8"/>
      <c r="X892" s="8"/>
      <c r="Y892" s="8"/>
      <c r="Z892" s="8"/>
      <c r="AA892" s="8"/>
      <c r="AB892" s="8"/>
      <c r="AC892" s="8"/>
      <c r="AD892" s="24"/>
      <c r="AE892" s="24"/>
      <c r="AF892" s="8"/>
      <c r="AG892" s="8"/>
      <c r="AH892" s="8"/>
      <c r="AI892" s="8"/>
    </row>
    <row r="893" spans="1:35" ht="15.75" customHeight="1" x14ac:dyDescent="0.25">
      <c r="A893" s="8"/>
      <c r="B893" s="8"/>
      <c r="C893" s="8"/>
      <c r="D893" s="8"/>
      <c r="E893" s="50"/>
      <c r="F893" s="51"/>
      <c r="G893" s="51"/>
      <c r="H893" s="52"/>
      <c r="I893" s="52"/>
      <c r="J893" s="52"/>
      <c r="K893" s="52"/>
      <c r="L893" s="52"/>
      <c r="M893" s="52"/>
      <c r="N893" s="52"/>
      <c r="O893" s="22"/>
      <c r="P893" s="22"/>
      <c r="Q893" s="8"/>
      <c r="R893" s="8"/>
      <c r="S893" s="8"/>
      <c r="T893" s="8"/>
      <c r="U893" s="8"/>
      <c r="V893" s="8"/>
      <c r="W893" s="8"/>
      <c r="X893" s="8"/>
      <c r="Y893" s="8"/>
      <c r="Z893" s="8"/>
      <c r="AA893" s="8"/>
      <c r="AB893" s="8"/>
      <c r="AC893" s="8"/>
      <c r="AD893" s="24"/>
      <c r="AE893" s="24"/>
      <c r="AF893" s="8"/>
      <c r="AG893" s="8"/>
      <c r="AH893" s="8"/>
      <c r="AI893" s="8"/>
    </row>
    <row r="894" spans="1:35" ht="15.75" customHeight="1" x14ac:dyDescent="0.25">
      <c r="A894" s="8"/>
      <c r="B894" s="8"/>
      <c r="C894" s="8"/>
      <c r="D894" s="8"/>
      <c r="E894" s="50"/>
      <c r="F894" s="51"/>
      <c r="G894" s="51"/>
      <c r="H894" s="52"/>
      <c r="I894" s="52"/>
      <c r="J894" s="52"/>
      <c r="K894" s="52"/>
      <c r="L894" s="52"/>
      <c r="M894" s="48"/>
      <c r="N894" s="52"/>
      <c r="O894" s="22"/>
      <c r="P894" s="22"/>
      <c r="Q894" s="8"/>
      <c r="R894" s="8"/>
      <c r="S894" s="8"/>
      <c r="T894" s="8"/>
      <c r="U894" s="8"/>
      <c r="V894" s="8"/>
      <c r="W894" s="8"/>
      <c r="X894" s="8"/>
      <c r="Y894" s="8"/>
      <c r="Z894" s="8"/>
      <c r="AA894" s="8"/>
      <c r="AB894" s="8"/>
      <c r="AC894" s="8"/>
      <c r="AD894" s="24"/>
      <c r="AE894" s="24"/>
      <c r="AF894" s="8"/>
      <c r="AG894" s="8"/>
      <c r="AH894" s="8"/>
      <c r="AI894" s="8"/>
    </row>
    <row r="895" spans="1:35" ht="15.75" customHeight="1" x14ac:dyDescent="0.25">
      <c r="A895" s="8"/>
      <c r="B895" s="8"/>
      <c r="C895" s="8"/>
      <c r="D895" s="8"/>
      <c r="E895" s="50"/>
      <c r="F895" s="51"/>
      <c r="G895" s="51"/>
      <c r="H895" s="52"/>
      <c r="I895" s="52"/>
      <c r="J895" s="52"/>
      <c r="K895" s="52"/>
      <c r="L895" s="52"/>
      <c r="M895" s="48"/>
      <c r="N895" s="52"/>
      <c r="O895" s="22"/>
      <c r="P895" s="22"/>
      <c r="Q895" s="8"/>
      <c r="R895" s="8"/>
      <c r="S895" s="8"/>
      <c r="T895" s="8"/>
      <c r="U895" s="8"/>
      <c r="V895" s="8"/>
      <c r="W895" s="8"/>
      <c r="X895" s="8"/>
      <c r="Y895" s="8"/>
      <c r="Z895" s="8"/>
      <c r="AA895" s="8"/>
      <c r="AB895" s="8"/>
      <c r="AC895" s="8"/>
      <c r="AD895" s="24"/>
      <c r="AE895" s="24"/>
      <c r="AF895" s="8"/>
      <c r="AG895" s="8"/>
      <c r="AH895" s="8"/>
      <c r="AI895" s="8"/>
    </row>
    <row r="896" spans="1:35" ht="15.75" customHeight="1" x14ac:dyDescent="0.25">
      <c r="A896" s="8"/>
      <c r="B896" s="8"/>
      <c r="C896" s="8"/>
      <c r="D896" s="8"/>
      <c r="E896" s="50"/>
      <c r="F896" s="51"/>
      <c r="G896" s="51"/>
      <c r="H896" s="52"/>
      <c r="I896" s="52"/>
      <c r="J896" s="52"/>
      <c r="K896" s="52"/>
      <c r="L896" s="52"/>
      <c r="M896" s="52"/>
      <c r="N896" s="52"/>
      <c r="O896" s="22"/>
      <c r="P896" s="22"/>
      <c r="Q896" s="8"/>
      <c r="R896" s="8"/>
      <c r="S896" s="8"/>
      <c r="T896" s="8"/>
      <c r="U896" s="8"/>
      <c r="V896" s="8"/>
      <c r="W896" s="8"/>
      <c r="X896" s="8"/>
      <c r="Y896" s="8"/>
      <c r="Z896" s="8"/>
      <c r="AA896" s="8"/>
      <c r="AB896" s="8"/>
      <c r="AC896" s="8"/>
      <c r="AD896" s="24"/>
      <c r="AE896" s="24"/>
      <c r="AF896" s="8"/>
      <c r="AG896" s="8"/>
      <c r="AH896" s="8"/>
      <c r="AI896" s="8"/>
    </row>
    <row r="897" spans="1:35" ht="15.75" customHeight="1" x14ac:dyDescent="0.25">
      <c r="A897" s="8"/>
      <c r="B897" s="8"/>
      <c r="C897" s="8"/>
      <c r="D897" s="8"/>
      <c r="E897" s="50"/>
      <c r="F897" s="51"/>
      <c r="G897" s="51"/>
      <c r="H897" s="52"/>
      <c r="I897" s="52"/>
      <c r="J897" s="52"/>
      <c r="K897" s="52"/>
      <c r="L897" s="52"/>
      <c r="M897" s="48"/>
      <c r="N897" s="52"/>
      <c r="O897" s="22"/>
      <c r="P897" s="22"/>
      <c r="Q897" s="8"/>
      <c r="R897" s="8"/>
      <c r="S897" s="8"/>
      <c r="T897" s="8"/>
      <c r="U897" s="8"/>
      <c r="V897" s="8"/>
      <c r="W897" s="8"/>
      <c r="X897" s="8"/>
      <c r="Y897" s="8"/>
      <c r="Z897" s="8"/>
      <c r="AA897" s="8"/>
      <c r="AB897" s="8"/>
      <c r="AC897" s="8"/>
      <c r="AD897" s="24"/>
      <c r="AE897" s="24"/>
      <c r="AF897" s="8"/>
      <c r="AG897" s="8"/>
      <c r="AH897" s="8"/>
      <c r="AI897" s="8"/>
    </row>
    <row r="898" spans="1:35" ht="15.75" customHeight="1" x14ac:dyDescent="0.25">
      <c r="A898" s="8"/>
      <c r="B898" s="8"/>
      <c r="C898" s="8"/>
      <c r="D898" s="8"/>
      <c r="E898" s="50"/>
      <c r="F898" s="51"/>
      <c r="G898" s="51"/>
      <c r="H898" s="52"/>
      <c r="I898" s="52"/>
      <c r="J898" s="52"/>
      <c r="K898" s="52"/>
      <c r="L898" s="52"/>
      <c r="M898" s="48"/>
      <c r="N898" s="52"/>
      <c r="O898" s="22"/>
      <c r="P898" s="22"/>
      <c r="Q898" s="8"/>
      <c r="R898" s="8"/>
      <c r="S898" s="8"/>
      <c r="T898" s="8"/>
      <c r="U898" s="8"/>
      <c r="V898" s="8"/>
      <c r="W898" s="8"/>
      <c r="X898" s="8"/>
      <c r="Y898" s="8"/>
      <c r="Z898" s="8"/>
      <c r="AA898" s="8"/>
      <c r="AB898" s="8"/>
      <c r="AC898" s="8"/>
      <c r="AD898" s="24"/>
      <c r="AE898" s="24"/>
      <c r="AF898" s="8"/>
      <c r="AG898" s="8"/>
      <c r="AH898" s="8"/>
      <c r="AI898" s="8"/>
    </row>
    <row r="899" spans="1:35" ht="15.75" customHeight="1" x14ac:dyDescent="0.25">
      <c r="A899" s="8"/>
      <c r="B899" s="8"/>
      <c r="C899" s="8"/>
      <c r="D899" s="8"/>
      <c r="E899" s="50"/>
      <c r="F899" s="51"/>
      <c r="G899" s="51"/>
      <c r="H899" s="52"/>
      <c r="I899" s="52"/>
      <c r="J899" s="52"/>
      <c r="K899" s="52"/>
      <c r="L899" s="52"/>
      <c r="M899" s="48"/>
      <c r="N899" s="52"/>
      <c r="O899" s="22"/>
      <c r="P899" s="22"/>
      <c r="Q899" s="8"/>
      <c r="R899" s="8"/>
      <c r="S899" s="8"/>
      <c r="T899" s="8"/>
      <c r="U899" s="8"/>
      <c r="V899" s="8"/>
      <c r="W899" s="8"/>
      <c r="X899" s="8"/>
      <c r="Y899" s="8"/>
      <c r="Z899" s="8"/>
      <c r="AA899" s="8"/>
      <c r="AB899" s="8"/>
      <c r="AC899" s="8"/>
      <c r="AD899" s="24"/>
      <c r="AE899" s="24"/>
      <c r="AF899" s="8"/>
      <c r="AG899" s="8"/>
      <c r="AH899" s="8"/>
      <c r="AI899" s="8"/>
    </row>
    <row r="900" spans="1:35" ht="15.75" customHeight="1" x14ac:dyDescent="0.25">
      <c r="A900" s="8"/>
      <c r="B900" s="8"/>
      <c r="C900" s="8"/>
      <c r="D900" s="8"/>
      <c r="E900" s="50"/>
      <c r="F900" s="51"/>
      <c r="G900" s="51"/>
      <c r="H900" s="52"/>
      <c r="I900" s="52"/>
      <c r="J900" s="52"/>
      <c r="K900" s="52"/>
      <c r="L900" s="52"/>
      <c r="M900" s="48"/>
      <c r="N900" s="52"/>
      <c r="O900" s="22"/>
      <c r="P900" s="22"/>
      <c r="Q900" s="8"/>
      <c r="R900" s="8"/>
      <c r="S900" s="8"/>
      <c r="T900" s="8"/>
      <c r="U900" s="8"/>
      <c r="V900" s="8"/>
      <c r="W900" s="8"/>
      <c r="X900" s="8"/>
      <c r="Y900" s="8"/>
      <c r="Z900" s="8"/>
      <c r="AA900" s="8"/>
      <c r="AB900" s="8"/>
      <c r="AC900" s="8"/>
      <c r="AD900" s="24"/>
      <c r="AE900" s="24"/>
      <c r="AF900" s="8"/>
      <c r="AG900" s="8"/>
      <c r="AH900" s="8"/>
      <c r="AI900" s="8"/>
    </row>
    <row r="901" spans="1:35" ht="15.75" customHeight="1" x14ac:dyDescent="0.25">
      <c r="A901" s="8"/>
      <c r="B901" s="8"/>
      <c r="C901" s="8"/>
      <c r="D901" s="8"/>
      <c r="E901" s="50"/>
      <c r="F901" s="51"/>
      <c r="G901" s="51"/>
      <c r="H901" s="52"/>
      <c r="I901" s="52"/>
      <c r="J901" s="52"/>
      <c r="K901" s="52"/>
      <c r="L901" s="52"/>
      <c r="M901" s="48"/>
      <c r="N901" s="52"/>
      <c r="O901" s="22"/>
      <c r="P901" s="22"/>
      <c r="Q901" s="8"/>
      <c r="R901" s="8"/>
      <c r="S901" s="8"/>
      <c r="T901" s="8"/>
      <c r="U901" s="8"/>
      <c r="V901" s="8"/>
      <c r="W901" s="8"/>
      <c r="X901" s="8"/>
      <c r="Y901" s="8"/>
      <c r="Z901" s="8"/>
      <c r="AA901" s="8"/>
      <c r="AB901" s="8"/>
      <c r="AC901" s="8"/>
      <c r="AD901" s="24"/>
      <c r="AE901" s="24"/>
      <c r="AF901" s="8"/>
      <c r="AG901" s="8"/>
      <c r="AH901" s="8"/>
      <c r="AI901" s="8"/>
    </row>
    <row r="902" spans="1:35" ht="15.75" customHeight="1" x14ac:dyDescent="0.25">
      <c r="A902" s="8"/>
      <c r="B902" s="8"/>
      <c r="C902" s="8"/>
      <c r="D902" s="8"/>
      <c r="E902" s="50"/>
      <c r="F902" s="51"/>
      <c r="G902" s="51"/>
      <c r="H902" s="52"/>
      <c r="I902" s="52"/>
      <c r="J902" s="52"/>
      <c r="K902" s="52"/>
      <c r="L902" s="52"/>
      <c r="M902" s="48"/>
      <c r="N902" s="52"/>
      <c r="O902" s="22"/>
      <c r="P902" s="22"/>
      <c r="Q902" s="8"/>
      <c r="R902" s="8"/>
      <c r="S902" s="8"/>
      <c r="T902" s="8"/>
      <c r="U902" s="8"/>
      <c r="V902" s="8"/>
      <c r="W902" s="8"/>
      <c r="X902" s="8"/>
      <c r="Y902" s="8"/>
      <c r="Z902" s="8"/>
      <c r="AA902" s="8"/>
      <c r="AB902" s="8"/>
      <c r="AC902" s="8"/>
      <c r="AD902" s="24"/>
      <c r="AE902" s="24"/>
      <c r="AF902" s="8"/>
      <c r="AG902" s="8"/>
      <c r="AH902" s="8"/>
      <c r="AI902" s="8"/>
    </row>
    <row r="903" spans="1:35" ht="15.75" customHeight="1" x14ac:dyDescent="0.25">
      <c r="A903" s="8"/>
      <c r="B903" s="8"/>
      <c r="C903" s="8"/>
      <c r="D903" s="8"/>
      <c r="E903" s="50"/>
      <c r="F903" s="51"/>
      <c r="G903" s="51"/>
      <c r="H903" s="52"/>
      <c r="I903" s="52"/>
      <c r="J903" s="52"/>
      <c r="K903" s="52"/>
      <c r="L903" s="52"/>
      <c r="M903" s="52"/>
      <c r="N903" s="52"/>
      <c r="O903" s="22"/>
      <c r="P903" s="22"/>
      <c r="Q903" s="8"/>
      <c r="R903" s="8"/>
      <c r="S903" s="8"/>
      <c r="T903" s="8"/>
      <c r="U903" s="8"/>
      <c r="V903" s="8"/>
      <c r="W903" s="8"/>
      <c r="X903" s="8"/>
      <c r="Y903" s="8"/>
      <c r="Z903" s="8"/>
      <c r="AA903" s="8"/>
      <c r="AB903" s="8"/>
      <c r="AC903" s="8"/>
      <c r="AD903" s="24"/>
      <c r="AE903" s="24"/>
      <c r="AF903" s="8"/>
      <c r="AG903" s="8"/>
      <c r="AH903" s="8"/>
      <c r="AI903" s="8"/>
    </row>
    <row r="904" spans="1:35" ht="15.75" customHeight="1" x14ac:dyDescent="0.25">
      <c r="A904" s="8"/>
      <c r="B904" s="8"/>
      <c r="C904" s="8"/>
      <c r="D904" s="8"/>
      <c r="E904" s="50"/>
      <c r="F904" s="51"/>
      <c r="G904" s="51"/>
      <c r="H904" s="52"/>
      <c r="I904" s="52"/>
      <c r="J904" s="52"/>
      <c r="K904" s="52"/>
      <c r="L904" s="52"/>
      <c r="M904" s="52"/>
      <c r="N904" s="52"/>
      <c r="O904" s="22"/>
      <c r="P904" s="22"/>
      <c r="Q904" s="8"/>
      <c r="R904" s="8"/>
      <c r="S904" s="8"/>
      <c r="T904" s="8"/>
      <c r="U904" s="8"/>
      <c r="V904" s="8"/>
      <c r="W904" s="8"/>
      <c r="X904" s="8"/>
      <c r="Y904" s="8"/>
      <c r="Z904" s="8"/>
      <c r="AA904" s="8"/>
      <c r="AB904" s="8"/>
      <c r="AC904" s="8"/>
      <c r="AD904" s="24"/>
      <c r="AE904" s="24"/>
      <c r="AF904" s="8"/>
      <c r="AG904" s="8"/>
      <c r="AH904" s="8"/>
      <c r="AI904" s="8"/>
    </row>
    <row r="905" spans="1:35" ht="15.75" customHeight="1" x14ac:dyDescent="0.25">
      <c r="A905" s="8"/>
      <c r="B905" s="8"/>
      <c r="C905" s="8"/>
      <c r="D905" s="8"/>
      <c r="E905" s="50"/>
      <c r="F905" s="51"/>
      <c r="G905" s="51"/>
      <c r="H905" s="52"/>
      <c r="I905" s="52"/>
      <c r="J905" s="52"/>
      <c r="K905" s="52"/>
      <c r="L905" s="52"/>
      <c r="M905" s="48"/>
      <c r="N905" s="52"/>
      <c r="O905" s="22"/>
      <c r="P905" s="22"/>
      <c r="Q905" s="8"/>
      <c r="R905" s="8"/>
      <c r="S905" s="8"/>
      <c r="T905" s="8"/>
      <c r="U905" s="8"/>
      <c r="V905" s="8"/>
      <c r="W905" s="8"/>
      <c r="X905" s="8"/>
      <c r="Y905" s="8"/>
      <c r="Z905" s="8"/>
      <c r="AA905" s="8"/>
      <c r="AB905" s="8"/>
      <c r="AC905" s="8"/>
      <c r="AD905" s="24"/>
      <c r="AE905" s="24"/>
      <c r="AF905" s="8"/>
      <c r="AG905" s="8"/>
      <c r="AH905" s="8"/>
      <c r="AI905" s="8"/>
    </row>
    <row r="906" spans="1:35" ht="15.75" customHeight="1" x14ac:dyDescent="0.25">
      <c r="A906" s="8"/>
      <c r="B906" s="8"/>
      <c r="C906" s="8"/>
      <c r="D906" s="8"/>
      <c r="E906" s="50"/>
      <c r="F906" s="51"/>
      <c r="G906" s="51"/>
      <c r="H906" s="52"/>
      <c r="I906" s="52"/>
      <c r="J906" s="52"/>
      <c r="K906" s="52"/>
      <c r="L906" s="52"/>
      <c r="M906" s="52"/>
      <c r="N906" s="52"/>
      <c r="O906" s="22"/>
      <c r="P906" s="22"/>
      <c r="Q906" s="8"/>
      <c r="R906" s="8"/>
      <c r="S906" s="8"/>
      <c r="T906" s="8"/>
      <c r="U906" s="8"/>
      <c r="V906" s="8"/>
      <c r="W906" s="8"/>
      <c r="X906" s="8"/>
      <c r="Y906" s="8"/>
      <c r="Z906" s="8"/>
      <c r="AA906" s="8"/>
      <c r="AB906" s="8"/>
      <c r="AC906" s="8"/>
      <c r="AD906" s="24"/>
      <c r="AE906" s="24"/>
      <c r="AF906" s="8"/>
      <c r="AG906" s="8"/>
      <c r="AH906" s="8"/>
      <c r="AI906" s="8"/>
    </row>
    <row r="907" spans="1:35" ht="15.75" customHeight="1" x14ac:dyDescent="0.25">
      <c r="A907" s="8"/>
      <c r="B907" s="8"/>
      <c r="C907" s="8"/>
      <c r="D907" s="8"/>
      <c r="E907" s="50"/>
      <c r="F907" s="51"/>
      <c r="G907" s="51"/>
      <c r="H907" s="52"/>
      <c r="I907" s="52"/>
      <c r="J907" s="52"/>
      <c r="K907" s="52"/>
      <c r="L907" s="52"/>
      <c r="M907" s="52"/>
      <c r="N907" s="52"/>
      <c r="O907" s="22"/>
      <c r="P907" s="22"/>
      <c r="Q907" s="8"/>
      <c r="R907" s="8"/>
      <c r="S907" s="8"/>
      <c r="T907" s="8"/>
      <c r="U907" s="8"/>
      <c r="V907" s="8"/>
      <c r="W907" s="8"/>
      <c r="X907" s="8"/>
      <c r="Y907" s="8"/>
      <c r="Z907" s="8"/>
      <c r="AA907" s="8"/>
      <c r="AB907" s="8"/>
      <c r="AC907" s="8"/>
      <c r="AD907" s="24"/>
      <c r="AE907" s="24"/>
      <c r="AF907" s="8"/>
      <c r="AG907" s="8"/>
      <c r="AH907" s="8"/>
      <c r="AI907" s="8"/>
    </row>
    <row r="908" spans="1:35" ht="15.75" customHeight="1" x14ac:dyDescent="0.25">
      <c r="A908" s="8"/>
      <c r="B908" s="8"/>
      <c r="C908" s="8"/>
      <c r="D908" s="8"/>
      <c r="E908" s="50"/>
      <c r="F908" s="51"/>
      <c r="G908" s="51"/>
      <c r="H908" s="52"/>
      <c r="I908" s="52"/>
      <c r="J908" s="52"/>
      <c r="K908" s="52"/>
      <c r="L908" s="52"/>
      <c r="M908" s="48"/>
      <c r="N908" s="52"/>
      <c r="O908" s="22"/>
      <c r="P908" s="22"/>
      <c r="Q908" s="8"/>
      <c r="R908" s="8"/>
      <c r="S908" s="8"/>
      <c r="T908" s="8"/>
      <c r="U908" s="8"/>
      <c r="V908" s="8"/>
      <c r="W908" s="8"/>
      <c r="X908" s="8"/>
      <c r="Y908" s="8"/>
      <c r="Z908" s="8"/>
      <c r="AA908" s="8"/>
      <c r="AB908" s="8"/>
      <c r="AC908" s="8"/>
      <c r="AD908" s="24"/>
      <c r="AE908" s="24"/>
      <c r="AF908" s="8"/>
      <c r="AG908" s="8"/>
      <c r="AH908" s="8"/>
      <c r="AI908" s="8"/>
    </row>
    <row r="909" spans="1:35" ht="15.75" customHeight="1" x14ac:dyDescent="0.25">
      <c r="A909" s="8"/>
      <c r="B909" s="8"/>
      <c r="C909" s="8"/>
      <c r="D909" s="8"/>
      <c r="E909" s="50"/>
      <c r="F909" s="51"/>
      <c r="G909" s="51"/>
      <c r="H909" s="52"/>
      <c r="I909" s="52"/>
      <c r="J909" s="52"/>
      <c r="K909" s="52"/>
      <c r="L909" s="52"/>
      <c r="M909" s="52"/>
      <c r="N909" s="52"/>
      <c r="O909" s="22"/>
      <c r="P909" s="22"/>
      <c r="Q909" s="8"/>
      <c r="R909" s="8"/>
      <c r="S909" s="8"/>
      <c r="T909" s="8"/>
      <c r="U909" s="8"/>
      <c r="V909" s="8"/>
      <c r="W909" s="8"/>
      <c r="X909" s="8"/>
      <c r="Y909" s="8"/>
      <c r="Z909" s="8"/>
      <c r="AA909" s="8"/>
      <c r="AB909" s="8"/>
      <c r="AC909" s="8"/>
      <c r="AD909" s="24"/>
      <c r="AE909" s="24"/>
      <c r="AF909" s="8"/>
      <c r="AG909" s="8"/>
      <c r="AH909" s="8"/>
      <c r="AI909" s="8"/>
    </row>
    <row r="910" spans="1:35" ht="15.75" customHeight="1" x14ac:dyDescent="0.25">
      <c r="A910" s="8"/>
      <c r="B910" s="8"/>
      <c r="C910" s="8"/>
      <c r="D910" s="8"/>
      <c r="E910" s="50"/>
      <c r="F910" s="51"/>
      <c r="G910" s="51"/>
      <c r="H910" s="52"/>
      <c r="I910" s="52"/>
      <c r="J910" s="52"/>
      <c r="K910" s="52"/>
      <c r="L910" s="52"/>
      <c r="M910" s="52"/>
      <c r="N910" s="52"/>
      <c r="O910" s="22"/>
      <c r="P910" s="22"/>
      <c r="Q910" s="8"/>
      <c r="R910" s="8"/>
      <c r="S910" s="8"/>
      <c r="T910" s="8"/>
      <c r="U910" s="8"/>
      <c r="V910" s="8"/>
      <c r="W910" s="8"/>
      <c r="X910" s="8"/>
      <c r="Y910" s="8"/>
      <c r="Z910" s="8"/>
      <c r="AA910" s="8"/>
      <c r="AB910" s="8"/>
      <c r="AC910" s="8"/>
      <c r="AD910" s="24"/>
      <c r="AE910" s="24"/>
      <c r="AF910" s="8"/>
      <c r="AG910" s="8"/>
      <c r="AH910" s="8"/>
      <c r="AI910" s="8"/>
    </row>
    <row r="911" spans="1:35" ht="15.75" customHeight="1" x14ac:dyDescent="0.25">
      <c r="A911" s="8"/>
      <c r="B911" s="8"/>
      <c r="C911" s="8"/>
      <c r="D911" s="8"/>
      <c r="E911" s="50"/>
      <c r="F911" s="51"/>
      <c r="G911" s="51"/>
      <c r="H911" s="52"/>
      <c r="I911" s="52"/>
      <c r="J911" s="52"/>
      <c r="K911" s="52"/>
      <c r="L911" s="52"/>
      <c r="M911" s="52"/>
      <c r="N911" s="52"/>
      <c r="O911" s="22"/>
      <c r="P911" s="22"/>
      <c r="Q911" s="8"/>
      <c r="R911" s="8"/>
      <c r="S911" s="8"/>
      <c r="T911" s="8"/>
      <c r="U911" s="8"/>
      <c r="V911" s="8"/>
      <c r="W911" s="8"/>
      <c r="X911" s="8"/>
      <c r="Y911" s="8"/>
      <c r="Z911" s="8"/>
      <c r="AA911" s="8"/>
      <c r="AB911" s="8"/>
      <c r="AC911" s="8"/>
      <c r="AD911" s="24"/>
      <c r="AE911" s="24"/>
      <c r="AF911" s="8"/>
      <c r="AG911" s="8"/>
      <c r="AH911" s="8"/>
      <c r="AI911" s="8"/>
    </row>
    <row r="912" spans="1:35" ht="15.75" customHeight="1" x14ac:dyDescent="0.25">
      <c r="A912" s="8"/>
      <c r="B912" s="8"/>
      <c r="C912" s="8"/>
      <c r="D912" s="8"/>
      <c r="E912" s="50"/>
      <c r="F912" s="51"/>
      <c r="G912" s="51"/>
      <c r="H912" s="52"/>
      <c r="I912" s="52"/>
      <c r="J912" s="52"/>
      <c r="K912" s="52"/>
      <c r="L912" s="52"/>
      <c r="M912" s="48"/>
      <c r="N912" s="52"/>
      <c r="O912" s="22"/>
      <c r="P912" s="22"/>
      <c r="Q912" s="8"/>
      <c r="R912" s="8"/>
      <c r="S912" s="8"/>
      <c r="T912" s="8"/>
      <c r="U912" s="8"/>
      <c r="V912" s="8"/>
      <c r="W912" s="8"/>
      <c r="X912" s="8"/>
      <c r="Y912" s="8"/>
      <c r="Z912" s="8"/>
      <c r="AA912" s="8"/>
      <c r="AB912" s="8"/>
      <c r="AC912" s="8"/>
      <c r="AD912" s="24"/>
      <c r="AE912" s="24"/>
      <c r="AF912" s="8"/>
      <c r="AG912" s="8"/>
      <c r="AH912" s="8"/>
      <c r="AI912" s="8"/>
    </row>
    <row r="913" spans="1:35" ht="15.75" customHeight="1" x14ac:dyDescent="0.25">
      <c r="A913" s="8"/>
      <c r="B913" s="8"/>
      <c r="C913" s="8"/>
      <c r="D913" s="8"/>
      <c r="E913" s="50"/>
      <c r="F913" s="51"/>
      <c r="G913" s="51"/>
      <c r="H913" s="52"/>
      <c r="I913" s="52"/>
      <c r="J913" s="52"/>
      <c r="K913" s="52"/>
      <c r="L913" s="52"/>
      <c r="M913" s="48"/>
      <c r="N913" s="52"/>
      <c r="O913" s="22"/>
      <c r="P913" s="22"/>
      <c r="Q913" s="8"/>
      <c r="R913" s="8"/>
      <c r="S913" s="8"/>
      <c r="T913" s="8"/>
      <c r="U913" s="8"/>
      <c r="V913" s="8"/>
      <c r="W913" s="8"/>
      <c r="X913" s="8"/>
      <c r="Y913" s="8"/>
      <c r="Z913" s="8"/>
      <c r="AA913" s="8"/>
      <c r="AB913" s="8"/>
      <c r="AC913" s="8"/>
      <c r="AD913" s="24"/>
      <c r="AE913" s="24"/>
      <c r="AF913" s="8"/>
      <c r="AG913" s="8"/>
      <c r="AH913" s="8"/>
      <c r="AI913" s="8"/>
    </row>
    <row r="914" spans="1:35" ht="15.75" customHeight="1" x14ac:dyDescent="0.25">
      <c r="A914" s="8"/>
      <c r="B914" s="8"/>
      <c r="C914" s="8"/>
      <c r="D914" s="8"/>
      <c r="E914" s="50"/>
      <c r="F914" s="51"/>
      <c r="G914" s="51"/>
      <c r="H914" s="52"/>
      <c r="I914" s="52"/>
      <c r="J914" s="52"/>
      <c r="K914" s="52"/>
      <c r="L914" s="52"/>
      <c r="M914" s="48"/>
      <c r="N914" s="52"/>
      <c r="O914" s="22"/>
      <c r="P914" s="22"/>
      <c r="Q914" s="8"/>
      <c r="R914" s="8"/>
      <c r="S914" s="8"/>
      <c r="T914" s="8"/>
      <c r="U914" s="8"/>
      <c r="V914" s="8"/>
      <c r="W914" s="8"/>
      <c r="X914" s="8"/>
      <c r="Y914" s="8"/>
      <c r="Z914" s="8"/>
      <c r="AA914" s="8"/>
      <c r="AB914" s="8"/>
      <c r="AC914" s="8"/>
      <c r="AD914" s="24"/>
      <c r="AE914" s="24"/>
      <c r="AF914" s="8"/>
      <c r="AG914" s="8"/>
      <c r="AH914" s="8"/>
      <c r="AI914" s="8"/>
    </row>
    <row r="915" spans="1:35" ht="15.75" customHeight="1" x14ac:dyDescent="0.25">
      <c r="A915" s="8"/>
      <c r="B915" s="8"/>
      <c r="C915" s="8"/>
      <c r="D915" s="8"/>
      <c r="E915" s="50"/>
      <c r="F915" s="51"/>
      <c r="G915" s="51"/>
      <c r="H915" s="52"/>
      <c r="I915" s="52"/>
      <c r="J915" s="52"/>
      <c r="K915" s="52"/>
      <c r="L915" s="52"/>
      <c r="M915" s="48"/>
      <c r="N915" s="52"/>
      <c r="O915" s="22"/>
      <c r="P915" s="22"/>
      <c r="Q915" s="8"/>
      <c r="R915" s="8"/>
      <c r="S915" s="8"/>
      <c r="T915" s="8"/>
      <c r="U915" s="8"/>
      <c r="V915" s="8"/>
      <c r="W915" s="8"/>
      <c r="X915" s="8"/>
      <c r="Y915" s="8"/>
      <c r="Z915" s="8"/>
      <c r="AA915" s="8"/>
      <c r="AB915" s="8"/>
      <c r="AC915" s="8"/>
      <c r="AD915" s="24"/>
      <c r="AE915" s="24"/>
      <c r="AF915" s="8"/>
      <c r="AG915" s="8"/>
      <c r="AH915" s="8"/>
      <c r="AI915" s="8"/>
    </row>
    <row r="916" spans="1:35" ht="15.75" customHeight="1" x14ac:dyDescent="0.25">
      <c r="A916" s="8"/>
      <c r="B916" s="8"/>
      <c r="C916" s="8"/>
      <c r="D916" s="8"/>
      <c r="E916" s="50"/>
      <c r="F916" s="51"/>
      <c r="G916" s="51"/>
      <c r="H916" s="52"/>
      <c r="I916" s="52"/>
      <c r="J916" s="52"/>
      <c r="K916" s="52"/>
      <c r="L916" s="52"/>
      <c r="M916" s="48"/>
      <c r="N916" s="52"/>
      <c r="O916" s="22"/>
      <c r="P916" s="22"/>
      <c r="Q916" s="8"/>
      <c r="R916" s="8"/>
      <c r="S916" s="8"/>
      <c r="T916" s="8"/>
      <c r="U916" s="8"/>
      <c r="V916" s="8"/>
      <c r="W916" s="8"/>
      <c r="X916" s="8"/>
      <c r="Y916" s="8"/>
      <c r="Z916" s="8"/>
      <c r="AA916" s="8"/>
      <c r="AB916" s="8"/>
      <c r="AC916" s="8"/>
      <c r="AD916" s="24"/>
      <c r="AE916" s="24"/>
      <c r="AF916" s="8"/>
      <c r="AG916" s="8"/>
      <c r="AH916" s="8"/>
      <c r="AI916" s="8"/>
    </row>
    <row r="917" spans="1:35" ht="15.75" customHeight="1" x14ac:dyDescent="0.25">
      <c r="A917" s="8"/>
      <c r="B917" s="8"/>
      <c r="C917" s="8"/>
      <c r="D917" s="8"/>
      <c r="E917" s="50"/>
      <c r="F917" s="51"/>
      <c r="G917" s="51"/>
      <c r="H917" s="52"/>
      <c r="I917" s="52"/>
      <c r="J917" s="52"/>
      <c r="K917" s="52"/>
      <c r="L917" s="52"/>
      <c r="M917" s="48"/>
      <c r="N917" s="52"/>
      <c r="O917" s="22"/>
      <c r="P917" s="22"/>
      <c r="Q917" s="8"/>
      <c r="R917" s="8"/>
      <c r="S917" s="8"/>
      <c r="T917" s="8"/>
      <c r="U917" s="8"/>
      <c r="V917" s="8"/>
      <c r="W917" s="8"/>
      <c r="X917" s="8"/>
      <c r="Y917" s="8"/>
      <c r="Z917" s="8"/>
      <c r="AA917" s="8"/>
      <c r="AB917" s="8"/>
      <c r="AC917" s="8"/>
      <c r="AD917" s="24"/>
      <c r="AE917" s="24"/>
      <c r="AF917" s="8"/>
      <c r="AG917" s="8"/>
      <c r="AH917" s="8"/>
      <c r="AI917" s="8"/>
    </row>
    <row r="918" spans="1:35" ht="15.75" customHeight="1" x14ac:dyDescent="0.25">
      <c r="A918" s="8"/>
      <c r="B918" s="8"/>
      <c r="C918" s="8"/>
      <c r="D918" s="8"/>
      <c r="E918" s="50"/>
      <c r="F918" s="51"/>
      <c r="G918" s="51"/>
      <c r="H918" s="52"/>
      <c r="I918" s="52"/>
      <c r="J918" s="52"/>
      <c r="K918" s="52"/>
      <c r="L918" s="52"/>
      <c r="M918" s="48"/>
      <c r="N918" s="52"/>
      <c r="O918" s="22"/>
      <c r="P918" s="22"/>
      <c r="Q918" s="8"/>
      <c r="R918" s="8"/>
      <c r="S918" s="8"/>
      <c r="T918" s="8"/>
      <c r="U918" s="8"/>
      <c r="V918" s="8"/>
      <c r="W918" s="8"/>
      <c r="X918" s="8"/>
      <c r="Y918" s="8"/>
      <c r="Z918" s="8"/>
      <c r="AA918" s="8"/>
      <c r="AB918" s="8"/>
      <c r="AC918" s="8"/>
      <c r="AD918" s="24"/>
      <c r="AE918" s="24"/>
      <c r="AF918" s="8"/>
      <c r="AG918" s="8"/>
      <c r="AH918" s="8"/>
      <c r="AI918" s="8"/>
    </row>
    <row r="919" spans="1:35" ht="15.75" customHeight="1" x14ac:dyDescent="0.25">
      <c r="A919" s="8"/>
      <c r="B919" s="8"/>
      <c r="C919" s="8"/>
      <c r="D919" s="8"/>
      <c r="E919" s="50"/>
      <c r="F919" s="51"/>
      <c r="G919" s="51"/>
      <c r="H919" s="52"/>
      <c r="I919" s="52"/>
      <c r="J919" s="52"/>
      <c r="K919" s="52"/>
      <c r="L919" s="52"/>
      <c r="M919" s="52"/>
      <c r="N919" s="52"/>
      <c r="O919" s="22"/>
      <c r="P919" s="22"/>
      <c r="Q919" s="8"/>
      <c r="R919" s="8"/>
      <c r="S919" s="8"/>
      <c r="T919" s="8"/>
      <c r="U919" s="8"/>
      <c r="V919" s="8"/>
      <c r="W919" s="8"/>
      <c r="X919" s="8"/>
      <c r="Y919" s="8"/>
      <c r="Z919" s="8"/>
      <c r="AA919" s="8"/>
      <c r="AB919" s="8"/>
      <c r="AC919" s="8"/>
      <c r="AD919" s="24"/>
      <c r="AE919" s="24"/>
      <c r="AF919" s="8"/>
      <c r="AG919" s="8"/>
      <c r="AH919" s="8"/>
      <c r="AI919" s="8"/>
    </row>
    <row r="920" spans="1:35" ht="15.75" customHeight="1" x14ac:dyDescent="0.25">
      <c r="A920" s="8"/>
      <c r="B920" s="8"/>
      <c r="C920" s="8"/>
      <c r="D920" s="8"/>
      <c r="E920" s="50"/>
      <c r="F920" s="51"/>
      <c r="G920" s="51"/>
      <c r="H920" s="52"/>
      <c r="I920" s="52"/>
      <c r="J920" s="52"/>
      <c r="K920" s="52"/>
      <c r="L920" s="52"/>
      <c r="M920" s="48"/>
      <c r="N920" s="52"/>
      <c r="O920" s="22"/>
      <c r="P920" s="22"/>
      <c r="Q920" s="8"/>
      <c r="R920" s="8"/>
      <c r="S920" s="8"/>
      <c r="T920" s="8"/>
      <c r="U920" s="8"/>
      <c r="V920" s="8"/>
      <c r="W920" s="8"/>
      <c r="X920" s="8"/>
      <c r="Y920" s="8"/>
      <c r="Z920" s="8"/>
      <c r="AA920" s="8"/>
      <c r="AB920" s="8"/>
      <c r="AC920" s="8"/>
      <c r="AD920" s="24"/>
      <c r="AE920" s="24"/>
      <c r="AF920" s="8"/>
      <c r="AG920" s="8"/>
      <c r="AH920" s="8"/>
      <c r="AI920" s="8"/>
    </row>
    <row r="921" spans="1:35" ht="15.75" customHeight="1" x14ac:dyDescent="0.25">
      <c r="A921" s="8"/>
      <c r="B921" s="8"/>
      <c r="C921" s="8"/>
      <c r="D921" s="8"/>
      <c r="E921" s="50"/>
      <c r="F921" s="51"/>
      <c r="G921" s="51"/>
      <c r="H921" s="52"/>
      <c r="I921" s="52"/>
      <c r="J921" s="52"/>
      <c r="K921" s="52"/>
      <c r="L921" s="52"/>
      <c r="M921" s="52"/>
      <c r="N921" s="52"/>
      <c r="O921" s="22"/>
      <c r="P921" s="22"/>
      <c r="Q921" s="8"/>
      <c r="R921" s="8"/>
      <c r="S921" s="8"/>
      <c r="T921" s="8"/>
      <c r="U921" s="8"/>
      <c r="V921" s="8"/>
      <c r="W921" s="8"/>
      <c r="X921" s="8"/>
      <c r="Y921" s="8"/>
      <c r="Z921" s="8"/>
      <c r="AA921" s="8"/>
      <c r="AB921" s="8"/>
      <c r="AC921" s="8"/>
      <c r="AD921" s="24"/>
      <c r="AE921" s="24"/>
      <c r="AF921" s="8"/>
      <c r="AG921" s="8"/>
      <c r="AH921" s="8"/>
      <c r="AI921" s="8"/>
    </row>
    <row r="922" spans="1:35" ht="15.75" customHeight="1" x14ac:dyDescent="0.25">
      <c r="A922" s="8"/>
      <c r="B922" s="8"/>
      <c r="C922" s="8"/>
      <c r="D922" s="8"/>
      <c r="E922" s="50"/>
      <c r="F922" s="51"/>
      <c r="G922" s="51"/>
      <c r="H922" s="52"/>
      <c r="I922" s="52"/>
      <c r="J922" s="52"/>
      <c r="K922" s="52"/>
      <c r="L922" s="52"/>
      <c r="M922" s="52"/>
      <c r="N922" s="52"/>
      <c r="O922" s="22"/>
      <c r="P922" s="22"/>
      <c r="Q922" s="8"/>
      <c r="R922" s="8"/>
      <c r="S922" s="8"/>
      <c r="T922" s="8"/>
      <c r="U922" s="8"/>
      <c r="V922" s="8"/>
      <c r="W922" s="8"/>
      <c r="X922" s="8"/>
      <c r="Y922" s="8"/>
      <c r="Z922" s="8"/>
      <c r="AA922" s="8"/>
      <c r="AB922" s="8"/>
      <c r="AC922" s="8"/>
      <c r="AD922" s="24"/>
      <c r="AE922" s="24"/>
      <c r="AF922" s="8"/>
      <c r="AG922" s="8"/>
      <c r="AH922" s="8"/>
      <c r="AI922" s="8"/>
    </row>
    <row r="923" spans="1:35" ht="15.75" customHeight="1" x14ac:dyDescent="0.25">
      <c r="A923" s="8"/>
      <c r="B923" s="8"/>
      <c r="C923" s="8"/>
      <c r="D923" s="8"/>
      <c r="E923" s="50"/>
      <c r="F923" s="51"/>
      <c r="G923" s="51"/>
      <c r="H923" s="52"/>
      <c r="I923" s="52"/>
      <c r="J923" s="52"/>
      <c r="K923" s="52"/>
      <c r="L923" s="52"/>
      <c r="M923" s="52"/>
      <c r="N923" s="52"/>
      <c r="O923" s="22"/>
      <c r="P923" s="22"/>
      <c r="Q923" s="8"/>
      <c r="R923" s="8"/>
      <c r="S923" s="8"/>
      <c r="T923" s="8"/>
      <c r="U923" s="8"/>
      <c r="V923" s="8"/>
      <c r="W923" s="8"/>
      <c r="X923" s="8"/>
      <c r="Y923" s="8"/>
      <c r="Z923" s="8"/>
      <c r="AA923" s="8"/>
      <c r="AB923" s="8"/>
      <c r="AC923" s="8"/>
      <c r="AD923" s="24"/>
      <c r="AE923" s="24"/>
      <c r="AF923" s="8"/>
      <c r="AG923" s="8"/>
      <c r="AH923" s="8"/>
      <c r="AI923" s="8"/>
    </row>
    <row r="924" spans="1:35" ht="15.75" customHeight="1" x14ac:dyDescent="0.25">
      <c r="A924" s="8"/>
      <c r="B924" s="8"/>
      <c r="C924" s="8"/>
      <c r="D924" s="8"/>
      <c r="E924" s="50"/>
      <c r="F924" s="51"/>
      <c r="G924" s="51"/>
      <c r="H924" s="52"/>
      <c r="I924" s="52"/>
      <c r="J924" s="52"/>
      <c r="K924" s="52"/>
      <c r="L924" s="52"/>
      <c r="M924" s="48"/>
      <c r="N924" s="52"/>
      <c r="O924" s="22"/>
      <c r="P924" s="22"/>
      <c r="Q924" s="8"/>
      <c r="R924" s="8"/>
      <c r="S924" s="8"/>
      <c r="T924" s="8"/>
      <c r="U924" s="8"/>
      <c r="V924" s="8"/>
      <c r="W924" s="8"/>
      <c r="X924" s="8"/>
      <c r="Y924" s="8"/>
      <c r="Z924" s="8"/>
      <c r="AA924" s="8"/>
      <c r="AB924" s="8"/>
      <c r="AC924" s="8"/>
      <c r="AD924" s="24"/>
      <c r="AE924" s="24"/>
      <c r="AF924" s="8"/>
      <c r="AG924" s="8"/>
      <c r="AH924" s="8"/>
      <c r="AI924" s="8"/>
    </row>
    <row r="925" spans="1:35" ht="15.75" customHeight="1" x14ac:dyDescent="0.25">
      <c r="A925" s="8"/>
      <c r="B925" s="8"/>
      <c r="C925" s="8"/>
      <c r="D925" s="8"/>
      <c r="E925" s="50"/>
      <c r="F925" s="51"/>
      <c r="G925" s="51"/>
      <c r="H925" s="52"/>
      <c r="I925" s="52"/>
      <c r="J925" s="52"/>
      <c r="K925" s="52"/>
      <c r="L925" s="52"/>
      <c r="M925" s="52"/>
      <c r="N925" s="52"/>
      <c r="O925" s="22"/>
      <c r="P925" s="22"/>
      <c r="Q925" s="8"/>
      <c r="R925" s="8"/>
      <c r="S925" s="8"/>
      <c r="T925" s="8"/>
      <c r="U925" s="8"/>
      <c r="V925" s="8"/>
      <c r="W925" s="8"/>
      <c r="X925" s="8"/>
      <c r="Y925" s="8"/>
      <c r="Z925" s="8"/>
      <c r="AA925" s="8"/>
      <c r="AB925" s="8"/>
      <c r="AC925" s="8"/>
      <c r="AD925" s="24"/>
      <c r="AE925" s="24"/>
      <c r="AF925" s="8"/>
      <c r="AG925" s="8"/>
      <c r="AH925" s="8"/>
      <c r="AI925" s="8"/>
    </row>
    <row r="926" spans="1:35" ht="15.75" customHeight="1" x14ac:dyDescent="0.25">
      <c r="A926" s="8"/>
      <c r="B926" s="8"/>
      <c r="C926" s="8"/>
      <c r="D926" s="8"/>
      <c r="E926" s="50"/>
      <c r="F926" s="51"/>
      <c r="G926" s="51"/>
      <c r="H926" s="52"/>
      <c r="I926" s="52"/>
      <c r="J926" s="52"/>
      <c r="K926" s="52"/>
      <c r="L926" s="52"/>
      <c r="M926" s="48"/>
      <c r="N926" s="52"/>
      <c r="O926" s="22"/>
      <c r="P926" s="22"/>
      <c r="Q926" s="8"/>
      <c r="R926" s="8"/>
      <c r="S926" s="8"/>
      <c r="T926" s="8"/>
      <c r="U926" s="8"/>
      <c r="V926" s="8"/>
      <c r="W926" s="8"/>
      <c r="X926" s="8"/>
      <c r="Y926" s="8"/>
      <c r="Z926" s="8"/>
      <c r="AA926" s="8"/>
      <c r="AB926" s="8"/>
      <c r="AC926" s="8"/>
      <c r="AD926" s="24"/>
      <c r="AE926" s="24"/>
      <c r="AF926" s="8"/>
      <c r="AG926" s="8"/>
      <c r="AH926" s="8"/>
      <c r="AI926" s="8"/>
    </row>
    <row r="927" spans="1:35" ht="15.75" customHeight="1" x14ac:dyDescent="0.25">
      <c r="A927" s="8"/>
      <c r="B927" s="8"/>
      <c r="C927" s="8"/>
      <c r="D927" s="8"/>
      <c r="E927" s="50"/>
      <c r="F927" s="51"/>
      <c r="G927" s="51"/>
      <c r="H927" s="52"/>
      <c r="I927" s="52"/>
      <c r="J927" s="52"/>
      <c r="K927" s="52"/>
      <c r="L927" s="52"/>
      <c r="M927" s="52"/>
      <c r="N927" s="52"/>
      <c r="O927" s="22"/>
      <c r="P927" s="22"/>
      <c r="Q927" s="8"/>
      <c r="R927" s="8"/>
      <c r="S927" s="8"/>
      <c r="T927" s="8"/>
      <c r="U927" s="8"/>
      <c r="V927" s="8"/>
      <c r="W927" s="8"/>
      <c r="X927" s="8"/>
      <c r="Y927" s="8"/>
      <c r="Z927" s="8"/>
      <c r="AA927" s="8"/>
      <c r="AB927" s="8"/>
      <c r="AC927" s="8"/>
      <c r="AD927" s="24"/>
      <c r="AE927" s="24"/>
      <c r="AF927" s="8"/>
      <c r="AG927" s="8"/>
      <c r="AH927" s="8"/>
      <c r="AI927" s="8"/>
    </row>
    <row r="928" spans="1:35" ht="15.75" customHeight="1" x14ac:dyDescent="0.25">
      <c r="A928" s="8"/>
      <c r="B928" s="8"/>
      <c r="C928" s="8"/>
      <c r="D928" s="8"/>
      <c r="E928" s="50"/>
      <c r="F928" s="51"/>
      <c r="G928" s="51"/>
      <c r="H928" s="52"/>
      <c r="I928" s="52"/>
      <c r="J928" s="52"/>
      <c r="K928" s="52"/>
      <c r="L928" s="52"/>
      <c r="M928" s="52"/>
      <c r="N928" s="52"/>
      <c r="O928" s="22"/>
      <c r="P928" s="22"/>
      <c r="Q928" s="8"/>
      <c r="R928" s="8"/>
      <c r="S928" s="8"/>
      <c r="T928" s="8"/>
      <c r="U928" s="8"/>
      <c r="V928" s="8"/>
      <c r="W928" s="8"/>
      <c r="X928" s="8"/>
      <c r="Y928" s="8"/>
      <c r="Z928" s="8"/>
      <c r="AA928" s="8"/>
      <c r="AB928" s="8"/>
      <c r="AC928" s="8"/>
      <c r="AD928" s="24"/>
      <c r="AE928" s="24"/>
      <c r="AF928" s="8"/>
      <c r="AG928" s="8"/>
      <c r="AH928" s="8"/>
      <c r="AI928" s="8"/>
    </row>
    <row r="929" spans="1:35" ht="15.75" customHeight="1" x14ac:dyDescent="0.25">
      <c r="A929" s="8"/>
      <c r="B929" s="8"/>
      <c r="C929" s="8"/>
      <c r="D929" s="8"/>
      <c r="E929" s="50"/>
      <c r="F929" s="51"/>
      <c r="G929" s="51"/>
      <c r="H929" s="52"/>
      <c r="I929" s="52"/>
      <c r="J929" s="52"/>
      <c r="K929" s="52"/>
      <c r="L929" s="52"/>
      <c r="M929" s="48"/>
      <c r="N929" s="52"/>
      <c r="O929" s="22"/>
      <c r="P929" s="22"/>
      <c r="Q929" s="8"/>
      <c r="R929" s="8"/>
      <c r="S929" s="8"/>
      <c r="T929" s="8"/>
      <c r="U929" s="8"/>
      <c r="V929" s="8"/>
      <c r="W929" s="8"/>
      <c r="X929" s="8"/>
      <c r="Y929" s="8"/>
      <c r="Z929" s="8"/>
      <c r="AA929" s="8"/>
      <c r="AB929" s="8"/>
      <c r="AC929" s="8"/>
      <c r="AD929" s="24"/>
      <c r="AE929" s="24"/>
      <c r="AF929" s="8"/>
      <c r="AG929" s="8"/>
      <c r="AH929" s="8"/>
      <c r="AI929" s="8"/>
    </row>
    <row r="930" spans="1:35" ht="15.75" customHeight="1" x14ac:dyDescent="0.25">
      <c r="A930" s="8"/>
      <c r="B930" s="8"/>
      <c r="C930" s="8"/>
      <c r="D930" s="8"/>
      <c r="E930" s="50"/>
      <c r="F930" s="51"/>
      <c r="G930" s="51"/>
      <c r="H930" s="52"/>
      <c r="I930" s="52"/>
      <c r="J930" s="52"/>
      <c r="K930" s="52"/>
      <c r="L930" s="52"/>
      <c r="M930" s="48"/>
      <c r="N930" s="52"/>
      <c r="O930" s="22"/>
      <c r="P930" s="22"/>
      <c r="Q930" s="8"/>
      <c r="R930" s="8"/>
      <c r="S930" s="8"/>
      <c r="T930" s="8"/>
      <c r="U930" s="8"/>
      <c r="V930" s="8"/>
      <c r="W930" s="8"/>
      <c r="X930" s="8"/>
      <c r="Y930" s="8"/>
      <c r="Z930" s="8"/>
      <c r="AA930" s="8"/>
      <c r="AB930" s="8"/>
      <c r="AC930" s="8"/>
      <c r="AD930" s="24"/>
      <c r="AE930" s="24"/>
      <c r="AF930" s="8"/>
      <c r="AG930" s="8"/>
      <c r="AH930" s="8"/>
      <c r="AI930" s="8"/>
    </row>
    <row r="931" spans="1:35" ht="15.75" customHeight="1" x14ac:dyDescent="0.25">
      <c r="A931" s="8"/>
      <c r="B931" s="8"/>
      <c r="C931" s="8"/>
      <c r="D931" s="8"/>
      <c r="E931" s="50"/>
      <c r="F931" s="51"/>
      <c r="G931" s="51"/>
      <c r="H931" s="52"/>
      <c r="I931" s="52"/>
      <c r="J931" s="52"/>
      <c r="K931" s="52"/>
      <c r="L931" s="52"/>
      <c r="M931" s="48"/>
      <c r="N931" s="52"/>
      <c r="O931" s="22"/>
      <c r="P931" s="22"/>
      <c r="Q931" s="8"/>
      <c r="R931" s="8"/>
      <c r="S931" s="8"/>
      <c r="T931" s="8"/>
      <c r="U931" s="8"/>
      <c r="V931" s="8"/>
      <c r="W931" s="8"/>
      <c r="X931" s="8"/>
      <c r="Y931" s="8"/>
      <c r="Z931" s="8"/>
      <c r="AA931" s="8"/>
      <c r="AB931" s="8"/>
      <c r="AC931" s="8"/>
      <c r="AD931" s="24"/>
      <c r="AE931" s="24"/>
      <c r="AF931" s="8"/>
      <c r="AG931" s="8"/>
      <c r="AH931" s="8"/>
      <c r="AI931" s="8"/>
    </row>
    <row r="932" spans="1:35" ht="15.75" customHeight="1" x14ac:dyDescent="0.25">
      <c r="A932" s="8"/>
      <c r="B932" s="8"/>
      <c r="C932" s="8"/>
      <c r="D932" s="8"/>
      <c r="E932" s="50"/>
      <c r="F932" s="51"/>
      <c r="G932" s="51"/>
      <c r="H932" s="52"/>
      <c r="I932" s="52"/>
      <c r="J932" s="52"/>
      <c r="K932" s="52"/>
      <c r="L932" s="52"/>
      <c r="M932" s="48"/>
      <c r="N932" s="52"/>
      <c r="O932" s="22"/>
      <c r="P932" s="22"/>
      <c r="Q932" s="8"/>
      <c r="R932" s="8"/>
      <c r="S932" s="8"/>
      <c r="T932" s="8"/>
      <c r="U932" s="8"/>
      <c r="V932" s="8"/>
      <c r="W932" s="8"/>
      <c r="X932" s="8"/>
      <c r="Y932" s="8"/>
      <c r="Z932" s="8"/>
      <c r="AA932" s="8"/>
      <c r="AB932" s="8"/>
      <c r="AC932" s="8"/>
      <c r="AD932" s="24"/>
      <c r="AE932" s="24"/>
      <c r="AF932" s="8"/>
      <c r="AG932" s="8"/>
      <c r="AH932" s="8"/>
      <c r="AI932" s="8"/>
    </row>
    <row r="933" spans="1:35" ht="15.75" customHeight="1" x14ac:dyDescent="0.25">
      <c r="A933" s="8"/>
      <c r="B933" s="8"/>
      <c r="C933" s="8"/>
      <c r="D933" s="8"/>
      <c r="E933" s="50"/>
      <c r="F933" s="51"/>
      <c r="G933" s="51"/>
      <c r="H933" s="52"/>
      <c r="I933" s="52"/>
      <c r="J933" s="52"/>
      <c r="K933" s="52"/>
      <c r="L933" s="52"/>
      <c r="M933" s="48"/>
      <c r="N933" s="52"/>
      <c r="O933" s="22"/>
      <c r="P933" s="22"/>
      <c r="Q933" s="8"/>
      <c r="R933" s="8"/>
      <c r="S933" s="8"/>
      <c r="T933" s="8"/>
      <c r="U933" s="8"/>
      <c r="V933" s="8"/>
      <c r="W933" s="8"/>
      <c r="X933" s="8"/>
      <c r="Y933" s="8"/>
      <c r="Z933" s="8"/>
      <c r="AA933" s="8"/>
      <c r="AB933" s="8"/>
      <c r="AC933" s="8"/>
      <c r="AD933" s="24"/>
      <c r="AE933" s="24"/>
      <c r="AF933" s="8"/>
      <c r="AG933" s="8"/>
      <c r="AH933" s="8"/>
      <c r="AI933" s="8"/>
    </row>
    <row r="934" spans="1:35" ht="15.75" customHeight="1" x14ac:dyDescent="0.25">
      <c r="A934" s="8"/>
      <c r="B934" s="8"/>
      <c r="C934" s="8"/>
      <c r="D934" s="8"/>
      <c r="E934" s="50"/>
      <c r="F934" s="51"/>
      <c r="G934" s="51"/>
      <c r="H934" s="52"/>
      <c r="I934" s="52"/>
      <c r="J934" s="52"/>
      <c r="K934" s="52"/>
      <c r="L934" s="52"/>
      <c r="M934" s="48"/>
      <c r="N934" s="52"/>
      <c r="O934" s="22"/>
      <c r="P934" s="22"/>
      <c r="Q934" s="8"/>
      <c r="R934" s="8"/>
      <c r="S934" s="8"/>
      <c r="T934" s="8"/>
      <c r="U934" s="8"/>
      <c r="V934" s="8"/>
      <c r="W934" s="8"/>
      <c r="X934" s="8"/>
      <c r="Y934" s="8"/>
      <c r="Z934" s="8"/>
      <c r="AA934" s="8"/>
      <c r="AB934" s="8"/>
      <c r="AC934" s="8"/>
      <c r="AD934" s="24"/>
      <c r="AE934" s="24"/>
      <c r="AF934" s="8"/>
      <c r="AG934" s="8"/>
      <c r="AH934" s="8"/>
      <c r="AI934" s="8"/>
    </row>
    <row r="935" spans="1:35" ht="15.75" customHeight="1" x14ac:dyDescent="0.25">
      <c r="A935" s="8"/>
      <c r="B935" s="8"/>
      <c r="C935" s="8"/>
      <c r="D935" s="8"/>
      <c r="E935" s="50"/>
      <c r="F935" s="51"/>
      <c r="G935" s="51"/>
      <c r="H935" s="52"/>
      <c r="I935" s="52"/>
      <c r="J935" s="52"/>
      <c r="K935" s="52"/>
      <c r="L935" s="52"/>
      <c r="M935" s="48"/>
      <c r="N935" s="52"/>
      <c r="O935" s="22"/>
      <c r="P935" s="22"/>
      <c r="Q935" s="8"/>
      <c r="R935" s="8"/>
      <c r="S935" s="8"/>
      <c r="T935" s="8"/>
      <c r="U935" s="8"/>
      <c r="V935" s="8"/>
      <c r="W935" s="8"/>
      <c r="X935" s="8"/>
      <c r="Y935" s="8"/>
      <c r="Z935" s="8"/>
      <c r="AA935" s="8"/>
      <c r="AB935" s="8"/>
      <c r="AC935" s="8"/>
      <c r="AD935" s="24"/>
      <c r="AE935" s="24"/>
      <c r="AF935" s="8"/>
      <c r="AG935" s="8"/>
      <c r="AH935" s="8"/>
      <c r="AI935" s="8"/>
    </row>
    <row r="936" spans="1:35" ht="15.75" customHeight="1" x14ac:dyDescent="0.25">
      <c r="A936" s="8"/>
      <c r="B936" s="8"/>
      <c r="C936" s="8"/>
      <c r="D936" s="8"/>
      <c r="E936" s="50"/>
      <c r="F936" s="51"/>
      <c r="G936" s="51"/>
      <c r="H936" s="52"/>
      <c r="I936" s="52"/>
      <c r="J936" s="52"/>
      <c r="K936" s="52"/>
      <c r="L936" s="52"/>
      <c r="M936" s="48"/>
      <c r="N936" s="52"/>
      <c r="O936" s="22"/>
      <c r="P936" s="22"/>
      <c r="Q936" s="8"/>
      <c r="R936" s="8"/>
      <c r="S936" s="8"/>
      <c r="T936" s="8"/>
      <c r="U936" s="8"/>
      <c r="V936" s="8"/>
      <c r="W936" s="8"/>
      <c r="X936" s="8"/>
      <c r="Y936" s="8"/>
      <c r="Z936" s="8"/>
      <c r="AA936" s="8"/>
      <c r="AB936" s="8"/>
      <c r="AC936" s="8"/>
      <c r="AD936" s="24"/>
      <c r="AE936" s="24"/>
      <c r="AF936" s="8"/>
      <c r="AG936" s="8"/>
      <c r="AH936" s="8"/>
      <c r="AI936" s="8"/>
    </row>
    <row r="937" spans="1:35" ht="15.75" customHeight="1" x14ac:dyDescent="0.25">
      <c r="A937" s="8"/>
      <c r="B937" s="8"/>
      <c r="C937" s="8"/>
      <c r="D937" s="8"/>
      <c r="E937" s="50"/>
      <c r="F937" s="51"/>
      <c r="G937" s="51"/>
      <c r="H937" s="52"/>
      <c r="I937" s="52"/>
      <c r="J937" s="52"/>
      <c r="K937" s="52"/>
      <c r="L937" s="52"/>
      <c r="M937" s="48"/>
      <c r="N937" s="52"/>
      <c r="O937" s="22"/>
      <c r="P937" s="22"/>
      <c r="Q937" s="8"/>
      <c r="R937" s="8"/>
      <c r="S937" s="8"/>
      <c r="T937" s="8"/>
      <c r="U937" s="8"/>
      <c r="V937" s="8"/>
      <c r="W937" s="8"/>
      <c r="X937" s="8"/>
      <c r="Y937" s="8"/>
      <c r="Z937" s="8"/>
      <c r="AA937" s="8"/>
      <c r="AB937" s="8"/>
      <c r="AC937" s="8"/>
      <c r="AD937" s="24"/>
      <c r="AE937" s="24"/>
      <c r="AF937" s="8"/>
      <c r="AG937" s="8"/>
      <c r="AH937" s="8"/>
      <c r="AI937" s="8"/>
    </row>
    <row r="938" spans="1:35" ht="15.75" customHeight="1" x14ac:dyDescent="0.25">
      <c r="A938" s="8"/>
      <c r="B938" s="8"/>
      <c r="C938" s="8"/>
      <c r="D938" s="8"/>
      <c r="E938" s="50"/>
      <c r="F938" s="51"/>
      <c r="G938" s="51"/>
      <c r="H938" s="52"/>
      <c r="I938" s="52"/>
      <c r="J938" s="52"/>
      <c r="K938" s="52"/>
      <c r="L938" s="52"/>
      <c r="M938" s="48"/>
      <c r="N938" s="52"/>
      <c r="O938" s="22"/>
      <c r="P938" s="22"/>
      <c r="Q938" s="8"/>
      <c r="R938" s="8"/>
      <c r="S938" s="8"/>
      <c r="T938" s="8"/>
      <c r="U938" s="8"/>
      <c r="V938" s="8"/>
      <c r="W938" s="8"/>
      <c r="X938" s="8"/>
      <c r="Y938" s="8"/>
      <c r="Z938" s="8"/>
      <c r="AA938" s="8"/>
      <c r="AB938" s="8"/>
      <c r="AC938" s="8"/>
      <c r="AD938" s="24"/>
      <c r="AE938" s="24"/>
      <c r="AF938" s="8"/>
      <c r="AG938" s="8"/>
      <c r="AH938" s="8"/>
      <c r="AI938" s="8"/>
    </row>
    <row r="939" spans="1:35" ht="15.75" customHeight="1" x14ac:dyDescent="0.25">
      <c r="A939" s="8"/>
      <c r="B939" s="8"/>
      <c r="C939" s="8"/>
      <c r="D939" s="8"/>
      <c r="E939" s="50"/>
      <c r="F939" s="51"/>
      <c r="G939" s="51"/>
      <c r="H939" s="52"/>
      <c r="I939" s="52"/>
      <c r="J939" s="52"/>
      <c r="K939" s="52"/>
      <c r="L939" s="52"/>
      <c r="M939" s="52"/>
      <c r="N939" s="52"/>
      <c r="O939" s="22"/>
      <c r="P939" s="22"/>
      <c r="Q939" s="8"/>
      <c r="R939" s="8"/>
      <c r="S939" s="8"/>
      <c r="T939" s="8"/>
      <c r="U939" s="8"/>
      <c r="V939" s="8"/>
      <c r="W939" s="8"/>
      <c r="X939" s="8"/>
      <c r="Y939" s="8"/>
      <c r="Z939" s="8"/>
      <c r="AA939" s="8"/>
      <c r="AB939" s="8"/>
      <c r="AC939" s="8"/>
      <c r="AD939" s="24"/>
      <c r="AE939" s="24"/>
      <c r="AF939" s="8"/>
      <c r="AG939" s="8"/>
      <c r="AH939" s="8"/>
      <c r="AI939" s="8"/>
    </row>
    <row r="940" spans="1:35" ht="15.75" customHeight="1" x14ac:dyDescent="0.25">
      <c r="A940" s="8"/>
      <c r="B940" s="8"/>
      <c r="C940" s="8"/>
      <c r="D940" s="8"/>
      <c r="E940" s="50"/>
      <c r="F940" s="51"/>
      <c r="G940" s="51"/>
      <c r="H940" s="52"/>
      <c r="I940" s="52"/>
      <c r="J940" s="52"/>
      <c r="K940" s="52"/>
      <c r="L940" s="52"/>
      <c r="M940" s="48"/>
      <c r="N940" s="52"/>
      <c r="O940" s="22"/>
      <c r="P940" s="22"/>
      <c r="Q940" s="8"/>
      <c r="R940" s="8"/>
      <c r="S940" s="8"/>
      <c r="T940" s="8"/>
      <c r="U940" s="8"/>
      <c r="V940" s="8"/>
      <c r="W940" s="8"/>
      <c r="X940" s="8"/>
      <c r="Y940" s="8"/>
      <c r="Z940" s="8"/>
      <c r="AA940" s="8"/>
      <c r="AB940" s="8"/>
      <c r="AC940" s="8"/>
      <c r="AD940" s="24"/>
      <c r="AE940" s="24"/>
      <c r="AF940" s="8"/>
      <c r="AG940" s="8"/>
      <c r="AH940" s="8"/>
      <c r="AI940" s="8"/>
    </row>
    <row r="941" spans="1:35" ht="15.75" customHeight="1" x14ac:dyDescent="0.25">
      <c r="A941" s="8"/>
      <c r="B941" s="8"/>
      <c r="C941" s="8"/>
      <c r="D941" s="8"/>
      <c r="E941" s="50"/>
      <c r="F941" s="51"/>
      <c r="G941" s="51"/>
      <c r="H941" s="52"/>
      <c r="I941" s="52"/>
      <c r="J941" s="52"/>
      <c r="K941" s="52"/>
      <c r="L941" s="52"/>
      <c r="M941" s="48"/>
      <c r="N941" s="52"/>
      <c r="O941" s="22"/>
      <c r="P941" s="22"/>
      <c r="Q941" s="8"/>
      <c r="R941" s="8"/>
      <c r="S941" s="8"/>
      <c r="T941" s="8"/>
      <c r="U941" s="8"/>
      <c r="V941" s="8"/>
      <c r="W941" s="8"/>
      <c r="X941" s="8"/>
      <c r="Y941" s="8"/>
      <c r="Z941" s="8"/>
      <c r="AA941" s="8"/>
      <c r="AB941" s="8"/>
      <c r="AC941" s="8"/>
      <c r="AD941" s="24"/>
      <c r="AE941" s="24"/>
      <c r="AF941" s="8"/>
      <c r="AG941" s="8"/>
      <c r="AH941" s="8"/>
      <c r="AI941" s="8"/>
    </row>
    <row r="942" spans="1:35" ht="15.75" customHeight="1" x14ac:dyDescent="0.25">
      <c r="A942" s="8"/>
      <c r="B942" s="8"/>
      <c r="C942" s="8"/>
      <c r="D942" s="8"/>
      <c r="E942" s="50"/>
      <c r="F942" s="51"/>
      <c r="G942" s="51"/>
      <c r="H942" s="52"/>
      <c r="I942" s="52"/>
      <c r="J942" s="52"/>
      <c r="K942" s="52"/>
      <c r="L942" s="52"/>
      <c r="M942" s="52"/>
      <c r="N942" s="52"/>
      <c r="O942" s="22"/>
      <c r="P942" s="22"/>
      <c r="Q942" s="8"/>
      <c r="R942" s="8"/>
      <c r="S942" s="8"/>
      <c r="T942" s="8"/>
      <c r="U942" s="8"/>
      <c r="V942" s="8"/>
      <c r="W942" s="8"/>
      <c r="X942" s="8"/>
      <c r="Y942" s="8"/>
      <c r="Z942" s="8"/>
      <c r="AA942" s="8"/>
      <c r="AB942" s="8"/>
      <c r="AC942" s="8"/>
      <c r="AD942" s="24"/>
      <c r="AE942" s="24"/>
      <c r="AF942" s="8"/>
      <c r="AG942" s="8"/>
      <c r="AH942" s="8"/>
      <c r="AI942" s="8"/>
    </row>
    <row r="943" spans="1:35" ht="15.75" customHeight="1" x14ac:dyDescent="0.25">
      <c r="A943" s="8"/>
      <c r="B943" s="8"/>
      <c r="C943" s="8"/>
      <c r="D943" s="8"/>
      <c r="E943" s="50"/>
      <c r="F943" s="51"/>
      <c r="G943" s="51"/>
      <c r="H943" s="52"/>
      <c r="I943" s="52"/>
      <c r="J943" s="52"/>
      <c r="K943" s="52"/>
      <c r="L943" s="52"/>
      <c r="M943" s="48"/>
      <c r="N943" s="52"/>
      <c r="O943" s="22"/>
      <c r="P943" s="22"/>
      <c r="Q943" s="8"/>
      <c r="R943" s="8"/>
      <c r="S943" s="8"/>
      <c r="T943" s="8"/>
      <c r="U943" s="8"/>
      <c r="V943" s="8"/>
      <c r="W943" s="8"/>
      <c r="X943" s="8"/>
      <c r="Y943" s="8"/>
      <c r="Z943" s="8"/>
      <c r="AA943" s="8"/>
      <c r="AB943" s="8"/>
      <c r="AC943" s="8"/>
      <c r="AD943" s="24"/>
      <c r="AE943" s="24"/>
      <c r="AF943" s="8"/>
      <c r="AG943" s="8"/>
      <c r="AH943" s="8"/>
      <c r="AI943" s="8"/>
    </row>
    <row r="944" spans="1:35" ht="15.75" customHeight="1" x14ac:dyDescent="0.25">
      <c r="A944" s="8"/>
      <c r="B944" s="8"/>
      <c r="C944" s="8"/>
      <c r="D944" s="8"/>
      <c r="E944" s="50"/>
      <c r="F944" s="51"/>
      <c r="G944" s="51"/>
      <c r="H944" s="52"/>
      <c r="I944" s="52"/>
      <c r="J944" s="52"/>
      <c r="K944" s="52"/>
      <c r="L944" s="52"/>
      <c r="M944" s="48"/>
      <c r="N944" s="52"/>
      <c r="O944" s="22"/>
      <c r="P944" s="22"/>
      <c r="Q944" s="8"/>
      <c r="R944" s="8"/>
      <c r="S944" s="8"/>
      <c r="T944" s="8"/>
      <c r="U944" s="8"/>
      <c r="V944" s="8"/>
      <c r="W944" s="8"/>
      <c r="X944" s="8"/>
      <c r="Y944" s="8"/>
      <c r="Z944" s="8"/>
      <c r="AA944" s="8"/>
      <c r="AB944" s="8"/>
      <c r="AC944" s="8"/>
      <c r="AD944" s="24"/>
      <c r="AE944" s="24"/>
      <c r="AF944" s="8"/>
      <c r="AG944" s="8"/>
      <c r="AH944" s="8"/>
      <c r="AI944" s="8"/>
    </row>
    <row r="945" spans="1:35" ht="15.75" customHeight="1" x14ac:dyDescent="0.25">
      <c r="A945" s="8"/>
      <c r="B945" s="8"/>
      <c r="C945" s="8"/>
      <c r="D945" s="8"/>
      <c r="E945" s="50"/>
      <c r="F945" s="51"/>
      <c r="G945" s="51"/>
      <c r="H945" s="52"/>
      <c r="I945" s="52"/>
      <c r="J945" s="52"/>
      <c r="K945" s="52"/>
      <c r="L945" s="52"/>
      <c r="M945" s="48"/>
      <c r="N945" s="52"/>
      <c r="O945" s="22"/>
      <c r="P945" s="22"/>
      <c r="Q945" s="8"/>
      <c r="R945" s="8"/>
      <c r="S945" s="8"/>
      <c r="T945" s="8"/>
      <c r="U945" s="8"/>
      <c r="V945" s="8"/>
      <c r="W945" s="8"/>
      <c r="X945" s="8"/>
      <c r="Y945" s="8"/>
      <c r="Z945" s="8"/>
      <c r="AA945" s="8"/>
      <c r="AB945" s="8"/>
      <c r="AC945" s="8"/>
      <c r="AD945" s="24"/>
      <c r="AE945" s="24"/>
      <c r="AF945" s="8"/>
      <c r="AG945" s="8"/>
      <c r="AH945" s="8"/>
      <c r="AI945" s="8"/>
    </row>
    <row r="946" spans="1:35" ht="15.75" customHeight="1" x14ac:dyDescent="0.25">
      <c r="A946" s="8"/>
      <c r="B946" s="8"/>
      <c r="C946" s="8"/>
      <c r="D946" s="8"/>
      <c r="E946" s="50"/>
      <c r="F946" s="51"/>
      <c r="G946" s="51"/>
      <c r="H946" s="52"/>
      <c r="I946" s="52"/>
      <c r="J946" s="52"/>
      <c r="K946" s="52"/>
      <c r="L946" s="52"/>
      <c r="M946" s="48"/>
      <c r="N946" s="52"/>
      <c r="O946" s="22"/>
      <c r="P946" s="22"/>
      <c r="Q946" s="8"/>
      <c r="R946" s="8"/>
      <c r="S946" s="8"/>
      <c r="T946" s="8"/>
      <c r="U946" s="8"/>
      <c r="V946" s="8"/>
      <c r="W946" s="8"/>
      <c r="X946" s="8"/>
      <c r="Y946" s="8"/>
      <c r="Z946" s="8"/>
      <c r="AA946" s="8"/>
      <c r="AB946" s="8"/>
      <c r="AC946" s="8"/>
      <c r="AD946" s="24"/>
      <c r="AE946" s="24"/>
      <c r="AF946" s="8"/>
      <c r="AG946" s="8"/>
      <c r="AH946" s="8"/>
      <c r="AI946" s="8"/>
    </row>
    <row r="947" spans="1:35" ht="15.75" customHeight="1" x14ac:dyDescent="0.25">
      <c r="A947" s="8"/>
      <c r="B947" s="8"/>
      <c r="C947" s="8"/>
      <c r="D947" s="8"/>
      <c r="E947" s="50"/>
      <c r="F947" s="51"/>
      <c r="G947" s="51"/>
      <c r="H947" s="52"/>
      <c r="I947" s="52"/>
      <c r="J947" s="52"/>
      <c r="K947" s="52"/>
      <c r="L947" s="52"/>
      <c r="M947" s="48"/>
      <c r="N947" s="52"/>
      <c r="O947" s="22"/>
      <c r="P947" s="22"/>
      <c r="Q947" s="8"/>
      <c r="R947" s="8"/>
      <c r="S947" s="8"/>
      <c r="T947" s="8"/>
      <c r="U947" s="8"/>
      <c r="V947" s="8"/>
      <c r="W947" s="8"/>
      <c r="X947" s="8"/>
      <c r="Y947" s="8"/>
      <c r="Z947" s="8"/>
      <c r="AA947" s="8"/>
      <c r="AB947" s="8"/>
      <c r="AC947" s="8"/>
      <c r="AD947" s="24"/>
      <c r="AE947" s="24"/>
      <c r="AF947" s="8"/>
      <c r="AG947" s="8"/>
      <c r="AH947" s="8"/>
      <c r="AI947" s="8"/>
    </row>
    <row r="948" spans="1:35" ht="15.75" customHeight="1" x14ac:dyDescent="0.25">
      <c r="A948" s="8"/>
      <c r="B948" s="8"/>
      <c r="C948" s="8"/>
      <c r="D948" s="8"/>
      <c r="E948" s="50"/>
      <c r="F948" s="51"/>
      <c r="G948" s="51"/>
      <c r="H948" s="52"/>
      <c r="I948" s="52"/>
      <c r="J948" s="52"/>
      <c r="K948" s="52"/>
      <c r="L948" s="52"/>
      <c r="M948" s="48"/>
      <c r="N948" s="52"/>
      <c r="O948" s="22"/>
      <c r="P948" s="22"/>
      <c r="Q948" s="8"/>
      <c r="R948" s="8"/>
      <c r="S948" s="8"/>
      <c r="T948" s="8"/>
      <c r="U948" s="8"/>
      <c r="V948" s="8"/>
      <c r="W948" s="8"/>
      <c r="X948" s="8"/>
      <c r="Y948" s="8"/>
      <c r="Z948" s="8"/>
      <c r="AA948" s="8"/>
      <c r="AB948" s="8"/>
      <c r="AC948" s="8"/>
      <c r="AD948" s="24"/>
      <c r="AE948" s="24"/>
      <c r="AF948" s="8"/>
      <c r="AG948" s="8"/>
      <c r="AH948" s="8"/>
      <c r="AI948" s="8"/>
    </row>
    <row r="949" spans="1:35" ht="15.75" customHeight="1" x14ac:dyDescent="0.25">
      <c r="A949" s="8"/>
      <c r="B949" s="8"/>
      <c r="C949" s="8"/>
      <c r="D949" s="8"/>
      <c r="E949" s="50"/>
      <c r="F949" s="51"/>
      <c r="G949" s="51"/>
      <c r="H949" s="52"/>
      <c r="I949" s="52"/>
      <c r="J949" s="52"/>
      <c r="K949" s="52"/>
      <c r="L949" s="52"/>
      <c r="M949" s="49"/>
      <c r="N949" s="52"/>
      <c r="O949" s="22"/>
      <c r="P949" s="22"/>
      <c r="Q949" s="8"/>
      <c r="R949" s="8"/>
      <c r="S949" s="8"/>
      <c r="T949" s="8"/>
      <c r="U949" s="8"/>
      <c r="V949" s="8"/>
      <c r="W949" s="8"/>
      <c r="X949" s="8"/>
      <c r="Y949" s="8"/>
      <c r="Z949" s="8"/>
      <c r="AA949" s="8"/>
      <c r="AB949" s="8"/>
      <c r="AC949" s="8"/>
      <c r="AD949" s="24"/>
      <c r="AE949" s="24"/>
      <c r="AF949" s="8"/>
      <c r="AG949" s="8"/>
      <c r="AH949" s="8"/>
      <c r="AI949" s="8"/>
    </row>
    <row r="950" spans="1:35" ht="15.75" customHeight="1" x14ac:dyDescent="0.25">
      <c r="A950" s="8"/>
      <c r="B950" s="8"/>
      <c r="C950" s="8"/>
      <c r="D950" s="8"/>
      <c r="E950" s="50"/>
      <c r="F950" s="51"/>
      <c r="G950" s="51"/>
      <c r="H950" s="52"/>
      <c r="I950" s="52"/>
      <c r="J950" s="52"/>
      <c r="K950" s="52"/>
      <c r="L950" s="52"/>
      <c r="M950" s="52"/>
      <c r="N950" s="52"/>
      <c r="O950" s="22"/>
      <c r="P950" s="22"/>
      <c r="Q950" s="8"/>
      <c r="R950" s="8"/>
      <c r="S950" s="8"/>
      <c r="T950" s="8"/>
      <c r="U950" s="8"/>
      <c r="V950" s="8"/>
      <c r="W950" s="8"/>
      <c r="X950" s="8"/>
      <c r="Y950" s="8"/>
      <c r="Z950" s="8"/>
      <c r="AA950" s="8"/>
      <c r="AB950" s="8"/>
      <c r="AC950" s="8"/>
      <c r="AD950" s="24"/>
      <c r="AE950" s="24"/>
      <c r="AF950" s="8"/>
      <c r="AG950" s="8"/>
      <c r="AH950" s="8"/>
      <c r="AI950" s="8"/>
    </row>
    <row r="951" spans="1:35" ht="15.75" customHeight="1" x14ac:dyDescent="0.25">
      <c r="A951" s="8"/>
      <c r="B951" s="8"/>
      <c r="C951" s="8"/>
      <c r="D951" s="8"/>
      <c r="E951" s="50"/>
      <c r="F951" s="51"/>
      <c r="G951" s="51"/>
      <c r="H951" s="52"/>
      <c r="I951" s="52"/>
      <c r="J951" s="52"/>
      <c r="K951" s="52"/>
      <c r="L951" s="52"/>
      <c r="M951" s="48"/>
      <c r="N951" s="52"/>
      <c r="O951" s="22"/>
      <c r="P951" s="22"/>
      <c r="Q951" s="8"/>
      <c r="R951" s="8"/>
      <c r="S951" s="8"/>
      <c r="T951" s="8"/>
      <c r="U951" s="8"/>
      <c r="V951" s="8"/>
      <c r="W951" s="8"/>
      <c r="X951" s="8"/>
      <c r="Y951" s="8"/>
      <c r="Z951" s="8"/>
      <c r="AA951" s="8"/>
      <c r="AB951" s="8"/>
      <c r="AC951" s="8"/>
      <c r="AD951" s="24"/>
      <c r="AE951" s="24"/>
      <c r="AF951" s="8"/>
      <c r="AG951" s="8"/>
      <c r="AH951" s="8"/>
      <c r="AI951" s="8"/>
    </row>
    <row r="952" spans="1:35" ht="15.75" customHeight="1" x14ac:dyDescent="0.25">
      <c r="A952" s="8"/>
      <c r="B952" s="8"/>
      <c r="C952" s="8"/>
      <c r="D952" s="8"/>
      <c r="E952" s="50"/>
      <c r="F952" s="51"/>
      <c r="G952" s="51"/>
      <c r="H952" s="52"/>
      <c r="I952" s="52"/>
      <c r="J952" s="52"/>
      <c r="K952" s="52"/>
      <c r="L952" s="52"/>
      <c r="M952" s="48"/>
      <c r="N952" s="52"/>
      <c r="O952" s="22"/>
      <c r="P952" s="22"/>
      <c r="Q952" s="8"/>
      <c r="R952" s="8"/>
      <c r="S952" s="8"/>
      <c r="T952" s="8"/>
      <c r="U952" s="8"/>
      <c r="V952" s="8"/>
      <c r="W952" s="8"/>
      <c r="X952" s="8"/>
      <c r="Y952" s="8"/>
      <c r="Z952" s="8"/>
      <c r="AA952" s="8"/>
      <c r="AB952" s="8"/>
      <c r="AC952" s="8"/>
      <c r="AD952" s="24"/>
      <c r="AE952" s="24"/>
      <c r="AF952" s="8"/>
      <c r="AG952" s="8"/>
      <c r="AH952" s="8"/>
      <c r="AI952" s="8"/>
    </row>
    <row r="953" spans="1:35" ht="15.75" customHeight="1" x14ac:dyDescent="0.25">
      <c r="A953" s="8"/>
      <c r="B953" s="8"/>
      <c r="C953" s="8"/>
      <c r="D953" s="8"/>
      <c r="E953" s="50"/>
      <c r="F953" s="51"/>
      <c r="G953" s="51"/>
      <c r="H953" s="52"/>
      <c r="I953" s="52"/>
      <c r="J953" s="52"/>
      <c r="K953" s="52"/>
      <c r="L953" s="52"/>
      <c r="M953" s="48"/>
      <c r="N953" s="52"/>
      <c r="O953" s="22"/>
      <c r="P953" s="22"/>
      <c r="Q953" s="8"/>
      <c r="R953" s="8"/>
      <c r="S953" s="8"/>
      <c r="T953" s="8"/>
      <c r="U953" s="8"/>
      <c r="V953" s="8"/>
      <c r="W953" s="8"/>
      <c r="X953" s="8"/>
      <c r="Y953" s="8"/>
      <c r="Z953" s="8"/>
      <c r="AA953" s="8"/>
      <c r="AB953" s="8"/>
      <c r="AC953" s="8"/>
      <c r="AD953" s="24"/>
      <c r="AE953" s="24"/>
      <c r="AF953" s="8"/>
      <c r="AG953" s="8"/>
      <c r="AH953" s="8"/>
      <c r="AI953" s="8"/>
    </row>
    <row r="954" spans="1:35" ht="15.75" customHeight="1" x14ac:dyDescent="0.25">
      <c r="A954" s="8"/>
      <c r="B954" s="8"/>
      <c r="C954" s="8"/>
      <c r="D954" s="8"/>
      <c r="E954" s="50"/>
      <c r="F954" s="51"/>
      <c r="G954" s="51"/>
      <c r="H954" s="52"/>
      <c r="I954" s="52"/>
      <c r="J954" s="52"/>
      <c r="K954" s="52"/>
      <c r="L954" s="52"/>
      <c r="M954" s="49"/>
      <c r="N954" s="52"/>
      <c r="O954" s="22"/>
      <c r="P954" s="22"/>
      <c r="Q954" s="8"/>
      <c r="R954" s="8"/>
      <c r="S954" s="8"/>
      <c r="T954" s="8"/>
      <c r="U954" s="8"/>
      <c r="V954" s="8"/>
      <c r="W954" s="8"/>
      <c r="X954" s="8"/>
      <c r="Y954" s="8"/>
      <c r="Z954" s="8"/>
      <c r="AA954" s="8"/>
      <c r="AB954" s="8"/>
      <c r="AC954" s="8"/>
      <c r="AD954" s="24"/>
      <c r="AE954" s="24"/>
      <c r="AF954" s="8"/>
      <c r="AG954" s="8"/>
      <c r="AH954" s="8"/>
      <c r="AI954" s="8"/>
    </row>
    <row r="955" spans="1:35" ht="15.75" customHeight="1" x14ac:dyDescent="0.25">
      <c r="A955" s="8"/>
      <c r="B955" s="8"/>
      <c r="C955" s="8"/>
      <c r="D955" s="8"/>
      <c r="E955" s="50"/>
      <c r="F955" s="51"/>
      <c r="G955" s="51"/>
      <c r="H955" s="52"/>
      <c r="I955" s="52"/>
      <c r="J955" s="52"/>
      <c r="K955" s="52"/>
      <c r="L955" s="52"/>
      <c r="M955" s="52"/>
      <c r="N955" s="52"/>
      <c r="O955" s="22"/>
      <c r="P955" s="22"/>
      <c r="Q955" s="8"/>
      <c r="R955" s="8"/>
      <c r="S955" s="8"/>
      <c r="T955" s="8"/>
      <c r="U955" s="8"/>
      <c r="V955" s="8"/>
      <c r="W955" s="8"/>
      <c r="X955" s="8"/>
      <c r="Y955" s="8"/>
      <c r="Z955" s="8"/>
      <c r="AA955" s="8"/>
      <c r="AB955" s="8"/>
      <c r="AC955" s="8"/>
      <c r="AD955" s="24"/>
      <c r="AE955" s="24"/>
      <c r="AF955" s="8"/>
      <c r="AG955" s="8"/>
      <c r="AH955" s="8"/>
      <c r="AI955" s="8"/>
    </row>
    <row r="956" spans="1:35" ht="15.75" customHeight="1" x14ac:dyDescent="0.25">
      <c r="A956" s="8"/>
      <c r="B956" s="8"/>
      <c r="C956" s="8"/>
      <c r="D956" s="8"/>
      <c r="E956" s="50"/>
      <c r="F956" s="51"/>
      <c r="G956" s="51"/>
      <c r="H956" s="52"/>
      <c r="I956" s="52"/>
      <c r="J956" s="52"/>
      <c r="K956" s="52"/>
      <c r="L956" s="52"/>
      <c r="M956" s="52"/>
      <c r="N956" s="52"/>
      <c r="O956" s="22"/>
      <c r="P956" s="22"/>
      <c r="Q956" s="8"/>
      <c r="R956" s="8"/>
      <c r="S956" s="8"/>
      <c r="T956" s="8"/>
      <c r="U956" s="8"/>
      <c r="V956" s="8"/>
      <c r="W956" s="8"/>
      <c r="X956" s="8"/>
      <c r="Y956" s="8"/>
      <c r="Z956" s="8"/>
      <c r="AA956" s="8"/>
      <c r="AB956" s="8"/>
      <c r="AC956" s="8"/>
      <c r="AD956" s="24"/>
      <c r="AE956" s="24"/>
      <c r="AF956" s="8"/>
      <c r="AG956" s="8"/>
      <c r="AH956" s="8"/>
      <c r="AI956" s="8"/>
    </row>
    <row r="957" spans="1:35" ht="15.75" customHeight="1" x14ac:dyDescent="0.25">
      <c r="A957" s="8"/>
      <c r="B957" s="8"/>
      <c r="C957" s="8"/>
      <c r="D957" s="8"/>
      <c r="E957" s="50"/>
      <c r="F957" s="51"/>
      <c r="G957" s="51"/>
      <c r="H957" s="52"/>
      <c r="I957" s="52"/>
      <c r="J957" s="52"/>
      <c r="K957" s="52"/>
      <c r="L957" s="52"/>
      <c r="M957" s="49"/>
      <c r="N957" s="52"/>
      <c r="O957" s="22"/>
      <c r="P957" s="22"/>
      <c r="Q957" s="8"/>
      <c r="R957" s="8"/>
      <c r="S957" s="8"/>
      <c r="T957" s="8"/>
      <c r="U957" s="8"/>
      <c r="V957" s="8"/>
      <c r="W957" s="8"/>
      <c r="X957" s="8"/>
      <c r="Y957" s="8"/>
      <c r="Z957" s="8"/>
      <c r="AA957" s="8"/>
      <c r="AB957" s="8"/>
      <c r="AC957" s="8"/>
      <c r="AD957" s="24"/>
      <c r="AE957" s="24"/>
      <c r="AF957" s="8"/>
      <c r="AG957" s="8"/>
      <c r="AH957" s="8"/>
      <c r="AI957" s="8"/>
    </row>
    <row r="958" spans="1:35" ht="15.75" customHeight="1" x14ac:dyDescent="0.25">
      <c r="A958" s="8"/>
      <c r="B958" s="8"/>
      <c r="C958" s="8"/>
      <c r="D958" s="8"/>
      <c r="E958" s="50"/>
      <c r="F958" s="51"/>
      <c r="G958" s="51"/>
      <c r="H958" s="52"/>
      <c r="I958" s="52"/>
      <c r="J958" s="52"/>
      <c r="K958" s="52"/>
      <c r="L958" s="52"/>
      <c r="M958" s="52"/>
      <c r="N958" s="52"/>
      <c r="O958" s="22"/>
      <c r="P958" s="22"/>
      <c r="Q958" s="8"/>
      <c r="R958" s="8"/>
      <c r="S958" s="8"/>
      <c r="T958" s="8"/>
      <c r="U958" s="8"/>
      <c r="V958" s="8"/>
      <c r="W958" s="8"/>
      <c r="X958" s="8"/>
      <c r="Y958" s="8"/>
      <c r="Z958" s="8"/>
      <c r="AA958" s="8"/>
      <c r="AB958" s="8"/>
      <c r="AC958" s="8"/>
      <c r="AD958" s="24"/>
      <c r="AE958" s="24"/>
      <c r="AF958" s="8"/>
      <c r="AG958" s="8"/>
      <c r="AH958" s="8"/>
      <c r="AI958" s="8"/>
    </row>
    <row r="959" spans="1:35" ht="15.75" customHeight="1" x14ac:dyDescent="0.25">
      <c r="A959" s="8"/>
      <c r="B959" s="8"/>
      <c r="C959" s="8"/>
      <c r="D959" s="8"/>
      <c r="E959" s="50"/>
      <c r="F959" s="51"/>
      <c r="G959" s="51"/>
      <c r="H959" s="52"/>
      <c r="I959" s="52"/>
      <c r="J959" s="52"/>
      <c r="K959" s="52"/>
      <c r="L959" s="52"/>
      <c r="M959" s="49"/>
      <c r="N959" s="52"/>
      <c r="O959" s="22"/>
      <c r="P959" s="22"/>
      <c r="Q959" s="8"/>
      <c r="R959" s="8"/>
      <c r="S959" s="8"/>
      <c r="T959" s="8"/>
      <c r="U959" s="8"/>
      <c r="V959" s="8"/>
      <c r="W959" s="8"/>
      <c r="X959" s="8"/>
      <c r="Y959" s="8"/>
      <c r="Z959" s="8"/>
      <c r="AA959" s="8"/>
      <c r="AB959" s="8"/>
      <c r="AC959" s="8"/>
      <c r="AD959" s="24"/>
      <c r="AE959" s="24"/>
      <c r="AF959" s="8"/>
      <c r="AG959" s="8"/>
      <c r="AH959" s="8"/>
      <c r="AI959" s="8"/>
    </row>
    <row r="960" spans="1:35" ht="15.75" customHeight="1" x14ac:dyDescent="0.25">
      <c r="A960" s="8"/>
      <c r="B960" s="8"/>
      <c r="C960" s="8"/>
      <c r="D960" s="8"/>
      <c r="E960" s="50"/>
      <c r="F960" s="51"/>
      <c r="G960" s="51"/>
      <c r="H960" s="52"/>
      <c r="I960" s="52"/>
      <c r="J960" s="52"/>
      <c r="K960" s="52"/>
      <c r="L960" s="52"/>
      <c r="M960" s="48"/>
      <c r="N960" s="52"/>
      <c r="O960" s="22"/>
      <c r="P960" s="22"/>
      <c r="Q960" s="8"/>
      <c r="R960" s="8"/>
      <c r="S960" s="8"/>
      <c r="T960" s="8"/>
      <c r="U960" s="8"/>
      <c r="V960" s="8"/>
      <c r="W960" s="8"/>
      <c r="X960" s="8"/>
      <c r="Y960" s="8"/>
      <c r="Z960" s="8"/>
      <c r="AA960" s="8"/>
      <c r="AB960" s="8"/>
      <c r="AC960" s="8"/>
      <c r="AD960" s="24"/>
      <c r="AE960" s="24"/>
      <c r="AF960" s="8"/>
      <c r="AG960" s="8"/>
      <c r="AH960" s="8"/>
      <c r="AI960" s="8"/>
    </row>
    <row r="961" spans="1:35" ht="15.75" customHeight="1" x14ac:dyDescent="0.25">
      <c r="A961" s="8"/>
      <c r="B961" s="8"/>
      <c r="C961" s="8"/>
      <c r="D961" s="8"/>
      <c r="E961" s="50"/>
      <c r="F961" s="51"/>
      <c r="G961" s="51"/>
      <c r="H961" s="52"/>
      <c r="I961" s="52"/>
      <c r="J961" s="52"/>
      <c r="K961" s="52"/>
      <c r="L961" s="52"/>
      <c r="M961" s="48"/>
      <c r="N961" s="52"/>
      <c r="O961" s="22"/>
      <c r="P961" s="22"/>
      <c r="Q961" s="8"/>
      <c r="R961" s="8"/>
      <c r="S961" s="8"/>
      <c r="T961" s="8"/>
      <c r="U961" s="8"/>
      <c r="V961" s="8"/>
      <c r="W961" s="8"/>
      <c r="X961" s="8"/>
      <c r="Y961" s="8"/>
      <c r="Z961" s="8"/>
      <c r="AA961" s="8"/>
      <c r="AB961" s="8"/>
      <c r="AC961" s="8"/>
      <c r="AD961" s="24"/>
      <c r="AE961" s="24"/>
      <c r="AF961" s="8"/>
      <c r="AG961" s="8"/>
      <c r="AH961" s="8"/>
      <c r="AI961" s="8"/>
    </row>
    <row r="962" spans="1:35" ht="15.75" customHeight="1" x14ac:dyDescent="0.25">
      <c r="A962" s="8"/>
      <c r="B962" s="8"/>
      <c r="C962" s="8"/>
      <c r="D962" s="8"/>
      <c r="E962" s="50"/>
      <c r="F962" s="51"/>
      <c r="G962" s="51"/>
      <c r="H962" s="52"/>
      <c r="I962" s="52"/>
      <c r="J962" s="52"/>
      <c r="K962" s="52"/>
      <c r="L962" s="52"/>
      <c r="M962" s="48"/>
      <c r="N962" s="52"/>
      <c r="O962" s="22"/>
      <c r="P962" s="22"/>
      <c r="Q962" s="8"/>
      <c r="R962" s="8"/>
      <c r="S962" s="8"/>
      <c r="T962" s="8"/>
      <c r="U962" s="8"/>
      <c r="V962" s="8"/>
      <c r="W962" s="8"/>
      <c r="X962" s="8"/>
      <c r="Y962" s="8"/>
      <c r="Z962" s="8"/>
      <c r="AA962" s="8"/>
      <c r="AB962" s="8"/>
      <c r="AC962" s="8"/>
      <c r="AD962" s="24"/>
      <c r="AE962" s="24"/>
      <c r="AF962" s="8"/>
      <c r="AG962" s="8"/>
      <c r="AH962" s="8"/>
      <c r="AI962" s="8"/>
    </row>
    <row r="963" spans="1:35" ht="15.75" customHeight="1" x14ac:dyDescent="0.25">
      <c r="A963" s="8"/>
      <c r="B963" s="8"/>
      <c r="C963" s="8"/>
      <c r="D963" s="8"/>
      <c r="E963" s="50"/>
      <c r="F963" s="51"/>
      <c r="G963" s="51"/>
      <c r="H963" s="52"/>
      <c r="I963" s="52"/>
      <c r="J963" s="52"/>
      <c r="K963" s="52"/>
      <c r="L963" s="52"/>
      <c r="M963" s="48"/>
      <c r="N963" s="52"/>
      <c r="O963" s="22"/>
      <c r="P963" s="22"/>
      <c r="Q963" s="8"/>
      <c r="R963" s="8"/>
      <c r="S963" s="8"/>
      <c r="T963" s="8"/>
      <c r="U963" s="8"/>
      <c r="V963" s="8"/>
      <c r="W963" s="8"/>
      <c r="X963" s="8"/>
      <c r="Y963" s="8"/>
      <c r="Z963" s="8"/>
      <c r="AA963" s="8"/>
      <c r="AB963" s="8"/>
      <c r="AC963" s="8"/>
      <c r="AD963" s="24"/>
      <c r="AE963" s="24"/>
      <c r="AF963" s="8"/>
      <c r="AG963" s="8"/>
      <c r="AH963" s="8"/>
      <c r="AI963" s="8"/>
    </row>
    <row r="964" spans="1:35" ht="15.75" customHeight="1" x14ac:dyDescent="0.25">
      <c r="A964" s="8"/>
      <c r="B964" s="8"/>
      <c r="C964" s="8"/>
      <c r="D964" s="8"/>
      <c r="E964" s="50"/>
      <c r="F964" s="51"/>
      <c r="G964" s="51"/>
      <c r="H964" s="52"/>
      <c r="I964" s="52"/>
      <c r="J964" s="52"/>
      <c r="K964" s="52"/>
      <c r="L964" s="52"/>
      <c r="M964" s="48"/>
      <c r="N964" s="52"/>
      <c r="O964" s="22"/>
      <c r="P964" s="22"/>
      <c r="Q964" s="8"/>
      <c r="R964" s="8"/>
      <c r="S964" s="8"/>
      <c r="T964" s="8"/>
      <c r="U964" s="8"/>
      <c r="V964" s="8"/>
      <c r="W964" s="8"/>
      <c r="X964" s="8"/>
      <c r="Y964" s="8"/>
      <c r="Z964" s="8"/>
      <c r="AA964" s="8"/>
      <c r="AB964" s="8"/>
      <c r="AC964" s="8"/>
      <c r="AD964" s="24"/>
      <c r="AE964" s="24"/>
      <c r="AF964" s="8"/>
      <c r="AG964" s="8"/>
      <c r="AH964" s="8"/>
      <c r="AI964" s="8"/>
    </row>
    <row r="965" spans="1:35" ht="15.75" customHeight="1" x14ac:dyDescent="0.25">
      <c r="A965" s="8"/>
      <c r="B965" s="8"/>
      <c r="C965" s="8"/>
      <c r="D965" s="8"/>
      <c r="E965" s="50"/>
      <c r="F965" s="51"/>
      <c r="G965" s="51"/>
      <c r="H965" s="52"/>
      <c r="I965" s="52"/>
      <c r="J965" s="52"/>
      <c r="K965" s="52"/>
      <c r="L965" s="52"/>
      <c r="M965" s="48"/>
      <c r="N965" s="52"/>
      <c r="O965" s="22"/>
      <c r="P965" s="22"/>
      <c r="Q965" s="8"/>
      <c r="R965" s="8"/>
      <c r="S965" s="8"/>
      <c r="T965" s="8"/>
      <c r="U965" s="8"/>
      <c r="V965" s="8"/>
      <c r="W965" s="8"/>
      <c r="X965" s="8"/>
      <c r="Y965" s="8"/>
      <c r="Z965" s="8"/>
      <c r="AA965" s="8"/>
      <c r="AB965" s="8"/>
      <c r="AC965" s="8"/>
      <c r="AD965" s="24"/>
      <c r="AE965" s="24"/>
      <c r="AF965" s="8"/>
      <c r="AG965" s="8"/>
      <c r="AH965" s="8"/>
      <c r="AI965" s="8"/>
    </row>
    <row r="966" spans="1:35" ht="15.75" customHeight="1" x14ac:dyDescent="0.25">
      <c r="A966" s="8"/>
      <c r="B966" s="8"/>
      <c r="C966" s="8"/>
      <c r="D966" s="8"/>
      <c r="E966" s="50"/>
      <c r="F966" s="51"/>
      <c r="G966" s="51"/>
      <c r="H966" s="52"/>
      <c r="I966" s="52"/>
      <c r="J966" s="52"/>
      <c r="K966" s="52"/>
      <c r="L966" s="52"/>
      <c r="M966" s="48"/>
      <c r="N966" s="52"/>
      <c r="O966" s="22"/>
      <c r="P966" s="22"/>
      <c r="Q966" s="8"/>
      <c r="R966" s="8"/>
      <c r="S966" s="8"/>
      <c r="T966" s="8"/>
      <c r="U966" s="8"/>
      <c r="V966" s="8"/>
      <c r="W966" s="8"/>
      <c r="X966" s="8"/>
      <c r="Y966" s="8"/>
      <c r="Z966" s="8"/>
      <c r="AA966" s="8"/>
      <c r="AB966" s="8"/>
      <c r="AC966" s="8"/>
      <c r="AD966" s="24"/>
      <c r="AE966" s="24"/>
      <c r="AF966" s="8"/>
      <c r="AG966" s="8"/>
      <c r="AH966" s="8"/>
      <c r="AI966" s="8"/>
    </row>
    <row r="967" spans="1:35" ht="15.75" customHeight="1" x14ac:dyDescent="0.25">
      <c r="A967" s="8"/>
      <c r="B967" s="8"/>
      <c r="C967" s="8"/>
      <c r="D967" s="8"/>
      <c r="E967" s="50"/>
      <c r="F967" s="51"/>
      <c r="G967" s="51"/>
      <c r="H967" s="52"/>
      <c r="I967" s="52"/>
      <c r="J967" s="52"/>
      <c r="K967" s="52"/>
      <c r="L967" s="52"/>
      <c r="M967" s="48"/>
      <c r="N967" s="52"/>
      <c r="O967" s="22"/>
      <c r="P967" s="22"/>
      <c r="Q967" s="8"/>
      <c r="R967" s="8"/>
      <c r="S967" s="8"/>
      <c r="T967" s="8"/>
      <c r="U967" s="8"/>
      <c r="V967" s="8"/>
      <c r="W967" s="8"/>
      <c r="X967" s="8"/>
      <c r="Y967" s="8"/>
      <c r="Z967" s="8"/>
      <c r="AA967" s="8"/>
      <c r="AB967" s="8"/>
      <c r="AC967" s="8"/>
      <c r="AD967" s="24"/>
      <c r="AE967" s="24"/>
      <c r="AF967" s="8"/>
      <c r="AG967" s="8"/>
      <c r="AH967" s="8"/>
      <c r="AI967" s="8"/>
    </row>
    <row r="968" spans="1:35" ht="15.75" customHeight="1" x14ac:dyDescent="0.25">
      <c r="A968" s="8"/>
      <c r="B968" s="8"/>
      <c r="C968" s="8"/>
      <c r="D968" s="8"/>
      <c r="E968" s="50"/>
      <c r="F968" s="51"/>
      <c r="G968" s="51"/>
      <c r="H968" s="52"/>
      <c r="I968" s="52"/>
      <c r="J968" s="52"/>
      <c r="K968" s="52"/>
      <c r="L968" s="52"/>
      <c r="M968" s="52"/>
      <c r="N968" s="52"/>
      <c r="O968" s="22"/>
      <c r="P968" s="22"/>
      <c r="Q968" s="8"/>
      <c r="R968" s="8"/>
      <c r="S968" s="8"/>
      <c r="T968" s="8"/>
      <c r="U968" s="8"/>
      <c r="V968" s="8"/>
      <c r="W968" s="8"/>
      <c r="X968" s="8"/>
      <c r="Y968" s="8"/>
      <c r="Z968" s="8"/>
      <c r="AA968" s="8"/>
      <c r="AB968" s="8"/>
      <c r="AC968" s="8"/>
      <c r="AD968" s="24"/>
      <c r="AE968" s="24"/>
      <c r="AF968" s="8"/>
      <c r="AG968" s="8"/>
      <c r="AH968" s="8"/>
      <c r="AI968" s="8"/>
    </row>
    <row r="969" spans="1:35" ht="15.75" customHeight="1" x14ac:dyDescent="0.25">
      <c r="A969" s="8"/>
      <c r="B969" s="8"/>
      <c r="C969" s="8"/>
      <c r="D969" s="8"/>
      <c r="E969" s="50"/>
      <c r="F969" s="51"/>
      <c r="G969" s="51"/>
      <c r="H969" s="52"/>
      <c r="I969" s="52"/>
      <c r="J969" s="52"/>
      <c r="K969" s="52"/>
      <c r="L969" s="52"/>
      <c r="M969" s="52"/>
      <c r="N969" s="52"/>
      <c r="O969" s="22"/>
      <c r="P969" s="22"/>
      <c r="Q969" s="8"/>
      <c r="R969" s="8"/>
      <c r="S969" s="8"/>
      <c r="T969" s="8"/>
      <c r="U969" s="8"/>
      <c r="V969" s="8"/>
      <c r="W969" s="8"/>
      <c r="X969" s="8"/>
      <c r="Y969" s="8"/>
      <c r="Z969" s="8"/>
      <c r="AA969" s="8"/>
      <c r="AB969" s="8"/>
      <c r="AC969" s="8"/>
      <c r="AD969" s="24"/>
      <c r="AE969" s="24"/>
      <c r="AF969" s="8"/>
      <c r="AG969" s="8"/>
      <c r="AH969" s="8"/>
      <c r="AI969" s="8"/>
    </row>
    <row r="970" spans="1:35" ht="15.75" customHeight="1" x14ac:dyDescent="0.25">
      <c r="A970" s="8"/>
      <c r="B970" s="8"/>
      <c r="C970" s="8"/>
      <c r="D970" s="8"/>
      <c r="E970" s="50"/>
      <c r="F970" s="51"/>
      <c r="G970" s="51"/>
      <c r="H970" s="52"/>
      <c r="I970" s="52"/>
      <c r="J970" s="52"/>
      <c r="K970" s="52"/>
      <c r="L970" s="52"/>
      <c r="M970" s="52"/>
      <c r="N970" s="52"/>
      <c r="O970" s="22"/>
      <c r="P970" s="22"/>
      <c r="Q970" s="8"/>
      <c r="R970" s="8"/>
      <c r="S970" s="8"/>
      <c r="T970" s="8"/>
      <c r="U970" s="8"/>
      <c r="V970" s="8"/>
      <c r="W970" s="8"/>
      <c r="X970" s="8"/>
      <c r="Y970" s="8"/>
      <c r="Z970" s="8"/>
      <c r="AA970" s="8"/>
      <c r="AB970" s="8"/>
      <c r="AC970" s="8"/>
      <c r="AD970" s="24"/>
      <c r="AE970" s="24"/>
      <c r="AF970" s="8"/>
      <c r="AG970" s="8"/>
      <c r="AH970" s="8"/>
      <c r="AI970" s="8"/>
    </row>
    <row r="971" spans="1:35" ht="15.75" customHeight="1" x14ac:dyDescent="0.25">
      <c r="A971" s="8"/>
      <c r="B971" s="8"/>
      <c r="C971" s="8"/>
      <c r="D971" s="8"/>
      <c r="E971" s="50"/>
      <c r="F971" s="51"/>
      <c r="G971" s="51"/>
      <c r="H971" s="52"/>
      <c r="I971" s="52"/>
      <c r="J971" s="52"/>
      <c r="K971" s="52"/>
      <c r="L971" s="52"/>
      <c r="M971" s="52"/>
      <c r="N971" s="52"/>
      <c r="O971" s="22"/>
      <c r="P971" s="22"/>
      <c r="Q971" s="8"/>
      <c r="R971" s="8"/>
      <c r="S971" s="8"/>
      <c r="T971" s="8"/>
      <c r="U971" s="8"/>
      <c r="V971" s="8"/>
      <c r="W971" s="8"/>
      <c r="X971" s="8"/>
      <c r="Y971" s="8"/>
      <c r="Z971" s="8"/>
      <c r="AA971" s="8"/>
      <c r="AB971" s="8"/>
      <c r="AC971" s="8"/>
      <c r="AD971" s="24"/>
      <c r="AE971" s="24"/>
      <c r="AF971" s="8"/>
      <c r="AG971" s="8"/>
      <c r="AH971" s="8"/>
      <c r="AI971" s="8"/>
    </row>
    <row r="972" spans="1:35" ht="15.75" customHeight="1" x14ac:dyDescent="0.25">
      <c r="A972" s="8"/>
      <c r="B972" s="8"/>
      <c r="C972" s="8"/>
      <c r="D972" s="8"/>
      <c r="E972" s="50"/>
      <c r="F972" s="51"/>
      <c r="G972" s="51"/>
      <c r="H972" s="52"/>
      <c r="I972" s="52"/>
      <c r="J972" s="52"/>
      <c r="K972" s="52"/>
      <c r="L972" s="52"/>
      <c r="M972" s="48"/>
      <c r="N972" s="52"/>
      <c r="O972" s="22"/>
      <c r="P972" s="22"/>
      <c r="Q972" s="8"/>
      <c r="R972" s="8"/>
      <c r="S972" s="8"/>
      <c r="T972" s="8"/>
      <c r="U972" s="8"/>
      <c r="V972" s="8"/>
      <c r="W972" s="8"/>
      <c r="X972" s="8"/>
      <c r="Y972" s="8"/>
      <c r="Z972" s="8"/>
      <c r="AA972" s="8"/>
      <c r="AB972" s="8"/>
      <c r="AC972" s="8"/>
      <c r="AD972" s="24"/>
      <c r="AE972" s="24"/>
      <c r="AF972" s="8"/>
      <c r="AG972" s="8"/>
      <c r="AH972" s="8"/>
      <c r="AI972" s="8"/>
    </row>
    <row r="973" spans="1:35" ht="15.75" customHeight="1" x14ac:dyDescent="0.25">
      <c r="A973" s="8"/>
      <c r="B973" s="8"/>
      <c r="C973" s="8"/>
      <c r="D973" s="8"/>
      <c r="E973" s="50"/>
      <c r="F973" s="51"/>
      <c r="G973" s="51"/>
      <c r="H973" s="52"/>
      <c r="I973" s="52"/>
      <c r="J973" s="52"/>
      <c r="K973" s="52"/>
      <c r="L973" s="52"/>
      <c r="M973" s="48"/>
      <c r="N973" s="52"/>
      <c r="O973" s="22"/>
      <c r="P973" s="22"/>
      <c r="Q973" s="8"/>
      <c r="R973" s="8"/>
      <c r="S973" s="8"/>
      <c r="T973" s="8"/>
      <c r="U973" s="8"/>
      <c r="V973" s="8"/>
      <c r="W973" s="8"/>
      <c r="X973" s="8"/>
      <c r="Y973" s="8"/>
      <c r="Z973" s="8"/>
      <c r="AA973" s="8"/>
      <c r="AB973" s="8"/>
      <c r="AC973" s="8"/>
      <c r="AD973" s="24"/>
      <c r="AE973" s="24"/>
      <c r="AF973" s="8"/>
      <c r="AG973" s="8"/>
      <c r="AH973" s="8"/>
      <c r="AI973" s="8"/>
    </row>
    <row r="974" spans="1:35" ht="15.75" customHeight="1" x14ac:dyDescent="0.25">
      <c r="A974" s="8"/>
      <c r="B974" s="8"/>
      <c r="C974" s="8"/>
      <c r="D974" s="8"/>
      <c r="E974" s="50"/>
      <c r="F974" s="51"/>
      <c r="G974" s="51"/>
      <c r="H974" s="52"/>
      <c r="I974" s="52"/>
      <c r="J974" s="52"/>
      <c r="K974" s="52"/>
      <c r="L974" s="52"/>
      <c r="M974" s="52"/>
      <c r="N974" s="52"/>
      <c r="O974" s="22"/>
      <c r="P974" s="22"/>
      <c r="Q974" s="8"/>
      <c r="R974" s="8"/>
      <c r="S974" s="8"/>
      <c r="T974" s="8"/>
      <c r="U974" s="8"/>
      <c r="V974" s="8"/>
      <c r="W974" s="8"/>
      <c r="X974" s="8"/>
      <c r="Y974" s="8"/>
      <c r="Z974" s="8"/>
      <c r="AA974" s="8"/>
      <c r="AB974" s="8"/>
      <c r="AC974" s="8"/>
      <c r="AD974" s="24"/>
      <c r="AE974" s="24"/>
      <c r="AF974" s="8"/>
      <c r="AG974" s="8"/>
      <c r="AH974" s="8"/>
      <c r="AI974" s="8"/>
    </row>
    <row r="975" spans="1:35" ht="15.75" customHeight="1" x14ac:dyDescent="0.25">
      <c r="A975" s="8"/>
      <c r="B975" s="8"/>
      <c r="C975" s="8"/>
      <c r="D975" s="8"/>
      <c r="E975" s="50"/>
      <c r="F975" s="51"/>
      <c r="G975" s="51"/>
      <c r="H975" s="52"/>
      <c r="I975" s="52"/>
      <c r="J975" s="52"/>
      <c r="K975" s="52"/>
      <c r="L975" s="52"/>
      <c r="M975" s="49"/>
      <c r="N975" s="52"/>
      <c r="O975" s="22"/>
      <c r="P975" s="22"/>
      <c r="Q975" s="8"/>
      <c r="R975" s="8"/>
      <c r="S975" s="8"/>
      <c r="T975" s="8"/>
      <c r="U975" s="8"/>
      <c r="V975" s="8"/>
      <c r="W975" s="8"/>
      <c r="X975" s="8"/>
      <c r="Y975" s="8"/>
      <c r="Z975" s="8"/>
      <c r="AA975" s="8"/>
      <c r="AB975" s="8"/>
      <c r="AC975" s="8"/>
      <c r="AD975" s="24"/>
      <c r="AE975" s="24"/>
      <c r="AF975" s="8"/>
      <c r="AG975" s="8"/>
      <c r="AH975" s="8"/>
      <c r="AI975" s="8"/>
    </row>
    <row r="976" spans="1:35" ht="15.75" customHeight="1" x14ac:dyDescent="0.25">
      <c r="A976" s="8"/>
      <c r="B976" s="8"/>
      <c r="C976" s="8"/>
      <c r="D976" s="8"/>
      <c r="E976" s="50"/>
      <c r="F976" s="51"/>
      <c r="G976" s="51"/>
      <c r="H976" s="52"/>
      <c r="I976" s="52"/>
      <c r="J976" s="52"/>
      <c r="K976" s="52"/>
      <c r="L976" s="52"/>
      <c r="M976" s="49"/>
      <c r="N976" s="52"/>
      <c r="O976" s="22"/>
      <c r="P976" s="22"/>
      <c r="Q976" s="8"/>
      <c r="R976" s="8"/>
      <c r="S976" s="8"/>
      <c r="T976" s="8"/>
      <c r="U976" s="8"/>
      <c r="V976" s="8"/>
      <c r="W976" s="8"/>
      <c r="X976" s="8"/>
      <c r="Y976" s="8"/>
      <c r="Z976" s="8"/>
      <c r="AA976" s="8"/>
      <c r="AB976" s="8"/>
      <c r="AC976" s="8"/>
      <c r="AD976" s="24"/>
      <c r="AE976" s="24"/>
      <c r="AF976" s="8"/>
      <c r="AG976" s="8"/>
      <c r="AH976" s="8"/>
      <c r="AI976" s="8"/>
    </row>
    <row r="977" spans="1:35" ht="15.75" customHeight="1" x14ac:dyDescent="0.25">
      <c r="A977" s="8"/>
      <c r="B977" s="8"/>
      <c r="C977" s="8"/>
      <c r="D977" s="8"/>
      <c r="E977" s="50"/>
      <c r="F977" s="51"/>
      <c r="G977" s="51"/>
      <c r="H977" s="52"/>
      <c r="I977" s="52"/>
      <c r="J977" s="52"/>
      <c r="K977" s="52"/>
      <c r="L977" s="52"/>
      <c r="M977" s="48"/>
      <c r="N977" s="52"/>
      <c r="O977" s="22"/>
      <c r="P977" s="22"/>
      <c r="Q977" s="8"/>
      <c r="R977" s="8"/>
      <c r="S977" s="8"/>
      <c r="T977" s="8"/>
      <c r="U977" s="8"/>
      <c r="V977" s="8"/>
      <c r="W977" s="8"/>
      <c r="X977" s="8"/>
      <c r="Y977" s="8"/>
      <c r="Z977" s="8"/>
      <c r="AA977" s="8"/>
      <c r="AB977" s="8"/>
      <c r="AC977" s="8"/>
      <c r="AD977" s="24"/>
      <c r="AE977" s="24"/>
      <c r="AF977" s="8"/>
      <c r="AG977" s="8"/>
      <c r="AH977" s="8"/>
      <c r="AI977" s="8"/>
    </row>
    <row r="978" spans="1:35" ht="15.75" customHeight="1" x14ac:dyDescent="0.25">
      <c r="A978" s="8"/>
      <c r="B978" s="8"/>
      <c r="C978" s="8"/>
      <c r="D978" s="8"/>
      <c r="E978" s="50"/>
      <c r="F978" s="51"/>
      <c r="G978" s="51"/>
      <c r="H978" s="52"/>
      <c r="I978" s="52"/>
      <c r="J978" s="52"/>
      <c r="K978" s="52"/>
      <c r="L978" s="52"/>
      <c r="M978" s="49"/>
      <c r="N978" s="52"/>
      <c r="O978" s="22"/>
      <c r="P978" s="22"/>
      <c r="Q978" s="8"/>
      <c r="R978" s="8"/>
      <c r="S978" s="8"/>
      <c r="T978" s="8"/>
      <c r="U978" s="8"/>
      <c r="V978" s="8"/>
      <c r="W978" s="8"/>
      <c r="X978" s="8"/>
      <c r="Y978" s="8"/>
      <c r="Z978" s="8"/>
      <c r="AA978" s="8"/>
      <c r="AB978" s="8"/>
      <c r="AC978" s="8"/>
      <c r="AD978" s="24"/>
      <c r="AE978" s="24"/>
      <c r="AF978" s="8"/>
      <c r="AG978" s="8"/>
      <c r="AH978" s="8"/>
      <c r="AI978" s="8"/>
    </row>
    <row r="979" spans="1:35" ht="15.75" customHeight="1" x14ac:dyDescent="0.25">
      <c r="A979" s="8"/>
      <c r="B979" s="8"/>
      <c r="C979" s="8"/>
      <c r="D979" s="8"/>
      <c r="E979" s="50"/>
      <c r="F979" s="51"/>
      <c r="G979" s="51"/>
      <c r="H979" s="52"/>
      <c r="I979" s="52"/>
      <c r="J979" s="52"/>
      <c r="K979" s="52"/>
      <c r="L979" s="52"/>
      <c r="M979" s="48"/>
      <c r="N979" s="52"/>
      <c r="O979" s="22"/>
      <c r="P979" s="22"/>
      <c r="Q979" s="8"/>
      <c r="R979" s="8"/>
      <c r="S979" s="8"/>
      <c r="T979" s="8"/>
      <c r="U979" s="8"/>
      <c r="V979" s="8"/>
      <c r="W979" s="8"/>
      <c r="X979" s="8"/>
      <c r="Y979" s="8"/>
      <c r="Z979" s="8"/>
      <c r="AA979" s="8"/>
      <c r="AB979" s="8"/>
      <c r="AC979" s="8"/>
      <c r="AD979" s="24"/>
      <c r="AE979" s="24"/>
      <c r="AF979" s="8"/>
      <c r="AG979" s="8"/>
      <c r="AH979" s="8"/>
      <c r="AI979" s="8"/>
    </row>
    <row r="980" spans="1:35" ht="15.75" customHeight="1" x14ac:dyDescent="0.25">
      <c r="A980" s="8"/>
      <c r="B980" s="8"/>
      <c r="C980" s="8"/>
      <c r="D980" s="8"/>
      <c r="E980" s="50"/>
      <c r="F980" s="51"/>
      <c r="G980" s="51"/>
      <c r="H980" s="52"/>
      <c r="I980" s="52"/>
      <c r="J980" s="52"/>
      <c r="K980" s="52"/>
      <c r="L980" s="52"/>
      <c r="M980" s="49"/>
      <c r="N980" s="52"/>
      <c r="O980" s="22"/>
      <c r="P980" s="22"/>
      <c r="Q980" s="8"/>
      <c r="R980" s="8"/>
      <c r="S980" s="8"/>
      <c r="T980" s="8"/>
      <c r="U980" s="8"/>
      <c r="V980" s="8"/>
      <c r="W980" s="8"/>
      <c r="X980" s="8"/>
      <c r="Y980" s="8"/>
      <c r="Z980" s="8"/>
      <c r="AA980" s="8"/>
      <c r="AB980" s="8"/>
      <c r="AC980" s="8"/>
      <c r="AD980" s="24"/>
      <c r="AE980" s="24"/>
      <c r="AF980" s="8"/>
      <c r="AG980" s="8"/>
      <c r="AH980" s="8"/>
      <c r="AI980" s="8"/>
    </row>
    <row r="981" spans="1:35" ht="15.75" customHeight="1" x14ac:dyDescent="0.25">
      <c r="A981" s="8"/>
      <c r="B981" s="8"/>
      <c r="C981" s="8"/>
      <c r="D981" s="8"/>
      <c r="E981" s="50"/>
      <c r="F981" s="51"/>
      <c r="G981" s="51"/>
      <c r="H981" s="52"/>
      <c r="I981" s="52"/>
      <c r="J981" s="52"/>
      <c r="K981" s="52"/>
      <c r="L981" s="52"/>
      <c r="M981" s="49"/>
      <c r="N981" s="52"/>
      <c r="O981" s="22"/>
      <c r="P981" s="22"/>
      <c r="Q981" s="8"/>
      <c r="R981" s="8"/>
      <c r="S981" s="8"/>
      <c r="T981" s="8"/>
      <c r="U981" s="8"/>
      <c r="V981" s="8"/>
      <c r="W981" s="8"/>
      <c r="X981" s="8"/>
      <c r="Y981" s="8"/>
      <c r="Z981" s="8"/>
      <c r="AA981" s="8"/>
      <c r="AB981" s="8"/>
      <c r="AC981" s="8"/>
      <c r="AD981" s="24"/>
      <c r="AE981" s="24"/>
      <c r="AF981" s="8"/>
      <c r="AG981" s="8"/>
      <c r="AH981" s="8"/>
      <c r="AI981" s="8"/>
    </row>
    <row r="982" spans="1:35" ht="15.75" customHeight="1" x14ac:dyDescent="0.25">
      <c r="A982" s="8"/>
      <c r="B982" s="8"/>
      <c r="C982" s="8"/>
      <c r="D982" s="8"/>
      <c r="E982" s="50"/>
      <c r="F982" s="51"/>
      <c r="G982" s="51"/>
      <c r="H982" s="52"/>
      <c r="I982" s="52"/>
      <c r="J982" s="52"/>
      <c r="K982" s="52"/>
      <c r="L982" s="52"/>
      <c r="M982" s="48"/>
      <c r="N982" s="52"/>
      <c r="O982" s="22"/>
      <c r="P982" s="22"/>
      <c r="Q982" s="8"/>
      <c r="R982" s="8"/>
      <c r="S982" s="8"/>
      <c r="T982" s="8"/>
      <c r="U982" s="8"/>
      <c r="V982" s="8"/>
      <c r="W982" s="8"/>
      <c r="X982" s="8"/>
      <c r="Y982" s="8"/>
      <c r="Z982" s="8"/>
      <c r="AA982" s="8"/>
      <c r="AB982" s="8"/>
      <c r="AC982" s="8"/>
      <c r="AD982" s="24"/>
      <c r="AE982" s="24"/>
      <c r="AF982" s="8"/>
      <c r="AG982" s="8"/>
      <c r="AH982" s="8"/>
      <c r="AI982" s="8"/>
    </row>
    <row r="983" spans="1:35" ht="15.75" customHeight="1" x14ac:dyDescent="0.25">
      <c r="A983" s="8"/>
      <c r="B983" s="8"/>
      <c r="C983" s="8"/>
      <c r="D983" s="8"/>
      <c r="E983" s="50"/>
      <c r="F983" s="51"/>
      <c r="G983" s="51"/>
      <c r="H983" s="52"/>
      <c r="I983" s="52"/>
      <c r="J983" s="52"/>
      <c r="K983" s="52"/>
      <c r="L983" s="52"/>
      <c r="M983" s="48"/>
      <c r="N983" s="52"/>
      <c r="O983" s="22"/>
      <c r="P983" s="22"/>
      <c r="Q983" s="8"/>
      <c r="R983" s="8"/>
      <c r="S983" s="8"/>
      <c r="T983" s="8"/>
      <c r="U983" s="8"/>
      <c r="V983" s="8"/>
      <c r="W983" s="8"/>
      <c r="X983" s="8"/>
      <c r="Y983" s="8"/>
      <c r="Z983" s="8"/>
      <c r="AA983" s="8"/>
      <c r="AB983" s="8"/>
      <c r="AC983" s="8"/>
      <c r="AD983" s="24"/>
      <c r="AE983" s="24"/>
      <c r="AF983" s="8"/>
      <c r="AG983" s="8"/>
      <c r="AH983" s="8"/>
      <c r="AI983" s="8"/>
    </row>
    <row r="984" spans="1:35" ht="15.75" customHeight="1" x14ac:dyDescent="0.25">
      <c r="A984" s="8"/>
      <c r="B984" s="8"/>
      <c r="C984" s="8"/>
      <c r="D984" s="8"/>
      <c r="E984" s="50"/>
      <c r="F984" s="51"/>
      <c r="G984" s="51"/>
      <c r="H984" s="52"/>
      <c r="I984" s="52"/>
      <c r="J984" s="52"/>
      <c r="K984" s="52"/>
      <c r="L984" s="52"/>
      <c r="M984" s="48"/>
      <c r="N984" s="52"/>
      <c r="O984" s="22"/>
      <c r="P984" s="22"/>
      <c r="Q984" s="8"/>
      <c r="R984" s="8"/>
      <c r="S984" s="8"/>
      <c r="T984" s="8"/>
      <c r="U984" s="8"/>
      <c r="V984" s="8"/>
      <c r="W984" s="8"/>
      <c r="X984" s="8"/>
      <c r="Y984" s="8"/>
      <c r="Z984" s="8"/>
      <c r="AA984" s="8"/>
      <c r="AB984" s="8"/>
      <c r="AC984" s="8"/>
      <c r="AD984" s="24"/>
      <c r="AE984" s="24"/>
      <c r="AF984" s="8"/>
      <c r="AG984" s="8"/>
      <c r="AH984" s="8"/>
      <c r="AI984" s="8"/>
    </row>
    <row r="985" spans="1:35" ht="15.75" customHeight="1" x14ac:dyDescent="0.25">
      <c r="A985" s="8"/>
      <c r="B985" s="8"/>
      <c r="C985" s="8"/>
      <c r="D985" s="8"/>
      <c r="E985" s="50"/>
      <c r="F985" s="51"/>
      <c r="G985" s="51"/>
      <c r="H985" s="52"/>
      <c r="I985" s="52"/>
      <c r="J985" s="52"/>
      <c r="K985" s="52"/>
      <c r="L985" s="52"/>
      <c r="M985" s="52"/>
      <c r="N985" s="52"/>
      <c r="O985" s="22"/>
      <c r="P985" s="22"/>
      <c r="Q985" s="8"/>
      <c r="R985" s="8"/>
      <c r="S985" s="8"/>
      <c r="T985" s="8"/>
      <c r="U985" s="8"/>
      <c r="V985" s="8"/>
      <c r="W985" s="8"/>
      <c r="X985" s="8"/>
      <c r="Y985" s="8"/>
      <c r="Z985" s="8"/>
      <c r="AA985" s="8"/>
      <c r="AB985" s="8"/>
      <c r="AC985" s="8"/>
      <c r="AD985" s="24"/>
      <c r="AE985" s="24"/>
      <c r="AF985" s="8"/>
      <c r="AG985" s="8"/>
      <c r="AH985" s="8"/>
      <c r="AI985" s="8"/>
    </row>
    <row r="986" spans="1:35" ht="15.75" customHeight="1" x14ac:dyDescent="0.25">
      <c r="A986" s="8"/>
      <c r="B986" s="8"/>
      <c r="C986" s="8"/>
      <c r="D986" s="8"/>
      <c r="E986" s="50"/>
      <c r="F986" s="51"/>
      <c r="G986" s="51"/>
      <c r="H986" s="52"/>
      <c r="I986" s="52"/>
      <c r="J986" s="52"/>
      <c r="K986" s="52"/>
      <c r="L986" s="52"/>
      <c r="M986" s="48"/>
      <c r="N986" s="52"/>
      <c r="O986" s="22"/>
      <c r="P986" s="22"/>
      <c r="Q986" s="8"/>
      <c r="R986" s="8"/>
      <c r="S986" s="8"/>
      <c r="T986" s="8"/>
      <c r="U986" s="8"/>
      <c r="V986" s="8"/>
      <c r="W986" s="8"/>
      <c r="X986" s="8"/>
      <c r="Y986" s="8"/>
      <c r="Z986" s="8"/>
      <c r="AA986" s="8"/>
      <c r="AB986" s="8"/>
      <c r="AC986" s="8"/>
      <c r="AD986" s="24"/>
      <c r="AE986" s="24"/>
      <c r="AF986" s="8"/>
      <c r="AG986" s="8"/>
      <c r="AH986" s="8"/>
      <c r="AI986" s="8"/>
    </row>
    <row r="987" spans="1:35" ht="15.75" customHeight="1" x14ac:dyDescent="0.25">
      <c r="A987" s="8"/>
      <c r="B987" s="8"/>
      <c r="C987" s="8"/>
      <c r="D987" s="8"/>
      <c r="E987" s="50"/>
      <c r="F987" s="51"/>
      <c r="G987" s="51"/>
      <c r="H987" s="52"/>
      <c r="I987" s="52"/>
      <c r="J987" s="52"/>
      <c r="K987" s="52"/>
      <c r="L987" s="52"/>
      <c r="M987" s="48"/>
      <c r="N987" s="52"/>
      <c r="O987" s="22"/>
      <c r="P987" s="22"/>
      <c r="Q987" s="8"/>
      <c r="R987" s="8"/>
      <c r="S987" s="8"/>
      <c r="T987" s="8"/>
      <c r="U987" s="8"/>
      <c r="V987" s="8"/>
      <c r="W987" s="8"/>
      <c r="X987" s="8"/>
      <c r="Y987" s="8"/>
      <c r="Z987" s="8"/>
      <c r="AA987" s="8"/>
      <c r="AB987" s="8"/>
      <c r="AC987" s="8"/>
      <c r="AD987" s="24"/>
      <c r="AE987" s="24"/>
      <c r="AF987" s="8"/>
      <c r="AG987" s="8"/>
      <c r="AH987" s="8"/>
      <c r="AI987" s="8"/>
    </row>
    <row r="988" spans="1:35" ht="15.75" customHeight="1" x14ac:dyDescent="0.25">
      <c r="A988" s="8"/>
      <c r="B988" s="8"/>
      <c r="C988" s="8"/>
      <c r="D988" s="8"/>
      <c r="E988" s="50"/>
      <c r="F988" s="51"/>
      <c r="G988" s="51"/>
      <c r="H988" s="52"/>
      <c r="I988" s="52"/>
      <c r="J988" s="52"/>
      <c r="K988" s="52"/>
      <c r="L988" s="52"/>
      <c r="M988" s="52"/>
      <c r="N988" s="52"/>
      <c r="O988" s="22"/>
      <c r="P988" s="22"/>
      <c r="Q988" s="8"/>
      <c r="R988" s="8"/>
      <c r="S988" s="8"/>
      <c r="T988" s="8"/>
      <c r="U988" s="8"/>
      <c r="V988" s="8"/>
      <c r="W988" s="8"/>
      <c r="X988" s="8"/>
      <c r="Y988" s="8"/>
      <c r="Z988" s="8"/>
      <c r="AA988" s="8"/>
      <c r="AB988" s="8"/>
      <c r="AC988" s="8"/>
      <c r="AD988" s="24"/>
      <c r="AE988" s="24"/>
      <c r="AF988" s="8"/>
      <c r="AG988" s="8"/>
      <c r="AH988" s="8"/>
      <c r="AI988" s="8"/>
    </row>
    <row r="989" spans="1:35" ht="15.75" customHeight="1" x14ac:dyDescent="0.25">
      <c r="A989" s="8"/>
      <c r="B989" s="8"/>
      <c r="C989" s="8"/>
      <c r="D989" s="8"/>
      <c r="E989" s="50"/>
      <c r="F989" s="51"/>
      <c r="G989" s="51"/>
      <c r="H989" s="52"/>
      <c r="I989" s="52"/>
      <c r="J989" s="52"/>
      <c r="K989" s="52"/>
      <c r="L989" s="52"/>
      <c r="M989" s="49"/>
      <c r="N989" s="52"/>
      <c r="O989" s="22"/>
      <c r="P989" s="22"/>
      <c r="Q989" s="8"/>
      <c r="R989" s="8"/>
      <c r="S989" s="8"/>
      <c r="T989" s="8"/>
      <c r="U989" s="8"/>
      <c r="V989" s="8"/>
      <c r="W989" s="8"/>
      <c r="X989" s="8"/>
      <c r="Y989" s="8"/>
      <c r="Z989" s="8"/>
      <c r="AA989" s="8"/>
      <c r="AB989" s="8"/>
      <c r="AC989" s="8"/>
      <c r="AD989" s="24"/>
      <c r="AE989" s="24"/>
      <c r="AF989" s="8"/>
      <c r="AG989" s="8"/>
      <c r="AH989" s="8"/>
      <c r="AI989" s="8"/>
    </row>
    <row r="990" spans="1:35" ht="15.75" customHeight="1" x14ac:dyDescent="0.25">
      <c r="A990" s="8"/>
      <c r="B990" s="8"/>
      <c r="C990" s="8"/>
      <c r="D990" s="8"/>
      <c r="E990" s="50"/>
      <c r="F990" s="51"/>
      <c r="G990" s="51"/>
      <c r="H990" s="52"/>
      <c r="I990" s="52"/>
      <c r="J990" s="52"/>
      <c r="K990" s="52"/>
      <c r="L990" s="52"/>
      <c r="M990" s="49"/>
      <c r="N990" s="52"/>
      <c r="O990" s="22"/>
      <c r="P990" s="22"/>
      <c r="Q990" s="8"/>
      <c r="R990" s="8"/>
      <c r="S990" s="8"/>
      <c r="T990" s="8"/>
      <c r="U990" s="8"/>
      <c r="V990" s="8"/>
      <c r="W990" s="8"/>
      <c r="X990" s="8"/>
      <c r="Y990" s="8"/>
      <c r="Z990" s="8"/>
      <c r="AA990" s="8"/>
      <c r="AB990" s="8"/>
      <c r="AC990" s="8"/>
      <c r="AD990" s="24"/>
      <c r="AE990" s="24"/>
      <c r="AF990" s="8"/>
      <c r="AG990" s="8"/>
      <c r="AH990" s="8"/>
      <c r="AI990" s="8"/>
    </row>
    <row r="991" spans="1:35" ht="15.75" customHeight="1" x14ac:dyDescent="0.25">
      <c r="A991" s="8"/>
      <c r="B991" s="8"/>
      <c r="C991" s="8"/>
      <c r="D991" s="8"/>
      <c r="E991" s="50"/>
      <c r="F991" s="51"/>
      <c r="G991" s="51"/>
      <c r="H991" s="52"/>
      <c r="I991" s="52"/>
      <c r="J991" s="52"/>
      <c r="K991" s="52"/>
      <c r="L991" s="52"/>
      <c r="M991" s="52"/>
      <c r="N991" s="52"/>
      <c r="O991" s="22"/>
      <c r="P991" s="22"/>
      <c r="Q991" s="8"/>
      <c r="R991" s="8"/>
      <c r="S991" s="8"/>
      <c r="T991" s="8"/>
      <c r="U991" s="8"/>
      <c r="V991" s="8"/>
      <c r="W991" s="8"/>
      <c r="X991" s="8"/>
      <c r="Y991" s="8"/>
      <c r="Z991" s="8"/>
      <c r="AA991" s="8"/>
      <c r="AB991" s="8"/>
      <c r="AC991" s="8"/>
      <c r="AD991" s="24"/>
      <c r="AE991" s="24"/>
      <c r="AF991" s="8"/>
      <c r="AG991" s="8"/>
      <c r="AH991" s="8"/>
      <c r="AI991" s="8"/>
    </row>
    <row r="992" spans="1:35" ht="15.75" customHeight="1" x14ac:dyDescent="0.25">
      <c r="A992" s="8"/>
      <c r="B992" s="8"/>
      <c r="C992" s="8"/>
      <c r="D992" s="8"/>
      <c r="E992" s="50"/>
      <c r="F992" s="51"/>
      <c r="G992" s="51"/>
      <c r="H992" s="52"/>
      <c r="I992" s="52"/>
      <c r="J992" s="52"/>
      <c r="K992" s="52"/>
      <c r="L992" s="52"/>
      <c r="M992" s="52"/>
      <c r="N992" s="52"/>
      <c r="O992" s="22"/>
      <c r="P992" s="22"/>
      <c r="Q992" s="8"/>
      <c r="R992" s="8"/>
      <c r="S992" s="8"/>
      <c r="T992" s="8"/>
      <c r="U992" s="8"/>
      <c r="V992" s="8"/>
      <c r="W992" s="8"/>
      <c r="X992" s="8"/>
      <c r="Y992" s="8"/>
      <c r="Z992" s="8"/>
      <c r="AA992" s="8"/>
      <c r="AB992" s="8"/>
      <c r="AC992" s="8"/>
      <c r="AD992" s="24"/>
      <c r="AE992" s="24"/>
      <c r="AF992" s="8"/>
      <c r="AG992" s="8"/>
      <c r="AH992" s="8"/>
      <c r="AI992" s="8"/>
    </row>
    <row r="993" spans="1:35" ht="15.75" customHeight="1" x14ac:dyDescent="0.25">
      <c r="A993" s="8"/>
      <c r="B993" s="8"/>
      <c r="C993" s="8"/>
      <c r="D993" s="8"/>
      <c r="E993" s="50"/>
      <c r="F993" s="51"/>
      <c r="G993" s="51"/>
      <c r="H993" s="52"/>
      <c r="I993" s="52"/>
      <c r="J993" s="52"/>
      <c r="K993" s="52"/>
      <c r="L993" s="52"/>
      <c r="M993" s="48"/>
      <c r="N993" s="52"/>
      <c r="O993" s="22"/>
      <c r="P993" s="22"/>
      <c r="Q993" s="8"/>
      <c r="R993" s="8"/>
      <c r="S993" s="8"/>
      <c r="T993" s="8"/>
      <c r="U993" s="8"/>
      <c r="V993" s="8"/>
      <c r="W993" s="8"/>
      <c r="X993" s="8"/>
      <c r="Y993" s="8"/>
      <c r="Z993" s="8"/>
      <c r="AA993" s="8"/>
      <c r="AB993" s="8"/>
      <c r="AC993" s="8"/>
      <c r="AD993" s="24"/>
      <c r="AE993" s="24"/>
      <c r="AF993" s="8"/>
      <c r="AG993" s="8"/>
      <c r="AH993" s="8"/>
      <c r="AI993" s="8"/>
    </row>
    <row r="994" spans="1:35" ht="15.75" customHeight="1" x14ac:dyDescent="0.25">
      <c r="A994" s="8"/>
      <c r="B994" s="8"/>
      <c r="C994" s="8"/>
      <c r="D994" s="8"/>
      <c r="E994" s="50"/>
      <c r="F994" s="51"/>
      <c r="G994" s="51"/>
      <c r="H994" s="52"/>
      <c r="I994" s="52"/>
      <c r="J994" s="52"/>
      <c r="K994" s="52"/>
      <c r="L994" s="52"/>
      <c r="M994" s="48"/>
      <c r="N994" s="52"/>
      <c r="O994" s="22"/>
      <c r="P994" s="22"/>
      <c r="Q994" s="8"/>
      <c r="R994" s="8"/>
      <c r="S994" s="8"/>
      <c r="T994" s="8"/>
      <c r="U994" s="8"/>
      <c r="V994" s="8"/>
      <c r="W994" s="8"/>
      <c r="X994" s="8"/>
      <c r="Y994" s="8"/>
      <c r="Z994" s="8"/>
      <c r="AA994" s="8"/>
      <c r="AB994" s="8"/>
      <c r="AC994" s="8"/>
      <c r="AD994" s="24"/>
      <c r="AE994" s="24"/>
      <c r="AF994" s="8"/>
      <c r="AG994" s="8"/>
      <c r="AH994" s="8"/>
      <c r="AI994" s="8"/>
    </row>
    <row r="995" spans="1:35" ht="15.75" customHeight="1" x14ac:dyDescent="0.25">
      <c r="A995" s="8"/>
      <c r="B995" s="8"/>
      <c r="C995" s="8"/>
      <c r="D995" s="8"/>
      <c r="E995" s="50"/>
      <c r="F995" s="51"/>
      <c r="G995" s="51"/>
      <c r="H995" s="52"/>
      <c r="I995" s="52"/>
      <c r="J995" s="52"/>
      <c r="K995" s="52"/>
      <c r="L995" s="52"/>
      <c r="M995" s="52"/>
      <c r="N995" s="52"/>
      <c r="O995" s="22"/>
      <c r="P995" s="22"/>
      <c r="Q995" s="8"/>
      <c r="R995" s="8"/>
      <c r="S995" s="8"/>
      <c r="T995" s="8"/>
      <c r="U995" s="8"/>
      <c r="V995" s="8"/>
      <c r="W995" s="8"/>
      <c r="X995" s="8"/>
      <c r="Y995" s="8"/>
      <c r="Z995" s="8"/>
      <c r="AA995" s="8"/>
      <c r="AB995" s="8"/>
      <c r="AC995" s="8"/>
      <c r="AD995" s="24"/>
      <c r="AE995" s="24"/>
      <c r="AF995" s="8"/>
      <c r="AG995" s="8"/>
      <c r="AH995" s="8"/>
      <c r="AI995" s="8"/>
    </row>
    <row r="996" spans="1:35" ht="15.75" customHeight="1" x14ac:dyDescent="0.25">
      <c r="A996" s="8"/>
      <c r="B996" s="8"/>
      <c r="C996" s="8"/>
      <c r="D996" s="8"/>
      <c r="E996" s="50"/>
      <c r="F996" s="51"/>
      <c r="G996" s="51"/>
      <c r="H996" s="52"/>
      <c r="I996" s="52"/>
      <c r="J996" s="52"/>
      <c r="K996" s="52"/>
      <c r="L996" s="52"/>
      <c r="M996" s="52"/>
      <c r="N996" s="52"/>
      <c r="O996" s="22"/>
      <c r="P996" s="22"/>
      <c r="Q996" s="8"/>
      <c r="R996" s="8"/>
      <c r="S996" s="8"/>
      <c r="T996" s="8"/>
      <c r="U996" s="8"/>
      <c r="V996" s="8"/>
      <c r="W996" s="8"/>
      <c r="X996" s="8"/>
      <c r="Y996" s="8"/>
      <c r="Z996" s="8"/>
      <c r="AA996" s="8"/>
      <c r="AB996" s="8"/>
      <c r="AC996" s="8"/>
      <c r="AD996" s="24"/>
      <c r="AE996" s="24"/>
      <c r="AF996" s="8"/>
      <c r="AG996" s="8"/>
      <c r="AH996" s="8"/>
      <c r="AI996" s="8"/>
    </row>
    <row r="997" spans="1:35" ht="15.75" customHeight="1" x14ac:dyDescent="0.25">
      <c r="A997" s="8"/>
      <c r="B997" s="8"/>
      <c r="C997" s="8"/>
      <c r="D997" s="8"/>
      <c r="E997" s="50"/>
      <c r="F997" s="51"/>
      <c r="G997" s="51"/>
      <c r="H997" s="52"/>
      <c r="I997" s="52"/>
      <c r="J997" s="52"/>
      <c r="K997" s="52"/>
      <c r="L997" s="52"/>
      <c r="M997" s="48"/>
      <c r="N997" s="52"/>
      <c r="O997" s="22"/>
      <c r="P997" s="22"/>
      <c r="Q997" s="8"/>
      <c r="R997" s="8"/>
      <c r="S997" s="8"/>
      <c r="T997" s="8"/>
      <c r="U997" s="8"/>
      <c r="V997" s="8"/>
      <c r="W997" s="8"/>
      <c r="X997" s="8"/>
      <c r="Y997" s="8"/>
      <c r="Z997" s="8"/>
      <c r="AA997" s="8"/>
      <c r="AB997" s="8"/>
      <c r="AC997" s="8"/>
      <c r="AD997" s="24"/>
      <c r="AE997" s="24"/>
      <c r="AF997" s="8"/>
      <c r="AG997" s="8"/>
      <c r="AH997" s="8"/>
      <c r="AI997" s="8"/>
    </row>
    <row r="998" spans="1:35" ht="15.75" customHeight="1" x14ac:dyDescent="0.25">
      <c r="A998" s="8"/>
      <c r="B998" s="8"/>
      <c r="C998" s="8"/>
      <c r="D998" s="8"/>
      <c r="E998" s="50"/>
      <c r="F998" s="51"/>
      <c r="G998" s="51"/>
      <c r="H998" s="52"/>
      <c r="I998" s="52"/>
      <c r="J998" s="52"/>
      <c r="K998" s="52"/>
      <c r="L998" s="52"/>
      <c r="M998" s="48"/>
      <c r="N998" s="52"/>
      <c r="O998" s="22"/>
      <c r="P998" s="22"/>
      <c r="Q998" s="8"/>
      <c r="R998" s="8"/>
      <c r="S998" s="8"/>
      <c r="T998" s="8"/>
      <c r="U998" s="8"/>
      <c r="V998" s="8"/>
      <c r="W998" s="8"/>
      <c r="X998" s="8"/>
      <c r="Y998" s="8"/>
      <c r="Z998" s="8"/>
      <c r="AA998" s="8"/>
      <c r="AB998" s="8"/>
      <c r="AC998" s="8"/>
      <c r="AD998" s="24"/>
      <c r="AE998" s="24"/>
      <c r="AF998" s="8"/>
      <c r="AG998" s="8"/>
      <c r="AH998" s="8"/>
      <c r="AI998" s="8"/>
    </row>
    <row r="999" spans="1:35" ht="15.75" customHeight="1" x14ac:dyDescent="0.25">
      <c r="A999" s="8"/>
      <c r="B999" s="8"/>
      <c r="C999" s="8"/>
      <c r="D999" s="8"/>
      <c r="E999" s="50"/>
      <c r="F999" s="51"/>
      <c r="G999" s="51"/>
      <c r="H999" s="52"/>
      <c r="I999" s="52"/>
      <c r="J999" s="52"/>
      <c r="K999" s="52"/>
      <c r="L999" s="52"/>
      <c r="M999" s="48"/>
      <c r="N999" s="52"/>
      <c r="O999" s="22"/>
      <c r="P999" s="22"/>
      <c r="Q999" s="8"/>
      <c r="R999" s="8"/>
      <c r="S999" s="8"/>
      <c r="T999" s="8"/>
      <c r="U999" s="8"/>
      <c r="V999" s="8"/>
      <c r="W999" s="8"/>
      <c r="X999" s="8"/>
      <c r="Y999" s="8"/>
      <c r="Z999" s="8"/>
      <c r="AA999" s="8"/>
      <c r="AB999" s="8"/>
      <c r="AC999" s="8"/>
      <c r="AD999" s="24"/>
      <c r="AE999" s="24"/>
      <c r="AF999" s="8"/>
      <c r="AG999" s="8"/>
      <c r="AH999" s="8"/>
      <c r="AI999" s="8"/>
    </row>
    <row r="1000" spans="1:35" ht="15.75" customHeight="1" x14ac:dyDescent="0.25">
      <c r="A1000" s="8"/>
      <c r="B1000" s="8"/>
      <c r="C1000" s="8"/>
      <c r="D1000" s="8"/>
      <c r="E1000" s="50"/>
      <c r="F1000" s="51"/>
      <c r="G1000" s="51"/>
      <c r="H1000" s="52"/>
      <c r="I1000" s="52"/>
      <c r="J1000" s="52"/>
      <c r="K1000" s="52"/>
      <c r="L1000" s="52"/>
      <c r="M1000" s="48"/>
      <c r="N1000" s="52"/>
      <c r="O1000" s="22"/>
      <c r="P1000" s="22"/>
      <c r="Q1000" s="8"/>
      <c r="R1000" s="8"/>
      <c r="S1000" s="8"/>
      <c r="T1000" s="8"/>
      <c r="U1000" s="8"/>
      <c r="V1000" s="8"/>
      <c r="W1000" s="8"/>
      <c r="X1000" s="8"/>
      <c r="Y1000" s="8"/>
      <c r="Z1000" s="8"/>
      <c r="AA1000" s="8"/>
      <c r="AB1000" s="8"/>
      <c r="AC1000" s="8"/>
      <c r="AD1000" s="24"/>
      <c r="AE1000" s="24"/>
      <c r="AF1000" s="8"/>
      <c r="AG1000" s="8"/>
      <c r="AH1000" s="8"/>
      <c r="AI1000" s="8"/>
    </row>
    <row r="1001" spans="1:35" ht="15.75" customHeight="1" x14ac:dyDescent="0.25">
      <c r="A1001" s="8"/>
      <c r="B1001" s="8"/>
      <c r="C1001" s="8"/>
      <c r="D1001" s="8"/>
      <c r="E1001" s="50"/>
      <c r="F1001" s="51"/>
      <c r="G1001" s="51"/>
      <c r="H1001" s="52"/>
      <c r="I1001" s="52"/>
      <c r="J1001" s="52"/>
      <c r="K1001" s="52"/>
      <c r="L1001" s="52"/>
      <c r="M1001" s="49"/>
      <c r="N1001" s="52"/>
      <c r="O1001" s="22"/>
      <c r="P1001" s="22"/>
      <c r="Q1001" s="8"/>
      <c r="R1001" s="8"/>
      <c r="S1001" s="8"/>
      <c r="T1001" s="8"/>
      <c r="U1001" s="8"/>
      <c r="V1001" s="8"/>
      <c r="W1001" s="8"/>
      <c r="X1001" s="8"/>
      <c r="Y1001" s="8"/>
      <c r="Z1001" s="8"/>
      <c r="AA1001" s="8"/>
      <c r="AB1001" s="8"/>
      <c r="AC1001" s="8"/>
      <c r="AD1001" s="24"/>
      <c r="AE1001" s="24"/>
      <c r="AF1001" s="8"/>
      <c r="AG1001" s="8"/>
      <c r="AH1001" s="8"/>
      <c r="AI1001" s="8"/>
    </row>
    <row r="1002" spans="1:35" ht="15.75" customHeight="1" x14ac:dyDescent="0.25">
      <c r="A1002" s="8"/>
      <c r="B1002" s="8"/>
      <c r="C1002" s="8"/>
      <c r="D1002" s="8"/>
      <c r="E1002" s="50"/>
      <c r="F1002" s="51"/>
      <c r="G1002" s="51"/>
      <c r="H1002" s="52"/>
      <c r="I1002" s="52"/>
      <c r="J1002" s="52"/>
      <c r="K1002" s="52"/>
      <c r="L1002" s="52"/>
      <c r="M1002" s="49"/>
      <c r="N1002" s="52"/>
      <c r="O1002" s="22"/>
      <c r="P1002" s="22"/>
      <c r="Q1002" s="8"/>
      <c r="R1002" s="8"/>
      <c r="S1002" s="8"/>
      <c r="T1002" s="8"/>
      <c r="U1002" s="8"/>
      <c r="V1002" s="8"/>
      <c r="W1002" s="8"/>
      <c r="X1002" s="8"/>
      <c r="Y1002" s="8"/>
      <c r="Z1002" s="8"/>
      <c r="AA1002" s="8"/>
      <c r="AB1002" s="8"/>
      <c r="AC1002" s="8"/>
      <c r="AD1002" s="24"/>
      <c r="AE1002" s="24"/>
      <c r="AF1002" s="8"/>
      <c r="AG1002" s="8"/>
      <c r="AH1002" s="8"/>
      <c r="AI1002" s="8"/>
    </row>
    <row r="1003" spans="1:35" ht="15.75" customHeight="1" x14ac:dyDescent="0.25">
      <c r="A1003" s="8"/>
      <c r="B1003" s="8"/>
      <c r="C1003" s="8"/>
      <c r="D1003" s="8"/>
      <c r="E1003" s="50"/>
      <c r="F1003" s="51"/>
      <c r="G1003" s="51"/>
      <c r="H1003" s="52"/>
      <c r="I1003" s="52"/>
      <c r="J1003" s="52"/>
      <c r="K1003" s="52"/>
      <c r="L1003" s="52"/>
      <c r="M1003" s="49"/>
      <c r="N1003" s="52"/>
      <c r="O1003" s="22"/>
      <c r="P1003" s="22"/>
      <c r="Q1003" s="8"/>
      <c r="R1003" s="8"/>
      <c r="S1003" s="8"/>
      <c r="T1003" s="8"/>
      <c r="U1003" s="8"/>
      <c r="V1003" s="8"/>
      <c r="W1003" s="8"/>
      <c r="X1003" s="8"/>
      <c r="Y1003" s="8"/>
      <c r="Z1003" s="8"/>
      <c r="AA1003" s="8"/>
      <c r="AB1003" s="8"/>
      <c r="AC1003" s="8"/>
      <c r="AD1003" s="24"/>
      <c r="AE1003" s="24"/>
      <c r="AF1003" s="8"/>
      <c r="AG1003" s="8"/>
      <c r="AH1003" s="8"/>
      <c r="AI1003" s="8"/>
    </row>
    <row r="1004" spans="1:35" ht="15.75" customHeight="1" x14ac:dyDescent="0.25">
      <c r="A1004" s="8"/>
      <c r="B1004" s="8"/>
      <c r="C1004" s="8"/>
      <c r="D1004" s="8"/>
      <c r="E1004" s="50"/>
      <c r="F1004" s="51"/>
      <c r="G1004" s="51"/>
      <c r="H1004" s="52"/>
      <c r="I1004" s="52"/>
      <c r="J1004" s="52"/>
      <c r="K1004" s="52"/>
      <c r="L1004" s="52"/>
      <c r="M1004" s="52"/>
      <c r="N1004" s="52"/>
      <c r="O1004" s="22"/>
      <c r="P1004" s="22"/>
      <c r="Q1004" s="8"/>
      <c r="R1004" s="8"/>
      <c r="S1004" s="8"/>
      <c r="T1004" s="8"/>
      <c r="U1004" s="8"/>
      <c r="V1004" s="8"/>
      <c r="W1004" s="8"/>
      <c r="X1004" s="8"/>
      <c r="Y1004" s="8"/>
      <c r="Z1004" s="8"/>
      <c r="AA1004" s="8"/>
      <c r="AB1004" s="8"/>
      <c r="AC1004" s="8"/>
      <c r="AD1004" s="24"/>
      <c r="AE1004" s="24"/>
      <c r="AF1004" s="8"/>
      <c r="AG1004" s="8"/>
      <c r="AH1004" s="8"/>
      <c r="AI1004" s="8"/>
    </row>
    <row r="1005" spans="1:35" ht="15.75" customHeight="1" x14ac:dyDescent="0.25">
      <c r="A1005" s="8"/>
      <c r="B1005" s="8"/>
      <c r="C1005" s="8"/>
      <c r="D1005" s="8"/>
      <c r="E1005" s="50"/>
      <c r="F1005" s="51"/>
      <c r="G1005" s="51"/>
      <c r="H1005" s="52"/>
      <c r="I1005" s="52"/>
      <c r="J1005" s="52"/>
      <c r="K1005" s="52"/>
      <c r="L1005" s="52"/>
      <c r="M1005" s="48"/>
      <c r="N1005" s="52"/>
      <c r="O1005" s="22"/>
      <c r="P1005" s="22"/>
      <c r="Q1005" s="8"/>
      <c r="R1005" s="8"/>
      <c r="S1005" s="8"/>
      <c r="T1005" s="8"/>
      <c r="U1005" s="8"/>
      <c r="V1005" s="8"/>
      <c r="W1005" s="8"/>
      <c r="X1005" s="8"/>
      <c r="Y1005" s="8"/>
      <c r="Z1005" s="8"/>
      <c r="AA1005" s="8"/>
      <c r="AB1005" s="8"/>
      <c r="AC1005" s="8"/>
      <c r="AD1005" s="24"/>
      <c r="AE1005" s="24"/>
      <c r="AF1005" s="8"/>
      <c r="AG1005" s="8"/>
      <c r="AH1005" s="8"/>
      <c r="AI1005" s="8"/>
    </row>
    <row r="1006" spans="1:35" ht="15.75" customHeight="1" x14ac:dyDescent="0.25">
      <c r="A1006" s="8"/>
      <c r="B1006" s="8"/>
      <c r="C1006" s="8"/>
      <c r="D1006" s="8"/>
      <c r="E1006" s="50"/>
      <c r="F1006" s="51"/>
      <c r="G1006" s="51"/>
      <c r="H1006" s="52"/>
      <c r="I1006" s="52"/>
      <c r="J1006" s="52"/>
      <c r="K1006" s="52"/>
      <c r="L1006" s="52"/>
      <c r="M1006" s="48"/>
      <c r="N1006" s="52"/>
      <c r="O1006" s="22"/>
      <c r="P1006" s="22"/>
      <c r="Q1006" s="8"/>
      <c r="R1006" s="8"/>
      <c r="S1006" s="8"/>
      <c r="T1006" s="8"/>
      <c r="U1006" s="8"/>
      <c r="V1006" s="8"/>
      <c r="W1006" s="8"/>
      <c r="X1006" s="8"/>
      <c r="Y1006" s="8"/>
      <c r="Z1006" s="8"/>
      <c r="AA1006" s="8"/>
      <c r="AB1006" s="8"/>
      <c r="AC1006" s="8"/>
      <c r="AD1006" s="24"/>
      <c r="AE1006" s="24"/>
      <c r="AF1006" s="8"/>
      <c r="AG1006" s="8"/>
      <c r="AH1006" s="8"/>
      <c r="AI1006" s="8"/>
    </row>
    <row r="1007" spans="1:35" ht="15.75" customHeight="1" x14ac:dyDescent="0.25">
      <c r="A1007" s="8"/>
      <c r="B1007" s="8"/>
      <c r="C1007" s="8"/>
      <c r="D1007" s="8"/>
      <c r="E1007" s="50"/>
      <c r="F1007" s="51"/>
      <c r="G1007" s="51"/>
      <c r="H1007" s="52"/>
      <c r="I1007" s="52"/>
      <c r="J1007" s="52"/>
      <c r="K1007" s="52"/>
      <c r="L1007" s="52"/>
      <c r="M1007" s="48"/>
      <c r="N1007" s="52"/>
      <c r="O1007" s="22"/>
      <c r="P1007" s="22"/>
      <c r="Q1007" s="8"/>
      <c r="R1007" s="8"/>
      <c r="S1007" s="8"/>
      <c r="T1007" s="8"/>
      <c r="U1007" s="8"/>
      <c r="V1007" s="8"/>
      <c r="W1007" s="8"/>
      <c r="X1007" s="8"/>
      <c r="Y1007" s="8"/>
      <c r="Z1007" s="8"/>
      <c r="AA1007" s="8"/>
      <c r="AB1007" s="8"/>
      <c r="AC1007" s="8"/>
      <c r="AD1007" s="24"/>
      <c r="AE1007" s="24"/>
      <c r="AF1007" s="8"/>
      <c r="AG1007" s="8"/>
      <c r="AH1007" s="8"/>
      <c r="AI1007" s="8"/>
    </row>
    <row r="1008" spans="1:35" ht="15.75" customHeight="1" x14ac:dyDescent="0.25">
      <c r="A1008" s="8"/>
      <c r="B1008" s="8"/>
      <c r="C1008" s="8"/>
      <c r="D1008" s="8"/>
      <c r="E1008" s="50"/>
      <c r="F1008" s="51"/>
      <c r="G1008" s="51"/>
      <c r="H1008" s="52"/>
      <c r="I1008" s="52"/>
      <c r="J1008" s="52"/>
      <c r="K1008" s="52"/>
      <c r="L1008" s="52"/>
      <c r="M1008" s="48"/>
      <c r="N1008" s="52"/>
      <c r="O1008" s="22"/>
      <c r="P1008" s="22"/>
      <c r="Q1008" s="8"/>
      <c r="R1008" s="8"/>
      <c r="S1008" s="8"/>
      <c r="T1008" s="8"/>
      <c r="U1008" s="8"/>
      <c r="V1008" s="8"/>
      <c r="W1008" s="8"/>
      <c r="X1008" s="8"/>
      <c r="Y1008" s="8"/>
      <c r="Z1008" s="8"/>
      <c r="AA1008" s="8"/>
      <c r="AB1008" s="8"/>
      <c r="AC1008" s="8"/>
      <c r="AD1008" s="24"/>
      <c r="AE1008" s="24"/>
      <c r="AF1008" s="8"/>
      <c r="AG1008" s="8"/>
      <c r="AH1008" s="8"/>
      <c r="AI1008" s="8"/>
    </row>
    <row r="1009" spans="1:35" ht="15.75" customHeight="1" x14ac:dyDescent="0.25">
      <c r="A1009" s="8"/>
      <c r="B1009" s="8"/>
      <c r="C1009" s="8"/>
      <c r="D1009" s="8"/>
      <c r="E1009" s="50"/>
      <c r="F1009" s="51"/>
      <c r="G1009" s="51"/>
      <c r="H1009" s="52"/>
      <c r="I1009" s="52"/>
      <c r="J1009" s="52"/>
      <c r="K1009" s="52"/>
      <c r="L1009" s="52"/>
      <c r="M1009" s="48"/>
      <c r="N1009" s="52"/>
      <c r="O1009" s="22"/>
      <c r="P1009" s="22"/>
      <c r="Q1009" s="8"/>
      <c r="R1009" s="8"/>
      <c r="S1009" s="8"/>
      <c r="T1009" s="8"/>
      <c r="U1009" s="8"/>
      <c r="V1009" s="8"/>
      <c r="W1009" s="8"/>
      <c r="X1009" s="8"/>
      <c r="Y1009" s="8"/>
      <c r="Z1009" s="8"/>
      <c r="AA1009" s="8"/>
      <c r="AB1009" s="8"/>
      <c r="AC1009" s="8"/>
      <c r="AD1009" s="24"/>
      <c r="AE1009" s="24"/>
      <c r="AF1009" s="8"/>
      <c r="AG1009" s="8"/>
      <c r="AH1009" s="8"/>
      <c r="AI1009" s="8"/>
    </row>
    <row r="1010" spans="1:35" ht="15.75" customHeight="1" x14ac:dyDescent="0.25">
      <c r="A1010" s="8"/>
      <c r="B1010" s="8"/>
      <c r="C1010" s="8"/>
      <c r="D1010" s="8"/>
      <c r="E1010" s="50"/>
      <c r="F1010" s="51"/>
      <c r="G1010" s="51"/>
      <c r="H1010" s="52"/>
      <c r="I1010" s="52"/>
      <c r="J1010" s="52"/>
      <c r="K1010" s="52"/>
      <c r="L1010" s="52"/>
      <c r="M1010" s="48"/>
      <c r="N1010" s="52"/>
      <c r="O1010" s="22"/>
      <c r="P1010" s="22"/>
      <c r="Q1010" s="8"/>
      <c r="R1010" s="8"/>
      <c r="S1010" s="8"/>
      <c r="T1010" s="8"/>
      <c r="U1010" s="8"/>
      <c r="V1010" s="8"/>
      <c r="W1010" s="8"/>
      <c r="X1010" s="8"/>
      <c r="Y1010" s="8"/>
      <c r="Z1010" s="8"/>
      <c r="AA1010" s="8"/>
      <c r="AB1010" s="8"/>
      <c r="AC1010" s="8"/>
      <c r="AD1010" s="24"/>
      <c r="AE1010" s="24"/>
      <c r="AF1010" s="8"/>
      <c r="AG1010" s="8"/>
      <c r="AH1010" s="8"/>
      <c r="AI1010" s="8"/>
    </row>
    <row r="1011" spans="1:35" ht="15.75" customHeight="1" x14ac:dyDescent="0.25">
      <c r="A1011" s="8"/>
      <c r="B1011" s="8"/>
      <c r="C1011" s="8"/>
      <c r="D1011" s="8"/>
      <c r="E1011" s="50"/>
      <c r="F1011" s="51"/>
      <c r="G1011" s="51"/>
      <c r="H1011" s="52"/>
      <c r="I1011" s="52"/>
      <c r="J1011" s="52"/>
      <c r="K1011" s="52"/>
      <c r="L1011" s="52"/>
      <c r="M1011" s="48"/>
      <c r="N1011" s="52"/>
      <c r="O1011" s="22"/>
      <c r="P1011" s="22"/>
      <c r="Q1011" s="8"/>
      <c r="R1011" s="8"/>
      <c r="S1011" s="8"/>
      <c r="T1011" s="8"/>
      <c r="U1011" s="8"/>
      <c r="V1011" s="8"/>
      <c r="W1011" s="8"/>
      <c r="X1011" s="8"/>
      <c r="Y1011" s="8"/>
      <c r="Z1011" s="8"/>
      <c r="AA1011" s="8"/>
      <c r="AB1011" s="8"/>
      <c r="AC1011" s="8"/>
      <c r="AD1011" s="24"/>
      <c r="AE1011" s="24"/>
      <c r="AF1011" s="8"/>
      <c r="AG1011" s="8"/>
      <c r="AH1011" s="8"/>
      <c r="AI1011" s="8"/>
    </row>
    <row r="1012" spans="1:35" ht="15.75" customHeight="1" x14ac:dyDescent="0.25">
      <c r="A1012" s="8"/>
      <c r="B1012" s="8"/>
      <c r="C1012" s="8"/>
      <c r="D1012" s="8"/>
      <c r="E1012" s="50"/>
      <c r="F1012" s="51"/>
      <c r="G1012" s="51"/>
      <c r="H1012" s="52"/>
      <c r="I1012" s="52"/>
      <c r="J1012" s="52"/>
      <c r="K1012" s="52"/>
      <c r="L1012" s="52"/>
      <c r="M1012" s="52"/>
      <c r="N1012" s="52"/>
      <c r="O1012" s="22"/>
      <c r="P1012" s="22"/>
      <c r="Q1012" s="8"/>
      <c r="R1012" s="8"/>
      <c r="S1012" s="8"/>
      <c r="T1012" s="8"/>
      <c r="U1012" s="8"/>
      <c r="V1012" s="8"/>
      <c r="W1012" s="8"/>
      <c r="X1012" s="8"/>
      <c r="Y1012" s="8"/>
      <c r="Z1012" s="8"/>
      <c r="AA1012" s="8"/>
      <c r="AB1012" s="8"/>
      <c r="AC1012" s="8"/>
      <c r="AD1012" s="24"/>
      <c r="AE1012" s="24"/>
      <c r="AF1012" s="8"/>
      <c r="AG1012" s="8"/>
      <c r="AH1012" s="8"/>
      <c r="AI1012" s="8"/>
    </row>
    <row r="1013" spans="1:35" ht="15.75" customHeight="1" x14ac:dyDescent="0.25">
      <c r="A1013" s="8"/>
      <c r="B1013" s="8"/>
      <c r="C1013" s="8"/>
      <c r="D1013" s="8"/>
      <c r="E1013" s="50"/>
      <c r="F1013" s="51"/>
      <c r="G1013" s="51"/>
      <c r="H1013" s="52"/>
      <c r="I1013" s="52"/>
      <c r="J1013" s="52"/>
      <c r="K1013" s="52"/>
      <c r="L1013" s="52"/>
      <c r="M1013" s="48"/>
      <c r="N1013" s="52"/>
      <c r="O1013" s="22"/>
      <c r="P1013" s="22"/>
      <c r="Q1013" s="8"/>
      <c r="R1013" s="8"/>
      <c r="S1013" s="8"/>
      <c r="T1013" s="8"/>
      <c r="U1013" s="8"/>
      <c r="V1013" s="8"/>
      <c r="W1013" s="8"/>
      <c r="X1013" s="8"/>
      <c r="Y1013" s="8"/>
      <c r="Z1013" s="8"/>
      <c r="AA1013" s="8"/>
      <c r="AB1013" s="8"/>
      <c r="AC1013" s="8"/>
      <c r="AD1013" s="24"/>
      <c r="AE1013" s="24"/>
      <c r="AF1013" s="8"/>
      <c r="AG1013" s="8"/>
      <c r="AH1013" s="8"/>
      <c r="AI1013" s="8"/>
    </row>
    <row r="1014" spans="1:35" ht="15.75" customHeight="1" x14ac:dyDescent="0.25">
      <c r="A1014" s="8"/>
      <c r="B1014" s="8"/>
      <c r="C1014" s="8"/>
      <c r="D1014" s="8"/>
      <c r="E1014" s="50"/>
      <c r="F1014" s="51"/>
      <c r="G1014" s="51"/>
      <c r="H1014" s="52"/>
      <c r="I1014" s="52"/>
      <c r="J1014" s="52"/>
      <c r="K1014" s="52"/>
      <c r="L1014" s="52"/>
      <c r="M1014" s="48"/>
      <c r="N1014" s="52"/>
      <c r="O1014" s="22"/>
      <c r="P1014" s="22"/>
      <c r="Q1014" s="8"/>
      <c r="R1014" s="8"/>
      <c r="S1014" s="8"/>
      <c r="T1014" s="8"/>
      <c r="U1014" s="8"/>
      <c r="V1014" s="8"/>
      <c r="W1014" s="8"/>
      <c r="X1014" s="8"/>
      <c r="Y1014" s="8"/>
      <c r="Z1014" s="8"/>
      <c r="AA1014" s="8"/>
      <c r="AB1014" s="8"/>
      <c r="AC1014" s="8"/>
      <c r="AD1014" s="24"/>
      <c r="AE1014" s="24"/>
      <c r="AF1014" s="8"/>
      <c r="AG1014" s="8"/>
      <c r="AH1014" s="8"/>
      <c r="AI1014" s="8"/>
    </row>
    <row r="1015" spans="1:35" ht="15.75" customHeight="1" x14ac:dyDescent="0.25">
      <c r="A1015" s="8"/>
      <c r="B1015" s="8"/>
      <c r="C1015" s="8"/>
      <c r="D1015" s="8"/>
      <c r="E1015" s="50"/>
      <c r="F1015" s="51"/>
      <c r="G1015" s="51"/>
      <c r="H1015" s="52"/>
      <c r="I1015" s="52"/>
      <c r="J1015" s="52"/>
      <c r="K1015" s="52"/>
      <c r="L1015" s="52"/>
      <c r="M1015" s="52"/>
      <c r="N1015" s="52"/>
      <c r="O1015" s="22"/>
      <c r="P1015" s="22"/>
      <c r="Q1015" s="8"/>
      <c r="R1015" s="8"/>
      <c r="S1015" s="8"/>
      <c r="T1015" s="8"/>
      <c r="U1015" s="8"/>
      <c r="V1015" s="8"/>
      <c r="W1015" s="8"/>
      <c r="X1015" s="8"/>
      <c r="Y1015" s="8"/>
      <c r="Z1015" s="8"/>
      <c r="AA1015" s="8"/>
      <c r="AB1015" s="8"/>
      <c r="AC1015" s="8"/>
      <c r="AD1015" s="24"/>
      <c r="AE1015" s="24"/>
      <c r="AF1015" s="8"/>
      <c r="AG1015" s="8"/>
      <c r="AH1015" s="8"/>
      <c r="AI1015" s="8"/>
    </row>
    <row r="1016" spans="1:35" ht="15.75" customHeight="1" x14ac:dyDescent="0.25">
      <c r="A1016" s="8"/>
      <c r="B1016" s="8"/>
      <c r="C1016" s="8"/>
      <c r="D1016" s="8"/>
      <c r="E1016" s="50"/>
      <c r="F1016" s="51"/>
      <c r="G1016" s="51"/>
      <c r="H1016" s="52"/>
      <c r="I1016" s="52"/>
      <c r="J1016" s="52"/>
      <c r="K1016" s="52"/>
      <c r="L1016" s="52"/>
      <c r="M1016" s="52"/>
      <c r="N1016" s="52"/>
      <c r="O1016" s="22"/>
      <c r="P1016" s="22"/>
      <c r="Q1016" s="8"/>
      <c r="R1016" s="8"/>
      <c r="S1016" s="8"/>
      <c r="T1016" s="8"/>
      <c r="U1016" s="8"/>
      <c r="V1016" s="8"/>
      <c r="W1016" s="8"/>
      <c r="X1016" s="8"/>
      <c r="Y1016" s="8"/>
      <c r="Z1016" s="8"/>
      <c r="AA1016" s="8"/>
      <c r="AB1016" s="8"/>
      <c r="AC1016" s="8"/>
      <c r="AD1016" s="24"/>
      <c r="AE1016" s="24"/>
      <c r="AF1016" s="8"/>
      <c r="AG1016" s="8"/>
      <c r="AH1016" s="8"/>
      <c r="AI1016" s="8"/>
    </row>
    <row r="1017" spans="1:35" ht="15.75" customHeight="1" x14ac:dyDescent="0.25">
      <c r="A1017" s="8"/>
      <c r="B1017" s="8"/>
      <c r="C1017" s="8"/>
      <c r="D1017" s="8"/>
      <c r="E1017" s="50"/>
      <c r="F1017" s="51"/>
      <c r="G1017" s="51"/>
      <c r="H1017" s="52"/>
      <c r="I1017" s="52"/>
      <c r="J1017" s="52"/>
      <c r="K1017" s="52"/>
      <c r="L1017" s="52"/>
      <c r="M1017" s="49"/>
      <c r="N1017" s="52"/>
      <c r="O1017" s="22"/>
      <c r="P1017" s="22"/>
      <c r="Q1017" s="8"/>
      <c r="R1017" s="8"/>
      <c r="S1017" s="8"/>
      <c r="T1017" s="8"/>
      <c r="U1017" s="8"/>
      <c r="V1017" s="8"/>
      <c r="W1017" s="8"/>
      <c r="X1017" s="8"/>
      <c r="Y1017" s="8"/>
      <c r="Z1017" s="8"/>
      <c r="AA1017" s="8"/>
      <c r="AB1017" s="8"/>
      <c r="AC1017" s="8"/>
      <c r="AD1017" s="24"/>
      <c r="AE1017" s="24"/>
      <c r="AF1017" s="8"/>
      <c r="AG1017" s="8"/>
      <c r="AH1017" s="8"/>
      <c r="AI1017" s="8"/>
    </row>
    <row r="1018" spans="1:35" ht="15.75" customHeight="1" x14ac:dyDescent="0.25">
      <c r="A1018" s="8"/>
      <c r="B1018" s="8"/>
      <c r="C1018" s="8"/>
      <c r="D1018" s="8"/>
      <c r="E1018" s="50"/>
      <c r="F1018" s="51"/>
      <c r="G1018" s="51"/>
      <c r="H1018" s="52"/>
      <c r="I1018" s="52"/>
      <c r="J1018" s="52"/>
      <c r="K1018" s="52"/>
      <c r="L1018" s="52"/>
      <c r="M1018" s="49"/>
      <c r="N1018" s="52"/>
      <c r="O1018" s="22"/>
      <c r="P1018" s="22"/>
      <c r="Q1018" s="8"/>
      <c r="R1018" s="8"/>
      <c r="S1018" s="8"/>
      <c r="T1018" s="8"/>
      <c r="U1018" s="8"/>
      <c r="V1018" s="8"/>
      <c r="W1018" s="8"/>
      <c r="X1018" s="8"/>
      <c r="Y1018" s="8"/>
      <c r="Z1018" s="8"/>
      <c r="AA1018" s="8"/>
      <c r="AB1018" s="8"/>
      <c r="AC1018" s="8"/>
      <c r="AD1018" s="24"/>
      <c r="AE1018" s="24"/>
      <c r="AF1018" s="8"/>
      <c r="AG1018" s="8"/>
      <c r="AH1018" s="8"/>
      <c r="AI1018" s="8"/>
    </row>
    <row r="1019" spans="1:35" ht="15.75" customHeight="1" x14ac:dyDescent="0.25">
      <c r="A1019" s="8"/>
      <c r="B1019" s="8"/>
      <c r="C1019" s="8"/>
      <c r="D1019" s="8"/>
      <c r="E1019" s="50"/>
      <c r="F1019" s="51"/>
      <c r="G1019" s="51"/>
      <c r="H1019" s="52"/>
      <c r="I1019" s="52"/>
      <c r="J1019" s="52"/>
      <c r="K1019" s="52"/>
      <c r="L1019" s="52"/>
      <c r="M1019" s="48"/>
      <c r="N1019" s="52"/>
      <c r="O1019" s="22"/>
      <c r="P1019" s="22"/>
      <c r="Q1019" s="8"/>
      <c r="R1019" s="8"/>
      <c r="S1019" s="8"/>
      <c r="T1019" s="8"/>
      <c r="U1019" s="8"/>
      <c r="V1019" s="8"/>
      <c r="W1019" s="8"/>
      <c r="X1019" s="8"/>
      <c r="Y1019" s="8"/>
      <c r="Z1019" s="8"/>
      <c r="AA1019" s="8"/>
      <c r="AB1019" s="8"/>
      <c r="AC1019" s="8"/>
      <c r="AD1019" s="24"/>
      <c r="AE1019" s="24"/>
      <c r="AF1019" s="8"/>
      <c r="AG1019" s="8"/>
      <c r="AH1019" s="8"/>
      <c r="AI1019" s="8"/>
    </row>
    <row r="1020" spans="1:35" ht="15.75" customHeight="1" x14ac:dyDescent="0.25">
      <c r="A1020" s="8"/>
      <c r="B1020" s="8"/>
      <c r="C1020" s="8"/>
      <c r="D1020" s="8"/>
      <c r="E1020" s="50"/>
      <c r="F1020" s="51"/>
      <c r="G1020" s="51"/>
      <c r="H1020" s="52"/>
      <c r="I1020" s="52"/>
      <c r="J1020" s="52"/>
      <c r="K1020" s="52"/>
      <c r="L1020" s="52"/>
      <c r="M1020" s="48"/>
      <c r="N1020" s="52"/>
      <c r="O1020" s="22"/>
      <c r="P1020" s="22"/>
      <c r="Q1020" s="8"/>
      <c r="R1020" s="8"/>
      <c r="S1020" s="8"/>
      <c r="T1020" s="8"/>
      <c r="U1020" s="8"/>
      <c r="V1020" s="8"/>
      <c r="W1020" s="8"/>
      <c r="X1020" s="8"/>
      <c r="Y1020" s="8"/>
      <c r="Z1020" s="8"/>
      <c r="AA1020" s="8"/>
      <c r="AB1020" s="8"/>
      <c r="AC1020" s="8"/>
      <c r="AD1020" s="24"/>
      <c r="AE1020" s="24"/>
      <c r="AF1020" s="8"/>
      <c r="AG1020" s="8"/>
      <c r="AH1020" s="8"/>
      <c r="AI1020" s="8"/>
    </row>
    <row r="1021" spans="1:35" ht="15.75" customHeight="1" x14ac:dyDescent="0.25">
      <c r="A1021" s="8"/>
      <c r="B1021" s="8"/>
      <c r="C1021" s="8"/>
      <c r="D1021" s="8"/>
      <c r="E1021" s="50"/>
      <c r="F1021" s="51"/>
      <c r="G1021" s="51"/>
      <c r="H1021" s="52"/>
      <c r="I1021" s="52"/>
      <c r="J1021" s="52"/>
      <c r="K1021" s="52"/>
      <c r="L1021" s="52"/>
      <c r="M1021" s="48"/>
      <c r="N1021" s="52"/>
      <c r="O1021" s="22"/>
      <c r="P1021" s="22"/>
      <c r="Q1021" s="8"/>
      <c r="R1021" s="8"/>
      <c r="S1021" s="8"/>
      <c r="T1021" s="8"/>
      <c r="U1021" s="8"/>
      <c r="V1021" s="8"/>
      <c r="W1021" s="8"/>
      <c r="X1021" s="8"/>
      <c r="Y1021" s="8"/>
      <c r="Z1021" s="8"/>
      <c r="AA1021" s="8"/>
      <c r="AB1021" s="8"/>
      <c r="AC1021" s="8"/>
      <c r="AD1021" s="24"/>
      <c r="AE1021" s="24"/>
      <c r="AF1021" s="8"/>
      <c r="AG1021" s="8"/>
      <c r="AH1021" s="8"/>
      <c r="AI1021" s="8"/>
    </row>
    <row r="1022" spans="1:35" ht="15.75" customHeight="1" x14ac:dyDescent="0.25">
      <c r="A1022" s="8"/>
      <c r="B1022" s="8"/>
      <c r="C1022" s="8"/>
      <c r="D1022" s="8"/>
      <c r="E1022" s="50"/>
      <c r="F1022" s="51"/>
      <c r="G1022" s="51"/>
      <c r="H1022" s="52"/>
      <c r="I1022" s="52"/>
      <c r="J1022" s="52"/>
      <c r="K1022" s="52"/>
      <c r="L1022" s="52"/>
      <c r="M1022" s="48"/>
      <c r="N1022" s="52"/>
      <c r="O1022" s="22"/>
      <c r="P1022" s="22"/>
      <c r="Q1022" s="8"/>
      <c r="R1022" s="8"/>
      <c r="S1022" s="8"/>
      <c r="T1022" s="8"/>
      <c r="U1022" s="8"/>
      <c r="V1022" s="8"/>
      <c r="W1022" s="8"/>
      <c r="X1022" s="8"/>
      <c r="Y1022" s="8"/>
      <c r="Z1022" s="8"/>
      <c r="AA1022" s="8"/>
      <c r="AB1022" s="8"/>
      <c r="AC1022" s="8"/>
      <c r="AD1022" s="24"/>
      <c r="AE1022" s="24"/>
      <c r="AF1022" s="8"/>
      <c r="AG1022" s="8"/>
      <c r="AH1022" s="8"/>
      <c r="AI1022" s="8"/>
    </row>
    <row r="1023" spans="1:35" ht="15.75" customHeight="1" x14ac:dyDescent="0.25">
      <c r="A1023" s="8"/>
      <c r="B1023" s="8"/>
      <c r="C1023" s="8"/>
      <c r="D1023" s="8"/>
      <c r="E1023" s="50"/>
      <c r="F1023" s="51"/>
      <c r="G1023" s="51"/>
      <c r="H1023" s="52"/>
      <c r="I1023" s="52"/>
      <c r="J1023" s="52"/>
      <c r="K1023" s="52"/>
      <c r="L1023" s="52"/>
      <c r="M1023" s="48"/>
      <c r="N1023" s="52"/>
      <c r="O1023" s="22"/>
      <c r="P1023" s="22"/>
      <c r="Q1023" s="8"/>
      <c r="R1023" s="8"/>
      <c r="S1023" s="8"/>
      <c r="T1023" s="8"/>
      <c r="U1023" s="8"/>
      <c r="V1023" s="8"/>
      <c r="W1023" s="8"/>
      <c r="X1023" s="8"/>
      <c r="Y1023" s="8"/>
      <c r="Z1023" s="8"/>
      <c r="AA1023" s="8"/>
      <c r="AB1023" s="8"/>
      <c r="AC1023" s="8"/>
      <c r="AD1023" s="24"/>
      <c r="AE1023" s="24"/>
      <c r="AF1023" s="8"/>
      <c r="AG1023" s="8"/>
      <c r="AH1023" s="8"/>
      <c r="AI1023" s="8"/>
    </row>
    <row r="1024" spans="1:35" ht="15.75" customHeight="1" x14ac:dyDescent="0.25">
      <c r="A1024" s="8"/>
      <c r="B1024" s="8"/>
      <c r="C1024" s="8"/>
      <c r="D1024" s="8"/>
      <c r="E1024" s="50"/>
      <c r="F1024" s="51"/>
      <c r="G1024" s="51"/>
      <c r="H1024" s="52"/>
      <c r="I1024" s="52"/>
      <c r="J1024" s="52"/>
      <c r="K1024" s="52"/>
      <c r="L1024" s="52"/>
      <c r="M1024" s="49"/>
      <c r="N1024" s="52"/>
      <c r="O1024" s="22"/>
      <c r="P1024" s="22"/>
      <c r="Q1024" s="8"/>
      <c r="R1024" s="8"/>
      <c r="S1024" s="8"/>
      <c r="T1024" s="8"/>
      <c r="U1024" s="8"/>
      <c r="V1024" s="8"/>
      <c r="W1024" s="8"/>
      <c r="X1024" s="8"/>
      <c r="Y1024" s="8"/>
      <c r="Z1024" s="8"/>
      <c r="AA1024" s="8"/>
      <c r="AB1024" s="8"/>
      <c r="AC1024" s="8"/>
      <c r="AD1024" s="24"/>
      <c r="AE1024" s="24"/>
      <c r="AF1024" s="8"/>
      <c r="AG1024" s="8"/>
      <c r="AH1024" s="8"/>
      <c r="AI1024" s="8"/>
    </row>
    <row r="1025" spans="1:35" ht="15.75" customHeight="1" x14ac:dyDescent="0.25">
      <c r="A1025" s="8"/>
      <c r="B1025" s="8"/>
      <c r="C1025" s="8"/>
      <c r="D1025" s="8"/>
      <c r="E1025" s="50"/>
      <c r="F1025" s="51"/>
      <c r="G1025" s="51"/>
      <c r="H1025" s="52"/>
      <c r="I1025" s="52"/>
      <c r="J1025" s="52"/>
      <c r="K1025" s="52"/>
      <c r="L1025" s="52"/>
      <c r="M1025" s="49"/>
      <c r="N1025" s="52"/>
      <c r="O1025" s="22"/>
      <c r="P1025" s="22"/>
      <c r="Q1025" s="8"/>
      <c r="R1025" s="8"/>
      <c r="S1025" s="8"/>
      <c r="T1025" s="8"/>
      <c r="U1025" s="8"/>
      <c r="V1025" s="8"/>
      <c r="W1025" s="8"/>
      <c r="X1025" s="8"/>
      <c r="Y1025" s="8"/>
      <c r="Z1025" s="8"/>
      <c r="AA1025" s="8"/>
      <c r="AB1025" s="8"/>
      <c r="AC1025" s="8"/>
      <c r="AD1025" s="24"/>
      <c r="AE1025" s="24"/>
      <c r="AF1025" s="8"/>
      <c r="AG1025" s="8"/>
      <c r="AH1025" s="8"/>
      <c r="AI1025" s="8"/>
    </row>
    <row r="1026" spans="1:35" ht="15.75" customHeight="1" x14ac:dyDescent="0.25">
      <c r="A1026" s="8"/>
      <c r="B1026" s="8"/>
      <c r="C1026" s="8"/>
      <c r="D1026" s="8"/>
      <c r="E1026" s="50"/>
      <c r="F1026" s="51"/>
      <c r="G1026" s="51"/>
      <c r="H1026" s="52"/>
      <c r="I1026" s="52"/>
      <c r="J1026" s="52"/>
      <c r="K1026" s="52"/>
      <c r="L1026" s="52"/>
      <c r="M1026" s="48"/>
      <c r="N1026" s="52"/>
      <c r="O1026" s="22"/>
      <c r="P1026" s="22"/>
      <c r="Q1026" s="8"/>
      <c r="R1026" s="8"/>
      <c r="S1026" s="8"/>
      <c r="T1026" s="8"/>
      <c r="U1026" s="8"/>
      <c r="V1026" s="8"/>
      <c r="W1026" s="8"/>
      <c r="X1026" s="8"/>
      <c r="Y1026" s="8"/>
      <c r="Z1026" s="8"/>
      <c r="AA1026" s="8"/>
      <c r="AB1026" s="8"/>
      <c r="AC1026" s="8"/>
      <c r="AD1026" s="24"/>
      <c r="AE1026" s="24"/>
      <c r="AF1026" s="8"/>
      <c r="AG1026" s="8"/>
      <c r="AH1026" s="8"/>
      <c r="AI1026" s="8"/>
    </row>
    <row r="1027" spans="1:35" ht="15.75" customHeight="1" x14ac:dyDescent="0.25">
      <c r="A1027" s="8"/>
      <c r="B1027" s="8"/>
      <c r="C1027" s="8"/>
      <c r="D1027" s="8"/>
      <c r="E1027" s="50"/>
      <c r="F1027" s="51"/>
      <c r="G1027" s="51"/>
      <c r="H1027" s="52"/>
      <c r="I1027" s="52"/>
      <c r="J1027" s="52"/>
      <c r="K1027" s="52"/>
      <c r="L1027" s="52"/>
      <c r="M1027" s="48"/>
      <c r="N1027" s="52"/>
      <c r="O1027" s="22"/>
      <c r="P1027" s="22"/>
      <c r="Q1027" s="8"/>
      <c r="R1027" s="8"/>
      <c r="S1027" s="8"/>
      <c r="T1027" s="8"/>
      <c r="U1027" s="8"/>
      <c r="V1027" s="8"/>
      <c r="W1027" s="8"/>
      <c r="X1027" s="8"/>
      <c r="Y1027" s="8"/>
      <c r="Z1027" s="8"/>
      <c r="AA1027" s="8"/>
      <c r="AB1027" s="8"/>
      <c r="AC1027" s="8"/>
      <c r="AD1027" s="24"/>
      <c r="AE1027" s="24"/>
      <c r="AF1027" s="8"/>
      <c r="AG1027" s="8"/>
      <c r="AH1027" s="8"/>
      <c r="AI1027" s="8"/>
    </row>
    <row r="1028" spans="1:35" ht="15.75" customHeight="1" x14ac:dyDescent="0.25">
      <c r="A1028" s="8"/>
      <c r="B1028" s="8"/>
      <c r="C1028" s="8"/>
      <c r="D1028" s="8"/>
      <c r="E1028" s="50"/>
      <c r="F1028" s="51"/>
      <c r="G1028" s="51"/>
      <c r="H1028" s="52"/>
      <c r="I1028" s="52"/>
      <c r="J1028" s="52"/>
      <c r="K1028" s="52"/>
      <c r="L1028" s="52"/>
      <c r="M1028" s="52"/>
      <c r="N1028" s="52"/>
      <c r="O1028" s="22"/>
      <c r="P1028" s="22"/>
      <c r="Q1028" s="8"/>
      <c r="R1028" s="8"/>
      <c r="S1028" s="8"/>
      <c r="T1028" s="8"/>
      <c r="U1028" s="8"/>
      <c r="V1028" s="8"/>
      <c r="W1028" s="8"/>
      <c r="X1028" s="8"/>
      <c r="Y1028" s="8"/>
      <c r="Z1028" s="8"/>
      <c r="AA1028" s="8"/>
      <c r="AB1028" s="8"/>
      <c r="AC1028" s="8"/>
      <c r="AD1028" s="24"/>
      <c r="AE1028" s="24"/>
      <c r="AF1028" s="8"/>
      <c r="AG1028" s="8"/>
      <c r="AH1028" s="8"/>
      <c r="AI1028" s="8"/>
    </row>
    <row r="1029" spans="1:35" ht="15.75" customHeight="1" x14ac:dyDescent="0.25">
      <c r="A1029" s="8"/>
      <c r="B1029" s="8"/>
      <c r="C1029" s="8"/>
      <c r="D1029" s="8"/>
      <c r="E1029" s="50"/>
      <c r="F1029" s="51"/>
      <c r="G1029" s="51"/>
      <c r="H1029" s="52"/>
      <c r="I1029" s="52"/>
      <c r="J1029" s="52"/>
      <c r="K1029" s="52"/>
      <c r="L1029" s="52"/>
      <c r="M1029" s="48"/>
      <c r="N1029" s="52"/>
      <c r="O1029" s="22"/>
      <c r="P1029" s="22"/>
      <c r="Q1029" s="8"/>
      <c r="R1029" s="8"/>
      <c r="S1029" s="8"/>
      <c r="T1029" s="8"/>
      <c r="U1029" s="8"/>
      <c r="V1029" s="8"/>
      <c r="W1029" s="8"/>
      <c r="X1029" s="8"/>
      <c r="Y1029" s="8"/>
      <c r="Z1029" s="8"/>
      <c r="AA1029" s="8"/>
      <c r="AB1029" s="8"/>
      <c r="AC1029" s="8"/>
      <c r="AD1029" s="24"/>
      <c r="AE1029" s="24"/>
      <c r="AF1029" s="8"/>
      <c r="AG1029" s="8"/>
      <c r="AH1029" s="8"/>
      <c r="AI1029" s="8"/>
    </row>
    <row r="1030" spans="1:35" ht="15.75" customHeight="1" x14ac:dyDescent="0.25">
      <c r="A1030" s="8"/>
      <c r="B1030" s="8"/>
      <c r="C1030" s="8"/>
      <c r="D1030" s="8"/>
      <c r="E1030" s="50"/>
      <c r="F1030" s="51"/>
      <c r="G1030" s="51"/>
      <c r="H1030" s="52"/>
      <c r="I1030" s="52"/>
      <c r="J1030" s="52"/>
      <c r="K1030" s="52"/>
      <c r="L1030" s="52"/>
      <c r="M1030" s="48"/>
      <c r="N1030" s="52"/>
      <c r="O1030" s="22"/>
      <c r="P1030" s="22"/>
      <c r="Q1030" s="8"/>
      <c r="R1030" s="8"/>
      <c r="S1030" s="8"/>
      <c r="T1030" s="8"/>
      <c r="U1030" s="8"/>
      <c r="V1030" s="8"/>
      <c r="W1030" s="8"/>
      <c r="X1030" s="8"/>
      <c r="Y1030" s="8"/>
      <c r="Z1030" s="8"/>
      <c r="AA1030" s="8"/>
      <c r="AB1030" s="8"/>
      <c r="AC1030" s="8"/>
      <c r="AD1030" s="24"/>
      <c r="AE1030" s="24"/>
      <c r="AF1030" s="8"/>
      <c r="AG1030" s="8"/>
      <c r="AH1030" s="8"/>
      <c r="AI1030" s="8"/>
    </row>
    <row r="1031" spans="1:35" ht="15.75" customHeight="1" x14ac:dyDescent="0.25">
      <c r="A1031" s="8"/>
      <c r="B1031" s="8"/>
      <c r="C1031" s="8"/>
      <c r="D1031" s="8"/>
      <c r="E1031" s="50"/>
      <c r="F1031" s="51"/>
      <c r="G1031" s="51"/>
      <c r="H1031" s="52"/>
      <c r="I1031" s="52"/>
      <c r="J1031" s="52"/>
      <c r="K1031" s="52"/>
      <c r="L1031" s="52"/>
      <c r="M1031" s="52"/>
      <c r="N1031" s="52"/>
      <c r="O1031" s="22"/>
      <c r="P1031" s="22"/>
      <c r="Q1031" s="8"/>
      <c r="R1031" s="8"/>
      <c r="S1031" s="8"/>
      <c r="T1031" s="8"/>
      <c r="U1031" s="8"/>
      <c r="V1031" s="8"/>
      <c r="W1031" s="8"/>
      <c r="X1031" s="8"/>
      <c r="Y1031" s="8"/>
      <c r="Z1031" s="8"/>
      <c r="AA1031" s="8"/>
      <c r="AB1031" s="8"/>
      <c r="AC1031" s="8"/>
      <c r="AD1031" s="24"/>
      <c r="AE1031" s="24"/>
      <c r="AF1031" s="8"/>
      <c r="AG1031" s="8"/>
      <c r="AH1031" s="8"/>
      <c r="AI1031" s="8"/>
    </row>
    <row r="1032" spans="1:35" ht="15.75" customHeight="1" x14ac:dyDescent="0.25">
      <c r="A1032" s="8"/>
      <c r="B1032" s="8"/>
      <c r="C1032" s="8"/>
      <c r="D1032" s="8"/>
      <c r="E1032" s="50"/>
      <c r="F1032" s="51"/>
      <c r="G1032" s="51"/>
      <c r="H1032" s="52"/>
      <c r="I1032" s="52"/>
      <c r="J1032" s="52"/>
      <c r="K1032" s="52"/>
      <c r="L1032" s="52"/>
      <c r="M1032" s="48"/>
      <c r="N1032" s="52"/>
      <c r="O1032" s="22"/>
      <c r="P1032" s="22"/>
      <c r="Q1032" s="8"/>
      <c r="R1032" s="8"/>
      <c r="S1032" s="8"/>
      <c r="T1032" s="8"/>
      <c r="U1032" s="8"/>
      <c r="V1032" s="8"/>
      <c r="W1032" s="8"/>
      <c r="X1032" s="8"/>
      <c r="Y1032" s="8"/>
      <c r="Z1032" s="8"/>
      <c r="AA1032" s="8"/>
      <c r="AB1032" s="8"/>
      <c r="AC1032" s="8"/>
      <c r="AD1032" s="24"/>
      <c r="AE1032" s="24"/>
      <c r="AF1032" s="8"/>
      <c r="AG1032" s="8"/>
      <c r="AH1032" s="8"/>
      <c r="AI1032" s="8"/>
    </row>
    <row r="1033" spans="1:35" ht="15.75" customHeight="1" x14ac:dyDescent="0.25">
      <c r="A1033" s="8"/>
      <c r="B1033" s="8"/>
      <c r="C1033" s="8"/>
      <c r="D1033" s="8"/>
      <c r="E1033" s="50"/>
      <c r="F1033" s="51"/>
      <c r="G1033" s="51"/>
      <c r="H1033" s="52"/>
      <c r="I1033" s="52"/>
      <c r="J1033" s="52"/>
      <c r="K1033" s="52"/>
      <c r="L1033" s="52"/>
      <c r="M1033" s="48"/>
      <c r="N1033" s="52"/>
      <c r="O1033" s="22"/>
      <c r="P1033" s="22"/>
      <c r="Q1033" s="8"/>
      <c r="R1033" s="8"/>
      <c r="S1033" s="8"/>
      <c r="T1033" s="8"/>
      <c r="U1033" s="8"/>
      <c r="V1033" s="8"/>
      <c r="W1033" s="8"/>
      <c r="X1033" s="8"/>
      <c r="Y1033" s="8"/>
      <c r="Z1033" s="8"/>
      <c r="AA1033" s="8"/>
      <c r="AB1033" s="8"/>
      <c r="AC1033" s="8"/>
      <c r="AD1033" s="24"/>
      <c r="AE1033" s="24"/>
      <c r="AF1033" s="8"/>
      <c r="AG1033" s="8"/>
      <c r="AH1033" s="8"/>
      <c r="AI1033" s="8"/>
    </row>
    <row r="1034" spans="1:35" ht="15.75" customHeight="1" x14ac:dyDescent="0.25">
      <c r="A1034" s="8"/>
      <c r="B1034" s="8"/>
      <c r="C1034" s="8"/>
      <c r="D1034" s="8"/>
      <c r="E1034" s="50"/>
      <c r="F1034" s="51"/>
      <c r="G1034" s="51"/>
      <c r="H1034" s="52"/>
      <c r="I1034" s="52"/>
      <c r="J1034" s="52"/>
      <c r="K1034" s="52"/>
      <c r="L1034" s="52"/>
      <c r="M1034" s="48"/>
      <c r="N1034" s="52"/>
      <c r="O1034" s="22"/>
      <c r="P1034" s="22"/>
      <c r="Q1034" s="8"/>
      <c r="R1034" s="8"/>
      <c r="S1034" s="8"/>
      <c r="T1034" s="8"/>
      <c r="U1034" s="8"/>
      <c r="V1034" s="8"/>
      <c r="W1034" s="8"/>
      <c r="X1034" s="8"/>
      <c r="Y1034" s="8"/>
      <c r="Z1034" s="8"/>
      <c r="AA1034" s="8"/>
      <c r="AB1034" s="8"/>
      <c r="AC1034" s="8"/>
      <c r="AD1034" s="24"/>
      <c r="AE1034" s="24"/>
      <c r="AF1034" s="8"/>
      <c r="AG1034" s="8"/>
      <c r="AH1034" s="8"/>
      <c r="AI1034" s="8"/>
    </row>
    <row r="1035" spans="1:35" ht="15.75" customHeight="1" x14ac:dyDescent="0.25">
      <c r="A1035" s="8"/>
      <c r="B1035" s="8"/>
      <c r="C1035" s="8"/>
      <c r="D1035" s="8"/>
      <c r="E1035" s="50"/>
      <c r="F1035" s="51"/>
      <c r="G1035" s="51"/>
      <c r="H1035" s="52"/>
      <c r="I1035" s="52"/>
      <c r="J1035" s="52"/>
      <c r="K1035" s="52"/>
      <c r="L1035" s="52"/>
      <c r="M1035" s="52"/>
      <c r="N1035" s="52"/>
      <c r="O1035" s="22"/>
      <c r="P1035" s="22"/>
      <c r="Q1035" s="8"/>
      <c r="R1035" s="8"/>
      <c r="S1035" s="8"/>
      <c r="T1035" s="8"/>
      <c r="U1035" s="8"/>
      <c r="V1035" s="8"/>
      <c r="W1035" s="8"/>
      <c r="X1035" s="8"/>
      <c r="Y1035" s="8"/>
      <c r="Z1035" s="8"/>
      <c r="AA1035" s="8"/>
      <c r="AB1035" s="8"/>
      <c r="AC1035" s="8"/>
      <c r="AD1035" s="24"/>
      <c r="AE1035" s="24"/>
      <c r="AF1035" s="8"/>
      <c r="AG1035" s="8"/>
      <c r="AH1035" s="8"/>
      <c r="AI1035" s="8"/>
    </row>
    <row r="1036" spans="1:35" ht="15.75" customHeight="1" x14ac:dyDescent="0.25">
      <c r="A1036" s="8"/>
      <c r="B1036" s="8"/>
      <c r="C1036" s="8"/>
      <c r="D1036" s="8"/>
      <c r="E1036" s="50"/>
      <c r="F1036" s="51"/>
      <c r="G1036" s="51"/>
      <c r="H1036" s="52"/>
      <c r="I1036" s="52"/>
      <c r="J1036" s="52"/>
      <c r="K1036" s="52"/>
      <c r="L1036" s="52"/>
      <c r="M1036" s="52"/>
      <c r="N1036" s="52"/>
      <c r="O1036" s="22"/>
      <c r="P1036" s="22"/>
      <c r="Q1036" s="8"/>
      <c r="R1036" s="8"/>
      <c r="S1036" s="8"/>
      <c r="T1036" s="8"/>
      <c r="U1036" s="8"/>
      <c r="V1036" s="8"/>
      <c r="W1036" s="8"/>
      <c r="X1036" s="8"/>
      <c r="Y1036" s="8"/>
      <c r="Z1036" s="8"/>
      <c r="AA1036" s="8"/>
      <c r="AB1036" s="8"/>
      <c r="AC1036" s="8"/>
      <c r="AD1036" s="24"/>
      <c r="AE1036" s="24"/>
      <c r="AF1036" s="8"/>
      <c r="AG1036" s="8"/>
      <c r="AH1036" s="8"/>
      <c r="AI1036" s="8"/>
    </row>
    <row r="1037" spans="1:35" ht="15.75" customHeight="1" x14ac:dyDescent="0.25">
      <c r="A1037" s="8"/>
      <c r="B1037" s="8"/>
      <c r="C1037" s="8"/>
      <c r="D1037" s="8"/>
      <c r="E1037" s="50"/>
      <c r="F1037" s="51"/>
      <c r="G1037" s="51"/>
      <c r="H1037" s="52"/>
      <c r="I1037" s="52"/>
      <c r="J1037" s="52"/>
      <c r="K1037" s="52"/>
      <c r="L1037" s="52"/>
      <c r="M1037" s="48"/>
      <c r="N1037" s="52"/>
      <c r="O1037" s="22"/>
      <c r="P1037" s="22"/>
      <c r="Q1037" s="8"/>
      <c r="R1037" s="8"/>
      <c r="S1037" s="8"/>
      <c r="T1037" s="8"/>
      <c r="U1037" s="8"/>
      <c r="V1037" s="8"/>
      <c r="W1037" s="8"/>
      <c r="X1037" s="8"/>
      <c r="Y1037" s="8"/>
      <c r="Z1037" s="8"/>
      <c r="AA1037" s="8"/>
      <c r="AB1037" s="8"/>
      <c r="AC1037" s="8"/>
      <c r="AD1037" s="24"/>
      <c r="AE1037" s="24"/>
      <c r="AF1037" s="8"/>
      <c r="AG1037" s="8"/>
      <c r="AH1037" s="8"/>
      <c r="AI1037" s="8"/>
    </row>
    <row r="1038" spans="1:35" ht="15.75" customHeight="1" x14ac:dyDescent="0.25">
      <c r="A1038" s="8"/>
      <c r="B1038" s="8"/>
      <c r="C1038" s="8"/>
      <c r="D1038" s="8"/>
      <c r="E1038" s="50"/>
      <c r="F1038" s="51"/>
      <c r="G1038" s="51"/>
      <c r="H1038" s="52"/>
      <c r="I1038" s="52"/>
      <c r="J1038" s="52"/>
      <c r="K1038" s="52"/>
      <c r="L1038" s="52"/>
      <c r="M1038" s="49"/>
      <c r="N1038" s="52"/>
      <c r="O1038" s="22"/>
      <c r="P1038" s="22"/>
      <c r="Q1038" s="8"/>
      <c r="R1038" s="8"/>
      <c r="S1038" s="8"/>
      <c r="T1038" s="8"/>
      <c r="U1038" s="8"/>
      <c r="V1038" s="8"/>
      <c r="W1038" s="8"/>
      <c r="X1038" s="8"/>
      <c r="Y1038" s="8"/>
      <c r="Z1038" s="8"/>
      <c r="AA1038" s="8"/>
      <c r="AB1038" s="8"/>
      <c r="AC1038" s="8"/>
      <c r="AD1038" s="24"/>
      <c r="AE1038" s="24"/>
      <c r="AF1038" s="8"/>
      <c r="AG1038" s="8"/>
      <c r="AH1038" s="8"/>
      <c r="AI1038" s="8"/>
    </row>
    <row r="1039" spans="1:35" ht="15.75" customHeight="1" x14ac:dyDescent="0.25">
      <c r="A1039" s="8"/>
      <c r="B1039" s="8"/>
      <c r="C1039" s="8"/>
      <c r="D1039" s="8"/>
      <c r="E1039" s="50"/>
      <c r="F1039" s="51"/>
      <c r="G1039" s="51"/>
      <c r="H1039" s="52"/>
      <c r="I1039" s="52"/>
      <c r="J1039" s="52"/>
      <c r="K1039" s="52"/>
      <c r="L1039" s="52"/>
      <c r="M1039" s="48"/>
      <c r="N1039" s="52"/>
      <c r="O1039" s="22"/>
      <c r="P1039" s="22"/>
      <c r="Q1039" s="8"/>
      <c r="R1039" s="8"/>
      <c r="S1039" s="8"/>
      <c r="T1039" s="8"/>
      <c r="U1039" s="8"/>
      <c r="V1039" s="8"/>
      <c r="W1039" s="8"/>
      <c r="X1039" s="8"/>
      <c r="Y1039" s="8"/>
      <c r="Z1039" s="8"/>
      <c r="AA1039" s="8"/>
      <c r="AB1039" s="8"/>
      <c r="AC1039" s="8"/>
      <c r="AD1039" s="24"/>
      <c r="AE1039" s="24"/>
      <c r="AF1039" s="8"/>
      <c r="AG1039" s="8"/>
      <c r="AH1039" s="8"/>
      <c r="AI1039" s="8"/>
    </row>
    <row r="1040" spans="1:35" ht="15.75" customHeight="1" x14ac:dyDescent="0.25">
      <c r="A1040" s="8"/>
      <c r="B1040" s="8"/>
      <c r="C1040" s="8"/>
      <c r="D1040" s="8"/>
      <c r="E1040" s="50"/>
      <c r="F1040" s="51"/>
      <c r="G1040" s="51"/>
      <c r="H1040" s="52"/>
      <c r="I1040" s="52"/>
      <c r="J1040" s="52"/>
      <c r="K1040" s="52"/>
      <c r="L1040" s="52"/>
      <c r="M1040" s="48"/>
      <c r="N1040" s="52"/>
      <c r="O1040" s="22"/>
      <c r="P1040" s="22"/>
      <c r="Q1040" s="8"/>
      <c r="R1040" s="8"/>
      <c r="S1040" s="8"/>
      <c r="T1040" s="8"/>
      <c r="U1040" s="8"/>
      <c r="V1040" s="8"/>
      <c r="W1040" s="8"/>
      <c r="X1040" s="8"/>
      <c r="Y1040" s="8"/>
      <c r="Z1040" s="8"/>
      <c r="AA1040" s="8"/>
      <c r="AB1040" s="8"/>
      <c r="AC1040" s="8"/>
      <c r="AD1040" s="24"/>
      <c r="AE1040" s="24"/>
      <c r="AF1040" s="8"/>
      <c r="AG1040" s="8"/>
      <c r="AH1040" s="8"/>
      <c r="AI1040" s="8"/>
    </row>
    <row r="1041" spans="1:35" ht="15.75" customHeight="1" x14ac:dyDescent="0.25">
      <c r="A1041" s="8"/>
      <c r="B1041" s="8"/>
      <c r="C1041" s="8"/>
      <c r="D1041" s="8"/>
      <c r="E1041" s="50"/>
      <c r="F1041" s="51"/>
      <c r="G1041" s="51"/>
      <c r="H1041" s="52"/>
      <c r="I1041" s="52"/>
      <c r="J1041" s="52"/>
      <c r="K1041" s="52"/>
      <c r="L1041" s="52"/>
      <c r="M1041" s="48"/>
      <c r="N1041" s="52"/>
      <c r="O1041" s="22"/>
      <c r="P1041" s="22"/>
      <c r="Q1041" s="8"/>
      <c r="R1041" s="8"/>
      <c r="S1041" s="8"/>
      <c r="T1041" s="8"/>
      <c r="U1041" s="8"/>
      <c r="V1041" s="8"/>
      <c r="W1041" s="8"/>
      <c r="X1041" s="8"/>
      <c r="Y1041" s="8"/>
      <c r="Z1041" s="8"/>
      <c r="AA1041" s="8"/>
      <c r="AB1041" s="8"/>
      <c r="AC1041" s="8"/>
      <c r="AD1041" s="24"/>
      <c r="AE1041" s="24"/>
      <c r="AF1041" s="8"/>
      <c r="AG1041" s="8"/>
      <c r="AH1041" s="8"/>
      <c r="AI1041" s="8"/>
    </row>
    <row r="1042" spans="1:35" ht="15.75" customHeight="1" x14ac:dyDescent="0.25">
      <c r="A1042" s="8"/>
      <c r="B1042" s="8"/>
      <c r="C1042" s="8"/>
      <c r="D1042" s="8"/>
      <c r="E1042" s="50"/>
      <c r="F1042" s="51"/>
      <c r="G1042" s="51"/>
      <c r="H1042" s="52"/>
      <c r="I1042" s="52"/>
      <c r="J1042" s="52"/>
      <c r="K1042" s="52"/>
      <c r="L1042" s="52"/>
      <c r="M1042" s="48"/>
      <c r="N1042" s="52"/>
      <c r="O1042" s="22"/>
      <c r="P1042" s="22"/>
      <c r="Q1042" s="8"/>
      <c r="R1042" s="8"/>
      <c r="S1042" s="8"/>
      <c r="T1042" s="8"/>
      <c r="U1042" s="8"/>
      <c r="V1042" s="8"/>
      <c r="W1042" s="8"/>
      <c r="X1042" s="8"/>
      <c r="Y1042" s="8"/>
      <c r="Z1042" s="8"/>
      <c r="AA1042" s="8"/>
      <c r="AB1042" s="8"/>
      <c r="AC1042" s="8"/>
      <c r="AD1042" s="24"/>
      <c r="AE1042" s="24"/>
      <c r="AF1042" s="8"/>
      <c r="AG1042" s="8"/>
      <c r="AH1042" s="8"/>
      <c r="AI1042" s="8"/>
    </row>
    <row r="1043" spans="1:35" ht="15.75" customHeight="1" x14ac:dyDescent="0.25">
      <c r="A1043" s="8"/>
      <c r="B1043" s="8"/>
      <c r="C1043" s="8"/>
      <c r="D1043" s="8"/>
      <c r="E1043" s="50"/>
      <c r="F1043" s="51"/>
      <c r="G1043" s="51"/>
      <c r="H1043" s="52"/>
      <c r="I1043" s="52"/>
      <c r="J1043" s="52"/>
      <c r="K1043" s="52"/>
      <c r="L1043" s="52"/>
      <c r="M1043" s="48"/>
      <c r="N1043" s="52"/>
      <c r="O1043" s="22"/>
      <c r="P1043" s="22"/>
      <c r="Q1043" s="8"/>
      <c r="R1043" s="8"/>
      <c r="S1043" s="8"/>
      <c r="T1043" s="8"/>
      <c r="U1043" s="8"/>
      <c r="V1043" s="8"/>
      <c r="W1043" s="8"/>
      <c r="X1043" s="8"/>
      <c r="Y1043" s="8"/>
      <c r="Z1043" s="8"/>
      <c r="AA1043" s="8"/>
      <c r="AB1043" s="8"/>
      <c r="AC1043" s="8"/>
      <c r="AD1043" s="24"/>
      <c r="AE1043" s="24"/>
      <c r="AF1043" s="8"/>
      <c r="AG1043" s="8"/>
      <c r="AH1043" s="8"/>
      <c r="AI1043" s="8"/>
    </row>
    <row r="1044" spans="1:35" ht="15.75" customHeight="1" x14ac:dyDescent="0.25">
      <c r="A1044" s="8"/>
      <c r="B1044" s="8"/>
      <c r="C1044" s="8"/>
      <c r="D1044" s="8"/>
      <c r="E1044" s="50"/>
      <c r="F1044" s="51"/>
      <c r="G1044" s="51"/>
      <c r="H1044" s="52"/>
      <c r="I1044" s="52"/>
      <c r="J1044" s="52"/>
      <c r="K1044" s="52"/>
      <c r="L1044" s="52"/>
      <c r="M1044" s="48"/>
      <c r="N1044" s="52"/>
      <c r="O1044" s="22"/>
      <c r="P1044" s="22"/>
      <c r="Q1044" s="8"/>
      <c r="R1044" s="8"/>
      <c r="S1044" s="8"/>
      <c r="T1044" s="8"/>
      <c r="U1044" s="8"/>
      <c r="V1044" s="8"/>
      <c r="W1044" s="8"/>
      <c r="X1044" s="8"/>
      <c r="Y1044" s="8"/>
      <c r="Z1044" s="8"/>
      <c r="AA1044" s="8"/>
      <c r="AB1044" s="8"/>
      <c r="AC1044" s="8"/>
      <c r="AD1044" s="24"/>
      <c r="AE1044" s="24"/>
      <c r="AF1044" s="8"/>
      <c r="AG1044" s="8"/>
      <c r="AH1044" s="8"/>
      <c r="AI1044" s="8"/>
    </row>
    <row r="1045" spans="1:35" ht="15.75" customHeight="1" x14ac:dyDescent="0.25">
      <c r="A1045" s="8"/>
      <c r="B1045" s="8"/>
      <c r="C1045" s="8"/>
      <c r="D1045" s="8"/>
      <c r="E1045" s="50"/>
      <c r="F1045" s="51"/>
      <c r="G1045" s="51"/>
      <c r="H1045" s="52"/>
      <c r="I1045" s="52"/>
      <c r="J1045" s="52"/>
      <c r="K1045" s="52"/>
      <c r="L1045" s="52"/>
      <c r="M1045" s="49"/>
      <c r="N1045" s="52"/>
      <c r="O1045" s="22"/>
      <c r="P1045" s="22"/>
      <c r="Q1045" s="8"/>
      <c r="R1045" s="8"/>
      <c r="S1045" s="8"/>
      <c r="T1045" s="8"/>
      <c r="U1045" s="8"/>
      <c r="V1045" s="8"/>
      <c r="W1045" s="8"/>
      <c r="X1045" s="8"/>
      <c r="Y1045" s="8"/>
      <c r="Z1045" s="8"/>
      <c r="AA1045" s="8"/>
      <c r="AB1045" s="8"/>
      <c r="AC1045" s="8"/>
      <c r="AD1045" s="24"/>
      <c r="AE1045" s="24"/>
      <c r="AF1045" s="8"/>
      <c r="AG1045" s="8"/>
      <c r="AH1045" s="8"/>
      <c r="AI1045" s="8"/>
    </row>
    <row r="1046" spans="1:35" ht="15.75" customHeight="1" x14ac:dyDescent="0.25">
      <c r="A1046" s="8"/>
      <c r="B1046" s="8"/>
      <c r="C1046" s="8"/>
      <c r="D1046" s="8"/>
      <c r="E1046" s="50"/>
      <c r="F1046" s="51"/>
      <c r="G1046" s="51"/>
      <c r="H1046" s="52"/>
      <c r="I1046" s="52"/>
      <c r="J1046" s="52"/>
      <c r="K1046" s="52"/>
      <c r="L1046" s="52"/>
      <c r="M1046" s="48"/>
      <c r="N1046" s="52"/>
      <c r="O1046" s="22"/>
      <c r="P1046" s="22"/>
      <c r="Q1046" s="8"/>
      <c r="R1046" s="8"/>
      <c r="S1046" s="8"/>
      <c r="T1046" s="8"/>
      <c r="U1046" s="8"/>
      <c r="V1046" s="8"/>
      <c r="W1046" s="8"/>
      <c r="X1046" s="8"/>
      <c r="Y1046" s="8"/>
      <c r="Z1046" s="8"/>
      <c r="AA1046" s="8"/>
      <c r="AB1046" s="8"/>
      <c r="AC1046" s="8"/>
      <c r="AD1046" s="24"/>
      <c r="AE1046" s="24"/>
      <c r="AF1046" s="8"/>
      <c r="AG1046" s="8"/>
      <c r="AH1046" s="8"/>
      <c r="AI1046" s="8"/>
    </row>
    <row r="1047" spans="1:35" ht="15.75" customHeight="1" x14ac:dyDescent="0.25">
      <c r="A1047" s="8"/>
      <c r="B1047" s="8"/>
      <c r="C1047" s="8"/>
      <c r="D1047" s="8"/>
      <c r="E1047" s="50"/>
      <c r="F1047" s="51"/>
      <c r="G1047" s="51"/>
      <c r="H1047" s="52"/>
      <c r="I1047" s="52"/>
      <c r="J1047" s="52"/>
      <c r="K1047" s="52"/>
      <c r="L1047" s="52"/>
      <c r="M1047" s="48"/>
      <c r="N1047" s="52"/>
      <c r="O1047" s="22"/>
      <c r="P1047" s="22"/>
      <c r="Q1047" s="8"/>
      <c r="R1047" s="8"/>
      <c r="S1047" s="8"/>
      <c r="T1047" s="8"/>
      <c r="U1047" s="8"/>
      <c r="V1047" s="8"/>
      <c r="W1047" s="8"/>
      <c r="X1047" s="8"/>
      <c r="Y1047" s="8"/>
      <c r="Z1047" s="8"/>
      <c r="AA1047" s="8"/>
      <c r="AB1047" s="8"/>
      <c r="AC1047" s="8"/>
      <c r="AD1047" s="24"/>
      <c r="AE1047" s="24"/>
      <c r="AF1047" s="8"/>
      <c r="AG1047" s="8"/>
      <c r="AH1047" s="8"/>
      <c r="AI1047" s="8"/>
    </row>
    <row r="1048" spans="1:35" ht="15.75" customHeight="1" x14ac:dyDescent="0.25">
      <c r="A1048" s="8"/>
      <c r="B1048" s="8"/>
      <c r="C1048" s="8"/>
      <c r="D1048" s="8"/>
      <c r="E1048" s="50"/>
      <c r="F1048" s="51"/>
      <c r="G1048" s="51"/>
      <c r="H1048" s="52"/>
      <c r="I1048" s="52"/>
      <c r="J1048" s="52"/>
      <c r="K1048" s="52"/>
      <c r="L1048" s="52"/>
      <c r="M1048" s="48"/>
      <c r="N1048" s="52"/>
      <c r="O1048" s="22"/>
      <c r="P1048" s="22"/>
      <c r="Q1048" s="8"/>
      <c r="R1048" s="8"/>
      <c r="S1048" s="8"/>
      <c r="T1048" s="8"/>
      <c r="U1048" s="8"/>
      <c r="V1048" s="8"/>
      <c r="W1048" s="8"/>
      <c r="X1048" s="8"/>
      <c r="Y1048" s="8"/>
      <c r="Z1048" s="8"/>
      <c r="AA1048" s="8"/>
      <c r="AB1048" s="8"/>
      <c r="AC1048" s="8"/>
      <c r="AD1048" s="24"/>
      <c r="AE1048" s="24"/>
      <c r="AF1048" s="8"/>
      <c r="AG1048" s="8"/>
      <c r="AH1048" s="8"/>
      <c r="AI1048" s="8"/>
    </row>
    <row r="1049" spans="1:35" ht="15.75" customHeight="1" x14ac:dyDescent="0.25">
      <c r="A1049" s="8"/>
      <c r="B1049" s="8"/>
      <c r="C1049" s="8"/>
      <c r="D1049" s="8"/>
      <c r="E1049" s="50"/>
      <c r="F1049" s="51"/>
      <c r="G1049" s="51"/>
      <c r="H1049" s="52"/>
      <c r="I1049" s="52"/>
      <c r="J1049" s="52"/>
      <c r="K1049" s="52"/>
      <c r="L1049" s="52"/>
      <c r="M1049" s="48"/>
      <c r="N1049" s="52"/>
      <c r="O1049" s="22"/>
      <c r="P1049" s="22"/>
      <c r="Q1049" s="8"/>
      <c r="R1049" s="8"/>
      <c r="S1049" s="8"/>
      <c r="T1049" s="8"/>
      <c r="U1049" s="8"/>
      <c r="V1049" s="8"/>
      <c r="W1049" s="8"/>
      <c r="X1049" s="8"/>
      <c r="Y1049" s="8"/>
      <c r="Z1049" s="8"/>
      <c r="AA1049" s="8"/>
      <c r="AB1049" s="8"/>
      <c r="AC1049" s="8"/>
      <c r="AD1049" s="24"/>
      <c r="AE1049" s="24"/>
      <c r="AF1049" s="8"/>
      <c r="AG1049" s="8"/>
      <c r="AH1049" s="8"/>
      <c r="AI1049" s="8"/>
    </row>
    <row r="1050" spans="1:35" ht="15.75" customHeight="1" x14ac:dyDescent="0.25">
      <c r="A1050" s="8"/>
      <c r="B1050" s="8"/>
      <c r="C1050" s="8"/>
      <c r="D1050" s="8"/>
      <c r="E1050" s="50"/>
      <c r="F1050" s="51"/>
      <c r="G1050" s="51"/>
      <c r="H1050" s="52"/>
      <c r="I1050" s="52"/>
      <c r="J1050" s="52"/>
      <c r="K1050" s="52"/>
      <c r="L1050" s="52"/>
      <c r="M1050" s="52"/>
      <c r="N1050" s="52"/>
      <c r="O1050" s="22"/>
      <c r="P1050" s="22"/>
      <c r="Q1050" s="8"/>
      <c r="R1050" s="8"/>
      <c r="S1050" s="8"/>
      <c r="T1050" s="8"/>
      <c r="U1050" s="8"/>
      <c r="V1050" s="8"/>
      <c r="W1050" s="8"/>
      <c r="X1050" s="8"/>
      <c r="Y1050" s="8"/>
      <c r="Z1050" s="8"/>
      <c r="AA1050" s="8"/>
      <c r="AB1050" s="8"/>
      <c r="AC1050" s="8"/>
      <c r="AD1050" s="24"/>
      <c r="AE1050" s="24"/>
      <c r="AF1050" s="8"/>
      <c r="AG1050" s="8"/>
      <c r="AH1050" s="8"/>
      <c r="AI1050" s="8"/>
    </row>
    <row r="1051" spans="1:35" ht="15.75" customHeight="1" x14ac:dyDescent="0.25">
      <c r="A1051" s="8"/>
      <c r="B1051" s="8"/>
      <c r="C1051" s="8"/>
      <c r="D1051" s="8"/>
      <c r="E1051" s="50"/>
      <c r="F1051" s="51"/>
      <c r="G1051" s="51"/>
      <c r="H1051" s="52"/>
      <c r="I1051" s="52"/>
      <c r="J1051" s="52"/>
      <c r="K1051" s="52"/>
      <c r="L1051" s="52"/>
      <c r="M1051" s="48"/>
      <c r="N1051" s="52"/>
      <c r="O1051" s="22"/>
      <c r="P1051" s="22"/>
      <c r="Q1051" s="8"/>
      <c r="R1051" s="8"/>
      <c r="S1051" s="8"/>
      <c r="T1051" s="8"/>
      <c r="U1051" s="8"/>
      <c r="V1051" s="8"/>
      <c r="W1051" s="8"/>
      <c r="X1051" s="8"/>
      <c r="Y1051" s="8"/>
      <c r="Z1051" s="8"/>
      <c r="AA1051" s="8"/>
      <c r="AB1051" s="8"/>
      <c r="AC1051" s="8"/>
      <c r="AD1051" s="24"/>
      <c r="AE1051" s="24"/>
      <c r="AF1051" s="8"/>
      <c r="AG1051" s="8"/>
      <c r="AH1051" s="8"/>
      <c r="AI1051" s="8"/>
    </row>
    <row r="1052" spans="1:35" ht="15.75" customHeight="1" x14ac:dyDescent="0.25">
      <c r="A1052" s="8"/>
      <c r="B1052" s="8"/>
      <c r="C1052" s="8"/>
      <c r="D1052" s="8"/>
      <c r="E1052" s="50"/>
      <c r="F1052" s="51"/>
      <c r="G1052" s="51"/>
      <c r="H1052" s="52"/>
      <c r="I1052" s="52"/>
      <c r="J1052" s="52"/>
      <c r="K1052" s="52"/>
      <c r="L1052" s="52"/>
      <c r="M1052" s="48"/>
      <c r="N1052" s="52"/>
      <c r="O1052" s="22"/>
      <c r="P1052" s="22"/>
      <c r="Q1052" s="8"/>
      <c r="R1052" s="8"/>
      <c r="S1052" s="8"/>
      <c r="T1052" s="8"/>
      <c r="U1052" s="8"/>
      <c r="V1052" s="8"/>
      <c r="W1052" s="8"/>
      <c r="X1052" s="8"/>
      <c r="Y1052" s="8"/>
      <c r="Z1052" s="8"/>
      <c r="AA1052" s="8"/>
      <c r="AB1052" s="8"/>
      <c r="AC1052" s="8"/>
      <c r="AD1052" s="24"/>
      <c r="AE1052" s="24"/>
      <c r="AF1052" s="8"/>
      <c r="AG1052" s="8"/>
      <c r="AH1052" s="8"/>
      <c r="AI1052" s="8"/>
    </row>
    <row r="1053" spans="1:35" ht="15.75" customHeight="1" x14ac:dyDescent="0.25">
      <c r="A1053" s="8"/>
      <c r="B1053" s="8"/>
      <c r="C1053" s="8"/>
      <c r="D1053" s="8"/>
      <c r="E1053" s="50"/>
      <c r="F1053" s="51"/>
      <c r="G1053" s="51"/>
      <c r="H1053" s="52"/>
      <c r="I1053" s="52"/>
      <c r="J1053" s="52"/>
      <c r="K1053" s="52"/>
      <c r="L1053" s="52"/>
      <c r="M1053" s="48"/>
      <c r="N1053" s="52"/>
      <c r="O1053" s="22"/>
      <c r="P1053" s="22"/>
      <c r="Q1053" s="8"/>
      <c r="R1053" s="8"/>
      <c r="S1053" s="8"/>
      <c r="T1053" s="8"/>
      <c r="U1053" s="8"/>
      <c r="V1053" s="8"/>
      <c r="W1053" s="8"/>
      <c r="X1053" s="8"/>
      <c r="Y1053" s="8"/>
      <c r="Z1053" s="8"/>
      <c r="AA1053" s="8"/>
      <c r="AB1053" s="8"/>
      <c r="AC1053" s="8"/>
      <c r="AD1053" s="24"/>
      <c r="AE1053" s="24"/>
      <c r="AF1053" s="8"/>
      <c r="AG1053" s="8"/>
      <c r="AH1053" s="8"/>
      <c r="AI1053" s="8"/>
    </row>
    <row r="1054" spans="1:35" ht="15.75" customHeight="1" x14ac:dyDescent="0.25">
      <c r="A1054" s="8"/>
      <c r="B1054" s="8"/>
      <c r="C1054" s="8"/>
      <c r="D1054" s="8"/>
      <c r="E1054" s="50"/>
      <c r="F1054" s="51"/>
      <c r="G1054" s="51"/>
      <c r="H1054" s="52"/>
      <c r="I1054" s="52"/>
      <c r="J1054" s="52"/>
      <c r="K1054" s="52"/>
      <c r="L1054" s="52"/>
      <c r="M1054" s="48"/>
      <c r="N1054" s="52"/>
      <c r="O1054" s="22"/>
      <c r="P1054" s="22"/>
      <c r="Q1054" s="8"/>
      <c r="R1054" s="8"/>
      <c r="S1054" s="8"/>
      <c r="T1054" s="8"/>
      <c r="U1054" s="8"/>
      <c r="V1054" s="8"/>
      <c r="W1054" s="8"/>
      <c r="X1054" s="8"/>
      <c r="Y1054" s="8"/>
      <c r="Z1054" s="8"/>
      <c r="AA1054" s="8"/>
      <c r="AB1054" s="8"/>
      <c r="AC1054" s="8"/>
      <c r="AD1054" s="24"/>
      <c r="AE1054" s="24"/>
      <c r="AF1054" s="8"/>
      <c r="AG1054" s="8"/>
      <c r="AH1054" s="8"/>
      <c r="AI1054" s="8"/>
    </row>
    <row r="1055" spans="1:35" ht="15.75" customHeight="1" x14ac:dyDescent="0.25">
      <c r="A1055" s="8"/>
      <c r="B1055" s="8"/>
      <c r="C1055" s="8"/>
      <c r="D1055" s="8"/>
      <c r="E1055" s="50"/>
      <c r="F1055" s="51"/>
      <c r="G1055" s="51"/>
      <c r="H1055" s="52"/>
      <c r="I1055" s="52"/>
      <c r="J1055" s="52"/>
      <c r="K1055" s="52"/>
      <c r="L1055" s="52"/>
      <c r="M1055" s="48"/>
      <c r="N1055" s="52"/>
      <c r="O1055" s="22"/>
      <c r="P1055" s="22"/>
      <c r="Q1055" s="8"/>
      <c r="R1055" s="8"/>
      <c r="S1055" s="8"/>
      <c r="T1055" s="8"/>
      <c r="U1055" s="8"/>
      <c r="V1055" s="8"/>
      <c r="W1055" s="8"/>
      <c r="X1055" s="8"/>
      <c r="Y1055" s="8"/>
      <c r="Z1055" s="8"/>
      <c r="AA1055" s="8"/>
      <c r="AB1055" s="8"/>
      <c r="AC1055" s="8"/>
      <c r="AD1055" s="24"/>
      <c r="AE1055" s="24"/>
      <c r="AF1055" s="8"/>
      <c r="AG1055" s="8"/>
      <c r="AH1055" s="8"/>
      <c r="AI1055" s="8"/>
    </row>
    <row r="1056" spans="1:35" ht="15.75" customHeight="1" x14ac:dyDescent="0.25">
      <c r="A1056" s="8"/>
      <c r="B1056" s="8"/>
      <c r="C1056" s="8"/>
      <c r="D1056" s="8"/>
      <c r="E1056" s="50"/>
      <c r="F1056" s="51"/>
      <c r="G1056" s="51"/>
      <c r="H1056" s="52"/>
      <c r="I1056" s="52"/>
      <c r="J1056" s="52"/>
      <c r="K1056" s="52"/>
      <c r="L1056" s="52"/>
      <c r="M1056" s="49"/>
      <c r="N1056" s="52"/>
      <c r="O1056" s="22"/>
      <c r="P1056" s="22"/>
      <c r="Q1056" s="8"/>
      <c r="R1056" s="8"/>
      <c r="S1056" s="8"/>
      <c r="T1056" s="8"/>
      <c r="U1056" s="8"/>
      <c r="V1056" s="8"/>
      <c r="W1056" s="8"/>
      <c r="X1056" s="8"/>
      <c r="Y1056" s="8"/>
      <c r="Z1056" s="8"/>
      <c r="AA1056" s="8"/>
      <c r="AB1056" s="8"/>
      <c r="AC1056" s="8"/>
      <c r="AD1056" s="24"/>
      <c r="AE1056" s="24"/>
      <c r="AF1056" s="8"/>
      <c r="AG1056" s="8"/>
      <c r="AH1056" s="8"/>
      <c r="AI1056" s="8"/>
    </row>
    <row r="1057" spans="1:35" ht="15.75" customHeight="1" x14ac:dyDescent="0.25">
      <c r="A1057" s="8"/>
      <c r="B1057" s="8"/>
      <c r="C1057" s="8"/>
      <c r="D1057" s="8"/>
      <c r="E1057" s="50"/>
      <c r="F1057" s="51"/>
      <c r="G1057" s="51"/>
      <c r="H1057" s="52"/>
      <c r="I1057" s="52"/>
      <c r="J1057" s="52"/>
      <c r="K1057" s="52"/>
      <c r="L1057" s="52"/>
      <c r="M1057" s="48"/>
      <c r="N1057" s="52"/>
      <c r="O1057" s="22"/>
      <c r="P1057" s="22"/>
      <c r="Q1057" s="8"/>
      <c r="R1057" s="8"/>
      <c r="S1057" s="8"/>
      <c r="T1057" s="8"/>
      <c r="U1057" s="8"/>
      <c r="V1057" s="8"/>
      <c r="W1057" s="8"/>
      <c r="X1057" s="8"/>
      <c r="Y1057" s="8"/>
      <c r="Z1057" s="8"/>
      <c r="AA1057" s="8"/>
      <c r="AB1057" s="8"/>
      <c r="AC1057" s="8"/>
      <c r="AD1057" s="24"/>
      <c r="AE1057" s="24"/>
      <c r="AF1057" s="8"/>
      <c r="AG1057" s="8"/>
      <c r="AH1057" s="8"/>
      <c r="AI1057" s="8"/>
    </row>
    <row r="1058" spans="1:35" ht="15.75" customHeight="1" x14ac:dyDescent="0.25">
      <c r="A1058" s="8"/>
      <c r="B1058" s="8"/>
      <c r="C1058" s="8"/>
      <c r="D1058" s="8"/>
      <c r="E1058" s="50"/>
      <c r="F1058" s="51"/>
      <c r="G1058" s="51"/>
      <c r="H1058" s="52"/>
      <c r="I1058" s="52"/>
      <c r="J1058" s="52"/>
      <c r="K1058" s="52"/>
      <c r="L1058" s="52"/>
      <c r="M1058" s="48"/>
      <c r="N1058" s="52"/>
      <c r="O1058" s="22"/>
      <c r="P1058" s="22"/>
      <c r="Q1058" s="8"/>
      <c r="R1058" s="8"/>
      <c r="S1058" s="8"/>
      <c r="T1058" s="8"/>
      <c r="U1058" s="8"/>
      <c r="V1058" s="8"/>
      <c r="W1058" s="8"/>
      <c r="X1058" s="8"/>
      <c r="Y1058" s="8"/>
      <c r="Z1058" s="8"/>
      <c r="AA1058" s="8"/>
      <c r="AB1058" s="8"/>
      <c r="AC1058" s="8"/>
      <c r="AD1058" s="24"/>
      <c r="AE1058" s="24"/>
      <c r="AF1058" s="8"/>
      <c r="AG1058" s="8"/>
      <c r="AH1058" s="8"/>
      <c r="AI1058" s="8"/>
    </row>
    <row r="1059" spans="1:35" ht="15.75" customHeight="1" x14ac:dyDescent="0.25">
      <c r="A1059" s="8"/>
      <c r="B1059" s="8"/>
      <c r="C1059" s="8"/>
      <c r="D1059" s="8"/>
      <c r="E1059" s="50"/>
      <c r="F1059" s="51"/>
      <c r="G1059" s="51"/>
      <c r="H1059" s="52"/>
      <c r="I1059" s="52"/>
      <c r="J1059" s="52"/>
      <c r="K1059" s="52"/>
      <c r="L1059" s="52"/>
      <c r="M1059" s="48"/>
      <c r="N1059" s="52"/>
      <c r="O1059" s="22"/>
      <c r="P1059" s="22"/>
      <c r="Q1059" s="8"/>
      <c r="R1059" s="8"/>
      <c r="S1059" s="8"/>
      <c r="T1059" s="8"/>
      <c r="U1059" s="8"/>
      <c r="V1059" s="8"/>
      <c r="W1059" s="8"/>
      <c r="X1059" s="8"/>
      <c r="Y1059" s="8"/>
      <c r="Z1059" s="8"/>
      <c r="AA1059" s="8"/>
      <c r="AB1059" s="8"/>
      <c r="AC1059" s="8"/>
      <c r="AD1059" s="24"/>
      <c r="AE1059" s="24"/>
      <c r="AF1059" s="8"/>
      <c r="AG1059" s="8"/>
      <c r="AH1059" s="8"/>
      <c r="AI1059" s="8"/>
    </row>
    <row r="1060" spans="1:35" ht="15.75" customHeight="1" x14ac:dyDescent="0.25">
      <c r="A1060" s="8"/>
      <c r="B1060" s="8"/>
      <c r="C1060" s="8"/>
      <c r="D1060" s="8"/>
      <c r="E1060" s="50"/>
      <c r="F1060" s="51"/>
      <c r="G1060" s="51"/>
      <c r="H1060" s="52"/>
      <c r="I1060" s="52"/>
      <c r="J1060" s="52"/>
      <c r="K1060" s="52"/>
      <c r="L1060" s="52"/>
      <c r="M1060" s="48"/>
      <c r="N1060" s="52"/>
      <c r="O1060" s="22"/>
      <c r="P1060" s="22"/>
      <c r="Q1060" s="8"/>
      <c r="R1060" s="8"/>
      <c r="S1060" s="8"/>
      <c r="T1060" s="8"/>
      <c r="U1060" s="8"/>
      <c r="V1060" s="8"/>
      <c r="W1060" s="8"/>
      <c r="X1060" s="8"/>
      <c r="Y1060" s="8"/>
      <c r="Z1060" s="8"/>
      <c r="AA1060" s="8"/>
      <c r="AB1060" s="8"/>
      <c r="AC1060" s="8"/>
      <c r="AD1060" s="24"/>
      <c r="AE1060" s="24"/>
      <c r="AF1060" s="8"/>
      <c r="AG1060" s="8"/>
      <c r="AH1060" s="8"/>
      <c r="AI1060" s="8"/>
    </row>
    <row r="1061" spans="1:35" ht="15.75" customHeight="1" x14ac:dyDescent="0.25">
      <c r="A1061" s="8"/>
      <c r="B1061" s="8"/>
      <c r="C1061" s="8"/>
      <c r="D1061" s="8"/>
      <c r="E1061" s="50"/>
      <c r="F1061" s="51"/>
      <c r="G1061" s="51"/>
      <c r="H1061" s="52"/>
      <c r="I1061" s="52"/>
      <c r="J1061" s="52"/>
      <c r="K1061" s="52"/>
      <c r="L1061" s="52"/>
      <c r="M1061" s="48"/>
      <c r="N1061" s="52"/>
      <c r="O1061" s="22"/>
      <c r="P1061" s="22"/>
      <c r="Q1061" s="8"/>
      <c r="R1061" s="8"/>
      <c r="S1061" s="8"/>
      <c r="T1061" s="8"/>
      <c r="U1061" s="8"/>
      <c r="V1061" s="8"/>
      <c r="W1061" s="8"/>
      <c r="X1061" s="8"/>
      <c r="Y1061" s="8"/>
      <c r="Z1061" s="8"/>
      <c r="AA1061" s="8"/>
      <c r="AB1061" s="8"/>
      <c r="AC1061" s="8"/>
      <c r="AD1061" s="24"/>
      <c r="AE1061" s="24"/>
      <c r="AF1061" s="8"/>
      <c r="AG1061" s="8"/>
      <c r="AH1061" s="8"/>
      <c r="AI1061" s="8"/>
    </row>
    <row r="1062" spans="1:35" ht="15.75" customHeight="1" x14ac:dyDescent="0.25">
      <c r="A1062" s="8"/>
      <c r="B1062" s="8"/>
      <c r="C1062" s="8"/>
      <c r="D1062" s="8"/>
      <c r="E1062" s="50"/>
      <c r="F1062" s="51"/>
      <c r="G1062" s="51"/>
      <c r="H1062" s="52"/>
      <c r="I1062" s="52"/>
      <c r="J1062" s="52"/>
      <c r="K1062" s="52"/>
      <c r="L1062" s="52"/>
      <c r="M1062" s="48"/>
      <c r="N1062" s="52"/>
      <c r="O1062" s="22"/>
      <c r="P1062" s="22"/>
      <c r="Q1062" s="8"/>
      <c r="R1062" s="8"/>
      <c r="S1062" s="8"/>
      <c r="T1062" s="8"/>
      <c r="U1062" s="8"/>
      <c r="V1062" s="8"/>
      <c r="W1062" s="8"/>
      <c r="X1062" s="8"/>
      <c r="Y1062" s="8"/>
      <c r="Z1062" s="8"/>
      <c r="AA1062" s="8"/>
      <c r="AB1062" s="8"/>
      <c r="AC1062" s="8"/>
      <c r="AD1062" s="24"/>
      <c r="AE1062" s="24"/>
      <c r="AF1062" s="8"/>
      <c r="AG1062" s="8"/>
      <c r="AH1062" s="8"/>
      <c r="AI1062" s="8"/>
    </row>
    <row r="1063" spans="1:35" ht="15.75" customHeight="1" x14ac:dyDescent="0.25">
      <c r="A1063" s="8"/>
      <c r="B1063" s="8"/>
      <c r="C1063" s="8"/>
      <c r="D1063" s="8"/>
      <c r="E1063" s="50"/>
      <c r="F1063" s="51"/>
      <c r="G1063" s="51"/>
      <c r="H1063" s="52"/>
      <c r="I1063" s="52"/>
      <c r="J1063" s="52"/>
      <c r="K1063" s="52"/>
      <c r="L1063" s="52"/>
      <c r="M1063" s="48"/>
      <c r="N1063" s="52"/>
      <c r="O1063" s="22"/>
      <c r="P1063" s="22"/>
      <c r="Q1063" s="8"/>
      <c r="R1063" s="8"/>
      <c r="S1063" s="8"/>
      <c r="T1063" s="8"/>
      <c r="U1063" s="8"/>
      <c r="V1063" s="8"/>
      <c r="W1063" s="8"/>
      <c r="X1063" s="8"/>
      <c r="Y1063" s="8"/>
      <c r="Z1063" s="8"/>
      <c r="AA1063" s="8"/>
      <c r="AB1063" s="8"/>
      <c r="AC1063" s="8"/>
      <c r="AD1063" s="24"/>
      <c r="AE1063" s="24"/>
      <c r="AF1063" s="8"/>
      <c r="AG1063" s="8"/>
      <c r="AH1063" s="8"/>
      <c r="AI1063" s="8"/>
    </row>
    <row r="1064" spans="1:35" ht="15.75" customHeight="1" x14ac:dyDescent="0.25">
      <c r="A1064" s="8"/>
      <c r="B1064" s="8"/>
      <c r="C1064" s="8"/>
      <c r="D1064" s="8"/>
      <c r="E1064" s="50"/>
      <c r="F1064" s="51"/>
      <c r="G1064" s="51"/>
      <c r="H1064" s="52"/>
      <c r="I1064" s="52"/>
      <c r="J1064" s="52"/>
      <c r="K1064" s="52"/>
      <c r="L1064" s="52"/>
      <c r="M1064" s="48"/>
      <c r="N1064" s="52"/>
      <c r="O1064" s="22"/>
      <c r="P1064" s="22"/>
      <c r="Q1064" s="8"/>
      <c r="R1064" s="8"/>
      <c r="S1064" s="8"/>
      <c r="T1064" s="8"/>
      <c r="U1064" s="8"/>
      <c r="V1064" s="8"/>
      <c r="W1064" s="8"/>
      <c r="X1064" s="8"/>
      <c r="Y1064" s="8"/>
      <c r="Z1064" s="8"/>
      <c r="AA1064" s="8"/>
      <c r="AB1064" s="8"/>
      <c r="AC1064" s="8"/>
      <c r="AD1064" s="24"/>
      <c r="AE1064" s="24"/>
      <c r="AF1064" s="8"/>
      <c r="AG1064" s="8"/>
      <c r="AH1064" s="8"/>
      <c r="AI1064" s="8"/>
    </row>
    <row r="1065" spans="1:35" ht="15.75" customHeight="1" x14ac:dyDescent="0.25">
      <c r="A1065" s="8"/>
      <c r="B1065" s="8"/>
      <c r="C1065" s="8"/>
      <c r="D1065" s="8"/>
      <c r="E1065" s="50"/>
      <c r="F1065" s="51"/>
      <c r="G1065" s="51"/>
      <c r="H1065" s="52"/>
      <c r="I1065" s="52"/>
      <c r="J1065" s="52"/>
      <c r="K1065" s="52"/>
      <c r="L1065" s="52"/>
      <c r="M1065" s="48"/>
      <c r="N1065" s="52"/>
      <c r="O1065" s="22"/>
      <c r="P1065" s="22"/>
      <c r="Q1065" s="8"/>
      <c r="R1065" s="8"/>
      <c r="S1065" s="8"/>
      <c r="T1065" s="8"/>
      <c r="U1065" s="8"/>
      <c r="V1065" s="8"/>
      <c r="W1065" s="8"/>
      <c r="X1065" s="8"/>
      <c r="Y1065" s="8"/>
      <c r="Z1065" s="8"/>
      <c r="AA1065" s="8"/>
      <c r="AB1065" s="8"/>
      <c r="AC1065" s="8"/>
      <c r="AD1065" s="24"/>
      <c r="AE1065" s="24"/>
      <c r="AF1065" s="8"/>
      <c r="AG1065" s="8"/>
      <c r="AH1065" s="8"/>
      <c r="AI1065" s="8"/>
    </row>
    <row r="1066" spans="1:35" ht="15.75" customHeight="1" x14ac:dyDescent="0.25">
      <c r="A1066" s="8"/>
      <c r="B1066" s="8"/>
      <c r="C1066" s="8"/>
      <c r="D1066" s="8"/>
      <c r="E1066" s="50"/>
      <c r="F1066" s="51"/>
      <c r="G1066" s="51"/>
      <c r="H1066" s="52"/>
      <c r="I1066" s="52"/>
      <c r="J1066" s="52"/>
      <c r="K1066" s="52"/>
      <c r="L1066" s="52"/>
      <c r="M1066" s="48"/>
      <c r="N1066" s="52"/>
      <c r="O1066" s="22"/>
      <c r="P1066" s="22"/>
      <c r="Q1066" s="8"/>
      <c r="R1066" s="8"/>
      <c r="S1066" s="8"/>
      <c r="T1066" s="8"/>
      <c r="U1066" s="8"/>
      <c r="V1066" s="8"/>
      <c r="W1066" s="8"/>
      <c r="X1066" s="8"/>
      <c r="Y1066" s="8"/>
      <c r="Z1066" s="8"/>
      <c r="AA1066" s="8"/>
      <c r="AB1066" s="8"/>
      <c r="AC1066" s="8"/>
      <c r="AD1066" s="24"/>
      <c r="AE1066" s="24"/>
      <c r="AF1066" s="8"/>
      <c r="AG1066" s="8"/>
      <c r="AH1066" s="8"/>
      <c r="AI1066" s="8"/>
    </row>
    <row r="1067" spans="1:35" ht="15.75" customHeight="1" x14ac:dyDescent="0.25">
      <c r="A1067" s="8"/>
      <c r="B1067" s="8"/>
      <c r="C1067" s="8"/>
      <c r="D1067" s="8"/>
      <c r="E1067" s="50"/>
      <c r="F1067" s="51"/>
      <c r="G1067" s="51"/>
      <c r="H1067" s="52"/>
      <c r="I1067" s="52"/>
      <c r="J1067" s="52"/>
      <c r="K1067" s="52"/>
      <c r="L1067" s="52"/>
      <c r="M1067" s="48"/>
      <c r="N1067" s="52"/>
      <c r="O1067" s="22"/>
      <c r="P1067" s="22"/>
      <c r="Q1067" s="8"/>
      <c r="R1067" s="8"/>
      <c r="S1067" s="8"/>
      <c r="T1067" s="8"/>
      <c r="U1067" s="8"/>
      <c r="V1067" s="8"/>
      <c r="W1067" s="8"/>
      <c r="X1067" s="8"/>
      <c r="Y1067" s="8"/>
      <c r="Z1067" s="8"/>
      <c r="AA1067" s="8"/>
      <c r="AB1067" s="8"/>
      <c r="AC1067" s="8"/>
      <c r="AD1067" s="24"/>
      <c r="AE1067" s="24"/>
      <c r="AF1067" s="8"/>
      <c r="AG1067" s="8"/>
      <c r="AH1067" s="8"/>
      <c r="AI1067" s="8"/>
    </row>
    <row r="1068" spans="1:35" ht="15.75" customHeight="1" x14ac:dyDescent="0.25">
      <c r="A1068" s="8"/>
      <c r="B1068" s="8"/>
      <c r="C1068" s="8"/>
      <c r="D1068" s="8"/>
      <c r="E1068" s="50"/>
      <c r="F1068" s="51"/>
      <c r="G1068" s="51"/>
      <c r="H1068" s="52"/>
      <c r="I1068" s="52"/>
      <c r="J1068" s="52"/>
      <c r="K1068" s="52"/>
      <c r="L1068" s="52"/>
      <c r="M1068" s="48"/>
      <c r="N1068" s="52"/>
      <c r="O1068" s="22"/>
      <c r="P1068" s="22"/>
      <c r="Q1068" s="8"/>
      <c r="R1068" s="8"/>
      <c r="S1068" s="8"/>
      <c r="T1068" s="8"/>
      <c r="U1068" s="8"/>
      <c r="V1068" s="8"/>
      <c r="W1068" s="8"/>
      <c r="X1068" s="8"/>
      <c r="Y1068" s="8"/>
      <c r="Z1068" s="8"/>
      <c r="AA1068" s="8"/>
      <c r="AB1068" s="8"/>
      <c r="AC1068" s="8"/>
      <c r="AD1068" s="24"/>
      <c r="AE1068" s="24"/>
      <c r="AF1068" s="8"/>
      <c r="AG1068" s="8"/>
      <c r="AH1068" s="8"/>
      <c r="AI1068" s="8"/>
    </row>
    <row r="1069" spans="1:35" ht="15.75" customHeight="1" x14ac:dyDescent="0.25">
      <c r="A1069" s="8"/>
      <c r="B1069" s="8"/>
      <c r="C1069" s="8"/>
      <c r="D1069" s="8"/>
      <c r="E1069" s="50"/>
      <c r="F1069" s="51"/>
      <c r="G1069" s="51"/>
      <c r="H1069" s="52"/>
      <c r="I1069" s="52"/>
      <c r="J1069" s="52"/>
      <c r="K1069" s="52"/>
      <c r="L1069" s="52"/>
      <c r="M1069" s="48"/>
      <c r="N1069" s="52"/>
      <c r="O1069" s="22"/>
      <c r="P1069" s="22"/>
      <c r="Q1069" s="8"/>
      <c r="R1069" s="8"/>
      <c r="S1069" s="8"/>
      <c r="T1069" s="8"/>
      <c r="U1069" s="8"/>
      <c r="V1069" s="8"/>
      <c r="W1069" s="8"/>
      <c r="X1069" s="8"/>
      <c r="Y1069" s="8"/>
      <c r="Z1069" s="8"/>
      <c r="AA1069" s="8"/>
      <c r="AB1069" s="8"/>
      <c r="AC1069" s="8"/>
      <c r="AD1069" s="24"/>
      <c r="AE1069" s="24"/>
      <c r="AF1069" s="8"/>
      <c r="AG1069" s="8"/>
      <c r="AH1069" s="8"/>
      <c r="AI1069" s="8"/>
    </row>
    <row r="1070" spans="1:35" ht="15.75" customHeight="1" x14ac:dyDescent="0.25">
      <c r="A1070" s="8"/>
      <c r="B1070" s="8"/>
      <c r="C1070" s="8"/>
      <c r="D1070" s="8"/>
      <c r="E1070" s="50"/>
      <c r="F1070" s="51"/>
      <c r="G1070" s="51"/>
      <c r="H1070" s="52"/>
      <c r="I1070" s="52"/>
      <c r="J1070" s="52"/>
      <c r="K1070" s="52"/>
      <c r="L1070" s="52"/>
      <c r="M1070" s="48"/>
      <c r="N1070" s="52"/>
      <c r="O1070" s="22"/>
      <c r="P1070" s="22"/>
      <c r="Q1070" s="8"/>
      <c r="R1070" s="8"/>
      <c r="S1070" s="8"/>
      <c r="T1070" s="8"/>
      <c r="U1070" s="8"/>
      <c r="V1070" s="8"/>
      <c r="W1070" s="8"/>
      <c r="X1070" s="8"/>
      <c r="Y1070" s="8"/>
      <c r="Z1070" s="8"/>
      <c r="AA1070" s="8"/>
      <c r="AB1070" s="8"/>
      <c r="AC1070" s="8"/>
      <c r="AD1070" s="24"/>
      <c r="AE1070" s="24"/>
      <c r="AF1070" s="8"/>
      <c r="AG1070" s="8"/>
      <c r="AH1070" s="8"/>
      <c r="AI1070" s="8"/>
    </row>
    <row r="1071" spans="1:35" ht="15.75" customHeight="1" x14ac:dyDescent="0.25">
      <c r="A1071" s="8"/>
      <c r="B1071" s="8"/>
      <c r="C1071" s="8"/>
      <c r="D1071" s="8"/>
      <c r="E1071" s="50"/>
      <c r="F1071" s="51"/>
      <c r="G1071" s="51"/>
      <c r="H1071" s="52"/>
      <c r="I1071" s="52"/>
      <c r="J1071" s="52"/>
      <c r="K1071" s="52"/>
      <c r="L1071" s="52"/>
      <c r="M1071" s="48"/>
      <c r="N1071" s="52"/>
      <c r="O1071" s="22"/>
      <c r="P1071" s="22"/>
      <c r="Q1071" s="8"/>
      <c r="R1071" s="8"/>
      <c r="S1071" s="8"/>
      <c r="T1071" s="8"/>
      <c r="U1071" s="8"/>
      <c r="V1071" s="8"/>
      <c r="W1071" s="8"/>
      <c r="X1071" s="8"/>
      <c r="Y1071" s="8"/>
      <c r="Z1071" s="8"/>
      <c r="AA1071" s="8"/>
      <c r="AB1071" s="8"/>
      <c r="AC1071" s="8"/>
      <c r="AD1071" s="24"/>
      <c r="AE1071" s="24"/>
      <c r="AF1071" s="8"/>
      <c r="AG1071" s="8"/>
      <c r="AH1071" s="8"/>
      <c r="AI1071" s="8"/>
    </row>
    <row r="1072" spans="1:35" ht="15.75" customHeight="1" x14ac:dyDescent="0.25">
      <c r="A1072" s="8"/>
      <c r="B1072" s="8"/>
      <c r="C1072" s="8"/>
      <c r="D1072" s="8"/>
      <c r="E1072" s="50"/>
      <c r="F1072" s="51"/>
      <c r="G1072" s="51"/>
      <c r="H1072" s="52"/>
      <c r="I1072" s="52"/>
      <c r="J1072" s="52"/>
      <c r="K1072" s="52"/>
      <c r="L1072" s="52"/>
      <c r="M1072" s="48"/>
      <c r="N1072" s="52"/>
      <c r="O1072" s="22"/>
      <c r="P1072" s="22"/>
      <c r="Q1072" s="8"/>
      <c r="R1072" s="8"/>
      <c r="S1072" s="8"/>
      <c r="T1072" s="8"/>
      <c r="U1072" s="8"/>
      <c r="V1072" s="8"/>
      <c r="W1072" s="8"/>
      <c r="X1072" s="8"/>
      <c r="Y1072" s="8"/>
      <c r="Z1072" s="8"/>
      <c r="AA1072" s="8"/>
      <c r="AB1072" s="8"/>
      <c r="AC1072" s="8"/>
      <c r="AD1072" s="24"/>
      <c r="AE1072" s="24"/>
      <c r="AF1072" s="8"/>
      <c r="AG1072" s="8"/>
      <c r="AH1072" s="8"/>
      <c r="AI1072" s="8"/>
    </row>
    <row r="1073" spans="1:35" ht="15.75" customHeight="1" x14ac:dyDescent="0.25">
      <c r="A1073" s="8"/>
      <c r="B1073" s="8"/>
      <c r="C1073" s="8"/>
      <c r="D1073" s="8"/>
      <c r="E1073" s="50"/>
      <c r="F1073" s="51"/>
      <c r="G1073" s="51"/>
      <c r="H1073" s="52"/>
      <c r="I1073" s="52"/>
      <c r="J1073" s="52"/>
      <c r="K1073" s="52"/>
      <c r="L1073" s="52"/>
      <c r="M1073" s="48"/>
      <c r="N1073" s="52"/>
      <c r="O1073" s="22"/>
      <c r="P1073" s="22"/>
      <c r="Q1073" s="8"/>
      <c r="R1073" s="8"/>
      <c r="S1073" s="8"/>
      <c r="T1073" s="8"/>
      <c r="U1073" s="8"/>
      <c r="V1073" s="8"/>
      <c r="W1073" s="8"/>
      <c r="X1073" s="8"/>
      <c r="Y1073" s="8"/>
      <c r="Z1073" s="8"/>
      <c r="AA1073" s="8"/>
      <c r="AB1073" s="8"/>
      <c r="AC1073" s="8"/>
      <c r="AD1073" s="24"/>
      <c r="AE1073" s="24"/>
      <c r="AF1073" s="8"/>
      <c r="AG1073" s="8"/>
      <c r="AH1073" s="8"/>
      <c r="AI1073" s="8"/>
    </row>
    <row r="1074" spans="1:35" ht="15.75" customHeight="1" x14ac:dyDescent="0.25">
      <c r="A1074" s="8"/>
      <c r="B1074" s="8"/>
      <c r="C1074" s="8"/>
      <c r="D1074" s="8"/>
      <c r="E1074" s="50"/>
      <c r="F1074" s="51"/>
      <c r="G1074" s="51"/>
      <c r="H1074" s="52"/>
      <c r="I1074" s="52"/>
      <c r="J1074" s="52"/>
      <c r="K1074" s="52"/>
      <c r="L1074" s="52"/>
      <c r="M1074" s="49"/>
      <c r="N1074" s="52"/>
      <c r="O1074" s="22"/>
      <c r="P1074" s="22"/>
      <c r="Q1074" s="8"/>
      <c r="R1074" s="8"/>
      <c r="S1074" s="8"/>
      <c r="T1074" s="8"/>
      <c r="U1074" s="8"/>
      <c r="V1074" s="8"/>
      <c r="W1074" s="8"/>
      <c r="X1074" s="8"/>
      <c r="Y1074" s="8"/>
      <c r="Z1074" s="8"/>
      <c r="AA1074" s="8"/>
      <c r="AB1074" s="8"/>
      <c r="AC1074" s="8"/>
      <c r="AD1074" s="24"/>
      <c r="AE1074" s="24"/>
      <c r="AF1074" s="8"/>
      <c r="AG1074" s="8"/>
      <c r="AH1074" s="8"/>
      <c r="AI1074" s="8"/>
    </row>
    <row r="1075" spans="1:35" ht="15.75" customHeight="1" x14ac:dyDescent="0.25">
      <c r="A1075" s="8"/>
      <c r="B1075" s="8"/>
      <c r="C1075" s="8"/>
      <c r="D1075" s="8"/>
      <c r="E1075" s="50"/>
      <c r="F1075" s="51"/>
      <c r="G1075" s="51"/>
      <c r="H1075" s="52"/>
      <c r="I1075" s="52"/>
      <c r="J1075" s="52"/>
      <c r="K1075" s="52"/>
      <c r="L1075" s="52"/>
      <c r="M1075" s="48"/>
      <c r="N1075" s="52"/>
      <c r="O1075" s="22"/>
      <c r="P1075" s="22"/>
      <c r="Q1075" s="8"/>
      <c r="R1075" s="8"/>
      <c r="S1075" s="8"/>
      <c r="T1075" s="8"/>
      <c r="U1075" s="8"/>
      <c r="V1075" s="8"/>
      <c r="W1075" s="8"/>
      <c r="X1075" s="8"/>
      <c r="Y1075" s="8"/>
      <c r="Z1075" s="8"/>
      <c r="AA1075" s="8"/>
      <c r="AB1075" s="8"/>
      <c r="AC1075" s="8"/>
      <c r="AD1075" s="24"/>
      <c r="AE1075" s="24"/>
      <c r="AF1075" s="8"/>
      <c r="AG1075" s="8"/>
      <c r="AH1075" s="8"/>
      <c r="AI1075" s="8"/>
    </row>
    <row r="1076" spans="1:35" ht="15.75" customHeight="1" x14ac:dyDescent="0.25">
      <c r="A1076" s="8"/>
      <c r="B1076" s="8"/>
      <c r="C1076" s="8"/>
      <c r="D1076" s="8"/>
      <c r="E1076" s="50"/>
      <c r="F1076" s="51"/>
      <c r="G1076" s="51"/>
      <c r="H1076" s="52"/>
      <c r="I1076" s="52"/>
      <c r="J1076" s="52"/>
      <c r="K1076" s="52"/>
      <c r="L1076" s="52"/>
      <c r="M1076" s="52"/>
      <c r="N1076" s="52"/>
      <c r="O1076" s="22"/>
      <c r="P1076" s="22"/>
      <c r="Q1076" s="8"/>
      <c r="R1076" s="8"/>
      <c r="S1076" s="8"/>
      <c r="T1076" s="8"/>
      <c r="U1076" s="8"/>
      <c r="V1076" s="8"/>
      <c r="W1076" s="8"/>
      <c r="X1076" s="8"/>
      <c r="Y1076" s="8"/>
      <c r="Z1076" s="8"/>
      <c r="AA1076" s="8"/>
      <c r="AB1076" s="8"/>
      <c r="AC1076" s="8"/>
      <c r="AD1076" s="24"/>
      <c r="AE1076" s="24"/>
      <c r="AF1076" s="8"/>
      <c r="AG1076" s="8"/>
      <c r="AH1076" s="8"/>
      <c r="AI1076" s="8"/>
    </row>
    <row r="1077" spans="1:35" ht="15.75" customHeight="1" x14ac:dyDescent="0.25">
      <c r="A1077" s="8"/>
      <c r="B1077" s="8"/>
      <c r="C1077" s="8"/>
      <c r="D1077" s="8"/>
      <c r="E1077" s="50"/>
      <c r="F1077" s="51"/>
      <c r="G1077" s="51"/>
      <c r="H1077" s="52"/>
      <c r="I1077" s="52"/>
      <c r="J1077" s="52"/>
      <c r="K1077" s="52"/>
      <c r="L1077" s="52"/>
      <c r="M1077" s="48"/>
      <c r="N1077" s="52"/>
      <c r="O1077" s="22"/>
      <c r="P1077" s="22"/>
      <c r="Q1077" s="8"/>
      <c r="R1077" s="8"/>
      <c r="S1077" s="8"/>
      <c r="T1077" s="8"/>
      <c r="U1077" s="8"/>
      <c r="V1077" s="8"/>
      <c r="W1077" s="8"/>
      <c r="X1077" s="8"/>
      <c r="Y1077" s="8"/>
      <c r="Z1077" s="8"/>
      <c r="AA1077" s="8"/>
      <c r="AB1077" s="8"/>
      <c r="AC1077" s="8"/>
      <c r="AD1077" s="24"/>
      <c r="AE1077" s="24"/>
      <c r="AF1077" s="8"/>
      <c r="AG1077" s="8"/>
      <c r="AH1077" s="8"/>
      <c r="AI1077" s="8"/>
    </row>
    <row r="1078" spans="1:35" ht="15.75" customHeight="1" x14ac:dyDescent="0.25">
      <c r="A1078" s="8"/>
      <c r="B1078" s="8"/>
      <c r="C1078" s="8"/>
      <c r="D1078" s="8"/>
      <c r="E1078" s="50"/>
      <c r="F1078" s="51"/>
      <c r="G1078" s="51"/>
      <c r="H1078" s="52"/>
      <c r="I1078" s="52"/>
      <c r="J1078" s="52"/>
      <c r="K1078" s="52"/>
      <c r="L1078" s="52"/>
      <c r="M1078" s="48"/>
      <c r="N1078" s="52"/>
      <c r="O1078" s="22"/>
      <c r="P1078" s="22"/>
      <c r="Q1078" s="8"/>
      <c r="R1078" s="8"/>
      <c r="S1078" s="8"/>
      <c r="T1078" s="8"/>
      <c r="U1078" s="8"/>
      <c r="V1078" s="8"/>
      <c r="W1078" s="8"/>
      <c r="X1078" s="8"/>
      <c r="Y1078" s="8"/>
      <c r="Z1078" s="8"/>
      <c r="AA1078" s="8"/>
      <c r="AB1078" s="8"/>
      <c r="AC1078" s="8"/>
      <c r="AD1078" s="24"/>
      <c r="AE1078" s="24"/>
      <c r="AF1078" s="8"/>
      <c r="AG1078" s="8"/>
      <c r="AH1078" s="8"/>
      <c r="AI1078" s="8"/>
    </row>
    <row r="1079" spans="1:35" ht="15.75" customHeight="1" x14ac:dyDescent="0.25">
      <c r="A1079" s="8"/>
      <c r="B1079" s="8"/>
      <c r="C1079" s="8"/>
      <c r="D1079" s="8"/>
      <c r="E1079" s="50"/>
      <c r="F1079" s="51"/>
      <c r="G1079" s="51"/>
      <c r="H1079" s="52"/>
      <c r="I1079" s="52"/>
      <c r="J1079" s="52"/>
      <c r="K1079" s="52"/>
      <c r="L1079" s="52"/>
      <c r="M1079" s="49"/>
      <c r="N1079" s="52"/>
      <c r="O1079" s="22"/>
      <c r="P1079" s="22"/>
      <c r="Q1079" s="8"/>
      <c r="R1079" s="8"/>
      <c r="S1079" s="8"/>
      <c r="T1079" s="8"/>
      <c r="U1079" s="8"/>
      <c r="V1079" s="8"/>
      <c r="W1079" s="8"/>
      <c r="X1079" s="8"/>
      <c r="Y1079" s="8"/>
      <c r="Z1079" s="8"/>
      <c r="AA1079" s="8"/>
      <c r="AB1079" s="8"/>
      <c r="AC1079" s="8"/>
      <c r="AD1079" s="24"/>
      <c r="AE1079" s="24"/>
      <c r="AF1079" s="8"/>
      <c r="AG1079" s="8"/>
      <c r="AH1079" s="8"/>
      <c r="AI1079" s="8"/>
    </row>
    <row r="1080" spans="1:35" ht="15.75" customHeight="1" x14ac:dyDescent="0.25">
      <c r="A1080" s="8"/>
      <c r="B1080" s="8"/>
      <c r="C1080" s="8"/>
      <c r="D1080" s="8"/>
      <c r="E1080" s="50"/>
      <c r="F1080" s="51"/>
      <c r="G1080" s="51"/>
      <c r="H1080" s="52"/>
      <c r="I1080" s="52"/>
      <c r="J1080" s="52"/>
      <c r="K1080" s="52"/>
      <c r="L1080" s="52"/>
      <c r="M1080" s="49"/>
      <c r="N1080" s="52"/>
      <c r="O1080" s="22"/>
      <c r="P1080" s="22"/>
      <c r="Q1080" s="8"/>
      <c r="R1080" s="8"/>
      <c r="S1080" s="8"/>
      <c r="T1080" s="8"/>
      <c r="U1080" s="8"/>
      <c r="V1080" s="8"/>
      <c r="W1080" s="8"/>
      <c r="X1080" s="8"/>
      <c r="Y1080" s="8"/>
      <c r="Z1080" s="8"/>
      <c r="AA1080" s="8"/>
      <c r="AB1080" s="8"/>
      <c r="AC1080" s="8"/>
      <c r="AD1080" s="24"/>
      <c r="AE1080" s="24"/>
      <c r="AF1080" s="8"/>
      <c r="AG1080" s="8"/>
      <c r="AH1080" s="8"/>
      <c r="AI1080" s="8"/>
    </row>
    <row r="1081" spans="1:35" ht="15.75" customHeight="1" x14ac:dyDescent="0.25">
      <c r="A1081" s="8"/>
      <c r="B1081" s="8"/>
      <c r="C1081" s="8"/>
      <c r="D1081" s="8"/>
      <c r="E1081" s="50"/>
      <c r="F1081" s="51"/>
      <c r="G1081" s="51"/>
      <c r="H1081" s="52"/>
      <c r="I1081" s="52"/>
      <c r="J1081" s="52"/>
      <c r="K1081" s="52"/>
      <c r="L1081" s="52"/>
      <c r="M1081" s="48"/>
      <c r="N1081" s="52"/>
      <c r="O1081" s="22"/>
      <c r="P1081" s="22"/>
      <c r="Q1081" s="8"/>
      <c r="R1081" s="8"/>
      <c r="S1081" s="8"/>
      <c r="T1081" s="8"/>
      <c r="U1081" s="8"/>
      <c r="V1081" s="8"/>
      <c r="W1081" s="8"/>
      <c r="X1081" s="8"/>
      <c r="Y1081" s="8"/>
      <c r="Z1081" s="8"/>
      <c r="AA1081" s="8"/>
      <c r="AB1081" s="8"/>
      <c r="AC1081" s="8"/>
      <c r="AD1081" s="24"/>
      <c r="AE1081" s="24"/>
      <c r="AF1081" s="8"/>
      <c r="AG1081" s="8"/>
      <c r="AH1081" s="8"/>
      <c r="AI1081" s="8"/>
    </row>
    <row r="1082" spans="1:35" ht="15.75" customHeight="1" x14ac:dyDescent="0.25">
      <c r="A1082" s="8"/>
      <c r="B1082" s="8"/>
      <c r="C1082" s="8"/>
      <c r="D1082" s="8"/>
      <c r="E1082" s="50"/>
      <c r="F1082" s="51"/>
      <c r="G1082" s="51"/>
      <c r="H1082" s="52"/>
      <c r="I1082" s="52"/>
      <c r="J1082" s="52"/>
      <c r="K1082" s="52"/>
      <c r="L1082" s="52"/>
      <c r="M1082" s="52"/>
      <c r="N1082" s="52"/>
      <c r="O1082" s="22"/>
      <c r="P1082" s="22"/>
      <c r="Q1082" s="8"/>
      <c r="R1082" s="8"/>
      <c r="S1082" s="8"/>
      <c r="T1082" s="8"/>
      <c r="U1082" s="8"/>
      <c r="V1082" s="8"/>
      <c r="W1082" s="8"/>
      <c r="X1082" s="8"/>
      <c r="Y1082" s="8"/>
      <c r="Z1082" s="8"/>
      <c r="AA1082" s="8"/>
      <c r="AB1082" s="8"/>
      <c r="AC1082" s="8"/>
      <c r="AD1082" s="24"/>
      <c r="AE1082" s="24"/>
      <c r="AF1082" s="8"/>
      <c r="AG1082" s="8"/>
      <c r="AH1082" s="8"/>
      <c r="AI1082" s="8"/>
    </row>
    <row r="1083" spans="1:35" ht="15.75" customHeight="1" x14ac:dyDescent="0.25">
      <c r="A1083" s="8"/>
      <c r="B1083" s="8"/>
      <c r="C1083" s="8"/>
      <c r="D1083" s="8"/>
      <c r="E1083" s="50"/>
      <c r="F1083" s="51"/>
      <c r="G1083" s="51"/>
      <c r="H1083" s="52"/>
      <c r="I1083" s="52"/>
      <c r="J1083" s="52"/>
      <c r="K1083" s="52"/>
      <c r="L1083" s="52"/>
      <c r="M1083" s="48"/>
      <c r="N1083" s="52"/>
      <c r="O1083" s="22"/>
      <c r="P1083" s="22"/>
      <c r="Q1083" s="8"/>
      <c r="R1083" s="8"/>
      <c r="S1083" s="8"/>
      <c r="T1083" s="8"/>
      <c r="U1083" s="8"/>
      <c r="V1083" s="8"/>
      <c r="W1083" s="8"/>
      <c r="X1083" s="8"/>
      <c r="Y1083" s="8"/>
      <c r="Z1083" s="8"/>
      <c r="AA1083" s="8"/>
      <c r="AB1083" s="8"/>
      <c r="AC1083" s="8"/>
      <c r="AD1083" s="24"/>
      <c r="AE1083" s="24"/>
      <c r="AF1083" s="8"/>
      <c r="AG1083" s="8"/>
      <c r="AH1083" s="8"/>
      <c r="AI1083" s="8"/>
    </row>
    <row r="1084" spans="1:35" ht="15.75" customHeight="1" x14ac:dyDescent="0.25">
      <c r="A1084" s="8"/>
      <c r="B1084" s="8"/>
      <c r="C1084" s="8"/>
      <c r="D1084" s="8"/>
      <c r="E1084" s="50"/>
      <c r="F1084" s="51"/>
      <c r="G1084" s="51"/>
      <c r="H1084" s="52"/>
      <c r="I1084" s="52"/>
      <c r="J1084" s="52"/>
      <c r="K1084" s="52"/>
      <c r="L1084" s="52"/>
      <c r="M1084" s="48"/>
      <c r="N1084" s="52"/>
      <c r="O1084" s="22"/>
      <c r="P1084" s="22"/>
      <c r="Q1084" s="8"/>
      <c r="R1084" s="8"/>
      <c r="S1084" s="8"/>
      <c r="T1084" s="8"/>
      <c r="U1084" s="8"/>
      <c r="V1084" s="8"/>
      <c r="W1084" s="8"/>
      <c r="X1084" s="8"/>
      <c r="Y1084" s="8"/>
      <c r="Z1084" s="8"/>
      <c r="AA1084" s="8"/>
      <c r="AB1084" s="8"/>
      <c r="AC1084" s="8"/>
      <c r="AD1084" s="24"/>
      <c r="AE1084" s="24"/>
      <c r="AF1084" s="8"/>
      <c r="AG1084" s="8"/>
      <c r="AH1084" s="8"/>
      <c r="AI1084" s="8"/>
    </row>
    <row r="1085" spans="1:35" ht="15.75" customHeight="1" x14ac:dyDescent="0.25">
      <c r="A1085" s="8"/>
      <c r="B1085" s="8"/>
      <c r="C1085" s="8"/>
      <c r="D1085" s="8"/>
      <c r="E1085" s="50"/>
      <c r="F1085" s="51"/>
      <c r="G1085" s="51"/>
      <c r="H1085" s="52"/>
      <c r="I1085" s="52"/>
      <c r="J1085" s="52"/>
      <c r="K1085" s="52"/>
      <c r="L1085" s="52"/>
      <c r="M1085" s="48"/>
      <c r="N1085" s="52"/>
      <c r="O1085" s="22"/>
      <c r="P1085" s="22"/>
      <c r="Q1085" s="8"/>
      <c r="R1085" s="8"/>
      <c r="S1085" s="8"/>
      <c r="T1085" s="8"/>
      <c r="U1085" s="8"/>
      <c r="V1085" s="8"/>
      <c r="W1085" s="8"/>
      <c r="X1085" s="8"/>
      <c r="Y1085" s="8"/>
      <c r="Z1085" s="8"/>
      <c r="AA1085" s="8"/>
      <c r="AB1085" s="8"/>
      <c r="AC1085" s="8"/>
      <c r="AD1085" s="24"/>
      <c r="AE1085" s="24"/>
      <c r="AF1085" s="8"/>
      <c r="AG1085" s="8"/>
      <c r="AH1085" s="8"/>
      <c r="AI1085" s="8"/>
    </row>
    <row r="1086" spans="1:35" ht="15.75" customHeight="1" x14ac:dyDescent="0.25">
      <c r="A1086" s="8"/>
      <c r="B1086" s="8"/>
      <c r="C1086" s="8"/>
      <c r="D1086" s="8"/>
      <c r="E1086" s="50"/>
      <c r="F1086" s="51"/>
      <c r="G1086" s="51"/>
      <c r="H1086" s="52"/>
      <c r="I1086" s="52"/>
      <c r="J1086" s="52"/>
      <c r="K1086" s="52"/>
      <c r="L1086" s="52"/>
      <c r="M1086" s="48"/>
      <c r="N1086" s="52"/>
      <c r="O1086" s="22"/>
      <c r="P1086" s="22"/>
      <c r="Q1086" s="8"/>
      <c r="R1086" s="8"/>
      <c r="S1086" s="8"/>
      <c r="T1086" s="8"/>
      <c r="U1086" s="8"/>
      <c r="V1086" s="8"/>
      <c r="W1086" s="8"/>
      <c r="X1086" s="8"/>
      <c r="Y1086" s="8"/>
      <c r="Z1086" s="8"/>
      <c r="AA1086" s="8"/>
      <c r="AB1086" s="8"/>
      <c r="AC1086" s="8"/>
      <c r="AD1086" s="24"/>
      <c r="AE1086" s="24"/>
      <c r="AF1086" s="8"/>
      <c r="AG1086" s="8"/>
      <c r="AH1086" s="8"/>
      <c r="AI1086" s="8"/>
    </row>
    <row r="1087" spans="1:35" ht="15.75" customHeight="1" x14ac:dyDescent="0.25">
      <c r="A1087" s="8"/>
      <c r="B1087" s="8"/>
      <c r="C1087" s="8"/>
      <c r="D1087" s="8"/>
      <c r="E1087" s="50"/>
      <c r="F1087" s="51"/>
      <c r="G1087" s="51"/>
      <c r="H1087" s="52"/>
      <c r="I1087" s="52"/>
      <c r="J1087" s="52"/>
      <c r="K1087" s="52"/>
      <c r="L1087" s="52"/>
      <c r="M1087" s="48"/>
      <c r="N1087" s="52"/>
      <c r="O1087" s="22"/>
      <c r="P1087" s="22"/>
      <c r="Q1087" s="8"/>
      <c r="R1087" s="8"/>
      <c r="S1087" s="8"/>
      <c r="T1087" s="8"/>
      <c r="U1087" s="8"/>
      <c r="V1087" s="8"/>
      <c r="W1087" s="8"/>
      <c r="X1087" s="8"/>
      <c r="Y1087" s="8"/>
      <c r="Z1087" s="8"/>
      <c r="AA1087" s="8"/>
      <c r="AB1087" s="8"/>
      <c r="AC1087" s="8"/>
      <c r="AD1087" s="24"/>
      <c r="AE1087" s="24"/>
      <c r="AF1087" s="8"/>
      <c r="AG1087" s="8"/>
      <c r="AH1087" s="8"/>
      <c r="AI1087" s="8"/>
    </row>
    <row r="1088" spans="1:35" ht="15.75" customHeight="1" x14ac:dyDescent="0.25">
      <c r="A1088" s="8"/>
      <c r="B1088" s="8"/>
      <c r="C1088" s="8"/>
      <c r="D1088" s="8"/>
      <c r="E1088" s="50"/>
      <c r="F1088" s="51"/>
      <c r="G1088" s="51"/>
      <c r="H1088" s="52"/>
      <c r="I1088" s="52"/>
      <c r="J1088" s="52"/>
      <c r="K1088" s="52"/>
      <c r="L1088" s="52"/>
      <c r="M1088" s="48"/>
      <c r="N1088" s="52"/>
      <c r="O1088" s="22"/>
      <c r="P1088" s="22"/>
      <c r="Q1088" s="8"/>
      <c r="R1088" s="8"/>
      <c r="S1088" s="8"/>
      <c r="T1088" s="8"/>
      <c r="U1088" s="8"/>
      <c r="V1088" s="8"/>
      <c r="W1088" s="8"/>
      <c r="X1088" s="8"/>
      <c r="Y1088" s="8"/>
      <c r="Z1088" s="8"/>
      <c r="AA1088" s="8"/>
      <c r="AB1088" s="8"/>
      <c r="AC1088" s="8"/>
      <c r="AD1088" s="24"/>
      <c r="AE1088" s="24"/>
      <c r="AF1088" s="8"/>
      <c r="AG1088" s="8"/>
      <c r="AH1088" s="8"/>
      <c r="AI1088" s="8"/>
    </row>
    <row r="1089" spans="1:35" ht="15.75" customHeight="1" x14ac:dyDescent="0.25">
      <c r="A1089" s="8"/>
      <c r="B1089" s="8"/>
      <c r="C1089" s="8"/>
      <c r="D1089" s="8"/>
      <c r="E1089" s="50"/>
      <c r="F1089" s="51"/>
      <c r="G1089" s="51"/>
      <c r="H1089" s="52"/>
      <c r="I1089" s="52"/>
      <c r="J1089" s="52"/>
      <c r="K1089" s="52"/>
      <c r="L1089" s="52"/>
      <c r="M1089" s="48"/>
      <c r="N1089" s="52"/>
      <c r="O1089" s="22"/>
      <c r="P1089" s="22"/>
      <c r="Q1089" s="8"/>
      <c r="R1089" s="8"/>
      <c r="S1089" s="8"/>
      <c r="T1089" s="8"/>
      <c r="U1089" s="8"/>
      <c r="V1089" s="8"/>
      <c r="W1089" s="8"/>
      <c r="X1089" s="8"/>
      <c r="Y1089" s="8"/>
      <c r="Z1089" s="8"/>
      <c r="AA1089" s="8"/>
      <c r="AB1089" s="8"/>
      <c r="AC1089" s="8"/>
      <c r="AD1089" s="24"/>
      <c r="AE1089" s="24"/>
      <c r="AF1089" s="8"/>
      <c r="AG1089" s="8"/>
      <c r="AH1089" s="8"/>
      <c r="AI1089" s="8"/>
    </row>
    <row r="1090" spans="1:35" ht="15.75" customHeight="1" x14ac:dyDescent="0.25">
      <c r="A1090" s="8"/>
      <c r="B1090" s="8"/>
      <c r="C1090" s="8"/>
      <c r="D1090" s="8"/>
      <c r="E1090" s="50"/>
      <c r="F1090" s="51"/>
      <c r="G1090" s="51"/>
      <c r="H1090" s="52"/>
      <c r="I1090" s="52"/>
      <c r="J1090" s="52"/>
      <c r="K1090" s="52"/>
      <c r="L1090" s="52"/>
      <c r="M1090" s="48"/>
      <c r="N1090" s="52"/>
      <c r="O1090" s="22"/>
      <c r="P1090" s="22"/>
      <c r="Q1090" s="8"/>
      <c r="R1090" s="8"/>
      <c r="S1090" s="8"/>
      <c r="T1090" s="8"/>
      <c r="U1090" s="8"/>
      <c r="V1090" s="8"/>
      <c r="W1090" s="8"/>
      <c r="X1090" s="8"/>
      <c r="Y1090" s="8"/>
      <c r="Z1090" s="8"/>
      <c r="AA1090" s="8"/>
      <c r="AB1090" s="8"/>
      <c r="AC1090" s="8"/>
      <c r="AD1090" s="24"/>
      <c r="AE1090" s="24"/>
      <c r="AF1090" s="8"/>
      <c r="AG1090" s="8"/>
      <c r="AH1090" s="8"/>
      <c r="AI1090" s="8"/>
    </row>
    <row r="1091" spans="1:35" ht="15.75" customHeight="1" x14ac:dyDescent="0.25">
      <c r="A1091" s="8"/>
      <c r="B1091" s="8"/>
      <c r="C1091" s="8"/>
      <c r="D1091" s="8"/>
      <c r="E1091" s="50"/>
      <c r="F1091" s="51"/>
      <c r="G1091" s="51"/>
      <c r="H1091" s="52"/>
      <c r="I1091" s="52"/>
      <c r="J1091" s="52"/>
      <c r="K1091" s="52"/>
      <c r="L1091" s="52"/>
      <c r="M1091" s="49"/>
      <c r="N1091" s="52"/>
      <c r="O1091" s="22"/>
      <c r="P1091" s="22"/>
      <c r="Q1091" s="8"/>
      <c r="R1091" s="8"/>
      <c r="S1091" s="8"/>
      <c r="T1091" s="8"/>
      <c r="U1091" s="8"/>
      <c r="V1091" s="8"/>
      <c r="W1091" s="8"/>
      <c r="X1091" s="8"/>
      <c r="Y1091" s="8"/>
      <c r="Z1091" s="8"/>
      <c r="AA1091" s="8"/>
      <c r="AB1091" s="8"/>
      <c r="AC1091" s="8"/>
      <c r="AD1091" s="24"/>
      <c r="AE1091" s="24"/>
      <c r="AF1091" s="8"/>
      <c r="AG1091" s="8"/>
      <c r="AH1091" s="8"/>
      <c r="AI1091" s="8"/>
    </row>
    <row r="1092" spans="1:35" ht="15.75" customHeight="1" x14ac:dyDescent="0.25">
      <c r="A1092" s="8"/>
      <c r="B1092" s="8"/>
      <c r="C1092" s="8"/>
      <c r="D1092" s="8"/>
      <c r="E1092" s="50"/>
      <c r="F1092" s="51"/>
      <c r="G1092" s="51"/>
      <c r="H1092" s="52"/>
      <c r="I1092" s="52"/>
      <c r="J1092" s="52"/>
      <c r="K1092" s="52"/>
      <c r="L1092" s="52"/>
      <c r="M1092" s="48"/>
      <c r="N1092" s="52"/>
      <c r="O1092" s="22"/>
      <c r="P1092" s="22"/>
      <c r="Q1092" s="8"/>
      <c r="R1092" s="8"/>
      <c r="S1092" s="8"/>
      <c r="T1092" s="8"/>
      <c r="U1092" s="8"/>
      <c r="V1092" s="8"/>
      <c r="W1092" s="8"/>
      <c r="X1092" s="8"/>
      <c r="Y1092" s="8"/>
      <c r="Z1092" s="8"/>
      <c r="AA1092" s="8"/>
      <c r="AB1092" s="8"/>
      <c r="AC1092" s="8"/>
      <c r="AD1092" s="24"/>
      <c r="AE1092" s="24"/>
      <c r="AF1092" s="8"/>
      <c r="AG1092" s="8"/>
      <c r="AH1092" s="8"/>
      <c r="AI1092" s="8"/>
    </row>
    <row r="1093" spans="1:35" ht="15.75" customHeight="1" x14ac:dyDescent="0.25">
      <c r="A1093" s="8"/>
      <c r="B1093" s="8"/>
      <c r="C1093" s="8"/>
      <c r="D1093" s="8"/>
      <c r="E1093" s="50"/>
      <c r="F1093" s="51"/>
      <c r="G1093" s="51"/>
      <c r="H1093" s="52"/>
      <c r="I1093" s="52"/>
      <c r="J1093" s="52"/>
      <c r="K1093" s="52"/>
      <c r="L1093" s="52"/>
      <c r="M1093" s="48"/>
      <c r="N1093" s="52"/>
      <c r="O1093" s="22"/>
      <c r="P1093" s="22"/>
      <c r="Q1093" s="8"/>
      <c r="R1093" s="8"/>
      <c r="S1093" s="8"/>
      <c r="T1093" s="8"/>
      <c r="U1093" s="8"/>
      <c r="V1093" s="8"/>
      <c r="W1093" s="8"/>
      <c r="X1093" s="8"/>
      <c r="Y1093" s="8"/>
      <c r="Z1093" s="8"/>
      <c r="AA1093" s="8"/>
      <c r="AB1093" s="8"/>
      <c r="AC1093" s="8"/>
      <c r="AD1093" s="24"/>
      <c r="AE1093" s="24"/>
      <c r="AF1093" s="8"/>
      <c r="AG1093" s="8"/>
      <c r="AH1093" s="8"/>
      <c r="AI1093" s="8"/>
    </row>
    <row r="1094" spans="1:35" ht="15.75" customHeight="1" x14ac:dyDescent="0.25">
      <c r="A1094" s="8"/>
      <c r="B1094" s="8"/>
      <c r="C1094" s="8"/>
      <c r="D1094" s="8"/>
      <c r="E1094" s="50"/>
      <c r="F1094" s="51"/>
      <c r="G1094" s="51"/>
      <c r="H1094" s="52"/>
      <c r="I1094" s="52"/>
      <c r="J1094" s="52"/>
      <c r="K1094" s="52"/>
      <c r="L1094" s="52"/>
      <c r="M1094" s="48"/>
      <c r="N1094" s="52"/>
      <c r="O1094" s="22"/>
      <c r="P1094" s="22"/>
      <c r="Q1094" s="8"/>
      <c r="R1094" s="8"/>
      <c r="S1094" s="8"/>
      <c r="T1094" s="8"/>
      <c r="U1094" s="8"/>
      <c r="V1094" s="8"/>
      <c r="W1094" s="8"/>
      <c r="X1094" s="8"/>
      <c r="Y1094" s="8"/>
      <c r="Z1094" s="8"/>
      <c r="AA1094" s="8"/>
      <c r="AB1094" s="8"/>
      <c r="AC1094" s="8"/>
      <c r="AD1094" s="24"/>
      <c r="AE1094" s="24"/>
      <c r="AF1094" s="8"/>
      <c r="AG1094" s="8"/>
      <c r="AH1094" s="8"/>
      <c r="AI1094" s="8"/>
    </row>
    <row r="1095" spans="1:35" ht="15.75" customHeight="1" x14ac:dyDescent="0.25">
      <c r="A1095" s="8"/>
      <c r="B1095" s="8"/>
      <c r="C1095" s="8"/>
      <c r="D1095" s="8"/>
      <c r="E1095" s="50"/>
      <c r="F1095" s="51"/>
      <c r="G1095" s="51"/>
      <c r="H1095" s="52"/>
      <c r="I1095" s="52"/>
      <c r="J1095" s="52"/>
      <c r="K1095" s="52"/>
      <c r="L1095" s="52"/>
      <c r="M1095" s="52"/>
      <c r="N1095" s="52"/>
      <c r="O1095" s="22"/>
      <c r="P1095" s="22"/>
      <c r="Q1095" s="8"/>
      <c r="R1095" s="8"/>
      <c r="S1095" s="8"/>
      <c r="T1095" s="8"/>
      <c r="U1095" s="8"/>
      <c r="V1095" s="8"/>
      <c r="W1095" s="8"/>
      <c r="X1095" s="8"/>
      <c r="Y1095" s="8"/>
      <c r="Z1095" s="8"/>
      <c r="AA1095" s="8"/>
      <c r="AB1095" s="8"/>
      <c r="AC1095" s="8"/>
      <c r="AD1095" s="24"/>
      <c r="AE1095" s="24"/>
      <c r="AF1095" s="8"/>
      <c r="AG1095" s="8"/>
      <c r="AH1095" s="8"/>
      <c r="AI1095" s="8"/>
    </row>
    <row r="1096" spans="1:35" ht="15.75" customHeight="1" x14ac:dyDescent="0.25">
      <c r="A1096" s="8"/>
      <c r="B1096" s="8"/>
      <c r="C1096" s="8"/>
      <c r="D1096" s="8"/>
      <c r="E1096" s="50"/>
      <c r="F1096" s="51"/>
      <c r="G1096" s="51"/>
      <c r="H1096" s="52"/>
      <c r="I1096" s="52"/>
      <c r="J1096" s="52"/>
      <c r="K1096" s="52"/>
      <c r="L1096" s="52"/>
      <c r="M1096" s="48"/>
      <c r="N1096" s="52"/>
      <c r="O1096" s="22"/>
      <c r="P1096" s="22"/>
      <c r="Q1096" s="8"/>
      <c r="R1096" s="8"/>
      <c r="S1096" s="8"/>
      <c r="T1096" s="8"/>
      <c r="U1096" s="8"/>
      <c r="V1096" s="8"/>
      <c r="W1096" s="8"/>
      <c r="X1096" s="8"/>
      <c r="Y1096" s="8"/>
      <c r="Z1096" s="8"/>
      <c r="AA1096" s="8"/>
      <c r="AB1096" s="8"/>
      <c r="AC1096" s="8"/>
      <c r="AD1096" s="24"/>
      <c r="AE1096" s="24"/>
      <c r="AF1096" s="8"/>
      <c r="AG1096" s="8"/>
      <c r="AH1096" s="8"/>
      <c r="AI1096" s="8"/>
    </row>
    <row r="1097" spans="1:35" ht="15.75" customHeight="1" x14ac:dyDescent="0.25">
      <c r="A1097" s="8"/>
      <c r="B1097" s="8"/>
      <c r="C1097" s="8"/>
      <c r="D1097" s="8"/>
      <c r="E1097" s="50"/>
      <c r="F1097" s="51"/>
      <c r="G1097" s="51"/>
      <c r="H1097" s="52"/>
      <c r="I1097" s="52"/>
      <c r="J1097" s="52"/>
      <c r="K1097" s="52"/>
      <c r="L1097" s="52"/>
      <c r="M1097" s="48"/>
      <c r="N1097" s="52"/>
      <c r="O1097" s="22"/>
      <c r="P1097" s="22"/>
      <c r="Q1097" s="8"/>
      <c r="R1097" s="8"/>
      <c r="S1097" s="8"/>
      <c r="T1097" s="8"/>
      <c r="U1097" s="8"/>
      <c r="V1097" s="8"/>
      <c r="W1097" s="8"/>
      <c r="X1097" s="8"/>
      <c r="Y1097" s="8"/>
      <c r="Z1097" s="8"/>
      <c r="AA1097" s="8"/>
      <c r="AB1097" s="8"/>
      <c r="AC1097" s="8"/>
      <c r="AD1097" s="24"/>
      <c r="AE1097" s="24"/>
      <c r="AF1097" s="8"/>
      <c r="AG1097" s="8"/>
      <c r="AH1097" s="8"/>
      <c r="AI1097" s="8"/>
    </row>
    <row r="1098" spans="1:35" ht="15.75" customHeight="1" x14ac:dyDescent="0.25">
      <c r="A1098" s="8"/>
      <c r="B1098" s="8"/>
      <c r="C1098" s="8"/>
      <c r="D1098" s="8"/>
      <c r="E1098" s="50"/>
      <c r="F1098" s="51"/>
      <c r="G1098" s="51"/>
      <c r="H1098" s="52"/>
      <c r="I1098" s="52"/>
      <c r="J1098" s="52"/>
      <c r="K1098" s="52"/>
      <c r="L1098" s="52"/>
      <c r="M1098" s="48"/>
      <c r="N1098" s="52"/>
      <c r="O1098" s="22"/>
      <c r="P1098" s="22"/>
      <c r="Q1098" s="8"/>
      <c r="R1098" s="8"/>
      <c r="S1098" s="8"/>
      <c r="T1098" s="8"/>
      <c r="U1098" s="8"/>
      <c r="V1098" s="8"/>
      <c r="W1098" s="8"/>
      <c r="X1098" s="8"/>
      <c r="Y1098" s="8"/>
      <c r="Z1098" s="8"/>
      <c r="AA1098" s="8"/>
      <c r="AB1098" s="8"/>
      <c r="AC1098" s="8"/>
      <c r="AD1098" s="24"/>
      <c r="AE1098" s="24"/>
      <c r="AF1098" s="8"/>
      <c r="AG1098" s="8"/>
      <c r="AH1098" s="8"/>
      <c r="AI1098" s="8"/>
    </row>
    <row r="1099" spans="1:35" ht="15.75" customHeight="1" x14ac:dyDescent="0.25">
      <c r="A1099" s="8"/>
      <c r="B1099" s="8"/>
      <c r="C1099" s="8"/>
      <c r="D1099" s="8"/>
      <c r="E1099" s="50"/>
      <c r="F1099" s="51"/>
      <c r="G1099" s="51"/>
      <c r="H1099" s="52"/>
      <c r="I1099" s="52"/>
      <c r="J1099" s="52"/>
      <c r="K1099" s="52"/>
      <c r="L1099" s="52"/>
      <c r="M1099" s="48"/>
      <c r="N1099" s="52"/>
      <c r="O1099" s="22"/>
      <c r="P1099" s="22"/>
      <c r="Q1099" s="8"/>
      <c r="R1099" s="8"/>
      <c r="S1099" s="8"/>
      <c r="T1099" s="8"/>
      <c r="U1099" s="8"/>
      <c r="V1099" s="8"/>
      <c r="W1099" s="8"/>
      <c r="X1099" s="8"/>
      <c r="Y1099" s="8"/>
      <c r="Z1099" s="8"/>
      <c r="AA1099" s="8"/>
      <c r="AB1099" s="8"/>
      <c r="AC1099" s="8"/>
      <c r="AD1099" s="24"/>
      <c r="AE1099" s="24"/>
      <c r="AF1099" s="8"/>
      <c r="AG1099" s="8"/>
      <c r="AH1099" s="8"/>
      <c r="AI1099" s="8"/>
    </row>
    <row r="1100" spans="1:35" ht="15.75" customHeight="1" x14ac:dyDescent="0.25">
      <c r="A1100" s="8"/>
      <c r="B1100" s="8"/>
      <c r="C1100" s="8"/>
      <c r="D1100" s="8"/>
      <c r="E1100" s="50"/>
      <c r="F1100" s="51"/>
      <c r="G1100" s="51"/>
      <c r="H1100" s="52"/>
      <c r="I1100" s="52"/>
      <c r="J1100" s="52"/>
      <c r="K1100" s="52"/>
      <c r="L1100" s="52"/>
      <c r="M1100" s="48"/>
      <c r="N1100" s="52"/>
      <c r="O1100" s="22"/>
      <c r="P1100" s="22"/>
      <c r="Q1100" s="8"/>
      <c r="R1100" s="8"/>
      <c r="S1100" s="8"/>
      <c r="T1100" s="8"/>
      <c r="U1100" s="8"/>
      <c r="V1100" s="8"/>
      <c r="W1100" s="8"/>
      <c r="X1100" s="8"/>
      <c r="Y1100" s="8"/>
      <c r="Z1100" s="8"/>
      <c r="AA1100" s="8"/>
      <c r="AB1100" s="8"/>
      <c r="AC1100" s="8"/>
      <c r="AD1100" s="24"/>
      <c r="AE1100" s="24"/>
      <c r="AF1100" s="8"/>
      <c r="AG1100" s="8"/>
      <c r="AH1100" s="8"/>
      <c r="AI1100" s="8"/>
    </row>
    <row r="1101" spans="1:35" ht="15.75" customHeight="1" x14ac:dyDescent="0.25">
      <c r="A1101" s="8"/>
      <c r="B1101" s="8"/>
      <c r="C1101" s="8"/>
      <c r="D1101" s="8"/>
      <c r="E1101" s="50"/>
      <c r="F1101" s="51"/>
      <c r="G1101" s="51"/>
      <c r="H1101" s="52"/>
      <c r="I1101" s="52"/>
      <c r="J1101" s="52"/>
      <c r="K1101" s="52"/>
      <c r="L1101" s="52"/>
      <c r="M1101" s="48"/>
      <c r="N1101" s="52"/>
      <c r="O1101" s="22"/>
      <c r="P1101" s="22"/>
      <c r="Q1101" s="8"/>
      <c r="R1101" s="8"/>
      <c r="S1101" s="8"/>
      <c r="T1101" s="8"/>
      <c r="U1101" s="8"/>
      <c r="V1101" s="8"/>
      <c r="W1101" s="8"/>
      <c r="X1101" s="8"/>
      <c r="Y1101" s="8"/>
      <c r="Z1101" s="8"/>
      <c r="AA1101" s="8"/>
      <c r="AB1101" s="8"/>
      <c r="AC1101" s="8"/>
      <c r="AD1101" s="24"/>
      <c r="AE1101" s="24"/>
      <c r="AF1101" s="8"/>
      <c r="AG1101" s="8"/>
      <c r="AH1101" s="8"/>
      <c r="AI1101" s="8"/>
    </row>
    <row r="1102" spans="1:35" ht="15.75" customHeight="1" x14ac:dyDescent="0.25">
      <c r="A1102" s="8"/>
      <c r="B1102" s="8"/>
      <c r="C1102" s="8"/>
      <c r="D1102" s="8"/>
      <c r="E1102" s="50"/>
      <c r="F1102" s="51"/>
      <c r="G1102" s="51"/>
      <c r="H1102" s="52"/>
      <c r="I1102" s="52"/>
      <c r="J1102" s="52"/>
      <c r="K1102" s="52"/>
      <c r="L1102" s="52"/>
      <c r="M1102" s="48"/>
      <c r="N1102" s="52"/>
      <c r="O1102" s="22"/>
      <c r="P1102" s="22"/>
      <c r="Q1102" s="8"/>
      <c r="R1102" s="8"/>
      <c r="S1102" s="8"/>
      <c r="T1102" s="8"/>
      <c r="U1102" s="8"/>
      <c r="V1102" s="8"/>
      <c r="W1102" s="8"/>
      <c r="X1102" s="8"/>
      <c r="Y1102" s="8"/>
      <c r="Z1102" s="8"/>
      <c r="AA1102" s="8"/>
      <c r="AB1102" s="8"/>
      <c r="AC1102" s="8"/>
      <c r="AD1102" s="24"/>
      <c r="AE1102" s="24"/>
      <c r="AF1102" s="8"/>
      <c r="AG1102" s="8"/>
      <c r="AH1102" s="8"/>
      <c r="AI1102" s="8"/>
    </row>
    <row r="1103" spans="1:35" ht="15.75" customHeight="1" x14ac:dyDescent="0.25">
      <c r="A1103" s="8"/>
      <c r="B1103" s="8"/>
      <c r="C1103" s="8"/>
      <c r="D1103" s="8"/>
      <c r="E1103" s="50"/>
      <c r="F1103" s="51"/>
      <c r="G1103" s="51"/>
      <c r="H1103" s="52"/>
      <c r="I1103" s="52"/>
      <c r="J1103" s="52"/>
      <c r="K1103" s="52"/>
      <c r="L1103" s="52"/>
      <c r="M1103" s="52"/>
      <c r="N1103" s="52"/>
      <c r="O1103" s="22"/>
      <c r="P1103" s="22"/>
      <c r="Q1103" s="8"/>
      <c r="R1103" s="8"/>
      <c r="S1103" s="8"/>
      <c r="T1103" s="8"/>
      <c r="U1103" s="8"/>
      <c r="V1103" s="8"/>
      <c r="W1103" s="8"/>
      <c r="X1103" s="8"/>
      <c r="Y1103" s="8"/>
      <c r="Z1103" s="8"/>
      <c r="AA1103" s="8"/>
      <c r="AB1103" s="8"/>
      <c r="AC1103" s="8"/>
      <c r="AD1103" s="24"/>
      <c r="AE1103" s="24"/>
      <c r="AF1103" s="8"/>
      <c r="AG1103" s="8"/>
      <c r="AH1103" s="8"/>
      <c r="AI1103" s="8"/>
    </row>
    <row r="1104" spans="1:35" ht="15.75" customHeight="1" x14ac:dyDescent="0.25">
      <c r="A1104" s="8"/>
      <c r="B1104" s="8"/>
      <c r="C1104" s="8"/>
      <c r="D1104" s="8"/>
      <c r="E1104" s="50"/>
      <c r="F1104" s="51"/>
      <c r="G1104" s="51"/>
      <c r="H1104" s="52"/>
      <c r="I1104" s="52"/>
      <c r="J1104" s="52"/>
      <c r="K1104" s="52"/>
      <c r="L1104" s="52"/>
      <c r="M1104" s="52"/>
      <c r="N1104" s="52"/>
      <c r="O1104" s="22"/>
      <c r="P1104" s="22"/>
      <c r="Q1104" s="8"/>
      <c r="R1104" s="8"/>
      <c r="S1104" s="8"/>
      <c r="T1104" s="8"/>
      <c r="U1104" s="8"/>
      <c r="V1104" s="8"/>
      <c r="W1104" s="8"/>
      <c r="X1104" s="8"/>
      <c r="Y1104" s="8"/>
      <c r="Z1104" s="8"/>
      <c r="AA1104" s="8"/>
      <c r="AB1104" s="8"/>
      <c r="AC1104" s="8"/>
      <c r="AD1104" s="24"/>
      <c r="AE1104" s="24"/>
      <c r="AF1104" s="8"/>
      <c r="AG1104" s="8"/>
      <c r="AH1104" s="8"/>
      <c r="AI1104" s="8"/>
    </row>
    <row r="1105" spans="1:35" ht="15.75" customHeight="1" x14ac:dyDescent="0.25">
      <c r="A1105" s="8"/>
      <c r="B1105" s="8"/>
      <c r="C1105" s="8"/>
      <c r="D1105" s="8"/>
      <c r="E1105" s="50"/>
      <c r="F1105" s="51"/>
      <c r="G1105" s="51"/>
      <c r="H1105" s="52"/>
      <c r="I1105" s="52"/>
      <c r="J1105" s="52"/>
      <c r="K1105" s="52"/>
      <c r="L1105" s="52"/>
      <c r="M1105" s="52"/>
      <c r="N1105" s="52"/>
      <c r="O1105" s="22"/>
      <c r="P1105" s="22"/>
      <c r="Q1105" s="8"/>
      <c r="R1105" s="8"/>
      <c r="S1105" s="8"/>
      <c r="T1105" s="8"/>
      <c r="U1105" s="8"/>
      <c r="V1105" s="8"/>
      <c r="W1105" s="8"/>
      <c r="X1105" s="8"/>
      <c r="Y1105" s="8"/>
      <c r="Z1105" s="8"/>
      <c r="AA1105" s="8"/>
      <c r="AB1105" s="8"/>
      <c r="AC1105" s="8"/>
      <c r="AD1105" s="24"/>
      <c r="AE1105" s="24"/>
      <c r="AF1105" s="8"/>
      <c r="AG1105" s="8"/>
      <c r="AH1105" s="8"/>
      <c r="AI1105" s="8"/>
    </row>
    <row r="1106" spans="1:35" ht="15.75" customHeight="1" x14ac:dyDescent="0.25">
      <c r="A1106" s="8"/>
      <c r="B1106" s="8"/>
      <c r="C1106" s="8"/>
      <c r="D1106" s="8"/>
      <c r="E1106" s="50"/>
      <c r="F1106" s="51"/>
      <c r="G1106" s="51"/>
      <c r="H1106" s="52"/>
      <c r="I1106" s="52"/>
      <c r="J1106" s="52"/>
      <c r="K1106" s="52"/>
      <c r="L1106" s="52"/>
      <c r="M1106" s="52"/>
      <c r="N1106" s="52"/>
      <c r="O1106" s="22"/>
      <c r="P1106" s="22"/>
      <c r="Q1106" s="8"/>
      <c r="R1106" s="8"/>
      <c r="S1106" s="8"/>
      <c r="T1106" s="8"/>
      <c r="U1106" s="8"/>
      <c r="V1106" s="8"/>
      <c r="W1106" s="8"/>
      <c r="X1106" s="8"/>
      <c r="Y1106" s="8"/>
      <c r="Z1106" s="8"/>
      <c r="AA1106" s="8"/>
      <c r="AB1106" s="8"/>
      <c r="AC1106" s="8"/>
      <c r="AD1106" s="24"/>
      <c r="AE1106" s="24"/>
      <c r="AF1106" s="8"/>
      <c r="AG1106" s="8"/>
      <c r="AH1106" s="8"/>
      <c r="AI1106" s="8"/>
    </row>
    <row r="1107" spans="1:35" ht="15.75" customHeight="1" x14ac:dyDescent="0.25">
      <c r="A1107" s="8"/>
      <c r="B1107" s="8"/>
      <c r="C1107" s="8"/>
      <c r="D1107" s="8"/>
      <c r="E1107" s="50"/>
      <c r="F1107" s="51"/>
      <c r="G1107" s="51"/>
      <c r="H1107" s="52"/>
      <c r="I1107" s="52"/>
      <c r="J1107" s="52"/>
      <c r="K1107" s="52"/>
      <c r="L1107" s="52"/>
      <c r="M1107" s="48"/>
      <c r="N1107" s="52"/>
      <c r="O1107" s="22"/>
      <c r="P1107" s="22"/>
      <c r="Q1107" s="8"/>
      <c r="R1107" s="8"/>
      <c r="S1107" s="8"/>
      <c r="T1107" s="8"/>
      <c r="U1107" s="8"/>
      <c r="V1107" s="8"/>
      <c r="W1107" s="8"/>
      <c r="X1107" s="8"/>
      <c r="Y1107" s="8"/>
      <c r="Z1107" s="8"/>
      <c r="AA1107" s="8"/>
      <c r="AB1107" s="8"/>
      <c r="AC1107" s="8"/>
      <c r="AD1107" s="24"/>
      <c r="AE1107" s="24"/>
      <c r="AF1107" s="8"/>
      <c r="AG1107" s="8"/>
      <c r="AH1107" s="8"/>
      <c r="AI1107" s="8"/>
    </row>
    <row r="1108" spans="1:35" ht="15.75" customHeight="1" x14ac:dyDescent="0.25">
      <c r="A1108" s="8"/>
      <c r="B1108" s="8"/>
      <c r="C1108" s="8"/>
      <c r="D1108" s="8"/>
      <c r="E1108" s="50"/>
      <c r="F1108" s="51"/>
      <c r="G1108" s="51"/>
      <c r="H1108" s="52"/>
      <c r="I1108" s="52"/>
      <c r="J1108" s="52"/>
      <c r="K1108" s="52"/>
      <c r="L1108" s="52"/>
      <c r="M1108" s="48"/>
      <c r="N1108" s="52"/>
      <c r="O1108" s="22"/>
      <c r="P1108" s="22"/>
      <c r="Q1108" s="8"/>
      <c r="R1108" s="8"/>
      <c r="S1108" s="8"/>
      <c r="T1108" s="8"/>
      <c r="U1108" s="8"/>
      <c r="V1108" s="8"/>
      <c r="W1108" s="8"/>
      <c r="X1108" s="8"/>
      <c r="Y1108" s="8"/>
      <c r="Z1108" s="8"/>
      <c r="AA1108" s="8"/>
      <c r="AB1108" s="8"/>
      <c r="AC1108" s="8"/>
      <c r="AD1108" s="24"/>
      <c r="AE1108" s="24"/>
      <c r="AF1108" s="8"/>
      <c r="AG1108" s="8"/>
      <c r="AH1108" s="8"/>
      <c r="AI1108" s="8"/>
    </row>
    <row r="1109" spans="1:35" ht="15.75" customHeight="1" x14ac:dyDescent="0.25">
      <c r="A1109" s="8"/>
      <c r="B1109" s="8"/>
      <c r="C1109" s="8"/>
      <c r="D1109" s="8"/>
      <c r="E1109" s="50"/>
      <c r="F1109" s="51"/>
      <c r="G1109" s="51"/>
      <c r="H1109" s="52"/>
      <c r="I1109" s="52"/>
      <c r="J1109" s="52"/>
      <c r="K1109" s="52"/>
      <c r="L1109" s="52"/>
      <c r="M1109" s="52"/>
      <c r="N1109" s="52"/>
      <c r="O1109" s="22"/>
      <c r="P1109" s="22"/>
      <c r="Q1109" s="8"/>
      <c r="R1109" s="8"/>
      <c r="S1109" s="8"/>
      <c r="T1109" s="8"/>
      <c r="U1109" s="8"/>
      <c r="V1109" s="8"/>
      <c r="W1109" s="8"/>
      <c r="X1109" s="8"/>
      <c r="Y1109" s="8"/>
      <c r="Z1109" s="8"/>
      <c r="AA1109" s="8"/>
      <c r="AB1109" s="8"/>
      <c r="AC1109" s="8"/>
      <c r="AD1109" s="24"/>
      <c r="AE1109" s="24"/>
      <c r="AF1109" s="8"/>
      <c r="AG1109" s="8"/>
      <c r="AH1109" s="8"/>
      <c r="AI1109" s="8"/>
    </row>
    <row r="1110" spans="1:35" ht="15.75" customHeight="1" x14ac:dyDescent="0.25">
      <c r="A1110" s="8"/>
      <c r="B1110" s="8"/>
      <c r="C1110" s="8"/>
      <c r="D1110" s="8"/>
      <c r="E1110" s="50"/>
      <c r="F1110" s="51"/>
      <c r="G1110" s="51"/>
      <c r="H1110" s="52"/>
      <c r="I1110" s="52"/>
      <c r="J1110" s="52"/>
      <c r="K1110" s="52"/>
      <c r="L1110" s="52"/>
      <c r="M1110" s="52"/>
      <c r="N1110" s="52"/>
      <c r="O1110" s="22"/>
      <c r="P1110" s="22"/>
      <c r="Q1110" s="8"/>
      <c r="R1110" s="8"/>
      <c r="S1110" s="8"/>
      <c r="T1110" s="8"/>
      <c r="U1110" s="8"/>
      <c r="V1110" s="8"/>
      <c r="W1110" s="8"/>
      <c r="X1110" s="8"/>
      <c r="Y1110" s="8"/>
      <c r="Z1110" s="8"/>
      <c r="AA1110" s="8"/>
      <c r="AB1110" s="8"/>
      <c r="AC1110" s="8"/>
      <c r="AD1110" s="24"/>
      <c r="AE1110" s="24"/>
      <c r="AF1110" s="8"/>
      <c r="AG1110" s="8"/>
      <c r="AH1110" s="8"/>
      <c r="AI1110" s="8"/>
    </row>
    <row r="1111" spans="1:35" ht="15.75" customHeight="1" x14ac:dyDescent="0.25">
      <c r="A1111" s="8"/>
      <c r="B1111" s="8"/>
      <c r="C1111" s="8"/>
      <c r="D1111" s="8"/>
      <c r="E1111" s="50"/>
      <c r="F1111" s="51"/>
      <c r="G1111" s="51"/>
      <c r="H1111" s="52"/>
      <c r="I1111" s="52"/>
      <c r="J1111" s="52"/>
      <c r="K1111" s="52"/>
      <c r="L1111" s="52"/>
      <c r="M1111" s="52"/>
      <c r="N1111" s="52"/>
      <c r="O1111" s="22"/>
      <c r="P1111" s="22"/>
      <c r="Q1111" s="8"/>
      <c r="R1111" s="8"/>
      <c r="S1111" s="8"/>
      <c r="T1111" s="8"/>
      <c r="U1111" s="8"/>
      <c r="V1111" s="8"/>
      <c r="W1111" s="8"/>
      <c r="X1111" s="8"/>
      <c r="Y1111" s="8"/>
      <c r="Z1111" s="8"/>
      <c r="AA1111" s="8"/>
      <c r="AB1111" s="8"/>
      <c r="AC1111" s="8"/>
      <c r="AD1111" s="24"/>
      <c r="AE1111" s="24"/>
      <c r="AF1111" s="8"/>
      <c r="AG1111" s="8"/>
      <c r="AH1111" s="8"/>
      <c r="AI1111" s="8"/>
    </row>
    <row r="1112" spans="1:35" ht="15.75" customHeight="1" x14ac:dyDescent="0.25">
      <c r="A1112" s="8"/>
      <c r="B1112" s="8"/>
      <c r="C1112" s="8"/>
      <c r="D1112" s="8"/>
      <c r="E1112" s="50"/>
      <c r="F1112" s="51"/>
      <c r="G1112" s="51"/>
      <c r="H1112" s="52"/>
      <c r="I1112" s="52"/>
      <c r="J1112" s="52"/>
      <c r="K1112" s="52"/>
      <c r="L1112" s="52"/>
      <c r="M1112" s="52"/>
      <c r="N1112" s="52"/>
      <c r="O1112" s="22"/>
      <c r="P1112" s="22"/>
      <c r="Q1112" s="8"/>
      <c r="R1112" s="8"/>
      <c r="S1112" s="8"/>
      <c r="T1112" s="8"/>
      <c r="U1112" s="8"/>
      <c r="V1112" s="8"/>
      <c r="W1112" s="8"/>
      <c r="X1112" s="8"/>
      <c r="Y1112" s="8"/>
      <c r="Z1112" s="8"/>
      <c r="AA1112" s="8"/>
      <c r="AB1112" s="8"/>
      <c r="AC1112" s="8"/>
      <c r="AD1112" s="24"/>
      <c r="AE1112" s="24"/>
      <c r="AF1112" s="8"/>
      <c r="AG1112" s="8"/>
      <c r="AH1112" s="8"/>
      <c r="AI1112" s="8"/>
    </row>
    <row r="1113" spans="1:35" ht="15.75" customHeight="1" x14ac:dyDescent="0.25">
      <c r="A1113" s="8"/>
      <c r="B1113" s="8"/>
      <c r="C1113" s="8"/>
      <c r="D1113" s="8"/>
      <c r="E1113" s="50"/>
      <c r="F1113" s="51"/>
      <c r="G1113" s="51"/>
      <c r="H1113" s="52"/>
      <c r="I1113" s="52"/>
      <c r="J1113" s="52"/>
      <c r="K1113" s="52"/>
      <c r="L1113" s="52"/>
      <c r="M1113" s="48"/>
      <c r="N1113" s="52"/>
      <c r="O1113" s="22"/>
      <c r="P1113" s="22"/>
      <c r="Q1113" s="8"/>
      <c r="R1113" s="8"/>
      <c r="S1113" s="8"/>
      <c r="T1113" s="8"/>
      <c r="U1113" s="8"/>
      <c r="V1113" s="8"/>
      <c r="W1113" s="8"/>
      <c r="X1113" s="8"/>
      <c r="Y1113" s="8"/>
      <c r="Z1113" s="8"/>
      <c r="AA1113" s="8"/>
      <c r="AB1113" s="8"/>
      <c r="AC1113" s="8"/>
      <c r="AD1113" s="24"/>
      <c r="AE1113" s="24"/>
      <c r="AF1113" s="8"/>
      <c r="AG1113" s="8"/>
      <c r="AH1113" s="8"/>
      <c r="AI1113" s="8"/>
    </row>
    <row r="1114" spans="1:35" ht="15.75" customHeight="1" x14ac:dyDescent="0.25">
      <c r="A1114" s="8"/>
      <c r="B1114" s="8"/>
      <c r="C1114" s="8"/>
      <c r="D1114" s="8"/>
      <c r="E1114" s="50"/>
      <c r="F1114" s="51"/>
      <c r="G1114" s="51"/>
      <c r="H1114" s="52"/>
      <c r="I1114" s="52"/>
      <c r="J1114" s="52"/>
      <c r="K1114" s="52"/>
      <c r="L1114" s="52"/>
      <c r="M1114" s="48"/>
      <c r="N1114" s="52"/>
      <c r="O1114" s="22"/>
      <c r="P1114" s="22"/>
      <c r="Q1114" s="8"/>
      <c r="R1114" s="8"/>
      <c r="S1114" s="8"/>
      <c r="T1114" s="8"/>
      <c r="U1114" s="8"/>
      <c r="V1114" s="8"/>
      <c r="W1114" s="8"/>
      <c r="X1114" s="8"/>
      <c r="Y1114" s="8"/>
      <c r="Z1114" s="8"/>
      <c r="AA1114" s="8"/>
      <c r="AB1114" s="8"/>
      <c r="AC1114" s="8"/>
      <c r="AD1114" s="24"/>
      <c r="AE1114" s="24"/>
      <c r="AF1114" s="8"/>
      <c r="AG1114" s="8"/>
      <c r="AH1114" s="8"/>
      <c r="AI1114" s="8"/>
    </row>
    <row r="1115" spans="1:35" ht="15.75" customHeight="1" x14ac:dyDescent="0.25">
      <c r="A1115" s="8"/>
      <c r="B1115" s="8"/>
      <c r="C1115" s="8"/>
      <c r="D1115" s="8"/>
      <c r="E1115" s="50"/>
      <c r="F1115" s="51"/>
      <c r="G1115" s="51"/>
      <c r="H1115" s="52"/>
      <c r="I1115" s="52"/>
      <c r="J1115" s="52"/>
      <c r="K1115" s="52"/>
      <c r="L1115" s="52"/>
      <c r="M1115" s="52"/>
      <c r="N1115" s="52"/>
      <c r="O1115" s="22"/>
      <c r="P1115" s="22"/>
      <c r="Q1115" s="8"/>
      <c r="R1115" s="8"/>
      <c r="S1115" s="8"/>
      <c r="T1115" s="8"/>
      <c r="U1115" s="8"/>
      <c r="V1115" s="8"/>
      <c r="W1115" s="8"/>
      <c r="X1115" s="8"/>
      <c r="Y1115" s="8"/>
      <c r="Z1115" s="8"/>
      <c r="AA1115" s="8"/>
      <c r="AB1115" s="8"/>
      <c r="AC1115" s="8"/>
      <c r="AD1115" s="24"/>
      <c r="AE1115" s="24"/>
      <c r="AF1115" s="8"/>
      <c r="AG1115" s="8"/>
      <c r="AH1115" s="8"/>
      <c r="AI1115" s="8"/>
    </row>
    <row r="1116" spans="1:35" ht="15.75" customHeight="1" x14ac:dyDescent="0.25">
      <c r="A1116" s="8"/>
      <c r="B1116" s="8"/>
      <c r="C1116" s="8"/>
      <c r="D1116" s="8"/>
      <c r="E1116" s="50"/>
      <c r="F1116" s="51"/>
      <c r="G1116" s="51"/>
      <c r="H1116" s="52"/>
      <c r="I1116" s="52"/>
      <c r="J1116" s="52"/>
      <c r="K1116" s="52"/>
      <c r="L1116" s="52"/>
      <c r="M1116" s="48"/>
      <c r="N1116" s="52"/>
      <c r="O1116" s="22"/>
      <c r="P1116" s="22"/>
      <c r="Q1116" s="8"/>
      <c r="R1116" s="8"/>
      <c r="S1116" s="8"/>
      <c r="T1116" s="8"/>
      <c r="U1116" s="8"/>
      <c r="V1116" s="8"/>
      <c r="W1116" s="8"/>
      <c r="X1116" s="8"/>
      <c r="Y1116" s="8"/>
      <c r="Z1116" s="8"/>
      <c r="AA1116" s="8"/>
      <c r="AB1116" s="8"/>
      <c r="AC1116" s="8"/>
      <c r="AD1116" s="24"/>
      <c r="AE1116" s="24"/>
      <c r="AF1116" s="8"/>
      <c r="AG1116" s="8"/>
      <c r="AH1116" s="8"/>
      <c r="AI1116" s="8"/>
    </row>
    <row r="1117" spans="1:35" ht="15.75" customHeight="1" x14ac:dyDescent="0.25">
      <c r="A1117" s="8"/>
      <c r="B1117" s="8"/>
      <c r="C1117" s="8"/>
      <c r="D1117" s="8"/>
      <c r="E1117" s="50"/>
      <c r="F1117" s="51"/>
      <c r="G1117" s="51"/>
      <c r="H1117" s="52"/>
      <c r="I1117" s="52"/>
      <c r="J1117" s="52"/>
      <c r="K1117" s="52"/>
      <c r="L1117" s="52"/>
      <c r="M1117" s="48"/>
      <c r="N1117" s="52"/>
      <c r="O1117" s="22"/>
      <c r="P1117" s="22"/>
      <c r="Q1117" s="8"/>
      <c r="R1117" s="8"/>
      <c r="S1117" s="8"/>
      <c r="T1117" s="8"/>
      <c r="U1117" s="8"/>
      <c r="V1117" s="8"/>
      <c r="W1117" s="8"/>
      <c r="X1117" s="8"/>
      <c r="Y1117" s="8"/>
      <c r="Z1117" s="8"/>
      <c r="AA1117" s="8"/>
      <c r="AB1117" s="8"/>
      <c r="AC1117" s="8"/>
      <c r="AD1117" s="24"/>
      <c r="AE1117" s="24"/>
      <c r="AF1117" s="8"/>
      <c r="AG1117" s="8"/>
      <c r="AH1117" s="8"/>
      <c r="AI1117" s="8"/>
    </row>
    <row r="1118" spans="1:35" ht="15.75" customHeight="1" x14ac:dyDescent="0.25">
      <c r="A1118" s="8"/>
      <c r="B1118" s="8"/>
      <c r="C1118" s="8"/>
      <c r="D1118" s="8"/>
      <c r="E1118" s="50"/>
      <c r="F1118" s="51"/>
      <c r="G1118" s="51"/>
      <c r="H1118" s="52"/>
      <c r="I1118" s="52"/>
      <c r="J1118" s="52"/>
      <c r="K1118" s="52"/>
      <c r="L1118" s="52"/>
      <c r="M1118" s="48"/>
      <c r="N1118" s="52"/>
      <c r="O1118" s="22"/>
      <c r="P1118" s="22"/>
      <c r="Q1118" s="8"/>
      <c r="R1118" s="8"/>
      <c r="S1118" s="8"/>
      <c r="T1118" s="8"/>
      <c r="U1118" s="8"/>
      <c r="V1118" s="8"/>
      <c r="W1118" s="8"/>
      <c r="X1118" s="8"/>
      <c r="Y1118" s="8"/>
      <c r="Z1118" s="8"/>
      <c r="AA1118" s="8"/>
      <c r="AB1118" s="8"/>
      <c r="AC1118" s="8"/>
      <c r="AD1118" s="24"/>
      <c r="AE1118" s="24"/>
      <c r="AF1118" s="8"/>
      <c r="AG1118" s="8"/>
      <c r="AH1118" s="8"/>
      <c r="AI1118" s="8"/>
    </row>
    <row r="1119" spans="1:35" ht="15.75" customHeight="1" x14ac:dyDescent="0.25">
      <c r="A1119" s="8"/>
      <c r="B1119" s="8"/>
      <c r="C1119" s="8"/>
      <c r="D1119" s="8"/>
      <c r="E1119" s="50"/>
      <c r="F1119" s="51"/>
      <c r="G1119" s="51"/>
      <c r="H1119" s="52"/>
      <c r="I1119" s="52"/>
      <c r="J1119" s="52"/>
      <c r="K1119" s="52"/>
      <c r="L1119" s="52"/>
      <c r="M1119" s="48"/>
      <c r="N1119" s="52"/>
      <c r="O1119" s="22"/>
      <c r="P1119" s="22"/>
      <c r="Q1119" s="8"/>
      <c r="R1119" s="8"/>
      <c r="S1119" s="8"/>
      <c r="T1119" s="8"/>
      <c r="U1119" s="8"/>
      <c r="V1119" s="8"/>
      <c r="W1119" s="8"/>
      <c r="X1119" s="8"/>
      <c r="Y1119" s="8"/>
      <c r="Z1119" s="8"/>
      <c r="AA1119" s="8"/>
      <c r="AB1119" s="8"/>
      <c r="AC1119" s="8"/>
      <c r="AD1119" s="24"/>
      <c r="AE1119" s="24"/>
      <c r="AF1119" s="8"/>
      <c r="AG1119" s="8"/>
      <c r="AH1119" s="8"/>
      <c r="AI1119" s="8"/>
    </row>
    <row r="1120" spans="1:35" ht="15.75" customHeight="1" x14ac:dyDescent="0.25">
      <c r="A1120" s="8"/>
      <c r="B1120" s="8"/>
      <c r="C1120" s="8"/>
      <c r="D1120" s="8"/>
      <c r="E1120" s="50"/>
      <c r="F1120" s="51"/>
      <c r="G1120" s="51"/>
      <c r="H1120" s="52"/>
      <c r="I1120" s="52"/>
      <c r="J1120" s="52"/>
      <c r="K1120" s="52"/>
      <c r="L1120" s="52"/>
      <c r="M1120" s="48"/>
      <c r="N1120" s="52"/>
      <c r="O1120" s="22"/>
      <c r="P1120" s="22"/>
      <c r="Q1120" s="8"/>
      <c r="R1120" s="8"/>
      <c r="S1120" s="8"/>
      <c r="T1120" s="8"/>
      <c r="U1120" s="8"/>
      <c r="V1120" s="8"/>
      <c r="W1120" s="8"/>
      <c r="X1120" s="8"/>
      <c r="Y1120" s="8"/>
      <c r="Z1120" s="8"/>
      <c r="AA1120" s="8"/>
      <c r="AB1120" s="8"/>
      <c r="AC1120" s="8"/>
      <c r="AD1120" s="24"/>
      <c r="AE1120" s="24"/>
      <c r="AF1120" s="8"/>
      <c r="AG1120" s="8"/>
      <c r="AH1120" s="8"/>
      <c r="AI1120" s="8"/>
    </row>
    <row r="1121" spans="1:35" ht="15.75" customHeight="1" x14ac:dyDescent="0.25">
      <c r="A1121" s="8"/>
      <c r="B1121" s="8"/>
      <c r="C1121" s="8"/>
      <c r="D1121" s="8"/>
      <c r="E1121" s="50"/>
      <c r="F1121" s="51"/>
      <c r="G1121" s="51"/>
      <c r="H1121" s="52"/>
      <c r="I1121" s="52"/>
      <c r="J1121" s="52"/>
      <c r="K1121" s="52"/>
      <c r="L1121" s="52"/>
      <c r="M1121" s="52"/>
      <c r="N1121" s="52"/>
      <c r="O1121" s="22"/>
      <c r="P1121" s="22"/>
      <c r="Q1121" s="8"/>
      <c r="R1121" s="8"/>
      <c r="S1121" s="8"/>
      <c r="T1121" s="8"/>
      <c r="U1121" s="8"/>
      <c r="V1121" s="8"/>
      <c r="W1121" s="8"/>
      <c r="X1121" s="8"/>
      <c r="Y1121" s="8"/>
      <c r="Z1121" s="8"/>
      <c r="AA1121" s="8"/>
      <c r="AB1121" s="8"/>
      <c r="AC1121" s="8"/>
      <c r="AD1121" s="24"/>
      <c r="AE1121" s="24"/>
      <c r="AF1121" s="8"/>
      <c r="AG1121" s="8"/>
      <c r="AH1121" s="8"/>
      <c r="AI1121" s="8"/>
    </row>
    <row r="1122" spans="1:35" ht="15.75" customHeight="1" x14ac:dyDescent="0.25">
      <c r="A1122" s="8"/>
      <c r="B1122" s="8"/>
      <c r="C1122" s="8"/>
      <c r="D1122" s="8"/>
      <c r="E1122" s="50"/>
      <c r="F1122" s="51"/>
      <c r="G1122" s="51"/>
      <c r="H1122" s="52"/>
      <c r="I1122" s="52"/>
      <c r="J1122" s="52"/>
      <c r="K1122" s="52"/>
      <c r="L1122" s="52"/>
      <c r="M1122" s="48"/>
      <c r="N1122" s="52"/>
      <c r="O1122" s="22"/>
      <c r="P1122" s="22"/>
      <c r="Q1122" s="8"/>
      <c r="R1122" s="8"/>
      <c r="S1122" s="8"/>
      <c r="T1122" s="8"/>
      <c r="U1122" s="8"/>
      <c r="V1122" s="8"/>
      <c r="W1122" s="8"/>
      <c r="X1122" s="8"/>
      <c r="Y1122" s="8"/>
      <c r="Z1122" s="8"/>
      <c r="AA1122" s="8"/>
      <c r="AB1122" s="8"/>
      <c r="AC1122" s="8"/>
      <c r="AD1122" s="24"/>
      <c r="AE1122" s="24"/>
      <c r="AF1122" s="8"/>
      <c r="AG1122" s="8"/>
      <c r="AH1122" s="8"/>
      <c r="AI1122" s="8"/>
    </row>
    <row r="1123" spans="1:35" ht="15.75" customHeight="1" x14ac:dyDescent="0.25">
      <c r="A1123" s="8"/>
      <c r="B1123" s="8"/>
      <c r="C1123" s="8"/>
      <c r="D1123" s="8"/>
      <c r="E1123" s="50"/>
      <c r="F1123" s="51"/>
      <c r="G1123" s="51"/>
      <c r="H1123" s="52"/>
      <c r="I1123" s="52"/>
      <c r="J1123" s="52"/>
      <c r="K1123" s="52"/>
      <c r="L1123" s="52"/>
      <c r="M1123" s="48"/>
      <c r="N1123" s="52"/>
      <c r="O1123" s="22"/>
      <c r="P1123" s="22"/>
      <c r="Q1123" s="8"/>
      <c r="R1123" s="8"/>
      <c r="S1123" s="8"/>
      <c r="T1123" s="8"/>
      <c r="U1123" s="8"/>
      <c r="V1123" s="8"/>
      <c r="W1123" s="8"/>
      <c r="X1123" s="8"/>
      <c r="Y1123" s="8"/>
      <c r="Z1123" s="8"/>
      <c r="AA1123" s="8"/>
      <c r="AB1123" s="8"/>
      <c r="AC1123" s="8"/>
      <c r="AD1123" s="24"/>
      <c r="AE1123" s="24"/>
      <c r="AF1123" s="8"/>
      <c r="AG1123" s="8"/>
      <c r="AH1123" s="8"/>
      <c r="AI1123" s="8"/>
    </row>
    <row r="1124" spans="1:35" ht="15.75" customHeight="1" x14ac:dyDescent="0.25">
      <c r="A1124" s="8"/>
      <c r="B1124" s="8"/>
      <c r="C1124" s="8"/>
      <c r="D1124" s="8"/>
      <c r="E1124" s="50"/>
      <c r="F1124" s="51"/>
      <c r="G1124" s="51"/>
      <c r="H1124" s="52"/>
      <c r="I1124" s="52"/>
      <c r="J1124" s="52"/>
      <c r="K1124" s="52"/>
      <c r="L1124" s="52"/>
      <c r="M1124" s="48"/>
      <c r="N1124" s="52"/>
      <c r="O1124" s="22"/>
      <c r="P1124" s="22"/>
      <c r="Q1124" s="8"/>
      <c r="R1124" s="8"/>
      <c r="S1124" s="8"/>
      <c r="T1124" s="8"/>
      <c r="U1124" s="8"/>
      <c r="V1124" s="8"/>
      <c r="W1124" s="8"/>
      <c r="X1124" s="8"/>
      <c r="Y1124" s="8"/>
      <c r="Z1124" s="8"/>
      <c r="AA1124" s="8"/>
      <c r="AB1124" s="8"/>
      <c r="AC1124" s="8"/>
      <c r="AD1124" s="24"/>
      <c r="AE1124" s="24"/>
      <c r="AF1124" s="8"/>
      <c r="AG1124" s="8"/>
      <c r="AH1124" s="8"/>
      <c r="AI1124" s="8"/>
    </row>
    <row r="1125" spans="1:35" ht="15.75" customHeight="1" x14ac:dyDescent="0.25">
      <c r="A1125" s="8"/>
      <c r="B1125" s="8"/>
      <c r="C1125" s="8"/>
      <c r="D1125" s="8"/>
      <c r="E1125" s="50"/>
      <c r="F1125" s="51"/>
      <c r="G1125" s="51"/>
      <c r="H1125" s="52"/>
      <c r="I1125" s="52"/>
      <c r="J1125" s="52"/>
      <c r="K1125" s="52"/>
      <c r="L1125" s="52"/>
      <c r="M1125" s="49"/>
      <c r="N1125" s="52"/>
      <c r="O1125" s="22"/>
      <c r="P1125" s="22"/>
      <c r="Q1125" s="8"/>
      <c r="R1125" s="8"/>
      <c r="S1125" s="8"/>
      <c r="T1125" s="8"/>
      <c r="U1125" s="8"/>
      <c r="V1125" s="8"/>
      <c r="W1125" s="8"/>
      <c r="X1125" s="8"/>
      <c r="Y1125" s="8"/>
      <c r="Z1125" s="8"/>
      <c r="AA1125" s="8"/>
      <c r="AB1125" s="8"/>
      <c r="AC1125" s="8"/>
      <c r="AD1125" s="24"/>
      <c r="AE1125" s="24"/>
      <c r="AF1125" s="8"/>
      <c r="AG1125" s="8"/>
      <c r="AH1125" s="8"/>
      <c r="AI1125" s="8"/>
    </row>
    <row r="1126" spans="1:35" ht="15.75" customHeight="1" x14ac:dyDescent="0.25">
      <c r="A1126" s="8"/>
      <c r="B1126" s="8"/>
      <c r="C1126" s="8"/>
      <c r="D1126" s="8"/>
      <c r="E1126" s="50"/>
      <c r="F1126" s="51"/>
      <c r="G1126" s="51"/>
      <c r="H1126" s="52"/>
      <c r="I1126" s="52"/>
      <c r="J1126" s="52"/>
      <c r="K1126" s="52"/>
      <c r="L1126" s="52"/>
      <c r="M1126" s="49"/>
      <c r="N1126" s="52"/>
      <c r="O1126" s="22"/>
      <c r="P1126" s="22"/>
      <c r="Q1126" s="8"/>
      <c r="R1126" s="8"/>
      <c r="S1126" s="8"/>
      <c r="T1126" s="8"/>
      <c r="U1126" s="8"/>
      <c r="V1126" s="8"/>
      <c r="W1126" s="8"/>
      <c r="X1126" s="8"/>
      <c r="Y1126" s="8"/>
      <c r="Z1126" s="8"/>
      <c r="AA1126" s="8"/>
      <c r="AB1126" s="8"/>
      <c r="AC1126" s="8"/>
      <c r="AD1126" s="24"/>
      <c r="AE1126" s="24"/>
      <c r="AF1126" s="8"/>
      <c r="AG1126" s="8"/>
      <c r="AH1126" s="8"/>
      <c r="AI1126" s="8"/>
    </row>
    <row r="1127" spans="1:35" ht="15.75" customHeight="1" x14ac:dyDescent="0.25">
      <c r="A1127" s="8"/>
      <c r="B1127" s="8"/>
      <c r="C1127" s="8"/>
      <c r="D1127" s="8"/>
      <c r="E1127" s="50"/>
      <c r="F1127" s="51"/>
      <c r="G1127" s="51"/>
      <c r="H1127" s="52"/>
      <c r="I1127" s="52"/>
      <c r="J1127" s="52"/>
      <c r="K1127" s="52"/>
      <c r="L1127" s="52"/>
      <c r="M1127" s="48"/>
      <c r="N1127" s="52"/>
      <c r="O1127" s="22"/>
      <c r="P1127" s="22"/>
      <c r="Q1127" s="8"/>
      <c r="R1127" s="8"/>
      <c r="S1127" s="8"/>
      <c r="T1127" s="8"/>
      <c r="U1127" s="8"/>
      <c r="V1127" s="8"/>
      <c r="W1127" s="8"/>
      <c r="X1127" s="8"/>
      <c r="Y1127" s="8"/>
      <c r="Z1127" s="8"/>
      <c r="AA1127" s="8"/>
      <c r="AB1127" s="8"/>
      <c r="AC1127" s="8"/>
      <c r="AD1127" s="24"/>
      <c r="AE1127" s="24"/>
      <c r="AF1127" s="8"/>
      <c r="AG1127" s="8"/>
      <c r="AH1127" s="8"/>
      <c r="AI1127" s="8"/>
    </row>
    <row r="1128" spans="1:35" ht="15.75" customHeight="1" x14ac:dyDescent="0.25">
      <c r="A1128" s="8"/>
      <c r="B1128" s="8"/>
      <c r="C1128" s="8"/>
      <c r="D1128" s="8"/>
      <c r="E1128" s="50"/>
      <c r="F1128" s="51"/>
      <c r="G1128" s="51"/>
      <c r="H1128" s="52"/>
      <c r="I1128" s="52"/>
      <c r="J1128" s="52"/>
      <c r="K1128" s="52"/>
      <c r="L1128" s="52"/>
      <c r="M1128" s="48"/>
      <c r="N1128" s="52"/>
      <c r="O1128" s="22"/>
      <c r="P1128" s="22"/>
      <c r="Q1128" s="8"/>
      <c r="R1128" s="8"/>
      <c r="S1128" s="8"/>
      <c r="T1128" s="8"/>
      <c r="U1128" s="8"/>
      <c r="V1128" s="8"/>
      <c r="W1128" s="8"/>
      <c r="X1128" s="8"/>
      <c r="Y1128" s="8"/>
      <c r="Z1128" s="8"/>
      <c r="AA1128" s="8"/>
      <c r="AB1128" s="8"/>
      <c r="AC1128" s="8"/>
      <c r="AD1128" s="24"/>
      <c r="AE1128" s="24"/>
      <c r="AF1128" s="8"/>
      <c r="AG1128" s="8"/>
      <c r="AH1128" s="8"/>
      <c r="AI1128" s="8"/>
    </row>
    <row r="1129" spans="1:35" ht="15.75" customHeight="1" x14ac:dyDescent="0.25">
      <c r="A1129" s="8"/>
      <c r="B1129" s="8"/>
      <c r="C1129" s="8"/>
      <c r="D1129" s="8"/>
      <c r="E1129" s="50"/>
      <c r="F1129" s="51"/>
      <c r="G1129" s="51"/>
      <c r="H1129" s="52"/>
      <c r="I1129" s="52"/>
      <c r="J1129" s="52"/>
      <c r="K1129" s="52"/>
      <c r="L1129" s="52"/>
      <c r="M1129" s="49"/>
      <c r="N1129" s="52"/>
      <c r="O1129" s="22"/>
      <c r="P1129" s="22"/>
      <c r="Q1129" s="8"/>
      <c r="R1129" s="8"/>
      <c r="S1129" s="8"/>
      <c r="T1129" s="8"/>
      <c r="U1129" s="8"/>
      <c r="V1129" s="8"/>
      <c r="W1129" s="8"/>
      <c r="X1129" s="8"/>
      <c r="Y1129" s="8"/>
      <c r="Z1129" s="8"/>
      <c r="AA1129" s="8"/>
      <c r="AB1129" s="8"/>
      <c r="AC1129" s="8"/>
      <c r="AD1129" s="24"/>
      <c r="AE1129" s="24"/>
      <c r="AF1129" s="8"/>
      <c r="AG1129" s="8"/>
      <c r="AH1129" s="8"/>
      <c r="AI1129" s="8"/>
    </row>
    <row r="1130" spans="1:35" ht="15.75" customHeight="1" x14ac:dyDescent="0.25">
      <c r="A1130" s="8"/>
      <c r="B1130" s="8"/>
      <c r="C1130" s="8"/>
      <c r="D1130" s="8"/>
      <c r="E1130" s="50"/>
      <c r="F1130" s="51"/>
      <c r="G1130" s="51"/>
      <c r="H1130" s="52"/>
      <c r="I1130" s="52"/>
      <c r="J1130" s="52"/>
      <c r="K1130" s="52"/>
      <c r="L1130" s="52"/>
      <c r="M1130" s="48"/>
      <c r="N1130" s="52"/>
      <c r="O1130" s="22"/>
      <c r="P1130" s="22"/>
      <c r="Q1130" s="8"/>
      <c r="R1130" s="8"/>
      <c r="S1130" s="8"/>
      <c r="T1130" s="8"/>
      <c r="U1130" s="8"/>
      <c r="V1130" s="8"/>
      <c r="W1130" s="8"/>
      <c r="X1130" s="8"/>
      <c r="Y1130" s="8"/>
      <c r="Z1130" s="8"/>
      <c r="AA1130" s="8"/>
      <c r="AB1130" s="8"/>
      <c r="AC1130" s="8"/>
      <c r="AD1130" s="24"/>
      <c r="AE1130" s="24"/>
      <c r="AF1130" s="8"/>
      <c r="AG1130" s="8"/>
      <c r="AH1130" s="8"/>
      <c r="AI1130" s="8"/>
    </row>
    <row r="1131" spans="1:35" ht="15.75" customHeight="1" x14ac:dyDescent="0.25">
      <c r="A1131" s="8"/>
      <c r="B1131" s="8"/>
      <c r="C1131" s="8"/>
      <c r="D1131" s="8"/>
      <c r="E1131" s="50"/>
      <c r="F1131" s="51"/>
      <c r="G1131" s="51"/>
      <c r="H1131" s="52"/>
      <c r="I1131" s="52"/>
      <c r="J1131" s="52"/>
      <c r="K1131" s="52"/>
      <c r="L1131" s="52"/>
      <c r="M1131" s="48"/>
      <c r="N1131" s="52"/>
      <c r="O1131" s="22"/>
      <c r="P1131" s="22"/>
      <c r="Q1131" s="8"/>
      <c r="R1131" s="8"/>
      <c r="S1131" s="8"/>
      <c r="T1131" s="8"/>
      <c r="U1131" s="8"/>
      <c r="V1131" s="8"/>
      <c r="W1131" s="8"/>
      <c r="X1131" s="8"/>
      <c r="Y1131" s="8"/>
      <c r="Z1131" s="8"/>
      <c r="AA1131" s="8"/>
      <c r="AB1131" s="8"/>
      <c r="AC1131" s="8"/>
      <c r="AD1131" s="24"/>
      <c r="AE1131" s="24"/>
      <c r="AF1131" s="8"/>
      <c r="AG1131" s="8"/>
      <c r="AH1131" s="8"/>
      <c r="AI1131" s="8"/>
    </row>
    <row r="1132" spans="1:35" ht="15.75" customHeight="1" x14ac:dyDescent="0.25">
      <c r="A1132" s="8"/>
      <c r="B1132" s="8"/>
      <c r="C1132" s="8"/>
      <c r="D1132" s="8"/>
      <c r="E1132" s="50"/>
      <c r="F1132" s="51"/>
      <c r="G1132" s="51"/>
      <c r="H1132" s="52"/>
      <c r="I1132" s="52"/>
      <c r="J1132" s="52"/>
      <c r="K1132" s="52"/>
      <c r="L1132" s="52"/>
      <c r="M1132" s="48"/>
      <c r="N1132" s="52"/>
      <c r="O1132" s="22"/>
      <c r="P1132" s="22"/>
      <c r="Q1132" s="8"/>
      <c r="R1132" s="8"/>
      <c r="S1132" s="8"/>
      <c r="T1132" s="8"/>
      <c r="U1132" s="8"/>
      <c r="V1132" s="8"/>
      <c r="W1132" s="8"/>
      <c r="X1132" s="8"/>
      <c r="Y1132" s="8"/>
      <c r="Z1132" s="8"/>
      <c r="AA1132" s="8"/>
      <c r="AB1132" s="8"/>
      <c r="AC1132" s="8"/>
      <c r="AD1132" s="24"/>
      <c r="AE1132" s="24"/>
      <c r="AF1132" s="8"/>
      <c r="AG1132" s="8"/>
      <c r="AH1132" s="8"/>
      <c r="AI1132" s="8"/>
    </row>
    <row r="1133" spans="1:35" ht="15.75" customHeight="1" x14ac:dyDescent="0.25">
      <c r="A1133" s="8"/>
      <c r="B1133" s="8"/>
      <c r="C1133" s="8"/>
      <c r="D1133" s="8"/>
      <c r="E1133" s="50"/>
      <c r="F1133" s="51"/>
      <c r="G1133" s="51"/>
      <c r="H1133" s="52"/>
      <c r="I1133" s="52"/>
      <c r="J1133" s="52"/>
      <c r="K1133" s="52"/>
      <c r="L1133" s="52"/>
      <c r="M1133" s="52"/>
      <c r="N1133" s="52"/>
      <c r="O1133" s="22"/>
      <c r="P1133" s="22"/>
      <c r="Q1133" s="8"/>
      <c r="R1133" s="8"/>
      <c r="S1133" s="8"/>
      <c r="T1133" s="8"/>
      <c r="U1133" s="8"/>
      <c r="V1133" s="8"/>
      <c r="W1133" s="8"/>
      <c r="X1133" s="8"/>
      <c r="Y1133" s="8"/>
      <c r="Z1133" s="8"/>
      <c r="AA1133" s="8"/>
      <c r="AB1133" s="8"/>
      <c r="AC1133" s="8"/>
      <c r="AD1133" s="24"/>
      <c r="AE1133" s="24"/>
      <c r="AF1133" s="8"/>
      <c r="AG1133" s="8"/>
      <c r="AH1133" s="8"/>
      <c r="AI1133" s="8"/>
    </row>
    <row r="1134" spans="1:35" ht="15.75" customHeight="1" x14ac:dyDescent="0.25">
      <c r="A1134" s="8"/>
      <c r="B1134" s="8"/>
      <c r="C1134" s="8"/>
      <c r="D1134" s="8"/>
      <c r="E1134" s="50"/>
      <c r="F1134" s="51"/>
      <c r="G1134" s="51"/>
      <c r="H1134" s="52"/>
      <c r="I1134" s="52"/>
      <c r="J1134" s="52"/>
      <c r="K1134" s="52"/>
      <c r="L1134" s="52"/>
      <c r="M1134" s="52"/>
      <c r="N1134" s="52"/>
      <c r="O1134" s="22"/>
      <c r="P1134" s="22"/>
      <c r="Q1134" s="8"/>
      <c r="R1134" s="8"/>
      <c r="S1134" s="8"/>
      <c r="T1134" s="8"/>
      <c r="U1134" s="8"/>
      <c r="V1134" s="8"/>
      <c r="W1134" s="8"/>
      <c r="X1134" s="8"/>
      <c r="Y1134" s="8"/>
      <c r="Z1134" s="8"/>
      <c r="AA1134" s="8"/>
      <c r="AB1134" s="8"/>
      <c r="AC1134" s="8"/>
      <c r="AD1134" s="24"/>
      <c r="AE1134" s="24"/>
      <c r="AF1134" s="8"/>
      <c r="AG1134" s="8"/>
      <c r="AH1134" s="8"/>
      <c r="AI1134" s="8"/>
    </row>
    <row r="1135" spans="1:35" ht="15.75" customHeight="1" x14ac:dyDescent="0.25">
      <c r="A1135" s="8"/>
      <c r="B1135" s="8"/>
      <c r="C1135" s="8"/>
      <c r="D1135" s="8"/>
      <c r="E1135" s="50"/>
      <c r="F1135" s="51"/>
      <c r="G1135" s="51"/>
      <c r="H1135" s="52"/>
      <c r="I1135" s="52"/>
      <c r="J1135" s="52"/>
      <c r="K1135" s="52"/>
      <c r="L1135" s="52"/>
      <c r="M1135" s="49"/>
      <c r="N1135" s="52"/>
      <c r="O1135" s="22"/>
      <c r="P1135" s="22"/>
      <c r="Q1135" s="8"/>
      <c r="R1135" s="8"/>
      <c r="S1135" s="8"/>
      <c r="T1135" s="8"/>
      <c r="U1135" s="8"/>
      <c r="V1135" s="8"/>
      <c r="W1135" s="8"/>
      <c r="X1135" s="8"/>
      <c r="Y1135" s="8"/>
      <c r="Z1135" s="8"/>
      <c r="AA1135" s="8"/>
      <c r="AB1135" s="8"/>
      <c r="AC1135" s="8"/>
      <c r="AD1135" s="24"/>
      <c r="AE1135" s="24"/>
      <c r="AF1135" s="8"/>
      <c r="AG1135" s="8"/>
      <c r="AH1135" s="8"/>
      <c r="AI1135" s="8"/>
    </row>
    <row r="1136" spans="1:35" ht="15.75" customHeight="1" x14ac:dyDescent="0.25">
      <c r="A1136" s="8"/>
      <c r="B1136" s="8"/>
      <c r="C1136" s="8"/>
      <c r="D1136" s="8"/>
      <c r="E1136" s="50"/>
      <c r="F1136" s="51"/>
      <c r="G1136" s="51"/>
      <c r="H1136" s="52"/>
      <c r="I1136" s="52"/>
      <c r="J1136" s="52"/>
      <c r="K1136" s="52"/>
      <c r="L1136" s="52"/>
      <c r="M1136" s="49"/>
      <c r="N1136" s="52"/>
      <c r="O1136" s="22"/>
      <c r="P1136" s="22"/>
      <c r="Q1136" s="8"/>
      <c r="R1136" s="8"/>
      <c r="S1136" s="8"/>
      <c r="T1136" s="8"/>
      <c r="U1136" s="8"/>
      <c r="V1136" s="8"/>
      <c r="W1136" s="8"/>
      <c r="X1136" s="8"/>
      <c r="Y1136" s="8"/>
      <c r="Z1136" s="8"/>
      <c r="AA1136" s="8"/>
      <c r="AB1136" s="8"/>
      <c r="AC1136" s="8"/>
      <c r="AD1136" s="24"/>
      <c r="AE1136" s="24"/>
      <c r="AF1136" s="8"/>
      <c r="AG1136" s="8"/>
      <c r="AH1136" s="8"/>
      <c r="AI1136" s="8"/>
    </row>
    <row r="1137" spans="1:35" ht="15.75" customHeight="1" x14ac:dyDescent="0.25">
      <c r="A1137" s="8"/>
      <c r="B1137" s="8"/>
      <c r="C1137" s="8"/>
      <c r="D1137" s="8"/>
      <c r="E1137" s="50"/>
      <c r="F1137" s="51"/>
      <c r="G1137" s="51"/>
      <c r="H1137" s="52"/>
      <c r="I1137" s="52"/>
      <c r="J1137" s="52"/>
      <c r="K1137" s="52"/>
      <c r="L1137" s="52"/>
      <c r="M1137" s="48"/>
      <c r="N1137" s="52"/>
      <c r="O1137" s="22"/>
      <c r="P1137" s="22"/>
      <c r="Q1137" s="8"/>
      <c r="R1137" s="8"/>
      <c r="S1137" s="8"/>
      <c r="T1137" s="8"/>
      <c r="U1137" s="8"/>
      <c r="V1137" s="8"/>
      <c r="W1137" s="8"/>
      <c r="X1137" s="8"/>
      <c r="Y1137" s="8"/>
      <c r="Z1137" s="8"/>
      <c r="AA1137" s="8"/>
      <c r="AB1137" s="8"/>
      <c r="AC1137" s="8"/>
      <c r="AD1137" s="24"/>
      <c r="AE1137" s="24"/>
      <c r="AF1137" s="8"/>
      <c r="AG1137" s="8"/>
      <c r="AH1137" s="8"/>
      <c r="AI1137" s="8"/>
    </row>
    <row r="1138" spans="1:35" ht="15.75" customHeight="1" x14ac:dyDescent="0.25">
      <c r="A1138" s="8"/>
      <c r="B1138" s="8"/>
      <c r="C1138" s="8"/>
      <c r="D1138" s="8"/>
      <c r="E1138" s="50"/>
      <c r="F1138" s="51"/>
      <c r="G1138" s="51"/>
      <c r="H1138" s="52"/>
      <c r="I1138" s="52"/>
      <c r="J1138" s="52"/>
      <c r="K1138" s="52"/>
      <c r="L1138" s="52"/>
      <c r="M1138" s="48"/>
      <c r="N1138" s="52"/>
      <c r="O1138" s="22"/>
      <c r="P1138" s="22"/>
      <c r="Q1138" s="8"/>
      <c r="R1138" s="8"/>
      <c r="S1138" s="8"/>
      <c r="T1138" s="8"/>
      <c r="U1138" s="8"/>
      <c r="V1138" s="8"/>
      <c r="W1138" s="8"/>
      <c r="X1138" s="8"/>
      <c r="Y1138" s="8"/>
      <c r="Z1138" s="8"/>
      <c r="AA1138" s="8"/>
      <c r="AB1138" s="8"/>
      <c r="AC1138" s="8"/>
      <c r="AD1138" s="24"/>
      <c r="AE1138" s="24"/>
      <c r="AF1138" s="8"/>
      <c r="AG1138" s="8"/>
      <c r="AH1138" s="8"/>
      <c r="AI1138" s="8"/>
    </row>
    <row r="1139" spans="1:35" ht="15.75" customHeight="1" x14ac:dyDescent="0.25">
      <c r="A1139" s="8"/>
      <c r="B1139" s="8"/>
      <c r="C1139" s="8"/>
      <c r="D1139" s="8"/>
      <c r="E1139" s="50"/>
      <c r="F1139" s="51"/>
      <c r="G1139" s="51"/>
      <c r="H1139" s="52"/>
      <c r="I1139" s="52"/>
      <c r="J1139" s="52"/>
      <c r="K1139" s="52"/>
      <c r="L1139" s="52"/>
      <c r="M1139" s="48"/>
      <c r="N1139" s="52"/>
      <c r="O1139" s="22"/>
      <c r="P1139" s="22"/>
      <c r="Q1139" s="8"/>
      <c r="R1139" s="8"/>
      <c r="S1139" s="8"/>
      <c r="T1139" s="8"/>
      <c r="U1139" s="8"/>
      <c r="V1139" s="8"/>
      <c r="W1139" s="8"/>
      <c r="X1139" s="8"/>
      <c r="Y1139" s="8"/>
      <c r="Z1139" s="8"/>
      <c r="AA1139" s="8"/>
      <c r="AB1139" s="8"/>
      <c r="AC1139" s="8"/>
      <c r="AD1139" s="24"/>
      <c r="AE1139" s="24"/>
      <c r="AF1139" s="8"/>
      <c r="AG1139" s="8"/>
      <c r="AH1139" s="8"/>
      <c r="AI1139" s="8"/>
    </row>
    <row r="1140" spans="1:35" ht="15.75" customHeight="1" x14ac:dyDescent="0.25">
      <c r="A1140" s="8"/>
      <c r="B1140" s="8"/>
      <c r="C1140" s="8"/>
      <c r="D1140" s="8"/>
      <c r="E1140" s="50"/>
      <c r="F1140" s="51"/>
      <c r="G1140" s="51"/>
      <c r="H1140" s="52"/>
      <c r="I1140" s="52"/>
      <c r="J1140" s="52"/>
      <c r="K1140" s="52"/>
      <c r="L1140" s="52"/>
      <c r="M1140" s="48"/>
      <c r="N1140" s="52"/>
      <c r="O1140" s="22"/>
      <c r="P1140" s="22"/>
      <c r="Q1140" s="8"/>
      <c r="R1140" s="8"/>
      <c r="S1140" s="8"/>
      <c r="T1140" s="8"/>
      <c r="U1140" s="8"/>
      <c r="V1140" s="8"/>
      <c r="W1140" s="8"/>
      <c r="X1140" s="8"/>
      <c r="Y1140" s="8"/>
      <c r="Z1140" s="8"/>
      <c r="AA1140" s="8"/>
      <c r="AB1140" s="8"/>
      <c r="AC1140" s="8"/>
      <c r="AD1140" s="24"/>
      <c r="AE1140" s="24"/>
      <c r="AF1140" s="8"/>
      <c r="AG1140" s="8"/>
      <c r="AH1140" s="8"/>
      <c r="AI1140" s="8"/>
    </row>
    <row r="1141" spans="1:35" ht="15.75" customHeight="1" x14ac:dyDescent="0.25">
      <c r="A1141" s="8"/>
      <c r="B1141" s="8"/>
      <c r="C1141" s="8"/>
      <c r="D1141" s="8"/>
      <c r="E1141" s="50"/>
      <c r="F1141" s="51"/>
      <c r="G1141" s="51"/>
      <c r="H1141" s="52"/>
      <c r="I1141" s="52"/>
      <c r="J1141" s="52"/>
      <c r="K1141" s="52"/>
      <c r="L1141" s="52"/>
      <c r="M1141" s="48"/>
      <c r="N1141" s="52"/>
      <c r="O1141" s="22"/>
      <c r="P1141" s="22"/>
      <c r="Q1141" s="8"/>
      <c r="R1141" s="8"/>
      <c r="S1141" s="8"/>
      <c r="T1141" s="8"/>
      <c r="U1141" s="8"/>
      <c r="V1141" s="8"/>
      <c r="W1141" s="8"/>
      <c r="X1141" s="8"/>
      <c r="Y1141" s="8"/>
      <c r="Z1141" s="8"/>
      <c r="AA1141" s="8"/>
      <c r="AB1141" s="8"/>
      <c r="AC1141" s="8"/>
      <c r="AD1141" s="24"/>
      <c r="AE1141" s="24"/>
      <c r="AF1141" s="8"/>
      <c r="AG1141" s="8"/>
      <c r="AH1141" s="8"/>
      <c r="AI1141" s="8"/>
    </row>
    <row r="1142" spans="1:35" ht="15.75" customHeight="1" x14ac:dyDescent="0.25">
      <c r="A1142" s="8"/>
      <c r="B1142" s="8"/>
      <c r="C1142" s="8"/>
      <c r="D1142" s="8"/>
      <c r="E1142" s="50"/>
      <c r="F1142" s="51"/>
      <c r="G1142" s="51"/>
      <c r="H1142" s="52"/>
      <c r="I1142" s="52"/>
      <c r="J1142" s="52"/>
      <c r="K1142" s="52"/>
      <c r="L1142" s="52"/>
      <c r="M1142" s="48"/>
      <c r="N1142" s="52"/>
      <c r="O1142" s="22"/>
      <c r="P1142" s="22"/>
      <c r="Q1142" s="8"/>
      <c r="R1142" s="8"/>
      <c r="S1142" s="8"/>
      <c r="T1142" s="8"/>
      <c r="U1142" s="8"/>
      <c r="V1142" s="8"/>
      <c r="W1142" s="8"/>
      <c r="X1142" s="8"/>
      <c r="Y1142" s="8"/>
      <c r="Z1142" s="8"/>
      <c r="AA1142" s="8"/>
      <c r="AB1142" s="8"/>
      <c r="AC1142" s="8"/>
      <c r="AD1142" s="24"/>
      <c r="AE1142" s="24"/>
      <c r="AF1142" s="8"/>
      <c r="AG1142" s="8"/>
      <c r="AH1142" s="8"/>
      <c r="AI1142" s="8"/>
    </row>
    <row r="1143" spans="1:35" ht="15.75" customHeight="1" x14ac:dyDescent="0.25">
      <c r="A1143" s="8"/>
      <c r="B1143" s="8"/>
      <c r="C1143" s="8"/>
      <c r="D1143" s="8"/>
      <c r="E1143" s="50"/>
      <c r="F1143" s="51"/>
      <c r="G1143" s="51"/>
      <c r="H1143" s="52"/>
      <c r="I1143" s="52"/>
      <c r="J1143" s="52"/>
      <c r="K1143" s="52"/>
      <c r="L1143" s="52"/>
      <c r="M1143" s="48"/>
      <c r="N1143" s="52"/>
      <c r="O1143" s="22"/>
      <c r="P1143" s="22"/>
      <c r="Q1143" s="8"/>
      <c r="R1143" s="8"/>
      <c r="S1143" s="8"/>
      <c r="T1143" s="8"/>
      <c r="U1143" s="8"/>
      <c r="V1143" s="8"/>
      <c r="W1143" s="8"/>
      <c r="X1143" s="8"/>
      <c r="Y1143" s="8"/>
      <c r="Z1143" s="8"/>
      <c r="AA1143" s="8"/>
      <c r="AB1143" s="8"/>
      <c r="AC1143" s="8"/>
      <c r="AD1143" s="24"/>
      <c r="AE1143" s="24"/>
      <c r="AF1143" s="8"/>
      <c r="AG1143" s="8"/>
      <c r="AH1143" s="8"/>
      <c r="AI1143" s="8"/>
    </row>
    <row r="1144" spans="1:35" ht="15.75" customHeight="1" x14ac:dyDescent="0.25">
      <c r="A1144" s="8"/>
      <c r="B1144" s="8"/>
      <c r="C1144" s="8"/>
      <c r="D1144" s="8"/>
      <c r="E1144" s="50"/>
      <c r="F1144" s="51"/>
      <c r="G1144" s="51"/>
      <c r="H1144" s="52"/>
      <c r="I1144" s="52"/>
      <c r="J1144" s="52"/>
      <c r="K1144" s="52"/>
      <c r="L1144" s="52"/>
      <c r="M1144" s="52"/>
      <c r="N1144" s="52"/>
      <c r="O1144" s="22"/>
      <c r="P1144" s="22"/>
      <c r="Q1144" s="8"/>
      <c r="R1144" s="8"/>
      <c r="S1144" s="8"/>
      <c r="T1144" s="8"/>
      <c r="U1144" s="8"/>
      <c r="V1144" s="8"/>
      <c r="W1144" s="8"/>
      <c r="X1144" s="8"/>
      <c r="Y1144" s="8"/>
      <c r="Z1144" s="8"/>
      <c r="AA1144" s="8"/>
      <c r="AB1144" s="8"/>
      <c r="AC1144" s="8"/>
      <c r="AD1144" s="24"/>
      <c r="AE1144" s="24"/>
      <c r="AF1144" s="8"/>
      <c r="AG1144" s="8"/>
      <c r="AH1144" s="8"/>
      <c r="AI1144" s="8"/>
    </row>
    <row r="1145" spans="1:35" ht="15.75" customHeight="1" x14ac:dyDescent="0.25">
      <c r="A1145" s="8"/>
      <c r="B1145" s="8"/>
      <c r="C1145" s="8"/>
      <c r="D1145" s="8"/>
      <c r="E1145" s="50"/>
      <c r="F1145" s="51"/>
      <c r="G1145" s="51"/>
      <c r="H1145" s="52"/>
      <c r="I1145" s="52"/>
      <c r="J1145" s="52"/>
      <c r="K1145" s="52"/>
      <c r="L1145" s="52"/>
      <c r="M1145" s="48"/>
      <c r="N1145" s="52"/>
      <c r="O1145" s="22"/>
      <c r="P1145" s="22"/>
      <c r="Q1145" s="8"/>
      <c r="R1145" s="8"/>
      <c r="S1145" s="8"/>
      <c r="T1145" s="8"/>
      <c r="U1145" s="8"/>
      <c r="V1145" s="8"/>
      <c r="W1145" s="8"/>
      <c r="X1145" s="8"/>
      <c r="Y1145" s="8"/>
      <c r="Z1145" s="8"/>
      <c r="AA1145" s="8"/>
      <c r="AB1145" s="8"/>
      <c r="AC1145" s="8"/>
      <c r="AD1145" s="24"/>
      <c r="AE1145" s="24"/>
      <c r="AF1145" s="8"/>
      <c r="AG1145" s="8"/>
      <c r="AH1145" s="8"/>
      <c r="AI1145" s="8"/>
    </row>
    <row r="1146" spans="1:35" ht="15.75" customHeight="1" x14ac:dyDescent="0.25">
      <c r="A1146" s="8"/>
      <c r="B1146" s="8"/>
      <c r="C1146" s="8"/>
      <c r="D1146" s="8"/>
      <c r="E1146" s="50"/>
      <c r="F1146" s="51"/>
      <c r="G1146" s="51"/>
      <c r="H1146" s="52"/>
      <c r="I1146" s="52"/>
      <c r="J1146" s="52"/>
      <c r="K1146" s="52"/>
      <c r="L1146" s="52"/>
      <c r="M1146" s="48"/>
      <c r="N1146" s="52"/>
      <c r="O1146" s="22"/>
      <c r="P1146" s="22"/>
      <c r="Q1146" s="8"/>
      <c r="R1146" s="8"/>
      <c r="S1146" s="8"/>
      <c r="T1146" s="8"/>
      <c r="U1146" s="8"/>
      <c r="V1146" s="8"/>
      <c r="W1146" s="8"/>
      <c r="X1146" s="8"/>
      <c r="Y1146" s="8"/>
      <c r="Z1146" s="8"/>
      <c r="AA1146" s="8"/>
      <c r="AB1146" s="8"/>
      <c r="AC1146" s="8"/>
      <c r="AD1146" s="24"/>
      <c r="AE1146" s="24"/>
      <c r="AF1146" s="8"/>
      <c r="AG1146" s="8"/>
      <c r="AH1146" s="8"/>
      <c r="AI1146" s="8"/>
    </row>
    <row r="1147" spans="1:35" ht="15.75" customHeight="1" x14ac:dyDescent="0.25">
      <c r="A1147" s="8"/>
      <c r="B1147" s="8"/>
      <c r="C1147" s="8"/>
      <c r="D1147" s="8"/>
      <c r="E1147" s="50"/>
      <c r="F1147" s="51"/>
      <c r="G1147" s="51"/>
      <c r="H1147" s="52"/>
      <c r="I1147" s="52"/>
      <c r="J1147" s="52"/>
      <c r="K1147" s="52"/>
      <c r="L1147" s="52"/>
      <c r="M1147" s="48"/>
      <c r="N1147" s="52"/>
      <c r="O1147" s="22"/>
      <c r="P1147" s="22"/>
      <c r="Q1147" s="8"/>
      <c r="R1147" s="8"/>
      <c r="S1147" s="8"/>
      <c r="T1147" s="8"/>
      <c r="U1147" s="8"/>
      <c r="V1147" s="8"/>
      <c r="W1147" s="8"/>
      <c r="X1147" s="8"/>
      <c r="Y1147" s="8"/>
      <c r="Z1147" s="8"/>
      <c r="AA1147" s="8"/>
      <c r="AB1147" s="8"/>
      <c r="AC1147" s="8"/>
      <c r="AD1147" s="24"/>
      <c r="AE1147" s="24"/>
      <c r="AF1147" s="8"/>
      <c r="AG1147" s="8"/>
      <c r="AH1147" s="8"/>
      <c r="AI1147" s="8"/>
    </row>
    <row r="1148" spans="1:35" ht="15.75" customHeight="1" x14ac:dyDescent="0.25">
      <c r="A1148" s="8"/>
      <c r="B1148" s="8"/>
      <c r="C1148" s="8"/>
      <c r="D1148" s="8"/>
      <c r="E1148" s="50"/>
      <c r="F1148" s="51"/>
      <c r="G1148" s="51"/>
      <c r="H1148" s="52"/>
      <c r="I1148" s="52"/>
      <c r="J1148" s="52"/>
      <c r="K1148" s="52"/>
      <c r="L1148" s="52"/>
      <c r="M1148" s="48"/>
      <c r="N1148" s="52"/>
      <c r="O1148" s="22"/>
      <c r="P1148" s="22"/>
      <c r="Q1148" s="8"/>
      <c r="R1148" s="8"/>
      <c r="S1148" s="8"/>
      <c r="T1148" s="8"/>
      <c r="U1148" s="8"/>
      <c r="V1148" s="8"/>
      <c r="W1148" s="8"/>
      <c r="X1148" s="8"/>
      <c r="Y1148" s="8"/>
      <c r="Z1148" s="8"/>
      <c r="AA1148" s="8"/>
      <c r="AB1148" s="8"/>
      <c r="AC1148" s="8"/>
      <c r="AD1148" s="24"/>
      <c r="AE1148" s="24"/>
      <c r="AF1148" s="8"/>
      <c r="AG1148" s="8"/>
      <c r="AH1148" s="8"/>
      <c r="AI1148" s="8"/>
    </row>
    <row r="1149" spans="1:35" ht="15.75" customHeight="1" x14ac:dyDescent="0.25">
      <c r="A1149" s="8"/>
      <c r="B1149" s="8"/>
      <c r="C1149" s="8"/>
      <c r="D1149" s="8"/>
      <c r="E1149" s="50"/>
      <c r="F1149" s="51"/>
      <c r="G1149" s="51"/>
      <c r="H1149" s="52"/>
      <c r="I1149" s="52"/>
      <c r="J1149" s="52"/>
      <c r="K1149" s="52"/>
      <c r="L1149" s="52"/>
      <c r="M1149" s="48"/>
      <c r="N1149" s="52"/>
      <c r="O1149" s="22"/>
      <c r="P1149" s="22"/>
      <c r="Q1149" s="8"/>
      <c r="R1149" s="8"/>
      <c r="S1149" s="8"/>
      <c r="T1149" s="8"/>
      <c r="U1149" s="8"/>
      <c r="V1149" s="8"/>
      <c r="W1149" s="8"/>
      <c r="X1149" s="8"/>
      <c r="Y1149" s="8"/>
      <c r="Z1149" s="8"/>
      <c r="AA1149" s="8"/>
      <c r="AB1149" s="8"/>
      <c r="AC1149" s="8"/>
      <c r="AD1149" s="24"/>
      <c r="AE1149" s="24"/>
      <c r="AF1149" s="8"/>
      <c r="AG1149" s="8"/>
      <c r="AH1149" s="8"/>
      <c r="AI1149" s="8"/>
    </row>
    <row r="1150" spans="1:35" ht="15.75" customHeight="1" x14ac:dyDescent="0.25">
      <c r="A1150" s="8"/>
      <c r="B1150" s="8"/>
      <c r="C1150" s="8"/>
      <c r="D1150" s="8"/>
      <c r="E1150" s="50"/>
      <c r="F1150" s="51"/>
      <c r="G1150" s="51"/>
      <c r="H1150" s="52"/>
      <c r="I1150" s="52"/>
      <c r="J1150" s="52"/>
      <c r="K1150" s="52"/>
      <c r="L1150" s="52"/>
      <c r="M1150" s="48"/>
      <c r="N1150" s="52"/>
      <c r="O1150" s="22"/>
      <c r="P1150" s="22"/>
      <c r="Q1150" s="8"/>
      <c r="R1150" s="8"/>
      <c r="S1150" s="8"/>
      <c r="T1150" s="8"/>
      <c r="U1150" s="8"/>
      <c r="V1150" s="8"/>
      <c r="W1150" s="8"/>
      <c r="X1150" s="8"/>
      <c r="Y1150" s="8"/>
      <c r="Z1150" s="8"/>
      <c r="AA1150" s="8"/>
      <c r="AB1150" s="8"/>
      <c r="AC1150" s="8"/>
      <c r="AD1150" s="24"/>
      <c r="AE1150" s="24"/>
      <c r="AF1150" s="8"/>
      <c r="AG1150" s="8"/>
      <c r="AH1150" s="8"/>
      <c r="AI1150" s="8"/>
    </row>
    <row r="1151" spans="1:35" ht="15.75" customHeight="1" x14ac:dyDescent="0.25">
      <c r="A1151" s="8"/>
      <c r="B1151" s="8"/>
      <c r="C1151" s="8"/>
      <c r="D1151" s="8"/>
      <c r="E1151" s="50"/>
      <c r="F1151" s="51"/>
      <c r="G1151" s="51"/>
      <c r="H1151" s="52"/>
      <c r="I1151" s="52"/>
      <c r="J1151" s="52"/>
      <c r="K1151" s="52"/>
      <c r="L1151" s="52"/>
      <c r="M1151" s="52"/>
      <c r="N1151" s="52"/>
      <c r="O1151" s="22"/>
      <c r="P1151" s="22"/>
      <c r="Q1151" s="8"/>
      <c r="R1151" s="8"/>
      <c r="S1151" s="8"/>
      <c r="T1151" s="8"/>
      <c r="U1151" s="8"/>
      <c r="V1151" s="8"/>
      <c r="W1151" s="8"/>
      <c r="X1151" s="8"/>
      <c r="Y1151" s="8"/>
      <c r="Z1151" s="8"/>
      <c r="AA1151" s="8"/>
      <c r="AB1151" s="8"/>
      <c r="AC1151" s="8"/>
      <c r="AD1151" s="24"/>
      <c r="AE1151" s="24"/>
      <c r="AF1151" s="8"/>
      <c r="AG1151" s="8"/>
      <c r="AH1151" s="8"/>
      <c r="AI1151" s="8"/>
    </row>
    <row r="1152" spans="1:35" ht="15.75" customHeight="1" x14ac:dyDescent="0.25">
      <c r="A1152" s="8"/>
      <c r="B1152" s="8"/>
      <c r="C1152" s="8"/>
      <c r="D1152" s="8"/>
      <c r="E1152" s="50"/>
      <c r="F1152" s="51"/>
      <c r="G1152" s="51"/>
      <c r="H1152" s="52"/>
      <c r="I1152" s="52"/>
      <c r="J1152" s="52"/>
      <c r="K1152" s="52"/>
      <c r="L1152" s="52"/>
      <c r="M1152" s="48"/>
      <c r="N1152" s="52"/>
      <c r="O1152" s="22"/>
      <c r="P1152" s="22"/>
      <c r="Q1152" s="8"/>
      <c r="R1152" s="8"/>
      <c r="S1152" s="8"/>
      <c r="T1152" s="8"/>
      <c r="U1152" s="8"/>
      <c r="V1152" s="8"/>
      <c r="W1152" s="8"/>
      <c r="X1152" s="8"/>
      <c r="Y1152" s="8"/>
      <c r="Z1152" s="8"/>
      <c r="AA1152" s="8"/>
      <c r="AB1152" s="8"/>
      <c r="AC1152" s="8"/>
      <c r="AD1152" s="24"/>
      <c r="AE1152" s="24"/>
      <c r="AF1152" s="8"/>
      <c r="AG1152" s="8"/>
      <c r="AH1152" s="8"/>
      <c r="AI1152" s="8"/>
    </row>
    <row r="1153" spans="1:35" ht="15.75" customHeight="1" x14ac:dyDescent="0.25">
      <c r="A1153" s="8"/>
      <c r="B1153" s="8"/>
      <c r="C1153" s="8"/>
      <c r="D1153" s="8"/>
      <c r="E1153" s="50"/>
      <c r="F1153" s="51"/>
      <c r="G1153" s="51"/>
      <c r="H1153" s="52"/>
      <c r="I1153" s="52"/>
      <c r="J1153" s="52"/>
      <c r="K1153" s="52"/>
      <c r="L1153" s="52"/>
      <c r="M1153" s="49"/>
      <c r="N1153" s="52"/>
      <c r="O1153" s="22"/>
      <c r="P1153" s="22"/>
      <c r="Q1153" s="8"/>
      <c r="R1153" s="8"/>
      <c r="S1153" s="8"/>
      <c r="T1153" s="8"/>
      <c r="U1153" s="8"/>
      <c r="V1153" s="8"/>
      <c r="W1153" s="8"/>
      <c r="X1153" s="8"/>
      <c r="Y1153" s="8"/>
      <c r="Z1153" s="8"/>
      <c r="AA1153" s="8"/>
      <c r="AB1153" s="8"/>
      <c r="AC1153" s="8"/>
      <c r="AD1153" s="24"/>
      <c r="AE1153" s="24"/>
      <c r="AF1153" s="8"/>
      <c r="AG1153" s="8"/>
      <c r="AH1153" s="8"/>
      <c r="AI1153" s="8"/>
    </row>
    <row r="1154" spans="1:35" ht="15.75" customHeight="1" x14ac:dyDescent="0.25">
      <c r="A1154" s="8"/>
      <c r="B1154" s="8"/>
      <c r="C1154" s="8"/>
      <c r="D1154" s="8"/>
      <c r="E1154" s="50"/>
      <c r="F1154" s="51"/>
      <c r="G1154" s="51"/>
      <c r="H1154" s="52"/>
      <c r="I1154" s="52"/>
      <c r="J1154" s="52"/>
      <c r="K1154" s="52"/>
      <c r="L1154" s="52"/>
      <c r="M1154" s="48"/>
      <c r="N1154" s="52"/>
      <c r="O1154" s="22"/>
      <c r="P1154" s="22"/>
      <c r="Q1154" s="8"/>
      <c r="R1154" s="8"/>
      <c r="S1154" s="8"/>
      <c r="T1154" s="8"/>
      <c r="U1154" s="8"/>
      <c r="V1154" s="8"/>
      <c r="W1154" s="8"/>
      <c r="X1154" s="8"/>
      <c r="Y1154" s="8"/>
      <c r="Z1154" s="8"/>
      <c r="AA1154" s="8"/>
      <c r="AB1154" s="8"/>
      <c r="AC1154" s="8"/>
      <c r="AD1154" s="24"/>
      <c r="AE1154" s="24"/>
      <c r="AF1154" s="8"/>
      <c r="AG1154" s="8"/>
      <c r="AH1154" s="8"/>
      <c r="AI1154" s="8"/>
    </row>
    <row r="1155" spans="1:35" ht="15.75" customHeight="1" x14ac:dyDescent="0.25">
      <c r="A1155" s="8"/>
      <c r="B1155" s="8"/>
      <c r="C1155" s="8"/>
      <c r="D1155" s="8"/>
      <c r="E1155" s="50"/>
      <c r="F1155" s="51"/>
      <c r="G1155" s="51"/>
      <c r="H1155" s="52"/>
      <c r="I1155" s="52"/>
      <c r="J1155" s="52"/>
      <c r="K1155" s="52"/>
      <c r="L1155" s="52"/>
      <c r="M1155" s="48"/>
      <c r="N1155" s="52"/>
      <c r="O1155" s="22"/>
      <c r="P1155" s="22"/>
      <c r="Q1155" s="8"/>
      <c r="R1155" s="8"/>
      <c r="S1155" s="8"/>
      <c r="T1155" s="8"/>
      <c r="U1155" s="8"/>
      <c r="V1155" s="8"/>
      <c r="W1155" s="8"/>
      <c r="X1155" s="8"/>
      <c r="Y1155" s="8"/>
      <c r="Z1155" s="8"/>
      <c r="AA1155" s="8"/>
      <c r="AB1155" s="8"/>
      <c r="AC1155" s="8"/>
      <c r="AD1155" s="24"/>
      <c r="AE1155" s="24"/>
      <c r="AF1155" s="8"/>
      <c r="AG1155" s="8"/>
      <c r="AH1155" s="8"/>
      <c r="AI1155" s="8"/>
    </row>
    <row r="1156" spans="1:35" ht="15.75" customHeight="1" x14ac:dyDescent="0.25">
      <c r="A1156" s="8"/>
      <c r="B1156" s="8"/>
      <c r="C1156" s="8"/>
      <c r="D1156" s="8"/>
      <c r="E1156" s="50"/>
      <c r="F1156" s="51"/>
      <c r="G1156" s="51"/>
      <c r="H1156" s="52"/>
      <c r="I1156" s="52"/>
      <c r="J1156" s="52"/>
      <c r="K1156" s="52"/>
      <c r="L1156" s="52"/>
      <c r="M1156" s="48"/>
      <c r="N1156" s="52"/>
      <c r="O1156" s="22"/>
      <c r="P1156" s="22"/>
      <c r="Q1156" s="8"/>
      <c r="R1156" s="8"/>
      <c r="S1156" s="8"/>
      <c r="T1156" s="8"/>
      <c r="U1156" s="8"/>
      <c r="V1156" s="8"/>
      <c r="W1156" s="8"/>
      <c r="X1156" s="8"/>
      <c r="Y1156" s="8"/>
      <c r="Z1156" s="8"/>
      <c r="AA1156" s="8"/>
      <c r="AB1156" s="8"/>
      <c r="AC1156" s="8"/>
      <c r="AD1156" s="24"/>
      <c r="AE1156" s="24"/>
      <c r="AF1156" s="8"/>
      <c r="AG1156" s="8"/>
      <c r="AH1156" s="8"/>
      <c r="AI1156" s="8"/>
    </row>
    <row r="1157" spans="1:35" ht="15.75" customHeight="1" x14ac:dyDescent="0.25">
      <c r="A1157" s="8"/>
      <c r="B1157" s="8"/>
      <c r="C1157" s="8"/>
      <c r="D1157" s="8"/>
      <c r="E1157" s="50"/>
      <c r="F1157" s="51"/>
      <c r="G1157" s="51"/>
      <c r="H1157" s="52"/>
      <c r="I1157" s="52"/>
      <c r="J1157" s="52"/>
      <c r="K1157" s="52"/>
      <c r="L1157" s="52"/>
      <c r="M1157" s="48"/>
      <c r="N1157" s="52"/>
      <c r="O1157" s="22"/>
      <c r="P1157" s="22"/>
      <c r="Q1157" s="8"/>
      <c r="R1157" s="8"/>
      <c r="S1157" s="8"/>
      <c r="T1157" s="8"/>
      <c r="U1157" s="8"/>
      <c r="V1157" s="8"/>
      <c r="W1157" s="8"/>
      <c r="X1157" s="8"/>
      <c r="Y1157" s="8"/>
      <c r="Z1157" s="8"/>
      <c r="AA1157" s="8"/>
      <c r="AB1157" s="8"/>
      <c r="AC1157" s="8"/>
      <c r="AD1157" s="24"/>
      <c r="AE1157" s="24"/>
      <c r="AF1157" s="8"/>
      <c r="AG1157" s="8"/>
      <c r="AH1157" s="8"/>
      <c r="AI1157" s="8"/>
    </row>
    <row r="1158" spans="1:35" ht="15.75" customHeight="1" x14ac:dyDescent="0.25">
      <c r="A1158" s="8"/>
      <c r="B1158" s="8"/>
      <c r="C1158" s="8"/>
      <c r="D1158" s="8"/>
      <c r="E1158" s="50"/>
      <c r="F1158" s="51"/>
      <c r="G1158" s="51"/>
      <c r="H1158" s="52"/>
      <c r="I1158" s="52"/>
      <c r="J1158" s="52"/>
      <c r="K1158" s="52"/>
      <c r="L1158" s="52"/>
      <c r="M1158" s="48"/>
      <c r="N1158" s="52"/>
      <c r="O1158" s="22"/>
      <c r="P1158" s="22"/>
      <c r="Q1158" s="8"/>
      <c r="R1158" s="8"/>
      <c r="S1158" s="8"/>
      <c r="T1158" s="8"/>
      <c r="U1158" s="8"/>
      <c r="V1158" s="8"/>
      <c r="W1158" s="8"/>
      <c r="X1158" s="8"/>
      <c r="Y1158" s="8"/>
      <c r="Z1158" s="8"/>
      <c r="AA1158" s="8"/>
      <c r="AB1158" s="8"/>
      <c r="AC1158" s="8"/>
      <c r="AD1158" s="24"/>
      <c r="AE1158" s="24"/>
      <c r="AF1158" s="8"/>
      <c r="AG1158" s="8"/>
      <c r="AH1158" s="8"/>
      <c r="AI1158" s="8"/>
    </row>
    <row r="1159" spans="1:35" ht="15.75" customHeight="1" x14ac:dyDescent="0.25">
      <c r="A1159" s="8"/>
      <c r="B1159" s="8"/>
      <c r="C1159" s="8"/>
      <c r="D1159" s="8"/>
      <c r="E1159" s="50"/>
      <c r="F1159" s="51"/>
      <c r="G1159" s="51"/>
      <c r="H1159" s="52"/>
      <c r="I1159" s="52"/>
      <c r="J1159" s="52"/>
      <c r="K1159" s="52"/>
      <c r="L1159" s="52"/>
      <c r="M1159" s="48"/>
      <c r="N1159" s="52"/>
      <c r="O1159" s="22"/>
      <c r="P1159" s="22"/>
      <c r="Q1159" s="8"/>
      <c r="R1159" s="8"/>
      <c r="S1159" s="8"/>
      <c r="T1159" s="8"/>
      <c r="U1159" s="8"/>
      <c r="V1159" s="8"/>
      <c r="W1159" s="8"/>
      <c r="X1159" s="8"/>
      <c r="Y1159" s="8"/>
      <c r="Z1159" s="8"/>
      <c r="AA1159" s="8"/>
      <c r="AB1159" s="8"/>
      <c r="AC1159" s="8"/>
      <c r="AD1159" s="24"/>
      <c r="AE1159" s="24"/>
      <c r="AF1159" s="8"/>
      <c r="AG1159" s="8"/>
      <c r="AH1159" s="8"/>
      <c r="AI1159" s="8"/>
    </row>
    <row r="1160" spans="1:35" ht="15.75" customHeight="1" x14ac:dyDescent="0.25">
      <c r="A1160" s="8"/>
      <c r="B1160" s="8"/>
      <c r="C1160" s="8"/>
      <c r="D1160" s="8"/>
      <c r="E1160" s="50"/>
      <c r="F1160" s="51"/>
      <c r="G1160" s="51"/>
      <c r="H1160" s="52"/>
      <c r="I1160" s="52"/>
      <c r="J1160" s="52"/>
      <c r="K1160" s="52"/>
      <c r="L1160" s="52"/>
      <c r="M1160" s="48"/>
      <c r="N1160" s="52"/>
      <c r="O1160" s="22"/>
      <c r="P1160" s="22"/>
      <c r="Q1160" s="8"/>
      <c r="R1160" s="8"/>
      <c r="S1160" s="8"/>
      <c r="T1160" s="8"/>
      <c r="U1160" s="8"/>
      <c r="V1160" s="8"/>
      <c r="W1160" s="8"/>
      <c r="X1160" s="8"/>
      <c r="Y1160" s="8"/>
      <c r="Z1160" s="8"/>
      <c r="AA1160" s="8"/>
      <c r="AB1160" s="8"/>
      <c r="AC1160" s="8"/>
      <c r="AD1160" s="24"/>
      <c r="AE1160" s="24"/>
      <c r="AF1160" s="8"/>
      <c r="AG1160" s="8"/>
      <c r="AH1160" s="8"/>
      <c r="AI1160" s="8"/>
    </row>
    <row r="1161" spans="1:35" ht="15.75" customHeight="1" x14ac:dyDescent="0.25">
      <c r="A1161" s="8"/>
      <c r="B1161" s="8"/>
      <c r="C1161" s="8"/>
      <c r="D1161" s="8"/>
      <c r="E1161" s="50"/>
      <c r="F1161" s="51"/>
      <c r="G1161" s="51"/>
      <c r="H1161" s="52"/>
      <c r="I1161" s="52"/>
      <c r="J1161" s="52"/>
      <c r="K1161" s="52"/>
      <c r="L1161" s="52"/>
      <c r="M1161" s="49"/>
      <c r="N1161" s="52"/>
      <c r="O1161" s="22"/>
      <c r="P1161" s="22"/>
      <c r="Q1161" s="8"/>
      <c r="R1161" s="8"/>
      <c r="S1161" s="8"/>
      <c r="T1161" s="8"/>
      <c r="U1161" s="8"/>
      <c r="V1161" s="8"/>
      <c r="W1161" s="8"/>
      <c r="X1161" s="8"/>
      <c r="Y1161" s="8"/>
      <c r="Z1161" s="8"/>
      <c r="AA1161" s="8"/>
      <c r="AB1161" s="8"/>
      <c r="AC1161" s="8"/>
      <c r="AD1161" s="24"/>
      <c r="AE1161" s="24"/>
      <c r="AF1161" s="8"/>
      <c r="AG1161" s="8"/>
      <c r="AH1161" s="8"/>
      <c r="AI1161" s="8"/>
    </row>
    <row r="1162" spans="1:35" ht="15.75" customHeight="1" x14ac:dyDescent="0.25">
      <c r="A1162" s="8"/>
      <c r="B1162" s="8"/>
      <c r="C1162" s="8"/>
      <c r="D1162" s="8"/>
      <c r="E1162" s="50"/>
      <c r="F1162" s="51"/>
      <c r="G1162" s="51"/>
      <c r="H1162" s="52"/>
      <c r="I1162" s="52"/>
      <c r="J1162" s="52"/>
      <c r="K1162" s="52"/>
      <c r="L1162" s="52"/>
      <c r="M1162" s="48"/>
      <c r="N1162" s="52"/>
      <c r="O1162" s="22"/>
      <c r="P1162" s="22"/>
      <c r="Q1162" s="8"/>
      <c r="R1162" s="8"/>
      <c r="S1162" s="8"/>
      <c r="T1162" s="8"/>
      <c r="U1162" s="8"/>
      <c r="V1162" s="8"/>
      <c r="W1162" s="8"/>
      <c r="X1162" s="8"/>
      <c r="Y1162" s="8"/>
      <c r="Z1162" s="8"/>
      <c r="AA1162" s="8"/>
      <c r="AB1162" s="8"/>
      <c r="AC1162" s="8"/>
      <c r="AD1162" s="24"/>
      <c r="AE1162" s="24"/>
      <c r="AF1162" s="8"/>
      <c r="AG1162" s="8"/>
      <c r="AH1162" s="8"/>
      <c r="AI1162" s="8"/>
    </row>
    <row r="1163" spans="1:35" ht="15.75" customHeight="1" x14ac:dyDescent="0.25">
      <c r="A1163" s="8"/>
      <c r="B1163" s="8"/>
      <c r="C1163" s="8"/>
      <c r="D1163" s="8"/>
      <c r="E1163" s="50"/>
      <c r="F1163" s="51"/>
      <c r="G1163" s="51"/>
      <c r="H1163" s="52"/>
      <c r="I1163" s="52"/>
      <c r="J1163" s="52"/>
      <c r="K1163" s="52"/>
      <c r="L1163" s="52"/>
      <c r="M1163" s="48"/>
      <c r="N1163" s="52"/>
      <c r="O1163" s="22"/>
      <c r="P1163" s="22"/>
      <c r="Q1163" s="8"/>
      <c r="R1163" s="8"/>
      <c r="S1163" s="8"/>
      <c r="T1163" s="8"/>
      <c r="U1163" s="8"/>
      <c r="V1163" s="8"/>
      <c r="W1163" s="8"/>
      <c r="X1163" s="8"/>
      <c r="Y1163" s="8"/>
      <c r="Z1163" s="8"/>
      <c r="AA1163" s="8"/>
      <c r="AB1163" s="8"/>
      <c r="AC1163" s="8"/>
      <c r="AD1163" s="24"/>
      <c r="AE1163" s="24"/>
      <c r="AF1163" s="8"/>
      <c r="AG1163" s="8"/>
      <c r="AH1163" s="8"/>
      <c r="AI1163" s="8"/>
    </row>
    <row r="1164" spans="1:35" ht="15.75" customHeight="1" x14ac:dyDescent="0.25">
      <c r="A1164" s="8"/>
      <c r="B1164" s="8"/>
      <c r="C1164" s="8"/>
      <c r="D1164" s="8"/>
      <c r="E1164" s="50"/>
      <c r="F1164" s="51"/>
      <c r="G1164" s="51"/>
      <c r="H1164" s="52"/>
      <c r="I1164" s="52"/>
      <c r="J1164" s="52"/>
      <c r="K1164" s="52"/>
      <c r="L1164" s="52"/>
      <c r="M1164" s="48"/>
      <c r="N1164" s="52"/>
      <c r="O1164" s="22"/>
      <c r="P1164" s="22"/>
      <c r="Q1164" s="8"/>
      <c r="R1164" s="8"/>
      <c r="S1164" s="8"/>
      <c r="T1164" s="8"/>
      <c r="U1164" s="8"/>
      <c r="V1164" s="8"/>
      <c r="W1164" s="8"/>
      <c r="X1164" s="8"/>
      <c r="Y1164" s="8"/>
      <c r="Z1164" s="8"/>
      <c r="AA1164" s="8"/>
      <c r="AB1164" s="8"/>
      <c r="AC1164" s="8"/>
      <c r="AD1164" s="24"/>
      <c r="AE1164" s="24"/>
      <c r="AF1164" s="8"/>
      <c r="AG1164" s="8"/>
      <c r="AH1164" s="8"/>
      <c r="AI1164" s="8"/>
    </row>
    <row r="1165" spans="1:35" ht="15.75" customHeight="1" x14ac:dyDescent="0.25">
      <c r="A1165" s="8"/>
      <c r="B1165" s="8"/>
      <c r="C1165" s="8"/>
      <c r="D1165" s="8"/>
      <c r="E1165" s="50"/>
      <c r="F1165" s="51"/>
      <c r="G1165" s="51"/>
      <c r="H1165" s="52"/>
      <c r="I1165" s="52"/>
      <c r="J1165" s="52"/>
      <c r="K1165" s="52"/>
      <c r="L1165" s="52"/>
      <c r="M1165" s="48"/>
      <c r="N1165" s="52"/>
      <c r="O1165" s="22"/>
      <c r="P1165" s="22"/>
      <c r="Q1165" s="8"/>
      <c r="R1165" s="8"/>
      <c r="S1165" s="8"/>
      <c r="T1165" s="8"/>
      <c r="U1165" s="8"/>
      <c r="V1165" s="8"/>
      <c r="W1165" s="8"/>
      <c r="X1165" s="8"/>
      <c r="Y1165" s="8"/>
      <c r="Z1165" s="8"/>
      <c r="AA1165" s="8"/>
      <c r="AB1165" s="8"/>
      <c r="AC1165" s="8"/>
      <c r="AD1165" s="24"/>
      <c r="AE1165" s="24"/>
      <c r="AF1165" s="8"/>
      <c r="AG1165" s="8"/>
      <c r="AH1165" s="8"/>
      <c r="AI1165" s="8"/>
    </row>
    <row r="1166" spans="1:35" ht="15.75" customHeight="1" x14ac:dyDescent="0.25">
      <c r="A1166" s="8"/>
      <c r="B1166" s="8"/>
      <c r="C1166" s="8"/>
      <c r="D1166" s="8"/>
      <c r="E1166" s="50"/>
      <c r="F1166" s="51"/>
      <c r="G1166" s="51"/>
      <c r="H1166" s="52"/>
      <c r="I1166" s="52"/>
      <c r="J1166" s="52"/>
      <c r="K1166" s="52"/>
      <c r="L1166" s="52"/>
      <c r="M1166" s="48"/>
      <c r="N1166" s="52"/>
      <c r="O1166" s="22"/>
      <c r="P1166" s="22"/>
      <c r="Q1166" s="8"/>
      <c r="R1166" s="8"/>
      <c r="S1166" s="8"/>
      <c r="T1166" s="8"/>
      <c r="U1166" s="8"/>
      <c r="V1166" s="8"/>
      <c r="W1166" s="8"/>
      <c r="X1166" s="8"/>
      <c r="Y1166" s="8"/>
      <c r="Z1166" s="8"/>
      <c r="AA1166" s="8"/>
      <c r="AB1166" s="8"/>
      <c r="AC1166" s="8"/>
      <c r="AD1166" s="24"/>
      <c r="AE1166" s="24"/>
      <c r="AF1166" s="8"/>
      <c r="AG1166" s="8"/>
      <c r="AH1166" s="8"/>
      <c r="AI1166" s="8"/>
    </row>
    <row r="1167" spans="1:35" ht="15.75" customHeight="1" x14ac:dyDescent="0.25">
      <c r="A1167" s="8"/>
      <c r="B1167" s="8"/>
      <c r="C1167" s="8"/>
      <c r="D1167" s="8"/>
      <c r="E1167" s="50"/>
      <c r="F1167" s="51"/>
      <c r="G1167" s="51"/>
      <c r="H1167" s="52"/>
      <c r="I1167" s="52"/>
      <c r="J1167" s="52"/>
      <c r="K1167" s="52"/>
      <c r="L1167" s="52"/>
      <c r="M1167" s="48"/>
      <c r="N1167" s="52"/>
      <c r="O1167" s="22"/>
      <c r="P1167" s="22"/>
      <c r="Q1167" s="8"/>
      <c r="R1167" s="8"/>
      <c r="S1167" s="8"/>
      <c r="T1167" s="8"/>
      <c r="U1167" s="8"/>
      <c r="V1167" s="8"/>
      <c r="W1167" s="8"/>
      <c r="X1167" s="8"/>
      <c r="Y1167" s="8"/>
      <c r="Z1167" s="8"/>
      <c r="AA1167" s="8"/>
      <c r="AB1167" s="8"/>
      <c r="AC1167" s="8"/>
      <c r="AD1167" s="24"/>
      <c r="AE1167" s="24"/>
      <c r="AF1167" s="8"/>
      <c r="AG1167" s="8"/>
      <c r="AH1167" s="8"/>
      <c r="AI1167" s="8"/>
    </row>
    <row r="1168" spans="1:35" ht="15.75" customHeight="1" x14ac:dyDescent="0.25">
      <c r="A1168" s="8"/>
      <c r="B1168" s="8"/>
      <c r="C1168" s="8"/>
      <c r="D1168" s="8"/>
      <c r="E1168" s="50"/>
      <c r="F1168" s="51"/>
      <c r="G1168" s="51"/>
      <c r="H1168" s="52"/>
      <c r="I1168" s="52"/>
      <c r="J1168" s="52"/>
      <c r="K1168" s="52"/>
      <c r="L1168" s="52"/>
      <c r="M1168" s="48"/>
      <c r="N1168" s="52"/>
      <c r="O1168" s="22"/>
      <c r="P1168" s="22"/>
      <c r="Q1168" s="8"/>
      <c r="R1168" s="8"/>
      <c r="S1168" s="8"/>
      <c r="T1168" s="8"/>
      <c r="U1168" s="8"/>
      <c r="V1168" s="8"/>
      <c r="W1168" s="8"/>
      <c r="X1168" s="8"/>
      <c r="Y1168" s="8"/>
      <c r="Z1168" s="8"/>
      <c r="AA1168" s="8"/>
      <c r="AB1168" s="8"/>
      <c r="AC1168" s="8"/>
      <c r="AD1168" s="24"/>
      <c r="AE1168" s="24"/>
      <c r="AF1168" s="8"/>
      <c r="AG1168" s="8"/>
      <c r="AH1168" s="8"/>
      <c r="AI1168" s="8"/>
    </row>
    <row r="1169" spans="1:35" ht="15.75" customHeight="1" x14ac:dyDescent="0.25">
      <c r="A1169" s="8"/>
      <c r="B1169" s="8"/>
      <c r="C1169" s="8"/>
      <c r="D1169" s="8"/>
      <c r="E1169" s="50"/>
      <c r="F1169" s="51"/>
      <c r="G1169" s="51"/>
      <c r="H1169" s="52"/>
      <c r="I1169" s="52"/>
      <c r="J1169" s="52"/>
      <c r="K1169" s="52"/>
      <c r="L1169" s="52"/>
      <c r="M1169" s="52"/>
      <c r="N1169" s="52"/>
      <c r="O1169" s="22"/>
      <c r="P1169" s="22"/>
      <c r="Q1169" s="8"/>
      <c r="R1169" s="8"/>
      <c r="S1169" s="8"/>
      <c r="T1169" s="8"/>
      <c r="U1169" s="8"/>
      <c r="V1169" s="8"/>
      <c r="W1169" s="8"/>
      <c r="X1169" s="8"/>
      <c r="Y1169" s="8"/>
      <c r="Z1169" s="8"/>
      <c r="AA1169" s="8"/>
      <c r="AB1169" s="8"/>
      <c r="AC1169" s="8"/>
      <c r="AD1169" s="24"/>
      <c r="AE1169" s="24"/>
      <c r="AF1169" s="8"/>
      <c r="AG1169" s="8"/>
      <c r="AH1169" s="8"/>
      <c r="AI1169" s="8"/>
    </row>
    <row r="1170" spans="1:35" ht="15.75" customHeight="1" x14ac:dyDescent="0.25">
      <c r="A1170" s="8"/>
      <c r="B1170" s="8"/>
      <c r="C1170" s="8"/>
      <c r="D1170" s="8"/>
      <c r="E1170" s="50"/>
      <c r="F1170" s="51"/>
      <c r="G1170" s="51"/>
      <c r="H1170" s="52"/>
      <c r="I1170" s="52"/>
      <c r="J1170" s="52"/>
      <c r="K1170" s="52"/>
      <c r="L1170" s="52"/>
      <c r="M1170" s="48"/>
      <c r="N1170" s="52"/>
      <c r="O1170" s="22"/>
      <c r="P1170" s="22"/>
      <c r="Q1170" s="8"/>
      <c r="R1170" s="8"/>
      <c r="S1170" s="8"/>
      <c r="T1170" s="8"/>
      <c r="U1170" s="8"/>
      <c r="V1170" s="8"/>
      <c r="W1170" s="8"/>
      <c r="X1170" s="8"/>
      <c r="Y1170" s="8"/>
      <c r="Z1170" s="8"/>
      <c r="AA1170" s="8"/>
      <c r="AB1170" s="8"/>
      <c r="AC1170" s="8"/>
      <c r="AD1170" s="24"/>
      <c r="AE1170" s="24"/>
      <c r="AF1170" s="8"/>
      <c r="AG1170" s="8"/>
      <c r="AH1170" s="8"/>
      <c r="AI1170" s="8"/>
    </row>
    <row r="1171" spans="1:35" ht="15.75" customHeight="1" x14ac:dyDescent="0.25">
      <c r="A1171" s="8"/>
      <c r="B1171" s="8"/>
      <c r="C1171" s="8"/>
      <c r="D1171" s="8"/>
      <c r="E1171" s="50"/>
      <c r="F1171" s="51"/>
      <c r="G1171" s="51"/>
      <c r="H1171" s="52"/>
      <c r="I1171" s="52"/>
      <c r="J1171" s="52"/>
      <c r="K1171" s="52"/>
      <c r="L1171" s="52"/>
      <c r="M1171" s="48"/>
      <c r="N1171" s="52"/>
      <c r="O1171" s="22"/>
      <c r="P1171" s="22"/>
      <c r="Q1171" s="8"/>
      <c r="R1171" s="8"/>
      <c r="S1171" s="8"/>
      <c r="T1171" s="8"/>
      <c r="U1171" s="8"/>
      <c r="V1171" s="8"/>
      <c r="W1171" s="8"/>
      <c r="X1171" s="8"/>
      <c r="Y1171" s="8"/>
      <c r="Z1171" s="8"/>
      <c r="AA1171" s="8"/>
      <c r="AB1171" s="8"/>
      <c r="AC1171" s="8"/>
      <c r="AD1171" s="24"/>
      <c r="AE1171" s="24"/>
      <c r="AF1171" s="8"/>
      <c r="AG1171" s="8"/>
      <c r="AH1171" s="8"/>
      <c r="AI1171" s="8"/>
    </row>
    <row r="1172" spans="1:35" ht="15.75" customHeight="1" x14ac:dyDescent="0.25">
      <c r="A1172" s="8"/>
      <c r="B1172" s="8"/>
      <c r="C1172" s="8"/>
      <c r="D1172" s="8"/>
      <c r="E1172" s="50"/>
      <c r="F1172" s="51"/>
      <c r="G1172" s="51"/>
      <c r="H1172" s="52"/>
      <c r="I1172" s="52"/>
      <c r="J1172" s="52"/>
      <c r="K1172" s="52"/>
      <c r="L1172" s="52"/>
      <c r="M1172" s="48"/>
      <c r="N1172" s="52"/>
      <c r="O1172" s="22"/>
      <c r="P1172" s="22"/>
      <c r="Q1172" s="8"/>
      <c r="R1172" s="8"/>
      <c r="S1172" s="8"/>
      <c r="T1172" s="8"/>
      <c r="U1172" s="8"/>
      <c r="V1172" s="8"/>
      <c r="W1172" s="8"/>
      <c r="X1172" s="8"/>
      <c r="Y1172" s="8"/>
      <c r="Z1172" s="8"/>
      <c r="AA1172" s="8"/>
      <c r="AB1172" s="8"/>
      <c r="AC1172" s="8"/>
      <c r="AD1172" s="24"/>
      <c r="AE1172" s="24"/>
      <c r="AF1172" s="8"/>
      <c r="AG1172" s="8"/>
      <c r="AH1172" s="8"/>
      <c r="AI1172" s="8"/>
    </row>
    <row r="1173" spans="1:35" ht="15.75" customHeight="1" x14ac:dyDescent="0.25">
      <c r="A1173" s="8"/>
      <c r="B1173" s="8"/>
      <c r="C1173" s="8"/>
      <c r="D1173" s="8"/>
      <c r="E1173" s="50"/>
      <c r="F1173" s="51"/>
      <c r="G1173" s="51"/>
      <c r="H1173" s="52"/>
      <c r="I1173" s="52"/>
      <c r="J1173" s="52"/>
      <c r="K1173" s="52"/>
      <c r="L1173" s="52"/>
      <c r="M1173" s="49"/>
      <c r="N1173" s="52"/>
      <c r="O1173" s="22"/>
      <c r="P1173" s="22"/>
      <c r="Q1173" s="8"/>
      <c r="R1173" s="8"/>
      <c r="S1173" s="8"/>
      <c r="T1173" s="8"/>
      <c r="U1173" s="8"/>
      <c r="V1173" s="8"/>
      <c r="W1173" s="8"/>
      <c r="X1173" s="8"/>
      <c r="Y1173" s="8"/>
      <c r="Z1173" s="8"/>
      <c r="AA1173" s="8"/>
      <c r="AB1173" s="8"/>
      <c r="AC1173" s="8"/>
      <c r="AD1173" s="24"/>
      <c r="AE1173" s="24"/>
      <c r="AF1173" s="8"/>
      <c r="AG1173" s="8"/>
      <c r="AH1173" s="8"/>
      <c r="AI1173" s="8"/>
    </row>
    <row r="1174" spans="1:35" ht="15.75" customHeight="1" x14ac:dyDescent="0.25">
      <c r="A1174" s="8"/>
      <c r="B1174" s="8"/>
      <c r="C1174" s="8"/>
      <c r="D1174" s="8"/>
      <c r="E1174" s="50"/>
      <c r="F1174" s="51"/>
      <c r="G1174" s="51"/>
      <c r="H1174" s="52"/>
      <c r="I1174" s="52"/>
      <c r="J1174" s="52"/>
      <c r="K1174" s="52"/>
      <c r="L1174" s="52"/>
      <c r="M1174" s="49"/>
      <c r="N1174" s="52"/>
      <c r="O1174" s="22"/>
      <c r="P1174" s="22"/>
      <c r="Q1174" s="8"/>
      <c r="R1174" s="8"/>
      <c r="S1174" s="8"/>
      <c r="T1174" s="8"/>
      <c r="U1174" s="8"/>
      <c r="V1174" s="8"/>
      <c r="W1174" s="8"/>
      <c r="X1174" s="8"/>
      <c r="Y1174" s="8"/>
      <c r="Z1174" s="8"/>
      <c r="AA1174" s="8"/>
      <c r="AB1174" s="8"/>
      <c r="AC1174" s="8"/>
      <c r="AD1174" s="24"/>
      <c r="AE1174" s="24"/>
      <c r="AF1174" s="8"/>
      <c r="AG1174" s="8"/>
      <c r="AH1174" s="8"/>
      <c r="AI1174" s="8"/>
    </row>
    <row r="1175" spans="1:35" ht="15.75" customHeight="1" x14ac:dyDescent="0.25">
      <c r="A1175" s="8"/>
      <c r="B1175" s="8"/>
      <c r="C1175" s="8"/>
      <c r="D1175" s="8"/>
      <c r="E1175" s="50"/>
      <c r="F1175" s="51"/>
      <c r="G1175" s="51"/>
      <c r="H1175" s="52"/>
      <c r="I1175" s="52"/>
      <c r="J1175" s="52"/>
      <c r="K1175" s="52"/>
      <c r="L1175" s="52"/>
      <c r="M1175" s="52"/>
      <c r="N1175" s="52"/>
      <c r="O1175" s="22"/>
      <c r="P1175" s="22"/>
      <c r="Q1175" s="8"/>
      <c r="R1175" s="8"/>
      <c r="S1175" s="8"/>
      <c r="T1175" s="8"/>
      <c r="U1175" s="8"/>
      <c r="V1175" s="8"/>
      <c r="W1175" s="8"/>
      <c r="X1175" s="8"/>
      <c r="Y1175" s="8"/>
      <c r="Z1175" s="8"/>
      <c r="AA1175" s="8"/>
      <c r="AB1175" s="8"/>
      <c r="AC1175" s="8"/>
      <c r="AD1175" s="24"/>
      <c r="AE1175" s="24"/>
      <c r="AF1175" s="8"/>
      <c r="AG1175" s="8"/>
      <c r="AH1175" s="8"/>
      <c r="AI1175" s="8"/>
    </row>
    <row r="1176" spans="1:35" ht="15.75" customHeight="1" x14ac:dyDescent="0.25">
      <c r="A1176" s="8"/>
      <c r="B1176" s="8"/>
      <c r="C1176" s="8"/>
      <c r="D1176" s="8"/>
      <c r="E1176" s="50"/>
      <c r="F1176" s="51"/>
      <c r="G1176" s="51"/>
      <c r="H1176" s="52"/>
      <c r="I1176" s="52"/>
      <c r="J1176" s="52"/>
      <c r="K1176" s="52"/>
      <c r="L1176" s="52"/>
      <c r="M1176" s="52"/>
      <c r="N1176" s="52"/>
      <c r="O1176" s="22"/>
      <c r="P1176" s="22"/>
      <c r="Q1176" s="8"/>
      <c r="R1176" s="8"/>
      <c r="S1176" s="8"/>
      <c r="T1176" s="8"/>
      <c r="U1176" s="8"/>
      <c r="V1176" s="8"/>
      <c r="W1176" s="8"/>
      <c r="X1176" s="8"/>
      <c r="Y1176" s="8"/>
      <c r="Z1176" s="8"/>
      <c r="AA1176" s="8"/>
      <c r="AB1176" s="8"/>
      <c r="AC1176" s="8"/>
      <c r="AD1176" s="24"/>
      <c r="AE1176" s="24"/>
      <c r="AF1176" s="8"/>
      <c r="AG1176" s="8"/>
      <c r="AH1176" s="8"/>
      <c r="AI1176" s="8"/>
    </row>
    <row r="1177" spans="1:35" ht="15.75" customHeight="1" x14ac:dyDescent="0.25">
      <c r="A1177" s="8"/>
      <c r="B1177" s="8"/>
      <c r="C1177" s="8"/>
      <c r="D1177" s="8"/>
      <c r="E1177" s="50"/>
      <c r="F1177" s="51"/>
      <c r="G1177" s="51"/>
      <c r="H1177" s="52"/>
      <c r="I1177" s="52"/>
      <c r="J1177" s="52"/>
      <c r="K1177" s="52"/>
      <c r="L1177" s="52"/>
      <c r="M1177" s="52"/>
      <c r="N1177" s="52"/>
      <c r="O1177" s="22"/>
      <c r="P1177" s="22"/>
      <c r="Q1177" s="8"/>
      <c r="R1177" s="8"/>
      <c r="S1177" s="8"/>
      <c r="T1177" s="8"/>
      <c r="U1177" s="8"/>
      <c r="V1177" s="8"/>
      <c r="W1177" s="8"/>
      <c r="X1177" s="8"/>
      <c r="Y1177" s="8"/>
      <c r="Z1177" s="8"/>
      <c r="AA1177" s="8"/>
      <c r="AB1177" s="8"/>
      <c r="AC1177" s="8"/>
      <c r="AD1177" s="24"/>
      <c r="AE1177" s="24"/>
      <c r="AF1177" s="8"/>
      <c r="AG1177" s="8"/>
      <c r="AH1177" s="8"/>
      <c r="AI1177" s="8"/>
    </row>
    <row r="1178" spans="1:35" ht="15.75" customHeight="1" x14ac:dyDescent="0.25">
      <c r="A1178" s="8"/>
      <c r="B1178" s="8"/>
      <c r="C1178" s="8"/>
      <c r="D1178" s="8"/>
      <c r="E1178" s="50"/>
      <c r="F1178" s="51"/>
      <c r="G1178" s="51"/>
      <c r="H1178" s="52"/>
      <c r="I1178" s="52"/>
      <c r="J1178" s="52"/>
      <c r="K1178" s="52"/>
      <c r="L1178" s="52"/>
      <c r="M1178" s="48"/>
      <c r="N1178" s="52"/>
      <c r="O1178" s="22"/>
      <c r="P1178" s="22"/>
      <c r="Q1178" s="8"/>
      <c r="R1178" s="8"/>
      <c r="S1178" s="8"/>
      <c r="T1178" s="8"/>
      <c r="U1178" s="8"/>
      <c r="V1178" s="8"/>
      <c r="W1178" s="8"/>
      <c r="X1178" s="8"/>
      <c r="Y1178" s="8"/>
      <c r="Z1178" s="8"/>
      <c r="AA1178" s="8"/>
      <c r="AB1178" s="8"/>
      <c r="AC1178" s="8"/>
      <c r="AD1178" s="24"/>
      <c r="AE1178" s="24"/>
      <c r="AF1178" s="8"/>
      <c r="AG1178" s="8"/>
      <c r="AH1178" s="8"/>
      <c r="AI1178" s="8"/>
    </row>
    <row r="1179" spans="1:35" ht="15.75" customHeight="1" x14ac:dyDescent="0.25">
      <c r="A1179" s="8"/>
      <c r="B1179" s="8"/>
      <c r="C1179" s="8"/>
      <c r="D1179" s="8"/>
      <c r="E1179" s="50"/>
      <c r="F1179" s="51"/>
      <c r="G1179" s="51"/>
      <c r="H1179" s="52"/>
      <c r="I1179" s="52"/>
      <c r="J1179" s="52"/>
      <c r="K1179" s="52"/>
      <c r="L1179" s="52"/>
      <c r="M1179" s="48"/>
      <c r="N1179" s="52"/>
      <c r="O1179" s="22"/>
      <c r="P1179" s="22"/>
      <c r="Q1179" s="8"/>
      <c r="R1179" s="8"/>
      <c r="S1179" s="8"/>
      <c r="T1179" s="8"/>
      <c r="U1179" s="8"/>
      <c r="V1179" s="8"/>
      <c r="W1179" s="8"/>
      <c r="X1179" s="8"/>
      <c r="Y1179" s="8"/>
      <c r="Z1179" s="8"/>
      <c r="AA1179" s="8"/>
      <c r="AB1179" s="8"/>
      <c r="AC1179" s="8"/>
      <c r="AD1179" s="24"/>
      <c r="AE1179" s="24"/>
      <c r="AF1179" s="8"/>
      <c r="AG1179" s="8"/>
      <c r="AH1179" s="8"/>
      <c r="AI1179" s="8"/>
    </row>
    <row r="1180" spans="1:35" ht="15.75" customHeight="1" x14ac:dyDescent="0.25">
      <c r="A1180" s="8"/>
      <c r="B1180" s="8"/>
      <c r="C1180" s="8"/>
      <c r="D1180" s="8"/>
      <c r="E1180" s="50"/>
      <c r="F1180" s="51"/>
      <c r="G1180" s="51"/>
      <c r="H1180" s="52"/>
      <c r="I1180" s="52"/>
      <c r="J1180" s="52"/>
      <c r="K1180" s="52"/>
      <c r="L1180" s="52"/>
      <c r="M1180" s="48"/>
      <c r="N1180" s="52"/>
      <c r="O1180" s="22"/>
      <c r="P1180" s="22"/>
      <c r="Q1180" s="8"/>
      <c r="R1180" s="8"/>
      <c r="S1180" s="8"/>
      <c r="T1180" s="8"/>
      <c r="U1180" s="8"/>
      <c r="V1180" s="8"/>
      <c r="W1180" s="8"/>
      <c r="X1180" s="8"/>
      <c r="Y1180" s="8"/>
      <c r="Z1180" s="8"/>
      <c r="AA1180" s="8"/>
      <c r="AB1180" s="8"/>
      <c r="AC1180" s="8"/>
      <c r="AD1180" s="24"/>
      <c r="AE1180" s="24"/>
      <c r="AF1180" s="8"/>
      <c r="AG1180" s="8"/>
      <c r="AH1180" s="8"/>
      <c r="AI1180" s="8"/>
    </row>
    <row r="1181" spans="1:35" ht="15.75" customHeight="1" x14ac:dyDescent="0.25">
      <c r="A1181" s="8"/>
      <c r="B1181" s="8"/>
      <c r="C1181" s="8"/>
      <c r="D1181" s="8"/>
      <c r="E1181" s="50"/>
      <c r="F1181" s="51"/>
      <c r="G1181" s="51"/>
      <c r="H1181" s="52"/>
      <c r="I1181" s="52"/>
      <c r="J1181" s="52"/>
      <c r="K1181" s="52"/>
      <c r="L1181" s="52"/>
      <c r="M1181" s="52"/>
      <c r="N1181" s="52"/>
      <c r="O1181" s="22"/>
      <c r="P1181" s="22"/>
      <c r="Q1181" s="8"/>
      <c r="R1181" s="8"/>
      <c r="S1181" s="8"/>
      <c r="T1181" s="8"/>
      <c r="U1181" s="8"/>
      <c r="V1181" s="8"/>
      <c r="W1181" s="8"/>
      <c r="X1181" s="8"/>
      <c r="Y1181" s="8"/>
      <c r="Z1181" s="8"/>
      <c r="AA1181" s="8"/>
      <c r="AB1181" s="8"/>
      <c r="AC1181" s="8"/>
      <c r="AD1181" s="24"/>
      <c r="AE1181" s="24"/>
      <c r="AF1181" s="8"/>
      <c r="AG1181" s="8"/>
      <c r="AH1181" s="8"/>
      <c r="AI1181" s="8"/>
    </row>
    <row r="1182" spans="1:35" ht="15.75" customHeight="1" x14ac:dyDescent="0.25">
      <c r="A1182" s="8"/>
      <c r="B1182" s="8"/>
      <c r="C1182" s="8"/>
      <c r="D1182" s="8"/>
      <c r="E1182" s="50"/>
      <c r="F1182" s="51"/>
      <c r="G1182" s="51"/>
      <c r="H1182" s="52"/>
      <c r="I1182" s="52"/>
      <c r="J1182" s="52"/>
      <c r="K1182" s="52"/>
      <c r="L1182" s="52"/>
      <c r="M1182" s="52"/>
      <c r="N1182" s="52"/>
      <c r="O1182" s="22"/>
      <c r="P1182" s="22"/>
      <c r="Q1182" s="8"/>
      <c r="R1182" s="8"/>
      <c r="S1182" s="8"/>
      <c r="T1182" s="8"/>
      <c r="U1182" s="8"/>
      <c r="V1182" s="8"/>
      <c r="W1182" s="8"/>
      <c r="X1182" s="8"/>
      <c r="Y1182" s="8"/>
      <c r="Z1182" s="8"/>
      <c r="AA1182" s="8"/>
      <c r="AB1182" s="8"/>
      <c r="AC1182" s="8"/>
      <c r="AD1182" s="24"/>
      <c r="AE1182" s="24"/>
      <c r="AF1182" s="8"/>
      <c r="AG1182" s="8"/>
      <c r="AH1182" s="8"/>
      <c r="AI1182" s="8"/>
    </row>
    <row r="1183" spans="1:35" ht="15.75" customHeight="1" x14ac:dyDescent="0.25">
      <c r="A1183" s="8"/>
      <c r="B1183" s="8"/>
      <c r="C1183" s="8"/>
      <c r="D1183" s="8"/>
      <c r="E1183" s="50"/>
      <c r="F1183" s="51"/>
      <c r="G1183" s="51"/>
      <c r="H1183" s="52"/>
      <c r="I1183" s="52"/>
      <c r="J1183" s="52"/>
      <c r="K1183" s="52"/>
      <c r="L1183" s="52"/>
      <c r="M1183" s="52"/>
      <c r="N1183" s="52"/>
      <c r="O1183" s="22"/>
      <c r="P1183" s="22"/>
      <c r="Q1183" s="8"/>
      <c r="R1183" s="8"/>
      <c r="S1183" s="8"/>
      <c r="T1183" s="8"/>
      <c r="U1183" s="8"/>
      <c r="V1183" s="8"/>
      <c r="W1183" s="8"/>
      <c r="X1183" s="8"/>
      <c r="Y1183" s="8"/>
      <c r="Z1183" s="8"/>
      <c r="AA1183" s="8"/>
      <c r="AB1183" s="8"/>
      <c r="AC1183" s="8"/>
      <c r="AD1183" s="24"/>
      <c r="AE1183" s="24"/>
      <c r="AF1183" s="8"/>
      <c r="AG1183" s="8"/>
      <c r="AH1183" s="8"/>
      <c r="AI1183" s="8"/>
    </row>
    <row r="1184" spans="1:35" ht="15.75" customHeight="1" x14ac:dyDescent="0.25">
      <c r="A1184" s="8"/>
      <c r="B1184" s="8"/>
      <c r="C1184" s="8"/>
      <c r="D1184" s="8"/>
      <c r="E1184" s="50"/>
      <c r="F1184" s="51"/>
      <c r="G1184" s="51"/>
      <c r="H1184" s="52"/>
      <c r="I1184" s="52"/>
      <c r="J1184" s="52"/>
      <c r="K1184" s="52"/>
      <c r="L1184" s="52"/>
      <c r="M1184" s="52"/>
      <c r="N1184" s="52"/>
      <c r="O1184" s="22"/>
      <c r="P1184" s="22"/>
      <c r="Q1184" s="8"/>
      <c r="R1184" s="8"/>
      <c r="S1184" s="8"/>
      <c r="T1184" s="8"/>
      <c r="U1184" s="8"/>
      <c r="V1184" s="8"/>
      <c r="W1184" s="8"/>
      <c r="X1184" s="8"/>
      <c r="Y1184" s="8"/>
      <c r="Z1184" s="8"/>
      <c r="AA1184" s="8"/>
      <c r="AB1184" s="8"/>
      <c r="AC1184" s="8"/>
      <c r="AD1184" s="24"/>
      <c r="AE1184" s="24"/>
      <c r="AF1184" s="8"/>
      <c r="AG1184" s="8"/>
      <c r="AH1184" s="8"/>
      <c r="AI1184" s="8"/>
    </row>
    <row r="1185" spans="1:35" ht="15.75" customHeight="1" x14ac:dyDescent="0.25">
      <c r="A1185" s="8"/>
      <c r="B1185" s="8"/>
      <c r="C1185" s="8"/>
      <c r="D1185" s="8"/>
      <c r="E1185" s="50"/>
      <c r="F1185" s="51"/>
      <c r="G1185" s="51"/>
      <c r="H1185" s="52"/>
      <c r="I1185" s="52"/>
      <c r="J1185" s="52"/>
      <c r="K1185" s="52"/>
      <c r="L1185" s="52"/>
      <c r="M1185" s="52"/>
      <c r="N1185" s="52"/>
      <c r="O1185" s="22"/>
      <c r="P1185" s="22"/>
      <c r="Q1185" s="8"/>
      <c r="R1185" s="8"/>
      <c r="S1185" s="8"/>
      <c r="T1185" s="8"/>
      <c r="U1185" s="8"/>
      <c r="V1185" s="8"/>
      <c r="W1185" s="8"/>
      <c r="X1185" s="8"/>
      <c r="Y1185" s="8"/>
      <c r="Z1185" s="8"/>
      <c r="AA1185" s="8"/>
      <c r="AB1185" s="8"/>
      <c r="AC1185" s="8"/>
      <c r="AD1185" s="24"/>
      <c r="AE1185" s="24"/>
      <c r="AF1185" s="8"/>
      <c r="AG1185" s="8"/>
      <c r="AH1185" s="8"/>
      <c r="AI1185" s="8"/>
    </row>
    <row r="1186" spans="1:35" ht="15.75" customHeight="1" x14ac:dyDescent="0.25">
      <c r="A1186" s="8"/>
      <c r="B1186" s="8"/>
      <c r="C1186" s="8"/>
      <c r="D1186" s="8"/>
      <c r="E1186" s="50"/>
      <c r="F1186" s="51"/>
      <c r="G1186" s="51"/>
      <c r="H1186" s="52"/>
      <c r="I1186" s="52"/>
      <c r="J1186" s="52"/>
      <c r="K1186" s="52"/>
      <c r="L1186" s="52"/>
      <c r="M1186" s="52"/>
      <c r="N1186" s="52"/>
      <c r="O1186" s="22"/>
      <c r="P1186" s="22"/>
      <c r="Q1186" s="8"/>
      <c r="R1186" s="8"/>
      <c r="S1186" s="8"/>
      <c r="T1186" s="8"/>
      <c r="U1186" s="8"/>
      <c r="V1186" s="8"/>
      <c r="W1186" s="8"/>
      <c r="X1186" s="8"/>
      <c r="Y1186" s="8"/>
      <c r="Z1186" s="8"/>
      <c r="AA1186" s="8"/>
      <c r="AB1186" s="8"/>
      <c r="AC1186" s="8"/>
      <c r="AD1186" s="24"/>
      <c r="AE1186" s="24"/>
      <c r="AF1186" s="8"/>
      <c r="AG1186" s="8"/>
      <c r="AH1186" s="8"/>
      <c r="AI1186" s="8"/>
    </row>
    <row r="1187" spans="1:35" ht="15.75" customHeight="1" x14ac:dyDescent="0.25">
      <c r="A1187" s="8"/>
      <c r="B1187" s="8"/>
      <c r="C1187" s="8"/>
      <c r="D1187" s="8"/>
      <c r="E1187" s="50"/>
      <c r="F1187" s="51"/>
      <c r="G1187" s="51"/>
      <c r="H1187" s="52"/>
      <c r="I1187" s="52"/>
      <c r="J1187" s="52"/>
      <c r="K1187" s="52"/>
      <c r="L1187" s="52"/>
      <c r="M1187" s="52"/>
      <c r="N1187" s="52"/>
      <c r="O1187" s="22"/>
      <c r="P1187" s="22"/>
      <c r="Q1187" s="8"/>
      <c r="R1187" s="8"/>
      <c r="S1187" s="8"/>
      <c r="T1187" s="8"/>
      <c r="U1187" s="8"/>
      <c r="V1187" s="8"/>
      <c r="W1187" s="8"/>
      <c r="X1187" s="8"/>
      <c r="Y1187" s="8"/>
      <c r="Z1187" s="8"/>
      <c r="AA1187" s="8"/>
      <c r="AB1187" s="8"/>
      <c r="AC1187" s="8"/>
      <c r="AD1187" s="24"/>
      <c r="AE1187" s="24"/>
      <c r="AF1187" s="8"/>
      <c r="AG1187" s="8"/>
      <c r="AH1187" s="8"/>
      <c r="AI1187" s="8"/>
    </row>
    <row r="1188" spans="1:35" ht="15.75" customHeight="1" x14ac:dyDescent="0.25">
      <c r="A1188" s="8"/>
      <c r="B1188" s="8"/>
      <c r="C1188" s="8"/>
      <c r="D1188" s="8"/>
      <c r="E1188" s="50"/>
      <c r="F1188" s="51"/>
      <c r="G1188" s="51"/>
      <c r="H1188" s="52"/>
      <c r="I1188" s="52"/>
      <c r="J1188" s="52"/>
      <c r="K1188" s="52"/>
      <c r="L1188" s="52"/>
      <c r="M1188" s="52"/>
      <c r="N1188" s="52"/>
      <c r="O1188" s="22"/>
      <c r="P1188" s="22"/>
      <c r="Q1188" s="8"/>
      <c r="R1188" s="8"/>
      <c r="S1188" s="8"/>
      <c r="T1188" s="8"/>
      <c r="U1188" s="8"/>
      <c r="V1188" s="8"/>
      <c r="W1188" s="8"/>
      <c r="X1188" s="8"/>
      <c r="Y1188" s="8"/>
      <c r="Z1188" s="8"/>
      <c r="AA1188" s="8"/>
      <c r="AB1188" s="8"/>
      <c r="AC1188" s="8"/>
      <c r="AD1188" s="24"/>
      <c r="AE1188" s="24"/>
      <c r="AF1188" s="8"/>
      <c r="AG1188" s="8"/>
      <c r="AH1188" s="8"/>
      <c r="AI1188" s="8"/>
    </row>
    <row r="1189" spans="1:35" ht="15.75" customHeight="1" x14ac:dyDescent="0.25">
      <c r="A1189" s="8"/>
      <c r="B1189" s="8"/>
      <c r="C1189" s="8"/>
      <c r="D1189" s="8"/>
      <c r="E1189" s="50"/>
      <c r="F1189" s="51"/>
      <c r="G1189" s="51"/>
      <c r="H1189" s="52"/>
      <c r="I1189" s="52"/>
      <c r="J1189" s="52"/>
      <c r="K1189" s="52"/>
      <c r="L1189" s="52"/>
      <c r="M1189" s="48"/>
      <c r="N1189" s="52"/>
      <c r="O1189" s="22"/>
      <c r="P1189" s="22"/>
      <c r="Q1189" s="8"/>
      <c r="R1189" s="8"/>
      <c r="S1189" s="8"/>
      <c r="T1189" s="8"/>
      <c r="U1189" s="8"/>
      <c r="V1189" s="8"/>
      <c r="W1189" s="8"/>
      <c r="X1189" s="8"/>
      <c r="Y1189" s="8"/>
      <c r="Z1189" s="8"/>
      <c r="AA1189" s="8"/>
      <c r="AB1189" s="8"/>
      <c r="AC1189" s="8"/>
      <c r="AD1189" s="24"/>
      <c r="AE1189" s="24"/>
      <c r="AF1189" s="8"/>
      <c r="AG1189" s="8"/>
      <c r="AH1189" s="8"/>
      <c r="AI1189" s="8"/>
    </row>
    <row r="1190" spans="1:35" ht="15.75" customHeight="1" x14ac:dyDescent="0.25">
      <c r="A1190" s="8"/>
      <c r="B1190" s="8"/>
      <c r="C1190" s="8"/>
      <c r="D1190" s="8"/>
      <c r="E1190" s="50"/>
      <c r="F1190" s="51"/>
      <c r="G1190" s="51"/>
      <c r="H1190" s="52"/>
      <c r="I1190" s="52"/>
      <c r="J1190" s="52"/>
      <c r="K1190" s="52"/>
      <c r="L1190" s="52"/>
      <c r="M1190" s="49"/>
      <c r="N1190" s="52"/>
      <c r="O1190" s="22"/>
      <c r="P1190" s="22"/>
      <c r="Q1190" s="8"/>
      <c r="R1190" s="8"/>
      <c r="S1190" s="8"/>
      <c r="T1190" s="8"/>
      <c r="U1190" s="8"/>
      <c r="V1190" s="8"/>
      <c r="W1190" s="8"/>
      <c r="X1190" s="8"/>
      <c r="Y1190" s="8"/>
      <c r="Z1190" s="8"/>
      <c r="AA1190" s="8"/>
      <c r="AB1190" s="8"/>
      <c r="AC1190" s="8"/>
      <c r="AD1190" s="24"/>
      <c r="AE1190" s="24"/>
      <c r="AF1190" s="8"/>
      <c r="AG1190" s="8"/>
      <c r="AH1190" s="8"/>
      <c r="AI1190" s="8"/>
    </row>
    <row r="1191" spans="1:35" ht="15.75" customHeight="1" x14ac:dyDescent="0.25">
      <c r="A1191" s="8"/>
      <c r="B1191" s="8"/>
      <c r="C1191" s="8"/>
      <c r="D1191" s="8"/>
      <c r="E1191" s="50"/>
      <c r="F1191" s="51"/>
      <c r="G1191" s="51"/>
      <c r="H1191" s="52"/>
      <c r="I1191" s="52"/>
      <c r="J1191" s="52"/>
      <c r="K1191" s="52"/>
      <c r="L1191" s="52"/>
      <c r="M1191" s="49"/>
      <c r="N1191" s="52"/>
      <c r="O1191" s="22"/>
      <c r="P1191" s="22"/>
      <c r="Q1191" s="8"/>
      <c r="R1191" s="8"/>
      <c r="S1191" s="8"/>
      <c r="T1191" s="8"/>
      <c r="U1191" s="8"/>
      <c r="V1191" s="8"/>
      <c r="W1191" s="8"/>
      <c r="X1191" s="8"/>
      <c r="Y1191" s="8"/>
      <c r="Z1191" s="8"/>
      <c r="AA1191" s="8"/>
      <c r="AB1191" s="8"/>
      <c r="AC1191" s="8"/>
      <c r="AD1191" s="24"/>
      <c r="AE1191" s="24"/>
      <c r="AF1191" s="8"/>
      <c r="AG1191" s="8"/>
      <c r="AH1191" s="8"/>
      <c r="AI1191" s="8"/>
    </row>
    <row r="1192" spans="1:35" ht="15.75" customHeight="1" x14ac:dyDescent="0.25">
      <c r="A1192" s="8"/>
      <c r="B1192" s="8"/>
      <c r="C1192" s="8"/>
      <c r="D1192" s="8"/>
      <c r="E1192" s="50"/>
      <c r="F1192" s="51"/>
      <c r="G1192" s="51"/>
      <c r="H1192" s="52"/>
      <c r="I1192" s="52"/>
      <c r="J1192" s="52"/>
      <c r="K1192" s="52"/>
      <c r="L1192" s="52"/>
      <c r="M1192" s="49"/>
      <c r="N1192" s="52"/>
      <c r="O1192" s="22"/>
      <c r="P1192" s="22"/>
      <c r="Q1192" s="8"/>
      <c r="R1192" s="8"/>
      <c r="S1192" s="8"/>
      <c r="T1192" s="8"/>
      <c r="U1192" s="8"/>
      <c r="V1192" s="8"/>
      <c r="W1192" s="8"/>
      <c r="X1192" s="8"/>
      <c r="Y1192" s="8"/>
      <c r="Z1192" s="8"/>
      <c r="AA1192" s="8"/>
      <c r="AB1192" s="8"/>
      <c r="AC1192" s="8"/>
      <c r="AD1192" s="24"/>
      <c r="AE1192" s="24"/>
      <c r="AF1192" s="8"/>
      <c r="AG1192" s="8"/>
      <c r="AH1192" s="8"/>
      <c r="AI1192" s="8"/>
    </row>
    <row r="1193" spans="1:35" ht="15.75" customHeight="1" x14ac:dyDescent="0.25">
      <c r="A1193" s="8"/>
      <c r="B1193" s="8"/>
      <c r="C1193" s="8"/>
      <c r="D1193" s="8"/>
      <c r="E1193" s="50"/>
      <c r="F1193" s="51"/>
      <c r="G1193" s="51"/>
      <c r="H1193" s="52"/>
      <c r="I1193" s="52"/>
      <c r="J1193" s="52"/>
      <c r="K1193" s="52"/>
      <c r="L1193" s="52"/>
      <c r="M1193" s="52"/>
      <c r="N1193" s="52"/>
      <c r="O1193" s="22"/>
      <c r="P1193" s="22"/>
      <c r="Q1193" s="8"/>
      <c r="R1193" s="8"/>
      <c r="S1193" s="8"/>
      <c r="T1193" s="8"/>
      <c r="U1193" s="8"/>
      <c r="V1193" s="8"/>
      <c r="W1193" s="8"/>
      <c r="X1193" s="8"/>
      <c r="Y1193" s="8"/>
      <c r="Z1193" s="8"/>
      <c r="AA1193" s="8"/>
      <c r="AB1193" s="8"/>
      <c r="AC1193" s="8"/>
      <c r="AD1193" s="24"/>
      <c r="AE1193" s="24"/>
      <c r="AF1193" s="8"/>
      <c r="AG1193" s="8"/>
      <c r="AH1193" s="8"/>
      <c r="AI1193" s="8"/>
    </row>
    <row r="1194" spans="1:35" ht="15.75" customHeight="1" x14ac:dyDescent="0.25">
      <c r="A1194" s="8"/>
      <c r="B1194" s="8"/>
      <c r="C1194" s="8"/>
      <c r="D1194" s="8"/>
      <c r="E1194" s="50"/>
      <c r="F1194" s="51"/>
      <c r="G1194" s="51"/>
      <c r="H1194" s="52"/>
      <c r="I1194" s="52"/>
      <c r="J1194" s="52"/>
      <c r="K1194" s="52"/>
      <c r="L1194" s="52"/>
      <c r="M1194" s="52"/>
      <c r="N1194" s="52"/>
      <c r="O1194" s="22"/>
      <c r="P1194" s="22"/>
      <c r="Q1194" s="8"/>
      <c r="R1194" s="8"/>
      <c r="S1194" s="8"/>
      <c r="T1194" s="8"/>
      <c r="U1194" s="8"/>
      <c r="V1194" s="8"/>
      <c r="W1194" s="8"/>
      <c r="X1194" s="8"/>
      <c r="Y1194" s="8"/>
      <c r="Z1194" s="8"/>
      <c r="AA1194" s="8"/>
      <c r="AB1194" s="8"/>
      <c r="AC1194" s="8"/>
      <c r="AD1194" s="24"/>
      <c r="AE1194" s="24"/>
      <c r="AF1194" s="8"/>
      <c r="AG1194" s="8"/>
      <c r="AH1194" s="8"/>
      <c r="AI1194" s="8"/>
    </row>
    <row r="1195" spans="1:35" ht="15.75" customHeight="1" x14ac:dyDescent="0.25">
      <c r="A1195" s="8"/>
      <c r="B1195" s="8"/>
      <c r="C1195" s="8"/>
      <c r="D1195" s="8"/>
      <c r="E1195" s="50"/>
      <c r="F1195" s="51"/>
      <c r="G1195" s="51"/>
      <c r="H1195" s="52"/>
      <c r="I1195" s="52"/>
      <c r="J1195" s="52"/>
      <c r="K1195" s="52"/>
      <c r="L1195" s="52"/>
      <c r="M1195" s="48"/>
      <c r="N1195" s="52"/>
      <c r="O1195" s="22"/>
      <c r="P1195" s="22"/>
      <c r="Q1195" s="8"/>
      <c r="R1195" s="8"/>
      <c r="S1195" s="8"/>
      <c r="T1195" s="8"/>
      <c r="U1195" s="8"/>
      <c r="V1195" s="8"/>
      <c r="W1195" s="8"/>
      <c r="X1195" s="8"/>
      <c r="Y1195" s="8"/>
      <c r="Z1195" s="8"/>
      <c r="AA1195" s="8"/>
      <c r="AB1195" s="8"/>
      <c r="AC1195" s="8"/>
      <c r="AD1195" s="24"/>
      <c r="AE1195" s="24"/>
      <c r="AF1195" s="8"/>
      <c r="AG1195" s="8"/>
      <c r="AH1195" s="8"/>
      <c r="AI1195" s="8"/>
    </row>
    <row r="1196" spans="1:35" ht="15.75" customHeight="1" x14ac:dyDescent="0.25">
      <c r="A1196" s="8"/>
      <c r="B1196" s="8"/>
      <c r="C1196" s="8"/>
      <c r="D1196" s="8"/>
      <c r="E1196" s="50"/>
      <c r="F1196" s="51"/>
      <c r="G1196" s="51"/>
      <c r="H1196" s="52"/>
      <c r="I1196" s="52"/>
      <c r="J1196" s="52"/>
      <c r="K1196" s="52"/>
      <c r="L1196" s="52"/>
      <c r="M1196" s="48"/>
      <c r="N1196" s="52"/>
      <c r="O1196" s="22"/>
      <c r="P1196" s="22"/>
      <c r="Q1196" s="8"/>
      <c r="R1196" s="8"/>
      <c r="S1196" s="8"/>
      <c r="T1196" s="8"/>
      <c r="U1196" s="8"/>
      <c r="V1196" s="8"/>
      <c r="W1196" s="8"/>
      <c r="X1196" s="8"/>
      <c r="Y1196" s="8"/>
      <c r="Z1196" s="8"/>
      <c r="AA1196" s="8"/>
      <c r="AB1196" s="8"/>
      <c r="AC1196" s="8"/>
      <c r="AD1196" s="24"/>
      <c r="AE1196" s="24"/>
      <c r="AF1196" s="8"/>
      <c r="AG1196" s="8"/>
      <c r="AH1196" s="8"/>
      <c r="AI1196" s="8"/>
    </row>
    <row r="1197" spans="1:35" ht="15.75" customHeight="1" x14ac:dyDescent="0.25">
      <c r="A1197" s="8"/>
      <c r="B1197" s="8"/>
      <c r="C1197" s="8"/>
      <c r="D1197" s="8"/>
      <c r="E1197" s="50"/>
      <c r="F1197" s="51"/>
      <c r="G1197" s="51"/>
      <c r="H1197" s="52"/>
      <c r="I1197" s="52"/>
      <c r="J1197" s="52"/>
      <c r="K1197" s="52"/>
      <c r="L1197" s="52"/>
      <c r="M1197" s="48"/>
      <c r="N1197" s="52"/>
      <c r="O1197" s="22"/>
      <c r="P1197" s="22"/>
      <c r="Q1197" s="8"/>
      <c r="R1197" s="8"/>
      <c r="S1197" s="8"/>
      <c r="T1197" s="8"/>
      <c r="U1197" s="8"/>
      <c r="V1197" s="8"/>
      <c r="W1197" s="8"/>
      <c r="X1197" s="8"/>
      <c r="Y1197" s="8"/>
      <c r="Z1197" s="8"/>
      <c r="AA1197" s="8"/>
      <c r="AB1197" s="8"/>
      <c r="AC1197" s="8"/>
      <c r="AD1197" s="24"/>
      <c r="AE1197" s="24"/>
      <c r="AF1197" s="8"/>
      <c r="AG1197" s="8"/>
      <c r="AH1197" s="8"/>
      <c r="AI1197" s="8"/>
    </row>
    <row r="1198" spans="1:35" ht="15.75" customHeight="1" x14ac:dyDescent="0.25">
      <c r="A1198" s="8"/>
      <c r="B1198" s="8"/>
      <c r="C1198" s="8"/>
      <c r="D1198" s="8"/>
      <c r="E1198" s="50"/>
      <c r="F1198" s="51"/>
      <c r="G1198" s="51"/>
      <c r="H1198" s="52"/>
      <c r="I1198" s="52"/>
      <c r="J1198" s="52"/>
      <c r="K1198" s="52"/>
      <c r="L1198" s="52"/>
      <c r="M1198" s="48"/>
      <c r="N1198" s="52"/>
      <c r="O1198" s="22"/>
      <c r="P1198" s="22"/>
      <c r="Q1198" s="8"/>
      <c r="R1198" s="8"/>
      <c r="S1198" s="8"/>
      <c r="T1198" s="8"/>
      <c r="U1198" s="8"/>
      <c r="V1198" s="8"/>
      <c r="W1198" s="8"/>
      <c r="X1198" s="8"/>
      <c r="Y1198" s="8"/>
      <c r="Z1198" s="8"/>
      <c r="AA1198" s="8"/>
      <c r="AB1198" s="8"/>
      <c r="AC1198" s="8"/>
      <c r="AD1198" s="24"/>
      <c r="AE1198" s="24"/>
      <c r="AF1198" s="8"/>
      <c r="AG1198" s="8"/>
      <c r="AH1198" s="8"/>
      <c r="AI1198" s="8"/>
    </row>
    <row r="1199" spans="1:35" ht="15.75" customHeight="1" x14ac:dyDescent="0.25">
      <c r="A1199" s="8"/>
      <c r="B1199" s="8"/>
      <c r="C1199" s="8"/>
      <c r="D1199" s="8"/>
      <c r="E1199" s="50"/>
      <c r="F1199" s="51"/>
      <c r="G1199" s="51"/>
      <c r="H1199" s="52"/>
      <c r="I1199" s="52"/>
      <c r="J1199" s="52"/>
      <c r="K1199" s="52"/>
      <c r="L1199" s="52"/>
      <c r="M1199" s="52"/>
      <c r="N1199" s="52"/>
      <c r="O1199" s="22"/>
      <c r="P1199" s="22"/>
      <c r="Q1199" s="8"/>
      <c r="R1199" s="8"/>
      <c r="S1199" s="8"/>
      <c r="T1199" s="8"/>
      <c r="U1199" s="8"/>
      <c r="V1199" s="8"/>
      <c r="W1199" s="8"/>
      <c r="X1199" s="8"/>
      <c r="Y1199" s="8"/>
      <c r="Z1199" s="8"/>
      <c r="AA1199" s="8"/>
      <c r="AB1199" s="8"/>
      <c r="AC1199" s="8"/>
      <c r="AD1199" s="24"/>
      <c r="AE1199" s="24"/>
      <c r="AF1199" s="8"/>
      <c r="AG1199" s="8"/>
      <c r="AH1199" s="8"/>
      <c r="AI1199" s="8"/>
    </row>
    <row r="1200" spans="1:35" ht="15.75" customHeight="1" x14ac:dyDescent="0.25">
      <c r="A1200" s="8"/>
      <c r="B1200" s="8"/>
      <c r="C1200" s="8"/>
      <c r="D1200" s="8"/>
      <c r="E1200" s="50"/>
      <c r="F1200" s="51"/>
      <c r="G1200" s="51"/>
      <c r="H1200" s="52"/>
      <c r="I1200" s="52"/>
      <c r="J1200" s="52"/>
      <c r="K1200" s="52"/>
      <c r="L1200" s="52"/>
      <c r="M1200" s="48"/>
      <c r="N1200" s="52"/>
      <c r="O1200" s="22"/>
      <c r="P1200" s="22"/>
      <c r="Q1200" s="8"/>
      <c r="R1200" s="8"/>
      <c r="S1200" s="8"/>
      <c r="T1200" s="8"/>
      <c r="U1200" s="8"/>
      <c r="V1200" s="8"/>
      <c r="W1200" s="8"/>
      <c r="X1200" s="8"/>
      <c r="Y1200" s="8"/>
      <c r="Z1200" s="8"/>
      <c r="AA1200" s="8"/>
      <c r="AB1200" s="8"/>
      <c r="AC1200" s="8"/>
      <c r="AD1200" s="24"/>
      <c r="AE1200" s="24"/>
      <c r="AF1200" s="8"/>
      <c r="AG1200" s="8"/>
      <c r="AH1200" s="8"/>
      <c r="AI1200" s="8"/>
    </row>
    <row r="1201" spans="1:35" ht="15.75" customHeight="1" x14ac:dyDescent="0.25">
      <c r="A1201" s="8"/>
      <c r="B1201" s="8"/>
      <c r="C1201" s="8"/>
      <c r="D1201" s="8"/>
      <c r="E1201" s="50"/>
      <c r="F1201" s="51"/>
      <c r="G1201" s="51"/>
      <c r="H1201" s="52"/>
      <c r="I1201" s="52"/>
      <c r="J1201" s="52"/>
      <c r="K1201" s="52"/>
      <c r="L1201" s="52"/>
      <c r="M1201" s="48"/>
      <c r="N1201" s="52"/>
      <c r="O1201" s="22"/>
      <c r="P1201" s="22"/>
      <c r="Q1201" s="8"/>
      <c r="R1201" s="8"/>
      <c r="S1201" s="8"/>
      <c r="T1201" s="8"/>
      <c r="U1201" s="8"/>
      <c r="V1201" s="8"/>
      <c r="W1201" s="8"/>
      <c r="X1201" s="8"/>
      <c r="Y1201" s="8"/>
      <c r="Z1201" s="8"/>
      <c r="AA1201" s="8"/>
      <c r="AB1201" s="8"/>
      <c r="AC1201" s="8"/>
      <c r="AD1201" s="24"/>
      <c r="AE1201" s="24"/>
      <c r="AF1201" s="8"/>
      <c r="AG1201" s="8"/>
      <c r="AH1201" s="8"/>
      <c r="AI1201" s="8"/>
    </row>
    <row r="1202" spans="1:35" ht="15.75" customHeight="1" x14ac:dyDescent="0.25">
      <c r="A1202" s="8"/>
      <c r="B1202" s="8"/>
      <c r="C1202" s="8"/>
      <c r="D1202" s="8"/>
      <c r="E1202" s="50"/>
      <c r="F1202" s="51"/>
      <c r="G1202" s="51"/>
      <c r="H1202" s="52"/>
      <c r="I1202" s="52"/>
      <c r="J1202" s="52"/>
      <c r="K1202" s="52"/>
      <c r="L1202" s="52"/>
      <c r="M1202" s="48"/>
      <c r="N1202" s="52"/>
      <c r="O1202" s="22"/>
      <c r="P1202" s="22"/>
      <c r="Q1202" s="8"/>
      <c r="R1202" s="8"/>
      <c r="S1202" s="8"/>
      <c r="T1202" s="8"/>
      <c r="U1202" s="8"/>
      <c r="V1202" s="8"/>
      <c r="W1202" s="8"/>
      <c r="X1202" s="8"/>
      <c r="Y1202" s="8"/>
      <c r="Z1202" s="8"/>
      <c r="AA1202" s="8"/>
      <c r="AB1202" s="8"/>
      <c r="AC1202" s="8"/>
      <c r="AD1202" s="24"/>
      <c r="AE1202" s="24"/>
      <c r="AF1202" s="8"/>
      <c r="AG1202" s="8"/>
      <c r="AH1202" s="8"/>
      <c r="AI1202" s="8"/>
    </row>
    <row r="1203" spans="1:35" ht="15.75" customHeight="1" x14ac:dyDescent="0.25">
      <c r="A1203" s="8"/>
      <c r="B1203" s="8"/>
      <c r="C1203" s="8"/>
      <c r="D1203" s="8"/>
      <c r="E1203" s="50"/>
      <c r="F1203" s="51"/>
      <c r="G1203" s="51"/>
      <c r="H1203" s="52"/>
      <c r="I1203" s="52"/>
      <c r="J1203" s="52"/>
      <c r="K1203" s="52"/>
      <c r="L1203" s="52"/>
      <c r="M1203" s="48"/>
      <c r="N1203" s="52"/>
      <c r="O1203" s="22"/>
      <c r="P1203" s="22"/>
      <c r="Q1203" s="8"/>
      <c r="R1203" s="8"/>
      <c r="S1203" s="8"/>
      <c r="T1203" s="8"/>
      <c r="U1203" s="8"/>
      <c r="V1203" s="8"/>
      <c r="W1203" s="8"/>
      <c r="X1203" s="8"/>
      <c r="Y1203" s="8"/>
      <c r="Z1203" s="8"/>
      <c r="AA1203" s="8"/>
      <c r="AB1203" s="8"/>
      <c r="AC1203" s="8"/>
      <c r="AD1203" s="24"/>
      <c r="AE1203" s="24"/>
      <c r="AF1203" s="8"/>
      <c r="AG1203" s="8"/>
      <c r="AH1203" s="8"/>
      <c r="AI1203" s="8"/>
    </row>
    <row r="1204" spans="1:35" ht="15.75" customHeight="1" x14ac:dyDescent="0.25">
      <c r="A1204" s="8"/>
      <c r="B1204" s="8"/>
      <c r="C1204" s="8"/>
      <c r="D1204" s="8"/>
      <c r="E1204" s="50"/>
      <c r="F1204" s="51"/>
      <c r="G1204" s="51"/>
      <c r="H1204" s="52"/>
      <c r="I1204" s="52"/>
      <c r="J1204" s="52"/>
      <c r="K1204" s="52"/>
      <c r="L1204" s="52"/>
      <c r="M1204" s="52"/>
      <c r="N1204" s="52"/>
      <c r="O1204" s="22"/>
      <c r="P1204" s="22"/>
      <c r="Q1204" s="8"/>
      <c r="R1204" s="8"/>
      <c r="S1204" s="8"/>
      <c r="T1204" s="8"/>
      <c r="U1204" s="8"/>
      <c r="V1204" s="8"/>
      <c r="W1204" s="8"/>
      <c r="X1204" s="8"/>
      <c r="Y1204" s="8"/>
      <c r="Z1204" s="8"/>
      <c r="AA1204" s="8"/>
      <c r="AB1204" s="8"/>
      <c r="AC1204" s="8"/>
      <c r="AD1204" s="24"/>
      <c r="AE1204" s="24"/>
      <c r="AF1204" s="8"/>
      <c r="AG1204" s="8"/>
      <c r="AH1204" s="8"/>
      <c r="AI1204" s="8"/>
    </row>
    <row r="1205" spans="1:35" ht="15.75" customHeight="1" x14ac:dyDescent="0.25">
      <c r="A1205" s="8"/>
      <c r="B1205" s="8"/>
      <c r="C1205" s="8"/>
      <c r="D1205" s="8"/>
      <c r="E1205" s="50"/>
      <c r="F1205" s="51"/>
      <c r="G1205" s="51"/>
      <c r="H1205" s="52"/>
      <c r="I1205" s="52"/>
      <c r="J1205" s="52"/>
      <c r="K1205" s="52"/>
      <c r="L1205" s="52"/>
      <c r="M1205" s="48"/>
      <c r="N1205" s="52"/>
      <c r="O1205" s="22"/>
      <c r="P1205" s="22"/>
      <c r="Q1205" s="8"/>
      <c r="R1205" s="8"/>
      <c r="S1205" s="8"/>
      <c r="T1205" s="8"/>
      <c r="U1205" s="8"/>
      <c r="V1205" s="8"/>
      <c r="W1205" s="8"/>
      <c r="X1205" s="8"/>
      <c r="Y1205" s="8"/>
      <c r="Z1205" s="8"/>
      <c r="AA1205" s="8"/>
      <c r="AB1205" s="8"/>
      <c r="AC1205" s="8"/>
      <c r="AD1205" s="24"/>
      <c r="AE1205" s="24"/>
      <c r="AF1205" s="8"/>
      <c r="AG1205" s="8"/>
      <c r="AH1205" s="8"/>
      <c r="AI1205" s="8"/>
    </row>
    <row r="1206" spans="1:35" ht="15.75" customHeight="1" x14ac:dyDescent="0.25">
      <c r="A1206" s="8"/>
      <c r="B1206" s="8"/>
      <c r="C1206" s="8"/>
      <c r="D1206" s="8"/>
      <c r="E1206" s="50"/>
      <c r="F1206" s="51"/>
      <c r="G1206" s="51"/>
      <c r="H1206" s="52"/>
      <c r="I1206" s="52"/>
      <c r="J1206" s="52"/>
      <c r="K1206" s="52"/>
      <c r="L1206" s="52"/>
      <c r="M1206" s="48"/>
      <c r="N1206" s="52"/>
      <c r="O1206" s="22"/>
      <c r="P1206" s="22"/>
      <c r="Q1206" s="8"/>
      <c r="R1206" s="8"/>
      <c r="S1206" s="8"/>
      <c r="T1206" s="8"/>
      <c r="U1206" s="8"/>
      <c r="V1206" s="8"/>
      <c r="W1206" s="8"/>
      <c r="X1206" s="8"/>
      <c r="Y1206" s="8"/>
      <c r="Z1206" s="8"/>
      <c r="AA1206" s="8"/>
      <c r="AB1206" s="8"/>
      <c r="AC1206" s="8"/>
      <c r="AD1206" s="24"/>
      <c r="AE1206" s="24"/>
      <c r="AF1206" s="8"/>
      <c r="AG1206" s="8"/>
      <c r="AH1206" s="8"/>
      <c r="AI1206" s="8"/>
    </row>
    <row r="1207" spans="1:35" ht="15.75" customHeight="1" x14ac:dyDescent="0.25">
      <c r="A1207" s="8"/>
      <c r="B1207" s="8"/>
      <c r="C1207" s="8"/>
      <c r="D1207" s="8"/>
      <c r="E1207" s="50"/>
      <c r="F1207" s="51"/>
      <c r="G1207" s="51"/>
      <c r="H1207" s="52"/>
      <c r="I1207" s="52"/>
      <c r="J1207" s="52"/>
      <c r="K1207" s="52"/>
      <c r="L1207" s="52"/>
      <c r="M1207" s="48"/>
      <c r="N1207" s="52"/>
      <c r="O1207" s="22"/>
      <c r="P1207" s="22"/>
      <c r="Q1207" s="8"/>
      <c r="R1207" s="8"/>
      <c r="S1207" s="8"/>
      <c r="T1207" s="8"/>
      <c r="U1207" s="8"/>
      <c r="V1207" s="8"/>
      <c r="W1207" s="8"/>
      <c r="X1207" s="8"/>
      <c r="Y1207" s="8"/>
      <c r="Z1207" s="8"/>
      <c r="AA1207" s="8"/>
      <c r="AB1207" s="8"/>
      <c r="AC1207" s="8"/>
      <c r="AD1207" s="24"/>
      <c r="AE1207" s="24"/>
      <c r="AF1207" s="8"/>
      <c r="AG1207" s="8"/>
      <c r="AH1207" s="8"/>
      <c r="AI1207" s="8"/>
    </row>
    <row r="1208" spans="1:35" ht="15.75" customHeight="1" x14ac:dyDescent="0.25">
      <c r="A1208" s="8"/>
      <c r="B1208" s="8"/>
      <c r="C1208" s="8"/>
      <c r="D1208" s="8"/>
      <c r="E1208" s="50"/>
      <c r="F1208" s="51"/>
      <c r="G1208" s="51"/>
      <c r="H1208" s="52"/>
      <c r="I1208" s="52"/>
      <c r="J1208" s="52"/>
      <c r="K1208" s="52"/>
      <c r="L1208" s="52"/>
      <c r="M1208" s="48"/>
      <c r="N1208" s="52"/>
      <c r="O1208" s="22"/>
      <c r="P1208" s="22"/>
      <c r="Q1208" s="8"/>
      <c r="R1208" s="8"/>
      <c r="S1208" s="8"/>
      <c r="T1208" s="8"/>
      <c r="U1208" s="8"/>
      <c r="V1208" s="8"/>
      <c r="W1208" s="8"/>
      <c r="X1208" s="8"/>
      <c r="Y1208" s="8"/>
      <c r="Z1208" s="8"/>
      <c r="AA1208" s="8"/>
      <c r="AB1208" s="8"/>
      <c r="AC1208" s="8"/>
      <c r="AD1208" s="24"/>
      <c r="AE1208" s="24"/>
      <c r="AF1208" s="8"/>
      <c r="AG1208" s="8"/>
      <c r="AH1208" s="8"/>
      <c r="AI1208" s="8"/>
    </row>
    <row r="1209" spans="1:35" ht="15.75" customHeight="1" x14ac:dyDescent="0.25">
      <c r="A1209" s="8"/>
      <c r="B1209" s="8"/>
      <c r="C1209" s="8"/>
      <c r="D1209" s="8"/>
      <c r="E1209" s="50"/>
      <c r="F1209" s="51"/>
      <c r="G1209" s="51"/>
      <c r="H1209" s="52"/>
      <c r="I1209" s="52"/>
      <c r="J1209" s="52"/>
      <c r="K1209" s="52"/>
      <c r="L1209" s="52"/>
      <c r="M1209" s="48"/>
      <c r="N1209" s="52"/>
      <c r="O1209" s="22"/>
      <c r="P1209" s="22"/>
      <c r="Q1209" s="8"/>
      <c r="R1209" s="8"/>
      <c r="S1209" s="8"/>
      <c r="T1209" s="8"/>
      <c r="U1209" s="8"/>
      <c r="V1209" s="8"/>
      <c r="W1209" s="8"/>
      <c r="X1209" s="8"/>
      <c r="Y1209" s="8"/>
      <c r="Z1209" s="8"/>
      <c r="AA1209" s="8"/>
      <c r="AB1209" s="8"/>
      <c r="AC1209" s="8"/>
      <c r="AD1209" s="24"/>
      <c r="AE1209" s="24"/>
      <c r="AF1209" s="8"/>
      <c r="AG1209" s="8"/>
      <c r="AH1209" s="8"/>
      <c r="AI1209" s="8"/>
    </row>
    <row r="1210" spans="1:35" ht="15.75" customHeight="1" x14ac:dyDescent="0.25">
      <c r="A1210" s="8"/>
      <c r="B1210" s="8"/>
      <c r="C1210" s="8"/>
      <c r="D1210" s="8"/>
      <c r="E1210" s="50"/>
      <c r="F1210" s="51"/>
      <c r="G1210" s="51"/>
      <c r="H1210" s="52"/>
      <c r="I1210" s="52"/>
      <c r="J1210" s="52"/>
      <c r="K1210" s="52"/>
      <c r="L1210" s="52"/>
      <c r="M1210" s="48"/>
      <c r="N1210" s="52"/>
      <c r="O1210" s="22"/>
      <c r="P1210" s="22"/>
      <c r="Q1210" s="8"/>
      <c r="R1210" s="8"/>
      <c r="S1210" s="8"/>
      <c r="T1210" s="8"/>
      <c r="U1210" s="8"/>
      <c r="V1210" s="8"/>
      <c r="W1210" s="8"/>
      <c r="X1210" s="8"/>
      <c r="Y1210" s="8"/>
      <c r="Z1210" s="8"/>
      <c r="AA1210" s="8"/>
      <c r="AB1210" s="8"/>
      <c r="AC1210" s="8"/>
      <c r="AD1210" s="24"/>
      <c r="AE1210" s="24"/>
      <c r="AF1210" s="8"/>
      <c r="AG1210" s="8"/>
      <c r="AH1210" s="8"/>
      <c r="AI1210" s="8"/>
    </row>
    <row r="1211" spans="1:35" ht="15.75" customHeight="1" x14ac:dyDescent="0.25">
      <c r="A1211" s="8"/>
      <c r="B1211" s="8"/>
      <c r="C1211" s="8"/>
      <c r="D1211" s="8"/>
      <c r="E1211" s="50"/>
      <c r="F1211" s="51"/>
      <c r="G1211" s="51"/>
      <c r="H1211" s="52"/>
      <c r="I1211" s="52"/>
      <c r="J1211" s="52"/>
      <c r="K1211" s="52"/>
      <c r="L1211" s="52"/>
      <c r="M1211" s="48"/>
      <c r="N1211" s="52"/>
      <c r="O1211" s="22"/>
      <c r="P1211" s="22"/>
      <c r="Q1211" s="8"/>
      <c r="R1211" s="8"/>
      <c r="S1211" s="8"/>
      <c r="T1211" s="8"/>
      <c r="U1211" s="8"/>
      <c r="V1211" s="8"/>
      <c r="W1211" s="8"/>
      <c r="X1211" s="8"/>
      <c r="Y1211" s="8"/>
      <c r="Z1211" s="8"/>
      <c r="AA1211" s="8"/>
      <c r="AB1211" s="8"/>
      <c r="AC1211" s="8"/>
      <c r="AD1211" s="24"/>
      <c r="AE1211" s="24"/>
      <c r="AF1211" s="8"/>
      <c r="AG1211" s="8"/>
      <c r="AH1211" s="8"/>
      <c r="AI1211" s="8"/>
    </row>
    <row r="1212" spans="1:35" ht="15.75" customHeight="1" x14ac:dyDescent="0.25">
      <c r="A1212" s="8"/>
      <c r="B1212" s="8"/>
      <c r="C1212" s="8"/>
      <c r="D1212" s="8"/>
      <c r="E1212" s="50"/>
      <c r="F1212" s="51"/>
      <c r="G1212" s="51"/>
      <c r="H1212" s="52"/>
      <c r="I1212" s="52"/>
      <c r="J1212" s="52"/>
      <c r="K1212" s="52"/>
      <c r="L1212" s="52"/>
      <c r="M1212" s="48"/>
      <c r="N1212" s="52"/>
      <c r="O1212" s="22"/>
      <c r="P1212" s="22"/>
      <c r="Q1212" s="8"/>
      <c r="R1212" s="8"/>
      <c r="S1212" s="8"/>
      <c r="T1212" s="8"/>
      <c r="U1212" s="8"/>
      <c r="V1212" s="8"/>
      <c r="W1212" s="8"/>
      <c r="X1212" s="8"/>
      <c r="Y1212" s="8"/>
      <c r="Z1212" s="8"/>
      <c r="AA1212" s="8"/>
      <c r="AB1212" s="8"/>
      <c r="AC1212" s="8"/>
      <c r="AD1212" s="24"/>
      <c r="AE1212" s="24"/>
      <c r="AF1212" s="8"/>
      <c r="AG1212" s="8"/>
      <c r="AH1212" s="8"/>
      <c r="AI1212" s="8"/>
    </row>
    <row r="1213" spans="1:35" ht="15.75" customHeight="1" x14ac:dyDescent="0.25">
      <c r="A1213" s="8"/>
      <c r="B1213" s="8"/>
      <c r="C1213" s="8"/>
      <c r="D1213" s="8"/>
      <c r="E1213" s="50"/>
      <c r="F1213" s="51"/>
      <c r="G1213" s="51"/>
      <c r="H1213" s="52"/>
      <c r="I1213" s="52"/>
      <c r="J1213" s="52"/>
      <c r="K1213" s="52"/>
      <c r="L1213" s="52"/>
      <c r="M1213" s="52"/>
      <c r="N1213" s="52"/>
      <c r="O1213" s="22"/>
      <c r="P1213" s="22"/>
      <c r="Q1213" s="8"/>
      <c r="R1213" s="8"/>
      <c r="S1213" s="8"/>
      <c r="T1213" s="8"/>
      <c r="U1213" s="8"/>
      <c r="V1213" s="8"/>
      <c r="W1213" s="8"/>
      <c r="X1213" s="8"/>
      <c r="Y1213" s="8"/>
      <c r="Z1213" s="8"/>
      <c r="AA1213" s="8"/>
      <c r="AB1213" s="8"/>
      <c r="AC1213" s="8"/>
      <c r="AD1213" s="24"/>
      <c r="AE1213" s="24"/>
      <c r="AF1213" s="8"/>
      <c r="AG1213" s="8"/>
      <c r="AH1213" s="8"/>
      <c r="AI1213" s="8"/>
    </row>
    <row r="1214" spans="1:35" ht="15.75" customHeight="1" x14ac:dyDescent="0.25">
      <c r="A1214" s="8"/>
      <c r="B1214" s="8"/>
      <c r="C1214" s="8"/>
      <c r="D1214" s="8"/>
      <c r="E1214" s="50"/>
      <c r="F1214" s="51"/>
      <c r="G1214" s="51"/>
      <c r="H1214" s="52"/>
      <c r="I1214" s="52"/>
      <c r="J1214" s="52"/>
      <c r="K1214" s="52"/>
      <c r="L1214" s="52"/>
      <c r="M1214" s="48"/>
      <c r="N1214" s="52"/>
      <c r="O1214" s="22"/>
      <c r="P1214" s="22"/>
      <c r="Q1214" s="8"/>
      <c r="R1214" s="8"/>
      <c r="S1214" s="8"/>
      <c r="T1214" s="8"/>
      <c r="U1214" s="8"/>
      <c r="V1214" s="8"/>
      <c r="W1214" s="8"/>
      <c r="X1214" s="8"/>
      <c r="Y1214" s="8"/>
      <c r="Z1214" s="8"/>
      <c r="AA1214" s="8"/>
      <c r="AB1214" s="8"/>
      <c r="AC1214" s="8"/>
      <c r="AD1214" s="24"/>
      <c r="AE1214" s="24"/>
      <c r="AF1214" s="8"/>
      <c r="AG1214" s="8"/>
      <c r="AH1214" s="8"/>
      <c r="AI1214" s="8"/>
    </row>
    <row r="1215" spans="1:35" ht="15.75" customHeight="1" x14ac:dyDescent="0.25">
      <c r="A1215" s="8"/>
      <c r="B1215" s="8"/>
      <c r="C1215" s="8"/>
      <c r="D1215" s="8"/>
      <c r="E1215" s="50"/>
      <c r="F1215" s="51"/>
      <c r="G1215" s="51"/>
      <c r="H1215" s="52"/>
      <c r="I1215" s="52"/>
      <c r="J1215" s="52"/>
      <c r="K1215" s="52"/>
      <c r="L1215" s="52"/>
      <c r="M1215" s="52"/>
      <c r="N1215" s="52"/>
      <c r="O1215" s="22"/>
      <c r="P1215" s="22"/>
      <c r="Q1215" s="8"/>
      <c r="R1215" s="8"/>
      <c r="S1215" s="8"/>
      <c r="T1215" s="8"/>
      <c r="U1215" s="8"/>
      <c r="V1215" s="8"/>
      <c r="W1215" s="8"/>
      <c r="X1215" s="8"/>
      <c r="Y1215" s="8"/>
      <c r="Z1215" s="8"/>
      <c r="AA1215" s="8"/>
      <c r="AB1215" s="8"/>
      <c r="AC1215" s="8"/>
      <c r="AD1215" s="24"/>
      <c r="AE1215" s="24"/>
      <c r="AF1215" s="8"/>
      <c r="AG1215" s="8"/>
      <c r="AH1215" s="8"/>
      <c r="AI1215" s="8"/>
    </row>
    <row r="1216" spans="1:35" ht="15.75" customHeight="1" x14ac:dyDescent="0.25">
      <c r="A1216" s="8"/>
      <c r="B1216" s="8"/>
      <c r="C1216" s="8"/>
      <c r="D1216" s="8"/>
      <c r="E1216" s="50"/>
      <c r="F1216" s="51"/>
      <c r="G1216" s="51"/>
      <c r="H1216" s="52"/>
      <c r="I1216" s="52"/>
      <c r="J1216" s="52"/>
      <c r="K1216" s="52"/>
      <c r="L1216" s="52"/>
      <c r="M1216" s="48"/>
      <c r="N1216" s="52"/>
      <c r="O1216" s="22"/>
      <c r="P1216" s="22"/>
      <c r="Q1216" s="8"/>
      <c r="R1216" s="8"/>
      <c r="S1216" s="8"/>
      <c r="T1216" s="8"/>
      <c r="U1216" s="8"/>
      <c r="V1216" s="8"/>
      <c r="W1216" s="8"/>
      <c r="X1216" s="8"/>
      <c r="Y1216" s="8"/>
      <c r="Z1216" s="8"/>
      <c r="AA1216" s="8"/>
      <c r="AB1216" s="8"/>
      <c r="AC1216" s="8"/>
      <c r="AD1216" s="24"/>
      <c r="AE1216" s="24"/>
      <c r="AF1216" s="8"/>
      <c r="AG1216" s="8"/>
      <c r="AH1216" s="8"/>
      <c r="AI1216" s="8"/>
    </row>
    <row r="1217" spans="1:35" ht="15.75" customHeight="1" x14ac:dyDescent="0.25">
      <c r="A1217" s="8"/>
      <c r="B1217" s="8"/>
      <c r="C1217" s="8"/>
      <c r="D1217" s="8"/>
      <c r="E1217" s="50"/>
      <c r="F1217" s="51"/>
      <c r="G1217" s="51"/>
      <c r="H1217" s="52"/>
      <c r="I1217" s="52"/>
      <c r="J1217" s="52"/>
      <c r="K1217" s="52"/>
      <c r="L1217" s="52"/>
      <c r="M1217" s="48"/>
      <c r="N1217" s="52"/>
      <c r="O1217" s="22"/>
      <c r="P1217" s="22"/>
      <c r="Q1217" s="8"/>
      <c r="R1217" s="8"/>
      <c r="S1217" s="8"/>
      <c r="T1217" s="8"/>
      <c r="U1217" s="8"/>
      <c r="V1217" s="8"/>
      <c r="W1217" s="8"/>
      <c r="X1217" s="8"/>
      <c r="Y1217" s="8"/>
      <c r="Z1217" s="8"/>
      <c r="AA1217" s="8"/>
      <c r="AB1217" s="8"/>
      <c r="AC1217" s="8"/>
      <c r="AD1217" s="24"/>
      <c r="AE1217" s="24"/>
      <c r="AF1217" s="8"/>
      <c r="AG1217" s="8"/>
      <c r="AH1217" s="8"/>
      <c r="AI1217" s="8"/>
    </row>
    <row r="1218" spans="1:35" ht="15.75" customHeight="1" x14ac:dyDescent="0.25">
      <c r="A1218" s="8"/>
      <c r="B1218" s="8"/>
      <c r="C1218" s="8"/>
      <c r="D1218" s="8"/>
      <c r="E1218" s="50"/>
      <c r="F1218" s="51"/>
      <c r="G1218" s="51"/>
      <c r="H1218" s="52"/>
      <c r="I1218" s="52"/>
      <c r="J1218" s="52"/>
      <c r="K1218" s="52"/>
      <c r="L1218" s="52"/>
      <c r="M1218" s="48"/>
      <c r="N1218" s="52"/>
      <c r="O1218" s="22"/>
      <c r="P1218" s="22"/>
      <c r="Q1218" s="8"/>
      <c r="R1218" s="8"/>
      <c r="S1218" s="8"/>
      <c r="T1218" s="8"/>
      <c r="U1218" s="8"/>
      <c r="V1218" s="8"/>
      <c r="W1218" s="8"/>
      <c r="X1218" s="8"/>
      <c r="Y1218" s="8"/>
      <c r="Z1218" s="8"/>
      <c r="AA1218" s="8"/>
      <c r="AB1218" s="8"/>
      <c r="AC1218" s="8"/>
      <c r="AD1218" s="24"/>
      <c r="AE1218" s="24"/>
      <c r="AF1218" s="8"/>
      <c r="AG1218" s="8"/>
      <c r="AH1218" s="8"/>
      <c r="AI1218" s="8"/>
    </row>
    <row r="1219" spans="1:35" ht="15.75" customHeight="1" x14ac:dyDescent="0.25">
      <c r="A1219" s="8"/>
      <c r="B1219" s="8"/>
      <c r="C1219" s="8"/>
      <c r="D1219" s="8"/>
      <c r="E1219" s="50"/>
      <c r="F1219" s="51"/>
      <c r="G1219" s="51"/>
      <c r="H1219" s="52"/>
      <c r="I1219" s="52"/>
      <c r="J1219" s="52"/>
      <c r="K1219" s="52"/>
      <c r="L1219" s="52"/>
      <c r="M1219" s="52"/>
      <c r="N1219" s="52"/>
      <c r="O1219" s="22"/>
      <c r="P1219" s="22"/>
      <c r="Q1219" s="8"/>
      <c r="R1219" s="8"/>
      <c r="S1219" s="8"/>
      <c r="T1219" s="8"/>
      <c r="U1219" s="8"/>
      <c r="V1219" s="8"/>
      <c r="W1219" s="8"/>
      <c r="X1219" s="8"/>
      <c r="Y1219" s="8"/>
      <c r="Z1219" s="8"/>
      <c r="AA1219" s="8"/>
      <c r="AB1219" s="8"/>
      <c r="AC1219" s="8"/>
      <c r="AD1219" s="24"/>
      <c r="AE1219" s="24"/>
      <c r="AF1219" s="8"/>
      <c r="AG1219" s="8"/>
      <c r="AH1219" s="8"/>
      <c r="AI1219" s="8"/>
    </row>
    <row r="1220" spans="1:35" ht="15.75" customHeight="1" x14ac:dyDescent="0.25">
      <c r="A1220" s="8"/>
      <c r="B1220" s="8"/>
      <c r="C1220" s="8"/>
      <c r="D1220" s="8"/>
      <c r="E1220" s="50"/>
      <c r="F1220" s="51"/>
      <c r="G1220" s="51"/>
      <c r="H1220" s="52"/>
      <c r="I1220" s="52"/>
      <c r="J1220" s="52"/>
      <c r="K1220" s="52"/>
      <c r="L1220" s="52"/>
      <c r="M1220" s="48"/>
      <c r="N1220" s="52"/>
      <c r="O1220" s="22"/>
      <c r="P1220" s="22"/>
      <c r="Q1220" s="8"/>
      <c r="R1220" s="8"/>
      <c r="S1220" s="8"/>
      <c r="T1220" s="8"/>
      <c r="U1220" s="8"/>
      <c r="V1220" s="8"/>
      <c r="W1220" s="8"/>
      <c r="X1220" s="8"/>
      <c r="Y1220" s="8"/>
      <c r="Z1220" s="8"/>
      <c r="AA1220" s="8"/>
      <c r="AB1220" s="8"/>
      <c r="AC1220" s="8"/>
      <c r="AD1220" s="24"/>
      <c r="AE1220" s="24"/>
      <c r="AF1220" s="8"/>
      <c r="AG1220" s="8"/>
      <c r="AH1220" s="8"/>
      <c r="AI1220" s="8"/>
    </row>
    <row r="1221" spans="1:35" ht="15.75" customHeight="1" x14ac:dyDescent="0.25">
      <c r="A1221" s="8"/>
      <c r="B1221" s="8"/>
      <c r="C1221" s="8"/>
      <c r="D1221" s="8"/>
      <c r="E1221" s="50"/>
      <c r="F1221" s="51"/>
      <c r="G1221" s="51"/>
      <c r="H1221" s="52"/>
      <c r="I1221" s="52"/>
      <c r="J1221" s="52"/>
      <c r="K1221" s="52"/>
      <c r="L1221" s="52"/>
      <c r="M1221" s="48"/>
      <c r="N1221" s="52"/>
      <c r="O1221" s="22"/>
      <c r="P1221" s="22"/>
      <c r="Q1221" s="8"/>
      <c r="R1221" s="8"/>
      <c r="S1221" s="8"/>
      <c r="T1221" s="8"/>
      <c r="U1221" s="8"/>
      <c r="V1221" s="8"/>
      <c r="W1221" s="8"/>
      <c r="X1221" s="8"/>
      <c r="Y1221" s="8"/>
      <c r="Z1221" s="8"/>
      <c r="AA1221" s="8"/>
      <c r="AB1221" s="8"/>
      <c r="AC1221" s="8"/>
      <c r="AD1221" s="24"/>
      <c r="AE1221" s="24"/>
      <c r="AF1221" s="8"/>
      <c r="AG1221" s="8"/>
      <c r="AH1221" s="8"/>
      <c r="AI1221" s="8"/>
    </row>
    <row r="1222" spans="1:35" ht="15.75" customHeight="1" x14ac:dyDescent="0.25">
      <c r="A1222" s="8"/>
      <c r="B1222" s="8"/>
      <c r="C1222" s="8"/>
      <c r="D1222" s="8"/>
      <c r="E1222" s="50"/>
      <c r="F1222" s="51"/>
      <c r="G1222" s="51"/>
      <c r="H1222" s="52"/>
      <c r="I1222" s="52"/>
      <c r="J1222" s="52"/>
      <c r="K1222" s="52"/>
      <c r="L1222" s="52"/>
      <c r="M1222" s="52"/>
      <c r="N1222" s="52"/>
      <c r="O1222" s="22"/>
      <c r="P1222" s="22"/>
      <c r="Q1222" s="8"/>
      <c r="R1222" s="8"/>
      <c r="S1222" s="8"/>
      <c r="T1222" s="8"/>
      <c r="U1222" s="8"/>
      <c r="V1222" s="8"/>
      <c r="W1222" s="8"/>
      <c r="X1222" s="8"/>
      <c r="Y1222" s="8"/>
      <c r="Z1222" s="8"/>
      <c r="AA1222" s="8"/>
      <c r="AB1222" s="8"/>
      <c r="AC1222" s="8"/>
      <c r="AD1222" s="24"/>
      <c r="AE1222" s="24"/>
      <c r="AF1222" s="8"/>
      <c r="AG1222" s="8"/>
      <c r="AH1222" s="8"/>
      <c r="AI1222" s="8"/>
    </row>
    <row r="1223" spans="1:35" ht="15.75" customHeight="1" x14ac:dyDescent="0.25">
      <c r="A1223" s="8"/>
      <c r="B1223" s="8"/>
      <c r="C1223" s="8"/>
      <c r="D1223" s="8"/>
      <c r="E1223" s="50"/>
      <c r="F1223" s="51"/>
      <c r="G1223" s="51"/>
      <c r="H1223" s="52"/>
      <c r="I1223" s="52"/>
      <c r="J1223" s="52"/>
      <c r="K1223" s="52"/>
      <c r="L1223" s="52"/>
      <c r="M1223" s="48"/>
      <c r="N1223" s="52"/>
      <c r="O1223" s="22"/>
      <c r="P1223" s="22"/>
      <c r="Q1223" s="8"/>
      <c r="R1223" s="8"/>
      <c r="S1223" s="8"/>
      <c r="T1223" s="8"/>
      <c r="U1223" s="8"/>
      <c r="V1223" s="8"/>
      <c r="W1223" s="8"/>
      <c r="X1223" s="8"/>
      <c r="Y1223" s="8"/>
      <c r="Z1223" s="8"/>
      <c r="AA1223" s="8"/>
      <c r="AB1223" s="8"/>
      <c r="AC1223" s="8"/>
      <c r="AD1223" s="24"/>
      <c r="AE1223" s="24"/>
      <c r="AF1223" s="8"/>
      <c r="AG1223" s="8"/>
      <c r="AH1223" s="8"/>
      <c r="AI1223" s="8"/>
    </row>
    <row r="1224" spans="1:35" ht="15.75" customHeight="1" x14ac:dyDescent="0.25">
      <c r="A1224" s="8"/>
      <c r="B1224" s="8"/>
      <c r="C1224" s="8"/>
      <c r="D1224" s="8"/>
      <c r="E1224" s="50"/>
      <c r="F1224" s="51"/>
      <c r="G1224" s="51"/>
      <c r="H1224" s="52"/>
      <c r="I1224" s="52"/>
      <c r="J1224" s="52"/>
      <c r="K1224" s="52"/>
      <c r="L1224" s="52"/>
      <c r="M1224" s="52"/>
      <c r="N1224" s="52"/>
      <c r="O1224" s="22"/>
      <c r="P1224" s="22"/>
      <c r="Q1224" s="8"/>
      <c r="R1224" s="8"/>
      <c r="S1224" s="8"/>
      <c r="T1224" s="8"/>
      <c r="U1224" s="8"/>
      <c r="V1224" s="8"/>
      <c r="W1224" s="8"/>
      <c r="X1224" s="8"/>
      <c r="Y1224" s="8"/>
      <c r="Z1224" s="8"/>
      <c r="AA1224" s="8"/>
      <c r="AB1224" s="8"/>
      <c r="AC1224" s="8"/>
      <c r="AD1224" s="24"/>
      <c r="AE1224" s="24"/>
      <c r="AF1224" s="8"/>
      <c r="AG1224" s="8"/>
      <c r="AH1224" s="8"/>
      <c r="AI1224" s="8"/>
    </row>
    <row r="1225" spans="1:35" ht="15.75" customHeight="1" x14ac:dyDescent="0.25">
      <c r="A1225" s="8"/>
      <c r="B1225" s="8"/>
      <c r="C1225" s="8"/>
      <c r="D1225" s="8"/>
      <c r="E1225" s="50"/>
      <c r="F1225" s="51"/>
      <c r="G1225" s="51"/>
      <c r="H1225" s="52"/>
      <c r="I1225" s="52"/>
      <c r="J1225" s="52"/>
      <c r="K1225" s="52"/>
      <c r="L1225" s="52"/>
      <c r="M1225" s="48"/>
      <c r="N1225" s="52"/>
      <c r="O1225" s="22"/>
      <c r="P1225" s="22"/>
      <c r="Q1225" s="8"/>
      <c r="R1225" s="8"/>
      <c r="S1225" s="8"/>
      <c r="T1225" s="8"/>
      <c r="U1225" s="8"/>
      <c r="V1225" s="8"/>
      <c r="W1225" s="8"/>
      <c r="X1225" s="8"/>
      <c r="Y1225" s="8"/>
      <c r="Z1225" s="8"/>
      <c r="AA1225" s="8"/>
      <c r="AB1225" s="8"/>
      <c r="AC1225" s="8"/>
      <c r="AD1225" s="24"/>
      <c r="AE1225" s="24"/>
      <c r="AF1225" s="8"/>
      <c r="AG1225" s="8"/>
      <c r="AH1225" s="8"/>
      <c r="AI1225" s="8"/>
    </row>
    <row r="1226" spans="1:35" ht="15.75" customHeight="1" x14ac:dyDescent="0.25">
      <c r="A1226" s="8"/>
      <c r="B1226" s="8"/>
      <c r="C1226" s="8"/>
      <c r="D1226" s="8"/>
      <c r="E1226" s="50"/>
      <c r="F1226" s="51"/>
      <c r="G1226" s="51"/>
      <c r="H1226" s="52"/>
      <c r="I1226" s="52"/>
      <c r="J1226" s="52"/>
      <c r="K1226" s="52"/>
      <c r="L1226" s="52"/>
      <c r="M1226" s="48"/>
      <c r="N1226" s="52"/>
      <c r="O1226" s="22"/>
      <c r="P1226" s="22"/>
      <c r="Q1226" s="8"/>
      <c r="R1226" s="8"/>
      <c r="S1226" s="8"/>
      <c r="T1226" s="8"/>
      <c r="U1226" s="8"/>
      <c r="V1226" s="8"/>
      <c r="W1226" s="8"/>
      <c r="X1226" s="8"/>
      <c r="Y1226" s="8"/>
      <c r="Z1226" s="8"/>
      <c r="AA1226" s="8"/>
      <c r="AB1226" s="8"/>
      <c r="AC1226" s="8"/>
      <c r="AD1226" s="24"/>
      <c r="AE1226" s="24"/>
      <c r="AF1226" s="8"/>
      <c r="AG1226" s="8"/>
      <c r="AH1226" s="8"/>
      <c r="AI1226" s="8"/>
    </row>
    <row r="1227" spans="1:35" ht="15.75" customHeight="1" x14ac:dyDescent="0.25">
      <c r="A1227" s="8"/>
      <c r="B1227" s="8"/>
      <c r="C1227" s="8"/>
      <c r="D1227" s="8"/>
      <c r="E1227" s="50"/>
      <c r="F1227" s="51"/>
      <c r="G1227" s="51"/>
      <c r="H1227" s="52"/>
      <c r="I1227" s="52"/>
      <c r="J1227" s="52"/>
      <c r="K1227" s="52"/>
      <c r="L1227" s="52"/>
      <c r="M1227" s="48"/>
      <c r="N1227" s="52"/>
      <c r="O1227" s="22"/>
      <c r="P1227" s="22"/>
      <c r="Q1227" s="8"/>
      <c r="R1227" s="8"/>
      <c r="S1227" s="8"/>
      <c r="T1227" s="8"/>
      <c r="U1227" s="8"/>
      <c r="V1227" s="8"/>
      <c r="W1227" s="8"/>
      <c r="X1227" s="8"/>
      <c r="Y1227" s="8"/>
      <c r="Z1227" s="8"/>
      <c r="AA1227" s="8"/>
      <c r="AB1227" s="8"/>
      <c r="AC1227" s="8"/>
      <c r="AD1227" s="24"/>
      <c r="AE1227" s="24"/>
      <c r="AF1227" s="8"/>
      <c r="AG1227" s="8"/>
      <c r="AH1227" s="8"/>
      <c r="AI1227" s="8"/>
    </row>
    <row r="1228" spans="1:35" ht="15.75" customHeight="1" x14ac:dyDescent="0.25">
      <c r="A1228" s="8"/>
      <c r="B1228" s="8"/>
      <c r="C1228" s="8"/>
      <c r="D1228" s="8"/>
      <c r="E1228" s="50"/>
      <c r="F1228" s="51"/>
      <c r="G1228" s="51"/>
      <c r="H1228" s="52"/>
      <c r="I1228" s="52"/>
      <c r="J1228" s="52"/>
      <c r="K1228" s="52"/>
      <c r="L1228" s="52"/>
      <c r="M1228" s="52"/>
      <c r="N1228" s="52"/>
      <c r="O1228" s="22"/>
      <c r="P1228" s="22"/>
      <c r="Q1228" s="8"/>
      <c r="R1228" s="8"/>
      <c r="S1228" s="8"/>
      <c r="T1228" s="8"/>
      <c r="U1228" s="8"/>
      <c r="V1228" s="8"/>
      <c r="W1228" s="8"/>
      <c r="X1228" s="8"/>
      <c r="Y1228" s="8"/>
      <c r="Z1228" s="8"/>
      <c r="AA1228" s="8"/>
      <c r="AB1228" s="8"/>
      <c r="AC1228" s="8"/>
      <c r="AD1228" s="24"/>
      <c r="AE1228" s="24"/>
      <c r="AF1228" s="8"/>
      <c r="AG1228" s="8"/>
      <c r="AH1228" s="8"/>
      <c r="AI1228" s="8"/>
    </row>
    <row r="1229" spans="1:35" ht="15.75" customHeight="1" x14ac:dyDescent="0.25">
      <c r="A1229" s="8"/>
      <c r="B1229" s="8"/>
      <c r="C1229" s="8"/>
      <c r="D1229" s="8"/>
      <c r="E1229" s="50"/>
      <c r="F1229" s="51"/>
      <c r="G1229" s="51"/>
      <c r="H1229" s="52"/>
      <c r="I1229" s="52"/>
      <c r="J1229" s="52"/>
      <c r="K1229" s="52"/>
      <c r="L1229" s="52"/>
      <c r="M1229" s="52"/>
      <c r="N1229" s="52"/>
      <c r="O1229" s="22"/>
      <c r="P1229" s="22"/>
      <c r="Q1229" s="8"/>
      <c r="R1229" s="8"/>
      <c r="S1229" s="8"/>
      <c r="T1229" s="8"/>
      <c r="U1229" s="8"/>
      <c r="V1229" s="8"/>
      <c r="W1229" s="8"/>
      <c r="X1229" s="8"/>
      <c r="Y1229" s="8"/>
      <c r="Z1229" s="8"/>
      <c r="AA1229" s="8"/>
      <c r="AB1229" s="8"/>
      <c r="AC1229" s="8"/>
      <c r="AD1229" s="24"/>
      <c r="AE1229" s="24"/>
      <c r="AF1229" s="8"/>
      <c r="AG1229" s="8"/>
      <c r="AH1229" s="8"/>
      <c r="AI1229" s="8"/>
    </row>
    <row r="1230" spans="1:35" ht="15.75" customHeight="1" x14ac:dyDescent="0.25">
      <c r="A1230" s="8"/>
      <c r="B1230" s="8"/>
      <c r="C1230" s="8"/>
      <c r="D1230" s="8"/>
      <c r="E1230" s="50"/>
      <c r="F1230" s="51"/>
      <c r="G1230" s="51"/>
      <c r="H1230" s="52"/>
      <c r="I1230" s="52"/>
      <c r="J1230" s="52"/>
      <c r="K1230" s="52"/>
      <c r="L1230" s="52"/>
      <c r="M1230" s="48"/>
      <c r="N1230" s="52"/>
      <c r="O1230" s="22"/>
      <c r="P1230" s="22"/>
      <c r="Q1230" s="8"/>
      <c r="R1230" s="8"/>
      <c r="S1230" s="8"/>
      <c r="T1230" s="8"/>
      <c r="U1230" s="8"/>
      <c r="V1230" s="8"/>
      <c r="W1230" s="8"/>
      <c r="X1230" s="8"/>
      <c r="Y1230" s="8"/>
      <c r="Z1230" s="8"/>
      <c r="AA1230" s="8"/>
      <c r="AB1230" s="8"/>
      <c r="AC1230" s="8"/>
      <c r="AD1230" s="24"/>
      <c r="AE1230" s="24"/>
      <c r="AF1230" s="8"/>
      <c r="AG1230" s="8"/>
      <c r="AH1230" s="8"/>
      <c r="AI1230" s="8"/>
    </row>
    <row r="1231" spans="1:35" ht="15.75" customHeight="1" x14ac:dyDescent="0.25">
      <c r="A1231" s="8"/>
      <c r="B1231" s="8"/>
      <c r="C1231" s="8"/>
      <c r="D1231" s="8"/>
      <c r="E1231" s="50"/>
      <c r="F1231" s="51"/>
      <c r="G1231" s="51"/>
      <c r="H1231" s="52"/>
      <c r="I1231" s="52"/>
      <c r="J1231" s="52"/>
      <c r="K1231" s="52"/>
      <c r="L1231" s="52"/>
      <c r="M1231" s="48"/>
      <c r="N1231" s="52"/>
      <c r="O1231" s="22"/>
      <c r="P1231" s="22"/>
      <c r="Q1231" s="8"/>
      <c r="R1231" s="8"/>
      <c r="S1231" s="8"/>
      <c r="T1231" s="8"/>
      <c r="U1231" s="8"/>
      <c r="V1231" s="8"/>
      <c r="W1231" s="8"/>
      <c r="X1231" s="8"/>
      <c r="Y1231" s="8"/>
      <c r="Z1231" s="8"/>
      <c r="AA1231" s="8"/>
      <c r="AB1231" s="8"/>
      <c r="AC1231" s="8"/>
      <c r="AD1231" s="24"/>
      <c r="AE1231" s="24"/>
      <c r="AF1231" s="8"/>
      <c r="AG1231" s="8"/>
      <c r="AH1231" s="8"/>
      <c r="AI1231" s="8"/>
    </row>
    <row r="1232" spans="1:35" ht="15.75" customHeight="1" x14ac:dyDescent="0.25">
      <c r="A1232" s="8"/>
      <c r="B1232" s="8"/>
      <c r="C1232" s="8"/>
      <c r="D1232" s="8"/>
      <c r="E1232" s="50"/>
      <c r="F1232" s="51"/>
      <c r="G1232" s="51"/>
      <c r="H1232" s="52"/>
      <c r="I1232" s="52"/>
      <c r="J1232" s="52"/>
      <c r="K1232" s="52"/>
      <c r="L1232" s="52"/>
      <c r="M1232" s="48"/>
      <c r="N1232" s="52"/>
      <c r="O1232" s="22"/>
      <c r="P1232" s="22"/>
      <c r="Q1232" s="8"/>
      <c r="R1232" s="8"/>
      <c r="S1232" s="8"/>
      <c r="T1232" s="8"/>
      <c r="U1232" s="8"/>
      <c r="V1232" s="8"/>
      <c r="W1232" s="8"/>
      <c r="X1232" s="8"/>
      <c r="Y1232" s="8"/>
      <c r="Z1232" s="8"/>
      <c r="AA1232" s="8"/>
      <c r="AB1232" s="8"/>
      <c r="AC1232" s="8"/>
      <c r="AD1232" s="24"/>
      <c r="AE1232" s="24"/>
      <c r="AF1232" s="8"/>
      <c r="AG1232" s="8"/>
      <c r="AH1232" s="8"/>
      <c r="AI1232" s="8"/>
    </row>
    <row r="1233" spans="1:35" ht="15.75" customHeight="1" x14ac:dyDescent="0.25">
      <c r="A1233" s="8"/>
      <c r="B1233" s="8"/>
      <c r="C1233" s="8"/>
      <c r="D1233" s="8"/>
      <c r="E1233" s="50"/>
      <c r="F1233" s="51"/>
      <c r="G1233" s="51"/>
      <c r="H1233" s="52"/>
      <c r="I1233" s="52"/>
      <c r="J1233" s="52"/>
      <c r="K1233" s="52"/>
      <c r="L1233" s="52"/>
      <c r="M1233" s="48"/>
      <c r="N1233" s="52"/>
      <c r="O1233" s="22"/>
      <c r="P1233" s="22"/>
      <c r="Q1233" s="8"/>
      <c r="R1233" s="8"/>
      <c r="S1233" s="8"/>
      <c r="T1233" s="8"/>
      <c r="U1233" s="8"/>
      <c r="V1233" s="8"/>
      <c r="W1233" s="8"/>
      <c r="X1233" s="8"/>
      <c r="Y1233" s="8"/>
      <c r="Z1233" s="8"/>
      <c r="AA1233" s="8"/>
      <c r="AB1233" s="8"/>
      <c r="AC1233" s="8"/>
      <c r="AD1233" s="24"/>
      <c r="AE1233" s="24"/>
      <c r="AF1233" s="8"/>
      <c r="AG1233" s="8"/>
      <c r="AH1233" s="8"/>
      <c r="AI1233" s="8"/>
    </row>
    <row r="1234" spans="1:35" ht="15.75" customHeight="1" x14ac:dyDescent="0.25">
      <c r="A1234" s="8"/>
      <c r="B1234" s="8"/>
      <c r="C1234" s="8"/>
      <c r="D1234" s="8"/>
      <c r="E1234" s="50"/>
      <c r="F1234" s="51"/>
      <c r="G1234" s="51"/>
      <c r="H1234" s="52"/>
      <c r="I1234" s="52"/>
      <c r="J1234" s="52"/>
      <c r="K1234" s="52"/>
      <c r="L1234" s="52"/>
      <c r="M1234" s="49"/>
      <c r="N1234" s="52"/>
      <c r="O1234" s="22"/>
      <c r="P1234" s="22"/>
      <c r="Q1234" s="8"/>
      <c r="R1234" s="8"/>
      <c r="S1234" s="8"/>
      <c r="T1234" s="8"/>
      <c r="U1234" s="8"/>
      <c r="V1234" s="8"/>
      <c r="W1234" s="8"/>
      <c r="X1234" s="8"/>
      <c r="Y1234" s="8"/>
      <c r="Z1234" s="8"/>
      <c r="AA1234" s="8"/>
      <c r="AB1234" s="8"/>
      <c r="AC1234" s="8"/>
      <c r="AD1234" s="24"/>
      <c r="AE1234" s="24"/>
      <c r="AF1234" s="8"/>
      <c r="AG1234" s="8"/>
      <c r="AH1234" s="8"/>
      <c r="AI1234" s="8"/>
    </row>
    <row r="1235" spans="1:35" ht="15.75" customHeight="1" x14ac:dyDescent="0.25">
      <c r="A1235" s="8"/>
      <c r="B1235" s="8"/>
      <c r="C1235" s="8"/>
      <c r="D1235" s="8"/>
      <c r="E1235" s="50"/>
      <c r="F1235" s="51"/>
      <c r="G1235" s="51"/>
      <c r="H1235" s="52"/>
      <c r="I1235" s="52"/>
      <c r="J1235" s="52"/>
      <c r="K1235" s="52"/>
      <c r="L1235" s="52"/>
      <c r="M1235" s="48"/>
      <c r="N1235" s="52"/>
      <c r="O1235" s="22"/>
      <c r="P1235" s="22"/>
      <c r="Q1235" s="8"/>
      <c r="R1235" s="8"/>
      <c r="S1235" s="8"/>
      <c r="T1235" s="8"/>
      <c r="U1235" s="8"/>
      <c r="V1235" s="8"/>
      <c r="W1235" s="8"/>
      <c r="X1235" s="8"/>
      <c r="Y1235" s="8"/>
      <c r="Z1235" s="8"/>
      <c r="AA1235" s="8"/>
      <c r="AB1235" s="8"/>
      <c r="AC1235" s="8"/>
      <c r="AD1235" s="24"/>
      <c r="AE1235" s="24"/>
      <c r="AF1235" s="8"/>
      <c r="AG1235" s="8"/>
      <c r="AH1235" s="8"/>
      <c r="AI1235" s="8"/>
    </row>
    <row r="1236" spans="1:35" ht="15.75" customHeight="1" x14ac:dyDescent="0.25">
      <c r="A1236" s="8"/>
      <c r="B1236" s="8"/>
      <c r="C1236" s="8"/>
      <c r="D1236" s="8"/>
      <c r="E1236" s="50"/>
      <c r="F1236" s="51"/>
      <c r="G1236" s="51"/>
      <c r="H1236" s="52"/>
      <c r="I1236" s="52"/>
      <c r="J1236" s="52"/>
      <c r="K1236" s="52"/>
      <c r="L1236" s="52"/>
      <c r="M1236" s="48"/>
      <c r="N1236" s="52"/>
      <c r="O1236" s="22"/>
      <c r="P1236" s="22"/>
      <c r="Q1236" s="8"/>
      <c r="R1236" s="8"/>
      <c r="S1236" s="8"/>
      <c r="T1236" s="8"/>
      <c r="U1236" s="8"/>
      <c r="V1236" s="8"/>
      <c r="W1236" s="8"/>
      <c r="X1236" s="8"/>
      <c r="Y1236" s="8"/>
      <c r="Z1236" s="8"/>
      <c r="AA1236" s="8"/>
      <c r="AB1236" s="8"/>
      <c r="AC1236" s="8"/>
      <c r="AD1236" s="24"/>
      <c r="AE1236" s="24"/>
      <c r="AF1236" s="8"/>
      <c r="AG1236" s="8"/>
      <c r="AH1236" s="8"/>
      <c r="AI1236" s="8"/>
    </row>
    <row r="1237" spans="1:35" ht="15.75" customHeight="1" x14ac:dyDescent="0.25">
      <c r="A1237" s="8"/>
      <c r="B1237" s="8"/>
      <c r="C1237" s="8"/>
      <c r="D1237" s="8"/>
      <c r="E1237" s="50"/>
      <c r="F1237" s="51"/>
      <c r="G1237" s="51"/>
      <c r="H1237" s="52"/>
      <c r="I1237" s="52"/>
      <c r="J1237" s="52"/>
      <c r="K1237" s="52"/>
      <c r="L1237" s="52"/>
      <c r="M1237" s="48"/>
      <c r="N1237" s="52"/>
      <c r="O1237" s="22"/>
      <c r="P1237" s="22"/>
      <c r="Q1237" s="8"/>
      <c r="R1237" s="8"/>
      <c r="S1237" s="8"/>
      <c r="T1237" s="8"/>
      <c r="U1237" s="8"/>
      <c r="V1237" s="8"/>
      <c r="W1237" s="8"/>
      <c r="X1237" s="8"/>
      <c r="Y1237" s="8"/>
      <c r="Z1237" s="8"/>
      <c r="AA1237" s="8"/>
      <c r="AB1237" s="8"/>
      <c r="AC1237" s="8"/>
      <c r="AD1237" s="24"/>
      <c r="AE1237" s="24"/>
      <c r="AF1237" s="8"/>
      <c r="AG1237" s="8"/>
      <c r="AH1237" s="8"/>
      <c r="AI1237" s="8"/>
    </row>
    <row r="1238" spans="1:35" ht="15.75" customHeight="1" x14ac:dyDescent="0.25">
      <c r="A1238" s="8"/>
      <c r="B1238" s="8"/>
      <c r="C1238" s="8"/>
      <c r="D1238" s="8"/>
      <c r="E1238" s="50"/>
      <c r="F1238" s="51"/>
      <c r="G1238" s="51"/>
      <c r="H1238" s="52"/>
      <c r="I1238" s="52"/>
      <c r="J1238" s="52"/>
      <c r="K1238" s="52"/>
      <c r="L1238" s="52"/>
      <c r="M1238" s="48"/>
      <c r="N1238" s="52"/>
      <c r="O1238" s="22"/>
      <c r="P1238" s="22"/>
      <c r="Q1238" s="8"/>
      <c r="R1238" s="8"/>
      <c r="S1238" s="8"/>
      <c r="T1238" s="8"/>
      <c r="U1238" s="8"/>
      <c r="V1238" s="8"/>
      <c r="W1238" s="8"/>
      <c r="X1238" s="8"/>
      <c r="Y1238" s="8"/>
      <c r="Z1238" s="8"/>
      <c r="AA1238" s="8"/>
      <c r="AB1238" s="8"/>
      <c r="AC1238" s="8"/>
      <c r="AD1238" s="24"/>
      <c r="AE1238" s="24"/>
      <c r="AF1238" s="8"/>
      <c r="AG1238" s="8"/>
      <c r="AH1238" s="8"/>
      <c r="AI1238" s="8"/>
    </row>
    <row r="1239" spans="1:35" ht="15.75" customHeight="1" x14ac:dyDescent="0.25">
      <c r="A1239" s="8"/>
      <c r="B1239" s="8"/>
      <c r="C1239" s="8"/>
      <c r="D1239" s="8"/>
      <c r="E1239" s="50"/>
      <c r="F1239" s="51"/>
      <c r="G1239" s="51"/>
      <c r="H1239" s="52"/>
      <c r="I1239" s="52"/>
      <c r="J1239" s="52"/>
      <c r="K1239" s="52"/>
      <c r="L1239" s="52"/>
      <c r="M1239" s="48"/>
      <c r="N1239" s="52"/>
      <c r="O1239" s="22"/>
      <c r="P1239" s="22"/>
      <c r="Q1239" s="8"/>
      <c r="R1239" s="8"/>
      <c r="S1239" s="8"/>
      <c r="T1239" s="8"/>
      <c r="U1239" s="8"/>
      <c r="V1239" s="8"/>
      <c r="W1239" s="8"/>
      <c r="X1239" s="8"/>
      <c r="Y1239" s="8"/>
      <c r="Z1239" s="8"/>
      <c r="AA1239" s="8"/>
      <c r="AB1239" s="8"/>
      <c r="AC1239" s="8"/>
      <c r="AD1239" s="24"/>
      <c r="AE1239" s="24"/>
      <c r="AF1239" s="8"/>
      <c r="AG1239" s="8"/>
      <c r="AH1239" s="8"/>
      <c r="AI1239" s="8"/>
    </row>
    <row r="1240" spans="1:35" ht="15.75" customHeight="1" x14ac:dyDescent="0.25">
      <c r="A1240" s="8"/>
      <c r="B1240" s="8"/>
      <c r="C1240" s="8"/>
      <c r="D1240" s="8"/>
      <c r="E1240" s="50"/>
      <c r="F1240" s="51"/>
      <c r="G1240" s="51"/>
      <c r="H1240" s="52"/>
      <c r="I1240" s="52"/>
      <c r="J1240" s="52"/>
      <c r="K1240" s="52"/>
      <c r="L1240" s="52"/>
      <c r="M1240" s="52"/>
      <c r="N1240" s="52"/>
      <c r="O1240" s="22"/>
      <c r="P1240" s="22"/>
      <c r="Q1240" s="8"/>
      <c r="R1240" s="8"/>
      <c r="S1240" s="8"/>
      <c r="T1240" s="8"/>
      <c r="U1240" s="8"/>
      <c r="V1240" s="8"/>
      <c r="W1240" s="8"/>
      <c r="X1240" s="8"/>
      <c r="Y1240" s="8"/>
      <c r="Z1240" s="8"/>
      <c r="AA1240" s="8"/>
      <c r="AB1240" s="8"/>
      <c r="AC1240" s="8"/>
      <c r="AD1240" s="24"/>
      <c r="AE1240" s="24"/>
      <c r="AF1240" s="8"/>
      <c r="AG1240" s="8"/>
      <c r="AH1240" s="8"/>
      <c r="AI1240" s="8"/>
    </row>
    <row r="1241" spans="1:35" ht="15.75" customHeight="1" x14ac:dyDescent="0.25">
      <c r="A1241" s="8"/>
      <c r="B1241" s="8"/>
      <c r="C1241" s="8"/>
      <c r="D1241" s="8"/>
      <c r="E1241" s="50"/>
      <c r="F1241" s="51"/>
      <c r="G1241" s="51"/>
      <c r="H1241" s="52"/>
      <c r="I1241" s="52"/>
      <c r="J1241" s="52"/>
      <c r="K1241" s="52"/>
      <c r="L1241" s="52"/>
      <c r="M1241" s="48"/>
      <c r="N1241" s="52"/>
      <c r="O1241" s="22"/>
      <c r="P1241" s="22"/>
      <c r="Q1241" s="8"/>
      <c r="R1241" s="8"/>
      <c r="S1241" s="8"/>
      <c r="T1241" s="8"/>
      <c r="U1241" s="8"/>
      <c r="V1241" s="8"/>
      <c r="W1241" s="8"/>
      <c r="X1241" s="8"/>
      <c r="Y1241" s="8"/>
      <c r="Z1241" s="8"/>
      <c r="AA1241" s="8"/>
      <c r="AB1241" s="8"/>
      <c r="AC1241" s="8"/>
      <c r="AD1241" s="24"/>
      <c r="AE1241" s="24"/>
      <c r="AF1241" s="8"/>
      <c r="AG1241" s="8"/>
      <c r="AH1241" s="8"/>
      <c r="AI1241" s="8"/>
    </row>
    <row r="1242" spans="1:35" ht="15.75" customHeight="1" x14ac:dyDescent="0.25">
      <c r="A1242" s="8"/>
      <c r="B1242" s="8"/>
      <c r="C1242" s="8"/>
      <c r="D1242" s="8"/>
      <c r="E1242" s="50"/>
      <c r="F1242" s="51"/>
      <c r="G1242" s="51"/>
      <c r="H1242" s="52"/>
      <c r="I1242" s="52"/>
      <c r="J1242" s="52"/>
      <c r="K1242" s="52"/>
      <c r="L1242" s="52"/>
      <c r="M1242" s="52"/>
      <c r="N1242" s="52"/>
      <c r="O1242" s="22"/>
      <c r="P1242" s="22"/>
      <c r="Q1242" s="8"/>
      <c r="R1242" s="8"/>
      <c r="S1242" s="8"/>
      <c r="T1242" s="8"/>
      <c r="U1242" s="8"/>
      <c r="V1242" s="8"/>
      <c r="W1242" s="8"/>
      <c r="X1242" s="8"/>
      <c r="Y1242" s="8"/>
      <c r="Z1242" s="8"/>
      <c r="AA1242" s="8"/>
      <c r="AB1242" s="8"/>
      <c r="AC1242" s="8"/>
      <c r="AD1242" s="24"/>
      <c r="AE1242" s="24"/>
      <c r="AF1242" s="8"/>
      <c r="AG1242" s="8"/>
      <c r="AH1242" s="8"/>
      <c r="AI1242" s="8"/>
    </row>
    <row r="1243" spans="1:35" ht="15.75" customHeight="1" x14ac:dyDescent="0.25">
      <c r="A1243" s="8"/>
      <c r="B1243" s="8"/>
      <c r="C1243" s="8"/>
      <c r="D1243" s="8"/>
      <c r="E1243" s="50"/>
      <c r="F1243" s="51"/>
      <c r="G1243" s="51"/>
      <c r="H1243" s="52"/>
      <c r="I1243" s="52"/>
      <c r="J1243" s="52"/>
      <c r="K1243" s="52"/>
      <c r="L1243" s="52"/>
      <c r="M1243" s="48"/>
      <c r="N1243" s="52"/>
      <c r="O1243" s="22"/>
      <c r="P1243" s="22"/>
      <c r="Q1243" s="8"/>
      <c r="R1243" s="8"/>
      <c r="S1243" s="8"/>
      <c r="T1243" s="8"/>
      <c r="U1243" s="8"/>
      <c r="V1243" s="8"/>
      <c r="W1243" s="8"/>
      <c r="X1243" s="8"/>
      <c r="Y1243" s="8"/>
      <c r="Z1243" s="8"/>
      <c r="AA1243" s="8"/>
      <c r="AB1243" s="8"/>
      <c r="AC1243" s="8"/>
      <c r="AD1243" s="24"/>
      <c r="AE1243" s="24"/>
      <c r="AF1243" s="8"/>
      <c r="AG1243" s="8"/>
      <c r="AH1243" s="8"/>
      <c r="AI1243" s="8"/>
    </row>
    <row r="1244" spans="1:35" ht="15.75" customHeight="1" x14ac:dyDescent="0.25">
      <c r="A1244" s="8"/>
      <c r="B1244" s="8"/>
      <c r="C1244" s="8"/>
      <c r="D1244" s="8"/>
      <c r="E1244" s="50"/>
      <c r="F1244" s="51"/>
      <c r="G1244" s="51"/>
      <c r="H1244" s="52"/>
      <c r="I1244" s="52"/>
      <c r="J1244" s="52"/>
      <c r="K1244" s="52"/>
      <c r="L1244" s="52"/>
      <c r="M1244" s="52"/>
      <c r="N1244" s="52"/>
      <c r="O1244" s="22"/>
      <c r="P1244" s="22"/>
      <c r="Q1244" s="8"/>
      <c r="R1244" s="8"/>
      <c r="S1244" s="8"/>
      <c r="T1244" s="8"/>
      <c r="U1244" s="8"/>
      <c r="V1244" s="8"/>
      <c r="W1244" s="8"/>
      <c r="X1244" s="8"/>
      <c r="Y1244" s="8"/>
      <c r="Z1244" s="8"/>
      <c r="AA1244" s="8"/>
      <c r="AB1244" s="8"/>
      <c r="AC1244" s="8"/>
      <c r="AD1244" s="24"/>
      <c r="AE1244" s="24"/>
      <c r="AF1244" s="8"/>
      <c r="AG1244" s="8"/>
      <c r="AH1244" s="8"/>
      <c r="AI1244" s="8"/>
    </row>
    <row r="1245" spans="1:35" ht="15.75" customHeight="1" x14ac:dyDescent="0.25">
      <c r="A1245" s="8"/>
      <c r="B1245" s="8"/>
      <c r="C1245" s="8"/>
      <c r="D1245" s="8"/>
      <c r="E1245" s="50"/>
      <c r="F1245" s="51"/>
      <c r="G1245" s="51"/>
      <c r="H1245" s="52"/>
      <c r="I1245" s="52"/>
      <c r="J1245" s="52"/>
      <c r="K1245" s="52"/>
      <c r="L1245" s="52"/>
      <c r="M1245" s="52"/>
      <c r="N1245" s="52"/>
      <c r="O1245" s="22"/>
      <c r="P1245" s="22"/>
      <c r="Q1245" s="8"/>
      <c r="R1245" s="8"/>
      <c r="S1245" s="8"/>
      <c r="T1245" s="8"/>
      <c r="U1245" s="8"/>
      <c r="V1245" s="8"/>
      <c r="W1245" s="8"/>
      <c r="X1245" s="8"/>
      <c r="Y1245" s="8"/>
      <c r="Z1245" s="8"/>
      <c r="AA1245" s="8"/>
      <c r="AB1245" s="8"/>
      <c r="AC1245" s="8"/>
      <c r="AD1245" s="24"/>
      <c r="AE1245" s="24"/>
      <c r="AF1245" s="8"/>
      <c r="AG1245" s="8"/>
      <c r="AH1245" s="8"/>
      <c r="AI1245" s="8"/>
    </row>
    <row r="1246" spans="1:35" ht="15.75" customHeight="1" x14ac:dyDescent="0.25">
      <c r="A1246" s="8"/>
      <c r="B1246" s="8"/>
      <c r="C1246" s="8"/>
      <c r="D1246" s="8"/>
      <c r="E1246" s="50"/>
      <c r="F1246" s="51"/>
      <c r="G1246" s="51"/>
      <c r="H1246" s="52"/>
      <c r="I1246" s="52"/>
      <c r="J1246" s="52"/>
      <c r="K1246" s="52"/>
      <c r="L1246" s="52"/>
      <c r="M1246" s="52"/>
      <c r="N1246" s="52"/>
      <c r="O1246" s="22"/>
      <c r="P1246" s="22"/>
      <c r="Q1246" s="8"/>
      <c r="R1246" s="8"/>
      <c r="S1246" s="8"/>
      <c r="T1246" s="8"/>
      <c r="U1246" s="8"/>
      <c r="V1246" s="8"/>
      <c r="W1246" s="8"/>
      <c r="X1246" s="8"/>
      <c r="Y1246" s="8"/>
      <c r="Z1246" s="8"/>
      <c r="AA1246" s="8"/>
      <c r="AB1246" s="8"/>
      <c r="AC1246" s="8"/>
      <c r="AD1246" s="24"/>
      <c r="AE1246" s="24"/>
      <c r="AF1246" s="8"/>
      <c r="AG1246" s="8"/>
      <c r="AH1246" s="8"/>
      <c r="AI1246" s="8"/>
    </row>
    <row r="1247" spans="1:35" ht="15.75" customHeight="1" x14ac:dyDescent="0.25">
      <c r="A1247" s="8"/>
      <c r="B1247" s="8"/>
      <c r="C1247" s="8"/>
      <c r="D1247" s="8"/>
      <c r="E1247" s="50"/>
      <c r="F1247" s="51"/>
      <c r="G1247" s="51"/>
      <c r="H1247" s="52"/>
      <c r="I1247" s="52"/>
      <c r="J1247" s="52"/>
      <c r="K1247" s="52"/>
      <c r="L1247" s="52"/>
      <c r="M1247" s="48"/>
      <c r="N1247" s="52"/>
      <c r="O1247" s="22"/>
      <c r="P1247" s="22"/>
      <c r="Q1247" s="8"/>
      <c r="R1247" s="8"/>
      <c r="S1247" s="8"/>
      <c r="T1247" s="8"/>
      <c r="U1247" s="8"/>
      <c r="V1247" s="8"/>
      <c r="W1247" s="8"/>
      <c r="X1247" s="8"/>
      <c r="Y1247" s="8"/>
      <c r="Z1247" s="8"/>
      <c r="AA1247" s="8"/>
      <c r="AB1247" s="8"/>
      <c r="AC1247" s="8"/>
      <c r="AD1247" s="24"/>
      <c r="AE1247" s="24"/>
      <c r="AF1247" s="8"/>
      <c r="AG1247" s="8"/>
      <c r="AH1247" s="8"/>
      <c r="AI1247" s="8"/>
    </row>
    <row r="1248" spans="1:35" ht="15.75" customHeight="1" x14ac:dyDescent="0.25">
      <c r="A1248" s="8"/>
      <c r="B1248" s="8"/>
      <c r="C1248" s="8"/>
      <c r="D1248" s="8"/>
      <c r="E1248" s="50"/>
      <c r="F1248" s="51"/>
      <c r="G1248" s="51"/>
      <c r="H1248" s="52"/>
      <c r="I1248" s="52"/>
      <c r="J1248" s="52"/>
      <c r="K1248" s="52"/>
      <c r="L1248" s="52"/>
      <c r="M1248" s="48"/>
      <c r="N1248" s="52"/>
      <c r="O1248" s="22"/>
      <c r="P1248" s="22"/>
      <c r="Q1248" s="8"/>
      <c r="R1248" s="8"/>
      <c r="S1248" s="8"/>
      <c r="T1248" s="8"/>
      <c r="U1248" s="8"/>
      <c r="V1248" s="8"/>
      <c r="W1248" s="8"/>
      <c r="X1248" s="8"/>
      <c r="Y1248" s="8"/>
      <c r="Z1248" s="8"/>
      <c r="AA1248" s="8"/>
      <c r="AB1248" s="8"/>
      <c r="AC1248" s="8"/>
      <c r="AD1248" s="24"/>
      <c r="AE1248" s="24"/>
      <c r="AF1248" s="8"/>
      <c r="AG1248" s="8"/>
      <c r="AH1248" s="8"/>
      <c r="AI1248" s="8"/>
    </row>
    <row r="1249" spans="1:35" ht="15.75" customHeight="1" x14ac:dyDescent="0.25">
      <c r="A1249" s="8"/>
      <c r="B1249" s="8"/>
      <c r="C1249" s="8"/>
      <c r="D1249" s="8"/>
      <c r="E1249" s="50"/>
      <c r="F1249" s="51"/>
      <c r="G1249" s="51"/>
      <c r="H1249" s="52"/>
      <c r="I1249" s="52"/>
      <c r="J1249" s="52"/>
      <c r="K1249" s="52"/>
      <c r="L1249" s="52"/>
      <c r="M1249" s="48"/>
      <c r="N1249" s="52"/>
      <c r="O1249" s="22"/>
      <c r="P1249" s="22"/>
      <c r="Q1249" s="8"/>
      <c r="R1249" s="8"/>
      <c r="S1249" s="8"/>
      <c r="T1249" s="8"/>
      <c r="U1249" s="8"/>
      <c r="V1249" s="8"/>
      <c r="W1249" s="8"/>
      <c r="X1249" s="8"/>
      <c r="Y1249" s="8"/>
      <c r="Z1249" s="8"/>
      <c r="AA1249" s="8"/>
      <c r="AB1249" s="8"/>
      <c r="AC1249" s="8"/>
      <c r="AD1249" s="24"/>
      <c r="AE1249" s="24"/>
      <c r="AF1249" s="8"/>
      <c r="AG1249" s="8"/>
      <c r="AH1249" s="8"/>
      <c r="AI1249" s="8"/>
    </row>
    <row r="1250" spans="1:35" ht="15.75" customHeight="1" x14ac:dyDescent="0.25">
      <c r="A1250" s="8"/>
      <c r="B1250" s="8"/>
      <c r="C1250" s="8"/>
      <c r="D1250" s="8"/>
      <c r="E1250" s="50"/>
      <c r="F1250" s="51"/>
      <c r="G1250" s="51"/>
      <c r="H1250" s="52"/>
      <c r="I1250" s="52"/>
      <c r="J1250" s="52"/>
      <c r="K1250" s="52"/>
      <c r="L1250" s="52"/>
      <c r="M1250" s="48"/>
      <c r="N1250" s="52"/>
      <c r="O1250" s="22"/>
      <c r="P1250" s="22"/>
      <c r="Q1250" s="8"/>
      <c r="R1250" s="8"/>
      <c r="S1250" s="8"/>
      <c r="T1250" s="8"/>
      <c r="U1250" s="8"/>
      <c r="V1250" s="8"/>
      <c r="W1250" s="8"/>
      <c r="X1250" s="8"/>
      <c r="Y1250" s="8"/>
      <c r="Z1250" s="8"/>
      <c r="AA1250" s="8"/>
      <c r="AB1250" s="8"/>
      <c r="AC1250" s="8"/>
      <c r="AD1250" s="24"/>
      <c r="AE1250" s="24"/>
      <c r="AF1250" s="8"/>
      <c r="AG1250" s="8"/>
      <c r="AH1250" s="8"/>
      <c r="AI1250" s="8"/>
    </row>
    <row r="1251" spans="1:35" ht="15.75" customHeight="1" x14ac:dyDescent="0.25">
      <c r="A1251" s="8"/>
      <c r="B1251" s="8"/>
      <c r="C1251" s="8"/>
      <c r="D1251" s="8"/>
      <c r="E1251" s="50"/>
      <c r="F1251" s="51"/>
      <c r="G1251" s="51"/>
      <c r="H1251" s="52"/>
      <c r="I1251" s="52"/>
      <c r="J1251" s="52"/>
      <c r="K1251" s="52"/>
      <c r="L1251" s="52"/>
      <c r="M1251" s="52"/>
      <c r="N1251" s="52"/>
      <c r="O1251" s="22"/>
      <c r="P1251" s="22"/>
      <c r="Q1251" s="8"/>
      <c r="R1251" s="8"/>
      <c r="S1251" s="8"/>
      <c r="T1251" s="8"/>
      <c r="U1251" s="8"/>
      <c r="V1251" s="8"/>
      <c r="W1251" s="8"/>
      <c r="X1251" s="8"/>
      <c r="Y1251" s="8"/>
      <c r="Z1251" s="8"/>
      <c r="AA1251" s="8"/>
      <c r="AB1251" s="8"/>
      <c r="AC1251" s="8"/>
      <c r="AD1251" s="24"/>
      <c r="AE1251" s="24"/>
      <c r="AF1251" s="8"/>
      <c r="AG1251" s="8"/>
      <c r="AH1251" s="8"/>
      <c r="AI1251" s="8"/>
    </row>
    <row r="1252" spans="1:35" ht="15.75" customHeight="1" x14ac:dyDescent="0.25">
      <c r="A1252" s="8"/>
      <c r="B1252" s="8"/>
      <c r="C1252" s="8"/>
      <c r="D1252" s="8"/>
      <c r="E1252" s="50"/>
      <c r="F1252" s="51"/>
      <c r="G1252" s="51"/>
      <c r="H1252" s="52"/>
      <c r="I1252" s="52"/>
      <c r="J1252" s="52"/>
      <c r="K1252" s="52"/>
      <c r="L1252" s="52"/>
      <c r="M1252" s="52"/>
      <c r="N1252" s="52"/>
      <c r="O1252" s="22"/>
      <c r="P1252" s="22"/>
      <c r="Q1252" s="8"/>
      <c r="R1252" s="8"/>
      <c r="S1252" s="8"/>
      <c r="T1252" s="8"/>
      <c r="U1252" s="8"/>
      <c r="V1252" s="8"/>
      <c r="W1252" s="8"/>
      <c r="X1252" s="8"/>
      <c r="Y1252" s="8"/>
      <c r="Z1252" s="8"/>
      <c r="AA1252" s="8"/>
      <c r="AB1252" s="8"/>
      <c r="AC1252" s="8"/>
      <c r="AD1252" s="24"/>
      <c r="AE1252" s="24"/>
      <c r="AF1252" s="8"/>
      <c r="AG1252" s="8"/>
      <c r="AH1252" s="8"/>
      <c r="AI1252" s="8"/>
    </row>
    <row r="1253" spans="1:35" ht="15.75" customHeight="1" x14ac:dyDescent="0.25">
      <c r="A1253" s="8"/>
      <c r="B1253" s="8"/>
      <c r="C1253" s="8"/>
      <c r="D1253" s="8"/>
      <c r="E1253" s="50"/>
      <c r="F1253" s="51"/>
      <c r="G1253" s="51"/>
      <c r="H1253" s="52"/>
      <c r="I1253" s="52"/>
      <c r="J1253" s="52"/>
      <c r="K1253" s="52"/>
      <c r="L1253" s="52"/>
      <c r="M1253" s="52"/>
      <c r="N1253" s="52"/>
      <c r="O1253" s="22"/>
      <c r="P1253" s="22"/>
      <c r="Q1253" s="8"/>
      <c r="R1253" s="8"/>
      <c r="S1253" s="8"/>
      <c r="T1253" s="8"/>
      <c r="U1253" s="8"/>
      <c r="V1253" s="8"/>
      <c r="W1253" s="8"/>
      <c r="X1253" s="8"/>
      <c r="Y1253" s="8"/>
      <c r="Z1253" s="8"/>
      <c r="AA1253" s="8"/>
      <c r="AB1253" s="8"/>
      <c r="AC1253" s="8"/>
      <c r="AD1253" s="24"/>
      <c r="AE1253" s="24"/>
      <c r="AF1253" s="8"/>
      <c r="AG1253" s="8"/>
      <c r="AH1253" s="8"/>
      <c r="AI1253" s="8"/>
    </row>
    <row r="1254" spans="1:35" ht="15.75" customHeight="1" x14ac:dyDescent="0.25">
      <c r="A1254" s="8"/>
      <c r="B1254" s="8"/>
      <c r="C1254" s="8"/>
      <c r="D1254" s="8"/>
      <c r="E1254" s="50"/>
      <c r="F1254" s="51"/>
      <c r="G1254" s="51"/>
      <c r="H1254" s="52"/>
      <c r="I1254" s="52"/>
      <c r="J1254" s="52"/>
      <c r="K1254" s="52"/>
      <c r="L1254" s="52"/>
      <c r="M1254" s="48"/>
      <c r="N1254" s="52"/>
      <c r="O1254" s="22"/>
      <c r="P1254" s="22"/>
      <c r="Q1254" s="8"/>
      <c r="R1254" s="8"/>
      <c r="S1254" s="8"/>
      <c r="T1254" s="8"/>
      <c r="U1254" s="8"/>
      <c r="V1254" s="8"/>
      <c r="W1254" s="8"/>
      <c r="X1254" s="8"/>
      <c r="Y1254" s="8"/>
      <c r="Z1254" s="8"/>
      <c r="AA1254" s="8"/>
      <c r="AB1254" s="8"/>
      <c r="AC1254" s="8"/>
      <c r="AD1254" s="24"/>
      <c r="AE1254" s="24"/>
      <c r="AF1254" s="8"/>
      <c r="AG1254" s="8"/>
      <c r="AH1254" s="8"/>
      <c r="AI1254" s="8"/>
    </row>
    <row r="1255" spans="1:35" ht="15.75" customHeight="1" x14ac:dyDescent="0.25">
      <c r="A1255" s="8"/>
      <c r="B1255" s="8"/>
      <c r="C1255" s="8"/>
      <c r="D1255" s="8"/>
      <c r="E1255" s="50"/>
      <c r="F1255" s="51"/>
      <c r="G1255" s="51"/>
      <c r="H1255" s="52"/>
      <c r="I1255" s="52"/>
      <c r="J1255" s="52"/>
      <c r="K1255" s="52"/>
      <c r="L1255" s="52"/>
      <c r="M1255" s="48"/>
      <c r="N1255" s="52"/>
      <c r="O1255" s="22"/>
      <c r="P1255" s="22"/>
      <c r="Q1255" s="8"/>
      <c r="R1255" s="8"/>
      <c r="S1255" s="8"/>
      <c r="T1255" s="8"/>
      <c r="U1255" s="8"/>
      <c r="V1255" s="8"/>
      <c r="W1255" s="8"/>
      <c r="X1255" s="8"/>
      <c r="Y1255" s="8"/>
      <c r="Z1255" s="8"/>
      <c r="AA1255" s="8"/>
      <c r="AB1255" s="8"/>
      <c r="AC1255" s="8"/>
      <c r="AD1255" s="24"/>
      <c r="AE1255" s="24"/>
      <c r="AF1255" s="8"/>
      <c r="AG1255" s="8"/>
      <c r="AH1255" s="8"/>
      <c r="AI1255" s="8"/>
    </row>
    <row r="1256" spans="1:35" ht="15.75" customHeight="1" x14ac:dyDescent="0.25">
      <c r="A1256" s="8"/>
      <c r="B1256" s="8"/>
      <c r="C1256" s="8"/>
      <c r="D1256" s="8"/>
      <c r="E1256" s="50"/>
      <c r="F1256" s="51"/>
      <c r="G1256" s="51"/>
      <c r="H1256" s="52"/>
      <c r="I1256" s="52"/>
      <c r="J1256" s="52"/>
      <c r="K1256" s="52"/>
      <c r="L1256" s="52"/>
      <c r="M1256" s="48"/>
      <c r="N1256" s="52"/>
      <c r="O1256" s="22"/>
      <c r="P1256" s="22"/>
      <c r="Q1256" s="8"/>
      <c r="R1256" s="8"/>
      <c r="S1256" s="8"/>
      <c r="T1256" s="8"/>
      <c r="U1256" s="8"/>
      <c r="V1256" s="8"/>
      <c r="W1256" s="8"/>
      <c r="X1256" s="8"/>
      <c r="Y1256" s="8"/>
      <c r="Z1256" s="8"/>
      <c r="AA1256" s="8"/>
      <c r="AB1256" s="8"/>
      <c r="AC1256" s="8"/>
      <c r="AD1256" s="24"/>
      <c r="AE1256" s="24"/>
      <c r="AF1256" s="8"/>
      <c r="AG1256" s="8"/>
      <c r="AH1256" s="8"/>
      <c r="AI1256" s="8"/>
    </row>
    <row r="1257" spans="1:35" ht="15.75" customHeight="1" x14ac:dyDescent="0.25">
      <c r="A1257" s="8"/>
      <c r="B1257" s="8"/>
      <c r="C1257" s="8"/>
      <c r="D1257" s="8"/>
      <c r="E1257" s="50"/>
      <c r="F1257" s="51"/>
      <c r="G1257" s="51"/>
      <c r="H1257" s="52"/>
      <c r="I1257" s="52"/>
      <c r="J1257" s="52"/>
      <c r="K1257" s="52"/>
      <c r="L1257" s="52"/>
      <c r="M1257" s="48"/>
      <c r="N1257" s="52"/>
      <c r="O1257" s="22"/>
      <c r="P1257" s="22"/>
      <c r="Q1257" s="8"/>
      <c r="R1257" s="8"/>
      <c r="S1257" s="8"/>
      <c r="T1257" s="8"/>
      <c r="U1257" s="8"/>
      <c r="V1257" s="8"/>
      <c r="W1257" s="8"/>
      <c r="X1257" s="8"/>
      <c r="Y1257" s="8"/>
      <c r="Z1257" s="8"/>
      <c r="AA1257" s="8"/>
      <c r="AB1257" s="8"/>
      <c r="AC1257" s="8"/>
      <c r="AD1257" s="24"/>
      <c r="AE1257" s="24"/>
      <c r="AF1257" s="8"/>
      <c r="AG1257" s="8"/>
      <c r="AH1257" s="8"/>
      <c r="AI1257" s="8"/>
    </row>
    <row r="1258" spans="1:35" ht="15.75" customHeight="1" x14ac:dyDescent="0.25">
      <c r="A1258" s="8"/>
      <c r="B1258" s="8"/>
      <c r="C1258" s="8"/>
      <c r="D1258" s="8"/>
      <c r="E1258" s="50"/>
      <c r="F1258" s="51"/>
      <c r="G1258" s="51"/>
      <c r="H1258" s="52"/>
      <c r="I1258" s="52"/>
      <c r="J1258" s="52"/>
      <c r="K1258" s="52"/>
      <c r="L1258" s="52"/>
      <c r="M1258" s="48"/>
      <c r="N1258" s="52"/>
      <c r="O1258" s="22"/>
      <c r="P1258" s="22"/>
      <c r="Q1258" s="8"/>
      <c r="R1258" s="8"/>
      <c r="S1258" s="8"/>
      <c r="T1258" s="8"/>
      <c r="U1258" s="8"/>
      <c r="V1258" s="8"/>
      <c r="W1258" s="8"/>
      <c r="X1258" s="8"/>
      <c r="Y1258" s="8"/>
      <c r="Z1258" s="8"/>
      <c r="AA1258" s="8"/>
      <c r="AB1258" s="8"/>
      <c r="AC1258" s="8"/>
      <c r="AD1258" s="24"/>
      <c r="AE1258" s="24"/>
      <c r="AF1258" s="8"/>
      <c r="AG1258" s="8"/>
      <c r="AH1258" s="8"/>
      <c r="AI1258" s="8"/>
    </row>
    <row r="1259" spans="1:35" ht="15.75" customHeight="1" x14ac:dyDescent="0.25">
      <c r="A1259" s="8"/>
      <c r="B1259" s="8"/>
      <c r="C1259" s="8"/>
      <c r="D1259" s="8"/>
      <c r="E1259" s="50"/>
      <c r="F1259" s="51"/>
      <c r="G1259" s="51"/>
      <c r="H1259" s="52"/>
      <c r="I1259" s="52"/>
      <c r="J1259" s="52"/>
      <c r="K1259" s="52"/>
      <c r="L1259" s="52"/>
      <c r="M1259" s="48"/>
      <c r="N1259" s="52"/>
      <c r="O1259" s="22"/>
      <c r="P1259" s="22"/>
      <c r="Q1259" s="8"/>
      <c r="R1259" s="8"/>
      <c r="S1259" s="8"/>
      <c r="T1259" s="8"/>
      <c r="U1259" s="8"/>
      <c r="V1259" s="8"/>
      <c r="W1259" s="8"/>
      <c r="X1259" s="8"/>
      <c r="Y1259" s="8"/>
      <c r="Z1259" s="8"/>
      <c r="AA1259" s="8"/>
      <c r="AB1259" s="8"/>
      <c r="AC1259" s="8"/>
      <c r="AD1259" s="24"/>
      <c r="AE1259" s="24"/>
      <c r="AF1259" s="8"/>
      <c r="AG1259" s="8"/>
      <c r="AH1259" s="8"/>
      <c r="AI1259" s="8"/>
    </row>
    <row r="1260" spans="1:35" ht="15.75" customHeight="1" x14ac:dyDescent="0.25">
      <c r="A1260" s="8"/>
      <c r="B1260" s="8"/>
      <c r="C1260" s="8"/>
      <c r="D1260" s="8"/>
      <c r="E1260" s="50"/>
      <c r="F1260" s="51"/>
      <c r="G1260" s="51"/>
      <c r="H1260" s="52"/>
      <c r="I1260" s="52"/>
      <c r="J1260" s="52"/>
      <c r="K1260" s="52"/>
      <c r="L1260" s="52"/>
      <c r="M1260" s="48"/>
      <c r="N1260" s="52"/>
      <c r="O1260" s="22"/>
      <c r="P1260" s="22"/>
      <c r="Q1260" s="8"/>
      <c r="R1260" s="8"/>
      <c r="S1260" s="8"/>
      <c r="T1260" s="8"/>
      <c r="U1260" s="8"/>
      <c r="V1260" s="8"/>
      <c r="W1260" s="8"/>
      <c r="X1260" s="8"/>
      <c r="Y1260" s="8"/>
      <c r="Z1260" s="8"/>
      <c r="AA1260" s="8"/>
      <c r="AB1260" s="8"/>
      <c r="AC1260" s="8"/>
      <c r="AD1260" s="24"/>
      <c r="AE1260" s="24"/>
      <c r="AF1260" s="8"/>
      <c r="AG1260" s="8"/>
      <c r="AH1260" s="8"/>
      <c r="AI1260" s="8"/>
    </row>
    <row r="1261" spans="1:35" ht="15.75" customHeight="1" x14ac:dyDescent="0.25">
      <c r="A1261" s="8"/>
      <c r="B1261" s="8"/>
      <c r="C1261" s="8"/>
      <c r="D1261" s="8"/>
      <c r="E1261" s="50"/>
      <c r="F1261" s="51"/>
      <c r="G1261" s="51"/>
      <c r="H1261" s="52"/>
      <c r="I1261" s="52"/>
      <c r="J1261" s="52"/>
      <c r="K1261" s="52"/>
      <c r="L1261" s="52"/>
      <c r="M1261" s="48"/>
      <c r="N1261" s="52"/>
      <c r="O1261" s="22"/>
      <c r="P1261" s="22"/>
      <c r="Q1261" s="8"/>
      <c r="R1261" s="8"/>
      <c r="S1261" s="8"/>
      <c r="T1261" s="8"/>
      <c r="U1261" s="8"/>
      <c r="V1261" s="8"/>
      <c r="W1261" s="8"/>
      <c r="X1261" s="8"/>
      <c r="Y1261" s="8"/>
      <c r="Z1261" s="8"/>
      <c r="AA1261" s="8"/>
      <c r="AB1261" s="8"/>
      <c r="AC1261" s="8"/>
      <c r="AD1261" s="24"/>
      <c r="AE1261" s="24"/>
      <c r="AF1261" s="8"/>
      <c r="AG1261" s="8"/>
      <c r="AH1261" s="8"/>
      <c r="AI1261" s="8"/>
    </row>
    <row r="1262" spans="1:35" ht="15.75" customHeight="1" x14ac:dyDescent="0.25">
      <c r="A1262" s="8"/>
      <c r="B1262" s="8"/>
      <c r="C1262" s="8"/>
      <c r="D1262" s="8"/>
      <c r="E1262" s="50"/>
      <c r="F1262" s="51"/>
      <c r="G1262" s="51"/>
      <c r="H1262" s="52"/>
      <c r="I1262" s="52"/>
      <c r="J1262" s="52"/>
      <c r="K1262" s="52"/>
      <c r="L1262" s="52"/>
      <c r="M1262" s="48"/>
      <c r="N1262" s="52"/>
      <c r="O1262" s="22"/>
      <c r="P1262" s="22"/>
      <c r="Q1262" s="8"/>
      <c r="R1262" s="8"/>
      <c r="S1262" s="8"/>
      <c r="T1262" s="8"/>
      <c r="U1262" s="8"/>
      <c r="V1262" s="8"/>
      <c r="W1262" s="8"/>
      <c r="X1262" s="8"/>
      <c r="Y1262" s="8"/>
      <c r="Z1262" s="8"/>
      <c r="AA1262" s="8"/>
      <c r="AB1262" s="8"/>
      <c r="AC1262" s="8"/>
      <c r="AD1262" s="24"/>
      <c r="AE1262" s="24"/>
      <c r="AF1262" s="8"/>
      <c r="AG1262" s="8"/>
      <c r="AH1262" s="8"/>
      <c r="AI1262" s="8"/>
    </row>
    <row r="1263" spans="1:35" ht="15.75" customHeight="1" x14ac:dyDescent="0.25">
      <c r="A1263" s="8"/>
      <c r="B1263" s="8"/>
      <c r="C1263" s="8"/>
      <c r="D1263" s="8"/>
      <c r="E1263" s="50"/>
      <c r="F1263" s="51"/>
      <c r="G1263" s="51"/>
      <c r="H1263" s="52"/>
      <c r="I1263" s="52"/>
      <c r="J1263" s="52"/>
      <c r="K1263" s="52"/>
      <c r="L1263" s="52"/>
      <c r="M1263" s="48"/>
      <c r="N1263" s="52"/>
      <c r="O1263" s="22"/>
      <c r="P1263" s="22"/>
      <c r="Q1263" s="8"/>
      <c r="R1263" s="8"/>
      <c r="S1263" s="8"/>
      <c r="T1263" s="8"/>
      <c r="U1263" s="8"/>
      <c r="V1263" s="8"/>
      <c r="W1263" s="8"/>
      <c r="X1263" s="8"/>
      <c r="Y1263" s="8"/>
      <c r="Z1263" s="8"/>
      <c r="AA1263" s="8"/>
      <c r="AB1263" s="8"/>
      <c r="AC1263" s="8"/>
      <c r="AD1263" s="24"/>
      <c r="AE1263" s="24"/>
      <c r="AF1263" s="8"/>
      <c r="AG1263" s="8"/>
      <c r="AH1263" s="8"/>
      <c r="AI1263" s="8"/>
    </row>
    <row r="1264" spans="1:35" ht="15.75" customHeight="1" x14ac:dyDescent="0.25">
      <c r="A1264" s="8"/>
      <c r="B1264" s="8"/>
      <c r="C1264" s="8"/>
      <c r="D1264" s="8"/>
      <c r="E1264" s="50"/>
      <c r="F1264" s="51"/>
      <c r="G1264" s="51"/>
      <c r="H1264" s="52"/>
      <c r="I1264" s="52"/>
      <c r="J1264" s="52"/>
      <c r="K1264" s="52"/>
      <c r="L1264" s="52"/>
      <c r="M1264" s="48"/>
      <c r="N1264" s="52"/>
      <c r="O1264" s="22"/>
      <c r="P1264" s="22"/>
      <c r="Q1264" s="8"/>
      <c r="R1264" s="8"/>
      <c r="S1264" s="8"/>
      <c r="T1264" s="8"/>
      <c r="U1264" s="8"/>
      <c r="V1264" s="8"/>
      <c r="W1264" s="8"/>
      <c r="X1264" s="8"/>
      <c r="Y1264" s="8"/>
      <c r="Z1264" s="8"/>
      <c r="AA1264" s="8"/>
      <c r="AB1264" s="8"/>
      <c r="AC1264" s="8"/>
      <c r="AD1264" s="24"/>
      <c r="AE1264" s="24"/>
      <c r="AF1264" s="8"/>
      <c r="AG1264" s="8"/>
      <c r="AH1264" s="8"/>
      <c r="AI1264" s="8"/>
    </row>
    <row r="1265" spans="1:35" ht="15.75" customHeight="1" x14ac:dyDescent="0.25">
      <c r="A1265" s="8"/>
      <c r="B1265" s="8"/>
      <c r="C1265" s="8"/>
      <c r="D1265" s="8"/>
      <c r="E1265" s="50"/>
      <c r="F1265" s="51"/>
      <c r="G1265" s="51"/>
      <c r="H1265" s="52"/>
      <c r="I1265" s="52"/>
      <c r="J1265" s="52"/>
      <c r="K1265" s="52"/>
      <c r="L1265" s="52"/>
      <c r="M1265" s="48"/>
      <c r="N1265" s="52"/>
      <c r="O1265" s="22"/>
      <c r="P1265" s="22"/>
      <c r="Q1265" s="8"/>
      <c r="R1265" s="8"/>
      <c r="S1265" s="8"/>
      <c r="T1265" s="8"/>
      <c r="U1265" s="8"/>
      <c r="V1265" s="8"/>
      <c r="W1265" s="8"/>
      <c r="X1265" s="8"/>
      <c r="Y1265" s="8"/>
      <c r="Z1265" s="8"/>
      <c r="AA1265" s="8"/>
      <c r="AB1265" s="8"/>
      <c r="AC1265" s="8"/>
      <c r="AD1265" s="24"/>
      <c r="AE1265" s="24"/>
      <c r="AF1265" s="8"/>
      <c r="AG1265" s="8"/>
      <c r="AH1265" s="8"/>
      <c r="AI1265" s="8"/>
    </row>
    <row r="1266" spans="1:35" ht="15.75" customHeight="1" x14ac:dyDescent="0.25">
      <c r="A1266" s="8"/>
      <c r="B1266" s="8"/>
      <c r="C1266" s="8"/>
      <c r="D1266" s="8"/>
      <c r="E1266" s="50"/>
      <c r="F1266" s="51"/>
      <c r="G1266" s="51"/>
      <c r="H1266" s="52"/>
      <c r="I1266" s="52"/>
      <c r="J1266" s="52"/>
      <c r="K1266" s="52"/>
      <c r="L1266" s="52"/>
      <c r="M1266" s="49"/>
      <c r="N1266" s="52"/>
      <c r="O1266" s="22"/>
      <c r="P1266" s="22"/>
      <c r="Q1266" s="8"/>
      <c r="R1266" s="8"/>
      <c r="S1266" s="8"/>
      <c r="T1266" s="8"/>
      <c r="U1266" s="8"/>
      <c r="V1266" s="8"/>
      <c r="W1266" s="8"/>
      <c r="X1266" s="8"/>
      <c r="Y1266" s="8"/>
      <c r="Z1266" s="8"/>
      <c r="AA1266" s="8"/>
      <c r="AB1266" s="8"/>
      <c r="AC1266" s="8"/>
      <c r="AD1266" s="24"/>
      <c r="AE1266" s="24"/>
      <c r="AF1266" s="8"/>
      <c r="AG1266" s="8"/>
      <c r="AH1266" s="8"/>
      <c r="AI1266" s="8"/>
    </row>
    <row r="1267" spans="1:35" ht="15.75" customHeight="1" x14ac:dyDescent="0.25">
      <c r="A1267" s="8"/>
      <c r="B1267" s="8"/>
      <c r="C1267" s="8"/>
      <c r="D1267" s="8"/>
      <c r="E1267" s="50"/>
      <c r="F1267" s="51"/>
      <c r="G1267" s="51"/>
      <c r="H1267" s="52"/>
      <c r="I1267" s="52"/>
      <c r="J1267" s="52"/>
      <c r="K1267" s="52"/>
      <c r="L1267" s="52"/>
      <c r="M1267" s="49"/>
      <c r="N1267" s="52"/>
      <c r="O1267" s="22"/>
      <c r="P1267" s="22"/>
      <c r="Q1267" s="8"/>
      <c r="R1267" s="8"/>
      <c r="S1267" s="8"/>
      <c r="T1267" s="8"/>
      <c r="U1267" s="8"/>
      <c r="V1267" s="8"/>
      <c r="W1267" s="8"/>
      <c r="X1267" s="8"/>
      <c r="Y1267" s="8"/>
      <c r="Z1267" s="8"/>
      <c r="AA1267" s="8"/>
      <c r="AB1267" s="8"/>
      <c r="AC1267" s="8"/>
      <c r="AD1267" s="24"/>
      <c r="AE1267" s="24"/>
      <c r="AF1267" s="8"/>
      <c r="AG1267" s="8"/>
      <c r="AH1267" s="8"/>
      <c r="AI1267" s="8"/>
    </row>
    <row r="1268" spans="1:35" ht="15.75" customHeight="1" x14ac:dyDescent="0.25">
      <c r="A1268" s="8"/>
      <c r="B1268" s="8"/>
      <c r="C1268" s="8"/>
      <c r="D1268" s="8"/>
      <c r="E1268" s="50"/>
      <c r="F1268" s="51"/>
      <c r="G1268" s="51"/>
      <c r="H1268" s="52"/>
      <c r="I1268" s="52"/>
      <c r="J1268" s="52"/>
      <c r="K1268" s="52"/>
      <c r="L1268" s="52"/>
      <c r="M1268" s="49"/>
      <c r="N1268" s="52"/>
      <c r="O1268" s="22"/>
      <c r="P1268" s="22"/>
      <c r="Q1268" s="8"/>
      <c r="R1268" s="8"/>
      <c r="S1268" s="8"/>
      <c r="T1268" s="8"/>
      <c r="U1268" s="8"/>
      <c r="V1268" s="8"/>
      <c r="W1268" s="8"/>
      <c r="X1268" s="8"/>
      <c r="Y1268" s="8"/>
      <c r="Z1268" s="8"/>
      <c r="AA1268" s="8"/>
      <c r="AB1268" s="8"/>
      <c r="AC1268" s="8"/>
      <c r="AD1268" s="24"/>
      <c r="AE1268" s="24"/>
      <c r="AF1268" s="8"/>
      <c r="AG1268" s="8"/>
      <c r="AH1268" s="8"/>
      <c r="AI1268" s="8"/>
    </row>
    <row r="1269" spans="1:35" ht="15.75" customHeight="1" x14ac:dyDescent="0.25">
      <c r="A1269" s="8"/>
      <c r="B1269" s="8"/>
      <c r="C1269" s="8"/>
      <c r="D1269" s="8"/>
      <c r="E1269" s="50"/>
      <c r="F1269" s="51"/>
      <c r="G1269" s="51"/>
      <c r="H1269" s="52"/>
      <c r="I1269" s="52"/>
      <c r="J1269" s="52"/>
      <c r="K1269" s="52"/>
      <c r="L1269" s="52"/>
      <c r="M1269" s="48"/>
      <c r="N1269" s="52"/>
      <c r="O1269" s="22"/>
      <c r="P1269" s="22"/>
      <c r="Q1269" s="8"/>
      <c r="R1269" s="8"/>
      <c r="S1269" s="8"/>
      <c r="T1269" s="8"/>
      <c r="U1269" s="8"/>
      <c r="V1269" s="8"/>
      <c r="W1269" s="8"/>
      <c r="X1269" s="8"/>
      <c r="Y1269" s="8"/>
      <c r="Z1269" s="8"/>
      <c r="AA1269" s="8"/>
      <c r="AB1269" s="8"/>
      <c r="AC1269" s="8"/>
      <c r="AD1269" s="24"/>
      <c r="AE1269" s="24"/>
      <c r="AF1269" s="8"/>
      <c r="AG1269" s="8"/>
      <c r="AH1269" s="8"/>
      <c r="AI1269" s="8"/>
    </row>
    <row r="1270" spans="1:35" ht="15.75" customHeight="1" x14ac:dyDescent="0.25">
      <c r="A1270" s="8"/>
      <c r="B1270" s="8"/>
      <c r="C1270" s="8"/>
      <c r="D1270" s="8"/>
      <c r="E1270" s="50"/>
      <c r="F1270" s="51"/>
      <c r="G1270" s="51"/>
      <c r="H1270" s="52"/>
      <c r="I1270" s="52"/>
      <c r="J1270" s="52"/>
      <c r="K1270" s="52"/>
      <c r="L1270" s="52"/>
      <c r="M1270" s="48"/>
      <c r="N1270" s="52"/>
      <c r="O1270" s="22"/>
      <c r="P1270" s="22"/>
      <c r="Q1270" s="8"/>
      <c r="R1270" s="8"/>
      <c r="S1270" s="8"/>
      <c r="T1270" s="8"/>
      <c r="U1270" s="8"/>
      <c r="V1270" s="8"/>
      <c r="W1270" s="8"/>
      <c r="X1270" s="8"/>
      <c r="Y1270" s="8"/>
      <c r="Z1270" s="8"/>
      <c r="AA1270" s="8"/>
      <c r="AB1270" s="8"/>
      <c r="AC1270" s="8"/>
      <c r="AD1270" s="24"/>
      <c r="AE1270" s="24"/>
      <c r="AF1270" s="8"/>
      <c r="AG1270" s="8"/>
      <c r="AH1270" s="8"/>
      <c r="AI1270" s="8"/>
    </row>
    <row r="1271" spans="1:35" ht="15.75" customHeight="1" x14ac:dyDescent="0.25">
      <c r="A1271" s="8"/>
      <c r="B1271" s="8"/>
      <c r="C1271" s="8"/>
      <c r="D1271" s="8"/>
      <c r="E1271" s="50"/>
      <c r="F1271" s="51"/>
      <c r="G1271" s="51"/>
      <c r="H1271" s="52"/>
      <c r="I1271" s="52"/>
      <c r="J1271" s="52"/>
      <c r="K1271" s="52"/>
      <c r="L1271" s="52"/>
      <c r="M1271" s="48"/>
      <c r="N1271" s="52"/>
      <c r="O1271" s="22"/>
      <c r="P1271" s="22"/>
      <c r="Q1271" s="8"/>
      <c r="R1271" s="8"/>
      <c r="S1271" s="8"/>
      <c r="T1271" s="8"/>
      <c r="U1271" s="8"/>
      <c r="V1271" s="8"/>
      <c r="W1271" s="8"/>
      <c r="X1271" s="8"/>
      <c r="Y1271" s="8"/>
      <c r="Z1271" s="8"/>
      <c r="AA1271" s="8"/>
      <c r="AB1271" s="8"/>
      <c r="AC1271" s="8"/>
      <c r="AD1271" s="24"/>
      <c r="AE1271" s="24"/>
      <c r="AF1271" s="8"/>
      <c r="AG1271" s="8"/>
      <c r="AH1271" s="8"/>
      <c r="AI1271" s="8"/>
    </row>
    <row r="1272" spans="1:35" ht="15.75" customHeight="1" x14ac:dyDescent="0.25">
      <c r="A1272" s="8"/>
      <c r="B1272" s="8"/>
      <c r="C1272" s="8"/>
      <c r="D1272" s="8"/>
      <c r="E1272" s="50"/>
      <c r="F1272" s="51"/>
      <c r="G1272" s="51"/>
      <c r="H1272" s="52"/>
      <c r="I1272" s="52"/>
      <c r="J1272" s="52"/>
      <c r="K1272" s="52"/>
      <c r="L1272" s="52"/>
      <c r="M1272" s="48"/>
      <c r="N1272" s="52"/>
      <c r="O1272" s="22"/>
      <c r="P1272" s="22"/>
      <c r="Q1272" s="8"/>
      <c r="R1272" s="8"/>
      <c r="S1272" s="8"/>
      <c r="T1272" s="8"/>
      <c r="U1272" s="8"/>
      <c r="V1272" s="8"/>
      <c r="W1272" s="8"/>
      <c r="X1272" s="8"/>
      <c r="Y1272" s="8"/>
      <c r="Z1272" s="8"/>
      <c r="AA1272" s="8"/>
      <c r="AB1272" s="8"/>
      <c r="AC1272" s="8"/>
      <c r="AD1272" s="24"/>
      <c r="AE1272" s="24"/>
      <c r="AF1272" s="8"/>
      <c r="AG1272" s="8"/>
      <c r="AH1272" s="8"/>
      <c r="AI1272" s="8"/>
    </row>
    <row r="1273" spans="1:35" ht="15.75" customHeight="1" x14ac:dyDescent="0.25">
      <c r="A1273" s="8"/>
      <c r="B1273" s="8"/>
      <c r="C1273" s="8"/>
      <c r="D1273" s="8"/>
      <c r="E1273" s="50"/>
      <c r="F1273" s="51"/>
      <c r="G1273" s="51"/>
      <c r="H1273" s="52"/>
      <c r="I1273" s="52"/>
      <c r="J1273" s="52"/>
      <c r="K1273" s="52"/>
      <c r="L1273" s="52"/>
      <c r="M1273" s="48"/>
      <c r="N1273" s="52"/>
      <c r="O1273" s="22"/>
      <c r="P1273" s="22"/>
      <c r="Q1273" s="8"/>
      <c r="R1273" s="8"/>
      <c r="S1273" s="8"/>
      <c r="T1273" s="8"/>
      <c r="U1273" s="8"/>
      <c r="V1273" s="8"/>
      <c r="W1273" s="8"/>
      <c r="X1273" s="8"/>
      <c r="Y1273" s="8"/>
      <c r="Z1273" s="8"/>
      <c r="AA1273" s="8"/>
      <c r="AB1273" s="8"/>
      <c r="AC1273" s="8"/>
      <c r="AD1273" s="24"/>
      <c r="AE1273" s="24"/>
      <c r="AF1273" s="8"/>
      <c r="AG1273" s="8"/>
      <c r="AH1273" s="8"/>
      <c r="AI1273" s="8"/>
    </row>
    <row r="1274" spans="1:35" ht="15.75" customHeight="1" x14ac:dyDescent="0.25">
      <c r="A1274" s="8"/>
      <c r="B1274" s="8"/>
      <c r="C1274" s="8"/>
      <c r="D1274" s="8"/>
      <c r="E1274" s="50"/>
      <c r="F1274" s="51"/>
      <c r="G1274" s="51"/>
      <c r="H1274" s="52"/>
      <c r="I1274" s="52"/>
      <c r="J1274" s="52"/>
      <c r="K1274" s="52"/>
      <c r="L1274" s="52"/>
      <c r="M1274" s="52"/>
      <c r="N1274" s="52"/>
      <c r="O1274" s="22"/>
      <c r="P1274" s="22"/>
      <c r="Q1274" s="8"/>
      <c r="R1274" s="8"/>
      <c r="S1274" s="8"/>
      <c r="T1274" s="8"/>
      <c r="U1274" s="8"/>
      <c r="V1274" s="8"/>
      <c r="W1274" s="8"/>
      <c r="X1274" s="8"/>
      <c r="Y1274" s="8"/>
      <c r="Z1274" s="8"/>
      <c r="AA1274" s="8"/>
      <c r="AB1274" s="8"/>
      <c r="AC1274" s="8"/>
      <c r="AD1274" s="24"/>
      <c r="AE1274" s="24"/>
      <c r="AF1274" s="8"/>
      <c r="AG1274" s="8"/>
      <c r="AH1274" s="8"/>
      <c r="AI1274" s="8"/>
    </row>
    <row r="1275" spans="1:35" ht="15.75" customHeight="1" x14ac:dyDescent="0.25">
      <c r="A1275" s="8"/>
      <c r="B1275" s="8"/>
      <c r="C1275" s="8"/>
      <c r="D1275" s="8"/>
      <c r="E1275" s="50"/>
      <c r="F1275" s="51"/>
      <c r="G1275" s="51"/>
      <c r="H1275" s="52"/>
      <c r="I1275" s="52"/>
      <c r="J1275" s="52"/>
      <c r="K1275" s="52"/>
      <c r="L1275" s="52"/>
      <c r="M1275" s="52"/>
      <c r="N1275" s="52"/>
      <c r="O1275" s="22"/>
      <c r="P1275" s="22"/>
      <c r="Q1275" s="8"/>
      <c r="R1275" s="8"/>
      <c r="S1275" s="8"/>
      <c r="T1275" s="8"/>
      <c r="U1275" s="8"/>
      <c r="V1275" s="8"/>
      <c r="W1275" s="8"/>
      <c r="X1275" s="8"/>
      <c r="Y1275" s="8"/>
      <c r="Z1275" s="8"/>
      <c r="AA1275" s="8"/>
      <c r="AB1275" s="8"/>
      <c r="AC1275" s="8"/>
      <c r="AD1275" s="24"/>
      <c r="AE1275" s="24"/>
      <c r="AF1275" s="8"/>
      <c r="AG1275" s="8"/>
      <c r="AH1275" s="8"/>
      <c r="AI1275" s="8"/>
    </row>
    <row r="1276" spans="1:35" ht="15.75" customHeight="1" x14ac:dyDescent="0.25">
      <c r="A1276" s="8"/>
      <c r="B1276" s="8"/>
      <c r="C1276" s="8"/>
      <c r="D1276" s="8"/>
      <c r="E1276" s="50"/>
      <c r="F1276" s="51"/>
      <c r="G1276" s="51"/>
      <c r="H1276" s="52"/>
      <c r="I1276" s="52"/>
      <c r="J1276" s="52"/>
      <c r="K1276" s="52"/>
      <c r="L1276" s="52"/>
      <c r="M1276" s="52"/>
      <c r="N1276" s="52"/>
      <c r="O1276" s="22"/>
      <c r="P1276" s="22"/>
      <c r="Q1276" s="8"/>
      <c r="R1276" s="8"/>
      <c r="S1276" s="8"/>
      <c r="T1276" s="8"/>
      <c r="U1276" s="8"/>
      <c r="V1276" s="8"/>
      <c r="W1276" s="8"/>
      <c r="X1276" s="8"/>
      <c r="Y1276" s="8"/>
      <c r="Z1276" s="8"/>
      <c r="AA1276" s="8"/>
      <c r="AB1276" s="8"/>
      <c r="AC1276" s="8"/>
      <c r="AD1276" s="24"/>
      <c r="AE1276" s="24"/>
      <c r="AF1276" s="8"/>
      <c r="AG1276" s="8"/>
      <c r="AH1276" s="8"/>
      <c r="AI1276" s="8"/>
    </row>
    <row r="1277" spans="1:35" ht="15.75" customHeight="1" x14ac:dyDescent="0.25">
      <c r="A1277" s="8"/>
      <c r="B1277" s="8"/>
      <c r="C1277" s="8"/>
      <c r="D1277" s="8"/>
      <c r="E1277" s="50"/>
      <c r="F1277" s="51"/>
      <c r="G1277" s="51"/>
      <c r="H1277" s="52"/>
      <c r="I1277" s="52"/>
      <c r="J1277" s="52"/>
      <c r="K1277" s="52"/>
      <c r="L1277" s="52"/>
      <c r="M1277" s="48"/>
      <c r="N1277" s="52"/>
      <c r="O1277" s="22"/>
      <c r="P1277" s="22"/>
      <c r="Q1277" s="8"/>
      <c r="R1277" s="8"/>
      <c r="S1277" s="8"/>
      <c r="T1277" s="8"/>
      <c r="U1277" s="8"/>
      <c r="V1277" s="8"/>
      <c r="W1277" s="8"/>
      <c r="X1277" s="8"/>
      <c r="Y1277" s="8"/>
      <c r="Z1277" s="8"/>
      <c r="AA1277" s="8"/>
      <c r="AB1277" s="8"/>
      <c r="AC1277" s="8"/>
      <c r="AD1277" s="24"/>
      <c r="AE1277" s="24"/>
      <c r="AF1277" s="8"/>
      <c r="AG1277" s="8"/>
      <c r="AH1277" s="8"/>
      <c r="AI1277" s="8"/>
    </row>
    <row r="1278" spans="1:35" ht="15.75" customHeight="1" x14ac:dyDescent="0.25">
      <c r="A1278" s="8"/>
      <c r="B1278" s="8"/>
      <c r="C1278" s="8"/>
      <c r="D1278" s="8"/>
      <c r="E1278" s="50"/>
      <c r="F1278" s="51"/>
      <c r="G1278" s="51"/>
      <c r="H1278" s="52"/>
      <c r="I1278" s="52"/>
      <c r="J1278" s="52"/>
      <c r="K1278" s="52"/>
      <c r="L1278" s="52"/>
      <c r="M1278" s="48"/>
      <c r="N1278" s="52"/>
      <c r="O1278" s="22"/>
      <c r="P1278" s="22"/>
      <c r="Q1278" s="8"/>
      <c r="R1278" s="8"/>
      <c r="S1278" s="8"/>
      <c r="T1278" s="8"/>
      <c r="U1278" s="8"/>
      <c r="V1278" s="8"/>
      <c r="W1278" s="8"/>
      <c r="X1278" s="8"/>
      <c r="Y1278" s="8"/>
      <c r="Z1278" s="8"/>
      <c r="AA1278" s="8"/>
      <c r="AB1278" s="8"/>
      <c r="AC1278" s="8"/>
      <c r="AD1278" s="24"/>
      <c r="AE1278" s="24"/>
      <c r="AF1278" s="8"/>
      <c r="AG1278" s="8"/>
      <c r="AH1278" s="8"/>
      <c r="AI1278" s="8"/>
    </row>
    <row r="1279" spans="1:35" ht="15.75" customHeight="1" x14ac:dyDescent="0.25">
      <c r="A1279" s="8"/>
      <c r="B1279" s="8"/>
      <c r="C1279" s="8"/>
      <c r="D1279" s="8"/>
      <c r="E1279" s="50"/>
      <c r="F1279" s="51"/>
      <c r="G1279" s="51"/>
      <c r="H1279" s="52"/>
      <c r="I1279" s="52"/>
      <c r="J1279" s="52"/>
      <c r="K1279" s="52"/>
      <c r="L1279" s="52"/>
      <c r="M1279" s="48"/>
      <c r="N1279" s="52"/>
      <c r="O1279" s="22"/>
      <c r="P1279" s="22"/>
      <c r="Q1279" s="8"/>
      <c r="R1279" s="8"/>
      <c r="S1279" s="8"/>
      <c r="T1279" s="8"/>
      <c r="U1279" s="8"/>
      <c r="V1279" s="8"/>
      <c r="W1279" s="8"/>
      <c r="X1279" s="8"/>
      <c r="Y1279" s="8"/>
      <c r="Z1279" s="8"/>
      <c r="AA1279" s="8"/>
      <c r="AB1279" s="8"/>
      <c r="AC1279" s="8"/>
      <c r="AD1279" s="24"/>
      <c r="AE1279" s="24"/>
      <c r="AF1279" s="8"/>
      <c r="AG1279" s="8"/>
      <c r="AH1279" s="8"/>
      <c r="AI1279" s="8"/>
    </row>
    <row r="1280" spans="1:35" ht="15.75" customHeight="1" x14ac:dyDescent="0.25">
      <c r="A1280" s="8"/>
      <c r="B1280" s="8"/>
      <c r="C1280" s="8"/>
      <c r="D1280" s="8"/>
      <c r="E1280" s="50"/>
      <c r="F1280" s="51"/>
      <c r="G1280" s="51"/>
      <c r="H1280" s="52"/>
      <c r="I1280" s="52"/>
      <c r="J1280" s="52"/>
      <c r="K1280" s="52"/>
      <c r="L1280" s="52"/>
      <c r="M1280" s="48"/>
      <c r="N1280" s="52"/>
      <c r="O1280" s="22"/>
      <c r="P1280" s="22"/>
      <c r="Q1280" s="8"/>
      <c r="R1280" s="8"/>
      <c r="S1280" s="8"/>
      <c r="T1280" s="8"/>
      <c r="U1280" s="8"/>
      <c r="V1280" s="8"/>
      <c r="W1280" s="8"/>
      <c r="X1280" s="8"/>
      <c r="Y1280" s="8"/>
      <c r="Z1280" s="8"/>
      <c r="AA1280" s="8"/>
      <c r="AB1280" s="8"/>
      <c r="AC1280" s="8"/>
      <c r="AD1280" s="24"/>
      <c r="AE1280" s="24"/>
      <c r="AF1280" s="8"/>
      <c r="AG1280" s="8"/>
      <c r="AH1280" s="8"/>
      <c r="AI1280" s="8"/>
    </row>
    <row r="1281" spans="1:35" ht="15.75" customHeight="1" x14ac:dyDescent="0.25">
      <c r="A1281" s="8"/>
      <c r="B1281" s="8"/>
      <c r="C1281" s="8"/>
      <c r="D1281" s="8"/>
      <c r="E1281" s="50"/>
      <c r="F1281" s="51"/>
      <c r="G1281" s="51"/>
      <c r="H1281" s="52"/>
      <c r="I1281" s="52"/>
      <c r="J1281" s="52"/>
      <c r="K1281" s="52"/>
      <c r="L1281" s="52"/>
      <c r="M1281" s="52"/>
      <c r="N1281" s="52"/>
      <c r="O1281" s="22"/>
      <c r="P1281" s="22"/>
      <c r="Q1281" s="8"/>
      <c r="R1281" s="8"/>
      <c r="S1281" s="8"/>
      <c r="T1281" s="8"/>
      <c r="U1281" s="8"/>
      <c r="V1281" s="8"/>
      <c r="W1281" s="8"/>
      <c r="X1281" s="8"/>
      <c r="Y1281" s="8"/>
      <c r="Z1281" s="8"/>
      <c r="AA1281" s="8"/>
      <c r="AB1281" s="8"/>
      <c r="AC1281" s="8"/>
      <c r="AD1281" s="24"/>
      <c r="AE1281" s="24"/>
      <c r="AF1281" s="8"/>
      <c r="AG1281" s="8"/>
      <c r="AH1281" s="8"/>
      <c r="AI1281" s="8"/>
    </row>
    <row r="1282" spans="1:35" ht="15.75" customHeight="1" x14ac:dyDescent="0.25">
      <c r="A1282" s="8"/>
      <c r="B1282" s="8"/>
      <c r="C1282" s="8"/>
      <c r="D1282" s="8"/>
      <c r="E1282" s="50"/>
      <c r="F1282" s="51"/>
      <c r="G1282" s="51"/>
      <c r="H1282" s="52"/>
      <c r="I1282" s="52"/>
      <c r="J1282" s="52"/>
      <c r="K1282" s="52"/>
      <c r="L1282" s="52"/>
      <c r="M1282" s="49"/>
      <c r="N1282" s="52"/>
      <c r="O1282" s="22"/>
      <c r="P1282" s="22"/>
      <c r="Q1282" s="8"/>
      <c r="R1282" s="8"/>
      <c r="S1282" s="8"/>
      <c r="T1282" s="8"/>
      <c r="U1282" s="8"/>
      <c r="V1282" s="8"/>
      <c r="W1282" s="8"/>
      <c r="X1282" s="8"/>
      <c r="Y1282" s="8"/>
      <c r="Z1282" s="8"/>
      <c r="AA1282" s="8"/>
      <c r="AB1282" s="8"/>
      <c r="AC1282" s="8"/>
      <c r="AD1282" s="24"/>
      <c r="AE1282" s="24"/>
      <c r="AF1282" s="8"/>
      <c r="AG1282" s="8"/>
      <c r="AH1282" s="8"/>
      <c r="AI1282" s="8"/>
    </row>
    <row r="1283" spans="1:35" ht="15.75" customHeight="1" x14ac:dyDescent="0.25">
      <c r="A1283" s="8"/>
      <c r="B1283" s="8"/>
      <c r="C1283" s="8"/>
      <c r="D1283" s="8"/>
      <c r="E1283" s="50"/>
      <c r="F1283" s="51"/>
      <c r="G1283" s="51"/>
      <c r="H1283" s="52"/>
      <c r="I1283" s="52"/>
      <c r="J1283" s="52"/>
      <c r="K1283" s="52"/>
      <c r="L1283" s="52"/>
      <c r="M1283" s="48"/>
      <c r="N1283" s="52"/>
      <c r="O1283" s="22"/>
      <c r="P1283" s="22"/>
      <c r="Q1283" s="8"/>
      <c r="R1283" s="8"/>
      <c r="S1283" s="8"/>
      <c r="T1283" s="8"/>
      <c r="U1283" s="8"/>
      <c r="V1283" s="8"/>
      <c r="W1283" s="8"/>
      <c r="X1283" s="8"/>
      <c r="Y1283" s="8"/>
      <c r="Z1283" s="8"/>
      <c r="AA1283" s="8"/>
      <c r="AB1283" s="8"/>
      <c r="AC1283" s="8"/>
      <c r="AD1283" s="24"/>
      <c r="AE1283" s="24"/>
      <c r="AF1283" s="8"/>
      <c r="AG1283" s="8"/>
      <c r="AH1283" s="8"/>
      <c r="AI1283" s="8"/>
    </row>
    <row r="1284" spans="1:35" ht="15.75" customHeight="1" x14ac:dyDescent="0.25">
      <c r="A1284" s="8"/>
      <c r="B1284" s="8"/>
      <c r="C1284" s="8"/>
      <c r="D1284" s="8"/>
      <c r="E1284" s="50"/>
      <c r="F1284" s="51"/>
      <c r="G1284" s="51"/>
      <c r="H1284" s="52"/>
      <c r="I1284" s="52"/>
      <c r="J1284" s="52"/>
      <c r="K1284" s="52"/>
      <c r="L1284" s="52"/>
      <c r="M1284" s="49"/>
      <c r="N1284" s="52"/>
      <c r="O1284" s="22"/>
      <c r="P1284" s="22"/>
      <c r="Q1284" s="8"/>
      <c r="R1284" s="8"/>
      <c r="S1284" s="8"/>
      <c r="T1284" s="8"/>
      <c r="U1284" s="8"/>
      <c r="V1284" s="8"/>
      <c r="W1284" s="8"/>
      <c r="X1284" s="8"/>
      <c r="Y1284" s="8"/>
      <c r="Z1284" s="8"/>
      <c r="AA1284" s="8"/>
      <c r="AB1284" s="8"/>
      <c r="AC1284" s="8"/>
      <c r="AD1284" s="24"/>
      <c r="AE1284" s="24"/>
      <c r="AF1284" s="8"/>
      <c r="AG1284" s="8"/>
      <c r="AH1284" s="8"/>
      <c r="AI1284" s="8"/>
    </row>
    <row r="1285" spans="1:35" ht="15.75" customHeight="1" x14ac:dyDescent="0.25">
      <c r="A1285" s="8"/>
      <c r="B1285" s="8"/>
      <c r="C1285" s="8"/>
      <c r="D1285" s="8"/>
      <c r="E1285" s="50"/>
      <c r="F1285" s="51"/>
      <c r="G1285" s="51"/>
      <c r="H1285" s="52"/>
      <c r="I1285" s="52"/>
      <c r="J1285" s="52"/>
      <c r="K1285" s="52"/>
      <c r="L1285" s="52"/>
      <c r="M1285" s="48"/>
      <c r="N1285" s="52"/>
      <c r="O1285" s="22"/>
      <c r="P1285" s="22"/>
      <c r="Q1285" s="8"/>
      <c r="R1285" s="8"/>
      <c r="S1285" s="8"/>
      <c r="T1285" s="8"/>
      <c r="U1285" s="8"/>
      <c r="V1285" s="8"/>
      <c r="W1285" s="8"/>
      <c r="X1285" s="8"/>
      <c r="Y1285" s="8"/>
      <c r="Z1285" s="8"/>
      <c r="AA1285" s="8"/>
      <c r="AB1285" s="8"/>
      <c r="AC1285" s="8"/>
      <c r="AD1285" s="24"/>
      <c r="AE1285" s="24"/>
      <c r="AF1285" s="8"/>
      <c r="AG1285" s="8"/>
      <c r="AH1285" s="8"/>
      <c r="AI1285" s="8"/>
    </row>
    <row r="1286" spans="1:35" ht="15.75" customHeight="1" x14ac:dyDescent="0.25">
      <c r="A1286" s="8"/>
      <c r="B1286" s="8"/>
      <c r="C1286" s="8"/>
      <c r="D1286" s="8"/>
      <c r="E1286" s="50"/>
      <c r="F1286" s="51"/>
      <c r="G1286" s="51"/>
      <c r="H1286" s="52"/>
      <c r="I1286" s="52"/>
      <c r="J1286" s="52"/>
      <c r="K1286" s="52"/>
      <c r="L1286" s="52"/>
      <c r="M1286" s="48"/>
      <c r="N1286" s="52"/>
      <c r="O1286" s="22"/>
      <c r="P1286" s="22"/>
      <c r="Q1286" s="8"/>
      <c r="R1286" s="8"/>
      <c r="S1286" s="8"/>
      <c r="T1286" s="8"/>
      <c r="U1286" s="8"/>
      <c r="V1286" s="8"/>
      <c r="W1286" s="8"/>
      <c r="X1286" s="8"/>
      <c r="Y1286" s="8"/>
      <c r="Z1286" s="8"/>
      <c r="AA1286" s="8"/>
      <c r="AB1286" s="8"/>
      <c r="AC1286" s="8"/>
      <c r="AD1286" s="24"/>
      <c r="AE1286" s="24"/>
      <c r="AF1286" s="8"/>
      <c r="AG1286" s="8"/>
      <c r="AH1286" s="8"/>
      <c r="AI1286" s="8"/>
    </row>
    <row r="1287" spans="1:35" ht="15.75" customHeight="1" x14ac:dyDescent="0.25">
      <c r="A1287" s="8"/>
      <c r="B1287" s="8"/>
      <c r="C1287" s="8"/>
      <c r="D1287" s="8"/>
      <c r="E1287" s="50"/>
      <c r="F1287" s="51"/>
      <c r="G1287" s="51"/>
      <c r="H1287" s="52"/>
      <c r="I1287" s="52"/>
      <c r="J1287" s="52"/>
      <c r="K1287" s="52"/>
      <c r="L1287" s="52"/>
      <c r="M1287" s="48"/>
      <c r="N1287" s="52"/>
      <c r="O1287" s="22"/>
      <c r="P1287" s="22"/>
      <c r="Q1287" s="8"/>
      <c r="R1287" s="8"/>
      <c r="S1287" s="8"/>
      <c r="T1287" s="8"/>
      <c r="U1287" s="8"/>
      <c r="V1287" s="8"/>
      <c r="W1287" s="8"/>
      <c r="X1287" s="8"/>
      <c r="Y1287" s="8"/>
      <c r="Z1287" s="8"/>
      <c r="AA1287" s="8"/>
      <c r="AB1287" s="8"/>
      <c r="AC1287" s="8"/>
      <c r="AD1287" s="24"/>
      <c r="AE1287" s="24"/>
      <c r="AF1287" s="8"/>
      <c r="AG1287" s="8"/>
      <c r="AH1287" s="8"/>
      <c r="AI1287" s="8"/>
    </row>
    <row r="1288" spans="1:35" ht="15.75" customHeight="1" x14ac:dyDescent="0.25">
      <c r="A1288" s="8"/>
      <c r="B1288" s="8"/>
      <c r="C1288" s="8"/>
      <c r="D1288" s="8"/>
      <c r="E1288" s="50"/>
      <c r="F1288" s="51"/>
      <c r="G1288" s="51"/>
      <c r="H1288" s="52"/>
      <c r="I1288" s="52"/>
      <c r="J1288" s="52"/>
      <c r="K1288" s="52"/>
      <c r="L1288" s="52"/>
      <c r="M1288" s="48"/>
      <c r="N1288" s="52"/>
      <c r="O1288" s="22"/>
      <c r="P1288" s="22"/>
      <c r="Q1288" s="8"/>
      <c r="R1288" s="8"/>
      <c r="S1288" s="8"/>
      <c r="T1288" s="8"/>
      <c r="U1288" s="8"/>
      <c r="V1288" s="8"/>
      <c r="W1288" s="8"/>
      <c r="X1288" s="8"/>
      <c r="Y1288" s="8"/>
      <c r="Z1288" s="8"/>
      <c r="AA1288" s="8"/>
      <c r="AB1288" s="8"/>
      <c r="AC1288" s="8"/>
      <c r="AD1288" s="24"/>
      <c r="AE1288" s="24"/>
      <c r="AF1288" s="8"/>
      <c r="AG1288" s="8"/>
      <c r="AH1288" s="8"/>
      <c r="AI1288" s="8"/>
    </row>
    <row r="1289" spans="1:35" ht="15.75" customHeight="1" x14ac:dyDescent="0.25">
      <c r="A1289" s="8"/>
      <c r="B1289" s="8"/>
      <c r="C1289" s="8"/>
      <c r="D1289" s="8"/>
      <c r="E1289" s="50"/>
      <c r="F1289" s="51"/>
      <c r="G1289" s="51"/>
      <c r="H1289" s="52"/>
      <c r="I1289" s="52"/>
      <c r="J1289" s="52"/>
      <c r="K1289" s="52"/>
      <c r="L1289" s="52"/>
      <c r="M1289" s="48"/>
      <c r="N1289" s="52"/>
      <c r="O1289" s="22"/>
      <c r="P1289" s="22"/>
      <c r="Q1289" s="8"/>
      <c r="R1289" s="8"/>
      <c r="S1289" s="8"/>
      <c r="T1289" s="8"/>
      <c r="U1289" s="8"/>
      <c r="V1289" s="8"/>
      <c r="W1289" s="8"/>
      <c r="X1289" s="8"/>
      <c r="Y1289" s="8"/>
      <c r="Z1289" s="8"/>
      <c r="AA1289" s="8"/>
      <c r="AB1289" s="8"/>
      <c r="AC1289" s="8"/>
      <c r="AD1289" s="24"/>
      <c r="AE1289" s="24"/>
      <c r="AF1289" s="8"/>
      <c r="AG1289" s="8"/>
      <c r="AH1289" s="8"/>
      <c r="AI1289" s="8"/>
    </row>
    <row r="1290" spans="1:35" ht="15.75" customHeight="1" x14ac:dyDescent="0.25">
      <c r="A1290" s="8"/>
      <c r="B1290" s="8"/>
      <c r="C1290" s="8"/>
      <c r="D1290" s="8"/>
      <c r="E1290" s="50"/>
      <c r="F1290" s="51"/>
      <c r="G1290" s="51"/>
      <c r="H1290" s="52"/>
      <c r="I1290" s="52"/>
      <c r="J1290" s="52"/>
      <c r="K1290" s="52"/>
      <c r="L1290" s="52"/>
      <c r="M1290" s="48"/>
      <c r="N1290" s="52"/>
      <c r="O1290" s="22"/>
      <c r="P1290" s="22"/>
      <c r="Q1290" s="8"/>
      <c r="R1290" s="8"/>
      <c r="S1290" s="8"/>
      <c r="T1290" s="8"/>
      <c r="U1290" s="8"/>
      <c r="V1290" s="8"/>
      <c r="W1290" s="8"/>
      <c r="X1290" s="8"/>
      <c r="Y1290" s="8"/>
      <c r="Z1290" s="8"/>
      <c r="AA1290" s="8"/>
      <c r="AB1290" s="8"/>
      <c r="AC1290" s="8"/>
      <c r="AD1290" s="24"/>
      <c r="AE1290" s="24"/>
      <c r="AF1290" s="8"/>
      <c r="AG1290" s="8"/>
      <c r="AH1290" s="8"/>
      <c r="AI1290" s="8"/>
    </row>
    <row r="1291" spans="1:35" ht="15.75" customHeight="1" x14ac:dyDescent="0.25">
      <c r="A1291" s="8"/>
      <c r="B1291" s="8"/>
      <c r="C1291" s="8"/>
      <c r="D1291" s="8"/>
      <c r="E1291" s="50"/>
      <c r="F1291" s="51"/>
      <c r="G1291" s="51"/>
      <c r="H1291" s="52"/>
      <c r="I1291" s="52"/>
      <c r="J1291" s="52"/>
      <c r="K1291" s="52"/>
      <c r="L1291" s="52"/>
      <c r="M1291" s="48"/>
      <c r="N1291" s="52"/>
      <c r="O1291" s="22"/>
      <c r="P1291" s="22"/>
      <c r="Q1291" s="8"/>
      <c r="R1291" s="8"/>
      <c r="S1291" s="8"/>
      <c r="T1291" s="8"/>
      <c r="U1291" s="8"/>
      <c r="V1291" s="8"/>
      <c r="W1291" s="8"/>
      <c r="X1291" s="8"/>
      <c r="Y1291" s="8"/>
      <c r="Z1291" s="8"/>
      <c r="AA1291" s="8"/>
      <c r="AB1291" s="8"/>
      <c r="AC1291" s="8"/>
      <c r="AD1291" s="24"/>
      <c r="AE1291" s="24"/>
      <c r="AF1291" s="8"/>
      <c r="AG1291" s="8"/>
      <c r="AH1291" s="8"/>
      <c r="AI1291" s="8"/>
    </row>
    <row r="1292" spans="1:35" ht="15.75" customHeight="1" x14ac:dyDescent="0.25">
      <c r="A1292" s="8"/>
      <c r="B1292" s="8"/>
      <c r="C1292" s="8"/>
      <c r="D1292" s="8"/>
      <c r="E1292" s="50"/>
      <c r="F1292" s="51"/>
      <c r="G1292" s="51"/>
      <c r="H1292" s="52"/>
      <c r="I1292" s="52"/>
      <c r="J1292" s="52"/>
      <c r="K1292" s="52"/>
      <c r="L1292" s="52"/>
      <c r="M1292" s="48"/>
      <c r="N1292" s="52"/>
      <c r="O1292" s="22"/>
      <c r="P1292" s="22"/>
      <c r="Q1292" s="8"/>
      <c r="R1292" s="8"/>
      <c r="S1292" s="8"/>
      <c r="T1292" s="8"/>
      <c r="U1292" s="8"/>
      <c r="V1292" s="8"/>
      <c r="W1292" s="8"/>
      <c r="X1292" s="8"/>
      <c r="Y1292" s="8"/>
      <c r="Z1292" s="8"/>
      <c r="AA1292" s="8"/>
      <c r="AB1292" s="8"/>
      <c r="AC1292" s="8"/>
      <c r="AD1292" s="24"/>
      <c r="AE1292" s="24"/>
      <c r="AF1292" s="8"/>
      <c r="AG1292" s="8"/>
      <c r="AH1292" s="8"/>
      <c r="AI1292" s="8"/>
    </row>
    <row r="1293" spans="1:35" ht="15.75" customHeight="1" x14ac:dyDescent="0.25">
      <c r="A1293" s="8"/>
      <c r="B1293" s="8"/>
      <c r="C1293" s="8"/>
      <c r="D1293" s="8"/>
      <c r="E1293" s="50"/>
      <c r="F1293" s="51"/>
      <c r="G1293" s="51"/>
      <c r="H1293" s="52"/>
      <c r="I1293" s="52"/>
      <c r="J1293" s="52"/>
      <c r="K1293" s="52"/>
      <c r="L1293" s="52"/>
      <c r="M1293" s="48"/>
      <c r="N1293" s="52"/>
      <c r="O1293" s="22"/>
      <c r="P1293" s="22"/>
      <c r="Q1293" s="8"/>
      <c r="R1293" s="8"/>
      <c r="S1293" s="8"/>
      <c r="T1293" s="8"/>
      <c r="U1293" s="8"/>
      <c r="V1293" s="8"/>
      <c r="W1293" s="8"/>
      <c r="X1293" s="8"/>
      <c r="Y1293" s="8"/>
      <c r="Z1293" s="8"/>
      <c r="AA1293" s="8"/>
      <c r="AB1293" s="8"/>
      <c r="AC1293" s="8"/>
      <c r="AD1293" s="24"/>
      <c r="AE1293" s="24"/>
      <c r="AF1293" s="8"/>
      <c r="AG1293" s="8"/>
      <c r="AH1293" s="8"/>
      <c r="AI1293" s="8"/>
    </row>
    <row r="1294" spans="1:35" ht="15.75" customHeight="1" x14ac:dyDescent="0.25">
      <c r="A1294" s="8"/>
      <c r="B1294" s="8"/>
      <c r="C1294" s="8"/>
      <c r="D1294" s="8"/>
      <c r="E1294" s="50"/>
      <c r="F1294" s="51"/>
      <c r="G1294" s="51"/>
      <c r="H1294" s="52"/>
      <c r="I1294" s="52"/>
      <c r="J1294" s="52"/>
      <c r="K1294" s="52"/>
      <c r="L1294" s="52"/>
      <c r="M1294" s="48"/>
      <c r="N1294" s="52"/>
      <c r="O1294" s="22"/>
      <c r="P1294" s="22"/>
      <c r="Q1294" s="8"/>
      <c r="R1294" s="8"/>
      <c r="S1294" s="8"/>
      <c r="T1294" s="8"/>
      <c r="U1294" s="8"/>
      <c r="V1294" s="8"/>
      <c r="W1294" s="8"/>
      <c r="X1294" s="8"/>
      <c r="Y1294" s="8"/>
      <c r="Z1294" s="8"/>
      <c r="AA1294" s="8"/>
      <c r="AB1294" s="8"/>
      <c r="AC1294" s="8"/>
      <c r="AD1294" s="24"/>
      <c r="AE1294" s="24"/>
      <c r="AF1294" s="8"/>
      <c r="AG1294" s="8"/>
      <c r="AH1294" s="8"/>
      <c r="AI1294" s="8"/>
    </row>
    <row r="1295" spans="1:35" ht="15.75" customHeight="1" x14ac:dyDescent="0.25">
      <c r="A1295" s="8"/>
      <c r="B1295" s="8"/>
      <c r="C1295" s="8"/>
      <c r="D1295" s="8"/>
      <c r="E1295" s="50"/>
      <c r="F1295" s="51"/>
      <c r="G1295" s="51"/>
      <c r="H1295" s="52"/>
      <c r="I1295" s="52"/>
      <c r="J1295" s="52"/>
      <c r="K1295" s="52"/>
      <c r="L1295" s="52"/>
      <c r="M1295" s="48"/>
      <c r="N1295" s="52"/>
      <c r="O1295" s="22"/>
      <c r="P1295" s="22"/>
      <c r="Q1295" s="8"/>
      <c r="R1295" s="8"/>
      <c r="S1295" s="8"/>
      <c r="T1295" s="8"/>
      <c r="U1295" s="8"/>
      <c r="V1295" s="8"/>
      <c r="W1295" s="8"/>
      <c r="X1295" s="8"/>
      <c r="Y1295" s="8"/>
      <c r="Z1295" s="8"/>
      <c r="AA1295" s="8"/>
      <c r="AB1295" s="8"/>
      <c r="AC1295" s="8"/>
      <c r="AD1295" s="24"/>
      <c r="AE1295" s="24"/>
      <c r="AF1295" s="8"/>
      <c r="AG1295" s="8"/>
      <c r="AH1295" s="8"/>
      <c r="AI1295" s="8"/>
    </row>
    <row r="1296" spans="1:35" ht="15.75" customHeight="1" x14ac:dyDescent="0.25">
      <c r="A1296" s="8"/>
      <c r="B1296" s="8"/>
      <c r="C1296" s="8"/>
      <c r="D1296" s="8"/>
      <c r="E1296" s="50"/>
      <c r="F1296" s="51"/>
      <c r="G1296" s="51"/>
      <c r="H1296" s="52"/>
      <c r="I1296" s="52"/>
      <c r="J1296" s="52"/>
      <c r="K1296" s="52"/>
      <c r="L1296" s="52"/>
      <c r="M1296" s="48"/>
      <c r="N1296" s="52"/>
      <c r="O1296" s="22"/>
      <c r="P1296" s="22"/>
      <c r="Q1296" s="8"/>
      <c r="R1296" s="8"/>
      <c r="S1296" s="8"/>
      <c r="T1296" s="8"/>
      <c r="U1296" s="8"/>
      <c r="V1296" s="8"/>
      <c r="W1296" s="8"/>
      <c r="X1296" s="8"/>
      <c r="Y1296" s="8"/>
      <c r="Z1296" s="8"/>
      <c r="AA1296" s="8"/>
      <c r="AB1296" s="8"/>
      <c r="AC1296" s="8"/>
      <c r="AD1296" s="24"/>
      <c r="AE1296" s="24"/>
      <c r="AF1296" s="8"/>
      <c r="AG1296" s="8"/>
      <c r="AH1296" s="8"/>
      <c r="AI1296" s="8"/>
    </row>
    <row r="1297" spans="1:35" ht="15.75" customHeight="1" x14ac:dyDescent="0.25">
      <c r="A1297" s="8"/>
      <c r="B1297" s="8"/>
      <c r="C1297" s="8"/>
      <c r="D1297" s="8"/>
      <c r="E1297" s="50"/>
      <c r="F1297" s="51"/>
      <c r="G1297" s="51"/>
      <c r="H1297" s="52"/>
      <c r="I1297" s="52"/>
      <c r="J1297" s="52"/>
      <c r="K1297" s="52"/>
      <c r="L1297" s="52"/>
      <c r="M1297" s="48"/>
      <c r="N1297" s="52"/>
      <c r="O1297" s="22"/>
      <c r="P1297" s="22"/>
      <c r="Q1297" s="8"/>
      <c r="R1297" s="8"/>
      <c r="S1297" s="8"/>
      <c r="T1297" s="8"/>
      <c r="U1297" s="8"/>
      <c r="V1297" s="8"/>
      <c r="W1297" s="8"/>
      <c r="X1297" s="8"/>
      <c r="Y1297" s="8"/>
      <c r="Z1297" s="8"/>
      <c r="AA1297" s="8"/>
      <c r="AB1297" s="8"/>
      <c r="AC1297" s="8"/>
      <c r="AD1297" s="24"/>
      <c r="AE1297" s="24"/>
      <c r="AF1297" s="8"/>
      <c r="AG1297" s="8"/>
      <c r="AH1297" s="8"/>
      <c r="AI1297" s="8"/>
    </row>
    <row r="1298" spans="1:35" ht="15.75" customHeight="1" x14ac:dyDescent="0.25">
      <c r="A1298" s="8"/>
      <c r="B1298" s="8"/>
      <c r="C1298" s="8"/>
      <c r="D1298" s="8"/>
      <c r="E1298" s="50"/>
      <c r="F1298" s="51"/>
      <c r="G1298" s="51"/>
      <c r="H1298" s="52"/>
      <c r="I1298" s="52"/>
      <c r="J1298" s="52"/>
      <c r="K1298" s="52"/>
      <c r="L1298" s="52"/>
      <c r="M1298" s="48"/>
      <c r="N1298" s="52"/>
      <c r="O1298" s="22"/>
      <c r="P1298" s="22"/>
      <c r="Q1298" s="8"/>
      <c r="R1298" s="8"/>
      <c r="S1298" s="8"/>
      <c r="T1298" s="8"/>
      <c r="U1298" s="8"/>
      <c r="V1298" s="8"/>
      <c r="W1298" s="8"/>
      <c r="X1298" s="8"/>
      <c r="Y1298" s="8"/>
      <c r="Z1298" s="8"/>
      <c r="AA1298" s="8"/>
      <c r="AB1298" s="8"/>
      <c r="AC1298" s="8"/>
      <c r="AD1298" s="24"/>
      <c r="AE1298" s="24"/>
      <c r="AF1298" s="8"/>
      <c r="AG1298" s="8"/>
      <c r="AH1298" s="8"/>
      <c r="AI1298" s="8"/>
    </row>
    <row r="1299" spans="1:35" ht="15.75" customHeight="1" x14ac:dyDescent="0.25">
      <c r="A1299" s="8"/>
      <c r="B1299" s="8"/>
      <c r="C1299" s="8"/>
      <c r="D1299" s="8"/>
      <c r="E1299" s="50"/>
      <c r="F1299" s="51"/>
      <c r="G1299" s="51"/>
      <c r="H1299" s="52"/>
      <c r="I1299" s="52"/>
      <c r="J1299" s="52"/>
      <c r="K1299" s="52"/>
      <c r="L1299" s="52"/>
      <c r="M1299" s="48"/>
      <c r="N1299" s="52"/>
      <c r="O1299" s="22"/>
      <c r="P1299" s="22"/>
      <c r="Q1299" s="8"/>
      <c r="R1299" s="8"/>
      <c r="S1299" s="8"/>
      <c r="T1299" s="8"/>
      <c r="U1299" s="8"/>
      <c r="V1299" s="8"/>
      <c r="W1299" s="8"/>
      <c r="X1299" s="8"/>
      <c r="Y1299" s="8"/>
      <c r="Z1299" s="8"/>
      <c r="AA1299" s="8"/>
      <c r="AB1299" s="8"/>
      <c r="AC1299" s="8"/>
      <c r="AD1299" s="24"/>
      <c r="AE1299" s="24"/>
      <c r="AF1299" s="8"/>
      <c r="AG1299" s="8"/>
      <c r="AH1299" s="8"/>
      <c r="AI1299" s="8"/>
    </row>
    <row r="1300" spans="1:35" ht="15.75" customHeight="1" x14ac:dyDescent="0.25">
      <c r="A1300" s="8"/>
      <c r="B1300" s="8"/>
      <c r="C1300" s="8"/>
      <c r="D1300" s="8"/>
      <c r="E1300" s="50"/>
      <c r="F1300" s="51"/>
      <c r="G1300" s="51"/>
      <c r="H1300" s="52"/>
      <c r="I1300" s="52"/>
      <c r="J1300" s="52"/>
      <c r="K1300" s="52"/>
      <c r="L1300" s="52"/>
      <c r="M1300" s="48"/>
      <c r="N1300" s="52"/>
      <c r="O1300" s="22"/>
      <c r="P1300" s="22"/>
      <c r="Q1300" s="8"/>
      <c r="R1300" s="8"/>
      <c r="S1300" s="8"/>
      <c r="T1300" s="8"/>
      <c r="U1300" s="8"/>
      <c r="V1300" s="8"/>
      <c r="W1300" s="8"/>
      <c r="X1300" s="8"/>
      <c r="Y1300" s="8"/>
      <c r="Z1300" s="8"/>
      <c r="AA1300" s="8"/>
      <c r="AB1300" s="8"/>
      <c r="AC1300" s="8"/>
      <c r="AD1300" s="24"/>
      <c r="AE1300" s="24"/>
      <c r="AF1300" s="8"/>
      <c r="AG1300" s="8"/>
      <c r="AH1300" s="8"/>
      <c r="AI1300" s="8"/>
    </row>
    <row r="1301" spans="1:35" ht="15.75" customHeight="1" x14ac:dyDescent="0.25">
      <c r="A1301" s="8"/>
      <c r="B1301" s="8"/>
      <c r="C1301" s="8"/>
      <c r="D1301" s="8"/>
      <c r="E1301" s="50"/>
      <c r="F1301" s="51"/>
      <c r="G1301" s="51"/>
      <c r="H1301" s="52"/>
      <c r="I1301" s="52"/>
      <c r="J1301" s="52"/>
      <c r="K1301" s="52"/>
      <c r="L1301" s="52"/>
      <c r="M1301" s="52"/>
      <c r="N1301" s="52"/>
      <c r="O1301" s="22"/>
      <c r="P1301" s="22"/>
      <c r="Q1301" s="8"/>
      <c r="R1301" s="8"/>
      <c r="S1301" s="8"/>
      <c r="T1301" s="8"/>
      <c r="U1301" s="8"/>
      <c r="V1301" s="8"/>
      <c r="W1301" s="8"/>
      <c r="X1301" s="8"/>
      <c r="Y1301" s="8"/>
      <c r="Z1301" s="8"/>
      <c r="AA1301" s="8"/>
      <c r="AB1301" s="8"/>
      <c r="AC1301" s="8"/>
      <c r="AD1301" s="24"/>
      <c r="AE1301" s="24"/>
      <c r="AF1301" s="8"/>
      <c r="AG1301" s="8"/>
      <c r="AH1301" s="8"/>
      <c r="AI1301" s="8"/>
    </row>
    <row r="1302" spans="1:35" ht="15.75" customHeight="1" x14ac:dyDescent="0.25">
      <c r="A1302" s="8"/>
      <c r="B1302" s="8"/>
      <c r="C1302" s="8"/>
      <c r="D1302" s="8"/>
      <c r="E1302" s="50"/>
      <c r="F1302" s="51"/>
      <c r="G1302" s="51"/>
      <c r="H1302" s="52"/>
      <c r="I1302" s="52"/>
      <c r="J1302" s="52"/>
      <c r="K1302" s="52"/>
      <c r="L1302" s="52"/>
      <c r="M1302" s="49"/>
      <c r="N1302" s="52"/>
      <c r="O1302" s="22"/>
      <c r="P1302" s="22"/>
      <c r="Q1302" s="8"/>
      <c r="R1302" s="8"/>
      <c r="S1302" s="8"/>
      <c r="T1302" s="8"/>
      <c r="U1302" s="8"/>
      <c r="V1302" s="8"/>
      <c r="W1302" s="8"/>
      <c r="X1302" s="8"/>
      <c r="Y1302" s="8"/>
      <c r="Z1302" s="8"/>
      <c r="AA1302" s="8"/>
      <c r="AB1302" s="8"/>
      <c r="AC1302" s="8"/>
      <c r="AD1302" s="24"/>
      <c r="AE1302" s="24"/>
      <c r="AF1302" s="8"/>
      <c r="AG1302" s="8"/>
      <c r="AH1302" s="8"/>
      <c r="AI1302" s="8"/>
    </row>
    <row r="1303" spans="1:35" ht="15.75" customHeight="1" x14ac:dyDescent="0.25">
      <c r="A1303" s="8"/>
      <c r="B1303" s="8"/>
      <c r="C1303" s="8"/>
      <c r="D1303" s="8"/>
      <c r="E1303" s="50"/>
      <c r="F1303" s="51"/>
      <c r="G1303" s="51"/>
      <c r="H1303" s="52"/>
      <c r="I1303" s="52"/>
      <c r="J1303" s="52"/>
      <c r="K1303" s="52"/>
      <c r="L1303" s="52"/>
      <c r="M1303" s="48"/>
      <c r="N1303" s="52"/>
      <c r="O1303" s="22"/>
      <c r="P1303" s="22"/>
      <c r="Q1303" s="8"/>
      <c r="R1303" s="8"/>
      <c r="S1303" s="8"/>
      <c r="T1303" s="8"/>
      <c r="U1303" s="8"/>
      <c r="V1303" s="8"/>
      <c r="W1303" s="8"/>
      <c r="X1303" s="8"/>
      <c r="Y1303" s="8"/>
      <c r="Z1303" s="8"/>
      <c r="AA1303" s="8"/>
      <c r="AB1303" s="8"/>
      <c r="AC1303" s="8"/>
      <c r="AD1303" s="24"/>
      <c r="AE1303" s="24"/>
      <c r="AF1303" s="8"/>
      <c r="AG1303" s="8"/>
      <c r="AH1303" s="8"/>
      <c r="AI1303" s="8"/>
    </row>
    <row r="1304" spans="1:35" ht="15.75" customHeight="1" x14ac:dyDescent="0.25">
      <c r="A1304" s="8"/>
      <c r="B1304" s="8"/>
      <c r="C1304" s="8"/>
      <c r="D1304" s="8"/>
      <c r="E1304" s="50"/>
      <c r="F1304" s="51"/>
      <c r="G1304" s="51"/>
      <c r="H1304" s="52"/>
      <c r="I1304" s="52"/>
      <c r="J1304" s="52"/>
      <c r="K1304" s="52"/>
      <c r="L1304" s="52"/>
      <c r="M1304" s="48"/>
      <c r="N1304" s="52"/>
      <c r="O1304" s="22"/>
      <c r="P1304" s="22"/>
      <c r="Q1304" s="8"/>
      <c r="R1304" s="8"/>
      <c r="S1304" s="8"/>
      <c r="T1304" s="8"/>
      <c r="U1304" s="8"/>
      <c r="V1304" s="8"/>
      <c r="W1304" s="8"/>
      <c r="X1304" s="8"/>
      <c r="Y1304" s="8"/>
      <c r="Z1304" s="8"/>
      <c r="AA1304" s="8"/>
      <c r="AB1304" s="8"/>
      <c r="AC1304" s="8"/>
      <c r="AD1304" s="24"/>
      <c r="AE1304" s="24"/>
      <c r="AF1304" s="8"/>
      <c r="AG1304" s="8"/>
      <c r="AH1304" s="8"/>
      <c r="AI1304" s="8"/>
    </row>
    <row r="1305" spans="1:35" ht="15.75" customHeight="1" x14ac:dyDescent="0.25">
      <c r="A1305" s="8"/>
      <c r="B1305" s="8"/>
      <c r="C1305" s="8"/>
      <c r="D1305" s="8"/>
      <c r="E1305" s="50"/>
      <c r="F1305" s="51"/>
      <c r="G1305" s="51"/>
      <c r="H1305" s="52"/>
      <c r="I1305" s="52"/>
      <c r="J1305" s="52"/>
      <c r="K1305" s="52"/>
      <c r="L1305" s="52"/>
      <c r="M1305" s="48"/>
      <c r="N1305" s="52"/>
      <c r="O1305" s="22"/>
      <c r="P1305" s="22"/>
      <c r="Q1305" s="8"/>
      <c r="R1305" s="8"/>
      <c r="S1305" s="8"/>
      <c r="T1305" s="8"/>
      <c r="U1305" s="8"/>
      <c r="V1305" s="8"/>
      <c r="W1305" s="8"/>
      <c r="X1305" s="8"/>
      <c r="Y1305" s="8"/>
      <c r="Z1305" s="8"/>
      <c r="AA1305" s="8"/>
      <c r="AB1305" s="8"/>
      <c r="AC1305" s="8"/>
      <c r="AD1305" s="24"/>
      <c r="AE1305" s="24"/>
      <c r="AF1305" s="8"/>
      <c r="AG1305" s="8"/>
      <c r="AH1305" s="8"/>
      <c r="AI1305" s="8"/>
    </row>
    <row r="1306" spans="1:35" ht="15.75" customHeight="1" x14ac:dyDescent="0.25">
      <c r="A1306" s="8"/>
      <c r="B1306" s="8"/>
      <c r="C1306" s="8"/>
      <c r="D1306" s="8"/>
      <c r="E1306" s="50"/>
      <c r="F1306" s="51"/>
      <c r="G1306" s="51"/>
      <c r="H1306" s="52"/>
      <c r="I1306" s="52"/>
      <c r="J1306" s="52"/>
      <c r="K1306" s="52"/>
      <c r="L1306" s="52"/>
      <c r="M1306" s="52"/>
      <c r="N1306" s="52"/>
      <c r="O1306" s="22"/>
      <c r="P1306" s="22"/>
      <c r="Q1306" s="8"/>
      <c r="R1306" s="8"/>
      <c r="S1306" s="8"/>
      <c r="T1306" s="8"/>
      <c r="U1306" s="8"/>
      <c r="V1306" s="8"/>
      <c r="W1306" s="8"/>
      <c r="X1306" s="8"/>
      <c r="Y1306" s="8"/>
      <c r="Z1306" s="8"/>
      <c r="AA1306" s="8"/>
      <c r="AB1306" s="8"/>
      <c r="AC1306" s="8"/>
      <c r="AD1306" s="24"/>
      <c r="AE1306" s="24"/>
      <c r="AF1306" s="8"/>
      <c r="AG1306" s="8"/>
      <c r="AH1306" s="8"/>
      <c r="AI1306" s="8"/>
    </row>
    <row r="1307" spans="1:35" ht="15.75" customHeight="1" x14ac:dyDescent="0.25">
      <c r="A1307" s="8"/>
      <c r="B1307" s="8"/>
      <c r="C1307" s="8"/>
      <c r="D1307" s="8"/>
      <c r="E1307" s="50"/>
      <c r="F1307" s="51"/>
      <c r="G1307" s="51"/>
      <c r="H1307" s="52"/>
      <c r="I1307" s="52"/>
      <c r="J1307" s="52"/>
      <c r="K1307" s="52"/>
      <c r="L1307" s="52"/>
      <c r="M1307" s="48"/>
      <c r="N1307" s="52"/>
      <c r="O1307" s="22"/>
      <c r="P1307" s="22"/>
      <c r="Q1307" s="8"/>
      <c r="R1307" s="8"/>
      <c r="S1307" s="8"/>
      <c r="T1307" s="8"/>
      <c r="U1307" s="8"/>
      <c r="V1307" s="8"/>
      <c r="W1307" s="8"/>
      <c r="X1307" s="8"/>
      <c r="Y1307" s="8"/>
      <c r="Z1307" s="8"/>
      <c r="AA1307" s="8"/>
      <c r="AB1307" s="8"/>
      <c r="AC1307" s="8"/>
      <c r="AD1307" s="24"/>
      <c r="AE1307" s="24"/>
      <c r="AF1307" s="8"/>
      <c r="AG1307" s="8"/>
      <c r="AH1307" s="8"/>
      <c r="AI1307" s="8"/>
    </row>
    <row r="1308" spans="1:35" ht="15.75" customHeight="1" x14ac:dyDescent="0.25">
      <c r="A1308" s="8"/>
      <c r="B1308" s="8"/>
      <c r="C1308" s="8"/>
      <c r="D1308" s="8"/>
      <c r="E1308" s="50"/>
      <c r="F1308" s="51"/>
      <c r="G1308" s="51"/>
      <c r="H1308" s="52"/>
      <c r="I1308" s="52"/>
      <c r="J1308" s="52"/>
      <c r="K1308" s="52"/>
      <c r="L1308" s="52"/>
      <c r="M1308" s="52"/>
      <c r="N1308" s="52"/>
      <c r="O1308" s="22"/>
      <c r="P1308" s="22"/>
      <c r="Q1308" s="8"/>
      <c r="R1308" s="8"/>
      <c r="S1308" s="8"/>
      <c r="T1308" s="8"/>
      <c r="U1308" s="8"/>
      <c r="V1308" s="8"/>
      <c r="W1308" s="8"/>
      <c r="X1308" s="8"/>
      <c r="Y1308" s="8"/>
      <c r="Z1308" s="8"/>
      <c r="AA1308" s="8"/>
      <c r="AB1308" s="8"/>
      <c r="AC1308" s="8"/>
      <c r="AD1308" s="24"/>
      <c r="AE1308" s="24"/>
      <c r="AF1308" s="8"/>
      <c r="AG1308" s="8"/>
      <c r="AH1308" s="8"/>
      <c r="AI1308" s="8"/>
    </row>
    <row r="1309" spans="1:35" ht="15.75" customHeight="1" x14ac:dyDescent="0.25">
      <c r="A1309" s="8"/>
      <c r="B1309" s="8"/>
      <c r="C1309" s="8"/>
      <c r="D1309" s="8"/>
      <c r="E1309" s="50"/>
      <c r="F1309" s="51"/>
      <c r="G1309" s="51"/>
      <c r="H1309" s="52"/>
      <c r="I1309" s="52"/>
      <c r="J1309" s="52"/>
      <c r="K1309" s="52"/>
      <c r="L1309" s="52"/>
      <c r="M1309" s="48"/>
      <c r="N1309" s="52"/>
      <c r="O1309" s="22"/>
      <c r="P1309" s="22"/>
      <c r="Q1309" s="8"/>
      <c r="R1309" s="8"/>
      <c r="S1309" s="8"/>
      <c r="T1309" s="8"/>
      <c r="U1309" s="8"/>
      <c r="V1309" s="8"/>
      <c r="W1309" s="8"/>
      <c r="X1309" s="8"/>
      <c r="Y1309" s="8"/>
      <c r="Z1309" s="8"/>
      <c r="AA1309" s="8"/>
      <c r="AB1309" s="8"/>
      <c r="AC1309" s="8"/>
      <c r="AD1309" s="24"/>
      <c r="AE1309" s="24"/>
      <c r="AF1309" s="8"/>
      <c r="AG1309" s="8"/>
      <c r="AH1309" s="8"/>
      <c r="AI1309" s="8"/>
    </row>
    <row r="1310" spans="1:35" ht="15.75" customHeight="1" x14ac:dyDescent="0.25">
      <c r="A1310" s="8"/>
      <c r="B1310" s="8"/>
      <c r="C1310" s="8"/>
      <c r="D1310" s="8"/>
      <c r="E1310" s="50"/>
      <c r="F1310" s="51"/>
      <c r="G1310" s="51"/>
      <c r="H1310" s="52"/>
      <c r="I1310" s="52"/>
      <c r="J1310" s="52"/>
      <c r="K1310" s="52"/>
      <c r="L1310" s="52"/>
      <c r="M1310" s="52"/>
      <c r="N1310" s="52"/>
      <c r="O1310" s="22"/>
      <c r="P1310" s="22"/>
      <c r="Q1310" s="8"/>
      <c r="R1310" s="8"/>
      <c r="S1310" s="8"/>
      <c r="T1310" s="8"/>
      <c r="U1310" s="8"/>
      <c r="V1310" s="8"/>
      <c r="W1310" s="8"/>
      <c r="X1310" s="8"/>
      <c r="Y1310" s="8"/>
      <c r="Z1310" s="8"/>
      <c r="AA1310" s="8"/>
      <c r="AB1310" s="8"/>
      <c r="AC1310" s="8"/>
      <c r="AD1310" s="24"/>
      <c r="AE1310" s="24"/>
      <c r="AF1310" s="8"/>
      <c r="AG1310" s="8"/>
      <c r="AH1310" s="8"/>
      <c r="AI1310" s="8"/>
    </row>
    <row r="1311" spans="1:35" ht="15.75" customHeight="1" x14ac:dyDescent="0.25">
      <c r="A1311" s="8"/>
      <c r="B1311" s="8"/>
      <c r="C1311" s="8"/>
      <c r="D1311" s="8"/>
      <c r="E1311" s="50"/>
      <c r="F1311" s="51"/>
      <c r="G1311" s="51"/>
      <c r="H1311" s="52"/>
      <c r="I1311" s="52"/>
      <c r="J1311" s="52"/>
      <c r="K1311" s="52"/>
      <c r="L1311" s="52"/>
      <c r="M1311" s="49"/>
      <c r="N1311" s="52"/>
      <c r="O1311" s="22"/>
      <c r="P1311" s="22"/>
      <c r="Q1311" s="8"/>
      <c r="R1311" s="8"/>
      <c r="S1311" s="8"/>
      <c r="T1311" s="8"/>
      <c r="U1311" s="8"/>
      <c r="V1311" s="8"/>
      <c r="W1311" s="8"/>
      <c r="X1311" s="8"/>
      <c r="Y1311" s="8"/>
      <c r="Z1311" s="8"/>
      <c r="AA1311" s="8"/>
      <c r="AB1311" s="8"/>
      <c r="AC1311" s="8"/>
      <c r="AD1311" s="24"/>
      <c r="AE1311" s="24"/>
      <c r="AF1311" s="8"/>
      <c r="AG1311" s="8"/>
      <c r="AH1311" s="8"/>
      <c r="AI1311" s="8"/>
    </row>
    <row r="1312" spans="1:35" ht="15.75" customHeight="1" x14ac:dyDescent="0.25">
      <c r="A1312" s="8"/>
      <c r="B1312" s="8"/>
      <c r="C1312" s="8"/>
      <c r="D1312" s="8"/>
      <c r="E1312" s="50"/>
      <c r="F1312" s="51"/>
      <c r="G1312" s="51"/>
      <c r="H1312" s="52"/>
      <c r="I1312" s="52"/>
      <c r="J1312" s="52"/>
      <c r="K1312" s="52"/>
      <c r="L1312" s="52"/>
      <c r="M1312" s="48"/>
      <c r="N1312" s="52"/>
      <c r="O1312" s="22"/>
      <c r="P1312" s="22"/>
      <c r="Q1312" s="8"/>
      <c r="R1312" s="8"/>
      <c r="S1312" s="8"/>
      <c r="T1312" s="8"/>
      <c r="U1312" s="8"/>
      <c r="V1312" s="8"/>
      <c r="W1312" s="8"/>
      <c r="X1312" s="8"/>
      <c r="Y1312" s="8"/>
      <c r="Z1312" s="8"/>
      <c r="AA1312" s="8"/>
      <c r="AB1312" s="8"/>
      <c r="AC1312" s="8"/>
      <c r="AD1312" s="24"/>
      <c r="AE1312" s="24"/>
      <c r="AF1312" s="8"/>
      <c r="AG1312" s="8"/>
      <c r="AH1312" s="8"/>
      <c r="AI1312" s="8"/>
    </row>
    <row r="1313" spans="1:35" ht="15.75" customHeight="1" x14ac:dyDescent="0.25">
      <c r="A1313" s="8"/>
      <c r="B1313" s="8"/>
      <c r="C1313" s="8"/>
      <c r="D1313" s="8"/>
      <c r="E1313" s="50"/>
      <c r="F1313" s="51"/>
      <c r="G1313" s="51"/>
      <c r="H1313" s="52"/>
      <c r="I1313" s="52"/>
      <c r="J1313" s="52"/>
      <c r="K1313" s="52"/>
      <c r="L1313" s="52"/>
      <c r="M1313" s="52"/>
      <c r="N1313" s="52"/>
      <c r="O1313" s="22"/>
      <c r="P1313" s="22"/>
      <c r="Q1313" s="8"/>
      <c r="R1313" s="8"/>
      <c r="S1313" s="8"/>
      <c r="T1313" s="8"/>
      <c r="U1313" s="8"/>
      <c r="V1313" s="8"/>
      <c r="W1313" s="8"/>
      <c r="X1313" s="8"/>
      <c r="Y1313" s="8"/>
      <c r="Z1313" s="8"/>
      <c r="AA1313" s="8"/>
      <c r="AB1313" s="8"/>
      <c r="AC1313" s="8"/>
      <c r="AD1313" s="24"/>
      <c r="AE1313" s="24"/>
      <c r="AF1313" s="8"/>
      <c r="AG1313" s="8"/>
      <c r="AH1313" s="8"/>
      <c r="AI1313" s="8"/>
    </row>
    <row r="1314" spans="1:35" ht="15.75" customHeight="1" x14ac:dyDescent="0.25">
      <c r="A1314" s="8"/>
      <c r="B1314" s="8"/>
      <c r="C1314" s="8"/>
      <c r="D1314" s="8"/>
      <c r="E1314" s="50"/>
      <c r="F1314" s="51"/>
      <c r="G1314" s="51"/>
      <c r="H1314" s="52"/>
      <c r="I1314" s="52"/>
      <c r="J1314" s="52"/>
      <c r="K1314" s="52"/>
      <c r="L1314" s="52"/>
      <c r="M1314" s="48"/>
      <c r="N1314" s="52"/>
      <c r="O1314" s="22"/>
      <c r="P1314" s="22"/>
      <c r="Q1314" s="8"/>
      <c r="R1314" s="8"/>
      <c r="S1314" s="8"/>
      <c r="T1314" s="8"/>
      <c r="U1314" s="8"/>
      <c r="V1314" s="8"/>
      <c r="W1314" s="8"/>
      <c r="X1314" s="8"/>
      <c r="Y1314" s="8"/>
      <c r="Z1314" s="8"/>
      <c r="AA1314" s="8"/>
      <c r="AB1314" s="8"/>
      <c r="AC1314" s="8"/>
      <c r="AD1314" s="24"/>
      <c r="AE1314" s="24"/>
      <c r="AF1314" s="8"/>
      <c r="AG1314" s="8"/>
      <c r="AH1314" s="8"/>
      <c r="AI1314" s="8"/>
    </row>
    <row r="1315" spans="1:35" ht="15.75" customHeight="1" x14ac:dyDescent="0.25">
      <c r="A1315" s="8"/>
      <c r="B1315" s="8"/>
      <c r="C1315" s="8"/>
      <c r="D1315" s="8"/>
      <c r="E1315" s="50"/>
      <c r="F1315" s="51"/>
      <c r="G1315" s="51"/>
      <c r="H1315" s="52"/>
      <c r="I1315" s="52"/>
      <c r="J1315" s="52"/>
      <c r="K1315" s="52"/>
      <c r="L1315" s="52"/>
      <c r="M1315" s="52"/>
      <c r="N1315" s="52"/>
      <c r="O1315" s="22"/>
      <c r="P1315" s="22"/>
      <c r="Q1315" s="8"/>
      <c r="R1315" s="8"/>
      <c r="S1315" s="8"/>
      <c r="T1315" s="8"/>
      <c r="U1315" s="8"/>
      <c r="V1315" s="8"/>
      <c r="W1315" s="8"/>
      <c r="X1315" s="8"/>
      <c r="Y1315" s="8"/>
      <c r="Z1315" s="8"/>
      <c r="AA1315" s="8"/>
      <c r="AB1315" s="8"/>
      <c r="AC1315" s="8"/>
      <c r="AD1315" s="24"/>
      <c r="AE1315" s="24"/>
      <c r="AF1315" s="8"/>
      <c r="AG1315" s="8"/>
      <c r="AH1315" s="8"/>
      <c r="AI1315" s="8"/>
    </row>
    <row r="1316" spans="1:35" ht="15.75" customHeight="1" x14ac:dyDescent="0.25">
      <c r="A1316" s="8"/>
      <c r="B1316" s="8"/>
      <c r="C1316" s="8"/>
      <c r="D1316" s="8"/>
      <c r="E1316" s="50"/>
      <c r="F1316" s="51"/>
      <c r="G1316" s="51"/>
      <c r="H1316" s="52"/>
      <c r="I1316" s="52"/>
      <c r="J1316" s="52"/>
      <c r="K1316" s="52"/>
      <c r="L1316" s="52"/>
      <c r="M1316" s="52"/>
      <c r="N1316" s="52"/>
      <c r="O1316" s="22"/>
      <c r="P1316" s="22"/>
      <c r="Q1316" s="8"/>
      <c r="R1316" s="8"/>
      <c r="S1316" s="8"/>
      <c r="T1316" s="8"/>
      <c r="U1316" s="8"/>
      <c r="V1316" s="8"/>
      <c r="W1316" s="8"/>
      <c r="X1316" s="8"/>
      <c r="Y1316" s="8"/>
      <c r="Z1316" s="8"/>
      <c r="AA1316" s="8"/>
      <c r="AB1316" s="8"/>
      <c r="AC1316" s="8"/>
      <c r="AD1316" s="24"/>
      <c r="AE1316" s="24"/>
      <c r="AF1316" s="8"/>
      <c r="AG1316" s="8"/>
      <c r="AH1316" s="8"/>
      <c r="AI1316" s="8"/>
    </row>
    <row r="1317" spans="1:35" ht="15.75" customHeight="1" x14ac:dyDescent="0.25">
      <c r="A1317" s="8"/>
      <c r="B1317" s="8"/>
      <c r="C1317" s="8"/>
      <c r="D1317" s="8"/>
      <c r="E1317" s="50"/>
      <c r="F1317" s="51"/>
      <c r="G1317" s="51"/>
      <c r="H1317" s="52"/>
      <c r="I1317" s="52"/>
      <c r="J1317" s="52"/>
      <c r="K1317" s="52"/>
      <c r="L1317" s="52"/>
      <c r="M1317" s="52"/>
      <c r="N1317" s="52"/>
      <c r="O1317" s="22"/>
      <c r="P1317" s="22"/>
      <c r="Q1317" s="8"/>
      <c r="R1317" s="8"/>
      <c r="S1317" s="8"/>
      <c r="T1317" s="8"/>
      <c r="U1317" s="8"/>
      <c r="V1317" s="8"/>
      <c r="W1317" s="8"/>
      <c r="X1317" s="8"/>
      <c r="Y1317" s="8"/>
      <c r="Z1317" s="8"/>
      <c r="AA1317" s="8"/>
      <c r="AB1317" s="8"/>
      <c r="AC1317" s="8"/>
      <c r="AD1317" s="24"/>
      <c r="AE1317" s="24"/>
      <c r="AF1317" s="8"/>
      <c r="AG1317" s="8"/>
      <c r="AH1317" s="8"/>
      <c r="AI1317" s="8"/>
    </row>
    <row r="1318" spans="1:35" ht="15.75" customHeight="1" x14ac:dyDescent="0.25">
      <c r="A1318" s="8"/>
      <c r="B1318" s="8"/>
      <c r="C1318" s="8"/>
      <c r="D1318" s="8"/>
      <c r="E1318" s="50"/>
      <c r="F1318" s="51"/>
      <c r="G1318" s="51"/>
      <c r="H1318" s="52"/>
      <c r="I1318" s="52"/>
      <c r="J1318" s="52"/>
      <c r="K1318" s="52"/>
      <c r="L1318" s="52"/>
      <c r="M1318" s="52"/>
      <c r="N1318" s="52"/>
      <c r="O1318" s="22"/>
      <c r="P1318" s="22"/>
      <c r="Q1318" s="8"/>
      <c r="R1318" s="8"/>
      <c r="S1318" s="8"/>
      <c r="T1318" s="8"/>
      <c r="U1318" s="8"/>
      <c r="V1318" s="8"/>
      <c r="W1318" s="8"/>
      <c r="X1318" s="8"/>
      <c r="Y1318" s="8"/>
      <c r="Z1318" s="8"/>
      <c r="AA1318" s="8"/>
      <c r="AB1318" s="8"/>
      <c r="AC1318" s="8"/>
      <c r="AD1318" s="24"/>
      <c r="AE1318" s="24"/>
      <c r="AF1318" s="8"/>
      <c r="AG1318" s="8"/>
      <c r="AH1318" s="8"/>
      <c r="AI1318" s="8"/>
    </row>
    <row r="1319" spans="1:35" ht="15.75" customHeight="1" x14ac:dyDescent="0.25">
      <c r="A1319" s="8"/>
      <c r="B1319" s="8"/>
      <c r="C1319" s="8"/>
      <c r="D1319" s="8"/>
      <c r="E1319" s="50"/>
      <c r="F1319" s="51"/>
      <c r="G1319" s="51"/>
      <c r="H1319" s="52"/>
      <c r="I1319" s="52"/>
      <c r="J1319" s="52"/>
      <c r="K1319" s="52"/>
      <c r="L1319" s="52"/>
      <c r="M1319" s="52"/>
      <c r="N1319" s="52"/>
      <c r="O1319" s="22"/>
      <c r="P1319" s="22"/>
      <c r="Q1319" s="8"/>
      <c r="R1319" s="8"/>
      <c r="S1319" s="8"/>
      <c r="T1319" s="8"/>
      <c r="U1319" s="8"/>
      <c r="V1319" s="8"/>
      <c r="W1319" s="8"/>
      <c r="X1319" s="8"/>
      <c r="Y1319" s="8"/>
      <c r="Z1319" s="8"/>
      <c r="AA1319" s="8"/>
      <c r="AB1319" s="8"/>
      <c r="AC1319" s="8"/>
      <c r="AD1319" s="24"/>
      <c r="AE1319" s="24"/>
      <c r="AF1319" s="8"/>
      <c r="AG1319" s="8"/>
      <c r="AH1319" s="8"/>
      <c r="AI1319" s="8"/>
    </row>
    <row r="1320" spans="1:35" ht="15.75" customHeight="1" x14ac:dyDescent="0.25">
      <c r="A1320" s="8"/>
      <c r="B1320" s="8"/>
      <c r="C1320" s="8"/>
      <c r="D1320" s="8"/>
      <c r="E1320" s="50"/>
      <c r="F1320" s="51"/>
      <c r="G1320" s="51"/>
      <c r="H1320" s="52"/>
      <c r="I1320" s="52"/>
      <c r="J1320" s="52"/>
      <c r="K1320" s="52"/>
      <c r="L1320" s="52"/>
      <c r="M1320" s="48"/>
      <c r="N1320" s="52"/>
      <c r="O1320" s="22"/>
      <c r="P1320" s="22"/>
      <c r="Q1320" s="8"/>
      <c r="R1320" s="8"/>
      <c r="S1320" s="8"/>
      <c r="T1320" s="8"/>
      <c r="U1320" s="8"/>
      <c r="V1320" s="8"/>
      <c r="W1320" s="8"/>
      <c r="X1320" s="8"/>
      <c r="Y1320" s="8"/>
      <c r="Z1320" s="8"/>
      <c r="AA1320" s="8"/>
      <c r="AB1320" s="8"/>
      <c r="AC1320" s="8"/>
      <c r="AD1320" s="24"/>
      <c r="AE1320" s="24"/>
      <c r="AF1320" s="8"/>
      <c r="AG1320" s="8"/>
      <c r="AH1320" s="8"/>
      <c r="AI1320" s="8"/>
    </row>
    <row r="1321" spans="1:35" ht="15.75" customHeight="1" x14ac:dyDescent="0.25">
      <c r="A1321" s="8"/>
      <c r="B1321" s="8"/>
      <c r="C1321" s="8"/>
      <c r="D1321" s="8"/>
      <c r="E1321" s="50"/>
      <c r="F1321" s="51"/>
      <c r="G1321" s="51"/>
      <c r="H1321" s="52"/>
      <c r="I1321" s="52"/>
      <c r="J1321" s="52"/>
      <c r="K1321" s="52"/>
      <c r="L1321" s="52"/>
      <c r="M1321" s="52"/>
      <c r="N1321" s="52"/>
      <c r="O1321" s="22"/>
      <c r="P1321" s="22"/>
      <c r="Q1321" s="8"/>
      <c r="R1321" s="8"/>
      <c r="S1321" s="8"/>
      <c r="T1321" s="8"/>
      <c r="U1321" s="8"/>
      <c r="V1321" s="8"/>
      <c r="W1321" s="8"/>
      <c r="X1321" s="8"/>
      <c r="Y1321" s="8"/>
      <c r="Z1321" s="8"/>
      <c r="AA1321" s="8"/>
      <c r="AB1321" s="8"/>
      <c r="AC1321" s="8"/>
      <c r="AD1321" s="24"/>
      <c r="AE1321" s="24"/>
      <c r="AF1321" s="8"/>
      <c r="AG1321" s="8"/>
      <c r="AH1321" s="8"/>
      <c r="AI1321" s="8"/>
    </row>
    <row r="1322" spans="1:35" ht="15.75" customHeight="1" x14ac:dyDescent="0.25">
      <c r="A1322" s="8"/>
      <c r="B1322" s="8"/>
      <c r="C1322" s="8"/>
      <c r="D1322" s="8"/>
      <c r="E1322" s="50"/>
      <c r="F1322" s="51"/>
      <c r="G1322" s="51"/>
      <c r="H1322" s="52"/>
      <c r="I1322" s="52"/>
      <c r="J1322" s="52"/>
      <c r="K1322" s="52"/>
      <c r="L1322" s="52"/>
      <c r="M1322" s="48"/>
      <c r="N1322" s="52"/>
      <c r="O1322" s="22"/>
      <c r="P1322" s="22"/>
      <c r="Q1322" s="8"/>
      <c r="R1322" s="8"/>
      <c r="S1322" s="8"/>
      <c r="T1322" s="8"/>
      <c r="U1322" s="8"/>
      <c r="V1322" s="8"/>
      <c r="W1322" s="8"/>
      <c r="X1322" s="8"/>
      <c r="Y1322" s="8"/>
      <c r="Z1322" s="8"/>
      <c r="AA1322" s="8"/>
      <c r="AB1322" s="8"/>
      <c r="AC1322" s="8"/>
      <c r="AD1322" s="24"/>
      <c r="AE1322" s="24"/>
      <c r="AF1322" s="8"/>
      <c r="AG1322" s="8"/>
      <c r="AH1322" s="8"/>
      <c r="AI1322" s="8"/>
    </row>
    <row r="1323" spans="1:35" ht="15.75" customHeight="1" x14ac:dyDescent="0.25">
      <c r="A1323" s="8"/>
      <c r="B1323" s="8"/>
      <c r="C1323" s="8"/>
      <c r="D1323" s="8"/>
      <c r="E1323" s="50"/>
      <c r="F1323" s="51"/>
      <c r="G1323" s="51"/>
      <c r="H1323" s="52"/>
      <c r="I1323" s="52"/>
      <c r="J1323" s="52"/>
      <c r="K1323" s="52"/>
      <c r="L1323" s="52"/>
      <c r="M1323" s="48"/>
      <c r="N1323" s="52"/>
      <c r="O1323" s="22"/>
      <c r="P1323" s="22"/>
      <c r="Q1323" s="8"/>
      <c r="R1323" s="8"/>
      <c r="S1323" s="8"/>
      <c r="T1323" s="8"/>
      <c r="U1323" s="8"/>
      <c r="V1323" s="8"/>
      <c r="W1323" s="8"/>
      <c r="X1323" s="8"/>
      <c r="Y1323" s="8"/>
      <c r="Z1323" s="8"/>
      <c r="AA1323" s="8"/>
      <c r="AB1323" s="8"/>
      <c r="AC1323" s="8"/>
      <c r="AD1323" s="24"/>
      <c r="AE1323" s="24"/>
      <c r="AF1323" s="8"/>
      <c r="AG1323" s="8"/>
      <c r="AH1323" s="8"/>
      <c r="AI1323" s="8"/>
    </row>
    <row r="1324" spans="1:35" ht="15.75" customHeight="1" x14ac:dyDescent="0.25">
      <c r="A1324" s="8"/>
      <c r="B1324" s="8"/>
      <c r="C1324" s="8"/>
      <c r="D1324" s="8"/>
      <c r="E1324" s="50"/>
      <c r="F1324" s="51"/>
      <c r="G1324" s="51"/>
      <c r="H1324" s="52"/>
      <c r="I1324" s="52"/>
      <c r="J1324" s="52"/>
      <c r="K1324" s="52"/>
      <c r="L1324" s="52"/>
      <c r="M1324" s="52"/>
      <c r="N1324" s="52"/>
      <c r="O1324" s="22"/>
      <c r="P1324" s="22"/>
      <c r="Q1324" s="8"/>
      <c r="R1324" s="8"/>
      <c r="S1324" s="8"/>
      <c r="T1324" s="8"/>
      <c r="U1324" s="8"/>
      <c r="V1324" s="8"/>
      <c r="W1324" s="8"/>
      <c r="X1324" s="8"/>
      <c r="Y1324" s="8"/>
      <c r="Z1324" s="8"/>
      <c r="AA1324" s="8"/>
      <c r="AB1324" s="8"/>
      <c r="AC1324" s="8"/>
      <c r="AD1324" s="24"/>
      <c r="AE1324" s="24"/>
      <c r="AF1324" s="8"/>
      <c r="AG1324" s="8"/>
      <c r="AH1324" s="8"/>
      <c r="AI1324" s="8"/>
    </row>
    <row r="1325" spans="1:35" ht="15.75" customHeight="1" x14ac:dyDescent="0.25">
      <c r="A1325" s="8"/>
      <c r="B1325" s="8"/>
      <c r="C1325" s="8"/>
      <c r="D1325" s="8"/>
      <c r="E1325" s="50"/>
      <c r="F1325" s="51"/>
      <c r="G1325" s="51"/>
      <c r="H1325" s="52"/>
      <c r="I1325" s="52"/>
      <c r="J1325" s="52"/>
      <c r="K1325" s="52"/>
      <c r="L1325" s="52"/>
      <c r="M1325" s="52"/>
      <c r="N1325" s="52"/>
      <c r="O1325" s="22"/>
      <c r="P1325" s="22"/>
      <c r="Q1325" s="8"/>
      <c r="R1325" s="8"/>
      <c r="S1325" s="8"/>
      <c r="T1325" s="8"/>
      <c r="U1325" s="8"/>
      <c r="V1325" s="8"/>
      <c r="W1325" s="8"/>
      <c r="X1325" s="8"/>
      <c r="Y1325" s="8"/>
      <c r="Z1325" s="8"/>
      <c r="AA1325" s="8"/>
      <c r="AB1325" s="8"/>
      <c r="AC1325" s="8"/>
      <c r="AD1325" s="24"/>
      <c r="AE1325" s="24"/>
      <c r="AF1325" s="8"/>
      <c r="AG1325" s="8"/>
      <c r="AH1325" s="8"/>
      <c r="AI1325" s="8"/>
    </row>
    <row r="1326" spans="1:35" ht="15.75" customHeight="1" x14ac:dyDescent="0.25">
      <c r="A1326" s="8"/>
      <c r="B1326" s="8"/>
      <c r="C1326" s="8"/>
      <c r="D1326" s="8"/>
      <c r="E1326" s="50"/>
      <c r="F1326" s="51"/>
      <c r="G1326" s="51"/>
      <c r="H1326" s="52"/>
      <c r="I1326" s="52"/>
      <c r="J1326" s="52"/>
      <c r="K1326" s="52"/>
      <c r="L1326" s="52"/>
      <c r="M1326" s="48"/>
      <c r="N1326" s="52"/>
      <c r="O1326" s="22"/>
      <c r="P1326" s="22"/>
      <c r="Q1326" s="8"/>
      <c r="R1326" s="8"/>
      <c r="S1326" s="8"/>
      <c r="T1326" s="8"/>
      <c r="U1326" s="8"/>
      <c r="V1326" s="8"/>
      <c r="W1326" s="8"/>
      <c r="X1326" s="8"/>
      <c r="Y1326" s="8"/>
      <c r="Z1326" s="8"/>
      <c r="AA1326" s="8"/>
      <c r="AB1326" s="8"/>
      <c r="AC1326" s="8"/>
      <c r="AD1326" s="24"/>
      <c r="AE1326" s="24"/>
      <c r="AF1326" s="8"/>
      <c r="AG1326" s="8"/>
      <c r="AH1326" s="8"/>
      <c r="AI1326" s="8"/>
    </row>
    <row r="1327" spans="1:35" ht="15.75" customHeight="1" x14ac:dyDescent="0.25">
      <c r="A1327" s="8"/>
      <c r="B1327" s="8"/>
      <c r="C1327" s="8"/>
      <c r="D1327" s="8"/>
      <c r="E1327" s="50"/>
      <c r="F1327" s="51"/>
      <c r="G1327" s="51"/>
      <c r="H1327" s="52"/>
      <c r="I1327" s="52"/>
      <c r="J1327" s="52"/>
      <c r="K1327" s="52"/>
      <c r="L1327" s="52"/>
      <c r="M1327" s="52"/>
      <c r="N1327" s="52"/>
      <c r="O1327" s="22"/>
      <c r="P1327" s="22"/>
      <c r="Q1327" s="8"/>
      <c r="R1327" s="8"/>
      <c r="S1327" s="8"/>
      <c r="T1327" s="8"/>
      <c r="U1327" s="8"/>
      <c r="V1327" s="8"/>
      <c r="W1327" s="8"/>
      <c r="X1327" s="8"/>
      <c r="Y1327" s="8"/>
      <c r="Z1327" s="8"/>
      <c r="AA1327" s="8"/>
      <c r="AB1327" s="8"/>
      <c r="AC1327" s="8"/>
      <c r="AD1327" s="24"/>
      <c r="AE1327" s="24"/>
      <c r="AF1327" s="8"/>
      <c r="AG1327" s="8"/>
      <c r="AH1327" s="8"/>
      <c r="AI1327" s="8"/>
    </row>
    <row r="1328" spans="1:35" ht="15.75" customHeight="1" x14ac:dyDescent="0.25">
      <c r="A1328" s="8"/>
      <c r="B1328" s="8"/>
      <c r="C1328" s="8"/>
      <c r="D1328" s="8"/>
      <c r="E1328" s="50"/>
      <c r="F1328" s="51"/>
      <c r="G1328" s="51"/>
      <c r="H1328" s="52"/>
      <c r="I1328" s="52"/>
      <c r="J1328" s="52"/>
      <c r="K1328" s="52"/>
      <c r="L1328" s="52"/>
      <c r="M1328" s="48"/>
      <c r="N1328" s="52"/>
      <c r="O1328" s="22"/>
      <c r="P1328" s="22"/>
      <c r="Q1328" s="8"/>
      <c r="R1328" s="8"/>
      <c r="S1328" s="8"/>
      <c r="T1328" s="8"/>
      <c r="U1328" s="8"/>
      <c r="V1328" s="8"/>
      <c r="W1328" s="8"/>
      <c r="X1328" s="8"/>
      <c r="Y1328" s="8"/>
      <c r="Z1328" s="8"/>
      <c r="AA1328" s="8"/>
      <c r="AB1328" s="8"/>
      <c r="AC1328" s="8"/>
      <c r="AD1328" s="24"/>
      <c r="AE1328" s="24"/>
      <c r="AF1328" s="8"/>
      <c r="AG1328" s="8"/>
      <c r="AH1328" s="8"/>
      <c r="AI1328" s="8"/>
    </row>
    <row r="1329" spans="1:35" ht="15.75" customHeight="1" x14ac:dyDescent="0.25">
      <c r="A1329" s="8"/>
      <c r="B1329" s="8"/>
      <c r="C1329" s="8"/>
      <c r="D1329" s="8"/>
      <c r="E1329" s="50"/>
      <c r="F1329" s="51"/>
      <c r="G1329" s="51"/>
      <c r="H1329" s="52"/>
      <c r="I1329" s="52"/>
      <c r="J1329" s="52"/>
      <c r="K1329" s="52"/>
      <c r="L1329" s="52"/>
      <c r="M1329" s="48"/>
      <c r="N1329" s="52"/>
      <c r="O1329" s="22"/>
      <c r="P1329" s="22"/>
      <c r="Q1329" s="8"/>
      <c r="R1329" s="8"/>
      <c r="S1329" s="8"/>
      <c r="T1329" s="8"/>
      <c r="U1329" s="8"/>
      <c r="V1329" s="8"/>
      <c r="W1329" s="8"/>
      <c r="X1329" s="8"/>
      <c r="Y1329" s="8"/>
      <c r="Z1329" s="8"/>
      <c r="AA1329" s="8"/>
      <c r="AB1329" s="8"/>
      <c r="AC1329" s="8"/>
      <c r="AD1329" s="24"/>
      <c r="AE1329" s="24"/>
      <c r="AF1329" s="8"/>
      <c r="AG1329" s="8"/>
      <c r="AH1329" s="8"/>
      <c r="AI1329" s="8"/>
    </row>
    <row r="1330" spans="1:35" ht="15.75" customHeight="1" x14ac:dyDescent="0.25">
      <c r="A1330" s="8"/>
      <c r="B1330" s="8"/>
      <c r="C1330" s="8"/>
      <c r="D1330" s="8"/>
      <c r="E1330" s="50"/>
      <c r="F1330" s="51"/>
      <c r="G1330" s="51"/>
      <c r="H1330" s="52"/>
      <c r="I1330" s="52"/>
      <c r="J1330" s="52"/>
      <c r="K1330" s="52"/>
      <c r="L1330" s="52"/>
      <c r="M1330" s="52"/>
      <c r="N1330" s="52"/>
      <c r="O1330" s="22"/>
      <c r="P1330" s="22"/>
      <c r="Q1330" s="8"/>
      <c r="R1330" s="8"/>
      <c r="S1330" s="8"/>
      <c r="T1330" s="8"/>
      <c r="U1330" s="8"/>
      <c r="V1330" s="8"/>
      <c r="W1330" s="8"/>
      <c r="X1330" s="8"/>
      <c r="Y1330" s="8"/>
      <c r="Z1330" s="8"/>
      <c r="AA1330" s="8"/>
      <c r="AB1330" s="8"/>
      <c r="AC1330" s="8"/>
      <c r="AD1330" s="24"/>
      <c r="AE1330" s="24"/>
      <c r="AF1330" s="8"/>
      <c r="AG1330" s="8"/>
      <c r="AH1330" s="8"/>
      <c r="AI1330" s="8"/>
    </row>
    <row r="1331" spans="1:35" ht="15.75" customHeight="1" x14ac:dyDescent="0.25">
      <c r="A1331" s="8"/>
      <c r="B1331" s="8"/>
      <c r="C1331" s="8"/>
      <c r="D1331" s="8"/>
      <c r="E1331" s="50"/>
      <c r="F1331" s="51"/>
      <c r="G1331" s="51"/>
      <c r="H1331" s="52"/>
      <c r="I1331" s="52"/>
      <c r="J1331" s="52"/>
      <c r="K1331" s="52"/>
      <c r="L1331" s="52"/>
      <c r="M1331" s="48"/>
      <c r="N1331" s="52"/>
      <c r="O1331" s="22"/>
      <c r="P1331" s="22"/>
      <c r="Q1331" s="8"/>
      <c r="R1331" s="8"/>
      <c r="S1331" s="8"/>
      <c r="T1331" s="8"/>
      <c r="U1331" s="8"/>
      <c r="V1331" s="8"/>
      <c r="W1331" s="8"/>
      <c r="X1331" s="8"/>
      <c r="Y1331" s="8"/>
      <c r="Z1331" s="8"/>
      <c r="AA1331" s="8"/>
      <c r="AB1331" s="8"/>
      <c r="AC1331" s="8"/>
      <c r="AD1331" s="24"/>
      <c r="AE1331" s="24"/>
      <c r="AF1331" s="8"/>
      <c r="AG1331" s="8"/>
      <c r="AH1331" s="8"/>
      <c r="AI1331" s="8"/>
    </row>
    <row r="1332" spans="1:35" ht="15.75" customHeight="1" x14ac:dyDescent="0.25">
      <c r="A1332" s="8"/>
      <c r="B1332" s="8"/>
      <c r="C1332" s="8"/>
      <c r="D1332" s="8"/>
      <c r="E1332" s="50"/>
      <c r="F1332" s="51"/>
      <c r="G1332" s="51"/>
      <c r="H1332" s="52"/>
      <c r="I1332" s="52"/>
      <c r="J1332" s="52"/>
      <c r="K1332" s="52"/>
      <c r="L1332" s="52"/>
      <c r="M1332" s="48"/>
      <c r="N1332" s="52"/>
      <c r="O1332" s="22"/>
      <c r="P1332" s="22"/>
      <c r="Q1332" s="8"/>
      <c r="R1332" s="8"/>
      <c r="S1332" s="8"/>
      <c r="T1332" s="8"/>
      <c r="U1332" s="8"/>
      <c r="V1332" s="8"/>
      <c r="W1332" s="8"/>
      <c r="X1332" s="8"/>
      <c r="Y1332" s="8"/>
      <c r="Z1332" s="8"/>
      <c r="AA1332" s="8"/>
      <c r="AB1332" s="8"/>
      <c r="AC1332" s="8"/>
      <c r="AD1332" s="24"/>
      <c r="AE1332" s="24"/>
      <c r="AF1332" s="8"/>
      <c r="AG1332" s="8"/>
      <c r="AH1332" s="8"/>
      <c r="AI1332" s="8"/>
    </row>
    <row r="1333" spans="1:35" ht="15.75" customHeight="1" x14ac:dyDescent="0.25">
      <c r="A1333" s="8"/>
      <c r="B1333" s="8"/>
      <c r="C1333" s="8"/>
      <c r="D1333" s="8"/>
      <c r="E1333" s="50"/>
      <c r="F1333" s="51"/>
      <c r="G1333" s="51"/>
      <c r="H1333" s="52"/>
      <c r="I1333" s="52"/>
      <c r="J1333" s="52"/>
      <c r="K1333" s="52"/>
      <c r="L1333" s="52"/>
      <c r="M1333" s="52"/>
      <c r="N1333" s="52"/>
      <c r="O1333" s="22"/>
      <c r="P1333" s="22"/>
      <c r="Q1333" s="8"/>
      <c r="R1333" s="8"/>
      <c r="S1333" s="8"/>
      <c r="T1333" s="8"/>
      <c r="U1333" s="8"/>
      <c r="V1333" s="8"/>
      <c r="W1333" s="8"/>
      <c r="X1333" s="8"/>
      <c r="Y1333" s="8"/>
      <c r="Z1333" s="8"/>
      <c r="AA1333" s="8"/>
      <c r="AB1333" s="8"/>
      <c r="AC1333" s="8"/>
      <c r="AD1333" s="24"/>
      <c r="AE1333" s="24"/>
      <c r="AF1333" s="8"/>
      <c r="AG1333" s="8"/>
      <c r="AH1333" s="8"/>
      <c r="AI1333" s="8"/>
    </row>
    <row r="1334" spans="1:35" ht="15.75" customHeight="1" x14ac:dyDescent="0.25">
      <c r="A1334" s="8"/>
      <c r="B1334" s="8"/>
      <c r="C1334" s="8"/>
      <c r="D1334" s="8"/>
      <c r="E1334" s="50"/>
      <c r="F1334" s="51"/>
      <c r="G1334" s="51"/>
      <c r="H1334" s="52"/>
      <c r="I1334" s="52"/>
      <c r="J1334" s="52"/>
      <c r="K1334" s="52"/>
      <c r="L1334" s="52"/>
      <c r="M1334" s="48"/>
      <c r="N1334" s="52"/>
      <c r="O1334" s="22"/>
      <c r="P1334" s="22"/>
      <c r="Q1334" s="8"/>
      <c r="R1334" s="8"/>
      <c r="S1334" s="8"/>
      <c r="T1334" s="8"/>
      <c r="U1334" s="8"/>
      <c r="V1334" s="8"/>
      <c r="W1334" s="8"/>
      <c r="X1334" s="8"/>
      <c r="Y1334" s="8"/>
      <c r="Z1334" s="8"/>
      <c r="AA1334" s="8"/>
      <c r="AB1334" s="8"/>
      <c r="AC1334" s="8"/>
      <c r="AD1334" s="24"/>
      <c r="AE1334" s="24"/>
      <c r="AF1334" s="8"/>
      <c r="AG1334" s="8"/>
      <c r="AH1334" s="8"/>
      <c r="AI1334" s="8"/>
    </row>
    <row r="1335" spans="1:35" ht="15.75" customHeight="1" x14ac:dyDescent="0.25">
      <c r="A1335" s="8"/>
      <c r="B1335" s="8"/>
      <c r="C1335" s="8"/>
      <c r="D1335" s="8"/>
      <c r="E1335" s="50"/>
      <c r="F1335" s="51"/>
      <c r="G1335" s="51"/>
      <c r="H1335" s="52"/>
      <c r="I1335" s="52"/>
      <c r="J1335" s="52"/>
      <c r="K1335" s="52"/>
      <c r="L1335" s="52"/>
      <c r="M1335" s="48"/>
      <c r="N1335" s="52"/>
      <c r="O1335" s="22"/>
      <c r="P1335" s="22"/>
      <c r="Q1335" s="8"/>
      <c r="R1335" s="8"/>
      <c r="S1335" s="8"/>
      <c r="T1335" s="8"/>
      <c r="U1335" s="8"/>
      <c r="V1335" s="8"/>
      <c r="W1335" s="8"/>
      <c r="X1335" s="8"/>
      <c r="Y1335" s="8"/>
      <c r="Z1335" s="8"/>
      <c r="AA1335" s="8"/>
      <c r="AB1335" s="8"/>
      <c r="AC1335" s="8"/>
      <c r="AD1335" s="24"/>
      <c r="AE1335" s="24"/>
      <c r="AF1335" s="8"/>
      <c r="AG1335" s="8"/>
      <c r="AH1335" s="8"/>
      <c r="AI1335" s="8"/>
    </row>
    <row r="1336" spans="1:35" ht="15.75" customHeight="1" x14ac:dyDescent="0.25">
      <c r="A1336" s="8"/>
      <c r="B1336" s="8"/>
      <c r="C1336" s="8"/>
      <c r="D1336" s="8"/>
      <c r="E1336" s="50"/>
      <c r="F1336" s="51"/>
      <c r="G1336" s="51"/>
      <c r="H1336" s="52"/>
      <c r="I1336" s="52"/>
      <c r="J1336" s="52"/>
      <c r="K1336" s="52"/>
      <c r="L1336" s="52"/>
      <c r="M1336" s="48"/>
      <c r="N1336" s="52"/>
      <c r="O1336" s="22"/>
      <c r="P1336" s="22"/>
      <c r="Q1336" s="8"/>
      <c r="R1336" s="8"/>
      <c r="S1336" s="8"/>
      <c r="T1336" s="8"/>
      <c r="U1336" s="8"/>
      <c r="V1336" s="8"/>
      <c r="W1336" s="8"/>
      <c r="X1336" s="8"/>
      <c r="Y1336" s="8"/>
      <c r="Z1336" s="8"/>
      <c r="AA1336" s="8"/>
      <c r="AB1336" s="8"/>
      <c r="AC1336" s="8"/>
      <c r="AD1336" s="24"/>
      <c r="AE1336" s="24"/>
      <c r="AF1336" s="8"/>
      <c r="AG1336" s="8"/>
      <c r="AH1336" s="8"/>
      <c r="AI1336" s="8"/>
    </row>
    <row r="1337" spans="1:35" ht="15.75" customHeight="1" x14ac:dyDescent="0.25">
      <c r="A1337" s="8"/>
      <c r="B1337" s="8"/>
      <c r="C1337" s="8"/>
      <c r="D1337" s="8"/>
      <c r="E1337" s="50"/>
      <c r="F1337" s="51"/>
      <c r="G1337" s="51"/>
      <c r="H1337" s="52"/>
      <c r="I1337" s="52"/>
      <c r="J1337" s="52"/>
      <c r="K1337" s="52"/>
      <c r="L1337" s="52"/>
      <c r="M1337" s="48"/>
      <c r="N1337" s="52"/>
      <c r="O1337" s="22"/>
      <c r="P1337" s="22"/>
      <c r="Q1337" s="8"/>
      <c r="R1337" s="8"/>
      <c r="S1337" s="8"/>
      <c r="T1337" s="8"/>
      <c r="U1337" s="8"/>
      <c r="V1337" s="8"/>
      <c r="W1337" s="8"/>
      <c r="X1337" s="8"/>
      <c r="Y1337" s="8"/>
      <c r="Z1337" s="8"/>
      <c r="AA1337" s="8"/>
      <c r="AB1337" s="8"/>
      <c r="AC1337" s="8"/>
      <c r="AD1337" s="24"/>
      <c r="AE1337" s="24"/>
      <c r="AF1337" s="8"/>
      <c r="AG1337" s="8"/>
      <c r="AH1337" s="8"/>
      <c r="AI1337" s="8"/>
    </row>
    <row r="1338" spans="1:35" ht="15.75" customHeight="1" x14ac:dyDescent="0.25">
      <c r="A1338" s="8"/>
      <c r="B1338" s="8"/>
      <c r="C1338" s="8"/>
      <c r="D1338" s="8"/>
      <c r="E1338" s="50"/>
      <c r="F1338" s="51"/>
      <c r="G1338" s="51"/>
      <c r="H1338" s="52"/>
      <c r="I1338" s="52"/>
      <c r="J1338" s="52"/>
      <c r="K1338" s="52"/>
      <c r="L1338" s="52"/>
      <c r="M1338" s="48"/>
      <c r="N1338" s="52"/>
      <c r="O1338" s="22"/>
      <c r="P1338" s="22"/>
      <c r="Q1338" s="8"/>
      <c r="R1338" s="8"/>
      <c r="S1338" s="8"/>
      <c r="T1338" s="8"/>
      <c r="U1338" s="8"/>
      <c r="V1338" s="8"/>
      <c r="W1338" s="8"/>
      <c r="X1338" s="8"/>
      <c r="Y1338" s="8"/>
      <c r="Z1338" s="8"/>
      <c r="AA1338" s="8"/>
      <c r="AB1338" s="8"/>
      <c r="AC1338" s="8"/>
      <c r="AD1338" s="24"/>
      <c r="AE1338" s="24"/>
      <c r="AF1338" s="8"/>
      <c r="AG1338" s="8"/>
      <c r="AH1338" s="8"/>
      <c r="AI1338" s="8"/>
    </row>
    <row r="1339" spans="1:35" ht="15.75" customHeight="1" x14ac:dyDescent="0.25">
      <c r="A1339" s="8"/>
      <c r="B1339" s="8"/>
      <c r="C1339" s="8"/>
      <c r="D1339" s="8"/>
      <c r="E1339" s="50"/>
      <c r="F1339" s="51"/>
      <c r="G1339" s="51"/>
      <c r="H1339" s="52"/>
      <c r="I1339" s="52"/>
      <c r="J1339" s="52"/>
      <c r="K1339" s="52"/>
      <c r="L1339" s="52"/>
      <c r="M1339" s="48"/>
      <c r="N1339" s="52"/>
      <c r="O1339" s="22"/>
      <c r="P1339" s="22"/>
      <c r="Q1339" s="8"/>
      <c r="R1339" s="8"/>
      <c r="S1339" s="8"/>
      <c r="T1339" s="8"/>
      <c r="U1339" s="8"/>
      <c r="V1339" s="8"/>
      <c r="W1339" s="8"/>
      <c r="X1339" s="8"/>
      <c r="Y1339" s="8"/>
      <c r="Z1339" s="8"/>
      <c r="AA1339" s="8"/>
      <c r="AB1339" s="8"/>
      <c r="AC1339" s="8"/>
      <c r="AD1339" s="24"/>
      <c r="AE1339" s="24"/>
      <c r="AF1339" s="8"/>
      <c r="AG1339" s="8"/>
      <c r="AH1339" s="8"/>
      <c r="AI1339" s="8"/>
    </row>
    <row r="1340" spans="1:35" ht="15.75" customHeight="1" x14ac:dyDescent="0.25">
      <c r="A1340" s="8"/>
      <c r="B1340" s="8"/>
      <c r="C1340" s="8"/>
      <c r="D1340" s="8"/>
      <c r="E1340" s="50"/>
      <c r="F1340" s="51"/>
      <c r="G1340" s="51"/>
      <c r="H1340" s="52"/>
      <c r="I1340" s="52"/>
      <c r="J1340" s="52"/>
      <c r="K1340" s="52"/>
      <c r="L1340" s="52"/>
      <c r="M1340" s="48"/>
      <c r="N1340" s="52"/>
      <c r="O1340" s="22"/>
      <c r="P1340" s="22"/>
      <c r="Q1340" s="8"/>
      <c r="R1340" s="8"/>
      <c r="S1340" s="8"/>
      <c r="T1340" s="8"/>
      <c r="U1340" s="8"/>
      <c r="V1340" s="8"/>
      <c r="W1340" s="8"/>
      <c r="X1340" s="8"/>
      <c r="Y1340" s="8"/>
      <c r="Z1340" s="8"/>
      <c r="AA1340" s="8"/>
      <c r="AB1340" s="8"/>
      <c r="AC1340" s="8"/>
      <c r="AD1340" s="24"/>
      <c r="AE1340" s="24"/>
      <c r="AF1340" s="8"/>
      <c r="AG1340" s="8"/>
      <c r="AH1340" s="8"/>
      <c r="AI1340" s="8"/>
    </row>
    <row r="1341" spans="1:35" ht="15.75" customHeight="1" x14ac:dyDescent="0.25">
      <c r="A1341" s="8"/>
      <c r="B1341" s="8"/>
      <c r="C1341" s="8"/>
      <c r="D1341" s="8"/>
      <c r="E1341" s="50"/>
      <c r="F1341" s="51"/>
      <c r="G1341" s="51"/>
      <c r="H1341" s="52"/>
      <c r="I1341" s="52"/>
      <c r="J1341" s="52"/>
      <c r="K1341" s="52"/>
      <c r="L1341" s="52"/>
      <c r="M1341" s="48"/>
      <c r="N1341" s="52"/>
      <c r="O1341" s="22"/>
      <c r="P1341" s="22"/>
      <c r="Q1341" s="8"/>
      <c r="R1341" s="8"/>
      <c r="S1341" s="8"/>
      <c r="T1341" s="8"/>
      <c r="U1341" s="8"/>
      <c r="V1341" s="8"/>
      <c r="W1341" s="8"/>
      <c r="X1341" s="8"/>
      <c r="Y1341" s="8"/>
      <c r="Z1341" s="8"/>
      <c r="AA1341" s="8"/>
      <c r="AB1341" s="8"/>
      <c r="AC1341" s="8"/>
      <c r="AD1341" s="24"/>
      <c r="AE1341" s="24"/>
      <c r="AF1341" s="8"/>
      <c r="AG1341" s="8"/>
      <c r="AH1341" s="8"/>
      <c r="AI1341" s="8"/>
    </row>
    <row r="1342" spans="1:35" ht="15.75" customHeight="1" x14ac:dyDescent="0.25">
      <c r="A1342" s="8"/>
      <c r="B1342" s="8"/>
      <c r="C1342" s="8"/>
      <c r="D1342" s="8"/>
      <c r="E1342" s="50"/>
      <c r="F1342" s="51"/>
      <c r="G1342" s="51"/>
      <c r="H1342" s="52"/>
      <c r="I1342" s="52"/>
      <c r="J1342" s="52"/>
      <c r="K1342" s="52"/>
      <c r="L1342" s="52"/>
      <c r="M1342" s="48"/>
      <c r="N1342" s="52"/>
      <c r="O1342" s="22"/>
      <c r="P1342" s="22"/>
      <c r="Q1342" s="8"/>
      <c r="R1342" s="8"/>
      <c r="S1342" s="8"/>
      <c r="T1342" s="8"/>
      <c r="U1342" s="8"/>
      <c r="V1342" s="8"/>
      <c r="W1342" s="8"/>
      <c r="X1342" s="8"/>
      <c r="Y1342" s="8"/>
      <c r="Z1342" s="8"/>
      <c r="AA1342" s="8"/>
      <c r="AB1342" s="8"/>
      <c r="AC1342" s="8"/>
      <c r="AD1342" s="24"/>
      <c r="AE1342" s="24"/>
      <c r="AF1342" s="8"/>
      <c r="AG1342" s="8"/>
      <c r="AH1342" s="8"/>
      <c r="AI1342" s="8"/>
    </row>
    <row r="1343" spans="1:35" ht="15.75" customHeight="1" x14ac:dyDescent="0.25">
      <c r="A1343" s="8"/>
      <c r="B1343" s="8"/>
      <c r="C1343" s="8"/>
      <c r="D1343" s="8"/>
      <c r="E1343" s="50"/>
      <c r="F1343" s="51"/>
      <c r="G1343" s="51"/>
      <c r="H1343" s="52"/>
      <c r="I1343" s="52"/>
      <c r="J1343" s="52"/>
      <c r="K1343" s="52"/>
      <c r="L1343" s="52"/>
      <c r="M1343" s="48"/>
      <c r="N1343" s="52"/>
      <c r="O1343" s="22"/>
      <c r="P1343" s="22"/>
      <c r="Q1343" s="8"/>
      <c r="R1343" s="8"/>
      <c r="S1343" s="8"/>
      <c r="T1343" s="8"/>
      <c r="U1343" s="8"/>
      <c r="V1343" s="8"/>
      <c r="W1343" s="8"/>
      <c r="X1343" s="8"/>
      <c r="Y1343" s="8"/>
      <c r="Z1343" s="8"/>
      <c r="AA1343" s="8"/>
      <c r="AB1343" s="8"/>
      <c r="AC1343" s="8"/>
      <c r="AD1343" s="24"/>
      <c r="AE1343" s="24"/>
      <c r="AF1343" s="8"/>
      <c r="AG1343" s="8"/>
      <c r="AH1343" s="8"/>
      <c r="AI1343" s="8"/>
    </row>
    <row r="1344" spans="1:35" ht="15.75" customHeight="1" x14ac:dyDescent="0.25">
      <c r="A1344" s="8"/>
      <c r="B1344" s="8"/>
      <c r="C1344" s="8"/>
      <c r="D1344" s="8"/>
      <c r="E1344" s="50"/>
      <c r="F1344" s="51"/>
      <c r="G1344" s="51"/>
      <c r="H1344" s="52"/>
      <c r="I1344" s="52"/>
      <c r="J1344" s="52"/>
      <c r="K1344" s="52"/>
      <c r="L1344" s="52"/>
      <c r="M1344" s="49"/>
      <c r="N1344" s="52"/>
      <c r="O1344" s="22"/>
      <c r="P1344" s="22"/>
      <c r="Q1344" s="8"/>
      <c r="R1344" s="8"/>
      <c r="S1344" s="8"/>
      <c r="T1344" s="8"/>
      <c r="U1344" s="8"/>
      <c r="V1344" s="8"/>
      <c r="W1344" s="8"/>
      <c r="X1344" s="8"/>
      <c r="Y1344" s="8"/>
      <c r="Z1344" s="8"/>
      <c r="AA1344" s="8"/>
      <c r="AB1344" s="8"/>
      <c r="AC1344" s="8"/>
      <c r="AD1344" s="24"/>
      <c r="AE1344" s="24"/>
      <c r="AF1344" s="8"/>
      <c r="AG1344" s="8"/>
      <c r="AH1344" s="8"/>
      <c r="AI1344" s="8"/>
    </row>
    <row r="1345" spans="1:35" ht="15.75" customHeight="1" x14ac:dyDescent="0.25">
      <c r="A1345" s="8"/>
      <c r="B1345" s="8"/>
      <c r="C1345" s="8"/>
      <c r="D1345" s="8"/>
      <c r="E1345" s="50"/>
      <c r="F1345" s="51"/>
      <c r="G1345" s="51"/>
      <c r="H1345" s="52"/>
      <c r="I1345" s="52"/>
      <c r="J1345" s="52"/>
      <c r="K1345" s="52"/>
      <c r="L1345" s="52"/>
      <c r="M1345" s="48"/>
      <c r="N1345" s="52"/>
      <c r="O1345" s="22"/>
      <c r="P1345" s="22"/>
      <c r="Q1345" s="8"/>
      <c r="R1345" s="8"/>
      <c r="S1345" s="8"/>
      <c r="T1345" s="8"/>
      <c r="U1345" s="8"/>
      <c r="V1345" s="8"/>
      <c r="W1345" s="8"/>
      <c r="X1345" s="8"/>
      <c r="Y1345" s="8"/>
      <c r="Z1345" s="8"/>
      <c r="AA1345" s="8"/>
      <c r="AB1345" s="8"/>
      <c r="AC1345" s="8"/>
      <c r="AD1345" s="24"/>
      <c r="AE1345" s="24"/>
      <c r="AF1345" s="8"/>
      <c r="AG1345" s="8"/>
      <c r="AH1345" s="8"/>
      <c r="AI1345" s="8"/>
    </row>
    <row r="1346" spans="1:35" ht="15.75" customHeight="1" x14ac:dyDescent="0.25">
      <c r="A1346" s="8"/>
      <c r="B1346" s="8"/>
      <c r="C1346" s="8"/>
      <c r="D1346" s="8"/>
      <c r="E1346" s="50"/>
      <c r="F1346" s="51"/>
      <c r="G1346" s="51"/>
      <c r="H1346" s="52"/>
      <c r="I1346" s="52"/>
      <c r="J1346" s="52"/>
      <c r="K1346" s="52"/>
      <c r="L1346" s="52"/>
      <c r="M1346" s="49"/>
      <c r="N1346" s="52"/>
      <c r="O1346" s="22"/>
      <c r="P1346" s="22"/>
      <c r="Q1346" s="8"/>
      <c r="R1346" s="8"/>
      <c r="S1346" s="8"/>
      <c r="T1346" s="8"/>
      <c r="U1346" s="8"/>
      <c r="V1346" s="8"/>
      <c r="W1346" s="8"/>
      <c r="X1346" s="8"/>
      <c r="Y1346" s="8"/>
      <c r="Z1346" s="8"/>
      <c r="AA1346" s="8"/>
      <c r="AB1346" s="8"/>
      <c r="AC1346" s="8"/>
      <c r="AD1346" s="24"/>
      <c r="AE1346" s="24"/>
      <c r="AF1346" s="8"/>
      <c r="AG1346" s="8"/>
      <c r="AH1346" s="8"/>
      <c r="AI1346" s="8"/>
    </row>
    <row r="1347" spans="1:35" ht="15.75" customHeight="1" x14ac:dyDescent="0.25">
      <c r="A1347" s="8"/>
      <c r="B1347" s="8"/>
      <c r="C1347" s="8"/>
      <c r="D1347" s="8"/>
      <c r="E1347" s="50"/>
      <c r="F1347" s="51"/>
      <c r="G1347" s="51"/>
      <c r="H1347" s="52"/>
      <c r="I1347" s="52"/>
      <c r="J1347" s="52"/>
      <c r="K1347" s="52"/>
      <c r="L1347" s="52"/>
      <c r="M1347" s="52"/>
      <c r="N1347" s="52"/>
      <c r="O1347" s="22"/>
      <c r="P1347" s="22"/>
      <c r="Q1347" s="8"/>
      <c r="R1347" s="8"/>
      <c r="S1347" s="8"/>
      <c r="T1347" s="8"/>
      <c r="U1347" s="8"/>
      <c r="V1347" s="8"/>
      <c r="W1347" s="8"/>
      <c r="X1347" s="8"/>
      <c r="Y1347" s="8"/>
      <c r="Z1347" s="8"/>
      <c r="AA1347" s="8"/>
      <c r="AB1347" s="8"/>
      <c r="AC1347" s="8"/>
      <c r="AD1347" s="24"/>
      <c r="AE1347" s="24"/>
      <c r="AF1347" s="8"/>
      <c r="AG1347" s="8"/>
      <c r="AH1347" s="8"/>
      <c r="AI1347" s="8"/>
    </row>
    <row r="1348" spans="1:35" ht="15.75" customHeight="1" x14ac:dyDescent="0.25">
      <c r="A1348" s="8"/>
      <c r="B1348" s="8"/>
      <c r="C1348" s="8"/>
      <c r="D1348" s="8"/>
      <c r="E1348" s="50"/>
      <c r="F1348" s="51"/>
      <c r="G1348" s="51"/>
      <c r="H1348" s="52"/>
      <c r="I1348" s="52"/>
      <c r="J1348" s="52"/>
      <c r="K1348" s="52"/>
      <c r="L1348" s="52"/>
      <c r="M1348" s="48"/>
      <c r="N1348" s="52"/>
      <c r="O1348" s="22"/>
      <c r="P1348" s="22"/>
      <c r="Q1348" s="8"/>
      <c r="R1348" s="8"/>
      <c r="S1348" s="8"/>
      <c r="T1348" s="8"/>
      <c r="U1348" s="8"/>
      <c r="V1348" s="8"/>
      <c r="W1348" s="8"/>
      <c r="X1348" s="8"/>
      <c r="Y1348" s="8"/>
      <c r="Z1348" s="8"/>
      <c r="AA1348" s="8"/>
      <c r="AB1348" s="8"/>
      <c r="AC1348" s="8"/>
      <c r="AD1348" s="24"/>
      <c r="AE1348" s="24"/>
      <c r="AF1348" s="8"/>
      <c r="AG1348" s="8"/>
      <c r="AH1348" s="8"/>
      <c r="AI1348" s="8"/>
    </row>
    <row r="1349" spans="1:35" ht="15.75" customHeight="1" x14ac:dyDescent="0.25">
      <c r="A1349" s="8"/>
      <c r="B1349" s="8"/>
      <c r="C1349" s="8"/>
      <c r="D1349" s="8"/>
      <c r="E1349" s="50"/>
      <c r="F1349" s="51"/>
      <c r="G1349" s="51"/>
      <c r="H1349" s="52"/>
      <c r="I1349" s="52"/>
      <c r="J1349" s="52"/>
      <c r="K1349" s="52"/>
      <c r="L1349" s="52"/>
      <c r="M1349" s="48"/>
      <c r="N1349" s="52"/>
      <c r="O1349" s="22"/>
      <c r="P1349" s="22"/>
      <c r="Q1349" s="8"/>
      <c r="R1349" s="8"/>
      <c r="S1349" s="8"/>
      <c r="T1349" s="8"/>
      <c r="U1349" s="8"/>
      <c r="V1349" s="8"/>
      <c r="W1349" s="8"/>
      <c r="X1349" s="8"/>
      <c r="Y1349" s="8"/>
      <c r="Z1349" s="8"/>
      <c r="AA1349" s="8"/>
      <c r="AB1349" s="8"/>
      <c r="AC1349" s="8"/>
      <c r="AD1349" s="24"/>
      <c r="AE1349" s="24"/>
      <c r="AF1349" s="8"/>
      <c r="AG1349" s="8"/>
      <c r="AH1349" s="8"/>
      <c r="AI1349" s="8"/>
    </row>
    <row r="1350" spans="1:35" ht="15.75" customHeight="1" x14ac:dyDescent="0.25">
      <c r="A1350" s="8"/>
      <c r="B1350" s="8"/>
      <c r="C1350" s="8"/>
      <c r="D1350" s="8"/>
      <c r="E1350" s="50"/>
      <c r="F1350" s="51"/>
      <c r="G1350" s="51"/>
      <c r="H1350" s="52"/>
      <c r="I1350" s="52"/>
      <c r="J1350" s="52"/>
      <c r="K1350" s="52"/>
      <c r="L1350" s="52"/>
      <c r="M1350" s="48"/>
      <c r="N1350" s="52"/>
      <c r="O1350" s="22"/>
      <c r="P1350" s="22"/>
      <c r="Q1350" s="8"/>
      <c r="R1350" s="8"/>
      <c r="S1350" s="8"/>
      <c r="T1350" s="8"/>
      <c r="U1350" s="8"/>
      <c r="V1350" s="8"/>
      <c r="W1350" s="8"/>
      <c r="X1350" s="8"/>
      <c r="Y1350" s="8"/>
      <c r="Z1350" s="8"/>
      <c r="AA1350" s="8"/>
      <c r="AB1350" s="8"/>
      <c r="AC1350" s="8"/>
      <c r="AD1350" s="24"/>
      <c r="AE1350" s="24"/>
      <c r="AF1350" s="8"/>
      <c r="AG1350" s="8"/>
      <c r="AH1350" s="8"/>
      <c r="AI1350" s="8"/>
    </row>
    <row r="1351" spans="1:35" ht="15.75" customHeight="1" x14ac:dyDescent="0.25">
      <c r="A1351" s="8"/>
      <c r="B1351" s="8"/>
      <c r="C1351" s="8"/>
      <c r="D1351" s="8"/>
      <c r="E1351" s="50"/>
      <c r="F1351" s="51"/>
      <c r="G1351" s="51"/>
      <c r="H1351" s="52"/>
      <c r="I1351" s="52"/>
      <c r="J1351" s="52"/>
      <c r="K1351" s="52"/>
      <c r="L1351" s="52"/>
      <c r="M1351" s="48"/>
      <c r="N1351" s="52"/>
      <c r="O1351" s="22"/>
      <c r="P1351" s="22"/>
      <c r="Q1351" s="8"/>
      <c r="R1351" s="8"/>
      <c r="S1351" s="8"/>
      <c r="T1351" s="8"/>
      <c r="U1351" s="8"/>
      <c r="V1351" s="8"/>
      <c r="W1351" s="8"/>
      <c r="X1351" s="8"/>
      <c r="Y1351" s="8"/>
      <c r="Z1351" s="8"/>
      <c r="AA1351" s="8"/>
      <c r="AB1351" s="8"/>
      <c r="AC1351" s="8"/>
      <c r="AD1351" s="24"/>
      <c r="AE1351" s="24"/>
      <c r="AF1351" s="8"/>
      <c r="AG1351" s="8"/>
      <c r="AH1351" s="8"/>
      <c r="AI1351" s="8"/>
    </row>
    <row r="1352" spans="1:35" ht="15.75" customHeight="1" x14ac:dyDescent="0.25">
      <c r="A1352" s="8"/>
      <c r="B1352" s="8"/>
      <c r="C1352" s="8"/>
      <c r="D1352" s="8"/>
      <c r="E1352" s="50"/>
      <c r="F1352" s="51"/>
      <c r="G1352" s="51"/>
      <c r="H1352" s="52"/>
      <c r="I1352" s="52"/>
      <c r="J1352" s="52"/>
      <c r="K1352" s="52"/>
      <c r="L1352" s="52"/>
      <c r="M1352" s="48"/>
      <c r="N1352" s="52"/>
      <c r="O1352" s="22"/>
      <c r="P1352" s="22"/>
      <c r="Q1352" s="8"/>
      <c r="R1352" s="8"/>
      <c r="S1352" s="8"/>
      <c r="T1352" s="8"/>
      <c r="U1352" s="8"/>
      <c r="V1352" s="8"/>
      <c r="W1352" s="8"/>
      <c r="X1352" s="8"/>
      <c r="Y1352" s="8"/>
      <c r="Z1352" s="8"/>
      <c r="AA1352" s="8"/>
      <c r="AB1352" s="8"/>
      <c r="AC1352" s="8"/>
      <c r="AD1352" s="24"/>
      <c r="AE1352" s="24"/>
      <c r="AF1352" s="8"/>
      <c r="AG1352" s="8"/>
      <c r="AH1352" s="8"/>
      <c r="AI1352" s="8"/>
    </row>
    <row r="1353" spans="1:35" ht="15.75" customHeight="1" x14ac:dyDescent="0.25">
      <c r="A1353" s="8"/>
      <c r="B1353" s="8"/>
      <c r="C1353" s="8"/>
      <c r="D1353" s="8"/>
      <c r="E1353" s="50"/>
      <c r="F1353" s="51"/>
      <c r="G1353" s="51"/>
      <c r="H1353" s="52"/>
      <c r="I1353" s="52"/>
      <c r="J1353" s="52"/>
      <c r="K1353" s="52"/>
      <c r="L1353" s="52"/>
      <c r="M1353" s="48"/>
      <c r="N1353" s="52"/>
      <c r="O1353" s="22"/>
      <c r="P1353" s="22"/>
      <c r="Q1353" s="8"/>
      <c r="R1353" s="8"/>
      <c r="S1353" s="8"/>
      <c r="T1353" s="8"/>
      <c r="U1353" s="8"/>
      <c r="V1353" s="8"/>
      <c r="W1353" s="8"/>
      <c r="X1353" s="8"/>
      <c r="Y1353" s="8"/>
      <c r="Z1353" s="8"/>
      <c r="AA1353" s="8"/>
      <c r="AB1353" s="8"/>
      <c r="AC1353" s="8"/>
      <c r="AD1353" s="24"/>
      <c r="AE1353" s="24"/>
      <c r="AF1353" s="8"/>
      <c r="AG1353" s="8"/>
      <c r="AH1353" s="8"/>
      <c r="AI1353" s="8"/>
    </row>
    <row r="1354" spans="1:35" ht="15.75" customHeight="1" x14ac:dyDescent="0.25">
      <c r="A1354" s="8"/>
      <c r="B1354" s="8"/>
      <c r="C1354" s="8"/>
      <c r="D1354" s="8"/>
      <c r="E1354" s="50"/>
      <c r="F1354" s="51"/>
      <c r="G1354" s="51"/>
      <c r="H1354" s="52"/>
      <c r="I1354" s="52"/>
      <c r="J1354" s="52"/>
      <c r="K1354" s="52"/>
      <c r="L1354" s="52"/>
      <c r="M1354" s="52"/>
      <c r="N1354" s="52"/>
      <c r="O1354" s="22"/>
      <c r="P1354" s="22"/>
      <c r="Q1354" s="8"/>
      <c r="R1354" s="8"/>
      <c r="S1354" s="8"/>
      <c r="T1354" s="8"/>
      <c r="U1354" s="8"/>
      <c r="V1354" s="8"/>
      <c r="W1354" s="8"/>
      <c r="X1354" s="8"/>
      <c r="Y1354" s="8"/>
      <c r="Z1354" s="8"/>
      <c r="AA1354" s="8"/>
      <c r="AB1354" s="8"/>
      <c r="AC1354" s="8"/>
      <c r="AD1354" s="24"/>
      <c r="AE1354" s="24"/>
      <c r="AF1354" s="8"/>
      <c r="AG1354" s="8"/>
      <c r="AH1354" s="8"/>
      <c r="AI1354" s="8"/>
    </row>
    <row r="1355" spans="1:35" ht="15.75" customHeight="1" x14ac:dyDescent="0.25">
      <c r="A1355" s="8"/>
      <c r="B1355" s="8"/>
      <c r="C1355" s="8"/>
      <c r="D1355" s="8"/>
      <c r="E1355" s="50"/>
      <c r="F1355" s="51"/>
      <c r="G1355" s="51"/>
      <c r="H1355" s="52"/>
      <c r="I1355" s="52"/>
      <c r="J1355" s="52"/>
      <c r="K1355" s="52"/>
      <c r="L1355" s="52"/>
      <c r="M1355" s="48"/>
      <c r="N1355" s="52"/>
      <c r="O1355" s="22"/>
      <c r="P1355" s="22"/>
      <c r="Q1355" s="8"/>
      <c r="R1355" s="8"/>
      <c r="S1355" s="8"/>
      <c r="T1355" s="8"/>
      <c r="U1355" s="8"/>
      <c r="V1355" s="8"/>
      <c r="W1355" s="8"/>
      <c r="X1355" s="8"/>
      <c r="Y1355" s="8"/>
      <c r="Z1355" s="8"/>
      <c r="AA1355" s="8"/>
      <c r="AB1355" s="8"/>
      <c r="AC1355" s="8"/>
      <c r="AD1355" s="24"/>
      <c r="AE1355" s="24"/>
      <c r="AF1355" s="8"/>
      <c r="AG1355" s="8"/>
      <c r="AH1355" s="8"/>
      <c r="AI1355" s="8"/>
    </row>
    <row r="1356" spans="1:35" ht="15.75" customHeight="1" x14ac:dyDescent="0.25">
      <c r="A1356" s="8"/>
      <c r="B1356" s="8"/>
      <c r="C1356" s="8"/>
      <c r="D1356" s="8"/>
      <c r="E1356" s="50"/>
      <c r="F1356" s="51"/>
      <c r="G1356" s="51"/>
      <c r="H1356" s="52"/>
      <c r="I1356" s="52"/>
      <c r="J1356" s="52"/>
      <c r="K1356" s="52"/>
      <c r="L1356" s="52"/>
      <c r="M1356" s="48"/>
      <c r="N1356" s="52"/>
      <c r="O1356" s="22"/>
      <c r="P1356" s="22"/>
      <c r="Q1356" s="8"/>
      <c r="R1356" s="8"/>
      <c r="S1356" s="8"/>
      <c r="T1356" s="8"/>
      <c r="U1356" s="8"/>
      <c r="V1356" s="8"/>
      <c r="W1356" s="8"/>
      <c r="X1356" s="8"/>
      <c r="Y1356" s="8"/>
      <c r="Z1356" s="8"/>
      <c r="AA1356" s="8"/>
      <c r="AB1356" s="8"/>
      <c r="AC1356" s="8"/>
      <c r="AD1356" s="24"/>
      <c r="AE1356" s="24"/>
      <c r="AF1356" s="8"/>
      <c r="AG1356" s="8"/>
      <c r="AH1356" s="8"/>
      <c r="AI1356" s="8"/>
    </row>
    <row r="1357" spans="1:35" ht="15.75" customHeight="1" x14ac:dyDescent="0.25">
      <c r="A1357" s="8"/>
      <c r="B1357" s="8"/>
      <c r="C1357" s="8"/>
      <c r="D1357" s="8"/>
      <c r="E1357" s="50"/>
      <c r="F1357" s="51"/>
      <c r="G1357" s="51"/>
      <c r="H1357" s="52"/>
      <c r="I1357" s="52"/>
      <c r="J1357" s="52"/>
      <c r="K1357" s="52"/>
      <c r="L1357" s="52"/>
      <c r="M1357" s="48"/>
      <c r="N1357" s="52"/>
      <c r="O1357" s="22"/>
      <c r="P1357" s="22"/>
      <c r="Q1357" s="8"/>
      <c r="R1357" s="8"/>
      <c r="S1357" s="8"/>
      <c r="T1357" s="8"/>
      <c r="U1357" s="8"/>
      <c r="V1357" s="8"/>
      <c r="W1357" s="8"/>
      <c r="X1357" s="8"/>
      <c r="Y1357" s="8"/>
      <c r="Z1357" s="8"/>
      <c r="AA1357" s="8"/>
      <c r="AB1357" s="8"/>
      <c r="AC1357" s="8"/>
      <c r="AD1357" s="24"/>
      <c r="AE1357" s="24"/>
      <c r="AF1357" s="8"/>
      <c r="AG1357" s="8"/>
      <c r="AH1357" s="8"/>
      <c r="AI1357" s="8"/>
    </row>
    <row r="1358" spans="1:35" ht="15.75" customHeight="1" x14ac:dyDescent="0.25">
      <c r="A1358" s="8"/>
      <c r="B1358" s="8"/>
      <c r="C1358" s="8"/>
      <c r="D1358" s="8"/>
      <c r="E1358" s="50"/>
      <c r="F1358" s="51"/>
      <c r="G1358" s="51"/>
      <c r="H1358" s="52"/>
      <c r="I1358" s="52"/>
      <c r="J1358" s="52"/>
      <c r="K1358" s="52"/>
      <c r="L1358" s="52"/>
      <c r="M1358" s="48"/>
      <c r="N1358" s="52"/>
      <c r="O1358" s="22"/>
      <c r="P1358" s="22"/>
      <c r="Q1358" s="8"/>
      <c r="R1358" s="8"/>
      <c r="S1358" s="8"/>
      <c r="T1358" s="8"/>
      <c r="U1358" s="8"/>
      <c r="V1358" s="8"/>
      <c r="W1358" s="8"/>
      <c r="X1358" s="8"/>
      <c r="Y1358" s="8"/>
      <c r="Z1358" s="8"/>
      <c r="AA1358" s="8"/>
      <c r="AB1358" s="8"/>
      <c r="AC1358" s="8"/>
      <c r="AD1358" s="24"/>
      <c r="AE1358" s="24"/>
      <c r="AF1358" s="8"/>
      <c r="AG1358" s="8"/>
      <c r="AH1358" s="8"/>
      <c r="AI1358" s="8"/>
    </row>
    <row r="1359" spans="1:35" ht="15.75" customHeight="1" x14ac:dyDescent="0.25">
      <c r="A1359" s="8"/>
      <c r="B1359" s="8"/>
      <c r="C1359" s="8"/>
      <c r="D1359" s="8"/>
      <c r="E1359" s="50"/>
      <c r="F1359" s="51"/>
      <c r="G1359" s="51"/>
      <c r="H1359" s="52"/>
      <c r="I1359" s="52"/>
      <c r="J1359" s="52"/>
      <c r="K1359" s="52"/>
      <c r="L1359" s="52"/>
      <c r="M1359" s="48"/>
      <c r="N1359" s="52"/>
      <c r="O1359" s="22"/>
      <c r="P1359" s="22"/>
      <c r="Q1359" s="8"/>
      <c r="R1359" s="8"/>
      <c r="S1359" s="8"/>
      <c r="T1359" s="8"/>
      <c r="U1359" s="8"/>
      <c r="V1359" s="8"/>
      <c r="W1359" s="8"/>
      <c r="X1359" s="8"/>
      <c r="Y1359" s="8"/>
      <c r="Z1359" s="8"/>
      <c r="AA1359" s="8"/>
      <c r="AB1359" s="8"/>
      <c r="AC1359" s="8"/>
      <c r="AD1359" s="24"/>
      <c r="AE1359" s="24"/>
      <c r="AF1359" s="8"/>
      <c r="AG1359" s="8"/>
      <c r="AH1359" s="8"/>
      <c r="AI1359" s="8"/>
    </row>
    <row r="1360" spans="1:35" ht="15.75" customHeight="1" x14ac:dyDescent="0.25">
      <c r="A1360" s="8"/>
      <c r="B1360" s="8"/>
      <c r="C1360" s="8"/>
      <c r="D1360" s="8"/>
      <c r="E1360" s="50"/>
      <c r="F1360" s="51"/>
      <c r="G1360" s="51"/>
      <c r="H1360" s="52"/>
      <c r="I1360" s="52"/>
      <c r="J1360" s="52"/>
      <c r="K1360" s="52"/>
      <c r="L1360" s="52"/>
      <c r="M1360" s="52"/>
      <c r="N1360" s="52"/>
      <c r="O1360" s="22"/>
      <c r="P1360" s="22"/>
      <c r="Q1360" s="8"/>
      <c r="R1360" s="8"/>
      <c r="S1360" s="8"/>
      <c r="T1360" s="8"/>
      <c r="U1360" s="8"/>
      <c r="V1360" s="8"/>
      <c r="W1360" s="8"/>
      <c r="X1360" s="8"/>
      <c r="Y1360" s="8"/>
      <c r="Z1360" s="8"/>
      <c r="AA1360" s="8"/>
      <c r="AB1360" s="8"/>
      <c r="AC1360" s="8"/>
      <c r="AD1360" s="24"/>
      <c r="AE1360" s="24"/>
      <c r="AF1360" s="8"/>
      <c r="AG1360" s="8"/>
      <c r="AH1360" s="8"/>
      <c r="AI1360" s="8"/>
    </row>
    <row r="1361" spans="1:35" ht="15.75" customHeight="1" x14ac:dyDescent="0.25">
      <c r="A1361" s="8"/>
      <c r="B1361" s="8"/>
      <c r="C1361" s="8"/>
      <c r="D1361" s="8"/>
      <c r="E1361" s="50"/>
      <c r="F1361" s="51"/>
      <c r="G1361" s="51"/>
      <c r="H1361" s="52"/>
      <c r="I1361" s="52"/>
      <c r="J1361" s="52"/>
      <c r="K1361" s="52"/>
      <c r="L1361" s="52"/>
      <c r="M1361" s="48"/>
      <c r="N1361" s="52"/>
      <c r="O1361" s="22"/>
      <c r="P1361" s="22"/>
      <c r="Q1361" s="8"/>
      <c r="R1361" s="8"/>
      <c r="S1361" s="8"/>
      <c r="T1361" s="8"/>
      <c r="U1361" s="8"/>
      <c r="V1361" s="8"/>
      <c r="W1361" s="8"/>
      <c r="X1361" s="8"/>
      <c r="Y1361" s="8"/>
      <c r="Z1361" s="8"/>
      <c r="AA1361" s="8"/>
      <c r="AB1361" s="8"/>
      <c r="AC1361" s="8"/>
      <c r="AD1361" s="24"/>
      <c r="AE1361" s="24"/>
      <c r="AF1361" s="8"/>
      <c r="AG1361" s="8"/>
      <c r="AH1361" s="8"/>
      <c r="AI1361" s="8"/>
    </row>
    <row r="1362" spans="1:35" ht="15.75" customHeight="1" x14ac:dyDescent="0.25">
      <c r="A1362" s="8"/>
      <c r="B1362" s="8"/>
      <c r="C1362" s="8"/>
      <c r="D1362" s="8"/>
      <c r="E1362" s="50"/>
      <c r="F1362" s="51"/>
      <c r="G1362" s="51"/>
      <c r="H1362" s="52"/>
      <c r="I1362" s="52"/>
      <c r="J1362" s="52"/>
      <c r="K1362" s="52"/>
      <c r="L1362" s="52"/>
      <c r="M1362" s="52"/>
      <c r="N1362" s="52"/>
      <c r="O1362" s="22"/>
      <c r="P1362" s="22"/>
      <c r="Q1362" s="8"/>
      <c r="R1362" s="8"/>
      <c r="S1362" s="8"/>
      <c r="T1362" s="8"/>
      <c r="U1362" s="8"/>
      <c r="V1362" s="8"/>
      <c r="W1362" s="8"/>
      <c r="X1362" s="8"/>
      <c r="Y1362" s="8"/>
      <c r="Z1362" s="8"/>
      <c r="AA1362" s="8"/>
      <c r="AB1362" s="8"/>
      <c r="AC1362" s="8"/>
      <c r="AD1362" s="24"/>
      <c r="AE1362" s="24"/>
      <c r="AF1362" s="8"/>
      <c r="AG1362" s="8"/>
      <c r="AH1362" s="8"/>
      <c r="AI1362" s="8"/>
    </row>
    <row r="1363" spans="1:35" ht="15.75" customHeight="1" x14ac:dyDescent="0.25">
      <c r="A1363" s="8"/>
      <c r="B1363" s="8"/>
      <c r="C1363" s="8"/>
      <c r="D1363" s="8"/>
      <c r="E1363" s="50"/>
      <c r="F1363" s="51"/>
      <c r="G1363" s="51"/>
      <c r="H1363" s="52"/>
      <c r="I1363" s="52"/>
      <c r="J1363" s="52"/>
      <c r="K1363" s="52"/>
      <c r="L1363" s="52"/>
      <c r="M1363" s="52"/>
      <c r="N1363" s="52"/>
      <c r="O1363" s="22"/>
      <c r="P1363" s="22"/>
      <c r="Q1363" s="8"/>
      <c r="R1363" s="8"/>
      <c r="S1363" s="8"/>
      <c r="T1363" s="8"/>
      <c r="U1363" s="8"/>
      <c r="V1363" s="8"/>
      <c r="W1363" s="8"/>
      <c r="X1363" s="8"/>
      <c r="Y1363" s="8"/>
      <c r="Z1363" s="8"/>
      <c r="AA1363" s="8"/>
      <c r="AB1363" s="8"/>
      <c r="AC1363" s="8"/>
      <c r="AD1363" s="24"/>
      <c r="AE1363" s="24"/>
      <c r="AF1363" s="8"/>
      <c r="AG1363" s="8"/>
      <c r="AH1363" s="8"/>
      <c r="AI1363" s="8"/>
    </row>
    <row r="1364" spans="1:35" ht="15.75" customHeight="1" x14ac:dyDescent="0.25">
      <c r="A1364" s="8"/>
      <c r="B1364" s="8"/>
      <c r="C1364" s="8"/>
      <c r="D1364" s="8"/>
      <c r="E1364" s="50"/>
      <c r="F1364" s="51"/>
      <c r="G1364" s="51"/>
      <c r="H1364" s="52"/>
      <c r="I1364" s="52"/>
      <c r="J1364" s="52"/>
      <c r="K1364" s="52"/>
      <c r="L1364" s="52"/>
      <c r="M1364" s="48"/>
      <c r="N1364" s="52"/>
      <c r="O1364" s="22"/>
      <c r="P1364" s="22"/>
      <c r="Q1364" s="8"/>
      <c r="R1364" s="8"/>
      <c r="S1364" s="8"/>
      <c r="T1364" s="8"/>
      <c r="U1364" s="8"/>
      <c r="V1364" s="8"/>
      <c r="W1364" s="8"/>
      <c r="X1364" s="8"/>
      <c r="Y1364" s="8"/>
      <c r="Z1364" s="8"/>
      <c r="AA1364" s="8"/>
      <c r="AB1364" s="8"/>
      <c r="AC1364" s="8"/>
      <c r="AD1364" s="24"/>
      <c r="AE1364" s="24"/>
      <c r="AF1364" s="8"/>
      <c r="AG1364" s="8"/>
      <c r="AH1364" s="8"/>
      <c r="AI1364" s="8"/>
    </row>
    <row r="1365" spans="1:35" ht="15.75" customHeight="1" x14ac:dyDescent="0.25">
      <c r="A1365" s="8"/>
      <c r="B1365" s="8"/>
      <c r="C1365" s="8"/>
      <c r="D1365" s="8"/>
      <c r="E1365" s="50"/>
      <c r="F1365" s="51"/>
      <c r="G1365" s="51"/>
      <c r="H1365" s="52"/>
      <c r="I1365" s="52"/>
      <c r="J1365" s="52"/>
      <c r="K1365" s="52"/>
      <c r="L1365" s="52"/>
      <c r="M1365" s="52"/>
      <c r="N1365" s="52"/>
      <c r="O1365" s="22"/>
      <c r="P1365" s="22"/>
      <c r="Q1365" s="8"/>
      <c r="R1365" s="8"/>
      <c r="S1365" s="8"/>
      <c r="T1365" s="8"/>
      <c r="U1365" s="8"/>
      <c r="V1365" s="8"/>
      <c r="W1365" s="8"/>
      <c r="X1365" s="8"/>
      <c r="Y1365" s="8"/>
      <c r="Z1365" s="8"/>
      <c r="AA1365" s="8"/>
      <c r="AB1365" s="8"/>
      <c r="AC1365" s="8"/>
      <c r="AD1365" s="24"/>
      <c r="AE1365" s="24"/>
      <c r="AF1365" s="8"/>
      <c r="AG1365" s="8"/>
      <c r="AH1365" s="8"/>
      <c r="AI1365" s="8"/>
    </row>
    <row r="1366" spans="1:35" ht="15.75" customHeight="1" x14ac:dyDescent="0.25">
      <c r="A1366" s="8"/>
      <c r="B1366" s="8"/>
      <c r="C1366" s="8"/>
      <c r="D1366" s="8"/>
      <c r="E1366" s="50"/>
      <c r="F1366" s="51"/>
      <c r="G1366" s="51"/>
      <c r="H1366" s="52"/>
      <c r="I1366" s="52"/>
      <c r="J1366" s="52"/>
      <c r="K1366" s="52"/>
      <c r="L1366" s="52"/>
      <c r="M1366" s="52"/>
      <c r="N1366" s="52"/>
      <c r="O1366" s="22"/>
      <c r="P1366" s="22"/>
      <c r="Q1366" s="8"/>
      <c r="R1366" s="8"/>
      <c r="S1366" s="8"/>
      <c r="T1366" s="8"/>
      <c r="U1366" s="8"/>
      <c r="V1366" s="8"/>
      <c r="W1366" s="8"/>
      <c r="X1366" s="8"/>
      <c r="Y1366" s="8"/>
      <c r="Z1366" s="8"/>
      <c r="AA1366" s="8"/>
      <c r="AB1366" s="8"/>
      <c r="AC1366" s="8"/>
      <c r="AD1366" s="24"/>
      <c r="AE1366" s="24"/>
      <c r="AF1366" s="8"/>
      <c r="AG1366" s="8"/>
      <c r="AH1366" s="8"/>
      <c r="AI1366" s="8"/>
    </row>
    <row r="1367" spans="1:35" ht="15.75" customHeight="1" x14ac:dyDescent="0.25">
      <c r="A1367" s="8"/>
      <c r="B1367" s="8"/>
      <c r="C1367" s="8"/>
      <c r="D1367" s="8"/>
      <c r="E1367" s="50"/>
      <c r="F1367" s="51"/>
      <c r="G1367" s="51"/>
      <c r="H1367" s="52"/>
      <c r="I1367" s="52"/>
      <c r="J1367" s="52"/>
      <c r="K1367" s="52"/>
      <c r="L1367" s="52"/>
      <c r="M1367" s="52"/>
      <c r="N1367" s="52"/>
      <c r="O1367" s="22"/>
      <c r="P1367" s="22"/>
      <c r="Q1367" s="8"/>
      <c r="R1367" s="8"/>
      <c r="S1367" s="8"/>
      <c r="T1367" s="8"/>
      <c r="U1367" s="8"/>
      <c r="V1367" s="8"/>
      <c r="W1367" s="8"/>
      <c r="X1367" s="8"/>
      <c r="Y1367" s="8"/>
      <c r="Z1367" s="8"/>
      <c r="AA1367" s="8"/>
      <c r="AB1367" s="8"/>
      <c r="AC1367" s="8"/>
      <c r="AD1367" s="24"/>
      <c r="AE1367" s="24"/>
      <c r="AF1367" s="8"/>
      <c r="AG1367" s="8"/>
      <c r="AH1367" s="8"/>
      <c r="AI1367" s="8"/>
    </row>
    <row r="1368" spans="1:35" ht="15.75" customHeight="1" x14ac:dyDescent="0.25">
      <c r="A1368" s="8"/>
      <c r="B1368" s="8"/>
      <c r="C1368" s="8"/>
      <c r="D1368" s="8"/>
      <c r="E1368" s="50"/>
      <c r="F1368" s="51"/>
      <c r="G1368" s="51"/>
      <c r="H1368" s="52"/>
      <c r="I1368" s="52"/>
      <c r="J1368" s="52"/>
      <c r="K1368" s="52"/>
      <c r="L1368" s="52"/>
      <c r="M1368" s="48"/>
      <c r="N1368" s="52"/>
      <c r="O1368" s="22"/>
      <c r="P1368" s="22"/>
      <c r="Q1368" s="8"/>
      <c r="R1368" s="8"/>
      <c r="S1368" s="8"/>
      <c r="T1368" s="8"/>
      <c r="U1368" s="8"/>
      <c r="V1368" s="8"/>
      <c r="W1368" s="8"/>
      <c r="X1368" s="8"/>
      <c r="Y1368" s="8"/>
      <c r="Z1368" s="8"/>
      <c r="AA1368" s="8"/>
      <c r="AB1368" s="8"/>
      <c r="AC1368" s="8"/>
      <c r="AD1368" s="24"/>
      <c r="AE1368" s="24"/>
      <c r="AF1368" s="8"/>
      <c r="AG1368" s="8"/>
      <c r="AH1368" s="8"/>
      <c r="AI1368" s="8"/>
    </row>
    <row r="1369" spans="1:35" ht="15.75" customHeight="1" x14ac:dyDescent="0.25">
      <c r="A1369" s="8"/>
      <c r="B1369" s="8"/>
      <c r="C1369" s="8"/>
      <c r="D1369" s="8"/>
      <c r="E1369" s="50"/>
      <c r="F1369" s="51"/>
      <c r="G1369" s="51"/>
      <c r="H1369" s="52"/>
      <c r="I1369" s="52"/>
      <c r="J1369" s="52"/>
      <c r="K1369" s="52"/>
      <c r="L1369" s="52"/>
      <c r="M1369" s="48"/>
      <c r="N1369" s="52"/>
      <c r="O1369" s="22"/>
      <c r="P1369" s="22"/>
      <c r="Q1369" s="8"/>
      <c r="R1369" s="8"/>
      <c r="S1369" s="8"/>
      <c r="T1369" s="8"/>
      <c r="U1369" s="8"/>
      <c r="V1369" s="8"/>
      <c r="W1369" s="8"/>
      <c r="X1369" s="8"/>
      <c r="Y1369" s="8"/>
      <c r="Z1369" s="8"/>
      <c r="AA1369" s="8"/>
      <c r="AB1369" s="8"/>
      <c r="AC1369" s="8"/>
      <c r="AD1369" s="24"/>
      <c r="AE1369" s="24"/>
      <c r="AF1369" s="8"/>
      <c r="AG1369" s="8"/>
      <c r="AH1369" s="8"/>
      <c r="AI1369" s="8"/>
    </row>
    <row r="1370" spans="1:35" ht="15.75" customHeight="1" x14ac:dyDescent="0.25">
      <c r="A1370" s="8"/>
      <c r="B1370" s="8"/>
      <c r="C1370" s="8"/>
      <c r="D1370" s="8"/>
      <c r="E1370" s="50"/>
      <c r="F1370" s="51"/>
      <c r="G1370" s="51"/>
      <c r="H1370" s="52"/>
      <c r="I1370" s="52"/>
      <c r="J1370" s="52"/>
      <c r="K1370" s="52"/>
      <c r="L1370" s="52"/>
      <c r="M1370" s="48"/>
      <c r="N1370" s="52"/>
      <c r="O1370" s="22"/>
      <c r="P1370" s="22"/>
      <c r="Q1370" s="8"/>
      <c r="R1370" s="8"/>
      <c r="S1370" s="8"/>
      <c r="T1370" s="8"/>
      <c r="U1370" s="8"/>
      <c r="V1370" s="8"/>
      <c r="W1370" s="8"/>
      <c r="X1370" s="8"/>
      <c r="Y1370" s="8"/>
      <c r="Z1370" s="8"/>
      <c r="AA1370" s="8"/>
      <c r="AB1370" s="8"/>
      <c r="AC1370" s="8"/>
      <c r="AD1370" s="24"/>
      <c r="AE1370" s="24"/>
      <c r="AF1370" s="8"/>
      <c r="AG1370" s="8"/>
      <c r="AH1370" s="8"/>
      <c r="AI1370" s="8"/>
    </row>
    <row r="1371" spans="1:35" ht="15.75" customHeight="1" x14ac:dyDescent="0.25">
      <c r="A1371" s="8"/>
      <c r="B1371" s="8"/>
      <c r="C1371" s="8"/>
      <c r="D1371" s="8"/>
      <c r="E1371" s="50"/>
      <c r="F1371" s="51"/>
      <c r="G1371" s="51"/>
      <c r="H1371" s="52"/>
      <c r="I1371" s="52"/>
      <c r="J1371" s="52"/>
      <c r="K1371" s="52"/>
      <c r="L1371" s="52"/>
      <c r="M1371" s="48"/>
      <c r="N1371" s="52"/>
      <c r="O1371" s="22"/>
      <c r="P1371" s="22"/>
      <c r="Q1371" s="8"/>
      <c r="R1371" s="8"/>
      <c r="S1371" s="8"/>
      <c r="T1371" s="8"/>
      <c r="U1371" s="8"/>
      <c r="V1371" s="8"/>
      <c r="W1371" s="8"/>
      <c r="X1371" s="8"/>
      <c r="Y1371" s="8"/>
      <c r="Z1371" s="8"/>
      <c r="AA1371" s="8"/>
      <c r="AB1371" s="8"/>
      <c r="AC1371" s="8"/>
      <c r="AD1371" s="24"/>
      <c r="AE1371" s="24"/>
      <c r="AF1371" s="8"/>
      <c r="AG1371" s="8"/>
      <c r="AH1371" s="8"/>
      <c r="AI1371" s="8"/>
    </row>
    <row r="1372" spans="1:35" ht="15.75" customHeight="1" x14ac:dyDescent="0.25">
      <c r="A1372" s="8"/>
      <c r="B1372" s="8"/>
      <c r="C1372" s="8"/>
      <c r="D1372" s="8"/>
      <c r="E1372" s="50"/>
      <c r="F1372" s="51"/>
      <c r="G1372" s="51"/>
      <c r="H1372" s="52"/>
      <c r="I1372" s="52"/>
      <c r="J1372" s="52"/>
      <c r="K1372" s="52"/>
      <c r="L1372" s="52"/>
      <c r="M1372" s="48"/>
      <c r="N1372" s="52"/>
      <c r="O1372" s="22"/>
      <c r="P1372" s="22"/>
      <c r="Q1372" s="8"/>
      <c r="R1372" s="8"/>
      <c r="S1372" s="8"/>
      <c r="T1372" s="8"/>
      <c r="U1372" s="8"/>
      <c r="V1372" s="8"/>
      <c r="W1372" s="8"/>
      <c r="X1372" s="8"/>
      <c r="Y1372" s="8"/>
      <c r="Z1372" s="8"/>
      <c r="AA1372" s="8"/>
      <c r="AB1372" s="8"/>
      <c r="AC1372" s="8"/>
      <c r="AD1372" s="24"/>
      <c r="AE1372" s="24"/>
      <c r="AF1372" s="8"/>
      <c r="AG1372" s="8"/>
      <c r="AH1372" s="8"/>
      <c r="AI1372" s="8"/>
    </row>
    <row r="1373" spans="1:35" ht="15.75" customHeight="1" x14ac:dyDescent="0.25">
      <c r="A1373" s="8"/>
      <c r="B1373" s="8"/>
      <c r="C1373" s="8"/>
      <c r="D1373" s="8"/>
      <c r="E1373" s="50"/>
      <c r="F1373" s="51"/>
      <c r="G1373" s="51"/>
      <c r="H1373" s="52"/>
      <c r="I1373" s="52"/>
      <c r="J1373" s="52"/>
      <c r="K1373" s="52"/>
      <c r="L1373" s="52"/>
      <c r="M1373" s="48"/>
      <c r="N1373" s="52"/>
      <c r="O1373" s="22"/>
      <c r="P1373" s="22"/>
      <c r="Q1373" s="8"/>
      <c r="R1373" s="8"/>
      <c r="S1373" s="8"/>
      <c r="T1373" s="8"/>
      <c r="U1373" s="8"/>
      <c r="V1373" s="8"/>
      <c r="W1373" s="8"/>
      <c r="X1373" s="8"/>
      <c r="Y1373" s="8"/>
      <c r="Z1373" s="8"/>
      <c r="AA1373" s="8"/>
      <c r="AB1373" s="8"/>
      <c r="AC1373" s="8"/>
      <c r="AD1373" s="24"/>
      <c r="AE1373" s="24"/>
      <c r="AF1373" s="8"/>
      <c r="AG1373" s="8"/>
      <c r="AH1373" s="8"/>
      <c r="AI1373" s="8"/>
    </row>
    <row r="1374" spans="1:35" ht="15.75" customHeight="1" x14ac:dyDescent="0.25">
      <c r="A1374" s="8"/>
      <c r="B1374" s="8"/>
      <c r="C1374" s="8"/>
      <c r="D1374" s="8"/>
      <c r="E1374" s="50"/>
      <c r="F1374" s="51"/>
      <c r="G1374" s="51"/>
      <c r="H1374" s="52"/>
      <c r="I1374" s="52"/>
      <c r="J1374" s="52"/>
      <c r="K1374" s="52"/>
      <c r="L1374" s="52"/>
      <c r="M1374" s="49"/>
      <c r="N1374" s="52"/>
      <c r="O1374" s="22"/>
      <c r="P1374" s="22"/>
      <c r="Q1374" s="8"/>
      <c r="R1374" s="8"/>
      <c r="S1374" s="8"/>
      <c r="T1374" s="8"/>
      <c r="U1374" s="8"/>
      <c r="V1374" s="8"/>
      <c r="W1374" s="8"/>
      <c r="X1374" s="8"/>
      <c r="Y1374" s="8"/>
      <c r="Z1374" s="8"/>
      <c r="AA1374" s="8"/>
      <c r="AB1374" s="8"/>
      <c r="AC1374" s="8"/>
      <c r="AD1374" s="24"/>
      <c r="AE1374" s="24"/>
      <c r="AF1374" s="8"/>
      <c r="AG1374" s="8"/>
      <c r="AH1374" s="8"/>
      <c r="AI1374" s="8"/>
    </row>
    <row r="1375" spans="1:35" ht="15.75" customHeight="1" x14ac:dyDescent="0.25">
      <c r="A1375" s="8"/>
      <c r="B1375" s="8"/>
      <c r="C1375" s="8"/>
      <c r="D1375" s="8"/>
      <c r="E1375" s="50"/>
      <c r="F1375" s="51"/>
      <c r="G1375" s="51"/>
      <c r="H1375" s="52"/>
      <c r="I1375" s="52"/>
      <c r="J1375" s="52"/>
      <c r="K1375" s="52"/>
      <c r="L1375" s="52"/>
      <c r="M1375" s="48"/>
      <c r="N1375" s="52"/>
      <c r="O1375" s="22"/>
      <c r="P1375" s="22"/>
      <c r="Q1375" s="8"/>
      <c r="R1375" s="8"/>
      <c r="S1375" s="8"/>
      <c r="T1375" s="8"/>
      <c r="U1375" s="8"/>
      <c r="V1375" s="8"/>
      <c r="W1375" s="8"/>
      <c r="X1375" s="8"/>
      <c r="Y1375" s="8"/>
      <c r="Z1375" s="8"/>
      <c r="AA1375" s="8"/>
      <c r="AB1375" s="8"/>
      <c r="AC1375" s="8"/>
      <c r="AD1375" s="24"/>
      <c r="AE1375" s="24"/>
      <c r="AF1375" s="8"/>
      <c r="AG1375" s="8"/>
      <c r="AH1375" s="8"/>
      <c r="AI1375" s="8"/>
    </row>
    <row r="1376" spans="1:35" ht="15.75" customHeight="1" x14ac:dyDescent="0.25">
      <c r="A1376" s="8"/>
      <c r="B1376" s="8"/>
      <c r="C1376" s="8"/>
      <c r="D1376" s="8"/>
      <c r="E1376" s="50"/>
      <c r="F1376" s="51"/>
      <c r="G1376" s="51"/>
      <c r="H1376" s="52"/>
      <c r="I1376" s="52"/>
      <c r="J1376" s="52"/>
      <c r="K1376" s="52"/>
      <c r="L1376" s="52"/>
      <c r="M1376" s="49"/>
      <c r="N1376" s="52"/>
      <c r="O1376" s="22"/>
      <c r="P1376" s="22"/>
      <c r="Q1376" s="8"/>
      <c r="R1376" s="8"/>
      <c r="S1376" s="8"/>
      <c r="T1376" s="8"/>
      <c r="U1376" s="8"/>
      <c r="V1376" s="8"/>
      <c r="W1376" s="8"/>
      <c r="X1376" s="8"/>
      <c r="Y1376" s="8"/>
      <c r="Z1376" s="8"/>
      <c r="AA1376" s="8"/>
      <c r="AB1376" s="8"/>
      <c r="AC1376" s="8"/>
      <c r="AD1376" s="24"/>
      <c r="AE1376" s="24"/>
      <c r="AF1376" s="8"/>
      <c r="AG1376" s="8"/>
      <c r="AH1376" s="8"/>
      <c r="AI1376" s="8"/>
    </row>
    <row r="1377" spans="1:35" ht="15.75" customHeight="1" x14ac:dyDescent="0.25">
      <c r="A1377" s="8"/>
      <c r="B1377" s="8"/>
      <c r="C1377" s="8"/>
      <c r="D1377" s="8"/>
      <c r="E1377" s="50"/>
      <c r="F1377" s="51"/>
      <c r="G1377" s="51"/>
      <c r="H1377" s="52"/>
      <c r="I1377" s="52"/>
      <c r="J1377" s="52"/>
      <c r="K1377" s="52"/>
      <c r="L1377" s="52"/>
      <c r="M1377" s="48"/>
      <c r="N1377" s="52"/>
      <c r="O1377" s="22"/>
      <c r="P1377" s="22"/>
      <c r="Q1377" s="8"/>
      <c r="R1377" s="8"/>
      <c r="S1377" s="8"/>
      <c r="T1377" s="8"/>
      <c r="U1377" s="8"/>
      <c r="V1377" s="8"/>
      <c r="W1377" s="8"/>
      <c r="X1377" s="8"/>
      <c r="Y1377" s="8"/>
      <c r="Z1377" s="8"/>
      <c r="AA1377" s="8"/>
      <c r="AB1377" s="8"/>
      <c r="AC1377" s="8"/>
      <c r="AD1377" s="24"/>
      <c r="AE1377" s="24"/>
      <c r="AF1377" s="8"/>
      <c r="AG1377" s="8"/>
      <c r="AH1377" s="8"/>
      <c r="AI1377" s="8"/>
    </row>
    <row r="1378" spans="1:35" ht="15.75" customHeight="1" x14ac:dyDescent="0.25">
      <c r="A1378" s="8"/>
      <c r="B1378" s="8"/>
      <c r="C1378" s="8"/>
      <c r="D1378" s="8"/>
      <c r="E1378" s="50"/>
      <c r="F1378" s="51"/>
      <c r="G1378" s="51"/>
      <c r="H1378" s="52"/>
      <c r="I1378" s="52"/>
      <c r="J1378" s="52"/>
      <c r="K1378" s="52"/>
      <c r="L1378" s="52"/>
      <c r="M1378" s="49"/>
      <c r="N1378" s="52"/>
      <c r="O1378" s="22"/>
      <c r="P1378" s="22"/>
      <c r="Q1378" s="8"/>
      <c r="R1378" s="8"/>
      <c r="S1378" s="8"/>
      <c r="T1378" s="8"/>
      <c r="U1378" s="8"/>
      <c r="V1378" s="8"/>
      <c r="W1378" s="8"/>
      <c r="X1378" s="8"/>
      <c r="Y1378" s="8"/>
      <c r="Z1378" s="8"/>
      <c r="AA1378" s="8"/>
      <c r="AB1378" s="8"/>
      <c r="AC1378" s="8"/>
      <c r="AD1378" s="24"/>
      <c r="AE1378" s="24"/>
      <c r="AF1378" s="8"/>
      <c r="AG1378" s="8"/>
      <c r="AH1378" s="8"/>
      <c r="AI1378" s="8"/>
    </row>
    <row r="1379" spans="1:35" ht="15.75" customHeight="1" x14ac:dyDescent="0.25">
      <c r="A1379" s="8"/>
      <c r="B1379" s="8"/>
      <c r="C1379" s="8"/>
      <c r="D1379" s="8"/>
      <c r="E1379" s="50"/>
      <c r="F1379" s="51"/>
      <c r="G1379" s="51"/>
      <c r="H1379" s="52"/>
      <c r="I1379" s="52"/>
      <c r="J1379" s="52"/>
      <c r="K1379" s="52"/>
      <c r="L1379" s="52"/>
      <c r="M1379" s="48"/>
      <c r="N1379" s="52"/>
      <c r="O1379" s="22"/>
      <c r="P1379" s="22"/>
      <c r="Q1379" s="8"/>
      <c r="R1379" s="8"/>
      <c r="S1379" s="8"/>
      <c r="T1379" s="8"/>
      <c r="U1379" s="8"/>
      <c r="V1379" s="8"/>
      <c r="W1379" s="8"/>
      <c r="X1379" s="8"/>
      <c r="Y1379" s="8"/>
      <c r="Z1379" s="8"/>
      <c r="AA1379" s="8"/>
      <c r="AB1379" s="8"/>
      <c r="AC1379" s="8"/>
      <c r="AD1379" s="24"/>
      <c r="AE1379" s="24"/>
      <c r="AF1379" s="8"/>
      <c r="AG1379" s="8"/>
      <c r="AH1379" s="8"/>
      <c r="AI1379" s="8"/>
    </row>
    <row r="1380" spans="1:35" ht="15.75" customHeight="1" x14ac:dyDescent="0.25">
      <c r="A1380" s="8"/>
      <c r="B1380" s="8"/>
      <c r="C1380" s="8"/>
      <c r="D1380" s="8"/>
      <c r="E1380" s="50"/>
      <c r="F1380" s="51"/>
      <c r="G1380" s="51"/>
      <c r="H1380" s="52"/>
      <c r="I1380" s="52"/>
      <c r="J1380" s="52"/>
      <c r="K1380" s="52"/>
      <c r="L1380" s="52"/>
      <c r="M1380" s="52"/>
      <c r="N1380" s="52"/>
      <c r="O1380" s="22"/>
      <c r="P1380" s="22"/>
      <c r="Q1380" s="8"/>
      <c r="R1380" s="8"/>
      <c r="S1380" s="8"/>
      <c r="T1380" s="8"/>
      <c r="U1380" s="8"/>
      <c r="V1380" s="8"/>
      <c r="W1380" s="8"/>
      <c r="X1380" s="8"/>
      <c r="Y1380" s="8"/>
      <c r="Z1380" s="8"/>
      <c r="AA1380" s="8"/>
      <c r="AB1380" s="8"/>
      <c r="AC1380" s="8"/>
      <c r="AD1380" s="24"/>
      <c r="AE1380" s="24"/>
      <c r="AF1380" s="8"/>
      <c r="AG1380" s="8"/>
      <c r="AH1380" s="8"/>
      <c r="AI1380" s="8"/>
    </row>
    <row r="1381" spans="1:35" ht="15.75" customHeight="1" x14ac:dyDescent="0.25">
      <c r="A1381" s="8"/>
      <c r="B1381" s="8"/>
      <c r="C1381" s="8"/>
      <c r="D1381" s="8"/>
      <c r="E1381" s="50"/>
      <c r="F1381" s="51"/>
      <c r="G1381" s="51"/>
      <c r="H1381" s="52"/>
      <c r="I1381" s="52"/>
      <c r="J1381" s="52"/>
      <c r="K1381" s="52"/>
      <c r="L1381" s="52"/>
      <c r="M1381" s="48"/>
      <c r="N1381" s="52"/>
      <c r="O1381" s="22"/>
      <c r="P1381" s="22"/>
      <c r="Q1381" s="8"/>
      <c r="R1381" s="8"/>
      <c r="S1381" s="8"/>
      <c r="T1381" s="8"/>
      <c r="U1381" s="8"/>
      <c r="V1381" s="8"/>
      <c r="W1381" s="8"/>
      <c r="X1381" s="8"/>
      <c r="Y1381" s="8"/>
      <c r="Z1381" s="8"/>
      <c r="AA1381" s="8"/>
      <c r="AB1381" s="8"/>
      <c r="AC1381" s="8"/>
      <c r="AD1381" s="24"/>
      <c r="AE1381" s="24"/>
      <c r="AF1381" s="8"/>
      <c r="AG1381" s="8"/>
      <c r="AH1381" s="8"/>
      <c r="AI1381" s="8"/>
    </row>
    <row r="1382" spans="1:35" ht="15.75" customHeight="1" x14ac:dyDescent="0.25">
      <c r="A1382" s="8"/>
      <c r="B1382" s="8"/>
      <c r="C1382" s="8"/>
      <c r="D1382" s="8"/>
      <c r="E1382" s="50"/>
      <c r="F1382" s="51"/>
      <c r="G1382" s="51"/>
      <c r="H1382" s="52"/>
      <c r="I1382" s="52"/>
      <c r="J1382" s="52"/>
      <c r="K1382" s="52"/>
      <c r="L1382" s="52"/>
      <c r="M1382" s="48"/>
      <c r="N1382" s="52"/>
      <c r="O1382" s="22"/>
      <c r="P1382" s="22"/>
      <c r="Q1382" s="8"/>
      <c r="R1382" s="8"/>
      <c r="S1382" s="8"/>
      <c r="T1382" s="8"/>
      <c r="U1382" s="8"/>
      <c r="V1382" s="8"/>
      <c r="W1382" s="8"/>
      <c r="X1382" s="8"/>
      <c r="Y1382" s="8"/>
      <c r="Z1382" s="8"/>
      <c r="AA1382" s="8"/>
      <c r="AB1382" s="8"/>
      <c r="AC1382" s="8"/>
      <c r="AD1382" s="24"/>
      <c r="AE1382" s="24"/>
      <c r="AF1382" s="8"/>
      <c r="AG1382" s="8"/>
      <c r="AH1382" s="8"/>
      <c r="AI1382" s="8"/>
    </row>
    <row r="1383" spans="1:35" ht="15.75" customHeight="1" x14ac:dyDescent="0.25">
      <c r="A1383" s="8"/>
      <c r="B1383" s="8"/>
      <c r="C1383" s="8"/>
      <c r="D1383" s="8"/>
      <c r="E1383" s="50"/>
      <c r="F1383" s="51"/>
      <c r="G1383" s="51"/>
      <c r="H1383" s="52"/>
      <c r="I1383" s="52"/>
      <c r="J1383" s="52"/>
      <c r="K1383" s="52"/>
      <c r="L1383" s="52"/>
      <c r="M1383" s="48"/>
      <c r="N1383" s="52"/>
      <c r="O1383" s="22"/>
      <c r="P1383" s="22"/>
      <c r="Q1383" s="8"/>
      <c r="R1383" s="8"/>
      <c r="S1383" s="8"/>
      <c r="T1383" s="8"/>
      <c r="U1383" s="8"/>
      <c r="V1383" s="8"/>
      <c r="W1383" s="8"/>
      <c r="X1383" s="8"/>
      <c r="Y1383" s="8"/>
      <c r="Z1383" s="8"/>
      <c r="AA1383" s="8"/>
      <c r="AB1383" s="8"/>
      <c r="AC1383" s="8"/>
      <c r="AD1383" s="24"/>
      <c r="AE1383" s="24"/>
      <c r="AF1383" s="8"/>
      <c r="AG1383" s="8"/>
      <c r="AH1383" s="8"/>
      <c r="AI1383" s="8"/>
    </row>
    <row r="1384" spans="1:35" ht="15.75" customHeight="1" x14ac:dyDescent="0.25">
      <c r="A1384" s="8"/>
      <c r="B1384" s="8"/>
      <c r="C1384" s="8"/>
      <c r="D1384" s="8"/>
      <c r="E1384" s="50"/>
      <c r="F1384" s="51"/>
      <c r="G1384" s="51"/>
      <c r="H1384" s="52"/>
      <c r="I1384" s="52"/>
      <c r="J1384" s="52"/>
      <c r="K1384" s="52"/>
      <c r="L1384" s="52"/>
      <c r="M1384" s="48"/>
      <c r="N1384" s="52"/>
      <c r="O1384" s="22"/>
      <c r="P1384" s="22"/>
      <c r="Q1384" s="8"/>
      <c r="R1384" s="8"/>
      <c r="S1384" s="8"/>
      <c r="T1384" s="8"/>
      <c r="U1384" s="8"/>
      <c r="V1384" s="8"/>
      <c r="W1384" s="8"/>
      <c r="X1384" s="8"/>
      <c r="Y1384" s="8"/>
      <c r="Z1384" s="8"/>
      <c r="AA1384" s="8"/>
      <c r="AB1384" s="8"/>
      <c r="AC1384" s="8"/>
      <c r="AD1384" s="24"/>
      <c r="AE1384" s="24"/>
      <c r="AF1384" s="8"/>
      <c r="AG1384" s="8"/>
      <c r="AH1384" s="8"/>
      <c r="AI1384" s="8"/>
    </row>
    <row r="1385" spans="1:35" ht="15.75" customHeight="1" x14ac:dyDescent="0.25">
      <c r="A1385" s="8"/>
      <c r="B1385" s="8"/>
      <c r="C1385" s="8"/>
      <c r="D1385" s="8"/>
      <c r="E1385" s="50"/>
      <c r="F1385" s="51"/>
      <c r="G1385" s="51"/>
      <c r="H1385" s="52"/>
      <c r="I1385" s="52"/>
      <c r="J1385" s="52"/>
      <c r="K1385" s="52"/>
      <c r="L1385" s="52"/>
      <c r="M1385" s="48"/>
      <c r="N1385" s="52"/>
      <c r="O1385" s="22"/>
      <c r="P1385" s="22"/>
      <c r="Q1385" s="8"/>
      <c r="R1385" s="8"/>
      <c r="S1385" s="8"/>
      <c r="T1385" s="8"/>
      <c r="U1385" s="8"/>
      <c r="V1385" s="8"/>
      <c r="W1385" s="8"/>
      <c r="X1385" s="8"/>
      <c r="Y1385" s="8"/>
      <c r="Z1385" s="8"/>
      <c r="AA1385" s="8"/>
      <c r="AB1385" s="8"/>
      <c r="AC1385" s="8"/>
      <c r="AD1385" s="24"/>
      <c r="AE1385" s="24"/>
      <c r="AF1385" s="8"/>
      <c r="AG1385" s="8"/>
      <c r="AH1385" s="8"/>
      <c r="AI1385" s="8"/>
    </row>
    <row r="1386" spans="1:35" ht="15.75" customHeight="1" x14ac:dyDescent="0.25">
      <c r="A1386" s="8"/>
      <c r="B1386" s="8"/>
      <c r="C1386" s="8"/>
      <c r="D1386" s="8"/>
      <c r="E1386" s="50"/>
      <c r="F1386" s="51"/>
      <c r="G1386" s="51"/>
      <c r="H1386" s="52"/>
      <c r="I1386" s="52"/>
      <c r="J1386" s="52"/>
      <c r="K1386" s="52"/>
      <c r="L1386" s="52"/>
      <c r="M1386" s="52"/>
      <c r="N1386" s="52"/>
      <c r="O1386" s="22"/>
      <c r="P1386" s="22"/>
      <c r="Q1386" s="8"/>
      <c r="R1386" s="8"/>
      <c r="S1386" s="8"/>
      <c r="T1386" s="8"/>
      <c r="U1386" s="8"/>
      <c r="V1386" s="8"/>
      <c r="W1386" s="8"/>
      <c r="X1386" s="8"/>
      <c r="Y1386" s="8"/>
      <c r="Z1386" s="8"/>
      <c r="AA1386" s="8"/>
      <c r="AB1386" s="8"/>
      <c r="AC1386" s="8"/>
      <c r="AD1386" s="24"/>
      <c r="AE1386" s="24"/>
      <c r="AF1386" s="8"/>
      <c r="AG1386" s="8"/>
      <c r="AH1386" s="8"/>
      <c r="AI1386" s="8"/>
    </row>
    <row r="1387" spans="1:35" ht="15.75" customHeight="1" x14ac:dyDescent="0.25">
      <c r="A1387" s="8"/>
      <c r="B1387" s="8"/>
      <c r="C1387" s="8"/>
      <c r="D1387" s="8"/>
      <c r="E1387" s="50"/>
      <c r="F1387" s="51"/>
      <c r="G1387" s="51"/>
      <c r="H1387" s="52"/>
      <c r="I1387" s="52"/>
      <c r="J1387" s="52"/>
      <c r="K1387" s="52"/>
      <c r="L1387" s="52"/>
      <c r="M1387" s="48"/>
      <c r="N1387" s="52"/>
      <c r="O1387" s="22"/>
      <c r="P1387" s="22"/>
      <c r="Q1387" s="8"/>
      <c r="R1387" s="8"/>
      <c r="S1387" s="8"/>
      <c r="T1387" s="8"/>
      <c r="U1387" s="8"/>
      <c r="V1387" s="8"/>
      <c r="W1387" s="8"/>
      <c r="X1387" s="8"/>
      <c r="Y1387" s="8"/>
      <c r="Z1387" s="8"/>
      <c r="AA1387" s="8"/>
      <c r="AB1387" s="8"/>
      <c r="AC1387" s="8"/>
      <c r="AD1387" s="24"/>
      <c r="AE1387" s="24"/>
      <c r="AF1387" s="8"/>
      <c r="AG1387" s="8"/>
      <c r="AH1387" s="8"/>
      <c r="AI1387" s="8"/>
    </row>
    <row r="1388" spans="1:35" ht="15.75" customHeight="1" x14ac:dyDescent="0.25">
      <c r="A1388" s="8"/>
      <c r="B1388" s="8"/>
      <c r="C1388" s="8"/>
      <c r="D1388" s="8"/>
      <c r="E1388" s="50"/>
      <c r="F1388" s="51"/>
      <c r="G1388" s="51"/>
      <c r="H1388" s="52"/>
      <c r="I1388" s="52"/>
      <c r="J1388" s="52"/>
      <c r="K1388" s="52"/>
      <c r="L1388" s="52"/>
      <c r="M1388" s="52"/>
      <c r="N1388" s="52"/>
      <c r="O1388" s="22"/>
      <c r="P1388" s="22"/>
      <c r="Q1388" s="8"/>
      <c r="R1388" s="8"/>
      <c r="S1388" s="8"/>
      <c r="T1388" s="8"/>
      <c r="U1388" s="8"/>
      <c r="V1388" s="8"/>
      <c r="W1388" s="8"/>
      <c r="X1388" s="8"/>
      <c r="Y1388" s="8"/>
      <c r="Z1388" s="8"/>
      <c r="AA1388" s="8"/>
      <c r="AB1388" s="8"/>
      <c r="AC1388" s="8"/>
      <c r="AD1388" s="24"/>
      <c r="AE1388" s="24"/>
      <c r="AF1388" s="8"/>
      <c r="AG1388" s="8"/>
      <c r="AH1388" s="8"/>
      <c r="AI1388" s="8"/>
    </row>
    <row r="1389" spans="1:35" ht="15.75" customHeight="1" x14ac:dyDescent="0.25">
      <c r="A1389" s="8"/>
      <c r="B1389" s="8"/>
      <c r="C1389" s="8"/>
      <c r="D1389" s="8"/>
      <c r="E1389" s="50"/>
      <c r="F1389" s="51"/>
      <c r="G1389" s="51"/>
      <c r="H1389" s="52"/>
      <c r="I1389" s="52"/>
      <c r="J1389" s="52"/>
      <c r="K1389" s="52"/>
      <c r="L1389" s="52"/>
      <c r="M1389" s="48"/>
      <c r="N1389" s="52"/>
      <c r="O1389" s="22"/>
      <c r="P1389" s="22"/>
      <c r="Q1389" s="8"/>
      <c r="R1389" s="8"/>
      <c r="S1389" s="8"/>
      <c r="T1389" s="8"/>
      <c r="U1389" s="8"/>
      <c r="V1389" s="8"/>
      <c r="W1389" s="8"/>
      <c r="X1389" s="8"/>
      <c r="Y1389" s="8"/>
      <c r="Z1389" s="8"/>
      <c r="AA1389" s="8"/>
      <c r="AB1389" s="8"/>
      <c r="AC1389" s="8"/>
      <c r="AD1389" s="24"/>
      <c r="AE1389" s="24"/>
      <c r="AF1389" s="8"/>
      <c r="AG1389" s="8"/>
      <c r="AH1389" s="8"/>
      <c r="AI1389" s="8"/>
    </row>
    <row r="1390" spans="1:35" ht="15.75" customHeight="1" x14ac:dyDescent="0.25">
      <c r="A1390" s="8"/>
      <c r="B1390" s="8"/>
      <c r="C1390" s="8"/>
      <c r="D1390" s="8"/>
      <c r="E1390" s="50"/>
      <c r="F1390" s="51"/>
      <c r="G1390" s="51"/>
      <c r="H1390" s="52"/>
      <c r="I1390" s="52"/>
      <c r="J1390" s="52"/>
      <c r="K1390" s="52"/>
      <c r="L1390" s="52"/>
      <c r="M1390" s="52"/>
      <c r="N1390" s="52"/>
      <c r="O1390" s="22"/>
      <c r="P1390" s="22"/>
      <c r="Q1390" s="8"/>
      <c r="R1390" s="8"/>
      <c r="S1390" s="8"/>
      <c r="T1390" s="8"/>
      <c r="U1390" s="8"/>
      <c r="V1390" s="8"/>
      <c r="W1390" s="8"/>
      <c r="X1390" s="8"/>
      <c r="Y1390" s="8"/>
      <c r="Z1390" s="8"/>
      <c r="AA1390" s="8"/>
      <c r="AB1390" s="8"/>
      <c r="AC1390" s="8"/>
      <c r="AD1390" s="24"/>
      <c r="AE1390" s="24"/>
      <c r="AF1390" s="8"/>
      <c r="AG1390" s="8"/>
      <c r="AH1390" s="8"/>
      <c r="AI1390" s="8"/>
    </row>
    <row r="1391" spans="1:35" ht="15.75" customHeight="1" x14ac:dyDescent="0.25">
      <c r="A1391" s="8"/>
      <c r="B1391" s="8"/>
      <c r="C1391" s="8"/>
      <c r="D1391" s="8"/>
      <c r="E1391" s="50"/>
      <c r="F1391" s="51"/>
      <c r="G1391" s="51"/>
      <c r="H1391" s="52"/>
      <c r="I1391" s="52"/>
      <c r="J1391" s="52"/>
      <c r="K1391" s="52"/>
      <c r="L1391" s="52"/>
      <c r="M1391" s="52"/>
      <c r="N1391" s="52"/>
      <c r="O1391" s="22"/>
      <c r="P1391" s="22"/>
      <c r="Q1391" s="8"/>
      <c r="R1391" s="8"/>
      <c r="S1391" s="8"/>
      <c r="T1391" s="8"/>
      <c r="U1391" s="8"/>
      <c r="V1391" s="8"/>
      <c r="W1391" s="8"/>
      <c r="X1391" s="8"/>
      <c r="Y1391" s="8"/>
      <c r="Z1391" s="8"/>
      <c r="AA1391" s="8"/>
      <c r="AB1391" s="8"/>
      <c r="AC1391" s="8"/>
      <c r="AD1391" s="24"/>
      <c r="AE1391" s="24"/>
      <c r="AF1391" s="8"/>
      <c r="AG1391" s="8"/>
      <c r="AH1391" s="8"/>
      <c r="AI1391" s="8"/>
    </row>
    <row r="1392" spans="1:35" ht="15.75" customHeight="1" x14ac:dyDescent="0.25">
      <c r="A1392" s="8"/>
      <c r="B1392" s="8"/>
      <c r="C1392" s="8"/>
      <c r="D1392" s="8"/>
      <c r="E1392" s="50"/>
      <c r="F1392" s="51"/>
      <c r="G1392" s="51"/>
      <c r="H1392" s="52"/>
      <c r="I1392" s="52"/>
      <c r="J1392" s="52"/>
      <c r="K1392" s="52"/>
      <c r="L1392" s="52"/>
      <c r="M1392" s="48"/>
      <c r="N1392" s="52"/>
      <c r="O1392" s="22"/>
      <c r="P1392" s="22"/>
      <c r="Q1392" s="8"/>
      <c r="R1392" s="8"/>
      <c r="S1392" s="8"/>
      <c r="T1392" s="8"/>
      <c r="U1392" s="8"/>
      <c r="V1392" s="8"/>
      <c r="W1392" s="8"/>
      <c r="X1392" s="8"/>
      <c r="Y1392" s="8"/>
      <c r="Z1392" s="8"/>
      <c r="AA1392" s="8"/>
      <c r="AB1392" s="8"/>
      <c r="AC1392" s="8"/>
      <c r="AD1392" s="24"/>
      <c r="AE1392" s="24"/>
      <c r="AF1392" s="8"/>
      <c r="AG1392" s="8"/>
      <c r="AH1392" s="8"/>
      <c r="AI1392" s="8"/>
    </row>
    <row r="1393" spans="1:35" ht="15.75" customHeight="1" x14ac:dyDescent="0.25">
      <c r="A1393" s="8"/>
      <c r="B1393" s="8"/>
      <c r="C1393" s="8"/>
      <c r="D1393" s="8"/>
      <c r="E1393" s="50"/>
      <c r="F1393" s="51"/>
      <c r="G1393" s="51"/>
      <c r="H1393" s="52"/>
      <c r="I1393" s="52"/>
      <c r="J1393" s="52"/>
      <c r="K1393" s="52"/>
      <c r="L1393" s="52"/>
      <c r="M1393" s="52"/>
      <c r="N1393" s="52"/>
      <c r="O1393" s="22"/>
      <c r="P1393" s="22"/>
      <c r="Q1393" s="8"/>
      <c r="R1393" s="8"/>
      <c r="S1393" s="8"/>
      <c r="T1393" s="8"/>
      <c r="U1393" s="8"/>
      <c r="V1393" s="8"/>
      <c r="W1393" s="8"/>
      <c r="X1393" s="8"/>
      <c r="Y1393" s="8"/>
      <c r="Z1393" s="8"/>
      <c r="AA1393" s="8"/>
      <c r="AB1393" s="8"/>
      <c r="AC1393" s="8"/>
      <c r="AD1393" s="24"/>
      <c r="AE1393" s="24"/>
      <c r="AF1393" s="8"/>
      <c r="AG1393" s="8"/>
      <c r="AH1393" s="8"/>
      <c r="AI1393" s="8"/>
    </row>
    <row r="1394" spans="1:35" ht="15.75" customHeight="1" x14ac:dyDescent="0.25">
      <c r="A1394" s="8"/>
      <c r="B1394" s="8"/>
      <c r="C1394" s="8"/>
      <c r="D1394" s="8"/>
      <c r="E1394" s="50"/>
      <c r="F1394" s="51"/>
      <c r="G1394" s="51"/>
      <c r="H1394" s="52"/>
      <c r="I1394" s="52"/>
      <c r="J1394" s="52"/>
      <c r="K1394" s="52"/>
      <c r="L1394" s="52"/>
      <c r="M1394" s="52"/>
      <c r="N1394" s="52"/>
      <c r="O1394" s="22"/>
      <c r="P1394" s="22"/>
      <c r="Q1394" s="8"/>
      <c r="R1394" s="8"/>
      <c r="S1394" s="8"/>
      <c r="T1394" s="8"/>
      <c r="U1394" s="8"/>
      <c r="V1394" s="8"/>
      <c r="W1394" s="8"/>
      <c r="X1394" s="8"/>
      <c r="Y1394" s="8"/>
      <c r="Z1394" s="8"/>
      <c r="AA1394" s="8"/>
      <c r="AB1394" s="8"/>
      <c r="AC1394" s="8"/>
      <c r="AD1394" s="24"/>
      <c r="AE1394" s="24"/>
      <c r="AF1394" s="8"/>
      <c r="AG1394" s="8"/>
      <c r="AH1394" s="8"/>
      <c r="AI1394" s="8"/>
    </row>
    <row r="1395" spans="1:35" ht="15.75" customHeight="1" x14ac:dyDescent="0.25">
      <c r="A1395" s="8"/>
      <c r="B1395" s="8"/>
      <c r="C1395" s="8"/>
      <c r="D1395" s="8"/>
      <c r="E1395" s="50"/>
      <c r="F1395" s="51"/>
      <c r="G1395" s="51"/>
      <c r="H1395" s="52"/>
      <c r="I1395" s="52"/>
      <c r="J1395" s="52"/>
      <c r="K1395" s="52"/>
      <c r="L1395" s="52"/>
      <c r="M1395" s="48"/>
      <c r="N1395" s="52"/>
      <c r="O1395" s="22"/>
      <c r="P1395" s="22"/>
      <c r="Q1395" s="8"/>
      <c r="R1395" s="8"/>
      <c r="S1395" s="8"/>
      <c r="T1395" s="8"/>
      <c r="U1395" s="8"/>
      <c r="V1395" s="8"/>
      <c r="W1395" s="8"/>
      <c r="X1395" s="8"/>
      <c r="Y1395" s="8"/>
      <c r="Z1395" s="8"/>
      <c r="AA1395" s="8"/>
      <c r="AB1395" s="8"/>
      <c r="AC1395" s="8"/>
      <c r="AD1395" s="24"/>
      <c r="AE1395" s="24"/>
      <c r="AF1395" s="8"/>
      <c r="AG1395" s="8"/>
      <c r="AH1395" s="8"/>
      <c r="AI1395" s="8"/>
    </row>
    <row r="1396" spans="1:35" ht="15.75" customHeight="1" x14ac:dyDescent="0.25">
      <c r="A1396" s="8"/>
      <c r="B1396" s="8"/>
      <c r="C1396" s="8"/>
      <c r="D1396" s="8"/>
      <c r="E1396" s="50"/>
      <c r="F1396" s="51"/>
      <c r="G1396" s="51"/>
      <c r="H1396" s="52"/>
      <c r="I1396" s="52"/>
      <c r="J1396" s="52"/>
      <c r="K1396" s="52"/>
      <c r="L1396" s="52"/>
      <c r="M1396" s="48"/>
      <c r="N1396" s="52"/>
      <c r="O1396" s="22"/>
      <c r="P1396" s="22"/>
      <c r="Q1396" s="8"/>
      <c r="R1396" s="8"/>
      <c r="S1396" s="8"/>
      <c r="T1396" s="8"/>
      <c r="U1396" s="8"/>
      <c r="V1396" s="8"/>
      <c r="W1396" s="8"/>
      <c r="X1396" s="8"/>
      <c r="Y1396" s="8"/>
      <c r="Z1396" s="8"/>
      <c r="AA1396" s="8"/>
      <c r="AB1396" s="8"/>
      <c r="AC1396" s="8"/>
      <c r="AD1396" s="24"/>
      <c r="AE1396" s="24"/>
      <c r="AF1396" s="8"/>
      <c r="AG1396" s="8"/>
      <c r="AH1396" s="8"/>
      <c r="AI1396" s="8"/>
    </row>
    <row r="1397" spans="1:35" ht="15.75" customHeight="1" x14ac:dyDescent="0.25">
      <c r="A1397" s="8"/>
      <c r="B1397" s="8"/>
      <c r="C1397" s="8"/>
      <c r="D1397" s="8"/>
      <c r="E1397" s="50"/>
      <c r="F1397" s="51"/>
      <c r="G1397" s="51"/>
      <c r="H1397" s="52"/>
      <c r="I1397" s="52"/>
      <c r="J1397" s="52"/>
      <c r="K1397" s="52"/>
      <c r="L1397" s="52"/>
      <c r="M1397" s="52"/>
      <c r="N1397" s="52"/>
      <c r="O1397" s="22"/>
      <c r="P1397" s="22"/>
      <c r="Q1397" s="8"/>
      <c r="R1397" s="8"/>
      <c r="S1397" s="8"/>
      <c r="T1397" s="8"/>
      <c r="U1397" s="8"/>
      <c r="V1397" s="8"/>
      <c r="W1397" s="8"/>
      <c r="X1397" s="8"/>
      <c r="Y1397" s="8"/>
      <c r="Z1397" s="8"/>
      <c r="AA1397" s="8"/>
      <c r="AB1397" s="8"/>
      <c r="AC1397" s="8"/>
      <c r="AD1397" s="24"/>
      <c r="AE1397" s="24"/>
      <c r="AF1397" s="8"/>
      <c r="AG1397" s="8"/>
      <c r="AH1397" s="8"/>
      <c r="AI1397" s="8"/>
    </row>
    <row r="1398" spans="1:35" ht="15.75" customHeight="1" x14ac:dyDescent="0.25">
      <c r="A1398" s="8"/>
      <c r="B1398" s="8"/>
      <c r="C1398" s="8"/>
      <c r="D1398" s="8"/>
      <c r="E1398" s="50"/>
      <c r="F1398" s="51"/>
      <c r="G1398" s="51"/>
      <c r="H1398" s="52"/>
      <c r="I1398" s="52"/>
      <c r="J1398" s="52"/>
      <c r="K1398" s="52"/>
      <c r="L1398" s="52"/>
      <c r="M1398" s="48"/>
      <c r="N1398" s="52"/>
      <c r="O1398" s="22"/>
      <c r="P1398" s="22"/>
      <c r="Q1398" s="8"/>
      <c r="R1398" s="8"/>
      <c r="S1398" s="8"/>
      <c r="T1398" s="8"/>
      <c r="U1398" s="8"/>
      <c r="V1398" s="8"/>
      <c r="W1398" s="8"/>
      <c r="X1398" s="8"/>
      <c r="Y1398" s="8"/>
      <c r="Z1398" s="8"/>
      <c r="AA1398" s="8"/>
      <c r="AB1398" s="8"/>
      <c r="AC1398" s="8"/>
      <c r="AD1398" s="24"/>
      <c r="AE1398" s="24"/>
      <c r="AF1398" s="8"/>
      <c r="AG1398" s="8"/>
      <c r="AH1398" s="8"/>
      <c r="AI1398" s="8"/>
    </row>
    <row r="1399" spans="1:35" ht="15.75" customHeight="1" x14ac:dyDescent="0.25">
      <c r="A1399" s="8"/>
      <c r="B1399" s="8"/>
      <c r="C1399" s="8"/>
      <c r="D1399" s="8"/>
      <c r="E1399" s="50"/>
      <c r="F1399" s="51"/>
      <c r="G1399" s="51"/>
      <c r="H1399" s="52"/>
      <c r="I1399" s="52"/>
      <c r="J1399" s="52"/>
      <c r="K1399" s="52"/>
      <c r="L1399" s="52"/>
      <c r="M1399" s="48"/>
      <c r="N1399" s="52"/>
      <c r="O1399" s="22"/>
      <c r="P1399" s="22"/>
      <c r="Q1399" s="8"/>
      <c r="R1399" s="8"/>
      <c r="S1399" s="8"/>
      <c r="T1399" s="8"/>
      <c r="U1399" s="8"/>
      <c r="V1399" s="8"/>
      <c r="W1399" s="8"/>
      <c r="X1399" s="8"/>
      <c r="Y1399" s="8"/>
      <c r="Z1399" s="8"/>
      <c r="AA1399" s="8"/>
      <c r="AB1399" s="8"/>
      <c r="AC1399" s="8"/>
      <c r="AD1399" s="24"/>
      <c r="AE1399" s="24"/>
      <c r="AF1399" s="8"/>
      <c r="AG1399" s="8"/>
      <c r="AH1399" s="8"/>
      <c r="AI1399" s="8"/>
    </row>
    <row r="1400" spans="1:35" ht="15.75" customHeight="1" x14ac:dyDescent="0.25">
      <c r="A1400" s="8"/>
      <c r="B1400" s="8"/>
      <c r="C1400" s="8"/>
      <c r="D1400" s="8"/>
      <c r="E1400" s="50"/>
      <c r="F1400" s="51"/>
      <c r="G1400" s="51"/>
      <c r="H1400" s="52"/>
      <c r="I1400" s="52"/>
      <c r="J1400" s="52"/>
      <c r="K1400" s="52"/>
      <c r="L1400" s="52"/>
      <c r="M1400" s="52"/>
      <c r="N1400" s="52"/>
      <c r="O1400" s="22"/>
      <c r="P1400" s="22"/>
      <c r="Q1400" s="8"/>
      <c r="R1400" s="8"/>
      <c r="S1400" s="8"/>
      <c r="T1400" s="8"/>
      <c r="U1400" s="8"/>
      <c r="V1400" s="8"/>
      <c r="W1400" s="8"/>
      <c r="X1400" s="8"/>
      <c r="Y1400" s="8"/>
      <c r="Z1400" s="8"/>
      <c r="AA1400" s="8"/>
      <c r="AB1400" s="8"/>
      <c r="AC1400" s="8"/>
      <c r="AD1400" s="24"/>
      <c r="AE1400" s="24"/>
      <c r="AF1400" s="8"/>
      <c r="AG1400" s="8"/>
      <c r="AH1400" s="8"/>
      <c r="AI1400" s="8"/>
    </row>
    <row r="1401" spans="1:35" ht="15.75" customHeight="1" x14ac:dyDescent="0.25">
      <c r="A1401" s="8"/>
      <c r="B1401" s="8"/>
      <c r="C1401" s="8"/>
      <c r="D1401" s="8"/>
      <c r="E1401" s="50"/>
      <c r="F1401" s="51"/>
      <c r="G1401" s="51"/>
      <c r="H1401" s="52"/>
      <c r="I1401" s="52"/>
      <c r="J1401" s="52"/>
      <c r="K1401" s="52"/>
      <c r="L1401" s="52"/>
      <c r="M1401" s="52"/>
      <c r="N1401" s="52"/>
      <c r="O1401" s="22"/>
      <c r="P1401" s="22"/>
      <c r="Q1401" s="8"/>
      <c r="R1401" s="8"/>
      <c r="S1401" s="8"/>
      <c r="T1401" s="8"/>
      <c r="U1401" s="8"/>
      <c r="V1401" s="8"/>
      <c r="W1401" s="8"/>
      <c r="X1401" s="8"/>
      <c r="Y1401" s="8"/>
      <c r="Z1401" s="8"/>
      <c r="AA1401" s="8"/>
      <c r="AB1401" s="8"/>
      <c r="AC1401" s="8"/>
      <c r="AD1401" s="24"/>
      <c r="AE1401" s="24"/>
      <c r="AF1401" s="8"/>
      <c r="AG1401" s="8"/>
      <c r="AH1401" s="8"/>
      <c r="AI1401" s="8"/>
    </row>
    <row r="1402" spans="1:35" ht="15.75" customHeight="1" x14ac:dyDescent="0.25">
      <c r="A1402" s="8"/>
      <c r="B1402" s="8"/>
      <c r="C1402" s="8"/>
      <c r="D1402" s="8"/>
      <c r="E1402" s="50"/>
      <c r="F1402" s="51"/>
      <c r="G1402" s="51"/>
      <c r="H1402" s="52"/>
      <c r="I1402" s="52"/>
      <c r="J1402" s="52"/>
      <c r="K1402" s="52"/>
      <c r="L1402" s="52"/>
      <c r="M1402" s="48"/>
      <c r="N1402" s="52"/>
      <c r="O1402" s="22"/>
      <c r="P1402" s="22"/>
      <c r="Q1402" s="8"/>
      <c r="R1402" s="8"/>
      <c r="S1402" s="8"/>
      <c r="T1402" s="8"/>
      <c r="U1402" s="8"/>
      <c r="V1402" s="8"/>
      <c r="W1402" s="8"/>
      <c r="X1402" s="8"/>
      <c r="Y1402" s="8"/>
      <c r="Z1402" s="8"/>
      <c r="AA1402" s="8"/>
      <c r="AB1402" s="8"/>
      <c r="AC1402" s="8"/>
      <c r="AD1402" s="24"/>
      <c r="AE1402" s="24"/>
      <c r="AF1402" s="8"/>
      <c r="AG1402" s="8"/>
      <c r="AH1402" s="8"/>
      <c r="AI1402" s="8"/>
    </row>
    <row r="1403" spans="1:35" ht="15.75" customHeight="1" x14ac:dyDescent="0.25">
      <c r="A1403" s="8"/>
      <c r="B1403" s="8"/>
      <c r="C1403" s="8"/>
      <c r="D1403" s="8"/>
      <c r="E1403" s="50"/>
      <c r="F1403" s="51"/>
      <c r="G1403" s="51"/>
      <c r="H1403" s="52"/>
      <c r="I1403" s="52"/>
      <c r="J1403" s="52"/>
      <c r="K1403" s="52"/>
      <c r="L1403" s="52"/>
      <c r="M1403" s="48"/>
      <c r="N1403" s="52"/>
      <c r="O1403" s="22"/>
      <c r="P1403" s="22"/>
      <c r="Q1403" s="8"/>
      <c r="R1403" s="8"/>
      <c r="S1403" s="8"/>
      <c r="T1403" s="8"/>
      <c r="U1403" s="8"/>
      <c r="V1403" s="8"/>
      <c r="W1403" s="8"/>
      <c r="X1403" s="8"/>
      <c r="Y1403" s="8"/>
      <c r="Z1403" s="8"/>
      <c r="AA1403" s="8"/>
      <c r="AB1403" s="8"/>
      <c r="AC1403" s="8"/>
      <c r="AD1403" s="24"/>
      <c r="AE1403" s="24"/>
      <c r="AF1403" s="8"/>
      <c r="AG1403" s="8"/>
      <c r="AH1403" s="8"/>
      <c r="AI1403" s="8"/>
    </row>
    <row r="1404" spans="1:35" ht="15.75" customHeight="1" x14ac:dyDescent="0.25">
      <c r="A1404" s="8"/>
      <c r="B1404" s="8"/>
      <c r="C1404" s="8"/>
      <c r="D1404" s="8"/>
      <c r="E1404" s="50"/>
      <c r="F1404" s="51"/>
      <c r="G1404" s="51"/>
      <c r="H1404" s="52"/>
      <c r="I1404" s="52"/>
      <c r="J1404" s="52"/>
      <c r="K1404" s="52"/>
      <c r="L1404" s="52"/>
      <c r="M1404" s="48"/>
      <c r="N1404" s="52"/>
      <c r="O1404" s="22"/>
      <c r="P1404" s="22"/>
      <c r="Q1404" s="8"/>
      <c r="R1404" s="8"/>
      <c r="S1404" s="8"/>
      <c r="T1404" s="8"/>
      <c r="U1404" s="8"/>
      <c r="V1404" s="8"/>
      <c r="W1404" s="8"/>
      <c r="X1404" s="8"/>
      <c r="Y1404" s="8"/>
      <c r="Z1404" s="8"/>
      <c r="AA1404" s="8"/>
      <c r="AB1404" s="8"/>
      <c r="AC1404" s="8"/>
      <c r="AD1404" s="24"/>
      <c r="AE1404" s="24"/>
      <c r="AF1404" s="8"/>
      <c r="AG1404" s="8"/>
      <c r="AH1404" s="8"/>
      <c r="AI1404" s="8"/>
    </row>
    <row r="1405" spans="1:35" ht="15.75" customHeight="1" x14ac:dyDescent="0.25">
      <c r="A1405" s="8"/>
      <c r="B1405" s="8"/>
      <c r="C1405" s="8"/>
      <c r="D1405" s="8"/>
      <c r="E1405" s="50"/>
      <c r="F1405" s="51"/>
      <c r="G1405" s="51"/>
      <c r="H1405" s="52"/>
      <c r="I1405" s="52"/>
      <c r="J1405" s="52"/>
      <c r="K1405" s="52"/>
      <c r="L1405" s="52"/>
      <c r="M1405" s="48"/>
      <c r="N1405" s="52"/>
      <c r="O1405" s="22"/>
      <c r="P1405" s="22"/>
      <c r="Q1405" s="8"/>
      <c r="R1405" s="8"/>
      <c r="S1405" s="8"/>
      <c r="T1405" s="8"/>
      <c r="U1405" s="8"/>
      <c r="V1405" s="8"/>
      <c r="W1405" s="8"/>
      <c r="X1405" s="8"/>
      <c r="Y1405" s="8"/>
      <c r="Z1405" s="8"/>
      <c r="AA1405" s="8"/>
      <c r="AB1405" s="8"/>
      <c r="AC1405" s="8"/>
      <c r="AD1405" s="24"/>
      <c r="AE1405" s="24"/>
      <c r="AF1405" s="8"/>
      <c r="AG1405" s="8"/>
      <c r="AH1405" s="8"/>
      <c r="AI1405" s="8"/>
    </row>
    <row r="1406" spans="1:35" ht="15.75" customHeight="1" x14ac:dyDescent="0.25">
      <c r="A1406" s="8"/>
      <c r="B1406" s="8"/>
      <c r="C1406" s="8"/>
      <c r="D1406" s="8"/>
      <c r="E1406" s="50"/>
      <c r="F1406" s="51"/>
      <c r="G1406" s="51"/>
      <c r="H1406" s="52"/>
      <c r="I1406" s="52"/>
      <c r="J1406" s="52"/>
      <c r="K1406" s="52"/>
      <c r="L1406" s="52"/>
      <c r="M1406" s="48"/>
      <c r="N1406" s="52"/>
      <c r="O1406" s="22"/>
      <c r="P1406" s="22"/>
      <c r="Q1406" s="8"/>
      <c r="R1406" s="8"/>
      <c r="S1406" s="8"/>
      <c r="T1406" s="8"/>
      <c r="U1406" s="8"/>
      <c r="V1406" s="8"/>
      <c r="W1406" s="8"/>
      <c r="X1406" s="8"/>
      <c r="Y1406" s="8"/>
      <c r="Z1406" s="8"/>
      <c r="AA1406" s="8"/>
      <c r="AB1406" s="8"/>
      <c r="AC1406" s="8"/>
      <c r="AD1406" s="24"/>
      <c r="AE1406" s="24"/>
      <c r="AF1406" s="8"/>
      <c r="AG1406" s="8"/>
      <c r="AH1406" s="8"/>
      <c r="AI1406" s="8"/>
    </row>
    <row r="1407" spans="1:35" ht="15.75" customHeight="1" x14ac:dyDescent="0.25">
      <c r="A1407" s="8"/>
      <c r="B1407" s="8"/>
      <c r="C1407" s="8"/>
      <c r="D1407" s="8"/>
      <c r="E1407" s="50"/>
      <c r="F1407" s="51"/>
      <c r="G1407" s="51"/>
      <c r="H1407" s="52"/>
      <c r="I1407" s="52"/>
      <c r="J1407" s="52"/>
      <c r="K1407" s="52"/>
      <c r="L1407" s="52"/>
      <c r="M1407" s="48"/>
      <c r="N1407" s="52"/>
      <c r="O1407" s="22"/>
      <c r="P1407" s="22"/>
      <c r="Q1407" s="8"/>
      <c r="R1407" s="8"/>
      <c r="S1407" s="8"/>
      <c r="T1407" s="8"/>
      <c r="U1407" s="8"/>
      <c r="V1407" s="8"/>
      <c r="W1407" s="8"/>
      <c r="X1407" s="8"/>
      <c r="Y1407" s="8"/>
      <c r="Z1407" s="8"/>
      <c r="AA1407" s="8"/>
      <c r="AB1407" s="8"/>
      <c r="AC1407" s="8"/>
      <c r="AD1407" s="24"/>
      <c r="AE1407" s="24"/>
      <c r="AF1407" s="8"/>
      <c r="AG1407" s="8"/>
      <c r="AH1407" s="8"/>
      <c r="AI1407" s="8"/>
    </row>
    <row r="1408" spans="1:35" ht="15.75" customHeight="1" x14ac:dyDescent="0.25">
      <c r="A1408" s="8"/>
      <c r="B1408" s="8"/>
      <c r="C1408" s="8"/>
      <c r="D1408" s="8"/>
      <c r="E1408" s="50"/>
      <c r="F1408" s="51"/>
      <c r="G1408" s="51"/>
      <c r="H1408" s="52"/>
      <c r="I1408" s="52"/>
      <c r="J1408" s="52"/>
      <c r="K1408" s="52"/>
      <c r="L1408" s="52"/>
      <c r="M1408" s="52"/>
      <c r="N1408" s="52"/>
      <c r="O1408" s="22"/>
      <c r="P1408" s="22"/>
      <c r="Q1408" s="8"/>
      <c r="R1408" s="8"/>
      <c r="S1408" s="8"/>
      <c r="T1408" s="8"/>
      <c r="U1408" s="8"/>
      <c r="V1408" s="8"/>
      <c r="W1408" s="8"/>
      <c r="X1408" s="8"/>
      <c r="Y1408" s="8"/>
      <c r="Z1408" s="8"/>
      <c r="AA1408" s="8"/>
      <c r="AB1408" s="8"/>
      <c r="AC1408" s="8"/>
      <c r="AD1408" s="24"/>
      <c r="AE1408" s="24"/>
      <c r="AF1408" s="8"/>
      <c r="AG1408" s="8"/>
      <c r="AH1408" s="8"/>
      <c r="AI1408" s="8"/>
    </row>
    <row r="1409" spans="1:35" ht="15.75" customHeight="1" x14ac:dyDescent="0.25">
      <c r="A1409" s="8"/>
      <c r="B1409" s="8"/>
      <c r="C1409" s="8"/>
      <c r="D1409" s="8"/>
      <c r="E1409" s="50"/>
      <c r="F1409" s="51"/>
      <c r="G1409" s="51"/>
      <c r="H1409" s="52"/>
      <c r="I1409" s="52"/>
      <c r="J1409" s="52"/>
      <c r="K1409" s="52"/>
      <c r="L1409" s="52"/>
      <c r="M1409" s="48"/>
      <c r="N1409" s="52"/>
      <c r="O1409" s="22"/>
      <c r="P1409" s="22"/>
      <c r="Q1409" s="8"/>
      <c r="R1409" s="8"/>
      <c r="S1409" s="8"/>
      <c r="T1409" s="8"/>
      <c r="U1409" s="8"/>
      <c r="V1409" s="8"/>
      <c r="W1409" s="8"/>
      <c r="X1409" s="8"/>
      <c r="Y1409" s="8"/>
      <c r="Z1409" s="8"/>
      <c r="AA1409" s="8"/>
      <c r="AB1409" s="8"/>
      <c r="AC1409" s="8"/>
      <c r="AD1409" s="24"/>
      <c r="AE1409" s="24"/>
      <c r="AF1409" s="8"/>
      <c r="AG1409" s="8"/>
      <c r="AH1409" s="8"/>
      <c r="AI1409" s="8"/>
    </row>
    <row r="1410" spans="1:35" ht="15.75" customHeight="1" x14ac:dyDescent="0.25">
      <c r="A1410" s="8"/>
      <c r="B1410" s="8"/>
      <c r="C1410" s="8"/>
      <c r="D1410" s="8"/>
      <c r="E1410" s="50"/>
      <c r="F1410" s="51"/>
      <c r="G1410" s="51"/>
      <c r="H1410" s="52"/>
      <c r="I1410" s="52"/>
      <c r="J1410" s="52"/>
      <c r="K1410" s="52"/>
      <c r="L1410" s="52"/>
      <c r="M1410" s="52"/>
      <c r="N1410" s="52"/>
      <c r="O1410" s="22"/>
      <c r="P1410" s="22"/>
      <c r="Q1410" s="8"/>
      <c r="R1410" s="8"/>
      <c r="S1410" s="8"/>
      <c r="T1410" s="8"/>
      <c r="U1410" s="8"/>
      <c r="V1410" s="8"/>
      <c r="W1410" s="8"/>
      <c r="X1410" s="8"/>
      <c r="Y1410" s="8"/>
      <c r="Z1410" s="8"/>
      <c r="AA1410" s="8"/>
      <c r="AB1410" s="8"/>
      <c r="AC1410" s="8"/>
      <c r="AD1410" s="24"/>
      <c r="AE1410" s="24"/>
      <c r="AF1410" s="8"/>
      <c r="AG1410" s="8"/>
      <c r="AH1410" s="8"/>
      <c r="AI1410" s="8"/>
    </row>
    <row r="1411" spans="1:35" ht="15.75" customHeight="1" x14ac:dyDescent="0.25">
      <c r="A1411" s="8"/>
      <c r="B1411" s="8"/>
      <c r="C1411" s="8"/>
      <c r="D1411" s="8"/>
      <c r="E1411" s="50"/>
      <c r="F1411" s="51"/>
      <c r="G1411" s="51"/>
      <c r="H1411" s="52"/>
      <c r="I1411" s="52"/>
      <c r="J1411" s="52"/>
      <c r="K1411" s="52"/>
      <c r="L1411" s="52"/>
      <c r="M1411" s="49"/>
      <c r="N1411" s="52"/>
      <c r="O1411" s="22"/>
      <c r="P1411" s="22"/>
      <c r="Q1411" s="8"/>
      <c r="R1411" s="8"/>
      <c r="S1411" s="8"/>
      <c r="T1411" s="8"/>
      <c r="U1411" s="8"/>
      <c r="V1411" s="8"/>
      <c r="W1411" s="8"/>
      <c r="X1411" s="8"/>
      <c r="Y1411" s="8"/>
      <c r="Z1411" s="8"/>
      <c r="AA1411" s="8"/>
      <c r="AB1411" s="8"/>
      <c r="AC1411" s="8"/>
      <c r="AD1411" s="24"/>
      <c r="AE1411" s="24"/>
      <c r="AF1411" s="8"/>
      <c r="AG1411" s="8"/>
      <c r="AH1411" s="8"/>
      <c r="AI1411" s="8"/>
    </row>
    <row r="1412" spans="1:35" ht="15.75" customHeight="1" x14ac:dyDescent="0.25">
      <c r="A1412" s="8"/>
      <c r="B1412" s="8"/>
      <c r="C1412" s="8"/>
      <c r="D1412" s="8"/>
      <c r="E1412" s="50"/>
      <c r="F1412" s="51"/>
      <c r="G1412" s="51"/>
      <c r="H1412" s="52"/>
      <c r="I1412" s="52"/>
      <c r="J1412" s="52"/>
      <c r="K1412" s="52"/>
      <c r="L1412" s="52"/>
      <c r="M1412" s="52"/>
      <c r="N1412" s="52"/>
      <c r="O1412" s="22"/>
      <c r="P1412" s="22"/>
      <c r="Q1412" s="8"/>
      <c r="R1412" s="8"/>
      <c r="S1412" s="8"/>
      <c r="T1412" s="8"/>
      <c r="U1412" s="8"/>
      <c r="V1412" s="8"/>
      <c r="W1412" s="8"/>
      <c r="X1412" s="8"/>
      <c r="Y1412" s="8"/>
      <c r="Z1412" s="8"/>
      <c r="AA1412" s="8"/>
      <c r="AB1412" s="8"/>
      <c r="AC1412" s="8"/>
      <c r="AD1412" s="24"/>
      <c r="AE1412" s="24"/>
      <c r="AF1412" s="8"/>
      <c r="AG1412" s="8"/>
      <c r="AH1412" s="8"/>
      <c r="AI1412" s="8"/>
    </row>
    <row r="1413" spans="1:35" ht="15.75" customHeight="1" x14ac:dyDescent="0.25">
      <c r="A1413" s="8"/>
      <c r="B1413" s="8"/>
      <c r="C1413" s="8"/>
      <c r="D1413" s="8"/>
      <c r="E1413" s="50"/>
      <c r="F1413" s="51"/>
      <c r="G1413" s="51"/>
      <c r="H1413" s="52"/>
      <c r="I1413" s="52"/>
      <c r="J1413" s="52"/>
      <c r="K1413" s="52"/>
      <c r="L1413" s="52"/>
      <c r="M1413" s="48"/>
      <c r="N1413" s="52"/>
      <c r="O1413" s="22"/>
      <c r="P1413" s="22"/>
      <c r="Q1413" s="8"/>
      <c r="R1413" s="8"/>
      <c r="S1413" s="8"/>
      <c r="T1413" s="8"/>
      <c r="U1413" s="8"/>
      <c r="V1413" s="8"/>
      <c r="W1413" s="8"/>
      <c r="X1413" s="8"/>
      <c r="Y1413" s="8"/>
      <c r="Z1413" s="8"/>
      <c r="AA1413" s="8"/>
      <c r="AB1413" s="8"/>
      <c r="AC1413" s="8"/>
      <c r="AD1413" s="24"/>
      <c r="AE1413" s="24"/>
      <c r="AF1413" s="8"/>
      <c r="AG1413" s="8"/>
      <c r="AH1413" s="8"/>
      <c r="AI1413" s="8"/>
    </row>
    <row r="1414" spans="1:35" ht="15.75" customHeight="1" x14ac:dyDescent="0.25">
      <c r="A1414" s="8"/>
      <c r="B1414" s="8"/>
      <c r="C1414" s="8"/>
      <c r="D1414" s="8"/>
      <c r="E1414" s="50"/>
      <c r="F1414" s="51"/>
      <c r="G1414" s="51"/>
      <c r="H1414" s="52"/>
      <c r="I1414" s="52"/>
      <c r="J1414" s="52"/>
      <c r="K1414" s="52"/>
      <c r="L1414" s="52"/>
      <c r="M1414" s="52"/>
      <c r="N1414" s="52"/>
      <c r="O1414" s="22"/>
      <c r="P1414" s="22"/>
      <c r="Q1414" s="8"/>
      <c r="R1414" s="8"/>
      <c r="S1414" s="8"/>
      <c r="T1414" s="8"/>
      <c r="U1414" s="8"/>
      <c r="V1414" s="8"/>
      <c r="W1414" s="8"/>
      <c r="X1414" s="8"/>
      <c r="Y1414" s="8"/>
      <c r="Z1414" s="8"/>
      <c r="AA1414" s="8"/>
      <c r="AB1414" s="8"/>
      <c r="AC1414" s="8"/>
      <c r="AD1414" s="24"/>
      <c r="AE1414" s="24"/>
      <c r="AF1414" s="8"/>
      <c r="AG1414" s="8"/>
      <c r="AH1414" s="8"/>
      <c r="AI1414" s="8"/>
    </row>
    <row r="1415" spans="1:35" ht="15.75" customHeight="1" x14ac:dyDescent="0.25">
      <c r="A1415" s="8"/>
      <c r="B1415" s="8"/>
      <c r="C1415" s="8"/>
      <c r="D1415" s="8"/>
      <c r="E1415" s="50"/>
      <c r="F1415" s="51"/>
      <c r="G1415" s="51"/>
      <c r="H1415" s="52"/>
      <c r="I1415" s="52"/>
      <c r="J1415" s="52"/>
      <c r="K1415" s="52"/>
      <c r="L1415" s="52"/>
      <c r="M1415" s="52"/>
      <c r="N1415" s="52"/>
      <c r="O1415" s="22"/>
      <c r="P1415" s="22"/>
      <c r="Q1415" s="8"/>
      <c r="R1415" s="8"/>
      <c r="S1415" s="8"/>
      <c r="T1415" s="8"/>
      <c r="U1415" s="8"/>
      <c r="V1415" s="8"/>
      <c r="W1415" s="8"/>
      <c r="X1415" s="8"/>
      <c r="Y1415" s="8"/>
      <c r="Z1415" s="8"/>
      <c r="AA1415" s="8"/>
      <c r="AB1415" s="8"/>
      <c r="AC1415" s="8"/>
      <c r="AD1415" s="24"/>
      <c r="AE1415" s="24"/>
      <c r="AF1415" s="8"/>
      <c r="AG1415" s="8"/>
      <c r="AH1415" s="8"/>
      <c r="AI1415" s="8"/>
    </row>
    <row r="1416" spans="1:35" ht="15.75" customHeight="1" x14ac:dyDescent="0.25">
      <c r="A1416" s="8"/>
      <c r="B1416" s="8"/>
      <c r="C1416" s="8"/>
      <c r="D1416" s="8"/>
      <c r="E1416" s="50"/>
      <c r="F1416" s="51"/>
      <c r="G1416" s="51"/>
      <c r="H1416" s="52"/>
      <c r="I1416" s="52"/>
      <c r="J1416" s="52"/>
      <c r="K1416" s="52"/>
      <c r="L1416" s="52"/>
      <c r="M1416" s="52"/>
      <c r="N1416" s="52"/>
      <c r="O1416" s="22"/>
      <c r="P1416" s="22"/>
      <c r="Q1416" s="8"/>
      <c r="R1416" s="8"/>
      <c r="S1416" s="8"/>
      <c r="T1416" s="8"/>
      <c r="U1416" s="8"/>
      <c r="V1416" s="8"/>
      <c r="W1416" s="8"/>
      <c r="X1416" s="8"/>
      <c r="Y1416" s="8"/>
      <c r="Z1416" s="8"/>
      <c r="AA1416" s="8"/>
      <c r="AB1416" s="8"/>
      <c r="AC1416" s="8"/>
      <c r="AD1416" s="24"/>
      <c r="AE1416" s="24"/>
      <c r="AF1416" s="8"/>
      <c r="AG1416" s="8"/>
      <c r="AH1416" s="8"/>
      <c r="AI1416" s="8"/>
    </row>
    <row r="1417" spans="1:35" ht="15.75" customHeight="1" x14ac:dyDescent="0.25">
      <c r="A1417" s="8"/>
      <c r="B1417" s="8"/>
      <c r="C1417" s="8"/>
      <c r="D1417" s="8"/>
      <c r="E1417" s="50"/>
      <c r="F1417" s="51"/>
      <c r="G1417" s="51"/>
      <c r="H1417" s="52"/>
      <c r="I1417" s="52"/>
      <c r="J1417" s="52"/>
      <c r="K1417" s="52"/>
      <c r="L1417" s="52"/>
      <c r="M1417" s="52"/>
      <c r="N1417" s="52"/>
      <c r="O1417" s="22"/>
      <c r="P1417" s="22"/>
      <c r="Q1417" s="8"/>
      <c r="R1417" s="8"/>
      <c r="S1417" s="8"/>
      <c r="T1417" s="8"/>
      <c r="U1417" s="8"/>
      <c r="V1417" s="8"/>
      <c r="W1417" s="8"/>
      <c r="X1417" s="8"/>
      <c r="Y1417" s="8"/>
      <c r="Z1417" s="8"/>
      <c r="AA1417" s="8"/>
      <c r="AB1417" s="8"/>
      <c r="AC1417" s="8"/>
      <c r="AD1417" s="24"/>
      <c r="AE1417" s="24"/>
      <c r="AF1417" s="8"/>
      <c r="AG1417" s="8"/>
      <c r="AH1417" s="8"/>
      <c r="AI1417" s="8"/>
    </row>
    <row r="1418" spans="1:35" ht="15.75" customHeight="1" x14ac:dyDescent="0.25">
      <c r="A1418" s="8"/>
      <c r="B1418" s="8"/>
      <c r="C1418" s="8"/>
      <c r="D1418" s="8"/>
      <c r="E1418" s="50"/>
      <c r="F1418" s="51"/>
      <c r="G1418" s="51"/>
      <c r="H1418" s="52"/>
      <c r="I1418" s="52"/>
      <c r="J1418" s="52"/>
      <c r="K1418" s="52"/>
      <c r="L1418" s="52"/>
      <c r="M1418" s="52"/>
      <c r="N1418" s="52"/>
      <c r="O1418" s="22"/>
      <c r="P1418" s="22"/>
      <c r="Q1418" s="8"/>
      <c r="R1418" s="8"/>
      <c r="S1418" s="8"/>
      <c r="T1418" s="8"/>
      <c r="U1418" s="8"/>
      <c r="V1418" s="8"/>
      <c r="W1418" s="8"/>
      <c r="X1418" s="8"/>
      <c r="Y1418" s="8"/>
      <c r="Z1418" s="8"/>
      <c r="AA1418" s="8"/>
      <c r="AB1418" s="8"/>
      <c r="AC1418" s="8"/>
      <c r="AD1418" s="24"/>
      <c r="AE1418" s="24"/>
      <c r="AF1418" s="8"/>
      <c r="AG1418" s="8"/>
      <c r="AH1418" s="8"/>
      <c r="AI1418" s="8"/>
    </row>
    <row r="1419" spans="1:35" ht="15.75" customHeight="1" x14ac:dyDescent="0.25">
      <c r="A1419" s="8"/>
      <c r="B1419" s="8"/>
      <c r="C1419" s="8"/>
      <c r="D1419" s="8"/>
      <c r="E1419" s="50"/>
      <c r="F1419" s="51"/>
      <c r="G1419" s="51"/>
      <c r="H1419" s="52"/>
      <c r="I1419" s="52"/>
      <c r="J1419" s="52"/>
      <c r="K1419" s="52"/>
      <c r="L1419" s="52"/>
      <c r="M1419" s="52"/>
      <c r="N1419" s="52"/>
      <c r="O1419" s="22"/>
      <c r="P1419" s="22"/>
      <c r="Q1419" s="8"/>
      <c r="R1419" s="8"/>
      <c r="S1419" s="8"/>
      <c r="T1419" s="8"/>
      <c r="U1419" s="8"/>
      <c r="V1419" s="8"/>
      <c r="W1419" s="8"/>
      <c r="X1419" s="8"/>
      <c r="Y1419" s="8"/>
      <c r="Z1419" s="8"/>
      <c r="AA1419" s="8"/>
      <c r="AB1419" s="8"/>
      <c r="AC1419" s="8"/>
      <c r="AD1419" s="24"/>
      <c r="AE1419" s="24"/>
      <c r="AF1419" s="8"/>
      <c r="AG1419" s="8"/>
      <c r="AH1419" s="8"/>
      <c r="AI1419" s="8"/>
    </row>
    <row r="1420" spans="1:35" ht="15.75" customHeight="1" x14ac:dyDescent="0.25">
      <c r="A1420" s="8"/>
      <c r="B1420" s="8"/>
      <c r="C1420" s="8"/>
      <c r="D1420" s="8"/>
      <c r="E1420" s="50"/>
      <c r="F1420" s="51"/>
      <c r="G1420" s="51"/>
      <c r="H1420" s="52"/>
      <c r="I1420" s="52"/>
      <c r="J1420" s="52"/>
      <c r="K1420" s="52"/>
      <c r="L1420" s="52"/>
      <c r="M1420" s="48"/>
      <c r="N1420" s="52"/>
      <c r="O1420" s="22"/>
      <c r="P1420" s="22"/>
      <c r="Q1420" s="8"/>
      <c r="R1420" s="8"/>
      <c r="S1420" s="8"/>
      <c r="T1420" s="8"/>
      <c r="U1420" s="8"/>
      <c r="V1420" s="8"/>
      <c r="W1420" s="8"/>
      <c r="X1420" s="8"/>
      <c r="Y1420" s="8"/>
      <c r="Z1420" s="8"/>
      <c r="AA1420" s="8"/>
      <c r="AB1420" s="8"/>
      <c r="AC1420" s="8"/>
      <c r="AD1420" s="24"/>
      <c r="AE1420" s="24"/>
      <c r="AF1420" s="8"/>
      <c r="AG1420" s="8"/>
      <c r="AH1420" s="8"/>
      <c r="AI1420" s="8"/>
    </row>
    <row r="1421" spans="1:35" ht="15.75" customHeight="1" x14ac:dyDescent="0.25">
      <c r="A1421" s="8"/>
      <c r="B1421" s="8"/>
      <c r="C1421" s="8"/>
      <c r="D1421" s="8"/>
      <c r="E1421" s="50"/>
      <c r="F1421" s="51"/>
      <c r="G1421" s="51"/>
      <c r="H1421" s="52"/>
      <c r="I1421" s="52"/>
      <c r="J1421" s="52"/>
      <c r="K1421" s="52"/>
      <c r="L1421" s="52"/>
      <c r="M1421" s="52"/>
      <c r="N1421" s="52"/>
      <c r="O1421" s="22"/>
      <c r="P1421" s="22"/>
      <c r="Q1421" s="8"/>
      <c r="R1421" s="8"/>
      <c r="S1421" s="8"/>
      <c r="T1421" s="8"/>
      <c r="U1421" s="8"/>
      <c r="V1421" s="8"/>
      <c r="W1421" s="8"/>
      <c r="X1421" s="8"/>
      <c r="Y1421" s="8"/>
      <c r="Z1421" s="8"/>
      <c r="AA1421" s="8"/>
      <c r="AB1421" s="8"/>
      <c r="AC1421" s="8"/>
      <c r="AD1421" s="24"/>
      <c r="AE1421" s="24"/>
      <c r="AF1421" s="8"/>
      <c r="AG1421" s="8"/>
      <c r="AH1421" s="8"/>
      <c r="AI1421" s="8"/>
    </row>
    <row r="1422" spans="1:35" ht="15.75" customHeight="1" x14ac:dyDescent="0.25">
      <c r="A1422" s="8"/>
      <c r="B1422" s="8"/>
      <c r="C1422" s="8"/>
      <c r="D1422" s="8"/>
      <c r="E1422" s="50"/>
      <c r="F1422" s="51"/>
      <c r="G1422" s="51"/>
      <c r="H1422" s="52"/>
      <c r="I1422" s="52"/>
      <c r="J1422" s="52"/>
      <c r="K1422" s="52"/>
      <c r="L1422" s="52"/>
      <c r="M1422" s="48"/>
      <c r="N1422" s="52"/>
      <c r="O1422" s="22"/>
      <c r="P1422" s="22"/>
      <c r="Q1422" s="8"/>
      <c r="R1422" s="8"/>
      <c r="S1422" s="8"/>
      <c r="T1422" s="8"/>
      <c r="U1422" s="8"/>
      <c r="V1422" s="8"/>
      <c r="W1422" s="8"/>
      <c r="X1422" s="8"/>
      <c r="Y1422" s="8"/>
      <c r="Z1422" s="8"/>
      <c r="AA1422" s="8"/>
      <c r="AB1422" s="8"/>
      <c r="AC1422" s="8"/>
      <c r="AD1422" s="24"/>
      <c r="AE1422" s="24"/>
      <c r="AF1422" s="8"/>
      <c r="AG1422" s="8"/>
      <c r="AH1422" s="8"/>
      <c r="AI1422" s="8"/>
    </row>
    <row r="1423" spans="1:35" ht="15.75" customHeight="1" x14ac:dyDescent="0.25">
      <c r="A1423" s="8"/>
      <c r="B1423" s="8"/>
      <c r="C1423" s="8"/>
      <c r="D1423" s="8"/>
      <c r="E1423" s="50"/>
      <c r="F1423" s="51"/>
      <c r="G1423" s="51"/>
      <c r="H1423" s="52"/>
      <c r="I1423" s="52"/>
      <c r="J1423" s="52"/>
      <c r="K1423" s="52"/>
      <c r="L1423" s="52"/>
      <c r="M1423" s="52"/>
      <c r="N1423" s="52"/>
      <c r="O1423" s="22"/>
      <c r="P1423" s="22"/>
      <c r="Q1423" s="8"/>
      <c r="R1423" s="8"/>
      <c r="S1423" s="8"/>
      <c r="T1423" s="8"/>
      <c r="U1423" s="8"/>
      <c r="V1423" s="8"/>
      <c r="W1423" s="8"/>
      <c r="X1423" s="8"/>
      <c r="Y1423" s="8"/>
      <c r="Z1423" s="8"/>
      <c r="AA1423" s="8"/>
      <c r="AB1423" s="8"/>
      <c r="AC1423" s="8"/>
      <c r="AD1423" s="24"/>
      <c r="AE1423" s="24"/>
      <c r="AF1423" s="8"/>
      <c r="AG1423" s="8"/>
      <c r="AH1423" s="8"/>
      <c r="AI1423" s="8"/>
    </row>
    <row r="1424" spans="1:35" ht="15.75" customHeight="1" x14ac:dyDescent="0.25">
      <c r="A1424" s="8"/>
      <c r="B1424" s="8"/>
      <c r="C1424" s="8"/>
      <c r="D1424" s="8"/>
      <c r="E1424" s="50"/>
      <c r="F1424" s="51"/>
      <c r="G1424" s="51"/>
      <c r="H1424" s="52"/>
      <c r="I1424" s="52"/>
      <c r="J1424" s="52"/>
      <c r="K1424" s="52"/>
      <c r="L1424" s="52"/>
      <c r="M1424" s="48"/>
      <c r="N1424" s="52"/>
      <c r="O1424" s="22"/>
      <c r="P1424" s="22"/>
      <c r="Q1424" s="8"/>
      <c r="R1424" s="8"/>
      <c r="S1424" s="8"/>
      <c r="T1424" s="8"/>
      <c r="U1424" s="8"/>
      <c r="V1424" s="8"/>
      <c r="W1424" s="8"/>
      <c r="X1424" s="8"/>
      <c r="Y1424" s="8"/>
      <c r="Z1424" s="8"/>
      <c r="AA1424" s="8"/>
      <c r="AB1424" s="8"/>
      <c r="AC1424" s="8"/>
      <c r="AD1424" s="24"/>
      <c r="AE1424" s="24"/>
      <c r="AF1424" s="8"/>
      <c r="AG1424" s="8"/>
      <c r="AH1424" s="8"/>
      <c r="AI1424" s="8"/>
    </row>
    <row r="1425" spans="1:35" ht="15.75" customHeight="1" x14ac:dyDescent="0.25">
      <c r="A1425" s="8"/>
      <c r="B1425" s="8"/>
      <c r="C1425" s="8"/>
      <c r="D1425" s="8"/>
      <c r="E1425" s="50"/>
      <c r="F1425" s="51"/>
      <c r="G1425" s="51"/>
      <c r="H1425" s="52"/>
      <c r="I1425" s="52"/>
      <c r="J1425" s="52"/>
      <c r="K1425" s="52"/>
      <c r="L1425" s="52"/>
      <c r="M1425" s="52"/>
      <c r="N1425" s="52"/>
      <c r="O1425" s="22"/>
      <c r="P1425" s="22"/>
      <c r="Q1425" s="8"/>
      <c r="R1425" s="8"/>
      <c r="S1425" s="8"/>
      <c r="T1425" s="8"/>
      <c r="U1425" s="8"/>
      <c r="V1425" s="8"/>
      <c r="W1425" s="8"/>
      <c r="X1425" s="8"/>
      <c r="Y1425" s="8"/>
      <c r="Z1425" s="8"/>
      <c r="AA1425" s="8"/>
      <c r="AB1425" s="8"/>
      <c r="AC1425" s="8"/>
      <c r="AD1425" s="24"/>
      <c r="AE1425" s="24"/>
      <c r="AF1425" s="8"/>
      <c r="AG1425" s="8"/>
      <c r="AH1425" s="8"/>
      <c r="AI1425" s="8"/>
    </row>
    <row r="1426" spans="1:35" ht="15.75" customHeight="1" x14ac:dyDescent="0.25">
      <c r="A1426" s="8"/>
      <c r="B1426" s="8"/>
      <c r="C1426" s="8"/>
      <c r="D1426" s="8"/>
      <c r="E1426" s="50"/>
      <c r="F1426" s="51"/>
      <c r="G1426" s="51"/>
      <c r="H1426" s="52"/>
      <c r="I1426" s="52"/>
      <c r="J1426" s="52"/>
      <c r="K1426" s="52"/>
      <c r="L1426" s="52"/>
      <c r="M1426" s="48"/>
      <c r="N1426" s="52"/>
      <c r="O1426" s="22"/>
      <c r="P1426" s="22"/>
      <c r="Q1426" s="8"/>
      <c r="R1426" s="8"/>
      <c r="S1426" s="8"/>
      <c r="T1426" s="8"/>
      <c r="U1426" s="8"/>
      <c r="V1426" s="8"/>
      <c r="W1426" s="8"/>
      <c r="X1426" s="8"/>
      <c r="Y1426" s="8"/>
      <c r="Z1426" s="8"/>
      <c r="AA1426" s="8"/>
      <c r="AB1426" s="8"/>
      <c r="AC1426" s="8"/>
      <c r="AD1426" s="24"/>
      <c r="AE1426" s="24"/>
      <c r="AF1426" s="8"/>
      <c r="AG1426" s="8"/>
      <c r="AH1426" s="8"/>
      <c r="AI1426" s="8"/>
    </row>
    <row r="1427" spans="1:35" ht="15.75" customHeight="1" x14ac:dyDescent="0.25">
      <c r="A1427" s="8"/>
      <c r="B1427" s="8"/>
      <c r="C1427" s="8"/>
      <c r="D1427" s="8"/>
      <c r="E1427" s="50"/>
      <c r="F1427" s="51"/>
      <c r="G1427" s="51"/>
      <c r="H1427" s="52"/>
      <c r="I1427" s="52"/>
      <c r="J1427" s="52"/>
      <c r="K1427" s="52"/>
      <c r="L1427" s="52"/>
      <c r="M1427" s="49"/>
      <c r="N1427" s="52"/>
      <c r="O1427" s="22"/>
      <c r="P1427" s="22"/>
      <c r="Q1427" s="8"/>
      <c r="R1427" s="8"/>
      <c r="S1427" s="8"/>
      <c r="T1427" s="8"/>
      <c r="U1427" s="8"/>
      <c r="V1427" s="8"/>
      <c r="W1427" s="8"/>
      <c r="X1427" s="8"/>
      <c r="Y1427" s="8"/>
      <c r="Z1427" s="8"/>
      <c r="AA1427" s="8"/>
      <c r="AB1427" s="8"/>
      <c r="AC1427" s="8"/>
      <c r="AD1427" s="24"/>
      <c r="AE1427" s="24"/>
      <c r="AF1427" s="8"/>
      <c r="AG1427" s="8"/>
      <c r="AH1427" s="8"/>
      <c r="AI1427" s="8"/>
    </row>
    <row r="1428" spans="1:35" ht="15.75" customHeight="1" x14ac:dyDescent="0.25">
      <c r="A1428" s="8"/>
      <c r="B1428" s="8"/>
      <c r="C1428" s="8"/>
      <c r="D1428" s="8"/>
      <c r="E1428" s="50"/>
      <c r="F1428" s="51"/>
      <c r="G1428" s="51"/>
      <c r="H1428" s="52"/>
      <c r="I1428" s="52"/>
      <c r="J1428" s="52"/>
      <c r="K1428" s="52"/>
      <c r="L1428" s="52"/>
      <c r="M1428" s="48"/>
      <c r="N1428" s="52"/>
      <c r="O1428" s="22"/>
      <c r="P1428" s="22"/>
      <c r="Q1428" s="8"/>
      <c r="R1428" s="8"/>
      <c r="S1428" s="8"/>
      <c r="T1428" s="8"/>
      <c r="U1428" s="8"/>
      <c r="V1428" s="8"/>
      <c r="W1428" s="8"/>
      <c r="X1428" s="8"/>
      <c r="Y1428" s="8"/>
      <c r="Z1428" s="8"/>
      <c r="AA1428" s="8"/>
      <c r="AB1428" s="8"/>
      <c r="AC1428" s="8"/>
      <c r="AD1428" s="24"/>
      <c r="AE1428" s="24"/>
      <c r="AF1428" s="8"/>
      <c r="AG1428" s="8"/>
      <c r="AH1428" s="8"/>
      <c r="AI1428" s="8"/>
    </row>
    <row r="1429" spans="1:35" ht="15.75" customHeight="1" x14ac:dyDescent="0.25">
      <c r="A1429" s="8"/>
      <c r="B1429" s="8"/>
      <c r="C1429" s="8"/>
      <c r="D1429" s="8"/>
      <c r="E1429" s="50"/>
      <c r="F1429" s="51"/>
      <c r="G1429" s="51"/>
      <c r="H1429" s="52"/>
      <c r="I1429" s="52"/>
      <c r="J1429" s="52"/>
      <c r="K1429" s="52"/>
      <c r="L1429" s="52"/>
      <c r="M1429" s="49"/>
      <c r="N1429" s="52"/>
      <c r="O1429" s="22"/>
      <c r="P1429" s="22"/>
      <c r="Q1429" s="8"/>
      <c r="R1429" s="8"/>
      <c r="S1429" s="8"/>
      <c r="T1429" s="8"/>
      <c r="U1429" s="8"/>
      <c r="V1429" s="8"/>
      <c r="W1429" s="8"/>
      <c r="X1429" s="8"/>
      <c r="Y1429" s="8"/>
      <c r="Z1429" s="8"/>
      <c r="AA1429" s="8"/>
      <c r="AB1429" s="8"/>
      <c r="AC1429" s="8"/>
      <c r="AD1429" s="24"/>
      <c r="AE1429" s="24"/>
      <c r="AF1429" s="8"/>
      <c r="AG1429" s="8"/>
      <c r="AH1429" s="8"/>
      <c r="AI1429" s="8"/>
    </row>
    <row r="1430" spans="1:35" ht="15.75" customHeight="1" x14ac:dyDescent="0.25">
      <c r="A1430" s="8"/>
      <c r="B1430" s="8"/>
      <c r="C1430" s="8"/>
      <c r="D1430" s="8"/>
      <c r="E1430" s="50"/>
      <c r="F1430" s="51"/>
      <c r="G1430" s="51"/>
      <c r="H1430" s="52"/>
      <c r="I1430" s="52"/>
      <c r="J1430" s="52"/>
      <c r="K1430" s="52"/>
      <c r="L1430" s="52"/>
      <c r="M1430" s="48"/>
      <c r="N1430" s="52"/>
      <c r="O1430" s="22"/>
      <c r="P1430" s="22"/>
      <c r="Q1430" s="8"/>
      <c r="R1430" s="8"/>
      <c r="S1430" s="8"/>
      <c r="T1430" s="8"/>
      <c r="U1430" s="8"/>
      <c r="V1430" s="8"/>
      <c r="W1430" s="8"/>
      <c r="X1430" s="8"/>
      <c r="Y1430" s="8"/>
      <c r="Z1430" s="8"/>
      <c r="AA1430" s="8"/>
      <c r="AB1430" s="8"/>
      <c r="AC1430" s="8"/>
      <c r="AD1430" s="24"/>
      <c r="AE1430" s="24"/>
      <c r="AF1430" s="8"/>
      <c r="AG1430" s="8"/>
      <c r="AH1430" s="8"/>
      <c r="AI1430" s="8"/>
    </row>
    <row r="1431" spans="1:35" ht="15.75" customHeight="1" x14ac:dyDescent="0.25">
      <c r="A1431" s="8"/>
      <c r="B1431" s="8"/>
      <c r="C1431" s="8"/>
      <c r="D1431" s="8"/>
      <c r="E1431" s="50"/>
      <c r="F1431" s="51"/>
      <c r="G1431" s="51"/>
      <c r="H1431" s="52"/>
      <c r="I1431" s="52"/>
      <c r="J1431" s="52"/>
      <c r="K1431" s="52"/>
      <c r="L1431" s="52"/>
      <c r="M1431" s="52"/>
      <c r="N1431" s="52"/>
      <c r="O1431" s="22"/>
      <c r="P1431" s="22"/>
      <c r="Q1431" s="8"/>
      <c r="R1431" s="8"/>
      <c r="S1431" s="8"/>
      <c r="T1431" s="8"/>
      <c r="U1431" s="8"/>
      <c r="V1431" s="8"/>
      <c r="W1431" s="8"/>
      <c r="X1431" s="8"/>
      <c r="Y1431" s="8"/>
      <c r="Z1431" s="8"/>
      <c r="AA1431" s="8"/>
      <c r="AB1431" s="8"/>
      <c r="AC1431" s="8"/>
      <c r="AD1431" s="24"/>
      <c r="AE1431" s="24"/>
      <c r="AF1431" s="8"/>
      <c r="AG1431" s="8"/>
      <c r="AH1431" s="8"/>
      <c r="AI1431" s="8"/>
    </row>
    <row r="1432" spans="1:35" ht="15.75" customHeight="1" x14ac:dyDescent="0.25">
      <c r="A1432" s="8"/>
      <c r="B1432" s="8"/>
      <c r="C1432" s="8"/>
      <c r="D1432" s="8"/>
      <c r="E1432" s="50"/>
      <c r="F1432" s="51"/>
      <c r="G1432" s="51"/>
      <c r="H1432" s="52"/>
      <c r="I1432" s="52"/>
      <c r="J1432" s="52"/>
      <c r="K1432" s="52"/>
      <c r="L1432" s="52"/>
      <c r="M1432" s="52"/>
      <c r="N1432" s="52"/>
      <c r="O1432" s="22"/>
      <c r="P1432" s="22"/>
      <c r="Q1432" s="8"/>
      <c r="R1432" s="8"/>
      <c r="S1432" s="8"/>
      <c r="T1432" s="8"/>
      <c r="U1432" s="8"/>
      <c r="V1432" s="8"/>
      <c r="W1432" s="8"/>
      <c r="X1432" s="8"/>
      <c r="Y1432" s="8"/>
      <c r="Z1432" s="8"/>
      <c r="AA1432" s="8"/>
      <c r="AB1432" s="8"/>
      <c r="AC1432" s="8"/>
      <c r="AD1432" s="24"/>
      <c r="AE1432" s="24"/>
      <c r="AF1432" s="8"/>
      <c r="AG1432" s="8"/>
      <c r="AH1432" s="8"/>
      <c r="AI1432" s="8"/>
    </row>
    <row r="1433" spans="1:35" ht="15.75" customHeight="1" x14ac:dyDescent="0.25">
      <c r="A1433" s="8"/>
      <c r="B1433" s="8"/>
      <c r="C1433" s="8"/>
      <c r="D1433" s="8"/>
      <c r="E1433" s="50"/>
      <c r="F1433" s="51"/>
      <c r="G1433" s="51"/>
      <c r="H1433" s="52"/>
      <c r="I1433" s="52"/>
      <c r="J1433" s="52"/>
      <c r="K1433" s="52"/>
      <c r="L1433" s="52"/>
      <c r="M1433" s="52"/>
      <c r="N1433" s="52"/>
      <c r="O1433" s="22"/>
      <c r="P1433" s="22"/>
      <c r="Q1433" s="8"/>
      <c r="R1433" s="8"/>
      <c r="S1433" s="8"/>
      <c r="T1433" s="8"/>
      <c r="U1433" s="8"/>
      <c r="V1433" s="8"/>
      <c r="W1433" s="8"/>
      <c r="X1433" s="8"/>
      <c r="Y1433" s="8"/>
      <c r="Z1433" s="8"/>
      <c r="AA1433" s="8"/>
      <c r="AB1433" s="8"/>
      <c r="AC1433" s="8"/>
      <c r="AD1433" s="24"/>
      <c r="AE1433" s="24"/>
      <c r="AF1433" s="8"/>
      <c r="AG1433" s="8"/>
      <c r="AH1433" s="8"/>
      <c r="AI1433" s="8"/>
    </row>
    <row r="1434" spans="1:35" ht="15.75" customHeight="1" x14ac:dyDescent="0.25">
      <c r="A1434" s="8"/>
      <c r="B1434" s="8"/>
      <c r="C1434" s="8"/>
      <c r="D1434" s="8"/>
      <c r="E1434" s="50"/>
      <c r="F1434" s="51"/>
      <c r="G1434" s="51"/>
      <c r="H1434" s="52"/>
      <c r="I1434" s="52"/>
      <c r="J1434" s="52"/>
      <c r="K1434" s="52"/>
      <c r="L1434" s="52"/>
      <c r="M1434" s="48"/>
      <c r="N1434" s="52"/>
      <c r="O1434" s="22"/>
      <c r="P1434" s="22"/>
      <c r="Q1434" s="8"/>
      <c r="R1434" s="8"/>
      <c r="S1434" s="8"/>
      <c r="T1434" s="8"/>
      <c r="U1434" s="8"/>
      <c r="V1434" s="8"/>
      <c r="W1434" s="8"/>
      <c r="X1434" s="8"/>
      <c r="Y1434" s="8"/>
      <c r="Z1434" s="8"/>
      <c r="AA1434" s="8"/>
      <c r="AB1434" s="8"/>
      <c r="AC1434" s="8"/>
      <c r="AD1434" s="24"/>
      <c r="AE1434" s="24"/>
      <c r="AF1434" s="8"/>
      <c r="AG1434" s="8"/>
      <c r="AH1434" s="8"/>
      <c r="AI1434" s="8"/>
    </row>
    <row r="1435" spans="1:35" ht="15.75" customHeight="1" x14ac:dyDescent="0.25">
      <c r="A1435" s="8"/>
      <c r="B1435" s="8"/>
      <c r="C1435" s="8"/>
      <c r="D1435" s="8"/>
      <c r="E1435" s="50"/>
      <c r="F1435" s="51"/>
      <c r="G1435" s="51"/>
      <c r="H1435" s="52"/>
      <c r="I1435" s="52"/>
      <c r="J1435" s="52"/>
      <c r="K1435" s="52"/>
      <c r="L1435" s="52"/>
      <c r="M1435" s="48"/>
      <c r="N1435" s="52"/>
      <c r="O1435" s="22"/>
      <c r="P1435" s="22"/>
      <c r="Q1435" s="8"/>
      <c r="R1435" s="8"/>
      <c r="S1435" s="8"/>
      <c r="T1435" s="8"/>
      <c r="U1435" s="8"/>
      <c r="V1435" s="8"/>
      <c r="W1435" s="8"/>
      <c r="X1435" s="8"/>
      <c r="Y1435" s="8"/>
      <c r="Z1435" s="8"/>
      <c r="AA1435" s="8"/>
      <c r="AB1435" s="8"/>
      <c r="AC1435" s="8"/>
      <c r="AD1435" s="24"/>
      <c r="AE1435" s="24"/>
      <c r="AF1435" s="8"/>
      <c r="AG1435" s="8"/>
      <c r="AH1435" s="8"/>
      <c r="AI1435" s="8"/>
    </row>
    <row r="1436" spans="1:35" ht="15.75" customHeight="1" x14ac:dyDescent="0.25">
      <c r="A1436" s="8"/>
      <c r="B1436" s="8"/>
      <c r="C1436" s="8"/>
      <c r="D1436" s="8"/>
      <c r="E1436" s="50"/>
      <c r="F1436" s="51"/>
      <c r="G1436" s="51"/>
      <c r="H1436" s="52"/>
      <c r="I1436" s="52"/>
      <c r="J1436" s="52"/>
      <c r="K1436" s="52"/>
      <c r="L1436" s="52"/>
      <c r="M1436" s="48"/>
      <c r="N1436" s="52"/>
      <c r="O1436" s="22"/>
      <c r="P1436" s="22"/>
      <c r="Q1436" s="8"/>
      <c r="R1436" s="8"/>
      <c r="S1436" s="8"/>
      <c r="T1436" s="8"/>
      <c r="U1436" s="8"/>
      <c r="V1436" s="8"/>
      <c r="W1436" s="8"/>
      <c r="X1436" s="8"/>
      <c r="Y1436" s="8"/>
      <c r="Z1436" s="8"/>
      <c r="AA1436" s="8"/>
      <c r="AB1436" s="8"/>
      <c r="AC1436" s="8"/>
      <c r="AD1436" s="24"/>
      <c r="AE1436" s="24"/>
      <c r="AF1436" s="8"/>
      <c r="AG1436" s="8"/>
      <c r="AH1436" s="8"/>
      <c r="AI1436" s="8"/>
    </row>
    <row r="1437" spans="1:35" ht="15.75" customHeight="1" x14ac:dyDescent="0.25">
      <c r="A1437" s="8"/>
      <c r="B1437" s="8"/>
      <c r="C1437" s="8"/>
      <c r="D1437" s="8"/>
      <c r="E1437" s="50"/>
      <c r="F1437" s="51"/>
      <c r="G1437" s="51"/>
      <c r="H1437" s="52"/>
      <c r="I1437" s="52"/>
      <c r="J1437" s="52"/>
      <c r="K1437" s="52"/>
      <c r="L1437" s="52"/>
      <c r="M1437" s="48"/>
      <c r="N1437" s="52"/>
      <c r="O1437" s="22"/>
      <c r="P1437" s="22"/>
      <c r="Q1437" s="8"/>
      <c r="R1437" s="8"/>
      <c r="S1437" s="8"/>
      <c r="T1437" s="8"/>
      <c r="U1437" s="8"/>
      <c r="V1437" s="8"/>
      <c r="W1437" s="8"/>
      <c r="X1437" s="8"/>
      <c r="Y1437" s="8"/>
      <c r="Z1437" s="8"/>
      <c r="AA1437" s="8"/>
      <c r="AB1437" s="8"/>
      <c r="AC1437" s="8"/>
      <c r="AD1437" s="24"/>
      <c r="AE1437" s="24"/>
      <c r="AF1437" s="8"/>
      <c r="AG1437" s="8"/>
      <c r="AH1437" s="8"/>
      <c r="AI1437" s="8"/>
    </row>
    <row r="1438" spans="1:35" ht="15.75" customHeight="1" x14ac:dyDescent="0.25">
      <c r="A1438" s="8"/>
      <c r="B1438" s="8"/>
      <c r="C1438" s="8"/>
      <c r="D1438" s="8"/>
      <c r="E1438" s="50"/>
      <c r="F1438" s="51"/>
      <c r="G1438" s="51"/>
      <c r="H1438" s="52"/>
      <c r="I1438" s="52"/>
      <c r="J1438" s="52"/>
      <c r="K1438" s="52"/>
      <c r="L1438" s="52"/>
      <c r="M1438" s="48"/>
      <c r="N1438" s="52"/>
      <c r="O1438" s="22"/>
      <c r="P1438" s="22"/>
      <c r="Q1438" s="8"/>
      <c r="R1438" s="8"/>
      <c r="S1438" s="8"/>
      <c r="T1438" s="8"/>
      <c r="U1438" s="8"/>
      <c r="V1438" s="8"/>
      <c r="W1438" s="8"/>
      <c r="X1438" s="8"/>
      <c r="Y1438" s="8"/>
      <c r="Z1438" s="8"/>
      <c r="AA1438" s="8"/>
      <c r="AB1438" s="8"/>
      <c r="AC1438" s="8"/>
      <c r="AD1438" s="24"/>
      <c r="AE1438" s="24"/>
      <c r="AF1438" s="8"/>
      <c r="AG1438" s="8"/>
      <c r="AH1438" s="8"/>
      <c r="AI1438" s="8"/>
    </row>
    <row r="1439" spans="1:35" ht="15.75" customHeight="1" x14ac:dyDescent="0.25">
      <c r="A1439" s="8"/>
      <c r="B1439" s="8"/>
      <c r="C1439" s="8"/>
      <c r="D1439" s="8"/>
      <c r="E1439" s="50"/>
      <c r="F1439" s="51"/>
      <c r="G1439" s="51"/>
      <c r="H1439" s="52"/>
      <c r="I1439" s="52"/>
      <c r="J1439" s="52"/>
      <c r="K1439" s="52"/>
      <c r="L1439" s="52"/>
      <c r="M1439" s="48"/>
      <c r="N1439" s="52"/>
      <c r="O1439" s="22"/>
      <c r="P1439" s="22"/>
      <c r="Q1439" s="8"/>
      <c r="R1439" s="8"/>
      <c r="S1439" s="8"/>
      <c r="T1439" s="8"/>
      <c r="U1439" s="8"/>
      <c r="V1439" s="8"/>
      <c r="W1439" s="8"/>
      <c r="X1439" s="8"/>
      <c r="Y1439" s="8"/>
      <c r="Z1439" s="8"/>
      <c r="AA1439" s="8"/>
      <c r="AB1439" s="8"/>
      <c r="AC1439" s="8"/>
      <c r="AD1439" s="24"/>
      <c r="AE1439" s="24"/>
      <c r="AF1439" s="8"/>
      <c r="AG1439" s="8"/>
      <c r="AH1439" s="8"/>
      <c r="AI1439" s="8"/>
    </row>
    <row r="1440" spans="1:35" ht="15.75" customHeight="1" x14ac:dyDescent="0.25">
      <c r="A1440" s="8"/>
      <c r="B1440" s="8"/>
      <c r="C1440" s="8"/>
      <c r="D1440" s="8"/>
      <c r="E1440" s="50"/>
      <c r="F1440" s="51"/>
      <c r="G1440" s="51"/>
      <c r="H1440" s="52"/>
      <c r="I1440" s="52"/>
      <c r="J1440" s="52"/>
      <c r="K1440" s="52"/>
      <c r="L1440" s="52"/>
      <c r="M1440" s="49"/>
      <c r="N1440" s="52"/>
      <c r="O1440" s="22"/>
      <c r="P1440" s="22"/>
      <c r="Q1440" s="8"/>
      <c r="R1440" s="8"/>
      <c r="S1440" s="8"/>
      <c r="T1440" s="8"/>
      <c r="U1440" s="8"/>
      <c r="V1440" s="8"/>
      <c r="W1440" s="8"/>
      <c r="X1440" s="8"/>
      <c r="Y1440" s="8"/>
      <c r="Z1440" s="8"/>
      <c r="AA1440" s="8"/>
      <c r="AB1440" s="8"/>
      <c r="AC1440" s="8"/>
      <c r="AD1440" s="24"/>
      <c r="AE1440" s="24"/>
      <c r="AF1440" s="8"/>
      <c r="AG1440" s="8"/>
      <c r="AH1440" s="8"/>
      <c r="AI1440" s="8"/>
    </row>
    <row r="1441" spans="1:35" ht="15.75" customHeight="1" x14ac:dyDescent="0.25">
      <c r="A1441" s="8"/>
      <c r="B1441" s="8"/>
      <c r="C1441" s="8"/>
      <c r="D1441" s="8"/>
      <c r="E1441" s="50"/>
      <c r="F1441" s="51"/>
      <c r="G1441" s="51"/>
      <c r="H1441" s="52"/>
      <c r="I1441" s="52"/>
      <c r="J1441" s="52"/>
      <c r="K1441" s="52"/>
      <c r="L1441" s="52"/>
      <c r="M1441" s="49"/>
      <c r="N1441" s="52"/>
      <c r="O1441" s="22"/>
      <c r="P1441" s="22"/>
      <c r="Q1441" s="8"/>
      <c r="R1441" s="8"/>
      <c r="S1441" s="8"/>
      <c r="T1441" s="8"/>
      <c r="U1441" s="8"/>
      <c r="V1441" s="8"/>
      <c r="W1441" s="8"/>
      <c r="X1441" s="8"/>
      <c r="Y1441" s="8"/>
      <c r="Z1441" s="8"/>
      <c r="AA1441" s="8"/>
      <c r="AB1441" s="8"/>
      <c r="AC1441" s="8"/>
      <c r="AD1441" s="24"/>
      <c r="AE1441" s="24"/>
      <c r="AF1441" s="8"/>
      <c r="AG1441" s="8"/>
      <c r="AH1441" s="8"/>
      <c r="AI1441" s="8"/>
    </row>
    <row r="1442" spans="1:35" ht="15.75" customHeight="1" x14ac:dyDescent="0.25">
      <c r="A1442" s="8"/>
      <c r="B1442" s="8"/>
      <c r="C1442" s="8"/>
      <c r="D1442" s="8"/>
      <c r="E1442" s="50"/>
      <c r="F1442" s="51"/>
      <c r="G1442" s="51"/>
      <c r="H1442" s="52"/>
      <c r="I1442" s="52"/>
      <c r="J1442" s="52"/>
      <c r="K1442" s="52"/>
      <c r="L1442" s="52"/>
      <c r="M1442" s="48"/>
      <c r="N1442" s="52"/>
      <c r="O1442" s="22"/>
      <c r="P1442" s="22"/>
      <c r="Q1442" s="8"/>
      <c r="R1442" s="8"/>
      <c r="S1442" s="8"/>
      <c r="T1442" s="8"/>
      <c r="U1442" s="8"/>
      <c r="V1442" s="8"/>
      <c r="W1442" s="8"/>
      <c r="X1442" s="8"/>
      <c r="Y1442" s="8"/>
      <c r="Z1442" s="8"/>
      <c r="AA1442" s="8"/>
      <c r="AB1442" s="8"/>
      <c r="AC1442" s="8"/>
      <c r="AD1442" s="24"/>
      <c r="AE1442" s="24"/>
      <c r="AF1442" s="8"/>
      <c r="AG1442" s="8"/>
      <c r="AH1442" s="8"/>
      <c r="AI1442" s="8"/>
    </row>
    <row r="1443" spans="1:35" ht="15.75" customHeight="1" x14ac:dyDescent="0.25">
      <c r="A1443" s="8"/>
      <c r="B1443" s="8"/>
      <c r="C1443" s="8"/>
      <c r="D1443" s="8"/>
      <c r="E1443" s="50"/>
      <c r="F1443" s="51"/>
      <c r="G1443" s="51"/>
      <c r="H1443" s="52"/>
      <c r="I1443" s="52"/>
      <c r="J1443" s="52"/>
      <c r="K1443" s="52"/>
      <c r="L1443" s="52"/>
      <c r="M1443" s="49"/>
      <c r="N1443" s="52"/>
      <c r="O1443" s="22"/>
      <c r="P1443" s="22"/>
      <c r="Q1443" s="8"/>
      <c r="R1443" s="8"/>
      <c r="S1443" s="8"/>
      <c r="T1443" s="8"/>
      <c r="U1443" s="8"/>
      <c r="V1443" s="8"/>
      <c r="W1443" s="8"/>
      <c r="X1443" s="8"/>
      <c r="Y1443" s="8"/>
      <c r="Z1443" s="8"/>
      <c r="AA1443" s="8"/>
      <c r="AB1443" s="8"/>
      <c r="AC1443" s="8"/>
      <c r="AD1443" s="24"/>
      <c r="AE1443" s="24"/>
      <c r="AF1443" s="8"/>
      <c r="AG1443" s="8"/>
      <c r="AH1443" s="8"/>
      <c r="AI1443" s="8"/>
    </row>
    <row r="1444" spans="1:35" ht="15.75" customHeight="1" x14ac:dyDescent="0.25">
      <c r="A1444" s="8"/>
      <c r="B1444" s="8"/>
      <c r="C1444" s="8"/>
      <c r="D1444" s="8"/>
      <c r="E1444" s="50"/>
      <c r="F1444" s="51"/>
      <c r="G1444" s="51"/>
      <c r="H1444" s="52"/>
      <c r="I1444" s="52"/>
      <c r="J1444" s="52"/>
      <c r="K1444" s="52"/>
      <c r="L1444" s="52"/>
      <c r="M1444" s="48"/>
      <c r="N1444" s="52"/>
      <c r="O1444" s="22"/>
      <c r="P1444" s="22"/>
      <c r="Q1444" s="8"/>
      <c r="R1444" s="8"/>
      <c r="S1444" s="8"/>
      <c r="T1444" s="8"/>
      <c r="U1444" s="8"/>
      <c r="V1444" s="8"/>
      <c r="W1444" s="8"/>
      <c r="X1444" s="8"/>
      <c r="Y1444" s="8"/>
      <c r="Z1444" s="8"/>
      <c r="AA1444" s="8"/>
      <c r="AB1444" s="8"/>
      <c r="AC1444" s="8"/>
      <c r="AD1444" s="24"/>
      <c r="AE1444" s="24"/>
      <c r="AF1444" s="8"/>
      <c r="AG1444" s="8"/>
      <c r="AH1444" s="8"/>
      <c r="AI1444" s="8"/>
    </row>
    <row r="1445" spans="1:35" ht="15.75" customHeight="1" x14ac:dyDescent="0.25">
      <c r="A1445" s="8"/>
      <c r="B1445" s="8"/>
      <c r="C1445" s="8"/>
      <c r="D1445" s="8"/>
      <c r="E1445" s="50"/>
      <c r="F1445" s="51"/>
      <c r="G1445" s="51"/>
      <c r="H1445" s="52"/>
      <c r="I1445" s="52"/>
      <c r="J1445" s="52"/>
      <c r="K1445" s="52"/>
      <c r="L1445" s="52"/>
      <c r="M1445" s="48"/>
      <c r="N1445" s="52"/>
      <c r="O1445" s="22"/>
      <c r="P1445" s="22"/>
      <c r="Q1445" s="8"/>
      <c r="R1445" s="8"/>
      <c r="S1445" s="8"/>
      <c r="T1445" s="8"/>
      <c r="U1445" s="8"/>
      <c r="V1445" s="8"/>
      <c r="W1445" s="8"/>
      <c r="X1445" s="8"/>
      <c r="Y1445" s="8"/>
      <c r="Z1445" s="8"/>
      <c r="AA1445" s="8"/>
      <c r="AB1445" s="8"/>
      <c r="AC1445" s="8"/>
      <c r="AD1445" s="24"/>
      <c r="AE1445" s="24"/>
      <c r="AF1445" s="8"/>
      <c r="AG1445" s="8"/>
      <c r="AH1445" s="8"/>
      <c r="AI1445" s="8"/>
    </row>
    <row r="1446" spans="1:35" ht="15.75" customHeight="1" x14ac:dyDescent="0.25">
      <c r="A1446" s="8"/>
      <c r="B1446" s="8"/>
      <c r="C1446" s="8"/>
      <c r="D1446" s="8"/>
      <c r="E1446" s="50"/>
      <c r="F1446" s="51"/>
      <c r="G1446" s="51"/>
      <c r="H1446" s="52"/>
      <c r="I1446" s="52"/>
      <c r="J1446" s="52"/>
      <c r="K1446" s="52"/>
      <c r="L1446" s="52"/>
      <c r="M1446" s="48"/>
      <c r="N1446" s="52"/>
      <c r="O1446" s="22"/>
      <c r="P1446" s="22"/>
      <c r="Q1446" s="8"/>
      <c r="R1446" s="8"/>
      <c r="S1446" s="8"/>
      <c r="T1446" s="8"/>
      <c r="U1446" s="8"/>
      <c r="V1446" s="8"/>
      <c r="W1446" s="8"/>
      <c r="X1446" s="8"/>
      <c r="Y1446" s="8"/>
      <c r="Z1446" s="8"/>
      <c r="AA1446" s="8"/>
      <c r="AB1446" s="8"/>
      <c r="AC1446" s="8"/>
      <c r="AD1446" s="24"/>
      <c r="AE1446" s="24"/>
      <c r="AF1446" s="8"/>
      <c r="AG1446" s="8"/>
      <c r="AH1446" s="8"/>
      <c r="AI1446" s="8"/>
    </row>
    <row r="1447" spans="1:35" ht="15.75" customHeight="1" x14ac:dyDescent="0.25">
      <c r="A1447" s="8"/>
      <c r="B1447" s="8"/>
      <c r="C1447" s="8"/>
      <c r="D1447" s="8"/>
      <c r="E1447" s="50"/>
      <c r="F1447" s="51"/>
      <c r="G1447" s="51"/>
      <c r="H1447" s="52"/>
      <c r="I1447" s="52"/>
      <c r="J1447" s="52"/>
      <c r="K1447" s="52"/>
      <c r="L1447" s="52"/>
      <c r="M1447" s="48"/>
      <c r="N1447" s="52"/>
      <c r="O1447" s="22"/>
      <c r="P1447" s="22"/>
      <c r="Q1447" s="8"/>
      <c r="R1447" s="8"/>
      <c r="S1447" s="8"/>
      <c r="T1447" s="8"/>
      <c r="U1447" s="8"/>
      <c r="V1447" s="8"/>
      <c r="W1447" s="8"/>
      <c r="X1447" s="8"/>
      <c r="Y1447" s="8"/>
      <c r="Z1447" s="8"/>
      <c r="AA1447" s="8"/>
      <c r="AB1447" s="8"/>
      <c r="AC1447" s="8"/>
      <c r="AD1447" s="24"/>
      <c r="AE1447" s="24"/>
      <c r="AF1447" s="8"/>
      <c r="AG1447" s="8"/>
      <c r="AH1447" s="8"/>
      <c r="AI1447" s="8"/>
    </row>
    <row r="1448" spans="1:35" ht="15.75" customHeight="1" x14ac:dyDescent="0.25">
      <c r="A1448" s="8"/>
      <c r="B1448" s="8"/>
      <c r="C1448" s="8"/>
      <c r="D1448" s="8"/>
      <c r="E1448" s="50"/>
      <c r="F1448" s="51"/>
      <c r="G1448" s="51"/>
      <c r="H1448" s="52"/>
      <c r="I1448" s="52"/>
      <c r="J1448" s="52"/>
      <c r="K1448" s="52"/>
      <c r="L1448" s="52"/>
      <c r="M1448" s="52"/>
      <c r="N1448" s="52"/>
      <c r="O1448" s="22"/>
      <c r="P1448" s="22"/>
      <c r="Q1448" s="8"/>
      <c r="R1448" s="8"/>
      <c r="S1448" s="8"/>
      <c r="T1448" s="8"/>
      <c r="U1448" s="8"/>
      <c r="V1448" s="8"/>
      <c r="W1448" s="8"/>
      <c r="X1448" s="8"/>
      <c r="Y1448" s="8"/>
      <c r="Z1448" s="8"/>
      <c r="AA1448" s="8"/>
      <c r="AB1448" s="8"/>
      <c r="AC1448" s="8"/>
      <c r="AD1448" s="24"/>
      <c r="AE1448" s="24"/>
      <c r="AF1448" s="8"/>
      <c r="AG1448" s="8"/>
      <c r="AH1448" s="8"/>
      <c r="AI1448" s="8"/>
    </row>
    <row r="1449" spans="1:35" ht="15.75" customHeight="1" x14ac:dyDescent="0.25">
      <c r="A1449" s="8"/>
      <c r="B1449" s="8"/>
      <c r="C1449" s="8"/>
      <c r="D1449" s="8"/>
      <c r="E1449" s="50"/>
      <c r="F1449" s="51"/>
      <c r="G1449" s="51"/>
      <c r="H1449" s="52"/>
      <c r="I1449" s="52"/>
      <c r="J1449" s="52"/>
      <c r="K1449" s="52"/>
      <c r="L1449" s="52"/>
      <c r="M1449" s="48"/>
      <c r="N1449" s="52"/>
      <c r="O1449" s="22"/>
      <c r="P1449" s="22"/>
      <c r="Q1449" s="8"/>
      <c r="R1449" s="8"/>
      <c r="S1449" s="8"/>
      <c r="T1449" s="8"/>
      <c r="U1449" s="8"/>
      <c r="V1449" s="8"/>
      <c r="W1449" s="8"/>
      <c r="X1449" s="8"/>
      <c r="Y1449" s="8"/>
      <c r="Z1449" s="8"/>
      <c r="AA1449" s="8"/>
      <c r="AB1449" s="8"/>
      <c r="AC1449" s="8"/>
      <c r="AD1449" s="24"/>
      <c r="AE1449" s="24"/>
      <c r="AF1449" s="8"/>
      <c r="AG1449" s="8"/>
      <c r="AH1449" s="8"/>
      <c r="AI1449" s="8"/>
    </row>
    <row r="1450" spans="1:35" ht="15.75" customHeight="1" x14ac:dyDescent="0.25">
      <c r="A1450" s="8"/>
      <c r="B1450" s="8"/>
      <c r="C1450" s="8"/>
      <c r="D1450" s="8"/>
      <c r="E1450" s="50"/>
      <c r="F1450" s="51"/>
      <c r="G1450" s="51"/>
      <c r="H1450" s="52"/>
      <c r="I1450" s="52"/>
      <c r="J1450" s="52"/>
      <c r="K1450" s="52"/>
      <c r="L1450" s="52"/>
      <c r="M1450" s="48"/>
      <c r="N1450" s="52"/>
      <c r="O1450" s="22"/>
      <c r="P1450" s="22"/>
      <c r="Q1450" s="8"/>
      <c r="R1450" s="8"/>
      <c r="S1450" s="8"/>
      <c r="T1450" s="8"/>
      <c r="U1450" s="8"/>
      <c r="V1450" s="8"/>
      <c r="W1450" s="8"/>
      <c r="X1450" s="8"/>
      <c r="Y1450" s="8"/>
      <c r="Z1450" s="8"/>
      <c r="AA1450" s="8"/>
      <c r="AB1450" s="8"/>
      <c r="AC1450" s="8"/>
      <c r="AD1450" s="24"/>
      <c r="AE1450" s="24"/>
      <c r="AF1450" s="8"/>
      <c r="AG1450" s="8"/>
      <c r="AH1450" s="8"/>
      <c r="AI1450" s="8"/>
    </row>
    <row r="1451" spans="1:35" ht="15.75" customHeight="1" x14ac:dyDescent="0.25">
      <c r="A1451" s="8"/>
      <c r="B1451" s="8"/>
      <c r="C1451" s="8"/>
      <c r="D1451" s="8"/>
      <c r="E1451" s="50"/>
      <c r="F1451" s="51"/>
      <c r="G1451" s="51"/>
      <c r="H1451" s="52"/>
      <c r="I1451" s="52"/>
      <c r="J1451" s="52"/>
      <c r="K1451" s="52"/>
      <c r="L1451" s="52"/>
      <c r="M1451" s="48"/>
      <c r="N1451" s="52"/>
      <c r="O1451" s="22"/>
      <c r="P1451" s="22"/>
      <c r="Q1451" s="8"/>
      <c r="R1451" s="8"/>
      <c r="S1451" s="8"/>
      <c r="T1451" s="8"/>
      <c r="U1451" s="8"/>
      <c r="V1451" s="8"/>
      <c r="W1451" s="8"/>
      <c r="X1451" s="8"/>
      <c r="Y1451" s="8"/>
      <c r="Z1451" s="8"/>
      <c r="AA1451" s="8"/>
      <c r="AB1451" s="8"/>
      <c r="AC1451" s="8"/>
      <c r="AD1451" s="24"/>
      <c r="AE1451" s="24"/>
      <c r="AF1451" s="8"/>
      <c r="AG1451" s="8"/>
      <c r="AH1451" s="8"/>
      <c r="AI1451" s="8"/>
    </row>
    <row r="1452" spans="1:35" ht="15.75" customHeight="1" x14ac:dyDescent="0.25">
      <c r="A1452" s="8"/>
      <c r="B1452" s="8"/>
      <c r="C1452" s="8"/>
      <c r="D1452" s="8"/>
      <c r="E1452" s="50"/>
      <c r="F1452" s="51"/>
      <c r="G1452" s="51"/>
      <c r="H1452" s="52"/>
      <c r="I1452" s="52"/>
      <c r="J1452" s="52"/>
      <c r="K1452" s="52"/>
      <c r="L1452" s="52"/>
      <c r="M1452" s="48"/>
      <c r="N1452" s="52"/>
      <c r="O1452" s="22"/>
      <c r="P1452" s="22"/>
      <c r="Q1452" s="8"/>
      <c r="R1452" s="8"/>
      <c r="S1452" s="8"/>
      <c r="T1452" s="8"/>
      <c r="U1452" s="8"/>
      <c r="V1452" s="8"/>
      <c r="W1452" s="8"/>
      <c r="X1452" s="8"/>
      <c r="Y1452" s="8"/>
      <c r="Z1452" s="8"/>
      <c r="AA1452" s="8"/>
      <c r="AB1452" s="8"/>
      <c r="AC1452" s="8"/>
      <c r="AD1452" s="24"/>
      <c r="AE1452" s="24"/>
      <c r="AF1452" s="8"/>
      <c r="AG1452" s="8"/>
      <c r="AH1452" s="8"/>
      <c r="AI1452" s="8"/>
    </row>
    <row r="1453" spans="1:35" ht="15.75" customHeight="1" x14ac:dyDescent="0.25">
      <c r="A1453" s="8"/>
      <c r="B1453" s="8"/>
      <c r="C1453" s="8"/>
      <c r="D1453" s="8"/>
      <c r="E1453" s="50"/>
      <c r="F1453" s="51"/>
      <c r="G1453" s="51"/>
      <c r="H1453" s="52"/>
      <c r="I1453" s="52"/>
      <c r="J1453" s="52"/>
      <c r="K1453" s="52"/>
      <c r="L1453" s="52"/>
      <c r="M1453" s="48"/>
      <c r="N1453" s="52"/>
      <c r="O1453" s="22"/>
      <c r="P1453" s="22"/>
      <c r="Q1453" s="8"/>
      <c r="R1453" s="8"/>
      <c r="S1453" s="8"/>
      <c r="T1453" s="8"/>
      <c r="U1453" s="8"/>
      <c r="V1453" s="8"/>
      <c r="W1453" s="8"/>
      <c r="X1453" s="8"/>
      <c r="Y1453" s="8"/>
      <c r="Z1453" s="8"/>
      <c r="AA1453" s="8"/>
      <c r="AB1453" s="8"/>
      <c r="AC1453" s="8"/>
      <c r="AD1453" s="24"/>
      <c r="AE1453" s="24"/>
      <c r="AF1453" s="8"/>
      <c r="AG1453" s="8"/>
      <c r="AH1453" s="8"/>
      <c r="AI1453" s="8"/>
    </row>
    <row r="1454" spans="1:35" ht="15.75" customHeight="1" x14ac:dyDescent="0.25">
      <c r="A1454" s="8"/>
      <c r="B1454" s="8"/>
      <c r="C1454" s="8"/>
      <c r="D1454" s="8"/>
      <c r="E1454" s="50"/>
      <c r="F1454" s="51"/>
      <c r="G1454" s="51"/>
      <c r="H1454" s="52"/>
      <c r="I1454" s="52"/>
      <c r="J1454" s="52"/>
      <c r="K1454" s="52"/>
      <c r="L1454" s="52"/>
      <c r="M1454" s="48"/>
      <c r="N1454" s="52"/>
      <c r="O1454" s="22"/>
      <c r="P1454" s="22"/>
      <c r="Q1454" s="8"/>
      <c r="R1454" s="8"/>
      <c r="S1454" s="8"/>
      <c r="T1454" s="8"/>
      <c r="U1454" s="8"/>
      <c r="V1454" s="8"/>
      <c r="W1454" s="8"/>
      <c r="X1454" s="8"/>
      <c r="Y1454" s="8"/>
      <c r="Z1454" s="8"/>
      <c r="AA1454" s="8"/>
      <c r="AB1454" s="8"/>
      <c r="AC1454" s="8"/>
      <c r="AD1454" s="24"/>
      <c r="AE1454" s="24"/>
      <c r="AF1454" s="8"/>
      <c r="AG1454" s="8"/>
      <c r="AH1454" s="8"/>
      <c r="AI1454" s="8"/>
    </row>
    <row r="1455" spans="1:35" ht="15.75" customHeight="1" x14ac:dyDescent="0.25">
      <c r="A1455" s="8"/>
      <c r="B1455" s="8"/>
      <c r="C1455" s="8"/>
      <c r="D1455" s="8"/>
      <c r="E1455" s="50"/>
      <c r="F1455" s="51"/>
      <c r="G1455" s="51"/>
      <c r="H1455" s="52"/>
      <c r="I1455" s="52"/>
      <c r="J1455" s="52"/>
      <c r="K1455" s="52"/>
      <c r="L1455" s="52"/>
      <c r="M1455" s="48"/>
      <c r="N1455" s="52"/>
      <c r="O1455" s="22"/>
      <c r="P1455" s="22"/>
      <c r="Q1455" s="8"/>
      <c r="R1455" s="8"/>
      <c r="S1455" s="8"/>
      <c r="T1455" s="8"/>
      <c r="U1455" s="8"/>
      <c r="V1455" s="8"/>
      <c r="W1455" s="8"/>
      <c r="X1455" s="8"/>
      <c r="Y1455" s="8"/>
      <c r="Z1455" s="8"/>
      <c r="AA1455" s="8"/>
      <c r="AB1455" s="8"/>
      <c r="AC1455" s="8"/>
      <c r="AD1455" s="24"/>
      <c r="AE1455" s="24"/>
      <c r="AF1455" s="8"/>
      <c r="AG1455" s="8"/>
      <c r="AH1455" s="8"/>
      <c r="AI1455" s="8"/>
    </row>
    <row r="1456" spans="1:35" ht="15.75" customHeight="1" x14ac:dyDescent="0.25">
      <c r="A1456" s="8"/>
      <c r="B1456" s="8"/>
      <c r="C1456" s="8"/>
      <c r="D1456" s="8"/>
      <c r="E1456" s="50"/>
      <c r="F1456" s="51"/>
      <c r="G1456" s="51"/>
      <c r="H1456" s="52"/>
      <c r="I1456" s="52"/>
      <c r="J1456" s="52"/>
      <c r="K1456" s="52"/>
      <c r="L1456" s="52"/>
      <c r="M1456" s="48"/>
      <c r="N1456" s="52"/>
      <c r="O1456" s="22"/>
      <c r="P1456" s="22"/>
      <c r="Q1456" s="8"/>
      <c r="R1456" s="8"/>
      <c r="S1456" s="8"/>
      <c r="T1456" s="8"/>
      <c r="U1456" s="8"/>
      <c r="V1456" s="8"/>
      <c r="W1456" s="8"/>
      <c r="X1456" s="8"/>
      <c r="Y1456" s="8"/>
      <c r="Z1456" s="8"/>
      <c r="AA1456" s="8"/>
      <c r="AB1456" s="8"/>
      <c r="AC1456" s="8"/>
      <c r="AD1456" s="24"/>
      <c r="AE1456" s="24"/>
      <c r="AF1456" s="8"/>
      <c r="AG1456" s="8"/>
      <c r="AH1456" s="8"/>
      <c r="AI1456" s="8"/>
    </row>
    <row r="1457" spans="1:35" ht="15.75" customHeight="1" x14ac:dyDescent="0.25">
      <c r="A1457" s="8"/>
      <c r="B1457" s="8"/>
      <c r="C1457" s="8"/>
      <c r="D1457" s="8"/>
      <c r="E1457" s="50"/>
      <c r="F1457" s="51"/>
      <c r="G1457" s="51"/>
      <c r="H1457" s="52"/>
      <c r="I1457" s="52"/>
      <c r="J1457" s="52"/>
      <c r="K1457" s="52"/>
      <c r="L1457" s="52"/>
      <c r="M1457" s="48"/>
      <c r="N1457" s="52"/>
      <c r="O1457" s="22"/>
      <c r="P1457" s="22"/>
      <c r="Q1457" s="8"/>
      <c r="R1457" s="8"/>
      <c r="S1457" s="8"/>
      <c r="T1457" s="8"/>
      <c r="U1457" s="8"/>
      <c r="V1457" s="8"/>
      <c r="W1457" s="8"/>
      <c r="X1457" s="8"/>
      <c r="Y1457" s="8"/>
      <c r="Z1457" s="8"/>
      <c r="AA1457" s="8"/>
      <c r="AB1457" s="8"/>
      <c r="AC1457" s="8"/>
      <c r="AD1457" s="24"/>
      <c r="AE1457" s="24"/>
      <c r="AF1457" s="8"/>
      <c r="AG1457" s="8"/>
      <c r="AH1457" s="8"/>
      <c r="AI1457" s="8"/>
    </row>
    <row r="1458" spans="1:35" ht="15.75" customHeight="1" x14ac:dyDescent="0.25">
      <c r="A1458" s="8"/>
      <c r="B1458" s="8"/>
      <c r="C1458" s="8"/>
      <c r="D1458" s="8"/>
      <c r="E1458" s="50"/>
      <c r="F1458" s="51"/>
      <c r="G1458" s="51"/>
      <c r="H1458" s="52"/>
      <c r="I1458" s="52"/>
      <c r="J1458" s="52"/>
      <c r="K1458" s="52"/>
      <c r="L1458" s="52"/>
      <c r="M1458" s="48"/>
      <c r="N1458" s="52"/>
      <c r="O1458" s="22"/>
      <c r="P1458" s="22"/>
      <c r="Q1458" s="8"/>
      <c r="R1458" s="8"/>
      <c r="S1458" s="8"/>
      <c r="T1458" s="8"/>
      <c r="U1458" s="8"/>
      <c r="V1458" s="8"/>
      <c r="W1458" s="8"/>
      <c r="X1458" s="8"/>
      <c r="Y1458" s="8"/>
      <c r="Z1458" s="8"/>
      <c r="AA1458" s="8"/>
      <c r="AB1458" s="8"/>
      <c r="AC1458" s="8"/>
      <c r="AD1458" s="24"/>
      <c r="AE1458" s="24"/>
      <c r="AF1458" s="8"/>
      <c r="AG1458" s="8"/>
      <c r="AH1458" s="8"/>
      <c r="AI1458" s="8"/>
    </row>
    <row r="1459" spans="1:35" ht="15.75" customHeight="1" x14ac:dyDescent="0.25">
      <c r="A1459" s="8"/>
      <c r="B1459" s="8"/>
      <c r="C1459" s="8"/>
      <c r="D1459" s="8"/>
      <c r="E1459" s="50"/>
      <c r="F1459" s="51"/>
      <c r="G1459" s="51"/>
      <c r="H1459" s="52"/>
      <c r="I1459" s="52"/>
      <c r="J1459" s="52"/>
      <c r="K1459" s="52"/>
      <c r="L1459" s="52"/>
      <c r="M1459" s="48"/>
      <c r="N1459" s="52"/>
      <c r="O1459" s="22"/>
      <c r="P1459" s="22"/>
      <c r="Q1459" s="8"/>
      <c r="R1459" s="8"/>
      <c r="S1459" s="8"/>
      <c r="T1459" s="8"/>
      <c r="U1459" s="8"/>
      <c r="V1459" s="8"/>
      <c r="W1459" s="8"/>
      <c r="X1459" s="8"/>
      <c r="Y1459" s="8"/>
      <c r="Z1459" s="8"/>
      <c r="AA1459" s="8"/>
      <c r="AB1459" s="8"/>
      <c r="AC1459" s="8"/>
      <c r="AD1459" s="24"/>
      <c r="AE1459" s="24"/>
      <c r="AF1459" s="8"/>
      <c r="AG1459" s="8"/>
      <c r="AH1459" s="8"/>
      <c r="AI1459" s="8"/>
    </row>
    <row r="1460" spans="1:35" ht="15.75" customHeight="1" x14ac:dyDescent="0.25">
      <c r="A1460" s="8"/>
      <c r="B1460" s="8"/>
      <c r="C1460" s="8"/>
      <c r="D1460" s="8"/>
      <c r="E1460" s="50"/>
      <c r="F1460" s="51"/>
      <c r="G1460" s="51"/>
      <c r="H1460" s="52"/>
      <c r="I1460" s="52"/>
      <c r="J1460" s="52"/>
      <c r="K1460" s="52"/>
      <c r="L1460" s="52"/>
      <c r="M1460" s="48"/>
      <c r="N1460" s="52"/>
      <c r="O1460" s="22"/>
      <c r="P1460" s="22"/>
      <c r="Q1460" s="8"/>
      <c r="R1460" s="8"/>
      <c r="S1460" s="8"/>
      <c r="T1460" s="8"/>
      <c r="U1460" s="8"/>
      <c r="V1460" s="8"/>
      <c r="W1460" s="8"/>
      <c r="X1460" s="8"/>
      <c r="Y1460" s="8"/>
      <c r="Z1460" s="8"/>
      <c r="AA1460" s="8"/>
      <c r="AB1460" s="8"/>
      <c r="AC1460" s="8"/>
      <c r="AD1460" s="24"/>
      <c r="AE1460" s="24"/>
      <c r="AF1460" s="8"/>
      <c r="AG1460" s="8"/>
      <c r="AH1460" s="8"/>
      <c r="AI1460" s="8"/>
    </row>
    <row r="1461" spans="1:35" ht="15.75" customHeight="1" x14ac:dyDescent="0.25">
      <c r="A1461" s="8"/>
      <c r="B1461" s="8"/>
      <c r="C1461" s="8"/>
      <c r="D1461" s="8"/>
      <c r="E1461" s="50"/>
      <c r="F1461" s="51"/>
      <c r="G1461" s="51"/>
      <c r="H1461" s="52"/>
      <c r="I1461" s="52"/>
      <c r="J1461" s="52"/>
      <c r="K1461" s="52"/>
      <c r="L1461" s="52"/>
      <c r="M1461" s="49"/>
      <c r="N1461" s="52"/>
      <c r="O1461" s="22"/>
      <c r="P1461" s="22"/>
      <c r="Q1461" s="8"/>
      <c r="R1461" s="8"/>
      <c r="S1461" s="8"/>
      <c r="T1461" s="8"/>
      <c r="U1461" s="8"/>
      <c r="V1461" s="8"/>
      <c r="W1461" s="8"/>
      <c r="X1461" s="8"/>
      <c r="Y1461" s="8"/>
      <c r="Z1461" s="8"/>
      <c r="AA1461" s="8"/>
      <c r="AB1461" s="8"/>
      <c r="AC1461" s="8"/>
      <c r="AD1461" s="24"/>
      <c r="AE1461" s="24"/>
      <c r="AF1461" s="8"/>
      <c r="AG1461" s="8"/>
      <c r="AH1461" s="8"/>
      <c r="AI1461" s="8"/>
    </row>
    <row r="1462" spans="1:35" ht="15.75" customHeight="1" x14ac:dyDescent="0.25">
      <c r="A1462" s="8"/>
      <c r="B1462" s="8"/>
      <c r="C1462" s="8"/>
      <c r="D1462" s="8"/>
      <c r="E1462" s="50"/>
      <c r="F1462" s="51"/>
      <c r="G1462" s="51"/>
      <c r="H1462" s="52"/>
      <c r="I1462" s="52"/>
      <c r="J1462" s="52"/>
      <c r="K1462" s="52"/>
      <c r="L1462" s="52"/>
      <c r="M1462" s="48"/>
      <c r="N1462" s="52"/>
      <c r="O1462" s="22"/>
      <c r="P1462" s="22"/>
      <c r="Q1462" s="8"/>
      <c r="R1462" s="8"/>
      <c r="S1462" s="8"/>
      <c r="T1462" s="8"/>
      <c r="U1462" s="8"/>
      <c r="V1462" s="8"/>
      <c r="W1462" s="8"/>
      <c r="X1462" s="8"/>
      <c r="Y1462" s="8"/>
      <c r="Z1462" s="8"/>
      <c r="AA1462" s="8"/>
      <c r="AB1462" s="8"/>
      <c r="AC1462" s="8"/>
      <c r="AD1462" s="24"/>
      <c r="AE1462" s="24"/>
      <c r="AF1462" s="8"/>
      <c r="AG1462" s="8"/>
      <c r="AH1462" s="8"/>
      <c r="AI1462" s="8"/>
    </row>
    <row r="1463" spans="1:35" ht="15.75" customHeight="1" x14ac:dyDescent="0.25">
      <c r="A1463" s="8"/>
      <c r="B1463" s="8"/>
      <c r="C1463" s="8"/>
      <c r="D1463" s="8"/>
      <c r="E1463" s="50"/>
      <c r="F1463" s="51"/>
      <c r="G1463" s="51"/>
      <c r="H1463" s="52"/>
      <c r="I1463" s="52"/>
      <c r="J1463" s="52"/>
      <c r="K1463" s="52"/>
      <c r="L1463" s="52"/>
      <c r="M1463" s="49"/>
      <c r="N1463" s="52"/>
      <c r="O1463" s="22"/>
      <c r="P1463" s="22"/>
      <c r="Q1463" s="8"/>
      <c r="R1463" s="8"/>
      <c r="S1463" s="8"/>
      <c r="T1463" s="8"/>
      <c r="U1463" s="8"/>
      <c r="V1463" s="8"/>
      <c r="W1463" s="8"/>
      <c r="X1463" s="8"/>
      <c r="Y1463" s="8"/>
      <c r="Z1463" s="8"/>
      <c r="AA1463" s="8"/>
      <c r="AB1463" s="8"/>
      <c r="AC1463" s="8"/>
      <c r="AD1463" s="24"/>
      <c r="AE1463" s="24"/>
      <c r="AF1463" s="8"/>
      <c r="AG1463" s="8"/>
      <c r="AH1463" s="8"/>
      <c r="AI1463" s="8"/>
    </row>
    <row r="1464" spans="1:35" ht="15.75" customHeight="1" x14ac:dyDescent="0.25">
      <c r="A1464" s="8"/>
      <c r="B1464" s="8"/>
      <c r="C1464" s="8"/>
      <c r="D1464" s="8"/>
      <c r="E1464" s="50"/>
      <c r="F1464" s="51"/>
      <c r="G1464" s="51"/>
      <c r="H1464" s="52"/>
      <c r="I1464" s="52"/>
      <c r="J1464" s="52"/>
      <c r="K1464" s="52"/>
      <c r="L1464" s="52"/>
      <c r="M1464" s="52"/>
      <c r="N1464" s="52"/>
      <c r="O1464" s="22"/>
      <c r="P1464" s="22"/>
      <c r="Q1464" s="8"/>
      <c r="R1464" s="8"/>
      <c r="S1464" s="8"/>
      <c r="T1464" s="8"/>
      <c r="U1464" s="8"/>
      <c r="V1464" s="8"/>
      <c r="W1464" s="8"/>
      <c r="X1464" s="8"/>
      <c r="Y1464" s="8"/>
      <c r="Z1464" s="8"/>
      <c r="AA1464" s="8"/>
      <c r="AB1464" s="8"/>
      <c r="AC1464" s="8"/>
      <c r="AD1464" s="24"/>
      <c r="AE1464" s="24"/>
      <c r="AF1464" s="8"/>
      <c r="AG1464" s="8"/>
      <c r="AH1464" s="8"/>
      <c r="AI1464" s="8"/>
    </row>
    <row r="1465" spans="1:35" ht="15.75" customHeight="1" x14ac:dyDescent="0.25">
      <c r="A1465" s="8"/>
      <c r="B1465" s="8"/>
      <c r="C1465" s="8"/>
      <c r="D1465" s="8"/>
      <c r="E1465" s="50"/>
      <c r="F1465" s="51"/>
      <c r="G1465" s="51"/>
      <c r="H1465" s="52"/>
      <c r="I1465" s="52"/>
      <c r="J1465" s="52"/>
      <c r="K1465" s="52"/>
      <c r="L1465" s="52"/>
      <c r="M1465" s="48"/>
      <c r="N1465" s="52"/>
      <c r="O1465" s="22"/>
      <c r="P1465" s="22"/>
      <c r="Q1465" s="8"/>
      <c r="R1465" s="8"/>
      <c r="S1465" s="8"/>
      <c r="T1465" s="8"/>
      <c r="U1465" s="8"/>
      <c r="V1465" s="8"/>
      <c r="W1465" s="8"/>
      <c r="X1465" s="8"/>
      <c r="Y1465" s="8"/>
      <c r="Z1465" s="8"/>
      <c r="AA1465" s="8"/>
      <c r="AB1465" s="8"/>
      <c r="AC1465" s="8"/>
      <c r="AD1465" s="24"/>
      <c r="AE1465" s="24"/>
      <c r="AF1465" s="8"/>
      <c r="AG1465" s="8"/>
      <c r="AH1465" s="8"/>
      <c r="AI1465" s="8"/>
    </row>
    <row r="1466" spans="1:35" ht="15.75" customHeight="1" x14ac:dyDescent="0.25">
      <c r="A1466" s="8"/>
      <c r="B1466" s="8"/>
      <c r="C1466" s="8"/>
      <c r="D1466" s="8"/>
      <c r="E1466" s="50"/>
      <c r="F1466" s="51"/>
      <c r="G1466" s="51"/>
      <c r="H1466" s="52"/>
      <c r="I1466" s="52"/>
      <c r="J1466" s="52"/>
      <c r="K1466" s="52"/>
      <c r="L1466" s="52"/>
      <c r="M1466" s="52"/>
      <c r="N1466" s="52"/>
      <c r="O1466" s="22"/>
      <c r="P1466" s="22"/>
      <c r="Q1466" s="8"/>
      <c r="R1466" s="8"/>
      <c r="S1466" s="8"/>
      <c r="T1466" s="8"/>
      <c r="U1466" s="8"/>
      <c r="V1466" s="8"/>
      <c r="W1466" s="8"/>
      <c r="X1466" s="8"/>
      <c r="Y1466" s="8"/>
      <c r="Z1466" s="8"/>
      <c r="AA1466" s="8"/>
      <c r="AB1466" s="8"/>
      <c r="AC1466" s="8"/>
      <c r="AD1466" s="24"/>
      <c r="AE1466" s="24"/>
      <c r="AF1466" s="8"/>
      <c r="AG1466" s="8"/>
      <c r="AH1466" s="8"/>
      <c r="AI1466" s="8"/>
    </row>
    <row r="1467" spans="1:35" ht="15.75" customHeight="1" x14ac:dyDescent="0.25">
      <c r="A1467" s="8"/>
      <c r="B1467" s="8"/>
      <c r="C1467" s="8"/>
      <c r="D1467" s="8"/>
      <c r="E1467" s="50"/>
      <c r="F1467" s="51"/>
      <c r="G1467" s="51"/>
      <c r="H1467" s="52"/>
      <c r="I1467" s="52"/>
      <c r="J1467" s="52"/>
      <c r="K1467" s="52"/>
      <c r="L1467" s="52"/>
      <c r="M1467" s="48"/>
      <c r="N1467" s="52"/>
      <c r="O1467" s="22"/>
      <c r="P1467" s="22"/>
      <c r="Q1467" s="8"/>
      <c r="R1467" s="8"/>
      <c r="S1467" s="8"/>
      <c r="T1467" s="8"/>
      <c r="U1467" s="8"/>
      <c r="V1467" s="8"/>
      <c r="W1467" s="8"/>
      <c r="X1467" s="8"/>
      <c r="Y1467" s="8"/>
      <c r="Z1467" s="8"/>
      <c r="AA1467" s="8"/>
      <c r="AB1467" s="8"/>
      <c r="AC1467" s="8"/>
      <c r="AD1467" s="24"/>
      <c r="AE1467" s="24"/>
      <c r="AF1467" s="8"/>
      <c r="AG1467" s="8"/>
      <c r="AH1467" s="8"/>
      <c r="AI1467" s="8"/>
    </row>
    <row r="1468" spans="1:35" ht="15.75" customHeight="1" x14ac:dyDescent="0.25">
      <c r="A1468" s="8"/>
      <c r="B1468" s="8"/>
      <c r="C1468" s="8"/>
      <c r="D1468" s="8"/>
      <c r="E1468" s="50"/>
      <c r="F1468" s="51"/>
      <c r="G1468" s="51"/>
      <c r="H1468" s="52"/>
      <c r="I1468" s="52"/>
      <c r="J1468" s="52"/>
      <c r="K1468" s="52"/>
      <c r="L1468" s="52"/>
      <c r="M1468" s="48"/>
      <c r="N1468" s="52"/>
      <c r="O1468" s="22"/>
      <c r="P1468" s="22"/>
      <c r="Q1468" s="8"/>
      <c r="R1468" s="8"/>
      <c r="S1468" s="8"/>
      <c r="T1468" s="8"/>
      <c r="U1468" s="8"/>
      <c r="V1468" s="8"/>
      <c r="W1468" s="8"/>
      <c r="X1468" s="8"/>
      <c r="Y1468" s="8"/>
      <c r="Z1468" s="8"/>
      <c r="AA1468" s="8"/>
      <c r="AB1468" s="8"/>
      <c r="AC1468" s="8"/>
      <c r="AD1468" s="24"/>
      <c r="AE1468" s="24"/>
      <c r="AF1468" s="8"/>
      <c r="AG1468" s="8"/>
      <c r="AH1468" s="8"/>
      <c r="AI1468" s="8"/>
    </row>
    <row r="1469" spans="1:35" ht="15.75" customHeight="1" x14ac:dyDescent="0.25">
      <c r="A1469" s="8"/>
      <c r="B1469" s="8"/>
      <c r="C1469" s="8"/>
      <c r="D1469" s="8"/>
      <c r="E1469" s="50"/>
      <c r="F1469" s="51"/>
      <c r="G1469" s="51"/>
      <c r="H1469" s="52"/>
      <c r="I1469" s="52"/>
      <c r="J1469" s="52"/>
      <c r="K1469" s="52"/>
      <c r="L1469" s="52"/>
      <c r="M1469" s="52"/>
      <c r="N1469" s="52"/>
      <c r="O1469" s="22"/>
      <c r="P1469" s="22"/>
      <c r="Q1469" s="8"/>
      <c r="R1469" s="8"/>
      <c r="S1469" s="8"/>
      <c r="T1469" s="8"/>
      <c r="U1469" s="8"/>
      <c r="V1469" s="8"/>
      <c r="W1469" s="8"/>
      <c r="X1469" s="8"/>
      <c r="Y1469" s="8"/>
      <c r="Z1469" s="8"/>
      <c r="AA1469" s="8"/>
      <c r="AB1469" s="8"/>
      <c r="AC1469" s="8"/>
      <c r="AD1469" s="24"/>
      <c r="AE1469" s="24"/>
      <c r="AF1469" s="8"/>
      <c r="AG1469" s="8"/>
      <c r="AH1469" s="8"/>
      <c r="AI1469" s="8"/>
    </row>
    <row r="1470" spans="1:35" ht="15.75" customHeight="1" x14ac:dyDescent="0.25">
      <c r="A1470" s="8"/>
      <c r="B1470" s="8"/>
      <c r="C1470" s="8"/>
      <c r="D1470" s="8"/>
      <c r="E1470" s="50"/>
      <c r="F1470" s="51"/>
      <c r="G1470" s="51"/>
      <c r="H1470" s="52"/>
      <c r="I1470" s="52"/>
      <c r="J1470" s="52"/>
      <c r="K1470" s="52"/>
      <c r="L1470" s="52"/>
      <c r="M1470" s="48"/>
      <c r="N1470" s="52"/>
      <c r="O1470" s="22"/>
      <c r="P1470" s="22"/>
      <c r="Q1470" s="8"/>
      <c r="R1470" s="8"/>
      <c r="S1470" s="8"/>
      <c r="T1470" s="8"/>
      <c r="U1470" s="8"/>
      <c r="V1470" s="8"/>
      <c r="W1470" s="8"/>
      <c r="X1470" s="8"/>
      <c r="Y1470" s="8"/>
      <c r="Z1470" s="8"/>
      <c r="AA1470" s="8"/>
      <c r="AB1470" s="8"/>
      <c r="AC1470" s="8"/>
      <c r="AD1470" s="24"/>
      <c r="AE1470" s="24"/>
      <c r="AF1470" s="8"/>
      <c r="AG1470" s="8"/>
      <c r="AH1470" s="8"/>
      <c r="AI1470" s="8"/>
    </row>
    <row r="1471" spans="1:35" ht="15.75" customHeight="1" x14ac:dyDescent="0.25">
      <c r="A1471" s="8"/>
      <c r="B1471" s="8"/>
      <c r="C1471" s="8"/>
      <c r="D1471" s="8"/>
      <c r="E1471" s="50"/>
      <c r="F1471" s="51"/>
      <c r="G1471" s="51"/>
      <c r="H1471" s="52"/>
      <c r="I1471" s="52"/>
      <c r="J1471" s="52"/>
      <c r="K1471" s="52"/>
      <c r="L1471" s="52"/>
      <c r="M1471" s="52"/>
      <c r="N1471" s="52"/>
      <c r="O1471" s="22"/>
      <c r="P1471" s="22"/>
      <c r="Q1471" s="8"/>
      <c r="R1471" s="8"/>
      <c r="S1471" s="8"/>
      <c r="T1471" s="8"/>
      <c r="U1471" s="8"/>
      <c r="V1471" s="8"/>
      <c r="W1471" s="8"/>
      <c r="X1471" s="8"/>
      <c r="Y1471" s="8"/>
      <c r="Z1471" s="8"/>
      <c r="AA1471" s="8"/>
      <c r="AB1471" s="8"/>
      <c r="AC1471" s="8"/>
      <c r="AD1471" s="24"/>
      <c r="AE1471" s="24"/>
      <c r="AF1471" s="8"/>
      <c r="AG1471" s="8"/>
      <c r="AH1471" s="8"/>
      <c r="AI1471" s="8"/>
    </row>
    <row r="1472" spans="1:35" ht="15.75" customHeight="1" x14ac:dyDescent="0.25">
      <c r="A1472" s="8"/>
      <c r="B1472" s="8"/>
      <c r="C1472" s="8"/>
      <c r="D1472" s="8"/>
      <c r="E1472" s="50"/>
      <c r="F1472" s="51"/>
      <c r="G1472" s="51"/>
      <c r="H1472" s="52"/>
      <c r="I1472" s="52"/>
      <c r="J1472" s="52"/>
      <c r="K1472" s="52"/>
      <c r="L1472" s="52"/>
      <c r="M1472" s="48"/>
      <c r="N1472" s="52"/>
      <c r="O1472" s="22"/>
      <c r="P1472" s="22"/>
      <c r="Q1472" s="8"/>
      <c r="R1472" s="8"/>
      <c r="S1472" s="8"/>
      <c r="T1472" s="8"/>
      <c r="U1472" s="8"/>
      <c r="V1472" s="8"/>
      <c r="W1472" s="8"/>
      <c r="X1472" s="8"/>
      <c r="Y1472" s="8"/>
      <c r="Z1472" s="8"/>
      <c r="AA1472" s="8"/>
      <c r="AB1472" s="8"/>
      <c r="AC1472" s="8"/>
      <c r="AD1472" s="24"/>
      <c r="AE1472" s="24"/>
      <c r="AF1472" s="8"/>
      <c r="AG1472" s="8"/>
      <c r="AH1472" s="8"/>
      <c r="AI1472" s="8"/>
    </row>
    <row r="1473" spans="1:35" ht="15.75" customHeight="1" x14ac:dyDescent="0.25">
      <c r="A1473" s="8"/>
      <c r="B1473" s="8"/>
      <c r="C1473" s="8"/>
      <c r="D1473" s="8"/>
      <c r="E1473" s="50"/>
      <c r="F1473" s="51"/>
      <c r="G1473" s="51"/>
      <c r="H1473" s="52"/>
      <c r="I1473" s="52"/>
      <c r="J1473" s="52"/>
      <c r="K1473" s="52"/>
      <c r="L1473" s="52"/>
      <c r="M1473" s="48"/>
      <c r="N1473" s="52"/>
      <c r="O1473" s="22"/>
      <c r="P1473" s="22"/>
      <c r="Q1473" s="8"/>
      <c r="R1473" s="8"/>
      <c r="S1473" s="8"/>
      <c r="T1473" s="8"/>
      <c r="U1473" s="8"/>
      <c r="V1473" s="8"/>
      <c r="W1473" s="8"/>
      <c r="X1473" s="8"/>
      <c r="Y1473" s="8"/>
      <c r="Z1473" s="8"/>
      <c r="AA1473" s="8"/>
      <c r="AB1473" s="8"/>
      <c r="AC1473" s="8"/>
      <c r="AD1473" s="24"/>
      <c r="AE1473" s="24"/>
      <c r="AF1473" s="8"/>
      <c r="AG1473" s="8"/>
      <c r="AH1473" s="8"/>
      <c r="AI1473" s="8"/>
    </row>
    <row r="1474" spans="1:35" ht="15.75" customHeight="1" x14ac:dyDescent="0.25">
      <c r="A1474" s="8"/>
      <c r="B1474" s="8"/>
      <c r="C1474" s="8"/>
      <c r="D1474" s="8"/>
      <c r="E1474" s="50"/>
      <c r="F1474" s="51"/>
      <c r="G1474" s="51"/>
      <c r="H1474" s="52"/>
      <c r="I1474" s="52"/>
      <c r="J1474" s="52"/>
      <c r="K1474" s="52"/>
      <c r="L1474" s="52"/>
      <c r="M1474" s="49"/>
      <c r="N1474" s="52"/>
      <c r="O1474" s="22"/>
      <c r="P1474" s="22"/>
      <c r="Q1474" s="8"/>
      <c r="R1474" s="8"/>
      <c r="S1474" s="8"/>
      <c r="T1474" s="8"/>
      <c r="U1474" s="8"/>
      <c r="V1474" s="8"/>
      <c r="W1474" s="8"/>
      <c r="X1474" s="8"/>
      <c r="Y1474" s="8"/>
      <c r="Z1474" s="8"/>
      <c r="AA1474" s="8"/>
      <c r="AB1474" s="8"/>
      <c r="AC1474" s="8"/>
      <c r="AD1474" s="24"/>
      <c r="AE1474" s="24"/>
      <c r="AF1474" s="8"/>
      <c r="AG1474" s="8"/>
      <c r="AH1474" s="8"/>
      <c r="AI1474" s="8"/>
    </row>
    <row r="1475" spans="1:35" ht="15.75" customHeight="1" x14ac:dyDescent="0.25">
      <c r="A1475" s="8"/>
      <c r="B1475" s="8"/>
      <c r="C1475" s="8"/>
      <c r="D1475" s="8"/>
      <c r="E1475" s="50"/>
      <c r="F1475" s="51"/>
      <c r="G1475" s="51"/>
      <c r="H1475" s="52"/>
      <c r="I1475" s="52"/>
      <c r="J1475" s="52"/>
      <c r="K1475" s="52"/>
      <c r="L1475" s="52"/>
      <c r="M1475" s="52"/>
      <c r="N1475" s="52"/>
      <c r="O1475" s="22"/>
      <c r="P1475" s="22"/>
      <c r="Q1475" s="8"/>
      <c r="R1475" s="8"/>
      <c r="S1475" s="8"/>
      <c r="T1475" s="8"/>
      <c r="U1475" s="8"/>
      <c r="V1475" s="8"/>
      <c r="W1475" s="8"/>
      <c r="X1475" s="8"/>
      <c r="Y1475" s="8"/>
      <c r="Z1475" s="8"/>
      <c r="AA1475" s="8"/>
      <c r="AB1475" s="8"/>
      <c r="AC1475" s="8"/>
      <c r="AD1475" s="24"/>
      <c r="AE1475" s="24"/>
      <c r="AF1475" s="8"/>
      <c r="AG1475" s="8"/>
      <c r="AH1475" s="8"/>
      <c r="AI1475" s="8"/>
    </row>
    <row r="1476" spans="1:35" ht="15.75" customHeight="1" x14ac:dyDescent="0.25">
      <c r="A1476" s="8"/>
      <c r="B1476" s="8"/>
      <c r="C1476" s="8"/>
      <c r="D1476" s="8"/>
      <c r="E1476" s="50"/>
      <c r="F1476" s="51"/>
      <c r="G1476" s="51"/>
      <c r="H1476" s="52"/>
      <c r="I1476" s="52"/>
      <c r="J1476" s="52"/>
      <c r="K1476" s="52"/>
      <c r="L1476" s="52"/>
      <c r="M1476" s="48"/>
      <c r="N1476" s="52"/>
      <c r="O1476" s="22"/>
      <c r="P1476" s="22"/>
      <c r="Q1476" s="8"/>
      <c r="R1476" s="8"/>
      <c r="S1476" s="8"/>
      <c r="T1476" s="8"/>
      <c r="U1476" s="8"/>
      <c r="V1476" s="8"/>
      <c r="W1476" s="8"/>
      <c r="X1476" s="8"/>
      <c r="Y1476" s="8"/>
      <c r="Z1476" s="8"/>
      <c r="AA1476" s="8"/>
      <c r="AB1476" s="8"/>
      <c r="AC1476" s="8"/>
      <c r="AD1476" s="24"/>
      <c r="AE1476" s="24"/>
      <c r="AF1476" s="8"/>
      <c r="AG1476" s="8"/>
      <c r="AH1476" s="8"/>
      <c r="AI1476" s="8"/>
    </row>
    <row r="1477" spans="1:35" ht="15.75" customHeight="1" x14ac:dyDescent="0.25">
      <c r="A1477" s="8"/>
      <c r="B1477" s="8"/>
      <c r="C1477" s="8"/>
      <c r="D1477" s="8"/>
      <c r="E1477" s="50"/>
      <c r="F1477" s="51"/>
      <c r="G1477" s="51"/>
      <c r="H1477" s="52"/>
      <c r="I1477" s="52"/>
      <c r="J1477" s="52"/>
      <c r="K1477" s="52"/>
      <c r="L1477" s="52"/>
      <c r="M1477" s="48"/>
      <c r="N1477" s="52"/>
      <c r="O1477" s="22"/>
      <c r="P1477" s="22"/>
      <c r="Q1477" s="8"/>
      <c r="R1477" s="8"/>
      <c r="S1477" s="8"/>
      <c r="T1477" s="8"/>
      <c r="U1477" s="8"/>
      <c r="V1477" s="8"/>
      <c r="W1477" s="8"/>
      <c r="X1477" s="8"/>
      <c r="Y1477" s="8"/>
      <c r="Z1477" s="8"/>
      <c r="AA1477" s="8"/>
      <c r="AB1477" s="8"/>
      <c r="AC1477" s="8"/>
      <c r="AD1477" s="24"/>
      <c r="AE1477" s="24"/>
      <c r="AF1477" s="8"/>
      <c r="AG1477" s="8"/>
      <c r="AH1477" s="8"/>
      <c r="AI1477" s="8"/>
    </row>
    <row r="1478" spans="1:35" ht="15.75" customHeight="1" x14ac:dyDescent="0.25">
      <c r="A1478" s="8"/>
      <c r="B1478" s="8"/>
      <c r="C1478" s="8"/>
      <c r="D1478" s="8"/>
      <c r="E1478" s="50"/>
      <c r="F1478" s="51"/>
      <c r="G1478" s="51"/>
      <c r="H1478" s="52"/>
      <c r="I1478" s="52"/>
      <c r="J1478" s="52"/>
      <c r="K1478" s="52"/>
      <c r="L1478" s="52"/>
      <c r="M1478" s="48"/>
      <c r="N1478" s="52"/>
      <c r="O1478" s="22"/>
      <c r="P1478" s="22"/>
      <c r="Q1478" s="8"/>
      <c r="R1478" s="8"/>
      <c r="S1478" s="8"/>
      <c r="T1478" s="8"/>
      <c r="U1478" s="8"/>
      <c r="V1478" s="8"/>
      <c r="W1478" s="8"/>
      <c r="X1478" s="8"/>
      <c r="Y1478" s="8"/>
      <c r="Z1478" s="8"/>
      <c r="AA1478" s="8"/>
      <c r="AB1478" s="8"/>
      <c r="AC1478" s="8"/>
      <c r="AD1478" s="24"/>
      <c r="AE1478" s="24"/>
      <c r="AF1478" s="8"/>
      <c r="AG1478" s="8"/>
      <c r="AH1478" s="8"/>
      <c r="AI1478" s="8"/>
    </row>
    <row r="1479" spans="1:35" ht="15.75" customHeight="1" x14ac:dyDescent="0.25">
      <c r="A1479" s="8"/>
      <c r="B1479" s="8"/>
      <c r="C1479" s="8"/>
      <c r="D1479" s="8"/>
      <c r="E1479" s="50"/>
      <c r="F1479" s="51"/>
      <c r="G1479" s="51"/>
      <c r="H1479" s="52"/>
      <c r="I1479" s="52"/>
      <c r="J1479" s="52"/>
      <c r="K1479" s="52"/>
      <c r="L1479" s="52"/>
      <c r="M1479" s="48"/>
      <c r="N1479" s="52"/>
      <c r="O1479" s="22"/>
      <c r="P1479" s="22"/>
      <c r="Q1479" s="8"/>
      <c r="R1479" s="8"/>
      <c r="S1479" s="8"/>
      <c r="T1479" s="8"/>
      <c r="U1479" s="8"/>
      <c r="V1479" s="8"/>
      <c r="W1479" s="8"/>
      <c r="X1479" s="8"/>
      <c r="Y1479" s="8"/>
      <c r="Z1479" s="8"/>
      <c r="AA1479" s="8"/>
      <c r="AB1479" s="8"/>
      <c r="AC1479" s="8"/>
      <c r="AD1479" s="24"/>
      <c r="AE1479" s="24"/>
      <c r="AF1479" s="8"/>
      <c r="AG1479" s="8"/>
      <c r="AH1479" s="8"/>
      <c r="AI1479" s="8"/>
    </row>
    <row r="1480" spans="1:35" ht="15.75" customHeight="1" x14ac:dyDescent="0.25">
      <c r="A1480" s="8"/>
      <c r="B1480" s="8"/>
      <c r="C1480" s="8"/>
      <c r="D1480" s="8"/>
      <c r="E1480" s="50"/>
      <c r="F1480" s="51"/>
      <c r="G1480" s="51"/>
      <c r="H1480" s="52"/>
      <c r="I1480" s="52"/>
      <c r="J1480" s="52"/>
      <c r="K1480" s="52"/>
      <c r="L1480" s="52"/>
      <c r="M1480" s="48"/>
      <c r="N1480" s="52"/>
      <c r="O1480" s="22"/>
      <c r="P1480" s="22"/>
      <c r="Q1480" s="8"/>
      <c r="R1480" s="8"/>
      <c r="S1480" s="8"/>
      <c r="T1480" s="8"/>
      <c r="U1480" s="8"/>
      <c r="V1480" s="8"/>
      <c r="W1480" s="8"/>
      <c r="X1480" s="8"/>
      <c r="Y1480" s="8"/>
      <c r="Z1480" s="8"/>
      <c r="AA1480" s="8"/>
      <c r="AB1480" s="8"/>
      <c r="AC1480" s="8"/>
      <c r="AD1480" s="24"/>
      <c r="AE1480" s="24"/>
      <c r="AF1480" s="8"/>
      <c r="AG1480" s="8"/>
      <c r="AH1480" s="8"/>
      <c r="AI1480" s="8"/>
    </row>
    <row r="1481" spans="1:35" ht="15.75" customHeight="1" x14ac:dyDescent="0.25">
      <c r="A1481" s="8"/>
      <c r="B1481" s="8"/>
      <c r="C1481" s="8"/>
      <c r="D1481" s="8"/>
      <c r="E1481" s="50"/>
      <c r="F1481" s="51"/>
      <c r="G1481" s="51"/>
      <c r="H1481" s="52"/>
      <c r="I1481" s="52"/>
      <c r="J1481" s="52"/>
      <c r="K1481" s="52"/>
      <c r="L1481" s="52"/>
      <c r="M1481" s="48"/>
      <c r="N1481" s="52"/>
      <c r="O1481" s="22"/>
      <c r="P1481" s="22"/>
      <c r="Q1481" s="8"/>
      <c r="R1481" s="8"/>
      <c r="S1481" s="8"/>
      <c r="T1481" s="8"/>
      <c r="U1481" s="8"/>
      <c r="V1481" s="8"/>
      <c r="W1481" s="8"/>
      <c r="X1481" s="8"/>
      <c r="Y1481" s="8"/>
      <c r="Z1481" s="8"/>
      <c r="AA1481" s="8"/>
      <c r="AB1481" s="8"/>
      <c r="AC1481" s="8"/>
      <c r="AD1481" s="24"/>
      <c r="AE1481" s="24"/>
      <c r="AF1481" s="8"/>
      <c r="AG1481" s="8"/>
      <c r="AH1481" s="8"/>
      <c r="AI1481" s="8"/>
    </row>
    <row r="1482" spans="1:35" ht="15.75" customHeight="1" x14ac:dyDescent="0.25">
      <c r="A1482" s="8"/>
      <c r="B1482" s="8"/>
      <c r="C1482" s="8"/>
      <c r="D1482" s="8"/>
      <c r="E1482" s="50"/>
      <c r="F1482" s="51"/>
      <c r="G1482" s="51"/>
      <c r="H1482" s="52"/>
      <c r="I1482" s="52"/>
      <c r="J1482" s="52"/>
      <c r="K1482" s="52"/>
      <c r="L1482" s="52"/>
      <c r="M1482" s="48"/>
      <c r="N1482" s="52"/>
      <c r="O1482" s="22"/>
      <c r="P1482" s="22"/>
      <c r="Q1482" s="8"/>
      <c r="R1482" s="8"/>
      <c r="S1482" s="8"/>
      <c r="T1482" s="8"/>
      <c r="U1482" s="8"/>
      <c r="V1482" s="8"/>
      <c r="W1482" s="8"/>
      <c r="X1482" s="8"/>
      <c r="Y1482" s="8"/>
      <c r="Z1482" s="8"/>
      <c r="AA1482" s="8"/>
      <c r="AB1482" s="8"/>
      <c r="AC1482" s="8"/>
      <c r="AD1482" s="24"/>
      <c r="AE1482" s="24"/>
      <c r="AF1482" s="8"/>
      <c r="AG1482" s="8"/>
      <c r="AH1482" s="8"/>
      <c r="AI1482" s="8"/>
    </row>
    <row r="1483" spans="1:35" ht="15.75" customHeight="1" x14ac:dyDescent="0.25">
      <c r="A1483" s="8"/>
      <c r="B1483" s="8"/>
      <c r="C1483" s="8"/>
      <c r="D1483" s="8"/>
      <c r="E1483" s="50"/>
      <c r="F1483" s="51"/>
      <c r="G1483" s="51"/>
      <c r="H1483" s="52"/>
      <c r="I1483" s="52"/>
      <c r="J1483" s="52"/>
      <c r="K1483" s="52"/>
      <c r="L1483" s="52"/>
      <c r="M1483" s="48"/>
      <c r="N1483" s="52"/>
      <c r="O1483" s="22"/>
      <c r="P1483" s="22"/>
      <c r="Q1483" s="8"/>
      <c r="R1483" s="8"/>
      <c r="S1483" s="8"/>
      <c r="T1483" s="8"/>
      <c r="U1483" s="8"/>
      <c r="V1483" s="8"/>
      <c r="W1483" s="8"/>
      <c r="X1483" s="8"/>
      <c r="Y1483" s="8"/>
      <c r="Z1483" s="8"/>
      <c r="AA1483" s="8"/>
      <c r="AB1483" s="8"/>
      <c r="AC1483" s="8"/>
      <c r="AD1483" s="24"/>
      <c r="AE1483" s="24"/>
      <c r="AF1483" s="8"/>
      <c r="AG1483" s="8"/>
      <c r="AH1483" s="8"/>
      <c r="AI1483" s="8"/>
    </row>
    <row r="1484" spans="1:35" ht="15.75" customHeight="1" x14ac:dyDescent="0.25">
      <c r="A1484" s="8"/>
      <c r="B1484" s="8"/>
      <c r="C1484" s="8"/>
      <c r="D1484" s="8"/>
      <c r="E1484" s="50"/>
      <c r="F1484" s="51"/>
      <c r="G1484" s="51"/>
      <c r="H1484" s="52"/>
      <c r="I1484" s="52"/>
      <c r="J1484" s="52"/>
      <c r="K1484" s="52"/>
      <c r="L1484" s="52"/>
      <c r="M1484" s="52"/>
      <c r="N1484" s="52"/>
      <c r="O1484" s="22"/>
      <c r="P1484" s="22"/>
      <c r="Q1484" s="8"/>
      <c r="R1484" s="8"/>
      <c r="S1484" s="8"/>
      <c r="T1484" s="8"/>
      <c r="U1484" s="8"/>
      <c r="V1484" s="8"/>
      <c r="W1484" s="8"/>
      <c r="X1484" s="8"/>
      <c r="Y1484" s="8"/>
      <c r="Z1484" s="8"/>
      <c r="AA1484" s="8"/>
      <c r="AB1484" s="8"/>
      <c r="AC1484" s="8"/>
      <c r="AD1484" s="24"/>
      <c r="AE1484" s="24"/>
      <c r="AF1484" s="8"/>
      <c r="AG1484" s="8"/>
      <c r="AH1484" s="8"/>
      <c r="AI1484" s="8"/>
    </row>
    <row r="1485" spans="1:35" ht="15.75" customHeight="1" x14ac:dyDescent="0.25">
      <c r="A1485" s="8"/>
      <c r="B1485" s="8"/>
      <c r="C1485" s="8"/>
      <c r="D1485" s="8"/>
      <c r="E1485" s="50"/>
      <c r="F1485" s="51"/>
      <c r="G1485" s="51"/>
      <c r="H1485" s="52"/>
      <c r="I1485" s="52"/>
      <c r="J1485" s="52"/>
      <c r="K1485" s="52"/>
      <c r="L1485" s="52"/>
      <c r="M1485" s="48"/>
      <c r="N1485" s="52"/>
      <c r="O1485" s="22"/>
      <c r="P1485" s="22"/>
      <c r="Q1485" s="8"/>
      <c r="R1485" s="8"/>
      <c r="S1485" s="8"/>
      <c r="T1485" s="8"/>
      <c r="U1485" s="8"/>
      <c r="V1485" s="8"/>
      <c r="W1485" s="8"/>
      <c r="X1485" s="8"/>
      <c r="Y1485" s="8"/>
      <c r="Z1485" s="8"/>
      <c r="AA1485" s="8"/>
      <c r="AB1485" s="8"/>
      <c r="AC1485" s="8"/>
      <c r="AD1485" s="24"/>
      <c r="AE1485" s="24"/>
      <c r="AF1485" s="8"/>
      <c r="AG1485" s="8"/>
      <c r="AH1485" s="8"/>
      <c r="AI1485" s="8"/>
    </row>
    <row r="1486" spans="1:35" ht="15.75" customHeight="1" x14ac:dyDescent="0.25">
      <c r="A1486" s="8"/>
      <c r="B1486" s="8"/>
      <c r="C1486" s="8"/>
      <c r="D1486" s="8"/>
      <c r="E1486" s="50"/>
      <c r="F1486" s="51"/>
      <c r="G1486" s="51"/>
      <c r="H1486" s="52"/>
      <c r="I1486" s="52"/>
      <c r="J1486" s="52"/>
      <c r="K1486" s="52"/>
      <c r="L1486" s="52"/>
      <c r="M1486" s="52"/>
      <c r="N1486" s="52"/>
      <c r="O1486" s="22"/>
      <c r="P1486" s="22"/>
      <c r="Q1486" s="8"/>
      <c r="R1486" s="8"/>
      <c r="S1486" s="8"/>
      <c r="T1486" s="8"/>
      <c r="U1486" s="8"/>
      <c r="V1486" s="8"/>
      <c r="W1486" s="8"/>
      <c r="X1486" s="8"/>
      <c r="Y1486" s="8"/>
      <c r="Z1486" s="8"/>
      <c r="AA1486" s="8"/>
      <c r="AB1486" s="8"/>
      <c r="AC1486" s="8"/>
      <c r="AD1486" s="24"/>
      <c r="AE1486" s="24"/>
      <c r="AF1486" s="8"/>
      <c r="AG1486" s="8"/>
      <c r="AH1486" s="8"/>
      <c r="AI1486" s="8"/>
    </row>
    <row r="1487" spans="1:35" ht="15.75" customHeight="1" x14ac:dyDescent="0.25">
      <c r="A1487" s="8"/>
      <c r="B1487" s="8"/>
      <c r="C1487" s="8"/>
      <c r="D1487" s="8"/>
      <c r="E1487" s="50"/>
      <c r="F1487" s="51"/>
      <c r="G1487" s="51"/>
      <c r="H1487" s="52"/>
      <c r="I1487" s="52"/>
      <c r="J1487" s="52"/>
      <c r="K1487" s="52"/>
      <c r="L1487" s="52"/>
      <c r="M1487" s="48"/>
      <c r="N1487" s="52"/>
      <c r="O1487" s="22"/>
      <c r="P1487" s="22"/>
      <c r="Q1487" s="8"/>
      <c r="R1487" s="8"/>
      <c r="S1487" s="8"/>
      <c r="T1487" s="8"/>
      <c r="U1487" s="8"/>
      <c r="V1487" s="8"/>
      <c r="W1487" s="8"/>
      <c r="X1487" s="8"/>
      <c r="Y1487" s="8"/>
      <c r="Z1487" s="8"/>
      <c r="AA1487" s="8"/>
      <c r="AB1487" s="8"/>
      <c r="AC1487" s="8"/>
      <c r="AD1487" s="24"/>
      <c r="AE1487" s="24"/>
      <c r="AF1487" s="8"/>
      <c r="AG1487" s="8"/>
      <c r="AH1487" s="8"/>
      <c r="AI1487" s="8"/>
    </row>
    <row r="1488" spans="1:35" ht="15.75" customHeight="1" x14ac:dyDescent="0.25">
      <c r="A1488" s="8"/>
      <c r="B1488" s="8"/>
      <c r="C1488" s="8"/>
      <c r="D1488" s="8"/>
      <c r="E1488" s="50"/>
      <c r="F1488" s="51"/>
      <c r="G1488" s="51"/>
      <c r="H1488" s="52"/>
      <c r="I1488" s="52"/>
      <c r="J1488" s="52"/>
      <c r="K1488" s="52"/>
      <c r="L1488" s="52"/>
      <c r="M1488" s="48"/>
      <c r="N1488" s="52"/>
      <c r="O1488" s="22"/>
      <c r="P1488" s="22"/>
      <c r="Q1488" s="8"/>
      <c r="R1488" s="8"/>
      <c r="S1488" s="8"/>
      <c r="T1488" s="8"/>
      <c r="U1488" s="8"/>
      <c r="V1488" s="8"/>
      <c r="W1488" s="8"/>
      <c r="X1488" s="8"/>
      <c r="Y1488" s="8"/>
      <c r="Z1488" s="8"/>
      <c r="AA1488" s="8"/>
      <c r="AB1488" s="8"/>
      <c r="AC1488" s="8"/>
      <c r="AD1488" s="24"/>
      <c r="AE1488" s="24"/>
      <c r="AF1488" s="8"/>
      <c r="AG1488" s="8"/>
      <c r="AH1488" s="8"/>
      <c r="AI1488" s="8"/>
    </row>
    <row r="1489" spans="1:35" ht="15.75" customHeight="1" x14ac:dyDescent="0.25">
      <c r="A1489" s="8"/>
      <c r="B1489" s="8"/>
      <c r="C1489" s="8"/>
      <c r="D1489" s="8"/>
      <c r="E1489" s="50"/>
      <c r="F1489" s="51"/>
      <c r="G1489" s="51"/>
      <c r="H1489" s="52"/>
      <c r="I1489" s="52"/>
      <c r="J1489" s="52"/>
      <c r="K1489" s="52"/>
      <c r="L1489" s="52"/>
      <c r="M1489" s="48"/>
      <c r="N1489" s="52"/>
      <c r="O1489" s="22"/>
      <c r="P1489" s="22"/>
      <c r="Q1489" s="8"/>
      <c r="R1489" s="8"/>
      <c r="S1489" s="8"/>
      <c r="T1489" s="8"/>
      <c r="U1489" s="8"/>
      <c r="V1489" s="8"/>
      <c r="W1489" s="8"/>
      <c r="X1489" s="8"/>
      <c r="Y1489" s="8"/>
      <c r="Z1489" s="8"/>
      <c r="AA1489" s="8"/>
      <c r="AB1489" s="8"/>
      <c r="AC1489" s="8"/>
      <c r="AD1489" s="24"/>
      <c r="AE1489" s="24"/>
      <c r="AF1489" s="8"/>
      <c r="AG1489" s="8"/>
      <c r="AH1489" s="8"/>
      <c r="AI1489" s="8"/>
    </row>
    <row r="1490" spans="1:35" ht="15.75" customHeight="1" x14ac:dyDescent="0.25">
      <c r="A1490" s="8"/>
      <c r="B1490" s="8"/>
      <c r="C1490" s="8"/>
      <c r="D1490" s="8"/>
      <c r="E1490" s="50"/>
      <c r="F1490" s="51"/>
      <c r="G1490" s="51"/>
      <c r="H1490" s="52"/>
      <c r="I1490" s="52"/>
      <c r="J1490" s="52"/>
      <c r="K1490" s="52"/>
      <c r="L1490" s="52"/>
      <c r="M1490" s="48"/>
      <c r="N1490" s="52"/>
      <c r="O1490" s="22"/>
      <c r="P1490" s="22"/>
      <c r="Q1490" s="8"/>
      <c r="R1490" s="8"/>
      <c r="S1490" s="8"/>
      <c r="T1490" s="8"/>
      <c r="U1490" s="8"/>
      <c r="V1490" s="8"/>
      <c r="W1490" s="8"/>
      <c r="X1490" s="8"/>
      <c r="Y1490" s="8"/>
      <c r="Z1490" s="8"/>
      <c r="AA1490" s="8"/>
      <c r="AB1490" s="8"/>
      <c r="AC1490" s="8"/>
      <c r="AD1490" s="24"/>
      <c r="AE1490" s="24"/>
      <c r="AF1490" s="8"/>
      <c r="AG1490" s="8"/>
      <c r="AH1490" s="8"/>
      <c r="AI1490" s="8"/>
    </row>
    <row r="1491" spans="1:35" ht="15.75" customHeight="1" x14ac:dyDescent="0.25">
      <c r="A1491" s="8"/>
      <c r="B1491" s="8"/>
      <c r="C1491" s="8"/>
      <c r="D1491" s="8"/>
      <c r="E1491" s="50"/>
      <c r="F1491" s="51"/>
      <c r="G1491" s="51"/>
      <c r="H1491" s="52"/>
      <c r="I1491" s="52"/>
      <c r="J1491" s="52"/>
      <c r="K1491" s="52"/>
      <c r="L1491" s="52"/>
      <c r="M1491" s="48"/>
      <c r="N1491" s="52"/>
      <c r="O1491" s="22"/>
      <c r="P1491" s="22"/>
      <c r="Q1491" s="8"/>
      <c r="R1491" s="8"/>
      <c r="S1491" s="8"/>
      <c r="T1491" s="8"/>
      <c r="U1491" s="8"/>
      <c r="V1491" s="8"/>
      <c r="W1491" s="8"/>
      <c r="X1491" s="8"/>
      <c r="Y1491" s="8"/>
      <c r="Z1491" s="8"/>
      <c r="AA1491" s="8"/>
      <c r="AB1491" s="8"/>
      <c r="AC1491" s="8"/>
      <c r="AD1491" s="24"/>
      <c r="AE1491" s="24"/>
      <c r="AF1491" s="8"/>
      <c r="AG1491" s="8"/>
      <c r="AH1491" s="8"/>
      <c r="AI1491" s="8"/>
    </row>
    <row r="1492" spans="1:35" ht="15.75" customHeight="1" x14ac:dyDescent="0.25">
      <c r="A1492" s="8"/>
      <c r="B1492" s="8"/>
      <c r="C1492" s="8"/>
      <c r="D1492" s="8"/>
      <c r="E1492" s="50"/>
      <c r="F1492" s="51"/>
      <c r="G1492" s="51"/>
      <c r="H1492" s="52"/>
      <c r="I1492" s="52"/>
      <c r="J1492" s="52"/>
      <c r="K1492" s="52"/>
      <c r="L1492" s="52"/>
      <c r="M1492" s="48"/>
      <c r="N1492" s="52"/>
      <c r="O1492" s="22"/>
      <c r="P1492" s="22"/>
      <c r="Q1492" s="8"/>
      <c r="R1492" s="8"/>
      <c r="S1492" s="8"/>
      <c r="T1492" s="8"/>
      <c r="U1492" s="8"/>
      <c r="V1492" s="8"/>
      <c r="W1492" s="8"/>
      <c r="X1492" s="8"/>
      <c r="Y1492" s="8"/>
      <c r="Z1492" s="8"/>
      <c r="AA1492" s="8"/>
      <c r="AB1492" s="8"/>
      <c r="AC1492" s="8"/>
      <c r="AD1492" s="24"/>
      <c r="AE1492" s="24"/>
      <c r="AF1492" s="8"/>
      <c r="AG1492" s="8"/>
      <c r="AH1492" s="8"/>
      <c r="AI1492" s="8"/>
    </row>
    <row r="1493" spans="1:35" ht="15.75" customHeight="1" x14ac:dyDescent="0.25">
      <c r="A1493" s="8"/>
      <c r="B1493" s="8"/>
      <c r="C1493" s="8"/>
      <c r="D1493" s="8"/>
      <c r="E1493" s="50"/>
      <c r="F1493" s="51"/>
      <c r="G1493" s="51"/>
      <c r="H1493" s="52"/>
      <c r="I1493" s="52"/>
      <c r="J1493" s="52"/>
      <c r="K1493" s="52"/>
      <c r="L1493" s="52"/>
      <c r="M1493" s="48"/>
      <c r="N1493" s="52"/>
      <c r="O1493" s="22"/>
      <c r="P1493" s="22"/>
      <c r="Q1493" s="8"/>
      <c r="R1493" s="8"/>
      <c r="S1493" s="8"/>
      <c r="T1493" s="8"/>
      <c r="U1493" s="8"/>
      <c r="V1493" s="8"/>
      <c r="W1493" s="8"/>
      <c r="X1493" s="8"/>
      <c r="Y1493" s="8"/>
      <c r="Z1493" s="8"/>
      <c r="AA1493" s="8"/>
      <c r="AB1493" s="8"/>
      <c r="AC1493" s="8"/>
      <c r="AD1493" s="24"/>
      <c r="AE1493" s="24"/>
      <c r="AF1493" s="8"/>
      <c r="AG1493" s="8"/>
      <c r="AH1493" s="8"/>
      <c r="AI1493" s="8"/>
    </row>
    <row r="1494" spans="1:35" ht="15.75" customHeight="1" x14ac:dyDescent="0.25">
      <c r="A1494" s="8"/>
      <c r="B1494" s="8"/>
      <c r="C1494" s="8"/>
      <c r="D1494" s="8"/>
      <c r="E1494" s="50"/>
      <c r="F1494" s="51"/>
      <c r="G1494" s="51"/>
      <c r="H1494" s="52"/>
      <c r="I1494" s="52"/>
      <c r="J1494" s="52"/>
      <c r="K1494" s="52"/>
      <c r="L1494" s="52"/>
      <c r="M1494" s="48"/>
      <c r="N1494" s="52"/>
      <c r="O1494" s="22"/>
      <c r="P1494" s="22"/>
      <c r="Q1494" s="8"/>
      <c r="R1494" s="8"/>
      <c r="S1494" s="8"/>
      <c r="T1494" s="8"/>
      <c r="U1494" s="8"/>
      <c r="V1494" s="8"/>
      <c r="W1494" s="8"/>
      <c r="X1494" s="8"/>
      <c r="Y1494" s="8"/>
      <c r="Z1494" s="8"/>
      <c r="AA1494" s="8"/>
      <c r="AB1494" s="8"/>
      <c r="AC1494" s="8"/>
      <c r="AD1494" s="24"/>
      <c r="AE1494" s="24"/>
      <c r="AF1494" s="8"/>
      <c r="AG1494" s="8"/>
      <c r="AH1494" s="8"/>
      <c r="AI1494" s="8"/>
    </row>
    <row r="1495" spans="1:35" ht="15.75" customHeight="1" x14ac:dyDescent="0.25">
      <c r="A1495" s="8"/>
      <c r="B1495" s="8"/>
      <c r="C1495" s="8"/>
      <c r="D1495" s="8"/>
      <c r="E1495" s="50"/>
      <c r="F1495" s="51"/>
      <c r="G1495" s="51"/>
      <c r="H1495" s="52"/>
      <c r="I1495" s="52"/>
      <c r="J1495" s="52"/>
      <c r="K1495" s="52"/>
      <c r="L1495" s="52"/>
      <c r="M1495" s="52"/>
      <c r="N1495" s="52"/>
      <c r="O1495" s="22"/>
      <c r="P1495" s="22"/>
      <c r="Q1495" s="8"/>
      <c r="R1495" s="8"/>
      <c r="S1495" s="8"/>
      <c r="T1495" s="8"/>
      <c r="U1495" s="8"/>
      <c r="V1495" s="8"/>
      <c r="W1495" s="8"/>
      <c r="X1495" s="8"/>
      <c r="Y1495" s="8"/>
      <c r="Z1495" s="8"/>
      <c r="AA1495" s="8"/>
      <c r="AB1495" s="8"/>
      <c r="AC1495" s="8"/>
      <c r="AD1495" s="24"/>
      <c r="AE1495" s="24"/>
      <c r="AF1495" s="8"/>
      <c r="AG1495" s="8"/>
      <c r="AH1495" s="8"/>
      <c r="AI1495" s="8"/>
    </row>
    <row r="1496" spans="1:35" ht="15.75" customHeight="1" x14ac:dyDescent="0.25">
      <c r="A1496" s="8"/>
      <c r="B1496" s="8"/>
      <c r="C1496" s="8"/>
      <c r="D1496" s="8"/>
      <c r="E1496" s="50"/>
      <c r="F1496" s="51"/>
      <c r="G1496" s="51"/>
      <c r="H1496" s="52"/>
      <c r="I1496" s="52"/>
      <c r="J1496" s="52"/>
      <c r="K1496" s="52"/>
      <c r="L1496" s="52"/>
      <c r="M1496" s="52"/>
      <c r="N1496" s="52"/>
      <c r="O1496" s="22"/>
      <c r="P1496" s="22"/>
      <c r="Q1496" s="8"/>
      <c r="R1496" s="8"/>
      <c r="S1496" s="8"/>
      <c r="T1496" s="8"/>
      <c r="U1496" s="8"/>
      <c r="V1496" s="8"/>
      <c r="W1496" s="8"/>
      <c r="X1496" s="8"/>
      <c r="Y1496" s="8"/>
      <c r="Z1496" s="8"/>
      <c r="AA1496" s="8"/>
      <c r="AB1496" s="8"/>
      <c r="AC1496" s="8"/>
      <c r="AD1496" s="24"/>
      <c r="AE1496" s="24"/>
      <c r="AF1496" s="8"/>
      <c r="AG1496" s="8"/>
      <c r="AH1496" s="8"/>
      <c r="AI1496" s="8"/>
    </row>
    <row r="1497" spans="1:35" ht="15.75" customHeight="1" x14ac:dyDescent="0.25">
      <c r="A1497" s="8"/>
      <c r="B1497" s="8"/>
      <c r="C1497" s="8"/>
      <c r="D1497" s="8"/>
      <c r="E1497" s="50"/>
      <c r="F1497" s="51"/>
      <c r="G1497" s="51"/>
      <c r="H1497" s="52"/>
      <c r="I1497" s="52"/>
      <c r="J1497" s="52"/>
      <c r="K1497" s="52"/>
      <c r="L1497" s="52"/>
      <c r="M1497" s="52"/>
      <c r="N1497" s="52"/>
      <c r="O1497" s="22"/>
      <c r="P1497" s="22"/>
      <c r="Q1497" s="8"/>
      <c r="R1497" s="8"/>
      <c r="S1497" s="8"/>
      <c r="T1497" s="8"/>
      <c r="U1497" s="8"/>
      <c r="V1497" s="8"/>
      <c r="W1497" s="8"/>
      <c r="X1497" s="8"/>
      <c r="Y1497" s="8"/>
      <c r="Z1497" s="8"/>
      <c r="AA1497" s="8"/>
      <c r="AB1497" s="8"/>
      <c r="AC1497" s="8"/>
      <c r="AD1497" s="24"/>
      <c r="AE1497" s="24"/>
      <c r="AF1497" s="8"/>
      <c r="AG1497" s="8"/>
      <c r="AH1497" s="8"/>
      <c r="AI1497" s="8"/>
    </row>
    <row r="1498" spans="1:35" ht="15.75" customHeight="1" x14ac:dyDescent="0.25">
      <c r="A1498" s="8"/>
      <c r="B1498" s="8"/>
      <c r="C1498" s="8"/>
      <c r="D1498" s="8"/>
      <c r="E1498" s="50"/>
      <c r="F1498" s="51"/>
      <c r="G1498" s="51"/>
      <c r="H1498" s="52"/>
      <c r="I1498" s="52"/>
      <c r="J1498" s="52"/>
      <c r="K1498" s="52"/>
      <c r="L1498" s="52"/>
      <c r="M1498" s="52"/>
      <c r="N1498" s="52"/>
      <c r="O1498" s="22"/>
      <c r="P1498" s="22"/>
      <c r="Q1498" s="8"/>
      <c r="R1498" s="8"/>
      <c r="S1498" s="8"/>
      <c r="T1498" s="8"/>
      <c r="U1498" s="8"/>
      <c r="V1498" s="8"/>
      <c r="W1498" s="8"/>
      <c r="X1498" s="8"/>
      <c r="Y1498" s="8"/>
      <c r="Z1498" s="8"/>
      <c r="AA1498" s="8"/>
      <c r="AB1498" s="8"/>
      <c r="AC1498" s="8"/>
      <c r="AD1498" s="24"/>
      <c r="AE1498" s="24"/>
      <c r="AF1498" s="8"/>
      <c r="AG1498" s="8"/>
      <c r="AH1498" s="8"/>
      <c r="AI1498" s="8"/>
    </row>
    <row r="1499" spans="1:35" ht="15.75" customHeight="1" x14ac:dyDescent="0.25">
      <c r="A1499" s="8"/>
      <c r="B1499" s="8"/>
      <c r="C1499" s="8"/>
      <c r="D1499" s="8"/>
      <c r="E1499" s="50"/>
      <c r="F1499" s="51"/>
      <c r="G1499" s="51"/>
      <c r="H1499" s="52"/>
      <c r="I1499" s="52"/>
      <c r="J1499" s="52"/>
      <c r="K1499" s="52"/>
      <c r="L1499" s="52"/>
      <c r="M1499" s="52"/>
      <c r="N1499" s="52"/>
      <c r="O1499" s="22"/>
      <c r="P1499" s="22"/>
      <c r="Q1499" s="8"/>
      <c r="R1499" s="8"/>
      <c r="S1499" s="8"/>
      <c r="T1499" s="8"/>
      <c r="U1499" s="8"/>
      <c r="V1499" s="8"/>
      <c r="W1499" s="8"/>
      <c r="X1499" s="8"/>
      <c r="Y1499" s="8"/>
      <c r="Z1499" s="8"/>
      <c r="AA1499" s="8"/>
      <c r="AB1499" s="8"/>
      <c r="AC1499" s="8"/>
      <c r="AD1499" s="24"/>
      <c r="AE1499" s="24"/>
      <c r="AF1499" s="8"/>
      <c r="AG1499" s="8"/>
      <c r="AH1499" s="8"/>
      <c r="AI1499" s="8"/>
    </row>
    <row r="1500" spans="1:35" ht="15.75" customHeight="1" x14ac:dyDescent="0.25">
      <c r="A1500" s="8"/>
      <c r="B1500" s="8"/>
      <c r="C1500" s="8"/>
      <c r="D1500" s="8"/>
      <c r="E1500" s="50"/>
      <c r="F1500" s="51"/>
      <c r="G1500" s="51"/>
      <c r="H1500" s="52"/>
      <c r="I1500" s="52"/>
      <c r="J1500" s="52"/>
      <c r="K1500" s="52"/>
      <c r="L1500" s="52"/>
      <c r="M1500" s="52"/>
      <c r="N1500" s="52"/>
      <c r="O1500" s="22"/>
      <c r="P1500" s="22"/>
      <c r="Q1500" s="8"/>
      <c r="R1500" s="8"/>
      <c r="S1500" s="8"/>
      <c r="T1500" s="8"/>
      <c r="U1500" s="8"/>
      <c r="V1500" s="8"/>
      <c r="W1500" s="8"/>
      <c r="X1500" s="8"/>
      <c r="Y1500" s="8"/>
      <c r="Z1500" s="8"/>
      <c r="AA1500" s="8"/>
      <c r="AB1500" s="8"/>
      <c r="AC1500" s="8"/>
      <c r="AD1500" s="24"/>
      <c r="AE1500" s="24"/>
      <c r="AF1500" s="8"/>
      <c r="AG1500" s="8"/>
      <c r="AH1500" s="8"/>
      <c r="AI1500" s="8"/>
    </row>
    <row r="1501" spans="1:35" ht="15.75" customHeight="1" x14ac:dyDescent="0.25">
      <c r="A1501" s="8"/>
      <c r="B1501" s="8"/>
      <c r="C1501" s="8"/>
      <c r="D1501" s="8"/>
      <c r="E1501" s="50"/>
      <c r="F1501" s="51"/>
      <c r="G1501" s="51"/>
      <c r="H1501" s="52"/>
      <c r="I1501" s="52"/>
      <c r="J1501" s="52"/>
      <c r="K1501" s="52"/>
      <c r="L1501" s="52"/>
      <c r="M1501" s="52"/>
      <c r="N1501" s="52"/>
      <c r="O1501" s="22"/>
      <c r="P1501" s="22"/>
      <c r="Q1501" s="8"/>
      <c r="R1501" s="8"/>
      <c r="S1501" s="8"/>
      <c r="T1501" s="8"/>
      <c r="U1501" s="8"/>
      <c r="V1501" s="8"/>
      <c r="W1501" s="8"/>
      <c r="X1501" s="8"/>
      <c r="Y1501" s="8"/>
      <c r="Z1501" s="8"/>
      <c r="AA1501" s="8"/>
      <c r="AB1501" s="8"/>
      <c r="AC1501" s="8"/>
      <c r="AD1501" s="24"/>
      <c r="AE1501" s="24"/>
      <c r="AF1501" s="8"/>
      <c r="AG1501" s="8"/>
      <c r="AH1501" s="8"/>
      <c r="AI1501" s="8"/>
    </row>
    <row r="1502" spans="1:35" ht="15.75" customHeight="1" x14ac:dyDescent="0.25">
      <c r="A1502" s="8"/>
      <c r="B1502" s="8"/>
      <c r="C1502" s="8"/>
      <c r="D1502" s="8"/>
      <c r="E1502" s="50"/>
      <c r="F1502" s="51"/>
      <c r="G1502" s="51"/>
      <c r="H1502" s="52"/>
      <c r="I1502" s="52"/>
      <c r="J1502" s="52"/>
      <c r="K1502" s="52"/>
      <c r="L1502" s="52"/>
      <c r="M1502" s="52"/>
      <c r="N1502" s="52"/>
      <c r="O1502" s="22"/>
      <c r="P1502" s="22"/>
      <c r="Q1502" s="8"/>
      <c r="R1502" s="8"/>
      <c r="S1502" s="8"/>
      <c r="T1502" s="8"/>
      <c r="U1502" s="8"/>
      <c r="V1502" s="8"/>
      <c r="W1502" s="8"/>
      <c r="X1502" s="8"/>
      <c r="Y1502" s="8"/>
      <c r="Z1502" s="8"/>
      <c r="AA1502" s="8"/>
      <c r="AB1502" s="8"/>
      <c r="AC1502" s="8"/>
      <c r="AD1502" s="24"/>
      <c r="AE1502" s="24"/>
      <c r="AF1502" s="8"/>
      <c r="AG1502" s="8"/>
      <c r="AH1502" s="8"/>
      <c r="AI1502" s="8"/>
    </row>
    <row r="1503" spans="1:35" ht="15.75" customHeight="1" x14ac:dyDescent="0.25">
      <c r="A1503" s="8"/>
      <c r="B1503" s="8"/>
      <c r="C1503" s="8"/>
      <c r="D1503" s="8"/>
      <c r="E1503" s="50"/>
      <c r="F1503" s="51"/>
      <c r="G1503" s="51"/>
      <c r="H1503" s="52"/>
      <c r="I1503" s="52"/>
      <c r="J1503" s="52"/>
      <c r="K1503" s="52"/>
      <c r="L1503" s="52"/>
      <c r="M1503" s="48"/>
      <c r="N1503" s="52"/>
      <c r="O1503" s="22"/>
      <c r="P1503" s="22"/>
      <c r="Q1503" s="8"/>
      <c r="R1503" s="8"/>
      <c r="S1503" s="8"/>
      <c r="T1503" s="8"/>
      <c r="U1503" s="8"/>
      <c r="V1503" s="8"/>
      <c r="W1503" s="8"/>
      <c r="X1503" s="8"/>
      <c r="Y1503" s="8"/>
      <c r="Z1503" s="8"/>
      <c r="AA1503" s="8"/>
      <c r="AB1503" s="8"/>
      <c r="AC1503" s="8"/>
      <c r="AD1503" s="24"/>
      <c r="AE1503" s="24"/>
      <c r="AF1503" s="8"/>
      <c r="AG1503" s="8"/>
      <c r="AH1503" s="8"/>
      <c r="AI1503" s="8"/>
    </row>
    <row r="1504" spans="1:35" ht="15.75" customHeight="1" x14ac:dyDescent="0.25">
      <c r="A1504" s="8"/>
      <c r="B1504" s="8"/>
      <c r="C1504" s="8"/>
      <c r="D1504" s="8"/>
      <c r="E1504" s="50"/>
      <c r="F1504" s="51"/>
      <c r="G1504" s="51"/>
      <c r="H1504" s="52"/>
      <c r="I1504" s="52"/>
      <c r="J1504" s="52"/>
      <c r="K1504" s="52"/>
      <c r="L1504" s="52"/>
      <c r="M1504" s="48"/>
      <c r="N1504" s="52"/>
      <c r="O1504" s="22"/>
      <c r="P1504" s="22"/>
      <c r="Q1504" s="8"/>
      <c r="R1504" s="8"/>
      <c r="S1504" s="8"/>
      <c r="T1504" s="8"/>
      <c r="U1504" s="8"/>
      <c r="V1504" s="8"/>
      <c r="W1504" s="8"/>
      <c r="X1504" s="8"/>
      <c r="Y1504" s="8"/>
      <c r="Z1504" s="8"/>
      <c r="AA1504" s="8"/>
      <c r="AB1504" s="8"/>
      <c r="AC1504" s="8"/>
      <c r="AD1504" s="24"/>
      <c r="AE1504" s="24"/>
      <c r="AF1504" s="8"/>
      <c r="AG1504" s="8"/>
      <c r="AH1504" s="8"/>
      <c r="AI1504" s="8"/>
    </row>
    <row r="1505" spans="1:35" ht="15.75" customHeight="1" x14ac:dyDescent="0.25">
      <c r="A1505" s="8"/>
      <c r="B1505" s="8"/>
      <c r="C1505" s="8"/>
      <c r="D1505" s="8"/>
      <c r="E1505" s="50"/>
      <c r="F1505" s="51"/>
      <c r="G1505" s="51"/>
      <c r="H1505" s="52"/>
      <c r="I1505" s="52"/>
      <c r="J1505" s="52"/>
      <c r="K1505" s="52"/>
      <c r="L1505" s="52"/>
      <c r="M1505" s="48"/>
      <c r="N1505" s="52"/>
      <c r="O1505" s="22"/>
      <c r="P1505" s="22"/>
      <c r="Q1505" s="8"/>
      <c r="R1505" s="8"/>
      <c r="S1505" s="8"/>
      <c r="T1505" s="8"/>
      <c r="U1505" s="8"/>
      <c r="V1505" s="8"/>
      <c r="W1505" s="8"/>
      <c r="X1505" s="8"/>
      <c r="Y1505" s="8"/>
      <c r="Z1505" s="8"/>
      <c r="AA1505" s="8"/>
      <c r="AB1505" s="8"/>
      <c r="AC1505" s="8"/>
      <c r="AD1505" s="24"/>
      <c r="AE1505" s="24"/>
      <c r="AF1505" s="8"/>
      <c r="AG1505" s="8"/>
      <c r="AH1505" s="8"/>
      <c r="AI1505" s="8"/>
    </row>
    <row r="1506" spans="1:35" ht="15.75" customHeight="1" x14ac:dyDescent="0.25">
      <c r="A1506" s="8"/>
      <c r="B1506" s="8"/>
      <c r="C1506" s="8"/>
      <c r="D1506" s="8"/>
      <c r="E1506" s="50"/>
      <c r="F1506" s="51"/>
      <c r="G1506" s="51"/>
      <c r="H1506" s="52"/>
      <c r="I1506" s="52"/>
      <c r="J1506" s="52"/>
      <c r="K1506" s="52"/>
      <c r="L1506" s="52"/>
      <c r="M1506" s="48"/>
      <c r="N1506" s="52"/>
      <c r="O1506" s="22"/>
      <c r="P1506" s="22"/>
      <c r="Q1506" s="8"/>
      <c r="R1506" s="8"/>
      <c r="S1506" s="8"/>
      <c r="T1506" s="8"/>
      <c r="U1506" s="8"/>
      <c r="V1506" s="8"/>
      <c r="W1506" s="8"/>
      <c r="X1506" s="8"/>
      <c r="Y1506" s="8"/>
      <c r="Z1506" s="8"/>
      <c r="AA1506" s="8"/>
      <c r="AB1506" s="8"/>
      <c r="AC1506" s="8"/>
      <c r="AD1506" s="24"/>
      <c r="AE1506" s="24"/>
      <c r="AF1506" s="8"/>
      <c r="AG1506" s="8"/>
      <c r="AH1506" s="8"/>
      <c r="AI1506" s="8"/>
    </row>
    <row r="1507" spans="1:35" ht="15.75" customHeight="1" x14ac:dyDescent="0.25">
      <c r="A1507" s="8"/>
      <c r="B1507" s="8"/>
      <c r="C1507" s="8"/>
      <c r="D1507" s="8"/>
      <c r="E1507" s="50"/>
      <c r="F1507" s="51"/>
      <c r="G1507" s="51"/>
      <c r="H1507" s="52"/>
      <c r="I1507" s="52"/>
      <c r="J1507" s="52"/>
      <c r="K1507" s="52"/>
      <c r="L1507" s="52"/>
      <c r="M1507" s="48"/>
      <c r="N1507" s="52"/>
      <c r="O1507" s="22"/>
      <c r="P1507" s="22"/>
      <c r="Q1507" s="8"/>
      <c r="R1507" s="8"/>
      <c r="S1507" s="8"/>
      <c r="T1507" s="8"/>
      <c r="U1507" s="8"/>
      <c r="V1507" s="8"/>
      <c r="W1507" s="8"/>
      <c r="X1507" s="8"/>
      <c r="Y1507" s="8"/>
      <c r="Z1507" s="8"/>
      <c r="AA1507" s="8"/>
      <c r="AB1507" s="8"/>
      <c r="AC1507" s="8"/>
      <c r="AD1507" s="24"/>
      <c r="AE1507" s="24"/>
      <c r="AF1507" s="8"/>
      <c r="AG1507" s="8"/>
      <c r="AH1507" s="8"/>
      <c r="AI1507" s="8"/>
    </row>
    <row r="1508" spans="1:35" ht="15.75" customHeight="1" x14ac:dyDescent="0.25">
      <c r="A1508" s="8"/>
      <c r="B1508" s="8"/>
      <c r="C1508" s="8"/>
      <c r="D1508" s="8"/>
      <c r="E1508" s="50"/>
      <c r="F1508" s="51"/>
      <c r="G1508" s="51"/>
      <c r="H1508" s="52"/>
      <c r="I1508" s="52"/>
      <c r="J1508" s="52"/>
      <c r="K1508" s="52"/>
      <c r="L1508" s="52"/>
      <c r="M1508" s="48"/>
      <c r="N1508" s="52"/>
      <c r="O1508" s="22"/>
      <c r="P1508" s="22"/>
      <c r="Q1508" s="8"/>
      <c r="R1508" s="8"/>
      <c r="S1508" s="8"/>
      <c r="T1508" s="8"/>
      <c r="U1508" s="8"/>
      <c r="V1508" s="8"/>
      <c r="W1508" s="8"/>
      <c r="X1508" s="8"/>
      <c r="Y1508" s="8"/>
      <c r="Z1508" s="8"/>
      <c r="AA1508" s="8"/>
      <c r="AB1508" s="8"/>
      <c r="AC1508" s="8"/>
      <c r="AD1508" s="24"/>
      <c r="AE1508" s="24"/>
      <c r="AF1508" s="8"/>
      <c r="AG1508" s="8"/>
      <c r="AH1508" s="8"/>
      <c r="AI1508" s="8"/>
    </row>
    <row r="1509" spans="1:35" ht="15.75" customHeight="1" x14ac:dyDescent="0.25">
      <c r="A1509" s="8"/>
      <c r="B1509" s="8"/>
      <c r="C1509" s="8"/>
      <c r="D1509" s="8"/>
      <c r="E1509" s="50"/>
      <c r="F1509" s="51"/>
      <c r="G1509" s="51"/>
      <c r="H1509" s="52"/>
      <c r="I1509" s="52"/>
      <c r="J1509" s="52"/>
      <c r="K1509" s="52"/>
      <c r="L1509" s="52"/>
      <c r="M1509" s="48"/>
      <c r="N1509" s="52"/>
      <c r="O1509" s="22"/>
      <c r="P1509" s="22"/>
      <c r="Q1509" s="8"/>
      <c r="R1509" s="8"/>
      <c r="S1509" s="8"/>
      <c r="T1509" s="8"/>
      <c r="U1509" s="8"/>
      <c r="V1509" s="8"/>
      <c r="W1509" s="8"/>
      <c r="X1509" s="8"/>
      <c r="Y1509" s="8"/>
      <c r="Z1509" s="8"/>
      <c r="AA1509" s="8"/>
      <c r="AB1509" s="8"/>
      <c r="AC1509" s="8"/>
      <c r="AD1509" s="24"/>
      <c r="AE1509" s="24"/>
      <c r="AF1509" s="8"/>
      <c r="AG1509" s="8"/>
      <c r="AH1509" s="8"/>
      <c r="AI1509" s="8"/>
    </row>
    <row r="1510" spans="1:35" ht="15.75" customHeight="1" x14ac:dyDescent="0.25">
      <c r="A1510" s="8"/>
      <c r="B1510" s="8"/>
      <c r="C1510" s="8"/>
      <c r="D1510" s="8"/>
      <c r="E1510" s="50"/>
      <c r="F1510" s="51"/>
      <c r="G1510" s="51"/>
      <c r="H1510" s="52"/>
      <c r="I1510" s="52"/>
      <c r="J1510" s="52"/>
      <c r="K1510" s="52"/>
      <c r="L1510" s="52"/>
      <c r="M1510" s="48"/>
      <c r="N1510" s="52"/>
      <c r="O1510" s="22"/>
      <c r="P1510" s="22"/>
      <c r="Q1510" s="8"/>
      <c r="R1510" s="8"/>
      <c r="S1510" s="8"/>
      <c r="T1510" s="8"/>
      <c r="U1510" s="8"/>
      <c r="V1510" s="8"/>
      <c r="W1510" s="8"/>
      <c r="X1510" s="8"/>
      <c r="Y1510" s="8"/>
      <c r="Z1510" s="8"/>
      <c r="AA1510" s="8"/>
      <c r="AB1510" s="8"/>
      <c r="AC1510" s="8"/>
      <c r="AD1510" s="24"/>
      <c r="AE1510" s="24"/>
      <c r="AF1510" s="8"/>
      <c r="AG1510" s="8"/>
      <c r="AH1510" s="8"/>
      <c r="AI1510" s="8"/>
    </row>
    <row r="1511" spans="1:35" ht="15.75" customHeight="1" x14ac:dyDescent="0.25">
      <c r="A1511" s="8"/>
      <c r="B1511" s="8"/>
      <c r="C1511" s="8"/>
      <c r="D1511" s="8"/>
      <c r="E1511" s="50"/>
      <c r="F1511" s="51"/>
      <c r="G1511" s="51"/>
      <c r="H1511" s="52"/>
      <c r="I1511" s="52"/>
      <c r="J1511" s="52"/>
      <c r="K1511" s="52"/>
      <c r="L1511" s="52"/>
      <c r="M1511" s="52"/>
      <c r="N1511" s="52"/>
      <c r="O1511" s="22"/>
      <c r="P1511" s="22"/>
      <c r="Q1511" s="8"/>
      <c r="R1511" s="8"/>
      <c r="S1511" s="8"/>
      <c r="T1511" s="8"/>
      <c r="U1511" s="8"/>
      <c r="V1511" s="8"/>
      <c r="W1511" s="8"/>
      <c r="X1511" s="8"/>
      <c r="Y1511" s="8"/>
      <c r="Z1511" s="8"/>
      <c r="AA1511" s="8"/>
      <c r="AB1511" s="8"/>
      <c r="AC1511" s="8"/>
      <c r="AD1511" s="24"/>
      <c r="AE1511" s="24"/>
      <c r="AF1511" s="8"/>
      <c r="AG1511" s="8"/>
      <c r="AH1511" s="8"/>
      <c r="AI1511" s="8"/>
    </row>
    <row r="1512" spans="1:35" ht="15.75" customHeight="1" x14ac:dyDescent="0.25">
      <c r="A1512" s="8"/>
      <c r="B1512" s="8"/>
      <c r="C1512" s="8"/>
      <c r="D1512" s="8"/>
      <c r="E1512" s="50"/>
      <c r="F1512" s="51"/>
      <c r="G1512" s="51"/>
      <c r="H1512" s="52"/>
      <c r="I1512" s="52"/>
      <c r="J1512" s="52"/>
      <c r="K1512" s="52"/>
      <c r="L1512" s="52"/>
      <c r="M1512" s="52"/>
      <c r="N1512" s="52"/>
      <c r="O1512" s="22"/>
      <c r="P1512" s="22"/>
      <c r="Q1512" s="8"/>
      <c r="R1512" s="8"/>
      <c r="S1512" s="8"/>
      <c r="T1512" s="8"/>
      <c r="U1512" s="8"/>
      <c r="V1512" s="8"/>
      <c r="W1512" s="8"/>
      <c r="X1512" s="8"/>
      <c r="Y1512" s="8"/>
      <c r="Z1512" s="8"/>
      <c r="AA1512" s="8"/>
      <c r="AB1512" s="8"/>
      <c r="AC1512" s="8"/>
      <c r="AD1512" s="24"/>
      <c r="AE1512" s="24"/>
      <c r="AF1512" s="8"/>
      <c r="AG1512" s="8"/>
      <c r="AH1512" s="8"/>
      <c r="AI1512" s="8"/>
    </row>
    <row r="1513" spans="1:35" ht="15.75" customHeight="1" x14ac:dyDescent="0.25">
      <c r="A1513" s="8"/>
      <c r="B1513" s="8"/>
      <c r="C1513" s="8"/>
      <c r="D1513" s="8"/>
      <c r="E1513" s="50"/>
      <c r="F1513" s="51"/>
      <c r="G1513" s="51"/>
      <c r="H1513" s="52"/>
      <c r="I1513" s="52"/>
      <c r="J1513" s="52"/>
      <c r="K1513" s="52"/>
      <c r="L1513" s="52"/>
      <c r="M1513" s="48"/>
      <c r="N1513" s="52"/>
      <c r="O1513" s="22"/>
      <c r="P1513" s="22"/>
      <c r="Q1513" s="8"/>
      <c r="R1513" s="8"/>
      <c r="S1513" s="8"/>
      <c r="T1513" s="8"/>
      <c r="U1513" s="8"/>
      <c r="V1513" s="8"/>
      <c r="W1513" s="8"/>
      <c r="X1513" s="8"/>
      <c r="Y1513" s="8"/>
      <c r="Z1513" s="8"/>
      <c r="AA1513" s="8"/>
      <c r="AB1513" s="8"/>
      <c r="AC1513" s="8"/>
      <c r="AD1513" s="24"/>
      <c r="AE1513" s="24"/>
      <c r="AF1513" s="8"/>
      <c r="AG1513" s="8"/>
      <c r="AH1513" s="8"/>
      <c r="AI1513" s="8"/>
    </row>
    <row r="1514" spans="1:35" ht="15.75" customHeight="1" x14ac:dyDescent="0.25">
      <c r="A1514" s="8"/>
      <c r="B1514" s="8"/>
      <c r="C1514" s="8"/>
      <c r="D1514" s="8"/>
      <c r="E1514" s="50"/>
      <c r="F1514" s="51"/>
      <c r="G1514" s="51"/>
      <c r="H1514" s="52"/>
      <c r="I1514" s="52"/>
      <c r="J1514" s="52"/>
      <c r="K1514" s="52"/>
      <c r="L1514" s="52"/>
      <c r="M1514" s="49"/>
      <c r="N1514" s="52"/>
      <c r="O1514" s="22"/>
      <c r="P1514" s="22"/>
      <c r="Q1514" s="8"/>
      <c r="R1514" s="8"/>
      <c r="S1514" s="8"/>
      <c r="T1514" s="8"/>
      <c r="U1514" s="8"/>
      <c r="V1514" s="8"/>
      <c r="W1514" s="8"/>
      <c r="X1514" s="8"/>
      <c r="Y1514" s="8"/>
      <c r="Z1514" s="8"/>
      <c r="AA1514" s="8"/>
      <c r="AB1514" s="8"/>
      <c r="AC1514" s="8"/>
      <c r="AD1514" s="24"/>
      <c r="AE1514" s="24"/>
      <c r="AF1514" s="8"/>
      <c r="AG1514" s="8"/>
      <c r="AH1514" s="8"/>
      <c r="AI1514" s="8"/>
    </row>
    <row r="1515" spans="1:35" ht="15.75" customHeight="1" x14ac:dyDescent="0.25">
      <c r="A1515" s="8"/>
      <c r="B1515" s="8"/>
      <c r="C1515" s="8"/>
      <c r="D1515" s="8"/>
      <c r="E1515" s="50"/>
      <c r="F1515" s="51"/>
      <c r="G1515" s="51"/>
      <c r="H1515" s="52"/>
      <c r="I1515" s="52"/>
      <c r="J1515" s="52"/>
      <c r="K1515" s="52"/>
      <c r="L1515" s="52"/>
      <c r="M1515" s="48"/>
      <c r="N1515" s="52"/>
      <c r="O1515" s="22"/>
      <c r="P1515" s="22"/>
      <c r="Q1515" s="8"/>
      <c r="R1515" s="8"/>
      <c r="S1515" s="8"/>
      <c r="T1515" s="8"/>
      <c r="U1515" s="8"/>
      <c r="V1515" s="8"/>
      <c r="W1515" s="8"/>
      <c r="X1515" s="8"/>
      <c r="Y1515" s="8"/>
      <c r="Z1515" s="8"/>
      <c r="AA1515" s="8"/>
      <c r="AB1515" s="8"/>
      <c r="AC1515" s="8"/>
      <c r="AD1515" s="24"/>
      <c r="AE1515" s="24"/>
      <c r="AF1515" s="8"/>
      <c r="AG1515" s="8"/>
      <c r="AH1515" s="8"/>
      <c r="AI1515" s="8"/>
    </row>
    <row r="1516" spans="1:35" ht="15.75" customHeight="1" x14ac:dyDescent="0.25">
      <c r="A1516" s="8"/>
      <c r="B1516" s="8"/>
      <c r="C1516" s="8"/>
      <c r="D1516" s="8"/>
      <c r="E1516" s="50"/>
      <c r="F1516" s="51"/>
      <c r="G1516" s="51"/>
      <c r="H1516" s="52"/>
      <c r="I1516" s="52"/>
      <c r="J1516" s="52"/>
      <c r="K1516" s="52"/>
      <c r="L1516" s="52"/>
      <c r="M1516" s="48"/>
      <c r="N1516" s="52"/>
      <c r="O1516" s="22"/>
      <c r="P1516" s="22"/>
      <c r="Q1516" s="8"/>
      <c r="R1516" s="8"/>
      <c r="S1516" s="8"/>
      <c r="T1516" s="8"/>
      <c r="U1516" s="8"/>
      <c r="V1516" s="8"/>
      <c r="W1516" s="8"/>
      <c r="X1516" s="8"/>
      <c r="Y1516" s="8"/>
      <c r="Z1516" s="8"/>
      <c r="AA1516" s="8"/>
      <c r="AB1516" s="8"/>
      <c r="AC1516" s="8"/>
      <c r="AD1516" s="24"/>
      <c r="AE1516" s="24"/>
      <c r="AF1516" s="8"/>
      <c r="AG1516" s="8"/>
      <c r="AH1516" s="8"/>
      <c r="AI1516" s="8"/>
    </row>
    <row r="1517" spans="1:35" ht="15.75" customHeight="1" x14ac:dyDescent="0.25">
      <c r="A1517" s="8"/>
      <c r="B1517" s="8"/>
      <c r="C1517" s="8"/>
      <c r="D1517" s="8"/>
      <c r="E1517" s="50"/>
      <c r="F1517" s="51"/>
      <c r="G1517" s="51"/>
      <c r="H1517" s="52"/>
      <c r="I1517" s="52"/>
      <c r="J1517" s="52"/>
      <c r="K1517" s="52"/>
      <c r="L1517" s="52"/>
      <c r="M1517" s="48"/>
      <c r="N1517" s="52"/>
      <c r="O1517" s="22"/>
      <c r="P1517" s="22"/>
      <c r="Q1517" s="8"/>
      <c r="R1517" s="8"/>
      <c r="S1517" s="8"/>
      <c r="T1517" s="8"/>
      <c r="U1517" s="8"/>
      <c r="V1517" s="8"/>
      <c r="W1517" s="8"/>
      <c r="X1517" s="8"/>
      <c r="Y1517" s="8"/>
      <c r="Z1517" s="8"/>
      <c r="AA1517" s="8"/>
      <c r="AB1517" s="8"/>
      <c r="AC1517" s="8"/>
      <c r="AD1517" s="24"/>
      <c r="AE1517" s="24"/>
      <c r="AF1517" s="8"/>
      <c r="AG1517" s="8"/>
      <c r="AH1517" s="8"/>
      <c r="AI1517" s="8"/>
    </row>
    <row r="1518" spans="1:35" ht="15.75" customHeight="1" x14ac:dyDescent="0.25">
      <c r="A1518" s="8"/>
      <c r="B1518" s="8"/>
      <c r="C1518" s="8"/>
      <c r="D1518" s="8"/>
      <c r="E1518" s="50"/>
      <c r="F1518" s="51"/>
      <c r="G1518" s="51"/>
      <c r="H1518" s="52"/>
      <c r="I1518" s="52"/>
      <c r="J1518" s="52"/>
      <c r="K1518" s="52"/>
      <c r="L1518" s="52"/>
      <c r="M1518" s="48"/>
      <c r="N1518" s="52"/>
      <c r="O1518" s="22"/>
      <c r="P1518" s="22"/>
      <c r="Q1518" s="8"/>
      <c r="R1518" s="8"/>
      <c r="S1518" s="8"/>
      <c r="T1518" s="8"/>
      <c r="U1518" s="8"/>
      <c r="V1518" s="8"/>
      <c r="W1518" s="8"/>
      <c r="X1518" s="8"/>
      <c r="Y1518" s="8"/>
      <c r="Z1518" s="8"/>
      <c r="AA1518" s="8"/>
      <c r="AB1518" s="8"/>
      <c r="AC1518" s="8"/>
      <c r="AD1518" s="24"/>
      <c r="AE1518" s="24"/>
      <c r="AF1518" s="8"/>
      <c r="AG1518" s="8"/>
      <c r="AH1518" s="8"/>
      <c r="AI1518" s="8"/>
    </row>
    <row r="1519" spans="1:35" ht="15.75" customHeight="1" x14ac:dyDescent="0.25">
      <c r="A1519" s="8"/>
      <c r="B1519" s="8"/>
      <c r="C1519" s="8"/>
      <c r="D1519" s="8"/>
      <c r="E1519" s="50"/>
      <c r="F1519" s="51"/>
      <c r="G1519" s="51"/>
      <c r="H1519" s="52"/>
      <c r="I1519" s="52"/>
      <c r="J1519" s="52"/>
      <c r="K1519" s="52"/>
      <c r="L1519" s="52"/>
      <c r="M1519" s="48"/>
      <c r="N1519" s="52"/>
      <c r="O1519" s="22"/>
      <c r="P1519" s="22"/>
      <c r="Q1519" s="8"/>
      <c r="R1519" s="8"/>
      <c r="S1519" s="8"/>
      <c r="T1519" s="8"/>
      <c r="U1519" s="8"/>
      <c r="V1519" s="8"/>
      <c r="W1519" s="8"/>
      <c r="X1519" s="8"/>
      <c r="Y1519" s="8"/>
      <c r="Z1519" s="8"/>
      <c r="AA1519" s="8"/>
      <c r="AB1519" s="8"/>
      <c r="AC1519" s="8"/>
      <c r="AD1519" s="24"/>
      <c r="AE1519" s="24"/>
      <c r="AF1519" s="8"/>
      <c r="AG1519" s="8"/>
      <c r="AH1519" s="8"/>
      <c r="AI1519" s="8"/>
    </row>
    <row r="1520" spans="1:35" ht="15.75" customHeight="1" x14ac:dyDescent="0.25">
      <c r="A1520" s="8"/>
      <c r="B1520" s="8"/>
      <c r="C1520" s="8"/>
      <c r="D1520" s="8"/>
      <c r="E1520" s="50"/>
      <c r="F1520" s="51"/>
      <c r="G1520" s="51"/>
      <c r="H1520" s="52"/>
      <c r="I1520" s="52"/>
      <c r="J1520" s="52"/>
      <c r="K1520" s="52"/>
      <c r="L1520" s="52"/>
      <c r="M1520" s="48"/>
      <c r="N1520" s="52"/>
      <c r="O1520" s="22"/>
      <c r="P1520" s="22"/>
      <c r="Q1520" s="8"/>
      <c r="R1520" s="8"/>
      <c r="S1520" s="8"/>
      <c r="T1520" s="8"/>
      <c r="U1520" s="8"/>
      <c r="V1520" s="8"/>
      <c r="W1520" s="8"/>
      <c r="X1520" s="8"/>
      <c r="Y1520" s="8"/>
      <c r="Z1520" s="8"/>
      <c r="AA1520" s="8"/>
      <c r="AB1520" s="8"/>
      <c r="AC1520" s="8"/>
      <c r="AD1520" s="24"/>
      <c r="AE1520" s="24"/>
      <c r="AF1520" s="8"/>
      <c r="AG1520" s="8"/>
      <c r="AH1520" s="8"/>
      <c r="AI1520" s="8"/>
    </row>
    <row r="1521" spans="1:35" ht="15.75" customHeight="1" x14ac:dyDescent="0.25">
      <c r="A1521" s="8"/>
      <c r="B1521" s="8"/>
      <c r="C1521" s="8"/>
      <c r="D1521" s="8"/>
      <c r="E1521" s="50"/>
      <c r="F1521" s="51"/>
      <c r="G1521" s="51"/>
      <c r="H1521" s="52"/>
      <c r="I1521" s="52"/>
      <c r="J1521" s="52"/>
      <c r="K1521" s="52"/>
      <c r="L1521" s="52"/>
      <c r="M1521" s="48"/>
      <c r="N1521" s="52"/>
      <c r="O1521" s="22"/>
      <c r="P1521" s="22"/>
      <c r="Q1521" s="8"/>
      <c r="R1521" s="8"/>
      <c r="S1521" s="8"/>
      <c r="T1521" s="8"/>
      <c r="U1521" s="8"/>
      <c r="V1521" s="8"/>
      <c r="W1521" s="8"/>
      <c r="X1521" s="8"/>
      <c r="Y1521" s="8"/>
      <c r="Z1521" s="8"/>
      <c r="AA1521" s="8"/>
      <c r="AB1521" s="8"/>
      <c r="AC1521" s="8"/>
      <c r="AD1521" s="24"/>
      <c r="AE1521" s="24"/>
      <c r="AF1521" s="8"/>
      <c r="AG1521" s="8"/>
      <c r="AH1521" s="8"/>
      <c r="AI1521" s="8"/>
    </row>
    <row r="1522" spans="1:35" ht="15.75" customHeight="1" x14ac:dyDescent="0.25">
      <c r="A1522" s="8"/>
      <c r="B1522" s="8"/>
      <c r="C1522" s="8"/>
      <c r="D1522" s="8"/>
      <c r="E1522" s="50"/>
      <c r="F1522" s="51"/>
      <c r="G1522" s="51"/>
      <c r="H1522" s="52"/>
      <c r="I1522" s="52"/>
      <c r="J1522" s="52"/>
      <c r="K1522" s="52"/>
      <c r="L1522" s="52"/>
      <c r="M1522" s="52"/>
      <c r="N1522" s="52"/>
      <c r="O1522" s="22"/>
      <c r="P1522" s="22"/>
      <c r="Q1522" s="8"/>
      <c r="R1522" s="8"/>
      <c r="S1522" s="8"/>
      <c r="T1522" s="8"/>
      <c r="U1522" s="8"/>
      <c r="V1522" s="8"/>
      <c r="W1522" s="8"/>
      <c r="X1522" s="8"/>
      <c r="Y1522" s="8"/>
      <c r="Z1522" s="8"/>
      <c r="AA1522" s="8"/>
      <c r="AB1522" s="8"/>
      <c r="AC1522" s="8"/>
      <c r="AD1522" s="24"/>
      <c r="AE1522" s="24"/>
      <c r="AF1522" s="8"/>
      <c r="AG1522" s="8"/>
      <c r="AH1522" s="8"/>
      <c r="AI1522" s="8"/>
    </row>
    <row r="1523" spans="1:35" ht="15.75" customHeight="1" x14ac:dyDescent="0.25">
      <c r="A1523" s="8"/>
      <c r="B1523" s="8"/>
      <c r="C1523" s="8"/>
      <c r="D1523" s="8"/>
      <c r="E1523" s="50"/>
      <c r="F1523" s="51"/>
      <c r="G1523" s="51"/>
      <c r="H1523" s="52"/>
      <c r="I1523" s="52"/>
      <c r="J1523" s="52"/>
      <c r="K1523" s="52"/>
      <c r="L1523" s="52"/>
      <c r="M1523" s="48"/>
      <c r="N1523" s="52"/>
      <c r="O1523" s="22"/>
      <c r="P1523" s="22"/>
      <c r="Q1523" s="8"/>
      <c r="R1523" s="8"/>
      <c r="S1523" s="8"/>
      <c r="T1523" s="8"/>
      <c r="U1523" s="8"/>
      <c r="V1523" s="8"/>
      <c r="W1523" s="8"/>
      <c r="X1523" s="8"/>
      <c r="Y1523" s="8"/>
      <c r="Z1523" s="8"/>
      <c r="AA1523" s="8"/>
      <c r="AB1523" s="8"/>
      <c r="AC1523" s="8"/>
      <c r="AD1523" s="24"/>
      <c r="AE1523" s="24"/>
      <c r="AF1523" s="8"/>
      <c r="AG1523" s="8"/>
      <c r="AH1523" s="8"/>
      <c r="AI1523" s="8"/>
    </row>
    <row r="1524" spans="1:35" ht="15.75" customHeight="1" x14ac:dyDescent="0.25">
      <c r="A1524" s="8"/>
      <c r="B1524" s="8"/>
      <c r="C1524" s="8"/>
      <c r="D1524" s="8"/>
      <c r="E1524" s="50"/>
      <c r="F1524" s="51"/>
      <c r="G1524" s="51"/>
      <c r="H1524" s="52"/>
      <c r="I1524" s="52"/>
      <c r="J1524" s="52"/>
      <c r="K1524" s="52"/>
      <c r="L1524" s="52"/>
      <c r="M1524" s="52"/>
      <c r="N1524" s="52"/>
      <c r="O1524" s="22"/>
      <c r="P1524" s="22"/>
      <c r="Q1524" s="8"/>
      <c r="R1524" s="8"/>
      <c r="S1524" s="8"/>
      <c r="T1524" s="8"/>
      <c r="U1524" s="8"/>
      <c r="V1524" s="8"/>
      <c r="W1524" s="8"/>
      <c r="X1524" s="8"/>
      <c r="Y1524" s="8"/>
      <c r="Z1524" s="8"/>
      <c r="AA1524" s="8"/>
      <c r="AB1524" s="8"/>
      <c r="AC1524" s="8"/>
      <c r="AD1524" s="24"/>
      <c r="AE1524" s="24"/>
      <c r="AF1524" s="8"/>
      <c r="AG1524" s="8"/>
      <c r="AH1524" s="8"/>
      <c r="AI1524" s="8"/>
    </row>
    <row r="1525" spans="1:35" ht="15.75" customHeight="1" x14ac:dyDescent="0.25">
      <c r="A1525" s="8"/>
      <c r="B1525" s="8"/>
      <c r="C1525" s="8"/>
      <c r="D1525" s="8"/>
      <c r="E1525" s="50"/>
      <c r="F1525" s="51"/>
      <c r="G1525" s="51"/>
      <c r="H1525" s="52"/>
      <c r="I1525" s="52"/>
      <c r="J1525" s="52"/>
      <c r="K1525" s="52"/>
      <c r="L1525" s="52"/>
      <c r="M1525" s="48"/>
      <c r="N1525" s="52"/>
      <c r="O1525" s="22"/>
      <c r="P1525" s="22"/>
      <c r="Q1525" s="8"/>
      <c r="R1525" s="8"/>
      <c r="S1525" s="8"/>
      <c r="T1525" s="8"/>
      <c r="U1525" s="8"/>
      <c r="V1525" s="8"/>
      <c r="W1525" s="8"/>
      <c r="X1525" s="8"/>
      <c r="Y1525" s="8"/>
      <c r="Z1525" s="8"/>
      <c r="AA1525" s="8"/>
      <c r="AB1525" s="8"/>
      <c r="AC1525" s="8"/>
      <c r="AD1525" s="24"/>
      <c r="AE1525" s="24"/>
      <c r="AF1525" s="8"/>
      <c r="AG1525" s="8"/>
      <c r="AH1525" s="8"/>
      <c r="AI1525" s="8"/>
    </row>
    <row r="1526" spans="1:35" ht="15.75" customHeight="1" x14ac:dyDescent="0.25">
      <c r="A1526" s="8"/>
      <c r="B1526" s="8"/>
      <c r="C1526" s="8"/>
      <c r="D1526" s="8"/>
      <c r="E1526" s="50"/>
      <c r="F1526" s="51"/>
      <c r="G1526" s="51"/>
      <c r="H1526" s="52"/>
      <c r="I1526" s="52"/>
      <c r="J1526" s="52"/>
      <c r="K1526" s="52"/>
      <c r="L1526" s="52"/>
      <c r="M1526" s="52"/>
      <c r="N1526" s="52"/>
      <c r="O1526" s="22"/>
      <c r="P1526" s="22"/>
      <c r="Q1526" s="8"/>
      <c r="R1526" s="8"/>
      <c r="S1526" s="8"/>
      <c r="T1526" s="8"/>
      <c r="U1526" s="8"/>
      <c r="V1526" s="8"/>
      <c r="W1526" s="8"/>
      <c r="X1526" s="8"/>
      <c r="Y1526" s="8"/>
      <c r="Z1526" s="8"/>
      <c r="AA1526" s="8"/>
      <c r="AB1526" s="8"/>
      <c r="AC1526" s="8"/>
      <c r="AD1526" s="24"/>
      <c r="AE1526" s="24"/>
      <c r="AF1526" s="8"/>
      <c r="AG1526" s="8"/>
      <c r="AH1526" s="8"/>
      <c r="AI1526" s="8"/>
    </row>
    <row r="1527" spans="1:35" ht="15.75" customHeight="1" x14ac:dyDescent="0.25">
      <c r="A1527" s="8"/>
      <c r="B1527" s="8"/>
      <c r="C1527" s="8"/>
      <c r="D1527" s="8"/>
      <c r="E1527" s="50"/>
      <c r="F1527" s="51"/>
      <c r="G1527" s="51"/>
      <c r="H1527" s="52"/>
      <c r="I1527" s="52"/>
      <c r="J1527" s="52"/>
      <c r="K1527" s="52"/>
      <c r="L1527" s="52"/>
      <c r="M1527" s="48"/>
      <c r="N1527" s="52"/>
      <c r="O1527" s="22"/>
      <c r="P1527" s="22"/>
      <c r="Q1527" s="8"/>
      <c r="R1527" s="8"/>
      <c r="S1527" s="8"/>
      <c r="T1527" s="8"/>
      <c r="U1527" s="8"/>
      <c r="V1527" s="8"/>
      <c r="W1527" s="8"/>
      <c r="X1527" s="8"/>
      <c r="Y1527" s="8"/>
      <c r="Z1527" s="8"/>
      <c r="AA1527" s="8"/>
      <c r="AB1527" s="8"/>
      <c r="AC1527" s="8"/>
      <c r="AD1527" s="24"/>
      <c r="AE1527" s="24"/>
      <c r="AF1527" s="8"/>
      <c r="AG1527" s="8"/>
      <c r="AH1527" s="8"/>
      <c r="AI1527" s="8"/>
    </row>
    <row r="1528" spans="1:35" ht="15.75" customHeight="1" x14ac:dyDescent="0.25">
      <c r="A1528" s="8"/>
      <c r="B1528" s="8"/>
      <c r="C1528" s="8"/>
      <c r="D1528" s="8"/>
      <c r="E1528" s="50"/>
      <c r="F1528" s="51"/>
      <c r="G1528" s="51"/>
      <c r="H1528" s="52"/>
      <c r="I1528" s="52"/>
      <c r="J1528" s="52"/>
      <c r="K1528" s="52"/>
      <c r="L1528" s="52"/>
      <c r="M1528" s="52"/>
      <c r="N1528" s="52"/>
      <c r="O1528" s="22"/>
      <c r="P1528" s="22"/>
      <c r="Q1528" s="8"/>
      <c r="R1528" s="8"/>
      <c r="S1528" s="8"/>
      <c r="T1528" s="8"/>
      <c r="U1528" s="8"/>
      <c r="V1528" s="8"/>
      <c r="W1528" s="8"/>
      <c r="X1528" s="8"/>
      <c r="Y1528" s="8"/>
      <c r="Z1528" s="8"/>
      <c r="AA1528" s="8"/>
      <c r="AB1528" s="8"/>
      <c r="AC1528" s="8"/>
      <c r="AD1528" s="24"/>
      <c r="AE1528" s="24"/>
      <c r="AF1528" s="8"/>
      <c r="AG1528" s="8"/>
      <c r="AH1528" s="8"/>
      <c r="AI1528" s="8"/>
    </row>
    <row r="1529" spans="1:35" ht="15.75" customHeight="1" x14ac:dyDescent="0.25">
      <c r="A1529" s="8"/>
      <c r="B1529" s="8"/>
      <c r="C1529" s="8"/>
      <c r="D1529" s="8"/>
      <c r="E1529" s="50"/>
      <c r="F1529" s="51"/>
      <c r="G1529" s="51"/>
      <c r="H1529" s="52"/>
      <c r="I1529" s="52"/>
      <c r="J1529" s="52"/>
      <c r="K1529" s="52"/>
      <c r="L1529" s="52"/>
      <c r="M1529" s="48"/>
      <c r="N1529" s="52"/>
      <c r="O1529" s="22"/>
      <c r="P1529" s="22"/>
      <c r="Q1529" s="8"/>
      <c r="R1529" s="8"/>
      <c r="S1529" s="8"/>
      <c r="T1529" s="8"/>
      <c r="U1529" s="8"/>
      <c r="V1529" s="8"/>
      <c r="W1529" s="8"/>
      <c r="X1529" s="8"/>
      <c r="Y1529" s="8"/>
      <c r="Z1529" s="8"/>
      <c r="AA1529" s="8"/>
      <c r="AB1529" s="8"/>
      <c r="AC1529" s="8"/>
      <c r="AD1529" s="24"/>
      <c r="AE1529" s="24"/>
      <c r="AF1529" s="8"/>
      <c r="AG1529" s="8"/>
      <c r="AH1529" s="8"/>
      <c r="AI1529" s="8"/>
    </row>
    <row r="1530" spans="1:35" ht="15.75" customHeight="1" x14ac:dyDescent="0.25">
      <c r="A1530" s="8"/>
      <c r="B1530" s="8"/>
      <c r="C1530" s="8"/>
      <c r="D1530" s="8"/>
      <c r="E1530" s="50"/>
      <c r="F1530" s="51"/>
      <c r="G1530" s="51"/>
      <c r="H1530" s="52"/>
      <c r="I1530" s="52"/>
      <c r="J1530" s="52"/>
      <c r="K1530" s="52"/>
      <c r="L1530" s="52"/>
      <c r="M1530" s="52"/>
      <c r="N1530" s="52"/>
      <c r="O1530" s="22"/>
      <c r="P1530" s="22"/>
      <c r="Q1530" s="8"/>
      <c r="R1530" s="8"/>
      <c r="S1530" s="8"/>
      <c r="T1530" s="8"/>
      <c r="U1530" s="8"/>
      <c r="V1530" s="8"/>
      <c r="W1530" s="8"/>
      <c r="X1530" s="8"/>
      <c r="Y1530" s="8"/>
      <c r="Z1530" s="8"/>
      <c r="AA1530" s="8"/>
      <c r="AB1530" s="8"/>
      <c r="AC1530" s="8"/>
      <c r="AD1530" s="24"/>
      <c r="AE1530" s="24"/>
      <c r="AF1530" s="8"/>
      <c r="AG1530" s="8"/>
      <c r="AH1530" s="8"/>
      <c r="AI1530" s="8"/>
    </row>
    <row r="1531" spans="1:35" ht="15.75" customHeight="1" x14ac:dyDescent="0.25">
      <c r="A1531" s="8"/>
      <c r="B1531" s="8"/>
      <c r="C1531" s="8"/>
      <c r="D1531" s="8"/>
      <c r="E1531" s="50"/>
      <c r="F1531" s="51"/>
      <c r="G1531" s="51"/>
      <c r="H1531" s="52"/>
      <c r="I1531" s="52"/>
      <c r="J1531" s="52"/>
      <c r="K1531" s="52"/>
      <c r="L1531" s="52"/>
      <c r="M1531" s="48"/>
      <c r="N1531" s="52"/>
      <c r="O1531" s="22"/>
      <c r="P1531" s="22"/>
      <c r="Q1531" s="8"/>
      <c r="R1531" s="8"/>
      <c r="S1531" s="8"/>
      <c r="T1531" s="8"/>
      <c r="U1531" s="8"/>
      <c r="V1531" s="8"/>
      <c r="W1531" s="8"/>
      <c r="X1531" s="8"/>
      <c r="Y1531" s="8"/>
      <c r="Z1531" s="8"/>
      <c r="AA1531" s="8"/>
      <c r="AB1531" s="8"/>
      <c r="AC1531" s="8"/>
      <c r="AD1531" s="24"/>
      <c r="AE1531" s="24"/>
      <c r="AF1531" s="8"/>
      <c r="AG1531" s="8"/>
      <c r="AH1531" s="8"/>
      <c r="AI1531" s="8"/>
    </row>
    <row r="1532" spans="1:35" ht="15.75" customHeight="1" x14ac:dyDescent="0.25">
      <c r="A1532" s="8"/>
      <c r="B1532" s="8"/>
      <c r="C1532" s="8"/>
      <c r="D1532" s="8"/>
      <c r="E1532" s="50"/>
      <c r="F1532" s="51"/>
      <c r="G1532" s="51"/>
      <c r="H1532" s="52"/>
      <c r="I1532" s="52"/>
      <c r="J1532" s="52"/>
      <c r="K1532" s="52"/>
      <c r="L1532" s="52"/>
      <c r="M1532" s="52"/>
      <c r="N1532" s="52"/>
      <c r="O1532" s="22"/>
      <c r="P1532" s="22"/>
      <c r="Q1532" s="8"/>
      <c r="R1532" s="8"/>
      <c r="S1532" s="8"/>
      <c r="T1532" s="8"/>
      <c r="U1532" s="8"/>
      <c r="V1532" s="8"/>
      <c r="W1532" s="8"/>
      <c r="X1532" s="8"/>
      <c r="Y1532" s="8"/>
      <c r="Z1532" s="8"/>
      <c r="AA1532" s="8"/>
      <c r="AB1532" s="8"/>
      <c r="AC1532" s="8"/>
      <c r="AD1532" s="24"/>
      <c r="AE1532" s="24"/>
      <c r="AF1532" s="8"/>
      <c r="AG1532" s="8"/>
      <c r="AH1532" s="8"/>
      <c r="AI1532" s="8"/>
    </row>
    <row r="1533" spans="1:35" ht="15.75" customHeight="1" x14ac:dyDescent="0.25">
      <c r="A1533" s="8"/>
      <c r="B1533" s="8"/>
      <c r="C1533" s="8"/>
      <c r="D1533" s="8"/>
      <c r="E1533" s="50"/>
      <c r="F1533" s="51"/>
      <c r="G1533" s="51"/>
      <c r="H1533" s="52"/>
      <c r="I1533" s="52"/>
      <c r="J1533" s="52"/>
      <c r="K1533" s="52"/>
      <c r="L1533" s="52"/>
      <c r="M1533" s="52"/>
      <c r="N1533" s="52"/>
      <c r="O1533" s="22"/>
      <c r="P1533" s="22"/>
      <c r="Q1533" s="8"/>
      <c r="R1533" s="8"/>
      <c r="S1533" s="8"/>
      <c r="T1533" s="8"/>
      <c r="U1533" s="8"/>
      <c r="V1533" s="8"/>
      <c r="W1533" s="8"/>
      <c r="X1533" s="8"/>
      <c r="Y1533" s="8"/>
      <c r="Z1533" s="8"/>
      <c r="AA1533" s="8"/>
      <c r="AB1533" s="8"/>
      <c r="AC1533" s="8"/>
      <c r="AD1533" s="24"/>
      <c r="AE1533" s="24"/>
      <c r="AF1533" s="8"/>
      <c r="AG1533" s="8"/>
      <c r="AH1533" s="8"/>
      <c r="AI1533" s="8"/>
    </row>
    <row r="1534" spans="1:35" ht="15.75" customHeight="1" x14ac:dyDescent="0.25">
      <c r="A1534" s="8"/>
      <c r="B1534" s="8"/>
      <c r="C1534" s="8"/>
      <c r="D1534" s="8"/>
      <c r="E1534" s="50"/>
      <c r="F1534" s="51"/>
      <c r="G1534" s="51"/>
      <c r="H1534" s="52"/>
      <c r="I1534" s="52"/>
      <c r="J1534" s="52"/>
      <c r="K1534" s="52"/>
      <c r="L1534" s="52"/>
      <c r="M1534" s="52"/>
      <c r="N1534" s="52"/>
      <c r="O1534" s="22"/>
      <c r="P1534" s="22"/>
      <c r="Q1534" s="8"/>
      <c r="R1534" s="8"/>
      <c r="S1534" s="8"/>
      <c r="T1534" s="8"/>
      <c r="U1534" s="8"/>
      <c r="V1534" s="8"/>
      <c r="W1534" s="8"/>
      <c r="X1534" s="8"/>
      <c r="Y1534" s="8"/>
      <c r="Z1534" s="8"/>
      <c r="AA1534" s="8"/>
      <c r="AB1534" s="8"/>
      <c r="AC1534" s="8"/>
      <c r="AD1534" s="24"/>
      <c r="AE1534" s="24"/>
      <c r="AF1534" s="8"/>
      <c r="AG1534" s="8"/>
      <c r="AH1534" s="8"/>
      <c r="AI1534" s="8"/>
    </row>
    <row r="1535" spans="1:35" ht="15.75" customHeight="1" x14ac:dyDescent="0.25">
      <c r="A1535" s="8"/>
      <c r="B1535" s="8"/>
      <c r="C1535" s="8"/>
      <c r="D1535" s="8"/>
      <c r="E1535" s="50"/>
      <c r="F1535" s="51"/>
      <c r="G1535" s="51"/>
      <c r="H1535" s="52"/>
      <c r="I1535" s="52"/>
      <c r="J1535" s="52"/>
      <c r="K1535" s="52"/>
      <c r="L1535" s="52"/>
      <c r="M1535" s="48"/>
      <c r="N1535" s="52"/>
      <c r="O1535" s="22"/>
      <c r="P1535" s="22"/>
      <c r="Q1535" s="8"/>
      <c r="R1535" s="8"/>
      <c r="S1535" s="8"/>
      <c r="T1535" s="8"/>
      <c r="U1535" s="8"/>
      <c r="V1535" s="8"/>
      <c r="W1535" s="8"/>
      <c r="X1535" s="8"/>
      <c r="Y1535" s="8"/>
      <c r="Z1535" s="8"/>
      <c r="AA1535" s="8"/>
      <c r="AB1535" s="8"/>
      <c r="AC1535" s="8"/>
      <c r="AD1535" s="24"/>
      <c r="AE1535" s="24"/>
      <c r="AF1535" s="8"/>
      <c r="AG1535" s="8"/>
      <c r="AH1535" s="8"/>
      <c r="AI1535" s="8"/>
    </row>
    <row r="1536" spans="1:35" ht="15.75" customHeight="1" x14ac:dyDescent="0.25">
      <c r="A1536" s="8"/>
      <c r="B1536" s="8"/>
      <c r="C1536" s="8"/>
      <c r="D1536" s="8"/>
      <c r="E1536" s="50"/>
      <c r="F1536" s="51"/>
      <c r="G1536" s="51"/>
      <c r="H1536" s="52"/>
      <c r="I1536" s="52"/>
      <c r="J1536" s="52"/>
      <c r="K1536" s="52"/>
      <c r="L1536" s="52"/>
      <c r="M1536" s="48"/>
      <c r="N1536" s="52"/>
      <c r="O1536" s="22"/>
      <c r="P1536" s="22"/>
      <c r="Q1536" s="8"/>
      <c r="R1536" s="8"/>
      <c r="S1536" s="8"/>
      <c r="T1536" s="8"/>
      <c r="U1536" s="8"/>
      <c r="V1536" s="8"/>
      <c r="W1536" s="8"/>
      <c r="X1536" s="8"/>
      <c r="Y1536" s="8"/>
      <c r="Z1536" s="8"/>
      <c r="AA1536" s="8"/>
      <c r="AB1536" s="8"/>
      <c r="AC1536" s="8"/>
      <c r="AD1536" s="24"/>
      <c r="AE1536" s="24"/>
      <c r="AF1536" s="8"/>
      <c r="AG1536" s="8"/>
      <c r="AH1536" s="8"/>
      <c r="AI1536" s="8"/>
    </row>
    <row r="1537" spans="1:35" ht="15.75" customHeight="1" x14ac:dyDescent="0.25">
      <c r="A1537" s="8"/>
      <c r="B1537" s="8"/>
      <c r="C1537" s="8"/>
      <c r="D1537" s="8"/>
      <c r="E1537" s="50"/>
      <c r="F1537" s="51"/>
      <c r="G1537" s="51"/>
      <c r="H1537" s="52"/>
      <c r="I1537" s="52"/>
      <c r="J1537" s="52"/>
      <c r="K1537" s="52"/>
      <c r="L1537" s="52"/>
      <c r="M1537" s="52"/>
      <c r="N1537" s="52"/>
      <c r="O1537" s="22"/>
      <c r="P1537" s="22"/>
      <c r="Q1537" s="8"/>
      <c r="R1537" s="8"/>
      <c r="S1537" s="8"/>
      <c r="T1537" s="8"/>
      <c r="U1537" s="8"/>
      <c r="V1537" s="8"/>
      <c r="W1537" s="8"/>
      <c r="X1537" s="8"/>
      <c r="Y1537" s="8"/>
      <c r="Z1537" s="8"/>
      <c r="AA1537" s="8"/>
      <c r="AB1537" s="8"/>
      <c r="AC1537" s="8"/>
      <c r="AD1537" s="24"/>
      <c r="AE1537" s="24"/>
      <c r="AF1537" s="8"/>
      <c r="AG1537" s="8"/>
      <c r="AH1537" s="8"/>
      <c r="AI1537" s="8"/>
    </row>
    <row r="1538" spans="1:35" ht="15.75" customHeight="1" x14ac:dyDescent="0.25">
      <c r="A1538" s="8"/>
      <c r="B1538" s="8"/>
      <c r="C1538" s="8"/>
      <c r="D1538" s="8"/>
      <c r="E1538" s="50"/>
      <c r="F1538" s="51"/>
      <c r="G1538" s="51"/>
      <c r="H1538" s="52"/>
      <c r="I1538" s="52"/>
      <c r="J1538" s="52"/>
      <c r="K1538" s="52"/>
      <c r="L1538" s="52"/>
      <c r="M1538" s="48"/>
      <c r="N1538" s="52"/>
      <c r="O1538" s="22"/>
      <c r="P1538" s="22"/>
      <c r="Q1538" s="8"/>
      <c r="R1538" s="8"/>
      <c r="S1538" s="8"/>
      <c r="T1538" s="8"/>
      <c r="U1538" s="8"/>
      <c r="V1538" s="8"/>
      <c r="W1538" s="8"/>
      <c r="X1538" s="8"/>
      <c r="Y1538" s="8"/>
      <c r="Z1538" s="8"/>
      <c r="AA1538" s="8"/>
      <c r="AB1538" s="8"/>
      <c r="AC1538" s="8"/>
      <c r="AD1538" s="24"/>
      <c r="AE1538" s="24"/>
      <c r="AF1538" s="8"/>
      <c r="AG1538" s="8"/>
      <c r="AH1538" s="8"/>
      <c r="AI1538" s="8"/>
    </row>
    <row r="1539" spans="1:35" ht="15.75" customHeight="1" x14ac:dyDescent="0.25">
      <c r="A1539" s="8"/>
      <c r="B1539" s="8"/>
      <c r="C1539" s="8"/>
      <c r="D1539" s="8"/>
      <c r="E1539" s="50"/>
      <c r="F1539" s="51"/>
      <c r="G1539" s="51"/>
      <c r="H1539" s="52"/>
      <c r="I1539" s="52"/>
      <c r="J1539" s="52"/>
      <c r="K1539" s="52"/>
      <c r="L1539" s="52"/>
      <c r="M1539" s="48"/>
      <c r="N1539" s="52"/>
      <c r="O1539" s="22"/>
      <c r="P1539" s="22"/>
      <c r="Q1539" s="8"/>
      <c r="R1539" s="8"/>
      <c r="S1539" s="8"/>
      <c r="T1539" s="8"/>
      <c r="U1539" s="8"/>
      <c r="V1539" s="8"/>
      <c r="W1539" s="8"/>
      <c r="X1539" s="8"/>
      <c r="Y1539" s="8"/>
      <c r="Z1539" s="8"/>
      <c r="AA1539" s="8"/>
      <c r="AB1539" s="8"/>
      <c r="AC1539" s="8"/>
      <c r="AD1539" s="24"/>
      <c r="AE1539" s="24"/>
      <c r="AF1539" s="8"/>
      <c r="AG1539" s="8"/>
      <c r="AH1539" s="8"/>
      <c r="AI1539" s="8"/>
    </row>
    <row r="1540" spans="1:35" ht="15.75" customHeight="1" x14ac:dyDescent="0.25">
      <c r="A1540" s="8"/>
      <c r="B1540" s="8"/>
      <c r="C1540" s="8"/>
      <c r="D1540" s="8"/>
      <c r="E1540" s="50"/>
      <c r="F1540" s="51"/>
      <c r="G1540" s="51"/>
      <c r="H1540" s="52"/>
      <c r="I1540" s="52"/>
      <c r="J1540" s="52"/>
      <c r="K1540" s="52"/>
      <c r="L1540" s="52"/>
      <c r="M1540" s="48"/>
      <c r="N1540" s="52"/>
      <c r="O1540" s="22"/>
      <c r="P1540" s="22"/>
      <c r="Q1540" s="8"/>
      <c r="R1540" s="8"/>
      <c r="S1540" s="8"/>
      <c r="T1540" s="8"/>
      <c r="U1540" s="8"/>
      <c r="V1540" s="8"/>
      <c r="W1540" s="8"/>
      <c r="X1540" s="8"/>
      <c r="Y1540" s="8"/>
      <c r="Z1540" s="8"/>
      <c r="AA1540" s="8"/>
      <c r="AB1540" s="8"/>
      <c r="AC1540" s="8"/>
      <c r="AD1540" s="24"/>
      <c r="AE1540" s="24"/>
      <c r="AF1540" s="8"/>
      <c r="AG1540" s="8"/>
      <c r="AH1540" s="8"/>
      <c r="AI1540" s="8"/>
    </row>
    <row r="1541" spans="1:35" ht="15.75" customHeight="1" x14ac:dyDescent="0.25">
      <c r="A1541" s="8"/>
      <c r="B1541" s="8"/>
      <c r="C1541" s="8"/>
      <c r="D1541" s="8"/>
      <c r="E1541" s="50"/>
      <c r="F1541" s="51"/>
      <c r="G1541" s="51"/>
      <c r="H1541" s="52"/>
      <c r="I1541" s="52"/>
      <c r="J1541" s="52"/>
      <c r="K1541" s="52"/>
      <c r="L1541" s="52"/>
      <c r="M1541" s="49"/>
      <c r="N1541" s="52"/>
      <c r="O1541" s="22"/>
      <c r="P1541" s="22"/>
      <c r="Q1541" s="8"/>
      <c r="R1541" s="8"/>
      <c r="S1541" s="8"/>
      <c r="T1541" s="8"/>
      <c r="U1541" s="8"/>
      <c r="V1541" s="8"/>
      <c r="W1541" s="8"/>
      <c r="X1541" s="8"/>
      <c r="Y1541" s="8"/>
      <c r="Z1541" s="8"/>
      <c r="AA1541" s="8"/>
      <c r="AB1541" s="8"/>
      <c r="AC1541" s="8"/>
      <c r="AD1541" s="24"/>
      <c r="AE1541" s="24"/>
      <c r="AF1541" s="8"/>
      <c r="AG1541" s="8"/>
      <c r="AH1541" s="8"/>
      <c r="AI1541" s="8"/>
    </row>
    <row r="1542" spans="1:35" ht="15.75" customHeight="1" x14ac:dyDescent="0.25">
      <c r="A1542" s="8"/>
      <c r="B1542" s="8"/>
      <c r="C1542" s="8"/>
      <c r="D1542" s="8"/>
      <c r="E1542" s="50"/>
      <c r="F1542" s="51"/>
      <c r="G1542" s="51"/>
      <c r="H1542" s="52"/>
      <c r="I1542" s="52"/>
      <c r="J1542" s="52"/>
      <c r="K1542" s="52"/>
      <c r="L1542" s="52"/>
      <c r="M1542" s="48"/>
      <c r="N1542" s="52"/>
      <c r="O1542" s="22"/>
      <c r="P1542" s="22"/>
      <c r="Q1542" s="8"/>
      <c r="R1542" s="8"/>
      <c r="S1542" s="8"/>
      <c r="T1542" s="8"/>
      <c r="U1542" s="8"/>
      <c r="V1542" s="8"/>
      <c r="W1542" s="8"/>
      <c r="X1542" s="8"/>
      <c r="Y1542" s="8"/>
      <c r="Z1542" s="8"/>
      <c r="AA1542" s="8"/>
      <c r="AB1542" s="8"/>
      <c r="AC1542" s="8"/>
      <c r="AD1542" s="24"/>
      <c r="AE1542" s="24"/>
      <c r="AF1542" s="8"/>
      <c r="AG1542" s="8"/>
      <c r="AH1542" s="8"/>
      <c r="AI1542" s="8"/>
    </row>
    <row r="1543" spans="1:35" ht="15.75" customHeight="1" x14ac:dyDescent="0.25">
      <c r="A1543" s="8"/>
      <c r="B1543" s="8"/>
      <c r="C1543" s="8"/>
      <c r="D1543" s="8"/>
      <c r="E1543" s="50"/>
      <c r="F1543" s="51"/>
      <c r="G1543" s="51"/>
      <c r="H1543" s="52"/>
      <c r="I1543" s="52"/>
      <c r="J1543" s="52"/>
      <c r="K1543" s="52"/>
      <c r="L1543" s="52"/>
      <c r="M1543" s="48"/>
      <c r="N1543" s="52"/>
      <c r="O1543" s="22"/>
      <c r="P1543" s="22"/>
      <c r="Q1543" s="8"/>
      <c r="R1543" s="8"/>
      <c r="S1543" s="8"/>
      <c r="T1543" s="8"/>
      <c r="U1543" s="8"/>
      <c r="V1543" s="8"/>
      <c r="W1543" s="8"/>
      <c r="X1543" s="8"/>
      <c r="Y1543" s="8"/>
      <c r="Z1543" s="8"/>
      <c r="AA1543" s="8"/>
      <c r="AB1543" s="8"/>
      <c r="AC1543" s="8"/>
      <c r="AD1543" s="24"/>
      <c r="AE1543" s="24"/>
      <c r="AF1543" s="8"/>
      <c r="AG1543" s="8"/>
      <c r="AH1543" s="8"/>
      <c r="AI1543" s="8"/>
    </row>
    <row r="1544" spans="1:35" ht="15.75" customHeight="1" x14ac:dyDescent="0.25">
      <c r="A1544" s="8"/>
      <c r="B1544" s="8"/>
      <c r="C1544" s="8"/>
      <c r="D1544" s="8"/>
      <c r="E1544" s="50"/>
      <c r="F1544" s="51"/>
      <c r="G1544" s="51"/>
      <c r="H1544" s="52"/>
      <c r="I1544" s="52"/>
      <c r="J1544" s="52"/>
      <c r="K1544" s="52"/>
      <c r="L1544" s="52"/>
      <c r="M1544" s="48"/>
      <c r="N1544" s="52"/>
      <c r="O1544" s="22"/>
      <c r="P1544" s="22"/>
      <c r="Q1544" s="8"/>
      <c r="R1544" s="8"/>
      <c r="S1544" s="8"/>
      <c r="T1544" s="8"/>
      <c r="U1544" s="8"/>
      <c r="V1544" s="8"/>
      <c r="W1544" s="8"/>
      <c r="X1544" s="8"/>
      <c r="Y1544" s="8"/>
      <c r="Z1544" s="8"/>
      <c r="AA1544" s="8"/>
      <c r="AB1544" s="8"/>
      <c r="AC1544" s="8"/>
      <c r="AD1544" s="24"/>
      <c r="AE1544" s="24"/>
      <c r="AF1544" s="8"/>
      <c r="AG1544" s="8"/>
      <c r="AH1544" s="8"/>
      <c r="AI1544" s="8"/>
    </row>
    <row r="1545" spans="1:35" ht="15.75" customHeight="1" x14ac:dyDescent="0.25">
      <c r="A1545" s="8"/>
      <c r="B1545" s="8"/>
      <c r="C1545" s="8"/>
      <c r="D1545" s="8"/>
      <c r="E1545" s="50"/>
      <c r="F1545" s="51"/>
      <c r="G1545" s="51"/>
      <c r="H1545" s="52"/>
      <c r="I1545" s="52"/>
      <c r="J1545" s="52"/>
      <c r="K1545" s="52"/>
      <c r="L1545" s="52"/>
      <c r="M1545" s="48"/>
      <c r="N1545" s="52"/>
      <c r="O1545" s="22"/>
      <c r="P1545" s="22"/>
      <c r="Q1545" s="8"/>
      <c r="R1545" s="8"/>
      <c r="S1545" s="8"/>
      <c r="T1545" s="8"/>
      <c r="U1545" s="8"/>
      <c r="V1545" s="8"/>
      <c r="W1545" s="8"/>
      <c r="X1545" s="8"/>
      <c r="Y1545" s="8"/>
      <c r="Z1545" s="8"/>
      <c r="AA1545" s="8"/>
      <c r="AB1545" s="8"/>
      <c r="AC1545" s="8"/>
      <c r="AD1545" s="24"/>
      <c r="AE1545" s="24"/>
      <c r="AF1545" s="8"/>
      <c r="AG1545" s="8"/>
      <c r="AH1545" s="8"/>
      <c r="AI1545" s="8"/>
    </row>
    <row r="1546" spans="1:35" ht="15.75" customHeight="1" x14ac:dyDescent="0.25">
      <c r="A1546" s="8"/>
      <c r="B1546" s="8"/>
      <c r="C1546" s="8"/>
      <c r="D1546" s="8"/>
      <c r="E1546" s="50"/>
      <c r="F1546" s="51"/>
      <c r="G1546" s="51"/>
      <c r="H1546" s="52"/>
      <c r="I1546" s="52"/>
      <c r="J1546" s="52"/>
      <c r="K1546" s="52"/>
      <c r="L1546" s="52"/>
      <c r="M1546" s="48"/>
      <c r="N1546" s="52"/>
      <c r="O1546" s="22"/>
      <c r="P1546" s="22"/>
      <c r="Q1546" s="8"/>
      <c r="R1546" s="8"/>
      <c r="S1546" s="8"/>
      <c r="T1546" s="8"/>
      <c r="U1546" s="8"/>
      <c r="V1546" s="8"/>
      <c r="W1546" s="8"/>
      <c r="X1546" s="8"/>
      <c r="Y1546" s="8"/>
      <c r="Z1546" s="8"/>
      <c r="AA1546" s="8"/>
      <c r="AB1546" s="8"/>
      <c r="AC1546" s="8"/>
      <c r="AD1546" s="24"/>
      <c r="AE1546" s="24"/>
      <c r="AF1546" s="8"/>
      <c r="AG1546" s="8"/>
      <c r="AH1546" s="8"/>
      <c r="AI1546" s="8"/>
    </row>
    <row r="1547" spans="1:35" ht="15.75" customHeight="1" x14ac:dyDescent="0.25">
      <c r="A1547" s="8"/>
      <c r="B1547" s="8"/>
      <c r="C1547" s="8"/>
      <c r="D1547" s="8"/>
      <c r="E1547" s="50"/>
      <c r="F1547" s="51"/>
      <c r="G1547" s="51"/>
      <c r="H1547" s="52"/>
      <c r="I1547" s="52"/>
      <c r="J1547" s="52"/>
      <c r="K1547" s="52"/>
      <c r="L1547" s="52"/>
      <c r="M1547" s="48"/>
      <c r="N1547" s="52"/>
      <c r="O1547" s="22"/>
      <c r="P1547" s="22"/>
      <c r="Q1547" s="8"/>
      <c r="R1547" s="8"/>
      <c r="S1547" s="8"/>
      <c r="T1547" s="8"/>
      <c r="U1547" s="8"/>
      <c r="V1547" s="8"/>
      <c r="W1547" s="8"/>
      <c r="X1547" s="8"/>
      <c r="Y1547" s="8"/>
      <c r="Z1547" s="8"/>
      <c r="AA1547" s="8"/>
      <c r="AB1547" s="8"/>
      <c r="AC1547" s="8"/>
      <c r="AD1547" s="24"/>
      <c r="AE1547" s="24"/>
      <c r="AF1547" s="8"/>
      <c r="AG1547" s="8"/>
      <c r="AH1547" s="8"/>
      <c r="AI1547" s="8"/>
    </row>
    <row r="1548" spans="1:35" ht="15.75" customHeight="1" x14ac:dyDescent="0.25">
      <c r="A1548" s="8"/>
      <c r="B1548" s="8"/>
      <c r="C1548" s="8"/>
      <c r="D1548" s="8"/>
      <c r="E1548" s="50"/>
      <c r="F1548" s="51"/>
      <c r="G1548" s="51"/>
      <c r="H1548" s="52"/>
      <c r="I1548" s="52"/>
      <c r="J1548" s="52"/>
      <c r="K1548" s="52"/>
      <c r="L1548" s="52"/>
      <c r="M1548" s="52"/>
      <c r="N1548" s="52"/>
      <c r="O1548" s="22"/>
      <c r="P1548" s="22"/>
      <c r="Q1548" s="8"/>
      <c r="R1548" s="8"/>
      <c r="S1548" s="8"/>
      <c r="T1548" s="8"/>
      <c r="U1548" s="8"/>
      <c r="V1548" s="8"/>
      <c r="W1548" s="8"/>
      <c r="X1548" s="8"/>
      <c r="Y1548" s="8"/>
      <c r="Z1548" s="8"/>
      <c r="AA1548" s="8"/>
      <c r="AB1548" s="8"/>
      <c r="AC1548" s="8"/>
      <c r="AD1548" s="24"/>
      <c r="AE1548" s="24"/>
      <c r="AF1548" s="8"/>
      <c r="AG1548" s="8"/>
      <c r="AH1548" s="8"/>
      <c r="AI1548" s="8"/>
    </row>
    <row r="1549" spans="1:35" ht="15.75" customHeight="1" x14ac:dyDescent="0.25">
      <c r="A1549" s="8"/>
      <c r="B1549" s="8"/>
      <c r="C1549" s="8"/>
      <c r="D1549" s="8"/>
      <c r="E1549" s="50"/>
      <c r="F1549" s="51"/>
      <c r="G1549" s="51"/>
      <c r="H1549" s="52"/>
      <c r="I1549" s="52"/>
      <c r="J1549" s="52"/>
      <c r="K1549" s="52"/>
      <c r="L1549" s="52"/>
      <c r="M1549" s="52"/>
      <c r="N1549" s="52"/>
      <c r="O1549" s="22"/>
      <c r="P1549" s="22"/>
      <c r="Q1549" s="8"/>
      <c r="R1549" s="8"/>
      <c r="S1549" s="8"/>
      <c r="T1549" s="8"/>
      <c r="U1549" s="8"/>
      <c r="V1549" s="8"/>
      <c r="W1549" s="8"/>
      <c r="X1549" s="8"/>
      <c r="Y1549" s="8"/>
      <c r="Z1549" s="8"/>
      <c r="AA1549" s="8"/>
      <c r="AB1549" s="8"/>
      <c r="AC1549" s="8"/>
      <c r="AD1549" s="24"/>
      <c r="AE1549" s="24"/>
      <c r="AF1549" s="8"/>
      <c r="AG1549" s="8"/>
      <c r="AH1549" s="8"/>
      <c r="AI1549" s="8"/>
    </row>
    <row r="1550" spans="1:35" ht="15.75" customHeight="1" x14ac:dyDescent="0.25">
      <c r="A1550" s="8"/>
      <c r="B1550" s="8"/>
      <c r="C1550" s="8"/>
      <c r="D1550" s="8"/>
      <c r="E1550" s="50"/>
      <c r="F1550" s="51"/>
      <c r="G1550" s="51"/>
      <c r="H1550" s="52"/>
      <c r="I1550" s="52"/>
      <c r="J1550" s="52"/>
      <c r="K1550" s="52"/>
      <c r="L1550" s="52"/>
      <c r="M1550" s="52"/>
      <c r="N1550" s="52"/>
      <c r="O1550" s="22"/>
      <c r="P1550" s="22"/>
      <c r="Q1550" s="8"/>
      <c r="R1550" s="8"/>
      <c r="S1550" s="8"/>
      <c r="T1550" s="8"/>
      <c r="U1550" s="8"/>
      <c r="V1550" s="8"/>
      <c r="W1550" s="8"/>
      <c r="X1550" s="8"/>
      <c r="Y1550" s="8"/>
      <c r="Z1550" s="8"/>
      <c r="AA1550" s="8"/>
      <c r="AB1550" s="8"/>
      <c r="AC1550" s="8"/>
      <c r="AD1550" s="24"/>
      <c r="AE1550" s="24"/>
      <c r="AF1550" s="8"/>
      <c r="AG1550" s="8"/>
      <c r="AH1550" s="8"/>
      <c r="AI1550" s="8"/>
    </row>
    <row r="1551" spans="1:35" ht="15.75" customHeight="1" x14ac:dyDescent="0.25">
      <c r="A1551" s="8"/>
      <c r="B1551" s="8"/>
      <c r="C1551" s="8"/>
      <c r="D1551" s="8"/>
      <c r="E1551" s="50"/>
      <c r="F1551" s="51"/>
      <c r="G1551" s="51"/>
      <c r="H1551" s="52"/>
      <c r="I1551" s="52"/>
      <c r="J1551" s="52"/>
      <c r="K1551" s="52"/>
      <c r="L1551" s="52"/>
      <c r="M1551" s="48"/>
      <c r="N1551" s="52"/>
      <c r="O1551" s="22"/>
      <c r="P1551" s="22"/>
      <c r="Q1551" s="8"/>
      <c r="R1551" s="8"/>
      <c r="S1551" s="8"/>
      <c r="T1551" s="8"/>
      <c r="U1551" s="8"/>
      <c r="V1551" s="8"/>
      <c r="W1551" s="8"/>
      <c r="X1551" s="8"/>
      <c r="Y1551" s="8"/>
      <c r="Z1551" s="8"/>
      <c r="AA1551" s="8"/>
      <c r="AB1551" s="8"/>
      <c r="AC1551" s="8"/>
      <c r="AD1551" s="24"/>
      <c r="AE1551" s="24"/>
      <c r="AF1551" s="8"/>
      <c r="AG1551" s="8"/>
      <c r="AH1551" s="8"/>
      <c r="AI1551" s="8"/>
    </row>
    <row r="1552" spans="1:35" ht="15.75" customHeight="1" x14ac:dyDescent="0.25">
      <c r="A1552" s="8"/>
      <c r="B1552" s="8"/>
      <c r="C1552" s="8"/>
      <c r="D1552" s="8"/>
      <c r="E1552" s="50"/>
      <c r="F1552" s="51"/>
      <c r="G1552" s="51"/>
      <c r="H1552" s="52"/>
      <c r="I1552" s="52"/>
      <c r="J1552" s="52"/>
      <c r="K1552" s="52"/>
      <c r="L1552" s="52"/>
      <c r="M1552" s="48"/>
      <c r="N1552" s="52"/>
      <c r="O1552" s="22"/>
      <c r="P1552" s="22"/>
      <c r="Q1552" s="8"/>
      <c r="R1552" s="8"/>
      <c r="S1552" s="8"/>
      <c r="T1552" s="8"/>
      <c r="U1552" s="8"/>
      <c r="V1552" s="8"/>
      <c r="W1552" s="8"/>
      <c r="X1552" s="8"/>
      <c r="Y1552" s="8"/>
      <c r="Z1552" s="8"/>
      <c r="AA1552" s="8"/>
      <c r="AB1552" s="8"/>
      <c r="AC1552" s="8"/>
      <c r="AD1552" s="24"/>
      <c r="AE1552" s="24"/>
      <c r="AF1552" s="8"/>
      <c r="AG1552" s="8"/>
      <c r="AH1552" s="8"/>
      <c r="AI1552" s="8"/>
    </row>
    <row r="1553" spans="1:35" ht="15.75" customHeight="1" x14ac:dyDescent="0.25">
      <c r="A1553" s="8"/>
      <c r="B1553" s="8"/>
      <c r="C1553" s="8"/>
      <c r="D1553" s="8"/>
      <c r="E1553" s="50"/>
      <c r="F1553" s="51"/>
      <c r="G1553" s="51"/>
      <c r="H1553" s="52"/>
      <c r="I1553" s="52"/>
      <c r="J1553" s="52"/>
      <c r="K1553" s="52"/>
      <c r="L1553" s="52"/>
      <c r="M1553" s="52"/>
      <c r="N1553" s="52"/>
      <c r="O1553" s="22"/>
      <c r="P1553" s="22"/>
      <c r="Q1553" s="8"/>
      <c r="R1553" s="8"/>
      <c r="S1553" s="8"/>
      <c r="T1553" s="8"/>
      <c r="U1553" s="8"/>
      <c r="V1553" s="8"/>
      <c r="W1553" s="8"/>
      <c r="X1553" s="8"/>
      <c r="Y1553" s="8"/>
      <c r="Z1553" s="8"/>
      <c r="AA1553" s="8"/>
      <c r="AB1553" s="8"/>
      <c r="AC1553" s="8"/>
      <c r="AD1553" s="24"/>
      <c r="AE1553" s="24"/>
      <c r="AF1553" s="8"/>
      <c r="AG1553" s="8"/>
      <c r="AH1553" s="8"/>
      <c r="AI1553" s="8"/>
    </row>
    <row r="1554" spans="1:35" ht="15.75" customHeight="1" x14ac:dyDescent="0.25">
      <c r="A1554" s="8"/>
      <c r="B1554" s="8"/>
      <c r="C1554" s="8"/>
      <c r="D1554" s="8"/>
      <c r="E1554" s="50"/>
      <c r="F1554" s="51"/>
      <c r="G1554" s="51"/>
      <c r="H1554" s="52"/>
      <c r="I1554" s="52"/>
      <c r="J1554" s="52"/>
      <c r="K1554" s="52"/>
      <c r="L1554" s="52"/>
      <c r="M1554" s="48"/>
      <c r="N1554" s="52"/>
      <c r="O1554" s="22"/>
      <c r="P1554" s="22"/>
      <c r="Q1554" s="8"/>
      <c r="R1554" s="8"/>
      <c r="S1554" s="8"/>
      <c r="T1554" s="8"/>
      <c r="U1554" s="8"/>
      <c r="V1554" s="8"/>
      <c r="W1554" s="8"/>
      <c r="X1554" s="8"/>
      <c r="Y1554" s="8"/>
      <c r="Z1554" s="8"/>
      <c r="AA1554" s="8"/>
      <c r="AB1554" s="8"/>
      <c r="AC1554" s="8"/>
      <c r="AD1554" s="24"/>
      <c r="AE1554" s="24"/>
      <c r="AF1554" s="8"/>
      <c r="AG1554" s="8"/>
      <c r="AH1554" s="8"/>
      <c r="AI1554" s="8"/>
    </row>
    <row r="1555" spans="1:35" ht="15.75" customHeight="1" x14ac:dyDescent="0.25">
      <c r="A1555" s="8"/>
      <c r="B1555" s="8"/>
      <c r="C1555" s="8"/>
      <c r="D1555" s="8"/>
      <c r="E1555" s="50"/>
      <c r="F1555" s="51"/>
      <c r="G1555" s="51"/>
      <c r="H1555" s="52"/>
      <c r="I1555" s="52"/>
      <c r="J1555" s="52"/>
      <c r="K1555" s="52"/>
      <c r="L1555" s="52"/>
      <c r="M1555" s="49"/>
      <c r="N1555" s="52"/>
      <c r="O1555" s="22"/>
      <c r="P1555" s="22"/>
      <c r="Q1555" s="8"/>
      <c r="R1555" s="8"/>
      <c r="S1555" s="8"/>
      <c r="T1555" s="8"/>
      <c r="U1555" s="8"/>
      <c r="V1555" s="8"/>
      <c r="W1555" s="8"/>
      <c r="X1555" s="8"/>
      <c r="Y1555" s="8"/>
      <c r="Z1555" s="8"/>
      <c r="AA1555" s="8"/>
      <c r="AB1555" s="8"/>
      <c r="AC1555" s="8"/>
      <c r="AD1555" s="24"/>
      <c r="AE1555" s="24"/>
      <c r="AF1555" s="8"/>
      <c r="AG1555" s="8"/>
      <c r="AH1555" s="8"/>
      <c r="AI1555" s="8"/>
    </row>
    <row r="1556" spans="1:35" ht="15.75" customHeight="1" x14ac:dyDescent="0.25">
      <c r="A1556" s="8"/>
      <c r="B1556" s="8"/>
      <c r="C1556" s="8"/>
      <c r="D1556" s="8"/>
      <c r="E1556" s="50"/>
      <c r="F1556" s="51"/>
      <c r="G1556" s="51"/>
      <c r="H1556" s="52"/>
      <c r="I1556" s="52"/>
      <c r="J1556" s="52"/>
      <c r="K1556" s="52"/>
      <c r="L1556" s="52"/>
      <c r="M1556" s="48"/>
      <c r="N1556" s="52"/>
      <c r="O1556" s="22"/>
      <c r="P1556" s="22"/>
      <c r="Q1556" s="8"/>
      <c r="R1556" s="8"/>
      <c r="S1556" s="8"/>
      <c r="T1556" s="8"/>
      <c r="U1556" s="8"/>
      <c r="V1556" s="8"/>
      <c r="W1556" s="8"/>
      <c r="X1556" s="8"/>
      <c r="Y1556" s="8"/>
      <c r="Z1556" s="8"/>
      <c r="AA1556" s="8"/>
      <c r="AB1556" s="8"/>
      <c r="AC1556" s="8"/>
      <c r="AD1556" s="24"/>
      <c r="AE1556" s="24"/>
      <c r="AF1556" s="8"/>
      <c r="AG1556" s="8"/>
      <c r="AH1556" s="8"/>
      <c r="AI1556" s="8"/>
    </row>
    <row r="1557" spans="1:35" ht="15.75" customHeight="1" x14ac:dyDescent="0.25">
      <c r="A1557" s="8"/>
      <c r="B1557" s="8"/>
      <c r="C1557" s="8"/>
      <c r="D1557" s="8"/>
      <c r="E1557" s="50"/>
      <c r="F1557" s="51"/>
      <c r="G1557" s="51"/>
      <c r="H1557" s="52"/>
      <c r="I1557" s="52"/>
      <c r="J1557" s="52"/>
      <c r="K1557" s="52"/>
      <c r="L1557" s="52"/>
      <c r="M1557" s="49"/>
      <c r="N1557" s="52"/>
      <c r="O1557" s="22"/>
      <c r="P1557" s="22"/>
      <c r="Q1557" s="8"/>
      <c r="R1557" s="8"/>
      <c r="S1557" s="8"/>
      <c r="T1557" s="8"/>
      <c r="U1557" s="8"/>
      <c r="V1557" s="8"/>
      <c r="W1557" s="8"/>
      <c r="X1557" s="8"/>
      <c r="Y1557" s="8"/>
      <c r="Z1557" s="8"/>
      <c r="AA1557" s="8"/>
      <c r="AB1557" s="8"/>
      <c r="AC1557" s="8"/>
      <c r="AD1557" s="24"/>
      <c r="AE1557" s="24"/>
      <c r="AF1557" s="8"/>
      <c r="AG1557" s="8"/>
      <c r="AH1557" s="8"/>
      <c r="AI1557" s="8"/>
    </row>
    <row r="1558" spans="1:35" ht="15.75" customHeight="1" x14ac:dyDescent="0.25">
      <c r="A1558" s="8"/>
      <c r="B1558" s="8"/>
      <c r="C1558" s="8"/>
      <c r="D1558" s="8"/>
      <c r="E1558" s="50"/>
      <c r="F1558" s="51"/>
      <c r="G1558" s="51"/>
      <c r="H1558" s="52"/>
      <c r="I1558" s="52"/>
      <c r="J1558" s="52"/>
      <c r="K1558" s="52"/>
      <c r="L1558" s="52"/>
      <c r="M1558" s="52"/>
      <c r="N1558" s="52"/>
      <c r="O1558" s="22"/>
      <c r="P1558" s="22"/>
      <c r="Q1558" s="8"/>
      <c r="R1558" s="8"/>
      <c r="S1558" s="8"/>
      <c r="T1558" s="8"/>
      <c r="U1558" s="8"/>
      <c r="V1558" s="8"/>
      <c r="W1558" s="8"/>
      <c r="X1558" s="8"/>
      <c r="Y1558" s="8"/>
      <c r="Z1558" s="8"/>
      <c r="AA1558" s="8"/>
      <c r="AB1558" s="8"/>
      <c r="AC1558" s="8"/>
      <c r="AD1558" s="24"/>
      <c r="AE1558" s="24"/>
      <c r="AF1558" s="8"/>
      <c r="AG1558" s="8"/>
      <c r="AH1558" s="8"/>
      <c r="AI1558" s="8"/>
    </row>
    <row r="1559" spans="1:35" ht="15.75" customHeight="1" x14ac:dyDescent="0.25">
      <c r="A1559" s="8"/>
      <c r="B1559" s="8"/>
      <c r="C1559" s="8"/>
      <c r="D1559" s="8"/>
      <c r="E1559" s="50"/>
      <c r="F1559" s="51"/>
      <c r="G1559" s="51"/>
      <c r="H1559" s="52"/>
      <c r="I1559" s="52"/>
      <c r="J1559" s="52"/>
      <c r="K1559" s="52"/>
      <c r="L1559" s="52"/>
      <c r="M1559" s="48"/>
      <c r="N1559" s="52"/>
      <c r="O1559" s="22"/>
      <c r="P1559" s="22"/>
      <c r="Q1559" s="8"/>
      <c r="R1559" s="8"/>
      <c r="S1559" s="8"/>
      <c r="T1559" s="8"/>
      <c r="U1559" s="8"/>
      <c r="V1559" s="8"/>
      <c r="W1559" s="8"/>
      <c r="X1559" s="8"/>
      <c r="Y1559" s="8"/>
      <c r="Z1559" s="8"/>
      <c r="AA1559" s="8"/>
      <c r="AB1559" s="8"/>
      <c r="AC1559" s="8"/>
      <c r="AD1559" s="24"/>
      <c r="AE1559" s="24"/>
      <c r="AF1559" s="8"/>
      <c r="AG1559" s="8"/>
      <c r="AH1559" s="8"/>
      <c r="AI1559" s="8"/>
    </row>
    <row r="1560" spans="1:35" ht="15.75" customHeight="1" x14ac:dyDescent="0.25">
      <c r="A1560" s="8"/>
      <c r="B1560" s="8"/>
      <c r="C1560" s="8"/>
      <c r="D1560" s="8"/>
      <c r="E1560" s="50"/>
      <c r="F1560" s="51"/>
      <c r="G1560" s="51"/>
      <c r="H1560" s="52"/>
      <c r="I1560" s="52"/>
      <c r="J1560" s="52"/>
      <c r="K1560" s="52"/>
      <c r="L1560" s="52"/>
      <c r="M1560" s="48"/>
      <c r="N1560" s="52"/>
      <c r="O1560" s="22"/>
      <c r="P1560" s="22"/>
      <c r="Q1560" s="8"/>
      <c r="R1560" s="8"/>
      <c r="S1560" s="8"/>
      <c r="T1560" s="8"/>
      <c r="U1560" s="8"/>
      <c r="V1560" s="8"/>
      <c r="W1560" s="8"/>
      <c r="X1560" s="8"/>
      <c r="Y1560" s="8"/>
      <c r="Z1560" s="8"/>
      <c r="AA1560" s="8"/>
      <c r="AB1560" s="8"/>
      <c r="AC1560" s="8"/>
      <c r="AD1560" s="24"/>
      <c r="AE1560" s="24"/>
      <c r="AF1560" s="8"/>
      <c r="AG1560" s="8"/>
      <c r="AH1560" s="8"/>
      <c r="AI1560" s="8"/>
    </row>
    <row r="1561" spans="1:35" ht="15.75" customHeight="1" x14ac:dyDescent="0.25">
      <c r="A1561" s="8"/>
      <c r="B1561" s="8"/>
      <c r="C1561" s="8"/>
      <c r="D1561" s="8"/>
      <c r="E1561" s="50"/>
      <c r="F1561" s="51"/>
      <c r="G1561" s="51"/>
      <c r="H1561" s="52"/>
      <c r="I1561" s="52"/>
      <c r="J1561" s="52"/>
      <c r="K1561" s="52"/>
      <c r="L1561" s="52"/>
      <c r="M1561" s="48"/>
      <c r="N1561" s="52"/>
      <c r="O1561" s="22"/>
      <c r="P1561" s="22"/>
      <c r="Q1561" s="8"/>
      <c r="R1561" s="8"/>
      <c r="S1561" s="8"/>
      <c r="T1561" s="8"/>
      <c r="U1561" s="8"/>
      <c r="V1561" s="8"/>
      <c r="W1561" s="8"/>
      <c r="X1561" s="8"/>
      <c r="Y1561" s="8"/>
      <c r="Z1561" s="8"/>
      <c r="AA1561" s="8"/>
      <c r="AB1561" s="8"/>
      <c r="AC1561" s="8"/>
      <c r="AD1561" s="24"/>
      <c r="AE1561" s="24"/>
      <c r="AF1561" s="8"/>
      <c r="AG1561" s="8"/>
      <c r="AH1561" s="8"/>
      <c r="AI1561" s="8"/>
    </row>
    <row r="1562" spans="1:35" ht="15.75" customHeight="1" x14ac:dyDescent="0.25">
      <c r="A1562" s="8"/>
      <c r="B1562" s="8"/>
      <c r="C1562" s="8"/>
      <c r="D1562" s="8"/>
      <c r="E1562" s="50"/>
      <c r="F1562" s="51"/>
      <c r="G1562" s="51"/>
      <c r="H1562" s="52"/>
      <c r="I1562" s="52"/>
      <c r="J1562" s="52"/>
      <c r="K1562" s="52"/>
      <c r="L1562" s="52"/>
      <c r="M1562" s="48"/>
      <c r="N1562" s="52"/>
      <c r="O1562" s="22"/>
      <c r="P1562" s="22"/>
      <c r="Q1562" s="8"/>
      <c r="R1562" s="8"/>
      <c r="S1562" s="8"/>
      <c r="T1562" s="8"/>
      <c r="U1562" s="8"/>
      <c r="V1562" s="8"/>
      <c r="W1562" s="8"/>
      <c r="X1562" s="8"/>
      <c r="Y1562" s="8"/>
      <c r="Z1562" s="8"/>
      <c r="AA1562" s="8"/>
      <c r="AB1562" s="8"/>
      <c r="AC1562" s="8"/>
      <c r="AD1562" s="24"/>
      <c r="AE1562" s="24"/>
      <c r="AF1562" s="8"/>
      <c r="AG1562" s="8"/>
      <c r="AH1562" s="8"/>
      <c r="AI1562" s="8"/>
    </row>
    <row r="1563" spans="1:35" ht="15.75" customHeight="1" x14ac:dyDescent="0.25">
      <c r="A1563" s="8"/>
      <c r="B1563" s="8"/>
      <c r="C1563" s="8"/>
      <c r="D1563" s="8"/>
      <c r="E1563" s="50"/>
      <c r="F1563" s="51"/>
      <c r="G1563" s="51"/>
      <c r="H1563" s="52"/>
      <c r="I1563" s="52"/>
      <c r="J1563" s="52"/>
      <c r="K1563" s="52"/>
      <c r="L1563" s="52"/>
      <c r="M1563" s="49"/>
      <c r="N1563" s="52"/>
      <c r="O1563" s="22"/>
      <c r="P1563" s="22"/>
      <c r="Q1563" s="8"/>
      <c r="R1563" s="8"/>
      <c r="S1563" s="8"/>
      <c r="T1563" s="8"/>
      <c r="U1563" s="8"/>
      <c r="V1563" s="8"/>
      <c r="W1563" s="8"/>
      <c r="X1563" s="8"/>
      <c r="Y1563" s="8"/>
      <c r="Z1563" s="8"/>
      <c r="AA1563" s="8"/>
      <c r="AB1563" s="8"/>
      <c r="AC1563" s="8"/>
      <c r="AD1563" s="24"/>
      <c r="AE1563" s="24"/>
      <c r="AF1563" s="8"/>
      <c r="AG1563" s="8"/>
      <c r="AH1563" s="8"/>
      <c r="AI1563" s="8"/>
    </row>
    <row r="1564" spans="1:35" ht="15.75" customHeight="1" x14ac:dyDescent="0.25">
      <c r="A1564" s="8"/>
      <c r="B1564" s="8"/>
      <c r="C1564" s="8"/>
      <c r="D1564" s="8"/>
      <c r="E1564" s="50"/>
      <c r="F1564" s="51"/>
      <c r="G1564" s="51"/>
      <c r="H1564" s="52"/>
      <c r="I1564" s="52"/>
      <c r="J1564" s="52"/>
      <c r="K1564" s="52"/>
      <c r="L1564" s="52"/>
      <c r="M1564" s="48"/>
      <c r="N1564" s="52"/>
      <c r="O1564" s="22"/>
      <c r="P1564" s="22"/>
      <c r="Q1564" s="8"/>
      <c r="R1564" s="8"/>
      <c r="S1564" s="8"/>
      <c r="T1564" s="8"/>
      <c r="U1564" s="8"/>
      <c r="V1564" s="8"/>
      <c r="W1564" s="8"/>
      <c r="X1564" s="8"/>
      <c r="Y1564" s="8"/>
      <c r="Z1564" s="8"/>
      <c r="AA1564" s="8"/>
      <c r="AB1564" s="8"/>
      <c r="AC1564" s="8"/>
      <c r="AD1564" s="24"/>
      <c r="AE1564" s="24"/>
      <c r="AF1564" s="8"/>
      <c r="AG1564" s="8"/>
      <c r="AH1564" s="8"/>
      <c r="AI1564" s="8"/>
    </row>
    <row r="1565" spans="1:35" ht="15.75" customHeight="1" x14ac:dyDescent="0.25">
      <c r="A1565" s="8"/>
      <c r="B1565" s="8"/>
      <c r="C1565" s="8"/>
      <c r="D1565" s="8"/>
      <c r="E1565" s="50"/>
      <c r="F1565" s="51"/>
      <c r="G1565" s="51"/>
      <c r="H1565" s="52"/>
      <c r="I1565" s="52"/>
      <c r="J1565" s="52"/>
      <c r="K1565" s="52"/>
      <c r="L1565" s="52"/>
      <c r="M1565" s="49"/>
      <c r="N1565" s="52"/>
      <c r="O1565" s="22"/>
      <c r="P1565" s="22"/>
      <c r="Q1565" s="8"/>
      <c r="R1565" s="8"/>
      <c r="S1565" s="8"/>
      <c r="T1565" s="8"/>
      <c r="U1565" s="8"/>
      <c r="V1565" s="8"/>
      <c r="W1565" s="8"/>
      <c r="X1565" s="8"/>
      <c r="Y1565" s="8"/>
      <c r="Z1565" s="8"/>
      <c r="AA1565" s="8"/>
      <c r="AB1565" s="8"/>
      <c r="AC1565" s="8"/>
      <c r="AD1565" s="24"/>
      <c r="AE1565" s="24"/>
      <c r="AF1565" s="8"/>
      <c r="AG1565" s="8"/>
      <c r="AH1565" s="8"/>
      <c r="AI1565" s="8"/>
    </row>
    <row r="1566" spans="1:35" ht="15.75" customHeight="1" x14ac:dyDescent="0.25">
      <c r="A1566" s="8"/>
      <c r="B1566" s="8"/>
      <c r="C1566" s="8"/>
      <c r="D1566" s="8"/>
      <c r="E1566" s="50"/>
      <c r="F1566" s="51"/>
      <c r="G1566" s="51"/>
      <c r="H1566" s="52"/>
      <c r="I1566" s="52"/>
      <c r="J1566" s="52"/>
      <c r="K1566" s="52"/>
      <c r="L1566" s="52"/>
      <c r="M1566" s="48"/>
      <c r="N1566" s="52"/>
      <c r="O1566" s="22"/>
      <c r="P1566" s="22"/>
      <c r="Q1566" s="8"/>
      <c r="R1566" s="8"/>
      <c r="S1566" s="8"/>
      <c r="T1566" s="8"/>
      <c r="U1566" s="8"/>
      <c r="V1566" s="8"/>
      <c r="W1566" s="8"/>
      <c r="X1566" s="8"/>
      <c r="Y1566" s="8"/>
      <c r="Z1566" s="8"/>
      <c r="AA1566" s="8"/>
      <c r="AB1566" s="8"/>
      <c r="AC1566" s="8"/>
      <c r="AD1566" s="24"/>
      <c r="AE1566" s="24"/>
      <c r="AF1566" s="8"/>
      <c r="AG1566" s="8"/>
      <c r="AH1566" s="8"/>
      <c r="AI1566" s="8"/>
    </row>
    <row r="1567" spans="1:35" ht="15.75" customHeight="1" x14ac:dyDescent="0.25">
      <c r="A1567" s="8"/>
      <c r="B1567" s="8"/>
      <c r="C1567" s="8"/>
      <c r="D1567" s="8"/>
      <c r="E1567" s="50"/>
      <c r="F1567" s="51"/>
      <c r="G1567" s="51"/>
      <c r="H1567" s="52"/>
      <c r="I1567" s="52"/>
      <c r="J1567" s="52"/>
      <c r="K1567" s="52"/>
      <c r="L1567" s="52"/>
      <c r="M1567" s="48"/>
      <c r="N1567" s="52"/>
      <c r="O1567" s="22"/>
      <c r="P1567" s="22"/>
      <c r="Q1567" s="8"/>
      <c r="R1567" s="8"/>
      <c r="S1567" s="8"/>
      <c r="T1567" s="8"/>
      <c r="U1567" s="8"/>
      <c r="V1567" s="8"/>
      <c r="W1567" s="8"/>
      <c r="X1567" s="8"/>
      <c r="Y1567" s="8"/>
      <c r="Z1567" s="8"/>
      <c r="AA1567" s="8"/>
      <c r="AB1567" s="8"/>
      <c r="AC1567" s="8"/>
      <c r="AD1567" s="24"/>
      <c r="AE1567" s="24"/>
      <c r="AF1567" s="8"/>
      <c r="AG1567" s="8"/>
      <c r="AH1567" s="8"/>
      <c r="AI1567" s="8"/>
    </row>
    <row r="1568" spans="1:35" ht="15.75" customHeight="1" x14ac:dyDescent="0.25">
      <c r="A1568" s="8"/>
      <c r="B1568" s="8"/>
      <c r="C1568" s="8"/>
      <c r="D1568" s="8"/>
      <c r="E1568" s="50"/>
      <c r="F1568" s="51"/>
      <c r="G1568" s="51"/>
      <c r="H1568" s="52"/>
      <c r="I1568" s="52"/>
      <c r="J1568" s="52"/>
      <c r="K1568" s="52"/>
      <c r="L1568" s="52"/>
      <c r="M1568" s="52"/>
      <c r="N1568" s="52"/>
      <c r="O1568" s="22"/>
      <c r="P1568" s="22"/>
      <c r="Q1568" s="8"/>
      <c r="R1568" s="8"/>
      <c r="S1568" s="8"/>
      <c r="T1568" s="8"/>
      <c r="U1568" s="8"/>
      <c r="V1568" s="8"/>
      <c r="W1568" s="8"/>
      <c r="X1568" s="8"/>
      <c r="Y1568" s="8"/>
      <c r="Z1568" s="8"/>
      <c r="AA1568" s="8"/>
      <c r="AB1568" s="8"/>
      <c r="AC1568" s="8"/>
      <c r="AD1568" s="24"/>
      <c r="AE1568" s="24"/>
      <c r="AF1568" s="8"/>
      <c r="AG1568" s="8"/>
      <c r="AH1568" s="8"/>
      <c r="AI1568" s="8"/>
    </row>
    <row r="1569" spans="1:35" ht="15.75" customHeight="1" x14ac:dyDescent="0.25">
      <c r="A1569" s="8"/>
      <c r="B1569" s="8"/>
      <c r="C1569" s="8"/>
      <c r="D1569" s="8"/>
      <c r="E1569" s="50"/>
      <c r="F1569" s="51"/>
      <c r="G1569" s="51"/>
      <c r="H1569" s="52"/>
      <c r="I1569" s="52"/>
      <c r="J1569" s="52"/>
      <c r="K1569" s="52"/>
      <c r="L1569" s="52"/>
      <c r="M1569" s="48"/>
      <c r="N1569" s="52"/>
      <c r="O1569" s="22"/>
      <c r="P1569" s="22"/>
      <c r="Q1569" s="8"/>
      <c r="R1569" s="8"/>
      <c r="S1569" s="8"/>
      <c r="T1569" s="8"/>
      <c r="U1569" s="8"/>
      <c r="V1569" s="8"/>
      <c r="W1569" s="8"/>
      <c r="X1569" s="8"/>
      <c r="Y1569" s="8"/>
      <c r="Z1569" s="8"/>
      <c r="AA1569" s="8"/>
      <c r="AB1569" s="8"/>
      <c r="AC1569" s="8"/>
      <c r="AD1569" s="24"/>
      <c r="AE1569" s="24"/>
      <c r="AF1569" s="8"/>
      <c r="AG1569" s="8"/>
      <c r="AH1569" s="8"/>
      <c r="AI1569" s="8"/>
    </row>
    <row r="1570" spans="1:35" ht="15.75" customHeight="1" x14ac:dyDescent="0.25">
      <c r="A1570" s="8"/>
      <c r="B1570" s="8"/>
      <c r="C1570" s="8"/>
      <c r="D1570" s="8"/>
      <c r="E1570" s="50"/>
      <c r="F1570" s="51"/>
      <c r="G1570" s="51"/>
      <c r="H1570" s="52"/>
      <c r="I1570" s="52"/>
      <c r="J1570" s="52"/>
      <c r="K1570" s="52"/>
      <c r="L1570" s="52"/>
      <c r="M1570" s="48"/>
      <c r="N1570" s="52"/>
      <c r="O1570" s="22"/>
      <c r="P1570" s="22"/>
      <c r="Q1570" s="8"/>
      <c r="R1570" s="8"/>
      <c r="S1570" s="8"/>
      <c r="T1570" s="8"/>
      <c r="U1570" s="8"/>
      <c r="V1570" s="8"/>
      <c r="W1570" s="8"/>
      <c r="X1570" s="8"/>
      <c r="Y1570" s="8"/>
      <c r="Z1570" s="8"/>
      <c r="AA1570" s="8"/>
      <c r="AB1570" s="8"/>
      <c r="AC1570" s="8"/>
      <c r="AD1570" s="24"/>
      <c r="AE1570" s="24"/>
      <c r="AF1570" s="8"/>
      <c r="AG1570" s="8"/>
      <c r="AH1570" s="8"/>
      <c r="AI1570" s="8"/>
    </row>
    <row r="1571" spans="1:35" ht="15.75" customHeight="1" x14ac:dyDescent="0.25">
      <c r="A1571" s="8"/>
      <c r="B1571" s="8"/>
      <c r="C1571" s="8"/>
      <c r="D1571" s="8"/>
      <c r="E1571" s="50"/>
      <c r="F1571" s="51"/>
      <c r="G1571" s="51"/>
      <c r="H1571" s="52"/>
      <c r="I1571" s="52"/>
      <c r="J1571" s="52"/>
      <c r="K1571" s="52"/>
      <c r="L1571" s="52"/>
      <c r="M1571" s="48"/>
      <c r="N1571" s="52"/>
      <c r="O1571" s="22"/>
      <c r="P1571" s="22"/>
      <c r="Q1571" s="8"/>
      <c r="R1571" s="8"/>
      <c r="S1571" s="8"/>
      <c r="T1571" s="8"/>
      <c r="U1571" s="8"/>
      <c r="V1571" s="8"/>
      <c r="W1571" s="8"/>
      <c r="X1571" s="8"/>
      <c r="Y1571" s="8"/>
      <c r="Z1571" s="8"/>
      <c r="AA1571" s="8"/>
      <c r="AB1571" s="8"/>
      <c r="AC1571" s="8"/>
      <c r="AD1571" s="24"/>
      <c r="AE1571" s="24"/>
      <c r="AF1571" s="8"/>
      <c r="AG1571" s="8"/>
      <c r="AH1571" s="8"/>
      <c r="AI1571" s="8"/>
    </row>
    <row r="1572" spans="1:35" ht="15.75" customHeight="1" x14ac:dyDescent="0.25">
      <c r="A1572" s="8"/>
      <c r="B1572" s="8"/>
      <c r="C1572" s="8"/>
      <c r="D1572" s="8"/>
      <c r="E1572" s="50"/>
      <c r="F1572" s="51"/>
      <c r="G1572" s="51"/>
      <c r="H1572" s="52"/>
      <c r="I1572" s="52"/>
      <c r="J1572" s="52"/>
      <c r="K1572" s="52"/>
      <c r="L1572" s="52"/>
      <c r="M1572" s="48"/>
      <c r="N1572" s="52"/>
      <c r="O1572" s="22"/>
      <c r="P1572" s="22"/>
      <c r="Q1572" s="8"/>
      <c r="R1572" s="8"/>
      <c r="S1572" s="8"/>
      <c r="T1572" s="8"/>
      <c r="U1572" s="8"/>
      <c r="V1572" s="8"/>
      <c r="W1572" s="8"/>
      <c r="X1572" s="8"/>
      <c r="Y1572" s="8"/>
      <c r="Z1572" s="8"/>
      <c r="AA1572" s="8"/>
      <c r="AB1572" s="8"/>
      <c r="AC1572" s="8"/>
      <c r="AD1572" s="24"/>
      <c r="AE1572" s="24"/>
      <c r="AF1572" s="8"/>
      <c r="AG1572" s="8"/>
      <c r="AH1572" s="8"/>
      <c r="AI1572" s="8"/>
    </row>
    <row r="1573" spans="1:35" ht="15.75" customHeight="1" x14ac:dyDescent="0.25">
      <c r="A1573" s="8"/>
      <c r="B1573" s="8"/>
      <c r="C1573" s="8"/>
      <c r="D1573" s="8"/>
      <c r="E1573" s="50"/>
      <c r="F1573" s="51"/>
      <c r="G1573" s="51"/>
      <c r="H1573" s="52"/>
      <c r="I1573" s="52"/>
      <c r="J1573" s="52"/>
      <c r="K1573" s="52"/>
      <c r="L1573" s="52"/>
      <c r="M1573" s="52"/>
      <c r="N1573" s="52"/>
      <c r="O1573" s="22"/>
      <c r="P1573" s="22"/>
      <c r="Q1573" s="8"/>
      <c r="R1573" s="8"/>
      <c r="S1573" s="8"/>
      <c r="T1573" s="8"/>
      <c r="U1573" s="8"/>
      <c r="V1573" s="8"/>
      <c r="W1573" s="8"/>
      <c r="X1573" s="8"/>
      <c r="Y1573" s="8"/>
      <c r="Z1573" s="8"/>
      <c r="AA1573" s="8"/>
      <c r="AB1573" s="8"/>
      <c r="AC1573" s="8"/>
      <c r="AD1573" s="24"/>
      <c r="AE1573" s="24"/>
      <c r="AF1573" s="8"/>
      <c r="AG1573" s="8"/>
      <c r="AH1573" s="8"/>
      <c r="AI1573" s="8"/>
    </row>
    <row r="1574" spans="1:35" ht="15.75" customHeight="1" x14ac:dyDescent="0.25">
      <c r="A1574" s="8"/>
      <c r="B1574" s="8"/>
      <c r="C1574" s="8"/>
      <c r="D1574" s="8"/>
      <c r="E1574" s="50"/>
      <c r="F1574" s="51"/>
      <c r="G1574" s="51"/>
      <c r="H1574" s="52"/>
      <c r="I1574" s="52"/>
      <c r="J1574" s="52"/>
      <c r="K1574" s="52"/>
      <c r="L1574" s="52"/>
      <c r="M1574" s="48"/>
      <c r="N1574" s="52"/>
      <c r="O1574" s="22"/>
      <c r="P1574" s="22"/>
      <c r="Q1574" s="8"/>
      <c r="R1574" s="8"/>
      <c r="S1574" s="8"/>
      <c r="T1574" s="8"/>
      <c r="U1574" s="8"/>
      <c r="V1574" s="8"/>
      <c r="W1574" s="8"/>
      <c r="X1574" s="8"/>
      <c r="Y1574" s="8"/>
      <c r="Z1574" s="8"/>
      <c r="AA1574" s="8"/>
      <c r="AB1574" s="8"/>
      <c r="AC1574" s="8"/>
      <c r="AD1574" s="24"/>
      <c r="AE1574" s="24"/>
      <c r="AF1574" s="8"/>
      <c r="AG1574" s="8"/>
      <c r="AH1574" s="8"/>
      <c r="AI1574" s="8"/>
    </row>
    <row r="1575" spans="1:35" ht="15.75" customHeight="1" x14ac:dyDescent="0.25">
      <c r="A1575" s="8"/>
      <c r="B1575" s="8"/>
      <c r="C1575" s="8"/>
      <c r="D1575" s="8"/>
      <c r="E1575" s="50"/>
      <c r="F1575" s="51"/>
      <c r="G1575" s="51"/>
      <c r="H1575" s="52"/>
      <c r="I1575" s="52"/>
      <c r="J1575" s="52"/>
      <c r="K1575" s="52"/>
      <c r="L1575" s="52"/>
      <c r="M1575" s="48"/>
      <c r="N1575" s="52"/>
      <c r="O1575" s="22"/>
      <c r="P1575" s="22"/>
      <c r="Q1575" s="8"/>
      <c r="R1575" s="8"/>
      <c r="S1575" s="8"/>
      <c r="T1575" s="8"/>
      <c r="U1575" s="8"/>
      <c r="V1575" s="8"/>
      <c r="W1575" s="8"/>
      <c r="X1575" s="8"/>
      <c r="Y1575" s="8"/>
      <c r="Z1575" s="8"/>
      <c r="AA1575" s="8"/>
      <c r="AB1575" s="8"/>
      <c r="AC1575" s="8"/>
      <c r="AD1575" s="24"/>
      <c r="AE1575" s="24"/>
      <c r="AF1575" s="8"/>
      <c r="AG1575" s="8"/>
      <c r="AH1575" s="8"/>
      <c r="AI1575" s="8"/>
    </row>
    <row r="1576" spans="1:35" ht="15.75" customHeight="1" x14ac:dyDescent="0.25">
      <c r="A1576" s="8"/>
      <c r="B1576" s="8"/>
      <c r="C1576" s="8"/>
      <c r="D1576" s="8"/>
      <c r="E1576" s="50"/>
      <c r="F1576" s="51"/>
      <c r="G1576" s="51"/>
      <c r="H1576" s="52"/>
      <c r="I1576" s="52"/>
      <c r="J1576" s="52"/>
      <c r="K1576" s="52"/>
      <c r="L1576" s="52"/>
      <c r="M1576" s="48"/>
      <c r="N1576" s="52"/>
      <c r="O1576" s="22"/>
      <c r="P1576" s="22"/>
      <c r="Q1576" s="8"/>
      <c r="R1576" s="8"/>
      <c r="S1576" s="8"/>
      <c r="T1576" s="8"/>
      <c r="U1576" s="8"/>
      <c r="V1576" s="8"/>
      <c r="W1576" s="8"/>
      <c r="X1576" s="8"/>
      <c r="Y1576" s="8"/>
      <c r="Z1576" s="8"/>
      <c r="AA1576" s="8"/>
      <c r="AB1576" s="8"/>
      <c r="AC1576" s="8"/>
      <c r="AD1576" s="24"/>
      <c r="AE1576" s="24"/>
      <c r="AF1576" s="8"/>
      <c r="AG1576" s="8"/>
      <c r="AH1576" s="8"/>
      <c r="AI1576" s="8"/>
    </row>
    <row r="1577" spans="1:35" ht="15.75" customHeight="1" x14ac:dyDescent="0.25">
      <c r="A1577" s="8"/>
      <c r="B1577" s="8"/>
      <c r="C1577" s="8"/>
      <c r="D1577" s="8"/>
      <c r="E1577" s="50"/>
      <c r="F1577" s="51"/>
      <c r="G1577" s="51"/>
      <c r="H1577" s="52"/>
      <c r="I1577" s="52"/>
      <c r="J1577" s="52"/>
      <c r="K1577" s="52"/>
      <c r="L1577" s="52"/>
      <c r="M1577" s="52"/>
      <c r="N1577" s="52"/>
      <c r="O1577" s="22"/>
      <c r="P1577" s="22"/>
      <c r="Q1577" s="8"/>
      <c r="R1577" s="8"/>
      <c r="S1577" s="8"/>
      <c r="T1577" s="8"/>
      <c r="U1577" s="8"/>
      <c r="V1577" s="8"/>
      <c r="W1577" s="8"/>
      <c r="X1577" s="8"/>
      <c r="Y1577" s="8"/>
      <c r="Z1577" s="8"/>
      <c r="AA1577" s="8"/>
      <c r="AB1577" s="8"/>
      <c r="AC1577" s="8"/>
      <c r="AD1577" s="24"/>
      <c r="AE1577" s="24"/>
      <c r="AF1577" s="8"/>
      <c r="AG1577" s="8"/>
      <c r="AH1577" s="8"/>
      <c r="AI1577" s="8"/>
    </row>
    <row r="1578" spans="1:35" ht="15.75" customHeight="1" x14ac:dyDescent="0.25">
      <c r="A1578" s="8"/>
      <c r="B1578" s="8"/>
      <c r="C1578" s="8"/>
      <c r="D1578" s="8"/>
      <c r="E1578" s="50"/>
      <c r="F1578" s="51"/>
      <c r="G1578" s="51"/>
      <c r="H1578" s="52"/>
      <c r="I1578" s="52"/>
      <c r="J1578" s="52"/>
      <c r="K1578" s="52"/>
      <c r="L1578" s="52"/>
      <c r="M1578" s="48"/>
      <c r="N1578" s="52"/>
      <c r="O1578" s="22"/>
      <c r="P1578" s="22"/>
      <c r="Q1578" s="8"/>
      <c r="R1578" s="8"/>
      <c r="S1578" s="8"/>
      <c r="T1578" s="8"/>
      <c r="U1578" s="8"/>
      <c r="V1578" s="8"/>
      <c r="W1578" s="8"/>
      <c r="X1578" s="8"/>
      <c r="Y1578" s="8"/>
      <c r="Z1578" s="8"/>
      <c r="AA1578" s="8"/>
      <c r="AB1578" s="8"/>
      <c r="AC1578" s="8"/>
      <c r="AD1578" s="24"/>
      <c r="AE1578" s="24"/>
      <c r="AF1578" s="8"/>
      <c r="AG1578" s="8"/>
      <c r="AH1578" s="8"/>
      <c r="AI1578" s="8"/>
    </row>
    <row r="1579" spans="1:35" ht="15.75" customHeight="1" x14ac:dyDescent="0.25">
      <c r="A1579" s="8"/>
      <c r="B1579" s="8"/>
      <c r="C1579" s="8"/>
      <c r="D1579" s="8"/>
      <c r="E1579" s="50"/>
      <c r="F1579" s="51"/>
      <c r="G1579" s="51"/>
      <c r="H1579" s="52"/>
      <c r="I1579" s="52"/>
      <c r="J1579" s="52"/>
      <c r="K1579" s="52"/>
      <c r="L1579" s="52"/>
      <c r="M1579" s="48"/>
      <c r="N1579" s="52"/>
      <c r="O1579" s="22"/>
      <c r="P1579" s="22"/>
      <c r="Q1579" s="8"/>
      <c r="R1579" s="8"/>
      <c r="S1579" s="8"/>
      <c r="T1579" s="8"/>
      <c r="U1579" s="8"/>
      <c r="V1579" s="8"/>
      <c r="W1579" s="8"/>
      <c r="X1579" s="8"/>
      <c r="Y1579" s="8"/>
      <c r="Z1579" s="8"/>
      <c r="AA1579" s="8"/>
      <c r="AB1579" s="8"/>
      <c r="AC1579" s="8"/>
      <c r="AD1579" s="24"/>
      <c r="AE1579" s="24"/>
      <c r="AF1579" s="8"/>
      <c r="AG1579" s="8"/>
      <c r="AH1579" s="8"/>
      <c r="AI1579" s="8"/>
    </row>
    <row r="1580" spans="1:35" ht="15.75" customHeight="1" x14ac:dyDescent="0.25">
      <c r="A1580" s="8"/>
      <c r="B1580" s="8"/>
      <c r="C1580" s="8"/>
      <c r="D1580" s="8"/>
      <c r="E1580" s="50"/>
      <c r="F1580" s="51"/>
      <c r="G1580" s="51"/>
      <c r="H1580" s="52"/>
      <c r="I1580" s="52"/>
      <c r="J1580" s="52"/>
      <c r="K1580" s="52"/>
      <c r="L1580" s="52"/>
      <c r="M1580" s="48"/>
      <c r="N1580" s="52"/>
      <c r="O1580" s="22"/>
      <c r="P1580" s="22"/>
      <c r="Q1580" s="8"/>
      <c r="R1580" s="8"/>
      <c r="S1580" s="8"/>
      <c r="T1580" s="8"/>
      <c r="U1580" s="8"/>
      <c r="V1580" s="8"/>
      <c r="W1580" s="8"/>
      <c r="X1580" s="8"/>
      <c r="Y1580" s="8"/>
      <c r="Z1580" s="8"/>
      <c r="AA1580" s="8"/>
      <c r="AB1580" s="8"/>
      <c r="AC1580" s="8"/>
      <c r="AD1580" s="24"/>
      <c r="AE1580" s="24"/>
      <c r="AF1580" s="8"/>
      <c r="AG1580" s="8"/>
      <c r="AH1580" s="8"/>
      <c r="AI1580" s="8"/>
    </row>
    <row r="1581" spans="1:35" ht="15.75" customHeight="1" x14ac:dyDescent="0.25">
      <c r="A1581" s="8"/>
      <c r="B1581" s="8"/>
      <c r="C1581" s="8"/>
      <c r="D1581" s="8"/>
      <c r="E1581" s="50"/>
      <c r="F1581" s="51"/>
      <c r="G1581" s="51"/>
      <c r="H1581" s="52"/>
      <c r="I1581" s="52"/>
      <c r="J1581" s="52"/>
      <c r="K1581" s="52"/>
      <c r="L1581" s="52"/>
      <c r="M1581" s="48"/>
      <c r="N1581" s="52"/>
      <c r="O1581" s="22"/>
      <c r="P1581" s="22"/>
      <c r="Q1581" s="8"/>
      <c r="R1581" s="8"/>
      <c r="S1581" s="8"/>
      <c r="T1581" s="8"/>
      <c r="U1581" s="8"/>
      <c r="V1581" s="8"/>
      <c r="W1581" s="8"/>
      <c r="X1581" s="8"/>
      <c r="Y1581" s="8"/>
      <c r="Z1581" s="8"/>
      <c r="AA1581" s="8"/>
      <c r="AB1581" s="8"/>
      <c r="AC1581" s="8"/>
      <c r="AD1581" s="24"/>
      <c r="AE1581" s="24"/>
      <c r="AF1581" s="8"/>
      <c r="AG1581" s="8"/>
      <c r="AH1581" s="8"/>
      <c r="AI1581" s="8"/>
    </row>
    <row r="1582" spans="1:35" ht="15.75" customHeight="1" x14ac:dyDescent="0.25">
      <c r="A1582" s="8"/>
      <c r="B1582" s="8"/>
      <c r="C1582" s="8"/>
      <c r="D1582" s="8"/>
      <c r="E1582" s="50"/>
      <c r="F1582" s="51"/>
      <c r="G1582" s="51"/>
      <c r="H1582" s="52"/>
      <c r="I1582" s="52"/>
      <c r="J1582" s="52"/>
      <c r="K1582" s="52"/>
      <c r="L1582" s="52"/>
      <c r="M1582" s="52"/>
      <c r="N1582" s="52"/>
      <c r="O1582" s="22"/>
      <c r="P1582" s="22"/>
      <c r="Q1582" s="8"/>
      <c r="R1582" s="8"/>
      <c r="S1582" s="8"/>
      <c r="T1582" s="8"/>
      <c r="U1582" s="8"/>
      <c r="V1582" s="8"/>
      <c r="W1582" s="8"/>
      <c r="X1582" s="8"/>
      <c r="Y1582" s="8"/>
      <c r="Z1582" s="8"/>
      <c r="AA1582" s="8"/>
      <c r="AB1582" s="8"/>
      <c r="AC1582" s="8"/>
      <c r="AD1582" s="24"/>
      <c r="AE1582" s="24"/>
      <c r="AF1582" s="8"/>
      <c r="AG1582" s="8"/>
      <c r="AH1582" s="8"/>
      <c r="AI1582" s="8"/>
    </row>
    <row r="1583" spans="1:35" ht="15.75" customHeight="1" x14ac:dyDescent="0.25">
      <c r="A1583" s="8"/>
      <c r="B1583" s="8"/>
      <c r="C1583" s="8"/>
      <c r="D1583" s="8"/>
      <c r="E1583" s="50"/>
      <c r="F1583" s="51"/>
      <c r="G1583" s="51"/>
      <c r="H1583" s="52"/>
      <c r="I1583" s="52"/>
      <c r="J1583" s="52"/>
      <c r="K1583" s="52"/>
      <c r="L1583" s="52"/>
      <c r="M1583" s="48"/>
      <c r="N1583" s="52"/>
      <c r="O1583" s="22"/>
      <c r="P1583" s="22"/>
      <c r="Q1583" s="8"/>
      <c r="R1583" s="8"/>
      <c r="S1583" s="8"/>
      <c r="T1583" s="8"/>
      <c r="U1583" s="8"/>
      <c r="V1583" s="8"/>
      <c r="W1583" s="8"/>
      <c r="X1583" s="8"/>
      <c r="Y1583" s="8"/>
      <c r="Z1583" s="8"/>
      <c r="AA1583" s="8"/>
      <c r="AB1583" s="8"/>
      <c r="AC1583" s="8"/>
      <c r="AD1583" s="24"/>
      <c r="AE1583" s="24"/>
      <c r="AF1583" s="8"/>
      <c r="AG1583" s="8"/>
      <c r="AH1583" s="8"/>
      <c r="AI1583" s="8"/>
    </row>
    <row r="1584" spans="1:35" ht="15.75" customHeight="1" x14ac:dyDescent="0.25">
      <c r="A1584" s="8"/>
      <c r="B1584" s="8"/>
      <c r="C1584" s="8"/>
      <c r="D1584" s="8"/>
      <c r="E1584" s="50"/>
      <c r="F1584" s="51"/>
      <c r="G1584" s="51"/>
      <c r="H1584" s="52"/>
      <c r="I1584" s="52"/>
      <c r="J1584" s="52"/>
      <c r="K1584" s="52"/>
      <c r="L1584" s="52"/>
      <c r="M1584" s="48"/>
      <c r="N1584" s="52"/>
      <c r="O1584" s="22"/>
      <c r="P1584" s="22"/>
      <c r="Q1584" s="8"/>
      <c r="R1584" s="8"/>
      <c r="S1584" s="8"/>
      <c r="T1584" s="8"/>
      <c r="U1584" s="8"/>
      <c r="V1584" s="8"/>
      <c r="W1584" s="8"/>
      <c r="X1584" s="8"/>
      <c r="Y1584" s="8"/>
      <c r="Z1584" s="8"/>
      <c r="AA1584" s="8"/>
      <c r="AB1584" s="8"/>
      <c r="AC1584" s="8"/>
      <c r="AD1584" s="24"/>
      <c r="AE1584" s="24"/>
      <c r="AF1584" s="8"/>
      <c r="AG1584" s="8"/>
      <c r="AH1584" s="8"/>
      <c r="AI1584" s="8"/>
    </row>
    <row r="1585" spans="1:35" ht="15.75" customHeight="1" x14ac:dyDescent="0.25">
      <c r="A1585" s="8"/>
      <c r="B1585" s="8"/>
      <c r="C1585" s="8"/>
      <c r="D1585" s="8"/>
      <c r="E1585" s="50"/>
      <c r="F1585" s="51"/>
      <c r="G1585" s="51"/>
      <c r="H1585" s="52"/>
      <c r="I1585" s="52"/>
      <c r="J1585" s="52"/>
      <c r="K1585" s="52"/>
      <c r="L1585" s="52"/>
      <c r="M1585" s="48"/>
      <c r="N1585" s="52"/>
      <c r="O1585" s="22"/>
      <c r="P1585" s="22"/>
      <c r="Q1585" s="8"/>
      <c r="R1585" s="8"/>
      <c r="S1585" s="8"/>
      <c r="T1585" s="8"/>
      <c r="U1585" s="8"/>
      <c r="V1585" s="8"/>
      <c r="W1585" s="8"/>
      <c r="X1585" s="8"/>
      <c r="Y1585" s="8"/>
      <c r="Z1585" s="8"/>
      <c r="AA1585" s="8"/>
      <c r="AB1585" s="8"/>
      <c r="AC1585" s="8"/>
      <c r="AD1585" s="24"/>
      <c r="AE1585" s="24"/>
      <c r="AF1585" s="8"/>
      <c r="AG1585" s="8"/>
      <c r="AH1585" s="8"/>
      <c r="AI1585" s="8"/>
    </row>
    <row r="1586" spans="1:35" ht="15.75" customHeight="1" x14ac:dyDescent="0.25">
      <c r="A1586" s="8"/>
      <c r="B1586" s="8"/>
      <c r="C1586" s="8"/>
      <c r="D1586" s="8"/>
      <c r="E1586" s="50"/>
      <c r="F1586" s="51"/>
      <c r="G1586" s="51"/>
      <c r="H1586" s="52"/>
      <c r="I1586" s="52"/>
      <c r="J1586" s="52"/>
      <c r="K1586" s="52"/>
      <c r="L1586" s="52"/>
      <c r="M1586" s="48"/>
      <c r="N1586" s="52"/>
      <c r="O1586" s="22"/>
      <c r="P1586" s="22"/>
      <c r="Q1586" s="8"/>
      <c r="R1586" s="8"/>
      <c r="S1586" s="8"/>
      <c r="T1586" s="8"/>
      <c r="U1586" s="8"/>
      <c r="V1586" s="8"/>
      <c r="W1586" s="8"/>
      <c r="X1586" s="8"/>
      <c r="Y1586" s="8"/>
      <c r="Z1586" s="8"/>
      <c r="AA1586" s="8"/>
      <c r="AB1586" s="8"/>
      <c r="AC1586" s="8"/>
      <c r="AD1586" s="24"/>
      <c r="AE1586" s="24"/>
      <c r="AF1586" s="8"/>
      <c r="AG1586" s="8"/>
      <c r="AH1586" s="8"/>
      <c r="AI1586" s="8"/>
    </row>
    <row r="1587" spans="1:35" ht="15.75" customHeight="1" x14ac:dyDescent="0.25">
      <c r="A1587" s="8"/>
      <c r="B1587" s="8"/>
      <c r="C1587" s="8"/>
      <c r="D1587" s="8"/>
      <c r="E1587" s="50"/>
      <c r="F1587" s="51"/>
      <c r="G1587" s="51"/>
      <c r="H1587" s="52"/>
      <c r="I1587" s="52"/>
      <c r="J1587" s="52"/>
      <c r="K1587" s="52"/>
      <c r="L1587" s="52"/>
      <c r="M1587" s="52"/>
      <c r="N1587" s="52"/>
      <c r="O1587" s="22"/>
      <c r="P1587" s="22"/>
      <c r="Q1587" s="8"/>
      <c r="R1587" s="8"/>
      <c r="S1587" s="8"/>
      <c r="T1587" s="8"/>
      <c r="U1587" s="8"/>
      <c r="V1587" s="8"/>
      <c r="W1587" s="8"/>
      <c r="X1587" s="8"/>
      <c r="Y1587" s="8"/>
      <c r="Z1587" s="8"/>
      <c r="AA1587" s="8"/>
      <c r="AB1587" s="8"/>
      <c r="AC1587" s="8"/>
      <c r="AD1587" s="24"/>
      <c r="AE1587" s="24"/>
      <c r="AF1587" s="8"/>
      <c r="AG1587" s="8"/>
      <c r="AH1587" s="8"/>
      <c r="AI1587" s="8"/>
    </row>
    <row r="1588" spans="1:35" ht="15.75" customHeight="1" x14ac:dyDescent="0.25">
      <c r="A1588" s="8"/>
      <c r="B1588" s="8"/>
      <c r="C1588" s="8"/>
      <c r="D1588" s="8"/>
      <c r="E1588" s="50"/>
      <c r="F1588" s="51"/>
      <c r="G1588" s="51"/>
      <c r="H1588" s="52"/>
      <c r="I1588" s="52"/>
      <c r="J1588" s="52"/>
      <c r="K1588" s="52"/>
      <c r="L1588" s="52"/>
      <c r="M1588" s="52"/>
      <c r="N1588" s="52"/>
      <c r="O1588" s="22"/>
      <c r="P1588" s="22"/>
      <c r="Q1588" s="8"/>
      <c r="R1588" s="8"/>
      <c r="S1588" s="8"/>
      <c r="T1588" s="8"/>
      <c r="U1588" s="8"/>
      <c r="V1588" s="8"/>
      <c r="W1588" s="8"/>
      <c r="X1588" s="8"/>
      <c r="Y1588" s="8"/>
      <c r="Z1588" s="8"/>
      <c r="AA1588" s="8"/>
      <c r="AB1588" s="8"/>
      <c r="AC1588" s="8"/>
      <c r="AD1588" s="24"/>
      <c r="AE1588" s="24"/>
      <c r="AF1588" s="8"/>
      <c r="AG1588" s="8"/>
      <c r="AH1588" s="8"/>
      <c r="AI1588" s="8"/>
    </row>
    <row r="1589" spans="1:35" ht="15.75" customHeight="1" x14ac:dyDescent="0.25">
      <c r="A1589" s="8"/>
      <c r="B1589" s="8"/>
      <c r="C1589" s="8"/>
      <c r="D1589" s="8"/>
      <c r="E1589" s="50"/>
      <c r="F1589" s="51"/>
      <c r="G1589" s="51"/>
      <c r="H1589" s="52"/>
      <c r="I1589" s="52"/>
      <c r="J1589" s="52"/>
      <c r="K1589" s="52"/>
      <c r="L1589" s="52"/>
      <c r="M1589" s="48"/>
      <c r="N1589" s="52"/>
      <c r="O1589" s="22"/>
      <c r="P1589" s="22"/>
      <c r="Q1589" s="8"/>
      <c r="R1589" s="8"/>
      <c r="S1589" s="8"/>
      <c r="T1589" s="8"/>
      <c r="U1589" s="8"/>
      <c r="V1589" s="8"/>
      <c r="W1589" s="8"/>
      <c r="X1589" s="8"/>
      <c r="Y1589" s="8"/>
      <c r="Z1589" s="8"/>
      <c r="AA1589" s="8"/>
      <c r="AB1589" s="8"/>
      <c r="AC1589" s="8"/>
      <c r="AD1589" s="24"/>
      <c r="AE1589" s="24"/>
      <c r="AF1589" s="8"/>
      <c r="AG1589" s="8"/>
      <c r="AH1589" s="8"/>
      <c r="AI1589" s="8"/>
    </row>
    <row r="1590" spans="1:35" ht="15.75" customHeight="1" x14ac:dyDescent="0.25">
      <c r="A1590" s="8"/>
      <c r="B1590" s="8"/>
      <c r="C1590" s="8"/>
      <c r="D1590" s="8"/>
      <c r="E1590" s="50"/>
      <c r="F1590" s="51"/>
      <c r="G1590" s="51"/>
      <c r="H1590" s="52"/>
      <c r="I1590" s="52"/>
      <c r="J1590" s="52"/>
      <c r="K1590" s="52"/>
      <c r="L1590" s="52"/>
      <c r="M1590" s="48"/>
      <c r="N1590" s="52"/>
      <c r="O1590" s="22"/>
      <c r="P1590" s="22"/>
      <c r="Q1590" s="8"/>
      <c r="R1590" s="8"/>
      <c r="S1590" s="8"/>
      <c r="T1590" s="8"/>
      <c r="U1590" s="8"/>
      <c r="V1590" s="8"/>
      <c r="W1590" s="8"/>
      <c r="X1590" s="8"/>
      <c r="Y1590" s="8"/>
      <c r="Z1590" s="8"/>
      <c r="AA1590" s="8"/>
      <c r="AB1590" s="8"/>
      <c r="AC1590" s="8"/>
      <c r="AD1590" s="24"/>
      <c r="AE1590" s="24"/>
      <c r="AF1590" s="8"/>
      <c r="AG1590" s="8"/>
      <c r="AH1590" s="8"/>
      <c r="AI1590" s="8"/>
    </row>
    <row r="1591" spans="1:35" ht="15.75" customHeight="1" x14ac:dyDescent="0.25">
      <c r="A1591" s="8"/>
      <c r="B1591" s="8"/>
      <c r="C1591" s="8"/>
      <c r="D1591" s="8"/>
      <c r="E1591" s="50"/>
      <c r="F1591" s="51"/>
      <c r="G1591" s="51"/>
      <c r="H1591" s="52"/>
      <c r="I1591" s="52"/>
      <c r="J1591" s="52"/>
      <c r="K1591" s="52"/>
      <c r="L1591" s="52"/>
      <c r="M1591" s="49"/>
      <c r="N1591" s="52"/>
      <c r="O1591" s="22"/>
      <c r="P1591" s="22"/>
      <c r="Q1591" s="8"/>
      <c r="R1591" s="8"/>
      <c r="S1591" s="8"/>
      <c r="T1591" s="8"/>
      <c r="U1591" s="8"/>
      <c r="V1591" s="8"/>
      <c r="W1591" s="8"/>
      <c r="X1591" s="8"/>
      <c r="Y1591" s="8"/>
      <c r="Z1591" s="8"/>
      <c r="AA1591" s="8"/>
      <c r="AB1591" s="8"/>
      <c r="AC1591" s="8"/>
      <c r="AD1591" s="24"/>
      <c r="AE1591" s="24"/>
      <c r="AF1591" s="8"/>
      <c r="AG1591" s="8"/>
      <c r="AH1591" s="8"/>
      <c r="AI1591" s="8"/>
    </row>
    <row r="1592" spans="1:35" ht="15.75" customHeight="1" x14ac:dyDescent="0.25">
      <c r="A1592" s="8"/>
      <c r="B1592" s="8"/>
      <c r="C1592" s="8"/>
      <c r="D1592" s="8"/>
      <c r="E1592" s="50"/>
      <c r="F1592" s="51"/>
      <c r="G1592" s="51"/>
      <c r="H1592" s="52"/>
      <c r="I1592" s="52"/>
      <c r="J1592" s="52"/>
      <c r="K1592" s="52"/>
      <c r="L1592" s="52"/>
      <c r="M1592" s="48"/>
      <c r="N1592" s="52"/>
      <c r="O1592" s="22"/>
      <c r="P1592" s="22"/>
      <c r="Q1592" s="8"/>
      <c r="R1592" s="8"/>
      <c r="S1592" s="8"/>
      <c r="T1592" s="8"/>
      <c r="U1592" s="8"/>
      <c r="V1592" s="8"/>
      <c r="W1592" s="8"/>
      <c r="X1592" s="8"/>
      <c r="Y1592" s="8"/>
      <c r="Z1592" s="8"/>
      <c r="AA1592" s="8"/>
      <c r="AB1592" s="8"/>
      <c r="AC1592" s="8"/>
      <c r="AD1592" s="24"/>
      <c r="AE1592" s="24"/>
      <c r="AF1592" s="8"/>
      <c r="AG1592" s="8"/>
      <c r="AH1592" s="8"/>
      <c r="AI1592" s="8"/>
    </row>
    <row r="1593" spans="1:35" ht="15.75" customHeight="1" x14ac:dyDescent="0.25">
      <c r="A1593" s="8"/>
      <c r="B1593" s="8"/>
      <c r="C1593" s="8"/>
      <c r="D1593" s="8"/>
      <c r="E1593" s="50"/>
      <c r="F1593" s="51"/>
      <c r="G1593" s="51"/>
      <c r="H1593" s="52"/>
      <c r="I1593" s="52"/>
      <c r="J1593" s="52"/>
      <c r="K1593" s="52"/>
      <c r="L1593" s="52"/>
      <c r="M1593" s="48"/>
      <c r="N1593" s="52"/>
      <c r="O1593" s="22"/>
      <c r="P1593" s="22"/>
      <c r="Q1593" s="8"/>
      <c r="R1593" s="8"/>
      <c r="S1593" s="8"/>
      <c r="T1593" s="8"/>
      <c r="U1593" s="8"/>
      <c r="V1593" s="8"/>
      <c r="W1593" s="8"/>
      <c r="X1593" s="8"/>
      <c r="Y1593" s="8"/>
      <c r="Z1593" s="8"/>
      <c r="AA1593" s="8"/>
      <c r="AB1593" s="8"/>
      <c r="AC1593" s="8"/>
      <c r="AD1593" s="24"/>
      <c r="AE1593" s="24"/>
      <c r="AF1593" s="8"/>
      <c r="AG1593" s="8"/>
      <c r="AH1593" s="8"/>
      <c r="AI1593" s="8"/>
    </row>
    <row r="1594" spans="1:35" ht="15.75" customHeight="1" x14ac:dyDescent="0.25">
      <c r="A1594" s="8"/>
      <c r="B1594" s="8"/>
      <c r="C1594" s="8"/>
      <c r="D1594" s="8"/>
      <c r="E1594" s="50"/>
      <c r="F1594" s="51"/>
      <c r="G1594" s="51"/>
      <c r="H1594" s="52"/>
      <c r="I1594" s="52"/>
      <c r="J1594" s="52"/>
      <c r="K1594" s="52"/>
      <c r="L1594" s="52"/>
      <c r="M1594" s="48"/>
      <c r="N1594" s="52"/>
      <c r="O1594" s="22"/>
      <c r="P1594" s="22"/>
      <c r="Q1594" s="8"/>
      <c r="R1594" s="8"/>
      <c r="S1594" s="8"/>
      <c r="T1594" s="8"/>
      <c r="U1594" s="8"/>
      <c r="V1594" s="8"/>
      <c r="W1594" s="8"/>
      <c r="X1594" s="8"/>
      <c r="Y1594" s="8"/>
      <c r="Z1594" s="8"/>
      <c r="AA1594" s="8"/>
      <c r="AB1594" s="8"/>
      <c r="AC1594" s="8"/>
      <c r="AD1594" s="24"/>
      <c r="AE1594" s="24"/>
      <c r="AF1594" s="8"/>
      <c r="AG1594" s="8"/>
      <c r="AH1594" s="8"/>
      <c r="AI1594" s="8"/>
    </row>
    <row r="1595" spans="1:35" ht="15.75" customHeight="1" x14ac:dyDescent="0.25">
      <c r="A1595" s="8"/>
      <c r="B1595" s="8"/>
      <c r="C1595" s="8"/>
      <c r="D1595" s="8"/>
      <c r="E1595" s="50"/>
      <c r="F1595" s="51"/>
      <c r="G1595" s="51"/>
      <c r="H1595" s="52"/>
      <c r="I1595" s="52"/>
      <c r="J1595" s="52"/>
      <c r="K1595" s="52"/>
      <c r="L1595" s="52"/>
      <c r="M1595" s="48"/>
      <c r="N1595" s="52"/>
      <c r="O1595" s="22"/>
      <c r="P1595" s="22"/>
      <c r="Q1595" s="8"/>
      <c r="R1595" s="8"/>
      <c r="S1595" s="8"/>
      <c r="T1595" s="8"/>
      <c r="U1595" s="8"/>
      <c r="V1595" s="8"/>
      <c r="W1595" s="8"/>
      <c r="X1595" s="8"/>
      <c r="Y1595" s="8"/>
      <c r="Z1595" s="8"/>
      <c r="AA1595" s="8"/>
      <c r="AB1595" s="8"/>
      <c r="AC1595" s="8"/>
      <c r="AD1595" s="24"/>
      <c r="AE1595" s="24"/>
      <c r="AF1595" s="8"/>
      <c r="AG1595" s="8"/>
      <c r="AH1595" s="8"/>
      <c r="AI1595" s="8"/>
    </row>
    <row r="1596" spans="1:35" ht="15.75" customHeight="1" x14ac:dyDescent="0.25">
      <c r="A1596" s="8"/>
      <c r="B1596" s="8"/>
      <c r="C1596" s="8"/>
      <c r="D1596" s="8"/>
      <c r="E1596" s="50"/>
      <c r="F1596" s="51"/>
      <c r="G1596" s="51"/>
      <c r="H1596" s="52"/>
      <c r="I1596" s="52"/>
      <c r="J1596" s="52"/>
      <c r="K1596" s="52"/>
      <c r="L1596" s="52"/>
      <c r="M1596" s="52"/>
      <c r="N1596" s="52"/>
      <c r="O1596" s="22"/>
      <c r="P1596" s="22"/>
      <c r="Q1596" s="8"/>
      <c r="R1596" s="8"/>
      <c r="S1596" s="8"/>
      <c r="T1596" s="8"/>
      <c r="U1596" s="8"/>
      <c r="V1596" s="8"/>
      <c r="W1596" s="8"/>
      <c r="X1596" s="8"/>
      <c r="Y1596" s="8"/>
      <c r="Z1596" s="8"/>
      <c r="AA1596" s="8"/>
      <c r="AB1596" s="8"/>
      <c r="AC1596" s="8"/>
      <c r="AD1596" s="24"/>
      <c r="AE1596" s="24"/>
      <c r="AF1596" s="8"/>
      <c r="AG1596" s="8"/>
      <c r="AH1596" s="8"/>
      <c r="AI1596" s="8"/>
    </row>
    <row r="1597" spans="1:35" ht="15.75" customHeight="1" x14ac:dyDescent="0.25">
      <c r="A1597" s="8"/>
      <c r="B1597" s="8"/>
      <c r="C1597" s="8"/>
      <c r="D1597" s="8"/>
      <c r="E1597" s="50"/>
      <c r="F1597" s="51"/>
      <c r="G1597" s="51"/>
      <c r="H1597" s="52"/>
      <c r="I1597" s="52"/>
      <c r="J1597" s="52"/>
      <c r="K1597" s="52"/>
      <c r="L1597" s="52"/>
      <c r="M1597" s="52"/>
      <c r="N1597" s="52"/>
      <c r="O1597" s="22"/>
      <c r="P1597" s="22"/>
      <c r="Q1597" s="8"/>
      <c r="R1597" s="8"/>
      <c r="S1597" s="8"/>
      <c r="T1597" s="8"/>
      <c r="U1597" s="8"/>
      <c r="V1597" s="8"/>
      <c r="W1597" s="8"/>
      <c r="X1597" s="8"/>
      <c r="Y1597" s="8"/>
      <c r="Z1597" s="8"/>
      <c r="AA1597" s="8"/>
      <c r="AB1597" s="8"/>
      <c r="AC1597" s="8"/>
      <c r="AD1597" s="24"/>
      <c r="AE1597" s="24"/>
      <c r="AF1597" s="8"/>
      <c r="AG1597" s="8"/>
      <c r="AH1597" s="8"/>
      <c r="AI1597" s="8"/>
    </row>
    <row r="1598" spans="1:35" ht="15.75" customHeight="1" x14ac:dyDescent="0.25">
      <c r="A1598" s="8"/>
      <c r="B1598" s="8"/>
      <c r="C1598" s="8"/>
      <c r="D1598" s="8"/>
      <c r="E1598" s="50"/>
      <c r="F1598" s="51"/>
      <c r="G1598" s="51"/>
      <c r="H1598" s="52"/>
      <c r="I1598" s="52"/>
      <c r="J1598" s="52"/>
      <c r="K1598" s="52"/>
      <c r="L1598" s="52"/>
      <c r="M1598" s="48"/>
      <c r="N1598" s="52"/>
      <c r="O1598" s="22"/>
      <c r="P1598" s="22"/>
      <c r="Q1598" s="8"/>
      <c r="R1598" s="8"/>
      <c r="S1598" s="8"/>
      <c r="T1598" s="8"/>
      <c r="U1598" s="8"/>
      <c r="V1598" s="8"/>
      <c r="W1598" s="8"/>
      <c r="X1598" s="8"/>
      <c r="Y1598" s="8"/>
      <c r="Z1598" s="8"/>
      <c r="AA1598" s="8"/>
      <c r="AB1598" s="8"/>
      <c r="AC1598" s="8"/>
      <c r="AD1598" s="24"/>
      <c r="AE1598" s="24"/>
      <c r="AF1598" s="8"/>
      <c r="AG1598" s="8"/>
      <c r="AH1598" s="8"/>
      <c r="AI1598" s="8"/>
    </row>
    <row r="1599" spans="1:35" ht="15.75" customHeight="1" x14ac:dyDescent="0.25">
      <c r="A1599" s="8"/>
      <c r="B1599" s="8"/>
      <c r="C1599" s="8"/>
      <c r="D1599" s="8"/>
      <c r="E1599" s="50"/>
      <c r="F1599" s="51"/>
      <c r="G1599" s="51"/>
      <c r="H1599" s="52"/>
      <c r="I1599" s="52"/>
      <c r="J1599" s="52"/>
      <c r="K1599" s="52"/>
      <c r="L1599" s="52"/>
      <c r="M1599" s="48"/>
      <c r="N1599" s="52"/>
      <c r="O1599" s="22"/>
      <c r="P1599" s="22"/>
      <c r="Q1599" s="8"/>
      <c r="R1599" s="8"/>
      <c r="S1599" s="8"/>
      <c r="T1599" s="8"/>
      <c r="U1599" s="8"/>
      <c r="V1599" s="8"/>
      <c r="W1599" s="8"/>
      <c r="X1599" s="8"/>
      <c r="Y1599" s="8"/>
      <c r="Z1599" s="8"/>
      <c r="AA1599" s="8"/>
      <c r="AB1599" s="8"/>
      <c r="AC1599" s="8"/>
      <c r="AD1599" s="24"/>
      <c r="AE1599" s="24"/>
      <c r="AF1599" s="8"/>
      <c r="AG1599" s="8"/>
      <c r="AH1599" s="8"/>
      <c r="AI1599" s="8"/>
    </row>
    <row r="1600" spans="1:35" ht="15.75" customHeight="1" x14ac:dyDescent="0.25">
      <c r="A1600" s="8"/>
      <c r="B1600" s="8"/>
      <c r="C1600" s="8"/>
      <c r="D1600" s="8"/>
      <c r="E1600" s="50"/>
      <c r="F1600" s="51"/>
      <c r="G1600" s="51"/>
      <c r="H1600" s="52"/>
      <c r="I1600" s="52"/>
      <c r="J1600" s="52"/>
      <c r="K1600" s="52"/>
      <c r="L1600" s="52"/>
      <c r="M1600" s="48"/>
      <c r="N1600" s="52"/>
      <c r="O1600" s="22"/>
      <c r="P1600" s="22"/>
      <c r="Q1600" s="8"/>
      <c r="R1600" s="8"/>
      <c r="S1600" s="8"/>
      <c r="T1600" s="8"/>
      <c r="U1600" s="8"/>
      <c r="V1600" s="8"/>
      <c r="W1600" s="8"/>
      <c r="X1600" s="8"/>
      <c r="Y1600" s="8"/>
      <c r="Z1600" s="8"/>
      <c r="AA1600" s="8"/>
      <c r="AB1600" s="8"/>
      <c r="AC1600" s="8"/>
      <c r="AD1600" s="24"/>
      <c r="AE1600" s="24"/>
      <c r="AF1600" s="8"/>
      <c r="AG1600" s="8"/>
      <c r="AH1600" s="8"/>
      <c r="AI1600" s="8"/>
    </row>
    <row r="1601" spans="1:35" ht="15.75" customHeight="1" x14ac:dyDescent="0.25">
      <c r="A1601" s="8"/>
      <c r="B1601" s="8"/>
      <c r="C1601" s="8"/>
      <c r="D1601" s="8"/>
      <c r="E1601" s="50"/>
      <c r="F1601" s="51"/>
      <c r="G1601" s="51"/>
      <c r="H1601" s="52"/>
      <c r="I1601" s="52"/>
      <c r="J1601" s="52"/>
      <c r="K1601" s="52"/>
      <c r="L1601" s="52"/>
      <c r="M1601" s="48"/>
      <c r="N1601" s="52"/>
      <c r="O1601" s="22"/>
      <c r="P1601" s="22"/>
      <c r="Q1601" s="8"/>
      <c r="R1601" s="8"/>
      <c r="S1601" s="8"/>
      <c r="T1601" s="8"/>
      <c r="U1601" s="8"/>
      <c r="V1601" s="8"/>
      <c r="W1601" s="8"/>
      <c r="X1601" s="8"/>
      <c r="Y1601" s="8"/>
      <c r="Z1601" s="8"/>
      <c r="AA1601" s="8"/>
      <c r="AB1601" s="8"/>
      <c r="AC1601" s="8"/>
      <c r="AD1601" s="24"/>
      <c r="AE1601" s="24"/>
      <c r="AF1601" s="8"/>
      <c r="AG1601" s="8"/>
      <c r="AH1601" s="8"/>
      <c r="AI1601" s="8"/>
    </row>
    <row r="1602" spans="1:35" ht="15.75" customHeight="1" x14ac:dyDescent="0.25">
      <c r="A1602" s="8"/>
      <c r="B1602" s="8"/>
      <c r="C1602" s="8"/>
      <c r="D1602" s="8"/>
      <c r="E1602" s="50"/>
      <c r="F1602" s="51"/>
      <c r="G1602" s="51"/>
      <c r="H1602" s="52"/>
      <c r="I1602" s="52"/>
      <c r="J1602" s="52"/>
      <c r="K1602" s="52"/>
      <c r="L1602" s="52"/>
      <c r="M1602" s="48"/>
      <c r="N1602" s="52"/>
      <c r="O1602" s="22"/>
      <c r="P1602" s="22"/>
      <c r="Q1602" s="8"/>
      <c r="R1602" s="8"/>
      <c r="S1602" s="8"/>
      <c r="T1602" s="8"/>
      <c r="U1602" s="8"/>
      <c r="V1602" s="8"/>
      <c r="W1602" s="8"/>
      <c r="X1602" s="8"/>
      <c r="Y1602" s="8"/>
      <c r="Z1602" s="8"/>
      <c r="AA1602" s="8"/>
      <c r="AB1602" s="8"/>
      <c r="AC1602" s="8"/>
      <c r="AD1602" s="24"/>
      <c r="AE1602" s="24"/>
      <c r="AF1602" s="8"/>
      <c r="AG1602" s="8"/>
      <c r="AH1602" s="8"/>
      <c r="AI1602" s="8"/>
    </row>
    <row r="1603" spans="1:35" ht="15.75" customHeight="1" x14ac:dyDescent="0.25">
      <c r="A1603" s="8"/>
      <c r="B1603" s="8"/>
      <c r="C1603" s="8"/>
      <c r="D1603" s="8"/>
      <c r="E1603" s="50"/>
      <c r="F1603" s="51"/>
      <c r="G1603" s="51"/>
      <c r="H1603" s="52"/>
      <c r="I1603" s="52"/>
      <c r="J1603" s="52"/>
      <c r="K1603" s="52"/>
      <c r="L1603" s="52"/>
      <c r="M1603" s="52"/>
      <c r="N1603" s="52"/>
      <c r="O1603" s="22"/>
      <c r="P1603" s="22"/>
      <c r="Q1603" s="8"/>
      <c r="R1603" s="8"/>
      <c r="S1603" s="8"/>
      <c r="T1603" s="8"/>
      <c r="U1603" s="8"/>
      <c r="V1603" s="8"/>
      <c r="W1603" s="8"/>
      <c r="X1603" s="8"/>
      <c r="Y1603" s="8"/>
      <c r="Z1603" s="8"/>
      <c r="AA1603" s="8"/>
      <c r="AB1603" s="8"/>
      <c r="AC1603" s="8"/>
      <c r="AD1603" s="24"/>
      <c r="AE1603" s="24"/>
      <c r="AF1603" s="8"/>
      <c r="AG1603" s="8"/>
      <c r="AH1603" s="8"/>
      <c r="AI1603" s="8"/>
    </row>
    <row r="1604" spans="1:35" ht="15.75" customHeight="1" x14ac:dyDescent="0.25">
      <c r="A1604" s="8"/>
      <c r="B1604" s="8"/>
      <c r="C1604" s="8"/>
      <c r="D1604" s="8"/>
      <c r="E1604" s="50"/>
      <c r="F1604" s="51"/>
      <c r="G1604" s="51"/>
      <c r="H1604" s="52"/>
      <c r="I1604" s="52"/>
      <c r="J1604" s="52"/>
      <c r="K1604" s="52"/>
      <c r="L1604" s="52"/>
      <c r="M1604" s="52"/>
      <c r="N1604" s="52"/>
      <c r="O1604" s="22"/>
      <c r="P1604" s="22"/>
      <c r="Q1604" s="8"/>
      <c r="R1604" s="8"/>
      <c r="S1604" s="8"/>
      <c r="T1604" s="8"/>
      <c r="U1604" s="8"/>
      <c r="V1604" s="8"/>
      <c r="W1604" s="8"/>
      <c r="X1604" s="8"/>
      <c r="Y1604" s="8"/>
      <c r="Z1604" s="8"/>
      <c r="AA1604" s="8"/>
      <c r="AB1604" s="8"/>
      <c r="AC1604" s="8"/>
      <c r="AD1604" s="24"/>
      <c r="AE1604" s="24"/>
      <c r="AF1604" s="8"/>
      <c r="AG1604" s="8"/>
      <c r="AH1604" s="8"/>
      <c r="AI1604" s="8"/>
    </row>
    <row r="1605" spans="1:35" ht="15.75" customHeight="1" x14ac:dyDescent="0.25">
      <c r="A1605" s="8"/>
      <c r="B1605" s="8"/>
      <c r="C1605" s="8"/>
      <c r="D1605" s="8"/>
      <c r="E1605" s="50"/>
      <c r="F1605" s="51"/>
      <c r="G1605" s="51"/>
      <c r="H1605" s="52"/>
      <c r="I1605" s="52"/>
      <c r="J1605" s="52"/>
      <c r="K1605" s="52"/>
      <c r="L1605" s="52"/>
      <c r="M1605" s="48"/>
      <c r="N1605" s="52"/>
      <c r="O1605" s="22"/>
      <c r="P1605" s="22"/>
      <c r="Q1605" s="8"/>
      <c r="R1605" s="8"/>
      <c r="S1605" s="8"/>
      <c r="T1605" s="8"/>
      <c r="U1605" s="8"/>
      <c r="V1605" s="8"/>
      <c r="W1605" s="8"/>
      <c r="X1605" s="8"/>
      <c r="Y1605" s="8"/>
      <c r="Z1605" s="8"/>
      <c r="AA1605" s="8"/>
      <c r="AB1605" s="8"/>
      <c r="AC1605" s="8"/>
      <c r="AD1605" s="24"/>
      <c r="AE1605" s="24"/>
      <c r="AF1605" s="8"/>
      <c r="AG1605" s="8"/>
      <c r="AH1605" s="8"/>
      <c r="AI1605" s="8"/>
    </row>
    <row r="1606" spans="1:35" ht="15.75" customHeight="1" x14ac:dyDescent="0.25">
      <c r="A1606" s="8"/>
      <c r="B1606" s="8"/>
      <c r="C1606" s="8"/>
      <c r="D1606" s="8"/>
      <c r="E1606" s="50"/>
      <c r="F1606" s="51"/>
      <c r="G1606" s="51"/>
      <c r="H1606" s="52"/>
      <c r="I1606" s="52"/>
      <c r="J1606" s="52"/>
      <c r="K1606" s="52"/>
      <c r="L1606" s="52"/>
      <c r="M1606" s="52"/>
      <c r="N1606" s="52"/>
      <c r="O1606" s="22"/>
      <c r="P1606" s="22"/>
      <c r="Q1606" s="8"/>
      <c r="R1606" s="8"/>
      <c r="S1606" s="8"/>
      <c r="T1606" s="8"/>
      <c r="U1606" s="8"/>
      <c r="V1606" s="8"/>
      <c r="W1606" s="8"/>
      <c r="X1606" s="8"/>
      <c r="Y1606" s="8"/>
      <c r="Z1606" s="8"/>
      <c r="AA1606" s="8"/>
      <c r="AB1606" s="8"/>
      <c r="AC1606" s="8"/>
      <c r="AD1606" s="24"/>
      <c r="AE1606" s="24"/>
      <c r="AF1606" s="8"/>
      <c r="AG1606" s="8"/>
      <c r="AH1606" s="8"/>
      <c r="AI1606" s="8"/>
    </row>
    <row r="1607" spans="1:35" ht="15.75" customHeight="1" x14ac:dyDescent="0.25">
      <c r="A1607" s="8"/>
      <c r="B1607" s="8"/>
      <c r="C1607" s="8"/>
      <c r="D1607" s="8"/>
      <c r="E1607" s="50"/>
      <c r="F1607" s="51"/>
      <c r="G1607" s="51"/>
      <c r="H1607" s="52"/>
      <c r="I1607" s="52"/>
      <c r="J1607" s="52"/>
      <c r="K1607" s="52"/>
      <c r="L1607" s="52"/>
      <c r="M1607" s="48"/>
      <c r="N1607" s="52"/>
      <c r="O1607" s="22"/>
      <c r="P1607" s="22"/>
      <c r="Q1607" s="8"/>
      <c r="R1607" s="8"/>
      <c r="S1607" s="8"/>
      <c r="T1607" s="8"/>
      <c r="U1607" s="8"/>
      <c r="V1607" s="8"/>
      <c r="W1607" s="8"/>
      <c r="X1607" s="8"/>
      <c r="Y1607" s="8"/>
      <c r="Z1607" s="8"/>
      <c r="AA1607" s="8"/>
      <c r="AB1607" s="8"/>
      <c r="AC1607" s="8"/>
      <c r="AD1607" s="24"/>
      <c r="AE1607" s="24"/>
      <c r="AF1607" s="8"/>
      <c r="AG1607" s="8"/>
      <c r="AH1607" s="8"/>
      <c r="AI1607" s="8"/>
    </row>
    <row r="1608" spans="1:35" ht="15.75" customHeight="1" x14ac:dyDescent="0.25">
      <c r="A1608" s="8"/>
      <c r="B1608" s="8"/>
      <c r="C1608" s="8"/>
      <c r="D1608" s="8"/>
      <c r="E1608" s="50"/>
      <c r="F1608" s="51"/>
      <c r="G1608" s="51"/>
      <c r="H1608" s="52"/>
      <c r="I1608" s="52"/>
      <c r="J1608" s="52"/>
      <c r="K1608" s="52"/>
      <c r="L1608" s="52"/>
      <c r="M1608" s="52"/>
      <c r="N1608" s="52"/>
      <c r="O1608" s="22"/>
      <c r="P1608" s="22"/>
      <c r="Q1608" s="8"/>
      <c r="R1608" s="8"/>
      <c r="S1608" s="8"/>
      <c r="T1608" s="8"/>
      <c r="U1608" s="8"/>
      <c r="V1608" s="8"/>
      <c r="W1608" s="8"/>
      <c r="X1608" s="8"/>
      <c r="Y1608" s="8"/>
      <c r="Z1608" s="8"/>
      <c r="AA1608" s="8"/>
      <c r="AB1608" s="8"/>
      <c r="AC1608" s="8"/>
      <c r="AD1608" s="24"/>
      <c r="AE1608" s="24"/>
      <c r="AF1608" s="8"/>
      <c r="AG1608" s="8"/>
      <c r="AH1608" s="8"/>
      <c r="AI1608" s="8"/>
    </row>
    <row r="1609" spans="1:35" ht="15.75" customHeight="1" x14ac:dyDescent="0.25">
      <c r="A1609" s="8"/>
      <c r="B1609" s="8"/>
      <c r="C1609" s="8"/>
      <c r="D1609" s="8"/>
      <c r="E1609" s="50"/>
      <c r="F1609" s="51"/>
      <c r="G1609" s="51"/>
      <c r="H1609" s="52"/>
      <c r="I1609" s="52"/>
      <c r="J1609" s="52"/>
      <c r="K1609" s="52"/>
      <c r="L1609" s="52"/>
      <c r="M1609" s="48"/>
      <c r="N1609" s="52"/>
      <c r="O1609" s="22"/>
      <c r="P1609" s="22"/>
      <c r="Q1609" s="8"/>
      <c r="R1609" s="8"/>
      <c r="S1609" s="8"/>
      <c r="T1609" s="8"/>
      <c r="U1609" s="8"/>
      <c r="V1609" s="8"/>
      <c r="W1609" s="8"/>
      <c r="X1609" s="8"/>
      <c r="Y1609" s="8"/>
      <c r="Z1609" s="8"/>
      <c r="AA1609" s="8"/>
      <c r="AB1609" s="8"/>
      <c r="AC1609" s="8"/>
      <c r="AD1609" s="24"/>
      <c r="AE1609" s="24"/>
      <c r="AF1609" s="8"/>
      <c r="AG1609" s="8"/>
      <c r="AH1609" s="8"/>
      <c r="AI1609" s="8"/>
    </row>
    <row r="1610" spans="1:35" ht="15.75" customHeight="1" x14ac:dyDescent="0.25">
      <c r="A1610" s="8"/>
      <c r="B1610" s="8"/>
      <c r="C1610" s="8"/>
      <c r="D1610" s="8"/>
      <c r="E1610" s="50"/>
      <c r="F1610" s="51"/>
      <c r="G1610" s="51"/>
      <c r="H1610" s="52"/>
      <c r="I1610" s="52"/>
      <c r="J1610" s="52"/>
      <c r="K1610" s="52"/>
      <c r="L1610" s="52"/>
      <c r="M1610" s="52"/>
      <c r="N1610" s="52"/>
      <c r="O1610" s="22"/>
      <c r="P1610" s="22"/>
      <c r="Q1610" s="8"/>
      <c r="R1610" s="8"/>
      <c r="S1610" s="8"/>
      <c r="T1610" s="8"/>
      <c r="U1610" s="8"/>
      <c r="V1610" s="8"/>
      <c r="W1610" s="8"/>
      <c r="X1610" s="8"/>
      <c r="Y1610" s="8"/>
      <c r="Z1610" s="8"/>
      <c r="AA1610" s="8"/>
      <c r="AB1610" s="8"/>
      <c r="AC1610" s="8"/>
      <c r="AD1610" s="24"/>
      <c r="AE1610" s="24"/>
      <c r="AF1610" s="8"/>
      <c r="AG1610" s="8"/>
      <c r="AH1610" s="8"/>
      <c r="AI1610" s="8"/>
    </row>
    <row r="1611" spans="1:35" ht="15.75" customHeight="1" x14ac:dyDescent="0.25">
      <c r="A1611" s="8"/>
      <c r="B1611" s="8"/>
      <c r="C1611" s="8"/>
      <c r="D1611" s="8"/>
      <c r="E1611" s="50"/>
      <c r="F1611" s="51"/>
      <c r="G1611" s="51"/>
      <c r="H1611" s="52"/>
      <c r="I1611" s="52"/>
      <c r="J1611" s="52"/>
      <c r="K1611" s="52"/>
      <c r="L1611" s="52"/>
      <c r="M1611" s="49"/>
      <c r="N1611" s="52"/>
      <c r="O1611" s="22"/>
      <c r="P1611" s="22"/>
      <c r="Q1611" s="8"/>
      <c r="R1611" s="8"/>
      <c r="S1611" s="8"/>
      <c r="T1611" s="8"/>
      <c r="U1611" s="8"/>
      <c r="V1611" s="8"/>
      <c r="W1611" s="8"/>
      <c r="X1611" s="8"/>
      <c r="Y1611" s="8"/>
      <c r="Z1611" s="8"/>
      <c r="AA1611" s="8"/>
      <c r="AB1611" s="8"/>
      <c r="AC1611" s="8"/>
      <c r="AD1611" s="24"/>
      <c r="AE1611" s="24"/>
      <c r="AF1611" s="8"/>
      <c r="AG1611" s="8"/>
      <c r="AH1611" s="8"/>
      <c r="AI1611" s="8"/>
    </row>
    <row r="1612" spans="1:35" ht="15.75" customHeight="1" x14ac:dyDescent="0.25">
      <c r="A1612" s="8"/>
      <c r="B1612" s="8"/>
      <c r="C1612" s="8"/>
      <c r="D1612" s="8"/>
      <c r="E1612" s="50"/>
      <c r="F1612" s="51"/>
      <c r="G1612" s="51"/>
      <c r="H1612" s="52"/>
      <c r="I1612" s="52"/>
      <c r="J1612" s="52"/>
      <c r="K1612" s="52"/>
      <c r="L1612" s="52"/>
      <c r="M1612" s="48"/>
      <c r="N1612" s="52"/>
      <c r="O1612" s="22"/>
      <c r="P1612" s="22"/>
      <c r="Q1612" s="8"/>
      <c r="R1612" s="8"/>
      <c r="S1612" s="8"/>
      <c r="T1612" s="8"/>
      <c r="U1612" s="8"/>
      <c r="V1612" s="8"/>
      <c r="W1612" s="8"/>
      <c r="X1612" s="8"/>
      <c r="Y1612" s="8"/>
      <c r="Z1612" s="8"/>
      <c r="AA1612" s="8"/>
      <c r="AB1612" s="8"/>
      <c r="AC1612" s="8"/>
      <c r="AD1612" s="24"/>
      <c r="AE1612" s="24"/>
      <c r="AF1612" s="8"/>
      <c r="AG1612" s="8"/>
      <c r="AH1612" s="8"/>
      <c r="AI1612" s="8"/>
    </row>
    <row r="1613" spans="1:35" ht="15.75" customHeight="1" x14ac:dyDescent="0.25">
      <c r="A1613" s="8"/>
      <c r="B1613" s="8"/>
      <c r="C1613" s="8"/>
      <c r="D1613" s="8"/>
      <c r="E1613" s="50"/>
      <c r="F1613" s="51"/>
      <c r="G1613" s="51"/>
      <c r="H1613" s="52"/>
      <c r="I1613" s="52"/>
      <c r="J1613" s="52"/>
      <c r="K1613" s="52"/>
      <c r="L1613" s="52"/>
      <c r="M1613" s="49"/>
      <c r="N1613" s="52"/>
      <c r="O1613" s="22"/>
      <c r="P1613" s="22"/>
      <c r="Q1613" s="8"/>
      <c r="R1613" s="8"/>
      <c r="S1613" s="8"/>
      <c r="T1613" s="8"/>
      <c r="U1613" s="8"/>
      <c r="V1613" s="8"/>
      <c r="W1613" s="8"/>
      <c r="X1613" s="8"/>
      <c r="Y1613" s="8"/>
      <c r="Z1613" s="8"/>
      <c r="AA1613" s="8"/>
      <c r="AB1613" s="8"/>
      <c r="AC1613" s="8"/>
      <c r="AD1613" s="24"/>
      <c r="AE1613" s="24"/>
      <c r="AF1613" s="8"/>
      <c r="AG1613" s="8"/>
      <c r="AH1613" s="8"/>
      <c r="AI1613" s="8"/>
    </row>
    <row r="1614" spans="1:35" ht="15.75" customHeight="1" x14ac:dyDescent="0.25">
      <c r="A1614" s="8"/>
      <c r="B1614" s="8"/>
      <c r="C1614" s="8"/>
      <c r="D1614" s="8"/>
      <c r="E1614" s="50"/>
      <c r="F1614" s="51"/>
      <c r="G1614" s="51"/>
      <c r="H1614" s="52"/>
      <c r="I1614" s="52"/>
      <c r="J1614" s="52"/>
      <c r="K1614" s="52"/>
      <c r="L1614" s="52"/>
      <c r="M1614" s="48"/>
      <c r="N1614" s="52"/>
      <c r="O1614" s="22"/>
      <c r="P1614" s="22"/>
      <c r="Q1614" s="8"/>
      <c r="R1614" s="8"/>
      <c r="S1614" s="8"/>
      <c r="T1614" s="8"/>
      <c r="U1614" s="8"/>
      <c r="V1614" s="8"/>
      <c r="W1614" s="8"/>
      <c r="X1614" s="8"/>
      <c r="Y1614" s="8"/>
      <c r="Z1614" s="8"/>
      <c r="AA1614" s="8"/>
      <c r="AB1614" s="8"/>
      <c r="AC1614" s="8"/>
      <c r="AD1614" s="24"/>
      <c r="AE1614" s="24"/>
      <c r="AF1614" s="8"/>
      <c r="AG1614" s="8"/>
      <c r="AH1614" s="8"/>
      <c r="AI1614" s="8"/>
    </row>
    <row r="1615" spans="1:35" ht="15.75" customHeight="1" x14ac:dyDescent="0.25">
      <c r="A1615" s="8"/>
      <c r="B1615" s="8"/>
      <c r="C1615" s="8"/>
      <c r="D1615" s="8"/>
      <c r="E1615" s="50"/>
      <c r="F1615" s="51"/>
      <c r="G1615" s="51"/>
      <c r="H1615" s="52"/>
      <c r="I1615" s="52"/>
      <c r="J1615" s="52"/>
      <c r="K1615" s="52"/>
      <c r="L1615" s="52"/>
      <c r="M1615" s="52"/>
      <c r="N1615" s="52"/>
      <c r="O1615" s="22"/>
      <c r="P1615" s="22"/>
      <c r="Q1615" s="8"/>
      <c r="R1615" s="8"/>
      <c r="S1615" s="8"/>
      <c r="T1615" s="8"/>
      <c r="U1615" s="8"/>
      <c r="V1615" s="8"/>
      <c r="W1615" s="8"/>
      <c r="X1615" s="8"/>
      <c r="Y1615" s="8"/>
      <c r="Z1615" s="8"/>
      <c r="AA1615" s="8"/>
      <c r="AB1615" s="8"/>
      <c r="AC1615" s="8"/>
      <c r="AD1615" s="24"/>
      <c r="AE1615" s="24"/>
      <c r="AF1615" s="8"/>
      <c r="AG1615" s="8"/>
      <c r="AH1615" s="8"/>
      <c r="AI1615" s="8"/>
    </row>
    <row r="1616" spans="1:35" ht="15.75" customHeight="1" x14ac:dyDescent="0.25">
      <c r="A1616" s="8"/>
      <c r="B1616" s="8"/>
      <c r="C1616" s="8"/>
      <c r="D1616" s="8"/>
      <c r="E1616" s="50"/>
      <c r="F1616" s="51"/>
      <c r="G1616" s="51"/>
      <c r="H1616" s="52"/>
      <c r="I1616" s="52"/>
      <c r="J1616" s="52"/>
      <c r="K1616" s="52"/>
      <c r="L1616" s="52"/>
      <c r="M1616" s="48"/>
      <c r="N1616" s="52"/>
      <c r="O1616" s="22"/>
      <c r="P1616" s="22"/>
      <c r="Q1616" s="8"/>
      <c r="R1616" s="8"/>
      <c r="S1616" s="8"/>
      <c r="T1616" s="8"/>
      <c r="U1616" s="8"/>
      <c r="V1616" s="8"/>
      <c r="W1616" s="8"/>
      <c r="X1616" s="8"/>
      <c r="Y1616" s="8"/>
      <c r="Z1616" s="8"/>
      <c r="AA1616" s="8"/>
      <c r="AB1616" s="8"/>
      <c r="AC1616" s="8"/>
      <c r="AD1616" s="24"/>
      <c r="AE1616" s="24"/>
      <c r="AF1616" s="8"/>
      <c r="AG1616" s="8"/>
      <c r="AH1616" s="8"/>
      <c r="AI1616" s="8"/>
    </row>
    <row r="1617" spans="1:35" ht="15.75" customHeight="1" x14ac:dyDescent="0.25">
      <c r="A1617" s="8"/>
      <c r="B1617" s="8"/>
      <c r="C1617" s="8"/>
      <c r="D1617" s="8"/>
      <c r="E1617" s="50"/>
      <c r="F1617" s="51"/>
      <c r="G1617" s="51"/>
      <c r="H1617" s="52"/>
      <c r="I1617" s="52"/>
      <c r="J1617" s="52"/>
      <c r="K1617" s="52"/>
      <c r="L1617" s="52"/>
      <c r="M1617" s="48"/>
      <c r="N1617" s="52"/>
      <c r="O1617" s="22"/>
      <c r="P1617" s="22"/>
      <c r="Q1617" s="8"/>
      <c r="R1617" s="8"/>
      <c r="S1617" s="8"/>
      <c r="T1617" s="8"/>
      <c r="U1617" s="8"/>
      <c r="V1617" s="8"/>
      <c r="W1617" s="8"/>
      <c r="X1617" s="8"/>
      <c r="Y1617" s="8"/>
      <c r="Z1617" s="8"/>
      <c r="AA1617" s="8"/>
      <c r="AB1617" s="8"/>
      <c r="AC1617" s="8"/>
      <c r="AD1617" s="24"/>
      <c r="AE1617" s="24"/>
      <c r="AF1617" s="8"/>
      <c r="AG1617" s="8"/>
      <c r="AH1617" s="8"/>
      <c r="AI1617" s="8"/>
    </row>
    <row r="1618" spans="1:35" ht="15.75" customHeight="1" x14ac:dyDescent="0.25">
      <c r="A1618" s="8"/>
      <c r="B1618" s="8"/>
      <c r="C1618" s="8"/>
      <c r="D1618" s="8"/>
      <c r="E1618" s="50"/>
      <c r="F1618" s="51"/>
      <c r="G1618" s="51"/>
      <c r="H1618" s="52"/>
      <c r="I1618" s="52"/>
      <c r="J1618" s="52"/>
      <c r="K1618" s="52"/>
      <c r="L1618" s="52"/>
      <c r="M1618" s="52"/>
      <c r="N1618" s="52"/>
      <c r="O1618" s="22"/>
      <c r="P1618" s="22"/>
      <c r="Q1618" s="8"/>
      <c r="R1618" s="8"/>
      <c r="S1618" s="8"/>
      <c r="T1618" s="8"/>
      <c r="U1618" s="8"/>
      <c r="V1618" s="8"/>
      <c r="W1618" s="8"/>
      <c r="X1618" s="8"/>
      <c r="Y1618" s="8"/>
      <c r="Z1618" s="8"/>
      <c r="AA1618" s="8"/>
      <c r="AB1618" s="8"/>
      <c r="AC1618" s="8"/>
      <c r="AD1618" s="24"/>
      <c r="AE1618" s="24"/>
      <c r="AF1618" s="8"/>
      <c r="AG1618" s="8"/>
      <c r="AH1618" s="8"/>
      <c r="AI1618" s="8"/>
    </row>
    <row r="1619" spans="1:35" ht="15.75" customHeight="1" x14ac:dyDescent="0.25">
      <c r="A1619" s="8"/>
      <c r="B1619" s="8"/>
      <c r="C1619" s="8"/>
      <c r="D1619" s="8"/>
      <c r="E1619" s="50"/>
      <c r="F1619" s="51"/>
      <c r="G1619" s="51"/>
      <c r="H1619" s="52"/>
      <c r="I1619" s="52"/>
      <c r="J1619" s="52"/>
      <c r="K1619" s="52"/>
      <c r="L1619" s="52"/>
      <c r="M1619" s="48"/>
      <c r="N1619" s="52"/>
      <c r="O1619" s="22"/>
      <c r="P1619" s="22"/>
      <c r="Q1619" s="8"/>
      <c r="R1619" s="8"/>
      <c r="S1619" s="8"/>
      <c r="T1619" s="8"/>
      <c r="U1619" s="8"/>
      <c r="V1619" s="8"/>
      <c r="W1619" s="8"/>
      <c r="X1619" s="8"/>
      <c r="Y1619" s="8"/>
      <c r="Z1619" s="8"/>
      <c r="AA1619" s="8"/>
      <c r="AB1619" s="8"/>
      <c r="AC1619" s="8"/>
      <c r="AD1619" s="24"/>
      <c r="AE1619" s="24"/>
      <c r="AF1619" s="8"/>
      <c r="AG1619" s="8"/>
      <c r="AH1619" s="8"/>
      <c r="AI1619" s="8"/>
    </row>
    <row r="1620" spans="1:35" ht="15.75" customHeight="1" x14ac:dyDescent="0.25">
      <c r="A1620" s="8"/>
      <c r="B1620" s="8"/>
      <c r="C1620" s="8"/>
      <c r="D1620" s="8"/>
      <c r="E1620" s="50"/>
      <c r="F1620" s="51"/>
      <c r="G1620" s="51"/>
      <c r="H1620" s="52"/>
      <c r="I1620" s="52"/>
      <c r="J1620" s="52"/>
      <c r="K1620" s="52"/>
      <c r="L1620" s="52"/>
      <c r="M1620" s="48"/>
      <c r="N1620" s="52"/>
      <c r="O1620" s="22"/>
      <c r="P1620" s="22"/>
      <c r="Q1620" s="8"/>
      <c r="R1620" s="8"/>
      <c r="S1620" s="8"/>
      <c r="T1620" s="8"/>
      <c r="U1620" s="8"/>
      <c r="V1620" s="8"/>
      <c r="W1620" s="8"/>
      <c r="X1620" s="8"/>
      <c r="Y1620" s="8"/>
      <c r="Z1620" s="8"/>
      <c r="AA1620" s="8"/>
      <c r="AB1620" s="8"/>
      <c r="AC1620" s="8"/>
      <c r="AD1620" s="24"/>
      <c r="AE1620" s="24"/>
      <c r="AF1620" s="8"/>
      <c r="AG1620" s="8"/>
      <c r="AH1620" s="8"/>
      <c r="AI1620" s="8"/>
    </row>
    <row r="1621" spans="1:35" ht="15.75" customHeight="1" x14ac:dyDescent="0.25">
      <c r="A1621" s="8"/>
      <c r="B1621" s="8"/>
      <c r="C1621" s="8"/>
      <c r="D1621" s="8"/>
      <c r="E1621" s="50"/>
      <c r="F1621" s="51"/>
      <c r="G1621" s="51"/>
      <c r="H1621" s="52"/>
      <c r="I1621" s="52"/>
      <c r="J1621" s="52"/>
      <c r="K1621" s="52"/>
      <c r="L1621" s="52"/>
      <c r="M1621" s="48"/>
      <c r="N1621" s="52"/>
      <c r="O1621" s="22"/>
      <c r="P1621" s="22"/>
      <c r="Q1621" s="8"/>
      <c r="R1621" s="8"/>
      <c r="S1621" s="8"/>
      <c r="T1621" s="8"/>
      <c r="U1621" s="8"/>
      <c r="V1621" s="8"/>
      <c r="W1621" s="8"/>
      <c r="X1621" s="8"/>
      <c r="Y1621" s="8"/>
      <c r="Z1621" s="8"/>
      <c r="AA1621" s="8"/>
      <c r="AB1621" s="8"/>
      <c r="AC1621" s="8"/>
      <c r="AD1621" s="24"/>
      <c r="AE1621" s="24"/>
      <c r="AF1621" s="8"/>
      <c r="AG1621" s="8"/>
      <c r="AH1621" s="8"/>
      <c r="AI1621" s="8"/>
    </row>
    <row r="1622" spans="1:35" ht="15.75" customHeight="1" x14ac:dyDescent="0.25">
      <c r="A1622" s="8"/>
      <c r="B1622" s="8"/>
      <c r="C1622" s="8"/>
      <c r="D1622" s="8"/>
      <c r="E1622" s="50"/>
      <c r="F1622" s="51"/>
      <c r="G1622" s="51"/>
      <c r="H1622" s="52"/>
      <c r="I1622" s="52"/>
      <c r="J1622" s="52"/>
      <c r="K1622" s="52"/>
      <c r="L1622" s="52"/>
      <c r="M1622" s="48"/>
      <c r="N1622" s="52"/>
      <c r="O1622" s="22"/>
      <c r="P1622" s="22"/>
      <c r="Q1622" s="8"/>
      <c r="R1622" s="8"/>
      <c r="S1622" s="8"/>
      <c r="T1622" s="8"/>
      <c r="U1622" s="8"/>
      <c r="V1622" s="8"/>
      <c r="W1622" s="8"/>
      <c r="X1622" s="8"/>
      <c r="Y1622" s="8"/>
      <c r="Z1622" s="8"/>
      <c r="AA1622" s="8"/>
      <c r="AB1622" s="8"/>
      <c r="AC1622" s="8"/>
      <c r="AD1622" s="24"/>
      <c r="AE1622" s="24"/>
      <c r="AF1622" s="8"/>
      <c r="AG1622" s="8"/>
      <c r="AH1622" s="8"/>
      <c r="AI1622" s="8"/>
    </row>
    <row r="1623" spans="1:35" ht="15.75" customHeight="1" x14ac:dyDescent="0.25">
      <c r="A1623" s="8"/>
      <c r="B1623" s="8"/>
      <c r="C1623" s="8"/>
      <c r="D1623" s="8"/>
      <c r="E1623" s="50"/>
      <c r="F1623" s="51"/>
      <c r="G1623" s="51"/>
      <c r="H1623" s="52"/>
      <c r="I1623" s="52"/>
      <c r="J1623" s="52"/>
      <c r="K1623" s="52"/>
      <c r="L1623" s="52"/>
      <c r="M1623" s="48"/>
      <c r="N1623" s="52"/>
      <c r="O1623" s="22"/>
      <c r="P1623" s="22"/>
      <c r="Q1623" s="8"/>
      <c r="R1623" s="8"/>
      <c r="S1623" s="8"/>
      <c r="T1623" s="8"/>
      <c r="U1623" s="8"/>
      <c r="V1623" s="8"/>
      <c r="W1623" s="8"/>
      <c r="X1623" s="8"/>
      <c r="Y1623" s="8"/>
      <c r="Z1623" s="8"/>
      <c r="AA1623" s="8"/>
      <c r="AB1623" s="8"/>
      <c r="AC1623" s="8"/>
      <c r="AD1623" s="24"/>
      <c r="AE1623" s="24"/>
      <c r="AF1623" s="8"/>
      <c r="AG1623" s="8"/>
      <c r="AH1623" s="8"/>
      <c r="AI1623" s="8"/>
    </row>
    <row r="1624" spans="1:35" ht="15.75" customHeight="1" x14ac:dyDescent="0.25">
      <c r="A1624" s="8"/>
      <c r="B1624" s="8"/>
      <c r="C1624" s="8"/>
      <c r="D1624" s="8"/>
      <c r="E1624" s="50"/>
      <c r="F1624" s="51"/>
      <c r="G1624" s="51"/>
      <c r="H1624" s="52"/>
      <c r="I1624" s="52"/>
      <c r="J1624" s="52"/>
      <c r="K1624" s="52"/>
      <c r="L1624" s="52"/>
      <c r="M1624" s="52"/>
      <c r="N1624" s="52"/>
      <c r="O1624" s="22"/>
      <c r="P1624" s="22"/>
      <c r="Q1624" s="8"/>
      <c r="R1624" s="8"/>
      <c r="S1624" s="8"/>
      <c r="T1624" s="8"/>
      <c r="U1624" s="8"/>
      <c r="V1624" s="8"/>
      <c r="W1624" s="8"/>
      <c r="X1624" s="8"/>
      <c r="Y1624" s="8"/>
      <c r="Z1624" s="8"/>
      <c r="AA1624" s="8"/>
      <c r="AB1624" s="8"/>
      <c r="AC1624" s="8"/>
      <c r="AD1624" s="24"/>
      <c r="AE1624" s="24"/>
      <c r="AF1624" s="8"/>
      <c r="AG1624" s="8"/>
      <c r="AH1624" s="8"/>
      <c r="AI1624" s="8"/>
    </row>
    <row r="1625" spans="1:35" ht="15.75" customHeight="1" x14ac:dyDescent="0.25">
      <c r="A1625" s="8"/>
      <c r="B1625" s="8"/>
      <c r="C1625" s="8"/>
      <c r="D1625" s="8"/>
      <c r="E1625" s="50"/>
      <c r="F1625" s="51"/>
      <c r="G1625" s="51"/>
      <c r="H1625" s="52"/>
      <c r="I1625" s="52"/>
      <c r="J1625" s="52"/>
      <c r="K1625" s="52"/>
      <c r="L1625" s="52"/>
      <c r="M1625" s="48"/>
      <c r="N1625" s="52"/>
      <c r="O1625" s="22"/>
      <c r="P1625" s="22"/>
      <c r="Q1625" s="8"/>
      <c r="R1625" s="8"/>
      <c r="S1625" s="8"/>
      <c r="T1625" s="8"/>
      <c r="U1625" s="8"/>
      <c r="V1625" s="8"/>
      <c r="W1625" s="8"/>
      <c r="X1625" s="8"/>
      <c r="Y1625" s="8"/>
      <c r="Z1625" s="8"/>
      <c r="AA1625" s="8"/>
      <c r="AB1625" s="8"/>
      <c r="AC1625" s="8"/>
      <c r="AD1625" s="24"/>
      <c r="AE1625" s="24"/>
      <c r="AF1625" s="8"/>
      <c r="AG1625" s="8"/>
      <c r="AH1625" s="8"/>
      <c r="AI1625" s="8"/>
    </row>
    <row r="1626" spans="1:35" ht="15.75" customHeight="1" x14ac:dyDescent="0.25">
      <c r="A1626" s="8"/>
      <c r="B1626" s="8"/>
      <c r="C1626" s="8"/>
      <c r="D1626" s="8"/>
      <c r="E1626" s="50"/>
      <c r="F1626" s="51"/>
      <c r="G1626" s="51"/>
      <c r="H1626" s="52"/>
      <c r="I1626" s="52"/>
      <c r="J1626" s="52"/>
      <c r="K1626" s="52"/>
      <c r="L1626" s="52"/>
      <c r="M1626" s="48"/>
      <c r="N1626" s="52"/>
      <c r="O1626" s="22"/>
      <c r="P1626" s="22"/>
      <c r="Q1626" s="8"/>
      <c r="R1626" s="8"/>
      <c r="S1626" s="8"/>
      <c r="T1626" s="8"/>
      <c r="U1626" s="8"/>
      <c r="V1626" s="8"/>
      <c r="W1626" s="8"/>
      <c r="X1626" s="8"/>
      <c r="Y1626" s="8"/>
      <c r="Z1626" s="8"/>
      <c r="AA1626" s="8"/>
      <c r="AB1626" s="8"/>
      <c r="AC1626" s="8"/>
      <c r="AD1626" s="24"/>
      <c r="AE1626" s="24"/>
      <c r="AF1626" s="8"/>
      <c r="AG1626" s="8"/>
      <c r="AH1626" s="8"/>
      <c r="AI1626" s="8"/>
    </row>
    <row r="1627" spans="1:35" ht="15.75" customHeight="1" x14ac:dyDescent="0.25">
      <c r="A1627" s="8"/>
      <c r="B1627" s="8"/>
      <c r="C1627" s="8"/>
      <c r="D1627" s="8"/>
      <c r="E1627" s="50"/>
      <c r="F1627" s="51"/>
      <c r="G1627" s="51"/>
      <c r="H1627" s="52"/>
      <c r="I1627" s="52"/>
      <c r="J1627" s="52"/>
      <c r="K1627" s="52"/>
      <c r="L1627" s="52"/>
      <c r="M1627" s="48"/>
      <c r="N1627" s="52"/>
      <c r="O1627" s="22"/>
      <c r="P1627" s="22"/>
      <c r="Q1627" s="8"/>
      <c r="R1627" s="8"/>
      <c r="S1627" s="8"/>
      <c r="T1627" s="8"/>
      <c r="U1627" s="8"/>
      <c r="V1627" s="8"/>
      <c r="W1627" s="8"/>
      <c r="X1627" s="8"/>
      <c r="Y1627" s="8"/>
      <c r="Z1627" s="8"/>
      <c r="AA1627" s="8"/>
      <c r="AB1627" s="8"/>
      <c r="AC1627" s="8"/>
      <c r="AD1627" s="24"/>
      <c r="AE1627" s="24"/>
      <c r="AF1627" s="8"/>
      <c r="AG1627" s="8"/>
      <c r="AH1627" s="8"/>
      <c r="AI1627" s="8"/>
    </row>
    <row r="1628" spans="1:35" ht="15.75" customHeight="1" x14ac:dyDescent="0.25">
      <c r="A1628" s="8"/>
      <c r="B1628" s="8"/>
      <c r="C1628" s="8"/>
      <c r="D1628" s="8"/>
      <c r="E1628" s="50"/>
      <c r="F1628" s="51"/>
      <c r="G1628" s="51"/>
      <c r="H1628" s="52"/>
      <c r="I1628" s="52"/>
      <c r="J1628" s="52"/>
      <c r="K1628" s="52"/>
      <c r="L1628" s="52"/>
      <c r="M1628" s="48"/>
      <c r="N1628" s="52"/>
      <c r="O1628" s="22"/>
      <c r="P1628" s="22"/>
      <c r="Q1628" s="8"/>
      <c r="R1628" s="8"/>
      <c r="S1628" s="8"/>
      <c r="T1628" s="8"/>
      <c r="U1628" s="8"/>
      <c r="V1628" s="8"/>
      <c r="W1628" s="8"/>
      <c r="X1628" s="8"/>
      <c r="Y1628" s="8"/>
      <c r="Z1628" s="8"/>
      <c r="AA1628" s="8"/>
      <c r="AB1628" s="8"/>
      <c r="AC1628" s="8"/>
      <c r="AD1628" s="24"/>
      <c r="AE1628" s="24"/>
      <c r="AF1628" s="8"/>
      <c r="AG1628" s="8"/>
      <c r="AH1628" s="8"/>
      <c r="AI1628" s="8"/>
    </row>
    <row r="1629" spans="1:35" ht="15.75" customHeight="1" x14ac:dyDescent="0.25">
      <c r="A1629" s="8"/>
      <c r="B1629" s="8"/>
      <c r="C1629" s="8"/>
      <c r="D1629" s="8"/>
      <c r="E1629" s="5"/>
      <c r="F1629" s="16"/>
      <c r="G1629" s="16"/>
      <c r="H1629" s="5"/>
      <c r="I1629" s="5"/>
      <c r="J1629" s="5"/>
      <c r="K1629" s="5"/>
      <c r="L1629" s="5"/>
      <c r="M1629" s="48"/>
      <c r="N1629" s="18"/>
      <c r="O1629" s="22"/>
      <c r="P1629" s="22"/>
      <c r="Q1629" s="8"/>
      <c r="R1629" s="8"/>
      <c r="S1629" s="8"/>
      <c r="T1629" s="8"/>
      <c r="U1629" s="8"/>
      <c r="V1629" s="8"/>
      <c r="W1629" s="8"/>
      <c r="X1629" s="8"/>
      <c r="Y1629" s="8"/>
      <c r="Z1629" s="8"/>
      <c r="AA1629" s="8"/>
      <c r="AB1629" s="8"/>
      <c r="AC1629" s="8"/>
      <c r="AD1629" s="24"/>
      <c r="AE1629" s="24"/>
      <c r="AF1629" s="8"/>
      <c r="AG1629" s="8"/>
      <c r="AH1629" s="8"/>
      <c r="AI1629" s="8"/>
    </row>
    <row r="1630" spans="1:35" ht="15.75" customHeight="1" x14ac:dyDescent="0.25">
      <c r="A1630" s="8"/>
      <c r="B1630" s="8"/>
      <c r="C1630" s="8"/>
      <c r="D1630" s="8"/>
      <c r="E1630" s="5"/>
      <c r="F1630" s="16"/>
      <c r="G1630" s="16"/>
      <c r="H1630" s="5"/>
      <c r="I1630" s="741"/>
      <c r="J1630" s="742"/>
      <c r="K1630" s="5"/>
      <c r="L1630" s="5"/>
      <c r="M1630" s="48"/>
      <c r="N1630" s="18"/>
      <c r="O1630" s="22"/>
      <c r="P1630" s="22"/>
      <c r="Q1630" s="8"/>
      <c r="R1630" s="8"/>
      <c r="S1630" s="8"/>
      <c r="T1630" s="8"/>
      <c r="U1630" s="8"/>
      <c r="V1630" s="8"/>
      <c r="W1630" s="8"/>
      <c r="X1630" s="8"/>
      <c r="Y1630" s="8"/>
      <c r="Z1630" s="8"/>
      <c r="AA1630" s="8"/>
      <c r="AB1630" s="8"/>
      <c r="AC1630" s="8"/>
      <c r="AD1630" s="24"/>
      <c r="AE1630" s="24"/>
      <c r="AF1630" s="8"/>
      <c r="AG1630" s="8"/>
      <c r="AH1630" s="8"/>
      <c r="AI1630" s="8"/>
    </row>
    <row r="1631" spans="1:35" ht="15.75" customHeight="1" x14ac:dyDescent="0.25">
      <c r="A1631" s="8"/>
      <c r="B1631" s="8"/>
      <c r="C1631" s="8"/>
      <c r="D1631" s="8"/>
      <c r="E1631" s="5"/>
      <c r="F1631" s="16"/>
      <c r="G1631" s="16"/>
      <c r="H1631" s="5"/>
      <c r="I1631" s="741"/>
      <c r="J1631" s="742"/>
      <c r="K1631" s="5"/>
      <c r="L1631" s="5"/>
      <c r="M1631" s="48"/>
      <c r="N1631" s="18"/>
      <c r="O1631" s="22"/>
      <c r="P1631" s="22"/>
      <c r="Q1631" s="8"/>
      <c r="R1631" s="8"/>
      <c r="S1631" s="8"/>
      <c r="T1631" s="8"/>
      <c r="U1631" s="8"/>
      <c r="V1631" s="8"/>
      <c r="W1631" s="8"/>
      <c r="X1631" s="8"/>
      <c r="Y1631" s="8"/>
      <c r="Z1631" s="8"/>
      <c r="AA1631" s="8"/>
      <c r="AB1631" s="8"/>
      <c r="AC1631" s="8"/>
      <c r="AD1631" s="24"/>
      <c r="AE1631" s="24"/>
      <c r="AF1631" s="8"/>
      <c r="AG1631" s="8"/>
      <c r="AH1631" s="8"/>
      <c r="AI1631" s="8"/>
    </row>
    <row r="1632" spans="1:35" ht="15.75" customHeight="1" x14ac:dyDescent="0.25">
      <c r="A1632" s="8"/>
      <c r="B1632" s="8"/>
      <c r="C1632" s="8"/>
      <c r="D1632" s="8"/>
      <c r="E1632" s="5"/>
      <c r="F1632" s="16"/>
      <c r="G1632" s="16"/>
      <c r="H1632" s="5"/>
      <c r="I1632" s="741"/>
      <c r="J1632" s="742"/>
      <c r="K1632" s="5"/>
      <c r="L1632" s="5"/>
      <c r="M1632" s="48"/>
      <c r="N1632" s="18"/>
      <c r="O1632" s="22"/>
      <c r="P1632" s="22"/>
      <c r="Q1632" s="8"/>
      <c r="R1632" s="8"/>
      <c r="S1632" s="8"/>
      <c r="T1632" s="8"/>
      <c r="U1632" s="8"/>
      <c r="V1632" s="8"/>
      <c r="W1632" s="8"/>
      <c r="X1632" s="8"/>
      <c r="Y1632" s="8"/>
      <c r="Z1632" s="8"/>
      <c r="AA1632" s="8"/>
      <c r="AB1632" s="8"/>
      <c r="AC1632" s="8"/>
      <c r="AD1632" s="24"/>
      <c r="AE1632" s="24"/>
      <c r="AF1632" s="8"/>
      <c r="AG1632" s="8"/>
      <c r="AH1632" s="8"/>
      <c r="AI1632" s="8"/>
    </row>
    <row r="1633" spans="1:35" ht="15.75" customHeight="1" x14ac:dyDescent="0.25">
      <c r="A1633" s="8"/>
      <c r="B1633" s="8"/>
      <c r="C1633" s="8"/>
      <c r="D1633" s="8"/>
      <c r="E1633" s="5"/>
      <c r="F1633" s="16"/>
      <c r="G1633" s="16"/>
      <c r="H1633" s="5"/>
      <c r="I1633" s="5"/>
      <c r="J1633" s="5"/>
      <c r="K1633" s="5"/>
      <c r="L1633" s="5"/>
      <c r="M1633" s="48"/>
      <c r="N1633" s="18"/>
      <c r="O1633" s="22"/>
      <c r="P1633" s="22"/>
      <c r="Q1633" s="8"/>
      <c r="R1633" s="8"/>
      <c r="S1633" s="8"/>
      <c r="T1633" s="8"/>
      <c r="U1633" s="8"/>
      <c r="V1633" s="8"/>
      <c r="W1633" s="8"/>
      <c r="X1633" s="8"/>
      <c r="Y1633" s="8"/>
      <c r="Z1633" s="8"/>
      <c r="AA1633" s="8"/>
      <c r="AB1633" s="8"/>
      <c r="AC1633" s="8"/>
      <c r="AD1633" s="24"/>
      <c r="AE1633" s="24"/>
      <c r="AF1633" s="8"/>
      <c r="AG1633" s="8"/>
      <c r="AH1633" s="8"/>
      <c r="AI1633" s="8"/>
    </row>
    <row r="1634" spans="1:35" ht="15.75" customHeight="1" x14ac:dyDescent="0.25">
      <c r="A1634" s="8"/>
      <c r="B1634" s="8"/>
      <c r="C1634" s="8"/>
      <c r="D1634" s="8"/>
      <c r="E1634" s="5"/>
      <c r="F1634" s="16"/>
      <c r="G1634" s="16"/>
      <c r="H1634" s="5"/>
      <c r="I1634" s="5"/>
      <c r="J1634" s="5"/>
      <c r="K1634" s="5"/>
      <c r="L1634" s="5"/>
      <c r="M1634" s="48"/>
      <c r="N1634" s="18"/>
      <c r="O1634" s="22"/>
      <c r="P1634" s="22"/>
      <c r="Q1634" s="8"/>
      <c r="R1634" s="8"/>
      <c r="S1634" s="8"/>
      <c r="T1634" s="8"/>
      <c r="U1634" s="8"/>
      <c r="V1634" s="8"/>
      <c r="W1634" s="8"/>
      <c r="X1634" s="8"/>
      <c r="Y1634" s="8"/>
      <c r="Z1634" s="8"/>
      <c r="AA1634" s="8"/>
      <c r="AB1634" s="8"/>
      <c r="AC1634" s="8"/>
      <c r="AD1634" s="24"/>
      <c r="AE1634" s="24"/>
      <c r="AF1634" s="8"/>
      <c r="AG1634" s="8"/>
      <c r="AH1634" s="8"/>
      <c r="AI1634" s="8"/>
    </row>
    <row r="1635" spans="1:35" ht="15.75" customHeight="1" x14ac:dyDescent="0.25">
      <c r="A1635" s="8"/>
      <c r="B1635" s="8"/>
      <c r="C1635" s="8"/>
      <c r="D1635" s="8"/>
      <c r="E1635" s="5"/>
      <c r="F1635" s="16"/>
      <c r="G1635" s="16"/>
      <c r="H1635" s="5"/>
      <c r="I1635" s="5"/>
      <c r="J1635" s="5"/>
      <c r="K1635" s="5"/>
      <c r="L1635" s="5"/>
      <c r="M1635" s="48"/>
      <c r="N1635" s="18"/>
      <c r="O1635" s="22"/>
      <c r="P1635" s="22"/>
      <c r="Q1635" s="8"/>
      <c r="R1635" s="8"/>
      <c r="S1635" s="8"/>
      <c r="T1635" s="8"/>
      <c r="U1635" s="8"/>
      <c r="V1635" s="8"/>
      <c r="W1635" s="8"/>
      <c r="X1635" s="8"/>
      <c r="Y1635" s="8"/>
      <c r="Z1635" s="8"/>
      <c r="AA1635" s="8"/>
      <c r="AB1635" s="8"/>
      <c r="AC1635" s="8"/>
      <c r="AD1635" s="24"/>
      <c r="AE1635" s="24"/>
      <c r="AF1635" s="8"/>
      <c r="AG1635" s="8"/>
      <c r="AH1635" s="8"/>
      <c r="AI1635" s="8"/>
    </row>
    <row r="1636" spans="1:35" ht="15.75" customHeight="1" x14ac:dyDescent="0.25">
      <c r="A1636" s="8"/>
      <c r="B1636" s="8"/>
      <c r="C1636" s="8"/>
      <c r="D1636" s="8"/>
      <c r="E1636" s="5"/>
      <c r="F1636" s="16"/>
      <c r="G1636" s="16"/>
      <c r="H1636" s="5"/>
      <c r="I1636" s="5"/>
      <c r="J1636" s="5"/>
      <c r="K1636" s="5"/>
      <c r="L1636" s="5"/>
      <c r="M1636" s="48"/>
      <c r="N1636" s="18"/>
      <c r="O1636" s="22"/>
      <c r="P1636" s="22"/>
      <c r="Q1636" s="8"/>
      <c r="R1636" s="8"/>
      <c r="S1636" s="8"/>
      <c r="T1636" s="8"/>
      <c r="U1636" s="8"/>
      <c r="V1636" s="8"/>
      <c r="W1636" s="8"/>
      <c r="X1636" s="8"/>
      <c r="Y1636" s="8"/>
      <c r="Z1636" s="8"/>
      <c r="AA1636" s="8"/>
      <c r="AB1636" s="8"/>
      <c r="AC1636" s="8"/>
      <c r="AD1636" s="24"/>
      <c r="AE1636" s="24"/>
      <c r="AF1636" s="8"/>
      <c r="AG1636" s="8"/>
      <c r="AH1636" s="8"/>
      <c r="AI1636" s="8"/>
    </row>
    <row r="1637" spans="1:35" ht="15.75" customHeight="1" x14ac:dyDescent="0.25">
      <c r="A1637" s="8"/>
      <c r="B1637" s="8"/>
      <c r="C1637" s="8"/>
      <c r="D1637" s="8"/>
      <c r="E1637" s="5"/>
      <c r="F1637" s="16"/>
      <c r="G1637" s="16"/>
      <c r="H1637" s="5"/>
      <c r="I1637" s="5"/>
      <c r="J1637" s="5"/>
      <c r="K1637" s="5"/>
      <c r="L1637" s="5"/>
      <c r="M1637" s="48"/>
      <c r="N1637" s="18"/>
      <c r="O1637" s="22"/>
      <c r="P1637" s="22"/>
      <c r="Q1637" s="8"/>
      <c r="R1637" s="8"/>
      <c r="S1637" s="8"/>
      <c r="T1637" s="8"/>
      <c r="U1637" s="8"/>
      <c r="V1637" s="8"/>
      <c r="W1637" s="8"/>
      <c r="X1637" s="8"/>
      <c r="Y1637" s="8"/>
      <c r="Z1637" s="8"/>
      <c r="AA1637" s="8"/>
      <c r="AB1637" s="8"/>
      <c r="AC1637" s="8"/>
      <c r="AD1637" s="24"/>
      <c r="AE1637" s="24"/>
      <c r="AF1637" s="8"/>
      <c r="AG1637" s="8"/>
      <c r="AH1637" s="8"/>
      <c r="AI1637" s="8"/>
    </row>
    <row r="1638" spans="1:35" ht="15.75" customHeight="1" x14ac:dyDescent="0.25">
      <c r="A1638" s="8"/>
      <c r="B1638" s="8"/>
      <c r="C1638" s="8"/>
      <c r="D1638" s="8"/>
      <c r="E1638" s="5"/>
      <c r="F1638" s="16"/>
      <c r="G1638" s="16"/>
      <c r="H1638" s="5"/>
      <c r="I1638" s="5"/>
      <c r="J1638" s="5"/>
      <c r="K1638" s="5"/>
      <c r="L1638" s="5"/>
      <c r="M1638" s="48"/>
      <c r="N1638" s="18"/>
      <c r="O1638" s="22"/>
      <c r="P1638" s="22"/>
      <c r="Q1638" s="8"/>
      <c r="R1638" s="8"/>
      <c r="S1638" s="8"/>
      <c r="T1638" s="8"/>
      <c r="U1638" s="8"/>
      <c r="V1638" s="8"/>
      <c r="W1638" s="8"/>
      <c r="X1638" s="8"/>
      <c r="Y1638" s="8"/>
      <c r="Z1638" s="8"/>
      <c r="AA1638" s="8"/>
      <c r="AB1638" s="8"/>
      <c r="AC1638" s="8"/>
      <c r="AD1638" s="24"/>
      <c r="AE1638" s="24"/>
      <c r="AF1638" s="8"/>
      <c r="AG1638" s="8"/>
      <c r="AH1638" s="8"/>
      <c r="AI1638" s="8"/>
    </row>
    <row r="1639" spans="1:35" ht="15.75" customHeight="1" x14ac:dyDescent="0.25">
      <c r="A1639" s="8"/>
      <c r="B1639" s="8"/>
      <c r="C1639" s="8"/>
      <c r="D1639" s="8"/>
      <c r="E1639" s="5"/>
      <c r="F1639" s="16"/>
      <c r="G1639" s="16"/>
      <c r="H1639" s="5"/>
      <c r="I1639" s="5"/>
      <c r="J1639" s="5"/>
      <c r="K1639" s="5"/>
      <c r="L1639" s="5"/>
      <c r="M1639" s="48"/>
      <c r="N1639" s="18"/>
      <c r="O1639" s="22"/>
      <c r="P1639" s="22"/>
      <c r="Q1639" s="8"/>
      <c r="R1639" s="8"/>
      <c r="S1639" s="8"/>
      <c r="T1639" s="8"/>
      <c r="U1639" s="8"/>
      <c r="V1639" s="8"/>
      <c r="W1639" s="8"/>
      <c r="X1639" s="8"/>
      <c r="Y1639" s="8"/>
      <c r="Z1639" s="8"/>
      <c r="AA1639" s="8"/>
      <c r="AB1639" s="8"/>
      <c r="AC1639" s="8"/>
      <c r="AD1639" s="24"/>
      <c r="AE1639" s="24"/>
      <c r="AF1639" s="8"/>
      <c r="AG1639" s="8"/>
      <c r="AH1639" s="8"/>
      <c r="AI1639" s="8"/>
    </row>
    <row r="1640" spans="1:35" ht="15.75" customHeight="1" x14ac:dyDescent="0.25">
      <c r="A1640" s="8"/>
      <c r="B1640" s="8"/>
      <c r="C1640" s="8"/>
      <c r="D1640" s="8"/>
      <c r="E1640" s="5"/>
      <c r="F1640" s="16"/>
      <c r="G1640" s="16"/>
      <c r="H1640" s="5"/>
      <c r="I1640" s="5"/>
      <c r="J1640" s="5"/>
      <c r="K1640" s="5"/>
      <c r="L1640" s="5"/>
      <c r="M1640" s="48"/>
      <c r="N1640" s="18"/>
      <c r="O1640" s="22"/>
      <c r="P1640" s="22"/>
      <c r="Q1640" s="8"/>
      <c r="R1640" s="8"/>
      <c r="S1640" s="8"/>
      <c r="T1640" s="8"/>
      <c r="U1640" s="8"/>
      <c r="V1640" s="8"/>
      <c r="W1640" s="8"/>
      <c r="X1640" s="8"/>
      <c r="Y1640" s="8"/>
      <c r="Z1640" s="8"/>
      <c r="AA1640" s="8"/>
      <c r="AB1640" s="8"/>
      <c r="AC1640" s="8"/>
      <c r="AD1640" s="24"/>
      <c r="AE1640" s="24"/>
      <c r="AF1640" s="8"/>
      <c r="AG1640" s="8"/>
      <c r="AH1640" s="8"/>
      <c r="AI1640" s="8"/>
    </row>
    <row r="1641" spans="1:35" ht="15.75" customHeight="1" x14ac:dyDescent="0.25">
      <c r="A1641" s="8"/>
      <c r="B1641" s="8"/>
      <c r="C1641" s="8"/>
      <c r="D1641" s="8"/>
      <c r="E1641" s="5"/>
      <c r="F1641" s="16"/>
      <c r="G1641" s="16"/>
      <c r="H1641" s="5"/>
      <c r="I1641" s="5"/>
      <c r="J1641" s="5"/>
      <c r="K1641" s="5"/>
      <c r="L1641" s="5"/>
      <c r="M1641" s="48"/>
      <c r="N1641" s="18"/>
      <c r="O1641" s="22"/>
      <c r="P1641" s="22"/>
      <c r="Q1641" s="8"/>
      <c r="R1641" s="8"/>
      <c r="S1641" s="8"/>
      <c r="T1641" s="8"/>
      <c r="U1641" s="8"/>
      <c r="V1641" s="8"/>
      <c r="W1641" s="8"/>
      <c r="X1641" s="8"/>
      <c r="Y1641" s="8"/>
      <c r="Z1641" s="8"/>
      <c r="AA1641" s="8"/>
      <c r="AB1641" s="8"/>
      <c r="AC1641" s="8"/>
      <c r="AD1641" s="24"/>
      <c r="AE1641" s="24"/>
      <c r="AF1641" s="8"/>
      <c r="AG1641" s="8"/>
      <c r="AH1641" s="8"/>
      <c r="AI1641" s="8"/>
    </row>
    <row r="1642" spans="1:35" ht="15.75" customHeight="1" x14ac:dyDescent="0.25">
      <c r="A1642" s="8"/>
      <c r="B1642" s="8"/>
      <c r="C1642" s="8"/>
      <c r="D1642" s="8"/>
      <c r="E1642" s="5"/>
      <c r="F1642" s="16"/>
      <c r="G1642" s="16"/>
      <c r="H1642" s="5"/>
      <c r="I1642" s="5"/>
      <c r="J1642" s="5"/>
      <c r="K1642" s="5"/>
      <c r="L1642" s="5"/>
      <c r="M1642" s="48"/>
      <c r="N1642" s="18"/>
      <c r="O1642" s="22"/>
      <c r="P1642" s="22"/>
      <c r="Q1642" s="8"/>
      <c r="R1642" s="8"/>
      <c r="S1642" s="8"/>
      <c r="T1642" s="8"/>
      <c r="U1642" s="8"/>
      <c r="V1642" s="8"/>
      <c r="W1642" s="8"/>
      <c r="X1642" s="8"/>
      <c r="Y1642" s="8"/>
      <c r="Z1642" s="8"/>
      <c r="AA1642" s="8"/>
      <c r="AB1642" s="8"/>
      <c r="AC1642" s="8"/>
      <c r="AD1642" s="24"/>
      <c r="AE1642" s="24"/>
      <c r="AF1642" s="8"/>
      <c r="AG1642" s="8"/>
      <c r="AH1642" s="8"/>
      <c r="AI1642" s="8"/>
    </row>
    <row r="1643" spans="1:35" ht="15.75" customHeight="1" x14ac:dyDescent="0.25">
      <c r="A1643" s="8"/>
      <c r="B1643" s="8"/>
      <c r="C1643" s="8"/>
      <c r="D1643" s="8"/>
      <c r="E1643" s="5"/>
      <c r="F1643" s="16"/>
      <c r="G1643" s="16"/>
      <c r="H1643" s="5"/>
      <c r="I1643" s="5"/>
      <c r="J1643" s="5"/>
      <c r="K1643" s="5"/>
      <c r="L1643" s="5"/>
      <c r="M1643" s="48"/>
      <c r="N1643" s="18"/>
      <c r="O1643" s="22"/>
      <c r="P1643" s="22"/>
      <c r="Q1643" s="8"/>
      <c r="R1643" s="8"/>
      <c r="S1643" s="8"/>
      <c r="T1643" s="8"/>
      <c r="U1643" s="8"/>
      <c r="V1643" s="8"/>
      <c r="W1643" s="8"/>
      <c r="X1643" s="8"/>
      <c r="Y1643" s="8"/>
      <c r="Z1643" s="8"/>
      <c r="AA1643" s="8"/>
      <c r="AB1643" s="8"/>
      <c r="AC1643" s="8"/>
      <c r="AD1643" s="24"/>
      <c r="AE1643" s="24"/>
      <c r="AF1643" s="8"/>
      <c r="AG1643" s="8"/>
      <c r="AH1643" s="8"/>
      <c r="AI1643" s="8"/>
    </row>
    <row r="1644" spans="1:35" ht="15.75" customHeight="1" x14ac:dyDescent="0.25">
      <c r="A1644" s="8"/>
      <c r="B1644" s="8"/>
      <c r="C1644" s="8"/>
      <c r="D1644" s="8"/>
      <c r="E1644" s="5"/>
      <c r="F1644" s="16"/>
      <c r="G1644" s="16"/>
      <c r="H1644" s="5"/>
      <c r="I1644" s="5"/>
      <c r="J1644" s="5"/>
      <c r="K1644" s="5"/>
      <c r="L1644" s="5"/>
      <c r="M1644" s="48"/>
      <c r="N1644" s="18"/>
      <c r="O1644" s="22"/>
      <c r="P1644" s="22"/>
      <c r="Q1644" s="8"/>
      <c r="R1644" s="8"/>
      <c r="S1644" s="8"/>
      <c r="T1644" s="8"/>
      <c r="U1644" s="8"/>
      <c r="V1644" s="8"/>
      <c r="W1644" s="8"/>
      <c r="X1644" s="8"/>
      <c r="Y1644" s="8"/>
      <c r="Z1644" s="8"/>
      <c r="AA1644" s="8"/>
      <c r="AB1644" s="8"/>
      <c r="AC1644" s="8"/>
      <c r="AD1644" s="24"/>
      <c r="AE1644" s="24"/>
      <c r="AF1644" s="8"/>
      <c r="AG1644" s="8"/>
      <c r="AH1644" s="8"/>
      <c r="AI1644" s="8"/>
    </row>
    <row r="1645" spans="1:35" ht="15.75" customHeight="1" x14ac:dyDescent="0.25">
      <c r="A1645" s="8"/>
      <c r="B1645" s="8"/>
      <c r="C1645" s="8"/>
      <c r="D1645" s="8"/>
      <c r="E1645" s="5"/>
      <c r="F1645" s="16"/>
      <c r="G1645" s="16"/>
      <c r="H1645" s="5"/>
      <c r="I1645" s="5"/>
      <c r="J1645" s="5"/>
      <c r="K1645" s="5"/>
      <c r="L1645" s="5"/>
      <c r="M1645" s="48"/>
      <c r="N1645" s="18"/>
      <c r="O1645" s="22"/>
      <c r="P1645" s="22"/>
      <c r="Q1645" s="8"/>
      <c r="R1645" s="8"/>
      <c r="S1645" s="8"/>
      <c r="T1645" s="8"/>
      <c r="U1645" s="8"/>
      <c r="V1645" s="8"/>
      <c r="W1645" s="8"/>
      <c r="X1645" s="8"/>
      <c r="Y1645" s="8"/>
      <c r="Z1645" s="8"/>
      <c r="AA1645" s="8"/>
      <c r="AB1645" s="8"/>
      <c r="AC1645" s="8"/>
      <c r="AD1645" s="24"/>
      <c r="AE1645" s="24"/>
      <c r="AF1645" s="8"/>
      <c r="AG1645" s="8"/>
      <c r="AH1645" s="8"/>
      <c r="AI1645" s="8"/>
    </row>
    <row r="1646" spans="1:35" ht="15.75" customHeight="1" x14ac:dyDescent="0.25">
      <c r="A1646" s="8"/>
      <c r="B1646" s="8"/>
      <c r="C1646" s="8"/>
      <c r="D1646" s="8"/>
      <c r="E1646" s="5"/>
      <c r="F1646" s="16"/>
      <c r="G1646" s="16"/>
      <c r="H1646" s="5"/>
      <c r="I1646" s="5"/>
      <c r="J1646" s="5"/>
      <c r="K1646" s="5"/>
      <c r="L1646" s="5"/>
      <c r="M1646" s="48"/>
      <c r="N1646" s="18"/>
      <c r="O1646" s="22"/>
      <c r="P1646" s="22"/>
      <c r="Q1646" s="8"/>
      <c r="R1646" s="8"/>
      <c r="S1646" s="8"/>
      <c r="T1646" s="8"/>
      <c r="U1646" s="8"/>
      <c r="V1646" s="8"/>
      <c r="W1646" s="8"/>
      <c r="X1646" s="8"/>
      <c r="Y1646" s="8"/>
      <c r="Z1646" s="8"/>
      <c r="AA1646" s="8"/>
      <c r="AB1646" s="8"/>
      <c r="AC1646" s="8"/>
      <c r="AD1646" s="24"/>
      <c r="AE1646" s="24"/>
      <c r="AF1646" s="8"/>
      <c r="AG1646" s="8"/>
      <c r="AH1646" s="8"/>
      <c r="AI1646" s="8"/>
    </row>
    <row r="1647" spans="1:35" ht="15.75" customHeight="1" x14ac:dyDescent="0.25">
      <c r="A1647" s="8"/>
      <c r="B1647" s="8"/>
      <c r="C1647" s="8"/>
      <c r="D1647" s="8"/>
      <c r="E1647" s="5"/>
      <c r="F1647" s="16"/>
      <c r="G1647" s="16"/>
      <c r="H1647" s="5"/>
      <c r="I1647" s="5"/>
      <c r="J1647" s="5"/>
      <c r="K1647" s="5"/>
      <c r="L1647" s="5"/>
      <c r="M1647" s="48"/>
      <c r="N1647" s="18"/>
      <c r="O1647" s="22"/>
      <c r="P1647" s="22"/>
      <c r="Q1647" s="8"/>
      <c r="R1647" s="8"/>
      <c r="S1647" s="8"/>
      <c r="T1647" s="8"/>
      <c r="U1647" s="8"/>
      <c r="V1647" s="8"/>
      <c r="W1647" s="8"/>
      <c r="X1647" s="8"/>
      <c r="Y1647" s="8"/>
      <c r="Z1647" s="8"/>
      <c r="AA1647" s="8"/>
      <c r="AB1647" s="8"/>
      <c r="AC1647" s="8"/>
      <c r="AD1647" s="24"/>
      <c r="AE1647" s="24"/>
      <c r="AF1647" s="8"/>
      <c r="AG1647" s="8"/>
      <c r="AH1647" s="8"/>
      <c r="AI1647" s="8"/>
    </row>
    <row r="1648" spans="1:35" ht="15.75" customHeight="1" x14ac:dyDescent="0.25">
      <c r="A1648" s="8"/>
      <c r="B1648" s="8"/>
      <c r="C1648" s="8"/>
      <c r="D1648" s="8"/>
      <c r="E1648" s="5"/>
      <c r="F1648" s="16"/>
      <c r="G1648" s="16"/>
      <c r="H1648" s="5"/>
      <c r="I1648" s="5"/>
      <c r="J1648" s="5"/>
      <c r="K1648" s="5"/>
      <c r="L1648" s="5"/>
      <c r="M1648" s="48"/>
      <c r="N1648" s="18"/>
      <c r="O1648" s="22"/>
      <c r="P1648" s="22"/>
      <c r="Q1648" s="8"/>
      <c r="R1648" s="8"/>
      <c r="S1648" s="8"/>
      <c r="T1648" s="8"/>
      <c r="U1648" s="8"/>
      <c r="V1648" s="8"/>
      <c r="W1648" s="8"/>
      <c r="X1648" s="8"/>
      <c r="Y1648" s="8"/>
      <c r="Z1648" s="8"/>
      <c r="AA1648" s="8"/>
      <c r="AB1648" s="8"/>
      <c r="AC1648" s="8"/>
      <c r="AD1648" s="24"/>
      <c r="AE1648" s="24"/>
      <c r="AF1648" s="8"/>
      <c r="AG1648" s="8"/>
      <c r="AH1648" s="8"/>
      <c r="AI1648" s="8"/>
    </row>
    <row r="1649" spans="1:35" ht="15.75" customHeight="1" x14ac:dyDescent="0.25">
      <c r="A1649" s="8"/>
      <c r="B1649" s="8"/>
      <c r="C1649" s="8"/>
      <c r="D1649" s="8"/>
      <c r="E1649" s="5"/>
      <c r="F1649" s="16"/>
      <c r="G1649" s="16"/>
      <c r="H1649" s="5"/>
      <c r="I1649" s="5"/>
      <c r="J1649" s="5"/>
      <c r="K1649" s="5"/>
      <c r="L1649" s="5"/>
      <c r="M1649" s="48"/>
      <c r="N1649" s="18"/>
      <c r="O1649" s="22"/>
      <c r="P1649" s="22"/>
      <c r="Q1649" s="8"/>
      <c r="R1649" s="8"/>
      <c r="S1649" s="8"/>
      <c r="T1649" s="8"/>
      <c r="U1649" s="8"/>
      <c r="V1649" s="8"/>
      <c r="W1649" s="8"/>
      <c r="X1649" s="8"/>
      <c r="Y1649" s="8"/>
      <c r="Z1649" s="8"/>
      <c r="AA1649" s="8"/>
      <c r="AB1649" s="8"/>
      <c r="AC1649" s="8"/>
      <c r="AD1649" s="24"/>
      <c r="AE1649" s="24"/>
      <c r="AF1649" s="8"/>
      <c r="AG1649" s="8"/>
      <c r="AH1649" s="8"/>
      <c r="AI1649" s="8"/>
    </row>
    <row r="1650" spans="1:35" ht="15.75" customHeight="1" x14ac:dyDescent="0.25">
      <c r="A1650" s="8"/>
      <c r="B1650" s="8"/>
      <c r="C1650" s="8"/>
      <c r="D1650" s="8"/>
      <c r="E1650" s="5"/>
      <c r="F1650" s="16"/>
      <c r="G1650" s="16"/>
      <c r="H1650" s="5"/>
      <c r="I1650" s="5"/>
      <c r="J1650" s="5"/>
      <c r="K1650" s="5"/>
      <c r="L1650" s="5"/>
      <c r="M1650" s="48"/>
      <c r="N1650" s="18"/>
      <c r="O1650" s="22"/>
      <c r="P1650" s="22"/>
      <c r="Q1650" s="8"/>
      <c r="R1650" s="8"/>
      <c r="S1650" s="8"/>
      <c r="T1650" s="8"/>
      <c r="U1650" s="8"/>
      <c r="V1650" s="8"/>
      <c r="W1650" s="8"/>
      <c r="X1650" s="8"/>
      <c r="Y1650" s="8"/>
      <c r="Z1650" s="8"/>
      <c r="AA1650" s="8"/>
      <c r="AB1650" s="8"/>
      <c r="AC1650" s="8"/>
      <c r="AD1650" s="24"/>
      <c r="AE1650" s="24"/>
      <c r="AF1650" s="8"/>
      <c r="AG1650" s="8"/>
      <c r="AH1650" s="8"/>
      <c r="AI1650" s="8"/>
    </row>
    <row r="1651" spans="1:35" ht="15.75" customHeight="1" x14ac:dyDescent="0.25">
      <c r="A1651" s="8"/>
      <c r="B1651" s="8"/>
      <c r="C1651" s="8"/>
      <c r="D1651" s="8"/>
      <c r="E1651" s="5"/>
      <c r="F1651" s="16"/>
      <c r="G1651" s="16"/>
      <c r="H1651" s="5"/>
      <c r="I1651" s="5"/>
      <c r="J1651" s="5"/>
      <c r="K1651" s="5"/>
      <c r="L1651" s="5"/>
      <c r="M1651" s="48"/>
      <c r="N1651" s="18"/>
      <c r="O1651" s="22"/>
      <c r="P1651" s="22"/>
      <c r="Q1651" s="8"/>
      <c r="R1651" s="8"/>
      <c r="S1651" s="8"/>
      <c r="T1651" s="8"/>
      <c r="U1651" s="8"/>
      <c r="V1651" s="8"/>
      <c r="W1651" s="8"/>
      <c r="X1651" s="8"/>
      <c r="Y1651" s="8"/>
      <c r="Z1651" s="8"/>
      <c r="AA1651" s="8"/>
      <c r="AB1651" s="8"/>
      <c r="AC1651" s="8"/>
      <c r="AD1651" s="24"/>
      <c r="AE1651" s="24"/>
      <c r="AF1651" s="8"/>
      <c r="AG1651" s="8"/>
      <c r="AH1651" s="8"/>
      <c r="AI1651" s="8"/>
    </row>
    <row r="1652" spans="1:35" ht="15.75" customHeight="1" x14ac:dyDescent="0.25">
      <c r="A1652" s="8"/>
      <c r="B1652" s="8"/>
      <c r="C1652" s="8"/>
      <c r="D1652" s="8"/>
      <c r="E1652" s="5"/>
      <c r="F1652" s="16"/>
      <c r="G1652" s="16"/>
      <c r="H1652" s="5"/>
      <c r="I1652" s="5"/>
      <c r="J1652" s="5"/>
      <c r="K1652" s="5"/>
      <c r="L1652" s="5"/>
      <c r="M1652" s="48"/>
      <c r="N1652" s="18"/>
      <c r="O1652" s="22"/>
      <c r="P1652" s="22"/>
      <c r="Q1652" s="8"/>
      <c r="R1652" s="8"/>
      <c r="S1652" s="8"/>
      <c r="T1652" s="8"/>
      <c r="U1652" s="8"/>
      <c r="V1652" s="8"/>
      <c r="W1652" s="8"/>
      <c r="X1652" s="8"/>
      <c r="Y1652" s="8"/>
      <c r="Z1652" s="8"/>
      <c r="AA1652" s="8"/>
      <c r="AB1652" s="8"/>
      <c r="AC1652" s="8"/>
      <c r="AD1652" s="24"/>
      <c r="AE1652" s="24"/>
      <c r="AF1652" s="8"/>
      <c r="AG1652" s="8"/>
      <c r="AH1652" s="8"/>
      <c r="AI1652" s="8"/>
    </row>
    <row r="1653" spans="1:35" ht="15.75" customHeight="1" x14ac:dyDescent="0.25">
      <c r="A1653" s="8"/>
      <c r="B1653" s="8"/>
      <c r="C1653" s="8"/>
      <c r="D1653" s="8"/>
      <c r="E1653" s="5"/>
      <c r="F1653" s="16"/>
      <c r="G1653" s="16"/>
      <c r="H1653" s="5"/>
      <c r="I1653" s="5"/>
      <c r="J1653" s="5"/>
      <c r="K1653" s="5"/>
      <c r="L1653" s="5"/>
      <c r="M1653" s="48"/>
      <c r="N1653" s="18"/>
      <c r="O1653" s="22"/>
      <c r="P1653" s="22"/>
      <c r="Q1653" s="8"/>
      <c r="R1653" s="8"/>
      <c r="S1653" s="8"/>
      <c r="T1653" s="8"/>
      <c r="U1653" s="8"/>
      <c r="V1653" s="8"/>
      <c r="W1653" s="8"/>
      <c r="X1653" s="8"/>
      <c r="Y1653" s="8"/>
      <c r="Z1653" s="8"/>
      <c r="AA1653" s="8"/>
      <c r="AB1653" s="8"/>
      <c r="AC1653" s="8"/>
      <c r="AD1653" s="24"/>
      <c r="AE1653" s="24"/>
      <c r="AF1653" s="8"/>
      <c r="AG1653" s="8"/>
      <c r="AH1653" s="8"/>
      <c r="AI1653" s="8"/>
    </row>
    <row r="1654" spans="1:35" ht="15.75" customHeight="1" x14ac:dyDescent="0.25">
      <c r="A1654" s="8"/>
      <c r="B1654" s="8"/>
      <c r="C1654" s="8"/>
      <c r="D1654" s="8"/>
      <c r="E1654" s="5"/>
      <c r="F1654" s="16"/>
      <c r="G1654" s="16"/>
      <c r="H1654" s="5"/>
      <c r="I1654" s="5"/>
      <c r="J1654" s="5"/>
      <c r="K1654" s="5"/>
      <c r="L1654" s="5"/>
      <c r="M1654" s="48"/>
      <c r="N1654" s="18"/>
      <c r="O1654" s="22"/>
      <c r="P1654" s="22"/>
      <c r="Q1654" s="8"/>
      <c r="R1654" s="8"/>
      <c r="S1654" s="8"/>
      <c r="T1654" s="8"/>
      <c r="U1654" s="8"/>
      <c r="V1654" s="8"/>
      <c r="W1654" s="8"/>
      <c r="X1654" s="8"/>
      <c r="Y1654" s="8"/>
      <c r="Z1654" s="8"/>
      <c r="AA1654" s="8"/>
      <c r="AB1654" s="8"/>
      <c r="AC1654" s="8"/>
      <c r="AD1654" s="24"/>
      <c r="AE1654" s="24"/>
      <c r="AF1654" s="8"/>
      <c r="AG1654" s="8"/>
      <c r="AH1654" s="8"/>
      <c r="AI1654" s="8"/>
    </row>
    <row r="1655" spans="1:35" ht="15.75" customHeight="1" x14ac:dyDescent="0.25">
      <c r="A1655" s="8"/>
      <c r="B1655" s="8"/>
      <c r="C1655" s="8"/>
      <c r="D1655" s="8"/>
      <c r="E1655" s="5"/>
      <c r="F1655" s="16"/>
      <c r="G1655" s="16"/>
      <c r="H1655" s="5"/>
      <c r="I1655" s="5"/>
      <c r="J1655" s="5"/>
      <c r="K1655" s="5"/>
      <c r="L1655" s="5"/>
      <c r="M1655" s="48"/>
      <c r="N1655" s="18"/>
      <c r="O1655" s="22"/>
      <c r="P1655" s="22"/>
      <c r="Q1655" s="8"/>
      <c r="R1655" s="8"/>
      <c r="S1655" s="8"/>
      <c r="T1655" s="8"/>
      <c r="U1655" s="8"/>
      <c r="V1655" s="8"/>
      <c r="W1655" s="8"/>
      <c r="X1655" s="8"/>
      <c r="Y1655" s="8"/>
      <c r="Z1655" s="8"/>
      <c r="AA1655" s="8"/>
      <c r="AB1655" s="8"/>
      <c r="AC1655" s="8"/>
      <c r="AD1655" s="24"/>
      <c r="AE1655" s="24"/>
      <c r="AF1655" s="8"/>
      <c r="AG1655" s="8"/>
      <c r="AH1655" s="8"/>
      <c r="AI1655" s="8"/>
    </row>
    <row r="1656" spans="1:35" ht="15.75" customHeight="1" x14ac:dyDescent="0.25">
      <c r="A1656" s="8"/>
      <c r="B1656" s="8"/>
      <c r="C1656" s="8"/>
      <c r="D1656" s="8"/>
      <c r="E1656" s="5"/>
      <c r="F1656" s="16"/>
      <c r="G1656" s="16"/>
      <c r="H1656" s="5"/>
      <c r="I1656" s="5"/>
      <c r="J1656" s="5"/>
      <c r="K1656" s="5"/>
      <c r="L1656" s="5"/>
      <c r="M1656" s="48"/>
      <c r="N1656" s="18"/>
      <c r="O1656" s="22"/>
      <c r="P1656" s="22"/>
      <c r="Q1656" s="8"/>
      <c r="R1656" s="8"/>
      <c r="S1656" s="8"/>
      <c r="T1656" s="8"/>
      <c r="U1656" s="8"/>
      <c r="V1656" s="8"/>
      <c r="W1656" s="8"/>
      <c r="X1656" s="8"/>
      <c r="Y1656" s="8"/>
      <c r="Z1656" s="8"/>
      <c r="AA1656" s="8"/>
      <c r="AB1656" s="8"/>
      <c r="AC1656" s="8"/>
      <c r="AD1656" s="24"/>
      <c r="AE1656" s="24"/>
      <c r="AF1656" s="8"/>
      <c r="AG1656" s="8"/>
      <c r="AH1656" s="8"/>
      <c r="AI1656" s="8"/>
    </row>
    <row r="1657" spans="1:35" ht="15.75" customHeight="1" x14ac:dyDescent="0.25">
      <c r="A1657" s="8"/>
      <c r="B1657" s="8"/>
      <c r="C1657" s="8"/>
      <c r="D1657" s="8"/>
      <c r="E1657" s="5"/>
      <c r="F1657" s="16"/>
      <c r="G1657" s="16"/>
      <c r="H1657" s="5"/>
      <c r="I1657" s="5"/>
      <c r="J1657" s="5"/>
      <c r="K1657" s="5"/>
      <c r="L1657" s="5"/>
      <c r="M1657" s="48"/>
      <c r="N1657" s="18"/>
      <c r="O1657" s="22"/>
      <c r="P1657" s="22"/>
      <c r="Q1657" s="8"/>
      <c r="R1657" s="8"/>
      <c r="S1657" s="8"/>
      <c r="T1657" s="8"/>
      <c r="U1657" s="8"/>
      <c r="V1657" s="8"/>
      <c r="W1657" s="8"/>
      <c r="X1657" s="8"/>
      <c r="Y1657" s="8"/>
      <c r="Z1657" s="8"/>
      <c r="AA1657" s="8"/>
      <c r="AB1657" s="8"/>
      <c r="AC1657" s="8"/>
      <c r="AD1657" s="24"/>
      <c r="AE1657" s="24"/>
      <c r="AF1657" s="8"/>
      <c r="AG1657" s="8"/>
      <c r="AH1657" s="8"/>
      <c r="AI1657" s="8"/>
    </row>
    <row r="1658" spans="1:35" ht="15.75" customHeight="1" x14ac:dyDescent="0.25">
      <c r="A1658" s="8"/>
      <c r="B1658" s="8"/>
      <c r="C1658" s="8"/>
      <c r="D1658" s="8"/>
      <c r="E1658" s="5"/>
      <c r="F1658" s="16"/>
      <c r="G1658" s="16"/>
      <c r="H1658" s="5"/>
      <c r="I1658" s="5"/>
      <c r="J1658" s="5"/>
      <c r="K1658" s="5"/>
      <c r="L1658" s="5"/>
      <c r="M1658" s="48"/>
      <c r="N1658" s="18"/>
      <c r="O1658" s="22"/>
      <c r="P1658" s="22"/>
      <c r="Q1658" s="8"/>
      <c r="R1658" s="8"/>
      <c r="S1658" s="8"/>
      <c r="T1658" s="8"/>
      <c r="U1658" s="8"/>
      <c r="V1658" s="8"/>
      <c r="W1658" s="8"/>
      <c r="X1658" s="8"/>
      <c r="Y1658" s="8"/>
      <c r="Z1658" s="8"/>
      <c r="AA1658" s="8"/>
      <c r="AB1658" s="8"/>
      <c r="AC1658" s="8"/>
      <c r="AD1658" s="24"/>
      <c r="AE1658" s="24"/>
      <c r="AF1658" s="8"/>
      <c r="AG1658" s="8"/>
      <c r="AH1658" s="8"/>
      <c r="AI1658" s="8"/>
    </row>
    <row r="1659" spans="1:35" ht="15.75" customHeight="1" x14ac:dyDescent="0.25">
      <c r="A1659" s="8"/>
      <c r="B1659" s="8"/>
      <c r="C1659" s="8"/>
      <c r="D1659" s="8"/>
      <c r="E1659" s="5"/>
      <c r="F1659" s="16"/>
      <c r="G1659" s="16"/>
      <c r="H1659" s="5"/>
      <c r="I1659" s="5"/>
      <c r="J1659" s="5"/>
      <c r="K1659" s="5"/>
      <c r="L1659" s="5"/>
      <c r="M1659" s="48"/>
      <c r="N1659" s="18"/>
      <c r="O1659" s="22"/>
      <c r="P1659" s="22"/>
      <c r="Q1659" s="8"/>
      <c r="R1659" s="8"/>
      <c r="S1659" s="8"/>
      <c r="T1659" s="8"/>
      <c r="U1659" s="8"/>
      <c r="V1659" s="8"/>
      <c r="W1659" s="8"/>
      <c r="X1659" s="8"/>
      <c r="Y1659" s="8"/>
      <c r="Z1659" s="8"/>
      <c r="AA1659" s="8"/>
      <c r="AB1659" s="8"/>
      <c r="AC1659" s="8"/>
      <c r="AD1659" s="24"/>
      <c r="AE1659" s="24"/>
      <c r="AF1659" s="8"/>
      <c r="AG1659" s="8"/>
      <c r="AH1659" s="8"/>
      <c r="AI1659" s="8"/>
    </row>
    <row r="1660" spans="1:35" ht="15.75" customHeight="1" x14ac:dyDescent="0.25">
      <c r="A1660" s="8"/>
      <c r="B1660" s="8"/>
      <c r="C1660" s="8"/>
      <c r="D1660" s="8"/>
      <c r="E1660" s="5"/>
      <c r="F1660" s="16"/>
      <c r="G1660" s="16"/>
      <c r="H1660" s="5"/>
      <c r="I1660" s="5"/>
      <c r="J1660" s="5"/>
      <c r="K1660" s="5"/>
      <c r="L1660" s="5"/>
      <c r="M1660" s="48"/>
      <c r="N1660" s="18"/>
      <c r="O1660" s="22"/>
      <c r="P1660" s="22"/>
      <c r="Q1660" s="8"/>
      <c r="R1660" s="8"/>
      <c r="S1660" s="8"/>
      <c r="T1660" s="8"/>
      <c r="U1660" s="8"/>
      <c r="V1660" s="8"/>
      <c r="W1660" s="8"/>
      <c r="X1660" s="8"/>
      <c r="Y1660" s="8"/>
      <c r="Z1660" s="8"/>
      <c r="AA1660" s="8"/>
      <c r="AB1660" s="8"/>
      <c r="AC1660" s="8"/>
      <c r="AD1660" s="24"/>
      <c r="AE1660" s="24"/>
      <c r="AF1660" s="8"/>
      <c r="AG1660" s="8"/>
      <c r="AH1660" s="8"/>
      <c r="AI1660" s="8"/>
    </row>
    <row r="1661" spans="1:35" ht="15.75" customHeight="1" x14ac:dyDescent="0.25">
      <c r="A1661" s="8"/>
      <c r="B1661" s="8"/>
      <c r="C1661" s="8"/>
      <c r="D1661" s="8"/>
      <c r="E1661" s="5"/>
      <c r="F1661" s="16"/>
      <c r="G1661" s="16"/>
      <c r="H1661" s="5"/>
      <c r="I1661" s="5"/>
      <c r="J1661" s="5"/>
      <c r="K1661" s="5"/>
      <c r="L1661" s="5"/>
      <c r="M1661" s="48"/>
      <c r="N1661" s="18"/>
      <c r="O1661" s="22"/>
      <c r="P1661" s="22"/>
      <c r="Q1661" s="8"/>
      <c r="R1661" s="8"/>
      <c r="S1661" s="8"/>
      <c r="T1661" s="8"/>
      <c r="U1661" s="8"/>
      <c r="V1661" s="8"/>
      <c r="W1661" s="8"/>
      <c r="X1661" s="8"/>
      <c r="Y1661" s="8"/>
      <c r="Z1661" s="8"/>
      <c r="AA1661" s="8"/>
      <c r="AB1661" s="8"/>
      <c r="AC1661" s="8"/>
      <c r="AD1661" s="24"/>
      <c r="AE1661" s="24"/>
      <c r="AF1661" s="8"/>
      <c r="AG1661" s="8"/>
      <c r="AH1661" s="8"/>
      <c r="AI1661" s="8"/>
    </row>
    <row r="1662" spans="1:35" ht="15.75" customHeight="1" x14ac:dyDescent="0.25">
      <c r="A1662" s="8"/>
      <c r="B1662" s="8"/>
      <c r="C1662" s="8"/>
      <c r="D1662" s="8"/>
      <c r="E1662" s="5"/>
      <c r="F1662" s="16"/>
      <c r="G1662" s="16"/>
      <c r="H1662" s="5"/>
      <c r="I1662" s="5"/>
      <c r="J1662" s="5"/>
      <c r="K1662" s="5"/>
      <c r="L1662" s="5"/>
      <c r="M1662" s="48"/>
      <c r="N1662" s="18"/>
      <c r="O1662" s="22"/>
      <c r="P1662" s="22"/>
      <c r="Q1662" s="8"/>
      <c r="R1662" s="8"/>
      <c r="S1662" s="8"/>
      <c r="T1662" s="8"/>
      <c r="U1662" s="8"/>
      <c r="V1662" s="8"/>
      <c r="W1662" s="8"/>
      <c r="X1662" s="8"/>
      <c r="Y1662" s="8"/>
      <c r="Z1662" s="8"/>
      <c r="AA1662" s="8"/>
      <c r="AB1662" s="8"/>
      <c r="AC1662" s="8"/>
      <c r="AD1662" s="24"/>
      <c r="AE1662" s="24"/>
      <c r="AF1662" s="8"/>
      <c r="AG1662" s="8"/>
      <c r="AH1662" s="8"/>
      <c r="AI1662" s="8"/>
    </row>
    <row r="1663" spans="1:35" ht="15.75" customHeight="1" x14ac:dyDescent="0.25">
      <c r="A1663" s="8"/>
      <c r="B1663" s="8"/>
      <c r="C1663" s="8"/>
      <c r="D1663" s="8"/>
      <c r="E1663" s="5"/>
      <c r="F1663" s="16"/>
      <c r="G1663" s="16"/>
      <c r="H1663" s="5"/>
      <c r="I1663" s="5"/>
      <c r="J1663" s="5"/>
      <c r="K1663" s="5"/>
      <c r="L1663" s="5"/>
      <c r="M1663" s="48"/>
      <c r="N1663" s="18"/>
      <c r="O1663" s="22"/>
      <c r="P1663" s="22"/>
      <c r="Q1663" s="8"/>
      <c r="R1663" s="8"/>
      <c r="S1663" s="8"/>
      <c r="T1663" s="8"/>
      <c r="U1663" s="8"/>
      <c r="V1663" s="8"/>
      <c r="W1663" s="8"/>
      <c r="X1663" s="8"/>
      <c r="Y1663" s="8"/>
      <c r="Z1663" s="8"/>
      <c r="AA1663" s="8"/>
      <c r="AB1663" s="8"/>
      <c r="AC1663" s="8"/>
      <c r="AD1663" s="24"/>
      <c r="AE1663" s="24"/>
      <c r="AF1663" s="8"/>
      <c r="AG1663" s="8"/>
      <c r="AH1663" s="8"/>
      <c r="AI1663" s="8"/>
    </row>
    <row r="1664" spans="1:35" ht="15.75" customHeight="1" x14ac:dyDescent="0.25">
      <c r="A1664" s="8"/>
      <c r="B1664" s="8"/>
      <c r="C1664" s="8"/>
      <c r="D1664" s="8"/>
      <c r="E1664" s="5"/>
      <c r="F1664" s="16"/>
      <c r="G1664" s="16"/>
      <c r="H1664" s="5"/>
      <c r="I1664" s="5"/>
      <c r="J1664" s="5"/>
      <c r="K1664" s="5"/>
      <c r="L1664" s="5"/>
      <c r="M1664" s="48"/>
      <c r="N1664" s="18"/>
      <c r="O1664" s="22"/>
      <c r="P1664" s="22"/>
      <c r="Q1664" s="8"/>
      <c r="R1664" s="8"/>
      <c r="S1664" s="8"/>
      <c r="T1664" s="8"/>
      <c r="U1664" s="8"/>
      <c r="V1664" s="8"/>
      <c r="W1664" s="8"/>
      <c r="X1664" s="8"/>
      <c r="Y1664" s="8"/>
      <c r="Z1664" s="8"/>
      <c r="AA1664" s="8"/>
      <c r="AB1664" s="8"/>
      <c r="AC1664" s="8"/>
      <c r="AD1664" s="24"/>
      <c r="AE1664" s="24"/>
      <c r="AF1664" s="8"/>
      <c r="AG1664" s="8"/>
      <c r="AH1664" s="8"/>
      <c r="AI1664" s="8"/>
    </row>
    <row r="1665" spans="1:35" ht="15.75" customHeight="1" x14ac:dyDescent="0.25">
      <c r="A1665" s="8"/>
      <c r="B1665" s="8"/>
      <c r="C1665" s="8"/>
      <c r="D1665" s="8"/>
      <c r="E1665" s="5"/>
      <c r="F1665" s="16"/>
      <c r="G1665" s="16"/>
      <c r="H1665" s="5"/>
      <c r="I1665" s="5"/>
      <c r="J1665" s="5"/>
      <c r="K1665" s="5"/>
      <c r="L1665" s="5"/>
      <c r="M1665" s="48"/>
      <c r="N1665" s="18"/>
      <c r="O1665" s="22"/>
      <c r="P1665" s="22"/>
      <c r="Q1665" s="8"/>
      <c r="R1665" s="8"/>
      <c r="S1665" s="8"/>
      <c r="T1665" s="8"/>
      <c r="U1665" s="8"/>
      <c r="V1665" s="8"/>
      <c r="W1665" s="8"/>
      <c r="X1665" s="8"/>
      <c r="Y1665" s="8"/>
      <c r="Z1665" s="8"/>
      <c r="AA1665" s="8"/>
      <c r="AB1665" s="8"/>
      <c r="AC1665" s="8"/>
      <c r="AD1665" s="24"/>
      <c r="AE1665" s="24"/>
      <c r="AF1665" s="8"/>
      <c r="AG1665" s="8"/>
      <c r="AH1665" s="8"/>
      <c r="AI1665" s="8"/>
    </row>
    <row r="1666" spans="1:35" ht="15.75" customHeight="1" x14ac:dyDescent="0.25">
      <c r="A1666" s="8"/>
      <c r="B1666" s="8"/>
      <c r="C1666" s="8"/>
      <c r="D1666" s="8"/>
      <c r="E1666" s="5"/>
      <c r="F1666" s="16"/>
      <c r="G1666" s="16"/>
      <c r="H1666" s="5"/>
      <c r="I1666" s="5"/>
      <c r="J1666" s="5"/>
      <c r="K1666" s="5"/>
      <c r="L1666" s="5"/>
      <c r="M1666" s="48"/>
      <c r="N1666" s="18"/>
      <c r="O1666" s="22"/>
      <c r="P1666" s="22"/>
      <c r="Q1666" s="8"/>
      <c r="R1666" s="8"/>
      <c r="S1666" s="8"/>
      <c r="T1666" s="8"/>
      <c r="U1666" s="8"/>
      <c r="V1666" s="8"/>
      <c r="W1666" s="8"/>
      <c r="X1666" s="8"/>
      <c r="Y1666" s="8"/>
      <c r="Z1666" s="8"/>
      <c r="AA1666" s="8"/>
      <c r="AB1666" s="8"/>
      <c r="AC1666" s="8"/>
      <c r="AD1666" s="24"/>
      <c r="AE1666" s="24"/>
      <c r="AF1666" s="8"/>
      <c r="AG1666" s="8"/>
      <c r="AH1666" s="8"/>
      <c r="AI1666" s="8"/>
    </row>
    <row r="1667" spans="1:35" ht="15.75" customHeight="1" x14ac:dyDescent="0.25">
      <c r="A1667" s="8"/>
      <c r="B1667" s="8"/>
      <c r="C1667" s="8"/>
      <c r="D1667" s="8"/>
      <c r="E1667" s="5"/>
      <c r="F1667" s="16"/>
      <c r="G1667" s="16"/>
      <c r="H1667" s="5"/>
      <c r="I1667" s="5"/>
      <c r="J1667" s="5"/>
      <c r="K1667" s="5"/>
      <c r="L1667" s="5"/>
      <c r="M1667" s="48"/>
      <c r="N1667" s="18"/>
      <c r="O1667" s="22"/>
      <c r="P1667" s="22"/>
      <c r="Q1667" s="8"/>
      <c r="R1667" s="8"/>
      <c r="S1667" s="8"/>
      <c r="T1667" s="8"/>
      <c r="U1667" s="8"/>
      <c r="V1667" s="8"/>
      <c r="W1667" s="8"/>
      <c r="X1667" s="8"/>
      <c r="Y1667" s="8"/>
      <c r="Z1667" s="8"/>
      <c r="AA1667" s="8"/>
      <c r="AB1667" s="8"/>
      <c r="AC1667" s="8"/>
      <c r="AD1667" s="24"/>
      <c r="AE1667" s="24"/>
      <c r="AF1667" s="8"/>
      <c r="AG1667" s="8"/>
      <c r="AH1667" s="8"/>
      <c r="AI1667" s="8"/>
    </row>
    <row r="1668" spans="1:35" ht="15.75" customHeight="1" x14ac:dyDescent="0.25">
      <c r="A1668" s="8"/>
      <c r="B1668" s="8"/>
      <c r="C1668" s="8"/>
      <c r="D1668" s="8"/>
      <c r="E1668" s="5"/>
      <c r="F1668" s="16"/>
      <c r="G1668" s="16"/>
      <c r="H1668" s="5"/>
      <c r="I1668" s="5"/>
      <c r="J1668" s="5"/>
      <c r="K1668" s="5"/>
      <c r="L1668" s="5"/>
      <c r="M1668" s="48"/>
      <c r="N1668" s="18"/>
      <c r="O1668" s="22"/>
      <c r="P1668" s="22"/>
      <c r="Q1668" s="8"/>
      <c r="R1668" s="8"/>
      <c r="S1668" s="8"/>
      <c r="T1668" s="8"/>
      <c r="U1668" s="8"/>
      <c r="V1668" s="8"/>
      <c r="W1668" s="8"/>
      <c r="X1668" s="8"/>
      <c r="Y1668" s="8"/>
      <c r="Z1668" s="8"/>
      <c r="AA1668" s="8"/>
      <c r="AB1668" s="8"/>
      <c r="AC1668" s="8"/>
      <c r="AD1668" s="24"/>
      <c r="AE1668" s="24"/>
      <c r="AF1668" s="8"/>
      <c r="AG1668" s="8"/>
      <c r="AH1668" s="8"/>
      <c r="AI1668" s="8"/>
    </row>
    <row r="1669" spans="1:35" ht="15.75" customHeight="1" x14ac:dyDescent="0.25">
      <c r="A1669" s="8"/>
      <c r="B1669" s="8"/>
      <c r="C1669" s="8"/>
      <c r="D1669" s="8"/>
      <c r="E1669" s="5"/>
      <c r="F1669" s="16"/>
      <c r="G1669" s="16"/>
      <c r="H1669" s="5"/>
      <c r="I1669" s="5"/>
      <c r="J1669" s="5"/>
      <c r="K1669" s="5"/>
      <c r="L1669" s="5"/>
      <c r="M1669" s="48"/>
      <c r="N1669" s="18"/>
      <c r="O1669" s="22"/>
      <c r="P1669" s="22"/>
      <c r="Q1669" s="8"/>
      <c r="R1669" s="8"/>
      <c r="S1669" s="8"/>
      <c r="T1669" s="8"/>
      <c r="U1669" s="8"/>
      <c r="V1669" s="8"/>
      <c r="W1669" s="8"/>
      <c r="X1669" s="8"/>
      <c r="Y1669" s="8"/>
      <c r="Z1669" s="8"/>
      <c r="AA1669" s="8"/>
      <c r="AB1669" s="8"/>
      <c r="AC1669" s="8"/>
      <c r="AD1669" s="24"/>
      <c r="AE1669" s="24"/>
      <c r="AF1669" s="8"/>
      <c r="AG1669" s="8"/>
      <c r="AH1669" s="8"/>
      <c r="AI1669" s="8"/>
    </row>
    <row r="1670" spans="1:35" ht="15.75" customHeight="1" x14ac:dyDescent="0.25">
      <c r="A1670" s="8"/>
      <c r="B1670" s="8"/>
      <c r="C1670" s="8"/>
      <c r="D1670" s="8"/>
      <c r="E1670" s="5"/>
      <c r="F1670" s="16"/>
      <c r="G1670" s="16"/>
      <c r="H1670" s="5"/>
      <c r="I1670" s="5"/>
      <c r="J1670" s="5"/>
      <c r="K1670" s="5"/>
      <c r="L1670" s="5"/>
      <c r="M1670" s="48"/>
      <c r="N1670" s="18"/>
      <c r="O1670" s="22"/>
      <c r="P1670" s="22"/>
      <c r="Q1670" s="8"/>
      <c r="R1670" s="8"/>
      <c r="S1670" s="8"/>
      <c r="T1670" s="8"/>
      <c r="U1670" s="8"/>
      <c r="V1670" s="8"/>
      <c r="W1670" s="8"/>
      <c r="X1670" s="8"/>
      <c r="Y1670" s="8"/>
      <c r="Z1670" s="8"/>
      <c r="AA1670" s="8"/>
      <c r="AB1670" s="8"/>
      <c r="AC1670" s="8"/>
      <c r="AD1670" s="24"/>
      <c r="AE1670" s="24"/>
      <c r="AF1670" s="8"/>
      <c r="AG1670" s="8"/>
      <c r="AH1670" s="8"/>
      <c r="AI1670" s="8"/>
    </row>
    <row r="1671" spans="1:35" ht="15.75" customHeight="1" x14ac:dyDescent="0.25">
      <c r="A1671" s="8"/>
      <c r="B1671" s="8"/>
      <c r="C1671" s="8"/>
      <c r="D1671" s="8"/>
      <c r="E1671" s="5"/>
      <c r="F1671" s="16"/>
      <c r="G1671" s="16"/>
      <c r="H1671" s="5"/>
      <c r="I1671" s="5"/>
      <c r="J1671" s="5"/>
      <c r="K1671" s="5"/>
      <c r="L1671" s="5"/>
      <c r="M1671" s="48"/>
      <c r="N1671" s="18"/>
      <c r="O1671" s="22"/>
      <c r="P1671" s="22"/>
      <c r="Q1671" s="8"/>
      <c r="R1671" s="8"/>
      <c r="S1671" s="8"/>
      <c r="T1671" s="8"/>
      <c r="U1671" s="8"/>
      <c r="V1671" s="8"/>
      <c r="W1671" s="8"/>
      <c r="X1671" s="8"/>
      <c r="Y1671" s="8"/>
      <c r="Z1671" s="8"/>
      <c r="AA1671" s="8"/>
      <c r="AB1671" s="8"/>
      <c r="AC1671" s="8"/>
      <c r="AD1671" s="24"/>
      <c r="AE1671" s="24"/>
      <c r="AF1671" s="8"/>
      <c r="AG1671" s="8"/>
      <c r="AH1671" s="8"/>
      <c r="AI1671" s="8"/>
    </row>
    <row r="1672" spans="1:35" ht="15.75" customHeight="1" x14ac:dyDescent="0.25">
      <c r="A1672" s="8"/>
      <c r="B1672" s="8"/>
      <c r="C1672" s="8"/>
      <c r="D1672" s="8"/>
      <c r="E1672" s="5"/>
      <c r="F1672" s="16"/>
      <c r="G1672" s="16"/>
      <c r="H1672" s="5"/>
      <c r="I1672" s="5"/>
      <c r="J1672" s="5"/>
      <c r="K1672" s="5"/>
      <c r="L1672" s="5"/>
      <c r="M1672" s="48"/>
      <c r="N1672" s="18"/>
      <c r="O1672" s="22"/>
      <c r="P1672" s="22"/>
      <c r="Q1672" s="8"/>
      <c r="R1672" s="8"/>
      <c r="S1672" s="8"/>
      <c r="T1672" s="8"/>
      <c r="U1672" s="8"/>
      <c r="V1672" s="8"/>
      <c r="W1672" s="8"/>
      <c r="X1672" s="8"/>
      <c r="Y1672" s="8"/>
      <c r="Z1672" s="8"/>
      <c r="AA1672" s="8"/>
      <c r="AB1672" s="8"/>
      <c r="AC1672" s="8"/>
      <c r="AD1672" s="24"/>
      <c r="AE1672" s="24"/>
      <c r="AF1672" s="8"/>
      <c r="AG1672" s="8"/>
      <c r="AH1672" s="8"/>
      <c r="AI1672" s="8"/>
    </row>
    <row r="1673" spans="1:35" ht="15.75" customHeight="1" x14ac:dyDescent="0.25">
      <c r="A1673" s="8"/>
      <c r="B1673" s="8"/>
      <c r="C1673" s="8"/>
      <c r="D1673" s="8"/>
      <c r="E1673" s="5"/>
      <c r="F1673" s="16"/>
      <c r="G1673" s="16"/>
      <c r="H1673" s="5"/>
      <c r="I1673" s="5"/>
      <c r="J1673" s="5"/>
      <c r="K1673" s="5"/>
      <c r="L1673" s="5"/>
      <c r="M1673" s="48"/>
      <c r="N1673" s="18"/>
      <c r="O1673" s="22"/>
      <c r="P1673" s="22"/>
      <c r="Q1673" s="8"/>
      <c r="R1673" s="8"/>
      <c r="S1673" s="8"/>
      <c r="T1673" s="8"/>
      <c r="U1673" s="8"/>
      <c r="V1673" s="8"/>
      <c r="W1673" s="8"/>
      <c r="X1673" s="8"/>
      <c r="Y1673" s="8"/>
      <c r="Z1673" s="8"/>
      <c r="AA1673" s="8"/>
      <c r="AB1673" s="8"/>
      <c r="AC1673" s="8"/>
      <c r="AD1673" s="24"/>
      <c r="AE1673" s="24"/>
      <c r="AF1673" s="8"/>
      <c r="AG1673" s="8"/>
      <c r="AH1673" s="8"/>
      <c r="AI1673" s="8"/>
    </row>
    <row r="1674" spans="1:35" ht="15.75" customHeight="1" x14ac:dyDescent="0.25">
      <c r="A1674" s="8"/>
      <c r="B1674" s="8"/>
      <c r="C1674" s="8"/>
      <c r="D1674" s="8"/>
      <c r="E1674" s="5"/>
      <c r="F1674" s="16"/>
      <c r="G1674" s="16"/>
      <c r="H1674" s="5"/>
      <c r="I1674" s="5"/>
      <c r="J1674" s="5"/>
      <c r="K1674" s="5"/>
      <c r="L1674" s="5"/>
      <c r="M1674" s="48"/>
      <c r="N1674" s="18"/>
      <c r="O1674" s="22"/>
      <c r="P1674" s="22"/>
      <c r="Q1674" s="8"/>
      <c r="R1674" s="8"/>
      <c r="S1674" s="8"/>
      <c r="T1674" s="8"/>
      <c r="U1674" s="8"/>
      <c r="V1674" s="8"/>
      <c r="W1674" s="8"/>
      <c r="X1674" s="8"/>
      <c r="Y1674" s="8"/>
      <c r="Z1674" s="8"/>
      <c r="AA1674" s="8"/>
      <c r="AB1674" s="8"/>
      <c r="AC1674" s="8"/>
      <c r="AD1674" s="24"/>
      <c r="AE1674" s="24"/>
      <c r="AF1674" s="8"/>
      <c r="AG1674" s="8"/>
      <c r="AH1674" s="8"/>
      <c r="AI1674" s="8"/>
    </row>
    <row r="1675" spans="1:35" ht="15.75" customHeight="1" x14ac:dyDescent="0.25">
      <c r="A1675" s="8"/>
      <c r="B1675" s="8"/>
      <c r="C1675" s="8"/>
      <c r="D1675" s="8"/>
      <c r="E1675" s="5"/>
      <c r="F1675" s="16"/>
      <c r="G1675" s="16"/>
      <c r="H1675" s="5"/>
      <c r="I1675" s="5"/>
      <c r="J1675" s="5"/>
      <c r="K1675" s="5"/>
      <c r="L1675" s="5"/>
      <c r="M1675" s="48"/>
      <c r="N1675" s="18"/>
      <c r="O1675" s="22"/>
      <c r="P1675" s="22"/>
      <c r="Q1675" s="8"/>
      <c r="R1675" s="8"/>
      <c r="S1675" s="8"/>
      <c r="T1675" s="8"/>
      <c r="U1675" s="8"/>
      <c r="V1675" s="8"/>
      <c r="W1675" s="8"/>
      <c r="X1675" s="8"/>
      <c r="Y1675" s="8"/>
      <c r="Z1675" s="8"/>
      <c r="AA1675" s="8"/>
      <c r="AB1675" s="8"/>
      <c r="AC1675" s="8"/>
      <c r="AD1675" s="24"/>
      <c r="AE1675" s="24"/>
      <c r="AF1675" s="8"/>
      <c r="AG1675" s="8"/>
      <c r="AH1675" s="8"/>
      <c r="AI1675" s="8"/>
    </row>
    <row r="1676" spans="1:35" ht="15.75" customHeight="1" x14ac:dyDescent="0.25">
      <c r="A1676" s="8"/>
      <c r="B1676" s="8"/>
      <c r="C1676" s="8"/>
      <c r="D1676" s="8"/>
      <c r="E1676" s="5"/>
      <c r="F1676" s="16"/>
      <c r="G1676" s="16"/>
      <c r="H1676" s="5"/>
      <c r="I1676" s="5"/>
      <c r="J1676" s="5"/>
      <c r="K1676" s="5"/>
      <c r="L1676" s="5"/>
      <c r="M1676" s="48"/>
      <c r="N1676" s="18"/>
      <c r="O1676" s="22"/>
      <c r="P1676" s="22"/>
      <c r="Q1676" s="8"/>
      <c r="R1676" s="8"/>
      <c r="S1676" s="8"/>
      <c r="T1676" s="8"/>
      <c r="U1676" s="8"/>
      <c r="V1676" s="8"/>
      <c r="W1676" s="8"/>
      <c r="X1676" s="8"/>
      <c r="Y1676" s="8"/>
      <c r="Z1676" s="8"/>
      <c r="AA1676" s="8"/>
      <c r="AB1676" s="8"/>
      <c r="AC1676" s="8"/>
      <c r="AD1676" s="24"/>
      <c r="AE1676" s="24"/>
      <c r="AF1676" s="8"/>
      <c r="AG1676" s="8"/>
      <c r="AH1676" s="8"/>
      <c r="AI1676" s="8"/>
    </row>
    <row r="1677" spans="1:35" ht="15.75" customHeight="1" x14ac:dyDescent="0.25">
      <c r="A1677" s="8"/>
      <c r="B1677" s="8"/>
      <c r="C1677" s="8"/>
      <c r="D1677" s="8"/>
      <c r="E1677" s="5"/>
      <c r="F1677" s="16"/>
      <c r="G1677" s="16"/>
      <c r="H1677" s="5"/>
      <c r="I1677" s="5"/>
      <c r="J1677" s="5"/>
      <c r="K1677" s="5"/>
      <c r="L1677" s="5"/>
      <c r="M1677" s="48"/>
      <c r="N1677" s="18"/>
      <c r="O1677" s="22"/>
      <c r="P1677" s="22"/>
      <c r="Q1677" s="8"/>
      <c r="R1677" s="8"/>
      <c r="S1677" s="8"/>
      <c r="T1677" s="8"/>
      <c r="U1677" s="8"/>
      <c r="V1677" s="8"/>
      <c r="W1677" s="8"/>
      <c r="X1677" s="8"/>
      <c r="Y1677" s="8"/>
      <c r="Z1677" s="8"/>
      <c r="AA1677" s="8"/>
      <c r="AB1677" s="8"/>
      <c r="AC1677" s="8"/>
      <c r="AD1677" s="24"/>
      <c r="AE1677" s="24"/>
      <c r="AF1677" s="8"/>
      <c r="AG1677" s="8"/>
      <c r="AH1677" s="8"/>
      <c r="AI1677" s="8"/>
    </row>
    <row r="1678" spans="1:35" ht="15.75" customHeight="1" x14ac:dyDescent="0.25">
      <c r="A1678" s="8"/>
      <c r="B1678" s="8"/>
      <c r="C1678" s="8"/>
      <c r="D1678" s="8"/>
      <c r="E1678" s="5"/>
      <c r="F1678" s="16"/>
      <c r="G1678" s="16"/>
      <c r="H1678" s="5"/>
      <c r="I1678" s="5"/>
      <c r="J1678" s="5"/>
      <c r="K1678" s="5"/>
      <c r="L1678" s="5"/>
      <c r="M1678" s="48"/>
      <c r="N1678" s="18"/>
      <c r="O1678" s="22"/>
      <c r="P1678" s="22"/>
      <c r="Q1678" s="8"/>
      <c r="R1678" s="8"/>
      <c r="S1678" s="8"/>
      <c r="T1678" s="8"/>
      <c r="U1678" s="8"/>
      <c r="V1678" s="8"/>
      <c r="W1678" s="8"/>
      <c r="X1678" s="8"/>
      <c r="Y1678" s="8"/>
      <c r="Z1678" s="8"/>
      <c r="AA1678" s="8"/>
      <c r="AB1678" s="8"/>
      <c r="AC1678" s="8"/>
      <c r="AD1678" s="24"/>
      <c r="AE1678" s="24"/>
      <c r="AF1678" s="8"/>
      <c r="AG1678" s="8"/>
      <c r="AH1678" s="8"/>
      <c r="AI1678" s="8"/>
    </row>
    <row r="1679" spans="1:35" ht="15.75" customHeight="1" x14ac:dyDescent="0.25">
      <c r="A1679" s="8"/>
      <c r="B1679" s="8"/>
      <c r="C1679" s="8"/>
      <c r="D1679" s="8"/>
      <c r="E1679" s="5"/>
      <c r="F1679" s="16"/>
      <c r="G1679" s="16"/>
      <c r="H1679" s="5"/>
      <c r="I1679" s="5"/>
      <c r="J1679" s="5"/>
      <c r="K1679" s="5"/>
      <c r="L1679" s="5"/>
      <c r="M1679" s="48"/>
      <c r="N1679" s="18"/>
      <c r="O1679" s="22"/>
      <c r="P1679" s="22"/>
      <c r="Q1679" s="8"/>
      <c r="R1679" s="8"/>
      <c r="S1679" s="8"/>
      <c r="T1679" s="8"/>
      <c r="U1679" s="8"/>
      <c r="V1679" s="8"/>
      <c r="W1679" s="8"/>
      <c r="X1679" s="8"/>
      <c r="Y1679" s="8"/>
      <c r="Z1679" s="8"/>
      <c r="AA1679" s="8"/>
      <c r="AB1679" s="8"/>
      <c r="AC1679" s="8"/>
      <c r="AD1679" s="24"/>
      <c r="AE1679" s="24"/>
      <c r="AF1679" s="8"/>
      <c r="AG1679" s="8"/>
      <c r="AH1679" s="8"/>
      <c r="AI1679" s="8"/>
    </row>
    <row r="1680" spans="1:35" ht="15.75" customHeight="1" x14ac:dyDescent="0.25">
      <c r="A1680" s="8"/>
      <c r="B1680" s="8"/>
      <c r="C1680" s="8"/>
      <c r="D1680" s="8"/>
      <c r="E1680" s="5"/>
      <c r="F1680" s="16"/>
      <c r="G1680" s="16"/>
      <c r="H1680" s="5"/>
      <c r="I1680" s="741"/>
      <c r="J1680" s="742"/>
      <c r="K1680" s="5"/>
      <c r="L1680" s="5"/>
      <c r="M1680" s="48"/>
      <c r="N1680" s="18"/>
      <c r="O1680" s="22"/>
      <c r="P1680" s="22"/>
      <c r="Q1680" s="8"/>
      <c r="R1680" s="8"/>
      <c r="S1680" s="8"/>
      <c r="T1680" s="8"/>
      <c r="U1680" s="8"/>
      <c r="V1680" s="8"/>
      <c r="W1680" s="8"/>
      <c r="X1680" s="8"/>
      <c r="Y1680" s="8"/>
      <c r="Z1680" s="8"/>
      <c r="AA1680" s="8"/>
      <c r="AB1680" s="8"/>
      <c r="AC1680" s="8"/>
      <c r="AD1680" s="24"/>
      <c r="AE1680" s="24"/>
      <c r="AF1680" s="8"/>
      <c r="AG1680" s="8"/>
      <c r="AH1680" s="8"/>
      <c r="AI1680" s="8"/>
    </row>
    <row r="1681" spans="1:35" ht="15.75" customHeight="1" x14ac:dyDescent="0.25">
      <c r="A1681" s="8"/>
      <c r="B1681" s="8"/>
      <c r="C1681" s="8"/>
      <c r="D1681" s="8"/>
      <c r="E1681" s="5"/>
      <c r="F1681" s="16"/>
      <c r="G1681" s="16"/>
      <c r="H1681" s="5"/>
      <c r="I1681" s="5"/>
      <c r="J1681" s="5"/>
      <c r="K1681" s="5"/>
      <c r="L1681" s="5"/>
      <c r="M1681" s="48"/>
      <c r="N1681" s="18"/>
      <c r="O1681" s="22"/>
      <c r="P1681" s="22"/>
      <c r="Q1681" s="8"/>
      <c r="R1681" s="8"/>
      <c r="S1681" s="8"/>
      <c r="T1681" s="8"/>
      <c r="U1681" s="8"/>
      <c r="V1681" s="8"/>
      <c r="W1681" s="8"/>
      <c r="X1681" s="8"/>
      <c r="Y1681" s="8"/>
      <c r="Z1681" s="8"/>
      <c r="AA1681" s="8"/>
      <c r="AB1681" s="8"/>
      <c r="AC1681" s="8"/>
      <c r="AD1681" s="24"/>
      <c r="AE1681" s="24"/>
      <c r="AF1681" s="8"/>
      <c r="AG1681" s="8"/>
      <c r="AH1681" s="8"/>
      <c r="AI1681" s="8"/>
    </row>
    <row r="1682" spans="1:35" ht="15.75" customHeight="1" x14ac:dyDescent="0.25">
      <c r="A1682" s="8"/>
      <c r="B1682" s="8"/>
      <c r="C1682" s="8"/>
      <c r="D1682" s="8"/>
      <c r="E1682" s="5"/>
      <c r="F1682" s="16"/>
      <c r="G1682" s="16"/>
      <c r="H1682" s="5"/>
      <c r="I1682" s="5"/>
      <c r="J1682" s="5"/>
      <c r="K1682" s="5"/>
      <c r="L1682" s="5"/>
      <c r="M1682" s="48"/>
      <c r="N1682" s="18"/>
      <c r="O1682" s="22"/>
      <c r="P1682" s="22"/>
      <c r="Q1682" s="8"/>
      <c r="R1682" s="8"/>
      <c r="S1682" s="8"/>
      <c r="T1682" s="8"/>
      <c r="U1682" s="8"/>
      <c r="V1682" s="8"/>
      <c r="W1682" s="8"/>
      <c r="X1682" s="8"/>
      <c r="Y1682" s="8"/>
      <c r="Z1682" s="8"/>
      <c r="AA1682" s="8"/>
      <c r="AB1682" s="8"/>
      <c r="AC1682" s="8"/>
      <c r="AD1682" s="24"/>
      <c r="AE1682" s="24"/>
      <c r="AF1682" s="8"/>
      <c r="AG1682" s="8"/>
      <c r="AH1682" s="8"/>
      <c r="AI1682" s="8"/>
    </row>
    <row r="1683" spans="1:35" ht="15.75" customHeight="1" x14ac:dyDescent="0.25">
      <c r="A1683" s="8"/>
      <c r="B1683" s="8"/>
      <c r="C1683" s="8"/>
      <c r="D1683" s="8"/>
      <c r="E1683" s="5"/>
      <c r="F1683" s="16"/>
      <c r="G1683" s="16"/>
      <c r="H1683" s="5"/>
      <c r="I1683" s="5"/>
      <c r="J1683" s="5"/>
      <c r="K1683" s="5"/>
      <c r="L1683" s="5"/>
      <c r="M1683" s="48"/>
      <c r="N1683" s="18"/>
      <c r="O1683" s="22"/>
      <c r="P1683" s="22"/>
      <c r="Q1683" s="8"/>
      <c r="R1683" s="8"/>
      <c r="S1683" s="8"/>
      <c r="T1683" s="8"/>
      <c r="U1683" s="8"/>
      <c r="V1683" s="8"/>
      <c r="W1683" s="8"/>
      <c r="X1683" s="8"/>
      <c r="Y1683" s="8"/>
      <c r="Z1683" s="8"/>
      <c r="AA1683" s="8"/>
      <c r="AB1683" s="8"/>
      <c r="AC1683" s="8"/>
      <c r="AD1683" s="24"/>
      <c r="AE1683" s="24"/>
      <c r="AF1683" s="8"/>
      <c r="AG1683" s="8"/>
      <c r="AH1683" s="8"/>
      <c r="AI1683" s="8"/>
    </row>
    <row r="1684" spans="1:35" ht="15.75" customHeight="1" x14ac:dyDescent="0.25">
      <c r="A1684" s="8"/>
      <c r="B1684" s="8"/>
      <c r="C1684" s="8"/>
      <c r="D1684" s="8"/>
      <c r="E1684" s="5"/>
      <c r="F1684" s="16"/>
      <c r="G1684" s="16"/>
      <c r="H1684" s="5"/>
      <c r="I1684" s="5"/>
      <c r="J1684" s="5"/>
      <c r="K1684" s="5"/>
      <c r="L1684" s="5"/>
      <c r="M1684" s="48"/>
      <c r="N1684" s="18"/>
      <c r="O1684" s="22"/>
      <c r="P1684" s="22"/>
      <c r="Q1684" s="8"/>
      <c r="R1684" s="8"/>
      <c r="S1684" s="8"/>
      <c r="T1684" s="8"/>
      <c r="U1684" s="8"/>
      <c r="V1684" s="8"/>
      <c r="W1684" s="8"/>
      <c r="X1684" s="8"/>
      <c r="Y1684" s="8"/>
      <c r="Z1684" s="8"/>
      <c r="AA1684" s="8"/>
      <c r="AB1684" s="8"/>
      <c r="AC1684" s="8"/>
      <c r="AD1684" s="24"/>
      <c r="AE1684" s="24"/>
      <c r="AF1684" s="8"/>
      <c r="AG1684" s="8"/>
      <c r="AH1684" s="8"/>
      <c r="AI1684" s="8"/>
    </row>
    <row r="1685" spans="1:35" ht="15.75" customHeight="1" x14ac:dyDescent="0.25">
      <c r="A1685" s="8"/>
      <c r="B1685" s="8"/>
      <c r="C1685" s="8"/>
      <c r="D1685" s="8"/>
      <c r="E1685" s="5"/>
      <c r="F1685" s="16"/>
      <c r="G1685" s="16"/>
      <c r="H1685" s="5"/>
      <c r="I1685" s="741"/>
      <c r="J1685" s="742"/>
      <c r="K1685" s="5"/>
      <c r="L1685" s="5"/>
      <c r="M1685" s="48"/>
      <c r="N1685" s="18"/>
      <c r="O1685" s="22"/>
      <c r="P1685" s="22"/>
      <c r="Q1685" s="8"/>
      <c r="R1685" s="8"/>
      <c r="S1685" s="8"/>
      <c r="T1685" s="8"/>
      <c r="U1685" s="8"/>
      <c r="V1685" s="8"/>
      <c r="W1685" s="8"/>
      <c r="X1685" s="8"/>
      <c r="Y1685" s="8"/>
      <c r="Z1685" s="8"/>
      <c r="AA1685" s="8"/>
      <c r="AB1685" s="8"/>
      <c r="AC1685" s="8"/>
      <c r="AD1685" s="24"/>
      <c r="AE1685" s="24"/>
      <c r="AF1685" s="8"/>
      <c r="AG1685" s="8"/>
      <c r="AH1685" s="8"/>
      <c r="AI1685" s="8"/>
    </row>
    <row r="1686" spans="1:35" ht="15.75" customHeight="1" x14ac:dyDescent="0.25">
      <c r="A1686" s="8"/>
      <c r="B1686" s="8"/>
      <c r="C1686" s="8"/>
      <c r="D1686" s="8"/>
      <c r="E1686" s="5"/>
      <c r="F1686" s="16"/>
      <c r="G1686" s="16"/>
      <c r="H1686" s="5"/>
      <c r="I1686" s="5"/>
      <c r="J1686" s="5"/>
      <c r="K1686" s="5"/>
      <c r="L1686" s="5"/>
      <c r="M1686" s="48"/>
      <c r="N1686" s="18"/>
      <c r="O1686" s="22"/>
      <c r="P1686" s="22"/>
      <c r="Q1686" s="8"/>
      <c r="R1686" s="8"/>
      <c r="S1686" s="8"/>
      <c r="T1686" s="8"/>
      <c r="U1686" s="8"/>
      <c r="V1686" s="8"/>
      <c r="W1686" s="8"/>
      <c r="X1686" s="8"/>
      <c r="Y1686" s="8"/>
      <c r="Z1686" s="8"/>
      <c r="AA1686" s="8"/>
      <c r="AB1686" s="8"/>
      <c r="AC1686" s="8"/>
      <c r="AD1686" s="24"/>
      <c r="AE1686" s="24"/>
      <c r="AF1686" s="8"/>
      <c r="AG1686" s="8"/>
      <c r="AH1686" s="8"/>
      <c r="AI1686" s="8"/>
    </row>
    <row r="1687" spans="1:35" ht="15.75" customHeight="1" x14ac:dyDescent="0.25">
      <c r="A1687" s="8"/>
      <c r="B1687" s="8"/>
      <c r="C1687" s="8"/>
      <c r="D1687" s="8"/>
      <c r="E1687" s="5"/>
      <c r="F1687" s="16"/>
      <c r="G1687" s="16"/>
      <c r="H1687" s="5"/>
      <c r="I1687" s="741"/>
      <c r="J1687" s="742"/>
      <c r="K1687" s="5"/>
      <c r="L1687" s="5"/>
      <c r="M1687" s="48"/>
      <c r="N1687" s="18"/>
      <c r="O1687" s="22"/>
      <c r="P1687" s="22"/>
      <c r="Q1687" s="8"/>
      <c r="R1687" s="8"/>
      <c r="S1687" s="8"/>
      <c r="T1687" s="8"/>
      <c r="U1687" s="8"/>
      <c r="V1687" s="8"/>
      <c r="W1687" s="8"/>
      <c r="X1687" s="8"/>
      <c r="Y1687" s="8"/>
      <c r="Z1687" s="8"/>
      <c r="AA1687" s="8"/>
      <c r="AB1687" s="8"/>
      <c r="AC1687" s="8"/>
      <c r="AD1687" s="24"/>
      <c r="AE1687" s="24"/>
      <c r="AF1687" s="8"/>
      <c r="AG1687" s="8"/>
      <c r="AH1687" s="8"/>
      <c r="AI1687" s="8"/>
    </row>
    <row r="1688" spans="1:35" ht="15.75" customHeight="1" x14ac:dyDescent="0.25">
      <c r="A1688" s="8"/>
      <c r="B1688" s="8"/>
      <c r="C1688" s="8"/>
      <c r="D1688" s="8"/>
      <c r="E1688" s="5"/>
      <c r="F1688" s="16"/>
      <c r="G1688" s="16"/>
      <c r="H1688" s="5"/>
      <c r="I1688" s="5"/>
      <c r="J1688" s="5"/>
      <c r="K1688" s="5"/>
      <c r="L1688" s="5"/>
      <c r="M1688" s="48"/>
      <c r="N1688" s="18"/>
      <c r="O1688" s="22"/>
      <c r="P1688" s="22"/>
      <c r="Q1688" s="8"/>
      <c r="R1688" s="8"/>
      <c r="S1688" s="8"/>
      <c r="T1688" s="8"/>
      <c r="U1688" s="8"/>
      <c r="V1688" s="8"/>
      <c r="W1688" s="8"/>
      <c r="X1688" s="8"/>
      <c r="Y1688" s="8"/>
      <c r="Z1688" s="8"/>
      <c r="AA1688" s="8"/>
      <c r="AB1688" s="8"/>
      <c r="AC1688" s="8"/>
      <c r="AD1688" s="24"/>
      <c r="AE1688" s="24"/>
      <c r="AF1688" s="8"/>
      <c r="AG1688" s="8"/>
      <c r="AH1688" s="8"/>
      <c r="AI1688" s="8"/>
    </row>
    <row r="1689" spans="1:35" ht="15.75" customHeight="1" x14ac:dyDescent="0.25">
      <c r="A1689" s="8"/>
      <c r="B1689" s="8"/>
      <c r="C1689" s="8"/>
      <c r="D1689" s="8"/>
      <c r="E1689" s="5"/>
      <c r="F1689" s="16"/>
      <c r="G1689" s="16"/>
      <c r="H1689" s="5"/>
      <c r="I1689" s="5"/>
      <c r="J1689" s="5"/>
      <c r="K1689" s="5"/>
      <c r="L1689" s="5"/>
      <c r="M1689" s="48"/>
      <c r="N1689" s="18"/>
      <c r="O1689" s="22"/>
      <c r="P1689" s="22"/>
      <c r="Q1689" s="8"/>
      <c r="R1689" s="8"/>
      <c r="S1689" s="8"/>
      <c r="T1689" s="8"/>
      <c r="U1689" s="8"/>
      <c r="V1689" s="8"/>
      <c r="W1689" s="8"/>
      <c r="X1689" s="8"/>
      <c r="Y1689" s="8"/>
      <c r="Z1689" s="8"/>
      <c r="AA1689" s="8"/>
      <c r="AB1689" s="8"/>
      <c r="AC1689" s="8"/>
      <c r="AD1689" s="24"/>
      <c r="AE1689" s="24"/>
      <c r="AF1689" s="8"/>
      <c r="AG1689" s="8"/>
      <c r="AH1689" s="8"/>
      <c r="AI1689" s="8"/>
    </row>
    <row r="1690" spans="1:35" ht="15.75" customHeight="1" x14ac:dyDescent="0.25">
      <c r="A1690" s="8"/>
      <c r="B1690" s="8"/>
      <c r="C1690" s="8"/>
      <c r="D1690" s="8"/>
      <c r="E1690" s="5"/>
      <c r="F1690" s="16"/>
      <c r="G1690" s="16"/>
      <c r="H1690" s="5"/>
      <c r="I1690" s="5"/>
      <c r="J1690" s="5"/>
      <c r="K1690" s="5"/>
      <c r="L1690" s="5"/>
      <c r="M1690" s="48"/>
      <c r="N1690" s="18"/>
      <c r="O1690" s="22"/>
      <c r="P1690" s="22"/>
      <c r="Q1690" s="8"/>
      <c r="R1690" s="8"/>
      <c r="S1690" s="8"/>
      <c r="T1690" s="8"/>
      <c r="U1690" s="8"/>
      <c r="V1690" s="8"/>
      <c r="W1690" s="8"/>
      <c r="X1690" s="8"/>
      <c r="Y1690" s="8"/>
      <c r="Z1690" s="8"/>
      <c r="AA1690" s="8"/>
      <c r="AB1690" s="8"/>
      <c r="AC1690" s="8"/>
      <c r="AD1690" s="24"/>
      <c r="AE1690" s="24"/>
      <c r="AF1690" s="8"/>
      <c r="AG1690" s="8"/>
      <c r="AH1690" s="8"/>
      <c r="AI1690" s="8"/>
    </row>
    <row r="1691" spans="1:35" ht="15.75" customHeight="1" x14ac:dyDescent="0.25">
      <c r="A1691" s="8"/>
      <c r="B1691" s="8"/>
      <c r="C1691" s="8"/>
      <c r="D1691" s="8"/>
      <c r="E1691" s="5"/>
      <c r="F1691" s="16"/>
      <c r="G1691" s="16"/>
      <c r="H1691" s="5"/>
      <c r="I1691" s="741"/>
      <c r="J1691" s="742"/>
      <c r="K1691" s="5"/>
      <c r="L1691" s="5"/>
      <c r="M1691" s="48"/>
      <c r="N1691" s="18"/>
      <c r="O1691" s="22"/>
      <c r="P1691" s="22"/>
      <c r="Q1691" s="8"/>
      <c r="R1691" s="8"/>
      <c r="S1691" s="8"/>
      <c r="T1691" s="8"/>
      <c r="U1691" s="8"/>
      <c r="V1691" s="8"/>
      <c r="W1691" s="8"/>
      <c r="X1691" s="8"/>
      <c r="Y1691" s="8"/>
      <c r="Z1691" s="8"/>
      <c r="AA1691" s="8"/>
      <c r="AB1691" s="8"/>
      <c r="AC1691" s="8"/>
      <c r="AD1691" s="24"/>
      <c r="AE1691" s="24"/>
      <c r="AF1691" s="8"/>
      <c r="AG1691" s="8"/>
      <c r="AH1691" s="8"/>
      <c r="AI1691" s="8"/>
    </row>
    <row r="1692" spans="1:35" ht="15.75" customHeight="1" x14ac:dyDescent="0.25">
      <c r="A1692" s="8"/>
      <c r="B1692" s="8"/>
      <c r="C1692" s="8"/>
      <c r="D1692" s="8"/>
      <c r="E1692" s="5"/>
      <c r="F1692" s="16"/>
      <c r="G1692" s="16"/>
      <c r="H1692" s="5"/>
      <c r="I1692" s="5"/>
      <c r="J1692" s="5"/>
      <c r="K1692" s="5"/>
      <c r="L1692" s="5"/>
      <c r="M1692" s="48"/>
      <c r="N1692" s="18"/>
      <c r="O1692" s="22"/>
      <c r="P1692" s="22"/>
      <c r="Q1692" s="8"/>
      <c r="R1692" s="8"/>
      <c r="S1692" s="8"/>
      <c r="T1692" s="8"/>
      <c r="U1692" s="8"/>
      <c r="V1692" s="8"/>
      <c r="W1692" s="8"/>
      <c r="X1692" s="8"/>
      <c r="Y1692" s="8"/>
      <c r="Z1692" s="8"/>
      <c r="AA1692" s="8"/>
      <c r="AB1692" s="8"/>
      <c r="AC1692" s="8"/>
      <c r="AD1692" s="24"/>
      <c r="AE1692" s="24"/>
      <c r="AF1692" s="8"/>
      <c r="AG1692" s="8"/>
      <c r="AH1692" s="8"/>
      <c r="AI1692" s="8"/>
    </row>
    <row r="1693" spans="1:35" ht="15.75" customHeight="1" x14ac:dyDescent="0.25">
      <c r="A1693" s="8"/>
      <c r="B1693" s="8"/>
      <c r="C1693" s="8"/>
      <c r="D1693" s="8"/>
      <c r="E1693" s="5"/>
      <c r="F1693" s="16"/>
      <c r="G1693" s="16"/>
      <c r="H1693" s="5"/>
      <c r="I1693" s="5"/>
      <c r="J1693" s="5"/>
      <c r="K1693" s="5"/>
      <c r="L1693" s="5"/>
      <c r="M1693" s="48"/>
      <c r="N1693" s="18"/>
      <c r="O1693" s="22"/>
      <c r="P1693" s="22"/>
      <c r="Q1693" s="8"/>
      <c r="R1693" s="8"/>
      <c r="S1693" s="8"/>
      <c r="T1693" s="8"/>
      <c r="U1693" s="8"/>
      <c r="V1693" s="8"/>
      <c r="W1693" s="8"/>
      <c r="X1693" s="8"/>
      <c r="Y1693" s="8"/>
      <c r="Z1693" s="8"/>
      <c r="AA1693" s="8"/>
      <c r="AB1693" s="8"/>
      <c r="AC1693" s="8"/>
      <c r="AD1693" s="24"/>
      <c r="AE1693" s="24"/>
      <c r="AF1693" s="8"/>
      <c r="AG1693" s="8"/>
      <c r="AH1693" s="8"/>
      <c r="AI1693" s="8"/>
    </row>
    <row r="1694" spans="1:35" ht="15.75" customHeight="1" x14ac:dyDescent="0.25">
      <c r="A1694" s="8"/>
      <c r="B1694" s="8"/>
      <c r="C1694" s="8"/>
      <c r="D1694" s="8"/>
      <c r="E1694" s="5"/>
      <c r="F1694" s="16"/>
      <c r="G1694" s="16"/>
      <c r="H1694" s="5"/>
      <c r="I1694" s="5"/>
      <c r="J1694" s="5"/>
      <c r="K1694" s="5"/>
      <c r="L1694" s="5"/>
      <c r="M1694" s="48"/>
      <c r="N1694" s="18"/>
      <c r="O1694" s="22"/>
      <c r="P1694" s="22"/>
      <c r="Q1694" s="8"/>
      <c r="R1694" s="8"/>
      <c r="S1694" s="8"/>
      <c r="T1694" s="8"/>
      <c r="U1694" s="8"/>
      <c r="V1694" s="8"/>
      <c r="W1694" s="8"/>
      <c r="X1694" s="8"/>
      <c r="Y1694" s="8"/>
      <c r="Z1694" s="8"/>
      <c r="AA1694" s="8"/>
      <c r="AB1694" s="8"/>
      <c r="AC1694" s="8"/>
      <c r="AD1694" s="24"/>
      <c r="AE1694" s="24"/>
      <c r="AF1694" s="8"/>
      <c r="AG1694" s="8"/>
      <c r="AH1694" s="8"/>
      <c r="AI1694" s="8"/>
    </row>
    <row r="1695" spans="1:35" ht="15.75" customHeight="1" x14ac:dyDescent="0.25">
      <c r="A1695" s="8"/>
      <c r="B1695" s="8"/>
      <c r="C1695" s="8"/>
      <c r="D1695" s="8"/>
      <c r="E1695" s="5"/>
      <c r="F1695" s="16"/>
      <c r="G1695" s="16"/>
      <c r="H1695" s="5"/>
      <c r="I1695" s="741"/>
      <c r="J1695" s="742"/>
      <c r="K1695" s="5"/>
      <c r="L1695" s="5"/>
      <c r="M1695" s="48"/>
      <c r="N1695" s="18"/>
      <c r="O1695" s="22"/>
      <c r="P1695" s="22"/>
      <c r="Q1695" s="8"/>
      <c r="R1695" s="8"/>
      <c r="S1695" s="8"/>
      <c r="T1695" s="8"/>
      <c r="U1695" s="8"/>
      <c r="V1695" s="8"/>
      <c r="W1695" s="8"/>
      <c r="X1695" s="8"/>
      <c r="Y1695" s="8"/>
      <c r="Z1695" s="8"/>
      <c r="AA1695" s="8"/>
      <c r="AB1695" s="8"/>
      <c r="AC1695" s="8"/>
      <c r="AD1695" s="24"/>
      <c r="AE1695" s="24"/>
      <c r="AF1695" s="8"/>
      <c r="AG1695" s="8"/>
      <c r="AH1695" s="8"/>
      <c r="AI1695" s="8"/>
    </row>
    <row r="1696" spans="1:35" ht="15.75" customHeight="1" x14ac:dyDescent="0.25">
      <c r="A1696" s="8"/>
      <c r="B1696" s="8"/>
      <c r="C1696" s="8"/>
      <c r="D1696" s="8"/>
      <c r="E1696" s="5"/>
      <c r="F1696" s="16"/>
      <c r="G1696" s="16"/>
      <c r="H1696" s="5"/>
      <c r="I1696" s="5"/>
      <c r="J1696" s="5"/>
      <c r="K1696" s="5"/>
      <c r="L1696" s="5"/>
      <c r="M1696" s="48"/>
      <c r="N1696" s="18"/>
      <c r="O1696" s="22"/>
      <c r="P1696" s="22"/>
      <c r="Q1696" s="8"/>
      <c r="R1696" s="8"/>
      <c r="S1696" s="8"/>
      <c r="T1696" s="8"/>
      <c r="U1696" s="8"/>
      <c r="V1696" s="8"/>
      <c r="W1696" s="8"/>
      <c r="X1696" s="8"/>
      <c r="Y1696" s="8"/>
      <c r="Z1696" s="8"/>
      <c r="AA1696" s="8"/>
      <c r="AB1696" s="8"/>
      <c r="AC1696" s="8"/>
      <c r="AD1696" s="24"/>
      <c r="AE1696" s="24"/>
      <c r="AF1696" s="8"/>
      <c r="AG1696" s="8"/>
      <c r="AH1696" s="8"/>
      <c r="AI1696" s="8"/>
    </row>
    <row r="1697" spans="1:35" ht="15.75" customHeight="1" x14ac:dyDescent="0.25">
      <c r="A1697" s="8"/>
      <c r="B1697" s="8"/>
      <c r="C1697" s="8"/>
      <c r="D1697" s="8"/>
      <c r="E1697" s="5"/>
      <c r="F1697" s="16"/>
      <c r="G1697" s="16"/>
      <c r="H1697" s="5"/>
      <c r="I1697" s="5"/>
      <c r="J1697" s="5"/>
      <c r="K1697" s="5"/>
      <c r="L1697" s="5"/>
      <c r="M1697" s="48"/>
      <c r="N1697" s="18"/>
      <c r="O1697" s="22"/>
      <c r="P1697" s="22"/>
      <c r="Q1697" s="8"/>
      <c r="R1697" s="8"/>
      <c r="S1697" s="8"/>
      <c r="T1697" s="8"/>
      <c r="U1697" s="8"/>
      <c r="V1697" s="8"/>
      <c r="W1697" s="8"/>
      <c r="X1697" s="8"/>
      <c r="Y1697" s="8"/>
      <c r="Z1697" s="8"/>
      <c r="AA1697" s="8"/>
      <c r="AB1697" s="8"/>
      <c r="AC1697" s="8"/>
      <c r="AD1697" s="24"/>
      <c r="AE1697" s="24"/>
      <c r="AF1697" s="8"/>
      <c r="AG1697" s="8"/>
      <c r="AH1697" s="8"/>
      <c r="AI1697" s="8"/>
    </row>
    <row r="1698" spans="1:35" ht="15.75" customHeight="1" x14ac:dyDescent="0.25">
      <c r="A1698" s="8"/>
      <c r="B1698" s="8"/>
      <c r="C1698" s="8"/>
      <c r="D1698" s="8"/>
      <c r="E1698" s="5"/>
      <c r="F1698" s="16"/>
      <c r="G1698" s="16"/>
      <c r="H1698" s="5"/>
      <c r="I1698" s="5"/>
      <c r="J1698" s="5"/>
      <c r="K1698" s="5"/>
      <c r="L1698" s="5"/>
      <c r="M1698" s="48"/>
      <c r="N1698" s="18"/>
      <c r="O1698" s="22"/>
      <c r="P1698" s="22"/>
      <c r="Q1698" s="8"/>
      <c r="R1698" s="8"/>
      <c r="S1698" s="8"/>
      <c r="T1698" s="8"/>
      <c r="U1698" s="8"/>
      <c r="V1698" s="8"/>
      <c r="W1698" s="8"/>
      <c r="X1698" s="8"/>
      <c r="Y1698" s="8"/>
      <c r="Z1698" s="8"/>
      <c r="AA1698" s="8"/>
      <c r="AB1698" s="8"/>
      <c r="AC1698" s="8"/>
      <c r="AD1698" s="24"/>
      <c r="AE1698" s="24"/>
      <c r="AF1698" s="8"/>
      <c r="AG1698" s="8"/>
      <c r="AH1698" s="8"/>
      <c r="AI1698" s="8"/>
    </row>
    <row r="1699" spans="1:35" ht="15.75" customHeight="1" x14ac:dyDescent="0.25">
      <c r="A1699" s="8"/>
      <c r="B1699" s="8"/>
      <c r="C1699" s="8"/>
      <c r="D1699" s="8"/>
      <c r="E1699" s="5"/>
      <c r="F1699" s="16"/>
      <c r="G1699" s="16"/>
      <c r="H1699" s="5"/>
      <c r="I1699" s="5"/>
      <c r="J1699" s="5"/>
      <c r="K1699" s="5"/>
      <c r="L1699" s="5"/>
      <c r="M1699" s="48"/>
      <c r="N1699" s="18"/>
      <c r="O1699" s="22"/>
      <c r="P1699" s="22"/>
      <c r="Q1699" s="8"/>
      <c r="R1699" s="8"/>
      <c r="S1699" s="8"/>
      <c r="T1699" s="8"/>
      <c r="U1699" s="8"/>
      <c r="V1699" s="8"/>
      <c r="W1699" s="8"/>
      <c r="X1699" s="8"/>
      <c r="Y1699" s="8"/>
      <c r="Z1699" s="8"/>
      <c r="AA1699" s="8"/>
      <c r="AB1699" s="8"/>
      <c r="AC1699" s="8"/>
      <c r="AD1699" s="24"/>
      <c r="AE1699" s="24"/>
      <c r="AF1699" s="8"/>
      <c r="AG1699" s="8"/>
      <c r="AH1699" s="8"/>
      <c r="AI1699" s="8"/>
    </row>
    <row r="1700" spans="1:35" ht="15.75" customHeight="1" x14ac:dyDescent="0.25">
      <c r="A1700" s="8"/>
      <c r="B1700" s="8"/>
      <c r="C1700" s="8"/>
      <c r="D1700" s="8"/>
      <c r="E1700" s="5"/>
      <c r="F1700" s="16"/>
      <c r="G1700" s="16"/>
      <c r="H1700" s="5"/>
      <c r="I1700" s="5"/>
      <c r="J1700" s="5"/>
      <c r="K1700" s="5"/>
      <c r="L1700" s="5"/>
      <c r="M1700" s="48"/>
      <c r="N1700" s="18"/>
      <c r="O1700" s="22"/>
      <c r="P1700" s="22"/>
      <c r="Q1700" s="8"/>
      <c r="R1700" s="8"/>
      <c r="S1700" s="8"/>
      <c r="T1700" s="8"/>
      <c r="U1700" s="8"/>
      <c r="V1700" s="8"/>
      <c r="W1700" s="8"/>
      <c r="X1700" s="8"/>
      <c r="Y1700" s="8"/>
      <c r="Z1700" s="8"/>
      <c r="AA1700" s="8"/>
      <c r="AB1700" s="8"/>
      <c r="AC1700" s="8"/>
      <c r="AD1700" s="24"/>
      <c r="AE1700" s="24"/>
      <c r="AF1700" s="8"/>
      <c r="AG1700" s="8"/>
      <c r="AH1700" s="8"/>
      <c r="AI1700" s="8"/>
    </row>
    <row r="1701" spans="1:35" ht="15.75" customHeight="1" x14ac:dyDescent="0.25">
      <c r="A1701" s="8"/>
      <c r="B1701" s="8"/>
      <c r="C1701" s="8"/>
      <c r="D1701" s="8"/>
      <c r="E1701" s="5"/>
      <c r="F1701" s="16"/>
      <c r="G1701" s="16"/>
      <c r="H1701" s="5"/>
      <c r="I1701" s="5"/>
      <c r="J1701" s="5"/>
      <c r="K1701" s="5"/>
      <c r="L1701" s="5"/>
      <c r="M1701" s="48"/>
      <c r="N1701" s="18"/>
      <c r="O1701" s="22"/>
      <c r="P1701" s="22"/>
      <c r="Q1701" s="8"/>
      <c r="R1701" s="8"/>
      <c r="S1701" s="8"/>
      <c r="T1701" s="8"/>
      <c r="U1701" s="8"/>
      <c r="V1701" s="8"/>
      <c r="W1701" s="8"/>
      <c r="X1701" s="8"/>
      <c r="Y1701" s="8"/>
      <c r="Z1701" s="8"/>
      <c r="AA1701" s="8"/>
      <c r="AB1701" s="8"/>
      <c r="AC1701" s="8"/>
      <c r="AD1701" s="24"/>
      <c r="AE1701" s="24"/>
      <c r="AF1701" s="8"/>
      <c r="AG1701" s="8"/>
      <c r="AH1701" s="8"/>
      <c r="AI1701" s="8"/>
    </row>
    <row r="1702" spans="1:35" ht="15.75" customHeight="1" x14ac:dyDescent="0.25">
      <c r="A1702" s="8"/>
      <c r="B1702" s="8"/>
      <c r="C1702" s="8"/>
      <c r="D1702" s="8"/>
      <c r="E1702" s="5"/>
      <c r="F1702" s="16"/>
      <c r="G1702" s="16"/>
      <c r="H1702" s="5"/>
      <c r="I1702" s="5"/>
      <c r="J1702" s="5"/>
      <c r="K1702" s="5"/>
      <c r="L1702" s="5"/>
      <c r="M1702" s="48"/>
      <c r="N1702" s="18"/>
      <c r="O1702" s="22"/>
      <c r="P1702" s="22"/>
      <c r="Q1702" s="8"/>
      <c r="R1702" s="8"/>
      <c r="S1702" s="8"/>
      <c r="T1702" s="8"/>
      <c r="U1702" s="8"/>
      <c r="V1702" s="8"/>
      <c r="W1702" s="8"/>
      <c r="X1702" s="8"/>
      <c r="Y1702" s="8"/>
      <c r="Z1702" s="8"/>
      <c r="AA1702" s="8"/>
      <c r="AB1702" s="8"/>
      <c r="AC1702" s="8"/>
      <c r="AD1702" s="24"/>
      <c r="AE1702" s="24"/>
      <c r="AF1702" s="8"/>
      <c r="AG1702" s="8"/>
      <c r="AH1702" s="8"/>
      <c r="AI1702" s="8"/>
    </row>
    <row r="1703" spans="1:35" ht="15.75" customHeight="1" x14ac:dyDescent="0.25">
      <c r="A1703" s="8"/>
      <c r="B1703" s="8"/>
      <c r="C1703" s="8"/>
      <c r="D1703" s="8"/>
      <c r="E1703" s="5"/>
      <c r="F1703" s="16"/>
      <c r="G1703" s="16"/>
      <c r="H1703" s="5"/>
      <c r="I1703" s="5"/>
      <c r="J1703" s="5"/>
      <c r="K1703" s="5"/>
      <c r="L1703" s="5"/>
      <c r="M1703" s="48"/>
      <c r="N1703" s="18"/>
      <c r="O1703" s="22"/>
      <c r="P1703" s="22"/>
      <c r="Q1703" s="8"/>
      <c r="R1703" s="8"/>
      <c r="S1703" s="8"/>
      <c r="T1703" s="8"/>
      <c r="U1703" s="8"/>
      <c r="V1703" s="8"/>
      <c r="W1703" s="8"/>
      <c r="X1703" s="8"/>
      <c r="Y1703" s="8"/>
      <c r="Z1703" s="8"/>
      <c r="AA1703" s="8"/>
      <c r="AB1703" s="8"/>
      <c r="AC1703" s="8"/>
      <c r="AD1703" s="24"/>
      <c r="AE1703" s="24"/>
      <c r="AF1703" s="8"/>
      <c r="AG1703" s="8"/>
      <c r="AH1703" s="8"/>
      <c r="AI1703" s="8"/>
    </row>
    <row r="1704" spans="1:35" ht="15.75" customHeight="1" x14ac:dyDescent="0.25">
      <c r="A1704" s="8"/>
      <c r="B1704" s="8"/>
      <c r="C1704" s="8"/>
      <c r="D1704" s="8"/>
      <c r="E1704" s="5"/>
      <c r="F1704" s="16"/>
      <c r="G1704" s="16"/>
      <c r="H1704" s="5"/>
      <c r="I1704" s="5"/>
      <c r="J1704" s="5"/>
      <c r="K1704" s="5"/>
      <c r="L1704" s="5"/>
      <c r="M1704" s="48"/>
      <c r="N1704" s="18"/>
      <c r="O1704" s="22"/>
      <c r="P1704" s="22"/>
      <c r="Q1704" s="8"/>
      <c r="R1704" s="8"/>
      <c r="S1704" s="8"/>
      <c r="T1704" s="8"/>
      <c r="U1704" s="8"/>
      <c r="V1704" s="8"/>
      <c r="W1704" s="8"/>
      <c r="X1704" s="8"/>
      <c r="Y1704" s="8"/>
      <c r="Z1704" s="8"/>
      <c r="AA1704" s="8"/>
      <c r="AB1704" s="8"/>
      <c r="AC1704" s="8"/>
      <c r="AD1704" s="24"/>
      <c r="AE1704" s="24"/>
      <c r="AF1704" s="8"/>
      <c r="AG1704" s="8"/>
      <c r="AH1704" s="8"/>
      <c r="AI1704" s="8"/>
    </row>
    <row r="1705" spans="1:35" ht="15.75" customHeight="1" x14ac:dyDescent="0.25">
      <c r="A1705" s="8"/>
      <c r="B1705" s="8"/>
      <c r="C1705" s="8"/>
      <c r="D1705" s="8"/>
      <c r="E1705" s="5"/>
      <c r="F1705" s="16"/>
      <c r="G1705" s="16"/>
      <c r="H1705" s="5"/>
      <c r="I1705" s="5"/>
      <c r="J1705" s="5"/>
      <c r="K1705" s="5"/>
      <c r="L1705" s="5"/>
      <c r="M1705" s="48"/>
      <c r="N1705" s="18"/>
      <c r="O1705" s="22"/>
      <c r="P1705" s="22"/>
      <c r="Q1705" s="8"/>
      <c r="R1705" s="8"/>
      <c r="S1705" s="8"/>
      <c r="T1705" s="8"/>
      <c r="U1705" s="8"/>
      <c r="V1705" s="8"/>
      <c r="W1705" s="8"/>
      <c r="X1705" s="8"/>
      <c r="Y1705" s="8"/>
      <c r="Z1705" s="8"/>
      <c r="AA1705" s="8"/>
      <c r="AB1705" s="8"/>
      <c r="AC1705" s="8"/>
      <c r="AD1705" s="24"/>
      <c r="AE1705" s="24"/>
      <c r="AF1705" s="8"/>
      <c r="AG1705" s="8"/>
      <c r="AH1705" s="8"/>
      <c r="AI1705" s="8"/>
    </row>
    <row r="1706" spans="1:35" ht="15.75" customHeight="1" x14ac:dyDescent="0.25">
      <c r="A1706" s="8"/>
      <c r="B1706" s="8"/>
      <c r="C1706" s="8"/>
      <c r="D1706" s="8"/>
      <c r="E1706" s="5"/>
      <c r="F1706" s="16"/>
      <c r="G1706" s="16"/>
      <c r="H1706" s="5"/>
      <c r="I1706" s="741"/>
      <c r="J1706" s="742"/>
      <c r="K1706" s="5"/>
      <c r="L1706" s="5"/>
      <c r="M1706" s="48"/>
      <c r="N1706" s="18"/>
      <c r="O1706" s="22"/>
      <c r="P1706" s="22"/>
      <c r="Q1706" s="8"/>
      <c r="R1706" s="8"/>
      <c r="S1706" s="8"/>
      <c r="T1706" s="8"/>
      <c r="U1706" s="8"/>
      <c r="V1706" s="8"/>
      <c r="W1706" s="8"/>
      <c r="X1706" s="8"/>
      <c r="Y1706" s="8"/>
      <c r="Z1706" s="8"/>
      <c r="AA1706" s="8"/>
      <c r="AB1706" s="8"/>
      <c r="AC1706" s="8"/>
      <c r="AD1706" s="24"/>
      <c r="AE1706" s="24"/>
      <c r="AF1706" s="8"/>
      <c r="AG1706" s="8"/>
      <c r="AH1706" s="8"/>
      <c r="AI1706" s="8"/>
    </row>
    <row r="1707" spans="1:35" ht="15.75" customHeight="1" x14ac:dyDescent="0.25">
      <c r="A1707" s="8"/>
      <c r="B1707" s="8"/>
      <c r="C1707" s="8"/>
      <c r="D1707" s="8"/>
      <c r="E1707" s="5"/>
      <c r="F1707" s="16"/>
      <c r="G1707" s="16"/>
      <c r="H1707" s="5"/>
      <c r="I1707" s="5"/>
      <c r="J1707" s="5"/>
      <c r="K1707" s="5"/>
      <c r="L1707" s="5"/>
      <c r="M1707" s="48"/>
      <c r="N1707" s="18"/>
      <c r="O1707" s="22"/>
      <c r="P1707" s="22"/>
      <c r="Q1707" s="8"/>
      <c r="R1707" s="8"/>
      <c r="S1707" s="8"/>
      <c r="T1707" s="8"/>
      <c r="U1707" s="8"/>
      <c r="V1707" s="8"/>
      <c r="W1707" s="8"/>
      <c r="X1707" s="8"/>
      <c r="Y1707" s="8"/>
      <c r="Z1707" s="8"/>
      <c r="AA1707" s="8"/>
      <c r="AB1707" s="8"/>
      <c r="AC1707" s="8"/>
      <c r="AD1707" s="24"/>
      <c r="AE1707" s="24"/>
      <c r="AF1707" s="8"/>
      <c r="AG1707" s="8"/>
      <c r="AH1707" s="8"/>
      <c r="AI1707" s="8"/>
    </row>
    <row r="1708" spans="1:35" ht="15.75" customHeight="1" x14ac:dyDescent="0.25">
      <c r="A1708" s="8"/>
      <c r="B1708" s="8"/>
      <c r="C1708" s="8"/>
      <c r="D1708" s="8"/>
      <c r="E1708" s="5"/>
      <c r="F1708" s="16"/>
      <c r="G1708" s="16"/>
      <c r="H1708" s="5"/>
      <c r="I1708" s="5"/>
      <c r="J1708" s="5"/>
      <c r="K1708" s="5"/>
      <c r="L1708" s="5"/>
      <c r="M1708" s="48"/>
      <c r="N1708" s="18"/>
      <c r="O1708" s="22"/>
      <c r="P1708" s="22"/>
      <c r="Q1708" s="8"/>
      <c r="R1708" s="8"/>
      <c r="S1708" s="8"/>
      <c r="T1708" s="8"/>
      <c r="U1708" s="8"/>
      <c r="V1708" s="8"/>
      <c r="W1708" s="8"/>
      <c r="X1708" s="8"/>
      <c r="Y1708" s="8"/>
      <c r="Z1708" s="8"/>
      <c r="AA1708" s="8"/>
      <c r="AB1708" s="8"/>
      <c r="AC1708" s="8"/>
      <c r="AD1708" s="24"/>
      <c r="AE1708" s="24"/>
      <c r="AF1708" s="8"/>
      <c r="AG1708" s="8"/>
      <c r="AH1708" s="8"/>
      <c r="AI1708" s="8"/>
    </row>
    <row r="1709" spans="1:35" ht="15.75" customHeight="1" x14ac:dyDescent="0.25">
      <c r="A1709" s="8"/>
      <c r="B1709" s="8"/>
      <c r="C1709" s="8"/>
      <c r="D1709" s="8"/>
      <c r="E1709" s="5"/>
      <c r="F1709" s="16"/>
      <c r="G1709" s="16"/>
      <c r="H1709" s="5"/>
      <c r="I1709" s="5"/>
      <c r="J1709" s="5"/>
      <c r="K1709" s="5"/>
      <c r="L1709" s="5"/>
      <c r="M1709" s="48"/>
      <c r="N1709" s="18"/>
      <c r="O1709" s="22"/>
      <c r="P1709" s="22"/>
      <c r="Q1709" s="8"/>
      <c r="R1709" s="8"/>
      <c r="S1709" s="8"/>
      <c r="T1709" s="8"/>
      <c r="U1709" s="8"/>
      <c r="V1709" s="8"/>
      <c r="W1709" s="8"/>
      <c r="X1709" s="8"/>
      <c r="Y1709" s="8"/>
      <c r="Z1709" s="8"/>
      <c r="AA1709" s="8"/>
      <c r="AB1709" s="8"/>
      <c r="AC1709" s="8"/>
      <c r="AD1709" s="24"/>
      <c r="AE1709" s="24"/>
      <c r="AF1709" s="8"/>
      <c r="AG1709" s="8"/>
      <c r="AH1709" s="8"/>
      <c r="AI1709" s="8"/>
    </row>
    <row r="1710" spans="1:35" ht="15.75" customHeight="1" x14ac:dyDescent="0.25">
      <c r="A1710" s="8"/>
      <c r="B1710" s="8"/>
      <c r="C1710" s="8"/>
      <c r="D1710" s="8"/>
      <c r="E1710" s="5"/>
      <c r="F1710" s="16"/>
      <c r="G1710" s="16"/>
      <c r="H1710" s="5"/>
      <c r="I1710" s="5"/>
      <c r="J1710" s="5"/>
      <c r="K1710" s="5"/>
      <c r="L1710" s="5"/>
      <c r="M1710" s="48"/>
      <c r="N1710" s="18"/>
      <c r="O1710" s="22"/>
      <c r="P1710" s="22"/>
      <c r="Q1710" s="8"/>
      <c r="R1710" s="8"/>
      <c r="S1710" s="8"/>
      <c r="T1710" s="8"/>
      <c r="U1710" s="8"/>
      <c r="V1710" s="8"/>
      <c r="W1710" s="8"/>
      <c r="X1710" s="8"/>
      <c r="Y1710" s="8"/>
      <c r="Z1710" s="8"/>
      <c r="AA1710" s="8"/>
      <c r="AB1710" s="8"/>
      <c r="AC1710" s="8"/>
      <c r="AD1710" s="24"/>
      <c r="AE1710" s="24"/>
      <c r="AF1710" s="8"/>
      <c r="AG1710" s="8"/>
      <c r="AH1710" s="8"/>
      <c r="AI1710" s="8"/>
    </row>
    <row r="1711" spans="1:35" ht="15.75" customHeight="1" x14ac:dyDescent="0.25">
      <c r="A1711" s="8"/>
      <c r="B1711" s="8"/>
      <c r="C1711" s="8"/>
      <c r="D1711" s="8"/>
      <c r="E1711" s="5"/>
      <c r="F1711" s="16"/>
      <c r="G1711" s="16"/>
      <c r="H1711" s="5"/>
      <c r="I1711" s="741"/>
      <c r="J1711" s="742"/>
      <c r="K1711" s="5"/>
      <c r="L1711" s="5"/>
      <c r="M1711" s="48"/>
      <c r="N1711" s="18"/>
      <c r="O1711" s="22"/>
      <c r="P1711" s="22"/>
      <c r="Q1711" s="8"/>
      <c r="R1711" s="8"/>
      <c r="S1711" s="8"/>
      <c r="T1711" s="8"/>
      <c r="U1711" s="8"/>
      <c r="V1711" s="8"/>
      <c r="W1711" s="8"/>
      <c r="X1711" s="8"/>
      <c r="Y1711" s="8"/>
      <c r="Z1711" s="8"/>
      <c r="AA1711" s="8"/>
      <c r="AB1711" s="8"/>
      <c r="AC1711" s="8"/>
      <c r="AD1711" s="24"/>
      <c r="AE1711" s="24"/>
      <c r="AF1711" s="8"/>
      <c r="AG1711" s="8"/>
      <c r="AH1711" s="8"/>
      <c r="AI1711" s="8"/>
    </row>
    <row r="1712" spans="1:35" ht="15.75" customHeight="1" x14ac:dyDescent="0.25">
      <c r="A1712" s="8"/>
      <c r="B1712" s="8"/>
      <c r="C1712" s="8"/>
      <c r="D1712" s="8"/>
      <c r="E1712" s="5"/>
      <c r="F1712" s="16"/>
      <c r="G1712" s="16"/>
      <c r="H1712" s="5"/>
      <c r="I1712" s="5"/>
      <c r="J1712" s="5"/>
      <c r="K1712" s="5"/>
      <c r="L1712" s="5"/>
      <c r="M1712" s="48"/>
      <c r="N1712" s="18"/>
      <c r="O1712" s="22"/>
      <c r="P1712" s="22"/>
      <c r="Q1712" s="8"/>
      <c r="R1712" s="8"/>
      <c r="S1712" s="8"/>
      <c r="T1712" s="8"/>
      <c r="U1712" s="8"/>
      <c r="V1712" s="8"/>
      <c r="W1712" s="8"/>
      <c r="X1712" s="8"/>
      <c r="Y1712" s="8"/>
      <c r="Z1712" s="8"/>
      <c r="AA1712" s="8"/>
      <c r="AB1712" s="8"/>
      <c r="AC1712" s="8"/>
      <c r="AD1712" s="24"/>
      <c r="AE1712" s="24"/>
      <c r="AF1712" s="8"/>
      <c r="AG1712" s="8"/>
      <c r="AH1712" s="8"/>
      <c r="AI1712" s="8"/>
    </row>
    <row r="1713" spans="1:35" ht="15.75" customHeight="1" x14ac:dyDescent="0.25">
      <c r="A1713" s="8"/>
      <c r="B1713" s="8"/>
      <c r="C1713" s="8"/>
      <c r="D1713" s="8"/>
      <c r="E1713" s="5"/>
      <c r="F1713" s="16"/>
      <c r="G1713" s="16"/>
      <c r="H1713" s="5"/>
      <c r="I1713" s="5"/>
      <c r="J1713" s="5"/>
      <c r="K1713" s="5"/>
      <c r="L1713" s="5"/>
      <c r="M1713" s="48"/>
      <c r="N1713" s="18"/>
      <c r="O1713" s="22"/>
      <c r="P1713" s="22"/>
      <c r="Q1713" s="8"/>
      <c r="R1713" s="8"/>
      <c r="S1713" s="8"/>
      <c r="T1713" s="8"/>
      <c r="U1713" s="8"/>
      <c r="V1713" s="8"/>
      <c r="W1713" s="8"/>
      <c r="X1713" s="8"/>
      <c r="Y1713" s="8"/>
      <c r="Z1713" s="8"/>
      <c r="AA1713" s="8"/>
      <c r="AB1713" s="8"/>
      <c r="AC1713" s="8"/>
      <c r="AD1713" s="24"/>
      <c r="AE1713" s="24"/>
      <c r="AF1713" s="8"/>
      <c r="AG1713" s="8"/>
      <c r="AH1713" s="8"/>
      <c r="AI1713" s="8"/>
    </row>
    <row r="1714" spans="1:35" ht="15.75" customHeight="1" x14ac:dyDescent="0.25">
      <c r="A1714" s="8"/>
      <c r="B1714" s="8"/>
      <c r="C1714" s="8"/>
      <c r="D1714" s="8"/>
      <c r="E1714" s="5"/>
      <c r="F1714" s="16"/>
      <c r="G1714" s="16"/>
      <c r="H1714" s="5"/>
      <c r="I1714" s="5"/>
      <c r="J1714" s="5"/>
      <c r="K1714" s="5"/>
      <c r="L1714" s="5"/>
      <c r="M1714" s="48"/>
      <c r="N1714" s="18"/>
      <c r="O1714" s="22"/>
      <c r="P1714" s="22"/>
      <c r="Q1714" s="8"/>
      <c r="R1714" s="8"/>
      <c r="S1714" s="8"/>
      <c r="T1714" s="8"/>
      <c r="U1714" s="8"/>
      <c r="V1714" s="8"/>
      <c r="W1714" s="8"/>
      <c r="X1714" s="8"/>
      <c r="Y1714" s="8"/>
      <c r="Z1714" s="8"/>
      <c r="AA1714" s="8"/>
      <c r="AB1714" s="8"/>
      <c r="AC1714" s="8"/>
      <c r="AD1714" s="24"/>
      <c r="AE1714" s="24"/>
      <c r="AF1714" s="8"/>
      <c r="AG1714" s="8"/>
      <c r="AH1714" s="8"/>
      <c r="AI1714" s="8"/>
    </row>
    <row r="1715" spans="1:35" ht="15.75" customHeight="1" x14ac:dyDescent="0.25">
      <c r="A1715" s="8"/>
      <c r="B1715" s="8"/>
      <c r="C1715" s="8"/>
      <c r="D1715" s="8"/>
      <c r="E1715" s="5"/>
      <c r="F1715" s="16"/>
      <c r="G1715" s="16"/>
      <c r="H1715" s="5"/>
      <c r="I1715" s="741"/>
      <c r="J1715" s="742"/>
      <c r="K1715" s="5"/>
      <c r="L1715" s="5"/>
      <c r="M1715" s="48"/>
      <c r="N1715" s="18"/>
      <c r="O1715" s="22"/>
      <c r="P1715" s="22"/>
      <c r="Q1715" s="8"/>
      <c r="R1715" s="8"/>
      <c r="S1715" s="8"/>
      <c r="T1715" s="8"/>
      <c r="U1715" s="8"/>
      <c r="V1715" s="8"/>
      <c r="W1715" s="8"/>
      <c r="X1715" s="8"/>
      <c r="Y1715" s="8"/>
      <c r="Z1715" s="8"/>
      <c r="AA1715" s="8"/>
      <c r="AB1715" s="8"/>
      <c r="AC1715" s="8"/>
      <c r="AD1715" s="24"/>
      <c r="AE1715" s="24"/>
      <c r="AF1715" s="8"/>
      <c r="AG1715" s="8"/>
      <c r="AH1715" s="8"/>
      <c r="AI1715" s="8"/>
    </row>
    <row r="1716" spans="1:35" ht="15.75" customHeight="1" x14ac:dyDescent="0.25">
      <c r="A1716" s="8"/>
      <c r="B1716" s="8"/>
      <c r="C1716" s="8"/>
      <c r="D1716" s="8"/>
      <c r="E1716" s="5"/>
      <c r="F1716" s="16"/>
      <c r="G1716" s="16"/>
      <c r="H1716" s="5"/>
      <c r="I1716" s="5"/>
      <c r="J1716" s="5"/>
      <c r="K1716" s="5"/>
      <c r="L1716" s="5"/>
      <c r="M1716" s="48"/>
      <c r="N1716" s="18"/>
      <c r="O1716" s="22"/>
      <c r="P1716" s="22"/>
      <c r="Q1716" s="8"/>
      <c r="R1716" s="8"/>
      <c r="S1716" s="8"/>
      <c r="T1716" s="8"/>
      <c r="U1716" s="8"/>
      <c r="V1716" s="8"/>
      <c r="W1716" s="8"/>
      <c r="X1716" s="8"/>
      <c r="Y1716" s="8"/>
      <c r="Z1716" s="8"/>
      <c r="AA1716" s="8"/>
      <c r="AB1716" s="8"/>
      <c r="AC1716" s="8"/>
      <c r="AD1716" s="24"/>
      <c r="AE1716" s="24"/>
      <c r="AF1716" s="8"/>
      <c r="AG1716" s="8"/>
      <c r="AH1716" s="8"/>
      <c r="AI1716" s="8"/>
    </row>
    <row r="1717" spans="1:35" ht="15.75" customHeight="1" x14ac:dyDescent="0.25">
      <c r="A1717" s="8"/>
      <c r="B1717" s="8"/>
      <c r="C1717" s="8"/>
      <c r="D1717" s="8"/>
      <c r="E1717" s="5"/>
      <c r="F1717" s="16"/>
      <c r="G1717" s="16"/>
      <c r="H1717" s="5"/>
      <c r="I1717" s="741"/>
      <c r="J1717" s="742"/>
      <c r="K1717" s="5"/>
      <c r="L1717" s="5"/>
      <c r="M1717" s="48"/>
      <c r="N1717" s="18"/>
      <c r="O1717" s="22"/>
      <c r="P1717" s="22"/>
      <c r="Q1717" s="8"/>
      <c r="R1717" s="8"/>
      <c r="S1717" s="8"/>
      <c r="T1717" s="8"/>
      <c r="U1717" s="8"/>
      <c r="V1717" s="8"/>
      <c r="W1717" s="8"/>
      <c r="X1717" s="8"/>
      <c r="Y1717" s="8"/>
      <c r="Z1717" s="8"/>
      <c r="AA1717" s="8"/>
      <c r="AB1717" s="8"/>
      <c r="AC1717" s="8"/>
      <c r="AD1717" s="24"/>
      <c r="AE1717" s="24"/>
      <c r="AF1717" s="8"/>
      <c r="AG1717" s="8"/>
      <c r="AH1717" s="8"/>
      <c r="AI1717" s="8"/>
    </row>
    <row r="1718" spans="1:35" ht="15.75" customHeight="1" x14ac:dyDescent="0.25">
      <c r="A1718" s="8"/>
      <c r="B1718" s="8"/>
      <c r="C1718" s="8"/>
      <c r="D1718" s="8"/>
      <c r="E1718" s="5"/>
      <c r="F1718" s="16"/>
      <c r="G1718" s="16"/>
      <c r="H1718" s="5"/>
      <c r="I1718" s="741"/>
      <c r="J1718" s="742"/>
      <c r="K1718" s="5"/>
      <c r="L1718" s="5"/>
      <c r="M1718" s="48"/>
      <c r="N1718" s="18"/>
      <c r="O1718" s="22"/>
      <c r="P1718" s="22"/>
      <c r="Q1718" s="8"/>
      <c r="R1718" s="8"/>
      <c r="S1718" s="8"/>
      <c r="T1718" s="8"/>
      <c r="U1718" s="8"/>
      <c r="V1718" s="8"/>
      <c r="W1718" s="8"/>
      <c r="X1718" s="8"/>
      <c r="Y1718" s="8"/>
      <c r="Z1718" s="8"/>
      <c r="AA1718" s="8"/>
      <c r="AB1718" s="8"/>
      <c r="AC1718" s="8"/>
      <c r="AD1718" s="24"/>
      <c r="AE1718" s="24"/>
      <c r="AF1718" s="8"/>
      <c r="AG1718" s="8"/>
      <c r="AH1718" s="8"/>
      <c r="AI1718" s="8"/>
    </row>
    <row r="1719" spans="1:35" ht="15.75" customHeight="1" x14ac:dyDescent="0.25">
      <c r="A1719" s="8"/>
      <c r="B1719" s="8"/>
      <c r="C1719" s="8"/>
      <c r="D1719" s="8"/>
      <c r="E1719" s="5"/>
      <c r="F1719" s="16"/>
      <c r="G1719" s="16"/>
      <c r="H1719" s="5"/>
      <c r="I1719" s="741"/>
      <c r="J1719" s="742"/>
      <c r="K1719" s="5"/>
      <c r="L1719" s="5"/>
      <c r="M1719" s="48"/>
      <c r="N1719" s="18"/>
      <c r="O1719" s="22"/>
      <c r="P1719" s="22"/>
      <c r="Q1719" s="8"/>
      <c r="R1719" s="8"/>
      <c r="S1719" s="8"/>
      <c r="T1719" s="8"/>
      <c r="U1719" s="8"/>
      <c r="V1719" s="8"/>
      <c r="W1719" s="8"/>
      <c r="X1719" s="8"/>
      <c r="Y1719" s="8"/>
      <c r="Z1719" s="8"/>
      <c r="AA1719" s="8"/>
      <c r="AB1719" s="8"/>
      <c r="AC1719" s="8"/>
      <c r="AD1719" s="24"/>
      <c r="AE1719" s="24"/>
      <c r="AF1719" s="8"/>
      <c r="AG1719" s="8"/>
      <c r="AH1719" s="8"/>
      <c r="AI1719" s="8"/>
    </row>
    <row r="1720" spans="1:35" ht="15.75" customHeight="1" x14ac:dyDescent="0.25">
      <c r="A1720" s="8"/>
      <c r="B1720" s="8"/>
      <c r="C1720" s="8"/>
      <c r="D1720" s="8"/>
      <c r="E1720" s="5"/>
      <c r="F1720" s="16"/>
      <c r="G1720" s="16"/>
      <c r="H1720" s="5"/>
      <c r="I1720" s="5"/>
      <c r="J1720" s="5"/>
      <c r="K1720" s="5"/>
      <c r="L1720" s="5"/>
      <c r="M1720" s="48"/>
      <c r="N1720" s="18"/>
      <c r="O1720" s="22"/>
      <c r="P1720" s="22"/>
      <c r="Q1720" s="8"/>
      <c r="R1720" s="8"/>
      <c r="S1720" s="8"/>
      <c r="T1720" s="8"/>
      <c r="U1720" s="8"/>
      <c r="V1720" s="8"/>
      <c r="W1720" s="8"/>
      <c r="X1720" s="8"/>
      <c r="Y1720" s="8"/>
      <c r="Z1720" s="8"/>
      <c r="AA1720" s="8"/>
      <c r="AB1720" s="8"/>
      <c r="AC1720" s="8"/>
      <c r="AD1720" s="24"/>
      <c r="AE1720" s="24"/>
      <c r="AF1720" s="8"/>
      <c r="AG1720" s="8"/>
      <c r="AH1720" s="8"/>
      <c r="AI1720" s="8"/>
    </row>
    <row r="1721" spans="1:35" ht="15.75" customHeight="1" x14ac:dyDescent="0.25">
      <c r="A1721" s="8"/>
      <c r="B1721" s="8"/>
      <c r="C1721" s="8"/>
      <c r="D1721" s="8"/>
      <c r="E1721" s="5"/>
      <c r="F1721" s="16"/>
      <c r="G1721" s="16"/>
      <c r="H1721" s="5"/>
      <c r="I1721" s="5"/>
      <c r="J1721" s="5"/>
      <c r="K1721" s="5"/>
      <c r="L1721" s="5"/>
      <c r="M1721" s="48"/>
      <c r="N1721" s="18"/>
      <c r="O1721" s="22"/>
      <c r="P1721" s="22"/>
      <c r="Q1721" s="8"/>
      <c r="R1721" s="8"/>
      <c r="S1721" s="8"/>
      <c r="T1721" s="8"/>
      <c r="U1721" s="8"/>
      <c r="V1721" s="8"/>
      <c r="W1721" s="8"/>
      <c r="X1721" s="8"/>
      <c r="Y1721" s="8"/>
      <c r="Z1721" s="8"/>
      <c r="AA1721" s="8"/>
      <c r="AB1721" s="8"/>
      <c r="AC1721" s="8"/>
      <c r="AD1721" s="24"/>
      <c r="AE1721" s="24"/>
      <c r="AF1721" s="8"/>
      <c r="AG1721" s="8"/>
      <c r="AH1721" s="8"/>
      <c r="AI1721" s="8"/>
    </row>
    <row r="1722" spans="1:35" ht="15.75" customHeight="1" x14ac:dyDescent="0.25">
      <c r="A1722" s="8"/>
      <c r="B1722" s="8"/>
      <c r="C1722" s="8"/>
      <c r="D1722" s="8"/>
      <c r="E1722" s="5"/>
      <c r="F1722" s="16"/>
      <c r="G1722" s="16"/>
      <c r="H1722" s="5"/>
      <c r="I1722" s="5"/>
      <c r="J1722" s="5"/>
      <c r="K1722" s="5"/>
      <c r="L1722" s="5"/>
      <c r="M1722" s="48"/>
      <c r="N1722" s="18"/>
      <c r="O1722" s="22"/>
      <c r="P1722" s="22"/>
      <c r="Q1722" s="8"/>
      <c r="R1722" s="8"/>
      <c r="S1722" s="8"/>
      <c r="T1722" s="8"/>
      <c r="U1722" s="8"/>
      <c r="V1722" s="8"/>
      <c r="W1722" s="8"/>
      <c r="X1722" s="8"/>
      <c r="Y1722" s="8"/>
      <c r="Z1722" s="8"/>
      <c r="AA1722" s="8"/>
      <c r="AB1722" s="8"/>
      <c r="AC1722" s="8"/>
      <c r="AD1722" s="24"/>
      <c r="AE1722" s="24"/>
      <c r="AF1722" s="8"/>
      <c r="AG1722" s="8"/>
      <c r="AH1722" s="8"/>
      <c r="AI1722" s="8"/>
    </row>
    <row r="1723" spans="1:35" ht="15.75" customHeight="1" x14ac:dyDescent="0.25">
      <c r="A1723" s="8"/>
      <c r="B1723" s="8"/>
      <c r="C1723" s="8"/>
      <c r="D1723" s="8"/>
      <c r="E1723" s="5"/>
      <c r="F1723" s="16"/>
      <c r="G1723" s="16"/>
      <c r="H1723" s="5"/>
      <c r="I1723" s="5"/>
      <c r="J1723" s="5"/>
      <c r="K1723" s="5"/>
      <c r="L1723" s="5"/>
      <c r="M1723" s="48"/>
      <c r="N1723" s="18"/>
      <c r="O1723" s="22"/>
      <c r="P1723" s="22"/>
      <c r="Q1723" s="8"/>
      <c r="R1723" s="8"/>
      <c r="S1723" s="8"/>
      <c r="T1723" s="8"/>
      <c r="U1723" s="8"/>
      <c r="V1723" s="8"/>
      <c r="W1723" s="8"/>
      <c r="X1723" s="8"/>
      <c r="Y1723" s="8"/>
      <c r="Z1723" s="8"/>
      <c r="AA1723" s="8"/>
      <c r="AB1723" s="8"/>
      <c r="AC1723" s="8"/>
      <c r="AD1723" s="24"/>
      <c r="AE1723" s="24"/>
      <c r="AF1723" s="8"/>
      <c r="AG1723" s="8"/>
      <c r="AH1723" s="8"/>
      <c r="AI1723" s="8"/>
    </row>
    <row r="1724" spans="1:35" ht="15.75" customHeight="1" x14ac:dyDescent="0.25">
      <c r="A1724" s="8"/>
      <c r="B1724" s="8"/>
      <c r="C1724" s="8"/>
      <c r="D1724" s="8"/>
      <c r="E1724" s="5"/>
      <c r="F1724" s="16"/>
      <c r="G1724" s="16"/>
      <c r="H1724" s="5"/>
      <c r="I1724" s="5"/>
      <c r="J1724" s="5"/>
      <c r="K1724" s="5"/>
      <c r="L1724" s="5"/>
      <c r="M1724" s="48"/>
      <c r="N1724" s="18"/>
      <c r="O1724" s="22"/>
      <c r="P1724" s="22"/>
      <c r="Q1724" s="8"/>
      <c r="R1724" s="8"/>
      <c r="S1724" s="8"/>
      <c r="T1724" s="8"/>
      <c r="U1724" s="8"/>
      <c r="V1724" s="8"/>
      <c r="W1724" s="8"/>
      <c r="X1724" s="8"/>
      <c r="Y1724" s="8"/>
      <c r="Z1724" s="8"/>
      <c r="AA1724" s="8"/>
      <c r="AB1724" s="8"/>
      <c r="AC1724" s="8"/>
      <c r="AD1724" s="24"/>
      <c r="AE1724" s="24"/>
      <c r="AF1724" s="8"/>
      <c r="AG1724" s="8"/>
      <c r="AH1724" s="8"/>
      <c r="AI1724" s="8"/>
    </row>
    <row r="1725" spans="1:35" ht="15.75" customHeight="1" x14ac:dyDescent="0.25">
      <c r="A1725" s="8"/>
      <c r="B1725" s="8"/>
      <c r="C1725" s="8"/>
      <c r="D1725" s="8"/>
      <c r="E1725" s="5"/>
      <c r="F1725" s="16"/>
      <c r="G1725" s="16"/>
      <c r="H1725" s="5"/>
      <c r="I1725" s="5"/>
      <c r="J1725" s="5"/>
      <c r="K1725" s="5"/>
      <c r="L1725" s="5"/>
      <c r="M1725" s="48"/>
      <c r="N1725" s="18"/>
      <c r="O1725" s="22"/>
      <c r="P1725" s="22"/>
      <c r="Q1725" s="8"/>
      <c r="R1725" s="8"/>
      <c r="S1725" s="8"/>
      <c r="T1725" s="8"/>
      <c r="U1725" s="8"/>
      <c r="V1725" s="8"/>
      <c r="W1725" s="8"/>
      <c r="X1725" s="8"/>
      <c r="Y1725" s="8"/>
      <c r="Z1725" s="8"/>
      <c r="AA1725" s="8"/>
      <c r="AB1725" s="8"/>
      <c r="AC1725" s="8"/>
      <c r="AD1725" s="24"/>
      <c r="AE1725" s="24"/>
      <c r="AF1725" s="8"/>
      <c r="AG1725" s="8"/>
      <c r="AH1725" s="8"/>
      <c r="AI1725" s="8"/>
    </row>
    <row r="1726" spans="1:35" ht="15.75" customHeight="1" x14ac:dyDescent="0.25">
      <c r="A1726" s="8"/>
      <c r="B1726" s="8"/>
      <c r="C1726" s="8"/>
      <c r="D1726" s="8"/>
      <c r="E1726" s="5"/>
      <c r="F1726" s="16"/>
      <c r="G1726" s="16"/>
      <c r="H1726" s="5"/>
      <c r="I1726" s="5"/>
      <c r="J1726" s="5"/>
      <c r="K1726" s="5"/>
      <c r="L1726" s="5"/>
      <c r="M1726" s="48"/>
      <c r="N1726" s="18"/>
      <c r="O1726" s="22"/>
      <c r="P1726" s="22"/>
      <c r="Q1726" s="8"/>
      <c r="R1726" s="8"/>
      <c r="S1726" s="8"/>
      <c r="T1726" s="8"/>
      <c r="U1726" s="8"/>
      <c r="V1726" s="8"/>
      <c r="W1726" s="8"/>
      <c r="X1726" s="8"/>
      <c r="Y1726" s="8"/>
      <c r="Z1726" s="8"/>
      <c r="AA1726" s="8"/>
      <c r="AB1726" s="8"/>
      <c r="AC1726" s="8"/>
      <c r="AD1726" s="24"/>
      <c r="AE1726" s="24"/>
      <c r="AF1726" s="8"/>
      <c r="AG1726" s="8"/>
      <c r="AH1726" s="8"/>
      <c r="AI1726" s="8"/>
    </row>
    <row r="1727" spans="1:35" ht="15.75" customHeight="1" x14ac:dyDescent="0.25">
      <c r="A1727" s="8"/>
      <c r="B1727" s="8"/>
      <c r="C1727" s="8"/>
      <c r="D1727" s="8"/>
      <c r="E1727" s="5"/>
      <c r="F1727" s="16"/>
      <c r="G1727" s="16"/>
      <c r="H1727" s="5"/>
      <c r="I1727" s="5"/>
      <c r="J1727" s="5"/>
      <c r="K1727" s="5"/>
      <c r="L1727" s="5"/>
      <c r="M1727" s="48"/>
      <c r="N1727" s="18"/>
      <c r="O1727" s="22"/>
      <c r="P1727" s="22"/>
      <c r="Q1727" s="8"/>
      <c r="R1727" s="8"/>
      <c r="S1727" s="8"/>
      <c r="T1727" s="8"/>
      <c r="U1727" s="8"/>
      <c r="V1727" s="8"/>
      <c r="W1727" s="8"/>
      <c r="X1727" s="8"/>
      <c r="Y1727" s="8"/>
      <c r="Z1727" s="8"/>
      <c r="AA1727" s="8"/>
      <c r="AB1727" s="8"/>
      <c r="AC1727" s="8"/>
      <c r="AD1727" s="24"/>
      <c r="AE1727" s="24"/>
      <c r="AF1727" s="8"/>
      <c r="AG1727" s="8"/>
      <c r="AH1727" s="8"/>
      <c r="AI1727" s="8"/>
    </row>
    <row r="1728" spans="1:35" ht="15.75" customHeight="1" x14ac:dyDescent="0.25">
      <c r="A1728" s="8"/>
      <c r="B1728" s="8"/>
      <c r="C1728" s="8"/>
      <c r="D1728" s="8"/>
      <c r="E1728" s="5"/>
      <c r="F1728" s="16"/>
      <c r="G1728" s="16"/>
      <c r="H1728" s="5"/>
      <c r="I1728" s="5"/>
      <c r="J1728" s="5"/>
      <c r="K1728" s="5"/>
      <c r="L1728" s="5"/>
      <c r="M1728" s="48"/>
      <c r="N1728" s="18"/>
      <c r="O1728" s="22"/>
      <c r="P1728" s="22"/>
      <c r="Q1728" s="8"/>
      <c r="R1728" s="8"/>
      <c r="S1728" s="8"/>
      <c r="T1728" s="8"/>
      <c r="U1728" s="8"/>
      <c r="V1728" s="8"/>
      <c r="W1728" s="8"/>
      <c r="X1728" s="8"/>
      <c r="Y1728" s="8"/>
      <c r="Z1728" s="8"/>
      <c r="AA1728" s="8"/>
      <c r="AB1728" s="8"/>
      <c r="AC1728" s="8"/>
      <c r="AD1728" s="24"/>
      <c r="AE1728" s="24"/>
      <c r="AF1728" s="8"/>
      <c r="AG1728" s="8"/>
      <c r="AH1728" s="8"/>
      <c r="AI1728" s="8"/>
    </row>
    <row r="1729" spans="1:35" ht="15.75" customHeight="1" x14ac:dyDescent="0.25">
      <c r="A1729" s="8"/>
      <c r="B1729" s="8"/>
      <c r="C1729" s="8"/>
      <c r="D1729" s="8"/>
      <c r="E1729" s="5"/>
      <c r="F1729" s="16"/>
      <c r="G1729" s="16"/>
      <c r="H1729" s="5"/>
      <c r="I1729" s="5"/>
      <c r="J1729" s="5"/>
      <c r="K1729" s="5"/>
      <c r="L1729" s="5"/>
      <c r="M1729" s="48"/>
      <c r="N1729" s="18"/>
      <c r="O1729" s="22"/>
      <c r="P1729" s="22"/>
      <c r="Q1729" s="8"/>
      <c r="R1729" s="8"/>
      <c r="S1729" s="8"/>
      <c r="T1729" s="8"/>
      <c r="U1729" s="8"/>
      <c r="V1729" s="8"/>
      <c r="W1729" s="8"/>
      <c r="X1729" s="8"/>
      <c r="Y1729" s="8"/>
      <c r="Z1729" s="8"/>
      <c r="AA1729" s="8"/>
      <c r="AB1729" s="8"/>
      <c r="AC1729" s="8"/>
      <c r="AD1729" s="24"/>
      <c r="AE1729" s="24"/>
      <c r="AF1729" s="8"/>
      <c r="AG1729" s="8"/>
      <c r="AH1729" s="8"/>
      <c r="AI1729" s="8"/>
    </row>
    <row r="1730" spans="1:35" ht="15.75" customHeight="1" x14ac:dyDescent="0.25">
      <c r="A1730" s="8"/>
      <c r="B1730" s="8"/>
      <c r="C1730" s="8"/>
      <c r="D1730" s="8"/>
      <c r="E1730" s="5"/>
      <c r="F1730" s="16"/>
      <c r="G1730" s="16"/>
      <c r="H1730" s="5"/>
      <c r="I1730" s="5"/>
      <c r="J1730" s="5"/>
      <c r="K1730" s="5"/>
      <c r="L1730" s="5"/>
      <c r="M1730" s="48"/>
      <c r="N1730" s="18"/>
      <c r="O1730" s="22"/>
      <c r="P1730" s="22"/>
      <c r="Q1730" s="8"/>
      <c r="R1730" s="8"/>
      <c r="S1730" s="8"/>
      <c r="T1730" s="8"/>
      <c r="U1730" s="8"/>
      <c r="V1730" s="8"/>
      <c r="W1730" s="8"/>
      <c r="X1730" s="8"/>
      <c r="Y1730" s="8"/>
      <c r="Z1730" s="8"/>
      <c r="AA1730" s="8"/>
      <c r="AB1730" s="8"/>
      <c r="AC1730" s="8"/>
      <c r="AD1730" s="24"/>
      <c r="AE1730" s="24"/>
      <c r="AF1730" s="8"/>
      <c r="AG1730" s="8"/>
      <c r="AH1730" s="8"/>
      <c r="AI1730" s="8"/>
    </row>
    <row r="1731" spans="1:35" ht="15.75" customHeight="1" x14ac:dyDescent="0.25">
      <c r="A1731" s="8"/>
      <c r="B1731" s="8"/>
      <c r="C1731" s="8"/>
      <c r="D1731" s="8"/>
      <c r="E1731" s="5"/>
      <c r="F1731" s="16"/>
      <c r="G1731" s="16"/>
      <c r="H1731" s="5"/>
      <c r="I1731" s="5"/>
      <c r="J1731" s="5"/>
      <c r="K1731" s="5"/>
      <c r="L1731" s="5"/>
      <c r="M1731" s="48"/>
      <c r="N1731" s="18"/>
      <c r="O1731" s="22"/>
      <c r="P1731" s="22"/>
      <c r="Q1731" s="8"/>
      <c r="R1731" s="8"/>
      <c r="S1731" s="8"/>
      <c r="T1731" s="8"/>
      <c r="U1731" s="8"/>
      <c r="V1731" s="8"/>
      <c r="W1731" s="8"/>
      <c r="X1731" s="8"/>
      <c r="Y1731" s="8"/>
      <c r="Z1731" s="8"/>
      <c r="AA1731" s="8"/>
      <c r="AB1731" s="8"/>
      <c r="AC1731" s="8"/>
      <c r="AD1731" s="24"/>
      <c r="AE1731" s="24"/>
      <c r="AF1731" s="8"/>
      <c r="AG1731" s="8"/>
      <c r="AH1731" s="8"/>
      <c r="AI1731" s="8"/>
    </row>
    <row r="1732" spans="1:35" ht="15.75" customHeight="1" x14ac:dyDescent="0.25">
      <c r="A1732" s="8"/>
      <c r="B1732" s="8"/>
      <c r="C1732" s="8"/>
      <c r="D1732" s="8"/>
      <c r="E1732" s="5"/>
      <c r="F1732" s="16"/>
      <c r="G1732" s="16"/>
      <c r="H1732" s="5"/>
      <c r="I1732" s="5"/>
      <c r="J1732" s="5"/>
      <c r="K1732" s="5"/>
      <c r="L1732" s="5"/>
      <c r="M1732" s="48"/>
      <c r="N1732" s="18"/>
      <c r="O1732" s="22"/>
      <c r="P1732" s="22"/>
      <c r="Q1732" s="8"/>
      <c r="R1732" s="8"/>
      <c r="S1732" s="8"/>
      <c r="T1732" s="8"/>
      <c r="U1732" s="8"/>
      <c r="V1732" s="8"/>
      <c r="W1732" s="8"/>
      <c r="X1732" s="8"/>
      <c r="Y1732" s="8"/>
      <c r="Z1732" s="8"/>
      <c r="AA1732" s="8"/>
      <c r="AB1732" s="8"/>
      <c r="AC1732" s="8"/>
      <c r="AD1732" s="24"/>
      <c r="AE1732" s="24"/>
      <c r="AF1732" s="8"/>
      <c r="AG1732" s="8"/>
      <c r="AH1732" s="8"/>
      <c r="AI1732" s="8"/>
    </row>
    <row r="1733" spans="1:35" ht="15.75" customHeight="1" x14ac:dyDescent="0.25">
      <c r="A1733" s="8"/>
      <c r="B1733" s="8"/>
      <c r="C1733" s="8"/>
      <c r="D1733" s="8"/>
      <c r="E1733" s="5"/>
      <c r="F1733" s="16"/>
      <c r="G1733" s="16"/>
      <c r="H1733" s="5"/>
      <c r="I1733" s="5"/>
      <c r="J1733" s="5"/>
      <c r="K1733" s="5"/>
      <c r="L1733" s="5"/>
      <c r="M1733" s="48"/>
      <c r="N1733" s="18"/>
      <c r="O1733" s="22"/>
      <c r="P1733" s="22"/>
      <c r="Q1733" s="8"/>
      <c r="R1733" s="8"/>
      <c r="S1733" s="8"/>
      <c r="T1733" s="8"/>
      <c r="U1733" s="8"/>
      <c r="V1733" s="8"/>
      <c r="W1733" s="8"/>
      <c r="X1733" s="8"/>
      <c r="Y1733" s="8"/>
      <c r="Z1733" s="8"/>
      <c r="AA1733" s="8"/>
      <c r="AB1733" s="8"/>
      <c r="AC1733" s="8"/>
      <c r="AD1733" s="24"/>
      <c r="AE1733" s="24"/>
      <c r="AF1733" s="8"/>
      <c r="AG1733" s="8"/>
      <c r="AH1733" s="8"/>
      <c r="AI1733" s="8"/>
    </row>
    <row r="1734" spans="1:35" ht="15.75" customHeight="1" x14ac:dyDescent="0.25">
      <c r="A1734" s="8"/>
      <c r="B1734" s="8"/>
      <c r="C1734" s="8"/>
      <c r="D1734" s="8"/>
      <c r="E1734" s="5"/>
      <c r="F1734" s="16"/>
      <c r="G1734" s="16"/>
      <c r="H1734" s="5"/>
      <c r="I1734" s="5"/>
      <c r="J1734" s="5"/>
      <c r="K1734" s="5"/>
      <c r="L1734" s="5"/>
      <c r="M1734" s="48"/>
      <c r="N1734" s="18"/>
      <c r="O1734" s="22"/>
      <c r="P1734" s="22"/>
      <c r="Q1734" s="8"/>
      <c r="R1734" s="8"/>
      <c r="S1734" s="8"/>
      <c r="T1734" s="8"/>
      <c r="U1734" s="8"/>
      <c r="V1734" s="8"/>
      <c r="W1734" s="8"/>
      <c r="X1734" s="8"/>
      <c r="Y1734" s="8"/>
      <c r="Z1734" s="8"/>
      <c r="AA1734" s="8"/>
      <c r="AB1734" s="8"/>
      <c r="AC1734" s="8"/>
      <c r="AD1734" s="24"/>
      <c r="AE1734" s="24"/>
      <c r="AF1734" s="8"/>
      <c r="AG1734" s="8"/>
      <c r="AH1734" s="8"/>
      <c r="AI1734" s="8"/>
    </row>
    <row r="1735" spans="1:35" ht="15.75" customHeight="1" x14ac:dyDescent="0.25">
      <c r="A1735" s="8"/>
      <c r="B1735" s="8"/>
      <c r="C1735" s="8"/>
      <c r="D1735" s="8"/>
      <c r="E1735" s="5"/>
      <c r="F1735" s="16"/>
      <c r="G1735" s="16"/>
      <c r="H1735" s="5"/>
      <c r="I1735" s="5"/>
      <c r="J1735" s="5"/>
      <c r="K1735" s="5"/>
      <c r="L1735" s="5"/>
      <c r="M1735" s="48"/>
      <c r="N1735" s="18"/>
      <c r="O1735" s="22"/>
      <c r="P1735" s="22"/>
      <c r="Q1735" s="8"/>
      <c r="R1735" s="8"/>
      <c r="S1735" s="8"/>
      <c r="T1735" s="8"/>
      <c r="U1735" s="8"/>
      <c r="V1735" s="8"/>
      <c r="W1735" s="8"/>
      <c r="X1735" s="8"/>
      <c r="Y1735" s="8"/>
      <c r="Z1735" s="8"/>
      <c r="AA1735" s="8"/>
      <c r="AB1735" s="8"/>
      <c r="AC1735" s="8"/>
      <c r="AD1735" s="24"/>
      <c r="AE1735" s="24"/>
      <c r="AF1735" s="8"/>
      <c r="AG1735" s="8"/>
      <c r="AH1735" s="8"/>
      <c r="AI1735" s="8"/>
    </row>
    <row r="1736" spans="1:35" ht="15.75" customHeight="1" x14ac:dyDescent="0.25">
      <c r="A1736" s="8"/>
      <c r="B1736" s="8"/>
      <c r="C1736" s="8"/>
      <c r="D1736" s="8"/>
      <c r="E1736" s="5"/>
      <c r="F1736" s="16"/>
      <c r="G1736" s="16"/>
      <c r="H1736" s="5"/>
      <c r="I1736" s="741"/>
      <c r="J1736" s="742"/>
      <c r="K1736" s="5"/>
      <c r="L1736" s="5"/>
      <c r="M1736" s="48"/>
      <c r="N1736" s="18"/>
      <c r="O1736" s="22"/>
      <c r="P1736" s="22"/>
      <c r="Q1736" s="8"/>
      <c r="R1736" s="8"/>
      <c r="S1736" s="8"/>
      <c r="T1736" s="8"/>
      <c r="U1736" s="8"/>
      <c r="V1736" s="8"/>
      <c r="W1736" s="8"/>
      <c r="X1736" s="8"/>
      <c r="Y1736" s="8"/>
      <c r="Z1736" s="8"/>
      <c r="AA1736" s="8"/>
      <c r="AB1736" s="8"/>
      <c r="AC1736" s="8"/>
      <c r="AD1736" s="24"/>
      <c r="AE1736" s="24"/>
      <c r="AF1736" s="8"/>
      <c r="AG1736" s="8"/>
      <c r="AH1736" s="8"/>
      <c r="AI1736" s="8"/>
    </row>
    <row r="1737" spans="1:35" ht="15.75" customHeight="1" x14ac:dyDescent="0.25">
      <c r="A1737" s="8"/>
      <c r="B1737" s="8"/>
      <c r="C1737" s="8"/>
      <c r="D1737" s="8"/>
      <c r="E1737" s="5"/>
      <c r="F1737" s="16"/>
      <c r="G1737" s="16"/>
      <c r="H1737" s="5"/>
      <c r="I1737" s="741"/>
      <c r="J1737" s="742"/>
      <c r="K1737" s="5"/>
      <c r="L1737" s="5"/>
      <c r="M1737" s="48"/>
      <c r="N1737" s="18"/>
      <c r="O1737" s="22"/>
      <c r="P1737" s="22"/>
      <c r="Q1737" s="8"/>
      <c r="R1737" s="8"/>
      <c r="S1737" s="8"/>
      <c r="T1737" s="8"/>
      <c r="U1737" s="8"/>
      <c r="V1737" s="8"/>
      <c r="W1737" s="8"/>
      <c r="X1737" s="8"/>
      <c r="Y1737" s="8"/>
      <c r="Z1737" s="8"/>
      <c r="AA1737" s="8"/>
      <c r="AB1737" s="8"/>
      <c r="AC1737" s="8"/>
      <c r="AD1737" s="24"/>
      <c r="AE1737" s="24"/>
      <c r="AF1737" s="8"/>
      <c r="AG1737" s="8"/>
      <c r="AH1737" s="8"/>
      <c r="AI1737" s="8"/>
    </row>
    <row r="1738" spans="1:35" ht="15.75" customHeight="1" x14ac:dyDescent="0.25">
      <c r="A1738" s="8"/>
      <c r="B1738" s="8"/>
      <c r="C1738" s="8"/>
      <c r="D1738" s="8"/>
      <c r="E1738" s="5"/>
      <c r="F1738" s="16"/>
      <c r="G1738" s="16"/>
      <c r="H1738" s="5"/>
      <c r="I1738" s="741"/>
      <c r="J1738" s="742"/>
      <c r="K1738" s="5"/>
      <c r="L1738" s="5"/>
      <c r="M1738" s="48"/>
      <c r="N1738" s="18"/>
      <c r="O1738" s="22"/>
      <c r="P1738" s="22"/>
      <c r="Q1738" s="8"/>
      <c r="R1738" s="8"/>
      <c r="S1738" s="8"/>
      <c r="T1738" s="8"/>
      <c r="U1738" s="8"/>
      <c r="V1738" s="8"/>
      <c r="W1738" s="8"/>
      <c r="X1738" s="8"/>
      <c r="Y1738" s="8"/>
      <c r="Z1738" s="8"/>
      <c r="AA1738" s="8"/>
      <c r="AB1738" s="8"/>
      <c r="AC1738" s="8"/>
      <c r="AD1738" s="24"/>
      <c r="AE1738" s="24"/>
      <c r="AF1738" s="8"/>
      <c r="AG1738" s="8"/>
      <c r="AH1738" s="8"/>
      <c r="AI1738" s="8"/>
    </row>
    <row r="1739" spans="1:35" ht="15.75" customHeight="1" x14ac:dyDescent="0.25">
      <c r="A1739" s="8"/>
      <c r="B1739" s="8"/>
      <c r="C1739" s="8"/>
      <c r="D1739" s="8"/>
      <c r="E1739" s="5"/>
      <c r="F1739" s="16"/>
      <c r="G1739" s="16"/>
      <c r="H1739" s="5"/>
      <c r="I1739" s="741"/>
      <c r="J1739" s="742"/>
      <c r="K1739" s="5"/>
      <c r="L1739" s="5"/>
      <c r="M1739" s="48"/>
      <c r="N1739" s="18"/>
      <c r="O1739" s="22"/>
      <c r="P1739" s="22"/>
      <c r="Q1739" s="8"/>
      <c r="R1739" s="8"/>
      <c r="S1739" s="8"/>
      <c r="T1739" s="8"/>
      <c r="U1739" s="8"/>
      <c r="V1739" s="8"/>
      <c r="W1739" s="8"/>
      <c r="X1739" s="8"/>
      <c r="Y1739" s="8"/>
      <c r="Z1739" s="8"/>
      <c r="AA1739" s="8"/>
      <c r="AB1739" s="8"/>
      <c r="AC1739" s="8"/>
      <c r="AD1739" s="24"/>
      <c r="AE1739" s="24"/>
      <c r="AF1739" s="8"/>
      <c r="AG1739" s="8"/>
      <c r="AH1739" s="8"/>
      <c r="AI1739" s="8"/>
    </row>
    <row r="1740" spans="1:35" ht="15.75" customHeight="1" x14ac:dyDescent="0.25">
      <c r="A1740" s="8"/>
      <c r="B1740" s="8"/>
      <c r="C1740" s="8"/>
      <c r="D1740" s="8"/>
      <c r="E1740" s="5"/>
      <c r="F1740" s="16"/>
      <c r="G1740" s="16"/>
      <c r="H1740" s="5"/>
      <c r="I1740" s="741"/>
      <c r="J1740" s="742"/>
      <c r="K1740" s="5"/>
      <c r="L1740" s="5"/>
      <c r="M1740" s="48"/>
      <c r="N1740" s="18"/>
      <c r="O1740" s="22"/>
      <c r="P1740" s="22"/>
      <c r="Q1740" s="8"/>
      <c r="R1740" s="8"/>
      <c r="S1740" s="8"/>
      <c r="T1740" s="8"/>
      <c r="U1740" s="8"/>
      <c r="V1740" s="8"/>
      <c r="W1740" s="8"/>
      <c r="X1740" s="8"/>
      <c r="Y1740" s="8"/>
      <c r="Z1740" s="8"/>
      <c r="AA1740" s="8"/>
      <c r="AB1740" s="8"/>
      <c r="AC1740" s="8"/>
      <c r="AD1740" s="24"/>
      <c r="AE1740" s="24"/>
      <c r="AF1740" s="8"/>
      <c r="AG1740" s="8"/>
      <c r="AH1740" s="8"/>
      <c r="AI1740" s="8"/>
    </row>
    <row r="1741" spans="1:35" ht="15.75" customHeight="1" x14ac:dyDescent="0.25">
      <c r="A1741" s="8"/>
      <c r="B1741" s="8"/>
      <c r="C1741" s="8"/>
      <c r="D1741" s="8"/>
      <c r="E1741" s="5"/>
      <c r="F1741" s="16"/>
      <c r="G1741" s="16"/>
      <c r="H1741" s="5"/>
      <c r="I1741" s="5"/>
      <c r="J1741" s="5"/>
      <c r="K1741" s="5"/>
      <c r="L1741" s="5"/>
      <c r="M1741" s="48"/>
      <c r="N1741" s="18"/>
      <c r="O1741" s="22"/>
      <c r="P1741" s="22"/>
      <c r="Q1741" s="8"/>
      <c r="R1741" s="8"/>
      <c r="S1741" s="8"/>
      <c r="T1741" s="8"/>
      <c r="U1741" s="8"/>
      <c r="V1741" s="8"/>
      <c r="W1741" s="8"/>
      <c r="X1741" s="8"/>
      <c r="Y1741" s="8"/>
      <c r="Z1741" s="8"/>
      <c r="AA1741" s="8"/>
      <c r="AB1741" s="8"/>
      <c r="AC1741" s="8"/>
      <c r="AD1741" s="24"/>
      <c r="AE1741" s="24"/>
      <c r="AF1741" s="8"/>
      <c r="AG1741" s="8"/>
      <c r="AH1741" s="8"/>
      <c r="AI1741" s="8"/>
    </row>
    <row r="1742" spans="1:35" ht="15.75" customHeight="1" x14ac:dyDescent="0.25">
      <c r="A1742" s="8"/>
      <c r="B1742" s="8"/>
      <c r="C1742" s="8"/>
      <c r="D1742" s="8"/>
      <c r="E1742" s="5"/>
      <c r="F1742" s="16"/>
      <c r="G1742" s="16"/>
      <c r="H1742" s="5"/>
      <c r="I1742" s="5"/>
      <c r="J1742" s="5"/>
      <c r="K1742" s="5"/>
      <c r="L1742" s="5"/>
      <c r="M1742" s="48"/>
      <c r="N1742" s="18"/>
      <c r="O1742" s="22"/>
      <c r="P1742" s="22"/>
      <c r="Q1742" s="8"/>
      <c r="R1742" s="8"/>
      <c r="S1742" s="8"/>
      <c r="T1742" s="8"/>
      <c r="U1742" s="8"/>
      <c r="V1742" s="8"/>
      <c r="W1742" s="8"/>
      <c r="X1742" s="8"/>
      <c r="Y1742" s="8"/>
      <c r="Z1742" s="8"/>
      <c r="AA1742" s="8"/>
      <c r="AB1742" s="8"/>
      <c r="AC1742" s="8"/>
      <c r="AD1742" s="24"/>
      <c r="AE1742" s="24"/>
      <c r="AF1742" s="8"/>
      <c r="AG1742" s="8"/>
      <c r="AH1742" s="8"/>
      <c r="AI1742" s="8"/>
    </row>
    <row r="1743" spans="1:35" ht="15.75" customHeight="1" x14ac:dyDescent="0.25">
      <c r="A1743" s="8"/>
      <c r="B1743" s="8"/>
      <c r="C1743" s="8"/>
      <c r="D1743" s="8"/>
      <c r="E1743" s="5"/>
      <c r="F1743" s="16"/>
      <c r="G1743" s="16"/>
      <c r="H1743" s="5"/>
      <c r="I1743" s="5"/>
      <c r="J1743" s="5"/>
      <c r="K1743" s="5"/>
      <c r="L1743" s="5"/>
      <c r="M1743" s="48"/>
      <c r="N1743" s="18"/>
      <c r="O1743" s="22"/>
      <c r="P1743" s="22"/>
      <c r="Q1743" s="8"/>
      <c r="R1743" s="8"/>
      <c r="S1743" s="8"/>
      <c r="T1743" s="8"/>
      <c r="U1743" s="8"/>
      <c r="V1743" s="8"/>
      <c r="W1743" s="8"/>
      <c r="X1743" s="8"/>
      <c r="Y1743" s="8"/>
      <c r="Z1743" s="8"/>
      <c r="AA1743" s="8"/>
      <c r="AB1743" s="8"/>
      <c r="AC1743" s="8"/>
      <c r="AD1743" s="24"/>
      <c r="AE1743" s="24"/>
      <c r="AF1743" s="8"/>
      <c r="AG1743" s="8"/>
      <c r="AH1743" s="8"/>
      <c r="AI1743" s="8"/>
    </row>
    <row r="1744" spans="1:35" ht="15.75" customHeight="1" x14ac:dyDescent="0.25">
      <c r="A1744" s="8"/>
      <c r="B1744" s="8"/>
      <c r="C1744" s="8"/>
      <c r="D1744" s="8"/>
      <c r="E1744" s="5"/>
      <c r="F1744" s="16"/>
      <c r="G1744" s="16"/>
      <c r="H1744" s="5"/>
      <c r="I1744" s="5"/>
      <c r="J1744" s="5"/>
      <c r="K1744" s="5"/>
      <c r="L1744" s="5"/>
      <c r="M1744" s="48"/>
      <c r="N1744" s="18"/>
      <c r="O1744" s="22"/>
      <c r="P1744" s="22"/>
      <c r="Q1744" s="8"/>
      <c r="R1744" s="8"/>
      <c r="S1744" s="8"/>
      <c r="T1744" s="8"/>
      <c r="U1744" s="8"/>
      <c r="V1744" s="8"/>
      <c r="W1744" s="8"/>
      <c r="X1744" s="8"/>
      <c r="Y1744" s="8"/>
      <c r="Z1744" s="8"/>
      <c r="AA1744" s="8"/>
      <c r="AB1744" s="8"/>
      <c r="AC1744" s="8"/>
      <c r="AD1744" s="24"/>
      <c r="AE1744" s="24"/>
      <c r="AF1744" s="8"/>
      <c r="AG1744" s="8"/>
      <c r="AH1744" s="8"/>
      <c r="AI1744" s="8"/>
    </row>
    <row r="1745" spans="1:35" ht="15.75" customHeight="1" x14ac:dyDescent="0.25">
      <c r="A1745" s="8"/>
      <c r="B1745" s="8"/>
      <c r="C1745" s="8"/>
      <c r="D1745" s="8"/>
      <c r="E1745" s="5"/>
      <c r="F1745" s="16"/>
      <c r="G1745" s="16"/>
      <c r="H1745" s="5"/>
      <c r="I1745" s="5"/>
      <c r="J1745" s="5"/>
      <c r="K1745" s="5"/>
      <c r="L1745" s="5"/>
      <c r="M1745" s="48"/>
      <c r="N1745" s="18"/>
      <c r="O1745" s="22"/>
      <c r="P1745" s="22"/>
      <c r="Q1745" s="8"/>
      <c r="R1745" s="8"/>
      <c r="S1745" s="8"/>
      <c r="T1745" s="8"/>
      <c r="U1745" s="8"/>
      <c r="V1745" s="8"/>
      <c r="W1745" s="8"/>
      <c r="X1745" s="8"/>
      <c r="Y1745" s="8"/>
      <c r="Z1745" s="8"/>
      <c r="AA1745" s="8"/>
      <c r="AB1745" s="8"/>
      <c r="AC1745" s="8"/>
      <c r="AD1745" s="24"/>
      <c r="AE1745" s="24"/>
      <c r="AF1745" s="8"/>
      <c r="AG1745" s="8"/>
      <c r="AH1745" s="8"/>
      <c r="AI1745" s="8"/>
    </row>
    <row r="1746" spans="1:35" ht="15.75" customHeight="1" x14ac:dyDescent="0.25">
      <c r="A1746" s="8"/>
      <c r="B1746" s="8"/>
      <c r="C1746" s="8"/>
      <c r="D1746" s="8"/>
      <c r="E1746" s="5"/>
      <c r="F1746" s="16"/>
      <c r="G1746" s="16"/>
      <c r="H1746" s="5"/>
      <c r="I1746" s="5"/>
      <c r="J1746" s="5"/>
      <c r="K1746" s="5"/>
      <c r="L1746" s="5"/>
      <c r="M1746" s="48"/>
      <c r="N1746" s="18"/>
      <c r="O1746" s="22"/>
      <c r="P1746" s="22"/>
      <c r="Q1746" s="8"/>
      <c r="R1746" s="8"/>
      <c r="S1746" s="8"/>
      <c r="T1746" s="8"/>
      <c r="U1746" s="8"/>
      <c r="V1746" s="8"/>
      <c r="W1746" s="8"/>
      <c r="X1746" s="8"/>
      <c r="Y1746" s="8"/>
      <c r="Z1746" s="8"/>
      <c r="AA1746" s="8"/>
      <c r="AB1746" s="8"/>
      <c r="AC1746" s="8"/>
      <c r="AD1746" s="24"/>
      <c r="AE1746" s="24"/>
      <c r="AF1746" s="8"/>
      <c r="AG1746" s="8"/>
      <c r="AH1746" s="8"/>
      <c r="AI1746" s="8"/>
    </row>
    <row r="1747" spans="1:35" ht="15.75" customHeight="1" x14ac:dyDescent="0.25">
      <c r="A1747" s="8"/>
      <c r="B1747" s="8"/>
      <c r="C1747" s="8"/>
      <c r="D1747" s="8"/>
      <c r="E1747" s="5"/>
      <c r="F1747" s="16"/>
      <c r="G1747" s="16"/>
      <c r="H1747" s="5"/>
      <c r="I1747" s="741"/>
      <c r="J1747" s="742"/>
      <c r="K1747" s="5"/>
      <c r="L1747" s="5"/>
      <c r="M1747" s="48"/>
      <c r="N1747" s="18"/>
      <c r="O1747" s="22"/>
      <c r="P1747" s="22"/>
      <c r="Q1747" s="8"/>
      <c r="R1747" s="8"/>
      <c r="S1747" s="8"/>
      <c r="T1747" s="8"/>
      <c r="U1747" s="8"/>
      <c r="V1747" s="8"/>
      <c r="W1747" s="8"/>
      <c r="X1747" s="8"/>
      <c r="Y1747" s="8"/>
      <c r="Z1747" s="8"/>
      <c r="AA1747" s="8"/>
      <c r="AB1747" s="8"/>
      <c r="AC1747" s="8"/>
      <c r="AD1747" s="24"/>
      <c r="AE1747" s="24"/>
      <c r="AF1747" s="8"/>
      <c r="AG1747" s="8"/>
      <c r="AH1747" s="8"/>
      <c r="AI1747" s="8"/>
    </row>
    <row r="1748" spans="1:35" ht="15.75" customHeight="1" x14ac:dyDescent="0.25">
      <c r="A1748" s="8"/>
      <c r="B1748" s="8"/>
      <c r="C1748" s="8"/>
      <c r="D1748" s="8"/>
      <c r="E1748" s="5"/>
      <c r="F1748" s="16"/>
      <c r="G1748" s="16"/>
      <c r="H1748" s="5"/>
      <c r="I1748" s="5"/>
      <c r="J1748" s="5"/>
      <c r="K1748" s="5"/>
      <c r="L1748" s="5"/>
      <c r="M1748" s="48"/>
      <c r="N1748" s="18"/>
      <c r="O1748" s="22"/>
      <c r="P1748" s="22"/>
      <c r="Q1748" s="8"/>
      <c r="R1748" s="8"/>
      <c r="S1748" s="8"/>
      <c r="T1748" s="8"/>
      <c r="U1748" s="8"/>
      <c r="V1748" s="8"/>
      <c r="W1748" s="8"/>
      <c r="X1748" s="8"/>
      <c r="Y1748" s="8"/>
      <c r="Z1748" s="8"/>
      <c r="AA1748" s="8"/>
      <c r="AB1748" s="8"/>
      <c r="AC1748" s="8"/>
      <c r="AD1748" s="24"/>
      <c r="AE1748" s="24"/>
      <c r="AF1748" s="8"/>
      <c r="AG1748" s="8"/>
      <c r="AH1748" s="8"/>
      <c r="AI1748" s="8"/>
    </row>
    <row r="1749" spans="1:35" ht="15.75" customHeight="1" x14ac:dyDescent="0.25">
      <c r="A1749" s="8"/>
      <c r="B1749" s="8"/>
      <c r="C1749" s="8"/>
      <c r="D1749" s="8"/>
      <c r="E1749" s="5"/>
      <c r="F1749" s="16"/>
      <c r="G1749" s="16"/>
      <c r="H1749" s="5"/>
      <c r="I1749" s="5"/>
      <c r="J1749" s="5"/>
      <c r="K1749" s="5"/>
      <c r="L1749" s="5"/>
      <c r="M1749" s="48"/>
      <c r="N1749" s="18"/>
      <c r="O1749" s="22"/>
      <c r="P1749" s="22"/>
      <c r="Q1749" s="8"/>
      <c r="R1749" s="8"/>
      <c r="S1749" s="8"/>
      <c r="T1749" s="8"/>
      <c r="U1749" s="8"/>
      <c r="V1749" s="8"/>
      <c r="W1749" s="8"/>
      <c r="X1749" s="8"/>
      <c r="Y1749" s="8"/>
      <c r="Z1749" s="8"/>
      <c r="AA1749" s="8"/>
      <c r="AB1749" s="8"/>
      <c r="AC1749" s="8"/>
      <c r="AD1749" s="24"/>
      <c r="AE1749" s="24"/>
      <c r="AF1749" s="8"/>
      <c r="AG1749" s="8"/>
      <c r="AH1749" s="8"/>
      <c r="AI1749" s="8"/>
    </row>
    <row r="1750" spans="1:35" ht="15.75" customHeight="1" x14ac:dyDescent="0.25">
      <c r="A1750" s="8"/>
      <c r="B1750" s="8"/>
      <c r="C1750" s="8"/>
      <c r="D1750" s="8"/>
      <c r="E1750" s="5"/>
      <c r="F1750" s="16"/>
      <c r="G1750" s="16"/>
      <c r="H1750" s="5"/>
      <c r="I1750" s="5"/>
      <c r="J1750" s="5"/>
      <c r="K1750" s="5"/>
      <c r="L1750" s="5"/>
      <c r="M1750" s="48"/>
      <c r="N1750" s="18"/>
      <c r="O1750" s="22"/>
      <c r="P1750" s="22"/>
      <c r="Q1750" s="8"/>
      <c r="R1750" s="8"/>
      <c r="S1750" s="8"/>
      <c r="T1750" s="8"/>
      <c r="U1750" s="8"/>
      <c r="V1750" s="8"/>
      <c r="W1750" s="8"/>
      <c r="X1750" s="8"/>
      <c r="Y1750" s="8"/>
      <c r="Z1750" s="8"/>
      <c r="AA1750" s="8"/>
      <c r="AB1750" s="8"/>
      <c r="AC1750" s="8"/>
      <c r="AD1750" s="24"/>
      <c r="AE1750" s="24"/>
      <c r="AF1750" s="8"/>
      <c r="AG1750" s="8"/>
      <c r="AH1750" s="8"/>
      <c r="AI1750" s="8"/>
    </row>
    <row r="1751" spans="1:35" ht="15.75" customHeight="1" x14ac:dyDescent="0.25">
      <c r="A1751" s="8"/>
      <c r="B1751" s="8"/>
      <c r="C1751" s="8"/>
      <c r="D1751" s="8"/>
      <c r="E1751" s="5"/>
      <c r="F1751" s="16"/>
      <c r="G1751" s="16"/>
      <c r="H1751" s="5"/>
      <c r="I1751" s="5"/>
      <c r="J1751" s="5"/>
      <c r="K1751" s="5"/>
      <c r="L1751" s="5"/>
      <c r="M1751" s="48"/>
      <c r="N1751" s="18"/>
      <c r="O1751" s="22"/>
      <c r="P1751" s="22"/>
      <c r="Q1751" s="8"/>
      <c r="R1751" s="8"/>
      <c r="S1751" s="8"/>
      <c r="T1751" s="8"/>
      <c r="U1751" s="8"/>
      <c r="V1751" s="8"/>
      <c r="W1751" s="8"/>
      <c r="X1751" s="8"/>
      <c r="Y1751" s="8"/>
      <c r="Z1751" s="8"/>
      <c r="AA1751" s="8"/>
      <c r="AB1751" s="8"/>
      <c r="AC1751" s="8"/>
      <c r="AD1751" s="24"/>
      <c r="AE1751" s="24"/>
      <c r="AF1751" s="8"/>
      <c r="AG1751" s="8"/>
      <c r="AH1751" s="8"/>
      <c r="AI1751" s="8"/>
    </row>
    <row r="1752" spans="1:35" ht="15.75" customHeight="1" x14ac:dyDescent="0.25">
      <c r="A1752" s="8"/>
      <c r="B1752" s="8"/>
      <c r="C1752" s="8"/>
      <c r="D1752" s="8"/>
      <c r="E1752" s="5"/>
      <c r="F1752" s="16"/>
      <c r="G1752" s="16"/>
      <c r="H1752" s="5"/>
      <c r="I1752" s="5"/>
      <c r="J1752" s="5"/>
      <c r="K1752" s="5"/>
      <c r="L1752" s="5"/>
      <c r="M1752" s="48"/>
      <c r="N1752" s="18"/>
      <c r="O1752" s="22"/>
      <c r="P1752" s="22"/>
      <c r="Q1752" s="8"/>
      <c r="R1752" s="8"/>
      <c r="S1752" s="8"/>
      <c r="T1752" s="8"/>
      <c r="U1752" s="8"/>
      <c r="V1752" s="8"/>
      <c r="W1752" s="8"/>
      <c r="X1752" s="8"/>
      <c r="Y1752" s="8"/>
      <c r="Z1752" s="8"/>
      <c r="AA1752" s="8"/>
      <c r="AB1752" s="8"/>
      <c r="AC1752" s="8"/>
      <c r="AD1752" s="24"/>
      <c r="AE1752" s="24"/>
      <c r="AF1752" s="8"/>
      <c r="AG1752" s="8"/>
      <c r="AH1752" s="8"/>
      <c r="AI1752" s="8"/>
    </row>
    <row r="1753" spans="1:35" ht="15.75" customHeight="1" x14ac:dyDescent="0.25">
      <c r="A1753" s="8"/>
      <c r="B1753" s="8"/>
      <c r="C1753" s="8"/>
      <c r="D1753" s="8"/>
      <c r="E1753" s="5"/>
      <c r="F1753" s="16"/>
      <c r="G1753" s="16"/>
      <c r="H1753" s="5"/>
      <c r="I1753" s="5"/>
      <c r="J1753" s="5"/>
      <c r="K1753" s="5"/>
      <c r="L1753" s="5"/>
      <c r="M1753" s="48"/>
      <c r="N1753" s="18"/>
      <c r="O1753" s="22"/>
      <c r="P1753" s="22"/>
      <c r="Q1753" s="8"/>
      <c r="R1753" s="8"/>
      <c r="S1753" s="8"/>
      <c r="T1753" s="8"/>
      <c r="U1753" s="8"/>
      <c r="V1753" s="8"/>
      <c r="W1753" s="8"/>
      <c r="X1753" s="8"/>
      <c r="Y1753" s="8"/>
      <c r="Z1753" s="8"/>
      <c r="AA1753" s="8"/>
      <c r="AB1753" s="8"/>
      <c r="AC1753" s="8"/>
      <c r="AD1753" s="24"/>
      <c r="AE1753" s="24"/>
      <c r="AF1753" s="8"/>
      <c r="AG1753" s="8"/>
      <c r="AH1753" s="8"/>
      <c r="AI1753" s="8"/>
    </row>
    <row r="1754" spans="1:35" ht="15.75" customHeight="1" x14ac:dyDescent="0.25">
      <c r="A1754" s="8"/>
      <c r="B1754" s="8"/>
      <c r="C1754" s="8"/>
      <c r="D1754" s="8"/>
      <c r="E1754" s="5"/>
      <c r="F1754" s="16"/>
      <c r="G1754" s="16"/>
      <c r="H1754" s="5"/>
      <c r="I1754" s="5"/>
      <c r="J1754" s="5"/>
      <c r="K1754" s="5"/>
      <c r="L1754" s="5"/>
      <c r="M1754" s="48"/>
      <c r="N1754" s="18"/>
      <c r="O1754" s="22"/>
      <c r="P1754" s="22"/>
      <c r="Q1754" s="8"/>
      <c r="R1754" s="8"/>
      <c r="S1754" s="8"/>
      <c r="T1754" s="8"/>
      <c r="U1754" s="8"/>
      <c r="V1754" s="8"/>
      <c r="W1754" s="8"/>
      <c r="X1754" s="8"/>
      <c r="Y1754" s="8"/>
      <c r="Z1754" s="8"/>
      <c r="AA1754" s="8"/>
      <c r="AB1754" s="8"/>
      <c r="AC1754" s="8"/>
      <c r="AD1754" s="24"/>
      <c r="AE1754" s="24"/>
      <c r="AF1754" s="8"/>
      <c r="AG1754" s="8"/>
      <c r="AH1754" s="8"/>
      <c r="AI1754" s="8"/>
    </row>
    <row r="1755" spans="1:35" ht="15.75" customHeight="1" x14ac:dyDescent="0.25">
      <c r="A1755" s="8"/>
      <c r="B1755" s="8"/>
      <c r="C1755" s="8"/>
      <c r="D1755" s="8"/>
      <c r="E1755" s="5"/>
      <c r="F1755" s="16"/>
      <c r="G1755" s="16"/>
      <c r="H1755" s="5"/>
      <c r="I1755" s="5"/>
      <c r="J1755" s="5"/>
      <c r="K1755" s="5"/>
      <c r="L1755" s="5"/>
      <c r="M1755" s="48"/>
      <c r="N1755" s="18"/>
      <c r="O1755" s="22"/>
      <c r="P1755" s="22"/>
      <c r="Q1755" s="8"/>
      <c r="R1755" s="8"/>
      <c r="S1755" s="8"/>
      <c r="T1755" s="8"/>
      <c r="U1755" s="8"/>
      <c r="V1755" s="8"/>
      <c r="W1755" s="8"/>
      <c r="X1755" s="8"/>
      <c r="Y1755" s="8"/>
      <c r="Z1755" s="8"/>
      <c r="AA1755" s="8"/>
      <c r="AB1755" s="8"/>
      <c r="AC1755" s="8"/>
      <c r="AD1755" s="24"/>
      <c r="AE1755" s="24"/>
      <c r="AF1755" s="8"/>
      <c r="AG1755" s="8"/>
      <c r="AH1755" s="8"/>
      <c r="AI1755" s="8"/>
    </row>
    <row r="1756" spans="1:35" ht="15.75" customHeight="1" x14ac:dyDescent="0.25">
      <c r="A1756" s="8"/>
      <c r="B1756" s="8"/>
      <c r="C1756" s="8"/>
      <c r="D1756" s="8"/>
      <c r="E1756" s="5"/>
      <c r="F1756" s="16"/>
      <c r="G1756" s="16"/>
      <c r="H1756" s="5"/>
      <c r="I1756" s="5"/>
      <c r="J1756" s="5"/>
      <c r="K1756" s="5"/>
      <c r="L1756" s="5"/>
      <c r="M1756" s="48"/>
      <c r="N1756" s="18"/>
      <c r="O1756" s="22"/>
      <c r="P1756" s="22"/>
      <c r="Q1756" s="8"/>
      <c r="R1756" s="8"/>
      <c r="S1756" s="8"/>
      <c r="T1756" s="8"/>
      <c r="U1756" s="8"/>
      <c r="V1756" s="8"/>
      <c r="W1756" s="8"/>
      <c r="X1756" s="8"/>
      <c r="Y1756" s="8"/>
      <c r="Z1756" s="8"/>
      <c r="AA1756" s="8"/>
      <c r="AB1756" s="8"/>
      <c r="AC1756" s="8"/>
      <c r="AD1756" s="24"/>
      <c r="AE1756" s="24"/>
      <c r="AF1756" s="8"/>
      <c r="AG1756" s="8"/>
      <c r="AH1756" s="8"/>
      <c r="AI1756" s="8"/>
    </row>
    <row r="1757" spans="1:35" ht="15.75" customHeight="1" x14ac:dyDescent="0.25">
      <c r="A1757" s="8"/>
      <c r="B1757" s="8"/>
      <c r="C1757" s="8"/>
      <c r="D1757" s="8"/>
      <c r="E1757" s="5"/>
      <c r="F1757" s="16"/>
      <c r="G1757" s="16"/>
      <c r="H1757" s="5"/>
      <c r="I1757" s="5"/>
      <c r="J1757" s="5"/>
      <c r="K1757" s="5"/>
      <c r="L1757" s="5"/>
      <c r="M1757" s="48"/>
      <c r="N1757" s="18"/>
      <c r="O1757" s="22"/>
      <c r="P1757" s="22"/>
      <c r="Q1757" s="8"/>
      <c r="R1757" s="8"/>
      <c r="S1757" s="8"/>
      <c r="T1757" s="8"/>
      <c r="U1757" s="8"/>
      <c r="V1757" s="8"/>
      <c r="W1757" s="8"/>
      <c r="X1757" s="8"/>
      <c r="Y1757" s="8"/>
      <c r="Z1757" s="8"/>
      <c r="AA1757" s="8"/>
      <c r="AB1757" s="8"/>
      <c r="AC1757" s="8"/>
      <c r="AD1757" s="24"/>
      <c r="AE1757" s="24"/>
      <c r="AF1757" s="8"/>
      <c r="AG1757" s="8"/>
      <c r="AH1757" s="8"/>
      <c r="AI1757" s="8"/>
    </row>
    <row r="1758" spans="1:35" ht="15.75" customHeight="1" x14ac:dyDescent="0.25">
      <c r="A1758" s="8"/>
      <c r="B1758" s="8"/>
      <c r="C1758" s="8"/>
      <c r="D1758" s="8"/>
      <c r="E1758" s="5"/>
      <c r="F1758" s="16"/>
      <c r="G1758" s="16"/>
      <c r="H1758" s="5"/>
      <c r="I1758" s="5"/>
      <c r="J1758" s="5"/>
      <c r="K1758" s="5"/>
      <c r="L1758" s="5"/>
      <c r="M1758" s="48"/>
      <c r="N1758" s="18"/>
      <c r="O1758" s="22"/>
      <c r="P1758" s="22"/>
      <c r="Q1758" s="8"/>
      <c r="R1758" s="8"/>
      <c r="S1758" s="8"/>
      <c r="T1758" s="8"/>
      <c r="U1758" s="8"/>
      <c r="V1758" s="8"/>
      <c r="W1758" s="8"/>
      <c r="X1758" s="8"/>
      <c r="Y1758" s="8"/>
      <c r="Z1758" s="8"/>
      <c r="AA1758" s="8"/>
      <c r="AB1758" s="8"/>
      <c r="AC1758" s="8"/>
      <c r="AD1758" s="24"/>
      <c r="AE1758" s="24"/>
      <c r="AF1758" s="8"/>
      <c r="AG1758" s="8"/>
      <c r="AH1758" s="8"/>
      <c r="AI1758" s="8"/>
    </row>
    <row r="1759" spans="1:35" ht="15.75" customHeight="1" x14ac:dyDescent="0.25">
      <c r="A1759" s="8"/>
      <c r="B1759" s="8"/>
      <c r="C1759" s="8"/>
      <c r="D1759" s="8"/>
      <c r="E1759" s="5"/>
      <c r="F1759" s="16"/>
      <c r="G1759" s="16"/>
      <c r="H1759" s="5"/>
      <c r="I1759" s="5"/>
      <c r="J1759" s="5"/>
      <c r="K1759" s="5"/>
      <c r="L1759" s="5"/>
      <c r="M1759" s="48"/>
      <c r="N1759" s="18"/>
      <c r="O1759" s="22"/>
      <c r="P1759" s="22"/>
      <c r="Q1759" s="8"/>
      <c r="R1759" s="8"/>
      <c r="S1759" s="8"/>
      <c r="T1759" s="8"/>
      <c r="U1759" s="8"/>
      <c r="V1759" s="8"/>
      <c r="W1759" s="8"/>
      <c r="X1759" s="8"/>
      <c r="Y1759" s="8"/>
      <c r="Z1759" s="8"/>
      <c r="AA1759" s="8"/>
      <c r="AB1759" s="8"/>
      <c r="AC1759" s="8"/>
      <c r="AD1759" s="24"/>
      <c r="AE1759" s="24"/>
      <c r="AF1759" s="8"/>
      <c r="AG1759" s="8"/>
      <c r="AH1759" s="8"/>
      <c r="AI1759" s="8"/>
    </row>
    <row r="1760" spans="1:35" ht="15.75" customHeight="1" x14ac:dyDescent="0.25">
      <c r="A1760" s="8"/>
      <c r="B1760" s="8"/>
      <c r="C1760" s="8"/>
      <c r="D1760" s="8"/>
      <c r="E1760" s="5"/>
      <c r="F1760" s="16"/>
      <c r="G1760" s="16"/>
      <c r="H1760" s="5"/>
      <c r="I1760" s="5"/>
      <c r="J1760" s="5"/>
      <c r="K1760" s="5"/>
      <c r="L1760" s="5"/>
      <c r="M1760" s="48"/>
      <c r="N1760" s="18"/>
      <c r="O1760" s="22"/>
      <c r="P1760" s="22"/>
      <c r="Q1760" s="8"/>
      <c r="R1760" s="8"/>
      <c r="S1760" s="8"/>
      <c r="T1760" s="8"/>
      <c r="U1760" s="8"/>
      <c r="V1760" s="8"/>
      <c r="W1760" s="8"/>
      <c r="X1760" s="8"/>
      <c r="Y1760" s="8"/>
      <c r="Z1760" s="8"/>
      <c r="AA1760" s="8"/>
      <c r="AB1760" s="8"/>
      <c r="AC1760" s="8"/>
      <c r="AD1760" s="24"/>
      <c r="AE1760" s="24"/>
      <c r="AF1760" s="8"/>
      <c r="AG1760" s="8"/>
      <c r="AH1760" s="8"/>
      <c r="AI1760" s="8"/>
    </row>
    <row r="1761" spans="1:35" ht="15.75" customHeight="1" x14ac:dyDescent="0.25">
      <c r="A1761" s="8"/>
      <c r="B1761" s="8"/>
      <c r="C1761" s="8"/>
      <c r="D1761" s="8"/>
      <c r="E1761" s="5"/>
      <c r="F1761" s="16"/>
      <c r="G1761" s="16"/>
      <c r="H1761" s="5"/>
      <c r="I1761" s="5"/>
      <c r="J1761" s="5"/>
      <c r="K1761" s="5"/>
      <c r="L1761" s="5"/>
      <c r="M1761" s="48"/>
      <c r="N1761" s="18"/>
      <c r="O1761" s="22"/>
      <c r="P1761" s="22"/>
      <c r="Q1761" s="8"/>
      <c r="R1761" s="8"/>
      <c r="S1761" s="8"/>
      <c r="T1761" s="8"/>
      <c r="U1761" s="8"/>
      <c r="V1761" s="8"/>
      <c r="W1761" s="8"/>
      <c r="X1761" s="8"/>
      <c r="Y1761" s="8"/>
      <c r="Z1761" s="8"/>
      <c r="AA1761" s="8"/>
      <c r="AB1761" s="8"/>
      <c r="AC1761" s="8"/>
      <c r="AD1761" s="24"/>
      <c r="AE1761" s="24"/>
      <c r="AF1761" s="8"/>
      <c r="AG1761" s="8"/>
      <c r="AH1761" s="8"/>
      <c r="AI1761" s="8"/>
    </row>
    <row r="1762" spans="1:35" ht="15.75" customHeight="1" x14ac:dyDescent="0.25">
      <c r="A1762" s="8"/>
      <c r="B1762" s="8"/>
      <c r="C1762" s="8"/>
      <c r="D1762" s="8"/>
      <c r="E1762" s="5"/>
      <c r="F1762" s="16"/>
      <c r="G1762" s="16"/>
      <c r="H1762" s="5"/>
      <c r="I1762" s="5"/>
      <c r="J1762" s="5"/>
      <c r="K1762" s="5"/>
      <c r="L1762" s="5"/>
      <c r="M1762" s="48"/>
      <c r="N1762" s="18"/>
      <c r="O1762" s="22"/>
      <c r="P1762" s="22"/>
      <c r="Q1762" s="8"/>
      <c r="R1762" s="8"/>
      <c r="S1762" s="8"/>
      <c r="T1762" s="8"/>
      <c r="U1762" s="8"/>
      <c r="V1762" s="8"/>
      <c r="W1762" s="8"/>
      <c r="X1762" s="8"/>
      <c r="Y1762" s="8"/>
      <c r="Z1762" s="8"/>
      <c r="AA1762" s="8"/>
      <c r="AB1762" s="8"/>
      <c r="AC1762" s="8"/>
      <c r="AD1762" s="24"/>
      <c r="AE1762" s="24"/>
      <c r="AF1762" s="8"/>
      <c r="AG1762" s="8"/>
      <c r="AH1762" s="8"/>
      <c r="AI1762" s="8"/>
    </row>
    <row r="1763" spans="1:35" ht="15.75" customHeight="1" x14ac:dyDescent="0.25">
      <c r="A1763" s="8"/>
      <c r="B1763" s="8"/>
      <c r="C1763" s="8"/>
      <c r="D1763" s="8"/>
      <c r="E1763" s="5"/>
      <c r="F1763" s="16"/>
      <c r="G1763" s="16"/>
      <c r="H1763" s="5"/>
      <c r="I1763" s="741"/>
      <c r="J1763" s="742"/>
      <c r="K1763" s="5"/>
      <c r="L1763" s="5"/>
      <c r="M1763" s="48"/>
      <c r="N1763" s="18"/>
      <c r="O1763" s="22"/>
      <c r="P1763" s="22"/>
      <c r="Q1763" s="8"/>
      <c r="R1763" s="8"/>
      <c r="S1763" s="8"/>
      <c r="T1763" s="8"/>
      <c r="U1763" s="8"/>
      <c r="V1763" s="8"/>
      <c r="W1763" s="8"/>
      <c r="X1763" s="8"/>
      <c r="Y1763" s="8"/>
      <c r="Z1763" s="8"/>
      <c r="AA1763" s="8"/>
      <c r="AB1763" s="8"/>
      <c r="AC1763" s="8"/>
      <c r="AD1763" s="24"/>
      <c r="AE1763" s="24"/>
      <c r="AF1763" s="8"/>
      <c r="AG1763" s="8"/>
      <c r="AH1763" s="8"/>
      <c r="AI1763" s="8"/>
    </row>
    <row r="1764" spans="1:35" ht="15.75" customHeight="1" x14ac:dyDescent="0.25">
      <c r="A1764" s="8"/>
      <c r="B1764" s="8"/>
      <c r="C1764" s="8"/>
      <c r="D1764" s="8"/>
      <c r="E1764" s="5"/>
      <c r="F1764" s="16"/>
      <c r="G1764" s="16"/>
      <c r="H1764" s="5"/>
      <c r="I1764" s="741"/>
      <c r="J1764" s="742"/>
      <c r="K1764" s="5"/>
      <c r="L1764" s="5"/>
      <c r="M1764" s="48"/>
      <c r="N1764" s="18"/>
      <c r="O1764" s="22"/>
      <c r="P1764" s="22"/>
      <c r="Q1764" s="8"/>
      <c r="R1764" s="8"/>
      <c r="S1764" s="8"/>
      <c r="T1764" s="8"/>
      <c r="U1764" s="8"/>
      <c r="V1764" s="8"/>
      <c r="W1764" s="8"/>
      <c r="X1764" s="8"/>
      <c r="Y1764" s="8"/>
      <c r="Z1764" s="8"/>
      <c r="AA1764" s="8"/>
      <c r="AB1764" s="8"/>
      <c r="AC1764" s="8"/>
      <c r="AD1764" s="24"/>
      <c r="AE1764" s="24"/>
      <c r="AF1764" s="8"/>
      <c r="AG1764" s="8"/>
      <c r="AH1764" s="8"/>
      <c r="AI1764" s="8"/>
    </row>
    <row r="1765" spans="1:35" ht="15.75" customHeight="1" x14ac:dyDescent="0.25">
      <c r="A1765" s="8"/>
      <c r="B1765" s="8"/>
      <c r="C1765" s="8"/>
      <c r="D1765" s="8"/>
      <c r="E1765" s="5"/>
      <c r="F1765" s="16"/>
      <c r="G1765" s="16"/>
      <c r="H1765" s="5"/>
      <c r="I1765" s="741"/>
      <c r="J1765" s="742"/>
      <c r="K1765" s="5"/>
      <c r="L1765" s="5"/>
      <c r="M1765" s="48"/>
      <c r="N1765" s="18"/>
      <c r="O1765" s="22"/>
      <c r="P1765" s="22"/>
      <c r="Q1765" s="8"/>
      <c r="R1765" s="8"/>
      <c r="S1765" s="8"/>
      <c r="T1765" s="8"/>
      <c r="U1765" s="8"/>
      <c r="V1765" s="8"/>
      <c r="W1765" s="8"/>
      <c r="X1765" s="8"/>
      <c r="Y1765" s="8"/>
      <c r="Z1765" s="8"/>
      <c r="AA1765" s="8"/>
      <c r="AB1765" s="8"/>
      <c r="AC1765" s="8"/>
      <c r="AD1765" s="24"/>
      <c r="AE1765" s="24"/>
      <c r="AF1765" s="8"/>
      <c r="AG1765" s="8"/>
      <c r="AH1765" s="8"/>
      <c r="AI1765" s="8"/>
    </row>
    <row r="1766" spans="1:35" ht="15.75" customHeight="1" x14ac:dyDescent="0.25">
      <c r="A1766" s="8"/>
      <c r="B1766" s="8"/>
      <c r="C1766" s="8"/>
      <c r="D1766" s="8"/>
      <c r="E1766" s="5"/>
      <c r="F1766" s="16"/>
      <c r="G1766" s="16"/>
      <c r="H1766" s="5"/>
      <c r="I1766" s="741"/>
      <c r="J1766" s="742"/>
      <c r="K1766" s="5"/>
      <c r="L1766" s="5"/>
      <c r="M1766" s="48"/>
      <c r="N1766" s="18"/>
      <c r="O1766" s="22"/>
      <c r="P1766" s="22"/>
      <c r="Q1766" s="8"/>
      <c r="R1766" s="8"/>
      <c r="S1766" s="8"/>
      <c r="T1766" s="8"/>
      <c r="U1766" s="8"/>
      <c r="V1766" s="8"/>
      <c r="W1766" s="8"/>
      <c r="X1766" s="8"/>
      <c r="Y1766" s="8"/>
      <c r="Z1766" s="8"/>
      <c r="AA1766" s="8"/>
      <c r="AB1766" s="8"/>
      <c r="AC1766" s="8"/>
      <c r="AD1766" s="24"/>
      <c r="AE1766" s="24"/>
      <c r="AF1766" s="8"/>
      <c r="AG1766" s="8"/>
      <c r="AH1766" s="8"/>
      <c r="AI1766" s="8"/>
    </row>
    <row r="1767" spans="1:35" ht="15.75" customHeight="1" x14ac:dyDescent="0.25">
      <c r="A1767" s="8"/>
      <c r="B1767" s="8"/>
      <c r="C1767" s="8"/>
      <c r="D1767" s="8"/>
      <c r="E1767" s="5"/>
      <c r="F1767" s="16"/>
      <c r="G1767" s="16"/>
      <c r="H1767" s="5"/>
      <c r="I1767" s="741"/>
      <c r="J1767" s="742"/>
      <c r="K1767" s="5"/>
      <c r="L1767" s="5"/>
      <c r="M1767" s="48"/>
      <c r="N1767" s="18"/>
      <c r="O1767" s="22"/>
      <c r="P1767" s="22"/>
      <c r="Q1767" s="8"/>
      <c r="R1767" s="8"/>
      <c r="S1767" s="8"/>
      <c r="T1767" s="8"/>
      <c r="U1767" s="8"/>
      <c r="V1767" s="8"/>
      <c r="W1767" s="8"/>
      <c r="X1767" s="8"/>
      <c r="Y1767" s="8"/>
      <c r="Z1767" s="8"/>
      <c r="AA1767" s="8"/>
      <c r="AB1767" s="8"/>
      <c r="AC1767" s="8"/>
      <c r="AD1767" s="24"/>
      <c r="AE1767" s="24"/>
      <c r="AF1767" s="8"/>
      <c r="AG1767" s="8"/>
      <c r="AH1767" s="8"/>
      <c r="AI1767" s="8"/>
    </row>
    <row r="1768" spans="1:35" ht="15.75" customHeight="1" x14ac:dyDescent="0.25">
      <c r="A1768" s="8"/>
      <c r="B1768" s="8"/>
      <c r="C1768" s="8"/>
      <c r="D1768" s="8"/>
      <c r="E1768" s="5"/>
      <c r="F1768" s="16"/>
      <c r="G1768" s="16"/>
      <c r="H1768" s="5"/>
      <c r="I1768" s="741"/>
      <c r="J1768" s="742"/>
      <c r="K1768" s="5"/>
      <c r="L1768" s="5"/>
      <c r="M1768" s="48"/>
      <c r="N1768" s="18"/>
      <c r="O1768" s="22"/>
      <c r="P1768" s="22"/>
      <c r="Q1768" s="8"/>
      <c r="R1768" s="8"/>
      <c r="S1768" s="8"/>
      <c r="T1768" s="8"/>
      <c r="U1768" s="8"/>
      <c r="V1768" s="8"/>
      <c r="W1768" s="8"/>
      <c r="X1768" s="8"/>
      <c r="Y1768" s="8"/>
      <c r="Z1768" s="8"/>
      <c r="AA1768" s="8"/>
      <c r="AB1768" s="8"/>
      <c r="AC1768" s="8"/>
      <c r="AD1768" s="24"/>
      <c r="AE1768" s="24"/>
      <c r="AF1768" s="8"/>
      <c r="AG1768" s="8"/>
      <c r="AH1768" s="8"/>
      <c r="AI1768" s="8"/>
    </row>
    <row r="1769" spans="1:35" ht="15.75" customHeight="1" x14ac:dyDescent="0.25">
      <c r="A1769" s="8"/>
      <c r="B1769" s="8"/>
      <c r="C1769" s="8"/>
      <c r="D1769" s="8"/>
      <c r="E1769" s="5"/>
      <c r="F1769" s="16"/>
      <c r="G1769" s="16"/>
      <c r="H1769" s="5"/>
      <c r="I1769" s="741"/>
      <c r="J1769" s="742"/>
      <c r="K1769" s="5"/>
      <c r="L1769" s="5"/>
      <c r="M1769" s="48"/>
      <c r="N1769" s="18"/>
      <c r="O1769" s="22"/>
      <c r="P1769" s="22"/>
      <c r="Q1769" s="8"/>
      <c r="R1769" s="8"/>
      <c r="S1769" s="8"/>
      <c r="T1769" s="8"/>
      <c r="U1769" s="8"/>
      <c r="V1769" s="8"/>
      <c r="W1769" s="8"/>
      <c r="X1769" s="8"/>
      <c r="Y1769" s="8"/>
      <c r="Z1769" s="8"/>
      <c r="AA1769" s="8"/>
      <c r="AB1769" s="8"/>
      <c r="AC1769" s="8"/>
      <c r="AD1769" s="24"/>
      <c r="AE1769" s="24"/>
      <c r="AF1769" s="8"/>
      <c r="AG1769" s="8"/>
      <c r="AH1769" s="8"/>
      <c r="AI1769" s="8"/>
    </row>
    <row r="1770" spans="1:35" ht="15.75" customHeight="1" x14ac:dyDescent="0.25">
      <c r="A1770" s="8"/>
      <c r="B1770" s="8"/>
      <c r="C1770" s="8"/>
      <c r="D1770" s="8"/>
      <c r="E1770" s="5"/>
      <c r="F1770" s="16"/>
      <c r="G1770" s="16"/>
      <c r="H1770" s="5"/>
      <c r="I1770" s="741"/>
      <c r="J1770" s="742"/>
      <c r="K1770" s="5"/>
      <c r="L1770" s="5"/>
      <c r="M1770" s="48"/>
      <c r="N1770" s="18"/>
      <c r="O1770" s="22"/>
      <c r="P1770" s="22"/>
      <c r="Q1770" s="8"/>
      <c r="R1770" s="8"/>
      <c r="S1770" s="8"/>
      <c r="T1770" s="8"/>
      <c r="U1770" s="8"/>
      <c r="V1770" s="8"/>
      <c r="W1770" s="8"/>
      <c r="X1770" s="8"/>
      <c r="Y1770" s="8"/>
      <c r="Z1770" s="8"/>
      <c r="AA1770" s="8"/>
      <c r="AB1770" s="8"/>
      <c r="AC1770" s="8"/>
      <c r="AD1770" s="24"/>
      <c r="AE1770" s="24"/>
      <c r="AF1770" s="8"/>
      <c r="AG1770" s="8"/>
      <c r="AH1770" s="8"/>
      <c r="AI1770" s="8"/>
    </row>
    <row r="1771" spans="1:35" ht="15.75" customHeight="1" x14ac:dyDescent="0.25">
      <c r="A1771" s="8"/>
      <c r="B1771" s="8"/>
      <c r="C1771" s="8"/>
      <c r="D1771" s="8"/>
      <c r="E1771" s="5"/>
      <c r="F1771" s="16"/>
      <c r="G1771" s="16"/>
      <c r="H1771" s="5"/>
      <c r="I1771" s="741"/>
      <c r="J1771" s="742"/>
      <c r="K1771" s="5"/>
      <c r="L1771" s="5"/>
      <c r="M1771" s="48"/>
      <c r="N1771" s="18"/>
      <c r="O1771" s="22"/>
      <c r="P1771" s="22"/>
      <c r="Q1771" s="8"/>
      <c r="R1771" s="8"/>
      <c r="S1771" s="8"/>
      <c r="T1771" s="8"/>
      <c r="U1771" s="8"/>
      <c r="V1771" s="8"/>
      <c r="W1771" s="8"/>
      <c r="X1771" s="8"/>
      <c r="Y1771" s="8"/>
      <c r="Z1771" s="8"/>
      <c r="AA1771" s="8"/>
      <c r="AB1771" s="8"/>
      <c r="AC1771" s="8"/>
      <c r="AD1771" s="24"/>
      <c r="AE1771" s="24"/>
      <c r="AF1771" s="8"/>
      <c r="AG1771" s="8"/>
      <c r="AH1771" s="8"/>
      <c r="AI1771" s="8"/>
    </row>
    <row r="1772" spans="1:35" ht="15.75" customHeight="1" x14ac:dyDescent="0.25">
      <c r="A1772" s="8"/>
      <c r="B1772" s="8"/>
      <c r="C1772" s="8"/>
      <c r="D1772" s="8"/>
      <c r="E1772" s="5"/>
      <c r="F1772" s="16"/>
      <c r="G1772" s="16"/>
      <c r="H1772" s="5"/>
      <c r="I1772" s="741"/>
      <c r="J1772" s="742"/>
      <c r="K1772" s="5"/>
      <c r="L1772" s="5"/>
      <c r="M1772" s="48"/>
      <c r="N1772" s="18"/>
      <c r="O1772" s="22"/>
      <c r="P1772" s="22"/>
      <c r="Q1772" s="8"/>
      <c r="R1772" s="8"/>
      <c r="S1772" s="8"/>
      <c r="T1772" s="8"/>
      <c r="U1772" s="8"/>
      <c r="V1772" s="8"/>
      <c r="W1772" s="8"/>
      <c r="X1772" s="8"/>
      <c r="Y1772" s="8"/>
      <c r="Z1772" s="8"/>
      <c r="AA1772" s="8"/>
      <c r="AB1772" s="8"/>
      <c r="AC1772" s="8"/>
      <c r="AD1772" s="24"/>
      <c r="AE1772" s="24"/>
      <c r="AF1772" s="8"/>
      <c r="AG1772" s="8"/>
      <c r="AH1772" s="8"/>
      <c r="AI1772" s="8"/>
    </row>
    <row r="1773" spans="1:35" ht="15.75" customHeight="1" x14ac:dyDescent="0.25">
      <c r="A1773" s="8"/>
      <c r="B1773" s="8"/>
      <c r="C1773" s="8"/>
      <c r="D1773" s="8"/>
      <c r="E1773" s="5"/>
      <c r="F1773" s="16"/>
      <c r="G1773" s="16"/>
      <c r="H1773" s="5"/>
      <c r="I1773" s="741"/>
      <c r="J1773" s="742"/>
      <c r="K1773" s="5"/>
      <c r="L1773" s="5"/>
      <c r="M1773" s="48"/>
      <c r="N1773" s="18"/>
      <c r="O1773" s="22"/>
      <c r="P1773" s="22"/>
      <c r="Q1773" s="8"/>
      <c r="R1773" s="8"/>
      <c r="S1773" s="8"/>
      <c r="T1773" s="8"/>
      <c r="U1773" s="8"/>
      <c r="V1773" s="8"/>
      <c r="W1773" s="8"/>
      <c r="X1773" s="8"/>
      <c r="Y1773" s="8"/>
      <c r="Z1773" s="8"/>
      <c r="AA1773" s="8"/>
      <c r="AB1773" s="8"/>
      <c r="AC1773" s="8"/>
      <c r="AD1773" s="24"/>
      <c r="AE1773" s="24"/>
      <c r="AF1773" s="8"/>
      <c r="AG1773" s="8"/>
      <c r="AH1773" s="8"/>
      <c r="AI1773" s="8"/>
    </row>
    <row r="1774" spans="1:35" ht="15.75" customHeight="1" x14ac:dyDescent="0.25">
      <c r="A1774" s="8"/>
      <c r="B1774" s="8"/>
      <c r="C1774" s="8"/>
      <c r="D1774" s="8"/>
      <c r="E1774" s="5"/>
      <c r="F1774" s="16"/>
      <c r="G1774" s="16"/>
      <c r="H1774" s="5"/>
      <c r="I1774" s="741"/>
      <c r="J1774" s="742"/>
      <c r="K1774" s="5"/>
      <c r="L1774" s="5"/>
      <c r="M1774" s="48"/>
      <c r="N1774" s="18"/>
      <c r="O1774" s="22"/>
      <c r="P1774" s="22"/>
      <c r="Q1774" s="8"/>
      <c r="R1774" s="8"/>
      <c r="S1774" s="8"/>
      <c r="T1774" s="8"/>
      <c r="U1774" s="8"/>
      <c r="V1774" s="8"/>
      <c r="W1774" s="8"/>
      <c r="X1774" s="8"/>
      <c r="Y1774" s="8"/>
      <c r="Z1774" s="8"/>
      <c r="AA1774" s="8"/>
      <c r="AB1774" s="8"/>
      <c r="AC1774" s="8"/>
      <c r="AD1774" s="24"/>
      <c r="AE1774" s="24"/>
      <c r="AF1774" s="8"/>
      <c r="AG1774" s="8"/>
      <c r="AH1774" s="8"/>
      <c r="AI1774" s="8"/>
    </row>
    <row r="1775" spans="1:35" ht="15.75" customHeight="1" x14ac:dyDescent="0.25">
      <c r="A1775" s="8"/>
      <c r="B1775" s="8"/>
      <c r="C1775" s="8"/>
      <c r="D1775" s="8"/>
      <c r="E1775" s="5"/>
      <c r="F1775" s="16"/>
      <c r="G1775" s="16"/>
      <c r="H1775" s="5"/>
      <c r="I1775" s="741"/>
      <c r="J1775" s="742"/>
      <c r="K1775" s="5"/>
      <c r="L1775" s="5"/>
      <c r="M1775" s="48"/>
      <c r="N1775" s="18"/>
      <c r="O1775" s="22"/>
      <c r="P1775" s="22"/>
      <c r="Q1775" s="8"/>
      <c r="R1775" s="8"/>
      <c r="S1775" s="8"/>
      <c r="T1775" s="8"/>
      <c r="U1775" s="8"/>
      <c r="V1775" s="8"/>
      <c r="W1775" s="8"/>
      <c r="X1775" s="8"/>
      <c r="Y1775" s="8"/>
      <c r="Z1775" s="8"/>
      <c r="AA1775" s="8"/>
      <c r="AB1775" s="8"/>
      <c r="AC1775" s="8"/>
      <c r="AD1775" s="24"/>
      <c r="AE1775" s="24"/>
      <c r="AF1775" s="8"/>
      <c r="AG1775" s="8"/>
      <c r="AH1775" s="8"/>
      <c r="AI1775" s="8"/>
    </row>
    <row r="1776" spans="1:35" ht="15.75" customHeight="1" x14ac:dyDescent="0.25">
      <c r="A1776" s="8"/>
      <c r="B1776" s="8"/>
      <c r="C1776" s="8"/>
      <c r="D1776" s="8"/>
      <c r="E1776" s="5"/>
      <c r="F1776" s="16"/>
      <c r="G1776" s="16"/>
      <c r="H1776" s="5"/>
      <c r="I1776" s="741"/>
      <c r="J1776" s="742"/>
      <c r="K1776" s="5"/>
      <c r="L1776" s="5"/>
      <c r="M1776" s="48"/>
      <c r="N1776" s="18"/>
      <c r="O1776" s="22"/>
      <c r="P1776" s="22"/>
      <c r="Q1776" s="8"/>
      <c r="R1776" s="8"/>
      <c r="S1776" s="8"/>
      <c r="T1776" s="8"/>
      <c r="U1776" s="8"/>
      <c r="V1776" s="8"/>
      <c r="W1776" s="8"/>
      <c r="X1776" s="8"/>
      <c r="Y1776" s="8"/>
      <c r="Z1776" s="8"/>
      <c r="AA1776" s="8"/>
      <c r="AB1776" s="8"/>
      <c r="AC1776" s="8"/>
      <c r="AD1776" s="24"/>
      <c r="AE1776" s="24"/>
      <c r="AF1776" s="8"/>
      <c r="AG1776" s="8"/>
      <c r="AH1776" s="8"/>
      <c r="AI1776" s="8"/>
    </row>
    <row r="1777" spans="1:35" ht="15.75" customHeight="1" x14ac:dyDescent="0.25">
      <c r="A1777" s="8"/>
      <c r="B1777" s="8"/>
      <c r="C1777" s="8"/>
      <c r="D1777" s="8"/>
      <c r="E1777" s="5"/>
      <c r="F1777" s="16"/>
      <c r="G1777" s="16"/>
      <c r="H1777" s="5"/>
      <c r="I1777" s="741"/>
      <c r="J1777" s="742"/>
      <c r="K1777" s="5"/>
      <c r="L1777" s="5"/>
      <c r="M1777" s="48"/>
      <c r="N1777" s="18"/>
      <c r="O1777" s="22"/>
      <c r="P1777" s="22"/>
      <c r="Q1777" s="8"/>
      <c r="R1777" s="8"/>
      <c r="S1777" s="8"/>
      <c r="T1777" s="8"/>
      <c r="U1777" s="8"/>
      <c r="V1777" s="8"/>
      <c r="W1777" s="8"/>
      <c r="X1777" s="8"/>
      <c r="Y1777" s="8"/>
      <c r="Z1777" s="8"/>
      <c r="AA1777" s="8"/>
      <c r="AB1777" s="8"/>
      <c r="AC1777" s="8"/>
      <c r="AD1777" s="24"/>
      <c r="AE1777" s="24"/>
      <c r="AF1777" s="8"/>
      <c r="AG1777" s="8"/>
      <c r="AH1777" s="8"/>
      <c r="AI1777" s="8"/>
    </row>
    <row r="1778" spans="1:35" ht="15.75" customHeight="1" x14ac:dyDescent="0.25">
      <c r="A1778" s="8"/>
      <c r="B1778" s="8"/>
      <c r="C1778" s="8"/>
      <c r="D1778" s="8"/>
      <c r="E1778" s="5"/>
      <c r="F1778" s="16"/>
      <c r="G1778" s="16"/>
      <c r="H1778" s="5"/>
      <c r="I1778" s="741"/>
      <c r="J1778" s="742"/>
      <c r="K1778" s="5"/>
      <c r="L1778" s="5"/>
      <c r="M1778" s="48"/>
      <c r="N1778" s="18"/>
      <c r="O1778" s="22"/>
      <c r="P1778" s="22"/>
      <c r="Q1778" s="8"/>
      <c r="R1778" s="8"/>
      <c r="S1778" s="8"/>
      <c r="T1778" s="8"/>
      <c r="U1778" s="8"/>
      <c r="V1778" s="8"/>
      <c r="W1778" s="8"/>
      <c r="X1778" s="8"/>
      <c r="Y1778" s="8"/>
      <c r="Z1778" s="8"/>
      <c r="AA1778" s="8"/>
      <c r="AB1778" s="8"/>
      <c r="AC1778" s="8"/>
      <c r="AD1778" s="24"/>
      <c r="AE1778" s="24"/>
      <c r="AF1778" s="8"/>
      <c r="AG1778" s="8"/>
      <c r="AH1778" s="8"/>
      <c r="AI1778" s="8"/>
    </row>
    <row r="1779" spans="1:35" ht="15.75" customHeight="1" x14ac:dyDescent="0.25">
      <c r="A1779" s="8"/>
      <c r="B1779" s="8"/>
      <c r="C1779" s="8"/>
      <c r="D1779" s="8"/>
      <c r="E1779" s="5"/>
      <c r="F1779" s="16"/>
      <c r="G1779" s="16"/>
      <c r="H1779" s="5"/>
      <c r="I1779" s="741"/>
      <c r="J1779" s="742"/>
      <c r="K1779" s="5"/>
      <c r="L1779" s="5"/>
      <c r="M1779" s="48"/>
      <c r="N1779" s="18"/>
      <c r="O1779" s="22"/>
      <c r="P1779" s="22"/>
      <c r="Q1779" s="8"/>
      <c r="R1779" s="8"/>
      <c r="S1779" s="8"/>
      <c r="T1779" s="8"/>
      <c r="U1779" s="8"/>
      <c r="V1779" s="8"/>
      <c r="W1779" s="8"/>
      <c r="X1779" s="8"/>
      <c r="Y1779" s="8"/>
      <c r="Z1779" s="8"/>
      <c r="AA1779" s="8"/>
      <c r="AB1779" s="8"/>
      <c r="AC1779" s="8"/>
      <c r="AD1779" s="24"/>
      <c r="AE1779" s="24"/>
      <c r="AF1779" s="8"/>
      <c r="AG1779" s="8"/>
      <c r="AH1779" s="8"/>
      <c r="AI1779" s="8"/>
    </row>
    <row r="1780" spans="1:35" ht="15.75" customHeight="1" x14ac:dyDescent="0.25">
      <c r="A1780" s="8"/>
      <c r="B1780" s="8"/>
      <c r="C1780" s="8"/>
      <c r="D1780" s="8"/>
      <c r="E1780" s="5"/>
      <c r="F1780" s="16"/>
      <c r="G1780" s="16"/>
      <c r="H1780" s="5"/>
      <c r="I1780" s="741"/>
      <c r="J1780" s="742"/>
      <c r="K1780" s="5"/>
      <c r="L1780" s="5"/>
      <c r="M1780" s="48"/>
      <c r="N1780" s="18"/>
      <c r="O1780" s="22"/>
      <c r="P1780" s="22"/>
      <c r="Q1780" s="8"/>
      <c r="R1780" s="8"/>
      <c r="S1780" s="8"/>
      <c r="T1780" s="8"/>
      <c r="U1780" s="8"/>
      <c r="V1780" s="8"/>
      <c r="W1780" s="8"/>
      <c r="X1780" s="8"/>
      <c r="Y1780" s="8"/>
      <c r="Z1780" s="8"/>
      <c r="AA1780" s="8"/>
      <c r="AB1780" s="8"/>
      <c r="AC1780" s="8"/>
      <c r="AD1780" s="24"/>
      <c r="AE1780" s="24"/>
      <c r="AF1780" s="8"/>
      <c r="AG1780" s="8"/>
      <c r="AH1780" s="8"/>
      <c r="AI1780" s="8"/>
    </row>
    <row r="1781" spans="1:35" ht="15.75" customHeight="1" x14ac:dyDescent="0.25">
      <c r="A1781" s="8"/>
      <c r="B1781" s="8"/>
      <c r="C1781" s="8"/>
      <c r="D1781" s="8"/>
      <c r="E1781" s="5"/>
      <c r="F1781" s="16"/>
      <c r="G1781" s="16"/>
      <c r="H1781" s="5"/>
      <c r="I1781" s="741"/>
      <c r="J1781" s="742"/>
      <c r="K1781" s="5"/>
      <c r="L1781" s="5"/>
      <c r="M1781" s="48"/>
      <c r="N1781" s="18"/>
      <c r="O1781" s="22"/>
      <c r="P1781" s="22"/>
      <c r="Q1781" s="8"/>
      <c r="R1781" s="8"/>
      <c r="S1781" s="8"/>
      <c r="T1781" s="8"/>
      <c r="U1781" s="8"/>
      <c r="V1781" s="8"/>
      <c r="W1781" s="8"/>
      <c r="X1781" s="8"/>
      <c r="Y1781" s="8"/>
      <c r="Z1781" s="8"/>
      <c r="AA1781" s="8"/>
      <c r="AB1781" s="8"/>
      <c r="AC1781" s="8"/>
      <c r="AD1781" s="24"/>
      <c r="AE1781" s="24"/>
      <c r="AF1781" s="8"/>
      <c r="AG1781" s="8"/>
      <c r="AH1781" s="8"/>
      <c r="AI1781" s="8"/>
    </row>
    <row r="1782" spans="1:35" ht="15.75" customHeight="1" x14ac:dyDescent="0.25">
      <c r="A1782" s="8"/>
      <c r="B1782" s="8"/>
      <c r="C1782" s="8"/>
      <c r="D1782" s="8"/>
      <c r="E1782" s="5"/>
      <c r="F1782" s="16"/>
      <c r="G1782" s="16"/>
      <c r="H1782" s="5"/>
      <c r="I1782" s="741"/>
      <c r="J1782" s="742"/>
      <c r="K1782" s="5"/>
      <c r="L1782" s="5"/>
      <c r="M1782" s="48"/>
      <c r="N1782" s="18"/>
      <c r="O1782" s="22"/>
      <c r="P1782" s="22"/>
      <c r="Q1782" s="8"/>
      <c r="R1782" s="8"/>
      <c r="S1782" s="8"/>
      <c r="T1782" s="8"/>
      <c r="U1782" s="8"/>
      <c r="V1782" s="8"/>
      <c r="W1782" s="8"/>
      <c r="X1782" s="8"/>
      <c r="Y1782" s="8"/>
      <c r="Z1782" s="8"/>
      <c r="AA1782" s="8"/>
      <c r="AB1782" s="8"/>
      <c r="AC1782" s="8"/>
      <c r="AD1782" s="24"/>
      <c r="AE1782" s="24"/>
      <c r="AF1782" s="8"/>
      <c r="AG1782" s="8"/>
      <c r="AH1782" s="8"/>
      <c r="AI1782" s="8"/>
    </row>
    <row r="1783" spans="1:35" ht="15.75" customHeight="1" x14ac:dyDescent="0.25">
      <c r="A1783" s="8"/>
      <c r="B1783" s="8"/>
      <c r="C1783" s="8"/>
      <c r="D1783" s="8"/>
      <c r="E1783" s="5"/>
      <c r="F1783" s="16"/>
      <c r="G1783" s="16"/>
      <c r="H1783" s="5"/>
      <c r="I1783" s="741"/>
      <c r="J1783" s="742"/>
      <c r="K1783" s="5"/>
      <c r="L1783" s="5"/>
      <c r="M1783" s="48"/>
      <c r="N1783" s="18"/>
      <c r="O1783" s="22"/>
      <c r="P1783" s="22"/>
      <c r="Q1783" s="8"/>
      <c r="R1783" s="8"/>
      <c r="S1783" s="8"/>
      <c r="T1783" s="8"/>
      <c r="U1783" s="8"/>
      <c r="V1783" s="8"/>
      <c r="W1783" s="8"/>
      <c r="X1783" s="8"/>
      <c r="Y1783" s="8"/>
      <c r="Z1783" s="8"/>
      <c r="AA1783" s="8"/>
      <c r="AB1783" s="8"/>
      <c r="AC1783" s="8"/>
      <c r="AD1783" s="24"/>
      <c r="AE1783" s="24"/>
      <c r="AF1783" s="8"/>
      <c r="AG1783" s="8"/>
      <c r="AH1783" s="8"/>
      <c r="AI1783" s="8"/>
    </row>
    <row r="1784" spans="1:35" ht="15.75" customHeight="1" x14ac:dyDescent="0.25">
      <c r="A1784" s="8"/>
      <c r="B1784" s="8"/>
      <c r="C1784" s="8"/>
      <c r="D1784" s="8"/>
      <c r="E1784" s="5"/>
      <c r="F1784" s="16"/>
      <c r="G1784" s="16"/>
      <c r="H1784" s="5"/>
      <c r="I1784" s="741"/>
      <c r="J1784" s="742"/>
      <c r="K1784" s="5"/>
      <c r="L1784" s="5"/>
      <c r="M1784" s="48"/>
      <c r="N1784" s="18"/>
      <c r="O1784" s="22"/>
      <c r="P1784" s="22"/>
      <c r="Q1784" s="8"/>
      <c r="R1784" s="8"/>
      <c r="S1784" s="8"/>
      <c r="T1784" s="8"/>
      <c r="U1784" s="8"/>
      <c r="V1784" s="8"/>
      <c r="W1784" s="8"/>
      <c r="X1784" s="8"/>
      <c r="Y1784" s="8"/>
      <c r="Z1784" s="8"/>
      <c r="AA1784" s="8"/>
      <c r="AB1784" s="8"/>
      <c r="AC1784" s="8"/>
      <c r="AD1784" s="24"/>
      <c r="AE1784" s="24"/>
      <c r="AF1784" s="8"/>
      <c r="AG1784" s="8"/>
      <c r="AH1784" s="8"/>
      <c r="AI1784" s="8"/>
    </row>
    <row r="1785" spans="1:35" ht="15.75" customHeight="1" x14ac:dyDescent="0.25">
      <c r="A1785" s="8"/>
      <c r="B1785" s="8"/>
      <c r="C1785" s="8"/>
      <c r="D1785" s="8"/>
      <c r="E1785" s="5"/>
      <c r="F1785" s="16"/>
      <c r="G1785" s="16"/>
      <c r="H1785" s="5"/>
      <c r="I1785" s="741"/>
      <c r="J1785" s="742"/>
      <c r="K1785" s="5"/>
      <c r="L1785" s="5"/>
      <c r="M1785" s="48"/>
      <c r="N1785" s="18"/>
      <c r="O1785" s="22"/>
      <c r="P1785" s="22"/>
      <c r="Q1785" s="8"/>
      <c r="R1785" s="8"/>
      <c r="S1785" s="8"/>
      <c r="T1785" s="8"/>
      <c r="U1785" s="8"/>
      <c r="V1785" s="8"/>
      <c r="W1785" s="8"/>
      <c r="X1785" s="8"/>
      <c r="Y1785" s="8"/>
      <c r="Z1785" s="8"/>
      <c r="AA1785" s="8"/>
      <c r="AB1785" s="8"/>
      <c r="AC1785" s="8"/>
      <c r="AD1785" s="24"/>
      <c r="AE1785" s="24"/>
      <c r="AF1785" s="8"/>
      <c r="AG1785" s="8"/>
      <c r="AH1785" s="8"/>
      <c r="AI1785" s="8"/>
    </row>
    <row r="1786" spans="1:35" ht="15.75" customHeight="1" x14ac:dyDescent="0.25">
      <c r="A1786" s="8"/>
      <c r="B1786" s="8"/>
      <c r="C1786" s="8"/>
      <c r="D1786" s="8"/>
      <c r="E1786" s="5"/>
      <c r="F1786" s="16"/>
      <c r="G1786" s="16"/>
      <c r="H1786" s="5"/>
      <c r="I1786" s="741"/>
      <c r="J1786" s="742"/>
      <c r="K1786" s="5"/>
      <c r="L1786" s="5"/>
      <c r="M1786" s="48"/>
      <c r="N1786" s="18"/>
      <c r="O1786" s="22"/>
      <c r="P1786" s="22"/>
      <c r="Q1786" s="8"/>
      <c r="R1786" s="8"/>
      <c r="S1786" s="8"/>
      <c r="T1786" s="8"/>
      <c r="U1786" s="8"/>
      <c r="V1786" s="8"/>
      <c r="W1786" s="8"/>
      <c r="X1786" s="8"/>
      <c r="Y1786" s="8"/>
      <c r="Z1786" s="8"/>
      <c r="AA1786" s="8"/>
      <c r="AB1786" s="8"/>
      <c r="AC1786" s="8"/>
      <c r="AD1786" s="24"/>
      <c r="AE1786" s="24"/>
      <c r="AF1786" s="8"/>
      <c r="AG1786" s="8"/>
      <c r="AH1786" s="8"/>
      <c r="AI1786" s="8"/>
    </row>
    <row r="1787" spans="1:35" ht="15.75" customHeight="1" x14ac:dyDescent="0.25">
      <c r="A1787" s="8"/>
      <c r="B1787" s="8"/>
      <c r="C1787" s="8"/>
      <c r="D1787" s="8"/>
      <c r="E1787" s="5"/>
      <c r="F1787" s="16"/>
      <c r="G1787" s="16"/>
      <c r="H1787" s="5"/>
      <c r="I1787" s="741"/>
      <c r="J1787" s="742"/>
      <c r="K1787" s="5"/>
      <c r="L1787" s="5"/>
      <c r="M1787" s="48"/>
      <c r="N1787" s="18"/>
      <c r="O1787" s="22"/>
      <c r="P1787" s="22"/>
      <c r="Q1787" s="8"/>
      <c r="R1787" s="8"/>
      <c r="S1787" s="8"/>
      <c r="T1787" s="8"/>
      <c r="U1787" s="8"/>
      <c r="V1787" s="8"/>
      <c r="W1787" s="8"/>
      <c r="X1787" s="8"/>
      <c r="Y1787" s="8"/>
      <c r="Z1787" s="8"/>
      <c r="AA1787" s="8"/>
      <c r="AB1787" s="8"/>
      <c r="AC1787" s="8"/>
      <c r="AD1787" s="24"/>
      <c r="AE1787" s="24"/>
      <c r="AF1787" s="8"/>
      <c r="AG1787" s="8"/>
      <c r="AH1787" s="8"/>
      <c r="AI1787" s="8"/>
    </row>
    <row r="1788" spans="1:35" ht="15.75" customHeight="1" x14ac:dyDescent="0.25">
      <c r="A1788" s="8"/>
      <c r="B1788" s="8"/>
      <c r="C1788" s="8"/>
      <c r="D1788" s="8"/>
      <c r="E1788" s="5"/>
      <c r="F1788" s="16"/>
      <c r="G1788" s="16"/>
      <c r="H1788" s="5"/>
      <c r="I1788" s="741"/>
      <c r="J1788" s="742"/>
      <c r="K1788" s="5"/>
      <c r="L1788" s="5"/>
      <c r="M1788" s="48"/>
      <c r="N1788" s="18"/>
      <c r="O1788" s="22"/>
      <c r="P1788" s="22"/>
      <c r="Q1788" s="8"/>
      <c r="R1788" s="8"/>
      <c r="S1788" s="8"/>
      <c r="T1788" s="8"/>
      <c r="U1788" s="8"/>
      <c r="V1788" s="8"/>
      <c r="W1788" s="8"/>
      <c r="X1788" s="8"/>
      <c r="Y1788" s="8"/>
      <c r="Z1788" s="8"/>
      <c r="AA1788" s="8"/>
      <c r="AB1788" s="8"/>
      <c r="AC1788" s="8"/>
      <c r="AD1788" s="24"/>
      <c r="AE1788" s="24"/>
      <c r="AF1788" s="8"/>
      <c r="AG1788" s="8"/>
      <c r="AH1788" s="8"/>
      <c r="AI1788" s="8"/>
    </row>
    <row r="1789" spans="1:35" ht="15.75" customHeight="1" x14ac:dyDescent="0.25">
      <c r="A1789" s="8"/>
      <c r="B1789" s="8"/>
      <c r="C1789" s="8"/>
      <c r="D1789" s="8"/>
      <c r="E1789" s="5"/>
      <c r="F1789" s="16"/>
      <c r="G1789" s="16"/>
      <c r="H1789" s="5"/>
      <c r="I1789" s="741"/>
      <c r="J1789" s="742"/>
      <c r="K1789" s="5"/>
      <c r="L1789" s="5"/>
      <c r="M1789" s="48"/>
      <c r="N1789" s="18"/>
      <c r="O1789" s="22"/>
      <c r="P1789" s="22"/>
      <c r="Q1789" s="8"/>
      <c r="R1789" s="8"/>
      <c r="S1789" s="8"/>
      <c r="T1789" s="8"/>
      <c r="U1789" s="8"/>
      <c r="V1789" s="8"/>
      <c r="W1789" s="8"/>
      <c r="X1789" s="8"/>
      <c r="Y1789" s="8"/>
      <c r="Z1789" s="8"/>
      <c r="AA1789" s="8"/>
      <c r="AB1789" s="8"/>
      <c r="AC1789" s="8"/>
      <c r="AD1789" s="24"/>
      <c r="AE1789" s="24"/>
      <c r="AF1789" s="8"/>
      <c r="AG1789" s="8"/>
      <c r="AH1789" s="8"/>
      <c r="AI1789" s="8"/>
    </row>
    <row r="1790" spans="1:35" ht="15.75" customHeight="1" x14ac:dyDescent="0.25">
      <c r="A1790" s="8"/>
      <c r="B1790" s="8"/>
      <c r="C1790" s="8"/>
      <c r="D1790" s="8"/>
      <c r="E1790" s="5"/>
      <c r="F1790" s="16"/>
      <c r="G1790" s="16"/>
      <c r="H1790" s="5"/>
      <c r="I1790" s="741"/>
      <c r="J1790" s="742"/>
      <c r="K1790" s="5"/>
      <c r="L1790" s="5"/>
      <c r="M1790" s="48"/>
      <c r="N1790" s="18"/>
      <c r="O1790" s="22"/>
      <c r="P1790" s="22"/>
      <c r="Q1790" s="8"/>
      <c r="R1790" s="8"/>
      <c r="S1790" s="8"/>
      <c r="T1790" s="8"/>
      <c r="U1790" s="8"/>
      <c r="V1790" s="8"/>
      <c r="W1790" s="8"/>
      <c r="X1790" s="8"/>
      <c r="Y1790" s="8"/>
      <c r="Z1790" s="8"/>
      <c r="AA1790" s="8"/>
      <c r="AB1790" s="8"/>
      <c r="AC1790" s="8"/>
      <c r="AD1790" s="24"/>
      <c r="AE1790" s="24"/>
      <c r="AF1790" s="8"/>
      <c r="AG1790" s="8"/>
      <c r="AH1790" s="8"/>
      <c r="AI1790" s="8"/>
    </row>
    <row r="1791" spans="1:35" ht="15.75" customHeight="1" x14ac:dyDescent="0.25">
      <c r="A1791" s="8"/>
      <c r="B1791" s="8"/>
      <c r="C1791" s="8"/>
      <c r="D1791" s="8"/>
      <c r="E1791" s="5"/>
      <c r="F1791" s="16"/>
      <c r="G1791" s="16"/>
      <c r="H1791" s="5"/>
      <c r="I1791" s="741"/>
      <c r="J1791" s="742"/>
      <c r="K1791" s="5"/>
      <c r="L1791" s="5"/>
      <c r="M1791" s="48"/>
      <c r="N1791" s="18"/>
      <c r="O1791" s="22"/>
      <c r="P1791" s="22"/>
      <c r="Q1791" s="8"/>
      <c r="R1791" s="8"/>
      <c r="S1791" s="8"/>
      <c r="T1791" s="8"/>
      <c r="U1791" s="8"/>
      <c r="V1791" s="8"/>
      <c r="W1791" s="8"/>
      <c r="X1791" s="8"/>
      <c r="Y1791" s="8"/>
      <c r="Z1791" s="8"/>
      <c r="AA1791" s="8"/>
      <c r="AB1791" s="8"/>
      <c r="AC1791" s="8"/>
      <c r="AD1791" s="24"/>
      <c r="AE1791" s="24"/>
      <c r="AF1791" s="8"/>
      <c r="AG1791" s="8"/>
      <c r="AH1791" s="8"/>
      <c r="AI1791" s="8"/>
    </row>
    <row r="1792" spans="1:35" ht="15.75" customHeight="1" x14ac:dyDescent="0.25">
      <c r="A1792" s="8"/>
      <c r="B1792" s="8"/>
      <c r="C1792" s="8"/>
      <c r="D1792" s="8"/>
      <c r="E1792" s="5"/>
      <c r="F1792" s="16"/>
      <c r="G1792" s="16"/>
      <c r="H1792" s="5"/>
      <c r="I1792" s="741"/>
      <c r="J1792" s="742"/>
      <c r="K1792" s="5"/>
      <c r="L1792" s="5"/>
      <c r="M1792" s="48"/>
      <c r="N1792" s="18"/>
      <c r="O1792" s="22"/>
      <c r="P1792" s="22"/>
      <c r="Q1792" s="8"/>
      <c r="R1792" s="8"/>
      <c r="S1792" s="8"/>
      <c r="T1792" s="8"/>
      <c r="U1792" s="8"/>
      <c r="V1792" s="8"/>
      <c r="W1792" s="8"/>
      <c r="X1792" s="8"/>
      <c r="Y1792" s="8"/>
      <c r="Z1792" s="8"/>
      <c r="AA1792" s="8"/>
      <c r="AB1792" s="8"/>
      <c r="AC1792" s="8"/>
      <c r="AD1792" s="24"/>
      <c r="AE1792" s="24"/>
      <c r="AF1792" s="8"/>
      <c r="AG1792" s="8"/>
      <c r="AH1792" s="8"/>
      <c r="AI1792" s="8"/>
    </row>
    <row r="1793" spans="1:35" ht="15.75" customHeight="1" x14ac:dyDescent="0.25">
      <c r="A1793" s="8"/>
      <c r="B1793" s="8"/>
      <c r="C1793" s="8"/>
      <c r="D1793" s="8"/>
      <c r="E1793" s="5"/>
      <c r="F1793" s="16"/>
      <c r="G1793" s="16"/>
      <c r="H1793" s="5"/>
      <c r="I1793" s="741"/>
      <c r="J1793" s="742"/>
      <c r="K1793" s="5"/>
      <c r="L1793" s="5"/>
      <c r="M1793" s="48"/>
      <c r="N1793" s="18"/>
      <c r="O1793" s="22"/>
      <c r="P1793" s="22"/>
      <c r="Q1793" s="8"/>
      <c r="R1793" s="8"/>
      <c r="S1793" s="8"/>
      <c r="T1793" s="8"/>
      <c r="U1793" s="8"/>
      <c r="V1793" s="8"/>
      <c r="W1793" s="8"/>
      <c r="X1793" s="8"/>
      <c r="Y1793" s="8"/>
      <c r="Z1793" s="8"/>
      <c r="AA1793" s="8"/>
      <c r="AB1793" s="8"/>
      <c r="AC1793" s="8"/>
      <c r="AD1793" s="24"/>
      <c r="AE1793" s="24"/>
      <c r="AF1793" s="8"/>
      <c r="AG1793" s="8"/>
      <c r="AH1793" s="8"/>
      <c r="AI1793" s="8"/>
    </row>
    <row r="1794" spans="1:35" ht="15.75" customHeight="1" x14ac:dyDescent="0.25">
      <c r="A1794" s="8"/>
      <c r="B1794" s="8"/>
      <c r="C1794" s="8"/>
      <c r="D1794" s="8"/>
      <c r="E1794" s="5"/>
      <c r="F1794" s="16"/>
      <c r="G1794" s="16"/>
      <c r="H1794" s="5"/>
      <c r="I1794" s="741"/>
      <c r="J1794" s="742"/>
      <c r="K1794" s="5"/>
      <c r="L1794" s="5"/>
      <c r="M1794" s="48"/>
      <c r="N1794" s="18"/>
      <c r="O1794" s="22"/>
      <c r="P1794" s="22"/>
      <c r="Q1794" s="8"/>
      <c r="R1794" s="8"/>
      <c r="S1794" s="8"/>
      <c r="T1794" s="8"/>
      <c r="U1794" s="8"/>
      <c r="V1794" s="8"/>
      <c r="W1794" s="8"/>
      <c r="X1794" s="8"/>
      <c r="Y1794" s="8"/>
      <c r="Z1794" s="8"/>
      <c r="AA1794" s="8"/>
      <c r="AB1794" s="8"/>
      <c r="AC1794" s="8"/>
      <c r="AD1794" s="24"/>
      <c r="AE1794" s="24"/>
      <c r="AF1794" s="8"/>
      <c r="AG1794" s="8"/>
      <c r="AH1794" s="8"/>
      <c r="AI1794" s="8"/>
    </row>
    <row r="1795" spans="1:35" ht="15.75" customHeight="1" x14ac:dyDescent="0.25">
      <c r="A1795" s="8"/>
      <c r="B1795" s="8"/>
      <c r="C1795" s="8"/>
      <c r="D1795" s="8"/>
      <c r="E1795" s="5"/>
      <c r="F1795" s="16"/>
      <c r="G1795" s="16"/>
      <c r="H1795" s="5"/>
      <c r="I1795" s="741"/>
      <c r="J1795" s="742"/>
      <c r="K1795" s="5"/>
      <c r="L1795" s="5"/>
      <c r="M1795" s="48"/>
      <c r="N1795" s="18"/>
      <c r="O1795" s="22"/>
      <c r="P1795" s="22"/>
      <c r="Q1795" s="8"/>
      <c r="R1795" s="8"/>
      <c r="S1795" s="8"/>
      <c r="T1795" s="8"/>
      <c r="U1795" s="8"/>
      <c r="V1795" s="8"/>
      <c r="W1795" s="8"/>
      <c r="X1795" s="8"/>
      <c r="Y1795" s="8"/>
      <c r="Z1795" s="8"/>
      <c r="AA1795" s="8"/>
      <c r="AB1795" s="8"/>
      <c r="AC1795" s="8"/>
      <c r="AD1795" s="24"/>
      <c r="AE1795" s="24"/>
      <c r="AF1795" s="8"/>
      <c r="AG1795" s="8"/>
      <c r="AH1795" s="8"/>
      <c r="AI1795" s="8"/>
    </row>
    <row r="1796" spans="1:35" ht="15.75" customHeight="1" x14ac:dyDescent="0.25">
      <c r="A1796" s="8"/>
      <c r="B1796" s="8"/>
      <c r="C1796" s="8"/>
      <c r="D1796" s="8"/>
      <c r="E1796" s="5"/>
      <c r="F1796" s="16"/>
      <c r="G1796" s="16"/>
      <c r="H1796" s="5"/>
      <c r="I1796" s="741"/>
      <c r="J1796" s="742"/>
      <c r="K1796" s="5"/>
      <c r="L1796" s="5"/>
      <c r="M1796" s="48"/>
      <c r="N1796" s="18"/>
      <c r="O1796" s="22"/>
      <c r="P1796" s="22"/>
      <c r="Q1796" s="8"/>
      <c r="R1796" s="8"/>
      <c r="S1796" s="8"/>
      <c r="T1796" s="8"/>
      <c r="U1796" s="8"/>
      <c r="V1796" s="8"/>
      <c r="W1796" s="8"/>
      <c r="X1796" s="8"/>
      <c r="Y1796" s="8"/>
      <c r="Z1796" s="8"/>
      <c r="AA1796" s="8"/>
      <c r="AB1796" s="8"/>
      <c r="AC1796" s="8"/>
      <c r="AD1796" s="24"/>
      <c r="AE1796" s="24"/>
      <c r="AF1796" s="8"/>
      <c r="AG1796" s="8"/>
      <c r="AH1796" s="8"/>
      <c r="AI1796" s="8"/>
    </row>
    <row r="1797" spans="1:35" ht="15.75" customHeight="1" x14ac:dyDescent="0.25">
      <c r="A1797" s="8"/>
      <c r="B1797" s="8"/>
      <c r="C1797" s="8"/>
      <c r="D1797" s="8"/>
      <c r="E1797" s="5"/>
      <c r="F1797" s="16"/>
      <c r="G1797" s="16"/>
      <c r="H1797" s="5"/>
      <c r="I1797" s="741"/>
      <c r="J1797" s="742"/>
      <c r="K1797" s="5"/>
      <c r="L1797" s="5"/>
      <c r="M1797" s="48"/>
      <c r="N1797" s="18"/>
      <c r="O1797" s="22"/>
      <c r="P1797" s="22"/>
      <c r="Q1797" s="8"/>
      <c r="R1797" s="8"/>
      <c r="S1797" s="8"/>
      <c r="T1797" s="8"/>
      <c r="U1797" s="8"/>
      <c r="V1797" s="8"/>
      <c r="W1797" s="8"/>
      <c r="X1797" s="8"/>
      <c r="Y1797" s="8"/>
      <c r="Z1797" s="8"/>
      <c r="AA1797" s="8"/>
      <c r="AB1797" s="8"/>
      <c r="AC1797" s="8"/>
      <c r="AD1797" s="24"/>
      <c r="AE1797" s="24"/>
      <c r="AF1797" s="8"/>
      <c r="AG1797" s="8"/>
      <c r="AH1797" s="8"/>
      <c r="AI1797" s="8"/>
    </row>
    <row r="1798" spans="1:35" ht="15.75" customHeight="1" x14ac:dyDescent="0.25">
      <c r="A1798" s="8"/>
      <c r="B1798" s="8"/>
      <c r="C1798" s="8"/>
      <c r="D1798" s="8"/>
      <c r="E1798" s="5"/>
      <c r="F1798" s="16"/>
      <c r="G1798" s="16"/>
      <c r="H1798" s="5"/>
      <c r="I1798" s="741"/>
      <c r="J1798" s="742"/>
      <c r="K1798" s="5"/>
      <c r="L1798" s="5"/>
      <c r="M1798" s="48"/>
      <c r="N1798" s="18"/>
      <c r="O1798" s="22"/>
      <c r="P1798" s="22"/>
      <c r="Q1798" s="8"/>
      <c r="R1798" s="8"/>
      <c r="S1798" s="8"/>
      <c r="T1798" s="8"/>
      <c r="U1798" s="8"/>
      <c r="V1798" s="8"/>
      <c r="W1798" s="8"/>
      <c r="X1798" s="8"/>
      <c r="Y1798" s="8"/>
      <c r="Z1798" s="8"/>
      <c r="AA1798" s="8"/>
      <c r="AB1798" s="8"/>
      <c r="AC1798" s="8"/>
      <c r="AD1798" s="24"/>
      <c r="AE1798" s="24"/>
      <c r="AF1798" s="8"/>
      <c r="AG1798" s="8"/>
      <c r="AH1798" s="8"/>
      <c r="AI1798" s="8"/>
    </row>
    <row r="1799" spans="1:35" ht="15.75" customHeight="1" x14ac:dyDescent="0.25">
      <c r="A1799" s="8"/>
      <c r="B1799" s="8"/>
      <c r="C1799" s="8"/>
      <c r="D1799" s="8"/>
      <c r="E1799" s="5"/>
      <c r="F1799" s="16"/>
      <c r="G1799" s="16"/>
      <c r="H1799" s="5"/>
      <c r="I1799" s="741"/>
      <c r="J1799" s="742"/>
      <c r="K1799" s="5"/>
      <c r="L1799" s="5"/>
      <c r="M1799" s="48"/>
      <c r="N1799" s="18"/>
      <c r="O1799" s="22"/>
      <c r="P1799" s="22"/>
      <c r="Q1799" s="8"/>
      <c r="R1799" s="8"/>
      <c r="S1799" s="8"/>
      <c r="T1799" s="8"/>
      <c r="U1799" s="8"/>
      <c r="V1799" s="8"/>
      <c r="W1799" s="8"/>
      <c r="X1799" s="8"/>
      <c r="Y1799" s="8"/>
      <c r="Z1799" s="8"/>
      <c r="AA1799" s="8"/>
      <c r="AB1799" s="8"/>
      <c r="AC1799" s="8"/>
      <c r="AD1799" s="24"/>
      <c r="AE1799" s="24"/>
      <c r="AF1799" s="8"/>
      <c r="AG1799" s="8"/>
      <c r="AH1799" s="8"/>
      <c r="AI1799" s="8"/>
    </row>
    <row r="1800" spans="1:35" ht="15.75" customHeight="1" x14ac:dyDescent="0.25">
      <c r="A1800" s="8"/>
      <c r="B1800" s="8"/>
      <c r="C1800" s="8"/>
      <c r="D1800" s="8"/>
      <c r="E1800" s="5"/>
      <c r="F1800" s="16"/>
      <c r="G1800" s="16"/>
      <c r="H1800" s="5"/>
      <c r="I1800" s="741"/>
      <c r="J1800" s="742"/>
      <c r="K1800" s="5"/>
      <c r="L1800" s="5"/>
      <c r="M1800" s="48"/>
      <c r="N1800" s="18"/>
      <c r="O1800" s="22"/>
      <c r="P1800" s="22"/>
      <c r="Q1800" s="8"/>
      <c r="R1800" s="8"/>
      <c r="S1800" s="8"/>
      <c r="T1800" s="8"/>
      <c r="U1800" s="8"/>
      <c r="V1800" s="8"/>
      <c r="W1800" s="8"/>
      <c r="X1800" s="8"/>
      <c r="Y1800" s="8"/>
      <c r="Z1800" s="8"/>
      <c r="AA1800" s="8"/>
      <c r="AB1800" s="8"/>
      <c r="AC1800" s="8"/>
      <c r="AD1800" s="24"/>
      <c r="AE1800" s="24"/>
      <c r="AF1800" s="8"/>
      <c r="AG1800" s="8"/>
      <c r="AH1800" s="8"/>
      <c r="AI1800" s="8"/>
    </row>
    <row r="1801" spans="1:35" ht="15.75" customHeight="1" x14ac:dyDescent="0.25">
      <c r="A1801" s="8"/>
      <c r="B1801" s="8"/>
      <c r="C1801" s="8"/>
      <c r="D1801" s="8"/>
      <c r="E1801" s="5"/>
      <c r="F1801" s="16"/>
      <c r="G1801" s="16"/>
      <c r="H1801" s="5"/>
      <c r="I1801" s="741"/>
      <c r="J1801" s="742"/>
      <c r="K1801" s="5"/>
      <c r="L1801" s="5"/>
      <c r="M1801" s="48"/>
      <c r="N1801" s="18"/>
      <c r="O1801" s="22"/>
      <c r="P1801" s="22"/>
      <c r="Q1801" s="8"/>
      <c r="R1801" s="8"/>
      <c r="S1801" s="8"/>
      <c r="T1801" s="8"/>
      <c r="U1801" s="8"/>
      <c r="V1801" s="8"/>
      <c r="W1801" s="8"/>
      <c r="X1801" s="8"/>
      <c r="Y1801" s="8"/>
      <c r="Z1801" s="8"/>
      <c r="AA1801" s="8"/>
      <c r="AB1801" s="8"/>
      <c r="AC1801" s="8"/>
      <c r="AD1801" s="24"/>
      <c r="AE1801" s="24"/>
      <c r="AF1801" s="8"/>
      <c r="AG1801" s="8"/>
      <c r="AH1801" s="8"/>
      <c r="AI1801" s="8"/>
    </row>
    <row r="1802" spans="1:35" ht="15.75" customHeight="1" x14ac:dyDescent="0.25">
      <c r="A1802" s="8"/>
      <c r="B1802" s="8"/>
      <c r="C1802" s="8"/>
      <c r="D1802" s="8"/>
      <c r="E1802" s="5"/>
      <c r="F1802" s="16"/>
      <c r="G1802" s="16"/>
      <c r="H1802" s="5"/>
      <c r="I1802" s="741"/>
      <c r="J1802" s="742"/>
      <c r="K1802" s="5"/>
      <c r="L1802" s="5"/>
      <c r="M1802" s="48"/>
      <c r="N1802" s="18"/>
      <c r="O1802" s="22"/>
      <c r="P1802" s="22"/>
      <c r="Q1802" s="8"/>
      <c r="R1802" s="8"/>
      <c r="S1802" s="8"/>
      <c r="T1802" s="8"/>
      <c r="U1802" s="8"/>
      <c r="V1802" s="8"/>
      <c r="W1802" s="8"/>
      <c r="X1802" s="8"/>
      <c r="Y1802" s="8"/>
      <c r="Z1802" s="8"/>
      <c r="AA1802" s="8"/>
      <c r="AB1802" s="8"/>
      <c r="AC1802" s="8"/>
      <c r="AD1802" s="24"/>
      <c r="AE1802" s="24"/>
      <c r="AF1802" s="8"/>
      <c r="AG1802" s="8"/>
      <c r="AH1802" s="8"/>
      <c r="AI1802" s="8"/>
    </row>
    <row r="1803" spans="1:35" ht="15.75" customHeight="1" x14ac:dyDescent="0.25">
      <c r="A1803" s="8"/>
      <c r="B1803" s="8"/>
      <c r="C1803" s="8"/>
      <c r="D1803" s="8"/>
      <c r="E1803" s="5"/>
      <c r="F1803" s="16"/>
      <c r="G1803" s="16"/>
      <c r="H1803" s="5"/>
      <c r="I1803" s="741"/>
      <c r="J1803" s="742"/>
      <c r="K1803" s="5"/>
      <c r="L1803" s="5"/>
      <c r="M1803" s="48"/>
      <c r="N1803" s="18"/>
      <c r="O1803" s="22"/>
      <c r="P1803" s="22"/>
      <c r="Q1803" s="8"/>
      <c r="R1803" s="8"/>
      <c r="S1803" s="8"/>
      <c r="T1803" s="8"/>
      <c r="U1803" s="8"/>
      <c r="V1803" s="8"/>
      <c r="W1803" s="8"/>
      <c r="X1803" s="8"/>
      <c r="Y1803" s="8"/>
      <c r="Z1803" s="8"/>
      <c r="AA1803" s="8"/>
      <c r="AB1803" s="8"/>
      <c r="AC1803" s="8"/>
      <c r="AD1803" s="24"/>
      <c r="AE1803" s="24"/>
      <c r="AF1803" s="8"/>
      <c r="AG1803" s="8"/>
      <c r="AH1803" s="8"/>
      <c r="AI1803" s="8"/>
    </row>
    <row r="1804" spans="1:35" ht="15.75" customHeight="1" x14ac:dyDescent="0.25">
      <c r="A1804" s="8"/>
      <c r="B1804" s="8"/>
      <c r="C1804" s="8"/>
      <c r="D1804" s="8"/>
      <c r="E1804" s="5"/>
      <c r="F1804" s="16"/>
      <c r="G1804" s="16"/>
      <c r="H1804" s="5"/>
      <c r="I1804" s="741"/>
      <c r="J1804" s="742"/>
      <c r="K1804" s="5"/>
      <c r="L1804" s="5"/>
      <c r="M1804" s="48"/>
      <c r="N1804" s="18"/>
      <c r="O1804" s="22"/>
      <c r="P1804" s="22"/>
      <c r="Q1804" s="8"/>
      <c r="R1804" s="8"/>
      <c r="S1804" s="8"/>
      <c r="T1804" s="8"/>
      <c r="U1804" s="8"/>
      <c r="V1804" s="8"/>
      <c r="W1804" s="8"/>
      <c r="X1804" s="8"/>
      <c r="Y1804" s="8"/>
      <c r="Z1804" s="8"/>
      <c r="AA1804" s="8"/>
      <c r="AB1804" s="8"/>
      <c r="AC1804" s="8"/>
      <c r="AD1804" s="24"/>
      <c r="AE1804" s="24"/>
      <c r="AF1804" s="8"/>
      <c r="AG1804" s="8"/>
      <c r="AH1804" s="8"/>
      <c r="AI1804" s="8"/>
    </row>
    <row r="1805" spans="1:35" ht="15.75" customHeight="1" x14ac:dyDescent="0.25">
      <c r="A1805" s="8"/>
      <c r="B1805" s="8"/>
      <c r="C1805" s="8"/>
      <c r="D1805" s="8"/>
      <c r="E1805" s="5"/>
      <c r="F1805" s="16"/>
      <c r="G1805" s="16"/>
      <c r="H1805" s="5"/>
      <c r="I1805" s="741"/>
      <c r="J1805" s="742"/>
      <c r="K1805" s="5"/>
      <c r="L1805" s="5"/>
      <c r="M1805" s="48"/>
      <c r="N1805" s="18"/>
      <c r="O1805" s="22"/>
      <c r="P1805" s="22"/>
      <c r="Q1805" s="8"/>
      <c r="R1805" s="8"/>
      <c r="S1805" s="8"/>
      <c r="T1805" s="8"/>
      <c r="U1805" s="8"/>
      <c r="V1805" s="8"/>
      <c r="W1805" s="8"/>
      <c r="X1805" s="8"/>
      <c r="Y1805" s="8"/>
      <c r="Z1805" s="8"/>
      <c r="AA1805" s="8"/>
      <c r="AB1805" s="8"/>
      <c r="AC1805" s="8"/>
      <c r="AD1805" s="24"/>
      <c r="AE1805" s="24"/>
      <c r="AF1805" s="8"/>
      <c r="AG1805" s="8"/>
      <c r="AH1805" s="8"/>
      <c r="AI1805" s="8"/>
    </row>
    <row r="1806" spans="1:35" ht="15.75" customHeight="1" x14ac:dyDescent="0.25">
      <c r="A1806" s="8"/>
      <c r="B1806" s="8"/>
      <c r="C1806" s="8"/>
      <c r="D1806" s="8"/>
      <c r="E1806" s="5"/>
      <c r="F1806" s="16"/>
      <c r="G1806" s="16"/>
      <c r="H1806" s="5"/>
      <c r="I1806" s="741"/>
      <c r="J1806" s="742"/>
      <c r="K1806" s="5"/>
      <c r="L1806" s="5"/>
      <c r="M1806" s="48"/>
      <c r="N1806" s="18"/>
      <c r="O1806" s="22"/>
      <c r="P1806" s="22"/>
      <c r="Q1806" s="8"/>
      <c r="R1806" s="8"/>
      <c r="S1806" s="8"/>
      <c r="T1806" s="8"/>
      <c r="U1806" s="8"/>
      <c r="V1806" s="8"/>
      <c r="W1806" s="8"/>
      <c r="X1806" s="8"/>
      <c r="Y1806" s="8"/>
      <c r="Z1806" s="8"/>
      <c r="AA1806" s="8"/>
      <c r="AB1806" s="8"/>
      <c r="AC1806" s="8"/>
      <c r="AD1806" s="24"/>
      <c r="AE1806" s="24"/>
      <c r="AF1806" s="8"/>
      <c r="AG1806" s="8"/>
      <c r="AH1806" s="8"/>
      <c r="AI1806" s="8"/>
    </row>
    <row r="1807" spans="1:35" ht="15.75" customHeight="1" x14ac:dyDescent="0.25">
      <c r="A1807" s="8"/>
      <c r="B1807" s="8"/>
      <c r="C1807" s="8"/>
      <c r="D1807" s="8"/>
      <c r="E1807" s="5"/>
      <c r="F1807" s="16"/>
      <c r="G1807" s="16"/>
      <c r="H1807" s="5"/>
      <c r="I1807" s="5"/>
      <c r="J1807" s="5"/>
      <c r="K1807" s="5"/>
      <c r="L1807" s="5"/>
      <c r="M1807" s="48"/>
      <c r="N1807" s="18"/>
      <c r="O1807" s="22"/>
      <c r="P1807" s="22"/>
      <c r="Q1807" s="8"/>
      <c r="R1807" s="8"/>
      <c r="S1807" s="8"/>
      <c r="T1807" s="8"/>
      <c r="U1807" s="8"/>
      <c r="V1807" s="8"/>
      <c r="W1807" s="8"/>
      <c r="X1807" s="8"/>
      <c r="Y1807" s="8"/>
      <c r="Z1807" s="8"/>
      <c r="AA1807" s="8"/>
      <c r="AB1807" s="8"/>
      <c r="AC1807" s="8"/>
      <c r="AD1807" s="24"/>
      <c r="AE1807" s="24"/>
      <c r="AF1807" s="8"/>
      <c r="AG1807" s="8"/>
      <c r="AH1807" s="8"/>
      <c r="AI1807" s="8"/>
    </row>
    <row r="1808" spans="1:35" ht="15.75" customHeight="1" x14ac:dyDescent="0.25">
      <c r="A1808" s="8"/>
      <c r="B1808" s="8"/>
      <c r="C1808" s="8"/>
      <c r="D1808" s="8"/>
      <c r="E1808" s="5"/>
      <c r="F1808" s="16"/>
      <c r="G1808" s="16"/>
      <c r="H1808" s="5"/>
      <c r="I1808" s="5"/>
      <c r="J1808" s="5"/>
      <c r="K1808" s="5"/>
      <c r="L1808" s="5"/>
      <c r="M1808" s="48"/>
      <c r="N1808" s="18"/>
      <c r="O1808" s="22"/>
      <c r="P1808" s="22"/>
      <c r="Q1808" s="8"/>
      <c r="R1808" s="8"/>
      <c r="S1808" s="8"/>
      <c r="T1808" s="8"/>
      <c r="U1808" s="8"/>
      <c r="V1808" s="8"/>
      <c r="W1808" s="8"/>
      <c r="X1808" s="8"/>
      <c r="Y1808" s="8"/>
      <c r="Z1808" s="8"/>
      <c r="AA1808" s="8"/>
      <c r="AB1808" s="8"/>
      <c r="AC1808" s="8"/>
      <c r="AD1808" s="24"/>
      <c r="AE1808" s="24"/>
      <c r="AF1808" s="8"/>
      <c r="AG1808" s="8"/>
      <c r="AH1808" s="8"/>
      <c r="AI1808" s="8"/>
    </row>
    <row r="1809" spans="1:35" ht="15.75" customHeight="1" x14ac:dyDescent="0.25">
      <c r="A1809" s="8"/>
      <c r="B1809" s="8"/>
      <c r="C1809" s="8"/>
      <c r="D1809" s="8"/>
      <c r="E1809" s="5"/>
      <c r="F1809" s="16"/>
      <c r="G1809" s="16"/>
      <c r="H1809" s="5"/>
      <c r="I1809" s="5"/>
      <c r="J1809" s="5"/>
      <c r="K1809" s="5"/>
      <c r="L1809" s="5"/>
      <c r="M1809" s="48"/>
      <c r="N1809" s="18"/>
      <c r="O1809" s="22"/>
      <c r="P1809" s="22"/>
      <c r="Q1809" s="8"/>
      <c r="R1809" s="8"/>
      <c r="S1809" s="8"/>
      <c r="T1809" s="8"/>
      <c r="U1809" s="8"/>
      <c r="V1809" s="8"/>
      <c r="W1809" s="8"/>
      <c r="X1809" s="8"/>
      <c r="Y1809" s="8"/>
      <c r="Z1809" s="8"/>
      <c r="AA1809" s="8"/>
      <c r="AB1809" s="8"/>
      <c r="AC1809" s="8"/>
      <c r="AD1809" s="24"/>
      <c r="AE1809" s="24"/>
      <c r="AF1809" s="8"/>
      <c r="AG1809" s="8"/>
      <c r="AH1809" s="8"/>
      <c r="AI1809" s="8"/>
    </row>
    <row r="1810" spans="1:35" ht="15.75" customHeight="1" x14ac:dyDescent="0.25">
      <c r="A1810" s="8"/>
      <c r="B1810" s="8"/>
      <c r="C1810" s="8"/>
      <c r="D1810" s="8"/>
      <c r="E1810" s="5"/>
      <c r="F1810" s="16"/>
      <c r="G1810" s="16"/>
      <c r="H1810" s="5"/>
      <c r="I1810" s="5"/>
      <c r="J1810" s="5"/>
      <c r="K1810" s="5"/>
      <c r="L1810" s="5"/>
      <c r="M1810" s="48"/>
      <c r="N1810" s="18"/>
      <c r="O1810" s="22"/>
      <c r="P1810" s="22"/>
      <c r="Q1810" s="8"/>
      <c r="R1810" s="8"/>
      <c r="S1810" s="8"/>
      <c r="T1810" s="8"/>
      <c r="U1810" s="8"/>
      <c r="V1810" s="8"/>
      <c r="W1810" s="8"/>
      <c r="X1810" s="8"/>
      <c r="Y1810" s="8"/>
      <c r="Z1810" s="8"/>
      <c r="AA1810" s="8"/>
      <c r="AB1810" s="8"/>
      <c r="AC1810" s="8"/>
      <c r="AD1810" s="24"/>
      <c r="AE1810" s="24"/>
      <c r="AF1810" s="8"/>
      <c r="AG1810" s="8"/>
      <c r="AH1810" s="8"/>
      <c r="AI1810" s="8"/>
    </row>
    <row r="1811" spans="1:35" ht="15.75" customHeight="1" x14ac:dyDescent="0.25">
      <c r="A1811" s="8"/>
      <c r="B1811" s="8"/>
      <c r="C1811" s="8"/>
      <c r="D1811" s="8"/>
      <c r="E1811" s="5"/>
      <c r="F1811" s="16"/>
      <c r="G1811" s="16"/>
      <c r="H1811" s="5"/>
      <c r="I1811" s="5"/>
      <c r="J1811" s="5"/>
      <c r="K1811" s="5"/>
      <c r="L1811" s="5"/>
      <c r="M1811" s="48"/>
      <c r="N1811" s="18"/>
      <c r="O1811" s="22"/>
      <c r="P1811" s="22"/>
      <c r="Q1811" s="8"/>
      <c r="R1811" s="8"/>
      <c r="S1811" s="8"/>
      <c r="T1811" s="8"/>
      <c r="U1811" s="8"/>
      <c r="V1811" s="8"/>
      <c r="W1811" s="8"/>
      <c r="X1811" s="8"/>
      <c r="Y1811" s="8"/>
      <c r="Z1811" s="8"/>
      <c r="AA1811" s="8"/>
      <c r="AB1811" s="8"/>
      <c r="AC1811" s="8"/>
      <c r="AD1811" s="24"/>
      <c r="AE1811" s="24"/>
      <c r="AF1811" s="8"/>
      <c r="AG1811" s="8"/>
      <c r="AH1811" s="8"/>
      <c r="AI1811" s="8"/>
    </row>
    <row r="1812" spans="1:35" ht="15.75" customHeight="1" x14ac:dyDescent="0.25">
      <c r="A1812" s="8"/>
      <c r="B1812" s="8"/>
      <c r="C1812" s="8"/>
      <c r="D1812" s="8"/>
      <c r="E1812" s="5"/>
      <c r="F1812" s="16"/>
      <c r="G1812" s="16"/>
      <c r="H1812" s="5"/>
      <c r="I1812" s="5"/>
      <c r="J1812" s="5"/>
      <c r="K1812" s="5"/>
      <c r="L1812" s="5"/>
      <c r="M1812" s="48"/>
      <c r="N1812" s="18"/>
      <c r="O1812" s="22"/>
      <c r="P1812" s="22"/>
      <c r="Q1812" s="8"/>
      <c r="R1812" s="8"/>
      <c r="S1812" s="8"/>
      <c r="T1812" s="8"/>
      <c r="U1812" s="8"/>
      <c r="V1812" s="8"/>
      <c r="W1812" s="8"/>
      <c r="X1812" s="8"/>
      <c r="Y1812" s="8"/>
      <c r="Z1812" s="8"/>
      <c r="AA1812" s="8"/>
      <c r="AB1812" s="8"/>
      <c r="AC1812" s="8"/>
      <c r="AD1812" s="24"/>
      <c r="AE1812" s="24"/>
      <c r="AF1812" s="8"/>
      <c r="AG1812" s="8"/>
      <c r="AH1812" s="8"/>
      <c r="AI1812" s="8"/>
    </row>
    <row r="1813" spans="1:35" ht="15.75" customHeight="1" x14ac:dyDescent="0.25">
      <c r="A1813" s="8"/>
      <c r="B1813" s="8"/>
      <c r="C1813" s="8"/>
      <c r="D1813" s="8"/>
      <c r="E1813" s="5"/>
      <c r="F1813" s="16"/>
      <c r="G1813" s="16"/>
      <c r="H1813" s="5"/>
      <c r="I1813" s="5"/>
      <c r="J1813" s="5"/>
      <c r="K1813" s="5"/>
      <c r="L1813" s="5"/>
      <c r="M1813" s="48"/>
      <c r="N1813" s="18"/>
      <c r="O1813" s="22"/>
      <c r="P1813" s="22"/>
      <c r="Q1813" s="8"/>
      <c r="R1813" s="8"/>
      <c r="S1813" s="8"/>
      <c r="T1813" s="8"/>
      <c r="U1813" s="8"/>
      <c r="V1813" s="8"/>
      <c r="W1813" s="8"/>
      <c r="X1813" s="8"/>
      <c r="Y1813" s="8"/>
      <c r="Z1813" s="8"/>
      <c r="AA1813" s="8"/>
      <c r="AB1813" s="8"/>
      <c r="AC1813" s="8"/>
      <c r="AD1813" s="24"/>
      <c r="AE1813" s="24"/>
      <c r="AF1813" s="8"/>
      <c r="AG1813" s="8"/>
      <c r="AH1813" s="8"/>
      <c r="AI1813" s="8"/>
    </row>
    <row r="1814" spans="1:35" ht="15.75" customHeight="1" x14ac:dyDescent="0.25">
      <c r="A1814" s="8"/>
      <c r="B1814" s="8"/>
      <c r="C1814" s="8"/>
      <c r="D1814" s="8"/>
      <c r="E1814" s="5"/>
      <c r="F1814" s="16"/>
      <c r="G1814" s="16"/>
      <c r="H1814" s="5"/>
      <c r="I1814" s="741"/>
      <c r="J1814" s="742"/>
      <c r="K1814" s="5"/>
      <c r="L1814" s="5"/>
      <c r="M1814" s="48"/>
      <c r="N1814" s="18"/>
      <c r="O1814" s="22"/>
      <c r="P1814" s="22"/>
      <c r="Q1814" s="8"/>
      <c r="R1814" s="8"/>
      <c r="S1814" s="8"/>
      <c r="T1814" s="8"/>
      <c r="U1814" s="8"/>
      <c r="V1814" s="8"/>
      <c r="W1814" s="8"/>
      <c r="X1814" s="8"/>
      <c r="Y1814" s="8"/>
      <c r="Z1814" s="8"/>
      <c r="AA1814" s="8"/>
      <c r="AB1814" s="8"/>
      <c r="AC1814" s="8"/>
      <c r="AD1814" s="24"/>
      <c r="AE1814" s="24"/>
      <c r="AF1814" s="8"/>
      <c r="AG1814" s="8"/>
      <c r="AH1814" s="8"/>
      <c r="AI1814" s="8"/>
    </row>
    <row r="1815" spans="1:35" ht="15.75" customHeight="1" x14ac:dyDescent="0.25">
      <c r="A1815" s="8"/>
      <c r="B1815" s="8"/>
      <c r="C1815" s="8"/>
      <c r="D1815" s="8"/>
      <c r="E1815" s="5"/>
      <c r="F1815" s="16"/>
      <c r="G1815" s="16"/>
      <c r="H1815" s="5"/>
      <c r="I1815" s="741"/>
      <c r="J1815" s="742"/>
      <c r="K1815" s="5"/>
      <c r="L1815" s="5"/>
      <c r="M1815" s="48"/>
      <c r="N1815" s="18"/>
      <c r="O1815" s="22"/>
      <c r="P1815" s="22"/>
      <c r="Q1815" s="8"/>
      <c r="R1815" s="8"/>
      <c r="S1815" s="8"/>
      <c r="T1815" s="8"/>
      <c r="U1815" s="8"/>
      <c r="V1815" s="8"/>
      <c r="W1815" s="8"/>
      <c r="X1815" s="8"/>
      <c r="Y1815" s="8"/>
      <c r="Z1815" s="8"/>
      <c r="AA1815" s="8"/>
      <c r="AB1815" s="8"/>
      <c r="AC1815" s="8"/>
      <c r="AD1815" s="24"/>
      <c r="AE1815" s="24"/>
      <c r="AF1815" s="8"/>
      <c r="AG1815" s="8"/>
      <c r="AH1815" s="8"/>
      <c r="AI1815" s="8"/>
    </row>
    <row r="1816" spans="1:35" ht="15.75" customHeight="1" x14ac:dyDescent="0.25">
      <c r="A1816" s="8"/>
      <c r="B1816" s="8"/>
      <c r="C1816" s="8"/>
      <c r="D1816" s="8"/>
      <c r="E1816" s="5"/>
      <c r="F1816" s="16"/>
      <c r="G1816" s="16"/>
      <c r="H1816" s="5"/>
      <c r="I1816" s="741"/>
      <c r="J1816" s="742"/>
      <c r="K1816" s="5"/>
      <c r="L1816" s="5"/>
      <c r="M1816" s="48"/>
      <c r="N1816" s="18"/>
      <c r="O1816" s="22"/>
      <c r="P1816" s="22"/>
      <c r="Q1816" s="8"/>
      <c r="R1816" s="8"/>
      <c r="S1816" s="8"/>
      <c r="T1816" s="8"/>
      <c r="U1816" s="8"/>
      <c r="V1816" s="8"/>
      <c r="W1816" s="8"/>
      <c r="X1816" s="8"/>
      <c r="Y1816" s="8"/>
      <c r="Z1816" s="8"/>
      <c r="AA1816" s="8"/>
      <c r="AB1816" s="8"/>
      <c r="AC1816" s="8"/>
      <c r="AD1816" s="24"/>
      <c r="AE1816" s="24"/>
      <c r="AF1816" s="8"/>
      <c r="AG1816" s="8"/>
      <c r="AH1816" s="8"/>
      <c r="AI1816" s="8"/>
    </row>
    <row r="1817" spans="1:35" ht="15.75" customHeight="1" x14ac:dyDescent="0.25">
      <c r="A1817" s="8"/>
      <c r="B1817" s="8"/>
      <c r="C1817" s="8"/>
      <c r="D1817" s="8"/>
      <c r="E1817" s="5"/>
      <c r="F1817" s="16"/>
      <c r="G1817" s="16"/>
      <c r="H1817" s="5"/>
      <c r="I1817" s="741"/>
      <c r="J1817" s="742"/>
      <c r="K1817" s="5"/>
      <c r="L1817" s="5"/>
      <c r="M1817" s="48"/>
      <c r="N1817" s="18"/>
      <c r="O1817" s="22"/>
      <c r="P1817" s="22"/>
      <c r="Q1817" s="8"/>
      <c r="R1817" s="8"/>
      <c r="S1817" s="8"/>
      <c r="T1817" s="8"/>
      <c r="U1817" s="8"/>
      <c r="V1817" s="8"/>
      <c r="W1817" s="8"/>
      <c r="X1817" s="8"/>
      <c r="Y1817" s="8"/>
      <c r="Z1817" s="8"/>
      <c r="AA1817" s="8"/>
      <c r="AB1817" s="8"/>
      <c r="AC1817" s="8"/>
      <c r="AD1817" s="24"/>
      <c r="AE1817" s="24"/>
      <c r="AF1817" s="8"/>
      <c r="AG1817" s="8"/>
      <c r="AH1817" s="8"/>
      <c r="AI1817" s="8"/>
    </row>
    <row r="1818" spans="1:35" ht="15.75" customHeight="1" x14ac:dyDescent="0.25">
      <c r="A1818" s="8"/>
      <c r="B1818" s="8"/>
      <c r="C1818" s="8"/>
      <c r="D1818" s="8"/>
      <c r="E1818" s="5"/>
      <c r="F1818" s="16"/>
      <c r="G1818" s="16"/>
      <c r="H1818" s="5"/>
      <c r="I1818" s="741"/>
      <c r="J1818" s="742"/>
      <c r="K1818" s="5"/>
      <c r="L1818" s="5"/>
      <c r="M1818" s="48"/>
      <c r="N1818" s="18"/>
      <c r="O1818" s="22"/>
      <c r="P1818" s="22"/>
      <c r="Q1818" s="8"/>
      <c r="R1818" s="8"/>
      <c r="S1818" s="8"/>
      <c r="T1818" s="8"/>
      <c r="U1818" s="8"/>
      <c r="V1818" s="8"/>
      <c r="W1818" s="8"/>
      <c r="X1818" s="8"/>
      <c r="Y1818" s="8"/>
      <c r="Z1818" s="8"/>
      <c r="AA1818" s="8"/>
      <c r="AB1818" s="8"/>
      <c r="AC1818" s="8"/>
      <c r="AD1818" s="24"/>
      <c r="AE1818" s="24"/>
      <c r="AF1818" s="8"/>
      <c r="AG1818" s="8"/>
      <c r="AH1818" s="8"/>
      <c r="AI1818" s="8"/>
    </row>
    <row r="1819" spans="1:35" ht="15.75" customHeight="1" x14ac:dyDescent="0.25">
      <c r="A1819" s="8"/>
      <c r="B1819" s="8"/>
      <c r="C1819" s="8"/>
      <c r="D1819" s="8"/>
      <c r="E1819" s="5"/>
      <c r="F1819" s="16"/>
      <c r="G1819" s="16"/>
      <c r="H1819" s="5"/>
      <c r="I1819" s="741"/>
      <c r="J1819" s="742"/>
      <c r="K1819" s="5"/>
      <c r="L1819" s="5"/>
      <c r="M1819" s="48"/>
      <c r="N1819" s="18"/>
      <c r="O1819" s="22"/>
      <c r="P1819" s="22"/>
      <c r="Q1819" s="8"/>
      <c r="R1819" s="8"/>
      <c r="S1819" s="8"/>
      <c r="T1819" s="8"/>
      <c r="U1819" s="8"/>
      <c r="V1819" s="8"/>
      <c r="W1819" s="8"/>
      <c r="X1819" s="8"/>
      <c r="Y1819" s="8"/>
      <c r="Z1819" s="8"/>
      <c r="AA1819" s="8"/>
      <c r="AB1819" s="8"/>
      <c r="AC1819" s="8"/>
      <c r="AD1819" s="24"/>
      <c r="AE1819" s="24"/>
      <c r="AF1819" s="8"/>
      <c r="AG1819" s="8"/>
      <c r="AH1819" s="8"/>
      <c r="AI1819" s="8"/>
    </row>
    <row r="1820" spans="1:35" ht="15.75" customHeight="1" x14ac:dyDescent="0.25">
      <c r="A1820" s="8"/>
      <c r="B1820" s="8"/>
      <c r="C1820" s="8"/>
      <c r="D1820" s="8"/>
      <c r="E1820" s="5"/>
      <c r="F1820" s="16"/>
      <c r="G1820" s="16"/>
      <c r="H1820" s="5"/>
      <c r="I1820" s="741"/>
      <c r="J1820" s="742"/>
      <c r="K1820" s="5"/>
      <c r="L1820" s="5"/>
      <c r="M1820" s="48"/>
      <c r="N1820" s="18"/>
      <c r="O1820" s="22"/>
      <c r="P1820" s="22"/>
      <c r="Q1820" s="8"/>
      <c r="R1820" s="8"/>
      <c r="S1820" s="8"/>
      <c r="T1820" s="8"/>
      <c r="U1820" s="8"/>
      <c r="V1820" s="8"/>
      <c r="W1820" s="8"/>
      <c r="X1820" s="8"/>
      <c r="Y1820" s="8"/>
      <c r="Z1820" s="8"/>
      <c r="AA1820" s="8"/>
      <c r="AB1820" s="8"/>
      <c r="AC1820" s="8"/>
      <c r="AD1820" s="24"/>
      <c r="AE1820" s="24"/>
      <c r="AF1820" s="8"/>
      <c r="AG1820" s="8"/>
      <c r="AH1820" s="8"/>
      <c r="AI1820" s="8"/>
    </row>
    <row r="1821" spans="1:35" ht="15.75" customHeight="1" x14ac:dyDescent="0.25">
      <c r="A1821" s="8"/>
      <c r="B1821" s="8"/>
      <c r="C1821" s="8"/>
      <c r="D1821" s="8"/>
      <c r="E1821" s="5"/>
      <c r="F1821" s="16"/>
      <c r="G1821" s="16"/>
      <c r="H1821" s="5"/>
      <c r="I1821" s="741"/>
      <c r="J1821" s="742"/>
      <c r="K1821" s="5"/>
      <c r="L1821" s="5"/>
      <c r="M1821" s="48"/>
      <c r="N1821" s="18"/>
      <c r="O1821" s="22"/>
      <c r="P1821" s="22"/>
      <c r="Q1821" s="8"/>
      <c r="R1821" s="8"/>
      <c r="S1821" s="8"/>
      <c r="T1821" s="8"/>
      <c r="U1821" s="8"/>
      <c r="V1821" s="8"/>
      <c r="W1821" s="8"/>
      <c r="X1821" s="8"/>
      <c r="Y1821" s="8"/>
      <c r="Z1821" s="8"/>
      <c r="AA1821" s="8"/>
      <c r="AB1821" s="8"/>
      <c r="AC1821" s="8"/>
      <c r="AD1821" s="24"/>
      <c r="AE1821" s="24"/>
      <c r="AF1821" s="8"/>
      <c r="AG1821" s="8"/>
      <c r="AH1821" s="8"/>
      <c r="AI1821" s="8"/>
    </row>
    <row r="1822" spans="1:35" ht="15.75" customHeight="1" x14ac:dyDescent="0.25">
      <c r="A1822" s="8"/>
      <c r="B1822" s="8"/>
      <c r="C1822" s="8"/>
      <c r="D1822" s="8"/>
      <c r="E1822" s="5"/>
      <c r="F1822" s="16"/>
      <c r="G1822" s="16"/>
      <c r="H1822" s="5"/>
      <c r="I1822" s="741"/>
      <c r="J1822" s="742"/>
      <c r="K1822" s="5"/>
      <c r="L1822" s="5"/>
      <c r="M1822" s="48"/>
      <c r="N1822" s="18"/>
      <c r="O1822" s="22"/>
      <c r="P1822" s="22"/>
      <c r="Q1822" s="8"/>
      <c r="R1822" s="8"/>
      <c r="S1822" s="8"/>
      <c r="T1822" s="8"/>
      <c r="U1822" s="8"/>
      <c r="V1822" s="8"/>
      <c r="W1822" s="8"/>
      <c r="X1822" s="8"/>
      <c r="Y1822" s="8"/>
      <c r="Z1822" s="8"/>
      <c r="AA1822" s="8"/>
      <c r="AB1822" s="8"/>
      <c r="AC1822" s="8"/>
      <c r="AD1822" s="24"/>
      <c r="AE1822" s="24"/>
      <c r="AF1822" s="8"/>
      <c r="AG1822" s="8"/>
      <c r="AH1822" s="8"/>
      <c r="AI1822" s="8"/>
    </row>
    <row r="1823" spans="1:35" ht="15.75" customHeight="1" x14ac:dyDescent="0.25">
      <c r="A1823" s="8"/>
      <c r="B1823" s="8"/>
      <c r="C1823" s="8"/>
      <c r="D1823" s="8"/>
      <c r="E1823" s="5"/>
      <c r="F1823" s="16"/>
      <c r="G1823" s="16"/>
      <c r="H1823" s="5"/>
      <c r="I1823" s="741"/>
      <c r="J1823" s="742"/>
      <c r="K1823" s="5"/>
      <c r="L1823" s="5"/>
      <c r="M1823" s="48"/>
      <c r="N1823" s="18"/>
      <c r="O1823" s="22"/>
      <c r="P1823" s="22"/>
      <c r="Q1823" s="8"/>
      <c r="R1823" s="8"/>
      <c r="S1823" s="8"/>
      <c r="T1823" s="8"/>
      <c r="U1823" s="8"/>
      <c r="V1823" s="8"/>
      <c r="W1823" s="8"/>
      <c r="X1823" s="8"/>
      <c r="Y1823" s="8"/>
      <c r="Z1823" s="8"/>
      <c r="AA1823" s="8"/>
      <c r="AB1823" s="8"/>
      <c r="AC1823" s="8"/>
      <c r="AD1823" s="24"/>
      <c r="AE1823" s="24"/>
      <c r="AF1823" s="8"/>
      <c r="AG1823" s="8"/>
      <c r="AH1823" s="8"/>
      <c r="AI1823" s="8"/>
    </row>
    <row r="1824" spans="1:35" ht="15.75" customHeight="1" x14ac:dyDescent="0.25">
      <c r="A1824" s="8"/>
      <c r="B1824" s="8"/>
      <c r="C1824" s="8"/>
      <c r="D1824" s="8"/>
      <c r="E1824" s="5"/>
      <c r="F1824" s="16"/>
      <c r="G1824" s="16"/>
      <c r="H1824" s="5"/>
      <c r="I1824" s="741"/>
      <c r="J1824" s="742"/>
      <c r="K1824" s="5"/>
      <c r="L1824" s="5"/>
      <c r="M1824" s="48"/>
      <c r="N1824" s="18"/>
      <c r="O1824" s="22"/>
      <c r="P1824" s="22"/>
      <c r="Q1824" s="8"/>
      <c r="R1824" s="8"/>
      <c r="S1824" s="8"/>
      <c r="T1824" s="8"/>
      <c r="U1824" s="8"/>
      <c r="V1824" s="8"/>
      <c r="W1824" s="8"/>
      <c r="X1824" s="8"/>
      <c r="Y1824" s="8"/>
      <c r="Z1824" s="8"/>
      <c r="AA1824" s="8"/>
      <c r="AB1824" s="8"/>
      <c r="AC1824" s="8"/>
      <c r="AD1824" s="24"/>
      <c r="AE1824" s="24"/>
      <c r="AF1824" s="8"/>
      <c r="AG1824" s="8"/>
      <c r="AH1824" s="8"/>
      <c r="AI1824" s="8"/>
    </row>
    <row r="1825" spans="1:35" ht="15.75" customHeight="1" x14ac:dyDescent="0.25">
      <c r="A1825" s="8"/>
      <c r="B1825" s="8"/>
      <c r="C1825" s="8"/>
      <c r="D1825" s="8"/>
      <c r="E1825" s="5"/>
      <c r="F1825" s="16"/>
      <c r="G1825" s="16"/>
      <c r="H1825" s="5"/>
      <c r="I1825" s="741"/>
      <c r="J1825" s="742"/>
      <c r="K1825" s="5"/>
      <c r="L1825" s="5"/>
      <c r="M1825" s="48"/>
      <c r="N1825" s="18"/>
      <c r="O1825" s="22"/>
      <c r="P1825" s="22"/>
      <c r="Q1825" s="8"/>
      <c r="R1825" s="8"/>
      <c r="S1825" s="8"/>
      <c r="T1825" s="8"/>
      <c r="U1825" s="8"/>
      <c r="V1825" s="8"/>
      <c r="W1825" s="8"/>
      <c r="X1825" s="8"/>
      <c r="Y1825" s="8"/>
      <c r="Z1825" s="8"/>
      <c r="AA1825" s="8"/>
      <c r="AB1825" s="8"/>
      <c r="AC1825" s="8"/>
      <c r="AD1825" s="24"/>
      <c r="AE1825" s="24"/>
      <c r="AF1825" s="8"/>
      <c r="AG1825" s="8"/>
      <c r="AH1825" s="8"/>
      <c r="AI1825" s="8"/>
    </row>
    <row r="1826" spans="1:35" ht="15.75" customHeight="1" x14ac:dyDescent="0.25">
      <c r="A1826" s="8"/>
      <c r="B1826" s="8"/>
      <c r="C1826" s="8"/>
      <c r="D1826" s="8"/>
      <c r="E1826" s="5"/>
      <c r="F1826" s="16"/>
      <c r="G1826" s="16"/>
      <c r="H1826" s="5"/>
      <c r="I1826" s="741"/>
      <c r="J1826" s="742"/>
      <c r="K1826" s="5"/>
      <c r="L1826" s="5"/>
      <c r="M1826" s="48"/>
      <c r="N1826" s="18"/>
      <c r="O1826" s="22"/>
      <c r="P1826" s="22"/>
      <c r="Q1826" s="8"/>
      <c r="R1826" s="8"/>
      <c r="S1826" s="8"/>
      <c r="T1826" s="8"/>
      <c r="U1826" s="8"/>
      <c r="V1826" s="8"/>
      <c r="W1826" s="8"/>
      <c r="X1826" s="8"/>
      <c r="Y1826" s="8"/>
      <c r="Z1826" s="8"/>
      <c r="AA1826" s="8"/>
      <c r="AB1826" s="8"/>
      <c r="AC1826" s="8"/>
      <c r="AD1826" s="24"/>
      <c r="AE1826" s="24"/>
      <c r="AF1826" s="8"/>
      <c r="AG1826" s="8"/>
      <c r="AH1826" s="8"/>
      <c r="AI1826" s="8"/>
    </row>
    <row r="1827" spans="1:35" ht="15.75" customHeight="1" x14ac:dyDescent="0.25">
      <c r="A1827" s="8"/>
      <c r="B1827" s="8"/>
      <c r="C1827" s="8"/>
      <c r="D1827" s="8"/>
      <c r="E1827" s="5"/>
      <c r="F1827" s="16"/>
      <c r="G1827" s="16"/>
      <c r="H1827" s="5"/>
      <c r="I1827" s="741"/>
      <c r="J1827" s="742"/>
      <c r="K1827" s="5"/>
      <c r="L1827" s="5"/>
      <c r="M1827" s="48"/>
      <c r="N1827" s="18"/>
      <c r="O1827" s="22"/>
      <c r="P1827" s="22"/>
      <c r="Q1827" s="8"/>
      <c r="R1827" s="8"/>
      <c r="S1827" s="8"/>
      <c r="T1827" s="8"/>
      <c r="U1827" s="8"/>
      <c r="V1827" s="8"/>
      <c r="W1827" s="8"/>
      <c r="X1827" s="8"/>
      <c r="Y1827" s="8"/>
      <c r="Z1827" s="8"/>
      <c r="AA1827" s="8"/>
      <c r="AB1827" s="8"/>
      <c r="AC1827" s="8"/>
      <c r="AD1827" s="24"/>
      <c r="AE1827" s="24"/>
      <c r="AF1827" s="8"/>
      <c r="AG1827" s="8"/>
      <c r="AH1827" s="8"/>
      <c r="AI1827" s="8"/>
    </row>
    <row r="1828" spans="1:35" ht="15.75" customHeight="1" x14ac:dyDescent="0.25">
      <c r="A1828" s="8"/>
      <c r="B1828" s="8"/>
      <c r="C1828" s="8"/>
      <c r="D1828" s="8"/>
      <c r="E1828" s="5"/>
      <c r="F1828" s="16"/>
      <c r="G1828" s="16"/>
      <c r="H1828" s="5"/>
      <c r="I1828" s="741"/>
      <c r="J1828" s="742"/>
      <c r="K1828" s="5"/>
      <c r="L1828" s="5"/>
      <c r="M1828" s="48"/>
      <c r="N1828" s="18"/>
      <c r="O1828" s="22"/>
      <c r="P1828" s="22"/>
      <c r="Q1828" s="8"/>
      <c r="R1828" s="8"/>
      <c r="S1828" s="8"/>
      <c r="T1828" s="8"/>
      <c r="U1828" s="8"/>
      <c r="V1828" s="8"/>
      <c r="W1828" s="8"/>
      <c r="X1828" s="8"/>
      <c r="Y1828" s="8"/>
      <c r="Z1828" s="8"/>
      <c r="AA1828" s="8"/>
      <c r="AB1828" s="8"/>
      <c r="AC1828" s="8"/>
      <c r="AD1828" s="24"/>
      <c r="AE1828" s="24"/>
      <c r="AF1828" s="8"/>
      <c r="AG1828" s="8"/>
      <c r="AH1828" s="8"/>
      <c r="AI1828" s="8"/>
    </row>
    <row r="1829" spans="1:35" ht="15.75" customHeight="1" x14ac:dyDescent="0.25">
      <c r="A1829" s="8"/>
      <c r="B1829" s="8"/>
      <c r="C1829" s="8"/>
      <c r="D1829" s="8"/>
      <c r="E1829" s="5"/>
      <c r="F1829" s="16"/>
      <c r="G1829" s="16"/>
      <c r="H1829" s="5"/>
      <c r="I1829" s="741"/>
      <c r="J1829" s="742"/>
      <c r="K1829" s="5"/>
      <c r="L1829" s="5"/>
      <c r="M1829" s="48"/>
      <c r="N1829" s="18"/>
      <c r="O1829" s="22"/>
      <c r="P1829" s="22"/>
      <c r="Q1829" s="8"/>
      <c r="R1829" s="8"/>
      <c r="S1829" s="8"/>
      <c r="T1829" s="8"/>
      <c r="U1829" s="8"/>
      <c r="V1829" s="8"/>
      <c r="W1829" s="8"/>
      <c r="X1829" s="8"/>
      <c r="Y1829" s="8"/>
      <c r="Z1829" s="8"/>
      <c r="AA1829" s="8"/>
      <c r="AB1829" s="8"/>
      <c r="AC1829" s="8"/>
      <c r="AD1829" s="24"/>
      <c r="AE1829" s="24"/>
      <c r="AF1829" s="8"/>
      <c r="AG1829" s="8"/>
      <c r="AH1829" s="8"/>
      <c r="AI1829" s="8"/>
    </row>
    <row r="1830" spans="1:35" ht="15.75" customHeight="1" x14ac:dyDescent="0.25">
      <c r="A1830" s="8"/>
      <c r="B1830" s="8"/>
      <c r="C1830" s="8"/>
      <c r="D1830" s="8"/>
      <c r="E1830" s="5"/>
      <c r="F1830" s="16"/>
      <c r="G1830" s="16"/>
      <c r="H1830" s="5"/>
      <c r="I1830" s="741"/>
      <c r="J1830" s="742"/>
      <c r="K1830" s="5"/>
      <c r="L1830" s="5"/>
      <c r="M1830" s="48"/>
      <c r="N1830" s="18"/>
      <c r="O1830" s="22"/>
      <c r="P1830" s="22"/>
      <c r="Q1830" s="8"/>
      <c r="R1830" s="8"/>
      <c r="S1830" s="8"/>
      <c r="T1830" s="8"/>
      <c r="U1830" s="8"/>
      <c r="V1830" s="8"/>
      <c r="W1830" s="8"/>
      <c r="X1830" s="8"/>
      <c r="Y1830" s="8"/>
      <c r="Z1830" s="8"/>
      <c r="AA1830" s="8"/>
      <c r="AB1830" s="8"/>
      <c r="AC1830" s="8"/>
      <c r="AD1830" s="24"/>
      <c r="AE1830" s="24"/>
      <c r="AF1830" s="8"/>
      <c r="AG1830" s="8"/>
      <c r="AH1830" s="8"/>
      <c r="AI1830" s="8"/>
    </row>
    <row r="1831" spans="1:35" ht="15.75" customHeight="1" x14ac:dyDescent="0.25">
      <c r="A1831" s="8"/>
      <c r="B1831" s="8"/>
      <c r="C1831" s="8"/>
      <c r="D1831" s="8"/>
      <c r="E1831" s="5"/>
      <c r="F1831" s="16"/>
      <c r="G1831" s="16"/>
      <c r="H1831" s="5"/>
      <c r="I1831" s="741"/>
      <c r="J1831" s="742"/>
      <c r="K1831" s="5"/>
      <c r="L1831" s="5"/>
      <c r="M1831" s="48"/>
      <c r="N1831" s="18"/>
      <c r="O1831" s="22"/>
      <c r="P1831" s="22"/>
      <c r="Q1831" s="8"/>
      <c r="R1831" s="8"/>
      <c r="S1831" s="8"/>
      <c r="T1831" s="8"/>
      <c r="U1831" s="8"/>
      <c r="V1831" s="8"/>
      <c r="W1831" s="8"/>
      <c r="X1831" s="8"/>
      <c r="Y1831" s="8"/>
      <c r="Z1831" s="8"/>
      <c r="AA1831" s="8"/>
      <c r="AB1831" s="8"/>
      <c r="AC1831" s="8"/>
      <c r="AD1831" s="24"/>
      <c r="AE1831" s="24"/>
      <c r="AF1831" s="8"/>
      <c r="AG1831" s="8"/>
      <c r="AH1831" s="8"/>
      <c r="AI1831" s="8"/>
    </row>
    <row r="1832" spans="1:35" ht="15.75" customHeight="1" x14ac:dyDescent="0.25">
      <c r="A1832" s="8"/>
      <c r="B1832" s="8"/>
      <c r="C1832" s="8"/>
      <c r="D1832" s="8"/>
      <c r="E1832" s="5"/>
      <c r="F1832" s="16"/>
      <c r="G1832" s="16"/>
      <c r="H1832" s="5"/>
      <c r="I1832" s="741"/>
      <c r="J1832" s="742"/>
      <c r="K1832" s="5"/>
      <c r="L1832" s="5"/>
      <c r="M1832" s="48"/>
      <c r="N1832" s="18"/>
      <c r="O1832" s="22"/>
      <c r="P1832" s="22"/>
      <c r="Q1832" s="8"/>
      <c r="R1832" s="8"/>
      <c r="S1832" s="8"/>
      <c r="T1832" s="8"/>
      <c r="U1832" s="8"/>
      <c r="V1832" s="8"/>
      <c r="W1832" s="8"/>
      <c r="X1832" s="8"/>
      <c r="Y1832" s="8"/>
      <c r="Z1832" s="8"/>
      <c r="AA1832" s="8"/>
      <c r="AB1832" s="8"/>
      <c r="AC1832" s="8"/>
      <c r="AD1832" s="24"/>
      <c r="AE1832" s="24"/>
      <c r="AF1832" s="8"/>
      <c r="AG1832" s="8"/>
      <c r="AH1832" s="8"/>
      <c r="AI1832" s="8"/>
    </row>
    <row r="1833" spans="1:35" ht="15.75" customHeight="1" x14ac:dyDescent="0.25">
      <c r="A1833" s="8"/>
      <c r="B1833" s="8"/>
      <c r="C1833" s="8"/>
      <c r="D1833" s="8"/>
      <c r="E1833" s="5"/>
      <c r="F1833" s="16"/>
      <c r="G1833" s="16"/>
      <c r="H1833" s="5"/>
      <c r="I1833" s="741"/>
      <c r="J1833" s="742"/>
      <c r="K1833" s="5"/>
      <c r="L1833" s="5"/>
      <c r="M1833" s="48"/>
      <c r="N1833" s="18"/>
      <c r="O1833" s="22"/>
      <c r="P1833" s="22"/>
      <c r="Q1833" s="8"/>
      <c r="R1833" s="8"/>
      <c r="S1833" s="8"/>
      <c r="T1833" s="8"/>
      <c r="U1833" s="8"/>
      <c r="V1833" s="8"/>
      <c r="W1833" s="8"/>
      <c r="X1833" s="8"/>
      <c r="Y1833" s="8"/>
      <c r="Z1833" s="8"/>
      <c r="AA1833" s="8"/>
      <c r="AB1833" s="8"/>
      <c r="AC1833" s="8"/>
      <c r="AD1833" s="24"/>
      <c r="AE1833" s="24"/>
      <c r="AF1833" s="8"/>
      <c r="AG1833" s="8"/>
      <c r="AH1833" s="8"/>
      <c r="AI1833" s="8"/>
    </row>
    <row r="1834" spans="1:35" ht="15.75" customHeight="1" x14ac:dyDescent="0.25">
      <c r="A1834" s="8"/>
      <c r="B1834" s="8"/>
      <c r="C1834" s="8"/>
      <c r="D1834" s="8"/>
      <c r="E1834" s="5"/>
      <c r="F1834" s="16"/>
      <c r="G1834" s="16"/>
      <c r="H1834" s="5"/>
      <c r="I1834" s="741"/>
      <c r="J1834" s="742"/>
      <c r="K1834" s="5"/>
      <c r="L1834" s="5"/>
      <c r="M1834" s="48"/>
      <c r="N1834" s="18"/>
      <c r="O1834" s="22"/>
      <c r="P1834" s="22"/>
      <c r="Q1834" s="8"/>
      <c r="R1834" s="8"/>
      <c r="S1834" s="8"/>
      <c r="T1834" s="8"/>
      <c r="U1834" s="8"/>
      <c r="V1834" s="8"/>
      <c r="W1834" s="8"/>
      <c r="X1834" s="8"/>
      <c r="Y1834" s="8"/>
      <c r="Z1834" s="8"/>
      <c r="AA1834" s="8"/>
      <c r="AB1834" s="8"/>
      <c r="AC1834" s="8"/>
      <c r="AD1834" s="24"/>
      <c r="AE1834" s="24"/>
      <c r="AF1834" s="8"/>
      <c r="AG1834" s="8"/>
      <c r="AH1834" s="8"/>
      <c r="AI1834" s="8"/>
    </row>
    <row r="1835" spans="1:35" ht="15.75" customHeight="1" x14ac:dyDescent="0.25">
      <c r="A1835" s="8"/>
      <c r="B1835" s="8"/>
      <c r="C1835" s="8"/>
      <c r="D1835" s="8"/>
      <c r="E1835" s="5"/>
      <c r="F1835" s="16"/>
      <c r="G1835" s="16"/>
      <c r="H1835" s="5"/>
      <c r="I1835" s="741"/>
      <c r="J1835" s="742"/>
      <c r="K1835" s="5"/>
      <c r="L1835" s="5"/>
      <c r="M1835" s="48"/>
      <c r="N1835" s="18"/>
      <c r="O1835" s="22"/>
      <c r="P1835" s="22"/>
      <c r="Q1835" s="8"/>
      <c r="R1835" s="8"/>
      <c r="S1835" s="8"/>
      <c r="T1835" s="8"/>
      <c r="U1835" s="8"/>
      <c r="V1835" s="8"/>
      <c r="W1835" s="8"/>
      <c r="X1835" s="8"/>
      <c r="Y1835" s="8"/>
      <c r="Z1835" s="8"/>
      <c r="AA1835" s="8"/>
      <c r="AB1835" s="8"/>
      <c r="AC1835" s="8"/>
      <c r="AD1835" s="24"/>
      <c r="AE1835" s="24"/>
      <c r="AF1835" s="8"/>
      <c r="AG1835" s="8"/>
      <c r="AH1835" s="8"/>
      <c r="AI1835" s="8"/>
    </row>
    <row r="1836" spans="1:35" ht="15.75" customHeight="1" x14ac:dyDescent="0.25">
      <c r="A1836" s="8"/>
      <c r="B1836" s="8"/>
      <c r="C1836" s="8"/>
      <c r="D1836" s="8"/>
      <c r="E1836" s="5"/>
      <c r="F1836" s="16"/>
      <c r="G1836" s="16"/>
      <c r="H1836" s="5"/>
      <c r="I1836" s="741"/>
      <c r="J1836" s="742"/>
      <c r="K1836" s="5"/>
      <c r="L1836" s="5"/>
      <c r="M1836" s="48"/>
      <c r="N1836" s="18"/>
      <c r="O1836" s="22"/>
      <c r="P1836" s="22"/>
      <c r="Q1836" s="8"/>
      <c r="R1836" s="8"/>
      <c r="S1836" s="8"/>
      <c r="T1836" s="8"/>
      <c r="U1836" s="8"/>
      <c r="V1836" s="8"/>
      <c r="W1836" s="8"/>
      <c r="X1836" s="8"/>
      <c r="Y1836" s="8"/>
      <c r="Z1836" s="8"/>
      <c r="AA1836" s="8"/>
      <c r="AB1836" s="8"/>
      <c r="AC1836" s="8"/>
      <c r="AD1836" s="24"/>
      <c r="AE1836" s="24"/>
      <c r="AF1836" s="8"/>
      <c r="AG1836" s="8"/>
      <c r="AH1836" s="8"/>
      <c r="AI1836" s="8"/>
    </row>
    <row r="1837" spans="1:35" ht="15.75" customHeight="1" x14ac:dyDescent="0.25">
      <c r="A1837" s="8"/>
      <c r="B1837" s="8"/>
      <c r="C1837" s="8"/>
      <c r="D1837" s="8"/>
      <c r="E1837" s="5"/>
      <c r="F1837" s="16"/>
      <c r="G1837" s="16"/>
      <c r="H1837" s="5"/>
      <c r="I1837" s="741"/>
      <c r="J1837" s="742"/>
      <c r="K1837" s="5"/>
      <c r="L1837" s="5"/>
      <c r="M1837" s="48"/>
      <c r="N1837" s="18"/>
      <c r="O1837" s="22"/>
      <c r="P1837" s="22"/>
      <c r="Q1837" s="8"/>
      <c r="R1837" s="8"/>
      <c r="S1837" s="8"/>
      <c r="T1837" s="8"/>
      <c r="U1837" s="8"/>
      <c r="V1837" s="8"/>
      <c r="W1837" s="8"/>
      <c r="X1837" s="8"/>
      <c r="Y1837" s="8"/>
      <c r="Z1837" s="8"/>
      <c r="AA1837" s="8"/>
      <c r="AB1837" s="8"/>
      <c r="AC1837" s="8"/>
      <c r="AD1837" s="24"/>
      <c r="AE1837" s="24"/>
      <c r="AF1837" s="8"/>
      <c r="AG1837" s="8"/>
      <c r="AH1837" s="8"/>
      <c r="AI1837" s="8"/>
    </row>
    <row r="1838" spans="1:35" ht="15.75" customHeight="1" x14ac:dyDescent="0.25">
      <c r="A1838" s="8"/>
      <c r="B1838" s="8"/>
      <c r="C1838" s="8"/>
      <c r="D1838" s="8"/>
      <c r="E1838" s="5"/>
      <c r="F1838" s="16"/>
      <c r="G1838" s="16"/>
      <c r="H1838" s="5"/>
      <c r="I1838" s="741"/>
      <c r="J1838" s="742"/>
      <c r="K1838" s="5"/>
      <c r="L1838" s="5"/>
      <c r="M1838" s="48"/>
      <c r="N1838" s="18"/>
      <c r="O1838" s="22"/>
      <c r="P1838" s="22"/>
      <c r="Q1838" s="8"/>
      <c r="R1838" s="8"/>
      <c r="S1838" s="8"/>
      <c r="T1838" s="8"/>
      <c r="U1838" s="8"/>
      <c r="V1838" s="8"/>
      <c r="W1838" s="8"/>
      <c r="X1838" s="8"/>
      <c r="Y1838" s="8"/>
      <c r="Z1838" s="8"/>
      <c r="AA1838" s="8"/>
      <c r="AB1838" s="8"/>
      <c r="AC1838" s="8"/>
      <c r="AD1838" s="24"/>
      <c r="AE1838" s="24"/>
      <c r="AF1838" s="8"/>
      <c r="AG1838" s="8"/>
      <c r="AH1838" s="8"/>
      <c r="AI1838" s="8"/>
    </row>
    <row r="1839" spans="1:35" ht="15.75" customHeight="1" x14ac:dyDescent="0.25">
      <c r="A1839" s="8"/>
      <c r="B1839" s="8"/>
      <c r="C1839" s="8"/>
      <c r="D1839" s="8"/>
      <c r="E1839" s="5"/>
      <c r="F1839" s="16"/>
      <c r="G1839" s="16"/>
      <c r="H1839" s="5"/>
      <c r="I1839" s="741"/>
      <c r="J1839" s="742"/>
      <c r="K1839" s="5"/>
      <c r="L1839" s="5"/>
      <c r="M1839" s="48"/>
      <c r="N1839" s="18"/>
      <c r="O1839" s="22"/>
      <c r="P1839" s="22"/>
      <c r="Q1839" s="8"/>
      <c r="R1839" s="8"/>
      <c r="S1839" s="8"/>
      <c r="T1839" s="8"/>
      <c r="U1839" s="8"/>
      <c r="V1839" s="8"/>
      <c r="W1839" s="8"/>
      <c r="X1839" s="8"/>
      <c r="Y1839" s="8"/>
      <c r="Z1839" s="8"/>
      <c r="AA1839" s="8"/>
      <c r="AB1839" s="8"/>
      <c r="AC1839" s="8"/>
      <c r="AD1839" s="24"/>
      <c r="AE1839" s="24"/>
      <c r="AF1839" s="8"/>
      <c r="AG1839" s="8"/>
      <c r="AH1839" s="8"/>
      <c r="AI1839" s="8"/>
    </row>
    <row r="1840" spans="1:35" ht="15.75" customHeight="1" x14ac:dyDescent="0.25">
      <c r="A1840" s="8"/>
      <c r="B1840" s="8"/>
      <c r="C1840" s="8"/>
      <c r="D1840" s="8"/>
      <c r="E1840" s="5"/>
      <c r="F1840" s="16"/>
      <c r="G1840" s="16"/>
      <c r="H1840" s="5"/>
      <c r="I1840" s="741"/>
      <c r="J1840" s="742"/>
      <c r="K1840" s="5"/>
      <c r="L1840" s="5"/>
      <c r="M1840" s="48"/>
      <c r="N1840" s="18"/>
      <c r="O1840" s="22"/>
      <c r="P1840" s="22"/>
      <c r="Q1840" s="8"/>
      <c r="R1840" s="8"/>
      <c r="S1840" s="8"/>
      <c r="T1840" s="8"/>
      <c r="U1840" s="8"/>
      <c r="V1840" s="8"/>
      <c r="W1840" s="8"/>
      <c r="X1840" s="8"/>
      <c r="Y1840" s="8"/>
      <c r="Z1840" s="8"/>
      <c r="AA1840" s="8"/>
      <c r="AB1840" s="8"/>
      <c r="AC1840" s="8"/>
      <c r="AD1840" s="24"/>
      <c r="AE1840" s="24"/>
      <c r="AF1840" s="8"/>
      <c r="AG1840" s="8"/>
      <c r="AH1840" s="8"/>
      <c r="AI1840" s="8"/>
    </row>
    <row r="1841" spans="1:35" ht="15.75" customHeight="1" x14ac:dyDescent="0.25">
      <c r="A1841" s="8"/>
      <c r="B1841" s="8"/>
      <c r="C1841" s="8"/>
      <c r="D1841" s="8"/>
      <c r="E1841" s="5"/>
      <c r="F1841" s="16"/>
      <c r="G1841" s="16"/>
      <c r="H1841" s="5"/>
      <c r="I1841" s="741"/>
      <c r="J1841" s="742"/>
      <c r="K1841" s="5"/>
      <c r="L1841" s="5"/>
      <c r="M1841" s="48"/>
      <c r="N1841" s="18"/>
      <c r="O1841" s="22"/>
      <c r="P1841" s="22"/>
      <c r="Q1841" s="8"/>
      <c r="R1841" s="8"/>
      <c r="S1841" s="8"/>
      <c r="T1841" s="8"/>
      <c r="U1841" s="8"/>
      <c r="V1841" s="8"/>
      <c r="W1841" s="8"/>
      <c r="X1841" s="8"/>
      <c r="Y1841" s="8"/>
      <c r="Z1841" s="8"/>
      <c r="AA1841" s="8"/>
      <c r="AB1841" s="8"/>
      <c r="AC1841" s="8"/>
      <c r="AD1841" s="24"/>
      <c r="AE1841" s="24"/>
      <c r="AF1841" s="8"/>
      <c r="AG1841" s="8"/>
      <c r="AH1841" s="8"/>
      <c r="AI1841" s="8"/>
    </row>
    <row r="1842" spans="1:35" ht="15.75" customHeight="1" x14ac:dyDescent="0.25">
      <c r="A1842" s="8"/>
      <c r="B1842" s="8"/>
      <c r="C1842" s="8"/>
      <c r="D1842" s="8"/>
      <c r="E1842" s="5"/>
      <c r="F1842" s="16"/>
      <c r="G1842" s="16"/>
      <c r="H1842" s="5"/>
      <c r="I1842" s="741"/>
      <c r="J1842" s="742"/>
      <c r="K1842" s="5"/>
      <c r="L1842" s="5"/>
      <c r="M1842" s="48"/>
      <c r="N1842" s="18"/>
      <c r="O1842" s="22"/>
      <c r="P1842" s="22"/>
      <c r="Q1842" s="8"/>
      <c r="R1842" s="8"/>
      <c r="S1842" s="8"/>
      <c r="T1842" s="8"/>
      <c r="U1842" s="8"/>
      <c r="V1842" s="8"/>
      <c r="W1842" s="8"/>
      <c r="X1842" s="8"/>
      <c r="Y1842" s="8"/>
      <c r="Z1842" s="8"/>
      <c r="AA1842" s="8"/>
      <c r="AB1842" s="8"/>
      <c r="AC1842" s="8"/>
      <c r="AD1842" s="24"/>
      <c r="AE1842" s="24"/>
      <c r="AF1842" s="8"/>
      <c r="AG1842" s="8"/>
      <c r="AH1842" s="8"/>
      <c r="AI1842" s="8"/>
    </row>
    <row r="1843" spans="1:35" ht="15.75" customHeight="1" x14ac:dyDescent="0.25">
      <c r="A1843" s="8"/>
      <c r="B1843" s="8"/>
      <c r="C1843" s="8"/>
      <c r="D1843" s="8"/>
      <c r="E1843" s="5"/>
      <c r="F1843" s="16"/>
      <c r="G1843" s="16"/>
      <c r="H1843" s="5"/>
      <c r="I1843" s="741"/>
      <c r="J1843" s="742"/>
      <c r="K1843" s="5"/>
      <c r="L1843" s="5"/>
      <c r="M1843" s="48"/>
      <c r="N1843" s="18"/>
      <c r="O1843" s="22"/>
      <c r="P1843" s="22"/>
      <c r="Q1843" s="8"/>
      <c r="R1843" s="8"/>
      <c r="S1843" s="8"/>
      <c r="T1843" s="8"/>
      <c r="U1843" s="8"/>
      <c r="V1843" s="8"/>
      <c r="W1843" s="8"/>
      <c r="X1843" s="8"/>
      <c r="Y1843" s="8"/>
      <c r="Z1843" s="8"/>
      <c r="AA1843" s="8"/>
      <c r="AB1843" s="8"/>
      <c r="AC1843" s="8"/>
      <c r="AD1843" s="24"/>
      <c r="AE1843" s="24"/>
      <c r="AF1843" s="8"/>
      <c r="AG1843" s="8"/>
      <c r="AH1843" s="8"/>
      <c r="AI1843" s="8"/>
    </row>
    <row r="1844" spans="1:35" ht="15.75" customHeight="1" x14ac:dyDescent="0.25">
      <c r="A1844" s="8"/>
      <c r="B1844" s="8"/>
      <c r="C1844" s="8"/>
      <c r="D1844" s="8"/>
      <c r="E1844" s="5"/>
      <c r="F1844" s="16"/>
      <c r="G1844" s="16"/>
      <c r="H1844" s="5"/>
      <c r="I1844" s="741"/>
      <c r="J1844" s="742"/>
      <c r="K1844" s="5"/>
      <c r="L1844" s="5"/>
      <c r="M1844" s="48"/>
      <c r="N1844" s="18"/>
      <c r="O1844" s="22"/>
      <c r="P1844" s="22"/>
      <c r="Q1844" s="8"/>
      <c r="R1844" s="8"/>
      <c r="S1844" s="8"/>
      <c r="T1844" s="8"/>
      <c r="U1844" s="8"/>
      <c r="V1844" s="8"/>
      <c r="W1844" s="8"/>
      <c r="X1844" s="8"/>
      <c r="Y1844" s="8"/>
      <c r="Z1844" s="8"/>
      <c r="AA1844" s="8"/>
      <c r="AB1844" s="8"/>
      <c r="AC1844" s="8"/>
      <c r="AD1844" s="24"/>
      <c r="AE1844" s="24"/>
      <c r="AF1844" s="8"/>
      <c r="AG1844" s="8"/>
      <c r="AH1844" s="8"/>
      <c r="AI1844" s="8"/>
    </row>
    <row r="1845" spans="1:35" ht="15.75" customHeight="1" x14ac:dyDescent="0.25">
      <c r="A1845" s="8"/>
      <c r="B1845" s="8"/>
      <c r="C1845" s="8"/>
      <c r="D1845" s="8"/>
      <c r="E1845" s="5"/>
      <c r="F1845" s="16"/>
      <c r="G1845" s="16"/>
      <c r="H1845" s="5"/>
      <c r="I1845" s="741"/>
      <c r="J1845" s="742"/>
      <c r="K1845" s="5"/>
      <c r="L1845" s="5"/>
      <c r="M1845" s="48"/>
      <c r="N1845" s="18"/>
      <c r="O1845" s="22"/>
      <c r="P1845" s="22"/>
      <c r="Q1845" s="8"/>
      <c r="R1845" s="8"/>
      <c r="S1845" s="8"/>
      <c r="T1845" s="8"/>
      <c r="U1845" s="8"/>
      <c r="V1845" s="8"/>
      <c r="W1845" s="8"/>
      <c r="X1845" s="8"/>
      <c r="Y1845" s="8"/>
      <c r="Z1845" s="8"/>
      <c r="AA1845" s="8"/>
      <c r="AB1845" s="8"/>
      <c r="AC1845" s="8"/>
      <c r="AD1845" s="24"/>
      <c r="AE1845" s="24"/>
      <c r="AF1845" s="8"/>
      <c r="AG1845" s="8"/>
      <c r="AH1845" s="8"/>
      <c r="AI1845" s="8"/>
    </row>
    <row r="1846" spans="1:35" ht="15.75" customHeight="1" x14ac:dyDescent="0.25">
      <c r="A1846" s="8"/>
      <c r="B1846" s="8"/>
      <c r="C1846" s="8"/>
      <c r="D1846" s="8"/>
      <c r="E1846" s="5"/>
      <c r="F1846" s="16"/>
      <c r="G1846" s="16"/>
      <c r="H1846" s="5"/>
      <c r="I1846" s="741"/>
      <c r="J1846" s="742"/>
      <c r="K1846" s="5"/>
      <c r="L1846" s="5"/>
      <c r="M1846" s="48"/>
      <c r="N1846" s="18"/>
      <c r="O1846" s="22"/>
      <c r="P1846" s="22"/>
      <c r="Q1846" s="8"/>
      <c r="R1846" s="8"/>
      <c r="S1846" s="8"/>
      <c r="T1846" s="8"/>
      <c r="U1846" s="8"/>
      <c r="V1846" s="8"/>
      <c r="W1846" s="8"/>
      <c r="X1846" s="8"/>
      <c r="Y1846" s="8"/>
      <c r="Z1846" s="8"/>
      <c r="AA1846" s="8"/>
      <c r="AB1846" s="8"/>
      <c r="AC1846" s="8"/>
      <c r="AD1846" s="24"/>
      <c r="AE1846" s="24"/>
      <c r="AF1846" s="8"/>
      <c r="AG1846" s="8"/>
      <c r="AH1846" s="8"/>
      <c r="AI1846" s="8"/>
    </row>
    <row r="1847" spans="1:35" ht="15.75" customHeight="1" x14ac:dyDescent="0.25">
      <c r="A1847" s="8"/>
      <c r="B1847" s="8"/>
      <c r="C1847" s="8"/>
      <c r="D1847" s="8"/>
      <c r="E1847" s="5"/>
      <c r="F1847" s="16"/>
      <c r="G1847" s="16"/>
      <c r="H1847" s="5"/>
      <c r="I1847" s="741"/>
      <c r="J1847" s="742"/>
      <c r="K1847" s="5"/>
      <c r="L1847" s="5"/>
      <c r="M1847" s="48"/>
      <c r="N1847" s="18"/>
      <c r="O1847" s="22"/>
      <c r="P1847" s="22"/>
      <c r="Q1847" s="8"/>
      <c r="R1847" s="8"/>
      <c r="S1847" s="8"/>
      <c r="T1847" s="8"/>
      <c r="U1847" s="8"/>
      <c r="V1847" s="8"/>
      <c r="W1847" s="8"/>
      <c r="X1847" s="8"/>
      <c r="Y1847" s="8"/>
      <c r="Z1847" s="8"/>
      <c r="AA1847" s="8"/>
      <c r="AB1847" s="8"/>
      <c r="AC1847" s="8"/>
      <c r="AD1847" s="24"/>
      <c r="AE1847" s="24"/>
      <c r="AF1847" s="8"/>
      <c r="AG1847" s="8"/>
      <c r="AH1847" s="8"/>
      <c r="AI1847" s="8"/>
    </row>
    <row r="1848" spans="1:35" ht="15.75" customHeight="1" x14ac:dyDescent="0.25">
      <c r="A1848" s="8"/>
      <c r="B1848" s="8"/>
      <c r="C1848" s="8"/>
      <c r="D1848" s="8"/>
      <c r="E1848" s="5"/>
      <c r="F1848" s="16"/>
      <c r="G1848" s="16"/>
      <c r="H1848" s="5"/>
      <c r="I1848" s="741"/>
      <c r="J1848" s="742"/>
      <c r="K1848" s="5"/>
      <c r="L1848" s="5"/>
      <c r="M1848" s="48"/>
      <c r="N1848" s="18"/>
      <c r="O1848" s="22"/>
      <c r="P1848" s="22"/>
      <c r="Q1848" s="8"/>
      <c r="R1848" s="8"/>
      <c r="S1848" s="8"/>
      <c r="T1848" s="8"/>
      <c r="U1848" s="8"/>
      <c r="V1848" s="8"/>
      <c r="W1848" s="8"/>
      <c r="X1848" s="8"/>
      <c r="Y1848" s="8"/>
      <c r="Z1848" s="8"/>
      <c r="AA1848" s="8"/>
      <c r="AB1848" s="8"/>
      <c r="AC1848" s="8"/>
      <c r="AD1848" s="24"/>
      <c r="AE1848" s="24"/>
      <c r="AF1848" s="8"/>
      <c r="AG1848" s="8"/>
      <c r="AH1848" s="8"/>
      <c r="AI1848" s="8"/>
    </row>
    <row r="1849" spans="1:35" ht="15.75" customHeight="1" x14ac:dyDescent="0.25">
      <c r="A1849" s="8"/>
      <c r="B1849" s="8"/>
      <c r="C1849" s="8"/>
      <c r="D1849" s="8"/>
      <c r="E1849" s="5"/>
      <c r="F1849" s="16"/>
      <c r="G1849" s="16"/>
      <c r="H1849" s="5"/>
      <c r="I1849" s="741"/>
      <c r="J1849" s="742"/>
      <c r="K1849" s="5"/>
      <c r="L1849" s="5"/>
      <c r="M1849" s="48"/>
      <c r="N1849" s="18"/>
      <c r="O1849" s="22"/>
      <c r="P1849" s="22"/>
      <c r="Q1849" s="8"/>
      <c r="R1849" s="8"/>
      <c r="S1849" s="8"/>
      <c r="T1849" s="8"/>
      <c r="U1849" s="8"/>
      <c r="V1849" s="8"/>
      <c r="W1849" s="8"/>
      <c r="X1849" s="8"/>
      <c r="Y1849" s="8"/>
      <c r="Z1849" s="8"/>
      <c r="AA1849" s="8"/>
      <c r="AB1849" s="8"/>
      <c r="AC1849" s="8"/>
      <c r="AD1849" s="24"/>
      <c r="AE1849" s="24"/>
      <c r="AF1849" s="8"/>
      <c r="AG1849" s="8"/>
      <c r="AH1849" s="8"/>
      <c r="AI1849" s="8"/>
    </row>
    <row r="1850" spans="1:35" ht="15.75" customHeight="1" x14ac:dyDescent="0.25">
      <c r="A1850" s="8"/>
      <c r="B1850" s="8"/>
      <c r="C1850" s="8"/>
      <c r="D1850" s="8"/>
      <c r="E1850" s="5"/>
      <c r="F1850" s="16"/>
      <c r="G1850" s="16"/>
      <c r="H1850" s="5"/>
      <c r="I1850" s="741"/>
      <c r="J1850" s="742"/>
      <c r="K1850" s="5"/>
      <c r="L1850" s="5"/>
      <c r="M1850" s="48"/>
      <c r="N1850" s="18"/>
      <c r="O1850" s="22"/>
      <c r="P1850" s="22"/>
      <c r="Q1850" s="8"/>
      <c r="R1850" s="8"/>
      <c r="S1850" s="8"/>
      <c r="T1850" s="8"/>
      <c r="U1850" s="8"/>
      <c r="V1850" s="8"/>
      <c r="W1850" s="8"/>
      <c r="X1850" s="8"/>
      <c r="Y1850" s="8"/>
      <c r="Z1850" s="8"/>
      <c r="AA1850" s="8"/>
      <c r="AB1850" s="8"/>
      <c r="AC1850" s="8"/>
      <c r="AD1850" s="24"/>
      <c r="AE1850" s="24"/>
      <c r="AF1850" s="8"/>
      <c r="AG1850" s="8"/>
      <c r="AH1850" s="8"/>
      <c r="AI1850" s="8"/>
    </row>
    <row r="1851" spans="1:35" ht="15.75" customHeight="1" x14ac:dyDescent="0.25">
      <c r="A1851" s="8"/>
      <c r="B1851" s="8"/>
      <c r="C1851" s="8"/>
      <c r="D1851" s="8"/>
      <c r="E1851" s="5"/>
      <c r="F1851" s="16"/>
      <c r="G1851" s="16"/>
      <c r="H1851" s="5"/>
      <c r="I1851" s="741"/>
      <c r="J1851" s="742"/>
      <c r="K1851" s="5"/>
      <c r="L1851" s="5"/>
      <c r="M1851" s="48"/>
      <c r="N1851" s="18"/>
      <c r="O1851" s="22"/>
      <c r="P1851" s="22"/>
      <c r="Q1851" s="8"/>
      <c r="R1851" s="8"/>
      <c r="S1851" s="8"/>
      <c r="T1851" s="8"/>
      <c r="U1851" s="8"/>
      <c r="V1851" s="8"/>
      <c r="W1851" s="8"/>
      <c r="X1851" s="8"/>
      <c r="Y1851" s="8"/>
      <c r="Z1851" s="8"/>
      <c r="AA1851" s="8"/>
      <c r="AB1851" s="8"/>
      <c r="AC1851" s="8"/>
      <c r="AD1851" s="24"/>
      <c r="AE1851" s="24"/>
      <c r="AF1851" s="8"/>
      <c r="AG1851" s="8"/>
      <c r="AH1851" s="8"/>
      <c r="AI1851" s="8"/>
    </row>
    <row r="1852" spans="1:35" ht="15.75" customHeight="1" x14ac:dyDescent="0.25">
      <c r="A1852" s="8"/>
      <c r="B1852" s="8"/>
      <c r="C1852" s="8"/>
      <c r="D1852" s="8"/>
      <c r="E1852" s="5"/>
      <c r="F1852" s="16"/>
      <c r="G1852" s="16"/>
      <c r="H1852" s="5"/>
      <c r="I1852" s="741"/>
      <c r="J1852" s="742"/>
      <c r="K1852" s="5"/>
      <c r="L1852" s="5"/>
      <c r="M1852" s="48"/>
      <c r="N1852" s="18"/>
      <c r="O1852" s="22"/>
      <c r="P1852" s="22"/>
      <c r="Q1852" s="8"/>
      <c r="R1852" s="8"/>
      <c r="S1852" s="8"/>
      <c r="T1852" s="8"/>
      <c r="U1852" s="8"/>
      <c r="V1852" s="8"/>
      <c r="W1852" s="8"/>
      <c r="X1852" s="8"/>
      <c r="Y1852" s="8"/>
      <c r="Z1852" s="8"/>
      <c r="AA1852" s="8"/>
      <c r="AB1852" s="8"/>
      <c r="AC1852" s="8"/>
      <c r="AD1852" s="24"/>
      <c r="AE1852" s="24"/>
      <c r="AF1852" s="8"/>
      <c r="AG1852" s="8"/>
      <c r="AH1852" s="8"/>
      <c r="AI1852" s="8"/>
    </row>
    <row r="1853" spans="1:35" ht="15.75" customHeight="1" x14ac:dyDescent="0.25">
      <c r="A1853" s="8"/>
      <c r="B1853" s="8"/>
      <c r="C1853" s="8"/>
      <c r="D1853" s="8"/>
      <c r="E1853" s="5"/>
      <c r="F1853" s="16"/>
      <c r="G1853" s="16"/>
      <c r="H1853" s="5"/>
      <c r="I1853" s="741"/>
      <c r="J1853" s="742"/>
      <c r="K1853" s="5"/>
      <c r="L1853" s="5"/>
      <c r="M1853" s="48"/>
      <c r="N1853" s="18"/>
      <c r="O1853" s="22"/>
      <c r="P1853" s="22"/>
      <c r="Q1853" s="8"/>
      <c r="R1853" s="8"/>
      <c r="S1853" s="8"/>
      <c r="T1853" s="8"/>
      <c r="U1853" s="8"/>
      <c r="V1853" s="8"/>
      <c r="W1853" s="8"/>
      <c r="X1853" s="8"/>
      <c r="Y1853" s="8"/>
      <c r="Z1853" s="8"/>
      <c r="AA1853" s="8"/>
      <c r="AB1853" s="8"/>
      <c r="AC1853" s="8"/>
      <c r="AD1853" s="24"/>
      <c r="AE1853" s="24"/>
      <c r="AF1853" s="8"/>
      <c r="AG1853" s="8"/>
      <c r="AH1853" s="8"/>
      <c r="AI1853" s="8"/>
    </row>
    <row r="1854" spans="1:35" ht="15.75" customHeight="1" x14ac:dyDescent="0.25">
      <c r="A1854" s="8"/>
      <c r="B1854" s="8"/>
      <c r="C1854" s="8"/>
      <c r="D1854" s="8"/>
      <c r="E1854" s="5"/>
      <c r="F1854" s="16"/>
      <c r="G1854" s="16"/>
      <c r="H1854" s="5"/>
      <c r="I1854" s="741"/>
      <c r="J1854" s="742"/>
      <c r="K1854" s="5"/>
      <c r="L1854" s="5"/>
      <c r="M1854" s="48"/>
      <c r="N1854" s="18"/>
      <c r="O1854" s="22"/>
      <c r="P1854" s="22"/>
      <c r="Q1854" s="8"/>
      <c r="R1854" s="8"/>
      <c r="S1854" s="8"/>
      <c r="T1854" s="8"/>
      <c r="U1854" s="8"/>
      <c r="V1854" s="8"/>
      <c r="W1854" s="8"/>
      <c r="X1854" s="8"/>
      <c r="Y1854" s="8"/>
      <c r="Z1854" s="8"/>
      <c r="AA1854" s="8"/>
      <c r="AB1854" s="8"/>
      <c r="AC1854" s="8"/>
      <c r="AD1854" s="24"/>
      <c r="AE1854" s="24"/>
      <c r="AF1854" s="8"/>
      <c r="AG1854" s="8"/>
      <c r="AH1854" s="8"/>
      <c r="AI1854" s="8"/>
    </row>
    <row r="1855" spans="1:35" ht="15.75" customHeight="1" x14ac:dyDescent="0.25">
      <c r="A1855" s="8"/>
      <c r="B1855" s="8"/>
      <c r="C1855" s="8"/>
      <c r="D1855" s="8"/>
      <c r="E1855" s="5"/>
      <c r="F1855" s="16"/>
      <c r="G1855" s="16"/>
      <c r="H1855" s="5"/>
      <c r="I1855" s="5"/>
      <c r="J1855" s="5"/>
      <c r="K1855" s="5"/>
      <c r="L1855" s="5"/>
      <c r="M1855" s="48"/>
      <c r="N1855" s="18"/>
      <c r="O1855" s="22"/>
      <c r="P1855" s="22"/>
      <c r="Q1855" s="8"/>
      <c r="R1855" s="8"/>
      <c r="S1855" s="8"/>
      <c r="T1855" s="8"/>
      <c r="U1855" s="8"/>
      <c r="V1855" s="8"/>
      <c r="W1855" s="8"/>
      <c r="X1855" s="8"/>
      <c r="Y1855" s="8"/>
      <c r="Z1855" s="8"/>
      <c r="AA1855" s="8"/>
      <c r="AB1855" s="8"/>
      <c r="AC1855" s="8"/>
      <c r="AD1855" s="24"/>
      <c r="AE1855" s="24"/>
      <c r="AF1855" s="8"/>
      <c r="AG1855" s="8"/>
      <c r="AH1855" s="8"/>
      <c r="AI1855" s="8"/>
    </row>
    <row r="1856" spans="1:35" ht="15.75" customHeight="1" x14ac:dyDescent="0.25">
      <c r="A1856" s="8"/>
      <c r="B1856" s="8"/>
      <c r="C1856" s="8"/>
      <c r="D1856" s="8"/>
      <c r="E1856" s="5"/>
      <c r="F1856" s="16"/>
      <c r="G1856" s="16"/>
      <c r="H1856" s="5"/>
      <c r="I1856" s="5"/>
      <c r="J1856" s="5"/>
      <c r="K1856" s="5"/>
      <c r="L1856" s="5"/>
      <c r="M1856" s="48"/>
      <c r="N1856" s="18"/>
      <c r="O1856" s="22"/>
      <c r="P1856" s="22"/>
      <c r="Q1856" s="8"/>
      <c r="R1856" s="8"/>
      <c r="S1856" s="8"/>
      <c r="T1856" s="8"/>
      <c r="U1856" s="8"/>
      <c r="V1856" s="8"/>
      <c r="W1856" s="8"/>
      <c r="X1856" s="8"/>
      <c r="Y1856" s="8"/>
      <c r="Z1856" s="8"/>
      <c r="AA1856" s="8"/>
      <c r="AB1856" s="8"/>
      <c r="AC1856" s="8"/>
      <c r="AD1856" s="24"/>
      <c r="AE1856" s="24"/>
      <c r="AF1856" s="8"/>
      <c r="AG1856" s="8"/>
      <c r="AH1856" s="8"/>
      <c r="AI1856" s="8"/>
    </row>
    <row r="1857" spans="1:35" ht="15.75" customHeight="1" x14ac:dyDescent="0.25">
      <c r="A1857" s="8"/>
      <c r="B1857" s="8"/>
      <c r="C1857" s="8"/>
      <c r="D1857" s="8"/>
      <c r="E1857" s="5"/>
      <c r="F1857" s="16"/>
      <c r="G1857" s="16"/>
      <c r="H1857" s="5"/>
      <c r="I1857" s="5"/>
      <c r="J1857" s="5"/>
      <c r="K1857" s="5"/>
      <c r="L1857" s="5"/>
      <c r="M1857" s="48"/>
      <c r="N1857" s="18"/>
      <c r="O1857" s="22"/>
      <c r="P1857" s="22"/>
      <c r="Q1857" s="8"/>
      <c r="R1857" s="8"/>
      <c r="S1857" s="8"/>
      <c r="T1857" s="8"/>
      <c r="U1857" s="8"/>
      <c r="V1857" s="8"/>
      <c r="W1857" s="8"/>
      <c r="X1857" s="8"/>
      <c r="Y1857" s="8"/>
      <c r="Z1857" s="8"/>
      <c r="AA1857" s="8"/>
      <c r="AB1857" s="8"/>
      <c r="AC1857" s="8"/>
      <c r="AD1857" s="24"/>
      <c r="AE1857" s="24"/>
      <c r="AF1857" s="8"/>
      <c r="AG1857" s="8"/>
      <c r="AH1857" s="8"/>
      <c r="AI1857" s="8"/>
    </row>
    <row r="1858" spans="1:35" ht="15.75" customHeight="1" x14ac:dyDescent="0.25">
      <c r="A1858" s="8"/>
      <c r="B1858" s="8"/>
      <c r="C1858" s="8"/>
      <c r="D1858" s="8"/>
      <c r="E1858" s="5"/>
      <c r="F1858" s="16"/>
      <c r="G1858" s="16"/>
      <c r="H1858" s="5"/>
      <c r="I1858" s="741"/>
      <c r="J1858" s="742"/>
      <c r="K1858" s="5"/>
      <c r="L1858" s="5"/>
      <c r="M1858" s="48"/>
      <c r="N1858" s="18"/>
      <c r="O1858" s="22"/>
      <c r="P1858" s="22"/>
      <c r="Q1858" s="8"/>
      <c r="R1858" s="8"/>
      <c r="S1858" s="8"/>
      <c r="T1858" s="8"/>
      <c r="U1858" s="8"/>
      <c r="V1858" s="8"/>
      <c r="W1858" s="8"/>
      <c r="X1858" s="8"/>
      <c r="Y1858" s="8"/>
      <c r="Z1858" s="8"/>
      <c r="AA1858" s="8"/>
      <c r="AB1858" s="8"/>
      <c r="AC1858" s="8"/>
      <c r="AD1858" s="24"/>
      <c r="AE1858" s="24"/>
      <c r="AF1858" s="8"/>
      <c r="AG1858" s="8"/>
      <c r="AH1858" s="8"/>
      <c r="AI1858" s="8"/>
    </row>
    <row r="1859" spans="1:35" ht="15.75" customHeight="1" x14ac:dyDescent="0.25">
      <c r="A1859" s="8"/>
      <c r="B1859" s="8"/>
      <c r="C1859" s="8"/>
      <c r="D1859" s="8"/>
      <c r="E1859" s="5"/>
      <c r="F1859" s="16"/>
      <c r="G1859" s="16"/>
      <c r="H1859" s="5"/>
      <c r="I1859" s="741"/>
      <c r="J1859" s="742"/>
      <c r="K1859" s="5"/>
      <c r="L1859" s="5"/>
      <c r="M1859" s="48"/>
      <c r="N1859" s="18"/>
      <c r="O1859" s="22"/>
      <c r="P1859" s="22"/>
      <c r="Q1859" s="8"/>
      <c r="R1859" s="8"/>
      <c r="S1859" s="8"/>
      <c r="T1859" s="8"/>
      <c r="U1859" s="8"/>
      <c r="V1859" s="8"/>
      <c r="W1859" s="8"/>
      <c r="X1859" s="8"/>
      <c r="Y1859" s="8"/>
      <c r="Z1859" s="8"/>
      <c r="AA1859" s="8"/>
      <c r="AB1859" s="8"/>
      <c r="AC1859" s="8"/>
      <c r="AD1859" s="24"/>
      <c r="AE1859" s="24"/>
      <c r="AF1859" s="8"/>
      <c r="AG1859" s="8"/>
      <c r="AH1859" s="8"/>
      <c r="AI1859" s="8"/>
    </row>
    <row r="1860" spans="1:35" ht="15.75" customHeight="1" x14ac:dyDescent="0.25">
      <c r="A1860" s="8"/>
      <c r="B1860" s="8"/>
      <c r="C1860" s="8"/>
      <c r="D1860" s="8"/>
      <c r="E1860" s="5"/>
      <c r="F1860" s="16"/>
      <c r="G1860" s="16"/>
      <c r="H1860" s="5"/>
      <c r="I1860" s="741"/>
      <c r="J1860" s="742"/>
      <c r="K1860" s="5"/>
      <c r="L1860" s="5"/>
      <c r="M1860" s="48"/>
      <c r="N1860" s="18"/>
      <c r="O1860" s="22"/>
      <c r="P1860" s="22"/>
      <c r="Q1860" s="8"/>
      <c r="R1860" s="8"/>
      <c r="S1860" s="8"/>
      <c r="T1860" s="8"/>
      <c r="U1860" s="8"/>
      <c r="V1860" s="8"/>
      <c r="W1860" s="8"/>
      <c r="X1860" s="8"/>
      <c r="Y1860" s="8"/>
      <c r="Z1860" s="8"/>
      <c r="AA1860" s="8"/>
      <c r="AB1860" s="8"/>
      <c r="AC1860" s="8"/>
      <c r="AD1860" s="24"/>
      <c r="AE1860" s="24"/>
      <c r="AF1860" s="8"/>
      <c r="AG1860" s="8"/>
      <c r="AH1860" s="8"/>
      <c r="AI1860" s="8"/>
    </row>
    <row r="1861" spans="1:35" ht="15.75" customHeight="1" x14ac:dyDescent="0.25">
      <c r="A1861" s="8"/>
      <c r="B1861" s="8"/>
      <c r="C1861" s="8"/>
      <c r="D1861" s="8"/>
      <c r="E1861" s="5"/>
      <c r="F1861" s="16"/>
      <c r="G1861" s="16"/>
      <c r="H1861" s="5"/>
      <c r="I1861" s="741"/>
      <c r="J1861" s="742"/>
      <c r="K1861" s="5"/>
      <c r="L1861" s="5"/>
      <c r="M1861" s="48"/>
      <c r="N1861" s="18"/>
      <c r="O1861" s="22"/>
      <c r="P1861" s="22"/>
      <c r="Q1861" s="8"/>
      <c r="R1861" s="8"/>
      <c r="S1861" s="8"/>
      <c r="T1861" s="8"/>
      <c r="U1861" s="8"/>
      <c r="V1861" s="8"/>
      <c r="W1861" s="8"/>
      <c r="X1861" s="8"/>
      <c r="Y1861" s="8"/>
      <c r="Z1861" s="8"/>
      <c r="AA1861" s="8"/>
      <c r="AB1861" s="8"/>
      <c r="AC1861" s="8"/>
      <c r="AD1861" s="24"/>
      <c r="AE1861" s="24"/>
      <c r="AF1861" s="8"/>
      <c r="AG1861" s="8"/>
      <c r="AH1861" s="8"/>
      <c r="AI1861" s="8"/>
    </row>
    <row r="1862" spans="1:35" ht="15.75" customHeight="1" x14ac:dyDescent="0.25">
      <c r="A1862" s="8"/>
      <c r="B1862" s="8"/>
      <c r="C1862" s="8"/>
      <c r="D1862" s="8"/>
      <c r="E1862" s="5"/>
      <c r="F1862" s="16"/>
      <c r="G1862" s="16"/>
      <c r="H1862" s="5"/>
      <c r="I1862" s="741"/>
      <c r="J1862" s="742"/>
      <c r="K1862" s="5"/>
      <c r="L1862" s="5"/>
      <c r="M1862" s="48"/>
      <c r="N1862" s="18"/>
      <c r="O1862" s="22"/>
      <c r="P1862" s="22"/>
      <c r="Q1862" s="8"/>
      <c r="R1862" s="8"/>
      <c r="S1862" s="8"/>
      <c r="T1862" s="8"/>
      <c r="U1862" s="8"/>
      <c r="V1862" s="8"/>
      <c r="W1862" s="8"/>
      <c r="X1862" s="8"/>
      <c r="Y1862" s="8"/>
      <c r="Z1862" s="8"/>
      <c r="AA1862" s="8"/>
      <c r="AB1862" s="8"/>
      <c r="AC1862" s="8"/>
      <c r="AD1862" s="24"/>
      <c r="AE1862" s="24"/>
      <c r="AF1862" s="8"/>
      <c r="AG1862" s="8"/>
      <c r="AH1862" s="8"/>
      <c r="AI1862" s="8"/>
    </row>
    <row r="1863" spans="1:35" ht="15.75" customHeight="1" x14ac:dyDescent="0.25">
      <c r="A1863" s="8"/>
      <c r="B1863" s="8"/>
      <c r="C1863" s="8"/>
      <c r="D1863" s="8"/>
      <c r="E1863" s="5"/>
      <c r="F1863" s="16"/>
      <c r="G1863" s="16"/>
      <c r="H1863" s="5"/>
      <c r="I1863" s="741"/>
      <c r="J1863" s="742"/>
      <c r="K1863" s="5"/>
      <c r="L1863" s="5"/>
      <c r="M1863" s="48"/>
      <c r="N1863" s="18"/>
      <c r="O1863" s="22"/>
      <c r="P1863" s="22"/>
      <c r="Q1863" s="8"/>
      <c r="R1863" s="8"/>
      <c r="S1863" s="8"/>
      <c r="T1863" s="8"/>
      <c r="U1863" s="8"/>
      <c r="V1863" s="8"/>
      <c r="W1863" s="8"/>
      <c r="X1863" s="8"/>
      <c r="Y1863" s="8"/>
      <c r="Z1863" s="8"/>
      <c r="AA1863" s="8"/>
      <c r="AB1863" s="8"/>
      <c r="AC1863" s="8"/>
      <c r="AD1863" s="24"/>
      <c r="AE1863" s="24"/>
      <c r="AF1863" s="8"/>
      <c r="AG1863" s="8"/>
      <c r="AH1863" s="8"/>
      <c r="AI1863" s="8"/>
    </row>
    <row r="1864" spans="1:35" ht="15.75" customHeight="1" x14ac:dyDescent="0.25">
      <c r="A1864" s="8"/>
      <c r="B1864" s="8"/>
      <c r="C1864" s="8"/>
      <c r="D1864" s="8"/>
      <c r="E1864" s="5"/>
      <c r="F1864" s="16"/>
      <c r="G1864" s="16"/>
      <c r="H1864" s="5"/>
      <c r="I1864" s="5"/>
      <c r="J1864" s="5"/>
      <c r="K1864" s="5"/>
      <c r="L1864" s="5"/>
      <c r="M1864" s="48"/>
      <c r="N1864" s="18"/>
      <c r="O1864" s="22"/>
      <c r="P1864" s="22"/>
      <c r="Q1864" s="8"/>
      <c r="R1864" s="8"/>
      <c r="S1864" s="8"/>
      <c r="T1864" s="8"/>
      <c r="U1864" s="8"/>
      <c r="V1864" s="8"/>
      <c r="W1864" s="8"/>
      <c r="X1864" s="8"/>
      <c r="Y1864" s="8"/>
      <c r="Z1864" s="8"/>
      <c r="AA1864" s="8"/>
      <c r="AB1864" s="8"/>
      <c r="AC1864" s="8"/>
      <c r="AD1864" s="24"/>
      <c r="AE1864" s="24"/>
      <c r="AF1864" s="8"/>
      <c r="AG1864" s="8"/>
      <c r="AH1864" s="8"/>
      <c r="AI1864" s="8"/>
    </row>
    <row r="1865" spans="1:35" ht="15.75" customHeight="1" x14ac:dyDescent="0.25">
      <c r="A1865" s="8"/>
      <c r="B1865" s="8"/>
      <c r="C1865" s="8"/>
      <c r="D1865" s="8"/>
      <c r="E1865" s="5"/>
      <c r="F1865" s="16"/>
      <c r="G1865" s="16"/>
      <c r="H1865" s="5"/>
      <c r="I1865" s="5"/>
      <c r="J1865" s="5"/>
      <c r="K1865" s="5"/>
      <c r="L1865" s="5"/>
      <c r="M1865" s="48"/>
      <c r="N1865" s="18"/>
      <c r="O1865" s="22"/>
      <c r="P1865" s="22"/>
      <c r="Q1865" s="8"/>
      <c r="R1865" s="8"/>
      <c r="S1865" s="8"/>
      <c r="T1865" s="8"/>
      <c r="U1865" s="8"/>
      <c r="V1865" s="8"/>
      <c r="W1865" s="8"/>
      <c r="X1865" s="8"/>
      <c r="Y1865" s="8"/>
      <c r="Z1865" s="8"/>
      <c r="AA1865" s="8"/>
      <c r="AB1865" s="8"/>
      <c r="AC1865" s="8"/>
      <c r="AD1865" s="24"/>
      <c r="AE1865" s="24"/>
      <c r="AF1865" s="8"/>
      <c r="AG1865" s="8"/>
      <c r="AH1865" s="8"/>
      <c r="AI1865" s="8"/>
    </row>
    <row r="1866" spans="1:35" ht="15.75" customHeight="1" x14ac:dyDescent="0.25">
      <c r="A1866" s="8"/>
      <c r="B1866" s="8"/>
      <c r="C1866" s="8"/>
      <c r="D1866" s="8"/>
      <c r="E1866" s="5"/>
      <c r="F1866" s="16"/>
      <c r="G1866" s="16"/>
      <c r="H1866" s="5"/>
      <c r="I1866" s="5"/>
      <c r="J1866" s="5"/>
      <c r="K1866" s="5"/>
      <c r="L1866" s="5"/>
      <c r="M1866" s="48"/>
      <c r="N1866" s="18"/>
      <c r="O1866" s="22"/>
      <c r="P1866" s="22"/>
      <c r="Q1866" s="8"/>
      <c r="R1866" s="8"/>
      <c r="S1866" s="8"/>
      <c r="T1866" s="8"/>
      <c r="U1866" s="8"/>
      <c r="V1866" s="8"/>
      <c r="W1866" s="8"/>
      <c r="X1866" s="8"/>
      <c r="Y1866" s="8"/>
      <c r="Z1866" s="8"/>
      <c r="AA1866" s="8"/>
      <c r="AB1866" s="8"/>
      <c r="AC1866" s="8"/>
      <c r="AD1866" s="24"/>
      <c r="AE1866" s="24"/>
      <c r="AF1866" s="8"/>
      <c r="AG1866" s="8"/>
      <c r="AH1866" s="8"/>
      <c r="AI1866" s="8"/>
    </row>
    <row r="1867" spans="1:35" ht="15.75" customHeight="1" x14ac:dyDescent="0.25">
      <c r="A1867" s="8"/>
      <c r="B1867" s="8"/>
      <c r="C1867" s="8"/>
      <c r="D1867" s="8"/>
      <c r="E1867" s="5"/>
      <c r="F1867" s="16"/>
      <c r="G1867" s="16"/>
      <c r="H1867" s="5"/>
      <c r="I1867" s="5"/>
      <c r="J1867" s="5"/>
      <c r="K1867" s="5"/>
      <c r="L1867" s="5"/>
      <c r="M1867" s="48"/>
      <c r="N1867" s="18"/>
      <c r="O1867" s="22"/>
      <c r="P1867" s="22"/>
      <c r="Q1867" s="8"/>
      <c r="R1867" s="8"/>
      <c r="S1867" s="8"/>
      <c r="T1867" s="8"/>
      <c r="U1867" s="8"/>
      <c r="V1867" s="8"/>
      <c r="W1867" s="8"/>
      <c r="X1867" s="8"/>
      <c r="Y1867" s="8"/>
      <c r="Z1867" s="8"/>
      <c r="AA1867" s="8"/>
      <c r="AB1867" s="8"/>
      <c r="AC1867" s="8"/>
      <c r="AD1867" s="24"/>
      <c r="AE1867" s="24"/>
      <c r="AF1867" s="8"/>
      <c r="AG1867" s="8"/>
      <c r="AH1867" s="8"/>
      <c r="AI1867" s="8"/>
    </row>
    <row r="1868" spans="1:35" ht="15.75" customHeight="1" x14ac:dyDescent="0.25">
      <c r="A1868" s="8"/>
      <c r="B1868" s="8"/>
      <c r="C1868" s="8"/>
      <c r="D1868" s="8"/>
      <c r="E1868" s="5"/>
      <c r="F1868" s="16"/>
      <c r="G1868" s="16"/>
      <c r="H1868" s="5"/>
      <c r="I1868" s="5"/>
      <c r="J1868" s="5"/>
      <c r="K1868" s="5"/>
      <c r="L1868" s="5"/>
      <c r="M1868" s="48"/>
      <c r="N1868" s="18"/>
      <c r="O1868" s="22"/>
      <c r="P1868" s="22"/>
      <c r="Q1868" s="8"/>
      <c r="R1868" s="8"/>
      <c r="S1868" s="8"/>
      <c r="T1868" s="8"/>
      <c r="U1868" s="8"/>
      <c r="V1868" s="8"/>
      <c r="W1868" s="8"/>
      <c r="X1868" s="8"/>
      <c r="Y1868" s="8"/>
      <c r="Z1868" s="8"/>
      <c r="AA1868" s="8"/>
      <c r="AB1868" s="8"/>
      <c r="AC1868" s="8"/>
      <c r="AD1868" s="24"/>
      <c r="AE1868" s="24"/>
      <c r="AF1868" s="8"/>
      <c r="AG1868" s="8"/>
      <c r="AH1868" s="8"/>
      <c r="AI1868" s="8"/>
    </row>
    <row r="1869" spans="1:35" ht="15.75" customHeight="1" x14ac:dyDescent="0.25">
      <c r="A1869" s="8"/>
      <c r="B1869" s="8"/>
      <c r="C1869" s="8"/>
      <c r="D1869" s="8"/>
      <c r="E1869" s="5"/>
      <c r="F1869" s="16"/>
      <c r="G1869" s="16"/>
      <c r="H1869" s="5"/>
      <c r="I1869" s="5"/>
      <c r="J1869" s="5"/>
      <c r="K1869" s="5"/>
      <c r="L1869" s="5"/>
      <c r="M1869" s="48"/>
      <c r="N1869" s="18"/>
      <c r="O1869" s="22"/>
      <c r="P1869" s="22"/>
      <c r="Q1869" s="8"/>
      <c r="R1869" s="8"/>
      <c r="S1869" s="8"/>
      <c r="T1869" s="8"/>
      <c r="U1869" s="8"/>
      <c r="V1869" s="8"/>
      <c r="W1869" s="8"/>
      <c r="X1869" s="8"/>
      <c r="Y1869" s="8"/>
      <c r="Z1869" s="8"/>
      <c r="AA1869" s="8"/>
      <c r="AB1869" s="8"/>
      <c r="AC1869" s="8"/>
      <c r="AD1869" s="24"/>
      <c r="AE1869" s="24"/>
      <c r="AF1869" s="8"/>
      <c r="AG1869" s="8"/>
      <c r="AH1869" s="8"/>
      <c r="AI1869" s="8"/>
    </row>
    <row r="1870" spans="1:35" ht="15.75" customHeight="1" x14ac:dyDescent="0.25">
      <c r="A1870" s="8"/>
      <c r="B1870" s="8"/>
      <c r="C1870" s="8"/>
      <c r="D1870" s="8"/>
      <c r="E1870" s="5"/>
      <c r="F1870" s="16"/>
      <c r="G1870" s="16"/>
      <c r="H1870" s="5"/>
      <c r="I1870" s="5"/>
      <c r="J1870" s="5"/>
      <c r="K1870" s="5"/>
      <c r="L1870" s="5"/>
      <c r="M1870" s="48"/>
      <c r="N1870" s="18"/>
      <c r="O1870" s="22"/>
      <c r="P1870" s="22"/>
      <c r="Q1870" s="8"/>
      <c r="R1870" s="8"/>
      <c r="S1870" s="8"/>
      <c r="T1870" s="8"/>
      <c r="U1870" s="8"/>
      <c r="V1870" s="8"/>
      <c r="W1870" s="8"/>
      <c r="X1870" s="8"/>
      <c r="Y1870" s="8"/>
      <c r="Z1870" s="8"/>
      <c r="AA1870" s="8"/>
      <c r="AB1870" s="8"/>
      <c r="AC1870" s="8"/>
      <c r="AD1870" s="24"/>
      <c r="AE1870" s="24"/>
      <c r="AF1870" s="8"/>
      <c r="AG1870" s="8"/>
      <c r="AH1870" s="8"/>
      <c r="AI1870" s="8"/>
    </row>
    <row r="1871" spans="1:35" ht="15.75" customHeight="1" x14ac:dyDescent="0.25">
      <c r="A1871" s="8"/>
      <c r="B1871" s="8"/>
      <c r="C1871" s="8"/>
      <c r="D1871" s="8"/>
      <c r="E1871" s="5"/>
      <c r="F1871" s="16"/>
      <c r="G1871" s="16"/>
      <c r="H1871" s="5"/>
      <c r="I1871" s="5"/>
      <c r="J1871" s="5"/>
      <c r="K1871" s="5"/>
      <c r="L1871" s="5"/>
      <c r="M1871" s="48"/>
      <c r="N1871" s="18"/>
      <c r="O1871" s="22"/>
      <c r="P1871" s="22"/>
      <c r="Q1871" s="8"/>
      <c r="R1871" s="8"/>
      <c r="S1871" s="8"/>
      <c r="T1871" s="8"/>
      <c r="U1871" s="8"/>
      <c r="V1871" s="8"/>
      <c r="W1871" s="8"/>
      <c r="X1871" s="8"/>
      <c r="Y1871" s="8"/>
      <c r="Z1871" s="8"/>
      <c r="AA1871" s="8"/>
      <c r="AB1871" s="8"/>
      <c r="AC1871" s="8"/>
      <c r="AD1871" s="24"/>
      <c r="AE1871" s="24"/>
      <c r="AF1871" s="8"/>
      <c r="AG1871" s="8"/>
      <c r="AH1871" s="8"/>
      <c r="AI1871" s="8"/>
    </row>
    <row r="1872" spans="1:35" ht="15.75" customHeight="1" x14ac:dyDescent="0.25">
      <c r="A1872" s="8"/>
      <c r="B1872" s="8"/>
      <c r="C1872" s="8"/>
      <c r="D1872" s="8"/>
      <c r="E1872" s="5"/>
      <c r="F1872" s="16"/>
      <c r="G1872" s="16"/>
      <c r="H1872" s="5"/>
      <c r="I1872" s="5"/>
      <c r="J1872" s="5"/>
      <c r="K1872" s="5"/>
      <c r="L1872" s="5"/>
      <c r="M1872" s="48"/>
      <c r="N1872" s="18"/>
      <c r="O1872" s="22"/>
      <c r="P1872" s="22"/>
      <c r="Q1872" s="8"/>
      <c r="R1872" s="8"/>
      <c r="S1872" s="8"/>
      <c r="T1872" s="8"/>
      <c r="U1872" s="8"/>
      <c r="V1872" s="8"/>
      <c r="W1872" s="8"/>
      <c r="X1872" s="8"/>
      <c r="Y1872" s="8"/>
      <c r="Z1872" s="8"/>
      <c r="AA1872" s="8"/>
      <c r="AB1872" s="8"/>
      <c r="AC1872" s="8"/>
      <c r="AD1872" s="24"/>
      <c r="AE1872" s="24"/>
      <c r="AF1872" s="8"/>
      <c r="AG1872" s="8"/>
      <c r="AH1872" s="8"/>
      <c r="AI1872" s="8"/>
    </row>
    <row r="1873" spans="1:35" ht="15.75" customHeight="1" x14ac:dyDescent="0.25">
      <c r="A1873" s="8"/>
      <c r="B1873" s="8"/>
      <c r="C1873" s="8"/>
      <c r="D1873" s="8"/>
      <c r="E1873" s="5"/>
      <c r="F1873" s="16"/>
      <c r="G1873" s="16"/>
      <c r="H1873" s="5"/>
      <c r="I1873" s="5"/>
      <c r="J1873" s="5"/>
      <c r="K1873" s="5"/>
      <c r="L1873" s="5"/>
      <c r="M1873" s="48"/>
      <c r="N1873" s="18"/>
      <c r="O1873" s="22"/>
      <c r="P1873" s="22"/>
      <c r="Q1873" s="8"/>
      <c r="R1873" s="8"/>
      <c r="S1873" s="8"/>
      <c r="T1873" s="8"/>
      <c r="U1873" s="8"/>
      <c r="V1873" s="8"/>
      <c r="W1873" s="8"/>
      <c r="X1873" s="8"/>
      <c r="Y1873" s="8"/>
      <c r="Z1873" s="8"/>
      <c r="AA1873" s="8"/>
      <c r="AB1873" s="8"/>
      <c r="AC1873" s="8"/>
      <c r="AD1873" s="24"/>
      <c r="AE1873" s="24"/>
      <c r="AF1873" s="8"/>
      <c r="AG1873" s="8"/>
      <c r="AH1873" s="8"/>
      <c r="AI1873" s="8"/>
    </row>
    <row r="1874" spans="1:35" ht="15.75" customHeight="1" x14ac:dyDescent="0.25">
      <c r="A1874" s="8"/>
      <c r="B1874" s="8"/>
      <c r="C1874" s="8"/>
      <c r="D1874" s="8"/>
      <c r="E1874" s="5"/>
      <c r="F1874" s="16"/>
      <c r="G1874" s="16"/>
      <c r="H1874" s="5"/>
      <c r="I1874" s="5"/>
      <c r="J1874" s="5"/>
      <c r="K1874" s="5"/>
      <c r="L1874" s="5"/>
      <c r="M1874" s="48"/>
      <c r="N1874" s="18"/>
      <c r="O1874" s="22"/>
      <c r="P1874" s="22"/>
      <c r="Q1874" s="8"/>
      <c r="R1874" s="8"/>
      <c r="S1874" s="8"/>
      <c r="T1874" s="8"/>
      <c r="U1874" s="8"/>
      <c r="V1874" s="8"/>
      <c r="W1874" s="8"/>
      <c r="X1874" s="8"/>
      <c r="Y1874" s="8"/>
      <c r="Z1874" s="8"/>
      <c r="AA1874" s="8"/>
      <c r="AB1874" s="8"/>
      <c r="AC1874" s="8"/>
      <c r="AD1874" s="24"/>
      <c r="AE1874" s="24"/>
      <c r="AF1874" s="8"/>
      <c r="AG1874" s="8"/>
      <c r="AH1874" s="8"/>
      <c r="AI1874" s="8"/>
    </row>
    <row r="1875" spans="1:35" ht="15.75" customHeight="1" x14ac:dyDescent="0.25">
      <c r="A1875" s="8"/>
      <c r="B1875" s="8"/>
      <c r="C1875" s="8"/>
      <c r="D1875" s="8"/>
      <c r="E1875" s="5"/>
      <c r="F1875" s="16"/>
      <c r="G1875" s="16"/>
      <c r="H1875" s="5"/>
      <c r="I1875" s="5"/>
      <c r="J1875" s="5"/>
      <c r="K1875" s="5"/>
      <c r="L1875" s="5"/>
      <c r="M1875" s="48"/>
      <c r="N1875" s="18"/>
      <c r="O1875" s="22"/>
      <c r="P1875" s="22"/>
      <c r="Q1875" s="8"/>
      <c r="R1875" s="8"/>
      <c r="S1875" s="8"/>
      <c r="T1875" s="8"/>
      <c r="U1875" s="8"/>
      <c r="V1875" s="8"/>
      <c r="W1875" s="8"/>
      <c r="X1875" s="8"/>
      <c r="Y1875" s="8"/>
      <c r="Z1875" s="8"/>
      <c r="AA1875" s="8"/>
      <c r="AB1875" s="8"/>
      <c r="AC1875" s="8"/>
      <c r="AD1875" s="24"/>
      <c r="AE1875" s="24"/>
      <c r="AF1875" s="8"/>
      <c r="AG1875" s="8"/>
      <c r="AH1875" s="8"/>
      <c r="AI1875" s="8"/>
    </row>
    <row r="1876" spans="1:35" ht="15.75" customHeight="1" x14ac:dyDescent="0.25">
      <c r="A1876" s="8"/>
      <c r="B1876" s="8"/>
      <c r="C1876" s="8"/>
      <c r="D1876" s="8"/>
      <c r="E1876" s="5"/>
      <c r="F1876" s="16"/>
      <c r="G1876" s="16"/>
      <c r="H1876" s="5"/>
      <c r="I1876" s="5"/>
      <c r="J1876" s="5"/>
      <c r="K1876" s="5"/>
      <c r="L1876" s="5"/>
      <c r="M1876" s="48"/>
      <c r="N1876" s="18"/>
      <c r="O1876" s="22"/>
      <c r="P1876" s="22"/>
      <c r="Q1876" s="8"/>
      <c r="R1876" s="8"/>
      <c r="S1876" s="8"/>
      <c r="T1876" s="8"/>
      <c r="U1876" s="8"/>
      <c r="V1876" s="8"/>
      <c r="W1876" s="8"/>
      <c r="X1876" s="8"/>
      <c r="Y1876" s="8"/>
      <c r="Z1876" s="8"/>
      <c r="AA1876" s="8"/>
      <c r="AB1876" s="8"/>
      <c r="AC1876" s="8"/>
      <c r="AD1876" s="24"/>
      <c r="AE1876" s="24"/>
      <c r="AF1876" s="8"/>
      <c r="AG1876" s="8"/>
      <c r="AH1876" s="8"/>
      <c r="AI1876" s="8"/>
    </row>
    <row r="1877" spans="1:35" ht="15.75" customHeight="1" x14ac:dyDescent="0.25">
      <c r="A1877" s="8"/>
      <c r="B1877" s="8"/>
      <c r="C1877" s="8"/>
      <c r="D1877" s="8"/>
      <c r="E1877" s="5"/>
      <c r="F1877" s="16"/>
      <c r="G1877" s="16"/>
      <c r="H1877" s="5"/>
      <c r="I1877" s="5"/>
      <c r="J1877" s="5"/>
      <c r="K1877" s="5"/>
      <c r="L1877" s="5"/>
      <c r="M1877" s="48"/>
      <c r="N1877" s="18"/>
      <c r="O1877" s="22"/>
      <c r="P1877" s="22"/>
      <c r="Q1877" s="8"/>
      <c r="R1877" s="8"/>
      <c r="S1877" s="8"/>
      <c r="T1877" s="8"/>
      <c r="U1877" s="8"/>
      <c r="V1877" s="8"/>
      <c r="W1877" s="8"/>
      <c r="X1877" s="8"/>
      <c r="Y1877" s="8"/>
      <c r="Z1877" s="8"/>
      <c r="AA1877" s="8"/>
      <c r="AB1877" s="8"/>
      <c r="AC1877" s="8"/>
      <c r="AD1877" s="24"/>
      <c r="AE1877" s="24"/>
      <c r="AF1877" s="8"/>
      <c r="AG1877" s="8"/>
      <c r="AH1877" s="8"/>
      <c r="AI1877" s="8"/>
    </row>
    <row r="1878" spans="1:35" ht="15.75" customHeight="1" x14ac:dyDescent="0.25">
      <c r="A1878" s="8"/>
      <c r="B1878" s="8"/>
      <c r="C1878" s="8"/>
      <c r="D1878" s="8"/>
      <c r="E1878" s="5"/>
      <c r="F1878" s="16"/>
      <c r="G1878" s="16"/>
      <c r="H1878" s="5"/>
      <c r="I1878" s="5"/>
      <c r="J1878" s="5"/>
      <c r="K1878" s="5"/>
      <c r="L1878" s="5"/>
      <c r="M1878" s="48"/>
      <c r="N1878" s="18"/>
      <c r="O1878" s="22"/>
      <c r="P1878" s="22"/>
      <c r="Q1878" s="8"/>
      <c r="R1878" s="8"/>
      <c r="S1878" s="8"/>
      <c r="T1878" s="8"/>
      <c r="U1878" s="8"/>
      <c r="V1878" s="8"/>
      <c r="W1878" s="8"/>
      <c r="X1878" s="8"/>
      <c r="Y1878" s="8"/>
      <c r="Z1878" s="8"/>
      <c r="AA1878" s="8"/>
      <c r="AB1878" s="8"/>
      <c r="AC1878" s="8"/>
      <c r="AD1878" s="24"/>
      <c r="AE1878" s="24"/>
      <c r="AF1878" s="8"/>
      <c r="AG1878" s="8"/>
      <c r="AH1878" s="8"/>
      <c r="AI1878" s="8"/>
    </row>
    <row r="1879" spans="1:35" ht="15.75" customHeight="1" x14ac:dyDescent="0.25">
      <c r="A1879" s="8"/>
      <c r="B1879" s="8"/>
      <c r="C1879" s="8"/>
      <c r="D1879" s="8"/>
      <c r="E1879" s="5"/>
      <c r="F1879" s="16"/>
      <c r="G1879" s="16"/>
      <c r="H1879" s="5"/>
      <c r="I1879" s="5"/>
      <c r="J1879" s="5"/>
      <c r="K1879" s="5"/>
      <c r="L1879" s="5"/>
      <c r="M1879" s="48"/>
      <c r="N1879" s="18"/>
      <c r="O1879" s="22"/>
      <c r="P1879" s="22"/>
      <c r="Q1879" s="8"/>
      <c r="R1879" s="8"/>
      <c r="S1879" s="8"/>
      <c r="T1879" s="8"/>
      <c r="U1879" s="8"/>
      <c r="V1879" s="8"/>
      <c r="W1879" s="8"/>
      <c r="X1879" s="8"/>
      <c r="Y1879" s="8"/>
      <c r="Z1879" s="8"/>
      <c r="AA1879" s="8"/>
      <c r="AB1879" s="8"/>
      <c r="AC1879" s="8"/>
      <c r="AD1879" s="24"/>
      <c r="AE1879" s="24"/>
      <c r="AF1879" s="8"/>
      <c r="AG1879" s="8"/>
      <c r="AH1879" s="8"/>
      <c r="AI1879" s="8"/>
    </row>
    <row r="1880" spans="1:35" ht="15.75" customHeight="1" x14ac:dyDescent="0.25">
      <c r="A1880" s="8"/>
      <c r="B1880" s="8"/>
      <c r="C1880" s="8"/>
      <c r="D1880" s="8"/>
      <c r="E1880" s="5"/>
      <c r="F1880" s="16"/>
      <c r="G1880" s="16"/>
      <c r="H1880" s="5"/>
      <c r="I1880" s="5"/>
      <c r="J1880" s="5"/>
      <c r="K1880" s="5"/>
      <c r="L1880" s="5"/>
      <c r="M1880" s="48"/>
      <c r="N1880" s="18"/>
      <c r="O1880" s="22"/>
      <c r="P1880" s="22"/>
      <c r="Q1880" s="8"/>
      <c r="R1880" s="8"/>
      <c r="S1880" s="8"/>
      <c r="T1880" s="8"/>
      <c r="U1880" s="8"/>
      <c r="V1880" s="8"/>
      <c r="W1880" s="8"/>
      <c r="X1880" s="8"/>
      <c r="Y1880" s="8"/>
      <c r="Z1880" s="8"/>
      <c r="AA1880" s="8"/>
      <c r="AB1880" s="8"/>
      <c r="AC1880" s="8"/>
      <c r="AD1880" s="24"/>
      <c r="AE1880" s="24"/>
      <c r="AF1880" s="8"/>
      <c r="AG1880" s="8"/>
      <c r="AH1880" s="8"/>
      <c r="AI1880" s="8"/>
    </row>
    <row r="1881" spans="1:35" ht="15.75" customHeight="1" x14ac:dyDescent="0.25">
      <c r="A1881" s="8"/>
      <c r="B1881" s="8"/>
      <c r="C1881" s="8"/>
      <c r="D1881" s="8"/>
      <c r="E1881" s="5"/>
      <c r="F1881" s="16"/>
      <c r="G1881" s="16"/>
      <c r="H1881" s="5"/>
      <c r="I1881" s="5"/>
      <c r="J1881" s="5"/>
      <c r="K1881" s="5"/>
      <c r="L1881" s="5"/>
      <c r="M1881" s="48"/>
      <c r="N1881" s="18"/>
      <c r="O1881" s="22"/>
      <c r="P1881" s="22"/>
      <c r="Q1881" s="8"/>
      <c r="R1881" s="8"/>
      <c r="S1881" s="8"/>
      <c r="T1881" s="8"/>
      <c r="U1881" s="8"/>
      <c r="V1881" s="8"/>
      <c r="W1881" s="8"/>
      <c r="X1881" s="8"/>
      <c r="Y1881" s="8"/>
      <c r="Z1881" s="8"/>
      <c r="AA1881" s="8"/>
      <c r="AB1881" s="8"/>
      <c r="AC1881" s="8"/>
      <c r="AD1881" s="24"/>
      <c r="AE1881" s="24"/>
      <c r="AF1881" s="8"/>
      <c r="AG1881" s="8"/>
      <c r="AH1881" s="8"/>
      <c r="AI1881" s="8"/>
    </row>
    <row r="1882" spans="1:35" ht="15.75" customHeight="1" x14ac:dyDescent="0.25">
      <c r="A1882" s="8"/>
      <c r="B1882" s="8"/>
      <c r="C1882" s="8"/>
      <c r="D1882" s="8"/>
      <c r="E1882" s="5"/>
      <c r="F1882" s="16"/>
      <c r="G1882" s="16"/>
      <c r="H1882" s="5"/>
      <c r="I1882" s="5"/>
      <c r="J1882" s="5"/>
      <c r="K1882" s="5"/>
      <c r="L1882" s="5"/>
      <c r="M1882" s="48"/>
      <c r="N1882" s="18"/>
      <c r="O1882" s="22"/>
      <c r="P1882" s="22"/>
      <c r="Q1882" s="8"/>
      <c r="R1882" s="8"/>
      <c r="S1882" s="8"/>
      <c r="T1882" s="8"/>
      <c r="U1882" s="8"/>
      <c r="V1882" s="8"/>
      <c r="W1882" s="8"/>
      <c r="X1882" s="8"/>
      <c r="Y1882" s="8"/>
      <c r="Z1882" s="8"/>
      <c r="AA1882" s="8"/>
      <c r="AB1882" s="8"/>
      <c r="AC1882" s="8"/>
      <c r="AD1882" s="24"/>
      <c r="AE1882" s="24"/>
      <c r="AF1882" s="8"/>
      <c r="AG1882" s="8"/>
      <c r="AH1882" s="8"/>
      <c r="AI1882" s="8"/>
    </row>
    <row r="1883" spans="1:35" ht="15.75" customHeight="1" x14ac:dyDescent="0.25">
      <c r="A1883" s="8"/>
      <c r="B1883" s="8"/>
      <c r="C1883" s="8"/>
      <c r="D1883" s="8"/>
      <c r="E1883" s="5"/>
      <c r="F1883" s="16"/>
      <c r="G1883" s="16"/>
      <c r="H1883" s="5"/>
      <c r="I1883" s="5"/>
      <c r="J1883" s="5"/>
      <c r="K1883" s="5"/>
      <c r="L1883" s="5"/>
      <c r="M1883" s="48"/>
      <c r="N1883" s="18"/>
      <c r="O1883" s="22"/>
      <c r="P1883" s="22"/>
      <c r="Q1883" s="8"/>
      <c r="R1883" s="8"/>
      <c r="S1883" s="8"/>
      <c r="T1883" s="8"/>
      <c r="U1883" s="8"/>
      <c r="V1883" s="8"/>
      <c r="W1883" s="8"/>
      <c r="X1883" s="8"/>
      <c r="Y1883" s="8"/>
      <c r="Z1883" s="8"/>
      <c r="AA1883" s="8"/>
      <c r="AB1883" s="8"/>
      <c r="AC1883" s="8"/>
      <c r="AD1883" s="24"/>
      <c r="AE1883" s="24"/>
      <c r="AF1883" s="8"/>
      <c r="AG1883" s="8"/>
      <c r="AH1883" s="8"/>
      <c r="AI1883" s="8"/>
    </row>
    <row r="1884" spans="1:35" ht="15.75" customHeight="1" x14ac:dyDescent="0.25">
      <c r="A1884" s="8"/>
      <c r="B1884" s="8"/>
      <c r="C1884" s="8"/>
      <c r="D1884" s="8"/>
      <c r="E1884" s="5"/>
      <c r="F1884" s="16"/>
      <c r="G1884" s="16"/>
      <c r="H1884" s="5"/>
      <c r="I1884" s="5"/>
      <c r="J1884" s="5"/>
      <c r="K1884" s="5"/>
      <c r="L1884" s="5"/>
      <c r="M1884" s="48"/>
      <c r="N1884" s="18"/>
      <c r="O1884" s="22"/>
      <c r="P1884" s="22"/>
      <c r="Q1884" s="8"/>
      <c r="R1884" s="8"/>
      <c r="S1884" s="8"/>
      <c r="T1884" s="8"/>
      <c r="U1884" s="8"/>
      <c r="V1884" s="8"/>
      <c r="W1884" s="8"/>
      <c r="X1884" s="8"/>
      <c r="Y1884" s="8"/>
      <c r="Z1884" s="8"/>
      <c r="AA1884" s="8"/>
      <c r="AB1884" s="8"/>
      <c r="AC1884" s="8"/>
      <c r="AD1884" s="24"/>
      <c r="AE1884" s="24"/>
      <c r="AF1884" s="8"/>
      <c r="AG1884" s="8"/>
      <c r="AH1884" s="8"/>
      <c r="AI1884" s="8"/>
    </row>
    <row r="1885" spans="1:35" ht="15.75" customHeight="1" x14ac:dyDescent="0.25">
      <c r="A1885" s="8"/>
      <c r="B1885" s="8"/>
      <c r="C1885" s="8"/>
      <c r="D1885" s="8"/>
      <c r="E1885" s="5"/>
      <c r="F1885" s="16"/>
      <c r="G1885" s="16"/>
      <c r="H1885" s="5"/>
      <c r="I1885" s="5"/>
      <c r="J1885" s="5"/>
      <c r="K1885" s="5"/>
      <c r="L1885" s="5"/>
      <c r="M1885" s="48"/>
      <c r="N1885" s="18"/>
      <c r="O1885" s="22"/>
      <c r="P1885" s="22"/>
      <c r="Q1885" s="8"/>
      <c r="R1885" s="8"/>
      <c r="S1885" s="8"/>
      <c r="T1885" s="8"/>
      <c r="U1885" s="8"/>
      <c r="V1885" s="8"/>
      <c r="W1885" s="8"/>
      <c r="X1885" s="8"/>
      <c r="Y1885" s="8"/>
      <c r="Z1885" s="8"/>
      <c r="AA1885" s="8"/>
      <c r="AB1885" s="8"/>
      <c r="AC1885" s="8"/>
      <c r="AD1885" s="24"/>
      <c r="AE1885" s="24"/>
      <c r="AF1885" s="8"/>
      <c r="AG1885" s="8"/>
      <c r="AH1885" s="8"/>
      <c r="AI1885" s="8"/>
    </row>
    <row r="1886" spans="1:35" ht="15.75" customHeight="1" x14ac:dyDescent="0.25">
      <c r="A1886" s="8"/>
      <c r="B1886" s="8"/>
      <c r="C1886" s="8"/>
      <c r="D1886" s="8"/>
      <c r="E1886" s="5"/>
      <c r="F1886" s="16"/>
      <c r="G1886" s="16"/>
      <c r="H1886" s="5"/>
      <c r="I1886" s="5"/>
      <c r="J1886" s="5"/>
      <c r="K1886" s="5"/>
      <c r="L1886" s="5"/>
      <c r="M1886" s="48"/>
      <c r="N1886" s="18"/>
      <c r="O1886" s="22"/>
      <c r="P1886" s="22"/>
      <c r="Q1886" s="8"/>
      <c r="R1886" s="8"/>
      <c r="S1886" s="8"/>
      <c r="T1886" s="8"/>
      <c r="U1886" s="8"/>
      <c r="V1886" s="8"/>
      <c r="W1886" s="8"/>
      <c r="X1886" s="8"/>
      <c r="Y1886" s="8"/>
      <c r="Z1886" s="8"/>
      <c r="AA1886" s="8"/>
      <c r="AB1886" s="8"/>
      <c r="AC1886" s="8"/>
      <c r="AD1886" s="24"/>
      <c r="AE1886" s="24"/>
      <c r="AF1886" s="8"/>
      <c r="AG1886" s="8"/>
      <c r="AH1886" s="8"/>
      <c r="AI1886" s="8"/>
    </row>
    <row r="1887" spans="1:35" ht="15.75" customHeight="1" x14ac:dyDescent="0.25">
      <c r="A1887" s="8"/>
      <c r="B1887" s="8"/>
      <c r="C1887" s="8"/>
      <c r="D1887" s="8"/>
      <c r="E1887" s="5"/>
      <c r="F1887" s="16"/>
      <c r="G1887" s="16"/>
      <c r="H1887" s="5"/>
      <c r="I1887" s="5"/>
      <c r="J1887" s="5"/>
      <c r="K1887" s="5"/>
      <c r="L1887" s="5"/>
      <c r="M1887" s="48"/>
      <c r="N1887" s="18"/>
      <c r="O1887" s="22"/>
      <c r="P1887" s="22"/>
      <c r="Q1887" s="8"/>
      <c r="R1887" s="8"/>
      <c r="S1887" s="8"/>
      <c r="T1887" s="8"/>
      <c r="U1887" s="8"/>
      <c r="V1887" s="8"/>
      <c r="W1887" s="8"/>
      <c r="X1887" s="8"/>
      <c r="Y1887" s="8"/>
      <c r="Z1887" s="8"/>
      <c r="AA1887" s="8"/>
      <c r="AB1887" s="8"/>
      <c r="AC1887" s="8"/>
      <c r="AD1887" s="24"/>
      <c r="AE1887" s="24"/>
      <c r="AF1887" s="8"/>
      <c r="AG1887" s="8"/>
      <c r="AH1887" s="8"/>
      <c r="AI1887" s="8"/>
    </row>
    <row r="1888" spans="1:35" ht="15.75" customHeight="1" x14ac:dyDescent="0.25">
      <c r="A1888" s="8"/>
      <c r="B1888" s="8"/>
      <c r="C1888" s="8"/>
      <c r="D1888" s="8"/>
      <c r="E1888" s="5"/>
      <c r="F1888" s="16"/>
      <c r="G1888" s="16"/>
      <c r="H1888" s="5"/>
      <c r="I1888" s="5"/>
      <c r="J1888" s="5"/>
      <c r="K1888" s="5"/>
      <c r="L1888" s="5"/>
      <c r="M1888" s="48"/>
      <c r="N1888" s="18"/>
      <c r="O1888" s="22"/>
      <c r="P1888" s="22"/>
      <c r="Q1888" s="8"/>
      <c r="R1888" s="8"/>
      <c r="S1888" s="8"/>
      <c r="T1888" s="8"/>
      <c r="U1888" s="8"/>
      <c r="V1888" s="8"/>
      <c r="W1888" s="8"/>
      <c r="X1888" s="8"/>
      <c r="Y1888" s="8"/>
      <c r="Z1888" s="8"/>
      <c r="AA1888" s="8"/>
      <c r="AB1888" s="8"/>
      <c r="AC1888" s="8"/>
      <c r="AD1888" s="24"/>
      <c r="AE1888" s="24"/>
      <c r="AF1888" s="8"/>
      <c r="AG1888" s="8"/>
      <c r="AH1888" s="8"/>
      <c r="AI1888" s="8"/>
    </row>
    <row r="1889" spans="1:35" ht="15.75" customHeight="1" x14ac:dyDescent="0.25">
      <c r="A1889" s="8"/>
      <c r="B1889" s="8"/>
      <c r="C1889" s="8"/>
      <c r="D1889" s="8"/>
      <c r="E1889" s="5"/>
      <c r="F1889" s="16"/>
      <c r="G1889" s="16"/>
      <c r="H1889" s="5"/>
      <c r="I1889" s="5"/>
      <c r="J1889" s="5"/>
      <c r="K1889" s="5"/>
      <c r="L1889" s="5"/>
      <c r="M1889" s="48"/>
      <c r="N1889" s="18"/>
      <c r="O1889" s="22"/>
      <c r="P1889" s="22"/>
      <c r="Q1889" s="8"/>
      <c r="R1889" s="8"/>
      <c r="S1889" s="8"/>
      <c r="T1889" s="8"/>
      <c r="U1889" s="8"/>
      <c r="V1889" s="8"/>
      <c r="W1889" s="8"/>
      <c r="X1889" s="8"/>
      <c r="Y1889" s="8"/>
      <c r="Z1889" s="8"/>
      <c r="AA1889" s="8"/>
      <c r="AB1889" s="8"/>
      <c r="AC1889" s="8"/>
      <c r="AD1889" s="24"/>
      <c r="AE1889" s="24"/>
      <c r="AF1889" s="8"/>
      <c r="AG1889" s="8"/>
      <c r="AH1889" s="8"/>
      <c r="AI1889" s="8"/>
    </row>
    <row r="1890" spans="1:35" ht="15.75" customHeight="1" x14ac:dyDescent="0.25">
      <c r="A1890" s="8"/>
      <c r="B1890" s="8"/>
      <c r="C1890" s="8"/>
      <c r="D1890" s="8"/>
      <c r="E1890" s="5"/>
      <c r="F1890" s="16"/>
      <c r="G1890" s="16"/>
      <c r="H1890" s="5"/>
      <c r="I1890" s="5"/>
      <c r="J1890" s="5"/>
      <c r="K1890" s="5"/>
      <c r="L1890" s="5"/>
      <c r="M1890" s="48"/>
      <c r="N1890" s="18"/>
      <c r="O1890" s="22"/>
      <c r="P1890" s="22"/>
      <c r="Q1890" s="8"/>
      <c r="R1890" s="8"/>
      <c r="S1890" s="8"/>
      <c r="T1890" s="8"/>
      <c r="U1890" s="8"/>
      <c r="V1890" s="8"/>
      <c r="W1890" s="8"/>
      <c r="X1890" s="8"/>
      <c r="Y1890" s="8"/>
      <c r="Z1890" s="8"/>
      <c r="AA1890" s="8"/>
      <c r="AB1890" s="8"/>
      <c r="AC1890" s="8"/>
      <c r="AD1890" s="24"/>
      <c r="AE1890" s="24"/>
      <c r="AF1890" s="8"/>
      <c r="AG1890" s="8"/>
      <c r="AH1890" s="8"/>
      <c r="AI1890" s="8"/>
    </row>
    <row r="1891" spans="1:35" ht="15.75" customHeight="1" x14ac:dyDescent="0.25">
      <c r="A1891" s="8"/>
      <c r="B1891" s="8"/>
      <c r="C1891" s="8"/>
      <c r="D1891" s="8"/>
      <c r="E1891" s="5"/>
      <c r="F1891" s="16"/>
      <c r="G1891" s="16"/>
      <c r="H1891" s="5"/>
      <c r="I1891" s="741"/>
      <c r="J1891" s="742"/>
      <c r="K1891" s="5"/>
      <c r="L1891" s="5"/>
      <c r="M1891" s="48"/>
      <c r="N1891" s="18"/>
      <c r="O1891" s="22"/>
      <c r="P1891" s="22"/>
      <c r="Q1891" s="8"/>
      <c r="R1891" s="8"/>
      <c r="S1891" s="8"/>
      <c r="T1891" s="8"/>
      <c r="U1891" s="8"/>
      <c r="V1891" s="8"/>
      <c r="W1891" s="8"/>
      <c r="X1891" s="8"/>
      <c r="Y1891" s="8"/>
      <c r="Z1891" s="8"/>
      <c r="AA1891" s="8"/>
      <c r="AB1891" s="8"/>
      <c r="AC1891" s="8"/>
      <c r="AD1891" s="24"/>
      <c r="AE1891" s="24"/>
      <c r="AF1891" s="8"/>
      <c r="AG1891" s="8"/>
      <c r="AH1891" s="8"/>
      <c r="AI1891" s="8"/>
    </row>
    <row r="1892" spans="1:35" ht="15.75" customHeight="1" x14ac:dyDescent="0.25">
      <c r="A1892" s="8"/>
      <c r="B1892" s="8"/>
      <c r="C1892" s="8"/>
      <c r="D1892" s="8"/>
      <c r="E1892" s="5"/>
      <c r="F1892" s="16"/>
      <c r="G1892" s="16"/>
      <c r="H1892" s="5"/>
      <c r="I1892" s="5"/>
      <c r="J1892" s="5"/>
      <c r="K1892" s="5"/>
      <c r="L1892" s="5"/>
      <c r="M1892" s="48"/>
      <c r="N1892" s="18"/>
      <c r="O1892" s="22"/>
      <c r="P1892" s="22"/>
      <c r="Q1892" s="8"/>
      <c r="R1892" s="8"/>
      <c r="S1892" s="8"/>
      <c r="T1892" s="8"/>
      <c r="U1892" s="8"/>
      <c r="V1892" s="8"/>
      <c r="W1892" s="8"/>
      <c r="X1892" s="8"/>
      <c r="Y1892" s="8"/>
      <c r="Z1892" s="8"/>
      <c r="AA1892" s="8"/>
      <c r="AB1892" s="8"/>
      <c r="AC1892" s="8"/>
      <c r="AD1892" s="24"/>
      <c r="AE1892" s="24"/>
      <c r="AF1892" s="8"/>
      <c r="AG1892" s="8"/>
      <c r="AH1892" s="8"/>
      <c r="AI1892" s="8"/>
    </row>
    <row r="1893" spans="1:35" ht="15.75" customHeight="1" x14ac:dyDescent="0.25">
      <c r="A1893" s="8"/>
      <c r="B1893" s="8"/>
      <c r="C1893" s="8"/>
      <c r="D1893" s="8"/>
      <c r="E1893" s="5"/>
      <c r="F1893" s="16"/>
      <c r="G1893" s="16"/>
      <c r="H1893" s="5"/>
      <c r="I1893" s="5"/>
      <c r="J1893" s="5"/>
      <c r="K1893" s="5"/>
      <c r="L1893" s="5"/>
      <c r="M1893" s="48"/>
      <c r="N1893" s="18"/>
      <c r="O1893" s="22"/>
      <c r="P1893" s="22"/>
      <c r="Q1893" s="8"/>
      <c r="R1893" s="8"/>
      <c r="S1893" s="8"/>
      <c r="T1893" s="8"/>
      <c r="U1893" s="8"/>
      <c r="V1893" s="8"/>
      <c r="W1893" s="8"/>
      <c r="X1893" s="8"/>
      <c r="Y1893" s="8"/>
      <c r="Z1893" s="8"/>
      <c r="AA1893" s="8"/>
      <c r="AB1893" s="8"/>
      <c r="AC1893" s="8"/>
      <c r="AD1893" s="24"/>
      <c r="AE1893" s="24"/>
      <c r="AF1893" s="8"/>
      <c r="AG1893" s="8"/>
      <c r="AH1893" s="8"/>
      <c r="AI1893" s="8"/>
    </row>
    <row r="1894" spans="1:35" ht="15.75" customHeight="1" x14ac:dyDescent="0.25">
      <c r="A1894" s="8"/>
      <c r="B1894" s="8"/>
      <c r="C1894" s="8"/>
      <c r="D1894" s="8"/>
      <c r="E1894" s="5"/>
      <c r="F1894" s="16"/>
      <c r="G1894" s="16"/>
      <c r="H1894" s="5"/>
      <c r="I1894" s="5"/>
      <c r="J1894" s="5"/>
      <c r="K1894" s="5"/>
      <c r="L1894" s="5"/>
      <c r="M1894" s="48"/>
      <c r="N1894" s="18"/>
      <c r="O1894" s="22"/>
      <c r="P1894" s="22"/>
      <c r="Q1894" s="8"/>
      <c r="R1894" s="8"/>
      <c r="S1894" s="8"/>
      <c r="T1894" s="8"/>
      <c r="U1894" s="8"/>
      <c r="V1894" s="8"/>
      <c r="W1894" s="8"/>
      <c r="X1894" s="8"/>
      <c r="Y1894" s="8"/>
      <c r="Z1894" s="8"/>
      <c r="AA1894" s="8"/>
      <c r="AB1894" s="8"/>
      <c r="AC1894" s="8"/>
      <c r="AD1894" s="24"/>
      <c r="AE1894" s="24"/>
      <c r="AF1894" s="8"/>
      <c r="AG1894" s="8"/>
      <c r="AH1894" s="8"/>
      <c r="AI1894" s="8"/>
    </row>
    <row r="1895" spans="1:35" ht="15.75" customHeight="1" x14ac:dyDescent="0.25">
      <c r="A1895" s="8"/>
      <c r="B1895" s="8"/>
      <c r="C1895" s="8"/>
      <c r="D1895" s="8"/>
      <c r="E1895" s="5"/>
      <c r="F1895" s="16"/>
      <c r="G1895" s="16"/>
      <c r="H1895" s="5"/>
      <c r="I1895" s="5"/>
      <c r="J1895" s="5"/>
      <c r="K1895" s="5"/>
      <c r="L1895" s="5"/>
      <c r="M1895" s="48"/>
      <c r="N1895" s="18"/>
      <c r="O1895" s="22"/>
      <c r="P1895" s="22"/>
      <c r="Q1895" s="8"/>
      <c r="R1895" s="8"/>
      <c r="S1895" s="8"/>
      <c r="T1895" s="8"/>
      <c r="U1895" s="8"/>
      <c r="V1895" s="8"/>
      <c r="W1895" s="8"/>
      <c r="X1895" s="8"/>
      <c r="Y1895" s="8"/>
      <c r="Z1895" s="8"/>
      <c r="AA1895" s="8"/>
      <c r="AB1895" s="8"/>
      <c r="AC1895" s="8"/>
      <c r="AD1895" s="24"/>
      <c r="AE1895" s="24"/>
      <c r="AF1895" s="8"/>
      <c r="AG1895" s="8"/>
      <c r="AH1895" s="8"/>
      <c r="AI1895" s="8"/>
    </row>
    <row r="1896" spans="1:35" ht="15.75" customHeight="1" x14ac:dyDescent="0.25">
      <c r="A1896" s="8"/>
      <c r="B1896" s="8"/>
      <c r="C1896" s="8"/>
      <c r="D1896" s="8"/>
      <c r="E1896" s="5"/>
      <c r="F1896" s="16"/>
      <c r="G1896" s="16"/>
      <c r="H1896" s="5"/>
      <c r="I1896" s="5"/>
      <c r="J1896" s="5"/>
      <c r="K1896" s="5"/>
      <c r="L1896" s="5"/>
      <c r="M1896" s="48"/>
      <c r="N1896" s="18"/>
      <c r="O1896" s="22"/>
      <c r="P1896" s="22"/>
      <c r="Q1896" s="8"/>
      <c r="R1896" s="8"/>
      <c r="S1896" s="8"/>
      <c r="T1896" s="8"/>
      <c r="U1896" s="8"/>
      <c r="V1896" s="8"/>
      <c r="W1896" s="8"/>
      <c r="X1896" s="8"/>
      <c r="Y1896" s="8"/>
      <c r="Z1896" s="8"/>
      <c r="AA1896" s="8"/>
      <c r="AB1896" s="8"/>
      <c r="AC1896" s="8"/>
      <c r="AD1896" s="24"/>
      <c r="AE1896" s="24"/>
      <c r="AF1896" s="8"/>
      <c r="AG1896" s="8"/>
      <c r="AH1896" s="8"/>
      <c r="AI1896" s="8"/>
    </row>
    <row r="1897" spans="1:35" ht="15.75" customHeight="1" x14ac:dyDescent="0.25">
      <c r="A1897" s="8"/>
      <c r="B1897" s="8"/>
      <c r="C1897" s="8"/>
      <c r="D1897" s="8"/>
      <c r="E1897" s="5"/>
      <c r="F1897" s="16"/>
      <c r="G1897" s="16"/>
      <c r="H1897" s="5"/>
      <c r="I1897" s="5"/>
      <c r="J1897" s="5"/>
      <c r="K1897" s="5"/>
      <c r="L1897" s="5"/>
      <c r="M1897" s="48"/>
      <c r="N1897" s="18"/>
      <c r="O1897" s="22"/>
      <c r="P1897" s="22"/>
      <c r="Q1897" s="8"/>
      <c r="R1897" s="8"/>
      <c r="S1897" s="8"/>
      <c r="T1897" s="8"/>
      <c r="U1897" s="8"/>
      <c r="V1897" s="8"/>
      <c r="W1897" s="8"/>
      <c r="X1897" s="8"/>
      <c r="Y1897" s="8"/>
      <c r="Z1897" s="8"/>
      <c r="AA1897" s="8"/>
      <c r="AB1897" s="8"/>
      <c r="AC1897" s="8"/>
      <c r="AD1897" s="24"/>
      <c r="AE1897" s="24"/>
      <c r="AF1897" s="8"/>
      <c r="AG1897" s="8"/>
      <c r="AH1897" s="8"/>
      <c r="AI1897" s="8"/>
    </row>
    <row r="1898" spans="1:35" ht="15.75" customHeight="1" x14ac:dyDescent="0.25">
      <c r="A1898" s="8"/>
      <c r="B1898" s="8"/>
      <c r="C1898" s="8"/>
      <c r="D1898" s="8"/>
      <c r="E1898" s="5"/>
      <c r="F1898" s="16"/>
      <c r="G1898" s="16"/>
      <c r="H1898" s="5"/>
      <c r="I1898" s="5"/>
      <c r="J1898" s="5"/>
      <c r="K1898" s="5"/>
      <c r="L1898" s="5"/>
      <c r="M1898" s="48"/>
      <c r="N1898" s="18"/>
      <c r="O1898" s="22"/>
      <c r="P1898" s="22"/>
      <c r="Q1898" s="8"/>
      <c r="R1898" s="8"/>
      <c r="S1898" s="8"/>
      <c r="T1898" s="8"/>
      <c r="U1898" s="8"/>
      <c r="V1898" s="8"/>
      <c r="W1898" s="8"/>
      <c r="X1898" s="8"/>
      <c r="Y1898" s="8"/>
      <c r="Z1898" s="8"/>
      <c r="AA1898" s="8"/>
      <c r="AB1898" s="8"/>
      <c r="AC1898" s="8"/>
      <c r="AD1898" s="24"/>
      <c r="AE1898" s="24"/>
      <c r="AF1898" s="8"/>
      <c r="AG1898" s="8"/>
      <c r="AH1898" s="8"/>
      <c r="AI1898" s="8"/>
    </row>
    <row r="1899" spans="1:35" ht="15.75" customHeight="1" x14ac:dyDescent="0.25">
      <c r="A1899" s="8"/>
      <c r="B1899" s="8"/>
      <c r="C1899" s="8"/>
      <c r="D1899" s="8"/>
      <c r="E1899" s="5"/>
      <c r="F1899" s="16"/>
      <c r="G1899" s="16"/>
      <c r="H1899" s="5"/>
      <c r="I1899" s="5"/>
      <c r="J1899" s="5"/>
      <c r="K1899" s="5"/>
      <c r="L1899" s="5"/>
      <c r="M1899" s="48"/>
      <c r="N1899" s="18"/>
      <c r="O1899" s="22"/>
      <c r="P1899" s="22"/>
      <c r="Q1899" s="8"/>
      <c r="R1899" s="8"/>
      <c r="S1899" s="8"/>
      <c r="T1899" s="8"/>
      <c r="U1899" s="8"/>
      <c r="V1899" s="8"/>
      <c r="W1899" s="8"/>
      <c r="X1899" s="8"/>
      <c r="Y1899" s="8"/>
      <c r="Z1899" s="8"/>
      <c r="AA1899" s="8"/>
      <c r="AB1899" s="8"/>
      <c r="AC1899" s="8"/>
      <c r="AD1899" s="24"/>
      <c r="AE1899" s="24"/>
      <c r="AF1899" s="8"/>
      <c r="AG1899" s="8"/>
      <c r="AH1899" s="8"/>
      <c r="AI1899" s="8"/>
    </row>
    <row r="1900" spans="1:35" ht="15.75" customHeight="1" x14ac:dyDescent="0.25">
      <c r="A1900" s="8"/>
      <c r="B1900" s="8"/>
      <c r="C1900" s="8"/>
      <c r="D1900" s="8"/>
      <c r="E1900" s="5"/>
      <c r="F1900" s="16"/>
      <c r="G1900" s="16"/>
      <c r="H1900" s="5"/>
      <c r="I1900" s="5"/>
      <c r="J1900" s="5"/>
      <c r="K1900" s="5"/>
      <c r="L1900" s="5"/>
      <c r="M1900" s="48"/>
      <c r="N1900" s="18"/>
      <c r="O1900" s="22"/>
      <c r="P1900" s="22"/>
      <c r="Q1900" s="8"/>
      <c r="R1900" s="8"/>
      <c r="S1900" s="8"/>
      <c r="T1900" s="8"/>
      <c r="U1900" s="8"/>
      <c r="V1900" s="8"/>
      <c r="W1900" s="8"/>
      <c r="X1900" s="8"/>
      <c r="Y1900" s="8"/>
      <c r="Z1900" s="8"/>
      <c r="AA1900" s="8"/>
      <c r="AB1900" s="8"/>
      <c r="AC1900" s="8"/>
      <c r="AD1900" s="24"/>
      <c r="AE1900" s="24"/>
      <c r="AF1900" s="8"/>
      <c r="AG1900" s="8"/>
      <c r="AH1900" s="8"/>
      <c r="AI1900" s="8"/>
    </row>
    <row r="1901" spans="1:35" ht="15.75" customHeight="1" x14ac:dyDescent="0.25">
      <c r="A1901" s="8"/>
      <c r="B1901" s="8"/>
      <c r="C1901" s="8"/>
      <c r="D1901" s="8"/>
      <c r="E1901" s="5"/>
      <c r="F1901" s="16"/>
      <c r="G1901" s="16"/>
      <c r="H1901" s="5"/>
      <c r="I1901" s="5"/>
      <c r="J1901" s="5"/>
      <c r="K1901" s="5"/>
      <c r="L1901" s="5"/>
      <c r="M1901" s="48"/>
      <c r="N1901" s="18"/>
      <c r="O1901" s="22"/>
      <c r="P1901" s="22"/>
      <c r="Q1901" s="8"/>
      <c r="R1901" s="8"/>
      <c r="S1901" s="8"/>
      <c r="T1901" s="8"/>
      <c r="U1901" s="8"/>
      <c r="V1901" s="8"/>
      <c r="W1901" s="8"/>
      <c r="X1901" s="8"/>
      <c r="Y1901" s="8"/>
      <c r="Z1901" s="8"/>
      <c r="AA1901" s="8"/>
      <c r="AB1901" s="8"/>
      <c r="AC1901" s="8"/>
      <c r="AD1901" s="24"/>
      <c r="AE1901" s="24"/>
      <c r="AF1901" s="8"/>
      <c r="AG1901" s="8"/>
      <c r="AH1901" s="8"/>
      <c r="AI1901" s="8"/>
    </row>
    <row r="1902" spans="1:35" ht="15.75" customHeight="1" x14ac:dyDescent="0.25">
      <c r="A1902" s="8"/>
      <c r="B1902" s="8"/>
      <c r="C1902" s="8"/>
      <c r="D1902" s="8"/>
      <c r="E1902" s="5"/>
      <c r="F1902" s="16"/>
      <c r="G1902" s="16"/>
      <c r="H1902" s="5"/>
      <c r="I1902" s="5"/>
      <c r="J1902" s="5"/>
      <c r="K1902" s="5"/>
      <c r="L1902" s="5"/>
      <c r="M1902" s="48"/>
      <c r="N1902" s="18"/>
      <c r="O1902" s="22"/>
      <c r="P1902" s="22"/>
      <c r="Q1902" s="8"/>
      <c r="R1902" s="8"/>
      <c r="S1902" s="8"/>
      <c r="T1902" s="8"/>
      <c r="U1902" s="8"/>
      <c r="V1902" s="8"/>
      <c r="W1902" s="8"/>
      <c r="X1902" s="8"/>
      <c r="Y1902" s="8"/>
      <c r="Z1902" s="8"/>
      <c r="AA1902" s="8"/>
      <c r="AB1902" s="8"/>
      <c r="AC1902" s="8"/>
      <c r="AD1902" s="24"/>
      <c r="AE1902" s="24"/>
      <c r="AF1902" s="8"/>
      <c r="AG1902" s="8"/>
      <c r="AH1902" s="8"/>
      <c r="AI1902" s="8"/>
    </row>
    <row r="1903" spans="1:35" ht="15.75" customHeight="1" x14ac:dyDescent="0.25">
      <c r="A1903" s="8"/>
      <c r="B1903" s="8"/>
      <c r="C1903" s="8"/>
      <c r="D1903" s="8"/>
      <c r="E1903" s="5"/>
      <c r="F1903" s="16"/>
      <c r="G1903" s="16"/>
      <c r="H1903" s="5"/>
      <c r="I1903" s="5"/>
      <c r="J1903" s="5"/>
      <c r="K1903" s="5"/>
      <c r="L1903" s="5"/>
      <c r="M1903" s="48"/>
      <c r="N1903" s="18"/>
      <c r="O1903" s="22"/>
      <c r="P1903" s="22"/>
      <c r="Q1903" s="8"/>
      <c r="R1903" s="8"/>
      <c r="S1903" s="8"/>
      <c r="T1903" s="8"/>
      <c r="U1903" s="8"/>
      <c r="V1903" s="8"/>
      <c r="W1903" s="8"/>
      <c r="X1903" s="8"/>
      <c r="Y1903" s="8"/>
      <c r="Z1903" s="8"/>
      <c r="AA1903" s="8"/>
      <c r="AB1903" s="8"/>
      <c r="AC1903" s="8"/>
      <c r="AD1903" s="24"/>
      <c r="AE1903" s="24"/>
      <c r="AF1903" s="8"/>
      <c r="AG1903" s="8"/>
      <c r="AH1903" s="8"/>
      <c r="AI1903" s="8"/>
    </row>
    <row r="1904" spans="1:35" ht="15.75" customHeight="1" x14ac:dyDescent="0.25">
      <c r="A1904" s="8"/>
      <c r="B1904" s="8"/>
      <c r="C1904" s="8"/>
      <c r="D1904" s="8"/>
      <c r="E1904" s="5"/>
      <c r="F1904" s="16"/>
      <c r="G1904" s="16"/>
      <c r="H1904" s="5"/>
      <c r="I1904" s="5"/>
      <c r="J1904" s="5"/>
      <c r="K1904" s="5"/>
      <c r="L1904" s="5"/>
      <c r="M1904" s="48"/>
      <c r="N1904" s="18"/>
      <c r="O1904" s="22"/>
      <c r="P1904" s="22"/>
      <c r="Q1904" s="8"/>
      <c r="R1904" s="8"/>
      <c r="S1904" s="8"/>
      <c r="T1904" s="8"/>
      <c r="U1904" s="8"/>
      <c r="V1904" s="8"/>
      <c r="W1904" s="8"/>
      <c r="X1904" s="8"/>
      <c r="Y1904" s="8"/>
      <c r="Z1904" s="8"/>
      <c r="AA1904" s="8"/>
      <c r="AB1904" s="8"/>
      <c r="AC1904" s="8"/>
      <c r="AD1904" s="24"/>
      <c r="AE1904" s="24"/>
      <c r="AF1904" s="8"/>
      <c r="AG1904" s="8"/>
      <c r="AH1904" s="8"/>
      <c r="AI1904" s="8"/>
    </row>
    <row r="1905" spans="1:35" ht="15.75" customHeight="1" x14ac:dyDescent="0.25">
      <c r="A1905" s="8"/>
      <c r="B1905" s="8"/>
      <c r="C1905" s="8"/>
      <c r="D1905" s="8"/>
      <c r="E1905" s="5"/>
      <c r="F1905" s="16"/>
      <c r="G1905" s="16"/>
      <c r="H1905" s="5"/>
      <c r="I1905" s="5"/>
      <c r="J1905" s="5"/>
      <c r="K1905" s="5"/>
      <c r="L1905" s="5"/>
      <c r="M1905" s="48"/>
      <c r="N1905" s="18"/>
      <c r="O1905" s="22"/>
      <c r="P1905" s="22"/>
      <c r="Q1905" s="8"/>
      <c r="R1905" s="8"/>
      <c r="S1905" s="8"/>
      <c r="T1905" s="8"/>
      <c r="U1905" s="8"/>
      <c r="V1905" s="8"/>
      <c r="W1905" s="8"/>
      <c r="X1905" s="8"/>
      <c r="Y1905" s="8"/>
      <c r="Z1905" s="8"/>
      <c r="AA1905" s="8"/>
      <c r="AB1905" s="8"/>
      <c r="AC1905" s="8"/>
      <c r="AD1905" s="24"/>
      <c r="AE1905" s="24"/>
      <c r="AF1905" s="8"/>
      <c r="AG1905" s="8"/>
      <c r="AH1905" s="8"/>
      <c r="AI1905" s="8"/>
    </row>
    <row r="1906" spans="1:35" ht="15.75" customHeight="1" x14ac:dyDescent="0.25">
      <c r="A1906" s="8"/>
      <c r="B1906" s="8"/>
      <c r="C1906" s="8"/>
      <c r="D1906" s="8"/>
      <c r="E1906" s="5"/>
      <c r="F1906" s="16"/>
      <c r="G1906" s="16"/>
      <c r="H1906" s="5"/>
      <c r="I1906" s="5"/>
      <c r="J1906" s="5"/>
      <c r="K1906" s="5"/>
      <c r="L1906" s="5"/>
      <c r="M1906" s="48"/>
      <c r="N1906" s="18"/>
      <c r="O1906" s="22"/>
      <c r="P1906" s="22"/>
      <c r="Q1906" s="8"/>
      <c r="R1906" s="8"/>
      <c r="S1906" s="8"/>
      <c r="T1906" s="8"/>
      <c r="U1906" s="8"/>
      <c r="V1906" s="8"/>
      <c r="W1906" s="8"/>
      <c r="X1906" s="8"/>
      <c r="Y1906" s="8"/>
      <c r="Z1906" s="8"/>
      <c r="AA1906" s="8"/>
      <c r="AB1906" s="8"/>
      <c r="AC1906" s="8"/>
      <c r="AD1906" s="24"/>
      <c r="AE1906" s="24"/>
      <c r="AF1906" s="8"/>
      <c r="AG1906" s="8"/>
      <c r="AH1906" s="8"/>
      <c r="AI1906" s="8"/>
    </row>
    <row r="1907" spans="1:35" ht="15.75" customHeight="1" x14ac:dyDescent="0.25">
      <c r="A1907" s="8"/>
      <c r="B1907" s="8"/>
      <c r="C1907" s="8"/>
      <c r="D1907" s="8"/>
      <c r="E1907" s="5"/>
      <c r="F1907" s="16"/>
      <c r="G1907" s="16"/>
      <c r="H1907" s="5"/>
      <c r="I1907" s="5"/>
      <c r="J1907" s="5"/>
      <c r="K1907" s="5"/>
      <c r="L1907" s="5"/>
      <c r="M1907" s="48"/>
      <c r="N1907" s="18"/>
      <c r="O1907" s="22"/>
      <c r="P1907" s="22"/>
      <c r="Q1907" s="8"/>
      <c r="R1907" s="8"/>
      <c r="S1907" s="8"/>
      <c r="T1907" s="8"/>
      <c r="U1907" s="8"/>
      <c r="V1907" s="8"/>
      <c r="W1907" s="8"/>
      <c r="X1907" s="8"/>
      <c r="Y1907" s="8"/>
      <c r="Z1907" s="8"/>
      <c r="AA1907" s="8"/>
      <c r="AB1907" s="8"/>
      <c r="AC1907" s="8"/>
      <c r="AD1907" s="24"/>
      <c r="AE1907" s="24"/>
      <c r="AF1907" s="8"/>
      <c r="AG1907" s="8"/>
      <c r="AH1907" s="8"/>
      <c r="AI1907" s="8"/>
    </row>
    <row r="1908" spans="1:35" ht="15.75" customHeight="1" x14ac:dyDescent="0.25">
      <c r="A1908" s="8"/>
      <c r="B1908" s="8"/>
      <c r="C1908" s="8"/>
      <c r="D1908" s="8"/>
      <c r="E1908" s="5"/>
      <c r="F1908" s="16"/>
      <c r="G1908" s="16"/>
      <c r="H1908" s="5"/>
      <c r="I1908" s="5"/>
      <c r="J1908" s="5"/>
      <c r="K1908" s="5"/>
      <c r="L1908" s="5"/>
      <c r="M1908" s="48"/>
      <c r="N1908" s="18"/>
      <c r="O1908" s="22"/>
      <c r="P1908" s="22"/>
      <c r="Q1908" s="8"/>
      <c r="R1908" s="8"/>
      <c r="S1908" s="8"/>
      <c r="T1908" s="8"/>
      <c r="U1908" s="8"/>
      <c r="V1908" s="8"/>
      <c r="W1908" s="8"/>
      <c r="X1908" s="8"/>
      <c r="Y1908" s="8"/>
      <c r="Z1908" s="8"/>
      <c r="AA1908" s="8"/>
      <c r="AB1908" s="8"/>
      <c r="AC1908" s="8"/>
      <c r="AD1908" s="24"/>
      <c r="AE1908" s="24"/>
      <c r="AF1908" s="8"/>
      <c r="AG1908" s="8"/>
      <c r="AH1908" s="8"/>
      <c r="AI1908" s="8"/>
    </row>
    <row r="1909" spans="1:35" ht="15.75" customHeight="1" x14ac:dyDescent="0.25">
      <c r="A1909" s="8"/>
      <c r="B1909" s="8"/>
      <c r="C1909" s="8"/>
      <c r="D1909" s="8"/>
      <c r="E1909" s="5"/>
      <c r="F1909" s="16"/>
      <c r="G1909" s="16"/>
      <c r="H1909" s="5"/>
      <c r="I1909" s="5"/>
      <c r="J1909" s="5"/>
      <c r="K1909" s="5"/>
      <c r="L1909" s="5"/>
      <c r="M1909" s="48"/>
      <c r="N1909" s="18"/>
      <c r="O1909" s="22"/>
      <c r="P1909" s="22"/>
      <c r="Q1909" s="8"/>
      <c r="R1909" s="8"/>
      <c r="S1909" s="8"/>
      <c r="T1909" s="8"/>
      <c r="U1909" s="8"/>
      <c r="V1909" s="8"/>
      <c r="W1909" s="8"/>
      <c r="X1909" s="8"/>
      <c r="Y1909" s="8"/>
      <c r="Z1909" s="8"/>
      <c r="AA1909" s="8"/>
      <c r="AB1909" s="8"/>
      <c r="AC1909" s="8"/>
      <c r="AD1909" s="24"/>
      <c r="AE1909" s="24"/>
      <c r="AF1909" s="8"/>
      <c r="AG1909" s="8"/>
      <c r="AH1909" s="8"/>
      <c r="AI1909" s="8"/>
    </row>
    <row r="1910" spans="1:35" ht="15.75" customHeight="1" x14ac:dyDescent="0.25">
      <c r="A1910" s="8"/>
      <c r="B1910" s="8"/>
      <c r="C1910" s="8"/>
      <c r="D1910" s="8"/>
      <c r="E1910" s="5"/>
      <c r="F1910" s="16"/>
      <c r="G1910" s="16"/>
      <c r="H1910" s="5"/>
      <c r="I1910" s="5"/>
      <c r="J1910" s="5"/>
      <c r="K1910" s="5"/>
      <c r="L1910" s="5"/>
      <c r="M1910" s="48"/>
      <c r="N1910" s="18"/>
      <c r="O1910" s="22"/>
      <c r="P1910" s="22"/>
      <c r="Q1910" s="8"/>
      <c r="R1910" s="8"/>
      <c r="S1910" s="8"/>
      <c r="T1910" s="8"/>
      <c r="U1910" s="8"/>
      <c r="V1910" s="8"/>
      <c r="W1910" s="8"/>
      <c r="X1910" s="8"/>
      <c r="Y1910" s="8"/>
      <c r="Z1910" s="8"/>
      <c r="AA1910" s="8"/>
      <c r="AB1910" s="8"/>
      <c r="AC1910" s="8"/>
      <c r="AD1910" s="24"/>
      <c r="AE1910" s="24"/>
      <c r="AF1910" s="8"/>
      <c r="AG1910" s="8"/>
      <c r="AH1910" s="8"/>
      <c r="AI1910" s="8"/>
    </row>
    <row r="1911" spans="1:35" ht="15.75" customHeight="1" x14ac:dyDescent="0.25">
      <c r="A1911" s="8"/>
      <c r="B1911" s="8"/>
      <c r="C1911" s="8"/>
      <c r="D1911" s="8"/>
      <c r="E1911" s="5"/>
      <c r="F1911" s="16"/>
      <c r="G1911" s="16"/>
      <c r="H1911" s="5"/>
      <c r="I1911" s="5"/>
      <c r="J1911" s="5"/>
      <c r="K1911" s="5"/>
      <c r="L1911" s="5"/>
      <c r="M1911" s="48"/>
      <c r="N1911" s="18"/>
      <c r="O1911" s="22"/>
      <c r="P1911" s="22"/>
      <c r="Q1911" s="8"/>
      <c r="R1911" s="8"/>
      <c r="S1911" s="8"/>
      <c r="T1911" s="8"/>
      <c r="U1911" s="8"/>
      <c r="V1911" s="8"/>
      <c r="W1911" s="8"/>
      <c r="X1911" s="8"/>
      <c r="Y1911" s="8"/>
      <c r="Z1911" s="8"/>
      <c r="AA1911" s="8"/>
      <c r="AB1911" s="8"/>
      <c r="AC1911" s="8"/>
      <c r="AD1911" s="24"/>
      <c r="AE1911" s="24"/>
      <c r="AF1911" s="8"/>
      <c r="AG1911" s="8"/>
      <c r="AH1911" s="8"/>
      <c r="AI1911" s="8"/>
    </row>
    <row r="1912" spans="1:35" ht="15.75" customHeight="1" x14ac:dyDescent="0.25">
      <c r="A1912" s="8"/>
      <c r="B1912" s="8"/>
      <c r="C1912" s="8"/>
      <c r="D1912" s="8"/>
      <c r="E1912" s="5"/>
      <c r="F1912" s="16"/>
      <c r="G1912" s="16"/>
      <c r="H1912" s="5"/>
      <c r="I1912" s="5"/>
      <c r="J1912" s="5"/>
      <c r="K1912" s="5"/>
      <c r="L1912" s="5"/>
      <c r="M1912" s="48"/>
      <c r="N1912" s="18"/>
      <c r="O1912" s="22"/>
      <c r="P1912" s="22"/>
      <c r="Q1912" s="8"/>
      <c r="R1912" s="8"/>
      <c r="S1912" s="8"/>
      <c r="T1912" s="8"/>
      <c r="U1912" s="8"/>
      <c r="V1912" s="8"/>
      <c r="W1912" s="8"/>
      <c r="X1912" s="8"/>
      <c r="Y1912" s="8"/>
      <c r="Z1912" s="8"/>
      <c r="AA1912" s="8"/>
      <c r="AB1912" s="8"/>
      <c r="AC1912" s="8"/>
      <c r="AD1912" s="24"/>
      <c r="AE1912" s="24"/>
      <c r="AF1912" s="8"/>
      <c r="AG1912" s="8"/>
      <c r="AH1912" s="8"/>
      <c r="AI1912" s="8"/>
    </row>
    <row r="1913" spans="1:35" ht="15.75" customHeight="1" x14ac:dyDescent="0.25">
      <c r="A1913" s="8"/>
      <c r="B1913" s="8"/>
      <c r="C1913" s="8"/>
      <c r="D1913" s="8"/>
      <c r="E1913" s="5"/>
      <c r="F1913" s="16"/>
      <c r="G1913" s="16"/>
      <c r="H1913" s="5"/>
      <c r="I1913" s="5"/>
      <c r="J1913" s="5"/>
      <c r="K1913" s="5"/>
      <c r="L1913" s="5"/>
      <c r="M1913" s="48"/>
      <c r="N1913" s="18"/>
      <c r="O1913" s="22"/>
      <c r="P1913" s="22"/>
      <c r="Q1913" s="8"/>
      <c r="R1913" s="8"/>
      <c r="S1913" s="8"/>
      <c r="T1913" s="8"/>
      <c r="U1913" s="8"/>
      <c r="V1913" s="8"/>
      <c r="W1913" s="8"/>
      <c r="X1913" s="8"/>
      <c r="Y1913" s="8"/>
      <c r="Z1913" s="8"/>
      <c r="AA1913" s="8"/>
      <c r="AB1913" s="8"/>
      <c r="AC1913" s="8"/>
      <c r="AD1913" s="24"/>
      <c r="AE1913" s="24"/>
      <c r="AF1913" s="8"/>
      <c r="AG1913" s="8"/>
      <c r="AH1913" s="8"/>
      <c r="AI1913" s="8"/>
    </row>
    <row r="1914" spans="1:35" ht="15.75" customHeight="1" x14ac:dyDescent="0.25">
      <c r="A1914" s="8"/>
      <c r="B1914" s="8"/>
      <c r="C1914" s="8"/>
      <c r="D1914" s="8"/>
      <c r="E1914" s="5"/>
      <c r="F1914" s="16"/>
      <c r="G1914" s="16"/>
      <c r="H1914" s="5"/>
      <c r="I1914" s="5"/>
      <c r="J1914" s="5"/>
      <c r="K1914" s="5"/>
      <c r="L1914" s="5"/>
      <c r="M1914" s="48"/>
      <c r="N1914" s="18"/>
      <c r="O1914" s="22"/>
      <c r="P1914" s="22"/>
      <c r="Q1914" s="8"/>
      <c r="R1914" s="8"/>
      <c r="S1914" s="8"/>
      <c r="T1914" s="8"/>
      <c r="U1914" s="8"/>
      <c r="V1914" s="8"/>
      <c r="W1914" s="8"/>
      <c r="X1914" s="8"/>
      <c r="Y1914" s="8"/>
      <c r="Z1914" s="8"/>
      <c r="AA1914" s="8"/>
      <c r="AB1914" s="8"/>
      <c r="AC1914" s="8"/>
      <c r="AD1914" s="24"/>
      <c r="AE1914" s="24"/>
      <c r="AF1914" s="8"/>
      <c r="AG1914" s="8"/>
      <c r="AH1914" s="8"/>
      <c r="AI1914" s="8"/>
    </row>
    <row r="1915" spans="1:35" ht="15.75" customHeight="1" x14ac:dyDescent="0.25">
      <c r="A1915" s="8"/>
      <c r="B1915" s="8"/>
      <c r="C1915" s="8"/>
      <c r="D1915" s="8"/>
      <c r="E1915" s="5"/>
      <c r="F1915" s="16"/>
      <c r="G1915" s="16"/>
      <c r="H1915" s="5"/>
      <c r="I1915" s="5"/>
      <c r="J1915" s="5"/>
      <c r="K1915" s="5"/>
      <c r="L1915" s="5"/>
      <c r="M1915" s="48"/>
      <c r="N1915" s="18"/>
      <c r="O1915" s="22"/>
      <c r="P1915" s="22"/>
      <c r="Q1915" s="8"/>
      <c r="R1915" s="8"/>
      <c r="S1915" s="8"/>
      <c r="T1915" s="8"/>
      <c r="U1915" s="8"/>
      <c r="V1915" s="8"/>
      <c r="W1915" s="8"/>
      <c r="X1915" s="8"/>
      <c r="Y1915" s="8"/>
      <c r="Z1915" s="8"/>
      <c r="AA1915" s="8"/>
      <c r="AB1915" s="8"/>
      <c r="AC1915" s="8"/>
      <c r="AD1915" s="24"/>
      <c r="AE1915" s="24"/>
      <c r="AF1915" s="8"/>
      <c r="AG1915" s="8"/>
      <c r="AH1915" s="8"/>
      <c r="AI1915" s="8"/>
    </row>
    <row r="1916" spans="1:35" ht="15.75" customHeight="1" x14ac:dyDescent="0.25">
      <c r="A1916" s="8"/>
      <c r="B1916" s="8"/>
      <c r="C1916" s="8"/>
      <c r="D1916" s="8"/>
      <c r="E1916" s="5"/>
      <c r="F1916" s="16"/>
      <c r="G1916" s="16"/>
      <c r="H1916" s="5"/>
      <c r="I1916" s="5"/>
      <c r="J1916" s="5"/>
      <c r="K1916" s="5"/>
      <c r="L1916" s="5"/>
      <c r="M1916" s="48"/>
      <c r="N1916" s="18"/>
      <c r="O1916" s="22"/>
      <c r="P1916" s="22"/>
      <c r="Q1916" s="8"/>
      <c r="R1916" s="8"/>
      <c r="S1916" s="8"/>
      <c r="T1916" s="8"/>
      <c r="U1916" s="8"/>
      <c r="V1916" s="8"/>
      <c r="W1916" s="8"/>
      <c r="X1916" s="8"/>
      <c r="Y1916" s="8"/>
      <c r="Z1916" s="8"/>
      <c r="AA1916" s="8"/>
      <c r="AB1916" s="8"/>
      <c r="AC1916" s="8"/>
      <c r="AD1916" s="24"/>
      <c r="AE1916" s="24"/>
      <c r="AF1916" s="8"/>
      <c r="AG1916" s="8"/>
      <c r="AH1916" s="8"/>
      <c r="AI1916" s="8"/>
    </row>
    <row r="1917" spans="1:35" ht="15.75" customHeight="1" x14ac:dyDescent="0.25">
      <c r="A1917" s="8"/>
      <c r="B1917" s="8"/>
      <c r="C1917" s="8"/>
      <c r="D1917" s="8"/>
      <c r="E1917" s="5"/>
      <c r="F1917" s="16"/>
      <c r="G1917" s="16"/>
      <c r="H1917" s="5"/>
      <c r="I1917" s="5"/>
      <c r="J1917" s="5"/>
      <c r="K1917" s="5"/>
      <c r="L1917" s="5"/>
      <c r="M1917" s="48"/>
      <c r="N1917" s="18"/>
      <c r="O1917" s="22"/>
      <c r="P1917" s="22"/>
      <c r="Q1917" s="8"/>
      <c r="R1917" s="8"/>
      <c r="S1917" s="8"/>
      <c r="T1917" s="8"/>
      <c r="U1917" s="8"/>
      <c r="V1917" s="8"/>
      <c r="W1917" s="8"/>
      <c r="X1917" s="8"/>
      <c r="Y1917" s="8"/>
      <c r="Z1917" s="8"/>
      <c r="AA1917" s="8"/>
      <c r="AB1917" s="8"/>
      <c r="AC1917" s="8"/>
      <c r="AD1917" s="24"/>
      <c r="AE1917" s="24"/>
      <c r="AF1917" s="8"/>
      <c r="AG1917" s="8"/>
      <c r="AH1917" s="8"/>
      <c r="AI1917" s="8"/>
    </row>
    <row r="1918" spans="1:35" ht="15.75" customHeight="1" x14ac:dyDescent="0.25">
      <c r="A1918" s="8"/>
      <c r="B1918" s="8"/>
      <c r="C1918" s="8"/>
      <c r="D1918" s="8"/>
      <c r="E1918" s="5"/>
      <c r="F1918" s="16"/>
      <c r="G1918" s="16"/>
      <c r="H1918" s="5"/>
      <c r="I1918" s="5"/>
      <c r="J1918" s="5"/>
      <c r="K1918" s="5"/>
      <c r="L1918" s="5"/>
      <c r="M1918" s="48"/>
      <c r="N1918" s="18"/>
      <c r="O1918" s="22"/>
      <c r="P1918" s="22"/>
      <c r="Q1918" s="8"/>
      <c r="R1918" s="8"/>
      <c r="S1918" s="8"/>
      <c r="T1918" s="8"/>
      <c r="U1918" s="8"/>
      <c r="V1918" s="8"/>
      <c r="W1918" s="8"/>
      <c r="X1918" s="8"/>
      <c r="Y1918" s="8"/>
      <c r="Z1918" s="8"/>
      <c r="AA1918" s="8"/>
      <c r="AB1918" s="8"/>
      <c r="AC1918" s="8"/>
      <c r="AD1918" s="24"/>
      <c r="AE1918" s="24"/>
      <c r="AF1918" s="8"/>
      <c r="AG1918" s="8"/>
      <c r="AH1918" s="8"/>
      <c r="AI1918" s="8"/>
    </row>
    <row r="1919" spans="1:35" ht="15.75" customHeight="1" x14ac:dyDescent="0.25">
      <c r="A1919" s="8"/>
      <c r="B1919" s="8"/>
      <c r="C1919" s="8"/>
      <c r="D1919" s="8"/>
      <c r="E1919" s="5"/>
      <c r="F1919" s="16"/>
      <c r="G1919" s="16"/>
      <c r="H1919" s="5"/>
      <c r="I1919" s="5"/>
      <c r="J1919" s="5"/>
      <c r="K1919" s="5"/>
      <c r="L1919" s="5"/>
      <c r="M1919" s="48"/>
      <c r="N1919" s="18"/>
      <c r="O1919" s="22"/>
      <c r="P1919" s="22"/>
      <c r="Q1919" s="8"/>
      <c r="R1919" s="8"/>
      <c r="S1919" s="8"/>
      <c r="T1919" s="8"/>
      <c r="U1919" s="8"/>
      <c r="V1919" s="8"/>
      <c r="W1919" s="8"/>
      <c r="X1919" s="8"/>
      <c r="Y1919" s="8"/>
      <c r="Z1919" s="8"/>
      <c r="AA1919" s="8"/>
      <c r="AB1919" s="8"/>
      <c r="AC1919" s="8"/>
      <c r="AD1919" s="24"/>
      <c r="AE1919" s="24"/>
      <c r="AF1919" s="8"/>
      <c r="AG1919" s="8"/>
      <c r="AH1919" s="8"/>
      <c r="AI1919" s="8"/>
    </row>
    <row r="1920" spans="1:35" ht="15.75" customHeight="1" x14ac:dyDescent="0.25">
      <c r="A1920" s="8"/>
      <c r="B1920" s="8"/>
      <c r="C1920" s="8"/>
      <c r="D1920" s="8"/>
      <c r="E1920" s="5"/>
      <c r="F1920" s="16"/>
      <c r="G1920" s="16"/>
      <c r="H1920" s="5"/>
      <c r="I1920" s="5"/>
      <c r="J1920" s="5"/>
      <c r="K1920" s="5"/>
      <c r="L1920" s="5"/>
      <c r="M1920" s="48"/>
      <c r="N1920" s="18"/>
      <c r="O1920" s="22"/>
      <c r="P1920" s="22"/>
      <c r="Q1920" s="8"/>
      <c r="R1920" s="8"/>
      <c r="S1920" s="8"/>
      <c r="T1920" s="8"/>
      <c r="U1920" s="8"/>
      <c r="V1920" s="8"/>
      <c r="W1920" s="8"/>
      <c r="X1920" s="8"/>
      <c r="Y1920" s="8"/>
      <c r="Z1920" s="8"/>
      <c r="AA1920" s="8"/>
      <c r="AB1920" s="8"/>
      <c r="AC1920" s="8"/>
      <c r="AD1920" s="24"/>
      <c r="AE1920" s="24"/>
      <c r="AF1920" s="8"/>
      <c r="AG1920" s="8"/>
      <c r="AH1920" s="8"/>
      <c r="AI1920" s="8"/>
    </row>
    <row r="1921" spans="1:35" ht="15.75" customHeight="1" x14ac:dyDescent="0.25">
      <c r="A1921" s="8"/>
      <c r="B1921" s="8"/>
      <c r="C1921" s="8"/>
      <c r="D1921" s="8"/>
      <c r="E1921" s="5"/>
      <c r="F1921" s="16"/>
      <c r="G1921" s="16"/>
      <c r="H1921" s="5"/>
      <c r="I1921" s="5"/>
      <c r="J1921" s="5"/>
      <c r="K1921" s="5"/>
      <c r="L1921" s="5"/>
      <c r="M1921" s="48"/>
      <c r="N1921" s="18"/>
      <c r="O1921" s="22"/>
      <c r="P1921" s="22"/>
      <c r="Q1921" s="8"/>
      <c r="R1921" s="8"/>
      <c r="S1921" s="8"/>
      <c r="T1921" s="8"/>
      <c r="U1921" s="8"/>
      <c r="V1921" s="8"/>
      <c r="W1921" s="8"/>
      <c r="X1921" s="8"/>
      <c r="Y1921" s="8"/>
      <c r="Z1921" s="8"/>
      <c r="AA1921" s="8"/>
      <c r="AB1921" s="8"/>
      <c r="AC1921" s="8"/>
      <c r="AD1921" s="24"/>
      <c r="AE1921" s="24"/>
      <c r="AF1921" s="8"/>
      <c r="AG1921" s="8"/>
      <c r="AH1921" s="8"/>
      <c r="AI1921" s="8"/>
    </row>
    <row r="1922" spans="1:35" ht="15.75" customHeight="1" x14ac:dyDescent="0.25">
      <c r="A1922" s="8"/>
      <c r="B1922" s="8"/>
      <c r="C1922" s="8"/>
      <c r="D1922" s="8"/>
      <c r="E1922" s="5"/>
      <c r="F1922" s="16"/>
      <c r="G1922" s="16"/>
      <c r="H1922" s="5"/>
      <c r="I1922" s="5"/>
      <c r="J1922" s="5"/>
      <c r="K1922" s="5"/>
      <c r="L1922" s="5"/>
      <c r="M1922" s="48"/>
      <c r="N1922" s="18"/>
      <c r="O1922" s="22"/>
      <c r="P1922" s="22"/>
      <c r="Q1922" s="8"/>
      <c r="R1922" s="8"/>
      <c r="S1922" s="8"/>
      <c r="T1922" s="8"/>
      <c r="U1922" s="8"/>
      <c r="V1922" s="8"/>
      <c r="W1922" s="8"/>
      <c r="X1922" s="8"/>
      <c r="Y1922" s="8"/>
      <c r="Z1922" s="8"/>
      <c r="AA1922" s="8"/>
      <c r="AB1922" s="8"/>
      <c r="AC1922" s="8"/>
      <c r="AD1922" s="24"/>
      <c r="AE1922" s="24"/>
      <c r="AF1922" s="8"/>
      <c r="AG1922" s="8"/>
      <c r="AH1922" s="8"/>
      <c r="AI1922" s="8"/>
    </row>
    <row r="1923" spans="1:35" ht="15.75" customHeight="1" x14ac:dyDescent="0.25">
      <c r="A1923" s="8"/>
      <c r="B1923" s="8"/>
      <c r="C1923" s="8"/>
      <c r="D1923" s="8"/>
      <c r="E1923" s="5"/>
      <c r="F1923" s="16"/>
      <c r="G1923" s="16"/>
      <c r="H1923" s="5"/>
      <c r="I1923" s="741"/>
      <c r="J1923" s="742"/>
      <c r="K1923" s="5"/>
      <c r="L1923" s="5"/>
      <c r="M1923" s="48"/>
      <c r="N1923" s="18"/>
      <c r="O1923" s="22"/>
      <c r="P1923" s="22"/>
      <c r="Q1923" s="8"/>
      <c r="R1923" s="8"/>
      <c r="S1923" s="8"/>
      <c r="T1923" s="8"/>
      <c r="U1923" s="8"/>
      <c r="V1923" s="8"/>
      <c r="W1923" s="8"/>
      <c r="X1923" s="8"/>
      <c r="Y1923" s="8"/>
      <c r="Z1923" s="8"/>
      <c r="AA1923" s="8"/>
      <c r="AB1923" s="8"/>
      <c r="AC1923" s="8"/>
      <c r="AD1923" s="24"/>
      <c r="AE1923" s="24"/>
      <c r="AF1923" s="8"/>
      <c r="AG1923" s="8"/>
      <c r="AH1923" s="8"/>
      <c r="AI1923" s="8"/>
    </row>
    <row r="1924" spans="1:35" ht="15.75" customHeight="1" x14ac:dyDescent="0.25">
      <c r="A1924" s="8"/>
      <c r="B1924" s="8"/>
      <c r="C1924" s="8"/>
      <c r="D1924" s="8"/>
      <c r="E1924" s="5"/>
      <c r="F1924" s="16"/>
      <c r="G1924" s="16"/>
      <c r="H1924" s="5"/>
      <c r="I1924" s="741"/>
      <c r="J1924" s="742"/>
      <c r="K1924" s="5"/>
      <c r="L1924" s="5"/>
      <c r="M1924" s="48"/>
      <c r="N1924" s="18"/>
      <c r="O1924" s="22"/>
      <c r="P1924" s="22"/>
      <c r="Q1924" s="8"/>
      <c r="R1924" s="8"/>
      <c r="S1924" s="8"/>
      <c r="T1924" s="8"/>
      <c r="U1924" s="8"/>
      <c r="V1924" s="8"/>
      <c r="W1924" s="8"/>
      <c r="X1924" s="8"/>
      <c r="Y1924" s="8"/>
      <c r="Z1924" s="8"/>
      <c r="AA1924" s="8"/>
      <c r="AB1924" s="8"/>
      <c r="AC1924" s="8"/>
      <c r="AD1924" s="24"/>
      <c r="AE1924" s="24"/>
      <c r="AF1924" s="8"/>
      <c r="AG1924" s="8"/>
      <c r="AH1924" s="8"/>
      <c r="AI1924" s="8"/>
    </row>
    <row r="1925" spans="1:35" ht="15.75" customHeight="1" x14ac:dyDescent="0.25">
      <c r="A1925" s="8"/>
      <c r="B1925" s="8"/>
      <c r="C1925" s="8"/>
      <c r="D1925" s="8"/>
      <c r="E1925" s="5"/>
      <c r="F1925" s="16"/>
      <c r="G1925" s="16"/>
      <c r="H1925" s="5"/>
      <c r="I1925" s="741"/>
      <c r="J1925" s="742"/>
      <c r="K1925" s="5"/>
      <c r="L1925" s="5"/>
      <c r="M1925" s="48"/>
      <c r="N1925" s="18"/>
      <c r="O1925" s="22"/>
      <c r="P1925" s="22"/>
      <c r="Q1925" s="8"/>
      <c r="R1925" s="8"/>
      <c r="S1925" s="8"/>
      <c r="T1925" s="8"/>
      <c r="U1925" s="8"/>
      <c r="V1925" s="8"/>
      <c r="W1925" s="8"/>
      <c r="X1925" s="8"/>
      <c r="Y1925" s="8"/>
      <c r="Z1925" s="8"/>
      <c r="AA1925" s="8"/>
      <c r="AB1925" s="8"/>
      <c r="AC1925" s="8"/>
      <c r="AD1925" s="24"/>
      <c r="AE1925" s="24"/>
      <c r="AF1925" s="8"/>
      <c r="AG1925" s="8"/>
      <c r="AH1925" s="8"/>
      <c r="AI1925" s="8"/>
    </row>
    <row r="1926" spans="1:35" ht="15.75" customHeight="1" x14ac:dyDescent="0.25">
      <c r="A1926" s="8"/>
      <c r="B1926" s="8"/>
      <c r="C1926" s="8"/>
      <c r="D1926" s="8"/>
      <c r="E1926" s="5"/>
      <c r="F1926" s="16"/>
      <c r="G1926" s="16"/>
      <c r="H1926" s="5"/>
      <c r="I1926" s="741"/>
      <c r="J1926" s="742"/>
      <c r="K1926" s="5"/>
      <c r="L1926" s="5"/>
      <c r="M1926" s="48"/>
      <c r="N1926" s="18"/>
      <c r="O1926" s="22"/>
      <c r="P1926" s="22"/>
      <c r="Q1926" s="8"/>
      <c r="R1926" s="8"/>
      <c r="S1926" s="8"/>
      <c r="T1926" s="8"/>
      <c r="U1926" s="8"/>
      <c r="V1926" s="8"/>
      <c r="W1926" s="8"/>
      <c r="X1926" s="8"/>
      <c r="Y1926" s="8"/>
      <c r="Z1926" s="8"/>
      <c r="AA1926" s="8"/>
      <c r="AB1926" s="8"/>
      <c r="AC1926" s="8"/>
      <c r="AD1926" s="24"/>
      <c r="AE1926" s="24"/>
      <c r="AF1926" s="8"/>
      <c r="AG1926" s="8"/>
      <c r="AH1926" s="8"/>
      <c r="AI1926" s="8"/>
    </row>
    <row r="1927" spans="1:35" ht="15.75" customHeight="1" x14ac:dyDescent="0.25">
      <c r="A1927" s="8"/>
      <c r="B1927" s="8"/>
      <c r="C1927" s="8"/>
      <c r="D1927" s="8"/>
      <c r="E1927" s="5"/>
      <c r="F1927" s="16"/>
      <c r="G1927" s="16"/>
      <c r="H1927" s="5"/>
      <c r="I1927" s="5"/>
      <c r="J1927" s="5"/>
      <c r="K1927" s="5"/>
      <c r="L1927" s="5"/>
      <c r="M1927" s="48"/>
      <c r="N1927" s="18"/>
      <c r="O1927" s="22"/>
      <c r="P1927" s="22"/>
      <c r="Q1927" s="8"/>
      <c r="R1927" s="8"/>
      <c r="S1927" s="8"/>
      <c r="T1927" s="8"/>
      <c r="U1927" s="8"/>
      <c r="V1927" s="8"/>
      <c r="W1927" s="8"/>
      <c r="X1927" s="8"/>
      <c r="Y1927" s="8"/>
      <c r="Z1927" s="8"/>
      <c r="AA1927" s="8"/>
      <c r="AB1927" s="8"/>
      <c r="AC1927" s="8"/>
      <c r="AD1927" s="24"/>
      <c r="AE1927" s="24"/>
      <c r="AF1927" s="8"/>
      <c r="AG1927" s="8"/>
      <c r="AH1927" s="8"/>
      <c r="AI1927" s="8"/>
    </row>
    <row r="1928" spans="1:35" ht="15.75" customHeight="1" x14ac:dyDescent="0.25">
      <c r="A1928" s="8"/>
      <c r="B1928" s="8"/>
      <c r="C1928" s="8"/>
      <c r="D1928" s="8"/>
      <c r="E1928" s="5"/>
      <c r="F1928" s="16"/>
      <c r="G1928" s="16"/>
      <c r="H1928" s="5"/>
      <c r="I1928" s="5"/>
      <c r="J1928" s="5"/>
      <c r="K1928" s="5"/>
      <c r="L1928" s="5"/>
      <c r="M1928" s="48"/>
      <c r="N1928" s="18"/>
      <c r="O1928" s="22"/>
      <c r="P1928" s="22"/>
      <c r="Q1928" s="8"/>
      <c r="R1928" s="8"/>
      <c r="S1928" s="8"/>
      <c r="T1928" s="8"/>
      <c r="U1928" s="8"/>
      <c r="V1928" s="8"/>
      <c r="W1928" s="8"/>
      <c r="X1928" s="8"/>
      <c r="Y1928" s="8"/>
      <c r="Z1928" s="8"/>
      <c r="AA1928" s="8"/>
      <c r="AB1928" s="8"/>
      <c r="AC1928" s="8"/>
      <c r="AD1928" s="24"/>
      <c r="AE1928" s="24"/>
      <c r="AF1928" s="8"/>
      <c r="AG1928" s="8"/>
      <c r="AH1928" s="8"/>
      <c r="AI1928" s="8"/>
    </row>
    <row r="1929" spans="1:35" ht="15.75" customHeight="1" x14ac:dyDescent="0.25">
      <c r="A1929" s="8"/>
      <c r="B1929" s="8"/>
      <c r="C1929" s="8"/>
      <c r="D1929" s="8"/>
      <c r="E1929" s="5"/>
      <c r="F1929" s="16"/>
      <c r="G1929" s="16"/>
      <c r="H1929" s="5"/>
      <c r="I1929" s="5"/>
      <c r="J1929" s="5"/>
      <c r="K1929" s="5"/>
      <c r="L1929" s="5"/>
      <c r="M1929" s="48"/>
      <c r="N1929" s="18"/>
      <c r="O1929" s="22"/>
      <c r="P1929" s="22"/>
      <c r="Q1929" s="8"/>
      <c r="R1929" s="8"/>
      <c r="S1929" s="8"/>
      <c r="T1929" s="8"/>
      <c r="U1929" s="8"/>
      <c r="V1929" s="8"/>
      <c r="W1929" s="8"/>
      <c r="X1929" s="8"/>
      <c r="Y1929" s="8"/>
      <c r="Z1929" s="8"/>
      <c r="AA1929" s="8"/>
      <c r="AB1929" s="8"/>
      <c r="AC1929" s="8"/>
      <c r="AD1929" s="24"/>
      <c r="AE1929" s="24"/>
      <c r="AF1929" s="8"/>
      <c r="AG1929" s="8"/>
      <c r="AH1929" s="8"/>
      <c r="AI1929" s="8"/>
    </row>
    <row r="1930" spans="1:35" ht="15.75" customHeight="1" x14ac:dyDescent="0.25">
      <c r="A1930" s="8"/>
      <c r="B1930" s="8"/>
      <c r="C1930" s="8"/>
      <c r="D1930" s="8"/>
      <c r="E1930" s="5"/>
      <c r="F1930" s="16"/>
      <c r="G1930" s="16"/>
      <c r="H1930" s="5"/>
      <c r="I1930" s="741"/>
      <c r="J1930" s="742"/>
      <c r="K1930" s="5"/>
      <c r="L1930" s="5"/>
      <c r="M1930" s="48"/>
      <c r="N1930" s="18"/>
      <c r="O1930" s="22"/>
      <c r="P1930" s="22"/>
      <c r="Q1930" s="8"/>
      <c r="R1930" s="8"/>
      <c r="S1930" s="8"/>
      <c r="T1930" s="8"/>
      <c r="U1930" s="8"/>
      <c r="V1930" s="8"/>
      <c r="W1930" s="8"/>
      <c r="X1930" s="8"/>
      <c r="Y1930" s="8"/>
      <c r="Z1930" s="8"/>
      <c r="AA1930" s="8"/>
      <c r="AB1930" s="8"/>
      <c r="AC1930" s="8"/>
      <c r="AD1930" s="24"/>
      <c r="AE1930" s="24"/>
      <c r="AF1930" s="8"/>
      <c r="AG1930" s="8"/>
      <c r="AH1930" s="8"/>
      <c r="AI1930" s="8"/>
    </row>
    <row r="1931" spans="1:35" ht="15.75" customHeight="1" x14ac:dyDescent="0.25">
      <c r="A1931" s="8"/>
      <c r="B1931" s="8"/>
      <c r="C1931" s="8"/>
      <c r="D1931" s="8"/>
      <c r="E1931" s="5"/>
      <c r="F1931" s="16"/>
      <c r="G1931" s="16"/>
      <c r="H1931" s="5"/>
      <c r="I1931" s="5"/>
      <c r="J1931" s="5"/>
      <c r="K1931" s="5"/>
      <c r="L1931" s="5"/>
      <c r="M1931" s="48"/>
      <c r="N1931" s="18"/>
      <c r="O1931" s="22"/>
      <c r="P1931" s="22"/>
      <c r="Q1931" s="8"/>
      <c r="R1931" s="8"/>
      <c r="S1931" s="8"/>
      <c r="T1931" s="8"/>
      <c r="U1931" s="8"/>
      <c r="V1931" s="8"/>
      <c r="W1931" s="8"/>
      <c r="X1931" s="8"/>
      <c r="Y1931" s="8"/>
      <c r="Z1931" s="8"/>
      <c r="AA1931" s="8"/>
      <c r="AB1931" s="8"/>
      <c r="AC1931" s="8"/>
      <c r="AD1931" s="24"/>
      <c r="AE1931" s="24"/>
      <c r="AF1931" s="8"/>
      <c r="AG1931" s="8"/>
      <c r="AH1931" s="8"/>
      <c r="AI1931" s="8"/>
    </row>
    <row r="1932" spans="1:35" ht="15.75" customHeight="1" x14ac:dyDescent="0.25">
      <c r="A1932" s="8"/>
      <c r="B1932" s="8"/>
      <c r="C1932" s="8"/>
      <c r="D1932" s="8"/>
      <c r="E1932" s="5"/>
      <c r="F1932" s="16"/>
      <c r="G1932" s="16"/>
      <c r="H1932" s="5"/>
      <c r="I1932" s="5"/>
      <c r="J1932" s="5"/>
      <c r="K1932" s="5"/>
      <c r="L1932" s="5"/>
      <c r="M1932" s="48"/>
      <c r="N1932" s="18"/>
      <c r="O1932" s="22"/>
      <c r="P1932" s="22"/>
      <c r="Q1932" s="8"/>
      <c r="R1932" s="8"/>
      <c r="S1932" s="8"/>
      <c r="T1932" s="8"/>
      <c r="U1932" s="8"/>
      <c r="V1932" s="8"/>
      <c r="W1932" s="8"/>
      <c r="X1932" s="8"/>
      <c r="Y1932" s="8"/>
      <c r="Z1932" s="8"/>
      <c r="AA1932" s="8"/>
      <c r="AB1932" s="8"/>
      <c r="AC1932" s="8"/>
      <c r="AD1932" s="24"/>
      <c r="AE1932" s="24"/>
      <c r="AF1932" s="8"/>
      <c r="AG1932" s="8"/>
      <c r="AH1932" s="8"/>
      <c r="AI1932" s="8"/>
    </row>
    <row r="1933" spans="1:35" ht="15.75" customHeight="1" x14ac:dyDescent="0.25">
      <c r="A1933" s="8"/>
      <c r="B1933" s="8"/>
      <c r="C1933" s="8"/>
      <c r="D1933" s="8"/>
      <c r="E1933" s="5"/>
      <c r="F1933" s="16"/>
      <c r="G1933" s="16"/>
      <c r="H1933" s="5"/>
      <c r="I1933" s="5"/>
      <c r="J1933" s="5"/>
      <c r="K1933" s="5"/>
      <c r="L1933" s="5"/>
      <c r="M1933" s="48"/>
      <c r="N1933" s="18"/>
      <c r="O1933" s="22"/>
      <c r="P1933" s="22"/>
      <c r="Q1933" s="8"/>
      <c r="R1933" s="8"/>
      <c r="S1933" s="8"/>
      <c r="T1933" s="8"/>
      <c r="U1933" s="8"/>
      <c r="V1933" s="8"/>
      <c r="W1933" s="8"/>
      <c r="X1933" s="8"/>
      <c r="Y1933" s="8"/>
      <c r="Z1933" s="8"/>
      <c r="AA1933" s="8"/>
      <c r="AB1933" s="8"/>
      <c r="AC1933" s="8"/>
      <c r="AD1933" s="24"/>
      <c r="AE1933" s="24"/>
      <c r="AF1933" s="8"/>
      <c r="AG1933" s="8"/>
      <c r="AH1933" s="8"/>
      <c r="AI1933" s="8"/>
    </row>
    <row r="1934" spans="1:35" ht="15.75" customHeight="1" x14ac:dyDescent="0.25">
      <c r="A1934" s="8"/>
      <c r="B1934" s="8"/>
      <c r="C1934" s="8"/>
      <c r="D1934" s="8"/>
      <c r="E1934" s="5"/>
      <c r="F1934" s="16"/>
      <c r="G1934" s="16"/>
      <c r="H1934" s="5"/>
      <c r="I1934" s="5"/>
      <c r="J1934" s="5"/>
      <c r="K1934" s="5"/>
      <c r="L1934" s="5"/>
      <c r="M1934" s="48"/>
      <c r="N1934" s="18"/>
      <c r="O1934" s="22"/>
      <c r="P1934" s="22"/>
      <c r="Q1934" s="8"/>
      <c r="R1934" s="8"/>
      <c r="S1934" s="8"/>
      <c r="T1934" s="8"/>
      <c r="U1934" s="8"/>
      <c r="V1934" s="8"/>
      <c r="W1934" s="8"/>
      <c r="X1934" s="8"/>
      <c r="Y1934" s="8"/>
      <c r="Z1934" s="8"/>
      <c r="AA1934" s="8"/>
      <c r="AB1934" s="8"/>
      <c r="AC1934" s="8"/>
      <c r="AD1934" s="24"/>
      <c r="AE1934" s="24"/>
      <c r="AF1934" s="8"/>
      <c r="AG1934" s="8"/>
      <c r="AH1934" s="8"/>
      <c r="AI1934" s="8"/>
    </row>
    <row r="1935" spans="1:35" ht="15.75" customHeight="1" x14ac:dyDescent="0.25">
      <c r="A1935" s="8"/>
      <c r="B1935" s="8"/>
      <c r="C1935" s="8"/>
      <c r="D1935" s="8"/>
      <c r="E1935" s="5"/>
      <c r="F1935" s="16"/>
      <c r="G1935" s="16"/>
      <c r="H1935" s="5"/>
      <c r="I1935" s="5"/>
      <c r="J1935" s="5"/>
      <c r="K1935" s="5"/>
      <c r="L1935" s="5"/>
      <c r="M1935" s="48"/>
      <c r="N1935" s="18"/>
      <c r="O1935" s="22"/>
      <c r="P1935" s="22"/>
      <c r="Q1935" s="8"/>
      <c r="R1935" s="8"/>
      <c r="S1935" s="8"/>
      <c r="T1935" s="8"/>
      <c r="U1935" s="8"/>
      <c r="V1935" s="8"/>
      <c r="W1935" s="8"/>
      <c r="X1935" s="8"/>
      <c r="Y1935" s="8"/>
      <c r="Z1935" s="8"/>
      <c r="AA1935" s="8"/>
      <c r="AB1935" s="8"/>
      <c r="AC1935" s="8"/>
      <c r="AD1935" s="24"/>
      <c r="AE1935" s="24"/>
      <c r="AF1935" s="8"/>
      <c r="AG1935" s="8"/>
      <c r="AH1935" s="8"/>
      <c r="AI1935" s="8"/>
    </row>
    <row r="1936" spans="1:35" ht="15.75" customHeight="1" x14ac:dyDescent="0.25">
      <c r="A1936" s="8"/>
      <c r="B1936" s="8"/>
      <c r="C1936" s="8"/>
      <c r="D1936" s="8"/>
      <c r="E1936" s="5"/>
      <c r="F1936" s="16"/>
      <c r="G1936" s="16"/>
      <c r="H1936" s="5"/>
      <c r="I1936" s="5"/>
      <c r="J1936" s="5"/>
      <c r="K1936" s="5"/>
      <c r="L1936" s="5"/>
      <c r="M1936" s="48"/>
      <c r="N1936" s="18"/>
      <c r="O1936" s="22"/>
      <c r="P1936" s="22"/>
      <c r="Q1936" s="8"/>
      <c r="R1936" s="8"/>
      <c r="S1936" s="8"/>
      <c r="T1936" s="8"/>
      <c r="U1936" s="8"/>
      <c r="V1936" s="8"/>
      <c r="W1936" s="8"/>
      <c r="X1936" s="8"/>
      <c r="Y1936" s="8"/>
      <c r="Z1936" s="8"/>
      <c r="AA1936" s="8"/>
      <c r="AB1936" s="8"/>
      <c r="AC1936" s="8"/>
      <c r="AD1936" s="24"/>
      <c r="AE1936" s="24"/>
      <c r="AF1936" s="8"/>
      <c r="AG1936" s="8"/>
      <c r="AH1936" s="8"/>
      <c r="AI1936" s="8"/>
    </row>
    <row r="1937" spans="1:35" ht="15.75" customHeight="1" x14ac:dyDescent="0.25">
      <c r="A1937" s="8"/>
      <c r="B1937" s="8"/>
      <c r="C1937" s="8"/>
      <c r="D1937" s="8"/>
      <c r="E1937" s="5"/>
      <c r="F1937" s="16"/>
      <c r="G1937" s="16"/>
      <c r="H1937" s="5"/>
      <c r="I1937" s="5"/>
      <c r="J1937" s="5"/>
      <c r="K1937" s="5"/>
      <c r="L1937" s="5"/>
      <c r="M1937" s="48"/>
      <c r="N1937" s="18"/>
      <c r="O1937" s="22"/>
      <c r="P1937" s="22"/>
      <c r="Q1937" s="8"/>
      <c r="R1937" s="8"/>
      <c r="S1937" s="8"/>
      <c r="T1937" s="8"/>
      <c r="U1937" s="8"/>
      <c r="V1937" s="8"/>
      <c r="W1937" s="8"/>
      <c r="X1937" s="8"/>
      <c r="Y1937" s="8"/>
      <c r="Z1937" s="8"/>
      <c r="AA1937" s="8"/>
      <c r="AB1937" s="8"/>
      <c r="AC1937" s="8"/>
      <c r="AD1937" s="24"/>
      <c r="AE1937" s="24"/>
      <c r="AF1937" s="8"/>
      <c r="AG1937" s="8"/>
      <c r="AH1937" s="8"/>
      <c r="AI1937" s="8"/>
    </row>
    <row r="1938" spans="1:35" ht="15.75" customHeight="1" x14ac:dyDescent="0.25">
      <c r="A1938" s="8"/>
      <c r="B1938" s="8"/>
      <c r="C1938" s="8"/>
      <c r="D1938" s="8"/>
      <c r="E1938" s="5"/>
      <c r="F1938" s="16"/>
      <c r="G1938" s="16"/>
      <c r="H1938" s="5"/>
      <c r="I1938" s="5"/>
      <c r="J1938" s="5"/>
      <c r="K1938" s="5"/>
      <c r="L1938" s="5"/>
      <c r="M1938" s="48"/>
      <c r="N1938" s="18"/>
      <c r="O1938" s="22"/>
      <c r="P1938" s="22"/>
      <c r="Q1938" s="8"/>
      <c r="R1938" s="8"/>
      <c r="S1938" s="8"/>
      <c r="T1938" s="8"/>
      <c r="U1938" s="8"/>
      <c r="V1938" s="8"/>
      <c r="W1938" s="8"/>
      <c r="X1938" s="8"/>
      <c r="Y1938" s="8"/>
      <c r="Z1938" s="8"/>
      <c r="AA1938" s="8"/>
      <c r="AB1938" s="8"/>
      <c r="AC1938" s="8"/>
      <c r="AD1938" s="24"/>
      <c r="AE1938" s="24"/>
      <c r="AF1938" s="8"/>
      <c r="AG1938" s="8"/>
      <c r="AH1938" s="8"/>
      <c r="AI1938" s="8"/>
    </row>
    <row r="1939" spans="1:35" ht="15.75" customHeight="1" x14ac:dyDescent="0.25">
      <c r="A1939" s="8"/>
      <c r="B1939" s="8"/>
      <c r="C1939" s="8"/>
      <c r="D1939" s="8"/>
      <c r="E1939" s="5"/>
      <c r="F1939" s="16"/>
      <c r="G1939" s="16"/>
      <c r="H1939" s="5"/>
      <c r="I1939" s="5"/>
      <c r="J1939" s="5"/>
      <c r="K1939" s="5"/>
      <c r="L1939" s="5"/>
      <c r="M1939" s="48"/>
      <c r="N1939" s="18"/>
      <c r="O1939" s="22"/>
      <c r="P1939" s="22"/>
      <c r="Q1939" s="8"/>
      <c r="R1939" s="8"/>
      <c r="S1939" s="8"/>
      <c r="T1939" s="8"/>
      <c r="U1939" s="8"/>
      <c r="V1939" s="8"/>
      <c r="W1939" s="8"/>
      <c r="X1939" s="8"/>
      <c r="Y1939" s="8"/>
      <c r="Z1939" s="8"/>
      <c r="AA1939" s="8"/>
      <c r="AB1939" s="8"/>
      <c r="AC1939" s="8"/>
      <c r="AD1939" s="24"/>
      <c r="AE1939" s="24"/>
      <c r="AF1939" s="8"/>
      <c r="AG1939" s="8"/>
      <c r="AH1939" s="8"/>
      <c r="AI1939" s="8"/>
    </row>
    <row r="1940" spans="1:35" ht="15.75" customHeight="1" x14ac:dyDescent="0.25">
      <c r="A1940" s="8"/>
      <c r="B1940" s="8"/>
      <c r="C1940" s="8"/>
      <c r="D1940" s="8"/>
      <c r="E1940" s="5"/>
      <c r="F1940" s="16"/>
      <c r="G1940" s="16"/>
      <c r="H1940" s="5"/>
      <c r="I1940" s="5"/>
      <c r="J1940" s="5"/>
      <c r="K1940" s="5"/>
      <c r="L1940" s="5"/>
      <c r="M1940" s="48"/>
      <c r="N1940" s="18"/>
      <c r="O1940" s="22"/>
      <c r="P1940" s="22"/>
      <c r="Q1940" s="8"/>
      <c r="R1940" s="8"/>
      <c r="S1940" s="8"/>
      <c r="T1940" s="8"/>
      <c r="U1940" s="8"/>
      <c r="V1940" s="8"/>
      <c r="W1940" s="8"/>
      <c r="X1940" s="8"/>
      <c r="Y1940" s="8"/>
      <c r="Z1940" s="8"/>
      <c r="AA1940" s="8"/>
      <c r="AB1940" s="8"/>
      <c r="AC1940" s="8"/>
      <c r="AD1940" s="24"/>
      <c r="AE1940" s="24"/>
      <c r="AF1940" s="8"/>
      <c r="AG1940" s="8"/>
      <c r="AH1940" s="8"/>
      <c r="AI1940" s="8"/>
    </row>
    <row r="1941" spans="1:35" ht="15.75" customHeight="1" x14ac:dyDescent="0.25">
      <c r="A1941" s="8"/>
      <c r="B1941" s="8"/>
      <c r="C1941" s="8"/>
      <c r="D1941" s="8"/>
      <c r="E1941" s="5"/>
      <c r="F1941" s="16"/>
      <c r="G1941" s="16"/>
      <c r="H1941" s="5"/>
      <c r="I1941" s="5"/>
      <c r="J1941" s="5"/>
      <c r="K1941" s="5"/>
      <c r="L1941" s="5"/>
      <c r="M1941" s="48"/>
      <c r="N1941" s="18"/>
      <c r="O1941" s="22"/>
      <c r="P1941" s="22"/>
      <c r="Q1941" s="8"/>
      <c r="R1941" s="8"/>
      <c r="S1941" s="8"/>
      <c r="T1941" s="8"/>
      <c r="U1941" s="8"/>
      <c r="V1941" s="8"/>
      <c r="W1941" s="8"/>
      <c r="X1941" s="8"/>
      <c r="Y1941" s="8"/>
      <c r="Z1941" s="8"/>
      <c r="AA1941" s="8"/>
      <c r="AB1941" s="8"/>
      <c r="AC1941" s="8"/>
      <c r="AD1941" s="24"/>
      <c r="AE1941" s="24"/>
      <c r="AF1941" s="8"/>
      <c r="AG1941" s="8"/>
      <c r="AH1941" s="8"/>
      <c r="AI1941" s="8"/>
    </row>
    <row r="1942" spans="1:35" ht="15.75" customHeight="1" x14ac:dyDescent="0.25">
      <c r="A1942" s="8"/>
      <c r="B1942" s="8"/>
      <c r="C1942" s="8"/>
      <c r="D1942" s="8"/>
      <c r="E1942" s="5"/>
      <c r="F1942" s="16"/>
      <c r="G1942" s="16"/>
      <c r="H1942" s="5"/>
      <c r="I1942" s="5"/>
      <c r="J1942" s="5"/>
      <c r="K1942" s="5"/>
      <c r="L1942" s="5"/>
      <c r="M1942" s="48"/>
      <c r="N1942" s="18"/>
      <c r="O1942" s="22"/>
      <c r="P1942" s="22"/>
      <c r="Q1942" s="8"/>
      <c r="R1942" s="8"/>
      <c r="S1942" s="8"/>
      <c r="T1942" s="8"/>
      <c r="U1942" s="8"/>
      <c r="V1942" s="8"/>
      <c r="W1942" s="8"/>
      <c r="X1942" s="8"/>
      <c r="Y1942" s="8"/>
      <c r="Z1942" s="8"/>
      <c r="AA1942" s="8"/>
      <c r="AB1942" s="8"/>
      <c r="AC1942" s="8"/>
      <c r="AD1942" s="24"/>
      <c r="AE1942" s="24"/>
      <c r="AF1942" s="8"/>
      <c r="AG1942" s="8"/>
      <c r="AH1942" s="8"/>
      <c r="AI1942" s="8"/>
    </row>
    <row r="1943" spans="1:35" ht="15.75" customHeight="1" x14ac:dyDescent="0.25">
      <c r="A1943" s="8"/>
      <c r="B1943" s="8"/>
      <c r="C1943" s="8"/>
      <c r="D1943" s="8"/>
      <c r="E1943" s="5"/>
      <c r="F1943" s="16"/>
      <c r="G1943" s="16"/>
      <c r="H1943" s="5"/>
      <c r="I1943" s="5"/>
      <c r="J1943" s="5"/>
      <c r="K1943" s="5"/>
      <c r="L1943" s="5"/>
      <c r="M1943" s="48"/>
      <c r="N1943" s="18"/>
      <c r="O1943" s="22"/>
      <c r="P1943" s="22"/>
      <c r="Q1943" s="8"/>
      <c r="R1943" s="8"/>
      <c r="S1943" s="8"/>
      <c r="T1943" s="8"/>
      <c r="U1943" s="8"/>
      <c r="V1943" s="8"/>
      <c r="W1943" s="8"/>
      <c r="X1943" s="8"/>
      <c r="Y1943" s="8"/>
      <c r="Z1943" s="8"/>
      <c r="AA1943" s="8"/>
      <c r="AB1943" s="8"/>
      <c r="AC1943" s="8"/>
      <c r="AD1943" s="24"/>
      <c r="AE1943" s="24"/>
      <c r="AF1943" s="8"/>
      <c r="AG1943" s="8"/>
      <c r="AH1943" s="8"/>
      <c r="AI1943" s="8"/>
    </row>
    <row r="1944" spans="1:35" ht="15.75" customHeight="1" x14ac:dyDescent="0.25">
      <c r="A1944" s="8"/>
      <c r="B1944" s="8"/>
      <c r="C1944" s="8"/>
      <c r="D1944" s="8"/>
      <c r="E1944" s="5"/>
      <c r="F1944" s="16"/>
      <c r="G1944" s="16"/>
      <c r="H1944" s="5"/>
      <c r="I1944" s="5"/>
      <c r="J1944" s="5"/>
      <c r="K1944" s="5"/>
      <c r="L1944" s="5"/>
      <c r="M1944" s="48"/>
      <c r="N1944" s="18"/>
      <c r="O1944" s="22"/>
      <c r="P1944" s="22"/>
      <c r="Q1944" s="8"/>
      <c r="R1944" s="8"/>
      <c r="S1944" s="8"/>
      <c r="T1944" s="8"/>
      <c r="U1944" s="8"/>
      <c r="V1944" s="8"/>
      <c r="W1944" s="8"/>
      <c r="X1944" s="8"/>
      <c r="Y1944" s="8"/>
      <c r="Z1944" s="8"/>
      <c r="AA1944" s="8"/>
      <c r="AB1944" s="8"/>
      <c r="AC1944" s="8"/>
      <c r="AD1944" s="24"/>
      <c r="AE1944" s="24"/>
      <c r="AF1944" s="8"/>
      <c r="AG1944" s="8"/>
      <c r="AH1944" s="8"/>
      <c r="AI1944" s="8"/>
    </row>
    <row r="1945" spans="1:35" ht="15.75" customHeight="1" x14ac:dyDescent="0.25">
      <c r="A1945" s="8"/>
      <c r="B1945" s="8"/>
      <c r="C1945" s="8"/>
      <c r="D1945" s="8"/>
      <c r="E1945" s="5"/>
      <c r="F1945" s="16"/>
      <c r="G1945" s="16"/>
      <c r="H1945" s="5"/>
      <c r="I1945" s="5"/>
      <c r="J1945" s="5"/>
      <c r="K1945" s="5"/>
      <c r="L1945" s="5"/>
      <c r="M1945" s="48"/>
      <c r="N1945" s="18"/>
      <c r="O1945" s="22"/>
      <c r="P1945" s="22"/>
      <c r="Q1945" s="8"/>
      <c r="R1945" s="8"/>
      <c r="S1945" s="8"/>
      <c r="T1945" s="8"/>
      <c r="U1945" s="8"/>
      <c r="V1945" s="8"/>
      <c r="W1945" s="8"/>
      <c r="X1945" s="8"/>
      <c r="Y1945" s="8"/>
      <c r="Z1945" s="8"/>
      <c r="AA1945" s="8"/>
      <c r="AB1945" s="8"/>
      <c r="AC1945" s="8"/>
      <c r="AD1945" s="24"/>
      <c r="AE1945" s="24"/>
      <c r="AF1945" s="8"/>
      <c r="AG1945" s="8"/>
      <c r="AH1945" s="8"/>
      <c r="AI1945" s="8"/>
    </row>
    <row r="1946" spans="1:35" ht="15.75" customHeight="1" x14ac:dyDescent="0.25">
      <c r="A1946" s="8"/>
      <c r="B1946" s="8"/>
      <c r="C1946" s="8"/>
      <c r="D1946" s="8"/>
      <c r="E1946" s="5"/>
      <c r="F1946" s="16"/>
      <c r="G1946" s="16"/>
      <c r="H1946" s="5"/>
      <c r="I1946" s="5"/>
      <c r="J1946" s="5"/>
      <c r="K1946" s="5"/>
      <c r="L1946" s="5"/>
      <c r="M1946" s="48"/>
      <c r="N1946" s="18"/>
      <c r="O1946" s="22"/>
      <c r="P1946" s="22"/>
      <c r="Q1946" s="8"/>
      <c r="R1946" s="8"/>
      <c r="S1946" s="8"/>
      <c r="T1946" s="8"/>
      <c r="U1946" s="8"/>
      <c r="V1946" s="8"/>
      <c r="W1946" s="8"/>
      <c r="X1946" s="8"/>
      <c r="Y1946" s="8"/>
      <c r="Z1946" s="8"/>
      <c r="AA1946" s="8"/>
      <c r="AB1946" s="8"/>
      <c r="AC1946" s="8"/>
      <c r="AD1946" s="24"/>
      <c r="AE1946" s="24"/>
      <c r="AF1946" s="8"/>
      <c r="AG1946" s="8"/>
      <c r="AH1946" s="8"/>
      <c r="AI1946" s="8"/>
    </row>
    <row r="1947" spans="1:35" ht="15.75" customHeight="1" x14ac:dyDescent="0.25">
      <c r="A1947" s="8"/>
      <c r="B1947" s="8"/>
      <c r="C1947" s="8"/>
      <c r="D1947" s="8"/>
      <c r="E1947" s="5"/>
      <c r="F1947" s="16"/>
      <c r="G1947" s="16"/>
      <c r="H1947" s="5"/>
      <c r="I1947" s="5"/>
      <c r="J1947" s="5"/>
      <c r="K1947" s="5"/>
      <c r="L1947" s="5"/>
      <c r="M1947" s="48"/>
      <c r="N1947" s="18"/>
      <c r="O1947" s="22"/>
      <c r="P1947" s="22"/>
      <c r="Q1947" s="8"/>
      <c r="R1947" s="8"/>
      <c r="S1947" s="8"/>
      <c r="T1947" s="8"/>
      <c r="U1947" s="8"/>
      <c r="V1947" s="8"/>
      <c r="W1947" s="8"/>
      <c r="X1947" s="8"/>
      <c r="Y1947" s="8"/>
      <c r="Z1947" s="8"/>
      <c r="AA1947" s="8"/>
      <c r="AB1947" s="8"/>
      <c r="AC1947" s="8"/>
      <c r="AD1947" s="24"/>
      <c r="AE1947" s="24"/>
      <c r="AF1947" s="8"/>
      <c r="AG1947" s="8"/>
      <c r="AH1947" s="8"/>
      <c r="AI1947" s="8"/>
    </row>
    <row r="1948" spans="1:35" ht="15.75" customHeight="1" x14ac:dyDescent="0.25">
      <c r="A1948" s="8"/>
      <c r="B1948" s="8"/>
      <c r="C1948" s="8"/>
      <c r="D1948" s="8"/>
      <c r="E1948" s="5"/>
      <c r="F1948" s="16"/>
      <c r="G1948" s="16"/>
      <c r="H1948" s="5"/>
      <c r="I1948" s="5"/>
      <c r="J1948" s="5"/>
      <c r="K1948" s="5"/>
      <c r="L1948" s="5"/>
      <c r="M1948" s="48"/>
      <c r="N1948" s="18"/>
      <c r="O1948" s="22"/>
      <c r="P1948" s="22"/>
      <c r="Q1948" s="8"/>
      <c r="R1948" s="8"/>
      <c r="S1948" s="8"/>
      <c r="T1948" s="8"/>
      <c r="U1948" s="8"/>
      <c r="V1948" s="8"/>
      <c r="W1948" s="8"/>
      <c r="X1948" s="8"/>
      <c r="Y1948" s="8"/>
      <c r="Z1948" s="8"/>
      <c r="AA1948" s="8"/>
      <c r="AB1948" s="8"/>
      <c r="AC1948" s="8"/>
      <c r="AD1948" s="24"/>
      <c r="AE1948" s="24"/>
      <c r="AF1948" s="8"/>
      <c r="AG1948" s="8"/>
      <c r="AH1948" s="8"/>
      <c r="AI1948" s="8"/>
    </row>
    <row r="1949" spans="1:35" ht="15.75" customHeight="1" x14ac:dyDescent="0.25">
      <c r="A1949" s="8"/>
      <c r="B1949" s="8"/>
      <c r="C1949" s="8"/>
      <c r="D1949" s="8"/>
      <c r="E1949" s="5"/>
      <c r="F1949" s="16"/>
      <c r="G1949" s="16"/>
      <c r="H1949" s="5"/>
      <c r="I1949" s="5"/>
      <c r="J1949" s="5"/>
      <c r="K1949" s="5"/>
      <c r="L1949" s="5"/>
      <c r="M1949" s="48"/>
      <c r="N1949" s="18"/>
      <c r="O1949" s="22"/>
      <c r="P1949" s="22"/>
      <c r="Q1949" s="8"/>
      <c r="R1949" s="8"/>
      <c r="S1949" s="8"/>
      <c r="T1949" s="8"/>
      <c r="U1949" s="8"/>
      <c r="V1949" s="8"/>
      <c r="W1949" s="8"/>
      <c r="X1949" s="8"/>
      <c r="Y1949" s="8"/>
      <c r="Z1949" s="8"/>
      <c r="AA1949" s="8"/>
      <c r="AB1949" s="8"/>
      <c r="AC1949" s="8"/>
      <c r="AD1949" s="24"/>
      <c r="AE1949" s="24"/>
      <c r="AF1949" s="8"/>
      <c r="AG1949" s="8"/>
      <c r="AH1949" s="8"/>
      <c r="AI1949" s="8"/>
    </row>
    <row r="1950" spans="1:35" ht="15.75" customHeight="1" x14ac:dyDescent="0.25">
      <c r="A1950" s="8"/>
      <c r="B1950" s="8"/>
      <c r="C1950" s="8"/>
      <c r="D1950" s="8"/>
      <c r="E1950" s="5"/>
      <c r="F1950" s="16"/>
      <c r="G1950" s="16"/>
      <c r="H1950" s="5"/>
      <c r="I1950" s="5"/>
      <c r="J1950" s="5"/>
      <c r="K1950" s="5"/>
      <c r="L1950" s="5"/>
      <c r="M1950" s="48"/>
      <c r="N1950" s="18"/>
      <c r="O1950" s="22"/>
      <c r="P1950" s="22"/>
      <c r="Q1950" s="8"/>
      <c r="R1950" s="8"/>
      <c r="S1950" s="8"/>
      <c r="T1950" s="8"/>
      <c r="U1950" s="8"/>
      <c r="V1950" s="8"/>
      <c r="W1950" s="8"/>
      <c r="X1950" s="8"/>
      <c r="Y1950" s="8"/>
      <c r="Z1950" s="8"/>
      <c r="AA1950" s="8"/>
      <c r="AB1950" s="8"/>
      <c r="AC1950" s="8"/>
      <c r="AD1950" s="24"/>
      <c r="AE1950" s="24"/>
      <c r="AF1950" s="8"/>
      <c r="AG1950" s="8"/>
      <c r="AH1950" s="8"/>
      <c r="AI1950" s="8"/>
    </row>
    <row r="1951" spans="1:35" ht="15.75" customHeight="1" x14ac:dyDescent="0.25">
      <c r="A1951" s="8"/>
      <c r="B1951" s="8"/>
      <c r="C1951" s="8"/>
      <c r="D1951" s="8"/>
      <c r="E1951" s="5"/>
      <c r="F1951" s="16"/>
      <c r="G1951" s="16"/>
      <c r="H1951" s="5"/>
      <c r="I1951" s="741"/>
      <c r="J1951" s="742"/>
      <c r="K1951" s="5"/>
      <c r="L1951" s="5"/>
      <c r="M1951" s="48"/>
      <c r="N1951" s="18"/>
      <c r="O1951" s="22"/>
      <c r="P1951" s="22"/>
      <c r="Q1951" s="8"/>
      <c r="R1951" s="8"/>
      <c r="S1951" s="8"/>
      <c r="T1951" s="8"/>
      <c r="U1951" s="8"/>
      <c r="V1951" s="8"/>
      <c r="W1951" s="8"/>
      <c r="X1951" s="8"/>
      <c r="Y1951" s="8"/>
      <c r="Z1951" s="8"/>
      <c r="AA1951" s="8"/>
      <c r="AB1951" s="8"/>
      <c r="AC1951" s="8"/>
      <c r="AD1951" s="24"/>
      <c r="AE1951" s="24"/>
      <c r="AF1951" s="8"/>
      <c r="AG1951" s="8"/>
      <c r="AH1951" s="8"/>
      <c r="AI1951" s="8"/>
    </row>
    <row r="1952" spans="1:35" ht="15.75" customHeight="1" x14ac:dyDescent="0.25">
      <c r="A1952" s="8"/>
      <c r="B1952" s="8"/>
      <c r="C1952" s="8"/>
      <c r="D1952" s="8"/>
      <c r="E1952" s="5"/>
      <c r="F1952" s="16"/>
      <c r="G1952" s="16"/>
      <c r="H1952" s="5"/>
      <c r="I1952" s="741"/>
      <c r="J1952" s="742"/>
      <c r="K1952" s="5"/>
      <c r="L1952" s="5"/>
      <c r="M1952" s="48"/>
      <c r="N1952" s="18"/>
      <c r="O1952" s="22"/>
      <c r="P1952" s="22"/>
      <c r="Q1952" s="8"/>
      <c r="R1952" s="8"/>
      <c r="S1952" s="8"/>
      <c r="T1952" s="8"/>
      <c r="U1952" s="8"/>
      <c r="V1952" s="8"/>
      <c r="W1952" s="8"/>
      <c r="X1952" s="8"/>
      <c r="Y1952" s="8"/>
      <c r="Z1952" s="8"/>
      <c r="AA1952" s="8"/>
      <c r="AB1952" s="8"/>
      <c r="AC1952" s="8"/>
      <c r="AD1952" s="24"/>
      <c r="AE1952" s="24"/>
      <c r="AF1952" s="8"/>
      <c r="AG1952" s="8"/>
      <c r="AH1952" s="8"/>
      <c r="AI1952" s="8"/>
    </row>
    <row r="1953" spans="1:35" ht="15.75" customHeight="1" x14ac:dyDescent="0.25">
      <c r="A1953" s="8"/>
      <c r="B1953" s="8"/>
      <c r="C1953" s="8"/>
      <c r="D1953" s="8"/>
      <c r="E1953" s="5"/>
      <c r="F1953" s="16"/>
      <c r="G1953" s="16"/>
      <c r="H1953" s="5"/>
      <c r="I1953" s="5"/>
      <c r="J1953" s="5"/>
      <c r="K1953" s="5"/>
      <c r="L1953" s="5"/>
      <c r="M1953" s="48"/>
      <c r="N1953" s="18"/>
      <c r="O1953" s="22"/>
      <c r="P1953" s="22"/>
      <c r="Q1953" s="8"/>
      <c r="R1953" s="8"/>
      <c r="S1953" s="8"/>
      <c r="T1953" s="8"/>
      <c r="U1953" s="8"/>
      <c r="V1953" s="8"/>
      <c r="W1953" s="8"/>
      <c r="X1953" s="8"/>
      <c r="Y1953" s="8"/>
      <c r="Z1953" s="8"/>
      <c r="AA1953" s="8"/>
      <c r="AB1953" s="8"/>
      <c r="AC1953" s="8"/>
      <c r="AD1953" s="24"/>
      <c r="AE1953" s="24"/>
      <c r="AF1953" s="8"/>
      <c r="AG1953" s="8"/>
      <c r="AH1953" s="8"/>
      <c r="AI1953" s="8"/>
    </row>
    <row r="1954" spans="1:35" ht="15.75" customHeight="1" x14ac:dyDescent="0.25">
      <c r="A1954" s="8"/>
      <c r="B1954" s="8"/>
      <c r="C1954" s="8"/>
      <c r="D1954" s="8"/>
      <c r="E1954" s="5"/>
      <c r="F1954" s="16"/>
      <c r="G1954" s="16"/>
      <c r="H1954" s="5"/>
      <c r="I1954" s="5"/>
      <c r="J1954" s="5"/>
      <c r="K1954" s="5"/>
      <c r="L1954" s="5"/>
      <c r="M1954" s="48"/>
      <c r="N1954" s="18"/>
      <c r="O1954" s="22"/>
      <c r="P1954" s="22"/>
      <c r="Q1954" s="8"/>
      <c r="R1954" s="8"/>
      <c r="S1954" s="8"/>
      <c r="T1954" s="8"/>
      <c r="U1954" s="8"/>
      <c r="V1954" s="8"/>
      <c r="W1954" s="8"/>
      <c r="X1954" s="8"/>
      <c r="Y1954" s="8"/>
      <c r="Z1954" s="8"/>
      <c r="AA1954" s="8"/>
      <c r="AB1954" s="8"/>
      <c r="AC1954" s="8"/>
      <c r="AD1954" s="24"/>
      <c r="AE1954" s="24"/>
      <c r="AF1954" s="8"/>
      <c r="AG1954" s="8"/>
      <c r="AH1954" s="8"/>
      <c r="AI1954" s="8"/>
    </row>
    <row r="1955" spans="1:35" ht="15.75" customHeight="1" x14ac:dyDescent="0.25">
      <c r="A1955" s="8"/>
      <c r="B1955" s="8"/>
      <c r="C1955" s="8"/>
      <c r="D1955" s="8"/>
      <c r="E1955" s="5"/>
      <c r="F1955" s="16"/>
      <c r="G1955" s="16"/>
      <c r="H1955" s="5"/>
      <c r="I1955" s="5"/>
      <c r="J1955" s="5"/>
      <c r="K1955" s="5"/>
      <c r="L1955" s="5"/>
      <c r="M1955" s="48"/>
      <c r="N1955" s="18"/>
      <c r="O1955" s="22"/>
      <c r="P1955" s="22"/>
      <c r="Q1955" s="8"/>
      <c r="R1955" s="8"/>
      <c r="S1955" s="8"/>
      <c r="T1955" s="8"/>
      <c r="U1955" s="8"/>
      <c r="V1955" s="8"/>
      <c r="W1955" s="8"/>
      <c r="X1955" s="8"/>
      <c r="Y1955" s="8"/>
      <c r="Z1955" s="8"/>
      <c r="AA1955" s="8"/>
      <c r="AB1955" s="8"/>
      <c r="AC1955" s="8"/>
      <c r="AD1955" s="24"/>
      <c r="AE1955" s="24"/>
      <c r="AF1955" s="8"/>
      <c r="AG1955" s="8"/>
      <c r="AH1955" s="8"/>
      <c r="AI1955" s="8"/>
    </row>
    <row r="1956" spans="1:35" ht="15.75" customHeight="1" x14ac:dyDescent="0.25">
      <c r="A1956" s="8"/>
      <c r="B1956" s="8"/>
      <c r="C1956" s="8"/>
      <c r="D1956" s="8"/>
      <c r="E1956" s="5"/>
      <c r="F1956" s="16"/>
      <c r="G1956" s="16"/>
      <c r="H1956" s="5"/>
      <c r="I1956" s="5"/>
      <c r="J1956" s="5"/>
      <c r="K1956" s="5"/>
      <c r="L1956" s="5"/>
      <c r="M1956" s="48"/>
      <c r="N1956" s="18"/>
      <c r="O1956" s="22"/>
      <c r="P1956" s="22"/>
      <c r="Q1956" s="8"/>
      <c r="R1956" s="8"/>
      <c r="S1956" s="8"/>
      <c r="T1956" s="8"/>
      <c r="U1956" s="8"/>
      <c r="V1956" s="8"/>
      <c r="W1956" s="8"/>
      <c r="X1956" s="8"/>
      <c r="Y1956" s="8"/>
      <c r="Z1956" s="8"/>
      <c r="AA1956" s="8"/>
      <c r="AB1956" s="8"/>
      <c r="AC1956" s="8"/>
      <c r="AD1956" s="24"/>
      <c r="AE1956" s="24"/>
      <c r="AF1956" s="8"/>
      <c r="AG1956" s="8"/>
      <c r="AH1956" s="8"/>
      <c r="AI1956" s="8"/>
    </row>
    <row r="1957" spans="1:35" ht="15.75" customHeight="1" x14ac:dyDescent="0.25">
      <c r="A1957" s="8"/>
      <c r="B1957" s="8"/>
      <c r="C1957" s="8"/>
      <c r="D1957" s="8"/>
      <c r="E1957" s="5"/>
      <c r="F1957" s="16"/>
      <c r="G1957" s="16"/>
      <c r="H1957" s="5"/>
      <c r="I1957" s="5"/>
      <c r="J1957" s="5"/>
      <c r="K1957" s="5"/>
      <c r="L1957" s="5"/>
      <c r="M1957" s="48"/>
      <c r="N1957" s="18"/>
      <c r="O1957" s="22"/>
      <c r="P1957" s="22"/>
      <c r="Q1957" s="8"/>
      <c r="R1957" s="8"/>
      <c r="S1957" s="8"/>
      <c r="T1957" s="8"/>
      <c r="U1957" s="8"/>
      <c r="V1957" s="8"/>
      <c r="W1957" s="8"/>
      <c r="X1957" s="8"/>
      <c r="Y1957" s="8"/>
      <c r="Z1957" s="8"/>
      <c r="AA1957" s="8"/>
      <c r="AB1957" s="8"/>
      <c r="AC1957" s="8"/>
      <c r="AD1957" s="24"/>
      <c r="AE1957" s="24"/>
      <c r="AF1957" s="8"/>
      <c r="AG1957" s="8"/>
      <c r="AH1957" s="8"/>
      <c r="AI1957" s="8"/>
    </row>
    <row r="1958" spans="1:35" ht="15.75" customHeight="1" x14ac:dyDescent="0.25">
      <c r="A1958" s="8"/>
      <c r="B1958" s="8"/>
      <c r="C1958" s="8"/>
      <c r="D1958" s="8"/>
      <c r="E1958" s="5"/>
      <c r="F1958" s="16"/>
      <c r="G1958" s="16"/>
      <c r="H1958" s="5"/>
      <c r="I1958" s="5"/>
      <c r="J1958" s="5"/>
      <c r="K1958" s="5"/>
      <c r="L1958" s="5"/>
      <c r="M1958" s="48"/>
      <c r="N1958" s="18"/>
      <c r="O1958" s="22"/>
      <c r="P1958" s="22"/>
      <c r="Q1958" s="8"/>
      <c r="R1958" s="8"/>
      <c r="S1958" s="8"/>
      <c r="T1958" s="8"/>
      <c r="U1958" s="8"/>
      <c r="V1958" s="8"/>
      <c r="W1958" s="8"/>
      <c r="X1958" s="8"/>
      <c r="Y1958" s="8"/>
      <c r="Z1958" s="8"/>
      <c r="AA1958" s="8"/>
      <c r="AB1958" s="8"/>
      <c r="AC1958" s="8"/>
      <c r="AD1958" s="24"/>
      <c r="AE1958" s="24"/>
      <c r="AF1958" s="8"/>
      <c r="AG1958" s="8"/>
      <c r="AH1958" s="8"/>
      <c r="AI1958" s="8"/>
    </row>
    <row r="1959" spans="1:35" ht="15.75" customHeight="1" x14ac:dyDescent="0.25">
      <c r="A1959" s="8"/>
      <c r="B1959" s="8"/>
      <c r="C1959" s="8"/>
      <c r="D1959" s="8"/>
      <c r="E1959" s="5"/>
      <c r="F1959" s="16"/>
      <c r="G1959" s="16"/>
      <c r="H1959" s="5"/>
      <c r="I1959" s="5"/>
      <c r="J1959" s="5"/>
      <c r="K1959" s="5"/>
      <c r="L1959" s="5"/>
      <c r="M1959" s="48"/>
      <c r="N1959" s="18"/>
      <c r="O1959" s="22"/>
      <c r="P1959" s="22"/>
      <c r="Q1959" s="8"/>
      <c r="R1959" s="8"/>
      <c r="S1959" s="8"/>
      <c r="T1959" s="8"/>
      <c r="U1959" s="8"/>
      <c r="V1959" s="8"/>
      <c r="W1959" s="8"/>
      <c r="X1959" s="8"/>
      <c r="Y1959" s="8"/>
      <c r="Z1959" s="8"/>
      <c r="AA1959" s="8"/>
      <c r="AB1959" s="8"/>
      <c r="AC1959" s="8"/>
      <c r="AD1959" s="24"/>
      <c r="AE1959" s="24"/>
      <c r="AF1959" s="8"/>
      <c r="AG1959" s="8"/>
      <c r="AH1959" s="8"/>
      <c r="AI1959" s="8"/>
    </row>
    <row r="1960" spans="1:35" ht="15.75" customHeight="1" x14ac:dyDescent="0.25">
      <c r="A1960" s="8"/>
      <c r="B1960" s="8"/>
      <c r="C1960" s="8"/>
      <c r="D1960" s="8"/>
      <c r="E1960" s="5"/>
      <c r="F1960" s="16"/>
      <c r="G1960" s="16"/>
      <c r="H1960" s="5"/>
      <c r="I1960" s="5"/>
      <c r="J1960" s="5"/>
      <c r="K1960" s="5"/>
      <c r="L1960" s="5"/>
      <c r="M1960" s="48"/>
      <c r="N1960" s="18"/>
      <c r="O1960" s="22"/>
      <c r="P1960" s="22"/>
      <c r="Q1960" s="8"/>
      <c r="R1960" s="8"/>
      <c r="S1960" s="8"/>
      <c r="T1960" s="8"/>
      <c r="U1960" s="8"/>
      <c r="V1960" s="8"/>
      <c r="W1960" s="8"/>
      <c r="X1960" s="8"/>
      <c r="Y1960" s="8"/>
      <c r="Z1960" s="8"/>
      <c r="AA1960" s="8"/>
      <c r="AB1960" s="8"/>
      <c r="AC1960" s="8"/>
      <c r="AD1960" s="24"/>
      <c r="AE1960" s="24"/>
      <c r="AF1960" s="8"/>
      <c r="AG1960" s="8"/>
      <c r="AH1960" s="8"/>
      <c r="AI1960" s="8"/>
    </row>
    <row r="1961" spans="1:35" ht="15.75" customHeight="1" x14ac:dyDescent="0.25">
      <c r="A1961" s="8"/>
      <c r="B1961" s="8"/>
      <c r="C1961" s="8"/>
      <c r="D1961" s="8"/>
      <c r="E1961" s="5"/>
      <c r="F1961" s="16"/>
      <c r="G1961" s="16"/>
      <c r="H1961" s="5"/>
      <c r="I1961" s="5"/>
      <c r="J1961" s="5"/>
      <c r="K1961" s="5"/>
      <c r="L1961" s="5"/>
      <c r="M1961" s="48"/>
      <c r="N1961" s="18"/>
      <c r="O1961" s="22"/>
      <c r="P1961" s="22"/>
      <c r="Q1961" s="8"/>
      <c r="R1961" s="8"/>
      <c r="S1961" s="8"/>
      <c r="T1961" s="8"/>
      <c r="U1961" s="8"/>
      <c r="V1961" s="8"/>
      <c r="W1961" s="8"/>
      <c r="X1961" s="8"/>
      <c r="Y1961" s="8"/>
      <c r="Z1961" s="8"/>
      <c r="AA1961" s="8"/>
      <c r="AB1961" s="8"/>
      <c r="AC1961" s="8"/>
      <c r="AD1961" s="24"/>
      <c r="AE1961" s="24"/>
      <c r="AF1961" s="8"/>
      <c r="AG1961" s="8"/>
      <c r="AH1961" s="8"/>
      <c r="AI1961" s="8"/>
    </row>
    <row r="1962" spans="1:35" ht="15.75" customHeight="1" x14ac:dyDescent="0.25">
      <c r="A1962" s="8"/>
      <c r="B1962" s="8"/>
      <c r="C1962" s="8"/>
      <c r="D1962" s="8"/>
      <c r="E1962" s="5"/>
      <c r="F1962" s="16"/>
      <c r="G1962" s="16"/>
      <c r="H1962" s="5"/>
      <c r="I1962" s="5"/>
      <c r="J1962" s="5"/>
      <c r="K1962" s="5"/>
      <c r="L1962" s="5"/>
      <c r="M1962" s="48"/>
      <c r="N1962" s="18"/>
      <c r="O1962" s="22"/>
      <c r="P1962" s="22"/>
      <c r="Q1962" s="8"/>
      <c r="R1962" s="8"/>
      <c r="S1962" s="8"/>
      <c r="T1962" s="8"/>
      <c r="U1962" s="8"/>
      <c r="V1962" s="8"/>
      <c r="W1962" s="8"/>
      <c r="X1962" s="8"/>
      <c r="Y1962" s="8"/>
      <c r="Z1962" s="8"/>
      <c r="AA1962" s="8"/>
      <c r="AB1962" s="8"/>
      <c r="AC1962" s="8"/>
      <c r="AD1962" s="24"/>
      <c r="AE1962" s="24"/>
      <c r="AF1962" s="8"/>
      <c r="AG1962" s="8"/>
      <c r="AH1962" s="8"/>
      <c r="AI1962" s="8"/>
    </row>
    <row r="1963" spans="1:35" ht="15.75" customHeight="1" x14ac:dyDescent="0.25">
      <c r="A1963" s="8"/>
      <c r="B1963" s="8"/>
      <c r="C1963" s="8"/>
      <c r="D1963" s="8"/>
      <c r="E1963" s="5"/>
      <c r="F1963" s="16"/>
      <c r="G1963" s="16"/>
      <c r="H1963" s="5"/>
      <c r="I1963" s="5"/>
      <c r="J1963" s="5"/>
      <c r="K1963" s="5"/>
      <c r="L1963" s="5"/>
      <c r="M1963" s="48"/>
      <c r="N1963" s="18"/>
      <c r="O1963" s="22"/>
      <c r="P1963" s="22"/>
      <c r="Q1963" s="8"/>
      <c r="R1963" s="8"/>
      <c r="S1963" s="8"/>
      <c r="T1963" s="8"/>
      <c r="U1963" s="8"/>
      <c r="V1963" s="8"/>
      <c r="W1963" s="8"/>
      <c r="X1963" s="8"/>
      <c r="Y1963" s="8"/>
      <c r="Z1963" s="8"/>
      <c r="AA1963" s="8"/>
      <c r="AB1963" s="8"/>
      <c r="AC1963" s="8"/>
      <c r="AD1963" s="24"/>
      <c r="AE1963" s="24"/>
      <c r="AF1963" s="8"/>
      <c r="AG1963" s="8"/>
      <c r="AH1963" s="8"/>
      <c r="AI1963" s="8"/>
    </row>
    <row r="1964" spans="1:35" ht="15.75" customHeight="1" x14ac:dyDescent="0.25">
      <c r="A1964" s="8"/>
      <c r="B1964" s="8"/>
      <c r="C1964" s="8"/>
      <c r="D1964" s="8"/>
      <c r="E1964" s="5"/>
      <c r="F1964" s="16"/>
      <c r="G1964" s="16"/>
      <c r="H1964" s="5"/>
      <c r="I1964" s="5"/>
      <c r="J1964" s="5"/>
      <c r="K1964" s="5"/>
      <c r="L1964" s="5"/>
      <c r="M1964" s="48"/>
      <c r="N1964" s="18"/>
      <c r="O1964" s="22"/>
      <c r="P1964" s="22"/>
      <c r="Q1964" s="8"/>
      <c r="R1964" s="8"/>
      <c r="S1964" s="8"/>
      <c r="T1964" s="8"/>
      <c r="U1964" s="8"/>
      <c r="V1964" s="8"/>
      <c r="W1964" s="8"/>
      <c r="X1964" s="8"/>
      <c r="Y1964" s="8"/>
      <c r="Z1964" s="8"/>
      <c r="AA1964" s="8"/>
      <c r="AB1964" s="8"/>
      <c r="AC1964" s="8"/>
      <c r="AD1964" s="24"/>
      <c r="AE1964" s="24"/>
      <c r="AF1964" s="8"/>
      <c r="AG1964" s="8"/>
      <c r="AH1964" s="8"/>
      <c r="AI1964" s="8"/>
    </row>
    <row r="1965" spans="1:35" ht="15.75" customHeight="1" x14ac:dyDescent="0.25">
      <c r="A1965" s="8"/>
      <c r="B1965" s="8"/>
      <c r="C1965" s="8"/>
      <c r="D1965" s="8"/>
      <c r="E1965" s="5"/>
      <c r="F1965" s="16"/>
      <c r="G1965" s="16"/>
      <c r="H1965" s="5"/>
      <c r="I1965" s="5"/>
      <c r="J1965" s="5"/>
      <c r="K1965" s="5"/>
      <c r="L1965" s="5"/>
      <c r="M1965" s="48"/>
      <c r="N1965" s="18"/>
      <c r="O1965" s="22"/>
      <c r="P1965" s="22"/>
      <c r="Q1965" s="8"/>
      <c r="R1965" s="8"/>
      <c r="S1965" s="8"/>
      <c r="T1965" s="8"/>
      <c r="U1965" s="8"/>
      <c r="V1965" s="8"/>
      <c r="W1965" s="8"/>
      <c r="X1965" s="8"/>
      <c r="Y1965" s="8"/>
      <c r="Z1965" s="8"/>
      <c r="AA1965" s="8"/>
      <c r="AB1965" s="8"/>
      <c r="AC1965" s="8"/>
      <c r="AD1965" s="24"/>
      <c r="AE1965" s="24"/>
      <c r="AF1965" s="8"/>
      <c r="AG1965" s="8"/>
      <c r="AH1965" s="8"/>
      <c r="AI1965" s="8"/>
    </row>
    <row r="1966" spans="1:35" ht="15.75" customHeight="1" x14ac:dyDescent="0.25">
      <c r="A1966" s="8"/>
      <c r="B1966" s="8"/>
      <c r="C1966" s="8"/>
      <c r="D1966" s="8"/>
      <c r="E1966" s="5"/>
      <c r="F1966" s="16"/>
      <c r="G1966" s="16"/>
      <c r="H1966" s="5"/>
      <c r="I1966" s="741"/>
      <c r="J1966" s="742"/>
      <c r="K1966" s="5"/>
      <c r="L1966" s="5"/>
      <c r="M1966" s="48"/>
      <c r="N1966" s="18"/>
      <c r="O1966" s="22"/>
      <c r="P1966" s="22"/>
      <c r="Q1966" s="8"/>
      <c r="R1966" s="8"/>
      <c r="S1966" s="8"/>
      <c r="T1966" s="8"/>
      <c r="U1966" s="8"/>
      <c r="V1966" s="8"/>
      <c r="W1966" s="8"/>
      <c r="X1966" s="8"/>
      <c r="Y1966" s="8"/>
      <c r="Z1966" s="8"/>
      <c r="AA1966" s="8"/>
      <c r="AB1966" s="8"/>
      <c r="AC1966" s="8"/>
      <c r="AD1966" s="24"/>
      <c r="AE1966" s="24"/>
      <c r="AF1966" s="8"/>
      <c r="AG1966" s="8"/>
      <c r="AH1966" s="8"/>
      <c r="AI1966" s="8"/>
    </row>
    <row r="1967" spans="1:35" ht="15.75" customHeight="1" x14ac:dyDescent="0.25">
      <c r="A1967" s="8"/>
      <c r="B1967" s="8"/>
      <c r="C1967" s="8"/>
      <c r="D1967" s="8"/>
      <c r="E1967" s="5"/>
      <c r="F1967" s="16"/>
      <c r="G1967" s="16"/>
      <c r="H1967" s="5"/>
      <c r="I1967" s="5"/>
      <c r="J1967" s="5"/>
      <c r="K1967" s="5"/>
      <c r="L1967" s="5"/>
      <c r="M1967" s="48"/>
      <c r="N1967" s="18"/>
      <c r="O1967" s="22"/>
      <c r="P1967" s="22"/>
      <c r="Q1967" s="8"/>
      <c r="R1967" s="8"/>
      <c r="S1967" s="8"/>
      <c r="T1967" s="8"/>
      <c r="U1967" s="8"/>
      <c r="V1967" s="8"/>
      <c r="W1967" s="8"/>
      <c r="X1967" s="8"/>
      <c r="Y1967" s="8"/>
      <c r="Z1967" s="8"/>
      <c r="AA1967" s="8"/>
      <c r="AB1967" s="8"/>
      <c r="AC1967" s="8"/>
      <c r="AD1967" s="24"/>
      <c r="AE1967" s="24"/>
      <c r="AF1967" s="8"/>
      <c r="AG1967" s="8"/>
      <c r="AH1967" s="8"/>
      <c r="AI1967" s="8"/>
    </row>
    <row r="1968" spans="1:35" ht="15.75" customHeight="1" x14ac:dyDescent="0.25">
      <c r="A1968" s="8"/>
      <c r="B1968" s="8"/>
      <c r="C1968" s="8"/>
      <c r="D1968" s="8"/>
      <c r="E1968" s="5"/>
      <c r="F1968" s="16"/>
      <c r="G1968" s="16"/>
      <c r="H1968" s="5"/>
      <c r="I1968" s="741"/>
      <c r="J1968" s="742"/>
      <c r="K1968" s="5"/>
      <c r="L1968" s="5"/>
      <c r="M1968" s="48"/>
      <c r="N1968" s="18"/>
      <c r="O1968" s="22"/>
      <c r="P1968" s="22"/>
      <c r="Q1968" s="8"/>
      <c r="R1968" s="8"/>
      <c r="S1968" s="8"/>
      <c r="T1968" s="8"/>
      <c r="U1968" s="8"/>
      <c r="V1968" s="8"/>
      <c r="W1968" s="8"/>
      <c r="X1968" s="8"/>
      <c r="Y1968" s="8"/>
      <c r="Z1968" s="8"/>
      <c r="AA1968" s="8"/>
      <c r="AB1968" s="8"/>
      <c r="AC1968" s="8"/>
      <c r="AD1968" s="24"/>
      <c r="AE1968" s="24"/>
      <c r="AF1968" s="8"/>
      <c r="AG1968" s="8"/>
      <c r="AH1968" s="8"/>
      <c r="AI1968" s="8"/>
    </row>
    <row r="1969" spans="1:35" ht="15.75" customHeight="1" x14ac:dyDescent="0.25">
      <c r="A1969" s="8"/>
      <c r="B1969" s="8"/>
      <c r="C1969" s="8"/>
      <c r="D1969" s="8"/>
      <c r="E1969" s="5"/>
      <c r="F1969" s="16"/>
      <c r="G1969" s="16"/>
      <c r="H1969" s="5"/>
      <c r="I1969" s="741"/>
      <c r="J1969" s="742"/>
      <c r="K1969" s="5"/>
      <c r="L1969" s="5"/>
      <c r="M1969" s="48"/>
      <c r="N1969" s="18"/>
      <c r="O1969" s="22"/>
      <c r="P1969" s="22"/>
      <c r="Q1969" s="8"/>
      <c r="R1969" s="8"/>
      <c r="S1969" s="8"/>
      <c r="T1969" s="8"/>
      <c r="U1969" s="8"/>
      <c r="V1969" s="8"/>
      <c r="W1969" s="8"/>
      <c r="X1969" s="8"/>
      <c r="Y1969" s="8"/>
      <c r="Z1969" s="8"/>
      <c r="AA1969" s="8"/>
      <c r="AB1969" s="8"/>
      <c r="AC1969" s="8"/>
      <c r="AD1969" s="24"/>
      <c r="AE1969" s="24"/>
      <c r="AF1969" s="8"/>
      <c r="AG1969" s="8"/>
      <c r="AH1969" s="8"/>
      <c r="AI1969" s="8"/>
    </row>
    <row r="1970" spans="1:35" ht="15.75" customHeight="1" x14ac:dyDescent="0.25">
      <c r="A1970" s="8"/>
      <c r="B1970" s="8"/>
      <c r="C1970" s="8"/>
      <c r="D1970" s="8"/>
      <c r="E1970" s="5"/>
      <c r="F1970" s="16"/>
      <c r="G1970" s="16"/>
      <c r="H1970" s="5"/>
      <c r="I1970" s="741"/>
      <c r="J1970" s="742"/>
      <c r="K1970" s="5"/>
      <c r="L1970" s="5"/>
      <c r="M1970" s="48"/>
      <c r="N1970" s="18"/>
      <c r="O1970" s="22"/>
      <c r="P1970" s="22"/>
      <c r="Q1970" s="8"/>
      <c r="R1970" s="8"/>
      <c r="S1970" s="8"/>
      <c r="T1970" s="8"/>
      <c r="U1970" s="8"/>
      <c r="V1970" s="8"/>
      <c r="W1970" s="8"/>
      <c r="X1970" s="8"/>
      <c r="Y1970" s="8"/>
      <c r="Z1970" s="8"/>
      <c r="AA1970" s="8"/>
      <c r="AB1970" s="8"/>
      <c r="AC1970" s="8"/>
      <c r="AD1970" s="24"/>
      <c r="AE1970" s="24"/>
      <c r="AF1970" s="8"/>
      <c r="AG1970" s="8"/>
      <c r="AH1970" s="8"/>
      <c r="AI1970" s="8"/>
    </row>
    <row r="1971" spans="1:35" ht="15.75" customHeight="1" x14ac:dyDescent="0.25">
      <c r="A1971" s="8"/>
      <c r="B1971" s="8"/>
      <c r="C1971" s="8"/>
      <c r="D1971" s="8"/>
      <c r="E1971" s="5"/>
      <c r="F1971" s="16"/>
      <c r="G1971" s="16"/>
      <c r="H1971" s="5"/>
      <c r="I1971" s="741"/>
      <c r="J1971" s="742"/>
      <c r="K1971" s="5"/>
      <c r="L1971" s="5"/>
      <c r="M1971" s="48"/>
      <c r="N1971" s="18"/>
      <c r="O1971" s="22"/>
      <c r="P1971" s="22"/>
      <c r="Q1971" s="8"/>
      <c r="R1971" s="8"/>
      <c r="S1971" s="8"/>
      <c r="T1971" s="8"/>
      <c r="U1971" s="8"/>
      <c r="V1971" s="8"/>
      <c r="W1971" s="8"/>
      <c r="X1971" s="8"/>
      <c r="Y1971" s="8"/>
      <c r="Z1971" s="8"/>
      <c r="AA1971" s="8"/>
      <c r="AB1971" s="8"/>
      <c r="AC1971" s="8"/>
      <c r="AD1971" s="24"/>
      <c r="AE1971" s="24"/>
      <c r="AF1971" s="8"/>
      <c r="AG1971" s="8"/>
      <c r="AH1971" s="8"/>
      <c r="AI1971" s="8"/>
    </row>
    <row r="1972" spans="1:35" ht="15.75" customHeight="1" x14ac:dyDescent="0.25">
      <c r="A1972" s="8"/>
      <c r="B1972" s="8"/>
      <c r="C1972" s="8"/>
      <c r="D1972" s="8"/>
      <c r="E1972" s="5"/>
      <c r="F1972" s="16"/>
      <c r="G1972" s="16"/>
      <c r="H1972" s="5"/>
      <c r="I1972" s="741"/>
      <c r="J1972" s="742"/>
      <c r="K1972" s="5"/>
      <c r="L1972" s="5"/>
      <c r="M1972" s="48"/>
      <c r="N1972" s="18"/>
      <c r="O1972" s="22"/>
      <c r="P1972" s="22"/>
      <c r="Q1972" s="8"/>
      <c r="R1972" s="8"/>
      <c r="S1972" s="8"/>
      <c r="T1972" s="8"/>
      <c r="U1972" s="8"/>
      <c r="V1972" s="8"/>
      <c r="W1972" s="8"/>
      <c r="X1972" s="8"/>
      <c r="Y1972" s="8"/>
      <c r="Z1972" s="8"/>
      <c r="AA1972" s="8"/>
      <c r="AB1972" s="8"/>
      <c r="AC1972" s="8"/>
      <c r="AD1972" s="24"/>
      <c r="AE1972" s="24"/>
      <c r="AF1972" s="8"/>
      <c r="AG1972" s="8"/>
      <c r="AH1972" s="8"/>
      <c r="AI1972" s="8"/>
    </row>
    <row r="1973" spans="1:35" ht="15.75" customHeight="1" x14ac:dyDescent="0.25">
      <c r="A1973" s="8"/>
      <c r="B1973" s="8"/>
      <c r="C1973" s="8"/>
      <c r="D1973" s="8"/>
      <c r="E1973" s="5"/>
      <c r="F1973" s="16"/>
      <c r="G1973" s="16"/>
      <c r="H1973" s="5"/>
      <c r="I1973" s="741"/>
      <c r="J1973" s="742"/>
      <c r="K1973" s="5"/>
      <c r="L1973" s="5"/>
      <c r="M1973" s="48"/>
      <c r="N1973" s="18"/>
      <c r="O1973" s="22"/>
      <c r="P1973" s="22"/>
      <c r="Q1973" s="8"/>
      <c r="R1973" s="8"/>
      <c r="S1973" s="8"/>
      <c r="T1973" s="8"/>
      <c r="U1973" s="8"/>
      <c r="V1973" s="8"/>
      <c r="W1973" s="8"/>
      <c r="X1973" s="8"/>
      <c r="Y1973" s="8"/>
      <c r="Z1973" s="8"/>
      <c r="AA1973" s="8"/>
      <c r="AB1973" s="8"/>
      <c r="AC1973" s="8"/>
      <c r="AD1973" s="24"/>
      <c r="AE1973" s="24"/>
      <c r="AF1973" s="8"/>
      <c r="AG1973" s="8"/>
      <c r="AH1973" s="8"/>
      <c r="AI1973" s="8"/>
    </row>
    <row r="1974" spans="1:35" ht="15.75" customHeight="1" x14ac:dyDescent="0.25">
      <c r="A1974" s="8"/>
      <c r="B1974" s="8"/>
      <c r="C1974" s="8"/>
      <c r="D1974" s="8"/>
      <c r="E1974" s="5"/>
      <c r="F1974" s="16"/>
      <c r="G1974" s="16"/>
      <c r="H1974" s="5"/>
      <c r="I1974" s="741"/>
      <c r="J1974" s="742"/>
      <c r="K1974" s="5"/>
      <c r="L1974" s="5"/>
      <c r="M1974" s="48"/>
      <c r="N1974" s="18"/>
      <c r="O1974" s="22"/>
      <c r="P1974" s="22"/>
      <c r="Q1974" s="8"/>
      <c r="R1974" s="8"/>
      <c r="S1974" s="8"/>
      <c r="T1974" s="8"/>
      <c r="U1974" s="8"/>
      <c r="V1974" s="8"/>
      <c r="W1974" s="8"/>
      <c r="X1974" s="8"/>
      <c r="Y1974" s="8"/>
      <c r="Z1974" s="8"/>
      <c r="AA1974" s="8"/>
      <c r="AB1974" s="8"/>
      <c r="AC1974" s="8"/>
      <c r="AD1974" s="24"/>
      <c r="AE1974" s="24"/>
      <c r="AF1974" s="8"/>
      <c r="AG1974" s="8"/>
      <c r="AH1974" s="8"/>
      <c r="AI1974" s="8"/>
    </row>
    <row r="1975" spans="1:35" ht="15.75" customHeight="1" x14ac:dyDescent="0.25">
      <c r="A1975" s="8"/>
      <c r="B1975" s="8"/>
      <c r="C1975" s="8"/>
      <c r="D1975" s="8"/>
      <c r="E1975" s="5"/>
      <c r="F1975" s="16"/>
      <c r="G1975" s="16"/>
      <c r="H1975" s="5"/>
      <c r="I1975" s="741"/>
      <c r="J1975" s="742"/>
      <c r="K1975" s="5"/>
      <c r="L1975" s="5"/>
      <c r="M1975" s="48"/>
      <c r="N1975" s="18"/>
      <c r="O1975" s="22"/>
      <c r="P1975" s="22"/>
      <c r="Q1975" s="8"/>
      <c r="R1975" s="8"/>
      <c r="S1975" s="8"/>
      <c r="T1975" s="8"/>
      <c r="U1975" s="8"/>
      <c r="V1975" s="8"/>
      <c r="W1975" s="8"/>
      <c r="X1975" s="8"/>
      <c r="Y1975" s="8"/>
      <c r="Z1975" s="8"/>
      <c r="AA1975" s="8"/>
      <c r="AB1975" s="8"/>
      <c r="AC1975" s="8"/>
      <c r="AD1975" s="24"/>
      <c r="AE1975" s="24"/>
      <c r="AF1975" s="8"/>
      <c r="AG1975" s="8"/>
      <c r="AH1975" s="8"/>
      <c r="AI1975" s="8"/>
    </row>
    <row r="1976" spans="1:35" ht="15.75" customHeight="1" x14ac:dyDescent="0.25">
      <c r="A1976" s="8"/>
      <c r="B1976" s="8"/>
      <c r="C1976" s="8"/>
      <c r="D1976" s="8"/>
      <c r="E1976" s="5"/>
      <c r="F1976" s="16"/>
      <c r="G1976" s="16"/>
      <c r="H1976" s="5"/>
      <c r="I1976" s="5"/>
      <c r="J1976" s="5"/>
      <c r="K1976" s="5"/>
      <c r="L1976" s="5"/>
      <c r="M1976" s="48"/>
      <c r="N1976" s="18"/>
      <c r="O1976" s="22"/>
      <c r="P1976" s="22"/>
      <c r="Q1976" s="8"/>
      <c r="R1976" s="8"/>
      <c r="S1976" s="8"/>
      <c r="T1976" s="8"/>
      <c r="U1976" s="8"/>
      <c r="V1976" s="8"/>
      <c r="W1976" s="8"/>
      <c r="X1976" s="8"/>
      <c r="Y1976" s="8"/>
      <c r="Z1976" s="8"/>
      <c r="AA1976" s="8"/>
      <c r="AB1976" s="8"/>
      <c r="AC1976" s="8"/>
      <c r="AD1976" s="24"/>
      <c r="AE1976" s="24"/>
      <c r="AF1976" s="8"/>
      <c r="AG1976" s="8"/>
      <c r="AH1976" s="8"/>
      <c r="AI1976" s="8"/>
    </row>
    <row r="1977" spans="1:35" ht="15.75" customHeight="1" x14ac:dyDescent="0.25">
      <c r="A1977" s="8"/>
      <c r="B1977" s="8"/>
      <c r="C1977" s="8"/>
      <c r="D1977" s="8"/>
      <c r="E1977" s="5"/>
      <c r="F1977" s="16"/>
      <c r="G1977" s="16"/>
      <c r="H1977" s="5"/>
      <c r="I1977" s="5"/>
      <c r="J1977" s="5"/>
      <c r="K1977" s="5"/>
      <c r="L1977" s="5"/>
      <c r="M1977" s="48"/>
      <c r="N1977" s="18"/>
      <c r="O1977" s="22"/>
      <c r="P1977" s="22"/>
      <c r="Q1977" s="8"/>
      <c r="R1977" s="8"/>
      <c r="S1977" s="8"/>
      <c r="T1977" s="8"/>
      <c r="U1977" s="8"/>
      <c r="V1977" s="8"/>
      <c r="W1977" s="8"/>
      <c r="X1977" s="8"/>
      <c r="Y1977" s="8"/>
      <c r="Z1977" s="8"/>
      <c r="AA1977" s="8"/>
      <c r="AB1977" s="8"/>
      <c r="AC1977" s="8"/>
      <c r="AD1977" s="24"/>
      <c r="AE1977" s="24"/>
      <c r="AF1977" s="8"/>
      <c r="AG1977" s="8"/>
      <c r="AH1977" s="8"/>
      <c r="AI1977" s="8"/>
    </row>
    <row r="1978" spans="1:35" ht="15.75" customHeight="1" x14ac:dyDescent="0.25">
      <c r="A1978" s="8"/>
      <c r="B1978" s="8"/>
      <c r="C1978" s="8"/>
      <c r="D1978" s="8"/>
      <c r="E1978" s="5"/>
      <c r="F1978" s="16"/>
      <c r="G1978" s="16"/>
      <c r="H1978" s="5"/>
      <c r="I1978" s="5"/>
      <c r="J1978" s="5"/>
      <c r="K1978" s="5"/>
      <c r="L1978" s="5"/>
      <c r="M1978" s="48"/>
      <c r="N1978" s="18"/>
      <c r="O1978" s="22"/>
      <c r="P1978" s="22"/>
      <c r="Q1978" s="8"/>
      <c r="R1978" s="8"/>
      <c r="S1978" s="8"/>
      <c r="T1978" s="8"/>
      <c r="U1978" s="8"/>
      <c r="V1978" s="8"/>
      <c r="W1978" s="8"/>
      <c r="X1978" s="8"/>
      <c r="Y1978" s="8"/>
      <c r="Z1978" s="8"/>
      <c r="AA1978" s="8"/>
      <c r="AB1978" s="8"/>
      <c r="AC1978" s="8"/>
      <c r="AD1978" s="24"/>
      <c r="AE1978" s="24"/>
      <c r="AF1978" s="8"/>
      <c r="AG1978" s="8"/>
      <c r="AH1978" s="8"/>
      <c r="AI1978" s="8"/>
    </row>
    <row r="1979" spans="1:35" ht="15.75" customHeight="1" x14ac:dyDescent="0.25">
      <c r="A1979" s="8"/>
      <c r="B1979" s="8"/>
      <c r="C1979" s="8"/>
      <c r="D1979" s="8"/>
      <c r="E1979" s="5"/>
      <c r="F1979" s="16"/>
      <c r="G1979" s="16"/>
      <c r="H1979" s="5"/>
      <c r="I1979" s="5"/>
      <c r="J1979" s="5"/>
      <c r="K1979" s="5"/>
      <c r="L1979" s="5"/>
      <c r="M1979" s="48"/>
      <c r="N1979" s="18"/>
      <c r="O1979" s="22"/>
      <c r="P1979" s="22"/>
      <c r="Q1979" s="8"/>
      <c r="R1979" s="8"/>
      <c r="S1979" s="8"/>
      <c r="T1979" s="8"/>
      <c r="U1979" s="8"/>
      <c r="V1979" s="8"/>
      <c r="W1979" s="8"/>
      <c r="X1979" s="8"/>
      <c r="Y1979" s="8"/>
      <c r="Z1979" s="8"/>
      <c r="AA1979" s="8"/>
      <c r="AB1979" s="8"/>
      <c r="AC1979" s="8"/>
      <c r="AD1979" s="24"/>
      <c r="AE1979" s="24"/>
      <c r="AF1979" s="8"/>
      <c r="AG1979" s="8"/>
      <c r="AH1979" s="8"/>
      <c r="AI1979" s="8"/>
    </row>
    <row r="1980" spans="1:35" ht="15.75" customHeight="1" x14ac:dyDescent="0.25">
      <c r="A1980" s="8"/>
      <c r="B1980" s="8"/>
      <c r="C1980" s="8"/>
      <c r="D1980" s="8"/>
      <c r="E1980" s="5"/>
      <c r="F1980" s="16"/>
      <c r="G1980" s="16"/>
      <c r="H1980" s="5"/>
      <c r="I1980" s="5"/>
      <c r="J1980" s="5"/>
      <c r="K1980" s="5"/>
      <c r="L1980" s="5"/>
      <c r="M1980" s="48"/>
      <c r="N1980" s="18"/>
      <c r="O1980" s="22"/>
      <c r="P1980" s="22"/>
      <c r="Q1980" s="8"/>
      <c r="R1980" s="8"/>
      <c r="S1980" s="8"/>
      <c r="T1980" s="8"/>
      <c r="U1980" s="8"/>
      <c r="V1980" s="8"/>
      <c r="W1980" s="8"/>
      <c r="X1980" s="8"/>
      <c r="Y1980" s="8"/>
      <c r="Z1980" s="8"/>
      <c r="AA1980" s="8"/>
      <c r="AB1980" s="8"/>
      <c r="AC1980" s="8"/>
      <c r="AD1980" s="24"/>
      <c r="AE1980" s="24"/>
      <c r="AF1980" s="8"/>
      <c r="AG1980" s="8"/>
      <c r="AH1980" s="8"/>
      <c r="AI1980" s="8"/>
    </row>
    <row r="1981" spans="1:35" ht="15.75" customHeight="1" x14ac:dyDescent="0.25">
      <c r="A1981" s="8"/>
      <c r="B1981" s="8"/>
      <c r="C1981" s="8"/>
      <c r="D1981" s="8"/>
      <c r="E1981" s="5"/>
      <c r="F1981" s="16"/>
      <c r="G1981" s="16"/>
      <c r="H1981" s="5"/>
      <c r="I1981" s="5"/>
      <c r="J1981" s="5"/>
      <c r="K1981" s="5"/>
      <c r="L1981" s="5"/>
      <c r="M1981" s="48"/>
      <c r="N1981" s="18"/>
      <c r="O1981" s="22"/>
      <c r="P1981" s="22"/>
      <c r="Q1981" s="8"/>
      <c r="R1981" s="8"/>
      <c r="S1981" s="8"/>
      <c r="T1981" s="8"/>
      <c r="U1981" s="8"/>
      <c r="V1981" s="8"/>
      <c r="W1981" s="8"/>
      <c r="X1981" s="8"/>
      <c r="Y1981" s="8"/>
      <c r="Z1981" s="8"/>
      <c r="AA1981" s="8"/>
      <c r="AB1981" s="8"/>
      <c r="AC1981" s="8"/>
      <c r="AD1981" s="24"/>
      <c r="AE1981" s="24"/>
      <c r="AF1981" s="8"/>
      <c r="AG1981" s="8"/>
      <c r="AH1981" s="8"/>
      <c r="AI1981" s="8"/>
    </row>
    <row r="1982" spans="1:35" ht="15.75" customHeight="1" x14ac:dyDescent="0.25">
      <c r="A1982" s="8"/>
      <c r="B1982" s="8"/>
      <c r="C1982" s="8"/>
      <c r="D1982" s="8"/>
      <c r="E1982" s="5"/>
      <c r="F1982" s="16"/>
      <c r="G1982" s="16"/>
      <c r="H1982" s="5"/>
      <c r="I1982" s="5"/>
      <c r="J1982" s="5"/>
      <c r="K1982" s="5"/>
      <c r="L1982" s="5"/>
      <c r="M1982" s="48"/>
      <c r="N1982" s="18"/>
      <c r="O1982" s="22"/>
      <c r="P1982" s="22"/>
      <c r="Q1982" s="8"/>
      <c r="R1982" s="8"/>
      <c r="S1982" s="8"/>
      <c r="T1982" s="8"/>
      <c r="U1982" s="8"/>
      <c r="V1982" s="8"/>
      <c r="W1982" s="8"/>
      <c r="X1982" s="8"/>
      <c r="Y1982" s="8"/>
      <c r="Z1982" s="8"/>
      <c r="AA1982" s="8"/>
      <c r="AB1982" s="8"/>
      <c r="AC1982" s="8"/>
      <c r="AD1982" s="24"/>
      <c r="AE1982" s="24"/>
      <c r="AF1982" s="8"/>
      <c r="AG1982" s="8"/>
      <c r="AH1982" s="8"/>
      <c r="AI1982" s="8"/>
    </row>
    <row r="1983" spans="1:35" ht="15.75" customHeight="1" x14ac:dyDescent="0.25">
      <c r="A1983" s="8"/>
      <c r="B1983" s="8"/>
      <c r="C1983" s="8"/>
      <c r="D1983" s="8"/>
      <c r="E1983" s="5"/>
      <c r="F1983" s="16"/>
      <c r="G1983" s="16"/>
      <c r="H1983" s="5"/>
      <c r="I1983" s="5"/>
      <c r="J1983" s="5"/>
      <c r="K1983" s="5"/>
      <c r="L1983" s="5"/>
      <c r="M1983" s="48"/>
      <c r="N1983" s="18"/>
      <c r="O1983" s="22"/>
      <c r="P1983" s="22"/>
      <c r="Q1983" s="8"/>
      <c r="R1983" s="8"/>
      <c r="S1983" s="8"/>
      <c r="T1983" s="8"/>
      <c r="U1983" s="8"/>
      <c r="V1983" s="8"/>
      <c r="W1983" s="8"/>
      <c r="X1983" s="8"/>
      <c r="Y1983" s="8"/>
      <c r="Z1983" s="8"/>
      <c r="AA1983" s="8"/>
      <c r="AB1983" s="8"/>
      <c r="AC1983" s="8"/>
      <c r="AD1983" s="24"/>
      <c r="AE1983" s="24"/>
      <c r="AF1983" s="8"/>
      <c r="AG1983" s="8"/>
      <c r="AH1983" s="8"/>
      <c r="AI1983" s="8"/>
    </row>
    <row r="1984" spans="1:35" ht="15.75" customHeight="1" x14ac:dyDescent="0.25">
      <c r="A1984" s="8"/>
      <c r="B1984" s="8"/>
      <c r="C1984" s="8"/>
      <c r="D1984" s="8"/>
      <c r="E1984" s="5"/>
      <c r="F1984" s="16"/>
      <c r="G1984" s="16"/>
      <c r="H1984" s="5"/>
      <c r="I1984" s="5"/>
      <c r="J1984" s="5"/>
      <c r="K1984" s="5"/>
      <c r="L1984" s="5"/>
      <c r="M1984" s="48"/>
      <c r="N1984" s="18"/>
      <c r="O1984" s="22"/>
      <c r="P1984" s="22"/>
      <c r="Q1984" s="8"/>
      <c r="R1984" s="8"/>
      <c r="S1984" s="8"/>
      <c r="T1984" s="8"/>
      <c r="U1984" s="8"/>
      <c r="V1984" s="8"/>
      <c r="W1984" s="8"/>
      <c r="X1984" s="8"/>
      <c r="Y1984" s="8"/>
      <c r="Z1984" s="8"/>
      <c r="AA1984" s="8"/>
      <c r="AB1984" s="8"/>
      <c r="AC1984" s="8"/>
      <c r="AD1984" s="24"/>
      <c r="AE1984" s="24"/>
      <c r="AF1984" s="8"/>
      <c r="AG1984" s="8"/>
      <c r="AH1984" s="8"/>
      <c r="AI1984" s="8"/>
    </row>
    <row r="1985" spans="1:35" ht="15.75" customHeight="1" x14ac:dyDescent="0.25">
      <c r="A1985" s="8"/>
      <c r="B1985" s="8"/>
      <c r="C1985" s="8"/>
      <c r="D1985" s="8"/>
      <c r="E1985" s="5"/>
      <c r="F1985" s="16"/>
      <c r="G1985" s="16"/>
      <c r="H1985" s="5"/>
      <c r="I1985" s="5"/>
      <c r="J1985" s="5"/>
      <c r="K1985" s="5"/>
      <c r="L1985" s="5"/>
      <c r="M1985" s="48"/>
      <c r="N1985" s="18"/>
      <c r="O1985" s="22"/>
      <c r="P1985" s="22"/>
      <c r="Q1985" s="8"/>
      <c r="R1985" s="8"/>
      <c r="S1985" s="8"/>
      <c r="T1985" s="8"/>
      <c r="U1985" s="8"/>
      <c r="V1985" s="8"/>
      <c r="W1985" s="8"/>
      <c r="X1985" s="8"/>
      <c r="Y1985" s="8"/>
      <c r="Z1985" s="8"/>
      <c r="AA1985" s="8"/>
      <c r="AB1985" s="8"/>
      <c r="AC1985" s="8"/>
      <c r="AD1985" s="24"/>
      <c r="AE1985" s="24"/>
      <c r="AF1985" s="8"/>
      <c r="AG1985" s="8"/>
      <c r="AH1985" s="8"/>
      <c r="AI1985" s="8"/>
    </row>
    <row r="1986" spans="1:35" ht="15.75" customHeight="1" x14ac:dyDescent="0.25">
      <c r="A1986" s="8"/>
      <c r="B1986" s="8"/>
      <c r="C1986" s="8"/>
      <c r="D1986" s="8"/>
      <c r="E1986" s="5"/>
      <c r="F1986" s="16"/>
      <c r="G1986" s="16"/>
      <c r="H1986" s="5"/>
      <c r="I1986" s="5"/>
      <c r="J1986" s="5"/>
      <c r="K1986" s="5"/>
      <c r="L1986" s="5"/>
      <c r="M1986" s="48"/>
      <c r="N1986" s="18"/>
      <c r="O1986" s="22"/>
      <c r="P1986" s="22"/>
      <c r="Q1986" s="8"/>
      <c r="R1986" s="8"/>
      <c r="S1986" s="8"/>
      <c r="T1986" s="8"/>
      <c r="U1986" s="8"/>
      <c r="V1986" s="8"/>
      <c r="W1986" s="8"/>
      <c r="X1986" s="8"/>
      <c r="Y1986" s="8"/>
      <c r="Z1986" s="8"/>
      <c r="AA1986" s="8"/>
      <c r="AB1986" s="8"/>
      <c r="AC1986" s="8"/>
      <c r="AD1986" s="24"/>
      <c r="AE1986" s="24"/>
      <c r="AF1986" s="8"/>
      <c r="AG1986" s="8"/>
      <c r="AH1986" s="8"/>
      <c r="AI1986" s="8"/>
    </row>
    <row r="1987" spans="1:35" ht="15.75" customHeight="1" x14ac:dyDescent="0.25">
      <c r="A1987" s="8"/>
      <c r="B1987" s="8"/>
      <c r="C1987" s="8"/>
      <c r="D1987" s="8"/>
      <c r="E1987" s="5"/>
      <c r="F1987" s="16"/>
      <c r="G1987" s="16"/>
      <c r="H1987" s="5"/>
      <c r="I1987" s="5"/>
      <c r="J1987" s="5"/>
      <c r="K1987" s="5"/>
      <c r="L1987" s="5"/>
      <c r="M1987" s="48"/>
      <c r="N1987" s="18"/>
      <c r="O1987" s="22"/>
      <c r="P1987" s="22"/>
      <c r="Q1987" s="8"/>
      <c r="R1987" s="8"/>
      <c r="S1987" s="8"/>
      <c r="T1987" s="8"/>
      <c r="U1987" s="8"/>
      <c r="V1987" s="8"/>
      <c r="W1987" s="8"/>
      <c r="X1987" s="8"/>
      <c r="Y1987" s="8"/>
      <c r="Z1987" s="8"/>
      <c r="AA1987" s="8"/>
      <c r="AB1987" s="8"/>
      <c r="AC1987" s="8"/>
      <c r="AD1987" s="24"/>
      <c r="AE1987" s="24"/>
      <c r="AF1987" s="8"/>
      <c r="AG1987" s="8"/>
      <c r="AH1987" s="8"/>
      <c r="AI1987" s="8"/>
    </row>
    <row r="1988" spans="1:35" ht="15.75" customHeight="1" x14ac:dyDescent="0.25">
      <c r="A1988" s="8"/>
      <c r="B1988" s="8"/>
      <c r="C1988" s="8"/>
      <c r="D1988" s="8"/>
      <c r="E1988" s="5"/>
      <c r="F1988" s="16"/>
      <c r="G1988" s="16"/>
      <c r="H1988" s="5"/>
      <c r="I1988" s="5"/>
      <c r="J1988" s="5"/>
      <c r="K1988" s="5"/>
      <c r="L1988" s="5"/>
      <c r="M1988" s="48"/>
      <c r="N1988" s="18"/>
      <c r="O1988" s="22"/>
      <c r="P1988" s="22"/>
      <c r="Q1988" s="8"/>
      <c r="R1988" s="8"/>
      <c r="S1988" s="8"/>
      <c r="T1988" s="8"/>
      <c r="U1988" s="8"/>
      <c r="V1988" s="8"/>
      <c r="W1988" s="8"/>
      <c r="X1988" s="8"/>
      <c r="Y1988" s="8"/>
      <c r="Z1988" s="8"/>
      <c r="AA1988" s="8"/>
      <c r="AB1988" s="8"/>
      <c r="AC1988" s="8"/>
      <c r="AD1988" s="24"/>
      <c r="AE1988" s="24"/>
      <c r="AF1988" s="8"/>
      <c r="AG1988" s="8"/>
      <c r="AH1988" s="8"/>
      <c r="AI1988" s="8"/>
    </row>
    <row r="1989" spans="1:35" ht="15.75" customHeight="1" x14ac:dyDescent="0.25">
      <c r="A1989" s="8"/>
      <c r="B1989" s="8"/>
      <c r="C1989" s="8"/>
      <c r="D1989" s="8"/>
      <c r="E1989" s="5"/>
      <c r="F1989" s="16"/>
      <c r="G1989" s="16"/>
      <c r="H1989" s="5"/>
      <c r="I1989" s="5"/>
      <c r="J1989" s="5"/>
      <c r="K1989" s="5"/>
      <c r="L1989" s="5"/>
      <c r="M1989" s="48"/>
      <c r="N1989" s="18"/>
      <c r="O1989" s="22"/>
      <c r="P1989" s="22"/>
      <c r="Q1989" s="8"/>
      <c r="R1989" s="8"/>
      <c r="S1989" s="8"/>
      <c r="T1989" s="8"/>
      <c r="U1989" s="8"/>
      <c r="V1989" s="8"/>
      <c r="W1989" s="8"/>
      <c r="X1989" s="8"/>
      <c r="Y1989" s="8"/>
      <c r="Z1989" s="8"/>
      <c r="AA1989" s="8"/>
      <c r="AB1989" s="8"/>
      <c r="AC1989" s="8"/>
      <c r="AD1989" s="24"/>
      <c r="AE1989" s="24"/>
      <c r="AF1989" s="8"/>
      <c r="AG1989" s="8"/>
      <c r="AH1989" s="8"/>
      <c r="AI1989" s="8"/>
    </row>
    <row r="1990" spans="1:35" ht="15.75" customHeight="1" x14ac:dyDescent="0.25">
      <c r="A1990" s="8"/>
      <c r="B1990" s="8"/>
      <c r="C1990" s="8"/>
      <c r="D1990" s="8"/>
      <c r="E1990" s="5"/>
      <c r="F1990" s="16"/>
      <c r="G1990" s="16"/>
      <c r="H1990" s="5"/>
      <c r="I1990" s="5"/>
      <c r="J1990" s="5"/>
      <c r="K1990" s="5"/>
      <c r="L1990" s="5"/>
      <c r="M1990" s="48"/>
      <c r="N1990" s="18"/>
      <c r="O1990" s="22"/>
      <c r="P1990" s="22"/>
      <c r="Q1990" s="8"/>
      <c r="R1990" s="8"/>
      <c r="S1990" s="8"/>
      <c r="T1990" s="8"/>
      <c r="U1990" s="8"/>
      <c r="V1990" s="8"/>
      <c r="W1990" s="8"/>
      <c r="X1990" s="8"/>
      <c r="Y1990" s="8"/>
      <c r="Z1990" s="8"/>
      <c r="AA1990" s="8"/>
      <c r="AB1990" s="8"/>
      <c r="AC1990" s="8"/>
      <c r="AD1990" s="24"/>
      <c r="AE1990" s="24"/>
      <c r="AF1990" s="8"/>
      <c r="AG1990" s="8"/>
      <c r="AH1990" s="8"/>
      <c r="AI1990" s="8"/>
    </row>
    <row r="1991" spans="1:35" ht="15.75" customHeight="1" x14ac:dyDescent="0.25">
      <c r="A1991" s="8"/>
      <c r="B1991" s="8"/>
      <c r="C1991" s="8"/>
      <c r="D1991" s="8"/>
      <c r="E1991" s="5"/>
      <c r="F1991" s="16"/>
      <c r="G1991" s="16"/>
      <c r="H1991" s="5"/>
      <c r="I1991" s="5"/>
      <c r="J1991" s="5"/>
      <c r="K1991" s="5"/>
      <c r="L1991" s="5"/>
      <c r="M1991" s="48"/>
      <c r="N1991" s="18"/>
      <c r="O1991" s="22"/>
      <c r="P1991" s="22"/>
      <c r="Q1991" s="8"/>
      <c r="R1991" s="8"/>
      <c r="S1991" s="8"/>
      <c r="T1991" s="8"/>
      <c r="U1991" s="8"/>
      <c r="V1991" s="8"/>
      <c r="W1991" s="8"/>
      <c r="X1991" s="8"/>
      <c r="Y1991" s="8"/>
      <c r="Z1991" s="8"/>
      <c r="AA1991" s="8"/>
      <c r="AB1991" s="8"/>
      <c r="AC1991" s="8"/>
      <c r="AD1991" s="24"/>
      <c r="AE1991" s="24"/>
      <c r="AF1991" s="8"/>
      <c r="AG1991" s="8"/>
      <c r="AH1991" s="8"/>
      <c r="AI1991" s="8"/>
    </row>
    <row r="1992" spans="1:35" ht="15.75" customHeight="1" x14ac:dyDescent="0.25">
      <c r="A1992" s="8"/>
      <c r="B1992" s="8"/>
      <c r="C1992" s="8"/>
      <c r="D1992" s="8"/>
      <c r="E1992" s="5"/>
      <c r="F1992" s="16"/>
      <c r="G1992" s="16"/>
      <c r="H1992" s="5"/>
      <c r="I1992" s="5"/>
      <c r="J1992" s="5"/>
      <c r="K1992" s="5"/>
      <c r="L1992" s="5"/>
      <c r="M1992" s="48"/>
      <c r="N1992" s="18"/>
      <c r="O1992" s="22"/>
      <c r="P1992" s="22"/>
      <c r="Q1992" s="8"/>
      <c r="R1992" s="8"/>
      <c r="S1992" s="8"/>
      <c r="T1992" s="8"/>
      <c r="U1992" s="8"/>
      <c r="V1992" s="8"/>
      <c r="W1992" s="8"/>
      <c r="X1992" s="8"/>
      <c r="Y1992" s="8"/>
      <c r="Z1992" s="8"/>
      <c r="AA1992" s="8"/>
      <c r="AB1992" s="8"/>
      <c r="AC1992" s="8"/>
      <c r="AD1992" s="24"/>
      <c r="AE1992" s="24"/>
      <c r="AF1992" s="8"/>
      <c r="AG1992" s="8"/>
      <c r="AH1992" s="8"/>
      <c r="AI1992" s="8"/>
    </row>
    <row r="1993" spans="1:35" ht="15.75" customHeight="1" x14ac:dyDescent="0.25">
      <c r="A1993" s="8"/>
      <c r="B1993" s="8"/>
      <c r="C1993" s="8"/>
      <c r="D1993" s="8"/>
      <c r="E1993" s="5"/>
      <c r="F1993" s="16"/>
      <c r="G1993" s="16"/>
      <c r="H1993" s="5"/>
      <c r="I1993" s="5"/>
      <c r="J1993" s="5"/>
      <c r="K1993" s="5"/>
      <c r="L1993" s="5"/>
      <c r="M1993" s="48"/>
      <c r="N1993" s="18"/>
      <c r="O1993" s="22"/>
      <c r="P1993" s="22"/>
      <c r="Q1993" s="8"/>
      <c r="R1993" s="8"/>
      <c r="S1993" s="8"/>
      <c r="T1993" s="8"/>
      <c r="U1993" s="8"/>
      <c r="V1993" s="8"/>
      <c r="W1993" s="8"/>
      <c r="X1993" s="8"/>
      <c r="Y1993" s="8"/>
      <c r="Z1993" s="8"/>
      <c r="AA1993" s="8"/>
      <c r="AB1993" s="8"/>
      <c r="AC1993" s="8"/>
      <c r="AD1993" s="24"/>
      <c r="AE1993" s="24"/>
      <c r="AF1993" s="8"/>
      <c r="AG1993" s="8"/>
      <c r="AH1993" s="8"/>
      <c r="AI1993" s="8"/>
    </row>
    <row r="1994" spans="1:35" ht="15.75" customHeight="1" x14ac:dyDescent="0.25">
      <c r="A1994" s="8"/>
      <c r="B1994" s="8"/>
      <c r="C1994" s="8"/>
      <c r="D1994" s="8"/>
      <c r="E1994" s="5"/>
      <c r="F1994" s="16"/>
      <c r="G1994" s="16"/>
      <c r="H1994" s="5"/>
      <c r="I1994" s="5"/>
      <c r="J1994" s="5"/>
      <c r="K1994" s="5"/>
      <c r="L1994" s="5"/>
      <c r="M1994" s="48"/>
      <c r="N1994" s="18"/>
      <c r="O1994" s="22"/>
      <c r="P1994" s="22"/>
      <c r="Q1994" s="8"/>
      <c r="R1994" s="8"/>
      <c r="S1994" s="8"/>
      <c r="T1994" s="8"/>
      <c r="U1994" s="8"/>
      <c r="V1994" s="8"/>
      <c r="W1994" s="8"/>
      <c r="X1994" s="8"/>
      <c r="Y1994" s="8"/>
      <c r="Z1994" s="8"/>
      <c r="AA1994" s="8"/>
      <c r="AB1994" s="8"/>
      <c r="AC1994" s="8"/>
      <c r="AD1994" s="24"/>
      <c r="AE1994" s="24"/>
      <c r="AF1994" s="8"/>
      <c r="AG1994" s="8"/>
      <c r="AH1994" s="8"/>
      <c r="AI1994" s="8"/>
    </row>
    <row r="1995" spans="1:35" ht="15.75" customHeight="1" x14ac:dyDescent="0.25">
      <c r="A1995" s="8"/>
      <c r="B1995" s="8"/>
      <c r="C1995" s="8"/>
      <c r="D1995" s="8"/>
      <c r="E1995" s="5"/>
      <c r="F1995" s="16"/>
      <c r="G1995" s="16"/>
      <c r="H1995" s="5"/>
      <c r="I1995" s="5"/>
      <c r="J1995" s="5"/>
      <c r="K1995" s="5"/>
      <c r="L1995" s="5"/>
      <c r="M1995" s="48"/>
      <c r="N1995" s="18"/>
      <c r="O1995" s="22"/>
      <c r="P1995" s="22"/>
      <c r="Q1995" s="8"/>
      <c r="R1995" s="8"/>
      <c r="S1995" s="8"/>
      <c r="T1995" s="8"/>
      <c r="U1995" s="8"/>
      <c r="V1995" s="8"/>
      <c r="W1995" s="8"/>
      <c r="X1995" s="8"/>
      <c r="Y1995" s="8"/>
      <c r="Z1995" s="8"/>
      <c r="AA1995" s="8"/>
      <c r="AB1995" s="8"/>
      <c r="AC1995" s="8"/>
      <c r="AD1995" s="24"/>
      <c r="AE1995" s="24"/>
      <c r="AF1995" s="8"/>
      <c r="AG1995" s="8"/>
      <c r="AH1995" s="8"/>
      <c r="AI1995" s="8"/>
    </row>
    <row r="1996" spans="1:35" ht="15.75" customHeight="1" x14ac:dyDescent="0.25">
      <c r="A1996" s="8"/>
      <c r="B1996" s="8"/>
      <c r="C1996" s="8"/>
      <c r="D1996" s="8"/>
      <c r="E1996" s="5"/>
      <c r="F1996" s="16"/>
      <c r="G1996" s="16"/>
      <c r="H1996" s="5"/>
      <c r="I1996" s="5"/>
      <c r="J1996" s="5"/>
      <c r="K1996" s="5"/>
      <c r="L1996" s="5"/>
      <c r="M1996" s="48"/>
      <c r="N1996" s="18"/>
      <c r="O1996" s="22"/>
      <c r="P1996" s="22"/>
      <c r="Q1996" s="8"/>
      <c r="R1996" s="8"/>
      <c r="S1996" s="8"/>
      <c r="T1996" s="8"/>
      <c r="U1996" s="8"/>
      <c r="V1996" s="8"/>
      <c r="W1996" s="8"/>
      <c r="X1996" s="8"/>
      <c r="Y1996" s="8"/>
      <c r="Z1996" s="8"/>
      <c r="AA1996" s="8"/>
      <c r="AB1996" s="8"/>
      <c r="AC1996" s="8"/>
      <c r="AD1996" s="24"/>
      <c r="AE1996" s="24"/>
      <c r="AF1996" s="8"/>
      <c r="AG1996" s="8"/>
      <c r="AH1996" s="8"/>
      <c r="AI1996" s="8"/>
    </row>
    <row r="1997" spans="1:35" ht="15.75" customHeight="1" x14ac:dyDescent="0.25">
      <c r="A1997" s="8"/>
      <c r="B1997" s="8"/>
      <c r="C1997" s="8"/>
      <c r="D1997" s="8"/>
      <c r="E1997" s="5"/>
      <c r="F1997" s="16"/>
      <c r="G1997" s="16"/>
      <c r="H1997" s="5"/>
      <c r="I1997" s="5"/>
      <c r="J1997" s="5"/>
      <c r="K1997" s="5"/>
      <c r="L1997" s="5"/>
      <c r="M1997" s="48"/>
      <c r="N1997" s="18"/>
      <c r="O1997" s="22"/>
      <c r="P1997" s="22"/>
      <c r="Q1997" s="8"/>
      <c r="R1997" s="8"/>
      <c r="S1997" s="8"/>
      <c r="T1997" s="8"/>
      <c r="U1997" s="8"/>
      <c r="V1997" s="8"/>
      <c r="W1997" s="8"/>
      <c r="X1997" s="8"/>
      <c r="Y1997" s="8"/>
      <c r="Z1997" s="8"/>
      <c r="AA1997" s="8"/>
      <c r="AB1997" s="8"/>
      <c r="AC1997" s="8"/>
      <c r="AD1997" s="24"/>
      <c r="AE1997" s="24"/>
      <c r="AF1997" s="8"/>
      <c r="AG1997" s="8"/>
      <c r="AH1997" s="8"/>
      <c r="AI1997" s="8"/>
    </row>
    <row r="1998" spans="1:35" ht="15.75" customHeight="1" x14ac:dyDescent="0.25">
      <c r="A1998" s="8"/>
      <c r="B1998" s="8"/>
      <c r="C1998" s="8"/>
      <c r="D1998" s="8"/>
      <c r="E1998" s="5"/>
      <c r="F1998" s="16"/>
      <c r="G1998" s="16"/>
      <c r="H1998" s="5"/>
      <c r="I1998" s="5"/>
      <c r="J1998" s="5"/>
      <c r="K1998" s="5"/>
      <c r="L1998" s="5"/>
      <c r="M1998" s="48"/>
      <c r="N1998" s="18"/>
      <c r="O1998" s="22"/>
      <c r="P1998" s="22"/>
      <c r="Q1998" s="8"/>
      <c r="R1998" s="8"/>
      <c r="S1998" s="8"/>
      <c r="T1998" s="8"/>
      <c r="U1998" s="8"/>
      <c r="V1998" s="8"/>
      <c r="W1998" s="8"/>
      <c r="X1998" s="8"/>
      <c r="Y1998" s="8"/>
      <c r="Z1998" s="8"/>
      <c r="AA1998" s="8"/>
      <c r="AB1998" s="8"/>
      <c r="AC1998" s="8"/>
      <c r="AD1998" s="24"/>
      <c r="AE1998" s="24"/>
      <c r="AF1998" s="8"/>
      <c r="AG1998" s="8"/>
      <c r="AH1998" s="8"/>
      <c r="AI1998" s="8"/>
    </row>
    <row r="1999" spans="1:35" ht="15.75" customHeight="1" x14ac:dyDescent="0.25">
      <c r="A1999" s="8"/>
      <c r="B1999" s="8"/>
      <c r="C1999" s="8"/>
      <c r="D1999" s="8"/>
      <c r="E1999" s="5"/>
      <c r="F1999" s="16"/>
      <c r="G1999" s="16"/>
      <c r="H1999" s="5"/>
      <c r="I1999" s="5"/>
      <c r="J1999" s="5"/>
      <c r="K1999" s="5"/>
      <c r="L1999" s="5"/>
      <c r="M1999" s="48"/>
      <c r="N1999" s="18"/>
      <c r="O1999" s="22"/>
      <c r="P1999" s="22"/>
      <c r="Q1999" s="8"/>
      <c r="R1999" s="8"/>
      <c r="S1999" s="8"/>
      <c r="T1999" s="8"/>
      <c r="U1999" s="8"/>
      <c r="V1999" s="8"/>
      <c r="W1999" s="8"/>
      <c r="X1999" s="8"/>
      <c r="Y1999" s="8"/>
      <c r="Z1999" s="8"/>
      <c r="AA1999" s="8"/>
      <c r="AB1999" s="8"/>
      <c r="AC1999" s="8"/>
      <c r="AD1999" s="24"/>
      <c r="AE1999" s="24"/>
      <c r="AF1999" s="8"/>
      <c r="AG1999" s="8"/>
      <c r="AH1999" s="8"/>
      <c r="AI1999" s="8"/>
    </row>
    <row r="2000" spans="1:35" ht="15.75" customHeight="1" x14ac:dyDescent="0.25">
      <c r="A2000" s="8"/>
      <c r="B2000" s="8"/>
      <c r="C2000" s="8"/>
      <c r="D2000" s="8"/>
      <c r="E2000" s="5"/>
      <c r="F2000" s="16"/>
      <c r="G2000" s="16"/>
      <c r="H2000" s="5"/>
      <c r="I2000" s="5"/>
      <c r="J2000" s="5"/>
      <c r="K2000" s="5"/>
      <c r="L2000" s="5"/>
      <c r="M2000" s="48"/>
      <c r="N2000" s="18"/>
      <c r="O2000" s="22"/>
      <c r="P2000" s="22"/>
      <c r="Q2000" s="8"/>
      <c r="R2000" s="8"/>
      <c r="S2000" s="8"/>
      <c r="T2000" s="8"/>
      <c r="U2000" s="8"/>
      <c r="V2000" s="8"/>
      <c r="W2000" s="8"/>
      <c r="X2000" s="8"/>
      <c r="Y2000" s="8"/>
      <c r="Z2000" s="8"/>
      <c r="AA2000" s="8"/>
      <c r="AB2000" s="8"/>
      <c r="AC2000" s="8"/>
      <c r="AD2000" s="24"/>
      <c r="AE2000" s="24"/>
      <c r="AF2000" s="8"/>
      <c r="AG2000" s="8"/>
      <c r="AH2000" s="8"/>
      <c r="AI2000" s="8"/>
    </row>
    <row r="2001" spans="1:35" ht="15.75" customHeight="1" x14ac:dyDescent="0.25">
      <c r="A2001" s="8"/>
      <c r="B2001" s="8"/>
      <c r="C2001" s="8"/>
      <c r="D2001" s="8"/>
      <c r="E2001" s="5"/>
      <c r="F2001" s="16"/>
      <c r="G2001" s="16"/>
      <c r="H2001" s="5"/>
      <c r="I2001" s="5"/>
      <c r="J2001" s="5"/>
      <c r="K2001" s="5"/>
      <c r="L2001" s="5"/>
      <c r="M2001" s="48"/>
      <c r="N2001" s="18"/>
      <c r="O2001" s="22"/>
      <c r="P2001" s="22"/>
      <c r="Q2001" s="8"/>
      <c r="R2001" s="8"/>
      <c r="S2001" s="8"/>
      <c r="T2001" s="8"/>
      <c r="U2001" s="8"/>
      <c r="V2001" s="8"/>
      <c r="W2001" s="8"/>
      <c r="X2001" s="8"/>
      <c r="Y2001" s="8"/>
      <c r="Z2001" s="8"/>
      <c r="AA2001" s="8"/>
      <c r="AB2001" s="8"/>
      <c r="AC2001" s="8"/>
      <c r="AD2001" s="24"/>
      <c r="AE2001" s="24"/>
      <c r="AF2001" s="8"/>
      <c r="AG2001" s="8"/>
      <c r="AH2001" s="8"/>
      <c r="AI2001" s="8"/>
    </row>
    <row r="2002" spans="1:35" ht="15.75" customHeight="1" x14ac:dyDescent="0.25">
      <c r="A2002" s="8"/>
      <c r="B2002" s="8"/>
      <c r="C2002" s="8"/>
      <c r="D2002" s="8"/>
      <c r="E2002" s="5"/>
      <c r="F2002" s="16"/>
      <c r="G2002" s="16"/>
      <c r="H2002" s="5"/>
      <c r="I2002" s="5"/>
      <c r="J2002" s="5"/>
      <c r="K2002" s="5"/>
      <c r="L2002" s="5"/>
      <c r="M2002" s="48"/>
      <c r="N2002" s="18"/>
      <c r="O2002" s="22"/>
      <c r="P2002" s="22"/>
      <c r="Q2002" s="8"/>
      <c r="R2002" s="8"/>
      <c r="S2002" s="8"/>
      <c r="T2002" s="8"/>
      <c r="U2002" s="8"/>
      <c r="V2002" s="8"/>
      <c r="W2002" s="8"/>
      <c r="X2002" s="8"/>
      <c r="Y2002" s="8"/>
      <c r="Z2002" s="8"/>
      <c r="AA2002" s="8"/>
      <c r="AB2002" s="8"/>
      <c r="AC2002" s="8"/>
      <c r="AD2002" s="24"/>
      <c r="AE2002" s="24"/>
      <c r="AF2002" s="8"/>
      <c r="AG2002" s="8"/>
      <c r="AH2002" s="8"/>
      <c r="AI2002" s="8"/>
    </row>
    <row r="2003" spans="1:35" ht="15.75" customHeight="1" x14ac:dyDescent="0.25">
      <c r="A2003" s="8"/>
      <c r="B2003" s="8"/>
      <c r="C2003" s="8"/>
      <c r="D2003" s="8"/>
      <c r="E2003" s="5"/>
      <c r="F2003" s="16"/>
      <c r="G2003" s="16"/>
      <c r="H2003" s="5"/>
      <c r="I2003" s="5"/>
      <c r="J2003" s="5"/>
      <c r="K2003" s="5"/>
      <c r="L2003" s="5"/>
      <c r="M2003" s="48"/>
      <c r="N2003" s="18"/>
      <c r="O2003" s="22"/>
      <c r="P2003" s="22"/>
      <c r="Q2003" s="8"/>
      <c r="R2003" s="8"/>
      <c r="S2003" s="8"/>
      <c r="T2003" s="8"/>
      <c r="U2003" s="8"/>
      <c r="V2003" s="8"/>
      <c r="W2003" s="8"/>
      <c r="X2003" s="8"/>
      <c r="Y2003" s="8"/>
      <c r="Z2003" s="8"/>
      <c r="AA2003" s="8"/>
      <c r="AB2003" s="8"/>
      <c r="AC2003" s="8"/>
      <c r="AD2003" s="24"/>
      <c r="AE2003" s="24"/>
      <c r="AF2003" s="8"/>
      <c r="AG2003" s="8"/>
      <c r="AH2003" s="8"/>
      <c r="AI2003" s="8"/>
    </row>
    <row r="2004" spans="1:35" ht="15.75" customHeight="1" x14ac:dyDescent="0.25">
      <c r="A2004" s="8"/>
      <c r="B2004" s="8"/>
      <c r="C2004" s="8"/>
      <c r="D2004" s="8"/>
      <c r="E2004" s="5"/>
      <c r="F2004" s="16"/>
      <c r="G2004" s="16"/>
      <c r="H2004" s="5"/>
      <c r="I2004" s="5"/>
      <c r="J2004" s="5"/>
      <c r="K2004" s="5"/>
      <c r="L2004" s="5"/>
      <c r="M2004" s="48"/>
      <c r="N2004" s="18"/>
      <c r="O2004" s="22"/>
      <c r="P2004" s="22"/>
      <c r="Q2004" s="8"/>
      <c r="R2004" s="8"/>
      <c r="S2004" s="8"/>
      <c r="T2004" s="8"/>
      <c r="U2004" s="8"/>
      <c r="V2004" s="8"/>
      <c r="W2004" s="8"/>
      <c r="X2004" s="8"/>
      <c r="Y2004" s="8"/>
      <c r="Z2004" s="8"/>
      <c r="AA2004" s="8"/>
      <c r="AB2004" s="8"/>
      <c r="AC2004" s="8"/>
      <c r="AD2004" s="24"/>
      <c r="AE2004" s="24"/>
      <c r="AF2004" s="8"/>
      <c r="AG2004" s="8"/>
      <c r="AH2004" s="8"/>
      <c r="AI2004" s="8"/>
    </row>
    <row r="2005" spans="1:35" ht="15.75" customHeight="1" x14ac:dyDescent="0.25">
      <c r="A2005" s="8"/>
      <c r="B2005" s="8"/>
      <c r="C2005" s="8"/>
      <c r="D2005" s="8"/>
      <c r="E2005" s="5"/>
      <c r="F2005" s="16"/>
      <c r="G2005" s="16"/>
      <c r="H2005" s="5"/>
      <c r="I2005" s="5"/>
      <c r="J2005" s="5"/>
      <c r="K2005" s="5"/>
      <c r="L2005" s="5"/>
      <c r="M2005" s="48"/>
      <c r="N2005" s="18"/>
      <c r="O2005" s="22"/>
      <c r="P2005" s="22"/>
      <c r="Q2005" s="8"/>
      <c r="R2005" s="8"/>
      <c r="S2005" s="8"/>
      <c r="T2005" s="8"/>
      <c r="U2005" s="8"/>
      <c r="V2005" s="8"/>
      <c r="W2005" s="8"/>
      <c r="X2005" s="8"/>
      <c r="Y2005" s="8"/>
      <c r="Z2005" s="8"/>
      <c r="AA2005" s="8"/>
      <c r="AB2005" s="8"/>
      <c r="AC2005" s="8"/>
      <c r="AD2005" s="24"/>
      <c r="AE2005" s="24"/>
      <c r="AF2005" s="8"/>
      <c r="AG2005" s="8"/>
      <c r="AH2005" s="8"/>
      <c r="AI2005" s="8"/>
    </row>
    <row r="2006" spans="1:35" ht="15.75" customHeight="1" x14ac:dyDescent="0.25">
      <c r="A2006" s="8"/>
      <c r="B2006" s="8"/>
      <c r="C2006" s="8"/>
      <c r="D2006" s="8"/>
      <c r="E2006" s="5"/>
      <c r="F2006" s="16"/>
      <c r="G2006" s="16"/>
      <c r="H2006" s="5"/>
      <c r="I2006" s="5"/>
      <c r="J2006" s="5"/>
      <c r="K2006" s="5"/>
      <c r="L2006" s="5"/>
      <c r="M2006" s="48"/>
      <c r="N2006" s="18"/>
      <c r="O2006" s="22"/>
      <c r="P2006" s="22"/>
      <c r="Q2006" s="8"/>
      <c r="R2006" s="8"/>
      <c r="S2006" s="8"/>
      <c r="T2006" s="8"/>
      <c r="U2006" s="8"/>
      <c r="V2006" s="8"/>
      <c r="W2006" s="8"/>
      <c r="X2006" s="8"/>
      <c r="Y2006" s="8"/>
      <c r="Z2006" s="8"/>
      <c r="AA2006" s="8"/>
      <c r="AB2006" s="8"/>
      <c r="AC2006" s="8"/>
      <c r="AD2006" s="24"/>
      <c r="AE2006" s="24"/>
      <c r="AF2006" s="8"/>
      <c r="AG2006" s="8"/>
      <c r="AH2006" s="8"/>
      <c r="AI2006" s="8"/>
    </row>
    <row r="2007" spans="1:35" ht="15.75" customHeight="1" x14ac:dyDescent="0.25">
      <c r="A2007" s="8"/>
      <c r="B2007" s="8"/>
      <c r="C2007" s="8"/>
      <c r="D2007" s="8"/>
      <c r="E2007" s="5"/>
      <c r="F2007" s="16"/>
      <c r="G2007" s="16"/>
      <c r="H2007" s="5"/>
      <c r="I2007" s="5"/>
      <c r="J2007" s="5"/>
      <c r="K2007" s="5"/>
      <c r="L2007" s="5"/>
      <c r="M2007" s="48"/>
      <c r="N2007" s="18"/>
      <c r="O2007" s="22"/>
      <c r="P2007" s="22"/>
      <c r="Q2007" s="8"/>
      <c r="R2007" s="8"/>
      <c r="S2007" s="8"/>
      <c r="T2007" s="8"/>
      <c r="U2007" s="8"/>
      <c r="V2007" s="8"/>
      <c r="W2007" s="8"/>
      <c r="X2007" s="8"/>
      <c r="Y2007" s="8"/>
      <c r="Z2007" s="8"/>
      <c r="AA2007" s="8"/>
      <c r="AB2007" s="8"/>
      <c r="AC2007" s="8"/>
      <c r="AD2007" s="24"/>
      <c r="AE2007" s="24"/>
      <c r="AF2007" s="8"/>
      <c r="AG2007" s="8"/>
      <c r="AH2007" s="8"/>
      <c r="AI2007" s="8"/>
    </row>
    <row r="2008" spans="1:35" ht="15.75" customHeight="1" x14ac:dyDescent="0.25">
      <c r="A2008" s="8"/>
      <c r="B2008" s="8"/>
      <c r="C2008" s="8"/>
      <c r="D2008" s="8"/>
      <c r="E2008" s="5"/>
      <c r="F2008" s="16"/>
      <c r="G2008" s="16"/>
      <c r="H2008" s="5"/>
      <c r="I2008" s="5"/>
      <c r="J2008" s="5"/>
      <c r="K2008" s="5"/>
      <c r="L2008" s="5"/>
      <c r="M2008" s="48"/>
      <c r="N2008" s="18"/>
      <c r="O2008" s="22"/>
      <c r="P2008" s="22"/>
      <c r="Q2008" s="8"/>
      <c r="R2008" s="8"/>
      <c r="S2008" s="8"/>
      <c r="T2008" s="8"/>
      <c r="U2008" s="8"/>
      <c r="V2008" s="8"/>
      <c r="W2008" s="8"/>
      <c r="X2008" s="8"/>
      <c r="Y2008" s="8"/>
      <c r="Z2008" s="8"/>
      <c r="AA2008" s="8"/>
      <c r="AB2008" s="8"/>
      <c r="AC2008" s="8"/>
      <c r="AD2008" s="24"/>
      <c r="AE2008" s="24"/>
      <c r="AF2008" s="8"/>
      <c r="AG2008" s="8"/>
      <c r="AH2008" s="8"/>
      <c r="AI2008" s="8"/>
    </row>
    <row r="2009" spans="1:35" ht="15.75" customHeight="1" x14ac:dyDescent="0.25">
      <c r="A2009" s="8"/>
      <c r="B2009" s="8"/>
      <c r="C2009" s="8"/>
      <c r="D2009" s="8"/>
      <c r="E2009" s="5"/>
      <c r="F2009" s="16"/>
      <c r="G2009" s="16"/>
      <c r="H2009" s="5"/>
      <c r="I2009" s="5"/>
      <c r="J2009" s="5"/>
      <c r="K2009" s="5"/>
      <c r="L2009" s="5"/>
      <c r="M2009" s="48"/>
      <c r="N2009" s="18"/>
      <c r="O2009" s="22"/>
      <c r="P2009" s="22"/>
      <c r="Q2009" s="8"/>
      <c r="R2009" s="8"/>
      <c r="S2009" s="8"/>
      <c r="T2009" s="8"/>
      <c r="U2009" s="8"/>
      <c r="V2009" s="8"/>
      <c r="W2009" s="8"/>
      <c r="X2009" s="8"/>
      <c r="Y2009" s="8"/>
      <c r="Z2009" s="8"/>
      <c r="AA2009" s="8"/>
      <c r="AB2009" s="8"/>
      <c r="AC2009" s="8"/>
      <c r="AD2009" s="24"/>
      <c r="AE2009" s="24"/>
      <c r="AF2009" s="8"/>
      <c r="AG2009" s="8"/>
      <c r="AH2009" s="8"/>
      <c r="AI2009" s="8"/>
    </row>
    <row r="2010" spans="1:35" ht="15.75" customHeight="1" x14ac:dyDescent="0.25">
      <c r="A2010" s="8"/>
      <c r="B2010" s="8"/>
      <c r="C2010" s="8"/>
      <c r="D2010" s="8"/>
      <c r="E2010" s="5"/>
      <c r="F2010" s="16"/>
      <c r="G2010" s="16"/>
      <c r="H2010" s="5"/>
      <c r="I2010" s="5"/>
      <c r="J2010" s="5"/>
      <c r="K2010" s="5"/>
      <c r="L2010" s="5"/>
      <c r="M2010" s="48"/>
      <c r="N2010" s="18"/>
      <c r="O2010" s="22"/>
      <c r="P2010" s="22"/>
      <c r="Q2010" s="8"/>
      <c r="R2010" s="8"/>
      <c r="S2010" s="8"/>
      <c r="T2010" s="8"/>
      <c r="U2010" s="8"/>
      <c r="V2010" s="8"/>
      <c r="W2010" s="8"/>
      <c r="X2010" s="8"/>
      <c r="Y2010" s="8"/>
      <c r="Z2010" s="8"/>
      <c r="AA2010" s="8"/>
      <c r="AB2010" s="8"/>
      <c r="AC2010" s="8"/>
      <c r="AD2010" s="24"/>
      <c r="AE2010" s="24"/>
      <c r="AF2010" s="8"/>
      <c r="AG2010" s="8"/>
      <c r="AH2010" s="8"/>
      <c r="AI2010" s="8"/>
    </row>
    <row r="2011" spans="1:35" ht="15.75" customHeight="1" x14ac:dyDescent="0.25">
      <c r="A2011" s="8"/>
      <c r="B2011" s="8"/>
      <c r="C2011" s="8"/>
      <c r="D2011" s="8"/>
      <c r="E2011" s="5"/>
      <c r="F2011" s="16"/>
      <c r="G2011" s="16"/>
      <c r="H2011" s="5"/>
      <c r="I2011" s="5"/>
      <c r="J2011" s="5"/>
      <c r="K2011" s="5"/>
      <c r="L2011" s="5"/>
      <c r="M2011" s="48"/>
      <c r="N2011" s="18"/>
      <c r="O2011" s="22"/>
      <c r="P2011" s="22"/>
      <c r="Q2011" s="8"/>
      <c r="R2011" s="8"/>
      <c r="S2011" s="8"/>
      <c r="T2011" s="8"/>
      <c r="U2011" s="8"/>
      <c r="V2011" s="8"/>
      <c r="W2011" s="8"/>
      <c r="X2011" s="8"/>
      <c r="Y2011" s="8"/>
      <c r="Z2011" s="8"/>
      <c r="AA2011" s="8"/>
      <c r="AB2011" s="8"/>
      <c r="AC2011" s="8"/>
      <c r="AD2011" s="24"/>
      <c r="AE2011" s="24"/>
      <c r="AF2011" s="8"/>
      <c r="AG2011" s="8"/>
      <c r="AH2011" s="8"/>
      <c r="AI2011" s="8"/>
    </row>
    <row r="2012" spans="1:35" ht="15.75" customHeight="1" x14ac:dyDescent="0.25">
      <c r="A2012" s="8"/>
      <c r="B2012" s="8"/>
      <c r="C2012" s="8"/>
      <c r="D2012" s="8"/>
      <c r="E2012" s="5"/>
      <c r="F2012" s="16"/>
      <c r="G2012" s="16"/>
      <c r="H2012" s="5"/>
      <c r="I2012" s="5"/>
      <c r="J2012" s="5"/>
      <c r="K2012" s="5"/>
      <c r="L2012" s="5"/>
      <c r="M2012" s="48"/>
      <c r="N2012" s="18"/>
      <c r="O2012" s="22"/>
      <c r="P2012" s="22"/>
      <c r="Q2012" s="8"/>
      <c r="R2012" s="8"/>
      <c r="S2012" s="8"/>
      <c r="T2012" s="8"/>
      <c r="U2012" s="8"/>
      <c r="V2012" s="8"/>
      <c r="W2012" s="8"/>
      <c r="X2012" s="8"/>
      <c r="Y2012" s="8"/>
      <c r="Z2012" s="8"/>
      <c r="AA2012" s="8"/>
      <c r="AB2012" s="8"/>
      <c r="AC2012" s="8"/>
      <c r="AD2012" s="24"/>
      <c r="AE2012" s="24"/>
      <c r="AF2012" s="8"/>
      <c r="AG2012" s="8"/>
      <c r="AH2012" s="8"/>
      <c r="AI2012" s="8"/>
    </row>
    <row r="2013" spans="1:35" ht="15.75" customHeight="1" x14ac:dyDescent="0.25">
      <c r="A2013" s="8"/>
      <c r="B2013" s="8"/>
      <c r="C2013" s="8"/>
      <c r="D2013" s="8"/>
      <c r="E2013" s="5"/>
      <c r="F2013" s="16"/>
      <c r="G2013" s="16"/>
      <c r="H2013" s="5"/>
      <c r="I2013" s="5"/>
      <c r="J2013" s="5"/>
      <c r="K2013" s="5"/>
      <c r="L2013" s="5"/>
      <c r="M2013" s="48"/>
      <c r="N2013" s="18"/>
      <c r="O2013" s="22"/>
      <c r="P2013" s="22"/>
      <c r="Q2013" s="8"/>
      <c r="R2013" s="8"/>
      <c r="S2013" s="8"/>
      <c r="T2013" s="8"/>
      <c r="U2013" s="8"/>
      <c r="V2013" s="8"/>
      <c r="W2013" s="8"/>
      <c r="X2013" s="8"/>
      <c r="Y2013" s="8"/>
      <c r="Z2013" s="8"/>
      <c r="AA2013" s="8"/>
      <c r="AB2013" s="8"/>
      <c r="AC2013" s="8"/>
      <c r="AD2013" s="24"/>
      <c r="AE2013" s="24"/>
      <c r="AF2013" s="8"/>
      <c r="AG2013" s="8"/>
      <c r="AH2013" s="8"/>
      <c r="AI2013" s="8"/>
    </row>
    <row r="2014" spans="1:35" ht="15.75" customHeight="1" x14ac:dyDescent="0.25">
      <c r="A2014" s="8"/>
      <c r="B2014" s="8"/>
      <c r="C2014" s="8"/>
      <c r="D2014" s="8"/>
      <c r="E2014" s="5"/>
      <c r="F2014" s="16"/>
      <c r="G2014" s="16"/>
      <c r="H2014" s="5"/>
      <c r="I2014" s="5"/>
      <c r="J2014" s="5"/>
      <c r="K2014" s="5"/>
      <c r="L2014" s="5"/>
      <c r="M2014" s="48"/>
      <c r="N2014" s="18"/>
      <c r="O2014" s="22"/>
      <c r="P2014" s="22"/>
      <c r="Q2014" s="8"/>
      <c r="R2014" s="8"/>
      <c r="S2014" s="8"/>
      <c r="T2014" s="8"/>
      <c r="U2014" s="8"/>
      <c r="V2014" s="8"/>
      <c r="W2014" s="8"/>
      <c r="X2014" s="8"/>
      <c r="Y2014" s="8"/>
      <c r="Z2014" s="8"/>
      <c r="AA2014" s="8"/>
      <c r="AB2014" s="8"/>
      <c r="AC2014" s="8"/>
      <c r="AD2014" s="24"/>
      <c r="AE2014" s="24"/>
      <c r="AF2014" s="8"/>
      <c r="AG2014" s="8"/>
      <c r="AH2014" s="8"/>
      <c r="AI2014" s="8"/>
    </row>
    <row r="2015" spans="1:35" ht="15.75" customHeight="1" x14ac:dyDescent="0.25">
      <c r="A2015" s="8"/>
      <c r="B2015" s="8"/>
      <c r="C2015" s="8"/>
      <c r="D2015" s="8"/>
      <c r="E2015" s="5"/>
      <c r="F2015" s="16"/>
      <c r="G2015" s="16"/>
      <c r="H2015" s="5"/>
      <c r="I2015" s="5"/>
      <c r="J2015" s="5"/>
      <c r="K2015" s="5"/>
      <c r="L2015" s="5"/>
      <c r="M2015" s="48"/>
      <c r="N2015" s="18"/>
      <c r="O2015" s="22"/>
      <c r="P2015" s="22"/>
      <c r="Q2015" s="8"/>
      <c r="R2015" s="8"/>
      <c r="S2015" s="8"/>
      <c r="T2015" s="8"/>
      <c r="U2015" s="8"/>
      <c r="V2015" s="8"/>
      <c r="W2015" s="8"/>
      <c r="X2015" s="8"/>
      <c r="Y2015" s="8"/>
      <c r="Z2015" s="8"/>
      <c r="AA2015" s="8"/>
      <c r="AB2015" s="8"/>
      <c r="AC2015" s="8"/>
      <c r="AD2015" s="24"/>
      <c r="AE2015" s="24"/>
      <c r="AF2015" s="8"/>
      <c r="AG2015" s="8"/>
      <c r="AH2015" s="8"/>
      <c r="AI2015" s="8"/>
    </row>
    <row r="2016" spans="1:35" ht="15.75" customHeight="1" x14ac:dyDescent="0.25">
      <c r="A2016" s="8"/>
      <c r="B2016" s="8"/>
      <c r="C2016" s="8"/>
      <c r="D2016" s="8"/>
      <c r="E2016" s="5"/>
      <c r="F2016" s="16"/>
      <c r="G2016" s="16"/>
      <c r="H2016" s="5"/>
      <c r="I2016" s="5"/>
      <c r="J2016" s="5"/>
      <c r="K2016" s="5"/>
      <c r="L2016" s="5"/>
      <c r="M2016" s="48"/>
      <c r="N2016" s="18"/>
      <c r="O2016" s="22"/>
      <c r="P2016" s="22"/>
      <c r="Q2016" s="8"/>
      <c r="R2016" s="8"/>
      <c r="S2016" s="8"/>
      <c r="T2016" s="8"/>
      <c r="U2016" s="8"/>
      <c r="V2016" s="8"/>
      <c r="W2016" s="8"/>
      <c r="X2016" s="8"/>
      <c r="Y2016" s="8"/>
      <c r="Z2016" s="8"/>
      <c r="AA2016" s="8"/>
      <c r="AB2016" s="8"/>
      <c r="AC2016" s="8"/>
      <c r="AD2016" s="24"/>
      <c r="AE2016" s="24"/>
      <c r="AF2016" s="8"/>
      <c r="AG2016" s="8"/>
      <c r="AH2016" s="8"/>
      <c r="AI2016" s="8"/>
    </row>
    <row r="2017" spans="1:35" ht="15.75" customHeight="1" x14ac:dyDescent="0.25">
      <c r="A2017" s="8"/>
      <c r="B2017" s="8"/>
      <c r="C2017" s="8"/>
      <c r="D2017" s="8"/>
      <c r="E2017" s="5"/>
      <c r="F2017" s="16"/>
      <c r="G2017" s="16"/>
      <c r="H2017" s="5"/>
      <c r="I2017" s="5"/>
      <c r="J2017" s="5"/>
      <c r="K2017" s="5"/>
      <c r="L2017" s="5"/>
      <c r="M2017" s="48"/>
      <c r="N2017" s="18"/>
      <c r="O2017" s="22"/>
      <c r="P2017" s="22"/>
      <c r="Q2017" s="8"/>
      <c r="R2017" s="8"/>
      <c r="S2017" s="8"/>
      <c r="T2017" s="8"/>
      <c r="U2017" s="8"/>
      <c r="V2017" s="8"/>
      <c r="W2017" s="8"/>
      <c r="X2017" s="8"/>
      <c r="Y2017" s="8"/>
      <c r="Z2017" s="8"/>
      <c r="AA2017" s="8"/>
      <c r="AB2017" s="8"/>
      <c r="AC2017" s="8"/>
      <c r="AD2017" s="24"/>
      <c r="AE2017" s="24"/>
      <c r="AF2017" s="8"/>
      <c r="AG2017" s="8"/>
      <c r="AH2017" s="8"/>
      <c r="AI2017" s="8"/>
    </row>
    <row r="2018" spans="1:35" ht="15.75" customHeight="1" x14ac:dyDescent="0.25">
      <c r="A2018" s="8"/>
      <c r="B2018" s="8"/>
      <c r="C2018" s="8"/>
      <c r="D2018" s="8"/>
      <c r="E2018" s="5"/>
      <c r="F2018" s="16"/>
      <c r="G2018" s="16"/>
      <c r="H2018" s="5"/>
      <c r="I2018" s="5"/>
      <c r="J2018" s="5"/>
      <c r="K2018" s="5"/>
      <c r="L2018" s="5"/>
      <c r="M2018" s="48"/>
      <c r="N2018" s="18"/>
      <c r="O2018" s="22"/>
      <c r="P2018" s="22"/>
      <c r="Q2018" s="8"/>
      <c r="R2018" s="8"/>
      <c r="S2018" s="8"/>
      <c r="T2018" s="8"/>
      <c r="U2018" s="8"/>
      <c r="V2018" s="8"/>
      <c r="W2018" s="8"/>
      <c r="X2018" s="8"/>
      <c r="Y2018" s="8"/>
      <c r="Z2018" s="8"/>
      <c r="AA2018" s="8"/>
      <c r="AB2018" s="8"/>
      <c r="AC2018" s="8"/>
      <c r="AD2018" s="24"/>
      <c r="AE2018" s="24"/>
      <c r="AF2018" s="8"/>
      <c r="AG2018" s="8"/>
      <c r="AH2018" s="8"/>
      <c r="AI2018" s="8"/>
    </row>
    <row r="2019" spans="1:35" ht="15.75" customHeight="1" x14ac:dyDescent="0.25">
      <c r="A2019" s="8"/>
      <c r="B2019" s="8"/>
      <c r="C2019" s="8"/>
      <c r="D2019" s="8"/>
      <c r="E2019" s="5"/>
      <c r="F2019" s="16"/>
      <c r="G2019" s="16"/>
      <c r="H2019" s="5"/>
      <c r="I2019" s="5"/>
      <c r="J2019" s="5"/>
      <c r="K2019" s="5"/>
      <c r="L2019" s="5"/>
      <c r="M2019" s="48"/>
      <c r="N2019" s="18"/>
      <c r="O2019" s="22"/>
      <c r="P2019" s="22"/>
      <c r="Q2019" s="8"/>
      <c r="R2019" s="8"/>
      <c r="S2019" s="8"/>
      <c r="T2019" s="8"/>
      <c r="U2019" s="8"/>
      <c r="V2019" s="8"/>
      <c r="W2019" s="8"/>
      <c r="X2019" s="8"/>
      <c r="Y2019" s="8"/>
      <c r="Z2019" s="8"/>
      <c r="AA2019" s="8"/>
      <c r="AB2019" s="8"/>
      <c r="AC2019" s="8"/>
      <c r="AD2019" s="24"/>
      <c r="AE2019" s="24"/>
      <c r="AF2019" s="8"/>
      <c r="AG2019" s="8"/>
      <c r="AH2019" s="8"/>
      <c r="AI2019" s="8"/>
    </row>
    <row r="2020" spans="1:35" ht="15.75" customHeight="1" x14ac:dyDescent="0.25">
      <c r="A2020" s="8"/>
      <c r="B2020" s="8"/>
      <c r="C2020" s="8"/>
      <c r="D2020" s="8"/>
      <c r="E2020" s="5"/>
      <c r="F2020" s="16"/>
      <c r="G2020" s="16"/>
      <c r="H2020" s="5"/>
      <c r="I2020" s="5"/>
      <c r="J2020" s="5"/>
      <c r="K2020" s="5"/>
      <c r="L2020" s="5"/>
      <c r="M2020" s="48"/>
      <c r="N2020" s="18"/>
      <c r="O2020" s="22"/>
      <c r="P2020" s="22"/>
      <c r="Q2020" s="8"/>
      <c r="R2020" s="8"/>
      <c r="S2020" s="8"/>
      <c r="T2020" s="8"/>
      <c r="U2020" s="8"/>
      <c r="V2020" s="8"/>
      <c r="W2020" s="8"/>
      <c r="X2020" s="8"/>
      <c r="Y2020" s="8"/>
      <c r="Z2020" s="8"/>
      <c r="AA2020" s="8"/>
      <c r="AB2020" s="8"/>
      <c r="AC2020" s="8"/>
      <c r="AD2020" s="24"/>
      <c r="AE2020" s="24"/>
      <c r="AF2020" s="8"/>
      <c r="AG2020" s="8"/>
      <c r="AH2020" s="8"/>
      <c r="AI2020" s="8"/>
    </row>
    <row r="2021" spans="1:35" ht="15.75" customHeight="1" x14ac:dyDescent="0.25">
      <c r="A2021" s="8"/>
      <c r="B2021" s="8"/>
      <c r="C2021" s="8"/>
      <c r="D2021" s="8"/>
      <c r="E2021" s="5"/>
      <c r="F2021" s="16"/>
      <c r="G2021" s="16"/>
      <c r="H2021" s="5"/>
      <c r="I2021" s="5"/>
      <c r="J2021" s="5"/>
      <c r="K2021" s="5"/>
      <c r="L2021" s="5"/>
      <c r="M2021" s="48"/>
      <c r="N2021" s="18"/>
      <c r="O2021" s="22"/>
      <c r="P2021" s="22"/>
      <c r="Q2021" s="8"/>
      <c r="R2021" s="8"/>
      <c r="S2021" s="8"/>
      <c r="T2021" s="8"/>
      <c r="U2021" s="8"/>
      <c r="V2021" s="8"/>
      <c r="W2021" s="8"/>
      <c r="X2021" s="8"/>
      <c r="Y2021" s="8"/>
      <c r="Z2021" s="8"/>
      <c r="AA2021" s="8"/>
      <c r="AB2021" s="8"/>
      <c r="AC2021" s="8"/>
      <c r="AD2021" s="24"/>
      <c r="AE2021" s="24"/>
      <c r="AF2021" s="8"/>
      <c r="AG2021" s="8"/>
      <c r="AH2021" s="8"/>
      <c r="AI2021" s="8"/>
    </row>
    <row r="2022" spans="1:35" ht="15.75" customHeight="1" x14ac:dyDescent="0.25">
      <c r="A2022" s="8"/>
      <c r="B2022" s="8"/>
      <c r="C2022" s="8"/>
      <c r="D2022" s="8"/>
      <c r="E2022" s="5"/>
      <c r="F2022" s="16"/>
      <c r="G2022" s="16"/>
      <c r="H2022" s="5"/>
      <c r="I2022" s="5"/>
      <c r="J2022" s="5"/>
      <c r="K2022" s="5"/>
      <c r="L2022" s="5"/>
      <c r="M2022" s="48"/>
      <c r="N2022" s="18"/>
      <c r="O2022" s="22"/>
      <c r="P2022" s="22"/>
      <c r="Q2022" s="8"/>
      <c r="R2022" s="8"/>
      <c r="S2022" s="8"/>
      <c r="T2022" s="8"/>
      <c r="U2022" s="8"/>
      <c r="V2022" s="8"/>
      <c r="W2022" s="8"/>
      <c r="X2022" s="8"/>
      <c r="Y2022" s="8"/>
      <c r="Z2022" s="8"/>
      <c r="AA2022" s="8"/>
      <c r="AB2022" s="8"/>
      <c r="AC2022" s="8"/>
      <c r="AD2022" s="24"/>
      <c r="AE2022" s="24"/>
      <c r="AF2022" s="8"/>
      <c r="AG2022" s="8"/>
      <c r="AH2022" s="8"/>
      <c r="AI2022" s="8"/>
    </row>
    <row r="2023" spans="1:35" ht="15.75" customHeight="1" x14ac:dyDescent="0.25">
      <c r="A2023" s="8"/>
      <c r="B2023" s="8"/>
      <c r="C2023" s="8"/>
      <c r="D2023" s="8"/>
      <c r="E2023" s="5"/>
      <c r="F2023" s="16"/>
      <c r="G2023" s="16"/>
      <c r="H2023" s="5"/>
      <c r="I2023" s="5"/>
      <c r="J2023" s="5"/>
      <c r="K2023" s="5"/>
      <c r="L2023" s="5"/>
      <c r="M2023" s="48"/>
      <c r="N2023" s="18"/>
      <c r="O2023" s="22"/>
      <c r="P2023" s="22"/>
      <c r="Q2023" s="8"/>
      <c r="R2023" s="8"/>
      <c r="S2023" s="8"/>
      <c r="T2023" s="8"/>
      <c r="U2023" s="8"/>
      <c r="V2023" s="8"/>
      <c r="W2023" s="8"/>
      <c r="X2023" s="8"/>
      <c r="Y2023" s="8"/>
      <c r="Z2023" s="8"/>
      <c r="AA2023" s="8"/>
      <c r="AB2023" s="8"/>
      <c r="AC2023" s="8"/>
      <c r="AD2023" s="24"/>
      <c r="AE2023" s="24"/>
      <c r="AF2023" s="8"/>
      <c r="AG2023" s="8"/>
      <c r="AH2023" s="8"/>
      <c r="AI2023" s="8"/>
    </row>
    <row r="2024" spans="1:35" ht="15.75" customHeight="1" x14ac:dyDescent="0.25">
      <c r="A2024" s="8"/>
      <c r="B2024" s="8"/>
      <c r="C2024" s="8"/>
      <c r="D2024" s="8"/>
      <c r="E2024" s="5"/>
      <c r="F2024" s="16"/>
      <c r="G2024" s="16"/>
      <c r="H2024" s="5"/>
      <c r="I2024" s="5"/>
      <c r="J2024" s="5"/>
      <c r="K2024" s="5"/>
      <c r="L2024" s="5"/>
      <c r="M2024" s="48"/>
      <c r="N2024" s="18"/>
      <c r="O2024" s="22"/>
      <c r="P2024" s="22"/>
      <c r="Q2024" s="8"/>
      <c r="R2024" s="8"/>
      <c r="S2024" s="8"/>
      <c r="T2024" s="8"/>
      <c r="U2024" s="8"/>
      <c r="V2024" s="8"/>
      <c r="W2024" s="8"/>
      <c r="X2024" s="8"/>
      <c r="Y2024" s="8"/>
      <c r="Z2024" s="8"/>
      <c r="AA2024" s="8"/>
      <c r="AB2024" s="8"/>
      <c r="AC2024" s="8"/>
      <c r="AD2024" s="24"/>
      <c r="AE2024" s="24"/>
      <c r="AF2024" s="8"/>
      <c r="AG2024" s="8"/>
      <c r="AH2024" s="8"/>
      <c r="AI2024" s="8"/>
    </row>
    <row r="2025" spans="1:35" ht="15.75" customHeight="1" x14ac:dyDescent="0.25">
      <c r="A2025" s="8"/>
      <c r="B2025" s="8"/>
      <c r="C2025" s="8"/>
      <c r="D2025" s="8"/>
      <c r="E2025" s="5"/>
      <c r="F2025" s="16"/>
      <c r="G2025" s="16"/>
      <c r="H2025" s="5"/>
      <c r="I2025" s="5"/>
      <c r="J2025" s="5"/>
      <c r="K2025" s="5"/>
      <c r="L2025" s="5"/>
      <c r="M2025" s="48"/>
      <c r="N2025" s="18"/>
      <c r="O2025" s="22"/>
      <c r="P2025" s="22"/>
      <c r="Q2025" s="8"/>
      <c r="R2025" s="8"/>
      <c r="S2025" s="8"/>
      <c r="T2025" s="8"/>
      <c r="U2025" s="8"/>
      <c r="V2025" s="8"/>
      <c r="W2025" s="8"/>
      <c r="X2025" s="8"/>
      <c r="Y2025" s="8"/>
      <c r="Z2025" s="8"/>
      <c r="AA2025" s="8"/>
      <c r="AB2025" s="8"/>
      <c r="AC2025" s="8"/>
      <c r="AD2025" s="24"/>
      <c r="AE2025" s="24"/>
      <c r="AF2025" s="8"/>
      <c r="AG2025" s="8"/>
      <c r="AH2025" s="8"/>
      <c r="AI2025" s="8"/>
    </row>
    <row r="2026" spans="1:35" ht="15.75" customHeight="1" x14ac:dyDescent="0.25">
      <c r="A2026" s="8"/>
      <c r="B2026" s="8"/>
      <c r="C2026" s="8"/>
      <c r="D2026" s="8"/>
      <c r="E2026" s="5"/>
      <c r="F2026" s="16"/>
      <c r="G2026" s="16"/>
      <c r="H2026" s="5"/>
      <c r="I2026" s="5"/>
      <c r="J2026" s="5"/>
      <c r="K2026" s="5"/>
      <c r="L2026" s="5"/>
      <c r="M2026" s="48"/>
      <c r="N2026" s="18"/>
      <c r="O2026" s="22"/>
      <c r="P2026" s="22"/>
      <c r="Q2026" s="8"/>
      <c r="R2026" s="8"/>
      <c r="S2026" s="8"/>
      <c r="T2026" s="8"/>
      <c r="U2026" s="8"/>
      <c r="V2026" s="8"/>
      <c r="W2026" s="8"/>
      <c r="X2026" s="8"/>
      <c r="Y2026" s="8"/>
      <c r="Z2026" s="8"/>
      <c r="AA2026" s="8"/>
      <c r="AB2026" s="8"/>
      <c r="AC2026" s="8"/>
      <c r="AD2026" s="24"/>
      <c r="AE2026" s="24"/>
      <c r="AF2026" s="8"/>
      <c r="AG2026" s="8"/>
      <c r="AH2026" s="8"/>
      <c r="AI2026" s="8"/>
    </row>
    <row r="2027" spans="1:35" ht="15.75" customHeight="1" x14ac:dyDescent="0.25">
      <c r="A2027" s="8"/>
      <c r="B2027" s="8"/>
      <c r="C2027" s="8"/>
      <c r="D2027" s="8"/>
      <c r="E2027" s="5"/>
      <c r="F2027" s="16"/>
      <c r="G2027" s="16"/>
      <c r="H2027" s="5"/>
      <c r="I2027" s="5"/>
      <c r="J2027" s="5"/>
      <c r="K2027" s="5"/>
      <c r="L2027" s="5"/>
      <c r="M2027" s="48"/>
      <c r="N2027" s="18"/>
      <c r="O2027" s="22"/>
      <c r="P2027" s="22"/>
      <c r="Q2027" s="8"/>
      <c r="R2027" s="8"/>
      <c r="S2027" s="8"/>
      <c r="T2027" s="8"/>
      <c r="U2027" s="8"/>
      <c r="V2027" s="8"/>
      <c r="W2027" s="8"/>
      <c r="X2027" s="8"/>
      <c r="Y2027" s="8"/>
      <c r="Z2027" s="8"/>
      <c r="AA2027" s="8"/>
      <c r="AB2027" s="8"/>
      <c r="AC2027" s="8"/>
      <c r="AD2027" s="24"/>
      <c r="AE2027" s="24"/>
      <c r="AF2027" s="8"/>
      <c r="AG2027" s="8"/>
      <c r="AH2027" s="8"/>
      <c r="AI2027" s="8"/>
    </row>
    <row r="2028" spans="1:35" ht="15.75" customHeight="1" x14ac:dyDescent="0.25">
      <c r="A2028" s="8"/>
      <c r="B2028" s="8"/>
      <c r="C2028" s="8"/>
      <c r="D2028" s="8"/>
      <c r="E2028" s="5"/>
      <c r="F2028" s="16"/>
      <c r="G2028" s="16"/>
      <c r="H2028" s="5"/>
      <c r="I2028" s="5"/>
      <c r="J2028" s="5"/>
      <c r="K2028" s="5"/>
      <c r="L2028" s="5"/>
      <c r="M2028" s="48"/>
      <c r="N2028" s="18"/>
      <c r="O2028" s="22"/>
      <c r="P2028" s="22"/>
      <c r="Q2028" s="8"/>
      <c r="R2028" s="8"/>
      <c r="S2028" s="8"/>
      <c r="T2028" s="8"/>
      <c r="U2028" s="8"/>
      <c r="V2028" s="8"/>
      <c r="W2028" s="8"/>
      <c r="X2028" s="8"/>
      <c r="Y2028" s="8"/>
      <c r="Z2028" s="8"/>
      <c r="AA2028" s="8"/>
      <c r="AB2028" s="8"/>
      <c r="AC2028" s="8"/>
      <c r="AD2028" s="24"/>
      <c r="AE2028" s="24"/>
      <c r="AF2028" s="8"/>
      <c r="AG2028" s="8"/>
      <c r="AH2028" s="8"/>
      <c r="AI2028" s="8"/>
    </row>
    <row r="2029" spans="1:35" ht="15.75" customHeight="1" x14ac:dyDescent="0.25">
      <c r="A2029" s="8"/>
      <c r="B2029" s="8"/>
      <c r="C2029" s="8"/>
      <c r="D2029" s="8"/>
      <c r="E2029" s="5"/>
      <c r="F2029" s="16"/>
      <c r="G2029" s="16"/>
      <c r="H2029" s="5"/>
      <c r="I2029" s="5"/>
      <c r="J2029" s="5"/>
      <c r="K2029" s="5"/>
      <c r="L2029" s="5"/>
      <c r="M2029" s="48"/>
      <c r="N2029" s="18"/>
      <c r="O2029" s="22"/>
      <c r="P2029" s="22"/>
      <c r="Q2029" s="8"/>
      <c r="R2029" s="8"/>
      <c r="S2029" s="8"/>
      <c r="T2029" s="8"/>
      <c r="U2029" s="8"/>
      <c r="V2029" s="8"/>
      <c r="W2029" s="8"/>
      <c r="X2029" s="8"/>
      <c r="Y2029" s="8"/>
      <c r="Z2029" s="8"/>
      <c r="AA2029" s="8"/>
      <c r="AB2029" s="8"/>
      <c r="AC2029" s="8"/>
      <c r="AD2029" s="24"/>
      <c r="AE2029" s="24"/>
      <c r="AF2029" s="8"/>
      <c r="AG2029" s="8"/>
      <c r="AH2029" s="8"/>
      <c r="AI2029" s="8"/>
    </row>
    <row r="2030" spans="1:35" ht="15.75" customHeight="1" x14ac:dyDescent="0.25">
      <c r="A2030" s="8"/>
      <c r="B2030" s="8"/>
      <c r="C2030" s="8"/>
      <c r="D2030" s="8"/>
      <c r="E2030" s="5"/>
      <c r="F2030" s="16"/>
      <c r="G2030" s="16"/>
      <c r="H2030" s="5"/>
      <c r="I2030" s="5"/>
      <c r="J2030" s="5"/>
      <c r="K2030" s="5"/>
      <c r="L2030" s="5"/>
      <c r="M2030" s="48"/>
      <c r="N2030" s="18"/>
      <c r="O2030" s="22"/>
      <c r="P2030" s="22"/>
      <c r="Q2030" s="8"/>
      <c r="R2030" s="8"/>
      <c r="S2030" s="8"/>
      <c r="T2030" s="8"/>
      <c r="U2030" s="8"/>
      <c r="V2030" s="8"/>
      <c r="W2030" s="8"/>
      <c r="X2030" s="8"/>
      <c r="Y2030" s="8"/>
      <c r="Z2030" s="8"/>
      <c r="AA2030" s="8"/>
      <c r="AB2030" s="8"/>
      <c r="AC2030" s="8"/>
      <c r="AD2030" s="24"/>
      <c r="AE2030" s="24"/>
      <c r="AF2030" s="8"/>
      <c r="AG2030" s="8"/>
      <c r="AH2030" s="8"/>
      <c r="AI2030" s="8"/>
    </row>
    <row r="2031" spans="1:35" ht="15.75" customHeight="1" x14ac:dyDescent="0.25">
      <c r="A2031" s="8"/>
      <c r="B2031" s="8"/>
      <c r="C2031" s="8"/>
      <c r="D2031" s="8"/>
      <c r="E2031" s="5"/>
      <c r="F2031" s="16"/>
      <c r="G2031" s="16"/>
      <c r="H2031" s="5"/>
      <c r="I2031" s="5"/>
      <c r="J2031" s="5"/>
      <c r="K2031" s="5"/>
      <c r="L2031" s="5"/>
      <c r="M2031" s="48"/>
      <c r="N2031" s="18"/>
      <c r="O2031" s="22"/>
      <c r="P2031" s="22"/>
      <c r="Q2031" s="8"/>
      <c r="R2031" s="8"/>
      <c r="S2031" s="8"/>
      <c r="T2031" s="8"/>
      <c r="U2031" s="8"/>
      <c r="V2031" s="8"/>
      <c r="W2031" s="8"/>
      <c r="X2031" s="8"/>
      <c r="Y2031" s="8"/>
      <c r="Z2031" s="8"/>
      <c r="AA2031" s="8"/>
      <c r="AB2031" s="8"/>
      <c r="AC2031" s="8"/>
      <c r="AD2031" s="24"/>
      <c r="AE2031" s="24"/>
      <c r="AF2031" s="8"/>
      <c r="AG2031" s="8"/>
      <c r="AH2031" s="8"/>
      <c r="AI2031" s="8"/>
    </row>
  </sheetData>
  <autoFilter ref="E1:O2031" xr:uid="{00000000-0009-0000-0000-000000000000}"/>
  <mergeCells count="197">
    <mergeCell ref="I1824:J1824"/>
    <mergeCell ref="I1825:J1825"/>
    <mergeCell ref="I1826:J1826"/>
    <mergeCell ref="I1827:J1827"/>
    <mergeCell ref="I95:J95"/>
    <mergeCell ref="I96:J96"/>
    <mergeCell ref="I97:J97"/>
    <mergeCell ref="I98:J98"/>
    <mergeCell ref="I119:J119"/>
    <mergeCell ref="I120:J120"/>
    <mergeCell ref="I236:J236"/>
    <mergeCell ref="I238:J238"/>
    <mergeCell ref="I240:J240"/>
    <mergeCell ref="I256:J256"/>
    <mergeCell ref="I292:J292"/>
    <mergeCell ref="I293:J293"/>
    <mergeCell ref="I294:J294"/>
    <mergeCell ref="I295:J295"/>
    <mergeCell ref="I296:J296"/>
    <mergeCell ref="I1815:J1815"/>
    <mergeCell ref="I1816:J1816"/>
    <mergeCell ref="I1817:J1817"/>
    <mergeCell ref="I1818:J1818"/>
    <mergeCell ref="I1819:J1819"/>
    <mergeCell ref="I1820:J1820"/>
    <mergeCell ref="I1821:J1821"/>
    <mergeCell ref="I1822:J1822"/>
    <mergeCell ref="I1823:J1823"/>
    <mergeCell ref="I1799:J1799"/>
    <mergeCell ref="I1800:J1800"/>
    <mergeCell ref="I1801:J1801"/>
    <mergeCell ref="I1802:J1802"/>
    <mergeCell ref="I1803:J1803"/>
    <mergeCell ref="I1804:J1804"/>
    <mergeCell ref="I1805:J1805"/>
    <mergeCell ref="I1806:J1806"/>
    <mergeCell ref="I1814:J1814"/>
    <mergeCell ref="I1790:J1790"/>
    <mergeCell ref="I1791:J1791"/>
    <mergeCell ref="I1792:J1792"/>
    <mergeCell ref="I1793:J1793"/>
    <mergeCell ref="I1794:J1794"/>
    <mergeCell ref="I1795:J1795"/>
    <mergeCell ref="I1796:J1796"/>
    <mergeCell ref="I1797:J1797"/>
    <mergeCell ref="I1798:J1798"/>
    <mergeCell ref="I1781:J1781"/>
    <mergeCell ref="I1782:J1782"/>
    <mergeCell ref="I1783:J1783"/>
    <mergeCell ref="I1784:J1784"/>
    <mergeCell ref="I1785:J1785"/>
    <mergeCell ref="I1786:J1786"/>
    <mergeCell ref="I1787:J1787"/>
    <mergeCell ref="I1788:J1788"/>
    <mergeCell ref="I1789:J1789"/>
    <mergeCell ref="I1772:J1772"/>
    <mergeCell ref="I1773:J1773"/>
    <mergeCell ref="I1774:J1774"/>
    <mergeCell ref="I1775:J1775"/>
    <mergeCell ref="I1776:J1776"/>
    <mergeCell ref="I1777:J1777"/>
    <mergeCell ref="I1778:J1778"/>
    <mergeCell ref="I1779:J1779"/>
    <mergeCell ref="I1780:J1780"/>
    <mergeCell ref="I1969:J1969"/>
    <mergeCell ref="I1970:J1970"/>
    <mergeCell ref="I1971:J1971"/>
    <mergeCell ref="I1972:J1972"/>
    <mergeCell ref="I1973:J1973"/>
    <mergeCell ref="I1974:J1974"/>
    <mergeCell ref="I1975:J1975"/>
    <mergeCell ref="I1924:J1924"/>
    <mergeCell ref="I1925:J1925"/>
    <mergeCell ref="I1926:J1926"/>
    <mergeCell ref="I1930:J1930"/>
    <mergeCell ref="I1951:J1951"/>
    <mergeCell ref="I1952:J1952"/>
    <mergeCell ref="I1966:J1966"/>
    <mergeCell ref="I1858:J1858"/>
    <mergeCell ref="I1859:J1859"/>
    <mergeCell ref="I1860:J1860"/>
    <mergeCell ref="I1861:J1861"/>
    <mergeCell ref="I1862:J1862"/>
    <mergeCell ref="I1863:J1863"/>
    <mergeCell ref="I1891:J1891"/>
    <mergeCell ref="I1923:J1923"/>
    <mergeCell ref="I1968:J1968"/>
    <mergeCell ref="I1846:J1846"/>
    <mergeCell ref="I1847:J1847"/>
    <mergeCell ref="I1848:J1848"/>
    <mergeCell ref="I1849:J1849"/>
    <mergeCell ref="I1850:J1850"/>
    <mergeCell ref="I1851:J1851"/>
    <mergeCell ref="I1852:J1852"/>
    <mergeCell ref="I1853:J1853"/>
    <mergeCell ref="I1854:J1854"/>
    <mergeCell ref="I1837:J1837"/>
    <mergeCell ref="I1838:J1838"/>
    <mergeCell ref="I1839:J1839"/>
    <mergeCell ref="I1840:J1840"/>
    <mergeCell ref="I1841:J1841"/>
    <mergeCell ref="I1842:J1842"/>
    <mergeCell ref="I1843:J1843"/>
    <mergeCell ref="I1844:J1844"/>
    <mergeCell ref="I1845:J1845"/>
    <mergeCell ref="I1828:J1828"/>
    <mergeCell ref="I1829:J1829"/>
    <mergeCell ref="I1830:J1830"/>
    <mergeCell ref="I1831:J1831"/>
    <mergeCell ref="I1832:J1832"/>
    <mergeCell ref="I1833:J1833"/>
    <mergeCell ref="I1834:J1834"/>
    <mergeCell ref="I1835:J1835"/>
    <mergeCell ref="I1836:J1836"/>
    <mergeCell ref="I1765:J1765"/>
    <mergeCell ref="I1766:J1766"/>
    <mergeCell ref="I1767:J1767"/>
    <mergeCell ref="I1768:J1768"/>
    <mergeCell ref="I1769:J1769"/>
    <mergeCell ref="I1770:J1770"/>
    <mergeCell ref="I1771:J1771"/>
    <mergeCell ref="I1630:J1630"/>
    <mergeCell ref="I13:J13"/>
    <mergeCell ref="I14:J14"/>
    <mergeCell ref="I306:J306"/>
    <mergeCell ref="I307:J307"/>
    <mergeCell ref="I308:J308"/>
    <mergeCell ref="I318:J318"/>
    <mergeCell ref="I319:J319"/>
    <mergeCell ref="I320:J320"/>
    <mergeCell ref="I321:J321"/>
    <mergeCell ref="I322:J322"/>
    <mergeCell ref="I323:J323"/>
    <mergeCell ref="I324:J324"/>
    <mergeCell ref="I325:J325"/>
    <mergeCell ref="I326:J326"/>
    <mergeCell ref="I327:J327"/>
    <mergeCell ref="I331:J331"/>
    <mergeCell ref="I1719:J1719"/>
    <mergeCell ref="I1736:J1736"/>
    <mergeCell ref="I1737:J1737"/>
    <mergeCell ref="I1738:J1738"/>
    <mergeCell ref="I1739:J1739"/>
    <mergeCell ref="I1740:J1740"/>
    <mergeCell ref="I1747:J1747"/>
    <mergeCell ref="I1763:J1763"/>
    <mergeCell ref="I1764:J1764"/>
    <mergeCell ref="I1685:J1685"/>
    <mergeCell ref="I1687:J1687"/>
    <mergeCell ref="I1691:J1691"/>
    <mergeCell ref="I1695:J1695"/>
    <mergeCell ref="I1706:J1706"/>
    <mergeCell ref="I1711:J1711"/>
    <mergeCell ref="I1715:J1715"/>
    <mergeCell ref="I1717:J1717"/>
    <mergeCell ref="I1718:J1718"/>
    <mergeCell ref="I151:J151"/>
    <mergeCell ref="I182:J182"/>
    <mergeCell ref="I467:J467"/>
    <mergeCell ref="I468:J468"/>
    <mergeCell ref="I469:J469"/>
    <mergeCell ref="I470:J470"/>
    <mergeCell ref="I1631:J1631"/>
    <mergeCell ref="I1632:J1632"/>
    <mergeCell ref="I1680:J1680"/>
    <mergeCell ref="I442:J442"/>
    <mergeCell ref="I448:J448"/>
    <mergeCell ref="I332:J332"/>
    <mergeCell ref="I345:J345"/>
    <mergeCell ref="I364:J364"/>
    <mergeCell ref="I391:J391"/>
    <mergeCell ref="I439:J439"/>
    <mergeCell ref="I440:J440"/>
    <mergeCell ref="I441:J441"/>
    <mergeCell ref="I287:J287"/>
    <mergeCell ref="I288:J288"/>
    <mergeCell ref="I289:J289"/>
    <mergeCell ref="I290:J290"/>
    <mergeCell ref="I291:J291"/>
    <mergeCell ref="I304:J304"/>
    <mergeCell ref="I305:J305"/>
    <mergeCell ref="I297:J297"/>
    <mergeCell ref="I298:J298"/>
    <mergeCell ref="I299:J299"/>
    <mergeCell ref="I300:J300"/>
    <mergeCell ref="I301:J301"/>
    <mergeCell ref="I302:J302"/>
    <mergeCell ref="I303:J303"/>
    <mergeCell ref="I257:J257"/>
    <mergeCell ref="I258:J258"/>
    <mergeCell ref="I260:J260"/>
    <mergeCell ref="I261:J261"/>
    <mergeCell ref="I282:J282"/>
    <mergeCell ref="I283:J283"/>
    <mergeCell ref="I284:J284"/>
    <mergeCell ref="I285:J285"/>
    <mergeCell ref="I286:J286"/>
  </mergeCells>
  <conditionalFormatting sqref="AD1:AE2031">
    <cfRule type="cellIs" dxfId="32" priority="1" operator="greaterThan">
      <formula>0</formula>
    </cfRule>
  </conditionalFormatting>
  <conditionalFormatting sqref="AF1:AG2031">
    <cfRule type="cellIs" dxfId="31" priority="2" operator="equal">
      <formula>1</formula>
    </cfRule>
  </conditionalFormatting>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2F3"/>
  </sheetPr>
  <dimension ref="A1:BP403"/>
  <sheetViews>
    <sheetView workbookViewId="0">
      <pane ySplit="2" topLeftCell="A3" activePane="bottomLeft" state="frozen"/>
      <selection pane="bottomLeft" activeCell="B4" sqref="B4"/>
    </sheetView>
  </sheetViews>
  <sheetFormatPr defaultColWidth="14.42578125" defaultRowHeight="15" customHeight="1" x14ac:dyDescent="0.25"/>
  <cols>
    <col min="1" max="1" width="20" customWidth="1"/>
    <col min="2" max="2" width="6.28515625" customWidth="1"/>
    <col min="3" max="3" width="7" customWidth="1"/>
    <col min="4" max="4" width="6" hidden="1" customWidth="1"/>
    <col min="5" max="5" width="8" hidden="1" customWidth="1"/>
    <col min="6" max="6" width="7.140625" hidden="1" customWidth="1"/>
    <col min="7" max="7" width="9.85546875" hidden="1" customWidth="1"/>
    <col min="8" max="8" width="7.5703125" hidden="1" customWidth="1"/>
    <col min="9" max="9" width="13.7109375" customWidth="1"/>
    <col min="10" max="10" width="6.85546875" customWidth="1"/>
    <col min="11" max="11" width="6.140625" customWidth="1"/>
    <col min="12" max="12" width="13.5703125" customWidth="1"/>
    <col min="13" max="13" width="9.140625" customWidth="1"/>
    <col min="14" max="14" width="8.28515625" customWidth="1"/>
    <col min="15" max="15" width="4.7109375" customWidth="1"/>
    <col min="16" max="16" width="29.7109375" customWidth="1"/>
    <col min="17" max="17" width="27.85546875" customWidth="1"/>
    <col min="18" max="18" width="29.42578125" customWidth="1"/>
    <col min="19" max="19" width="4.5703125" customWidth="1"/>
    <col min="20" max="20" width="7.28515625" customWidth="1"/>
    <col min="21" max="21" width="19.7109375" customWidth="1"/>
    <col min="22" max="22" width="19.28515625" customWidth="1"/>
    <col min="23" max="23" width="15.85546875" customWidth="1"/>
    <col min="24" max="24" width="6.85546875" customWidth="1"/>
    <col min="25" max="25" width="10.140625" customWidth="1"/>
    <col min="26" max="26" width="12.28515625" customWidth="1"/>
    <col min="27" max="27" width="13.7109375" customWidth="1"/>
    <col min="28" max="28" width="9.5703125" customWidth="1"/>
    <col min="29" max="29" width="10.42578125" customWidth="1"/>
    <col min="30" max="30" width="10.140625" customWidth="1"/>
    <col min="31" max="31" width="10.85546875" customWidth="1"/>
    <col min="32" max="32" width="10.7109375" customWidth="1"/>
    <col min="33" max="35" width="9.5703125" customWidth="1"/>
    <col min="36" max="36" width="11.5703125" customWidth="1"/>
    <col min="37" max="37" width="15.7109375" customWidth="1"/>
    <col min="38" max="38" width="9.5703125" customWidth="1"/>
    <col min="39" max="39" width="12.85546875" customWidth="1"/>
    <col min="40" max="40" width="12.42578125" customWidth="1"/>
    <col min="41" max="41" width="11.42578125" customWidth="1"/>
    <col min="42" max="42" width="11.140625" customWidth="1"/>
    <col min="43" max="60" width="9.5703125" customWidth="1"/>
    <col min="61" max="61" width="9.5703125" hidden="1" customWidth="1"/>
    <col min="62" max="67" width="9.5703125" customWidth="1"/>
  </cols>
  <sheetData>
    <row r="1" spans="1:67" ht="15.75" customHeight="1" x14ac:dyDescent="0.25">
      <c r="A1" s="53" t="s">
        <v>71</v>
      </c>
      <c r="B1" s="54"/>
      <c r="C1" s="55"/>
      <c r="D1" s="56"/>
      <c r="E1" s="56"/>
      <c r="F1" s="57"/>
      <c r="G1" s="57"/>
      <c r="H1" s="57"/>
      <c r="I1" s="54"/>
      <c r="J1" s="54"/>
      <c r="K1" s="58" t="s">
        <v>644</v>
      </c>
      <c r="L1" s="54"/>
      <c r="M1" s="59"/>
      <c r="N1" s="59"/>
      <c r="O1" s="56"/>
      <c r="P1" s="54"/>
      <c r="Q1" s="54"/>
      <c r="R1" s="53"/>
      <c r="S1" s="56"/>
      <c r="T1" s="60"/>
      <c r="U1" s="54" t="s">
        <v>645</v>
      </c>
      <c r="V1" s="61" t="s">
        <v>646</v>
      </c>
      <c r="W1" s="62"/>
      <c r="X1" s="62"/>
      <c r="Y1" s="56"/>
      <c r="Z1" s="63" t="s">
        <v>647</v>
      </c>
      <c r="AA1" s="56"/>
      <c r="AB1" s="63"/>
      <c r="AC1" s="56"/>
      <c r="AD1" s="56"/>
      <c r="AE1" s="56"/>
      <c r="AF1" s="64"/>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65"/>
      <c r="BJ1" s="56"/>
      <c r="BK1" s="56"/>
      <c r="BL1" s="56"/>
      <c r="BM1" s="56"/>
      <c r="BN1" s="56"/>
      <c r="BO1" s="56"/>
    </row>
    <row r="2" spans="1:67" ht="15.75" customHeight="1" x14ac:dyDescent="0.25">
      <c r="A2" s="66" t="s">
        <v>648</v>
      </c>
      <c r="B2" s="67" t="s">
        <v>649</v>
      </c>
      <c r="C2" s="68" t="s">
        <v>650</v>
      </c>
      <c r="D2" s="69" t="s">
        <v>651</v>
      </c>
      <c r="E2" s="69" t="s">
        <v>652</v>
      </c>
      <c r="F2" s="58"/>
      <c r="G2" s="58" t="s">
        <v>653</v>
      </c>
      <c r="H2" s="58" t="s">
        <v>654</v>
      </c>
      <c r="I2" s="66" t="s">
        <v>655</v>
      </c>
      <c r="J2" s="69" t="s">
        <v>656</v>
      </c>
      <c r="K2" s="58" t="s">
        <v>657</v>
      </c>
      <c r="L2" s="66" t="s">
        <v>658</v>
      </c>
      <c r="M2" s="66" t="s">
        <v>659</v>
      </c>
      <c r="N2" s="66" t="s">
        <v>660</v>
      </c>
      <c r="O2" s="56"/>
      <c r="P2" s="66" t="s">
        <v>661</v>
      </c>
      <c r="Q2" s="66" t="s">
        <v>662</v>
      </c>
      <c r="R2" s="66" t="s">
        <v>663</v>
      </c>
      <c r="S2" s="58" t="s">
        <v>664</v>
      </c>
      <c r="T2" s="70" t="s">
        <v>665</v>
      </c>
      <c r="U2" s="66" t="s">
        <v>666</v>
      </c>
      <c r="V2" s="66" t="s">
        <v>667</v>
      </c>
      <c r="W2" s="58" t="s">
        <v>27</v>
      </c>
      <c r="X2" s="58" t="s">
        <v>5</v>
      </c>
      <c r="Y2" s="71" t="s">
        <v>668</v>
      </c>
      <c r="Z2" s="71" t="s">
        <v>669</v>
      </c>
      <c r="AA2" s="71" t="s">
        <v>670</v>
      </c>
      <c r="AB2" s="71" t="s">
        <v>671</v>
      </c>
      <c r="AC2" s="71" t="s">
        <v>672</v>
      </c>
      <c r="AD2" s="71" t="s">
        <v>673</v>
      </c>
      <c r="AE2" s="71" t="s">
        <v>674</v>
      </c>
      <c r="AF2" s="72" t="s">
        <v>675</v>
      </c>
      <c r="AG2" s="69" t="s">
        <v>668</v>
      </c>
      <c r="AH2" s="69" t="s">
        <v>676</v>
      </c>
      <c r="AI2" s="69" t="s">
        <v>677</v>
      </c>
      <c r="AJ2" s="71" t="s">
        <v>669</v>
      </c>
      <c r="AK2" s="69" t="s">
        <v>678</v>
      </c>
      <c r="AL2" s="69" t="s">
        <v>679</v>
      </c>
      <c r="AM2" s="71" t="s">
        <v>670</v>
      </c>
      <c r="AN2" s="69" t="s">
        <v>678</v>
      </c>
      <c r="AO2" s="69" t="s">
        <v>679</v>
      </c>
      <c r="AP2" s="71" t="s">
        <v>680</v>
      </c>
      <c r="AQ2" s="69" t="s">
        <v>681</v>
      </c>
      <c r="AR2" s="69" t="s">
        <v>682</v>
      </c>
      <c r="AS2" s="71" t="s">
        <v>683</v>
      </c>
      <c r="AT2" s="69" t="s">
        <v>684</v>
      </c>
      <c r="AU2" s="69" t="s">
        <v>684</v>
      </c>
      <c r="AV2" s="71" t="s">
        <v>685</v>
      </c>
      <c r="AW2" s="69" t="s">
        <v>686</v>
      </c>
      <c r="AX2" s="69" t="s">
        <v>687</v>
      </c>
      <c r="AY2" s="71" t="s">
        <v>688</v>
      </c>
      <c r="AZ2" s="69" t="s">
        <v>689</v>
      </c>
      <c r="BA2" s="69" t="s">
        <v>690</v>
      </c>
      <c r="BB2" s="71" t="s">
        <v>691</v>
      </c>
      <c r="BC2" s="69" t="s">
        <v>692</v>
      </c>
      <c r="BD2" s="69" t="s">
        <v>693</v>
      </c>
      <c r="BE2" s="71" t="s">
        <v>694</v>
      </c>
      <c r="BF2" s="69" t="s">
        <v>695</v>
      </c>
      <c r="BG2" s="69" t="s">
        <v>696</v>
      </c>
      <c r="BH2" s="71" t="s">
        <v>697</v>
      </c>
      <c r="BI2" s="73" t="s">
        <v>697</v>
      </c>
      <c r="BJ2" s="71" t="s">
        <v>675</v>
      </c>
      <c r="BK2" s="69" t="s">
        <v>698</v>
      </c>
      <c r="BL2" s="69" t="s">
        <v>699</v>
      </c>
      <c r="BM2" s="71" t="s">
        <v>700</v>
      </c>
      <c r="BN2" s="71" t="s">
        <v>701</v>
      </c>
      <c r="BO2" s="71" t="s">
        <v>702</v>
      </c>
    </row>
    <row r="3" spans="1:67" ht="15.75" customHeight="1" x14ac:dyDescent="0.25">
      <c r="A3" s="74" t="s">
        <v>63</v>
      </c>
      <c r="B3" s="75">
        <v>42460</v>
      </c>
      <c r="C3" s="76">
        <v>83000</v>
      </c>
      <c r="D3" s="77"/>
      <c r="E3" s="77"/>
      <c r="F3" s="78"/>
      <c r="G3" s="78"/>
      <c r="H3" s="78"/>
      <c r="I3" s="79" t="s">
        <v>703</v>
      </c>
      <c r="J3" s="80" t="str">
        <f>IF(W3="","NO AIS",IF((W3-M3-1)&gt;0,"Update",""))</f>
        <v>NO AIS</v>
      </c>
      <c r="K3" s="81"/>
      <c r="L3" s="82" t="s">
        <v>704</v>
      </c>
      <c r="M3" s="83">
        <v>46150</v>
      </c>
      <c r="N3" s="83">
        <v>46151</v>
      </c>
      <c r="O3" s="84"/>
      <c r="P3" s="82" t="s">
        <v>705</v>
      </c>
      <c r="Q3" s="85"/>
      <c r="R3" s="82" t="s">
        <v>706</v>
      </c>
      <c r="S3" s="77" t="s">
        <v>33</v>
      </c>
      <c r="T3" s="86">
        <v>46132</v>
      </c>
      <c r="U3" s="87" t="str">
        <f>IF(V3="","No AIS",VLOOKUP(V3,'Voyage days'!$A$3:$B$1480,2,FALSE))</f>
        <v>No AIS</v>
      </c>
      <c r="V3" s="88" t="str">
        <f>IF(VLOOKUP(A3,'1) Kpler'!$E$2:$P$1000,8, FALSE)="","",VLOOKUP(A3,'1) Kpler'!$E$2:$P$1000,8, FALSE))</f>
        <v/>
      </c>
      <c r="W3" s="89" t="str">
        <f>IF(VLOOKUP(A3,'1) Kpler'!$E$2:$P$1000,9,FALSE)="","",VLOOKUP(A3,'1) Kpler'!$E$2:$P$1000,9,FALSE))</f>
        <v/>
      </c>
      <c r="X3" s="88" t="str">
        <f>VLOOKUP(A3,'1) Kpler'!$E$2:$I$1000,4,FALSE)</f>
        <v>loaded</v>
      </c>
      <c r="Y3" s="90" t="str">
        <f t="shared" ref="Y3:Y216" si="0">AG3</f>
        <v>26-27 May</v>
      </c>
      <c r="Z3" s="90" t="str">
        <f t="shared" ref="Z3:Z257" si="1">AJ3</f>
        <v>07-08 Jun</v>
      </c>
      <c r="AA3" s="90" t="str">
        <f t="shared" ref="AA3:AA257" si="2">AM3</f>
        <v>15-16 Jun</v>
      </c>
      <c r="AB3" s="90" t="str">
        <f t="shared" ref="AB3:AB257" si="3">AP3</f>
        <v>07-08 Jun</v>
      </c>
      <c r="AC3" s="90" t="str">
        <f t="shared" ref="AC3:AC257" si="4">AS3</f>
        <v>13-14 Jun</v>
      </c>
      <c r="AD3" s="90" t="str">
        <f t="shared" ref="AD3:AD257" si="5">BB3</f>
        <v>16-17 May</v>
      </c>
      <c r="AE3" s="91" t="str">
        <f t="shared" ref="AE3:AE257" si="6">AY3</f>
        <v>16-17 May</v>
      </c>
      <c r="AF3" s="92" t="str">
        <f t="shared" ref="AF3:AF257" si="7">BJ3</f>
        <v>23-24 Jun</v>
      </c>
      <c r="AG3" s="93" t="str">
        <f t="shared" ref="AG3:AG150" si="8">IF(AH3="","",TEXT(AH3,"dd")&amp;"-"&amp;TEXT(AI3,"dd mmm"))</f>
        <v>26-27 May</v>
      </c>
      <c r="AH3" s="94">
        <f>IFERROR($M3+VLOOKUP($L3,'Voyage days'!$F$38:$H$89,3,FALSE),"")</f>
        <v>46168</v>
      </c>
      <c r="AI3" s="94">
        <f>IFERROR(N3+VLOOKUP($L3,'Voyage days'!$F$38:$H$89,3,FALSE),"")</f>
        <v>46169</v>
      </c>
      <c r="AJ3" s="93" t="str">
        <f t="shared" ref="AJ3:AJ150" si="9">IF(AK3="","",TEXT(AK3,"dd")&amp;"-"&amp;TEXT(AL3,"dd mmm"))</f>
        <v>07-08 Jun</v>
      </c>
      <c r="AK3" s="94">
        <f>IFERROR($M3+VLOOKUP($L3,'Voyage days'!$F$94:$H$193,3,FALSE),"")</f>
        <v>46180</v>
      </c>
      <c r="AL3" s="94">
        <f>IFERROR($N3+VLOOKUP($L3,'Voyage days'!$F$94:$H$193,3,FALSE),"")</f>
        <v>46181</v>
      </c>
      <c r="AM3" s="93" t="str">
        <f t="shared" ref="AM3:AM150" si="10">IF(AN3="","",TEXT(AN3,"dd")&amp;"-"&amp;TEXT(AO3,"dd mmm"))</f>
        <v>15-16 Jun</v>
      </c>
      <c r="AN3" s="94">
        <f>IFERROR($M3+VLOOKUP($L3,'Voyage days'!$F$203:$H$256,3,FALSE),"")</f>
        <v>46188</v>
      </c>
      <c r="AO3" s="94">
        <f>IFERROR($N3+VLOOKUP($L3,'Voyage days'!$F$203:$H$256,3,FALSE),"")</f>
        <v>46189</v>
      </c>
      <c r="AP3" s="93" t="str">
        <f t="shared" ref="AP3:AP150" si="11">IF(AQ3="","",TEXT(AQ3,"dd")&amp;"-"&amp;TEXT(AR3,"dd mmm"))</f>
        <v>07-08 Jun</v>
      </c>
      <c r="AQ3" s="94">
        <f>IFERROR($M3+VLOOKUP($L3,'Voyage days'!$F$294:$H$377,3,FALSE),"")</f>
        <v>46180</v>
      </c>
      <c r="AR3" s="94">
        <f>IFERROR($N3+VLOOKUP($L3,'Voyage days'!$F$294:$H$377,3,FALSE),"")</f>
        <v>46181</v>
      </c>
      <c r="AS3" s="93" t="str">
        <f t="shared" ref="AS3:AS150" si="12">IF(AT3="","",TEXT(AT3,"dd")&amp;"-"&amp;TEXT(AU3,"dd mmm"))</f>
        <v>13-14 Jun</v>
      </c>
      <c r="AT3" s="94">
        <f>IFERROR($M3+VLOOKUP($L3,'Voyage days'!$F$382:$H$446,3,FALSE),"")</f>
        <v>46186</v>
      </c>
      <c r="AU3" s="94">
        <f>IFERROR($N3+VLOOKUP($L3,'Voyage days'!$F$382:$H$446,3,FALSE),"")</f>
        <v>46187</v>
      </c>
      <c r="AV3" s="93" t="str">
        <f t="shared" ref="AV3:AV150" si="13">IF(AW3="","",TEXT(AW3,"dd")&amp;"-"&amp;TEXT(AX3,"dd mmm"))</f>
        <v>21-22 May</v>
      </c>
      <c r="AW3" s="94">
        <f>IFERROR($M3+VLOOKUP($L3,'Voyage days'!$F$483:$H$538,3,FALSE),"")</f>
        <v>46163</v>
      </c>
      <c r="AX3" s="94">
        <f>IFERROR($N3+VLOOKUP($L3,'Voyage days'!$F$483:$H$538,3,FALSE),"")</f>
        <v>46164</v>
      </c>
      <c r="AY3" s="93" t="str">
        <f t="shared" ref="AY3:AY150" si="14">IF(AZ3="","",TEXT(AZ3,"dd")&amp;"-"&amp;TEXT(BA3,"dd mmm"))</f>
        <v>16-17 May</v>
      </c>
      <c r="AZ3" s="94">
        <f>IFERROR($M3+VLOOKUP($L3,'Voyage days'!$F$540:$H$613,3,FALSE),"")</f>
        <v>46158.25</v>
      </c>
      <c r="BA3" s="94">
        <f>IFERROR($N3+VLOOKUP($L3,'Voyage days'!$F$540:$H$613,3,FALSE),"")</f>
        <v>46159.25</v>
      </c>
      <c r="BB3" s="93" t="str">
        <f t="shared" ref="BB3:BB150" si="15">IF(BC3="","",TEXT(BC3,"dd")&amp;"-"&amp;TEXT(BD3,"dd mmm"))</f>
        <v>16-17 May</v>
      </c>
      <c r="BC3" s="94">
        <f>IFERROR($M3+VLOOKUP($L3,'Voyage days'!$F$448:$H$479,3,FALSE),"")</f>
        <v>46158</v>
      </c>
      <c r="BD3" s="94">
        <f>IFERROR($N3+VLOOKUP($L3,'Voyage days'!$F$448:$H$479,3,FALSE),"")</f>
        <v>46159</v>
      </c>
      <c r="BE3" s="93" t="str">
        <f t="shared" ref="BE3:BE150" si="16">IF(BF3="","",TEXT(BF3,"dd")&amp;"-"&amp;TEXT(BG3,"dd mmm"))</f>
        <v>19-20 May</v>
      </c>
      <c r="BF3" s="95">
        <f>IFERROR($M3+VLOOKUP($L3,'Voyage days'!$F$620:$H$646,3,FALSE),"")</f>
        <v>46161</v>
      </c>
      <c r="BG3" s="95">
        <f>IFERROR($N3+VLOOKUP($L3,'Voyage days'!$F$620:$H$646,3,FALSE),"")</f>
        <v>46162</v>
      </c>
      <c r="BH3" s="93" t="str">
        <f t="shared" ref="BH3:BH150" si="17">IF(BI3="","",TEXT(BI3,"dd")&amp;"-"&amp;TEXT(BL3,"dd mmm"))</f>
        <v>16-24 Jun</v>
      </c>
      <c r="BI3" s="96">
        <f>IFERROR($M3+VLOOKUP($L3,'Voyage days'!$F$702:$H$727,3,FALSE),"")</f>
        <v>46158.25</v>
      </c>
      <c r="BJ3" s="93" t="str">
        <f t="shared" ref="BJ3:BJ150" si="18">IF(BK3="","",TEXT(BK3,"dd")&amp;"-"&amp;TEXT(BL3,"dd mmm"))</f>
        <v>23-24 Jun</v>
      </c>
      <c r="BK3" s="95">
        <f>IFERROR($M3+VLOOKUP($L3,'Voyage days'!$F$807:$H$878,3,FALSE),"")</f>
        <v>46196</v>
      </c>
      <c r="BL3" s="95">
        <f>IFERROR($N3+VLOOKUP($L3,'Voyage days'!$F$807:$H$878,3,FALSE),"")</f>
        <v>46197</v>
      </c>
      <c r="BM3" s="95">
        <f>IFERROR($N3+VLOOKUP($L3,'Voyage days'!$F$807:$K$878,6,FALSE),"")</f>
        <v>46171</v>
      </c>
      <c r="BN3" s="94" t="str">
        <f>IF(L3="loads AG", IFERROR($M3+VLOOKUP($L3,'Voyage days'!$M$38:$O$38,3,FALSE),""),"")</f>
        <v/>
      </c>
      <c r="BO3" s="94" t="str">
        <f>IF(L3="loads USG", IFERROR($M3+VLOOKUP($L3,'Voyage days'!$L$203:$N$203,3,FALSE),""),"")</f>
        <v/>
      </c>
    </row>
    <row r="4" spans="1:67" ht="15.75" customHeight="1" x14ac:dyDescent="0.25">
      <c r="A4" s="97" t="s">
        <v>78</v>
      </c>
      <c r="B4" s="98">
        <v>2026</v>
      </c>
      <c r="C4" s="99">
        <v>86665</v>
      </c>
      <c r="D4" s="100"/>
      <c r="E4" s="100"/>
      <c r="F4" s="100"/>
      <c r="G4" s="100"/>
      <c r="H4" s="100"/>
      <c r="I4" s="101" t="s">
        <v>703</v>
      </c>
      <c r="J4" s="102" t="str">
        <f>IF(W4="","NO AIS",IF((W4-M4-1)&gt;0,"Update",""))</f>
        <v>NO AIS</v>
      </c>
      <c r="K4" s="103"/>
      <c r="L4" s="100"/>
      <c r="M4" s="104"/>
      <c r="N4" s="104"/>
      <c r="O4" s="100"/>
      <c r="P4" s="105" t="s">
        <v>707</v>
      </c>
      <c r="Q4" s="100"/>
      <c r="R4" s="106"/>
      <c r="S4" s="107"/>
      <c r="T4" s="108"/>
      <c r="U4" s="109"/>
      <c r="V4" s="109" t="str">
        <f>IF(VLOOKUP(A4,'1) Kpler'!$E$2:$P$1000,8, FALSE)="","",VLOOKUP(A4,'1) Kpler'!$E$2:$P$1000,8, FALSE))</f>
        <v/>
      </c>
      <c r="W4" s="110" t="str">
        <f>IF(VLOOKUP(A4,'1) Kpler'!$E$2:$P$1000,9,FALSE)="","",VLOOKUP(A4,'1) Kpler'!$E$2:$P$1000,9,FALSE))</f>
        <v/>
      </c>
      <c r="X4" s="109" t="str">
        <f>VLOOKUP(A4,'1) Kpler'!$E$2:$I$1000,4,FALSE)</f>
        <v>underConstruction</v>
      </c>
      <c r="Y4" s="111" t="str">
        <f t="shared" si="0"/>
        <v/>
      </c>
      <c r="Z4" s="111" t="str">
        <f t="shared" si="1"/>
        <v/>
      </c>
      <c r="AA4" s="111" t="str">
        <f t="shared" si="2"/>
        <v/>
      </c>
      <c r="AB4" s="111" t="str">
        <f t="shared" si="3"/>
        <v/>
      </c>
      <c r="AC4" s="111" t="str">
        <f t="shared" si="4"/>
        <v/>
      </c>
      <c r="AD4" s="111" t="str">
        <f t="shared" si="5"/>
        <v/>
      </c>
      <c r="AE4" s="112" t="str">
        <f t="shared" si="6"/>
        <v/>
      </c>
      <c r="AF4" s="113" t="str">
        <f t="shared" si="7"/>
        <v/>
      </c>
      <c r="AG4" s="114" t="str">
        <f t="shared" si="8"/>
        <v/>
      </c>
      <c r="AH4" s="115" t="str">
        <f>IFERROR($M4+VLOOKUP($L4,'Voyage days'!$F$38:$H$89,3,FALSE),"")</f>
        <v/>
      </c>
      <c r="AI4" s="115" t="str">
        <f>IFERROR(N4+VLOOKUP($L4,'Voyage days'!$F$38:$H$89,3,FALSE),"")</f>
        <v/>
      </c>
      <c r="AJ4" s="114" t="str">
        <f t="shared" si="9"/>
        <v/>
      </c>
      <c r="AK4" s="115" t="str">
        <f>IFERROR($M4+VLOOKUP($L4,'Voyage days'!$F$94:$H$193,3,FALSE),"")</f>
        <v/>
      </c>
      <c r="AL4" s="115" t="str">
        <f>IFERROR($N4+VLOOKUP($L4,'Voyage days'!$F$94:$H$193,3,FALSE),"")</f>
        <v/>
      </c>
      <c r="AM4" s="114" t="str">
        <f t="shared" si="10"/>
        <v/>
      </c>
      <c r="AN4" s="115" t="str">
        <f>IFERROR($M4+VLOOKUP($L4,'Voyage days'!$F$203:$H$256,3,FALSE),"")</f>
        <v/>
      </c>
      <c r="AO4" s="115" t="str">
        <f>IFERROR($N4+VLOOKUP($L4,'Voyage days'!$F$203:$H$256,3,FALSE),"")</f>
        <v/>
      </c>
      <c r="AP4" s="114" t="str">
        <f t="shared" si="11"/>
        <v/>
      </c>
      <c r="AQ4" s="115" t="str">
        <f>IFERROR($M4+VLOOKUP($L4,'Voyage days'!$F$294:$H$377,3,FALSE),"")</f>
        <v/>
      </c>
      <c r="AR4" s="115" t="str">
        <f>IFERROR($N4+VLOOKUP($L4,'Voyage days'!$F$294:$H$377,3,FALSE),"")</f>
        <v/>
      </c>
      <c r="AS4" s="114" t="str">
        <f t="shared" si="12"/>
        <v/>
      </c>
      <c r="AT4" s="115" t="str">
        <f>IFERROR($M4+VLOOKUP($L4,'Voyage days'!$F$382:$H$446,3,FALSE),"")</f>
        <v/>
      </c>
      <c r="AU4" s="115" t="str">
        <f>IFERROR($N4+VLOOKUP($L4,'Voyage days'!$F$382:$H$446,3,FALSE),"")</f>
        <v/>
      </c>
      <c r="AV4" s="114" t="str">
        <f t="shared" si="13"/>
        <v/>
      </c>
      <c r="AW4" s="115" t="str">
        <f>IFERROR($M4+VLOOKUP($L4,'Voyage days'!$F$483:$H$538,3,FALSE),"")</f>
        <v/>
      </c>
      <c r="AX4" s="115" t="str">
        <f>IFERROR($N4+VLOOKUP($L4,'Voyage days'!$F$483:$H$538,3,FALSE),"")</f>
        <v/>
      </c>
      <c r="AY4" s="114" t="str">
        <f t="shared" si="14"/>
        <v/>
      </c>
      <c r="AZ4" s="115" t="str">
        <f>IFERROR($M4+VLOOKUP($L4,'Voyage days'!$F$540:$H$613,3,FALSE),"")</f>
        <v/>
      </c>
      <c r="BA4" s="115" t="str">
        <f>IFERROR($N4+VLOOKUP($L4,'Voyage days'!$F$540:$H$613,3,FALSE),"")</f>
        <v/>
      </c>
      <c r="BB4" s="114" t="str">
        <f t="shared" si="15"/>
        <v/>
      </c>
      <c r="BC4" s="116" t="str">
        <f>IFERROR($M4+VLOOKUP($L4,'Voyage days'!$F$448:$H$479,3,FALSE),"")</f>
        <v/>
      </c>
      <c r="BD4" s="116" t="str">
        <f>IFERROR($N4+VLOOKUP($L4,'Voyage days'!$F$448:$H$479,3,FALSE),"")</f>
        <v/>
      </c>
      <c r="BE4" s="114" t="str">
        <f t="shared" si="16"/>
        <v/>
      </c>
      <c r="BF4" s="115" t="str">
        <f>IFERROR($M4+VLOOKUP($L4,'Voyage days'!$F$620:$H$646,3,FALSE),"")</f>
        <v/>
      </c>
      <c r="BG4" s="115" t="str">
        <f>IFERROR($N4+VLOOKUP($L4,'Voyage days'!$F$620:$H$646,3,FALSE),"")</f>
        <v/>
      </c>
      <c r="BH4" s="114" t="str">
        <f t="shared" si="17"/>
        <v/>
      </c>
      <c r="BI4" s="117" t="str">
        <f>IFERROR($M4+VLOOKUP($L4,'Voyage days'!$F$702:$H$727,3,FALSE),"")</f>
        <v/>
      </c>
      <c r="BJ4" s="114" t="str">
        <f t="shared" si="18"/>
        <v/>
      </c>
      <c r="BK4" s="115" t="str">
        <f>IFERROR($M4+VLOOKUP($L4,'Voyage days'!$F$807:$H$878,3,FALSE),"")</f>
        <v/>
      </c>
      <c r="BL4" s="115" t="str">
        <f>IFERROR($N4+VLOOKUP($L4,'Voyage days'!$F$807:$H$878,3,FALSE),"")</f>
        <v/>
      </c>
      <c r="BM4" s="115" t="str">
        <f>IFERROR($N4+VLOOKUP($L4,'Voyage days'!$F$807:$K$878,6,FALSE),"")</f>
        <v/>
      </c>
      <c r="BN4" s="118" t="str">
        <f>IF(L4="loads AG", IFERROR($M4+VLOOKUP($L4,'Voyage days'!$M$38:$O$38,3,FALSE),""),"")</f>
        <v/>
      </c>
      <c r="BO4" s="118" t="str">
        <f>IF(L4="loads USG", IFERROR($M4+VLOOKUP($L4,'Voyage days'!$L$203:$N$203,3,FALSE),""),"")</f>
        <v/>
      </c>
    </row>
    <row r="5" spans="1:67" ht="15.75" customHeight="1" x14ac:dyDescent="0.25">
      <c r="A5" s="97" t="s">
        <v>96</v>
      </c>
      <c r="B5" s="119">
        <v>2023</v>
      </c>
      <c r="C5" s="76">
        <v>91000</v>
      </c>
      <c r="D5" s="120"/>
      <c r="E5" s="120"/>
      <c r="F5" s="121"/>
      <c r="G5" s="121"/>
      <c r="H5" s="121"/>
      <c r="I5" s="79" t="s">
        <v>703</v>
      </c>
      <c r="J5" s="122" t="str">
        <f t="shared" ref="J5:J41" si="19">IF(W5="","NO AIS",IF((W5-M5-1)&gt;0,"Update",""))</f>
        <v/>
      </c>
      <c r="K5" s="123"/>
      <c r="L5" s="124" t="s">
        <v>704</v>
      </c>
      <c r="M5" s="125">
        <v>46155</v>
      </c>
      <c r="N5" s="125">
        <v>46156</v>
      </c>
      <c r="O5" s="126"/>
      <c r="P5" s="105" t="s">
        <v>708</v>
      </c>
      <c r="Q5" s="124"/>
      <c r="R5" s="127" t="s">
        <v>709</v>
      </c>
      <c r="S5" s="77" t="s">
        <v>33</v>
      </c>
      <c r="T5" s="86">
        <v>46132</v>
      </c>
      <c r="U5" s="87" t="str">
        <f>IF(V5="","No AIS",VLOOKUP(V5,'Voyage days'!$A$3:$B$1480,2,FALSE))</f>
        <v>+14 days to Far East</v>
      </c>
      <c r="V5" s="87" t="str">
        <f>IF(VLOOKUP(A5,'1) Kpler'!$E$2:$P$1000,8, FALSE)="","",VLOOKUP(A5,'1) Kpler'!$E$2:$P$1000,8, FALSE))</f>
        <v>RIPET</v>
      </c>
      <c r="W5" s="128">
        <f>IF(VLOOKUP(A5,'1) Kpler'!$E$2:$P$1000,9,FALSE)="","",VLOOKUP(A5,'1) Kpler'!$E$2:$P$1000,9,FALSE))</f>
        <v>46135.125</v>
      </c>
      <c r="X5" s="87" t="str">
        <f>VLOOKUP(A5,'1) Kpler'!$E$2:$I$1000,4,FALSE)</f>
        <v>ballast</v>
      </c>
      <c r="Y5" s="63" t="str">
        <f t="shared" si="0"/>
        <v>31-01 Jun</v>
      </c>
      <c r="Z5" s="63" t="str">
        <f t="shared" si="1"/>
        <v>12-13 Jun</v>
      </c>
      <c r="AA5" s="63" t="str">
        <f t="shared" si="2"/>
        <v>20-21 Jun</v>
      </c>
      <c r="AB5" s="63" t="str">
        <f t="shared" si="3"/>
        <v>12-13 Jun</v>
      </c>
      <c r="AC5" s="63" t="str">
        <f t="shared" si="4"/>
        <v>18-19 Jun</v>
      </c>
      <c r="AD5" s="63" t="str">
        <f t="shared" si="5"/>
        <v>21-22 May</v>
      </c>
      <c r="AE5" s="129" t="str">
        <f t="shared" si="6"/>
        <v>21-22 May</v>
      </c>
      <c r="AF5" s="130" t="str">
        <f t="shared" si="7"/>
        <v>28-29 Jun</v>
      </c>
      <c r="AG5" s="131" t="str">
        <f t="shared" si="8"/>
        <v>31-01 Jun</v>
      </c>
      <c r="AH5" s="95">
        <f>IFERROR($M5+VLOOKUP($L5,'Voyage days'!$F$38:$H$89,3,FALSE),"")</f>
        <v>46173</v>
      </c>
      <c r="AI5" s="95">
        <f>IFERROR(N5+VLOOKUP($L5,'Voyage days'!$F$38:$H$89,3,FALSE),"")</f>
        <v>46174</v>
      </c>
      <c r="AJ5" s="131" t="str">
        <f t="shared" si="9"/>
        <v>12-13 Jun</v>
      </c>
      <c r="AK5" s="95">
        <f>IFERROR($M5+VLOOKUP($L5,'Voyage days'!$F$94:$H$193,3,FALSE),"")</f>
        <v>46185</v>
      </c>
      <c r="AL5" s="95">
        <f>IFERROR($N5+VLOOKUP($L5,'Voyage days'!$F$94:$H$193,3,FALSE),"")</f>
        <v>46186</v>
      </c>
      <c r="AM5" s="131" t="str">
        <f t="shared" si="10"/>
        <v>20-21 Jun</v>
      </c>
      <c r="AN5" s="95">
        <f>IFERROR($M5+VLOOKUP($L5,'Voyage days'!$F$203:$H$256,3,FALSE),"")</f>
        <v>46193</v>
      </c>
      <c r="AO5" s="95">
        <f>IFERROR($N5+VLOOKUP($L5,'Voyage days'!$F$203:$H$256,3,FALSE),"")</f>
        <v>46194</v>
      </c>
      <c r="AP5" s="131" t="str">
        <f t="shared" si="11"/>
        <v>12-13 Jun</v>
      </c>
      <c r="AQ5" s="95">
        <f>IFERROR($M5+VLOOKUP($L5,'Voyage days'!$F$294:$H$377,3,FALSE),"")</f>
        <v>46185</v>
      </c>
      <c r="AR5" s="95">
        <f>IFERROR($N5+VLOOKUP($L5,'Voyage days'!$F$294:$H$377,3,FALSE),"")</f>
        <v>46186</v>
      </c>
      <c r="AS5" s="131" t="str">
        <f t="shared" si="12"/>
        <v>18-19 Jun</v>
      </c>
      <c r="AT5" s="95">
        <f>IFERROR($M5+VLOOKUP($L5,'Voyage days'!$F$382:$H$446,3,FALSE),"")</f>
        <v>46191</v>
      </c>
      <c r="AU5" s="95">
        <f>IFERROR($N5+VLOOKUP($L5,'Voyage days'!$F$382:$H$446,3,FALSE),"")</f>
        <v>46192</v>
      </c>
      <c r="AV5" s="131" t="str">
        <f t="shared" si="13"/>
        <v>26-27 May</v>
      </c>
      <c r="AW5" s="95">
        <f>IFERROR($M5+VLOOKUP($L5,'Voyage days'!$F$483:$H$538,3,FALSE),"")</f>
        <v>46168</v>
      </c>
      <c r="AX5" s="95">
        <f>IFERROR($N5+VLOOKUP($L5,'Voyage days'!$F$483:$H$538,3,FALSE),"")</f>
        <v>46169</v>
      </c>
      <c r="AY5" s="131" t="str">
        <f t="shared" si="14"/>
        <v>21-22 May</v>
      </c>
      <c r="AZ5" s="95">
        <f>IFERROR($M5+VLOOKUP($L5,'Voyage days'!$F$540:$H$613,3,FALSE),"")</f>
        <v>46163.25</v>
      </c>
      <c r="BA5" s="95">
        <f>IFERROR($N5+VLOOKUP($L5,'Voyage days'!$F$540:$H$613,3,FALSE),"")</f>
        <v>46164.25</v>
      </c>
      <c r="BB5" s="131" t="str">
        <f t="shared" si="15"/>
        <v>21-22 May</v>
      </c>
      <c r="BC5" s="94">
        <f>IFERROR($M5+VLOOKUP($L5,'Voyage days'!$F$448:$H$479,3,FALSE),"")</f>
        <v>46163</v>
      </c>
      <c r="BD5" s="94">
        <f>IFERROR($N5+VLOOKUP($L5,'Voyage days'!$F$448:$H$479,3,FALSE),"")</f>
        <v>46164</v>
      </c>
      <c r="BE5" s="131" t="str">
        <f t="shared" si="16"/>
        <v>24-25 May</v>
      </c>
      <c r="BF5" s="95">
        <f>IFERROR($M5+VLOOKUP($L5,'Voyage days'!$F$620:$H$646,3,FALSE),"")</f>
        <v>46166</v>
      </c>
      <c r="BG5" s="95">
        <f>IFERROR($N5+VLOOKUP($L5,'Voyage days'!$F$620:$H$646,3,FALSE),"")</f>
        <v>46167</v>
      </c>
      <c r="BH5" s="131" t="str">
        <f t="shared" si="17"/>
        <v>21-29 Jun</v>
      </c>
      <c r="BI5" s="96">
        <f>IFERROR($M5+VLOOKUP($L5,'Voyage days'!$F$702:$H$727,3,FALSE),"")</f>
        <v>46163.25</v>
      </c>
      <c r="BJ5" s="131" t="str">
        <f t="shared" si="18"/>
        <v>28-29 Jun</v>
      </c>
      <c r="BK5" s="95">
        <f>IFERROR($M5+VLOOKUP($L5,'Voyage days'!$F$807:$H$878,3,FALSE),"")</f>
        <v>46201</v>
      </c>
      <c r="BL5" s="95">
        <f>IFERROR($N5+VLOOKUP($L5,'Voyage days'!$F$807:$H$878,3,FALSE),"")</f>
        <v>46202</v>
      </c>
      <c r="BM5" s="95">
        <f>IFERROR($N5+VLOOKUP($L5,'Voyage days'!$F$807:$K$878,6,FALSE),"")</f>
        <v>46176</v>
      </c>
      <c r="BN5" s="94" t="str">
        <f>IF(L5="loads AG", IFERROR($M5+VLOOKUP($L5,'Voyage days'!$M$38:$O$38,3,FALSE),""),"")</f>
        <v/>
      </c>
      <c r="BO5" s="94" t="str">
        <f>IF(L5="loads USG", IFERROR($M5+VLOOKUP($L5,'Voyage days'!$L$203:$N$203,3,FALSE),""),"")</f>
        <v/>
      </c>
    </row>
    <row r="6" spans="1:67" ht="15.75" customHeight="1" x14ac:dyDescent="0.25">
      <c r="A6" s="132" t="s">
        <v>97</v>
      </c>
      <c r="B6" s="133">
        <v>2024</v>
      </c>
      <c r="C6" s="134">
        <v>91000</v>
      </c>
      <c r="D6" s="135"/>
      <c r="E6" s="135"/>
      <c r="F6" s="136"/>
      <c r="G6" s="136"/>
      <c r="H6" s="136"/>
      <c r="I6" s="137" t="s">
        <v>703</v>
      </c>
      <c r="J6" s="138" t="str">
        <f t="shared" si="19"/>
        <v/>
      </c>
      <c r="K6" s="139"/>
      <c r="L6" s="140" t="s">
        <v>710</v>
      </c>
      <c r="M6" s="141">
        <v>46137</v>
      </c>
      <c r="N6" s="141">
        <v>46138</v>
      </c>
      <c r="O6" s="142"/>
      <c r="P6" s="140" t="s">
        <v>711</v>
      </c>
      <c r="Q6" s="140"/>
      <c r="R6" s="140" t="s">
        <v>712</v>
      </c>
      <c r="S6" s="143" t="s">
        <v>33</v>
      </c>
      <c r="T6" s="144">
        <v>46132</v>
      </c>
      <c r="U6" s="145" t="str">
        <f>IF(V6="","No AIS",VLOOKUP(V6,'Voyage days'!$A$3:$B$1480,2,FALSE))</f>
        <v>East China + 4</v>
      </c>
      <c r="V6" s="146" t="str">
        <f>IF(VLOOKUP(A6,'1) Kpler'!$E$2:$P$1000,8, FALSE)="","",VLOOKUP(A6,'1) Kpler'!$E$2:$P$1000,8, FALSE))</f>
        <v>Wenzhou</v>
      </c>
      <c r="W6" s="147">
        <f>IF(VLOOKUP(A6,'1) Kpler'!$E$2:$P$1000,9,FALSE)="","",VLOOKUP(A6,'1) Kpler'!$E$2:$P$1000,9,FALSE))</f>
        <v>46132.708333333336</v>
      </c>
      <c r="X6" s="146" t="str">
        <f>VLOOKUP(A6,'1) Kpler'!$E$2:$I$1000,4,FALSE)</f>
        <v>loaded</v>
      </c>
      <c r="Y6" s="148" t="str">
        <f t="shared" si="0"/>
        <v>12-13 May</v>
      </c>
      <c r="Z6" s="148" t="str">
        <f t="shared" si="1"/>
        <v>27-28 May</v>
      </c>
      <c r="AA6" s="148" t="str">
        <f t="shared" si="2"/>
        <v>08-09 Jun</v>
      </c>
      <c r="AB6" s="148" t="str">
        <f t="shared" si="3"/>
        <v>23-24 May</v>
      </c>
      <c r="AC6" s="148" t="str">
        <f t="shared" si="4"/>
        <v>30-31 May</v>
      </c>
      <c r="AD6" s="148" t="str">
        <f t="shared" si="5"/>
        <v>01-02 May</v>
      </c>
      <c r="AE6" s="149" t="str">
        <f t="shared" si="6"/>
        <v>02-03 May</v>
      </c>
      <c r="AF6" s="150" t="str">
        <f t="shared" si="7"/>
        <v>08-09 Jun</v>
      </c>
      <c r="AG6" s="93" t="str">
        <f t="shared" si="8"/>
        <v>12-13 May</v>
      </c>
      <c r="AH6" s="94">
        <f>IFERROR($M6+VLOOKUP($L6,'Voyage days'!$F$38:$H$89,3,FALSE),"")</f>
        <v>46154</v>
      </c>
      <c r="AI6" s="94">
        <f>IFERROR(N6+VLOOKUP($L6,'Voyage days'!$F$38:$H$89,3,FALSE),"")</f>
        <v>46155</v>
      </c>
      <c r="AJ6" s="93" t="str">
        <f t="shared" si="9"/>
        <v>27-28 May</v>
      </c>
      <c r="AK6" s="94">
        <f>IFERROR($M6+VLOOKUP($L6,'Voyage days'!$F$94:$H$193,3,FALSE),"")</f>
        <v>46169</v>
      </c>
      <c r="AL6" s="94">
        <f>IFERROR($N6+VLOOKUP($L6,'Voyage days'!$F$94:$H$193,3,FALSE),"")</f>
        <v>46170</v>
      </c>
      <c r="AM6" s="93" t="str">
        <f t="shared" si="10"/>
        <v>08-09 Jun</v>
      </c>
      <c r="AN6" s="94">
        <f>IFERROR($M6+VLOOKUP($L6,'Voyage days'!$F$203:$H$256,3,FALSE),"")</f>
        <v>46181</v>
      </c>
      <c r="AO6" s="94">
        <f>IFERROR($N6+VLOOKUP($L6,'Voyage days'!$F$203:$H$256,3,FALSE),"")</f>
        <v>46182</v>
      </c>
      <c r="AP6" s="93" t="str">
        <f t="shared" si="11"/>
        <v>23-24 May</v>
      </c>
      <c r="AQ6" s="94">
        <f>IFERROR($M6+VLOOKUP($L6,'Voyage days'!$F$294:$H$377,3,FALSE),"")</f>
        <v>46165</v>
      </c>
      <c r="AR6" s="94">
        <f>IFERROR($N6+VLOOKUP($L6,'Voyage days'!$F$294:$H$377,3,FALSE),"")</f>
        <v>46166</v>
      </c>
      <c r="AS6" s="93" t="str">
        <f t="shared" si="12"/>
        <v>30-31 May</v>
      </c>
      <c r="AT6" s="94">
        <f>IFERROR($M6+VLOOKUP($L6,'Voyage days'!$F$382:$H$446,3,FALSE),"")</f>
        <v>46172</v>
      </c>
      <c r="AU6" s="94">
        <f>IFERROR($N6+VLOOKUP($L6,'Voyage days'!$F$382:$H$446,3,FALSE),"")</f>
        <v>46173</v>
      </c>
      <c r="AV6" s="93" t="str">
        <f t="shared" si="13"/>
        <v>09-10 May</v>
      </c>
      <c r="AW6" s="94">
        <f>IFERROR($M6+VLOOKUP($L6,'Voyage days'!$F$483:$H$538,3,FALSE),"")</f>
        <v>46151</v>
      </c>
      <c r="AX6" s="94">
        <f>IFERROR($N6+VLOOKUP($L6,'Voyage days'!$F$483:$H$538,3,FALSE),"")</f>
        <v>46152</v>
      </c>
      <c r="AY6" s="93" t="str">
        <f t="shared" si="14"/>
        <v>02-03 May</v>
      </c>
      <c r="AZ6" s="94">
        <f>IFERROR($M6+VLOOKUP($L6,'Voyage days'!$F$540:$H$613,3,FALSE),"")</f>
        <v>46144.25</v>
      </c>
      <c r="BA6" s="94">
        <f>IFERROR($N6+VLOOKUP($L6,'Voyage days'!$F$540:$H$613,3,FALSE),"")</f>
        <v>46145.25</v>
      </c>
      <c r="BB6" s="93" t="str">
        <f t="shared" si="15"/>
        <v>01-02 May</v>
      </c>
      <c r="BC6" s="94">
        <f>IFERROR($M6+VLOOKUP($L6,'Voyage days'!$F$448:$H$479,3,FALSE),"")</f>
        <v>46143</v>
      </c>
      <c r="BD6" s="94">
        <f>IFERROR($N6+VLOOKUP($L6,'Voyage days'!$F$448:$H$479,3,FALSE),"")</f>
        <v>46144</v>
      </c>
      <c r="BE6" s="93" t="str">
        <f t="shared" si="16"/>
        <v>08-09 May</v>
      </c>
      <c r="BF6" s="95">
        <f>IFERROR($M6+VLOOKUP($L6,'Voyage days'!$F$620:$H$646,3,FALSE),"")</f>
        <v>46150</v>
      </c>
      <c r="BG6" s="95">
        <f>IFERROR($N6+VLOOKUP($L6,'Voyage days'!$F$620:$H$646,3,FALSE),"")</f>
        <v>46151</v>
      </c>
      <c r="BH6" s="93" t="str">
        <f t="shared" si="17"/>
        <v>02-09 Jun</v>
      </c>
      <c r="BI6" s="96">
        <f>IFERROR($M6+VLOOKUP($L6,'Voyage days'!$F$702:$H$727,3,FALSE),"")</f>
        <v>46144.25</v>
      </c>
      <c r="BJ6" s="93" t="str">
        <f t="shared" si="18"/>
        <v>08-09 Jun</v>
      </c>
      <c r="BK6" s="95">
        <f>IFERROR($M6+VLOOKUP($L6,'Voyage days'!$F$807:$H$878,3,FALSE),"")</f>
        <v>46181</v>
      </c>
      <c r="BL6" s="95">
        <f>IFERROR($N6+VLOOKUP($L6,'Voyage days'!$F$807:$H$878,3,FALSE),"")</f>
        <v>46182</v>
      </c>
      <c r="BM6" s="95">
        <f>IFERROR($N6+VLOOKUP($L6,'Voyage days'!$F$807:$K$878,6,FALSE),"")</f>
        <v>46156</v>
      </c>
      <c r="BN6" s="94" t="str">
        <f>IF(L6="loads AG", IFERROR($M6+VLOOKUP($L6,'Voyage days'!$M$38:$O$38,3,FALSE),""),"")</f>
        <v/>
      </c>
      <c r="BO6" s="94" t="str">
        <f>IF(L6="loads USG", IFERROR($M6+VLOOKUP($L6,'Voyage days'!$L$203:$N$203,3,FALSE),""),"")</f>
        <v/>
      </c>
    </row>
    <row r="7" spans="1:67" x14ac:dyDescent="0.25">
      <c r="A7" s="53" t="s">
        <v>279</v>
      </c>
      <c r="B7" s="98">
        <v>2024</v>
      </c>
      <c r="C7" s="151">
        <v>86700</v>
      </c>
      <c r="D7" s="77"/>
      <c r="E7" s="77"/>
      <c r="F7" s="78"/>
      <c r="G7" s="78"/>
      <c r="H7" s="78" t="s">
        <v>713</v>
      </c>
      <c r="I7" s="82" t="s">
        <v>714</v>
      </c>
      <c r="J7" s="80" t="str">
        <f t="shared" si="19"/>
        <v/>
      </c>
      <c r="K7" s="81"/>
      <c r="L7" s="82" t="s">
        <v>715</v>
      </c>
      <c r="M7" s="83">
        <v>46152</v>
      </c>
      <c r="N7" s="83">
        <v>46153</v>
      </c>
      <c r="O7" s="152"/>
      <c r="P7" s="82" t="s">
        <v>716</v>
      </c>
      <c r="Q7" s="82"/>
      <c r="R7" s="85" t="s">
        <v>717</v>
      </c>
      <c r="S7" s="77" t="s">
        <v>33</v>
      </c>
      <c r="T7" s="86">
        <v>46132</v>
      </c>
      <c r="U7" s="87" t="str">
        <f>IF(V7="","No AIS",VLOOKUP(V7,'Voyage days'!$A$3:$B$1480,2,FALSE))</f>
        <v>Japan + 6</v>
      </c>
      <c r="V7" s="88" t="str">
        <f>IF(VLOOKUP(A7,'1) Kpler'!$E$2:$P$1000,8, FALSE)="","",VLOOKUP(A7,'1) Kpler'!$E$2:$P$1000,8, FALSE))</f>
        <v>Nagoya</v>
      </c>
      <c r="W7" s="89">
        <f>IF(VLOOKUP(A7,'1) Kpler'!$E$2:$P$1000,9,FALSE)="","",VLOOKUP(A7,'1) Kpler'!$E$2:$P$1000,9,FALSE))</f>
        <v>46146.125</v>
      </c>
      <c r="X7" s="88" t="str">
        <f>VLOOKUP(A7,'1) Kpler'!$E$2:$I$1000,4,FALSE)</f>
        <v>loaded</v>
      </c>
      <c r="Y7" s="90" t="str">
        <f t="shared" si="0"/>
        <v>28-29 May</v>
      </c>
      <c r="Z7" s="90" t="str">
        <f t="shared" si="1"/>
        <v>10-11 Jun</v>
      </c>
      <c r="AA7" s="90" t="str">
        <f t="shared" si="2"/>
        <v>21-22 Jun</v>
      </c>
      <c r="AB7" s="90" t="str">
        <f t="shared" si="3"/>
        <v>09-10 Jun</v>
      </c>
      <c r="AC7" s="90" t="str">
        <f t="shared" si="4"/>
        <v>15-16 Jun</v>
      </c>
      <c r="AD7" s="90" t="str">
        <f t="shared" si="5"/>
        <v>18-19 May</v>
      </c>
      <c r="AE7" s="91" t="str">
        <f t="shared" si="6"/>
        <v>18-19 May</v>
      </c>
      <c r="AF7" s="92" t="str">
        <f t="shared" si="7"/>
        <v>25-26 Jun</v>
      </c>
      <c r="AG7" s="93" t="str">
        <f t="shared" si="8"/>
        <v>28-29 May</v>
      </c>
      <c r="AH7" s="94">
        <f>IFERROR($M7+VLOOKUP($L7,'Voyage days'!$F$38:$H$89,3,FALSE),"")</f>
        <v>46170</v>
      </c>
      <c r="AI7" s="94">
        <f>IFERROR(N7+VLOOKUP($L7,'Voyage days'!$F$38:$H$89,3,FALSE),"")</f>
        <v>46171</v>
      </c>
      <c r="AJ7" s="93" t="str">
        <f t="shared" si="9"/>
        <v>10-11 Jun</v>
      </c>
      <c r="AK7" s="94">
        <f>IFERROR($M7+VLOOKUP($L7,'Voyage days'!$F$94:$H$193,3,FALSE),"")</f>
        <v>46183</v>
      </c>
      <c r="AL7" s="94">
        <f>IFERROR($N7+VLOOKUP($L7,'Voyage days'!$F$94:$H$193,3,FALSE),"")</f>
        <v>46184</v>
      </c>
      <c r="AM7" s="93" t="str">
        <f t="shared" si="10"/>
        <v>21-22 Jun</v>
      </c>
      <c r="AN7" s="94">
        <f>IFERROR($M7+VLOOKUP($L7,'Voyage days'!$F$203:$H$256,3,FALSE),"")</f>
        <v>46194</v>
      </c>
      <c r="AO7" s="94">
        <f>IFERROR($N7+VLOOKUP($L7,'Voyage days'!$F$203:$H$256,3,FALSE),"")</f>
        <v>46195</v>
      </c>
      <c r="AP7" s="93" t="str">
        <f t="shared" si="11"/>
        <v>09-10 Jun</v>
      </c>
      <c r="AQ7" s="94">
        <f>IFERROR($M7+VLOOKUP($L7,'Voyage days'!$F$294:$H$377,3,FALSE),"")</f>
        <v>46182</v>
      </c>
      <c r="AR7" s="94">
        <f>IFERROR($N7+VLOOKUP($L7,'Voyage days'!$F$294:$H$377,3,FALSE),"")</f>
        <v>46183</v>
      </c>
      <c r="AS7" s="93" t="str">
        <f t="shared" si="12"/>
        <v>15-16 Jun</v>
      </c>
      <c r="AT7" s="94">
        <f>IFERROR($M7+VLOOKUP($L7,'Voyage days'!$F$382:$H$446,3,FALSE),"")</f>
        <v>46188</v>
      </c>
      <c r="AU7" s="94">
        <f>IFERROR($N7+VLOOKUP($L7,'Voyage days'!$F$382:$H$446,3,FALSE),"")</f>
        <v>46189</v>
      </c>
      <c r="AV7" s="93" t="str">
        <f t="shared" si="13"/>
        <v>23-24 May</v>
      </c>
      <c r="AW7" s="94">
        <f>IFERROR($M7+VLOOKUP($L7,'Voyage days'!$F$483:$H$538,3,FALSE),"")</f>
        <v>46165</v>
      </c>
      <c r="AX7" s="94">
        <f>IFERROR($N7+VLOOKUP($L7,'Voyage days'!$F$483:$H$538,3,FALSE),"")</f>
        <v>46166</v>
      </c>
      <c r="AY7" s="93" t="str">
        <f t="shared" si="14"/>
        <v>18-19 May</v>
      </c>
      <c r="AZ7" s="94">
        <f>IFERROR($M7+VLOOKUP($L7,'Voyage days'!$F$540:$H$613,3,FALSE),"")</f>
        <v>46160.25</v>
      </c>
      <c r="BA7" s="94">
        <f>IFERROR($N7+VLOOKUP($L7,'Voyage days'!$F$540:$H$613,3,FALSE),"")</f>
        <v>46161.25</v>
      </c>
      <c r="BB7" s="93" t="str">
        <f t="shared" si="15"/>
        <v>18-19 May</v>
      </c>
      <c r="BC7" s="94">
        <f>IFERROR($M7+VLOOKUP($L7,'Voyage days'!$F$448:$H$479,3,FALSE),"")</f>
        <v>46160</v>
      </c>
      <c r="BD7" s="94">
        <f>IFERROR($N7+VLOOKUP($L7,'Voyage days'!$F$448:$H$479,3,FALSE),"")</f>
        <v>46161</v>
      </c>
      <c r="BE7" s="93" t="str">
        <f t="shared" si="16"/>
        <v>21-22 May</v>
      </c>
      <c r="BF7" s="95">
        <f>IFERROR($M7+VLOOKUP($L7,'Voyage days'!$F$620:$H$646,3,FALSE),"")</f>
        <v>46163</v>
      </c>
      <c r="BG7" s="95">
        <f>IFERROR($N7+VLOOKUP($L7,'Voyage days'!$F$620:$H$646,3,FALSE),"")</f>
        <v>46164</v>
      </c>
      <c r="BH7" s="93" t="str">
        <f t="shared" si="17"/>
        <v>18-26 Jun</v>
      </c>
      <c r="BI7" s="96">
        <f>IFERROR($M7+VLOOKUP($L7,'Voyage days'!$F$702:$H$727,3,FALSE),"")</f>
        <v>46160.25</v>
      </c>
      <c r="BJ7" s="93" t="str">
        <f t="shared" si="18"/>
        <v>25-26 Jun</v>
      </c>
      <c r="BK7" s="95">
        <f>IFERROR($M7+VLOOKUP($L7,'Voyage days'!$F$807:$H$878,3,FALSE),"")</f>
        <v>46198</v>
      </c>
      <c r="BL7" s="95">
        <f>IFERROR($N7+VLOOKUP($L7,'Voyage days'!$F$807:$H$878,3,FALSE),"")</f>
        <v>46199</v>
      </c>
      <c r="BM7" s="95">
        <f>IFERROR($N7+VLOOKUP($L7,'Voyage days'!$F$807:$K$878,6,FALSE),"")</f>
        <v>46173</v>
      </c>
      <c r="BN7" s="94" t="str">
        <f>IF(L7="loads AG", IFERROR($M7+VLOOKUP($L7,'Voyage days'!$M$38:$O$38,3,FALSE),""),"")</f>
        <v/>
      </c>
      <c r="BO7" s="94" t="str">
        <f>IF(L7="loads USG", IFERROR($M7+VLOOKUP($L7,'Voyage days'!$L$203:$N$203,3,FALSE),""),"")</f>
        <v/>
      </c>
    </row>
    <row r="8" spans="1:67" x14ac:dyDescent="0.25">
      <c r="A8" s="53" t="s">
        <v>291</v>
      </c>
      <c r="B8" s="153">
        <v>37773</v>
      </c>
      <c r="C8" s="154">
        <v>78934</v>
      </c>
      <c r="D8" s="77"/>
      <c r="E8" s="77"/>
      <c r="F8" s="78"/>
      <c r="G8" s="78"/>
      <c r="H8" s="78"/>
      <c r="I8" s="82" t="s">
        <v>714</v>
      </c>
      <c r="J8" s="80" t="str">
        <f t="shared" si="19"/>
        <v/>
      </c>
      <c r="K8" s="81"/>
      <c r="L8" s="82" t="s">
        <v>718</v>
      </c>
      <c r="M8" s="83">
        <v>46146</v>
      </c>
      <c r="N8" s="83">
        <v>46147</v>
      </c>
      <c r="O8" s="84"/>
      <c r="P8" s="82" t="s">
        <v>719</v>
      </c>
      <c r="Q8" s="78"/>
      <c r="R8" s="78" t="s">
        <v>720</v>
      </c>
      <c r="S8" s="77" t="s">
        <v>33</v>
      </c>
      <c r="T8" s="86">
        <v>46132</v>
      </c>
      <c r="U8" s="87" t="str">
        <f>IF(V8="","No AIS",VLOOKUP(V8,'Voyage days'!$A$3:$B$1480,2,FALSE))</f>
        <v>USG</v>
      </c>
      <c r="V8" s="88" t="str">
        <f>IF(VLOOKUP(A8,'1) Kpler'!$E$2:$P$1000,8, FALSE)="","",VLOOKUP(A8,'1) Kpler'!$E$2:$P$1000,8, FALSE))</f>
        <v>Houston</v>
      </c>
      <c r="W8" s="89">
        <f>IF(VLOOKUP(A8,'1) Kpler'!$E$2:$P$1000,9,FALSE)="","",VLOOKUP(A8,'1) Kpler'!$E$2:$P$1000,9,FALSE))</f>
        <v>46146.125</v>
      </c>
      <c r="X8" s="88" t="str">
        <f>VLOOKUP(A8,'1) Kpler'!$E$2:$I$1000,4,FALSE)</f>
        <v>ballast</v>
      </c>
      <c r="Y8" s="63" t="str">
        <f t="shared" si="0"/>
        <v/>
      </c>
      <c r="Z8" s="63" t="str">
        <f t="shared" si="1"/>
        <v>04-05 May</v>
      </c>
      <c r="AA8" s="63" t="str">
        <f t="shared" si="2"/>
        <v>04-05 May</v>
      </c>
      <c r="AB8" s="63" t="str">
        <f t="shared" si="3"/>
        <v/>
      </c>
      <c r="AC8" s="63" t="str">
        <f t="shared" si="4"/>
        <v>24-25 May</v>
      </c>
      <c r="AD8" s="63" t="str">
        <f t="shared" si="5"/>
        <v/>
      </c>
      <c r="AE8" s="129" t="str">
        <f t="shared" si="6"/>
        <v/>
      </c>
      <c r="AF8" s="130" t="str">
        <f t="shared" si="7"/>
        <v/>
      </c>
      <c r="AG8" s="93" t="str">
        <f t="shared" si="8"/>
        <v/>
      </c>
      <c r="AH8" s="94" t="str">
        <f>IFERROR($M8+VLOOKUP($L8,'Voyage days'!$F$38:$H$89,3,FALSE),"")</f>
        <v/>
      </c>
      <c r="AI8" s="94" t="str">
        <f>IFERROR(N8+VLOOKUP($L8,'Voyage days'!$F$38:$H$89,3,FALSE),"")</f>
        <v/>
      </c>
      <c r="AJ8" s="93" t="str">
        <f t="shared" si="9"/>
        <v>04-05 May</v>
      </c>
      <c r="AK8" s="94">
        <f>IFERROR($M8+VLOOKUP($L8,'Voyage days'!$F$94:$H$193,3,FALSE),"")</f>
        <v>46146</v>
      </c>
      <c r="AL8" s="94">
        <f>IFERROR($N8+VLOOKUP($L8,'Voyage days'!$F$94:$H$193,3,FALSE),"")</f>
        <v>46147</v>
      </c>
      <c r="AM8" s="93" t="str">
        <f t="shared" si="10"/>
        <v>04-05 May</v>
      </c>
      <c r="AN8" s="94">
        <f>IFERROR($M8+VLOOKUP($L8,'Voyage days'!$F$203:$H$256,3,FALSE),"")</f>
        <v>46146</v>
      </c>
      <c r="AO8" s="94">
        <f>IFERROR($N8+VLOOKUP($L8,'Voyage days'!$F$203:$H$256,3,FALSE),"")</f>
        <v>46147</v>
      </c>
      <c r="AP8" s="93" t="str">
        <f t="shared" si="11"/>
        <v/>
      </c>
      <c r="AQ8" s="94" t="str">
        <f>IFERROR($M8+VLOOKUP($L8,'Voyage days'!$F$294:$H$377,3,FALSE),"")</f>
        <v/>
      </c>
      <c r="AR8" s="94" t="str">
        <f>IFERROR($N8+VLOOKUP($L8,'Voyage days'!$F$294:$H$377,3,FALSE),"")</f>
        <v/>
      </c>
      <c r="AS8" s="93" t="str">
        <f t="shared" si="12"/>
        <v>24-25 May</v>
      </c>
      <c r="AT8" s="94">
        <f>IFERROR($M8+VLOOKUP($L8,'Voyage days'!$F$382:$H$446,3,FALSE),"")</f>
        <v>46166</v>
      </c>
      <c r="AU8" s="94">
        <f>IFERROR($N8+VLOOKUP($L8,'Voyage days'!$F$382:$H$446,3,FALSE),"")</f>
        <v>46167</v>
      </c>
      <c r="AV8" s="93" t="str">
        <f t="shared" si="13"/>
        <v/>
      </c>
      <c r="AW8" s="94" t="str">
        <f>IFERROR($M8+VLOOKUP($L8,'Voyage days'!$F$483:$H$538,3,FALSE),"")</f>
        <v/>
      </c>
      <c r="AX8" s="94" t="str">
        <f>IFERROR($N8+VLOOKUP($L8,'Voyage days'!$F$483:$H$538,3,FALSE),"")</f>
        <v/>
      </c>
      <c r="AY8" s="93" t="str">
        <f t="shared" si="14"/>
        <v/>
      </c>
      <c r="AZ8" s="94" t="str">
        <f>IFERROR($M8+VLOOKUP($L8,'Voyage days'!$F$540:$H$613,3,FALSE),"")</f>
        <v/>
      </c>
      <c r="BA8" s="94" t="str">
        <f>IFERROR($N8+VLOOKUP($L8,'Voyage days'!$F$540:$H$613,3,FALSE),"")</f>
        <v/>
      </c>
      <c r="BB8" s="93" t="str">
        <f t="shared" si="15"/>
        <v/>
      </c>
      <c r="BC8" s="94" t="str">
        <f>IFERROR($M8+VLOOKUP($L8,'Voyage days'!$F$448:$H$479,3,FALSE),"")</f>
        <v/>
      </c>
      <c r="BD8" s="94" t="str">
        <f>IFERROR($N8+VLOOKUP($L8,'Voyage days'!$F$448:$H$479,3,FALSE),"")</f>
        <v/>
      </c>
      <c r="BE8" s="93" t="str">
        <f t="shared" si="16"/>
        <v/>
      </c>
      <c r="BF8" s="95" t="str">
        <f>IFERROR($M8+VLOOKUP($L8,'Voyage days'!$F$620:$H$646,3,FALSE),"")</f>
        <v/>
      </c>
      <c r="BG8" s="95" t="str">
        <f>IFERROR($N8+VLOOKUP($L8,'Voyage days'!$F$620:$H$646,3,FALSE),"")</f>
        <v/>
      </c>
      <c r="BH8" s="93" t="str">
        <f t="shared" si="17"/>
        <v/>
      </c>
      <c r="BI8" s="96" t="str">
        <f>IFERROR($M8+VLOOKUP($L8,'Voyage days'!$F$702:$H$727,3,FALSE),"")</f>
        <v/>
      </c>
      <c r="BJ8" s="93" t="str">
        <f t="shared" si="18"/>
        <v/>
      </c>
      <c r="BK8" s="95" t="str">
        <f>IFERROR($M8+VLOOKUP($L8,'Voyage days'!$F$807:$H$878,3,FALSE),"")</f>
        <v/>
      </c>
      <c r="BL8" s="95" t="str">
        <f>IFERROR($N8+VLOOKUP($L8,'Voyage days'!$F$807:$H$878,3,FALSE),"")</f>
        <v/>
      </c>
      <c r="BM8" s="95" t="str">
        <f>IFERROR($N8+VLOOKUP($L8,'Voyage days'!$F$807:$K$878,6,FALSE),"")</f>
        <v/>
      </c>
      <c r="BN8" s="94" t="str">
        <f>IF(L8="loads AG", IFERROR($M8+VLOOKUP($L8,'Voyage days'!$M$38:$O$38,3,FALSE),""),"")</f>
        <v/>
      </c>
      <c r="BO8" s="94">
        <f>IF(L8="loads USG", IFERROR($M8+VLOOKUP($L8,'Voyage days'!$L$203:$N$203,3,FALSE),""),"")</f>
        <v>46178</v>
      </c>
    </row>
    <row r="9" spans="1:67" ht="15.75" customHeight="1" x14ac:dyDescent="0.25">
      <c r="A9" s="74" t="s">
        <v>454</v>
      </c>
      <c r="B9" s="153">
        <v>37895</v>
      </c>
      <c r="C9" s="76">
        <v>82000</v>
      </c>
      <c r="D9" s="77"/>
      <c r="E9" s="77"/>
      <c r="F9" s="78"/>
      <c r="G9" s="78"/>
      <c r="H9" s="78"/>
      <c r="I9" s="82" t="s">
        <v>714</v>
      </c>
      <c r="J9" s="80" t="str">
        <f t="shared" si="19"/>
        <v>NO AIS</v>
      </c>
      <c r="K9" s="81"/>
      <c r="L9" s="85" t="s">
        <v>721</v>
      </c>
      <c r="M9" s="125">
        <v>46132</v>
      </c>
      <c r="N9" s="125">
        <v>46133</v>
      </c>
      <c r="O9" s="84"/>
      <c r="P9" s="82" t="s">
        <v>722</v>
      </c>
      <c r="Q9" s="82"/>
      <c r="R9" s="82" t="s">
        <v>723</v>
      </c>
      <c r="S9" s="77" t="s">
        <v>724</v>
      </c>
      <c r="T9" s="86">
        <v>46132</v>
      </c>
      <c r="U9" s="87" t="str">
        <f>IF(V9="","No AIS",VLOOKUP(V9,'Voyage days'!$A$3:$B$1480,2,FALSE))</f>
        <v>No AIS</v>
      </c>
      <c r="V9" s="88" t="str">
        <f>IF(VLOOKUP(A9,'1) Kpler'!$E$2:$P$1000,8, FALSE)="","",VLOOKUP(A9,'1) Kpler'!$E$2:$P$1000,8, FALSE))</f>
        <v/>
      </c>
      <c r="W9" s="89" t="str">
        <f>IF(VLOOKUP(A9,'1) Kpler'!$E$2:$P$1000,9,FALSE)="","",VLOOKUP(A9,'1) Kpler'!$E$2:$P$1000,9,FALSE))</f>
        <v/>
      </c>
      <c r="X9" s="88" t="str">
        <f>VLOOKUP(A9,'1) Kpler'!$E$2:$I$1000,4,FALSE)</f>
        <v>ballast</v>
      </c>
      <c r="Y9" s="90" t="str">
        <f t="shared" si="0"/>
        <v/>
      </c>
      <c r="Z9" s="90" t="str">
        <f t="shared" si="1"/>
        <v>07-08 May</v>
      </c>
      <c r="AA9" s="90" t="str">
        <f t="shared" si="2"/>
        <v/>
      </c>
      <c r="AB9" s="90" t="str">
        <f t="shared" si="3"/>
        <v/>
      </c>
      <c r="AC9" s="90" t="str">
        <f t="shared" si="4"/>
        <v/>
      </c>
      <c r="AD9" s="90" t="str">
        <f t="shared" si="5"/>
        <v/>
      </c>
      <c r="AE9" s="91" t="str">
        <f t="shared" si="6"/>
        <v/>
      </c>
      <c r="AF9" s="92" t="str">
        <f t="shared" si="7"/>
        <v/>
      </c>
      <c r="AG9" s="93" t="str">
        <f t="shared" si="8"/>
        <v/>
      </c>
      <c r="AH9" s="94" t="str">
        <f>IFERROR($M9+VLOOKUP($L9,'Voyage days'!$F$38:$H$89,3,FALSE),"")</f>
        <v/>
      </c>
      <c r="AI9" s="94" t="str">
        <f>IFERROR(N9+VLOOKUP($L9,'Voyage days'!$F$38:$H$89,3,FALSE),"")</f>
        <v/>
      </c>
      <c r="AJ9" s="93" t="str">
        <f t="shared" si="9"/>
        <v>07-08 May</v>
      </c>
      <c r="AK9" s="94">
        <f>IFERROR($M9+VLOOKUP($L9,'Voyage days'!$F$94:$H$193,3,FALSE),"")</f>
        <v>46149</v>
      </c>
      <c r="AL9" s="94">
        <f>IFERROR($N9+VLOOKUP($L9,'Voyage days'!$F$94:$H$193,3,FALSE),"")</f>
        <v>46150</v>
      </c>
      <c r="AM9" s="93" t="str">
        <f t="shared" si="10"/>
        <v/>
      </c>
      <c r="AN9" s="94" t="str">
        <f>IFERROR($M9+VLOOKUP($L9,'Voyage days'!$F$203:$H$256,3,FALSE),"")</f>
        <v/>
      </c>
      <c r="AO9" s="94" t="str">
        <f>IFERROR($N9+VLOOKUP($L9,'Voyage days'!$F$203:$H$256,3,FALSE),"")</f>
        <v/>
      </c>
      <c r="AP9" s="93" t="str">
        <f t="shared" si="11"/>
        <v/>
      </c>
      <c r="AQ9" s="94" t="str">
        <f>IFERROR($M9+VLOOKUP($L9,'Voyage days'!$F$294:$H$377,3,FALSE),"")</f>
        <v/>
      </c>
      <c r="AR9" s="94" t="str">
        <f>IFERROR($N9+VLOOKUP($L9,'Voyage days'!$F$294:$H$377,3,FALSE),"")</f>
        <v/>
      </c>
      <c r="AS9" s="93" t="str">
        <f t="shared" si="12"/>
        <v/>
      </c>
      <c r="AT9" s="94" t="str">
        <f>IFERROR($M9+VLOOKUP($L9,'Voyage days'!$F$382:$H$446,3,FALSE),"")</f>
        <v/>
      </c>
      <c r="AU9" s="94" t="str">
        <f>IFERROR($N9+VLOOKUP($L9,'Voyage days'!$F$382:$H$446,3,FALSE),"")</f>
        <v/>
      </c>
      <c r="AV9" s="93" t="str">
        <f t="shared" si="13"/>
        <v/>
      </c>
      <c r="AW9" s="94" t="str">
        <f>IFERROR($M9+VLOOKUP($L9,'Voyage days'!$F$483:$H$538,3,FALSE),"")</f>
        <v/>
      </c>
      <c r="AX9" s="94" t="str">
        <f>IFERROR($N9+VLOOKUP($L9,'Voyage days'!$F$483:$H$538,3,FALSE),"")</f>
        <v/>
      </c>
      <c r="AY9" s="93" t="str">
        <f t="shared" si="14"/>
        <v/>
      </c>
      <c r="AZ9" s="94" t="str">
        <f>IFERROR($M9+VLOOKUP($L9,'Voyage days'!$F$540:$H$613,3,FALSE),"")</f>
        <v/>
      </c>
      <c r="BA9" s="94" t="str">
        <f>IFERROR($N9+VLOOKUP($L9,'Voyage days'!$F$540:$H$613,3,FALSE),"")</f>
        <v/>
      </c>
      <c r="BB9" s="93" t="str">
        <f t="shared" si="15"/>
        <v/>
      </c>
      <c r="BC9" s="94" t="str">
        <f>IFERROR($M9+VLOOKUP($L9,'Voyage days'!$F$448:$H$479,3,FALSE),"")</f>
        <v/>
      </c>
      <c r="BD9" s="94" t="str">
        <f>IFERROR($N9+VLOOKUP($L9,'Voyage days'!$F$448:$H$479,3,FALSE),"")</f>
        <v/>
      </c>
      <c r="BE9" s="93" t="str">
        <f t="shared" si="16"/>
        <v/>
      </c>
      <c r="BF9" s="95" t="str">
        <f>IFERROR($M9+VLOOKUP($L9,'Voyage days'!$F$620:$H$646,3,FALSE),"")</f>
        <v/>
      </c>
      <c r="BG9" s="95" t="str">
        <f>IFERROR($N9+VLOOKUP($L9,'Voyage days'!$F$620:$H$646,3,FALSE),"")</f>
        <v/>
      </c>
      <c r="BH9" s="93" t="str">
        <f t="shared" si="17"/>
        <v/>
      </c>
      <c r="BI9" s="96" t="str">
        <f>IFERROR($M9+VLOOKUP($L9,'Voyage days'!$F$702:$H$727,3,FALSE),"")</f>
        <v/>
      </c>
      <c r="BJ9" s="93" t="str">
        <f t="shared" si="18"/>
        <v/>
      </c>
      <c r="BK9" s="95" t="str">
        <f>IFERROR($M9+VLOOKUP($L9,'Voyage days'!$F$807:$H$878,3,FALSE),"")</f>
        <v/>
      </c>
      <c r="BL9" s="95" t="str">
        <f>IFERROR($N9+VLOOKUP($L9,'Voyage days'!$F$807:$H$878,3,FALSE),"")</f>
        <v/>
      </c>
      <c r="BM9" s="95" t="str">
        <f>IFERROR($N9+VLOOKUP($L9,'Voyage days'!$F$807:$K$878,6,FALSE),"")</f>
        <v/>
      </c>
      <c r="BN9" s="94" t="str">
        <f>IF(L9="loads AG", IFERROR($M9+VLOOKUP($L9,'Voyage days'!$M$38:$O$38,3,FALSE),""),"")</f>
        <v/>
      </c>
      <c r="BO9" s="94" t="str">
        <f>IF(L9="loads USG", IFERROR($M9+VLOOKUP($L9,'Voyage days'!$L$203:$N$203,3,FALSE),""),"")</f>
        <v/>
      </c>
    </row>
    <row r="10" spans="1:67" ht="15.75" customHeight="1" x14ac:dyDescent="0.25">
      <c r="A10" s="53" t="s">
        <v>457</v>
      </c>
      <c r="B10" s="119">
        <v>2023</v>
      </c>
      <c r="C10" s="76">
        <v>84000</v>
      </c>
      <c r="D10" s="77"/>
      <c r="E10" s="77"/>
      <c r="F10" s="78"/>
      <c r="G10" s="78"/>
      <c r="H10" s="78" t="s">
        <v>713</v>
      </c>
      <c r="I10" s="82" t="s">
        <v>714</v>
      </c>
      <c r="J10" s="80" t="str">
        <f t="shared" si="19"/>
        <v/>
      </c>
      <c r="K10" s="123"/>
      <c r="L10" s="85" t="s">
        <v>725</v>
      </c>
      <c r="M10" s="125">
        <v>46145</v>
      </c>
      <c r="N10" s="125">
        <v>46147</v>
      </c>
      <c r="O10" s="84" t="s">
        <v>726</v>
      </c>
      <c r="P10" s="78" t="s">
        <v>727</v>
      </c>
      <c r="Q10" s="82"/>
      <c r="R10" s="82" t="s">
        <v>728</v>
      </c>
      <c r="S10" s="77" t="s">
        <v>724</v>
      </c>
      <c r="T10" s="86">
        <v>46132</v>
      </c>
      <c r="U10" s="87" t="str">
        <f>IF(V10="","No AIS",VLOOKUP(V10,'Voyage days'!$A$3:$B$1480,2,FALSE))</f>
        <v>Panama</v>
      </c>
      <c r="V10" s="88" t="str">
        <f>IF(VLOOKUP(A10,'1) Kpler'!$E$2:$P$1000,8, FALSE)="","",VLOOKUP(A10,'1) Kpler'!$E$2:$P$1000,8, FALSE))</f>
        <v>Panama Canal</v>
      </c>
      <c r="W10" s="89">
        <f>IF(VLOOKUP(A10,'1) Kpler'!$E$2:$P$1000,9,FALSE)="","",VLOOKUP(A10,'1) Kpler'!$E$2:$P$1000,9,FALSE))</f>
        <v>46145.708333333336</v>
      </c>
      <c r="X10" s="88" t="str">
        <f>VLOOKUP(A10,'1) Kpler'!$E$2:$I$1000,4,FALSE)</f>
        <v>ballast</v>
      </c>
      <c r="Y10" s="90" t="str">
        <f t="shared" si="0"/>
        <v/>
      </c>
      <c r="Z10" s="90" t="str">
        <f t="shared" si="1"/>
        <v>13-15 May</v>
      </c>
      <c r="AA10" s="90" t="str">
        <f t="shared" si="2"/>
        <v/>
      </c>
      <c r="AB10" s="90" t="str">
        <f t="shared" si="3"/>
        <v/>
      </c>
      <c r="AC10" s="90" t="str">
        <f t="shared" si="4"/>
        <v/>
      </c>
      <c r="AD10" s="90" t="str">
        <f t="shared" si="5"/>
        <v/>
      </c>
      <c r="AE10" s="91" t="str">
        <f t="shared" si="6"/>
        <v/>
      </c>
      <c r="AF10" s="92" t="str">
        <f t="shared" si="7"/>
        <v/>
      </c>
      <c r="AG10" s="93" t="str">
        <f t="shared" si="8"/>
        <v/>
      </c>
      <c r="AH10" s="94" t="str">
        <f>IFERROR($M10+VLOOKUP($L10,'Voyage days'!$F$38:$H$89,3,FALSE),"")</f>
        <v/>
      </c>
      <c r="AI10" s="94" t="str">
        <f>IFERROR(N10+VLOOKUP($L10,'Voyage days'!$F$38:$H$89,3,FALSE),"")</f>
        <v/>
      </c>
      <c r="AJ10" s="93" t="str">
        <f t="shared" si="9"/>
        <v>13-15 May</v>
      </c>
      <c r="AK10" s="94">
        <f>IFERROR($M10+VLOOKUP($L10,'Voyage days'!$F$94:$H$193,3,FALSE),"")</f>
        <v>46155</v>
      </c>
      <c r="AL10" s="94">
        <f>IFERROR($N10+VLOOKUP($L10,'Voyage days'!$F$94:$H$193,3,FALSE),"")</f>
        <v>46157</v>
      </c>
      <c r="AM10" s="93" t="str">
        <f t="shared" si="10"/>
        <v/>
      </c>
      <c r="AN10" s="94" t="str">
        <f>IFERROR($M10+VLOOKUP($L10,'Voyage days'!$F$203:$H$256,3,FALSE),"")</f>
        <v/>
      </c>
      <c r="AO10" s="94" t="str">
        <f>IFERROR($N10+VLOOKUP($L10,'Voyage days'!$F$203:$H$256,3,FALSE),"")</f>
        <v/>
      </c>
      <c r="AP10" s="93" t="str">
        <f t="shared" si="11"/>
        <v/>
      </c>
      <c r="AQ10" s="94" t="str">
        <f>IFERROR($M10+VLOOKUP($L10,'Voyage days'!$F$294:$H$377,3,FALSE),"")</f>
        <v/>
      </c>
      <c r="AR10" s="94" t="str">
        <f>IFERROR($N10+VLOOKUP($L10,'Voyage days'!$F$294:$H$377,3,FALSE),"")</f>
        <v/>
      </c>
      <c r="AS10" s="93" t="str">
        <f t="shared" si="12"/>
        <v/>
      </c>
      <c r="AT10" s="94" t="str">
        <f>IFERROR($M10+VLOOKUP($L10,'Voyage days'!$F$382:$H$446,3,FALSE),"")</f>
        <v/>
      </c>
      <c r="AU10" s="94" t="str">
        <f>IFERROR($N10+VLOOKUP($L10,'Voyage days'!$F$382:$H$446,3,FALSE),"")</f>
        <v/>
      </c>
      <c r="AV10" s="93" t="str">
        <f t="shared" si="13"/>
        <v/>
      </c>
      <c r="AW10" s="94" t="str">
        <f>IFERROR($M10+VLOOKUP($L10,'Voyage days'!$F$483:$H$538,3,FALSE),"")</f>
        <v/>
      </c>
      <c r="AX10" s="94" t="str">
        <f>IFERROR($N10+VLOOKUP($L10,'Voyage days'!$F$483:$H$538,3,FALSE),"")</f>
        <v/>
      </c>
      <c r="AY10" s="93" t="str">
        <f t="shared" si="14"/>
        <v/>
      </c>
      <c r="AZ10" s="94" t="str">
        <f>IFERROR($M10+VLOOKUP($L10,'Voyage days'!$F$540:$H$613,3,FALSE),"")</f>
        <v/>
      </c>
      <c r="BA10" s="94" t="str">
        <f>IFERROR($N10+VLOOKUP($L10,'Voyage days'!$F$540:$H$613,3,FALSE),"")</f>
        <v/>
      </c>
      <c r="BB10" s="93" t="str">
        <f t="shared" si="15"/>
        <v/>
      </c>
      <c r="BC10" s="94" t="str">
        <f>IFERROR($M10+VLOOKUP($L10,'Voyage days'!$F$448:$H$479,3,FALSE),"")</f>
        <v/>
      </c>
      <c r="BD10" s="94" t="str">
        <f>IFERROR($N10+VLOOKUP($L10,'Voyage days'!$F$448:$H$479,3,FALSE),"")</f>
        <v/>
      </c>
      <c r="BE10" s="93" t="str">
        <f t="shared" si="16"/>
        <v/>
      </c>
      <c r="BF10" s="95" t="str">
        <f>IFERROR($M10+VLOOKUP($L10,'Voyage days'!$F$620:$H$646,3,FALSE),"")</f>
        <v/>
      </c>
      <c r="BG10" s="95" t="str">
        <f>IFERROR($N10+VLOOKUP($L10,'Voyage days'!$F$620:$H$646,3,FALSE),"")</f>
        <v/>
      </c>
      <c r="BH10" s="93" t="str">
        <f t="shared" si="17"/>
        <v/>
      </c>
      <c r="BI10" s="96" t="str">
        <f>IFERROR($M10+VLOOKUP($L10,'Voyage days'!$F$702:$H$727,3,FALSE),"")</f>
        <v/>
      </c>
      <c r="BJ10" s="93" t="str">
        <f t="shared" si="18"/>
        <v/>
      </c>
      <c r="BK10" s="95" t="str">
        <f>IFERROR($M10+VLOOKUP($L10,'Voyage days'!$F$807:$H$878,3,FALSE),"")</f>
        <v/>
      </c>
      <c r="BL10" s="95" t="str">
        <f>IFERROR($N10+VLOOKUP($L10,'Voyage days'!$F$807:$H$878,3,FALSE),"")</f>
        <v/>
      </c>
      <c r="BM10" s="95" t="str">
        <f>IFERROR($N10+VLOOKUP($L10,'Voyage days'!$F$807:$K$878,6,FALSE),"")</f>
        <v/>
      </c>
      <c r="BN10" s="94" t="str">
        <f>IF(L10="loads AG", IFERROR($M10+VLOOKUP($L10,'Voyage days'!$M$38:$O$38,3,FALSE),""),"")</f>
        <v/>
      </c>
      <c r="BO10" s="94" t="str">
        <f>IF(L10="loads USG", IFERROR($M10+VLOOKUP($L10,'Voyage days'!$L$203:$N$203,3,FALSE),""),"")</f>
        <v/>
      </c>
    </row>
    <row r="11" spans="1:67" x14ac:dyDescent="0.25">
      <c r="A11" s="74" t="s">
        <v>458</v>
      </c>
      <c r="B11" s="155">
        <v>43435</v>
      </c>
      <c r="C11" s="151">
        <v>83000</v>
      </c>
      <c r="D11" s="107"/>
      <c r="E11" s="107"/>
      <c r="F11" s="156"/>
      <c r="G11" s="156"/>
      <c r="H11" s="156"/>
      <c r="I11" s="85" t="s">
        <v>714</v>
      </c>
      <c r="J11" s="80" t="str">
        <f t="shared" si="19"/>
        <v/>
      </c>
      <c r="K11" s="81"/>
      <c r="L11" s="82" t="s">
        <v>729</v>
      </c>
      <c r="M11" s="83">
        <v>46140</v>
      </c>
      <c r="N11" s="83">
        <v>46141</v>
      </c>
      <c r="O11" s="84"/>
      <c r="P11" s="82" t="s">
        <v>730</v>
      </c>
      <c r="Q11" s="157"/>
      <c r="R11" s="157" t="s">
        <v>731</v>
      </c>
      <c r="S11" s="77" t="s">
        <v>724</v>
      </c>
      <c r="T11" s="86">
        <v>46132</v>
      </c>
      <c r="U11" s="87" t="str">
        <f>IF(V11="","No AIS",VLOOKUP(V11,'Voyage days'!$A$3:$B$1480,2,FALSE))</f>
        <v>Panama</v>
      </c>
      <c r="V11" s="88" t="str">
        <f>IF(VLOOKUP(A11,'1) Kpler'!$E$2:$P$1000,8, FALSE)="","",VLOOKUP(A11,'1) Kpler'!$E$2:$P$1000,8, FALSE))</f>
        <v>Panama Canal</v>
      </c>
      <c r="W11" s="89">
        <f>IF(VLOOKUP(A11,'1) Kpler'!$E$2:$P$1000,9,FALSE)="","",VLOOKUP(A11,'1) Kpler'!$E$2:$P$1000,9,FALSE))</f>
        <v>46136.875</v>
      </c>
      <c r="X11" s="88" t="str">
        <f>VLOOKUP(A11,'1) Kpler'!$E$2:$I$1000,4,FALSE)</f>
        <v>loaded</v>
      </c>
      <c r="Y11" s="63" t="str">
        <f t="shared" si="0"/>
        <v/>
      </c>
      <c r="Z11" s="63" t="str">
        <f t="shared" si="1"/>
        <v>11-12 May</v>
      </c>
      <c r="AA11" s="63" t="str">
        <f t="shared" si="2"/>
        <v>12-13 May</v>
      </c>
      <c r="AB11" s="63" t="str">
        <f t="shared" si="3"/>
        <v>07-08 May</v>
      </c>
      <c r="AC11" s="63" t="str">
        <f t="shared" si="4"/>
        <v>29-30 Apr</v>
      </c>
      <c r="AD11" s="63" t="str">
        <f t="shared" si="5"/>
        <v/>
      </c>
      <c r="AE11" s="129" t="str">
        <f t="shared" si="6"/>
        <v/>
      </c>
      <c r="AF11" s="130" t="str">
        <f t="shared" si="7"/>
        <v>06-07 May</v>
      </c>
      <c r="AG11" s="93" t="str">
        <f t="shared" si="8"/>
        <v/>
      </c>
      <c r="AH11" s="94" t="str">
        <f>IFERROR($M11+VLOOKUP($L11,'Voyage days'!$F$38:$H$89,3,FALSE),"")</f>
        <v/>
      </c>
      <c r="AI11" s="94" t="str">
        <f>IFERROR(N11+VLOOKUP($L11,'Voyage days'!$F$38:$H$89,3,FALSE),"")</f>
        <v/>
      </c>
      <c r="AJ11" s="93" t="str">
        <f t="shared" si="9"/>
        <v>11-12 May</v>
      </c>
      <c r="AK11" s="94">
        <f>IFERROR($M11+VLOOKUP($L11,'Voyage days'!$F$94:$H$193,3,FALSE),"")</f>
        <v>46153</v>
      </c>
      <c r="AL11" s="94">
        <f>IFERROR($N11+VLOOKUP($L11,'Voyage days'!$F$94:$H$193,3,FALSE),"")</f>
        <v>46154</v>
      </c>
      <c r="AM11" s="93" t="str">
        <f t="shared" si="10"/>
        <v>12-13 May</v>
      </c>
      <c r="AN11" s="94">
        <f>IFERROR($M11+VLOOKUP($L11,'Voyage days'!$F$203:$H$256,3,FALSE),"")</f>
        <v>46154</v>
      </c>
      <c r="AO11" s="94">
        <f>IFERROR($N11+VLOOKUP($L11,'Voyage days'!$F$203:$H$256,3,FALSE),"")</f>
        <v>46155</v>
      </c>
      <c r="AP11" s="93" t="str">
        <f t="shared" si="11"/>
        <v>07-08 May</v>
      </c>
      <c r="AQ11" s="94">
        <f>IFERROR($M11+VLOOKUP($L11,'Voyage days'!$F$294:$H$377,3,FALSE),"")</f>
        <v>46149</v>
      </c>
      <c r="AR11" s="94">
        <f>IFERROR($N11+VLOOKUP($L11,'Voyage days'!$F$294:$H$377,3,FALSE),"")</f>
        <v>46150</v>
      </c>
      <c r="AS11" s="93" t="str">
        <f t="shared" si="12"/>
        <v>29-30 Apr</v>
      </c>
      <c r="AT11" s="94">
        <f>IFERROR($M11+VLOOKUP($L11,'Voyage days'!$F$382:$H$446,3,FALSE),"")</f>
        <v>46141</v>
      </c>
      <c r="AU11" s="94">
        <f>IFERROR($N11+VLOOKUP($L11,'Voyage days'!$F$382:$H$446,3,FALSE),"")</f>
        <v>46142</v>
      </c>
      <c r="AV11" s="93" t="str">
        <f t="shared" si="13"/>
        <v/>
      </c>
      <c r="AW11" s="94" t="str">
        <f>IFERROR($M11+VLOOKUP($L11,'Voyage days'!$F$483:$H$538,3,FALSE),"")</f>
        <v/>
      </c>
      <c r="AX11" s="94" t="str">
        <f>IFERROR($N11+VLOOKUP($L11,'Voyage days'!$F$483:$H$538,3,FALSE),"")</f>
        <v/>
      </c>
      <c r="AY11" s="93" t="str">
        <f t="shared" si="14"/>
        <v/>
      </c>
      <c r="AZ11" s="94" t="str">
        <f>IFERROR($M11+VLOOKUP($L11,'Voyage days'!$F$540:$H$613,3,FALSE),"")</f>
        <v/>
      </c>
      <c r="BA11" s="94" t="str">
        <f>IFERROR($N11+VLOOKUP($L11,'Voyage days'!$F$540:$H$613,3,FALSE),"")</f>
        <v/>
      </c>
      <c r="BB11" s="93" t="str">
        <f t="shared" si="15"/>
        <v/>
      </c>
      <c r="BC11" s="94" t="str">
        <f>IFERROR($M11+VLOOKUP($L11,'Voyage days'!$F$448:$H$479,3,FALSE),"")</f>
        <v/>
      </c>
      <c r="BD11" s="94" t="str">
        <f>IFERROR($N11+VLOOKUP($L11,'Voyage days'!$F$448:$H$479,3,FALSE),"")</f>
        <v/>
      </c>
      <c r="BE11" s="93" t="str">
        <f t="shared" si="16"/>
        <v/>
      </c>
      <c r="BF11" s="95" t="str">
        <f>IFERROR($M11+VLOOKUP($L11,'Voyage days'!$F$620:$H$646,3,FALSE),"")</f>
        <v/>
      </c>
      <c r="BG11" s="95" t="str">
        <f>IFERROR($N11+VLOOKUP($L11,'Voyage days'!$F$620:$H$646,3,FALSE),"")</f>
        <v/>
      </c>
      <c r="BH11" s="93" t="str">
        <f t="shared" si="17"/>
        <v/>
      </c>
      <c r="BI11" s="96" t="str">
        <f>IFERROR($M11+VLOOKUP($L11,'Voyage days'!$F$702:$H$727,3,FALSE),"")</f>
        <v/>
      </c>
      <c r="BJ11" s="93" t="str">
        <f t="shared" si="18"/>
        <v>06-07 May</v>
      </c>
      <c r="BK11" s="95">
        <f>IFERROR($M11+VLOOKUP($L11,'Voyage days'!$F$807:$H$878,3,FALSE),"")</f>
        <v>46148</v>
      </c>
      <c r="BL11" s="95">
        <f>IFERROR($N11+VLOOKUP($L11,'Voyage days'!$F$807:$H$878,3,FALSE),"")</f>
        <v>46149</v>
      </c>
      <c r="BM11" s="95">
        <f>IFERROR($N11+VLOOKUP($L11,'Voyage days'!$F$807:$K$878,6,FALSE),"")</f>
        <v>46141</v>
      </c>
      <c r="BN11" s="94" t="str">
        <f>IF(L11="loads AG", IFERROR($M11+VLOOKUP($L11,'Voyage days'!$M$38:$O$38,3,FALSE),""),"")</f>
        <v/>
      </c>
      <c r="BO11" s="94" t="str">
        <f>IF(L11="loads USG", IFERROR($M11+VLOOKUP($L11,'Voyage days'!$L$203:$N$203,3,FALSE),""),"")</f>
        <v/>
      </c>
    </row>
    <row r="12" spans="1:67" ht="15.75" customHeight="1" x14ac:dyDescent="0.25">
      <c r="A12" s="74" t="s">
        <v>460</v>
      </c>
      <c r="B12" s="75">
        <v>42370</v>
      </c>
      <c r="C12" s="76">
        <v>83000</v>
      </c>
      <c r="D12" s="77"/>
      <c r="E12" s="77"/>
      <c r="F12" s="78"/>
      <c r="G12" s="78"/>
      <c r="H12" s="78"/>
      <c r="I12" s="82" t="s">
        <v>714</v>
      </c>
      <c r="J12" s="80" t="str">
        <f t="shared" si="19"/>
        <v/>
      </c>
      <c r="K12" s="81"/>
      <c r="L12" s="82" t="s">
        <v>715</v>
      </c>
      <c r="M12" s="83">
        <v>46139</v>
      </c>
      <c r="N12" s="83">
        <v>46140</v>
      </c>
      <c r="O12" s="84"/>
      <c r="P12" s="82" t="s">
        <v>732</v>
      </c>
      <c r="Q12" s="158"/>
      <c r="R12" s="157" t="s">
        <v>733</v>
      </c>
      <c r="S12" s="77" t="s">
        <v>724</v>
      </c>
      <c r="T12" s="86">
        <v>46132</v>
      </c>
      <c r="U12" s="87" t="str">
        <f>IF(V12="","No AIS",VLOOKUP(V12,'Voyage days'!$A$3:$B$1480,2,FALSE))</f>
        <v>Japan + 6</v>
      </c>
      <c r="V12" s="88" t="str">
        <f>IF(VLOOKUP(A12,'1) Kpler'!$E$2:$P$1000,8, FALSE)="","",VLOOKUP(A12,'1) Kpler'!$E$2:$P$1000,8, FALSE))</f>
        <v>Chiba</v>
      </c>
      <c r="W12" s="89">
        <f>IF(VLOOKUP(A12,'1) Kpler'!$E$2:$P$1000,9,FALSE)="","",VLOOKUP(A12,'1) Kpler'!$E$2:$P$1000,9,FALSE))</f>
        <v>46133.354166666664</v>
      </c>
      <c r="X12" s="88" t="str">
        <f>VLOOKUP(A12,'1) Kpler'!$E$2:$I$1000,4,FALSE)</f>
        <v>loaded</v>
      </c>
      <c r="Y12" s="63" t="str">
        <f t="shared" si="0"/>
        <v>15-16 May</v>
      </c>
      <c r="Z12" s="63" t="str">
        <f t="shared" si="1"/>
        <v>28-29 May</v>
      </c>
      <c r="AA12" s="63" t="str">
        <f t="shared" si="2"/>
        <v>08-09 Jun</v>
      </c>
      <c r="AB12" s="63" t="str">
        <f t="shared" si="3"/>
        <v>27-28 May</v>
      </c>
      <c r="AC12" s="63" t="str">
        <f t="shared" si="4"/>
        <v>02-03 Jun</v>
      </c>
      <c r="AD12" s="63" t="str">
        <f t="shared" si="5"/>
        <v>05-06 May</v>
      </c>
      <c r="AE12" s="129" t="str">
        <f t="shared" si="6"/>
        <v>05-06 May</v>
      </c>
      <c r="AF12" s="130" t="str">
        <f t="shared" si="7"/>
        <v>12-13 Jun</v>
      </c>
      <c r="AG12" s="93" t="str">
        <f t="shared" si="8"/>
        <v>15-16 May</v>
      </c>
      <c r="AH12" s="94">
        <f>IFERROR($M12+VLOOKUP($L12,'Voyage days'!$F$38:$H$89,3,FALSE),"")</f>
        <v>46157</v>
      </c>
      <c r="AI12" s="94">
        <f>IFERROR(N12+VLOOKUP($L12,'Voyage days'!$F$38:$H$89,3,FALSE),"")</f>
        <v>46158</v>
      </c>
      <c r="AJ12" s="93" t="str">
        <f t="shared" si="9"/>
        <v>28-29 May</v>
      </c>
      <c r="AK12" s="94">
        <f>IFERROR($M12+VLOOKUP($L12,'Voyage days'!$F$94:$H$193,3,FALSE),"")</f>
        <v>46170</v>
      </c>
      <c r="AL12" s="94">
        <f>IFERROR($N12+VLOOKUP($L12,'Voyage days'!$F$94:$H$193,3,FALSE),"")</f>
        <v>46171</v>
      </c>
      <c r="AM12" s="93" t="str">
        <f t="shared" si="10"/>
        <v>08-09 Jun</v>
      </c>
      <c r="AN12" s="94">
        <f>IFERROR($M12+VLOOKUP($L12,'Voyage days'!$F$203:$H$256,3,FALSE),"")</f>
        <v>46181</v>
      </c>
      <c r="AO12" s="94">
        <f>IFERROR($N12+VLOOKUP($L12,'Voyage days'!$F$203:$H$256,3,FALSE),"")</f>
        <v>46182</v>
      </c>
      <c r="AP12" s="93" t="str">
        <f t="shared" si="11"/>
        <v>27-28 May</v>
      </c>
      <c r="AQ12" s="94">
        <f>IFERROR($M12+VLOOKUP($L12,'Voyage days'!$F$294:$H$377,3,FALSE),"")</f>
        <v>46169</v>
      </c>
      <c r="AR12" s="94">
        <f>IFERROR($N12+VLOOKUP($L12,'Voyage days'!$F$294:$H$377,3,FALSE),"")</f>
        <v>46170</v>
      </c>
      <c r="AS12" s="93" t="str">
        <f t="shared" si="12"/>
        <v>02-03 Jun</v>
      </c>
      <c r="AT12" s="94">
        <f>IFERROR($M12+VLOOKUP($L12,'Voyage days'!$F$382:$H$446,3,FALSE),"")</f>
        <v>46175</v>
      </c>
      <c r="AU12" s="94">
        <f>IFERROR($N12+VLOOKUP($L12,'Voyage days'!$F$382:$H$446,3,FALSE),"")</f>
        <v>46176</v>
      </c>
      <c r="AV12" s="93" t="str">
        <f t="shared" si="13"/>
        <v>10-11 May</v>
      </c>
      <c r="AW12" s="94">
        <f>IFERROR($M12+VLOOKUP($L12,'Voyage days'!$F$483:$H$538,3,FALSE),"")</f>
        <v>46152</v>
      </c>
      <c r="AX12" s="94">
        <f>IFERROR($N12+VLOOKUP($L12,'Voyage days'!$F$483:$H$538,3,FALSE),"")</f>
        <v>46153</v>
      </c>
      <c r="AY12" s="93" t="str">
        <f t="shared" si="14"/>
        <v>05-06 May</v>
      </c>
      <c r="AZ12" s="94">
        <f>IFERROR($M12+VLOOKUP($L12,'Voyage days'!$F$540:$H$613,3,FALSE),"")</f>
        <v>46147.25</v>
      </c>
      <c r="BA12" s="94">
        <f>IFERROR($N12+VLOOKUP($L12,'Voyage days'!$F$540:$H$613,3,FALSE),"")</f>
        <v>46148.25</v>
      </c>
      <c r="BB12" s="93" t="str">
        <f t="shared" si="15"/>
        <v>05-06 May</v>
      </c>
      <c r="BC12" s="94">
        <f>IFERROR($M12+VLOOKUP($L12,'Voyage days'!$F$448:$H$479,3,FALSE),"")</f>
        <v>46147</v>
      </c>
      <c r="BD12" s="94">
        <f>IFERROR($N12+VLOOKUP($L12,'Voyage days'!$F$448:$H$479,3,FALSE),"")</f>
        <v>46148</v>
      </c>
      <c r="BE12" s="93" t="str">
        <f t="shared" si="16"/>
        <v>08-09 May</v>
      </c>
      <c r="BF12" s="95">
        <f>IFERROR($M12+VLOOKUP($L12,'Voyage days'!$F$620:$H$646,3,FALSE),"")</f>
        <v>46150</v>
      </c>
      <c r="BG12" s="95">
        <f>IFERROR($N12+VLOOKUP($L12,'Voyage days'!$F$620:$H$646,3,FALSE),"")</f>
        <v>46151</v>
      </c>
      <c r="BH12" s="93" t="str">
        <f t="shared" si="17"/>
        <v>05-13 Jun</v>
      </c>
      <c r="BI12" s="96">
        <f>IFERROR($M12+VLOOKUP($L12,'Voyage days'!$F$702:$H$727,3,FALSE),"")</f>
        <v>46147.25</v>
      </c>
      <c r="BJ12" s="93" t="str">
        <f t="shared" si="18"/>
        <v>12-13 Jun</v>
      </c>
      <c r="BK12" s="95">
        <f>IFERROR($M12+VLOOKUP($L12,'Voyage days'!$F$807:$H$878,3,FALSE),"")</f>
        <v>46185</v>
      </c>
      <c r="BL12" s="95">
        <f>IFERROR($N12+VLOOKUP($L12,'Voyage days'!$F$807:$H$878,3,FALSE),"")</f>
        <v>46186</v>
      </c>
      <c r="BM12" s="95">
        <f>IFERROR($N12+VLOOKUP($L12,'Voyage days'!$F$807:$K$878,6,FALSE),"")</f>
        <v>46160</v>
      </c>
      <c r="BN12" s="94" t="str">
        <f>IF(L12="loads AG", IFERROR($M12+VLOOKUP($L12,'Voyage days'!$M$38:$O$38,3,FALSE),""),"")</f>
        <v/>
      </c>
      <c r="BO12" s="94" t="str">
        <f>IF(L12="loads USG", IFERROR($M12+VLOOKUP($L12,'Voyage days'!$L$203:$N$203,3,FALSE),""),"")</f>
        <v/>
      </c>
    </row>
    <row r="13" spans="1:67" ht="15.75" customHeight="1" x14ac:dyDescent="0.25">
      <c r="A13" s="74" t="s">
        <v>463</v>
      </c>
      <c r="B13" s="153">
        <v>37981</v>
      </c>
      <c r="C13" s="154">
        <v>78908</v>
      </c>
      <c r="D13" s="77"/>
      <c r="E13" s="77"/>
      <c r="F13" s="78"/>
      <c r="G13" s="78"/>
      <c r="H13" s="78"/>
      <c r="I13" s="82" t="s">
        <v>714</v>
      </c>
      <c r="J13" s="80" t="str">
        <f t="shared" si="19"/>
        <v/>
      </c>
      <c r="K13" s="81"/>
      <c r="L13" s="82" t="s">
        <v>734</v>
      </c>
      <c r="M13" s="83">
        <v>46170</v>
      </c>
      <c r="N13" s="83">
        <v>46171</v>
      </c>
      <c r="O13" s="77"/>
      <c r="P13" s="82" t="s">
        <v>735</v>
      </c>
      <c r="Q13" s="85"/>
      <c r="R13" s="85" t="s">
        <v>736</v>
      </c>
      <c r="S13" s="77" t="s">
        <v>724</v>
      </c>
      <c r="T13" s="86">
        <v>46132</v>
      </c>
      <c r="U13" s="87" t="str">
        <f>IF(V13="","No AIS",VLOOKUP(V13,'Voyage days'!$A$3:$B$1480,2,FALSE))</f>
        <v>Indo + 4</v>
      </c>
      <c r="V13" s="88" t="str">
        <f>IF(VLOOKUP(A13,'1) Kpler'!$E$2:$P$1000,8, FALSE)="","",VLOOKUP(A13,'1) Kpler'!$E$2:$P$1000,8, FALSE))</f>
        <v>Pupuk Ammonia</v>
      </c>
      <c r="W13" s="89">
        <f>IF(VLOOKUP(A13,'1) Kpler'!$E$2:$P$1000,9,FALSE)="","",VLOOKUP(A13,'1) Kpler'!$E$2:$P$1000,9,FALSE))</f>
        <v>46166.125</v>
      </c>
      <c r="X13" s="88" t="str">
        <f>VLOOKUP(A13,'1) Kpler'!$E$2:$I$1000,4,FALSE)</f>
        <v>loaded</v>
      </c>
      <c r="Y13" s="90" t="str">
        <f t="shared" si="0"/>
        <v>08-09 Jun</v>
      </c>
      <c r="Z13" s="90" t="str">
        <f t="shared" si="1"/>
        <v>05-06 Jul</v>
      </c>
      <c r="AA13" s="90" t="str">
        <f t="shared" si="2"/>
        <v>04-05 Jul</v>
      </c>
      <c r="AB13" s="90" t="str">
        <f t="shared" si="3"/>
        <v>17-18 Jun</v>
      </c>
      <c r="AC13" s="90" t="str">
        <f t="shared" si="4"/>
        <v>26-27 Jun</v>
      </c>
      <c r="AD13" s="90" t="str">
        <f t="shared" si="5"/>
        <v>31-01 Jun</v>
      </c>
      <c r="AE13" s="91" t="str">
        <f t="shared" si="6"/>
        <v>01-02 Jun</v>
      </c>
      <c r="AF13" s="92" t="str">
        <f t="shared" si="7"/>
        <v>04-05 Jul</v>
      </c>
      <c r="AG13" s="93" t="str">
        <f t="shared" si="8"/>
        <v>08-09 Jun</v>
      </c>
      <c r="AH13" s="94">
        <f>IFERROR($M13+VLOOKUP($L13,'Voyage days'!$F$38:$H$89,3,FALSE),"")</f>
        <v>46181</v>
      </c>
      <c r="AI13" s="94">
        <f>IFERROR(N13+VLOOKUP($L13,'Voyage days'!$F$38:$H$89,3,FALSE),"")</f>
        <v>46182</v>
      </c>
      <c r="AJ13" s="93" t="str">
        <f t="shared" si="9"/>
        <v>05-06 Jul</v>
      </c>
      <c r="AK13" s="94">
        <f>IFERROR($M13+VLOOKUP($L13,'Voyage days'!$F$94:$H$193,3,FALSE),"")</f>
        <v>46208</v>
      </c>
      <c r="AL13" s="94">
        <f>IFERROR($N13+VLOOKUP($L13,'Voyage days'!$F$94:$H$193,3,FALSE),"")</f>
        <v>46209</v>
      </c>
      <c r="AM13" s="93" t="str">
        <f t="shared" si="10"/>
        <v>04-05 Jul</v>
      </c>
      <c r="AN13" s="94">
        <f>IFERROR($M13+VLOOKUP($L13,'Voyage days'!$F$203:$H$256,3,FALSE),"")</f>
        <v>46207</v>
      </c>
      <c r="AO13" s="94">
        <f>IFERROR($N13+VLOOKUP($L13,'Voyage days'!$F$203:$H$256,3,FALSE),"")</f>
        <v>46208</v>
      </c>
      <c r="AP13" s="93" t="str">
        <f t="shared" si="11"/>
        <v>17-18 Jun</v>
      </c>
      <c r="AQ13" s="94">
        <f>IFERROR($M13+VLOOKUP($L13,'Voyage days'!$F$294:$H$377,3,FALSE),"")</f>
        <v>46190</v>
      </c>
      <c r="AR13" s="94">
        <f>IFERROR($N13+VLOOKUP($L13,'Voyage days'!$F$294:$H$377,3,FALSE),"")</f>
        <v>46191</v>
      </c>
      <c r="AS13" s="93" t="str">
        <f t="shared" si="12"/>
        <v>26-27 Jun</v>
      </c>
      <c r="AT13" s="94">
        <f>IFERROR($M13+VLOOKUP($L13,'Voyage days'!$F$382:$H$446,3,FALSE),"")</f>
        <v>46199</v>
      </c>
      <c r="AU13" s="94">
        <f>IFERROR($N13+VLOOKUP($L13,'Voyage days'!$F$382:$H$446,3,FALSE),"")</f>
        <v>46200</v>
      </c>
      <c r="AV13" s="93" t="str">
        <f t="shared" si="13"/>
        <v>06-07 Jun</v>
      </c>
      <c r="AW13" s="94">
        <f>IFERROR($M13+VLOOKUP($L13,'Voyage days'!$F$483:$H$538,3,FALSE),"")</f>
        <v>46179</v>
      </c>
      <c r="AX13" s="94">
        <f>IFERROR($N13+VLOOKUP($L13,'Voyage days'!$F$483:$H$538,3,FALSE),"")</f>
        <v>46180</v>
      </c>
      <c r="AY13" s="93" t="str">
        <f t="shared" si="14"/>
        <v>01-02 Jun</v>
      </c>
      <c r="AZ13" s="94">
        <f>IFERROR($M13+VLOOKUP($L13,'Voyage days'!$F$540:$H$613,3,FALSE),"")</f>
        <v>46174</v>
      </c>
      <c r="BA13" s="94">
        <f>IFERROR($N13+VLOOKUP($L13,'Voyage days'!$F$540:$H$613,3,FALSE),"")</f>
        <v>46175</v>
      </c>
      <c r="BB13" s="93" t="str">
        <f t="shared" si="15"/>
        <v>31-01 Jun</v>
      </c>
      <c r="BC13" s="94">
        <f>IFERROR($M13+VLOOKUP($L13,'Voyage days'!$F$448:$H$479,3,FALSE),"")</f>
        <v>46173</v>
      </c>
      <c r="BD13" s="94">
        <f>IFERROR($N13+VLOOKUP($L13,'Voyage days'!$F$448:$H$479,3,FALSE),"")</f>
        <v>46174</v>
      </c>
      <c r="BE13" s="93" t="str">
        <f t="shared" si="16"/>
        <v/>
      </c>
      <c r="BF13" s="95" t="str">
        <f>IFERROR($M13+VLOOKUP($L13,'Voyage days'!$F$620:$H$646,3,FALSE),"")</f>
        <v/>
      </c>
      <c r="BG13" s="95" t="str">
        <f>IFERROR($N13+VLOOKUP($L13,'Voyage days'!$F$620:$H$646,3,FALSE),"")</f>
        <v/>
      </c>
      <c r="BH13" s="93" t="str">
        <f t="shared" si="17"/>
        <v>05-05 Jul</v>
      </c>
      <c r="BI13" s="96">
        <f>IFERROR($M13+VLOOKUP($L13,'Voyage days'!$F$702:$H$727,3,FALSE),"")</f>
        <v>46178</v>
      </c>
      <c r="BJ13" s="93" t="str">
        <f t="shared" si="18"/>
        <v>04-05 Jul</v>
      </c>
      <c r="BK13" s="95">
        <f>IFERROR($M13+VLOOKUP($L13,'Voyage days'!$F$807:$H$878,3,FALSE),"")</f>
        <v>46207</v>
      </c>
      <c r="BL13" s="95">
        <f>IFERROR($N13+VLOOKUP($L13,'Voyage days'!$F$807:$H$878,3,FALSE),"")</f>
        <v>46208</v>
      </c>
      <c r="BM13" s="95">
        <f>IFERROR($N13+VLOOKUP($L13,'Voyage days'!$F$807:$K$878,6,FALSE),"")</f>
        <v>46184</v>
      </c>
      <c r="BN13" s="94" t="str">
        <f>IF(L13="loads AG", IFERROR($M13+VLOOKUP($L13,'Voyage days'!$M$38:$O$38,3,FALSE),""),"")</f>
        <v/>
      </c>
      <c r="BO13" s="94" t="str">
        <f>IF(L13="loads USG", IFERROR($M13+VLOOKUP($L13,'Voyage days'!$L$203:$N$203,3,FALSE),""),"")</f>
        <v/>
      </c>
    </row>
    <row r="14" spans="1:67" ht="15.75" customHeight="1" x14ac:dyDescent="0.25">
      <c r="A14" s="53" t="s">
        <v>465</v>
      </c>
      <c r="B14" s="119">
        <v>2024</v>
      </c>
      <c r="C14" s="76">
        <v>86700</v>
      </c>
      <c r="D14" s="77"/>
      <c r="E14" s="77"/>
      <c r="F14" s="78"/>
      <c r="G14" s="78"/>
      <c r="H14" s="78"/>
      <c r="I14" s="82" t="s">
        <v>714</v>
      </c>
      <c r="J14" s="80" t="str">
        <f t="shared" si="19"/>
        <v>NO AIS</v>
      </c>
      <c r="K14" s="81"/>
      <c r="L14" s="159" t="s">
        <v>715</v>
      </c>
      <c r="M14" s="83">
        <v>46133</v>
      </c>
      <c r="N14" s="83">
        <v>46134</v>
      </c>
      <c r="O14" s="84"/>
      <c r="P14" s="82" t="s">
        <v>737</v>
      </c>
      <c r="Q14" s="82"/>
      <c r="R14" s="82" t="s">
        <v>738</v>
      </c>
      <c r="S14" s="77" t="s">
        <v>724</v>
      </c>
      <c r="T14" s="86">
        <v>46132</v>
      </c>
      <c r="U14" s="87" t="str">
        <f>IF(V14="","No AIS",VLOOKUP(V14,'Voyage days'!$A$3:$B$1480,2,FALSE))</f>
        <v>No AIS</v>
      </c>
      <c r="V14" s="88" t="str">
        <f>IF(VLOOKUP(A14,'1) Kpler'!$E$2:$P$1000,8, FALSE)="","",VLOOKUP(A14,'1) Kpler'!$E$2:$P$1000,8, FALSE))</f>
        <v/>
      </c>
      <c r="W14" s="89" t="str">
        <f>IF(VLOOKUP(A14,'1) Kpler'!$E$2:$P$1000,9,FALSE)="","",VLOOKUP(A14,'1) Kpler'!$E$2:$P$1000,9,FALSE))</f>
        <v/>
      </c>
      <c r="X14" s="88" t="str">
        <f>VLOOKUP(A14,'1) Kpler'!$E$2:$I$1000,4,FALSE)</f>
        <v>ballast</v>
      </c>
      <c r="Y14" s="63" t="str">
        <f t="shared" si="0"/>
        <v>09-10 May</v>
      </c>
      <c r="Z14" s="63" t="str">
        <f t="shared" si="1"/>
        <v>22-23 May</v>
      </c>
      <c r="AA14" s="63" t="str">
        <f t="shared" si="2"/>
        <v>02-03 Jun</v>
      </c>
      <c r="AB14" s="63" t="str">
        <f t="shared" si="3"/>
        <v>21-22 May</v>
      </c>
      <c r="AC14" s="63" t="str">
        <f t="shared" si="4"/>
        <v>27-28 May</v>
      </c>
      <c r="AD14" s="63" t="str">
        <f t="shared" si="5"/>
        <v>29-30 Apr</v>
      </c>
      <c r="AE14" s="129" t="str">
        <f t="shared" si="6"/>
        <v>29-30 Apr</v>
      </c>
      <c r="AF14" s="130" t="str">
        <f t="shared" si="7"/>
        <v>06-07 Jun</v>
      </c>
      <c r="AG14" s="93" t="str">
        <f t="shared" si="8"/>
        <v>09-10 May</v>
      </c>
      <c r="AH14" s="94">
        <f>IFERROR($M14+VLOOKUP($L14,'Voyage days'!$F$38:$H$89,3,FALSE),"")</f>
        <v>46151</v>
      </c>
      <c r="AI14" s="94">
        <f>IFERROR(N14+VLOOKUP($L14,'Voyage days'!$F$38:$H$89,3,FALSE),"")</f>
        <v>46152</v>
      </c>
      <c r="AJ14" s="93" t="str">
        <f t="shared" si="9"/>
        <v>22-23 May</v>
      </c>
      <c r="AK14" s="94">
        <f>IFERROR($M14+VLOOKUP($L14,'Voyage days'!$F$94:$H$193,3,FALSE),"")</f>
        <v>46164</v>
      </c>
      <c r="AL14" s="94">
        <f>IFERROR($N14+VLOOKUP($L14,'Voyage days'!$F$94:$H$193,3,FALSE),"")</f>
        <v>46165</v>
      </c>
      <c r="AM14" s="93" t="str">
        <f t="shared" si="10"/>
        <v>02-03 Jun</v>
      </c>
      <c r="AN14" s="94">
        <f>IFERROR($M14+VLOOKUP($L14,'Voyage days'!$F$203:$H$256,3,FALSE),"")</f>
        <v>46175</v>
      </c>
      <c r="AO14" s="94">
        <f>IFERROR($N14+VLOOKUP($L14,'Voyage days'!$F$203:$H$256,3,FALSE),"")</f>
        <v>46176</v>
      </c>
      <c r="AP14" s="93" t="str">
        <f t="shared" si="11"/>
        <v>21-22 May</v>
      </c>
      <c r="AQ14" s="94">
        <f>IFERROR($M14+VLOOKUP($L14,'Voyage days'!$F$294:$H$377,3,FALSE),"")</f>
        <v>46163</v>
      </c>
      <c r="AR14" s="94">
        <f>IFERROR($N14+VLOOKUP($L14,'Voyage days'!$F$294:$H$377,3,FALSE),"")</f>
        <v>46164</v>
      </c>
      <c r="AS14" s="93" t="str">
        <f t="shared" si="12"/>
        <v>27-28 May</v>
      </c>
      <c r="AT14" s="94">
        <f>IFERROR($M14+VLOOKUP($L14,'Voyage days'!$F$382:$H$446,3,FALSE),"")</f>
        <v>46169</v>
      </c>
      <c r="AU14" s="94">
        <f>IFERROR($N14+VLOOKUP($L14,'Voyage days'!$F$382:$H$446,3,FALSE),"")</f>
        <v>46170</v>
      </c>
      <c r="AV14" s="93" t="str">
        <f t="shared" si="13"/>
        <v>04-05 May</v>
      </c>
      <c r="AW14" s="94">
        <f>IFERROR($M14+VLOOKUP($L14,'Voyage days'!$F$483:$H$538,3,FALSE),"")</f>
        <v>46146</v>
      </c>
      <c r="AX14" s="94">
        <f>IFERROR($N14+VLOOKUP($L14,'Voyage days'!$F$483:$H$538,3,FALSE),"")</f>
        <v>46147</v>
      </c>
      <c r="AY14" s="93" t="str">
        <f t="shared" si="14"/>
        <v>29-30 Apr</v>
      </c>
      <c r="AZ14" s="94">
        <f>IFERROR($M14+VLOOKUP($L14,'Voyage days'!$F$540:$H$613,3,FALSE),"")</f>
        <v>46141.25</v>
      </c>
      <c r="BA14" s="94">
        <f>IFERROR($N14+VLOOKUP($L14,'Voyage days'!$F$540:$H$613,3,FALSE),"")</f>
        <v>46142.25</v>
      </c>
      <c r="BB14" s="93" t="str">
        <f t="shared" si="15"/>
        <v>29-30 Apr</v>
      </c>
      <c r="BC14" s="94">
        <f>IFERROR($M14+VLOOKUP($L14,'Voyage days'!$F$448:$H$479,3,FALSE),"")</f>
        <v>46141</v>
      </c>
      <c r="BD14" s="94">
        <f>IFERROR($N14+VLOOKUP($L14,'Voyage days'!$F$448:$H$479,3,FALSE),"")</f>
        <v>46142</v>
      </c>
      <c r="BE14" s="93" t="str">
        <f t="shared" si="16"/>
        <v>02-03 May</v>
      </c>
      <c r="BF14" s="95">
        <f>IFERROR($M14+VLOOKUP($L14,'Voyage days'!$F$620:$H$646,3,FALSE),"")</f>
        <v>46144</v>
      </c>
      <c r="BG14" s="95">
        <f>IFERROR($N14+VLOOKUP($L14,'Voyage days'!$F$620:$H$646,3,FALSE),"")</f>
        <v>46145</v>
      </c>
      <c r="BH14" s="93" t="str">
        <f t="shared" si="17"/>
        <v>29-07 Jun</v>
      </c>
      <c r="BI14" s="96">
        <f>IFERROR($M14+VLOOKUP($L14,'Voyage days'!$F$702:$H$727,3,FALSE),"")</f>
        <v>46141.25</v>
      </c>
      <c r="BJ14" s="93" t="str">
        <f t="shared" si="18"/>
        <v>06-07 Jun</v>
      </c>
      <c r="BK14" s="95">
        <f>IFERROR($M14+VLOOKUP($L14,'Voyage days'!$F$807:$H$878,3,FALSE),"")</f>
        <v>46179</v>
      </c>
      <c r="BL14" s="95">
        <f>IFERROR($N14+VLOOKUP($L14,'Voyage days'!$F$807:$H$878,3,FALSE),"")</f>
        <v>46180</v>
      </c>
      <c r="BM14" s="95">
        <f>IFERROR($N14+VLOOKUP($L14,'Voyage days'!$F$807:$K$878,6,FALSE),"")</f>
        <v>46154</v>
      </c>
      <c r="BN14" s="94" t="str">
        <f>IF(L14="loads AG", IFERROR($M14+VLOOKUP($L14,'Voyage days'!$M$38:$O$38,3,FALSE),""),"")</f>
        <v/>
      </c>
      <c r="BO14" s="94" t="str">
        <f>IF(L14="loads USG", IFERROR($M14+VLOOKUP($L14,'Voyage days'!$L$203:$N$203,3,FALSE),""),"")</f>
        <v/>
      </c>
    </row>
    <row r="15" spans="1:67" ht="15.75" customHeight="1" x14ac:dyDescent="0.25">
      <c r="A15" s="53" t="s">
        <v>468</v>
      </c>
      <c r="B15" s="119">
        <v>2019</v>
      </c>
      <c r="C15" s="76">
        <v>83000</v>
      </c>
      <c r="D15" s="77"/>
      <c r="E15" s="77"/>
      <c r="F15" s="78"/>
      <c r="G15" s="78"/>
      <c r="H15" s="78" t="s">
        <v>739</v>
      </c>
      <c r="I15" s="82" t="s">
        <v>714</v>
      </c>
      <c r="J15" s="80" t="str">
        <f t="shared" si="19"/>
        <v/>
      </c>
      <c r="K15" s="81"/>
      <c r="L15" s="159" t="s">
        <v>710</v>
      </c>
      <c r="M15" s="83">
        <v>46147</v>
      </c>
      <c r="N15" s="83">
        <v>46151</v>
      </c>
      <c r="O15" s="160"/>
      <c r="P15" s="82" t="s">
        <v>740</v>
      </c>
      <c r="Q15" s="161"/>
      <c r="R15" s="82" t="s">
        <v>741</v>
      </c>
      <c r="S15" s="77" t="s">
        <v>724</v>
      </c>
      <c r="T15" s="86">
        <v>46132</v>
      </c>
      <c r="U15" s="87" t="str">
        <f>IF(V15="","No AIS",VLOOKUP(V15,'Voyage days'!$A$3:$B$1480,2,FALSE))</f>
        <v>East China + 4</v>
      </c>
      <c r="V15" s="88" t="str">
        <f>IF(VLOOKUP(A15,'1) Kpler'!$E$2:$P$1000,8, FALSE)="","",VLOOKUP(A15,'1) Kpler'!$E$2:$P$1000,8, FALSE))</f>
        <v>Taixing</v>
      </c>
      <c r="W15" s="89">
        <f>IF(VLOOKUP(A15,'1) Kpler'!$E$2:$P$1000,9,FALSE)="","",VLOOKUP(A15,'1) Kpler'!$E$2:$P$1000,9,FALSE))</f>
        <v>46143.5</v>
      </c>
      <c r="X15" s="88" t="str">
        <f>VLOOKUP(A15,'1) Kpler'!$E$2:$I$1000,4,FALSE)</f>
        <v>loaded</v>
      </c>
      <c r="Y15" s="90" t="str">
        <f t="shared" si="0"/>
        <v>22-26 May</v>
      </c>
      <c r="Z15" s="90" t="str">
        <f t="shared" si="1"/>
        <v>06-10 Jun</v>
      </c>
      <c r="AA15" s="90" t="str">
        <f t="shared" si="2"/>
        <v>18-22 Jun</v>
      </c>
      <c r="AB15" s="90" t="str">
        <f t="shared" si="3"/>
        <v>02-06 Jun</v>
      </c>
      <c r="AC15" s="90" t="str">
        <f t="shared" si="4"/>
        <v>09-13 Jun</v>
      </c>
      <c r="AD15" s="90" t="str">
        <f t="shared" si="5"/>
        <v>11-15 May</v>
      </c>
      <c r="AE15" s="91" t="str">
        <f t="shared" si="6"/>
        <v>12-16 May</v>
      </c>
      <c r="AF15" s="92" t="str">
        <f t="shared" si="7"/>
        <v>18-22 Jun</v>
      </c>
      <c r="AG15" s="93" t="str">
        <f t="shared" si="8"/>
        <v>22-26 May</v>
      </c>
      <c r="AH15" s="94">
        <f>IFERROR($M15+VLOOKUP($L15,'Voyage days'!$F$38:$H$89,3,FALSE),"")</f>
        <v>46164</v>
      </c>
      <c r="AI15" s="94">
        <f>IFERROR(N15+VLOOKUP($L15,'Voyage days'!$F$38:$H$89,3,FALSE),"")</f>
        <v>46168</v>
      </c>
      <c r="AJ15" s="93" t="str">
        <f t="shared" si="9"/>
        <v>06-10 Jun</v>
      </c>
      <c r="AK15" s="94">
        <f>IFERROR($M15+VLOOKUP($L15,'Voyage days'!$F$94:$H$193,3,FALSE),"")</f>
        <v>46179</v>
      </c>
      <c r="AL15" s="94">
        <f>IFERROR($N15+VLOOKUP($L15,'Voyage days'!$F$94:$H$193,3,FALSE),"")</f>
        <v>46183</v>
      </c>
      <c r="AM15" s="93" t="str">
        <f t="shared" si="10"/>
        <v>18-22 Jun</v>
      </c>
      <c r="AN15" s="94">
        <f>IFERROR($M15+VLOOKUP($L15,'Voyage days'!$F$203:$H$256,3,FALSE),"")</f>
        <v>46191</v>
      </c>
      <c r="AO15" s="94">
        <f>IFERROR($N15+VLOOKUP($L15,'Voyage days'!$F$203:$H$256,3,FALSE),"")</f>
        <v>46195</v>
      </c>
      <c r="AP15" s="93" t="str">
        <f t="shared" si="11"/>
        <v>02-06 Jun</v>
      </c>
      <c r="AQ15" s="94">
        <f>IFERROR($M15+VLOOKUP($L15,'Voyage days'!$F$294:$H$377,3,FALSE),"")</f>
        <v>46175</v>
      </c>
      <c r="AR15" s="94">
        <f>IFERROR($N15+VLOOKUP($L15,'Voyage days'!$F$294:$H$377,3,FALSE),"")</f>
        <v>46179</v>
      </c>
      <c r="AS15" s="93" t="str">
        <f t="shared" si="12"/>
        <v>09-13 Jun</v>
      </c>
      <c r="AT15" s="94">
        <f>IFERROR($M15+VLOOKUP($L15,'Voyage days'!$F$382:$H$446,3,FALSE),"")</f>
        <v>46182</v>
      </c>
      <c r="AU15" s="94">
        <f>IFERROR($N15+VLOOKUP($L15,'Voyage days'!$F$382:$H$446,3,FALSE),"")</f>
        <v>46186</v>
      </c>
      <c r="AV15" s="93" t="str">
        <f t="shared" si="13"/>
        <v>19-23 May</v>
      </c>
      <c r="AW15" s="94">
        <f>IFERROR($M15+VLOOKUP($L15,'Voyage days'!$F$483:$H$538,3,FALSE),"")</f>
        <v>46161</v>
      </c>
      <c r="AX15" s="94">
        <f>IFERROR($N15+VLOOKUP($L15,'Voyage days'!$F$483:$H$538,3,FALSE),"")</f>
        <v>46165</v>
      </c>
      <c r="AY15" s="93" t="str">
        <f t="shared" si="14"/>
        <v>12-16 May</v>
      </c>
      <c r="AZ15" s="94">
        <f>IFERROR($M15+VLOOKUP($L15,'Voyage days'!$F$540:$H$613,3,FALSE),"")</f>
        <v>46154.25</v>
      </c>
      <c r="BA15" s="94">
        <f>IFERROR($N15+VLOOKUP($L15,'Voyage days'!$F$540:$H$613,3,FALSE),"")</f>
        <v>46158.25</v>
      </c>
      <c r="BB15" s="93" t="str">
        <f t="shared" si="15"/>
        <v>11-15 May</v>
      </c>
      <c r="BC15" s="94">
        <f>IFERROR($M15+VLOOKUP($L15,'Voyage days'!$F$448:$H$479,3,FALSE),"")</f>
        <v>46153</v>
      </c>
      <c r="BD15" s="94">
        <f>IFERROR($N15+VLOOKUP($L15,'Voyage days'!$F$448:$H$479,3,FALSE),"")</f>
        <v>46157</v>
      </c>
      <c r="BE15" s="93" t="str">
        <f t="shared" si="16"/>
        <v>18-22 May</v>
      </c>
      <c r="BF15" s="95">
        <f>IFERROR($M15+VLOOKUP($L15,'Voyage days'!$F$620:$H$646,3,FALSE),"")</f>
        <v>46160</v>
      </c>
      <c r="BG15" s="95">
        <f>IFERROR($N15+VLOOKUP($L15,'Voyage days'!$F$620:$H$646,3,FALSE),"")</f>
        <v>46164</v>
      </c>
      <c r="BH15" s="93" t="str">
        <f t="shared" si="17"/>
        <v>12-22 Jun</v>
      </c>
      <c r="BI15" s="96">
        <f>IFERROR($M15+VLOOKUP($L15,'Voyage days'!$F$702:$H$727,3,FALSE),"")</f>
        <v>46154.25</v>
      </c>
      <c r="BJ15" s="93" t="str">
        <f t="shared" si="18"/>
        <v>18-22 Jun</v>
      </c>
      <c r="BK15" s="95">
        <f>IFERROR($M15+VLOOKUP($L15,'Voyage days'!$F$807:$H$878,3,FALSE),"")</f>
        <v>46191</v>
      </c>
      <c r="BL15" s="95">
        <f>IFERROR($N15+VLOOKUP($L15,'Voyage days'!$F$807:$H$878,3,FALSE),"")</f>
        <v>46195</v>
      </c>
      <c r="BM15" s="95">
        <f>IFERROR($N15+VLOOKUP($L15,'Voyage days'!$F$807:$K$878,6,FALSE),"")</f>
        <v>46169</v>
      </c>
      <c r="BN15" s="94" t="str">
        <f>IF(L15="loads AG", IFERROR($M15+VLOOKUP($L15,'Voyage days'!$M$38:$O$38,3,FALSE),""),"")</f>
        <v/>
      </c>
      <c r="BO15" s="94" t="str">
        <f>IF(L15="loads USG", IFERROR($M15+VLOOKUP($L15,'Voyage days'!$L$203:$N$203,3,FALSE),""),"")</f>
        <v/>
      </c>
    </row>
    <row r="16" spans="1:67" ht="15.75" customHeight="1" x14ac:dyDescent="0.25">
      <c r="A16" s="53" t="s">
        <v>476</v>
      </c>
      <c r="B16" s="119">
        <v>2025</v>
      </c>
      <c r="C16" s="76">
        <v>86920</v>
      </c>
      <c r="D16" s="77"/>
      <c r="E16" s="77"/>
      <c r="F16" s="78"/>
      <c r="G16" s="78"/>
      <c r="H16" s="78" t="s">
        <v>739</v>
      </c>
      <c r="I16" s="82" t="s">
        <v>714</v>
      </c>
      <c r="J16" s="80" t="str">
        <f t="shared" si="19"/>
        <v/>
      </c>
      <c r="K16" s="81"/>
      <c r="L16" s="159" t="s">
        <v>718</v>
      </c>
      <c r="M16" s="83">
        <v>46135</v>
      </c>
      <c r="N16" s="82" t="s">
        <v>742</v>
      </c>
      <c r="O16" s="77"/>
      <c r="P16" s="82" t="s">
        <v>743</v>
      </c>
      <c r="Q16" s="82"/>
      <c r="R16" s="82" t="s">
        <v>744</v>
      </c>
      <c r="S16" s="77" t="s">
        <v>724</v>
      </c>
      <c r="T16" s="86">
        <v>46132</v>
      </c>
      <c r="U16" s="87" t="str">
        <f>IF(V16="","No AIS",VLOOKUP(V16,'Voyage days'!$A$3:$B$1480,2,FALSE))</f>
        <v>USG</v>
      </c>
      <c r="V16" s="88" t="str">
        <f>IF(VLOOKUP(A16,'1) Kpler'!$E$2:$P$1000,8, FALSE)="","",VLOOKUP(A16,'1) Kpler'!$E$2:$P$1000,8, FALSE))</f>
        <v>Houston</v>
      </c>
      <c r="W16" s="89">
        <f>IF(VLOOKUP(A16,'1) Kpler'!$E$2:$P$1000,9,FALSE)="","",VLOOKUP(A16,'1) Kpler'!$E$2:$P$1000,9,FALSE))</f>
        <v>46133</v>
      </c>
      <c r="X16" s="88" t="str">
        <f>VLOOKUP(A16,'1) Kpler'!$E$2:$I$1000,4,FALSE)</f>
        <v>open</v>
      </c>
      <c r="Y16" s="90" t="str">
        <f t="shared" si="0"/>
        <v/>
      </c>
      <c r="Z16" s="90" t="str">
        <f t="shared" si="1"/>
        <v>23-</v>
      </c>
      <c r="AA16" s="90" t="str">
        <f t="shared" si="2"/>
        <v>23-</v>
      </c>
      <c r="AB16" s="90" t="str">
        <f t="shared" si="3"/>
        <v/>
      </c>
      <c r="AC16" s="90" t="str">
        <f t="shared" si="4"/>
        <v>13-</v>
      </c>
      <c r="AD16" s="90" t="str">
        <f t="shared" si="5"/>
        <v/>
      </c>
      <c r="AE16" s="91" t="str">
        <f t="shared" si="6"/>
        <v/>
      </c>
      <c r="AF16" s="92" t="str">
        <f t="shared" si="7"/>
        <v/>
      </c>
      <c r="AG16" s="93" t="str">
        <f t="shared" si="8"/>
        <v/>
      </c>
      <c r="AH16" s="94" t="str">
        <f>IFERROR($M16+VLOOKUP($L16,'Voyage days'!$F$38:$H$89,3,FALSE),"")</f>
        <v/>
      </c>
      <c r="AI16" s="94" t="str">
        <f>IFERROR(N16+VLOOKUP($L16,'Voyage days'!$F$38:$H$89,3,FALSE),"")</f>
        <v/>
      </c>
      <c r="AJ16" s="93" t="str">
        <f t="shared" si="9"/>
        <v>23-</v>
      </c>
      <c r="AK16" s="94">
        <f>IFERROR($M16+VLOOKUP($L16,'Voyage days'!$F$94:$H$193,3,FALSE),"")</f>
        <v>46135</v>
      </c>
      <c r="AL16" s="94" t="str">
        <f>IFERROR($N16+VLOOKUP($L16,'Voyage days'!$F$94:$H$193,3,FALSE),"")</f>
        <v/>
      </c>
      <c r="AM16" s="93" t="str">
        <f t="shared" si="10"/>
        <v>23-</v>
      </c>
      <c r="AN16" s="94">
        <f>IFERROR($M16+VLOOKUP($L16,'Voyage days'!$F$203:$H$256,3,FALSE),"")</f>
        <v>46135</v>
      </c>
      <c r="AO16" s="94" t="str">
        <f>IFERROR($N16+VLOOKUP($L16,'Voyage days'!$F$203:$H$256,3,FALSE),"")</f>
        <v/>
      </c>
      <c r="AP16" s="93" t="str">
        <f t="shared" si="11"/>
        <v/>
      </c>
      <c r="AQ16" s="94" t="str">
        <f>IFERROR($M16+VLOOKUP($L16,'Voyage days'!$F$294:$H$377,3,FALSE),"")</f>
        <v/>
      </c>
      <c r="AR16" s="94" t="str">
        <f>IFERROR($N16+VLOOKUP($L16,'Voyage days'!$F$294:$H$377,3,FALSE),"")</f>
        <v/>
      </c>
      <c r="AS16" s="93" t="str">
        <f t="shared" si="12"/>
        <v>13-</v>
      </c>
      <c r="AT16" s="94">
        <f>IFERROR($M16+VLOOKUP($L16,'Voyage days'!$F$382:$H$446,3,FALSE),"")</f>
        <v>46155</v>
      </c>
      <c r="AU16" s="94" t="str">
        <f>IFERROR($N16+VLOOKUP($L16,'Voyage days'!$F$382:$H$446,3,FALSE),"")</f>
        <v/>
      </c>
      <c r="AV16" s="93" t="str">
        <f t="shared" si="13"/>
        <v/>
      </c>
      <c r="AW16" s="94" t="str">
        <f>IFERROR($M16+VLOOKUP($L16,'Voyage days'!$F$483:$H$538,3,FALSE),"")</f>
        <v/>
      </c>
      <c r="AX16" s="94" t="str">
        <f>IFERROR($N16+VLOOKUP($L16,'Voyage days'!$F$483:$H$538,3,FALSE),"")</f>
        <v/>
      </c>
      <c r="AY16" s="93" t="str">
        <f t="shared" si="14"/>
        <v/>
      </c>
      <c r="AZ16" s="94" t="str">
        <f>IFERROR($M16+VLOOKUP($L16,'Voyage days'!$F$540:$H$613,3,FALSE),"")</f>
        <v/>
      </c>
      <c r="BA16" s="94" t="str">
        <f>IFERROR($N16+VLOOKUP($L16,'Voyage days'!$F$540:$H$613,3,FALSE),"")</f>
        <v/>
      </c>
      <c r="BB16" s="93" t="str">
        <f t="shared" si="15"/>
        <v/>
      </c>
      <c r="BC16" s="94" t="str">
        <f>IFERROR($M16+VLOOKUP($L16,'Voyage days'!$F$448:$H$479,3,FALSE),"")</f>
        <v/>
      </c>
      <c r="BD16" s="94" t="str">
        <f>IFERROR($N16+VLOOKUP($L16,'Voyage days'!$F$448:$H$479,3,FALSE),"")</f>
        <v/>
      </c>
      <c r="BE16" s="93" t="str">
        <f t="shared" si="16"/>
        <v/>
      </c>
      <c r="BF16" s="95" t="str">
        <f>IFERROR($M16+VLOOKUP($L16,'Voyage days'!$F$620:$H$646,3,FALSE),"")</f>
        <v/>
      </c>
      <c r="BG16" s="95" t="str">
        <f>IFERROR($N16+VLOOKUP($L16,'Voyage days'!$F$620:$H$646,3,FALSE),"")</f>
        <v/>
      </c>
      <c r="BH16" s="93" t="str">
        <f t="shared" si="17"/>
        <v/>
      </c>
      <c r="BI16" s="96" t="str">
        <f>IFERROR($M16+VLOOKUP($L16,'Voyage days'!$F$702:$H$727,3,FALSE),"")</f>
        <v/>
      </c>
      <c r="BJ16" s="93" t="str">
        <f t="shared" si="18"/>
        <v/>
      </c>
      <c r="BK16" s="95" t="str">
        <f>IFERROR($M16+VLOOKUP($L16,'Voyage days'!$F$807:$H$878,3,FALSE),"")</f>
        <v/>
      </c>
      <c r="BL16" s="95" t="str">
        <f>IFERROR($N16+VLOOKUP($L16,'Voyage days'!$F$807:$H$878,3,FALSE),"")</f>
        <v/>
      </c>
      <c r="BM16" s="95" t="str">
        <f>IFERROR($N16+VLOOKUP($L16,'Voyage days'!$F$807:$K$878,6,FALSE),"")</f>
        <v/>
      </c>
      <c r="BN16" s="94" t="str">
        <f>IF(L16="loads AG", IFERROR($M16+VLOOKUP($L16,'Voyage days'!$M$38:$O$38,3,FALSE),""),"")</f>
        <v/>
      </c>
      <c r="BO16" s="94">
        <f>IF(L16="loads USG", IFERROR($M16+VLOOKUP($L16,'Voyage days'!$L$203:$N$203,3,FALSE),""),"")</f>
        <v>46167</v>
      </c>
    </row>
    <row r="17" spans="1:68" ht="15.75" customHeight="1" x14ac:dyDescent="0.25">
      <c r="A17" s="74" t="s">
        <v>504</v>
      </c>
      <c r="B17" s="75">
        <v>41275</v>
      </c>
      <c r="C17" s="76">
        <v>80000</v>
      </c>
      <c r="D17" s="77"/>
      <c r="E17" s="77"/>
      <c r="F17" s="78"/>
      <c r="G17" s="78"/>
      <c r="H17" s="78"/>
      <c r="I17" s="82" t="s">
        <v>714</v>
      </c>
      <c r="J17" s="80" t="str">
        <f t="shared" si="19"/>
        <v/>
      </c>
      <c r="K17" s="81"/>
      <c r="L17" s="82" t="s">
        <v>718</v>
      </c>
      <c r="M17" s="83">
        <v>46158</v>
      </c>
      <c r="N17" s="83">
        <v>46159</v>
      </c>
      <c r="O17" s="84"/>
      <c r="P17" s="124" t="s">
        <v>745</v>
      </c>
      <c r="Q17" s="82"/>
      <c r="R17" s="82" t="s">
        <v>746</v>
      </c>
      <c r="S17" s="77" t="s">
        <v>724</v>
      </c>
      <c r="T17" s="86">
        <v>46132</v>
      </c>
      <c r="U17" s="87" t="str">
        <f>IF(V17="","No AIS",VLOOKUP(V17,'Voyage days'!$A$3:$B$1480,2,FALSE))</f>
        <v>Cape (as proxy)</v>
      </c>
      <c r="V17" s="88" t="str">
        <f>IF(VLOOKUP(A17,'1) Kpler'!$E$2:$P$1000,8, FALSE)="","",VLOOKUP(A17,'1) Kpler'!$E$2:$P$1000,8, FALSE))</f>
        <v>Port Elizabeth</v>
      </c>
      <c r="W17" s="89">
        <f>IF(VLOOKUP(A17,'1) Kpler'!$E$2:$P$1000,9,FALSE)="","",VLOOKUP(A17,'1) Kpler'!$E$2:$P$1000,9,FALSE))</f>
        <v>46133.291666666664</v>
      </c>
      <c r="X17" s="88" t="str">
        <f>VLOOKUP(A17,'1) Kpler'!$E$2:$I$1000,4,FALSE)</f>
        <v>ballast</v>
      </c>
      <c r="Y17" s="63" t="str">
        <f t="shared" si="0"/>
        <v/>
      </c>
      <c r="Z17" s="63" t="str">
        <f t="shared" si="1"/>
        <v>16-17 May</v>
      </c>
      <c r="AA17" s="63" t="str">
        <f t="shared" si="2"/>
        <v>16-17 May</v>
      </c>
      <c r="AB17" s="63" t="str">
        <f t="shared" si="3"/>
        <v/>
      </c>
      <c r="AC17" s="63" t="str">
        <f t="shared" si="4"/>
        <v>05-06 Jun</v>
      </c>
      <c r="AD17" s="63" t="str">
        <f t="shared" si="5"/>
        <v/>
      </c>
      <c r="AE17" s="129" t="str">
        <f t="shared" si="6"/>
        <v/>
      </c>
      <c r="AF17" s="130" t="str">
        <f t="shared" si="7"/>
        <v/>
      </c>
      <c r="AG17" s="93" t="str">
        <f t="shared" si="8"/>
        <v/>
      </c>
      <c r="AH17" s="94" t="str">
        <f>IFERROR($M17+VLOOKUP($L17,'Voyage days'!$F$38:$H$89,3,FALSE),"")</f>
        <v/>
      </c>
      <c r="AI17" s="94" t="str">
        <f>IFERROR(N17+VLOOKUP($L17,'Voyage days'!$F$38:$H$89,3,FALSE),"")</f>
        <v/>
      </c>
      <c r="AJ17" s="93" t="str">
        <f t="shared" si="9"/>
        <v>16-17 May</v>
      </c>
      <c r="AK17" s="94">
        <f>IFERROR($M17+VLOOKUP($L17,'Voyage days'!$F$94:$H$193,3,FALSE),"")</f>
        <v>46158</v>
      </c>
      <c r="AL17" s="94">
        <f>IFERROR($N17+VLOOKUP($L17,'Voyage days'!$F$94:$H$193,3,FALSE),"")</f>
        <v>46159</v>
      </c>
      <c r="AM17" s="93" t="str">
        <f t="shared" si="10"/>
        <v>16-17 May</v>
      </c>
      <c r="AN17" s="94">
        <f>IFERROR($M17+VLOOKUP($L17,'Voyage days'!$F$203:$H$256,3,FALSE),"")</f>
        <v>46158</v>
      </c>
      <c r="AO17" s="94">
        <f>IFERROR($N17+VLOOKUP($L17,'Voyage days'!$F$203:$H$256,3,FALSE),"")</f>
        <v>46159</v>
      </c>
      <c r="AP17" s="93" t="str">
        <f t="shared" si="11"/>
        <v/>
      </c>
      <c r="AQ17" s="94" t="str">
        <f>IFERROR($M17+VLOOKUP($L17,'Voyage days'!$F$294:$H$377,3,FALSE),"")</f>
        <v/>
      </c>
      <c r="AR17" s="94" t="str">
        <f>IFERROR($N17+VLOOKUP($L17,'Voyage days'!$F$294:$H$377,3,FALSE),"")</f>
        <v/>
      </c>
      <c r="AS17" s="93" t="str">
        <f t="shared" si="12"/>
        <v>05-06 Jun</v>
      </c>
      <c r="AT17" s="94">
        <f>IFERROR($M17+VLOOKUP($L17,'Voyage days'!$F$382:$H$446,3,FALSE),"")</f>
        <v>46178</v>
      </c>
      <c r="AU17" s="94">
        <f>IFERROR($N17+VLOOKUP($L17,'Voyage days'!$F$382:$H$446,3,FALSE),"")</f>
        <v>46179</v>
      </c>
      <c r="AV17" s="93" t="str">
        <f t="shared" si="13"/>
        <v/>
      </c>
      <c r="AW17" s="94" t="str">
        <f>IFERROR($M17+VLOOKUP($L17,'Voyage days'!$F$483:$H$538,3,FALSE),"")</f>
        <v/>
      </c>
      <c r="AX17" s="94" t="str">
        <f>IFERROR($N17+VLOOKUP($L17,'Voyage days'!$F$483:$H$538,3,FALSE),"")</f>
        <v/>
      </c>
      <c r="AY17" s="93" t="str">
        <f t="shared" si="14"/>
        <v/>
      </c>
      <c r="AZ17" s="94" t="str">
        <f>IFERROR($M17+VLOOKUP($L17,'Voyage days'!$F$540:$H$613,3,FALSE),"")</f>
        <v/>
      </c>
      <c r="BA17" s="94" t="str">
        <f>IFERROR($N17+VLOOKUP($L17,'Voyage days'!$F$540:$H$613,3,FALSE),"")</f>
        <v/>
      </c>
      <c r="BB17" s="93" t="str">
        <f t="shared" si="15"/>
        <v/>
      </c>
      <c r="BC17" s="94" t="str">
        <f>IFERROR($M17+VLOOKUP($L17,'Voyage days'!$F$448:$H$479,3,FALSE),"")</f>
        <v/>
      </c>
      <c r="BD17" s="94" t="str">
        <f>IFERROR($N17+VLOOKUP($L17,'Voyage days'!$F$448:$H$479,3,FALSE),"")</f>
        <v/>
      </c>
      <c r="BE17" s="93" t="str">
        <f t="shared" si="16"/>
        <v/>
      </c>
      <c r="BF17" s="95" t="str">
        <f>IFERROR($M17+VLOOKUP($L17,'Voyage days'!$F$620:$H$646,3,FALSE),"")</f>
        <v/>
      </c>
      <c r="BG17" s="95" t="str">
        <f>IFERROR($N17+VLOOKUP($L17,'Voyage days'!$F$620:$H$646,3,FALSE),"")</f>
        <v/>
      </c>
      <c r="BH17" s="93" t="str">
        <f t="shared" si="17"/>
        <v/>
      </c>
      <c r="BI17" s="96" t="str">
        <f>IFERROR($M17+VLOOKUP($L17,'Voyage days'!$F$702:$H$727,3,FALSE),"")</f>
        <v/>
      </c>
      <c r="BJ17" s="93" t="str">
        <f t="shared" si="18"/>
        <v/>
      </c>
      <c r="BK17" s="95" t="str">
        <f>IFERROR($M17+VLOOKUP($L17,'Voyage days'!$F$807:$H$878,3,FALSE),"")</f>
        <v/>
      </c>
      <c r="BL17" s="95" t="str">
        <f>IFERROR($N17+VLOOKUP($L17,'Voyage days'!$F$807:$H$878,3,FALSE),"")</f>
        <v/>
      </c>
      <c r="BM17" s="95" t="str">
        <f>IFERROR($N17+VLOOKUP($L17,'Voyage days'!$F$807:$K$878,6,FALSE),"")</f>
        <v/>
      </c>
      <c r="BN17" s="94" t="str">
        <f>IF(L17="loads AG", IFERROR($M17+VLOOKUP($L17,'Voyage days'!$M$38:$O$38,3,FALSE),""),"")</f>
        <v/>
      </c>
      <c r="BO17" s="94">
        <f>IF(L17="loads USG", IFERROR($M17+VLOOKUP($L17,'Voyage days'!$L$203:$N$203,3,FALSE),""),"")</f>
        <v>46190</v>
      </c>
    </row>
    <row r="18" spans="1:68" ht="15.75" customHeight="1" x14ac:dyDescent="0.25">
      <c r="A18" s="97" t="s">
        <v>512</v>
      </c>
      <c r="B18" s="75">
        <v>42675</v>
      </c>
      <c r="C18" s="76">
        <v>82200</v>
      </c>
      <c r="D18" s="162"/>
      <c r="E18" s="162"/>
      <c r="F18" s="163"/>
      <c r="G18" s="163"/>
      <c r="H18" s="163"/>
      <c r="I18" s="164" t="s">
        <v>714</v>
      </c>
      <c r="J18" s="165" t="str">
        <f t="shared" si="19"/>
        <v>Update</v>
      </c>
      <c r="K18" s="166"/>
      <c r="L18" s="167" t="s">
        <v>734</v>
      </c>
      <c r="M18" s="83">
        <v>46147</v>
      </c>
      <c r="N18" s="83">
        <v>46148</v>
      </c>
      <c r="O18" s="168"/>
      <c r="P18" s="167" t="s">
        <v>747</v>
      </c>
      <c r="Q18" s="169"/>
      <c r="R18" s="169" t="s">
        <v>748</v>
      </c>
      <c r="S18" s="77" t="s">
        <v>724</v>
      </c>
      <c r="T18" s="86">
        <v>46132</v>
      </c>
      <c r="U18" s="170" t="str">
        <f>IF(V18="","No AIS",VLOOKUP(V18,'Voyage days'!$A$3:$B$1480,2,FALSE))</f>
        <v>Indo + 4 (STS)</v>
      </c>
      <c r="V18" s="171" t="str">
        <f>IF(VLOOKUP(A18,'1) Kpler'!$E$2:$P$1000,8, FALSE)="","",VLOOKUP(A18,'1) Kpler'!$E$2:$P$1000,8, FALSE))</f>
        <v>Kalbut</v>
      </c>
      <c r="W18" s="172">
        <f>IF(VLOOKUP(A18,'1) Kpler'!$E$2:$P$1000,9,FALSE)="","",VLOOKUP(A18,'1) Kpler'!$E$2:$P$1000,9,FALSE))</f>
        <v>46171.000694444447</v>
      </c>
      <c r="X18" s="171" t="str">
        <f>VLOOKUP(A18,'1) Kpler'!$E$2:$I$1000,4,FALSE)</f>
        <v>loaded</v>
      </c>
      <c r="Y18" s="173" t="str">
        <f t="shared" si="0"/>
        <v>16-17 May</v>
      </c>
      <c r="Z18" s="173" t="str">
        <f t="shared" si="1"/>
        <v>12-13 Jun</v>
      </c>
      <c r="AA18" s="173" t="str">
        <f t="shared" si="2"/>
        <v>11-12 Jun</v>
      </c>
      <c r="AB18" s="173" t="str">
        <f t="shared" si="3"/>
        <v>25-26 May</v>
      </c>
      <c r="AC18" s="173" t="str">
        <f t="shared" si="4"/>
        <v>03-04 Jun</v>
      </c>
      <c r="AD18" s="173" t="str">
        <f t="shared" si="5"/>
        <v>08-09 May</v>
      </c>
      <c r="AE18" s="174" t="str">
        <f t="shared" si="6"/>
        <v>09-10 May</v>
      </c>
      <c r="AF18" s="92" t="str">
        <f t="shared" si="7"/>
        <v>11-12 Jun</v>
      </c>
      <c r="AG18" s="93" t="str">
        <f t="shared" si="8"/>
        <v>16-17 May</v>
      </c>
      <c r="AH18" s="94">
        <f>IFERROR($M18+VLOOKUP($L18,'Voyage days'!$F$38:$H$89,3,FALSE),"")</f>
        <v>46158</v>
      </c>
      <c r="AI18" s="94">
        <f>IFERROR(N18+VLOOKUP($L18,'Voyage days'!$F$38:$H$89,3,FALSE),"")</f>
        <v>46159</v>
      </c>
      <c r="AJ18" s="93" t="str">
        <f t="shared" si="9"/>
        <v>12-13 Jun</v>
      </c>
      <c r="AK18" s="94">
        <f>IFERROR($M18+VLOOKUP($L18,'Voyage days'!$F$94:$H$193,3,FALSE),"")</f>
        <v>46185</v>
      </c>
      <c r="AL18" s="94">
        <f>IFERROR($N18+VLOOKUP($L18,'Voyage days'!$F$94:$H$193,3,FALSE),"")</f>
        <v>46186</v>
      </c>
      <c r="AM18" s="93" t="str">
        <f t="shared" si="10"/>
        <v>11-12 Jun</v>
      </c>
      <c r="AN18" s="94">
        <f>IFERROR($M18+VLOOKUP($L18,'Voyage days'!$F$203:$H$256,3,FALSE),"")</f>
        <v>46184</v>
      </c>
      <c r="AO18" s="94">
        <f>IFERROR($N18+VLOOKUP($L18,'Voyage days'!$F$203:$H$256,3,FALSE),"")</f>
        <v>46185</v>
      </c>
      <c r="AP18" s="93" t="str">
        <f t="shared" si="11"/>
        <v>25-26 May</v>
      </c>
      <c r="AQ18" s="94">
        <f>IFERROR($M18+VLOOKUP($L18,'Voyage days'!$F$294:$H$377,3,FALSE),"")</f>
        <v>46167</v>
      </c>
      <c r="AR18" s="94">
        <f>IFERROR($N18+VLOOKUP($L18,'Voyage days'!$F$294:$H$377,3,FALSE),"")</f>
        <v>46168</v>
      </c>
      <c r="AS18" s="93" t="str">
        <f t="shared" si="12"/>
        <v>03-04 Jun</v>
      </c>
      <c r="AT18" s="94">
        <f>IFERROR($M18+VLOOKUP($L18,'Voyage days'!$F$382:$H$446,3,FALSE),"")</f>
        <v>46176</v>
      </c>
      <c r="AU18" s="94">
        <f>IFERROR($N18+VLOOKUP($L18,'Voyage days'!$F$382:$H$446,3,FALSE),"")</f>
        <v>46177</v>
      </c>
      <c r="AV18" s="93" t="str">
        <f t="shared" si="13"/>
        <v>14-15 May</v>
      </c>
      <c r="AW18" s="94">
        <f>IFERROR($M18+VLOOKUP($L18,'Voyage days'!$F$483:$H$538,3,FALSE),"")</f>
        <v>46156</v>
      </c>
      <c r="AX18" s="94">
        <f>IFERROR($N18+VLOOKUP($L18,'Voyage days'!$F$483:$H$538,3,FALSE),"")</f>
        <v>46157</v>
      </c>
      <c r="AY18" s="93" t="str">
        <f t="shared" si="14"/>
        <v>09-10 May</v>
      </c>
      <c r="AZ18" s="94">
        <f>IFERROR($M18+VLOOKUP($L18,'Voyage days'!$F$540:$H$613,3,FALSE),"")</f>
        <v>46151</v>
      </c>
      <c r="BA18" s="94">
        <f>IFERROR($N18+VLOOKUP($L18,'Voyage days'!$F$540:$H$613,3,FALSE),"")</f>
        <v>46152</v>
      </c>
      <c r="BB18" s="93" t="str">
        <f t="shared" si="15"/>
        <v>08-09 May</v>
      </c>
      <c r="BC18" s="94">
        <f>IFERROR($M18+VLOOKUP($L18,'Voyage days'!$F$448:$H$479,3,FALSE),"")</f>
        <v>46150</v>
      </c>
      <c r="BD18" s="94">
        <f>IFERROR($N18+VLOOKUP($L18,'Voyage days'!$F$448:$H$479,3,FALSE),"")</f>
        <v>46151</v>
      </c>
      <c r="BE18" s="93" t="str">
        <f t="shared" si="16"/>
        <v/>
      </c>
      <c r="BF18" s="95" t="str">
        <f>IFERROR($M18+VLOOKUP($L18,'Voyage days'!$F$620:$H$646,3,FALSE),"")</f>
        <v/>
      </c>
      <c r="BG18" s="95" t="str">
        <f>IFERROR($N18+VLOOKUP($L18,'Voyage days'!$F$620:$H$646,3,FALSE),"")</f>
        <v/>
      </c>
      <c r="BH18" s="93" t="str">
        <f t="shared" si="17"/>
        <v>13-12 Jun</v>
      </c>
      <c r="BI18" s="96">
        <f>IFERROR($M18+VLOOKUP($L18,'Voyage days'!$F$702:$H$727,3,FALSE),"")</f>
        <v>46155</v>
      </c>
      <c r="BJ18" s="93" t="str">
        <f t="shared" si="18"/>
        <v>11-12 Jun</v>
      </c>
      <c r="BK18" s="95">
        <f>IFERROR($M18+VLOOKUP($L18,'Voyage days'!$F$807:$H$878,3,FALSE),"")</f>
        <v>46184</v>
      </c>
      <c r="BL18" s="95">
        <f>IFERROR($N18+VLOOKUP($L18,'Voyage days'!$F$807:$H$878,3,FALSE),"")</f>
        <v>46185</v>
      </c>
      <c r="BM18" s="95">
        <f>IFERROR($N18+VLOOKUP($L18,'Voyage days'!$F$807:$K$878,6,FALSE),"")</f>
        <v>46161</v>
      </c>
      <c r="BN18" s="94" t="str">
        <f>IF(L18="loads AG", IFERROR($M18+VLOOKUP($L18,'Voyage days'!$M$38:$O$38,3,FALSE),""),"")</f>
        <v/>
      </c>
      <c r="BO18" s="94" t="str">
        <f>IF(L18="loads USG", IFERROR($M18+VLOOKUP($L18,'Voyage days'!$L$203:$N$203,3,FALSE),""),"")</f>
        <v/>
      </c>
    </row>
    <row r="19" spans="1:68" ht="15.75" customHeight="1" x14ac:dyDescent="0.25">
      <c r="A19" s="175" t="s">
        <v>595</v>
      </c>
      <c r="B19" s="176">
        <v>42459</v>
      </c>
      <c r="C19" s="134">
        <v>82200</v>
      </c>
      <c r="D19" s="143"/>
      <c r="E19" s="143"/>
      <c r="F19" s="136"/>
      <c r="G19" s="136"/>
      <c r="H19" s="136"/>
      <c r="I19" s="177" t="s">
        <v>749</v>
      </c>
      <c r="J19" s="138" t="str">
        <f t="shared" si="19"/>
        <v>Update</v>
      </c>
      <c r="K19" s="139"/>
      <c r="L19" s="140" t="s">
        <v>750</v>
      </c>
      <c r="M19" s="141">
        <v>46129</v>
      </c>
      <c r="N19" s="141">
        <v>46130</v>
      </c>
      <c r="O19" s="142" t="s">
        <v>726</v>
      </c>
      <c r="P19" s="78" t="s">
        <v>751</v>
      </c>
      <c r="Q19" s="140"/>
      <c r="R19" s="140" t="s">
        <v>752</v>
      </c>
      <c r="S19" s="178" t="s">
        <v>724</v>
      </c>
      <c r="T19" s="144">
        <v>46132</v>
      </c>
      <c r="U19" s="145" t="str">
        <f>IF(V19="","No AIS",VLOOKUP(V19,'Voyage days'!$A$3:$B$1480,2,FALSE))</f>
        <v>USG</v>
      </c>
      <c r="V19" s="146" t="str">
        <f>IF(VLOOKUP(A19,'1) Kpler'!$E$2:$P$1000,8, FALSE)="","",VLOOKUP(A19,'1) Kpler'!$E$2:$P$1000,8, FALSE))</f>
        <v>Houston</v>
      </c>
      <c r="W19" s="147">
        <f>IF(VLOOKUP(A19,'1) Kpler'!$E$2:$P$1000,9,FALSE)="","",VLOOKUP(A19,'1) Kpler'!$E$2:$P$1000,9,FALSE))</f>
        <v>46163.354166666664</v>
      </c>
      <c r="X19" s="146" t="str">
        <f>VLOOKUP(A19,'1) Kpler'!$E$2:$I$1000,4,FALSE)</f>
        <v>ballast</v>
      </c>
      <c r="Y19" s="93" t="str">
        <f t="shared" si="0"/>
        <v>27-28 Apr</v>
      </c>
      <c r="Z19" s="93" t="str">
        <f t="shared" si="1"/>
        <v>20-21 May</v>
      </c>
      <c r="AA19" s="93" t="str">
        <f t="shared" si="2"/>
        <v>21-22 May</v>
      </c>
      <c r="AB19" s="93" t="str">
        <f t="shared" si="3"/>
        <v>07-08 May</v>
      </c>
      <c r="AC19" s="93" t="str">
        <f t="shared" si="4"/>
        <v>15-16 May</v>
      </c>
      <c r="AD19" s="93" t="str">
        <f t="shared" si="5"/>
        <v>17-18 Apr</v>
      </c>
      <c r="AE19" s="179" t="str">
        <f t="shared" si="6"/>
        <v>22-23 Apr</v>
      </c>
      <c r="AF19" s="180" t="str">
        <f t="shared" si="7"/>
        <v>24-25 May</v>
      </c>
      <c r="AG19" s="93" t="str">
        <f t="shared" si="8"/>
        <v>27-28 Apr</v>
      </c>
      <c r="AH19" s="94">
        <f>IFERROR($M19+VLOOKUP($L19,'Voyage days'!$F$38:$H$89,3,FALSE),"")</f>
        <v>46139</v>
      </c>
      <c r="AI19" s="94">
        <f>IFERROR(N19+VLOOKUP($L19,'Voyage days'!$F$38:$H$89,3,FALSE),"")</f>
        <v>46140</v>
      </c>
      <c r="AJ19" s="93" t="str">
        <f t="shared" si="9"/>
        <v>20-21 May</v>
      </c>
      <c r="AK19" s="94">
        <f>IFERROR($M19+VLOOKUP($L19,'Voyage days'!$F$94:$H$193,3,FALSE),"")</f>
        <v>46162</v>
      </c>
      <c r="AL19" s="94">
        <f>IFERROR($N19+VLOOKUP($L19,'Voyage days'!$F$94:$H$193,3,FALSE),"")</f>
        <v>46163</v>
      </c>
      <c r="AM19" s="93" t="str">
        <f t="shared" si="10"/>
        <v>21-22 May</v>
      </c>
      <c r="AN19" s="94">
        <f>IFERROR($M19+VLOOKUP($L19,'Voyage days'!$F$203:$H$256,3,FALSE),"")</f>
        <v>46163</v>
      </c>
      <c r="AO19" s="94">
        <f>IFERROR($N19+VLOOKUP($L19,'Voyage days'!$F$203:$H$256,3,FALSE),"")</f>
        <v>46164</v>
      </c>
      <c r="AP19" s="93" t="str">
        <f t="shared" si="11"/>
        <v>07-08 May</v>
      </c>
      <c r="AQ19" s="94">
        <f>IFERROR($M19+VLOOKUP($L19,'Voyage days'!$F$294:$H$377,3,FALSE),"")</f>
        <v>46149</v>
      </c>
      <c r="AR19" s="94">
        <f>IFERROR($N19+VLOOKUP($L19,'Voyage days'!$F$294:$H$377,3,FALSE),"")</f>
        <v>46150</v>
      </c>
      <c r="AS19" s="93" t="str">
        <f t="shared" si="12"/>
        <v>15-16 May</v>
      </c>
      <c r="AT19" s="94">
        <f>IFERROR($M19+VLOOKUP($L19,'Voyage days'!$F$382:$H$446,3,FALSE),"")</f>
        <v>46157</v>
      </c>
      <c r="AU19" s="94">
        <f>IFERROR($N19+VLOOKUP($L19,'Voyage days'!$F$382:$H$446,3,FALSE),"")</f>
        <v>46158</v>
      </c>
      <c r="AV19" s="93" t="str">
        <f t="shared" si="13"/>
        <v>28-29 Apr</v>
      </c>
      <c r="AW19" s="94">
        <f>IFERROR($M19+VLOOKUP($L19,'Voyage days'!$F$483:$H$538,3,FALSE),"")</f>
        <v>46140</v>
      </c>
      <c r="AX19" s="94">
        <f>IFERROR($N19+VLOOKUP($L19,'Voyage days'!$F$483:$H$538,3,FALSE),"")</f>
        <v>46141</v>
      </c>
      <c r="AY19" s="93" t="str">
        <f t="shared" si="14"/>
        <v>22-23 Apr</v>
      </c>
      <c r="AZ19" s="94">
        <f>IFERROR($M19+VLOOKUP($L19,'Voyage days'!$F$540:$H$613,3,FALSE),"")</f>
        <v>46134.25</v>
      </c>
      <c r="BA19" s="94">
        <f>IFERROR($N19+VLOOKUP($L19,'Voyage days'!$F$540:$H$613,3,FALSE),"")</f>
        <v>46135.25</v>
      </c>
      <c r="BB19" s="93" t="str">
        <f t="shared" si="15"/>
        <v>17-18 Apr</v>
      </c>
      <c r="BC19" s="94">
        <f>IFERROR($M19+VLOOKUP($L19,'Voyage days'!$F$448:$H$479,3,FALSE),"")</f>
        <v>46129</v>
      </c>
      <c r="BD19" s="94">
        <f>IFERROR($N19+VLOOKUP($L19,'Voyage days'!$F$448:$H$479,3,FALSE),"")</f>
        <v>46130</v>
      </c>
      <c r="BE19" s="93" t="str">
        <f t="shared" si="16"/>
        <v/>
      </c>
      <c r="BF19" s="95" t="str">
        <f>IFERROR($M19+VLOOKUP($L19,'Voyage days'!$F$620:$H$646,3,FALSE),"")</f>
        <v/>
      </c>
      <c r="BG19" s="95" t="str">
        <f>IFERROR($N19+VLOOKUP($L19,'Voyage days'!$F$620:$H$646,3,FALSE),"")</f>
        <v/>
      </c>
      <c r="BH19" s="93" t="str">
        <f t="shared" si="17"/>
        <v>27-25 May</v>
      </c>
      <c r="BI19" s="96">
        <f>IFERROR($M19+VLOOKUP($L19,'Voyage days'!$F$702:$H$727,3,FALSE),"")</f>
        <v>46139</v>
      </c>
      <c r="BJ19" s="93" t="str">
        <f t="shared" si="18"/>
        <v>24-25 May</v>
      </c>
      <c r="BK19" s="95">
        <f>IFERROR($M19+VLOOKUP($L19,'Voyage days'!$F$807:$H$878,3,FALSE),"")</f>
        <v>46166</v>
      </c>
      <c r="BL19" s="95">
        <f>IFERROR($N19+VLOOKUP($L19,'Voyage days'!$F$807:$H$878,3,FALSE),"")</f>
        <v>46167</v>
      </c>
      <c r="BM19" s="95">
        <f>IFERROR($N19+VLOOKUP($L19,'Voyage days'!$F$807:$K$878,6,FALSE),"")</f>
        <v>46143</v>
      </c>
      <c r="BN19" s="94" t="str">
        <f>IF(L19="loads AG", IFERROR($M19+VLOOKUP($L19,'Voyage days'!$M$38:$O$38,3,FALSE),""),"")</f>
        <v/>
      </c>
      <c r="BO19" s="94" t="str">
        <f>IF(L19="loads USG", IFERROR($M19+VLOOKUP($L19,'Voyage days'!$L$203:$N$203,3,FALSE),""),"")</f>
        <v/>
      </c>
    </row>
    <row r="20" spans="1:68" ht="15.75" customHeight="1" x14ac:dyDescent="0.25">
      <c r="A20" s="181" t="s">
        <v>25</v>
      </c>
      <c r="B20" s="182">
        <v>2008</v>
      </c>
      <c r="C20" s="183">
        <v>84000</v>
      </c>
      <c r="D20" s="184"/>
      <c r="E20" s="184"/>
      <c r="F20" s="185"/>
      <c r="G20" s="185"/>
      <c r="H20" s="185"/>
      <c r="I20" s="186" t="s">
        <v>753</v>
      </c>
      <c r="J20" s="187" t="str">
        <f t="shared" si="19"/>
        <v>NO AIS</v>
      </c>
      <c r="K20" s="188"/>
      <c r="L20" s="186" t="s">
        <v>754</v>
      </c>
      <c r="M20" s="189">
        <v>46132</v>
      </c>
      <c r="N20" s="189">
        <v>46133</v>
      </c>
      <c r="O20" s="190"/>
      <c r="P20" s="191" t="s">
        <v>755</v>
      </c>
      <c r="Q20" s="186"/>
      <c r="R20" s="192" t="s">
        <v>756</v>
      </c>
      <c r="S20" s="193" t="s">
        <v>724</v>
      </c>
      <c r="T20" s="194">
        <v>46132</v>
      </c>
      <c r="U20" s="195" t="str">
        <f>IF(V20="","No AIS",VLOOKUP(V20,'Voyage days'!$A$3:$B$1480,2,FALSE))</f>
        <v>No AIS</v>
      </c>
      <c r="V20" s="195" t="str">
        <f>IF(VLOOKUP(A20,'1) Kpler'!$E$2:$P$1000,8, FALSE)="","",VLOOKUP(A20,'1) Kpler'!$E$2:$P$1000,8, FALSE))</f>
        <v/>
      </c>
      <c r="W20" s="196" t="str">
        <f>IF(VLOOKUP(A20,'1) Kpler'!$E$2:$P$1000,9,FALSE)="","",VLOOKUP(A20,'1) Kpler'!$E$2:$P$1000,9,FALSE))</f>
        <v/>
      </c>
      <c r="X20" s="195" t="str">
        <f>VLOOKUP(A20,'1) Kpler'!$E$2:$I$1000,4,FALSE)</f>
        <v>ballast</v>
      </c>
      <c r="Y20" s="197" t="str">
        <f t="shared" si="0"/>
        <v>05-06 May</v>
      </c>
      <c r="Z20" s="197" t="str">
        <f t="shared" si="1"/>
        <v>26-27 May</v>
      </c>
      <c r="AA20" s="197" t="str">
        <f t="shared" si="2"/>
        <v>01-02 Jun</v>
      </c>
      <c r="AB20" s="197" t="str">
        <f t="shared" si="3"/>
        <v>16-17 May</v>
      </c>
      <c r="AC20" s="197" t="str">
        <f t="shared" si="4"/>
        <v>23-24 May</v>
      </c>
      <c r="AD20" s="197" t="str">
        <f t="shared" si="5"/>
        <v>24-25 Apr</v>
      </c>
      <c r="AE20" s="198" t="str">
        <f t="shared" si="6"/>
        <v>26-27 Apr</v>
      </c>
      <c r="AF20" s="199" t="str">
        <f t="shared" si="7"/>
        <v>01-02 Jun</v>
      </c>
      <c r="AG20" s="200" t="str">
        <f t="shared" si="8"/>
        <v>05-06 May</v>
      </c>
      <c r="AH20" s="201">
        <f>IFERROR($M20+VLOOKUP($L20,'Voyage days'!$F$38:$H$89,3,FALSE),"")</f>
        <v>46147</v>
      </c>
      <c r="AI20" s="201">
        <f>IFERROR(N20+VLOOKUP($L20,'Voyage days'!$F$38:$H$89,3,FALSE),"")</f>
        <v>46148</v>
      </c>
      <c r="AJ20" s="200" t="str">
        <f t="shared" si="9"/>
        <v>26-27 May</v>
      </c>
      <c r="AK20" s="201">
        <f>IFERROR($M20+VLOOKUP($L20,'Voyage days'!$F$94:$H$193,3,FALSE),"")</f>
        <v>46168</v>
      </c>
      <c r="AL20" s="201">
        <f>IFERROR($N20+VLOOKUP($L20,'Voyage days'!$F$94:$H$193,3,FALSE),"")</f>
        <v>46169</v>
      </c>
      <c r="AM20" s="200" t="str">
        <f t="shared" si="10"/>
        <v>01-02 Jun</v>
      </c>
      <c r="AN20" s="201">
        <f>IFERROR($M20+VLOOKUP($L20,'Voyage days'!$F$203:$H$256,3,FALSE),"")</f>
        <v>46174</v>
      </c>
      <c r="AO20" s="201">
        <f>IFERROR($N20+VLOOKUP($L20,'Voyage days'!$F$203:$H$256,3,FALSE),"")</f>
        <v>46175</v>
      </c>
      <c r="AP20" s="200" t="str">
        <f t="shared" si="11"/>
        <v>16-17 May</v>
      </c>
      <c r="AQ20" s="201">
        <f>IFERROR($M20+VLOOKUP($L20,'Voyage days'!$F$294:$H$377,3,FALSE),"")</f>
        <v>46158</v>
      </c>
      <c r="AR20" s="201">
        <f>IFERROR($N20+VLOOKUP($L20,'Voyage days'!$F$294:$H$377,3,FALSE),"")</f>
        <v>46159</v>
      </c>
      <c r="AS20" s="200" t="str">
        <f t="shared" si="12"/>
        <v>23-24 May</v>
      </c>
      <c r="AT20" s="201">
        <f>IFERROR($M20+VLOOKUP($L20,'Voyage days'!$F$382:$H$446,3,FALSE),"")</f>
        <v>46165</v>
      </c>
      <c r="AU20" s="201">
        <f>IFERROR($N20+VLOOKUP($L20,'Voyage days'!$F$382:$H$446,3,FALSE),"")</f>
        <v>46166</v>
      </c>
      <c r="AV20" s="200" t="str">
        <f t="shared" si="13"/>
        <v>04-05 May</v>
      </c>
      <c r="AW20" s="201">
        <f>IFERROR($M20+VLOOKUP($L20,'Voyage days'!$F$483:$H$538,3,FALSE),"")</f>
        <v>46146</v>
      </c>
      <c r="AX20" s="201">
        <f>IFERROR($N20+VLOOKUP($L20,'Voyage days'!$F$483:$H$538,3,FALSE),"")</f>
        <v>46147</v>
      </c>
      <c r="AY20" s="200" t="str">
        <f t="shared" si="14"/>
        <v>26-27 Apr</v>
      </c>
      <c r="AZ20" s="201">
        <f>IFERROR($M20+VLOOKUP($L20,'Voyage days'!$F$540:$H$613,3,FALSE),"")</f>
        <v>46138.75</v>
      </c>
      <c r="BA20" s="201">
        <f>IFERROR($N20+VLOOKUP($L20,'Voyage days'!$F$540:$H$613,3,FALSE),"")</f>
        <v>46139.75</v>
      </c>
      <c r="BB20" s="200" t="str">
        <f t="shared" si="15"/>
        <v>24-25 Apr</v>
      </c>
      <c r="BC20" s="201">
        <f>IFERROR($M20+VLOOKUP($L20,'Voyage days'!$F$448:$H$479,3,FALSE),"")</f>
        <v>46136</v>
      </c>
      <c r="BD20" s="201">
        <f>IFERROR($N20+VLOOKUP($L20,'Voyage days'!$F$448:$H$479,3,FALSE),"")</f>
        <v>46137</v>
      </c>
      <c r="BE20" s="200" t="str">
        <f t="shared" si="16"/>
        <v/>
      </c>
      <c r="BF20" s="201" t="str">
        <f>IFERROR($M20+VLOOKUP($L20,'Voyage days'!$F$620:$H$646,3,FALSE),"")</f>
        <v/>
      </c>
      <c r="BG20" s="201" t="str">
        <f>IFERROR($N20+VLOOKUP($L20,'Voyage days'!$F$620:$H$646,3,FALSE),"")</f>
        <v/>
      </c>
      <c r="BH20" s="200" t="str">
        <f t="shared" si="17"/>
        <v>26-02 Jun</v>
      </c>
      <c r="BI20" s="202">
        <f>IFERROR($M20+VLOOKUP($L20,'Voyage days'!$F$702:$H$727,3,FALSE),"")</f>
        <v>46138.75</v>
      </c>
      <c r="BJ20" s="200" t="str">
        <f t="shared" si="18"/>
        <v>01-02 Jun</v>
      </c>
      <c r="BK20" s="201">
        <f>IFERROR($M20+VLOOKUP($L20,'Voyage days'!$F$807:$H$878,3,FALSE),"")</f>
        <v>46174</v>
      </c>
      <c r="BL20" s="201">
        <f>IFERROR($N20+VLOOKUP($L20,'Voyage days'!$F$807:$H$878,3,FALSE),"")</f>
        <v>46175</v>
      </c>
      <c r="BM20" s="201">
        <f>IFERROR($N20+VLOOKUP($L20,'Voyage days'!$F$807:$K$878,6,FALSE),"")</f>
        <v>46150</v>
      </c>
      <c r="BN20" s="201" t="str">
        <f>IF(L20="loads AG", IFERROR($M20+VLOOKUP($L20,'Voyage days'!$M$38:$O$38,3,FALSE),""),"")</f>
        <v/>
      </c>
      <c r="BO20" s="201" t="str">
        <f>IF(L20="loads USG", IFERROR($M20+VLOOKUP($L20,'Voyage days'!$L$203:$N$203,3,FALSE),""),"")</f>
        <v/>
      </c>
      <c r="BP20" s="203"/>
    </row>
    <row r="21" spans="1:68" ht="15.75" customHeight="1" x14ac:dyDescent="0.25">
      <c r="A21" s="97" t="s">
        <v>92</v>
      </c>
      <c r="B21" s="204">
        <v>2006</v>
      </c>
      <c r="C21" s="76">
        <v>82244</v>
      </c>
      <c r="D21" s="77"/>
      <c r="E21" s="77" t="s">
        <v>757</v>
      </c>
      <c r="F21" s="78"/>
      <c r="G21" s="78"/>
      <c r="H21" s="78"/>
      <c r="I21" s="124" t="s">
        <v>758</v>
      </c>
      <c r="J21" s="80" t="str">
        <f t="shared" si="19"/>
        <v>Update</v>
      </c>
      <c r="K21" s="81"/>
      <c r="L21" s="82" t="s">
        <v>759</v>
      </c>
      <c r="M21" s="205">
        <v>46118</v>
      </c>
      <c r="N21" s="83">
        <v>46119</v>
      </c>
      <c r="O21" s="206" t="s">
        <v>726</v>
      </c>
      <c r="P21" s="85" t="s">
        <v>760</v>
      </c>
      <c r="Q21" s="82"/>
      <c r="R21" s="82" t="s">
        <v>761</v>
      </c>
      <c r="S21" s="120" t="s">
        <v>724</v>
      </c>
      <c r="T21" s="86">
        <v>46132</v>
      </c>
      <c r="U21" s="87" t="str">
        <f>IF(V21="","No AIS",VLOOKUP(V21,'Voyage days'!$A$3:$B$1480,2,FALSE))</f>
        <v>USG</v>
      </c>
      <c r="V21" s="88" t="str">
        <f>IF(VLOOKUP(A21,'1) Kpler'!$E$2:$P$1000,8, FALSE)="","",VLOOKUP(A21,'1) Kpler'!$E$2:$P$1000,8, FALSE))</f>
        <v>Houston</v>
      </c>
      <c r="W21" s="89">
        <f>IF(VLOOKUP(A21,'1) Kpler'!$E$2:$P$1000,9,FALSE)="","",VLOOKUP(A21,'1) Kpler'!$E$2:$P$1000,9,FALSE))</f>
        <v>46144.5</v>
      </c>
      <c r="X21" s="88" t="str">
        <f>VLOOKUP(A21,'1) Kpler'!$E$2:$I$1000,4,FALSE)</f>
        <v>ballast</v>
      </c>
      <c r="Y21" s="90" t="str">
        <f t="shared" si="0"/>
        <v/>
      </c>
      <c r="Z21" s="207" t="str">
        <f t="shared" si="1"/>
        <v/>
      </c>
      <c r="AA21" s="207" t="str">
        <f t="shared" si="2"/>
        <v>02-03 May</v>
      </c>
      <c r="AB21" s="90" t="str">
        <f t="shared" si="3"/>
        <v>19-20 Apr</v>
      </c>
      <c r="AC21" s="90" t="str">
        <f t="shared" si="4"/>
        <v>28-29 Apr</v>
      </c>
      <c r="AD21" s="90" t="str">
        <f t="shared" si="5"/>
        <v/>
      </c>
      <c r="AE21" s="91" t="str">
        <f t="shared" si="6"/>
        <v/>
      </c>
      <c r="AF21" s="92" t="str">
        <f t="shared" si="7"/>
        <v>03-04 May</v>
      </c>
      <c r="AG21" s="93" t="str">
        <f t="shared" si="8"/>
        <v/>
      </c>
      <c r="AH21" s="94" t="str">
        <f>IFERROR($M21+VLOOKUP($L21,'Voyage days'!$F$38:$H$89,3,FALSE),"")</f>
        <v/>
      </c>
      <c r="AI21" s="94" t="str">
        <f>IFERROR(N21+VLOOKUP($L21,'Voyage days'!$F$38:$H$89,3,FALSE),"")</f>
        <v/>
      </c>
      <c r="AJ21" s="93" t="str">
        <f t="shared" si="9"/>
        <v/>
      </c>
      <c r="AK21" s="94" t="str">
        <f>IFERROR($M21+VLOOKUP($L21,'Voyage days'!$F$94:$H$193,3,FALSE),"")</f>
        <v/>
      </c>
      <c r="AL21" s="94" t="str">
        <f>IFERROR($N21+VLOOKUP($L21,'Voyage days'!$F$94:$H$193,3,FALSE),"")</f>
        <v/>
      </c>
      <c r="AM21" s="93" t="str">
        <f t="shared" si="10"/>
        <v>02-03 May</v>
      </c>
      <c r="AN21" s="94">
        <f>IFERROR($M21+VLOOKUP($L21,'Voyage days'!$F$203:$H$256,3,FALSE),"")</f>
        <v>46144</v>
      </c>
      <c r="AO21" s="94">
        <f>IFERROR($N21+VLOOKUP($L21,'Voyage days'!$F$203:$H$256,3,FALSE),"")</f>
        <v>46145</v>
      </c>
      <c r="AP21" s="93" t="str">
        <f t="shared" si="11"/>
        <v>19-20 Apr</v>
      </c>
      <c r="AQ21" s="94">
        <f>IFERROR($M21+VLOOKUP($L21,'Voyage days'!$F$294:$H$377,3,FALSE),"")</f>
        <v>46131</v>
      </c>
      <c r="AR21" s="94">
        <f>IFERROR($N21+VLOOKUP($L21,'Voyage days'!$F$294:$H$377,3,FALSE),"")</f>
        <v>46132</v>
      </c>
      <c r="AS21" s="93" t="str">
        <f t="shared" si="12"/>
        <v>28-29 Apr</v>
      </c>
      <c r="AT21" s="94">
        <f>IFERROR($M21+VLOOKUP($L21,'Voyage days'!$F$382:$H$446,3,FALSE),"")</f>
        <v>46140</v>
      </c>
      <c r="AU21" s="94">
        <f>IFERROR($N21+VLOOKUP($L21,'Voyage days'!$F$382:$H$446,3,FALSE),"")</f>
        <v>46141</v>
      </c>
      <c r="AV21" s="93" t="str">
        <f t="shared" si="13"/>
        <v/>
      </c>
      <c r="AW21" s="94" t="str">
        <f>IFERROR($M21+VLOOKUP($L21,'Voyage days'!$F$483:$H$538,3,FALSE),"")</f>
        <v/>
      </c>
      <c r="AX21" s="94" t="str">
        <f>IFERROR($N21+VLOOKUP($L21,'Voyage days'!$F$483:$H$538,3,FALSE),"")</f>
        <v/>
      </c>
      <c r="AY21" s="93" t="str">
        <f t="shared" si="14"/>
        <v/>
      </c>
      <c r="AZ21" s="94" t="str">
        <f>IFERROR($M21+VLOOKUP($L21,'Voyage days'!$F$540:$H$613,3,FALSE),"")</f>
        <v/>
      </c>
      <c r="BA21" s="94" t="str">
        <f>IFERROR($N21+VLOOKUP($L21,'Voyage days'!$F$540:$H$613,3,FALSE),"")</f>
        <v/>
      </c>
      <c r="BB21" s="93" t="str">
        <f t="shared" si="15"/>
        <v/>
      </c>
      <c r="BC21" s="94" t="str">
        <f>IFERROR($M21+VLOOKUP($L21,'Voyage days'!$F$448:$H$479,3,FALSE),"")</f>
        <v/>
      </c>
      <c r="BD21" s="94" t="str">
        <f>IFERROR($N21+VLOOKUP($L21,'Voyage days'!$F$448:$H$479,3,FALSE),"")</f>
        <v/>
      </c>
      <c r="BE21" s="93" t="str">
        <f t="shared" si="16"/>
        <v/>
      </c>
      <c r="BF21" s="95" t="str">
        <f>IFERROR($M21+VLOOKUP($L21,'Voyage days'!$F$620:$H$646,3,FALSE),"")</f>
        <v/>
      </c>
      <c r="BG21" s="95" t="str">
        <f>IFERROR($N21+VLOOKUP($L21,'Voyage days'!$F$620:$H$646,3,FALSE),"")</f>
        <v/>
      </c>
      <c r="BH21" s="93" t="str">
        <f t="shared" si="17"/>
        <v/>
      </c>
      <c r="BI21" s="96" t="str">
        <f>IFERROR($M21+VLOOKUP($L21,'Voyage days'!$F$702:$H$727,3,FALSE),"")</f>
        <v/>
      </c>
      <c r="BJ21" s="93" t="str">
        <f t="shared" si="18"/>
        <v>03-04 May</v>
      </c>
      <c r="BK21" s="95">
        <f>IFERROR($M21+VLOOKUP($L21,'Voyage days'!$F$807:$H$878,3,FALSE),"")</f>
        <v>46145</v>
      </c>
      <c r="BL21" s="95">
        <f>IFERROR($N21+VLOOKUP($L21,'Voyage days'!$F$807:$H$878,3,FALSE),"")</f>
        <v>46146</v>
      </c>
      <c r="BM21" s="95">
        <f>IFERROR($N21+VLOOKUP($L21,'Voyage days'!$F$807:$K$878,6,FALSE),"")</f>
        <v>46119</v>
      </c>
      <c r="BN21" s="94" t="str">
        <f>IF(L21="loads AG", IFERROR($M21+VLOOKUP($L21,'Voyage days'!$M$38:$O$38,3,FALSE),""),"")</f>
        <v/>
      </c>
      <c r="BO21" s="94" t="str">
        <f>IF(L21="loads USG", IFERROR($M21+VLOOKUP($L21,'Voyage days'!$L$203:$N$203,3,FALSE),""),"")</f>
        <v/>
      </c>
    </row>
    <row r="22" spans="1:68" ht="15.75" customHeight="1" x14ac:dyDescent="0.25">
      <c r="A22" s="208" t="s">
        <v>762</v>
      </c>
      <c r="B22" s="209">
        <v>2019</v>
      </c>
      <c r="C22" s="210">
        <v>83325</v>
      </c>
      <c r="D22" s="77"/>
      <c r="E22" s="77"/>
      <c r="F22" s="211"/>
      <c r="G22" s="211"/>
      <c r="H22" s="211" t="s">
        <v>739</v>
      </c>
      <c r="I22" s="124" t="s">
        <v>758</v>
      </c>
      <c r="J22" s="80" t="str">
        <f t="shared" si="19"/>
        <v/>
      </c>
      <c r="K22" s="81"/>
      <c r="L22" s="212" t="s">
        <v>704</v>
      </c>
      <c r="M22" s="205">
        <v>46164</v>
      </c>
      <c r="N22" s="205">
        <v>46165</v>
      </c>
      <c r="O22" s="206"/>
      <c r="P22" s="157" t="s">
        <v>763</v>
      </c>
      <c r="Q22" s="167"/>
      <c r="R22" s="82" t="s">
        <v>764</v>
      </c>
      <c r="S22" s="77" t="s">
        <v>724</v>
      </c>
      <c r="T22" s="86">
        <v>46132</v>
      </c>
      <c r="U22" s="87" t="str">
        <f>IF(V22="","No AIS",VLOOKUP(V22,'Voyage days'!$A$3:$B$1480,2,FALSE))</f>
        <v>Panama</v>
      </c>
      <c r="V22" s="88" t="str">
        <f>IF(VLOOKUP(A22,'1) Kpler'!$E$2:$P$1000,8, FALSE)="","",VLOOKUP(A22,'1) Kpler'!$E$2:$P$1000,8, FALSE))</f>
        <v>Panama Canal</v>
      </c>
      <c r="W22" s="89">
        <f>IF(VLOOKUP(A22,'1) Kpler'!$E$2:$P$1000,9,FALSE)="","",VLOOKUP(A22,'1) Kpler'!$E$2:$P$1000,9,FALSE))</f>
        <v>46133.5</v>
      </c>
      <c r="X22" s="88" t="str">
        <f>VLOOKUP(A22,'1) Kpler'!$E$2:$I$1000,4,FALSE)</f>
        <v>loaded</v>
      </c>
      <c r="Y22" s="90" t="str">
        <f t="shared" si="0"/>
        <v>09-10 Jun</v>
      </c>
      <c r="Z22" s="90" t="str">
        <f t="shared" si="1"/>
        <v>21-22 Jun</v>
      </c>
      <c r="AA22" s="90" t="str">
        <f t="shared" si="2"/>
        <v>29-30 Jun</v>
      </c>
      <c r="AB22" s="90" t="str">
        <f t="shared" si="3"/>
        <v>21-22 Jun</v>
      </c>
      <c r="AC22" s="90" t="str">
        <f t="shared" si="4"/>
        <v>27-28 Jun</v>
      </c>
      <c r="AD22" s="90" t="str">
        <f t="shared" si="5"/>
        <v>30-31 May</v>
      </c>
      <c r="AE22" s="91" t="str">
        <f t="shared" si="6"/>
        <v>30-31 May</v>
      </c>
      <c r="AF22" s="92" t="str">
        <f t="shared" si="7"/>
        <v>07-08 Jul</v>
      </c>
      <c r="AG22" s="93" t="str">
        <f t="shared" si="8"/>
        <v>09-10 Jun</v>
      </c>
      <c r="AH22" s="94">
        <f>IFERROR($M22+VLOOKUP($L22,'Voyage days'!$F$38:$H$89,3,FALSE),"")</f>
        <v>46182</v>
      </c>
      <c r="AI22" s="94">
        <f>IFERROR(N22+VLOOKUP($L22,'Voyage days'!$F$38:$H$89,3,FALSE),"")</f>
        <v>46183</v>
      </c>
      <c r="AJ22" s="93" t="str">
        <f t="shared" si="9"/>
        <v>21-22 Jun</v>
      </c>
      <c r="AK22" s="94">
        <f>IFERROR($M22+VLOOKUP($L22,'Voyage days'!$F$94:$H$193,3,FALSE),"")</f>
        <v>46194</v>
      </c>
      <c r="AL22" s="94">
        <f>IFERROR($N22+VLOOKUP($L22,'Voyage days'!$F$94:$H$193,3,FALSE),"")</f>
        <v>46195</v>
      </c>
      <c r="AM22" s="93" t="str">
        <f t="shared" si="10"/>
        <v>29-30 Jun</v>
      </c>
      <c r="AN22" s="94">
        <f>IFERROR($M22+VLOOKUP($L22,'Voyage days'!$F$203:$H$256,3,FALSE),"")</f>
        <v>46202</v>
      </c>
      <c r="AO22" s="94">
        <f>IFERROR($N22+VLOOKUP($L22,'Voyage days'!$F$203:$H$256,3,FALSE),"")</f>
        <v>46203</v>
      </c>
      <c r="AP22" s="93" t="str">
        <f t="shared" si="11"/>
        <v>21-22 Jun</v>
      </c>
      <c r="AQ22" s="94">
        <f>IFERROR($M22+VLOOKUP($L22,'Voyage days'!$F$294:$H$377,3,FALSE),"")</f>
        <v>46194</v>
      </c>
      <c r="AR22" s="94">
        <f>IFERROR($N22+VLOOKUP($L22,'Voyage days'!$F$294:$H$377,3,FALSE),"")</f>
        <v>46195</v>
      </c>
      <c r="AS22" s="93" t="str">
        <f t="shared" si="12"/>
        <v>27-28 Jun</v>
      </c>
      <c r="AT22" s="94">
        <f>IFERROR($M22+VLOOKUP($L22,'Voyage days'!$F$382:$H$446,3,FALSE),"")</f>
        <v>46200</v>
      </c>
      <c r="AU22" s="94">
        <f>IFERROR($N22+VLOOKUP($L22,'Voyage days'!$F$382:$H$446,3,FALSE),"")</f>
        <v>46201</v>
      </c>
      <c r="AV22" s="93" t="str">
        <f t="shared" si="13"/>
        <v>04-05 Jun</v>
      </c>
      <c r="AW22" s="94">
        <f>IFERROR($M22+VLOOKUP($L22,'Voyage days'!$F$483:$H$538,3,FALSE),"")</f>
        <v>46177</v>
      </c>
      <c r="AX22" s="94">
        <f>IFERROR($N22+VLOOKUP($L22,'Voyage days'!$F$483:$H$538,3,FALSE),"")</f>
        <v>46178</v>
      </c>
      <c r="AY22" s="93" t="str">
        <f t="shared" si="14"/>
        <v>30-31 May</v>
      </c>
      <c r="AZ22" s="94">
        <f>IFERROR($M22+VLOOKUP($L22,'Voyage days'!$F$540:$H$613,3,FALSE),"")</f>
        <v>46172.25</v>
      </c>
      <c r="BA22" s="94">
        <f>IFERROR($N22+VLOOKUP($L22,'Voyage days'!$F$540:$H$613,3,FALSE),"")</f>
        <v>46173.25</v>
      </c>
      <c r="BB22" s="93" t="str">
        <f t="shared" si="15"/>
        <v>30-31 May</v>
      </c>
      <c r="BC22" s="94">
        <f>IFERROR($M22+VLOOKUP($L22,'Voyage days'!$F$448:$H$479,3,FALSE),"")</f>
        <v>46172</v>
      </c>
      <c r="BD22" s="94">
        <f>IFERROR($N22+VLOOKUP($L22,'Voyage days'!$F$448:$H$479,3,FALSE),"")</f>
        <v>46173</v>
      </c>
      <c r="BE22" s="93" t="str">
        <f t="shared" si="16"/>
        <v>02-03 Jun</v>
      </c>
      <c r="BF22" s="95">
        <f>IFERROR($M22+VLOOKUP($L22,'Voyage days'!$F$620:$H$646,3,FALSE),"")</f>
        <v>46175</v>
      </c>
      <c r="BG22" s="95">
        <f>IFERROR($N22+VLOOKUP($L22,'Voyage days'!$F$620:$H$646,3,FALSE),"")</f>
        <v>46176</v>
      </c>
      <c r="BH22" s="93" t="str">
        <f t="shared" si="17"/>
        <v>30-08 Jul</v>
      </c>
      <c r="BI22" s="96">
        <f>IFERROR($M22+VLOOKUP($L22,'Voyage days'!$F$702:$H$727,3,FALSE),"")</f>
        <v>46172.25</v>
      </c>
      <c r="BJ22" s="93" t="str">
        <f t="shared" si="18"/>
        <v>07-08 Jul</v>
      </c>
      <c r="BK22" s="95">
        <f>IFERROR($M22+VLOOKUP($L22,'Voyage days'!$F$807:$H$878,3,FALSE),"")</f>
        <v>46210</v>
      </c>
      <c r="BL22" s="95">
        <f>IFERROR($N22+VLOOKUP($L22,'Voyage days'!$F$807:$H$878,3,FALSE),"")</f>
        <v>46211</v>
      </c>
      <c r="BM22" s="95">
        <f>IFERROR($N22+VLOOKUP($L22,'Voyage days'!$F$807:$K$878,6,FALSE),"")</f>
        <v>46185</v>
      </c>
      <c r="BN22" s="94" t="str">
        <f>IF(L22="loads AG", IFERROR($M22+VLOOKUP($L22,'Voyage days'!$M$38:$O$38,3,FALSE),""),"")</f>
        <v/>
      </c>
      <c r="BO22" s="94" t="str">
        <f>IF(L22="loads USG", IFERROR($M22+VLOOKUP($L22,'Voyage days'!$L$203:$N$203,3,FALSE),""),"")</f>
        <v/>
      </c>
    </row>
    <row r="23" spans="1:68" x14ac:dyDescent="0.25">
      <c r="A23" s="213" t="s">
        <v>201</v>
      </c>
      <c r="B23" s="209">
        <v>2025</v>
      </c>
      <c r="C23" s="210">
        <v>88000</v>
      </c>
      <c r="D23" s="77"/>
      <c r="E23" s="77" t="s">
        <v>757</v>
      </c>
      <c r="F23" s="211"/>
      <c r="G23" s="211"/>
      <c r="H23" s="211" t="s">
        <v>713</v>
      </c>
      <c r="I23" s="124" t="s">
        <v>758</v>
      </c>
      <c r="J23" s="214" t="str">
        <f t="shared" si="19"/>
        <v/>
      </c>
      <c r="K23" s="81"/>
      <c r="L23" s="212" t="s">
        <v>754</v>
      </c>
      <c r="M23" s="205">
        <v>46174</v>
      </c>
      <c r="N23" s="83">
        <v>46175</v>
      </c>
      <c r="O23" s="215"/>
      <c r="P23" s="216" t="s">
        <v>765</v>
      </c>
      <c r="Q23" s="82"/>
      <c r="R23" s="82" t="s">
        <v>766</v>
      </c>
      <c r="S23" s="77" t="s">
        <v>724</v>
      </c>
      <c r="T23" s="86">
        <v>46132</v>
      </c>
      <c r="U23" s="217" t="str">
        <f>IF(V23="","No AIS",VLOOKUP(V23,'Voyage days'!$A$3:$B$1480,2,FALSE))</f>
        <v>Panama</v>
      </c>
      <c r="V23" s="217" t="str">
        <f>IF(VLOOKUP(A23,'1) Kpler'!$E$2:$P$1000,8, FALSE)="","",VLOOKUP(A23,'1) Kpler'!$E$2:$P$1000,8, FALSE))</f>
        <v>Panama Canal</v>
      </c>
      <c r="W23" s="89">
        <f>IF(VLOOKUP(A23,'1) Kpler'!$E$2:$P$1000,9,FALSE)="","",VLOOKUP(A23,'1) Kpler'!$E$2:$P$1000,9,FALSE))</f>
        <v>46135.25</v>
      </c>
      <c r="X23" s="218" t="str">
        <f>VLOOKUP(A23,'1) Kpler'!$E$2:$I$1000,4,FALSE)</f>
        <v>loaded</v>
      </c>
      <c r="Y23" s="63" t="str">
        <f t="shared" si="0"/>
        <v>16-17 Jun</v>
      </c>
      <c r="Z23" s="63" t="str">
        <f t="shared" si="1"/>
        <v>07-08 Jul</v>
      </c>
      <c r="AA23" s="63" t="str">
        <f t="shared" si="2"/>
        <v>13-14 Jul</v>
      </c>
      <c r="AB23" s="63" t="str">
        <f t="shared" si="3"/>
        <v>27-28 Jun</v>
      </c>
      <c r="AC23" s="63" t="str">
        <f t="shared" si="4"/>
        <v>04-05 Jul</v>
      </c>
      <c r="AD23" s="63" t="str">
        <f t="shared" si="5"/>
        <v>05-06 Jun</v>
      </c>
      <c r="AE23" s="129" t="str">
        <f t="shared" si="6"/>
        <v>07-08 Jun</v>
      </c>
      <c r="AF23" s="130" t="str">
        <f t="shared" si="7"/>
        <v>13-14 Jul</v>
      </c>
      <c r="AG23" s="219" t="str">
        <f t="shared" si="8"/>
        <v>16-17 Jun</v>
      </c>
      <c r="AH23" s="94">
        <f>IFERROR($M23+VLOOKUP($L23,'Voyage days'!$F$38:$H$89,3,FALSE),"")</f>
        <v>46189</v>
      </c>
      <c r="AI23" s="94">
        <f>IFERROR(N23+VLOOKUP($L23,'Voyage days'!$F$38:$H$89,3,FALSE),"")</f>
        <v>46190</v>
      </c>
      <c r="AJ23" s="219" t="str">
        <f t="shared" si="9"/>
        <v>07-08 Jul</v>
      </c>
      <c r="AK23" s="219">
        <f>IFERROR($M23+VLOOKUP($L23,'Voyage days'!$F$94:$H$193,3,FALSE),"")</f>
        <v>46210</v>
      </c>
      <c r="AL23" s="219">
        <f>IFERROR($N23+VLOOKUP($L23,'Voyage days'!$F$94:$H$193,3,FALSE),"")</f>
        <v>46211</v>
      </c>
      <c r="AM23" s="220" t="str">
        <f t="shared" si="10"/>
        <v>13-14 Jul</v>
      </c>
      <c r="AN23" s="130">
        <f>IFERROR($M23+VLOOKUP($L23,'Voyage days'!$F$203:$H$256,3,FALSE),"")</f>
        <v>46216</v>
      </c>
      <c r="AO23" s="95">
        <f>IFERROR($N23+VLOOKUP($L23,'Voyage days'!$F$203:$H$256,3,FALSE),"")</f>
        <v>46217</v>
      </c>
      <c r="AP23" s="131" t="str">
        <f t="shared" si="11"/>
        <v>27-28 Jun</v>
      </c>
      <c r="AQ23" s="95">
        <f>IFERROR($M23+VLOOKUP($L23,'Voyage days'!$F$294:$H$377,3,FALSE),"")</f>
        <v>46200</v>
      </c>
      <c r="AR23" s="95">
        <f>IFERROR($N23+VLOOKUP($L23,'Voyage days'!$F$294:$H$377,3,FALSE),"")</f>
        <v>46201</v>
      </c>
      <c r="AS23" s="131" t="str">
        <f t="shared" si="12"/>
        <v>04-05 Jul</v>
      </c>
      <c r="AT23" s="95">
        <f>IFERROR($M23+VLOOKUP($L23,'Voyage days'!$F$382:$H$446,3,FALSE),"")</f>
        <v>46207</v>
      </c>
      <c r="AU23" s="95">
        <f>IFERROR($N23+VLOOKUP($L23,'Voyage days'!$F$382:$H$446,3,FALSE),"")</f>
        <v>46208</v>
      </c>
      <c r="AV23" s="131" t="str">
        <f t="shared" si="13"/>
        <v>15-16 Jun</v>
      </c>
      <c r="AW23" s="95">
        <f>IFERROR($M23+VLOOKUP($L23,'Voyage days'!$F$483:$H$538,3,FALSE),"")</f>
        <v>46188</v>
      </c>
      <c r="AX23" s="95">
        <f>IFERROR($N23+VLOOKUP($L23,'Voyage days'!$F$483:$H$538,3,FALSE),"")</f>
        <v>46189</v>
      </c>
      <c r="AY23" s="131" t="str">
        <f t="shared" si="14"/>
        <v>07-08 Jun</v>
      </c>
      <c r="AZ23" s="95">
        <f>IFERROR($M23+VLOOKUP($L23,'Voyage days'!$F$540:$H$613,3,FALSE),"")</f>
        <v>46180.75</v>
      </c>
      <c r="BA23" s="95">
        <f>IFERROR($N23+VLOOKUP($L23,'Voyage days'!$F$540:$H$613,3,FALSE),"")</f>
        <v>46181.75</v>
      </c>
      <c r="BB23" s="131" t="str">
        <f t="shared" si="15"/>
        <v>05-06 Jun</v>
      </c>
      <c r="BC23" s="94">
        <f>IFERROR($M23+VLOOKUP($L23,'Voyage days'!$F$448:$H$479,3,FALSE),"")</f>
        <v>46178</v>
      </c>
      <c r="BD23" s="94">
        <f>IFERROR($N23+VLOOKUP($L23,'Voyage days'!$F$448:$H$479,3,FALSE),"")</f>
        <v>46179</v>
      </c>
      <c r="BE23" s="131" t="str">
        <f t="shared" si="16"/>
        <v/>
      </c>
      <c r="BF23" s="95" t="str">
        <f>IFERROR($M23+VLOOKUP($L23,'Voyage days'!$F$620:$H$646,3,FALSE),"")</f>
        <v/>
      </c>
      <c r="BG23" s="95" t="str">
        <f>IFERROR($N23+VLOOKUP($L23,'Voyage days'!$F$620:$H$646,3,FALSE),"")</f>
        <v/>
      </c>
      <c r="BH23" s="131" t="str">
        <f t="shared" si="17"/>
        <v>07-14 Jul</v>
      </c>
      <c r="BI23" s="96">
        <f>IFERROR($M23+VLOOKUP($L23,'Voyage days'!$F$702:$H$727,3,FALSE),"")</f>
        <v>46180.75</v>
      </c>
      <c r="BJ23" s="131" t="str">
        <f t="shared" si="18"/>
        <v>13-14 Jul</v>
      </c>
      <c r="BK23" s="95">
        <f>IFERROR($M23+VLOOKUP($L23,'Voyage days'!$F$807:$H$878,3,FALSE),"")</f>
        <v>46216</v>
      </c>
      <c r="BL23" s="95">
        <f>IFERROR($N23+VLOOKUP($L23,'Voyage days'!$F$807:$H$878,3,FALSE),"")</f>
        <v>46217</v>
      </c>
      <c r="BM23" s="95">
        <f>IFERROR($N23+VLOOKUP($L23,'Voyage days'!$F$807:$K$878,6,FALSE),"")</f>
        <v>46192</v>
      </c>
      <c r="BN23" s="94" t="str">
        <f>IF(L23="loads AG", IFERROR($M23+VLOOKUP($L23,'Voyage days'!$M$38:$O$38,3,FALSE),""),"")</f>
        <v/>
      </c>
      <c r="BO23" s="94" t="str">
        <f>IF(L23="loads USG", IFERROR($M23+VLOOKUP($L23,'Voyage days'!$L$203:$N$203,3,FALSE),""),"")</f>
        <v/>
      </c>
    </row>
    <row r="24" spans="1:68" ht="15.75" customHeight="1" x14ac:dyDescent="0.25">
      <c r="A24" s="218" t="s">
        <v>216</v>
      </c>
      <c r="B24" s="75">
        <v>42938</v>
      </c>
      <c r="C24" s="76">
        <v>82200</v>
      </c>
      <c r="D24" s="221"/>
      <c r="E24" s="221"/>
      <c r="F24" s="121"/>
      <c r="G24" s="121"/>
      <c r="H24" s="121"/>
      <c r="I24" s="124" t="s">
        <v>767</v>
      </c>
      <c r="J24" s="122" t="str">
        <f t="shared" si="19"/>
        <v/>
      </c>
      <c r="K24" s="123"/>
      <c r="L24" s="124" t="s">
        <v>718</v>
      </c>
      <c r="M24" s="222">
        <v>46164</v>
      </c>
      <c r="N24" s="222">
        <v>46165</v>
      </c>
      <c r="O24" s="126"/>
      <c r="P24" s="124" t="s">
        <v>768</v>
      </c>
      <c r="Q24" s="124"/>
      <c r="R24" s="124" t="s">
        <v>769</v>
      </c>
      <c r="S24" s="77" t="s">
        <v>724</v>
      </c>
      <c r="T24" s="86">
        <v>46132</v>
      </c>
      <c r="U24" s="87" t="str">
        <f>IF(V24="","No AIS",VLOOKUP(V24,'Voyage days'!$A$3:$B$1480,2,FALSE))</f>
        <v>Galle +2</v>
      </c>
      <c r="V24" s="87" t="str">
        <f>IF(VLOOKUP(A24,'1) Kpler'!$E$2:$P$1000,8, FALSE)="","",VLOOKUP(A24,'1) Kpler'!$E$2:$P$1000,8, FALSE))</f>
        <v>Galle</v>
      </c>
      <c r="W24" s="128">
        <f>IF(VLOOKUP(A24,'1) Kpler'!$E$2:$P$1000,9,FALSE)="","",VLOOKUP(A24,'1) Kpler'!$E$2:$P$1000,9,FALSE))</f>
        <v>46135.958333333336</v>
      </c>
      <c r="X24" s="87" t="str">
        <f>VLOOKUP(A24,'1) Kpler'!$E$2:$I$1000,4,FALSE)</f>
        <v>ballast</v>
      </c>
      <c r="Y24" s="219" t="str">
        <f t="shared" si="0"/>
        <v/>
      </c>
      <c r="Z24" s="219" t="str">
        <f t="shared" si="1"/>
        <v>22-23 May</v>
      </c>
      <c r="AA24" s="219" t="str">
        <f t="shared" si="2"/>
        <v>22-23 May</v>
      </c>
      <c r="AB24" s="219" t="str">
        <f t="shared" si="3"/>
        <v/>
      </c>
      <c r="AC24" s="219" t="str">
        <f t="shared" si="4"/>
        <v>11-12 Jun</v>
      </c>
      <c r="AD24" s="219" t="str">
        <f t="shared" si="5"/>
        <v/>
      </c>
      <c r="AE24" s="220" t="str">
        <f t="shared" si="6"/>
        <v/>
      </c>
      <c r="AF24" s="130" t="str">
        <f t="shared" si="7"/>
        <v/>
      </c>
      <c r="AG24" s="131" t="str">
        <f t="shared" si="8"/>
        <v/>
      </c>
      <c r="AH24" s="95" t="str">
        <f>IFERROR($M24+VLOOKUP($L24,'Voyage days'!$F$38:$H$89,3,FALSE),"")</f>
        <v/>
      </c>
      <c r="AI24" s="95" t="str">
        <f>IFERROR(N24+VLOOKUP($L24,'Voyage days'!$F$38:$H$89,3,FALSE),"")</f>
        <v/>
      </c>
      <c r="AJ24" s="131" t="str">
        <f t="shared" si="9"/>
        <v>22-23 May</v>
      </c>
      <c r="AK24" s="95">
        <f>IFERROR($M24+VLOOKUP($L24,'Voyage days'!$F$94:$H$193,3,FALSE),"")</f>
        <v>46164</v>
      </c>
      <c r="AL24" s="95">
        <f>IFERROR($N24+VLOOKUP($L24,'Voyage days'!$F$94:$H$193,3,FALSE),"")</f>
        <v>46165</v>
      </c>
      <c r="AM24" s="131" t="str">
        <f t="shared" si="10"/>
        <v>22-23 May</v>
      </c>
      <c r="AN24" s="95">
        <f>IFERROR($M24+VLOOKUP($L24,'Voyage days'!$F$203:$H$256,3,FALSE),"")</f>
        <v>46164</v>
      </c>
      <c r="AO24" s="95">
        <f>IFERROR($N24+VLOOKUP($L24,'Voyage days'!$F$203:$H$256,3,FALSE),"")</f>
        <v>46165</v>
      </c>
      <c r="AP24" s="131" t="str">
        <f t="shared" si="11"/>
        <v/>
      </c>
      <c r="AQ24" s="95" t="str">
        <f>IFERROR($M24+VLOOKUP($L24,'Voyage days'!$F$294:$H$377,3,FALSE),"")</f>
        <v/>
      </c>
      <c r="AR24" s="95" t="str">
        <f>IFERROR($N24+VLOOKUP($L24,'Voyage days'!$F$294:$H$377,3,FALSE),"")</f>
        <v/>
      </c>
      <c r="AS24" s="131" t="str">
        <f t="shared" si="12"/>
        <v>11-12 Jun</v>
      </c>
      <c r="AT24" s="95">
        <f>IFERROR($M24+VLOOKUP($L24,'Voyage days'!$F$382:$H$446,3,FALSE),"")</f>
        <v>46184</v>
      </c>
      <c r="AU24" s="95">
        <f>IFERROR($N24+VLOOKUP($L24,'Voyage days'!$F$382:$H$446,3,FALSE),"")</f>
        <v>46185</v>
      </c>
      <c r="AV24" s="131" t="str">
        <f t="shared" si="13"/>
        <v/>
      </c>
      <c r="AW24" s="95" t="str">
        <f>IFERROR($M24+VLOOKUP($L24,'Voyage days'!$F$483:$H$538,3,FALSE),"")</f>
        <v/>
      </c>
      <c r="AX24" s="95" t="str">
        <f>IFERROR($N24+VLOOKUP($L24,'Voyage days'!$F$483:$H$538,3,FALSE),"")</f>
        <v/>
      </c>
      <c r="AY24" s="131" t="str">
        <f t="shared" si="14"/>
        <v/>
      </c>
      <c r="AZ24" s="95" t="str">
        <f>IFERROR($M24+VLOOKUP($L24,'Voyage days'!$F$540:$H$613,3,FALSE),"")</f>
        <v/>
      </c>
      <c r="BA24" s="95" t="str">
        <f>IFERROR($N24+VLOOKUP($L24,'Voyage days'!$F$540:$H$613,3,FALSE),"")</f>
        <v/>
      </c>
      <c r="BB24" s="131" t="str">
        <f t="shared" si="15"/>
        <v/>
      </c>
      <c r="BC24" s="94" t="str">
        <f>IFERROR($M24+VLOOKUP($L24,'Voyage days'!$F$448:$H$479,3,FALSE),"")</f>
        <v/>
      </c>
      <c r="BD24" s="94" t="str">
        <f>IFERROR($N24+VLOOKUP($L24,'Voyage days'!$F$448:$H$479,3,FALSE),"")</f>
        <v/>
      </c>
      <c r="BE24" s="131" t="str">
        <f t="shared" si="16"/>
        <v/>
      </c>
      <c r="BF24" s="95" t="str">
        <f>IFERROR($M24+VLOOKUP($L24,'Voyage days'!$F$620:$H$646,3,FALSE),"")</f>
        <v/>
      </c>
      <c r="BG24" s="95" t="str">
        <f>IFERROR($N24+VLOOKUP($L24,'Voyage days'!$F$620:$H$646,3,FALSE),"")</f>
        <v/>
      </c>
      <c r="BH24" s="131" t="str">
        <f t="shared" si="17"/>
        <v/>
      </c>
      <c r="BI24" s="96" t="str">
        <f>IFERROR($M24+VLOOKUP($L24,'Voyage days'!$F$702:$H$727,3,FALSE),"")</f>
        <v/>
      </c>
      <c r="BJ24" s="131" t="str">
        <f t="shared" si="18"/>
        <v/>
      </c>
      <c r="BK24" s="95" t="str">
        <f>IFERROR($M24+VLOOKUP($L24,'Voyage days'!$F$807:$H$878,3,FALSE),"")</f>
        <v/>
      </c>
      <c r="BL24" s="95" t="str">
        <f>IFERROR($N24+VLOOKUP($L24,'Voyage days'!$F$807:$H$878,3,FALSE),"")</f>
        <v/>
      </c>
      <c r="BM24" s="95" t="str">
        <f>IFERROR($N24+VLOOKUP($L24,'Voyage days'!$F$807:$K$878,6,FALSE),"")</f>
        <v/>
      </c>
      <c r="BN24" s="94" t="str">
        <f>IF(L24="loads AG", IFERROR($M24+VLOOKUP($L24,'Voyage days'!$M$38:$O$38,3,FALSE),""),"")</f>
        <v/>
      </c>
      <c r="BO24" s="94">
        <f>IF(L24="loads USG", IFERROR($M24+VLOOKUP($L24,'Voyage days'!$L$203:$N$203,3,FALSE),""),"")</f>
        <v>46196</v>
      </c>
    </row>
    <row r="25" spans="1:68" ht="15.75" customHeight="1" x14ac:dyDescent="0.25">
      <c r="A25" s="74" t="s">
        <v>484</v>
      </c>
      <c r="B25" s="75">
        <v>43556</v>
      </c>
      <c r="C25" s="76">
        <v>82200</v>
      </c>
      <c r="D25" s="77"/>
      <c r="E25" s="77"/>
      <c r="F25" s="78"/>
      <c r="G25" s="78"/>
      <c r="H25" s="78"/>
      <c r="I25" s="124" t="s">
        <v>758</v>
      </c>
      <c r="J25" s="80" t="str">
        <f t="shared" si="19"/>
        <v/>
      </c>
      <c r="K25" s="81"/>
      <c r="L25" s="82" t="s">
        <v>770</v>
      </c>
      <c r="M25" s="83">
        <v>46145</v>
      </c>
      <c r="N25" s="83">
        <v>46146</v>
      </c>
      <c r="O25" s="84"/>
      <c r="P25" s="82" t="s">
        <v>771</v>
      </c>
      <c r="Q25" s="82"/>
      <c r="R25" s="82" t="s">
        <v>772</v>
      </c>
      <c r="S25" s="77" t="s">
        <v>724</v>
      </c>
      <c r="T25" s="86">
        <v>46132</v>
      </c>
      <c r="U25" s="87" t="str">
        <f>IF(V25="","No AIS",VLOOKUP(V25,'Voyage days'!$A$3:$B$1480,2,FALSE))</f>
        <v>Korea + 4</v>
      </c>
      <c r="V25" s="88" t="str">
        <f>IF(VLOOKUP(A25,'1) Kpler'!$E$2:$P$1000,8, FALSE)="","",VLOOKUP(A25,'1) Kpler'!$E$2:$P$1000,8, FALSE))</f>
        <v>Ulsan</v>
      </c>
      <c r="W25" s="89">
        <f>IF(VLOOKUP(A25,'1) Kpler'!$E$2:$P$1000,9,FALSE)="","",VLOOKUP(A25,'1) Kpler'!$E$2:$P$1000,9,FALSE))</f>
        <v>46142.166666666664</v>
      </c>
      <c r="X25" s="88" t="str">
        <f>VLOOKUP(A25,'1) Kpler'!$E$2:$I$1000,4,FALSE)</f>
        <v>loaded</v>
      </c>
      <c r="Y25" s="90" t="str">
        <f t="shared" si="0"/>
        <v>21-22 May</v>
      </c>
      <c r="Z25" s="90" t="str">
        <f t="shared" si="1"/>
        <v>05-06 Jun</v>
      </c>
      <c r="AA25" s="90" t="str">
        <f t="shared" si="2"/>
        <v>13-14 Jun</v>
      </c>
      <c r="AB25" s="90" t="str">
        <f t="shared" si="3"/>
        <v>01-02 Jun</v>
      </c>
      <c r="AC25" s="90" t="str">
        <f t="shared" si="4"/>
        <v>07-08 Jun</v>
      </c>
      <c r="AD25" s="90" t="str">
        <f t="shared" si="5"/>
        <v>10-11 May</v>
      </c>
      <c r="AE25" s="91" t="str">
        <f t="shared" si="6"/>
        <v>11-12 May</v>
      </c>
      <c r="AF25" s="92" t="str">
        <f t="shared" si="7"/>
        <v>17-18 Jun</v>
      </c>
      <c r="AG25" s="93" t="str">
        <f t="shared" si="8"/>
        <v>21-22 May</v>
      </c>
      <c r="AH25" s="94">
        <f>IFERROR($M25+VLOOKUP($L25,'Voyage days'!$F$38:$H$89,3,FALSE),"")</f>
        <v>46163</v>
      </c>
      <c r="AI25" s="94">
        <f>IFERROR(N25+VLOOKUP($L25,'Voyage days'!$F$38:$H$89,3,FALSE),"")</f>
        <v>46164</v>
      </c>
      <c r="AJ25" s="93" t="str">
        <f t="shared" si="9"/>
        <v>05-06 Jun</v>
      </c>
      <c r="AK25" s="94">
        <f>IFERROR($M25+VLOOKUP($L25,'Voyage days'!$F$94:$H$193,3,FALSE),"")</f>
        <v>46178</v>
      </c>
      <c r="AL25" s="94">
        <f>IFERROR($N25+VLOOKUP($L25,'Voyage days'!$F$94:$H$193,3,FALSE),"")</f>
        <v>46179</v>
      </c>
      <c r="AM25" s="93" t="str">
        <f t="shared" si="10"/>
        <v>13-14 Jun</v>
      </c>
      <c r="AN25" s="94">
        <f>IFERROR($M25+VLOOKUP($L25,'Voyage days'!$F$203:$H$256,3,FALSE),"")</f>
        <v>46186</v>
      </c>
      <c r="AO25" s="94">
        <f>IFERROR($N25+VLOOKUP($L25,'Voyage days'!$F$203:$H$256,3,FALSE),"")</f>
        <v>46187</v>
      </c>
      <c r="AP25" s="93" t="str">
        <f t="shared" si="11"/>
        <v>01-02 Jun</v>
      </c>
      <c r="AQ25" s="94">
        <f>IFERROR($M25+VLOOKUP($L25,'Voyage days'!$F$294:$H$377,3,FALSE),"")</f>
        <v>46174</v>
      </c>
      <c r="AR25" s="94">
        <f>IFERROR($N25+VLOOKUP($L25,'Voyage days'!$F$294:$H$377,3,FALSE),"")</f>
        <v>46175</v>
      </c>
      <c r="AS25" s="93" t="str">
        <f t="shared" si="12"/>
        <v>07-08 Jun</v>
      </c>
      <c r="AT25" s="94">
        <f>IFERROR($M25+VLOOKUP($L25,'Voyage days'!$F$382:$H$446,3,FALSE),"")</f>
        <v>46180</v>
      </c>
      <c r="AU25" s="94">
        <f>IFERROR($N25+VLOOKUP($L25,'Voyage days'!$F$382:$H$446,3,FALSE),"")</f>
        <v>46181</v>
      </c>
      <c r="AV25" s="93" t="str">
        <f t="shared" si="13"/>
        <v>17-18 May</v>
      </c>
      <c r="AW25" s="94">
        <f>IFERROR($M25+VLOOKUP($L25,'Voyage days'!$F$483:$H$538,3,FALSE),"")</f>
        <v>46159</v>
      </c>
      <c r="AX25" s="94">
        <f>IFERROR($N25+VLOOKUP($L25,'Voyage days'!$F$483:$H$538,3,FALSE),"")</f>
        <v>46160</v>
      </c>
      <c r="AY25" s="93" t="str">
        <f t="shared" si="14"/>
        <v>11-12 May</v>
      </c>
      <c r="AZ25" s="94">
        <f>IFERROR($M25+VLOOKUP($L25,'Voyage days'!$F$540:$H$613,3,FALSE),"")</f>
        <v>46153</v>
      </c>
      <c r="BA25" s="94">
        <f>IFERROR($N25+VLOOKUP($L25,'Voyage days'!$F$540:$H$613,3,FALSE),"")</f>
        <v>46154</v>
      </c>
      <c r="BB25" s="93" t="str">
        <f t="shared" si="15"/>
        <v>10-11 May</v>
      </c>
      <c r="BC25" s="94">
        <f>IFERROR($M25+VLOOKUP($L25,'Voyage days'!$F$448:$H$479,3,FALSE),"")</f>
        <v>46152</v>
      </c>
      <c r="BD25" s="94">
        <f>IFERROR($N25+VLOOKUP($L25,'Voyage days'!$F$448:$H$479,3,FALSE),"")</f>
        <v>46153</v>
      </c>
      <c r="BE25" s="93" t="str">
        <f t="shared" si="16"/>
        <v>14-15 May</v>
      </c>
      <c r="BF25" s="95">
        <f>IFERROR($M25+VLOOKUP($L25,'Voyage days'!$F$620:$H$646,3,FALSE),"")</f>
        <v>46156</v>
      </c>
      <c r="BG25" s="95">
        <f>IFERROR($N25+VLOOKUP($L25,'Voyage days'!$F$620:$H$646,3,FALSE),"")</f>
        <v>46157</v>
      </c>
      <c r="BH25" s="93" t="str">
        <f t="shared" si="17"/>
        <v>11-18 Jun</v>
      </c>
      <c r="BI25" s="96">
        <f>IFERROR($M25+VLOOKUP($L25,'Voyage days'!$F$702:$H$727,3,FALSE),"")</f>
        <v>46153</v>
      </c>
      <c r="BJ25" s="93" t="str">
        <f t="shared" si="18"/>
        <v>17-18 Jun</v>
      </c>
      <c r="BK25" s="95">
        <f>IFERROR($M25+VLOOKUP($L25,'Voyage days'!$F$807:$H$878,3,FALSE),"")</f>
        <v>46190</v>
      </c>
      <c r="BL25" s="95">
        <f>IFERROR($N25+VLOOKUP($L25,'Voyage days'!$F$807:$H$878,3,FALSE),"")</f>
        <v>46191</v>
      </c>
      <c r="BM25" s="95">
        <f>IFERROR($N25+VLOOKUP($L25,'Voyage days'!$F$807:$K$878,6,FALSE),"")</f>
        <v>46165</v>
      </c>
      <c r="BN25" s="94" t="str">
        <f>IF(L25="loads AG", IFERROR($M25+VLOOKUP($L25,'Voyage days'!$M$38:$O$38,3,FALSE),""),"")</f>
        <v/>
      </c>
      <c r="BO25" s="94" t="str">
        <f>IF(L25="loads USG", IFERROR($M25+VLOOKUP($L25,'Voyage days'!$L$203:$N$203,3,FALSE),""),"")</f>
        <v/>
      </c>
    </row>
    <row r="26" spans="1:68" ht="15.75" customHeight="1" x14ac:dyDescent="0.25">
      <c r="A26" s="53" t="s">
        <v>477</v>
      </c>
      <c r="B26" s="119">
        <v>2022</v>
      </c>
      <c r="C26" s="76">
        <v>84000</v>
      </c>
      <c r="D26" s="77"/>
      <c r="E26" s="77"/>
      <c r="F26" s="78"/>
      <c r="G26" s="78"/>
      <c r="H26" s="78" t="s">
        <v>713</v>
      </c>
      <c r="I26" s="124" t="s">
        <v>758</v>
      </c>
      <c r="J26" s="80" t="str">
        <f t="shared" si="19"/>
        <v/>
      </c>
      <c r="K26" s="123"/>
      <c r="L26" s="82" t="s">
        <v>718</v>
      </c>
      <c r="M26" s="83">
        <v>46132</v>
      </c>
      <c r="N26" s="83">
        <v>46133</v>
      </c>
      <c r="O26" s="84"/>
      <c r="P26" s="78" t="s">
        <v>773</v>
      </c>
      <c r="Q26" s="82"/>
      <c r="R26" s="82" t="s">
        <v>774</v>
      </c>
      <c r="S26" s="77" t="s">
        <v>724</v>
      </c>
      <c r="T26" s="86">
        <v>46132</v>
      </c>
      <c r="U26" s="87" t="str">
        <f>IF(V26="","No AIS",VLOOKUP(V26,'Voyage days'!$A$3:$B$1480,2,FALSE))</f>
        <v>USG</v>
      </c>
      <c r="V26" s="88" t="str">
        <f>IF(VLOOKUP(A26,'1) Kpler'!$E$2:$P$1000,8, FALSE)="","",VLOOKUP(A26,'1) Kpler'!$E$2:$P$1000,8, FALSE))</f>
        <v>Houston</v>
      </c>
      <c r="W26" s="89">
        <f>IF(VLOOKUP(A26,'1) Kpler'!$E$2:$P$1000,9,FALSE)="","",VLOOKUP(A26,'1) Kpler'!$E$2:$P$1000,9,FALSE))</f>
        <v>46132.486805555556</v>
      </c>
      <c r="X26" s="88" t="str">
        <f>VLOOKUP(A26,'1) Kpler'!$E$2:$I$1000,4,FALSE)</f>
        <v>ballast</v>
      </c>
      <c r="Y26" s="90" t="str">
        <f t="shared" si="0"/>
        <v/>
      </c>
      <c r="Z26" s="90" t="str">
        <f t="shared" si="1"/>
        <v>20-21 Apr</v>
      </c>
      <c r="AA26" s="90" t="str">
        <f t="shared" si="2"/>
        <v>20-21 Apr</v>
      </c>
      <c r="AB26" s="90" t="str">
        <f t="shared" si="3"/>
        <v/>
      </c>
      <c r="AC26" s="90" t="str">
        <f t="shared" si="4"/>
        <v>10-11 May</v>
      </c>
      <c r="AD26" s="90" t="str">
        <f t="shared" si="5"/>
        <v/>
      </c>
      <c r="AE26" s="91" t="str">
        <f t="shared" si="6"/>
        <v/>
      </c>
      <c r="AF26" s="92" t="str">
        <f t="shared" si="7"/>
        <v/>
      </c>
      <c r="AG26" s="93" t="str">
        <f t="shared" si="8"/>
        <v/>
      </c>
      <c r="AH26" s="94" t="str">
        <f>IFERROR($M26+VLOOKUP($L26,'Voyage days'!$F$38:$H$89,3,FALSE),"")</f>
        <v/>
      </c>
      <c r="AI26" s="94" t="str">
        <f>IFERROR(N26+VLOOKUP($L26,'Voyage days'!$F$38:$H$89,3,FALSE),"")</f>
        <v/>
      </c>
      <c r="AJ26" s="93" t="str">
        <f t="shared" si="9"/>
        <v>20-21 Apr</v>
      </c>
      <c r="AK26" s="94">
        <f>IFERROR($M26+VLOOKUP($L26,'Voyage days'!$F$94:$H$193,3,FALSE),"")</f>
        <v>46132</v>
      </c>
      <c r="AL26" s="94">
        <f>IFERROR($N26+VLOOKUP($L26,'Voyage days'!$F$94:$H$193,3,FALSE),"")</f>
        <v>46133</v>
      </c>
      <c r="AM26" s="93" t="str">
        <f t="shared" si="10"/>
        <v>20-21 Apr</v>
      </c>
      <c r="AN26" s="94">
        <f>IFERROR($M26+VLOOKUP($L26,'Voyage days'!$F$203:$H$256,3,FALSE),"")</f>
        <v>46132</v>
      </c>
      <c r="AO26" s="94">
        <f>IFERROR($N26+VLOOKUP($L26,'Voyage days'!$F$203:$H$256,3,FALSE),"")</f>
        <v>46133</v>
      </c>
      <c r="AP26" s="93" t="str">
        <f t="shared" si="11"/>
        <v/>
      </c>
      <c r="AQ26" s="94" t="str">
        <f>IFERROR($M26+VLOOKUP($L26,'Voyage days'!$F$294:$H$377,3,FALSE),"")</f>
        <v/>
      </c>
      <c r="AR26" s="94" t="str">
        <f>IFERROR($N26+VLOOKUP($L26,'Voyage days'!$F$294:$H$377,3,FALSE),"")</f>
        <v/>
      </c>
      <c r="AS26" s="93" t="str">
        <f t="shared" si="12"/>
        <v>10-11 May</v>
      </c>
      <c r="AT26" s="94">
        <f>IFERROR($M26+VLOOKUP($L26,'Voyage days'!$F$382:$H$446,3,FALSE),"")</f>
        <v>46152</v>
      </c>
      <c r="AU26" s="94">
        <f>IFERROR($N26+VLOOKUP($L26,'Voyage days'!$F$382:$H$446,3,FALSE),"")</f>
        <v>46153</v>
      </c>
      <c r="AV26" s="93" t="str">
        <f t="shared" si="13"/>
        <v/>
      </c>
      <c r="AW26" s="94" t="str">
        <f>IFERROR($M26+VLOOKUP($L26,'Voyage days'!$F$483:$H$538,3,FALSE),"")</f>
        <v/>
      </c>
      <c r="AX26" s="94" t="str">
        <f>IFERROR($N26+VLOOKUP($L26,'Voyage days'!$F$483:$H$538,3,FALSE),"")</f>
        <v/>
      </c>
      <c r="AY26" s="93" t="str">
        <f t="shared" si="14"/>
        <v/>
      </c>
      <c r="AZ26" s="94" t="str">
        <f>IFERROR($M26+VLOOKUP($L26,'Voyage days'!$F$540:$H$613,3,FALSE),"")</f>
        <v/>
      </c>
      <c r="BA26" s="94" t="str">
        <f>IFERROR($N26+VLOOKUP($L26,'Voyage days'!$F$540:$H$613,3,FALSE),"")</f>
        <v/>
      </c>
      <c r="BB26" s="93" t="str">
        <f t="shared" si="15"/>
        <v/>
      </c>
      <c r="BC26" s="94" t="str">
        <f>IFERROR($M26+VLOOKUP($L26,'Voyage days'!$F$448:$H$479,3,FALSE),"")</f>
        <v/>
      </c>
      <c r="BD26" s="94" t="str">
        <f>IFERROR($N26+VLOOKUP($L26,'Voyage days'!$F$448:$H$479,3,FALSE),"")</f>
        <v/>
      </c>
      <c r="BE26" s="93" t="str">
        <f t="shared" si="16"/>
        <v/>
      </c>
      <c r="BF26" s="95" t="str">
        <f>IFERROR($M26+VLOOKUP($L26,'Voyage days'!$F$620:$H$646,3,FALSE),"")</f>
        <v/>
      </c>
      <c r="BG26" s="95" t="str">
        <f>IFERROR($N26+VLOOKUP($L26,'Voyage days'!$F$620:$H$646,3,FALSE),"")</f>
        <v/>
      </c>
      <c r="BH26" s="93" t="str">
        <f t="shared" si="17"/>
        <v/>
      </c>
      <c r="BI26" s="96" t="str">
        <f>IFERROR($M26+VLOOKUP($L26,'Voyage days'!$F$702:$H$727,3,FALSE),"")</f>
        <v/>
      </c>
      <c r="BJ26" s="93" t="str">
        <f t="shared" si="18"/>
        <v/>
      </c>
      <c r="BK26" s="95" t="str">
        <f>IFERROR($M26+VLOOKUP($L26,'Voyage days'!$F$807:$H$878,3,FALSE),"")</f>
        <v/>
      </c>
      <c r="BL26" s="95" t="str">
        <f>IFERROR($N26+VLOOKUP($L26,'Voyage days'!$F$807:$H$878,3,FALSE),"")</f>
        <v/>
      </c>
      <c r="BM26" s="95" t="str">
        <f>IFERROR($N26+VLOOKUP($L26,'Voyage days'!$F$807:$K$878,6,FALSE),"")</f>
        <v/>
      </c>
      <c r="BN26" s="94" t="str">
        <f>IF(L26="loads AG", IFERROR($M26+VLOOKUP($L26,'Voyage days'!$M$38:$O$38,3,FALSE),""),"")</f>
        <v/>
      </c>
      <c r="BO26" s="94">
        <f>IF(L26="loads USG", IFERROR($M26+VLOOKUP($L26,'Voyage days'!$L$203:$N$203,3,FALSE),""),"")</f>
        <v>46164</v>
      </c>
    </row>
    <row r="27" spans="1:68" ht="15.75" customHeight="1" x14ac:dyDescent="0.25">
      <c r="A27" s="223" t="s">
        <v>641</v>
      </c>
      <c r="B27" s="133">
        <v>2025</v>
      </c>
      <c r="C27" s="134">
        <v>88000</v>
      </c>
      <c r="D27" s="77"/>
      <c r="E27" s="77" t="s">
        <v>757</v>
      </c>
      <c r="F27" s="224"/>
      <c r="G27" s="224"/>
      <c r="H27" s="224"/>
      <c r="I27" s="124" t="s">
        <v>758</v>
      </c>
      <c r="J27" s="138" t="str">
        <f t="shared" si="19"/>
        <v/>
      </c>
      <c r="K27" s="139"/>
      <c r="L27" s="140" t="s">
        <v>718</v>
      </c>
      <c r="M27" s="225">
        <v>46150</v>
      </c>
      <c r="N27" s="225">
        <v>46151</v>
      </c>
      <c r="O27" s="226"/>
      <c r="P27" s="140" t="s">
        <v>775</v>
      </c>
      <c r="Q27" s="227"/>
      <c r="R27" s="227" t="s">
        <v>776</v>
      </c>
      <c r="S27" s="77" t="s">
        <v>724</v>
      </c>
      <c r="T27" s="144">
        <v>46132</v>
      </c>
      <c r="U27" s="145" t="str">
        <f>IF(V27="","No AIS",VLOOKUP(V27,'Voyage days'!$A$3:$B$1480,2,FALSE))</f>
        <v>USG</v>
      </c>
      <c r="V27" s="146" t="str">
        <f>IF(VLOOKUP(A27,'1) Kpler'!$E$2:$P$1000,8, FALSE)="","",VLOOKUP(A27,'1) Kpler'!$E$2:$P$1000,8, FALSE))</f>
        <v>PADD 3</v>
      </c>
      <c r="W27" s="147">
        <f>IF(VLOOKUP(A27,'1) Kpler'!$E$2:$P$1000,9,FALSE)="","",VLOOKUP(A27,'1) Kpler'!$E$2:$P$1000,9,FALSE))</f>
        <v>46150</v>
      </c>
      <c r="X27" s="146" t="str">
        <f>VLOOKUP(A27,'1) Kpler'!$E$2:$I$1000,4,FALSE)</f>
        <v>ballast</v>
      </c>
      <c r="Y27" s="148" t="str">
        <f t="shared" si="0"/>
        <v/>
      </c>
      <c r="Z27" s="148" t="str">
        <f t="shared" si="1"/>
        <v>08-09 May</v>
      </c>
      <c r="AA27" s="148" t="str">
        <f t="shared" si="2"/>
        <v>08-09 May</v>
      </c>
      <c r="AB27" s="148" t="str">
        <f t="shared" si="3"/>
        <v/>
      </c>
      <c r="AC27" s="148" t="str">
        <f t="shared" si="4"/>
        <v>28-29 May</v>
      </c>
      <c r="AD27" s="148" t="str">
        <f t="shared" si="5"/>
        <v/>
      </c>
      <c r="AE27" s="149" t="str">
        <f t="shared" si="6"/>
        <v/>
      </c>
      <c r="AF27" s="150" t="str">
        <f t="shared" si="7"/>
        <v/>
      </c>
      <c r="AG27" s="93" t="str">
        <f t="shared" si="8"/>
        <v/>
      </c>
      <c r="AH27" s="94" t="str">
        <f>IFERROR($M27+VLOOKUP($L27,'Voyage days'!$F$38:$H$89,3,FALSE),"")</f>
        <v/>
      </c>
      <c r="AI27" s="94" t="str">
        <f>IFERROR(N27+VLOOKUP($L27,'Voyage days'!$F$38:$H$89,3,FALSE),"")</f>
        <v/>
      </c>
      <c r="AJ27" s="93" t="str">
        <f t="shared" si="9"/>
        <v>08-09 May</v>
      </c>
      <c r="AK27" s="94">
        <f>IFERROR($M27+VLOOKUP($L27,'Voyage days'!$F$94:$H$193,3,FALSE),"")</f>
        <v>46150</v>
      </c>
      <c r="AL27" s="94">
        <f>IFERROR($N27+VLOOKUP($L27,'Voyage days'!$F$94:$H$193,3,FALSE),"")</f>
        <v>46151</v>
      </c>
      <c r="AM27" s="93" t="str">
        <f t="shared" si="10"/>
        <v>08-09 May</v>
      </c>
      <c r="AN27" s="94">
        <f>IFERROR($M27+VLOOKUP($L27,'Voyage days'!$F$203:$H$256,3,FALSE),"")</f>
        <v>46150</v>
      </c>
      <c r="AO27" s="94">
        <f>IFERROR($N27+VLOOKUP($L27,'Voyage days'!$F$203:$H$256,3,FALSE),"")</f>
        <v>46151</v>
      </c>
      <c r="AP27" s="93" t="str">
        <f t="shared" si="11"/>
        <v/>
      </c>
      <c r="AQ27" s="94" t="str">
        <f>IFERROR($M27+VLOOKUP($L27,'Voyage days'!$F$294:$H$377,3,FALSE),"")</f>
        <v/>
      </c>
      <c r="AR27" s="94" t="str">
        <f>IFERROR($N27+VLOOKUP($L27,'Voyage days'!$F$294:$H$377,3,FALSE),"")</f>
        <v/>
      </c>
      <c r="AS27" s="93" t="str">
        <f t="shared" si="12"/>
        <v>28-29 May</v>
      </c>
      <c r="AT27" s="94">
        <f>IFERROR($M27+VLOOKUP($L27,'Voyage days'!$F$382:$H$446,3,FALSE),"")</f>
        <v>46170</v>
      </c>
      <c r="AU27" s="94">
        <f>IFERROR($N27+VLOOKUP($L27,'Voyage days'!$F$382:$H$446,3,FALSE),"")</f>
        <v>46171</v>
      </c>
      <c r="AV27" s="93" t="str">
        <f t="shared" si="13"/>
        <v/>
      </c>
      <c r="AW27" s="94" t="str">
        <f>IFERROR($M27+VLOOKUP($L27,'Voyage days'!$F$483:$H$538,3,FALSE),"")</f>
        <v/>
      </c>
      <c r="AX27" s="94" t="str">
        <f>IFERROR($N27+VLOOKUP($L27,'Voyage days'!$F$483:$H$538,3,FALSE),"")</f>
        <v/>
      </c>
      <c r="AY27" s="93" t="str">
        <f t="shared" si="14"/>
        <v/>
      </c>
      <c r="AZ27" s="94" t="str">
        <f>IFERROR($M27+VLOOKUP($L27,'Voyage days'!$F$540:$H$613,3,FALSE),"")</f>
        <v/>
      </c>
      <c r="BA27" s="94" t="str">
        <f>IFERROR($N27+VLOOKUP($L27,'Voyage days'!$F$540:$H$613,3,FALSE),"")</f>
        <v/>
      </c>
      <c r="BB27" s="93" t="str">
        <f t="shared" si="15"/>
        <v/>
      </c>
      <c r="BC27" s="94" t="str">
        <f>IFERROR($M27+VLOOKUP($L27,'Voyage days'!$F$448:$H$479,3,FALSE),"")</f>
        <v/>
      </c>
      <c r="BD27" s="94" t="str">
        <f>IFERROR($N27+VLOOKUP($L27,'Voyage days'!$F$448:$H$479,3,FALSE),"")</f>
        <v/>
      </c>
      <c r="BE27" s="93" t="str">
        <f t="shared" si="16"/>
        <v/>
      </c>
      <c r="BF27" s="95" t="str">
        <f>IFERROR($M27+VLOOKUP($L27,'Voyage days'!$F$620:$H$646,3,FALSE),"")</f>
        <v/>
      </c>
      <c r="BG27" s="95" t="str">
        <f>IFERROR($N27+VLOOKUP($L27,'Voyage days'!$F$620:$H$646,3,FALSE),"")</f>
        <v/>
      </c>
      <c r="BH27" s="93" t="str">
        <f t="shared" si="17"/>
        <v/>
      </c>
      <c r="BI27" s="96" t="str">
        <f>IFERROR($M27+VLOOKUP($L27,'Voyage days'!$F$702:$H$727,3,FALSE),"")</f>
        <v/>
      </c>
      <c r="BJ27" s="93" t="str">
        <f t="shared" si="18"/>
        <v/>
      </c>
      <c r="BK27" s="95" t="str">
        <f>IFERROR($M27+VLOOKUP($L27,'Voyage days'!$F$807:$H$878,3,FALSE),"")</f>
        <v/>
      </c>
      <c r="BL27" s="95" t="str">
        <f>IFERROR($N27+VLOOKUP($L27,'Voyage days'!$F$807:$H$878,3,FALSE),"")</f>
        <v/>
      </c>
      <c r="BM27" s="95" t="str">
        <f>IFERROR($N27+VLOOKUP($L27,'Voyage days'!$F$807:$K$878,6,FALSE),"")</f>
        <v/>
      </c>
      <c r="BN27" s="94" t="str">
        <f>IF(L27="loads AG", IFERROR($M27+VLOOKUP($L27,'Voyage days'!$M$38:$O$38,3,FALSE),""),"")</f>
        <v/>
      </c>
      <c r="BO27" s="94">
        <f>IF(L27="loads USG", IFERROR($M27+VLOOKUP($L27,'Voyage days'!$L$203:$N$203,3,FALSE),""),"")</f>
        <v>46182</v>
      </c>
    </row>
    <row r="28" spans="1:68" ht="14.25" customHeight="1" x14ac:dyDescent="0.25">
      <c r="A28" s="228" t="s">
        <v>83</v>
      </c>
      <c r="B28" s="229">
        <v>40298</v>
      </c>
      <c r="C28" s="183">
        <v>83270</v>
      </c>
      <c r="D28" s="184"/>
      <c r="E28" s="184"/>
      <c r="F28" s="185"/>
      <c r="G28" s="185"/>
      <c r="H28" s="185"/>
      <c r="I28" s="230" t="s">
        <v>777</v>
      </c>
      <c r="J28" s="187" t="str">
        <f t="shared" si="19"/>
        <v>NO AIS</v>
      </c>
      <c r="K28" s="123"/>
      <c r="L28" s="186" t="s">
        <v>778</v>
      </c>
      <c r="M28" s="222">
        <v>46134</v>
      </c>
      <c r="N28" s="222">
        <v>46135</v>
      </c>
      <c r="O28" s="190" t="s">
        <v>779</v>
      </c>
      <c r="P28" s="231" t="s">
        <v>780</v>
      </c>
      <c r="Q28" s="186"/>
      <c r="R28" s="186" t="s">
        <v>781</v>
      </c>
      <c r="S28" s="184" t="s">
        <v>724</v>
      </c>
      <c r="T28" s="232">
        <v>46132</v>
      </c>
      <c r="U28" s="87" t="str">
        <f>IF(V28="","No AIS",VLOOKUP(V28,'Voyage days'!$A$3:$B$1480,2,FALSE))</f>
        <v>No AIS</v>
      </c>
      <c r="V28" s="195" t="str">
        <f>IF(VLOOKUP(A28,'1) Kpler'!$E$2:$P$1000,8, FALSE)="","",VLOOKUP(A28,'1) Kpler'!$E$2:$P$1000,8, FALSE))</f>
        <v/>
      </c>
      <c r="W28" s="196" t="str">
        <f>IF(VLOOKUP(A28,'1) Kpler'!$E$2:$P$1000,9,FALSE)="","",VLOOKUP(A28,'1) Kpler'!$E$2:$P$1000,9,FALSE))</f>
        <v/>
      </c>
      <c r="X28" s="195" t="str">
        <f>VLOOKUP(A28,'1) Kpler'!$E$2:$I$1000,4,FALSE)</f>
        <v>ballast</v>
      </c>
      <c r="Y28" s="219" t="str">
        <f t="shared" si="0"/>
        <v>02-03 May</v>
      </c>
      <c r="Z28" s="219" t="str">
        <f t="shared" si="1"/>
        <v>06-07 May</v>
      </c>
      <c r="AA28" s="219" t="str">
        <f t="shared" si="2"/>
        <v>12-13 May</v>
      </c>
      <c r="AB28" s="219" t="str">
        <f t="shared" si="3"/>
        <v>07-08 May</v>
      </c>
      <c r="AC28" s="219" t="str">
        <f t="shared" si="4"/>
        <v>27-28 Apr</v>
      </c>
      <c r="AD28" s="219" t="str">
        <f t="shared" si="5"/>
        <v/>
      </c>
      <c r="AE28" s="220" t="str">
        <f t="shared" si="6"/>
        <v/>
      </c>
      <c r="AF28" s="130" t="str">
        <f t="shared" si="7"/>
        <v>26-27 Apr</v>
      </c>
      <c r="AG28" s="200" t="str">
        <f t="shared" si="8"/>
        <v>02-03 May</v>
      </c>
      <c r="AH28" s="201">
        <f>IFERROR($M28+VLOOKUP($L28,'Voyage days'!$F$38:$H$89,3,FALSE),"")</f>
        <v>46144</v>
      </c>
      <c r="AI28" s="201">
        <f>IFERROR(N28+VLOOKUP($L28,'Voyage days'!$F$38:$H$89,3,FALSE),"")</f>
        <v>46145</v>
      </c>
      <c r="AJ28" s="200" t="str">
        <f t="shared" si="9"/>
        <v>06-07 May</v>
      </c>
      <c r="AK28" s="201">
        <f>IFERROR($M28+VLOOKUP($L28,'Voyage days'!$F$94:$H$193,3,FALSE),"")</f>
        <v>46148</v>
      </c>
      <c r="AL28" s="201">
        <f>IFERROR($N28+VLOOKUP($L28,'Voyage days'!$F$94:$H$193,3,FALSE),"")</f>
        <v>46149</v>
      </c>
      <c r="AM28" s="200" t="str">
        <f t="shared" si="10"/>
        <v>12-13 May</v>
      </c>
      <c r="AN28" s="201">
        <f>IFERROR($M28+VLOOKUP($L28,'Voyage days'!$F$203:$H$256,3,FALSE),"")</f>
        <v>46154</v>
      </c>
      <c r="AO28" s="201">
        <f>IFERROR($N28+VLOOKUP($L28,'Voyage days'!$F$203:$H$256,3,FALSE),"")</f>
        <v>46155</v>
      </c>
      <c r="AP28" s="200" t="str">
        <f t="shared" si="11"/>
        <v>07-08 May</v>
      </c>
      <c r="AQ28" s="201">
        <f>IFERROR($M28+VLOOKUP($L28,'Voyage days'!$F$294:$H$377,3,FALSE),"")</f>
        <v>46149</v>
      </c>
      <c r="AR28" s="201">
        <f>IFERROR($N28+VLOOKUP($L28,'Voyage days'!$F$294:$H$377,3,FALSE),"")</f>
        <v>46150</v>
      </c>
      <c r="AS28" s="200" t="str">
        <f t="shared" si="12"/>
        <v>27-28 Apr</v>
      </c>
      <c r="AT28" s="201">
        <f>IFERROR($M28+VLOOKUP($L28,'Voyage days'!$F$382:$H$446,3,FALSE),"")</f>
        <v>46139</v>
      </c>
      <c r="AU28" s="201">
        <f>IFERROR($N28+VLOOKUP($L28,'Voyage days'!$F$382:$H$446,3,FALSE),"")</f>
        <v>46140</v>
      </c>
      <c r="AV28" s="200" t="str">
        <f t="shared" si="13"/>
        <v/>
      </c>
      <c r="AW28" s="201" t="str">
        <f>IFERROR($M28+VLOOKUP($L28,'Voyage days'!$F$483:$H$538,3,FALSE),"")</f>
        <v/>
      </c>
      <c r="AX28" s="201" t="str">
        <f>IFERROR($N28+VLOOKUP($L28,'Voyage days'!$F$483:$H$538,3,FALSE),"")</f>
        <v/>
      </c>
      <c r="AY28" s="200" t="str">
        <f t="shared" si="14"/>
        <v/>
      </c>
      <c r="AZ28" s="201" t="str">
        <f>IFERROR($M28+VLOOKUP($L28,'Voyage days'!$F$540:$H$613,3,FALSE),"")</f>
        <v/>
      </c>
      <c r="BA28" s="201" t="str">
        <f>IFERROR($N28+VLOOKUP($L28,'Voyage days'!$F$540:$H$613,3,FALSE),"")</f>
        <v/>
      </c>
      <c r="BB28" s="200" t="str">
        <f t="shared" si="15"/>
        <v/>
      </c>
      <c r="BC28" s="94" t="str">
        <f>IFERROR($M28+VLOOKUP($L28,'Voyage days'!$F$448:$H$479,3,FALSE),"")</f>
        <v/>
      </c>
      <c r="BD28" s="94" t="str">
        <f>IFERROR($N28+VLOOKUP($L28,'Voyage days'!$F$448:$H$479,3,FALSE),"")</f>
        <v/>
      </c>
      <c r="BE28" s="200" t="str">
        <f t="shared" si="16"/>
        <v/>
      </c>
      <c r="BF28" s="201" t="str">
        <f>IFERROR($M28+VLOOKUP($L28,'Voyage days'!$F$620:$H$646,3,FALSE),"")</f>
        <v/>
      </c>
      <c r="BG28" s="201" t="str">
        <f>IFERROR($N28+VLOOKUP($L28,'Voyage days'!$F$620:$H$646,3,FALSE),"")</f>
        <v/>
      </c>
      <c r="BH28" s="200" t="str">
        <f t="shared" si="17"/>
        <v/>
      </c>
      <c r="BI28" s="202" t="str">
        <f>IFERROR($M28+VLOOKUP($L28,'Voyage days'!$F$702:$H$727,3,FALSE),"")</f>
        <v/>
      </c>
      <c r="BJ28" s="131" t="str">
        <f t="shared" si="18"/>
        <v>26-27 Apr</v>
      </c>
      <c r="BK28" s="95">
        <f>IFERROR($M28+VLOOKUP($L28,'Voyage days'!$F$807:$H$878,3,FALSE),"")</f>
        <v>46138</v>
      </c>
      <c r="BL28" s="95">
        <f>IFERROR($N28+VLOOKUP($L28,'Voyage days'!$F$807:$H$878,3,FALSE),"")</f>
        <v>46139</v>
      </c>
      <c r="BM28" s="95">
        <f>IFERROR($N28+VLOOKUP($L28,'Voyage days'!$F$807:$K$878,6,FALSE),"")</f>
        <v>46135</v>
      </c>
      <c r="BN28" s="94" t="str">
        <f>IF(L28="loads AG", IFERROR($M28+VLOOKUP($L28,'Voyage days'!$M$38:$O$38,3,FALSE),""),"")</f>
        <v/>
      </c>
      <c r="BO28" s="94" t="str">
        <f>IF(L28="loads USG", IFERROR($M28+VLOOKUP($L28,'Voyage days'!$L$203:$N$203,3,FALSE),""),"")</f>
        <v/>
      </c>
    </row>
    <row r="29" spans="1:68" ht="15.75" customHeight="1" x14ac:dyDescent="0.25">
      <c r="A29" s="97" t="s">
        <v>782</v>
      </c>
      <c r="B29" s="155">
        <v>42479</v>
      </c>
      <c r="C29" s="151">
        <v>84113</v>
      </c>
      <c r="D29" s="107"/>
      <c r="E29" s="107"/>
      <c r="F29" s="156"/>
      <c r="G29" s="156"/>
      <c r="H29" s="156" t="s">
        <v>713</v>
      </c>
      <c r="I29" s="233" t="s">
        <v>783</v>
      </c>
      <c r="J29" s="80" t="str">
        <f t="shared" si="19"/>
        <v/>
      </c>
      <c r="K29" s="81"/>
      <c r="L29" s="85" t="s">
        <v>704</v>
      </c>
      <c r="M29" s="83">
        <v>46161</v>
      </c>
      <c r="N29" s="83">
        <v>46162</v>
      </c>
      <c r="O29" s="84"/>
      <c r="P29" s="82" t="s">
        <v>784</v>
      </c>
      <c r="Q29" s="85"/>
      <c r="R29" s="124" t="s">
        <v>785</v>
      </c>
      <c r="S29" s="77" t="s">
        <v>724</v>
      </c>
      <c r="T29" s="86">
        <v>46132</v>
      </c>
      <c r="U29" s="87" t="str">
        <f>IF(V29="","No AIS",VLOOKUP(V29,'Voyage days'!$A$3:$B$1480,2,FALSE))</f>
        <v>Panama</v>
      </c>
      <c r="V29" s="88" t="str">
        <f>IF(VLOOKUP(A29,'1) Kpler'!$E$2:$P$1000,8, FALSE)="","",VLOOKUP(A29,'1) Kpler'!$E$2:$P$1000,8, FALSE))</f>
        <v>Cristobal Light.</v>
      </c>
      <c r="W29" s="89">
        <f>IF(VLOOKUP(A29,'1) Kpler'!$E$2:$P$1000,9,FALSE)="","",VLOOKUP(A29,'1) Kpler'!$E$2:$P$1000,9,FALSE))</f>
        <v>46134.25</v>
      </c>
      <c r="X29" s="88" t="str">
        <f>VLOOKUP(A29,'1) Kpler'!$E$2:$I$1000,4,FALSE)</f>
        <v>loaded</v>
      </c>
      <c r="Y29" s="234" t="str">
        <f t="shared" si="0"/>
        <v>06-07 Jun</v>
      </c>
      <c r="Z29" s="234" t="str">
        <f t="shared" si="1"/>
        <v>18-19 Jun</v>
      </c>
      <c r="AA29" s="234" t="str">
        <f t="shared" si="2"/>
        <v>26-27 Jun</v>
      </c>
      <c r="AB29" s="234" t="str">
        <f t="shared" si="3"/>
        <v>18-19 Jun</v>
      </c>
      <c r="AC29" s="234" t="str">
        <f t="shared" si="4"/>
        <v>24-25 Jun</v>
      </c>
      <c r="AD29" s="234" t="str">
        <f t="shared" si="5"/>
        <v>27-28 May</v>
      </c>
      <c r="AE29" s="235" t="str">
        <f t="shared" si="6"/>
        <v>27-28 May</v>
      </c>
      <c r="AF29" s="92" t="str">
        <f t="shared" si="7"/>
        <v>04-05 Jul</v>
      </c>
      <c r="AG29" s="93" t="str">
        <f t="shared" si="8"/>
        <v>06-07 Jun</v>
      </c>
      <c r="AH29" s="94">
        <f>IFERROR($M29+VLOOKUP($L29,'Voyage days'!$F$38:$H$89,3,FALSE),"")</f>
        <v>46179</v>
      </c>
      <c r="AI29" s="94">
        <f>IFERROR(N29+VLOOKUP($L29,'Voyage days'!$F$38:$H$89,3,FALSE),"")</f>
        <v>46180</v>
      </c>
      <c r="AJ29" s="93" t="str">
        <f t="shared" si="9"/>
        <v>18-19 Jun</v>
      </c>
      <c r="AK29" s="94">
        <f>IFERROR($M29+VLOOKUP($L29,'Voyage days'!$F$94:$H$193,3,FALSE),"")</f>
        <v>46191</v>
      </c>
      <c r="AL29" s="94">
        <f>IFERROR($N29+VLOOKUP($L29,'Voyage days'!$F$94:$H$193,3,FALSE),"")</f>
        <v>46192</v>
      </c>
      <c r="AM29" s="93" t="str">
        <f t="shared" si="10"/>
        <v>26-27 Jun</v>
      </c>
      <c r="AN29" s="94">
        <f>IFERROR($M29+VLOOKUP($L29,'Voyage days'!$F$203:$H$256,3,FALSE),"")</f>
        <v>46199</v>
      </c>
      <c r="AO29" s="94">
        <f>IFERROR($N29+VLOOKUP($L29,'Voyage days'!$F$203:$H$256,3,FALSE),"")</f>
        <v>46200</v>
      </c>
      <c r="AP29" s="93" t="str">
        <f t="shared" si="11"/>
        <v>18-19 Jun</v>
      </c>
      <c r="AQ29" s="94">
        <f>IFERROR($M29+VLOOKUP($L29,'Voyage days'!$F$294:$H$377,3,FALSE),"")</f>
        <v>46191</v>
      </c>
      <c r="AR29" s="94">
        <f>IFERROR($N29+VLOOKUP($L29,'Voyage days'!$F$294:$H$377,3,FALSE),"")</f>
        <v>46192</v>
      </c>
      <c r="AS29" s="93" t="str">
        <f t="shared" si="12"/>
        <v>24-25 Jun</v>
      </c>
      <c r="AT29" s="94">
        <f>IFERROR($M29+VLOOKUP($L29,'Voyage days'!$F$382:$H$446,3,FALSE),"")</f>
        <v>46197</v>
      </c>
      <c r="AU29" s="94">
        <f>IFERROR($N29+VLOOKUP($L29,'Voyage days'!$F$382:$H$446,3,FALSE),"")</f>
        <v>46198</v>
      </c>
      <c r="AV29" s="93" t="str">
        <f t="shared" si="13"/>
        <v>01-02 Jun</v>
      </c>
      <c r="AW29" s="94">
        <f>IFERROR($M29+VLOOKUP($L29,'Voyage days'!$F$483:$H$538,3,FALSE),"")</f>
        <v>46174</v>
      </c>
      <c r="AX29" s="94">
        <f>IFERROR($N29+VLOOKUP($L29,'Voyage days'!$F$483:$H$538,3,FALSE),"")</f>
        <v>46175</v>
      </c>
      <c r="AY29" s="93" t="str">
        <f t="shared" si="14"/>
        <v>27-28 May</v>
      </c>
      <c r="AZ29" s="94">
        <f>IFERROR($M29+VLOOKUP($L29,'Voyage days'!$F$540:$H$613,3,FALSE),"")</f>
        <v>46169.25</v>
      </c>
      <c r="BA29" s="94">
        <f>IFERROR($N29+VLOOKUP($L29,'Voyage days'!$F$540:$H$613,3,FALSE),"")</f>
        <v>46170.25</v>
      </c>
      <c r="BB29" s="93" t="str">
        <f t="shared" si="15"/>
        <v>27-28 May</v>
      </c>
      <c r="BC29" s="94">
        <f>IFERROR($M29+VLOOKUP($L29,'Voyage days'!$F$448:$H$479,3,FALSE),"")</f>
        <v>46169</v>
      </c>
      <c r="BD29" s="94">
        <f>IFERROR($N29+VLOOKUP($L29,'Voyage days'!$F$448:$H$479,3,FALSE),"")</f>
        <v>46170</v>
      </c>
      <c r="BE29" s="93" t="str">
        <f t="shared" si="16"/>
        <v>30-31 May</v>
      </c>
      <c r="BF29" s="95">
        <f>IFERROR($M29+VLOOKUP($L29,'Voyage days'!$F$620:$H$646,3,FALSE),"")</f>
        <v>46172</v>
      </c>
      <c r="BG29" s="95">
        <f>IFERROR($N29+VLOOKUP($L29,'Voyage days'!$F$620:$H$646,3,FALSE),"")</f>
        <v>46173</v>
      </c>
      <c r="BH29" s="93" t="str">
        <f t="shared" si="17"/>
        <v>27-05 Jul</v>
      </c>
      <c r="BI29" s="96">
        <f>IFERROR($M29+VLOOKUP($L29,'Voyage days'!$F$702:$H$727,3,FALSE),"")</f>
        <v>46169.25</v>
      </c>
      <c r="BJ29" s="93" t="str">
        <f t="shared" si="18"/>
        <v>04-05 Jul</v>
      </c>
      <c r="BK29" s="95">
        <f>IFERROR($M29+VLOOKUP($L29,'Voyage days'!$F$807:$H$878,3,FALSE),"")</f>
        <v>46207</v>
      </c>
      <c r="BL29" s="95">
        <f>IFERROR($N29+VLOOKUP($L29,'Voyage days'!$F$807:$H$878,3,FALSE),"")</f>
        <v>46208</v>
      </c>
      <c r="BM29" s="95">
        <f>IFERROR($N29+VLOOKUP($L29,'Voyage days'!$F$807:$K$878,6,FALSE),"")</f>
        <v>46182</v>
      </c>
      <c r="BN29" s="94" t="str">
        <f>IF(L29="loads AG", IFERROR($M29+VLOOKUP($L29,'Voyage days'!$M$38:$O$38,3,FALSE),""),"")</f>
        <v/>
      </c>
      <c r="BO29" s="94" t="str">
        <f>IF(L29="loads USG", IFERROR($M29+VLOOKUP($L29,'Voyage days'!$L$203:$N$203,3,FALSE),""),"")</f>
        <v/>
      </c>
    </row>
    <row r="30" spans="1:68" ht="15.75" customHeight="1" x14ac:dyDescent="0.25">
      <c r="A30" s="236" t="s">
        <v>234</v>
      </c>
      <c r="B30" s="75">
        <v>43617</v>
      </c>
      <c r="C30" s="76">
        <v>80000</v>
      </c>
      <c r="D30" s="77"/>
      <c r="E30" s="77"/>
      <c r="F30" s="78"/>
      <c r="G30" s="78"/>
      <c r="H30" s="78" t="s">
        <v>739</v>
      </c>
      <c r="I30" s="237" t="s">
        <v>777</v>
      </c>
      <c r="J30" s="80" t="str">
        <f t="shared" si="19"/>
        <v/>
      </c>
      <c r="K30" s="81"/>
      <c r="L30" s="82" t="s">
        <v>718</v>
      </c>
      <c r="M30" s="83">
        <v>46135</v>
      </c>
      <c r="N30" s="83">
        <v>46136</v>
      </c>
      <c r="O30" s="84" t="s">
        <v>779</v>
      </c>
      <c r="P30" s="82" t="s">
        <v>786</v>
      </c>
      <c r="Q30" s="82" t="s">
        <v>787</v>
      </c>
      <c r="R30" s="82" t="s">
        <v>788</v>
      </c>
      <c r="S30" s="77" t="s">
        <v>724</v>
      </c>
      <c r="T30" s="232">
        <v>46132</v>
      </c>
      <c r="U30" s="87" t="str">
        <f>IF(V30="","No AIS",VLOOKUP(V30,'Voyage days'!$A$3:$B$1480,2,FALSE))</f>
        <v>USG</v>
      </c>
      <c r="V30" s="88" t="str">
        <f>IF(VLOOKUP(A30,'1) Kpler'!$E$2:$P$1000,8, FALSE)="","",VLOOKUP(A30,'1) Kpler'!$E$2:$P$1000,8, FALSE))</f>
        <v>Energy Transfer Nederland</v>
      </c>
      <c r="W30" s="89">
        <f>IF(VLOOKUP(A30,'1) Kpler'!$E$2:$P$1000,9,FALSE)="","",VLOOKUP(A30,'1) Kpler'!$E$2:$P$1000,9,FALSE))</f>
        <v>46133.833333333336</v>
      </c>
      <c r="X30" s="88" t="str">
        <f>VLOOKUP(A30,'1) Kpler'!$E$2:$I$1000,4,FALSE)</f>
        <v>ballast</v>
      </c>
      <c r="Y30" s="90" t="str">
        <f t="shared" si="0"/>
        <v/>
      </c>
      <c r="Z30" s="90" t="str">
        <f t="shared" si="1"/>
        <v>23-24 Apr</v>
      </c>
      <c r="AA30" s="90" t="str">
        <f t="shared" si="2"/>
        <v>23-24 Apr</v>
      </c>
      <c r="AB30" s="90" t="str">
        <f t="shared" si="3"/>
        <v/>
      </c>
      <c r="AC30" s="90" t="str">
        <f t="shared" si="4"/>
        <v>13-14 May</v>
      </c>
      <c r="AD30" s="90" t="str">
        <f t="shared" si="5"/>
        <v/>
      </c>
      <c r="AE30" s="91" t="str">
        <f t="shared" si="6"/>
        <v/>
      </c>
      <c r="AF30" s="92" t="str">
        <f t="shared" si="7"/>
        <v/>
      </c>
      <c r="AG30" s="93" t="str">
        <f t="shared" si="8"/>
        <v/>
      </c>
      <c r="AH30" s="94" t="str">
        <f>IFERROR($M30+VLOOKUP($L30,'Voyage days'!$F$38:$H$89,3,FALSE),"")</f>
        <v/>
      </c>
      <c r="AI30" s="94" t="str">
        <f>IFERROR(N30+VLOOKUP($L30,'Voyage days'!$F$38:$H$89,3,FALSE),"")</f>
        <v/>
      </c>
      <c r="AJ30" s="93" t="str">
        <f t="shared" si="9"/>
        <v>23-24 Apr</v>
      </c>
      <c r="AK30" s="94">
        <f>IFERROR($M30+VLOOKUP($L30,'Voyage days'!$F$94:$H$193,3,FALSE),"")</f>
        <v>46135</v>
      </c>
      <c r="AL30" s="94">
        <f>IFERROR($N30+VLOOKUP($L30,'Voyage days'!$F$94:$H$193,3,FALSE),"")</f>
        <v>46136</v>
      </c>
      <c r="AM30" s="93" t="str">
        <f t="shared" si="10"/>
        <v>23-24 Apr</v>
      </c>
      <c r="AN30" s="94">
        <f>IFERROR($M30+VLOOKUP($L30,'Voyage days'!$F$203:$H$256,3,FALSE),"")</f>
        <v>46135</v>
      </c>
      <c r="AO30" s="94">
        <f>IFERROR($N30+VLOOKUP($L30,'Voyage days'!$F$203:$H$256,3,FALSE),"")</f>
        <v>46136</v>
      </c>
      <c r="AP30" s="93" t="str">
        <f t="shared" si="11"/>
        <v/>
      </c>
      <c r="AQ30" s="94" t="str">
        <f>IFERROR($M30+VLOOKUP($L30,'Voyage days'!$F$294:$H$377,3,FALSE),"")</f>
        <v/>
      </c>
      <c r="AR30" s="94" t="str">
        <f>IFERROR($N30+VLOOKUP($L30,'Voyage days'!$F$294:$H$377,3,FALSE),"")</f>
        <v/>
      </c>
      <c r="AS30" s="93" t="str">
        <f t="shared" si="12"/>
        <v>13-14 May</v>
      </c>
      <c r="AT30" s="94">
        <f>IFERROR($M30+VLOOKUP($L30,'Voyage days'!$F$382:$H$446,3,FALSE),"")</f>
        <v>46155</v>
      </c>
      <c r="AU30" s="94">
        <f>IFERROR($N30+VLOOKUP($L30,'Voyage days'!$F$382:$H$446,3,FALSE),"")</f>
        <v>46156</v>
      </c>
      <c r="AV30" s="93" t="str">
        <f t="shared" si="13"/>
        <v/>
      </c>
      <c r="AW30" s="94" t="str">
        <f>IFERROR($M30+VLOOKUP($L30,'Voyage days'!$F$483:$H$538,3,FALSE),"")</f>
        <v/>
      </c>
      <c r="AX30" s="94" t="str">
        <f>IFERROR($N30+VLOOKUP($L30,'Voyage days'!$F$483:$H$538,3,FALSE),"")</f>
        <v/>
      </c>
      <c r="AY30" s="93" t="str">
        <f t="shared" si="14"/>
        <v/>
      </c>
      <c r="AZ30" s="94" t="str">
        <f>IFERROR($M30+VLOOKUP($L30,'Voyage days'!$F$540:$H$613,3,FALSE),"")</f>
        <v/>
      </c>
      <c r="BA30" s="94" t="str">
        <f>IFERROR($N30+VLOOKUP($L30,'Voyage days'!$F$540:$H$613,3,FALSE),"")</f>
        <v/>
      </c>
      <c r="BB30" s="93" t="str">
        <f t="shared" si="15"/>
        <v/>
      </c>
      <c r="BC30" s="94" t="str">
        <f>IFERROR($M30+VLOOKUP($L30,'Voyage days'!$F$448:$H$479,3,FALSE),"")</f>
        <v/>
      </c>
      <c r="BD30" s="94" t="str">
        <f>IFERROR($N30+VLOOKUP($L30,'Voyage days'!$F$448:$H$479,3,FALSE),"")</f>
        <v/>
      </c>
      <c r="BE30" s="93" t="str">
        <f t="shared" si="16"/>
        <v/>
      </c>
      <c r="BF30" s="95" t="str">
        <f>IFERROR($M30+VLOOKUP($L30,'Voyage days'!$F$620:$H$646,3,FALSE),"")</f>
        <v/>
      </c>
      <c r="BG30" s="95" t="str">
        <f>IFERROR($N30+VLOOKUP($L30,'Voyage days'!$F$620:$H$646,3,FALSE),"")</f>
        <v/>
      </c>
      <c r="BH30" s="93" t="str">
        <f t="shared" si="17"/>
        <v/>
      </c>
      <c r="BI30" s="96" t="str">
        <f>IFERROR($M30+VLOOKUP($L30,'Voyage days'!$F$702:$H$727,3,FALSE),"")</f>
        <v/>
      </c>
      <c r="BJ30" s="93" t="str">
        <f t="shared" si="18"/>
        <v/>
      </c>
      <c r="BK30" s="95" t="str">
        <f>IFERROR($M30+VLOOKUP($L30,'Voyage days'!$F$807:$H$878,3,FALSE),"")</f>
        <v/>
      </c>
      <c r="BL30" s="95" t="str">
        <f>IFERROR($N30+VLOOKUP($L30,'Voyage days'!$F$807:$H$878,3,FALSE),"")</f>
        <v/>
      </c>
      <c r="BM30" s="95" t="str">
        <f>IFERROR($N30+VLOOKUP($L30,'Voyage days'!$F$807:$K$878,6,FALSE),"")</f>
        <v/>
      </c>
      <c r="BN30" s="94" t="str">
        <f>IF(L30="loads AG", IFERROR($M30+VLOOKUP($L30,'Voyage days'!$M$38:$O$38,3,FALSE),""),"")</f>
        <v/>
      </c>
      <c r="BO30" s="94">
        <f>IF(L30="loads USG", IFERROR($M30+VLOOKUP($L30,'Voyage days'!$L$203:$N$203,3,FALSE),""),"")</f>
        <v>46167</v>
      </c>
    </row>
    <row r="31" spans="1:68" ht="15.75" customHeight="1" x14ac:dyDescent="0.25">
      <c r="A31" s="53" t="s">
        <v>311</v>
      </c>
      <c r="B31" s="119">
        <v>2018</v>
      </c>
      <c r="C31" s="76">
        <v>84196</v>
      </c>
      <c r="D31" s="120"/>
      <c r="E31" s="120" t="s">
        <v>757</v>
      </c>
      <c r="F31" s="121"/>
      <c r="G31" s="121" t="s">
        <v>789</v>
      </c>
      <c r="H31" s="121" t="s">
        <v>713</v>
      </c>
      <c r="I31" s="237" t="s">
        <v>777</v>
      </c>
      <c r="J31" s="122" t="str">
        <f t="shared" si="19"/>
        <v/>
      </c>
      <c r="K31" s="81"/>
      <c r="L31" s="124" t="s">
        <v>790</v>
      </c>
      <c r="M31" s="83">
        <v>46148</v>
      </c>
      <c r="N31" s="83">
        <v>46150</v>
      </c>
      <c r="O31" s="84" t="s">
        <v>779</v>
      </c>
      <c r="P31" s="82" t="s">
        <v>791</v>
      </c>
      <c r="Q31" s="124"/>
      <c r="R31" s="124" t="s">
        <v>792</v>
      </c>
      <c r="S31" s="77" t="s">
        <v>724</v>
      </c>
      <c r="T31" s="232">
        <v>46132</v>
      </c>
      <c r="U31" s="238" t="str">
        <f>IF(V31="","No AIS",VLOOKUP(V31,'Voyage days'!$A$3:$B$1480,2,FALSE))</f>
        <v>Eu + 4</v>
      </c>
      <c r="V31" s="238" t="str">
        <f>IF(VLOOKUP(A31,'1) Kpler'!$E$2:$P$1000,8, FALSE)="","",VLOOKUP(A31,'1) Kpler'!$E$2:$P$1000,8, FALSE))</f>
        <v>Terneuzen</v>
      </c>
      <c r="W31" s="239">
        <f>IF(VLOOKUP(A31,'1) Kpler'!$E$2:$P$1000,9,FALSE)="","",VLOOKUP(A31,'1) Kpler'!$E$2:$P$1000,9,FALSE))</f>
        <v>46142.113888888889</v>
      </c>
      <c r="X31" s="238" t="str">
        <f>VLOOKUP(A31,'1) Kpler'!$E$2:$I$1000,4,FALSE)</f>
        <v>loaded</v>
      </c>
      <c r="Y31" s="234" t="str">
        <f t="shared" si="0"/>
        <v/>
      </c>
      <c r="Z31" s="234" t="str">
        <f t="shared" si="1"/>
        <v>20-22 May</v>
      </c>
      <c r="AA31" s="234" t="str">
        <f t="shared" si="2"/>
        <v>21-23 May</v>
      </c>
      <c r="AB31" s="234" t="str">
        <f t="shared" si="3"/>
        <v>17-19 May</v>
      </c>
      <c r="AC31" s="234" t="str">
        <f t="shared" si="4"/>
        <v>08-10 May</v>
      </c>
      <c r="AD31" s="234" t="str">
        <f t="shared" si="5"/>
        <v/>
      </c>
      <c r="AE31" s="235" t="str">
        <f t="shared" si="6"/>
        <v/>
      </c>
      <c r="AF31" s="92" t="str">
        <f t="shared" si="7"/>
        <v>20-22 May</v>
      </c>
      <c r="AG31" s="93" t="str">
        <f t="shared" si="8"/>
        <v/>
      </c>
      <c r="AH31" s="94" t="str">
        <f>IFERROR($M31+VLOOKUP($L31,'Voyage days'!$F$38:$H$89,3,FALSE),"")</f>
        <v/>
      </c>
      <c r="AI31" s="94" t="str">
        <f>IFERROR(N31+VLOOKUP($L31,'Voyage days'!$F$38:$H$89,3,FALSE),"")</f>
        <v/>
      </c>
      <c r="AJ31" s="93" t="str">
        <f t="shared" si="9"/>
        <v>20-22 May</v>
      </c>
      <c r="AK31" s="94">
        <f>IFERROR($M31+VLOOKUP($L31,'Voyage days'!$F$94:$H$193,3,FALSE),"")</f>
        <v>46162</v>
      </c>
      <c r="AL31" s="94">
        <f>IFERROR($N31+VLOOKUP($L31,'Voyage days'!$F$94:$H$193,3,FALSE),"")</f>
        <v>46164</v>
      </c>
      <c r="AM31" s="93" t="str">
        <f t="shared" si="10"/>
        <v>21-23 May</v>
      </c>
      <c r="AN31" s="94">
        <f>IFERROR($M31+VLOOKUP($L31,'Voyage days'!$F$203:$H$256,3,FALSE),"")</f>
        <v>46163</v>
      </c>
      <c r="AO31" s="94">
        <f>IFERROR($N31+VLOOKUP($L31,'Voyage days'!$F$203:$H$256,3,FALSE),"")</f>
        <v>46165</v>
      </c>
      <c r="AP31" s="93" t="str">
        <f t="shared" si="11"/>
        <v>17-19 May</v>
      </c>
      <c r="AQ31" s="94">
        <f>IFERROR($M31+VLOOKUP($L31,'Voyage days'!$F$294:$H$377,3,FALSE),"")</f>
        <v>46159</v>
      </c>
      <c r="AR31" s="94">
        <f>IFERROR($N31+VLOOKUP($L31,'Voyage days'!$F$294:$H$377,3,FALSE),"")</f>
        <v>46161</v>
      </c>
      <c r="AS31" s="93" t="str">
        <f t="shared" si="12"/>
        <v>08-10 May</v>
      </c>
      <c r="AT31" s="94">
        <f>IFERROR($M31+VLOOKUP($L31,'Voyage days'!$F$382:$H$446,3,FALSE),"")</f>
        <v>46150</v>
      </c>
      <c r="AU31" s="94">
        <f>IFERROR($N31+VLOOKUP($L31,'Voyage days'!$F$382:$H$446,3,FALSE),"")</f>
        <v>46152</v>
      </c>
      <c r="AV31" s="93" t="str">
        <f t="shared" si="13"/>
        <v/>
      </c>
      <c r="AW31" s="94" t="str">
        <f>IFERROR($M31+VLOOKUP($L31,'Voyage days'!$F$483:$H$538,3,FALSE),"")</f>
        <v/>
      </c>
      <c r="AX31" s="94" t="str">
        <f>IFERROR($N31+VLOOKUP($L31,'Voyage days'!$F$483:$H$538,3,FALSE),"")</f>
        <v/>
      </c>
      <c r="AY31" s="93" t="str">
        <f t="shared" si="14"/>
        <v/>
      </c>
      <c r="AZ31" s="94" t="str">
        <f>IFERROR($M31+VLOOKUP($L31,'Voyage days'!$F$540:$H$613,3,FALSE),"")</f>
        <v/>
      </c>
      <c r="BA31" s="94" t="str">
        <f>IFERROR($N31+VLOOKUP($L31,'Voyage days'!$F$540:$H$613,3,FALSE),"")</f>
        <v/>
      </c>
      <c r="BB31" s="93" t="str">
        <f t="shared" si="15"/>
        <v/>
      </c>
      <c r="BC31" s="94" t="str">
        <f>IFERROR($M31+VLOOKUP($L31,'Voyage days'!$F$448:$H$479,3,FALSE),"")</f>
        <v/>
      </c>
      <c r="BD31" s="94" t="str">
        <f>IFERROR($N31+VLOOKUP($L31,'Voyage days'!$F$448:$H$479,3,FALSE),"")</f>
        <v/>
      </c>
      <c r="BE31" s="93" t="str">
        <f t="shared" si="16"/>
        <v/>
      </c>
      <c r="BF31" s="95" t="str">
        <f>IFERROR($M31+VLOOKUP($L31,'Voyage days'!$F$620:$H$646,3,FALSE),"")</f>
        <v/>
      </c>
      <c r="BG31" s="95" t="str">
        <f>IFERROR($N31+VLOOKUP($L31,'Voyage days'!$F$620:$H$646,3,FALSE),"")</f>
        <v/>
      </c>
      <c r="BH31" s="93" t="str">
        <f t="shared" si="17"/>
        <v/>
      </c>
      <c r="BI31" s="96" t="str">
        <f>IFERROR($M31+VLOOKUP($L31,'Voyage days'!$F$702:$H$727,3,FALSE),"")</f>
        <v/>
      </c>
      <c r="BJ31" s="93" t="str">
        <f t="shared" si="18"/>
        <v>20-22 May</v>
      </c>
      <c r="BK31" s="95">
        <f>IFERROR($M31+VLOOKUP($L31,'Voyage days'!$F$807:$H$878,3,FALSE),"")</f>
        <v>46162</v>
      </c>
      <c r="BL31" s="95">
        <f>IFERROR($N31+VLOOKUP($L31,'Voyage days'!$F$807:$H$878,3,FALSE),"")</f>
        <v>46164</v>
      </c>
      <c r="BM31" s="95">
        <f>IFERROR($N31+VLOOKUP($L31,'Voyage days'!$F$807:$K$878,6,FALSE),"")</f>
        <v>46150</v>
      </c>
      <c r="BN31" s="94" t="str">
        <f>IF(L31="loads AG", IFERROR($M31+VLOOKUP($L31,'Voyage days'!$M$38:$O$38,3,FALSE),""),"")</f>
        <v/>
      </c>
      <c r="BO31" s="94" t="str">
        <f>IF(L31="loads USG", IFERROR($M31+VLOOKUP($L31,'Voyage days'!$L$203:$N$203,3,FALSE),""),"")</f>
        <v/>
      </c>
    </row>
    <row r="32" spans="1:68" ht="15.75" customHeight="1" x14ac:dyDescent="0.25">
      <c r="A32" s="97" t="s">
        <v>381</v>
      </c>
      <c r="B32" s="119">
        <v>2016</v>
      </c>
      <c r="C32" s="76">
        <v>84000</v>
      </c>
      <c r="D32" s="77"/>
      <c r="E32" s="77"/>
      <c r="F32" s="78"/>
      <c r="G32" s="78"/>
      <c r="H32" s="78"/>
      <c r="I32" s="237" t="s">
        <v>793</v>
      </c>
      <c r="J32" s="80" t="str">
        <f t="shared" si="19"/>
        <v/>
      </c>
      <c r="K32" s="81"/>
      <c r="L32" s="82" t="s">
        <v>718</v>
      </c>
      <c r="M32" s="222">
        <v>46137</v>
      </c>
      <c r="N32" s="222">
        <v>46138</v>
      </c>
      <c r="O32" s="84"/>
      <c r="P32" s="231" t="s">
        <v>794</v>
      </c>
      <c r="Q32" s="158"/>
      <c r="R32" s="82" t="s">
        <v>795</v>
      </c>
      <c r="S32" s="77" t="s">
        <v>724</v>
      </c>
      <c r="T32" s="232">
        <v>46132</v>
      </c>
      <c r="U32" s="87" t="str">
        <f>IF(V32="","No AIS",VLOOKUP(V32,'Voyage days'!$A$3:$B$1480,2,FALSE))</f>
        <v>USG</v>
      </c>
      <c r="V32" s="88" t="str">
        <f>IF(VLOOKUP(A32,'1) Kpler'!$E$2:$P$1000,8, FALSE)="","",VLOOKUP(A32,'1) Kpler'!$E$2:$P$1000,8, FALSE))</f>
        <v>Houston</v>
      </c>
      <c r="W32" s="89">
        <f>IF(VLOOKUP(A32,'1) Kpler'!$E$2:$P$1000,9,FALSE)="","",VLOOKUP(A32,'1) Kpler'!$E$2:$P$1000,9,FALSE))</f>
        <v>46136.708333333336</v>
      </c>
      <c r="X32" s="88" t="str">
        <f>VLOOKUP(A32,'1) Kpler'!$E$2:$I$1000,4,FALSE)</f>
        <v>ballast</v>
      </c>
      <c r="Y32" s="63" t="str">
        <f t="shared" si="0"/>
        <v/>
      </c>
      <c r="Z32" s="63" t="str">
        <f t="shared" si="1"/>
        <v>25-26 Apr</v>
      </c>
      <c r="AA32" s="63" t="str">
        <f t="shared" si="2"/>
        <v>25-26 Apr</v>
      </c>
      <c r="AB32" s="63" t="str">
        <f t="shared" si="3"/>
        <v/>
      </c>
      <c r="AC32" s="63" t="str">
        <f t="shared" si="4"/>
        <v>15-16 May</v>
      </c>
      <c r="AD32" s="63" t="str">
        <f t="shared" si="5"/>
        <v/>
      </c>
      <c r="AE32" s="129" t="str">
        <f t="shared" si="6"/>
        <v/>
      </c>
      <c r="AF32" s="130" t="str">
        <f t="shared" si="7"/>
        <v/>
      </c>
      <c r="AG32" s="93" t="str">
        <f t="shared" si="8"/>
        <v/>
      </c>
      <c r="AH32" s="94" t="str">
        <f>IFERROR($M32+VLOOKUP($L32,'Voyage days'!$F$38:$H$89,3,FALSE),"")</f>
        <v/>
      </c>
      <c r="AI32" s="94" t="str">
        <f>IFERROR(N32+VLOOKUP($L32,'Voyage days'!$F$38:$H$89,3,FALSE),"")</f>
        <v/>
      </c>
      <c r="AJ32" s="93" t="str">
        <f t="shared" si="9"/>
        <v>25-26 Apr</v>
      </c>
      <c r="AK32" s="94">
        <f>IFERROR($M32+VLOOKUP($L32,'Voyage days'!$F$94:$H$193,3,FALSE),"")</f>
        <v>46137</v>
      </c>
      <c r="AL32" s="94">
        <f>IFERROR($N32+VLOOKUP($L32,'Voyage days'!$F$94:$H$193,3,FALSE),"")</f>
        <v>46138</v>
      </c>
      <c r="AM32" s="93" t="str">
        <f t="shared" si="10"/>
        <v>25-26 Apr</v>
      </c>
      <c r="AN32" s="94">
        <f>IFERROR($M32+VLOOKUP($L32,'Voyage days'!$F$203:$H$256,3,FALSE),"")</f>
        <v>46137</v>
      </c>
      <c r="AO32" s="94">
        <f>IFERROR($N32+VLOOKUP($L32,'Voyage days'!$F$203:$H$256,3,FALSE),"")</f>
        <v>46138</v>
      </c>
      <c r="AP32" s="93" t="str">
        <f t="shared" si="11"/>
        <v/>
      </c>
      <c r="AQ32" s="94" t="str">
        <f>IFERROR($M32+VLOOKUP($L32,'Voyage days'!$F$294:$H$377,3,FALSE),"")</f>
        <v/>
      </c>
      <c r="AR32" s="94" t="str">
        <f>IFERROR($N32+VLOOKUP($L32,'Voyage days'!$F$294:$H$377,3,FALSE),"")</f>
        <v/>
      </c>
      <c r="AS32" s="93" t="str">
        <f t="shared" si="12"/>
        <v>15-16 May</v>
      </c>
      <c r="AT32" s="94">
        <f>IFERROR($M32+VLOOKUP($L32,'Voyage days'!$F$382:$H$446,3,FALSE),"")</f>
        <v>46157</v>
      </c>
      <c r="AU32" s="94">
        <f>IFERROR($N32+VLOOKUP($L32,'Voyage days'!$F$382:$H$446,3,FALSE),"")</f>
        <v>46158</v>
      </c>
      <c r="AV32" s="93" t="str">
        <f t="shared" si="13"/>
        <v/>
      </c>
      <c r="AW32" s="94" t="str">
        <f>IFERROR($M32+VLOOKUP($L32,'Voyage days'!$F$483:$H$538,3,FALSE),"")</f>
        <v/>
      </c>
      <c r="AX32" s="94" t="str">
        <f>IFERROR($N32+VLOOKUP($L32,'Voyage days'!$F$483:$H$538,3,FALSE),"")</f>
        <v/>
      </c>
      <c r="AY32" s="93" t="str">
        <f t="shared" si="14"/>
        <v/>
      </c>
      <c r="AZ32" s="94" t="str">
        <f>IFERROR($M32+VLOOKUP($L32,'Voyage days'!$F$540:$H$613,3,FALSE),"")</f>
        <v/>
      </c>
      <c r="BA32" s="94" t="str">
        <f>IFERROR($N32+VLOOKUP($L32,'Voyage days'!$F$540:$H$613,3,FALSE),"")</f>
        <v/>
      </c>
      <c r="BB32" s="93" t="str">
        <f t="shared" si="15"/>
        <v/>
      </c>
      <c r="BC32" s="94" t="str">
        <f>IFERROR($M32+VLOOKUP($L32,'Voyage days'!$F$448:$H$479,3,FALSE),"")</f>
        <v/>
      </c>
      <c r="BD32" s="94" t="str">
        <f>IFERROR($N32+VLOOKUP($L32,'Voyage days'!$F$448:$H$479,3,FALSE),"")</f>
        <v/>
      </c>
      <c r="BE32" s="93" t="str">
        <f t="shared" si="16"/>
        <v/>
      </c>
      <c r="BF32" s="95" t="str">
        <f>IFERROR($M32+VLOOKUP($L32,'Voyage days'!$F$620:$H$646,3,FALSE),"")</f>
        <v/>
      </c>
      <c r="BG32" s="95" t="str">
        <f>IFERROR($N32+VLOOKUP($L32,'Voyage days'!$F$620:$H$646,3,FALSE),"")</f>
        <v/>
      </c>
      <c r="BH32" s="93" t="str">
        <f t="shared" si="17"/>
        <v/>
      </c>
      <c r="BI32" s="96" t="str">
        <f>IFERROR($M32+VLOOKUP($L32,'Voyage days'!$F$702:$H$727,3,FALSE),"")</f>
        <v/>
      </c>
      <c r="BJ32" s="93" t="str">
        <f t="shared" si="18"/>
        <v/>
      </c>
      <c r="BK32" s="95" t="str">
        <f>IFERROR($M32+VLOOKUP($L32,'Voyage days'!$F$807:$H$878,3,FALSE),"")</f>
        <v/>
      </c>
      <c r="BL32" s="95" t="str">
        <f>IFERROR($N32+VLOOKUP($L32,'Voyage days'!$F$807:$H$878,3,FALSE),"")</f>
        <v/>
      </c>
      <c r="BM32" s="95" t="str">
        <f>IFERROR($N32+VLOOKUP($L32,'Voyage days'!$F$807:$K$878,6,FALSE),"")</f>
        <v/>
      </c>
      <c r="BN32" s="94" t="str">
        <f>IF(L32="loads AG", IFERROR($M32+VLOOKUP($L32,'Voyage days'!$M$38:$O$38,3,FALSE),""),"")</f>
        <v/>
      </c>
      <c r="BO32" s="94">
        <f>IF(L32="loads USG", IFERROR($M32+VLOOKUP($L32,'Voyage days'!$L$203:$N$203,3,FALSE),""),"")</f>
        <v>46169</v>
      </c>
    </row>
    <row r="33" spans="1:68" ht="15.75" customHeight="1" x14ac:dyDescent="0.25">
      <c r="A33" s="240" t="s">
        <v>549</v>
      </c>
      <c r="B33" s="133">
        <v>2016</v>
      </c>
      <c r="C33" s="241">
        <v>84000</v>
      </c>
      <c r="D33" s="242"/>
      <c r="E33" s="242"/>
      <c r="F33" s="243"/>
      <c r="G33" s="243"/>
      <c r="H33" s="243"/>
      <c r="I33" s="244" t="s">
        <v>796</v>
      </c>
      <c r="J33" s="138" t="str">
        <f t="shared" si="19"/>
        <v>NO AIS</v>
      </c>
      <c r="K33" s="139"/>
      <c r="L33" s="140" t="s">
        <v>797</v>
      </c>
      <c r="M33" s="225">
        <v>46139</v>
      </c>
      <c r="N33" s="225">
        <v>46140</v>
      </c>
      <c r="O33" s="245"/>
      <c r="P33" s="246" t="s">
        <v>798</v>
      </c>
      <c r="Q33" s="247"/>
      <c r="R33" s="246" t="s">
        <v>799</v>
      </c>
      <c r="S33" s="143" t="s">
        <v>724</v>
      </c>
      <c r="T33" s="144">
        <v>46132</v>
      </c>
      <c r="U33" s="145" t="str">
        <f>IF(V33="","No AIS",VLOOKUP(V33,'Voyage days'!$A$3:$B$1480,2,FALSE))</f>
        <v>No AIS</v>
      </c>
      <c r="V33" s="146" t="str">
        <f>IF(VLOOKUP(A33,'1) Kpler'!$E$2:$P$1000,8, FALSE)="","",VLOOKUP(A33,'1) Kpler'!$E$2:$P$1000,8, FALSE))</f>
        <v/>
      </c>
      <c r="W33" s="147" t="str">
        <f>IF(VLOOKUP(A33,'1) Kpler'!$E$2:$P$1000,9,FALSE)="","",VLOOKUP(A33,'1) Kpler'!$E$2:$P$1000,9,FALSE))</f>
        <v/>
      </c>
      <c r="X33" s="146" t="str">
        <f>VLOOKUP(A33,'1) Kpler'!$E$2:$I$1000,4,FALSE)</f>
        <v>ballast</v>
      </c>
      <c r="Y33" s="148" t="str">
        <f t="shared" si="0"/>
        <v>06-07 May</v>
      </c>
      <c r="Z33" s="148" t="str">
        <f t="shared" si="1"/>
        <v>15-16 May</v>
      </c>
      <c r="AA33" s="148" t="str">
        <f t="shared" si="2"/>
        <v>18-19 May</v>
      </c>
      <c r="AB33" s="148" t="str">
        <f t="shared" si="3"/>
        <v>12-13 May</v>
      </c>
      <c r="AC33" s="148" t="str">
        <f t="shared" si="4"/>
        <v>05-06 May</v>
      </c>
      <c r="AD33" s="148" t="str">
        <f t="shared" si="5"/>
        <v/>
      </c>
      <c r="AE33" s="149" t="str">
        <f t="shared" si="6"/>
        <v/>
      </c>
      <c r="AF33" s="150" t="str">
        <f t="shared" si="7"/>
        <v>28-29 Apr</v>
      </c>
      <c r="AG33" s="93" t="str">
        <f t="shared" si="8"/>
        <v>06-07 May</v>
      </c>
      <c r="AH33" s="94">
        <f>IFERROR($M33+VLOOKUP($L33,'Voyage days'!$F$38:$H$89,3,FALSE),"")</f>
        <v>46148</v>
      </c>
      <c r="AI33" s="94">
        <f>IFERROR(N33+VLOOKUP($L33,'Voyage days'!$F$38:$H$89,3,FALSE),"")</f>
        <v>46149</v>
      </c>
      <c r="AJ33" s="93" t="str">
        <f t="shared" si="9"/>
        <v>15-16 May</v>
      </c>
      <c r="AK33" s="94">
        <f>IFERROR($M33+VLOOKUP($L33,'Voyage days'!$F$94:$H$193,3,FALSE),"")</f>
        <v>46157</v>
      </c>
      <c r="AL33" s="94">
        <f>IFERROR($N33+VLOOKUP($L33,'Voyage days'!$F$94:$H$193,3,FALSE),"")</f>
        <v>46158</v>
      </c>
      <c r="AM33" s="93" t="str">
        <f t="shared" si="10"/>
        <v>18-19 May</v>
      </c>
      <c r="AN33" s="94">
        <f>IFERROR($M33+VLOOKUP($L33,'Voyage days'!$F$203:$H$256,3,FALSE),"")</f>
        <v>46160</v>
      </c>
      <c r="AO33" s="94">
        <f>IFERROR($N33+VLOOKUP($L33,'Voyage days'!$F$203:$H$256,3,FALSE),"")</f>
        <v>46161</v>
      </c>
      <c r="AP33" s="93" t="str">
        <f t="shared" si="11"/>
        <v>12-13 May</v>
      </c>
      <c r="AQ33" s="94">
        <f>IFERROR($M33+VLOOKUP($L33,'Voyage days'!$F$294:$H$377,3,FALSE),"")</f>
        <v>46154</v>
      </c>
      <c r="AR33" s="94">
        <f>IFERROR($N33+VLOOKUP($L33,'Voyage days'!$F$294:$H$377,3,FALSE),"")</f>
        <v>46155</v>
      </c>
      <c r="AS33" s="93" t="str">
        <f t="shared" si="12"/>
        <v>05-06 May</v>
      </c>
      <c r="AT33" s="94">
        <f>IFERROR($M33+VLOOKUP($L33,'Voyage days'!$F$382:$H$446,3,FALSE),"")</f>
        <v>46147</v>
      </c>
      <c r="AU33" s="94">
        <f>IFERROR($N33+VLOOKUP($L33,'Voyage days'!$F$382:$H$446,3,FALSE),"")</f>
        <v>46148</v>
      </c>
      <c r="AV33" s="93" t="str">
        <f t="shared" si="13"/>
        <v/>
      </c>
      <c r="AW33" s="94" t="str">
        <f>IFERROR($M33+VLOOKUP($L33,'Voyage days'!$F$483:$H$538,3,FALSE),"")</f>
        <v/>
      </c>
      <c r="AX33" s="94" t="str">
        <f>IFERROR($N33+VLOOKUP($L33,'Voyage days'!$F$483:$H$538,3,FALSE),"")</f>
        <v/>
      </c>
      <c r="AY33" s="93" t="str">
        <f t="shared" si="14"/>
        <v/>
      </c>
      <c r="AZ33" s="94" t="str">
        <f>IFERROR($M33+VLOOKUP($L33,'Voyage days'!$F$540:$H$613,3,FALSE),"")</f>
        <v/>
      </c>
      <c r="BA33" s="94" t="str">
        <f>IFERROR($N33+VLOOKUP($L33,'Voyage days'!$F$540:$H$613,3,FALSE),"")</f>
        <v/>
      </c>
      <c r="BB33" s="93" t="str">
        <f t="shared" si="15"/>
        <v/>
      </c>
      <c r="BC33" s="94" t="str">
        <f>IFERROR($M33+VLOOKUP($L33,'Voyage days'!$F$448:$H$479,3,FALSE),"")</f>
        <v/>
      </c>
      <c r="BD33" s="94" t="str">
        <f>IFERROR($N33+VLOOKUP($L33,'Voyage days'!$F$448:$H$479,3,FALSE),"")</f>
        <v/>
      </c>
      <c r="BE33" s="93" t="str">
        <f t="shared" si="16"/>
        <v/>
      </c>
      <c r="BF33" s="95" t="str">
        <f>IFERROR($M33+VLOOKUP($L33,'Voyage days'!$F$620:$H$646,3,FALSE),"")</f>
        <v/>
      </c>
      <c r="BG33" s="95" t="str">
        <f>IFERROR($N33+VLOOKUP($L33,'Voyage days'!$F$620:$H$646,3,FALSE),"")</f>
        <v/>
      </c>
      <c r="BH33" s="93" t="str">
        <f t="shared" si="17"/>
        <v/>
      </c>
      <c r="BI33" s="96" t="str">
        <f>IFERROR($M33+VLOOKUP($L33,'Voyage days'!$F$702:$H$727,3,FALSE),"")</f>
        <v/>
      </c>
      <c r="BJ33" s="93" t="str">
        <f t="shared" si="18"/>
        <v>28-29 Apr</v>
      </c>
      <c r="BK33" s="95">
        <f>IFERROR($M33+VLOOKUP($L33,'Voyage days'!$F$807:$H$878,3,FALSE),"")</f>
        <v>46140.5</v>
      </c>
      <c r="BL33" s="95">
        <f>IFERROR($N33+VLOOKUP($L33,'Voyage days'!$F$807:$H$878,3,FALSE),"")</f>
        <v>46141.5</v>
      </c>
      <c r="BM33" s="95">
        <f>IFERROR($N33+VLOOKUP($L33,'Voyage days'!$F$807:$K$878,6,FALSE),"")</f>
        <v>46140</v>
      </c>
      <c r="BN33" s="94" t="str">
        <f>IF(L33="loads AG", IFERROR($M33+VLOOKUP($L33,'Voyage days'!$M$38:$O$38,3,FALSE),""),"")</f>
        <v/>
      </c>
      <c r="BO33" s="94" t="str">
        <f>IF(L33="loads USG", IFERROR($M33+VLOOKUP($L33,'Voyage days'!$L$203:$N$203,3,FALSE),""),"")</f>
        <v/>
      </c>
      <c r="BP33" s="248"/>
    </row>
    <row r="34" spans="1:68" x14ac:dyDescent="0.25">
      <c r="A34" s="97" t="s">
        <v>60</v>
      </c>
      <c r="B34" s="75">
        <v>41094</v>
      </c>
      <c r="C34" s="76">
        <v>83000</v>
      </c>
      <c r="D34" s="120"/>
      <c r="E34" s="120"/>
      <c r="F34" s="121"/>
      <c r="G34" s="121"/>
      <c r="H34" s="121"/>
      <c r="I34" s="249" t="s">
        <v>800</v>
      </c>
      <c r="J34" s="122" t="str">
        <f t="shared" si="19"/>
        <v/>
      </c>
      <c r="K34" s="123"/>
      <c r="L34" s="250" t="s">
        <v>718</v>
      </c>
      <c r="M34" s="222">
        <v>46154</v>
      </c>
      <c r="N34" s="222">
        <v>46155</v>
      </c>
      <c r="O34" s="126"/>
      <c r="P34" s="121" t="s">
        <v>801</v>
      </c>
      <c r="Q34" s="100"/>
      <c r="R34" s="100" t="s">
        <v>802</v>
      </c>
      <c r="S34" s="184" t="s">
        <v>724</v>
      </c>
      <c r="T34" s="232">
        <v>46132</v>
      </c>
      <c r="U34" s="87" t="str">
        <f>IF(V34="","No AIS",VLOOKUP(V34,'Voyage days'!$A$3:$B$1480,2,FALSE))</f>
        <v>USG</v>
      </c>
      <c r="V34" s="87" t="str">
        <f>IF(VLOOKUP(A34,'1) Kpler'!$E$2:$P$1000,8, FALSE)="","",VLOOKUP(A34,'1) Kpler'!$E$2:$P$1000,8, FALSE))</f>
        <v>Freeport Texas</v>
      </c>
      <c r="W34" s="128">
        <f>IF(VLOOKUP(A34,'1) Kpler'!$E$2:$P$1000,9,FALSE)="","",VLOOKUP(A34,'1) Kpler'!$E$2:$P$1000,9,FALSE))</f>
        <v>46154.645833333336</v>
      </c>
      <c r="X34" s="87" t="str">
        <f>VLOOKUP(A34,'1) Kpler'!$E$2:$I$1000,4,FALSE)</f>
        <v>ballast</v>
      </c>
      <c r="Y34" s="219" t="str">
        <f t="shared" si="0"/>
        <v/>
      </c>
      <c r="Z34" s="219" t="str">
        <f t="shared" si="1"/>
        <v>12-13 May</v>
      </c>
      <c r="AA34" s="219" t="str">
        <f t="shared" si="2"/>
        <v>12-13 May</v>
      </c>
      <c r="AB34" s="219" t="str">
        <f t="shared" si="3"/>
        <v/>
      </c>
      <c r="AC34" s="219" t="str">
        <f t="shared" si="4"/>
        <v>01-02 Jun</v>
      </c>
      <c r="AD34" s="219" t="str">
        <f t="shared" si="5"/>
        <v/>
      </c>
      <c r="AE34" s="220" t="str">
        <f t="shared" si="6"/>
        <v/>
      </c>
      <c r="AF34" s="130" t="str">
        <f t="shared" si="7"/>
        <v/>
      </c>
      <c r="AG34" s="131" t="str">
        <f t="shared" si="8"/>
        <v/>
      </c>
      <c r="AH34" s="95" t="str">
        <f>IFERROR($M34+VLOOKUP($L34,'Voyage days'!$F$38:$H$89,3,FALSE),"")</f>
        <v/>
      </c>
      <c r="AI34" s="95" t="str">
        <f>IFERROR(N34+VLOOKUP($L34,'Voyage days'!$F$38:$H$89,3,FALSE),"")</f>
        <v/>
      </c>
      <c r="AJ34" s="131" t="str">
        <f t="shared" si="9"/>
        <v>12-13 May</v>
      </c>
      <c r="AK34" s="95">
        <f>IFERROR($M34+VLOOKUP($L34,'Voyage days'!$F$94:$H$193,3,FALSE),"")</f>
        <v>46154</v>
      </c>
      <c r="AL34" s="95">
        <f>IFERROR($N34+VLOOKUP($L34,'Voyage days'!$F$94:$H$193,3,FALSE),"")</f>
        <v>46155</v>
      </c>
      <c r="AM34" s="131" t="str">
        <f t="shared" si="10"/>
        <v>12-13 May</v>
      </c>
      <c r="AN34" s="95">
        <f>IFERROR($M34+VLOOKUP($L34,'Voyage days'!$F$203:$H$256,3,FALSE),"")</f>
        <v>46154</v>
      </c>
      <c r="AO34" s="95">
        <f>IFERROR($N34+VLOOKUP($L34,'Voyage days'!$F$203:$H$256,3,FALSE),"")</f>
        <v>46155</v>
      </c>
      <c r="AP34" s="131" t="str">
        <f t="shared" si="11"/>
        <v/>
      </c>
      <c r="AQ34" s="95" t="str">
        <f>IFERROR($M34+VLOOKUP($L34,'Voyage days'!$F$294:$H$377,3,FALSE),"")</f>
        <v/>
      </c>
      <c r="AR34" s="95" t="str">
        <f>IFERROR($N34+VLOOKUP($L34,'Voyage days'!$F$294:$H$377,3,FALSE),"")</f>
        <v/>
      </c>
      <c r="AS34" s="131" t="str">
        <f t="shared" si="12"/>
        <v>01-02 Jun</v>
      </c>
      <c r="AT34" s="95">
        <f>IFERROR($M34+VLOOKUP($L34,'Voyage days'!$F$382:$H$446,3,FALSE),"")</f>
        <v>46174</v>
      </c>
      <c r="AU34" s="95">
        <f>IFERROR($N34+VLOOKUP($L34,'Voyage days'!$F$382:$H$446,3,FALSE),"")</f>
        <v>46175</v>
      </c>
      <c r="AV34" s="131" t="str">
        <f t="shared" si="13"/>
        <v/>
      </c>
      <c r="AW34" s="95" t="str">
        <f>IFERROR($M34+VLOOKUP($L34,'Voyage days'!$F$483:$H$538,3,FALSE),"")</f>
        <v/>
      </c>
      <c r="AX34" s="95" t="str">
        <f>IFERROR($N34+VLOOKUP($L34,'Voyage days'!$F$483:$H$538,3,FALSE),"")</f>
        <v/>
      </c>
      <c r="AY34" s="131" t="str">
        <f t="shared" si="14"/>
        <v/>
      </c>
      <c r="AZ34" s="95" t="str">
        <f>IFERROR($M34+VLOOKUP($L34,'Voyage days'!$F$540:$H$613,3,FALSE),"")</f>
        <v/>
      </c>
      <c r="BA34" s="95" t="str">
        <f>IFERROR($N34+VLOOKUP($L34,'Voyage days'!$F$540:$H$613,3,FALSE),"")</f>
        <v/>
      </c>
      <c r="BB34" s="131" t="str">
        <f t="shared" si="15"/>
        <v/>
      </c>
      <c r="BC34" s="95" t="str">
        <f>IFERROR($M34+VLOOKUP($L34,'Voyage days'!$F$448:$H$479,3,FALSE),"")</f>
        <v/>
      </c>
      <c r="BD34" s="95" t="str">
        <f>IFERROR($N34+VLOOKUP($L34,'Voyage days'!$F$448:$H$479,3,FALSE),"")</f>
        <v/>
      </c>
      <c r="BE34" s="131" t="str">
        <f t="shared" si="16"/>
        <v/>
      </c>
      <c r="BF34" s="95" t="str">
        <f>IFERROR($M34+VLOOKUP($L34,'Voyage days'!$F$620:$H$646,3,FALSE),"")</f>
        <v/>
      </c>
      <c r="BG34" s="95" t="str">
        <f>IFERROR($N34+VLOOKUP($L34,'Voyage days'!$F$620:$H$646,3,FALSE),"")</f>
        <v/>
      </c>
      <c r="BH34" s="131" t="str">
        <f t="shared" si="17"/>
        <v/>
      </c>
      <c r="BI34" s="96" t="str">
        <f>IFERROR($M34+VLOOKUP($L34,'Voyage days'!$F$702:$H$727,3,FALSE),"")</f>
        <v/>
      </c>
      <c r="BJ34" s="131" t="str">
        <f t="shared" si="18"/>
        <v/>
      </c>
      <c r="BK34" s="95" t="str">
        <f>IFERROR($M34+VLOOKUP($L34,'Voyage days'!$F$807:$H$878,3,FALSE),"")</f>
        <v/>
      </c>
      <c r="BL34" s="95" t="str">
        <f>IFERROR($N34+VLOOKUP($L34,'Voyage days'!$F$807:$H$878,3,FALSE),"")</f>
        <v/>
      </c>
      <c r="BM34" s="95" t="str">
        <f>IFERROR($N34+VLOOKUP($L34,'Voyage days'!$F$807:$K$878,6,FALSE),"")</f>
        <v/>
      </c>
      <c r="BN34" s="95" t="str">
        <f>IF(L34="loads AG", IFERROR($M34+VLOOKUP($L34,'Voyage days'!$M$38:$O$38,3,FALSE),""),"")</f>
        <v/>
      </c>
      <c r="BO34" s="95">
        <f>IF(L34="loads USG", IFERROR($M34+VLOOKUP($L34,'Voyage days'!$L$203:$N$203,3,FALSE),""),"")</f>
        <v>46186</v>
      </c>
    </row>
    <row r="35" spans="1:68" x14ac:dyDescent="0.25">
      <c r="A35" s="132" t="s">
        <v>803</v>
      </c>
      <c r="B35" s="176">
        <v>42551</v>
      </c>
      <c r="C35" s="134">
        <v>84143</v>
      </c>
      <c r="D35" s="143"/>
      <c r="E35" s="143"/>
      <c r="F35" s="136"/>
      <c r="G35" s="136"/>
      <c r="H35" s="136" t="s">
        <v>713</v>
      </c>
      <c r="I35" s="177" t="s">
        <v>800</v>
      </c>
      <c r="J35" s="138" t="str">
        <f t="shared" si="19"/>
        <v>Update</v>
      </c>
      <c r="K35" s="139"/>
      <c r="L35" s="251" t="s">
        <v>710</v>
      </c>
      <c r="M35" s="225">
        <v>46132</v>
      </c>
      <c r="N35" s="225">
        <v>46133</v>
      </c>
      <c r="O35" s="142" t="s">
        <v>726</v>
      </c>
      <c r="P35" s="247" t="s">
        <v>804</v>
      </c>
      <c r="Q35" s="247"/>
      <c r="R35" s="247" t="s">
        <v>805</v>
      </c>
      <c r="S35" s="143" t="s">
        <v>724</v>
      </c>
      <c r="T35" s="144">
        <v>46132</v>
      </c>
      <c r="U35" s="145" t="str">
        <f>IF(V35="","No AIS",VLOOKUP(V35,'Voyage days'!$A$3:$B$1480,2,FALSE))</f>
        <v>Panama</v>
      </c>
      <c r="V35" s="146" t="str">
        <f>IF(VLOOKUP(A35,'1) Kpler'!$E$2:$P$1000,8, FALSE)="","",VLOOKUP(A35,'1) Kpler'!$E$2:$P$1000,8, FALSE))</f>
        <v>Panama Canal</v>
      </c>
      <c r="W35" s="147">
        <f>IF(VLOOKUP(A35,'1) Kpler'!$E$2:$P$1000,9,FALSE)="","",VLOOKUP(A35,'1) Kpler'!$E$2:$P$1000,9,FALSE))</f>
        <v>46156.833333333336</v>
      </c>
      <c r="X35" s="146" t="str">
        <f>VLOOKUP(A35,'1) Kpler'!$E$2:$I$1000,4,FALSE)</f>
        <v>ballast</v>
      </c>
      <c r="Y35" s="93" t="str">
        <f t="shared" si="0"/>
        <v>07-08 May</v>
      </c>
      <c r="Z35" s="93" t="str">
        <f t="shared" si="1"/>
        <v>22-23 May</v>
      </c>
      <c r="AA35" s="93" t="str">
        <f t="shared" si="2"/>
        <v>03-04 Jun</v>
      </c>
      <c r="AB35" s="93" t="str">
        <f t="shared" si="3"/>
        <v>18-19 May</v>
      </c>
      <c r="AC35" s="93" t="str">
        <f t="shared" si="4"/>
        <v>25-26 May</v>
      </c>
      <c r="AD35" s="93" t="str">
        <f t="shared" si="5"/>
        <v>26-27 Apr</v>
      </c>
      <c r="AE35" s="179" t="str">
        <f t="shared" si="6"/>
        <v>27-28 Apr</v>
      </c>
      <c r="AF35" s="180" t="str">
        <f t="shared" si="7"/>
        <v>03-04 Jun</v>
      </c>
      <c r="AG35" s="93" t="str">
        <f t="shared" si="8"/>
        <v>07-08 May</v>
      </c>
      <c r="AH35" s="94">
        <f>IFERROR($M35+VLOOKUP($L35,'Voyage days'!$F$38:$H$89,3,FALSE),"")</f>
        <v>46149</v>
      </c>
      <c r="AI35" s="94">
        <f>IFERROR(N35+VLOOKUP($L35,'Voyage days'!$F$38:$H$89,3,FALSE),"")</f>
        <v>46150</v>
      </c>
      <c r="AJ35" s="93" t="str">
        <f t="shared" si="9"/>
        <v>22-23 May</v>
      </c>
      <c r="AK35" s="94">
        <f>IFERROR($M35+VLOOKUP($L35,'Voyage days'!$F$94:$H$193,3,FALSE),"")</f>
        <v>46164</v>
      </c>
      <c r="AL35" s="94">
        <f>IFERROR($N35+VLOOKUP($L35,'Voyage days'!$F$94:$H$193,3,FALSE),"")</f>
        <v>46165</v>
      </c>
      <c r="AM35" s="93" t="str">
        <f t="shared" si="10"/>
        <v>03-04 Jun</v>
      </c>
      <c r="AN35" s="94">
        <f>IFERROR($M35+VLOOKUP($L35,'Voyage days'!$F$203:$H$256,3,FALSE),"")</f>
        <v>46176</v>
      </c>
      <c r="AO35" s="94">
        <f>IFERROR($N35+VLOOKUP($L35,'Voyage days'!$F$203:$H$256,3,FALSE),"")</f>
        <v>46177</v>
      </c>
      <c r="AP35" s="93" t="str">
        <f t="shared" si="11"/>
        <v>18-19 May</v>
      </c>
      <c r="AQ35" s="94">
        <f>IFERROR($M35+VLOOKUP($L35,'Voyage days'!$F$294:$H$377,3,FALSE),"")</f>
        <v>46160</v>
      </c>
      <c r="AR35" s="94">
        <f>IFERROR($N35+VLOOKUP($L35,'Voyage days'!$F$294:$H$377,3,FALSE),"")</f>
        <v>46161</v>
      </c>
      <c r="AS35" s="93" t="str">
        <f t="shared" si="12"/>
        <v>25-26 May</v>
      </c>
      <c r="AT35" s="94">
        <f>IFERROR($M35+VLOOKUP($L35,'Voyage days'!$F$382:$H$446,3,FALSE),"")</f>
        <v>46167</v>
      </c>
      <c r="AU35" s="94">
        <f>IFERROR($N35+VLOOKUP($L35,'Voyage days'!$F$382:$H$446,3,FALSE),"")</f>
        <v>46168</v>
      </c>
      <c r="AV35" s="93" t="str">
        <f t="shared" si="13"/>
        <v>04-05 May</v>
      </c>
      <c r="AW35" s="94">
        <f>IFERROR($M35+VLOOKUP($L35,'Voyage days'!$F$483:$H$538,3,FALSE),"")</f>
        <v>46146</v>
      </c>
      <c r="AX35" s="94">
        <f>IFERROR($N35+VLOOKUP($L35,'Voyage days'!$F$483:$H$538,3,FALSE),"")</f>
        <v>46147</v>
      </c>
      <c r="AY35" s="93" t="str">
        <f t="shared" si="14"/>
        <v>27-28 Apr</v>
      </c>
      <c r="AZ35" s="94">
        <f>IFERROR($M35+VLOOKUP($L35,'Voyage days'!$F$540:$H$613,3,FALSE),"")</f>
        <v>46139.25</v>
      </c>
      <c r="BA35" s="94">
        <f>IFERROR($N35+VLOOKUP($L35,'Voyage days'!$F$540:$H$613,3,FALSE),"")</f>
        <v>46140.25</v>
      </c>
      <c r="BB35" s="93" t="str">
        <f t="shared" si="15"/>
        <v>26-27 Apr</v>
      </c>
      <c r="BC35" s="94">
        <f>IFERROR($M35+VLOOKUP($L35,'Voyage days'!$F$448:$H$479,3,FALSE),"")</f>
        <v>46138</v>
      </c>
      <c r="BD35" s="94">
        <f>IFERROR($N35+VLOOKUP($L35,'Voyage days'!$F$448:$H$479,3,FALSE),"")</f>
        <v>46139</v>
      </c>
      <c r="BE35" s="93" t="str">
        <f t="shared" si="16"/>
        <v>03-04 May</v>
      </c>
      <c r="BF35" s="95">
        <f>IFERROR($M35+VLOOKUP($L35,'Voyage days'!$F$620:$H$646,3,FALSE),"")</f>
        <v>46145</v>
      </c>
      <c r="BG35" s="95">
        <f>IFERROR($N35+VLOOKUP($L35,'Voyage days'!$F$620:$H$646,3,FALSE),"")</f>
        <v>46146</v>
      </c>
      <c r="BH35" s="93" t="str">
        <f t="shared" si="17"/>
        <v>27-04 Jun</v>
      </c>
      <c r="BI35" s="96">
        <f>IFERROR($M35+VLOOKUP($L35,'Voyage days'!$F$702:$H$727,3,FALSE),"")</f>
        <v>46139.25</v>
      </c>
      <c r="BJ35" s="93" t="str">
        <f t="shared" si="18"/>
        <v>03-04 Jun</v>
      </c>
      <c r="BK35" s="95">
        <f>IFERROR($M35+VLOOKUP($L35,'Voyage days'!$F$807:$H$878,3,FALSE),"")</f>
        <v>46176</v>
      </c>
      <c r="BL35" s="95">
        <f>IFERROR($N35+VLOOKUP($L35,'Voyage days'!$F$807:$H$878,3,FALSE),"")</f>
        <v>46177</v>
      </c>
      <c r="BM35" s="95">
        <f>IFERROR($N35+VLOOKUP($L35,'Voyage days'!$F$807:$K$878,6,FALSE),"")</f>
        <v>46151</v>
      </c>
      <c r="BN35" s="94" t="str">
        <f>IF(L35="loads AG", IFERROR($M35+VLOOKUP($L35,'Voyage days'!$M$38:$O$38,3,FALSE),""),"")</f>
        <v/>
      </c>
      <c r="BO35" s="94" t="str">
        <f>IF(L35="loads USG", IFERROR($M35+VLOOKUP($L35,'Voyage days'!$L$203:$N$203,3,FALSE),""),"")</f>
        <v/>
      </c>
      <c r="BP35" s="248"/>
    </row>
    <row r="36" spans="1:68" ht="15.75" customHeight="1" x14ac:dyDescent="0.25">
      <c r="A36" s="97" t="s">
        <v>340</v>
      </c>
      <c r="B36" s="119">
        <v>2017</v>
      </c>
      <c r="C36" s="76">
        <v>84000</v>
      </c>
      <c r="D36" s="120"/>
      <c r="E36" s="120"/>
      <c r="F36" s="121"/>
      <c r="G36" s="121"/>
      <c r="H36" s="121"/>
      <c r="I36" s="249" t="s">
        <v>806</v>
      </c>
      <c r="J36" s="122" t="str">
        <f t="shared" si="19"/>
        <v>NO AIS</v>
      </c>
      <c r="K36" s="123"/>
      <c r="L36" s="124" t="s">
        <v>734</v>
      </c>
      <c r="M36" s="222">
        <v>46135</v>
      </c>
      <c r="N36" s="222">
        <v>46136</v>
      </c>
      <c r="O36" s="190" t="s">
        <v>807</v>
      </c>
      <c r="P36" s="186" t="s">
        <v>808</v>
      </c>
      <c r="Q36" s="252"/>
      <c r="R36" s="100" t="s">
        <v>809</v>
      </c>
      <c r="S36" s="253" t="s">
        <v>724</v>
      </c>
      <c r="T36" s="232">
        <v>46132</v>
      </c>
      <c r="U36" s="87" t="str">
        <f>IF(V36="","No AIS",VLOOKUP(V36,'Voyage days'!$A$3:$B$1480,2,FALSE))</f>
        <v>No AIS</v>
      </c>
      <c r="V36" s="87" t="str">
        <f>IF(VLOOKUP(A36,'1) Kpler'!$E$2:$P$1000,8, FALSE)="","",VLOOKUP(A36,'1) Kpler'!$E$2:$P$1000,8, FALSE))</f>
        <v/>
      </c>
      <c r="W36" s="128" t="str">
        <f>IF(VLOOKUP(A36,'1) Kpler'!$E$2:$P$1000,9,FALSE)="","",VLOOKUP(A36,'1) Kpler'!$E$2:$P$1000,9,FALSE))</f>
        <v/>
      </c>
      <c r="X36" s="87" t="str">
        <f>VLOOKUP(A36,'1) Kpler'!$E$2:$I$1000,4,FALSE)</f>
        <v>open</v>
      </c>
      <c r="Y36" s="219" t="str">
        <f t="shared" si="0"/>
        <v>04-05 May</v>
      </c>
      <c r="Z36" s="219" t="str">
        <f t="shared" si="1"/>
        <v>31-01 Jun</v>
      </c>
      <c r="AA36" s="219" t="str">
        <f t="shared" si="2"/>
        <v>30-31 May</v>
      </c>
      <c r="AB36" s="219" t="str">
        <f t="shared" si="3"/>
        <v>13-14 May</v>
      </c>
      <c r="AC36" s="219" t="str">
        <f t="shared" si="4"/>
        <v>22-23 May</v>
      </c>
      <c r="AD36" s="219" t="str">
        <f t="shared" si="5"/>
        <v>26-27 Apr</v>
      </c>
      <c r="AE36" s="220" t="str">
        <f t="shared" si="6"/>
        <v>27-28 Apr</v>
      </c>
      <c r="AF36" s="130" t="str">
        <f t="shared" si="7"/>
        <v>30-31 May</v>
      </c>
      <c r="AG36" s="131" t="str">
        <f t="shared" si="8"/>
        <v>04-05 May</v>
      </c>
      <c r="AH36" s="95">
        <f>IFERROR($M36+VLOOKUP($L36,'Voyage days'!$F$38:$H$89,3,FALSE),"")</f>
        <v>46146</v>
      </c>
      <c r="AI36" s="95">
        <f>IFERROR(N36+VLOOKUP($L36,'Voyage days'!$F$38:$H$89,3,FALSE),"")</f>
        <v>46147</v>
      </c>
      <c r="AJ36" s="131" t="str">
        <f t="shared" si="9"/>
        <v>31-01 Jun</v>
      </c>
      <c r="AK36" s="95">
        <f>IFERROR($M36+VLOOKUP($L36,'Voyage days'!$F$94:$H$193,3,FALSE),"")</f>
        <v>46173</v>
      </c>
      <c r="AL36" s="95">
        <f>IFERROR($N36+VLOOKUP($L36,'Voyage days'!$F$94:$H$193,3,FALSE),"")</f>
        <v>46174</v>
      </c>
      <c r="AM36" s="131" t="str">
        <f t="shared" si="10"/>
        <v>30-31 May</v>
      </c>
      <c r="AN36" s="95">
        <f>IFERROR($M36+VLOOKUP($L36,'Voyage days'!$F$203:$H$256,3,FALSE),"")</f>
        <v>46172</v>
      </c>
      <c r="AO36" s="95">
        <f>IFERROR($N36+VLOOKUP($L36,'Voyage days'!$F$203:$H$256,3,FALSE),"")</f>
        <v>46173</v>
      </c>
      <c r="AP36" s="131" t="str">
        <f t="shared" si="11"/>
        <v>13-14 May</v>
      </c>
      <c r="AQ36" s="95">
        <f>IFERROR($M36+VLOOKUP($L36,'Voyage days'!$F$294:$H$377,3,FALSE),"")</f>
        <v>46155</v>
      </c>
      <c r="AR36" s="95">
        <f>IFERROR($N36+VLOOKUP($L36,'Voyage days'!$F$294:$H$377,3,FALSE),"")</f>
        <v>46156</v>
      </c>
      <c r="AS36" s="131" t="str">
        <f t="shared" si="12"/>
        <v>22-23 May</v>
      </c>
      <c r="AT36" s="95">
        <f>IFERROR($M36+VLOOKUP($L36,'Voyage days'!$F$382:$H$446,3,FALSE),"")</f>
        <v>46164</v>
      </c>
      <c r="AU36" s="95">
        <f>IFERROR($N36+VLOOKUP($L36,'Voyage days'!$F$382:$H$446,3,FALSE),"")</f>
        <v>46165</v>
      </c>
      <c r="AV36" s="131" t="str">
        <f t="shared" si="13"/>
        <v>02-03 May</v>
      </c>
      <c r="AW36" s="95">
        <f>IFERROR($M36+VLOOKUP($L36,'Voyage days'!$F$483:$H$538,3,FALSE),"")</f>
        <v>46144</v>
      </c>
      <c r="AX36" s="95">
        <f>IFERROR($N36+VLOOKUP($L36,'Voyage days'!$F$483:$H$538,3,FALSE),"")</f>
        <v>46145</v>
      </c>
      <c r="AY36" s="131" t="str">
        <f t="shared" si="14"/>
        <v>27-28 Apr</v>
      </c>
      <c r="AZ36" s="95">
        <f>IFERROR($M36+VLOOKUP($L36,'Voyage days'!$F$540:$H$613,3,FALSE),"")</f>
        <v>46139</v>
      </c>
      <c r="BA36" s="95">
        <f>IFERROR($N36+VLOOKUP($L36,'Voyage days'!$F$540:$H$613,3,FALSE),"")</f>
        <v>46140</v>
      </c>
      <c r="BB36" s="131" t="str">
        <f t="shared" si="15"/>
        <v>26-27 Apr</v>
      </c>
      <c r="BC36" s="95">
        <f>IFERROR($M36+VLOOKUP($L36,'Voyage days'!$F$448:$H$479,3,FALSE),"")</f>
        <v>46138</v>
      </c>
      <c r="BD36" s="95">
        <f>IFERROR($N36+VLOOKUP($L36,'Voyage days'!$F$448:$H$479,3,FALSE),"")</f>
        <v>46139</v>
      </c>
      <c r="BE36" s="131" t="str">
        <f t="shared" si="16"/>
        <v/>
      </c>
      <c r="BF36" s="95" t="str">
        <f>IFERROR($M36+VLOOKUP($L36,'Voyage days'!$F$620:$H$646,3,FALSE),"")</f>
        <v/>
      </c>
      <c r="BG36" s="95" t="str">
        <f>IFERROR($N36+VLOOKUP($L36,'Voyage days'!$F$620:$H$646,3,FALSE),"")</f>
        <v/>
      </c>
      <c r="BH36" s="131" t="str">
        <f t="shared" si="17"/>
        <v>01-31 May</v>
      </c>
      <c r="BI36" s="96">
        <f>IFERROR($M36+VLOOKUP($L36,'Voyage days'!$F$702:$H$727,3,FALSE),"")</f>
        <v>46143</v>
      </c>
      <c r="BJ36" s="131" t="str">
        <f t="shared" si="18"/>
        <v>30-31 May</v>
      </c>
      <c r="BK36" s="95">
        <f>IFERROR($M36+VLOOKUP($L36,'Voyage days'!$F$807:$H$878,3,FALSE),"")</f>
        <v>46172</v>
      </c>
      <c r="BL36" s="95">
        <f>IFERROR($N36+VLOOKUP($L36,'Voyage days'!$F$807:$H$878,3,FALSE),"")</f>
        <v>46173</v>
      </c>
      <c r="BM36" s="95">
        <f>IFERROR($N36+VLOOKUP($L36,'Voyage days'!$F$807:$K$878,6,FALSE),"")</f>
        <v>46149</v>
      </c>
      <c r="BN36" s="95" t="str">
        <f>IF(L36="loads AG", IFERROR($M36+VLOOKUP($L36,'Voyage days'!$M$38:$O$38,3,FALSE),""),"")</f>
        <v/>
      </c>
      <c r="BO36" s="95" t="str">
        <f>IF(L36="loads USG", IFERROR($M36+VLOOKUP($L36,'Voyage days'!$L$203:$N$203,3,FALSE),""),"")</f>
        <v/>
      </c>
    </row>
    <row r="37" spans="1:68" ht="15.75" customHeight="1" x14ac:dyDescent="0.25">
      <c r="A37" s="132" t="s">
        <v>610</v>
      </c>
      <c r="B37" s="133">
        <v>2013</v>
      </c>
      <c r="C37" s="134">
        <v>82000</v>
      </c>
      <c r="D37" s="143"/>
      <c r="E37" s="143"/>
      <c r="F37" s="136"/>
      <c r="G37" s="136"/>
      <c r="H37" s="136" t="s">
        <v>739</v>
      </c>
      <c r="I37" s="177" t="s">
        <v>806</v>
      </c>
      <c r="J37" s="138" t="str">
        <f t="shared" si="19"/>
        <v/>
      </c>
      <c r="K37" s="254"/>
      <c r="L37" s="227" t="s">
        <v>810</v>
      </c>
      <c r="M37" s="225">
        <v>46134</v>
      </c>
      <c r="N37" s="141">
        <v>46137</v>
      </c>
      <c r="O37" s="255"/>
      <c r="P37" s="247" t="s">
        <v>811</v>
      </c>
      <c r="Q37" s="256"/>
      <c r="R37" s="227" t="s">
        <v>812</v>
      </c>
      <c r="S37" s="257" t="s">
        <v>724</v>
      </c>
      <c r="T37" s="144">
        <v>46132</v>
      </c>
      <c r="U37" s="145" t="str">
        <f>IF(V37="","No AIS",VLOOKUP(V37,'Voyage days'!$A$3:$B$1480,2,FALSE))</f>
        <v>WAF</v>
      </c>
      <c r="V37" s="146" t="str">
        <f>IF(VLOOKUP(A37,'1) Kpler'!$E$2:$P$1000,8, FALSE)="","",VLOOKUP(A37,'1) Kpler'!$E$2:$P$1000,8, FALSE))</f>
        <v>Soyo</v>
      </c>
      <c r="W37" s="147">
        <f>IF(VLOOKUP(A37,'1) Kpler'!$E$2:$P$1000,9,FALSE)="","",VLOOKUP(A37,'1) Kpler'!$E$2:$P$1000,9,FALSE))</f>
        <v>46134.583333333336</v>
      </c>
      <c r="X37" s="146" t="str">
        <f>VLOOKUP(A37,'1) Kpler'!$E$2:$I$1000,4,FALSE)</f>
        <v>ballast</v>
      </c>
      <c r="Y37" s="148" t="str">
        <f t="shared" si="0"/>
        <v/>
      </c>
      <c r="Z37" s="148" t="str">
        <f t="shared" si="1"/>
        <v/>
      </c>
      <c r="AA37" s="148" t="str">
        <f t="shared" si="2"/>
        <v/>
      </c>
      <c r="AB37" s="148" t="str">
        <f t="shared" si="3"/>
        <v>22-25 Apr</v>
      </c>
      <c r="AC37" s="148" t="str">
        <f t="shared" si="4"/>
        <v/>
      </c>
      <c r="AD37" s="148" t="str">
        <f t="shared" si="5"/>
        <v/>
      </c>
      <c r="AE37" s="149" t="str">
        <f t="shared" si="6"/>
        <v/>
      </c>
      <c r="AF37" s="150" t="str">
        <f t="shared" si="7"/>
        <v/>
      </c>
      <c r="AG37" s="93" t="str">
        <f t="shared" si="8"/>
        <v/>
      </c>
      <c r="AH37" s="94" t="str">
        <f>IFERROR($M37+VLOOKUP($L37,'Voyage days'!$F$38:$H$89,3,FALSE),"")</f>
        <v/>
      </c>
      <c r="AI37" s="94" t="str">
        <f>IFERROR(N37+VLOOKUP($L37,'Voyage days'!$F$38:$H$89,3,FALSE),"")</f>
        <v/>
      </c>
      <c r="AJ37" s="93" t="str">
        <f t="shared" si="9"/>
        <v/>
      </c>
      <c r="AK37" s="94" t="str">
        <f>IFERROR($M37+VLOOKUP($L37,'Voyage days'!$F$94:$H$193,3,FALSE),"")</f>
        <v/>
      </c>
      <c r="AL37" s="94" t="str">
        <f>IFERROR($N37+VLOOKUP($L37,'Voyage days'!$F$94:$H$193,3,FALSE),"")</f>
        <v/>
      </c>
      <c r="AM37" s="93" t="str">
        <f t="shared" si="10"/>
        <v/>
      </c>
      <c r="AN37" s="94" t="str">
        <f>IFERROR($M37+VLOOKUP($L37,'Voyage days'!$F$203:$H$256,3,FALSE),"")</f>
        <v/>
      </c>
      <c r="AO37" s="94" t="str">
        <f>IFERROR($N37+VLOOKUP($L37,'Voyage days'!$F$203:$H$256,3,FALSE),"")</f>
        <v/>
      </c>
      <c r="AP37" s="93" t="str">
        <f t="shared" si="11"/>
        <v>22-25 Apr</v>
      </c>
      <c r="AQ37" s="94">
        <f>IFERROR($M37+VLOOKUP($L37,'Voyage days'!$F$294:$H$377,3,FALSE),"")</f>
        <v>46134</v>
      </c>
      <c r="AR37" s="94">
        <f>IFERROR($N37+VLOOKUP($L37,'Voyage days'!$F$294:$H$377,3,FALSE),"")</f>
        <v>46137</v>
      </c>
      <c r="AS37" s="93" t="str">
        <f t="shared" si="12"/>
        <v/>
      </c>
      <c r="AT37" s="94" t="str">
        <f>IFERROR($M37+VLOOKUP($L37,'Voyage days'!$F$382:$H$446,3,FALSE),"")</f>
        <v/>
      </c>
      <c r="AU37" s="94" t="str">
        <f>IFERROR($N37+VLOOKUP($L37,'Voyage days'!$F$382:$H$446,3,FALSE),"")</f>
        <v/>
      </c>
      <c r="AV37" s="93" t="str">
        <f t="shared" si="13"/>
        <v/>
      </c>
      <c r="AW37" s="94" t="str">
        <f>IFERROR($M37+VLOOKUP($L37,'Voyage days'!$F$483:$H$538,3,FALSE),"")</f>
        <v/>
      </c>
      <c r="AX37" s="94" t="str">
        <f>IFERROR($N37+VLOOKUP($L37,'Voyage days'!$F$483:$H$538,3,FALSE),"")</f>
        <v/>
      </c>
      <c r="AY37" s="93" t="str">
        <f t="shared" si="14"/>
        <v/>
      </c>
      <c r="AZ37" s="94" t="str">
        <f>IFERROR($M37+VLOOKUP($L37,'Voyage days'!$F$540:$H$613,3,FALSE),"")</f>
        <v/>
      </c>
      <c r="BA37" s="94" t="str">
        <f>IFERROR($N37+VLOOKUP($L37,'Voyage days'!$F$540:$H$613,3,FALSE),"")</f>
        <v/>
      </c>
      <c r="BB37" s="93" t="str">
        <f t="shared" si="15"/>
        <v/>
      </c>
      <c r="BC37" s="94" t="str">
        <f>IFERROR($M37+VLOOKUP($L37,'Voyage days'!$F$448:$H$479,3,FALSE),"")</f>
        <v/>
      </c>
      <c r="BD37" s="94" t="str">
        <f>IFERROR($N37+VLOOKUP($L37,'Voyage days'!$F$448:$H$479,3,FALSE),"")</f>
        <v/>
      </c>
      <c r="BE37" s="93" t="str">
        <f t="shared" si="16"/>
        <v/>
      </c>
      <c r="BF37" s="95" t="str">
        <f>IFERROR($M37+VLOOKUP($L37,'Voyage days'!$F$620:$H$646,3,FALSE),"")</f>
        <v/>
      </c>
      <c r="BG37" s="95" t="str">
        <f>IFERROR($N37+VLOOKUP($L37,'Voyage days'!$F$620:$H$646,3,FALSE),"")</f>
        <v/>
      </c>
      <c r="BH37" s="93" t="str">
        <f t="shared" si="17"/>
        <v/>
      </c>
      <c r="BI37" s="96" t="str">
        <f>IFERROR($M37+VLOOKUP($L37,'Voyage days'!$F$702:$H$727,3,FALSE),"")</f>
        <v/>
      </c>
      <c r="BJ37" s="93" t="str">
        <f t="shared" si="18"/>
        <v/>
      </c>
      <c r="BK37" s="95" t="str">
        <f>IFERROR($M37+VLOOKUP($L37,'Voyage days'!$F$807:$H$878,3,FALSE),"")</f>
        <v/>
      </c>
      <c r="BL37" s="95" t="str">
        <f>IFERROR($N37+VLOOKUP($L37,'Voyage days'!$F$807:$H$878,3,FALSE),"")</f>
        <v/>
      </c>
      <c r="BM37" s="95" t="str">
        <f>IFERROR($N37+VLOOKUP($L37,'Voyage days'!$F$807:$K$878,6,FALSE),"")</f>
        <v/>
      </c>
      <c r="BN37" s="94" t="str">
        <f>IF(L37="loads AG", IFERROR($M37+VLOOKUP($L37,'Voyage days'!$M$38:$O$38,3,FALSE),""),"")</f>
        <v/>
      </c>
      <c r="BO37" s="94" t="str">
        <f>IF(L37="loads USG", IFERROR($M37+VLOOKUP($L37,'Voyage days'!$L$203:$N$203,3,FALSE),""),"")</f>
        <v/>
      </c>
    </row>
    <row r="38" spans="1:68" ht="15.75" customHeight="1" x14ac:dyDescent="0.25">
      <c r="A38" s="97" t="s">
        <v>89</v>
      </c>
      <c r="B38" s="119">
        <v>2024</v>
      </c>
      <c r="C38" s="76">
        <v>91000</v>
      </c>
      <c r="D38" s="120"/>
      <c r="E38" s="120"/>
      <c r="F38" s="121"/>
      <c r="G38" s="121"/>
      <c r="H38" s="121" t="s">
        <v>713</v>
      </c>
      <c r="I38" s="79" t="s">
        <v>813</v>
      </c>
      <c r="J38" s="122" t="str">
        <f t="shared" si="19"/>
        <v/>
      </c>
      <c r="K38" s="123"/>
      <c r="L38" s="124" t="s">
        <v>718</v>
      </c>
      <c r="M38" s="222">
        <v>46143</v>
      </c>
      <c r="N38" s="222">
        <v>46144</v>
      </c>
      <c r="O38" s="126" t="s">
        <v>779</v>
      </c>
      <c r="P38" s="258" t="s">
        <v>814</v>
      </c>
      <c r="Q38" s="124"/>
      <c r="R38" s="124" t="s">
        <v>815</v>
      </c>
      <c r="S38" s="259" t="s">
        <v>724</v>
      </c>
      <c r="T38" s="232">
        <v>46132</v>
      </c>
      <c r="U38" s="87" t="str">
        <f>IF(V38="","No AIS",VLOOKUP(V38,'Voyage days'!$A$3:$B$1480,2,FALSE))</f>
        <v>USG</v>
      </c>
      <c r="V38" s="87" t="str">
        <f>IF(VLOOKUP(A38,'1) Kpler'!$E$2:$P$1000,8, FALSE)="","",VLOOKUP(A38,'1) Kpler'!$E$2:$P$1000,8, FALSE))</f>
        <v>Energy Transfer Nederland</v>
      </c>
      <c r="W38" s="128">
        <f>IF(VLOOKUP(A38,'1) Kpler'!$E$2:$P$1000,9,FALSE)="","",VLOOKUP(A38,'1) Kpler'!$E$2:$P$1000,9,FALSE))</f>
        <v>46143.666666666664</v>
      </c>
      <c r="X38" s="87" t="str">
        <f>VLOOKUP(A38,'1) Kpler'!$E$2:$I$1000,4,FALSE)</f>
        <v>ballast</v>
      </c>
      <c r="Y38" s="219" t="str">
        <f t="shared" si="0"/>
        <v/>
      </c>
      <c r="Z38" s="219" t="str">
        <f t="shared" si="1"/>
        <v>01-02 May</v>
      </c>
      <c r="AA38" s="219" t="str">
        <f t="shared" si="2"/>
        <v>01-02 May</v>
      </c>
      <c r="AB38" s="219" t="str">
        <f t="shared" si="3"/>
        <v/>
      </c>
      <c r="AC38" s="219" t="str">
        <f t="shared" si="4"/>
        <v>21-22 May</v>
      </c>
      <c r="AD38" s="219" t="str">
        <f t="shared" si="5"/>
        <v/>
      </c>
      <c r="AE38" s="220" t="str">
        <f t="shared" si="6"/>
        <v/>
      </c>
      <c r="AF38" s="130" t="str">
        <f t="shared" si="7"/>
        <v/>
      </c>
      <c r="AG38" s="131" t="str">
        <f t="shared" si="8"/>
        <v/>
      </c>
      <c r="AH38" s="95" t="str">
        <f>IFERROR($M38+VLOOKUP($L38,'Voyage days'!$F$38:$H$89,3,FALSE),"")</f>
        <v/>
      </c>
      <c r="AI38" s="95" t="str">
        <f>IFERROR(N38+VLOOKUP($L38,'Voyage days'!$F$38:$H$89,3,FALSE),"")</f>
        <v/>
      </c>
      <c r="AJ38" s="131" t="str">
        <f t="shared" si="9"/>
        <v>01-02 May</v>
      </c>
      <c r="AK38" s="95">
        <f>IFERROR($M38+VLOOKUP($L38,'Voyage days'!$F$94:$H$193,3,FALSE),"")</f>
        <v>46143</v>
      </c>
      <c r="AL38" s="95">
        <f>IFERROR($N38+VLOOKUP($L38,'Voyage days'!$F$94:$H$193,3,FALSE),"")</f>
        <v>46144</v>
      </c>
      <c r="AM38" s="131" t="str">
        <f t="shared" si="10"/>
        <v>01-02 May</v>
      </c>
      <c r="AN38" s="95">
        <f>IFERROR($M38+VLOOKUP($L38,'Voyage days'!$F$203:$H$256,3,FALSE),"")</f>
        <v>46143</v>
      </c>
      <c r="AO38" s="95">
        <f>IFERROR($N38+VLOOKUP($L38,'Voyage days'!$F$203:$H$256,3,FALSE),"")</f>
        <v>46144</v>
      </c>
      <c r="AP38" s="131" t="str">
        <f t="shared" si="11"/>
        <v/>
      </c>
      <c r="AQ38" s="95" t="str">
        <f>IFERROR($M38+VLOOKUP($L38,'Voyage days'!$F$294:$H$377,3,FALSE),"")</f>
        <v/>
      </c>
      <c r="AR38" s="95" t="str">
        <f>IFERROR($N38+VLOOKUP($L38,'Voyage days'!$F$294:$H$377,3,FALSE),"")</f>
        <v/>
      </c>
      <c r="AS38" s="131" t="str">
        <f t="shared" si="12"/>
        <v>21-22 May</v>
      </c>
      <c r="AT38" s="95">
        <f>IFERROR($M38+VLOOKUP($L38,'Voyage days'!$F$382:$H$446,3,FALSE),"")</f>
        <v>46163</v>
      </c>
      <c r="AU38" s="95">
        <f>IFERROR($N38+VLOOKUP($L38,'Voyage days'!$F$382:$H$446,3,FALSE),"")</f>
        <v>46164</v>
      </c>
      <c r="AV38" s="131" t="str">
        <f t="shared" si="13"/>
        <v/>
      </c>
      <c r="AW38" s="95" t="str">
        <f>IFERROR($M38+VLOOKUP($L38,'Voyage days'!$F$483:$H$538,3,FALSE),"")</f>
        <v/>
      </c>
      <c r="AX38" s="95" t="str">
        <f>IFERROR($N38+VLOOKUP($L38,'Voyage days'!$F$483:$H$538,3,FALSE),"")</f>
        <v/>
      </c>
      <c r="AY38" s="131" t="str">
        <f t="shared" si="14"/>
        <v/>
      </c>
      <c r="AZ38" s="95" t="str">
        <f>IFERROR($M38+VLOOKUP($L38,'Voyage days'!$F$540:$H$613,3,FALSE),"")</f>
        <v/>
      </c>
      <c r="BA38" s="95" t="str">
        <f>IFERROR($N38+VLOOKUP($L38,'Voyage days'!$F$540:$H$613,3,FALSE),"")</f>
        <v/>
      </c>
      <c r="BB38" s="131" t="str">
        <f t="shared" si="15"/>
        <v/>
      </c>
      <c r="BC38" s="94" t="str">
        <f>IFERROR($M38+VLOOKUP($L38,'Voyage days'!$F$448:$H$479,3,FALSE),"")</f>
        <v/>
      </c>
      <c r="BD38" s="94" t="str">
        <f>IFERROR($N38+VLOOKUP($L38,'Voyage days'!$F$448:$H$479,3,FALSE),"")</f>
        <v/>
      </c>
      <c r="BE38" s="131" t="str">
        <f t="shared" si="16"/>
        <v/>
      </c>
      <c r="BF38" s="95" t="str">
        <f>IFERROR($M38+VLOOKUP($L38,'Voyage days'!$F$620:$H$646,3,FALSE),"")</f>
        <v/>
      </c>
      <c r="BG38" s="95" t="str">
        <f>IFERROR($N38+VLOOKUP($L38,'Voyage days'!$F$620:$H$646,3,FALSE),"")</f>
        <v/>
      </c>
      <c r="BH38" s="131" t="str">
        <f t="shared" si="17"/>
        <v/>
      </c>
      <c r="BI38" s="96" t="str">
        <f>IFERROR($M38+VLOOKUP($L38,'Voyage days'!$F$702:$H$727,3,FALSE),"")</f>
        <v/>
      </c>
      <c r="BJ38" s="131" t="str">
        <f t="shared" si="18"/>
        <v/>
      </c>
      <c r="BK38" s="95" t="str">
        <f>IFERROR($M38+VLOOKUP($L38,'Voyage days'!$F$807:$H$878,3,FALSE),"")</f>
        <v/>
      </c>
      <c r="BL38" s="95" t="str">
        <f>IFERROR($N38+VLOOKUP($L38,'Voyage days'!$F$807:$H$878,3,FALSE),"")</f>
        <v/>
      </c>
      <c r="BM38" s="95" t="str">
        <f>IFERROR($N38+VLOOKUP($L38,'Voyage days'!$F$807:$K$878,6,FALSE),"")</f>
        <v/>
      </c>
      <c r="BN38" s="94" t="str">
        <f>IF(L38="loads AG", IFERROR($M38+VLOOKUP($L38,'Voyage days'!$M$38:$O$38,3,FALSE),""),"")</f>
        <v/>
      </c>
      <c r="BO38" s="94">
        <f>IF(L38="loads USG", IFERROR($M38+VLOOKUP($L38,'Voyage days'!$L$203:$N$203,3,FALSE),""),"")</f>
        <v>46175</v>
      </c>
    </row>
    <row r="39" spans="1:68" x14ac:dyDescent="0.25">
      <c r="A39" s="97" t="s">
        <v>816</v>
      </c>
      <c r="B39" s="119">
        <v>2020</v>
      </c>
      <c r="C39" s="76">
        <v>83000</v>
      </c>
      <c r="D39" s="77"/>
      <c r="E39" s="77"/>
      <c r="F39" s="78"/>
      <c r="G39" s="78"/>
      <c r="H39" s="78" t="s">
        <v>739</v>
      </c>
      <c r="I39" s="260" t="s">
        <v>813</v>
      </c>
      <c r="J39" s="80" t="str">
        <f t="shared" si="19"/>
        <v/>
      </c>
      <c r="K39" s="81" t="s">
        <v>817</v>
      </c>
      <c r="L39" s="82" t="s">
        <v>734</v>
      </c>
      <c r="M39" s="83">
        <v>46139</v>
      </c>
      <c r="N39" s="83">
        <v>46140</v>
      </c>
      <c r="O39" s="84"/>
      <c r="P39" s="82" t="s">
        <v>818</v>
      </c>
      <c r="Q39" s="82"/>
      <c r="R39" s="105" t="s">
        <v>819</v>
      </c>
      <c r="S39" s="120" t="s">
        <v>724</v>
      </c>
      <c r="T39" s="232">
        <v>46132</v>
      </c>
      <c r="U39" s="87" t="str">
        <f>IF(V39="","No AIS",VLOOKUP(V39,'Voyage days'!$A$3:$B$1480,2,FALSE))</f>
        <v>Indo + 4</v>
      </c>
      <c r="V39" s="88" t="str">
        <f>IF(VLOOKUP(A39,'1) Kpler'!$E$2:$P$1000,8, FALSE)="","",VLOOKUP(A39,'1) Kpler'!$E$2:$P$1000,8, FALSE))</f>
        <v>Oiltank. Merak</v>
      </c>
      <c r="W39" s="89">
        <f>IF(VLOOKUP(A39,'1) Kpler'!$E$2:$P$1000,9,FALSE)="","",VLOOKUP(A39,'1) Kpler'!$E$2:$P$1000,9,FALSE))</f>
        <v>46135.328472222223</v>
      </c>
      <c r="X39" s="88" t="str">
        <f>VLOOKUP(A39,'1) Kpler'!$E$2:$I$1000,4,FALSE)</f>
        <v>loaded</v>
      </c>
      <c r="Y39" s="63" t="str">
        <f t="shared" si="0"/>
        <v>08-09 May</v>
      </c>
      <c r="Z39" s="63" t="str">
        <f t="shared" si="1"/>
        <v>04-05 Jun</v>
      </c>
      <c r="AA39" s="63" t="str">
        <f t="shared" si="2"/>
        <v>03-04 Jun</v>
      </c>
      <c r="AB39" s="63" t="str">
        <f t="shared" si="3"/>
        <v>17-18 May</v>
      </c>
      <c r="AC39" s="63" t="str">
        <f t="shared" si="4"/>
        <v>26-27 May</v>
      </c>
      <c r="AD39" s="63" t="str">
        <f t="shared" si="5"/>
        <v>30-01 May</v>
      </c>
      <c r="AE39" s="129" t="str">
        <f t="shared" si="6"/>
        <v>01-02 May</v>
      </c>
      <c r="AF39" s="130" t="str">
        <f t="shared" si="7"/>
        <v>03-04 Jun</v>
      </c>
      <c r="AG39" s="93" t="str">
        <f t="shared" si="8"/>
        <v>08-09 May</v>
      </c>
      <c r="AH39" s="94">
        <f>IFERROR($M39+VLOOKUP($L39,'Voyage days'!$F$38:$H$89,3,FALSE),"")</f>
        <v>46150</v>
      </c>
      <c r="AI39" s="94">
        <f>IFERROR(N39+VLOOKUP($L39,'Voyage days'!$F$38:$H$89,3,FALSE),"")</f>
        <v>46151</v>
      </c>
      <c r="AJ39" s="93" t="str">
        <f t="shared" si="9"/>
        <v>04-05 Jun</v>
      </c>
      <c r="AK39" s="94">
        <f>IFERROR($M39+VLOOKUP($L39,'Voyage days'!$F$94:$H$193,3,FALSE),"")</f>
        <v>46177</v>
      </c>
      <c r="AL39" s="94">
        <f>IFERROR($N39+VLOOKUP($L39,'Voyage days'!$F$94:$H$193,3,FALSE),"")</f>
        <v>46178</v>
      </c>
      <c r="AM39" s="93" t="str">
        <f t="shared" si="10"/>
        <v>03-04 Jun</v>
      </c>
      <c r="AN39" s="94">
        <f>IFERROR($M39+VLOOKUP($L39,'Voyage days'!$F$203:$H$256,3,FALSE),"")</f>
        <v>46176</v>
      </c>
      <c r="AO39" s="94">
        <f>IFERROR($N39+VLOOKUP($L39,'Voyage days'!$F$203:$H$256,3,FALSE),"")</f>
        <v>46177</v>
      </c>
      <c r="AP39" s="93" t="str">
        <f t="shared" si="11"/>
        <v>17-18 May</v>
      </c>
      <c r="AQ39" s="94">
        <f>IFERROR($M39+VLOOKUP($L39,'Voyage days'!$F$294:$H$377,3,FALSE),"")</f>
        <v>46159</v>
      </c>
      <c r="AR39" s="94">
        <f>IFERROR($N39+VLOOKUP($L39,'Voyage days'!$F$294:$H$377,3,FALSE),"")</f>
        <v>46160</v>
      </c>
      <c r="AS39" s="93" t="str">
        <f t="shared" si="12"/>
        <v>26-27 May</v>
      </c>
      <c r="AT39" s="94">
        <f>IFERROR($M39+VLOOKUP($L39,'Voyage days'!$F$382:$H$446,3,FALSE),"")</f>
        <v>46168</v>
      </c>
      <c r="AU39" s="94">
        <f>IFERROR($N39+VLOOKUP($L39,'Voyage days'!$F$382:$H$446,3,FALSE),"")</f>
        <v>46169</v>
      </c>
      <c r="AV39" s="93" t="str">
        <f t="shared" si="13"/>
        <v>06-07 May</v>
      </c>
      <c r="AW39" s="94">
        <f>IFERROR($M39+VLOOKUP($L39,'Voyage days'!$F$483:$H$538,3,FALSE),"")</f>
        <v>46148</v>
      </c>
      <c r="AX39" s="94">
        <f>IFERROR($N39+VLOOKUP($L39,'Voyage days'!$F$483:$H$538,3,FALSE),"")</f>
        <v>46149</v>
      </c>
      <c r="AY39" s="93" t="str">
        <f t="shared" si="14"/>
        <v>01-02 May</v>
      </c>
      <c r="AZ39" s="94">
        <f>IFERROR($M39+VLOOKUP($L39,'Voyage days'!$F$540:$H$613,3,FALSE),"")</f>
        <v>46143</v>
      </c>
      <c r="BA39" s="94">
        <f>IFERROR($N39+VLOOKUP($L39,'Voyage days'!$F$540:$H$613,3,FALSE),"")</f>
        <v>46144</v>
      </c>
      <c r="BB39" s="93" t="str">
        <f t="shared" si="15"/>
        <v>30-01 May</v>
      </c>
      <c r="BC39" s="94">
        <f>IFERROR($M39+VLOOKUP($L39,'Voyage days'!$F$448:$H$479,3,FALSE),"")</f>
        <v>46142</v>
      </c>
      <c r="BD39" s="94">
        <f>IFERROR($N39+VLOOKUP($L39,'Voyage days'!$F$448:$H$479,3,FALSE),"")</f>
        <v>46143</v>
      </c>
      <c r="BE39" s="93" t="str">
        <f t="shared" si="16"/>
        <v/>
      </c>
      <c r="BF39" s="95" t="str">
        <f>IFERROR($M39+VLOOKUP($L39,'Voyage days'!$F$620:$H$646,3,FALSE),"")</f>
        <v/>
      </c>
      <c r="BG39" s="95" t="str">
        <f>IFERROR($N39+VLOOKUP($L39,'Voyage days'!$F$620:$H$646,3,FALSE),"")</f>
        <v/>
      </c>
      <c r="BH39" s="93" t="str">
        <f t="shared" si="17"/>
        <v>05-04 Jun</v>
      </c>
      <c r="BI39" s="96">
        <f>IFERROR($M39+VLOOKUP($L39,'Voyage days'!$F$702:$H$727,3,FALSE),"")</f>
        <v>46147</v>
      </c>
      <c r="BJ39" s="93" t="str">
        <f t="shared" si="18"/>
        <v>03-04 Jun</v>
      </c>
      <c r="BK39" s="95">
        <f>IFERROR($M39+VLOOKUP($L39,'Voyage days'!$F$807:$H$878,3,FALSE),"")</f>
        <v>46176</v>
      </c>
      <c r="BL39" s="95">
        <f>IFERROR($N39+VLOOKUP($L39,'Voyage days'!$F$807:$H$878,3,FALSE),"")</f>
        <v>46177</v>
      </c>
      <c r="BM39" s="95">
        <f>IFERROR($N39+VLOOKUP($L39,'Voyage days'!$F$807:$K$878,6,FALSE),"")</f>
        <v>46153</v>
      </c>
      <c r="BN39" s="94" t="str">
        <f>IF(L39="loads AG", IFERROR($M39+VLOOKUP($L39,'Voyage days'!$M$38:$O$38,3,FALSE),""),"")</f>
        <v/>
      </c>
      <c r="BO39" s="94" t="str">
        <f>IF(L39="loads USG", IFERROR($M39+VLOOKUP($L39,'Voyage days'!$L$203:$N$203,3,FALSE),""),"")</f>
        <v/>
      </c>
    </row>
    <row r="40" spans="1:68" x14ac:dyDescent="0.25">
      <c r="A40" s="53" t="s">
        <v>164</v>
      </c>
      <c r="B40" s="75">
        <v>42353</v>
      </c>
      <c r="C40" s="76">
        <v>84000</v>
      </c>
      <c r="D40" s="77"/>
      <c r="E40" s="77"/>
      <c r="F40" s="78"/>
      <c r="G40" s="78"/>
      <c r="H40" s="78" t="s">
        <v>739</v>
      </c>
      <c r="I40" s="260" t="s">
        <v>813</v>
      </c>
      <c r="J40" s="80" t="str">
        <f t="shared" si="19"/>
        <v/>
      </c>
      <c r="K40" s="81"/>
      <c r="L40" s="82" t="s">
        <v>790</v>
      </c>
      <c r="M40" s="222">
        <v>46141</v>
      </c>
      <c r="N40" s="222">
        <v>46142</v>
      </c>
      <c r="O40" s="84" t="s">
        <v>779</v>
      </c>
      <c r="P40" s="82" t="s">
        <v>820</v>
      </c>
      <c r="Q40" s="158"/>
      <c r="R40" s="82" t="s">
        <v>821</v>
      </c>
      <c r="S40" s="120" t="s">
        <v>724</v>
      </c>
      <c r="T40" s="232">
        <v>46132</v>
      </c>
      <c r="U40" s="87" t="str">
        <f>IF(V40="","No AIS",VLOOKUP(V40,'Voyage days'!$A$3:$B$1480,2,FALSE))</f>
        <v>East Med</v>
      </c>
      <c r="V40" s="88" t="str">
        <f>IF(VLOOKUP(A40,'1) Kpler'!$E$2:$P$1000,8, FALSE)="","",VLOOKUP(A40,'1) Kpler'!$E$2:$P$1000,8, FALSE))</f>
        <v>Valletta</v>
      </c>
      <c r="W40" s="89">
        <f>IF(VLOOKUP(A40,'1) Kpler'!$E$2:$P$1000,9,FALSE)="","",VLOOKUP(A40,'1) Kpler'!$E$2:$P$1000,9,FALSE))</f>
        <v>46136.875</v>
      </c>
      <c r="X40" s="88" t="str">
        <f>VLOOKUP(A40,'1) Kpler'!$E$2:$I$1000,4,FALSE)</f>
        <v>loaded</v>
      </c>
      <c r="Y40" s="63" t="str">
        <f t="shared" si="0"/>
        <v/>
      </c>
      <c r="Z40" s="63" t="str">
        <f t="shared" si="1"/>
        <v>13-14 May</v>
      </c>
      <c r="AA40" s="63" t="str">
        <f t="shared" si="2"/>
        <v>14-15 May</v>
      </c>
      <c r="AB40" s="63" t="str">
        <f t="shared" si="3"/>
        <v>10-11 May</v>
      </c>
      <c r="AC40" s="63" t="str">
        <f t="shared" si="4"/>
        <v>01-02 May</v>
      </c>
      <c r="AD40" s="63" t="str">
        <f t="shared" si="5"/>
        <v/>
      </c>
      <c r="AE40" s="129" t="str">
        <f t="shared" si="6"/>
        <v/>
      </c>
      <c r="AF40" s="130" t="str">
        <f t="shared" si="7"/>
        <v>13-14 May</v>
      </c>
      <c r="AG40" s="93" t="str">
        <f t="shared" si="8"/>
        <v/>
      </c>
      <c r="AH40" s="94" t="str">
        <f>IFERROR($M40+VLOOKUP($L40,'Voyage days'!$F$38:$H$89,3,FALSE),"")</f>
        <v/>
      </c>
      <c r="AI40" s="94" t="str">
        <f>IFERROR(N40+VLOOKUP($L40,'Voyage days'!$F$38:$H$89,3,FALSE),"")</f>
        <v/>
      </c>
      <c r="AJ40" s="93" t="str">
        <f t="shared" si="9"/>
        <v>13-14 May</v>
      </c>
      <c r="AK40" s="94">
        <f>IFERROR($M40+VLOOKUP($L40,'Voyage days'!$F$94:$H$193,3,FALSE),"")</f>
        <v>46155</v>
      </c>
      <c r="AL40" s="94">
        <f>IFERROR($N40+VLOOKUP($L40,'Voyage days'!$F$94:$H$193,3,FALSE),"")</f>
        <v>46156</v>
      </c>
      <c r="AM40" s="93" t="str">
        <f t="shared" si="10"/>
        <v>14-15 May</v>
      </c>
      <c r="AN40" s="94">
        <f>IFERROR($M40+VLOOKUP($L40,'Voyage days'!$F$203:$H$256,3,FALSE),"")</f>
        <v>46156</v>
      </c>
      <c r="AO40" s="94">
        <f>IFERROR($N40+VLOOKUP($L40,'Voyage days'!$F$203:$H$256,3,FALSE),"")</f>
        <v>46157</v>
      </c>
      <c r="AP40" s="93" t="str">
        <f t="shared" si="11"/>
        <v>10-11 May</v>
      </c>
      <c r="AQ40" s="94">
        <f>IFERROR($M40+VLOOKUP($L40,'Voyage days'!$F$294:$H$377,3,FALSE),"")</f>
        <v>46152</v>
      </c>
      <c r="AR40" s="94">
        <f>IFERROR($N40+VLOOKUP($L40,'Voyage days'!$F$294:$H$377,3,FALSE),"")</f>
        <v>46153</v>
      </c>
      <c r="AS40" s="93" t="str">
        <f t="shared" si="12"/>
        <v>01-02 May</v>
      </c>
      <c r="AT40" s="94">
        <f>IFERROR($M40+VLOOKUP($L40,'Voyage days'!$F$382:$H$446,3,FALSE),"")</f>
        <v>46143</v>
      </c>
      <c r="AU40" s="94">
        <f>IFERROR($N40+VLOOKUP($L40,'Voyage days'!$F$382:$H$446,3,FALSE),"")</f>
        <v>46144</v>
      </c>
      <c r="AV40" s="93" t="str">
        <f t="shared" si="13"/>
        <v/>
      </c>
      <c r="AW40" s="94" t="str">
        <f>IFERROR($M40+VLOOKUP($L40,'Voyage days'!$F$483:$H$538,3,FALSE),"")</f>
        <v/>
      </c>
      <c r="AX40" s="94" t="str">
        <f>IFERROR($N40+VLOOKUP($L40,'Voyage days'!$F$483:$H$538,3,FALSE),"")</f>
        <v/>
      </c>
      <c r="AY40" s="93" t="str">
        <f t="shared" si="14"/>
        <v/>
      </c>
      <c r="AZ40" s="94" t="str">
        <f>IFERROR($M40+VLOOKUP($L40,'Voyage days'!$F$540:$H$613,3,FALSE),"")</f>
        <v/>
      </c>
      <c r="BA40" s="94" t="str">
        <f>IFERROR($N40+VLOOKUP($L40,'Voyage days'!$F$540:$H$613,3,FALSE),"")</f>
        <v/>
      </c>
      <c r="BB40" s="93" t="str">
        <f t="shared" si="15"/>
        <v/>
      </c>
      <c r="BC40" s="94" t="str">
        <f>IFERROR($M40+VLOOKUP($L40,'Voyage days'!$F$448:$H$479,3,FALSE),"")</f>
        <v/>
      </c>
      <c r="BD40" s="94" t="str">
        <f>IFERROR($N40+VLOOKUP($L40,'Voyage days'!$F$448:$H$479,3,FALSE),"")</f>
        <v/>
      </c>
      <c r="BE40" s="93" t="str">
        <f t="shared" si="16"/>
        <v/>
      </c>
      <c r="BF40" s="95" t="str">
        <f>IFERROR($M40+VLOOKUP($L40,'Voyage days'!$F$620:$H$646,3,FALSE),"")</f>
        <v/>
      </c>
      <c r="BG40" s="95" t="str">
        <f>IFERROR($N40+VLOOKUP($L40,'Voyage days'!$F$620:$H$646,3,FALSE),"")</f>
        <v/>
      </c>
      <c r="BH40" s="93" t="str">
        <f t="shared" si="17"/>
        <v/>
      </c>
      <c r="BI40" s="96" t="str">
        <f>IFERROR($M40+VLOOKUP($L40,'Voyage days'!$F$702:$H$727,3,FALSE),"")</f>
        <v/>
      </c>
      <c r="BJ40" s="93" t="str">
        <f t="shared" si="18"/>
        <v>13-14 May</v>
      </c>
      <c r="BK40" s="95">
        <f>IFERROR($M40+VLOOKUP($L40,'Voyage days'!$F$807:$H$878,3,FALSE),"")</f>
        <v>46155</v>
      </c>
      <c r="BL40" s="95">
        <f>IFERROR($N40+VLOOKUP($L40,'Voyage days'!$F$807:$H$878,3,FALSE),"")</f>
        <v>46156</v>
      </c>
      <c r="BM40" s="95">
        <f>IFERROR($N40+VLOOKUP($L40,'Voyage days'!$F$807:$K$878,6,FALSE),"")</f>
        <v>46142</v>
      </c>
      <c r="BN40" s="94" t="str">
        <f>IF(L40="loads AG", IFERROR($M40+VLOOKUP($L40,'Voyage days'!$M$38:$O$38,3,FALSE),""),"")</f>
        <v/>
      </c>
      <c r="BO40" s="94" t="str">
        <f>IF(L40="loads USG", IFERROR($M40+VLOOKUP($L40,'Voyage days'!$L$203:$N$203,3,FALSE),""),"")</f>
        <v/>
      </c>
    </row>
    <row r="41" spans="1:68" ht="15.75" customHeight="1" x14ac:dyDescent="0.25">
      <c r="A41" s="53" t="s">
        <v>213</v>
      </c>
      <c r="B41" s="119">
        <v>2022</v>
      </c>
      <c r="C41" s="76">
        <v>84000</v>
      </c>
      <c r="D41" s="77"/>
      <c r="E41" s="77"/>
      <c r="F41" s="78"/>
      <c r="G41" s="78"/>
      <c r="H41" s="78" t="s">
        <v>713</v>
      </c>
      <c r="I41" s="260" t="s">
        <v>813</v>
      </c>
      <c r="J41" s="80" t="str">
        <f t="shared" si="19"/>
        <v/>
      </c>
      <c r="K41" s="81" t="s">
        <v>817</v>
      </c>
      <c r="L41" s="82" t="s">
        <v>822</v>
      </c>
      <c r="M41" s="83">
        <v>46134</v>
      </c>
      <c r="N41" s="83">
        <v>46135</v>
      </c>
      <c r="O41" s="206"/>
      <c r="P41" s="78" t="s">
        <v>823</v>
      </c>
      <c r="Q41" s="82"/>
      <c r="R41" s="82" t="s">
        <v>824</v>
      </c>
      <c r="S41" s="120" t="s">
        <v>724</v>
      </c>
      <c r="T41" s="232">
        <v>46132</v>
      </c>
      <c r="U41" s="87" t="str">
        <f>IF(V41="","No AIS",VLOOKUP(V41,'Voyage days'!$A$3:$B$1480,2,FALSE))</f>
        <v>Port Louis</v>
      </c>
      <c r="V41" s="88" t="str">
        <f>IF(VLOOKUP(A41,'1) Kpler'!$E$2:$P$1000,8, FALSE)="","",VLOOKUP(A41,'1) Kpler'!$E$2:$P$1000,8, FALSE))</f>
        <v>Port Louis</v>
      </c>
      <c r="W41" s="89">
        <f>IF(VLOOKUP(A41,'1) Kpler'!$E$2:$P$1000,9,FALSE)="","",VLOOKUP(A41,'1) Kpler'!$E$2:$P$1000,9,FALSE))</f>
        <v>46134.375</v>
      </c>
      <c r="X41" s="88" t="str">
        <f>VLOOKUP(A41,'1) Kpler'!$E$2:$I$1000,4,FALSE)</f>
        <v>loaded</v>
      </c>
      <c r="Y41" s="90" t="str">
        <f t="shared" si="0"/>
        <v>18-19 May</v>
      </c>
      <c r="Z41" s="90" t="str">
        <f t="shared" si="1"/>
        <v>07-08 Jun</v>
      </c>
      <c r="AA41" s="90" t="str">
        <f t="shared" si="2"/>
        <v>15-16 Jun</v>
      </c>
      <c r="AB41" s="90" t="str">
        <f t="shared" si="3"/>
        <v>29-30 May</v>
      </c>
      <c r="AC41" s="90" t="str">
        <f t="shared" si="4"/>
        <v>06-07 Jun</v>
      </c>
      <c r="AD41" s="90" t="str">
        <f t="shared" si="5"/>
        <v>09-10 May</v>
      </c>
      <c r="AE41" s="91" t="str">
        <f t="shared" si="6"/>
        <v>12-13 May</v>
      </c>
      <c r="AF41" s="92" t="str">
        <f t="shared" si="7"/>
        <v>14-15 Jun</v>
      </c>
      <c r="AG41" s="93" t="str">
        <f t="shared" si="8"/>
        <v>18-19 May</v>
      </c>
      <c r="AH41" s="94">
        <f>IFERROR($M41+VLOOKUP($L41,'Voyage days'!$F$38:$H$89,3,FALSE),"")</f>
        <v>46160</v>
      </c>
      <c r="AI41" s="94">
        <f>IFERROR(N41+VLOOKUP($L41,'Voyage days'!$F$38:$H$89,3,FALSE),"")</f>
        <v>46161</v>
      </c>
      <c r="AJ41" s="93" t="str">
        <f t="shared" si="9"/>
        <v>07-08 Jun</v>
      </c>
      <c r="AK41" s="94">
        <f>IFERROR($M41+VLOOKUP($L41,'Voyage days'!$F$94:$H$193,3,FALSE),"")</f>
        <v>46180</v>
      </c>
      <c r="AL41" s="94">
        <f>IFERROR($N41+VLOOKUP($L41,'Voyage days'!$F$94:$H$193,3,FALSE),"")</f>
        <v>46181</v>
      </c>
      <c r="AM41" s="93" t="str">
        <f t="shared" si="10"/>
        <v>15-16 Jun</v>
      </c>
      <c r="AN41" s="94">
        <f>IFERROR($M41+VLOOKUP($L41,'Voyage days'!$F$203:$H$256,3,FALSE),"")</f>
        <v>46188</v>
      </c>
      <c r="AO41" s="94">
        <f>IFERROR($N41+VLOOKUP($L41,'Voyage days'!$F$203:$H$256,3,FALSE),"")</f>
        <v>46189</v>
      </c>
      <c r="AP41" s="93" t="str">
        <f t="shared" si="11"/>
        <v>29-30 May</v>
      </c>
      <c r="AQ41" s="94">
        <f>IFERROR($M41+VLOOKUP($L41,'Voyage days'!$F$294:$H$377,3,FALSE),"")</f>
        <v>46171</v>
      </c>
      <c r="AR41" s="94">
        <f>IFERROR($N41+VLOOKUP($L41,'Voyage days'!$F$294:$H$377,3,FALSE),"")</f>
        <v>46172</v>
      </c>
      <c r="AS41" s="93" t="str">
        <f t="shared" si="12"/>
        <v>06-07 Jun</v>
      </c>
      <c r="AT41" s="94">
        <f>IFERROR($M41+VLOOKUP($L41,'Voyage days'!$F$382:$H$446,3,FALSE),"")</f>
        <v>46179</v>
      </c>
      <c r="AU41" s="94">
        <f>IFERROR($N41+VLOOKUP($L41,'Voyage days'!$F$382:$H$446,3,FALSE),"")</f>
        <v>46180</v>
      </c>
      <c r="AV41" s="93" t="str">
        <f t="shared" si="13"/>
        <v>20-21 May</v>
      </c>
      <c r="AW41" s="94">
        <f>IFERROR($M41+VLOOKUP($L41,'Voyage days'!$F$483:$H$538,3,FALSE),"")</f>
        <v>46162</v>
      </c>
      <c r="AX41" s="94">
        <f>IFERROR($N41+VLOOKUP($L41,'Voyage days'!$F$483:$H$538,3,FALSE),"")</f>
        <v>46163</v>
      </c>
      <c r="AY41" s="93" t="str">
        <f t="shared" si="14"/>
        <v>12-13 May</v>
      </c>
      <c r="AZ41" s="94">
        <f>IFERROR($M41+VLOOKUP($L41,'Voyage days'!$F$540:$H$613,3,FALSE),"")</f>
        <v>46154</v>
      </c>
      <c r="BA41" s="94">
        <f>IFERROR($N41+VLOOKUP($L41,'Voyage days'!$F$540:$H$613,3,FALSE),"")</f>
        <v>46155</v>
      </c>
      <c r="BB41" s="93" t="str">
        <f t="shared" si="15"/>
        <v>09-10 May</v>
      </c>
      <c r="BC41" s="94">
        <f>IFERROR($M41+VLOOKUP($L41,'Voyage days'!$F$448:$H$479,3,FALSE),"")</f>
        <v>46151</v>
      </c>
      <c r="BD41" s="94">
        <f>IFERROR($N41+VLOOKUP($L41,'Voyage days'!$F$448:$H$479,3,FALSE),"")</f>
        <v>46152</v>
      </c>
      <c r="BE41" s="93" t="str">
        <f t="shared" si="16"/>
        <v/>
      </c>
      <c r="BF41" s="95" t="str">
        <f>IFERROR($M41+VLOOKUP($L41,'Voyage days'!$F$620:$H$646,3,FALSE),"")</f>
        <v/>
      </c>
      <c r="BG41" s="95" t="str">
        <f>IFERROR($N41+VLOOKUP($L41,'Voyage days'!$F$620:$H$646,3,FALSE),"")</f>
        <v/>
      </c>
      <c r="BH41" s="93" t="str">
        <f t="shared" si="17"/>
        <v/>
      </c>
      <c r="BI41" s="96" t="str">
        <f>IFERROR($M41+VLOOKUP($L41,'Voyage days'!$F$702:$H$727,3,FALSE),"")</f>
        <v/>
      </c>
      <c r="BJ41" s="93" t="str">
        <f t="shared" si="18"/>
        <v>14-15 Jun</v>
      </c>
      <c r="BK41" s="95">
        <f>IFERROR($M41+VLOOKUP($L41,'Voyage days'!$F$807:$H$878,3,FALSE),"")</f>
        <v>46187</v>
      </c>
      <c r="BL41" s="95">
        <f>IFERROR($N41+VLOOKUP($L41,'Voyage days'!$F$807:$H$878,3,FALSE),"")</f>
        <v>46188</v>
      </c>
      <c r="BM41" s="95">
        <f>IFERROR($N41+VLOOKUP($L41,'Voyage days'!$F$807:$K$878,6,FALSE),"")</f>
        <v>46135</v>
      </c>
      <c r="BN41" s="94" t="str">
        <f>IF(L41="loads AG", IFERROR($M41+VLOOKUP($L41,'Voyage days'!$M$38:$O$38,3,FALSE),""),"")</f>
        <v/>
      </c>
      <c r="BO41" s="94" t="str">
        <f>IF(L41="loads USG", IFERROR($M41+VLOOKUP($L41,'Voyage days'!$L$203:$N$203,3,FALSE),""),"")</f>
        <v/>
      </c>
    </row>
    <row r="42" spans="1:68" ht="15.75" customHeight="1" x14ac:dyDescent="0.25">
      <c r="A42" s="53" t="s">
        <v>214</v>
      </c>
      <c r="B42" s="119">
        <v>2025</v>
      </c>
      <c r="C42" s="76">
        <v>86700</v>
      </c>
      <c r="D42" s="77"/>
      <c r="E42" s="77"/>
      <c r="F42" s="78"/>
      <c r="G42" s="78"/>
      <c r="H42" s="78"/>
      <c r="I42" s="260" t="s">
        <v>813</v>
      </c>
      <c r="J42" s="261"/>
      <c r="K42" s="123"/>
      <c r="L42" s="82" t="s">
        <v>617</v>
      </c>
      <c r="M42" s="83">
        <v>46132</v>
      </c>
      <c r="N42" s="83">
        <v>46133</v>
      </c>
      <c r="O42" s="206"/>
      <c r="P42" s="78" t="s">
        <v>825</v>
      </c>
      <c r="Q42" s="82"/>
      <c r="R42" s="82" t="s">
        <v>826</v>
      </c>
      <c r="S42" s="120" t="s">
        <v>724</v>
      </c>
      <c r="T42" s="232">
        <v>46132</v>
      </c>
      <c r="U42" s="87" t="str">
        <f>IF(V42="","No AIS",VLOOKUP(V42,'Voyage days'!$A$3:$B$1480,2,FALSE))</f>
        <v>Gibraltar</v>
      </c>
      <c r="V42" s="88" t="str">
        <f>IF(VLOOKUP(A42,'1) Kpler'!$E$2:$P$1000,8, FALSE)="","",VLOOKUP(A42,'1) Kpler'!$E$2:$P$1000,8, FALSE))</f>
        <v>Jorf Lasfar</v>
      </c>
      <c r="W42" s="89">
        <f>IF(VLOOKUP(A42,'1) Kpler'!$E$2:$P$1000,9,FALSE)="","",VLOOKUP(A42,'1) Kpler'!$E$2:$P$1000,9,FALSE))</f>
        <v>46132.5</v>
      </c>
      <c r="X42" s="88" t="str">
        <f>VLOOKUP(A42,'1) Kpler'!$E$2:$I$1000,4,FALSE)</f>
        <v>loaded</v>
      </c>
      <c r="Y42" s="63" t="str">
        <f t="shared" si="0"/>
        <v/>
      </c>
      <c r="Z42" s="63" t="str">
        <f t="shared" si="1"/>
        <v>03-04 May</v>
      </c>
      <c r="AA42" s="63" t="str">
        <f t="shared" si="2"/>
        <v>04-05 May</v>
      </c>
      <c r="AB42" s="63" t="str">
        <f t="shared" si="3"/>
        <v>30-01 May</v>
      </c>
      <c r="AC42" s="63" t="str">
        <f t="shared" si="4"/>
        <v>21-22 Apr</v>
      </c>
      <c r="AD42" s="63" t="str">
        <f t="shared" si="5"/>
        <v/>
      </c>
      <c r="AE42" s="129" t="str">
        <f t="shared" si="6"/>
        <v/>
      </c>
      <c r="AF42" s="130" t="str">
        <f t="shared" si="7"/>
        <v>28-29 Apr</v>
      </c>
      <c r="AG42" s="93" t="str">
        <f t="shared" si="8"/>
        <v/>
      </c>
      <c r="AH42" s="94" t="str">
        <f>IFERROR($M42+VLOOKUP($L42,'Voyage days'!$F$38:$H$89,3,FALSE),"")</f>
        <v/>
      </c>
      <c r="AI42" s="94" t="str">
        <f>IFERROR(N42+VLOOKUP($L42,'Voyage days'!$F$38:$H$89,3,FALSE),"")</f>
        <v/>
      </c>
      <c r="AJ42" s="93" t="str">
        <f t="shared" si="9"/>
        <v>03-04 May</v>
      </c>
      <c r="AK42" s="94">
        <f>IFERROR($M42+VLOOKUP($L42,'Voyage days'!$F$94:$H$193,3,FALSE),"")</f>
        <v>46145</v>
      </c>
      <c r="AL42" s="94">
        <f>IFERROR($N42+VLOOKUP($L42,'Voyage days'!$F$94:$H$193,3,FALSE),"")</f>
        <v>46146</v>
      </c>
      <c r="AM42" s="93" t="str">
        <f t="shared" si="10"/>
        <v>04-05 May</v>
      </c>
      <c r="AN42" s="94">
        <f>IFERROR($M42+VLOOKUP($L42,'Voyage days'!$F$203:$H$256,3,FALSE),"")</f>
        <v>46146</v>
      </c>
      <c r="AO42" s="94">
        <f>IFERROR($N42+VLOOKUP($L42,'Voyage days'!$F$203:$H$256,3,FALSE),"")</f>
        <v>46147</v>
      </c>
      <c r="AP42" s="93" t="str">
        <f t="shared" si="11"/>
        <v>30-01 May</v>
      </c>
      <c r="AQ42" s="94">
        <f>IFERROR($M42+VLOOKUP($L42,'Voyage days'!$F$294:$H$377,3,FALSE),"")</f>
        <v>46142</v>
      </c>
      <c r="AR42" s="94">
        <f>IFERROR($N42+VLOOKUP($L42,'Voyage days'!$F$294:$H$377,3,FALSE),"")</f>
        <v>46143</v>
      </c>
      <c r="AS42" s="93" t="str">
        <f t="shared" si="12"/>
        <v>21-22 Apr</v>
      </c>
      <c r="AT42" s="94">
        <f>IFERROR($M42+VLOOKUP($L42,'Voyage days'!$F$382:$H$446,3,FALSE),"")</f>
        <v>46133</v>
      </c>
      <c r="AU42" s="94">
        <f>IFERROR($N42+VLOOKUP($L42,'Voyage days'!$F$382:$H$446,3,FALSE),"")</f>
        <v>46134</v>
      </c>
      <c r="AV42" s="93" t="str">
        <f t="shared" si="13"/>
        <v/>
      </c>
      <c r="AW42" s="94" t="str">
        <f>IFERROR($M42+VLOOKUP($L42,'Voyage days'!$F$483:$H$538,3,FALSE),"")</f>
        <v/>
      </c>
      <c r="AX42" s="94" t="str">
        <f>IFERROR($N42+VLOOKUP($L42,'Voyage days'!$F$483:$H$538,3,FALSE),"")</f>
        <v/>
      </c>
      <c r="AY42" s="93" t="str">
        <f t="shared" si="14"/>
        <v/>
      </c>
      <c r="AZ42" s="94" t="str">
        <f>IFERROR($M42+VLOOKUP($L42,'Voyage days'!$F$540:$H$613,3,FALSE),"")</f>
        <v/>
      </c>
      <c r="BA42" s="94" t="str">
        <f>IFERROR($N42+VLOOKUP($L42,'Voyage days'!$F$540:$H$613,3,FALSE),"")</f>
        <v/>
      </c>
      <c r="BB42" s="93" t="str">
        <f t="shared" si="15"/>
        <v/>
      </c>
      <c r="BC42" s="94" t="str">
        <f>IFERROR($M42+VLOOKUP($L42,'Voyage days'!$F$448:$H$479,3,FALSE),"")</f>
        <v/>
      </c>
      <c r="BD42" s="94" t="str">
        <f>IFERROR($N42+VLOOKUP($L42,'Voyage days'!$F$448:$H$479,3,FALSE),"")</f>
        <v/>
      </c>
      <c r="BE42" s="93" t="str">
        <f t="shared" si="16"/>
        <v/>
      </c>
      <c r="BF42" s="95" t="str">
        <f>IFERROR($M42+VLOOKUP($L42,'Voyage days'!$F$620:$H$646,3,FALSE),"")</f>
        <v/>
      </c>
      <c r="BG42" s="95" t="str">
        <f>IFERROR($N42+VLOOKUP($L42,'Voyage days'!$F$620:$H$646,3,FALSE),"")</f>
        <v/>
      </c>
      <c r="BH42" s="93" t="str">
        <f t="shared" si="17"/>
        <v/>
      </c>
      <c r="BI42" s="96" t="str">
        <f>IFERROR($M42+VLOOKUP($L42,'Voyage days'!$F$702:$H$727,3,FALSE),"")</f>
        <v/>
      </c>
      <c r="BJ42" s="93" t="str">
        <f t="shared" si="18"/>
        <v>28-29 Apr</v>
      </c>
      <c r="BK42" s="95">
        <f>IFERROR($M42+VLOOKUP($L42,'Voyage days'!$F$807:$H$878,3,FALSE),"")</f>
        <v>46140</v>
      </c>
      <c r="BL42" s="95">
        <f>IFERROR($N42+VLOOKUP($L42,'Voyage days'!$F$807:$H$878,3,FALSE),"")</f>
        <v>46141</v>
      </c>
      <c r="BM42" s="95">
        <f>IFERROR($N42+VLOOKUP($L42,'Voyage days'!$F$807:$K$878,6,FALSE),"")</f>
        <v>46133</v>
      </c>
      <c r="BN42" s="94" t="str">
        <f>IF(L42="loads AG", IFERROR($M42+VLOOKUP($L42,'Voyage days'!$M$38:$O$38,3,FALSE),""),"")</f>
        <v/>
      </c>
      <c r="BO42" s="94" t="str">
        <f>IF(L42="loads USG", IFERROR($M42+VLOOKUP($L42,'Voyage days'!$L$203:$N$203,3,FALSE),""),"")</f>
        <v/>
      </c>
    </row>
    <row r="43" spans="1:68" ht="15.75" customHeight="1" x14ac:dyDescent="0.25">
      <c r="A43" s="53" t="s">
        <v>252</v>
      </c>
      <c r="B43" s="75">
        <v>43570</v>
      </c>
      <c r="C43" s="76">
        <v>83000</v>
      </c>
      <c r="D43" s="77"/>
      <c r="E43" s="77"/>
      <c r="F43" s="78"/>
      <c r="G43" s="78"/>
      <c r="H43" s="78" t="s">
        <v>739</v>
      </c>
      <c r="I43" s="260" t="s">
        <v>813</v>
      </c>
      <c r="J43" s="80" t="str">
        <f t="shared" ref="J43:J68" si="20">IF(W43="","NO AIS",IF((W43-M43-1)&gt;0,"Update",""))</f>
        <v>NO AIS</v>
      </c>
      <c r="K43" s="81"/>
      <c r="L43" s="82" t="s">
        <v>704</v>
      </c>
      <c r="M43" s="262">
        <v>46151</v>
      </c>
      <c r="N43" s="83">
        <v>46152</v>
      </c>
      <c r="O43" s="206"/>
      <c r="P43" s="78" t="s">
        <v>827</v>
      </c>
      <c r="Q43" s="82"/>
      <c r="R43" s="82" t="s">
        <v>828</v>
      </c>
      <c r="S43" s="120" t="s">
        <v>724</v>
      </c>
      <c r="T43" s="232">
        <v>46132</v>
      </c>
      <c r="U43" s="87" t="str">
        <f>IF(V43="","No AIS",VLOOKUP(V43,'Voyage days'!$A$3:$B$1480,2,FALSE))</f>
        <v>No AIS</v>
      </c>
      <c r="V43" s="88" t="str">
        <f>IF(VLOOKUP(A43,'1) Kpler'!$E$2:$P$1000,8, FALSE)="","",VLOOKUP(A43,'1) Kpler'!$E$2:$P$1000,8, FALSE))</f>
        <v/>
      </c>
      <c r="W43" s="89" t="str">
        <f>IF(VLOOKUP(A43,'1) Kpler'!$E$2:$P$1000,9,FALSE)="","",VLOOKUP(A43,'1) Kpler'!$E$2:$P$1000,9,FALSE))</f>
        <v/>
      </c>
      <c r="X43" s="88" t="str">
        <f>VLOOKUP(A43,'1) Kpler'!$E$2:$I$1000,4,FALSE)</f>
        <v>loaded</v>
      </c>
      <c r="Y43" s="90" t="str">
        <f t="shared" si="0"/>
        <v>27-28 May</v>
      </c>
      <c r="Z43" s="90" t="str">
        <f t="shared" si="1"/>
        <v>08-09 Jun</v>
      </c>
      <c r="AA43" s="90" t="str">
        <f t="shared" si="2"/>
        <v>16-17 Jun</v>
      </c>
      <c r="AB43" s="90" t="str">
        <f t="shared" si="3"/>
        <v>08-09 Jun</v>
      </c>
      <c r="AC43" s="90" t="str">
        <f t="shared" si="4"/>
        <v>14-15 Jun</v>
      </c>
      <c r="AD43" s="90" t="str">
        <f t="shared" si="5"/>
        <v>17-18 May</v>
      </c>
      <c r="AE43" s="91" t="str">
        <f t="shared" si="6"/>
        <v>17-18 May</v>
      </c>
      <c r="AF43" s="92" t="str">
        <f t="shared" si="7"/>
        <v>24-25 Jun</v>
      </c>
      <c r="AG43" s="93" t="str">
        <f t="shared" si="8"/>
        <v>27-28 May</v>
      </c>
      <c r="AH43" s="94">
        <f>IFERROR($M43+VLOOKUP($L43,'Voyage days'!$F$38:$H$89,3,FALSE),"")</f>
        <v>46169</v>
      </c>
      <c r="AI43" s="94">
        <f>IFERROR(N43+VLOOKUP($L43,'Voyage days'!$F$38:$H$89,3,FALSE),"")</f>
        <v>46170</v>
      </c>
      <c r="AJ43" s="93" t="str">
        <f t="shared" si="9"/>
        <v>08-09 Jun</v>
      </c>
      <c r="AK43" s="94">
        <f>IFERROR($M43+VLOOKUP($L43,'Voyage days'!$F$94:$H$193,3,FALSE),"")</f>
        <v>46181</v>
      </c>
      <c r="AL43" s="94">
        <f>IFERROR($N43+VLOOKUP($L43,'Voyage days'!$F$94:$H$193,3,FALSE),"")</f>
        <v>46182</v>
      </c>
      <c r="AM43" s="93" t="str">
        <f t="shared" si="10"/>
        <v>16-17 Jun</v>
      </c>
      <c r="AN43" s="94">
        <f>IFERROR($M43+VLOOKUP($L43,'Voyage days'!$F$203:$H$256,3,FALSE),"")</f>
        <v>46189</v>
      </c>
      <c r="AO43" s="94">
        <f>IFERROR($N43+VLOOKUP($L43,'Voyage days'!$F$203:$H$256,3,FALSE),"")</f>
        <v>46190</v>
      </c>
      <c r="AP43" s="93" t="str">
        <f t="shared" si="11"/>
        <v>08-09 Jun</v>
      </c>
      <c r="AQ43" s="94">
        <f>IFERROR($M43+VLOOKUP($L43,'Voyage days'!$F$294:$H$377,3,FALSE),"")</f>
        <v>46181</v>
      </c>
      <c r="AR43" s="94">
        <f>IFERROR($N43+VLOOKUP($L43,'Voyage days'!$F$294:$H$377,3,FALSE),"")</f>
        <v>46182</v>
      </c>
      <c r="AS43" s="93" t="str">
        <f t="shared" si="12"/>
        <v>14-15 Jun</v>
      </c>
      <c r="AT43" s="94">
        <f>IFERROR($M43+VLOOKUP($L43,'Voyage days'!$F$382:$H$446,3,FALSE),"")</f>
        <v>46187</v>
      </c>
      <c r="AU43" s="94">
        <f>IFERROR($N43+VLOOKUP($L43,'Voyage days'!$F$382:$H$446,3,FALSE),"")</f>
        <v>46188</v>
      </c>
      <c r="AV43" s="93" t="str">
        <f t="shared" si="13"/>
        <v>22-23 May</v>
      </c>
      <c r="AW43" s="94">
        <f>IFERROR($M43+VLOOKUP($L43,'Voyage days'!$F$483:$H$538,3,FALSE),"")</f>
        <v>46164</v>
      </c>
      <c r="AX43" s="94">
        <f>IFERROR($N43+VLOOKUP($L43,'Voyage days'!$F$483:$H$538,3,FALSE),"")</f>
        <v>46165</v>
      </c>
      <c r="AY43" s="93" t="str">
        <f t="shared" si="14"/>
        <v>17-18 May</v>
      </c>
      <c r="AZ43" s="94">
        <f>IFERROR($M43+VLOOKUP($L43,'Voyage days'!$F$540:$H$613,3,FALSE),"")</f>
        <v>46159.25</v>
      </c>
      <c r="BA43" s="94">
        <f>IFERROR($N43+VLOOKUP($L43,'Voyage days'!$F$540:$H$613,3,FALSE),"")</f>
        <v>46160.25</v>
      </c>
      <c r="BB43" s="93" t="str">
        <f t="shared" si="15"/>
        <v>17-18 May</v>
      </c>
      <c r="BC43" s="94">
        <f>IFERROR($M43+VLOOKUP($L43,'Voyage days'!$F$448:$H$479,3,FALSE),"")</f>
        <v>46159</v>
      </c>
      <c r="BD43" s="94">
        <f>IFERROR($N43+VLOOKUP($L43,'Voyage days'!$F$448:$H$479,3,FALSE),"")</f>
        <v>46160</v>
      </c>
      <c r="BE43" s="93" t="str">
        <f t="shared" si="16"/>
        <v>20-21 May</v>
      </c>
      <c r="BF43" s="95">
        <f>IFERROR($M43+VLOOKUP($L43,'Voyage days'!$F$620:$H$646,3,FALSE),"")</f>
        <v>46162</v>
      </c>
      <c r="BG43" s="95">
        <f>IFERROR($N43+VLOOKUP($L43,'Voyage days'!$F$620:$H$646,3,FALSE),"")</f>
        <v>46163</v>
      </c>
      <c r="BH43" s="93" t="str">
        <f t="shared" si="17"/>
        <v>17-25 Jun</v>
      </c>
      <c r="BI43" s="96">
        <f>IFERROR($M43+VLOOKUP($L43,'Voyage days'!$F$702:$H$727,3,FALSE),"")</f>
        <v>46159.25</v>
      </c>
      <c r="BJ43" s="93" t="str">
        <f t="shared" si="18"/>
        <v>24-25 Jun</v>
      </c>
      <c r="BK43" s="95">
        <f>IFERROR($M43+VLOOKUP($L43,'Voyage days'!$F$807:$H$878,3,FALSE),"")</f>
        <v>46197</v>
      </c>
      <c r="BL43" s="95">
        <f>IFERROR($N43+VLOOKUP($L43,'Voyage days'!$F$807:$H$878,3,FALSE),"")</f>
        <v>46198</v>
      </c>
      <c r="BM43" s="95">
        <f>IFERROR($N43+VLOOKUP($L43,'Voyage days'!$F$807:$K$878,6,FALSE),"")</f>
        <v>46172</v>
      </c>
      <c r="BN43" s="94" t="str">
        <f>IF(L43="loads AG", IFERROR($M43+VLOOKUP($L43,'Voyage days'!$M$38:$O$38,3,FALSE),""),"")</f>
        <v/>
      </c>
      <c r="BO43" s="94" t="str">
        <f>IF(L43="loads USG", IFERROR($M43+VLOOKUP($L43,'Voyage days'!$L$203:$N$203,3,FALSE),""),"")</f>
        <v/>
      </c>
    </row>
    <row r="44" spans="1:68" ht="15.75" customHeight="1" x14ac:dyDescent="0.25">
      <c r="A44" s="236" t="s">
        <v>283</v>
      </c>
      <c r="B44" s="119">
        <v>2021</v>
      </c>
      <c r="C44" s="76">
        <v>84000</v>
      </c>
      <c r="D44" s="77"/>
      <c r="E44" s="77"/>
      <c r="F44" s="78"/>
      <c r="G44" s="78"/>
      <c r="H44" s="78" t="s">
        <v>739</v>
      </c>
      <c r="I44" s="260" t="s">
        <v>813</v>
      </c>
      <c r="J44" s="80" t="str">
        <f t="shared" si="20"/>
        <v/>
      </c>
      <c r="K44" s="81"/>
      <c r="L44" s="82" t="s">
        <v>718</v>
      </c>
      <c r="M44" s="83">
        <v>46133</v>
      </c>
      <c r="N44" s="83">
        <v>46134</v>
      </c>
      <c r="O44" s="84"/>
      <c r="P44" s="78" t="s">
        <v>829</v>
      </c>
      <c r="Q44" s="82"/>
      <c r="R44" s="82" t="s">
        <v>830</v>
      </c>
      <c r="S44" s="120" t="s">
        <v>724</v>
      </c>
      <c r="T44" s="232">
        <v>46132</v>
      </c>
      <c r="U44" s="87" t="str">
        <f>IF(V44="","No AIS",VLOOKUP(V44,'Voyage days'!$A$3:$B$1480,2,FALSE))</f>
        <v>USG</v>
      </c>
      <c r="V44" s="88" t="str">
        <f>IF(VLOOKUP(A44,'1) Kpler'!$E$2:$P$1000,8, FALSE)="","",VLOOKUP(A44,'1) Kpler'!$E$2:$P$1000,8, FALSE))</f>
        <v>Energy Transfer Nederland</v>
      </c>
      <c r="W44" s="89">
        <f>IF(VLOOKUP(A44,'1) Kpler'!$E$2:$P$1000,9,FALSE)="","",VLOOKUP(A44,'1) Kpler'!$E$2:$P$1000,9,FALSE))</f>
        <v>46133.791666666664</v>
      </c>
      <c r="X44" s="88" t="str">
        <f>VLOOKUP(A44,'1) Kpler'!$E$2:$I$1000,4,FALSE)</f>
        <v>ballast</v>
      </c>
      <c r="Y44" s="63" t="str">
        <f t="shared" si="0"/>
        <v/>
      </c>
      <c r="Z44" s="63" t="str">
        <f t="shared" si="1"/>
        <v>21-22 Apr</v>
      </c>
      <c r="AA44" s="63" t="str">
        <f t="shared" si="2"/>
        <v>21-22 Apr</v>
      </c>
      <c r="AB44" s="63" t="str">
        <f t="shared" si="3"/>
        <v/>
      </c>
      <c r="AC44" s="63" t="str">
        <f t="shared" si="4"/>
        <v>11-12 May</v>
      </c>
      <c r="AD44" s="63" t="str">
        <f t="shared" si="5"/>
        <v/>
      </c>
      <c r="AE44" s="129" t="str">
        <f t="shared" si="6"/>
        <v/>
      </c>
      <c r="AF44" s="130" t="str">
        <f t="shared" si="7"/>
        <v/>
      </c>
      <c r="AG44" s="93" t="str">
        <f t="shared" si="8"/>
        <v/>
      </c>
      <c r="AH44" s="94" t="str">
        <f>IFERROR($M44+VLOOKUP($L44,'Voyage days'!$F$38:$H$89,3,FALSE),"")</f>
        <v/>
      </c>
      <c r="AI44" s="94" t="str">
        <f>IFERROR(N44+VLOOKUP($L44,'Voyage days'!$F$38:$H$89,3,FALSE),"")</f>
        <v/>
      </c>
      <c r="AJ44" s="93" t="str">
        <f t="shared" si="9"/>
        <v>21-22 Apr</v>
      </c>
      <c r="AK44" s="94">
        <f>IFERROR($M44+VLOOKUP($L44,'Voyage days'!$F$94:$H$193,3,FALSE),"")</f>
        <v>46133</v>
      </c>
      <c r="AL44" s="94">
        <f>IFERROR($N44+VLOOKUP($L44,'Voyage days'!$F$94:$H$193,3,FALSE),"")</f>
        <v>46134</v>
      </c>
      <c r="AM44" s="93" t="str">
        <f t="shared" si="10"/>
        <v>21-22 Apr</v>
      </c>
      <c r="AN44" s="94">
        <f>IFERROR($M44+VLOOKUP($L44,'Voyage days'!$F$203:$H$256,3,FALSE),"")</f>
        <v>46133</v>
      </c>
      <c r="AO44" s="94">
        <f>IFERROR($N44+VLOOKUP($L44,'Voyage days'!$F$203:$H$256,3,FALSE),"")</f>
        <v>46134</v>
      </c>
      <c r="AP44" s="93" t="str">
        <f t="shared" si="11"/>
        <v/>
      </c>
      <c r="AQ44" s="94" t="str">
        <f>IFERROR($M44+VLOOKUP($L44,'Voyage days'!$F$294:$H$377,3,FALSE),"")</f>
        <v/>
      </c>
      <c r="AR44" s="94" t="str">
        <f>IFERROR($N44+VLOOKUP($L44,'Voyage days'!$F$294:$H$377,3,FALSE),"")</f>
        <v/>
      </c>
      <c r="AS44" s="93" t="str">
        <f t="shared" si="12"/>
        <v>11-12 May</v>
      </c>
      <c r="AT44" s="94">
        <f>IFERROR($M44+VLOOKUP($L44,'Voyage days'!$F$382:$H$446,3,FALSE),"")</f>
        <v>46153</v>
      </c>
      <c r="AU44" s="94">
        <f>IFERROR($N44+VLOOKUP($L44,'Voyage days'!$F$382:$H$446,3,FALSE),"")</f>
        <v>46154</v>
      </c>
      <c r="AV44" s="93" t="str">
        <f t="shared" si="13"/>
        <v/>
      </c>
      <c r="AW44" s="94" t="str">
        <f>IFERROR($M44+VLOOKUP($L44,'Voyage days'!$F$483:$H$538,3,FALSE),"")</f>
        <v/>
      </c>
      <c r="AX44" s="94" t="str">
        <f>IFERROR($N44+VLOOKUP($L44,'Voyage days'!$F$483:$H$538,3,FALSE),"")</f>
        <v/>
      </c>
      <c r="AY44" s="93" t="str">
        <f t="shared" si="14"/>
        <v/>
      </c>
      <c r="AZ44" s="94" t="str">
        <f>IFERROR($M44+VLOOKUP($L44,'Voyage days'!$F$540:$H$613,3,FALSE),"")</f>
        <v/>
      </c>
      <c r="BA44" s="94" t="str">
        <f>IFERROR($N44+VLOOKUP($L44,'Voyage days'!$F$540:$H$613,3,FALSE),"")</f>
        <v/>
      </c>
      <c r="BB44" s="93" t="str">
        <f t="shared" si="15"/>
        <v/>
      </c>
      <c r="BC44" s="94" t="str">
        <f>IFERROR($M44+VLOOKUP($L44,'Voyage days'!$F$448:$H$479,3,FALSE),"")</f>
        <v/>
      </c>
      <c r="BD44" s="94" t="str">
        <f>IFERROR($N44+VLOOKUP($L44,'Voyage days'!$F$448:$H$479,3,FALSE),"")</f>
        <v/>
      </c>
      <c r="BE44" s="93" t="str">
        <f t="shared" si="16"/>
        <v/>
      </c>
      <c r="BF44" s="95" t="str">
        <f>IFERROR($M44+VLOOKUP($L44,'Voyage days'!$F$620:$H$646,3,FALSE),"")</f>
        <v/>
      </c>
      <c r="BG44" s="95" t="str">
        <f>IFERROR($N44+VLOOKUP($L44,'Voyage days'!$F$620:$H$646,3,FALSE),"")</f>
        <v/>
      </c>
      <c r="BH44" s="93" t="str">
        <f t="shared" si="17"/>
        <v/>
      </c>
      <c r="BI44" s="96" t="str">
        <f>IFERROR($M44+VLOOKUP($L44,'Voyage days'!$F$702:$H$727,3,FALSE),"")</f>
        <v/>
      </c>
      <c r="BJ44" s="93" t="str">
        <f t="shared" si="18"/>
        <v/>
      </c>
      <c r="BK44" s="95" t="str">
        <f>IFERROR($M44+VLOOKUP($L44,'Voyage days'!$F$807:$H$878,3,FALSE),"")</f>
        <v/>
      </c>
      <c r="BL44" s="95" t="str">
        <f>IFERROR($N44+VLOOKUP($L44,'Voyage days'!$F$807:$H$878,3,FALSE),"")</f>
        <v/>
      </c>
      <c r="BM44" s="95" t="str">
        <f>IFERROR($N44+VLOOKUP($L44,'Voyage days'!$F$807:$K$878,6,FALSE),"")</f>
        <v/>
      </c>
      <c r="BN44" s="94" t="str">
        <f>IF(L44="loads AG", IFERROR($M44+VLOOKUP($L44,'Voyage days'!$M$38:$O$38,3,FALSE),""),"")</f>
        <v/>
      </c>
      <c r="BO44" s="94">
        <f>IF(L44="loads USG", IFERROR($M44+VLOOKUP($L44,'Voyage days'!$L$203:$N$203,3,FALSE),""),"")</f>
        <v>46165</v>
      </c>
    </row>
    <row r="45" spans="1:68" ht="15.75" customHeight="1" x14ac:dyDescent="0.25">
      <c r="A45" s="263" t="s">
        <v>285</v>
      </c>
      <c r="B45" s="119">
        <v>2021</v>
      </c>
      <c r="C45" s="76">
        <v>84000</v>
      </c>
      <c r="D45" s="77"/>
      <c r="E45" s="77"/>
      <c r="F45" s="78"/>
      <c r="G45" s="78"/>
      <c r="H45" s="78" t="s">
        <v>739</v>
      </c>
      <c r="I45" s="260" t="s">
        <v>813</v>
      </c>
      <c r="J45" s="80" t="str">
        <f t="shared" si="20"/>
        <v/>
      </c>
      <c r="K45" s="81"/>
      <c r="L45" s="82" t="s">
        <v>797</v>
      </c>
      <c r="M45" s="83">
        <v>46149</v>
      </c>
      <c r="N45" s="83">
        <v>46150</v>
      </c>
      <c r="O45" s="84" t="s">
        <v>779</v>
      </c>
      <c r="P45" s="264" t="s">
        <v>831</v>
      </c>
      <c r="Q45" s="82"/>
      <c r="R45" s="82" t="s">
        <v>832</v>
      </c>
      <c r="S45" s="120" t="s">
        <v>724</v>
      </c>
      <c r="T45" s="232">
        <v>46132</v>
      </c>
      <c r="U45" s="87" t="str">
        <f>IF(V45="","No AIS",VLOOKUP(V45,'Voyage days'!$A$3:$B$1480,2,FALSE))</f>
        <v>Suez + 7</v>
      </c>
      <c r="V45" s="88" t="str">
        <f>IF(VLOOKUP(A45,'1) Kpler'!$E$2:$P$1000,8, FALSE)="","",VLOOKUP(A45,'1) Kpler'!$E$2:$P$1000,8, FALSE))</f>
        <v>Port Said</v>
      </c>
      <c r="W45" s="89">
        <f>IF(VLOOKUP(A45,'1) Kpler'!$E$2:$P$1000,9,FALSE)="","",VLOOKUP(A45,'1) Kpler'!$E$2:$P$1000,9,FALSE))</f>
        <v>46142.166666666664</v>
      </c>
      <c r="X45" s="88" t="str">
        <f>VLOOKUP(A45,'1) Kpler'!$E$2:$I$1000,4,FALSE)</f>
        <v>loaded</v>
      </c>
      <c r="Y45" s="90" t="str">
        <f t="shared" si="0"/>
        <v>16-17 May</v>
      </c>
      <c r="Z45" s="90" t="str">
        <f t="shared" si="1"/>
        <v>25-26 May</v>
      </c>
      <c r="AA45" s="90" t="str">
        <f t="shared" si="2"/>
        <v>28-29 May</v>
      </c>
      <c r="AB45" s="90" t="str">
        <f t="shared" si="3"/>
        <v>22-23 May</v>
      </c>
      <c r="AC45" s="90" t="str">
        <f t="shared" si="4"/>
        <v>15-16 May</v>
      </c>
      <c r="AD45" s="90" t="str">
        <f t="shared" si="5"/>
        <v/>
      </c>
      <c r="AE45" s="91" t="str">
        <f t="shared" si="6"/>
        <v/>
      </c>
      <c r="AF45" s="92" t="str">
        <f t="shared" si="7"/>
        <v>08-09 May</v>
      </c>
      <c r="AG45" s="93" t="str">
        <f t="shared" si="8"/>
        <v>16-17 May</v>
      </c>
      <c r="AH45" s="94">
        <f>IFERROR($M45+VLOOKUP($L45,'Voyage days'!$F$38:$H$89,3,FALSE),"")</f>
        <v>46158</v>
      </c>
      <c r="AI45" s="94">
        <f>IFERROR(N45+VLOOKUP($L45,'Voyage days'!$F$38:$H$89,3,FALSE),"")</f>
        <v>46159</v>
      </c>
      <c r="AJ45" s="93" t="str">
        <f t="shared" si="9"/>
        <v>25-26 May</v>
      </c>
      <c r="AK45" s="94">
        <f>IFERROR($M45+VLOOKUP($L45,'Voyage days'!$F$94:$H$193,3,FALSE),"")</f>
        <v>46167</v>
      </c>
      <c r="AL45" s="94">
        <f>IFERROR($N45+VLOOKUP($L45,'Voyage days'!$F$94:$H$193,3,FALSE),"")</f>
        <v>46168</v>
      </c>
      <c r="AM45" s="93" t="str">
        <f t="shared" si="10"/>
        <v>28-29 May</v>
      </c>
      <c r="AN45" s="94">
        <f>IFERROR($M45+VLOOKUP($L45,'Voyage days'!$F$203:$H$256,3,FALSE),"")</f>
        <v>46170</v>
      </c>
      <c r="AO45" s="94">
        <f>IFERROR($N45+VLOOKUP($L45,'Voyage days'!$F$203:$H$256,3,FALSE),"")</f>
        <v>46171</v>
      </c>
      <c r="AP45" s="93" t="str">
        <f t="shared" si="11"/>
        <v>22-23 May</v>
      </c>
      <c r="AQ45" s="94">
        <f>IFERROR($M45+VLOOKUP($L45,'Voyage days'!$F$294:$H$377,3,FALSE),"")</f>
        <v>46164</v>
      </c>
      <c r="AR45" s="94">
        <f>IFERROR($N45+VLOOKUP($L45,'Voyage days'!$F$294:$H$377,3,FALSE),"")</f>
        <v>46165</v>
      </c>
      <c r="AS45" s="93" t="str">
        <f t="shared" si="12"/>
        <v>15-16 May</v>
      </c>
      <c r="AT45" s="94">
        <f>IFERROR($M45+VLOOKUP($L45,'Voyage days'!$F$382:$H$446,3,FALSE),"")</f>
        <v>46157</v>
      </c>
      <c r="AU45" s="94">
        <f>IFERROR($N45+VLOOKUP($L45,'Voyage days'!$F$382:$H$446,3,FALSE),"")</f>
        <v>46158</v>
      </c>
      <c r="AV45" s="93" t="str">
        <f t="shared" si="13"/>
        <v/>
      </c>
      <c r="AW45" s="94" t="str">
        <f>IFERROR($M45+VLOOKUP($L45,'Voyage days'!$F$483:$H$538,3,FALSE),"")</f>
        <v/>
      </c>
      <c r="AX45" s="94" t="str">
        <f>IFERROR($N45+VLOOKUP($L45,'Voyage days'!$F$483:$H$538,3,FALSE),"")</f>
        <v/>
      </c>
      <c r="AY45" s="93" t="str">
        <f t="shared" si="14"/>
        <v/>
      </c>
      <c r="AZ45" s="94" t="str">
        <f>IFERROR($M45+VLOOKUP($L45,'Voyage days'!$F$540:$H$613,3,FALSE),"")</f>
        <v/>
      </c>
      <c r="BA45" s="94" t="str">
        <f>IFERROR($N45+VLOOKUP($L45,'Voyage days'!$F$540:$H$613,3,FALSE),"")</f>
        <v/>
      </c>
      <c r="BB45" s="93" t="str">
        <f t="shared" si="15"/>
        <v/>
      </c>
      <c r="BC45" s="94" t="str">
        <f>IFERROR($M45+VLOOKUP($L45,'Voyage days'!$F$448:$H$479,3,FALSE),"")</f>
        <v/>
      </c>
      <c r="BD45" s="94" t="str">
        <f>IFERROR($N45+VLOOKUP($L45,'Voyage days'!$F$448:$H$479,3,FALSE),"")</f>
        <v/>
      </c>
      <c r="BE45" s="93" t="str">
        <f t="shared" si="16"/>
        <v/>
      </c>
      <c r="BF45" s="95" t="str">
        <f>IFERROR($M45+VLOOKUP($L45,'Voyage days'!$F$620:$H$646,3,FALSE),"")</f>
        <v/>
      </c>
      <c r="BG45" s="95" t="str">
        <f>IFERROR($N45+VLOOKUP($L45,'Voyage days'!$F$620:$H$646,3,FALSE),"")</f>
        <v/>
      </c>
      <c r="BH45" s="93" t="str">
        <f t="shared" si="17"/>
        <v/>
      </c>
      <c r="BI45" s="96" t="str">
        <f>IFERROR($M45+VLOOKUP($L45,'Voyage days'!$F$702:$H$727,3,FALSE),"")</f>
        <v/>
      </c>
      <c r="BJ45" s="93" t="str">
        <f t="shared" si="18"/>
        <v>08-09 May</v>
      </c>
      <c r="BK45" s="95">
        <f>IFERROR($M45+VLOOKUP($L45,'Voyage days'!$F$807:$H$878,3,FALSE),"")</f>
        <v>46150.5</v>
      </c>
      <c r="BL45" s="95">
        <f>IFERROR($N45+VLOOKUP($L45,'Voyage days'!$F$807:$H$878,3,FALSE),"")</f>
        <v>46151.5</v>
      </c>
      <c r="BM45" s="95">
        <f>IFERROR($N45+VLOOKUP($L45,'Voyage days'!$F$807:$K$878,6,FALSE),"")</f>
        <v>46150</v>
      </c>
      <c r="BN45" s="94" t="str">
        <f>IF(L45="loads AG", IFERROR($M45+VLOOKUP($L45,'Voyage days'!$M$38:$O$38,3,FALSE),""),"")</f>
        <v/>
      </c>
      <c r="BO45" s="94" t="str">
        <f>IF(L45="loads USG", IFERROR($M45+VLOOKUP($L45,'Voyage days'!$L$203:$N$203,3,FALSE),""),"")</f>
        <v/>
      </c>
    </row>
    <row r="46" spans="1:68" ht="15.75" customHeight="1" x14ac:dyDescent="0.25">
      <c r="A46" s="74" t="s">
        <v>301</v>
      </c>
      <c r="B46" s="119">
        <v>2024</v>
      </c>
      <c r="C46" s="76">
        <v>87000</v>
      </c>
      <c r="D46" s="77"/>
      <c r="E46" s="77"/>
      <c r="F46" s="78"/>
      <c r="G46" s="78"/>
      <c r="H46" s="78" t="s">
        <v>713</v>
      </c>
      <c r="I46" s="260" t="s">
        <v>813</v>
      </c>
      <c r="J46" s="80" t="str">
        <f t="shared" si="20"/>
        <v/>
      </c>
      <c r="K46" s="81"/>
      <c r="L46" s="159" t="s">
        <v>718</v>
      </c>
      <c r="M46" s="83">
        <v>46137</v>
      </c>
      <c r="N46" s="83">
        <v>46138</v>
      </c>
      <c r="O46" s="84" t="s">
        <v>779</v>
      </c>
      <c r="P46" s="264" t="s">
        <v>833</v>
      </c>
      <c r="Q46" s="265"/>
      <c r="R46" s="82" t="s">
        <v>834</v>
      </c>
      <c r="S46" s="120" t="s">
        <v>724</v>
      </c>
      <c r="T46" s="232">
        <v>46132</v>
      </c>
      <c r="U46" s="87" t="str">
        <f>IF(V46="","No AIS",VLOOKUP(V46,'Voyage days'!$A$3:$B$1480,2,FALSE))</f>
        <v>USG</v>
      </c>
      <c r="V46" s="88" t="str">
        <f>IF(VLOOKUP(A46,'1) Kpler'!$E$2:$P$1000,8, FALSE)="","",VLOOKUP(A46,'1) Kpler'!$E$2:$P$1000,8, FALSE))</f>
        <v>Houston</v>
      </c>
      <c r="W46" s="89">
        <f>IF(VLOOKUP(A46,'1) Kpler'!$E$2:$P$1000,9,FALSE)="","",VLOOKUP(A46,'1) Kpler'!$E$2:$P$1000,9,FALSE))</f>
        <v>46137.000694444447</v>
      </c>
      <c r="X46" s="88" t="str">
        <f>VLOOKUP(A46,'1) Kpler'!$E$2:$I$1000,4,FALSE)</f>
        <v>ballast</v>
      </c>
      <c r="Y46" s="63" t="str">
        <f t="shared" si="0"/>
        <v/>
      </c>
      <c r="Z46" s="63" t="str">
        <f t="shared" si="1"/>
        <v>25-26 Apr</v>
      </c>
      <c r="AA46" s="63" t="str">
        <f t="shared" si="2"/>
        <v>25-26 Apr</v>
      </c>
      <c r="AB46" s="63" t="str">
        <f t="shared" si="3"/>
        <v/>
      </c>
      <c r="AC46" s="63" t="str">
        <f t="shared" si="4"/>
        <v>15-16 May</v>
      </c>
      <c r="AD46" s="63" t="str">
        <f t="shared" si="5"/>
        <v/>
      </c>
      <c r="AE46" s="129" t="str">
        <f t="shared" si="6"/>
        <v/>
      </c>
      <c r="AF46" s="130" t="str">
        <f t="shared" si="7"/>
        <v/>
      </c>
      <c r="AG46" s="93" t="str">
        <f t="shared" si="8"/>
        <v/>
      </c>
      <c r="AH46" s="94" t="str">
        <f>IFERROR($M46+VLOOKUP($L46,'Voyage days'!$F$38:$H$89,3,FALSE),"")</f>
        <v/>
      </c>
      <c r="AI46" s="94" t="str">
        <f>IFERROR(N46+VLOOKUP($L46,'Voyage days'!$F$38:$H$89,3,FALSE),"")</f>
        <v/>
      </c>
      <c r="AJ46" s="93" t="str">
        <f t="shared" si="9"/>
        <v>25-26 Apr</v>
      </c>
      <c r="AK46" s="94">
        <f>IFERROR($M46+VLOOKUP($L46,'Voyage days'!$F$94:$H$193,3,FALSE),"")</f>
        <v>46137</v>
      </c>
      <c r="AL46" s="94">
        <f>IFERROR($N46+VLOOKUP($L46,'Voyage days'!$F$94:$H$193,3,FALSE),"")</f>
        <v>46138</v>
      </c>
      <c r="AM46" s="93" t="str">
        <f t="shared" si="10"/>
        <v>25-26 Apr</v>
      </c>
      <c r="AN46" s="94">
        <f>IFERROR($M46+VLOOKUP($L46,'Voyage days'!$F$203:$H$256,3,FALSE),"")</f>
        <v>46137</v>
      </c>
      <c r="AO46" s="94">
        <f>IFERROR($N46+VLOOKUP($L46,'Voyage days'!$F$203:$H$256,3,FALSE),"")</f>
        <v>46138</v>
      </c>
      <c r="AP46" s="93" t="str">
        <f t="shared" si="11"/>
        <v/>
      </c>
      <c r="AQ46" s="94" t="str">
        <f>IFERROR($M46+VLOOKUP($L46,'Voyage days'!$F$294:$H$377,3,FALSE),"")</f>
        <v/>
      </c>
      <c r="AR46" s="94" t="str">
        <f>IFERROR($N46+VLOOKUP($L46,'Voyage days'!$F$294:$H$377,3,FALSE),"")</f>
        <v/>
      </c>
      <c r="AS46" s="93" t="str">
        <f t="shared" si="12"/>
        <v>15-16 May</v>
      </c>
      <c r="AT46" s="94">
        <f>IFERROR($M46+VLOOKUP($L46,'Voyage days'!$F$382:$H$446,3,FALSE),"")</f>
        <v>46157</v>
      </c>
      <c r="AU46" s="94">
        <f>IFERROR($N46+VLOOKUP($L46,'Voyage days'!$F$382:$H$446,3,FALSE),"")</f>
        <v>46158</v>
      </c>
      <c r="AV46" s="93" t="str">
        <f t="shared" si="13"/>
        <v/>
      </c>
      <c r="AW46" s="94" t="str">
        <f>IFERROR($M46+VLOOKUP($L46,'Voyage days'!$F$483:$H$538,3,FALSE),"")</f>
        <v/>
      </c>
      <c r="AX46" s="94" t="str">
        <f>IFERROR($N46+VLOOKUP($L46,'Voyage days'!$F$483:$H$538,3,FALSE),"")</f>
        <v/>
      </c>
      <c r="AY46" s="93" t="str">
        <f t="shared" si="14"/>
        <v/>
      </c>
      <c r="AZ46" s="94" t="str">
        <f>IFERROR($M46+VLOOKUP($L46,'Voyage days'!$F$540:$H$613,3,FALSE),"")</f>
        <v/>
      </c>
      <c r="BA46" s="94" t="str">
        <f>IFERROR($N46+VLOOKUP($L46,'Voyage days'!$F$540:$H$613,3,FALSE),"")</f>
        <v/>
      </c>
      <c r="BB46" s="93" t="str">
        <f t="shared" si="15"/>
        <v/>
      </c>
      <c r="BC46" s="94" t="str">
        <f>IFERROR($M46+VLOOKUP($L46,'Voyage days'!$F$448:$H$479,3,FALSE),"")</f>
        <v/>
      </c>
      <c r="BD46" s="94" t="str">
        <f>IFERROR($N46+VLOOKUP($L46,'Voyage days'!$F$448:$H$479,3,FALSE),"")</f>
        <v/>
      </c>
      <c r="BE46" s="93" t="str">
        <f t="shared" si="16"/>
        <v/>
      </c>
      <c r="BF46" s="95" t="str">
        <f>IFERROR($M46+VLOOKUP($L46,'Voyage days'!$F$620:$H$646,3,FALSE),"")</f>
        <v/>
      </c>
      <c r="BG46" s="95" t="str">
        <f>IFERROR($N46+VLOOKUP($L46,'Voyage days'!$F$620:$H$646,3,FALSE),"")</f>
        <v/>
      </c>
      <c r="BH46" s="93" t="str">
        <f t="shared" si="17"/>
        <v/>
      </c>
      <c r="BI46" s="96" t="str">
        <f>IFERROR($M46+VLOOKUP($L46,'Voyage days'!$F$702:$H$727,3,FALSE),"")</f>
        <v/>
      </c>
      <c r="BJ46" s="93" t="str">
        <f t="shared" si="18"/>
        <v/>
      </c>
      <c r="BK46" s="95" t="str">
        <f>IFERROR($M46+VLOOKUP($L46,'Voyage days'!$F$807:$H$878,3,FALSE),"")</f>
        <v/>
      </c>
      <c r="BL46" s="95" t="str">
        <f>IFERROR($N46+VLOOKUP($L46,'Voyage days'!$F$807:$H$878,3,FALSE),"")</f>
        <v/>
      </c>
      <c r="BM46" s="95" t="str">
        <f>IFERROR($N46+VLOOKUP($L46,'Voyage days'!$F$807:$K$878,6,FALSE),"")</f>
        <v/>
      </c>
      <c r="BN46" s="94" t="str">
        <f>IF(L46="loads AG", IFERROR($M46+VLOOKUP($L46,'Voyage days'!$M$38:$O$38,3,FALSE),""),"")</f>
        <v/>
      </c>
      <c r="BO46" s="94">
        <f>IF(L46="loads USG", IFERROR($M46+VLOOKUP($L46,'Voyage days'!$L$203:$N$203,3,FALSE),""),"")</f>
        <v>46169</v>
      </c>
    </row>
    <row r="47" spans="1:68" ht="15.75" customHeight="1" x14ac:dyDescent="0.25">
      <c r="A47" s="263" t="s">
        <v>300</v>
      </c>
      <c r="B47" s="98">
        <v>2021</v>
      </c>
      <c r="C47" s="76">
        <v>84000</v>
      </c>
      <c r="D47" s="77"/>
      <c r="E47" s="77"/>
      <c r="F47" s="78"/>
      <c r="G47" s="78"/>
      <c r="H47" s="78" t="s">
        <v>739</v>
      </c>
      <c r="I47" s="260" t="s">
        <v>813</v>
      </c>
      <c r="J47" s="80" t="str">
        <f t="shared" si="20"/>
        <v/>
      </c>
      <c r="K47" s="81"/>
      <c r="L47" s="82" t="s">
        <v>759</v>
      </c>
      <c r="M47" s="83">
        <v>46133</v>
      </c>
      <c r="N47" s="83">
        <v>46134</v>
      </c>
      <c r="O47" s="206"/>
      <c r="P47" s="82" t="s">
        <v>835</v>
      </c>
      <c r="Q47" s="82"/>
      <c r="R47" s="82" t="s">
        <v>836</v>
      </c>
      <c r="S47" s="120" t="s">
        <v>724</v>
      </c>
      <c r="T47" s="232">
        <v>46132</v>
      </c>
      <c r="U47" s="87" t="str">
        <f>IF(V47="","No AIS",VLOOKUP(V47,'Voyage days'!$A$3:$B$1480,2,FALSE))</f>
        <v>Port Louis</v>
      </c>
      <c r="V47" s="88" t="str">
        <f>IF(VLOOKUP(A47,'1) Kpler'!$E$2:$P$1000,8, FALSE)="","",VLOOKUP(A47,'1) Kpler'!$E$2:$P$1000,8, FALSE))</f>
        <v>Port Louis</v>
      </c>
      <c r="W47" s="89">
        <f>IF(VLOOKUP(A47,'1) Kpler'!$E$2:$P$1000,9,FALSE)="","",VLOOKUP(A47,'1) Kpler'!$E$2:$P$1000,9,FALSE))</f>
        <v>46132.708333333336</v>
      </c>
      <c r="X47" s="88" t="str">
        <f>VLOOKUP(A47,'1) Kpler'!$E$2:$I$1000,4,FALSE)</f>
        <v>ballast</v>
      </c>
      <c r="Y47" s="90" t="str">
        <f t="shared" si="0"/>
        <v/>
      </c>
      <c r="Z47" s="90" t="str">
        <f t="shared" si="1"/>
        <v/>
      </c>
      <c r="AA47" s="90" t="str">
        <f t="shared" si="2"/>
        <v>17-18 May</v>
      </c>
      <c r="AB47" s="90" t="str">
        <f t="shared" si="3"/>
        <v>04-05 May</v>
      </c>
      <c r="AC47" s="90" t="str">
        <f t="shared" si="4"/>
        <v>13-14 May</v>
      </c>
      <c r="AD47" s="90" t="str">
        <f t="shared" si="5"/>
        <v/>
      </c>
      <c r="AE47" s="91" t="str">
        <f t="shared" si="6"/>
        <v/>
      </c>
      <c r="AF47" s="92" t="str">
        <f t="shared" si="7"/>
        <v>18-19 May</v>
      </c>
      <c r="AG47" s="93" t="str">
        <f t="shared" si="8"/>
        <v/>
      </c>
      <c r="AH47" s="94" t="str">
        <f>IFERROR($M47+VLOOKUP($L47,'Voyage days'!$F$38:$H$89,3,FALSE),"")</f>
        <v/>
      </c>
      <c r="AI47" s="94" t="str">
        <f>IFERROR(N47+VLOOKUP($L47,'Voyage days'!$F$38:$H$89,3,FALSE),"")</f>
        <v/>
      </c>
      <c r="AJ47" s="93" t="str">
        <f t="shared" si="9"/>
        <v/>
      </c>
      <c r="AK47" s="94" t="str">
        <f>IFERROR($M47+VLOOKUP($L47,'Voyage days'!$F$94:$H$193,3,FALSE),"")</f>
        <v/>
      </c>
      <c r="AL47" s="94" t="str">
        <f>IFERROR($N47+VLOOKUP($L47,'Voyage days'!$F$94:$H$193,3,FALSE),"")</f>
        <v/>
      </c>
      <c r="AM47" s="93" t="str">
        <f t="shared" si="10"/>
        <v>17-18 May</v>
      </c>
      <c r="AN47" s="94">
        <f>IFERROR($M47+VLOOKUP($L47,'Voyage days'!$F$203:$H$256,3,FALSE),"")</f>
        <v>46159</v>
      </c>
      <c r="AO47" s="94">
        <f>IFERROR($N47+VLOOKUP($L47,'Voyage days'!$F$203:$H$256,3,FALSE),"")</f>
        <v>46160</v>
      </c>
      <c r="AP47" s="93" t="str">
        <f t="shared" si="11"/>
        <v>04-05 May</v>
      </c>
      <c r="AQ47" s="94">
        <f>IFERROR($M47+VLOOKUP($L47,'Voyage days'!$F$294:$H$377,3,FALSE),"")</f>
        <v>46146</v>
      </c>
      <c r="AR47" s="94">
        <f>IFERROR($N47+VLOOKUP($L47,'Voyage days'!$F$294:$H$377,3,FALSE),"")</f>
        <v>46147</v>
      </c>
      <c r="AS47" s="93" t="str">
        <f t="shared" si="12"/>
        <v>13-14 May</v>
      </c>
      <c r="AT47" s="94">
        <f>IFERROR($M47+VLOOKUP($L47,'Voyage days'!$F$382:$H$446,3,FALSE),"")</f>
        <v>46155</v>
      </c>
      <c r="AU47" s="94">
        <f>IFERROR($N47+VLOOKUP($L47,'Voyage days'!$F$382:$H$446,3,FALSE),"")</f>
        <v>46156</v>
      </c>
      <c r="AV47" s="93" t="str">
        <f t="shared" si="13"/>
        <v/>
      </c>
      <c r="AW47" s="94" t="str">
        <f>IFERROR($M47+VLOOKUP($L47,'Voyage days'!$F$483:$H$538,3,FALSE),"")</f>
        <v/>
      </c>
      <c r="AX47" s="94" t="str">
        <f>IFERROR($N47+VLOOKUP($L47,'Voyage days'!$F$483:$H$538,3,FALSE),"")</f>
        <v/>
      </c>
      <c r="AY47" s="93" t="str">
        <f t="shared" si="14"/>
        <v/>
      </c>
      <c r="AZ47" s="94" t="str">
        <f>IFERROR($M47+VLOOKUP($L47,'Voyage days'!$F$540:$H$613,3,FALSE),"")</f>
        <v/>
      </c>
      <c r="BA47" s="94" t="str">
        <f>IFERROR($N47+VLOOKUP($L47,'Voyage days'!$F$540:$H$613,3,FALSE),"")</f>
        <v/>
      </c>
      <c r="BB47" s="93" t="str">
        <f t="shared" si="15"/>
        <v/>
      </c>
      <c r="BC47" s="94" t="str">
        <f>IFERROR($M47+VLOOKUP($L47,'Voyage days'!$F$448:$H$479,3,FALSE),"")</f>
        <v/>
      </c>
      <c r="BD47" s="94" t="str">
        <f>IFERROR($N47+VLOOKUP($L47,'Voyage days'!$F$448:$H$479,3,FALSE),"")</f>
        <v/>
      </c>
      <c r="BE47" s="93" t="str">
        <f t="shared" si="16"/>
        <v/>
      </c>
      <c r="BF47" s="95" t="str">
        <f>IFERROR($M47+VLOOKUP($L47,'Voyage days'!$F$620:$H$646,3,FALSE),"")</f>
        <v/>
      </c>
      <c r="BG47" s="95" t="str">
        <f>IFERROR($N47+VLOOKUP($L47,'Voyage days'!$F$620:$H$646,3,FALSE),"")</f>
        <v/>
      </c>
      <c r="BH47" s="93" t="str">
        <f t="shared" si="17"/>
        <v/>
      </c>
      <c r="BI47" s="96" t="str">
        <f>IFERROR($M47+VLOOKUP($L47,'Voyage days'!$F$702:$H$727,3,FALSE),"")</f>
        <v/>
      </c>
      <c r="BJ47" s="93" t="str">
        <f t="shared" si="18"/>
        <v>18-19 May</v>
      </c>
      <c r="BK47" s="95">
        <f>IFERROR($M47+VLOOKUP($L47,'Voyage days'!$F$807:$H$878,3,FALSE),"")</f>
        <v>46160</v>
      </c>
      <c r="BL47" s="95">
        <f>IFERROR($N47+VLOOKUP($L47,'Voyage days'!$F$807:$H$878,3,FALSE),"")</f>
        <v>46161</v>
      </c>
      <c r="BM47" s="95">
        <f>IFERROR($N47+VLOOKUP($L47,'Voyage days'!$F$807:$K$878,6,FALSE),"")</f>
        <v>46134</v>
      </c>
      <c r="BN47" s="94" t="str">
        <f>IF(L47="loads AG", IFERROR($M47+VLOOKUP($L47,'Voyage days'!$M$38:$O$38,3,FALSE),""),"")</f>
        <v/>
      </c>
      <c r="BO47" s="94" t="str">
        <f>IF(L47="loads USG", IFERROR($M47+VLOOKUP($L47,'Voyage days'!$L$203:$N$203,3,FALSE),""),"")</f>
        <v/>
      </c>
    </row>
    <row r="48" spans="1:68" ht="15.75" customHeight="1" x14ac:dyDescent="0.25">
      <c r="A48" s="263" t="s">
        <v>303</v>
      </c>
      <c r="B48" s="98">
        <v>2021</v>
      </c>
      <c r="C48" s="76">
        <v>84000</v>
      </c>
      <c r="D48" s="77"/>
      <c r="E48" s="77"/>
      <c r="F48" s="78"/>
      <c r="G48" s="78"/>
      <c r="H48" s="78" t="s">
        <v>739</v>
      </c>
      <c r="I48" s="260" t="s">
        <v>813</v>
      </c>
      <c r="J48" s="80" t="str">
        <f t="shared" si="20"/>
        <v/>
      </c>
      <c r="K48" s="81" t="s">
        <v>817</v>
      </c>
      <c r="L48" s="82" t="s">
        <v>759</v>
      </c>
      <c r="M48" s="83">
        <v>46132</v>
      </c>
      <c r="N48" s="83">
        <v>46133</v>
      </c>
      <c r="O48" s="206"/>
      <c r="P48" s="82" t="s">
        <v>837</v>
      </c>
      <c r="Q48" s="82"/>
      <c r="R48" s="82" t="s">
        <v>838</v>
      </c>
      <c r="S48" s="120" t="s">
        <v>724</v>
      </c>
      <c r="T48" s="232">
        <v>46132</v>
      </c>
      <c r="U48" s="87" t="str">
        <f>IF(V48="","No AIS",VLOOKUP(V48,'Voyage days'!$A$3:$B$1480,2,FALSE))</f>
        <v>Port Louis</v>
      </c>
      <c r="V48" s="88" t="str">
        <f>IF(VLOOKUP(A48,'1) Kpler'!$E$2:$P$1000,8, FALSE)="","",VLOOKUP(A48,'1) Kpler'!$E$2:$P$1000,8, FALSE))</f>
        <v>Port Louis</v>
      </c>
      <c r="W48" s="89">
        <f>IF(VLOOKUP(A48,'1) Kpler'!$E$2:$P$1000,9,FALSE)="","",VLOOKUP(A48,'1) Kpler'!$E$2:$P$1000,9,FALSE))</f>
        <v>46132.333333333336</v>
      </c>
      <c r="X48" s="88" t="str">
        <f>VLOOKUP(A48,'1) Kpler'!$E$2:$I$1000,4,FALSE)</f>
        <v>ballast</v>
      </c>
      <c r="Y48" s="63" t="str">
        <f t="shared" si="0"/>
        <v/>
      </c>
      <c r="Z48" s="63" t="str">
        <f t="shared" si="1"/>
        <v/>
      </c>
      <c r="AA48" s="63" t="str">
        <f t="shared" si="2"/>
        <v>16-17 May</v>
      </c>
      <c r="AB48" s="63" t="str">
        <f t="shared" si="3"/>
        <v>03-04 May</v>
      </c>
      <c r="AC48" s="63" t="str">
        <f t="shared" si="4"/>
        <v>12-13 May</v>
      </c>
      <c r="AD48" s="63" t="str">
        <f t="shared" si="5"/>
        <v/>
      </c>
      <c r="AE48" s="129" t="str">
        <f t="shared" si="6"/>
        <v/>
      </c>
      <c r="AF48" s="130" t="str">
        <f t="shared" si="7"/>
        <v>17-18 May</v>
      </c>
      <c r="AG48" s="93" t="str">
        <f t="shared" si="8"/>
        <v/>
      </c>
      <c r="AH48" s="94" t="str">
        <f>IFERROR($M48+VLOOKUP($L48,'Voyage days'!$F$38:$H$89,3,FALSE),"")</f>
        <v/>
      </c>
      <c r="AI48" s="94" t="str">
        <f>IFERROR(N48+VLOOKUP($L48,'Voyage days'!$F$38:$H$89,3,FALSE),"")</f>
        <v/>
      </c>
      <c r="AJ48" s="93" t="str">
        <f t="shared" si="9"/>
        <v/>
      </c>
      <c r="AK48" s="94" t="str">
        <f>IFERROR($M48+VLOOKUP($L48,'Voyage days'!$F$94:$H$193,3,FALSE),"")</f>
        <v/>
      </c>
      <c r="AL48" s="94" t="str">
        <f>IFERROR($N48+VLOOKUP($L48,'Voyage days'!$F$94:$H$193,3,FALSE),"")</f>
        <v/>
      </c>
      <c r="AM48" s="93" t="str">
        <f t="shared" si="10"/>
        <v>16-17 May</v>
      </c>
      <c r="AN48" s="94">
        <f>IFERROR($M48+VLOOKUP($L48,'Voyage days'!$F$203:$H$256,3,FALSE),"")</f>
        <v>46158</v>
      </c>
      <c r="AO48" s="94">
        <f>IFERROR($N48+VLOOKUP($L48,'Voyage days'!$F$203:$H$256,3,FALSE),"")</f>
        <v>46159</v>
      </c>
      <c r="AP48" s="93" t="str">
        <f t="shared" si="11"/>
        <v>03-04 May</v>
      </c>
      <c r="AQ48" s="94">
        <f>IFERROR($M48+VLOOKUP($L48,'Voyage days'!$F$294:$H$377,3,FALSE),"")</f>
        <v>46145</v>
      </c>
      <c r="AR48" s="94">
        <f>IFERROR($N48+VLOOKUP($L48,'Voyage days'!$F$294:$H$377,3,FALSE),"")</f>
        <v>46146</v>
      </c>
      <c r="AS48" s="93" t="str">
        <f t="shared" si="12"/>
        <v>12-13 May</v>
      </c>
      <c r="AT48" s="94">
        <f>IFERROR($M48+VLOOKUP($L48,'Voyage days'!$F$382:$H$446,3,FALSE),"")</f>
        <v>46154</v>
      </c>
      <c r="AU48" s="94">
        <f>IFERROR($N48+VLOOKUP($L48,'Voyage days'!$F$382:$H$446,3,FALSE),"")</f>
        <v>46155</v>
      </c>
      <c r="AV48" s="93" t="str">
        <f t="shared" si="13"/>
        <v/>
      </c>
      <c r="AW48" s="94" t="str">
        <f>IFERROR($M48+VLOOKUP($L48,'Voyage days'!$F$483:$H$538,3,FALSE),"")</f>
        <v/>
      </c>
      <c r="AX48" s="94" t="str">
        <f>IFERROR($N48+VLOOKUP($L48,'Voyage days'!$F$483:$H$538,3,FALSE),"")</f>
        <v/>
      </c>
      <c r="AY48" s="93" t="str">
        <f t="shared" si="14"/>
        <v/>
      </c>
      <c r="AZ48" s="94" t="str">
        <f>IFERROR($M48+VLOOKUP($L48,'Voyage days'!$F$540:$H$613,3,FALSE),"")</f>
        <v/>
      </c>
      <c r="BA48" s="94" t="str">
        <f>IFERROR($N48+VLOOKUP($L48,'Voyage days'!$F$540:$H$613,3,FALSE),"")</f>
        <v/>
      </c>
      <c r="BB48" s="93" t="str">
        <f t="shared" si="15"/>
        <v/>
      </c>
      <c r="BC48" s="94" t="str">
        <f>IFERROR($M48+VLOOKUP($L48,'Voyage days'!$F$448:$H$479,3,FALSE),"")</f>
        <v/>
      </c>
      <c r="BD48" s="94" t="str">
        <f>IFERROR($N48+VLOOKUP($L48,'Voyage days'!$F$448:$H$479,3,FALSE),"")</f>
        <v/>
      </c>
      <c r="BE48" s="93" t="str">
        <f t="shared" si="16"/>
        <v/>
      </c>
      <c r="BF48" s="95" t="str">
        <f>IFERROR($M48+VLOOKUP($L48,'Voyage days'!$F$620:$H$646,3,FALSE),"")</f>
        <v/>
      </c>
      <c r="BG48" s="95" t="str">
        <f>IFERROR($N48+VLOOKUP($L48,'Voyage days'!$F$620:$H$646,3,FALSE),"")</f>
        <v/>
      </c>
      <c r="BH48" s="93" t="str">
        <f t="shared" si="17"/>
        <v/>
      </c>
      <c r="BI48" s="96" t="str">
        <f>IFERROR($M48+VLOOKUP($L48,'Voyage days'!$F$702:$H$727,3,FALSE),"")</f>
        <v/>
      </c>
      <c r="BJ48" s="93" t="str">
        <f t="shared" si="18"/>
        <v>17-18 May</v>
      </c>
      <c r="BK48" s="95">
        <f>IFERROR($M48+VLOOKUP($L48,'Voyage days'!$F$807:$H$878,3,FALSE),"")</f>
        <v>46159</v>
      </c>
      <c r="BL48" s="95">
        <f>IFERROR($N48+VLOOKUP($L48,'Voyage days'!$F$807:$H$878,3,FALSE),"")</f>
        <v>46160</v>
      </c>
      <c r="BM48" s="95">
        <f>IFERROR($N48+VLOOKUP($L48,'Voyage days'!$F$807:$K$878,6,FALSE),"")</f>
        <v>46133</v>
      </c>
      <c r="BN48" s="94" t="str">
        <f>IF(L48="loads AG", IFERROR($M48+VLOOKUP($L48,'Voyage days'!$M$38:$O$38,3,FALSE),""),"")</f>
        <v/>
      </c>
      <c r="BO48" s="94" t="str">
        <f>IF(L48="loads USG", IFERROR($M48+VLOOKUP($L48,'Voyage days'!$L$203:$N$203,3,FALSE),""),"")</f>
        <v/>
      </c>
    </row>
    <row r="49" spans="1:67" ht="15.75" customHeight="1" x14ac:dyDescent="0.25">
      <c r="A49" s="263" t="s">
        <v>306</v>
      </c>
      <c r="B49" s="98">
        <v>2023</v>
      </c>
      <c r="C49" s="76">
        <v>84000</v>
      </c>
      <c r="D49" s="77"/>
      <c r="E49" s="77"/>
      <c r="F49" s="78"/>
      <c r="G49" s="78"/>
      <c r="H49" s="78" t="s">
        <v>713</v>
      </c>
      <c r="I49" s="260" t="s">
        <v>813</v>
      </c>
      <c r="J49" s="80" t="str">
        <f t="shared" si="20"/>
        <v>NO AIS</v>
      </c>
      <c r="K49" s="123"/>
      <c r="L49" s="82" t="s">
        <v>718</v>
      </c>
      <c r="M49" s="83">
        <v>46133</v>
      </c>
      <c r="N49" s="83">
        <v>46134</v>
      </c>
      <c r="O49" s="84"/>
      <c r="P49" s="82" t="s">
        <v>839</v>
      </c>
      <c r="Q49" s="82"/>
      <c r="R49" s="82" t="s">
        <v>840</v>
      </c>
      <c r="S49" s="120" t="s">
        <v>724</v>
      </c>
      <c r="T49" s="232">
        <v>46132</v>
      </c>
      <c r="U49" s="87" t="str">
        <f>IF(V49="","No AIS",VLOOKUP(V49,'Voyage days'!$A$3:$B$1480,2,FALSE))</f>
        <v>No AIS</v>
      </c>
      <c r="V49" s="88" t="str">
        <f>IF(VLOOKUP(A49,'1) Kpler'!$E$2:$P$1000,8, FALSE)="","",VLOOKUP(A49,'1) Kpler'!$E$2:$P$1000,8, FALSE))</f>
        <v/>
      </c>
      <c r="W49" s="89" t="str">
        <f>IF(VLOOKUP(A49,'1) Kpler'!$E$2:$P$1000,9,FALSE)="","",VLOOKUP(A49,'1) Kpler'!$E$2:$P$1000,9,FALSE))</f>
        <v/>
      </c>
      <c r="X49" s="88" t="str">
        <f>VLOOKUP(A49,'1) Kpler'!$E$2:$I$1000,4,FALSE)</f>
        <v>loaded</v>
      </c>
      <c r="Y49" s="90" t="str">
        <f t="shared" si="0"/>
        <v/>
      </c>
      <c r="Z49" s="90" t="str">
        <f t="shared" si="1"/>
        <v>21-22 Apr</v>
      </c>
      <c r="AA49" s="90" t="str">
        <f t="shared" si="2"/>
        <v>21-22 Apr</v>
      </c>
      <c r="AB49" s="90" t="str">
        <f t="shared" si="3"/>
        <v/>
      </c>
      <c r="AC49" s="90" t="str">
        <f t="shared" si="4"/>
        <v>11-12 May</v>
      </c>
      <c r="AD49" s="90" t="str">
        <f t="shared" si="5"/>
        <v/>
      </c>
      <c r="AE49" s="91" t="str">
        <f t="shared" si="6"/>
        <v/>
      </c>
      <c r="AF49" s="92" t="str">
        <f t="shared" si="7"/>
        <v/>
      </c>
      <c r="AG49" s="93" t="str">
        <f t="shared" si="8"/>
        <v/>
      </c>
      <c r="AH49" s="94" t="str">
        <f>IFERROR($M49+VLOOKUP($L49,'Voyage days'!$F$38:$H$89,3,FALSE),"")</f>
        <v/>
      </c>
      <c r="AI49" s="94" t="str">
        <f>IFERROR(N49+VLOOKUP($L49,'Voyage days'!$F$38:$H$89,3,FALSE),"")</f>
        <v/>
      </c>
      <c r="AJ49" s="93" t="str">
        <f t="shared" si="9"/>
        <v>21-22 Apr</v>
      </c>
      <c r="AK49" s="94">
        <f>IFERROR($M49+VLOOKUP($L49,'Voyage days'!$F$94:$H$193,3,FALSE),"")</f>
        <v>46133</v>
      </c>
      <c r="AL49" s="94">
        <f>IFERROR($N49+VLOOKUP($L49,'Voyage days'!$F$94:$H$193,3,FALSE),"")</f>
        <v>46134</v>
      </c>
      <c r="AM49" s="93" t="str">
        <f t="shared" si="10"/>
        <v>21-22 Apr</v>
      </c>
      <c r="AN49" s="94">
        <f>IFERROR($M49+VLOOKUP($L49,'Voyage days'!$F$203:$H$256,3,FALSE),"")</f>
        <v>46133</v>
      </c>
      <c r="AO49" s="94">
        <f>IFERROR($N49+VLOOKUP($L49,'Voyage days'!$F$203:$H$256,3,FALSE),"")</f>
        <v>46134</v>
      </c>
      <c r="AP49" s="93" t="str">
        <f t="shared" si="11"/>
        <v/>
      </c>
      <c r="AQ49" s="94" t="str">
        <f>IFERROR($M49+VLOOKUP($L49,'Voyage days'!$F$294:$H$377,3,FALSE),"")</f>
        <v/>
      </c>
      <c r="AR49" s="94" t="str">
        <f>IFERROR($N49+VLOOKUP($L49,'Voyage days'!$F$294:$H$377,3,FALSE),"")</f>
        <v/>
      </c>
      <c r="AS49" s="93" t="str">
        <f t="shared" si="12"/>
        <v>11-12 May</v>
      </c>
      <c r="AT49" s="94">
        <f>IFERROR($M49+VLOOKUP($L49,'Voyage days'!$F$382:$H$446,3,FALSE),"")</f>
        <v>46153</v>
      </c>
      <c r="AU49" s="94">
        <f>IFERROR($N49+VLOOKUP($L49,'Voyage days'!$F$382:$H$446,3,FALSE),"")</f>
        <v>46154</v>
      </c>
      <c r="AV49" s="93" t="str">
        <f t="shared" si="13"/>
        <v/>
      </c>
      <c r="AW49" s="94" t="str">
        <f>IFERROR($M49+VLOOKUP($L49,'Voyage days'!$F$483:$H$538,3,FALSE),"")</f>
        <v/>
      </c>
      <c r="AX49" s="94" t="str">
        <f>IFERROR($N49+VLOOKUP($L49,'Voyage days'!$F$483:$H$538,3,FALSE),"")</f>
        <v/>
      </c>
      <c r="AY49" s="93" t="str">
        <f t="shared" si="14"/>
        <v/>
      </c>
      <c r="AZ49" s="94" t="str">
        <f>IFERROR($M49+VLOOKUP($L49,'Voyage days'!$F$540:$H$613,3,FALSE),"")</f>
        <v/>
      </c>
      <c r="BA49" s="94" t="str">
        <f>IFERROR($N49+VLOOKUP($L49,'Voyage days'!$F$540:$H$613,3,FALSE),"")</f>
        <v/>
      </c>
      <c r="BB49" s="93" t="str">
        <f t="shared" si="15"/>
        <v/>
      </c>
      <c r="BC49" s="94" t="str">
        <f>IFERROR($M49+VLOOKUP($L49,'Voyage days'!$F$448:$H$479,3,FALSE),"")</f>
        <v/>
      </c>
      <c r="BD49" s="94" t="str">
        <f>IFERROR($N49+VLOOKUP($L49,'Voyage days'!$F$448:$H$479,3,FALSE),"")</f>
        <v/>
      </c>
      <c r="BE49" s="93" t="str">
        <f t="shared" si="16"/>
        <v/>
      </c>
      <c r="BF49" s="95" t="str">
        <f>IFERROR($M49+VLOOKUP($L49,'Voyage days'!$F$620:$H$646,3,FALSE),"")</f>
        <v/>
      </c>
      <c r="BG49" s="95" t="str">
        <f>IFERROR($N49+VLOOKUP($L49,'Voyage days'!$F$620:$H$646,3,FALSE),"")</f>
        <v/>
      </c>
      <c r="BH49" s="93" t="str">
        <f t="shared" si="17"/>
        <v/>
      </c>
      <c r="BI49" s="96" t="str">
        <f>IFERROR($M49+VLOOKUP($L49,'Voyage days'!$F$702:$H$727,3,FALSE),"")</f>
        <v/>
      </c>
      <c r="BJ49" s="93" t="str">
        <f t="shared" si="18"/>
        <v/>
      </c>
      <c r="BK49" s="95" t="str">
        <f>IFERROR($M49+VLOOKUP($L49,'Voyage days'!$F$807:$H$878,3,FALSE),"")</f>
        <v/>
      </c>
      <c r="BL49" s="95" t="str">
        <f>IFERROR($N49+VLOOKUP($L49,'Voyage days'!$F$807:$H$878,3,FALSE),"")</f>
        <v/>
      </c>
      <c r="BM49" s="95" t="str">
        <f>IFERROR($N49+VLOOKUP($L49,'Voyage days'!$F$807:$K$878,6,FALSE),"")</f>
        <v/>
      </c>
      <c r="BN49" s="94" t="str">
        <f>IF(L49="loads AG", IFERROR($M49+VLOOKUP($L49,'Voyage days'!$M$38:$O$38,3,FALSE),""),"")</f>
        <v/>
      </c>
      <c r="BO49" s="94">
        <f>IF(L49="loads USG", IFERROR($M49+VLOOKUP($L49,'Voyage days'!$L$203:$N$203,3,FALSE),""),"")</f>
        <v>46165</v>
      </c>
    </row>
    <row r="50" spans="1:67" ht="15.75" customHeight="1" x14ac:dyDescent="0.25">
      <c r="A50" s="236" t="s">
        <v>307</v>
      </c>
      <c r="B50" s="119">
        <v>2023</v>
      </c>
      <c r="C50" s="76">
        <v>86000</v>
      </c>
      <c r="D50" s="77"/>
      <c r="E50" s="77"/>
      <c r="F50" s="78"/>
      <c r="G50" s="78"/>
      <c r="H50" s="78" t="s">
        <v>713</v>
      </c>
      <c r="I50" s="260" t="s">
        <v>813</v>
      </c>
      <c r="J50" s="80" t="str">
        <f t="shared" si="20"/>
        <v/>
      </c>
      <c r="K50" s="81"/>
      <c r="L50" s="82" t="s">
        <v>718</v>
      </c>
      <c r="M50" s="83">
        <v>46160</v>
      </c>
      <c r="N50" s="83">
        <v>46161</v>
      </c>
      <c r="O50" s="84"/>
      <c r="P50" s="78" t="s">
        <v>841</v>
      </c>
      <c r="Q50" s="82"/>
      <c r="R50" s="82" t="s">
        <v>842</v>
      </c>
      <c r="S50" s="120" t="s">
        <v>724</v>
      </c>
      <c r="T50" s="232">
        <v>46132</v>
      </c>
      <c r="U50" s="87" t="str">
        <f>IF(V50="","No AIS",VLOOKUP(V50,'Voyage days'!$A$3:$B$1480,2,FALSE))</f>
        <v>Korea+3/+1 bunkers</v>
      </c>
      <c r="V50" s="88" t="str">
        <f>IF(VLOOKUP(A50,'1) Kpler'!$E$2:$P$1000,8, FALSE)="","",VLOOKUP(A50,'1) Kpler'!$E$2:$P$1000,8, FALSE))</f>
        <v>Yeosu</v>
      </c>
      <c r="W50" s="89">
        <f>IF(VLOOKUP(A50,'1) Kpler'!$E$2:$P$1000,9,FALSE)="","",VLOOKUP(A50,'1) Kpler'!$E$2:$P$1000,9,FALSE))</f>
        <v>46150.333333333336</v>
      </c>
      <c r="X50" s="88" t="str">
        <f>VLOOKUP(A50,'1) Kpler'!$E$2:$I$1000,4,FALSE)</f>
        <v>ballast</v>
      </c>
      <c r="Y50" s="63" t="str">
        <f t="shared" si="0"/>
        <v/>
      </c>
      <c r="Z50" s="63" t="str">
        <f t="shared" si="1"/>
        <v>18-19 May</v>
      </c>
      <c r="AA50" s="63" t="str">
        <f t="shared" si="2"/>
        <v>18-19 May</v>
      </c>
      <c r="AB50" s="63" t="str">
        <f t="shared" si="3"/>
        <v/>
      </c>
      <c r="AC50" s="63" t="str">
        <f t="shared" si="4"/>
        <v>07-08 Jun</v>
      </c>
      <c r="AD50" s="63" t="str">
        <f t="shared" si="5"/>
        <v/>
      </c>
      <c r="AE50" s="129" t="str">
        <f t="shared" si="6"/>
        <v/>
      </c>
      <c r="AF50" s="130" t="str">
        <f t="shared" si="7"/>
        <v/>
      </c>
      <c r="AG50" s="93" t="str">
        <f t="shared" si="8"/>
        <v/>
      </c>
      <c r="AH50" s="94" t="str">
        <f>IFERROR($M50+VLOOKUP($L50,'Voyage days'!$F$38:$H$89,3,FALSE),"")</f>
        <v/>
      </c>
      <c r="AI50" s="94" t="str">
        <f>IFERROR(N50+VLOOKUP($L50,'Voyage days'!$F$38:$H$89,3,FALSE),"")</f>
        <v/>
      </c>
      <c r="AJ50" s="93" t="str">
        <f t="shared" si="9"/>
        <v>18-19 May</v>
      </c>
      <c r="AK50" s="94">
        <f>IFERROR($M50+VLOOKUP($L50,'Voyage days'!$F$94:$H$193,3,FALSE),"")</f>
        <v>46160</v>
      </c>
      <c r="AL50" s="94">
        <f>IFERROR($N50+VLOOKUP($L50,'Voyage days'!$F$94:$H$193,3,FALSE),"")</f>
        <v>46161</v>
      </c>
      <c r="AM50" s="93" t="str">
        <f t="shared" si="10"/>
        <v>18-19 May</v>
      </c>
      <c r="AN50" s="94">
        <f>IFERROR($M50+VLOOKUP($L50,'Voyage days'!$F$203:$H$256,3,FALSE),"")</f>
        <v>46160</v>
      </c>
      <c r="AO50" s="94">
        <f>IFERROR($N50+VLOOKUP($L50,'Voyage days'!$F$203:$H$256,3,FALSE),"")</f>
        <v>46161</v>
      </c>
      <c r="AP50" s="93" t="str">
        <f t="shared" si="11"/>
        <v/>
      </c>
      <c r="AQ50" s="94" t="str">
        <f>IFERROR($M50+VLOOKUP($L50,'Voyage days'!$F$294:$H$377,3,FALSE),"")</f>
        <v/>
      </c>
      <c r="AR50" s="94" t="str">
        <f>IFERROR($N50+VLOOKUP($L50,'Voyage days'!$F$294:$H$377,3,FALSE),"")</f>
        <v/>
      </c>
      <c r="AS50" s="93" t="str">
        <f t="shared" si="12"/>
        <v>07-08 Jun</v>
      </c>
      <c r="AT50" s="94">
        <f>IFERROR($M50+VLOOKUP($L50,'Voyage days'!$F$382:$H$446,3,FALSE),"")</f>
        <v>46180</v>
      </c>
      <c r="AU50" s="94">
        <f>IFERROR($N50+VLOOKUP($L50,'Voyage days'!$F$382:$H$446,3,FALSE),"")</f>
        <v>46181</v>
      </c>
      <c r="AV50" s="93" t="str">
        <f t="shared" si="13"/>
        <v/>
      </c>
      <c r="AW50" s="94" t="str">
        <f>IFERROR($M50+VLOOKUP($L50,'Voyage days'!$F$483:$H$538,3,FALSE),"")</f>
        <v/>
      </c>
      <c r="AX50" s="94" t="str">
        <f>IFERROR($N50+VLOOKUP($L50,'Voyage days'!$F$483:$H$538,3,FALSE),"")</f>
        <v/>
      </c>
      <c r="AY50" s="93" t="str">
        <f t="shared" si="14"/>
        <v/>
      </c>
      <c r="AZ50" s="94" t="str">
        <f>IFERROR($M50+VLOOKUP($L50,'Voyage days'!$F$540:$H$613,3,FALSE),"")</f>
        <v/>
      </c>
      <c r="BA50" s="94" t="str">
        <f>IFERROR($N50+VLOOKUP($L50,'Voyage days'!$F$540:$H$613,3,FALSE),"")</f>
        <v/>
      </c>
      <c r="BB50" s="93" t="str">
        <f t="shared" si="15"/>
        <v/>
      </c>
      <c r="BC50" s="94" t="str">
        <f>IFERROR($M50+VLOOKUP($L50,'Voyage days'!$F$448:$H$479,3,FALSE),"")</f>
        <v/>
      </c>
      <c r="BD50" s="94" t="str">
        <f>IFERROR($N50+VLOOKUP($L50,'Voyage days'!$F$448:$H$479,3,FALSE),"")</f>
        <v/>
      </c>
      <c r="BE50" s="93" t="str">
        <f t="shared" si="16"/>
        <v/>
      </c>
      <c r="BF50" s="95" t="str">
        <f>IFERROR($M50+VLOOKUP($L50,'Voyage days'!$F$620:$H$646,3,FALSE),"")</f>
        <v/>
      </c>
      <c r="BG50" s="95" t="str">
        <f>IFERROR($N50+VLOOKUP($L50,'Voyage days'!$F$620:$H$646,3,FALSE),"")</f>
        <v/>
      </c>
      <c r="BH50" s="93" t="str">
        <f t="shared" si="17"/>
        <v/>
      </c>
      <c r="BI50" s="96" t="str">
        <f>IFERROR($M50+VLOOKUP($L50,'Voyage days'!$F$702:$H$727,3,FALSE),"")</f>
        <v/>
      </c>
      <c r="BJ50" s="93" t="str">
        <f t="shared" si="18"/>
        <v/>
      </c>
      <c r="BK50" s="95" t="str">
        <f>IFERROR($M50+VLOOKUP($L50,'Voyage days'!$F$807:$H$878,3,FALSE),"")</f>
        <v/>
      </c>
      <c r="BL50" s="95" t="str">
        <f>IFERROR($N50+VLOOKUP($L50,'Voyage days'!$F$807:$H$878,3,FALSE),"")</f>
        <v/>
      </c>
      <c r="BM50" s="95" t="str">
        <f>IFERROR($N50+VLOOKUP($L50,'Voyage days'!$F$807:$K$878,6,FALSE),"")</f>
        <v/>
      </c>
      <c r="BN50" s="94" t="str">
        <f>IF(L50="loads AG", IFERROR($M50+VLOOKUP($L50,'Voyage days'!$M$38:$O$38,3,FALSE),""),"")</f>
        <v/>
      </c>
      <c r="BO50" s="94">
        <f>IF(L50="loads USG", IFERROR($M50+VLOOKUP($L50,'Voyage days'!$L$203:$N$203,3,FALSE),""),"")</f>
        <v>46192</v>
      </c>
    </row>
    <row r="51" spans="1:67" ht="15.75" customHeight="1" x14ac:dyDescent="0.25">
      <c r="A51" s="53" t="s">
        <v>843</v>
      </c>
      <c r="B51" s="119">
        <v>2023</v>
      </c>
      <c r="C51" s="76">
        <v>91000</v>
      </c>
      <c r="D51" s="77"/>
      <c r="E51" s="77" t="s">
        <v>757</v>
      </c>
      <c r="F51" s="78"/>
      <c r="G51" s="78"/>
      <c r="H51" s="78" t="s">
        <v>713</v>
      </c>
      <c r="I51" s="260" t="s">
        <v>813</v>
      </c>
      <c r="J51" s="80" t="str">
        <f t="shared" si="20"/>
        <v/>
      </c>
      <c r="K51" s="81"/>
      <c r="L51" s="82" t="s">
        <v>718</v>
      </c>
      <c r="M51" s="83">
        <v>46134</v>
      </c>
      <c r="N51" s="83">
        <v>46135</v>
      </c>
      <c r="O51" s="84" t="s">
        <v>779</v>
      </c>
      <c r="P51" s="82" t="s">
        <v>844</v>
      </c>
      <c r="Q51" s="82"/>
      <c r="R51" s="82" t="s">
        <v>845</v>
      </c>
      <c r="S51" s="120" t="s">
        <v>724</v>
      </c>
      <c r="T51" s="232">
        <v>46132</v>
      </c>
      <c r="U51" s="87" t="str">
        <f>IF(V51="","No AIS",VLOOKUP(V51,'Voyage days'!$A$3:$B$1480,2,FALSE))</f>
        <v>USG</v>
      </c>
      <c r="V51" s="88" t="str">
        <f>IF(VLOOKUP(A51,'1) Kpler'!$E$2:$P$1000,8, FALSE)="","",VLOOKUP(A51,'1) Kpler'!$E$2:$P$1000,8, FALSE))</f>
        <v>Energy Transfer Nederland</v>
      </c>
      <c r="W51" s="89">
        <f>IF(VLOOKUP(A51,'1) Kpler'!$E$2:$P$1000,9,FALSE)="","",VLOOKUP(A51,'1) Kpler'!$E$2:$P$1000,9,FALSE))</f>
        <v>46134.000694444447</v>
      </c>
      <c r="X51" s="88" t="str">
        <f>VLOOKUP(A51,'1) Kpler'!$E$2:$I$1000,4,FALSE)</f>
        <v>ballast</v>
      </c>
      <c r="Y51" s="90" t="str">
        <f t="shared" si="0"/>
        <v/>
      </c>
      <c r="Z51" s="90" t="str">
        <f t="shared" si="1"/>
        <v>22-23 Apr</v>
      </c>
      <c r="AA51" s="90" t="str">
        <f t="shared" si="2"/>
        <v>22-23 Apr</v>
      </c>
      <c r="AB51" s="90" t="str">
        <f t="shared" si="3"/>
        <v/>
      </c>
      <c r="AC51" s="90" t="str">
        <f t="shared" si="4"/>
        <v>12-13 May</v>
      </c>
      <c r="AD51" s="90" t="str">
        <f t="shared" si="5"/>
        <v/>
      </c>
      <c r="AE51" s="91" t="str">
        <f t="shared" si="6"/>
        <v/>
      </c>
      <c r="AF51" s="92" t="str">
        <f t="shared" si="7"/>
        <v/>
      </c>
      <c r="AG51" s="93" t="str">
        <f t="shared" si="8"/>
        <v/>
      </c>
      <c r="AH51" s="94" t="str">
        <f>IFERROR($M51+VLOOKUP($L51,'Voyage days'!$F$38:$H$89,3,FALSE),"")</f>
        <v/>
      </c>
      <c r="AI51" s="94" t="str">
        <f>IFERROR(N51+VLOOKUP($L51,'Voyage days'!$F$38:$H$89,3,FALSE),"")</f>
        <v/>
      </c>
      <c r="AJ51" s="93" t="str">
        <f t="shared" si="9"/>
        <v>22-23 Apr</v>
      </c>
      <c r="AK51" s="94">
        <f>IFERROR($M51+VLOOKUP($L51,'Voyage days'!$F$94:$H$193,3,FALSE),"")</f>
        <v>46134</v>
      </c>
      <c r="AL51" s="94">
        <f>IFERROR($N51+VLOOKUP($L51,'Voyage days'!$F$94:$H$193,3,FALSE),"")</f>
        <v>46135</v>
      </c>
      <c r="AM51" s="93" t="str">
        <f t="shared" si="10"/>
        <v>22-23 Apr</v>
      </c>
      <c r="AN51" s="94">
        <f>IFERROR($M51+VLOOKUP($L51,'Voyage days'!$F$203:$H$256,3,FALSE),"")</f>
        <v>46134</v>
      </c>
      <c r="AO51" s="94">
        <f>IFERROR($N51+VLOOKUP($L51,'Voyage days'!$F$203:$H$256,3,FALSE),"")</f>
        <v>46135</v>
      </c>
      <c r="AP51" s="93" t="str">
        <f t="shared" si="11"/>
        <v/>
      </c>
      <c r="AQ51" s="94" t="str">
        <f>IFERROR($M51+VLOOKUP($L51,'Voyage days'!$F$294:$H$377,3,FALSE),"")</f>
        <v/>
      </c>
      <c r="AR51" s="94" t="str">
        <f>IFERROR($N51+VLOOKUP($L51,'Voyage days'!$F$294:$H$377,3,FALSE),"")</f>
        <v/>
      </c>
      <c r="AS51" s="93" t="str">
        <f t="shared" si="12"/>
        <v>12-13 May</v>
      </c>
      <c r="AT51" s="94">
        <f>IFERROR($M51+VLOOKUP($L51,'Voyage days'!$F$382:$H$446,3,FALSE),"")</f>
        <v>46154</v>
      </c>
      <c r="AU51" s="94">
        <f>IFERROR($N51+VLOOKUP($L51,'Voyage days'!$F$382:$H$446,3,FALSE),"")</f>
        <v>46155</v>
      </c>
      <c r="AV51" s="93" t="str">
        <f t="shared" si="13"/>
        <v/>
      </c>
      <c r="AW51" s="94" t="str">
        <f>IFERROR($M51+VLOOKUP($L51,'Voyage days'!$F$483:$H$538,3,FALSE),"")</f>
        <v/>
      </c>
      <c r="AX51" s="94" t="str">
        <f>IFERROR($N51+VLOOKUP($L51,'Voyage days'!$F$483:$H$538,3,FALSE),"")</f>
        <v/>
      </c>
      <c r="AY51" s="93" t="str">
        <f t="shared" si="14"/>
        <v/>
      </c>
      <c r="AZ51" s="94" t="str">
        <f>IFERROR($M51+VLOOKUP($L51,'Voyage days'!$F$540:$H$613,3,FALSE),"")</f>
        <v/>
      </c>
      <c r="BA51" s="94" t="str">
        <f>IFERROR($N51+VLOOKUP($L51,'Voyage days'!$F$540:$H$613,3,FALSE),"")</f>
        <v/>
      </c>
      <c r="BB51" s="93" t="str">
        <f t="shared" si="15"/>
        <v/>
      </c>
      <c r="BC51" s="94" t="str">
        <f>IFERROR($M51+VLOOKUP($L51,'Voyage days'!$F$448:$H$479,3,FALSE),"")</f>
        <v/>
      </c>
      <c r="BD51" s="94" t="str">
        <f>IFERROR($N51+VLOOKUP($L51,'Voyage days'!$F$448:$H$479,3,FALSE),"")</f>
        <v/>
      </c>
      <c r="BE51" s="93" t="str">
        <f t="shared" si="16"/>
        <v/>
      </c>
      <c r="BF51" s="95" t="str">
        <f>IFERROR($M51+VLOOKUP($L51,'Voyage days'!$F$620:$H$646,3,FALSE),"")</f>
        <v/>
      </c>
      <c r="BG51" s="95" t="str">
        <f>IFERROR($N51+VLOOKUP($L51,'Voyage days'!$F$620:$H$646,3,FALSE),"")</f>
        <v/>
      </c>
      <c r="BH51" s="93" t="str">
        <f t="shared" si="17"/>
        <v/>
      </c>
      <c r="BI51" s="96" t="str">
        <f>IFERROR($M51+VLOOKUP($L51,'Voyage days'!$F$702:$H$727,3,FALSE),"")</f>
        <v/>
      </c>
      <c r="BJ51" s="93" t="str">
        <f t="shared" si="18"/>
        <v/>
      </c>
      <c r="BK51" s="95" t="str">
        <f>IFERROR($M51+VLOOKUP($L51,'Voyage days'!$F$807:$H$878,3,FALSE),"")</f>
        <v/>
      </c>
      <c r="BL51" s="95" t="str">
        <f>IFERROR($N51+VLOOKUP($L51,'Voyage days'!$F$807:$H$878,3,FALSE),"")</f>
        <v/>
      </c>
      <c r="BM51" s="95" t="str">
        <f>IFERROR($N51+VLOOKUP($L51,'Voyage days'!$F$807:$K$878,6,FALSE),"")</f>
        <v/>
      </c>
      <c r="BN51" s="94" t="str">
        <f>IF(L51="loads AG", IFERROR($M51+VLOOKUP($L51,'Voyage days'!$M$38:$O$38,3,FALSE),""),"")</f>
        <v/>
      </c>
      <c r="BO51" s="94">
        <f>IF(L51="loads USG", IFERROR($M51+VLOOKUP($L51,'Voyage days'!$L$203:$N$203,3,FALSE),""),"")</f>
        <v>46166</v>
      </c>
    </row>
    <row r="52" spans="1:67" ht="15.75" customHeight="1" x14ac:dyDescent="0.25">
      <c r="A52" s="266" t="s">
        <v>394</v>
      </c>
      <c r="B52" s="119">
        <v>2023</v>
      </c>
      <c r="C52" s="76">
        <v>91000</v>
      </c>
      <c r="D52" s="77"/>
      <c r="E52" s="77" t="s">
        <v>757</v>
      </c>
      <c r="F52" s="78"/>
      <c r="G52" s="78"/>
      <c r="H52" s="78" t="s">
        <v>713</v>
      </c>
      <c r="I52" s="237" t="s">
        <v>813</v>
      </c>
      <c r="J52" s="80" t="str">
        <f t="shared" si="20"/>
        <v/>
      </c>
      <c r="K52" s="81"/>
      <c r="L52" s="82" t="s">
        <v>790</v>
      </c>
      <c r="M52" s="83">
        <v>46150</v>
      </c>
      <c r="N52" s="83">
        <v>46151</v>
      </c>
      <c r="O52" s="206"/>
      <c r="P52" s="82" t="s">
        <v>846</v>
      </c>
      <c r="Q52" s="82"/>
      <c r="R52" s="82" t="s">
        <v>847</v>
      </c>
      <c r="S52" s="120" t="s">
        <v>724</v>
      </c>
      <c r="T52" s="232">
        <v>46132</v>
      </c>
      <c r="U52" s="87" t="str">
        <f>IF(V52="","No AIS",VLOOKUP(V52,'Voyage days'!$A$3:$B$1480,2,FALSE))</f>
        <v>Eu + 4</v>
      </c>
      <c r="V52" s="88" t="str">
        <f>IF(VLOOKUP(A52,'1) Kpler'!$E$2:$P$1000,8, FALSE)="","",VLOOKUP(A52,'1) Kpler'!$E$2:$P$1000,8, FALSE))</f>
        <v>Horizon Tangier Terminal</v>
      </c>
      <c r="W52" s="89">
        <f>IF(VLOOKUP(A52,'1) Kpler'!$E$2:$P$1000,9,FALSE)="","",VLOOKUP(A52,'1) Kpler'!$E$2:$P$1000,9,FALSE))</f>
        <v>46144.000694444447</v>
      </c>
      <c r="X52" s="88" t="str">
        <f>VLOOKUP(A52,'1) Kpler'!$E$2:$I$1000,4,FALSE)</f>
        <v>loaded</v>
      </c>
      <c r="Y52" s="90" t="str">
        <f t="shared" si="0"/>
        <v/>
      </c>
      <c r="Z52" s="90" t="str">
        <f t="shared" si="1"/>
        <v>22-23 May</v>
      </c>
      <c r="AA52" s="90" t="str">
        <f t="shared" si="2"/>
        <v>23-24 May</v>
      </c>
      <c r="AB52" s="90" t="str">
        <f t="shared" si="3"/>
        <v>19-20 May</v>
      </c>
      <c r="AC52" s="90" t="str">
        <f t="shared" si="4"/>
        <v>10-11 May</v>
      </c>
      <c r="AD52" s="90" t="str">
        <f t="shared" si="5"/>
        <v/>
      </c>
      <c r="AE52" s="91" t="str">
        <f t="shared" si="6"/>
        <v/>
      </c>
      <c r="AF52" s="92" t="str">
        <f t="shared" si="7"/>
        <v>22-23 May</v>
      </c>
      <c r="AG52" s="93" t="str">
        <f t="shared" si="8"/>
        <v/>
      </c>
      <c r="AH52" s="94" t="str">
        <f>IFERROR($M52+VLOOKUP($L52,'Voyage days'!$F$38:$H$89,3,FALSE),"")</f>
        <v/>
      </c>
      <c r="AI52" s="94" t="str">
        <f>IFERROR(N52+VLOOKUP($L52,'Voyage days'!$F$38:$H$89,3,FALSE),"")</f>
        <v/>
      </c>
      <c r="AJ52" s="93" t="str">
        <f t="shared" si="9"/>
        <v>22-23 May</v>
      </c>
      <c r="AK52" s="94">
        <f>IFERROR($M52+VLOOKUP($L52,'Voyage days'!$F$94:$H$193,3,FALSE),"")</f>
        <v>46164</v>
      </c>
      <c r="AL52" s="94">
        <f>IFERROR($N52+VLOOKUP($L52,'Voyage days'!$F$94:$H$193,3,FALSE),"")</f>
        <v>46165</v>
      </c>
      <c r="AM52" s="93" t="str">
        <f t="shared" si="10"/>
        <v>23-24 May</v>
      </c>
      <c r="AN52" s="94">
        <f>IFERROR($M52+VLOOKUP($L52,'Voyage days'!$F$203:$H$256,3,FALSE),"")</f>
        <v>46165</v>
      </c>
      <c r="AO52" s="94">
        <f>IFERROR($N52+VLOOKUP($L52,'Voyage days'!$F$203:$H$256,3,FALSE),"")</f>
        <v>46166</v>
      </c>
      <c r="AP52" s="93" t="str">
        <f t="shared" si="11"/>
        <v>19-20 May</v>
      </c>
      <c r="AQ52" s="94">
        <f>IFERROR($M52+VLOOKUP($L52,'Voyage days'!$F$294:$H$377,3,FALSE),"")</f>
        <v>46161</v>
      </c>
      <c r="AR52" s="94">
        <f>IFERROR($N52+VLOOKUP($L52,'Voyage days'!$F$294:$H$377,3,FALSE),"")</f>
        <v>46162</v>
      </c>
      <c r="AS52" s="93" t="str">
        <f t="shared" si="12"/>
        <v>10-11 May</v>
      </c>
      <c r="AT52" s="94">
        <f>IFERROR($M52+VLOOKUP($L52,'Voyage days'!$F$382:$H$446,3,FALSE),"")</f>
        <v>46152</v>
      </c>
      <c r="AU52" s="94">
        <f>IFERROR($N52+VLOOKUP($L52,'Voyage days'!$F$382:$H$446,3,FALSE),"")</f>
        <v>46153</v>
      </c>
      <c r="AV52" s="93" t="str">
        <f t="shared" si="13"/>
        <v/>
      </c>
      <c r="AW52" s="94" t="str">
        <f>IFERROR($M52+VLOOKUP($L52,'Voyage days'!$F$483:$H$538,3,FALSE),"")</f>
        <v/>
      </c>
      <c r="AX52" s="94" t="str">
        <f>IFERROR($N52+VLOOKUP($L52,'Voyage days'!$F$483:$H$538,3,FALSE),"")</f>
        <v/>
      </c>
      <c r="AY52" s="93" t="str">
        <f t="shared" si="14"/>
        <v/>
      </c>
      <c r="AZ52" s="94" t="str">
        <f>IFERROR($M52+VLOOKUP($L52,'Voyage days'!$F$540:$H$613,3,FALSE),"")</f>
        <v/>
      </c>
      <c r="BA52" s="94" t="str">
        <f>IFERROR($N52+VLOOKUP($L52,'Voyage days'!$F$540:$H$613,3,FALSE),"")</f>
        <v/>
      </c>
      <c r="BB52" s="93" t="str">
        <f t="shared" si="15"/>
        <v/>
      </c>
      <c r="BC52" s="94" t="str">
        <f>IFERROR($M52+VLOOKUP($L52,'Voyage days'!$F$448:$H$479,3,FALSE),"")</f>
        <v/>
      </c>
      <c r="BD52" s="94" t="str">
        <f>IFERROR($N52+VLOOKUP($L52,'Voyage days'!$F$448:$H$479,3,FALSE),"")</f>
        <v/>
      </c>
      <c r="BE52" s="93" t="str">
        <f t="shared" si="16"/>
        <v/>
      </c>
      <c r="BF52" s="95" t="str">
        <f>IFERROR($M52+VLOOKUP($L52,'Voyage days'!$F$620:$H$646,3,FALSE),"")</f>
        <v/>
      </c>
      <c r="BG52" s="95" t="str">
        <f>IFERROR($N52+VLOOKUP($L52,'Voyage days'!$F$620:$H$646,3,FALSE),"")</f>
        <v/>
      </c>
      <c r="BH52" s="93" t="str">
        <f t="shared" si="17"/>
        <v/>
      </c>
      <c r="BI52" s="96" t="str">
        <f>IFERROR($M52+VLOOKUP($L52,'Voyage days'!$F$702:$H$727,3,FALSE),"")</f>
        <v/>
      </c>
      <c r="BJ52" s="93" t="str">
        <f t="shared" si="18"/>
        <v>22-23 May</v>
      </c>
      <c r="BK52" s="95">
        <f>IFERROR($M52+VLOOKUP($L52,'Voyage days'!$F$807:$H$878,3,FALSE),"")</f>
        <v>46164</v>
      </c>
      <c r="BL52" s="95">
        <f>IFERROR($N52+VLOOKUP($L52,'Voyage days'!$F$807:$H$878,3,FALSE),"")</f>
        <v>46165</v>
      </c>
      <c r="BM52" s="95">
        <f>IFERROR($N52+VLOOKUP($L52,'Voyage days'!$F$807:$K$878,6,FALSE),"")</f>
        <v>46151</v>
      </c>
      <c r="BN52" s="94" t="str">
        <f>IF(L52="loads AG", IFERROR($M52+VLOOKUP($L52,'Voyage days'!$M$38:$O$38,3,FALSE),""),"")</f>
        <v/>
      </c>
      <c r="BO52" s="94" t="str">
        <f>IF(L52="loads USG", IFERROR($M52+VLOOKUP($L52,'Voyage days'!$L$203:$N$203,3,FALSE),""),"")</f>
        <v/>
      </c>
    </row>
    <row r="53" spans="1:67" ht="15.75" customHeight="1" x14ac:dyDescent="0.25">
      <c r="A53" s="53" t="s">
        <v>455</v>
      </c>
      <c r="B53" s="119">
        <v>2023</v>
      </c>
      <c r="C53" s="76">
        <v>91000</v>
      </c>
      <c r="D53" s="77" t="s">
        <v>651</v>
      </c>
      <c r="E53" s="77" t="s">
        <v>757</v>
      </c>
      <c r="F53" s="78"/>
      <c r="G53" s="78"/>
      <c r="H53" s="78" t="s">
        <v>713</v>
      </c>
      <c r="I53" s="260" t="s">
        <v>813</v>
      </c>
      <c r="J53" s="80" t="str">
        <f t="shared" si="20"/>
        <v/>
      </c>
      <c r="K53" s="81"/>
      <c r="L53" s="82" t="s">
        <v>797</v>
      </c>
      <c r="M53" s="83">
        <v>46139</v>
      </c>
      <c r="N53" s="83">
        <v>46140</v>
      </c>
      <c r="O53" s="84" t="s">
        <v>779</v>
      </c>
      <c r="P53" s="82" t="s">
        <v>848</v>
      </c>
      <c r="Q53" s="82"/>
      <c r="R53" s="82" t="s">
        <v>849</v>
      </c>
      <c r="S53" s="120" t="s">
        <v>724</v>
      </c>
      <c r="T53" s="232">
        <v>46132</v>
      </c>
      <c r="U53" s="87" t="str">
        <f>IF(V53="","No AIS",VLOOKUP(V53,'Voyage days'!$A$3:$B$1480,2,FALSE))</f>
        <v>Suez + 7</v>
      </c>
      <c r="V53" s="88" t="str">
        <f>IF(VLOOKUP(A53,'1) Kpler'!$E$2:$P$1000,8, FALSE)="","",VLOOKUP(A53,'1) Kpler'!$E$2:$P$1000,8, FALSE))</f>
        <v>Ain Sukhna</v>
      </c>
      <c r="W53" s="89">
        <f>IF(VLOOKUP(A53,'1) Kpler'!$E$2:$P$1000,9,FALSE)="","",VLOOKUP(A53,'1) Kpler'!$E$2:$P$1000,9,FALSE))</f>
        <v>46132.625</v>
      </c>
      <c r="X53" s="88" t="str">
        <f>VLOOKUP(A53,'1) Kpler'!$E$2:$I$1000,4,FALSE)</f>
        <v>loaded</v>
      </c>
      <c r="Y53" s="63" t="str">
        <f t="shared" si="0"/>
        <v>06-07 May</v>
      </c>
      <c r="Z53" s="63" t="str">
        <f t="shared" si="1"/>
        <v>15-16 May</v>
      </c>
      <c r="AA53" s="63" t="str">
        <f t="shared" si="2"/>
        <v>18-19 May</v>
      </c>
      <c r="AB53" s="63" t="str">
        <f t="shared" si="3"/>
        <v>12-13 May</v>
      </c>
      <c r="AC53" s="63" t="str">
        <f t="shared" si="4"/>
        <v>05-06 May</v>
      </c>
      <c r="AD53" s="63" t="str">
        <f t="shared" si="5"/>
        <v/>
      </c>
      <c r="AE53" s="129" t="str">
        <f t="shared" si="6"/>
        <v/>
      </c>
      <c r="AF53" s="130" t="str">
        <f t="shared" si="7"/>
        <v>28-29 Apr</v>
      </c>
      <c r="AG53" s="93" t="str">
        <f t="shared" si="8"/>
        <v>06-07 May</v>
      </c>
      <c r="AH53" s="94">
        <f>IFERROR($M53+VLOOKUP($L53,'Voyage days'!$F$38:$H$89,3,FALSE),"")</f>
        <v>46148</v>
      </c>
      <c r="AI53" s="94">
        <f>IFERROR(N53+VLOOKUP($L53,'Voyage days'!$F$38:$H$89,3,FALSE),"")</f>
        <v>46149</v>
      </c>
      <c r="AJ53" s="93" t="str">
        <f t="shared" si="9"/>
        <v>15-16 May</v>
      </c>
      <c r="AK53" s="94">
        <f>IFERROR($M53+VLOOKUP($L53,'Voyage days'!$F$94:$H$193,3,FALSE),"")</f>
        <v>46157</v>
      </c>
      <c r="AL53" s="94">
        <f>IFERROR($N53+VLOOKUP($L53,'Voyage days'!$F$94:$H$193,3,FALSE),"")</f>
        <v>46158</v>
      </c>
      <c r="AM53" s="93" t="str">
        <f t="shared" si="10"/>
        <v>18-19 May</v>
      </c>
      <c r="AN53" s="94">
        <f>IFERROR($M53+VLOOKUP($L53,'Voyage days'!$F$203:$H$256,3,FALSE),"")</f>
        <v>46160</v>
      </c>
      <c r="AO53" s="94">
        <f>IFERROR($N53+VLOOKUP($L53,'Voyage days'!$F$203:$H$256,3,FALSE),"")</f>
        <v>46161</v>
      </c>
      <c r="AP53" s="93" t="str">
        <f t="shared" si="11"/>
        <v>12-13 May</v>
      </c>
      <c r="AQ53" s="94">
        <f>IFERROR($M53+VLOOKUP($L53,'Voyage days'!$F$294:$H$377,3,FALSE),"")</f>
        <v>46154</v>
      </c>
      <c r="AR53" s="94">
        <f>IFERROR($N53+VLOOKUP($L53,'Voyage days'!$F$294:$H$377,3,FALSE),"")</f>
        <v>46155</v>
      </c>
      <c r="AS53" s="93" t="str">
        <f t="shared" si="12"/>
        <v>05-06 May</v>
      </c>
      <c r="AT53" s="94">
        <f>IFERROR($M53+VLOOKUP($L53,'Voyage days'!$F$382:$H$446,3,FALSE),"")</f>
        <v>46147</v>
      </c>
      <c r="AU53" s="94">
        <f>IFERROR($N53+VLOOKUP($L53,'Voyage days'!$F$382:$H$446,3,FALSE),"")</f>
        <v>46148</v>
      </c>
      <c r="AV53" s="93" t="str">
        <f t="shared" si="13"/>
        <v/>
      </c>
      <c r="AW53" s="94" t="str">
        <f>IFERROR($M53+VLOOKUP($L53,'Voyage days'!$F$483:$H$538,3,FALSE),"")</f>
        <v/>
      </c>
      <c r="AX53" s="94" t="str">
        <f>IFERROR($N53+VLOOKUP($L53,'Voyage days'!$F$483:$H$538,3,FALSE),"")</f>
        <v/>
      </c>
      <c r="AY53" s="93" t="str">
        <f t="shared" si="14"/>
        <v/>
      </c>
      <c r="AZ53" s="94" t="str">
        <f>IFERROR($M53+VLOOKUP($L53,'Voyage days'!$F$540:$H$613,3,FALSE),"")</f>
        <v/>
      </c>
      <c r="BA53" s="94" t="str">
        <f>IFERROR($N53+VLOOKUP($L53,'Voyage days'!$F$540:$H$613,3,FALSE),"")</f>
        <v/>
      </c>
      <c r="BB53" s="93" t="str">
        <f t="shared" si="15"/>
        <v/>
      </c>
      <c r="BC53" s="94" t="str">
        <f>IFERROR($M53+VLOOKUP($L53,'Voyage days'!$F$448:$H$479,3,FALSE),"")</f>
        <v/>
      </c>
      <c r="BD53" s="94" t="str">
        <f>IFERROR($N53+VLOOKUP($L53,'Voyage days'!$F$448:$H$479,3,FALSE),"")</f>
        <v/>
      </c>
      <c r="BE53" s="93" t="str">
        <f t="shared" si="16"/>
        <v/>
      </c>
      <c r="BF53" s="95" t="str">
        <f>IFERROR($M53+VLOOKUP($L53,'Voyage days'!$F$620:$H$646,3,FALSE),"")</f>
        <v/>
      </c>
      <c r="BG53" s="95" t="str">
        <f>IFERROR($N53+VLOOKUP($L53,'Voyage days'!$F$620:$H$646,3,FALSE),"")</f>
        <v/>
      </c>
      <c r="BH53" s="93" t="str">
        <f t="shared" si="17"/>
        <v/>
      </c>
      <c r="BI53" s="96" t="str">
        <f>IFERROR($M53+VLOOKUP($L53,'Voyage days'!$F$702:$H$727,3,FALSE),"")</f>
        <v/>
      </c>
      <c r="BJ53" s="93" t="str">
        <f t="shared" si="18"/>
        <v>28-29 Apr</v>
      </c>
      <c r="BK53" s="95">
        <f>IFERROR($M53+VLOOKUP($L53,'Voyage days'!$F$807:$H$878,3,FALSE),"")</f>
        <v>46140.5</v>
      </c>
      <c r="BL53" s="95">
        <f>IFERROR($N53+VLOOKUP($L53,'Voyage days'!$F$807:$H$878,3,FALSE),"")</f>
        <v>46141.5</v>
      </c>
      <c r="BM53" s="95">
        <f>IFERROR($N53+VLOOKUP($L53,'Voyage days'!$F$807:$K$878,6,FALSE),"")</f>
        <v>46140</v>
      </c>
      <c r="BN53" s="94" t="str">
        <f>IF(L53="loads AG", IFERROR($M53+VLOOKUP($L53,'Voyage days'!$M$38:$O$38,3,FALSE),""),"")</f>
        <v/>
      </c>
      <c r="BO53" s="94" t="str">
        <f>IF(L53="loads USG", IFERROR($M53+VLOOKUP($L53,'Voyage days'!$L$203:$N$203,3,FALSE),""),"")</f>
        <v/>
      </c>
    </row>
    <row r="54" spans="1:67" ht="15.75" customHeight="1" x14ac:dyDescent="0.25">
      <c r="A54" s="53" t="s">
        <v>471</v>
      </c>
      <c r="B54" s="119">
        <v>2026</v>
      </c>
      <c r="C54" s="76">
        <v>86700</v>
      </c>
      <c r="D54" s="77" t="s">
        <v>651</v>
      </c>
      <c r="E54" s="77" t="s">
        <v>757</v>
      </c>
      <c r="F54" s="78"/>
      <c r="G54" s="78"/>
      <c r="H54" s="78" t="s">
        <v>713</v>
      </c>
      <c r="I54" s="260" t="s">
        <v>813</v>
      </c>
      <c r="J54" s="80" t="str">
        <f t="shared" si="20"/>
        <v>NO AIS</v>
      </c>
      <c r="K54" s="81"/>
      <c r="L54" s="82" t="s">
        <v>734</v>
      </c>
      <c r="M54" s="83">
        <v>46133</v>
      </c>
      <c r="N54" s="83">
        <v>46134</v>
      </c>
      <c r="O54" s="84" t="s">
        <v>779</v>
      </c>
      <c r="P54" s="82" t="s">
        <v>850</v>
      </c>
      <c r="Q54" s="82"/>
      <c r="R54" s="82" t="s">
        <v>851</v>
      </c>
      <c r="S54" s="120" t="s">
        <v>724</v>
      </c>
      <c r="T54" s="232">
        <v>46132</v>
      </c>
      <c r="U54" s="87" t="str">
        <f>IF(V54="","No AIS",VLOOKUP(V54,'Voyage days'!$A$3:$B$1480,2,FALSE))</f>
        <v>No AIS</v>
      </c>
      <c r="V54" s="88" t="str">
        <f>IF(VLOOKUP(A54,'1) Kpler'!$E$2:$P$1000,8, FALSE)="","",VLOOKUP(A54,'1) Kpler'!$E$2:$P$1000,8, FALSE))</f>
        <v/>
      </c>
      <c r="W54" s="89" t="str">
        <f>IF(VLOOKUP(A54,'1) Kpler'!$E$2:$P$1000,9,FALSE)="","",VLOOKUP(A54,'1) Kpler'!$E$2:$P$1000,9,FALSE))</f>
        <v/>
      </c>
      <c r="X54" s="88" t="str">
        <f>VLOOKUP(A54,'1) Kpler'!$E$2:$I$1000,4,FALSE)</f>
        <v>ballast</v>
      </c>
      <c r="Y54" s="63" t="str">
        <f t="shared" si="0"/>
        <v>02-03 May</v>
      </c>
      <c r="Z54" s="63" t="str">
        <f t="shared" si="1"/>
        <v>29-30 May</v>
      </c>
      <c r="AA54" s="63" t="str">
        <f t="shared" si="2"/>
        <v>28-29 May</v>
      </c>
      <c r="AB54" s="63" t="str">
        <f t="shared" si="3"/>
        <v>11-12 May</v>
      </c>
      <c r="AC54" s="63" t="str">
        <f t="shared" si="4"/>
        <v>20-21 May</v>
      </c>
      <c r="AD54" s="63" t="str">
        <f t="shared" si="5"/>
        <v>24-25 Apr</v>
      </c>
      <c r="AE54" s="129" t="str">
        <f t="shared" si="6"/>
        <v>25-26 Apr</v>
      </c>
      <c r="AF54" s="130" t="str">
        <f t="shared" si="7"/>
        <v>28-29 May</v>
      </c>
      <c r="AG54" s="93" t="str">
        <f t="shared" si="8"/>
        <v>02-03 May</v>
      </c>
      <c r="AH54" s="94">
        <f>IFERROR($M54+VLOOKUP($L54,'Voyage days'!$F$38:$H$89,3,FALSE),"")</f>
        <v>46144</v>
      </c>
      <c r="AI54" s="94">
        <f>IFERROR(N54+VLOOKUP($L54,'Voyage days'!$F$38:$H$89,3,FALSE),"")</f>
        <v>46145</v>
      </c>
      <c r="AJ54" s="93" t="str">
        <f t="shared" si="9"/>
        <v>29-30 May</v>
      </c>
      <c r="AK54" s="94">
        <f>IFERROR($M54+VLOOKUP($L54,'Voyage days'!$F$94:$H$193,3,FALSE),"")</f>
        <v>46171</v>
      </c>
      <c r="AL54" s="94">
        <f>IFERROR($N54+VLOOKUP($L54,'Voyage days'!$F$94:$H$193,3,FALSE),"")</f>
        <v>46172</v>
      </c>
      <c r="AM54" s="93" t="str">
        <f t="shared" si="10"/>
        <v>28-29 May</v>
      </c>
      <c r="AN54" s="94">
        <f>IFERROR($M54+VLOOKUP($L54,'Voyage days'!$F$203:$H$256,3,FALSE),"")</f>
        <v>46170</v>
      </c>
      <c r="AO54" s="94">
        <f>IFERROR($N54+VLOOKUP($L54,'Voyage days'!$F$203:$H$256,3,FALSE),"")</f>
        <v>46171</v>
      </c>
      <c r="AP54" s="93" t="str">
        <f t="shared" si="11"/>
        <v>11-12 May</v>
      </c>
      <c r="AQ54" s="94">
        <f>IFERROR($M54+VLOOKUP($L54,'Voyage days'!$F$294:$H$377,3,FALSE),"")</f>
        <v>46153</v>
      </c>
      <c r="AR54" s="94">
        <f>IFERROR($N54+VLOOKUP($L54,'Voyage days'!$F$294:$H$377,3,FALSE),"")</f>
        <v>46154</v>
      </c>
      <c r="AS54" s="93" t="str">
        <f t="shared" si="12"/>
        <v>20-21 May</v>
      </c>
      <c r="AT54" s="94">
        <f>IFERROR($M54+VLOOKUP($L54,'Voyage days'!$F$382:$H$446,3,FALSE),"")</f>
        <v>46162</v>
      </c>
      <c r="AU54" s="94">
        <f>IFERROR($N54+VLOOKUP($L54,'Voyage days'!$F$382:$H$446,3,FALSE),"")</f>
        <v>46163</v>
      </c>
      <c r="AV54" s="93" t="str">
        <f t="shared" si="13"/>
        <v>30-01 May</v>
      </c>
      <c r="AW54" s="94">
        <f>IFERROR($M54+VLOOKUP($L54,'Voyage days'!$F$483:$H$538,3,FALSE),"")</f>
        <v>46142</v>
      </c>
      <c r="AX54" s="94">
        <f>IFERROR($N54+VLOOKUP($L54,'Voyage days'!$F$483:$H$538,3,FALSE),"")</f>
        <v>46143</v>
      </c>
      <c r="AY54" s="93" t="str">
        <f t="shared" si="14"/>
        <v>25-26 Apr</v>
      </c>
      <c r="AZ54" s="94">
        <f>IFERROR($M54+VLOOKUP($L54,'Voyage days'!$F$540:$H$613,3,FALSE),"")</f>
        <v>46137</v>
      </c>
      <c r="BA54" s="94">
        <f>IFERROR($N54+VLOOKUP($L54,'Voyage days'!$F$540:$H$613,3,FALSE),"")</f>
        <v>46138</v>
      </c>
      <c r="BB54" s="93" t="str">
        <f t="shared" si="15"/>
        <v>24-25 Apr</v>
      </c>
      <c r="BC54" s="94">
        <f>IFERROR($M54+VLOOKUP($L54,'Voyage days'!$F$448:$H$479,3,FALSE),"")</f>
        <v>46136</v>
      </c>
      <c r="BD54" s="94">
        <f>IFERROR($N54+VLOOKUP($L54,'Voyage days'!$F$448:$H$479,3,FALSE),"")</f>
        <v>46137</v>
      </c>
      <c r="BE54" s="93" t="str">
        <f t="shared" si="16"/>
        <v/>
      </c>
      <c r="BF54" s="95" t="str">
        <f>IFERROR($M54+VLOOKUP($L54,'Voyage days'!$F$620:$H$646,3,FALSE),"")</f>
        <v/>
      </c>
      <c r="BG54" s="95" t="str">
        <f>IFERROR($N54+VLOOKUP($L54,'Voyage days'!$F$620:$H$646,3,FALSE),"")</f>
        <v/>
      </c>
      <c r="BH54" s="93" t="str">
        <f t="shared" si="17"/>
        <v>29-29 May</v>
      </c>
      <c r="BI54" s="96">
        <f>IFERROR($M54+VLOOKUP($L54,'Voyage days'!$F$702:$H$727,3,FALSE),"")</f>
        <v>46141</v>
      </c>
      <c r="BJ54" s="93" t="str">
        <f t="shared" si="18"/>
        <v>28-29 May</v>
      </c>
      <c r="BK54" s="95">
        <f>IFERROR($M54+VLOOKUP($L54,'Voyage days'!$F$807:$H$878,3,FALSE),"")</f>
        <v>46170</v>
      </c>
      <c r="BL54" s="95">
        <f>IFERROR($N54+VLOOKUP($L54,'Voyage days'!$F$807:$H$878,3,FALSE),"")</f>
        <v>46171</v>
      </c>
      <c r="BM54" s="95">
        <f>IFERROR($N54+VLOOKUP($L54,'Voyage days'!$F$807:$K$878,6,FALSE),"")</f>
        <v>46147</v>
      </c>
      <c r="BN54" s="94" t="str">
        <f>IF(L54="loads AG", IFERROR($M54+VLOOKUP($L54,'Voyage days'!$M$38:$O$38,3,FALSE),""),"")</f>
        <v/>
      </c>
      <c r="BO54" s="94" t="str">
        <f>IF(L54="loads USG", IFERROR($M54+VLOOKUP($L54,'Voyage days'!$L$203:$N$203,3,FALSE),""),"")</f>
        <v/>
      </c>
    </row>
    <row r="55" spans="1:67" ht="15.75" customHeight="1" x14ac:dyDescent="0.25">
      <c r="A55" s="263" t="s">
        <v>473</v>
      </c>
      <c r="B55" s="119">
        <v>2023</v>
      </c>
      <c r="C55" s="76">
        <v>86000</v>
      </c>
      <c r="D55" s="77"/>
      <c r="E55" s="77"/>
      <c r="F55" s="78"/>
      <c r="G55" s="78"/>
      <c r="H55" s="78" t="s">
        <v>713</v>
      </c>
      <c r="I55" s="260" t="s">
        <v>813</v>
      </c>
      <c r="J55" s="80" t="str">
        <f t="shared" si="20"/>
        <v/>
      </c>
      <c r="K55" s="81"/>
      <c r="L55" s="82" t="s">
        <v>797</v>
      </c>
      <c r="M55" s="83">
        <v>46152</v>
      </c>
      <c r="N55" s="83">
        <v>46154</v>
      </c>
      <c r="O55" s="84" t="s">
        <v>71</v>
      </c>
      <c r="P55" s="78" t="s">
        <v>852</v>
      </c>
      <c r="Q55" s="82"/>
      <c r="R55" s="82" t="s">
        <v>853</v>
      </c>
      <c r="S55" s="120" t="s">
        <v>724</v>
      </c>
      <c r="T55" s="232">
        <v>46132</v>
      </c>
      <c r="U55" s="87" t="str">
        <f>IF(V55="","No AIS",VLOOKUP(V55,'Voyage days'!$A$3:$B$1480,2,FALSE))</f>
        <v>Suez + 7</v>
      </c>
      <c r="V55" s="88" t="str">
        <f>IF(VLOOKUP(A55,'1) Kpler'!$E$2:$P$1000,8, FALSE)="","",VLOOKUP(A55,'1) Kpler'!$E$2:$P$1000,8, FALSE))</f>
        <v>Suez Canal</v>
      </c>
      <c r="W55" s="89">
        <f>IF(VLOOKUP(A55,'1) Kpler'!$E$2:$P$1000,9,FALSE)="","",VLOOKUP(A55,'1) Kpler'!$E$2:$P$1000,9,FALSE))</f>
        <v>46145.958333333336</v>
      </c>
      <c r="X55" s="88" t="str">
        <f>VLOOKUP(A55,'1) Kpler'!$E$2:$I$1000,4,FALSE)</f>
        <v>loaded</v>
      </c>
      <c r="Y55" s="63" t="str">
        <f t="shared" si="0"/>
        <v>19-21 May</v>
      </c>
      <c r="Z55" s="63" t="str">
        <f t="shared" si="1"/>
        <v>28-30 May</v>
      </c>
      <c r="AA55" s="63" t="str">
        <f t="shared" si="2"/>
        <v>31-02 Jun</v>
      </c>
      <c r="AB55" s="63" t="str">
        <f t="shared" si="3"/>
        <v>25-27 May</v>
      </c>
      <c r="AC55" s="63" t="str">
        <f t="shared" si="4"/>
        <v>18-20 May</v>
      </c>
      <c r="AD55" s="63" t="str">
        <f t="shared" si="5"/>
        <v/>
      </c>
      <c r="AE55" s="129" t="str">
        <f t="shared" si="6"/>
        <v/>
      </c>
      <c r="AF55" s="130" t="str">
        <f t="shared" si="7"/>
        <v>11-13 May</v>
      </c>
      <c r="AG55" s="93" t="str">
        <f t="shared" si="8"/>
        <v>19-21 May</v>
      </c>
      <c r="AH55" s="94">
        <f>IFERROR($M55+VLOOKUP($L55,'Voyage days'!$F$38:$H$89,3,FALSE),"")</f>
        <v>46161</v>
      </c>
      <c r="AI55" s="94">
        <f>IFERROR(N55+VLOOKUP($L55,'Voyage days'!$F$38:$H$89,3,FALSE),"")</f>
        <v>46163</v>
      </c>
      <c r="AJ55" s="93" t="str">
        <f t="shared" si="9"/>
        <v>28-30 May</v>
      </c>
      <c r="AK55" s="94">
        <f>IFERROR($M55+VLOOKUP($L55,'Voyage days'!$F$94:$H$193,3,FALSE),"")</f>
        <v>46170</v>
      </c>
      <c r="AL55" s="94">
        <f>IFERROR($N55+VLOOKUP($L55,'Voyage days'!$F$94:$H$193,3,FALSE),"")</f>
        <v>46172</v>
      </c>
      <c r="AM55" s="93" t="str">
        <f t="shared" si="10"/>
        <v>31-02 Jun</v>
      </c>
      <c r="AN55" s="94">
        <f>IFERROR($M55+VLOOKUP($L55,'Voyage days'!$F$203:$H$256,3,FALSE),"")</f>
        <v>46173</v>
      </c>
      <c r="AO55" s="94">
        <f>IFERROR($N55+VLOOKUP($L55,'Voyage days'!$F$203:$H$256,3,FALSE),"")</f>
        <v>46175</v>
      </c>
      <c r="AP55" s="93" t="str">
        <f t="shared" si="11"/>
        <v>25-27 May</v>
      </c>
      <c r="AQ55" s="94">
        <f>IFERROR($M55+VLOOKUP($L55,'Voyage days'!$F$294:$H$377,3,FALSE),"")</f>
        <v>46167</v>
      </c>
      <c r="AR55" s="94">
        <f>IFERROR($N55+VLOOKUP($L55,'Voyage days'!$F$294:$H$377,3,FALSE),"")</f>
        <v>46169</v>
      </c>
      <c r="AS55" s="93" t="str">
        <f t="shared" si="12"/>
        <v>18-20 May</v>
      </c>
      <c r="AT55" s="94">
        <f>IFERROR($M55+VLOOKUP($L55,'Voyage days'!$F$382:$H$446,3,FALSE),"")</f>
        <v>46160</v>
      </c>
      <c r="AU55" s="94">
        <f>IFERROR($N55+VLOOKUP($L55,'Voyage days'!$F$382:$H$446,3,FALSE),"")</f>
        <v>46162</v>
      </c>
      <c r="AV55" s="93" t="str">
        <f t="shared" si="13"/>
        <v/>
      </c>
      <c r="AW55" s="94" t="str">
        <f>IFERROR($M55+VLOOKUP($L55,'Voyage days'!$F$483:$H$538,3,FALSE),"")</f>
        <v/>
      </c>
      <c r="AX55" s="94" t="str">
        <f>IFERROR($N55+VLOOKUP($L55,'Voyage days'!$F$483:$H$538,3,FALSE),"")</f>
        <v/>
      </c>
      <c r="AY55" s="93" t="str">
        <f t="shared" si="14"/>
        <v/>
      </c>
      <c r="AZ55" s="94" t="str">
        <f>IFERROR($M55+VLOOKUP($L55,'Voyage days'!$F$540:$H$613,3,FALSE),"")</f>
        <v/>
      </c>
      <c r="BA55" s="94" t="str">
        <f>IFERROR($N55+VLOOKUP($L55,'Voyage days'!$F$540:$H$613,3,FALSE),"")</f>
        <v/>
      </c>
      <c r="BB55" s="93" t="str">
        <f t="shared" si="15"/>
        <v/>
      </c>
      <c r="BC55" s="94" t="str">
        <f>IFERROR($M55+VLOOKUP($L55,'Voyage days'!$F$448:$H$479,3,FALSE),"")</f>
        <v/>
      </c>
      <c r="BD55" s="94" t="str">
        <f>IFERROR($N55+VLOOKUP($L55,'Voyage days'!$F$448:$H$479,3,FALSE),"")</f>
        <v/>
      </c>
      <c r="BE55" s="93" t="str">
        <f t="shared" si="16"/>
        <v/>
      </c>
      <c r="BF55" s="95" t="str">
        <f>IFERROR($M55+VLOOKUP($L55,'Voyage days'!$F$620:$H$646,3,FALSE),"")</f>
        <v/>
      </c>
      <c r="BG55" s="95" t="str">
        <f>IFERROR($N55+VLOOKUP($L55,'Voyage days'!$F$620:$H$646,3,FALSE),"")</f>
        <v/>
      </c>
      <c r="BH55" s="93" t="str">
        <f t="shared" si="17"/>
        <v/>
      </c>
      <c r="BI55" s="96" t="str">
        <f>IFERROR($M55+VLOOKUP($L55,'Voyage days'!$F$702:$H$727,3,FALSE),"")</f>
        <v/>
      </c>
      <c r="BJ55" s="93" t="str">
        <f t="shared" si="18"/>
        <v>11-13 May</v>
      </c>
      <c r="BK55" s="95">
        <f>IFERROR($M55+VLOOKUP($L55,'Voyage days'!$F$807:$H$878,3,FALSE),"")</f>
        <v>46153.5</v>
      </c>
      <c r="BL55" s="95">
        <f>IFERROR($N55+VLOOKUP($L55,'Voyage days'!$F$807:$H$878,3,FALSE),"")</f>
        <v>46155.5</v>
      </c>
      <c r="BM55" s="95">
        <f>IFERROR($N55+VLOOKUP($L55,'Voyage days'!$F$807:$K$878,6,FALSE),"")</f>
        <v>46154</v>
      </c>
      <c r="BN55" s="94" t="str">
        <f>IF(L55="loads AG", IFERROR($M55+VLOOKUP($L55,'Voyage days'!$M$38:$O$38,3,FALSE),""),"")</f>
        <v/>
      </c>
      <c r="BO55" s="94" t="str">
        <f>IF(L55="loads USG", IFERROR($M55+VLOOKUP($L55,'Voyage days'!$L$203:$N$203,3,FALSE),""),"")</f>
        <v/>
      </c>
    </row>
    <row r="56" spans="1:67" ht="15.75" customHeight="1" x14ac:dyDescent="0.25">
      <c r="A56" s="263" t="s">
        <v>510</v>
      </c>
      <c r="B56" s="119">
        <v>2023</v>
      </c>
      <c r="C56" s="76">
        <v>86000</v>
      </c>
      <c r="D56" s="77"/>
      <c r="E56" s="77"/>
      <c r="F56" s="78"/>
      <c r="G56" s="78"/>
      <c r="H56" s="78" t="s">
        <v>713</v>
      </c>
      <c r="I56" s="260" t="s">
        <v>813</v>
      </c>
      <c r="J56" s="80" t="str">
        <f t="shared" si="20"/>
        <v/>
      </c>
      <c r="K56" s="81"/>
      <c r="L56" s="82" t="s">
        <v>718</v>
      </c>
      <c r="M56" s="83">
        <v>46138</v>
      </c>
      <c r="N56" s="83">
        <v>46139</v>
      </c>
      <c r="O56" s="84"/>
      <c r="P56" s="82" t="s">
        <v>854</v>
      </c>
      <c r="Q56" s="82"/>
      <c r="R56" s="82" t="s">
        <v>855</v>
      </c>
      <c r="S56" s="120" t="s">
        <v>724</v>
      </c>
      <c r="T56" s="232">
        <v>46132</v>
      </c>
      <c r="U56" s="87" t="str">
        <f>IF(V56="","No AIS",VLOOKUP(V56,'Voyage days'!$A$3:$B$1480,2,FALSE))</f>
        <v>Panama</v>
      </c>
      <c r="V56" s="88" t="str">
        <f>IF(VLOOKUP(A56,'1) Kpler'!$E$2:$P$1000,8, FALSE)="","",VLOOKUP(A56,'1) Kpler'!$E$2:$P$1000,8, FALSE))</f>
        <v>Panama Canal</v>
      </c>
      <c r="W56" s="89">
        <f>IF(VLOOKUP(A56,'1) Kpler'!$E$2:$P$1000,9,FALSE)="","",VLOOKUP(A56,'1) Kpler'!$E$2:$P$1000,9,FALSE))</f>
        <v>46134</v>
      </c>
      <c r="X56" s="88" t="str">
        <f>VLOOKUP(A56,'1) Kpler'!$E$2:$I$1000,4,FALSE)</f>
        <v>ballast</v>
      </c>
      <c r="Y56" s="63" t="str">
        <f t="shared" si="0"/>
        <v/>
      </c>
      <c r="Z56" s="63" t="str">
        <f t="shared" si="1"/>
        <v>26-27 Apr</v>
      </c>
      <c r="AA56" s="63" t="str">
        <f t="shared" si="2"/>
        <v>26-27 Apr</v>
      </c>
      <c r="AB56" s="63" t="str">
        <f t="shared" si="3"/>
        <v/>
      </c>
      <c r="AC56" s="63" t="str">
        <f t="shared" si="4"/>
        <v>16-17 May</v>
      </c>
      <c r="AD56" s="63" t="str">
        <f t="shared" si="5"/>
        <v/>
      </c>
      <c r="AE56" s="129" t="str">
        <f t="shared" si="6"/>
        <v/>
      </c>
      <c r="AF56" s="130" t="str">
        <f t="shared" si="7"/>
        <v/>
      </c>
      <c r="AG56" s="93" t="str">
        <f t="shared" si="8"/>
        <v/>
      </c>
      <c r="AH56" s="94" t="str">
        <f>IFERROR($M56+VLOOKUP($L56,'Voyage days'!$F$38:$H$89,3,FALSE),"")</f>
        <v/>
      </c>
      <c r="AI56" s="94" t="str">
        <f>IFERROR(N56+VLOOKUP($L56,'Voyage days'!$F$38:$H$89,3,FALSE),"")</f>
        <v/>
      </c>
      <c r="AJ56" s="93" t="str">
        <f t="shared" si="9"/>
        <v>26-27 Apr</v>
      </c>
      <c r="AK56" s="94">
        <f>IFERROR($M56+VLOOKUP($L56,'Voyage days'!$F$94:$H$193,3,FALSE),"")</f>
        <v>46138</v>
      </c>
      <c r="AL56" s="94">
        <f>IFERROR($N56+VLOOKUP($L56,'Voyage days'!$F$94:$H$193,3,FALSE),"")</f>
        <v>46139</v>
      </c>
      <c r="AM56" s="93" t="str">
        <f t="shared" si="10"/>
        <v>26-27 Apr</v>
      </c>
      <c r="AN56" s="94">
        <f>IFERROR($M56+VLOOKUP($L56,'Voyage days'!$F$203:$H$256,3,FALSE),"")</f>
        <v>46138</v>
      </c>
      <c r="AO56" s="94">
        <f>IFERROR($N56+VLOOKUP($L56,'Voyage days'!$F$203:$H$256,3,FALSE),"")</f>
        <v>46139</v>
      </c>
      <c r="AP56" s="93" t="str">
        <f t="shared" si="11"/>
        <v/>
      </c>
      <c r="AQ56" s="94" t="str">
        <f>IFERROR($M56+VLOOKUP($L56,'Voyage days'!$F$294:$H$377,3,FALSE),"")</f>
        <v/>
      </c>
      <c r="AR56" s="94" t="str">
        <f>IFERROR($N56+VLOOKUP($L56,'Voyage days'!$F$294:$H$377,3,FALSE),"")</f>
        <v/>
      </c>
      <c r="AS56" s="93" t="str">
        <f t="shared" si="12"/>
        <v>16-17 May</v>
      </c>
      <c r="AT56" s="94">
        <f>IFERROR($M56+VLOOKUP($L56,'Voyage days'!$F$382:$H$446,3,FALSE),"")</f>
        <v>46158</v>
      </c>
      <c r="AU56" s="94">
        <f>IFERROR($N56+VLOOKUP($L56,'Voyage days'!$F$382:$H$446,3,FALSE),"")</f>
        <v>46159</v>
      </c>
      <c r="AV56" s="93" t="str">
        <f t="shared" si="13"/>
        <v/>
      </c>
      <c r="AW56" s="94" t="str">
        <f>IFERROR($M56+VLOOKUP($L56,'Voyage days'!$F$483:$H$538,3,FALSE),"")</f>
        <v/>
      </c>
      <c r="AX56" s="94" t="str">
        <f>IFERROR($N56+VLOOKUP($L56,'Voyage days'!$F$483:$H$538,3,FALSE),"")</f>
        <v/>
      </c>
      <c r="AY56" s="93" t="str">
        <f t="shared" si="14"/>
        <v/>
      </c>
      <c r="AZ56" s="94" t="str">
        <f>IFERROR($M56+VLOOKUP($L56,'Voyage days'!$F$540:$H$613,3,FALSE),"")</f>
        <v/>
      </c>
      <c r="BA56" s="94" t="str">
        <f>IFERROR($N56+VLOOKUP($L56,'Voyage days'!$F$540:$H$613,3,FALSE),"")</f>
        <v/>
      </c>
      <c r="BB56" s="93" t="str">
        <f t="shared" si="15"/>
        <v/>
      </c>
      <c r="BC56" s="94" t="str">
        <f>IFERROR($M56+VLOOKUP($L56,'Voyage days'!$F$448:$H$479,3,FALSE),"")</f>
        <v/>
      </c>
      <c r="BD56" s="94" t="str">
        <f>IFERROR($N56+VLOOKUP($L56,'Voyage days'!$F$448:$H$479,3,FALSE),"")</f>
        <v/>
      </c>
      <c r="BE56" s="93" t="str">
        <f t="shared" si="16"/>
        <v/>
      </c>
      <c r="BF56" s="95" t="str">
        <f>IFERROR($M56+VLOOKUP($L56,'Voyage days'!$F$620:$H$646,3,FALSE),"")</f>
        <v/>
      </c>
      <c r="BG56" s="95" t="str">
        <f>IFERROR($N56+VLOOKUP($L56,'Voyage days'!$F$620:$H$646,3,FALSE),"")</f>
        <v/>
      </c>
      <c r="BH56" s="93" t="str">
        <f t="shared" si="17"/>
        <v/>
      </c>
      <c r="BI56" s="96" t="str">
        <f>IFERROR($M56+VLOOKUP($L56,'Voyage days'!$F$702:$H$727,3,FALSE),"")</f>
        <v/>
      </c>
      <c r="BJ56" s="93" t="str">
        <f t="shared" si="18"/>
        <v/>
      </c>
      <c r="BK56" s="95" t="str">
        <f>IFERROR($M56+VLOOKUP($L56,'Voyage days'!$F$807:$H$878,3,FALSE),"")</f>
        <v/>
      </c>
      <c r="BL56" s="95" t="str">
        <f>IFERROR($N56+VLOOKUP($L56,'Voyage days'!$F$807:$H$878,3,FALSE),"")</f>
        <v/>
      </c>
      <c r="BM56" s="95" t="str">
        <f>IFERROR($N56+VLOOKUP($L56,'Voyage days'!$F$807:$K$878,6,FALSE),"")</f>
        <v/>
      </c>
      <c r="BN56" s="94" t="str">
        <f>IF(L56="loads AG", IFERROR($M56+VLOOKUP($L56,'Voyage days'!$M$38:$O$38,3,FALSE),""),"")</f>
        <v/>
      </c>
      <c r="BO56" s="94">
        <f>IF(L56="loads USG", IFERROR($M56+VLOOKUP($L56,'Voyage days'!$L$203:$N$203,3,FALSE),""),"")</f>
        <v>46170</v>
      </c>
    </row>
    <row r="57" spans="1:67" ht="15.75" customHeight="1" x14ac:dyDescent="0.25">
      <c r="A57" s="266" t="s">
        <v>490</v>
      </c>
      <c r="B57" s="119">
        <v>2025</v>
      </c>
      <c r="C57" s="76">
        <v>86665</v>
      </c>
      <c r="D57" s="77"/>
      <c r="E57" s="77"/>
      <c r="F57" s="78"/>
      <c r="G57" s="78"/>
      <c r="H57" s="78" t="s">
        <v>713</v>
      </c>
      <c r="I57" s="260" t="s">
        <v>813</v>
      </c>
      <c r="J57" s="80" t="str">
        <f t="shared" si="20"/>
        <v/>
      </c>
      <c r="K57" s="81"/>
      <c r="L57" s="82" t="s">
        <v>797</v>
      </c>
      <c r="M57" s="83">
        <v>46152</v>
      </c>
      <c r="N57" s="83">
        <v>46153</v>
      </c>
      <c r="O57" s="84" t="s">
        <v>779</v>
      </c>
      <c r="P57" s="82" t="s">
        <v>856</v>
      </c>
      <c r="Q57" s="82"/>
      <c r="R57" s="82" t="s">
        <v>857</v>
      </c>
      <c r="S57" s="120" t="s">
        <v>724</v>
      </c>
      <c r="T57" s="232">
        <v>46132</v>
      </c>
      <c r="U57" s="87" t="str">
        <f>IF(V57="","No AIS",VLOOKUP(V57,'Voyage days'!$A$3:$B$1480,2,FALSE))</f>
        <v>Suez + 7</v>
      </c>
      <c r="V57" s="88" t="str">
        <f>IF(VLOOKUP(A57,'1) Kpler'!$E$2:$P$1000,8, FALSE)="","",VLOOKUP(A57,'1) Kpler'!$E$2:$P$1000,8, FALSE))</f>
        <v>Port Said</v>
      </c>
      <c r="W57" s="89">
        <f>IF(VLOOKUP(A57,'1) Kpler'!$E$2:$P$1000,9,FALSE)="","",VLOOKUP(A57,'1) Kpler'!$E$2:$P$1000,9,FALSE))</f>
        <v>46132.666666666664</v>
      </c>
      <c r="X57" s="88" t="str">
        <f>VLOOKUP(A57,'1) Kpler'!$E$2:$I$1000,4,FALSE)</f>
        <v>loaded</v>
      </c>
      <c r="Y57" s="63" t="str">
        <f t="shared" si="0"/>
        <v>19-20 May</v>
      </c>
      <c r="Z57" s="63" t="str">
        <f t="shared" si="1"/>
        <v>28-29 May</v>
      </c>
      <c r="AA57" s="63" t="str">
        <f t="shared" si="2"/>
        <v>31-01 Jun</v>
      </c>
      <c r="AB57" s="63" t="str">
        <f t="shared" si="3"/>
        <v>25-26 May</v>
      </c>
      <c r="AC57" s="63" t="str">
        <f t="shared" si="4"/>
        <v>18-19 May</v>
      </c>
      <c r="AD57" s="63" t="str">
        <f t="shared" si="5"/>
        <v/>
      </c>
      <c r="AE57" s="129" t="str">
        <f t="shared" si="6"/>
        <v/>
      </c>
      <c r="AF57" s="130" t="str">
        <f t="shared" si="7"/>
        <v>11-12 May</v>
      </c>
      <c r="AG57" s="93" t="str">
        <f t="shared" si="8"/>
        <v>19-20 May</v>
      </c>
      <c r="AH57" s="94">
        <f>IFERROR($M57+VLOOKUP($L57,'Voyage days'!$F$38:$H$89,3,FALSE),"")</f>
        <v>46161</v>
      </c>
      <c r="AI57" s="94">
        <f>IFERROR(N57+VLOOKUP($L57,'Voyage days'!$F$38:$H$89,3,FALSE),"")</f>
        <v>46162</v>
      </c>
      <c r="AJ57" s="93" t="str">
        <f t="shared" si="9"/>
        <v>28-29 May</v>
      </c>
      <c r="AK57" s="94">
        <f>IFERROR($M57+VLOOKUP($L57,'Voyage days'!$F$94:$H$193,3,FALSE),"")</f>
        <v>46170</v>
      </c>
      <c r="AL57" s="94">
        <f>IFERROR($N57+VLOOKUP($L57,'Voyage days'!$F$94:$H$193,3,FALSE),"")</f>
        <v>46171</v>
      </c>
      <c r="AM57" s="93" t="str">
        <f t="shared" si="10"/>
        <v>31-01 Jun</v>
      </c>
      <c r="AN57" s="94">
        <f>IFERROR($M57+VLOOKUP($L57,'Voyage days'!$F$203:$H$256,3,FALSE),"")</f>
        <v>46173</v>
      </c>
      <c r="AO57" s="94">
        <f>IFERROR($N57+VLOOKUP($L57,'Voyage days'!$F$203:$H$256,3,FALSE),"")</f>
        <v>46174</v>
      </c>
      <c r="AP57" s="93" t="str">
        <f t="shared" si="11"/>
        <v>25-26 May</v>
      </c>
      <c r="AQ57" s="94">
        <f>IFERROR($M57+VLOOKUP($L57,'Voyage days'!$F$294:$H$377,3,FALSE),"")</f>
        <v>46167</v>
      </c>
      <c r="AR57" s="94">
        <f>IFERROR($N57+VLOOKUP($L57,'Voyage days'!$F$294:$H$377,3,FALSE),"")</f>
        <v>46168</v>
      </c>
      <c r="AS57" s="93" t="str">
        <f t="shared" si="12"/>
        <v>18-19 May</v>
      </c>
      <c r="AT57" s="94">
        <f>IFERROR($M57+VLOOKUP($L57,'Voyage days'!$F$382:$H$446,3,FALSE),"")</f>
        <v>46160</v>
      </c>
      <c r="AU57" s="94">
        <f>IFERROR($N57+VLOOKUP($L57,'Voyage days'!$F$382:$H$446,3,FALSE),"")</f>
        <v>46161</v>
      </c>
      <c r="AV57" s="93" t="str">
        <f t="shared" si="13"/>
        <v/>
      </c>
      <c r="AW57" s="94" t="str">
        <f>IFERROR($M57+VLOOKUP($L57,'Voyage days'!$F$483:$H$538,3,FALSE),"")</f>
        <v/>
      </c>
      <c r="AX57" s="94" t="str">
        <f>IFERROR($N57+VLOOKUP($L57,'Voyage days'!$F$483:$H$538,3,FALSE),"")</f>
        <v/>
      </c>
      <c r="AY57" s="93" t="str">
        <f t="shared" si="14"/>
        <v/>
      </c>
      <c r="AZ57" s="94" t="str">
        <f>IFERROR($M57+VLOOKUP($L57,'Voyage days'!$F$540:$H$613,3,FALSE),"")</f>
        <v/>
      </c>
      <c r="BA57" s="94" t="str">
        <f>IFERROR($N57+VLOOKUP($L57,'Voyage days'!$F$540:$H$613,3,FALSE),"")</f>
        <v/>
      </c>
      <c r="BB57" s="93" t="str">
        <f t="shared" si="15"/>
        <v/>
      </c>
      <c r="BC57" s="94" t="str">
        <f>IFERROR($M57+VLOOKUP($L57,'Voyage days'!$F$448:$H$479,3,FALSE),"")</f>
        <v/>
      </c>
      <c r="BD57" s="94" t="str">
        <f>IFERROR($N57+VLOOKUP($L57,'Voyage days'!$F$448:$H$479,3,FALSE),"")</f>
        <v/>
      </c>
      <c r="BE57" s="93" t="str">
        <f t="shared" si="16"/>
        <v/>
      </c>
      <c r="BF57" s="95" t="str">
        <f>IFERROR($M57+VLOOKUP($L57,'Voyage days'!$F$620:$H$646,3,FALSE),"")</f>
        <v/>
      </c>
      <c r="BG57" s="95" t="str">
        <f>IFERROR($N57+VLOOKUP($L57,'Voyage days'!$F$620:$H$646,3,FALSE),"")</f>
        <v/>
      </c>
      <c r="BH57" s="93" t="str">
        <f t="shared" si="17"/>
        <v/>
      </c>
      <c r="BI57" s="96" t="str">
        <f>IFERROR($M57+VLOOKUP($L57,'Voyage days'!$F$702:$H$727,3,FALSE),"")</f>
        <v/>
      </c>
      <c r="BJ57" s="93" t="str">
        <f t="shared" si="18"/>
        <v>11-12 May</v>
      </c>
      <c r="BK57" s="95">
        <f>IFERROR($M57+VLOOKUP($L57,'Voyage days'!$F$807:$H$878,3,FALSE),"")</f>
        <v>46153.5</v>
      </c>
      <c r="BL57" s="95">
        <f>IFERROR($N57+VLOOKUP($L57,'Voyage days'!$F$807:$H$878,3,FALSE),"")</f>
        <v>46154.5</v>
      </c>
      <c r="BM57" s="95">
        <f>IFERROR($N57+VLOOKUP($L57,'Voyage days'!$F$807:$K$878,6,FALSE),"")</f>
        <v>46153</v>
      </c>
      <c r="BN57" s="94" t="str">
        <f>IF(L57="loads AG", IFERROR($M57+VLOOKUP($L57,'Voyage days'!$M$38:$O$38,3,FALSE),""),"")</f>
        <v/>
      </c>
      <c r="BO57" s="94" t="str">
        <f>IF(L57="loads USG", IFERROR($M57+VLOOKUP($L57,'Voyage days'!$L$203:$N$203,3,FALSE),""),"")</f>
        <v/>
      </c>
    </row>
    <row r="58" spans="1:67" ht="15.75" customHeight="1" x14ac:dyDescent="0.25">
      <c r="A58" s="266" t="s">
        <v>491</v>
      </c>
      <c r="B58" s="119">
        <v>2025</v>
      </c>
      <c r="C58" s="76">
        <v>86000</v>
      </c>
      <c r="D58" s="77"/>
      <c r="E58" s="77"/>
      <c r="F58" s="78"/>
      <c r="G58" s="78"/>
      <c r="H58" s="78" t="s">
        <v>713</v>
      </c>
      <c r="I58" s="260" t="s">
        <v>813</v>
      </c>
      <c r="J58" s="80" t="str">
        <f t="shared" si="20"/>
        <v/>
      </c>
      <c r="K58" s="81"/>
      <c r="L58" s="82" t="s">
        <v>718</v>
      </c>
      <c r="M58" s="83">
        <v>46133</v>
      </c>
      <c r="N58" s="83">
        <v>46134</v>
      </c>
      <c r="O58" s="206" t="s">
        <v>779</v>
      </c>
      <c r="P58" s="78" t="s">
        <v>858</v>
      </c>
      <c r="Q58" s="82"/>
      <c r="R58" s="82" t="s">
        <v>859</v>
      </c>
      <c r="S58" s="120" t="s">
        <v>724</v>
      </c>
      <c r="T58" s="232">
        <v>46132</v>
      </c>
      <c r="U58" s="87" t="str">
        <f>IF(V58="","No AIS",VLOOKUP(V58,'Voyage days'!$A$3:$B$1480,2,FALSE))</f>
        <v>USG</v>
      </c>
      <c r="V58" s="88" t="str">
        <f>IF(VLOOKUP(A58,'1) Kpler'!$E$2:$P$1000,8, FALSE)="","",VLOOKUP(A58,'1) Kpler'!$E$2:$P$1000,8, FALSE))</f>
        <v>Energy Transfer Nederland</v>
      </c>
      <c r="W58" s="89">
        <f>IF(VLOOKUP(A58,'1) Kpler'!$E$2:$P$1000,9,FALSE)="","",VLOOKUP(A58,'1) Kpler'!$E$2:$P$1000,9,FALSE))</f>
        <v>46133.75</v>
      </c>
      <c r="X58" s="88" t="str">
        <f>VLOOKUP(A58,'1) Kpler'!$E$2:$I$1000,4,FALSE)</f>
        <v>ballast</v>
      </c>
      <c r="Y58" s="90" t="str">
        <f t="shared" si="0"/>
        <v/>
      </c>
      <c r="Z58" s="90" t="str">
        <f t="shared" si="1"/>
        <v>21-22 Apr</v>
      </c>
      <c r="AA58" s="90" t="str">
        <f t="shared" si="2"/>
        <v>21-22 Apr</v>
      </c>
      <c r="AB58" s="90" t="str">
        <f t="shared" si="3"/>
        <v/>
      </c>
      <c r="AC58" s="90" t="str">
        <f t="shared" si="4"/>
        <v>11-12 May</v>
      </c>
      <c r="AD58" s="90" t="str">
        <f t="shared" si="5"/>
        <v/>
      </c>
      <c r="AE58" s="91" t="str">
        <f t="shared" si="6"/>
        <v/>
      </c>
      <c r="AF58" s="92" t="str">
        <f t="shared" si="7"/>
        <v/>
      </c>
      <c r="AG58" s="93" t="str">
        <f t="shared" si="8"/>
        <v/>
      </c>
      <c r="AH58" s="94" t="str">
        <f>IFERROR($M58+VLOOKUP($L58,'Voyage days'!$F$38:$H$89,3,FALSE),"")</f>
        <v/>
      </c>
      <c r="AI58" s="94" t="str">
        <f>IFERROR(N58+VLOOKUP($L58,'Voyage days'!$F$38:$H$89,3,FALSE),"")</f>
        <v/>
      </c>
      <c r="AJ58" s="93" t="str">
        <f t="shared" si="9"/>
        <v>21-22 Apr</v>
      </c>
      <c r="AK58" s="94">
        <f>IFERROR($M58+VLOOKUP($L58,'Voyage days'!$F$94:$H$193,3,FALSE),"")</f>
        <v>46133</v>
      </c>
      <c r="AL58" s="94">
        <f>IFERROR($N58+VLOOKUP($L58,'Voyage days'!$F$94:$H$193,3,FALSE),"")</f>
        <v>46134</v>
      </c>
      <c r="AM58" s="93" t="str">
        <f t="shared" si="10"/>
        <v>21-22 Apr</v>
      </c>
      <c r="AN58" s="94">
        <f>IFERROR($M58+VLOOKUP($L58,'Voyage days'!$F$203:$H$256,3,FALSE),"")</f>
        <v>46133</v>
      </c>
      <c r="AO58" s="94">
        <f>IFERROR($N58+VLOOKUP($L58,'Voyage days'!$F$203:$H$256,3,FALSE),"")</f>
        <v>46134</v>
      </c>
      <c r="AP58" s="93" t="str">
        <f t="shared" si="11"/>
        <v/>
      </c>
      <c r="AQ58" s="94" t="str">
        <f>IFERROR($M58+VLOOKUP($L58,'Voyage days'!$F$294:$H$377,3,FALSE),"")</f>
        <v/>
      </c>
      <c r="AR58" s="94" t="str">
        <f>IFERROR($N58+VLOOKUP($L58,'Voyage days'!$F$294:$H$377,3,FALSE),"")</f>
        <v/>
      </c>
      <c r="AS58" s="93" t="str">
        <f t="shared" si="12"/>
        <v>11-12 May</v>
      </c>
      <c r="AT58" s="94">
        <f>IFERROR($M58+VLOOKUP($L58,'Voyage days'!$F$382:$H$446,3,FALSE),"")</f>
        <v>46153</v>
      </c>
      <c r="AU58" s="94">
        <f>IFERROR($N58+VLOOKUP($L58,'Voyage days'!$F$382:$H$446,3,FALSE),"")</f>
        <v>46154</v>
      </c>
      <c r="AV58" s="93" t="str">
        <f t="shared" si="13"/>
        <v/>
      </c>
      <c r="AW58" s="94" t="str">
        <f>IFERROR($M58+VLOOKUP($L58,'Voyage days'!$F$483:$H$538,3,FALSE),"")</f>
        <v/>
      </c>
      <c r="AX58" s="94" t="str">
        <f>IFERROR($N58+VLOOKUP($L58,'Voyage days'!$F$483:$H$538,3,FALSE),"")</f>
        <v/>
      </c>
      <c r="AY58" s="93" t="str">
        <f t="shared" si="14"/>
        <v/>
      </c>
      <c r="AZ58" s="94" t="str">
        <f>IFERROR($M58+VLOOKUP($L58,'Voyage days'!$F$540:$H$613,3,FALSE),"")</f>
        <v/>
      </c>
      <c r="BA58" s="94" t="str">
        <f>IFERROR($N58+VLOOKUP($L58,'Voyage days'!$F$540:$H$613,3,FALSE),"")</f>
        <v/>
      </c>
      <c r="BB58" s="93" t="str">
        <f t="shared" si="15"/>
        <v/>
      </c>
      <c r="BC58" s="94" t="str">
        <f>IFERROR($M58+VLOOKUP($L58,'Voyage days'!$F$448:$H$479,3,FALSE),"")</f>
        <v/>
      </c>
      <c r="BD58" s="94" t="str">
        <f>IFERROR($N58+VLOOKUP($L58,'Voyage days'!$F$448:$H$479,3,FALSE),"")</f>
        <v/>
      </c>
      <c r="BE58" s="93" t="str">
        <f t="shared" si="16"/>
        <v/>
      </c>
      <c r="BF58" s="95" t="str">
        <f>IFERROR($M58+VLOOKUP($L58,'Voyage days'!$F$620:$H$646,3,FALSE),"")</f>
        <v/>
      </c>
      <c r="BG58" s="95" t="str">
        <f>IFERROR($N58+VLOOKUP($L58,'Voyage days'!$F$620:$H$646,3,FALSE),"")</f>
        <v/>
      </c>
      <c r="BH58" s="93" t="str">
        <f t="shared" si="17"/>
        <v/>
      </c>
      <c r="BI58" s="96" t="str">
        <f>IFERROR($M58+VLOOKUP($L58,'Voyage days'!$F$702:$H$727,3,FALSE),"")</f>
        <v/>
      </c>
      <c r="BJ58" s="93" t="str">
        <f t="shared" si="18"/>
        <v/>
      </c>
      <c r="BK58" s="95" t="str">
        <f>IFERROR($M58+VLOOKUP($L58,'Voyage days'!$F$807:$H$878,3,FALSE),"")</f>
        <v/>
      </c>
      <c r="BL58" s="95" t="str">
        <f>IFERROR($N58+VLOOKUP($L58,'Voyage days'!$F$807:$H$878,3,FALSE),"")</f>
        <v/>
      </c>
      <c r="BM58" s="95" t="str">
        <f>IFERROR($N58+VLOOKUP($L58,'Voyage days'!$F$807:$K$878,6,FALSE),"")</f>
        <v/>
      </c>
      <c r="BN58" s="94" t="str">
        <f>IF(L58="loads AG", IFERROR($M58+VLOOKUP($L58,'Voyage days'!$M$38:$O$38,3,FALSE),""),"")</f>
        <v/>
      </c>
      <c r="BO58" s="94">
        <f>IF(L58="loads USG", IFERROR($M58+VLOOKUP($L58,'Voyage days'!$L$203:$N$203,3,FALSE),""),"")</f>
        <v>46165</v>
      </c>
    </row>
    <row r="59" spans="1:67" ht="15.75" customHeight="1" x14ac:dyDescent="0.25">
      <c r="A59" s="263" t="s">
        <v>499</v>
      </c>
      <c r="B59" s="119">
        <v>2025</v>
      </c>
      <c r="C59" s="76">
        <v>87965</v>
      </c>
      <c r="D59" s="77"/>
      <c r="E59" s="77"/>
      <c r="F59" s="78"/>
      <c r="G59" s="78"/>
      <c r="H59" s="78" t="s">
        <v>713</v>
      </c>
      <c r="I59" s="260" t="s">
        <v>813</v>
      </c>
      <c r="J59" s="80" t="str">
        <f t="shared" si="20"/>
        <v/>
      </c>
      <c r="K59" s="81"/>
      <c r="L59" s="82" t="s">
        <v>860</v>
      </c>
      <c r="M59" s="83">
        <v>46136</v>
      </c>
      <c r="N59" s="83">
        <v>46137</v>
      </c>
      <c r="O59" s="206"/>
      <c r="P59" s="78" t="s">
        <v>861</v>
      </c>
      <c r="Q59" s="82"/>
      <c r="R59" s="82" t="s">
        <v>862</v>
      </c>
      <c r="S59" s="120" t="s">
        <v>724</v>
      </c>
      <c r="T59" s="232">
        <v>46132</v>
      </c>
      <c r="U59" s="87" t="str">
        <f>IF(V59="","No AIS",VLOOKUP(V59,'Voyage days'!$A$3:$B$1480,2,FALSE))</f>
        <v>Vietnam + 3</v>
      </c>
      <c r="V59" s="88" t="str">
        <f>IF(VLOOKUP(A59,'1) Kpler'!$E$2:$P$1000,8, FALSE)="","",VLOOKUP(A59,'1) Kpler'!$E$2:$P$1000,8, FALSE))</f>
        <v>PV Vung Tau</v>
      </c>
      <c r="W59" s="89">
        <f>IF(VLOOKUP(A59,'1) Kpler'!$E$2:$P$1000,9,FALSE)="","",VLOOKUP(A59,'1) Kpler'!$E$2:$P$1000,9,FALSE))</f>
        <v>46133.583333333336</v>
      </c>
      <c r="X59" s="88" t="str">
        <f>VLOOKUP(A59,'1) Kpler'!$E$2:$I$1000,4,FALSE)</f>
        <v>loaded</v>
      </c>
      <c r="Y59" s="90" t="str">
        <f t="shared" si="0"/>
        <v>07-08 May</v>
      </c>
      <c r="Z59" s="90" t="str">
        <f t="shared" si="1"/>
        <v>30-31 May</v>
      </c>
      <c r="AA59" s="90" t="str">
        <f t="shared" si="2"/>
        <v>02-03 Jun</v>
      </c>
      <c r="AB59" s="90" t="str">
        <f t="shared" si="3"/>
        <v>18-19 May</v>
      </c>
      <c r="AC59" s="90" t="str">
        <f t="shared" si="4"/>
        <v>24-25 May</v>
      </c>
      <c r="AD59" s="90" t="str">
        <f t="shared" si="5"/>
        <v>26-27 Apr</v>
      </c>
      <c r="AE59" s="91" t="str">
        <f t="shared" si="6"/>
        <v>30-01 May</v>
      </c>
      <c r="AF59" s="92" t="str">
        <f t="shared" si="7"/>
        <v>03-04 Jun</v>
      </c>
      <c r="AG59" s="93" t="str">
        <f t="shared" si="8"/>
        <v>07-08 May</v>
      </c>
      <c r="AH59" s="94">
        <f>IFERROR($M59+VLOOKUP($L59,'Voyage days'!$F$38:$H$89,3,FALSE),"")</f>
        <v>46149</v>
      </c>
      <c r="AI59" s="94">
        <f>IFERROR(N59+VLOOKUP($L59,'Voyage days'!$F$38:$H$89,3,FALSE),"")</f>
        <v>46150</v>
      </c>
      <c r="AJ59" s="93" t="str">
        <f t="shared" si="9"/>
        <v>30-31 May</v>
      </c>
      <c r="AK59" s="94">
        <f>IFERROR($M59+VLOOKUP($L59,'Voyage days'!$F$94:$H$193,3,FALSE),"")</f>
        <v>46172</v>
      </c>
      <c r="AL59" s="94">
        <f>IFERROR($N59+VLOOKUP($L59,'Voyage days'!$F$94:$H$193,3,FALSE),"")</f>
        <v>46173</v>
      </c>
      <c r="AM59" s="93" t="str">
        <f t="shared" si="10"/>
        <v>02-03 Jun</v>
      </c>
      <c r="AN59" s="94">
        <f>IFERROR($M59+VLOOKUP($L59,'Voyage days'!$F$203:$H$256,3,FALSE),"")</f>
        <v>46175</v>
      </c>
      <c r="AO59" s="94">
        <f>IFERROR($N59+VLOOKUP($L59,'Voyage days'!$F$203:$H$256,3,FALSE),"")</f>
        <v>46176</v>
      </c>
      <c r="AP59" s="93" t="str">
        <f t="shared" si="11"/>
        <v>18-19 May</v>
      </c>
      <c r="AQ59" s="94">
        <f>IFERROR($M59+VLOOKUP($L59,'Voyage days'!$F$294:$H$377,3,FALSE),"")</f>
        <v>46160</v>
      </c>
      <c r="AR59" s="94">
        <f>IFERROR($N59+VLOOKUP($L59,'Voyage days'!$F$294:$H$377,3,FALSE),"")</f>
        <v>46161</v>
      </c>
      <c r="AS59" s="93" t="str">
        <f t="shared" si="12"/>
        <v>24-25 May</v>
      </c>
      <c r="AT59" s="94">
        <f>IFERROR($M59+VLOOKUP($L59,'Voyage days'!$F$382:$H$446,3,FALSE),"")</f>
        <v>46166</v>
      </c>
      <c r="AU59" s="94">
        <f>IFERROR($N59+VLOOKUP($L59,'Voyage days'!$F$382:$H$446,3,FALSE),"")</f>
        <v>46167</v>
      </c>
      <c r="AV59" s="93" t="str">
        <f t="shared" si="13"/>
        <v>06-07 May</v>
      </c>
      <c r="AW59" s="94">
        <f>IFERROR($M59+VLOOKUP($L59,'Voyage days'!$F$483:$H$538,3,FALSE),"")</f>
        <v>46148</v>
      </c>
      <c r="AX59" s="94">
        <f>IFERROR($N59+VLOOKUP($L59,'Voyage days'!$F$483:$H$538,3,FALSE),"")</f>
        <v>46149</v>
      </c>
      <c r="AY59" s="93" t="str">
        <f t="shared" si="14"/>
        <v>30-01 May</v>
      </c>
      <c r="AZ59" s="94">
        <f>IFERROR($M59+VLOOKUP($L59,'Voyage days'!$F$540:$H$613,3,FALSE),"")</f>
        <v>46142.25</v>
      </c>
      <c r="BA59" s="94">
        <f>IFERROR($N59+VLOOKUP($L59,'Voyage days'!$F$540:$H$613,3,FALSE),"")</f>
        <v>46143.25</v>
      </c>
      <c r="BB59" s="93" t="str">
        <f t="shared" si="15"/>
        <v>26-27 Apr</v>
      </c>
      <c r="BC59" s="94">
        <f>IFERROR($M59+VLOOKUP($L59,'Voyage days'!$F$448:$H$479,3,FALSE),"")</f>
        <v>46138</v>
      </c>
      <c r="BD59" s="94">
        <f>IFERROR($N59+VLOOKUP($L59,'Voyage days'!$F$448:$H$479,3,FALSE),"")</f>
        <v>46139</v>
      </c>
      <c r="BE59" s="93" t="str">
        <f t="shared" si="16"/>
        <v/>
      </c>
      <c r="BF59" s="95" t="str">
        <f>IFERROR($M59+VLOOKUP($L59,'Voyage days'!$F$620:$H$646,3,FALSE),"")</f>
        <v/>
      </c>
      <c r="BG59" s="95" t="str">
        <f>IFERROR($N59+VLOOKUP($L59,'Voyage days'!$F$620:$H$646,3,FALSE),"")</f>
        <v/>
      </c>
      <c r="BH59" s="93" t="str">
        <f t="shared" si="17"/>
        <v>30-04 Jun</v>
      </c>
      <c r="BI59" s="96">
        <f>IFERROR($M59+VLOOKUP($L59,'Voyage days'!$F$702:$H$727,3,FALSE),"")</f>
        <v>46142.25</v>
      </c>
      <c r="BJ59" s="93" t="str">
        <f t="shared" si="18"/>
        <v>03-04 Jun</v>
      </c>
      <c r="BK59" s="95">
        <f>IFERROR($M59+VLOOKUP($L59,'Voyage days'!$F$807:$H$878,3,FALSE),"")</f>
        <v>46176</v>
      </c>
      <c r="BL59" s="95">
        <f>IFERROR($N59+VLOOKUP($L59,'Voyage days'!$F$807:$H$878,3,FALSE),"")</f>
        <v>46177</v>
      </c>
      <c r="BM59" s="95">
        <f>IFERROR($N59+VLOOKUP($L59,'Voyage days'!$F$807:$K$878,6,FALSE),"")</f>
        <v>46151</v>
      </c>
      <c r="BN59" s="94" t="str">
        <f>IF(L59="loads AG", IFERROR($M59+VLOOKUP($L59,'Voyage days'!$M$38:$O$38,3,FALSE),""),"")</f>
        <v/>
      </c>
      <c r="BO59" s="94" t="str">
        <f>IF(L59="loads USG", IFERROR($M59+VLOOKUP($L59,'Voyage days'!$L$203:$N$203,3,FALSE),""),"")</f>
        <v/>
      </c>
    </row>
    <row r="60" spans="1:67" ht="15.75" customHeight="1" x14ac:dyDescent="0.25">
      <c r="A60" s="97" t="s">
        <v>538</v>
      </c>
      <c r="B60" s="267">
        <v>2024</v>
      </c>
      <c r="C60" s="268">
        <v>91000</v>
      </c>
      <c r="D60" s="269"/>
      <c r="E60" s="269"/>
      <c r="F60" s="270"/>
      <c r="G60" s="270"/>
      <c r="H60" s="270" t="s">
        <v>713</v>
      </c>
      <c r="I60" s="237" t="s">
        <v>813</v>
      </c>
      <c r="J60" s="80" t="str">
        <f t="shared" si="20"/>
        <v>NO AIS</v>
      </c>
      <c r="K60" s="81"/>
      <c r="L60" s="271" t="s">
        <v>863</v>
      </c>
      <c r="M60" s="83">
        <v>46141</v>
      </c>
      <c r="N60" s="83">
        <v>46142</v>
      </c>
      <c r="O60" s="269"/>
      <c r="P60" s="82" t="s">
        <v>864</v>
      </c>
      <c r="Q60" s="85"/>
      <c r="R60" s="272" t="s">
        <v>865</v>
      </c>
      <c r="S60" s="120" t="s">
        <v>724</v>
      </c>
      <c r="T60" s="232">
        <v>46132</v>
      </c>
      <c r="U60" s="87" t="str">
        <f>IF(V60="","No AIS",VLOOKUP(V60,'Voyage days'!$A$3:$B$1480,2,FALSE))</f>
        <v>No AIS</v>
      </c>
      <c r="V60" s="88" t="str">
        <f>IF(VLOOKUP(A60,'1) Kpler'!$E$2:$P$1000,8, FALSE)="","",VLOOKUP(A60,'1) Kpler'!$E$2:$P$1000,8, FALSE))</f>
        <v/>
      </c>
      <c r="W60" s="89" t="str">
        <f>IF(VLOOKUP(A60,'1) Kpler'!$E$2:$P$1000,9,FALSE)="","",VLOOKUP(A60,'1) Kpler'!$E$2:$P$1000,9,FALSE))</f>
        <v/>
      </c>
      <c r="X60" s="88" t="str">
        <f>VLOOKUP(A60,'1) Kpler'!$E$2:$I$1000,4,FALSE)</f>
        <v>loaded</v>
      </c>
      <c r="Y60" s="63" t="str">
        <f t="shared" si="0"/>
        <v>08-09 May</v>
      </c>
      <c r="Z60" s="63" t="str">
        <f t="shared" si="1"/>
        <v/>
      </c>
      <c r="AA60" s="63" t="str">
        <f t="shared" si="2"/>
        <v>04-05 Jun</v>
      </c>
      <c r="AB60" s="63" t="str">
        <f t="shared" si="3"/>
        <v>20-21 May</v>
      </c>
      <c r="AC60" s="63" t="str">
        <f t="shared" si="4"/>
        <v>27-28 May</v>
      </c>
      <c r="AD60" s="63" t="str">
        <f t="shared" si="5"/>
        <v>04-05 May</v>
      </c>
      <c r="AE60" s="129" t="str">
        <f t="shared" si="6"/>
        <v/>
      </c>
      <c r="AF60" s="130" t="str">
        <f t="shared" si="7"/>
        <v>06-07 Jun</v>
      </c>
      <c r="AG60" s="93" t="str">
        <f t="shared" si="8"/>
        <v>08-09 May</v>
      </c>
      <c r="AH60" s="94">
        <f>IFERROR($M60+VLOOKUP($L60,'Voyage days'!$F$38:$H$89,3,FALSE),"")</f>
        <v>46150</v>
      </c>
      <c r="AI60" s="94">
        <f>IFERROR(N60+VLOOKUP($L60,'Voyage days'!$F$38:$H$89,3,FALSE),"")</f>
        <v>46151</v>
      </c>
      <c r="AJ60" s="93" t="str">
        <f t="shared" si="9"/>
        <v/>
      </c>
      <c r="AK60" s="94" t="str">
        <f>IFERROR($M60+VLOOKUP($L60,'Voyage days'!$F$94:$H$193,3,FALSE),"")</f>
        <v/>
      </c>
      <c r="AL60" s="94" t="str">
        <f>IFERROR($N60+VLOOKUP($L60,'Voyage days'!$F$94:$H$193,3,FALSE),"")</f>
        <v/>
      </c>
      <c r="AM60" s="93" t="str">
        <f t="shared" si="10"/>
        <v>04-05 Jun</v>
      </c>
      <c r="AN60" s="94">
        <f>IFERROR($M60+VLOOKUP($L60,'Voyage days'!$F$203:$H$256,3,FALSE),"")</f>
        <v>46177</v>
      </c>
      <c r="AO60" s="94">
        <f>IFERROR($N60+VLOOKUP($L60,'Voyage days'!$F$203:$H$256,3,FALSE),"")</f>
        <v>46178</v>
      </c>
      <c r="AP60" s="93" t="str">
        <f t="shared" si="11"/>
        <v>20-21 May</v>
      </c>
      <c r="AQ60" s="94">
        <f>IFERROR($M60+VLOOKUP($L60,'Voyage days'!$F$294:$H$377,3,FALSE),"")</f>
        <v>46162</v>
      </c>
      <c r="AR60" s="94">
        <f>IFERROR($N60+VLOOKUP($L60,'Voyage days'!$F$294:$H$377,3,FALSE),"")</f>
        <v>46163</v>
      </c>
      <c r="AS60" s="93" t="str">
        <f t="shared" si="12"/>
        <v>27-28 May</v>
      </c>
      <c r="AT60" s="94">
        <f>IFERROR($M60+VLOOKUP($L60,'Voyage days'!$F$382:$H$446,3,FALSE),"")</f>
        <v>46169</v>
      </c>
      <c r="AU60" s="94">
        <f>IFERROR($N60+VLOOKUP($L60,'Voyage days'!$F$382:$H$446,3,FALSE),"")</f>
        <v>46170</v>
      </c>
      <c r="AV60" s="93" t="str">
        <f t="shared" si="13"/>
        <v>29-30 Apr</v>
      </c>
      <c r="AW60" s="94">
        <f>IFERROR($M60+VLOOKUP($L60,'Voyage days'!$F$483:$H$538,3,FALSE),"")</f>
        <v>46141</v>
      </c>
      <c r="AX60" s="94">
        <f>IFERROR($N60+VLOOKUP($L60,'Voyage days'!$F$483:$H$538,3,FALSE),"")</f>
        <v>46142</v>
      </c>
      <c r="AY60" s="93" t="str">
        <f t="shared" si="14"/>
        <v/>
      </c>
      <c r="AZ60" s="94" t="str">
        <f>IFERROR($M60+VLOOKUP($L60,'Voyage days'!$F$540:$H$613,3,FALSE),"")</f>
        <v/>
      </c>
      <c r="BA60" s="94" t="str">
        <f>IFERROR($N60+VLOOKUP($L60,'Voyage days'!$F$540:$H$613,3,FALSE),"")</f>
        <v/>
      </c>
      <c r="BB60" s="93" t="str">
        <f t="shared" si="15"/>
        <v>04-05 May</v>
      </c>
      <c r="BC60" s="94">
        <f>IFERROR($M60+VLOOKUP($L60,'Voyage days'!$F$448:$H$479,3,FALSE),"")</f>
        <v>46146</v>
      </c>
      <c r="BD60" s="94">
        <f>IFERROR($N60+VLOOKUP($L60,'Voyage days'!$F$448:$H$479,3,FALSE),"")</f>
        <v>46147</v>
      </c>
      <c r="BE60" s="93" t="str">
        <f t="shared" si="16"/>
        <v/>
      </c>
      <c r="BF60" s="95" t="str">
        <f>IFERROR($M60+VLOOKUP($L60,'Voyage days'!$F$620:$H$646,3,FALSE),"")</f>
        <v/>
      </c>
      <c r="BG60" s="95" t="str">
        <f>IFERROR($N60+VLOOKUP($L60,'Voyage days'!$F$620:$H$646,3,FALSE),"")</f>
        <v/>
      </c>
      <c r="BH60" s="93" t="str">
        <f t="shared" si="17"/>
        <v/>
      </c>
      <c r="BI60" s="96" t="str">
        <f>IFERROR($M60+VLOOKUP($L60,'Voyage days'!$F$702:$H$727,3,FALSE),"")</f>
        <v/>
      </c>
      <c r="BJ60" s="93" t="str">
        <f t="shared" si="18"/>
        <v>06-07 Jun</v>
      </c>
      <c r="BK60" s="95">
        <f>IFERROR($M60+VLOOKUP($L60,'Voyage days'!$F$807:$H$878,3,FALSE),"")</f>
        <v>46179</v>
      </c>
      <c r="BL60" s="95">
        <f>IFERROR($N60+VLOOKUP($L60,'Voyage days'!$F$807:$H$878,3,FALSE),"")</f>
        <v>46180</v>
      </c>
      <c r="BM60" s="95">
        <f>IFERROR($N60+VLOOKUP($L60,'Voyage days'!$F$807:$K$878,6,FALSE),"")</f>
        <v>46154</v>
      </c>
      <c r="BN60" s="94" t="str">
        <f>IF(L60="loads AG", IFERROR($M60+VLOOKUP($L60,'Voyage days'!$M$38:$O$38,3,FALSE),""),"")</f>
        <v/>
      </c>
      <c r="BO60" s="94" t="str">
        <f>IF(L60="loads USG", IFERROR($M60+VLOOKUP($L60,'Voyage days'!$L$203:$N$203,3,FALSE),""),"")</f>
        <v/>
      </c>
    </row>
    <row r="61" spans="1:67" ht="15.75" customHeight="1" x14ac:dyDescent="0.25">
      <c r="A61" s="240" t="s">
        <v>542</v>
      </c>
      <c r="B61" s="273">
        <v>2024</v>
      </c>
      <c r="C61" s="274">
        <v>86000</v>
      </c>
      <c r="D61" s="242"/>
      <c r="E61" s="242"/>
      <c r="F61" s="136"/>
      <c r="G61" s="136"/>
      <c r="H61" s="136"/>
      <c r="I61" s="244" t="s">
        <v>866</v>
      </c>
      <c r="J61" s="138" t="str">
        <f t="shared" si="20"/>
        <v/>
      </c>
      <c r="K61" s="139"/>
      <c r="L61" s="275" t="s">
        <v>718</v>
      </c>
      <c r="M61" s="141">
        <v>46136</v>
      </c>
      <c r="N61" s="141">
        <v>46137</v>
      </c>
      <c r="O61" s="276"/>
      <c r="P61" s="277" t="s">
        <v>867</v>
      </c>
      <c r="Q61" s="277"/>
      <c r="R61" s="278" t="s">
        <v>868</v>
      </c>
      <c r="S61" s="279" t="s">
        <v>724</v>
      </c>
      <c r="T61" s="144">
        <v>46132</v>
      </c>
      <c r="U61" s="145" t="str">
        <f>IF(V61="","No AIS",VLOOKUP(V61,'Voyage days'!$A$3:$B$1480,2,FALSE))</f>
        <v>USG</v>
      </c>
      <c r="V61" s="146" t="str">
        <f>IF(VLOOKUP(A61,'1) Kpler'!$E$2:$P$1000,8, FALSE)="","",VLOOKUP(A61,'1) Kpler'!$E$2:$P$1000,8, FALSE))</f>
        <v>Energy Transfer Nederland</v>
      </c>
      <c r="W61" s="147">
        <f>IF(VLOOKUP(A61,'1) Kpler'!$E$2:$P$1000,9,FALSE)="","",VLOOKUP(A61,'1) Kpler'!$E$2:$P$1000,9,FALSE))</f>
        <v>46136.75</v>
      </c>
      <c r="X61" s="146" t="str">
        <f>VLOOKUP(A61,'1) Kpler'!$E$2:$I$1000,4,FALSE)</f>
        <v>ballast</v>
      </c>
      <c r="Y61" s="148" t="str">
        <f t="shared" si="0"/>
        <v/>
      </c>
      <c r="Z61" s="148" t="str">
        <f t="shared" si="1"/>
        <v>24-25 Apr</v>
      </c>
      <c r="AA61" s="148" t="str">
        <f t="shared" si="2"/>
        <v>24-25 Apr</v>
      </c>
      <c r="AB61" s="148" t="str">
        <f t="shared" si="3"/>
        <v/>
      </c>
      <c r="AC61" s="148" t="str">
        <f t="shared" si="4"/>
        <v>14-15 May</v>
      </c>
      <c r="AD61" s="148" t="str">
        <f t="shared" si="5"/>
        <v/>
      </c>
      <c r="AE61" s="149" t="str">
        <f t="shared" si="6"/>
        <v/>
      </c>
      <c r="AF61" s="150" t="str">
        <f t="shared" si="7"/>
        <v/>
      </c>
      <c r="AG61" s="93" t="str">
        <f t="shared" si="8"/>
        <v/>
      </c>
      <c r="AH61" s="94" t="str">
        <f>IFERROR($M61+VLOOKUP($L61,'Voyage days'!$F$38:$H$89,3,FALSE),"")</f>
        <v/>
      </c>
      <c r="AI61" s="94" t="str">
        <f>IFERROR(N61+VLOOKUP($L61,'Voyage days'!$F$38:$H$89,3,FALSE),"")</f>
        <v/>
      </c>
      <c r="AJ61" s="93" t="str">
        <f t="shared" si="9"/>
        <v>24-25 Apr</v>
      </c>
      <c r="AK61" s="94">
        <f>IFERROR($M61+VLOOKUP($L61,'Voyage days'!$F$94:$H$193,3,FALSE),"")</f>
        <v>46136</v>
      </c>
      <c r="AL61" s="94">
        <f>IFERROR($N61+VLOOKUP($L61,'Voyage days'!$F$94:$H$193,3,FALSE),"")</f>
        <v>46137</v>
      </c>
      <c r="AM61" s="93" t="str">
        <f t="shared" si="10"/>
        <v>24-25 Apr</v>
      </c>
      <c r="AN61" s="94">
        <f>IFERROR($M61+VLOOKUP($L61,'Voyage days'!$F$203:$H$256,3,FALSE),"")</f>
        <v>46136</v>
      </c>
      <c r="AO61" s="94">
        <f>IFERROR($N61+VLOOKUP($L61,'Voyage days'!$F$203:$H$256,3,FALSE),"")</f>
        <v>46137</v>
      </c>
      <c r="AP61" s="93" t="str">
        <f t="shared" si="11"/>
        <v/>
      </c>
      <c r="AQ61" s="94" t="str">
        <f>IFERROR($M61+VLOOKUP($L61,'Voyage days'!$F$294:$H$377,3,FALSE),"")</f>
        <v/>
      </c>
      <c r="AR61" s="94" t="str">
        <f>IFERROR($N61+VLOOKUP($L61,'Voyage days'!$F$294:$H$377,3,FALSE),"")</f>
        <v/>
      </c>
      <c r="AS61" s="93" t="str">
        <f t="shared" si="12"/>
        <v>14-15 May</v>
      </c>
      <c r="AT61" s="94">
        <f>IFERROR($M61+VLOOKUP($L61,'Voyage days'!$F$382:$H$446,3,FALSE),"")</f>
        <v>46156</v>
      </c>
      <c r="AU61" s="94">
        <f>IFERROR($N61+VLOOKUP($L61,'Voyage days'!$F$382:$H$446,3,FALSE),"")</f>
        <v>46157</v>
      </c>
      <c r="AV61" s="93" t="str">
        <f t="shared" si="13"/>
        <v/>
      </c>
      <c r="AW61" s="94" t="str">
        <f>IFERROR($M61+VLOOKUP($L61,'Voyage days'!$F$483:$H$538,3,FALSE),"")</f>
        <v/>
      </c>
      <c r="AX61" s="94" t="str">
        <f>IFERROR($N61+VLOOKUP($L61,'Voyage days'!$F$483:$H$538,3,FALSE),"")</f>
        <v/>
      </c>
      <c r="AY61" s="93" t="str">
        <f t="shared" si="14"/>
        <v/>
      </c>
      <c r="AZ61" s="94" t="str">
        <f>IFERROR($M61+VLOOKUP($L61,'Voyage days'!$F$540:$H$613,3,FALSE),"")</f>
        <v/>
      </c>
      <c r="BA61" s="94" t="str">
        <f>IFERROR($N61+VLOOKUP($L61,'Voyage days'!$F$540:$H$613,3,FALSE),"")</f>
        <v/>
      </c>
      <c r="BB61" s="93" t="str">
        <f t="shared" si="15"/>
        <v/>
      </c>
      <c r="BC61" s="94" t="str">
        <f>IFERROR($M61+VLOOKUP($L61,'Voyage days'!$F$448:$H$479,3,FALSE),"")</f>
        <v/>
      </c>
      <c r="BD61" s="94" t="str">
        <f>IFERROR($N61+VLOOKUP($L61,'Voyage days'!$F$448:$H$479,3,FALSE),"")</f>
        <v/>
      </c>
      <c r="BE61" s="93" t="str">
        <f t="shared" si="16"/>
        <v/>
      </c>
      <c r="BF61" s="95" t="str">
        <f>IFERROR($M61+VLOOKUP($L61,'Voyage days'!$F$620:$H$646,3,FALSE),"")</f>
        <v/>
      </c>
      <c r="BG61" s="95" t="str">
        <f>IFERROR($N61+VLOOKUP($L61,'Voyage days'!$F$620:$H$646,3,FALSE),"")</f>
        <v/>
      </c>
      <c r="BH61" s="93" t="str">
        <f t="shared" si="17"/>
        <v/>
      </c>
      <c r="BI61" s="96" t="str">
        <f>IFERROR($M61+VLOOKUP($L61,'Voyage days'!$F$702:$H$727,3,FALSE),"")</f>
        <v/>
      </c>
      <c r="BJ61" s="93" t="str">
        <f t="shared" si="18"/>
        <v/>
      </c>
      <c r="BK61" s="95" t="str">
        <f>IFERROR($M61+VLOOKUP($L61,'Voyage days'!$F$807:$H$878,3,FALSE),"")</f>
        <v/>
      </c>
      <c r="BL61" s="95" t="str">
        <f>IFERROR($N61+VLOOKUP($L61,'Voyage days'!$F$807:$H$878,3,FALSE),"")</f>
        <v/>
      </c>
      <c r="BM61" s="95" t="str">
        <f>IFERROR($N61+VLOOKUP($L61,'Voyage days'!$F$807:$K$878,6,FALSE),"")</f>
        <v/>
      </c>
      <c r="BN61" s="94" t="str">
        <f>IF(L61="loads AG", IFERROR($M61+VLOOKUP($L61,'Voyage days'!$M$38:$O$38,3,FALSE),""),"")</f>
        <v/>
      </c>
      <c r="BO61" s="94">
        <f>IF(L61="loads USG", IFERROR($M61+VLOOKUP($L61,'Voyage days'!$L$203:$N$203,3,FALSE),""),"")</f>
        <v>46168</v>
      </c>
    </row>
    <row r="62" spans="1:67" x14ac:dyDescent="0.25">
      <c r="A62" s="280" t="s">
        <v>518</v>
      </c>
      <c r="B62" s="281">
        <v>2023</v>
      </c>
      <c r="C62" s="274">
        <v>91000</v>
      </c>
      <c r="D62" s="282"/>
      <c r="E62" s="282"/>
      <c r="F62" s="283"/>
      <c r="G62" s="283"/>
      <c r="H62" s="283" t="s">
        <v>713</v>
      </c>
      <c r="I62" s="284" t="s">
        <v>869</v>
      </c>
      <c r="J62" s="285" t="str">
        <f t="shared" si="20"/>
        <v/>
      </c>
      <c r="K62" s="254"/>
      <c r="L62" s="286" t="s">
        <v>718</v>
      </c>
      <c r="M62" s="287">
        <v>46140</v>
      </c>
      <c r="N62" s="288">
        <v>46141</v>
      </c>
      <c r="O62" s="255" t="s">
        <v>779</v>
      </c>
      <c r="P62" s="286" t="s">
        <v>870</v>
      </c>
      <c r="Q62" s="286"/>
      <c r="R62" s="227" t="s">
        <v>871</v>
      </c>
      <c r="S62" s="279" t="s">
        <v>724</v>
      </c>
      <c r="T62" s="289">
        <v>46132</v>
      </c>
      <c r="U62" s="145" t="str">
        <f>IF(V62="","No AIS",VLOOKUP(V62,'Voyage days'!$A$3:$B$1480,2,FALSE))</f>
        <v>USG</v>
      </c>
      <c r="V62" s="145" t="str">
        <f>IF(VLOOKUP(A62,'1) Kpler'!$E$2:$P$1000,8, FALSE)="","",VLOOKUP(A62,'1) Kpler'!$E$2:$P$1000,8, FALSE))</f>
        <v>Energy Transfer Nederland</v>
      </c>
      <c r="W62" s="290">
        <f>IF(VLOOKUP(A62,'1) Kpler'!$E$2:$P$1000,9,FALSE)="","",VLOOKUP(A62,'1) Kpler'!$E$2:$P$1000,9,FALSE))</f>
        <v>46140.000694444447</v>
      </c>
      <c r="X62" s="145" t="str">
        <f>VLOOKUP(A62,'1) Kpler'!$E$2:$I$1000,4,FALSE)</f>
        <v>ballast</v>
      </c>
      <c r="Y62" s="131" t="str">
        <f t="shared" si="0"/>
        <v/>
      </c>
      <c r="Z62" s="131" t="str">
        <f t="shared" si="1"/>
        <v>28-29 Apr</v>
      </c>
      <c r="AA62" s="131" t="str">
        <f t="shared" si="2"/>
        <v>28-29 Apr</v>
      </c>
      <c r="AB62" s="131" t="str">
        <f t="shared" si="3"/>
        <v/>
      </c>
      <c r="AC62" s="131" t="str">
        <f t="shared" si="4"/>
        <v>18-19 May</v>
      </c>
      <c r="AD62" s="131" t="str">
        <f t="shared" si="5"/>
        <v/>
      </c>
      <c r="AE62" s="291" t="str">
        <f t="shared" si="6"/>
        <v/>
      </c>
      <c r="AF62" s="180" t="str">
        <f t="shared" si="7"/>
        <v/>
      </c>
      <c r="AG62" s="131" t="str">
        <f t="shared" si="8"/>
        <v/>
      </c>
      <c r="AH62" s="95" t="str">
        <f>IFERROR($M62+VLOOKUP($L62,'Voyage days'!$F$38:$H$89,3,FALSE),"")</f>
        <v/>
      </c>
      <c r="AI62" s="95" t="str">
        <f>IFERROR(N62+VLOOKUP($L62,'Voyage days'!$F$38:$H$89,3,FALSE),"")</f>
        <v/>
      </c>
      <c r="AJ62" s="131" t="str">
        <f t="shared" si="9"/>
        <v>28-29 Apr</v>
      </c>
      <c r="AK62" s="95">
        <f>IFERROR($M62+VLOOKUP($L62,'Voyage days'!$F$94:$H$193,3,FALSE),"")</f>
        <v>46140</v>
      </c>
      <c r="AL62" s="95">
        <f>IFERROR($N62+VLOOKUP($L62,'Voyage days'!$F$94:$H$193,3,FALSE),"")</f>
        <v>46141</v>
      </c>
      <c r="AM62" s="131" t="str">
        <f t="shared" si="10"/>
        <v>28-29 Apr</v>
      </c>
      <c r="AN62" s="95">
        <f>IFERROR($M62+VLOOKUP($L62,'Voyage days'!$F$203:$H$256,3,FALSE),"")</f>
        <v>46140</v>
      </c>
      <c r="AO62" s="95">
        <f>IFERROR($N62+VLOOKUP($L62,'Voyage days'!$F$203:$H$256,3,FALSE),"")</f>
        <v>46141</v>
      </c>
      <c r="AP62" s="131" t="str">
        <f t="shared" si="11"/>
        <v/>
      </c>
      <c r="AQ62" s="95" t="str">
        <f>IFERROR($M62+VLOOKUP($L62,'Voyage days'!$F$294:$H$377,3,FALSE),"")</f>
        <v/>
      </c>
      <c r="AR62" s="95" t="str">
        <f>IFERROR($N62+VLOOKUP($L62,'Voyage days'!$F$294:$H$377,3,FALSE),"")</f>
        <v/>
      </c>
      <c r="AS62" s="131" t="str">
        <f t="shared" si="12"/>
        <v>18-19 May</v>
      </c>
      <c r="AT62" s="95">
        <f>IFERROR($M62+VLOOKUP($L62,'Voyage days'!$F$382:$H$446,3,FALSE),"")</f>
        <v>46160</v>
      </c>
      <c r="AU62" s="95">
        <f>IFERROR($N62+VLOOKUP($L62,'Voyage days'!$F$382:$H$446,3,FALSE),"")</f>
        <v>46161</v>
      </c>
      <c r="AV62" s="131" t="str">
        <f t="shared" si="13"/>
        <v/>
      </c>
      <c r="AW62" s="95" t="str">
        <f>IFERROR($M62+VLOOKUP($L62,'Voyage days'!$F$483:$H$538,3,FALSE),"")</f>
        <v/>
      </c>
      <c r="AX62" s="95" t="str">
        <f>IFERROR($N62+VLOOKUP($L62,'Voyage days'!$F$483:$H$538,3,FALSE),"")</f>
        <v/>
      </c>
      <c r="AY62" s="131" t="str">
        <f t="shared" si="14"/>
        <v/>
      </c>
      <c r="AZ62" s="95" t="str">
        <f>IFERROR($M62+VLOOKUP($L62,'Voyage days'!$F$540:$H$613,3,FALSE),"")</f>
        <v/>
      </c>
      <c r="BA62" s="95" t="str">
        <f>IFERROR($N62+VLOOKUP($L62,'Voyage days'!$F$540:$H$613,3,FALSE),"")</f>
        <v/>
      </c>
      <c r="BB62" s="131" t="str">
        <f t="shared" si="15"/>
        <v/>
      </c>
      <c r="BC62" s="94" t="str">
        <f>IFERROR($M62+VLOOKUP($L62,'Voyage days'!$F$448:$H$479,3,FALSE),"")</f>
        <v/>
      </c>
      <c r="BD62" s="94" t="str">
        <f>IFERROR($N62+VLOOKUP($L62,'Voyage days'!$F$448:$H$479,3,FALSE),"")</f>
        <v/>
      </c>
      <c r="BE62" s="131" t="str">
        <f t="shared" si="16"/>
        <v/>
      </c>
      <c r="BF62" s="95" t="str">
        <f>IFERROR($M62+VLOOKUP($L62,'Voyage days'!$F$620:$H$646,3,FALSE),"")</f>
        <v/>
      </c>
      <c r="BG62" s="95" t="str">
        <f>IFERROR($N62+VLOOKUP($L62,'Voyage days'!$F$620:$H$646,3,FALSE),"")</f>
        <v/>
      </c>
      <c r="BH62" s="131" t="str">
        <f t="shared" si="17"/>
        <v/>
      </c>
      <c r="BI62" s="96" t="str">
        <f>IFERROR($M62+VLOOKUP($L62,'Voyage days'!$F$702:$H$727,3,FALSE),"")</f>
        <v/>
      </c>
      <c r="BJ62" s="131" t="str">
        <f t="shared" si="18"/>
        <v/>
      </c>
      <c r="BK62" s="95" t="str">
        <f>IFERROR($M62+VLOOKUP($L62,'Voyage days'!$F$807:$H$878,3,FALSE),"")</f>
        <v/>
      </c>
      <c r="BL62" s="95" t="str">
        <f>IFERROR($N62+VLOOKUP($L62,'Voyage days'!$F$807:$H$878,3,FALSE),"")</f>
        <v/>
      </c>
      <c r="BM62" s="95" t="str">
        <f>IFERROR($N62+VLOOKUP($L62,'Voyage days'!$F$807:$K$878,6,FALSE),"")</f>
        <v/>
      </c>
      <c r="BN62" s="94" t="str">
        <f>IF(L62="loads AG", IFERROR($M62+VLOOKUP($L62,'Voyage days'!$M$38:$O$38,3,FALSE),""),"")</f>
        <v/>
      </c>
      <c r="BO62" s="94">
        <f>IF(L62="loads USG", IFERROR($M62+VLOOKUP($L62,'Voyage days'!$L$203:$N$203,3,FALSE),""),"")</f>
        <v>46172</v>
      </c>
    </row>
    <row r="63" spans="1:67" ht="14.25" customHeight="1" x14ac:dyDescent="0.25">
      <c r="A63" s="218" t="s">
        <v>872</v>
      </c>
      <c r="B63" s="75">
        <v>41960</v>
      </c>
      <c r="C63" s="76">
        <v>84196</v>
      </c>
      <c r="D63" s="120"/>
      <c r="E63" s="77"/>
      <c r="F63" s="121"/>
      <c r="G63" s="121"/>
      <c r="H63" s="121" t="s">
        <v>739</v>
      </c>
      <c r="I63" s="249" t="s">
        <v>873</v>
      </c>
      <c r="J63" s="122" t="str">
        <f t="shared" si="20"/>
        <v>NO AIS</v>
      </c>
      <c r="K63" s="123"/>
      <c r="L63" s="124" t="s">
        <v>874</v>
      </c>
      <c r="M63" s="189">
        <v>46132</v>
      </c>
      <c r="N63" s="222">
        <v>46133</v>
      </c>
      <c r="O63" s="126" t="s">
        <v>779</v>
      </c>
      <c r="P63" s="124" t="s">
        <v>875</v>
      </c>
      <c r="Q63" s="124" t="s">
        <v>876</v>
      </c>
      <c r="R63" s="124" t="s">
        <v>877</v>
      </c>
      <c r="S63" s="120" t="s">
        <v>724</v>
      </c>
      <c r="T63" s="292">
        <v>46132</v>
      </c>
      <c r="U63" s="87" t="str">
        <f>IF(V63="","No AIS",VLOOKUP(V63,'Voyage days'!$A$3:$B$1480,2,FALSE))</f>
        <v>No AIS</v>
      </c>
      <c r="V63" s="87" t="str">
        <f>IF(VLOOKUP(A63,'1) Kpler'!$E$2:$P$1000,8, FALSE)="","",VLOOKUP(A63,'1) Kpler'!$E$2:$P$1000,8, FALSE))</f>
        <v/>
      </c>
      <c r="W63" s="128" t="str">
        <f>IF(VLOOKUP(A63,'1) Kpler'!$E$2:$P$1000,9,FALSE)="","",VLOOKUP(A63,'1) Kpler'!$E$2:$P$1000,9,FALSE))</f>
        <v/>
      </c>
      <c r="X63" s="87" t="str">
        <f>VLOOKUP(A63,'1) Kpler'!$E$2:$I$1000,4,FALSE)</f>
        <v>loaded</v>
      </c>
      <c r="Y63" s="234" t="str">
        <f t="shared" si="0"/>
        <v/>
      </c>
      <c r="Z63" s="234" t="str">
        <f t="shared" si="1"/>
        <v>20-21 Apr</v>
      </c>
      <c r="AA63" s="234" t="str">
        <f t="shared" si="2"/>
        <v/>
      </c>
      <c r="AB63" s="234" t="str">
        <f t="shared" si="3"/>
        <v/>
      </c>
      <c r="AC63" s="234" t="str">
        <f t="shared" si="4"/>
        <v>05-06 May</v>
      </c>
      <c r="AD63" s="234" t="str">
        <f t="shared" si="5"/>
        <v/>
      </c>
      <c r="AE63" s="235" t="str">
        <f t="shared" si="6"/>
        <v/>
      </c>
      <c r="AF63" s="92" t="str">
        <f t="shared" si="7"/>
        <v/>
      </c>
      <c r="AG63" s="131" t="str">
        <f t="shared" si="8"/>
        <v/>
      </c>
      <c r="AH63" s="95" t="str">
        <f>IFERROR($M63+VLOOKUP($L63,'Voyage days'!$F$38:$H$89,3,FALSE),"")</f>
        <v/>
      </c>
      <c r="AI63" s="95" t="str">
        <f>IFERROR(N63+VLOOKUP($L63,'Voyage days'!$F$38:$H$89,3,FALSE),"")</f>
        <v/>
      </c>
      <c r="AJ63" s="131" t="str">
        <f t="shared" si="9"/>
        <v>20-21 Apr</v>
      </c>
      <c r="AK63" s="95">
        <f>IFERROR($M63+VLOOKUP($L63,'Voyage days'!$F$94:$H$193,3,FALSE),"")</f>
        <v>46132</v>
      </c>
      <c r="AL63" s="95">
        <f>IFERROR($N63+VLOOKUP($L63,'Voyage days'!$F$94:$H$193,3,FALSE),"")</f>
        <v>46133</v>
      </c>
      <c r="AM63" s="131" t="str">
        <f t="shared" si="10"/>
        <v/>
      </c>
      <c r="AN63" s="95" t="str">
        <f>IFERROR($M63+VLOOKUP($L63,'Voyage days'!$F$203:$H$256,3,FALSE),"")</f>
        <v/>
      </c>
      <c r="AO63" s="95" t="str">
        <f>IFERROR($N63+VLOOKUP($L63,'Voyage days'!$F$203:$H$256,3,FALSE),"")</f>
        <v/>
      </c>
      <c r="AP63" s="131" t="str">
        <f t="shared" si="11"/>
        <v/>
      </c>
      <c r="AQ63" s="95" t="str">
        <f>IFERROR($M63+VLOOKUP($L63,'Voyage days'!$F$294:$H$377,3,FALSE),"")</f>
        <v/>
      </c>
      <c r="AR63" s="95" t="str">
        <f>IFERROR($N63+VLOOKUP($L63,'Voyage days'!$F$294:$H$377,3,FALSE),"")</f>
        <v/>
      </c>
      <c r="AS63" s="131" t="str">
        <f t="shared" si="12"/>
        <v>05-06 May</v>
      </c>
      <c r="AT63" s="95">
        <f>IFERROR($M63+VLOOKUP($L63,'Voyage days'!$F$382:$H$446,3,FALSE),"")</f>
        <v>46147</v>
      </c>
      <c r="AU63" s="95">
        <f>IFERROR($N63+VLOOKUP($L63,'Voyage days'!$F$382:$H$446,3,FALSE),"")</f>
        <v>46148</v>
      </c>
      <c r="AV63" s="131" t="str">
        <f t="shared" si="13"/>
        <v/>
      </c>
      <c r="AW63" s="95" t="str">
        <f>IFERROR($M63+VLOOKUP($L63,'Voyage days'!$F$483:$H$538,3,FALSE),"")</f>
        <v/>
      </c>
      <c r="AX63" s="95" t="str">
        <f>IFERROR($N63+VLOOKUP($L63,'Voyage days'!$F$483:$H$538,3,FALSE),"")</f>
        <v/>
      </c>
      <c r="AY63" s="131" t="str">
        <f t="shared" si="14"/>
        <v/>
      </c>
      <c r="AZ63" s="95" t="str">
        <f>IFERROR($M63+VLOOKUP($L63,'Voyage days'!$F$540:$H$613,3,FALSE),"")</f>
        <v/>
      </c>
      <c r="BA63" s="95" t="str">
        <f>IFERROR($N63+VLOOKUP($L63,'Voyage days'!$F$540:$H$613,3,FALSE),"")</f>
        <v/>
      </c>
      <c r="BB63" s="131" t="str">
        <f t="shared" si="15"/>
        <v/>
      </c>
      <c r="BC63" s="94" t="str">
        <f>IFERROR($M63+VLOOKUP($L63,'Voyage days'!$F$448:$H$479,3,FALSE),"")</f>
        <v/>
      </c>
      <c r="BD63" s="94" t="str">
        <f>IFERROR($N63+VLOOKUP($L63,'Voyage days'!$F$448:$H$479,3,FALSE),"")</f>
        <v/>
      </c>
      <c r="BE63" s="131" t="str">
        <f t="shared" si="16"/>
        <v/>
      </c>
      <c r="BF63" s="95" t="str">
        <f>IFERROR($M63+VLOOKUP($L63,'Voyage days'!$F$620:$H$646,3,FALSE),"")</f>
        <v/>
      </c>
      <c r="BG63" s="95" t="str">
        <f>IFERROR($N63+VLOOKUP($L63,'Voyage days'!$F$620:$H$646,3,FALSE),"")</f>
        <v/>
      </c>
      <c r="BH63" s="131" t="str">
        <f t="shared" si="17"/>
        <v/>
      </c>
      <c r="BI63" s="96" t="str">
        <f>IFERROR($M63+VLOOKUP($L63,'Voyage days'!$F$702:$H$727,3,FALSE),"")</f>
        <v/>
      </c>
      <c r="BJ63" s="131" t="str">
        <f t="shared" si="18"/>
        <v/>
      </c>
      <c r="BK63" s="95" t="str">
        <f>IFERROR($M63+VLOOKUP($L63,'Voyage days'!$F$807:$H$878,3,FALSE),"")</f>
        <v/>
      </c>
      <c r="BL63" s="95" t="str">
        <f>IFERROR($N63+VLOOKUP($L63,'Voyage days'!$F$807:$H$878,3,FALSE),"")</f>
        <v/>
      </c>
      <c r="BM63" s="95" t="str">
        <f>IFERROR($N63+VLOOKUP($L63,'Voyage days'!$F$807:$K$878,6,FALSE),"")</f>
        <v/>
      </c>
      <c r="BN63" s="94" t="str">
        <f>IF(L63="loads AG", IFERROR($M63+VLOOKUP($L63,'Voyage days'!$M$38:$O$38,3,FALSE),""),"")</f>
        <v/>
      </c>
      <c r="BO63" s="94" t="str">
        <f>IF(L63="loads USG", IFERROR($M63+VLOOKUP($L63,'Voyage days'!$L$203:$N$203,3,FALSE),""),"")</f>
        <v/>
      </c>
    </row>
    <row r="64" spans="1:67" ht="15.75" customHeight="1" x14ac:dyDescent="0.25">
      <c r="A64" s="293" t="s">
        <v>878</v>
      </c>
      <c r="B64" s="176">
        <v>42741</v>
      </c>
      <c r="C64" s="134">
        <v>84000</v>
      </c>
      <c r="D64" s="77"/>
      <c r="E64" s="279"/>
      <c r="F64" s="224"/>
      <c r="G64" s="224"/>
      <c r="H64" s="224"/>
      <c r="I64" s="177" t="s">
        <v>873</v>
      </c>
      <c r="J64" s="285" t="str">
        <f t="shared" si="20"/>
        <v/>
      </c>
      <c r="K64" s="139"/>
      <c r="L64" s="227" t="s">
        <v>718</v>
      </c>
      <c r="M64" s="141">
        <v>46137</v>
      </c>
      <c r="N64" s="141">
        <v>46138</v>
      </c>
      <c r="O64" s="255" t="s">
        <v>726</v>
      </c>
      <c r="P64" s="227" t="s">
        <v>879</v>
      </c>
      <c r="Q64" s="227"/>
      <c r="R64" s="227" t="s">
        <v>880</v>
      </c>
      <c r="S64" s="279" t="s">
        <v>724</v>
      </c>
      <c r="T64" s="289">
        <v>46132</v>
      </c>
      <c r="U64" s="145" t="str">
        <f>IF(V64="","No AIS",VLOOKUP(V64,'Voyage days'!$A$3:$B$1480,2,FALSE))</f>
        <v>USG</v>
      </c>
      <c r="V64" s="145" t="str">
        <f>IF(VLOOKUP(A64,'1) Kpler'!$E$2:$P$1000,8, FALSE)="","",VLOOKUP(A64,'1) Kpler'!$E$2:$P$1000,8, FALSE))</f>
        <v>Energy Transfer Marcus Hook</v>
      </c>
      <c r="W64" s="290">
        <f>IF(VLOOKUP(A64,'1) Kpler'!$E$2:$P$1000,9,FALSE)="","",VLOOKUP(A64,'1) Kpler'!$E$2:$P$1000,9,FALSE))</f>
        <v>46137.583333333336</v>
      </c>
      <c r="X64" s="145" t="str">
        <f>VLOOKUP(A64,'1) Kpler'!$E$2:$I$1000,4,FALSE)</f>
        <v>ballast</v>
      </c>
      <c r="Y64" s="93" t="str">
        <f t="shared" si="0"/>
        <v/>
      </c>
      <c r="Z64" s="93" t="str">
        <f t="shared" si="1"/>
        <v>25-26 Apr</v>
      </c>
      <c r="AA64" s="93" t="str">
        <f t="shared" si="2"/>
        <v>25-26 Apr</v>
      </c>
      <c r="AB64" s="93" t="str">
        <f t="shared" si="3"/>
        <v/>
      </c>
      <c r="AC64" s="93" t="str">
        <f t="shared" si="4"/>
        <v>15-16 May</v>
      </c>
      <c r="AD64" s="93" t="str">
        <f t="shared" si="5"/>
        <v/>
      </c>
      <c r="AE64" s="179" t="str">
        <f t="shared" si="6"/>
        <v/>
      </c>
      <c r="AF64" s="180" t="str">
        <f t="shared" si="7"/>
        <v/>
      </c>
      <c r="AG64" s="93" t="str">
        <f t="shared" si="8"/>
        <v/>
      </c>
      <c r="AH64" s="94" t="str">
        <f>IFERROR($M64+VLOOKUP($L64,'Voyage days'!$F$38:$H$89,3,FALSE),"")</f>
        <v/>
      </c>
      <c r="AI64" s="94" t="str">
        <f>IFERROR(N64+VLOOKUP($L64,'Voyage days'!$F$38:$H$89,3,FALSE),"")</f>
        <v/>
      </c>
      <c r="AJ64" s="93" t="str">
        <f t="shared" si="9"/>
        <v>25-26 Apr</v>
      </c>
      <c r="AK64" s="94">
        <f>IFERROR($M64+VLOOKUP($L64,'Voyage days'!$F$94:$H$193,3,FALSE),"")</f>
        <v>46137</v>
      </c>
      <c r="AL64" s="94">
        <f>IFERROR($N64+VLOOKUP($L64,'Voyage days'!$F$94:$H$193,3,FALSE),"")</f>
        <v>46138</v>
      </c>
      <c r="AM64" s="93" t="str">
        <f t="shared" si="10"/>
        <v>25-26 Apr</v>
      </c>
      <c r="AN64" s="94">
        <f>IFERROR($M64+VLOOKUP($L64,'Voyage days'!$F$203:$H$256,3,FALSE),"")</f>
        <v>46137</v>
      </c>
      <c r="AO64" s="94">
        <f>IFERROR($N64+VLOOKUP($L64,'Voyage days'!$F$203:$H$256,3,FALSE),"")</f>
        <v>46138</v>
      </c>
      <c r="AP64" s="93" t="str">
        <f t="shared" si="11"/>
        <v/>
      </c>
      <c r="AQ64" s="94" t="str">
        <f>IFERROR($M64+VLOOKUP($L64,'Voyage days'!$F$294:$H$377,3,FALSE),"")</f>
        <v/>
      </c>
      <c r="AR64" s="94" t="str">
        <f>IFERROR($N64+VLOOKUP($L64,'Voyage days'!$F$294:$H$377,3,FALSE),"")</f>
        <v/>
      </c>
      <c r="AS64" s="93" t="str">
        <f t="shared" si="12"/>
        <v>15-16 May</v>
      </c>
      <c r="AT64" s="94">
        <f>IFERROR($M64+VLOOKUP($L64,'Voyage days'!$F$382:$H$446,3,FALSE),"")</f>
        <v>46157</v>
      </c>
      <c r="AU64" s="94">
        <f>IFERROR($N64+VLOOKUP($L64,'Voyage days'!$F$382:$H$446,3,FALSE),"")</f>
        <v>46158</v>
      </c>
      <c r="AV64" s="93" t="str">
        <f t="shared" si="13"/>
        <v/>
      </c>
      <c r="AW64" s="94" t="str">
        <f>IFERROR($M64+VLOOKUP($L64,'Voyage days'!$F$483:$H$538,3,FALSE),"")</f>
        <v/>
      </c>
      <c r="AX64" s="94" t="str">
        <f>IFERROR($N64+VLOOKUP($L64,'Voyage days'!$F$483:$H$538,3,FALSE),"")</f>
        <v/>
      </c>
      <c r="AY64" s="93" t="str">
        <f t="shared" si="14"/>
        <v/>
      </c>
      <c r="AZ64" s="94" t="str">
        <f>IFERROR($M64+VLOOKUP($L64,'Voyage days'!$F$540:$H$613,3,FALSE),"")</f>
        <v/>
      </c>
      <c r="BA64" s="94" t="str">
        <f>IFERROR($N64+VLOOKUP($L64,'Voyage days'!$F$540:$H$613,3,FALSE),"")</f>
        <v/>
      </c>
      <c r="BB64" s="93" t="str">
        <f t="shared" si="15"/>
        <v/>
      </c>
      <c r="BC64" s="94" t="str">
        <f>IFERROR($M64+VLOOKUP($L64,'Voyage days'!$F$448:$H$479,3,FALSE),"")</f>
        <v/>
      </c>
      <c r="BD64" s="94" t="str">
        <f>IFERROR($N64+VLOOKUP($L64,'Voyage days'!$F$448:$H$479,3,FALSE),"")</f>
        <v/>
      </c>
      <c r="BE64" s="93" t="str">
        <f t="shared" si="16"/>
        <v/>
      </c>
      <c r="BF64" s="95" t="str">
        <f>IFERROR($M64+VLOOKUP($L64,'Voyage days'!$F$620:$H$646,3,FALSE),"")</f>
        <v/>
      </c>
      <c r="BG64" s="95" t="str">
        <f>IFERROR($N64+VLOOKUP($L64,'Voyage days'!$F$620:$H$646,3,FALSE),"")</f>
        <v/>
      </c>
      <c r="BH64" s="93" t="str">
        <f t="shared" si="17"/>
        <v/>
      </c>
      <c r="BI64" s="96" t="str">
        <f>IFERROR($M64+VLOOKUP($L64,'Voyage days'!$F$702:$H$727,3,FALSE),"")</f>
        <v/>
      </c>
      <c r="BJ64" s="93" t="str">
        <f t="shared" si="18"/>
        <v/>
      </c>
      <c r="BK64" s="95" t="str">
        <f>IFERROR($M64+VLOOKUP($L64,'Voyage days'!$F$807:$H$878,3,FALSE),"")</f>
        <v/>
      </c>
      <c r="BL64" s="95" t="str">
        <f>IFERROR($N64+VLOOKUP($L64,'Voyage days'!$F$807:$H$878,3,FALSE),"")</f>
        <v/>
      </c>
      <c r="BM64" s="95" t="str">
        <f>IFERROR($N64+VLOOKUP($L64,'Voyage days'!$F$807:$K$878,6,FALSE),"")</f>
        <v/>
      </c>
      <c r="BN64" s="94" t="str">
        <f>IF(L64="loads AG", IFERROR($M64+VLOOKUP($L64,'Voyage days'!$M$38:$O$38,3,FALSE),""),"")</f>
        <v/>
      </c>
      <c r="BO64" s="94">
        <f>IF(L64="loads USG", IFERROR($M64+VLOOKUP($L64,'Voyage days'!$L$203:$N$203,3,FALSE),""),"")</f>
        <v>46169</v>
      </c>
    </row>
    <row r="65" spans="1:67" ht="15.75" customHeight="1" x14ac:dyDescent="0.25">
      <c r="A65" s="294" t="s">
        <v>298</v>
      </c>
      <c r="B65" s="119">
        <v>2021</v>
      </c>
      <c r="C65" s="76">
        <v>80421</v>
      </c>
      <c r="D65" s="120"/>
      <c r="E65" s="120"/>
      <c r="F65" s="121"/>
      <c r="G65" s="121"/>
      <c r="H65" s="121" t="s">
        <v>739</v>
      </c>
      <c r="I65" s="249" t="s">
        <v>881</v>
      </c>
      <c r="J65" s="122" t="str">
        <f t="shared" si="20"/>
        <v/>
      </c>
      <c r="K65" s="123"/>
      <c r="L65" s="124" t="s">
        <v>860</v>
      </c>
      <c r="M65" s="189">
        <v>46136</v>
      </c>
      <c r="N65" s="189">
        <v>46137</v>
      </c>
      <c r="O65" s="126"/>
      <c r="P65" s="124" t="s">
        <v>861</v>
      </c>
      <c r="Q65" s="100"/>
      <c r="R65" s="100" t="s">
        <v>882</v>
      </c>
      <c r="S65" s="120" t="s">
        <v>724</v>
      </c>
      <c r="T65" s="232">
        <v>46132</v>
      </c>
      <c r="U65" s="87" t="str">
        <f>IF(V65="","No AIS",VLOOKUP(V65,'Voyage days'!$A$3:$B$1480,2,FALSE))</f>
        <v>Vietnam + 3</v>
      </c>
      <c r="V65" s="87" t="str">
        <f>IF(VLOOKUP(A65,'1) Kpler'!$E$2:$P$1000,8, FALSE)="","",VLOOKUP(A65,'1) Kpler'!$E$2:$P$1000,8, FALSE))</f>
        <v>PV Vung Tau</v>
      </c>
      <c r="W65" s="128">
        <f>IF(VLOOKUP(A65,'1) Kpler'!$E$2:$P$1000,9,FALSE)="","",VLOOKUP(A65,'1) Kpler'!$E$2:$P$1000,9,FALSE))</f>
        <v>46133.458333333336</v>
      </c>
      <c r="X65" s="87" t="str">
        <f>VLOOKUP(A65,'1) Kpler'!$E$2:$I$1000,4,FALSE)</f>
        <v>loaded</v>
      </c>
      <c r="Y65" s="234" t="str">
        <f t="shared" si="0"/>
        <v>07-08 May</v>
      </c>
      <c r="Z65" s="234" t="str">
        <f t="shared" si="1"/>
        <v>30-31 May</v>
      </c>
      <c r="AA65" s="234" t="str">
        <f t="shared" si="2"/>
        <v>02-03 Jun</v>
      </c>
      <c r="AB65" s="234" t="str">
        <f t="shared" si="3"/>
        <v>18-19 May</v>
      </c>
      <c r="AC65" s="234" t="str">
        <f t="shared" si="4"/>
        <v>24-25 May</v>
      </c>
      <c r="AD65" s="234" t="str">
        <f t="shared" si="5"/>
        <v>26-27 Apr</v>
      </c>
      <c r="AE65" s="235" t="str">
        <f t="shared" si="6"/>
        <v>30-01 May</v>
      </c>
      <c r="AF65" s="92" t="str">
        <f t="shared" si="7"/>
        <v>03-04 Jun</v>
      </c>
      <c r="AG65" s="131" t="str">
        <f t="shared" si="8"/>
        <v>07-08 May</v>
      </c>
      <c r="AH65" s="95">
        <f>IFERROR($M65+VLOOKUP($L65,'Voyage days'!$F$38:$H$89,3,FALSE),"")</f>
        <v>46149</v>
      </c>
      <c r="AI65" s="95">
        <f>IFERROR(N65+VLOOKUP($L65,'Voyage days'!$F$38:$H$89,3,FALSE),"")</f>
        <v>46150</v>
      </c>
      <c r="AJ65" s="131" t="str">
        <f t="shared" si="9"/>
        <v>30-31 May</v>
      </c>
      <c r="AK65" s="95">
        <f>IFERROR($M65+VLOOKUP($L65,'Voyage days'!$F$94:$H$193,3,FALSE),"")</f>
        <v>46172</v>
      </c>
      <c r="AL65" s="95">
        <f>IFERROR($N65+VLOOKUP($L65,'Voyage days'!$F$94:$H$193,3,FALSE),"")</f>
        <v>46173</v>
      </c>
      <c r="AM65" s="131" t="str">
        <f t="shared" si="10"/>
        <v>02-03 Jun</v>
      </c>
      <c r="AN65" s="95">
        <f>IFERROR($M65+VLOOKUP($L65,'Voyage days'!$F$203:$H$256,3,FALSE),"")</f>
        <v>46175</v>
      </c>
      <c r="AO65" s="95">
        <f>IFERROR($N65+VLOOKUP($L65,'Voyage days'!$F$203:$H$256,3,FALSE),"")</f>
        <v>46176</v>
      </c>
      <c r="AP65" s="131" t="str">
        <f t="shared" si="11"/>
        <v>18-19 May</v>
      </c>
      <c r="AQ65" s="95">
        <f>IFERROR($M65+VLOOKUP($L65,'Voyage days'!$F$294:$H$377,3,FALSE),"")</f>
        <v>46160</v>
      </c>
      <c r="AR65" s="95">
        <f>IFERROR($N65+VLOOKUP($L65,'Voyage days'!$F$294:$H$377,3,FALSE),"")</f>
        <v>46161</v>
      </c>
      <c r="AS65" s="131" t="str">
        <f t="shared" si="12"/>
        <v>24-25 May</v>
      </c>
      <c r="AT65" s="95">
        <f>IFERROR($M65+VLOOKUP($L65,'Voyage days'!$F$382:$H$446,3,FALSE),"")</f>
        <v>46166</v>
      </c>
      <c r="AU65" s="95">
        <f>IFERROR($N65+VLOOKUP($L65,'Voyage days'!$F$382:$H$446,3,FALSE),"")</f>
        <v>46167</v>
      </c>
      <c r="AV65" s="131" t="str">
        <f t="shared" si="13"/>
        <v>06-07 May</v>
      </c>
      <c r="AW65" s="95">
        <f>IFERROR($M65+VLOOKUP($L65,'Voyage days'!$F$483:$H$538,3,FALSE),"")</f>
        <v>46148</v>
      </c>
      <c r="AX65" s="95">
        <f>IFERROR($N65+VLOOKUP($L65,'Voyage days'!$F$483:$H$538,3,FALSE),"")</f>
        <v>46149</v>
      </c>
      <c r="AY65" s="131" t="str">
        <f t="shared" si="14"/>
        <v>30-01 May</v>
      </c>
      <c r="AZ65" s="95">
        <f>IFERROR($M65+VLOOKUP($L65,'Voyage days'!$F$540:$H$613,3,FALSE),"")</f>
        <v>46142.25</v>
      </c>
      <c r="BA65" s="95">
        <f>IFERROR($N65+VLOOKUP($L65,'Voyage days'!$F$540:$H$613,3,FALSE),"")</f>
        <v>46143.25</v>
      </c>
      <c r="BB65" s="131" t="str">
        <f t="shared" si="15"/>
        <v>26-27 Apr</v>
      </c>
      <c r="BC65" s="95">
        <f>IFERROR($M65+VLOOKUP($L65,'Voyage days'!$F$448:$H$479,3,FALSE),"")</f>
        <v>46138</v>
      </c>
      <c r="BD65" s="95">
        <f>IFERROR($N65+VLOOKUP($L65,'Voyage days'!$F$448:$H$479,3,FALSE),"")</f>
        <v>46139</v>
      </c>
      <c r="BE65" s="131" t="str">
        <f t="shared" si="16"/>
        <v/>
      </c>
      <c r="BF65" s="95" t="str">
        <f>IFERROR($M65+VLOOKUP($L65,'Voyage days'!$F$620:$H$646,3,FALSE),"")</f>
        <v/>
      </c>
      <c r="BG65" s="95" t="str">
        <f>IFERROR($N65+VLOOKUP($L65,'Voyage days'!$F$620:$H$646,3,FALSE),"")</f>
        <v/>
      </c>
      <c r="BH65" s="131" t="str">
        <f t="shared" si="17"/>
        <v>30-04 Jun</v>
      </c>
      <c r="BI65" s="96">
        <f>IFERROR($M65+VLOOKUP($L65,'Voyage days'!$F$702:$H$727,3,FALSE),"")</f>
        <v>46142.25</v>
      </c>
      <c r="BJ65" s="131" t="str">
        <f t="shared" si="18"/>
        <v>03-04 Jun</v>
      </c>
      <c r="BK65" s="95">
        <f>IFERROR($M65+VLOOKUP($L65,'Voyage days'!$F$807:$H$878,3,FALSE),"")</f>
        <v>46176</v>
      </c>
      <c r="BL65" s="95">
        <f>IFERROR($N65+VLOOKUP($L65,'Voyage days'!$F$807:$H$878,3,FALSE),"")</f>
        <v>46177</v>
      </c>
      <c r="BM65" s="95">
        <f>IFERROR($N65+VLOOKUP($L65,'Voyage days'!$F$807:$K$878,6,FALSE),"")</f>
        <v>46151</v>
      </c>
      <c r="BN65" s="95" t="str">
        <f>IF(L65="loads AG", IFERROR($M65+VLOOKUP($L65,'Voyage days'!$M$38:$O$38,3,FALSE),""),"")</f>
        <v/>
      </c>
      <c r="BO65" s="95" t="str">
        <f>IF(L65="loads USG", IFERROR($M65+VLOOKUP($L65,'Voyage days'!$L$203:$N$203,3,FALSE),""),"")</f>
        <v/>
      </c>
    </row>
    <row r="66" spans="1:67" ht="15.75" customHeight="1" x14ac:dyDescent="0.25">
      <c r="A66" s="294" t="s">
        <v>188</v>
      </c>
      <c r="B66" s="119">
        <v>2019</v>
      </c>
      <c r="C66" s="76">
        <v>80032</v>
      </c>
      <c r="D66" s="120"/>
      <c r="E66" s="120"/>
      <c r="F66" s="121"/>
      <c r="G66" s="121"/>
      <c r="H66" s="121" t="s">
        <v>739</v>
      </c>
      <c r="I66" s="249" t="s">
        <v>881</v>
      </c>
      <c r="J66" s="122" t="str">
        <f t="shared" si="20"/>
        <v/>
      </c>
      <c r="K66" s="81"/>
      <c r="L66" s="124" t="s">
        <v>718</v>
      </c>
      <c r="M66" s="222">
        <v>46132</v>
      </c>
      <c r="N66" s="222">
        <v>46134</v>
      </c>
      <c r="O66" s="152"/>
      <c r="P66" s="124" t="s">
        <v>883</v>
      </c>
      <c r="Q66" s="100"/>
      <c r="R66" s="100" t="s">
        <v>884</v>
      </c>
      <c r="S66" s="120" t="s">
        <v>724</v>
      </c>
      <c r="T66" s="232">
        <v>46132</v>
      </c>
      <c r="U66" s="87" t="str">
        <f>IF(V66="","No AIS",VLOOKUP(V66,'Voyage days'!$A$3:$B$1480,2,FALSE))</f>
        <v>USG</v>
      </c>
      <c r="V66" s="87" t="str">
        <f>IF(VLOOKUP(A66,'1) Kpler'!$E$2:$P$1000,8, FALSE)="","",VLOOKUP(A66,'1) Kpler'!$E$2:$P$1000,8, FALSE))</f>
        <v>Houston</v>
      </c>
      <c r="W66" s="128">
        <f>IF(VLOOKUP(A66,'1) Kpler'!$E$2:$P$1000,9,FALSE)="","",VLOOKUP(A66,'1) Kpler'!$E$2:$P$1000,9,FALSE))</f>
        <v>46132.5</v>
      </c>
      <c r="X66" s="87" t="str">
        <f>VLOOKUP(A66,'1) Kpler'!$E$2:$I$1000,4,FALSE)</f>
        <v>ballast</v>
      </c>
      <c r="Y66" s="63" t="str">
        <f t="shared" si="0"/>
        <v/>
      </c>
      <c r="Z66" s="63" t="str">
        <f t="shared" si="1"/>
        <v>20-22 Apr</v>
      </c>
      <c r="AA66" s="63" t="str">
        <f t="shared" si="2"/>
        <v>20-22 Apr</v>
      </c>
      <c r="AB66" s="63" t="str">
        <f t="shared" si="3"/>
        <v/>
      </c>
      <c r="AC66" s="63" t="str">
        <f t="shared" si="4"/>
        <v>10-12 May</v>
      </c>
      <c r="AD66" s="63" t="str">
        <f t="shared" si="5"/>
        <v/>
      </c>
      <c r="AE66" s="129" t="str">
        <f t="shared" si="6"/>
        <v/>
      </c>
      <c r="AF66" s="130" t="str">
        <f t="shared" si="7"/>
        <v/>
      </c>
      <c r="AG66" s="131" t="str">
        <f t="shared" si="8"/>
        <v/>
      </c>
      <c r="AH66" s="95" t="str">
        <f>IFERROR($M66+VLOOKUP($L66,'Voyage days'!$F$38:$H$89,3,FALSE),"")</f>
        <v/>
      </c>
      <c r="AI66" s="95" t="str">
        <f>IFERROR(N66+VLOOKUP($L66,'Voyage days'!$F$38:$H$89,3,FALSE),"")</f>
        <v/>
      </c>
      <c r="AJ66" s="131" t="str">
        <f t="shared" si="9"/>
        <v>20-22 Apr</v>
      </c>
      <c r="AK66" s="95">
        <f>IFERROR($M66+VLOOKUP($L66,'Voyage days'!$F$94:$H$193,3,FALSE),"")</f>
        <v>46132</v>
      </c>
      <c r="AL66" s="95">
        <f>IFERROR($N66+VLOOKUP($L66,'Voyage days'!$F$94:$H$193,3,FALSE),"")</f>
        <v>46134</v>
      </c>
      <c r="AM66" s="131" t="str">
        <f t="shared" si="10"/>
        <v>20-22 Apr</v>
      </c>
      <c r="AN66" s="95">
        <f>IFERROR($M66+VLOOKUP($L66,'Voyage days'!$F$203:$H$256,3,FALSE),"")</f>
        <v>46132</v>
      </c>
      <c r="AO66" s="95">
        <f>IFERROR($N66+VLOOKUP($L66,'Voyage days'!$F$203:$H$256,3,FALSE),"")</f>
        <v>46134</v>
      </c>
      <c r="AP66" s="131" t="str">
        <f t="shared" si="11"/>
        <v/>
      </c>
      <c r="AQ66" s="95" t="str">
        <f>IFERROR($M66+VLOOKUP($L66,'Voyage days'!$F$294:$H$377,3,FALSE),"")</f>
        <v/>
      </c>
      <c r="AR66" s="95" t="str">
        <f>IFERROR($N66+VLOOKUP($L66,'Voyage days'!$F$294:$H$377,3,FALSE),"")</f>
        <v/>
      </c>
      <c r="AS66" s="131" t="str">
        <f t="shared" si="12"/>
        <v>10-12 May</v>
      </c>
      <c r="AT66" s="95">
        <f>IFERROR($M66+VLOOKUP($L66,'Voyage days'!$F$382:$H$446,3,FALSE),"")</f>
        <v>46152</v>
      </c>
      <c r="AU66" s="95">
        <f>IFERROR($N66+VLOOKUP($L66,'Voyage days'!$F$382:$H$446,3,FALSE),"")</f>
        <v>46154</v>
      </c>
      <c r="AV66" s="131" t="str">
        <f t="shared" si="13"/>
        <v/>
      </c>
      <c r="AW66" s="95" t="str">
        <f>IFERROR($M66+VLOOKUP($L66,'Voyage days'!$F$483:$H$538,3,FALSE),"")</f>
        <v/>
      </c>
      <c r="AX66" s="95" t="str">
        <f>IFERROR($N66+VLOOKUP($L66,'Voyage days'!$F$483:$H$538,3,FALSE),"")</f>
        <v/>
      </c>
      <c r="AY66" s="131" t="str">
        <f t="shared" si="14"/>
        <v/>
      </c>
      <c r="AZ66" s="95" t="str">
        <f>IFERROR($M66+VLOOKUP($L66,'Voyage days'!$F$540:$H$613,3,FALSE),"")</f>
        <v/>
      </c>
      <c r="BA66" s="95" t="str">
        <f>IFERROR($N66+VLOOKUP($L66,'Voyage days'!$F$540:$H$613,3,FALSE),"")</f>
        <v/>
      </c>
      <c r="BB66" s="131" t="str">
        <f t="shared" si="15"/>
        <v/>
      </c>
      <c r="BC66" s="94" t="str">
        <f>IFERROR($M66+VLOOKUP($L66,'Voyage days'!$F$448:$H$479,3,FALSE),"")</f>
        <v/>
      </c>
      <c r="BD66" s="94" t="str">
        <f>IFERROR($N66+VLOOKUP($L66,'Voyage days'!$F$448:$H$479,3,FALSE),"")</f>
        <v/>
      </c>
      <c r="BE66" s="131" t="str">
        <f t="shared" si="16"/>
        <v/>
      </c>
      <c r="BF66" s="95" t="str">
        <f>IFERROR($M66+VLOOKUP($L66,'Voyage days'!$F$620:$H$646,3,FALSE),"")</f>
        <v/>
      </c>
      <c r="BG66" s="95" t="str">
        <f>IFERROR($N66+VLOOKUP($L66,'Voyage days'!$F$620:$H$646,3,FALSE),"")</f>
        <v/>
      </c>
      <c r="BH66" s="131" t="str">
        <f t="shared" si="17"/>
        <v/>
      </c>
      <c r="BI66" s="96" t="str">
        <f>IFERROR($M66+VLOOKUP($L66,'Voyage days'!$F$702:$H$727,3,FALSE),"")</f>
        <v/>
      </c>
      <c r="BJ66" s="131" t="str">
        <f t="shared" si="18"/>
        <v/>
      </c>
      <c r="BK66" s="95" t="str">
        <f>IFERROR($M66+VLOOKUP($L66,'Voyage days'!$F$807:$H$878,3,FALSE),"")</f>
        <v/>
      </c>
      <c r="BL66" s="95" t="str">
        <f>IFERROR($N66+VLOOKUP($L66,'Voyage days'!$F$807:$H$878,3,FALSE),"")</f>
        <v/>
      </c>
      <c r="BM66" s="95" t="str">
        <f>IFERROR($N66+VLOOKUP($L66,'Voyage days'!$F$807:$K$878,6,FALSE),"")</f>
        <v/>
      </c>
      <c r="BN66" s="94" t="str">
        <f>IF(L66="loads AG", IFERROR($M66+VLOOKUP($L66,'Voyage days'!$M$38:$O$38,3,FALSE),""),"")</f>
        <v/>
      </c>
      <c r="BO66" s="94">
        <f>IF(L66="loads USG", IFERROR($M66+VLOOKUP($L66,'Voyage days'!$L$203:$N$203,3,FALSE),""),"")</f>
        <v>46164</v>
      </c>
    </row>
    <row r="67" spans="1:67" ht="15.75" customHeight="1" x14ac:dyDescent="0.25">
      <c r="A67" s="294" t="s">
        <v>625</v>
      </c>
      <c r="B67" s="119">
        <v>2017</v>
      </c>
      <c r="C67" s="76">
        <v>79329</v>
      </c>
      <c r="D67" s="120"/>
      <c r="E67" s="120"/>
      <c r="F67" s="121"/>
      <c r="G67" s="121"/>
      <c r="H67" s="121"/>
      <c r="I67" s="249" t="s">
        <v>881</v>
      </c>
      <c r="J67" s="122" t="str">
        <f t="shared" si="20"/>
        <v/>
      </c>
      <c r="K67" s="81"/>
      <c r="L67" s="124" t="s">
        <v>718</v>
      </c>
      <c r="M67" s="222">
        <v>46160</v>
      </c>
      <c r="N67" s="222">
        <v>46161</v>
      </c>
      <c r="O67" s="152"/>
      <c r="P67" s="124" t="s">
        <v>885</v>
      </c>
      <c r="Q67" s="100"/>
      <c r="R67" s="100" t="s">
        <v>886</v>
      </c>
      <c r="S67" s="120" t="s">
        <v>724</v>
      </c>
      <c r="T67" s="232">
        <v>46132</v>
      </c>
      <c r="U67" s="87" t="str">
        <f>IF(V67="","No AIS",VLOOKUP(V67,'Voyage days'!$A$3:$B$1480,2,FALSE))</f>
        <v>Panama</v>
      </c>
      <c r="V67" s="87" t="str">
        <f>IF(VLOOKUP(A67,'1) Kpler'!$E$2:$P$1000,8, FALSE)="","",VLOOKUP(A67,'1) Kpler'!$E$2:$P$1000,8, FALSE))</f>
        <v>Panama Canal</v>
      </c>
      <c r="W67" s="128">
        <f>IF(VLOOKUP(A67,'1) Kpler'!$E$2:$P$1000,9,FALSE)="","",VLOOKUP(A67,'1) Kpler'!$E$2:$P$1000,9,FALSE))</f>
        <v>46146.541666666664</v>
      </c>
      <c r="X67" s="87" t="str">
        <f>VLOOKUP(A67,'1) Kpler'!$E$2:$I$1000,4,FALSE)</f>
        <v>ballast</v>
      </c>
      <c r="Y67" s="63" t="str">
        <f t="shared" si="0"/>
        <v/>
      </c>
      <c r="Z67" s="63" t="str">
        <f t="shared" si="1"/>
        <v>18-19 May</v>
      </c>
      <c r="AA67" s="63" t="str">
        <f t="shared" si="2"/>
        <v>18-19 May</v>
      </c>
      <c r="AB67" s="63" t="str">
        <f t="shared" si="3"/>
        <v/>
      </c>
      <c r="AC67" s="63" t="str">
        <f t="shared" si="4"/>
        <v>07-08 Jun</v>
      </c>
      <c r="AD67" s="63" t="str">
        <f t="shared" si="5"/>
        <v/>
      </c>
      <c r="AE67" s="129" t="str">
        <f t="shared" si="6"/>
        <v/>
      </c>
      <c r="AF67" s="130" t="str">
        <f t="shared" si="7"/>
        <v/>
      </c>
      <c r="AG67" s="131" t="str">
        <f t="shared" si="8"/>
        <v/>
      </c>
      <c r="AH67" s="95" t="str">
        <f>IFERROR($M67+VLOOKUP($L67,'Voyage days'!$F$38:$H$89,3,FALSE),"")</f>
        <v/>
      </c>
      <c r="AI67" s="95" t="str">
        <f>IFERROR(N67+VLOOKUP($L67,'Voyage days'!$F$38:$H$89,3,FALSE),"")</f>
        <v/>
      </c>
      <c r="AJ67" s="131" t="str">
        <f t="shared" si="9"/>
        <v>18-19 May</v>
      </c>
      <c r="AK67" s="95">
        <f>IFERROR($M67+VLOOKUP($L67,'Voyage days'!$F$94:$H$193,3,FALSE),"")</f>
        <v>46160</v>
      </c>
      <c r="AL67" s="95">
        <f>IFERROR($N67+VLOOKUP($L67,'Voyage days'!$F$94:$H$193,3,FALSE),"")</f>
        <v>46161</v>
      </c>
      <c r="AM67" s="131" t="str">
        <f t="shared" si="10"/>
        <v>18-19 May</v>
      </c>
      <c r="AN67" s="95">
        <f>IFERROR($M67+VLOOKUP($L67,'Voyage days'!$F$203:$H$256,3,FALSE),"")</f>
        <v>46160</v>
      </c>
      <c r="AO67" s="95">
        <f>IFERROR($N67+VLOOKUP($L67,'Voyage days'!$F$203:$H$256,3,FALSE),"")</f>
        <v>46161</v>
      </c>
      <c r="AP67" s="131" t="str">
        <f t="shared" si="11"/>
        <v/>
      </c>
      <c r="AQ67" s="95" t="str">
        <f>IFERROR($M67+VLOOKUP($L67,'Voyage days'!$F$294:$H$377,3,FALSE),"")</f>
        <v/>
      </c>
      <c r="AR67" s="95" t="str">
        <f>IFERROR($N67+VLOOKUP($L67,'Voyage days'!$F$294:$H$377,3,FALSE),"")</f>
        <v/>
      </c>
      <c r="AS67" s="131" t="str">
        <f t="shared" si="12"/>
        <v>07-08 Jun</v>
      </c>
      <c r="AT67" s="95">
        <f>IFERROR($M67+VLOOKUP($L67,'Voyage days'!$F$382:$H$446,3,FALSE),"")</f>
        <v>46180</v>
      </c>
      <c r="AU67" s="95">
        <f>IFERROR($N67+VLOOKUP($L67,'Voyage days'!$F$382:$H$446,3,FALSE),"")</f>
        <v>46181</v>
      </c>
      <c r="AV67" s="131" t="str">
        <f t="shared" si="13"/>
        <v/>
      </c>
      <c r="AW67" s="95" t="str">
        <f>IFERROR($M67+VLOOKUP($L67,'Voyage days'!$F$483:$H$538,3,FALSE),"")</f>
        <v/>
      </c>
      <c r="AX67" s="95" t="str">
        <f>IFERROR($N67+VLOOKUP($L67,'Voyage days'!$F$483:$H$538,3,FALSE),"")</f>
        <v/>
      </c>
      <c r="AY67" s="131" t="str">
        <f t="shared" si="14"/>
        <v/>
      </c>
      <c r="AZ67" s="95" t="str">
        <f>IFERROR($M67+VLOOKUP($L67,'Voyage days'!$F$540:$H$613,3,FALSE),"")</f>
        <v/>
      </c>
      <c r="BA67" s="95" t="str">
        <f>IFERROR($N67+VLOOKUP($L67,'Voyage days'!$F$540:$H$613,3,FALSE),"")</f>
        <v/>
      </c>
      <c r="BB67" s="131" t="str">
        <f t="shared" si="15"/>
        <v/>
      </c>
      <c r="BC67" s="94" t="str">
        <f>IFERROR($M67+VLOOKUP($L67,'Voyage days'!$F$448:$H$479,3,FALSE),"")</f>
        <v/>
      </c>
      <c r="BD67" s="94" t="str">
        <f>IFERROR($N67+VLOOKUP($L67,'Voyage days'!$F$448:$H$479,3,FALSE),"")</f>
        <v/>
      </c>
      <c r="BE67" s="131" t="str">
        <f t="shared" si="16"/>
        <v/>
      </c>
      <c r="BF67" s="95" t="str">
        <f>IFERROR($M67+VLOOKUP($L67,'Voyage days'!$F$620:$H$646,3,FALSE),"")</f>
        <v/>
      </c>
      <c r="BG67" s="95" t="str">
        <f>IFERROR($N67+VLOOKUP($L67,'Voyage days'!$F$620:$H$646,3,FALSE),"")</f>
        <v/>
      </c>
      <c r="BH67" s="131" t="str">
        <f t="shared" si="17"/>
        <v/>
      </c>
      <c r="BI67" s="96" t="str">
        <f>IFERROR($M67+VLOOKUP($L67,'Voyage days'!$F$702:$H$727,3,FALSE),"")</f>
        <v/>
      </c>
      <c r="BJ67" s="131" t="str">
        <f t="shared" si="18"/>
        <v/>
      </c>
      <c r="BK67" s="95" t="str">
        <f>IFERROR($M67+VLOOKUP($L67,'Voyage days'!$F$807:$H$878,3,FALSE),"")</f>
        <v/>
      </c>
      <c r="BL67" s="95" t="str">
        <f>IFERROR($N67+VLOOKUP($L67,'Voyage days'!$F$807:$H$878,3,FALSE),"")</f>
        <v/>
      </c>
      <c r="BM67" s="95" t="str">
        <f>IFERROR($N67+VLOOKUP($L67,'Voyage days'!$F$807:$K$878,6,FALSE),"")</f>
        <v/>
      </c>
      <c r="BN67" s="94" t="str">
        <f>IF(L67="loads AG", IFERROR($M67+VLOOKUP($L67,'Voyage days'!$M$38:$O$38,3,FALSE),""),"")</f>
        <v/>
      </c>
      <c r="BO67" s="94">
        <f>IF(L67="loads USG", IFERROR($M67+VLOOKUP($L67,'Voyage days'!$L$203:$N$203,3,FALSE),""),"")</f>
        <v>46192</v>
      </c>
    </row>
    <row r="68" spans="1:67" ht="15.75" customHeight="1" x14ac:dyDescent="0.25">
      <c r="A68" s="295" t="s">
        <v>628</v>
      </c>
      <c r="B68" s="176">
        <v>42985</v>
      </c>
      <c r="C68" s="134">
        <v>78700</v>
      </c>
      <c r="D68" s="143" t="s">
        <v>651</v>
      </c>
      <c r="E68" s="143"/>
      <c r="F68" s="136"/>
      <c r="G68" s="136"/>
      <c r="H68" s="136"/>
      <c r="I68" s="177" t="s">
        <v>881</v>
      </c>
      <c r="J68" s="138" t="str">
        <f t="shared" si="20"/>
        <v/>
      </c>
      <c r="K68" s="139"/>
      <c r="L68" s="247" t="s">
        <v>718</v>
      </c>
      <c r="M68" s="141">
        <v>46136</v>
      </c>
      <c r="N68" s="141">
        <v>46137</v>
      </c>
      <c r="O68" s="226"/>
      <c r="P68" s="136" t="s">
        <v>829</v>
      </c>
      <c r="Q68" s="296"/>
      <c r="R68" s="297" t="s">
        <v>887</v>
      </c>
      <c r="S68" s="120" t="s">
        <v>724</v>
      </c>
      <c r="T68" s="144">
        <v>46132</v>
      </c>
      <c r="U68" s="145" t="str">
        <f>IF(V68="","No AIS",VLOOKUP(V68,'Voyage days'!$A$3:$B$1480,2,FALSE))</f>
        <v>USG</v>
      </c>
      <c r="V68" s="146" t="str">
        <f>IF(VLOOKUP(A68,'1) Kpler'!$E$2:$P$1000,8, FALSE)="","",VLOOKUP(A68,'1) Kpler'!$E$2:$P$1000,8, FALSE))</f>
        <v>Houston</v>
      </c>
      <c r="W68" s="147">
        <f>IF(VLOOKUP(A68,'1) Kpler'!$E$2:$P$1000,9,FALSE)="","",VLOOKUP(A68,'1) Kpler'!$E$2:$P$1000,9,FALSE))</f>
        <v>46132.958333333336</v>
      </c>
      <c r="X68" s="146" t="str">
        <f>VLOOKUP(A68,'1) Kpler'!$E$2:$I$1000,4,FALSE)</f>
        <v>open</v>
      </c>
      <c r="Y68" s="148" t="str">
        <f t="shared" si="0"/>
        <v/>
      </c>
      <c r="Z68" s="148" t="str">
        <f t="shared" si="1"/>
        <v>24-25 Apr</v>
      </c>
      <c r="AA68" s="148" t="str">
        <f t="shared" si="2"/>
        <v>24-25 Apr</v>
      </c>
      <c r="AB68" s="148" t="str">
        <f t="shared" si="3"/>
        <v/>
      </c>
      <c r="AC68" s="148" t="str">
        <f t="shared" si="4"/>
        <v>14-15 May</v>
      </c>
      <c r="AD68" s="148" t="str">
        <f t="shared" si="5"/>
        <v/>
      </c>
      <c r="AE68" s="149" t="str">
        <f t="shared" si="6"/>
        <v/>
      </c>
      <c r="AF68" s="150" t="str">
        <f t="shared" si="7"/>
        <v/>
      </c>
      <c r="AG68" s="93" t="str">
        <f t="shared" si="8"/>
        <v/>
      </c>
      <c r="AH68" s="94" t="str">
        <f>IFERROR($M68+VLOOKUP($L68,'Voyage days'!$F$38:$H$89,3,FALSE),"")</f>
        <v/>
      </c>
      <c r="AI68" s="94" t="str">
        <f>IFERROR(N68+VLOOKUP($L68,'Voyage days'!$F$38:$H$89,3,FALSE),"")</f>
        <v/>
      </c>
      <c r="AJ68" s="93" t="str">
        <f t="shared" si="9"/>
        <v>24-25 Apr</v>
      </c>
      <c r="AK68" s="94">
        <f>IFERROR($M68+VLOOKUP($L68,'Voyage days'!$F$94:$H$193,3,FALSE),"")</f>
        <v>46136</v>
      </c>
      <c r="AL68" s="94">
        <f>IFERROR($N68+VLOOKUP($L68,'Voyage days'!$F$94:$H$193,3,FALSE),"")</f>
        <v>46137</v>
      </c>
      <c r="AM68" s="93" t="str">
        <f t="shared" si="10"/>
        <v>24-25 Apr</v>
      </c>
      <c r="AN68" s="94">
        <f>IFERROR($M68+VLOOKUP($L68,'Voyage days'!$F$203:$H$256,3,FALSE),"")</f>
        <v>46136</v>
      </c>
      <c r="AO68" s="94">
        <f>IFERROR($N68+VLOOKUP($L68,'Voyage days'!$F$203:$H$256,3,FALSE),"")</f>
        <v>46137</v>
      </c>
      <c r="AP68" s="93" t="str">
        <f t="shared" si="11"/>
        <v/>
      </c>
      <c r="AQ68" s="94" t="str">
        <f>IFERROR($M68+VLOOKUP($L68,'Voyage days'!$F$294:$H$377,3,FALSE),"")</f>
        <v/>
      </c>
      <c r="AR68" s="94" t="str">
        <f>IFERROR($N68+VLOOKUP($L68,'Voyage days'!$F$294:$H$377,3,FALSE),"")</f>
        <v/>
      </c>
      <c r="AS68" s="93" t="str">
        <f t="shared" si="12"/>
        <v>14-15 May</v>
      </c>
      <c r="AT68" s="94">
        <f>IFERROR($M68+VLOOKUP($L68,'Voyage days'!$F$382:$H$446,3,FALSE),"")</f>
        <v>46156</v>
      </c>
      <c r="AU68" s="94">
        <f>IFERROR($N68+VLOOKUP($L68,'Voyage days'!$F$382:$H$446,3,FALSE),"")</f>
        <v>46157</v>
      </c>
      <c r="AV68" s="93" t="str">
        <f t="shared" si="13"/>
        <v/>
      </c>
      <c r="AW68" s="94" t="str">
        <f>IFERROR($M68+VLOOKUP($L68,'Voyage days'!$F$483:$H$538,3,FALSE),"")</f>
        <v/>
      </c>
      <c r="AX68" s="94" t="str">
        <f>IFERROR($N68+VLOOKUP($L68,'Voyage days'!$F$483:$H$538,3,FALSE),"")</f>
        <v/>
      </c>
      <c r="AY68" s="93" t="str">
        <f t="shared" si="14"/>
        <v/>
      </c>
      <c r="AZ68" s="94" t="str">
        <f>IFERROR($M68+VLOOKUP($L68,'Voyage days'!$F$540:$H$613,3,FALSE),"")</f>
        <v/>
      </c>
      <c r="BA68" s="94" t="str">
        <f>IFERROR($N68+VLOOKUP($L68,'Voyage days'!$F$540:$H$613,3,FALSE),"")</f>
        <v/>
      </c>
      <c r="BB68" s="93" t="str">
        <f t="shared" si="15"/>
        <v/>
      </c>
      <c r="BC68" s="94" t="str">
        <f>IFERROR($M68+VLOOKUP($L68,'Voyage days'!$F$448:$H$479,3,FALSE),"")</f>
        <v/>
      </c>
      <c r="BD68" s="94" t="str">
        <f>IFERROR($N68+VLOOKUP($L68,'Voyage days'!$F$448:$H$479,3,FALSE),"")</f>
        <v/>
      </c>
      <c r="BE68" s="93" t="str">
        <f t="shared" si="16"/>
        <v/>
      </c>
      <c r="BF68" s="95" t="str">
        <f>IFERROR($M68+VLOOKUP($L68,'Voyage days'!$F$620:$H$646,3,FALSE),"")</f>
        <v/>
      </c>
      <c r="BG68" s="95" t="str">
        <f>IFERROR($N68+VLOOKUP($L68,'Voyage days'!$F$620:$H$646,3,FALSE),"")</f>
        <v/>
      </c>
      <c r="BH68" s="93" t="str">
        <f t="shared" si="17"/>
        <v/>
      </c>
      <c r="BI68" s="96" t="str">
        <f>IFERROR($M68+VLOOKUP($L68,'Voyage days'!$F$702:$H$727,3,FALSE),"")</f>
        <v/>
      </c>
      <c r="BJ68" s="93" t="str">
        <f t="shared" si="18"/>
        <v/>
      </c>
      <c r="BK68" s="95" t="str">
        <f>IFERROR($M68+VLOOKUP($L68,'Voyage days'!$F$807:$H$878,3,FALSE),"")</f>
        <v/>
      </c>
      <c r="BL68" s="95" t="str">
        <f>IFERROR($N68+VLOOKUP($L68,'Voyage days'!$F$807:$H$878,3,FALSE),"")</f>
        <v/>
      </c>
      <c r="BM68" s="95" t="str">
        <f>IFERROR($N68+VLOOKUP($L68,'Voyage days'!$F$807:$K$878,6,FALSE),"")</f>
        <v/>
      </c>
      <c r="BN68" s="94" t="str">
        <f>IF(L68="loads AG", IFERROR($M68+VLOOKUP($L68,'Voyage days'!$M$38:$O$38,3,FALSE),""),"")</f>
        <v/>
      </c>
      <c r="BO68" s="94">
        <f>IF(L68="loads USG", IFERROR($M68+VLOOKUP($L68,'Voyage days'!$L$203:$N$203,3,FALSE),""),"")</f>
        <v>46168</v>
      </c>
    </row>
    <row r="69" spans="1:67" ht="15.75" customHeight="1" x14ac:dyDescent="0.25">
      <c r="A69" s="298" t="s">
        <v>72</v>
      </c>
      <c r="B69" s="119">
        <v>2026</v>
      </c>
      <c r="C69" s="299">
        <v>87000</v>
      </c>
      <c r="D69" s="178"/>
      <c r="E69" s="178"/>
      <c r="F69" s="300"/>
      <c r="G69" s="300"/>
      <c r="H69" s="300"/>
      <c r="I69" s="301" t="s">
        <v>888</v>
      </c>
      <c r="J69" s="302"/>
      <c r="K69" s="303"/>
      <c r="L69" s="304" t="s">
        <v>725</v>
      </c>
      <c r="M69" s="83">
        <v>46145</v>
      </c>
      <c r="N69" s="83">
        <v>46146</v>
      </c>
      <c r="O69" s="305"/>
      <c r="P69" s="306" t="s">
        <v>889</v>
      </c>
      <c r="Q69" s="304"/>
      <c r="R69" s="304" t="s">
        <v>890</v>
      </c>
      <c r="S69" s="193" t="s">
        <v>724</v>
      </c>
      <c r="T69" s="232">
        <v>46132</v>
      </c>
      <c r="U69" s="87" t="str">
        <f>IF(V69="","No AIS",VLOOKUP(V69,'Voyage days'!$A$3:$B$1480,2,FALSE))</f>
        <v>East China + 4</v>
      </c>
      <c r="V69" s="87" t="str">
        <f>IF(VLOOKUP(A69,'1) Kpler'!$E$2:$P$1000,8, FALSE)="","",VLOOKUP(A69,'1) Kpler'!$E$2:$P$1000,8, FALSE))</f>
        <v>Ningbo Area</v>
      </c>
      <c r="W69" s="128">
        <f>IF(VLOOKUP(A69,'1) Kpler'!$E$2:$P$1000,9,FALSE)="","",VLOOKUP(A69,'1) Kpler'!$E$2:$P$1000,9,FALSE))</f>
        <v>46145.625</v>
      </c>
      <c r="X69" s="87" t="str">
        <f>VLOOKUP(A69,'1) Kpler'!$E$2:$I$1000,4,FALSE)</f>
        <v>ballast</v>
      </c>
      <c r="Y69" s="90" t="str">
        <f t="shared" si="0"/>
        <v/>
      </c>
      <c r="Z69" s="90" t="str">
        <f t="shared" si="1"/>
        <v>13-14 May</v>
      </c>
      <c r="AA69" s="90" t="str">
        <f t="shared" si="2"/>
        <v/>
      </c>
      <c r="AB69" s="90" t="str">
        <f t="shared" si="3"/>
        <v/>
      </c>
      <c r="AC69" s="90" t="str">
        <f t="shared" si="4"/>
        <v/>
      </c>
      <c r="AD69" s="90" t="str">
        <f t="shared" si="5"/>
        <v/>
      </c>
      <c r="AE69" s="91" t="str">
        <f t="shared" si="6"/>
        <v/>
      </c>
      <c r="AF69" s="92" t="str">
        <f t="shared" si="7"/>
        <v/>
      </c>
      <c r="AG69" s="131" t="str">
        <f t="shared" si="8"/>
        <v/>
      </c>
      <c r="AH69" s="95" t="str">
        <f>IFERROR($M69+VLOOKUP($L69,'Voyage days'!$F$38:$H$89,3,FALSE),"")</f>
        <v/>
      </c>
      <c r="AI69" s="95" t="str">
        <f>IFERROR(N69+VLOOKUP($L69,'Voyage days'!$F$38:$H$89,3,FALSE),"")</f>
        <v/>
      </c>
      <c r="AJ69" s="131" t="str">
        <f t="shared" si="9"/>
        <v>13-14 May</v>
      </c>
      <c r="AK69" s="95">
        <f>IFERROR($M69+VLOOKUP($L69,'Voyage days'!$F$94:$H$193,3,FALSE),"")</f>
        <v>46155</v>
      </c>
      <c r="AL69" s="95">
        <f>IFERROR($N69+VLOOKUP($L69,'Voyage days'!$F$94:$H$193,3,FALSE),"")</f>
        <v>46156</v>
      </c>
      <c r="AM69" s="131" t="str">
        <f t="shared" si="10"/>
        <v/>
      </c>
      <c r="AN69" s="95" t="str">
        <f>IFERROR($M69+VLOOKUP($L69,'Voyage days'!$F$203:$H$256,3,FALSE),"")</f>
        <v/>
      </c>
      <c r="AO69" s="95" t="str">
        <f>IFERROR($N69+VLOOKUP($L69,'Voyage days'!$F$203:$H$256,3,FALSE),"")</f>
        <v/>
      </c>
      <c r="AP69" s="131" t="str">
        <f t="shared" si="11"/>
        <v/>
      </c>
      <c r="AQ69" s="95" t="str">
        <f>IFERROR($M69+VLOOKUP($L69,'Voyage days'!$F$294:$H$377,3,FALSE),"")</f>
        <v/>
      </c>
      <c r="AR69" s="95" t="str">
        <f>IFERROR($N69+VLOOKUP($L69,'Voyage days'!$F$294:$H$377,3,FALSE),"")</f>
        <v/>
      </c>
      <c r="AS69" s="131" t="str">
        <f t="shared" si="12"/>
        <v/>
      </c>
      <c r="AT69" s="95" t="str">
        <f>IFERROR($M69+VLOOKUP($L69,'Voyage days'!$F$382:$H$446,3,FALSE),"")</f>
        <v/>
      </c>
      <c r="AU69" s="95" t="str">
        <f>IFERROR($N69+VLOOKUP($L69,'Voyage days'!$F$382:$H$446,3,FALSE),"")</f>
        <v/>
      </c>
      <c r="AV69" s="131" t="str">
        <f t="shared" si="13"/>
        <v/>
      </c>
      <c r="AW69" s="95" t="str">
        <f>IFERROR($M69+VLOOKUP($L69,'Voyage days'!$F$483:$H$538,3,FALSE),"")</f>
        <v/>
      </c>
      <c r="AX69" s="95" t="str">
        <f>IFERROR($N69+VLOOKUP($L69,'Voyage days'!$F$483:$H$538,3,FALSE),"")</f>
        <v/>
      </c>
      <c r="AY69" s="131" t="str">
        <f t="shared" si="14"/>
        <v/>
      </c>
      <c r="AZ69" s="95" t="str">
        <f>IFERROR($M69+VLOOKUP($L69,'Voyage days'!$F$540:$H$613,3,FALSE),"")</f>
        <v/>
      </c>
      <c r="BA69" s="95" t="str">
        <f>IFERROR($N69+VLOOKUP($L69,'Voyage days'!$F$540:$H$613,3,FALSE),"")</f>
        <v/>
      </c>
      <c r="BB69" s="131" t="str">
        <f t="shared" si="15"/>
        <v/>
      </c>
      <c r="BC69" s="94" t="str">
        <f>IFERROR($M69+VLOOKUP($L69,'Voyage days'!$F$448:$H$479,3,FALSE),"")</f>
        <v/>
      </c>
      <c r="BD69" s="94" t="str">
        <f>IFERROR($N69+VLOOKUP($L69,'Voyage days'!$F$448:$H$479,3,FALSE),"")</f>
        <v/>
      </c>
      <c r="BE69" s="131" t="str">
        <f t="shared" si="16"/>
        <v/>
      </c>
      <c r="BF69" s="95" t="str">
        <f>IFERROR($M69+VLOOKUP($L69,'Voyage days'!$F$620:$H$646,3,FALSE),"")</f>
        <v/>
      </c>
      <c r="BG69" s="95" t="str">
        <f>IFERROR($N69+VLOOKUP($L69,'Voyage days'!$F$620:$H$646,3,FALSE),"")</f>
        <v/>
      </c>
      <c r="BH69" s="131" t="str">
        <f t="shared" si="17"/>
        <v/>
      </c>
      <c r="BI69" s="96" t="str">
        <f>IFERROR($M69+VLOOKUP($L69,'Voyage days'!$F$702:$H$727,3,FALSE),"")</f>
        <v/>
      </c>
      <c r="BJ69" s="131" t="str">
        <f t="shared" si="18"/>
        <v/>
      </c>
      <c r="BK69" s="95" t="str">
        <f>IFERROR($M69+VLOOKUP($L69,'Voyage days'!$F$807:$H$878,3,FALSE),"")</f>
        <v/>
      </c>
      <c r="BL69" s="95" t="str">
        <f>IFERROR($N69+VLOOKUP($L69,'Voyage days'!$F$807:$H$878,3,FALSE),"")</f>
        <v/>
      </c>
      <c r="BM69" s="95" t="str">
        <f>IFERROR($N69+VLOOKUP($L69,'Voyage days'!$F$807:$K$878,6,FALSE),"")</f>
        <v/>
      </c>
      <c r="BN69" s="94" t="str">
        <f>IF(L69="loads AG", IFERROR($M69+VLOOKUP($L69,'Voyage days'!$M$38:$O$38,3,FALSE),""),"")</f>
        <v/>
      </c>
      <c r="BO69" s="94" t="str">
        <f>IF(L69="loads USG", IFERROR($M69+VLOOKUP($L69,'Voyage days'!$L$203:$N$203,3,FALSE),""),"")</f>
        <v/>
      </c>
    </row>
    <row r="70" spans="1:67" ht="15.75" customHeight="1" x14ac:dyDescent="0.25">
      <c r="A70" s="263" t="s">
        <v>374</v>
      </c>
      <c r="B70" s="119">
        <v>2025</v>
      </c>
      <c r="C70" s="151">
        <v>87000</v>
      </c>
      <c r="D70" s="77" t="s">
        <v>651</v>
      </c>
      <c r="E70" s="77"/>
      <c r="F70" s="300"/>
      <c r="G70" s="300"/>
      <c r="H70" s="300"/>
      <c r="I70" s="301" t="s">
        <v>888</v>
      </c>
      <c r="J70" s="80"/>
      <c r="K70" s="81"/>
      <c r="L70" s="82" t="s">
        <v>718</v>
      </c>
      <c r="M70" s="83">
        <v>46136</v>
      </c>
      <c r="N70" s="83">
        <v>46138</v>
      </c>
      <c r="O70" s="84"/>
      <c r="P70" s="82" t="s">
        <v>829</v>
      </c>
      <c r="Q70" s="85" t="s">
        <v>891</v>
      </c>
      <c r="R70" s="85" t="s">
        <v>892</v>
      </c>
      <c r="S70" s="77" t="s">
        <v>724</v>
      </c>
      <c r="T70" s="232">
        <v>46132</v>
      </c>
      <c r="U70" s="87" t="str">
        <f>IF(V70="","No AIS",VLOOKUP(V70,'Voyage days'!$A$3:$B$1480,2,FALSE))</f>
        <v>USG</v>
      </c>
      <c r="V70" s="87" t="str">
        <f>IF(VLOOKUP(A70,'1) Kpler'!$E$2:$P$1000,8, FALSE)="","",VLOOKUP(A70,'1) Kpler'!$E$2:$P$1000,8, FALSE))</f>
        <v>Houston</v>
      </c>
      <c r="W70" s="128">
        <f>IF(VLOOKUP(A70,'1) Kpler'!$E$2:$P$1000,9,FALSE)="","",VLOOKUP(A70,'1) Kpler'!$E$2:$P$1000,9,FALSE))</f>
        <v>46136.209027777775</v>
      </c>
      <c r="X70" s="87" t="str">
        <f>VLOOKUP(A70,'1) Kpler'!$E$2:$I$1000,4,FALSE)</f>
        <v>ballast</v>
      </c>
      <c r="Y70" s="90" t="str">
        <f t="shared" si="0"/>
        <v/>
      </c>
      <c r="Z70" s="90" t="str">
        <f t="shared" si="1"/>
        <v>24-26 Apr</v>
      </c>
      <c r="AA70" s="90" t="str">
        <f t="shared" si="2"/>
        <v>24-26 Apr</v>
      </c>
      <c r="AB70" s="90" t="str">
        <f t="shared" si="3"/>
        <v/>
      </c>
      <c r="AC70" s="90" t="str">
        <f t="shared" si="4"/>
        <v>14-16 May</v>
      </c>
      <c r="AD70" s="90" t="str">
        <f t="shared" si="5"/>
        <v/>
      </c>
      <c r="AE70" s="91" t="str">
        <f t="shared" si="6"/>
        <v/>
      </c>
      <c r="AF70" s="92" t="str">
        <f t="shared" si="7"/>
        <v/>
      </c>
      <c r="AG70" s="131" t="str">
        <f t="shared" si="8"/>
        <v/>
      </c>
      <c r="AH70" s="95" t="str">
        <f>IFERROR($M70+VLOOKUP($L70,'Voyage days'!$F$38:$H$89,3,FALSE),"")</f>
        <v/>
      </c>
      <c r="AI70" s="95" t="str">
        <f>IFERROR(N70+VLOOKUP($L70,'Voyage days'!$F$38:$H$89,3,FALSE),"")</f>
        <v/>
      </c>
      <c r="AJ70" s="131" t="str">
        <f t="shared" si="9"/>
        <v>24-26 Apr</v>
      </c>
      <c r="AK70" s="95">
        <f>IFERROR($M70+VLOOKUP($L70,'Voyage days'!$F$94:$H$193,3,FALSE),"")</f>
        <v>46136</v>
      </c>
      <c r="AL70" s="95">
        <f>IFERROR($N70+VLOOKUP($L70,'Voyage days'!$F$94:$H$193,3,FALSE),"")</f>
        <v>46138</v>
      </c>
      <c r="AM70" s="131" t="str">
        <f t="shared" si="10"/>
        <v>24-26 Apr</v>
      </c>
      <c r="AN70" s="95">
        <f>IFERROR($M70+VLOOKUP($L70,'Voyage days'!$F$203:$H$256,3,FALSE),"")</f>
        <v>46136</v>
      </c>
      <c r="AO70" s="95">
        <f>IFERROR($N70+VLOOKUP($L70,'Voyage days'!$F$203:$H$256,3,FALSE),"")</f>
        <v>46138</v>
      </c>
      <c r="AP70" s="131" t="str">
        <f t="shared" si="11"/>
        <v/>
      </c>
      <c r="AQ70" s="95" t="str">
        <f>IFERROR($M70+VLOOKUP($L70,'Voyage days'!$F$294:$H$377,3,FALSE),"")</f>
        <v/>
      </c>
      <c r="AR70" s="95" t="str">
        <f>IFERROR($N70+VLOOKUP($L70,'Voyage days'!$F$294:$H$377,3,FALSE),"")</f>
        <v/>
      </c>
      <c r="AS70" s="131" t="str">
        <f t="shared" si="12"/>
        <v>14-16 May</v>
      </c>
      <c r="AT70" s="95">
        <f>IFERROR($M70+VLOOKUP($L70,'Voyage days'!$F$382:$H$446,3,FALSE),"")</f>
        <v>46156</v>
      </c>
      <c r="AU70" s="95">
        <f>IFERROR($N70+VLOOKUP($L70,'Voyage days'!$F$382:$H$446,3,FALSE),"")</f>
        <v>46158</v>
      </c>
      <c r="AV70" s="131" t="str">
        <f t="shared" si="13"/>
        <v/>
      </c>
      <c r="AW70" s="95" t="str">
        <f>IFERROR($M70+VLOOKUP($L70,'Voyage days'!$F$483:$H$538,3,FALSE),"")</f>
        <v/>
      </c>
      <c r="AX70" s="95" t="str">
        <f>IFERROR($N70+VLOOKUP($L70,'Voyage days'!$F$483:$H$538,3,FALSE),"")</f>
        <v/>
      </c>
      <c r="AY70" s="131" t="str">
        <f t="shared" si="14"/>
        <v/>
      </c>
      <c r="AZ70" s="95" t="str">
        <f>IFERROR($M70+VLOOKUP($L70,'Voyage days'!$F$540:$H$613,3,FALSE),"")</f>
        <v/>
      </c>
      <c r="BA70" s="95" t="str">
        <f>IFERROR($N70+VLOOKUP($L70,'Voyage days'!$F$540:$H$613,3,FALSE),"")</f>
        <v/>
      </c>
      <c r="BB70" s="131" t="str">
        <f t="shared" si="15"/>
        <v/>
      </c>
      <c r="BC70" s="94" t="str">
        <f>IFERROR($M70+VLOOKUP($L70,'Voyage days'!$F$448:$H$479,3,FALSE),"")</f>
        <v/>
      </c>
      <c r="BD70" s="94" t="str">
        <f>IFERROR($N70+VLOOKUP($L70,'Voyage days'!$F$448:$H$479,3,FALSE),"")</f>
        <v/>
      </c>
      <c r="BE70" s="131" t="str">
        <f t="shared" si="16"/>
        <v/>
      </c>
      <c r="BF70" s="95" t="str">
        <f>IFERROR($M70+VLOOKUP($L70,'Voyage days'!$F$620:$H$646,3,FALSE),"")</f>
        <v/>
      </c>
      <c r="BG70" s="95" t="str">
        <f>IFERROR($N70+VLOOKUP($L70,'Voyage days'!$F$620:$H$646,3,FALSE),"")</f>
        <v/>
      </c>
      <c r="BH70" s="131" t="str">
        <f t="shared" si="17"/>
        <v/>
      </c>
      <c r="BI70" s="96" t="str">
        <f>IFERROR($M70+VLOOKUP($L70,'Voyage days'!$F$702:$H$727,3,FALSE),"")</f>
        <v/>
      </c>
      <c r="BJ70" s="131" t="str">
        <f t="shared" si="18"/>
        <v/>
      </c>
      <c r="BK70" s="95" t="str">
        <f>IFERROR($M70+VLOOKUP($L70,'Voyage days'!$F$807:$H$878,3,FALSE),"")</f>
        <v/>
      </c>
      <c r="BL70" s="95" t="str">
        <f>IFERROR($N70+VLOOKUP($L70,'Voyage days'!$F$807:$H$878,3,FALSE),"")</f>
        <v/>
      </c>
      <c r="BM70" s="95" t="str">
        <f>IFERROR($N70+VLOOKUP($L70,'Voyage days'!$F$807:$K$878,6,FALSE),"")</f>
        <v/>
      </c>
      <c r="BN70" s="94" t="str">
        <f>IF(L70="loads AG", IFERROR($M70+VLOOKUP($L70,'Voyage days'!$M$38:$O$38,3,FALSE),""),"")</f>
        <v/>
      </c>
      <c r="BO70" s="94">
        <f>IF(L70="loads USG", IFERROR($M70+VLOOKUP($L70,'Voyage days'!$L$203:$N$203,3,FALSE),""),"")</f>
        <v>46168</v>
      </c>
    </row>
    <row r="71" spans="1:67" ht="15.75" customHeight="1" x14ac:dyDescent="0.25">
      <c r="A71" s="263" t="s">
        <v>375</v>
      </c>
      <c r="B71" s="119">
        <v>2020</v>
      </c>
      <c r="C71" s="76">
        <v>80000</v>
      </c>
      <c r="D71" s="77" t="s">
        <v>651</v>
      </c>
      <c r="E71" s="120"/>
      <c r="F71" s="121"/>
      <c r="G71" s="121"/>
      <c r="H71" s="121" t="s">
        <v>739</v>
      </c>
      <c r="I71" s="260" t="s">
        <v>888</v>
      </c>
      <c r="J71" s="122" t="str">
        <f t="shared" ref="J71:J111" si="21">IF(W71="","NO AIS",IF((W71-M71-1)&gt;0,"Update",""))</f>
        <v>NO AIS</v>
      </c>
      <c r="K71" s="81"/>
      <c r="L71" s="82" t="s">
        <v>790</v>
      </c>
      <c r="M71" s="83">
        <v>46135</v>
      </c>
      <c r="N71" s="83">
        <v>46136</v>
      </c>
      <c r="O71" s="126" t="s">
        <v>790</v>
      </c>
      <c r="P71" s="82" t="s">
        <v>893</v>
      </c>
      <c r="Q71" s="85"/>
      <c r="R71" s="82" t="s">
        <v>894</v>
      </c>
      <c r="S71" s="77" t="s">
        <v>724</v>
      </c>
      <c r="T71" s="232">
        <v>46132</v>
      </c>
      <c r="U71" s="87" t="str">
        <f>IF(V71="","No AIS",VLOOKUP(V71,'Voyage days'!$A$3:$B$1480,2,FALSE))</f>
        <v>No AIS</v>
      </c>
      <c r="V71" s="87" t="str">
        <f>IF(VLOOKUP(A71,'1) Kpler'!$E$2:$P$1000,8, FALSE)="","",VLOOKUP(A71,'1) Kpler'!$E$2:$P$1000,8, FALSE))</f>
        <v/>
      </c>
      <c r="W71" s="128" t="str">
        <f>IF(VLOOKUP(A71,'1) Kpler'!$E$2:$P$1000,9,FALSE)="","",VLOOKUP(A71,'1) Kpler'!$E$2:$P$1000,9,FALSE))</f>
        <v/>
      </c>
      <c r="X71" s="87" t="str">
        <f>VLOOKUP(A71,'1) Kpler'!$E$2:$I$1000,4,FALSE)</f>
        <v>ballast</v>
      </c>
      <c r="Y71" s="90" t="str">
        <f t="shared" si="0"/>
        <v/>
      </c>
      <c r="Z71" s="90" t="str">
        <f t="shared" si="1"/>
        <v>07-08 May</v>
      </c>
      <c r="AA71" s="90" t="str">
        <f t="shared" si="2"/>
        <v>08-09 May</v>
      </c>
      <c r="AB71" s="90" t="str">
        <f t="shared" si="3"/>
        <v>04-05 May</v>
      </c>
      <c r="AC71" s="90" t="str">
        <f t="shared" si="4"/>
        <v>25-26 Apr</v>
      </c>
      <c r="AD71" s="90" t="str">
        <f t="shared" si="5"/>
        <v/>
      </c>
      <c r="AE71" s="91" t="str">
        <f t="shared" si="6"/>
        <v/>
      </c>
      <c r="AF71" s="92" t="str">
        <f t="shared" si="7"/>
        <v>07-08 May</v>
      </c>
      <c r="AG71" s="131" t="str">
        <f t="shared" si="8"/>
        <v/>
      </c>
      <c r="AH71" s="95" t="str">
        <f>IFERROR($M71+VLOOKUP($L71,'Voyage days'!$F$38:$H$89,3,FALSE),"")</f>
        <v/>
      </c>
      <c r="AI71" s="95" t="str">
        <f>IFERROR(N71+VLOOKUP($L71,'Voyage days'!$F$38:$H$89,3,FALSE),"")</f>
        <v/>
      </c>
      <c r="AJ71" s="131" t="str">
        <f t="shared" si="9"/>
        <v>07-08 May</v>
      </c>
      <c r="AK71" s="95">
        <f>IFERROR($M71+VLOOKUP($L71,'Voyage days'!$F$94:$H$193,3,FALSE),"")</f>
        <v>46149</v>
      </c>
      <c r="AL71" s="95">
        <f>IFERROR($N71+VLOOKUP($L71,'Voyage days'!$F$94:$H$193,3,FALSE),"")</f>
        <v>46150</v>
      </c>
      <c r="AM71" s="131" t="str">
        <f t="shared" si="10"/>
        <v>08-09 May</v>
      </c>
      <c r="AN71" s="95">
        <f>IFERROR($M71+VLOOKUP($L71,'Voyage days'!$F$203:$H$256,3,FALSE),"")</f>
        <v>46150</v>
      </c>
      <c r="AO71" s="95">
        <f>IFERROR($N71+VLOOKUP($L71,'Voyage days'!$F$203:$H$256,3,FALSE),"")</f>
        <v>46151</v>
      </c>
      <c r="AP71" s="131" t="str">
        <f t="shared" si="11"/>
        <v>04-05 May</v>
      </c>
      <c r="AQ71" s="95">
        <f>IFERROR($M71+VLOOKUP($L71,'Voyage days'!$F$294:$H$377,3,FALSE),"")</f>
        <v>46146</v>
      </c>
      <c r="AR71" s="95">
        <f>IFERROR($N71+VLOOKUP($L71,'Voyage days'!$F$294:$H$377,3,FALSE),"")</f>
        <v>46147</v>
      </c>
      <c r="AS71" s="131" t="str">
        <f t="shared" si="12"/>
        <v>25-26 Apr</v>
      </c>
      <c r="AT71" s="95">
        <f>IFERROR($M71+VLOOKUP($L71,'Voyage days'!$F$382:$H$446,3,FALSE),"")</f>
        <v>46137</v>
      </c>
      <c r="AU71" s="95">
        <f>IFERROR($N71+VLOOKUP($L71,'Voyage days'!$F$382:$H$446,3,FALSE),"")</f>
        <v>46138</v>
      </c>
      <c r="AV71" s="131" t="str">
        <f t="shared" si="13"/>
        <v/>
      </c>
      <c r="AW71" s="95" t="str">
        <f>IFERROR($M71+VLOOKUP($L71,'Voyage days'!$F$483:$H$538,3,FALSE),"")</f>
        <v/>
      </c>
      <c r="AX71" s="95" t="str">
        <f>IFERROR($N71+VLOOKUP($L71,'Voyage days'!$F$483:$H$538,3,FALSE),"")</f>
        <v/>
      </c>
      <c r="AY71" s="131" t="str">
        <f t="shared" si="14"/>
        <v/>
      </c>
      <c r="AZ71" s="95" t="str">
        <f>IFERROR($M71+VLOOKUP($L71,'Voyage days'!$F$540:$H$613,3,FALSE),"")</f>
        <v/>
      </c>
      <c r="BA71" s="95" t="str">
        <f>IFERROR($N71+VLOOKUP($L71,'Voyage days'!$F$540:$H$613,3,FALSE),"")</f>
        <v/>
      </c>
      <c r="BB71" s="131" t="str">
        <f t="shared" si="15"/>
        <v/>
      </c>
      <c r="BC71" s="94" t="str">
        <f>IFERROR($M71+VLOOKUP($L71,'Voyage days'!$F$448:$H$479,3,FALSE),"")</f>
        <v/>
      </c>
      <c r="BD71" s="94" t="str">
        <f>IFERROR($N71+VLOOKUP($L71,'Voyage days'!$F$448:$H$479,3,FALSE),"")</f>
        <v/>
      </c>
      <c r="BE71" s="131" t="str">
        <f t="shared" si="16"/>
        <v/>
      </c>
      <c r="BF71" s="95" t="str">
        <f>IFERROR($M71+VLOOKUP($L71,'Voyage days'!$F$620:$H$646,3,FALSE),"")</f>
        <v/>
      </c>
      <c r="BG71" s="95" t="str">
        <f>IFERROR($N71+VLOOKUP($L71,'Voyage days'!$F$620:$H$646,3,FALSE),"")</f>
        <v/>
      </c>
      <c r="BH71" s="131" t="str">
        <f t="shared" si="17"/>
        <v/>
      </c>
      <c r="BI71" s="96" t="str">
        <f>IFERROR($M71+VLOOKUP($L71,'Voyage days'!$F$702:$H$727,3,FALSE),"")</f>
        <v/>
      </c>
      <c r="BJ71" s="131" t="str">
        <f t="shared" si="18"/>
        <v>07-08 May</v>
      </c>
      <c r="BK71" s="95">
        <f>IFERROR($M71+VLOOKUP($L71,'Voyage days'!$F$807:$H$878,3,FALSE),"")</f>
        <v>46149</v>
      </c>
      <c r="BL71" s="95">
        <f>IFERROR($N71+VLOOKUP($L71,'Voyage days'!$F$807:$H$878,3,FALSE),"")</f>
        <v>46150</v>
      </c>
      <c r="BM71" s="95">
        <f>IFERROR($N71+VLOOKUP($L71,'Voyage days'!$F$807:$K$878,6,FALSE),"")</f>
        <v>46136</v>
      </c>
      <c r="BN71" s="94" t="str">
        <f>IF(L71="loads AG", IFERROR($M71+VLOOKUP($L71,'Voyage days'!$M$38:$O$38,3,FALSE),""),"")</f>
        <v/>
      </c>
      <c r="BO71" s="94" t="str">
        <f>IF(L71="loads USG", IFERROR($M71+VLOOKUP($L71,'Voyage days'!$L$203:$N$203,3,FALSE),""),"")</f>
        <v/>
      </c>
    </row>
    <row r="72" spans="1:67" ht="15.75" customHeight="1" x14ac:dyDescent="0.25">
      <c r="A72" s="53" t="s">
        <v>377</v>
      </c>
      <c r="B72" s="75">
        <v>42291</v>
      </c>
      <c r="C72" s="76">
        <v>84000</v>
      </c>
      <c r="D72" s="77" t="s">
        <v>651</v>
      </c>
      <c r="E72" s="77"/>
      <c r="F72" s="78"/>
      <c r="G72" s="78"/>
      <c r="H72" s="78"/>
      <c r="I72" s="260" t="s">
        <v>888</v>
      </c>
      <c r="J72" s="122" t="str">
        <f t="shared" si="21"/>
        <v/>
      </c>
      <c r="K72" s="81"/>
      <c r="L72" s="82" t="s">
        <v>810</v>
      </c>
      <c r="M72" s="262">
        <v>46153</v>
      </c>
      <c r="N72" s="83">
        <v>46154</v>
      </c>
      <c r="O72" s="84"/>
      <c r="P72" s="82" t="s">
        <v>895</v>
      </c>
      <c r="Q72" s="85"/>
      <c r="R72" s="82" t="s">
        <v>896</v>
      </c>
      <c r="S72" s="77" t="s">
        <v>724</v>
      </c>
      <c r="T72" s="232">
        <v>46132</v>
      </c>
      <c r="U72" s="87" t="str">
        <f>IF(V72="","No AIS",VLOOKUP(V72,'Voyage days'!$A$3:$B$1480,2,FALSE))</f>
        <v>WAF</v>
      </c>
      <c r="V72" s="88" t="str">
        <f>IF(VLOOKUP(A72,'1) Kpler'!$E$2:$P$1000,8, FALSE)="","",VLOOKUP(A72,'1) Kpler'!$E$2:$P$1000,8, FALSE))</f>
        <v>Escravos Offshore Terminal</v>
      </c>
      <c r="W72" s="89">
        <f>IF(VLOOKUP(A72,'1) Kpler'!$E$2:$P$1000,9,FALSE)="","",VLOOKUP(A72,'1) Kpler'!$E$2:$P$1000,9,FALSE))</f>
        <v>46153.958333333336</v>
      </c>
      <c r="X72" s="88" t="str">
        <f>VLOOKUP(A72,'1) Kpler'!$E$2:$I$1000,4,FALSE)</f>
        <v>ballast</v>
      </c>
      <c r="Y72" s="90" t="str">
        <f t="shared" si="0"/>
        <v/>
      </c>
      <c r="Z72" s="90" t="str">
        <f t="shared" si="1"/>
        <v/>
      </c>
      <c r="AA72" s="90" t="str">
        <f t="shared" si="2"/>
        <v/>
      </c>
      <c r="AB72" s="90" t="str">
        <f t="shared" si="3"/>
        <v>11-12 May</v>
      </c>
      <c r="AC72" s="90" t="str">
        <f t="shared" si="4"/>
        <v/>
      </c>
      <c r="AD72" s="90" t="str">
        <f t="shared" si="5"/>
        <v/>
      </c>
      <c r="AE72" s="91" t="str">
        <f t="shared" si="6"/>
        <v/>
      </c>
      <c r="AF72" s="92" t="str">
        <f t="shared" si="7"/>
        <v/>
      </c>
      <c r="AG72" s="131" t="str">
        <f t="shared" si="8"/>
        <v/>
      </c>
      <c r="AH72" s="95" t="str">
        <f>IFERROR($M72+VLOOKUP($L72,'Voyage days'!$F$38:$H$89,3,FALSE),"")</f>
        <v/>
      </c>
      <c r="AI72" s="95" t="str">
        <f>IFERROR(N72+VLOOKUP($L72,'Voyage days'!$F$38:$H$89,3,FALSE),"")</f>
        <v/>
      </c>
      <c r="AJ72" s="93" t="str">
        <f t="shared" si="9"/>
        <v/>
      </c>
      <c r="AK72" s="94" t="str">
        <f>IFERROR($M72+VLOOKUP($L72,'Voyage days'!$F$94:$H$193,3,FALSE),"")</f>
        <v/>
      </c>
      <c r="AL72" s="94" t="str">
        <f>IFERROR($N72+VLOOKUP($L72,'Voyage days'!$F$94:$H$193,3,FALSE),"")</f>
        <v/>
      </c>
      <c r="AM72" s="93" t="str">
        <f t="shared" si="10"/>
        <v/>
      </c>
      <c r="AN72" s="94" t="str">
        <f>IFERROR($M72+VLOOKUP($L72,'Voyage days'!$F$203:$H$256,3,FALSE),"")</f>
        <v/>
      </c>
      <c r="AO72" s="94" t="str">
        <f>IFERROR($N72+VLOOKUP($L72,'Voyage days'!$F$203:$H$256,3,FALSE),"")</f>
        <v/>
      </c>
      <c r="AP72" s="93" t="str">
        <f t="shared" si="11"/>
        <v>11-12 May</v>
      </c>
      <c r="AQ72" s="94">
        <f>IFERROR($M72+VLOOKUP($L72,'Voyage days'!$F$294:$H$377,3,FALSE),"")</f>
        <v>46153</v>
      </c>
      <c r="AR72" s="94">
        <f>IFERROR($N72+VLOOKUP($L72,'Voyage days'!$F$294:$H$377,3,FALSE),"")</f>
        <v>46154</v>
      </c>
      <c r="AS72" s="93" t="str">
        <f t="shared" si="12"/>
        <v/>
      </c>
      <c r="AT72" s="94" t="str">
        <f>IFERROR($M72+VLOOKUP($L72,'Voyage days'!$F$382:$H$446,3,FALSE),"")</f>
        <v/>
      </c>
      <c r="AU72" s="94" t="str">
        <f>IFERROR($N72+VLOOKUP($L72,'Voyage days'!$F$382:$H$446,3,FALSE),"")</f>
        <v/>
      </c>
      <c r="AV72" s="93" t="str">
        <f t="shared" si="13"/>
        <v/>
      </c>
      <c r="AW72" s="94" t="str">
        <f>IFERROR($M72+VLOOKUP($L72,'Voyage days'!$F$483:$H$538,3,FALSE),"")</f>
        <v/>
      </c>
      <c r="AX72" s="94" t="str">
        <f>IFERROR($N72+VLOOKUP($L72,'Voyage days'!$F$483:$H$538,3,FALSE),"")</f>
        <v/>
      </c>
      <c r="AY72" s="93" t="str">
        <f t="shared" si="14"/>
        <v/>
      </c>
      <c r="AZ72" s="94" t="str">
        <f>IFERROR($M72+VLOOKUP($L72,'Voyage days'!$F$540:$H$613,3,FALSE),"")</f>
        <v/>
      </c>
      <c r="BA72" s="94" t="str">
        <f>IFERROR($N72+VLOOKUP($L72,'Voyage days'!$F$540:$H$613,3,FALSE),"")</f>
        <v/>
      </c>
      <c r="BB72" s="93" t="str">
        <f t="shared" si="15"/>
        <v/>
      </c>
      <c r="BC72" s="94" t="str">
        <f>IFERROR($M72+VLOOKUP($L72,'Voyage days'!$F$448:$H$479,3,FALSE),"")</f>
        <v/>
      </c>
      <c r="BD72" s="94" t="str">
        <f>IFERROR($N72+VLOOKUP($L72,'Voyage days'!$F$448:$H$479,3,FALSE),"")</f>
        <v/>
      </c>
      <c r="BE72" s="93" t="str">
        <f t="shared" si="16"/>
        <v/>
      </c>
      <c r="BF72" s="95" t="str">
        <f>IFERROR($M72+VLOOKUP($L72,'Voyage days'!$F$620:$H$646,3,FALSE),"")</f>
        <v/>
      </c>
      <c r="BG72" s="95" t="str">
        <f>IFERROR($N72+VLOOKUP($L72,'Voyage days'!$F$620:$H$646,3,FALSE),"")</f>
        <v/>
      </c>
      <c r="BH72" s="93" t="str">
        <f t="shared" si="17"/>
        <v/>
      </c>
      <c r="BI72" s="96" t="str">
        <f>IFERROR($M72+VLOOKUP($L72,'Voyage days'!$F$702:$H$727,3,FALSE),"")</f>
        <v/>
      </c>
      <c r="BJ72" s="93" t="str">
        <f t="shared" si="18"/>
        <v/>
      </c>
      <c r="BK72" s="95" t="str">
        <f>IFERROR($M72+VLOOKUP($L72,'Voyage days'!$F$807:$H$878,3,FALSE),"")</f>
        <v/>
      </c>
      <c r="BL72" s="95" t="str">
        <f>IFERROR($N72+VLOOKUP($L72,'Voyage days'!$F$807:$H$878,3,FALSE),"")</f>
        <v/>
      </c>
      <c r="BM72" s="95" t="str">
        <f>IFERROR($N72+VLOOKUP($L72,'Voyage days'!$F$807:$K$878,6,FALSE),"")</f>
        <v/>
      </c>
      <c r="BN72" s="94" t="str">
        <f>IF(L72="loads AG", IFERROR($M72+VLOOKUP($L72,'Voyage days'!$M$38:$O$38,3,FALSE),""),"")</f>
        <v/>
      </c>
      <c r="BO72" s="94" t="str">
        <f>IF(L72="loads USG", IFERROR($M72+VLOOKUP($L72,'Voyage days'!$L$203:$N$203,3,FALSE),""),"")</f>
        <v/>
      </c>
    </row>
    <row r="73" spans="1:67" x14ac:dyDescent="0.25">
      <c r="A73" s="263" t="s">
        <v>380</v>
      </c>
      <c r="B73" s="119">
        <v>2025</v>
      </c>
      <c r="C73" s="76">
        <v>88000</v>
      </c>
      <c r="D73" s="77"/>
      <c r="E73" s="77"/>
      <c r="F73" s="78"/>
      <c r="G73" s="78"/>
      <c r="H73" s="78"/>
      <c r="I73" s="260" t="s">
        <v>888</v>
      </c>
      <c r="J73" s="122" t="str">
        <f t="shared" si="21"/>
        <v/>
      </c>
      <c r="K73" s="81"/>
      <c r="L73" s="82" t="s">
        <v>718</v>
      </c>
      <c r="M73" s="125">
        <v>46132</v>
      </c>
      <c r="N73" s="307">
        <v>46133</v>
      </c>
      <c r="O73" s="84"/>
      <c r="P73" s="82" t="s">
        <v>897</v>
      </c>
      <c r="Q73" s="85"/>
      <c r="R73" s="82" t="s">
        <v>898</v>
      </c>
      <c r="S73" s="77" t="s">
        <v>724</v>
      </c>
      <c r="T73" s="232">
        <v>46132</v>
      </c>
      <c r="U73" s="87" t="str">
        <f>IF(V73="","No AIS",VLOOKUP(V73,'Voyage days'!$A$3:$B$1480,2,FALSE))</f>
        <v>USG</v>
      </c>
      <c r="V73" s="88" t="str">
        <f>IF(VLOOKUP(A73,'1) Kpler'!$E$2:$P$1000,8, FALSE)="","",VLOOKUP(A73,'1) Kpler'!$E$2:$P$1000,8, FALSE))</f>
        <v>Houston</v>
      </c>
      <c r="W73" s="89">
        <f>IF(VLOOKUP(A73,'1) Kpler'!$E$2:$P$1000,9,FALSE)="","",VLOOKUP(A73,'1) Kpler'!$E$2:$P$1000,9,FALSE))</f>
        <v>46132.486805555556</v>
      </c>
      <c r="X73" s="88" t="str">
        <f>VLOOKUP(A73,'1) Kpler'!$E$2:$I$1000,4,FALSE)</f>
        <v>ballast</v>
      </c>
      <c r="Y73" s="90" t="str">
        <f t="shared" si="0"/>
        <v/>
      </c>
      <c r="Z73" s="90" t="str">
        <f t="shared" si="1"/>
        <v/>
      </c>
      <c r="AA73" s="90" t="str">
        <f t="shared" si="2"/>
        <v/>
      </c>
      <c r="AB73" s="90" t="str">
        <f t="shared" si="3"/>
        <v/>
      </c>
      <c r="AC73" s="90" t="str">
        <f t="shared" si="4"/>
        <v/>
      </c>
      <c r="AD73" s="90" t="str">
        <f t="shared" si="5"/>
        <v/>
      </c>
      <c r="AE73" s="91" t="str">
        <f t="shared" si="6"/>
        <v/>
      </c>
      <c r="AF73" s="92" t="str">
        <f t="shared" si="7"/>
        <v/>
      </c>
      <c r="AG73" s="131" t="str">
        <f t="shared" si="8"/>
        <v/>
      </c>
      <c r="AH73" s="95" t="str">
        <f>IFERROR(#REF!+VLOOKUP($L73,'Voyage days'!$F$38:$H$89,3,FALSE),"")</f>
        <v/>
      </c>
      <c r="AI73" s="95" t="str">
        <f>IFERROR(N73+VLOOKUP($L73,'Voyage days'!$F$38:$H$89,3,FALSE),"")</f>
        <v/>
      </c>
      <c r="AJ73" s="93" t="str">
        <f t="shared" si="9"/>
        <v/>
      </c>
      <c r="AK73" s="94" t="str">
        <f>IFERROR(#REF!+VLOOKUP($L73,'Voyage days'!$F$94:$H$193,3,FALSE),"")</f>
        <v/>
      </c>
      <c r="AL73" s="94">
        <f>IFERROR($N73+VLOOKUP($L73,'Voyage days'!$F$94:$H$193,3,FALSE),"")</f>
        <v>46133</v>
      </c>
      <c r="AM73" s="93" t="str">
        <f t="shared" si="10"/>
        <v/>
      </c>
      <c r="AN73" s="94" t="str">
        <f>IFERROR(#REF!+VLOOKUP($L73,'Voyage days'!$F$203:$H$256,3,FALSE),"")</f>
        <v/>
      </c>
      <c r="AO73" s="94">
        <f>IFERROR($N73+VLOOKUP($L73,'Voyage days'!$F$203:$H$256,3,FALSE),"")</f>
        <v>46133</v>
      </c>
      <c r="AP73" s="93" t="str">
        <f t="shared" si="11"/>
        <v/>
      </c>
      <c r="AQ73" s="94" t="str">
        <f>IFERROR(#REF!+VLOOKUP($L73,'Voyage days'!$F$294:$H$377,3,FALSE),"")</f>
        <v/>
      </c>
      <c r="AR73" s="94" t="str">
        <f>IFERROR($N73+VLOOKUP($L73,'Voyage days'!$F$294:$H$377,3,FALSE),"")</f>
        <v/>
      </c>
      <c r="AS73" s="93" t="str">
        <f t="shared" si="12"/>
        <v/>
      </c>
      <c r="AT73" s="94" t="str">
        <f>IFERROR(#REF!+VLOOKUP($L73,'Voyage days'!$F$382:$H$446,3,FALSE),"")</f>
        <v/>
      </c>
      <c r="AU73" s="94">
        <f>IFERROR($N73+VLOOKUP($L73,'Voyage days'!$F$382:$H$446,3,FALSE),"")</f>
        <v>46153</v>
      </c>
      <c r="AV73" s="93" t="str">
        <f t="shared" si="13"/>
        <v/>
      </c>
      <c r="AW73" s="94" t="str">
        <f>IFERROR(#REF!+VLOOKUP($L73,'Voyage days'!$F$483:$H$538,3,FALSE),"")</f>
        <v/>
      </c>
      <c r="AX73" s="94" t="str">
        <f>IFERROR($N73+VLOOKUP($L73,'Voyage days'!$F$483:$H$538,3,FALSE),"")</f>
        <v/>
      </c>
      <c r="AY73" s="93" t="str">
        <f t="shared" si="14"/>
        <v/>
      </c>
      <c r="AZ73" s="94" t="str">
        <f>IFERROR(#REF!+VLOOKUP($L73,'Voyage days'!$F$540:$H$613,3,FALSE),"")</f>
        <v/>
      </c>
      <c r="BA73" s="94" t="str">
        <f>IFERROR($N73+VLOOKUP($L73,'Voyage days'!$F$540:$H$613,3,FALSE),"")</f>
        <v/>
      </c>
      <c r="BB73" s="93" t="str">
        <f t="shared" si="15"/>
        <v/>
      </c>
      <c r="BC73" s="94" t="str">
        <f>IFERROR(#REF!+VLOOKUP($L73,'Voyage days'!$F$448:$H$479,3,FALSE),"")</f>
        <v/>
      </c>
      <c r="BD73" s="94" t="str">
        <f>IFERROR($N73+VLOOKUP($L73,'Voyage days'!$F$448:$H$479,3,FALSE),"")</f>
        <v/>
      </c>
      <c r="BE73" s="93" t="str">
        <f t="shared" si="16"/>
        <v/>
      </c>
      <c r="BF73" s="95" t="str">
        <f>IFERROR(#REF!+VLOOKUP($L73,'Voyage days'!$F$620:$H$646,3,FALSE),"")</f>
        <v/>
      </c>
      <c r="BG73" s="95" t="str">
        <f>IFERROR($N73+VLOOKUP($L73,'Voyage days'!$F$620:$H$646,3,FALSE),"")</f>
        <v/>
      </c>
      <c r="BH73" s="93" t="str">
        <f t="shared" si="17"/>
        <v/>
      </c>
      <c r="BI73" s="96" t="str">
        <f>IFERROR(#REF!+VLOOKUP($L73,'Voyage days'!$F$702:$H$727,3,FALSE),"")</f>
        <v/>
      </c>
      <c r="BJ73" s="93" t="str">
        <f t="shared" si="18"/>
        <v/>
      </c>
      <c r="BK73" s="95" t="str">
        <f>IFERROR(#REF!+VLOOKUP($L73,'Voyage days'!$F$807:$H$878,3,FALSE),"")</f>
        <v/>
      </c>
      <c r="BL73" s="95" t="str">
        <f>IFERROR($N73+VLOOKUP($L73,'Voyage days'!$F$807:$H$878,3,FALSE),"")</f>
        <v/>
      </c>
      <c r="BM73" s="95" t="str">
        <f>IFERROR($N73+VLOOKUP($L73,'Voyage days'!$F$807:$K$878,6,FALSE),"")</f>
        <v/>
      </c>
      <c r="BN73" s="94" t="str">
        <f>IF(L73="loads AG", IFERROR(#REF!+VLOOKUP($L73,'Voyage days'!$M$38:$O$38,3,FALSE),""),"")</f>
        <v/>
      </c>
      <c r="BO73" s="94" t="str">
        <f>IF(L73="loads USG", IFERROR(#REF!+VLOOKUP($L73,'Voyage days'!$L$203:$N$203,3,FALSE),""),"")</f>
        <v/>
      </c>
    </row>
    <row r="74" spans="1:67" x14ac:dyDescent="0.25">
      <c r="A74" s="263" t="s">
        <v>382</v>
      </c>
      <c r="B74" s="75">
        <v>42291</v>
      </c>
      <c r="C74" s="76">
        <v>80000</v>
      </c>
      <c r="D74" s="77" t="s">
        <v>651</v>
      </c>
      <c r="E74" s="77"/>
      <c r="F74" s="78"/>
      <c r="G74" s="78"/>
      <c r="H74" s="78" t="s">
        <v>739</v>
      </c>
      <c r="I74" s="260" t="s">
        <v>888</v>
      </c>
      <c r="J74" s="122" t="str">
        <f t="shared" si="21"/>
        <v/>
      </c>
      <c r="K74" s="81"/>
      <c r="L74" s="82" t="s">
        <v>718</v>
      </c>
      <c r="M74" s="125">
        <v>46172</v>
      </c>
      <c r="N74" s="125">
        <v>46173</v>
      </c>
      <c r="O74" s="84"/>
      <c r="P74" s="82" t="s">
        <v>899</v>
      </c>
      <c r="Q74" s="85"/>
      <c r="R74" s="85" t="s">
        <v>900</v>
      </c>
      <c r="S74" s="77" t="s">
        <v>724</v>
      </c>
      <c r="T74" s="232">
        <v>46132</v>
      </c>
      <c r="U74" s="87" t="str">
        <f>IF(V74="","No AIS",VLOOKUP(V74,'Voyage days'!$A$3:$B$1480,2,FALSE))</f>
        <v>USG</v>
      </c>
      <c r="V74" s="88" t="str">
        <f>IF(VLOOKUP(A74,'1) Kpler'!$E$2:$P$1000,8, FALSE)="","",VLOOKUP(A74,'1) Kpler'!$E$2:$P$1000,8, FALSE))</f>
        <v>Houston</v>
      </c>
      <c r="W74" s="89">
        <f>IF(VLOOKUP(A74,'1) Kpler'!$E$2:$P$1000,9,FALSE)="","",VLOOKUP(A74,'1) Kpler'!$E$2:$P$1000,9,FALSE))</f>
        <v>46155.041666666664</v>
      </c>
      <c r="X74" s="88" t="str">
        <f>VLOOKUP(A74,'1) Kpler'!$E$2:$I$1000,4,FALSE)</f>
        <v>ballast</v>
      </c>
      <c r="Y74" s="90" t="str">
        <f t="shared" si="0"/>
        <v/>
      </c>
      <c r="Z74" s="90" t="str">
        <f t="shared" si="1"/>
        <v>20-31 May</v>
      </c>
      <c r="AA74" s="90" t="str">
        <f t="shared" si="2"/>
        <v>20-31 May</v>
      </c>
      <c r="AB74" s="90" t="str">
        <f t="shared" si="3"/>
        <v/>
      </c>
      <c r="AC74" s="90" t="str">
        <f t="shared" si="4"/>
        <v>10-20 Jun</v>
      </c>
      <c r="AD74" s="90" t="str">
        <f t="shared" si="5"/>
        <v/>
      </c>
      <c r="AE74" s="91" t="str">
        <f t="shared" si="6"/>
        <v/>
      </c>
      <c r="AF74" s="92" t="str">
        <f t="shared" si="7"/>
        <v/>
      </c>
      <c r="AG74" s="131" t="str">
        <f t="shared" si="8"/>
        <v/>
      </c>
      <c r="AH74" s="95" t="str">
        <f>IFERROR($M73+VLOOKUP($L74,'Voyage days'!$F$38:$H$89,3,FALSE),"")</f>
        <v/>
      </c>
      <c r="AI74" s="95" t="str">
        <f>IFERROR(N74+VLOOKUP($L74,'Voyage days'!$F$38:$H$89,3,FALSE),"")</f>
        <v/>
      </c>
      <c r="AJ74" s="93" t="str">
        <f t="shared" si="9"/>
        <v>20-31 May</v>
      </c>
      <c r="AK74" s="94">
        <f>IFERROR($M73+VLOOKUP($L74,'Voyage days'!$F$94:$H$193,3,FALSE),"")</f>
        <v>46132</v>
      </c>
      <c r="AL74" s="94">
        <f>IFERROR($N74+VLOOKUP($L74,'Voyage days'!$F$94:$H$193,3,FALSE),"")</f>
        <v>46173</v>
      </c>
      <c r="AM74" s="93" t="str">
        <f t="shared" si="10"/>
        <v>20-31 May</v>
      </c>
      <c r="AN74" s="94">
        <f>IFERROR($M73+VLOOKUP($L74,'Voyage days'!$F$203:$H$256,3,FALSE),"")</f>
        <v>46132</v>
      </c>
      <c r="AO74" s="94">
        <f>IFERROR($N74+VLOOKUP($L74,'Voyage days'!$F$203:$H$256,3,FALSE),"")</f>
        <v>46173</v>
      </c>
      <c r="AP74" s="93" t="str">
        <f t="shared" si="11"/>
        <v/>
      </c>
      <c r="AQ74" s="94" t="str">
        <f>IFERROR($M73+VLOOKUP($L74,'Voyage days'!$F$294:$H$377,3,FALSE),"")</f>
        <v/>
      </c>
      <c r="AR74" s="94" t="str">
        <f>IFERROR($N74+VLOOKUP($L74,'Voyage days'!$F$294:$H$377,3,FALSE),"")</f>
        <v/>
      </c>
      <c r="AS74" s="93" t="str">
        <f t="shared" si="12"/>
        <v>10-20 Jun</v>
      </c>
      <c r="AT74" s="94">
        <f>IFERROR($M73+VLOOKUP($L74,'Voyage days'!$F$382:$H$446,3,FALSE),"")</f>
        <v>46152</v>
      </c>
      <c r="AU74" s="94">
        <f>IFERROR($N74+VLOOKUP($L74,'Voyage days'!$F$382:$H$446,3,FALSE),"")</f>
        <v>46193</v>
      </c>
      <c r="AV74" s="93" t="str">
        <f t="shared" si="13"/>
        <v/>
      </c>
      <c r="AW74" s="94" t="str">
        <f>IFERROR($M73+VLOOKUP($L74,'Voyage days'!$F$483:$H$538,3,FALSE),"")</f>
        <v/>
      </c>
      <c r="AX74" s="94" t="str">
        <f>IFERROR($N74+VLOOKUP($L74,'Voyage days'!$F$483:$H$538,3,FALSE),"")</f>
        <v/>
      </c>
      <c r="AY74" s="93" t="str">
        <f t="shared" si="14"/>
        <v/>
      </c>
      <c r="AZ74" s="94" t="str">
        <f>IFERROR($M73+VLOOKUP($L74,'Voyage days'!$F$540:$H$613,3,FALSE),"")</f>
        <v/>
      </c>
      <c r="BA74" s="94" t="str">
        <f>IFERROR($N74+VLOOKUP($L74,'Voyage days'!$F$540:$H$613,3,FALSE),"")</f>
        <v/>
      </c>
      <c r="BB74" s="93" t="str">
        <f t="shared" si="15"/>
        <v/>
      </c>
      <c r="BC74" s="94" t="str">
        <f>IFERROR($M73+VLOOKUP($L74,'Voyage days'!$F$448:$H$479,3,FALSE),"")</f>
        <v/>
      </c>
      <c r="BD74" s="94" t="str">
        <f>IFERROR($N74+VLOOKUP($L74,'Voyage days'!$F$448:$H$479,3,FALSE),"")</f>
        <v/>
      </c>
      <c r="BE74" s="93" t="str">
        <f t="shared" si="16"/>
        <v/>
      </c>
      <c r="BF74" s="95" t="str">
        <f>IFERROR($M73+VLOOKUP($L74,'Voyage days'!$F$620:$H$646,3,FALSE),"")</f>
        <v/>
      </c>
      <c r="BG74" s="95" t="str">
        <f>IFERROR($N74+VLOOKUP($L74,'Voyage days'!$F$620:$H$646,3,FALSE),"")</f>
        <v/>
      </c>
      <c r="BH74" s="93" t="str">
        <f t="shared" si="17"/>
        <v/>
      </c>
      <c r="BI74" s="96" t="str">
        <f>IFERROR($M73+VLOOKUP($L74,'Voyage days'!$F$702:$H$727,3,FALSE),"")</f>
        <v/>
      </c>
      <c r="BJ74" s="93" t="str">
        <f t="shared" si="18"/>
        <v/>
      </c>
      <c r="BK74" s="95" t="str">
        <f>IFERROR($M73+VLOOKUP($L74,'Voyage days'!$F$807:$H$878,3,FALSE),"")</f>
        <v/>
      </c>
      <c r="BL74" s="95" t="str">
        <f>IFERROR($N74+VLOOKUP($L74,'Voyage days'!$F$807:$H$878,3,FALSE),"")</f>
        <v/>
      </c>
      <c r="BM74" s="95" t="str">
        <f>IFERROR($N74+VLOOKUP($L74,'Voyage days'!$F$807:$K$878,6,FALSE),"")</f>
        <v/>
      </c>
      <c r="BN74" s="94" t="str">
        <f>IF(L74="loads AG", IFERROR($M73+VLOOKUP($L74,'Voyage days'!$M$38:$O$38,3,FALSE),""),"")</f>
        <v/>
      </c>
      <c r="BO74" s="94">
        <f>IF(L74="loads USG", IFERROR($M73+VLOOKUP($L74,'Voyage days'!$L$203:$N$203,3,FALSE),""),"")</f>
        <v>46164</v>
      </c>
    </row>
    <row r="75" spans="1:67" x14ac:dyDescent="0.25">
      <c r="A75" s="308" t="s">
        <v>426</v>
      </c>
      <c r="B75" s="119">
        <v>2025</v>
      </c>
      <c r="C75" s="76">
        <v>88000</v>
      </c>
      <c r="D75" s="77" t="s">
        <v>651</v>
      </c>
      <c r="E75" s="77"/>
      <c r="F75" s="78"/>
      <c r="G75" s="78"/>
      <c r="H75" s="78"/>
      <c r="I75" s="260" t="s">
        <v>888</v>
      </c>
      <c r="J75" s="80" t="str">
        <f t="shared" si="21"/>
        <v/>
      </c>
      <c r="K75" s="81"/>
      <c r="L75" s="271" t="s">
        <v>901</v>
      </c>
      <c r="M75" s="83">
        <v>46152</v>
      </c>
      <c r="N75" s="83">
        <v>46153</v>
      </c>
      <c r="O75" s="84"/>
      <c r="P75" s="82" t="s">
        <v>902</v>
      </c>
      <c r="Q75" s="309"/>
      <c r="R75" s="309" t="s">
        <v>903</v>
      </c>
      <c r="S75" s="77" t="s">
        <v>724</v>
      </c>
      <c r="T75" s="232">
        <v>46132</v>
      </c>
      <c r="U75" s="87" t="str">
        <f>IF(V75="","No AIS",VLOOKUP(V75,'Voyage days'!$A$3:$B$1480,2,FALSE))</f>
        <v>North China +4</v>
      </c>
      <c r="V75" s="88" t="str">
        <f>IF(VLOOKUP(A75,'1) Kpler'!$E$2:$P$1000,8, FALSE)="","",VLOOKUP(A75,'1) Kpler'!$E$2:$P$1000,8, FALSE))</f>
        <v>Qingdao Huangdao</v>
      </c>
      <c r="W75" s="89">
        <f>IF(VLOOKUP(A75,'1) Kpler'!$E$2:$P$1000,9,FALSE)="","",VLOOKUP(A75,'1) Kpler'!$E$2:$P$1000,9,FALSE))</f>
        <v>46148</v>
      </c>
      <c r="X75" s="88" t="str">
        <f>VLOOKUP(A75,'1) Kpler'!$E$2:$I$1000,4,FALSE)</f>
        <v>loaded</v>
      </c>
      <c r="Y75" s="63" t="str">
        <f t="shared" si="0"/>
        <v>28-29 May</v>
      </c>
      <c r="Z75" s="63" t="str">
        <f t="shared" si="1"/>
        <v>11-12 Jun</v>
      </c>
      <c r="AA75" s="63" t="str">
        <f t="shared" si="2"/>
        <v>21-22 Jun</v>
      </c>
      <c r="AB75" s="63" t="str">
        <f t="shared" si="3"/>
        <v>08-09 Jun</v>
      </c>
      <c r="AC75" s="63" t="str">
        <f t="shared" si="4"/>
        <v>14-15 Jun</v>
      </c>
      <c r="AD75" s="63" t="str">
        <f t="shared" si="5"/>
        <v>18-19 May</v>
      </c>
      <c r="AE75" s="129" t="str">
        <f t="shared" si="6"/>
        <v>19-20 May</v>
      </c>
      <c r="AF75" s="130" t="str">
        <f t="shared" si="7"/>
        <v>25-26 Jun</v>
      </c>
      <c r="AG75" s="93" t="str">
        <f t="shared" si="8"/>
        <v>28-29 May</v>
      </c>
      <c r="AH75" s="94">
        <f>IFERROR($M75+VLOOKUP($L75,'Voyage days'!$F$38:$H$89,3,FALSE),"")</f>
        <v>46170</v>
      </c>
      <c r="AI75" s="94">
        <f>IFERROR(N75+VLOOKUP($L75,'Voyage days'!$F$38:$H$89,3,FALSE),"")</f>
        <v>46171</v>
      </c>
      <c r="AJ75" s="93" t="str">
        <f t="shared" si="9"/>
        <v>11-12 Jun</v>
      </c>
      <c r="AK75" s="94">
        <f>IFERROR($M75+VLOOKUP($L75,'Voyage days'!$F$94:$H$193,3,FALSE),"")</f>
        <v>46184</v>
      </c>
      <c r="AL75" s="94">
        <f>IFERROR($N75+VLOOKUP($L75,'Voyage days'!$F$94:$H$193,3,FALSE),"")</f>
        <v>46185</v>
      </c>
      <c r="AM75" s="93" t="str">
        <f t="shared" si="10"/>
        <v>21-22 Jun</v>
      </c>
      <c r="AN75" s="94">
        <f>IFERROR($M75+VLOOKUP($L75,'Voyage days'!$F$203:$H$256,3,FALSE),"")</f>
        <v>46194</v>
      </c>
      <c r="AO75" s="94">
        <f>IFERROR($N75+VLOOKUP($L75,'Voyage days'!$F$203:$H$256,3,FALSE),"")</f>
        <v>46195</v>
      </c>
      <c r="AP75" s="93" t="str">
        <f t="shared" si="11"/>
        <v>08-09 Jun</v>
      </c>
      <c r="AQ75" s="94">
        <f>IFERROR($M75+VLOOKUP($L75,'Voyage days'!$F$294:$H$377,3,FALSE),"")</f>
        <v>46181</v>
      </c>
      <c r="AR75" s="94">
        <f>IFERROR($N75+VLOOKUP($L75,'Voyage days'!$F$294:$H$377,3,FALSE),"")</f>
        <v>46182</v>
      </c>
      <c r="AS75" s="93" t="str">
        <f t="shared" si="12"/>
        <v>14-15 Jun</v>
      </c>
      <c r="AT75" s="94">
        <f>IFERROR($M75+VLOOKUP($L75,'Voyage days'!$F$382:$H$446,3,FALSE),"")</f>
        <v>46187</v>
      </c>
      <c r="AU75" s="94">
        <f>IFERROR($N75+VLOOKUP($L75,'Voyage days'!$F$382:$H$446,3,FALSE),"")</f>
        <v>46188</v>
      </c>
      <c r="AV75" s="93" t="str">
        <f t="shared" si="13"/>
        <v>25-26 May</v>
      </c>
      <c r="AW75" s="94">
        <f>IFERROR($M75+VLOOKUP($L75,'Voyage days'!$F$483:$H$538,3,FALSE),"")</f>
        <v>46167</v>
      </c>
      <c r="AX75" s="94">
        <f>IFERROR($N75+VLOOKUP($L75,'Voyage days'!$F$483:$H$538,3,FALSE),"")</f>
        <v>46168</v>
      </c>
      <c r="AY75" s="93" t="str">
        <f t="shared" si="14"/>
        <v>19-20 May</v>
      </c>
      <c r="AZ75" s="94">
        <f>IFERROR($M75+VLOOKUP($L75,'Voyage days'!$F$540:$H$613,3,FALSE),"")</f>
        <v>46161</v>
      </c>
      <c r="BA75" s="94">
        <f>IFERROR($N75+VLOOKUP($L75,'Voyage days'!$F$540:$H$613,3,FALSE),"")</f>
        <v>46162</v>
      </c>
      <c r="BB75" s="93" t="str">
        <f t="shared" si="15"/>
        <v>18-19 May</v>
      </c>
      <c r="BC75" s="94">
        <f>IFERROR($M75+VLOOKUP($L75,'Voyage days'!$F$448:$H$479,3,FALSE),"")</f>
        <v>46160</v>
      </c>
      <c r="BD75" s="94">
        <f>IFERROR($N75+VLOOKUP($L75,'Voyage days'!$F$448:$H$479,3,FALSE),"")</f>
        <v>46161</v>
      </c>
      <c r="BE75" s="93" t="str">
        <f t="shared" si="16"/>
        <v>23-24 May</v>
      </c>
      <c r="BF75" s="95">
        <f>IFERROR($M75+VLOOKUP($L75,'Voyage days'!$F$620:$H$646,3,FALSE),"")</f>
        <v>46165</v>
      </c>
      <c r="BG75" s="95">
        <f>IFERROR($N75+VLOOKUP($L75,'Voyage days'!$F$620:$H$646,3,FALSE),"")</f>
        <v>46166</v>
      </c>
      <c r="BH75" s="93" t="str">
        <f t="shared" si="17"/>
        <v>19-26 Jun</v>
      </c>
      <c r="BI75" s="96">
        <f>IFERROR($M75+VLOOKUP($L75,'Voyage days'!$F$702:$H$727,3,FALSE),"")</f>
        <v>46161</v>
      </c>
      <c r="BJ75" s="93" t="str">
        <f t="shared" si="18"/>
        <v>25-26 Jun</v>
      </c>
      <c r="BK75" s="95">
        <f>IFERROR($M75+VLOOKUP($L75,'Voyage days'!$F$807:$H$878,3,FALSE),"")</f>
        <v>46198</v>
      </c>
      <c r="BL75" s="95">
        <f>IFERROR($N75+VLOOKUP($L75,'Voyage days'!$F$807:$H$878,3,FALSE),"")</f>
        <v>46199</v>
      </c>
      <c r="BM75" s="95">
        <f>IFERROR($N75+VLOOKUP($L75,'Voyage days'!$F$807:$K$878,6,FALSE),"")</f>
        <v>46173</v>
      </c>
      <c r="BN75" s="94" t="str">
        <f>IF(L75="loads AG", IFERROR($M75+VLOOKUP($L75,'Voyage days'!$M$38:$O$38,3,FALSE),""),"")</f>
        <v/>
      </c>
      <c r="BO75" s="94" t="str">
        <f>IF(L75="loads USG", IFERROR($M75+VLOOKUP($L75,'Voyage days'!$L$203:$N$203,3,FALSE),""),"")</f>
        <v/>
      </c>
    </row>
    <row r="76" spans="1:67" x14ac:dyDescent="0.25">
      <c r="A76" s="308" t="s">
        <v>453</v>
      </c>
      <c r="B76" s="310">
        <v>2024</v>
      </c>
      <c r="C76" s="76">
        <v>88000</v>
      </c>
      <c r="D76" s="77" t="s">
        <v>651</v>
      </c>
      <c r="E76" s="77"/>
      <c r="F76" s="78"/>
      <c r="G76" s="78"/>
      <c r="H76" s="78" t="s">
        <v>713</v>
      </c>
      <c r="I76" s="260" t="s">
        <v>888</v>
      </c>
      <c r="J76" s="80" t="str">
        <f t="shared" si="21"/>
        <v/>
      </c>
      <c r="K76" s="81"/>
      <c r="L76" s="271" t="s">
        <v>715</v>
      </c>
      <c r="M76" s="83">
        <v>46146</v>
      </c>
      <c r="N76" s="83">
        <v>46147</v>
      </c>
      <c r="O76" s="84"/>
      <c r="P76" s="82" t="s">
        <v>904</v>
      </c>
      <c r="Q76" s="265"/>
      <c r="R76" s="265" t="s">
        <v>905</v>
      </c>
      <c r="S76" s="77" t="s">
        <v>724</v>
      </c>
      <c r="T76" s="232">
        <v>46132</v>
      </c>
      <c r="U76" s="87" t="str">
        <f>IF(V76="","No AIS",VLOOKUP(V76,'Voyage days'!$A$3:$B$1480,2,FALSE))</f>
        <v>Japan + 6</v>
      </c>
      <c r="V76" s="88" t="str">
        <f>IF(VLOOKUP(A76,'1) Kpler'!$E$2:$P$1000,8, FALSE)="","",VLOOKUP(A76,'1) Kpler'!$E$2:$P$1000,8, FALSE))</f>
        <v>Chiba</v>
      </c>
      <c r="W76" s="89">
        <f>IF(VLOOKUP(A76,'1) Kpler'!$E$2:$P$1000,9,FALSE)="","",VLOOKUP(A76,'1) Kpler'!$E$2:$P$1000,9,FALSE))</f>
        <v>46140.291666666664</v>
      </c>
      <c r="X76" s="88" t="str">
        <f>VLOOKUP(A76,'1) Kpler'!$E$2:$I$1000,4,FALSE)</f>
        <v>loaded</v>
      </c>
      <c r="Y76" s="90" t="str">
        <f t="shared" si="0"/>
        <v>22-23 May</v>
      </c>
      <c r="Z76" s="90" t="str">
        <f t="shared" si="1"/>
        <v>04-05 Jun</v>
      </c>
      <c r="AA76" s="90" t="str">
        <f t="shared" si="2"/>
        <v>15-16 Jun</v>
      </c>
      <c r="AB76" s="90" t="str">
        <f t="shared" si="3"/>
        <v>03-04 Jun</v>
      </c>
      <c r="AC76" s="90" t="str">
        <f t="shared" si="4"/>
        <v>09-10 Jun</v>
      </c>
      <c r="AD76" s="90" t="str">
        <f t="shared" si="5"/>
        <v>12-13 May</v>
      </c>
      <c r="AE76" s="91" t="str">
        <f t="shared" si="6"/>
        <v>12-13 May</v>
      </c>
      <c r="AF76" s="92" t="str">
        <f t="shared" si="7"/>
        <v>19-20 Jun</v>
      </c>
      <c r="AG76" s="93" t="str">
        <f t="shared" si="8"/>
        <v>22-23 May</v>
      </c>
      <c r="AH76" s="94">
        <f>IFERROR($M76+VLOOKUP($L76,'Voyage days'!$F$38:$H$89,3,FALSE),"")</f>
        <v>46164</v>
      </c>
      <c r="AI76" s="94">
        <f>IFERROR(N76+VLOOKUP($L76,'Voyage days'!$F$38:$H$89,3,FALSE),"")</f>
        <v>46165</v>
      </c>
      <c r="AJ76" s="93" t="str">
        <f t="shared" si="9"/>
        <v>04-05 Jun</v>
      </c>
      <c r="AK76" s="94">
        <f>IFERROR($M76+VLOOKUP($L76,'Voyage days'!$F$94:$H$193,3,FALSE),"")</f>
        <v>46177</v>
      </c>
      <c r="AL76" s="94">
        <f>IFERROR($N76+VLOOKUP($L76,'Voyage days'!$F$94:$H$193,3,FALSE),"")</f>
        <v>46178</v>
      </c>
      <c r="AM76" s="93" t="str">
        <f t="shared" si="10"/>
        <v>15-16 Jun</v>
      </c>
      <c r="AN76" s="94">
        <f>IFERROR($M76+VLOOKUP($L76,'Voyage days'!$F$203:$H$256,3,FALSE),"")</f>
        <v>46188</v>
      </c>
      <c r="AO76" s="94">
        <f>IFERROR($N76+VLOOKUP($L76,'Voyage days'!$F$203:$H$256,3,FALSE),"")</f>
        <v>46189</v>
      </c>
      <c r="AP76" s="93" t="str">
        <f t="shared" si="11"/>
        <v>03-04 Jun</v>
      </c>
      <c r="AQ76" s="94">
        <f>IFERROR($M76+VLOOKUP($L76,'Voyage days'!$F$294:$H$377,3,FALSE),"")</f>
        <v>46176</v>
      </c>
      <c r="AR76" s="94">
        <f>IFERROR($N76+VLOOKUP($L76,'Voyage days'!$F$294:$H$377,3,FALSE),"")</f>
        <v>46177</v>
      </c>
      <c r="AS76" s="93" t="str">
        <f t="shared" si="12"/>
        <v>09-10 Jun</v>
      </c>
      <c r="AT76" s="94">
        <f>IFERROR($M76+VLOOKUP($L76,'Voyage days'!$F$382:$H$446,3,FALSE),"")</f>
        <v>46182</v>
      </c>
      <c r="AU76" s="94">
        <f>IFERROR($N76+VLOOKUP($L76,'Voyage days'!$F$382:$H$446,3,FALSE),"")</f>
        <v>46183</v>
      </c>
      <c r="AV76" s="93" t="str">
        <f t="shared" si="13"/>
        <v>17-18 May</v>
      </c>
      <c r="AW76" s="94">
        <f>IFERROR($M76+VLOOKUP($L76,'Voyage days'!$F$483:$H$538,3,FALSE),"")</f>
        <v>46159</v>
      </c>
      <c r="AX76" s="94">
        <f>IFERROR($N76+VLOOKUP($L76,'Voyage days'!$F$483:$H$538,3,FALSE),"")</f>
        <v>46160</v>
      </c>
      <c r="AY76" s="93" t="str">
        <f t="shared" si="14"/>
        <v>12-13 May</v>
      </c>
      <c r="AZ76" s="94">
        <f>IFERROR($M76+VLOOKUP($L76,'Voyage days'!$F$540:$H$613,3,FALSE),"")</f>
        <v>46154.25</v>
      </c>
      <c r="BA76" s="94">
        <f>IFERROR($N76+VLOOKUP($L76,'Voyage days'!$F$540:$H$613,3,FALSE),"")</f>
        <v>46155.25</v>
      </c>
      <c r="BB76" s="93" t="str">
        <f t="shared" si="15"/>
        <v>12-13 May</v>
      </c>
      <c r="BC76" s="94">
        <f>IFERROR($M76+VLOOKUP($L76,'Voyage days'!$F$448:$H$479,3,FALSE),"")</f>
        <v>46154</v>
      </c>
      <c r="BD76" s="94">
        <f>IFERROR($N76+VLOOKUP($L76,'Voyage days'!$F$448:$H$479,3,FALSE),"")</f>
        <v>46155</v>
      </c>
      <c r="BE76" s="93" t="str">
        <f t="shared" si="16"/>
        <v>15-16 May</v>
      </c>
      <c r="BF76" s="95">
        <f>IFERROR($M76+VLOOKUP($L76,'Voyage days'!$F$620:$H$646,3,FALSE),"")</f>
        <v>46157</v>
      </c>
      <c r="BG76" s="95">
        <f>IFERROR($N76+VLOOKUP($L76,'Voyage days'!$F$620:$H$646,3,FALSE),"")</f>
        <v>46158</v>
      </c>
      <c r="BH76" s="93" t="str">
        <f t="shared" si="17"/>
        <v>12-20 Jun</v>
      </c>
      <c r="BI76" s="96">
        <f>IFERROR($M76+VLOOKUP($L76,'Voyage days'!$F$702:$H$727,3,FALSE),"")</f>
        <v>46154.25</v>
      </c>
      <c r="BJ76" s="93" t="str">
        <f t="shared" si="18"/>
        <v>19-20 Jun</v>
      </c>
      <c r="BK76" s="95">
        <f>IFERROR($M76+VLOOKUP($L76,'Voyage days'!$F$807:$H$878,3,FALSE),"")</f>
        <v>46192</v>
      </c>
      <c r="BL76" s="95">
        <f>IFERROR($N76+VLOOKUP($L76,'Voyage days'!$F$807:$H$878,3,FALSE),"")</f>
        <v>46193</v>
      </c>
      <c r="BM76" s="95">
        <f>IFERROR($N76+VLOOKUP($L76,'Voyage days'!$F$807:$K$878,6,FALSE),"")</f>
        <v>46167</v>
      </c>
      <c r="BN76" s="94" t="str">
        <f>IF(L76="loads AG", IFERROR($M76+VLOOKUP($L76,'Voyage days'!$M$38:$O$38,3,FALSE),""),"")</f>
        <v/>
      </c>
      <c r="BO76" s="94" t="str">
        <f>IF(L76="loads USG", IFERROR($M76+VLOOKUP($L76,'Voyage days'!$L$203:$N$203,3,FALSE),""),"")</f>
        <v/>
      </c>
    </row>
    <row r="77" spans="1:67" ht="15" customHeight="1" x14ac:dyDescent="0.25">
      <c r="A77" s="308" t="s">
        <v>529</v>
      </c>
      <c r="B77" s="310">
        <v>2024</v>
      </c>
      <c r="C77" s="76">
        <v>88000</v>
      </c>
      <c r="D77" s="77" t="s">
        <v>651</v>
      </c>
      <c r="E77" s="77"/>
      <c r="F77" s="78"/>
      <c r="G77" s="78"/>
      <c r="H77" s="78" t="s">
        <v>713</v>
      </c>
      <c r="I77" s="260" t="s">
        <v>888</v>
      </c>
      <c r="J77" s="80" t="str">
        <f t="shared" si="21"/>
        <v>Update</v>
      </c>
      <c r="K77" s="81"/>
      <c r="L77" s="271" t="s">
        <v>718</v>
      </c>
      <c r="M77" s="83">
        <v>46125</v>
      </c>
      <c r="N77" s="83">
        <v>46126</v>
      </c>
      <c r="O77" s="84"/>
      <c r="P77" s="82" t="s">
        <v>906</v>
      </c>
      <c r="Q77" s="85"/>
      <c r="R77" s="265" t="s">
        <v>907</v>
      </c>
      <c r="S77" s="77" t="s">
        <v>724</v>
      </c>
      <c r="T77" s="232">
        <v>46132</v>
      </c>
      <c r="U77" s="87" t="str">
        <f>IF(V77="","No AIS",VLOOKUP(V77,'Voyage days'!$A$3:$B$1480,2,FALSE))</f>
        <v>Panama</v>
      </c>
      <c r="V77" s="88" t="str">
        <f>IF(VLOOKUP(A77,'1) Kpler'!$E$2:$P$1000,8, FALSE)="","",VLOOKUP(A77,'1) Kpler'!$E$2:$P$1000,8, FALSE))</f>
        <v>Panama Canal</v>
      </c>
      <c r="W77" s="89">
        <f>IF(VLOOKUP(A77,'1) Kpler'!$E$2:$P$1000,9,FALSE)="","",VLOOKUP(A77,'1) Kpler'!$E$2:$P$1000,9,FALSE))</f>
        <v>46132.875</v>
      </c>
      <c r="X77" s="88" t="str">
        <f>VLOOKUP(A77,'1) Kpler'!$E$2:$I$1000,4,FALSE)</f>
        <v>loaded</v>
      </c>
      <c r="Y77" s="90" t="str">
        <f t="shared" si="0"/>
        <v/>
      </c>
      <c r="Z77" s="90" t="str">
        <f t="shared" si="1"/>
        <v>13-14 Apr</v>
      </c>
      <c r="AA77" s="90" t="str">
        <f t="shared" si="2"/>
        <v>13-14 Apr</v>
      </c>
      <c r="AB77" s="90" t="str">
        <f t="shared" si="3"/>
        <v/>
      </c>
      <c r="AC77" s="90" t="str">
        <f t="shared" si="4"/>
        <v>03-04 May</v>
      </c>
      <c r="AD77" s="90" t="str">
        <f t="shared" si="5"/>
        <v/>
      </c>
      <c r="AE77" s="91" t="str">
        <f t="shared" si="6"/>
        <v/>
      </c>
      <c r="AF77" s="92" t="str">
        <f t="shared" si="7"/>
        <v/>
      </c>
      <c r="AG77" s="93" t="str">
        <f t="shared" si="8"/>
        <v/>
      </c>
      <c r="AH77" s="94" t="str">
        <f>IFERROR($M77+VLOOKUP($L77,'Voyage days'!$F$38:$H$89,3,FALSE),"")</f>
        <v/>
      </c>
      <c r="AI77" s="94" t="str">
        <f>IFERROR(N77+VLOOKUP($L77,'Voyage days'!$F$38:$H$89,3,FALSE),"")</f>
        <v/>
      </c>
      <c r="AJ77" s="93" t="str">
        <f t="shared" si="9"/>
        <v>13-14 Apr</v>
      </c>
      <c r="AK77" s="94">
        <f>IFERROR($M77+VLOOKUP($L77,'Voyage days'!$F$94:$H$193,3,FALSE),"")</f>
        <v>46125</v>
      </c>
      <c r="AL77" s="94">
        <f>IFERROR($N77+VLOOKUP($L77,'Voyage days'!$F$94:$H$193,3,FALSE),"")</f>
        <v>46126</v>
      </c>
      <c r="AM77" s="93" t="str">
        <f t="shared" si="10"/>
        <v>13-14 Apr</v>
      </c>
      <c r="AN77" s="94">
        <f>IFERROR($M77+VLOOKUP($L77,'Voyage days'!$F$203:$H$256,3,FALSE),"")</f>
        <v>46125</v>
      </c>
      <c r="AO77" s="94">
        <f>IFERROR($N77+VLOOKUP($L77,'Voyage days'!$F$203:$H$256,3,FALSE),"")</f>
        <v>46126</v>
      </c>
      <c r="AP77" s="93" t="str">
        <f t="shared" si="11"/>
        <v/>
      </c>
      <c r="AQ77" s="94" t="str">
        <f>IFERROR($M77+VLOOKUP($L77,'Voyage days'!$F$294:$H$377,3,FALSE),"")</f>
        <v/>
      </c>
      <c r="AR77" s="94" t="str">
        <f>IFERROR($N77+VLOOKUP($L77,'Voyage days'!$F$294:$H$377,3,FALSE),"")</f>
        <v/>
      </c>
      <c r="AS77" s="93" t="str">
        <f t="shared" si="12"/>
        <v>03-04 May</v>
      </c>
      <c r="AT77" s="94">
        <f>IFERROR($M77+VLOOKUP($L77,'Voyage days'!$F$382:$H$446,3,FALSE),"")</f>
        <v>46145</v>
      </c>
      <c r="AU77" s="94">
        <f>IFERROR($N77+VLOOKUP($L77,'Voyage days'!$F$382:$H$446,3,FALSE),"")</f>
        <v>46146</v>
      </c>
      <c r="AV77" s="93" t="str">
        <f t="shared" si="13"/>
        <v/>
      </c>
      <c r="AW77" s="94" t="str">
        <f>IFERROR($M77+VLOOKUP($L77,'Voyage days'!$F$483:$H$538,3,FALSE),"")</f>
        <v/>
      </c>
      <c r="AX77" s="94" t="str">
        <f>IFERROR($N77+VLOOKUP($L77,'Voyage days'!$F$483:$H$538,3,FALSE),"")</f>
        <v/>
      </c>
      <c r="AY77" s="93" t="str">
        <f t="shared" si="14"/>
        <v/>
      </c>
      <c r="AZ77" s="94" t="str">
        <f>IFERROR($M77+VLOOKUP($L77,'Voyage days'!$F$540:$H$613,3,FALSE),"")</f>
        <v/>
      </c>
      <c r="BA77" s="94" t="str">
        <f>IFERROR($N77+VLOOKUP($L77,'Voyage days'!$F$540:$H$613,3,FALSE),"")</f>
        <v/>
      </c>
      <c r="BB77" s="93" t="str">
        <f t="shared" si="15"/>
        <v/>
      </c>
      <c r="BC77" s="94" t="str">
        <f>IFERROR($M77+VLOOKUP($L77,'Voyage days'!$F$448:$H$479,3,FALSE),"")</f>
        <v/>
      </c>
      <c r="BD77" s="94" t="str">
        <f>IFERROR($N77+VLOOKUP($L77,'Voyage days'!$F$448:$H$479,3,FALSE),"")</f>
        <v/>
      </c>
      <c r="BE77" s="93" t="str">
        <f t="shared" si="16"/>
        <v/>
      </c>
      <c r="BF77" s="95" t="str">
        <f>IFERROR($M77+VLOOKUP($L77,'Voyage days'!$F$620:$H$646,3,FALSE),"")</f>
        <v/>
      </c>
      <c r="BG77" s="95" t="str">
        <f>IFERROR($N77+VLOOKUP($L77,'Voyage days'!$F$620:$H$646,3,FALSE),"")</f>
        <v/>
      </c>
      <c r="BH77" s="93" t="str">
        <f t="shared" si="17"/>
        <v/>
      </c>
      <c r="BI77" s="96" t="str">
        <f>IFERROR($M77+VLOOKUP($L77,'Voyage days'!$F$702:$H$727,3,FALSE),"")</f>
        <v/>
      </c>
      <c r="BJ77" s="93" t="str">
        <f t="shared" si="18"/>
        <v/>
      </c>
      <c r="BK77" s="95" t="str">
        <f>IFERROR($M77+VLOOKUP($L77,'Voyage days'!$F$807:$H$878,3,FALSE),"")</f>
        <v/>
      </c>
      <c r="BL77" s="95" t="str">
        <f>IFERROR($N77+VLOOKUP($L77,'Voyage days'!$F$807:$H$878,3,FALSE),"")</f>
        <v/>
      </c>
      <c r="BM77" s="95" t="str">
        <f>IFERROR($N77+VLOOKUP($L77,'Voyage days'!$F$807:$K$878,6,FALSE),"")</f>
        <v/>
      </c>
      <c r="BN77" s="94" t="str">
        <f>IF(L77="loads AG", IFERROR($M77+VLOOKUP($L77,'Voyage days'!$M$38:$O$38,3,FALSE),""),"")</f>
        <v/>
      </c>
      <c r="BO77" s="94">
        <f>IF(L77="loads USG", IFERROR($M77+VLOOKUP($L77,'Voyage days'!$L$203:$N$203,3,FALSE),""),"")</f>
        <v>46157</v>
      </c>
    </row>
    <row r="78" spans="1:67" ht="15" customHeight="1" x14ac:dyDescent="0.25">
      <c r="A78" s="218" t="s">
        <v>559</v>
      </c>
      <c r="B78" s="119">
        <v>2021</v>
      </c>
      <c r="C78" s="76">
        <v>84000</v>
      </c>
      <c r="D78" s="77" t="s">
        <v>651</v>
      </c>
      <c r="E78" s="77"/>
      <c r="F78" s="78"/>
      <c r="G78" s="78"/>
      <c r="H78" s="78" t="s">
        <v>739</v>
      </c>
      <c r="I78" s="260" t="s">
        <v>888</v>
      </c>
      <c r="J78" s="80" t="str">
        <f t="shared" si="21"/>
        <v/>
      </c>
      <c r="K78" s="81"/>
      <c r="L78" s="271" t="s">
        <v>718</v>
      </c>
      <c r="M78" s="83">
        <v>46136</v>
      </c>
      <c r="N78" s="83">
        <v>46140</v>
      </c>
      <c r="O78" s="206" t="s">
        <v>779</v>
      </c>
      <c r="P78" s="82" t="s">
        <v>908</v>
      </c>
      <c r="Q78" s="85" t="s">
        <v>891</v>
      </c>
      <c r="R78" s="82" t="s">
        <v>887</v>
      </c>
      <c r="S78" s="77" t="s">
        <v>724</v>
      </c>
      <c r="T78" s="232">
        <v>46132</v>
      </c>
      <c r="U78" s="87" t="str">
        <f>IF(V78="","No AIS",VLOOKUP(V78,'Voyage days'!$A$3:$B$1480,2,FALSE))</f>
        <v>USG</v>
      </c>
      <c r="V78" s="88" t="str">
        <f>IF(VLOOKUP(A78,'1) Kpler'!$E$2:$P$1000,8, FALSE)="","",VLOOKUP(A78,'1) Kpler'!$E$2:$P$1000,8, FALSE))</f>
        <v>Houston</v>
      </c>
      <c r="W78" s="89">
        <f>IF(VLOOKUP(A78,'1) Kpler'!$E$2:$P$1000,9,FALSE)="","",VLOOKUP(A78,'1) Kpler'!$E$2:$P$1000,9,FALSE))</f>
        <v>46136.5</v>
      </c>
      <c r="X78" s="88" t="str">
        <f>VLOOKUP(A78,'1) Kpler'!$E$2:$I$1000,4,FALSE)</f>
        <v>ballast</v>
      </c>
      <c r="Y78" s="63" t="str">
        <f t="shared" si="0"/>
        <v/>
      </c>
      <c r="Z78" s="63" t="str">
        <f t="shared" si="1"/>
        <v>24-28 Apr</v>
      </c>
      <c r="AA78" s="63" t="str">
        <f t="shared" si="2"/>
        <v>24-28 Apr</v>
      </c>
      <c r="AB78" s="63" t="str">
        <f t="shared" si="3"/>
        <v/>
      </c>
      <c r="AC78" s="63" t="str">
        <f t="shared" si="4"/>
        <v>14-18 May</v>
      </c>
      <c r="AD78" s="63" t="str">
        <f t="shared" si="5"/>
        <v/>
      </c>
      <c r="AE78" s="129" t="str">
        <f t="shared" si="6"/>
        <v/>
      </c>
      <c r="AF78" s="130" t="str">
        <f t="shared" si="7"/>
        <v/>
      </c>
      <c r="AG78" s="93" t="str">
        <f t="shared" si="8"/>
        <v/>
      </c>
      <c r="AH78" s="94" t="str">
        <f>IFERROR($M78+VLOOKUP($L78,'Voyage days'!$F$38:$H$89,3,FALSE),"")</f>
        <v/>
      </c>
      <c r="AI78" s="94" t="str">
        <f>IFERROR(N78+VLOOKUP($L78,'Voyage days'!$F$38:$H$89,3,FALSE),"")</f>
        <v/>
      </c>
      <c r="AJ78" s="93" t="str">
        <f t="shared" si="9"/>
        <v>24-28 Apr</v>
      </c>
      <c r="AK78" s="94">
        <f>IFERROR($M78+VLOOKUP($L78,'Voyage days'!$F$94:$H$193,3,FALSE),"")</f>
        <v>46136</v>
      </c>
      <c r="AL78" s="94">
        <f>IFERROR($N78+VLOOKUP($L78,'Voyage days'!$F$94:$H$193,3,FALSE),"")</f>
        <v>46140</v>
      </c>
      <c r="AM78" s="93" t="str">
        <f t="shared" si="10"/>
        <v>24-28 Apr</v>
      </c>
      <c r="AN78" s="94">
        <f>IFERROR($M78+VLOOKUP($L78,'Voyage days'!$F$203:$H$256,3,FALSE),"")</f>
        <v>46136</v>
      </c>
      <c r="AO78" s="94">
        <f>IFERROR($N78+VLOOKUP($L78,'Voyage days'!$F$203:$H$256,3,FALSE),"")</f>
        <v>46140</v>
      </c>
      <c r="AP78" s="93" t="str">
        <f t="shared" si="11"/>
        <v/>
      </c>
      <c r="AQ78" s="94" t="str">
        <f>IFERROR($M78+VLOOKUP($L78,'Voyage days'!$F$294:$H$377,3,FALSE),"")</f>
        <v/>
      </c>
      <c r="AR78" s="94" t="str">
        <f>IFERROR($N78+VLOOKUP($L78,'Voyage days'!$F$294:$H$377,3,FALSE),"")</f>
        <v/>
      </c>
      <c r="AS78" s="93" t="str">
        <f t="shared" si="12"/>
        <v>14-18 May</v>
      </c>
      <c r="AT78" s="94">
        <f>IFERROR($M78+VLOOKUP($L78,'Voyage days'!$F$382:$H$446,3,FALSE),"")</f>
        <v>46156</v>
      </c>
      <c r="AU78" s="94">
        <f>IFERROR($N78+VLOOKUP($L78,'Voyage days'!$F$382:$H$446,3,FALSE),"")</f>
        <v>46160</v>
      </c>
      <c r="AV78" s="93" t="str">
        <f t="shared" si="13"/>
        <v/>
      </c>
      <c r="AW78" s="94" t="str">
        <f>IFERROR($M78+VLOOKUP($L78,'Voyage days'!$F$483:$H$538,3,FALSE),"")</f>
        <v/>
      </c>
      <c r="AX78" s="94" t="str">
        <f>IFERROR($N78+VLOOKUP($L78,'Voyage days'!$F$483:$H$538,3,FALSE),"")</f>
        <v/>
      </c>
      <c r="AY78" s="93" t="str">
        <f t="shared" si="14"/>
        <v/>
      </c>
      <c r="AZ78" s="94" t="str">
        <f>IFERROR($M78+VLOOKUP($L78,'Voyage days'!$F$540:$H$613,3,FALSE),"")</f>
        <v/>
      </c>
      <c r="BA78" s="94" t="str">
        <f>IFERROR($N78+VLOOKUP($L78,'Voyage days'!$F$540:$H$613,3,FALSE),"")</f>
        <v/>
      </c>
      <c r="BB78" s="93" t="str">
        <f t="shared" si="15"/>
        <v/>
      </c>
      <c r="BC78" s="94" t="str">
        <f>IFERROR($M78+VLOOKUP($L78,'Voyage days'!$F$448:$H$479,3,FALSE),"")</f>
        <v/>
      </c>
      <c r="BD78" s="94" t="str">
        <f>IFERROR($N78+VLOOKUP($L78,'Voyage days'!$F$448:$H$479,3,FALSE),"")</f>
        <v/>
      </c>
      <c r="BE78" s="93" t="str">
        <f t="shared" si="16"/>
        <v/>
      </c>
      <c r="BF78" s="95" t="str">
        <f>IFERROR($M78+VLOOKUP($L78,'Voyage days'!$F$620:$H$646,3,FALSE),"")</f>
        <v/>
      </c>
      <c r="BG78" s="95" t="str">
        <f>IFERROR($N78+VLOOKUP($L78,'Voyage days'!$F$620:$H$646,3,FALSE),"")</f>
        <v/>
      </c>
      <c r="BH78" s="93" t="str">
        <f t="shared" si="17"/>
        <v/>
      </c>
      <c r="BI78" s="96" t="str">
        <f>IFERROR($M78+VLOOKUP($L78,'Voyage days'!$F$702:$H$727,3,FALSE),"")</f>
        <v/>
      </c>
      <c r="BJ78" s="93" t="str">
        <f t="shared" si="18"/>
        <v/>
      </c>
      <c r="BK78" s="95" t="str">
        <f>IFERROR($M78+VLOOKUP($L78,'Voyage days'!$F$807:$H$878,3,FALSE),"")</f>
        <v/>
      </c>
      <c r="BL78" s="95" t="str">
        <f>IFERROR($N78+VLOOKUP($L78,'Voyage days'!$F$807:$H$878,3,FALSE),"")</f>
        <v/>
      </c>
      <c r="BM78" s="95" t="str">
        <f>IFERROR($N78+VLOOKUP($L78,'Voyage days'!$F$807:$K$878,6,FALSE),"")</f>
        <v/>
      </c>
      <c r="BN78" s="94" t="str">
        <f>IF(L78="loads AG", IFERROR($M78+VLOOKUP($L78,'Voyage days'!$M$38:$O$38,3,FALSE),""),"")</f>
        <v/>
      </c>
      <c r="BO78" s="94">
        <f>IF(L78="loads USG", IFERROR($M78+VLOOKUP($L78,'Voyage days'!$L$203:$N$203,3,FALSE),""),"")</f>
        <v>46168</v>
      </c>
    </row>
    <row r="79" spans="1:67" x14ac:dyDescent="0.25">
      <c r="A79" s="132" t="s">
        <v>634</v>
      </c>
      <c r="B79" s="133">
        <v>2021</v>
      </c>
      <c r="C79" s="134">
        <v>84000</v>
      </c>
      <c r="D79" s="77" t="s">
        <v>651</v>
      </c>
      <c r="E79" s="143"/>
      <c r="F79" s="136"/>
      <c r="G79" s="136"/>
      <c r="H79" s="136" t="s">
        <v>739</v>
      </c>
      <c r="I79" s="137" t="s">
        <v>888</v>
      </c>
      <c r="J79" s="138" t="str">
        <f t="shared" si="21"/>
        <v/>
      </c>
      <c r="K79" s="139"/>
      <c r="L79" s="140" t="s">
        <v>909</v>
      </c>
      <c r="M79" s="141">
        <v>46133</v>
      </c>
      <c r="N79" s="141">
        <v>46134</v>
      </c>
      <c r="O79" s="142"/>
      <c r="P79" s="247" t="s">
        <v>910</v>
      </c>
      <c r="Q79" s="247"/>
      <c r="R79" s="140" t="s">
        <v>911</v>
      </c>
      <c r="S79" s="143" t="s">
        <v>724</v>
      </c>
      <c r="T79" s="144">
        <v>46132</v>
      </c>
      <c r="U79" s="145" t="str">
        <f>IF(V79="","No AIS",VLOOKUP(V79,'Voyage days'!$A$3:$B$1480,2,FALSE))</f>
        <v>Singapore</v>
      </c>
      <c r="V79" s="146" t="str">
        <f>IF(VLOOKUP(A79,'1) Kpler'!$E$2:$P$1000,8, FALSE)="","",VLOOKUP(A79,'1) Kpler'!$E$2:$P$1000,8, FALSE))</f>
        <v>Singapore</v>
      </c>
      <c r="W79" s="147">
        <f>IF(VLOOKUP(A79,'1) Kpler'!$E$2:$P$1000,9,FALSE)="","",VLOOKUP(A79,'1) Kpler'!$E$2:$P$1000,9,FALSE))</f>
        <v>46133.5</v>
      </c>
      <c r="X79" s="146" t="str">
        <f>VLOOKUP(A79,'1) Kpler'!$E$2:$I$1000,4,FALSE)</f>
        <v>loaded</v>
      </c>
      <c r="Y79" s="93" t="str">
        <f t="shared" si="0"/>
        <v>06-07 May</v>
      </c>
      <c r="Z79" s="93" t="str">
        <f t="shared" si="1"/>
        <v>29-30 May</v>
      </c>
      <c r="AA79" s="93" t="str">
        <f t="shared" si="2"/>
        <v>30-31 May</v>
      </c>
      <c r="AB79" s="93" t="str">
        <f t="shared" si="3"/>
        <v>16-17 May</v>
      </c>
      <c r="AC79" s="93" t="str">
        <f t="shared" si="4"/>
        <v>24-25 May</v>
      </c>
      <c r="AD79" s="93" t="str">
        <f t="shared" si="5"/>
        <v>28-29 Apr</v>
      </c>
      <c r="AE79" s="179" t="str">
        <f t="shared" si="6"/>
        <v>01-02 May</v>
      </c>
      <c r="AF79" s="180" t="str">
        <f t="shared" si="7"/>
        <v>03-04 Jun</v>
      </c>
      <c r="AG79" s="93" t="str">
        <f t="shared" si="8"/>
        <v>06-07 May</v>
      </c>
      <c r="AH79" s="94">
        <f>IFERROR($M79+VLOOKUP($L79,'Voyage days'!$F$38:$H$89,3,FALSE),"")</f>
        <v>46148</v>
      </c>
      <c r="AI79" s="94">
        <f>IFERROR(N79+VLOOKUP($L79,'Voyage days'!$F$38:$H$89,3,FALSE),"")</f>
        <v>46149</v>
      </c>
      <c r="AJ79" s="93" t="str">
        <f t="shared" si="9"/>
        <v>29-30 May</v>
      </c>
      <c r="AK79" s="94">
        <f>IFERROR($M79+VLOOKUP($L79,'Voyage days'!$F$94:$H$193,3,FALSE),"")</f>
        <v>46171</v>
      </c>
      <c r="AL79" s="94">
        <f>IFERROR($N79+VLOOKUP($L79,'Voyage days'!$F$94:$H$193,3,FALSE),"")</f>
        <v>46172</v>
      </c>
      <c r="AM79" s="93" t="str">
        <f t="shared" si="10"/>
        <v>30-31 May</v>
      </c>
      <c r="AN79" s="94">
        <f>IFERROR($M79+VLOOKUP($L79,'Voyage days'!$F$203:$H$256,3,FALSE),"")</f>
        <v>46172</v>
      </c>
      <c r="AO79" s="94">
        <f>IFERROR($N79+VLOOKUP($L79,'Voyage days'!$F$203:$H$256,3,FALSE),"")</f>
        <v>46173</v>
      </c>
      <c r="AP79" s="93" t="str">
        <f t="shared" si="11"/>
        <v>16-17 May</v>
      </c>
      <c r="AQ79" s="94">
        <f>IFERROR($M79+VLOOKUP($L79,'Voyage days'!$F$294:$H$377,3,FALSE),"")</f>
        <v>46158</v>
      </c>
      <c r="AR79" s="94">
        <f>IFERROR($N79+VLOOKUP($L79,'Voyage days'!$F$294:$H$377,3,FALSE),"")</f>
        <v>46159</v>
      </c>
      <c r="AS79" s="93" t="str">
        <f t="shared" si="12"/>
        <v>24-25 May</v>
      </c>
      <c r="AT79" s="94">
        <f>IFERROR($M79+VLOOKUP($L79,'Voyage days'!$F$382:$H$446,3,FALSE),"")</f>
        <v>46166</v>
      </c>
      <c r="AU79" s="94">
        <f>IFERROR($N79+VLOOKUP($L79,'Voyage days'!$F$382:$H$446,3,FALSE),"")</f>
        <v>46167</v>
      </c>
      <c r="AV79" s="93" t="str">
        <f t="shared" si="13"/>
        <v>07-08 May</v>
      </c>
      <c r="AW79" s="94">
        <f>IFERROR($M79+VLOOKUP($L79,'Voyage days'!$F$483:$H$538,3,FALSE),"")</f>
        <v>46149</v>
      </c>
      <c r="AX79" s="94">
        <f>IFERROR($N79+VLOOKUP($L79,'Voyage days'!$F$483:$H$538,3,FALSE),"")</f>
        <v>46150</v>
      </c>
      <c r="AY79" s="93" t="str">
        <f t="shared" si="14"/>
        <v>01-02 May</v>
      </c>
      <c r="AZ79" s="94">
        <f>IFERROR($M79+VLOOKUP($L79,'Voyage days'!$F$540:$H$613,3,FALSE),"")</f>
        <v>46143</v>
      </c>
      <c r="BA79" s="94">
        <f>IFERROR($N79+VLOOKUP($L79,'Voyage days'!$F$540:$H$613,3,FALSE),"")</f>
        <v>46144</v>
      </c>
      <c r="BB79" s="93" t="str">
        <f t="shared" si="15"/>
        <v>28-29 Apr</v>
      </c>
      <c r="BC79" s="94">
        <f>IFERROR($M79+VLOOKUP($L79,'Voyage days'!$F$448:$H$479,3,FALSE),"")</f>
        <v>46140</v>
      </c>
      <c r="BD79" s="94">
        <f>IFERROR($N79+VLOOKUP($L79,'Voyage days'!$F$448:$H$479,3,FALSE),"")</f>
        <v>46141</v>
      </c>
      <c r="BE79" s="93" t="str">
        <f t="shared" si="16"/>
        <v/>
      </c>
      <c r="BF79" s="95" t="str">
        <f>IFERROR($M79+VLOOKUP($L79,'Voyage days'!$F$620:$H$646,3,FALSE),"")</f>
        <v/>
      </c>
      <c r="BG79" s="95" t="str">
        <f>IFERROR($N79+VLOOKUP($L79,'Voyage days'!$F$620:$H$646,3,FALSE),"")</f>
        <v/>
      </c>
      <c r="BH79" s="93" t="str">
        <f t="shared" si="17"/>
        <v>06-04 Jun</v>
      </c>
      <c r="BI79" s="96">
        <f>IFERROR($M79+VLOOKUP($L79,'Voyage days'!$F$702:$H$727,3,FALSE),"")</f>
        <v>46148</v>
      </c>
      <c r="BJ79" s="93" t="str">
        <f t="shared" si="18"/>
        <v>03-04 Jun</v>
      </c>
      <c r="BK79" s="95">
        <f>IFERROR($M79+VLOOKUP($L79,'Voyage days'!$F$807:$H$878,3,FALSE),"")</f>
        <v>46176</v>
      </c>
      <c r="BL79" s="95">
        <f>IFERROR($N79+VLOOKUP($L79,'Voyage days'!$F$807:$H$878,3,FALSE),"")</f>
        <v>46177</v>
      </c>
      <c r="BM79" s="95">
        <f>IFERROR($N79+VLOOKUP($L79,'Voyage days'!$F$807:$K$878,6,FALSE),"")</f>
        <v>46153</v>
      </c>
      <c r="BN79" s="94" t="str">
        <f>IF(L79="loads AG", IFERROR($M79+VLOOKUP($L79,'Voyage days'!$M$38:$O$38,3,FALSE),""),"")</f>
        <v/>
      </c>
      <c r="BO79" s="94" t="str">
        <f>IF(L79="loads USG", IFERROR($M79+VLOOKUP($L79,'Voyage days'!$L$203:$N$203,3,FALSE),""),"")</f>
        <v/>
      </c>
    </row>
    <row r="80" spans="1:67" ht="14.25" customHeight="1" x14ac:dyDescent="0.25">
      <c r="A80" s="218" t="s">
        <v>284</v>
      </c>
      <c r="B80" s="75">
        <v>41645</v>
      </c>
      <c r="C80" s="76">
        <v>84000</v>
      </c>
      <c r="D80" s="120"/>
      <c r="E80" s="77" t="s">
        <v>757</v>
      </c>
      <c r="F80" s="121"/>
      <c r="G80" s="121"/>
      <c r="H80" s="121"/>
      <c r="I80" s="249" t="s">
        <v>912</v>
      </c>
      <c r="J80" s="311" t="str">
        <f t="shared" si="21"/>
        <v/>
      </c>
      <c r="K80" s="123"/>
      <c r="L80" s="124" t="s">
        <v>734</v>
      </c>
      <c r="M80" s="189">
        <v>46162</v>
      </c>
      <c r="N80" s="222">
        <v>46163</v>
      </c>
      <c r="O80" s="312"/>
      <c r="P80" s="124" t="s">
        <v>913</v>
      </c>
      <c r="Q80" s="124"/>
      <c r="R80" s="124" t="s">
        <v>914</v>
      </c>
      <c r="S80" s="313" t="s">
        <v>724</v>
      </c>
      <c r="T80" s="232">
        <v>46132</v>
      </c>
      <c r="U80" s="87" t="str">
        <f>IF(V80="","No AIS",VLOOKUP(V80,'Voyage days'!$A$3:$B$1480,2,FALSE))</f>
        <v>Indo + 4</v>
      </c>
      <c r="V80" s="87" t="str">
        <f>IF(VLOOKUP(A80,'1) Kpler'!$E$2:$P$1000,8, FALSE)="","",VLOOKUP(A80,'1) Kpler'!$E$2:$P$1000,8, FALSE))</f>
        <v>Oiltank. Merak</v>
      </c>
      <c r="W80" s="128">
        <f>IF(VLOOKUP(A80,'1) Kpler'!$E$2:$P$1000,9,FALSE)="","",VLOOKUP(A80,'1) Kpler'!$E$2:$P$1000,9,FALSE))</f>
        <v>46158.166666666664</v>
      </c>
      <c r="X80" s="87" t="str">
        <f>VLOOKUP(A80,'1) Kpler'!$E$2:$I$1000,4,FALSE)</f>
        <v>loaded</v>
      </c>
      <c r="Y80" s="234" t="str">
        <f t="shared" si="0"/>
        <v>31-01 Jun</v>
      </c>
      <c r="Z80" s="234" t="str">
        <f t="shared" si="1"/>
        <v>27-28 Jun</v>
      </c>
      <c r="AA80" s="234" t="str">
        <f t="shared" si="2"/>
        <v>26-27 Jun</v>
      </c>
      <c r="AB80" s="234" t="str">
        <f t="shared" si="3"/>
        <v>09-10 Jun</v>
      </c>
      <c r="AC80" s="234" t="str">
        <f t="shared" si="4"/>
        <v>18-19 Jun</v>
      </c>
      <c r="AD80" s="234" t="str">
        <f t="shared" si="5"/>
        <v>23-24 May</v>
      </c>
      <c r="AE80" s="235" t="str">
        <f t="shared" si="6"/>
        <v>24-25 May</v>
      </c>
      <c r="AF80" s="92" t="str">
        <f t="shared" si="7"/>
        <v>26-27 Jun</v>
      </c>
      <c r="AG80" s="131" t="str">
        <f t="shared" si="8"/>
        <v>31-01 Jun</v>
      </c>
      <c r="AH80" s="95">
        <f>IFERROR($M80+VLOOKUP($L80,'Voyage days'!$F$38:$H$89,3,FALSE),"")</f>
        <v>46173</v>
      </c>
      <c r="AI80" s="95">
        <f>IFERROR(N80+VLOOKUP($L80,'Voyage days'!$F$38:$H$89,3,FALSE),"")</f>
        <v>46174</v>
      </c>
      <c r="AJ80" s="131" t="str">
        <f t="shared" si="9"/>
        <v>27-28 Jun</v>
      </c>
      <c r="AK80" s="95">
        <f>IFERROR($M80+VLOOKUP($L80,'Voyage days'!$F$94:$H$193,3,FALSE),"")</f>
        <v>46200</v>
      </c>
      <c r="AL80" s="95">
        <f>IFERROR($N80+VLOOKUP($L80,'Voyage days'!$F$94:$H$193,3,FALSE),"")</f>
        <v>46201</v>
      </c>
      <c r="AM80" s="131" t="str">
        <f t="shared" si="10"/>
        <v>26-27 Jun</v>
      </c>
      <c r="AN80" s="95">
        <f>IFERROR($M80+VLOOKUP($L80,'Voyage days'!$F$203:$H$256,3,FALSE),"")</f>
        <v>46199</v>
      </c>
      <c r="AO80" s="95">
        <f>IFERROR($N80+VLOOKUP($L80,'Voyage days'!$F$203:$H$256,3,FALSE),"")</f>
        <v>46200</v>
      </c>
      <c r="AP80" s="131" t="str">
        <f t="shared" si="11"/>
        <v>09-10 Jun</v>
      </c>
      <c r="AQ80" s="95">
        <f>IFERROR($M80+VLOOKUP($L80,'Voyage days'!$F$294:$H$377,3,FALSE),"")</f>
        <v>46182</v>
      </c>
      <c r="AR80" s="95">
        <f>IFERROR($N80+VLOOKUP($L80,'Voyage days'!$F$294:$H$377,3,FALSE),"")</f>
        <v>46183</v>
      </c>
      <c r="AS80" s="131" t="str">
        <f t="shared" si="12"/>
        <v>18-19 Jun</v>
      </c>
      <c r="AT80" s="95">
        <f>IFERROR($M80+VLOOKUP($L80,'Voyage days'!$F$382:$H$446,3,FALSE),"")</f>
        <v>46191</v>
      </c>
      <c r="AU80" s="95">
        <f>IFERROR($N80+VLOOKUP($L80,'Voyage days'!$F$382:$H$446,3,FALSE),"")</f>
        <v>46192</v>
      </c>
      <c r="AV80" s="131" t="str">
        <f t="shared" si="13"/>
        <v>29-30 May</v>
      </c>
      <c r="AW80" s="95">
        <f>IFERROR($M80+VLOOKUP($L80,'Voyage days'!$F$483:$H$538,3,FALSE),"")</f>
        <v>46171</v>
      </c>
      <c r="AX80" s="95">
        <f>IFERROR($N80+VLOOKUP($L80,'Voyage days'!$F$483:$H$538,3,FALSE),"")</f>
        <v>46172</v>
      </c>
      <c r="AY80" s="131" t="str">
        <f t="shared" si="14"/>
        <v>24-25 May</v>
      </c>
      <c r="AZ80" s="95">
        <f>IFERROR($M80+VLOOKUP($L80,'Voyage days'!$F$540:$H$613,3,FALSE),"")</f>
        <v>46166</v>
      </c>
      <c r="BA80" s="95">
        <f>IFERROR($N80+VLOOKUP($L80,'Voyage days'!$F$540:$H$613,3,FALSE),"")</f>
        <v>46167</v>
      </c>
      <c r="BB80" s="131" t="str">
        <f t="shared" si="15"/>
        <v>23-24 May</v>
      </c>
      <c r="BC80" s="94">
        <f>IFERROR($M80+VLOOKUP($L80,'Voyage days'!$F$448:$H$479,3,FALSE),"")</f>
        <v>46165</v>
      </c>
      <c r="BD80" s="94">
        <f>IFERROR($N80+VLOOKUP($L80,'Voyage days'!$F$448:$H$479,3,FALSE),"")</f>
        <v>46166</v>
      </c>
      <c r="BE80" s="131" t="str">
        <f t="shared" si="16"/>
        <v/>
      </c>
      <c r="BF80" s="95" t="str">
        <f>IFERROR($M80+VLOOKUP($L80,'Voyage days'!$F$620:$H$646,3,FALSE),"")</f>
        <v/>
      </c>
      <c r="BG80" s="95" t="str">
        <f>IFERROR($N80+VLOOKUP($L80,'Voyage days'!$F$620:$H$646,3,FALSE),"")</f>
        <v/>
      </c>
      <c r="BH80" s="131" t="str">
        <f t="shared" si="17"/>
        <v>28-27 Jun</v>
      </c>
      <c r="BI80" s="96">
        <f>IFERROR($M80+VLOOKUP($L80,'Voyage days'!$F$702:$H$727,3,FALSE),"")</f>
        <v>46170</v>
      </c>
      <c r="BJ80" s="131" t="str">
        <f t="shared" si="18"/>
        <v>26-27 Jun</v>
      </c>
      <c r="BK80" s="95">
        <f>IFERROR($M80+VLOOKUP($L80,'Voyage days'!$F$807:$H$878,3,FALSE),"")</f>
        <v>46199</v>
      </c>
      <c r="BL80" s="95">
        <f>IFERROR($N80+VLOOKUP($L80,'Voyage days'!$F$807:$H$878,3,FALSE),"")</f>
        <v>46200</v>
      </c>
      <c r="BM80" s="95">
        <f>IFERROR($N80+VLOOKUP($L80,'Voyage days'!$F$807:$K$878,6,FALSE),"")</f>
        <v>46176</v>
      </c>
      <c r="BN80" s="94" t="str">
        <f>IF(L80="loads AG", IFERROR($M80+VLOOKUP($L80,'Voyage days'!$M$38:$O$38,3,FALSE),""),"")</f>
        <v/>
      </c>
      <c r="BO80" s="94" t="str">
        <f>IF(L80="loads USG", IFERROR($M80+VLOOKUP($L80,'Voyage days'!$L$203:$N$203,3,FALSE),""),"")</f>
        <v/>
      </c>
    </row>
    <row r="81" spans="1:68" ht="15.75" customHeight="1" x14ac:dyDescent="0.25">
      <c r="A81" s="74" t="s">
        <v>281</v>
      </c>
      <c r="B81" s="75">
        <v>43102</v>
      </c>
      <c r="C81" s="76">
        <v>85000</v>
      </c>
      <c r="D81" s="77"/>
      <c r="E81" s="77" t="s">
        <v>757</v>
      </c>
      <c r="F81" s="78"/>
      <c r="G81" s="78"/>
      <c r="H81" s="78" t="s">
        <v>713</v>
      </c>
      <c r="I81" s="233" t="s">
        <v>912</v>
      </c>
      <c r="J81" s="80" t="str">
        <f t="shared" si="21"/>
        <v/>
      </c>
      <c r="K81" s="81"/>
      <c r="L81" s="82" t="s">
        <v>718</v>
      </c>
      <c r="M81" s="83">
        <v>46136</v>
      </c>
      <c r="N81" s="83">
        <v>46137</v>
      </c>
      <c r="O81" s="206"/>
      <c r="P81" s="82" t="s">
        <v>915</v>
      </c>
      <c r="Q81" s="82"/>
      <c r="R81" s="82" t="s">
        <v>916</v>
      </c>
      <c r="S81" s="313" t="s">
        <v>724</v>
      </c>
      <c r="T81" s="232">
        <v>46132</v>
      </c>
      <c r="U81" s="87" t="str">
        <f>IF(V81="","No AIS",VLOOKUP(V81,'Voyage days'!$A$3:$B$1480,2,FALSE))</f>
        <v>USG</v>
      </c>
      <c r="V81" s="88" t="str">
        <f>IF(VLOOKUP(A81,'1) Kpler'!$E$2:$P$1000,8, FALSE)="","",VLOOKUP(A81,'1) Kpler'!$E$2:$P$1000,8, FALSE))</f>
        <v>Houston</v>
      </c>
      <c r="W81" s="89">
        <f>IF(VLOOKUP(A81,'1) Kpler'!$E$2:$P$1000,9,FALSE)="","",VLOOKUP(A81,'1) Kpler'!$E$2:$P$1000,9,FALSE))</f>
        <v>46134.333333333336</v>
      </c>
      <c r="X81" s="88" t="str">
        <f>VLOOKUP(A81,'1) Kpler'!$E$2:$I$1000,4,FALSE)</f>
        <v>ballast</v>
      </c>
      <c r="Y81" s="63" t="str">
        <f t="shared" si="0"/>
        <v/>
      </c>
      <c r="Z81" s="63" t="str">
        <f t="shared" si="1"/>
        <v>24-25 Apr</v>
      </c>
      <c r="AA81" s="63" t="str">
        <f t="shared" si="2"/>
        <v>24-25 Apr</v>
      </c>
      <c r="AB81" s="63" t="str">
        <f t="shared" si="3"/>
        <v/>
      </c>
      <c r="AC81" s="63" t="str">
        <f t="shared" si="4"/>
        <v>14-15 May</v>
      </c>
      <c r="AD81" s="63" t="str">
        <f t="shared" si="5"/>
        <v/>
      </c>
      <c r="AE81" s="129" t="str">
        <f t="shared" si="6"/>
        <v/>
      </c>
      <c r="AF81" s="130" t="str">
        <f t="shared" si="7"/>
        <v/>
      </c>
      <c r="AG81" s="93" t="str">
        <f t="shared" si="8"/>
        <v/>
      </c>
      <c r="AH81" s="94" t="str">
        <f>IFERROR($M81+VLOOKUP($L81,'Voyage days'!$F$38:$H$89,3,FALSE),"")</f>
        <v/>
      </c>
      <c r="AI81" s="94" t="str">
        <f>IFERROR(N81+VLOOKUP($L81,'Voyage days'!$F$38:$H$89,3,FALSE),"")</f>
        <v/>
      </c>
      <c r="AJ81" s="93" t="str">
        <f t="shared" si="9"/>
        <v>24-25 Apr</v>
      </c>
      <c r="AK81" s="94">
        <f>IFERROR($M81+VLOOKUP($L81,'Voyage days'!$F$94:$H$193,3,FALSE),"")</f>
        <v>46136</v>
      </c>
      <c r="AL81" s="94">
        <f>IFERROR($N81+VLOOKUP($L81,'Voyage days'!$F$94:$H$193,3,FALSE),"")</f>
        <v>46137</v>
      </c>
      <c r="AM81" s="93" t="str">
        <f t="shared" si="10"/>
        <v>24-25 Apr</v>
      </c>
      <c r="AN81" s="94">
        <f>IFERROR($M81+VLOOKUP($L81,'Voyage days'!$F$203:$H$256,3,FALSE),"")</f>
        <v>46136</v>
      </c>
      <c r="AO81" s="94">
        <f>IFERROR($N81+VLOOKUP($L81,'Voyage days'!$F$203:$H$256,3,FALSE),"")</f>
        <v>46137</v>
      </c>
      <c r="AP81" s="93" t="str">
        <f t="shared" si="11"/>
        <v/>
      </c>
      <c r="AQ81" s="94" t="str">
        <f>IFERROR($M81+VLOOKUP($L81,'Voyage days'!$F$294:$H$377,3,FALSE),"")</f>
        <v/>
      </c>
      <c r="AR81" s="94" t="str">
        <f>IFERROR($N81+VLOOKUP($L81,'Voyage days'!$F$294:$H$377,3,FALSE),"")</f>
        <v/>
      </c>
      <c r="AS81" s="93" t="str">
        <f t="shared" si="12"/>
        <v>14-15 May</v>
      </c>
      <c r="AT81" s="94">
        <f>IFERROR($M81+VLOOKUP($L81,'Voyage days'!$F$382:$H$446,3,FALSE),"")</f>
        <v>46156</v>
      </c>
      <c r="AU81" s="94">
        <f>IFERROR($N81+VLOOKUP($L81,'Voyage days'!$F$382:$H$446,3,FALSE),"")</f>
        <v>46157</v>
      </c>
      <c r="AV81" s="93" t="str">
        <f t="shared" si="13"/>
        <v/>
      </c>
      <c r="AW81" s="94" t="str">
        <f>IFERROR($M81+VLOOKUP($L81,'Voyage days'!$F$483:$H$538,3,FALSE),"")</f>
        <v/>
      </c>
      <c r="AX81" s="94" t="str">
        <f>IFERROR($N81+VLOOKUP($L81,'Voyage days'!$F$483:$H$538,3,FALSE),"")</f>
        <v/>
      </c>
      <c r="AY81" s="93" t="str">
        <f t="shared" si="14"/>
        <v/>
      </c>
      <c r="AZ81" s="94" t="str">
        <f>IFERROR($M81+VLOOKUP($L81,'Voyage days'!$F$540:$H$613,3,FALSE),"")</f>
        <v/>
      </c>
      <c r="BA81" s="94" t="str">
        <f>IFERROR($N81+VLOOKUP($L81,'Voyage days'!$F$540:$H$613,3,FALSE),"")</f>
        <v/>
      </c>
      <c r="BB81" s="93" t="str">
        <f t="shared" si="15"/>
        <v/>
      </c>
      <c r="BC81" s="94" t="str">
        <f>IFERROR($M81+VLOOKUP($L81,'Voyage days'!$F$448:$H$479,3,FALSE),"")</f>
        <v/>
      </c>
      <c r="BD81" s="94" t="str">
        <f>IFERROR($N81+VLOOKUP($L81,'Voyage days'!$F$448:$H$479,3,FALSE),"")</f>
        <v/>
      </c>
      <c r="BE81" s="93" t="str">
        <f t="shared" si="16"/>
        <v/>
      </c>
      <c r="BF81" s="95" t="str">
        <f>IFERROR($M81+VLOOKUP($L81,'Voyage days'!$F$620:$H$646,3,FALSE),"")</f>
        <v/>
      </c>
      <c r="BG81" s="95" t="str">
        <f>IFERROR($N81+VLOOKUP($L81,'Voyage days'!$F$620:$H$646,3,FALSE),"")</f>
        <v/>
      </c>
      <c r="BH81" s="93" t="str">
        <f t="shared" si="17"/>
        <v/>
      </c>
      <c r="BI81" s="96" t="str">
        <f>IFERROR($M81+VLOOKUP($L81,'Voyage days'!$F$702:$H$727,3,FALSE),"")</f>
        <v/>
      </c>
      <c r="BJ81" s="93" t="str">
        <f t="shared" si="18"/>
        <v/>
      </c>
      <c r="BK81" s="95" t="str">
        <f>IFERROR($M81+VLOOKUP($L81,'Voyage days'!$F$807:$H$878,3,FALSE),"")</f>
        <v/>
      </c>
      <c r="BL81" s="95" t="str">
        <f>IFERROR($N81+VLOOKUP($L81,'Voyage days'!$F$807:$H$878,3,FALSE),"")</f>
        <v/>
      </c>
      <c r="BM81" s="95" t="str">
        <f>IFERROR($N81+VLOOKUP($L81,'Voyage days'!$F$807:$K$878,6,FALSE),"")</f>
        <v/>
      </c>
      <c r="BN81" s="94" t="str">
        <f>IF(L81="loads AG", IFERROR($M81+VLOOKUP($L81,'Voyage days'!$M$38:$O$38,3,FALSE),""),"")</f>
        <v/>
      </c>
      <c r="BO81" s="94">
        <f>IF(L81="loads USG", IFERROR($M81+VLOOKUP($L81,'Voyage days'!$L$203:$N$203,3,FALSE),""),"")</f>
        <v>46168</v>
      </c>
    </row>
    <row r="82" spans="1:68" ht="15.75" customHeight="1" x14ac:dyDescent="0.25">
      <c r="A82" s="218" t="s">
        <v>321</v>
      </c>
      <c r="B82" s="119">
        <v>2020</v>
      </c>
      <c r="C82" s="76">
        <v>84000</v>
      </c>
      <c r="D82" s="120"/>
      <c r="E82" s="120"/>
      <c r="F82" s="121"/>
      <c r="G82" s="121"/>
      <c r="H82" s="121" t="s">
        <v>739</v>
      </c>
      <c r="I82" s="249" t="s">
        <v>912</v>
      </c>
      <c r="J82" s="122" t="str">
        <f t="shared" si="21"/>
        <v/>
      </c>
      <c r="K82" s="81"/>
      <c r="L82" s="124" t="s">
        <v>718</v>
      </c>
      <c r="M82" s="222">
        <v>46145</v>
      </c>
      <c r="N82" s="222">
        <v>46146</v>
      </c>
      <c r="O82" s="206"/>
      <c r="P82" s="82" t="s">
        <v>917</v>
      </c>
      <c r="Q82" s="124"/>
      <c r="R82" s="82" t="s">
        <v>918</v>
      </c>
      <c r="S82" s="313" t="s">
        <v>724</v>
      </c>
      <c r="T82" s="232">
        <v>46132</v>
      </c>
      <c r="U82" s="87" t="str">
        <f>IF(V82="","No AIS",VLOOKUP(V82,'Voyage days'!$A$3:$B$1480,2,FALSE))</f>
        <v>USG</v>
      </c>
      <c r="V82" s="87" t="str">
        <f>IF(VLOOKUP(A82,'1) Kpler'!$E$2:$P$1000,8, FALSE)="","",VLOOKUP(A82,'1) Kpler'!$E$2:$P$1000,8, FALSE))</f>
        <v>Houston</v>
      </c>
      <c r="W82" s="128">
        <f>IF(VLOOKUP(A82,'1) Kpler'!$E$2:$P$1000,9,FALSE)="","",VLOOKUP(A82,'1) Kpler'!$E$2:$P$1000,9,FALSE))</f>
        <v>46142.791666666664</v>
      </c>
      <c r="X82" s="87" t="str">
        <f>VLOOKUP(A82,'1) Kpler'!$E$2:$I$1000,4,FALSE)</f>
        <v>ballast</v>
      </c>
      <c r="Y82" s="90" t="str">
        <f t="shared" si="0"/>
        <v/>
      </c>
      <c r="Z82" s="90" t="str">
        <f t="shared" si="1"/>
        <v>03-04 May</v>
      </c>
      <c r="AA82" s="90" t="str">
        <f t="shared" si="2"/>
        <v>03-04 May</v>
      </c>
      <c r="AB82" s="90" t="str">
        <f t="shared" si="3"/>
        <v/>
      </c>
      <c r="AC82" s="90" t="str">
        <f t="shared" si="4"/>
        <v>23-24 May</v>
      </c>
      <c r="AD82" s="90" t="str">
        <f t="shared" si="5"/>
        <v/>
      </c>
      <c r="AE82" s="91" t="str">
        <f t="shared" si="6"/>
        <v/>
      </c>
      <c r="AF82" s="92" t="str">
        <f t="shared" si="7"/>
        <v/>
      </c>
      <c r="AG82" s="131" t="str">
        <f t="shared" si="8"/>
        <v/>
      </c>
      <c r="AH82" s="95" t="str">
        <f>IFERROR($M82+VLOOKUP($L82,'Voyage days'!$F$38:$H$89,3,FALSE),"")</f>
        <v/>
      </c>
      <c r="AI82" s="95" t="str">
        <f>IFERROR(N82+VLOOKUP($L82,'Voyage days'!$F$38:$H$89,3,FALSE),"")</f>
        <v/>
      </c>
      <c r="AJ82" s="131" t="str">
        <f t="shared" si="9"/>
        <v>03-04 May</v>
      </c>
      <c r="AK82" s="95">
        <f>IFERROR($M82+VLOOKUP($L82,'Voyage days'!$F$94:$H$193,3,FALSE),"")</f>
        <v>46145</v>
      </c>
      <c r="AL82" s="95">
        <f>IFERROR($N82+VLOOKUP($L82,'Voyage days'!$F$94:$H$193,3,FALSE),"")</f>
        <v>46146</v>
      </c>
      <c r="AM82" s="131" t="str">
        <f t="shared" si="10"/>
        <v>03-04 May</v>
      </c>
      <c r="AN82" s="95">
        <f>IFERROR($M82+VLOOKUP($L82,'Voyage days'!$F$203:$H$256,3,FALSE),"")</f>
        <v>46145</v>
      </c>
      <c r="AO82" s="95">
        <f>IFERROR($N82+VLOOKUP($L82,'Voyage days'!$F$203:$H$256,3,FALSE),"")</f>
        <v>46146</v>
      </c>
      <c r="AP82" s="131" t="str">
        <f t="shared" si="11"/>
        <v/>
      </c>
      <c r="AQ82" s="95" t="str">
        <f>IFERROR($M82+VLOOKUP($L82,'Voyage days'!$F$294:$H$377,3,FALSE),"")</f>
        <v/>
      </c>
      <c r="AR82" s="95" t="str">
        <f>IFERROR($N82+VLOOKUP($L82,'Voyage days'!$F$294:$H$377,3,FALSE),"")</f>
        <v/>
      </c>
      <c r="AS82" s="131" t="str">
        <f t="shared" si="12"/>
        <v>23-24 May</v>
      </c>
      <c r="AT82" s="95">
        <f>IFERROR($M82+VLOOKUP($L82,'Voyage days'!$F$382:$H$446,3,FALSE),"")</f>
        <v>46165</v>
      </c>
      <c r="AU82" s="95">
        <f>IFERROR($N82+VLOOKUP($L82,'Voyage days'!$F$382:$H$446,3,FALSE),"")</f>
        <v>46166</v>
      </c>
      <c r="AV82" s="131" t="str">
        <f t="shared" si="13"/>
        <v/>
      </c>
      <c r="AW82" s="95" t="str">
        <f>IFERROR($M82+VLOOKUP($L82,'Voyage days'!$F$483:$H$538,3,FALSE),"")</f>
        <v/>
      </c>
      <c r="AX82" s="95" t="str">
        <f>IFERROR($N82+VLOOKUP($L82,'Voyage days'!$F$483:$H$538,3,FALSE),"")</f>
        <v/>
      </c>
      <c r="AY82" s="131" t="str">
        <f t="shared" si="14"/>
        <v/>
      </c>
      <c r="AZ82" s="95" t="str">
        <f>IFERROR($M82+VLOOKUP($L82,'Voyage days'!$F$540:$H$613,3,FALSE),"")</f>
        <v/>
      </c>
      <c r="BA82" s="95" t="str">
        <f>IFERROR($N82+VLOOKUP($L82,'Voyage days'!$F$540:$H$613,3,FALSE),"")</f>
        <v/>
      </c>
      <c r="BB82" s="131" t="str">
        <f t="shared" si="15"/>
        <v/>
      </c>
      <c r="BC82" s="94" t="str">
        <f>IFERROR($M82+VLOOKUP($L82,'Voyage days'!$F$448:$H$479,3,FALSE),"")</f>
        <v/>
      </c>
      <c r="BD82" s="94" t="str">
        <f>IFERROR($N82+VLOOKUP($L82,'Voyage days'!$F$448:$H$479,3,FALSE),"")</f>
        <v/>
      </c>
      <c r="BE82" s="131" t="str">
        <f t="shared" si="16"/>
        <v/>
      </c>
      <c r="BF82" s="95" t="str">
        <f>IFERROR($M82+VLOOKUP($L82,'Voyage days'!$F$620:$H$646,3,FALSE),"")</f>
        <v/>
      </c>
      <c r="BG82" s="95" t="str">
        <f>IFERROR($N82+VLOOKUP($L82,'Voyage days'!$F$620:$H$646,3,FALSE),"")</f>
        <v/>
      </c>
      <c r="BH82" s="131" t="str">
        <f t="shared" si="17"/>
        <v/>
      </c>
      <c r="BI82" s="96" t="str">
        <f>IFERROR($M82+VLOOKUP($L82,'Voyage days'!$F$702:$H$727,3,FALSE),"")</f>
        <v/>
      </c>
      <c r="BJ82" s="131" t="str">
        <f t="shared" si="18"/>
        <v/>
      </c>
      <c r="BK82" s="95" t="str">
        <f>IFERROR($M82+VLOOKUP($L82,'Voyage days'!$F$807:$H$878,3,FALSE),"")</f>
        <v/>
      </c>
      <c r="BL82" s="95" t="str">
        <f>IFERROR($N82+VLOOKUP($L82,'Voyage days'!$F$807:$H$878,3,FALSE),"")</f>
        <v/>
      </c>
      <c r="BM82" s="95" t="str">
        <f>IFERROR($N82+VLOOKUP($L82,'Voyage days'!$F$807:$K$878,6,FALSE),"")</f>
        <v/>
      </c>
      <c r="BN82" s="94" t="str">
        <f>IF(L82="loads AG", IFERROR($M82+VLOOKUP($L82,'Voyage days'!$M$38:$O$38,3,FALSE),""),"")</f>
        <v/>
      </c>
      <c r="BO82" s="94">
        <f>IF(L82="loads USG", IFERROR($M82+VLOOKUP($L82,'Voyage days'!$L$203:$N$203,3,FALSE),""),"")</f>
        <v>46177</v>
      </c>
    </row>
    <row r="83" spans="1:68" ht="15.75" customHeight="1" x14ac:dyDescent="0.25">
      <c r="A83" s="74" t="s">
        <v>331</v>
      </c>
      <c r="B83" s="75">
        <v>41883</v>
      </c>
      <c r="C83" s="76">
        <v>84000</v>
      </c>
      <c r="D83" s="77"/>
      <c r="E83" s="77"/>
      <c r="F83" s="78"/>
      <c r="G83" s="78"/>
      <c r="H83" s="78" t="s">
        <v>739</v>
      </c>
      <c r="I83" s="233" t="s">
        <v>912</v>
      </c>
      <c r="J83" s="80" t="str">
        <f t="shared" si="21"/>
        <v/>
      </c>
      <c r="K83" s="81"/>
      <c r="L83" s="82" t="s">
        <v>718</v>
      </c>
      <c r="M83" s="83">
        <v>46154</v>
      </c>
      <c r="N83" s="83">
        <v>46155</v>
      </c>
      <c r="O83" s="206"/>
      <c r="P83" s="82" t="s">
        <v>919</v>
      </c>
      <c r="Q83" s="82"/>
      <c r="R83" s="82" t="s">
        <v>920</v>
      </c>
      <c r="S83" s="313" t="s">
        <v>724</v>
      </c>
      <c r="T83" s="232">
        <v>46132</v>
      </c>
      <c r="U83" s="87" t="str">
        <f>IF(V83="","No AIS",VLOOKUP(V83,'Voyage days'!$A$3:$B$1480,2,FALSE))</f>
        <v>USG</v>
      </c>
      <c r="V83" s="88" t="str">
        <f>IF(VLOOKUP(A83,'1) Kpler'!$E$2:$P$1000,8, FALSE)="","",VLOOKUP(A83,'1) Kpler'!$E$2:$P$1000,8, FALSE))</f>
        <v>Bay Area Houston</v>
      </c>
      <c r="W83" s="89">
        <f>IF(VLOOKUP(A83,'1) Kpler'!$E$2:$P$1000,9,FALSE)="","",VLOOKUP(A83,'1) Kpler'!$E$2:$P$1000,9,FALSE))</f>
        <v>46149.416666666664</v>
      </c>
      <c r="X83" s="88" t="str">
        <f>VLOOKUP(A83,'1) Kpler'!$E$2:$I$1000,4,FALSE)</f>
        <v>ballast</v>
      </c>
      <c r="Y83" s="63" t="str">
        <f t="shared" si="0"/>
        <v/>
      </c>
      <c r="Z83" s="63" t="str">
        <f t="shared" si="1"/>
        <v>12-13 May</v>
      </c>
      <c r="AA83" s="63" t="str">
        <f t="shared" si="2"/>
        <v>12-13 May</v>
      </c>
      <c r="AB83" s="63" t="str">
        <f t="shared" si="3"/>
        <v/>
      </c>
      <c r="AC83" s="63" t="str">
        <f t="shared" si="4"/>
        <v>01-02 Jun</v>
      </c>
      <c r="AD83" s="63" t="str">
        <f t="shared" si="5"/>
        <v/>
      </c>
      <c r="AE83" s="129" t="str">
        <f t="shared" si="6"/>
        <v/>
      </c>
      <c r="AF83" s="130" t="str">
        <f t="shared" si="7"/>
        <v/>
      </c>
      <c r="AG83" s="93" t="str">
        <f t="shared" si="8"/>
        <v/>
      </c>
      <c r="AH83" s="94" t="str">
        <f>IFERROR($M83+VLOOKUP($L83,'Voyage days'!$F$38:$H$89,3,FALSE),"")</f>
        <v/>
      </c>
      <c r="AI83" s="94" t="str">
        <f>IFERROR(N83+VLOOKUP($L83,'Voyage days'!$F$38:$H$89,3,FALSE),"")</f>
        <v/>
      </c>
      <c r="AJ83" s="93" t="str">
        <f t="shared" si="9"/>
        <v>12-13 May</v>
      </c>
      <c r="AK83" s="94">
        <f>IFERROR($M83+VLOOKUP($L83,'Voyage days'!$F$94:$H$193,3,FALSE),"")</f>
        <v>46154</v>
      </c>
      <c r="AL83" s="94">
        <f>IFERROR($N83+VLOOKUP($L83,'Voyage days'!$F$94:$H$193,3,FALSE),"")</f>
        <v>46155</v>
      </c>
      <c r="AM83" s="93" t="str">
        <f t="shared" si="10"/>
        <v>12-13 May</v>
      </c>
      <c r="AN83" s="94">
        <f>IFERROR($M83+VLOOKUP($L83,'Voyage days'!$F$203:$H$256,3,FALSE),"")</f>
        <v>46154</v>
      </c>
      <c r="AO83" s="94">
        <f>IFERROR($N83+VLOOKUP($L83,'Voyage days'!$F$203:$H$256,3,FALSE),"")</f>
        <v>46155</v>
      </c>
      <c r="AP83" s="93" t="str">
        <f t="shared" si="11"/>
        <v/>
      </c>
      <c r="AQ83" s="94" t="str">
        <f>IFERROR($M83+VLOOKUP($L83,'Voyage days'!$F$294:$H$377,3,FALSE),"")</f>
        <v/>
      </c>
      <c r="AR83" s="94" t="str">
        <f>IFERROR($N83+VLOOKUP($L83,'Voyage days'!$F$294:$H$377,3,FALSE),"")</f>
        <v/>
      </c>
      <c r="AS83" s="93" t="str">
        <f t="shared" si="12"/>
        <v>01-02 Jun</v>
      </c>
      <c r="AT83" s="94">
        <f>IFERROR($M83+VLOOKUP($L83,'Voyage days'!$F$382:$H$446,3,FALSE),"")</f>
        <v>46174</v>
      </c>
      <c r="AU83" s="94">
        <f>IFERROR($N83+VLOOKUP($L83,'Voyage days'!$F$382:$H$446,3,FALSE),"")</f>
        <v>46175</v>
      </c>
      <c r="AV83" s="93" t="str">
        <f t="shared" si="13"/>
        <v/>
      </c>
      <c r="AW83" s="94" t="str">
        <f>IFERROR($M83+VLOOKUP($L83,'Voyage days'!$F$483:$H$538,3,FALSE),"")</f>
        <v/>
      </c>
      <c r="AX83" s="94" t="str">
        <f>IFERROR($N83+VLOOKUP($L83,'Voyage days'!$F$483:$H$538,3,FALSE),"")</f>
        <v/>
      </c>
      <c r="AY83" s="93" t="str">
        <f t="shared" si="14"/>
        <v/>
      </c>
      <c r="AZ83" s="94" t="str">
        <f>IFERROR($M83+VLOOKUP($L83,'Voyage days'!$F$540:$H$613,3,FALSE),"")</f>
        <v/>
      </c>
      <c r="BA83" s="94" t="str">
        <f>IFERROR($N83+VLOOKUP($L83,'Voyage days'!$F$540:$H$613,3,FALSE),"")</f>
        <v/>
      </c>
      <c r="BB83" s="93" t="str">
        <f t="shared" si="15"/>
        <v/>
      </c>
      <c r="BC83" s="94" t="str">
        <f>IFERROR($M83+VLOOKUP($L83,'Voyage days'!$F$448:$H$479,3,FALSE),"")</f>
        <v/>
      </c>
      <c r="BD83" s="94" t="str">
        <f>IFERROR($N83+VLOOKUP($L83,'Voyage days'!$F$448:$H$479,3,FALSE),"")</f>
        <v/>
      </c>
      <c r="BE83" s="93" t="str">
        <f t="shared" si="16"/>
        <v/>
      </c>
      <c r="BF83" s="95" t="str">
        <f>IFERROR($M83+VLOOKUP($L83,'Voyage days'!$F$620:$H$646,3,FALSE),"")</f>
        <v/>
      </c>
      <c r="BG83" s="95" t="str">
        <f>IFERROR($N83+VLOOKUP($L83,'Voyage days'!$F$620:$H$646,3,FALSE),"")</f>
        <v/>
      </c>
      <c r="BH83" s="93" t="str">
        <f t="shared" si="17"/>
        <v/>
      </c>
      <c r="BI83" s="96" t="str">
        <f>IFERROR($M83+VLOOKUP($L83,'Voyage days'!$F$702:$H$727,3,FALSE),"")</f>
        <v/>
      </c>
      <c r="BJ83" s="93" t="str">
        <f t="shared" si="18"/>
        <v/>
      </c>
      <c r="BK83" s="95" t="str">
        <f>IFERROR($M83+VLOOKUP($L83,'Voyage days'!$F$807:$H$878,3,FALSE),"")</f>
        <v/>
      </c>
      <c r="BL83" s="95" t="str">
        <f>IFERROR($N83+VLOOKUP($L83,'Voyage days'!$F$807:$H$878,3,FALSE),"")</f>
        <v/>
      </c>
      <c r="BM83" s="95" t="str">
        <f>IFERROR($N83+VLOOKUP($L83,'Voyage days'!$F$807:$K$878,6,FALSE),"")</f>
        <v/>
      </c>
      <c r="BN83" s="94" t="str">
        <f>IF(L83="loads AG", IFERROR($M83+VLOOKUP($L83,'Voyage days'!$M$38:$O$38,3,FALSE),""),"")</f>
        <v/>
      </c>
      <c r="BO83" s="94">
        <f>IF(L83="loads USG", IFERROR($M83+VLOOKUP($L83,'Voyage days'!$L$203:$N$203,3,FALSE),""),"")</f>
        <v>46186</v>
      </c>
    </row>
    <row r="84" spans="1:68" ht="15.75" customHeight="1" x14ac:dyDescent="0.25">
      <c r="A84" s="236" t="s">
        <v>921</v>
      </c>
      <c r="B84" s="119">
        <v>2020</v>
      </c>
      <c r="C84" s="76">
        <v>84700</v>
      </c>
      <c r="D84" s="178"/>
      <c r="E84" s="178" t="s">
        <v>757</v>
      </c>
      <c r="F84" s="78"/>
      <c r="G84" s="78"/>
      <c r="H84" s="78" t="s">
        <v>739</v>
      </c>
      <c r="I84" s="233" t="s">
        <v>912</v>
      </c>
      <c r="J84" s="80" t="str">
        <f t="shared" si="21"/>
        <v>Update</v>
      </c>
      <c r="K84" s="81"/>
      <c r="L84" s="82" t="s">
        <v>718</v>
      </c>
      <c r="M84" s="83">
        <v>46130</v>
      </c>
      <c r="N84" s="83">
        <v>46131</v>
      </c>
      <c r="O84" s="314"/>
      <c r="P84" s="82" t="s">
        <v>922</v>
      </c>
      <c r="Q84" s="82"/>
      <c r="R84" s="82" t="s">
        <v>923</v>
      </c>
      <c r="S84" s="313" t="s">
        <v>724</v>
      </c>
      <c r="T84" s="232">
        <v>46132</v>
      </c>
      <c r="U84" s="87" t="str">
        <f>IF(V84="","No AIS",VLOOKUP(V84,'Voyage days'!$A$3:$B$1480,2,FALSE))</f>
        <v>Panama</v>
      </c>
      <c r="V84" s="88" t="str">
        <f>IF(VLOOKUP(A84,'1) Kpler'!$E$2:$P$1000,8, FALSE)="","",VLOOKUP(A84,'1) Kpler'!$E$2:$P$1000,8, FALSE))</f>
        <v>Panama Canal</v>
      </c>
      <c r="W84" s="89">
        <f>IF(VLOOKUP(A84,'1) Kpler'!$E$2:$P$1000,9,FALSE)="","",VLOOKUP(A84,'1) Kpler'!$E$2:$P$1000,9,FALSE))</f>
        <v>46134.916666666664</v>
      </c>
      <c r="X84" s="88" t="str">
        <f>VLOOKUP(A84,'1) Kpler'!$E$2:$I$1000,4,FALSE)</f>
        <v>loaded</v>
      </c>
      <c r="Y84" s="90" t="str">
        <f t="shared" si="0"/>
        <v/>
      </c>
      <c r="Z84" s="90" t="str">
        <f t="shared" si="1"/>
        <v>18-19 Apr</v>
      </c>
      <c r="AA84" s="90" t="str">
        <f t="shared" si="2"/>
        <v>18-19 Apr</v>
      </c>
      <c r="AB84" s="90" t="str">
        <f t="shared" si="3"/>
        <v/>
      </c>
      <c r="AC84" s="90" t="str">
        <f t="shared" si="4"/>
        <v>08-09 May</v>
      </c>
      <c r="AD84" s="90" t="str">
        <f t="shared" si="5"/>
        <v/>
      </c>
      <c r="AE84" s="91" t="str">
        <f t="shared" si="6"/>
        <v/>
      </c>
      <c r="AF84" s="92" t="str">
        <f t="shared" si="7"/>
        <v/>
      </c>
      <c r="AG84" s="93" t="str">
        <f t="shared" si="8"/>
        <v/>
      </c>
      <c r="AH84" s="94" t="str">
        <f>IFERROR($M84+VLOOKUP($L84,'Voyage days'!$F$38:$H$89,3,FALSE),"")</f>
        <v/>
      </c>
      <c r="AI84" s="94" t="str">
        <f>IFERROR(N84+VLOOKUP($L84,'Voyage days'!$F$38:$H$89,3,FALSE),"")</f>
        <v/>
      </c>
      <c r="AJ84" s="93" t="str">
        <f t="shared" si="9"/>
        <v>18-19 Apr</v>
      </c>
      <c r="AK84" s="94">
        <f>IFERROR($M84+VLOOKUP($L84,'Voyage days'!$F$94:$H$193,3,FALSE),"")</f>
        <v>46130</v>
      </c>
      <c r="AL84" s="94">
        <f>IFERROR($N84+VLOOKUP($L84,'Voyage days'!$F$94:$H$193,3,FALSE),"")</f>
        <v>46131</v>
      </c>
      <c r="AM84" s="93" t="str">
        <f t="shared" si="10"/>
        <v>18-19 Apr</v>
      </c>
      <c r="AN84" s="94">
        <f>IFERROR($M84+VLOOKUP($L84,'Voyage days'!$F$203:$H$256,3,FALSE),"")</f>
        <v>46130</v>
      </c>
      <c r="AO84" s="94">
        <f>IFERROR($N84+VLOOKUP($L84,'Voyage days'!$F$203:$H$256,3,FALSE),"")</f>
        <v>46131</v>
      </c>
      <c r="AP84" s="93" t="str">
        <f t="shared" si="11"/>
        <v/>
      </c>
      <c r="AQ84" s="94" t="str">
        <f>IFERROR($M84+VLOOKUP($L84,'Voyage days'!$F$294:$H$377,3,FALSE),"")</f>
        <v/>
      </c>
      <c r="AR84" s="94" t="str">
        <f>IFERROR($N84+VLOOKUP($L84,'Voyage days'!$F$294:$H$377,3,FALSE),"")</f>
        <v/>
      </c>
      <c r="AS84" s="93" t="str">
        <f t="shared" si="12"/>
        <v>08-09 May</v>
      </c>
      <c r="AT84" s="94">
        <f>IFERROR($M84+VLOOKUP($L84,'Voyage days'!$F$382:$H$446,3,FALSE),"")</f>
        <v>46150</v>
      </c>
      <c r="AU84" s="94">
        <f>IFERROR($N84+VLOOKUP($L84,'Voyage days'!$F$382:$H$446,3,FALSE),"")</f>
        <v>46151</v>
      </c>
      <c r="AV84" s="93" t="str">
        <f t="shared" si="13"/>
        <v/>
      </c>
      <c r="AW84" s="94" t="str">
        <f>IFERROR($M84+VLOOKUP($L84,'Voyage days'!$F$483:$H$538,3,FALSE),"")</f>
        <v/>
      </c>
      <c r="AX84" s="94" t="str">
        <f>IFERROR($N84+VLOOKUP($L84,'Voyage days'!$F$483:$H$538,3,FALSE),"")</f>
        <v/>
      </c>
      <c r="AY84" s="93" t="str">
        <f t="shared" si="14"/>
        <v/>
      </c>
      <c r="AZ84" s="94" t="str">
        <f>IFERROR($M84+VLOOKUP($L84,'Voyage days'!$F$540:$H$613,3,FALSE),"")</f>
        <v/>
      </c>
      <c r="BA84" s="94" t="str">
        <f>IFERROR($N84+VLOOKUP($L84,'Voyage days'!$F$540:$H$613,3,FALSE),"")</f>
        <v/>
      </c>
      <c r="BB84" s="93" t="str">
        <f t="shared" si="15"/>
        <v/>
      </c>
      <c r="BC84" s="94" t="str">
        <f>IFERROR($M84+VLOOKUP($L84,'Voyage days'!$F$448:$H$479,3,FALSE),"")</f>
        <v/>
      </c>
      <c r="BD84" s="94" t="str">
        <f>IFERROR($N84+VLOOKUP($L84,'Voyage days'!$F$448:$H$479,3,FALSE),"")</f>
        <v/>
      </c>
      <c r="BE84" s="93" t="str">
        <f t="shared" si="16"/>
        <v/>
      </c>
      <c r="BF84" s="95" t="str">
        <f>IFERROR($M84+VLOOKUP($L84,'Voyage days'!$F$620:$H$646,3,FALSE),"")</f>
        <v/>
      </c>
      <c r="BG84" s="95" t="str">
        <f>IFERROR($N84+VLOOKUP($L84,'Voyage days'!$F$620:$H$646,3,FALSE),"")</f>
        <v/>
      </c>
      <c r="BH84" s="93" t="str">
        <f t="shared" si="17"/>
        <v/>
      </c>
      <c r="BI84" s="96" t="str">
        <f>IFERROR($M84+VLOOKUP($L84,'Voyage days'!$F$702:$H$727,3,FALSE),"")</f>
        <v/>
      </c>
      <c r="BJ84" s="93" t="str">
        <f t="shared" si="18"/>
        <v/>
      </c>
      <c r="BK84" s="95" t="str">
        <f>IFERROR($M84+VLOOKUP($L84,'Voyage days'!$F$807:$H$878,3,FALSE),"")</f>
        <v/>
      </c>
      <c r="BL84" s="95" t="str">
        <f>IFERROR($N84+VLOOKUP($L84,'Voyage days'!$F$807:$H$878,3,FALSE),"")</f>
        <v/>
      </c>
      <c r="BM84" s="95" t="str">
        <f>IFERROR($N84+VLOOKUP($L84,'Voyage days'!$F$807:$K$878,6,FALSE),"")</f>
        <v/>
      </c>
      <c r="BN84" s="94" t="str">
        <f>IF(L84="loads AG", IFERROR($M84+VLOOKUP($L84,'Voyage days'!$M$38:$O$38,3,FALSE),""),"")</f>
        <v/>
      </c>
      <c r="BO84" s="94">
        <f>IF(L84="loads USG", IFERROR($M84+VLOOKUP($L84,'Voyage days'!$L$203:$N$203,3,FALSE),""),"")</f>
        <v>46162</v>
      </c>
    </row>
    <row r="85" spans="1:68" ht="15.75" customHeight="1" x14ac:dyDescent="0.25">
      <c r="A85" s="315" t="s">
        <v>924</v>
      </c>
      <c r="B85" s="133">
        <v>2023</v>
      </c>
      <c r="C85" s="134">
        <v>86000</v>
      </c>
      <c r="D85" s="143"/>
      <c r="E85" s="143" t="s">
        <v>757</v>
      </c>
      <c r="F85" s="136"/>
      <c r="G85" s="136"/>
      <c r="H85" s="136" t="s">
        <v>713</v>
      </c>
      <c r="I85" s="177" t="s">
        <v>912</v>
      </c>
      <c r="J85" s="138" t="str">
        <f t="shared" si="21"/>
        <v/>
      </c>
      <c r="K85" s="139"/>
      <c r="L85" s="251" t="s">
        <v>715</v>
      </c>
      <c r="M85" s="141">
        <v>46159</v>
      </c>
      <c r="N85" s="141">
        <v>46160</v>
      </c>
      <c r="O85" s="142"/>
      <c r="P85" s="140" t="s">
        <v>925</v>
      </c>
      <c r="Q85" s="247"/>
      <c r="R85" s="140" t="s">
        <v>926</v>
      </c>
      <c r="S85" s="279" t="s">
        <v>724</v>
      </c>
      <c r="T85" s="144">
        <v>46132</v>
      </c>
      <c r="U85" s="145" t="str">
        <f>IF(V85="","No AIS",VLOOKUP(V85,'Voyage days'!$A$3:$B$1480,2,FALSE))</f>
        <v>Japan + 6</v>
      </c>
      <c r="V85" s="146" t="str">
        <f>IF(VLOOKUP(A85,'1) Kpler'!$E$2:$P$1000,8, FALSE)="","",VLOOKUP(A85,'1) Kpler'!$E$2:$P$1000,8, FALSE))</f>
        <v>Chiba</v>
      </c>
      <c r="W85" s="147">
        <f>IF(VLOOKUP(A85,'1) Kpler'!$E$2:$P$1000,9,FALSE)="","",VLOOKUP(A85,'1) Kpler'!$E$2:$P$1000,9,FALSE))</f>
        <v>46153.875</v>
      </c>
      <c r="X85" s="146" t="str">
        <f>VLOOKUP(A85,'1) Kpler'!$E$2:$I$1000,4,FALSE)</f>
        <v>loaded</v>
      </c>
      <c r="Y85" s="93" t="str">
        <f t="shared" si="0"/>
        <v>04-05 Jun</v>
      </c>
      <c r="Z85" s="93" t="str">
        <f t="shared" si="1"/>
        <v>17-18 Jun</v>
      </c>
      <c r="AA85" s="93" t="str">
        <f t="shared" si="2"/>
        <v>28-29 Jun</v>
      </c>
      <c r="AB85" s="93" t="str">
        <f t="shared" si="3"/>
        <v>16-17 Jun</v>
      </c>
      <c r="AC85" s="93" t="str">
        <f t="shared" si="4"/>
        <v>22-23 Jun</v>
      </c>
      <c r="AD85" s="93" t="str">
        <f t="shared" si="5"/>
        <v>25-26 May</v>
      </c>
      <c r="AE85" s="179" t="str">
        <f t="shared" si="6"/>
        <v>25-26 May</v>
      </c>
      <c r="AF85" s="180" t="str">
        <f t="shared" si="7"/>
        <v>02-03 Jul</v>
      </c>
      <c r="AG85" s="93" t="str">
        <f t="shared" si="8"/>
        <v>04-05 Jun</v>
      </c>
      <c r="AH85" s="94">
        <f>IFERROR($M85+VLOOKUP($L85,'Voyage days'!$F$38:$H$89,3,FALSE),"")</f>
        <v>46177</v>
      </c>
      <c r="AI85" s="94">
        <f>IFERROR(N85+VLOOKUP($L85,'Voyage days'!$F$38:$H$89,3,FALSE),"")</f>
        <v>46178</v>
      </c>
      <c r="AJ85" s="93" t="str">
        <f t="shared" si="9"/>
        <v>17-18 Jun</v>
      </c>
      <c r="AK85" s="94">
        <f>IFERROR($M85+VLOOKUP($L85,'Voyage days'!$F$94:$H$193,3,FALSE),"")</f>
        <v>46190</v>
      </c>
      <c r="AL85" s="94">
        <f>IFERROR($N85+VLOOKUP($L85,'Voyage days'!$F$94:$H$193,3,FALSE),"")</f>
        <v>46191</v>
      </c>
      <c r="AM85" s="93" t="str">
        <f t="shared" si="10"/>
        <v>28-29 Jun</v>
      </c>
      <c r="AN85" s="94">
        <f>IFERROR($M85+VLOOKUP($L85,'Voyage days'!$F$203:$H$256,3,FALSE),"")</f>
        <v>46201</v>
      </c>
      <c r="AO85" s="94">
        <f>IFERROR($N85+VLOOKUP($L85,'Voyage days'!$F$203:$H$256,3,FALSE),"")</f>
        <v>46202</v>
      </c>
      <c r="AP85" s="93" t="str">
        <f t="shared" si="11"/>
        <v>16-17 Jun</v>
      </c>
      <c r="AQ85" s="94">
        <f>IFERROR($M85+VLOOKUP($L85,'Voyage days'!$F$294:$H$377,3,FALSE),"")</f>
        <v>46189</v>
      </c>
      <c r="AR85" s="94">
        <f>IFERROR($N85+VLOOKUP($L85,'Voyage days'!$F$294:$H$377,3,FALSE),"")</f>
        <v>46190</v>
      </c>
      <c r="AS85" s="93" t="str">
        <f t="shared" si="12"/>
        <v>22-23 Jun</v>
      </c>
      <c r="AT85" s="94">
        <f>IFERROR($M85+VLOOKUP($L85,'Voyage days'!$F$382:$H$446,3,FALSE),"")</f>
        <v>46195</v>
      </c>
      <c r="AU85" s="94">
        <f>IFERROR($N85+VLOOKUP($L85,'Voyage days'!$F$382:$H$446,3,FALSE),"")</f>
        <v>46196</v>
      </c>
      <c r="AV85" s="93" t="str">
        <f t="shared" si="13"/>
        <v>30-31 May</v>
      </c>
      <c r="AW85" s="94">
        <f>IFERROR($M85+VLOOKUP($L85,'Voyage days'!$F$483:$H$538,3,FALSE),"")</f>
        <v>46172</v>
      </c>
      <c r="AX85" s="94">
        <f>IFERROR($N85+VLOOKUP($L85,'Voyage days'!$F$483:$H$538,3,FALSE),"")</f>
        <v>46173</v>
      </c>
      <c r="AY85" s="93" t="str">
        <f t="shared" si="14"/>
        <v>25-26 May</v>
      </c>
      <c r="AZ85" s="94">
        <f>IFERROR($M85+VLOOKUP($L85,'Voyage days'!$F$540:$H$613,3,FALSE),"")</f>
        <v>46167.25</v>
      </c>
      <c r="BA85" s="94">
        <f>IFERROR($N85+VLOOKUP($L85,'Voyage days'!$F$540:$H$613,3,FALSE),"")</f>
        <v>46168.25</v>
      </c>
      <c r="BB85" s="93" t="str">
        <f t="shared" si="15"/>
        <v>25-26 May</v>
      </c>
      <c r="BC85" s="94">
        <f>IFERROR($M85+VLOOKUP($L85,'Voyage days'!$F$448:$H$479,3,FALSE),"")</f>
        <v>46167</v>
      </c>
      <c r="BD85" s="94">
        <f>IFERROR($N85+VLOOKUP($L85,'Voyage days'!$F$448:$H$479,3,FALSE),"")</f>
        <v>46168</v>
      </c>
      <c r="BE85" s="93" t="str">
        <f t="shared" si="16"/>
        <v>28-29 May</v>
      </c>
      <c r="BF85" s="95">
        <f>IFERROR($M85+VLOOKUP($L85,'Voyage days'!$F$620:$H$646,3,FALSE),"")</f>
        <v>46170</v>
      </c>
      <c r="BG85" s="95">
        <f>IFERROR($N85+VLOOKUP($L85,'Voyage days'!$F$620:$H$646,3,FALSE),"")</f>
        <v>46171</v>
      </c>
      <c r="BH85" s="93" t="str">
        <f t="shared" si="17"/>
        <v>25-03 Jul</v>
      </c>
      <c r="BI85" s="96">
        <f>IFERROR($M85+VLOOKUP($L85,'Voyage days'!$F$702:$H$727,3,FALSE),"")</f>
        <v>46167.25</v>
      </c>
      <c r="BJ85" s="93" t="str">
        <f t="shared" si="18"/>
        <v>02-03 Jul</v>
      </c>
      <c r="BK85" s="95">
        <f>IFERROR($M85+VLOOKUP($L85,'Voyage days'!$F$807:$H$878,3,FALSE),"")</f>
        <v>46205</v>
      </c>
      <c r="BL85" s="95">
        <f>IFERROR($N85+VLOOKUP($L85,'Voyage days'!$F$807:$H$878,3,FALSE),"")</f>
        <v>46206</v>
      </c>
      <c r="BM85" s="95">
        <f>IFERROR($N85+VLOOKUP($L85,'Voyage days'!$F$807:$K$878,6,FALSE),"")</f>
        <v>46180</v>
      </c>
      <c r="BN85" s="94" t="str">
        <f>IF(L85="loads AG", IFERROR($M85+VLOOKUP($L85,'Voyage days'!$M$38:$O$38,3,FALSE),""),"")</f>
        <v/>
      </c>
      <c r="BO85" s="94" t="str">
        <f>IF(L85="loads USG", IFERROR($M85+VLOOKUP($L85,'Voyage days'!$L$203:$N$203,3,FALSE),""),"")</f>
        <v/>
      </c>
    </row>
    <row r="86" spans="1:68" ht="15.75" customHeight="1" x14ac:dyDescent="0.25">
      <c r="A86" s="294" t="s">
        <v>354</v>
      </c>
      <c r="B86" s="119">
        <v>2023</v>
      </c>
      <c r="C86" s="76">
        <v>86000</v>
      </c>
      <c r="D86" s="120"/>
      <c r="E86" s="120"/>
      <c r="F86" s="121"/>
      <c r="G86" s="121"/>
      <c r="H86" s="121" t="s">
        <v>713</v>
      </c>
      <c r="I86" s="249" t="s">
        <v>927</v>
      </c>
      <c r="J86" s="122" t="str">
        <f t="shared" si="21"/>
        <v/>
      </c>
      <c r="K86" s="123"/>
      <c r="L86" s="124" t="s">
        <v>718</v>
      </c>
      <c r="M86" s="83">
        <v>46165</v>
      </c>
      <c r="N86" s="83">
        <v>46167</v>
      </c>
      <c r="O86" s="152"/>
      <c r="P86" s="124" t="s">
        <v>928</v>
      </c>
      <c r="Q86" s="124"/>
      <c r="R86" s="124" t="s">
        <v>929</v>
      </c>
      <c r="S86" s="120" t="s">
        <v>724</v>
      </c>
      <c r="T86" s="232">
        <v>46132</v>
      </c>
      <c r="U86" s="87" t="str">
        <f>IF(V86="","No AIS",VLOOKUP(V86,'Voyage days'!$A$3:$B$1480,2,FALSE))</f>
        <v>East China + 4</v>
      </c>
      <c r="V86" s="87" t="str">
        <f>IF(VLOOKUP(A86,'1) Kpler'!$E$2:$P$1000,8, FALSE)="","",VLOOKUP(A86,'1) Kpler'!$E$2:$P$1000,8, FALSE))</f>
        <v>Jinshan Caojing</v>
      </c>
      <c r="W86" s="128">
        <f>IF(VLOOKUP(A86,'1) Kpler'!$E$2:$P$1000,9,FALSE)="","",VLOOKUP(A86,'1) Kpler'!$E$2:$P$1000,9,FALSE))</f>
        <v>46133.5</v>
      </c>
      <c r="X86" s="87" t="str">
        <f>VLOOKUP(A86,'1) Kpler'!$E$2:$I$1000,4,FALSE)</f>
        <v>ballast</v>
      </c>
      <c r="Y86" s="234" t="str">
        <f t="shared" si="0"/>
        <v/>
      </c>
      <c r="Z86" s="234" t="str">
        <f t="shared" si="1"/>
        <v>23-25 May</v>
      </c>
      <c r="AA86" s="234" t="str">
        <f t="shared" si="2"/>
        <v>23-25 May</v>
      </c>
      <c r="AB86" s="234" t="str">
        <f t="shared" si="3"/>
        <v/>
      </c>
      <c r="AC86" s="234" t="str">
        <f t="shared" si="4"/>
        <v>12-14 Jun</v>
      </c>
      <c r="AD86" s="234" t="str">
        <f t="shared" si="5"/>
        <v/>
      </c>
      <c r="AE86" s="235" t="str">
        <f t="shared" si="6"/>
        <v/>
      </c>
      <c r="AF86" s="92" t="str">
        <f t="shared" si="7"/>
        <v/>
      </c>
      <c r="AG86" s="131" t="str">
        <f t="shared" si="8"/>
        <v/>
      </c>
      <c r="AH86" s="95" t="str">
        <f>IFERROR($M86+VLOOKUP($L86,'Voyage days'!$F$38:$H$89,3,FALSE),"")</f>
        <v/>
      </c>
      <c r="AI86" s="95" t="str">
        <f>IFERROR(N86+VLOOKUP($L86,'Voyage days'!$F$38:$H$89,3,FALSE),"")</f>
        <v/>
      </c>
      <c r="AJ86" s="131" t="str">
        <f t="shared" si="9"/>
        <v>23-25 May</v>
      </c>
      <c r="AK86" s="95">
        <f>IFERROR($M86+VLOOKUP($L86,'Voyage days'!$F$94:$H$193,3,FALSE),"")</f>
        <v>46165</v>
      </c>
      <c r="AL86" s="95">
        <f>IFERROR($N86+VLOOKUP($L86,'Voyage days'!$F$94:$H$193,3,FALSE),"")</f>
        <v>46167</v>
      </c>
      <c r="AM86" s="131" t="str">
        <f t="shared" si="10"/>
        <v>23-25 May</v>
      </c>
      <c r="AN86" s="95">
        <f>IFERROR($M86+VLOOKUP($L86,'Voyage days'!$F$203:$H$256,3,FALSE),"")</f>
        <v>46165</v>
      </c>
      <c r="AO86" s="95">
        <f>IFERROR($N86+VLOOKUP($L86,'Voyage days'!$F$203:$H$256,3,FALSE),"")</f>
        <v>46167</v>
      </c>
      <c r="AP86" s="131" t="str">
        <f t="shared" si="11"/>
        <v/>
      </c>
      <c r="AQ86" s="95" t="str">
        <f>IFERROR($M86+VLOOKUP($L86,'Voyage days'!$F$294:$H$377,3,FALSE),"")</f>
        <v/>
      </c>
      <c r="AR86" s="95" t="str">
        <f>IFERROR($N86+VLOOKUP($L86,'Voyage days'!$F$294:$H$377,3,FALSE),"")</f>
        <v/>
      </c>
      <c r="AS86" s="131" t="str">
        <f t="shared" si="12"/>
        <v>12-14 Jun</v>
      </c>
      <c r="AT86" s="95">
        <f>IFERROR($M86+VLOOKUP($L86,'Voyage days'!$F$382:$H$446,3,FALSE),"")</f>
        <v>46185</v>
      </c>
      <c r="AU86" s="95">
        <f>IFERROR($N86+VLOOKUP($L86,'Voyage days'!$F$382:$H$446,3,FALSE),"")</f>
        <v>46187</v>
      </c>
      <c r="AV86" s="131" t="str">
        <f t="shared" si="13"/>
        <v/>
      </c>
      <c r="AW86" s="95" t="str">
        <f>IFERROR($M86+VLOOKUP($L86,'Voyage days'!$F$483:$H$538,3,FALSE),"")</f>
        <v/>
      </c>
      <c r="AX86" s="95" t="str">
        <f>IFERROR($N86+VLOOKUP($L86,'Voyage days'!$F$483:$H$538,3,FALSE),"")</f>
        <v/>
      </c>
      <c r="AY86" s="131" t="str">
        <f t="shared" si="14"/>
        <v/>
      </c>
      <c r="AZ86" s="95" t="str">
        <f>IFERROR($M86+VLOOKUP($L86,'Voyage days'!$F$540:$H$613,3,FALSE),"")</f>
        <v/>
      </c>
      <c r="BA86" s="95" t="str">
        <f>IFERROR($N86+VLOOKUP($L86,'Voyage days'!$F$540:$H$613,3,FALSE),"")</f>
        <v/>
      </c>
      <c r="BB86" s="131" t="str">
        <f t="shared" si="15"/>
        <v/>
      </c>
      <c r="BC86" s="94" t="str">
        <f>IFERROR($M86+VLOOKUP($L86,'Voyage days'!$F$448:$H$479,3,FALSE),"")</f>
        <v/>
      </c>
      <c r="BD86" s="94" t="str">
        <f>IFERROR($N86+VLOOKUP($L86,'Voyage days'!$F$448:$H$479,3,FALSE),"")</f>
        <v/>
      </c>
      <c r="BE86" s="131" t="str">
        <f t="shared" si="16"/>
        <v/>
      </c>
      <c r="BF86" s="95" t="str">
        <f>IFERROR($M86+VLOOKUP($L86,'Voyage days'!$F$620:$H$646,3,FALSE),"")</f>
        <v/>
      </c>
      <c r="BG86" s="95" t="str">
        <f>IFERROR($N86+VLOOKUP($L86,'Voyage days'!$F$620:$H$646,3,FALSE),"")</f>
        <v/>
      </c>
      <c r="BH86" s="131" t="str">
        <f t="shared" si="17"/>
        <v/>
      </c>
      <c r="BI86" s="96" t="str">
        <f>IFERROR($M86+VLOOKUP($L86,'Voyage days'!$F$702:$H$727,3,FALSE),"")</f>
        <v/>
      </c>
      <c r="BJ86" s="131" t="str">
        <f t="shared" si="18"/>
        <v/>
      </c>
      <c r="BK86" s="95" t="str">
        <f>IFERROR($M86+VLOOKUP($L86,'Voyage days'!$F$807:$H$878,3,FALSE),"")</f>
        <v/>
      </c>
      <c r="BL86" s="95" t="str">
        <f>IFERROR($N86+VLOOKUP($L86,'Voyage days'!$F$807:$H$878,3,FALSE),"")</f>
        <v/>
      </c>
      <c r="BM86" s="95" t="str">
        <f>IFERROR($N86+VLOOKUP($L86,'Voyage days'!$F$807:$K$878,6,FALSE),"")</f>
        <v/>
      </c>
      <c r="BN86" s="94" t="str">
        <f>IF(L86="loads AG", IFERROR($M86+VLOOKUP($L86,'Voyage days'!$M$38:$O$38,3,FALSE),""),"")</f>
        <v/>
      </c>
      <c r="BO86" s="94">
        <f>IF(L86="loads USG", IFERROR($M86+VLOOKUP($L86,'Voyage days'!$L$203:$N$203,3,FALSE),""),"")</f>
        <v>46197</v>
      </c>
    </row>
    <row r="87" spans="1:68" ht="15.75" customHeight="1" x14ac:dyDescent="0.25">
      <c r="A87" s="109" t="s">
        <v>353</v>
      </c>
      <c r="B87" s="119">
        <v>2016</v>
      </c>
      <c r="C87" s="76">
        <v>83000</v>
      </c>
      <c r="D87" s="77"/>
      <c r="E87" s="120"/>
      <c r="F87" s="121"/>
      <c r="G87" s="121"/>
      <c r="H87" s="121" t="s">
        <v>739</v>
      </c>
      <c r="I87" s="249" t="s">
        <v>930</v>
      </c>
      <c r="J87" s="122" t="str">
        <f t="shared" si="21"/>
        <v/>
      </c>
      <c r="K87" s="123"/>
      <c r="L87" s="124" t="s">
        <v>718</v>
      </c>
      <c r="M87" s="83">
        <v>46148</v>
      </c>
      <c r="N87" s="83">
        <v>46149</v>
      </c>
      <c r="O87" s="152"/>
      <c r="P87" s="82" t="s">
        <v>931</v>
      </c>
      <c r="Q87" s="316"/>
      <c r="R87" s="124" t="s">
        <v>932</v>
      </c>
      <c r="S87" s="120" t="s">
        <v>724</v>
      </c>
      <c r="T87" s="232">
        <v>46132</v>
      </c>
      <c r="U87" s="87" t="str">
        <f>IF(V87="","No AIS",VLOOKUP(V87,'Voyage days'!$A$3:$B$1480,2,FALSE))</f>
        <v>Panama</v>
      </c>
      <c r="V87" s="87" t="str">
        <f>IF(VLOOKUP(A87,'1) Kpler'!$E$2:$P$1000,8, FALSE)="","",VLOOKUP(A87,'1) Kpler'!$E$2:$P$1000,8, FALSE))</f>
        <v>Panama Canal</v>
      </c>
      <c r="W87" s="128">
        <f>IF(VLOOKUP(A87,'1) Kpler'!$E$2:$P$1000,9,FALSE)="","",VLOOKUP(A87,'1) Kpler'!$E$2:$P$1000,9,FALSE))</f>
        <v>46137.125</v>
      </c>
      <c r="X87" s="87" t="str">
        <f>VLOOKUP(A87,'1) Kpler'!$E$2:$I$1000,4,FALSE)</f>
        <v>ballast</v>
      </c>
      <c r="Y87" s="219" t="str">
        <f t="shared" si="0"/>
        <v/>
      </c>
      <c r="Z87" s="219" t="str">
        <f t="shared" si="1"/>
        <v>06-07 May</v>
      </c>
      <c r="AA87" s="219" t="str">
        <f t="shared" si="2"/>
        <v>06-07 May</v>
      </c>
      <c r="AB87" s="219" t="str">
        <f t="shared" si="3"/>
        <v/>
      </c>
      <c r="AC87" s="219" t="str">
        <f t="shared" si="4"/>
        <v>26-27 May</v>
      </c>
      <c r="AD87" s="219" t="str">
        <f t="shared" si="5"/>
        <v/>
      </c>
      <c r="AE87" s="220" t="str">
        <f t="shared" si="6"/>
        <v/>
      </c>
      <c r="AF87" s="130" t="str">
        <f t="shared" si="7"/>
        <v/>
      </c>
      <c r="AG87" s="131" t="str">
        <f t="shared" si="8"/>
        <v/>
      </c>
      <c r="AH87" s="95" t="str">
        <f>IFERROR($M87+VLOOKUP($L87,'Voyage days'!$F$38:$H$89,3,FALSE),"")</f>
        <v/>
      </c>
      <c r="AI87" s="95" t="str">
        <f>IFERROR(N87+VLOOKUP($L87,'Voyage days'!$F$38:$H$89,3,FALSE),"")</f>
        <v/>
      </c>
      <c r="AJ87" s="131" t="str">
        <f t="shared" si="9"/>
        <v>06-07 May</v>
      </c>
      <c r="AK87" s="95">
        <f>IFERROR($M87+VLOOKUP($L87,'Voyage days'!$F$94:$H$193,3,FALSE),"")</f>
        <v>46148</v>
      </c>
      <c r="AL87" s="95">
        <f>IFERROR($N87+VLOOKUP($L87,'Voyage days'!$F$94:$H$193,3,FALSE),"")</f>
        <v>46149</v>
      </c>
      <c r="AM87" s="131" t="str">
        <f t="shared" si="10"/>
        <v>06-07 May</v>
      </c>
      <c r="AN87" s="95">
        <f>IFERROR($M87+VLOOKUP($L87,'Voyage days'!$F$203:$H$256,3,FALSE),"")</f>
        <v>46148</v>
      </c>
      <c r="AO87" s="95">
        <f>IFERROR($N87+VLOOKUP($L87,'Voyage days'!$F$203:$H$256,3,FALSE),"")</f>
        <v>46149</v>
      </c>
      <c r="AP87" s="131" t="str">
        <f t="shared" si="11"/>
        <v/>
      </c>
      <c r="AQ87" s="95" t="str">
        <f>IFERROR($M87+VLOOKUP($L87,'Voyage days'!$F$294:$H$377,3,FALSE),"")</f>
        <v/>
      </c>
      <c r="AR87" s="95" t="str">
        <f>IFERROR($N87+VLOOKUP($L87,'Voyage days'!$F$294:$H$377,3,FALSE),"")</f>
        <v/>
      </c>
      <c r="AS87" s="131" t="str">
        <f t="shared" si="12"/>
        <v>26-27 May</v>
      </c>
      <c r="AT87" s="95">
        <f>IFERROR($M87+VLOOKUP($L87,'Voyage days'!$F$382:$H$446,3,FALSE),"")</f>
        <v>46168</v>
      </c>
      <c r="AU87" s="95">
        <f>IFERROR($N87+VLOOKUP($L87,'Voyage days'!$F$382:$H$446,3,FALSE),"")</f>
        <v>46169</v>
      </c>
      <c r="AV87" s="131" t="str">
        <f t="shared" si="13"/>
        <v/>
      </c>
      <c r="AW87" s="95" t="str">
        <f>IFERROR($M87+VLOOKUP($L87,'Voyage days'!$F$483:$H$538,3,FALSE),"")</f>
        <v/>
      </c>
      <c r="AX87" s="95" t="str">
        <f>IFERROR($N87+VLOOKUP($L87,'Voyage days'!$F$483:$H$538,3,FALSE),"")</f>
        <v/>
      </c>
      <c r="AY87" s="131" t="str">
        <f t="shared" si="14"/>
        <v/>
      </c>
      <c r="AZ87" s="95" t="str">
        <f>IFERROR($M87+VLOOKUP($L87,'Voyage days'!$F$540:$H$613,3,FALSE),"")</f>
        <v/>
      </c>
      <c r="BA87" s="95" t="str">
        <f>IFERROR($N87+VLOOKUP($L87,'Voyage days'!$F$540:$H$613,3,FALSE),"")</f>
        <v/>
      </c>
      <c r="BB87" s="131" t="str">
        <f t="shared" si="15"/>
        <v/>
      </c>
      <c r="BC87" s="94" t="str">
        <f>IFERROR($M87+VLOOKUP($L87,'Voyage days'!$F$448:$H$479,3,FALSE),"")</f>
        <v/>
      </c>
      <c r="BD87" s="94" t="str">
        <f>IFERROR($N87+VLOOKUP($L87,'Voyage days'!$F$448:$H$479,3,FALSE),"")</f>
        <v/>
      </c>
      <c r="BE87" s="131" t="str">
        <f t="shared" si="16"/>
        <v/>
      </c>
      <c r="BF87" s="95" t="str">
        <f>IFERROR($M87+VLOOKUP($L87,'Voyage days'!$F$620:$H$646,3,FALSE),"")</f>
        <v/>
      </c>
      <c r="BG87" s="95" t="str">
        <f>IFERROR($N87+VLOOKUP($L87,'Voyage days'!$F$620:$H$646,3,FALSE),"")</f>
        <v/>
      </c>
      <c r="BH87" s="131" t="str">
        <f t="shared" si="17"/>
        <v/>
      </c>
      <c r="BI87" s="96" t="str">
        <f>IFERROR($M87+VLOOKUP($L87,'Voyage days'!$F$702:$H$727,3,FALSE),"")</f>
        <v/>
      </c>
      <c r="BJ87" s="131" t="str">
        <f t="shared" si="18"/>
        <v/>
      </c>
      <c r="BK87" s="95" t="str">
        <f>IFERROR($M87+VLOOKUP($L87,'Voyage days'!$F$807:$H$878,3,FALSE),"")</f>
        <v/>
      </c>
      <c r="BL87" s="95" t="str">
        <f>IFERROR($N87+VLOOKUP($L87,'Voyage days'!$F$807:$H$878,3,FALSE),"")</f>
        <v/>
      </c>
      <c r="BM87" s="95" t="str">
        <f>IFERROR($N87+VLOOKUP($L87,'Voyage days'!$F$807:$K$878,6,FALSE),"")</f>
        <v/>
      </c>
      <c r="BN87" s="94" t="str">
        <f>IF(L87="loads AG", IFERROR($M87+VLOOKUP($L87,'Voyage days'!$M$38:$O$38,3,FALSE),""),"")</f>
        <v/>
      </c>
      <c r="BO87" s="94">
        <f>IF(L87="loads USG", IFERROR($M87+VLOOKUP($L87,'Voyage days'!$L$203:$N$203,3,FALSE),""),"")</f>
        <v>46180</v>
      </c>
    </row>
    <row r="88" spans="1:68" ht="15.75" customHeight="1" x14ac:dyDescent="0.25">
      <c r="A88" s="236" t="s">
        <v>356</v>
      </c>
      <c r="B88" s="119">
        <v>2021</v>
      </c>
      <c r="C88" s="76">
        <v>84000</v>
      </c>
      <c r="D88" s="77"/>
      <c r="E88" s="77"/>
      <c r="F88" s="78"/>
      <c r="G88" s="78"/>
      <c r="H88" s="78" t="s">
        <v>739</v>
      </c>
      <c r="I88" s="233" t="s">
        <v>927</v>
      </c>
      <c r="J88" s="80" t="str">
        <f t="shared" si="21"/>
        <v/>
      </c>
      <c r="K88" s="81"/>
      <c r="L88" s="82" t="s">
        <v>704</v>
      </c>
      <c r="M88" s="262">
        <v>46165</v>
      </c>
      <c r="N88" s="83">
        <v>46169</v>
      </c>
      <c r="O88" s="84"/>
      <c r="P88" s="82" t="s">
        <v>933</v>
      </c>
      <c r="Q88" s="167"/>
      <c r="R88" s="82" t="s">
        <v>934</v>
      </c>
      <c r="S88" s="120" t="s">
        <v>724</v>
      </c>
      <c r="T88" s="232">
        <v>46132</v>
      </c>
      <c r="U88" s="87" t="str">
        <f>IF(V88="","No AIS",VLOOKUP(V88,'Voyage days'!$A$3:$B$1480,2,FALSE))</f>
        <v>Panama</v>
      </c>
      <c r="V88" s="88" t="str">
        <f>IF(VLOOKUP(A88,'1) Kpler'!$E$2:$P$1000,8, FALSE)="","",VLOOKUP(A88,'1) Kpler'!$E$2:$P$1000,8, FALSE))</f>
        <v>Panama</v>
      </c>
      <c r="W88" s="89">
        <f>IF(VLOOKUP(A88,'1) Kpler'!$E$2:$P$1000,9,FALSE)="","",VLOOKUP(A88,'1) Kpler'!$E$2:$P$1000,9,FALSE))</f>
        <v>46136.958333333336</v>
      </c>
      <c r="X88" s="88" t="str">
        <f>VLOOKUP(A88,'1) Kpler'!$E$2:$I$1000,4,FALSE)</f>
        <v>loaded</v>
      </c>
      <c r="Y88" s="63" t="str">
        <f t="shared" si="0"/>
        <v>10-14 Jun</v>
      </c>
      <c r="Z88" s="63" t="str">
        <f t="shared" si="1"/>
        <v>22-26 Jun</v>
      </c>
      <c r="AA88" s="63" t="str">
        <f t="shared" si="2"/>
        <v>30-04 Jul</v>
      </c>
      <c r="AB88" s="63" t="str">
        <f t="shared" si="3"/>
        <v>22-26 Jun</v>
      </c>
      <c r="AC88" s="63" t="str">
        <f t="shared" si="4"/>
        <v>28-02 Jul</v>
      </c>
      <c r="AD88" s="63" t="str">
        <f t="shared" si="5"/>
        <v>31-04 Jun</v>
      </c>
      <c r="AE88" s="129" t="str">
        <f t="shared" si="6"/>
        <v>31-04 Jun</v>
      </c>
      <c r="AF88" s="130" t="str">
        <f t="shared" si="7"/>
        <v>08-12 Jul</v>
      </c>
      <c r="AG88" s="93" t="str">
        <f t="shared" si="8"/>
        <v>10-14 Jun</v>
      </c>
      <c r="AH88" s="94">
        <f>IFERROR($M88+VLOOKUP($L88,'Voyage days'!$F$38:$H$89,3,FALSE),"")</f>
        <v>46183</v>
      </c>
      <c r="AI88" s="94">
        <f>IFERROR(N88+VLOOKUP($L88,'Voyage days'!$F$38:$H$89,3,FALSE),"")</f>
        <v>46187</v>
      </c>
      <c r="AJ88" s="93" t="str">
        <f t="shared" si="9"/>
        <v>22-26 Jun</v>
      </c>
      <c r="AK88" s="94">
        <f>IFERROR($M88+VLOOKUP($L88,'Voyage days'!$F$94:$H$193,3,FALSE),"")</f>
        <v>46195</v>
      </c>
      <c r="AL88" s="94">
        <f>IFERROR($N88+VLOOKUP($L88,'Voyage days'!$F$94:$H$193,3,FALSE),"")</f>
        <v>46199</v>
      </c>
      <c r="AM88" s="93" t="str">
        <f t="shared" si="10"/>
        <v>30-04 Jul</v>
      </c>
      <c r="AN88" s="94">
        <f>IFERROR($M88+VLOOKUP($L88,'Voyage days'!$F$203:$H$256,3,FALSE),"")</f>
        <v>46203</v>
      </c>
      <c r="AO88" s="94">
        <f>IFERROR($N88+VLOOKUP($L88,'Voyage days'!$F$203:$H$256,3,FALSE),"")</f>
        <v>46207</v>
      </c>
      <c r="AP88" s="93" t="str">
        <f t="shared" si="11"/>
        <v>22-26 Jun</v>
      </c>
      <c r="AQ88" s="94">
        <f>IFERROR($M88+VLOOKUP($L88,'Voyage days'!$F$294:$H$377,3,FALSE),"")</f>
        <v>46195</v>
      </c>
      <c r="AR88" s="94">
        <f>IFERROR($N88+VLOOKUP($L88,'Voyage days'!$F$294:$H$377,3,FALSE),"")</f>
        <v>46199</v>
      </c>
      <c r="AS88" s="93" t="str">
        <f t="shared" si="12"/>
        <v>28-02 Jul</v>
      </c>
      <c r="AT88" s="94">
        <f>IFERROR($M88+VLOOKUP($L88,'Voyage days'!$F$382:$H$446,3,FALSE),"")</f>
        <v>46201</v>
      </c>
      <c r="AU88" s="94">
        <f>IFERROR($N88+VLOOKUP($L88,'Voyage days'!$F$382:$H$446,3,FALSE),"")</f>
        <v>46205</v>
      </c>
      <c r="AV88" s="93" t="str">
        <f t="shared" si="13"/>
        <v>05-09 Jun</v>
      </c>
      <c r="AW88" s="94">
        <f>IFERROR($M88+VLOOKUP($L88,'Voyage days'!$F$483:$H$538,3,FALSE),"")</f>
        <v>46178</v>
      </c>
      <c r="AX88" s="94">
        <f>IFERROR($N88+VLOOKUP($L88,'Voyage days'!$F$483:$H$538,3,FALSE),"")</f>
        <v>46182</v>
      </c>
      <c r="AY88" s="93" t="str">
        <f t="shared" si="14"/>
        <v>31-04 Jun</v>
      </c>
      <c r="AZ88" s="94">
        <f>IFERROR($M88+VLOOKUP($L88,'Voyage days'!$F$540:$H$613,3,FALSE),"")</f>
        <v>46173.25</v>
      </c>
      <c r="BA88" s="94">
        <f>IFERROR($N88+VLOOKUP($L88,'Voyage days'!$F$540:$H$613,3,FALSE),"")</f>
        <v>46177.25</v>
      </c>
      <c r="BB88" s="93" t="str">
        <f t="shared" si="15"/>
        <v>31-04 Jun</v>
      </c>
      <c r="BC88" s="94">
        <f>IFERROR($M88+VLOOKUP($L88,'Voyage days'!$F$448:$H$479,3,FALSE),"")</f>
        <v>46173</v>
      </c>
      <c r="BD88" s="94">
        <f>IFERROR($N88+VLOOKUP($L88,'Voyage days'!$F$448:$H$479,3,FALSE),"")</f>
        <v>46177</v>
      </c>
      <c r="BE88" s="93" t="str">
        <f t="shared" si="16"/>
        <v>03-07 Jun</v>
      </c>
      <c r="BF88" s="95">
        <f>IFERROR($M88+VLOOKUP($L88,'Voyage days'!$F$620:$H$646,3,FALSE),"")</f>
        <v>46176</v>
      </c>
      <c r="BG88" s="95">
        <f>IFERROR($N88+VLOOKUP($L88,'Voyage days'!$F$620:$H$646,3,FALSE),"")</f>
        <v>46180</v>
      </c>
      <c r="BH88" s="93" t="str">
        <f t="shared" si="17"/>
        <v>31-12 Jul</v>
      </c>
      <c r="BI88" s="96">
        <f>IFERROR($M88+VLOOKUP($L88,'Voyage days'!$F$702:$H$727,3,FALSE),"")</f>
        <v>46173.25</v>
      </c>
      <c r="BJ88" s="93" t="str">
        <f t="shared" si="18"/>
        <v>08-12 Jul</v>
      </c>
      <c r="BK88" s="95">
        <f>IFERROR($M88+VLOOKUP($L88,'Voyage days'!$F$807:$H$878,3,FALSE),"")</f>
        <v>46211</v>
      </c>
      <c r="BL88" s="95">
        <f>IFERROR($N88+VLOOKUP($L88,'Voyage days'!$F$807:$H$878,3,FALSE),"")</f>
        <v>46215</v>
      </c>
      <c r="BM88" s="95">
        <f>IFERROR($N88+VLOOKUP($L88,'Voyage days'!$F$807:$K$878,6,FALSE),"")</f>
        <v>46189</v>
      </c>
      <c r="BN88" s="94" t="str">
        <f>IF(L88="loads AG", IFERROR($M88+VLOOKUP($L88,'Voyage days'!$M$38:$O$38,3,FALSE),""),"")</f>
        <v/>
      </c>
      <c r="BO88" s="94" t="str">
        <f>IF(L88="loads USG", IFERROR($M88+VLOOKUP($L88,'Voyage days'!$L$203:$N$203,3,FALSE),""),"")</f>
        <v/>
      </c>
    </row>
    <row r="89" spans="1:68" ht="15.75" customHeight="1" x14ac:dyDescent="0.25">
      <c r="A89" s="53" t="s">
        <v>236</v>
      </c>
      <c r="B89" s="119">
        <v>2023</v>
      </c>
      <c r="C89" s="76">
        <v>86700</v>
      </c>
      <c r="D89" s="77"/>
      <c r="E89" s="77"/>
      <c r="F89" s="78"/>
      <c r="G89" s="78"/>
      <c r="H89" s="78" t="s">
        <v>739</v>
      </c>
      <c r="I89" s="233" t="s">
        <v>927</v>
      </c>
      <c r="J89" s="80" t="str">
        <f t="shared" si="21"/>
        <v>Update</v>
      </c>
      <c r="K89" s="81"/>
      <c r="L89" s="82" t="s">
        <v>718</v>
      </c>
      <c r="M89" s="83">
        <v>46127</v>
      </c>
      <c r="N89" s="83">
        <v>46128</v>
      </c>
      <c r="O89" s="206"/>
      <c r="P89" s="82" t="s">
        <v>933</v>
      </c>
      <c r="Q89" s="167"/>
      <c r="R89" s="82" t="s">
        <v>935</v>
      </c>
      <c r="S89" s="120" t="s">
        <v>724</v>
      </c>
      <c r="T89" s="232">
        <v>46132</v>
      </c>
      <c r="U89" s="87" t="str">
        <f>IF(V89="","No AIS",VLOOKUP(V89,'Voyage days'!$A$3:$B$1480,2,FALSE))</f>
        <v>Panama</v>
      </c>
      <c r="V89" s="88" t="str">
        <f>IF(VLOOKUP(A89,'1) Kpler'!$E$2:$P$1000,8, FALSE)="","",VLOOKUP(A89,'1) Kpler'!$E$2:$P$1000,8, FALSE))</f>
        <v>Panama Canal</v>
      </c>
      <c r="W89" s="89">
        <f>IF(VLOOKUP(A89,'1) Kpler'!$E$2:$P$1000,9,FALSE)="","",VLOOKUP(A89,'1) Kpler'!$E$2:$P$1000,9,FALSE))</f>
        <v>46133.666666666664</v>
      </c>
      <c r="X89" s="88" t="str">
        <f>VLOOKUP(A89,'1) Kpler'!$E$2:$I$1000,4,FALSE)</f>
        <v>loaded</v>
      </c>
      <c r="Y89" s="90" t="str">
        <f t="shared" si="0"/>
        <v/>
      </c>
      <c r="Z89" s="90" t="str">
        <f t="shared" si="1"/>
        <v>15-16 Apr</v>
      </c>
      <c r="AA89" s="90" t="str">
        <f t="shared" si="2"/>
        <v>15-16 Apr</v>
      </c>
      <c r="AB89" s="90" t="str">
        <f t="shared" si="3"/>
        <v/>
      </c>
      <c r="AC89" s="90" t="str">
        <f t="shared" si="4"/>
        <v>05-06 May</v>
      </c>
      <c r="AD89" s="90" t="str">
        <f t="shared" si="5"/>
        <v/>
      </c>
      <c r="AE89" s="91" t="str">
        <f t="shared" si="6"/>
        <v/>
      </c>
      <c r="AF89" s="92" t="str">
        <f t="shared" si="7"/>
        <v/>
      </c>
      <c r="AG89" s="93" t="str">
        <f t="shared" si="8"/>
        <v/>
      </c>
      <c r="AH89" s="94" t="str">
        <f>IFERROR($M89+VLOOKUP($L89,'Voyage days'!$F$38:$H$89,3,FALSE),"")</f>
        <v/>
      </c>
      <c r="AI89" s="94" t="str">
        <f>IFERROR(N89+VLOOKUP($L89,'Voyage days'!$F$38:$H$89,3,FALSE),"")</f>
        <v/>
      </c>
      <c r="AJ89" s="93" t="str">
        <f t="shared" si="9"/>
        <v>15-16 Apr</v>
      </c>
      <c r="AK89" s="94">
        <f>IFERROR($M89+VLOOKUP($L89,'Voyage days'!$F$94:$H$193,3,FALSE),"")</f>
        <v>46127</v>
      </c>
      <c r="AL89" s="94">
        <f>IFERROR($N89+VLOOKUP($L89,'Voyage days'!$F$94:$H$193,3,FALSE),"")</f>
        <v>46128</v>
      </c>
      <c r="AM89" s="93" t="str">
        <f t="shared" si="10"/>
        <v>15-16 Apr</v>
      </c>
      <c r="AN89" s="94">
        <f>IFERROR($M89+VLOOKUP($L89,'Voyage days'!$F$203:$H$256,3,FALSE),"")</f>
        <v>46127</v>
      </c>
      <c r="AO89" s="94">
        <f>IFERROR($N89+VLOOKUP($L89,'Voyage days'!$F$203:$H$256,3,FALSE),"")</f>
        <v>46128</v>
      </c>
      <c r="AP89" s="93" t="str">
        <f t="shared" si="11"/>
        <v/>
      </c>
      <c r="AQ89" s="94" t="str">
        <f>IFERROR($M89+VLOOKUP($L89,'Voyage days'!$F$294:$H$377,3,FALSE),"")</f>
        <v/>
      </c>
      <c r="AR89" s="94" t="str">
        <f>IFERROR($N89+VLOOKUP($L89,'Voyage days'!$F$294:$H$377,3,FALSE),"")</f>
        <v/>
      </c>
      <c r="AS89" s="93" t="str">
        <f t="shared" si="12"/>
        <v>05-06 May</v>
      </c>
      <c r="AT89" s="94">
        <f>IFERROR($M89+VLOOKUP($L89,'Voyage days'!$F$382:$H$446,3,FALSE),"")</f>
        <v>46147</v>
      </c>
      <c r="AU89" s="94">
        <f>IFERROR($N89+VLOOKUP($L89,'Voyage days'!$F$382:$H$446,3,FALSE),"")</f>
        <v>46148</v>
      </c>
      <c r="AV89" s="93" t="str">
        <f t="shared" si="13"/>
        <v/>
      </c>
      <c r="AW89" s="94" t="str">
        <f>IFERROR($M89+VLOOKUP($L89,'Voyage days'!$F$483:$H$538,3,FALSE),"")</f>
        <v/>
      </c>
      <c r="AX89" s="94" t="str">
        <f>IFERROR($N89+VLOOKUP($L89,'Voyage days'!$F$483:$H$538,3,FALSE),"")</f>
        <v/>
      </c>
      <c r="AY89" s="93" t="str">
        <f t="shared" si="14"/>
        <v/>
      </c>
      <c r="AZ89" s="94" t="str">
        <f>IFERROR($M89+VLOOKUP($L89,'Voyage days'!$F$540:$H$613,3,FALSE),"")</f>
        <v/>
      </c>
      <c r="BA89" s="94" t="str">
        <f>IFERROR($N89+VLOOKUP($L89,'Voyage days'!$F$540:$H$613,3,FALSE),"")</f>
        <v/>
      </c>
      <c r="BB89" s="93" t="str">
        <f t="shared" si="15"/>
        <v/>
      </c>
      <c r="BC89" s="94" t="str">
        <f>IFERROR($M89+VLOOKUP($L89,'Voyage days'!$F$448:$H$479,3,FALSE),"")</f>
        <v/>
      </c>
      <c r="BD89" s="94" t="str">
        <f>IFERROR($N89+VLOOKUP($L89,'Voyage days'!$F$448:$H$479,3,FALSE),"")</f>
        <v/>
      </c>
      <c r="BE89" s="93" t="str">
        <f t="shared" si="16"/>
        <v/>
      </c>
      <c r="BF89" s="95" t="str">
        <f>IFERROR($M89+VLOOKUP($L89,'Voyage days'!$F$620:$H$646,3,FALSE),"")</f>
        <v/>
      </c>
      <c r="BG89" s="95" t="str">
        <f>IFERROR($N89+VLOOKUP($L89,'Voyage days'!$F$620:$H$646,3,FALSE),"")</f>
        <v/>
      </c>
      <c r="BH89" s="93" t="str">
        <f t="shared" si="17"/>
        <v/>
      </c>
      <c r="BI89" s="96" t="str">
        <f>IFERROR($M89+VLOOKUP($L89,'Voyage days'!$F$702:$H$727,3,FALSE),"")</f>
        <v/>
      </c>
      <c r="BJ89" s="93" t="str">
        <f t="shared" si="18"/>
        <v/>
      </c>
      <c r="BK89" s="95" t="str">
        <f>IFERROR($M89+VLOOKUP($L89,'Voyage days'!$F$807:$H$878,3,FALSE),"")</f>
        <v/>
      </c>
      <c r="BL89" s="95" t="str">
        <f>IFERROR($N89+VLOOKUP($L89,'Voyage days'!$F$807:$H$878,3,FALSE),"")</f>
        <v/>
      </c>
      <c r="BM89" s="95" t="str">
        <f>IFERROR($N89+VLOOKUP($L89,'Voyage days'!$F$807:$K$878,6,FALSE),"")</f>
        <v/>
      </c>
      <c r="BN89" s="94" t="str">
        <f>IF(L89="loads AG", IFERROR($M89+VLOOKUP($L89,'Voyage days'!$M$38:$O$38,3,FALSE),""),"")</f>
        <v/>
      </c>
      <c r="BO89" s="94">
        <f>IF(L89="loads USG", IFERROR($M89+VLOOKUP($L89,'Voyage days'!$L$203:$N$203,3,FALSE),""),"")</f>
        <v>46159</v>
      </c>
    </row>
    <row r="90" spans="1:68" ht="15.75" customHeight="1" x14ac:dyDescent="0.25">
      <c r="A90" s="317" t="s">
        <v>616</v>
      </c>
      <c r="B90" s="119">
        <v>2024</v>
      </c>
      <c r="C90" s="76">
        <v>86000</v>
      </c>
      <c r="D90" s="77"/>
      <c r="E90" s="77" t="s">
        <v>757</v>
      </c>
      <c r="F90" s="78"/>
      <c r="G90" s="78"/>
      <c r="H90" s="78" t="s">
        <v>713</v>
      </c>
      <c r="I90" s="233" t="s">
        <v>927</v>
      </c>
      <c r="J90" s="80" t="str">
        <f t="shared" si="21"/>
        <v/>
      </c>
      <c r="K90" s="81"/>
      <c r="L90" s="82" t="s">
        <v>936</v>
      </c>
      <c r="M90" s="83">
        <v>46139</v>
      </c>
      <c r="N90" s="83">
        <v>46140</v>
      </c>
      <c r="O90" s="318" t="s">
        <v>779</v>
      </c>
      <c r="P90" s="82" t="s">
        <v>937</v>
      </c>
      <c r="Q90" s="233"/>
      <c r="R90" s="233" t="s">
        <v>938</v>
      </c>
      <c r="S90" s="313" t="s">
        <v>724</v>
      </c>
      <c r="T90" s="232">
        <v>46132</v>
      </c>
      <c r="U90" s="87" t="str">
        <f>IF(V90="","No AIS",VLOOKUP(V90,'Voyage days'!$A$3:$B$1480,2,FALSE))</f>
        <v>East Med</v>
      </c>
      <c r="V90" s="88" t="str">
        <f>IF(VLOOKUP(A90,'1) Kpler'!$E$2:$P$1000,8, FALSE)="","",VLOOKUP(A90,'1) Kpler'!$E$2:$P$1000,8, FALSE))</f>
        <v>Gibraltar</v>
      </c>
      <c r="W90" s="89">
        <f>IF(VLOOKUP(A90,'1) Kpler'!$E$2:$P$1000,9,FALSE)="","",VLOOKUP(A90,'1) Kpler'!$E$2:$P$1000,9,FALSE))</f>
        <v>46135.5</v>
      </c>
      <c r="X90" s="88" t="str">
        <f>VLOOKUP(A90,'1) Kpler'!$E$2:$I$1000,4,FALSE)</f>
        <v>ballast</v>
      </c>
      <c r="Y90" s="63" t="str">
        <f t="shared" si="0"/>
        <v/>
      </c>
      <c r="Z90" s="63" t="str">
        <f t="shared" si="1"/>
        <v>13-14 May</v>
      </c>
      <c r="AA90" s="63" t="str">
        <f t="shared" si="2"/>
        <v>14-15 May</v>
      </c>
      <c r="AB90" s="63" t="str">
        <f t="shared" si="3"/>
        <v>09-10 May</v>
      </c>
      <c r="AC90" s="63" t="str">
        <f t="shared" si="4"/>
        <v>30-01 May</v>
      </c>
      <c r="AD90" s="63" t="str">
        <f t="shared" si="5"/>
        <v/>
      </c>
      <c r="AE90" s="129" t="str">
        <f t="shared" si="6"/>
        <v/>
      </c>
      <c r="AF90" s="130" t="str">
        <f t="shared" si="7"/>
        <v>02-03 May</v>
      </c>
      <c r="AG90" s="93" t="str">
        <f t="shared" si="8"/>
        <v/>
      </c>
      <c r="AH90" s="94" t="str">
        <f>IFERROR($M90+VLOOKUP($L90,'Voyage days'!$F$38:$H$89,3,FALSE),"")</f>
        <v/>
      </c>
      <c r="AI90" s="94" t="str">
        <f>IFERROR(N90+VLOOKUP($L90,'Voyage days'!$F$38:$H$89,3,FALSE),"")</f>
        <v/>
      </c>
      <c r="AJ90" s="93" t="str">
        <f t="shared" si="9"/>
        <v>13-14 May</v>
      </c>
      <c r="AK90" s="94">
        <f>IFERROR($M90+VLOOKUP($L90,'Voyage days'!$F$94:$H$193,3,FALSE),"")</f>
        <v>46155</v>
      </c>
      <c r="AL90" s="94">
        <f>IFERROR($N90+VLOOKUP($L90,'Voyage days'!$F$94:$H$193,3,FALSE),"")</f>
        <v>46156</v>
      </c>
      <c r="AM90" s="93" t="str">
        <f t="shared" si="10"/>
        <v>14-15 May</v>
      </c>
      <c r="AN90" s="94">
        <f>IFERROR($M90+VLOOKUP($L90,'Voyage days'!$F$203:$H$256,3,FALSE),"")</f>
        <v>46156</v>
      </c>
      <c r="AO90" s="94">
        <f>IFERROR($N90+VLOOKUP($L90,'Voyage days'!$F$203:$H$256,3,FALSE),"")</f>
        <v>46157</v>
      </c>
      <c r="AP90" s="93" t="str">
        <f t="shared" si="11"/>
        <v>09-10 May</v>
      </c>
      <c r="AQ90" s="94">
        <f>IFERROR($M90+VLOOKUP($L90,'Voyage days'!$F$294:$H$377,3,FALSE),"")</f>
        <v>46151</v>
      </c>
      <c r="AR90" s="94">
        <f>IFERROR($N90+VLOOKUP($L90,'Voyage days'!$F$294:$H$377,3,FALSE),"")</f>
        <v>46152</v>
      </c>
      <c r="AS90" s="93" t="str">
        <f t="shared" si="12"/>
        <v>30-01 May</v>
      </c>
      <c r="AT90" s="94">
        <f>IFERROR($M90+VLOOKUP($L90,'Voyage days'!$F$382:$H$446,3,FALSE),"")</f>
        <v>46142</v>
      </c>
      <c r="AU90" s="94">
        <f>IFERROR($N90+VLOOKUP($L90,'Voyage days'!$F$382:$H$446,3,FALSE),"")</f>
        <v>46143</v>
      </c>
      <c r="AV90" s="93" t="str">
        <f t="shared" si="13"/>
        <v/>
      </c>
      <c r="AW90" s="94" t="str">
        <f>IFERROR($M90+VLOOKUP($L90,'Voyage days'!$F$483:$H$538,3,FALSE),"")</f>
        <v/>
      </c>
      <c r="AX90" s="94" t="str">
        <f>IFERROR($N90+VLOOKUP($L90,'Voyage days'!$F$483:$H$538,3,FALSE),"")</f>
        <v/>
      </c>
      <c r="AY90" s="93" t="str">
        <f t="shared" si="14"/>
        <v/>
      </c>
      <c r="AZ90" s="94" t="str">
        <f>IFERROR($M90+VLOOKUP($L90,'Voyage days'!$F$540:$H$613,3,FALSE),"")</f>
        <v/>
      </c>
      <c r="BA90" s="94" t="str">
        <f>IFERROR($N90+VLOOKUP($L90,'Voyage days'!$F$540:$H$613,3,FALSE),"")</f>
        <v/>
      </c>
      <c r="BB90" s="93" t="str">
        <f t="shared" si="15"/>
        <v/>
      </c>
      <c r="BC90" s="94" t="str">
        <f>IFERROR($M90+VLOOKUP($L90,'Voyage days'!$F$448:$H$479,3,FALSE),"")</f>
        <v/>
      </c>
      <c r="BD90" s="94" t="str">
        <f>IFERROR($N90+VLOOKUP($L90,'Voyage days'!$F$448:$H$479,3,FALSE),"")</f>
        <v/>
      </c>
      <c r="BE90" s="93" t="str">
        <f t="shared" si="16"/>
        <v/>
      </c>
      <c r="BF90" s="95" t="str">
        <f>IFERROR($M90+VLOOKUP($L90,'Voyage days'!$F$620:$H$646,3,FALSE),"")</f>
        <v/>
      </c>
      <c r="BG90" s="95" t="str">
        <f>IFERROR($N90+VLOOKUP($L90,'Voyage days'!$F$620:$H$646,3,FALSE),"")</f>
        <v/>
      </c>
      <c r="BH90" s="93" t="str">
        <f t="shared" si="17"/>
        <v/>
      </c>
      <c r="BI90" s="96" t="str">
        <f>IFERROR($M90+VLOOKUP($L90,'Voyage days'!$F$702:$H$727,3,FALSE),"")</f>
        <v/>
      </c>
      <c r="BJ90" s="93" t="str">
        <f t="shared" si="18"/>
        <v>02-03 May</v>
      </c>
      <c r="BK90" s="95">
        <f>IFERROR($M90+VLOOKUP($L90,'Voyage days'!$F$807:$H$878,3,FALSE),"")</f>
        <v>46144</v>
      </c>
      <c r="BL90" s="95">
        <f>IFERROR($N90+VLOOKUP($L90,'Voyage days'!$F$807:$H$878,3,FALSE),"")</f>
        <v>46145</v>
      </c>
      <c r="BM90" s="95">
        <f>IFERROR($N90+VLOOKUP($L90,'Voyage days'!$F$807:$K$878,6,FALSE),"")</f>
        <v>46140</v>
      </c>
      <c r="BN90" s="94" t="str">
        <f>IF(L90="loads AG", IFERROR($M90+VLOOKUP($L90,'Voyage days'!$M$38:$O$38,3,FALSE),""),"")</f>
        <v/>
      </c>
      <c r="BO90" s="94" t="str">
        <f>IF(L90="loads USG", IFERROR($M90+VLOOKUP($L90,'Voyage days'!$L$203:$N$203,3,FALSE),""),"")</f>
        <v/>
      </c>
    </row>
    <row r="91" spans="1:68" ht="15.75" customHeight="1" x14ac:dyDescent="0.25">
      <c r="A91" s="319" t="s">
        <v>597</v>
      </c>
      <c r="B91" s="153">
        <v>38139</v>
      </c>
      <c r="C91" s="154">
        <v>78918</v>
      </c>
      <c r="D91" s="178"/>
      <c r="E91" s="178"/>
      <c r="F91" s="163"/>
      <c r="G91" s="163"/>
      <c r="H91" s="163"/>
      <c r="I91" s="164" t="s">
        <v>927</v>
      </c>
      <c r="J91" s="165" t="str">
        <f t="shared" si="21"/>
        <v/>
      </c>
      <c r="K91" s="166"/>
      <c r="L91" s="167" t="s">
        <v>715</v>
      </c>
      <c r="M91" s="141">
        <v>46160</v>
      </c>
      <c r="N91" s="205">
        <v>46162</v>
      </c>
      <c r="O91" s="320"/>
      <c r="P91" s="167" t="s">
        <v>939</v>
      </c>
      <c r="Q91" s="321"/>
      <c r="R91" s="322" t="s">
        <v>940</v>
      </c>
      <c r="S91" s="279" t="s">
        <v>724</v>
      </c>
      <c r="T91" s="323">
        <v>46132</v>
      </c>
      <c r="U91" s="170" t="str">
        <f>IF(V91="","No AIS",VLOOKUP(V91,'Voyage days'!$A$3:$B$1480,2,FALSE))</f>
        <v>Japan + 6</v>
      </c>
      <c r="V91" s="171" t="str">
        <f>IF(VLOOKUP(A91,'1) Kpler'!$E$2:$P$1000,8, FALSE)="","",VLOOKUP(A91,'1) Kpler'!$E$2:$P$1000,8, FALSE))</f>
        <v>Tokyo Bay</v>
      </c>
      <c r="W91" s="172">
        <f>IF(VLOOKUP(A91,'1) Kpler'!$E$2:$P$1000,9,FALSE)="","",VLOOKUP(A91,'1) Kpler'!$E$2:$P$1000,9,FALSE))</f>
        <v>46154.479166666664</v>
      </c>
      <c r="X91" s="171" t="str">
        <f>VLOOKUP(A91,'1) Kpler'!$E$2:$I$1000,4,FALSE)</f>
        <v>loaded</v>
      </c>
      <c r="Y91" s="324" t="str">
        <f t="shared" si="0"/>
        <v>05-07 Jun</v>
      </c>
      <c r="Z91" s="324" t="str">
        <f t="shared" si="1"/>
        <v>18-20 Jun</v>
      </c>
      <c r="AA91" s="324" t="str">
        <f t="shared" si="2"/>
        <v>29-01 Jul</v>
      </c>
      <c r="AB91" s="324" t="str">
        <f t="shared" si="3"/>
        <v>17-19 Jun</v>
      </c>
      <c r="AC91" s="324" t="str">
        <f t="shared" si="4"/>
        <v>23-25 Jun</v>
      </c>
      <c r="AD91" s="324" t="str">
        <f t="shared" si="5"/>
        <v>26-28 May</v>
      </c>
      <c r="AE91" s="325" t="str">
        <f t="shared" si="6"/>
        <v>26-28 May</v>
      </c>
      <c r="AF91" s="130" t="str">
        <f t="shared" si="7"/>
        <v>03-05 Jul</v>
      </c>
      <c r="AG91" s="93" t="str">
        <f t="shared" si="8"/>
        <v>05-07 Jun</v>
      </c>
      <c r="AH91" s="94">
        <f>IFERROR($M91+VLOOKUP($L91,'Voyage days'!$F$38:$H$89,3,FALSE),"")</f>
        <v>46178</v>
      </c>
      <c r="AI91" s="94">
        <f>IFERROR(N91+VLOOKUP($L91,'Voyage days'!$F$38:$H$89,3,FALSE),"")</f>
        <v>46180</v>
      </c>
      <c r="AJ91" s="93" t="str">
        <f t="shared" si="9"/>
        <v>18-20 Jun</v>
      </c>
      <c r="AK91" s="94">
        <f>IFERROR($M91+VLOOKUP($L91,'Voyage days'!$F$94:$H$193,3,FALSE),"")</f>
        <v>46191</v>
      </c>
      <c r="AL91" s="94">
        <f>IFERROR($N91+VLOOKUP($L91,'Voyage days'!$F$94:$H$193,3,FALSE),"")</f>
        <v>46193</v>
      </c>
      <c r="AM91" s="93" t="str">
        <f t="shared" si="10"/>
        <v>29-01 Jul</v>
      </c>
      <c r="AN91" s="94">
        <f>IFERROR($M91+VLOOKUP($L91,'Voyage days'!$F$203:$H$256,3,FALSE),"")</f>
        <v>46202</v>
      </c>
      <c r="AO91" s="94">
        <f>IFERROR($N91+VLOOKUP($L91,'Voyage days'!$F$203:$H$256,3,FALSE),"")</f>
        <v>46204</v>
      </c>
      <c r="AP91" s="93" t="str">
        <f t="shared" si="11"/>
        <v>17-19 Jun</v>
      </c>
      <c r="AQ91" s="94">
        <f>IFERROR($M91+VLOOKUP($L91,'Voyage days'!$F$294:$H$377,3,FALSE),"")</f>
        <v>46190</v>
      </c>
      <c r="AR91" s="94">
        <f>IFERROR($N91+VLOOKUP($L91,'Voyage days'!$F$294:$H$377,3,FALSE),"")</f>
        <v>46192</v>
      </c>
      <c r="AS91" s="93" t="str">
        <f t="shared" si="12"/>
        <v>23-25 Jun</v>
      </c>
      <c r="AT91" s="94">
        <f>IFERROR($M91+VLOOKUP($L91,'Voyage days'!$F$382:$H$446,3,FALSE),"")</f>
        <v>46196</v>
      </c>
      <c r="AU91" s="94">
        <f>IFERROR($N91+VLOOKUP($L91,'Voyage days'!$F$382:$H$446,3,FALSE),"")</f>
        <v>46198</v>
      </c>
      <c r="AV91" s="93" t="str">
        <f t="shared" si="13"/>
        <v>31-02 Jun</v>
      </c>
      <c r="AW91" s="94">
        <f>IFERROR($M91+VLOOKUP($L91,'Voyage days'!$F$483:$H$538,3,FALSE),"")</f>
        <v>46173</v>
      </c>
      <c r="AX91" s="94">
        <f>IFERROR($N91+VLOOKUP($L91,'Voyage days'!$F$483:$H$538,3,FALSE),"")</f>
        <v>46175</v>
      </c>
      <c r="AY91" s="93" t="str">
        <f t="shared" si="14"/>
        <v>26-28 May</v>
      </c>
      <c r="AZ91" s="94">
        <f>IFERROR($M91+VLOOKUP($L91,'Voyage days'!$F$540:$H$613,3,FALSE),"")</f>
        <v>46168.25</v>
      </c>
      <c r="BA91" s="94">
        <f>IFERROR($N91+VLOOKUP($L91,'Voyage days'!$F$540:$H$613,3,FALSE),"")</f>
        <v>46170.25</v>
      </c>
      <c r="BB91" s="93" t="str">
        <f t="shared" si="15"/>
        <v>26-28 May</v>
      </c>
      <c r="BC91" s="94">
        <f>IFERROR($M91+VLOOKUP($L91,'Voyage days'!$F$448:$H$479,3,FALSE),"")</f>
        <v>46168</v>
      </c>
      <c r="BD91" s="94">
        <f>IFERROR($N91+VLOOKUP($L91,'Voyage days'!$F$448:$H$479,3,FALSE),"")</f>
        <v>46170</v>
      </c>
      <c r="BE91" s="93" t="str">
        <f t="shared" si="16"/>
        <v>29-31 May</v>
      </c>
      <c r="BF91" s="95">
        <f>IFERROR($M91+VLOOKUP($L91,'Voyage days'!$F$620:$H$646,3,FALSE),"")</f>
        <v>46171</v>
      </c>
      <c r="BG91" s="95">
        <f>IFERROR($N91+VLOOKUP($L91,'Voyage days'!$F$620:$H$646,3,FALSE),"")</f>
        <v>46173</v>
      </c>
      <c r="BH91" s="93" t="str">
        <f t="shared" si="17"/>
        <v>26-05 Jul</v>
      </c>
      <c r="BI91" s="96">
        <f>IFERROR($M91+VLOOKUP($L91,'Voyage days'!$F$702:$H$727,3,FALSE),"")</f>
        <v>46168.25</v>
      </c>
      <c r="BJ91" s="93" t="str">
        <f t="shared" si="18"/>
        <v>03-05 Jul</v>
      </c>
      <c r="BK91" s="95">
        <f>IFERROR($M91+VLOOKUP($L91,'Voyage days'!$F$807:$H$878,3,FALSE),"")</f>
        <v>46206</v>
      </c>
      <c r="BL91" s="95">
        <f>IFERROR($N91+VLOOKUP($L91,'Voyage days'!$F$807:$H$878,3,FALSE),"")</f>
        <v>46208</v>
      </c>
      <c r="BM91" s="95">
        <f>IFERROR($N91+VLOOKUP($L91,'Voyage days'!$F$807:$K$878,6,FALSE),"")</f>
        <v>46182</v>
      </c>
      <c r="BN91" s="94" t="str">
        <f>IF(L91="loads AG", IFERROR($M91+VLOOKUP($L91,'Voyage days'!$M$38:$O$38,3,FALSE),""),"")</f>
        <v/>
      </c>
      <c r="BO91" s="94" t="str">
        <f>IF(L91="loads USG", IFERROR($M91+VLOOKUP($L91,'Voyage days'!$L$203:$N$203,3,FALSE),""),"")</f>
        <v/>
      </c>
    </row>
    <row r="92" spans="1:68" ht="15.75" customHeight="1" x14ac:dyDescent="0.25">
      <c r="A92" s="326" t="s">
        <v>328</v>
      </c>
      <c r="B92" s="182">
        <v>2017</v>
      </c>
      <c r="C92" s="183">
        <v>83000</v>
      </c>
      <c r="D92" s="184" t="s">
        <v>651</v>
      </c>
      <c r="E92" s="184"/>
      <c r="F92" s="185"/>
      <c r="G92" s="185"/>
      <c r="H92" s="185"/>
      <c r="I92" s="327" t="s">
        <v>941</v>
      </c>
      <c r="J92" s="187" t="str">
        <f t="shared" si="21"/>
        <v/>
      </c>
      <c r="K92" s="188"/>
      <c r="L92" s="186" t="s">
        <v>790</v>
      </c>
      <c r="M92" s="189">
        <v>46143</v>
      </c>
      <c r="N92" s="189">
        <v>46144</v>
      </c>
      <c r="O92" s="328" t="s">
        <v>779</v>
      </c>
      <c r="P92" s="191" t="s">
        <v>942</v>
      </c>
      <c r="Q92" s="186"/>
      <c r="R92" s="186" t="s">
        <v>943</v>
      </c>
      <c r="S92" s="313" t="s">
        <v>724</v>
      </c>
      <c r="T92" s="329">
        <v>46132</v>
      </c>
      <c r="U92" s="195" t="str">
        <f>IF(V92="","No AIS",VLOOKUP(V92,'Voyage days'!$A$3:$B$1480,2,FALSE))</f>
        <v>Eu + 4</v>
      </c>
      <c r="V92" s="195" t="str">
        <f>IF(VLOOKUP(A92,'1) Kpler'!$E$2:$P$1000,8, FALSE)="","",VLOOKUP(A92,'1) Kpler'!$E$2:$P$1000,8, FALSE))</f>
        <v>Stenungsund</v>
      </c>
      <c r="W92" s="196">
        <f>IF(VLOOKUP(A92,'1) Kpler'!$E$2:$P$1000,9,FALSE)="","",VLOOKUP(A92,'1) Kpler'!$E$2:$P$1000,9,FALSE))</f>
        <v>46138.666666666664</v>
      </c>
      <c r="X92" s="195" t="str">
        <f>VLOOKUP(A92,'1) Kpler'!$E$2:$I$1000,4,FALSE)</f>
        <v>loaded</v>
      </c>
      <c r="Y92" s="330" t="str">
        <f t="shared" si="0"/>
        <v/>
      </c>
      <c r="Z92" s="330" t="str">
        <f t="shared" si="1"/>
        <v>15-16 May</v>
      </c>
      <c r="AA92" s="330" t="str">
        <f t="shared" si="2"/>
        <v>16-17 May</v>
      </c>
      <c r="AB92" s="330" t="str">
        <f t="shared" si="3"/>
        <v>12-13 May</v>
      </c>
      <c r="AC92" s="330" t="str">
        <f t="shared" si="4"/>
        <v>03-04 May</v>
      </c>
      <c r="AD92" s="330" t="str">
        <f t="shared" si="5"/>
        <v/>
      </c>
      <c r="AE92" s="331" t="str">
        <f t="shared" si="6"/>
        <v/>
      </c>
      <c r="AF92" s="332" t="str">
        <f t="shared" si="7"/>
        <v>15-16 May</v>
      </c>
      <c r="AG92" s="200" t="str">
        <f t="shared" si="8"/>
        <v/>
      </c>
      <c r="AH92" s="201" t="str">
        <f>IFERROR($M92+VLOOKUP($L92,'Voyage days'!$F$38:$H$89,3,FALSE),"")</f>
        <v/>
      </c>
      <c r="AI92" s="201" t="str">
        <f>IFERROR(N92+VLOOKUP($L92,'Voyage days'!$F$38:$H$89,3,FALSE),"")</f>
        <v/>
      </c>
      <c r="AJ92" s="200" t="str">
        <f t="shared" si="9"/>
        <v>15-16 May</v>
      </c>
      <c r="AK92" s="201">
        <f>IFERROR($M92+VLOOKUP($L92,'Voyage days'!$F$94:$H$193,3,FALSE),"")</f>
        <v>46157</v>
      </c>
      <c r="AL92" s="201">
        <f>IFERROR($N92+VLOOKUP($L92,'Voyage days'!$F$94:$H$193,3,FALSE),"")</f>
        <v>46158</v>
      </c>
      <c r="AM92" s="200" t="str">
        <f t="shared" si="10"/>
        <v>16-17 May</v>
      </c>
      <c r="AN92" s="201">
        <f>IFERROR($M92+VLOOKUP($L92,'Voyage days'!$F$203:$H$256,3,FALSE),"")</f>
        <v>46158</v>
      </c>
      <c r="AO92" s="201">
        <f>IFERROR($N92+VLOOKUP($L92,'Voyage days'!$F$203:$H$256,3,FALSE),"")</f>
        <v>46159</v>
      </c>
      <c r="AP92" s="200" t="str">
        <f t="shared" si="11"/>
        <v>12-13 May</v>
      </c>
      <c r="AQ92" s="201">
        <f>IFERROR($M92+VLOOKUP($L92,'Voyage days'!$F$294:$H$377,3,FALSE),"")</f>
        <v>46154</v>
      </c>
      <c r="AR92" s="201">
        <f>IFERROR($N92+VLOOKUP($L92,'Voyage days'!$F$294:$H$377,3,FALSE),"")</f>
        <v>46155</v>
      </c>
      <c r="AS92" s="200" t="str">
        <f t="shared" si="12"/>
        <v>03-04 May</v>
      </c>
      <c r="AT92" s="201">
        <f>IFERROR($M92+VLOOKUP($L92,'Voyage days'!$F$382:$H$446,3,FALSE),"")</f>
        <v>46145</v>
      </c>
      <c r="AU92" s="201">
        <f>IFERROR($N92+VLOOKUP($L92,'Voyage days'!$F$382:$H$446,3,FALSE),"")</f>
        <v>46146</v>
      </c>
      <c r="AV92" s="200" t="str">
        <f t="shared" si="13"/>
        <v/>
      </c>
      <c r="AW92" s="201" t="str">
        <f>IFERROR($M92+VLOOKUP($L92,'Voyage days'!$F$483:$H$538,3,FALSE),"")</f>
        <v/>
      </c>
      <c r="AX92" s="201" t="str">
        <f>IFERROR($N92+VLOOKUP($L92,'Voyage days'!$F$483:$H$538,3,FALSE),"")</f>
        <v/>
      </c>
      <c r="AY92" s="200" t="str">
        <f t="shared" si="14"/>
        <v/>
      </c>
      <c r="AZ92" s="201" t="str">
        <f>IFERROR($M92+VLOOKUP($L92,'Voyage days'!$F$540:$H$613,3,FALSE),"")</f>
        <v/>
      </c>
      <c r="BA92" s="201" t="str">
        <f>IFERROR($N92+VLOOKUP($L92,'Voyage days'!$F$540:$H$613,3,FALSE),"")</f>
        <v/>
      </c>
      <c r="BB92" s="200" t="str">
        <f t="shared" si="15"/>
        <v/>
      </c>
      <c r="BC92" s="201" t="str">
        <f>IFERROR($M92+VLOOKUP($L92,'Voyage days'!$F$448:$H$479,3,FALSE),"")</f>
        <v/>
      </c>
      <c r="BD92" s="201" t="str">
        <f>IFERROR($N92+VLOOKUP($L92,'Voyage days'!$F$448:$H$479,3,FALSE),"")</f>
        <v/>
      </c>
      <c r="BE92" s="200" t="str">
        <f t="shared" si="16"/>
        <v/>
      </c>
      <c r="BF92" s="201" t="str">
        <f>IFERROR($M92+VLOOKUP($L92,'Voyage days'!$F$620:$H$646,3,FALSE),"")</f>
        <v/>
      </c>
      <c r="BG92" s="201" t="str">
        <f>IFERROR($N92+VLOOKUP($L92,'Voyage days'!$F$620:$H$646,3,FALSE),"")</f>
        <v/>
      </c>
      <c r="BH92" s="200" t="str">
        <f t="shared" si="17"/>
        <v/>
      </c>
      <c r="BI92" s="202" t="str">
        <f>IFERROR($M92+VLOOKUP($L92,'Voyage days'!$F$702:$H$727,3,FALSE),"")</f>
        <v/>
      </c>
      <c r="BJ92" s="200" t="str">
        <f t="shared" si="18"/>
        <v>15-16 May</v>
      </c>
      <c r="BK92" s="201">
        <f>IFERROR($M92+VLOOKUP($L92,'Voyage days'!$F$807:$H$878,3,FALSE),"")</f>
        <v>46157</v>
      </c>
      <c r="BL92" s="201">
        <f>IFERROR($N92+VLOOKUP($L92,'Voyage days'!$F$807:$H$878,3,FALSE),"")</f>
        <v>46158</v>
      </c>
      <c r="BM92" s="201">
        <f>IFERROR($N92+VLOOKUP($L92,'Voyage days'!$F$807:$K$878,6,FALSE),"")</f>
        <v>46144</v>
      </c>
      <c r="BN92" s="201" t="str">
        <f>IF(L92="loads AG", IFERROR($M92+VLOOKUP($L92,'Voyage days'!$M$38:$O$38,3,FALSE),""),"")</f>
        <v/>
      </c>
      <c r="BO92" s="201" t="str">
        <f>IF(L92="loads USG", IFERROR($M92+VLOOKUP($L92,'Voyage days'!$L$203:$N$203,3,FALSE),""),"")</f>
        <v/>
      </c>
      <c r="BP92" s="203"/>
    </row>
    <row r="93" spans="1:68" ht="15.75" customHeight="1" x14ac:dyDescent="0.25">
      <c r="A93" s="74" t="s">
        <v>944</v>
      </c>
      <c r="B93" s="75">
        <v>43617</v>
      </c>
      <c r="C93" s="76">
        <v>82200</v>
      </c>
      <c r="D93" s="77" t="s">
        <v>651</v>
      </c>
      <c r="E93" s="77"/>
      <c r="F93" s="78"/>
      <c r="G93" s="78"/>
      <c r="H93" s="78" t="s">
        <v>739</v>
      </c>
      <c r="I93" s="260" t="s">
        <v>941</v>
      </c>
      <c r="J93" s="80" t="str">
        <f t="shared" si="21"/>
        <v>NO AIS</v>
      </c>
      <c r="K93" s="81"/>
      <c r="L93" s="82" t="s">
        <v>790</v>
      </c>
      <c r="M93" s="83">
        <v>46137</v>
      </c>
      <c r="N93" s="83">
        <v>46138</v>
      </c>
      <c r="O93" s="84" t="s">
        <v>779</v>
      </c>
      <c r="P93" s="82" t="s">
        <v>945</v>
      </c>
      <c r="Q93" s="85"/>
      <c r="R93" s="82" t="s">
        <v>946</v>
      </c>
      <c r="S93" s="313" t="s">
        <v>724</v>
      </c>
      <c r="T93" s="232">
        <v>46132</v>
      </c>
      <c r="U93" s="87" t="str">
        <f>IF(V93="","No AIS",VLOOKUP(V93,'Voyage days'!$A$3:$B$1480,2,FALSE))</f>
        <v>No AIS</v>
      </c>
      <c r="V93" s="170" t="str">
        <f>IF(VLOOKUP(A93,'1) Kpler'!$E$2:$P$1000,8, FALSE)="","",VLOOKUP(A93,'1) Kpler'!$E$2:$P$1000,8, FALSE))</f>
        <v/>
      </c>
      <c r="W93" s="333" t="str">
        <f>IF(VLOOKUP(A93,'1) Kpler'!$E$2:$P$1000,9,FALSE)="","",VLOOKUP(A93,'1) Kpler'!$E$2:$P$1000,9,FALSE))</f>
        <v/>
      </c>
      <c r="X93" s="334" t="str">
        <f>VLOOKUP(A93,'1) Kpler'!$E$2:$I$1000,4,FALSE)</f>
        <v>loaded</v>
      </c>
      <c r="Y93" s="90" t="str">
        <f t="shared" si="0"/>
        <v/>
      </c>
      <c r="Z93" s="90" t="str">
        <f t="shared" si="1"/>
        <v>09-10 May</v>
      </c>
      <c r="AA93" s="90" t="str">
        <f t="shared" si="2"/>
        <v>10-11 May</v>
      </c>
      <c r="AB93" s="90" t="str">
        <f t="shared" si="3"/>
        <v>06-07 May</v>
      </c>
      <c r="AC93" s="90" t="str">
        <f t="shared" si="4"/>
        <v>27-28 Apr</v>
      </c>
      <c r="AD93" s="90" t="str">
        <f t="shared" si="5"/>
        <v/>
      </c>
      <c r="AE93" s="91" t="str">
        <f t="shared" si="6"/>
        <v/>
      </c>
      <c r="AF93" s="92" t="str">
        <f t="shared" si="7"/>
        <v>09-10 May</v>
      </c>
      <c r="AG93" s="93" t="str">
        <f t="shared" si="8"/>
        <v/>
      </c>
      <c r="AH93" s="94" t="str">
        <f>IFERROR($M93+VLOOKUP($L93,'Voyage days'!$F$38:$H$89,3,FALSE),"")</f>
        <v/>
      </c>
      <c r="AI93" s="94" t="str">
        <f>IFERROR(N93+VLOOKUP($L93,'Voyage days'!$F$38:$H$89,3,FALSE),"")</f>
        <v/>
      </c>
      <c r="AJ93" s="93" t="str">
        <f t="shared" si="9"/>
        <v>09-10 May</v>
      </c>
      <c r="AK93" s="94">
        <f>IFERROR($M93+VLOOKUP($L93,'Voyage days'!$F$94:$H$193,3,FALSE),"")</f>
        <v>46151</v>
      </c>
      <c r="AL93" s="94">
        <f>IFERROR($N93+VLOOKUP($L93,'Voyage days'!$F$94:$H$193,3,FALSE),"")</f>
        <v>46152</v>
      </c>
      <c r="AM93" s="93" t="str">
        <f t="shared" si="10"/>
        <v>10-11 May</v>
      </c>
      <c r="AN93" s="94">
        <f>IFERROR($M93+VLOOKUP($L93,'Voyage days'!$F$203:$H$256,3,FALSE),"")</f>
        <v>46152</v>
      </c>
      <c r="AO93" s="94">
        <f>IFERROR($N93+VLOOKUP($L93,'Voyage days'!$F$203:$H$256,3,FALSE),"")</f>
        <v>46153</v>
      </c>
      <c r="AP93" s="93" t="str">
        <f t="shared" si="11"/>
        <v>06-07 May</v>
      </c>
      <c r="AQ93" s="94">
        <f>IFERROR($M93+VLOOKUP($L93,'Voyage days'!$F$294:$H$377,3,FALSE),"")</f>
        <v>46148</v>
      </c>
      <c r="AR93" s="94">
        <f>IFERROR($N93+VLOOKUP($L93,'Voyage days'!$F$294:$H$377,3,FALSE),"")</f>
        <v>46149</v>
      </c>
      <c r="AS93" s="93" t="str">
        <f t="shared" si="12"/>
        <v>27-28 Apr</v>
      </c>
      <c r="AT93" s="94">
        <f>IFERROR($M93+VLOOKUP($L93,'Voyage days'!$F$382:$H$446,3,FALSE),"")</f>
        <v>46139</v>
      </c>
      <c r="AU93" s="94">
        <f>IFERROR($N93+VLOOKUP($L93,'Voyage days'!$F$382:$H$446,3,FALSE),"")</f>
        <v>46140</v>
      </c>
      <c r="AV93" s="93" t="str">
        <f t="shared" si="13"/>
        <v/>
      </c>
      <c r="AW93" s="94" t="str">
        <f>IFERROR($M93+VLOOKUP($L93,'Voyage days'!$F$483:$H$538,3,FALSE),"")</f>
        <v/>
      </c>
      <c r="AX93" s="94" t="str">
        <f>IFERROR($N93+VLOOKUP($L93,'Voyage days'!$F$483:$H$538,3,FALSE),"")</f>
        <v/>
      </c>
      <c r="AY93" s="93" t="str">
        <f t="shared" si="14"/>
        <v/>
      </c>
      <c r="AZ93" s="94" t="str">
        <f>IFERROR($M93+VLOOKUP($L93,'Voyage days'!$F$540:$H$613,3,FALSE),"")</f>
        <v/>
      </c>
      <c r="BA93" s="94" t="str">
        <f>IFERROR($N93+VLOOKUP($L93,'Voyage days'!$F$540:$H$613,3,FALSE),"")</f>
        <v/>
      </c>
      <c r="BB93" s="93" t="str">
        <f t="shared" si="15"/>
        <v/>
      </c>
      <c r="BC93" s="94" t="str">
        <f>IFERROR($M93+VLOOKUP($L93,'Voyage days'!$F$448:$H$479,3,FALSE),"")</f>
        <v/>
      </c>
      <c r="BD93" s="94" t="str">
        <f>IFERROR($N93+VLOOKUP($L93,'Voyage days'!$F$448:$H$479,3,FALSE),"")</f>
        <v/>
      </c>
      <c r="BE93" s="93" t="str">
        <f t="shared" si="16"/>
        <v/>
      </c>
      <c r="BF93" s="95" t="str">
        <f>IFERROR($M93+VLOOKUP($L93,'Voyage days'!$F$620:$H$646,3,FALSE),"")</f>
        <v/>
      </c>
      <c r="BG93" s="95" t="str">
        <f>IFERROR($N93+VLOOKUP($L93,'Voyage days'!$F$620:$H$646,3,FALSE),"")</f>
        <v/>
      </c>
      <c r="BH93" s="93" t="str">
        <f t="shared" si="17"/>
        <v/>
      </c>
      <c r="BI93" s="96" t="str">
        <f>IFERROR($M93+VLOOKUP($L93,'Voyage days'!$F$702:$H$727,3,FALSE),"")</f>
        <v/>
      </c>
      <c r="BJ93" s="93" t="str">
        <f t="shared" si="18"/>
        <v>09-10 May</v>
      </c>
      <c r="BK93" s="95">
        <f>IFERROR($M93+VLOOKUP($L93,'Voyage days'!$F$807:$H$878,3,FALSE),"")</f>
        <v>46151</v>
      </c>
      <c r="BL93" s="95">
        <f>IFERROR($N93+VLOOKUP($L93,'Voyage days'!$F$807:$H$878,3,FALSE),"")</f>
        <v>46152</v>
      </c>
      <c r="BM93" s="95">
        <f>IFERROR($N93+VLOOKUP($L93,'Voyage days'!$F$807:$K$878,6,FALSE),"")</f>
        <v>46138</v>
      </c>
      <c r="BN93" s="94" t="str">
        <f>IF(L93="loads AG", IFERROR($M93+VLOOKUP($L93,'Voyage days'!$M$38:$O$38,3,FALSE),""),"")</f>
        <v/>
      </c>
      <c r="BO93" s="94" t="str">
        <f>IF(L93="loads USG", IFERROR($M93+VLOOKUP($L93,'Voyage days'!$L$203:$N$203,3,FALSE),""),"")</f>
        <v/>
      </c>
    </row>
    <row r="94" spans="1:68" ht="15.75" customHeight="1" x14ac:dyDescent="0.25">
      <c r="A94" s="293" t="s">
        <v>614</v>
      </c>
      <c r="B94" s="176">
        <v>42217</v>
      </c>
      <c r="C94" s="134">
        <v>84000</v>
      </c>
      <c r="D94" s="77" t="s">
        <v>651</v>
      </c>
      <c r="E94" s="279"/>
      <c r="F94" s="224"/>
      <c r="G94" s="224"/>
      <c r="H94" s="224"/>
      <c r="I94" s="335" t="s">
        <v>941</v>
      </c>
      <c r="J94" s="285" t="str">
        <f t="shared" si="21"/>
        <v/>
      </c>
      <c r="K94" s="139"/>
      <c r="L94" s="227" t="s">
        <v>718</v>
      </c>
      <c r="M94" s="83">
        <v>46132</v>
      </c>
      <c r="N94" s="141">
        <v>46133</v>
      </c>
      <c r="O94" s="255" t="s">
        <v>779</v>
      </c>
      <c r="P94" s="286" t="s">
        <v>947</v>
      </c>
      <c r="Q94" s="227"/>
      <c r="R94" s="227" t="s">
        <v>948</v>
      </c>
      <c r="S94" s="279" t="s">
        <v>724</v>
      </c>
      <c r="T94" s="144">
        <v>46132</v>
      </c>
      <c r="U94" s="145" t="str">
        <f>IF(V94="","No AIS",VLOOKUP(V94,'Voyage days'!$A$3:$B$1480,2,FALSE))</f>
        <v>USG</v>
      </c>
      <c r="V94" s="145" t="str">
        <f>IF(VLOOKUP(A94,'1) Kpler'!$E$2:$P$1000,8, FALSE)="","",VLOOKUP(A94,'1) Kpler'!$E$2:$P$1000,8, FALSE))</f>
        <v>Energy Transfer Marcus Hook</v>
      </c>
      <c r="W94" s="290">
        <f>IF(VLOOKUP(A94,'1) Kpler'!$E$2:$P$1000,9,FALSE)="","",VLOOKUP(A94,'1) Kpler'!$E$2:$P$1000,9,FALSE))</f>
        <v>46132.25</v>
      </c>
      <c r="X94" s="145" t="str">
        <f>VLOOKUP(A94,'1) Kpler'!$E$2:$I$1000,4,FALSE)</f>
        <v>ballast</v>
      </c>
      <c r="Y94" s="93" t="str">
        <f t="shared" si="0"/>
        <v/>
      </c>
      <c r="Z94" s="93" t="str">
        <f t="shared" si="1"/>
        <v>20-21 Apr</v>
      </c>
      <c r="AA94" s="93" t="str">
        <f t="shared" si="2"/>
        <v>20-21 Apr</v>
      </c>
      <c r="AB94" s="93" t="str">
        <f t="shared" si="3"/>
        <v/>
      </c>
      <c r="AC94" s="93" t="str">
        <f t="shared" si="4"/>
        <v>10-11 May</v>
      </c>
      <c r="AD94" s="93" t="str">
        <f t="shared" si="5"/>
        <v/>
      </c>
      <c r="AE94" s="179" t="str">
        <f t="shared" si="6"/>
        <v/>
      </c>
      <c r="AF94" s="180" t="str">
        <f t="shared" si="7"/>
        <v/>
      </c>
      <c r="AG94" s="93" t="str">
        <f t="shared" si="8"/>
        <v/>
      </c>
      <c r="AH94" s="94" t="str">
        <f>IFERROR($M94+VLOOKUP($L94,'Voyage days'!$F$38:$H$89,3,FALSE),"")</f>
        <v/>
      </c>
      <c r="AI94" s="94" t="str">
        <f>IFERROR(N94+VLOOKUP($L94,'Voyage days'!$F$38:$H$89,3,FALSE),"")</f>
        <v/>
      </c>
      <c r="AJ94" s="93" t="str">
        <f t="shared" si="9"/>
        <v>20-21 Apr</v>
      </c>
      <c r="AK94" s="94">
        <f>IFERROR($M94+VLOOKUP($L94,'Voyage days'!$F$94:$H$193,3,FALSE),"")</f>
        <v>46132</v>
      </c>
      <c r="AL94" s="94">
        <f>IFERROR($N94+VLOOKUP($L94,'Voyage days'!$F$94:$H$193,3,FALSE),"")</f>
        <v>46133</v>
      </c>
      <c r="AM94" s="93" t="str">
        <f t="shared" si="10"/>
        <v>20-21 Apr</v>
      </c>
      <c r="AN94" s="94">
        <f>IFERROR($M94+VLOOKUP($L94,'Voyage days'!$F$203:$H$256,3,FALSE),"")</f>
        <v>46132</v>
      </c>
      <c r="AO94" s="94">
        <f>IFERROR($N94+VLOOKUP($L94,'Voyage days'!$F$203:$H$256,3,FALSE),"")</f>
        <v>46133</v>
      </c>
      <c r="AP94" s="93" t="str">
        <f t="shared" si="11"/>
        <v/>
      </c>
      <c r="AQ94" s="94" t="str">
        <f>IFERROR($M94+VLOOKUP($L94,'Voyage days'!$F$294:$H$377,3,FALSE),"")</f>
        <v/>
      </c>
      <c r="AR94" s="94" t="str">
        <f>IFERROR($N94+VLOOKUP($L94,'Voyage days'!$F$294:$H$377,3,FALSE),"")</f>
        <v/>
      </c>
      <c r="AS94" s="93" t="str">
        <f t="shared" si="12"/>
        <v>10-11 May</v>
      </c>
      <c r="AT94" s="94">
        <f>IFERROR($M94+VLOOKUP($L94,'Voyage days'!$F$382:$H$446,3,FALSE),"")</f>
        <v>46152</v>
      </c>
      <c r="AU94" s="94">
        <f>IFERROR($N94+VLOOKUP($L94,'Voyage days'!$F$382:$H$446,3,FALSE),"")</f>
        <v>46153</v>
      </c>
      <c r="AV94" s="93" t="str">
        <f t="shared" si="13"/>
        <v/>
      </c>
      <c r="AW94" s="94" t="str">
        <f>IFERROR($M94+VLOOKUP($L94,'Voyage days'!$F$483:$H$538,3,FALSE),"")</f>
        <v/>
      </c>
      <c r="AX94" s="94" t="str">
        <f>IFERROR($N94+VLOOKUP($L94,'Voyage days'!$F$483:$H$538,3,FALSE),"")</f>
        <v/>
      </c>
      <c r="AY94" s="93" t="str">
        <f t="shared" si="14"/>
        <v/>
      </c>
      <c r="AZ94" s="94" t="str">
        <f>IFERROR($M94+VLOOKUP($L94,'Voyage days'!$F$540:$H$613,3,FALSE),"")</f>
        <v/>
      </c>
      <c r="BA94" s="94" t="str">
        <f>IFERROR($N94+VLOOKUP($L94,'Voyage days'!$F$540:$H$613,3,FALSE),"")</f>
        <v/>
      </c>
      <c r="BB94" s="93" t="str">
        <f t="shared" si="15"/>
        <v/>
      </c>
      <c r="BC94" s="94" t="str">
        <f>IFERROR($M94+VLOOKUP($L94,'Voyage days'!$F$448:$H$479,3,FALSE),"")</f>
        <v/>
      </c>
      <c r="BD94" s="94" t="str">
        <f>IFERROR($N94+VLOOKUP($L94,'Voyage days'!$F$448:$H$479,3,FALSE),"")</f>
        <v/>
      </c>
      <c r="BE94" s="93" t="str">
        <f t="shared" si="16"/>
        <v/>
      </c>
      <c r="BF94" s="95" t="str">
        <f>IFERROR($M94+VLOOKUP($L94,'Voyage days'!$F$620:$H$646,3,FALSE),"")</f>
        <v/>
      </c>
      <c r="BG94" s="95" t="str">
        <f>IFERROR($N94+VLOOKUP($L94,'Voyage days'!$F$620:$H$646,3,FALSE),"")</f>
        <v/>
      </c>
      <c r="BH94" s="93" t="str">
        <f t="shared" si="17"/>
        <v/>
      </c>
      <c r="BI94" s="96" t="str">
        <f>IFERROR($M94+VLOOKUP($L94,'Voyage days'!$F$702:$H$727,3,FALSE),"")</f>
        <v/>
      </c>
      <c r="BJ94" s="93" t="str">
        <f t="shared" si="18"/>
        <v/>
      </c>
      <c r="BK94" s="95" t="str">
        <f>IFERROR($M94+VLOOKUP($L94,'Voyage days'!$F$807:$H$878,3,FALSE),"")</f>
        <v/>
      </c>
      <c r="BL94" s="95" t="str">
        <f>IFERROR($N94+VLOOKUP($L94,'Voyage days'!$F$807:$H$878,3,FALSE),"")</f>
        <v/>
      </c>
      <c r="BM94" s="95" t="str">
        <f>IFERROR($N94+VLOOKUP($L94,'Voyage days'!$F$807:$K$878,6,FALSE),"")</f>
        <v/>
      </c>
      <c r="BN94" s="94" t="str">
        <f>IF(L94="loads AG", IFERROR($M94+VLOOKUP($L94,'Voyage days'!$M$38:$O$38,3,FALSE),""),"")</f>
        <v/>
      </c>
      <c r="BO94" s="94">
        <f>IF(L94="loads USG", IFERROR($M94+VLOOKUP($L94,'Voyage days'!$L$203:$N$203,3,FALSE),""),"")</f>
        <v>46164</v>
      </c>
    </row>
    <row r="95" spans="1:68" ht="15.75" customHeight="1" x14ac:dyDescent="0.25">
      <c r="A95" s="336" t="s">
        <v>158</v>
      </c>
      <c r="B95" s="119">
        <v>2022</v>
      </c>
      <c r="C95" s="76">
        <v>84000</v>
      </c>
      <c r="D95" s="120"/>
      <c r="E95" s="120"/>
      <c r="F95" s="121"/>
      <c r="G95" s="121"/>
      <c r="H95" s="121" t="s">
        <v>713</v>
      </c>
      <c r="I95" s="79" t="s">
        <v>949</v>
      </c>
      <c r="J95" s="122" t="str">
        <f t="shared" si="21"/>
        <v/>
      </c>
      <c r="K95" s="123"/>
      <c r="L95" s="124" t="s">
        <v>718</v>
      </c>
      <c r="M95" s="189">
        <v>46143</v>
      </c>
      <c r="N95" s="189">
        <v>46147</v>
      </c>
      <c r="O95" s="337"/>
      <c r="P95" s="157" t="s">
        <v>950</v>
      </c>
      <c r="Q95" s="124"/>
      <c r="R95" s="82" t="s">
        <v>951</v>
      </c>
      <c r="S95" s="120" t="s">
        <v>724</v>
      </c>
      <c r="T95" s="232">
        <v>46132</v>
      </c>
      <c r="U95" s="87" t="str">
        <f>IF(V95="","No AIS",VLOOKUP(V95,'Voyage days'!$A$3:$B$1480,2,FALSE))</f>
        <v>Panama</v>
      </c>
      <c r="V95" s="87" t="str">
        <f>IF(VLOOKUP(A95,'1) Kpler'!$E$2:$P$1000,8, FALSE)="","",VLOOKUP(A95,'1) Kpler'!$E$2:$P$1000,8, FALSE))</f>
        <v>Panama Canal</v>
      </c>
      <c r="W95" s="128">
        <f>IF(VLOOKUP(A95,'1) Kpler'!$E$2:$P$1000,9,FALSE)="","",VLOOKUP(A95,'1) Kpler'!$E$2:$P$1000,9,FALSE))</f>
        <v>46136.958333333336</v>
      </c>
      <c r="X95" s="87" t="str">
        <f>VLOOKUP(A95,'1) Kpler'!$E$2:$I$1000,4,FALSE)</f>
        <v>ballast</v>
      </c>
      <c r="Y95" s="234" t="str">
        <f t="shared" si="0"/>
        <v/>
      </c>
      <c r="Z95" s="234" t="str">
        <f t="shared" si="1"/>
        <v>01-05 May</v>
      </c>
      <c r="AA95" s="234" t="str">
        <f t="shared" si="2"/>
        <v>01-05 May</v>
      </c>
      <c r="AB95" s="234" t="str">
        <f t="shared" si="3"/>
        <v/>
      </c>
      <c r="AC95" s="234" t="str">
        <f t="shared" si="4"/>
        <v>21-25 May</v>
      </c>
      <c r="AD95" s="234" t="str">
        <f t="shared" si="5"/>
        <v/>
      </c>
      <c r="AE95" s="235" t="str">
        <f t="shared" si="6"/>
        <v/>
      </c>
      <c r="AF95" s="92" t="str">
        <f t="shared" si="7"/>
        <v/>
      </c>
      <c r="AG95" s="131" t="str">
        <f t="shared" si="8"/>
        <v/>
      </c>
      <c r="AH95" s="95" t="str">
        <f>IFERROR($M95+VLOOKUP($L95,'Voyage days'!$F$38:$H$89,3,FALSE),"")</f>
        <v/>
      </c>
      <c r="AI95" s="95" t="str">
        <f>IFERROR(N95+VLOOKUP($L95,'Voyage days'!$F$38:$H$89,3,FALSE),"")</f>
        <v/>
      </c>
      <c r="AJ95" s="131" t="str">
        <f t="shared" si="9"/>
        <v>01-05 May</v>
      </c>
      <c r="AK95" s="95">
        <f>IFERROR($M95+VLOOKUP($L95,'Voyage days'!$F$94:$H$193,3,FALSE),"")</f>
        <v>46143</v>
      </c>
      <c r="AL95" s="95">
        <f>IFERROR($N95+VLOOKUP($L95,'Voyage days'!$F$94:$H$193,3,FALSE),"")</f>
        <v>46147</v>
      </c>
      <c r="AM95" s="131" t="str">
        <f t="shared" si="10"/>
        <v>01-05 May</v>
      </c>
      <c r="AN95" s="95">
        <f>IFERROR($M95+VLOOKUP($L95,'Voyage days'!$F$203:$H$256,3,FALSE),"")</f>
        <v>46143</v>
      </c>
      <c r="AO95" s="95">
        <f>IFERROR($N95+VLOOKUP($L95,'Voyage days'!$F$203:$H$256,3,FALSE),"")</f>
        <v>46147</v>
      </c>
      <c r="AP95" s="131" t="str">
        <f t="shared" si="11"/>
        <v/>
      </c>
      <c r="AQ95" s="95" t="str">
        <f>IFERROR($M95+VLOOKUP($L95,'Voyage days'!$F$294:$H$377,3,FALSE),"")</f>
        <v/>
      </c>
      <c r="AR95" s="95" t="str">
        <f>IFERROR($N95+VLOOKUP($L95,'Voyage days'!$F$294:$H$377,3,FALSE),"")</f>
        <v/>
      </c>
      <c r="AS95" s="131" t="str">
        <f t="shared" si="12"/>
        <v>21-25 May</v>
      </c>
      <c r="AT95" s="95">
        <f>IFERROR($M95+VLOOKUP($L95,'Voyage days'!$F$382:$H$446,3,FALSE),"")</f>
        <v>46163</v>
      </c>
      <c r="AU95" s="95">
        <f>IFERROR($N95+VLOOKUP($L95,'Voyage days'!$F$382:$H$446,3,FALSE),"")</f>
        <v>46167</v>
      </c>
      <c r="AV95" s="131" t="str">
        <f t="shared" si="13"/>
        <v/>
      </c>
      <c r="AW95" s="95" t="str">
        <f>IFERROR($M95+VLOOKUP($L95,'Voyage days'!$F$483:$H$538,3,FALSE),"")</f>
        <v/>
      </c>
      <c r="AX95" s="95" t="str">
        <f>IFERROR($N95+VLOOKUP($L95,'Voyage days'!$F$483:$H$538,3,FALSE),"")</f>
        <v/>
      </c>
      <c r="AY95" s="131" t="str">
        <f t="shared" si="14"/>
        <v/>
      </c>
      <c r="AZ95" s="95" t="str">
        <f>IFERROR($M95+VLOOKUP($L95,'Voyage days'!$F$540:$H$613,3,FALSE),"")</f>
        <v/>
      </c>
      <c r="BA95" s="95" t="str">
        <f>IFERROR($N95+VLOOKUP($L95,'Voyage days'!$F$540:$H$613,3,FALSE),"")</f>
        <v/>
      </c>
      <c r="BB95" s="131" t="str">
        <f t="shared" si="15"/>
        <v/>
      </c>
      <c r="BC95" s="94" t="str">
        <f>IFERROR($M95+VLOOKUP($L95,'Voyage days'!$F$448:$H$479,3,FALSE),"")</f>
        <v/>
      </c>
      <c r="BD95" s="94" t="str">
        <f>IFERROR($N95+VLOOKUP($L95,'Voyage days'!$F$448:$H$479,3,FALSE),"")</f>
        <v/>
      </c>
      <c r="BE95" s="131" t="str">
        <f t="shared" si="16"/>
        <v/>
      </c>
      <c r="BF95" s="95" t="str">
        <f>IFERROR($M95+VLOOKUP($L95,'Voyage days'!$F$620:$H$646,3,FALSE),"")</f>
        <v/>
      </c>
      <c r="BG95" s="95" t="str">
        <f>IFERROR($N95+VLOOKUP($L95,'Voyage days'!$F$620:$H$646,3,FALSE),"")</f>
        <v/>
      </c>
      <c r="BH95" s="131" t="str">
        <f t="shared" si="17"/>
        <v/>
      </c>
      <c r="BI95" s="96" t="str">
        <f>IFERROR($M95+VLOOKUP($L95,'Voyage days'!$F$702:$H$727,3,FALSE),"")</f>
        <v/>
      </c>
      <c r="BJ95" s="131" t="str">
        <f t="shared" si="18"/>
        <v/>
      </c>
      <c r="BK95" s="95" t="str">
        <f>IFERROR($M95+VLOOKUP($L95,'Voyage days'!$F$807:$H$878,3,FALSE),"")</f>
        <v/>
      </c>
      <c r="BL95" s="95" t="str">
        <f>IFERROR($N95+VLOOKUP($L95,'Voyage days'!$F$807:$H$878,3,FALSE),"")</f>
        <v/>
      </c>
      <c r="BM95" s="95" t="str">
        <f>IFERROR($N95+VLOOKUP($L95,'Voyage days'!$F$807:$K$878,6,FALSE),"")</f>
        <v/>
      </c>
      <c r="BN95" s="94" t="str">
        <f>IF(L95="loads AG", IFERROR($M95+VLOOKUP($L95,'Voyage days'!$M$38:$O$38,3,FALSE),""),"")</f>
        <v/>
      </c>
      <c r="BO95" s="94">
        <f>IF(L95="loads USG", IFERROR($M95+VLOOKUP($L95,'Voyage days'!$L$203:$N$203,3,FALSE),""),"")</f>
        <v>46175</v>
      </c>
    </row>
    <row r="96" spans="1:68" ht="15.75" customHeight="1" x14ac:dyDescent="0.25">
      <c r="A96" s="338" t="s">
        <v>180</v>
      </c>
      <c r="B96" s="75">
        <v>41635</v>
      </c>
      <c r="C96" s="76">
        <v>84000</v>
      </c>
      <c r="D96" s="77" t="s">
        <v>651</v>
      </c>
      <c r="E96" s="77"/>
      <c r="F96" s="78"/>
      <c r="G96" s="78"/>
      <c r="H96" s="78" t="s">
        <v>739</v>
      </c>
      <c r="I96" s="260" t="s">
        <v>949</v>
      </c>
      <c r="J96" s="80" t="str">
        <f t="shared" si="21"/>
        <v/>
      </c>
      <c r="K96" s="81"/>
      <c r="L96" s="159" t="s">
        <v>952</v>
      </c>
      <c r="M96" s="83">
        <v>46137</v>
      </c>
      <c r="N96" s="83">
        <v>46138</v>
      </c>
      <c r="O96" s="206"/>
      <c r="P96" s="233" t="s">
        <v>953</v>
      </c>
      <c r="Q96" s="82"/>
      <c r="R96" s="82" t="s">
        <v>954</v>
      </c>
      <c r="S96" s="120" t="s">
        <v>724</v>
      </c>
      <c r="T96" s="86">
        <v>46132</v>
      </c>
      <c r="U96" s="87" t="str">
        <f>IF(V96="","No AIS",VLOOKUP(V96,'Voyage days'!$A$3:$B$1480,2,FALSE))</f>
        <v>Ocoa</v>
      </c>
      <c r="V96" s="88" t="str">
        <f>IF(VLOOKUP(A96,'1) Kpler'!$E$2:$P$1000,8, FALSE)="","",VLOOKUP(A96,'1) Kpler'!$E$2:$P$1000,8, FALSE))</f>
        <v>San Pedro de Macoris LPG</v>
      </c>
      <c r="W96" s="89">
        <f>IF(VLOOKUP(A96,'1) Kpler'!$E$2:$P$1000,9,FALSE)="","",VLOOKUP(A96,'1) Kpler'!$E$2:$P$1000,9,FALSE))</f>
        <v>46137.000694444447</v>
      </c>
      <c r="X96" s="88" t="str">
        <f>VLOOKUP(A96,'1) Kpler'!$E$2:$I$1000,4,FALSE)</f>
        <v>loaded</v>
      </c>
      <c r="Y96" s="63" t="str">
        <f t="shared" si="0"/>
        <v/>
      </c>
      <c r="Z96" s="63" t="str">
        <f t="shared" si="1"/>
        <v/>
      </c>
      <c r="AA96" s="63" t="str">
        <f t="shared" si="2"/>
        <v/>
      </c>
      <c r="AB96" s="63" t="str">
        <f t="shared" si="3"/>
        <v/>
      </c>
      <c r="AC96" s="63" t="str">
        <f t="shared" si="4"/>
        <v/>
      </c>
      <c r="AD96" s="63" t="str">
        <f t="shared" si="5"/>
        <v/>
      </c>
      <c r="AE96" s="129" t="str">
        <f t="shared" si="6"/>
        <v/>
      </c>
      <c r="AF96" s="130" t="str">
        <f t="shared" si="7"/>
        <v>12-13 May</v>
      </c>
      <c r="AG96" s="93" t="str">
        <f t="shared" si="8"/>
        <v/>
      </c>
      <c r="AH96" s="94" t="str">
        <f>IFERROR($M96+VLOOKUP($L96,'Voyage days'!$F$38:$H$89,3,FALSE),"")</f>
        <v/>
      </c>
      <c r="AI96" s="94" t="str">
        <f>IFERROR(N96+VLOOKUP($L96,'Voyage days'!$F$38:$H$89,3,FALSE),"")</f>
        <v/>
      </c>
      <c r="AJ96" s="93" t="str">
        <f t="shared" si="9"/>
        <v/>
      </c>
      <c r="AK96" s="94" t="str">
        <f>IFERROR($M96+VLOOKUP($L96,'Voyage days'!$F$94:$H$193,3,FALSE),"")</f>
        <v/>
      </c>
      <c r="AL96" s="94" t="str">
        <f>IFERROR($N96+VLOOKUP($L96,'Voyage days'!$F$94:$H$193,3,FALSE),"")</f>
        <v/>
      </c>
      <c r="AM96" s="93" t="str">
        <f t="shared" si="10"/>
        <v/>
      </c>
      <c r="AN96" s="94" t="str">
        <f>IFERROR($M96+VLOOKUP($L96,'Voyage days'!$F$203:$H$256,3,FALSE),"")</f>
        <v/>
      </c>
      <c r="AO96" s="94" t="str">
        <f>IFERROR($N96+VLOOKUP($L96,'Voyage days'!$F$203:$H$256,3,FALSE),"")</f>
        <v/>
      </c>
      <c r="AP96" s="93" t="str">
        <f t="shared" si="11"/>
        <v/>
      </c>
      <c r="AQ96" s="94" t="str">
        <f>IFERROR($M96+VLOOKUP($L96,'Voyage days'!$F$294:$H$377,3,FALSE),"")</f>
        <v/>
      </c>
      <c r="AR96" s="94" t="str">
        <f>IFERROR($N96+VLOOKUP($L96,'Voyage days'!$F$294:$H$377,3,FALSE),"")</f>
        <v/>
      </c>
      <c r="AS96" s="93" t="str">
        <f t="shared" si="12"/>
        <v/>
      </c>
      <c r="AT96" s="94" t="str">
        <f>IFERROR($M96+VLOOKUP($L96,'Voyage days'!$F$382:$H$446,3,FALSE),"")</f>
        <v/>
      </c>
      <c r="AU96" s="94" t="str">
        <f>IFERROR($N96+VLOOKUP($L96,'Voyage days'!$F$382:$H$446,3,FALSE),"")</f>
        <v/>
      </c>
      <c r="AV96" s="93" t="str">
        <f t="shared" si="13"/>
        <v/>
      </c>
      <c r="AW96" s="94" t="str">
        <f>IFERROR($M96+VLOOKUP($L96,'Voyage days'!$F$483:$H$538,3,FALSE),"")</f>
        <v/>
      </c>
      <c r="AX96" s="94" t="str">
        <f>IFERROR($N96+VLOOKUP($L96,'Voyage days'!$F$483:$H$538,3,FALSE),"")</f>
        <v/>
      </c>
      <c r="AY96" s="93" t="str">
        <f t="shared" si="14"/>
        <v/>
      </c>
      <c r="AZ96" s="94" t="str">
        <f>IFERROR($M96+VLOOKUP($L96,'Voyage days'!$F$540:$H$613,3,FALSE),"")</f>
        <v/>
      </c>
      <c r="BA96" s="94" t="str">
        <f>IFERROR($N96+VLOOKUP($L96,'Voyage days'!$F$540:$H$613,3,FALSE),"")</f>
        <v/>
      </c>
      <c r="BB96" s="93" t="str">
        <f t="shared" si="15"/>
        <v/>
      </c>
      <c r="BC96" s="94" t="str">
        <f>IFERROR($M96+VLOOKUP($L96,'Voyage days'!$F$448:$H$479,3,FALSE),"")</f>
        <v/>
      </c>
      <c r="BD96" s="94" t="str">
        <f>IFERROR($N96+VLOOKUP($L96,'Voyage days'!$F$448:$H$479,3,FALSE),"")</f>
        <v/>
      </c>
      <c r="BE96" s="93" t="str">
        <f t="shared" si="16"/>
        <v/>
      </c>
      <c r="BF96" s="95" t="str">
        <f>IFERROR($M96+VLOOKUP($L96,'Voyage days'!$F$620:$H$646,3,FALSE),"")</f>
        <v/>
      </c>
      <c r="BG96" s="95" t="str">
        <f>IFERROR($N96+VLOOKUP($L96,'Voyage days'!$F$620:$H$646,3,FALSE),"")</f>
        <v/>
      </c>
      <c r="BH96" s="93" t="str">
        <f t="shared" si="17"/>
        <v/>
      </c>
      <c r="BI96" s="96" t="str">
        <f>IFERROR($M96+VLOOKUP($L96,'Voyage days'!$F$702:$H$727,3,FALSE),"")</f>
        <v/>
      </c>
      <c r="BJ96" s="93" t="str">
        <f t="shared" si="18"/>
        <v>12-13 May</v>
      </c>
      <c r="BK96" s="95">
        <f>IFERROR($M96+VLOOKUP($L96,'Voyage days'!$F$807:$H$878,3,FALSE),"")</f>
        <v>46154</v>
      </c>
      <c r="BL96" s="95">
        <f>IFERROR($N96+VLOOKUP($L96,'Voyage days'!$F$807:$H$878,3,FALSE),"")</f>
        <v>46155</v>
      </c>
      <c r="BM96" s="95">
        <f>IFERROR($N96+VLOOKUP($L96,'Voyage days'!$F$807:$K$878,6,FALSE),"")</f>
        <v>46138</v>
      </c>
      <c r="BN96" s="94" t="str">
        <f>IF(L96="loads AG", IFERROR($M96+VLOOKUP($L96,'Voyage days'!$M$38:$O$38,3,FALSE),""),"")</f>
        <v/>
      </c>
      <c r="BO96" s="94" t="str">
        <f>IF(L96="loads USG", IFERROR($M96+VLOOKUP($L96,'Voyage days'!$L$203:$N$203,3,FALSE),""),"")</f>
        <v/>
      </c>
    </row>
    <row r="97" spans="1:67" ht="15.75" customHeight="1" x14ac:dyDescent="0.25">
      <c r="A97" s="339" t="s">
        <v>210</v>
      </c>
      <c r="B97" s="119">
        <v>2020</v>
      </c>
      <c r="C97" s="76">
        <v>82000</v>
      </c>
      <c r="D97" s="77"/>
      <c r="E97" s="77"/>
      <c r="F97" s="78"/>
      <c r="G97" s="78"/>
      <c r="H97" s="78" t="s">
        <v>739</v>
      </c>
      <c r="I97" s="260" t="s">
        <v>949</v>
      </c>
      <c r="J97" s="80" t="str">
        <f t="shared" si="21"/>
        <v/>
      </c>
      <c r="K97" s="81"/>
      <c r="L97" s="82" t="s">
        <v>718</v>
      </c>
      <c r="M97" s="83">
        <v>46143</v>
      </c>
      <c r="N97" s="83">
        <v>46147</v>
      </c>
      <c r="O97" s="152"/>
      <c r="P97" s="82" t="s">
        <v>955</v>
      </c>
      <c r="Q97" s="82"/>
      <c r="R97" s="82" t="s">
        <v>951</v>
      </c>
      <c r="S97" s="120" t="s">
        <v>724</v>
      </c>
      <c r="T97" s="86">
        <v>46132</v>
      </c>
      <c r="U97" s="87" t="str">
        <f>IF(V97="","No AIS",VLOOKUP(V97,'Voyage days'!$A$3:$B$1480,2,FALSE))</f>
        <v>Panama</v>
      </c>
      <c r="V97" s="88" t="str">
        <f>IF(VLOOKUP(A97,'1) Kpler'!$E$2:$P$1000,8, FALSE)="","",VLOOKUP(A97,'1) Kpler'!$E$2:$P$1000,8, FALSE))</f>
        <v>Panama Canal</v>
      </c>
      <c r="W97" s="89">
        <f>IF(VLOOKUP(A97,'1) Kpler'!$E$2:$P$1000,9,FALSE)="","",VLOOKUP(A97,'1) Kpler'!$E$2:$P$1000,9,FALSE))</f>
        <v>46134.000694444447</v>
      </c>
      <c r="X97" s="88" t="str">
        <f>VLOOKUP(A97,'1) Kpler'!$E$2:$I$1000,4,FALSE)</f>
        <v>ballast</v>
      </c>
      <c r="Y97" s="90" t="str">
        <f t="shared" si="0"/>
        <v/>
      </c>
      <c r="Z97" s="90" t="str">
        <f t="shared" si="1"/>
        <v>01-05 May</v>
      </c>
      <c r="AA97" s="90" t="str">
        <f t="shared" si="2"/>
        <v>01-05 May</v>
      </c>
      <c r="AB97" s="90" t="str">
        <f t="shared" si="3"/>
        <v/>
      </c>
      <c r="AC97" s="90" t="str">
        <f t="shared" si="4"/>
        <v>21-25 May</v>
      </c>
      <c r="AD97" s="90" t="str">
        <f t="shared" si="5"/>
        <v/>
      </c>
      <c r="AE97" s="91" t="str">
        <f t="shared" si="6"/>
        <v/>
      </c>
      <c r="AF97" s="92" t="str">
        <f t="shared" si="7"/>
        <v/>
      </c>
      <c r="AG97" s="93" t="str">
        <f t="shared" si="8"/>
        <v/>
      </c>
      <c r="AH97" s="94" t="str">
        <f>IFERROR($M97+VLOOKUP($L97,'Voyage days'!$F$38:$H$89,3,FALSE),"")</f>
        <v/>
      </c>
      <c r="AI97" s="94" t="str">
        <f>IFERROR(N97+VLOOKUP($L97,'Voyage days'!$F$38:$H$89,3,FALSE),"")</f>
        <v/>
      </c>
      <c r="AJ97" s="93" t="str">
        <f t="shared" si="9"/>
        <v>01-05 May</v>
      </c>
      <c r="AK97" s="94">
        <f>IFERROR($M97+VLOOKUP($L97,'Voyage days'!$F$94:$H$193,3,FALSE),"")</f>
        <v>46143</v>
      </c>
      <c r="AL97" s="94">
        <f>IFERROR($N97+VLOOKUP($L97,'Voyage days'!$F$94:$H$193,3,FALSE),"")</f>
        <v>46147</v>
      </c>
      <c r="AM97" s="93" t="str">
        <f t="shared" si="10"/>
        <v>01-05 May</v>
      </c>
      <c r="AN97" s="94">
        <f>IFERROR($M97+VLOOKUP($L97,'Voyage days'!$F$203:$H$256,3,FALSE),"")</f>
        <v>46143</v>
      </c>
      <c r="AO97" s="94">
        <f>IFERROR($N97+VLOOKUP($L97,'Voyage days'!$F$203:$H$256,3,FALSE),"")</f>
        <v>46147</v>
      </c>
      <c r="AP97" s="93" t="str">
        <f t="shared" si="11"/>
        <v/>
      </c>
      <c r="AQ97" s="94" t="str">
        <f>IFERROR($M97+VLOOKUP($L97,'Voyage days'!$F$294:$H$377,3,FALSE),"")</f>
        <v/>
      </c>
      <c r="AR97" s="94" t="str">
        <f>IFERROR($N97+VLOOKUP($L97,'Voyage days'!$F$294:$H$377,3,FALSE),"")</f>
        <v/>
      </c>
      <c r="AS97" s="93" t="str">
        <f t="shared" si="12"/>
        <v>21-25 May</v>
      </c>
      <c r="AT97" s="94">
        <f>IFERROR($M97+VLOOKUP($L97,'Voyage days'!$F$382:$H$446,3,FALSE),"")</f>
        <v>46163</v>
      </c>
      <c r="AU97" s="94">
        <f>IFERROR($N97+VLOOKUP($L97,'Voyage days'!$F$382:$H$446,3,FALSE),"")</f>
        <v>46167</v>
      </c>
      <c r="AV97" s="93" t="str">
        <f t="shared" si="13"/>
        <v/>
      </c>
      <c r="AW97" s="94" t="str">
        <f>IFERROR($M97+VLOOKUP($L97,'Voyage days'!$F$483:$H$538,3,FALSE),"")</f>
        <v/>
      </c>
      <c r="AX97" s="94" t="str">
        <f>IFERROR($N97+VLOOKUP($L97,'Voyage days'!$F$483:$H$538,3,FALSE),"")</f>
        <v/>
      </c>
      <c r="AY97" s="93" t="str">
        <f t="shared" si="14"/>
        <v/>
      </c>
      <c r="AZ97" s="94" t="str">
        <f>IFERROR($M97+VLOOKUP($L97,'Voyage days'!$F$540:$H$613,3,FALSE),"")</f>
        <v/>
      </c>
      <c r="BA97" s="94" t="str">
        <f>IFERROR($N97+VLOOKUP($L97,'Voyage days'!$F$540:$H$613,3,FALSE),"")</f>
        <v/>
      </c>
      <c r="BB97" s="93" t="str">
        <f t="shared" si="15"/>
        <v/>
      </c>
      <c r="BC97" s="94" t="str">
        <f>IFERROR($M97+VLOOKUP($L97,'Voyage days'!$F$448:$H$479,3,FALSE),"")</f>
        <v/>
      </c>
      <c r="BD97" s="94" t="str">
        <f>IFERROR($N97+VLOOKUP($L97,'Voyage days'!$F$448:$H$479,3,FALSE),"")</f>
        <v/>
      </c>
      <c r="BE97" s="93" t="str">
        <f t="shared" si="16"/>
        <v/>
      </c>
      <c r="BF97" s="95" t="str">
        <f>IFERROR($M97+VLOOKUP($L97,'Voyage days'!$F$620:$H$646,3,FALSE),"")</f>
        <v/>
      </c>
      <c r="BG97" s="95" t="str">
        <f>IFERROR($N97+VLOOKUP($L97,'Voyage days'!$F$620:$H$646,3,FALSE),"")</f>
        <v/>
      </c>
      <c r="BH97" s="93" t="str">
        <f t="shared" si="17"/>
        <v/>
      </c>
      <c r="BI97" s="96" t="str">
        <f>IFERROR($M97+VLOOKUP($L97,'Voyage days'!$F$702:$H$727,3,FALSE),"")</f>
        <v/>
      </c>
      <c r="BJ97" s="93" t="str">
        <f t="shared" si="18"/>
        <v/>
      </c>
      <c r="BK97" s="95" t="str">
        <f>IFERROR($M97+VLOOKUP($L97,'Voyage days'!$F$807:$H$878,3,FALSE),"")</f>
        <v/>
      </c>
      <c r="BL97" s="95" t="str">
        <f>IFERROR($N97+VLOOKUP($L97,'Voyage days'!$F$807:$H$878,3,FALSE),"")</f>
        <v/>
      </c>
      <c r="BM97" s="95" t="str">
        <f>IFERROR($N97+VLOOKUP($L97,'Voyage days'!$F$807:$K$878,6,FALSE),"")</f>
        <v/>
      </c>
      <c r="BN97" s="94" t="str">
        <f>IF(L97="loads AG", IFERROR($M97+VLOOKUP($L97,'Voyage days'!$M$38:$O$38,3,FALSE),""),"")</f>
        <v/>
      </c>
      <c r="BO97" s="94">
        <f>IF(L97="loads USG", IFERROR($M97+VLOOKUP($L97,'Voyage days'!$L$203:$N$203,3,FALSE),""),"")</f>
        <v>46175</v>
      </c>
    </row>
    <row r="98" spans="1:67" ht="15.75" customHeight="1" x14ac:dyDescent="0.25">
      <c r="A98" s="339" t="s">
        <v>218</v>
      </c>
      <c r="B98" s="75">
        <v>41579</v>
      </c>
      <c r="C98" s="76">
        <v>82200</v>
      </c>
      <c r="D98" s="77"/>
      <c r="E98" s="77"/>
      <c r="F98" s="78"/>
      <c r="G98" s="78"/>
      <c r="H98" s="78" t="s">
        <v>739</v>
      </c>
      <c r="I98" s="260" t="s">
        <v>949</v>
      </c>
      <c r="J98" s="80" t="str">
        <f t="shared" si="21"/>
        <v/>
      </c>
      <c r="K98" s="81"/>
      <c r="L98" s="82" t="s">
        <v>822</v>
      </c>
      <c r="M98" s="83">
        <v>46155</v>
      </c>
      <c r="N98" s="83">
        <v>46156</v>
      </c>
      <c r="O98" s="206"/>
      <c r="P98" s="82" t="s">
        <v>956</v>
      </c>
      <c r="Q98" s="82"/>
      <c r="R98" s="82" t="s">
        <v>957</v>
      </c>
      <c r="S98" s="120" t="s">
        <v>724</v>
      </c>
      <c r="T98" s="86">
        <v>46132</v>
      </c>
      <c r="U98" s="87" t="str">
        <f>IF(V98="","No AIS",VLOOKUP(V98,'Voyage days'!$A$3:$B$1480,2,FALSE))</f>
        <v>Port Louis</v>
      </c>
      <c r="V98" s="88" t="str">
        <f>IF(VLOOKUP(A98,'1) Kpler'!$E$2:$P$1000,8, FALSE)="","",VLOOKUP(A98,'1) Kpler'!$E$2:$P$1000,8, FALSE))</f>
        <v>Port Louis</v>
      </c>
      <c r="W98" s="89">
        <f>IF(VLOOKUP(A98,'1) Kpler'!$E$2:$P$1000,9,FALSE)="","",VLOOKUP(A98,'1) Kpler'!$E$2:$P$1000,9,FALSE))</f>
        <v>46155.583333333336</v>
      </c>
      <c r="X98" s="88" t="str">
        <f>VLOOKUP(A98,'1) Kpler'!$E$2:$I$1000,4,FALSE)</f>
        <v>loaded</v>
      </c>
      <c r="Y98" s="63" t="str">
        <f t="shared" si="0"/>
        <v>08-09 Jun</v>
      </c>
      <c r="Z98" s="63" t="str">
        <f t="shared" si="1"/>
        <v>28-29 Jun</v>
      </c>
      <c r="AA98" s="63" t="str">
        <f t="shared" si="2"/>
        <v>06-07 Jul</v>
      </c>
      <c r="AB98" s="63" t="str">
        <f t="shared" si="3"/>
        <v>19-20 Jun</v>
      </c>
      <c r="AC98" s="63" t="str">
        <f t="shared" si="4"/>
        <v>27-28 Jun</v>
      </c>
      <c r="AD98" s="63" t="str">
        <f t="shared" si="5"/>
        <v>30-31 May</v>
      </c>
      <c r="AE98" s="129" t="str">
        <f t="shared" si="6"/>
        <v>02-03 Jun</v>
      </c>
      <c r="AF98" s="130" t="str">
        <f t="shared" si="7"/>
        <v>05-06 Jul</v>
      </c>
      <c r="AG98" s="93" t="str">
        <f t="shared" si="8"/>
        <v>08-09 Jun</v>
      </c>
      <c r="AH98" s="94">
        <f>IFERROR($M98+VLOOKUP($L98,'Voyage days'!$F$38:$H$89,3,FALSE),"")</f>
        <v>46181</v>
      </c>
      <c r="AI98" s="94">
        <f>IFERROR(N98+VLOOKUP($L98,'Voyage days'!$F$38:$H$89,3,FALSE),"")</f>
        <v>46182</v>
      </c>
      <c r="AJ98" s="93" t="str">
        <f t="shared" si="9"/>
        <v>28-29 Jun</v>
      </c>
      <c r="AK98" s="94">
        <f>IFERROR($M98+VLOOKUP($L98,'Voyage days'!$F$94:$H$193,3,FALSE),"")</f>
        <v>46201</v>
      </c>
      <c r="AL98" s="94">
        <f>IFERROR($N98+VLOOKUP($L98,'Voyage days'!$F$94:$H$193,3,FALSE),"")</f>
        <v>46202</v>
      </c>
      <c r="AM98" s="93" t="str">
        <f t="shared" si="10"/>
        <v>06-07 Jul</v>
      </c>
      <c r="AN98" s="94">
        <f>IFERROR($M98+VLOOKUP($L98,'Voyage days'!$F$203:$H$256,3,FALSE),"")</f>
        <v>46209</v>
      </c>
      <c r="AO98" s="94">
        <f>IFERROR($N98+VLOOKUP($L98,'Voyage days'!$F$203:$H$256,3,FALSE),"")</f>
        <v>46210</v>
      </c>
      <c r="AP98" s="93" t="str">
        <f t="shared" si="11"/>
        <v>19-20 Jun</v>
      </c>
      <c r="AQ98" s="94">
        <f>IFERROR($M98+VLOOKUP($L98,'Voyage days'!$F$294:$H$377,3,FALSE),"")</f>
        <v>46192</v>
      </c>
      <c r="AR98" s="94">
        <f>IFERROR($N98+VLOOKUP($L98,'Voyage days'!$F$294:$H$377,3,FALSE),"")</f>
        <v>46193</v>
      </c>
      <c r="AS98" s="93" t="str">
        <f t="shared" si="12"/>
        <v>27-28 Jun</v>
      </c>
      <c r="AT98" s="94">
        <f>IFERROR($M98+VLOOKUP($L98,'Voyage days'!$F$382:$H$446,3,FALSE),"")</f>
        <v>46200</v>
      </c>
      <c r="AU98" s="94">
        <f>IFERROR($N98+VLOOKUP($L98,'Voyage days'!$F$382:$H$446,3,FALSE),"")</f>
        <v>46201</v>
      </c>
      <c r="AV98" s="93" t="str">
        <f t="shared" si="13"/>
        <v>10-11 Jun</v>
      </c>
      <c r="AW98" s="94">
        <f>IFERROR($M98+VLOOKUP($L98,'Voyage days'!$F$483:$H$538,3,FALSE),"")</f>
        <v>46183</v>
      </c>
      <c r="AX98" s="94">
        <f>IFERROR($N98+VLOOKUP($L98,'Voyage days'!$F$483:$H$538,3,FALSE),"")</f>
        <v>46184</v>
      </c>
      <c r="AY98" s="93" t="str">
        <f t="shared" si="14"/>
        <v>02-03 Jun</v>
      </c>
      <c r="AZ98" s="94">
        <f>IFERROR($M98+VLOOKUP($L98,'Voyage days'!$F$540:$H$613,3,FALSE),"")</f>
        <v>46175</v>
      </c>
      <c r="BA98" s="94">
        <f>IFERROR($N98+VLOOKUP($L98,'Voyage days'!$F$540:$H$613,3,FALSE),"")</f>
        <v>46176</v>
      </c>
      <c r="BB98" s="93" t="str">
        <f t="shared" si="15"/>
        <v>30-31 May</v>
      </c>
      <c r="BC98" s="94">
        <f>IFERROR($M98+VLOOKUP($L98,'Voyage days'!$F$448:$H$479,3,FALSE),"")</f>
        <v>46172</v>
      </c>
      <c r="BD98" s="94">
        <f>IFERROR($N98+VLOOKUP($L98,'Voyage days'!$F$448:$H$479,3,FALSE),"")</f>
        <v>46173</v>
      </c>
      <c r="BE98" s="93" t="str">
        <f t="shared" si="16"/>
        <v/>
      </c>
      <c r="BF98" s="95" t="str">
        <f>IFERROR($M98+VLOOKUP($L98,'Voyage days'!$F$620:$H$646,3,FALSE),"")</f>
        <v/>
      </c>
      <c r="BG98" s="95" t="str">
        <f>IFERROR($N98+VLOOKUP($L98,'Voyage days'!$F$620:$H$646,3,FALSE),"")</f>
        <v/>
      </c>
      <c r="BH98" s="93" t="str">
        <f t="shared" si="17"/>
        <v/>
      </c>
      <c r="BI98" s="96" t="str">
        <f>IFERROR($M98+VLOOKUP($L98,'Voyage days'!$F$702:$H$727,3,FALSE),"")</f>
        <v/>
      </c>
      <c r="BJ98" s="93" t="str">
        <f t="shared" si="18"/>
        <v>05-06 Jul</v>
      </c>
      <c r="BK98" s="95">
        <f>IFERROR($M98+VLOOKUP($L98,'Voyage days'!$F$807:$H$878,3,FALSE),"")</f>
        <v>46208</v>
      </c>
      <c r="BL98" s="95">
        <f>IFERROR($N98+VLOOKUP($L98,'Voyage days'!$F$807:$H$878,3,FALSE),"")</f>
        <v>46209</v>
      </c>
      <c r="BM98" s="95">
        <f>IFERROR($N98+VLOOKUP($L98,'Voyage days'!$F$807:$K$878,6,FALSE),"")</f>
        <v>46156</v>
      </c>
      <c r="BN98" s="94" t="str">
        <f>IF(L98="loads AG", IFERROR($M98+VLOOKUP($L98,'Voyage days'!$M$38:$O$38,3,FALSE),""),"")</f>
        <v/>
      </c>
      <c r="BO98" s="94" t="str">
        <f>IF(L98="loads USG", IFERROR($M98+VLOOKUP($L98,'Voyage days'!$L$203:$N$203,3,FALSE),""),"")</f>
        <v/>
      </c>
    </row>
    <row r="99" spans="1:67" ht="15.75" customHeight="1" x14ac:dyDescent="0.25">
      <c r="A99" s="340" t="s">
        <v>219</v>
      </c>
      <c r="B99" s="119">
        <v>2022</v>
      </c>
      <c r="C99" s="76">
        <v>84000</v>
      </c>
      <c r="D99" s="77"/>
      <c r="E99" s="77"/>
      <c r="F99" s="78"/>
      <c r="G99" s="78"/>
      <c r="H99" s="78" t="s">
        <v>713</v>
      </c>
      <c r="I99" s="260" t="s">
        <v>949</v>
      </c>
      <c r="J99" s="80" t="str">
        <f t="shared" si="21"/>
        <v>Update</v>
      </c>
      <c r="K99" s="81"/>
      <c r="L99" s="82" t="s">
        <v>718</v>
      </c>
      <c r="M99" s="83">
        <v>46131</v>
      </c>
      <c r="N99" s="83">
        <v>46132</v>
      </c>
      <c r="O99" s="84"/>
      <c r="P99" s="82" t="s">
        <v>958</v>
      </c>
      <c r="Q99" s="82"/>
      <c r="R99" s="82" t="s">
        <v>959</v>
      </c>
      <c r="S99" s="120" t="s">
        <v>724</v>
      </c>
      <c r="T99" s="86">
        <v>46132</v>
      </c>
      <c r="U99" s="87" t="str">
        <f>IF(V99="","No AIS",VLOOKUP(V99,'Voyage days'!$A$3:$B$1480,2,FALSE))</f>
        <v>Panama</v>
      </c>
      <c r="V99" s="88" t="str">
        <f>IF(VLOOKUP(A99,'1) Kpler'!$E$2:$P$1000,8, FALSE)="","",VLOOKUP(A99,'1) Kpler'!$E$2:$P$1000,8, FALSE))</f>
        <v>Panama Canal</v>
      </c>
      <c r="W99" s="89">
        <f>IF(VLOOKUP(A99,'1) Kpler'!$E$2:$P$1000,9,FALSE)="","",VLOOKUP(A99,'1) Kpler'!$E$2:$P$1000,9,FALSE))</f>
        <v>46133.375</v>
      </c>
      <c r="X99" s="88" t="str">
        <f>VLOOKUP(A99,'1) Kpler'!$E$2:$I$1000,4,FALSE)</f>
        <v>loaded</v>
      </c>
      <c r="Y99" s="90" t="str">
        <f t="shared" si="0"/>
        <v/>
      </c>
      <c r="Z99" s="90" t="str">
        <f t="shared" si="1"/>
        <v>19-20 Apr</v>
      </c>
      <c r="AA99" s="90" t="str">
        <f t="shared" si="2"/>
        <v>19-20 Apr</v>
      </c>
      <c r="AB99" s="90" t="str">
        <f t="shared" si="3"/>
        <v/>
      </c>
      <c r="AC99" s="90" t="str">
        <f t="shared" si="4"/>
        <v>09-10 May</v>
      </c>
      <c r="AD99" s="90" t="str">
        <f t="shared" si="5"/>
        <v/>
      </c>
      <c r="AE99" s="91" t="str">
        <f t="shared" si="6"/>
        <v/>
      </c>
      <c r="AF99" s="92" t="str">
        <f t="shared" si="7"/>
        <v/>
      </c>
      <c r="AG99" s="93" t="str">
        <f t="shared" si="8"/>
        <v/>
      </c>
      <c r="AH99" s="94" t="str">
        <f>IFERROR($M99+VLOOKUP($L99,'Voyage days'!$F$38:$H$89,3,FALSE),"")</f>
        <v/>
      </c>
      <c r="AI99" s="94" t="str">
        <f>IFERROR(N99+VLOOKUP($L99,'Voyage days'!$F$38:$H$89,3,FALSE),"")</f>
        <v/>
      </c>
      <c r="AJ99" s="93" t="str">
        <f t="shared" si="9"/>
        <v>19-20 Apr</v>
      </c>
      <c r="AK99" s="94">
        <f>IFERROR($M99+VLOOKUP($L99,'Voyage days'!$F$94:$H$193,3,FALSE),"")</f>
        <v>46131</v>
      </c>
      <c r="AL99" s="94">
        <f>IFERROR($N99+VLOOKUP($L99,'Voyage days'!$F$94:$H$193,3,FALSE),"")</f>
        <v>46132</v>
      </c>
      <c r="AM99" s="93" t="str">
        <f t="shared" si="10"/>
        <v>19-20 Apr</v>
      </c>
      <c r="AN99" s="94">
        <f>IFERROR($M99+VLOOKUP($L99,'Voyage days'!$F$203:$H$256,3,FALSE),"")</f>
        <v>46131</v>
      </c>
      <c r="AO99" s="94">
        <f>IFERROR($N99+VLOOKUP($L99,'Voyage days'!$F$203:$H$256,3,FALSE),"")</f>
        <v>46132</v>
      </c>
      <c r="AP99" s="93" t="str">
        <f t="shared" si="11"/>
        <v/>
      </c>
      <c r="AQ99" s="94" t="str">
        <f>IFERROR($M99+VLOOKUP($L99,'Voyage days'!$F$294:$H$377,3,FALSE),"")</f>
        <v/>
      </c>
      <c r="AR99" s="94" t="str">
        <f>IFERROR($N99+VLOOKUP($L99,'Voyage days'!$F$294:$H$377,3,FALSE),"")</f>
        <v/>
      </c>
      <c r="AS99" s="93" t="str">
        <f t="shared" si="12"/>
        <v>09-10 May</v>
      </c>
      <c r="AT99" s="94">
        <f>IFERROR($M99+VLOOKUP($L99,'Voyage days'!$F$382:$H$446,3,FALSE),"")</f>
        <v>46151</v>
      </c>
      <c r="AU99" s="94">
        <f>IFERROR($N99+VLOOKUP($L99,'Voyage days'!$F$382:$H$446,3,FALSE),"")</f>
        <v>46152</v>
      </c>
      <c r="AV99" s="93" t="str">
        <f t="shared" si="13"/>
        <v/>
      </c>
      <c r="AW99" s="94" t="str">
        <f>IFERROR($M99+VLOOKUP($L99,'Voyage days'!$F$483:$H$538,3,FALSE),"")</f>
        <v/>
      </c>
      <c r="AX99" s="94" t="str">
        <f>IFERROR($N99+VLOOKUP($L99,'Voyage days'!$F$483:$H$538,3,FALSE),"")</f>
        <v/>
      </c>
      <c r="AY99" s="93" t="str">
        <f t="shared" si="14"/>
        <v/>
      </c>
      <c r="AZ99" s="94" t="str">
        <f>IFERROR($M99+VLOOKUP($L99,'Voyage days'!$F$540:$H$613,3,FALSE),"")</f>
        <v/>
      </c>
      <c r="BA99" s="94" t="str">
        <f>IFERROR($N99+VLOOKUP($L99,'Voyage days'!$F$540:$H$613,3,FALSE),"")</f>
        <v/>
      </c>
      <c r="BB99" s="93" t="str">
        <f t="shared" si="15"/>
        <v/>
      </c>
      <c r="BC99" s="94" t="str">
        <f>IFERROR($M99+VLOOKUP($L99,'Voyage days'!$F$448:$H$479,3,FALSE),"")</f>
        <v/>
      </c>
      <c r="BD99" s="94" t="str">
        <f>IFERROR($N99+VLOOKUP($L99,'Voyage days'!$F$448:$H$479,3,FALSE),"")</f>
        <v/>
      </c>
      <c r="BE99" s="93" t="str">
        <f t="shared" si="16"/>
        <v/>
      </c>
      <c r="BF99" s="95" t="str">
        <f>IFERROR($M99+VLOOKUP($L99,'Voyage days'!$F$620:$H$646,3,FALSE),"")</f>
        <v/>
      </c>
      <c r="BG99" s="95" t="str">
        <f>IFERROR($N99+VLOOKUP($L99,'Voyage days'!$F$620:$H$646,3,FALSE),"")</f>
        <v/>
      </c>
      <c r="BH99" s="93" t="str">
        <f t="shared" si="17"/>
        <v/>
      </c>
      <c r="BI99" s="96" t="str">
        <f>IFERROR($M99+VLOOKUP($L99,'Voyage days'!$F$702:$H$727,3,FALSE),"")</f>
        <v/>
      </c>
      <c r="BJ99" s="93" t="str">
        <f t="shared" si="18"/>
        <v/>
      </c>
      <c r="BK99" s="95" t="str">
        <f>IFERROR($M99+VLOOKUP($L99,'Voyage days'!$F$807:$H$878,3,FALSE),"")</f>
        <v/>
      </c>
      <c r="BL99" s="95" t="str">
        <f>IFERROR($N99+VLOOKUP($L99,'Voyage days'!$F$807:$H$878,3,FALSE),"")</f>
        <v/>
      </c>
      <c r="BM99" s="95" t="str">
        <f>IFERROR($N99+VLOOKUP($L99,'Voyage days'!$F$807:$K$878,6,FALSE),"")</f>
        <v/>
      </c>
      <c r="BN99" s="94" t="str">
        <f>IF(L99="loads AG", IFERROR($M99+VLOOKUP($L99,'Voyage days'!$M$38:$O$38,3,FALSE),""),"")</f>
        <v/>
      </c>
      <c r="BO99" s="94">
        <f>IF(L99="loads USG", IFERROR($M99+VLOOKUP($L99,'Voyage days'!$L$203:$N$203,3,FALSE),""),"")</f>
        <v>46163</v>
      </c>
    </row>
    <row r="100" spans="1:67" ht="15.75" customHeight="1" x14ac:dyDescent="0.25">
      <c r="A100" s="339" t="s">
        <v>246</v>
      </c>
      <c r="B100" s="119">
        <v>2021</v>
      </c>
      <c r="C100" s="76">
        <v>86000</v>
      </c>
      <c r="D100" s="77"/>
      <c r="E100" s="77"/>
      <c r="F100" s="78"/>
      <c r="G100" s="78"/>
      <c r="H100" s="78" t="s">
        <v>713</v>
      </c>
      <c r="I100" s="260" t="s">
        <v>949</v>
      </c>
      <c r="J100" s="80" t="str">
        <f t="shared" si="21"/>
        <v/>
      </c>
      <c r="K100" s="81"/>
      <c r="L100" s="82" t="s">
        <v>704</v>
      </c>
      <c r="M100" s="83">
        <v>46159</v>
      </c>
      <c r="N100" s="83">
        <v>46160</v>
      </c>
      <c r="O100" s="84"/>
      <c r="P100" s="82" t="s">
        <v>960</v>
      </c>
      <c r="Q100" s="82"/>
      <c r="R100" s="82" t="s">
        <v>961</v>
      </c>
      <c r="S100" s="120" t="s">
        <v>724</v>
      </c>
      <c r="T100" s="86">
        <v>46132</v>
      </c>
      <c r="U100" s="87" t="str">
        <f>IF(V100="","No AIS",VLOOKUP(V100,'Voyage days'!$A$3:$B$1480,2,FALSE))</f>
        <v>USG</v>
      </c>
      <c r="V100" s="88" t="str">
        <f>IF(VLOOKUP(A100,'1) Kpler'!$E$2:$P$1000,8, FALSE)="","",VLOOKUP(A100,'1) Kpler'!$E$2:$P$1000,8, FALSE))</f>
        <v>Houston</v>
      </c>
      <c r="W100" s="89">
        <f>IF(VLOOKUP(A100,'1) Kpler'!$E$2:$P$1000,9,FALSE)="","",VLOOKUP(A100,'1) Kpler'!$E$2:$P$1000,9,FALSE))</f>
        <v>46132.5</v>
      </c>
      <c r="X100" s="88" t="str">
        <f>VLOOKUP(A100,'1) Kpler'!$E$2:$I$1000,4,FALSE)</f>
        <v>ballast</v>
      </c>
      <c r="Y100" s="63" t="str">
        <f t="shared" si="0"/>
        <v>04-05 Jun</v>
      </c>
      <c r="Z100" s="63" t="str">
        <f t="shared" si="1"/>
        <v>16-17 Jun</v>
      </c>
      <c r="AA100" s="63" t="str">
        <f t="shared" si="2"/>
        <v>24-25 Jun</v>
      </c>
      <c r="AB100" s="63" t="str">
        <f t="shared" si="3"/>
        <v>16-17 Jun</v>
      </c>
      <c r="AC100" s="63" t="str">
        <f t="shared" si="4"/>
        <v>22-23 Jun</v>
      </c>
      <c r="AD100" s="63" t="str">
        <f t="shared" si="5"/>
        <v>25-26 May</v>
      </c>
      <c r="AE100" s="129" t="str">
        <f t="shared" si="6"/>
        <v>25-26 May</v>
      </c>
      <c r="AF100" s="130" t="str">
        <f t="shared" si="7"/>
        <v>02-03 Jul</v>
      </c>
      <c r="AG100" s="93" t="str">
        <f t="shared" si="8"/>
        <v>04-05 Jun</v>
      </c>
      <c r="AH100" s="94">
        <f>IFERROR($M100+VLOOKUP($L100,'Voyage days'!$F$38:$H$89,3,FALSE),"")</f>
        <v>46177</v>
      </c>
      <c r="AI100" s="94">
        <f>IFERROR(N100+VLOOKUP($L100,'Voyage days'!$F$38:$H$89,3,FALSE),"")</f>
        <v>46178</v>
      </c>
      <c r="AJ100" s="93" t="str">
        <f t="shared" si="9"/>
        <v>16-17 Jun</v>
      </c>
      <c r="AK100" s="94">
        <f>IFERROR($M100+VLOOKUP($L100,'Voyage days'!$F$94:$H$193,3,FALSE),"")</f>
        <v>46189</v>
      </c>
      <c r="AL100" s="94">
        <f>IFERROR($N100+VLOOKUP($L100,'Voyage days'!$F$94:$H$193,3,FALSE),"")</f>
        <v>46190</v>
      </c>
      <c r="AM100" s="93" t="str">
        <f t="shared" si="10"/>
        <v>24-25 Jun</v>
      </c>
      <c r="AN100" s="94">
        <f>IFERROR($M100+VLOOKUP($L100,'Voyage days'!$F$203:$H$256,3,FALSE),"")</f>
        <v>46197</v>
      </c>
      <c r="AO100" s="94">
        <f>IFERROR($N100+VLOOKUP($L100,'Voyage days'!$F$203:$H$256,3,FALSE),"")</f>
        <v>46198</v>
      </c>
      <c r="AP100" s="93" t="str">
        <f t="shared" si="11"/>
        <v>16-17 Jun</v>
      </c>
      <c r="AQ100" s="94">
        <f>IFERROR($M100+VLOOKUP($L100,'Voyage days'!$F$294:$H$377,3,FALSE),"")</f>
        <v>46189</v>
      </c>
      <c r="AR100" s="94">
        <f>IFERROR($N100+VLOOKUP($L100,'Voyage days'!$F$294:$H$377,3,FALSE),"")</f>
        <v>46190</v>
      </c>
      <c r="AS100" s="93" t="str">
        <f t="shared" si="12"/>
        <v>22-23 Jun</v>
      </c>
      <c r="AT100" s="94">
        <f>IFERROR($M100+VLOOKUP($L100,'Voyage days'!$F$382:$H$446,3,FALSE),"")</f>
        <v>46195</v>
      </c>
      <c r="AU100" s="94">
        <f>IFERROR($N100+VLOOKUP($L100,'Voyage days'!$F$382:$H$446,3,FALSE),"")</f>
        <v>46196</v>
      </c>
      <c r="AV100" s="93" t="str">
        <f t="shared" si="13"/>
        <v>30-31 May</v>
      </c>
      <c r="AW100" s="94">
        <f>IFERROR($M100+VLOOKUP($L100,'Voyage days'!$F$483:$H$538,3,FALSE),"")</f>
        <v>46172</v>
      </c>
      <c r="AX100" s="94">
        <f>IFERROR($N100+VLOOKUP($L100,'Voyage days'!$F$483:$H$538,3,FALSE),"")</f>
        <v>46173</v>
      </c>
      <c r="AY100" s="93" t="str">
        <f t="shared" si="14"/>
        <v>25-26 May</v>
      </c>
      <c r="AZ100" s="94">
        <f>IFERROR($M100+VLOOKUP($L100,'Voyage days'!$F$540:$H$613,3,FALSE),"")</f>
        <v>46167.25</v>
      </c>
      <c r="BA100" s="94">
        <f>IFERROR($N100+VLOOKUP($L100,'Voyage days'!$F$540:$H$613,3,FALSE),"")</f>
        <v>46168.25</v>
      </c>
      <c r="BB100" s="93" t="str">
        <f t="shared" si="15"/>
        <v>25-26 May</v>
      </c>
      <c r="BC100" s="94">
        <f>IFERROR($M100+VLOOKUP($L100,'Voyage days'!$F$448:$H$479,3,FALSE),"")</f>
        <v>46167</v>
      </c>
      <c r="BD100" s="94">
        <f>IFERROR($N100+VLOOKUP($L100,'Voyage days'!$F$448:$H$479,3,FALSE),"")</f>
        <v>46168</v>
      </c>
      <c r="BE100" s="93" t="str">
        <f t="shared" si="16"/>
        <v>28-29 May</v>
      </c>
      <c r="BF100" s="95">
        <f>IFERROR($M100+VLOOKUP($L100,'Voyage days'!$F$620:$H$646,3,FALSE),"")</f>
        <v>46170</v>
      </c>
      <c r="BG100" s="95">
        <f>IFERROR($N100+VLOOKUP($L100,'Voyage days'!$F$620:$H$646,3,FALSE),"")</f>
        <v>46171</v>
      </c>
      <c r="BH100" s="93" t="str">
        <f t="shared" si="17"/>
        <v>25-03 Jul</v>
      </c>
      <c r="BI100" s="96">
        <f>IFERROR($M100+VLOOKUP($L100,'Voyage days'!$F$702:$H$727,3,FALSE),"")</f>
        <v>46167.25</v>
      </c>
      <c r="BJ100" s="93" t="str">
        <f t="shared" si="18"/>
        <v>02-03 Jul</v>
      </c>
      <c r="BK100" s="95">
        <f>IFERROR($M100+VLOOKUP($L100,'Voyage days'!$F$807:$H$878,3,FALSE),"")</f>
        <v>46205</v>
      </c>
      <c r="BL100" s="95">
        <f>IFERROR($N100+VLOOKUP($L100,'Voyage days'!$F$807:$H$878,3,FALSE),"")</f>
        <v>46206</v>
      </c>
      <c r="BM100" s="95">
        <f>IFERROR($N100+VLOOKUP($L100,'Voyage days'!$F$807:$K$878,6,FALSE),"")</f>
        <v>46180</v>
      </c>
      <c r="BN100" s="94" t="str">
        <f>IF(L100="loads AG", IFERROR($M100+VLOOKUP($L100,'Voyage days'!$M$38:$O$38,3,FALSE),""),"")</f>
        <v/>
      </c>
      <c r="BO100" s="94" t="str">
        <f>IF(L100="loads USG", IFERROR($M100+VLOOKUP($L100,'Voyage days'!$L$203:$N$203,3,FALSE),""),"")</f>
        <v/>
      </c>
    </row>
    <row r="101" spans="1:67" ht="15.75" customHeight="1" x14ac:dyDescent="0.25">
      <c r="A101" s="339" t="s">
        <v>247</v>
      </c>
      <c r="B101" s="119">
        <v>2021</v>
      </c>
      <c r="C101" s="76">
        <v>86000</v>
      </c>
      <c r="D101" s="77"/>
      <c r="E101" s="77"/>
      <c r="F101" s="78"/>
      <c r="G101" s="78"/>
      <c r="H101" s="78" t="s">
        <v>713</v>
      </c>
      <c r="I101" s="260" t="s">
        <v>949</v>
      </c>
      <c r="J101" s="80" t="str">
        <f t="shared" si="21"/>
        <v/>
      </c>
      <c r="K101" s="81"/>
      <c r="L101" s="82" t="s">
        <v>822</v>
      </c>
      <c r="M101" s="83">
        <v>46150</v>
      </c>
      <c r="N101" s="83">
        <v>46151</v>
      </c>
      <c r="O101" s="84"/>
      <c r="P101" s="82" t="s">
        <v>962</v>
      </c>
      <c r="Q101" s="82"/>
      <c r="R101" s="82" t="s">
        <v>963</v>
      </c>
      <c r="S101" s="120" t="s">
        <v>724</v>
      </c>
      <c r="T101" s="86">
        <v>46132</v>
      </c>
      <c r="U101" s="87" t="str">
        <f>IF(V101="","No AIS",VLOOKUP(V101,'Voyage days'!$A$3:$B$1480,2,FALSE))</f>
        <v>Port Louis</v>
      </c>
      <c r="V101" s="88" t="str">
        <f>IF(VLOOKUP(A101,'1) Kpler'!$E$2:$P$1000,8, FALSE)="","",VLOOKUP(A101,'1) Kpler'!$E$2:$P$1000,8, FALSE))</f>
        <v>Port Louis</v>
      </c>
      <c r="W101" s="89">
        <f>IF(VLOOKUP(A101,'1) Kpler'!$E$2:$P$1000,9,FALSE)="","",VLOOKUP(A101,'1) Kpler'!$E$2:$P$1000,9,FALSE))</f>
        <v>46150.583333333336</v>
      </c>
      <c r="X101" s="88" t="str">
        <f>VLOOKUP(A101,'1) Kpler'!$E$2:$I$1000,4,FALSE)</f>
        <v>loaded</v>
      </c>
      <c r="Y101" s="90" t="str">
        <f t="shared" si="0"/>
        <v>03-04 Jun</v>
      </c>
      <c r="Z101" s="90" t="str">
        <f t="shared" si="1"/>
        <v>23-24 Jun</v>
      </c>
      <c r="AA101" s="90" t="str">
        <f t="shared" si="2"/>
        <v>01-02 Jul</v>
      </c>
      <c r="AB101" s="90" t="str">
        <f t="shared" si="3"/>
        <v>14-15 Jun</v>
      </c>
      <c r="AC101" s="90" t="str">
        <f t="shared" si="4"/>
        <v>22-23 Jun</v>
      </c>
      <c r="AD101" s="90" t="str">
        <f t="shared" si="5"/>
        <v>25-26 May</v>
      </c>
      <c r="AE101" s="91" t="str">
        <f t="shared" si="6"/>
        <v>28-29 May</v>
      </c>
      <c r="AF101" s="92" t="str">
        <f t="shared" si="7"/>
        <v>30-01 Jul</v>
      </c>
      <c r="AG101" s="93" t="str">
        <f t="shared" si="8"/>
        <v>03-04 Jun</v>
      </c>
      <c r="AH101" s="94">
        <f>IFERROR($M101+VLOOKUP($L101,'Voyage days'!$F$38:$H$89,3,FALSE),"")</f>
        <v>46176</v>
      </c>
      <c r="AI101" s="94">
        <f>IFERROR(N101+VLOOKUP($L101,'Voyage days'!$F$38:$H$89,3,FALSE),"")</f>
        <v>46177</v>
      </c>
      <c r="AJ101" s="93" t="str">
        <f t="shared" si="9"/>
        <v>23-24 Jun</v>
      </c>
      <c r="AK101" s="94">
        <f>IFERROR($M101+VLOOKUP($L101,'Voyage days'!$F$94:$H$193,3,FALSE),"")</f>
        <v>46196</v>
      </c>
      <c r="AL101" s="94">
        <f>IFERROR($N101+VLOOKUP($L101,'Voyage days'!$F$94:$H$193,3,FALSE),"")</f>
        <v>46197</v>
      </c>
      <c r="AM101" s="93" t="str">
        <f t="shared" si="10"/>
        <v>01-02 Jul</v>
      </c>
      <c r="AN101" s="94">
        <f>IFERROR($M101+VLOOKUP($L101,'Voyage days'!$F$203:$H$256,3,FALSE),"")</f>
        <v>46204</v>
      </c>
      <c r="AO101" s="94">
        <f>IFERROR($N101+VLOOKUP($L101,'Voyage days'!$F$203:$H$256,3,FALSE),"")</f>
        <v>46205</v>
      </c>
      <c r="AP101" s="93" t="str">
        <f t="shared" si="11"/>
        <v>14-15 Jun</v>
      </c>
      <c r="AQ101" s="94">
        <f>IFERROR($M101+VLOOKUP($L101,'Voyage days'!$F$294:$H$377,3,FALSE),"")</f>
        <v>46187</v>
      </c>
      <c r="AR101" s="94">
        <f>IFERROR($N101+VLOOKUP($L101,'Voyage days'!$F$294:$H$377,3,FALSE),"")</f>
        <v>46188</v>
      </c>
      <c r="AS101" s="93" t="str">
        <f t="shared" si="12"/>
        <v>22-23 Jun</v>
      </c>
      <c r="AT101" s="94">
        <f>IFERROR($M101+VLOOKUP($L101,'Voyage days'!$F$382:$H$446,3,FALSE),"")</f>
        <v>46195</v>
      </c>
      <c r="AU101" s="94">
        <f>IFERROR($N101+VLOOKUP($L101,'Voyage days'!$F$382:$H$446,3,FALSE),"")</f>
        <v>46196</v>
      </c>
      <c r="AV101" s="93" t="str">
        <f t="shared" si="13"/>
        <v>05-06 Jun</v>
      </c>
      <c r="AW101" s="94">
        <f>IFERROR($M101+VLOOKUP($L101,'Voyage days'!$F$483:$H$538,3,FALSE),"")</f>
        <v>46178</v>
      </c>
      <c r="AX101" s="94">
        <f>IFERROR($N101+VLOOKUP($L101,'Voyage days'!$F$483:$H$538,3,FALSE),"")</f>
        <v>46179</v>
      </c>
      <c r="AY101" s="93" t="str">
        <f t="shared" si="14"/>
        <v>28-29 May</v>
      </c>
      <c r="AZ101" s="94">
        <f>IFERROR($M101+VLOOKUP($L101,'Voyage days'!$F$540:$H$613,3,FALSE),"")</f>
        <v>46170</v>
      </c>
      <c r="BA101" s="94">
        <f>IFERROR($N101+VLOOKUP($L101,'Voyage days'!$F$540:$H$613,3,FALSE),"")</f>
        <v>46171</v>
      </c>
      <c r="BB101" s="93" t="str">
        <f t="shared" si="15"/>
        <v>25-26 May</v>
      </c>
      <c r="BC101" s="94">
        <f>IFERROR($M101+VLOOKUP($L101,'Voyage days'!$F$448:$H$479,3,FALSE),"")</f>
        <v>46167</v>
      </c>
      <c r="BD101" s="94">
        <f>IFERROR($N101+VLOOKUP($L101,'Voyage days'!$F$448:$H$479,3,FALSE),"")</f>
        <v>46168</v>
      </c>
      <c r="BE101" s="93" t="str">
        <f t="shared" si="16"/>
        <v/>
      </c>
      <c r="BF101" s="95" t="str">
        <f>IFERROR($M101+VLOOKUP($L101,'Voyage days'!$F$620:$H$646,3,FALSE),"")</f>
        <v/>
      </c>
      <c r="BG101" s="95" t="str">
        <f>IFERROR($N101+VLOOKUP($L101,'Voyage days'!$F$620:$H$646,3,FALSE),"")</f>
        <v/>
      </c>
      <c r="BH101" s="93" t="str">
        <f t="shared" si="17"/>
        <v/>
      </c>
      <c r="BI101" s="96" t="str">
        <f>IFERROR($M101+VLOOKUP($L101,'Voyage days'!$F$702:$H$727,3,FALSE),"")</f>
        <v/>
      </c>
      <c r="BJ101" s="93" t="str">
        <f t="shared" si="18"/>
        <v>30-01 Jul</v>
      </c>
      <c r="BK101" s="95">
        <f>IFERROR($M101+VLOOKUP($L101,'Voyage days'!$F$807:$H$878,3,FALSE),"")</f>
        <v>46203</v>
      </c>
      <c r="BL101" s="95">
        <f>IFERROR($N101+VLOOKUP($L101,'Voyage days'!$F$807:$H$878,3,FALSE),"")</f>
        <v>46204</v>
      </c>
      <c r="BM101" s="95">
        <f>IFERROR($N101+VLOOKUP($L101,'Voyage days'!$F$807:$K$878,6,FALSE),"")</f>
        <v>46151</v>
      </c>
      <c r="BN101" s="94" t="str">
        <f>IF(L101="loads AG", IFERROR($M101+VLOOKUP($L101,'Voyage days'!$M$38:$O$38,3,FALSE),""),"")</f>
        <v/>
      </c>
      <c r="BO101" s="94" t="str">
        <f>IF(L101="loads USG", IFERROR($M101+VLOOKUP($L101,'Voyage days'!$L$203:$N$203,3,FALSE),""),"")</f>
        <v/>
      </c>
    </row>
    <row r="102" spans="1:67" ht="15.75" customHeight="1" x14ac:dyDescent="0.25">
      <c r="A102" s="339" t="s">
        <v>566</v>
      </c>
      <c r="B102" s="75">
        <v>43831</v>
      </c>
      <c r="C102" s="76">
        <v>84000</v>
      </c>
      <c r="D102" s="77"/>
      <c r="E102" s="77"/>
      <c r="F102" s="78"/>
      <c r="G102" s="78"/>
      <c r="H102" s="78" t="s">
        <v>739</v>
      </c>
      <c r="I102" s="260" t="s">
        <v>949</v>
      </c>
      <c r="J102" s="80" t="str">
        <f t="shared" si="21"/>
        <v/>
      </c>
      <c r="K102" s="81"/>
      <c r="L102" s="82" t="s">
        <v>718</v>
      </c>
      <c r="M102" s="83">
        <v>46152</v>
      </c>
      <c r="N102" s="83">
        <v>46153</v>
      </c>
      <c r="O102" s="84"/>
      <c r="P102" s="82" t="s">
        <v>964</v>
      </c>
      <c r="Q102" s="85"/>
      <c r="R102" s="82" t="s">
        <v>965</v>
      </c>
      <c r="S102" s="120" t="s">
        <v>724</v>
      </c>
      <c r="T102" s="86">
        <v>46132</v>
      </c>
      <c r="U102" s="87" t="str">
        <f>IF(V102="","No AIS",VLOOKUP(V102,'Voyage days'!$A$3:$B$1480,2,FALSE))</f>
        <v>Panama</v>
      </c>
      <c r="V102" s="88" t="str">
        <f>IF(VLOOKUP(A102,'1) Kpler'!$E$2:$P$1000,8, FALSE)="","",VLOOKUP(A102,'1) Kpler'!$E$2:$P$1000,8, FALSE))</f>
        <v>Panama Canal</v>
      </c>
      <c r="W102" s="89">
        <f>IF(VLOOKUP(A102,'1) Kpler'!$E$2:$P$1000,9,FALSE)="","",VLOOKUP(A102,'1) Kpler'!$E$2:$P$1000,9,FALSE))</f>
        <v>46148.708333333336</v>
      </c>
      <c r="X102" s="88" t="str">
        <f>VLOOKUP(A102,'1) Kpler'!$E$2:$I$1000,4,FALSE)</f>
        <v>ballast</v>
      </c>
      <c r="Y102" s="63" t="str">
        <f t="shared" si="0"/>
        <v/>
      </c>
      <c r="Z102" s="63" t="str">
        <f t="shared" si="1"/>
        <v>10-11 May</v>
      </c>
      <c r="AA102" s="63" t="str">
        <f t="shared" si="2"/>
        <v>10-11 May</v>
      </c>
      <c r="AB102" s="63" t="str">
        <f t="shared" si="3"/>
        <v/>
      </c>
      <c r="AC102" s="63" t="str">
        <f t="shared" si="4"/>
        <v>30-31 May</v>
      </c>
      <c r="AD102" s="63" t="str">
        <f t="shared" si="5"/>
        <v/>
      </c>
      <c r="AE102" s="129" t="str">
        <f t="shared" si="6"/>
        <v/>
      </c>
      <c r="AF102" s="130" t="str">
        <f t="shared" si="7"/>
        <v/>
      </c>
      <c r="AG102" s="93" t="str">
        <f t="shared" si="8"/>
        <v/>
      </c>
      <c r="AH102" s="94" t="str">
        <f>IFERROR($M102+VLOOKUP($L102,'Voyage days'!$F$38:$H$89,3,FALSE),"")</f>
        <v/>
      </c>
      <c r="AI102" s="94" t="str">
        <f>IFERROR(N102+VLOOKUP($L102,'Voyage days'!$F$38:$H$89,3,FALSE),"")</f>
        <v/>
      </c>
      <c r="AJ102" s="93" t="str">
        <f t="shared" si="9"/>
        <v>10-11 May</v>
      </c>
      <c r="AK102" s="94">
        <f>IFERROR($M102+VLOOKUP($L102,'Voyage days'!$F$94:$H$193,3,FALSE),"")</f>
        <v>46152</v>
      </c>
      <c r="AL102" s="94">
        <f>IFERROR($N102+VLOOKUP($L102,'Voyage days'!$F$94:$H$193,3,FALSE),"")</f>
        <v>46153</v>
      </c>
      <c r="AM102" s="93" t="str">
        <f t="shared" si="10"/>
        <v>10-11 May</v>
      </c>
      <c r="AN102" s="94">
        <f>IFERROR($M102+VLOOKUP($L102,'Voyage days'!$F$203:$H$256,3,FALSE),"")</f>
        <v>46152</v>
      </c>
      <c r="AO102" s="94">
        <f>IFERROR($N102+VLOOKUP($L102,'Voyage days'!$F$203:$H$256,3,FALSE),"")</f>
        <v>46153</v>
      </c>
      <c r="AP102" s="93" t="str">
        <f t="shared" si="11"/>
        <v/>
      </c>
      <c r="AQ102" s="94" t="str">
        <f>IFERROR($M102+VLOOKUP($L102,'Voyage days'!$F$294:$H$377,3,FALSE),"")</f>
        <v/>
      </c>
      <c r="AR102" s="94" t="str">
        <f>IFERROR($N102+VLOOKUP($L102,'Voyage days'!$F$294:$H$377,3,FALSE),"")</f>
        <v/>
      </c>
      <c r="AS102" s="93" t="str">
        <f t="shared" si="12"/>
        <v>30-31 May</v>
      </c>
      <c r="AT102" s="94">
        <f>IFERROR($M102+VLOOKUP($L102,'Voyage days'!$F$382:$H$446,3,FALSE),"")</f>
        <v>46172</v>
      </c>
      <c r="AU102" s="94">
        <f>IFERROR($N102+VLOOKUP($L102,'Voyage days'!$F$382:$H$446,3,FALSE),"")</f>
        <v>46173</v>
      </c>
      <c r="AV102" s="93" t="str">
        <f t="shared" si="13"/>
        <v/>
      </c>
      <c r="AW102" s="94" t="str">
        <f>IFERROR($M102+VLOOKUP($L102,'Voyage days'!$F$483:$H$538,3,FALSE),"")</f>
        <v/>
      </c>
      <c r="AX102" s="94" t="str">
        <f>IFERROR($N102+VLOOKUP($L102,'Voyage days'!$F$483:$H$538,3,FALSE),"")</f>
        <v/>
      </c>
      <c r="AY102" s="93" t="str">
        <f t="shared" si="14"/>
        <v/>
      </c>
      <c r="AZ102" s="94" t="str">
        <f>IFERROR($M102+VLOOKUP($L102,'Voyage days'!$F$540:$H$613,3,FALSE),"")</f>
        <v/>
      </c>
      <c r="BA102" s="94" t="str">
        <f>IFERROR($N102+VLOOKUP($L102,'Voyage days'!$F$540:$H$613,3,FALSE),"")</f>
        <v/>
      </c>
      <c r="BB102" s="93" t="str">
        <f t="shared" si="15"/>
        <v/>
      </c>
      <c r="BC102" s="94" t="str">
        <f>IFERROR($M102+VLOOKUP($L102,'Voyage days'!$F$448:$H$479,3,FALSE),"")</f>
        <v/>
      </c>
      <c r="BD102" s="94" t="str">
        <f>IFERROR($N102+VLOOKUP($L102,'Voyage days'!$F$448:$H$479,3,FALSE),"")</f>
        <v/>
      </c>
      <c r="BE102" s="93" t="str">
        <f t="shared" si="16"/>
        <v/>
      </c>
      <c r="BF102" s="95" t="str">
        <f>IFERROR($M102+VLOOKUP($L102,'Voyage days'!$F$620:$H$646,3,FALSE),"")</f>
        <v/>
      </c>
      <c r="BG102" s="95" t="str">
        <f>IFERROR($N102+VLOOKUP($L102,'Voyage days'!$F$620:$H$646,3,FALSE),"")</f>
        <v/>
      </c>
      <c r="BH102" s="93" t="str">
        <f t="shared" si="17"/>
        <v/>
      </c>
      <c r="BI102" s="96" t="str">
        <f>IFERROR($M102+VLOOKUP($L102,'Voyage days'!$F$702:$H$727,3,FALSE),"")</f>
        <v/>
      </c>
      <c r="BJ102" s="93" t="str">
        <f t="shared" si="18"/>
        <v/>
      </c>
      <c r="BK102" s="95" t="str">
        <f>IFERROR($M102+VLOOKUP($L102,'Voyage days'!$F$807:$H$878,3,FALSE),"")</f>
        <v/>
      </c>
      <c r="BL102" s="95" t="str">
        <f>IFERROR($N102+VLOOKUP($L102,'Voyage days'!$F$807:$H$878,3,FALSE),"")</f>
        <v/>
      </c>
      <c r="BM102" s="95" t="str">
        <f>IFERROR($N102+VLOOKUP($L102,'Voyage days'!$F$807:$K$878,6,FALSE),"")</f>
        <v/>
      </c>
      <c r="BN102" s="94" t="str">
        <f>IF(L102="loads AG", IFERROR($M102+VLOOKUP($L102,'Voyage days'!$M$38:$O$38,3,FALSE),""),"")</f>
        <v/>
      </c>
      <c r="BO102" s="94">
        <f>IF(L102="loads USG", IFERROR($M102+VLOOKUP($L102,'Voyage days'!$L$203:$N$203,3,FALSE),""),"")</f>
        <v>46184</v>
      </c>
    </row>
    <row r="103" spans="1:67" ht="15.75" customHeight="1" x14ac:dyDescent="0.25">
      <c r="A103" s="175" t="s">
        <v>571</v>
      </c>
      <c r="B103" s="176">
        <v>41275</v>
      </c>
      <c r="C103" s="134">
        <v>83000</v>
      </c>
      <c r="D103" s="143"/>
      <c r="E103" s="143"/>
      <c r="F103" s="136"/>
      <c r="G103" s="136"/>
      <c r="H103" s="136"/>
      <c r="I103" s="137" t="s">
        <v>949</v>
      </c>
      <c r="J103" s="138" t="str">
        <f t="shared" si="21"/>
        <v/>
      </c>
      <c r="K103" s="139"/>
      <c r="L103" s="140" t="s">
        <v>718</v>
      </c>
      <c r="M103" s="83">
        <v>46148</v>
      </c>
      <c r="N103" s="141">
        <v>46149</v>
      </c>
      <c r="O103" s="226" t="s">
        <v>71</v>
      </c>
      <c r="P103" s="140" t="s">
        <v>775</v>
      </c>
      <c r="Q103" s="140"/>
      <c r="R103" s="140" t="s">
        <v>966</v>
      </c>
      <c r="S103" s="279" t="s">
        <v>724</v>
      </c>
      <c r="T103" s="144">
        <v>46132</v>
      </c>
      <c r="U103" s="145" t="str">
        <f>IF(V103="","No AIS",VLOOKUP(V103,'Voyage days'!$A$3:$B$1480,2,FALSE))</f>
        <v>Panama</v>
      </c>
      <c r="V103" s="146" t="str">
        <f>IF(VLOOKUP(A103,'1) Kpler'!$E$2:$P$1000,8, FALSE)="","",VLOOKUP(A103,'1) Kpler'!$E$2:$P$1000,8, FALSE))</f>
        <v>Panama Canal</v>
      </c>
      <c r="W103" s="147">
        <f>IF(VLOOKUP(A103,'1) Kpler'!$E$2:$P$1000,9,FALSE)="","",VLOOKUP(A103,'1) Kpler'!$E$2:$P$1000,9,FALSE))</f>
        <v>46141.916666666664</v>
      </c>
      <c r="X103" s="146" t="str">
        <f>VLOOKUP(A103,'1) Kpler'!$E$2:$I$1000,4,FALSE)</f>
        <v>ballast</v>
      </c>
      <c r="Y103" s="148" t="str">
        <f t="shared" si="0"/>
        <v/>
      </c>
      <c r="Z103" s="148" t="str">
        <f t="shared" si="1"/>
        <v>06-07 May</v>
      </c>
      <c r="AA103" s="148" t="str">
        <f t="shared" si="2"/>
        <v>06-07 May</v>
      </c>
      <c r="AB103" s="148" t="str">
        <f t="shared" si="3"/>
        <v/>
      </c>
      <c r="AC103" s="148" t="str">
        <f t="shared" si="4"/>
        <v>26-27 May</v>
      </c>
      <c r="AD103" s="148" t="str">
        <f t="shared" si="5"/>
        <v/>
      </c>
      <c r="AE103" s="149" t="str">
        <f t="shared" si="6"/>
        <v/>
      </c>
      <c r="AF103" s="150" t="str">
        <f t="shared" si="7"/>
        <v/>
      </c>
      <c r="AG103" s="93" t="str">
        <f t="shared" si="8"/>
        <v/>
      </c>
      <c r="AH103" s="94" t="str">
        <f>IFERROR($M103+VLOOKUP($L103,'Voyage days'!$F$38:$H$89,3,FALSE),"")</f>
        <v/>
      </c>
      <c r="AI103" s="94" t="str">
        <f>IFERROR(N103+VLOOKUP($L103,'Voyage days'!$F$38:$H$89,3,FALSE),"")</f>
        <v/>
      </c>
      <c r="AJ103" s="93" t="str">
        <f t="shared" si="9"/>
        <v>06-07 May</v>
      </c>
      <c r="AK103" s="94">
        <f>IFERROR($M103+VLOOKUP($L103,'Voyage days'!$F$94:$H$193,3,FALSE),"")</f>
        <v>46148</v>
      </c>
      <c r="AL103" s="94">
        <f>IFERROR($N103+VLOOKUP($L103,'Voyage days'!$F$94:$H$193,3,FALSE),"")</f>
        <v>46149</v>
      </c>
      <c r="AM103" s="93" t="str">
        <f t="shared" si="10"/>
        <v>06-07 May</v>
      </c>
      <c r="AN103" s="94">
        <f>IFERROR($M103+VLOOKUP($L103,'Voyage days'!$F$203:$H$256,3,FALSE),"")</f>
        <v>46148</v>
      </c>
      <c r="AO103" s="94">
        <f>IFERROR($N103+VLOOKUP($L103,'Voyage days'!$F$203:$H$256,3,FALSE),"")</f>
        <v>46149</v>
      </c>
      <c r="AP103" s="93" t="str">
        <f t="shared" si="11"/>
        <v/>
      </c>
      <c r="AQ103" s="94" t="str">
        <f>IFERROR($M103+VLOOKUP($L103,'Voyage days'!$F$294:$H$377,3,FALSE),"")</f>
        <v/>
      </c>
      <c r="AR103" s="94" t="str">
        <f>IFERROR($N103+VLOOKUP($L103,'Voyage days'!$F$294:$H$377,3,FALSE),"")</f>
        <v/>
      </c>
      <c r="AS103" s="93" t="str">
        <f t="shared" si="12"/>
        <v>26-27 May</v>
      </c>
      <c r="AT103" s="94">
        <f>IFERROR($M103+VLOOKUP($L103,'Voyage days'!$F$382:$H$446,3,FALSE),"")</f>
        <v>46168</v>
      </c>
      <c r="AU103" s="94">
        <f>IFERROR($N103+VLOOKUP($L103,'Voyage days'!$F$382:$H$446,3,FALSE),"")</f>
        <v>46169</v>
      </c>
      <c r="AV103" s="93" t="str">
        <f t="shared" si="13"/>
        <v/>
      </c>
      <c r="AW103" s="94" t="str">
        <f>IFERROR($M103+VLOOKUP($L103,'Voyage days'!$F$483:$H$538,3,FALSE),"")</f>
        <v/>
      </c>
      <c r="AX103" s="94" t="str">
        <f>IFERROR($N103+VLOOKUP($L103,'Voyage days'!$F$483:$H$538,3,FALSE),"")</f>
        <v/>
      </c>
      <c r="AY103" s="93" t="str">
        <f t="shared" si="14"/>
        <v/>
      </c>
      <c r="AZ103" s="94" t="str">
        <f>IFERROR($M103+VLOOKUP($L103,'Voyage days'!$F$540:$H$613,3,FALSE),"")</f>
        <v/>
      </c>
      <c r="BA103" s="94" t="str">
        <f>IFERROR($N103+VLOOKUP($L103,'Voyage days'!$F$540:$H$613,3,FALSE),"")</f>
        <v/>
      </c>
      <c r="BB103" s="93" t="str">
        <f t="shared" si="15"/>
        <v/>
      </c>
      <c r="BC103" s="94" t="str">
        <f>IFERROR($M103+VLOOKUP($L103,'Voyage days'!$F$448:$H$479,3,FALSE),"")</f>
        <v/>
      </c>
      <c r="BD103" s="94" t="str">
        <f>IFERROR($N103+VLOOKUP($L103,'Voyage days'!$F$448:$H$479,3,FALSE),"")</f>
        <v/>
      </c>
      <c r="BE103" s="93" t="str">
        <f t="shared" si="16"/>
        <v/>
      </c>
      <c r="BF103" s="95" t="str">
        <f>IFERROR($M103+VLOOKUP($L103,'Voyage days'!$F$620:$H$646,3,FALSE),"")</f>
        <v/>
      </c>
      <c r="BG103" s="95" t="str">
        <f>IFERROR($N103+VLOOKUP($L103,'Voyage days'!$F$620:$H$646,3,FALSE),"")</f>
        <v/>
      </c>
      <c r="BH103" s="93" t="str">
        <f t="shared" si="17"/>
        <v/>
      </c>
      <c r="BI103" s="96" t="str">
        <f>IFERROR($M103+VLOOKUP($L103,'Voyage days'!$F$702:$H$727,3,FALSE),"")</f>
        <v/>
      </c>
      <c r="BJ103" s="93" t="str">
        <f t="shared" si="18"/>
        <v/>
      </c>
      <c r="BK103" s="95" t="str">
        <f>IFERROR($M103+VLOOKUP($L103,'Voyage days'!$F$807:$H$878,3,FALSE),"")</f>
        <v/>
      </c>
      <c r="BL103" s="95" t="str">
        <f>IFERROR($N103+VLOOKUP($L103,'Voyage days'!$F$807:$H$878,3,FALSE),"")</f>
        <v/>
      </c>
      <c r="BM103" s="95" t="str">
        <f>IFERROR($N103+VLOOKUP($L103,'Voyage days'!$F$807:$K$878,6,FALSE),"")</f>
        <v/>
      </c>
      <c r="BN103" s="94" t="str">
        <f>IF(L103="loads AG", IFERROR($M103+VLOOKUP($L103,'Voyage days'!$M$38:$O$38,3,FALSE),""),"")</f>
        <v/>
      </c>
      <c r="BO103" s="94">
        <f>IF(L103="loads USG", IFERROR($M103+VLOOKUP($L103,'Voyage days'!$L$203:$N$203,3,FALSE),""),"")</f>
        <v>46180</v>
      </c>
    </row>
    <row r="104" spans="1:67" ht="15.75" customHeight="1" x14ac:dyDescent="0.25">
      <c r="A104" s="181" t="s">
        <v>84</v>
      </c>
      <c r="B104" s="182">
        <v>2013</v>
      </c>
      <c r="C104" s="183">
        <v>82000</v>
      </c>
      <c r="D104" s="178"/>
      <c r="E104" s="193"/>
      <c r="F104" s="341"/>
      <c r="G104" s="341"/>
      <c r="H104" s="341" t="s">
        <v>739</v>
      </c>
      <c r="I104" s="342" t="s">
        <v>967</v>
      </c>
      <c r="J104" s="343" t="str">
        <f t="shared" si="21"/>
        <v>Update</v>
      </c>
      <c r="K104" s="303"/>
      <c r="L104" s="344" t="s">
        <v>718</v>
      </c>
      <c r="M104" s="345">
        <v>46128</v>
      </c>
      <c r="N104" s="345">
        <v>46129</v>
      </c>
      <c r="O104" s="168"/>
      <c r="P104" s="304" t="s">
        <v>958</v>
      </c>
      <c r="Q104" s="344"/>
      <c r="R104" s="344" t="s">
        <v>968</v>
      </c>
      <c r="S104" s="313" t="s">
        <v>724</v>
      </c>
      <c r="T104" s="232">
        <v>46132</v>
      </c>
      <c r="U104" s="346" t="str">
        <f>IF(V104="","No AIS",VLOOKUP(V104,'Voyage days'!$A$3:$B$1480,2,FALSE))</f>
        <v>WCI + 5</v>
      </c>
      <c r="V104" s="346" t="str">
        <f>IF(VLOOKUP(A104,'1) Kpler'!$E$2:$P$1000,8, FALSE)="","",VLOOKUP(A104,'1) Kpler'!$E$2:$P$1000,8, FALSE))</f>
        <v>Mangalore</v>
      </c>
      <c r="W104" s="347">
        <f>IF(VLOOKUP(A104,'1) Kpler'!$E$2:$P$1000,9,FALSE)="","",VLOOKUP(A104,'1) Kpler'!$E$2:$P$1000,9,FALSE))</f>
        <v>46169.5</v>
      </c>
      <c r="X104" s="346" t="str">
        <f>VLOOKUP(A104,'1) Kpler'!$E$2:$I$1000,4,FALSE)</f>
        <v>loaded</v>
      </c>
      <c r="Y104" s="348" t="str">
        <f t="shared" si="0"/>
        <v/>
      </c>
      <c r="Z104" s="348" t="str">
        <f t="shared" si="1"/>
        <v>16-17 Apr</v>
      </c>
      <c r="AA104" s="348" t="str">
        <f t="shared" si="2"/>
        <v>16-17 Apr</v>
      </c>
      <c r="AB104" s="348" t="str">
        <f t="shared" si="3"/>
        <v/>
      </c>
      <c r="AC104" s="348" t="str">
        <f t="shared" si="4"/>
        <v>06-07 May</v>
      </c>
      <c r="AD104" s="348" t="str">
        <f t="shared" si="5"/>
        <v/>
      </c>
      <c r="AE104" s="349" t="str">
        <f t="shared" si="6"/>
        <v/>
      </c>
      <c r="AF104" s="130" t="str">
        <f t="shared" si="7"/>
        <v/>
      </c>
      <c r="AG104" s="350" t="str">
        <f t="shared" si="8"/>
        <v/>
      </c>
      <c r="AH104" s="351" t="str">
        <f>IFERROR($M104+VLOOKUP($L104,'Voyage days'!$F$38:$H$89,3,FALSE),"")</f>
        <v/>
      </c>
      <c r="AI104" s="351" t="str">
        <f>IFERROR(N104+VLOOKUP($L104,'Voyage days'!$F$38:$H$89,3,FALSE),"")</f>
        <v/>
      </c>
      <c r="AJ104" s="350" t="str">
        <f t="shared" si="9"/>
        <v>16-17 Apr</v>
      </c>
      <c r="AK104" s="351">
        <f>IFERROR($M104+VLOOKUP($L104,'Voyage days'!$F$94:$H$193,3,FALSE),"")</f>
        <v>46128</v>
      </c>
      <c r="AL104" s="351">
        <f>IFERROR($N104+VLOOKUP($L104,'Voyage days'!$F$94:$H$193,3,FALSE),"")</f>
        <v>46129</v>
      </c>
      <c r="AM104" s="350" t="str">
        <f t="shared" si="10"/>
        <v>16-17 Apr</v>
      </c>
      <c r="AN104" s="351">
        <f>IFERROR($M104+VLOOKUP($L104,'Voyage days'!$F$203:$H$256,3,FALSE),"")</f>
        <v>46128</v>
      </c>
      <c r="AO104" s="351">
        <f>IFERROR($N104+VLOOKUP($L104,'Voyage days'!$F$203:$H$256,3,FALSE),"")</f>
        <v>46129</v>
      </c>
      <c r="AP104" s="350" t="str">
        <f t="shared" si="11"/>
        <v/>
      </c>
      <c r="AQ104" s="351" t="str">
        <f>IFERROR($M104+VLOOKUP($L104,'Voyage days'!$F$294:$H$377,3,FALSE),"")</f>
        <v/>
      </c>
      <c r="AR104" s="351" t="str">
        <f>IFERROR($N104+VLOOKUP($L104,'Voyage days'!$F$294:$H$377,3,FALSE),"")</f>
        <v/>
      </c>
      <c r="AS104" s="350" t="str">
        <f t="shared" si="12"/>
        <v>06-07 May</v>
      </c>
      <c r="AT104" s="351">
        <f>IFERROR($M104+VLOOKUP($L104,'Voyage days'!$F$382:$H$446,3,FALSE),"")</f>
        <v>46148</v>
      </c>
      <c r="AU104" s="351">
        <f>IFERROR($N104+VLOOKUP($L104,'Voyage days'!$F$382:$H$446,3,FALSE),"")</f>
        <v>46149</v>
      </c>
      <c r="AV104" s="350" t="str">
        <f t="shared" si="13"/>
        <v/>
      </c>
      <c r="AW104" s="351" t="str">
        <f>IFERROR($M104+VLOOKUP($L104,'Voyage days'!$F$483:$H$538,3,FALSE),"")</f>
        <v/>
      </c>
      <c r="AX104" s="351" t="str">
        <f>IFERROR($N104+VLOOKUP($L104,'Voyage days'!$F$483:$H$538,3,FALSE),"")</f>
        <v/>
      </c>
      <c r="AY104" s="350" t="str">
        <f t="shared" si="14"/>
        <v/>
      </c>
      <c r="AZ104" s="351" t="str">
        <f>IFERROR($M104+VLOOKUP($L104,'Voyage days'!$F$540:$H$613,3,FALSE),"")</f>
        <v/>
      </c>
      <c r="BA104" s="351" t="str">
        <f>IFERROR($N104+VLOOKUP($L104,'Voyage days'!$F$540:$H$613,3,FALSE),"")</f>
        <v/>
      </c>
      <c r="BB104" s="350" t="str">
        <f t="shared" si="15"/>
        <v/>
      </c>
      <c r="BC104" s="352" t="str">
        <f>IFERROR($M104+VLOOKUP($L104,'Voyage days'!$F$448:$H$479,3,FALSE),"")</f>
        <v/>
      </c>
      <c r="BD104" s="352" t="str">
        <f>IFERROR($N104+VLOOKUP($L104,'Voyage days'!$F$448:$H$479,3,FALSE),"")</f>
        <v/>
      </c>
      <c r="BE104" s="350" t="str">
        <f t="shared" si="16"/>
        <v/>
      </c>
      <c r="BF104" s="351" t="str">
        <f>IFERROR($M104+VLOOKUP($L104,'Voyage days'!$F$620:$H$646,3,FALSE),"")</f>
        <v/>
      </c>
      <c r="BG104" s="351" t="str">
        <f>IFERROR($N104+VLOOKUP($L104,'Voyage days'!$F$620:$H$646,3,FALSE),"")</f>
        <v/>
      </c>
      <c r="BH104" s="350" t="str">
        <f t="shared" si="17"/>
        <v/>
      </c>
      <c r="BI104" s="353" t="str">
        <f>IFERROR($M104+VLOOKUP($L104,'Voyage days'!$F$702:$H$727,3,FALSE),"")</f>
        <v/>
      </c>
      <c r="BJ104" s="350" t="str">
        <f t="shared" si="18"/>
        <v/>
      </c>
      <c r="BK104" s="351" t="str">
        <f>IFERROR($M104+VLOOKUP($L104,'Voyage days'!$F$807:$H$878,3,FALSE),"")</f>
        <v/>
      </c>
      <c r="BL104" s="351" t="str">
        <f>IFERROR($N104+VLOOKUP($L104,'Voyage days'!$F$807:$H$878,3,FALSE),"")</f>
        <v/>
      </c>
      <c r="BM104" s="354" t="str">
        <f>IFERROR($N104+VLOOKUP($L104,'Voyage days'!$F$807:$K$878,6,FALSE),"")</f>
        <v/>
      </c>
      <c r="BN104" s="352" t="str">
        <f>IF(L104="loads AG", IFERROR($M104+VLOOKUP($L104,'Voyage days'!$M$38:$O$38,3,FALSE),""),"")</f>
        <v/>
      </c>
      <c r="BO104" s="352">
        <f>IF(L104="loads USG", IFERROR($M104+VLOOKUP($L104,'Voyage days'!$L$203:$N$203,3,FALSE),""),"")</f>
        <v>46160</v>
      </c>
    </row>
    <row r="105" spans="1:67" ht="15" customHeight="1" x14ac:dyDescent="0.25">
      <c r="A105" s="266" t="s">
        <v>969</v>
      </c>
      <c r="B105" s="75">
        <v>42674</v>
      </c>
      <c r="C105" s="76">
        <v>84000</v>
      </c>
      <c r="D105" s="77" t="s">
        <v>651</v>
      </c>
      <c r="E105" s="77"/>
      <c r="F105" s="78"/>
      <c r="G105" s="78"/>
      <c r="H105" s="78" t="s">
        <v>713</v>
      </c>
      <c r="I105" s="233" t="s">
        <v>967</v>
      </c>
      <c r="J105" s="261" t="str">
        <f t="shared" si="21"/>
        <v/>
      </c>
      <c r="K105" s="81"/>
      <c r="L105" s="82" t="s">
        <v>734</v>
      </c>
      <c r="M105" s="83">
        <v>46152</v>
      </c>
      <c r="N105" s="83">
        <v>46153</v>
      </c>
      <c r="O105" s="84"/>
      <c r="P105" s="82" t="s">
        <v>970</v>
      </c>
      <c r="Q105" s="124"/>
      <c r="R105" s="124" t="s">
        <v>971</v>
      </c>
      <c r="S105" s="120" t="s">
        <v>724</v>
      </c>
      <c r="T105" s="232">
        <v>46132</v>
      </c>
      <c r="U105" s="87" t="str">
        <f>IF(V105="","No AIS",VLOOKUP(V105,'Voyage days'!$A$3:$B$1480,2,FALSE))</f>
        <v>Indo + 4 (STS)</v>
      </c>
      <c r="V105" s="88" t="str">
        <f>IF(VLOOKUP(A105,'1) Kpler'!$E$2:$P$1000,8, FALSE)="","",VLOOKUP(A105,'1) Kpler'!$E$2:$P$1000,8, FALSE))</f>
        <v>Kalbut</v>
      </c>
      <c r="W105" s="89">
        <f>IF(VLOOKUP(A105,'1) Kpler'!$E$2:$P$1000,9,FALSE)="","",VLOOKUP(A105,'1) Kpler'!$E$2:$P$1000,9,FALSE))</f>
        <v>46148.208333333336</v>
      </c>
      <c r="X105" s="88" t="str">
        <f>VLOOKUP(A105,'1) Kpler'!$E$2:$I$1000,4,FALSE)</f>
        <v>loaded</v>
      </c>
      <c r="Y105" s="90" t="str">
        <f t="shared" si="0"/>
        <v>21-22 May</v>
      </c>
      <c r="Z105" s="90" t="str">
        <f t="shared" si="1"/>
        <v>17-18 Jun</v>
      </c>
      <c r="AA105" s="90" t="str">
        <f t="shared" si="2"/>
        <v>16-17 Jun</v>
      </c>
      <c r="AB105" s="90" t="str">
        <f t="shared" si="3"/>
        <v>30-31 May</v>
      </c>
      <c r="AC105" s="90" t="str">
        <f t="shared" si="4"/>
        <v>08-09 Jun</v>
      </c>
      <c r="AD105" s="90" t="str">
        <f t="shared" si="5"/>
        <v>13-14 May</v>
      </c>
      <c r="AE105" s="91" t="str">
        <f t="shared" si="6"/>
        <v>14-15 May</v>
      </c>
      <c r="AF105" s="92" t="str">
        <f t="shared" si="7"/>
        <v>16-17 Jun</v>
      </c>
      <c r="AG105" s="93" t="str">
        <f t="shared" si="8"/>
        <v>21-22 May</v>
      </c>
      <c r="AH105" s="94">
        <f>IFERROR($M105+VLOOKUP($L105,'Voyage days'!$F$38:$H$89,3,FALSE),"")</f>
        <v>46163</v>
      </c>
      <c r="AI105" s="94">
        <f>IFERROR(N105+VLOOKUP($L105,'Voyage days'!$F$38:$H$89,3,FALSE),"")</f>
        <v>46164</v>
      </c>
      <c r="AJ105" s="93" t="str">
        <f t="shared" si="9"/>
        <v>17-18 Jun</v>
      </c>
      <c r="AK105" s="94">
        <f>IFERROR($M105+VLOOKUP($L105,'Voyage days'!$F$94:$H$193,3,FALSE),"")</f>
        <v>46190</v>
      </c>
      <c r="AL105" s="94">
        <f>IFERROR($N105+VLOOKUP($L105,'Voyage days'!$F$94:$H$193,3,FALSE),"")</f>
        <v>46191</v>
      </c>
      <c r="AM105" s="93" t="str">
        <f t="shared" si="10"/>
        <v>16-17 Jun</v>
      </c>
      <c r="AN105" s="94">
        <f>IFERROR($M105+VLOOKUP($L105,'Voyage days'!$F$203:$H$256,3,FALSE),"")</f>
        <v>46189</v>
      </c>
      <c r="AO105" s="94">
        <f>IFERROR($N105+VLOOKUP($L105,'Voyage days'!$F$203:$H$256,3,FALSE),"")</f>
        <v>46190</v>
      </c>
      <c r="AP105" s="93" t="str">
        <f t="shared" si="11"/>
        <v>30-31 May</v>
      </c>
      <c r="AQ105" s="94">
        <f>IFERROR($M105+VLOOKUP($L105,'Voyage days'!$F$294:$H$377,3,FALSE),"")</f>
        <v>46172</v>
      </c>
      <c r="AR105" s="94">
        <f>IFERROR($N105+VLOOKUP($L105,'Voyage days'!$F$294:$H$377,3,FALSE),"")</f>
        <v>46173</v>
      </c>
      <c r="AS105" s="93" t="str">
        <f t="shared" si="12"/>
        <v>08-09 Jun</v>
      </c>
      <c r="AT105" s="94">
        <f>IFERROR($M105+VLOOKUP($L105,'Voyage days'!$F$382:$H$446,3,FALSE),"")</f>
        <v>46181</v>
      </c>
      <c r="AU105" s="94">
        <f>IFERROR($N105+VLOOKUP($L105,'Voyage days'!$F$382:$H$446,3,FALSE),"")</f>
        <v>46182</v>
      </c>
      <c r="AV105" s="93" t="str">
        <f t="shared" si="13"/>
        <v>19-20 May</v>
      </c>
      <c r="AW105" s="94">
        <f>IFERROR($M105+VLOOKUP($L105,'Voyage days'!$F$483:$H$538,3,FALSE),"")</f>
        <v>46161</v>
      </c>
      <c r="AX105" s="94">
        <f>IFERROR($N105+VLOOKUP($L105,'Voyage days'!$F$483:$H$538,3,FALSE),"")</f>
        <v>46162</v>
      </c>
      <c r="AY105" s="93" t="str">
        <f t="shared" si="14"/>
        <v>14-15 May</v>
      </c>
      <c r="AZ105" s="94">
        <f>IFERROR($M105+VLOOKUP($L105,'Voyage days'!$F$540:$H$613,3,FALSE),"")</f>
        <v>46156</v>
      </c>
      <c r="BA105" s="94">
        <f>IFERROR($N105+VLOOKUP($L105,'Voyage days'!$F$540:$H$613,3,FALSE),"")</f>
        <v>46157</v>
      </c>
      <c r="BB105" s="93" t="str">
        <f t="shared" si="15"/>
        <v>13-14 May</v>
      </c>
      <c r="BC105" s="94">
        <f>IFERROR($M105+VLOOKUP($L105,'Voyage days'!$F$448:$H$479,3,FALSE),"")</f>
        <v>46155</v>
      </c>
      <c r="BD105" s="94">
        <f>IFERROR($N105+VLOOKUP($L105,'Voyage days'!$F$448:$H$479,3,FALSE),"")</f>
        <v>46156</v>
      </c>
      <c r="BE105" s="93" t="str">
        <f t="shared" si="16"/>
        <v/>
      </c>
      <c r="BF105" s="95" t="str">
        <f>IFERROR($M105+VLOOKUP($L105,'Voyage days'!$F$620:$H$646,3,FALSE),"")</f>
        <v/>
      </c>
      <c r="BG105" s="95" t="str">
        <f>IFERROR($N105+VLOOKUP($L105,'Voyage days'!$F$620:$H$646,3,FALSE),"")</f>
        <v/>
      </c>
      <c r="BH105" s="93" t="str">
        <f t="shared" si="17"/>
        <v>18-17 Jun</v>
      </c>
      <c r="BI105" s="96">
        <f>IFERROR($M105+VLOOKUP($L105,'Voyage days'!$F$702:$H$727,3,FALSE),"")</f>
        <v>46160</v>
      </c>
      <c r="BJ105" s="93" t="str">
        <f t="shared" si="18"/>
        <v>16-17 Jun</v>
      </c>
      <c r="BK105" s="95">
        <f>IFERROR($M105+VLOOKUP($L105,'Voyage days'!$F$807:$H$878,3,FALSE),"")</f>
        <v>46189</v>
      </c>
      <c r="BL105" s="95">
        <f>IFERROR($N105+VLOOKUP($L105,'Voyage days'!$F$807:$H$878,3,FALSE),"")</f>
        <v>46190</v>
      </c>
      <c r="BM105" s="95">
        <f>IFERROR($N105+VLOOKUP($L105,'Voyage days'!$F$807:$K$878,6,FALSE),"")</f>
        <v>46166</v>
      </c>
      <c r="BN105" s="94" t="str">
        <f>IF(L105="loads AG", IFERROR($M105+VLOOKUP($L105,'Voyage days'!$M$38:$O$38,3,FALSE),""),"")</f>
        <v/>
      </c>
      <c r="BO105" s="94" t="str">
        <f>IF(L105="loads USG", IFERROR($M105+VLOOKUP($L105,'Voyage days'!$L$203:$N$203,3,FALSE),""),"")</f>
        <v/>
      </c>
    </row>
    <row r="106" spans="1:67" ht="15.75" customHeight="1" x14ac:dyDescent="0.25">
      <c r="A106" s="74" t="s">
        <v>972</v>
      </c>
      <c r="B106" s="75">
        <v>42741</v>
      </c>
      <c r="C106" s="76">
        <v>84180</v>
      </c>
      <c r="D106" s="77" t="s">
        <v>651</v>
      </c>
      <c r="E106" s="77"/>
      <c r="F106" s="78"/>
      <c r="G106" s="78"/>
      <c r="H106" s="78" t="s">
        <v>713</v>
      </c>
      <c r="I106" s="233" t="s">
        <v>967</v>
      </c>
      <c r="J106" s="80" t="str">
        <f t="shared" si="21"/>
        <v/>
      </c>
      <c r="K106" s="81"/>
      <c r="L106" s="82" t="s">
        <v>718</v>
      </c>
      <c r="M106" s="83">
        <v>46138</v>
      </c>
      <c r="N106" s="83">
        <v>46139</v>
      </c>
      <c r="O106" s="84"/>
      <c r="P106" s="157" t="s">
        <v>973</v>
      </c>
      <c r="Q106" s="82"/>
      <c r="R106" s="124" t="s">
        <v>971</v>
      </c>
      <c r="S106" s="120" t="s">
        <v>724</v>
      </c>
      <c r="T106" s="232">
        <v>46132</v>
      </c>
      <c r="U106" s="87" t="str">
        <f>IF(V106="","No AIS",VLOOKUP(V106,'Voyage days'!$A$3:$B$1480,2,FALSE))</f>
        <v>USG</v>
      </c>
      <c r="V106" s="88" t="str">
        <f>IF(VLOOKUP(A106,'1) Kpler'!$E$2:$P$1000,8, FALSE)="","",VLOOKUP(A106,'1) Kpler'!$E$2:$P$1000,8, FALSE))</f>
        <v>Energy Transfer Nederland</v>
      </c>
      <c r="W106" s="89">
        <f>IF(VLOOKUP(A106,'1) Kpler'!$E$2:$P$1000,9,FALSE)="","",VLOOKUP(A106,'1) Kpler'!$E$2:$P$1000,9,FALSE))</f>
        <v>46138.375</v>
      </c>
      <c r="X106" s="88" t="str">
        <f>VLOOKUP(A106,'1) Kpler'!$E$2:$I$1000,4,FALSE)</f>
        <v>ballast</v>
      </c>
      <c r="Y106" s="63" t="str">
        <f t="shared" si="0"/>
        <v/>
      </c>
      <c r="Z106" s="63" t="str">
        <f t="shared" si="1"/>
        <v>26-27 Apr</v>
      </c>
      <c r="AA106" s="63" t="str">
        <f t="shared" si="2"/>
        <v>26-27 Apr</v>
      </c>
      <c r="AB106" s="63" t="str">
        <f t="shared" si="3"/>
        <v/>
      </c>
      <c r="AC106" s="63" t="str">
        <f t="shared" si="4"/>
        <v>16-17 May</v>
      </c>
      <c r="AD106" s="63" t="str">
        <f t="shared" si="5"/>
        <v/>
      </c>
      <c r="AE106" s="129" t="str">
        <f t="shared" si="6"/>
        <v/>
      </c>
      <c r="AF106" s="130" t="str">
        <f t="shared" si="7"/>
        <v/>
      </c>
      <c r="AG106" s="93" t="str">
        <f t="shared" si="8"/>
        <v/>
      </c>
      <c r="AH106" s="94" t="str">
        <f>IFERROR($M106+VLOOKUP($L106,'Voyage days'!$F$38:$H$89,3,FALSE),"")</f>
        <v/>
      </c>
      <c r="AI106" s="94" t="str">
        <f>IFERROR(N106+VLOOKUP($L106,'Voyage days'!$F$38:$H$89,3,FALSE),"")</f>
        <v/>
      </c>
      <c r="AJ106" s="93" t="str">
        <f t="shared" si="9"/>
        <v>26-27 Apr</v>
      </c>
      <c r="AK106" s="94">
        <f>IFERROR($M106+VLOOKUP($L106,'Voyage days'!$F$94:$H$193,3,FALSE),"")</f>
        <v>46138</v>
      </c>
      <c r="AL106" s="94">
        <f>IFERROR($N106+VLOOKUP($L106,'Voyage days'!$F$94:$H$193,3,FALSE),"")</f>
        <v>46139</v>
      </c>
      <c r="AM106" s="93" t="str">
        <f t="shared" si="10"/>
        <v>26-27 Apr</v>
      </c>
      <c r="AN106" s="94">
        <f>IFERROR($M106+VLOOKUP($L106,'Voyage days'!$F$203:$H$256,3,FALSE),"")</f>
        <v>46138</v>
      </c>
      <c r="AO106" s="94">
        <f>IFERROR($N106+VLOOKUP($L106,'Voyage days'!$F$203:$H$256,3,FALSE),"")</f>
        <v>46139</v>
      </c>
      <c r="AP106" s="93" t="str">
        <f t="shared" si="11"/>
        <v/>
      </c>
      <c r="AQ106" s="94" t="str">
        <f>IFERROR($M106+VLOOKUP($L106,'Voyage days'!$F$294:$H$377,3,FALSE),"")</f>
        <v/>
      </c>
      <c r="AR106" s="94" t="str">
        <f>IFERROR($N106+VLOOKUP($L106,'Voyage days'!$F$294:$H$377,3,FALSE),"")</f>
        <v/>
      </c>
      <c r="AS106" s="93" t="str">
        <f t="shared" si="12"/>
        <v>16-17 May</v>
      </c>
      <c r="AT106" s="94">
        <f>IFERROR($M106+VLOOKUP($L106,'Voyage days'!$F$382:$H$446,3,FALSE),"")</f>
        <v>46158</v>
      </c>
      <c r="AU106" s="94">
        <f>IFERROR($N106+VLOOKUP($L106,'Voyage days'!$F$382:$H$446,3,FALSE),"")</f>
        <v>46159</v>
      </c>
      <c r="AV106" s="93" t="str">
        <f t="shared" si="13"/>
        <v/>
      </c>
      <c r="AW106" s="94" t="str">
        <f>IFERROR($M106+VLOOKUP($L106,'Voyage days'!$F$483:$H$538,3,FALSE),"")</f>
        <v/>
      </c>
      <c r="AX106" s="94" t="str">
        <f>IFERROR($N106+VLOOKUP($L106,'Voyage days'!$F$483:$H$538,3,FALSE),"")</f>
        <v/>
      </c>
      <c r="AY106" s="93" t="str">
        <f t="shared" si="14"/>
        <v/>
      </c>
      <c r="AZ106" s="94" t="str">
        <f>IFERROR($M106+VLOOKUP($L106,'Voyage days'!$F$540:$H$613,3,FALSE),"")</f>
        <v/>
      </c>
      <c r="BA106" s="94" t="str">
        <f>IFERROR($N106+VLOOKUP($L106,'Voyage days'!$F$540:$H$613,3,FALSE),"")</f>
        <v/>
      </c>
      <c r="BB106" s="93" t="str">
        <f t="shared" si="15"/>
        <v/>
      </c>
      <c r="BC106" s="94" t="str">
        <f>IFERROR($M106+VLOOKUP($L106,'Voyage days'!$F$448:$H$479,3,FALSE),"")</f>
        <v/>
      </c>
      <c r="BD106" s="94" t="str">
        <f>IFERROR($N106+VLOOKUP($L106,'Voyage days'!$F$448:$H$479,3,FALSE),"")</f>
        <v/>
      </c>
      <c r="BE106" s="93" t="str">
        <f t="shared" si="16"/>
        <v/>
      </c>
      <c r="BF106" s="95" t="str">
        <f>IFERROR($M106+VLOOKUP($L106,'Voyage days'!$F$620:$H$646,3,FALSE),"")</f>
        <v/>
      </c>
      <c r="BG106" s="95" t="str">
        <f>IFERROR($N106+VLOOKUP($L106,'Voyage days'!$F$620:$H$646,3,FALSE),"")</f>
        <v/>
      </c>
      <c r="BH106" s="93" t="str">
        <f t="shared" si="17"/>
        <v/>
      </c>
      <c r="BI106" s="96" t="str">
        <f>IFERROR($M106+VLOOKUP($L106,'Voyage days'!$F$702:$H$727,3,FALSE),"")</f>
        <v/>
      </c>
      <c r="BJ106" s="93" t="str">
        <f t="shared" si="18"/>
        <v/>
      </c>
      <c r="BK106" s="95" t="str">
        <f>IFERROR($M106+VLOOKUP($L106,'Voyage days'!$F$807:$H$878,3,FALSE),"")</f>
        <v/>
      </c>
      <c r="BL106" s="95" t="str">
        <f>IFERROR($N106+VLOOKUP($L106,'Voyage days'!$F$807:$H$878,3,FALSE),"")</f>
        <v/>
      </c>
      <c r="BM106" s="95" t="str">
        <f>IFERROR($N106+VLOOKUP($L106,'Voyage days'!$F$807:$K$878,6,FALSE),"")</f>
        <v/>
      </c>
      <c r="BN106" s="94" t="str">
        <f>IF(L106="loads AG", IFERROR($M106+VLOOKUP($L106,'Voyage days'!$M$38:$O$38,3,FALSE),""),"")</f>
        <v/>
      </c>
      <c r="BO106" s="94">
        <f>IF(L106="loads USG", IFERROR($M106+VLOOKUP($L106,'Voyage days'!$L$203:$N$203,3,FALSE),""),"")</f>
        <v>46170</v>
      </c>
    </row>
    <row r="107" spans="1:67" ht="15.75" customHeight="1" x14ac:dyDescent="0.25">
      <c r="A107" s="113" t="s">
        <v>191</v>
      </c>
      <c r="B107" s="119">
        <v>2015</v>
      </c>
      <c r="C107" s="76">
        <v>84000</v>
      </c>
      <c r="D107" s="77" t="s">
        <v>651</v>
      </c>
      <c r="E107" s="77"/>
      <c r="F107" s="78"/>
      <c r="G107" s="78"/>
      <c r="H107" s="78" t="s">
        <v>739</v>
      </c>
      <c r="I107" s="233" t="s">
        <v>974</v>
      </c>
      <c r="J107" s="80" t="str">
        <f t="shared" si="21"/>
        <v>Update</v>
      </c>
      <c r="K107" s="81"/>
      <c r="L107" s="82" t="s">
        <v>725</v>
      </c>
      <c r="M107" s="83">
        <v>46132</v>
      </c>
      <c r="N107" s="83">
        <v>46133</v>
      </c>
      <c r="O107" s="84"/>
      <c r="P107" s="124" t="s">
        <v>975</v>
      </c>
      <c r="Q107" s="78"/>
      <c r="R107" s="78" t="s">
        <v>976</v>
      </c>
      <c r="S107" s="120" t="s">
        <v>724</v>
      </c>
      <c r="T107" s="232">
        <v>46132</v>
      </c>
      <c r="U107" s="87" t="str">
        <f>IF(V107="","No AIS",VLOOKUP(V107,'Voyage days'!$A$3:$B$1480,2,FALSE))</f>
        <v>East China + 4</v>
      </c>
      <c r="V107" s="88" t="str">
        <f>IF(VLOOKUP(A107,'1) Kpler'!$E$2:$P$1000,8, FALSE)="","",VLOOKUP(A107,'1) Kpler'!$E$2:$P$1000,8, FALSE))</f>
        <v>China</v>
      </c>
      <c r="W107" s="89">
        <f>IF(VLOOKUP(A107,'1) Kpler'!$E$2:$P$1000,9,FALSE)="","",VLOOKUP(A107,'1) Kpler'!$E$2:$P$1000,9,FALSE))</f>
        <v>46133.625</v>
      </c>
      <c r="X107" s="88" t="str">
        <f>VLOOKUP(A107,'1) Kpler'!$E$2:$I$1000,4,FALSE)</f>
        <v>open</v>
      </c>
      <c r="Y107" s="234" t="str">
        <f t="shared" si="0"/>
        <v/>
      </c>
      <c r="Z107" s="234" t="str">
        <f t="shared" si="1"/>
        <v>30-01 May</v>
      </c>
      <c r="AA107" s="234" t="str">
        <f t="shared" si="2"/>
        <v/>
      </c>
      <c r="AB107" s="234" t="str">
        <f t="shared" si="3"/>
        <v/>
      </c>
      <c r="AC107" s="234" t="str">
        <f t="shared" si="4"/>
        <v/>
      </c>
      <c r="AD107" s="234" t="str">
        <f t="shared" si="5"/>
        <v/>
      </c>
      <c r="AE107" s="235" t="str">
        <f t="shared" si="6"/>
        <v/>
      </c>
      <c r="AF107" s="92" t="str">
        <f t="shared" si="7"/>
        <v/>
      </c>
      <c r="AG107" s="93" t="str">
        <f t="shared" si="8"/>
        <v/>
      </c>
      <c r="AH107" s="94" t="str">
        <f>IFERROR($M107+VLOOKUP($L107,'Voyage days'!$F$38:$H$89,3,FALSE),"")</f>
        <v/>
      </c>
      <c r="AI107" s="94" t="str">
        <f>IFERROR(N107+VLOOKUP($L107,'Voyage days'!$F$38:$H$89,3,FALSE),"")</f>
        <v/>
      </c>
      <c r="AJ107" s="93" t="str">
        <f t="shared" si="9"/>
        <v>30-01 May</v>
      </c>
      <c r="AK107" s="94">
        <f>IFERROR($M107+VLOOKUP($L107,'Voyage days'!$F$94:$H$193,3,FALSE),"")</f>
        <v>46142</v>
      </c>
      <c r="AL107" s="94">
        <f>IFERROR($N107+VLOOKUP($L107,'Voyage days'!$F$94:$H$193,3,FALSE),"")</f>
        <v>46143</v>
      </c>
      <c r="AM107" s="93" t="str">
        <f t="shared" si="10"/>
        <v/>
      </c>
      <c r="AN107" s="94" t="str">
        <f>IFERROR($M107+VLOOKUP($L107,'Voyage days'!$F$203:$H$256,3,FALSE),"")</f>
        <v/>
      </c>
      <c r="AO107" s="94" t="str">
        <f>IFERROR($N107+VLOOKUP($L107,'Voyage days'!$F$203:$H$256,3,FALSE),"")</f>
        <v/>
      </c>
      <c r="AP107" s="93" t="str">
        <f t="shared" si="11"/>
        <v/>
      </c>
      <c r="AQ107" s="94" t="str">
        <f>IFERROR($M107+VLOOKUP($L107,'Voyage days'!$F$294:$H$377,3,FALSE),"")</f>
        <v/>
      </c>
      <c r="AR107" s="94" t="str">
        <f>IFERROR($N107+VLOOKUP($L107,'Voyage days'!$F$294:$H$377,3,FALSE),"")</f>
        <v/>
      </c>
      <c r="AS107" s="93" t="str">
        <f t="shared" si="12"/>
        <v/>
      </c>
      <c r="AT107" s="94" t="str">
        <f>IFERROR($M107+VLOOKUP($L107,'Voyage days'!$F$382:$H$446,3,FALSE),"")</f>
        <v/>
      </c>
      <c r="AU107" s="94" t="str">
        <f>IFERROR($N107+VLOOKUP($L107,'Voyage days'!$F$382:$H$446,3,FALSE),"")</f>
        <v/>
      </c>
      <c r="AV107" s="93" t="str">
        <f t="shared" si="13"/>
        <v/>
      </c>
      <c r="AW107" s="94" t="str">
        <f>IFERROR($M107+VLOOKUP($L107,'Voyage days'!$F$483:$H$538,3,FALSE),"")</f>
        <v/>
      </c>
      <c r="AX107" s="94" t="str">
        <f>IFERROR($N107+VLOOKUP($L107,'Voyage days'!$F$483:$H$538,3,FALSE),"")</f>
        <v/>
      </c>
      <c r="AY107" s="93" t="str">
        <f t="shared" si="14"/>
        <v/>
      </c>
      <c r="AZ107" s="94" t="str">
        <f>IFERROR($M107+VLOOKUP($L107,'Voyage days'!$F$540:$H$613,3,FALSE),"")</f>
        <v/>
      </c>
      <c r="BA107" s="94" t="str">
        <f>IFERROR($N107+VLOOKUP($L107,'Voyage days'!$F$540:$H$613,3,FALSE),"")</f>
        <v/>
      </c>
      <c r="BB107" s="93" t="str">
        <f t="shared" si="15"/>
        <v/>
      </c>
      <c r="BC107" s="94" t="str">
        <f>IFERROR($M107+VLOOKUP($L107,'Voyage days'!$F$448:$H$479,3,FALSE),"")</f>
        <v/>
      </c>
      <c r="BD107" s="94" t="str">
        <f>IFERROR($N107+VLOOKUP($L107,'Voyage days'!$F$448:$H$479,3,FALSE),"")</f>
        <v/>
      </c>
      <c r="BE107" s="93" t="str">
        <f t="shared" si="16"/>
        <v/>
      </c>
      <c r="BF107" s="95" t="str">
        <f>IFERROR($M107+VLOOKUP($L107,'Voyage days'!$F$620:$H$646,3,FALSE),"")</f>
        <v/>
      </c>
      <c r="BG107" s="95" t="str">
        <f>IFERROR($N107+VLOOKUP($L107,'Voyage days'!$F$620:$H$646,3,FALSE),"")</f>
        <v/>
      </c>
      <c r="BH107" s="93" t="str">
        <f t="shared" si="17"/>
        <v/>
      </c>
      <c r="BI107" s="96" t="str">
        <f>IFERROR($M107+VLOOKUP($L107,'Voyage days'!$F$702:$H$727,3,FALSE),"")</f>
        <v/>
      </c>
      <c r="BJ107" s="93" t="str">
        <f t="shared" si="18"/>
        <v/>
      </c>
      <c r="BK107" s="95" t="str">
        <f>IFERROR($M107+VLOOKUP($L107,'Voyage days'!$F$807:$H$878,3,FALSE),"")</f>
        <v/>
      </c>
      <c r="BL107" s="95" t="str">
        <f>IFERROR($N107+VLOOKUP($L107,'Voyage days'!$F$807:$H$878,3,FALSE),"")</f>
        <v/>
      </c>
      <c r="BM107" s="95" t="str">
        <f>IFERROR($N107+VLOOKUP($L107,'Voyage days'!$F$807:$K$878,6,FALSE),"")</f>
        <v/>
      </c>
      <c r="BN107" s="94" t="str">
        <f>IF(L107="loads AG", IFERROR($M107+VLOOKUP($L107,'Voyage days'!$M$38:$O$38,3,FALSE),""),"")</f>
        <v/>
      </c>
      <c r="BO107" s="94" t="str">
        <f>IF(L107="loads USG", IFERROR($M107+VLOOKUP($L107,'Voyage days'!$L$203:$N$203,3,FALSE),""),"")</f>
        <v/>
      </c>
    </row>
    <row r="108" spans="1:67" ht="15.75" customHeight="1" x14ac:dyDescent="0.25">
      <c r="A108" s="340" t="s">
        <v>290</v>
      </c>
      <c r="B108" s="75">
        <v>39479</v>
      </c>
      <c r="C108" s="76">
        <v>82000</v>
      </c>
      <c r="D108" s="77"/>
      <c r="E108" s="77"/>
      <c r="F108" s="78"/>
      <c r="G108" s="78"/>
      <c r="H108" s="78"/>
      <c r="I108" s="249" t="s">
        <v>967</v>
      </c>
      <c r="J108" s="80" t="str">
        <f t="shared" si="21"/>
        <v/>
      </c>
      <c r="K108" s="81"/>
      <c r="L108" s="82" t="s">
        <v>718</v>
      </c>
      <c r="M108" s="83">
        <v>46157</v>
      </c>
      <c r="N108" s="83">
        <v>46158</v>
      </c>
      <c r="O108" s="206"/>
      <c r="P108" s="124" t="s">
        <v>801</v>
      </c>
      <c r="Q108" s="161"/>
      <c r="R108" s="82" t="s">
        <v>977</v>
      </c>
      <c r="S108" s="120" t="s">
        <v>724</v>
      </c>
      <c r="T108" s="86">
        <v>46132</v>
      </c>
      <c r="U108" s="87" t="str">
        <f>IF(V108="","No AIS",VLOOKUP(V108,'Voyage days'!$A$3:$B$1480,2,FALSE))</f>
        <v>Cape (as proxy)</v>
      </c>
      <c r="V108" s="88" t="str">
        <f>IF(VLOOKUP(A108,'1) Kpler'!$E$2:$P$1000,8, FALSE)="","",VLOOKUP(A108,'1) Kpler'!$E$2:$P$1000,8, FALSE))</f>
        <v>Port Elizabeth</v>
      </c>
      <c r="W108" s="89">
        <f>IF(VLOOKUP(A108,'1) Kpler'!$E$2:$P$1000,9,FALSE)="","",VLOOKUP(A108,'1) Kpler'!$E$2:$P$1000,9,FALSE))</f>
        <v>46132.70416666667</v>
      </c>
      <c r="X108" s="88" t="str">
        <f>VLOOKUP(A108,'1) Kpler'!$E$2:$I$1000,4,FALSE)</f>
        <v>ballast</v>
      </c>
      <c r="Y108" s="63" t="str">
        <f t="shared" si="0"/>
        <v/>
      </c>
      <c r="Z108" s="355" t="str">
        <f t="shared" si="1"/>
        <v>15-16 May</v>
      </c>
      <c r="AA108" s="63" t="str">
        <f t="shared" si="2"/>
        <v>15-16 May</v>
      </c>
      <c r="AB108" s="63" t="str">
        <f t="shared" si="3"/>
        <v/>
      </c>
      <c r="AC108" s="63" t="str">
        <f t="shared" si="4"/>
        <v>04-05 Jun</v>
      </c>
      <c r="AD108" s="63" t="str">
        <f t="shared" si="5"/>
        <v/>
      </c>
      <c r="AE108" s="129" t="str">
        <f t="shared" si="6"/>
        <v/>
      </c>
      <c r="AF108" s="130" t="str">
        <f t="shared" si="7"/>
        <v/>
      </c>
      <c r="AG108" s="93" t="str">
        <f t="shared" si="8"/>
        <v/>
      </c>
      <c r="AH108" s="94" t="str">
        <f>IFERROR($M108+VLOOKUP($L108,'Voyage days'!$F$38:$H$89,3,FALSE),"")</f>
        <v/>
      </c>
      <c r="AI108" s="94" t="str">
        <f>IFERROR(N108+VLOOKUP($L108,'Voyage days'!$F$38:$H$89,3,FALSE),"")</f>
        <v/>
      </c>
      <c r="AJ108" s="93" t="str">
        <f t="shared" si="9"/>
        <v>15-16 May</v>
      </c>
      <c r="AK108" s="94">
        <f>IFERROR($M108+VLOOKUP($L108,'Voyage days'!$F$94:$H$193,3,FALSE),"")</f>
        <v>46157</v>
      </c>
      <c r="AL108" s="94">
        <f>IFERROR($N108+VLOOKUP($L108,'Voyage days'!$F$94:$H$193,3,FALSE),"")</f>
        <v>46158</v>
      </c>
      <c r="AM108" s="93" t="str">
        <f t="shared" si="10"/>
        <v>15-16 May</v>
      </c>
      <c r="AN108" s="94">
        <f>IFERROR($M108+VLOOKUP($L108,'Voyage days'!$F$203:$H$256,3,FALSE),"")</f>
        <v>46157</v>
      </c>
      <c r="AO108" s="94">
        <f>IFERROR($N108+VLOOKUP($L108,'Voyage days'!$F$203:$H$256,3,FALSE),"")</f>
        <v>46158</v>
      </c>
      <c r="AP108" s="93" t="str">
        <f t="shared" si="11"/>
        <v/>
      </c>
      <c r="AQ108" s="94" t="str">
        <f>IFERROR($M108+VLOOKUP($L108,'Voyage days'!$F$294:$H$377,3,FALSE),"")</f>
        <v/>
      </c>
      <c r="AR108" s="94" t="str">
        <f>IFERROR($N108+VLOOKUP($L108,'Voyage days'!$F$294:$H$377,3,FALSE),"")</f>
        <v/>
      </c>
      <c r="AS108" s="93" t="str">
        <f t="shared" si="12"/>
        <v>04-05 Jun</v>
      </c>
      <c r="AT108" s="94">
        <f>IFERROR($M108+VLOOKUP($L108,'Voyage days'!$F$382:$H$446,3,FALSE),"")</f>
        <v>46177</v>
      </c>
      <c r="AU108" s="94">
        <f>IFERROR($N108+VLOOKUP($L108,'Voyage days'!$F$382:$H$446,3,FALSE),"")</f>
        <v>46178</v>
      </c>
      <c r="AV108" s="93" t="str">
        <f t="shared" si="13"/>
        <v/>
      </c>
      <c r="AW108" s="94" t="str">
        <f>IFERROR($M108+VLOOKUP($L108,'Voyage days'!$F$483:$H$538,3,FALSE),"")</f>
        <v/>
      </c>
      <c r="AX108" s="94" t="str">
        <f>IFERROR($N108+VLOOKUP($L108,'Voyage days'!$F$483:$H$538,3,FALSE),"")</f>
        <v/>
      </c>
      <c r="AY108" s="93" t="str">
        <f t="shared" si="14"/>
        <v/>
      </c>
      <c r="AZ108" s="94" t="str">
        <f>IFERROR($M108+VLOOKUP($L108,'Voyage days'!$F$540:$H$613,3,FALSE),"")</f>
        <v/>
      </c>
      <c r="BA108" s="94" t="str">
        <f>IFERROR($N108+VLOOKUP($L108,'Voyage days'!$F$540:$H$613,3,FALSE),"")</f>
        <v/>
      </c>
      <c r="BB108" s="93" t="str">
        <f t="shared" si="15"/>
        <v/>
      </c>
      <c r="BC108" s="94" t="str">
        <f>IFERROR($M108+VLOOKUP($L108,'Voyage days'!$F$448:$H$479,3,FALSE),"")</f>
        <v/>
      </c>
      <c r="BD108" s="94" t="str">
        <f>IFERROR($N108+VLOOKUP($L108,'Voyage days'!$F$448:$H$479,3,FALSE),"")</f>
        <v/>
      </c>
      <c r="BE108" s="93" t="str">
        <f t="shared" si="16"/>
        <v/>
      </c>
      <c r="BF108" s="95" t="str">
        <f>IFERROR($M108+VLOOKUP($L108,'Voyage days'!$F$620:$H$646,3,FALSE),"")</f>
        <v/>
      </c>
      <c r="BG108" s="95" t="str">
        <f>IFERROR($N108+VLOOKUP($L108,'Voyage days'!$F$620:$H$646,3,FALSE),"")</f>
        <v/>
      </c>
      <c r="BH108" s="93" t="str">
        <f t="shared" si="17"/>
        <v/>
      </c>
      <c r="BI108" s="96" t="str">
        <f>IFERROR($M108+VLOOKUP($L108,'Voyage days'!$F$702:$H$727,3,FALSE),"")</f>
        <v/>
      </c>
      <c r="BJ108" s="93" t="str">
        <f t="shared" si="18"/>
        <v/>
      </c>
      <c r="BK108" s="95" t="str">
        <f>IFERROR($M108+VLOOKUP($L108,'Voyage days'!$F$807:$H$878,3,FALSE),"")</f>
        <v/>
      </c>
      <c r="BL108" s="95" t="str">
        <f>IFERROR($N108+VLOOKUP($L108,'Voyage days'!$F$807:$H$878,3,FALSE),"")</f>
        <v/>
      </c>
      <c r="BM108" s="95" t="str">
        <f>IFERROR($N108+VLOOKUP($L108,'Voyage days'!$F$807:$K$878,6,FALSE),"")</f>
        <v/>
      </c>
      <c r="BN108" s="94" t="str">
        <f>IF(L108="loads AG", IFERROR($M108+VLOOKUP($L108,'Voyage days'!$M$38:$O$38,3,FALSE),""),"")</f>
        <v/>
      </c>
      <c r="BO108" s="94">
        <f>IF(L108="loads USG", IFERROR($M108+VLOOKUP($L108,'Voyage days'!$L$203:$N$203,3,FALSE),""),"")</f>
        <v>46189</v>
      </c>
    </row>
    <row r="109" spans="1:67" ht="15.75" customHeight="1" x14ac:dyDescent="0.25">
      <c r="A109" s="356" t="s">
        <v>435</v>
      </c>
      <c r="B109" s="155">
        <v>40422</v>
      </c>
      <c r="C109" s="76">
        <v>80199</v>
      </c>
      <c r="D109" s="77" t="s">
        <v>651</v>
      </c>
      <c r="E109" s="77"/>
      <c r="F109" s="78"/>
      <c r="G109" s="78"/>
      <c r="H109" s="78"/>
      <c r="I109" s="233" t="s">
        <v>967</v>
      </c>
      <c r="J109" s="80" t="str">
        <f t="shared" si="21"/>
        <v/>
      </c>
      <c r="K109" s="81"/>
      <c r="L109" s="82" t="s">
        <v>860</v>
      </c>
      <c r="M109" s="83">
        <v>46143</v>
      </c>
      <c r="N109" s="83">
        <v>46144</v>
      </c>
      <c r="O109" s="84"/>
      <c r="P109" s="157" t="s">
        <v>978</v>
      </c>
      <c r="Q109" s="85"/>
      <c r="R109" s="82" t="s">
        <v>979</v>
      </c>
      <c r="S109" s="120" t="s">
        <v>724</v>
      </c>
      <c r="T109" s="232">
        <v>46132</v>
      </c>
      <c r="U109" s="87" t="str">
        <f>IF(V109="","No AIS",VLOOKUP(V109,'Voyage days'!$A$3:$B$1480,2,FALSE))</f>
        <v>Vietnam + 3</v>
      </c>
      <c r="V109" s="88" t="str">
        <f>IF(VLOOKUP(A109,'1) Kpler'!$E$2:$P$1000,8, FALSE)="","",VLOOKUP(A109,'1) Kpler'!$E$2:$P$1000,8, FALSE))</f>
        <v>PV Vung Tau</v>
      </c>
      <c r="W109" s="89">
        <f>IF(VLOOKUP(A109,'1) Kpler'!$E$2:$P$1000,9,FALSE)="","",VLOOKUP(A109,'1) Kpler'!$E$2:$P$1000,9,FALSE))</f>
        <v>46140.416666666664</v>
      </c>
      <c r="X109" s="88" t="str">
        <f>VLOOKUP(A109,'1) Kpler'!$E$2:$I$1000,4,FALSE)</f>
        <v>loaded</v>
      </c>
      <c r="Y109" s="90" t="str">
        <f t="shared" si="0"/>
        <v>14-15 May</v>
      </c>
      <c r="Z109" s="90" t="str">
        <f t="shared" si="1"/>
        <v>06-07 Jun</v>
      </c>
      <c r="AA109" s="90" t="str">
        <f t="shared" si="2"/>
        <v>09-10 Jun</v>
      </c>
      <c r="AB109" s="63" t="str">
        <f t="shared" si="3"/>
        <v>25-26 May</v>
      </c>
      <c r="AC109" s="63" t="str">
        <f t="shared" si="4"/>
        <v>31-01 Jun</v>
      </c>
      <c r="AD109" s="63" t="str">
        <f t="shared" si="5"/>
        <v>03-04 May</v>
      </c>
      <c r="AE109" s="129" t="str">
        <f t="shared" si="6"/>
        <v>07-08 May</v>
      </c>
      <c r="AF109" s="130" t="str">
        <f t="shared" si="7"/>
        <v>10-11 Jun</v>
      </c>
      <c r="AG109" s="93" t="str">
        <f t="shared" si="8"/>
        <v>14-15 May</v>
      </c>
      <c r="AH109" s="94">
        <f>IFERROR($M109+VLOOKUP($L109,'Voyage days'!$F$38:$H$89,3,FALSE),"")</f>
        <v>46156</v>
      </c>
      <c r="AI109" s="94">
        <f>IFERROR(N109+VLOOKUP($L109,'Voyage days'!$F$38:$H$89,3,FALSE),"")</f>
        <v>46157</v>
      </c>
      <c r="AJ109" s="93" t="str">
        <f t="shared" si="9"/>
        <v>06-07 Jun</v>
      </c>
      <c r="AK109" s="94">
        <f>IFERROR($M109+VLOOKUP($L109,'Voyage days'!$F$94:$H$193,3,FALSE),"")</f>
        <v>46179</v>
      </c>
      <c r="AL109" s="94">
        <f>IFERROR($N109+VLOOKUP($L109,'Voyage days'!$F$94:$H$193,3,FALSE),"")</f>
        <v>46180</v>
      </c>
      <c r="AM109" s="93" t="str">
        <f t="shared" si="10"/>
        <v>09-10 Jun</v>
      </c>
      <c r="AN109" s="94">
        <f>IFERROR($M109+VLOOKUP($L109,'Voyage days'!$F$203:$H$256,3,FALSE),"")</f>
        <v>46182</v>
      </c>
      <c r="AO109" s="94">
        <f>IFERROR($N109+VLOOKUP($L109,'Voyage days'!$F$203:$H$256,3,FALSE),"")</f>
        <v>46183</v>
      </c>
      <c r="AP109" s="93" t="str">
        <f t="shared" si="11"/>
        <v>25-26 May</v>
      </c>
      <c r="AQ109" s="94">
        <f>IFERROR($M109+VLOOKUP($L109,'Voyage days'!$F$294:$H$377,3,FALSE),"")</f>
        <v>46167</v>
      </c>
      <c r="AR109" s="94">
        <f>IFERROR($N109+VLOOKUP($L109,'Voyage days'!$F$294:$H$377,3,FALSE),"")</f>
        <v>46168</v>
      </c>
      <c r="AS109" s="93" t="str">
        <f t="shared" si="12"/>
        <v>31-01 Jun</v>
      </c>
      <c r="AT109" s="94">
        <f>IFERROR($M109+VLOOKUP($L109,'Voyage days'!$F$382:$H$446,3,FALSE),"")</f>
        <v>46173</v>
      </c>
      <c r="AU109" s="94">
        <f>IFERROR($N109+VLOOKUP($L109,'Voyage days'!$F$382:$H$446,3,FALSE),"")</f>
        <v>46174</v>
      </c>
      <c r="AV109" s="93" t="str">
        <f t="shared" si="13"/>
        <v>13-14 May</v>
      </c>
      <c r="AW109" s="94">
        <f>IFERROR($M109+VLOOKUP($L109,'Voyage days'!$F$483:$H$538,3,FALSE),"")</f>
        <v>46155</v>
      </c>
      <c r="AX109" s="94">
        <f>IFERROR($N109+VLOOKUP($L109,'Voyage days'!$F$483:$H$538,3,FALSE),"")</f>
        <v>46156</v>
      </c>
      <c r="AY109" s="93" t="str">
        <f t="shared" si="14"/>
        <v>07-08 May</v>
      </c>
      <c r="AZ109" s="94">
        <f>IFERROR($M109+VLOOKUP($L109,'Voyage days'!$F$540:$H$613,3,FALSE),"")</f>
        <v>46149.25</v>
      </c>
      <c r="BA109" s="94">
        <f>IFERROR($N109+VLOOKUP($L109,'Voyage days'!$F$540:$H$613,3,FALSE),"")</f>
        <v>46150.25</v>
      </c>
      <c r="BB109" s="93" t="str">
        <f t="shared" si="15"/>
        <v>03-04 May</v>
      </c>
      <c r="BC109" s="94">
        <f>IFERROR($M109+VLOOKUP($L109,'Voyage days'!$F$448:$H$479,3,FALSE),"")</f>
        <v>46145</v>
      </c>
      <c r="BD109" s="94">
        <f>IFERROR($N109+VLOOKUP($L109,'Voyage days'!$F$448:$H$479,3,FALSE),"")</f>
        <v>46146</v>
      </c>
      <c r="BE109" s="93" t="str">
        <f t="shared" si="16"/>
        <v/>
      </c>
      <c r="BF109" s="95" t="str">
        <f>IFERROR($M109+VLOOKUP($L109,'Voyage days'!$F$620:$H$646,3,FALSE),"")</f>
        <v/>
      </c>
      <c r="BG109" s="95" t="str">
        <f>IFERROR($N109+VLOOKUP($L109,'Voyage days'!$F$620:$H$646,3,FALSE),"")</f>
        <v/>
      </c>
      <c r="BH109" s="93" t="str">
        <f t="shared" si="17"/>
        <v>07-11 Jun</v>
      </c>
      <c r="BI109" s="96">
        <f>IFERROR($M109+VLOOKUP($L109,'Voyage days'!$F$702:$H$727,3,FALSE),"")</f>
        <v>46149.25</v>
      </c>
      <c r="BJ109" s="93" t="str">
        <f t="shared" si="18"/>
        <v>10-11 Jun</v>
      </c>
      <c r="BK109" s="95">
        <f>IFERROR($M109+VLOOKUP($L109,'Voyage days'!$F$807:$H$878,3,FALSE),"")</f>
        <v>46183</v>
      </c>
      <c r="BL109" s="95">
        <f>IFERROR($N109+VLOOKUP($L109,'Voyage days'!$F$807:$H$878,3,FALSE),"")</f>
        <v>46184</v>
      </c>
      <c r="BM109" s="95">
        <f>IFERROR($N109+VLOOKUP($L109,'Voyage days'!$F$807:$K$878,6,FALSE),"")</f>
        <v>46158</v>
      </c>
      <c r="BN109" s="94" t="str">
        <f>IF(L109="loads AG", IFERROR($M109+VLOOKUP($L109,'Voyage days'!$M$38:$O$38,3,FALSE),""),"")</f>
        <v/>
      </c>
      <c r="BO109" s="94" t="str">
        <f>IF(L109="loads USG", IFERROR($M109+VLOOKUP($L109,'Voyage days'!$L$203:$N$203,3,FALSE),""),"")</f>
        <v/>
      </c>
    </row>
    <row r="110" spans="1:67" ht="15.75" customHeight="1" x14ac:dyDescent="0.25">
      <c r="A110" s="74" t="s">
        <v>472</v>
      </c>
      <c r="B110" s="75">
        <v>39783</v>
      </c>
      <c r="C110" s="154">
        <v>78000</v>
      </c>
      <c r="D110" s="77"/>
      <c r="E110" s="77"/>
      <c r="F110" s="78"/>
      <c r="G110" s="78"/>
      <c r="H110" s="78"/>
      <c r="I110" s="82" t="s">
        <v>967</v>
      </c>
      <c r="J110" s="80" t="str">
        <f t="shared" si="21"/>
        <v/>
      </c>
      <c r="K110" s="81"/>
      <c r="L110" s="82" t="s">
        <v>718</v>
      </c>
      <c r="M110" s="83">
        <v>46168</v>
      </c>
      <c r="N110" s="83">
        <v>46169</v>
      </c>
      <c r="O110" s="337"/>
      <c r="P110" s="82" t="s">
        <v>980</v>
      </c>
      <c r="Q110" s="357"/>
      <c r="R110" s="82" t="s">
        <v>981</v>
      </c>
      <c r="S110" s="120" t="s">
        <v>724</v>
      </c>
      <c r="T110" s="232">
        <v>46132</v>
      </c>
      <c r="U110" s="87" t="str">
        <f>IF(V110="","No AIS",VLOOKUP(V110,'Voyage days'!$A$3:$B$1480,2,FALSE))</f>
        <v>USG</v>
      </c>
      <c r="V110" s="88" t="str">
        <f>IF(VLOOKUP(A110,'1) Kpler'!$E$2:$P$1000,8, FALSE)="","",VLOOKUP(A110,'1) Kpler'!$E$2:$P$1000,8, FALSE))</f>
        <v>Houston</v>
      </c>
      <c r="W110" s="89">
        <f>IF(VLOOKUP(A110,'1) Kpler'!$E$2:$P$1000,9,FALSE)="","",VLOOKUP(A110,'1) Kpler'!$E$2:$P$1000,9,FALSE))</f>
        <v>46163.833333333336</v>
      </c>
      <c r="X110" s="88" t="str">
        <f>VLOOKUP(A110,'1) Kpler'!$E$2:$I$1000,4,FALSE)</f>
        <v>ballast</v>
      </c>
      <c r="Y110" s="63" t="str">
        <f t="shared" si="0"/>
        <v/>
      </c>
      <c r="Z110" s="63" t="str">
        <f t="shared" si="1"/>
        <v>26-27 May</v>
      </c>
      <c r="AA110" s="63" t="str">
        <f t="shared" si="2"/>
        <v>26-27 May</v>
      </c>
      <c r="AB110" s="63" t="str">
        <f t="shared" si="3"/>
        <v/>
      </c>
      <c r="AC110" s="63" t="str">
        <f t="shared" si="4"/>
        <v>15-16 Jun</v>
      </c>
      <c r="AD110" s="63" t="str">
        <f t="shared" si="5"/>
        <v/>
      </c>
      <c r="AE110" s="129" t="str">
        <f t="shared" si="6"/>
        <v/>
      </c>
      <c r="AF110" s="130" t="str">
        <f t="shared" si="7"/>
        <v/>
      </c>
      <c r="AG110" s="93" t="str">
        <f t="shared" si="8"/>
        <v/>
      </c>
      <c r="AH110" s="94" t="str">
        <f>IFERROR($M110+VLOOKUP($L110,'Voyage days'!$F$38:$H$89,3,FALSE),"")</f>
        <v/>
      </c>
      <c r="AI110" s="94" t="str">
        <f>IFERROR(N110+VLOOKUP($L110,'Voyage days'!$F$38:$H$89,3,FALSE),"")</f>
        <v/>
      </c>
      <c r="AJ110" s="93" t="str">
        <f t="shared" si="9"/>
        <v>26-27 May</v>
      </c>
      <c r="AK110" s="94">
        <f>IFERROR($M110+VLOOKUP($L110,'Voyage days'!$F$94:$H$193,3,FALSE),"")</f>
        <v>46168</v>
      </c>
      <c r="AL110" s="94">
        <f>IFERROR($N110+VLOOKUP($L110,'Voyage days'!$F$94:$H$193,3,FALSE),"")</f>
        <v>46169</v>
      </c>
      <c r="AM110" s="93" t="str">
        <f t="shared" si="10"/>
        <v>26-27 May</v>
      </c>
      <c r="AN110" s="94">
        <f>IFERROR($M110+VLOOKUP($L110,'Voyage days'!$F$203:$H$256,3,FALSE),"")</f>
        <v>46168</v>
      </c>
      <c r="AO110" s="94">
        <f>IFERROR($N110+VLOOKUP($L110,'Voyage days'!$F$203:$H$256,3,FALSE),"")</f>
        <v>46169</v>
      </c>
      <c r="AP110" s="93" t="str">
        <f t="shared" si="11"/>
        <v/>
      </c>
      <c r="AQ110" s="94" t="str">
        <f>IFERROR($M110+VLOOKUP($L110,'Voyage days'!$F$294:$H$377,3,FALSE),"")</f>
        <v/>
      </c>
      <c r="AR110" s="94" t="str">
        <f>IFERROR($N110+VLOOKUP($L110,'Voyage days'!$F$294:$H$377,3,FALSE),"")</f>
        <v/>
      </c>
      <c r="AS110" s="93" t="str">
        <f t="shared" si="12"/>
        <v>15-16 Jun</v>
      </c>
      <c r="AT110" s="94">
        <f>IFERROR($M110+VLOOKUP($L110,'Voyage days'!$F$382:$H$446,3,FALSE),"")</f>
        <v>46188</v>
      </c>
      <c r="AU110" s="94">
        <f>IFERROR($N110+VLOOKUP($L110,'Voyage days'!$F$382:$H$446,3,FALSE),"")</f>
        <v>46189</v>
      </c>
      <c r="AV110" s="93" t="str">
        <f t="shared" si="13"/>
        <v/>
      </c>
      <c r="AW110" s="94" t="str">
        <f>IFERROR($M110+VLOOKUP($L110,'Voyage days'!$F$483:$H$538,3,FALSE),"")</f>
        <v/>
      </c>
      <c r="AX110" s="94" t="str">
        <f>IFERROR($N110+VLOOKUP($L110,'Voyage days'!$F$483:$H$538,3,FALSE),"")</f>
        <v/>
      </c>
      <c r="AY110" s="93" t="str">
        <f t="shared" si="14"/>
        <v/>
      </c>
      <c r="AZ110" s="94" t="str">
        <f>IFERROR($M110+VLOOKUP($L110,'Voyage days'!$F$540:$H$613,3,FALSE),"")</f>
        <v/>
      </c>
      <c r="BA110" s="94" t="str">
        <f>IFERROR($N110+VLOOKUP($L110,'Voyage days'!$F$540:$H$613,3,FALSE),"")</f>
        <v/>
      </c>
      <c r="BB110" s="93" t="str">
        <f t="shared" si="15"/>
        <v/>
      </c>
      <c r="BC110" s="94" t="str">
        <f>IFERROR($M110+VLOOKUP($L110,'Voyage days'!$F$448:$H$479,3,FALSE),"")</f>
        <v/>
      </c>
      <c r="BD110" s="94" t="str">
        <f>IFERROR($N110+VLOOKUP($L110,'Voyage days'!$F$448:$H$479,3,FALSE),"")</f>
        <v/>
      </c>
      <c r="BE110" s="93" t="str">
        <f t="shared" si="16"/>
        <v/>
      </c>
      <c r="BF110" s="95" t="str">
        <f>IFERROR($M110+VLOOKUP($L110,'Voyage days'!$F$620:$H$646,3,FALSE),"")</f>
        <v/>
      </c>
      <c r="BG110" s="95" t="str">
        <f>IFERROR($N110+VLOOKUP($L110,'Voyage days'!$F$620:$H$646,3,FALSE),"")</f>
        <v/>
      </c>
      <c r="BH110" s="93" t="str">
        <f t="shared" si="17"/>
        <v/>
      </c>
      <c r="BI110" s="96" t="str">
        <f>IFERROR($M110+VLOOKUP($L110,'Voyage days'!$F$702:$H$727,3,FALSE),"")</f>
        <v/>
      </c>
      <c r="BJ110" s="93" t="str">
        <f t="shared" si="18"/>
        <v/>
      </c>
      <c r="BK110" s="95" t="str">
        <f>IFERROR($M110+VLOOKUP($L110,'Voyage days'!$F$807:$H$878,3,FALSE),"")</f>
        <v/>
      </c>
      <c r="BL110" s="95" t="str">
        <f>IFERROR($N110+VLOOKUP($L110,'Voyage days'!$F$807:$H$878,3,FALSE),"")</f>
        <v/>
      </c>
      <c r="BM110" s="95" t="str">
        <f>IFERROR($N110+VLOOKUP($L110,'Voyage days'!$F$807:$K$878,6,FALSE),"")</f>
        <v/>
      </c>
      <c r="BN110" s="94" t="str">
        <f>IF(L110="loads AG", IFERROR($M110+VLOOKUP($L110,'Voyage days'!$M$38:$O$38,3,FALSE),""),"")</f>
        <v/>
      </c>
      <c r="BO110" s="94">
        <f>IF(L110="loads USG", IFERROR($M110+VLOOKUP($L110,'Voyage days'!$L$203:$N$203,3,FALSE),""),"")</f>
        <v>46200</v>
      </c>
    </row>
    <row r="111" spans="1:67" ht="16.5" customHeight="1" x14ac:dyDescent="0.25">
      <c r="A111" s="74" t="s">
        <v>431</v>
      </c>
      <c r="B111" s="75">
        <v>42326</v>
      </c>
      <c r="C111" s="76">
        <v>84000</v>
      </c>
      <c r="D111" s="77" t="s">
        <v>651</v>
      </c>
      <c r="E111" s="77"/>
      <c r="F111" s="78"/>
      <c r="G111" s="78"/>
      <c r="H111" s="78"/>
      <c r="I111" s="233" t="s">
        <v>967</v>
      </c>
      <c r="J111" s="261" t="str">
        <f t="shared" si="21"/>
        <v/>
      </c>
      <c r="K111" s="81"/>
      <c r="L111" s="82" t="s">
        <v>718</v>
      </c>
      <c r="M111" s="83">
        <v>46166</v>
      </c>
      <c r="N111" s="83">
        <v>46167</v>
      </c>
      <c r="O111" s="84"/>
      <c r="P111" s="82" t="s">
        <v>982</v>
      </c>
      <c r="Q111" s="124"/>
      <c r="R111" s="124" t="s">
        <v>983</v>
      </c>
      <c r="S111" s="120" t="s">
        <v>724</v>
      </c>
      <c r="T111" s="232">
        <v>46132</v>
      </c>
      <c r="U111" s="87" t="str">
        <f>IF(V111="","No AIS",VLOOKUP(V111,'Voyage days'!$A$3:$B$1480,2,FALSE))</f>
        <v>USG</v>
      </c>
      <c r="V111" s="88" t="str">
        <f>IF(VLOOKUP(A111,'1) Kpler'!$E$2:$P$1000,8, FALSE)="","",VLOOKUP(A111,'1) Kpler'!$E$2:$P$1000,8, FALSE))</f>
        <v>Houston</v>
      </c>
      <c r="W111" s="89">
        <f>IF(VLOOKUP(A111,'1) Kpler'!$E$2:$P$1000,9,FALSE)="","",VLOOKUP(A111,'1) Kpler'!$E$2:$P$1000,9,FALSE))</f>
        <v>46166.000694444447</v>
      </c>
      <c r="X111" s="88" t="str">
        <f>VLOOKUP(A111,'1) Kpler'!$E$2:$I$1000,4,FALSE)</f>
        <v>ballast</v>
      </c>
      <c r="Y111" s="90" t="str">
        <f t="shared" si="0"/>
        <v/>
      </c>
      <c r="Z111" s="90" t="str">
        <f t="shared" si="1"/>
        <v>24-25 May</v>
      </c>
      <c r="AA111" s="90" t="str">
        <f t="shared" si="2"/>
        <v>24-25 May</v>
      </c>
      <c r="AB111" s="90" t="str">
        <f t="shared" si="3"/>
        <v/>
      </c>
      <c r="AC111" s="90" t="str">
        <f t="shared" si="4"/>
        <v>13-14 Jun</v>
      </c>
      <c r="AD111" s="90" t="str">
        <f t="shared" si="5"/>
        <v/>
      </c>
      <c r="AE111" s="91" t="str">
        <f t="shared" si="6"/>
        <v/>
      </c>
      <c r="AF111" s="92" t="str">
        <f t="shared" si="7"/>
        <v/>
      </c>
      <c r="AG111" s="93" t="str">
        <f t="shared" si="8"/>
        <v/>
      </c>
      <c r="AH111" s="94" t="str">
        <f>IFERROR($M111+VLOOKUP($L111,'Voyage days'!$F$38:$H$89,3,FALSE),"")</f>
        <v/>
      </c>
      <c r="AI111" s="94" t="str">
        <f>IFERROR(N111+VLOOKUP($L111,'Voyage days'!$F$38:$H$89,3,FALSE),"")</f>
        <v/>
      </c>
      <c r="AJ111" s="93" t="str">
        <f t="shared" si="9"/>
        <v>24-25 May</v>
      </c>
      <c r="AK111" s="94">
        <f>IFERROR($M111+VLOOKUP($L111,'Voyage days'!$F$94:$H$193,3,FALSE),"")</f>
        <v>46166</v>
      </c>
      <c r="AL111" s="94">
        <f>IFERROR($N111+VLOOKUP($L111,'Voyage days'!$F$94:$H$193,3,FALSE),"")</f>
        <v>46167</v>
      </c>
      <c r="AM111" s="93" t="str">
        <f t="shared" si="10"/>
        <v>24-25 May</v>
      </c>
      <c r="AN111" s="94">
        <f>IFERROR($M111+VLOOKUP($L111,'Voyage days'!$F$203:$H$256,3,FALSE),"")</f>
        <v>46166</v>
      </c>
      <c r="AO111" s="94">
        <f>IFERROR($N111+VLOOKUP($L111,'Voyage days'!$F$203:$H$256,3,FALSE),"")</f>
        <v>46167</v>
      </c>
      <c r="AP111" s="93" t="str">
        <f t="shared" si="11"/>
        <v/>
      </c>
      <c r="AQ111" s="94" t="str">
        <f>IFERROR($M111+VLOOKUP($L111,'Voyage days'!$F$294:$H$377,3,FALSE),"")</f>
        <v/>
      </c>
      <c r="AR111" s="94" t="str">
        <f>IFERROR($N111+VLOOKUP($L111,'Voyage days'!$F$294:$H$377,3,FALSE),"")</f>
        <v/>
      </c>
      <c r="AS111" s="93" t="str">
        <f t="shared" si="12"/>
        <v>13-14 Jun</v>
      </c>
      <c r="AT111" s="94">
        <f>IFERROR($M111+VLOOKUP($L111,'Voyage days'!$F$382:$H$446,3,FALSE),"")</f>
        <v>46186</v>
      </c>
      <c r="AU111" s="94">
        <f>IFERROR($N111+VLOOKUP($L111,'Voyage days'!$F$382:$H$446,3,FALSE),"")</f>
        <v>46187</v>
      </c>
      <c r="AV111" s="93" t="str">
        <f t="shared" si="13"/>
        <v/>
      </c>
      <c r="AW111" s="94" t="str">
        <f>IFERROR($M111+VLOOKUP($L111,'Voyage days'!$F$483:$H$538,3,FALSE),"")</f>
        <v/>
      </c>
      <c r="AX111" s="94" t="str">
        <f>IFERROR($N111+VLOOKUP($L111,'Voyage days'!$F$483:$H$538,3,FALSE),"")</f>
        <v/>
      </c>
      <c r="AY111" s="93" t="str">
        <f t="shared" si="14"/>
        <v/>
      </c>
      <c r="AZ111" s="94" t="str">
        <f>IFERROR($M111+VLOOKUP($L111,'Voyage days'!$F$540:$H$613,3,FALSE),"")</f>
        <v/>
      </c>
      <c r="BA111" s="94" t="str">
        <f>IFERROR($N111+VLOOKUP($L111,'Voyage days'!$F$540:$H$613,3,FALSE),"")</f>
        <v/>
      </c>
      <c r="BB111" s="93" t="str">
        <f t="shared" si="15"/>
        <v/>
      </c>
      <c r="BC111" s="94" t="str">
        <f>IFERROR($M111+VLOOKUP($L111,'Voyage days'!$F$448:$H$479,3,FALSE),"")</f>
        <v/>
      </c>
      <c r="BD111" s="94" t="str">
        <f>IFERROR($N111+VLOOKUP($L111,'Voyage days'!$F$448:$H$479,3,FALSE),"")</f>
        <v/>
      </c>
      <c r="BE111" s="93" t="str">
        <f t="shared" si="16"/>
        <v/>
      </c>
      <c r="BF111" s="95" t="str">
        <f>IFERROR($M111+VLOOKUP($L111,'Voyage days'!$F$620:$H$646,3,FALSE),"")</f>
        <v/>
      </c>
      <c r="BG111" s="95" t="str">
        <f>IFERROR($N111+VLOOKUP($L111,'Voyage days'!$F$620:$H$646,3,FALSE),"")</f>
        <v/>
      </c>
      <c r="BH111" s="93" t="str">
        <f t="shared" si="17"/>
        <v/>
      </c>
      <c r="BI111" s="96" t="str">
        <f>IFERROR($M111+VLOOKUP($L111,'Voyage days'!$F$702:$H$727,3,FALSE),"")</f>
        <v/>
      </c>
      <c r="BJ111" s="93" t="str">
        <f t="shared" si="18"/>
        <v/>
      </c>
      <c r="BK111" s="95" t="str">
        <f>IFERROR($M111+VLOOKUP($L111,'Voyage days'!$F$807:$H$878,3,FALSE),"")</f>
        <v/>
      </c>
      <c r="BL111" s="95" t="str">
        <f>IFERROR($N111+VLOOKUP($L111,'Voyage days'!$F$807:$H$878,3,FALSE),"")</f>
        <v/>
      </c>
      <c r="BM111" s="95" t="str">
        <f>IFERROR($N111+VLOOKUP($L111,'Voyage days'!$F$807:$K$878,6,FALSE),"")</f>
        <v/>
      </c>
      <c r="BN111" s="94" t="str">
        <f>IF(L111="loads AG", IFERROR($M111+VLOOKUP($L111,'Voyage days'!$M$38:$O$38,3,FALSE),""),"")</f>
        <v/>
      </c>
      <c r="BO111" s="94">
        <f>IF(L111="loads USG", IFERROR($M111+VLOOKUP($L111,'Voyage days'!$L$203:$N$203,3,FALSE),""),"")</f>
        <v>46198</v>
      </c>
    </row>
    <row r="112" spans="1:67" ht="15.75" customHeight="1" x14ac:dyDescent="0.25">
      <c r="A112" s="358" t="s">
        <v>544</v>
      </c>
      <c r="B112" s="119">
        <v>2023</v>
      </c>
      <c r="C112" s="76">
        <v>87000</v>
      </c>
      <c r="D112" s="77" t="s">
        <v>651</v>
      </c>
      <c r="E112" s="178"/>
      <c r="F112" s="163"/>
      <c r="G112" s="163"/>
      <c r="H112" s="163"/>
      <c r="I112" s="164" t="s">
        <v>967</v>
      </c>
      <c r="J112" s="359"/>
      <c r="K112" s="81"/>
      <c r="L112" s="167" t="s">
        <v>718</v>
      </c>
      <c r="M112" s="83">
        <v>46144</v>
      </c>
      <c r="N112" s="83">
        <v>46146</v>
      </c>
      <c r="O112" s="320"/>
      <c r="P112" s="82" t="s">
        <v>984</v>
      </c>
      <c r="Q112" s="304"/>
      <c r="R112" s="124" t="s">
        <v>985</v>
      </c>
      <c r="S112" s="120" t="s">
        <v>724</v>
      </c>
      <c r="T112" s="232">
        <v>46132</v>
      </c>
      <c r="U112" s="87" t="str">
        <f>IF(V112="","No AIS",VLOOKUP(V112,'Voyage days'!$A$3:$B$1480,2,FALSE))</f>
        <v>Panama</v>
      </c>
      <c r="V112" s="88" t="str">
        <f>IF(VLOOKUP(A112,'1) Kpler'!$E$2:$P$1000,8, FALSE)="","",VLOOKUP(A112,'1) Kpler'!$E$2:$P$1000,8, FALSE))</f>
        <v>Panama Canal</v>
      </c>
      <c r="W112" s="89">
        <f>IF(VLOOKUP(A112,'1) Kpler'!$E$2:$P$1000,9,FALSE)="","",VLOOKUP(A112,'1) Kpler'!$E$2:$P$1000,9,FALSE))</f>
        <v>46134</v>
      </c>
      <c r="X112" s="88" t="str">
        <f>VLOOKUP(A112,'1) Kpler'!$E$2:$I$1000,4,FALSE)</f>
        <v>ballast</v>
      </c>
      <c r="Y112" s="63" t="str">
        <f t="shared" si="0"/>
        <v/>
      </c>
      <c r="Z112" s="63" t="str">
        <f t="shared" si="1"/>
        <v>02-04 May</v>
      </c>
      <c r="AA112" s="63" t="str">
        <f t="shared" si="2"/>
        <v>02-04 May</v>
      </c>
      <c r="AB112" s="63" t="str">
        <f t="shared" si="3"/>
        <v/>
      </c>
      <c r="AC112" s="63" t="str">
        <f t="shared" si="4"/>
        <v>22-24 May</v>
      </c>
      <c r="AD112" s="63" t="str">
        <f t="shared" si="5"/>
        <v/>
      </c>
      <c r="AE112" s="129" t="str">
        <f t="shared" si="6"/>
        <v/>
      </c>
      <c r="AF112" s="130" t="str">
        <f t="shared" si="7"/>
        <v/>
      </c>
      <c r="AG112" s="93" t="str">
        <f t="shared" si="8"/>
        <v/>
      </c>
      <c r="AH112" s="94" t="str">
        <f>IFERROR($M112+VLOOKUP($L112,'Voyage days'!$F$38:$H$89,3,FALSE),"")</f>
        <v/>
      </c>
      <c r="AI112" s="94" t="str">
        <f>IFERROR(N112+VLOOKUP($L112,'Voyage days'!$F$38:$H$89,3,FALSE),"")</f>
        <v/>
      </c>
      <c r="AJ112" s="93" t="str">
        <f t="shared" si="9"/>
        <v>02-04 May</v>
      </c>
      <c r="AK112" s="94">
        <f>IFERROR($M112+VLOOKUP($L112,'Voyage days'!$F$94:$H$193,3,FALSE),"")</f>
        <v>46144</v>
      </c>
      <c r="AL112" s="94">
        <f>IFERROR($N112+VLOOKUP($L112,'Voyage days'!$F$94:$H$193,3,FALSE),"")</f>
        <v>46146</v>
      </c>
      <c r="AM112" s="93" t="str">
        <f t="shared" si="10"/>
        <v>02-04 May</v>
      </c>
      <c r="AN112" s="94">
        <f>IFERROR($M112+VLOOKUP($L112,'Voyage days'!$F$203:$H$256,3,FALSE),"")</f>
        <v>46144</v>
      </c>
      <c r="AO112" s="94">
        <f>IFERROR($N112+VLOOKUP($L112,'Voyage days'!$F$203:$H$256,3,FALSE),"")</f>
        <v>46146</v>
      </c>
      <c r="AP112" s="93" t="str">
        <f t="shared" si="11"/>
        <v/>
      </c>
      <c r="AQ112" s="94" t="str">
        <f>IFERROR($M112+VLOOKUP($L112,'Voyage days'!$F$294:$H$377,3,FALSE),"")</f>
        <v/>
      </c>
      <c r="AR112" s="94" t="str">
        <f>IFERROR($N112+VLOOKUP($L112,'Voyage days'!$F$294:$H$377,3,FALSE),"")</f>
        <v/>
      </c>
      <c r="AS112" s="93" t="str">
        <f t="shared" si="12"/>
        <v>22-24 May</v>
      </c>
      <c r="AT112" s="94">
        <f>IFERROR($M112+VLOOKUP($L112,'Voyage days'!$F$382:$H$446,3,FALSE),"")</f>
        <v>46164</v>
      </c>
      <c r="AU112" s="94">
        <f>IFERROR($N112+VLOOKUP($L112,'Voyage days'!$F$382:$H$446,3,FALSE),"")</f>
        <v>46166</v>
      </c>
      <c r="AV112" s="93" t="str">
        <f t="shared" si="13"/>
        <v/>
      </c>
      <c r="AW112" s="94" t="str">
        <f>IFERROR($M112+VLOOKUP($L112,'Voyage days'!$F$483:$H$538,3,FALSE),"")</f>
        <v/>
      </c>
      <c r="AX112" s="94" t="str">
        <f>IFERROR($N112+VLOOKUP($L112,'Voyage days'!$F$483:$H$538,3,FALSE),"")</f>
        <v/>
      </c>
      <c r="AY112" s="93" t="str">
        <f t="shared" si="14"/>
        <v/>
      </c>
      <c r="AZ112" s="94" t="str">
        <f>IFERROR($M112+VLOOKUP($L112,'Voyage days'!$F$540:$H$613,3,FALSE),"")</f>
        <v/>
      </c>
      <c r="BA112" s="94" t="str">
        <f>IFERROR($N112+VLOOKUP($L112,'Voyage days'!$F$540:$H$613,3,FALSE),"")</f>
        <v/>
      </c>
      <c r="BB112" s="93" t="str">
        <f t="shared" si="15"/>
        <v/>
      </c>
      <c r="BC112" s="94" t="str">
        <f>IFERROR($M112+VLOOKUP($L112,'Voyage days'!$F$448:$H$479,3,FALSE),"")</f>
        <v/>
      </c>
      <c r="BD112" s="94" t="str">
        <f>IFERROR($N112+VLOOKUP($L112,'Voyage days'!$F$448:$H$479,3,FALSE),"")</f>
        <v/>
      </c>
      <c r="BE112" s="93" t="str">
        <f t="shared" si="16"/>
        <v/>
      </c>
      <c r="BF112" s="95" t="str">
        <f>IFERROR($M112+VLOOKUP($L112,'Voyage days'!$F$620:$H$646,3,FALSE),"")</f>
        <v/>
      </c>
      <c r="BG112" s="95" t="str">
        <f>IFERROR($N112+VLOOKUP($L112,'Voyage days'!$F$620:$H$646,3,FALSE),"")</f>
        <v/>
      </c>
      <c r="BH112" s="93" t="str">
        <f t="shared" si="17"/>
        <v/>
      </c>
      <c r="BI112" s="96" t="str">
        <f>IFERROR($M112+VLOOKUP($L112,'Voyage days'!$F$702:$H$727,3,FALSE),"")</f>
        <v/>
      </c>
      <c r="BJ112" s="93" t="str">
        <f t="shared" si="18"/>
        <v/>
      </c>
      <c r="BK112" s="95" t="str">
        <f>IFERROR($M112+VLOOKUP($L112,'Voyage days'!$F$807:$H$878,3,FALSE),"")</f>
        <v/>
      </c>
      <c r="BL112" s="95" t="str">
        <f>IFERROR($N112+VLOOKUP($L112,'Voyage days'!$F$807:$H$878,3,FALSE),"")</f>
        <v/>
      </c>
      <c r="BM112" s="95" t="str">
        <f>IFERROR($N112+VLOOKUP($L112,'Voyage days'!$F$807:$K$878,6,FALSE),"")</f>
        <v/>
      </c>
      <c r="BN112" s="94" t="str">
        <f>IF(L112="loads AG", IFERROR($M112+VLOOKUP($L112,'Voyage days'!$M$38:$O$38,3,FALSE),""),"")</f>
        <v/>
      </c>
      <c r="BO112" s="94">
        <f>IF(L112="loads USG", IFERROR($M112+VLOOKUP($L112,'Voyage days'!$L$203:$N$203,3,FALSE),""),"")</f>
        <v>46176</v>
      </c>
    </row>
    <row r="113" spans="1:67" ht="15.75" customHeight="1" x14ac:dyDescent="0.25">
      <c r="A113" s="132" t="s">
        <v>986</v>
      </c>
      <c r="B113" s="133">
        <v>2016</v>
      </c>
      <c r="C113" s="134">
        <v>84000</v>
      </c>
      <c r="D113" s="143" t="s">
        <v>651</v>
      </c>
      <c r="E113" s="143"/>
      <c r="F113" s="136"/>
      <c r="G113" s="136"/>
      <c r="H113" s="136"/>
      <c r="I113" s="177" t="s">
        <v>967</v>
      </c>
      <c r="J113" s="138" t="str">
        <f t="shared" ref="J113:J115" si="22">IF(W113="","NO AIS",IF((W113-M113-1)&gt;0,"Update",""))</f>
        <v/>
      </c>
      <c r="K113" s="139"/>
      <c r="L113" s="140" t="s">
        <v>718</v>
      </c>
      <c r="M113" s="83">
        <v>46133</v>
      </c>
      <c r="N113" s="83">
        <v>46134</v>
      </c>
      <c r="O113" s="226"/>
      <c r="P113" s="140" t="s">
        <v>987</v>
      </c>
      <c r="Q113" s="140"/>
      <c r="R113" s="140" t="s">
        <v>988</v>
      </c>
      <c r="S113" s="279" t="s">
        <v>724</v>
      </c>
      <c r="T113" s="232">
        <v>46132</v>
      </c>
      <c r="U113" s="145" t="str">
        <f>IF(V113="","No AIS",VLOOKUP(V113,'Voyage days'!$A$3:$B$1480,2,FALSE))</f>
        <v>USG</v>
      </c>
      <c r="V113" s="146" t="str">
        <f>IF(VLOOKUP(A113,'1) Kpler'!$E$2:$P$1000,8, FALSE)="","",VLOOKUP(A113,'1) Kpler'!$E$2:$P$1000,8, FALSE))</f>
        <v>Freeport Texas</v>
      </c>
      <c r="W113" s="147">
        <f>IF(VLOOKUP(A113,'1) Kpler'!$E$2:$P$1000,9,FALSE)="","",VLOOKUP(A113,'1) Kpler'!$E$2:$P$1000,9,FALSE))</f>
        <v>46132.041666666664</v>
      </c>
      <c r="X113" s="146" t="str">
        <f>VLOOKUP(A113,'1) Kpler'!$E$2:$I$1000,4,FALSE)</f>
        <v>ballast</v>
      </c>
      <c r="Y113" s="148" t="str">
        <f t="shared" si="0"/>
        <v/>
      </c>
      <c r="Z113" s="148" t="str">
        <f t="shared" si="1"/>
        <v>21-22 Apr</v>
      </c>
      <c r="AA113" s="148" t="str">
        <f t="shared" si="2"/>
        <v>21-22 Apr</v>
      </c>
      <c r="AB113" s="148" t="str">
        <f t="shared" si="3"/>
        <v/>
      </c>
      <c r="AC113" s="148" t="str">
        <f t="shared" si="4"/>
        <v>11-12 May</v>
      </c>
      <c r="AD113" s="148" t="str">
        <f t="shared" si="5"/>
        <v/>
      </c>
      <c r="AE113" s="149" t="str">
        <f t="shared" si="6"/>
        <v/>
      </c>
      <c r="AF113" s="150" t="str">
        <f t="shared" si="7"/>
        <v/>
      </c>
      <c r="AG113" s="93" t="str">
        <f t="shared" si="8"/>
        <v/>
      </c>
      <c r="AH113" s="94" t="str">
        <f>IFERROR($M113+VLOOKUP($L113,'Voyage days'!$F$38:$H$89,3,FALSE),"")</f>
        <v/>
      </c>
      <c r="AI113" s="94" t="str">
        <f>IFERROR(N113+VLOOKUP($L113,'Voyage days'!$F$38:$H$89,3,FALSE),"")</f>
        <v/>
      </c>
      <c r="AJ113" s="93" t="str">
        <f t="shared" si="9"/>
        <v>21-22 Apr</v>
      </c>
      <c r="AK113" s="94">
        <f>IFERROR($M113+VLOOKUP($L113,'Voyage days'!$F$94:$H$193,3,FALSE),"")</f>
        <v>46133</v>
      </c>
      <c r="AL113" s="94">
        <f>IFERROR($N113+VLOOKUP($L113,'Voyage days'!$F$94:$H$193,3,FALSE),"")</f>
        <v>46134</v>
      </c>
      <c r="AM113" s="93" t="str">
        <f t="shared" si="10"/>
        <v>21-22 Apr</v>
      </c>
      <c r="AN113" s="94">
        <f>IFERROR($M113+VLOOKUP($L113,'Voyage days'!$F$203:$H$256,3,FALSE),"")</f>
        <v>46133</v>
      </c>
      <c r="AO113" s="94">
        <f>IFERROR($N113+VLOOKUP($L113,'Voyage days'!$F$203:$H$256,3,FALSE),"")</f>
        <v>46134</v>
      </c>
      <c r="AP113" s="93" t="str">
        <f t="shared" si="11"/>
        <v/>
      </c>
      <c r="AQ113" s="94" t="str">
        <f>IFERROR($M113+VLOOKUP($L113,'Voyage days'!$F$294:$H$377,3,FALSE),"")</f>
        <v/>
      </c>
      <c r="AR113" s="94" t="str">
        <f>IFERROR($N113+VLOOKUP($L113,'Voyage days'!$F$294:$H$377,3,FALSE),"")</f>
        <v/>
      </c>
      <c r="AS113" s="93" t="str">
        <f t="shared" si="12"/>
        <v>11-12 May</v>
      </c>
      <c r="AT113" s="94">
        <f>IFERROR($M113+VLOOKUP($L113,'Voyage days'!$F$382:$H$446,3,FALSE),"")</f>
        <v>46153</v>
      </c>
      <c r="AU113" s="94">
        <f>IFERROR($N113+VLOOKUP($L113,'Voyage days'!$F$382:$H$446,3,FALSE),"")</f>
        <v>46154</v>
      </c>
      <c r="AV113" s="93" t="str">
        <f t="shared" si="13"/>
        <v/>
      </c>
      <c r="AW113" s="94" t="str">
        <f>IFERROR($M113+VLOOKUP($L113,'Voyage days'!$F$483:$H$538,3,FALSE),"")</f>
        <v/>
      </c>
      <c r="AX113" s="94" t="str">
        <f>IFERROR($N113+VLOOKUP($L113,'Voyage days'!$F$483:$H$538,3,FALSE),"")</f>
        <v/>
      </c>
      <c r="AY113" s="93" t="str">
        <f t="shared" si="14"/>
        <v/>
      </c>
      <c r="AZ113" s="94" t="str">
        <f>IFERROR($M113+VLOOKUP($L113,'Voyage days'!$F$540:$H$613,3,FALSE),"")</f>
        <v/>
      </c>
      <c r="BA113" s="94" t="str">
        <f>IFERROR($N113+VLOOKUP($L113,'Voyage days'!$F$540:$H$613,3,FALSE),"")</f>
        <v/>
      </c>
      <c r="BB113" s="93" t="str">
        <f t="shared" si="15"/>
        <v/>
      </c>
      <c r="BC113" s="94" t="str">
        <f>IFERROR($M113+VLOOKUP($L113,'Voyage days'!$F$448:$H$479,3,FALSE),"")</f>
        <v/>
      </c>
      <c r="BD113" s="94" t="str">
        <f>IFERROR($N113+VLOOKUP($L113,'Voyage days'!$F$448:$H$479,3,FALSE),"")</f>
        <v/>
      </c>
      <c r="BE113" s="93" t="str">
        <f t="shared" si="16"/>
        <v/>
      </c>
      <c r="BF113" s="95" t="str">
        <f>IFERROR($M113+VLOOKUP($L113,'Voyage days'!$F$620:$H$646,3,FALSE),"")</f>
        <v/>
      </c>
      <c r="BG113" s="95" t="str">
        <f>IFERROR($N113+VLOOKUP($L113,'Voyage days'!$F$620:$H$646,3,FALSE),"")</f>
        <v/>
      </c>
      <c r="BH113" s="93" t="str">
        <f t="shared" si="17"/>
        <v/>
      </c>
      <c r="BI113" s="96" t="str">
        <f>IFERROR($M113+VLOOKUP($L113,'Voyage days'!$F$702:$H$727,3,FALSE),"")</f>
        <v/>
      </c>
      <c r="BJ113" s="93" t="str">
        <f t="shared" si="18"/>
        <v/>
      </c>
      <c r="BK113" s="95" t="str">
        <f>IFERROR($M113+VLOOKUP($L113,'Voyage days'!$F$807:$H$878,3,FALSE),"")</f>
        <v/>
      </c>
      <c r="BL113" s="95" t="str">
        <f>IFERROR($N113+VLOOKUP($L113,'Voyage days'!$F$807:$H$878,3,FALSE),"")</f>
        <v/>
      </c>
      <c r="BM113" s="95" t="str">
        <f>IFERROR($N113+VLOOKUP($L113,'Voyage days'!$F$807:$K$878,6,FALSE),"")</f>
        <v/>
      </c>
      <c r="BN113" s="94" t="str">
        <f>IF(L113="loads AG", IFERROR($M113+VLOOKUP($L113,'Voyage days'!$M$38:$O$38,3,FALSE),""),"")</f>
        <v/>
      </c>
      <c r="BO113" s="94">
        <f>IF(L113="loads USG", IFERROR($M113+VLOOKUP($L113,'Voyage days'!$L$203:$N$203,3,FALSE),""),"")</f>
        <v>46165</v>
      </c>
    </row>
    <row r="114" spans="1:67" ht="15.75" customHeight="1" x14ac:dyDescent="0.25">
      <c r="A114" s="294" t="s">
        <v>69</v>
      </c>
      <c r="B114" s="75">
        <v>39814</v>
      </c>
      <c r="C114" s="76">
        <v>75000</v>
      </c>
      <c r="D114" s="120"/>
      <c r="E114" s="120"/>
      <c r="F114" s="121"/>
      <c r="G114" s="121"/>
      <c r="H114" s="121" t="s">
        <v>739</v>
      </c>
      <c r="I114" s="79" t="s">
        <v>989</v>
      </c>
      <c r="J114" s="187" t="str">
        <f t="shared" si="22"/>
        <v/>
      </c>
      <c r="K114" s="123"/>
      <c r="L114" s="250" t="s">
        <v>990</v>
      </c>
      <c r="M114" s="189">
        <v>46167</v>
      </c>
      <c r="N114" s="189">
        <v>46168</v>
      </c>
      <c r="O114" s="126"/>
      <c r="P114" s="82" t="s">
        <v>991</v>
      </c>
      <c r="Q114" s="124"/>
      <c r="R114" s="124" t="s">
        <v>992</v>
      </c>
      <c r="S114" s="120" t="s">
        <v>724</v>
      </c>
      <c r="T114" s="329">
        <v>46132</v>
      </c>
      <c r="U114" s="87" t="str">
        <f>IF(V114="","No AIS",VLOOKUP(V114,'Voyage days'!$A$3:$B$1480,2,FALSE))</f>
        <v>Tanzania + 7</v>
      </c>
      <c r="V114" s="87" t="str">
        <f>IF(VLOOKUP(A114,'1) Kpler'!$E$2:$P$1000,8, FALSE)="","",VLOOKUP(A114,'1) Kpler'!$E$2:$P$1000,8, FALSE))</f>
        <v>Zanzibar</v>
      </c>
      <c r="W114" s="128">
        <f>IF(VLOOKUP(A114,'1) Kpler'!$E$2:$P$1000,9,FALSE)="","",VLOOKUP(A114,'1) Kpler'!$E$2:$P$1000,9,FALSE))</f>
        <v>46161.333333333336</v>
      </c>
      <c r="X114" s="87" t="str">
        <f>VLOOKUP(A114,'1) Kpler'!$E$2:$I$1000,4,FALSE)</f>
        <v>loaded</v>
      </c>
      <c r="Y114" s="219" t="str">
        <f t="shared" si="0"/>
        <v>03-04 Jun</v>
      </c>
      <c r="Z114" s="219" t="str">
        <f t="shared" si="1"/>
        <v>11-12 Jul</v>
      </c>
      <c r="AA114" s="219" t="str">
        <f t="shared" si="2"/>
        <v>21-22 Jun</v>
      </c>
      <c r="AB114" s="219" t="str">
        <f t="shared" si="3"/>
        <v>08-09 Jun</v>
      </c>
      <c r="AC114" s="219" t="str">
        <f t="shared" si="4"/>
        <v>09-10 Jun</v>
      </c>
      <c r="AD114" s="219" t="str">
        <f t="shared" si="5"/>
        <v>05-06 Jun</v>
      </c>
      <c r="AE114" s="220" t="str">
        <f t="shared" si="6"/>
        <v>09-10 Jun</v>
      </c>
      <c r="AF114" s="130" t="str">
        <f t="shared" si="7"/>
        <v>25-26 May</v>
      </c>
      <c r="AG114" s="131" t="str">
        <f t="shared" si="8"/>
        <v>03-04 Jun</v>
      </c>
      <c r="AH114" s="95">
        <f>IFERROR($M114+VLOOKUP($L114,'Voyage days'!$F$38:$H$89,3,FALSE),"")</f>
        <v>46176</v>
      </c>
      <c r="AI114" s="95">
        <f>IFERROR(N114+VLOOKUP($L114,'Voyage days'!$F$38:$H$89,3,FALSE),"")</f>
        <v>46177</v>
      </c>
      <c r="AJ114" s="131" t="str">
        <f t="shared" si="9"/>
        <v>11-12 Jul</v>
      </c>
      <c r="AK114" s="95">
        <f>IFERROR($M114+VLOOKUP($L114,'Voyage days'!$F$94:$H$193,3,FALSE),"")</f>
        <v>46214</v>
      </c>
      <c r="AL114" s="95">
        <f>IFERROR($N114+VLOOKUP($L114,'Voyage days'!$F$94:$H$193,3,FALSE),"")</f>
        <v>46215</v>
      </c>
      <c r="AM114" s="131" t="str">
        <f t="shared" si="10"/>
        <v>21-22 Jun</v>
      </c>
      <c r="AN114" s="95">
        <f>IFERROR($M114+VLOOKUP($L114,'Voyage days'!$F$203:$H$256,3,FALSE),"")</f>
        <v>46194</v>
      </c>
      <c r="AO114" s="95">
        <f>IFERROR($N114+VLOOKUP($L114,'Voyage days'!$F$203:$H$256,3,FALSE),"")</f>
        <v>46195</v>
      </c>
      <c r="AP114" s="131" t="str">
        <f t="shared" si="11"/>
        <v>08-09 Jun</v>
      </c>
      <c r="AQ114" s="95">
        <f>IFERROR($M114+VLOOKUP($L114,'Voyage days'!$F$294:$H$377,3,FALSE),"")</f>
        <v>46181</v>
      </c>
      <c r="AR114" s="95">
        <f>IFERROR($N114+VLOOKUP($L114,'Voyage days'!$F$294:$H$377,3,FALSE),"")</f>
        <v>46182</v>
      </c>
      <c r="AS114" s="131" t="str">
        <f t="shared" si="12"/>
        <v>09-10 Jun</v>
      </c>
      <c r="AT114" s="95">
        <f>IFERROR($M114+VLOOKUP($L114,'Voyage days'!$F$382:$H$446,3,FALSE),"")</f>
        <v>46182</v>
      </c>
      <c r="AU114" s="95">
        <f>IFERROR($N114+VLOOKUP($L114,'Voyage days'!$F$382:$H$446,3,FALSE),"")</f>
        <v>46183</v>
      </c>
      <c r="AV114" s="131" t="str">
        <f t="shared" si="13"/>
        <v>11-12 Jun</v>
      </c>
      <c r="AW114" s="95">
        <f>IFERROR($M114+VLOOKUP($L114,'Voyage days'!$F$483:$H$538,3,FALSE),"")</f>
        <v>46184</v>
      </c>
      <c r="AX114" s="95">
        <f>IFERROR($N114+VLOOKUP($L114,'Voyage days'!$F$483:$H$538,3,FALSE),"")</f>
        <v>46185</v>
      </c>
      <c r="AY114" s="131" t="str">
        <f t="shared" si="14"/>
        <v>09-10 Jun</v>
      </c>
      <c r="AZ114" s="95">
        <f>IFERROR($M114+VLOOKUP($L114,'Voyage days'!$F$540:$H$613,3,FALSE),"")</f>
        <v>46182</v>
      </c>
      <c r="BA114" s="95">
        <f>IFERROR($N114+VLOOKUP($L114,'Voyage days'!$F$540:$H$613,3,FALSE),"")</f>
        <v>46183</v>
      </c>
      <c r="BB114" s="131" t="str">
        <f t="shared" si="15"/>
        <v>05-06 Jun</v>
      </c>
      <c r="BC114" s="94">
        <f>IFERROR($M114+VLOOKUP($L114,'Voyage days'!$F$448:$H$479,3,FALSE),"")</f>
        <v>46178</v>
      </c>
      <c r="BD114" s="94">
        <f>IFERROR($N114+VLOOKUP($L114,'Voyage days'!$F$448:$H$479,3,FALSE),"")</f>
        <v>46179</v>
      </c>
      <c r="BE114" s="131" t="str">
        <f t="shared" si="16"/>
        <v/>
      </c>
      <c r="BF114" s="95" t="str">
        <f>IFERROR($M114+VLOOKUP($L114,'Voyage days'!$F$620:$H$646,3,FALSE),"")</f>
        <v/>
      </c>
      <c r="BG114" s="95" t="str">
        <f>IFERROR($N114+VLOOKUP($L114,'Voyage days'!$F$620:$H$646,3,FALSE),"")</f>
        <v/>
      </c>
      <c r="BH114" s="131" t="str">
        <f t="shared" si="17"/>
        <v>09-26 May</v>
      </c>
      <c r="BI114" s="96">
        <f>IFERROR($M114+VLOOKUP($L114,'Voyage days'!$F$702:$H$727,3,FALSE),"")</f>
        <v>46182</v>
      </c>
      <c r="BJ114" s="131" t="str">
        <f t="shared" si="18"/>
        <v>25-26 May</v>
      </c>
      <c r="BK114" s="95">
        <f>IFERROR($M114+VLOOKUP($L114,'Voyage days'!$F$807:$H$878,3,FALSE),"")</f>
        <v>46167</v>
      </c>
      <c r="BL114" s="95">
        <f>IFERROR($N114+VLOOKUP($L114,'Voyage days'!$F$807:$H$878,3,FALSE),"")</f>
        <v>46168</v>
      </c>
      <c r="BM114" s="95">
        <f>IFERROR($N114+VLOOKUP($L114,'Voyage days'!$F$807:$K$878,6,FALSE),"")</f>
        <v>46181</v>
      </c>
      <c r="BN114" s="94" t="str">
        <f>IF(L114="loads AG", IFERROR($M114+VLOOKUP($L114,'Voyage days'!$M$38:$O$38,3,FALSE),""),"")</f>
        <v/>
      </c>
      <c r="BO114" s="94" t="str">
        <f>IF(L114="loads USG", IFERROR($M114+VLOOKUP($L114,'Voyage days'!$L$203:$N$203,3,FALSE),""),"")</f>
        <v/>
      </c>
    </row>
    <row r="115" spans="1:67" ht="15.75" customHeight="1" x14ac:dyDescent="0.25">
      <c r="A115" s="53" t="s">
        <v>250</v>
      </c>
      <c r="B115" s="119">
        <v>2022</v>
      </c>
      <c r="C115" s="76">
        <v>90000</v>
      </c>
      <c r="D115" s="77"/>
      <c r="E115" s="77"/>
      <c r="F115" s="78"/>
      <c r="G115" s="78"/>
      <c r="H115" s="78" t="s">
        <v>713</v>
      </c>
      <c r="I115" s="260" t="s">
        <v>989</v>
      </c>
      <c r="J115" s="80" t="str">
        <f t="shared" si="22"/>
        <v/>
      </c>
      <c r="K115" s="81" t="s">
        <v>817</v>
      </c>
      <c r="L115" s="82" t="s">
        <v>217</v>
      </c>
      <c r="M115" s="83">
        <v>46136</v>
      </c>
      <c r="N115" s="83">
        <v>46137</v>
      </c>
      <c r="O115" s="206"/>
      <c r="P115" s="82" t="s">
        <v>993</v>
      </c>
      <c r="Q115" s="82"/>
      <c r="R115" s="78" t="s">
        <v>994</v>
      </c>
      <c r="S115" s="120" t="s">
        <v>724</v>
      </c>
      <c r="T115" s="86">
        <v>46132</v>
      </c>
      <c r="U115" s="87" t="str">
        <f>IF(V115="","No AIS",VLOOKUP(V115,'Voyage days'!$A$3:$B$1480,2,FALSE))</f>
        <v>India?/SG-JP?</v>
      </c>
      <c r="V115" s="88" t="str">
        <f>IF(VLOOKUP(A115,'1) Kpler'!$E$2:$P$1000,8, FALSE)="","",VLOOKUP(A115,'1) Kpler'!$E$2:$P$1000,8, FALSE))</f>
        <v>Eastern Asia</v>
      </c>
      <c r="W115" s="89">
        <f>IF(VLOOKUP(A115,'1) Kpler'!$E$2:$P$1000,9,FALSE)="","",VLOOKUP(A115,'1) Kpler'!$E$2:$P$1000,9,FALSE))</f>
        <v>46132.463888888888</v>
      </c>
      <c r="X115" s="88" t="str">
        <f>VLOOKUP(A115,'1) Kpler'!$E$2:$I$1000,4,FALSE)</f>
        <v>loaded</v>
      </c>
      <c r="Y115" s="90" t="str">
        <f t="shared" si="0"/>
        <v>29-30 Apr</v>
      </c>
      <c r="Z115" s="90" t="str">
        <f t="shared" si="1"/>
        <v/>
      </c>
      <c r="AA115" s="90" t="str">
        <f t="shared" si="2"/>
        <v>25-26 May</v>
      </c>
      <c r="AB115" s="90" t="str">
        <f t="shared" si="3"/>
        <v>12-13 May</v>
      </c>
      <c r="AC115" s="90" t="str">
        <f t="shared" si="4"/>
        <v>20-21 May</v>
      </c>
      <c r="AD115" s="90" t="str">
        <f t="shared" si="5"/>
        <v>30-01 May</v>
      </c>
      <c r="AE115" s="91" t="str">
        <f t="shared" si="6"/>
        <v/>
      </c>
      <c r="AF115" s="92" t="str">
        <f t="shared" si="7"/>
        <v>06-07 Jun</v>
      </c>
      <c r="AG115" s="93" t="str">
        <f t="shared" si="8"/>
        <v>29-30 Apr</v>
      </c>
      <c r="AH115" s="94">
        <f>IFERROR($M115+VLOOKUP($L115,'Voyage days'!$F$38:$H$89,3,FALSE),"")</f>
        <v>46141</v>
      </c>
      <c r="AI115" s="94">
        <f>IFERROR(N115+VLOOKUP($L115,'Voyage days'!$F$38:$H$89,3,FALSE),"")</f>
        <v>46142</v>
      </c>
      <c r="AJ115" s="93" t="str">
        <f t="shared" si="9"/>
        <v/>
      </c>
      <c r="AK115" s="94" t="str">
        <f>IFERROR($M115+VLOOKUP($L115,'Voyage days'!$F$94:$H$193,3,FALSE),"")</f>
        <v/>
      </c>
      <c r="AL115" s="94" t="str">
        <f>IFERROR($N115+VLOOKUP($L115,'Voyage days'!$F$94:$H$193,3,FALSE),"")</f>
        <v/>
      </c>
      <c r="AM115" s="93" t="str">
        <f t="shared" si="10"/>
        <v>25-26 May</v>
      </c>
      <c r="AN115" s="94">
        <f>IFERROR($M115+VLOOKUP($L115,'Voyage days'!$F$203:$H$256,3,FALSE),"")</f>
        <v>46167</v>
      </c>
      <c r="AO115" s="94">
        <f>IFERROR($N115+VLOOKUP($L115,'Voyage days'!$F$203:$H$256,3,FALSE),"")</f>
        <v>46168</v>
      </c>
      <c r="AP115" s="93" t="str">
        <f t="shared" si="11"/>
        <v>12-13 May</v>
      </c>
      <c r="AQ115" s="94">
        <f>IFERROR($M115+VLOOKUP($L115,'Voyage days'!$F$294:$H$377,3,FALSE),"")</f>
        <v>46154</v>
      </c>
      <c r="AR115" s="94">
        <f>IFERROR($N115+VLOOKUP($L115,'Voyage days'!$F$294:$H$377,3,FALSE),"")</f>
        <v>46155</v>
      </c>
      <c r="AS115" s="93" t="str">
        <f t="shared" si="12"/>
        <v>20-21 May</v>
      </c>
      <c r="AT115" s="94">
        <f>IFERROR($M115+VLOOKUP($L115,'Voyage days'!$F$382:$H$446,3,FALSE),"")</f>
        <v>46162</v>
      </c>
      <c r="AU115" s="94">
        <f>IFERROR($N115+VLOOKUP($L115,'Voyage days'!$F$382:$H$446,3,FALSE),"")</f>
        <v>46163</v>
      </c>
      <c r="AV115" s="93" t="str">
        <f t="shared" si="13"/>
        <v/>
      </c>
      <c r="AW115" s="94" t="str">
        <f>IFERROR($M115+VLOOKUP($L115,'Voyage days'!$F$483:$H$538,3,FALSE),"")</f>
        <v/>
      </c>
      <c r="AX115" s="94" t="str">
        <f>IFERROR($N115+VLOOKUP($L115,'Voyage days'!$F$483:$H$538,3,FALSE),"")</f>
        <v/>
      </c>
      <c r="AY115" s="93" t="str">
        <f t="shared" si="14"/>
        <v/>
      </c>
      <c r="AZ115" s="94" t="str">
        <f>IFERROR($M115+VLOOKUP($L115,'Voyage days'!$F$540:$H$613,3,FALSE),"")</f>
        <v/>
      </c>
      <c r="BA115" s="94" t="str">
        <f>IFERROR($N115+VLOOKUP($L115,'Voyage days'!$F$540:$H$613,3,FALSE),"")</f>
        <v/>
      </c>
      <c r="BB115" s="93" t="str">
        <f t="shared" si="15"/>
        <v>30-01 May</v>
      </c>
      <c r="BC115" s="94">
        <f>IFERROR($M115+VLOOKUP($L115,'Voyage days'!$F$448:$H$479,3,FALSE),"")</f>
        <v>46142</v>
      </c>
      <c r="BD115" s="94">
        <f>IFERROR($N115+VLOOKUP($L115,'Voyage days'!$F$448:$H$479,3,FALSE),"")</f>
        <v>46143</v>
      </c>
      <c r="BE115" s="93" t="str">
        <f t="shared" si="16"/>
        <v/>
      </c>
      <c r="BF115" s="95" t="str">
        <f>IFERROR($M115+VLOOKUP($L115,'Voyage days'!$F$620:$H$646,3,FALSE),"")</f>
        <v/>
      </c>
      <c r="BG115" s="95" t="str">
        <f>IFERROR($N115+VLOOKUP($L115,'Voyage days'!$F$620:$H$646,3,FALSE),"")</f>
        <v/>
      </c>
      <c r="BH115" s="93" t="str">
        <f t="shared" si="17"/>
        <v/>
      </c>
      <c r="BI115" s="96" t="str">
        <f>IFERROR($M115+VLOOKUP($L115,'Voyage days'!$F$702:$H$727,3,FALSE),"")</f>
        <v/>
      </c>
      <c r="BJ115" s="93" t="str">
        <f t="shared" si="18"/>
        <v>06-07 Jun</v>
      </c>
      <c r="BK115" s="95">
        <f>IFERROR($M115+VLOOKUP($L115,'Voyage days'!$F$807:$H$878,3,FALSE),"")</f>
        <v>46179</v>
      </c>
      <c r="BL115" s="95">
        <f>IFERROR($N115+VLOOKUP($L115,'Voyage days'!$F$807:$H$878,3,FALSE),"")</f>
        <v>46180</v>
      </c>
      <c r="BM115" s="95">
        <f>IFERROR($N115+VLOOKUP($L115,'Voyage days'!$F$807:$K$878,6,FALSE),"")</f>
        <v>46145</v>
      </c>
      <c r="BN115" s="94" t="str">
        <f>IF(L115="loads AG", IFERROR($M115+VLOOKUP($L115,'Voyage days'!$M$38:$O$38,3,FALSE),""),"")</f>
        <v/>
      </c>
      <c r="BO115" s="94" t="str">
        <f>IF(L115="loads USG", IFERROR($M115+VLOOKUP($L115,'Voyage days'!$L$203:$N$203,3,FALSE),""),"")</f>
        <v/>
      </c>
    </row>
    <row r="116" spans="1:67" ht="15.75" customHeight="1" x14ac:dyDescent="0.25">
      <c r="A116" s="317" t="s">
        <v>228</v>
      </c>
      <c r="B116" s="119">
        <v>2025</v>
      </c>
      <c r="C116" s="151">
        <v>88000</v>
      </c>
      <c r="D116" s="77"/>
      <c r="E116" s="77"/>
      <c r="F116" s="78"/>
      <c r="G116" s="78"/>
      <c r="H116" s="78"/>
      <c r="I116" s="233" t="s">
        <v>995</v>
      </c>
      <c r="J116" s="80"/>
      <c r="K116" s="81"/>
      <c r="L116" s="82" t="s">
        <v>725</v>
      </c>
      <c r="M116" s="83">
        <v>46139</v>
      </c>
      <c r="N116" s="83">
        <v>46140</v>
      </c>
      <c r="O116" s="84" t="s">
        <v>726</v>
      </c>
      <c r="P116" s="82" t="s">
        <v>996</v>
      </c>
      <c r="Q116" s="82" t="s">
        <v>997</v>
      </c>
      <c r="R116" s="82" t="s">
        <v>998</v>
      </c>
      <c r="S116" s="120" t="s">
        <v>724</v>
      </c>
      <c r="T116" s="86">
        <v>46132</v>
      </c>
      <c r="U116" s="87" t="str">
        <f>IF(V116="","No AIS",VLOOKUP(V116,'Voyage days'!$A$3:$B$1480,2,FALSE))</f>
        <v>Panama</v>
      </c>
      <c r="V116" s="88" t="str">
        <f>IF(VLOOKUP(A116,'1) Kpler'!$E$2:$P$1000,8, FALSE)="","",VLOOKUP(A116,'1) Kpler'!$E$2:$P$1000,8, FALSE))</f>
        <v>Panama Canal</v>
      </c>
      <c r="W116" s="89">
        <f>IF(VLOOKUP(A116,'1) Kpler'!$E$2:$P$1000,9,FALSE)="","",VLOOKUP(A116,'1) Kpler'!$E$2:$P$1000,9,FALSE))</f>
        <v>46139.875</v>
      </c>
      <c r="X116" s="88" t="str">
        <f>VLOOKUP(A116,'1) Kpler'!$E$2:$I$1000,4,FALSE)</f>
        <v>ballast</v>
      </c>
      <c r="Y116" s="63" t="str">
        <f t="shared" si="0"/>
        <v/>
      </c>
      <c r="Z116" s="63" t="str">
        <f t="shared" si="1"/>
        <v>07-08 May</v>
      </c>
      <c r="AA116" s="63" t="str">
        <f t="shared" si="2"/>
        <v/>
      </c>
      <c r="AB116" s="63" t="str">
        <f t="shared" si="3"/>
        <v/>
      </c>
      <c r="AC116" s="63" t="str">
        <f t="shared" si="4"/>
        <v/>
      </c>
      <c r="AD116" s="63" t="str">
        <f t="shared" si="5"/>
        <v/>
      </c>
      <c r="AE116" s="129" t="str">
        <f t="shared" si="6"/>
        <v/>
      </c>
      <c r="AF116" s="130" t="str">
        <f t="shared" si="7"/>
        <v/>
      </c>
      <c r="AG116" s="93" t="str">
        <f t="shared" si="8"/>
        <v/>
      </c>
      <c r="AH116" s="94" t="str">
        <f>IFERROR($M116+VLOOKUP($L116,'Voyage days'!$F$38:$H$89,3,FALSE),"")</f>
        <v/>
      </c>
      <c r="AI116" s="94" t="str">
        <f>IFERROR(N116+VLOOKUP($L116,'Voyage days'!$F$38:$H$89,3,FALSE),"")</f>
        <v/>
      </c>
      <c r="AJ116" s="93" t="str">
        <f t="shared" si="9"/>
        <v>07-08 May</v>
      </c>
      <c r="AK116" s="94">
        <f>IFERROR($M116+VLOOKUP($L116,'Voyage days'!$F$94:$H$193,3,FALSE),"")</f>
        <v>46149</v>
      </c>
      <c r="AL116" s="94">
        <f>IFERROR($N116+VLOOKUP($L116,'Voyage days'!$F$94:$H$193,3,FALSE),"")</f>
        <v>46150</v>
      </c>
      <c r="AM116" s="93" t="str">
        <f t="shared" si="10"/>
        <v/>
      </c>
      <c r="AN116" s="94" t="str">
        <f>IFERROR($M116+VLOOKUP($L116,'Voyage days'!$F$203:$H$256,3,FALSE),"")</f>
        <v/>
      </c>
      <c r="AO116" s="94" t="str">
        <f>IFERROR($N116+VLOOKUP($L116,'Voyage days'!$F$203:$H$256,3,FALSE),"")</f>
        <v/>
      </c>
      <c r="AP116" s="93" t="str">
        <f t="shared" si="11"/>
        <v/>
      </c>
      <c r="AQ116" s="94" t="str">
        <f>IFERROR($M116+VLOOKUP($L116,'Voyage days'!$F$294:$H$377,3,FALSE),"")</f>
        <v/>
      </c>
      <c r="AR116" s="94" t="str">
        <f>IFERROR($N116+VLOOKUP($L116,'Voyage days'!$F$294:$H$377,3,FALSE),"")</f>
        <v/>
      </c>
      <c r="AS116" s="93" t="str">
        <f t="shared" si="12"/>
        <v/>
      </c>
      <c r="AT116" s="94" t="str">
        <f>IFERROR($M116+VLOOKUP($L116,'Voyage days'!$F$382:$H$446,3,FALSE),"")</f>
        <v/>
      </c>
      <c r="AU116" s="94" t="str">
        <f>IFERROR($N116+VLOOKUP($L116,'Voyage days'!$F$382:$H$446,3,FALSE),"")</f>
        <v/>
      </c>
      <c r="AV116" s="93" t="str">
        <f t="shared" si="13"/>
        <v/>
      </c>
      <c r="AW116" s="94" t="str">
        <f>IFERROR($M116+VLOOKUP($L116,'Voyage days'!$F$483:$H$538,3,FALSE),"")</f>
        <v/>
      </c>
      <c r="AX116" s="94" t="str">
        <f>IFERROR($N116+VLOOKUP($L116,'Voyage days'!$F$483:$H$538,3,FALSE),"")</f>
        <v/>
      </c>
      <c r="AY116" s="93" t="str">
        <f t="shared" si="14"/>
        <v/>
      </c>
      <c r="AZ116" s="94" t="str">
        <f>IFERROR($M116+VLOOKUP($L116,'Voyage days'!$F$540:$H$613,3,FALSE),"")</f>
        <v/>
      </c>
      <c r="BA116" s="94" t="str">
        <f>IFERROR($N116+VLOOKUP($L116,'Voyage days'!$F$540:$H$613,3,FALSE),"")</f>
        <v/>
      </c>
      <c r="BB116" s="93" t="str">
        <f t="shared" si="15"/>
        <v/>
      </c>
      <c r="BC116" s="94" t="str">
        <f>IFERROR($M116+VLOOKUP($L116,'Voyage days'!$F$448:$H$479,3,FALSE),"")</f>
        <v/>
      </c>
      <c r="BD116" s="94" t="str">
        <f>IFERROR($N116+VLOOKUP($L116,'Voyage days'!$F$448:$H$479,3,FALSE),"")</f>
        <v/>
      </c>
      <c r="BE116" s="93" t="str">
        <f t="shared" si="16"/>
        <v/>
      </c>
      <c r="BF116" s="95" t="str">
        <f>IFERROR($M116+VLOOKUP($L116,'Voyage days'!$F$620:$H$646,3,FALSE),"")</f>
        <v/>
      </c>
      <c r="BG116" s="95" t="str">
        <f>IFERROR($N116+VLOOKUP($L116,'Voyage days'!$F$620:$H$646,3,FALSE),"")</f>
        <v/>
      </c>
      <c r="BH116" s="93" t="str">
        <f t="shared" si="17"/>
        <v/>
      </c>
      <c r="BI116" s="96" t="str">
        <f>IFERROR($M116+VLOOKUP($L116,'Voyage days'!$F$702:$H$727,3,FALSE),"")</f>
        <v/>
      </c>
      <c r="BJ116" s="93" t="str">
        <f t="shared" si="18"/>
        <v/>
      </c>
      <c r="BK116" s="95" t="str">
        <f>IFERROR($M116+VLOOKUP($L116,'Voyage days'!$F$807:$H$878,3,FALSE),"")</f>
        <v/>
      </c>
      <c r="BL116" s="95" t="str">
        <f>IFERROR($N116+VLOOKUP($L116,'Voyage days'!$F$807:$H$878,3,FALSE),"")</f>
        <v/>
      </c>
      <c r="BM116" s="95" t="str">
        <f>IFERROR($N116+VLOOKUP($L116,'Voyage days'!$F$807:$K$878,6,FALSE),"")</f>
        <v/>
      </c>
      <c r="BN116" s="94" t="str">
        <f>IF(L116="loads AG", IFERROR($M116+VLOOKUP($L116,'Voyage days'!$M$38:$O$38,3,FALSE),""),"")</f>
        <v/>
      </c>
      <c r="BO116" s="94" t="str">
        <f>IF(L116="loads USG", IFERROR($M116+VLOOKUP($L116,'Voyage days'!$L$203:$N$203,3,FALSE),""),"")</f>
        <v/>
      </c>
    </row>
    <row r="117" spans="1:67" ht="15.75" customHeight="1" x14ac:dyDescent="0.25">
      <c r="A117" s="53" t="s">
        <v>434</v>
      </c>
      <c r="B117" s="119">
        <v>2022</v>
      </c>
      <c r="C117" s="76">
        <v>90000</v>
      </c>
      <c r="D117" s="77"/>
      <c r="E117" s="77"/>
      <c r="F117" s="78"/>
      <c r="G117" s="78"/>
      <c r="H117" s="78" t="s">
        <v>713</v>
      </c>
      <c r="I117" s="260" t="s">
        <v>989</v>
      </c>
      <c r="J117" s="80" t="str">
        <f t="shared" ref="J117:J119" si="23">IF(W117="","NO AIS",IF((W117-M117-1)&gt;0,"Update",""))</f>
        <v>NO AIS</v>
      </c>
      <c r="K117" s="81"/>
      <c r="L117" s="82" t="s">
        <v>990</v>
      </c>
      <c r="M117" s="83">
        <v>46132</v>
      </c>
      <c r="N117" s="83">
        <v>46134</v>
      </c>
      <c r="O117" s="206"/>
      <c r="P117" s="157" t="s">
        <v>999</v>
      </c>
      <c r="Q117" s="82"/>
      <c r="R117" s="82" t="s">
        <v>1000</v>
      </c>
      <c r="S117" s="120" t="s">
        <v>724</v>
      </c>
      <c r="T117" s="86">
        <v>46132</v>
      </c>
      <c r="U117" s="87" t="str">
        <f>IF(V117="","No AIS",VLOOKUP(V117,'Voyage days'!$A$3:$B$1480,2,FALSE))</f>
        <v>No AIS</v>
      </c>
      <c r="V117" s="88" t="str">
        <f>IF(VLOOKUP(A117,'1) Kpler'!$E$2:$P$1000,8, FALSE)="","",VLOOKUP(A117,'1) Kpler'!$E$2:$P$1000,8, FALSE))</f>
        <v/>
      </c>
      <c r="W117" s="89" t="str">
        <f>IF(VLOOKUP(A117,'1) Kpler'!$E$2:$P$1000,9,FALSE)="","",VLOOKUP(A117,'1) Kpler'!$E$2:$P$1000,9,FALSE))</f>
        <v/>
      </c>
      <c r="X117" s="88" t="str">
        <f>VLOOKUP(A117,'1) Kpler'!$E$2:$I$1000,4,FALSE)</f>
        <v>loaded</v>
      </c>
      <c r="Y117" s="63" t="str">
        <f t="shared" si="0"/>
        <v>29-01 May</v>
      </c>
      <c r="Z117" s="63" t="str">
        <f t="shared" si="1"/>
        <v>06-08 Jun</v>
      </c>
      <c r="AA117" s="63" t="str">
        <f t="shared" si="2"/>
        <v>17-19 May</v>
      </c>
      <c r="AB117" s="63" t="str">
        <f t="shared" si="3"/>
        <v>04-06 May</v>
      </c>
      <c r="AC117" s="63" t="str">
        <f t="shared" si="4"/>
        <v>05-07 May</v>
      </c>
      <c r="AD117" s="63" t="str">
        <f t="shared" si="5"/>
        <v>01-03 May</v>
      </c>
      <c r="AE117" s="129" t="str">
        <f t="shared" si="6"/>
        <v>05-07 May</v>
      </c>
      <c r="AF117" s="130" t="str">
        <f t="shared" si="7"/>
        <v>20-22 Apr</v>
      </c>
      <c r="AG117" s="93" t="str">
        <f t="shared" si="8"/>
        <v>29-01 May</v>
      </c>
      <c r="AH117" s="94">
        <f>IFERROR($M117+VLOOKUP($L117,'Voyage days'!$F$38:$H$89,3,FALSE),"")</f>
        <v>46141</v>
      </c>
      <c r="AI117" s="94">
        <f>IFERROR(N117+VLOOKUP($L117,'Voyage days'!$F$38:$H$89,3,FALSE),"")</f>
        <v>46143</v>
      </c>
      <c r="AJ117" s="93" t="str">
        <f t="shared" si="9"/>
        <v>06-08 Jun</v>
      </c>
      <c r="AK117" s="94">
        <f>IFERROR($M117+VLOOKUP($L117,'Voyage days'!$F$94:$H$193,3,FALSE),"")</f>
        <v>46179</v>
      </c>
      <c r="AL117" s="94">
        <f>IFERROR($N117+VLOOKUP($L117,'Voyage days'!$F$94:$H$193,3,FALSE),"")</f>
        <v>46181</v>
      </c>
      <c r="AM117" s="93" t="str">
        <f t="shared" si="10"/>
        <v>17-19 May</v>
      </c>
      <c r="AN117" s="94">
        <f>IFERROR($M117+VLOOKUP($L117,'Voyage days'!$F$203:$H$256,3,FALSE),"")</f>
        <v>46159</v>
      </c>
      <c r="AO117" s="94">
        <f>IFERROR($N117+VLOOKUP($L117,'Voyage days'!$F$203:$H$256,3,FALSE),"")</f>
        <v>46161</v>
      </c>
      <c r="AP117" s="93" t="str">
        <f t="shared" si="11"/>
        <v>04-06 May</v>
      </c>
      <c r="AQ117" s="94">
        <f>IFERROR($M117+VLOOKUP($L117,'Voyage days'!$F$294:$H$377,3,FALSE),"")</f>
        <v>46146</v>
      </c>
      <c r="AR117" s="94">
        <f>IFERROR($N117+VLOOKUP($L117,'Voyage days'!$F$294:$H$377,3,FALSE),"")</f>
        <v>46148</v>
      </c>
      <c r="AS117" s="93" t="str">
        <f t="shared" si="12"/>
        <v>05-07 May</v>
      </c>
      <c r="AT117" s="94">
        <f>IFERROR($M117+VLOOKUP($L117,'Voyage days'!$F$382:$H$446,3,FALSE),"")</f>
        <v>46147</v>
      </c>
      <c r="AU117" s="94">
        <f>IFERROR($N117+VLOOKUP($L117,'Voyage days'!$F$382:$H$446,3,FALSE),"")</f>
        <v>46149</v>
      </c>
      <c r="AV117" s="93" t="str">
        <f t="shared" si="13"/>
        <v>07-09 May</v>
      </c>
      <c r="AW117" s="94">
        <f>IFERROR($M117+VLOOKUP($L117,'Voyage days'!$F$483:$H$538,3,FALSE),"")</f>
        <v>46149</v>
      </c>
      <c r="AX117" s="94">
        <f>IFERROR($N117+VLOOKUP($L117,'Voyage days'!$F$483:$H$538,3,FALSE),"")</f>
        <v>46151</v>
      </c>
      <c r="AY117" s="93" t="str">
        <f t="shared" si="14"/>
        <v>05-07 May</v>
      </c>
      <c r="AZ117" s="94">
        <f>IFERROR($M117+VLOOKUP($L117,'Voyage days'!$F$540:$H$613,3,FALSE),"")</f>
        <v>46147</v>
      </c>
      <c r="BA117" s="94">
        <f>IFERROR($N117+VLOOKUP($L117,'Voyage days'!$F$540:$H$613,3,FALSE),"")</f>
        <v>46149</v>
      </c>
      <c r="BB117" s="93" t="str">
        <f t="shared" si="15"/>
        <v>01-03 May</v>
      </c>
      <c r="BC117" s="94">
        <f>IFERROR($M117+VLOOKUP($L117,'Voyage days'!$F$448:$H$479,3,FALSE),"")</f>
        <v>46143</v>
      </c>
      <c r="BD117" s="94">
        <f>IFERROR($N117+VLOOKUP($L117,'Voyage days'!$F$448:$H$479,3,FALSE),"")</f>
        <v>46145</v>
      </c>
      <c r="BE117" s="93" t="str">
        <f t="shared" si="16"/>
        <v/>
      </c>
      <c r="BF117" s="95" t="str">
        <f>IFERROR($M117+VLOOKUP($L117,'Voyage days'!$F$620:$H$646,3,FALSE),"")</f>
        <v/>
      </c>
      <c r="BG117" s="95" t="str">
        <f>IFERROR($N117+VLOOKUP($L117,'Voyage days'!$F$620:$H$646,3,FALSE),"")</f>
        <v/>
      </c>
      <c r="BH117" s="93" t="str">
        <f t="shared" si="17"/>
        <v>05-22 Apr</v>
      </c>
      <c r="BI117" s="96">
        <f>IFERROR($M117+VLOOKUP($L117,'Voyage days'!$F$702:$H$727,3,FALSE),"")</f>
        <v>46147</v>
      </c>
      <c r="BJ117" s="93" t="str">
        <f t="shared" si="18"/>
        <v>20-22 Apr</v>
      </c>
      <c r="BK117" s="95">
        <f>IFERROR($M117+VLOOKUP($L117,'Voyage days'!$F$807:$H$878,3,FALSE),"")</f>
        <v>46132</v>
      </c>
      <c r="BL117" s="95">
        <f>IFERROR($N117+VLOOKUP($L117,'Voyage days'!$F$807:$H$878,3,FALSE),"")</f>
        <v>46134</v>
      </c>
      <c r="BM117" s="95">
        <f>IFERROR($N117+VLOOKUP($L117,'Voyage days'!$F$807:$K$878,6,FALSE),"")</f>
        <v>46147</v>
      </c>
      <c r="BN117" s="94" t="str">
        <f>IF(L117="loads AG", IFERROR($M117+VLOOKUP($L117,'Voyage days'!$M$38:$O$38,3,FALSE),""),"")</f>
        <v/>
      </c>
      <c r="BO117" s="94" t="str">
        <f>IF(L117="loads USG", IFERROR($M117+VLOOKUP($L117,'Voyage days'!$L$203:$N$203,3,FALSE),""),"")</f>
        <v/>
      </c>
    </row>
    <row r="118" spans="1:67" ht="15.75" customHeight="1" x14ac:dyDescent="0.25">
      <c r="A118" s="360" t="s">
        <v>500</v>
      </c>
      <c r="B118" s="133">
        <v>2024</v>
      </c>
      <c r="C118" s="134">
        <v>88000</v>
      </c>
      <c r="D118" s="143"/>
      <c r="E118" s="143"/>
      <c r="F118" s="136"/>
      <c r="G118" s="136"/>
      <c r="H118" s="136" t="s">
        <v>713</v>
      </c>
      <c r="I118" s="137" t="s">
        <v>989</v>
      </c>
      <c r="J118" s="138" t="str">
        <f t="shared" si="23"/>
        <v>NO AIS</v>
      </c>
      <c r="K118" s="139"/>
      <c r="L118" s="140" t="s">
        <v>718</v>
      </c>
      <c r="M118" s="141">
        <v>46143</v>
      </c>
      <c r="N118" s="141">
        <v>46147</v>
      </c>
      <c r="O118" s="135"/>
      <c r="P118" s="140" t="s">
        <v>1001</v>
      </c>
      <c r="Q118" s="140" t="s">
        <v>997</v>
      </c>
      <c r="R118" s="140" t="s">
        <v>1002</v>
      </c>
      <c r="S118" s="143" t="s">
        <v>724</v>
      </c>
      <c r="T118" s="144">
        <v>46132</v>
      </c>
      <c r="U118" s="145" t="str">
        <f>IF(V118="","No AIS",VLOOKUP(V118,'Voyage days'!$A$3:$B$1480,2,FALSE))</f>
        <v>No AIS</v>
      </c>
      <c r="V118" s="146" t="str">
        <f>IF(VLOOKUP(A118,'1) Kpler'!$E$2:$P$1000,8, FALSE)="","",VLOOKUP(A118,'1) Kpler'!$E$2:$P$1000,8, FALSE))</f>
        <v/>
      </c>
      <c r="W118" s="147" t="str">
        <f>IF(VLOOKUP(A118,'1) Kpler'!$E$2:$P$1000,9,FALSE)="","",VLOOKUP(A118,'1) Kpler'!$E$2:$P$1000,9,FALSE))</f>
        <v/>
      </c>
      <c r="X118" s="146" t="str">
        <f>VLOOKUP(A118,'1) Kpler'!$E$2:$I$1000,4,FALSE)</f>
        <v>ballast</v>
      </c>
      <c r="Y118" s="148" t="str">
        <f t="shared" si="0"/>
        <v/>
      </c>
      <c r="Z118" s="148" t="str">
        <f t="shared" si="1"/>
        <v>01-05 May</v>
      </c>
      <c r="AA118" s="148" t="str">
        <f t="shared" si="2"/>
        <v>01-05 May</v>
      </c>
      <c r="AB118" s="148" t="str">
        <f t="shared" si="3"/>
        <v/>
      </c>
      <c r="AC118" s="148" t="str">
        <f t="shared" si="4"/>
        <v>21-25 May</v>
      </c>
      <c r="AD118" s="148" t="str">
        <f t="shared" si="5"/>
        <v/>
      </c>
      <c r="AE118" s="149" t="str">
        <f t="shared" si="6"/>
        <v/>
      </c>
      <c r="AF118" s="150" t="str">
        <f t="shared" si="7"/>
        <v/>
      </c>
      <c r="AG118" s="93" t="str">
        <f t="shared" si="8"/>
        <v/>
      </c>
      <c r="AH118" s="94" t="str">
        <f>IFERROR($M118+VLOOKUP($L118,'Voyage days'!$F$38:$H$89,3,FALSE),"")</f>
        <v/>
      </c>
      <c r="AI118" s="94" t="str">
        <f>IFERROR(N118+VLOOKUP($L118,'Voyage days'!$F$38:$H$89,3,FALSE),"")</f>
        <v/>
      </c>
      <c r="AJ118" s="93" t="str">
        <f t="shared" si="9"/>
        <v>01-05 May</v>
      </c>
      <c r="AK118" s="94">
        <f>IFERROR($M118+VLOOKUP($L118,'Voyage days'!$F$94:$H$193,3,FALSE),"")</f>
        <v>46143</v>
      </c>
      <c r="AL118" s="94">
        <f>IFERROR($N118+VLOOKUP($L118,'Voyage days'!$F$94:$H$193,3,FALSE),"")</f>
        <v>46147</v>
      </c>
      <c r="AM118" s="93" t="str">
        <f t="shared" si="10"/>
        <v>01-05 May</v>
      </c>
      <c r="AN118" s="94">
        <f>IFERROR($M118+VLOOKUP($L118,'Voyage days'!$F$203:$H$256,3,FALSE),"")</f>
        <v>46143</v>
      </c>
      <c r="AO118" s="94">
        <f>IFERROR($N118+VLOOKUP($L118,'Voyage days'!$F$203:$H$256,3,FALSE),"")</f>
        <v>46147</v>
      </c>
      <c r="AP118" s="93" t="str">
        <f t="shared" si="11"/>
        <v/>
      </c>
      <c r="AQ118" s="94" t="str">
        <f>IFERROR($M118+VLOOKUP($L118,'Voyage days'!$F$294:$H$377,3,FALSE),"")</f>
        <v/>
      </c>
      <c r="AR118" s="94" t="str">
        <f>IFERROR($N118+VLOOKUP($L118,'Voyage days'!$F$294:$H$377,3,FALSE),"")</f>
        <v/>
      </c>
      <c r="AS118" s="93" t="str">
        <f t="shared" si="12"/>
        <v>21-25 May</v>
      </c>
      <c r="AT118" s="94">
        <f>IFERROR($M118+VLOOKUP($L118,'Voyage days'!$F$382:$H$446,3,FALSE),"")</f>
        <v>46163</v>
      </c>
      <c r="AU118" s="94">
        <f>IFERROR($N118+VLOOKUP($L118,'Voyage days'!$F$382:$H$446,3,FALSE),"")</f>
        <v>46167</v>
      </c>
      <c r="AV118" s="93" t="str">
        <f t="shared" si="13"/>
        <v/>
      </c>
      <c r="AW118" s="94" t="str">
        <f>IFERROR($M118+VLOOKUP($L118,'Voyage days'!$F$483:$H$538,3,FALSE),"")</f>
        <v/>
      </c>
      <c r="AX118" s="94" t="str">
        <f>IFERROR($N118+VLOOKUP($L118,'Voyage days'!$F$483:$H$538,3,FALSE),"")</f>
        <v/>
      </c>
      <c r="AY118" s="93" t="str">
        <f t="shared" si="14"/>
        <v/>
      </c>
      <c r="AZ118" s="94" t="str">
        <f>IFERROR($M118+VLOOKUP($L118,'Voyage days'!$F$540:$H$613,3,FALSE),"")</f>
        <v/>
      </c>
      <c r="BA118" s="94" t="str">
        <f>IFERROR($N118+VLOOKUP($L118,'Voyage days'!$F$540:$H$613,3,FALSE),"")</f>
        <v/>
      </c>
      <c r="BB118" s="93" t="str">
        <f t="shared" si="15"/>
        <v/>
      </c>
      <c r="BC118" s="94" t="str">
        <f>IFERROR($M118+VLOOKUP($L118,'Voyage days'!$F$448:$H$479,3,FALSE),"")</f>
        <v/>
      </c>
      <c r="BD118" s="94" t="str">
        <f>IFERROR($N118+VLOOKUP($L118,'Voyage days'!$F$448:$H$479,3,FALSE),"")</f>
        <v/>
      </c>
      <c r="BE118" s="93" t="str">
        <f t="shared" si="16"/>
        <v/>
      </c>
      <c r="BF118" s="95" t="str">
        <f>IFERROR($M118+VLOOKUP($L118,'Voyage days'!$F$620:$H$646,3,FALSE),"")</f>
        <v/>
      </c>
      <c r="BG118" s="95" t="str">
        <f>IFERROR($N118+VLOOKUP($L118,'Voyage days'!$F$620:$H$646,3,FALSE),"")</f>
        <v/>
      </c>
      <c r="BH118" s="93" t="str">
        <f t="shared" si="17"/>
        <v/>
      </c>
      <c r="BI118" s="96" t="str">
        <f>IFERROR($M118+VLOOKUP($L118,'Voyage days'!$F$702:$H$727,3,FALSE),"")</f>
        <v/>
      </c>
      <c r="BJ118" s="93" t="str">
        <f t="shared" si="18"/>
        <v/>
      </c>
      <c r="BK118" s="95" t="str">
        <f>IFERROR($M118+VLOOKUP($L118,'Voyage days'!$F$807:$H$878,3,FALSE),"")</f>
        <v/>
      </c>
      <c r="BL118" s="95" t="str">
        <f>IFERROR($N118+VLOOKUP($L118,'Voyage days'!$F$807:$H$878,3,FALSE),"")</f>
        <v/>
      </c>
      <c r="BM118" s="95" t="str">
        <f>IFERROR($N118+VLOOKUP($L118,'Voyage days'!$F$807:$K$878,6,FALSE),"")</f>
        <v/>
      </c>
      <c r="BN118" s="94" t="str">
        <f>IF(L118="loads AG", IFERROR($M118+VLOOKUP($L118,'Voyage days'!$M$38:$O$38,3,FALSE),""),"")</f>
        <v/>
      </c>
      <c r="BO118" s="94">
        <f>IF(L118="loads USG", IFERROR($M118+VLOOKUP($L118,'Voyage days'!$L$203:$N$203,3,FALSE),""),"")</f>
        <v>46175</v>
      </c>
    </row>
    <row r="119" spans="1:67" ht="15.75" customHeight="1" x14ac:dyDescent="0.25">
      <c r="A119" s="53" t="s">
        <v>492</v>
      </c>
      <c r="B119" s="119">
        <v>2023</v>
      </c>
      <c r="C119" s="151">
        <v>91000</v>
      </c>
      <c r="D119" s="77"/>
      <c r="E119" s="77"/>
      <c r="F119" s="78"/>
      <c r="G119" s="78"/>
      <c r="H119" s="78" t="s">
        <v>713</v>
      </c>
      <c r="I119" s="260" t="s">
        <v>1003</v>
      </c>
      <c r="J119" s="80" t="str">
        <f t="shared" si="23"/>
        <v/>
      </c>
      <c r="K119" s="81"/>
      <c r="L119" s="82" t="s">
        <v>1004</v>
      </c>
      <c r="M119" s="83">
        <v>46134</v>
      </c>
      <c r="N119" s="83">
        <v>46135</v>
      </c>
      <c r="O119" s="84"/>
      <c r="P119" s="82" t="s">
        <v>1005</v>
      </c>
      <c r="Q119" s="124"/>
      <c r="R119" s="82" t="s">
        <v>1006</v>
      </c>
      <c r="S119" s="120" t="s">
        <v>724</v>
      </c>
      <c r="T119" s="86">
        <v>46132</v>
      </c>
      <c r="U119" s="87" t="str">
        <f>IF(V119="","No AIS",VLOOKUP(V119,'Voyage days'!$A$3:$B$1480,2,FALSE))</f>
        <v>Taiwan + 2</v>
      </c>
      <c r="V119" s="88" t="str">
        <f>IF(VLOOKUP(A119,'1) Kpler'!$E$2:$P$1000,8, FALSE)="","",VLOOKUP(A119,'1) Kpler'!$E$2:$P$1000,8, FALSE))</f>
        <v>Mailiao</v>
      </c>
      <c r="W119" s="89">
        <f>IF(VLOOKUP(A119,'1) Kpler'!$E$2:$P$1000,9,FALSE)="","",VLOOKUP(A119,'1) Kpler'!$E$2:$P$1000,9,FALSE))</f>
        <v>46132.791666666664</v>
      </c>
      <c r="X119" s="88" t="str">
        <f>VLOOKUP(A119,'1) Kpler'!$E$2:$I$1000,4,FALSE)</f>
        <v>loaded</v>
      </c>
      <c r="Y119" s="90" t="str">
        <f t="shared" si="0"/>
        <v>08-09 May</v>
      </c>
      <c r="Z119" s="90" t="str">
        <f t="shared" si="1"/>
        <v>27-28 May</v>
      </c>
      <c r="AA119" s="90" t="str">
        <f t="shared" si="2"/>
        <v>05-06 Jun</v>
      </c>
      <c r="AB119" s="90" t="str">
        <f t="shared" si="3"/>
        <v>20-21 May</v>
      </c>
      <c r="AC119" s="90" t="str">
        <f t="shared" si="4"/>
        <v>26-27 May</v>
      </c>
      <c r="AD119" s="90" t="str">
        <f t="shared" si="5"/>
        <v>28-29 Apr</v>
      </c>
      <c r="AE119" s="91" t="str">
        <f t="shared" si="6"/>
        <v>29-30 Apr</v>
      </c>
      <c r="AF119" s="92" t="str">
        <f t="shared" si="7"/>
        <v>05-06 Jun</v>
      </c>
      <c r="AG119" s="93" t="str">
        <f t="shared" si="8"/>
        <v>08-09 May</v>
      </c>
      <c r="AH119" s="94">
        <f>IFERROR($M119+VLOOKUP($L119,'Voyage days'!$F$38:$H$89,3,FALSE),"")</f>
        <v>46150</v>
      </c>
      <c r="AI119" s="94">
        <f>IFERROR(N119+VLOOKUP($L119,'Voyage days'!$F$38:$H$89,3,FALSE),"")</f>
        <v>46151</v>
      </c>
      <c r="AJ119" s="93" t="str">
        <f t="shared" si="9"/>
        <v>27-28 May</v>
      </c>
      <c r="AK119" s="94">
        <f>IFERROR($M119+VLOOKUP($L119,'Voyage days'!$F$94:$H$193,3,FALSE),"")</f>
        <v>46169</v>
      </c>
      <c r="AL119" s="94">
        <f>IFERROR($N119+VLOOKUP($L119,'Voyage days'!$F$94:$H$193,3,FALSE),"")</f>
        <v>46170</v>
      </c>
      <c r="AM119" s="93" t="str">
        <f t="shared" si="10"/>
        <v>05-06 Jun</v>
      </c>
      <c r="AN119" s="94">
        <f>IFERROR($M119+VLOOKUP($L119,'Voyage days'!$F$203:$H$256,3,FALSE),"")</f>
        <v>46178</v>
      </c>
      <c r="AO119" s="94">
        <f>IFERROR($N119+VLOOKUP($L119,'Voyage days'!$F$203:$H$256,3,FALSE),"")</f>
        <v>46179</v>
      </c>
      <c r="AP119" s="93" t="str">
        <f t="shared" si="11"/>
        <v>20-21 May</v>
      </c>
      <c r="AQ119" s="94">
        <f>IFERROR($M119+VLOOKUP($L119,'Voyage days'!$F$294:$H$377,3,FALSE),"")</f>
        <v>46162</v>
      </c>
      <c r="AR119" s="94">
        <f>IFERROR($N119+VLOOKUP($L119,'Voyage days'!$F$294:$H$377,3,FALSE),"")</f>
        <v>46163</v>
      </c>
      <c r="AS119" s="93" t="str">
        <f t="shared" si="12"/>
        <v>26-27 May</v>
      </c>
      <c r="AT119" s="94">
        <f>IFERROR($M119+VLOOKUP($L119,'Voyage days'!$F$382:$H$446,3,FALSE),"")</f>
        <v>46168</v>
      </c>
      <c r="AU119" s="94">
        <f>IFERROR($N119+VLOOKUP($L119,'Voyage days'!$F$382:$H$446,3,FALSE),"")</f>
        <v>46169</v>
      </c>
      <c r="AV119" s="93" t="str">
        <f t="shared" si="13"/>
        <v>05-06 May</v>
      </c>
      <c r="AW119" s="94">
        <f>IFERROR($M119+VLOOKUP($L119,'Voyage days'!$F$483:$H$538,3,FALSE),"")</f>
        <v>46147</v>
      </c>
      <c r="AX119" s="94">
        <f>IFERROR($N119+VLOOKUP($L119,'Voyage days'!$F$483:$H$538,3,FALSE),"")</f>
        <v>46148</v>
      </c>
      <c r="AY119" s="93" t="str">
        <f t="shared" si="14"/>
        <v>29-30 Apr</v>
      </c>
      <c r="AZ119" s="94">
        <f>IFERROR($M119+VLOOKUP($L119,'Voyage days'!$F$540:$H$613,3,FALSE),"")</f>
        <v>46141</v>
      </c>
      <c r="BA119" s="94">
        <f>IFERROR($N119+VLOOKUP($L119,'Voyage days'!$F$540:$H$613,3,FALSE),"")</f>
        <v>46142</v>
      </c>
      <c r="BB119" s="93" t="str">
        <f t="shared" si="15"/>
        <v>28-29 Apr</v>
      </c>
      <c r="BC119" s="94">
        <f>IFERROR($M119+VLOOKUP($L119,'Voyage days'!$F$448:$H$479,3,FALSE),"")</f>
        <v>46140</v>
      </c>
      <c r="BD119" s="94">
        <f>IFERROR($N119+VLOOKUP($L119,'Voyage days'!$F$448:$H$479,3,FALSE),"")</f>
        <v>46141</v>
      </c>
      <c r="BE119" s="93" t="str">
        <f t="shared" si="16"/>
        <v>06-07 May</v>
      </c>
      <c r="BF119" s="95">
        <f>IFERROR($M119+VLOOKUP($L119,'Voyage days'!$F$620:$H$646,3,FALSE),"")</f>
        <v>46148</v>
      </c>
      <c r="BG119" s="95">
        <f>IFERROR($N119+VLOOKUP($L119,'Voyage days'!$F$620:$H$646,3,FALSE),"")</f>
        <v>46149</v>
      </c>
      <c r="BH119" s="93" t="str">
        <f t="shared" si="17"/>
        <v>29-06 Jun</v>
      </c>
      <c r="BI119" s="96">
        <f>IFERROR($M119+VLOOKUP($L119,'Voyage days'!$F$702:$H$727,3,FALSE),"")</f>
        <v>46141</v>
      </c>
      <c r="BJ119" s="93" t="str">
        <f t="shared" si="18"/>
        <v>05-06 Jun</v>
      </c>
      <c r="BK119" s="95">
        <f>IFERROR($M119+VLOOKUP($L119,'Voyage days'!$F$807:$H$878,3,FALSE),"")</f>
        <v>46178</v>
      </c>
      <c r="BL119" s="95">
        <f>IFERROR($N119+VLOOKUP($L119,'Voyage days'!$F$807:$H$878,3,FALSE),"")</f>
        <v>46179</v>
      </c>
      <c r="BM119" s="95">
        <f>IFERROR($N119+VLOOKUP($L119,'Voyage days'!$F$807:$K$878,6,FALSE),"")</f>
        <v>46152</v>
      </c>
      <c r="BN119" s="94" t="str">
        <f>IF(L119="loads AG", IFERROR($M119+VLOOKUP($L119,'Voyage days'!$M$38:$O$38,3,FALSE),""),"")</f>
        <v/>
      </c>
      <c r="BO119" s="94" t="str">
        <f>IF(L119="loads USG", IFERROR($M119+VLOOKUP($L119,'Voyage days'!$L$203:$N$203,3,FALSE),""),"")</f>
        <v/>
      </c>
    </row>
    <row r="120" spans="1:67" ht="15.75" customHeight="1" x14ac:dyDescent="0.25">
      <c r="A120" s="317" t="s">
        <v>568</v>
      </c>
      <c r="B120" s="119">
        <v>2025</v>
      </c>
      <c r="C120" s="76">
        <v>88000</v>
      </c>
      <c r="D120" s="77"/>
      <c r="E120" s="77"/>
      <c r="F120" s="78"/>
      <c r="G120" s="78"/>
      <c r="H120" s="78" t="s">
        <v>713</v>
      </c>
      <c r="I120" s="260" t="s">
        <v>1003</v>
      </c>
      <c r="J120" s="261"/>
      <c r="K120" s="81"/>
      <c r="L120" s="159" t="s">
        <v>718</v>
      </c>
      <c r="M120" s="83">
        <v>46125</v>
      </c>
      <c r="N120" s="83">
        <v>46126</v>
      </c>
      <c r="O120" s="84"/>
      <c r="P120" s="82" t="s">
        <v>925</v>
      </c>
      <c r="Q120" s="82"/>
      <c r="R120" s="82" t="s">
        <v>1007</v>
      </c>
      <c r="S120" s="120" t="s">
        <v>724</v>
      </c>
      <c r="T120" s="86">
        <v>46132</v>
      </c>
      <c r="U120" s="87" t="str">
        <f>IF(V120="","No AIS",VLOOKUP(V120,'Voyage days'!$A$3:$B$1480,2,FALSE))</f>
        <v>Panama</v>
      </c>
      <c r="V120" s="88" t="str">
        <f>IF(VLOOKUP(A120,'1) Kpler'!$E$2:$P$1000,8, FALSE)="","",VLOOKUP(A120,'1) Kpler'!$E$2:$P$1000,8, FALSE))</f>
        <v>Panama Canal</v>
      </c>
      <c r="W120" s="89">
        <f>IF(VLOOKUP(A120,'1) Kpler'!$E$2:$P$1000,9,FALSE)="","",VLOOKUP(A120,'1) Kpler'!$E$2:$P$1000,9,FALSE))</f>
        <v>46133.875</v>
      </c>
      <c r="X120" s="88" t="str">
        <f>VLOOKUP(A120,'1) Kpler'!$E$2:$I$1000,4,FALSE)</f>
        <v>loaded</v>
      </c>
      <c r="Y120" s="90" t="str">
        <f t="shared" si="0"/>
        <v/>
      </c>
      <c r="Z120" s="90" t="str">
        <f t="shared" si="1"/>
        <v>13-14 Apr</v>
      </c>
      <c r="AA120" s="90" t="str">
        <f t="shared" si="2"/>
        <v>13-14 Apr</v>
      </c>
      <c r="AB120" s="90" t="str">
        <f t="shared" si="3"/>
        <v/>
      </c>
      <c r="AC120" s="90" t="str">
        <f t="shared" si="4"/>
        <v>03-04 May</v>
      </c>
      <c r="AD120" s="90" t="str">
        <f t="shared" si="5"/>
        <v/>
      </c>
      <c r="AE120" s="91" t="str">
        <f t="shared" si="6"/>
        <v/>
      </c>
      <c r="AF120" s="92" t="str">
        <f t="shared" si="7"/>
        <v/>
      </c>
      <c r="AG120" s="93" t="str">
        <f t="shared" si="8"/>
        <v/>
      </c>
      <c r="AH120" s="94" t="str">
        <f>IFERROR($M120+VLOOKUP($L120,'Voyage days'!$F$38:$H$89,3,FALSE),"")</f>
        <v/>
      </c>
      <c r="AI120" s="94" t="str">
        <f>IFERROR(N120+VLOOKUP($L120,'Voyage days'!$F$38:$H$89,3,FALSE),"")</f>
        <v/>
      </c>
      <c r="AJ120" s="93" t="str">
        <f t="shared" si="9"/>
        <v>13-14 Apr</v>
      </c>
      <c r="AK120" s="94">
        <f>IFERROR($M120+VLOOKUP($L120,'Voyage days'!$F$94:$H$193,3,FALSE),"")</f>
        <v>46125</v>
      </c>
      <c r="AL120" s="94">
        <f>IFERROR($N120+VLOOKUP($L120,'Voyage days'!$F$94:$H$193,3,FALSE),"")</f>
        <v>46126</v>
      </c>
      <c r="AM120" s="93" t="str">
        <f t="shared" si="10"/>
        <v>13-14 Apr</v>
      </c>
      <c r="AN120" s="94">
        <f>IFERROR($M120+VLOOKUP($L120,'Voyage days'!$F$203:$H$256,3,FALSE),"")</f>
        <v>46125</v>
      </c>
      <c r="AO120" s="94">
        <f>IFERROR($N120+VLOOKUP($L120,'Voyage days'!$F$203:$H$256,3,FALSE),"")</f>
        <v>46126</v>
      </c>
      <c r="AP120" s="93" t="str">
        <f t="shared" si="11"/>
        <v/>
      </c>
      <c r="AQ120" s="94" t="str">
        <f>IFERROR($M120+VLOOKUP($L120,'Voyage days'!$F$294:$H$377,3,FALSE),"")</f>
        <v/>
      </c>
      <c r="AR120" s="94" t="str">
        <f>IFERROR($N120+VLOOKUP($L120,'Voyage days'!$F$294:$H$377,3,FALSE),"")</f>
        <v/>
      </c>
      <c r="AS120" s="93" t="str">
        <f t="shared" si="12"/>
        <v>03-04 May</v>
      </c>
      <c r="AT120" s="94">
        <f>IFERROR($M120+VLOOKUP($L120,'Voyage days'!$F$382:$H$446,3,FALSE),"")</f>
        <v>46145</v>
      </c>
      <c r="AU120" s="94">
        <f>IFERROR($N120+VLOOKUP($L120,'Voyage days'!$F$382:$H$446,3,FALSE),"")</f>
        <v>46146</v>
      </c>
      <c r="AV120" s="93" t="str">
        <f t="shared" si="13"/>
        <v/>
      </c>
      <c r="AW120" s="94" t="str">
        <f>IFERROR($M120+VLOOKUP($L120,'Voyage days'!$F$483:$H$538,3,FALSE),"")</f>
        <v/>
      </c>
      <c r="AX120" s="94" t="str">
        <f>IFERROR($N120+VLOOKUP($L120,'Voyage days'!$F$483:$H$538,3,FALSE),"")</f>
        <v/>
      </c>
      <c r="AY120" s="93" t="str">
        <f t="shared" si="14"/>
        <v/>
      </c>
      <c r="AZ120" s="94" t="str">
        <f>IFERROR($M120+VLOOKUP($L120,'Voyage days'!$F$540:$H$613,3,FALSE),"")</f>
        <v/>
      </c>
      <c r="BA120" s="94" t="str">
        <f>IFERROR($N120+VLOOKUP($L120,'Voyage days'!$F$540:$H$613,3,FALSE),"")</f>
        <v/>
      </c>
      <c r="BB120" s="93" t="str">
        <f t="shared" si="15"/>
        <v/>
      </c>
      <c r="BC120" s="94" t="str">
        <f>IFERROR($M120+VLOOKUP($L120,'Voyage days'!$F$448:$H$479,3,FALSE),"")</f>
        <v/>
      </c>
      <c r="BD120" s="94" t="str">
        <f>IFERROR($N120+VLOOKUP($L120,'Voyage days'!$F$448:$H$479,3,FALSE),"")</f>
        <v/>
      </c>
      <c r="BE120" s="93" t="str">
        <f t="shared" si="16"/>
        <v/>
      </c>
      <c r="BF120" s="95" t="str">
        <f>IFERROR($M120+VLOOKUP($L120,'Voyage days'!$F$620:$H$646,3,FALSE),"")</f>
        <v/>
      </c>
      <c r="BG120" s="95" t="str">
        <f>IFERROR($N120+VLOOKUP($L120,'Voyage days'!$F$620:$H$646,3,FALSE),"")</f>
        <v/>
      </c>
      <c r="BH120" s="93" t="str">
        <f t="shared" si="17"/>
        <v/>
      </c>
      <c r="BI120" s="96" t="str">
        <f>IFERROR($M120+VLOOKUP($L120,'Voyage days'!$F$702:$H$727,3,FALSE),"")</f>
        <v/>
      </c>
      <c r="BJ120" s="93" t="str">
        <f t="shared" si="18"/>
        <v/>
      </c>
      <c r="BK120" s="95" t="str">
        <f>IFERROR($M120+VLOOKUP($L120,'Voyage days'!$F$807:$H$878,3,FALSE),"")</f>
        <v/>
      </c>
      <c r="BL120" s="95" t="str">
        <f>IFERROR($N120+VLOOKUP($L120,'Voyage days'!$F$807:$H$878,3,FALSE),"")</f>
        <v/>
      </c>
      <c r="BM120" s="95" t="str">
        <f>IFERROR($N120+VLOOKUP($L120,'Voyage days'!$F$807:$K$878,6,FALSE),"")</f>
        <v/>
      </c>
      <c r="BN120" s="94" t="str">
        <f>IF(L120="loads AG", IFERROR($M120+VLOOKUP($L120,'Voyage days'!$M$38:$O$38,3,FALSE),""),"")</f>
        <v/>
      </c>
      <c r="BO120" s="94">
        <f>IF(L120="loads USG", IFERROR($M120+VLOOKUP($L120,'Voyage days'!$L$203:$N$203,3,FALSE),""),"")</f>
        <v>46157</v>
      </c>
    </row>
    <row r="121" spans="1:67" ht="15.75" customHeight="1" x14ac:dyDescent="0.25">
      <c r="A121" s="317" t="s">
        <v>622</v>
      </c>
      <c r="B121" s="119">
        <v>2026</v>
      </c>
      <c r="C121" s="76">
        <v>88000</v>
      </c>
      <c r="D121" s="77"/>
      <c r="E121" s="77"/>
      <c r="F121" s="78"/>
      <c r="G121" s="78"/>
      <c r="H121" s="78"/>
      <c r="I121" s="260" t="s">
        <v>1003</v>
      </c>
      <c r="J121" s="261"/>
      <c r="K121" s="81"/>
      <c r="L121" s="159" t="s">
        <v>718</v>
      </c>
      <c r="M121" s="83">
        <v>46147</v>
      </c>
      <c r="N121" s="82" t="s">
        <v>1008</v>
      </c>
      <c r="O121" s="84"/>
      <c r="P121" s="82" t="s">
        <v>1009</v>
      </c>
      <c r="Q121" s="82"/>
      <c r="R121" s="82" t="s">
        <v>1010</v>
      </c>
      <c r="S121" s="120" t="s">
        <v>724</v>
      </c>
      <c r="T121" s="86">
        <v>46132</v>
      </c>
      <c r="U121" s="87" t="str">
        <f>IF(V121="","No AIS",VLOOKUP(V121,'Voyage days'!$A$3:$B$1480,2,FALSE))</f>
        <v>USG</v>
      </c>
      <c r="V121" s="88" t="str">
        <f>IF(VLOOKUP(A121,'1) Kpler'!$E$2:$P$1000,8, FALSE)="","",VLOOKUP(A121,'1) Kpler'!$E$2:$P$1000,8, FALSE))</f>
        <v>Houston</v>
      </c>
      <c r="W121" s="89">
        <f>IF(VLOOKUP(A121,'1) Kpler'!$E$2:$P$1000,9,FALSE)="","",VLOOKUP(A121,'1) Kpler'!$E$2:$P$1000,9,FALSE))</f>
        <v>46147.625</v>
      </c>
      <c r="X121" s="88" t="str">
        <f>VLOOKUP(A121,'1) Kpler'!$E$2:$I$1000,4,FALSE)</f>
        <v>ballast</v>
      </c>
      <c r="Y121" s="90" t="str">
        <f t="shared" si="0"/>
        <v/>
      </c>
      <c r="Z121" s="90" t="str">
        <f t="shared" si="1"/>
        <v>05-</v>
      </c>
      <c r="AA121" s="90" t="str">
        <f t="shared" si="2"/>
        <v>05-</v>
      </c>
      <c r="AB121" s="90" t="str">
        <f t="shared" si="3"/>
        <v/>
      </c>
      <c r="AC121" s="90" t="str">
        <f t="shared" si="4"/>
        <v>25-</v>
      </c>
      <c r="AD121" s="90" t="str">
        <f t="shared" si="5"/>
        <v/>
      </c>
      <c r="AE121" s="91" t="str">
        <f t="shared" si="6"/>
        <v/>
      </c>
      <c r="AF121" s="92" t="str">
        <f t="shared" si="7"/>
        <v/>
      </c>
      <c r="AG121" s="93" t="str">
        <f t="shared" si="8"/>
        <v/>
      </c>
      <c r="AH121" s="94" t="str">
        <f>IFERROR($M121+VLOOKUP($L121,'Voyage days'!$F$38:$H$89,3,FALSE),"")</f>
        <v/>
      </c>
      <c r="AI121" s="94" t="str">
        <f>IFERROR(N121+VLOOKUP($L121,'Voyage days'!$F$38:$H$89,3,FALSE),"")</f>
        <v/>
      </c>
      <c r="AJ121" s="93" t="str">
        <f t="shared" si="9"/>
        <v>05-</v>
      </c>
      <c r="AK121" s="94">
        <f>IFERROR($M121+VLOOKUP($L121,'Voyage days'!$F$94:$H$193,3,FALSE),"")</f>
        <v>46147</v>
      </c>
      <c r="AL121" s="94" t="str">
        <f>IFERROR($N121+VLOOKUP($L121,'Voyage days'!$F$94:$H$193,3,FALSE),"")</f>
        <v/>
      </c>
      <c r="AM121" s="93" t="str">
        <f t="shared" si="10"/>
        <v>05-</v>
      </c>
      <c r="AN121" s="94">
        <f>IFERROR($M121+VLOOKUP($L121,'Voyage days'!$F$203:$H$256,3,FALSE),"")</f>
        <v>46147</v>
      </c>
      <c r="AO121" s="94" t="str">
        <f>IFERROR($N121+VLOOKUP($L121,'Voyage days'!$F$203:$H$256,3,FALSE),"")</f>
        <v/>
      </c>
      <c r="AP121" s="93" t="str">
        <f t="shared" si="11"/>
        <v/>
      </c>
      <c r="AQ121" s="94" t="str">
        <f>IFERROR($M121+VLOOKUP($L121,'Voyage days'!$F$294:$H$377,3,FALSE),"")</f>
        <v/>
      </c>
      <c r="AR121" s="94" t="str">
        <f>IFERROR($N121+VLOOKUP($L121,'Voyage days'!$F$294:$H$377,3,FALSE),"")</f>
        <v/>
      </c>
      <c r="AS121" s="93" t="str">
        <f t="shared" si="12"/>
        <v>25-</v>
      </c>
      <c r="AT121" s="94">
        <f>IFERROR($M121+VLOOKUP($L121,'Voyage days'!$F$382:$H$446,3,FALSE),"")</f>
        <v>46167</v>
      </c>
      <c r="AU121" s="94" t="str">
        <f>IFERROR($N121+VLOOKUP($L121,'Voyage days'!$F$382:$H$446,3,FALSE),"")</f>
        <v/>
      </c>
      <c r="AV121" s="93" t="str">
        <f t="shared" si="13"/>
        <v/>
      </c>
      <c r="AW121" s="94" t="str">
        <f>IFERROR($M121+VLOOKUP($L121,'Voyage days'!$F$483:$H$538,3,FALSE),"")</f>
        <v/>
      </c>
      <c r="AX121" s="94" t="str">
        <f>IFERROR($N121+VLOOKUP($L121,'Voyage days'!$F$483:$H$538,3,FALSE),"")</f>
        <v/>
      </c>
      <c r="AY121" s="93" t="str">
        <f t="shared" si="14"/>
        <v/>
      </c>
      <c r="AZ121" s="94" t="str">
        <f>IFERROR($M121+VLOOKUP($L121,'Voyage days'!$F$540:$H$613,3,FALSE),"")</f>
        <v/>
      </c>
      <c r="BA121" s="94" t="str">
        <f>IFERROR($N121+VLOOKUP($L121,'Voyage days'!$F$540:$H$613,3,FALSE),"")</f>
        <v/>
      </c>
      <c r="BB121" s="93" t="str">
        <f t="shared" si="15"/>
        <v/>
      </c>
      <c r="BC121" s="94" t="str">
        <f>IFERROR($M121+VLOOKUP($L121,'Voyage days'!$F$448:$H$479,3,FALSE),"")</f>
        <v/>
      </c>
      <c r="BD121" s="94" t="str">
        <f>IFERROR($N121+VLOOKUP($L121,'Voyage days'!$F$448:$H$479,3,FALSE),"")</f>
        <v/>
      </c>
      <c r="BE121" s="93" t="str">
        <f t="shared" si="16"/>
        <v/>
      </c>
      <c r="BF121" s="95" t="str">
        <f>IFERROR($M121+VLOOKUP($L121,'Voyage days'!$F$620:$H$646,3,FALSE),"")</f>
        <v/>
      </c>
      <c r="BG121" s="95" t="str">
        <f>IFERROR($N121+VLOOKUP($L121,'Voyage days'!$F$620:$H$646,3,FALSE),"")</f>
        <v/>
      </c>
      <c r="BH121" s="93" t="str">
        <f t="shared" si="17"/>
        <v/>
      </c>
      <c r="BI121" s="96" t="str">
        <f>IFERROR($M121+VLOOKUP($L121,'Voyage days'!$F$702:$H$727,3,FALSE),"")</f>
        <v/>
      </c>
      <c r="BJ121" s="93" t="str">
        <f t="shared" si="18"/>
        <v/>
      </c>
      <c r="BK121" s="95" t="str">
        <f>IFERROR($M121+VLOOKUP($L121,'Voyage days'!$F$807:$H$878,3,FALSE),"")</f>
        <v/>
      </c>
      <c r="BL121" s="95" t="str">
        <f>IFERROR($N121+VLOOKUP($L121,'Voyage days'!$F$807:$H$878,3,FALSE),"")</f>
        <v/>
      </c>
      <c r="BM121" s="95" t="str">
        <f>IFERROR($N121+VLOOKUP($L121,'Voyage days'!$F$807:$K$878,6,FALSE),"")</f>
        <v/>
      </c>
      <c r="BN121" s="94" t="str">
        <f>IF(L121="loads AG", IFERROR($M121+VLOOKUP($L121,'Voyage days'!$M$38:$O$38,3,FALSE),""),"")</f>
        <v/>
      </c>
      <c r="BO121" s="94">
        <f>IF(L121="loads USG", IFERROR($M121+VLOOKUP($L121,'Voyage days'!$L$203:$N$203,3,FALSE),""),"")</f>
        <v>46179</v>
      </c>
    </row>
    <row r="122" spans="1:67" ht="15.75" customHeight="1" x14ac:dyDescent="0.25">
      <c r="A122" s="317" t="s">
        <v>629</v>
      </c>
      <c r="B122" s="75">
        <v>43039</v>
      </c>
      <c r="C122" s="76">
        <v>78700</v>
      </c>
      <c r="D122" s="77" t="s">
        <v>651</v>
      </c>
      <c r="E122" s="77"/>
      <c r="F122" s="78"/>
      <c r="G122" s="78"/>
      <c r="H122" s="78"/>
      <c r="I122" s="260" t="s">
        <v>1003</v>
      </c>
      <c r="J122" s="80" t="str">
        <f t="shared" ref="J122:J149" si="24">IF(W122="","NO AIS",IF((W122-M122-1)&gt;0,"Update",""))</f>
        <v/>
      </c>
      <c r="K122" s="81"/>
      <c r="L122" s="159" t="s">
        <v>901</v>
      </c>
      <c r="M122" s="83">
        <v>46152</v>
      </c>
      <c r="N122" s="83">
        <v>46153</v>
      </c>
      <c r="O122" s="84"/>
      <c r="P122" s="82" t="s">
        <v>1011</v>
      </c>
      <c r="Q122" s="82"/>
      <c r="R122" s="82" t="s">
        <v>1012</v>
      </c>
      <c r="S122" s="120" t="s">
        <v>724</v>
      </c>
      <c r="T122" s="86">
        <v>46132</v>
      </c>
      <c r="U122" s="87" t="str">
        <f>IF(V122="","No AIS",VLOOKUP(V122,'Voyage days'!$A$3:$B$1480,2,FALSE))</f>
        <v>North China +4</v>
      </c>
      <c r="V122" s="88" t="str">
        <f>IF(VLOOKUP(A122,'1) Kpler'!$E$2:$P$1000,8, FALSE)="","",VLOOKUP(A122,'1) Kpler'!$E$2:$P$1000,8, FALSE))</f>
        <v>Qingdao Huangdao</v>
      </c>
      <c r="W122" s="89">
        <f>IF(VLOOKUP(A122,'1) Kpler'!$E$2:$P$1000,9,FALSE)="","",VLOOKUP(A122,'1) Kpler'!$E$2:$P$1000,9,FALSE))</f>
        <v>46148.458333333336</v>
      </c>
      <c r="X122" s="88" t="str">
        <f>VLOOKUP(A122,'1) Kpler'!$E$2:$I$1000,4,FALSE)</f>
        <v>loaded</v>
      </c>
      <c r="Y122" s="63" t="str">
        <f t="shared" si="0"/>
        <v>28-29 May</v>
      </c>
      <c r="Z122" s="63" t="str">
        <f t="shared" si="1"/>
        <v>11-12 Jun</v>
      </c>
      <c r="AA122" s="63" t="str">
        <f t="shared" si="2"/>
        <v>21-22 Jun</v>
      </c>
      <c r="AB122" s="63" t="str">
        <f t="shared" si="3"/>
        <v>08-09 Jun</v>
      </c>
      <c r="AC122" s="63" t="str">
        <f t="shared" si="4"/>
        <v>14-15 Jun</v>
      </c>
      <c r="AD122" s="63" t="str">
        <f t="shared" si="5"/>
        <v>18-19 May</v>
      </c>
      <c r="AE122" s="129" t="str">
        <f t="shared" si="6"/>
        <v>19-20 May</v>
      </c>
      <c r="AF122" s="130" t="str">
        <f t="shared" si="7"/>
        <v>25-26 Jun</v>
      </c>
      <c r="AG122" s="93" t="str">
        <f t="shared" si="8"/>
        <v>28-29 May</v>
      </c>
      <c r="AH122" s="94">
        <f>IFERROR($M122+VLOOKUP($L122,'Voyage days'!$F$38:$H$89,3,FALSE),"")</f>
        <v>46170</v>
      </c>
      <c r="AI122" s="94">
        <f>IFERROR(N122+VLOOKUP($L122,'Voyage days'!$F$38:$H$89,3,FALSE),"")</f>
        <v>46171</v>
      </c>
      <c r="AJ122" s="93" t="str">
        <f t="shared" si="9"/>
        <v>11-12 Jun</v>
      </c>
      <c r="AK122" s="94">
        <f>IFERROR($M122+VLOOKUP($L122,'Voyage days'!$F$94:$H$193,3,FALSE),"")</f>
        <v>46184</v>
      </c>
      <c r="AL122" s="94">
        <f>IFERROR($N122+VLOOKUP($L122,'Voyage days'!$F$94:$H$193,3,FALSE),"")</f>
        <v>46185</v>
      </c>
      <c r="AM122" s="93" t="str">
        <f t="shared" si="10"/>
        <v>21-22 Jun</v>
      </c>
      <c r="AN122" s="94">
        <f>IFERROR($M122+VLOOKUP($L122,'Voyage days'!$F$203:$H$256,3,FALSE),"")</f>
        <v>46194</v>
      </c>
      <c r="AO122" s="94">
        <f>IFERROR($N122+VLOOKUP($L122,'Voyage days'!$F$203:$H$256,3,FALSE),"")</f>
        <v>46195</v>
      </c>
      <c r="AP122" s="93" t="str">
        <f t="shared" si="11"/>
        <v>08-09 Jun</v>
      </c>
      <c r="AQ122" s="94">
        <f>IFERROR($M122+VLOOKUP($L122,'Voyage days'!$F$294:$H$377,3,FALSE),"")</f>
        <v>46181</v>
      </c>
      <c r="AR122" s="94">
        <f>IFERROR($N122+VLOOKUP($L122,'Voyage days'!$F$294:$H$377,3,FALSE),"")</f>
        <v>46182</v>
      </c>
      <c r="AS122" s="93" t="str">
        <f t="shared" si="12"/>
        <v>14-15 Jun</v>
      </c>
      <c r="AT122" s="94">
        <f>IFERROR($M122+VLOOKUP($L122,'Voyage days'!$F$382:$H$446,3,FALSE),"")</f>
        <v>46187</v>
      </c>
      <c r="AU122" s="94">
        <f>IFERROR($N122+VLOOKUP($L122,'Voyage days'!$F$382:$H$446,3,FALSE),"")</f>
        <v>46188</v>
      </c>
      <c r="AV122" s="93" t="str">
        <f t="shared" si="13"/>
        <v>25-26 May</v>
      </c>
      <c r="AW122" s="94">
        <f>IFERROR($M122+VLOOKUP($L122,'Voyage days'!$F$483:$H$538,3,FALSE),"")</f>
        <v>46167</v>
      </c>
      <c r="AX122" s="94">
        <f>IFERROR($N122+VLOOKUP($L122,'Voyage days'!$F$483:$H$538,3,FALSE),"")</f>
        <v>46168</v>
      </c>
      <c r="AY122" s="93" t="str">
        <f t="shared" si="14"/>
        <v>19-20 May</v>
      </c>
      <c r="AZ122" s="94">
        <f>IFERROR($M122+VLOOKUP($L122,'Voyage days'!$F$540:$H$613,3,FALSE),"")</f>
        <v>46161</v>
      </c>
      <c r="BA122" s="94">
        <f>IFERROR($N122+VLOOKUP($L122,'Voyage days'!$F$540:$H$613,3,FALSE),"")</f>
        <v>46162</v>
      </c>
      <c r="BB122" s="93" t="str">
        <f t="shared" si="15"/>
        <v>18-19 May</v>
      </c>
      <c r="BC122" s="94">
        <f>IFERROR($M122+VLOOKUP($L122,'Voyage days'!$F$448:$H$479,3,FALSE),"")</f>
        <v>46160</v>
      </c>
      <c r="BD122" s="94">
        <f>IFERROR($N122+VLOOKUP($L122,'Voyage days'!$F$448:$H$479,3,FALSE),"")</f>
        <v>46161</v>
      </c>
      <c r="BE122" s="93" t="str">
        <f t="shared" si="16"/>
        <v>23-24 May</v>
      </c>
      <c r="BF122" s="95">
        <f>IFERROR($M122+VLOOKUP($L122,'Voyage days'!$F$620:$H$646,3,FALSE),"")</f>
        <v>46165</v>
      </c>
      <c r="BG122" s="95">
        <f>IFERROR($N122+VLOOKUP($L122,'Voyage days'!$F$620:$H$646,3,FALSE),"")</f>
        <v>46166</v>
      </c>
      <c r="BH122" s="93" t="str">
        <f t="shared" si="17"/>
        <v>19-26 Jun</v>
      </c>
      <c r="BI122" s="96">
        <f>IFERROR($M122+VLOOKUP($L122,'Voyage days'!$F$702:$H$727,3,FALSE),"")</f>
        <v>46161</v>
      </c>
      <c r="BJ122" s="93" t="str">
        <f t="shared" si="18"/>
        <v>25-26 Jun</v>
      </c>
      <c r="BK122" s="95">
        <f>IFERROR($M122+VLOOKUP($L122,'Voyage days'!$F$807:$H$878,3,FALSE),"")</f>
        <v>46198</v>
      </c>
      <c r="BL122" s="95">
        <f>IFERROR($N122+VLOOKUP($L122,'Voyage days'!$F$807:$H$878,3,FALSE),"")</f>
        <v>46199</v>
      </c>
      <c r="BM122" s="95">
        <f>IFERROR($N122+VLOOKUP($L122,'Voyage days'!$F$807:$K$878,6,FALSE),"")</f>
        <v>46173</v>
      </c>
      <c r="BN122" s="94" t="str">
        <f>IF(L122="loads AG", IFERROR($M122+VLOOKUP($L122,'Voyage days'!$M$38:$O$38,3,FALSE),""),"")</f>
        <v/>
      </c>
      <c r="BO122" s="94" t="str">
        <f>IF(L122="loads USG", IFERROR($M122+VLOOKUP($L122,'Voyage days'!$L$203:$N$203,3,FALSE),""),"")</f>
        <v/>
      </c>
    </row>
    <row r="123" spans="1:67" ht="15.75" customHeight="1" x14ac:dyDescent="0.25">
      <c r="A123" s="360" t="s">
        <v>627</v>
      </c>
      <c r="B123" s="176">
        <v>43104</v>
      </c>
      <c r="C123" s="134">
        <v>78700</v>
      </c>
      <c r="D123" s="143" t="s">
        <v>651</v>
      </c>
      <c r="E123" s="143"/>
      <c r="F123" s="136"/>
      <c r="G123" s="136"/>
      <c r="H123" s="136"/>
      <c r="I123" s="137" t="s">
        <v>1003</v>
      </c>
      <c r="J123" s="138" t="str">
        <f t="shared" si="24"/>
        <v/>
      </c>
      <c r="K123" s="139"/>
      <c r="L123" s="140" t="s">
        <v>718</v>
      </c>
      <c r="M123" s="361">
        <v>46137</v>
      </c>
      <c r="N123" s="141">
        <v>46138</v>
      </c>
      <c r="O123" s="142" t="s">
        <v>779</v>
      </c>
      <c r="P123" s="278" t="s">
        <v>1013</v>
      </c>
      <c r="Q123" s="140"/>
      <c r="R123" s="140" t="s">
        <v>1014</v>
      </c>
      <c r="S123" s="279" t="s">
        <v>724</v>
      </c>
      <c r="T123" s="144">
        <v>46132</v>
      </c>
      <c r="U123" s="145" t="str">
        <f>IF(V123="","No AIS",VLOOKUP(V123,'Voyage days'!$A$3:$B$1480,2,FALSE))</f>
        <v>USG</v>
      </c>
      <c r="V123" s="146" t="str">
        <f>IF(VLOOKUP(A123,'1) Kpler'!$E$2:$P$1000,8, FALSE)="","",VLOOKUP(A123,'1) Kpler'!$E$2:$P$1000,8, FALSE))</f>
        <v>Houston</v>
      </c>
      <c r="W123" s="147">
        <f>IF(VLOOKUP(A123,'1) Kpler'!$E$2:$P$1000,9,FALSE)="","",VLOOKUP(A123,'1) Kpler'!$E$2:$P$1000,9,FALSE))</f>
        <v>46137.708333333336</v>
      </c>
      <c r="X123" s="146" t="str">
        <f>VLOOKUP(A123,'1) Kpler'!$E$2:$I$1000,4,FALSE)</f>
        <v>ballast</v>
      </c>
      <c r="Y123" s="148" t="str">
        <f t="shared" si="0"/>
        <v/>
      </c>
      <c r="Z123" s="148" t="str">
        <f t="shared" si="1"/>
        <v>25-26 Apr</v>
      </c>
      <c r="AA123" s="148" t="str">
        <f t="shared" si="2"/>
        <v>25-26 Apr</v>
      </c>
      <c r="AB123" s="148" t="str">
        <f t="shared" si="3"/>
        <v/>
      </c>
      <c r="AC123" s="148" t="str">
        <f t="shared" si="4"/>
        <v>15-16 May</v>
      </c>
      <c r="AD123" s="148" t="str">
        <f t="shared" si="5"/>
        <v/>
      </c>
      <c r="AE123" s="149" t="str">
        <f t="shared" si="6"/>
        <v/>
      </c>
      <c r="AF123" s="150" t="str">
        <f t="shared" si="7"/>
        <v/>
      </c>
      <c r="AG123" s="93" t="str">
        <f t="shared" si="8"/>
        <v/>
      </c>
      <c r="AH123" s="94" t="str">
        <f>IFERROR($M123+VLOOKUP($L123,'Voyage days'!$F$38:$H$89,3,FALSE),"")</f>
        <v/>
      </c>
      <c r="AI123" s="94" t="str">
        <f>IFERROR(N123+VLOOKUP($L123,'Voyage days'!$F$38:$H$89,3,FALSE),"")</f>
        <v/>
      </c>
      <c r="AJ123" s="93" t="str">
        <f t="shared" si="9"/>
        <v>25-26 Apr</v>
      </c>
      <c r="AK123" s="94">
        <f>IFERROR($M123+VLOOKUP($L123,'Voyage days'!$F$94:$H$193,3,FALSE),"")</f>
        <v>46137</v>
      </c>
      <c r="AL123" s="94">
        <f>IFERROR($N123+VLOOKUP($L123,'Voyage days'!$F$94:$H$193,3,FALSE),"")</f>
        <v>46138</v>
      </c>
      <c r="AM123" s="93" t="str">
        <f t="shared" si="10"/>
        <v>25-26 Apr</v>
      </c>
      <c r="AN123" s="94">
        <f>IFERROR($M123+VLOOKUP($L123,'Voyage days'!$F$203:$H$256,3,FALSE),"")</f>
        <v>46137</v>
      </c>
      <c r="AO123" s="94">
        <f>IFERROR($N123+VLOOKUP($L123,'Voyage days'!$F$203:$H$256,3,FALSE),"")</f>
        <v>46138</v>
      </c>
      <c r="AP123" s="93" t="str">
        <f t="shared" si="11"/>
        <v/>
      </c>
      <c r="AQ123" s="94" t="str">
        <f>IFERROR($M123+VLOOKUP($L123,'Voyage days'!$F$294:$H$377,3,FALSE),"")</f>
        <v/>
      </c>
      <c r="AR123" s="94" t="str">
        <f>IFERROR($N123+VLOOKUP($L123,'Voyage days'!$F$294:$H$377,3,FALSE),"")</f>
        <v/>
      </c>
      <c r="AS123" s="93" t="str">
        <f t="shared" si="12"/>
        <v>15-16 May</v>
      </c>
      <c r="AT123" s="94">
        <f>IFERROR($M123+VLOOKUP($L123,'Voyage days'!$F$382:$H$446,3,FALSE),"")</f>
        <v>46157</v>
      </c>
      <c r="AU123" s="94">
        <f>IFERROR($N123+VLOOKUP($L123,'Voyage days'!$F$382:$H$446,3,FALSE),"")</f>
        <v>46158</v>
      </c>
      <c r="AV123" s="93" t="str">
        <f t="shared" si="13"/>
        <v/>
      </c>
      <c r="AW123" s="94" t="str">
        <f>IFERROR($M123+VLOOKUP($L123,'Voyage days'!$F$483:$H$538,3,FALSE),"")</f>
        <v/>
      </c>
      <c r="AX123" s="94" t="str">
        <f>IFERROR($N123+VLOOKUP($L123,'Voyage days'!$F$483:$H$538,3,FALSE),"")</f>
        <v/>
      </c>
      <c r="AY123" s="93" t="str">
        <f t="shared" si="14"/>
        <v/>
      </c>
      <c r="AZ123" s="94" t="str">
        <f>IFERROR($M123+VLOOKUP($L123,'Voyage days'!$F$540:$H$613,3,FALSE),"")</f>
        <v/>
      </c>
      <c r="BA123" s="94" t="str">
        <f>IFERROR($N123+VLOOKUP($L123,'Voyage days'!$F$540:$H$613,3,FALSE),"")</f>
        <v/>
      </c>
      <c r="BB123" s="93" t="str">
        <f t="shared" si="15"/>
        <v/>
      </c>
      <c r="BC123" s="94" t="str">
        <f>IFERROR($M123+VLOOKUP($L123,'Voyage days'!$F$448:$H$479,3,FALSE),"")</f>
        <v/>
      </c>
      <c r="BD123" s="94" t="str">
        <f>IFERROR($N123+VLOOKUP($L123,'Voyage days'!$F$448:$H$479,3,FALSE),"")</f>
        <v/>
      </c>
      <c r="BE123" s="93" t="str">
        <f t="shared" si="16"/>
        <v/>
      </c>
      <c r="BF123" s="95" t="str">
        <f>IFERROR($M123+VLOOKUP($L123,'Voyage days'!$F$620:$H$646,3,FALSE),"")</f>
        <v/>
      </c>
      <c r="BG123" s="95" t="str">
        <f>IFERROR($N123+VLOOKUP($L123,'Voyage days'!$F$620:$H$646,3,FALSE),"")</f>
        <v/>
      </c>
      <c r="BH123" s="93" t="str">
        <f t="shared" si="17"/>
        <v/>
      </c>
      <c r="BI123" s="96" t="str">
        <f>IFERROR($M123+VLOOKUP($L123,'Voyage days'!$F$702:$H$727,3,FALSE),"")</f>
        <v/>
      </c>
      <c r="BJ123" s="93" t="str">
        <f t="shared" si="18"/>
        <v/>
      </c>
      <c r="BK123" s="95" t="str">
        <f>IFERROR($M123+VLOOKUP($L123,'Voyage days'!$F$807:$H$878,3,FALSE),"")</f>
        <v/>
      </c>
      <c r="BL123" s="95" t="str">
        <f>IFERROR($N123+VLOOKUP($L123,'Voyage days'!$F$807:$H$878,3,FALSE),"")</f>
        <v/>
      </c>
      <c r="BM123" s="95" t="str">
        <f>IFERROR($N123+VLOOKUP($L123,'Voyage days'!$F$807:$K$878,6,FALSE),"")</f>
        <v/>
      </c>
      <c r="BN123" s="94" t="str">
        <f>IF(L123="loads AG", IFERROR($M123+VLOOKUP($L123,'Voyage days'!$M$38:$O$38,3,FALSE),""),"")</f>
        <v/>
      </c>
      <c r="BO123" s="94">
        <f>IF(L123="loads USG", IFERROR($M123+VLOOKUP($L123,'Voyage days'!$L$203:$N$203,3,FALSE),""),"")</f>
        <v>46169</v>
      </c>
    </row>
    <row r="124" spans="1:67" ht="15.75" customHeight="1" x14ac:dyDescent="0.25">
      <c r="A124" s="218" t="s">
        <v>79</v>
      </c>
      <c r="B124" s="119">
        <v>2023</v>
      </c>
      <c r="C124" s="151">
        <v>86700</v>
      </c>
      <c r="D124" s="120"/>
      <c r="E124" s="120"/>
      <c r="F124" s="121"/>
      <c r="G124" s="121"/>
      <c r="H124" s="121" t="s">
        <v>713</v>
      </c>
      <c r="I124" s="249" t="s">
        <v>1015</v>
      </c>
      <c r="J124" s="122" t="str">
        <f t="shared" si="24"/>
        <v/>
      </c>
      <c r="K124" s="123"/>
      <c r="L124" s="82" t="s">
        <v>704</v>
      </c>
      <c r="M124" s="189">
        <v>46147</v>
      </c>
      <c r="N124" s="189">
        <v>46148</v>
      </c>
      <c r="O124" s="126"/>
      <c r="P124" s="124" t="s">
        <v>1016</v>
      </c>
      <c r="Q124" s="124"/>
      <c r="R124" s="124" t="s">
        <v>1017</v>
      </c>
      <c r="S124" s="120" t="s">
        <v>724</v>
      </c>
      <c r="T124" s="232">
        <v>46132</v>
      </c>
      <c r="U124" s="87" t="str">
        <f>IF(V124="","No AIS",VLOOKUP(V124,'Voyage days'!$A$3:$B$1480,2,FALSE))</f>
        <v>+14 days to Far East</v>
      </c>
      <c r="V124" s="87" t="str">
        <f>IF(VLOOKUP(A124,'1) Kpler'!$E$2:$P$1000,8, FALSE)="","",VLOOKUP(A124,'1) Kpler'!$E$2:$P$1000,8, FALSE))</f>
        <v>RIPET</v>
      </c>
      <c r="W124" s="128">
        <f>IF(VLOOKUP(A124,'1) Kpler'!$E$2:$P$1000,9,FALSE)="","",VLOOKUP(A124,'1) Kpler'!$E$2:$P$1000,9,FALSE))</f>
        <v>46133.833333333336</v>
      </c>
      <c r="X124" s="87" t="str">
        <f>VLOOKUP(A124,'1) Kpler'!$E$2:$I$1000,4,FALSE)</f>
        <v>ballast</v>
      </c>
      <c r="Y124" s="219" t="str">
        <f t="shared" si="0"/>
        <v>23-24 May</v>
      </c>
      <c r="Z124" s="219" t="str">
        <f t="shared" si="1"/>
        <v>04-05 Jun</v>
      </c>
      <c r="AA124" s="219" t="str">
        <f t="shared" si="2"/>
        <v>12-13 Jun</v>
      </c>
      <c r="AB124" s="219" t="str">
        <f t="shared" si="3"/>
        <v>04-05 Jun</v>
      </c>
      <c r="AC124" s="219" t="str">
        <f t="shared" si="4"/>
        <v>10-11 Jun</v>
      </c>
      <c r="AD124" s="219" t="str">
        <f t="shared" si="5"/>
        <v>13-14 May</v>
      </c>
      <c r="AE124" s="220" t="str">
        <f t="shared" si="6"/>
        <v>13-14 May</v>
      </c>
      <c r="AF124" s="130" t="str">
        <f t="shared" si="7"/>
        <v>20-21 Jun</v>
      </c>
      <c r="AG124" s="131" t="str">
        <f t="shared" si="8"/>
        <v>23-24 May</v>
      </c>
      <c r="AH124" s="95">
        <f>IFERROR($M124+VLOOKUP($L124,'Voyage days'!$F$38:$H$89,3,FALSE),"")</f>
        <v>46165</v>
      </c>
      <c r="AI124" s="95">
        <f>IFERROR(N124+VLOOKUP($L124,'Voyage days'!$F$38:$H$89,3,FALSE),"")</f>
        <v>46166</v>
      </c>
      <c r="AJ124" s="131" t="str">
        <f t="shared" si="9"/>
        <v>04-05 Jun</v>
      </c>
      <c r="AK124" s="95">
        <f>IFERROR($M124+VLOOKUP($L124,'Voyage days'!$F$94:$H$193,3,FALSE),"")</f>
        <v>46177</v>
      </c>
      <c r="AL124" s="95">
        <f>IFERROR($N124+VLOOKUP($L124,'Voyage days'!$F$94:$H$193,3,FALSE),"")</f>
        <v>46178</v>
      </c>
      <c r="AM124" s="131" t="str">
        <f t="shared" si="10"/>
        <v>12-13 Jun</v>
      </c>
      <c r="AN124" s="95">
        <f>IFERROR($M124+VLOOKUP($L124,'Voyage days'!$F$203:$H$256,3,FALSE),"")</f>
        <v>46185</v>
      </c>
      <c r="AO124" s="95">
        <f>IFERROR($N124+VLOOKUP($L124,'Voyage days'!$F$203:$H$256,3,FALSE),"")</f>
        <v>46186</v>
      </c>
      <c r="AP124" s="131" t="str">
        <f t="shared" si="11"/>
        <v>04-05 Jun</v>
      </c>
      <c r="AQ124" s="95">
        <f>IFERROR($M124+VLOOKUP($L124,'Voyage days'!$F$294:$H$377,3,FALSE),"")</f>
        <v>46177</v>
      </c>
      <c r="AR124" s="95">
        <f>IFERROR($N124+VLOOKUP($L124,'Voyage days'!$F$294:$H$377,3,FALSE),"")</f>
        <v>46178</v>
      </c>
      <c r="AS124" s="131" t="str">
        <f t="shared" si="12"/>
        <v>10-11 Jun</v>
      </c>
      <c r="AT124" s="95">
        <f>IFERROR($M124+VLOOKUP($L124,'Voyage days'!$F$382:$H$446,3,FALSE),"")</f>
        <v>46183</v>
      </c>
      <c r="AU124" s="95">
        <f>IFERROR($N124+VLOOKUP($L124,'Voyage days'!$F$382:$H$446,3,FALSE),"")</f>
        <v>46184</v>
      </c>
      <c r="AV124" s="131" t="str">
        <f t="shared" si="13"/>
        <v>18-19 May</v>
      </c>
      <c r="AW124" s="95">
        <f>IFERROR($M124+VLOOKUP($L124,'Voyage days'!$F$483:$H$538,3,FALSE),"")</f>
        <v>46160</v>
      </c>
      <c r="AX124" s="95">
        <f>IFERROR($N124+VLOOKUP($L124,'Voyage days'!$F$483:$H$538,3,FALSE),"")</f>
        <v>46161</v>
      </c>
      <c r="AY124" s="131" t="str">
        <f t="shared" si="14"/>
        <v>13-14 May</v>
      </c>
      <c r="AZ124" s="95">
        <f>IFERROR($M124+VLOOKUP($L124,'Voyage days'!$F$540:$H$613,3,FALSE),"")</f>
        <v>46155.25</v>
      </c>
      <c r="BA124" s="95">
        <f>IFERROR($N124+VLOOKUP($L124,'Voyage days'!$F$540:$H$613,3,FALSE),"")</f>
        <v>46156.25</v>
      </c>
      <c r="BB124" s="131" t="str">
        <f t="shared" si="15"/>
        <v>13-14 May</v>
      </c>
      <c r="BC124" s="94">
        <f>IFERROR($M124+VLOOKUP($L124,'Voyage days'!$F$448:$H$479,3,FALSE),"")</f>
        <v>46155</v>
      </c>
      <c r="BD124" s="94">
        <f>IFERROR($N124+VLOOKUP($L124,'Voyage days'!$F$448:$H$479,3,FALSE),"")</f>
        <v>46156</v>
      </c>
      <c r="BE124" s="131" t="str">
        <f t="shared" si="16"/>
        <v>16-17 May</v>
      </c>
      <c r="BF124" s="95">
        <f>IFERROR($M124+VLOOKUP($L124,'Voyage days'!$F$620:$H$646,3,FALSE),"")</f>
        <v>46158</v>
      </c>
      <c r="BG124" s="95">
        <f>IFERROR($N124+VLOOKUP($L124,'Voyage days'!$F$620:$H$646,3,FALSE),"")</f>
        <v>46159</v>
      </c>
      <c r="BH124" s="131" t="str">
        <f t="shared" si="17"/>
        <v>13-21 Jun</v>
      </c>
      <c r="BI124" s="96">
        <f>IFERROR($M124+VLOOKUP($L124,'Voyage days'!$F$702:$H$727,3,FALSE),"")</f>
        <v>46155.25</v>
      </c>
      <c r="BJ124" s="131" t="str">
        <f t="shared" si="18"/>
        <v>20-21 Jun</v>
      </c>
      <c r="BK124" s="95">
        <f>IFERROR($M124+VLOOKUP($L124,'Voyage days'!$F$807:$H$878,3,FALSE),"")</f>
        <v>46193</v>
      </c>
      <c r="BL124" s="95">
        <f>IFERROR($N124+VLOOKUP($L124,'Voyage days'!$F$807:$H$878,3,FALSE),"")</f>
        <v>46194</v>
      </c>
      <c r="BM124" s="95">
        <f>IFERROR($N124+VLOOKUP($L124,'Voyage days'!$F$807:$K$878,6,FALSE),"")</f>
        <v>46168</v>
      </c>
      <c r="BN124" s="94" t="str">
        <f>IF(L124="loads AG", IFERROR($M124+VLOOKUP($L124,'Voyage days'!$M$38:$O$38,3,FALSE),""),"")</f>
        <v/>
      </c>
      <c r="BO124" s="94" t="str">
        <f>IF(L124="loads USG", IFERROR($M124+VLOOKUP($L124,'Voyage days'!$L$203:$N$203,3,FALSE),""),"")</f>
        <v/>
      </c>
    </row>
    <row r="125" spans="1:67" ht="15.75" customHeight="1" x14ac:dyDescent="0.25">
      <c r="A125" s="53" t="s">
        <v>1018</v>
      </c>
      <c r="B125" s="119">
        <v>2024</v>
      </c>
      <c r="C125" s="151">
        <v>87000</v>
      </c>
      <c r="D125" s="77"/>
      <c r="E125" s="77"/>
      <c r="F125" s="78"/>
      <c r="G125" s="78"/>
      <c r="H125" s="78" t="s">
        <v>713</v>
      </c>
      <c r="I125" s="357" t="s">
        <v>1015</v>
      </c>
      <c r="J125" s="80" t="str">
        <f t="shared" si="24"/>
        <v/>
      </c>
      <c r="K125" s="362"/>
      <c r="L125" s="85" t="s">
        <v>718</v>
      </c>
      <c r="M125" s="83">
        <v>46137</v>
      </c>
      <c r="N125" s="125">
        <v>46138</v>
      </c>
      <c r="O125" s="206" t="s">
        <v>726</v>
      </c>
      <c r="P125" s="82" t="s">
        <v>1019</v>
      </c>
      <c r="Q125" s="82"/>
      <c r="R125" s="82" t="s">
        <v>1020</v>
      </c>
      <c r="S125" s="120" t="s">
        <v>724</v>
      </c>
      <c r="T125" s="232">
        <v>46132</v>
      </c>
      <c r="U125" s="87" t="str">
        <f>IF(V125="","No AIS",VLOOKUP(V125,'Voyage days'!$A$3:$B$1480,2,FALSE))</f>
        <v>USG</v>
      </c>
      <c r="V125" s="88" t="str">
        <f>IF(VLOOKUP(A125,'1) Kpler'!$E$2:$P$1000,8, FALSE)="","",VLOOKUP(A125,'1) Kpler'!$E$2:$P$1000,8, FALSE))</f>
        <v>Houston</v>
      </c>
      <c r="W125" s="89">
        <f>IF(VLOOKUP(A125,'1) Kpler'!$E$2:$P$1000,9,FALSE)="","",VLOOKUP(A125,'1) Kpler'!$E$2:$P$1000,9,FALSE))</f>
        <v>46137.291666666664</v>
      </c>
      <c r="X125" s="88" t="str">
        <f>VLOOKUP(A125,'1) Kpler'!$E$2:$I$1000,4,FALSE)</f>
        <v>ballast</v>
      </c>
      <c r="Y125" s="90" t="str">
        <f t="shared" si="0"/>
        <v/>
      </c>
      <c r="Z125" s="90" t="str">
        <f t="shared" si="1"/>
        <v>25-26 Apr</v>
      </c>
      <c r="AA125" s="90" t="str">
        <f t="shared" si="2"/>
        <v>25-26 Apr</v>
      </c>
      <c r="AB125" s="90" t="str">
        <f t="shared" si="3"/>
        <v/>
      </c>
      <c r="AC125" s="90" t="str">
        <f t="shared" si="4"/>
        <v>15-16 May</v>
      </c>
      <c r="AD125" s="90" t="str">
        <f t="shared" si="5"/>
        <v/>
      </c>
      <c r="AE125" s="91" t="str">
        <f t="shared" si="6"/>
        <v/>
      </c>
      <c r="AF125" s="92" t="str">
        <f t="shared" si="7"/>
        <v/>
      </c>
      <c r="AG125" s="93" t="str">
        <f t="shared" si="8"/>
        <v/>
      </c>
      <c r="AH125" s="94" t="str">
        <f>IFERROR($M125+VLOOKUP($L125,'Voyage days'!$F$38:$H$89,3,FALSE),"")</f>
        <v/>
      </c>
      <c r="AI125" s="94" t="str">
        <f>IFERROR(N125+VLOOKUP($L125,'Voyage days'!$F$38:$H$89,3,FALSE),"")</f>
        <v/>
      </c>
      <c r="AJ125" s="93" t="str">
        <f t="shared" si="9"/>
        <v>25-26 Apr</v>
      </c>
      <c r="AK125" s="94">
        <f>IFERROR($M125+VLOOKUP($L125,'Voyage days'!$F$94:$H$193,3,FALSE),"")</f>
        <v>46137</v>
      </c>
      <c r="AL125" s="94">
        <f>IFERROR($N125+VLOOKUP($L125,'Voyage days'!$F$94:$H$193,3,FALSE),"")</f>
        <v>46138</v>
      </c>
      <c r="AM125" s="93" t="str">
        <f t="shared" si="10"/>
        <v>25-26 Apr</v>
      </c>
      <c r="AN125" s="94">
        <f>IFERROR($M125+VLOOKUP($L125,'Voyage days'!$F$203:$H$256,3,FALSE),"")</f>
        <v>46137</v>
      </c>
      <c r="AO125" s="94">
        <f>IFERROR($N125+VLOOKUP($L125,'Voyage days'!$F$203:$H$256,3,FALSE),"")</f>
        <v>46138</v>
      </c>
      <c r="AP125" s="93" t="str">
        <f t="shared" si="11"/>
        <v/>
      </c>
      <c r="AQ125" s="94" t="str">
        <f>IFERROR($M125+VLOOKUP($L125,'Voyage days'!$F$294:$H$377,3,FALSE),"")</f>
        <v/>
      </c>
      <c r="AR125" s="94" t="str">
        <f>IFERROR($N125+VLOOKUP($L125,'Voyage days'!$F$294:$H$377,3,FALSE),"")</f>
        <v/>
      </c>
      <c r="AS125" s="93" t="str">
        <f t="shared" si="12"/>
        <v>15-16 May</v>
      </c>
      <c r="AT125" s="94">
        <f>IFERROR($M125+VLOOKUP($L125,'Voyage days'!$F$382:$H$446,3,FALSE),"")</f>
        <v>46157</v>
      </c>
      <c r="AU125" s="94">
        <f>IFERROR($N125+VLOOKUP($L125,'Voyage days'!$F$382:$H$446,3,FALSE),"")</f>
        <v>46158</v>
      </c>
      <c r="AV125" s="93" t="str">
        <f t="shared" si="13"/>
        <v/>
      </c>
      <c r="AW125" s="94" t="str">
        <f>IFERROR($M125+VLOOKUP($L125,'Voyage days'!$F$483:$H$538,3,FALSE),"")</f>
        <v/>
      </c>
      <c r="AX125" s="94" t="str">
        <f>IFERROR($N125+VLOOKUP($L125,'Voyage days'!$F$483:$H$538,3,FALSE),"")</f>
        <v/>
      </c>
      <c r="AY125" s="93" t="str">
        <f t="shared" si="14"/>
        <v/>
      </c>
      <c r="AZ125" s="94" t="str">
        <f>IFERROR($M125+VLOOKUP($L125,'Voyage days'!$F$540:$H$613,3,FALSE),"")</f>
        <v/>
      </c>
      <c r="BA125" s="94" t="str">
        <f>IFERROR($N125+VLOOKUP($L125,'Voyage days'!$F$540:$H$613,3,FALSE),"")</f>
        <v/>
      </c>
      <c r="BB125" s="93" t="str">
        <f t="shared" si="15"/>
        <v/>
      </c>
      <c r="BC125" s="94" t="str">
        <f>IFERROR($M125+VLOOKUP($L125,'Voyage days'!$F$448:$H$479,3,FALSE),"")</f>
        <v/>
      </c>
      <c r="BD125" s="94" t="str">
        <f>IFERROR($N125+VLOOKUP($L125,'Voyage days'!$F$448:$H$479,3,FALSE),"")</f>
        <v/>
      </c>
      <c r="BE125" s="93" t="str">
        <f t="shared" si="16"/>
        <v/>
      </c>
      <c r="BF125" s="95" t="str">
        <f>IFERROR($M125+VLOOKUP($L125,'Voyage days'!$F$620:$H$646,3,FALSE),"")</f>
        <v/>
      </c>
      <c r="BG125" s="95" t="str">
        <f>IFERROR($N125+VLOOKUP($L125,'Voyage days'!$F$620:$H$646,3,FALSE),"")</f>
        <v/>
      </c>
      <c r="BH125" s="93" t="str">
        <f t="shared" si="17"/>
        <v/>
      </c>
      <c r="BI125" s="96" t="str">
        <f>IFERROR($M125+VLOOKUP($L125,'Voyage days'!$F$702:$H$727,3,FALSE),"")</f>
        <v/>
      </c>
      <c r="BJ125" s="93" t="str">
        <f t="shared" si="18"/>
        <v/>
      </c>
      <c r="BK125" s="95" t="str">
        <f>IFERROR($M125+VLOOKUP($L125,'Voyage days'!$F$807:$H$878,3,FALSE),"")</f>
        <v/>
      </c>
      <c r="BL125" s="95" t="str">
        <f>IFERROR($N125+VLOOKUP($L125,'Voyage days'!$F$807:$H$878,3,FALSE),"")</f>
        <v/>
      </c>
      <c r="BM125" s="95" t="str">
        <f>IFERROR($N125+VLOOKUP($L125,'Voyage days'!$F$807:$K$878,6,FALSE),"")</f>
        <v/>
      </c>
      <c r="BN125" s="94" t="str">
        <f>IF(L125="loads AG", IFERROR($M125+VLOOKUP($L125,'Voyage days'!$M$38:$O$38,3,FALSE),""),"")</f>
        <v/>
      </c>
      <c r="BO125" s="94">
        <f>IF(L125="loads USG", IFERROR($M125+VLOOKUP($L125,'Voyage days'!$L$203:$N$203,3,FALSE),""),"")</f>
        <v>46169</v>
      </c>
    </row>
    <row r="126" spans="1:67" ht="15.75" customHeight="1" x14ac:dyDescent="0.25">
      <c r="A126" s="53" t="s">
        <v>232</v>
      </c>
      <c r="B126" s="119">
        <v>2021</v>
      </c>
      <c r="C126" s="151">
        <v>84000</v>
      </c>
      <c r="D126" s="77"/>
      <c r="E126" s="77"/>
      <c r="F126" s="78"/>
      <c r="G126" s="78"/>
      <c r="H126" s="78" t="s">
        <v>739</v>
      </c>
      <c r="I126" s="233" t="s">
        <v>1015</v>
      </c>
      <c r="J126" s="80" t="str">
        <f t="shared" si="24"/>
        <v/>
      </c>
      <c r="K126" s="81"/>
      <c r="L126" s="82" t="s">
        <v>715</v>
      </c>
      <c r="M126" s="83">
        <v>46139</v>
      </c>
      <c r="N126" s="83">
        <v>46140</v>
      </c>
      <c r="O126" s="84"/>
      <c r="P126" s="82" t="s">
        <v>1021</v>
      </c>
      <c r="Q126" s="82"/>
      <c r="R126" s="82" t="s">
        <v>1022</v>
      </c>
      <c r="S126" s="120" t="s">
        <v>724</v>
      </c>
      <c r="T126" s="232">
        <v>46132</v>
      </c>
      <c r="U126" s="87" t="str">
        <f>IF(V126="","No AIS",VLOOKUP(V126,'Voyage days'!$A$3:$B$1480,2,FALSE))</f>
        <v>Japan + 6</v>
      </c>
      <c r="V126" s="88" t="str">
        <f>IF(VLOOKUP(A126,'1) Kpler'!$E$2:$P$1000,8, FALSE)="","",VLOOKUP(A126,'1) Kpler'!$E$2:$P$1000,8, FALSE))</f>
        <v>Mizushima</v>
      </c>
      <c r="W126" s="89">
        <f>IF(VLOOKUP(A126,'1) Kpler'!$E$2:$P$1000,9,FALSE)="","",VLOOKUP(A126,'1) Kpler'!$E$2:$P$1000,9,FALSE))</f>
        <v>46133.288194444445</v>
      </c>
      <c r="X126" s="88" t="str">
        <f>VLOOKUP(A126,'1) Kpler'!$E$2:$I$1000,4,FALSE)</f>
        <v>loaded</v>
      </c>
      <c r="Y126" s="63" t="str">
        <f t="shared" si="0"/>
        <v>15-16 May</v>
      </c>
      <c r="Z126" s="63" t="str">
        <f t="shared" si="1"/>
        <v>28-29 May</v>
      </c>
      <c r="AA126" s="63" t="str">
        <f t="shared" si="2"/>
        <v>08-09 Jun</v>
      </c>
      <c r="AB126" s="63" t="str">
        <f t="shared" si="3"/>
        <v>27-28 May</v>
      </c>
      <c r="AC126" s="63" t="str">
        <f t="shared" si="4"/>
        <v>02-03 Jun</v>
      </c>
      <c r="AD126" s="63" t="str">
        <f t="shared" si="5"/>
        <v>05-06 May</v>
      </c>
      <c r="AE126" s="129" t="str">
        <f t="shared" si="6"/>
        <v>05-06 May</v>
      </c>
      <c r="AF126" s="130" t="str">
        <f t="shared" si="7"/>
        <v>12-13 Jun</v>
      </c>
      <c r="AG126" s="93" t="str">
        <f t="shared" si="8"/>
        <v>15-16 May</v>
      </c>
      <c r="AH126" s="94">
        <f>IFERROR($M126+VLOOKUP($L126,'Voyage days'!$F$38:$H$89,3,FALSE),"")</f>
        <v>46157</v>
      </c>
      <c r="AI126" s="94">
        <f>IFERROR(N126+VLOOKUP($L126,'Voyage days'!$F$38:$H$89,3,FALSE),"")</f>
        <v>46158</v>
      </c>
      <c r="AJ126" s="93" t="str">
        <f t="shared" si="9"/>
        <v>28-29 May</v>
      </c>
      <c r="AK126" s="94">
        <f>IFERROR($M126+VLOOKUP($L126,'Voyage days'!$F$94:$H$193,3,FALSE),"")</f>
        <v>46170</v>
      </c>
      <c r="AL126" s="94">
        <f>IFERROR($N126+VLOOKUP($L126,'Voyage days'!$F$94:$H$193,3,FALSE),"")</f>
        <v>46171</v>
      </c>
      <c r="AM126" s="93" t="str">
        <f t="shared" si="10"/>
        <v>08-09 Jun</v>
      </c>
      <c r="AN126" s="94">
        <f>IFERROR($M126+VLOOKUP($L126,'Voyage days'!$F$203:$H$256,3,FALSE),"")</f>
        <v>46181</v>
      </c>
      <c r="AO126" s="94">
        <f>IFERROR($N126+VLOOKUP($L126,'Voyage days'!$F$203:$H$256,3,FALSE),"")</f>
        <v>46182</v>
      </c>
      <c r="AP126" s="93" t="str">
        <f t="shared" si="11"/>
        <v>27-28 May</v>
      </c>
      <c r="AQ126" s="94">
        <f>IFERROR($M126+VLOOKUP($L126,'Voyage days'!$F$294:$H$377,3,FALSE),"")</f>
        <v>46169</v>
      </c>
      <c r="AR126" s="94">
        <f>IFERROR($N126+VLOOKUP($L126,'Voyage days'!$F$294:$H$377,3,FALSE),"")</f>
        <v>46170</v>
      </c>
      <c r="AS126" s="93" t="str">
        <f t="shared" si="12"/>
        <v>02-03 Jun</v>
      </c>
      <c r="AT126" s="94">
        <f>IFERROR($M126+VLOOKUP($L126,'Voyage days'!$F$382:$H$446,3,FALSE),"")</f>
        <v>46175</v>
      </c>
      <c r="AU126" s="94">
        <f>IFERROR($N126+VLOOKUP($L126,'Voyage days'!$F$382:$H$446,3,FALSE),"")</f>
        <v>46176</v>
      </c>
      <c r="AV126" s="93" t="str">
        <f t="shared" si="13"/>
        <v>10-11 May</v>
      </c>
      <c r="AW126" s="94">
        <f>IFERROR($M126+VLOOKUP($L126,'Voyage days'!$F$483:$H$538,3,FALSE),"")</f>
        <v>46152</v>
      </c>
      <c r="AX126" s="94">
        <f>IFERROR($N126+VLOOKUP($L126,'Voyage days'!$F$483:$H$538,3,FALSE),"")</f>
        <v>46153</v>
      </c>
      <c r="AY126" s="93" t="str">
        <f t="shared" si="14"/>
        <v>05-06 May</v>
      </c>
      <c r="AZ126" s="94">
        <f>IFERROR($M126+VLOOKUP($L126,'Voyage days'!$F$540:$H$613,3,FALSE),"")</f>
        <v>46147.25</v>
      </c>
      <c r="BA126" s="94">
        <f>IFERROR($N126+VLOOKUP($L126,'Voyage days'!$F$540:$H$613,3,FALSE),"")</f>
        <v>46148.25</v>
      </c>
      <c r="BB126" s="93" t="str">
        <f t="shared" si="15"/>
        <v>05-06 May</v>
      </c>
      <c r="BC126" s="94">
        <f>IFERROR($M126+VLOOKUP($L126,'Voyage days'!$F$448:$H$479,3,FALSE),"")</f>
        <v>46147</v>
      </c>
      <c r="BD126" s="94">
        <f>IFERROR($N126+VLOOKUP($L126,'Voyage days'!$F$448:$H$479,3,FALSE),"")</f>
        <v>46148</v>
      </c>
      <c r="BE126" s="93" t="str">
        <f t="shared" si="16"/>
        <v>08-09 May</v>
      </c>
      <c r="BF126" s="95">
        <f>IFERROR($M126+VLOOKUP($L126,'Voyage days'!$F$620:$H$646,3,FALSE),"")</f>
        <v>46150</v>
      </c>
      <c r="BG126" s="95">
        <f>IFERROR($N126+VLOOKUP($L126,'Voyage days'!$F$620:$H$646,3,FALSE),"")</f>
        <v>46151</v>
      </c>
      <c r="BH126" s="93" t="str">
        <f t="shared" si="17"/>
        <v>05-13 Jun</v>
      </c>
      <c r="BI126" s="96">
        <f>IFERROR($M126+VLOOKUP($L126,'Voyage days'!$F$702:$H$727,3,FALSE),"")</f>
        <v>46147.25</v>
      </c>
      <c r="BJ126" s="93" t="str">
        <f t="shared" si="18"/>
        <v>12-13 Jun</v>
      </c>
      <c r="BK126" s="95">
        <f>IFERROR($M126+VLOOKUP($L126,'Voyage days'!$F$807:$H$878,3,FALSE),"")</f>
        <v>46185</v>
      </c>
      <c r="BL126" s="95">
        <f>IFERROR($N126+VLOOKUP($L126,'Voyage days'!$F$807:$H$878,3,FALSE),"")</f>
        <v>46186</v>
      </c>
      <c r="BM126" s="95">
        <f>IFERROR($N126+VLOOKUP($L126,'Voyage days'!$F$807:$K$878,6,FALSE),"")</f>
        <v>46160</v>
      </c>
      <c r="BN126" s="94" t="str">
        <f>IF(L126="loads AG", IFERROR($M126+VLOOKUP($L126,'Voyage days'!$M$38:$O$38,3,FALSE),""),"")</f>
        <v/>
      </c>
      <c r="BO126" s="94" t="str">
        <f>IF(L126="loads USG", IFERROR($M126+VLOOKUP($L126,'Voyage days'!$L$203:$N$203,3,FALSE),""),"")</f>
        <v/>
      </c>
    </row>
    <row r="127" spans="1:67" ht="15.75" customHeight="1" x14ac:dyDescent="0.25">
      <c r="A127" s="53" t="s">
        <v>267</v>
      </c>
      <c r="B127" s="119">
        <v>2014</v>
      </c>
      <c r="C127" s="151">
        <v>82400</v>
      </c>
      <c r="D127" s="77"/>
      <c r="E127" s="77"/>
      <c r="F127" s="78"/>
      <c r="G127" s="78"/>
      <c r="H127" s="78"/>
      <c r="I127" s="233" t="s">
        <v>1015</v>
      </c>
      <c r="J127" s="80" t="str">
        <f t="shared" si="24"/>
        <v/>
      </c>
      <c r="K127" s="81"/>
      <c r="L127" s="82" t="s">
        <v>718</v>
      </c>
      <c r="M127" s="83">
        <v>46163</v>
      </c>
      <c r="N127" s="83">
        <v>46164</v>
      </c>
      <c r="O127" s="84"/>
      <c r="P127" s="82" t="s">
        <v>1023</v>
      </c>
      <c r="Q127" s="82"/>
      <c r="R127" s="82" t="s">
        <v>1024</v>
      </c>
      <c r="S127" s="120" t="s">
        <v>724</v>
      </c>
      <c r="T127" s="86">
        <v>46132</v>
      </c>
      <c r="U127" s="87" t="str">
        <f>IF(V127="","No AIS",VLOOKUP(V127,'Voyage days'!$A$3:$B$1480,2,FALSE))</f>
        <v>Korea + 4</v>
      </c>
      <c r="V127" s="88" t="str">
        <f>IF(VLOOKUP(A127,'1) Kpler'!$E$2:$P$1000,8, FALSE)="","",VLOOKUP(A127,'1) Kpler'!$E$2:$P$1000,8, FALSE))</f>
        <v>Ulsan</v>
      </c>
      <c r="W127" s="89">
        <f>IF(VLOOKUP(A127,'1) Kpler'!$E$2:$P$1000,9,FALSE)="","",VLOOKUP(A127,'1) Kpler'!$E$2:$P$1000,9,FALSE))</f>
        <v>46133.5</v>
      </c>
      <c r="X127" s="88" t="str">
        <f>VLOOKUP(A127,'1) Kpler'!$E$2:$I$1000,4,FALSE)</f>
        <v>ballast</v>
      </c>
      <c r="Y127" s="90" t="str">
        <f t="shared" si="0"/>
        <v/>
      </c>
      <c r="Z127" s="90" t="str">
        <f t="shared" si="1"/>
        <v>21-22 May</v>
      </c>
      <c r="AA127" s="90" t="str">
        <f t="shared" si="2"/>
        <v>21-22 May</v>
      </c>
      <c r="AB127" s="90" t="str">
        <f t="shared" si="3"/>
        <v/>
      </c>
      <c r="AC127" s="90" t="str">
        <f t="shared" si="4"/>
        <v>10-11 Jun</v>
      </c>
      <c r="AD127" s="90" t="str">
        <f t="shared" si="5"/>
        <v/>
      </c>
      <c r="AE127" s="91" t="str">
        <f t="shared" si="6"/>
        <v/>
      </c>
      <c r="AF127" s="92" t="str">
        <f t="shared" si="7"/>
        <v/>
      </c>
      <c r="AG127" s="93" t="str">
        <f t="shared" si="8"/>
        <v/>
      </c>
      <c r="AH127" s="94" t="str">
        <f>IFERROR($M127+VLOOKUP($L127,'Voyage days'!$F$38:$H$89,3,FALSE),"")</f>
        <v/>
      </c>
      <c r="AI127" s="94" t="str">
        <f>IFERROR(N127+VLOOKUP($L127,'Voyage days'!$F$38:$H$89,3,FALSE),"")</f>
        <v/>
      </c>
      <c r="AJ127" s="93" t="str">
        <f t="shared" si="9"/>
        <v>21-22 May</v>
      </c>
      <c r="AK127" s="94">
        <f>IFERROR($M127+VLOOKUP($L127,'Voyage days'!$F$94:$H$193,3,FALSE),"")</f>
        <v>46163</v>
      </c>
      <c r="AL127" s="94">
        <f>IFERROR($N127+VLOOKUP($L127,'Voyage days'!$F$94:$H$193,3,FALSE),"")</f>
        <v>46164</v>
      </c>
      <c r="AM127" s="93" t="str">
        <f t="shared" si="10"/>
        <v>21-22 May</v>
      </c>
      <c r="AN127" s="94">
        <f>IFERROR($M127+VLOOKUP($L127,'Voyage days'!$F$203:$H$256,3,FALSE),"")</f>
        <v>46163</v>
      </c>
      <c r="AO127" s="94">
        <f>IFERROR($N127+VLOOKUP($L127,'Voyage days'!$F$203:$H$256,3,FALSE),"")</f>
        <v>46164</v>
      </c>
      <c r="AP127" s="93" t="str">
        <f t="shared" si="11"/>
        <v/>
      </c>
      <c r="AQ127" s="94" t="str">
        <f>IFERROR($M127+VLOOKUP($L127,'Voyage days'!$F$294:$H$377,3,FALSE),"")</f>
        <v/>
      </c>
      <c r="AR127" s="94" t="str">
        <f>IFERROR($N127+VLOOKUP($L127,'Voyage days'!$F$294:$H$377,3,FALSE),"")</f>
        <v/>
      </c>
      <c r="AS127" s="93" t="str">
        <f t="shared" si="12"/>
        <v>10-11 Jun</v>
      </c>
      <c r="AT127" s="94">
        <f>IFERROR($M127+VLOOKUP($L127,'Voyage days'!$F$382:$H$446,3,FALSE),"")</f>
        <v>46183</v>
      </c>
      <c r="AU127" s="94">
        <f>IFERROR($N127+VLOOKUP($L127,'Voyage days'!$F$382:$H$446,3,FALSE),"")</f>
        <v>46184</v>
      </c>
      <c r="AV127" s="93" t="str">
        <f t="shared" si="13"/>
        <v/>
      </c>
      <c r="AW127" s="94" t="str">
        <f>IFERROR($M127+VLOOKUP($L127,'Voyage days'!$F$483:$H$538,3,FALSE),"")</f>
        <v/>
      </c>
      <c r="AX127" s="94" t="str">
        <f>IFERROR($N127+VLOOKUP($L127,'Voyage days'!$F$483:$H$538,3,FALSE),"")</f>
        <v/>
      </c>
      <c r="AY127" s="93" t="str">
        <f t="shared" si="14"/>
        <v/>
      </c>
      <c r="AZ127" s="94" t="str">
        <f>IFERROR($M127+VLOOKUP($L127,'Voyage days'!$F$540:$H$613,3,FALSE),"")</f>
        <v/>
      </c>
      <c r="BA127" s="94" t="str">
        <f>IFERROR($N127+VLOOKUP($L127,'Voyage days'!$F$540:$H$613,3,FALSE),"")</f>
        <v/>
      </c>
      <c r="BB127" s="93" t="str">
        <f t="shared" si="15"/>
        <v/>
      </c>
      <c r="BC127" s="94" t="str">
        <f>IFERROR($M127+VLOOKUP($L127,'Voyage days'!$F$448:$H$479,3,FALSE),"")</f>
        <v/>
      </c>
      <c r="BD127" s="94" t="str">
        <f>IFERROR($N127+VLOOKUP($L127,'Voyage days'!$F$448:$H$479,3,FALSE),"")</f>
        <v/>
      </c>
      <c r="BE127" s="93" t="str">
        <f t="shared" si="16"/>
        <v/>
      </c>
      <c r="BF127" s="95" t="str">
        <f>IFERROR($M127+VLOOKUP($L127,'Voyage days'!$F$620:$H$646,3,FALSE),"")</f>
        <v/>
      </c>
      <c r="BG127" s="95" t="str">
        <f>IFERROR($N127+VLOOKUP($L127,'Voyage days'!$F$620:$H$646,3,FALSE),"")</f>
        <v/>
      </c>
      <c r="BH127" s="93" t="str">
        <f t="shared" si="17"/>
        <v/>
      </c>
      <c r="BI127" s="96" t="str">
        <f>IFERROR($M127+VLOOKUP($L127,'Voyage days'!$F$702:$H$727,3,FALSE),"")</f>
        <v/>
      </c>
      <c r="BJ127" s="93" t="str">
        <f t="shared" si="18"/>
        <v/>
      </c>
      <c r="BK127" s="95" t="str">
        <f>IFERROR($M127+VLOOKUP($L127,'Voyage days'!$F$807:$H$878,3,FALSE),"")</f>
        <v/>
      </c>
      <c r="BL127" s="95" t="str">
        <f>IFERROR($N127+VLOOKUP($L127,'Voyage days'!$F$807:$H$878,3,FALSE),"")</f>
        <v/>
      </c>
      <c r="BM127" s="95" t="str">
        <f>IFERROR($N127+VLOOKUP($L127,'Voyage days'!$F$807:$K$878,6,FALSE),"")</f>
        <v/>
      </c>
      <c r="BN127" s="94" t="str">
        <f>IF(L127="loads AG", IFERROR($M127+VLOOKUP($L127,'Voyage days'!$M$38:$O$38,3,FALSE),""),"")</f>
        <v/>
      </c>
      <c r="BO127" s="94">
        <f>IF(L127="loads USG", IFERROR($M127+VLOOKUP($L127,'Voyage days'!$L$203:$N$203,3,FALSE),""),"")</f>
        <v>46195</v>
      </c>
    </row>
    <row r="128" spans="1:67" ht="15.75" customHeight="1" x14ac:dyDescent="0.25">
      <c r="A128" s="53" t="s">
        <v>339</v>
      </c>
      <c r="B128" s="119">
        <v>2017</v>
      </c>
      <c r="C128" s="151">
        <v>84000</v>
      </c>
      <c r="D128" s="77"/>
      <c r="E128" s="77"/>
      <c r="F128" s="78"/>
      <c r="G128" s="78"/>
      <c r="H128" s="78" t="s">
        <v>739</v>
      </c>
      <c r="I128" s="233" t="s">
        <v>1015</v>
      </c>
      <c r="J128" s="80" t="str">
        <f t="shared" si="24"/>
        <v>NO AIS</v>
      </c>
      <c r="K128" s="81"/>
      <c r="L128" s="82" t="s">
        <v>770</v>
      </c>
      <c r="M128" s="83">
        <v>46133</v>
      </c>
      <c r="N128" s="83">
        <v>46134</v>
      </c>
      <c r="O128" s="84"/>
      <c r="P128" s="82" t="s">
        <v>1025</v>
      </c>
      <c r="Q128" s="82" t="s">
        <v>1026</v>
      </c>
      <c r="R128" s="82" t="s">
        <v>1027</v>
      </c>
      <c r="S128" s="120" t="s">
        <v>724</v>
      </c>
      <c r="T128" s="86">
        <v>46132</v>
      </c>
      <c r="U128" s="87" t="str">
        <f>IF(V128="","No AIS",VLOOKUP(V128,'Voyage days'!$A$3:$B$1480,2,FALSE))</f>
        <v>No AIS</v>
      </c>
      <c r="V128" s="88" t="str">
        <f>IF(VLOOKUP(A128,'1) Kpler'!$E$2:$P$1000,8, FALSE)="","",VLOOKUP(A128,'1) Kpler'!$E$2:$P$1000,8, FALSE))</f>
        <v/>
      </c>
      <c r="W128" s="89" t="str">
        <f>IF(VLOOKUP(A128,'1) Kpler'!$E$2:$P$1000,9,FALSE)="","",VLOOKUP(A128,'1) Kpler'!$E$2:$P$1000,9,FALSE))</f>
        <v/>
      </c>
      <c r="X128" s="88" t="str">
        <f>VLOOKUP(A128,'1) Kpler'!$E$2:$I$1000,4,FALSE)</f>
        <v>ballast</v>
      </c>
      <c r="Y128" s="63" t="str">
        <f t="shared" si="0"/>
        <v>09-10 May</v>
      </c>
      <c r="Z128" s="63" t="str">
        <f t="shared" si="1"/>
        <v>24-25 May</v>
      </c>
      <c r="AA128" s="63" t="str">
        <f t="shared" si="2"/>
        <v>01-02 Jun</v>
      </c>
      <c r="AB128" s="63" t="str">
        <f t="shared" si="3"/>
        <v>20-21 May</v>
      </c>
      <c r="AC128" s="63" t="str">
        <f t="shared" si="4"/>
        <v>26-27 May</v>
      </c>
      <c r="AD128" s="63" t="str">
        <f t="shared" si="5"/>
        <v>28-29 Apr</v>
      </c>
      <c r="AE128" s="129" t="str">
        <f t="shared" si="6"/>
        <v>29-30 Apr</v>
      </c>
      <c r="AF128" s="130" t="str">
        <f t="shared" si="7"/>
        <v>05-06 Jun</v>
      </c>
      <c r="AG128" s="93" t="str">
        <f t="shared" si="8"/>
        <v>09-10 May</v>
      </c>
      <c r="AH128" s="94">
        <f>IFERROR($M128+VLOOKUP($L128,'Voyage days'!$F$38:$H$89,3,FALSE),"")</f>
        <v>46151</v>
      </c>
      <c r="AI128" s="94">
        <f>IFERROR(N128+VLOOKUP($L128,'Voyage days'!$F$38:$H$89,3,FALSE),"")</f>
        <v>46152</v>
      </c>
      <c r="AJ128" s="93" t="str">
        <f t="shared" si="9"/>
        <v>24-25 May</v>
      </c>
      <c r="AK128" s="94">
        <f>IFERROR($M128+VLOOKUP($L128,'Voyage days'!$F$94:$H$193,3,FALSE),"")</f>
        <v>46166</v>
      </c>
      <c r="AL128" s="94">
        <f>IFERROR($N128+VLOOKUP($L128,'Voyage days'!$F$94:$H$193,3,FALSE),"")</f>
        <v>46167</v>
      </c>
      <c r="AM128" s="93" t="str">
        <f t="shared" si="10"/>
        <v>01-02 Jun</v>
      </c>
      <c r="AN128" s="94">
        <f>IFERROR($M128+VLOOKUP($L128,'Voyage days'!$F$203:$H$256,3,FALSE),"")</f>
        <v>46174</v>
      </c>
      <c r="AO128" s="94">
        <f>IFERROR($N128+VLOOKUP($L128,'Voyage days'!$F$203:$H$256,3,FALSE),"")</f>
        <v>46175</v>
      </c>
      <c r="AP128" s="93" t="str">
        <f t="shared" si="11"/>
        <v>20-21 May</v>
      </c>
      <c r="AQ128" s="94">
        <f>IFERROR($M128+VLOOKUP($L128,'Voyage days'!$F$294:$H$377,3,FALSE),"")</f>
        <v>46162</v>
      </c>
      <c r="AR128" s="94">
        <f>IFERROR($N128+VLOOKUP($L128,'Voyage days'!$F$294:$H$377,3,FALSE),"")</f>
        <v>46163</v>
      </c>
      <c r="AS128" s="93" t="str">
        <f t="shared" si="12"/>
        <v>26-27 May</v>
      </c>
      <c r="AT128" s="94">
        <f>IFERROR($M128+VLOOKUP($L128,'Voyage days'!$F$382:$H$446,3,FALSE),"")</f>
        <v>46168</v>
      </c>
      <c r="AU128" s="94">
        <f>IFERROR($N128+VLOOKUP($L128,'Voyage days'!$F$382:$H$446,3,FALSE),"")</f>
        <v>46169</v>
      </c>
      <c r="AV128" s="93" t="str">
        <f t="shared" si="13"/>
        <v>05-06 May</v>
      </c>
      <c r="AW128" s="94">
        <f>IFERROR($M128+VLOOKUP($L128,'Voyage days'!$F$483:$H$538,3,FALSE),"")</f>
        <v>46147</v>
      </c>
      <c r="AX128" s="94">
        <f>IFERROR($N128+VLOOKUP($L128,'Voyage days'!$F$483:$H$538,3,FALSE),"")</f>
        <v>46148</v>
      </c>
      <c r="AY128" s="93" t="str">
        <f t="shared" si="14"/>
        <v>29-30 Apr</v>
      </c>
      <c r="AZ128" s="94">
        <f>IFERROR($M128+VLOOKUP($L128,'Voyage days'!$F$540:$H$613,3,FALSE),"")</f>
        <v>46141</v>
      </c>
      <c r="BA128" s="94">
        <f>IFERROR($N128+VLOOKUP($L128,'Voyage days'!$F$540:$H$613,3,FALSE),"")</f>
        <v>46142</v>
      </c>
      <c r="BB128" s="93" t="str">
        <f t="shared" si="15"/>
        <v>28-29 Apr</v>
      </c>
      <c r="BC128" s="94">
        <f>IFERROR($M128+VLOOKUP($L128,'Voyage days'!$F$448:$H$479,3,FALSE),"")</f>
        <v>46140</v>
      </c>
      <c r="BD128" s="94">
        <f>IFERROR($N128+VLOOKUP($L128,'Voyage days'!$F$448:$H$479,3,FALSE),"")</f>
        <v>46141</v>
      </c>
      <c r="BE128" s="93" t="str">
        <f t="shared" si="16"/>
        <v>02-03 May</v>
      </c>
      <c r="BF128" s="95">
        <f>IFERROR($M128+VLOOKUP($L128,'Voyage days'!$F$620:$H$646,3,FALSE),"")</f>
        <v>46144</v>
      </c>
      <c r="BG128" s="95">
        <f>IFERROR($N128+VLOOKUP($L128,'Voyage days'!$F$620:$H$646,3,FALSE),"")</f>
        <v>46145</v>
      </c>
      <c r="BH128" s="93" t="str">
        <f t="shared" si="17"/>
        <v>29-06 Jun</v>
      </c>
      <c r="BI128" s="96">
        <f>IFERROR($M128+VLOOKUP($L128,'Voyage days'!$F$702:$H$727,3,FALSE),"")</f>
        <v>46141</v>
      </c>
      <c r="BJ128" s="93" t="str">
        <f t="shared" si="18"/>
        <v>05-06 Jun</v>
      </c>
      <c r="BK128" s="95">
        <f>IFERROR($M128+VLOOKUP($L128,'Voyage days'!$F$807:$H$878,3,FALSE),"")</f>
        <v>46178</v>
      </c>
      <c r="BL128" s="95">
        <f>IFERROR($N128+VLOOKUP($L128,'Voyage days'!$F$807:$H$878,3,FALSE),"")</f>
        <v>46179</v>
      </c>
      <c r="BM128" s="95">
        <f>IFERROR($N128+VLOOKUP($L128,'Voyage days'!$F$807:$K$878,6,FALSE),"")</f>
        <v>46153</v>
      </c>
      <c r="BN128" s="94" t="str">
        <f>IF(L128="loads AG", IFERROR($M128+VLOOKUP($L128,'Voyage days'!$M$38:$O$38,3,FALSE),""),"")</f>
        <v/>
      </c>
      <c r="BO128" s="94" t="str">
        <f>IF(L128="loads USG", IFERROR($M128+VLOOKUP($L128,'Voyage days'!$L$203:$N$203,3,FALSE),""),"")</f>
        <v/>
      </c>
    </row>
    <row r="129" spans="1:68" ht="14.25" customHeight="1" x14ac:dyDescent="0.25">
      <c r="A129" s="363" t="s">
        <v>349</v>
      </c>
      <c r="B129" s="119">
        <v>2018</v>
      </c>
      <c r="C129" s="151">
        <v>82200</v>
      </c>
      <c r="D129" s="77"/>
      <c r="E129" s="77"/>
      <c r="F129" s="78"/>
      <c r="G129" s="78"/>
      <c r="H129" s="78"/>
      <c r="I129" s="233" t="s">
        <v>1015</v>
      </c>
      <c r="J129" s="80" t="str">
        <f t="shared" si="24"/>
        <v/>
      </c>
      <c r="K129" s="81"/>
      <c r="L129" s="82" t="s">
        <v>715</v>
      </c>
      <c r="M129" s="83">
        <v>46139</v>
      </c>
      <c r="N129" s="83">
        <v>46140</v>
      </c>
      <c r="O129" s="84"/>
      <c r="P129" s="82" t="s">
        <v>1028</v>
      </c>
      <c r="Q129" s="82"/>
      <c r="R129" s="82" t="s">
        <v>1029</v>
      </c>
      <c r="S129" s="120" t="s">
        <v>724</v>
      </c>
      <c r="T129" s="86">
        <v>46132</v>
      </c>
      <c r="U129" s="87" t="str">
        <f>IF(V129="","No AIS",VLOOKUP(V129,'Voyage days'!$A$3:$B$1480,2,FALSE))</f>
        <v>Japan + 6</v>
      </c>
      <c r="V129" s="88" t="str">
        <f>IF(VLOOKUP(A129,'1) Kpler'!$E$2:$P$1000,8, FALSE)="","",VLOOKUP(A129,'1) Kpler'!$E$2:$P$1000,8, FALSE))</f>
        <v>Nagoya</v>
      </c>
      <c r="W129" s="89">
        <f>IF(VLOOKUP(A129,'1) Kpler'!$E$2:$P$1000,9,FALSE)="","",VLOOKUP(A129,'1) Kpler'!$E$2:$P$1000,9,FALSE))</f>
        <v>46133.270833333336</v>
      </c>
      <c r="X129" s="88" t="str">
        <f>VLOOKUP(A129,'1) Kpler'!$E$2:$I$1000,4,FALSE)</f>
        <v>loaded</v>
      </c>
      <c r="Y129" s="90" t="str">
        <f t="shared" si="0"/>
        <v>15-16 May</v>
      </c>
      <c r="Z129" s="90" t="str">
        <f t="shared" si="1"/>
        <v>28-29 May</v>
      </c>
      <c r="AA129" s="90" t="str">
        <f t="shared" si="2"/>
        <v>08-09 Jun</v>
      </c>
      <c r="AB129" s="90" t="str">
        <f t="shared" si="3"/>
        <v>27-28 May</v>
      </c>
      <c r="AC129" s="90" t="str">
        <f t="shared" si="4"/>
        <v>02-03 Jun</v>
      </c>
      <c r="AD129" s="90" t="str">
        <f t="shared" si="5"/>
        <v>05-06 May</v>
      </c>
      <c r="AE129" s="91" t="str">
        <f t="shared" si="6"/>
        <v>05-06 May</v>
      </c>
      <c r="AF129" s="92" t="str">
        <f t="shared" si="7"/>
        <v>12-13 Jun</v>
      </c>
      <c r="AG129" s="93" t="str">
        <f t="shared" si="8"/>
        <v>15-16 May</v>
      </c>
      <c r="AH129" s="94">
        <f>IFERROR($M129+VLOOKUP($L129,'Voyage days'!$F$38:$H$89,3,FALSE),"")</f>
        <v>46157</v>
      </c>
      <c r="AI129" s="94">
        <f>IFERROR(N129+VLOOKUP($L129,'Voyage days'!$F$38:$H$89,3,FALSE),"")</f>
        <v>46158</v>
      </c>
      <c r="AJ129" s="93" t="str">
        <f t="shared" si="9"/>
        <v>28-29 May</v>
      </c>
      <c r="AK129" s="94">
        <f>IFERROR($M129+VLOOKUP($L129,'Voyage days'!$F$94:$H$193,3,FALSE),"")</f>
        <v>46170</v>
      </c>
      <c r="AL129" s="94">
        <f>IFERROR($N129+VLOOKUP($L129,'Voyage days'!$F$94:$H$193,3,FALSE),"")</f>
        <v>46171</v>
      </c>
      <c r="AM129" s="93" t="str">
        <f t="shared" si="10"/>
        <v>08-09 Jun</v>
      </c>
      <c r="AN129" s="94">
        <f>IFERROR($M129+VLOOKUP($L129,'Voyage days'!$F$203:$H$256,3,FALSE),"")</f>
        <v>46181</v>
      </c>
      <c r="AO129" s="94">
        <f>IFERROR($N129+VLOOKUP($L129,'Voyage days'!$F$203:$H$256,3,FALSE),"")</f>
        <v>46182</v>
      </c>
      <c r="AP129" s="93" t="str">
        <f t="shared" si="11"/>
        <v>27-28 May</v>
      </c>
      <c r="AQ129" s="94">
        <f>IFERROR($M129+VLOOKUP($L129,'Voyage days'!$F$294:$H$377,3,FALSE),"")</f>
        <v>46169</v>
      </c>
      <c r="AR129" s="94">
        <f>IFERROR($N129+VLOOKUP($L129,'Voyage days'!$F$294:$H$377,3,FALSE),"")</f>
        <v>46170</v>
      </c>
      <c r="AS129" s="93" t="str">
        <f t="shared" si="12"/>
        <v>02-03 Jun</v>
      </c>
      <c r="AT129" s="94">
        <f>IFERROR($M129+VLOOKUP($L129,'Voyage days'!$F$382:$H$446,3,FALSE),"")</f>
        <v>46175</v>
      </c>
      <c r="AU129" s="94">
        <f>IFERROR($N129+VLOOKUP($L129,'Voyage days'!$F$382:$H$446,3,FALSE),"")</f>
        <v>46176</v>
      </c>
      <c r="AV129" s="93" t="str">
        <f t="shared" si="13"/>
        <v>10-11 May</v>
      </c>
      <c r="AW129" s="94">
        <f>IFERROR($M129+VLOOKUP($L129,'Voyage days'!$F$483:$H$538,3,FALSE),"")</f>
        <v>46152</v>
      </c>
      <c r="AX129" s="94">
        <f>IFERROR($N129+VLOOKUP($L129,'Voyage days'!$F$483:$H$538,3,FALSE),"")</f>
        <v>46153</v>
      </c>
      <c r="AY129" s="93" t="str">
        <f t="shared" si="14"/>
        <v>05-06 May</v>
      </c>
      <c r="AZ129" s="94">
        <f>IFERROR($M129+VLOOKUP($L129,'Voyage days'!$F$540:$H$613,3,FALSE),"")</f>
        <v>46147.25</v>
      </c>
      <c r="BA129" s="94">
        <f>IFERROR($N129+VLOOKUP($L129,'Voyage days'!$F$540:$H$613,3,FALSE),"")</f>
        <v>46148.25</v>
      </c>
      <c r="BB129" s="93" t="str">
        <f t="shared" si="15"/>
        <v>05-06 May</v>
      </c>
      <c r="BC129" s="94">
        <f>IFERROR($M129+VLOOKUP($L129,'Voyage days'!$F$448:$H$479,3,FALSE),"")</f>
        <v>46147</v>
      </c>
      <c r="BD129" s="94">
        <f>IFERROR($N129+VLOOKUP($L129,'Voyage days'!$F$448:$H$479,3,FALSE),"")</f>
        <v>46148</v>
      </c>
      <c r="BE129" s="93" t="str">
        <f t="shared" si="16"/>
        <v>08-09 May</v>
      </c>
      <c r="BF129" s="95">
        <f>IFERROR($M129+VLOOKUP($L129,'Voyage days'!$F$620:$H$646,3,FALSE),"")</f>
        <v>46150</v>
      </c>
      <c r="BG129" s="95">
        <f>IFERROR($N129+VLOOKUP($L129,'Voyage days'!$F$620:$H$646,3,FALSE),"")</f>
        <v>46151</v>
      </c>
      <c r="BH129" s="93" t="str">
        <f t="shared" si="17"/>
        <v>05-13 Jun</v>
      </c>
      <c r="BI129" s="96">
        <f>IFERROR($M129+VLOOKUP($L129,'Voyage days'!$F$702:$H$727,3,FALSE),"")</f>
        <v>46147.25</v>
      </c>
      <c r="BJ129" s="93" t="str">
        <f t="shared" si="18"/>
        <v>12-13 Jun</v>
      </c>
      <c r="BK129" s="95">
        <f>IFERROR($M129+VLOOKUP($L129,'Voyage days'!$F$807:$H$878,3,FALSE),"")</f>
        <v>46185</v>
      </c>
      <c r="BL129" s="95">
        <f>IFERROR($N129+VLOOKUP($L129,'Voyage days'!$F$807:$H$878,3,FALSE),"")</f>
        <v>46186</v>
      </c>
      <c r="BM129" s="95">
        <f>IFERROR($N129+VLOOKUP($L129,'Voyage days'!$F$807:$K$878,6,FALSE),"")</f>
        <v>46160</v>
      </c>
      <c r="BN129" s="94" t="str">
        <f>IF(L129="loads AG", IFERROR($M129+VLOOKUP($L129,'Voyage days'!$M$38:$O$38,3,FALSE),""),"")</f>
        <v/>
      </c>
      <c r="BO129" s="94" t="str">
        <f>IF(L129="loads USG", IFERROR($M129+VLOOKUP($L129,'Voyage days'!$L$203:$N$203,3,FALSE),""),"")</f>
        <v/>
      </c>
    </row>
    <row r="130" spans="1:68" ht="15.75" customHeight="1" x14ac:dyDescent="0.25">
      <c r="A130" s="53" t="s">
        <v>501</v>
      </c>
      <c r="B130" s="119">
        <v>2009</v>
      </c>
      <c r="C130" s="151">
        <v>83300</v>
      </c>
      <c r="D130" s="77"/>
      <c r="E130" s="77"/>
      <c r="F130" s="78"/>
      <c r="G130" s="78"/>
      <c r="H130" s="78" t="s">
        <v>739</v>
      </c>
      <c r="I130" s="233" t="s">
        <v>1015</v>
      </c>
      <c r="J130" s="80" t="str">
        <f t="shared" si="24"/>
        <v>NO AIS</v>
      </c>
      <c r="K130" s="81"/>
      <c r="L130" s="82" t="s">
        <v>718</v>
      </c>
      <c r="M130" s="83">
        <v>46132</v>
      </c>
      <c r="N130" s="83">
        <v>46133</v>
      </c>
      <c r="O130" s="84"/>
      <c r="P130" s="85" t="s">
        <v>1030</v>
      </c>
      <c r="Q130" s="82"/>
      <c r="R130" s="82" t="s">
        <v>1031</v>
      </c>
      <c r="S130" s="120" t="s">
        <v>724</v>
      </c>
      <c r="T130" s="86">
        <v>46132</v>
      </c>
      <c r="U130" s="87" t="str">
        <f>IF(V130="","No AIS",VLOOKUP(V130,'Voyage days'!$A$3:$B$1480,2,FALSE))</f>
        <v>No AIS</v>
      </c>
      <c r="V130" s="88" t="str">
        <f>IF(VLOOKUP(A130,'1) Kpler'!$E$2:$P$1000,8, FALSE)="","",VLOOKUP(A130,'1) Kpler'!$E$2:$P$1000,8, FALSE))</f>
        <v/>
      </c>
      <c r="W130" s="89" t="str">
        <f>IF(VLOOKUP(A130,'1) Kpler'!$E$2:$P$1000,9,FALSE)="","",VLOOKUP(A130,'1) Kpler'!$E$2:$P$1000,9,FALSE))</f>
        <v/>
      </c>
      <c r="X130" s="88" t="str">
        <f>VLOOKUP(A130,'1) Kpler'!$E$2:$I$1000,4,FALSE)</f>
        <v>loaded</v>
      </c>
      <c r="Y130" s="63" t="str">
        <f t="shared" si="0"/>
        <v/>
      </c>
      <c r="Z130" s="63" t="str">
        <f t="shared" si="1"/>
        <v>20-21 Apr</v>
      </c>
      <c r="AA130" s="63" t="str">
        <f t="shared" si="2"/>
        <v>20-21 Apr</v>
      </c>
      <c r="AB130" s="63" t="str">
        <f t="shared" si="3"/>
        <v/>
      </c>
      <c r="AC130" s="63" t="str">
        <f t="shared" si="4"/>
        <v>10-11 May</v>
      </c>
      <c r="AD130" s="63" t="str">
        <f t="shared" si="5"/>
        <v/>
      </c>
      <c r="AE130" s="129" t="str">
        <f t="shared" si="6"/>
        <v/>
      </c>
      <c r="AF130" s="130" t="str">
        <f t="shared" si="7"/>
        <v/>
      </c>
      <c r="AG130" s="93" t="str">
        <f t="shared" si="8"/>
        <v/>
      </c>
      <c r="AH130" s="94" t="str">
        <f>IFERROR($M130+VLOOKUP($L130,'Voyage days'!$F$38:$H$89,3,FALSE),"")</f>
        <v/>
      </c>
      <c r="AI130" s="94" t="str">
        <f>IFERROR(N130+VLOOKUP($L130,'Voyage days'!$F$38:$H$89,3,FALSE),"")</f>
        <v/>
      </c>
      <c r="AJ130" s="93" t="str">
        <f t="shared" si="9"/>
        <v>20-21 Apr</v>
      </c>
      <c r="AK130" s="94">
        <f>IFERROR($M130+VLOOKUP($L130,'Voyage days'!$F$94:$H$193,3,FALSE),"")</f>
        <v>46132</v>
      </c>
      <c r="AL130" s="94">
        <f>IFERROR($N130+VLOOKUP($L130,'Voyage days'!$F$94:$H$193,3,FALSE),"")</f>
        <v>46133</v>
      </c>
      <c r="AM130" s="93" t="str">
        <f t="shared" si="10"/>
        <v>20-21 Apr</v>
      </c>
      <c r="AN130" s="94">
        <f>IFERROR($M130+VLOOKUP($L130,'Voyage days'!$F$203:$H$256,3,FALSE),"")</f>
        <v>46132</v>
      </c>
      <c r="AO130" s="94">
        <f>IFERROR($N130+VLOOKUP($L130,'Voyage days'!$F$203:$H$256,3,FALSE),"")</f>
        <v>46133</v>
      </c>
      <c r="AP130" s="93" t="str">
        <f t="shared" si="11"/>
        <v/>
      </c>
      <c r="AQ130" s="94" t="str">
        <f>IFERROR($M130+VLOOKUP($L130,'Voyage days'!$F$294:$H$377,3,FALSE),"")</f>
        <v/>
      </c>
      <c r="AR130" s="94" t="str">
        <f>IFERROR($N130+VLOOKUP($L130,'Voyage days'!$F$294:$H$377,3,FALSE),"")</f>
        <v/>
      </c>
      <c r="AS130" s="93" t="str">
        <f t="shared" si="12"/>
        <v>10-11 May</v>
      </c>
      <c r="AT130" s="94">
        <f>IFERROR($M130+VLOOKUP($L130,'Voyage days'!$F$382:$H$446,3,FALSE),"")</f>
        <v>46152</v>
      </c>
      <c r="AU130" s="94">
        <f>IFERROR($N130+VLOOKUP($L130,'Voyage days'!$F$382:$H$446,3,FALSE),"")</f>
        <v>46153</v>
      </c>
      <c r="AV130" s="93" t="str">
        <f t="shared" si="13"/>
        <v/>
      </c>
      <c r="AW130" s="94" t="str">
        <f>IFERROR($M130+VLOOKUP($L130,'Voyage days'!$F$483:$H$538,3,FALSE),"")</f>
        <v/>
      </c>
      <c r="AX130" s="94" t="str">
        <f>IFERROR($N130+VLOOKUP($L130,'Voyage days'!$F$483:$H$538,3,FALSE),"")</f>
        <v/>
      </c>
      <c r="AY130" s="93" t="str">
        <f t="shared" si="14"/>
        <v/>
      </c>
      <c r="AZ130" s="94" t="str">
        <f>IFERROR($M130+VLOOKUP($L130,'Voyage days'!$F$540:$H$613,3,FALSE),"")</f>
        <v/>
      </c>
      <c r="BA130" s="94" t="str">
        <f>IFERROR($N130+VLOOKUP($L130,'Voyage days'!$F$540:$H$613,3,FALSE),"")</f>
        <v/>
      </c>
      <c r="BB130" s="93" t="str">
        <f t="shared" si="15"/>
        <v/>
      </c>
      <c r="BC130" s="94" t="str">
        <f>IFERROR($M130+VLOOKUP($L130,'Voyage days'!$F$448:$H$479,3,FALSE),"")</f>
        <v/>
      </c>
      <c r="BD130" s="94" t="str">
        <f>IFERROR($N130+VLOOKUP($L130,'Voyage days'!$F$448:$H$479,3,FALSE),"")</f>
        <v/>
      </c>
      <c r="BE130" s="93" t="str">
        <f t="shared" si="16"/>
        <v/>
      </c>
      <c r="BF130" s="95" t="str">
        <f>IFERROR($M130+VLOOKUP($L130,'Voyage days'!$F$620:$H$646,3,FALSE),"")</f>
        <v/>
      </c>
      <c r="BG130" s="95" t="str">
        <f>IFERROR($N130+VLOOKUP($L130,'Voyage days'!$F$620:$H$646,3,FALSE),"")</f>
        <v/>
      </c>
      <c r="BH130" s="93" t="str">
        <f t="shared" si="17"/>
        <v/>
      </c>
      <c r="BI130" s="96" t="str">
        <f>IFERROR($M130+VLOOKUP($L130,'Voyage days'!$F$702:$H$727,3,FALSE),"")</f>
        <v/>
      </c>
      <c r="BJ130" s="93" t="str">
        <f t="shared" si="18"/>
        <v/>
      </c>
      <c r="BK130" s="95" t="str">
        <f>IFERROR($M130+VLOOKUP($L130,'Voyage days'!$F$807:$H$878,3,FALSE),"")</f>
        <v/>
      </c>
      <c r="BL130" s="95" t="str">
        <f>IFERROR($N130+VLOOKUP($L130,'Voyage days'!$F$807:$H$878,3,FALSE),"")</f>
        <v/>
      </c>
      <c r="BM130" s="95" t="str">
        <f>IFERROR($N130+VLOOKUP($L130,'Voyage days'!$F$807:$K$878,6,FALSE),"")</f>
        <v/>
      </c>
      <c r="BN130" s="94" t="str">
        <f>IF(L130="loads AG", IFERROR($M130+VLOOKUP($L130,'Voyage days'!$M$38:$O$38,3,FALSE),""),"")</f>
        <v/>
      </c>
      <c r="BO130" s="94">
        <f>IF(L130="loads USG", IFERROR($M130+VLOOKUP($L130,'Voyage days'!$L$203:$N$203,3,FALSE),""),"")</f>
        <v>46164</v>
      </c>
    </row>
    <row r="131" spans="1:68" ht="14.25" customHeight="1" x14ac:dyDescent="0.25">
      <c r="A131" s="53" t="s">
        <v>552</v>
      </c>
      <c r="B131" s="119">
        <v>2017</v>
      </c>
      <c r="C131" s="151">
        <v>82200</v>
      </c>
      <c r="D131" s="77"/>
      <c r="E131" s="77"/>
      <c r="F131" s="78"/>
      <c r="G131" s="78"/>
      <c r="H131" s="78"/>
      <c r="I131" s="233" t="s">
        <v>1015</v>
      </c>
      <c r="J131" s="80" t="str">
        <f t="shared" si="24"/>
        <v>NO AIS</v>
      </c>
      <c r="K131" s="81"/>
      <c r="L131" s="82" t="s">
        <v>718</v>
      </c>
      <c r="M131" s="125">
        <v>46143</v>
      </c>
      <c r="N131" s="83">
        <v>46144</v>
      </c>
      <c r="O131" s="84"/>
      <c r="P131" s="82" t="s">
        <v>1032</v>
      </c>
      <c r="Q131" s="82"/>
      <c r="R131" s="82" t="s">
        <v>1033</v>
      </c>
      <c r="S131" s="120" t="s">
        <v>724</v>
      </c>
      <c r="T131" s="86">
        <v>46132</v>
      </c>
      <c r="U131" s="87" t="str">
        <f>IF(V131="","No AIS",VLOOKUP(V131,'Voyage days'!$A$3:$B$1480,2,FALSE))</f>
        <v>No AIS</v>
      </c>
      <c r="V131" s="88" t="str">
        <f>IF(VLOOKUP(A131,'1) Kpler'!$E$2:$P$1000,8, FALSE)="","",VLOOKUP(A131,'1) Kpler'!$E$2:$P$1000,8, FALSE))</f>
        <v/>
      </c>
      <c r="W131" s="89" t="str">
        <f>IF(VLOOKUP(A131,'1) Kpler'!$E$2:$P$1000,9,FALSE)="","",VLOOKUP(A131,'1) Kpler'!$E$2:$P$1000,9,FALSE))</f>
        <v/>
      </c>
      <c r="X131" s="88" t="str">
        <f>VLOOKUP(A131,'1) Kpler'!$E$2:$I$1000,4,FALSE)</f>
        <v>ballast</v>
      </c>
      <c r="Y131" s="90" t="str">
        <f t="shared" si="0"/>
        <v/>
      </c>
      <c r="Z131" s="90" t="str">
        <f t="shared" si="1"/>
        <v>01-02 May</v>
      </c>
      <c r="AA131" s="90" t="str">
        <f t="shared" si="2"/>
        <v>01-02 May</v>
      </c>
      <c r="AB131" s="90" t="str">
        <f t="shared" si="3"/>
        <v/>
      </c>
      <c r="AC131" s="90" t="str">
        <f t="shared" si="4"/>
        <v>21-22 May</v>
      </c>
      <c r="AD131" s="90" t="str">
        <f t="shared" si="5"/>
        <v/>
      </c>
      <c r="AE131" s="91" t="str">
        <f t="shared" si="6"/>
        <v/>
      </c>
      <c r="AF131" s="92" t="str">
        <f t="shared" si="7"/>
        <v/>
      </c>
      <c r="AG131" s="93" t="str">
        <f t="shared" si="8"/>
        <v/>
      </c>
      <c r="AH131" s="94" t="str">
        <f>IFERROR($M131+VLOOKUP($L131,'Voyage days'!$F$38:$H$89,3,FALSE),"")</f>
        <v/>
      </c>
      <c r="AI131" s="94" t="str">
        <f>IFERROR(N131+VLOOKUP($L131,'Voyage days'!$F$38:$H$89,3,FALSE),"")</f>
        <v/>
      </c>
      <c r="AJ131" s="93" t="str">
        <f t="shared" si="9"/>
        <v>01-02 May</v>
      </c>
      <c r="AK131" s="94">
        <f>IFERROR($M131+VLOOKUP($L131,'Voyage days'!$F$94:$H$193,3,FALSE),"")</f>
        <v>46143</v>
      </c>
      <c r="AL131" s="94">
        <f>IFERROR($N131+VLOOKUP($L131,'Voyage days'!$F$94:$H$193,3,FALSE),"")</f>
        <v>46144</v>
      </c>
      <c r="AM131" s="93" t="str">
        <f t="shared" si="10"/>
        <v>01-02 May</v>
      </c>
      <c r="AN131" s="94">
        <f>IFERROR($M131+VLOOKUP($L131,'Voyage days'!$F$203:$H$256,3,FALSE),"")</f>
        <v>46143</v>
      </c>
      <c r="AO131" s="94">
        <f>IFERROR($N131+VLOOKUP($L131,'Voyage days'!$F$203:$H$256,3,FALSE),"")</f>
        <v>46144</v>
      </c>
      <c r="AP131" s="93" t="str">
        <f t="shared" si="11"/>
        <v/>
      </c>
      <c r="AQ131" s="94" t="str">
        <f>IFERROR($M131+VLOOKUP($L131,'Voyage days'!$F$294:$H$377,3,FALSE),"")</f>
        <v/>
      </c>
      <c r="AR131" s="94" t="str">
        <f>IFERROR($N131+VLOOKUP($L131,'Voyage days'!$F$294:$H$377,3,FALSE),"")</f>
        <v/>
      </c>
      <c r="AS131" s="93" t="str">
        <f t="shared" si="12"/>
        <v>21-22 May</v>
      </c>
      <c r="AT131" s="94">
        <f>IFERROR($M131+VLOOKUP($L131,'Voyage days'!$F$382:$H$446,3,FALSE),"")</f>
        <v>46163</v>
      </c>
      <c r="AU131" s="94">
        <f>IFERROR($N131+VLOOKUP($L131,'Voyage days'!$F$382:$H$446,3,FALSE),"")</f>
        <v>46164</v>
      </c>
      <c r="AV131" s="93" t="str">
        <f t="shared" si="13"/>
        <v/>
      </c>
      <c r="AW131" s="94" t="str">
        <f>IFERROR($M131+VLOOKUP($L131,'Voyage days'!$F$483:$H$538,3,FALSE),"")</f>
        <v/>
      </c>
      <c r="AX131" s="94" t="str">
        <f>IFERROR($N131+VLOOKUP($L131,'Voyage days'!$F$483:$H$538,3,FALSE),"")</f>
        <v/>
      </c>
      <c r="AY131" s="93" t="str">
        <f t="shared" si="14"/>
        <v/>
      </c>
      <c r="AZ131" s="94" t="str">
        <f>IFERROR($M131+VLOOKUP($L131,'Voyage days'!$F$540:$H$613,3,FALSE),"")</f>
        <v/>
      </c>
      <c r="BA131" s="94" t="str">
        <f>IFERROR($N131+VLOOKUP($L131,'Voyage days'!$F$540:$H$613,3,FALSE),"")</f>
        <v/>
      </c>
      <c r="BB131" s="93" t="str">
        <f t="shared" si="15"/>
        <v/>
      </c>
      <c r="BC131" s="94" t="str">
        <f>IFERROR($M131+VLOOKUP($L131,'Voyage days'!$F$448:$H$479,3,FALSE),"")</f>
        <v/>
      </c>
      <c r="BD131" s="94" t="str">
        <f>IFERROR($N131+VLOOKUP($L131,'Voyage days'!$F$448:$H$479,3,FALSE),"")</f>
        <v/>
      </c>
      <c r="BE131" s="93" t="str">
        <f t="shared" si="16"/>
        <v/>
      </c>
      <c r="BF131" s="95" t="str">
        <f>IFERROR($M131+VLOOKUP($L131,'Voyage days'!$F$620:$H$646,3,FALSE),"")</f>
        <v/>
      </c>
      <c r="BG131" s="95" t="str">
        <f>IFERROR($N131+VLOOKUP($L131,'Voyage days'!$F$620:$H$646,3,FALSE),"")</f>
        <v/>
      </c>
      <c r="BH131" s="93" t="str">
        <f t="shared" si="17"/>
        <v/>
      </c>
      <c r="BI131" s="96" t="str">
        <f>IFERROR($M131+VLOOKUP($L131,'Voyage days'!$F$702:$H$727,3,FALSE),"")</f>
        <v/>
      </c>
      <c r="BJ131" s="93" t="str">
        <f t="shared" si="18"/>
        <v/>
      </c>
      <c r="BK131" s="95" t="str">
        <f>IFERROR($M131+VLOOKUP($L131,'Voyage days'!$F$807:$H$878,3,FALSE),"")</f>
        <v/>
      </c>
      <c r="BL131" s="95" t="str">
        <f>IFERROR($N131+VLOOKUP($L131,'Voyage days'!$F$807:$H$878,3,FALSE),"")</f>
        <v/>
      </c>
      <c r="BM131" s="95" t="str">
        <f>IFERROR($N131+VLOOKUP($L131,'Voyage days'!$F$807:$K$878,6,FALSE),"")</f>
        <v/>
      </c>
      <c r="BN131" s="94" t="str">
        <f>IF(L131="loads AG", IFERROR($M131+VLOOKUP($L131,'Voyage days'!$M$38:$O$38,3,FALSE),""),"")</f>
        <v/>
      </c>
      <c r="BO131" s="94">
        <f>IF(L131="loads USG", IFERROR($M131+VLOOKUP($L131,'Voyage days'!$L$203:$N$203,3,FALSE),""),"")</f>
        <v>46175</v>
      </c>
    </row>
    <row r="132" spans="1:68" ht="15.75" customHeight="1" x14ac:dyDescent="0.25">
      <c r="A132" s="53" t="s">
        <v>553</v>
      </c>
      <c r="B132" s="119">
        <v>2019</v>
      </c>
      <c r="C132" s="151">
        <v>82000</v>
      </c>
      <c r="D132" s="77"/>
      <c r="E132" s="77"/>
      <c r="F132" s="78"/>
      <c r="G132" s="78"/>
      <c r="H132" s="78" t="s">
        <v>739</v>
      </c>
      <c r="I132" s="233" t="s">
        <v>1015</v>
      </c>
      <c r="J132" s="261" t="str">
        <f t="shared" si="24"/>
        <v/>
      </c>
      <c r="K132" s="81"/>
      <c r="L132" s="82" t="s">
        <v>718</v>
      </c>
      <c r="M132" s="83">
        <v>46151</v>
      </c>
      <c r="N132" s="83">
        <v>46152</v>
      </c>
      <c r="O132" s="84"/>
      <c r="P132" s="82" t="s">
        <v>1034</v>
      </c>
      <c r="Q132" s="82"/>
      <c r="R132" s="82" t="s">
        <v>1035</v>
      </c>
      <c r="S132" s="120" t="s">
        <v>724</v>
      </c>
      <c r="T132" s="86">
        <v>46132</v>
      </c>
      <c r="U132" s="87" t="str">
        <f>IF(V132="","No AIS",VLOOKUP(V132,'Voyage days'!$A$3:$B$1480,2,FALSE))</f>
        <v>USG</v>
      </c>
      <c r="V132" s="88" t="str">
        <f>IF(VLOOKUP(A132,'1) Kpler'!$E$2:$P$1000,8, FALSE)="","",VLOOKUP(A132,'1) Kpler'!$E$2:$P$1000,8, FALSE))</f>
        <v>Houston</v>
      </c>
      <c r="W132" s="89">
        <f>IF(VLOOKUP(A132,'1) Kpler'!$E$2:$P$1000,9,FALSE)="","",VLOOKUP(A132,'1) Kpler'!$E$2:$P$1000,9,FALSE))</f>
        <v>46148.208333333336</v>
      </c>
      <c r="X132" s="88" t="str">
        <f>VLOOKUP(A132,'1) Kpler'!$E$2:$I$1000,4,FALSE)</f>
        <v>ballast</v>
      </c>
      <c r="Y132" s="63" t="str">
        <f t="shared" si="0"/>
        <v/>
      </c>
      <c r="Z132" s="63" t="str">
        <f t="shared" si="1"/>
        <v>09-10 May</v>
      </c>
      <c r="AA132" s="63" t="str">
        <f t="shared" si="2"/>
        <v>09-10 May</v>
      </c>
      <c r="AB132" s="63" t="str">
        <f t="shared" si="3"/>
        <v/>
      </c>
      <c r="AC132" s="63" t="str">
        <f t="shared" si="4"/>
        <v>29-30 May</v>
      </c>
      <c r="AD132" s="63" t="str">
        <f t="shared" si="5"/>
        <v/>
      </c>
      <c r="AE132" s="129" t="str">
        <f t="shared" si="6"/>
        <v/>
      </c>
      <c r="AF132" s="130" t="str">
        <f t="shared" si="7"/>
        <v/>
      </c>
      <c r="AG132" s="93" t="str">
        <f t="shared" si="8"/>
        <v/>
      </c>
      <c r="AH132" s="94" t="str">
        <f>IFERROR($M132+VLOOKUP($L132,'Voyage days'!$F$38:$H$89,3,FALSE),"")</f>
        <v/>
      </c>
      <c r="AI132" s="94" t="str">
        <f>IFERROR(N132+VLOOKUP($L132,'Voyage days'!$F$38:$H$89,3,FALSE),"")</f>
        <v/>
      </c>
      <c r="AJ132" s="93" t="str">
        <f t="shared" si="9"/>
        <v>09-10 May</v>
      </c>
      <c r="AK132" s="94">
        <f>IFERROR($M132+VLOOKUP($L132,'Voyage days'!$F$94:$H$193,3,FALSE),"")</f>
        <v>46151</v>
      </c>
      <c r="AL132" s="94">
        <f>IFERROR($N132+VLOOKUP($L132,'Voyage days'!$F$94:$H$193,3,FALSE),"")</f>
        <v>46152</v>
      </c>
      <c r="AM132" s="93" t="str">
        <f t="shared" si="10"/>
        <v>09-10 May</v>
      </c>
      <c r="AN132" s="94">
        <f>IFERROR($M132+VLOOKUP($L132,'Voyage days'!$F$203:$H$256,3,FALSE),"")</f>
        <v>46151</v>
      </c>
      <c r="AO132" s="94">
        <f>IFERROR($N132+VLOOKUP($L132,'Voyage days'!$F$203:$H$256,3,FALSE),"")</f>
        <v>46152</v>
      </c>
      <c r="AP132" s="93" t="str">
        <f t="shared" si="11"/>
        <v/>
      </c>
      <c r="AQ132" s="94" t="str">
        <f>IFERROR($M132+VLOOKUP($L132,'Voyage days'!$F$294:$H$377,3,FALSE),"")</f>
        <v/>
      </c>
      <c r="AR132" s="94" t="str">
        <f>IFERROR($N132+VLOOKUP($L132,'Voyage days'!$F$294:$H$377,3,FALSE),"")</f>
        <v/>
      </c>
      <c r="AS132" s="93" t="str">
        <f t="shared" si="12"/>
        <v>29-30 May</v>
      </c>
      <c r="AT132" s="94">
        <f>IFERROR($M132+VLOOKUP($L132,'Voyage days'!$F$382:$H$446,3,FALSE),"")</f>
        <v>46171</v>
      </c>
      <c r="AU132" s="94">
        <f>IFERROR($N132+VLOOKUP($L132,'Voyage days'!$F$382:$H$446,3,FALSE),"")</f>
        <v>46172</v>
      </c>
      <c r="AV132" s="93" t="str">
        <f t="shared" si="13"/>
        <v/>
      </c>
      <c r="AW132" s="94" t="str">
        <f>IFERROR($M132+VLOOKUP($L132,'Voyage days'!$F$483:$H$538,3,FALSE),"")</f>
        <v/>
      </c>
      <c r="AX132" s="94" t="str">
        <f>IFERROR($N132+VLOOKUP($L132,'Voyage days'!$F$483:$H$538,3,FALSE),"")</f>
        <v/>
      </c>
      <c r="AY132" s="93" t="str">
        <f t="shared" si="14"/>
        <v/>
      </c>
      <c r="AZ132" s="94" t="str">
        <f>IFERROR($M132+VLOOKUP($L132,'Voyage days'!$F$540:$H$613,3,FALSE),"")</f>
        <v/>
      </c>
      <c r="BA132" s="94" t="str">
        <f>IFERROR($N132+VLOOKUP($L132,'Voyage days'!$F$540:$H$613,3,FALSE),"")</f>
        <v/>
      </c>
      <c r="BB132" s="93" t="str">
        <f t="shared" si="15"/>
        <v/>
      </c>
      <c r="BC132" s="94" t="str">
        <f>IFERROR($M132+VLOOKUP($L132,'Voyage days'!$F$448:$H$479,3,FALSE),"")</f>
        <v/>
      </c>
      <c r="BD132" s="94" t="str">
        <f>IFERROR($N132+VLOOKUP($L132,'Voyage days'!$F$448:$H$479,3,FALSE),"")</f>
        <v/>
      </c>
      <c r="BE132" s="93" t="str">
        <f t="shared" si="16"/>
        <v/>
      </c>
      <c r="BF132" s="95" t="str">
        <f>IFERROR($M132+VLOOKUP($L132,'Voyage days'!$F$620:$H$646,3,FALSE),"")</f>
        <v/>
      </c>
      <c r="BG132" s="95" t="str">
        <f>IFERROR($N132+VLOOKUP($L132,'Voyage days'!$F$620:$H$646,3,FALSE),"")</f>
        <v/>
      </c>
      <c r="BH132" s="93" t="str">
        <f t="shared" si="17"/>
        <v/>
      </c>
      <c r="BI132" s="96" t="str">
        <f>IFERROR($M132+VLOOKUP($L132,'Voyage days'!$F$702:$H$727,3,FALSE),"")</f>
        <v/>
      </c>
      <c r="BJ132" s="93" t="str">
        <f t="shared" si="18"/>
        <v/>
      </c>
      <c r="BK132" s="95" t="str">
        <f>IFERROR($M132+VLOOKUP($L132,'Voyage days'!$F$807:$H$878,3,FALSE),"")</f>
        <v/>
      </c>
      <c r="BL132" s="95" t="str">
        <f>IFERROR($N132+VLOOKUP($L132,'Voyage days'!$F$807:$H$878,3,FALSE),"")</f>
        <v/>
      </c>
      <c r="BM132" s="95" t="str">
        <f>IFERROR($N132+VLOOKUP($L132,'Voyage days'!$F$807:$K$878,6,FALSE),"")</f>
        <v/>
      </c>
      <c r="BN132" s="94" t="str">
        <f>IF(L132="loads AG", IFERROR($M132+VLOOKUP($L132,'Voyage days'!$M$38:$O$38,3,FALSE),""),"")</f>
        <v/>
      </c>
      <c r="BO132" s="94">
        <f>IF(L132="loads USG", IFERROR($M132+VLOOKUP($L132,'Voyage days'!$L$203:$N$203,3,FALSE),""),"")</f>
        <v>46183</v>
      </c>
    </row>
    <row r="133" spans="1:68" ht="15" customHeight="1" x14ac:dyDescent="0.25">
      <c r="A133" s="53" t="s">
        <v>596</v>
      </c>
      <c r="B133" s="119">
        <v>2008</v>
      </c>
      <c r="C133" s="151">
        <v>80100</v>
      </c>
      <c r="D133" s="77"/>
      <c r="E133" s="77"/>
      <c r="F133" s="78"/>
      <c r="G133" s="78"/>
      <c r="H133" s="78"/>
      <c r="I133" s="233" t="s">
        <v>1015</v>
      </c>
      <c r="J133" s="80" t="str">
        <f t="shared" si="24"/>
        <v/>
      </c>
      <c r="K133" s="81"/>
      <c r="L133" s="82" t="s">
        <v>734</v>
      </c>
      <c r="M133" s="83">
        <v>46161</v>
      </c>
      <c r="N133" s="83">
        <v>46162</v>
      </c>
      <c r="O133" s="84"/>
      <c r="P133" s="82" t="s">
        <v>1036</v>
      </c>
      <c r="Q133" s="364"/>
      <c r="R133" s="82" t="s">
        <v>1037</v>
      </c>
      <c r="S133" s="120" t="s">
        <v>724</v>
      </c>
      <c r="T133" s="86">
        <v>46132</v>
      </c>
      <c r="U133" s="87" t="str">
        <f>IF(V133="","No AIS",VLOOKUP(V133,'Voyage days'!$A$3:$B$1480,2,FALSE))</f>
        <v>Indo + 4</v>
      </c>
      <c r="V133" s="88" t="str">
        <f>IF(VLOOKUP(A133,'1) Kpler'!$E$2:$P$1000,8, FALSE)="","",VLOOKUP(A133,'1) Kpler'!$E$2:$P$1000,8, FALSE))</f>
        <v>Pupuk Ammonia</v>
      </c>
      <c r="W133" s="89">
        <f>IF(VLOOKUP(A133,'1) Kpler'!$E$2:$P$1000,9,FALSE)="","",VLOOKUP(A133,'1) Kpler'!$E$2:$P$1000,9,FALSE))</f>
        <v>46157.583333333336</v>
      </c>
      <c r="X133" s="88" t="str">
        <f>VLOOKUP(A133,'1) Kpler'!$E$2:$I$1000,4,FALSE)</f>
        <v>loaded</v>
      </c>
      <c r="Y133" s="90" t="str">
        <f t="shared" si="0"/>
        <v>30-31 May</v>
      </c>
      <c r="Z133" s="90" t="str">
        <f t="shared" si="1"/>
        <v>26-27 Jun</v>
      </c>
      <c r="AA133" s="90" t="str">
        <f t="shared" si="2"/>
        <v>25-26 Jun</v>
      </c>
      <c r="AB133" s="90" t="str">
        <f t="shared" si="3"/>
        <v>08-09 Jun</v>
      </c>
      <c r="AC133" s="90" t="str">
        <f t="shared" si="4"/>
        <v>17-18 Jun</v>
      </c>
      <c r="AD133" s="90" t="str">
        <f t="shared" si="5"/>
        <v>22-23 May</v>
      </c>
      <c r="AE133" s="91" t="str">
        <f t="shared" si="6"/>
        <v>23-24 May</v>
      </c>
      <c r="AF133" s="92" t="str">
        <f t="shared" si="7"/>
        <v>25-26 Jun</v>
      </c>
      <c r="AG133" s="93" t="str">
        <f t="shared" si="8"/>
        <v>30-31 May</v>
      </c>
      <c r="AH133" s="94">
        <f>IFERROR($M133+VLOOKUP($L133,'Voyage days'!$F$38:$H$89,3,FALSE),"")</f>
        <v>46172</v>
      </c>
      <c r="AI133" s="94">
        <f>IFERROR(N133+VLOOKUP($L133,'Voyage days'!$F$38:$H$89,3,FALSE),"")</f>
        <v>46173</v>
      </c>
      <c r="AJ133" s="93" t="str">
        <f t="shared" si="9"/>
        <v>26-27 Jun</v>
      </c>
      <c r="AK133" s="94">
        <f>IFERROR($M133+VLOOKUP($L133,'Voyage days'!$F$94:$H$193,3,FALSE),"")</f>
        <v>46199</v>
      </c>
      <c r="AL133" s="94">
        <f>IFERROR($N133+VLOOKUP($L133,'Voyage days'!$F$94:$H$193,3,FALSE),"")</f>
        <v>46200</v>
      </c>
      <c r="AM133" s="93" t="str">
        <f t="shared" si="10"/>
        <v>25-26 Jun</v>
      </c>
      <c r="AN133" s="94">
        <f>IFERROR($M133+VLOOKUP($L133,'Voyage days'!$F$203:$H$256,3,FALSE),"")</f>
        <v>46198</v>
      </c>
      <c r="AO133" s="94">
        <f>IFERROR($N133+VLOOKUP($L133,'Voyage days'!$F$203:$H$256,3,FALSE),"")</f>
        <v>46199</v>
      </c>
      <c r="AP133" s="93" t="str">
        <f t="shared" si="11"/>
        <v>08-09 Jun</v>
      </c>
      <c r="AQ133" s="94">
        <f>IFERROR($M133+VLOOKUP($L133,'Voyage days'!$F$294:$H$377,3,FALSE),"")</f>
        <v>46181</v>
      </c>
      <c r="AR133" s="94">
        <f>IFERROR($N133+VLOOKUP($L133,'Voyage days'!$F$294:$H$377,3,FALSE),"")</f>
        <v>46182</v>
      </c>
      <c r="AS133" s="93" t="str">
        <f t="shared" si="12"/>
        <v>17-18 Jun</v>
      </c>
      <c r="AT133" s="94">
        <f>IFERROR($M133+VLOOKUP($L133,'Voyage days'!$F$382:$H$446,3,FALSE),"")</f>
        <v>46190</v>
      </c>
      <c r="AU133" s="94">
        <f>IFERROR($N133+VLOOKUP($L133,'Voyage days'!$F$382:$H$446,3,FALSE),"")</f>
        <v>46191</v>
      </c>
      <c r="AV133" s="93" t="str">
        <f t="shared" si="13"/>
        <v>28-29 May</v>
      </c>
      <c r="AW133" s="94">
        <f>IFERROR($M133+VLOOKUP($L133,'Voyage days'!$F$483:$H$538,3,FALSE),"")</f>
        <v>46170</v>
      </c>
      <c r="AX133" s="94">
        <f>IFERROR($N133+VLOOKUP($L133,'Voyage days'!$F$483:$H$538,3,FALSE),"")</f>
        <v>46171</v>
      </c>
      <c r="AY133" s="93" t="str">
        <f t="shared" si="14"/>
        <v>23-24 May</v>
      </c>
      <c r="AZ133" s="94">
        <f>IFERROR($M133+VLOOKUP($L133,'Voyage days'!$F$540:$H$613,3,FALSE),"")</f>
        <v>46165</v>
      </c>
      <c r="BA133" s="94">
        <f>IFERROR($N133+VLOOKUP($L133,'Voyage days'!$F$540:$H$613,3,FALSE),"")</f>
        <v>46166</v>
      </c>
      <c r="BB133" s="93" t="str">
        <f t="shared" si="15"/>
        <v>22-23 May</v>
      </c>
      <c r="BC133" s="94">
        <f>IFERROR($M133+VLOOKUP($L133,'Voyage days'!$F$448:$H$479,3,FALSE),"")</f>
        <v>46164</v>
      </c>
      <c r="BD133" s="94">
        <f>IFERROR($N133+VLOOKUP($L133,'Voyage days'!$F$448:$H$479,3,FALSE),"")</f>
        <v>46165</v>
      </c>
      <c r="BE133" s="93" t="str">
        <f t="shared" si="16"/>
        <v/>
      </c>
      <c r="BF133" s="95" t="str">
        <f>IFERROR($M133+VLOOKUP($L133,'Voyage days'!$F$620:$H$646,3,FALSE),"")</f>
        <v/>
      </c>
      <c r="BG133" s="95" t="str">
        <f>IFERROR($N133+VLOOKUP($L133,'Voyage days'!$F$620:$H$646,3,FALSE),"")</f>
        <v/>
      </c>
      <c r="BH133" s="93" t="str">
        <f t="shared" si="17"/>
        <v>27-26 Jun</v>
      </c>
      <c r="BI133" s="96">
        <f>IFERROR($M133+VLOOKUP($L133,'Voyage days'!$F$702:$H$727,3,FALSE),"")</f>
        <v>46169</v>
      </c>
      <c r="BJ133" s="93" t="str">
        <f t="shared" si="18"/>
        <v>25-26 Jun</v>
      </c>
      <c r="BK133" s="95">
        <f>IFERROR($M133+VLOOKUP($L133,'Voyage days'!$F$807:$H$878,3,FALSE),"")</f>
        <v>46198</v>
      </c>
      <c r="BL133" s="95">
        <f>IFERROR($N133+VLOOKUP($L133,'Voyage days'!$F$807:$H$878,3,FALSE),"")</f>
        <v>46199</v>
      </c>
      <c r="BM133" s="95">
        <f>IFERROR($N133+VLOOKUP($L133,'Voyage days'!$F$807:$K$878,6,FALSE),"")</f>
        <v>46175</v>
      </c>
      <c r="BN133" s="94" t="str">
        <f>IF(L133="loads AG", IFERROR($M133+VLOOKUP($L133,'Voyage days'!$M$38:$O$38,3,FALSE),""),"")</f>
        <v/>
      </c>
      <c r="BO133" s="94" t="str">
        <f>IF(L133="loads USG", IFERROR($M133+VLOOKUP($L133,'Voyage days'!$L$203:$N$203,3,FALSE),""),"")</f>
        <v/>
      </c>
    </row>
    <row r="134" spans="1:68" ht="15.75" customHeight="1" x14ac:dyDescent="0.25">
      <c r="A134" s="132" t="s">
        <v>601</v>
      </c>
      <c r="B134" s="133">
        <v>2013</v>
      </c>
      <c r="C134" s="274">
        <v>83300</v>
      </c>
      <c r="D134" s="143"/>
      <c r="E134" s="143"/>
      <c r="F134" s="136"/>
      <c r="G134" s="136"/>
      <c r="H134" s="136" t="s">
        <v>739</v>
      </c>
      <c r="I134" s="177" t="s">
        <v>1015</v>
      </c>
      <c r="J134" s="365" t="str">
        <f t="shared" si="24"/>
        <v/>
      </c>
      <c r="K134" s="139"/>
      <c r="L134" s="140" t="s">
        <v>718</v>
      </c>
      <c r="M134" s="141">
        <v>46152</v>
      </c>
      <c r="N134" s="361">
        <v>46153</v>
      </c>
      <c r="O134" s="142" t="s">
        <v>779</v>
      </c>
      <c r="P134" s="140" t="s">
        <v>1038</v>
      </c>
      <c r="Q134" s="140"/>
      <c r="R134" s="140" t="s">
        <v>1039</v>
      </c>
      <c r="S134" s="279" t="s">
        <v>724</v>
      </c>
      <c r="T134" s="144">
        <v>46132</v>
      </c>
      <c r="U134" s="145" t="str">
        <f>IF(V134="","No AIS",VLOOKUP(V134,'Voyage days'!$A$3:$B$1480,2,FALSE))</f>
        <v>USG</v>
      </c>
      <c r="V134" s="146" t="str">
        <f>IF(VLOOKUP(A134,'1) Kpler'!$E$2:$P$1000,8, FALSE)="","",VLOOKUP(A134,'1) Kpler'!$E$2:$P$1000,8, FALSE))</f>
        <v>PADD 3</v>
      </c>
      <c r="W134" s="147">
        <f>IF(VLOOKUP(A134,'1) Kpler'!$E$2:$P$1000,9,FALSE)="","",VLOOKUP(A134,'1) Kpler'!$E$2:$P$1000,9,FALSE))</f>
        <v>46152</v>
      </c>
      <c r="X134" s="146" t="str">
        <f>VLOOKUP(A134,'1) Kpler'!$E$2:$I$1000,4,FALSE)</f>
        <v>ballast</v>
      </c>
      <c r="Y134" s="93" t="str">
        <f t="shared" si="0"/>
        <v/>
      </c>
      <c r="Z134" s="93" t="str">
        <f t="shared" si="1"/>
        <v>10-11 May</v>
      </c>
      <c r="AA134" s="93" t="str">
        <f t="shared" si="2"/>
        <v>10-11 May</v>
      </c>
      <c r="AB134" s="93" t="str">
        <f t="shared" si="3"/>
        <v/>
      </c>
      <c r="AC134" s="93" t="str">
        <f t="shared" si="4"/>
        <v>30-31 May</v>
      </c>
      <c r="AD134" s="93" t="str">
        <f t="shared" si="5"/>
        <v/>
      </c>
      <c r="AE134" s="179" t="str">
        <f t="shared" si="6"/>
        <v/>
      </c>
      <c r="AF134" s="180" t="str">
        <f t="shared" si="7"/>
        <v/>
      </c>
      <c r="AG134" s="93" t="str">
        <f t="shared" si="8"/>
        <v/>
      </c>
      <c r="AH134" s="94" t="str">
        <f>IFERROR($M134+VLOOKUP($L134,'Voyage days'!$F$38:$H$89,3,FALSE),"")</f>
        <v/>
      </c>
      <c r="AI134" s="94" t="str">
        <f>IFERROR(N134+VLOOKUP($L134,'Voyage days'!$F$38:$H$89,3,FALSE),"")</f>
        <v/>
      </c>
      <c r="AJ134" s="93" t="str">
        <f t="shared" si="9"/>
        <v>10-11 May</v>
      </c>
      <c r="AK134" s="94">
        <f>IFERROR($M134+VLOOKUP($L134,'Voyage days'!$F$94:$H$193,3,FALSE),"")</f>
        <v>46152</v>
      </c>
      <c r="AL134" s="94">
        <f>IFERROR($N134+VLOOKUP($L134,'Voyage days'!$F$94:$H$193,3,FALSE),"")</f>
        <v>46153</v>
      </c>
      <c r="AM134" s="93" t="str">
        <f t="shared" si="10"/>
        <v>10-11 May</v>
      </c>
      <c r="AN134" s="94">
        <f>IFERROR($M134+VLOOKUP($L134,'Voyage days'!$F$203:$H$256,3,FALSE),"")</f>
        <v>46152</v>
      </c>
      <c r="AO134" s="94">
        <f>IFERROR($N134+VLOOKUP($L134,'Voyage days'!$F$203:$H$256,3,FALSE),"")</f>
        <v>46153</v>
      </c>
      <c r="AP134" s="93" t="str">
        <f t="shared" si="11"/>
        <v/>
      </c>
      <c r="AQ134" s="94" t="str">
        <f>IFERROR($M134+VLOOKUP($L134,'Voyage days'!$F$294:$H$377,3,FALSE),"")</f>
        <v/>
      </c>
      <c r="AR134" s="94" t="str">
        <f>IFERROR($N134+VLOOKUP($L134,'Voyage days'!$F$294:$H$377,3,FALSE),"")</f>
        <v/>
      </c>
      <c r="AS134" s="93" t="str">
        <f t="shared" si="12"/>
        <v>30-31 May</v>
      </c>
      <c r="AT134" s="94">
        <f>IFERROR($M134+VLOOKUP($L134,'Voyage days'!$F$382:$H$446,3,FALSE),"")</f>
        <v>46172</v>
      </c>
      <c r="AU134" s="94">
        <f>IFERROR($N134+VLOOKUP($L134,'Voyage days'!$F$382:$H$446,3,FALSE),"")</f>
        <v>46173</v>
      </c>
      <c r="AV134" s="93" t="str">
        <f t="shared" si="13"/>
        <v/>
      </c>
      <c r="AW134" s="94" t="str">
        <f>IFERROR($M134+VLOOKUP($L134,'Voyage days'!$F$483:$H$538,3,FALSE),"")</f>
        <v/>
      </c>
      <c r="AX134" s="94" t="str">
        <f>IFERROR($N134+VLOOKUP($L134,'Voyage days'!$F$483:$H$538,3,FALSE),"")</f>
        <v/>
      </c>
      <c r="AY134" s="93" t="str">
        <f t="shared" si="14"/>
        <v/>
      </c>
      <c r="AZ134" s="94" t="str">
        <f>IFERROR($M134+VLOOKUP($L134,'Voyage days'!$F$540:$H$613,3,FALSE),"")</f>
        <v/>
      </c>
      <c r="BA134" s="94" t="str">
        <f>IFERROR($N134+VLOOKUP($L134,'Voyage days'!$F$540:$H$613,3,FALSE),"")</f>
        <v/>
      </c>
      <c r="BB134" s="93" t="str">
        <f t="shared" si="15"/>
        <v/>
      </c>
      <c r="BC134" s="94" t="str">
        <f>IFERROR($M134+VLOOKUP($L134,'Voyage days'!$F$448:$H$479,3,FALSE),"")</f>
        <v/>
      </c>
      <c r="BD134" s="94" t="str">
        <f>IFERROR($N134+VLOOKUP($L134,'Voyage days'!$F$448:$H$479,3,FALSE),"")</f>
        <v/>
      </c>
      <c r="BE134" s="93" t="str">
        <f t="shared" si="16"/>
        <v/>
      </c>
      <c r="BF134" s="95" t="str">
        <f>IFERROR($M134+VLOOKUP($L134,'Voyage days'!$F$620:$H$646,3,FALSE),"")</f>
        <v/>
      </c>
      <c r="BG134" s="95" t="str">
        <f>IFERROR($N134+VLOOKUP($L134,'Voyage days'!$F$620:$H$646,3,FALSE),"")</f>
        <v/>
      </c>
      <c r="BH134" s="93" t="str">
        <f t="shared" si="17"/>
        <v/>
      </c>
      <c r="BI134" s="96" t="str">
        <f>IFERROR($M134+VLOOKUP($L134,'Voyage days'!$F$702:$H$727,3,FALSE),"")</f>
        <v/>
      </c>
      <c r="BJ134" s="93" t="str">
        <f t="shared" si="18"/>
        <v/>
      </c>
      <c r="BK134" s="95" t="str">
        <f>IFERROR($M134+VLOOKUP($L134,'Voyage days'!$F$807:$H$878,3,FALSE),"")</f>
        <v/>
      </c>
      <c r="BL134" s="95" t="str">
        <f>IFERROR($N134+VLOOKUP($L134,'Voyage days'!$F$807:$H$878,3,FALSE),"")</f>
        <v/>
      </c>
      <c r="BM134" s="95" t="str">
        <f>IFERROR($N134+VLOOKUP($L134,'Voyage days'!$F$807:$K$878,6,FALSE),"")</f>
        <v/>
      </c>
      <c r="BN134" s="94" t="str">
        <f>IF(L134="loads AG", IFERROR($M134+VLOOKUP($L134,'Voyage days'!$M$38:$O$38,3,FALSE),""),"")</f>
        <v/>
      </c>
      <c r="BO134" s="94">
        <f>IF(L134="loads USG", IFERROR($M134+VLOOKUP($L134,'Voyage days'!$L$203:$N$203,3,FALSE),""),"")</f>
        <v>46184</v>
      </c>
    </row>
    <row r="135" spans="1:68" ht="15.75" customHeight="1" x14ac:dyDescent="0.25">
      <c r="A135" s="109" t="s">
        <v>257</v>
      </c>
      <c r="B135" s="119">
        <v>2023</v>
      </c>
      <c r="C135" s="76">
        <v>86700</v>
      </c>
      <c r="D135" s="120"/>
      <c r="E135" s="120" t="s">
        <v>757</v>
      </c>
      <c r="F135" s="121"/>
      <c r="G135" s="121"/>
      <c r="H135" s="121" t="s">
        <v>713</v>
      </c>
      <c r="I135" s="233" t="s">
        <v>1040</v>
      </c>
      <c r="J135" s="366" t="str">
        <f t="shared" si="24"/>
        <v/>
      </c>
      <c r="K135" s="123"/>
      <c r="L135" s="124" t="s">
        <v>718</v>
      </c>
      <c r="M135" s="83">
        <v>46151</v>
      </c>
      <c r="N135" s="83">
        <v>46152</v>
      </c>
      <c r="O135" s="126"/>
      <c r="P135" s="157" t="s">
        <v>1041</v>
      </c>
      <c r="Q135" s="124"/>
      <c r="R135" s="124" t="s">
        <v>1042</v>
      </c>
      <c r="S135" s="120" t="s">
        <v>724</v>
      </c>
      <c r="T135" s="232">
        <v>46132</v>
      </c>
      <c r="U135" s="87" t="str">
        <f>IF(V135="","No AIS",VLOOKUP(V135,'Voyage days'!$A$3:$B$1480,2,FALSE))</f>
        <v>USG</v>
      </c>
      <c r="V135" s="87" t="str">
        <f>IF(VLOOKUP(A135,'1) Kpler'!$E$2:$P$1000,8, FALSE)="","",VLOOKUP(A135,'1) Kpler'!$E$2:$P$1000,8, FALSE))</f>
        <v>Energy Transfer Marcus Hook</v>
      </c>
      <c r="W135" s="128">
        <f>IF(VLOOKUP(A135,'1) Kpler'!$E$2:$P$1000,9,FALSE)="","",VLOOKUP(A135,'1) Kpler'!$E$2:$P$1000,9,FALSE))</f>
        <v>46146.291666666664</v>
      </c>
      <c r="X135" s="87" t="str">
        <f>VLOOKUP(A135,'1) Kpler'!$E$2:$I$1000,4,FALSE)</f>
        <v>ballast</v>
      </c>
      <c r="Y135" s="234" t="str">
        <f t="shared" si="0"/>
        <v/>
      </c>
      <c r="Z135" s="234" t="str">
        <f t="shared" si="1"/>
        <v>09-10 May</v>
      </c>
      <c r="AA135" s="234" t="str">
        <f t="shared" si="2"/>
        <v>09-10 May</v>
      </c>
      <c r="AB135" s="234" t="str">
        <f t="shared" si="3"/>
        <v/>
      </c>
      <c r="AC135" s="234" t="str">
        <f t="shared" si="4"/>
        <v>29-30 May</v>
      </c>
      <c r="AD135" s="234" t="str">
        <f t="shared" si="5"/>
        <v/>
      </c>
      <c r="AE135" s="235" t="str">
        <f t="shared" si="6"/>
        <v/>
      </c>
      <c r="AF135" s="92" t="str">
        <f t="shared" si="7"/>
        <v/>
      </c>
      <c r="AG135" s="131" t="str">
        <f t="shared" si="8"/>
        <v/>
      </c>
      <c r="AH135" s="95" t="str">
        <f>IFERROR($M135+VLOOKUP($L135,'Voyage days'!$F$38:$H$89,3,FALSE),"")</f>
        <v/>
      </c>
      <c r="AI135" s="95" t="str">
        <f>IFERROR(N135+VLOOKUP($L135,'Voyage days'!$F$38:$H$89,3,FALSE),"")</f>
        <v/>
      </c>
      <c r="AJ135" s="131" t="str">
        <f t="shared" si="9"/>
        <v>09-10 May</v>
      </c>
      <c r="AK135" s="95">
        <f>IFERROR($M135+VLOOKUP($L135,'Voyage days'!$F$94:$H$193,3,FALSE),"")</f>
        <v>46151</v>
      </c>
      <c r="AL135" s="95">
        <f>IFERROR($N135+VLOOKUP($L135,'Voyage days'!$F$94:$H$193,3,FALSE),"")</f>
        <v>46152</v>
      </c>
      <c r="AM135" s="131" t="str">
        <f t="shared" si="10"/>
        <v>09-10 May</v>
      </c>
      <c r="AN135" s="95">
        <f>IFERROR($M135+VLOOKUP($L135,'Voyage days'!$F$203:$H$256,3,FALSE),"")</f>
        <v>46151</v>
      </c>
      <c r="AO135" s="95">
        <f>IFERROR($N135+VLOOKUP($L135,'Voyage days'!$F$203:$H$256,3,FALSE),"")</f>
        <v>46152</v>
      </c>
      <c r="AP135" s="131" t="str">
        <f t="shared" si="11"/>
        <v/>
      </c>
      <c r="AQ135" s="95" t="str">
        <f>IFERROR($M135+VLOOKUP($L135,'Voyage days'!$F$294:$H$377,3,FALSE),"")</f>
        <v/>
      </c>
      <c r="AR135" s="95" t="str">
        <f>IFERROR($N135+VLOOKUP($L135,'Voyage days'!$F$294:$H$377,3,FALSE),"")</f>
        <v/>
      </c>
      <c r="AS135" s="131" t="str">
        <f t="shared" si="12"/>
        <v>29-30 May</v>
      </c>
      <c r="AT135" s="95">
        <f>IFERROR($M135+VLOOKUP($L135,'Voyage days'!$F$382:$H$446,3,FALSE),"")</f>
        <v>46171</v>
      </c>
      <c r="AU135" s="95">
        <f>IFERROR($N135+VLOOKUP($L135,'Voyage days'!$F$382:$H$446,3,FALSE),"")</f>
        <v>46172</v>
      </c>
      <c r="AV135" s="131" t="str">
        <f t="shared" si="13"/>
        <v/>
      </c>
      <c r="AW135" s="95" t="str">
        <f>IFERROR($M135+VLOOKUP($L135,'Voyage days'!$F$483:$H$538,3,FALSE),"")</f>
        <v/>
      </c>
      <c r="AX135" s="95" t="str">
        <f>IFERROR($N135+VLOOKUP($L135,'Voyage days'!$F$483:$H$538,3,FALSE),"")</f>
        <v/>
      </c>
      <c r="AY135" s="131" t="str">
        <f t="shared" si="14"/>
        <v/>
      </c>
      <c r="AZ135" s="95" t="str">
        <f>IFERROR($M135+VLOOKUP($L135,'Voyage days'!$F$540:$H$613,3,FALSE),"")</f>
        <v/>
      </c>
      <c r="BA135" s="95" t="str">
        <f>IFERROR($N135+VLOOKUP($L135,'Voyage days'!$F$540:$H$613,3,FALSE),"")</f>
        <v/>
      </c>
      <c r="BB135" s="131" t="str">
        <f t="shared" si="15"/>
        <v/>
      </c>
      <c r="BC135" s="94" t="str">
        <f>IFERROR($M135+VLOOKUP($L135,'Voyage days'!$F$448:$H$479,3,FALSE),"")</f>
        <v/>
      </c>
      <c r="BD135" s="94" t="str">
        <f>IFERROR($N135+VLOOKUP($L135,'Voyage days'!$F$448:$H$479,3,FALSE),"")</f>
        <v/>
      </c>
      <c r="BE135" s="131" t="str">
        <f t="shared" si="16"/>
        <v/>
      </c>
      <c r="BF135" s="95" t="str">
        <f>IFERROR($M135+VLOOKUP($L135,'Voyage days'!$F$620:$H$646,3,FALSE),"")</f>
        <v/>
      </c>
      <c r="BG135" s="95" t="str">
        <f>IFERROR($N135+VLOOKUP($L135,'Voyage days'!$F$620:$H$646,3,FALSE),"")</f>
        <v/>
      </c>
      <c r="BH135" s="131" t="str">
        <f t="shared" si="17"/>
        <v/>
      </c>
      <c r="BI135" s="96" t="str">
        <f>IFERROR($M135+VLOOKUP($L135,'Voyage days'!$F$702:$H$727,3,FALSE),"")</f>
        <v/>
      </c>
      <c r="BJ135" s="131" t="str">
        <f t="shared" si="18"/>
        <v/>
      </c>
      <c r="BK135" s="95" t="str">
        <f>IFERROR($M135+VLOOKUP($L135,'Voyage days'!$F$807:$H$878,3,FALSE),"")</f>
        <v/>
      </c>
      <c r="BL135" s="95" t="str">
        <f>IFERROR($N135+VLOOKUP($L135,'Voyage days'!$F$807:$H$878,3,FALSE),"")</f>
        <v/>
      </c>
      <c r="BM135" s="95" t="str">
        <f>IFERROR($N135+VLOOKUP($L135,'Voyage days'!$F$807:$K$878,6,FALSE),"")</f>
        <v/>
      </c>
      <c r="BN135" s="94" t="str">
        <f>IF(L135="loads AG", IFERROR($M135+VLOOKUP($L135,'Voyage days'!$M$38:$O$38,3,FALSE),""),"")</f>
        <v/>
      </c>
      <c r="BO135" s="94">
        <f>IF(L135="loads USG", IFERROR($M135+VLOOKUP($L135,'Voyage days'!$L$203:$N$203,3,FALSE),""),"")</f>
        <v>46183</v>
      </c>
    </row>
    <row r="136" spans="1:68" ht="15.75" customHeight="1" x14ac:dyDescent="0.25">
      <c r="A136" s="218" t="s">
        <v>255</v>
      </c>
      <c r="B136" s="119">
        <v>2020</v>
      </c>
      <c r="C136" s="76">
        <v>83000</v>
      </c>
      <c r="D136" s="120"/>
      <c r="E136" s="120"/>
      <c r="F136" s="121"/>
      <c r="G136" s="121"/>
      <c r="H136" s="121" t="s">
        <v>739</v>
      </c>
      <c r="I136" s="233" t="s">
        <v>1040</v>
      </c>
      <c r="J136" s="366" t="str">
        <f t="shared" si="24"/>
        <v/>
      </c>
      <c r="K136" s="367"/>
      <c r="L136" s="124" t="s">
        <v>734</v>
      </c>
      <c r="M136" s="83">
        <v>46148</v>
      </c>
      <c r="N136" s="83">
        <v>46150</v>
      </c>
      <c r="O136" s="126"/>
      <c r="P136" s="124" t="s">
        <v>1043</v>
      </c>
      <c r="Q136" s="124"/>
      <c r="R136" s="124" t="s">
        <v>1044</v>
      </c>
      <c r="S136" s="120" t="s">
        <v>724</v>
      </c>
      <c r="T136" s="232">
        <v>46132</v>
      </c>
      <c r="U136" s="87" t="str">
        <f>IF(V136="","No AIS",VLOOKUP(V136,'Voyage days'!$A$3:$B$1480,2,FALSE))</f>
        <v>Indo + 4</v>
      </c>
      <c r="V136" s="87" t="str">
        <f>IF(VLOOKUP(A136,'1) Kpler'!$E$2:$P$1000,8, FALSE)="","",VLOOKUP(A136,'1) Kpler'!$E$2:$P$1000,8, FALSE))</f>
        <v>Oiltank. Merak</v>
      </c>
      <c r="W136" s="128">
        <f>IF(VLOOKUP(A136,'1) Kpler'!$E$2:$P$1000,9,FALSE)="","",VLOOKUP(A136,'1) Kpler'!$E$2:$P$1000,9,FALSE))</f>
        <v>46143.375</v>
      </c>
      <c r="X136" s="87" t="str">
        <f>VLOOKUP(A136,'1) Kpler'!$E$2:$I$1000,4,FALSE)</f>
        <v>loaded</v>
      </c>
      <c r="Y136" s="63" t="str">
        <f t="shared" si="0"/>
        <v>17-19 May</v>
      </c>
      <c r="Z136" s="63" t="str">
        <f t="shared" si="1"/>
        <v>13-15 Jun</v>
      </c>
      <c r="AA136" s="63" t="str">
        <f t="shared" si="2"/>
        <v>12-14 Jun</v>
      </c>
      <c r="AB136" s="63" t="str">
        <f t="shared" si="3"/>
        <v>26-28 May</v>
      </c>
      <c r="AC136" s="63" t="str">
        <f t="shared" si="4"/>
        <v>04-06 Jun</v>
      </c>
      <c r="AD136" s="63" t="str">
        <f t="shared" si="5"/>
        <v>09-11 May</v>
      </c>
      <c r="AE136" s="129" t="str">
        <f t="shared" si="6"/>
        <v>10-12 May</v>
      </c>
      <c r="AF136" s="368" t="str">
        <f t="shared" si="7"/>
        <v>12-14 Jun</v>
      </c>
      <c r="AG136" s="93" t="str">
        <f t="shared" si="8"/>
        <v>17-19 May</v>
      </c>
      <c r="AH136" s="94">
        <f>IFERROR($M136+VLOOKUP($L136,'Voyage days'!$F$38:$H$89,3,FALSE),"")</f>
        <v>46159</v>
      </c>
      <c r="AI136" s="94">
        <f>IFERROR(N136+VLOOKUP($L136,'Voyage days'!$F$38:$H$89,3,FALSE),"")</f>
        <v>46161</v>
      </c>
      <c r="AJ136" s="93" t="str">
        <f t="shared" si="9"/>
        <v>13-15 Jun</v>
      </c>
      <c r="AK136" s="94">
        <f>IFERROR($M136+VLOOKUP($L136,'Voyage days'!$F$94:$H$193,3,FALSE),"")</f>
        <v>46186</v>
      </c>
      <c r="AL136" s="94">
        <f>IFERROR($N136+VLOOKUP($L136,'Voyage days'!$F$94:$H$193,3,FALSE),"")</f>
        <v>46188</v>
      </c>
      <c r="AM136" s="93" t="str">
        <f t="shared" si="10"/>
        <v>12-14 Jun</v>
      </c>
      <c r="AN136" s="94">
        <f>IFERROR($M136+VLOOKUP($L136,'Voyage days'!$F$203:$H$256,3,FALSE),"")</f>
        <v>46185</v>
      </c>
      <c r="AO136" s="94">
        <f>IFERROR($N136+VLOOKUP($L136,'Voyage days'!$F$203:$H$256,3,FALSE),"")</f>
        <v>46187</v>
      </c>
      <c r="AP136" s="93" t="str">
        <f t="shared" si="11"/>
        <v>26-28 May</v>
      </c>
      <c r="AQ136" s="94">
        <f>IFERROR($M136+VLOOKUP($L136,'Voyage days'!$F$294:$H$377,3,FALSE),"")</f>
        <v>46168</v>
      </c>
      <c r="AR136" s="94">
        <f>IFERROR($N136+VLOOKUP($L136,'Voyage days'!$F$294:$H$377,3,FALSE),"")</f>
        <v>46170</v>
      </c>
      <c r="AS136" s="93" t="str">
        <f t="shared" si="12"/>
        <v>04-06 Jun</v>
      </c>
      <c r="AT136" s="94">
        <f>IFERROR($M136+VLOOKUP($L136,'Voyage days'!$F$382:$H$446,3,FALSE),"")</f>
        <v>46177</v>
      </c>
      <c r="AU136" s="94">
        <f>IFERROR($N136+VLOOKUP($L136,'Voyage days'!$F$382:$H$446,3,FALSE),"")</f>
        <v>46179</v>
      </c>
      <c r="AV136" s="93" t="str">
        <f t="shared" si="13"/>
        <v>15-17 May</v>
      </c>
      <c r="AW136" s="94">
        <f>IFERROR($M136+VLOOKUP($L136,'Voyage days'!$F$483:$H$538,3,FALSE),"")</f>
        <v>46157</v>
      </c>
      <c r="AX136" s="94">
        <f>IFERROR($N136+VLOOKUP($L136,'Voyage days'!$F$483:$H$538,3,FALSE),"")</f>
        <v>46159</v>
      </c>
      <c r="AY136" s="93" t="str">
        <f t="shared" si="14"/>
        <v>10-12 May</v>
      </c>
      <c r="AZ136" s="94">
        <f>IFERROR($M136+VLOOKUP($L136,'Voyage days'!$F$540:$H$613,3,FALSE),"")</f>
        <v>46152</v>
      </c>
      <c r="BA136" s="94">
        <f>IFERROR($N136+VLOOKUP($L136,'Voyage days'!$F$540:$H$613,3,FALSE),"")</f>
        <v>46154</v>
      </c>
      <c r="BB136" s="93" t="str">
        <f t="shared" si="15"/>
        <v>09-11 May</v>
      </c>
      <c r="BC136" s="94">
        <f>IFERROR($M136+VLOOKUP($L136,'Voyage days'!$F$448:$H$479,3,FALSE),"")</f>
        <v>46151</v>
      </c>
      <c r="BD136" s="94">
        <f>IFERROR($N136+VLOOKUP($L136,'Voyage days'!$F$448:$H$479,3,FALSE),"")</f>
        <v>46153</v>
      </c>
      <c r="BE136" s="93" t="str">
        <f t="shared" si="16"/>
        <v/>
      </c>
      <c r="BF136" s="95" t="str">
        <f>IFERROR($M136+VLOOKUP($L136,'Voyage days'!$F$620:$H$646,3,FALSE),"")</f>
        <v/>
      </c>
      <c r="BG136" s="95" t="str">
        <f>IFERROR($N136+VLOOKUP($L136,'Voyage days'!$F$620:$H$646,3,FALSE),"")</f>
        <v/>
      </c>
      <c r="BH136" s="93" t="str">
        <f t="shared" si="17"/>
        <v>14-14 Jun</v>
      </c>
      <c r="BI136" s="96">
        <f>IFERROR($M136+VLOOKUP($L136,'Voyage days'!$F$702:$H$727,3,FALSE),"")</f>
        <v>46156</v>
      </c>
      <c r="BJ136" s="93" t="str">
        <f t="shared" si="18"/>
        <v>12-14 Jun</v>
      </c>
      <c r="BK136" s="95">
        <f>IFERROR($M136+VLOOKUP($L136,'Voyage days'!$F$807:$H$878,3,FALSE),"")</f>
        <v>46185</v>
      </c>
      <c r="BL136" s="95">
        <f>IFERROR($N136+VLOOKUP($L136,'Voyage days'!$F$807:$H$878,3,FALSE),"")</f>
        <v>46187</v>
      </c>
      <c r="BM136" s="95">
        <f>IFERROR($N136+VLOOKUP($L136,'Voyage days'!$F$807:$K$878,6,FALSE),"")</f>
        <v>46163</v>
      </c>
      <c r="BN136" s="94" t="str">
        <f>IF(L136="loads AG", IFERROR($M136+VLOOKUP($L136,'Voyage days'!$M$38:$O$38,3,FALSE),""),"")</f>
        <v/>
      </c>
      <c r="BO136" s="94" t="str">
        <f>IF(L136="loads USG", IFERROR($M136+VLOOKUP($L136,'Voyage days'!$L$203:$N$203,3,FALSE),""),"")</f>
        <v/>
      </c>
      <c r="BP136" s="8"/>
    </row>
    <row r="137" spans="1:68" ht="15.75" customHeight="1" x14ac:dyDescent="0.25">
      <c r="A137" s="336" t="s">
        <v>520</v>
      </c>
      <c r="B137" s="75">
        <v>42535</v>
      </c>
      <c r="C137" s="76">
        <v>84000</v>
      </c>
      <c r="D137" s="120"/>
      <c r="E137" s="120" t="s">
        <v>757</v>
      </c>
      <c r="F137" s="121"/>
      <c r="G137" s="121"/>
      <c r="H137" s="121"/>
      <c r="I137" s="233" t="s">
        <v>1040</v>
      </c>
      <c r="J137" s="122" t="str">
        <f t="shared" si="24"/>
        <v/>
      </c>
      <c r="K137" s="81"/>
      <c r="L137" s="124" t="s">
        <v>718</v>
      </c>
      <c r="M137" s="83">
        <v>46157</v>
      </c>
      <c r="N137" s="83">
        <v>46158</v>
      </c>
      <c r="O137" s="126"/>
      <c r="P137" s="124" t="s">
        <v>1045</v>
      </c>
      <c r="Q137" s="124" t="s">
        <v>1046</v>
      </c>
      <c r="R137" s="124" t="s">
        <v>1047</v>
      </c>
      <c r="S137" s="120" t="s">
        <v>724</v>
      </c>
      <c r="T137" s="232">
        <v>46132</v>
      </c>
      <c r="U137" s="87" t="str">
        <f>IF(V137="","No AIS",VLOOKUP(V137,'Voyage days'!$A$3:$B$1480,2,FALSE))</f>
        <v>Cape (as proxy)</v>
      </c>
      <c r="V137" s="87" t="str">
        <f>IF(VLOOKUP(A137,'1) Kpler'!$E$2:$P$1000,8, FALSE)="","",VLOOKUP(A137,'1) Kpler'!$E$2:$P$1000,8, FALSE))</f>
        <v>Port Elizabeth</v>
      </c>
      <c r="W137" s="128">
        <f>IF(VLOOKUP(A137,'1) Kpler'!$E$2:$P$1000,9,FALSE)="","",VLOOKUP(A137,'1) Kpler'!$E$2:$P$1000,9,FALSE))</f>
        <v>46133.5</v>
      </c>
      <c r="X137" s="87" t="str">
        <f>VLOOKUP(A137,'1) Kpler'!$E$2:$I$1000,4,FALSE)</f>
        <v>open</v>
      </c>
      <c r="Y137" s="90" t="str">
        <f t="shared" si="0"/>
        <v/>
      </c>
      <c r="Z137" s="90" t="str">
        <f t="shared" si="1"/>
        <v>15-16 May</v>
      </c>
      <c r="AA137" s="90" t="str">
        <f t="shared" si="2"/>
        <v>15-16 May</v>
      </c>
      <c r="AB137" s="90" t="str">
        <f t="shared" si="3"/>
        <v/>
      </c>
      <c r="AC137" s="90" t="str">
        <f t="shared" si="4"/>
        <v>04-05 Jun</v>
      </c>
      <c r="AD137" s="90" t="str">
        <f t="shared" si="5"/>
        <v/>
      </c>
      <c r="AE137" s="91" t="str">
        <f t="shared" si="6"/>
        <v/>
      </c>
      <c r="AF137" s="92" t="str">
        <f t="shared" si="7"/>
        <v/>
      </c>
      <c r="AG137" s="93" t="str">
        <f t="shared" si="8"/>
        <v/>
      </c>
      <c r="AH137" s="94" t="str">
        <f>IFERROR($M137+VLOOKUP($L137,'Voyage days'!$F$38:$H$89,3,FALSE),"")</f>
        <v/>
      </c>
      <c r="AI137" s="94" t="str">
        <f>IFERROR(N137+VLOOKUP($L137,'Voyage days'!$F$38:$H$89,3,FALSE),"")</f>
        <v/>
      </c>
      <c r="AJ137" s="93" t="str">
        <f t="shared" si="9"/>
        <v>15-16 May</v>
      </c>
      <c r="AK137" s="94">
        <f>IFERROR($M137+VLOOKUP($L137,'Voyage days'!$F$94:$H$193,3,FALSE),"")</f>
        <v>46157</v>
      </c>
      <c r="AL137" s="94">
        <f>IFERROR($N137+VLOOKUP($L137,'Voyage days'!$F$94:$H$193,3,FALSE),"")</f>
        <v>46158</v>
      </c>
      <c r="AM137" s="93" t="str">
        <f t="shared" si="10"/>
        <v>15-16 May</v>
      </c>
      <c r="AN137" s="94">
        <f>IFERROR($M137+VLOOKUP($L137,'Voyage days'!$F$203:$H$256,3,FALSE),"")</f>
        <v>46157</v>
      </c>
      <c r="AO137" s="94">
        <f>IFERROR($N137+VLOOKUP($L137,'Voyage days'!$F$203:$H$256,3,FALSE),"")</f>
        <v>46158</v>
      </c>
      <c r="AP137" s="93" t="str">
        <f t="shared" si="11"/>
        <v/>
      </c>
      <c r="AQ137" s="94" t="str">
        <f>IFERROR($M137+VLOOKUP($L137,'Voyage days'!$F$294:$H$377,3,FALSE),"")</f>
        <v/>
      </c>
      <c r="AR137" s="94" t="str">
        <f>IFERROR($N137+VLOOKUP($L137,'Voyage days'!$F$294:$H$377,3,FALSE),"")</f>
        <v/>
      </c>
      <c r="AS137" s="93" t="str">
        <f t="shared" si="12"/>
        <v>04-05 Jun</v>
      </c>
      <c r="AT137" s="94">
        <f>IFERROR($M137+VLOOKUP($L137,'Voyage days'!$F$382:$H$446,3,FALSE),"")</f>
        <v>46177</v>
      </c>
      <c r="AU137" s="94">
        <f>IFERROR($N137+VLOOKUP($L137,'Voyage days'!$F$382:$H$446,3,FALSE),"")</f>
        <v>46178</v>
      </c>
      <c r="AV137" s="93" t="str">
        <f t="shared" si="13"/>
        <v/>
      </c>
      <c r="AW137" s="94" t="str">
        <f>IFERROR($M137+VLOOKUP($L137,'Voyage days'!$F$483:$H$538,3,FALSE),"")</f>
        <v/>
      </c>
      <c r="AX137" s="94" t="str">
        <f>IFERROR($N137+VLOOKUP($L137,'Voyage days'!$F$483:$H$538,3,FALSE),"")</f>
        <v/>
      </c>
      <c r="AY137" s="93" t="str">
        <f t="shared" si="14"/>
        <v/>
      </c>
      <c r="AZ137" s="94" t="str">
        <f>IFERROR($M137+VLOOKUP($L137,'Voyage days'!$F$540:$H$613,3,FALSE),"")</f>
        <v/>
      </c>
      <c r="BA137" s="94" t="str">
        <f>IFERROR($N137+VLOOKUP($L137,'Voyage days'!$F$540:$H$613,3,FALSE),"")</f>
        <v/>
      </c>
      <c r="BB137" s="93" t="str">
        <f t="shared" si="15"/>
        <v/>
      </c>
      <c r="BC137" s="94" t="str">
        <f>IFERROR($M137+VLOOKUP($L137,'Voyage days'!$F$448:$H$479,3,FALSE),"")</f>
        <v/>
      </c>
      <c r="BD137" s="94" t="str">
        <f>IFERROR($N137+VLOOKUP($L137,'Voyage days'!$F$448:$H$479,3,FALSE),"")</f>
        <v/>
      </c>
      <c r="BE137" s="93" t="str">
        <f t="shared" si="16"/>
        <v/>
      </c>
      <c r="BF137" s="95" t="str">
        <f>IFERROR($M137+VLOOKUP($L137,'Voyage days'!$F$620:$H$646,3,FALSE),"")</f>
        <v/>
      </c>
      <c r="BG137" s="95" t="str">
        <f>IFERROR($N137+VLOOKUP($L137,'Voyage days'!$F$620:$H$646,3,FALSE),"")</f>
        <v/>
      </c>
      <c r="BH137" s="93" t="str">
        <f t="shared" si="17"/>
        <v/>
      </c>
      <c r="BI137" s="96" t="str">
        <f>IFERROR($M137+VLOOKUP($L137,'Voyage days'!$F$702:$H$727,3,FALSE),"")</f>
        <v/>
      </c>
      <c r="BJ137" s="93" t="str">
        <f t="shared" si="18"/>
        <v/>
      </c>
      <c r="BK137" s="95" t="str">
        <f>IFERROR($M137+VLOOKUP($L137,'Voyage days'!$F$807:$H$878,3,FALSE),"")</f>
        <v/>
      </c>
      <c r="BL137" s="95" t="str">
        <f>IFERROR($N137+VLOOKUP($L137,'Voyage days'!$F$807:$H$878,3,FALSE),"")</f>
        <v/>
      </c>
      <c r="BM137" s="95" t="str">
        <f>IFERROR($N137+VLOOKUP($L137,'Voyage days'!$F$807:$K$878,6,FALSE),"")</f>
        <v/>
      </c>
      <c r="BN137" s="94" t="str">
        <f>IF(L137="loads AG", IFERROR($M137+VLOOKUP($L137,'Voyage days'!$M$38:$O$38,3,FALSE),""),"")</f>
        <v/>
      </c>
      <c r="BO137" s="94">
        <f>IF(L137="loads USG", IFERROR($M137+VLOOKUP($L137,'Voyage days'!$L$203:$N$203,3,FALSE),""),"")</f>
        <v>46189</v>
      </c>
    </row>
    <row r="138" spans="1:68" ht="15.75" customHeight="1" x14ac:dyDescent="0.25">
      <c r="A138" s="369" t="s">
        <v>585</v>
      </c>
      <c r="B138" s="176">
        <v>42485</v>
      </c>
      <c r="C138" s="134">
        <v>84000</v>
      </c>
      <c r="D138" s="143"/>
      <c r="E138" s="143"/>
      <c r="F138" s="136"/>
      <c r="G138" s="136"/>
      <c r="H138" s="136"/>
      <c r="I138" s="177" t="s">
        <v>1040</v>
      </c>
      <c r="J138" s="138" t="str">
        <f t="shared" si="24"/>
        <v/>
      </c>
      <c r="K138" s="139"/>
      <c r="L138" s="140" t="s">
        <v>770</v>
      </c>
      <c r="M138" s="141">
        <v>46138</v>
      </c>
      <c r="N138" s="141">
        <v>46137</v>
      </c>
      <c r="O138" s="142" t="s">
        <v>807</v>
      </c>
      <c r="P138" s="370" t="s">
        <v>1048</v>
      </c>
      <c r="Q138" s="85"/>
      <c r="R138" s="140" t="s">
        <v>1049</v>
      </c>
      <c r="S138" s="120" t="s">
        <v>724</v>
      </c>
      <c r="T138" s="144">
        <v>46132</v>
      </c>
      <c r="U138" s="145" t="str">
        <f>IF(V138="","No AIS",VLOOKUP(V138,'Voyage days'!$A$3:$B$1480,2,FALSE))</f>
        <v>Korea+3/+1 bunkers</v>
      </c>
      <c r="V138" s="146" t="str">
        <f>IF(VLOOKUP(A138,'1) Kpler'!$E$2:$P$1000,8, FALSE)="","",VLOOKUP(A138,'1) Kpler'!$E$2:$P$1000,8, FALSE))</f>
        <v>Yeosu</v>
      </c>
      <c r="W138" s="147">
        <f>IF(VLOOKUP(A138,'1) Kpler'!$E$2:$P$1000,9,FALSE)="","",VLOOKUP(A138,'1) Kpler'!$E$2:$P$1000,9,FALSE))</f>
        <v>46132.291666666664</v>
      </c>
      <c r="X138" s="146" t="str">
        <f>VLOOKUP(A138,'1) Kpler'!$E$2:$I$1000,4,FALSE)</f>
        <v>ballast</v>
      </c>
      <c r="Y138" s="148" t="str">
        <f t="shared" si="0"/>
        <v>14-13 May</v>
      </c>
      <c r="Z138" s="148" t="str">
        <f t="shared" si="1"/>
        <v>29-28 May</v>
      </c>
      <c r="AA138" s="148" t="str">
        <f t="shared" si="2"/>
        <v>06-05 Jun</v>
      </c>
      <c r="AB138" s="148" t="str">
        <f t="shared" si="3"/>
        <v>25-24 May</v>
      </c>
      <c r="AC138" s="148" t="str">
        <f t="shared" si="4"/>
        <v>31-30 May</v>
      </c>
      <c r="AD138" s="148" t="str">
        <f t="shared" si="5"/>
        <v>03-02 May</v>
      </c>
      <c r="AE138" s="149" t="str">
        <f t="shared" si="6"/>
        <v>04-03 May</v>
      </c>
      <c r="AF138" s="150" t="str">
        <f t="shared" si="7"/>
        <v>10-09 Jun</v>
      </c>
      <c r="AG138" s="93" t="str">
        <f t="shared" si="8"/>
        <v>14-13 May</v>
      </c>
      <c r="AH138" s="94">
        <f>IFERROR($M138+VLOOKUP($L138,'Voyage days'!$F$38:$H$89,3,FALSE),"")</f>
        <v>46156</v>
      </c>
      <c r="AI138" s="94">
        <f>IFERROR(N138+VLOOKUP($L138,'Voyage days'!$F$38:$H$89,3,FALSE),"")</f>
        <v>46155</v>
      </c>
      <c r="AJ138" s="93" t="str">
        <f t="shared" si="9"/>
        <v>29-28 May</v>
      </c>
      <c r="AK138" s="94">
        <f>IFERROR($M138+VLOOKUP($L138,'Voyage days'!$F$94:$H$193,3,FALSE),"")</f>
        <v>46171</v>
      </c>
      <c r="AL138" s="94">
        <f>IFERROR($N138+VLOOKUP($L138,'Voyage days'!$F$94:$H$193,3,FALSE),"")</f>
        <v>46170</v>
      </c>
      <c r="AM138" s="93" t="str">
        <f t="shared" si="10"/>
        <v>06-05 Jun</v>
      </c>
      <c r="AN138" s="94">
        <f>IFERROR($M138+VLOOKUP($L138,'Voyage days'!$F$203:$H$256,3,FALSE),"")</f>
        <v>46179</v>
      </c>
      <c r="AO138" s="94">
        <f>IFERROR($N138+VLOOKUP($L138,'Voyage days'!$F$203:$H$256,3,FALSE),"")</f>
        <v>46178</v>
      </c>
      <c r="AP138" s="93" t="str">
        <f t="shared" si="11"/>
        <v>25-24 May</v>
      </c>
      <c r="AQ138" s="94">
        <f>IFERROR($M138+VLOOKUP($L138,'Voyage days'!$F$294:$H$377,3,FALSE),"")</f>
        <v>46167</v>
      </c>
      <c r="AR138" s="94">
        <f>IFERROR($N138+VLOOKUP($L138,'Voyage days'!$F$294:$H$377,3,FALSE),"")</f>
        <v>46166</v>
      </c>
      <c r="AS138" s="93" t="str">
        <f t="shared" si="12"/>
        <v>31-30 May</v>
      </c>
      <c r="AT138" s="94">
        <f>IFERROR($M138+VLOOKUP($L138,'Voyage days'!$F$382:$H$446,3,FALSE),"")</f>
        <v>46173</v>
      </c>
      <c r="AU138" s="94">
        <f>IFERROR($N138+VLOOKUP($L138,'Voyage days'!$F$382:$H$446,3,FALSE),"")</f>
        <v>46172</v>
      </c>
      <c r="AV138" s="93" t="str">
        <f t="shared" si="13"/>
        <v>10-09 May</v>
      </c>
      <c r="AW138" s="94">
        <f>IFERROR($M138+VLOOKUP($L138,'Voyage days'!$F$483:$H$538,3,FALSE),"")</f>
        <v>46152</v>
      </c>
      <c r="AX138" s="94">
        <f>IFERROR($N138+VLOOKUP($L138,'Voyage days'!$F$483:$H$538,3,FALSE),"")</f>
        <v>46151</v>
      </c>
      <c r="AY138" s="93" t="str">
        <f t="shared" si="14"/>
        <v>04-03 May</v>
      </c>
      <c r="AZ138" s="94">
        <f>IFERROR($M138+VLOOKUP($L138,'Voyage days'!$F$540:$H$613,3,FALSE),"")</f>
        <v>46146</v>
      </c>
      <c r="BA138" s="94">
        <f>IFERROR($N138+VLOOKUP($L138,'Voyage days'!$F$540:$H$613,3,FALSE),"")</f>
        <v>46145</v>
      </c>
      <c r="BB138" s="93" t="str">
        <f t="shared" si="15"/>
        <v>03-02 May</v>
      </c>
      <c r="BC138" s="94">
        <f>IFERROR($M138+VLOOKUP($L138,'Voyage days'!$F$448:$H$479,3,FALSE),"")</f>
        <v>46145</v>
      </c>
      <c r="BD138" s="94">
        <f>IFERROR($N138+VLOOKUP($L138,'Voyage days'!$F$448:$H$479,3,FALSE),"")</f>
        <v>46144</v>
      </c>
      <c r="BE138" s="93" t="str">
        <f t="shared" si="16"/>
        <v>07-06 May</v>
      </c>
      <c r="BF138" s="95">
        <f>IFERROR($M138+VLOOKUP($L138,'Voyage days'!$F$620:$H$646,3,FALSE),"")</f>
        <v>46149</v>
      </c>
      <c r="BG138" s="95">
        <f>IFERROR($N138+VLOOKUP($L138,'Voyage days'!$F$620:$H$646,3,FALSE),"")</f>
        <v>46148</v>
      </c>
      <c r="BH138" s="93" t="str">
        <f t="shared" si="17"/>
        <v>04-09 Jun</v>
      </c>
      <c r="BI138" s="96">
        <f>IFERROR($M138+VLOOKUP($L138,'Voyage days'!$F$702:$H$727,3,FALSE),"")</f>
        <v>46146</v>
      </c>
      <c r="BJ138" s="93" t="str">
        <f t="shared" si="18"/>
        <v>10-09 Jun</v>
      </c>
      <c r="BK138" s="95">
        <f>IFERROR($M138+VLOOKUP($L138,'Voyage days'!$F$807:$H$878,3,FALSE),"")</f>
        <v>46183</v>
      </c>
      <c r="BL138" s="95">
        <f>IFERROR($N138+VLOOKUP($L138,'Voyage days'!$F$807:$H$878,3,FALSE),"")</f>
        <v>46182</v>
      </c>
      <c r="BM138" s="95">
        <f>IFERROR($N138+VLOOKUP($L138,'Voyage days'!$F$807:$K$878,6,FALSE),"")</f>
        <v>46156</v>
      </c>
      <c r="BN138" s="94" t="str">
        <f>IF(L138="loads AG", IFERROR($M138+VLOOKUP($L138,'Voyage days'!$M$38:$O$38,3,FALSE),""),"")</f>
        <v/>
      </c>
      <c r="BO138" s="94" t="str">
        <f>IF(L138="loads USG", IFERROR($M138+VLOOKUP($L138,'Voyage days'!$L$203:$N$203,3,FALSE),""),"")</f>
        <v/>
      </c>
    </row>
    <row r="139" spans="1:68" ht="15.75" customHeight="1" x14ac:dyDescent="0.25">
      <c r="A139" s="371" t="s">
        <v>1050</v>
      </c>
      <c r="B139" s="372">
        <v>42079</v>
      </c>
      <c r="C139" s="373">
        <v>84134</v>
      </c>
      <c r="D139" s="143" t="s">
        <v>651</v>
      </c>
      <c r="E139" s="374"/>
      <c r="F139" s="375"/>
      <c r="G139" s="375"/>
      <c r="H139" s="375" t="s">
        <v>713</v>
      </c>
      <c r="I139" s="376" t="s">
        <v>1051</v>
      </c>
      <c r="J139" s="377" t="str">
        <f t="shared" si="24"/>
        <v/>
      </c>
      <c r="K139" s="254"/>
      <c r="L139" s="378" t="s">
        <v>718</v>
      </c>
      <c r="M139" s="141">
        <v>46132</v>
      </c>
      <c r="N139" s="141">
        <v>46133</v>
      </c>
      <c r="O139" s="379"/>
      <c r="P139" s="378" t="s">
        <v>1052</v>
      </c>
      <c r="Q139" s="378"/>
      <c r="R139" s="378" t="s">
        <v>1053</v>
      </c>
      <c r="S139" s="374" t="s">
        <v>724</v>
      </c>
      <c r="T139" s="380">
        <v>46128</v>
      </c>
      <c r="U139" s="145" t="str">
        <f>IF(V139="","No AIS",VLOOKUP(V139,'Voyage days'!$A$3:$B$1480,2,FALSE))</f>
        <v>USG</v>
      </c>
      <c r="V139" s="145" t="str">
        <f>IF(VLOOKUP(A139,'1) Kpler'!$E$2:$P$1000,8, FALSE)="","",VLOOKUP(A139,'1) Kpler'!$E$2:$P$1000,8, FALSE))</f>
        <v>Freeport Texas</v>
      </c>
      <c r="W139" s="290">
        <f>IF(VLOOKUP(A139,'1) Kpler'!$E$2:$P$1000,9,FALSE)="","",VLOOKUP(A139,'1) Kpler'!$E$2:$P$1000,9,FALSE))</f>
        <v>46132.083333333336</v>
      </c>
      <c r="X139" s="145" t="str">
        <f>VLOOKUP(A139,'1) Kpler'!$E$2:$I$1000,4,FALSE)</f>
        <v>ballast</v>
      </c>
      <c r="Y139" s="131" t="str">
        <f t="shared" si="0"/>
        <v/>
      </c>
      <c r="Z139" s="131" t="str">
        <f t="shared" si="1"/>
        <v>20-21 Apr</v>
      </c>
      <c r="AA139" s="131" t="str">
        <f t="shared" si="2"/>
        <v>20-21 Apr</v>
      </c>
      <c r="AB139" s="131" t="str">
        <f t="shared" si="3"/>
        <v/>
      </c>
      <c r="AC139" s="131" t="str">
        <f t="shared" si="4"/>
        <v>10-11 May</v>
      </c>
      <c r="AD139" s="131" t="str">
        <f t="shared" si="5"/>
        <v/>
      </c>
      <c r="AE139" s="291" t="str">
        <f t="shared" si="6"/>
        <v/>
      </c>
      <c r="AF139" s="180" t="str">
        <f t="shared" si="7"/>
        <v/>
      </c>
      <c r="AG139" s="131" t="str">
        <f t="shared" si="8"/>
        <v/>
      </c>
      <c r="AH139" s="95" t="str">
        <f>IFERROR($M139+VLOOKUP($L139,'Voyage days'!$F$38:$H$89,3,FALSE),"")</f>
        <v/>
      </c>
      <c r="AI139" s="95" t="str">
        <f>IFERROR(N139+VLOOKUP($L139,'Voyage days'!$F$38:$H$89,3,FALSE),"")</f>
        <v/>
      </c>
      <c r="AJ139" s="131" t="str">
        <f t="shared" si="9"/>
        <v>20-21 Apr</v>
      </c>
      <c r="AK139" s="95">
        <f>IFERROR($M139+VLOOKUP($L139,'Voyage days'!$F$94:$H$193,3,FALSE),"")</f>
        <v>46132</v>
      </c>
      <c r="AL139" s="95">
        <f>IFERROR($N139+VLOOKUP($L139,'Voyage days'!$F$94:$H$193,3,FALSE),"")</f>
        <v>46133</v>
      </c>
      <c r="AM139" s="131" t="str">
        <f t="shared" si="10"/>
        <v>20-21 Apr</v>
      </c>
      <c r="AN139" s="95">
        <f>IFERROR($M139+VLOOKUP($L139,'Voyage days'!$F$203:$H$256,3,FALSE),"")</f>
        <v>46132</v>
      </c>
      <c r="AO139" s="95">
        <f>IFERROR($N139+VLOOKUP($L139,'Voyage days'!$F$203:$H$256,3,FALSE),"")</f>
        <v>46133</v>
      </c>
      <c r="AP139" s="131" t="str">
        <f t="shared" si="11"/>
        <v/>
      </c>
      <c r="AQ139" s="95" t="str">
        <f>IFERROR($M139+VLOOKUP($L139,'Voyage days'!$F$294:$H$377,3,FALSE),"")</f>
        <v/>
      </c>
      <c r="AR139" s="95" t="str">
        <f>IFERROR($N139+VLOOKUP($L139,'Voyage days'!$F$294:$H$377,3,FALSE),"")</f>
        <v/>
      </c>
      <c r="AS139" s="131" t="str">
        <f t="shared" si="12"/>
        <v>10-11 May</v>
      </c>
      <c r="AT139" s="95">
        <f>IFERROR($M139+VLOOKUP($L139,'Voyage days'!$F$382:$H$446,3,FALSE),"")</f>
        <v>46152</v>
      </c>
      <c r="AU139" s="95">
        <f>IFERROR($N139+VLOOKUP($L139,'Voyage days'!$F$382:$H$446,3,FALSE),"")</f>
        <v>46153</v>
      </c>
      <c r="AV139" s="131" t="str">
        <f t="shared" si="13"/>
        <v/>
      </c>
      <c r="AW139" s="95" t="str">
        <f>IFERROR($M139+VLOOKUP($L139,'Voyage days'!$F$483:$H$538,3,FALSE),"")</f>
        <v/>
      </c>
      <c r="AX139" s="95" t="str">
        <f>IFERROR($N139+VLOOKUP($L139,'Voyage days'!$F$483:$H$538,3,FALSE),"")</f>
        <v/>
      </c>
      <c r="AY139" s="131" t="str">
        <f t="shared" si="14"/>
        <v/>
      </c>
      <c r="AZ139" s="95" t="str">
        <f>IFERROR($M139+VLOOKUP($L139,'Voyage days'!$F$540:$H$613,3,FALSE),"")</f>
        <v/>
      </c>
      <c r="BA139" s="95" t="str">
        <f>IFERROR($N139+VLOOKUP($L139,'Voyage days'!$F$540:$H$613,3,FALSE),"")</f>
        <v/>
      </c>
      <c r="BB139" s="131" t="str">
        <f t="shared" si="15"/>
        <v/>
      </c>
      <c r="BC139" s="94" t="str">
        <f>IFERROR($M139+VLOOKUP($L139,'Voyage days'!$F$448:$H$479,3,FALSE),"")</f>
        <v/>
      </c>
      <c r="BD139" s="94" t="str">
        <f>IFERROR($N139+VLOOKUP($L139,'Voyage days'!$F$448:$H$479,3,FALSE),"")</f>
        <v/>
      </c>
      <c r="BE139" s="131" t="str">
        <f t="shared" si="16"/>
        <v/>
      </c>
      <c r="BF139" s="95" t="str">
        <f>IFERROR($M139+VLOOKUP($L139,'Voyage days'!$F$620:$H$646,3,FALSE),"")</f>
        <v/>
      </c>
      <c r="BG139" s="95" t="str">
        <f>IFERROR($N139+VLOOKUP($L139,'Voyage days'!$F$620:$H$646,3,FALSE),"")</f>
        <v/>
      </c>
      <c r="BH139" s="131" t="str">
        <f t="shared" si="17"/>
        <v/>
      </c>
      <c r="BI139" s="96" t="str">
        <f>IFERROR($M139+VLOOKUP($L139,'Voyage days'!$F$702:$H$727,3,FALSE),"")</f>
        <v/>
      </c>
      <c r="BJ139" s="131" t="str">
        <f t="shared" si="18"/>
        <v/>
      </c>
      <c r="BK139" s="95" t="str">
        <f>IFERROR($M139+VLOOKUP($L139,'Voyage days'!$F$807:$H$878,3,FALSE),"")</f>
        <v/>
      </c>
      <c r="BL139" s="95" t="str">
        <f>IFERROR($N139+VLOOKUP($L139,'Voyage days'!$F$807:$H$878,3,FALSE),"")</f>
        <v/>
      </c>
      <c r="BM139" s="95" t="str">
        <f>IFERROR($N139+VLOOKUP($L139,'Voyage days'!$F$807:$K$878,6,FALSE),"")</f>
        <v/>
      </c>
      <c r="BN139" s="94" t="str">
        <f>IF(L139="loads AG", IFERROR($M139+VLOOKUP($L139,'Voyage days'!$M$38:$O$38,3,FALSE),""),"")</f>
        <v/>
      </c>
      <c r="BO139" s="94">
        <f>IF(L139="loads USG", IFERROR($M139+VLOOKUP($L139,'Voyage days'!$L$203:$N$203,3,FALSE),""),"")</f>
        <v>46164</v>
      </c>
    </row>
    <row r="140" spans="1:68" ht="15.75" customHeight="1" x14ac:dyDescent="0.25">
      <c r="A140" s="371" t="s">
        <v>243</v>
      </c>
      <c r="B140" s="310">
        <v>2020</v>
      </c>
      <c r="C140" s="76">
        <v>83000</v>
      </c>
      <c r="D140" s="77"/>
      <c r="E140" s="77"/>
      <c r="F140" s="78"/>
      <c r="G140" s="78"/>
      <c r="H140" s="78" t="s">
        <v>739</v>
      </c>
      <c r="I140" s="233" t="s">
        <v>1054</v>
      </c>
      <c r="J140" s="80" t="str">
        <f t="shared" si="24"/>
        <v/>
      </c>
      <c r="K140" s="81"/>
      <c r="L140" s="82" t="s">
        <v>704</v>
      </c>
      <c r="M140" s="307">
        <v>46172</v>
      </c>
      <c r="N140" s="307">
        <v>46174</v>
      </c>
      <c r="O140" s="84"/>
      <c r="P140" s="100" t="s">
        <v>1055</v>
      </c>
      <c r="Q140" s="82"/>
      <c r="R140" s="82" t="s">
        <v>1056</v>
      </c>
      <c r="S140" s="381" t="s">
        <v>724</v>
      </c>
      <c r="T140" s="232">
        <v>46132</v>
      </c>
      <c r="U140" s="87" t="str">
        <f>IF(V140="","No AIS",VLOOKUP(V140,'Voyage days'!$A$3:$B$1480,2,FALSE))</f>
        <v>Panama</v>
      </c>
      <c r="V140" s="88" t="str">
        <f>IF(VLOOKUP(A140,'1) Kpler'!$E$2:$P$1000,8, FALSE)="","",VLOOKUP(A140,'1) Kpler'!$E$2:$P$1000,8, FALSE))</f>
        <v>Panama Canal</v>
      </c>
      <c r="W140" s="89">
        <f>IF(VLOOKUP(A140,'1) Kpler'!$E$2:$P$1000,9,FALSE)="","",VLOOKUP(A140,'1) Kpler'!$E$2:$P$1000,9,FALSE))</f>
        <v>46136.333333333336</v>
      </c>
      <c r="X140" s="88" t="str">
        <f>VLOOKUP(A140,'1) Kpler'!$E$2:$I$1000,4,FALSE)</f>
        <v>loaded</v>
      </c>
      <c r="Y140" s="90" t="str">
        <f t="shared" si="0"/>
        <v>17-19 Jun</v>
      </c>
      <c r="Z140" s="90" t="str">
        <f t="shared" si="1"/>
        <v>29-01 Jul</v>
      </c>
      <c r="AA140" s="90" t="str">
        <f t="shared" si="2"/>
        <v>07-09 Jul</v>
      </c>
      <c r="AB140" s="90" t="str">
        <f t="shared" si="3"/>
        <v>29-01 Jul</v>
      </c>
      <c r="AC140" s="90" t="str">
        <f t="shared" si="4"/>
        <v>05-07 Jul</v>
      </c>
      <c r="AD140" s="90" t="str">
        <f t="shared" si="5"/>
        <v>07-09 Jun</v>
      </c>
      <c r="AE140" s="91" t="str">
        <f t="shared" si="6"/>
        <v>07-09 Jun</v>
      </c>
      <c r="AF140" s="92" t="str">
        <f t="shared" si="7"/>
        <v>15-17 Jul</v>
      </c>
      <c r="AG140" s="93" t="str">
        <f t="shared" si="8"/>
        <v>17-19 Jun</v>
      </c>
      <c r="AH140" s="94">
        <f>IFERROR($M140+VLOOKUP($L140,'Voyage days'!$F$38:$H$89,3,FALSE),"")</f>
        <v>46190</v>
      </c>
      <c r="AI140" s="94">
        <f>IFERROR(N140+VLOOKUP($L140,'Voyage days'!$F$38:$H$89,3,FALSE),"")</f>
        <v>46192</v>
      </c>
      <c r="AJ140" s="93" t="str">
        <f t="shared" si="9"/>
        <v>29-01 Jul</v>
      </c>
      <c r="AK140" s="94">
        <f>IFERROR($M140+VLOOKUP($L140,'Voyage days'!$F$94:$H$193,3,FALSE),"")</f>
        <v>46202</v>
      </c>
      <c r="AL140" s="94">
        <f>IFERROR($N140+VLOOKUP($L140,'Voyage days'!$F$94:$H$193,3,FALSE),"")</f>
        <v>46204</v>
      </c>
      <c r="AM140" s="93" t="str">
        <f t="shared" si="10"/>
        <v>07-09 Jul</v>
      </c>
      <c r="AN140" s="94">
        <f>IFERROR($M140+VLOOKUP($L140,'Voyage days'!$F$203:$H$256,3,FALSE),"")</f>
        <v>46210</v>
      </c>
      <c r="AO140" s="94">
        <f>IFERROR($N140+VLOOKUP($L140,'Voyage days'!$F$203:$H$256,3,FALSE),"")</f>
        <v>46212</v>
      </c>
      <c r="AP140" s="93" t="str">
        <f t="shared" si="11"/>
        <v>29-01 Jul</v>
      </c>
      <c r="AQ140" s="94">
        <f>IFERROR($M140+VLOOKUP($L140,'Voyage days'!$F$294:$H$377,3,FALSE),"")</f>
        <v>46202</v>
      </c>
      <c r="AR140" s="94">
        <f>IFERROR($N140+VLOOKUP($L140,'Voyage days'!$F$294:$H$377,3,FALSE),"")</f>
        <v>46204</v>
      </c>
      <c r="AS140" s="93" t="str">
        <f t="shared" si="12"/>
        <v>05-07 Jul</v>
      </c>
      <c r="AT140" s="94">
        <f>IFERROR($M140+VLOOKUP($L140,'Voyage days'!$F$382:$H$446,3,FALSE),"")</f>
        <v>46208</v>
      </c>
      <c r="AU140" s="94">
        <f>IFERROR($N140+VLOOKUP($L140,'Voyage days'!$F$382:$H$446,3,FALSE),"")</f>
        <v>46210</v>
      </c>
      <c r="AV140" s="93" t="str">
        <f t="shared" si="13"/>
        <v>12-14 Jun</v>
      </c>
      <c r="AW140" s="94">
        <f>IFERROR($M140+VLOOKUP($L140,'Voyage days'!$F$483:$H$538,3,FALSE),"")</f>
        <v>46185</v>
      </c>
      <c r="AX140" s="94">
        <f>IFERROR($N140+VLOOKUP($L140,'Voyage days'!$F$483:$H$538,3,FALSE),"")</f>
        <v>46187</v>
      </c>
      <c r="AY140" s="93" t="str">
        <f t="shared" si="14"/>
        <v>07-09 Jun</v>
      </c>
      <c r="AZ140" s="94">
        <f>IFERROR($M140+VLOOKUP($L140,'Voyage days'!$F$540:$H$613,3,FALSE),"")</f>
        <v>46180.25</v>
      </c>
      <c r="BA140" s="94">
        <f>IFERROR($N140+VLOOKUP($L140,'Voyage days'!$F$540:$H$613,3,FALSE),"")</f>
        <v>46182.25</v>
      </c>
      <c r="BB140" s="93" t="str">
        <f t="shared" si="15"/>
        <v>07-09 Jun</v>
      </c>
      <c r="BC140" s="94">
        <f>IFERROR($M140+VLOOKUP($L140,'Voyage days'!$F$448:$H$479,3,FALSE),"")</f>
        <v>46180</v>
      </c>
      <c r="BD140" s="94">
        <f>IFERROR($N140+VLOOKUP($L140,'Voyage days'!$F$448:$H$479,3,FALSE),"")</f>
        <v>46182</v>
      </c>
      <c r="BE140" s="93" t="str">
        <f t="shared" si="16"/>
        <v>10-12 Jun</v>
      </c>
      <c r="BF140" s="95">
        <f>IFERROR($M140+VLOOKUP($L140,'Voyage days'!$F$620:$H$646,3,FALSE),"")</f>
        <v>46183</v>
      </c>
      <c r="BG140" s="95">
        <f>IFERROR($N140+VLOOKUP($L140,'Voyage days'!$F$620:$H$646,3,FALSE),"")</f>
        <v>46185</v>
      </c>
      <c r="BH140" s="93" t="str">
        <f t="shared" si="17"/>
        <v>07-17 Jul</v>
      </c>
      <c r="BI140" s="96">
        <f>IFERROR($M140+VLOOKUP($L140,'Voyage days'!$F$702:$H$727,3,FALSE),"")</f>
        <v>46180.25</v>
      </c>
      <c r="BJ140" s="93" t="str">
        <f t="shared" si="18"/>
        <v>15-17 Jul</v>
      </c>
      <c r="BK140" s="95">
        <f>IFERROR($M140+VLOOKUP($L140,'Voyage days'!$F$807:$H$878,3,FALSE),"")</f>
        <v>46218</v>
      </c>
      <c r="BL140" s="95">
        <f>IFERROR($N140+VLOOKUP($L140,'Voyage days'!$F$807:$H$878,3,FALSE),"")</f>
        <v>46220</v>
      </c>
      <c r="BM140" s="95">
        <f>IFERROR($N140+VLOOKUP($L140,'Voyage days'!$F$807:$K$878,6,FALSE),"")</f>
        <v>46194</v>
      </c>
      <c r="BN140" s="94" t="str">
        <f>IF(L140="loads AG", IFERROR($M140+VLOOKUP($L140,'Voyage days'!$M$38:$O$38,3,FALSE),""),"")</f>
        <v/>
      </c>
      <c r="BO140" s="94" t="str">
        <f>IF(L140="loads USG", IFERROR($M140+VLOOKUP($L140,'Voyage days'!$L$203:$N$203,3,FALSE),""),"")</f>
        <v/>
      </c>
    </row>
    <row r="141" spans="1:68" ht="15.75" customHeight="1" x14ac:dyDescent="0.25">
      <c r="A141" s="218" t="s">
        <v>288</v>
      </c>
      <c r="B141" s="119">
        <v>2020</v>
      </c>
      <c r="C141" s="76">
        <v>84000</v>
      </c>
      <c r="D141" s="120"/>
      <c r="E141" s="120"/>
      <c r="F141" s="121"/>
      <c r="G141" s="121"/>
      <c r="H141" s="121" t="s">
        <v>739</v>
      </c>
      <c r="I141" s="249" t="s">
        <v>1054</v>
      </c>
      <c r="J141" s="80" t="str">
        <f t="shared" si="24"/>
        <v/>
      </c>
      <c r="K141" s="123" t="s">
        <v>817</v>
      </c>
      <c r="L141" s="124" t="s">
        <v>1057</v>
      </c>
      <c r="M141" s="222">
        <v>46137</v>
      </c>
      <c r="N141" s="222">
        <v>46138</v>
      </c>
      <c r="O141" s="126"/>
      <c r="P141" s="100" t="s">
        <v>1058</v>
      </c>
      <c r="Q141" s="124"/>
      <c r="R141" s="124" t="s">
        <v>1059</v>
      </c>
      <c r="S141" s="120" t="s">
        <v>724</v>
      </c>
      <c r="T141" s="232">
        <v>46132</v>
      </c>
      <c r="U141" s="87" t="str">
        <f>IF(V141="","No AIS",VLOOKUP(V141,'Voyage days'!$A$3:$B$1480,2,FALSE))</f>
        <v>Cape (as proxy)</v>
      </c>
      <c r="V141" s="87" t="str">
        <f>IF(VLOOKUP(A141,'1) Kpler'!$E$2:$P$1000,8, FALSE)="","",VLOOKUP(A141,'1) Kpler'!$E$2:$P$1000,8, FALSE))</f>
        <v>Cape Town</v>
      </c>
      <c r="W141" s="128">
        <f>IF(VLOOKUP(A141,'1) Kpler'!$E$2:$P$1000,9,FALSE)="","",VLOOKUP(A141,'1) Kpler'!$E$2:$P$1000,9,FALSE))</f>
        <v>46137.75</v>
      </c>
      <c r="X141" s="87" t="str">
        <f>VLOOKUP(A141,'1) Kpler'!$E$2:$I$1000,4,FALSE)</f>
        <v>loaded</v>
      </c>
      <c r="Y141" s="234" t="str">
        <f t="shared" si="0"/>
        <v>26-27 May</v>
      </c>
      <c r="Z141" s="234" t="str">
        <f t="shared" si="1"/>
        <v/>
      </c>
      <c r="AA141" s="234" t="str">
        <f t="shared" si="2"/>
        <v/>
      </c>
      <c r="AB141" s="234" t="str">
        <f t="shared" si="3"/>
        <v/>
      </c>
      <c r="AC141" s="234" t="str">
        <f t="shared" si="4"/>
        <v/>
      </c>
      <c r="AD141" s="234" t="str">
        <f t="shared" si="5"/>
        <v>18-19 May</v>
      </c>
      <c r="AE141" s="235" t="str">
        <f t="shared" si="6"/>
        <v>15-16 May</v>
      </c>
      <c r="AF141" s="92" t="str">
        <f t="shared" si="7"/>
        <v>25-26 Apr</v>
      </c>
      <c r="AG141" s="131" t="str">
        <f t="shared" si="8"/>
        <v>26-27 May</v>
      </c>
      <c r="AH141" s="95">
        <f>IFERROR($M141+VLOOKUP($L141,'Voyage days'!$F$38:$H$89,3,FALSE),"")</f>
        <v>46168</v>
      </c>
      <c r="AI141" s="95">
        <f>IFERROR(N141+VLOOKUP($L141,'Voyage days'!$F$38:$H$89,3,FALSE),"")</f>
        <v>46169</v>
      </c>
      <c r="AJ141" s="131" t="str">
        <f t="shared" si="9"/>
        <v/>
      </c>
      <c r="AK141" s="95" t="str">
        <f>IFERROR($M141+VLOOKUP($L141,'Voyage days'!$F$94:$H$193,3,FALSE),"")</f>
        <v/>
      </c>
      <c r="AL141" s="95" t="str">
        <f>IFERROR($N141+VLOOKUP($L141,'Voyage days'!$F$94:$H$193,3,FALSE),"")</f>
        <v/>
      </c>
      <c r="AM141" s="131" t="str">
        <f t="shared" si="10"/>
        <v/>
      </c>
      <c r="AN141" s="95" t="str">
        <f>IFERROR($M141+VLOOKUP($L141,'Voyage days'!$F$203:$H$256,3,FALSE),"")</f>
        <v/>
      </c>
      <c r="AO141" s="95" t="str">
        <f>IFERROR($N141+VLOOKUP($L141,'Voyage days'!$F$203:$H$256,3,FALSE),"")</f>
        <v/>
      </c>
      <c r="AP141" s="131" t="str">
        <f t="shared" si="11"/>
        <v/>
      </c>
      <c r="AQ141" s="95" t="str">
        <f>IFERROR($M141+VLOOKUP($L141,'Voyage days'!$F$294:$H$377,3,FALSE),"")</f>
        <v/>
      </c>
      <c r="AR141" s="95" t="str">
        <f>IFERROR($N141+VLOOKUP($L141,'Voyage days'!$F$294:$H$377,3,FALSE),"")</f>
        <v/>
      </c>
      <c r="AS141" s="131" t="str">
        <f t="shared" si="12"/>
        <v/>
      </c>
      <c r="AT141" s="95" t="str">
        <f>IFERROR($M141+VLOOKUP($L141,'Voyage days'!$F$382:$H$446,3,FALSE),"")</f>
        <v/>
      </c>
      <c r="AU141" s="95" t="str">
        <f>IFERROR($N141+VLOOKUP($L141,'Voyage days'!$F$382:$H$446,3,FALSE),"")</f>
        <v/>
      </c>
      <c r="AV141" s="131" t="str">
        <f t="shared" si="13"/>
        <v>10-11 May</v>
      </c>
      <c r="AW141" s="95">
        <f>IFERROR($M141+VLOOKUP($L141,'Voyage days'!$F$483:$H$538,3,FALSE),"")</f>
        <v>46152</v>
      </c>
      <c r="AX141" s="95">
        <f>IFERROR($N141+VLOOKUP($L141,'Voyage days'!$F$483:$H$538,3,FALSE),"")</f>
        <v>46153</v>
      </c>
      <c r="AY141" s="131" t="str">
        <f t="shared" si="14"/>
        <v>15-16 May</v>
      </c>
      <c r="AZ141" s="95">
        <f>IFERROR($M141+VLOOKUP($L141,'Voyage days'!$F$540:$H$613,3,FALSE),"")</f>
        <v>46157</v>
      </c>
      <c r="BA141" s="95">
        <f>IFERROR($N141+VLOOKUP($L141,'Voyage days'!$F$540:$H$613,3,FALSE),"")</f>
        <v>46158</v>
      </c>
      <c r="BB141" s="131" t="str">
        <f t="shared" si="15"/>
        <v>18-19 May</v>
      </c>
      <c r="BC141" s="94">
        <f>IFERROR($M141+VLOOKUP($L141,'Voyage days'!$F$448:$H$479,3,FALSE),"")</f>
        <v>46160</v>
      </c>
      <c r="BD141" s="94">
        <f>IFERROR($N141+VLOOKUP($L141,'Voyage days'!$F$448:$H$479,3,FALSE),"")</f>
        <v>46161</v>
      </c>
      <c r="BE141" s="131" t="str">
        <f t="shared" si="16"/>
        <v/>
      </c>
      <c r="BF141" s="95" t="str">
        <f>IFERROR($M141+VLOOKUP($L141,'Voyage days'!$F$620:$H$646,3,FALSE),"")</f>
        <v/>
      </c>
      <c r="BG141" s="95" t="str">
        <f>IFERROR($N141+VLOOKUP($L141,'Voyage days'!$F$620:$H$646,3,FALSE),"")</f>
        <v/>
      </c>
      <c r="BH141" s="131" t="str">
        <f t="shared" si="17"/>
        <v>15-26 Apr</v>
      </c>
      <c r="BI141" s="96">
        <f>IFERROR($M141+VLOOKUP($L141,'Voyage days'!$F$702:$H$727,3,FALSE),"")</f>
        <v>46157</v>
      </c>
      <c r="BJ141" s="131" t="str">
        <f t="shared" si="18"/>
        <v>25-26 Apr</v>
      </c>
      <c r="BK141" s="95">
        <f>IFERROR($M141+VLOOKUP($L141,'Voyage days'!$F$807:$H$878,3,FALSE),"")</f>
        <v>46137</v>
      </c>
      <c r="BL141" s="95">
        <f>IFERROR($N141+VLOOKUP($L141,'Voyage days'!$F$807:$H$878,3,FALSE),"")</f>
        <v>46138</v>
      </c>
      <c r="BM141" s="95">
        <f>IFERROR($N141+VLOOKUP($L141,'Voyage days'!$F$807:$K$878,6,FALSE),"")</f>
        <v>46138</v>
      </c>
      <c r="BN141" s="94" t="str">
        <f>IF(L141="loads AG", IFERROR($M141+VLOOKUP($L141,'Voyage days'!$M$38:$O$38,3,FALSE),""),"")</f>
        <v/>
      </c>
      <c r="BO141" s="94" t="str">
        <f>IF(L141="loads USG", IFERROR($M141+VLOOKUP($L141,'Voyage days'!$L$203:$N$203,3,FALSE),""),"")</f>
        <v/>
      </c>
    </row>
    <row r="142" spans="1:68" ht="15.75" customHeight="1" x14ac:dyDescent="0.25">
      <c r="A142" s="382" t="s">
        <v>318</v>
      </c>
      <c r="B142" s="75">
        <v>44007</v>
      </c>
      <c r="C142" s="76">
        <v>84000</v>
      </c>
      <c r="D142" s="77"/>
      <c r="E142" s="120"/>
      <c r="F142" s="78"/>
      <c r="G142" s="78"/>
      <c r="H142" s="78" t="s">
        <v>739</v>
      </c>
      <c r="I142" s="233" t="s">
        <v>1054</v>
      </c>
      <c r="J142" s="80" t="str">
        <f t="shared" si="24"/>
        <v>Update</v>
      </c>
      <c r="K142" s="81"/>
      <c r="L142" s="82" t="s">
        <v>715</v>
      </c>
      <c r="M142" s="222">
        <v>46131</v>
      </c>
      <c r="N142" s="222">
        <v>46132</v>
      </c>
      <c r="O142" s="126"/>
      <c r="P142" s="85" t="s">
        <v>1060</v>
      </c>
      <c r="Q142" s="158"/>
      <c r="R142" s="82" t="s">
        <v>1061</v>
      </c>
      <c r="S142" s="120" t="s">
        <v>724</v>
      </c>
      <c r="T142" s="232">
        <v>46132</v>
      </c>
      <c r="U142" s="87" t="str">
        <f>IF(V142="","No AIS",VLOOKUP(V142,'Voyage days'!$A$3:$B$1480,2,FALSE))</f>
        <v>Panama</v>
      </c>
      <c r="V142" s="88" t="str">
        <f>IF(VLOOKUP(A142,'1) Kpler'!$E$2:$P$1000,8, FALSE)="","",VLOOKUP(A142,'1) Kpler'!$E$2:$P$1000,8, FALSE))</f>
        <v>Panama Canal</v>
      </c>
      <c r="W142" s="89">
        <f>IF(VLOOKUP(A142,'1) Kpler'!$E$2:$P$1000,9,FALSE)="","",VLOOKUP(A142,'1) Kpler'!$E$2:$P$1000,9,FALSE))</f>
        <v>46150.791666666664</v>
      </c>
      <c r="X142" s="88" t="str">
        <f>VLOOKUP(A142,'1) Kpler'!$E$2:$I$1000,4,FALSE)</f>
        <v>ballast</v>
      </c>
      <c r="Y142" s="63" t="str">
        <f t="shared" si="0"/>
        <v>07-08 May</v>
      </c>
      <c r="Z142" s="63" t="str">
        <f t="shared" si="1"/>
        <v>20-21 May</v>
      </c>
      <c r="AA142" s="63" t="str">
        <f t="shared" si="2"/>
        <v>31-01 Jun</v>
      </c>
      <c r="AB142" s="63" t="str">
        <f t="shared" si="3"/>
        <v>19-20 May</v>
      </c>
      <c r="AC142" s="63" t="str">
        <f t="shared" si="4"/>
        <v>25-26 May</v>
      </c>
      <c r="AD142" s="63" t="str">
        <f t="shared" si="5"/>
        <v>27-28 Apr</v>
      </c>
      <c r="AE142" s="129" t="str">
        <f t="shared" si="6"/>
        <v>27-28 Apr</v>
      </c>
      <c r="AF142" s="130" t="str">
        <f t="shared" si="7"/>
        <v>04-05 Jun</v>
      </c>
      <c r="AG142" s="93" t="str">
        <f t="shared" si="8"/>
        <v>07-08 May</v>
      </c>
      <c r="AH142" s="94">
        <f>IFERROR($M142+VLOOKUP($L142,'Voyage days'!$F$38:$H$89,3,FALSE),"")</f>
        <v>46149</v>
      </c>
      <c r="AI142" s="94">
        <f>IFERROR(N142+VLOOKUP($L142,'Voyage days'!$F$38:$H$89,3,FALSE),"")</f>
        <v>46150</v>
      </c>
      <c r="AJ142" s="93" t="str">
        <f t="shared" si="9"/>
        <v>20-21 May</v>
      </c>
      <c r="AK142" s="94">
        <f>IFERROR($M142+VLOOKUP($L142,'Voyage days'!$F$94:$H$193,3,FALSE),"")</f>
        <v>46162</v>
      </c>
      <c r="AL142" s="94">
        <f>IFERROR($N142+VLOOKUP($L142,'Voyage days'!$F$94:$H$193,3,FALSE),"")</f>
        <v>46163</v>
      </c>
      <c r="AM142" s="93" t="str">
        <f t="shared" si="10"/>
        <v>31-01 Jun</v>
      </c>
      <c r="AN142" s="94">
        <f>IFERROR($M142+VLOOKUP($L142,'Voyage days'!$F$203:$H$256,3,FALSE),"")</f>
        <v>46173</v>
      </c>
      <c r="AO142" s="94">
        <f>IFERROR($N142+VLOOKUP($L142,'Voyage days'!$F$203:$H$256,3,FALSE),"")</f>
        <v>46174</v>
      </c>
      <c r="AP142" s="93" t="str">
        <f t="shared" si="11"/>
        <v>19-20 May</v>
      </c>
      <c r="AQ142" s="94">
        <f>IFERROR($M142+VLOOKUP($L142,'Voyage days'!$F$294:$H$377,3,FALSE),"")</f>
        <v>46161</v>
      </c>
      <c r="AR142" s="94">
        <f>IFERROR($N142+VLOOKUP($L142,'Voyage days'!$F$294:$H$377,3,FALSE),"")</f>
        <v>46162</v>
      </c>
      <c r="AS142" s="93" t="str">
        <f t="shared" si="12"/>
        <v>25-26 May</v>
      </c>
      <c r="AT142" s="94">
        <f>IFERROR($M142+VLOOKUP($L142,'Voyage days'!$F$382:$H$446,3,FALSE),"")</f>
        <v>46167</v>
      </c>
      <c r="AU142" s="94">
        <f>IFERROR($N142+VLOOKUP($L142,'Voyage days'!$F$382:$H$446,3,FALSE),"")</f>
        <v>46168</v>
      </c>
      <c r="AV142" s="93" t="str">
        <f t="shared" si="13"/>
        <v>02-03 May</v>
      </c>
      <c r="AW142" s="94">
        <f>IFERROR($M142+VLOOKUP($L142,'Voyage days'!$F$483:$H$538,3,FALSE),"")</f>
        <v>46144</v>
      </c>
      <c r="AX142" s="94">
        <f>IFERROR($N142+VLOOKUP($L142,'Voyage days'!$F$483:$H$538,3,FALSE),"")</f>
        <v>46145</v>
      </c>
      <c r="AY142" s="93" t="str">
        <f t="shared" si="14"/>
        <v>27-28 Apr</v>
      </c>
      <c r="AZ142" s="94">
        <f>IFERROR($M142+VLOOKUP($L142,'Voyage days'!$F$540:$H$613,3,FALSE),"")</f>
        <v>46139.25</v>
      </c>
      <c r="BA142" s="94">
        <f>IFERROR($N142+VLOOKUP($L142,'Voyage days'!$F$540:$H$613,3,FALSE),"")</f>
        <v>46140.25</v>
      </c>
      <c r="BB142" s="93" t="str">
        <f t="shared" si="15"/>
        <v>27-28 Apr</v>
      </c>
      <c r="BC142" s="94">
        <f>IFERROR($M142+VLOOKUP($L142,'Voyage days'!$F$448:$H$479,3,FALSE),"")</f>
        <v>46139</v>
      </c>
      <c r="BD142" s="94">
        <f>IFERROR($N142+VLOOKUP($L142,'Voyage days'!$F$448:$H$479,3,FALSE),"")</f>
        <v>46140</v>
      </c>
      <c r="BE142" s="93" t="str">
        <f t="shared" si="16"/>
        <v>30-01 May</v>
      </c>
      <c r="BF142" s="95">
        <f>IFERROR($M142+VLOOKUP($L142,'Voyage days'!$F$620:$H$646,3,FALSE),"")</f>
        <v>46142</v>
      </c>
      <c r="BG142" s="95">
        <f>IFERROR($N142+VLOOKUP($L142,'Voyage days'!$F$620:$H$646,3,FALSE),"")</f>
        <v>46143</v>
      </c>
      <c r="BH142" s="93" t="str">
        <f t="shared" si="17"/>
        <v>27-05 Jun</v>
      </c>
      <c r="BI142" s="96">
        <f>IFERROR($M142+VLOOKUP($L142,'Voyage days'!$F$702:$H$727,3,FALSE),"")</f>
        <v>46139.25</v>
      </c>
      <c r="BJ142" s="93" t="str">
        <f t="shared" si="18"/>
        <v>04-05 Jun</v>
      </c>
      <c r="BK142" s="95">
        <f>IFERROR($M142+VLOOKUP($L142,'Voyage days'!$F$807:$H$878,3,FALSE),"")</f>
        <v>46177</v>
      </c>
      <c r="BL142" s="95">
        <f>IFERROR($N142+VLOOKUP($L142,'Voyage days'!$F$807:$H$878,3,FALSE),"")</f>
        <v>46178</v>
      </c>
      <c r="BM142" s="95">
        <f>IFERROR($N142+VLOOKUP($L142,'Voyage days'!$F$807:$K$878,6,FALSE),"")</f>
        <v>46152</v>
      </c>
      <c r="BN142" s="94" t="str">
        <f>IF(L142="loads AG", IFERROR($M142+VLOOKUP($L142,'Voyage days'!$M$38:$O$38,3,FALSE),""),"")</f>
        <v/>
      </c>
      <c r="BO142" s="94" t="str">
        <f>IF(L142="loads USG", IFERROR($M142+VLOOKUP($L142,'Voyage days'!$L$203:$N$203,3,FALSE),""),"")</f>
        <v/>
      </c>
    </row>
    <row r="143" spans="1:68" ht="15" customHeight="1" x14ac:dyDescent="0.25">
      <c r="A143" s="319" t="s">
        <v>316</v>
      </c>
      <c r="B143" s="98">
        <v>2023</v>
      </c>
      <c r="C143" s="151">
        <v>93000</v>
      </c>
      <c r="D143" s="162"/>
      <c r="E143" s="383"/>
      <c r="F143" s="384"/>
      <c r="G143" s="384"/>
      <c r="H143" s="384" t="s">
        <v>713</v>
      </c>
      <c r="I143" s="164" t="s">
        <v>1054</v>
      </c>
      <c r="J143" s="80" t="str">
        <f t="shared" si="24"/>
        <v/>
      </c>
      <c r="K143" s="166"/>
      <c r="L143" s="169" t="s">
        <v>718</v>
      </c>
      <c r="M143" s="205">
        <v>46134</v>
      </c>
      <c r="N143" s="205">
        <v>46135</v>
      </c>
      <c r="O143" s="385" t="s">
        <v>726</v>
      </c>
      <c r="P143" s="85" t="s">
        <v>1062</v>
      </c>
      <c r="Q143" s="386"/>
      <c r="R143" s="167" t="s">
        <v>1063</v>
      </c>
      <c r="S143" s="120" t="s">
        <v>724</v>
      </c>
      <c r="T143" s="232">
        <v>46132</v>
      </c>
      <c r="U143" s="170" t="str">
        <f>IF(V143="","No AIS",VLOOKUP(V143,'Voyage days'!$A$3:$B$1480,2,FALSE))</f>
        <v>Panama</v>
      </c>
      <c r="V143" s="171" t="str">
        <f>IF(VLOOKUP(A143,'1) Kpler'!$E$2:$P$1000,8, FALSE)="","",VLOOKUP(A143,'1) Kpler'!$E$2:$P$1000,8, FALSE))</f>
        <v>Panama</v>
      </c>
      <c r="W143" s="172">
        <f>IF(VLOOKUP(A143,'1) Kpler'!$E$2:$P$1000,9,FALSE)="","",VLOOKUP(A143,'1) Kpler'!$E$2:$P$1000,9,FALSE))</f>
        <v>46132.875</v>
      </c>
      <c r="X143" s="171" t="str">
        <f>VLOOKUP(A143,'1) Kpler'!$E$2:$I$1000,4,FALSE)</f>
        <v>ballast</v>
      </c>
      <c r="Y143" s="387" t="str">
        <f t="shared" si="0"/>
        <v/>
      </c>
      <c r="Z143" s="387" t="str">
        <f t="shared" si="1"/>
        <v>22-23 Apr</v>
      </c>
      <c r="AA143" s="387" t="str">
        <f t="shared" si="2"/>
        <v>22-23 Apr</v>
      </c>
      <c r="AB143" s="387" t="str">
        <f t="shared" si="3"/>
        <v/>
      </c>
      <c r="AC143" s="387" t="str">
        <f t="shared" si="4"/>
        <v>12-13 May</v>
      </c>
      <c r="AD143" s="387" t="str">
        <f t="shared" si="5"/>
        <v/>
      </c>
      <c r="AE143" s="388" t="str">
        <f t="shared" si="6"/>
        <v/>
      </c>
      <c r="AF143" s="92" t="str">
        <f t="shared" si="7"/>
        <v/>
      </c>
      <c r="AG143" s="324" t="str">
        <f t="shared" si="8"/>
        <v/>
      </c>
      <c r="AH143" s="352" t="str">
        <f>IFERROR($M143+VLOOKUP($L143,'Voyage days'!$F$38:$H$89,3,FALSE),"")</f>
        <v/>
      </c>
      <c r="AI143" s="352" t="str">
        <f>IFERROR(N143+VLOOKUP($L143,'Voyage days'!$F$38:$H$89,3,FALSE),"")</f>
        <v/>
      </c>
      <c r="AJ143" s="324" t="str">
        <f t="shared" si="9"/>
        <v>22-23 Apr</v>
      </c>
      <c r="AK143" s="352">
        <f>IFERROR($M143+VLOOKUP($L143,'Voyage days'!$F$94:$H$193,3,FALSE),"")</f>
        <v>46134</v>
      </c>
      <c r="AL143" s="352">
        <f>IFERROR($N143+VLOOKUP($L143,'Voyage days'!$F$94:$H$193,3,FALSE),"")</f>
        <v>46135</v>
      </c>
      <c r="AM143" s="324" t="str">
        <f t="shared" si="10"/>
        <v>22-23 Apr</v>
      </c>
      <c r="AN143" s="352">
        <f>IFERROR($M143+VLOOKUP($L143,'Voyage days'!$F$203:$H$256,3,FALSE),"")</f>
        <v>46134</v>
      </c>
      <c r="AO143" s="352">
        <f>IFERROR($N143+VLOOKUP($L143,'Voyage days'!$F$203:$H$256,3,FALSE),"")</f>
        <v>46135</v>
      </c>
      <c r="AP143" s="324" t="str">
        <f t="shared" si="11"/>
        <v/>
      </c>
      <c r="AQ143" s="352" t="str">
        <f>IFERROR($M143+VLOOKUP($L143,'Voyage days'!$F$294:$H$377,3,FALSE),"")</f>
        <v/>
      </c>
      <c r="AR143" s="352" t="str">
        <f>IFERROR($N143+VLOOKUP($L143,'Voyage days'!$F$294:$H$377,3,FALSE),"")</f>
        <v/>
      </c>
      <c r="AS143" s="324" t="str">
        <f t="shared" si="12"/>
        <v>12-13 May</v>
      </c>
      <c r="AT143" s="352">
        <f>IFERROR($M143+VLOOKUP($L143,'Voyage days'!$F$382:$H$446,3,FALSE),"")</f>
        <v>46154</v>
      </c>
      <c r="AU143" s="352">
        <f>IFERROR($N143+VLOOKUP($L143,'Voyage days'!$F$382:$H$446,3,FALSE),"")</f>
        <v>46155</v>
      </c>
      <c r="AV143" s="324" t="str">
        <f t="shared" si="13"/>
        <v/>
      </c>
      <c r="AW143" s="352" t="str">
        <f>IFERROR($M143+VLOOKUP($L143,'Voyage days'!$F$483:$H$538,3,FALSE),"")</f>
        <v/>
      </c>
      <c r="AX143" s="352" t="str">
        <f>IFERROR($N143+VLOOKUP($L143,'Voyage days'!$F$483:$H$538,3,FALSE),"")</f>
        <v/>
      </c>
      <c r="AY143" s="324" t="str">
        <f t="shared" si="14"/>
        <v/>
      </c>
      <c r="AZ143" s="352" t="str">
        <f>IFERROR($M143+VLOOKUP($L143,'Voyage days'!$F$540:$H$613,3,FALSE),"")</f>
        <v/>
      </c>
      <c r="BA143" s="352" t="str">
        <f>IFERROR($N143+VLOOKUP($L143,'Voyage days'!$F$540:$H$613,3,FALSE),"")</f>
        <v/>
      </c>
      <c r="BB143" s="324" t="str">
        <f t="shared" si="15"/>
        <v/>
      </c>
      <c r="BC143" s="352" t="str">
        <f>IFERROR($M143+VLOOKUP($L143,'Voyage days'!$F$448:$H$479,3,FALSE),"")</f>
        <v/>
      </c>
      <c r="BD143" s="352" t="str">
        <f>IFERROR($N143+VLOOKUP($L143,'Voyage days'!$F$448:$H$479,3,FALSE),"")</f>
        <v/>
      </c>
      <c r="BE143" s="324" t="str">
        <f t="shared" si="16"/>
        <v/>
      </c>
      <c r="BF143" s="354" t="str">
        <f>IFERROR($M143+VLOOKUP($L143,'Voyage days'!$F$620:$H$646,3,FALSE),"")</f>
        <v/>
      </c>
      <c r="BG143" s="354" t="str">
        <f>IFERROR($N143+VLOOKUP($L143,'Voyage days'!$F$620:$H$646,3,FALSE),"")</f>
        <v/>
      </c>
      <c r="BH143" s="324" t="str">
        <f t="shared" si="17"/>
        <v/>
      </c>
      <c r="BI143" s="389" t="str">
        <f>IFERROR($M143+VLOOKUP($L143,'Voyage days'!$F$702:$H$727,3,FALSE),"")</f>
        <v/>
      </c>
      <c r="BJ143" s="324" t="str">
        <f t="shared" si="18"/>
        <v/>
      </c>
      <c r="BK143" s="354" t="str">
        <f>IFERROR($M143+VLOOKUP($L143,'Voyage days'!$F$807:$H$878,3,FALSE),"")</f>
        <v/>
      </c>
      <c r="BL143" s="354" t="str">
        <f>IFERROR($N143+VLOOKUP($L143,'Voyage days'!$F$807:$H$878,3,FALSE),"")</f>
        <v/>
      </c>
      <c r="BM143" s="354" t="str">
        <f>IFERROR($N143+VLOOKUP($L143,'Voyage days'!$F$807:$K$878,6,FALSE),"")</f>
        <v/>
      </c>
      <c r="BN143" s="352" t="str">
        <f>IF(L143="loads AG", IFERROR($M143+VLOOKUP($L143,'Voyage days'!$M$38:$O$38,3,FALSE),""),"")</f>
        <v/>
      </c>
      <c r="BO143" s="352">
        <f>IF(L143="loads USG", IFERROR($M143+VLOOKUP($L143,'Voyage days'!$L$203:$N$203,3,FALSE),""),"")</f>
        <v>46166</v>
      </c>
    </row>
    <row r="144" spans="1:68" ht="15.75" customHeight="1" x14ac:dyDescent="0.25">
      <c r="A144" s="113" t="s">
        <v>324</v>
      </c>
      <c r="B144" s="119">
        <v>2016</v>
      </c>
      <c r="C144" s="76">
        <v>83000</v>
      </c>
      <c r="D144" s="383"/>
      <c r="E144" s="383" t="s">
        <v>757</v>
      </c>
      <c r="F144" s="300"/>
      <c r="G144" s="300"/>
      <c r="H144" s="300"/>
      <c r="I144" s="390" t="s">
        <v>1054</v>
      </c>
      <c r="J144" s="311" t="str">
        <f t="shared" si="24"/>
        <v/>
      </c>
      <c r="K144" s="303"/>
      <c r="L144" s="304" t="s">
        <v>715</v>
      </c>
      <c r="M144" s="391">
        <v>46141</v>
      </c>
      <c r="N144" s="391">
        <v>46142</v>
      </c>
      <c r="O144" s="392"/>
      <c r="P144" s="304" t="s">
        <v>1064</v>
      </c>
      <c r="Q144" s="390"/>
      <c r="R144" s="304" t="s">
        <v>1065</v>
      </c>
      <c r="S144" s="120" t="s">
        <v>724</v>
      </c>
      <c r="T144" s="232">
        <v>46132</v>
      </c>
      <c r="U144" s="170" t="str">
        <f>IF(V144="","No AIS",VLOOKUP(V144,'Voyage days'!$A$3:$B$1480,2,FALSE))</f>
        <v>Japan + 6</v>
      </c>
      <c r="V144" s="170" t="str">
        <f>IF(VLOOKUP(A144,'1) Kpler'!$E$2:$P$1000,8, FALSE)="","",VLOOKUP(A144,'1) Kpler'!$E$2:$P$1000,8, FALSE))</f>
        <v>Aomori</v>
      </c>
      <c r="W144" s="393">
        <f>IF(VLOOKUP(A144,'1) Kpler'!$E$2:$P$1000,9,FALSE)="","",VLOOKUP(A144,'1) Kpler'!$E$2:$P$1000,9,FALSE))</f>
        <v>46135.333333333336</v>
      </c>
      <c r="X144" s="170" t="str">
        <f>VLOOKUP(A144,'1) Kpler'!$E$2:$I$1000,4,FALSE)</f>
        <v>loaded</v>
      </c>
      <c r="Y144" s="348" t="str">
        <f t="shared" si="0"/>
        <v>17-18 May</v>
      </c>
      <c r="Z144" s="348" t="str">
        <f t="shared" si="1"/>
        <v>30-31 May</v>
      </c>
      <c r="AA144" s="348" t="str">
        <f t="shared" si="2"/>
        <v>10-11 Jun</v>
      </c>
      <c r="AB144" s="348" t="str">
        <f t="shared" si="3"/>
        <v>29-30 May</v>
      </c>
      <c r="AC144" s="348" t="str">
        <f t="shared" si="4"/>
        <v>04-05 Jun</v>
      </c>
      <c r="AD144" s="348" t="str">
        <f t="shared" si="5"/>
        <v>07-08 May</v>
      </c>
      <c r="AE144" s="349" t="str">
        <f t="shared" si="6"/>
        <v>07-08 May</v>
      </c>
      <c r="AF144" s="130" t="str">
        <f t="shared" si="7"/>
        <v>14-15 Jun</v>
      </c>
      <c r="AG144" s="348" t="str">
        <f t="shared" si="8"/>
        <v>17-18 May</v>
      </c>
      <c r="AH144" s="354">
        <f>IFERROR($M144+VLOOKUP($L144,'Voyage days'!$F$38:$H$89,3,FALSE),"")</f>
        <v>46159</v>
      </c>
      <c r="AI144" s="354">
        <f>IFERROR(N144+VLOOKUP($L144,'Voyage days'!$F$38:$H$89,3,FALSE),"")</f>
        <v>46160</v>
      </c>
      <c r="AJ144" s="348" t="str">
        <f t="shared" si="9"/>
        <v>30-31 May</v>
      </c>
      <c r="AK144" s="354">
        <f>IFERROR($M144+VLOOKUP($L144,'Voyage days'!$F$94:$H$193,3,FALSE),"")</f>
        <v>46172</v>
      </c>
      <c r="AL144" s="354">
        <f>IFERROR($N144+VLOOKUP($L144,'Voyage days'!$F$94:$H$193,3,FALSE),"")</f>
        <v>46173</v>
      </c>
      <c r="AM144" s="348" t="str">
        <f t="shared" si="10"/>
        <v>10-11 Jun</v>
      </c>
      <c r="AN144" s="354">
        <f>IFERROR($M144+VLOOKUP($L144,'Voyage days'!$F$203:$H$256,3,FALSE),"")</f>
        <v>46183</v>
      </c>
      <c r="AO144" s="354">
        <f>IFERROR($N144+VLOOKUP($L144,'Voyage days'!$F$203:$H$256,3,FALSE),"")</f>
        <v>46184</v>
      </c>
      <c r="AP144" s="348" t="str">
        <f t="shared" si="11"/>
        <v>29-30 May</v>
      </c>
      <c r="AQ144" s="354">
        <f>IFERROR($M144+VLOOKUP($L144,'Voyage days'!$F$294:$H$377,3,FALSE),"")</f>
        <v>46171</v>
      </c>
      <c r="AR144" s="354">
        <f>IFERROR($N144+VLOOKUP($L144,'Voyage days'!$F$294:$H$377,3,FALSE),"")</f>
        <v>46172</v>
      </c>
      <c r="AS144" s="348" t="str">
        <f t="shared" si="12"/>
        <v>04-05 Jun</v>
      </c>
      <c r="AT144" s="354">
        <f>IFERROR($M144+VLOOKUP($L144,'Voyage days'!$F$382:$H$446,3,FALSE),"")</f>
        <v>46177</v>
      </c>
      <c r="AU144" s="354">
        <f>IFERROR($N144+VLOOKUP($L144,'Voyage days'!$F$382:$H$446,3,FALSE),"")</f>
        <v>46178</v>
      </c>
      <c r="AV144" s="348" t="str">
        <f t="shared" si="13"/>
        <v>12-13 May</v>
      </c>
      <c r="AW144" s="354">
        <f>IFERROR($M144+VLOOKUP($L144,'Voyage days'!$F$483:$H$538,3,FALSE),"")</f>
        <v>46154</v>
      </c>
      <c r="AX144" s="354">
        <f>IFERROR($N144+VLOOKUP($L144,'Voyage days'!$F$483:$H$538,3,FALSE),"")</f>
        <v>46155</v>
      </c>
      <c r="AY144" s="348" t="str">
        <f t="shared" si="14"/>
        <v>07-08 May</v>
      </c>
      <c r="AZ144" s="354">
        <f>IFERROR($M144+VLOOKUP($L144,'Voyage days'!$F$540:$H$613,3,FALSE),"")</f>
        <v>46149.25</v>
      </c>
      <c r="BA144" s="354">
        <f>IFERROR($N144+VLOOKUP($L144,'Voyage days'!$F$540:$H$613,3,FALSE),"")</f>
        <v>46150.25</v>
      </c>
      <c r="BB144" s="348" t="str">
        <f t="shared" si="15"/>
        <v>07-08 May</v>
      </c>
      <c r="BC144" s="354">
        <f>IFERROR($M144+VLOOKUP($L144,'Voyage days'!$F$448:$H$479,3,FALSE),"")</f>
        <v>46149</v>
      </c>
      <c r="BD144" s="354">
        <f>IFERROR($N144+VLOOKUP($L144,'Voyage days'!$F$448:$H$479,3,FALSE),"")</f>
        <v>46150</v>
      </c>
      <c r="BE144" s="348" t="str">
        <f t="shared" si="16"/>
        <v>10-11 May</v>
      </c>
      <c r="BF144" s="354">
        <f>IFERROR($M144+VLOOKUP($L144,'Voyage days'!$F$620:$H$646,3,FALSE),"")</f>
        <v>46152</v>
      </c>
      <c r="BG144" s="354">
        <f>IFERROR($N144+VLOOKUP($L144,'Voyage days'!$F$620:$H$646,3,FALSE),"")</f>
        <v>46153</v>
      </c>
      <c r="BH144" s="348" t="str">
        <f t="shared" si="17"/>
        <v>07-15 Jun</v>
      </c>
      <c r="BI144" s="389">
        <f>IFERROR($M144+VLOOKUP($L144,'Voyage days'!$F$702:$H$727,3,FALSE),"")</f>
        <v>46149.25</v>
      </c>
      <c r="BJ144" s="348" t="str">
        <f t="shared" si="18"/>
        <v>14-15 Jun</v>
      </c>
      <c r="BK144" s="354">
        <f>IFERROR($M144+VLOOKUP($L144,'Voyage days'!$F$807:$H$878,3,FALSE),"")</f>
        <v>46187</v>
      </c>
      <c r="BL144" s="354">
        <f>IFERROR($N144+VLOOKUP($L144,'Voyage days'!$F$807:$H$878,3,FALSE),"")</f>
        <v>46188</v>
      </c>
      <c r="BM144" s="354">
        <f>IFERROR($N144+VLOOKUP($L144,'Voyage days'!$F$807:$K$878,6,FALSE),"")</f>
        <v>46162</v>
      </c>
      <c r="BN144" s="354" t="str">
        <f>IF(L144="loads AG", IFERROR($M144+VLOOKUP($L144,'Voyage days'!$M$38:$O$38,3,FALSE),""),"")</f>
        <v/>
      </c>
      <c r="BO144" s="354" t="str">
        <f>IF(L144="loads USG", IFERROR($M144+VLOOKUP($L144,'Voyage days'!$L$203:$N$203,3,FALSE),""),"")</f>
        <v/>
      </c>
    </row>
    <row r="145" spans="1:68" ht="15.75" customHeight="1" x14ac:dyDescent="0.25">
      <c r="A145" s="218" t="s">
        <v>350</v>
      </c>
      <c r="B145" s="119">
        <v>2013</v>
      </c>
      <c r="C145" s="394">
        <v>82000</v>
      </c>
      <c r="D145" s="395"/>
      <c r="E145" s="120"/>
      <c r="F145" s="396"/>
      <c r="G145" s="396"/>
      <c r="H145" s="396"/>
      <c r="I145" s="124" t="s">
        <v>1054</v>
      </c>
      <c r="J145" s="122" t="str">
        <f t="shared" si="24"/>
        <v/>
      </c>
      <c r="K145" s="123"/>
      <c r="L145" s="124" t="s">
        <v>770</v>
      </c>
      <c r="M145" s="222">
        <v>46149</v>
      </c>
      <c r="N145" s="222">
        <v>46150</v>
      </c>
      <c r="O145" s="152"/>
      <c r="P145" s="397" t="s">
        <v>1066</v>
      </c>
      <c r="Q145" s="100"/>
      <c r="R145" s="397" t="s">
        <v>1067</v>
      </c>
      <c r="S145" s="120" t="s">
        <v>724</v>
      </c>
      <c r="T145" s="232">
        <v>46132</v>
      </c>
      <c r="U145" s="87" t="str">
        <f>IF(V145="","No AIS",VLOOKUP(V145,'Voyage days'!$A$3:$B$1480,2,FALSE))</f>
        <v>Korea + 4</v>
      </c>
      <c r="V145" s="87" t="str">
        <f>IF(VLOOKUP(A145,'1) Kpler'!$E$2:$P$1000,8, FALSE)="","",VLOOKUP(A145,'1) Kpler'!$E$2:$P$1000,8, FALSE))</f>
        <v>Total Daesan Hanwha Refinery</v>
      </c>
      <c r="W145" s="128">
        <f>IF(VLOOKUP(A145,'1) Kpler'!$E$2:$P$1000,9,FALSE)="","",VLOOKUP(A145,'1) Kpler'!$E$2:$P$1000,9,FALSE))</f>
        <v>46145.375</v>
      </c>
      <c r="X145" s="87" t="str">
        <f>VLOOKUP(A145,'1) Kpler'!$E$2:$I$1000,4,FALSE)</f>
        <v>loaded</v>
      </c>
      <c r="Y145" s="234" t="str">
        <f t="shared" si="0"/>
        <v>25-26 May</v>
      </c>
      <c r="Z145" s="234" t="str">
        <f t="shared" si="1"/>
        <v>09-10 Jun</v>
      </c>
      <c r="AA145" s="234" t="str">
        <f t="shared" si="2"/>
        <v>17-18 Jun</v>
      </c>
      <c r="AB145" s="234" t="str">
        <f t="shared" si="3"/>
        <v>05-06 Jun</v>
      </c>
      <c r="AC145" s="234" t="str">
        <f t="shared" si="4"/>
        <v>11-12 Jun</v>
      </c>
      <c r="AD145" s="234" t="str">
        <f t="shared" si="5"/>
        <v>14-15 May</v>
      </c>
      <c r="AE145" s="235" t="str">
        <f t="shared" si="6"/>
        <v>15-16 May</v>
      </c>
      <c r="AF145" s="92" t="str">
        <f t="shared" si="7"/>
        <v>21-22 Jun</v>
      </c>
      <c r="AG145" s="131" t="str">
        <f t="shared" si="8"/>
        <v>25-26 May</v>
      </c>
      <c r="AH145" s="95">
        <f>IFERROR($M145+VLOOKUP($L145,'Voyage days'!$F$38:$H$89,3,FALSE),"")</f>
        <v>46167</v>
      </c>
      <c r="AI145" s="95">
        <f>IFERROR(N145+VLOOKUP($L145,'Voyage days'!$F$38:$H$89,3,FALSE),"")</f>
        <v>46168</v>
      </c>
      <c r="AJ145" s="131" t="str">
        <f t="shared" si="9"/>
        <v>09-10 Jun</v>
      </c>
      <c r="AK145" s="95">
        <f>IFERROR($M145+VLOOKUP($L145,'Voyage days'!$F$94:$H$193,3,FALSE),"")</f>
        <v>46182</v>
      </c>
      <c r="AL145" s="95">
        <f>IFERROR($N145+VLOOKUP($L145,'Voyage days'!$F$94:$H$193,3,FALSE),"")</f>
        <v>46183</v>
      </c>
      <c r="AM145" s="131" t="str">
        <f t="shared" si="10"/>
        <v>17-18 Jun</v>
      </c>
      <c r="AN145" s="95">
        <f>IFERROR($M145+VLOOKUP($L145,'Voyage days'!$F$203:$H$256,3,FALSE),"")</f>
        <v>46190</v>
      </c>
      <c r="AO145" s="95">
        <f>IFERROR($N145+VLOOKUP($L145,'Voyage days'!$F$203:$H$256,3,FALSE),"")</f>
        <v>46191</v>
      </c>
      <c r="AP145" s="131" t="str">
        <f t="shared" si="11"/>
        <v>05-06 Jun</v>
      </c>
      <c r="AQ145" s="95">
        <f>IFERROR($M145+VLOOKUP($L145,'Voyage days'!$F$294:$H$377,3,FALSE),"")</f>
        <v>46178</v>
      </c>
      <c r="AR145" s="95">
        <f>IFERROR($N145+VLOOKUP($L145,'Voyage days'!$F$294:$H$377,3,FALSE),"")</f>
        <v>46179</v>
      </c>
      <c r="AS145" s="131" t="str">
        <f t="shared" si="12"/>
        <v>11-12 Jun</v>
      </c>
      <c r="AT145" s="95">
        <f>IFERROR($M145+VLOOKUP($L145,'Voyage days'!$F$382:$H$446,3,FALSE),"")</f>
        <v>46184</v>
      </c>
      <c r="AU145" s="95">
        <f>IFERROR($N145+VLOOKUP($L145,'Voyage days'!$F$382:$H$446,3,FALSE),"")</f>
        <v>46185</v>
      </c>
      <c r="AV145" s="131" t="str">
        <f t="shared" si="13"/>
        <v>21-22 May</v>
      </c>
      <c r="AW145" s="95">
        <f>IFERROR($M145+VLOOKUP($L145,'Voyage days'!$F$483:$H$538,3,FALSE),"")</f>
        <v>46163</v>
      </c>
      <c r="AX145" s="95">
        <f>IFERROR($N145+VLOOKUP($L145,'Voyage days'!$F$483:$H$538,3,FALSE),"")</f>
        <v>46164</v>
      </c>
      <c r="AY145" s="131" t="str">
        <f t="shared" si="14"/>
        <v>15-16 May</v>
      </c>
      <c r="AZ145" s="95">
        <f>IFERROR($M145+VLOOKUP($L145,'Voyage days'!$F$540:$H$613,3,FALSE),"")</f>
        <v>46157</v>
      </c>
      <c r="BA145" s="95">
        <f>IFERROR($N145+VLOOKUP($L145,'Voyage days'!$F$540:$H$613,3,FALSE),"")</f>
        <v>46158</v>
      </c>
      <c r="BB145" s="131" t="str">
        <f t="shared" si="15"/>
        <v>14-15 May</v>
      </c>
      <c r="BC145" s="95">
        <f>IFERROR($M145+VLOOKUP($L145,'Voyage days'!$F$448:$H$479,3,FALSE),"")</f>
        <v>46156</v>
      </c>
      <c r="BD145" s="95">
        <f>IFERROR($N145+VLOOKUP($L145,'Voyage days'!$F$448:$H$479,3,FALSE),"")</f>
        <v>46157</v>
      </c>
      <c r="BE145" s="131" t="str">
        <f t="shared" si="16"/>
        <v>18-19 May</v>
      </c>
      <c r="BF145" s="95">
        <f>IFERROR($M145+VLOOKUP($L145,'Voyage days'!$F$620:$H$646,3,FALSE),"")</f>
        <v>46160</v>
      </c>
      <c r="BG145" s="95">
        <f>IFERROR($N145+VLOOKUP($L145,'Voyage days'!$F$620:$H$646,3,FALSE),"")</f>
        <v>46161</v>
      </c>
      <c r="BH145" s="131" t="str">
        <f t="shared" si="17"/>
        <v>15-22 Jun</v>
      </c>
      <c r="BI145" s="96">
        <f>IFERROR($M145+VLOOKUP($L145,'Voyage days'!$F$702:$H$727,3,FALSE),"")</f>
        <v>46157</v>
      </c>
      <c r="BJ145" s="131" t="str">
        <f t="shared" si="18"/>
        <v>21-22 Jun</v>
      </c>
      <c r="BK145" s="95">
        <f>IFERROR($M145+VLOOKUP($L145,'Voyage days'!$F$807:$H$878,3,FALSE),"")</f>
        <v>46194</v>
      </c>
      <c r="BL145" s="95">
        <f>IFERROR($N145+VLOOKUP($L145,'Voyage days'!$F$807:$H$878,3,FALSE),"")</f>
        <v>46195</v>
      </c>
      <c r="BM145" s="95">
        <f>IFERROR($N145+VLOOKUP($L145,'Voyage days'!$F$807:$K$878,6,FALSE),"")</f>
        <v>46169</v>
      </c>
      <c r="BN145" s="95" t="str">
        <f>IF(L145="loads AG", IFERROR($M145+VLOOKUP($L145,'Voyage days'!$M$38:$O$38,3,FALSE),""),"")</f>
        <v/>
      </c>
      <c r="BO145" s="95" t="str">
        <f>IF(L145="loads USG", IFERROR($M145+VLOOKUP($L145,'Voyage days'!$L$203:$N$203,3,FALSE),""),"")</f>
        <v/>
      </c>
    </row>
    <row r="146" spans="1:68" ht="15.75" customHeight="1" x14ac:dyDescent="0.25">
      <c r="A146" s="97" t="s">
        <v>357</v>
      </c>
      <c r="B146" s="398">
        <v>2020</v>
      </c>
      <c r="C146" s="76">
        <v>84000</v>
      </c>
      <c r="D146" s="77"/>
      <c r="E146" s="77"/>
      <c r="F146" s="78"/>
      <c r="G146" s="78"/>
      <c r="H146" s="78" t="s">
        <v>739</v>
      </c>
      <c r="I146" s="233" t="s">
        <v>1054</v>
      </c>
      <c r="J146" s="80" t="str">
        <f t="shared" si="24"/>
        <v/>
      </c>
      <c r="K146" s="81" t="s">
        <v>817</v>
      </c>
      <c r="L146" s="82" t="s">
        <v>1068</v>
      </c>
      <c r="M146" s="307">
        <v>46140</v>
      </c>
      <c r="N146" s="307">
        <v>46142</v>
      </c>
      <c r="O146" s="206"/>
      <c r="P146" s="85" t="s">
        <v>1069</v>
      </c>
      <c r="Q146" s="82"/>
      <c r="R146" s="82" t="s">
        <v>1070</v>
      </c>
      <c r="S146" s="120" t="s">
        <v>724</v>
      </c>
      <c r="T146" s="232">
        <v>46132</v>
      </c>
      <c r="U146" s="87" t="str">
        <f>IF(V146="","No AIS",VLOOKUP(V146,'Voyage days'!$A$3:$B$1480,2,FALSE))</f>
        <v>Cayman</v>
      </c>
      <c r="V146" s="88" t="str">
        <f>IF(VLOOKUP(A146,'1) Kpler'!$E$2:$P$1000,8, FALSE)="","",VLOOKUP(A146,'1) Kpler'!$E$2:$P$1000,8, FALSE))</f>
        <v>Bonaire Sint Eustatius</v>
      </c>
      <c r="W146" s="89">
        <f>IF(VLOOKUP(A146,'1) Kpler'!$E$2:$P$1000,9,FALSE)="","",VLOOKUP(A146,'1) Kpler'!$E$2:$P$1000,9,FALSE))</f>
        <v>46137.25</v>
      </c>
      <c r="X146" s="88" t="str">
        <f>VLOOKUP(A146,'1) Kpler'!$E$2:$I$1000,4,FALSE)</f>
        <v>ballast</v>
      </c>
      <c r="Y146" s="63" t="str">
        <f t="shared" si="0"/>
        <v/>
      </c>
      <c r="Z146" s="63" t="str">
        <f t="shared" si="1"/>
        <v/>
      </c>
      <c r="AA146" s="63" t="str">
        <f t="shared" si="2"/>
        <v>01-03 May</v>
      </c>
      <c r="AB146" s="63" t="str">
        <f t="shared" si="3"/>
        <v/>
      </c>
      <c r="AC146" s="63" t="str">
        <f t="shared" si="4"/>
        <v>10-12 May</v>
      </c>
      <c r="AD146" s="63" t="str">
        <f t="shared" si="5"/>
        <v/>
      </c>
      <c r="AE146" s="129" t="str">
        <f t="shared" si="6"/>
        <v/>
      </c>
      <c r="AF146" s="130" t="str">
        <f t="shared" si="7"/>
        <v>17-19 May</v>
      </c>
      <c r="AG146" s="93" t="str">
        <f t="shared" si="8"/>
        <v/>
      </c>
      <c r="AH146" s="94" t="str">
        <f>IFERROR($M146+VLOOKUP($L146,'Voyage days'!$F$38:$H$89,3,FALSE),"")</f>
        <v/>
      </c>
      <c r="AI146" s="94" t="str">
        <f>IFERROR(N146+VLOOKUP($L146,'Voyage days'!$F$38:$H$89,3,FALSE),"")</f>
        <v/>
      </c>
      <c r="AJ146" s="93" t="str">
        <f t="shared" si="9"/>
        <v/>
      </c>
      <c r="AK146" s="94" t="str">
        <f>IFERROR($M146+VLOOKUP($L146,'Voyage days'!$F$94:$H$193,3,FALSE),"")</f>
        <v/>
      </c>
      <c r="AL146" s="94" t="str">
        <f>IFERROR($N146+VLOOKUP($L146,'Voyage days'!$F$94:$H$193,3,FALSE),"")</f>
        <v/>
      </c>
      <c r="AM146" s="93" t="str">
        <f t="shared" si="10"/>
        <v>01-03 May</v>
      </c>
      <c r="AN146" s="94">
        <f>IFERROR($M146+VLOOKUP($L146,'Voyage days'!$F$203:$H$256,3,FALSE),"")</f>
        <v>46143</v>
      </c>
      <c r="AO146" s="94">
        <f>IFERROR($N146+VLOOKUP($L146,'Voyage days'!$F$203:$H$256,3,FALSE),"")</f>
        <v>46145</v>
      </c>
      <c r="AP146" s="93" t="str">
        <f t="shared" si="11"/>
        <v/>
      </c>
      <c r="AQ146" s="94" t="str">
        <f>IFERROR($M146+VLOOKUP($L146,'Voyage days'!$F$294:$H$377,3,FALSE),"")</f>
        <v/>
      </c>
      <c r="AR146" s="94" t="str">
        <f>IFERROR($N146+VLOOKUP($L146,'Voyage days'!$F$294:$H$377,3,FALSE),"")</f>
        <v/>
      </c>
      <c r="AS146" s="93" t="str">
        <f t="shared" si="12"/>
        <v>10-12 May</v>
      </c>
      <c r="AT146" s="94">
        <f>IFERROR($M146+VLOOKUP($L146,'Voyage days'!$F$382:$H$446,3,FALSE),"")</f>
        <v>46152</v>
      </c>
      <c r="AU146" s="94">
        <f>IFERROR($N146+VLOOKUP($L146,'Voyage days'!$F$382:$H$446,3,FALSE),"")</f>
        <v>46154</v>
      </c>
      <c r="AV146" s="93" t="str">
        <f t="shared" si="13"/>
        <v/>
      </c>
      <c r="AW146" s="94" t="str">
        <f>IFERROR($M146+VLOOKUP($L146,'Voyage days'!$F$483:$H$538,3,FALSE),"")</f>
        <v/>
      </c>
      <c r="AX146" s="94" t="str">
        <f>IFERROR($N146+VLOOKUP($L146,'Voyage days'!$F$483:$H$538,3,FALSE),"")</f>
        <v/>
      </c>
      <c r="AY146" s="93" t="str">
        <f t="shared" si="14"/>
        <v/>
      </c>
      <c r="AZ146" s="94" t="str">
        <f>IFERROR($M146+VLOOKUP($L146,'Voyage days'!$F$540:$H$613,3,FALSE),"")</f>
        <v/>
      </c>
      <c r="BA146" s="94" t="str">
        <f>IFERROR($N146+VLOOKUP($L146,'Voyage days'!$F$540:$H$613,3,FALSE),"")</f>
        <v/>
      </c>
      <c r="BB146" s="93" t="str">
        <f t="shared" si="15"/>
        <v/>
      </c>
      <c r="BC146" s="94" t="str">
        <f>IFERROR($M146+VLOOKUP($L146,'Voyage days'!$F$448:$H$479,3,FALSE),"")</f>
        <v/>
      </c>
      <c r="BD146" s="94" t="str">
        <f>IFERROR($N146+VLOOKUP($L146,'Voyage days'!$F$448:$H$479,3,FALSE),"")</f>
        <v/>
      </c>
      <c r="BE146" s="93" t="str">
        <f t="shared" si="16"/>
        <v/>
      </c>
      <c r="BF146" s="95" t="str">
        <f>IFERROR($M146+VLOOKUP($L146,'Voyage days'!$F$620:$H$646,3,FALSE),"")</f>
        <v/>
      </c>
      <c r="BG146" s="95" t="str">
        <f>IFERROR($N146+VLOOKUP($L146,'Voyage days'!$F$620:$H$646,3,FALSE),"")</f>
        <v/>
      </c>
      <c r="BH146" s="93" t="str">
        <f t="shared" si="17"/>
        <v/>
      </c>
      <c r="BI146" s="96" t="str">
        <f>IFERROR($M146+VLOOKUP($L146,'Voyage days'!$F$702:$H$727,3,FALSE),"")</f>
        <v/>
      </c>
      <c r="BJ146" s="93" t="str">
        <f t="shared" si="18"/>
        <v>17-19 May</v>
      </c>
      <c r="BK146" s="95">
        <f>IFERROR($M146+VLOOKUP($L146,'Voyage days'!$F$807:$H$878,3,FALSE),"")</f>
        <v>46159</v>
      </c>
      <c r="BL146" s="95">
        <f>IFERROR($N146+VLOOKUP($L146,'Voyage days'!$F$807:$H$878,3,FALSE),"")</f>
        <v>46161</v>
      </c>
      <c r="BM146" s="95">
        <f>IFERROR($N146+VLOOKUP($L146,'Voyage days'!$F$807:$K$878,6,FALSE),"")</f>
        <v>46142</v>
      </c>
      <c r="BN146" s="94" t="str">
        <f>IF(L146="loads AG", IFERROR($M146+VLOOKUP($L146,'Voyage days'!$M$38:$O$38,3,FALSE),""),"")</f>
        <v/>
      </c>
      <c r="BO146" s="94" t="str">
        <f>IF(L146="loads USG", IFERROR($M146+VLOOKUP($L146,'Voyage days'!$L$203:$N$203,3,FALSE),""),"")</f>
        <v/>
      </c>
    </row>
    <row r="147" spans="1:68" ht="15" customHeight="1" x14ac:dyDescent="0.25">
      <c r="A147" s="74" t="s">
        <v>603</v>
      </c>
      <c r="B147" s="75">
        <v>39722</v>
      </c>
      <c r="C147" s="76">
        <v>80186</v>
      </c>
      <c r="D147" s="77"/>
      <c r="E147" s="77"/>
      <c r="F147" s="78"/>
      <c r="G147" s="78"/>
      <c r="H147" s="78"/>
      <c r="I147" s="233" t="s">
        <v>1054</v>
      </c>
      <c r="J147" s="80" t="str">
        <f t="shared" si="24"/>
        <v>Update</v>
      </c>
      <c r="K147" s="81"/>
      <c r="L147" s="82" t="s">
        <v>718</v>
      </c>
      <c r="M147" s="83">
        <v>46130</v>
      </c>
      <c r="N147" s="83">
        <v>46131</v>
      </c>
      <c r="O147" s="84"/>
      <c r="P147" s="82" t="s">
        <v>1071</v>
      </c>
      <c r="Q147" s="82"/>
      <c r="R147" s="124" t="s">
        <v>1072</v>
      </c>
      <c r="S147" s="120" t="s">
        <v>724</v>
      </c>
      <c r="T147" s="232">
        <v>46132</v>
      </c>
      <c r="U147" s="87" t="str">
        <f>IF(V147="","No AIS",VLOOKUP(V147,'Voyage days'!$A$3:$B$1480,2,FALSE))</f>
        <v>Panama</v>
      </c>
      <c r="V147" s="88" t="str">
        <f>IF(VLOOKUP(A147,'1) Kpler'!$E$2:$P$1000,8, FALSE)="","",VLOOKUP(A147,'1) Kpler'!$E$2:$P$1000,8, FALSE))</f>
        <v>Panama Canal</v>
      </c>
      <c r="W147" s="89">
        <f>IF(VLOOKUP(A147,'1) Kpler'!$E$2:$P$1000,9,FALSE)="","",VLOOKUP(A147,'1) Kpler'!$E$2:$P$1000,9,FALSE))</f>
        <v>46136.708333333336</v>
      </c>
      <c r="X147" s="88" t="str">
        <f>VLOOKUP(A147,'1) Kpler'!$E$2:$I$1000,4,FALSE)</f>
        <v>loaded</v>
      </c>
      <c r="Y147" s="63" t="str">
        <f t="shared" si="0"/>
        <v/>
      </c>
      <c r="Z147" s="63" t="str">
        <f t="shared" si="1"/>
        <v>18-19 Apr</v>
      </c>
      <c r="AA147" s="63" t="str">
        <f t="shared" si="2"/>
        <v>18-19 Apr</v>
      </c>
      <c r="AB147" s="63" t="str">
        <f t="shared" si="3"/>
        <v/>
      </c>
      <c r="AC147" s="63" t="str">
        <f t="shared" si="4"/>
        <v>08-09 May</v>
      </c>
      <c r="AD147" s="63" t="str">
        <f t="shared" si="5"/>
        <v/>
      </c>
      <c r="AE147" s="129" t="str">
        <f t="shared" si="6"/>
        <v/>
      </c>
      <c r="AF147" s="130" t="str">
        <f t="shared" si="7"/>
        <v/>
      </c>
      <c r="AG147" s="93" t="str">
        <f t="shared" si="8"/>
        <v/>
      </c>
      <c r="AH147" s="94" t="str">
        <f>IFERROR($M147+VLOOKUP($L147,'Voyage days'!$F$38:$H$89,3,FALSE),"")</f>
        <v/>
      </c>
      <c r="AI147" s="94" t="str">
        <f>IFERROR(N147+VLOOKUP($L147,'Voyage days'!$F$38:$H$89,3,FALSE),"")</f>
        <v/>
      </c>
      <c r="AJ147" s="93" t="str">
        <f t="shared" si="9"/>
        <v>18-19 Apr</v>
      </c>
      <c r="AK147" s="94">
        <f>IFERROR($M147+VLOOKUP($L147,'Voyage days'!$F$94:$H$193,3,FALSE),"")</f>
        <v>46130</v>
      </c>
      <c r="AL147" s="94">
        <f>IFERROR($N147+VLOOKUP($L147,'Voyage days'!$F$94:$H$193,3,FALSE),"")</f>
        <v>46131</v>
      </c>
      <c r="AM147" s="93" t="str">
        <f t="shared" si="10"/>
        <v>18-19 Apr</v>
      </c>
      <c r="AN147" s="94">
        <f>IFERROR($M147+VLOOKUP($L147,'Voyage days'!$F$203:$H$256,3,FALSE),"")</f>
        <v>46130</v>
      </c>
      <c r="AO147" s="94">
        <f>IFERROR($N147+VLOOKUP($L147,'Voyage days'!$F$203:$H$256,3,FALSE),"")</f>
        <v>46131</v>
      </c>
      <c r="AP147" s="93" t="str">
        <f t="shared" si="11"/>
        <v/>
      </c>
      <c r="AQ147" s="94" t="str">
        <f>IFERROR($M147+VLOOKUP($L147,'Voyage days'!$F$294:$H$377,3,FALSE),"")</f>
        <v/>
      </c>
      <c r="AR147" s="94" t="str">
        <f>IFERROR($N147+VLOOKUP($L147,'Voyage days'!$F$294:$H$377,3,FALSE),"")</f>
        <v/>
      </c>
      <c r="AS147" s="93" t="str">
        <f t="shared" si="12"/>
        <v>08-09 May</v>
      </c>
      <c r="AT147" s="94">
        <f>IFERROR($M147+VLOOKUP($L147,'Voyage days'!$F$382:$H$446,3,FALSE),"")</f>
        <v>46150</v>
      </c>
      <c r="AU147" s="94">
        <f>IFERROR($N147+VLOOKUP($L147,'Voyage days'!$F$382:$H$446,3,FALSE),"")</f>
        <v>46151</v>
      </c>
      <c r="AV147" s="93" t="str">
        <f t="shared" si="13"/>
        <v/>
      </c>
      <c r="AW147" s="94" t="str">
        <f>IFERROR($M147+VLOOKUP($L147,'Voyage days'!$F$483:$H$538,3,FALSE),"")</f>
        <v/>
      </c>
      <c r="AX147" s="94" t="str">
        <f>IFERROR($N147+VLOOKUP($L147,'Voyage days'!$F$483:$H$538,3,FALSE),"")</f>
        <v/>
      </c>
      <c r="AY147" s="93" t="str">
        <f t="shared" si="14"/>
        <v/>
      </c>
      <c r="AZ147" s="94" t="str">
        <f>IFERROR($M147+VLOOKUP($L147,'Voyage days'!$F$540:$H$613,3,FALSE),"")</f>
        <v/>
      </c>
      <c r="BA147" s="94" t="str">
        <f>IFERROR($N147+VLOOKUP($L147,'Voyage days'!$F$540:$H$613,3,FALSE),"")</f>
        <v/>
      </c>
      <c r="BB147" s="93" t="str">
        <f t="shared" si="15"/>
        <v/>
      </c>
      <c r="BC147" s="94" t="str">
        <f>IFERROR($M147+VLOOKUP($L147,'Voyage days'!$F$448:$H$479,3,FALSE),"")</f>
        <v/>
      </c>
      <c r="BD147" s="94" t="str">
        <f>IFERROR($N147+VLOOKUP($L147,'Voyage days'!$F$448:$H$479,3,FALSE),"")</f>
        <v/>
      </c>
      <c r="BE147" s="93" t="str">
        <f t="shared" si="16"/>
        <v/>
      </c>
      <c r="BF147" s="95" t="str">
        <f>IFERROR($M147+VLOOKUP($L147,'Voyage days'!$F$620:$H$646,3,FALSE),"")</f>
        <v/>
      </c>
      <c r="BG147" s="95" t="str">
        <f>IFERROR($N147+VLOOKUP($L147,'Voyage days'!$F$620:$H$646,3,FALSE),"")</f>
        <v/>
      </c>
      <c r="BH147" s="93" t="str">
        <f t="shared" si="17"/>
        <v/>
      </c>
      <c r="BI147" s="96" t="str">
        <f>IFERROR($M147+VLOOKUP($L147,'Voyage days'!$F$702:$H$727,3,FALSE),"")</f>
        <v/>
      </c>
      <c r="BJ147" s="93" t="str">
        <f t="shared" si="18"/>
        <v/>
      </c>
      <c r="BK147" s="95" t="str">
        <f>IFERROR($M147+VLOOKUP($L147,'Voyage days'!$F$807:$H$878,3,FALSE),"")</f>
        <v/>
      </c>
      <c r="BL147" s="95" t="str">
        <f>IFERROR($N147+VLOOKUP($L147,'Voyage days'!$F$807:$H$878,3,FALSE),"")</f>
        <v/>
      </c>
      <c r="BM147" s="95" t="str">
        <f>IFERROR($N147+VLOOKUP($L147,'Voyage days'!$F$807:$K$878,6,FALSE),"")</f>
        <v/>
      </c>
      <c r="BN147" s="94" t="str">
        <f>IF(L147="loads AG", IFERROR($M147+VLOOKUP($L147,'Voyage days'!$M$38:$O$38,3,FALSE),""),"")</f>
        <v/>
      </c>
      <c r="BO147" s="94">
        <f>IF(L147="loads USG", IFERROR($M147+VLOOKUP($L147,'Voyage days'!$L$203:$N$203,3,FALSE),""),"")</f>
        <v>46162</v>
      </c>
    </row>
    <row r="148" spans="1:68" ht="15.75" customHeight="1" x14ac:dyDescent="0.25">
      <c r="A148" s="358" t="s">
        <v>623</v>
      </c>
      <c r="B148" s="119">
        <v>2020</v>
      </c>
      <c r="C148" s="76">
        <v>84000</v>
      </c>
      <c r="D148" s="178" t="s">
        <v>651</v>
      </c>
      <c r="E148" s="178"/>
      <c r="F148" s="163"/>
      <c r="G148" s="163"/>
      <c r="H148" s="163" t="s">
        <v>739</v>
      </c>
      <c r="I148" s="399" t="s">
        <v>1054</v>
      </c>
      <c r="J148" s="165" t="str">
        <f t="shared" si="24"/>
        <v/>
      </c>
      <c r="K148" s="166"/>
      <c r="L148" s="167" t="s">
        <v>1004</v>
      </c>
      <c r="M148" s="205">
        <v>46135</v>
      </c>
      <c r="N148" s="205">
        <v>46137</v>
      </c>
      <c r="O148" s="168"/>
      <c r="P148" s="169" t="s">
        <v>1073</v>
      </c>
      <c r="Q148" s="163"/>
      <c r="R148" s="167" t="s">
        <v>1074</v>
      </c>
      <c r="S148" s="120" t="s">
        <v>724</v>
      </c>
      <c r="T148" s="232">
        <v>46132</v>
      </c>
      <c r="U148" s="87" t="str">
        <f>IF(V148="","No AIS",VLOOKUP(V148,'Voyage days'!$A$3:$B$1480,2,FALSE))</f>
        <v>Taiwan + 2</v>
      </c>
      <c r="V148" s="88" t="str">
        <f>IF(VLOOKUP(A148,'1) Kpler'!$E$2:$P$1000,8, FALSE)="","",VLOOKUP(A148,'1) Kpler'!$E$2:$P$1000,8, FALSE))</f>
        <v>Kaohsiung</v>
      </c>
      <c r="W148" s="89">
        <f>IF(VLOOKUP(A148,'1) Kpler'!$E$2:$P$1000,9,FALSE)="","",VLOOKUP(A148,'1) Kpler'!$E$2:$P$1000,9,FALSE))</f>
        <v>46133.125</v>
      </c>
      <c r="X148" s="88" t="str">
        <f>VLOOKUP(A148,'1) Kpler'!$E$2:$I$1000,4,FALSE)</f>
        <v>loaded</v>
      </c>
      <c r="Y148" s="63" t="str">
        <f t="shared" si="0"/>
        <v>09-11 May</v>
      </c>
      <c r="Z148" s="63" t="str">
        <f t="shared" si="1"/>
        <v>28-30 May</v>
      </c>
      <c r="AA148" s="63" t="str">
        <f t="shared" si="2"/>
        <v>06-08 Jun</v>
      </c>
      <c r="AB148" s="63" t="str">
        <f t="shared" si="3"/>
        <v>21-23 May</v>
      </c>
      <c r="AC148" s="63" t="str">
        <f t="shared" si="4"/>
        <v>27-29 May</v>
      </c>
      <c r="AD148" s="63" t="str">
        <f t="shared" si="5"/>
        <v>29-01 May</v>
      </c>
      <c r="AE148" s="129" t="str">
        <f t="shared" si="6"/>
        <v>30-02 May</v>
      </c>
      <c r="AF148" s="130" t="str">
        <f t="shared" si="7"/>
        <v>06-08 Jun</v>
      </c>
      <c r="AG148" s="93" t="str">
        <f t="shared" si="8"/>
        <v>09-11 May</v>
      </c>
      <c r="AH148" s="94">
        <f>IFERROR($M148+VLOOKUP($L148,'Voyage days'!$F$38:$H$89,3,FALSE),"")</f>
        <v>46151</v>
      </c>
      <c r="AI148" s="94">
        <f>IFERROR(N148+VLOOKUP($L148,'Voyage days'!$F$38:$H$89,3,FALSE),"")</f>
        <v>46153</v>
      </c>
      <c r="AJ148" s="93" t="str">
        <f t="shared" si="9"/>
        <v>28-30 May</v>
      </c>
      <c r="AK148" s="94">
        <f>IFERROR($M148+VLOOKUP($L148,'Voyage days'!$F$94:$H$193,3,FALSE),"")</f>
        <v>46170</v>
      </c>
      <c r="AL148" s="94">
        <f>IFERROR($N148+VLOOKUP($L148,'Voyage days'!$F$94:$H$193,3,FALSE),"")</f>
        <v>46172</v>
      </c>
      <c r="AM148" s="93" t="str">
        <f t="shared" si="10"/>
        <v>06-08 Jun</v>
      </c>
      <c r="AN148" s="94">
        <f>IFERROR($M148+VLOOKUP($L148,'Voyage days'!$F$203:$H$256,3,FALSE),"")</f>
        <v>46179</v>
      </c>
      <c r="AO148" s="94">
        <f>IFERROR($N148+VLOOKUP($L148,'Voyage days'!$F$203:$H$256,3,FALSE),"")</f>
        <v>46181</v>
      </c>
      <c r="AP148" s="93" t="str">
        <f t="shared" si="11"/>
        <v>21-23 May</v>
      </c>
      <c r="AQ148" s="94">
        <f>IFERROR($M148+VLOOKUP($L148,'Voyage days'!$F$294:$H$377,3,FALSE),"")</f>
        <v>46163</v>
      </c>
      <c r="AR148" s="94">
        <f>IFERROR($N148+VLOOKUP($L148,'Voyage days'!$F$294:$H$377,3,FALSE),"")</f>
        <v>46165</v>
      </c>
      <c r="AS148" s="93" t="str">
        <f t="shared" si="12"/>
        <v>27-29 May</v>
      </c>
      <c r="AT148" s="94">
        <f>IFERROR($M148+VLOOKUP($L148,'Voyage days'!$F$382:$H$446,3,FALSE),"")</f>
        <v>46169</v>
      </c>
      <c r="AU148" s="94">
        <f>IFERROR($N148+VLOOKUP($L148,'Voyage days'!$F$382:$H$446,3,FALSE),"")</f>
        <v>46171</v>
      </c>
      <c r="AV148" s="93" t="str">
        <f t="shared" si="13"/>
        <v>06-08 May</v>
      </c>
      <c r="AW148" s="94">
        <f>IFERROR($M148+VLOOKUP($L148,'Voyage days'!$F$483:$H$538,3,FALSE),"")</f>
        <v>46148</v>
      </c>
      <c r="AX148" s="94">
        <f>IFERROR($N148+VLOOKUP($L148,'Voyage days'!$F$483:$H$538,3,FALSE),"")</f>
        <v>46150</v>
      </c>
      <c r="AY148" s="93" t="str">
        <f t="shared" si="14"/>
        <v>30-02 May</v>
      </c>
      <c r="AZ148" s="94">
        <f>IFERROR($M148+VLOOKUP($L148,'Voyage days'!$F$540:$H$613,3,FALSE),"")</f>
        <v>46142</v>
      </c>
      <c r="BA148" s="94">
        <f>IFERROR($N148+VLOOKUP($L148,'Voyage days'!$F$540:$H$613,3,FALSE),"")</f>
        <v>46144</v>
      </c>
      <c r="BB148" s="93" t="str">
        <f t="shared" si="15"/>
        <v>29-01 May</v>
      </c>
      <c r="BC148" s="94">
        <f>IFERROR($M148+VLOOKUP($L148,'Voyage days'!$F$448:$H$479,3,FALSE),"")</f>
        <v>46141</v>
      </c>
      <c r="BD148" s="94">
        <f>IFERROR($N148+VLOOKUP($L148,'Voyage days'!$F$448:$H$479,3,FALSE),"")</f>
        <v>46143</v>
      </c>
      <c r="BE148" s="93" t="str">
        <f t="shared" si="16"/>
        <v>07-09 May</v>
      </c>
      <c r="BF148" s="95">
        <f>IFERROR($M148+VLOOKUP($L148,'Voyage days'!$F$620:$H$646,3,FALSE),"")</f>
        <v>46149</v>
      </c>
      <c r="BG148" s="95">
        <f>IFERROR($N148+VLOOKUP($L148,'Voyage days'!$F$620:$H$646,3,FALSE),"")</f>
        <v>46151</v>
      </c>
      <c r="BH148" s="93" t="str">
        <f t="shared" si="17"/>
        <v>30-08 Jun</v>
      </c>
      <c r="BI148" s="96">
        <f>IFERROR($M148+VLOOKUP($L148,'Voyage days'!$F$702:$H$727,3,FALSE),"")</f>
        <v>46142</v>
      </c>
      <c r="BJ148" s="93" t="str">
        <f t="shared" si="18"/>
        <v>06-08 Jun</v>
      </c>
      <c r="BK148" s="95">
        <f>IFERROR($M148+VLOOKUP($L148,'Voyage days'!$F$807:$H$878,3,FALSE),"")</f>
        <v>46179</v>
      </c>
      <c r="BL148" s="95">
        <f>IFERROR($N148+VLOOKUP($L148,'Voyage days'!$F$807:$H$878,3,FALSE),"")</f>
        <v>46181</v>
      </c>
      <c r="BM148" s="95">
        <f>IFERROR($N148+VLOOKUP($L148,'Voyage days'!$F$807:$K$878,6,FALSE),"")</f>
        <v>46154</v>
      </c>
      <c r="BN148" s="94" t="str">
        <f>IF(L148="loads AG", IFERROR($M148+VLOOKUP($L148,'Voyage days'!$M$38:$O$38,3,FALSE),""),"")</f>
        <v/>
      </c>
      <c r="BO148" s="94" t="str">
        <f>IF(L148="loads USG", IFERROR($M148+VLOOKUP($L148,'Voyage days'!$L$203:$N$203,3,FALSE),""),"")</f>
        <v/>
      </c>
    </row>
    <row r="149" spans="1:68" ht="15.75" customHeight="1" x14ac:dyDescent="0.25">
      <c r="A149" s="400" t="s">
        <v>626</v>
      </c>
      <c r="B149" s="24">
        <v>2020</v>
      </c>
      <c r="C149" s="76">
        <v>84000</v>
      </c>
      <c r="D149" s="401" t="s">
        <v>651</v>
      </c>
      <c r="E149" s="401"/>
      <c r="F149" s="402"/>
      <c r="G149" s="402"/>
      <c r="H149" s="402" t="s">
        <v>739</v>
      </c>
      <c r="I149" s="301" t="s">
        <v>1075</v>
      </c>
      <c r="J149" s="165" t="str">
        <f t="shared" si="24"/>
        <v/>
      </c>
      <c r="K149" s="166"/>
      <c r="L149" s="167" t="s">
        <v>863</v>
      </c>
      <c r="M149" s="205">
        <v>46167</v>
      </c>
      <c r="N149" s="205">
        <v>46168</v>
      </c>
      <c r="O149" s="168"/>
      <c r="P149" s="370" t="s">
        <v>1076</v>
      </c>
      <c r="Q149" s="163"/>
      <c r="R149" s="370" t="s">
        <v>1077</v>
      </c>
      <c r="S149" s="383" t="s">
        <v>724</v>
      </c>
      <c r="T149" s="323">
        <v>46132</v>
      </c>
      <c r="U149" s="87" t="str">
        <f>IF(V149="","No AIS",VLOOKUP(V149,'Voyage days'!$A$3:$B$1480,2,FALSE))</f>
        <v>ECI + 5</v>
      </c>
      <c r="V149" s="88" t="str">
        <f>IF(VLOOKUP(A149,'1) Kpler'!$E$2:$P$1000,8, FALSE)="","",VLOOKUP(A149,'1) Kpler'!$E$2:$P$1000,8, FALSE))</f>
        <v>Ennore Port</v>
      </c>
      <c r="W149" s="89">
        <f>IF(VLOOKUP(A149,'1) Kpler'!$E$2:$P$1000,9,FALSE)="","",VLOOKUP(A149,'1) Kpler'!$E$2:$P$1000,9,FALSE))</f>
        <v>46162.000694444447</v>
      </c>
      <c r="X149" s="88" t="str">
        <f>VLOOKUP(A149,'1) Kpler'!$E$2:$I$1000,4,FALSE)</f>
        <v>loaded</v>
      </c>
      <c r="Y149" s="63" t="str">
        <f t="shared" si="0"/>
        <v>03-04 Jun</v>
      </c>
      <c r="Z149" s="63" t="str">
        <f t="shared" si="1"/>
        <v/>
      </c>
      <c r="AA149" s="63" t="str">
        <f t="shared" si="2"/>
        <v>30-01 Jul</v>
      </c>
      <c r="AB149" s="63" t="str">
        <f t="shared" si="3"/>
        <v>15-16 Jun</v>
      </c>
      <c r="AC149" s="63" t="str">
        <f t="shared" si="4"/>
        <v>22-23 Jun</v>
      </c>
      <c r="AD149" s="63" t="str">
        <f t="shared" si="5"/>
        <v>30-31 May</v>
      </c>
      <c r="AE149" s="129" t="str">
        <f t="shared" si="6"/>
        <v/>
      </c>
      <c r="AF149" s="130" t="str">
        <f t="shared" si="7"/>
        <v>02-03 Jul</v>
      </c>
      <c r="AG149" s="93" t="str">
        <f t="shared" si="8"/>
        <v>03-04 Jun</v>
      </c>
      <c r="AH149" s="94">
        <f>IFERROR($M149+VLOOKUP($L149,'Voyage days'!$F$38:$H$89,3,FALSE),"")</f>
        <v>46176</v>
      </c>
      <c r="AI149" s="94">
        <f>IFERROR(N149+VLOOKUP($L149,'Voyage days'!$F$38:$H$89,3,FALSE),"")</f>
        <v>46177</v>
      </c>
      <c r="AJ149" s="93" t="str">
        <f t="shared" si="9"/>
        <v/>
      </c>
      <c r="AK149" s="94" t="str">
        <f>IFERROR($M149+VLOOKUP($L149,'Voyage days'!$F$94:$H$193,3,FALSE),"")</f>
        <v/>
      </c>
      <c r="AL149" s="94" t="str">
        <f>IFERROR($N149+VLOOKUP($L149,'Voyage days'!$F$94:$H$193,3,FALSE),"")</f>
        <v/>
      </c>
      <c r="AM149" s="93" t="str">
        <f t="shared" si="10"/>
        <v>30-01 Jul</v>
      </c>
      <c r="AN149" s="94">
        <f>IFERROR($M149+VLOOKUP($L149,'Voyage days'!$F$203:$H$256,3,FALSE),"")</f>
        <v>46203</v>
      </c>
      <c r="AO149" s="94">
        <f>IFERROR($N149+VLOOKUP($L149,'Voyage days'!$F$203:$H$256,3,FALSE),"")</f>
        <v>46204</v>
      </c>
      <c r="AP149" s="93" t="str">
        <f t="shared" si="11"/>
        <v>15-16 Jun</v>
      </c>
      <c r="AQ149" s="94">
        <f>IFERROR($M149+VLOOKUP($L149,'Voyage days'!$F$294:$H$377,3,FALSE),"")</f>
        <v>46188</v>
      </c>
      <c r="AR149" s="94">
        <f>IFERROR($N149+VLOOKUP($L149,'Voyage days'!$F$294:$H$377,3,FALSE),"")</f>
        <v>46189</v>
      </c>
      <c r="AS149" s="93" t="str">
        <f t="shared" si="12"/>
        <v>22-23 Jun</v>
      </c>
      <c r="AT149" s="94">
        <f>IFERROR($M149+VLOOKUP($L149,'Voyage days'!$F$382:$H$446,3,FALSE),"")</f>
        <v>46195</v>
      </c>
      <c r="AU149" s="94">
        <f>IFERROR($N149+VLOOKUP($L149,'Voyage days'!$F$382:$H$446,3,FALSE),"")</f>
        <v>46196</v>
      </c>
      <c r="AV149" s="93" t="str">
        <f t="shared" si="13"/>
        <v>25-26 May</v>
      </c>
      <c r="AW149" s="94">
        <f>IFERROR($M149+VLOOKUP($L149,'Voyage days'!$F$483:$H$538,3,FALSE),"")</f>
        <v>46167</v>
      </c>
      <c r="AX149" s="94">
        <f>IFERROR($N149+VLOOKUP($L149,'Voyage days'!$F$483:$H$538,3,FALSE),"")</f>
        <v>46168</v>
      </c>
      <c r="AY149" s="93" t="str">
        <f t="shared" si="14"/>
        <v/>
      </c>
      <c r="AZ149" s="94" t="str">
        <f>IFERROR($M149+VLOOKUP($L149,'Voyage days'!$F$540:$H$613,3,FALSE),"")</f>
        <v/>
      </c>
      <c r="BA149" s="94" t="str">
        <f>IFERROR($N149+VLOOKUP($L149,'Voyage days'!$F$540:$H$613,3,FALSE),"")</f>
        <v/>
      </c>
      <c r="BB149" s="93" t="str">
        <f t="shared" si="15"/>
        <v>30-31 May</v>
      </c>
      <c r="BC149" s="94">
        <f>IFERROR($M149+VLOOKUP($L149,'Voyage days'!$F$448:$H$479,3,FALSE),"")</f>
        <v>46172</v>
      </c>
      <c r="BD149" s="94">
        <f>IFERROR($N149+VLOOKUP($L149,'Voyage days'!$F$448:$H$479,3,FALSE),"")</f>
        <v>46173</v>
      </c>
      <c r="BE149" s="93" t="str">
        <f t="shared" si="16"/>
        <v/>
      </c>
      <c r="BF149" s="95" t="str">
        <f>IFERROR($M149+VLOOKUP($L149,'Voyage days'!$F$620:$H$646,3,FALSE),"")</f>
        <v/>
      </c>
      <c r="BG149" s="95" t="str">
        <f>IFERROR($N149+VLOOKUP($L149,'Voyage days'!$F$620:$H$646,3,FALSE),"")</f>
        <v/>
      </c>
      <c r="BH149" s="93" t="str">
        <f t="shared" si="17"/>
        <v/>
      </c>
      <c r="BI149" s="96" t="str">
        <f>IFERROR($M149+VLOOKUP($L149,'Voyage days'!$F$702:$H$727,3,FALSE),"")</f>
        <v/>
      </c>
      <c r="BJ149" s="93" t="str">
        <f t="shared" si="18"/>
        <v>02-03 Jul</v>
      </c>
      <c r="BK149" s="95">
        <f>IFERROR($M149+VLOOKUP($L149,'Voyage days'!$F$807:$H$878,3,FALSE),"")</f>
        <v>46205</v>
      </c>
      <c r="BL149" s="95">
        <f>IFERROR($N149+VLOOKUP($L149,'Voyage days'!$F$807:$H$878,3,FALSE),"")</f>
        <v>46206</v>
      </c>
      <c r="BM149" s="95">
        <f>IFERROR($N149+VLOOKUP($L149,'Voyage days'!$F$807:$K$878,6,FALSE),"")</f>
        <v>46180</v>
      </c>
      <c r="BN149" s="94" t="str">
        <f>IF(L149="loads AG", IFERROR($M149+VLOOKUP($L149,'Voyage days'!$M$38:$O$38,3,FALSE),""),"")</f>
        <v/>
      </c>
      <c r="BO149" s="94" t="str">
        <f>IF(L149="loads USG", IFERROR($M149+VLOOKUP($L149,'Voyage days'!$L$203:$N$203,3,FALSE),""),"")</f>
        <v/>
      </c>
    </row>
    <row r="150" spans="1:68" ht="15.75" customHeight="1" x14ac:dyDescent="0.25">
      <c r="A150" s="403" t="s">
        <v>481</v>
      </c>
      <c r="B150" s="229">
        <v>42197</v>
      </c>
      <c r="C150" s="183">
        <v>84000</v>
      </c>
      <c r="D150" s="184"/>
      <c r="E150" s="184"/>
      <c r="F150" s="185"/>
      <c r="G150" s="185"/>
      <c r="H150" s="185"/>
      <c r="I150" s="404" t="s">
        <v>1078</v>
      </c>
      <c r="J150" s="405"/>
      <c r="K150" s="188"/>
      <c r="L150" s="186" t="s">
        <v>1079</v>
      </c>
      <c r="M150" s="345">
        <v>46142</v>
      </c>
      <c r="N150" s="406">
        <v>46143</v>
      </c>
      <c r="O150" s="407" t="s">
        <v>726</v>
      </c>
      <c r="P150" s="186" t="s">
        <v>1080</v>
      </c>
      <c r="Q150" s="191"/>
      <c r="R150" s="408" t="s">
        <v>1081</v>
      </c>
      <c r="S150" s="184" t="s">
        <v>724</v>
      </c>
      <c r="T150" s="194">
        <v>46132</v>
      </c>
      <c r="U150" s="195" t="str">
        <f>IF(V150="","No AIS",VLOOKUP(V150,'Voyage days'!$A$3:$B$1480,2,FALSE))</f>
        <v>WCI + 5</v>
      </c>
      <c r="V150" s="195" t="str">
        <f>IF(VLOOKUP(A150,'1) Kpler'!$E$2:$P$1000,8, FALSE)="","",VLOOKUP(A150,'1) Kpler'!$E$2:$P$1000,8, FALSE))</f>
        <v>Mangalore</v>
      </c>
      <c r="W150" s="196">
        <f>IF(VLOOKUP(A150,'1) Kpler'!$E$2:$P$1000,9,FALSE)="","",VLOOKUP(A150,'1) Kpler'!$E$2:$P$1000,9,FALSE))</f>
        <v>46136.000694444447</v>
      </c>
      <c r="X150" s="195" t="str">
        <f>VLOOKUP(A150,'1) Kpler'!$E$2:$I$1000,4,FALSE)</f>
        <v>open</v>
      </c>
      <c r="Y150" s="197" t="str">
        <f t="shared" si="0"/>
        <v>05-06 May</v>
      </c>
      <c r="Z150" s="197" t="str">
        <f t="shared" si="1"/>
        <v/>
      </c>
      <c r="AA150" s="197" t="str">
        <f t="shared" si="2"/>
        <v>01-02 Jun</v>
      </c>
      <c r="AB150" s="197" t="str">
        <f t="shared" si="3"/>
        <v>19-20 May</v>
      </c>
      <c r="AC150" s="197" t="str">
        <f t="shared" si="4"/>
        <v>13-14 May</v>
      </c>
      <c r="AD150" s="197" t="str">
        <f t="shared" si="5"/>
        <v/>
      </c>
      <c r="AE150" s="198" t="str">
        <f t="shared" si="6"/>
        <v/>
      </c>
      <c r="AF150" s="199" t="str">
        <f t="shared" si="7"/>
        <v>04-05 Jun</v>
      </c>
      <c r="AG150" s="200" t="str">
        <f t="shared" si="8"/>
        <v>05-06 May</v>
      </c>
      <c r="AH150" s="201">
        <f>IFERROR($M150+VLOOKUP($L150,'Voyage days'!$F$38:$H$89,3,FALSE),"")</f>
        <v>46147</v>
      </c>
      <c r="AI150" s="201">
        <f>IFERROR(N150+VLOOKUP($L150,'Voyage days'!$F$38:$H$89,3,FALSE),"")</f>
        <v>46148</v>
      </c>
      <c r="AJ150" s="200" t="str">
        <f t="shared" si="9"/>
        <v/>
      </c>
      <c r="AK150" s="201" t="str">
        <f>IFERROR($M150+VLOOKUP($L150,'Voyage days'!$F$94:$H$193,3,FALSE),"")</f>
        <v/>
      </c>
      <c r="AL150" s="201" t="str">
        <f>IFERROR($N150+VLOOKUP($L150,'Voyage days'!$F$94:$H$193,3,FALSE),"")</f>
        <v/>
      </c>
      <c r="AM150" s="200" t="str">
        <f t="shared" si="10"/>
        <v>01-02 Jun</v>
      </c>
      <c r="AN150" s="201">
        <f>IFERROR($M150+VLOOKUP($L150,'Voyage days'!$F$203:$H$256,3,FALSE),"")</f>
        <v>46174</v>
      </c>
      <c r="AO150" s="201">
        <f>IFERROR($N150+VLOOKUP($L150,'Voyage days'!$F$203:$H$256,3,FALSE),"")</f>
        <v>46175</v>
      </c>
      <c r="AP150" s="200" t="str">
        <f t="shared" si="11"/>
        <v>19-20 May</v>
      </c>
      <c r="AQ150" s="201">
        <f>IFERROR($M150+VLOOKUP($L150,'Voyage days'!$F$294:$H$377,3,FALSE),"")</f>
        <v>46161</v>
      </c>
      <c r="AR150" s="201">
        <f>IFERROR($N150+VLOOKUP($L150,'Voyage days'!$F$294:$H$377,3,FALSE),"")</f>
        <v>46162</v>
      </c>
      <c r="AS150" s="200" t="str">
        <f t="shared" si="12"/>
        <v>13-14 May</v>
      </c>
      <c r="AT150" s="201">
        <f>IFERROR($M150+VLOOKUP($L150,'Voyage days'!$F$382:$H$446,3,FALSE),"")</f>
        <v>46155</v>
      </c>
      <c r="AU150" s="201">
        <f>IFERROR($N150+VLOOKUP($L150,'Voyage days'!$F$382:$H$446,3,FALSE),"")</f>
        <v>46156</v>
      </c>
      <c r="AV150" s="200" t="str">
        <f t="shared" si="13"/>
        <v/>
      </c>
      <c r="AW150" s="201" t="str">
        <f>IFERROR($M150+VLOOKUP($L150,'Voyage days'!$F$483:$H$538,3,FALSE),"")</f>
        <v/>
      </c>
      <c r="AX150" s="201" t="str">
        <f>IFERROR($N150+VLOOKUP($L150,'Voyage days'!$F$483:$H$538,3,FALSE),"")</f>
        <v/>
      </c>
      <c r="AY150" s="200" t="str">
        <f t="shared" si="14"/>
        <v/>
      </c>
      <c r="AZ150" s="201" t="str">
        <f>IFERROR($M150+VLOOKUP($L150,'Voyage days'!$F$540:$H$613,3,FALSE),"")</f>
        <v/>
      </c>
      <c r="BA150" s="201" t="str">
        <f>IFERROR($N150+VLOOKUP($L150,'Voyage days'!$F$540:$H$613,3,FALSE),"")</f>
        <v/>
      </c>
      <c r="BB150" s="200" t="str">
        <f t="shared" si="15"/>
        <v/>
      </c>
      <c r="BC150" s="201" t="str">
        <f>IFERROR($M150+VLOOKUP($L150,'Voyage days'!$F$448:$H$479,3,FALSE),"")</f>
        <v/>
      </c>
      <c r="BD150" s="201" t="str">
        <f>IFERROR($N150+VLOOKUP($L150,'Voyage days'!$F$448:$H$479,3,FALSE),"")</f>
        <v/>
      </c>
      <c r="BE150" s="200" t="str">
        <f t="shared" si="16"/>
        <v/>
      </c>
      <c r="BF150" s="201" t="str">
        <f>IFERROR($M150+VLOOKUP($L150,'Voyage days'!$F$620:$H$646,3,FALSE),"")</f>
        <v/>
      </c>
      <c r="BG150" s="201" t="str">
        <f>IFERROR($N150+VLOOKUP($L150,'Voyage days'!$F$620:$H$646,3,FALSE),"")</f>
        <v/>
      </c>
      <c r="BH150" s="200" t="str">
        <f t="shared" si="17"/>
        <v/>
      </c>
      <c r="BI150" s="202" t="str">
        <f>IFERROR($M150+VLOOKUP($L150,'Voyage days'!$F$702:$H$727,3,FALSE),"")</f>
        <v/>
      </c>
      <c r="BJ150" s="200" t="str">
        <f t="shared" si="18"/>
        <v>04-05 Jun</v>
      </c>
      <c r="BK150" s="201">
        <f>IFERROR($M150+VLOOKUP($L150,'Voyage days'!$F$807:$H$878,3,FALSE),"")</f>
        <v>46177</v>
      </c>
      <c r="BL150" s="201">
        <f>IFERROR($N150+VLOOKUP($L150,'Voyage days'!$F$807:$H$878,3,FALSE),"")</f>
        <v>46178</v>
      </c>
      <c r="BM150" s="201">
        <f>IFERROR($N150+VLOOKUP($L150,'Voyage days'!$F$807:$K$878,6,FALSE),"")</f>
        <v>46150</v>
      </c>
      <c r="BN150" s="201" t="str">
        <f>IF(L150="loads AG", IFERROR($M150+VLOOKUP($L150,'Voyage days'!$M$38:$O$38,3,FALSE),""),"")</f>
        <v/>
      </c>
      <c r="BO150" s="201" t="str">
        <f>IF(L150="loads USG", IFERROR($M150+VLOOKUP($L150,'Voyage days'!$L$203:$N$203,3,FALSE),""),"")</f>
        <v/>
      </c>
      <c r="BP150" s="203"/>
    </row>
    <row r="151" spans="1:68" ht="15.75" customHeight="1" x14ac:dyDescent="0.25">
      <c r="A151" s="358" t="s">
        <v>346</v>
      </c>
      <c r="B151" s="119">
        <v>2026</v>
      </c>
      <c r="C151" s="76">
        <v>93000</v>
      </c>
      <c r="D151" s="178" t="s">
        <v>651</v>
      </c>
      <c r="E151" s="178"/>
      <c r="F151" s="163"/>
      <c r="G151" s="163"/>
      <c r="H151" s="163" t="s">
        <v>739</v>
      </c>
      <c r="I151" s="399" t="s">
        <v>1082</v>
      </c>
      <c r="J151" s="165" t="str">
        <f t="shared" ref="J151:J185" si="25">IF(W151="","NO AIS",IF((W151-M151-1)&gt;0,"Update",""))</f>
        <v/>
      </c>
      <c r="K151" s="166"/>
      <c r="L151" s="167" t="s">
        <v>1057</v>
      </c>
      <c r="M151" s="205">
        <v>46144</v>
      </c>
      <c r="N151" s="205">
        <v>46145</v>
      </c>
      <c r="O151" s="168"/>
      <c r="P151" s="169" t="s">
        <v>1083</v>
      </c>
      <c r="Q151" s="163"/>
      <c r="R151" s="167" t="s">
        <v>1084</v>
      </c>
      <c r="S151" s="120" t="s">
        <v>724</v>
      </c>
      <c r="T151" s="232">
        <v>46132</v>
      </c>
      <c r="U151" s="87" t="str">
        <f>IF(V151="","No AIS",VLOOKUP(V151,'Voyage days'!$A$3:$B$1480,2,FALSE))</f>
        <v>Cayman</v>
      </c>
      <c r="V151" s="88" t="str">
        <f>IF(VLOOKUP(A151,'1) Kpler'!$E$2:$P$1000,8, FALSE)="","",VLOOKUP(A151,'1) Kpler'!$E$2:$P$1000,8, FALSE))</f>
        <v>Bonaire Sint Eustatius</v>
      </c>
      <c r="W151" s="89">
        <f>IF(VLOOKUP(A151,'1) Kpler'!$E$2:$P$1000,9,FALSE)="","",VLOOKUP(A151,'1) Kpler'!$E$2:$P$1000,9,FALSE))</f>
        <v>46144.5</v>
      </c>
      <c r="X151" s="88" t="str">
        <f>VLOOKUP(A151,'1) Kpler'!$E$2:$I$1000,4,FALSE)</f>
        <v>loaded</v>
      </c>
      <c r="Y151" s="63">
        <f t="shared" si="0"/>
        <v>0</v>
      </c>
      <c r="Z151" s="63">
        <f t="shared" si="1"/>
        <v>0</v>
      </c>
      <c r="AA151" s="63">
        <f t="shared" si="2"/>
        <v>0</v>
      </c>
      <c r="AB151" s="63">
        <f t="shared" si="3"/>
        <v>0</v>
      </c>
      <c r="AC151" s="63">
        <f t="shared" si="4"/>
        <v>0</v>
      </c>
      <c r="AD151" s="63">
        <f t="shared" si="5"/>
        <v>0</v>
      </c>
      <c r="AE151" s="129">
        <f t="shared" si="6"/>
        <v>0</v>
      </c>
      <c r="AF151" s="130">
        <f t="shared" si="7"/>
        <v>0</v>
      </c>
      <c r="AG151" s="131"/>
      <c r="AH151" s="95"/>
      <c r="AI151" s="95"/>
      <c r="AJ151" s="131"/>
      <c r="AK151" s="95"/>
      <c r="AL151" s="95"/>
      <c r="AM151" s="131"/>
      <c r="AN151" s="95"/>
      <c r="AO151" s="95"/>
      <c r="AP151" s="131"/>
      <c r="AQ151" s="95"/>
      <c r="AR151" s="95"/>
      <c r="AS151" s="131"/>
      <c r="AT151" s="95"/>
      <c r="AU151" s="95"/>
      <c r="AV151" s="131"/>
      <c r="AW151" s="95"/>
      <c r="AX151" s="95"/>
      <c r="AY151" s="131"/>
      <c r="AZ151" s="95"/>
      <c r="BA151" s="95"/>
      <c r="BB151" s="131"/>
      <c r="BC151" s="95"/>
      <c r="BD151" s="95"/>
      <c r="BE151" s="131"/>
      <c r="BF151" s="95"/>
      <c r="BG151" s="95"/>
      <c r="BH151" s="131"/>
      <c r="BI151" s="96"/>
      <c r="BJ151" s="131"/>
      <c r="BK151" s="95"/>
      <c r="BL151" s="95"/>
      <c r="BM151" s="95"/>
      <c r="BN151" s="95"/>
      <c r="BO151" s="95"/>
    </row>
    <row r="152" spans="1:68" ht="15.75" customHeight="1" x14ac:dyDescent="0.25">
      <c r="A152" s="409" t="s">
        <v>344</v>
      </c>
      <c r="B152" s="176">
        <v>43110</v>
      </c>
      <c r="C152" s="134">
        <v>83000</v>
      </c>
      <c r="D152" s="143"/>
      <c r="E152" s="143"/>
      <c r="F152" s="136"/>
      <c r="G152" s="136"/>
      <c r="H152" s="136"/>
      <c r="I152" s="177" t="s">
        <v>1085</v>
      </c>
      <c r="J152" s="138" t="str">
        <f t="shared" si="25"/>
        <v>Update</v>
      </c>
      <c r="K152" s="139"/>
      <c r="L152" s="251" t="s">
        <v>1086</v>
      </c>
      <c r="M152" s="141">
        <v>46132</v>
      </c>
      <c r="N152" s="141">
        <v>46133</v>
      </c>
      <c r="O152" s="142"/>
      <c r="P152" s="140" t="s">
        <v>1087</v>
      </c>
      <c r="Q152" s="140"/>
      <c r="R152" s="275" t="s">
        <v>1088</v>
      </c>
      <c r="S152" s="279" t="s">
        <v>724</v>
      </c>
      <c r="T152" s="289">
        <v>46132</v>
      </c>
      <c r="U152" s="145" t="str">
        <f>IF(V152="","No AIS",VLOOKUP(V152,'Voyage days'!$A$3:$B$1480,2,FALSE))</f>
        <v>South China + 4</v>
      </c>
      <c r="V152" s="145" t="str">
        <f>IF(VLOOKUP(A152,'1) Kpler'!$E$2:$P$1000,8, FALSE)="","",VLOOKUP(A152,'1) Kpler'!$E$2:$P$1000,8, FALSE))</f>
        <v>Guangzhou</v>
      </c>
      <c r="W152" s="147">
        <f>IF(VLOOKUP(A152,'1) Kpler'!$E$2:$P$1000,9,FALSE)="","",VLOOKUP(A152,'1) Kpler'!$E$2:$P$1000,9,FALSE))</f>
        <v>46144.166666666664</v>
      </c>
      <c r="X152" s="146" t="str">
        <f>VLOOKUP(A152,'1) Kpler'!$E$2:$I$1000,4,FALSE)</f>
        <v>floatingStorage</v>
      </c>
      <c r="Y152" s="148" t="str">
        <f t="shared" si="0"/>
        <v/>
      </c>
      <c r="Z152" s="148" t="str">
        <f t="shared" si="1"/>
        <v/>
      </c>
      <c r="AA152" s="148" t="str">
        <f t="shared" si="2"/>
        <v/>
      </c>
      <c r="AB152" s="148" t="str">
        <f t="shared" si="3"/>
        <v/>
      </c>
      <c r="AC152" s="148" t="str">
        <f t="shared" si="4"/>
        <v>03-04 May</v>
      </c>
      <c r="AD152" s="148" t="str">
        <f t="shared" si="5"/>
        <v/>
      </c>
      <c r="AE152" s="149" t="str">
        <f t="shared" si="6"/>
        <v/>
      </c>
      <c r="AF152" s="150" t="str">
        <f t="shared" si="7"/>
        <v/>
      </c>
      <c r="AG152" s="93" t="str">
        <f t="shared" ref="AG152:AG267" si="26">IF(AH152="","",TEXT(AH152,"dd")&amp;"-"&amp;TEXT(AI152,"dd mmm"))</f>
        <v/>
      </c>
      <c r="AH152" s="94" t="str">
        <f>IFERROR($M152+VLOOKUP($L152,'Voyage days'!$F$38:$H$89,3,FALSE),"")</f>
        <v/>
      </c>
      <c r="AI152" s="94" t="str">
        <f>IFERROR(N152+VLOOKUP($L152,'Voyage days'!$F$38:$H$89,3,FALSE),"")</f>
        <v/>
      </c>
      <c r="AJ152" s="93" t="str">
        <f t="shared" ref="AJ152:AJ345" si="27">IF(AK152="","",TEXT(AK152,"dd")&amp;"-"&amp;TEXT(AL152,"dd mmm"))</f>
        <v/>
      </c>
      <c r="AK152" s="94" t="str">
        <f>IFERROR($M152+VLOOKUP($L152,'Voyage days'!$F$94:$H$193,3,FALSE),"")</f>
        <v/>
      </c>
      <c r="AL152" s="94" t="str">
        <f>IFERROR($N152+VLOOKUP($L152,'Voyage days'!$F$94:$H$193,3,FALSE),"")</f>
        <v/>
      </c>
      <c r="AM152" s="93" t="str">
        <f t="shared" ref="AM152:AM345" si="28">IF(AN152="","",TEXT(AN152,"dd")&amp;"-"&amp;TEXT(AO152,"dd mmm"))</f>
        <v/>
      </c>
      <c r="AN152" s="94" t="str">
        <f>IFERROR($M152+VLOOKUP($L152,'Voyage days'!$F$203:$H$256,3,FALSE),"")</f>
        <v/>
      </c>
      <c r="AO152" s="94" t="str">
        <f>IFERROR($N152+VLOOKUP($L152,'Voyage days'!$F$203:$H$256,3,FALSE),"")</f>
        <v/>
      </c>
      <c r="AP152" s="93" t="str">
        <f t="shared" ref="AP152:AP345" si="29">IF(AQ152="","",TEXT(AQ152,"dd")&amp;"-"&amp;TEXT(AR152,"dd mmm"))</f>
        <v/>
      </c>
      <c r="AQ152" s="94" t="str">
        <f>IFERROR($M152+VLOOKUP($L152,'Voyage days'!$F$294:$H$377,3,FALSE),"")</f>
        <v/>
      </c>
      <c r="AR152" s="94" t="str">
        <f>IFERROR($N152+VLOOKUP($L152,'Voyage days'!$F$294:$H$377,3,FALSE),"")</f>
        <v/>
      </c>
      <c r="AS152" s="93" t="str">
        <f t="shared" ref="AS152:AS345" si="30">IF(AT152="","",TEXT(AT152,"dd")&amp;"-"&amp;TEXT(AU152,"dd mmm"))</f>
        <v>03-04 May</v>
      </c>
      <c r="AT152" s="94">
        <f>IFERROR($M152+VLOOKUP($L152,'Voyage days'!$F$382:$H$446,3,FALSE),"")</f>
        <v>46145</v>
      </c>
      <c r="AU152" s="94">
        <f>IFERROR($N152+VLOOKUP($L152,'Voyage days'!$F$382:$H$446,3,FALSE),"")</f>
        <v>46146</v>
      </c>
      <c r="AV152" s="93" t="str">
        <f t="shared" ref="AV152:AV345" si="31">IF(AW152="","",TEXT(AW152,"dd")&amp;"-"&amp;TEXT(AX152,"dd mmm"))</f>
        <v/>
      </c>
      <c r="AW152" s="94" t="str">
        <f>IFERROR($M152+VLOOKUP($L152,'Voyage days'!$F$483:$H$538,3,FALSE),"")</f>
        <v/>
      </c>
      <c r="AX152" s="94" t="str">
        <f>IFERROR($N152+VLOOKUP($L152,'Voyage days'!$F$483:$H$538,3,FALSE),"")</f>
        <v/>
      </c>
      <c r="AY152" s="93" t="str">
        <f t="shared" ref="AY152:AY345" si="32">IF(AZ152="","",TEXT(AZ152,"dd")&amp;"-"&amp;TEXT(BA152,"dd mmm"))</f>
        <v/>
      </c>
      <c r="AZ152" s="94" t="str">
        <f>IFERROR($M152+VLOOKUP($L152,'Voyage days'!$F$540:$H$613,3,FALSE),"")</f>
        <v/>
      </c>
      <c r="BA152" s="94" t="str">
        <f>IFERROR($N152+VLOOKUP($L152,'Voyage days'!$F$540:$H$613,3,FALSE),"")</f>
        <v/>
      </c>
      <c r="BB152" s="93" t="str">
        <f t="shared" ref="BB152:BB345" si="33">IF(BC152="","",TEXT(BC152,"dd")&amp;"-"&amp;TEXT(BD152,"dd mmm"))</f>
        <v/>
      </c>
      <c r="BC152" s="94" t="str">
        <f>IFERROR($M152+VLOOKUP($L152,'Voyage days'!$F$448:$H$479,3,FALSE),"")</f>
        <v/>
      </c>
      <c r="BD152" s="94" t="str">
        <f>IFERROR($N152+VLOOKUP($L152,'Voyage days'!$F$448:$H$479,3,FALSE),"")</f>
        <v/>
      </c>
      <c r="BE152" s="93" t="str">
        <f t="shared" ref="BE152:BE345" si="34">IF(BF152="","",TEXT(BF152,"dd")&amp;"-"&amp;TEXT(BG152,"dd mmm"))</f>
        <v/>
      </c>
      <c r="BF152" s="95" t="str">
        <f>IFERROR($M152+VLOOKUP($L152,'Voyage days'!$F$620:$H$646,3,FALSE),"")</f>
        <v/>
      </c>
      <c r="BG152" s="95" t="str">
        <f>IFERROR($N152+VLOOKUP($L152,'Voyage days'!$F$620:$H$646,3,FALSE),"")</f>
        <v/>
      </c>
      <c r="BH152" s="93" t="str">
        <f t="shared" ref="BH152:BH345" si="35">IF(BI152="","",TEXT(BI152,"dd")&amp;"-"&amp;TEXT(BL152,"dd mmm"))</f>
        <v/>
      </c>
      <c r="BI152" s="96" t="str">
        <f>IFERROR($M152+VLOOKUP($L152,'Voyage days'!$F$702:$H$727,3,FALSE),"")</f>
        <v/>
      </c>
      <c r="BJ152" s="93" t="str">
        <f t="shared" ref="BJ152:BJ345" si="36">IF(BK152="","",TEXT(BK152,"dd")&amp;"-"&amp;TEXT(BL152,"dd mmm"))</f>
        <v/>
      </c>
      <c r="BK152" s="95" t="str">
        <f>IFERROR($M152+VLOOKUP($L152,'Voyage days'!$F$807:$H$878,3,FALSE),"")</f>
        <v/>
      </c>
      <c r="BL152" s="95" t="str">
        <f>IFERROR($N152+VLOOKUP($L152,'Voyage days'!$F$807:$H$878,3,FALSE),"")</f>
        <v/>
      </c>
      <c r="BM152" s="95" t="str">
        <f>IFERROR($N152+VLOOKUP($L152,'Voyage days'!$F$807:$K$878,6,FALSE),"")</f>
        <v/>
      </c>
      <c r="BN152" s="94" t="str">
        <f>IF(L152="loads AG", IFERROR($M152+VLOOKUP($L152,'Voyage days'!$M$38:$O$38,3,FALSE),""),"")</f>
        <v/>
      </c>
      <c r="BO152" s="94" t="str">
        <f>IF(L152="loads USG", IFERROR($M152+VLOOKUP($L152,'Voyage days'!$L$203:$N$203,3,FALSE),""),"")</f>
        <v/>
      </c>
      <c r="BP152" s="248"/>
    </row>
    <row r="153" spans="1:68" ht="15.75" customHeight="1" x14ac:dyDescent="0.25">
      <c r="A153" s="218" t="s">
        <v>526</v>
      </c>
      <c r="B153" s="75">
        <v>42538</v>
      </c>
      <c r="C153" s="76">
        <v>84000</v>
      </c>
      <c r="D153" s="120"/>
      <c r="E153" s="120" t="s">
        <v>757</v>
      </c>
      <c r="F153" s="121"/>
      <c r="G153" s="121"/>
      <c r="H153" s="121"/>
      <c r="I153" s="249" t="s">
        <v>1089</v>
      </c>
      <c r="J153" s="122" t="str">
        <f t="shared" si="25"/>
        <v/>
      </c>
      <c r="K153" s="123" t="s">
        <v>817</v>
      </c>
      <c r="L153" s="124" t="s">
        <v>909</v>
      </c>
      <c r="M153" s="189">
        <v>46157</v>
      </c>
      <c r="N153" s="189">
        <v>46158</v>
      </c>
      <c r="O153" s="206"/>
      <c r="P153" s="121" t="s">
        <v>1090</v>
      </c>
      <c r="Q153" s="124"/>
      <c r="R153" s="124" t="s">
        <v>1091</v>
      </c>
      <c r="S153" s="77" t="s">
        <v>724</v>
      </c>
      <c r="T153" s="410">
        <v>46132</v>
      </c>
      <c r="U153" s="87" t="str">
        <f>IF(V153="","No AIS",VLOOKUP(V153,'Voyage days'!$A$3:$B$1480,2,FALSE))</f>
        <v>Singapore</v>
      </c>
      <c r="V153" s="87" t="str">
        <f>IF(VLOOKUP(A153,'1) Kpler'!$E$2:$P$1000,8, FALSE)="","",VLOOKUP(A153,'1) Kpler'!$E$2:$P$1000,8, FALSE))</f>
        <v>Singapore</v>
      </c>
      <c r="W153" s="128">
        <f>IF(VLOOKUP(A153,'1) Kpler'!$E$2:$P$1000,9,FALSE)="","",VLOOKUP(A153,'1) Kpler'!$E$2:$P$1000,9,FALSE))</f>
        <v>46157.75</v>
      </c>
      <c r="X153" s="87" t="str">
        <f>VLOOKUP(A153,'1) Kpler'!$E$2:$I$1000,4,FALSE)</f>
        <v>loaded</v>
      </c>
      <c r="Y153" s="219" t="str">
        <f t="shared" si="0"/>
        <v>30-31 May</v>
      </c>
      <c r="Z153" s="219" t="str">
        <f t="shared" si="1"/>
        <v>22-23 Jun</v>
      </c>
      <c r="AA153" s="219" t="str">
        <f t="shared" si="2"/>
        <v>23-24 Jun</v>
      </c>
      <c r="AB153" s="219" t="str">
        <f t="shared" si="3"/>
        <v>09-10 Jun</v>
      </c>
      <c r="AC153" s="219" t="str">
        <f t="shared" si="4"/>
        <v>17-18 Jun</v>
      </c>
      <c r="AD153" s="219" t="str">
        <f t="shared" si="5"/>
        <v>22-23 May</v>
      </c>
      <c r="AE153" s="220" t="str">
        <f t="shared" si="6"/>
        <v>25-26 May</v>
      </c>
      <c r="AF153" s="130" t="str">
        <f t="shared" si="7"/>
        <v>27-28 Jun</v>
      </c>
      <c r="AG153" s="131" t="str">
        <f t="shared" si="26"/>
        <v>30-31 May</v>
      </c>
      <c r="AH153" s="95">
        <f>IFERROR($M153+VLOOKUP($L153,'Voyage days'!$F$38:$H$89,3,FALSE),"")</f>
        <v>46172</v>
      </c>
      <c r="AI153" s="95">
        <f>IFERROR(N153+VLOOKUP($L153,'Voyage days'!$F$38:$H$89,3,FALSE),"")</f>
        <v>46173</v>
      </c>
      <c r="AJ153" s="131" t="str">
        <f t="shared" si="27"/>
        <v>22-23 Jun</v>
      </c>
      <c r="AK153" s="95">
        <f>IFERROR($M153+VLOOKUP($L153,'Voyage days'!$F$94:$H$193,3,FALSE),"")</f>
        <v>46195</v>
      </c>
      <c r="AL153" s="95">
        <f>IFERROR($N153+VLOOKUP($L153,'Voyage days'!$F$94:$H$193,3,FALSE),"")</f>
        <v>46196</v>
      </c>
      <c r="AM153" s="131" t="str">
        <f t="shared" si="28"/>
        <v>23-24 Jun</v>
      </c>
      <c r="AN153" s="95">
        <f>IFERROR($M153+VLOOKUP($L153,'Voyage days'!$F$203:$H$256,3,FALSE),"")</f>
        <v>46196</v>
      </c>
      <c r="AO153" s="95">
        <f>IFERROR($N153+VLOOKUP($L153,'Voyage days'!$F$203:$H$256,3,FALSE),"")</f>
        <v>46197</v>
      </c>
      <c r="AP153" s="131" t="str">
        <f t="shared" si="29"/>
        <v>09-10 Jun</v>
      </c>
      <c r="AQ153" s="95">
        <f>IFERROR($M153+VLOOKUP($L153,'Voyage days'!$F$294:$H$377,3,FALSE),"")</f>
        <v>46182</v>
      </c>
      <c r="AR153" s="95">
        <f>IFERROR($N153+VLOOKUP($L153,'Voyage days'!$F$294:$H$377,3,FALSE),"")</f>
        <v>46183</v>
      </c>
      <c r="AS153" s="131" t="str">
        <f t="shared" si="30"/>
        <v>17-18 Jun</v>
      </c>
      <c r="AT153" s="95">
        <f>IFERROR($M153+VLOOKUP($L153,'Voyage days'!$F$382:$H$446,3,FALSE),"")</f>
        <v>46190</v>
      </c>
      <c r="AU153" s="95">
        <f>IFERROR($N153+VLOOKUP($L153,'Voyage days'!$F$382:$H$446,3,FALSE),"")</f>
        <v>46191</v>
      </c>
      <c r="AV153" s="131" t="str">
        <f t="shared" si="31"/>
        <v>31-01 Jun</v>
      </c>
      <c r="AW153" s="95">
        <f>IFERROR($M153+VLOOKUP($L153,'Voyage days'!$F$483:$H$538,3,FALSE),"")</f>
        <v>46173</v>
      </c>
      <c r="AX153" s="95">
        <f>IFERROR($N153+VLOOKUP($L153,'Voyage days'!$F$483:$H$538,3,FALSE),"")</f>
        <v>46174</v>
      </c>
      <c r="AY153" s="131" t="str">
        <f t="shared" si="32"/>
        <v>25-26 May</v>
      </c>
      <c r="AZ153" s="95">
        <f>IFERROR($M153+VLOOKUP($L153,'Voyage days'!$F$540:$H$613,3,FALSE),"")</f>
        <v>46167</v>
      </c>
      <c r="BA153" s="95">
        <f>IFERROR($N153+VLOOKUP($L153,'Voyage days'!$F$540:$H$613,3,FALSE),"")</f>
        <v>46168</v>
      </c>
      <c r="BB153" s="131" t="str">
        <f t="shared" si="33"/>
        <v>22-23 May</v>
      </c>
      <c r="BC153" s="95">
        <f>IFERROR($M153+VLOOKUP($L153,'Voyage days'!$F$448:$H$479,3,FALSE),"")</f>
        <v>46164</v>
      </c>
      <c r="BD153" s="95">
        <f>IFERROR($N153+VLOOKUP($L153,'Voyage days'!$F$448:$H$479,3,FALSE),"")</f>
        <v>46165</v>
      </c>
      <c r="BE153" s="131" t="str">
        <f t="shared" si="34"/>
        <v/>
      </c>
      <c r="BF153" s="95" t="str">
        <f>IFERROR($M153+VLOOKUP($L153,'Voyage days'!$F$620:$H$646,3,FALSE),"")</f>
        <v/>
      </c>
      <c r="BG153" s="95" t="str">
        <f>IFERROR($N153+VLOOKUP($L153,'Voyage days'!$F$620:$H$646,3,FALSE),"")</f>
        <v/>
      </c>
      <c r="BH153" s="131" t="str">
        <f t="shared" si="35"/>
        <v>30-28 Jun</v>
      </c>
      <c r="BI153" s="96">
        <f>IFERROR($M153+VLOOKUP($L153,'Voyage days'!$F$702:$H$727,3,FALSE),"")</f>
        <v>46172</v>
      </c>
      <c r="BJ153" s="131" t="str">
        <f t="shared" si="36"/>
        <v>27-28 Jun</v>
      </c>
      <c r="BK153" s="95">
        <f>IFERROR($M153+VLOOKUP($L153,'Voyage days'!$F$807:$H$878,3,FALSE),"")</f>
        <v>46200</v>
      </c>
      <c r="BL153" s="95">
        <f>IFERROR($N153+VLOOKUP($L153,'Voyage days'!$F$807:$H$878,3,FALSE),"")</f>
        <v>46201</v>
      </c>
      <c r="BM153" s="95">
        <f>IFERROR($N153+VLOOKUP($L153,'Voyage days'!$F$807:$K$878,6,FALSE),"")</f>
        <v>46177</v>
      </c>
      <c r="BN153" s="95" t="str">
        <f>IF(L153="loads AG", IFERROR($M153+VLOOKUP($L153,'Voyage days'!$M$38:$O$38,3,FALSE),""),"")</f>
        <v/>
      </c>
      <c r="BO153" s="95" t="str">
        <f>IF(L153="loads USG", IFERROR($M153+VLOOKUP($L153,'Voyage days'!$L$203:$N$203,3,FALSE),""),"")</f>
        <v/>
      </c>
    </row>
    <row r="154" spans="1:68" ht="15.75" customHeight="1" x14ac:dyDescent="0.25">
      <c r="A154" s="53" t="s">
        <v>527</v>
      </c>
      <c r="B154" s="75">
        <v>42472</v>
      </c>
      <c r="C154" s="76">
        <v>84000</v>
      </c>
      <c r="D154" s="77"/>
      <c r="E154" s="77" t="s">
        <v>757</v>
      </c>
      <c r="F154" s="78"/>
      <c r="G154" s="78"/>
      <c r="H154" s="78"/>
      <c r="I154" s="357" t="s">
        <v>1089</v>
      </c>
      <c r="J154" s="80" t="str">
        <f t="shared" si="25"/>
        <v/>
      </c>
      <c r="K154" s="81"/>
      <c r="L154" s="82" t="s">
        <v>718</v>
      </c>
      <c r="M154" s="83">
        <v>46137</v>
      </c>
      <c r="N154" s="83">
        <v>46138</v>
      </c>
      <c r="O154" s="206"/>
      <c r="P154" s="156" t="s">
        <v>1092</v>
      </c>
      <c r="Q154" s="85"/>
      <c r="R154" s="85" t="s">
        <v>1093</v>
      </c>
      <c r="S154" s="77" t="s">
        <v>724</v>
      </c>
      <c r="T154" s="410">
        <v>46132</v>
      </c>
      <c r="U154" s="87" t="str">
        <f>IF(V154="","No AIS",VLOOKUP(V154,'Voyage days'!$A$3:$B$1480,2,FALSE))</f>
        <v>USG</v>
      </c>
      <c r="V154" s="88" t="str">
        <f>IF(VLOOKUP(A154,'1) Kpler'!$E$2:$P$1000,8, FALSE)="","",VLOOKUP(A154,'1) Kpler'!$E$2:$P$1000,8, FALSE))</f>
        <v>Houston</v>
      </c>
      <c r="W154" s="89">
        <f>IF(VLOOKUP(A154,'1) Kpler'!$E$2:$P$1000,9,FALSE)="","",VLOOKUP(A154,'1) Kpler'!$E$2:$P$1000,9,FALSE))</f>
        <v>46136.041666666664</v>
      </c>
      <c r="X154" s="88" t="str">
        <f>VLOOKUP(A154,'1) Kpler'!$E$2:$I$1000,4,FALSE)</f>
        <v>ballast</v>
      </c>
      <c r="Y154" s="90" t="str">
        <f t="shared" si="0"/>
        <v/>
      </c>
      <c r="Z154" s="90" t="str">
        <f t="shared" si="1"/>
        <v>25-26 Apr</v>
      </c>
      <c r="AA154" s="90" t="str">
        <f t="shared" si="2"/>
        <v>25-26 Apr</v>
      </c>
      <c r="AB154" s="90" t="str">
        <f t="shared" si="3"/>
        <v/>
      </c>
      <c r="AC154" s="90" t="str">
        <f t="shared" si="4"/>
        <v>15-16 May</v>
      </c>
      <c r="AD154" s="90" t="str">
        <f t="shared" si="5"/>
        <v/>
      </c>
      <c r="AE154" s="91" t="str">
        <f t="shared" si="6"/>
        <v/>
      </c>
      <c r="AF154" s="92" t="str">
        <f t="shared" si="7"/>
        <v/>
      </c>
      <c r="AG154" s="93" t="str">
        <f t="shared" si="26"/>
        <v/>
      </c>
      <c r="AH154" s="94" t="str">
        <f>IFERROR($M154+VLOOKUP($L154,'Voyage days'!$F$38:$H$89,3,FALSE),"")</f>
        <v/>
      </c>
      <c r="AI154" s="94" t="str">
        <f>IFERROR(N154+VLOOKUP($L154,'Voyage days'!$F$38:$H$89,3,FALSE),"")</f>
        <v/>
      </c>
      <c r="AJ154" s="93" t="str">
        <f t="shared" si="27"/>
        <v>25-26 Apr</v>
      </c>
      <c r="AK154" s="94">
        <f>IFERROR($M154+VLOOKUP($L154,'Voyage days'!$F$94:$H$193,3,FALSE),"")</f>
        <v>46137</v>
      </c>
      <c r="AL154" s="94">
        <f>IFERROR($N154+VLOOKUP($L154,'Voyage days'!$F$94:$H$193,3,FALSE),"")</f>
        <v>46138</v>
      </c>
      <c r="AM154" s="93" t="str">
        <f t="shared" si="28"/>
        <v>25-26 Apr</v>
      </c>
      <c r="AN154" s="94">
        <f>IFERROR($M154+VLOOKUP($L154,'Voyage days'!$F$203:$H$256,3,FALSE),"")</f>
        <v>46137</v>
      </c>
      <c r="AO154" s="94">
        <f>IFERROR($N154+VLOOKUP($L154,'Voyage days'!$F$203:$H$256,3,FALSE),"")</f>
        <v>46138</v>
      </c>
      <c r="AP154" s="93" t="str">
        <f t="shared" si="29"/>
        <v/>
      </c>
      <c r="AQ154" s="94" t="str">
        <f>IFERROR($M154+VLOOKUP($L154,'Voyage days'!$F$294:$H$377,3,FALSE),"")</f>
        <v/>
      </c>
      <c r="AR154" s="94" t="str">
        <f>IFERROR($N154+VLOOKUP($L154,'Voyage days'!$F$294:$H$377,3,FALSE),"")</f>
        <v/>
      </c>
      <c r="AS154" s="93" t="str">
        <f t="shared" si="30"/>
        <v>15-16 May</v>
      </c>
      <c r="AT154" s="94">
        <f>IFERROR($M154+VLOOKUP($L154,'Voyage days'!$F$382:$H$446,3,FALSE),"")</f>
        <v>46157</v>
      </c>
      <c r="AU154" s="94">
        <f>IFERROR($N154+VLOOKUP($L154,'Voyage days'!$F$382:$H$446,3,FALSE),"")</f>
        <v>46158</v>
      </c>
      <c r="AV154" s="93" t="str">
        <f t="shared" si="31"/>
        <v/>
      </c>
      <c r="AW154" s="94" t="str">
        <f>IFERROR($M154+VLOOKUP($L154,'Voyage days'!$F$483:$H$538,3,FALSE),"")</f>
        <v/>
      </c>
      <c r="AX154" s="94" t="str">
        <f>IFERROR($N154+VLOOKUP($L154,'Voyage days'!$F$483:$H$538,3,FALSE),"")</f>
        <v/>
      </c>
      <c r="AY154" s="93" t="str">
        <f t="shared" si="32"/>
        <v/>
      </c>
      <c r="AZ154" s="94" t="str">
        <f>IFERROR($M154+VLOOKUP($L154,'Voyage days'!$F$540:$H$613,3,FALSE),"")</f>
        <v/>
      </c>
      <c r="BA154" s="94" t="str">
        <f>IFERROR($N154+VLOOKUP($L154,'Voyage days'!$F$540:$H$613,3,FALSE),"")</f>
        <v/>
      </c>
      <c r="BB154" s="93" t="str">
        <f t="shared" si="33"/>
        <v/>
      </c>
      <c r="BC154" s="94" t="str">
        <f>IFERROR($M154+VLOOKUP($L154,'Voyage days'!$F$448:$H$479,3,FALSE),"")</f>
        <v/>
      </c>
      <c r="BD154" s="94" t="str">
        <f>IFERROR($N154+VLOOKUP($L154,'Voyage days'!$F$448:$H$479,3,FALSE),"")</f>
        <v/>
      </c>
      <c r="BE154" s="93" t="str">
        <f t="shared" si="34"/>
        <v/>
      </c>
      <c r="BF154" s="95" t="str">
        <f>IFERROR($M154+VLOOKUP($L154,'Voyage days'!$F$620:$H$646,3,FALSE),"")</f>
        <v/>
      </c>
      <c r="BG154" s="95" t="str">
        <f>IFERROR($N154+VLOOKUP($L154,'Voyage days'!$F$620:$H$646,3,FALSE),"")</f>
        <v/>
      </c>
      <c r="BH154" s="93" t="str">
        <f t="shared" si="35"/>
        <v/>
      </c>
      <c r="BI154" s="96" t="str">
        <f>IFERROR($M154+VLOOKUP($L154,'Voyage days'!$F$702:$H$727,3,FALSE),"")</f>
        <v/>
      </c>
      <c r="BJ154" s="93" t="str">
        <f t="shared" si="36"/>
        <v/>
      </c>
      <c r="BK154" s="95" t="str">
        <f>IFERROR($M154+VLOOKUP($L154,'Voyage days'!$F$807:$H$878,3,FALSE),"")</f>
        <v/>
      </c>
      <c r="BL154" s="95" t="str">
        <f>IFERROR($N154+VLOOKUP($L154,'Voyage days'!$F$807:$H$878,3,FALSE),"")</f>
        <v/>
      </c>
      <c r="BM154" s="95" t="str">
        <f>IFERROR($N154+VLOOKUP($L154,'Voyage days'!$F$807:$K$878,6,FALSE),"")</f>
        <v/>
      </c>
      <c r="BN154" s="94" t="str">
        <f>IF(L154="loads AG", IFERROR($M154+VLOOKUP($L154,'Voyage days'!$M$38:$O$38,3,FALSE),""),"")</f>
        <v/>
      </c>
      <c r="BO154" s="94">
        <f>IF(L154="loads USG", IFERROR($M154+VLOOKUP($L154,'Voyage days'!$L$203:$N$203,3,FALSE),""),"")</f>
        <v>46169</v>
      </c>
    </row>
    <row r="155" spans="1:68" ht="15.75" customHeight="1" x14ac:dyDescent="0.25">
      <c r="A155" s="53" t="s">
        <v>530</v>
      </c>
      <c r="B155" s="75">
        <v>42439</v>
      </c>
      <c r="C155" s="76">
        <v>84000</v>
      </c>
      <c r="D155" s="77"/>
      <c r="E155" s="77" t="s">
        <v>757</v>
      </c>
      <c r="F155" s="78"/>
      <c r="G155" s="78"/>
      <c r="H155" s="78"/>
      <c r="I155" s="357" t="s">
        <v>1089</v>
      </c>
      <c r="J155" s="80" t="str">
        <f t="shared" si="25"/>
        <v/>
      </c>
      <c r="K155" s="81" t="s">
        <v>817</v>
      </c>
      <c r="L155" s="82" t="s">
        <v>822</v>
      </c>
      <c r="M155" s="83">
        <v>46144</v>
      </c>
      <c r="N155" s="83">
        <v>46145</v>
      </c>
      <c r="O155" s="84"/>
      <c r="P155" s="82" t="s">
        <v>1094</v>
      </c>
      <c r="Q155" s="82"/>
      <c r="R155" s="124" t="s">
        <v>1095</v>
      </c>
      <c r="S155" s="77" t="s">
        <v>724</v>
      </c>
      <c r="T155" s="410">
        <v>46132</v>
      </c>
      <c r="U155" s="87" t="str">
        <f>IF(V155="","No AIS",VLOOKUP(V155,'Voyage days'!$A$3:$B$1480,2,FALSE))</f>
        <v>Port Louis</v>
      </c>
      <c r="V155" s="88" t="str">
        <f>IF(VLOOKUP(A155,'1) Kpler'!$E$2:$P$1000,8, FALSE)="","",VLOOKUP(A155,'1) Kpler'!$E$2:$P$1000,8, FALSE))</f>
        <v>Port Louis</v>
      </c>
      <c r="W155" s="89">
        <f>IF(VLOOKUP(A155,'1) Kpler'!$E$2:$P$1000,9,FALSE)="","",VLOOKUP(A155,'1) Kpler'!$E$2:$P$1000,9,FALSE))</f>
        <v>46144.791666666664</v>
      </c>
      <c r="X155" s="88" t="str">
        <f>VLOOKUP(A155,'1) Kpler'!$E$2:$I$1000,4,FALSE)</f>
        <v>loaded</v>
      </c>
      <c r="Y155" s="63" t="str">
        <f t="shared" si="0"/>
        <v>28-29 May</v>
      </c>
      <c r="Z155" s="63" t="str">
        <f t="shared" si="1"/>
        <v>17-18 Jun</v>
      </c>
      <c r="AA155" s="63" t="str">
        <f t="shared" si="2"/>
        <v>25-26 Jun</v>
      </c>
      <c r="AB155" s="63" t="str">
        <f t="shared" si="3"/>
        <v>08-09 Jun</v>
      </c>
      <c r="AC155" s="63" t="str">
        <f t="shared" si="4"/>
        <v>16-17 Jun</v>
      </c>
      <c r="AD155" s="63" t="str">
        <f t="shared" si="5"/>
        <v>19-20 May</v>
      </c>
      <c r="AE155" s="129" t="str">
        <f t="shared" si="6"/>
        <v>22-23 May</v>
      </c>
      <c r="AF155" s="130" t="str">
        <f t="shared" si="7"/>
        <v>24-25 Jun</v>
      </c>
      <c r="AG155" s="93" t="str">
        <f t="shared" si="26"/>
        <v>28-29 May</v>
      </c>
      <c r="AH155" s="94">
        <f>IFERROR($M155+VLOOKUP($L155,'Voyage days'!$F$38:$H$89,3,FALSE),"")</f>
        <v>46170</v>
      </c>
      <c r="AI155" s="94">
        <f>IFERROR(N155+VLOOKUP($L155,'Voyage days'!$F$38:$H$89,3,FALSE),"")</f>
        <v>46171</v>
      </c>
      <c r="AJ155" s="93" t="str">
        <f t="shared" si="27"/>
        <v>17-18 Jun</v>
      </c>
      <c r="AK155" s="94">
        <f>IFERROR($M155+VLOOKUP($L155,'Voyage days'!$F$94:$H$193,3,FALSE),"")</f>
        <v>46190</v>
      </c>
      <c r="AL155" s="94">
        <f>IFERROR($N155+VLOOKUP($L155,'Voyage days'!$F$94:$H$193,3,FALSE),"")</f>
        <v>46191</v>
      </c>
      <c r="AM155" s="93" t="str">
        <f t="shared" si="28"/>
        <v>25-26 Jun</v>
      </c>
      <c r="AN155" s="94">
        <f>IFERROR($M155+VLOOKUP($L155,'Voyage days'!$F$203:$H$256,3,FALSE),"")</f>
        <v>46198</v>
      </c>
      <c r="AO155" s="94">
        <f>IFERROR($N155+VLOOKUP($L155,'Voyage days'!$F$203:$H$256,3,FALSE),"")</f>
        <v>46199</v>
      </c>
      <c r="AP155" s="93" t="str">
        <f t="shared" si="29"/>
        <v>08-09 Jun</v>
      </c>
      <c r="AQ155" s="94">
        <f>IFERROR($M155+VLOOKUP($L155,'Voyage days'!$F$294:$H$377,3,FALSE),"")</f>
        <v>46181</v>
      </c>
      <c r="AR155" s="94">
        <f>IFERROR($N155+VLOOKUP($L155,'Voyage days'!$F$294:$H$377,3,FALSE),"")</f>
        <v>46182</v>
      </c>
      <c r="AS155" s="93" t="str">
        <f t="shared" si="30"/>
        <v>16-17 Jun</v>
      </c>
      <c r="AT155" s="94">
        <f>IFERROR($M155+VLOOKUP($L155,'Voyage days'!$F$382:$H$446,3,FALSE),"")</f>
        <v>46189</v>
      </c>
      <c r="AU155" s="94">
        <f>IFERROR($N155+VLOOKUP($L155,'Voyage days'!$F$382:$H$446,3,FALSE),"")</f>
        <v>46190</v>
      </c>
      <c r="AV155" s="93" t="str">
        <f t="shared" si="31"/>
        <v>30-31 May</v>
      </c>
      <c r="AW155" s="94">
        <f>IFERROR($M155+VLOOKUP($L155,'Voyage days'!$F$483:$H$538,3,FALSE),"")</f>
        <v>46172</v>
      </c>
      <c r="AX155" s="94">
        <f>IFERROR($N155+VLOOKUP($L155,'Voyage days'!$F$483:$H$538,3,FALSE),"")</f>
        <v>46173</v>
      </c>
      <c r="AY155" s="93" t="str">
        <f t="shared" si="32"/>
        <v>22-23 May</v>
      </c>
      <c r="AZ155" s="94">
        <f>IFERROR($M155+VLOOKUP($L155,'Voyage days'!$F$540:$H$613,3,FALSE),"")</f>
        <v>46164</v>
      </c>
      <c r="BA155" s="94">
        <f>IFERROR($N155+VLOOKUP($L155,'Voyage days'!$F$540:$H$613,3,FALSE),"")</f>
        <v>46165</v>
      </c>
      <c r="BB155" s="93" t="str">
        <f t="shared" si="33"/>
        <v>19-20 May</v>
      </c>
      <c r="BC155" s="94">
        <f>IFERROR($M155+VLOOKUP($L155,'Voyage days'!$F$448:$H$479,3,FALSE),"")</f>
        <v>46161</v>
      </c>
      <c r="BD155" s="94">
        <f>IFERROR($N155+VLOOKUP($L155,'Voyage days'!$F$448:$H$479,3,FALSE),"")</f>
        <v>46162</v>
      </c>
      <c r="BE155" s="93" t="str">
        <f t="shared" si="34"/>
        <v/>
      </c>
      <c r="BF155" s="95" t="str">
        <f>IFERROR($M155+VLOOKUP($L155,'Voyage days'!$F$620:$H$646,3,FALSE),"")</f>
        <v/>
      </c>
      <c r="BG155" s="95" t="str">
        <f>IFERROR($N155+VLOOKUP($L155,'Voyage days'!$F$620:$H$646,3,FALSE),"")</f>
        <v/>
      </c>
      <c r="BH155" s="93" t="str">
        <f t="shared" si="35"/>
        <v/>
      </c>
      <c r="BI155" s="96" t="str">
        <f>IFERROR($M155+VLOOKUP($L155,'Voyage days'!$F$702:$H$727,3,FALSE),"")</f>
        <v/>
      </c>
      <c r="BJ155" s="93" t="str">
        <f t="shared" si="36"/>
        <v>24-25 Jun</v>
      </c>
      <c r="BK155" s="95">
        <f>IFERROR($M155+VLOOKUP($L155,'Voyage days'!$F$807:$H$878,3,FALSE),"")</f>
        <v>46197</v>
      </c>
      <c r="BL155" s="95">
        <f>IFERROR($N155+VLOOKUP($L155,'Voyage days'!$F$807:$H$878,3,FALSE),"")</f>
        <v>46198</v>
      </c>
      <c r="BM155" s="95">
        <f>IFERROR($N155+VLOOKUP($L155,'Voyage days'!$F$807:$K$878,6,FALSE),"")</f>
        <v>46145</v>
      </c>
      <c r="BN155" s="94" t="str">
        <f>IF(L155="loads AG", IFERROR($M155+VLOOKUP($L155,'Voyage days'!$M$38:$O$38,3,FALSE),""),"")</f>
        <v/>
      </c>
      <c r="BO155" s="94" t="str">
        <f>IF(L155="loads USG", IFERROR($M155+VLOOKUP($L155,'Voyage days'!$L$203:$N$203,3,FALSE),""),"")</f>
        <v/>
      </c>
    </row>
    <row r="156" spans="1:68" ht="15.75" customHeight="1" x14ac:dyDescent="0.25">
      <c r="A156" s="74" t="s">
        <v>531</v>
      </c>
      <c r="B156" s="75">
        <v>42571</v>
      </c>
      <c r="C156" s="76">
        <v>84000</v>
      </c>
      <c r="D156" s="77"/>
      <c r="E156" s="77" t="s">
        <v>757</v>
      </c>
      <c r="F156" s="78"/>
      <c r="G156" s="78"/>
      <c r="H156" s="78"/>
      <c r="I156" s="357" t="s">
        <v>1089</v>
      </c>
      <c r="J156" s="80" t="str">
        <f t="shared" si="25"/>
        <v>Update</v>
      </c>
      <c r="K156" s="81"/>
      <c r="L156" s="82" t="s">
        <v>718</v>
      </c>
      <c r="M156" s="83">
        <v>46132</v>
      </c>
      <c r="N156" s="83">
        <v>46133</v>
      </c>
      <c r="O156" s="206"/>
      <c r="P156" s="82" t="s">
        <v>1096</v>
      </c>
      <c r="Q156" s="82"/>
      <c r="R156" s="82" t="s">
        <v>1097</v>
      </c>
      <c r="S156" s="77" t="s">
        <v>724</v>
      </c>
      <c r="T156" s="410">
        <v>46132</v>
      </c>
      <c r="U156" s="87" t="str">
        <f>IF(V156="","No AIS",VLOOKUP(V156,'Voyage days'!$A$3:$B$1480,2,FALSE))</f>
        <v>India?/SG-JP?</v>
      </c>
      <c r="V156" s="88" t="str">
        <f>IF(VLOOKUP(A156,'1) Kpler'!$E$2:$P$1000,8, FALSE)="","",VLOOKUP(A156,'1) Kpler'!$E$2:$P$1000,8, FALSE))</f>
        <v>Eastern Asia</v>
      </c>
      <c r="W156" s="89">
        <f>IF(VLOOKUP(A156,'1) Kpler'!$E$2:$P$1000,9,FALSE)="","",VLOOKUP(A156,'1) Kpler'!$E$2:$P$1000,9,FALSE))</f>
        <v>46168.569444444445</v>
      </c>
      <c r="X156" s="88" t="str">
        <f>VLOOKUP(A156,'1) Kpler'!$E$2:$I$1000,4,FALSE)</f>
        <v>loaded</v>
      </c>
      <c r="Y156" s="90" t="str">
        <f t="shared" si="0"/>
        <v/>
      </c>
      <c r="Z156" s="90" t="str">
        <f t="shared" si="1"/>
        <v>20-21 Apr</v>
      </c>
      <c r="AA156" s="90" t="str">
        <f t="shared" si="2"/>
        <v>20-21 Apr</v>
      </c>
      <c r="AB156" s="90" t="str">
        <f t="shared" si="3"/>
        <v/>
      </c>
      <c r="AC156" s="90" t="str">
        <f t="shared" si="4"/>
        <v>10-11 May</v>
      </c>
      <c r="AD156" s="90" t="str">
        <f t="shared" si="5"/>
        <v/>
      </c>
      <c r="AE156" s="91" t="str">
        <f t="shared" si="6"/>
        <v/>
      </c>
      <c r="AF156" s="92" t="str">
        <f t="shared" si="7"/>
        <v/>
      </c>
      <c r="AG156" s="93" t="str">
        <f t="shared" si="26"/>
        <v/>
      </c>
      <c r="AH156" s="94" t="str">
        <f>IFERROR($M156+VLOOKUP($L156,'Voyage days'!$F$38:$H$89,3,FALSE),"")</f>
        <v/>
      </c>
      <c r="AI156" s="94" t="str">
        <f>IFERROR(N156+VLOOKUP($L156,'Voyage days'!$F$38:$H$89,3,FALSE),"")</f>
        <v/>
      </c>
      <c r="AJ156" s="93" t="str">
        <f t="shared" si="27"/>
        <v>20-21 Apr</v>
      </c>
      <c r="AK156" s="94">
        <f>IFERROR($M156+VLOOKUP($L156,'Voyage days'!$F$94:$H$193,3,FALSE),"")</f>
        <v>46132</v>
      </c>
      <c r="AL156" s="94">
        <f>IFERROR($N156+VLOOKUP($L156,'Voyage days'!$F$94:$H$193,3,FALSE),"")</f>
        <v>46133</v>
      </c>
      <c r="AM156" s="93" t="str">
        <f t="shared" si="28"/>
        <v>20-21 Apr</v>
      </c>
      <c r="AN156" s="94">
        <f>IFERROR($M156+VLOOKUP($L156,'Voyage days'!$F$203:$H$256,3,FALSE),"")</f>
        <v>46132</v>
      </c>
      <c r="AO156" s="94">
        <f>IFERROR($N156+VLOOKUP($L156,'Voyage days'!$F$203:$H$256,3,FALSE),"")</f>
        <v>46133</v>
      </c>
      <c r="AP156" s="93" t="str">
        <f t="shared" si="29"/>
        <v/>
      </c>
      <c r="AQ156" s="94" t="str">
        <f>IFERROR($M156+VLOOKUP($L156,'Voyage days'!$F$294:$H$377,3,FALSE),"")</f>
        <v/>
      </c>
      <c r="AR156" s="94" t="str">
        <f>IFERROR($N156+VLOOKUP($L156,'Voyage days'!$F$294:$H$377,3,FALSE),"")</f>
        <v/>
      </c>
      <c r="AS156" s="93" t="str">
        <f t="shared" si="30"/>
        <v>10-11 May</v>
      </c>
      <c r="AT156" s="94">
        <f>IFERROR($M156+VLOOKUP($L156,'Voyage days'!$F$382:$H$446,3,FALSE),"")</f>
        <v>46152</v>
      </c>
      <c r="AU156" s="94">
        <f>IFERROR($N156+VLOOKUP($L156,'Voyage days'!$F$382:$H$446,3,FALSE),"")</f>
        <v>46153</v>
      </c>
      <c r="AV156" s="93" t="str">
        <f t="shared" si="31"/>
        <v/>
      </c>
      <c r="AW156" s="94" t="str">
        <f>IFERROR($M156+VLOOKUP($L156,'Voyage days'!$F$483:$H$538,3,FALSE),"")</f>
        <v/>
      </c>
      <c r="AX156" s="94" t="str">
        <f>IFERROR($N156+VLOOKUP($L156,'Voyage days'!$F$483:$H$538,3,FALSE),"")</f>
        <v/>
      </c>
      <c r="AY156" s="93" t="str">
        <f t="shared" si="32"/>
        <v/>
      </c>
      <c r="AZ156" s="94" t="str">
        <f>IFERROR($M156+VLOOKUP($L156,'Voyage days'!$F$540:$H$613,3,FALSE),"")</f>
        <v/>
      </c>
      <c r="BA156" s="94" t="str">
        <f>IFERROR($N156+VLOOKUP($L156,'Voyage days'!$F$540:$H$613,3,FALSE),"")</f>
        <v/>
      </c>
      <c r="BB156" s="93" t="str">
        <f t="shared" si="33"/>
        <v/>
      </c>
      <c r="BC156" s="94" t="str">
        <f>IFERROR($M156+VLOOKUP($L156,'Voyage days'!$F$448:$H$479,3,FALSE),"")</f>
        <v/>
      </c>
      <c r="BD156" s="94" t="str">
        <f>IFERROR($N156+VLOOKUP($L156,'Voyage days'!$F$448:$H$479,3,FALSE),"")</f>
        <v/>
      </c>
      <c r="BE156" s="93" t="str">
        <f t="shared" si="34"/>
        <v/>
      </c>
      <c r="BF156" s="95" t="str">
        <f>IFERROR($M156+VLOOKUP($L156,'Voyage days'!$F$620:$H$646,3,FALSE),"")</f>
        <v/>
      </c>
      <c r="BG156" s="95" t="str">
        <f>IFERROR($N156+VLOOKUP($L156,'Voyage days'!$F$620:$H$646,3,FALSE),"")</f>
        <v/>
      </c>
      <c r="BH156" s="93" t="str">
        <f t="shared" si="35"/>
        <v/>
      </c>
      <c r="BI156" s="96" t="str">
        <f>IFERROR($M156+VLOOKUP($L156,'Voyage days'!$F$702:$H$727,3,FALSE),"")</f>
        <v/>
      </c>
      <c r="BJ156" s="93" t="str">
        <f t="shared" si="36"/>
        <v/>
      </c>
      <c r="BK156" s="95" t="str">
        <f>IFERROR($M156+VLOOKUP($L156,'Voyage days'!$F$807:$H$878,3,FALSE),"")</f>
        <v/>
      </c>
      <c r="BL156" s="95" t="str">
        <f>IFERROR($N156+VLOOKUP($L156,'Voyage days'!$F$807:$H$878,3,FALSE),"")</f>
        <v/>
      </c>
      <c r="BM156" s="95" t="str">
        <f>IFERROR($N156+VLOOKUP($L156,'Voyage days'!$F$807:$K$878,6,FALSE),"")</f>
        <v/>
      </c>
      <c r="BN156" s="94" t="str">
        <f>IF(L156="loads AG", IFERROR($M156+VLOOKUP($L156,'Voyage days'!$M$38:$O$38,3,FALSE),""),"")</f>
        <v/>
      </c>
      <c r="BO156" s="94">
        <f>IF(L156="loads USG", IFERROR($M156+VLOOKUP($L156,'Voyage days'!$L$203:$N$203,3,FALSE),""),"")</f>
        <v>46164</v>
      </c>
    </row>
    <row r="157" spans="1:68" ht="15" customHeight="1" x14ac:dyDescent="0.25">
      <c r="A157" s="53" t="s">
        <v>480</v>
      </c>
      <c r="B157" s="119">
        <v>2024</v>
      </c>
      <c r="C157" s="76">
        <v>93000</v>
      </c>
      <c r="D157" s="77"/>
      <c r="E157" s="77" t="s">
        <v>757</v>
      </c>
      <c r="F157" s="78"/>
      <c r="G157" s="78"/>
      <c r="H157" s="78" t="s">
        <v>713</v>
      </c>
      <c r="I157" s="357" t="s">
        <v>1089</v>
      </c>
      <c r="J157" s="80" t="str">
        <f t="shared" si="25"/>
        <v/>
      </c>
      <c r="K157" s="81"/>
      <c r="L157" s="82" t="s">
        <v>718</v>
      </c>
      <c r="M157" s="83">
        <v>46163</v>
      </c>
      <c r="N157" s="83">
        <v>46164</v>
      </c>
      <c r="O157" s="84"/>
      <c r="P157" s="85" t="s">
        <v>1098</v>
      </c>
      <c r="Q157" s="364"/>
      <c r="R157" s="82" t="s">
        <v>1099</v>
      </c>
      <c r="S157" s="77" t="s">
        <v>724</v>
      </c>
      <c r="T157" s="410">
        <v>46132</v>
      </c>
      <c r="U157" s="87" t="str">
        <f>IF(V157="","No AIS",VLOOKUP(V157,'Voyage days'!$A$3:$B$1480,2,FALSE))</f>
        <v>USG</v>
      </c>
      <c r="V157" s="88" t="str">
        <f>IF(VLOOKUP(A157,'1) Kpler'!$E$2:$P$1000,8, FALSE)="","",VLOOKUP(A157,'1) Kpler'!$E$2:$P$1000,8, FALSE))</f>
        <v>Houston</v>
      </c>
      <c r="W157" s="89">
        <f>IF(VLOOKUP(A157,'1) Kpler'!$E$2:$P$1000,9,FALSE)="","",VLOOKUP(A157,'1) Kpler'!$E$2:$P$1000,9,FALSE))</f>
        <v>46163.625</v>
      </c>
      <c r="X157" s="88" t="str">
        <f>VLOOKUP(A157,'1) Kpler'!$E$2:$I$1000,4,FALSE)</f>
        <v>ballast</v>
      </c>
      <c r="Y157" s="63" t="str">
        <f t="shared" si="0"/>
        <v/>
      </c>
      <c r="Z157" s="63" t="str">
        <f t="shared" si="1"/>
        <v>21-22 May</v>
      </c>
      <c r="AA157" s="63" t="str">
        <f t="shared" si="2"/>
        <v>21-22 May</v>
      </c>
      <c r="AB157" s="63" t="str">
        <f t="shared" si="3"/>
        <v/>
      </c>
      <c r="AC157" s="63" t="str">
        <f t="shared" si="4"/>
        <v>10-11 Jun</v>
      </c>
      <c r="AD157" s="63" t="str">
        <f t="shared" si="5"/>
        <v/>
      </c>
      <c r="AE157" s="129" t="str">
        <f t="shared" si="6"/>
        <v/>
      </c>
      <c r="AF157" s="130" t="str">
        <f t="shared" si="7"/>
        <v/>
      </c>
      <c r="AG157" s="93" t="str">
        <f t="shared" si="26"/>
        <v/>
      </c>
      <c r="AH157" s="94" t="str">
        <f>IFERROR($M157+VLOOKUP($L157,'Voyage days'!$F$38:$H$89,3,FALSE),"")</f>
        <v/>
      </c>
      <c r="AI157" s="94" t="str">
        <f>IFERROR(N157+VLOOKUP($L157,'Voyage days'!$F$38:$H$89,3,FALSE),"")</f>
        <v/>
      </c>
      <c r="AJ157" s="93" t="str">
        <f t="shared" si="27"/>
        <v>21-22 May</v>
      </c>
      <c r="AK157" s="94">
        <f>IFERROR($M157+VLOOKUP($L157,'Voyage days'!$F$94:$H$193,3,FALSE),"")</f>
        <v>46163</v>
      </c>
      <c r="AL157" s="94">
        <f>IFERROR($N157+VLOOKUP($L157,'Voyage days'!$F$94:$H$193,3,FALSE),"")</f>
        <v>46164</v>
      </c>
      <c r="AM157" s="93" t="str">
        <f t="shared" si="28"/>
        <v>21-22 May</v>
      </c>
      <c r="AN157" s="94">
        <f>IFERROR($M157+VLOOKUP($L157,'Voyage days'!$F$203:$H$256,3,FALSE),"")</f>
        <v>46163</v>
      </c>
      <c r="AO157" s="94">
        <f>IFERROR($N157+VLOOKUP($L157,'Voyage days'!$F$203:$H$256,3,FALSE),"")</f>
        <v>46164</v>
      </c>
      <c r="AP157" s="93" t="str">
        <f t="shared" si="29"/>
        <v/>
      </c>
      <c r="AQ157" s="94" t="str">
        <f>IFERROR($M157+VLOOKUP($L157,'Voyage days'!$F$294:$H$377,3,FALSE),"")</f>
        <v/>
      </c>
      <c r="AR157" s="94" t="str">
        <f>IFERROR($N157+VLOOKUP($L157,'Voyage days'!$F$294:$H$377,3,FALSE),"")</f>
        <v/>
      </c>
      <c r="AS157" s="93" t="str">
        <f t="shared" si="30"/>
        <v>10-11 Jun</v>
      </c>
      <c r="AT157" s="94">
        <f>IFERROR($M157+VLOOKUP($L157,'Voyage days'!$F$382:$H$446,3,FALSE),"")</f>
        <v>46183</v>
      </c>
      <c r="AU157" s="94">
        <f>IFERROR($N157+VLOOKUP($L157,'Voyage days'!$F$382:$H$446,3,FALSE),"")</f>
        <v>46184</v>
      </c>
      <c r="AV157" s="93" t="str">
        <f t="shared" si="31"/>
        <v/>
      </c>
      <c r="AW157" s="94" t="str">
        <f>IFERROR($M157+VLOOKUP($L157,'Voyage days'!$F$483:$H$538,3,FALSE),"")</f>
        <v/>
      </c>
      <c r="AX157" s="94" t="str">
        <f>IFERROR($N157+VLOOKUP($L157,'Voyage days'!$F$483:$H$538,3,FALSE),"")</f>
        <v/>
      </c>
      <c r="AY157" s="93" t="str">
        <f t="shared" si="32"/>
        <v/>
      </c>
      <c r="AZ157" s="94" t="str">
        <f>IFERROR($M157+VLOOKUP($L157,'Voyage days'!$F$540:$H$613,3,FALSE),"")</f>
        <v/>
      </c>
      <c r="BA157" s="94" t="str">
        <f>IFERROR($N157+VLOOKUP($L157,'Voyage days'!$F$540:$H$613,3,FALSE),"")</f>
        <v/>
      </c>
      <c r="BB157" s="93" t="str">
        <f t="shared" si="33"/>
        <v/>
      </c>
      <c r="BC157" s="94" t="str">
        <f>IFERROR($M157+VLOOKUP($L157,'Voyage days'!$F$448:$H$479,3,FALSE),"")</f>
        <v/>
      </c>
      <c r="BD157" s="94" t="str">
        <f>IFERROR($N157+VLOOKUP($L157,'Voyage days'!$F$448:$H$479,3,FALSE),"")</f>
        <v/>
      </c>
      <c r="BE157" s="93" t="str">
        <f t="shared" si="34"/>
        <v/>
      </c>
      <c r="BF157" s="95" t="str">
        <f>IFERROR($M157+VLOOKUP($L157,'Voyage days'!$F$620:$H$646,3,FALSE),"")</f>
        <v/>
      </c>
      <c r="BG157" s="95" t="str">
        <f>IFERROR($N157+VLOOKUP($L157,'Voyage days'!$F$620:$H$646,3,FALSE),"")</f>
        <v/>
      </c>
      <c r="BH157" s="93" t="str">
        <f t="shared" si="35"/>
        <v/>
      </c>
      <c r="BI157" s="96" t="str">
        <f>IFERROR($M157+VLOOKUP($L157,'Voyage days'!$F$702:$H$727,3,FALSE),"")</f>
        <v/>
      </c>
      <c r="BJ157" s="93" t="str">
        <f t="shared" si="36"/>
        <v/>
      </c>
      <c r="BK157" s="95" t="str">
        <f>IFERROR($M157+VLOOKUP($L157,'Voyage days'!$F$807:$H$878,3,FALSE),"")</f>
        <v/>
      </c>
      <c r="BL157" s="95" t="str">
        <f>IFERROR($N157+VLOOKUP($L157,'Voyage days'!$F$807:$H$878,3,FALSE),"")</f>
        <v/>
      </c>
      <c r="BM157" s="95" t="str">
        <f>IFERROR($N157+VLOOKUP($L157,'Voyage days'!$F$807:$K$878,6,FALSE),"")</f>
        <v/>
      </c>
      <c r="BN157" s="94" t="str">
        <f>IF(L157="loads AG", IFERROR($M157+VLOOKUP($L157,'Voyage days'!$M$38:$O$38,3,FALSE),""),"")</f>
        <v/>
      </c>
      <c r="BO157" s="94">
        <f>IF(L157="loads USG", IFERROR($M157+VLOOKUP($L157,'Voyage days'!$L$203:$N$203,3,FALSE),""),"")</f>
        <v>46195</v>
      </c>
    </row>
    <row r="158" spans="1:68" ht="15" customHeight="1" x14ac:dyDescent="0.25">
      <c r="A158" s="74" t="s">
        <v>483</v>
      </c>
      <c r="B158" s="119">
        <v>2023</v>
      </c>
      <c r="C158" s="76">
        <v>93000</v>
      </c>
      <c r="D158" s="77"/>
      <c r="E158" s="77" t="s">
        <v>757</v>
      </c>
      <c r="F158" s="78"/>
      <c r="G158" s="78"/>
      <c r="H158" s="78" t="s">
        <v>713</v>
      </c>
      <c r="I158" s="357" t="s">
        <v>1089</v>
      </c>
      <c r="J158" s="80" t="str">
        <f t="shared" si="25"/>
        <v/>
      </c>
      <c r="K158" s="81"/>
      <c r="L158" s="85" t="s">
        <v>718</v>
      </c>
      <c r="M158" s="222">
        <v>46137</v>
      </c>
      <c r="N158" s="125">
        <v>46138</v>
      </c>
      <c r="O158" s="206"/>
      <c r="P158" s="82" t="s">
        <v>1100</v>
      </c>
      <c r="Q158" s="82"/>
      <c r="R158" s="82" t="s">
        <v>1101</v>
      </c>
      <c r="S158" s="77" t="s">
        <v>724</v>
      </c>
      <c r="T158" s="410">
        <v>46132</v>
      </c>
      <c r="U158" s="87" t="str">
        <f>IF(V158="","No AIS",VLOOKUP(V158,'Voyage days'!$A$3:$B$1480,2,FALSE))</f>
        <v>USG</v>
      </c>
      <c r="V158" s="88" t="str">
        <f>IF(VLOOKUP(A158,'1) Kpler'!$E$2:$P$1000,8, FALSE)="","",VLOOKUP(A158,'1) Kpler'!$E$2:$P$1000,8, FALSE))</f>
        <v>Houston</v>
      </c>
      <c r="W158" s="89">
        <f>IF(VLOOKUP(A158,'1) Kpler'!$E$2:$P$1000,9,FALSE)="","",VLOOKUP(A158,'1) Kpler'!$E$2:$P$1000,9,FALSE))</f>
        <v>46135.75</v>
      </c>
      <c r="X158" s="88" t="str">
        <f>VLOOKUP(A158,'1) Kpler'!$E$2:$I$1000,4,FALSE)</f>
        <v>ballast</v>
      </c>
      <c r="Y158" s="90" t="str">
        <f t="shared" si="0"/>
        <v/>
      </c>
      <c r="Z158" s="90" t="str">
        <f t="shared" si="1"/>
        <v>25-26 Apr</v>
      </c>
      <c r="AA158" s="90" t="str">
        <f t="shared" si="2"/>
        <v>25-26 Apr</v>
      </c>
      <c r="AB158" s="90" t="str">
        <f t="shared" si="3"/>
        <v/>
      </c>
      <c r="AC158" s="90" t="str">
        <f t="shared" si="4"/>
        <v>15-16 May</v>
      </c>
      <c r="AD158" s="90" t="str">
        <f t="shared" si="5"/>
        <v/>
      </c>
      <c r="AE158" s="91" t="str">
        <f t="shared" si="6"/>
        <v/>
      </c>
      <c r="AF158" s="92" t="str">
        <f t="shared" si="7"/>
        <v/>
      </c>
      <c r="AG158" s="93" t="str">
        <f t="shared" si="26"/>
        <v/>
      </c>
      <c r="AH158" s="94" t="str">
        <f>IFERROR($M158+VLOOKUP($L158,'Voyage days'!$F$38:$H$89,3,FALSE),"")</f>
        <v/>
      </c>
      <c r="AI158" s="94" t="str">
        <f>IFERROR(N158+VLOOKUP($L158,'Voyage days'!$F$38:$H$89,3,FALSE),"")</f>
        <v/>
      </c>
      <c r="AJ158" s="93" t="str">
        <f t="shared" si="27"/>
        <v>25-26 Apr</v>
      </c>
      <c r="AK158" s="94">
        <f>IFERROR($M158+VLOOKUP($L158,'Voyage days'!$F$94:$H$193,3,FALSE),"")</f>
        <v>46137</v>
      </c>
      <c r="AL158" s="94">
        <f>IFERROR($N158+VLOOKUP($L158,'Voyage days'!$F$94:$H$193,3,FALSE),"")</f>
        <v>46138</v>
      </c>
      <c r="AM158" s="93" t="str">
        <f t="shared" si="28"/>
        <v>25-26 Apr</v>
      </c>
      <c r="AN158" s="94">
        <f>IFERROR($M158+VLOOKUP($L158,'Voyage days'!$F$203:$H$256,3,FALSE),"")</f>
        <v>46137</v>
      </c>
      <c r="AO158" s="94">
        <f>IFERROR($N158+VLOOKUP($L158,'Voyage days'!$F$203:$H$256,3,FALSE),"")</f>
        <v>46138</v>
      </c>
      <c r="AP158" s="93" t="str">
        <f t="shared" si="29"/>
        <v/>
      </c>
      <c r="AQ158" s="94" t="str">
        <f>IFERROR($M158+VLOOKUP($L158,'Voyage days'!$F$294:$H$377,3,FALSE),"")</f>
        <v/>
      </c>
      <c r="AR158" s="94" t="str">
        <f>IFERROR($N158+VLOOKUP($L158,'Voyage days'!$F$294:$H$377,3,FALSE),"")</f>
        <v/>
      </c>
      <c r="AS158" s="93" t="str">
        <f t="shared" si="30"/>
        <v>15-16 May</v>
      </c>
      <c r="AT158" s="94">
        <f>IFERROR($M158+VLOOKUP($L158,'Voyage days'!$F$382:$H$446,3,FALSE),"")</f>
        <v>46157</v>
      </c>
      <c r="AU158" s="94">
        <f>IFERROR($N158+VLOOKUP($L158,'Voyage days'!$F$382:$H$446,3,FALSE),"")</f>
        <v>46158</v>
      </c>
      <c r="AV158" s="93" t="str">
        <f t="shared" si="31"/>
        <v/>
      </c>
      <c r="AW158" s="94" t="str">
        <f>IFERROR($M158+VLOOKUP($L158,'Voyage days'!$F$483:$H$538,3,FALSE),"")</f>
        <v/>
      </c>
      <c r="AX158" s="94" t="str">
        <f>IFERROR($N158+VLOOKUP($L158,'Voyage days'!$F$483:$H$538,3,FALSE),"")</f>
        <v/>
      </c>
      <c r="AY158" s="93" t="str">
        <f t="shared" si="32"/>
        <v/>
      </c>
      <c r="AZ158" s="94" t="str">
        <f>IFERROR($M158+VLOOKUP($L158,'Voyage days'!$F$540:$H$613,3,FALSE),"")</f>
        <v/>
      </c>
      <c r="BA158" s="94" t="str">
        <f>IFERROR($N158+VLOOKUP($L158,'Voyage days'!$F$540:$H$613,3,FALSE),"")</f>
        <v/>
      </c>
      <c r="BB158" s="93" t="str">
        <f t="shared" si="33"/>
        <v/>
      </c>
      <c r="BC158" s="94" t="str">
        <f>IFERROR($M158+VLOOKUP($L158,'Voyage days'!$F$448:$H$479,3,FALSE),"")</f>
        <v/>
      </c>
      <c r="BD158" s="94" t="str">
        <f>IFERROR($N158+VLOOKUP($L158,'Voyage days'!$F$448:$H$479,3,FALSE),"")</f>
        <v/>
      </c>
      <c r="BE158" s="93" t="str">
        <f t="shared" si="34"/>
        <v/>
      </c>
      <c r="BF158" s="95" t="str">
        <f>IFERROR($M158+VLOOKUP($L158,'Voyage days'!$F$620:$H$646,3,FALSE),"")</f>
        <v/>
      </c>
      <c r="BG158" s="95" t="str">
        <f>IFERROR($N158+VLOOKUP($L158,'Voyage days'!$F$620:$H$646,3,FALSE),"")</f>
        <v/>
      </c>
      <c r="BH158" s="93" t="str">
        <f t="shared" si="35"/>
        <v/>
      </c>
      <c r="BI158" s="96" t="str">
        <f>IFERROR($M158+VLOOKUP($L158,'Voyage days'!$F$702:$H$727,3,FALSE),"")</f>
        <v/>
      </c>
      <c r="BJ158" s="93" t="str">
        <f t="shared" si="36"/>
        <v/>
      </c>
      <c r="BK158" s="95" t="str">
        <f>IFERROR($M158+VLOOKUP($L158,'Voyage days'!$F$807:$H$878,3,FALSE),"")</f>
        <v/>
      </c>
      <c r="BL158" s="95" t="str">
        <f>IFERROR($N158+VLOOKUP($L158,'Voyage days'!$F$807:$H$878,3,FALSE),"")</f>
        <v/>
      </c>
      <c r="BM158" s="95" t="str">
        <f>IFERROR($N158+VLOOKUP($L158,'Voyage days'!$F$807:$K$878,6,FALSE),"")</f>
        <v/>
      </c>
      <c r="BN158" s="94" t="str">
        <f>IF(L158="loads AG", IFERROR($M158+VLOOKUP($L158,'Voyage days'!$M$38:$O$38,3,FALSE),""),"")</f>
        <v/>
      </c>
      <c r="BO158" s="94">
        <f>IF(L158="loads USG", IFERROR($M158+VLOOKUP($L158,'Voyage days'!$L$203:$N$203,3,FALSE),""),"")</f>
        <v>46169</v>
      </c>
    </row>
    <row r="159" spans="1:68" ht="15.75" customHeight="1" x14ac:dyDescent="0.25">
      <c r="A159" s="218" t="s">
        <v>436</v>
      </c>
      <c r="B159" s="75">
        <v>42644</v>
      </c>
      <c r="C159" s="151">
        <v>84000</v>
      </c>
      <c r="D159" s="120"/>
      <c r="E159" s="120"/>
      <c r="F159" s="121"/>
      <c r="G159" s="121"/>
      <c r="H159" s="121"/>
      <c r="I159" s="233" t="s">
        <v>1089</v>
      </c>
      <c r="J159" s="80" t="str">
        <f t="shared" si="25"/>
        <v/>
      </c>
      <c r="K159" s="81"/>
      <c r="L159" s="85" t="s">
        <v>863</v>
      </c>
      <c r="M159" s="222">
        <v>46172</v>
      </c>
      <c r="N159" s="222">
        <v>46173</v>
      </c>
      <c r="O159" s="126"/>
      <c r="P159" s="411" t="s">
        <v>1102</v>
      </c>
      <c r="Q159" s="124"/>
      <c r="R159" s="124" t="s">
        <v>1103</v>
      </c>
      <c r="S159" s="77" t="s">
        <v>724</v>
      </c>
      <c r="T159" s="410">
        <v>46132</v>
      </c>
      <c r="U159" s="87" t="str">
        <f>IF(V159="","No AIS",VLOOKUP(V159,'Voyage days'!$A$3:$B$1480,2,FALSE))</f>
        <v>Galle +2</v>
      </c>
      <c r="V159" s="87" t="str">
        <f>IF(VLOOKUP(A159,'1) Kpler'!$E$2:$P$1000,8, FALSE)="","",VLOOKUP(A159,'1) Kpler'!$E$2:$P$1000,8, FALSE))</f>
        <v>India</v>
      </c>
      <c r="W159" s="128">
        <f>IF(VLOOKUP(A159,'1) Kpler'!$E$2:$P$1000,9,FALSE)="","",VLOOKUP(A159,'1) Kpler'!$E$2:$P$1000,9,FALSE))</f>
        <v>46164.333333333336</v>
      </c>
      <c r="X159" s="87" t="str">
        <f>VLOOKUP(A159,'1) Kpler'!$E$2:$I$1000,4,FALSE)</f>
        <v>loaded</v>
      </c>
      <c r="Y159" s="234" t="str">
        <f t="shared" si="0"/>
        <v>08-09 Jun</v>
      </c>
      <c r="Z159" s="234" t="str">
        <f t="shared" si="1"/>
        <v/>
      </c>
      <c r="AA159" s="234" t="str">
        <f t="shared" si="2"/>
        <v>05-06 Jul</v>
      </c>
      <c r="AB159" s="234" t="str">
        <f t="shared" si="3"/>
        <v>20-21 Jun</v>
      </c>
      <c r="AC159" s="234" t="str">
        <f t="shared" si="4"/>
        <v>27-28 Jun</v>
      </c>
      <c r="AD159" s="234" t="str">
        <f t="shared" si="5"/>
        <v>04-05 Jun</v>
      </c>
      <c r="AE159" s="235" t="str">
        <f t="shared" si="6"/>
        <v/>
      </c>
      <c r="AF159" s="92" t="str">
        <f t="shared" si="7"/>
        <v>07-08 Jul</v>
      </c>
      <c r="AG159" s="131" t="str">
        <f t="shared" si="26"/>
        <v>08-09 Jun</v>
      </c>
      <c r="AH159" s="95">
        <f>IFERROR($M159+VLOOKUP($L159,'Voyage days'!$F$38:$H$89,3,FALSE),"")</f>
        <v>46181</v>
      </c>
      <c r="AI159" s="95">
        <f>IFERROR(N159+VLOOKUP($L159,'Voyage days'!$F$38:$H$89,3,FALSE),"")</f>
        <v>46182</v>
      </c>
      <c r="AJ159" s="131" t="str">
        <f t="shared" si="27"/>
        <v/>
      </c>
      <c r="AK159" s="95" t="str">
        <f>IFERROR($M159+VLOOKUP($L159,'Voyage days'!$F$94:$H$193,3,FALSE),"")</f>
        <v/>
      </c>
      <c r="AL159" s="95" t="str">
        <f>IFERROR($N159+VLOOKUP($L159,'Voyage days'!$F$94:$H$193,3,FALSE),"")</f>
        <v/>
      </c>
      <c r="AM159" s="131" t="str">
        <f t="shared" si="28"/>
        <v>05-06 Jul</v>
      </c>
      <c r="AN159" s="95">
        <f>IFERROR($M159+VLOOKUP($L159,'Voyage days'!$F$203:$H$256,3,FALSE),"")</f>
        <v>46208</v>
      </c>
      <c r="AO159" s="95">
        <f>IFERROR($N159+VLOOKUP($L159,'Voyage days'!$F$203:$H$256,3,FALSE),"")</f>
        <v>46209</v>
      </c>
      <c r="AP159" s="131" t="str">
        <f t="shared" si="29"/>
        <v>20-21 Jun</v>
      </c>
      <c r="AQ159" s="95">
        <f>IFERROR($M159+VLOOKUP($L159,'Voyage days'!$F$294:$H$377,3,FALSE),"")</f>
        <v>46193</v>
      </c>
      <c r="AR159" s="95">
        <f>IFERROR($N159+VLOOKUP($L159,'Voyage days'!$F$294:$H$377,3,FALSE),"")</f>
        <v>46194</v>
      </c>
      <c r="AS159" s="131" t="str">
        <f t="shared" si="30"/>
        <v>27-28 Jun</v>
      </c>
      <c r="AT159" s="95">
        <f>IFERROR($M159+VLOOKUP($L159,'Voyage days'!$F$382:$H$446,3,FALSE),"")</f>
        <v>46200</v>
      </c>
      <c r="AU159" s="95">
        <f>IFERROR($N159+VLOOKUP($L159,'Voyage days'!$F$382:$H$446,3,FALSE),"")</f>
        <v>46201</v>
      </c>
      <c r="AV159" s="131" t="str">
        <f t="shared" si="31"/>
        <v>30-31 May</v>
      </c>
      <c r="AW159" s="95">
        <f>IFERROR($M159+VLOOKUP($L159,'Voyage days'!$F$483:$H$538,3,FALSE),"")</f>
        <v>46172</v>
      </c>
      <c r="AX159" s="95">
        <f>IFERROR($N159+VLOOKUP($L159,'Voyage days'!$F$483:$H$538,3,FALSE),"")</f>
        <v>46173</v>
      </c>
      <c r="AY159" s="131" t="str">
        <f t="shared" si="32"/>
        <v/>
      </c>
      <c r="AZ159" s="95" t="str">
        <f>IFERROR($M159+VLOOKUP($L159,'Voyage days'!$F$540:$H$613,3,FALSE),"")</f>
        <v/>
      </c>
      <c r="BA159" s="95" t="str">
        <f>IFERROR($N159+VLOOKUP($L159,'Voyage days'!$F$540:$H$613,3,FALSE),"")</f>
        <v/>
      </c>
      <c r="BB159" s="131" t="str">
        <f t="shared" si="33"/>
        <v>04-05 Jun</v>
      </c>
      <c r="BC159" s="94">
        <f>IFERROR($M159+VLOOKUP($L159,'Voyage days'!$F$448:$H$479,3,FALSE),"")</f>
        <v>46177</v>
      </c>
      <c r="BD159" s="94">
        <f>IFERROR($N159+VLOOKUP($L159,'Voyage days'!$F$448:$H$479,3,FALSE),"")</f>
        <v>46178</v>
      </c>
      <c r="BE159" s="131" t="str">
        <f t="shared" si="34"/>
        <v/>
      </c>
      <c r="BF159" s="95" t="str">
        <f>IFERROR($M159+VLOOKUP($L159,'Voyage days'!$F$620:$H$646,3,FALSE),"")</f>
        <v/>
      </c>
      <c r="BG159" s="95" t="str">
        <f>IFERROR($N159+VLOOKUP($L159,'Voyage days'!$F$620:$H$646,3,FALSE),"")</f>
        <v/>
      </c>
      <c r="BH159" s="131" t="str">
        <f t="shared" si="35"/>
        <v/>
      </c>
      <c r="BI159" s="96" t="str">
        <f>IFERROR($M159+VLOOKUP($L159,'Voyage days'!$F$702:$H$727,3,FALSE),"")</f>
        <v/>
      </c>
      <c r="BJ159" s="131" t="str">
        <f t="shared" si="36"/>
        <v>07-08 Jul</v>
      </c>
      <c r="BK159" s="95">
        <f>IFERROR($M159+VLOOKUP($L159,'Voyage days'!$F$807:$H$878,3,FALSE),"")</f>
        <v>46210</v>
      </c>
      <c r="BL159" s="95">
        <f>IFERROR($N159+VLOOKUP($L159,'Voyage days'!$F$807:$H$878,3,FALSE),"")</f>
        <v>46211</v>
      </c>
      <c r="BM159" s="95">
        <f>IFERROR($N159+VLOOKUP($L159,'Voyage days'!$F$807:$K$878,6,FALSE),"")</f>
        <v>46185</v>
      </c>
      <c r="BN159" s="94" t="str">
        <f>IF(L159="loads AG", IFERROR($M159+VLOOKUP($L159,'Voyage days'!$M$38:$O$38,3,FALSE),""),"")</f>
        <v/>
      </c>
      <c r="BO159" s="94" t="str">
        <f>IF(L159="loads USG", IFERROR($M159+VLOOKUP($L159,'Voyage days'!$L$203:$N$203,3,FALSE),""),"")</f>
        <v/>
      </c>
    </row>
    <row r="160" spans="1:68" ht="15" customHeight="1" x14ac:dyDescent="0.25">
      <c r="A160" s="412" t="s">
        <v>589</v>
      </c>
      <c r="B160" s="75">
        <v>42436</v>
      </c>
      <c r="C160" s="76">
        <v>84000</v>
      </c>
      <c r="D160" s="77"/>
      <c r="E160" s="77"/>
      <c r="F160" s="78"/>
      <c r="G160" s="78"/>
      <c r="H160" s="78"/>
      <c r="I160" s="357" t="s">
        <v>1089</v>
      </c>
      <c r="J160" s="80" t="str">
        <f t="shared" si="25"/>
        <v>Update</v>
      </c>
      <c r="K160" s="81"/>
      <c r="L160" s="82" t="s">
        <v>1086</v>
      </c>
      <c r="M160" s="222">
        <v>46132</v>
      </c>
      <c r="N160" s="125">
        <v>46133</v>
      </c>
      <c r="O160" s="84"/>
      <c r="P160" s="82" t="s">
        <v>1104</v>
      </c>
      <c r="Q160" s="82"/>
      <c r="R160" s="82" t="s">
        <v>1105</v>
      </c>
      <c r="S160" s="77" t="s">
        <v>724</v>
      </c>
      <c r="T160" s="410">
        <v>46132</v>
      </c>
      <c r="U160" s="87" t="str">
        <f>IF(V160="","No AIS",VLOOKUP(V160,'Voyage days'!$A$3:$B$1480,2,FALSE))</f>
        <v>East China + 4</v>
      </c>
      <c r="V160" s="88" t="str">
        <f>IF(VLOOKUP(A160,'1) Kpler'!$E$2:$P$1000,8, FALSE)="","",VLOOKUP(A160,'1) Kpler'!$E$2:$P$1000,8, FALSE))</f>
        <v>Zhangjiagang</v>
      </c>
      <c r="W160" s="89">
        <f>IF(VLOOKUP(A160,'1) Kpler'!$E$2:$P$1000,9,FALSE)="","",VLOOKUP(A160,'1) Kpler'!$E$2:$P$1000,9,FALSE))</f>
        <v>46141.5</v>
      </c>
      <c r="X160" s="88" t="str">
        <f>VLOOKUP(A160,'1) Kpler'!$E$2:$I$1000,4,FALSE)</f>
        <v>floatingStorage</v>
      </c>
      <c r="Y160" s="90" t="str">
        <f t="shared" si="0"/>
        <v/>
      </c>
      <c r="Z160" s="90" t="str">
        <f t="shared" si="1"/>
        <v/>
      </c>
      <c r="AA160" s="90" t="str">
        <f t="shared" si="2"/>
        <v/>
      </c>
      <c r="AB160" s="90" t="str">
        <f t="shared" si="3"/>
        <v/>
      </c>
      <c r="AC160" s="90" t="str">
        <f t="shared" si="4"/>
        <v>03-04 May</v>
      </c>
      <c r="AD160" s="90" t="str">
        <f t="shared" si="5"/>
        <v/>
      </c>
      <c r="AE160" s="91" t="str">
        <f t="shared" si="6"/>
        <v/>
      </c>
      <c r="AF160" s="92" t="str">
        <f t="shared" si="7"/>
        <v/>
      </c>
      <c r="AG160" s="93" t="str">
        <f t="shared" si="26"/>
        <v/>
      </c>
      <c r="AH160" s="94" t="str">
        <f>IFERROR($M160+VLOOKUP($L160,'Voyage days'!$F$38:$H$89,3,FALSE),"")</f>
        <v/>
      </c>
      <c r="AI160" s="94" t="str">
        <f>IFERROR(N160+VLOOKUP($L160,'Voyage days'!$F$38:$H$89,3,FALSE),"")</f>
        <v/>
      </c>
      <c r="AJ160" s="93" t="str">
        <f t="shared" si="27"/>
        <v/>
      </c>
      <c r="AK160" s="94" t="str">
        <f>IFERROR($M160+VLOOKUP($L160,'Voyage days'!$F$94:$H$193,3,FALSE),"")</f>
        <v/>
      </c>
      <c r="AL160" s="94" t="str">
        <f>IFERROR($N160+VLOOKUP($L160,'Voyage days'!$F$94:$H$193,3,FALSE),"")</f>
        <v/>
      </c>
      <c r="AM160" s="93" t="str">
        <f t="shared" si="28"/>
        <v/>
      </c>
      <c r="AN160" s="94" t="str">
        <f>IFERROR($M160+VLOOKUP($L160,'Voyage days'!$F$203:$H$256,3,FALSE),"")</f>
        <v/>
      </c>
      <c r="AO160" s="94" t="str">
        <f>IFERROR($N160+VLOOKUP($L160,'Voyage days'!$F$203:$H$256,3,FALSE),"")</f>
        <v/>
      </c>
      <c r="AP160" s="93" t="str">
        <f t="shared" si="29"/>
        <v/>
      </c>
      <c r="AQ160" s="94" t="str">
        <f>IFERROR($M160+VLOOKUP($L160,'Voyage days'!$F$294:$H$377,3,FALSE),"")</f>
        <v/>
      </c>
      <c r="AR160" s="94" t="str">
        <f>IFERROR($N160+VLOOKUP($L160,'Voyage days'!$F$294:$H$377,3,FALSE),"")</f>
        <v/>
      </c>
      <c r="AS160" s="93" t="str">
        <f t="shared" si="30"/>
        <v>03-04 May</v>
      </c>
      <c r="AT160" s="94">
        <f>IFERROR($M160+VLOOKUP($L160,'Voyage days'!$F$382:$H$446,3,FALSE),"")</f>
        <v>46145</v>
      </c>
      <c r="AU160" s="94">
        <f>IFERROR($N160+VLOOKUP($L160,'Voyage days'!$F$382:$H$446,3,FALSE),"")</f>
        <v>46146</v>
      </c>
      <c r="AV160" s="93" t="str">
        <f t="shared" si="31"/>
        <v/>
      </c>
      <c r="AW160" s="94" t="str">
        <f>IFERROR($M160+VLOOKUP($L160,'Voyage days'!$F$483:$H$538,3,FALSE),"")</f>
        <v/>
      </c>
      <c r="AX160" s="94" t="str">
        <f>IFERROR($N160+VLOOKUP($L160,'Voyage days'!$F$483:$H$538,3,FALSE),"")</f>
        <v/>
      </c>
      <c r="AY160" s="93" t="str">
        <f t="shared" si="32"/>
        <v/>
      </c>
      <c r="AZ160" s="94" t="str">
        <f>IFERROR($M160+VLOOKUP($L160,'Voyage days'!$F$540:$H$613,3,FALSE),"")</f>
        <v/>
      </c>
      <c r="BA160" s="94" t="str">
        <f>IFERROR($N160+VLOOKUP($L160,'Voyage days'!$F$540:$H$613,3,FALSE),"")</f>
        <v/>
      </c>
      <c r="BB160" s="93" t="str">
        <f t="shared" si="33"/>
        <v/>
      </c>
      <c r="BC160" s="94" t="str">
        <f>IFERROR($M160+VLOOKUP($L160,'Voyage days'!$F$448:$H$479,3,FALSE),"")</f>
        <v/>
      </c>
      <c r="BD160" s="94" t="str">
        <f>IFERROR($N160+VLOOKUP($L160,'Voyage days'!$F$448:$H$479,3,FALSE),"")</f>
        <v/>
      </c>
      <c r="BE160" s="93" t="str">
        <f t="shared" si="34"/>
        <v/>
      </c>
      <c r="BF160" s="95" t="str">
        <f>IFERROR($M160+VLOOKUP($L160,'Voyage days'!$F$620:$H$646,3,FALSE),"")</f>
        <v/>
      </c>
      <c r="BG160" s="95" t="str">
        <f>IFERROR($N160+VLOOKUP($L160,'Voyage days'!$F$620:$H$646,3,FALSE),"")</f>
        <v/>
      </c>
      <c r="BH160" s="93" t="str">
        <f t="shared" si="35"/>
        <v/>
      </c>
      <c r="BI160" s="96" t="str">
        <f>IFERROR($M160+VLOOKUP($L160,'Voyage days'!$F$702:$H$727,3,FALSE),"")</f>
        <v/>
      </c>
      <c r="BJ160" s="93" t="str">
        <f t="shared" si="36"/>
        <v/>
      </c>
      <c r="BK160" s="95" t="str">
        <f>IFERROR($M160+VLOOKUP($L160,'Voyage days'!$F$807:$H$878,3,FALSE),"")</f>
        <v/>
      </c>
      <c r="BL160" s="95" t="str">
        <f>IFERROR($N160+VLOOKUP($L160,'Voyage days'!$F$807:$H$878,3,FALSE),"")</f>
        <v/>
      </c>
      <c r="BM160" s="95" t="str">
        <f>IFERROR($N160+VLOOKUP($L160,'Voyage days'!$F$807:$K$878,6,FALSE),"")</f>
        <v/>
      </c>
      <c r="BN160" s="94" t="str">
        <f>IF(L160="loads AG", IFERROR($M160+VLOOKUP($L160,'Voyage days'!$M$38:$O$38,3,FALSE),""),"")</f>
        <v/>
      </c>
      <c r="BO160" s="94" t="str">
        <f>IF(L160="loads USG", IFERROR($M160+VLOOKUP($L160,'Voyage days'!$L$203:$N$203,3,FALSE),""),"")</f>
        <v/>
      </c>
    </row>
    <row r="161" spans="1:68" ht="15" customHeight="1" x14ac:dyDescent="0.25">
      <c r="A161" s="132" t="s">
        <v>602</v>
      </c>
      <c r="B161" s="176">
        <v>42550</v>
      </c>
      <c r="C161" s="134">
        <v>84000</v>
      </c>
      <c r="D161" s="143"/>
      <c r="E161" s="143"/>
      <c r="F161" s="136"/>
      <c r="G161" s="136"/>
      <c r="H161" s="136"/>
      <c r="I161" s="413" t="s">
        <v>1089</v>
      </c>
      <c r="J161" s="138" t="str">
        <f t="shared" si="25"/>
        <v>Update</v>
      </c>
      <c r="K161" s="139"/>
      <c r="L161" s="140" t="s">
        <v>718</v>
      </c>
      <c r="M161" s="205">
        <v>46132</v>
      </c>
      <c r="N161" s="205">
        <v>46133</v>
      </c>
      <c r="O161" s="142"/>
      <c r="P161" s="136" t="s">
        <v>1106</v>
      </c>
      <c r="Q161" s="247"/>
      <c r="R161" s="140" t="s">
        <v>1107</v>
      </c>
      <c r="S161" s="143" t="s">
        <v>724</v>
      </c>
      <c r="T161" s="144">
        <v>46132</v>
      </c>
      <c r="U161" s="145" t="str">
        <f>IF(V161="","No AIS",VLOOKUP(V161,'Voyage days'!$A$3:$B$1480,2,FALSE))</f>
        <v>India?/SG-JP?</v>
      </c>
      <c r="V161" s="146" t="str">
        <f>IF(VLOOKUP(A161,'1) Kpler'!$E$2:$P$1000,8, FALSE)="","",VLOOKUP(A161,'1) Kpler'!$E$2:$P$1000,8, FALSE))</f>
        <v>Eastern Asia</v>
      </c>
      <c r="W161" s="147">
        <f>IF(VLOOKUP(A161,'1) Kpler'!$E$2:$P$1000,9,FALSE)="","",VLOOKUP(A161,'1) Kpler'!$E$2:$P$1000,9,FALSE))</f>
        <v>46161.245138888888</v>
      </c>
      <c r="X161" s="146" t="str">
        <f>VLOOKUP(A161,'1) Kpler'!$E$2:$I$1000,4,FALSE)</f>
        <v>loaded</v>
      </c>
      <c r="Y161" s="93" t="str">
        <f t="shared" si="0"/>
        <v/>
      </c>
      <c r="Z161" s="93" t="str">
        <f t="shared" si="1"/>
        <v>20-21 Apr</v>
      </c>
      <c r="AA161" s="93" t="str">
        <f t="shared" si="2"/>
        <v>20-21 Apr</v>
      </c>
      <c r="AB161" s="93" t="str">
        <f t="shared" si="3"/>
        <v/>
      </c>
      <c r="AC161" s="93" t="str">
        <f t="shared" si="4"/>
        <v>10-11 May</v>
      </c>
      <c r="AD161" s="93" t="str">
        <f t="shared" si="5"/>
        <v/>
      </c>
      <c r="AE161" s="179" t="str">
        <f t="shared" si="6"/>
        <v/>
      </c>
      <c r="AF161" s="180" t="str">
        <f t="shared" si="7"/>
        <v/>
      </c>
      <c r="AG161" s="93" t="str">
        <f t="shared" si="26"/>
        <v/>
      </c>
      <c r="AH161" s="94" t="str">
        <f>IFERROR($M161+VLOOKUP($L161,'Voyage days'!$F$38:$H$89,3,FALSE),"")</f>
        <v/>
      </c>
      <c r="AI161" s="94" t="str">
        <f>IFERROR(N161+VLOOKUP($L161,'Voyage days'!$F$38:$H$89,3,FALSE),"")</f>
        <v/>
      </c>
      <c r="AJ161" s="93" t="str">
        <f t="shared" si="27"/>
        <v>20-21 Apr</v>
      </c>
      <c r="AK161" s="94">
        <f>IFERROR($M161+VLOOKUP($L161,'Voyage days'!$F$94:$H$193,3,FALSE),"")</f>
        <v>46132</v>
      </c>
      <c r="AL161" s="94">
        <f>IFERROR($N161+VLOOKUP($L161,'Voyage days'!$F$94:$H$193,3,FALSE),"")</f>
        <v>46133</v>
      </c>
      <c r="AM161" s="93" t="str">
        <f t="shared" si="28"/>
        <v>20-21 Apr</v>
      </c>
      <c r="AN161" s="94">
        <f>IFERROR($M161+VLOOKUP($L161,'Voyage days'!$F$203:$H$256,3,FALSE),"")</f>
        <v>46132</v>
      </c>
      <c r="AO161" s="94">
        <f>IFERROR($N161+VLOOKUP($L161,'Voyage days'!$F$203:$H$256,3,FALSE),"")</f>
        <v>46133</v>
      </c>
      <c r="AP161" s="93" t="str">
        <f t="shared" si="29"/>
        <v/>
      </c>
      <c r="AQ161" s="94" t="str">
        <f>IFERROR($M161+VLOOKUP($L161,'Voyage days'!$F$294:$H$377,3,FALSE),"")</f>
        <v/>
      </c>
      <c r="AR161" s="94" t="str">
        <f>IFERROR($N161+VLOOKUP($L161,'Voyage days'!$F$294:$H$377,3,FALSE),"")</f>
        <v/>
      </c>
      <c r="AS161" s="93" t="str">
        <f t="shared" si="30"/>
        <v>10-11 May</v>
      </c>
      <c r="AT161" s="94">
        <f>IFERROR($M161+VLOOKUP($L161,'Voyage days'!$F$382:$H$446,3,FALSE),"")</f>
        <v>46152</v>
      </c>
      <c r="AU161" s="94">
        <f>IFERROR($N161+VLOOKUP($L161,'Voyage days'!$F$382:$H$446,3,FALSE),"")</f>
        <v>46153</v>
      </c>
      <c r="AV161" s="93" t="str">
        <f t="shared" si="31"/>
        <v/>
      </c>
      <c r="AW161" s="94" t="str">
        <f>IFERROR($M161+VLOOKUP($L161,'Voyage days'!$F$483:$H$538,3,FALSE),"")</f>
        <v/>
      </c>
      <c r="AX161" s="94" t="str">
        <f>IFERROR($N161+VLOOKUP($L161,'Voyage days'!$F$483:$H$538,3,FALSE),"")</f>
        <v/>
      </c>
      <c r="AY161" s="93" t="str">
        <f t="shared" si="32"/>
        <v/>
      </c>
      <c r="AZ161" s="94" t="str">
        <f>IFERROR($M161+VLOOKUP($L161,'Voyage days'!$F$540:$H$613,3,FALSE),"")</f>
        <v/>
      </c>
      <c r="BA161" s="94" t="str">
        <f>IFERROR($N161+VLOOKUP($L161,'Voyage days'!$F$540:$H$613,3,FALSE),"")</f>
        <v/>
      </c>
      <c r="BB161" s="93" t="str">
        <f t="shared" si="33"/>
        <v/>
      </c>
      <c r="BC161" s="94" t="str">
        <f>IFERROR($M161+VLOOKUP($L161,'Voyage days'!$F$448:$H$479,3,FALSE),"")</f>
        <v/>
      </c>
      <c r="BD161" s="94" t="str">
        <f>IFERROR($N161+VLOOKUP($L161,'Voyage days'!$F$448:$H$479,3,FALSE),"")</f>
        <v/>
      </c>
      <c r="BE161" s="93" t="str">
        <f t="shared" si="34"/>
        <v/>
      </c>
      <c r="BF161" s="95" t="str">
        <f>IFERROR($M161+VLOOKUP($L161,'Voyage days'!$F$620:$H$646,3,FALSE),"")</f>
        <v/>
      </c>
      <c r="BG161" s="95" t="str">
        <f>IFERROR($N161+VLOOKUP($L161,'Voyage days'!$F$620:$H$646,3,FALSE),"")</f>
        <v/>
      </c>
      <c r="BH161" s="93" t="str">
        <f t="shared" si="35"/>
        <v/>
      </c>
      <c r="BI161" s="96" t="str">
        <f>IFERROR($M161+VLOOKUP($L161,'Voyage days'!$F$702:$H$727,3,FALSE),"")</f>
        <v/>
      </c>
      <c r="BJ161" s="93" t="str">
        <f t="shared" si="36"/>
        <v/>
      </c>
      <c r="BK161" s="95" t="str">
        <f>IFERROR($M161+VLOOKUP($L161,'Voyage days'!$F$807:$H$878,3,FALSE),"")</f>
        <v/>
      </c>
      <c r="BL161" s="95" t="str">
        <f>IFERROR($N161+VLOOKUP($L161,'Voyage days'!$F$807:$H$878,3,FALSE),"")</f>
        <v/>
      </c>
      <c r="BM161" s="95" t="str">
        <f>IFERROR($N161+VLOOKUP($L161,'Voyage days'!$F$807:$K$878,6,FALSE),"")</f>
        <v/>
      </c>
      <c r="BN161" s="94" t="str">
        <f>IF(L161="loads AG", IFERROR($M161+VLOOKUP($L161,'Voyage days'!$M$38:$O$38,3,FALSE),""),"")</f>
        <v/>
      </c>
      <c r="BO161" s="94">
        <f>IF(L161="loads USG", IFERROR($M161+VLOOKUP($L161,'Voyage days'!$L$203:$N$203,3,FALSE),""),"")</f>
        <v>46164</v>
      </c>
    </row>
    <row r="162" spans="1:68" x14ac:dyDescent="0.25">
      <c r="A162" s="294" t="s">
        <v>184</v>
      </c>
      <c r="B162" s="75">
        <v>42978</v>
      </c>
      <c r="C162" s="76">
        <v>78700</v>
      </c>
      <c r="D162" s="77" t="s">
        <v>651</v>
      </c>
      <c r="E162" s="120"/>
      <c r="F162" s="121"/>
      <c r="G162" s="121"/>
      <c r="H162" s="121" t="s">
        <v>739</v>
      </c>
      <c r="I162" s="249" t="s">
        <v>1108</v>
      </c>
      <c r="J162" s="122" t="str">
        <f t="shared" si="25"/>
        <v/>
      </c>
      <c r="K162" s="123"/>
      <c r="L162" s="252" t="s">
        <v>718</v>
      </c>
      <c r="M162" s="345">
        <v>46140</v>
      </c>
      <c r="N162" s="414">
        <v>46141</v>
      </c>
      <c r="O162" s="126"/>
      <c r="P162" s="124" t="s">
        <v>1109</v>
      </c>
      <c r="Q162" s="124"/>
      <c r="R162" s="124" t="s">
        <v>1110</v>
      </c>
      <c r="S162" s="120" t="s">
        <v>724</v>
      </c>
      <c r="T162" s="329">
        <v>46132</v>
      </c>
      <c r="U162" s="87" t="str">
        <f>IF(V162="","No AIS",VLOOKUP(V162,'Voyage days'!$A$3:$B$1480,2,FALSE))</f>
        <v>USG</v>
      </c>
      <c r="V162" s="87" t="str">
        <f>IF(VLOOKUP(A162,'1) Kpler'!$E$2:$P$1000,8, FALSE)="","",VLOOKUP(A162,'1) Kpler'!$E$2:$P$1000,8, FALSE))</f>
        <v>Freeport Texas</v>
      </c>
      <c r="W162" s="128">
        <f>IF(VLOOKUP(A162,'1) Kpler'!$E$2:$P$1000,9,FALSE)="","",VLOOKUP(A162,'1) Kpler'!$E$2:$P$1000,9,FALSE))</f>
        <v>46139.958333333336</v>
      </c>
      <c r="X162" s="87" t="str">
        <f>VLOOKUP(A162,'1) Kpler'!$E$2:$I$1000,4,FALSE)</f>
        <v>ballast</v>
      </c>
      <c r="Y162" s="234" t="str">
        <f t="shared" si="0"/>
        <v/>
      </c>
      <c r="Z162" s="234" t="str">
        <f t="shared" si="1"/>
        <v>28-29 Apr</v>
      </c>
      <c r="AA162" s="234" t="str">
        <f t="shared" si="2"/>
        <v>28-29 Apr</v>
      </c>
      <c r="AB162" s="234" t="str">
        <f t="shared" si="3"/>
        <v/>
      </c>
      <c r="AC162" s="234" t="str">
        <f t="shared" si="4"/>
        <v>18-19 May</v>
      </c>
      <c r="AD162" s="234" t="str">
        <f t="shared" si="5"/>
        <v/>
      </c>
      <c r="AE162" s="235" t="str">
        <f t="shared" si="6"/>
        <v/>
      </c>
      <c r="AF162" s="92" t="str">
        <f t="shared" si="7"/>
        <v/>
      </c>
      <c r="AG162" s="131" t="str">
        <f t="shared" si="26"/>
        <v/>
      </c>
      <c r="AH162" s="95" t="str">
        <f>IFERROR($M162+VLOOKUP($L162,'Voyage days'!$F$38:$H$89,3,FALSE),"")</f>
        <v/>
      </c>
      <c r="AI162" s="95" t="str">
        <f>IFERROR(N162+VLOOKUP($L162,'Voyage days'!$F$38:$H$89,3,FALSE),"")</f>
        <v/>
      </c>
      <c r="AJ162" s="131" t="str">
        <f t="shared" si="27"/>
        <v>28-29 Apr</v>
      </c>
      <c r="AK162" s="95">
        <f>IFERROR($M162+VLOOKUP($L162,'Voyage days'!$F$94:$H$193,3,FALSE),"")</f>
        <v>46140</v>
      </c>
      <c r="AL162" s="95">
        <f>IFERROR($N162+VLOOKUP($L162,'Voyage days'!$F$94:$H$193,3,FALSE),"")</f>
        <v>46141</v>
      </c>
      <c r="AM162" s="131" t="str">
        <f t="shared" si="28"/>
        <v>28-29 Apr</v>
      </c>
      <c r="AN162" s="95">
        <f>IFERROR($M162+VLOOKUP($L162,'Voyage days'!$F$203:$H$256,3,FALSE),"")</f>
        <v>46140</v>
      </c>
      <c r="AO162" s="95">
        <f>IFERROR($N162+VLOOKUP($L162,'Voyage days'!$F$203:$H$256,3,FALSE),"")</f>
        <v>46141</v>
      </c>
      <c r="AP162" s="131" t="str">
        <f t="shared" si="29"/>
        <v/>
      </c>
      <c r="AQ162" s="95" t="str">
        <f>IFERROR($M162+VLOOKUP($L162,'Voyage days'!$F$294:$H$377,3,FALSE),"")</f>
        <v/>
      </c>
      <c r="AR162" s="95" t="str">
        <f>IFERROR($N162+VLOOKUP($L162,'Voyage days'!$F$294:$H$377,3,FALSE),"")</f>
        <v/>
      </c>
      <c r="AS162" s="131" t="str">
        <f t="shared" si="30"/>
        <v>18-19 May</v>
      </c>
      <c r="AT162" s="95">
        <f>IFERROR($M162+VLOOKUP($L162,'Voyage days'!$F$382:$H$446,3,FALSE),"")</f>
        <v>46160</v>
      </c>
      <c r="AU162" s="95">
        <f>IFERROR($N162+VLOOKUP($L162,'Voyage days'!$F$382:$H$446,3,FALSE),"")</f>
        <v>46161</v>
      </c>
      <c r="AV162" s="131" t="str">
        <f t="shared" si="31"/>
        <v/>
      </c>
      <c r="AW162" s="95" t="str">
        <f>IFERROR($M162+VLOOKUP($L162,'Voyage days'!$F$483:$H$538,3,FALSE),"")</f>
        <v/>
      </c>
      <c r="AX162" s="95" t="str">
        <f>IFERROR($N162+VLOOKUP($L162,'Voyage days'!$F$483:$H$538,3,FALSE),"")</f>
        <v/>
      </c>
      <c r="AY162" s="131" t="str">
        <f t="shared" si="32"/>
        <v/>
      </c>
      <c r="AZ162" s="95" t="str">
        <f>IFERROR($M162+VLOOKUP($L162,'Voyage days'!$F$540:$H$613,3,FALSE),"")</f>
        <v/>
      </c>
      <c r="BA162" s="95" t="str">
        <f>IFERROR($N162+VLOOKUP($L162,'Voyage days'!$F$540:$H$613,3,FALSE),"")</f>
        <v/>
      </c>
      <c r="BB162" s="131" t="str">
        <f t="shared" si="33"/>
        <v/>
      </c>
      <c r="BC162" s="94" t="str">
        <f>IFERROR($M162+VLOOKUP($L162,'Voyage days'!$F$448:$H$479,3,FALSE),"")</f>
        <v/>
      </c>
      <c r="BD162" s="94" t="str">
        <f>IFERROR($N162+VLOOKUP($L162,'Voyage days'!$F$448:$H$479,3,FALSE),"")</f>
        <v/>
      </c>
      <c r="BE162" s="131" t="str">
        <f t="shared" si="34"/>
        <v/>
      </c>
      <c r="BF162" s="95" t="str">
        <f>IFERROR($M162+VLOOKUP($L162,'Voyage days'!$F$620:$H$646,3,FALSE),"")</f>
        <v/>
      </c>
      <c r="BG162" s="95" t="str">
        <f>IFERROR($N162+VLOOKUP($L162,'Voyage days'!$F$620:$H$646,3,FALSE),"")</f>
        <v/>
      </c>
      <c r="BH162" s="131" t="str">
        <f t="shared" si="35"/>
        <v/>
      </c>
      <c r="BI162" s="96" t="str">
        <f>IFERROR($M162+VLOOKUP($L162,'Voyage days'!$F$702:$H$727,3,FALSE),"")</f>
        <v/>
      </c>
      <c r="BJ162" s="131" t="str">
        <f t="shared" si="36"/>
        <v/>
      </c>
      <c r="BK162" s="95" t="str">
        <f>IFERROR($M162+VLOOKUP($L162,'Voyage days'!$F$807:$H$878,3,FALSE),"")</f>
        <v/>
      </c>
      <c r="BL162" s="95" t="str">
        <f>IFERROR($N162+VLOOKUP($L162,'Voyage days'!$F$807:$H$878,3,FALSE),"")</f>
        <v/>
      </c>
      <c r="BM162" s="95" t="str">
        <f>IFERROR($N162+VLOOKUP($L162,'Voyage days'!$F$807:$K$878,6,FALSE),"")</f>
        <v/>
      </c>
      <c r="BN162" s="94" t="str">
        <f>IF(L162="loads AG", IFERROR($M162+VLOOKUP($L162,'Voyage days'!$M$38:$O$38,3,FALSE),""),"")</f>
        <v/>
      </c>
      <c r="BO162" s="94">
        <f>IF(L162="loads USG", IFERROR($M162+VLOOKUP($L162,'Voyage days'!$L$203:$N$203,3,FALSE),""),"")</f>
        <v>46172</v>
      </c>
    </row>
    <row r="163" spans="1:68" ht="15.75" customHeight="1" x14ac:dyDescent="0.25">
      <c r="A163" s="315" t="s">
        <v>171</v>
      </c>
      <c r="B163" s="176">
        <v>42886</v>
      </c>
      <c r="C163" s="134">
        <v>78700</v>
      </c>
      <c r="D163" s="143" t="s">
        <v>651</v>
      </c>
      <c r="E163" s="143"/>
      <c r="F163" s="136"/>
      <c r="G163" s="136"/>
      <c r="H163" s="136" t="s">
        <v>739</v>
      </c>
      <c r="I163" s="177" t="s">
        <v>1108</v>
      </c>
      <c r="J163" s="138" t="str">
        <f t="shared" si="25"/>
        <v/>
      </c>
      <c r="K163" s="139"/>
      <c r="L163" s="140" t="s">
        <v>770</v>
      </c>
      <c r="M163" s="141">
        <v>46152</v>
      </c>
      <c r="N163" s="141">
        <v>46153</v>
      </c>
      <c r="O163" s="142"/>
      <c r="P163" s="140" t="s">
        <v>1111</v>
      </c>
      <c r="Q163" s="297"/>
      <c r="R163" s="136" t="s">
        <v>1112</v>
      </c>
      <c r="S163" s="242" t="s">
        <v>724</v>
      </c>
      <c r="T163" s="144">
        <v>46132</v>
      </c>
      <c r="U163" s="145" t="str">
        <f>IF(V163="","No AIS",VLOOKUP(V163,'Voyage days'!$A$3:$B$1480,2,FALSE))</f>
        <v>Korea + 4</v>
      </c>
      <c r="V163" s="146" t="str">
        <f>IF(VLOOKUP(A163,'1) Kpler'!$E$2:$P$1000,8, FALSE)="","",VLOOKUP(A163,'1) Kpler'!$E$2:$P$1000,8, FALSE))</f>
        <v>Total Daesan Hanwha Refinery</v>
      </c>
      <c r="W163" s="147">
        <f>IF(VLOOKUP(A163,'1) Kpler'!$E$2:$P$1000,9,FALSE)="","",VLOOKUP(A163,'1) Kpler'!$E$2:$P$1000,9,FALSE))</f>
        <v>46148.583333333336</v>
      </c>
      <c r="X163" s="146" t="str">
        <f>VLOOKUP(A163,'1) Kpler'!$E$2:$I$1000,4,FALSE)</f>
        <v>loaded</v>
      </c>
      <c r="Y163" s="93" t="str">
        <f t="shared" si="0"/>
        <v>28-29 May</v>
      </c>
      <c r="Z163" s="93" t="str">
        <f t="shared" si="1"/>
        <v>12-13 Jun</v>
      </c>
      <c r="AA163" s="93" t="str">
        <f t="shared" si="2"/>
        <v>20-21 Jun</v>
      </c>
      <c r="AB163" s="93" t="str">
        <f t="shared" si="3"/>
        <v>08-09 Jun</v>
      </c>
      <c r="AC163" s="93" t="str">
        <f t="shared" si="4"/>
        <v>14-15 Jun</v>
      </c>
      <c r="AD163" s="93" t="str">
        <f t="shared" si="5"/>
        <v>17-18 May</v>
      </c>
      <c r="AE163" s="179" t="str">
        <f t="shared" si="6"/>
        <v>18-19 May</v>
      </c>
      <c r="AF163" s="180" t="str">
        <f t="shared" si="7"/>
        <v>24-25 Jun</v>
      </c>
      <c r="AG163" s="93" t="str">
        <f t="shared" si="26"/>
        <v>28-29 May</v>
      </c>
      <c r="AH163" s="94">
        <f>IFERROR($M163+VLOOKUP($L163,'Voyage days'!$F$38:$H$89,3,FALSE),"")</f>
        <v>46170</v>
      </c>
      <c r="AI163" s="94">
        <f>IFERROR(N163+VLOOKUP($L163,'Voyage days'!$F$38:$H$89,3,FALSE),"")</f>
        <v>46171</v>
      </c>
      <c r="AJ163" s="93" t="str">
        <f t="shared" si="27"/>
        <v>12-13 Jun</v>
      </c>
      <c r="AK163" s="94">
        <f>IFERROR($M163+VLOOKUP($L163,'Voyage days'!$F$94:$H$193,3,FALSE),"")</f>
        <v>46185</v>
      </c>
      <c r="AL163" s="94">
        <f>IFERROR($N163+VLOOKUP($L163,'Voyage days'!$F$94:$H$193,3,FALSE),"")</f>
        <v>46186</v>
      </c>
      <c r="AM163" s="93" t="str">
        <f t="shared" si="28"/>
        <v>20-21 Jun</v>
      </c>
      <c r="AN163" s="94">
        <f>IFERROR($M163+VLOOKUP($L163,'Voyage days'!$F$203:$H$256,3,FALSE),"")</f>
        <v>46193</v>
      </c>
      <c r="AO163" s="94">
        <f>IFERROR($N163+VLOOKUP($L163,'Voyage days'!$F$203:$H$256,3,FALSE),"")</f>
        <v>46194</v>
      </c>
      <c r="AP163" s="93" t="str">
        <f t="shared" si="29"/>
        <v>08-09 Jun</v>
      </c>
      <c r="AQ163" s="94">
        <f>IFERROR($M163+VLOOKUP($L163,'Voyage days'!$F$294:$H$377,3,FALSE),"")</f>
        <v>46181</v>
      </c>
      <c r="AR163" s="94">
        <f>IFERROR($N163+VLOOKUP($L163,'Voyage days'!$F$294:$H$377,3,FALSE),"")</f>
        <v>46182</v>
      </c>
      <c r="AS163" s="93" t="str">
        <f t="shared" si="30"/>
        <v>14-15 Jun</v>
      </c>
      <c r="AT163" s="94">
        <f>IFERROR($M163+VLOOKUP($L163,'Voyage days'!$F$382:$H$446,3,FALSE),"")</f>
        <v>46187</v>
      </c>
      <c r="AU163" s="94">
        <f>IFERROR($N163+VLOOKUP($L163,'Voyage days'!$F$382:$H$446,3,FALSE),"")</f>
        <v>46188</v>
      </c>
      <c r="AV163" s="93" t="str">
        <f t="shared" si="31"/>
        <v>24-25 May</v>
      </c>
      <c r="AW163" s="94">
        <f>IFERROR($M163+VLOOKUP($L163,'Voyage days'!$F$483:$H$538,3,FALSE),"")</f>
        <v>46166</v>
      </c>
      <c r="AX163" s="94">
        <f>IFERROR($N163+VLOOKUP($L163,'Voyage days'!$F$483:$H$538,3,FALSE),"")</f>
        <v>46167</v>
      </c>
      <c r="AY163" s="93" t="str">
        <f t="shared" si="32"/>
        <v>18-19 May</v>
      </c>
      <c r="AZ163" s="94">
        <f>IFERROR($M163+VLOOKUP($L163,'Voyage days'!$F$540:$H$613,3,FALSE),"")</f>
        <v>46160</v>
      </c>
      <c r="BA163" s="94">
        <f>IFERROR($N163+VLOOKUP($L163,'Voyage days'!$F$540:$H$613,3,FALSE),"")</f>
        <v>46161</v>
      </c>
      <c r="BB163" s="93" t="str">
        <f t="shared" si="33"/>
        <v>17-18 May</v>
      </c>
      <c r="BC163" s="94">
        <f>IFERROR($M163+VLOOKUP($L163,'Voyage days'!$F$448:$H$479,3,FALSE),"")</f>
        <v>46159</v>
      </c>
      <c r="BD163" s="94">
        <f>IFERROR($N163+VLOOKUP($L163,'Voyage days'!$F$448:$H$479,3,FALSE),"")</f>
        <v>46160</v>
      </c>
      <c r="BE163" s="93" t="str">
        <f t="shared" si="34"/>
        <v>21-22 May</v>
      </c>
      <c r="BF163" s="95">
        <f>IFERROR($M163+VLOOKUP($L163,'Voyage days'!$F$620:$H$646,3,FALSE),"")</f>
        <v>46163</v>
      </c>
      <c r="BG163" s="95">
        <f>IFERROR($N163+VLOOKUP($L163,'Voyage days'!$F$620:$H$646,3,FALSE),"")</f>
        <v>46164</v>
      </c>
      <c r="BH163" s="93" t="str">
        <f t="shared" si="35"/>
        <v>18-25 Jun</v>
      </c>
      <c r="BI163" s="96">
        <f>IFERROR($M163+VLOOKUP($L163,'Voyage days'!$F$702:$H$727,3,FALSE),"")</f>
        <v>46160</v>
      </c>
      <c r="BJ163" s="93" t="str">
        <f t="shared" si="36"/>
        <v>24-25 Jun</v>
      </c>
      <c r="BK163" s="95">
        <f>IFERROR($M163+VLOOKUP($L163,'Voyage days'!$F$807:$H$878,3,FALSE),"")</f>
        <v>46197</v>
      </c>
      <c r="BL163" s="95">
        <f>IFERROR($N163+VLOOKUP($L163,'Voyage days'!$F$807:$H$878,3,FALSE),"")</f>
        <v>46198</v>
      </c>
      <c r="BM163" s="95">
        <f>IFERROR($N163+VLOOKUP($L163,'Voyage days'!$F$807:$K$878,6,FALSE),"")</f>
        <v>46172</v>
      </c>
      <c r="BN163" s="94" t="str">
        <f>IF(L163="loads AG", IFERROR($M163+VLOOKUP($L163,'Voyage days'!$M$38:$O$38,3,FALSE),""),"")</f>
        <v/>
      </c>
      <c r="BO163" s="94" t="str">
        <f>IF(L163="loads USG", IFERROR($M163+VLOOKUP($L163,'Voyage days'!$L$203:$N$203,3,FALSE),""),"")</f>
        <v/>
      </c>
    </row>
    <row r="164" spans="1:68" ht="15.75" customHeight="1" x14ac:dyDescent="0.25">
      <c r="A164" s="266" t="s">
        <v>277</v>
      </c>
      <c r="B164" s="75">
        <v>39546</v>
      </c>
      <c r="C164" s="76">
        <v>83783</v>
      </c>
      <c r="D164" s="120"/>
      <c r="E164" s="120"/>
      <c r="F164" s="121"/>
      <c r="G164" s="121"/>
      <c r="H164" s="121"/>
      <c r="I164" s="101" t="s">
        <v>1113</v>
      </c>
      <c r="J164" s="405" t="str">
        <f t="shared" si="25"/>
        <v/>
      </c>
      <c r="K164" s="81"/>
      <c r="L164" s="415" t="s">
        <v>734</v>
      </c>
      <c r="M164" s="189">
        <v>46138</v>
      </c>
      <c r="N164" s="189">
        <v>46139</v>
      </c>
      <c r="O164" s="152"/>
      <c r="P164" s="124" t="s">
        <v>1114</v>
      </c>
      <c r="Q164" s="100"/>
      <c r="R164" s="124" t="s">
        <v>1115</v>
      </c>
      <c r="S164" s="77" t="s">
        <v>724</v>
      </c>
      <c r="T164" s="329">
        <v>46129</v>
      </c>
      <c r="U164" s="87" t="str">
        <f>IF(V164="","No AIS",VLOOKUP(V164,'Voyage days'!$A$3:$B$1480,2,FALSE))</f>
        <v>Indo + 4 (STS)</v>
      </c>
      <c r="V164" s="87" t="str">
        <f>IF(VLOOKUP(A164,'1) Kpler'!$E$2:$P$1000,8, FALSE)="","",VLOOKUP(A164,'1) Kpler'!$E$2:$P$1000,8, FALSE))</f>
        <v>Balikpapan</v>
      </c>
      <c r="W164" s="128">
        <f>IF(VLOOKUP(A164,'1) Kpler'!$E$2:$P$1000,9,FALSE)="","",VLOOKUP(A164,'1) Kpler'!$E$2:$P$1000,9,FALSE))</f>
        <v>46134.625</v>
      </c>
      <c r="X164" s="87" t="str">
        <f>VLOOKUP(A164,'1) Kpler'!$E$2:$I$1000,4,FALSE)</f>
        <v>loaded</v>
      </c>
      <c r="Y164" s="219" t="str">
        <f t="shared" si="0"/>
        <v>07-08 May</v>
      </c>
      <c r="Z164" s="219" t="str">
        <f t="shared" si="1"/>
        <v>03-04 Jun</v>
      </c>
      <c r="AA164" s="219" t="str">
        <f t="shared" si="2"/>
        <v>02-03 Jun</v>
      </c>
      <c r="AB164" s="219" t="str">
        <f t="shared" si="3"/>
        <v>16-17 May</v>
      </c>
      <c r="AC164" s="219" t="str">
        <f t="shared" si="4"/>
        <v>25-26 May</v>
      </c>
      <c r="AD164" s="219" t="str">
        <f t="shared" si="5"/>
        <v>29-30 Apr</v>
      </c>
      <c r="AE164" s="220" t="str">
        <f t="shared" si="6"/>
        <v>30-01 May</v>
      </c>
      <c r="AF164" s="130" t="str">
        <f t="shared" si="7"/>
        <v>02-03 Jun</v>
      </c>
      <c r="AG164" s="131" t="str">
        <f t="shared" si="26"/>
        <v>07-08 May</v>
      </c>
      <c r="AH164" s="95">
        <f>IFERROR($M164+VLOOKUP($L164,'Voyage days'!$F$38:$H$89,3,FALSE),"")</f>
        <v>46149</v>
      </c>
      <c r="AI164" s="95">
        <f>IFERROR(N164+VLOOKUP($L164,'Voyage days'!$F$38:$H$89,3,FALSE),"")</f>
        <v>46150</v>
      </c>
      <c r="AJ164" s="131" t="str">
        <f t="shared" si="27"/>
        <v>03-04 Jun</v>
      </c>
      <c r="AK164" s="95">
        <f>IFERROR($M164+VLOOKUP($L164,'Voyage days'!$F$94:$H$193,3,FALSE),"")</f>
        <v>46176</v>
      </c>
      <c r="AL164" s="95">
        <f>IFERROR($N164+VLOOKUP($L164,'Voyage days'!$F$94:$H$193,3,FALSE),"")</f>
        <v>46177</v>
      </c>
      <c r="AM164" s="131" t="str">
        <f t="shared" si="28"/>
        <v>02-03 Jun</v>
      </c>
      <c r="AN164" s="95">
        <f>IFERROR($M164+VLOOKUP($L164,'Voyage days'!$F$203:$H$256,3,FALSE),"")</f>
        <v>46175</v>
      </c>
      <c r="AO164" s="95">
        <f>IFERROR($N164+VLOOKUP($L164,'Voyage days'!$F$203:$H$256,3,FALSE),"")</f>
        <v>46176</v>
      </c>
      <c r="AP164" s="131" t="str">
        <f t="shared" si="29"/>
        <v>16-17 May</v>
      </c>
      <c r="AQ164" s="95">
        <f>IFERROR($M164+VLOOKUP($L164,'Voyage days'!$F$294:$H$377,3,FALSE),"")</f>
        <v>46158</v>
      </c>
      <c r="AR164" s="95">
        <f>IFERROR($N164+VLOOKUP($L164,'Voyage days'!$F$294:$H$377,3,FALSE),"")</f>
        <v>46159</v>
      </c>
      <c r="AS164" s="131" t="str">
        <f t="shared" si="30"/>
        <v>25-26 May</v>
      </c>
      <c r="AT164" s="95">
        <f>IFERROR($M164+VLOOKUP($L164,'Voyage days'!$F$382:$H$446,3,FALSE),"")</f>
        <v>46167</v>
      </c>
      <c r="AU164" s="95">
        <f>IFERROR($N164+VLOOKUP($L164,'Voyage days'!$F$382:$H$446,3,FALSE),"")</f>
        <v>46168</v>
      </c>
      <c r="AV164" s="131" t="str">
        <f t="shared" si="31"/>
        <v>05-06 May</v>
      </c>
      <c r="AW164" s="95">
        <f>IFERROR($M164+VLOOKUP($L164,'Voyage days'!$F$483:$H$538,3,FALSE),"")</f>
        <v>46147</v>
      </c>
      <c r="AX164" s="95">
        <f>IFERROR($N164+VLOOKUP($L164,'Voyage days'!$F$483:$H$538,3,FALSE),"")</f>
        <v>46148</v>
      </c>
      <c r="AY164" s="131" t="str">
        <f t="shared" si="32"/>
        <v>30-01 May</v>
      </c>
      <c r="AZ164" s="95">
        <f>IFERROR($M164+VLOOKUP($L164,'Voyage days'!$F$540:$H$613,3,FALSE),"")</f>
        <v>46142</v>
      </c>
      <c r="BA164" s="95">
        <f>IFERROR($N164+VLOOKUP($L164,'Voyage days'!$F$540:$H$613,3,FALSE),"")</f>
        <v>46143</v>
      </c>
      <c r="BB164" s="131" t="str">
        <f t="shared" si="33"/>
        <v>29-30 Apr</v>
      </c>
      <c r="BC164" s="94">
        <f>IFERROR($M164+VLOOKUP($L164,'Voyage days'!$F$448:$H$479,3,FALSE),"")</f>
        <v>46141</v>
      </c>
      <c r="BD164" s="94">
        <f>IFERROR($N164+VLOOKUP($L164,'Voyage days'!$F$448:$H$479,3,FALSE),"")</f>
        <v>46142</v>
      </c>
      <c r="BE164" s="131" t="str">
        <f t="shared" si="34"/>
        <v/>
      </c>
      <c r="BF164" s="95" t="str">
        <f>IFERROR($M164+VLOOKUP($L164,'Voyage days'!$F$620:$H$646,3,FALSE),"")</f>
        <v/>
      </c>
      <c r="BG164" s="95" t="str">
        <f>IFERROR($N164+VLOOKUP($L164,'Voyage days'!$F$620:$H$646,3,FALSE),"")</f>
        <v/>
      </c>
      <c r="BH164" s="131" t="str">
        <f t="shared" si="35"/>
        <v>04-03 Jun</v>
      </c>
      <c r="BI164" s="96">
        <f>IFERROR($M164+VLOOKUP($L164,'Voyage days'!$F$702:$H$727,3,FALSE),"")</f>
        <v>46146</v>
      </c>
      <c r="BJ164" s="131" t="str">
        <f t="shared" si="36"/>
        <v>02-03 Jun</v>
      </c>
      <c r="BK164" s="95">
        <f>IFERROR($M164+VLOOKUP($L164,'Voyage days'!$F$807:$H$878,3,FALSE),"")</f>
        <v>46175</v>
      </c>
      <c r="BL164" s="95">
        <f>IFERROR($N164+VLOOKUP($L164,'Voyage days'!$F$807:$H$878,3,FALSE),"")</f>
        <v>46176</v>
      </c>
      <c r="BM164" s="95">
        <f>IFERROR($N164+VLOOKUP($L164,'Voyage days'!$F$807:$K$878,6,FALSE),"")</f>
        <v>46152</v>
      </c>
      <c r="BN164" s="94" t="str">
        <f>IF(L164="loads AG", IFERROR($M164+VLOOKUP($L164,'Voyage days'!$M$38:$O$38,3,FALSE),""),"")</f>
        <v/>
      </c>
      <c r="BO164" s="94" t="str">
        <f>IF(L164="loads USG", IFERROR($M164+VLOOKUP($L164,'Voyage days'!$L$203:$N$203,3,FALSE),""),"")</f>
        <v/>
      </c>
    </row>
    <row r="165" spans="1:68" ht="15.75" customHeight="1" x14ac:dyDescent="0.25">
      <c r="A165" s="416" t="s">
        <v>287</v>
      </c>
      <c r="B165" s="75">
        <v>39600</v>
      </c>
      <c r="C165" s="76">
        <v>82000</v>
      </c>
      <c r="D165" s="77"/>
      <c r="E165" s="77"/>
      <c r="F165" s="78"/>
      <c r="G165" s="78"/>
      <c r="H165" s="78"/>
      <c r="I165" s="417" t="s">
        <v>1113</v>
      </c>
      <c r="J165" s="80" t="str">
        <f t="shared" si="25"/>
        <v>NO AIS</v>
      </c>
      <c r="K165" s="81"/>
      <c r="L165" s="82" t="s">
        <v>734</v>
      </c>
      <c r="M165" s="222">
        <v>46141</v>
      </c>
      <c r="N165" s="222">
        <v>46142</v>
      </c>
      <c r="O165" s="84"/>
      <c r="P165" s="418" t="s">
        <v>1116</v>
      </c>
      <c r="Q165" s="158"/>
      <c r="R165" s="419" t="s">
        <v>1117</v>
      </c>
      <c r="S165" s="77" t="s">
        <v>33</v>
      </c>
      <c r="T165" s="86">
        <v>46124</v>
      </c>
      <c r="U165" s="420" t="str">
        <f>IF(V165="","No AIS",VLOOKUP(V165,'Voyage days'!$A$3:$B$1480,2,FALSE))</f>
        <v>No AIS</v>
      </c>
      <c r="V165" s="88" t="str">
        <f>IF(VLOOKUP(A165,'1) Kpler'!$E$2:$P$1000,8, FALSE)="","",VLOOKUP(A165,'1) Kpler'!$E$2:$P$1000,8, FALSE))</f>
        <v/>
      </c>
      <c r="W165" s="89" t="str">
        <f>IF(VLOOKUP(A165,'1) Kpler'!$E$2:$P$1000,9,FALSE)="","",VLOOKUP(A165,'1) Kpler'!$E$2:$P$1000,9,FALSE))</f>
        <v/>
      </c>
      <c r="X165" s="88" t="str">
        <f>VLOOKUP(A165,'1) Kpler'!$E$2:$I$1000,4,FALSE)</f>
        <v>floatingStorage</v>
      </c>
      <c r="Y165" s="63" t="str">
        <f t="shared" si="0"/>
        <v>10-11 May</v>
      </c>
      <c r="Z165" s="355" t="str">
        <f t="shared" si="1"/>
        <v>06-07 Jun</v>
      </c>
      <c r="AA165" s="355" t="str">
        <f t="shared" si="2"/>
        <v>05-06 Jun</v>
      </c>
      <c r="AB165" s="90" t="str">
        <f t="shared" si="3"/>
        <v>19-20 May</v>
      </c>
      <c r="AC165" s="90" t="str">
        <f t="shared" si="4"/>
        <v>28-29 May</v>
      </c>
      <c r="AD165" s="90" t="str">
        <f t="shared" si="5"/>
        <v>02-03 May</v>
      </c>
      <c r="AE165" s="91" t="str">
        <f t="shared" si="6"/>
        <v>03-04 May</v>
      </c>
      <c r="AF165" s="92" t="str">
        <f t="shared" si="7"/>
        <v>05-06 Jun</v>
      </c>
      <c r="AG165" s="93" t="str">
        <f t="shared" si="26"/>
        <v>10-11 May</v>
      </c>
      <c r="AH165" s="94">
        <f>IFERROR($M165+VLOOKUP($L165,'Voyage days'!$F$38:$H$89,3,FALSE),"")</f>
        <v>46152</v>
      </c>
      <c r="AI165" s="94">
        <f>IFERROR(N165+VLOOKUP($L165,'Voyage days'!$F$38:$H$89,3,FALSE),"")</f>
        <v>46153</v>
      </c>
      <c r="AJ165" s="93" t="str">
        <f t="shared" si="27"/>
        <v>06-07 Jun</v>
      </c>
      <c r="AK165" s="94">
        <f>IFERROR($M165+VLOOKUP($L165,'Voyage days'!$F$94:$H$193,3,FALSE),"")</f>
        <v>46179</v>
      </c>
      <c r="AL165" s="94">
        <f>IFERROR($N165+VLOOKUP($L165,'Voyage days'!$F$94:$H$193,3,FALSE),"")</f>
        <v>46180</v>
      </c>
      <c r="AM165" s="93" t="str">
        <f t="shared" si="28"/>
        <v>05-06 Jun</v>
      </c>
      <c r="AN165" s="94">
        <f>IFERROR($M165+VLOOKUP($L165,'Voyage days'!$F$203:$H$256,3,FALSE),"")</f>
        <v>46178</v>
      </c>
      <c r="AO165" s="94">
        <f>IFERROR($N165+VLOOKUP($L165,'Voyage days'!$F$203:$H$256,3,FALSE),"")</f>
        <v>46179</v>
      </c>
      <c r="AP165" s="93" t="str">
        <f t="shared" si="29"/>
        <v>19-20 May</v>
      </c>
      <c r="AQ165" s="94">
        <f>IFERROR($M165+VLOOKUP($L165,'Voyage days'!$F$294:$H$377,3,FALSE),"")</f>
        <v>46161</v>
      </c>
      <c r="AR165" s="94">
        <f>IFERROR($N165+VLOOKUP($L165,'Voyage days'!$F$294:$H$377,3,FALSE),"")</f>
        <v>46162</v>
      </c>
      <c r="AS165" s="93" t="str">
        <f t="shared" si="30"/>
        <v>28-29 May</v>
      </c>
      <c r="AT165" s="94">
        <f>IFERROR($M165+VLOOKUP($L165,'Voyage days'!$F$382:$H$446,3,FALSE),"")</f>
        <v>46170</v>
      </c>
      <c r="AU165" s="94">
        <f>IFERROR($N165+VLOOKUP($L165,'Voyage days'!$F$382:$H$446,3,FALSE),"")</f>
        <v>46171</v>
      </c>
      <c r="AV165" s="93" t="str">
        <f t="shared" si="31"/>
        <v>08-09 May</v>
      </c>
      <c r="AW165" s="94">
        <f>IFERROR($M165+VLOOKUP($L165,'Voyage days'!$F$483:$H$538,3,FALSE),"")</f>
        <v>46150</v>
      </c>
      <c r="AX165" s="94">
        <f>IFERROR($N165+VLOOKUP($L165,'Voyage days'!$F$483:$H$538,3,FALSE),"")</f>
        <v>46151</v>
      </c>
      <c r="AY165" s="93" t="str">
        <f t="shared" si="32"/>
        <v>03-04 May</v>
      </c>
      <c r="AZ165" s="94">
        <f>IFERROR($M165+VLOOKUP($L165,'Voyage days'!$F$540:$H$613,3,FALSE),"")</f>
        <v>46145</v>
      </c>
      <c r="BA165" s="94">
        <f>IFERROR($N165+VLOOKUP($L165,'Voyage days'!$F$540:$H$613,3,FALSE),"")</f>
        <v>46146</v>
      </c>
      <c r="BB165" s="93" t="str">
        <f t="shared" si="33"/>
        <v>02-03 May</v>
      </c>
      <c r="BC165" s="94">
        <f>IFERROR($M165+VLOOKUP($L165,'Voyage days'!$F$448:$H$479,3,FALSE),"")</f>
        <v>46144</v>
      </c>
      <c r="BD165" s="94">
        <f>IFERROR($N165+VLOOKUP($L165,'Voyage days'!$F$448:$H$479,3,FALSE),"")</f>
        <v>46145</v>
      </c>
      <c r="BE165" s="93" t="str">
        <f t="shared" si="34"/>
        <v/>
      </c>
      <c r="BF165" s="95" t="str">
        <f>IFERROR($M165+VLOOKUP($L165,'Voyage days'!$F$620:$H$646,3,FALSE),"")</f>
        <v/>
      </c>
      <c r="BG165" s="95" t="str">
        <f>IFERROR($N165+VLOOKUP($L165,'Voyage days'!$F$620:$H$646,3,FALSE),"")</f>
        <v/>
      </c>
      <c r="BH165" s="93" t="str">
        <f t="shared" si="35"/>
        <v>07-06 Jun</v>
      </c>
      <c r="BI165" s="96">
        <f>IFERROR($M165+VLOOKUP($L165,'Voyage days'!$F$702:$H$727,3,FALSE),"")</f>
        <v>46149</v>
      </c>
      <c r="BJ165" s="93" t="str">
        <f t="shared" si="36"/>
        <v>05-06 Jun</v>
      </c>
      <c r="BK165" s="95">
        <f>IFERROR($M165+VLOOKUP($L165,'Voyage days'!$F$807:$H$878,3,FALSE),"")</f>
        <v>46178</v>
      </c>
      <c r="BL165" s="95">
        <f>IFERROR($N165+VLOOKUP($L165,'Voyage days'!$F$807:$H$878,3,FALSE),"")</f>
        <v>46179</v>
      </c>
      <c r="BM165" s="95">
        <f>IFERROR($N165+VLOOKUP($L165,'Voyage days'!$F$807:$K$878,6,FALSE),"")</f>
        <v>46155</v>
      </c>
      <c r="BN165" s="94" t="str">
        <f>IF(L165="loads AG", IFERROR($M165+VLOOKUP($L165,'Voyage days'!$M$38:$O$38,3,FALSE),""),"")</f>
        <v/>
      </c>
      <c r="BO165" s="94" t="str">
        <f>IF(L165="loads USG", IFERROR($M165+VLOOKUP($L165,'Voyage days'!$L$203:$N$203,3,FALSE),""),"")</f>
        <v/>
      </c>
    </row>
    <row r="166" spans="1:68" ht="15.75" customHeight="1" x14ac:dyDescent="0.25">
      <c r="A166" s="416" t="s">
        <v>297</v>
      </c>
      <c r="B166" s="421">
        <v>39692</v>
      </c>
      <c r="C166" s="76">
        <v>82791</v>
      </c>
      <c r="D166" s="422"/>
      <c r="E166" s="422"/>
      <c r="F166" s="78"/>
      <c r="G166" s="78"/>
      <c r="H166" s="78"/>
      <c r="I166" s="417" t="s">
        <v>1113</v>
      </c>
      <c r="J166" s="80" t="str">
        <f t="shared" si="25"/>
        <v>NO AIS</v>
      </c>
      <c r="K166" s="81"/>
      <c r="L166" s="82" t="s">
        <v>734</v>
      </c>
      <c r="M166" s="222">
        <v>46141</v>
      </c>
      <c r="N166" s="222">
        <v>46142</v>
      </c>
      <c r="O166" s="206"/>
      <c r="P166" s="418" t="s">
        <v>1118</v>
      </c>
      <c r="Q166" s="85"/>
      <c r="R166" s="419" t="s">
        <v>1117</v>
      </c>
      <c r="S166" s="77" t="s">
        <v>33</v>
      </c>
      <c r="T166" s="86">
        <v>46124</v>
      </c>
      <c r="U166" s="420" t="str">
        <f>IF(V166="","No AIS",VLOOKUP(V166,'Voyage days'!$A$3:$B$1480,2,FALSE))</f>
        <v>No AIS</v>
      </c>
      <c r="V166" s="88" t="str">
        <f>IF(VLOOKUP(A166,'1) Kpler'!$E$2:$P$1000,8, FALSE)="","",VLOOKUP(A166,'1) Kpler'!$E$2:$P$1000,8, FALSE))</f>
        <v/>
      </c>
      <c r="W166" s="89" t="str">
        <f>IF(VLOOKUP(A166,'1) Kpler'!$E$2:$P$1000,9,FALSE)="","",VLOOKUP(A166,'1) Kpler'!$E$2:$P$1000,9,FALSE))</f>
        <v/>
      </c>
      <c r="X166" s="88" t="str">
        <f>VLOOKUP(A166,'1) Kpler'!$E$2:$I$1000,4,FALSE)</f>
        <v>ballast</v>
      </c>
      <c r="Y166" s="63" t="str">
        <f t="shared" si="0"/>
        <v>10-11 May</v>
      </c>
      <c r="Z166" s="355" t="str">
        <f t="shared" si="1"/>
        <v>06-07 Jun</v>
      </c>
      <c r="AA166" s="355" t="str">
        <f t="shared" si="2"/>
        <v>05-06 Jun</v>
      </c>
      <c r="AB166" s="90" t="str">
        <f t="shared" si="3"/>
        <v>19-20 May</v>
      </c>
      <c r="AC166" s="90" t="str">
        <f t="shared" si="4"/>
        <v>28-29 May</v>
      </c>
      <c r="AD166" s="90" t="str">
        <f t="shared" si="5"/>
        <v>02-03 May</v>
      </c>
      <c r="AE166" s="91" t="str">
        <f t="shared" si="6"/>
        <v>03-04 May</v>
      </c>
      <c r="AF166" s="92" t="str">
        <f t="shared" si="7"/>
        <v>05-06 Jun</v>
      </c>
      <c r="AG166" s="93" t="str">
        <f t="shared" si="26"/>
        <v>10-11 May</v>
      </c>
      <c r="AH166" s="94">
        <f>IFERROR($M166+VLOOKUP($L166,'Voyage days'!$F$38:$H$89,3,FALSE),"")</f>
        <v>46152</v>
      </c>
      <c r="AI166" s="94">
        <f>IFERROR(N166+VLOOKUP($L166,'Voyage days'!$F$38:$H$89,3,FALSE),"")</f>
        <v>46153</v>
      </c>
      <c r="AJ166" s="93" t="str">
        <f t="shared" si="27"/>
        <v>06-07 Jun</v>
      </c>
      <c r="AK166" s="94">
        <f>IFERROR($M166+VLOOKUP($L166,'Voyage days'!$F$94:$H$193,3,FALSE),"")</f>
        <v>46179</v>
      </c>
      <c r="AL166" s="94">
        <f>IFERROR($N166+VLOOKUP($L166,'Voyage days'!$F$94:$H$193,3,FALSE),"")</f>
        <v>46180</v>
      </c>
      <c r="AM166" s="93" t="str">
        <f t="shared" si="28"/>
        <v>05-06 Jun</v>
      </c>
      <c r="AN166" s="94">
        <f>IFERROR($M166+VLOOKUP($L166,'Voyage days'!$F$203:$H$256,3,FALSE),"")</f>
        <v>46178</v>
      </c>
      <c r="AO166" s="94">
        <f>IFERROR($N166+VLOOKUP($L166,'Voyage days'!$F$203:$H$256,3,FALSE),"")</f>
        <v>46179</v>
      </c>
      <c r="AP166" s="93" t="str">
        <f t="shared" si="29"/>
        <v>19-20 May</v>
      </c>
      <c r="AQ166" s="94">
        <f>IFERROR($M166+VLOOKUP($L166,'Voyage days'!$F$294:$H$377,3,FALSE),"")</f>
        <v>46161</v>
      </c>
      <c r="AR166" s="94">
        <f>IFERROR($N166+VLOOKUP($L166,'Voyage days'!$F$294:$H$377,3,FALSE),"")</f>
        <v>46162</v>
      </c>
      <c r="AS166" s="93" t="str">
        <f t="shared" si="30"/>
        <v>28-29 May</v>
      </c>
      <c r="AT166" s="94">
        <f>IFERROR($M166+VLOOKUP($L166,'Voyage days'!$F$382:$H$446,3,FALSE),"")</f>
        <v>46170</v>
      </c>
      <c r="AU166" s="94">
        <f>IFERROR($N166+VLOOKUP($L166,'Voyage days'!$F$382:$H$446,3,FALSE),"")</f>
        <v>46171</v>
      </c>
      <c r="AV166" s="93" t="str">
        <f t="shared" si="31"/>
        <v>08-09 May</v>
      </c>
      <c r="AW166" s="94">
        <f>IFERROR($M166+VLOOKUP($L166,'Voyage days'!$F$483:$H$538,3,FALSE),"")</f>
        <v>46150</v>
      </c>
      <c r="AX166" s="94">
        <f>IFERROR($N166+VLOOKUP($L166,'Voyage days'!$F$483:$H$538,3,FALSE),"")</f>
        <v>46151</v>
      </c>
      <c r="AY166" s="93" t="str">
        <f t="shared" si="32"/>
        <v>03-04 May</v>
      </c>
      <c r="AZ166" s="94">
        <f>IFERROR($M166+VLOOKUP($L166,'Voyage days'!$F$540:$H$613,3,FALSE),"")</f>
        <v>46145</v>
      </c>
      <c r="BA166" s="94">
        <f>IFERROR($N166+VLOOKUP($L166,'Voyage days'!$F$540:$H$613,3,FALSE),"")</f>
        <v>46146</v>
      </c>
      <c r="BB166" s="93" t="str">
        <f t="shared" si="33"/>
        <v>02-03 May</v>
      </c>
      <c r="BC166" s="94">
        <f>IFERROR($M166+VLOOKUP($L166,'Voyage days'!$F$448:$H$479,3,FALSE),"")</f>
        <v>46144</v>
      </c>
      <c r="BD166" s="94">
        <f>IFERROR($N166+VLOOKUP($L166,'Voyage days'!$F$448:$H$479,3,FALSE),"")</f>
        <v>46145</v>
      </c>
      <c r="BE166" s="93" t="str">
        <f t="shared" si="34"/>
        <v/>
      </c>
      <c r="BF166" s="95" t="str">
        <f>IFERROR($M166+VLOOKUP($L166,'Voyage days'!$F$620:$H$646,3,FALSE),"")</f>
        <v/>
      </c>
      <c r="BG166" s="95" t="str">
        <f>IFERROR($N166+VLOOKUP($L166,'Voyage days'!$F$620:$H$646,3,FALSE),"")</f>
        <v/>
      </c>
      <c r="BH166" s="93" t="str">
        <f t="shared" si="35"/>
        <v>07-06 Jun</v>
      </c>
      <c r="BI166" s="96">
        <f>IFERROR($M166+VLOOKUP($L166,'Voyage days'!$F$702:$H$727,3,FALSE),"")</f>
        <v>46149</v>
      </c>
      <c r="BJ166" s="93" t="str">
        <f t="shared" si="36"/>
        <v>05-06 Jun</v>
      </c>
      <c r="BK166" s="95">
        <f>IFERROR($M166+VLOOKUP($L166,'Voyage days'!$F$807:$H$878,3,FALSE),"")</f>
        <v>46178</v>
      </c>
      <c r="BL166" s="95">
        <f>IFERROR($N166+VLOOKUP($L166,'Voyage days'!$F$807:$H$878,3,FALSE),"")</f>
        <v>46179</v>
      </c>
      <c r="BM166" s="95">
        <f>IFERROR($N166+VLOOKUP($L166,'Voyage days'!$F$807:$K$878,6,FALSE),"")</f>
        <v>46155</v>
      </c>
      <c r="BN166" s="94" t="str">
        <f>IF(L166="loads AG", IFERROR($M166+VLOOKUP($L166,'Voyage days'!$M$38:$O$38,3,FALSE),""),"")</f>
        <v/>
      </c>
      <c r="BO166" s="94" t="str">
        <f>IF(L166="loads USG", IFERROR($M166+VLOOKUP($L166,'Voyage days'!$L$203:$N$203,3,FALSE),""),"")</f>
        <v/>
      </c>
    </row>
    <row r="167" spans="1:68" ht="15.75" customHeight="1" x14ac:dyDescent="0.25">
      <c r="A167" s="53" t="s">
        <v>535</v>
      </c>
      <c r="B167" s="75">
        <v>41518</v>
      </c>
      <c r="C167" s="76">
        <v>84000</v>
      </c>
      <c r="D167" s="77"/>
      <c r="E167" s="77"/>
      <c r="F167" s="77"/>
      <c r="G167" s="77"/>
      <c r="H167" s="77"/>
      <c r="I167" s="417" t="s">
        <v>1113</v>
      </c>
      <c r="J167" s="80" t="str">
        <f t="shared" si="25"/>
        <v/>
      </c>
      <c r="K167" s="81"/>
      <c r="L167" s="82" t="s">
        <v>734</v>
      </c>
      <c r="M167" s="222">
        <v>46203</v>
      </c>
      <c r="N167" s="222">
        <v>46204</v>
      </c>
      <c r="O167" s="206"/>
      <c r="P167" s="82" t="s">
        <v>1119</v>
      </c>
      <c r="Q167" s="85"/>
      <c r="R167" s="82" t="s">
        <v>1120</v>
      </c>
      <c r="S167" s="77" t="s">
        <v>33</v>
      </c>
      <c r="T167" s="86">
        <v>46124</v>
      </c>
      <c r="U167" s="87" t="str">
        <f>IF(V167="","No AIS",VLOOKUP(V167,'Voyage days'!$A$3:$B$1480,2,FALSE))</f>
        <v>USG</v>
      </c>
      <c r="V167" s="88" t="str">
        <f>IF(VLOOKUP(A167,'1) Kpler'!$E$2:$P$1000,8, FALSE)="","",VLOOKUP(A167,'1) Kpler'!$E$2:$P$1000,8, FALSE))</f>
        <v>Freeport Texas</v>
      </c>
      <c r="W167" s="89">
        <f>IF(VLOOKUP(A167,'1) Kpler'!$E$2:$P$1000,9,FALSE)="","",VLOOKUP(A167,'1) Kpler'!$E$2:$P$1000,9,FALSE))</f>
        <v>46162.75</v>
      </c>
      <c r="X167" s="88" t="str">
        <f>VLOOKUP(A167,'1) Kpler'!$E$2:$I$1000,4,FALSE)</f>
        <v>ballast</v>
      </c>
      <c r="Y167" s="63" t="str">
        <f t="shared" si="0"/>
        <v>11-12 Jul</v>
      </c>
      <c r="Z167" s="63" t="str">
        <f t="shared" si="1"/>
        <v>07-08 Aug</v>
      </c>
      <c r="AA167" s="63" t="str">
        <f t="shared" si="2"/>
        <v>06-07 Aug</v>
      </c>
      <c r="AB167" s="90" t="str">
        <f t="shared" si="3"/>
        <v>20-21 Jul</v>
      </c>
      <c r="AC167" s="90" t="str">
        <f t="shared" si="4"/>
        <v>29-30 Jul</v>
      </c>
      <c r="AD167" s="90" t="str">
        <f t="shared" si="5"/>
        <v>03-04 Jul</v>
      </c>
      <c r="AE167" s="91" t="str">
        <f t="shared" si="6"/>
        <v>04-05 Jul</v>
      </c>
      <c r="AF167" s="92" t="str">
        <f t="shared" si="7"/>
        <v>06-07 Aug</v>
      </c>
      <c r="AG167" s="93" t="str">
        <f t="shared" si="26"/>
        <v>11-12 Jul</v>
      </c>
      <c r="AH167" s="94">
        <f>IFERROR($M167+VLOOKUP($L167,'Voyage days'!$F$38:$H$89,3,FALSE),"")</f>
        <v>46214</v>
      </c>
      <c r="AI167" s="94">
        <f>IFERROR(N167+VLOOKUP($L167,'Voyage days'!$F$38:$H$89,3,FALSE),"")</f>
        <v>46215</v>
      </c>
      <c r="AJ167" s="93" t="str">
        <f t="shared" si="27"/>
        <v>07-08 Aug</v>
      </c>
      <c r="AK167" s="94">
        <f>IFERROR($M167+VLOOKUP($L167,'Voyage days'!$F$94:$H$193,3,FALSE),"")</f>
        <v>46241</v>
      </c>
      <c r="AL167" s="94">
        <f>IFERROR($N167+VLOOKUP($L167,'Voyage days'!$F$94:$H$193,3,FALSE),"")</f>
        <v>46242</v>
      </c>
      <c r="AM167" s="93" t="str">
        <f t="shared" si="28"/>
        <v>06-07 Aug</v>
      </c>
      <c r="AN167" s="94">
        <f>IFERROR($M167+VLOOKUP($L167,'Voyage days'!$F$203:$H$256,3,FALSE),"")</f>
        <v>46240</v>
      </c>
      <c r="AO167" s="94">
        <f>IFERROR($N167+VLOOKUP($L167,'Voyage days'!$F$203:$H$256,3,FALSE),"")</f>
        <v>46241</v>
      </c>
      <c r="AP167" s="93" t="str">
        <f t="shared" si="29"/>
        <v>20-21 Jul</v>
      </c>
      <c r="AQ167" s="94">
        <f>IFERROR($M167+VLOOKUP($L167,'Voyage days'!$F$294:$H$377,3,FALSE),"")</f>
        <v>46223</v>
      </c>
      <c r="AR167" s="94">
        <f>IFERROR($N167+VLOOKUP($L167,'Voyage days'!$F$294:$H$377,3,FALSE),"")</f>
        <v>46224</v>
      </c>
      <c r="AS167" s="93" t="str">
        <f t="shared" si="30"/>
        <v>29-30 Jul</v>
      </c>
      <c r="AT167" s="94">
        <f>IFERROR($M167+VLOOKUP($L167,'Voyage days'!$F$382:$H$446,3,FALSE),"")</f>
        <v>46232</v>
      </c>
      <c r="AU167" s="94">
        <f>IFERROR($N167+VLOOKUP($L167,'Voyage days'!$F$382:$H$446,3,FALSE),"")</f>
        <v>46233</v>
      </c>
      <c r="AV167" s="93" t="str">
        <f t="shared" si="31"/>
        <v>09-10 Jul</v>
      </c>
      <c r="AW167" s="94">
        <f>IFERROR($M167+VLOOKUP($L167,'Voyage days'!$F$483:$H$538,3,FALSE),"")</f>
        <v>46212</v>
      </c>
      <c r="AX167" s="94">
        <f>IFERROR($N167+VLOOKUP($L167,'Voyage days'!$F$483:$H$538,3,FALSE),"")</f>
        <v>46213</v>
      </c>
      <c r="AY167" s="93" t="str">
        <f t="shared" si="32"/>
        <v>04-05 Jul</v>
      </c>
      <c r="AZ167" s="94">
        <f>IFERROR($M167+VLOOKUP($L167,'Voyage days'!$F$540:$H$613,3,FALSE),"")</f>
        <v>46207</v>
      </c>
      <c r="BA167" s="94">
        <f>IFERROR($N167+VLOOKUP($L167,'Voyage days'!$F$540:$H$613,3,FALSE),"")</f>
        <v>46208</v>
      </c>
      <c r="BB167" s="93" t="str">
        <f t="shared" si="33"/>
        <v>03-04 Jul</v>
      </c>
      <c r="BC167" s="94">
        <f>IFERROR($M167+VLOOKUP($L167,'Voyage days'!$F$448:$H$479,3,FALSE),"")</f>
        <v>46206</v>
      </c>
      <c r="BD167" s="94">
        <f>IFERROR($N167+VLOOKUP($L167,'Voyage days'!$F$448:$H$479,3,FALSE),"")</f>
        <v>46207</v>
      </c>
      <c r="BE167" s="93" t="str">
        <f t="shared" si="34"/>
        <v/>
      </c>
      <c r="BF167" s="95" t="str">
        <f>IFERROR($M167+VLOOKUP($L167,'Voyage days'!$F$620:$H$646,3,FALSE),"")</f>
        <v/>
      </c>
      <c r="BG167" s="95" t="str">
        <f>IFERROR($N167+VLOOKUP($L167,'Voyage days'!$F$620:$H$646,3,FALSE),"")</f>
        <v/>
      </c>
      <c r="BH167" s="93" t="str">
        <f t="shared" si="35"/>
        <v>08-07 Aug</v>
      </c>
      <c r="BI167" s="96">
        <f>IFERROR($M167+VLOOKUP($L167,'Voyage days'!$F$702:$H$727,3,FALSE),"")</f>
        <v>46211</v>
      </c>
      <c r="BJ167" s="93" t="str">
        <f t="shared" si="36"/>
        <v>06-07 Aug</v>
      </c>
      <c r="BK167" s="95">
        <f>IFERROR($M167+VLOOKUP($L167,'Voyage days'!$F$807:$H$878,3,FALSE),"")</f>
        <v>46240</v>
      </c>
      <c r="BL167" s="95">
        <f>IFERROR($N167+VLOOKUP($L167,'Voyage days'!$F$807:$H$878,3,FALSE),"")</f>
        <v>46241</v>
      </c>
      <c r="BM167" s="95">
        <f>IFERROR($N167+VLOOKUP($L167,'Voyage days'!$F$807:$K$878,6,FALSE),"")</f>
        <v>46217</v>
      </c>
      <c r="BN167" s="94" t="str">
        <f>IF(L167="loads AG", IFERROR($M167+VLOOKUP($L167,'Voyage days'!$M$38:$O$38,3,FALSE),""),"")</f>
        <v/>
      </c>
      <c r="BO167" s="94" t="str">
        <f>IF(L167="loads USG", IFERROR($M167+VLOOKUP($L167,'Voyage days'!$L$203:$N$203,3,FALSE),""),"")</f>
        <v/>
      </c>
    </row>
    <row r="168" spans="1:68" ht="15.75" customHeight="1" x14ac:dyDescent="0.25">
      <c r="A168" s="53" t="s">
        <v>536</v>
      </c>
      <c r="B168" s="421">
        <v>41773</v>
      </c>
      <c r="C168" s="76">
        <v>84000</v>
      </c>
      <c r="D168" s="77"/>
      <c r="E168" s="77"/>
      <c r="F168" s="423"/>
      <c r="G168" s="423"/>
      <c r="H168" s="423"/>
      <c r="I168" s="424" t="s">
        <v>1113</v>
      </c>
      <c r="J168" s="80" t="str">
        <f t="shared" si="25"/>
        <v/>
      </c>
      <c r="K168" s="81"/>
      <c r="L168" s="157" t="s">
        <v>734</v>
      </c>
      <c r="M168" s="83">
        <v>46174</v>
      </c>
      <c r="N168" s="83">
        <v>46174</v>
      </c>
      <c r="O168" s="206"/>
      <c r="P168" s="85" t="s">
        <v>1121</v>
      </c>
      <c r="Q168" s="265"/>
      <c r="R168" s="157" t="s">
        <v>1122</v>
      </c>
      <c r="S168" s="77" t="s">
        <v>33</v>
      </c>
      <c r="T168" s="86">
        <v>46124</v>
      </c>
      <c r="U168" s="87" t="str">
        <f>IF(V168="","No AIS",VLOOKUP(V168,'Voyage days'!$A$3:$B$1480,2,FALSE))</f>
        <v>USG</v>
      </c>
      <c r="V168" s="88" t="str">
        <f>IF(VLOOKUP(A168,'1) Kpler'!$E$2:$P$1000,8, FALSE)="","",VLOOKUP(A168,'1) Kpler'!$E$2:$P$1000,8, FALSE))</f>
        <v>Freeport Texas</v>
      </c>
      <c r="W168" s="89">
        <f>IF(VLOOKUP(A168,'1) Kpler'!$E$2:$P$1000,9,FALSE)="","",VLOOKUP(A168,'1) Kpler'!$E$2:$P$1000,9,FALSE))</f>
        <v>46132.486805555556</v>
      </c>
      <c r="X168" s="88" t="str">
        <f>VLOOKUP(A168,'1) Kpler'!$E$2:$I$1000,4,FALSE)</f>
        <v>ballast</v>
      </c>
      <c r="Y168" s="63" t="str">
        <f t="shared" si="0"/>
        <v>12-12 Jun</v>
      </c>
      <c r="Z168" s="63" t="str">
        <f t="shared" si="1"/>
        <v>09-09 Jul</v>
      </c>
      <c r="AA168" s="63" t="str">
        <f t="shared" si="2"/>
        <v>08-08 Jul</v>
      </c>
      <c r="AB168" s="90" t="str">
        <f t="shared" si="3"/>
        <v>21-21 Jun</v>
      </c>
      <c r="AC168" s="90" t="str">
        <f t="shared" si="4"/>
        <v>30-30 Jun</v>
      </c>
      <c r="AD168" s="90" t="str">
        <f t="shared" si="5"/>
        <v>04-04 Jun</v>
      </c>
      <c r="AE168" s="91" t="str">
        <f t="shared" si="6"/>
        <v>05-05 Jun</v>
      </c>
      <c r="AF168" s="92" t="str">
        <f t="shared" si="7"/>
        <v>08-08 Jul</v>
      </c>
      <c r="AG168" s="93" t="str">
        <f t="shared" si="26"/>
        <v>12-12 Jun</v>
      </c>
      <c r="AH168" s="94">
        <f>IFERROR($M168+VLOOKUP($L168,'Voyage days'!$F$38:$H$89,3,FALSE),"")</f>
        <v>46185</v>
      </c>
      <c r="AI168" s="94">
        <f>IFERROR(N168+VLOOKUP($L168,'Voyage days'!$F$38:$H$89,3,FALSE),"")</f>
        <v>46185</v>
      </c>
      <c r="AJ168" s="93" t="str">
        <f t="shared" si="27"/>
        <v>09-09 Jul</v>
      </c>
      <c r="AK168" s="94">
        <f>IFERROR($M168+VLOOKUP($L168,'Voyage days'!$F$94:$H$193,3,FALSE),"")</f>
        <v>46212</v>
      </c>
      <c r="AL168" s="94">
        <f>IFERROR($N168+VLOOKUP($L168,'Voyage days'!$F$94:$H$193,3,FALSE),"")</f>
        <v>46212</v>
      </c>
      <c r="AM168" s="93" t="str">
        <f t="shared" si="28"/>
        <v>08-08 Jul</v>
      </c>
      <c r="AN168" s="94">
        <f>IFERROR($M168+VLOOKUP($L168,'Voyage days'!$F$203:$H$256,3,FALSE),"")</f>
        <v>46211</v>
      </c>
      <c r="AO168" s="94">
        <f>IFERROR($N168+VLOOKUP($L168,'Voyage days'!$F$203:$H$256,3,FALSE),"")</f>
        <v>46211</v>
      </c>
      <c r="AP168" s="93" t="str">
        <f t="shared" si="29"/>
        <v>21-21 Jun</v>
      </c>
      <c r="AQ168" s="94">
        <f>IFERROR($M168+VLOOKUP($L168,'Voyage days'!$F$294:$H$377,3,FALSE),"")</f>
        <v>46194</v>
      </c>
      <c r="AR168" s="94">
        <f>IFERROR($N168+VLOOKUP($L168,'Voyage days'!$F$294:$H$377,3,FALSE),"")</f>
        <v>46194</v>
      </c>
      <c r="AS168" s="93" t="str">
        <f t="shared" si="30"/>
        <v>30-30 Jun</v>
      </c>
      <c r="AT168" s="94">
        <f>IFERROR($M168+VLOOKUP($L168,'Voyage days'!$F$382:$H$446,3,FALSE),"")</f>
        <v>46203</v>
      </c>
      <c r="AU168" s="94">
        <f>IFERROR($N168+VLOOKUP($L168,'Voyage days'!$F$382:$H$446,3,FALSE),"")</f>
        <v>46203</v>
      </c>
      <c r="AV168" s="93" t="str">
        <f t="shared" si="31"/>
        <v>10-10 Jun</v>
      </c>
      <c r="AW168" s="94">
        <f>IFERROR($M168+VLOOKUP($L168,'Voyage days'!$F$483:$H$538,3,FALSE),"")</f>
        <v>46183</v>
      </c>
      <c r="AX168" s="94">
        <f>IFERROR($N168+VLOOKUP($L168,'Voyage days'!$F$483:$H$538,3,FALSE),"")</f>
        <v>46183</v>
      </c>
      <c r="AY168" s="93" t="str">
        <f t="shared" si="32"/>
        <v>05-05 Jun</v>
      </c>
      <c r="AZ168" s="94">
        <f>IFERROR($M168+VLOOKUP($L168,'Voyage days'!$F$540:$H$613,3,FALSE),"")</f>
        <v>46178</v>
      </c>
      <c r="BA168" s="94">
        <f>IFERROR($N168+VLOOKUP($L168,'Voyage days'!$F$540:$H$613,3,FALSE),"")</f>
        <v>46178</v>
      </c>
      <c r="BB168" s="93" t="str">
        <f t="shared" si="33"/>
        <v>04-04 Jun</v>
      </c>
      <c r="BC168" s="94">
        <f>IFERROR($M168+VLOOKUP($L168,'Voyage days'!$F$448:$H$479,3,FALSE),"")</f>
        <v>46177</v>
      </c>
      <c r="BD168" s="94">
        <f>IFERROR($N168+VLOOKUP($L168,'Voyage days'!$F$448:$H$479,3,FALSE),"")</f>
        <v>46177</v>
      </c>
      <c r="BE168" s="93" t="str">
        <f t="shared" si="34"/>
        <v/>
      </c>
      <c r="BF168" s="95" t="str">
        <f>IFERROR($M168+VLOOKUP($L168,'Voyage days'!$F$620:$H$646,3,FALSE),"")</f>
        <v/>
      </c>
      <c r="BG168" s="95" t="str">
        <f>IFERROR($N168+VLOOKUP($L168,'Voyage days'!$F$620:$H$646,3,FALSE),"")</f>
        <v/>
      </c>
      <c r="BH168" s="93" t="str">
        <f t="shared" si="35"/>
        <v>09-08 Jul</v>
      </c>
      <c r="BI168" s="96">
        <f>IFERROR($M168+VLOOKUP($L168,'Voyage days'!$F$702:$H$727,3,FALSE),"")</f>
        <v>46182</v>
      </c>
      <c r="BJ168" s="93" t="str">
        <f t="shared" si="36"/>
        <v>08-08 Jul</v>
      </c>
      <c r="BK168" s="95">
        <f>IFERROR($M168+VLOOKUP($L168,'Voyage days'!$F$807:$H$878,3,FALSE),"")</f>
        <v>46211</v>
      </c>
      <c r="BL168" s="95">
        <f>IFERROR($N168+VLOOKUP($L168,'Voyage days'!$F$807:$H$878,3,FALSE),"")</f>
        <v>46211</v>
      </c>
      <c r="BM168" s="95">
        <f>IFERROR($N168+VLOOKUP($L168,'Voyage days'!$F$807:$K$878,6,FALSE),"")</f>
        <v>46187</v>
      </c>
      <c r="BN168" s="94" t="str">
        <f>IF(L168="loads AG", IFERROR($M168+VLOOKUP($L168,'Voyage days'!$M$38:$O$38,3,FALSE),""),"")</f>
        <v/>
      </c>
      <c r="BO168" s="94" t="str">
        <f>IF(L168="loads USG", IFERROR($M168+VLOOKUP($L168,'Voyage days'!$L$203:$N$203,3,FALSE),""),"")</f>
        <v/>
      </c>
    </row>
    <row r="169" spans="1:68" ht="15.75" customHeight="1" x14ac:dyDescent="0.25">
      <c r="A169" s="74" t="s">
        <v>550</v>
      </c>
      <c r="B169" s="153">
        <v>37530</v>
      </c>
      <c r="C169" s="76">
        <v>82200</v>
      </c>
      <c r="D169" s="77"/>
      <c r="E169" s="77"/>
      <c r="F169" s="78"/>
      <c r="G169" s="78"/>
      <c r="H169" s="78"/>
      <c r="I169" s="417" t="s">
        <v>1113</v>
      </c>
      <c r="J169" s="80" t="str">
        <f t="shared" si="25"/>
        <v>NO AIS</v>
      </c>
      <c r="K169" s="81"/>
      <c r="L169" s="82" t="s">
        <v>734</v>
      </c>
      <c r="M169" s="83">
        <v>46129</v>
      </c>
      <c r="N169" s="83">
        <v>46130</v>
      </c>
      <c r="O169" s="206" t="s">
        <v>71</v>
      </c>
      <c r="P169" s="82" t="s">
        <v>1123</v>
      </c>
      <c r="Q169" s="85"/>
      <c r="R169" s="82" t="s">
        <v>1124</v>
      </c>
      <c r="S169" s="77" t="s">
        <v>33</v>
      </c>
      <c r="T169" s="86">
        <v>46124</v>
      </c>
      <c r="U169" s="87" t="str">
        <f>IF(V169="","No AIS",VLOOKUP(V169,'Voyage days'!$A$3:$B$1480,2,FALSE))</f>
        <v>No AIS</v>
      </c>
      <c r="V169" s="88" t="str">
        <f>IF(VLOOKUP(A169,'1) Kpler'!$E$2:$P$1000,8, FALSE)="","",VLOOKUP(A169,'1) Kpler'!$E$2:$P$1000,8, FALSE))</f>
        <v/>
      </c>
      <c r="W169" s="89" t="str">
        <f>IF(VLOOKUP(A169,'1) Kpler'!$E$2:$P$1000,9,FALSE)="","",VLOOKUP(A169,'1) Kpler'!$E$2:$P$1000,9,FALSE))</f>
        <v/>
      </c>
      <c r="X169" s="88" t="str">
        <f>VLOOKUP(A169,'1) Kpler'!$E$2:$I$1000,4,FALSE)</f>
        <v>ballast</v>
      </c>
      <c r="Y169" s="63" t="str">
        <f t="shared" si="0"/>
        <v>28-29 Apr</v>
      </c>
      <c r="Z169" s="63" t="str">
        <f t="shared" si="1"/>
        <v>25-26 May</v>
      </c>
      <c r="AA169" s="63" t="str">
        <f t="shared" si="2"/>
        <v>24-25 May</v>
      </c>
      <c r="AB169" s="90" t="str">
        <f t="shared" si="3"/>
        <v>07-08 May</v>
      </c>
      <c r="AC169" s="90" t="str">
        <f t="shared" si="4"/>
        <v>16-17 May</v>
      </c>
      <c r="AD169" s="90" t="str">
        <f t="shared" si="5"/>
        <v>20-21 Apr</v>
      </c>
      <c r="AE169" s="91" t="str">
        <f t="shared" si="6"/>
        <v>21-22 Apr</v>
      </c>
      <c r="AF169" s="92" t="str">
        <f t="shared" si="7"/>
        <v>24-25 May</v>
      </c>
      <c r="AG169" s="93" t="str">
        <f t="shared" si="26"/>
        <v>28-29 Apr</v>
      </c>
      <c r="AH169" s="94">
        <f>IFERROR($M169+VLOOKUP($L169,'Voyage days'!$F$38:$H$89,3,FALSE),"")</f>
        <v>46140</v>
      </c>
      <c r="AI169" s="94">
        <f>IFERROR(N169+VLOOKUP($L169,'Voyage days'!$F$38:$H$89,3,FALSE),"")</f>
        <v>46141</v>
      </c>
      <c r="AJ169" s="93" t="str">
        <f t="shared" si="27"/>
        <v>25-26 May</v>
      </c>
      <c r="AK169" s="94">
        <f>IFERROR($M169+VLOOKUP($L169,'Voyage days'!$F$94:$H$193,3,FALSE),"")</f>
        <v>46167</v>
      </c>
      <c r="AL169" s="94">
        <f>IFERROR($N169+VLOOKUP($L169,'Voyage days'!$F$94:$H$193,3,FALSE),"")</f>
        <v>46168</v>
      </c>
      <c r="AM169" s="93" t="str">
        <f t="shared" si="28"/>
        <v>24-25 May</v>
      </c>
      <c r="AN169" s="94">
        <f>IFERROR($M169+VLOOKUP($L169,'Voyage days'!$F$203:$H$256,3,FALSE),"")</f>
        <v>46166</v>
      </c>
      <c r="AO169" s="94">
        <f>IFERROR($N169+VLOOKUP($L169,'Voyage days'!$F$203:$H$256,3,FALSE),"")</f>
        <v>46167</v>
      </c>
      <c r="AP169" s="93" t="str">
        <f t="shared" si="29"/>
        <v>07-08 May</v>
      </c>
      <c r="AQ169" s="94">
        <f>IFERROR($M169+VLOOKUP($L169,'Voyage days'!$F$294:$H$377,3,FALSE),"")</f>
        <v>46149</v>
      </c>
      <c r="AR169" s="94">
        <f>IFERROR($N169+VLOOKUP($L169,'Voyage days'!$F$294:$H$377,3,FALSE),"")</f>
        <v>46150</v>
      </c>
      <c r="AS169" s="93" t="str">
        <f t="shared" si="30"/>
        <v>16-17 May</v>
      </c>
      <c r="AT169" s="94">
        <f>IFERROR($M169+VLOOKUP($L169,'Voyage days'!$F$382:$H$446,3,FALSE),"")</f>
        <v>46158</v>
      </c>
      <c r="AU169" s="94">
        <f>IFERROR($N169+VLOOKUP($L169,'Voyage days'!$F$382:$H$446,3,FALSE),"")</f>
        <v>46159</v>
      </c>
      <c r="AV169" s="93" t="str">
        <f t="shared" si="31"/>
        <v>26-27 Apr</v>
      </c>
      <c r="AW169" s="94">
        <f>IFERROR($M169+VLOOKUP($L169,'Voyage days'!$F$483:$H$538,3,FALSE),"")</f>
        <v>46138</v>
      </c>
      <c r="AX169" s="94">
        <f>IFERROR($N169+VLOOKUP($L169,'Voyage days'!$F$483:$H$538,3,FALSE),"")</f>
        <v>46139</v>
      </c>
      <c r="AY169" s="93" t="str">
        <f t="shared" si="32"/>
        <v>21-22 Apr</v>
      </c>
      <c r="AZ169" s="94">
        <f>IFERROR($M169+VLOOKUP($L169,'Voyage days'!$F$540:$H$613,3,FALSE),"")</f>
        <v>46133</v>
      </c>
      <c r="BA169" s="94">
        <f>IFERROR($N169+VLOOKUP($L169,'Voyage days'!$F$540:$H$613,3,FALSE),"")</f>
        <v>46134</v>
      </c>
      <c r="BB169" s="93" t="str">
        <f t="shared" si="33"/>
        <v>20-21 Apr</v>
      </c>
      <c r="BC169" s="94">
        <f>IFERROR($M169+VLOOKUP($L169,'Voyage days'!$F$448:$H$479,3,FALSE),"")</f>
        <v>46132</v>
      </c>
      <c r="BD169" s="94">
        <f>IFERROR($N169+VLOOKUP($L169,'Voyage days'!$F$448:$H$479,3,FALSE),"")</f>
        <v>46133</v>
      </c>
      <c r="BE169" s="93" t="str">
        <f t="shared" si="34"/>
        <v/>
      </c>
      <c r="BF169" s="95" t="str">
        <f>IFERROR($M169+VLOOKUP($L169,'Voyage days'!$F$620:$H$646,3,FALSE),"")</f>
        <v/>
      </c>
      <c r="BG169" s="95" t="str">
        <f>IFERROR($N169+VLOOKUP($L169,'Voyage days'!$F$620:$H$646,3,FALSE),"")</f>
        <v/>
      </c>
      <c r="BH169" s="93" t="str">
        <f t="shared" si="35"/>
        <v>25-25 May</v>
      </c>
      <c r="BI169" s="96">
        <f>IFERROR($M169+VLOOKUP($L169,'Voyage days'!$F$702:$H$727,3,FALSE),"")</f>
        <v>46137</v>
      </c>
      <c r="BJ169" s="93" t="str">
        <f t="shared" si="36"/>
        <v>24-25 May</v>
      </c>
      <c r="BK169" s="95">
        <f>IFERROR($M169+VLOOKUP($L169,'Voyage days'!$F$807:$H$878,3,FALSE),"")</f>
        <v>46166</v>
      </c>
      <c r="BL169" s="95">
        <f>IFERROR($N169+VLOOKUP($L169,'Voyage days'!$F$807:$H$878,3,FALSE),"")</f>
        <v>46167</v>
      </c>
      <c r="BM169" s="95">
        <f>IFERROR($N169+VLOOKUP($L169,'Voyage days'!$F$807:$K$878,6,FALSE),"")</f>
        <v>46143</v>
      </c>
      <c r="BN169" s="94" t="str">
        <f>IF(L169="loads AG", IFERROR($M169+VLOOKUP($L169,'Voyage days'!$M$38:$O$38,3,FALSE),""),"")</f>
        <v/>
      </c>
      <c r="BO169" s="94" t="str">
        <f>IF(L169="loads USG", IFERROR($M169+VLOOKUP($L169,'Voyage days'!$L$203:$N$203,3,FALSE),""),"")</f>
        <v/>
      </c>
    </row>
    <row r="170" spans="1:68" ht="15.75" customHeight="1" x14ac:dyDescent="0.25">
      <c r="A170" s="425" t="s">
        <v>630</v>
      </c>
      <c r="B170" s="176">
        <v>39539</v>
      </c>
      <c r="C170" s="134">
        <v>82500</v>
      </c>
      <c r="D170" s="143"/>
      <c r="E170" s="143"/>
      <c r="F170" s="136"/>
      <c r="G170" s="136"/>
      <c r="H170" s="136" t="s">
        <v>739</v>
      </c>
      <c r="I170" s="426" t="s">
        <v>1113</v>
      </c>
      <c r="J170" s="138" t="str">
        <f t="shared" si="25"/>
        <v/>
      </c>
      <c r="K170" s="139"/>
      <c r="L170" s="140" t="s">
        <v>734</v>
      </c>
      <c r="M170" s="141">
        <v>46193</v>
      </c>
      <c r="N170" s="141">
        <v>46194</v>
      </c>
      <c r="O170" s="226"/>
      <c r="P170" s="140" t="s">
        <v>1125</v>
      </c>
      <c r="Q170" s="140"/>
      <c r="R170" s="140" t="s">
        <v>1126</v>
      </c>
      <c r="S170" s="143" t="s">
        <v>33</v>
      </c>
      <c r="T170" s="144">
        <v>46124</v>
      </c>
      <c r="U170" s="145" t="str">
        <f>IF(V170="","No AIS",VLOOKUP(V170,'Voyage days'!$A$3:$B$1480,2,FALSE))</f>
        <v>USG</v>
      </c>
      <c r="V170" s="146" t="str">
        <f>IF(VLOOKUP(A170,'1) Kpler'!$E$2:$P$1000,8, FALSE)="","",VLOOKUP(A170,'1) Kpler'!$E$2:$P$1000,8, FALSE))</f>
        <v>Freeport Texas</v>
      </c>
      <c r="W170" s="147">
        <f>IF(VLOOKUP(A170,'1) Kpler'!$E$2:$P$1000,9,FALSE)="","",VLOOKUP(A170,'1) Kpler'!$E$2:$P$1000,9,FALSE))</f>
        <v>46152.625</v>
      </c>
      <c r="X170" s="146" t="str">
        <f>VLOOKUP(A170,'1) Kpler'!$E$2:$I$1000,4,FALSE)</f>
        <v>ballast</v>
      </c>
      <c r="Y170" s="93" t="str">
        <f t="shared" si="0"/>
        <v>01-02 Jul</v>
      </c>
      <c r="Z170" s="93" t="str">
        <f t="shared" si="1"/>
        <v>28-29 Jul</v>
      </c>
      <c r="AA170" s="93" t="str">
        <f t="shared" si="2"/>
        <v>27-28 Jul</v>
      </c>
      <c r="AB170" s="148" t="str">
        <f t="shared" si="3"/>
        <v>10-11 Jul</v>
      </c>
      <c r="AC170" s="148" t="str">
        <f t="shared" si="4"/>
        <v>19-20 Jul</v>
      </c>
      <c r="AD170" s="148" t="str">
        <f t="shared" si="5"/>
        <v>23-24 Jun</v>
      </c>
      <c r="AE170" s="149" t="str">
        <f t="shared" si="6"/>
        <v>24-25 Jun</v>
      </c>
      <c r="AF170" s="150" t="str">
        <f t="shared" si="7"/>
        <v>27-28 Jul</v>
      </c>
      <c r="AG170" s="93" t="str">
        <f t="shared" si="26"/>
        <v>01-02 Jul</v>
      </c>
      <c r="AH170" s="94">
        <f>IFERROR($M170+VLOOKUP($L170,'Voyage days'!$F$38:$H$89,3,FALSE),"")</f>
        <v>46204</v>
      </c>
      <c r="AI170" s="94">
        <f>IFERROR(N170+VLOOKUP($L170,'Voyage days'!$F$38:$H$89,3,FALSE),"")</f>
        <v>46205</v>
      </c>
      <c r="AJ170" s="93" t="str">
        <f t="shared" si="27"/>
        <v>28-29 Jul</v>
      </c>
      <c r="AK170" s="94">
        <f>IFERROR($M170+VLOOKUP($L170,'Voyage days'!$F$94:$H$193,3,FALSE),"")</f>
        <v>46231</v>
      </c>
      <c r="AL170" s="94">
        <f>IFERROR($N170+VLOOKUP($L170,'Voyage days'!$F$94:$H$193,3,FALSE),"")</f>
        <v>46232</v>
      </c>
      <c r="AM170" s="93" t="str">
        <f t="shared" si="28"/>
        <v>27-28 Jul</v>
      </c>
      <c r="AN170" s="94">
        <f>IFERROR($M170+VLOOKUP($L170,'Voyage days'!$F$203:$H$256,3,FALSE),"")</f>
        <v>46230</v>
      </c>
      <c r="AO170" s="94">
        <f>IFERROR($N170+VLOOKUP($L170,'Voyage days'!$F$203:$H$256,3,FALSE),"")</f>
        <v>46231</v>
      </c>
      <c r="AP170" s="93" t="str">
        <f t="shared" si="29"/>
        <v>10-11 Jul</v>
      </c>
      <c r="AQ170" s="94">
        <f>IFERROR($M170+VLOOKUP($L170,'Voyage days'!$F$294:$H$377,3,FALSE),"")</f>
        <v>46213</v>
      </c>
      <c r="AR170" s="94">
        <f>IFERROR($N170+VLOOKUP($L170,'Voyage days'!$F$294:$H$377,3,FALSE),"")</f>
        <v>46214</v>
      </c>
      <c r="AS170" s="93" t="str">
        <f t="shared" si="30"/>
        <v>19-20 Jul</v>
      </c>
      <c r="AT170" s="94">
        <f>IFERROR($M170+VLOOKUP($L170,'Voyage days'!$F$382:$H$446,3,FALSE),"")</f>
        <v>46222</v>
      </c>
      <c r="AU170" s="94">
        <f>IFERROR($N170+VLOOKUP($L170,'Voyage days'!$F$382:$H$446,3,FALSE),"")</f>
        <v>46223</v>
      </c>
      <c r="AV170" s="93" t="str">
        <f t="shared" si="31"/>
        <v>29-30 Jun</v>
      </c>
      <c r="AW170" s="94">
        <f>IFERROR($M170+VLOOKUP($L170,'Voyage days'!$F$483:$H$538,3,FALSE),"")</f>
        <v>46202</v>
      </c>
      <c r="AX170" s="94">
        <f>IFERROR($N170+VLOOKUP($L170,'Voyage days'!$F$483:$H$538,3,FALSE),"")</f>
        <v>46203</v>
      </c>
      <c r="AY170" s="93" t="str">
        <f t="shared" si="32"/>
        <v>24-25 Jun</v>
      </c>
      <c r="AZ170" s="94">
        <f>IFERROR($M170+VLOOKUP($L170,'Voyage days'!$F$540:$H$613,3,FALSE),"")</f>
        <v>46197</v>
      </c>
      <c r="BA170" s="94">
        <f>IFERROR($N170+VLOOKUP($L170,'Voyage days'!$F$540:$H$613,3,FALSE),"")</f>
        <v>46198</v>
      </c>
      <c r="BB170" s="93" t="str">
        <f t="shared" si="33"/>
        <v>23-24 Jun</v>
      </c>
      <c r="BC170" s="94">
        <f>IFERROR($M170+VLOOKUP($L170,'Voyage days'!$F$448:$H$479,3,FALSE),"")</f>
        <v>46196</v>
      </c>
      <c r="BD170" s="94">
        <f>IFERROR($N170+VLOOKUP($L170,'Voyage days'!$F$448:$H$479,3,FALSE),"")</f>
        <v>46197</v>
      </c>
      <c r="BE170" s="93" t="str">
        <f t="shared" si="34"/>
        <v/>
      </c>
      <c r="BF170" s="95" t="str">
        <f>IFERROR($M170+VLOOKUP($L170,'Voyage days'!$F$620:$H$646,3,FALSE),"")</f>
        <v/>
      </c>
      <c r="BG170" s="95" t="str">
        <f>IFERROR($N170+VLOOKUP($L170,'Voyage days'!$F$620:$H$646,3,FALSE),"")</f>
        <v/>
      </c>
      <c r="BH170" s="93" t="str">
        <f t="shared" si="35"/>
        <v>28-28 Jul</v>
      </c>
      <c r="BI170" s="96">
        <f>IFERROR($M170+VLOOKUP($L170,'Voyage days'!$F$702:$H$727,3,FALSE),"")</f>
        <v>46201</v>
      </c>
      <c r="BJ170" s="93" t="str">
        <f t="shared" si="36"/>
        <v>27-28 Jul</v>
      </c>
      <c r="BK170" s="95">
        <f>IFERROR($M170+VLOOKUP($L170,'Voyage days'!$F$807:$H$878,3,FALSE),"")</f>
        <v>46230</v>
      </c>
      <c r="BL170" s="95">
        <f>IFERROR($N170+VLOOKUP($L170,'Voyage days'!$F$807:$H$878,3,FALSE),"")</f>
        <v>46231</v>
      </c>
      <c r="BM170" s="95">
        <f>IFERROR($N170+VLOOKUP($L170,'Voyage days'!$F$807:$K$878,6,FALSE),"")</f>
        <v>46207</v>
      </c>
      <c r="BN170" s="94" t="str">
        <f>IF(L170="loads AG", IFERROR($M170+VLOOKUP($L170,'Voyage days'!$M$38:$O$38,3,FALSE),""),"")</f>
        <v/>
      </c>
      <c r="BO170" s="94" t="str">
        <f>IF(L170="loads USG", IFERROR($M170+VLOOKUP($L170,'Voyage days'!$L$203:$N$203,3,FALSE),""),"")</f>
        <v/>
      </c>
      <c r="BP170" s="248"/>
    </row>
    <row r="171" spans="1:68" ht="15.75" customHeight="1" x14ac:dyDescent="0.25">
      <c r="A171" s="218" t="s">
        <v>370</v>
      </c>
      <c r="B171" s="348">
        <v>2023</v>
      </c>
      <c r="C171" s="427">
        <v>93000</v>
      </c>
      <c r="D171" s="120"/>
      <c r="E171" s="120"/>
      <c r="F171" s="121"/>
      <c r="G171" s="121"/>
      <c r="H171" s="121" t="s">
        <v>713</v>
      </c>
      <c r="I171" s="249" t="s">
        <v>1127</v>
      </c>
      <c r="J171" s="122" t="str">
        <f t="shared" si="25"/>
        <v/>
      </c>
      <c r="K171" s="123"/>
      <c r="L171" s="124" t="s">
        <v>715</v>
      </c>
      <c r="M171" s="189">
        <v>46138</v>
      </c>
      <c r="N171" s="189">
        <v>46139</v>
      </c>
      <c r="O171" s="126"/>
      <c r="P171" s="124" t="s">
        <v>1128</v>
      </c>
      <c r="Q171" s="100"/>
      <c r="R171" s="124" t="s">
        <v>1129</v>
      </c>
      <c r="S171" s="120" t="s">
        <v>724</v>
      </c>
      <c r="T171" s="329">
        <v>46132</v>
      </c>
      <c r="U171" s="87" t="str">
        <f>IF(V171="","No AIS",VLOOKUP(V171,'Voyage days'!$A$3:$B$1480,2,FALSE))</f>
        <v>Japan + 6</v>
      </c>
      <c r="V171" s="87" t="str">
        <f>IF(VLOOKUP(A171,'1) Kpler'!$E$2:$P$1000,8, FALSE)="","",VLOOKUP(A171,'1) Kpler'!$E$2:$P$1000,8, FALSE))</f>
        <v>Imari</v>
      </c>
      <c r="W171" s="128">
        <f>IF(VLOOKUP(A171,'1) Kpler'!$E$2:$P$1000,9,FALSE)="","",VLOOKUP(A171,'1) Kpler'!$E$2:$P$1000,9,FALSE))</f>
        <v>46132.5</v>
      </c>
      <c r="X171" s="87" t="str">
        <f>VLOOKUP(A171,'1) Kpler'!$E$2:$I$1000,4,FALSE)</f>
        <v>loaded</v>
      </c>
      <c r="Y171" s="219" t="str">
        <f t="shared" si="0"/>
        <v>14-15 May</v>
      </c>
      <c r="Z171" s="219" t="str">
        <f t="shared" si="1"/>
        <v>27-28 May</v>
      </c>
      <c r="AA171" s="219" t="str">
        <f t="shared" si="2"/>
        <v>07-08 Jun</v>
      </c>
      <c r="AB171" s="219" t="str">
        <f t="shared" si="3"/>
        <v>26-27 May</v>
      </c>
      <c r="AC171" s="219" t="str">
        <f t="shared" si="4"/>
        <v>01-02 Jun</v>
      </c>
      <c r="AD171" s="219" t="str">
        <f t="shared" si="5"/>
        <v>04-05 May</v>
      </c>
      <c r="AE171" s="220" t="str">
        <f t="shared" si="6"/>
        <v>04-05 May</v>
      </c>
      <c r="AF171" s="130" t="str">
        <f t="shared" si="7"/>
        <v>11-12 Jun</v>
      </c>
      <c r="AG171" s="131" t="str">
        <f t="shared" si="26"/>
        <v>14-15 May</v>
      </c>
      <c r="AH171" s="95">
        <f>IFERROR($M171+VLOOKUP($L171,'Voyage days'!$F$38:$H$89,3,FALSE),"")</f>
        <v>46156</v>
      </c>
      <c r="AI171" s="95">
        <f>IFERROR(N171+VLOOKUP($L171,'Voyage days'!$F$38:$H$89,3,FALSE),"")</f>
        <v>46157</v>
      </c>
      <c r="AJ171" s="131" t="str">
        <f t="shared" si="27"/>
        <v>27-28 May</v>
      </c>
      <c r="AK171" s="95">
        <f>IFERROR($M171+VLOOKUP($L171,'Voyage days'!$F$94:$H$193,3,FALSE),"")</f>
        <v>46169</v>
      </c>
      <c r="AL171" s="95">
        <f>IFERROR($N171+VLOOKUP($L171,'Voyage days'!$F$94:$H$193,3,FALSE),"")</f>
        <v>46170</v>
      </c>
      <c r="AM171" s="131" t="str">
        <f t="shared" si="28"/>
        <v>07-08 Jun</v>
      </c>
      <c r="AN171" s="95">
        <f>IFERROR($M171+VLOOKUP($L171,'Voyage days'!$F$203:$H$256,3,FALSE),"")</f>
        <v>46180</v>
      </c>
      <c r="AO171" s="95">
        <f>IFERROR($N171+VLOOKUP($L171,'Voyage days'!$F$203:$H$256,3,FALSE),"")</f>
        <v>46181</v>
      </c>
      <c r="AP171" s="131" t="str">
        <f t="shared" si="29"/>
        <v>26-27 May</v>
      </c>
      <c r="AQ171" s="95">
        <f>IFERROR($M171+VLOOKUP($L171,'Voyage days'!$F$294:$H$377,3,FALSE),"")</f>
        <v>46168</v>
      </c>
      <c r="AR171" s="95">
        <f>IFERROR($N171+VLOOKUP($L171,'Voyage days'!$F$294:$H$377,3,FALSE),"")</f>
        <v>46169</v>
      </c>
      <c r="AS171" s="131" t="str">
        <f t="shared" si="30"/>
        <v>01-02 Jun</v>
      </c>
      <c r="AT171" s="95">
        <f>IFERROR($M171+VLOOKUP($L171,'Voyage days'!$F$382:$H$446,3,FALSE),"")</f>
        <v>46174</v>
      </c>
      <c r="AU171" s="95">
        <f>IFERROR($N171+VLOOKUP($L171,'Voyage days'!$F$382:$H$446,3,FALSE),"")</f>
        <v>46175</v>
      </c>
      <c r="AV171" s="131" t="str">
        <f t="shared" si="31"/>
        <v>09-10 May</v>
      </c>
      <c r="AW171" s="95">
        <f>IFERROR($M171+VLOOKUP($L171,'Voyage days'!$F$483:$H$538,3,FALSE),"")</f>
        <v>46151</v>
      </c>
      <c r="AX171" s="95">
        <f>IFERROR($N171+VLOOKUP($L171,'Voyage days'!$F$483:$H$538,3,FALSE),"")</f>
        <v>46152</v>
      </c>
      <c r="AY171" s="131" t="str">
        <f t="shared" si="32"/>
        <v>04-05 May</v>
      </c>
      <c r="AZ171" s="95">
        <f>IFERROR($M171+VLOOKUP($L171,'Voyage days'!$F$540:$H$613,3,FALSE),"")</f>
        <v>46146.25</v>
      </c>
      <c r="BA171" s="95">
        <f>IFERROR($N171+VLOOKUP($L171,'Voyage days'!$F$540:$H$613,3,FALSE),"")</f>
        <v>46147.25</v>
      </c>
      <c r="BB171" s="131" t="str">
        <f t="shared" si="33"/>
        <v>04-05 May</v>
      </c>
      <c r="BC171" s="95">
        <f>IFERROR($M171+VLOOKUP($L171,'Voyage days'!$F$448:$H$479,3,FALSE),"")</f>
        <v>46146</v>
      </c>
      <c r="BD171" s="95">
        <f>IFERROR($N171+VLOOKUP($L171,'Voyage days'!$F$448:$H$479,3,FALSE),"")</f>
        <v>46147</v>
      </c>
      <c r="BE171" s="131" t="str">
        <f t="shared" si="34"/>
        <v>07-08 May</v>
      </c>
      <c r="BF171" s="95">
        <f>IFERROR($M171+VLOOKUP($L171,'Voyage days'!$F$620:$H$646,3,FALSE),"")</f>
        <v>46149</v>
      </c>
      <c r="BG171" s="95">
        <f>IFERROR($N171+VLOOKUP($L171,'Voyage days'!$F$620:$H$646,3,FALSE),"")</f>
        <v>46150</v>
      </c>
      <c r="BH171" s="131" t="str">
        <f t="shared" si="35"/>
        <v>04-12 Jun</v>
      </c>
      <c r="BI171" s="96">
        <f>IFERROR($M171+VLOOKUP($L171,'Voyage days'!$F$702:$H$727,3,FALSE),"")</f>
        <v>46146.25</v>
      </c>
      <c r="BJ171" s="131" t="str">
        <f t="shared" si="36"/>
        <v>11-12 Jun</v>
      </c>
      <c r="BK171" s="95">
        <f>IFERROR($M171+VLOOKUP($L171,'Voyage days'!$F$807:$H$878,3,FALSE),"")</f>
        <v>46184</v>
      </c>
      <c r="BL171" s="95">
        <f>IFERROR($N171+VLOOKUP($L171,'Voyage days'!$F$807:$H$878,3,FALSE),"")</f>
        <v>46185</v>
      </c>
      <c r="BM171" s="95">
        <f>IFERROR($N171+VLOOKUP($L171,'Voyage days'!$F$807:$K$878,6,FALSE),"")</f>
        <v>46159</v>
      </c>
      <c r="BN171" s="95" t="str">
        <f>IF(L171="loads AG", IFERROR($M171+VLOOKUP($L171,'Voyage days'!$M$38:$O$38,3,FALSE),""),"")</f>
        <v/>
      </c>
      <c r="BO171" s="95" t="str">
        <f>IF(L171="loads USG", IFERROR($M171+VLOOKUP($L171,'Voyage days'!$L$203:$N$203,3,FALSE),""),"")</f>
        <v/>
      </c>
    </row>
    <row r="172" spans="1:68" ht="15.75" customHeight="1" x14ac:dyDescent="0.25">
      <c r="A172" s="53" t="s">
        <v>396</v>
      </c>
      <c r="B172" s="348">
        <v>2023</v>
      </c>
      <c r="C172" s="427">
        <v>93000</v>
      </c>
      <c r="D172" s="120"/>
      <c r="E172" s="77"/>
      <c r="F172" s="78"/>
      <c r="G172" s="78"/>
      <c r="H172" s="78" t="s">
        <v>713</v>
      </c>
      <c r="I172" s="233" t="s">
        <v>1127</v>
      </c>
      <c r="J172" s="80" t="str">
        <f t="shared" si="25"/>
        <v/>
      </c>
      <c r="K172" s="81"/>
      <c r="L172" s="82" t="s">
        <v>710</v>
      </c>
      <c r="M172" s="83">
        <v>46150</v>
      </c>
      <c r="N172" s="125">
        <v>46152</v>
      </c>
      <c r="O172" s="84"/>
      <c r="P172" s="82" t="s">
        <v>1130</v>
      </c>
      <c r="Q172" s="85"/>
      <c r="R172" s="85" t="s">
        <v>1131</v>
      </c>
      <c r="S172" s="120" t="s">
        <v>724</v>
      </c>
      <c r="T172" s="86">
        <v>46132</v>
      </c>
      <c r="U172" s="87" t="str">
        <f>IF(V172="","No AIS",VLOOKUP(V172,'Voyage days'!$A$3:$B$1480,2,FALSE))</f>
        <v>East China + 4</v>
      </c>
      <c r="V172" s="88" t="str">
        <f>IF(VLOOKUP(A172,'1) Kpler'!$E$2:$P$1000,8, FALSE)="","",VLOOKUP(A172,'1) Kpler'!$E$2:$P$1000,8, FALSE))</f>
        <v>Nanrong Petrochemical Terminal</v>
      </c>
      <c r="W172" s="89">
        <f>IF(VLOOKUP(A172,'1) Kpler'!$E$2:$P$1000,9,FALSE)="","",VLOOKUP(A172,'1) Kpler'!$E$2:$P$1000,9,FALSE))</f>
        <v>46146.416666666664</v>
      </c>
      <c r="X172" s="88" t="str">
        <f>VLOOKUP(A172,'1) Kpler'!$E$2:$I$1000,4,FALSE)</f>
        <v>loaded</v>
      </c>
      <c r="Y172" s="90" t="str">
        <f t="shared" si="0"/>
        <v>25-27 May</v>
      </c>
      <c r="Z172" s="90" t="str">
        <f t="shared" si="1"/>
        <v>09-11 Jun</v>
      </c>
      <c r="AA172" s="90" t="str">
        <f t="shared" si="2"/>
        <v>21-23 Jun</v>
      </c>
      <c r="AB172" s="90" t="str">
        <f t="shared" si="3"/>
        <v>05-07 Jun</v>
      </c>
      <c r="AC172" s="90" t="str">
        <f t="shared" si="4"/>
        <v>12-14 Jun</v>
      </c>
      <c r="AD172" s="90" t="str">
        <f t="shared" si="5"/>
        <v>14-16 May</v>
      </c>
      <c r="AE172" s="91" t="str">
        <f t="shared" si="6"/>
        <v>15-17 May</v>
      </c>
      <c r="AF172" s="92" t="str">
        <f t="shared" si="7"/>
        <v>21-23 Jun</v>
      </c>
      <c r="AG172" s="93" t="str">
        <f t="shared" si="26"/>
        <v>25-27 May</v>
      </c>
      <c r="AH172" s="94">
        <f>IFERROR($M172+VLOOKUP($L172,'Voyage days'!$F$38:$H$89,3,FALSE),"")</f>
        <v>46167</v>
      </c>
      <c r="AI172" s="94">
        <f>IFERROR(N172+VLOOKUP($L172,'Voyage days'!$F$38:$H$89,3,FALSE),"")</f>
        <v>46169</v>
      </c>
      <c r="AJ172" s="93" t="str">
        <f t="shared" si="27"/>
        <v>09-11 Jun</v>
      </c>
      <c r="AK172" s="94">
        <f>IFERROR($M172+VLOOKUP($L172,'Voyage days'!$F$94:$H$193,3,FALSE),"")</f>
        <v>46182</v>
      </c>
      <c r="AL172" s="94">
        <f>IFERROR($N172+VLOOKUP($L172,'Voyage days'!$F$94:$H$193,3,FALSE),"")</f>
        <v>46184</v>
      </c>
      <c r="AM172" s="93" t="str">
        <f t="shared" si="28"/>
        <v>21-23 Jun</v>
      </c>
      <c r="AN172" s="94">
        <f>IFERROR($M172+VLOOKUP($L172,'Voyage days'!$F$203:$H$256,3,FALSE),"")</f>
        <v>46194</v>
      </c>
      <c r="AO172" s="94">
        <f>IFERROR($N172+VLOOKUP($L172,'Voyage days'!$F$203:$H$256,3,FALSE),"")</f>
        <v>46196</v>
      </c>
      <c r="AP172" s="93" t="str">
        <f t="shared" si="29"/>
        <v>05-07 Jun</v>
      </c>
      <c r="AQ172" s="94">
        <f>IFERROR($M172+VLOOKUP($L172,'Voyage days'!$F$294:$H$377,3,FALSE),"")</f>
        <v>46178</v>
      </c>
      <c r="AR172" s="94">
        <f>IFERROR($N172+VLOOKUP($L172,'Voyage days'!$F$294:$H$377,3,FALSE),"")</f>
        <v>46180</v>
      </c>
      <c r="AS172" s="93" t="str">
        <f t="shared" si="30"/>
        <v>12-14 Jun</v>
      </c>
      <c r="AT172" s="94">
        <f>IFERROR($M172+VLOOKUP($L172,'Voyage days'!$F$382:$H$446,3,FALSE),"")</f>
        <v>46185</v>
      </c>
      <c r="AU172" s="94">
        <f>IFERROR($N172+VLOOKUP($L172,'Voyage days'!$F$382:$H$446,3,FALSE),"")</f>
        <v>46187</v>
      </c>
      <c r="AV172" s="93" t="str">
        <f t="shared" si="31"/>
        <v>22-24 May</v>
      </c>
      <c r="AW172" s="94">
        <f>IFERROR($M172+VLOOKUP($L172,'Voyage days'!$F$483:$H$538,3,FALSE),"")</f>
        <v>46164</v>
      </c>
      <c r="AX172" s="94">
        <f>IFERROR($N172+VLOOKUP($L172,'Voyage days'!$F$483:$H$538,3,FALSE),"")</f>
        <v>46166</v>
      </c>
      <c r="AY172" s="93" t="str">
        <f t="shared" si="32"/>
        <v>15-17 May</v>
      </c>
      <c r="AZ172" s="94">
        <f>IFERROR($M172+VLOOKUP($L172,'Voyage days'!$F$540:$H$613,3,FALSE),"")</f>
        <v>46157.25</v>
      </c>
      <c r="BA172" s="94">
        <f>IFERROR($N172+VLOOKUP($L172,'Voyage days'!$F$540:$H$613,3,FALSE),"")</f>
        <v>46159.25</v>
      </c>
      <c r="BB172" s="93" t="str">
        <f t="shared" si="33"/>
        <v>14-16 May</v>
      </c>
      <c r="BC172" s="94">
        <f>IFERROR($M172+VLOOKUP($L172,'Voyage days'!$F$448:$H$479,3,FALSE),"")</f>
        <v>46156</v>
      </c>
      <c r="BD172" s="94">
        <f>IFERROR($N172+VLOOKUP($L172,'Voyage days'!$F$448:$H$479,3,FALSE),"")</f>
        <v>46158</v>
      </c>
      <c r="BE172" s="93" t="str">
        <f t="shared" si="34"/>
        <v>21-23 May</v>
      </c>
      <c r="BF172" s="95">
        <f>IFERROR($M172+VLOOKUP($L172,'Voyage days'!$F$620:$H$646,3,FALSE),"")</f>
        <v>46163</v>
      </c>
      <c r="BG172" s="95">
        <f>IFERROR($N172+VLOOKUP($L172,'Voyage days'!$F$620:$H$646,3,FALSE),"")</f>
        <v>46165</v>
      </c>
      <c r="BH172" s="93" t="str">
        <f t="shared" si="35"/>
        <v>15-23 Jun</v>
      </c>
      <c r="BI172" s="96">
        <f>IFERROR($M172+VLOOKUP($L172,'Voyage days'!$F$702:$H$727,3,FALSE),"")</f>
        <v>46157.25</v>
      </c>
      <c r="BJ172" s="131" t="str">
        <f t="shared" si="36"/>
        <v>21-23 Jun</v>
      </c>
      <c r="BK172" s="95">
        <f>IFERROR($M172+VLOOKUP($L172,'Voyage days'!$F$807:$H$878,3,FALSE),"")</f>
        <v>46194</v>
      </c>
      <c r="BL172" s="95">
        <f>IFERROR($N172+VLOOKUP($L172,'Voyage days'!$F$807:$H$878,3,FALSE),"")</f>
        <v>46196</v>
      </c>
      <c r="BM172" s="95">
        <f>IFERROR($N172+VLOOKUP($L172,'Voyage days'!$F$807:$K$878,6,FALSE),"")</f>
        <v>46170</v>
      </c>
      <c r="BN172" s="94" t="str">
        <f>IF(L172="loads AG", IFERROR($M172+VLOOKUP($L172,'Voyage days'!$M$38:$O$38,3,FALSE),""),"")</f>
        <v/>
      </c>
      <c r="BO172" s="94" t="str">
        <f>IF(L172="loads USG", IFERROR($M172+VLOOKUP($L172,'Voyage days'!$L$203:$N$203,3,FALSE),""),"")</f>
        <v/>
      </c>
    </row>
    <row r="173" spans="1:68" ht="15.75" customHeight="1" x14ac:dyDescent="0.25">
      <c r="A173" s="53" t="s">
        <v>398</v>
      </c>
      <c r="B173" s="348">
        <v>2023</v>
      </c>
      <c r="C173" s="427">
        <v>93000</v>
      </c>
      <c r="D173" s="120"/>
      <c r="E173" s="77"/>
      <c r="F173" s="78"/>
      <c r="G173" s="78"/>
      <c r="H173" s="78" t="s">
        <v>713</v>
      </c>
      <c r="I173" s="233" t="s">
        <v>1127</v>
      </c>
      <c r="J173" s="80" t="str">
        <f t="shared" si="25"/>
        <v>NO AIS</v>
      </c>
      <c r="K173" s="81" t="s">
        <v>817</v>
      </c>
      <c r="L173" s="85" t="s">
        <v>1079</v>
      </c>
      <c r="M173" s="125">
        <v>46135</v>
      </c>
      <c r="N173" s="125">
        <v>46137</v>
      </c>
      <c r="O173" s="84" t="s">
        <v>726</v>
      </c>
      <c r="P173" s="82" t="s">
        <v>1132</v>
      </c>
      <c r="Q173" s="82"/>
      <c r="R173" s="82" t="s">
        <v>1133</v>
      </c>
      <c r="S173" s="120" t="s">
        <v>724</v>
      </c>
      <c r="T173" s="86">
        <v>46132</v>
      </c>
      <c r="U173" s="87" t="str">
        <f>IF(V173="","No AIS",VLOOKUP(V173,'Voyage days'!$A$3:$B$1480,2,FALSE))</f>
        <v>No AIS</v>
      </c>
      <c r="V173" s="88" t="str">
        <f>IF(VLOOKUP(A173,'1) Kpler'!$E$2:$P$1000,8, FALSE)="","",VLOOKUP(A173,'1) Kpler'!$E$2:$P$1000,8, FALSE))</f>
        <v/>
      </c>
      <c r="W173" s="89" t="str">
        <f>IF(VLOOKUP(A173,'1) Kpler'!$E$2:$P$1000,9,FALSE)="","",VLOOKUP(A173,'1) Kpler'!$E$2:$P$1000,9,FALSE))</f>
        <v/>
      </c>
      <c r="X173" s="88" t="str">
        <f>VLOOKUP(A173,'1) Kpler'!$E$2:$I$1000,4,FALSE)</f>
        <v>ballast</v>
      </c>
      <c r="Y173" s="63" t="str">
        <f t="shared" si="0"/>
        <v>28-30 Apr</v>
      </c>
      <c r="Z173" s="63" t="str">
        <f t="shared" si="1"/>
        <v/>
      </c>
      <c r="AA173" s="63" t="str">
        <f t="shared" si="2"/>
        <v>25-27 May</v>
      </c>
      <c r="AB173" s="63" t="str">
        <f t="shared" si="3"/>
        <v>12-14 May</v>
      </c>
      <c r="AC173" s="63" t="str">
        <f t="shared" si="4"/>
        <v>06-08 May</v>
      </c>
      <c r="AD173" s="63" t="str">
        <f t="shared" si="5"/>
        <v/>
      </c>
      <c r="AE173" s="129" t="str">
        <f t="shared" si="6"/>
        <v/>
      </c>
      <c r="AF173" s="130" t="str">
        <f t="shared" si="7"/>
        <v>28-30 May</v>
      </c>
      <c r="AG173" s="93" t="str">
        <f t="shared" si="26"/>
        <v>28-30 Apr</v>
      </c>
      <c r="AH173" s="94">
        <f>IFERROR($M173+VLOOKUP($L173,'Voyage days'!$F$38:$H$89,3,FALSE),"")</f>
        <v>46140</v>
      </c>
      <c r="AI173" s="94">
        <f>IFERROR(N173+VLOOKUP($L173,'Voyage days'!$F$38:$H$89,3,FALSE),"")</f>
        <v>46142</v>
      </c>
      <c r="AJ173" s="93" t="str">
        <f t="shared" si="27"/>
        <v/>
      </c>
      <c r="AK173" s="94" t="str">
        <f>IFERROR($M173+VLOOKUP($L173,'Voyage days'!$F$94:$H$193,3,FALSE),"")</f>
        <v/>
      </c>
      <c r="AL173" s="94" t="str">
        <f>IFERROR($N173+VLOOKUP($L173,'Voyage days'!$F$94:$H$193,3,FALSE),"")</f>
        <v/>
      </c>
      <c r="AM173" s="93" t="str">
        <f t="shared" si="28"/>
        <v>25-27 May</v>
      </c>
      <c r="AN173" s="94">
        <f>IFERROR($M173+VLOOKUP($L173,'Voyage days'!$F$203:$H$256,3,FALSE),"")</f>
        <v>46167</v>
      </c>
      <c r="AO173" s="94">
        <f>IFERROR($N173+VLOOKUP($L173,'Voyage days'!$F$203:$H$256,3,FALSE),"")</f>
        <v>46169</v>
      </c>
      <c r="AP173" s="93" t="str">
        <f t="shared" si="29"/>
        <v>12-14 May</v>
      </c>
      <c r="AQ173" s="94">
        <f>IFERROR($M173+VLOOKUP($L173,'Voyage days'!$F$294:$H$377,3,FALSE),"")</f>
        <v>46154</v>
      </c>
      <c r="AR173" s="94">
        <f>IFERROR($N173+VLOOKUP($L173,'Voyage days'!$F$294:$H$377,3,FALSE),"")</f>
        <v>46156</v>
      </c>
      <c r="AS173" s="93" t="str">
        <f t="shared" si="30"/>
        <v>06-08 May</v>
      </c>
      <c r="AT173" s="94">
        <f>IFERROR($M173+VLOOKUP($L173,'Voyage days'!$F$382:$H$446,3,FALSE),"")</f>
        <v>46148</v>
      </c>
      <c r="AU173" s="94">
        <f>IFERROR($N173+VLOOKUP($L173,'Voyage days'!$F$382:$H$446,3,FALSE),"")</f>
        <v>46150</v>
      </c>
      <c r="AV173" s="93" t="str">
        <f t="shared" si="31"/>
        <v/>
      </c>
      <c r="AW173" s="94" t="str">
        <f>IFERROR($M173+VLOOKUP($L173,'Voyage days'!$F$483:$H$538,3,FALSE),"")</f>
        <v/>
      </c>
      <c r="AX173" s="94" t="str">
        <f>IFERROR($N173+VLOOKUP($L173,'Voyage days'!$F$483:$H$538,3,FALSE),"")</f>
        <v/>
      </c>
      <c r="AY173" s="93" t="str">
        <f t="shared" si="32"/>
        <v/>
      </c>
      <c r="AZ173" s="94" t="str">
        <f>IFERROR($M173+VLOOKUP($L173,'Voyage days'!$F$540:$H$613,3,FALSE),"")</f>
        <v/>
      </c>
      <c r="BA173" s="94" t="str">
        <f>IFERROR($N173+VLOOKUP($L173,'Voyage days'!$F$540:$H$613,3,FALSE),"")</f>
        <v/>
      </c>
      <c r="BB173" s="93" t="str">
        <f t="shared" si="33"/>
        <v/>
      </c>
      <c r="BC173" s="94" t="str">
        <f>IFERROR($M173+VLOOKUP($L173,'Voyage days'!$F$448:$H$479,3,FALSE),"")</f>
        <v/>
      </c>
      <c r="BD173" s="94" t="str">
        <f>IFERROR($N173+VLOOKUP($L173,'Voyage days'!$F$448:$H$479,3,FALSE),"")</f>
        <v/>
      </c>
      <c r="BE173" s="93" t="str">
        <f t="shared" si="34"/>
        <v/>
      </c>
      <c r="BF173" s="95" t="str">
        <f>IFERROR($M173+VLOOKUP($L173,'Voyage days'!$F$620:$H$646,3,FALSE),"")</f>
        <v/>
      </c>
      <c r="BG173" s="95" t="str">
        <f>IFERROR($N173+VLOOKUP($L173,'Voyage days'!$F$620:$H$646,3,FALSE),"")</f>
        <v/>
      </c>
      <c r="BH173" s="93" t="str">
        <f t="shared" si="35"/>
        <v/>
      </c>
      <c r="BI173" s="96" t="str">
        <f>IFERROR($M173+VLOOKUP($L173,'Voyage days'!$F$702:$H$727,3,FALSE),"")</f>
        <v/>
      </c>
      <c r="BJ173" s="93" t="str">
        <f t="shared" si="36"/>
        <v>28-30 May</v>
      </c>
      <c r="BK173" s="95">
        <f>IFERROR($M173+VLOOKUP($L173,'Voyage days'!$F$807:$H$878,3,FALSE),"")</f>
        <v>46170</v>
      </c>
      <c r="BL173" s="95">
        <f>IFERROR($N173+VLOOKUP($L173,'Voyage days'!$F$807:$H$878,3,FALSE),"")</f>
        <v>46172</v>
      </c>
      <c r="BM173" s="95">
        <f>IFERROR($N173+VLOOKUP($L173,'Voyage days'!$F$807:$K$878,6,FALSE),"")</f>
        <v>46144</v>
      </c>
      <c r="BN173" s="94" t="str">
        <f>IF(L173="loads AG", IFERROR($M173+VLOOKUP($L173,'Voyage days'!$M$38:$O$38,3,FALSE),""),"")</f>
        <v/>
      </c>
      <c r="BO173" s="94" t="str">
        <f>IF(L173="loads USG", IFERROR($M173+VLOOKUP($L173,'Voyage days'!$L$203:$N$203,3,FALSE),""),"")</f>
        <v/>
      </c>
    </row>
    <row r="174" spans="1:68" ht="15.75" customHeight="1" x14ac:dyDescent="0.25">
      <c r="A174" s="53" t="s">
        <v>367</v>
      </c>
      <c r="B174" s="348">
        <v>2024</v>
      </c>
      <c r="C174" s="427">
        <v>93000</v>
      </c>
      <c r="D174" s="120"/>
      <c r="E174" s="77"/>
      <c r="F174" s="78"/>
      <c r="G174" s="78"/>
      <c r="H174" s="78" t="s">
        <v>713</v>
      </c>
      <c r="I174" s="233" t="s">
        <v>1127</v>
      </c>
      <c r="J174" s="80" t="str">
        <f t="shared" si="25"/>
        <v/>
      </c>
      <c r="K174" s="81" t="s">
        <v>817</v>
      </c>
      <c r="L174" s="82" t="s">
        <v>1079</v>
      </c>
      <c r="M174" s="205">
        <v>46163</v>
      </c>
      <c r="N174" s="83">
        <v>46164</v>
      </c>
      <c r="O174" s="84"/>
      <c r="P174" s="82" t="s">
        <v>1134</v>
      </c>
      <c r="Q174" s="82"/>
      <c r="R174" s="82" t="s">
        <v>1135</v>
      </c>
      <c r="S174" s="120" t="s">
        <v>724</v>
      </c>
      <c r="T174" s="86">
        <v>46132</v>
      </c>
      <c r="U174" s="87" t="str">
        <f>IF(V174="","No AIS",VLOOKUP(V174,'Voyage days'!$A$3:$B$1480,2,FALSE))</f>
        <v>WCI + 5</v>
      </c>
      <c r="V174" s="171" t="str">
        <f>IF(VLOOKUP(A174,'1) Kpler'!$E$2:$P$1000,8, FALSE)="","",VLOOKUP(A174,'1) Kpler'!$E$2:$P$1000,8, FALSE))</f>
        <v>Mangalore</v>
      </c>
      <c r="W174" s="172">
        <f>IF(VLOOKUP(A174,'1) Kpler'!$E$2:$P$1000,9,FALSE)="","",VLOOKUP(A174,'1) Kpler'!$E$2:$P$1000,9,FALSE))</f>
        <v>46158.625</v>
      </c>
      <c r="X174" s="171" t="str">
        <f>VLOOKUP(A174,'1) Kpler'!$E$2:$I$1000,4,FALSE)</f>
        <v>loaded</v>
      </c>
      <c r="Y174" s="90" t="str">
        <f t="shared" si="0"/>
        <v>26-27 May</v>
      </c>
      <c r="Z174" s="90" t="str">
        <f t="shared" si="1"/>
        <v/>
      </c>
      <c r="AA174" s="90" t="str">
        <f t="shared" si="2"/>
        <v>22-23 Jun</v>
      </c>
      <c r="AB174" s="90" t="str">
        <f t="shared" si="3"/>
        <v>09-10 Jun</v>
      </c>
      <c r="AC174" s="90" t="str">
        <f t="shared" si="4"/>
        <v>03-04 Jun</v>
      </c>
      <c r="AD174" s="90" t="str">
        <f t="shared" si="5"/>
        <v/>
      </c>
      <c r="AE174" s="91" t="str">
        <f t="shared" si="6"/>
        <v/>
      </c>
      <c r="AF174" s="92" t="str">
        <f t="shared" si="7"/>
        <v>25-26 Jun</v>
      </c>
      <c r="AG174" s="93" t="str">
        <f t="shared" si="26"/>
        <v>26-27 May</v>
      </c>
      <c r="AH174" s="94">
        <f>IFERROR($M174+VLOOKUP($L174,'Voyage days'!$F$38:$H$89,3,FALSE),"")</f>
        <v>46168</v>
      </c>
      <c r="AI174" s="94">
        <f>IFERROR(N174+VLOOKUP($L174,'Voyage days'!$F$38:$H$89,3,FALSE),"")</f>
        <v>46169</v>
      </c>
      <c r="AJ174" s="93" t="str">
        <f t="shared" si="27"/>
        <v/>
      </c>
      <c r="AK174" s="94" t="str">
        <f>IFERROR($M174+VLOOKUP($L174,'Voyage days'!$F$94:$H$193,3,FALSE),"")</f>
        <v/>
      </c>
      <c r="AL174" s="94" t="str">
        <f>IFERROR($N174+VLOOKUP($L174,'Voyage days'!$F$94:$H$193,3,FALSE),"")</f>
        <v/>
      </c>
      <c r="AM174" s="93" t="str">
        <f t="shared" si="28"/>
        <v>22-23 Jun</v>
      </c>
      <c r="AN174" s="94">
        <f>IFERROR($M174+VLOOKUP($L174,'Voyage days'!$F$203:$H$256,3,FALSE),"")</f>
        <v>46195</v>
      </c>
      <c r="AO174" s="94">
        <f>IFERROR($N174+VLOOKUP($L174,'Voyage days'!$F$203:$H$256,3,FALSE),"")</f>
        <v>46196</v>
      </c>
      <c r="AP174" s="93" t="str">
        <f t="shared" si="29"/>
        <v>09-10 Jun</v>
      </c>
      <c r="AQ174" s="94">
        <f>IFERROR($M174+VLOOKUP($L174,'Voyage days'!$F$294:$H$377,3,FALSE),"")</f>
        <v>46182</v>
      </c>
      <c r="AR174" s="94">
        <f>IFERROR($N174+VLOOKUP($L174,'Voyage days'!$F$294:$H$377,3,FALSE),"")</f>
        <v>46183</v>
      </c>
      <c r="AS174" s="93" t="str">
        <f t="shared" si="30"/>
        <v>03-04 Jun</v>
      </c>
      <c r="AT174" s="94">
        <f>IFERROR($M174+VLOOKUP($L174,'Voyage days'!$F$382:$H$446,3,FALSE),"")</f>
        <v>46176</v>
      </c>
      <c r="AU174" s="94">
        <f>IFERROR($N174+VLOOKUP($L174,'Voyage days'!$F$382:$H$446,3,FALSE),"")</f>
        <v>46177</v>
      </c>
      <c r="AV174" s="93" t="str">
        <f t="shared" si="31"/>
        <v/>
      </c>
      <c r="AW174" s="94" t="str">
        <f>IFERROR($M174+VLOOKUP($L174,'Voyage days'!$F$483:$H$538,3,FALSE),"")</f>
        <v/>
      </c>
      <c r="AX174" s="94" t="str">
        <f>IFERROR($N174+VLOOKUP($L174,'Voyage days'!$F$483:$H$538,3,FALSE),"")</f>
        <v/>
      </c>
      <c r="AY174" s="93" t="str">
        <f t="shared" si="32"/>
        <v/>
      </c>
      <c r="AZ174" s="94" t="str">
        <f>IFERROR($M174+VLOOKUP($L174,'Voyage days'!$F$540:$H$613,3,FALSE),"")</f>
        <v/>
      </c>
      <c r="BA174" s="94" t="str">
        <f>IFERROR($N174+VLOOKUP($L174,'Voyage days'!$F$540:$H$613,3,FALSE),"")</f>
        <v/>
      </c>
      <c r="BB174" s="93" t="str">
        <f t="shared" si="33"/>
        <v/>
      </c>
      <c r="BC174" s="94" t="str">
        <f>IFERROR($M174+VLOOKUP($L174,'Voyage days'!$F$448:$H$479,3,FALSE),"")</f>
        <v/>
      </c>
      <c r="BD174" s="94" t="str">
        <f>IFERROR($N174+VLOOKUP($L174,'Voyage days'!$F$448:$H$479,3,FALSE),"")</f>
        <v/>
      </c>
      <c r="BE174" s="93" t="str">
        <f t="shared" si="34"/>
        <v/>
      </c>
      <c r="BF174" s="95" t="str">
        <f>IFERROR($M174+VLOOKUP($L174,'Voyage days'!$F$620:$H$646,3,FALSE),"")</f>
        <v/>
      </c>
      <c r="BG174" s="95" t="str">
        <f>IFERROR($N174+VLOOKUP($L174,'Voyage days'!$F$620:$H$646,3,FALSE),"")</f>
        <v/>
      </c>
      <c r="BH174" s="93" t="str">
        <f t="shared" si="35"/>
        <v/>
      </c>
      <c r="BI174" s="96" t="str">
        <f>IFERROR($M174+VLOOKUP($L174,'Voyage days'!$F$702:$H$727,3,FALSE),"")</f>
        <v/>
      </c>
      <c r="BJ174" s="93" t="str">
        <f t="shared" si="36"/>
        <v>25-26 Jun</v>
      </c>
      <c r="BK174" s="95">
        <f>IFERROR($M174+VLOOKUP($L174,'Voyage days'!$F$807:$H$878,3,FALSE),"")</f>
        <v>46198</v>
      </c>
      <c r="BL174" s="95">
        <f>IFERROR($N174+VLOOKUP($L174,'Voyage days'!$F$807:$H$878,3,FALSE),"")</f>
        <v>46199</v>
      </c>
      <c r="BM174" s="95">
        <f>IFERROR($N174+VLOOKUP($L174,'Voyage days'!$F$807:$K$878,6,FALSE),"")</f>
        <v>46171</v>
      </c>
      <c r="BN174" s="94" t="str">
        <f>IF(L174="loads AG", IFERROR($M174+VLOOKUP($L174,'Voyage days'!$M$38:$O$38,3,FALSE),""),"")</f>
        <v/>
      </c>
      <c r="BO174" s="94" t="str">
        <f>IF(L174="loads USG", IFERROR($M174+VLOOKUP($L174,'Voyage days'!$L$203:$N$203,3,FALSE),""),"")</f>
        <v/>
      </c>
    </row>
    <row r="175" spans="1:68" ht="15.75" customHeight="1" x14ac:dyDescent="0.25">
      <c r="A175" s="74" t="s">
        <v>384</v>
      </c>
      <c r="B175" s="428">
        <v>2023</v>
      </c>
      <c r="C175" s="76">
        <v>93000</v>
      </c>
      <c r="D175" s="120"/>
      <c r="E175" s="77"/>
      <c r="F175" s="78"/>
      <c r="G175" s="78"/>
      <c r="H175" s="78" t="s">
        <v>713</v>
      </c>
      <c r="I175" s="233" t="s">
        <v>1127</v>
      </c>
      <c r="J175" s="80" t="str">
        <f t="shared" si="25"/>
        <v/>
      </c>
      <c r="K175" s="81"/>
      <c r="L175" s="124" t="s">
        <v>718</v>
      </c>
      <c r="M175" s="205">
        <v>46156</v>
      </c>
      <c r="N175" s="205">
        <v>46157</v>
      </c>
      <c r="O175" s="84" t="s">
        <v>726</v>
      </c>
      <c r="P175" s="82" t="s">
        <v>1136</v>
      </c>
      <c r="Q175" s="82"/>
      <c r="R175" s="82" t="s">
        <v>1137</v>
      </c>
      <c r="S175" s="120" t="s">
        <v>724</v>
      </c>
      <c r="T175" s="86">
        <v>46132</v>
      </c>
      <c r="U175" s="87" t="str">
        <f>IF(V175="","No AIS",VLOOKUP(V175,'Voyage days'!$A$3:$B$1480,2,FALSE))</f>
        <v>Panama</v>
      </c>
      <c r="V175" s="88" t="str">
        <f>IF(VLOOKUP(A175,'1) Kpler'!$E$2:$P$1000,8, FALSE)="","",VLOOKUP(A175,'1) Kpler'!$E$2:$P$1000,8, FALSE))</f>
        <v>Panama Canal</v>
      </c>
      <c r="W175" s="89">
        <f>IF(VLOOKUP(A175,'1) Kpler'!$E$2:$P$1000,9,FALSE)="","",VLOOKUP(A175,'1) Kpler'!$E$2:$P$1000,9,FALSE))</f>
        <v>46140.333333333336</v>
      </c>
      <c r="X175" s="88" t="str">
        <f>VLOOKUP(A175,'1) Kpler'!$E$2:$I$1000,4,FALSE)</f>
        <v>ballast</v>
      </c>
      <c r="Y175" s="63" t="str">
        <f t="shared" si="0"/>
        <v/>
      </c>
      <c r="Z175" s="63" t="str">
        <f t="shared" si="1"/>
        <v>14-15 May</v>
      </c>
      <c r="AA175" s="63" t="str">
        <f t="shared" si="2"/>
        <v>14-15 May</v>
      </c>
      <c r="AB175" s="63" t="str">
        <f t="shared" si="3"/>
        <v/>
      </c>
      <c r="AC175" s="63" t="str">
        <f t="shared" si="4"/>
        <v>03-04 Jun</v>
      </c>
      <c r="AD175" s="63" t="str">
        <f t="shared" si="5"/>
        <v/>
      </c>
      <c r="AE175" s="129" t="str">
        <f t="shared" si="6"/>
        <v/>
      </c>
      <c r="AF175" s="130" t="str">
        <f t="shared" si="7"/>
        <v/>
      </c>
      <c r="AG175" s="93" t="str">
        <f t="shared" si="26"/>
        <v/>
      </c>
      <c r="AH175" s="94" t="str">
        <f>IFERROR($M175+VLOOKUP($L175,'Voyage days'!$F$38:$H$89,3,FALSE),"")</f>
        <v/>
      </c>
      <c r="AI175" s="94" t="str">
        <f>IFERROR(N175+VLOOKUP($L175,'Voyage days'!$F$38:$H$89,3,FALSE),"")</f>
        <v/>
      </c>
      <c r="AJ175" s="93" t="str">
        <f t="shared" si="27"/>
        <v>14-15 May</v>
      </c>
      <c r="AK175" s="94">
        <f>IFERROR($M175+VLOOKUP($L175,'Voyage days'!$F$94:$H$193,3,FALSE),"")</f>
        <v>46156</v>
      </c>
      <c r="AL175" s="94">
        <f>IFERROR($N175+VLOOKUP($L175,'Voyage days'!$F$94:$H$193,3,FALSE),"")</f>
        <v>46157</v>
      </c>
      <c r="AM175" s="93" t="str">
        <f t="shared" si="28"/>
        <v>14-15 May</v>
      </c>
      <c r="AN175" s="94">
        <f>IFERROR($M175+VLOOKUP($L175,'Voyage days'!$F$203:$H$256,3,FALSE),"")</f>
        <v>46156</v>
      </c>
      <c r="AO175" s="94">
        <f>IFERROR($N175+VLOOKUP($L175,'Voyage days'!$F$203:$H$256,3,FALSE),"")</f>
        <v>46157</v>
      </c>
      <c r="AP175" s="93" t="str">
        <f t="shared" si="29"/>
        <v/>
      </c>
      <c r="AQ175" s="94" t="str">
        <f>IFERROR($M175+VLOOKUP($L175,'Voyage days'!$F$294:$H$377,3,FALSE),"")</f>
        <v/>
      </c>
      <c r="AR175" s="94" t="str">
        <f>IFERROR($N175+VLOOKUP($L175,'Voyage days'!$F$294:$H$377,3,FALSE),"")</f>
        <v/>
      </c>
      <c r="AS175" s="93" t="str">
        <f t="shared" si="30"/>
        <v>03-04 Jun</v>
      </c>
      <c r="AT175" s="94">
        <f>IFERROR($M175+VLOOKUP($L175,'Voyage days'!$F$382:$H$446,3,FALSE),"")</f>
        <v>46176</v>
      </c>
      <c r="AU175" s="94">
        <f>IFERROR($N175+VLOOKUP($L175,'Voyage days'!$F$382:$H$446,3,FALSE),"")</f>
        <v>46177</v>
      </c>
      <c r="AV175" s="93" t="str">
        <f t="shared" si="31"/>
        <v/>
      </c>
      <c r="AW175" s="94" t="str">
        <f>IFERROR($M175+VLOOKUP($L175,'Voyage days'!$F$483:$H$538,3,FALSE),"")</f>
        <v/>
      </c>
      <c r="AX175" s="94" t="str">
        <f>IFERROR($N175+VLOOKUP($L175,'Voyage days'!$F$483:$H$538,3,FALSE),"")</f>
        <v/>
      </c>
      <c r="AY175" s="93" t="str">
        <f t="shared" si="32"/>
        <v/>
      </c>
      <c r="AZ175" s="94" t="str">
        <f>IFERROR($M175+VLOOKUP($L175,'Voyage days'!$F$540:$H$613,3,FALSE),"")</f>
        <v/>
      </c>
      <c r="BA175" s="94" t="str">
        <f>IFERROR($N175+VLOOKUP($L175,'Voyage days'!$F$540:$H$613,3,FALSE),"")</f>
        <v/>
      </c>
      <c r="BB175" s="93" t="str">
        <f t="shared" si="33"/>
        <v/>
      </c>
      <c r="BC175" s="94" t="str">
        <f>IFERROR($M175+VLOOKUP($L175,'Voyage days'!$F$448:$H$479,3,FALSE),"")</f>
        <v/>
      </c>
      <c r="BD175" s="94" t="str">
        <f>IFERROR($N175+VLOOKUP($L175,'Voyage days'!$F$448:$H$479,3,FALSE),"")</f>
        <v/>
      </c>
      <c r="BE175" s="93" t="str">
        <f t="shared" si="34"/>
        <v/>
      </c>
      <c r="BF175" s="95" t="str">
        <f>IFERROR($M175+VLOOKUP($L175,'Voyage days'!$F$620:$H$646,3,FALSE),"")</f>
        <v/>
      </c>
      <c r="BG175" s="95" t="str">
        <f>IFERROR($N175+VLOOKUP($L175,'Voyage days'!$F$620:$H$646,3,FALSE),"")</f>
        <v/>
      </c>
      <c r="BH175" s="93" t="str">
        <f t="shared" si="35"/>
        <v/>
      </c>
      <c r="BI175" s="96" t="str">
        <f>IFERROR($M175+VLOOKUP($L175,'Voyage days'!$F$702:$H$727,3,FALSE),"")</f>
        <v/>
      </c>
      <c r="BJ175" s="93" t="str">
        <f t="shared" si="36"/>
        <v/>
      </c>
      <c r="BK175" s="95" t="str">
        <f>IFERROR($M175+VLOOKUP($L175,'Voyage days'!$F$807:$H$878,3,FALSE),"")</f>
        <v/>
      </c>
      <c r="BL175" s="95" t="str">
        <f>IFERROR($N175+VLOOKUP($L175,'Voyage days'!$F$807:$H$878,3,FALSE),"")</f>
        <v/>
      </c>
      <c r="BM175" s="95" t="str">
        <f>IFERROR($N175+VLOOKUP($L175,'Voyage days'!$F$807:$K$878,6,FALSE),"")</f>
        <v/>
      </c>
      <c r="BN175" s="94" t="str">
        <f>IF(L175="loads AG", IFERROR($M175+VLOOKUP($L175,'Voyage days'!$M$38:$O$38,3,FALSE),""),"")</f>
        <v/>
      </c>
      <c r="BO175" s="94">
        <f>IF(L175="loads USG", IFERROR($M175+VLOOKUP($L175,'Voyage days'!$L$203:$N$203,3,FALSE),""),"")</f>
        <v>46188</v>
      </c>
    </row>
    <row r="176" spans="1:68" ht="15.75" customHeight="1" x14ac:dyDescent="0.25">
      <c r="A176" s="358" t="s">
        <v>383</v>
      </c>
      <c r="B176" s="348">
        <v>2024</v>
      </c>
      <c r="C176" s="427">
        <v>93000</v>
      </c>
      <c r="D176" s="383"/>
      <c r="E176" s="178"/>
      <c r="F176" s="163"/>
      <c r="G176" s="163"/>
      <c r="H176" s="163" t="s">
        <v>713</v>
      </c>
      <c r="I176" s="164" t="s">
        <v>1127</v>
      </c>
      <c r="J176" s="165" t="str">
        <f t="shared" si="25"/>
        <v>Update</v>
      </c>
      <c r="K176" s="166" t="s">
        <v>817</v>
      </c>
      <c r="L176" s="124" t="s">
        <v>1138</v>
      </c>
      <c r="M176" s="205">
        <v>46135</v>
      </c>
      <c r="N176" s="205">
        <v>46137</v>
      </c>
      <c r="O176" s="168" t="s">
        <v>726</v>
      </c>
      <c r="P176" s="167" t="s">
        <v>1139</v>
      </c>
      <c r="Q176" s="167"/>
      <c r="R176" s="167" t="s">
        <v>1140</v>
      </c>
      <c r="S176" s="120" t="s">
        <v>724</v>
      </c>
      <c r="T176" s="86">
        <v>46132</v>
      </c>
      <c r="U176" s="170" t="str">
        <f>IF(V176="","No AIS",VLOOKUP(V176,'Voyage days'!$A$3:$B$1480,2,FALSE))</f>
        <v>USG</v>
      </c>
      <c r="V176" s="171" t="str">
        <f>IF(VLOOKUP(A176,'1) Kpler'!$E$2:$P$1000,8, FALSE)="","",VLOOKUP(A176,'1) Kpler'!$E$2:$P$1000,8, FALSE))</f>
        <v>Houston</v>
      </c>
      <c r="W176" s="172">
        <f>IF(VLOOKUP(A176,'1) Kpler'!$E$2:$P$1000,9,FALSE)="","",VLOOKUP(A176,'1) Kpler'!$E$2:$P$1000,9,FALSE))</f>
        <v>46156.406944444447</v>
      </c>
      <c r="X176" s="171" t="str">
        <f>VLOOKUP(A176,'1) Kpler'!$E$2:$I$1000,4,FALSE)</f>
        <v>ballast</v>
      </c>
      <c r="Y176" s="387" t="str">
        <f t="shared" si="0"/>
        <v/>
      </c>
      <c r="Z176" s="387" t="str">
        <f t="shared" si="1"/>
        <v/>
      </c>
      <c r="AA176" s="387" t="str">
        <f t="shared" si="2"/>
        <v>14-16 May</v>
      </c>
      <c r="AB176" s="387" t="str">
        <f t="shared" si="3"/>
        <v>03-05 May</v>
      </c>
      <c r="AC176" s="387" t="str">
        <f t="shared" si="4"/>
        <v>09-11 May</v>
      </c>
      <c r="AD176" s="387" t="str">
        <f t="shared" si="5"/>
        <v>09-11 May</v>
      </c>
      <c r="AE176" s="388" t="str">
        <f t="shared" si="6"/>
        <v/>
      </c>
      <c r="AF176" s="92" t="str">
        <f t="shared" si="7"/>
        <v>16-18 May</v>
      </c>
      <c r="AG176" s="324" t="str">
        <f t="shared" si="26"/>
        <v/>
      </c>
      <c r="AH176" s="352" t="str">
        <f>IFERROR($M176+VLOOKUP($L176,'Voyage days'!$F$38:$H$89,3,FALSE),"")</f>
        <v/>
      </c>
      <c r="AI176" s="352" t="str">
        <f>IFERROR(N176+VLOOKUP($L176,'Voyage days'!$F$38:$H$89,3,FALSE),"")</f>
        <v/>
      </c>
      <c r="AJ176" s="324" t="str">
        <f t="shared" si="27"/>
        <v/>
      </c>
      <c r="AK176" s="352" t="str">
        <f>IFERROR($M176+VLOOKUP($L176,'Voyage days'!$F$94:$H$193,3,FALSE),"")</f>
        <v/>
      </c>
      <c r="AL176" s="352" t="str">
        <f>IFERROR($N176+VLOOKUP($L176,'Voyage days'!$F$94:$H$193,3,FALSE),"")</f>
        <v/>
      </c>
      <c r="AM176" s="324" t="str">
        <f t="shared" si="28"/>
        <v>14-16 May</v>
      </c>
      <c r="AN176" s="352">
        <f>IFERROR($M176+VLOOKUP($L176,'Voyage days'!$F$203:$H$256,3,FALSE),"")</f>
        <v>46156</v>
      </c>
      <c r="AO176" s="352">
        <f>IFERROR($N176+VLOOKUP($L176,'Voyage days'!$F$203:$H$256,3,FALSE),"")</f>
        <v>46158</v>
      </c>
      <c r="AP176" s="324" t="str">
        <f t="shared" si="29"/>
        <v>03-05 May</v>
      </c>
      <c r="AQ176" s="352">
        <f>IFERROR($M176+VLOOKUP($L176,'Voyage days'!$F$294:$H$377,3,FALSE),"")</f>
        <v>46145</v>
      </c>
      <c r="AR176" s="352">
        <f>IFERROR($N176+VLOOKUP($L176,'Voyage days'!$F$294:$H$377,3,FALSE),"")</f>
        <v>46147</v>
      </c>
      <c r="AS176" s="324" t="str">
        <f t="shared" si="30"/>
        <v>09-11 May</v>
      </c>
      <c r="AT176" s="352">
        <f>IFERROR($M176+VLOOKUP($L176,'Voyage days'!$F$382:$H$446,3,FALSE),"")</f>
        <v>46151</v>
      </c>
      <c r="AU176" s="352">
        <f>IFERROR($N176+VLOOKUP($L176,'Voyage days'!$F$382:$H$446,3,FALSE),"")</f>
        <v>46153</v>
      </c>
      <c r="AV176" s="324" t="str">
        <f t="shared" si="31"/>
        <v/>
      </c>
      <c r="AW176" s="352" t="str">
        <f>IFERROR($M176+VLOOKUP($L176,'Voyage days'!$F$483:$H$538,3,FALSE),"")</f>
        <v/>
      </c>
      <c r="AX176" s="352" t="str">
        <f>IFERROR($N176+VLOOKUP($L176,'Voyage days'!$F$483:$H$538,3,FALSE),"")</f>
        <v/>
      </c>
      <c r="AY176" s="324" t="str">
        <f t="shared" si="32"/>
        <v/>
      </c>
      <c r="AZ176" s="352" t="str">
        <f>IFERROR($M176+VLOOKUP($L176,'Voyage days'!$F$540:$H$613,3,FALSE),"")</f>
        <v/>
      </c>
      <c r="BA176" s="352" t="str">
        <f>IFERROR($N176+VLOOKUP($L176,'Voyage days'!$F$540:$H$613,3,FALSE),"")</f>
        <v/>
      </c>
      <c r="BB176" s="324" t="str">
        <f t="shared" si="33"/>
        <v>09-11 May</v>
      </c>
      <c r="BC176" s="352">
        <f>IFERROR($M176+VLOOKUP($L176,'Voyage days'!$F$448:$H$479,3,FALSE),"")</f>
        <v>46151</v>
      </c>
      <c r="BD176" s="352">
        <f>IFERROR($N176+VLOOKUP($L176,'Voyage days'!$F$448:$H$479,3,FALSE),"")</f>
        <v>46153</v>
      </c>
      <c r="BE176" s="324" t="str">
        <f t="shared" si="34"/>
        <v/>
      </c>
      <c r="BF176" s="354" t="str">
        <f>IFERROR($M176+VLOOKUP($L176,'Voyage days'!$F$620:$H$646,3,FALSE),"")</f>
        <v/>
      </c>
      <c r="BG176" s="354" t="str">
        <f>IFERROR($N176+VLOOKUP($L176,'Voyage days'!$F$620:$H$646,3,FALSE),"")</f>
        <v/>
      </c>
      <c r="BH176" s="324" t="str">
        <f t="shared" si="35"/>
        <v/>
      </c>
      <c r="BI176" s="389" t="str">
        <f>IFERROR($M176+VLOOKUP($L176,'Voyage days'!$F$702:$H$727,3,FALSE),"")</f>
        <v/>
      </c>
      <c r="BJ176" s="324" t="str">
        <f t="shared" si="36"/>
        <v>16-18 May</v>
      </c>
      <c r="BK176" s="354">
        <f>IFERROR($M176+VLOOKUP($L176,'Voyage days'!$F$807:$H$878,3,FALSE),"")</f>
        <v>46158</v>
      </c>
      <c r="BL176" s="354">
        <f>IFERROR($N176+VLOOKUP($L176,'Voyage days'!$F$807:$H$878,3,FALSE),"")</f>
        <v>46160</v>
      </c>
      <c r="BM176" s="354">
        <f>IFERROR($N176+VLOOKUP($L176,'Voyage days'!$F$807:$K$878,6,FALSE),"")</f>
        <v>46137</v>
      </c>
      <c r="BN176" s="352" t="str">
        <f>IF(L176="loads AG", IFERROR($M176+VLOOKUP($L176,'Voyage days'!$M$38:$O$38,3,FALSE),""),"")</f>
        <v/>
      </c>
      <c r="BO176" s="352" t="str">
        <f>IF(L176="loads USG", IFERROR($M176+VLOOKUP($L176,'Voyage days'!$L$203:$N$203,3,FALSE),""),"")</f>
        <v/>
      </c>
    </row>
    <row r="177" spans="1:68" ht="15.75" customHeight="1" x14ac:dyDescent="0.25">
      <c r="A177" s="308" t="s">
        <v>533</v>
      </c>
      <c r="B177" s="348">
        <v>2017</v>
      </c>
      <c r="C177" s="427">
        <v>78700</v>
      </c>
      <c r="D177" s="383"/>
      <c r="E177" s="178"/>
      <c r="F177" s="163"/>
      <c r="G177" s="163"/>
      <c r="H177" s="163"/>
      <c r="I177" s="164" t="s">
        <v>1127</v>
      </c>
      <c r="J177" s="165" t="str">
        <f t="shared" si="25"/>
        <v/>
      </c>
      <c r="K177" s="166"/>
      <c r="L177" s="167" t="s">
        <v>718</v>
      </c>
      <c r="M177" s="205">
        <v>46160</v>
      </c>
      <c r="N177" s="205">
        <v>46161</v>
      </c>
      <c r="O177" s="168"/>
      <c r="P177" s="167" t="s">
        <v>1141</v>
      </c>
      <c r="Q177" s="167"/>
      <c r="R177" s="167" t="s">
        <v>1142</v>
      </c>
      <c r="S177" s="120" t="s">
        <v>724</v>
      </c>
      <c r="T177" s="86">
        <v>46132</v>
      </c>
      <c r="U177" s="170" t="str">
        <f>IF(V177="","No AIS",VLOOKUP(V177,'Voyage days'!$A$3:$B$1480,2,FALSE))</f>
        <v>Panama</v>
      </c>
      <c r="V177" s="171" t="str">
        <f>IF(VLOOKUP(A177,'1) Kpler'!$E$2:$P$1000,8, FALSE)="","",VLOOKUP(A177,'1) Kpler'!$E$2:$P$1000,8, FALSE))</f>
        <v>Panama Canal</v>
      </c>
      <c r="W177" s="172">
        <f>IF(VLOOKUP(A177,'1) Kpler'!$E$2:$P$1000,9,FALSE)="","",VLOOKUP(A177,'1) Kpler'!$E$2:$P$1000,9,FALSE))</f>
        <v>46151.5</v>
      </c>
      <c r="X177" s="171" t="str">
        <f>VLOOKUP(A177,'1) Kpler'!$E$2:$I$1000,4,FALSE)</f>
        <v>open</v>
      </c>
      <c r="Y177" s="387" t="str">
        <f t="shared" si="0"/>
        <v/>
      </c>
      <c r="Z177" s="387" t="str">
        <f t="shared" si="1"/>
        <v>18-19 May</v>
      </c>
      <c r="AA177" s="387" t="str">
        <f t="shared" si="2"/>
        <v>18-19 May</v>
      </c>
      <c r="AB177" s="387" t="str">
        <f t="shared" si="3"/>
        <v/>
      </c>
      <c r="AC177" s="387" t="str">
        <f t="shared" si="4"/>
        <v>07-08 Jun</v>
      </c>
      <c r="AD177" s="387" t="str">
        <f t="shared" si="5"/>
        <v/>
      </c>
      <c r="AE177" s="388" t="str">
        <f t="shared" si="6"/>
        <v/>
      </c>
      <c r="AF177" s="92" t="str">
        <f t="shared" si="7"/>
        <v/>
      </c>
      <c r="AG177" s="324" t="str">
        <f t="shared" si="26"/>
        <v/>
      </c>
      <c r="AH177" s="352" t="str">
        <f>IFERROR($M177+VLOOKUP($L177,'Voyage days'!$F$38:$H$89,3,FALSE),"")</f>
        <v/>
      </c>
      <c r="AI177" s="352" t="str">
        <f>IFERROR(N177+VLOOKUP($L177,'Voyage days'!$F$38:$H$89,3,FALSE),"")</f>
        <v/>
      </c>
      <c r="AJ177" s="324" t="str">
        <f t="shared" si="27"/>
        <v>18-19 May</v>
      </c>
      <c r="AK177" s="352">
        <f>IFERROR($M177+VLOOKUP($L177,'Voyage days'!$F$94:$H$193,3,FALSE),"")</f>
        <v>46160</v>
      </c>
      <c r="AL177" s="352">
        <f>IFERROR($N177+VLOOKUP($L177,'Voyage days'!$F$94:$H$193,3,FALSE),"")</f>
        <v>46161</v>
      </c>
      <c r="AM177" s="324" t="str">
        <f t="shared" si="28"/>
        <v>18-19 May</v>
      </c>
      <c r="AN177" s="352">
        <f>IFERROR($M177+VLOOKUP($L177,'Voyage days'!$F$203:$H$256,3,FALSE),"")</f>
        <v>46160</v>
      </c>
      <c r="AO177" s="352">
        <f>IFERROR($N177+VLOOKUP($L177,'Voyage days'!$F$203:$H$256,3,FALSE),"")</f>
        <v>46161</v>
      </c>
      <c r="AP177" s="324" t="str">
        <f t="shared" si="29"/>
        <v/>
      </c>
      <c r="AQ177" s="352" t="str">
        <f>IFERROR($M177+VLOOKUP($L177,'Voyage days'!$F$294:$H$377,3,FALSE),"")</f>
        <v/>
      </c>
      <c r="AR177" s="352" t="str">
        <f>IFERROR($N177+VLOOKUP($L177,'Voyage days'!$F$294:$H$377,3,FALSE),"")</f>
        <v/>
      </c>
      <c r="AS177" s="324" t="str">
        <f t="shared" si="30"/>
        <v>07-08 Jun</v>
      </c>
      <c r="AT177" s="352">
        <f>IFERROR($M177+VLOOKUP($L177,'Voyage days'!$F$382:$H$446,3,FALSE),"")</f>
        <v>46180</v>
      </c>
      <c r="AU177" s="352">
        <f>IFERROR($N177+VLOOKUP($L177,'Voyage days'!$F$382:$H$446,3,FALSE),"")</f>
        <v>46181</v>
      </c>
      <c r="AV177" s="324" t="str">
        <f t="shared" si="31"/>
        <v/>
      </c>
      <c r="AW177" s="352" t="str">
        <f>IFERROR($M177+VLOOKUP($L177,'Voyage days'!$F$483:$H$538,3,FALSE),"")</f>
        <v/>
      </c>
      <c r="AX177" s="352" t="str">
        <f>IFERROR($N177+VLOOKUP($L177,'Voyage days'!$F$483:$H$538,3,FALSE),"")</f>
        <v/>
      </c>
      <c r="AY177" s="324" t="str">
        <f t="shared" si="32"/>
        <v/>
      </c>
      <c r="AZ177" s="352" t="str">
        <f>IFERROR($M177+VLOOKUP($L177,'Voyage days'!$F$540:$H$613,3,FALSE),"")</f>
        <v/>
      </c>
      <c r="BA177" s="352" t="str">
        <f>IFERROR($N177+VLOOKUP($L177,'Voyage days'!$F$540:$H$613,3,FALSE),"")</f>
        <v/>
      </c>
      <c r="BB177" s="324" t="str">
        <f t="shared" si="33"/>
        <v/>
      </c>
      <c r="BC177" s="352" t="str">
        <f>IFERROR($M177+VLOOKUP($L177,'Voyage days'!$F$448:$H$479,3,FALSE),"")</f>
        <v/>
      </c>
      <c r="BD177" s="352" t="str">
        <f>IFERROR($N177+VLOOKUP($L177,'Voyage days'!$F$448:$H$479,3,FALSE),"")</f>
        <v/>
      </c>
      <c r="BE177" s="324" t="str">
        <f t="shared" si="34"/>
        <v/>
      </c>
      <c r="BF177" s="354" t="str">
        <f>IFERROR($M177+VLOOKUP($L177,'Voyage days'!$F$620:$H$646,3,FALSE),"")</f>
        <v/>
      </c>
      <c r="BG177" s="354" t="str">
        <f>IFERROR($N177+VLOOKUP($L177,'Voyage days'!$F$620:$H$646,3,FALSE),"")</f>
        <v/>
      </c>
      <c r="BH177" s="324" t="str">
        <f t="shared" si="35"/>
        <v/>
      </c>
      <c r="BI177" s="389" t="str">
        <f>IFERROR($M177+VLOOKUP($L177,'Voyage days'!$F$702:$H$727,3,FALSE),"")</f>
        <v/>
      </c>
      <c r="BJ177" s="324" t="str">
        <f t="shared" si="36"/>
        <v/>
      </c>
      <c r="BK177" s="354" t="str">
        <f>IFERROR($M177+VLOOKUP($L177,'Voyage days'!$F$807:$H$878,3,FALSE),"")</f>
        <v/>
      </c>
      <c r="BL177" s="354" t="str">
        <f>IFERROR($N177+VLOOKUP($L177,'Voyage days'!$F$807:$H$878,3,FALSE),"")</f>
        <v/>
      </c>
      <c r="BM177" s="354" t="str">
        <f>IFERROR($N177+VLOOKUP($L177,'Voyage days'!$F$807:$K$878,6,FALSE),"")</f>
        <v/>
      </c>
      <c r="BN177" s="352" t="str">
        <f>IF(L177="loads AG", IFERROR($M177+VLOOKUP($L177,'Voyage days'!$M$38:$O$38,3,FALSE),""),"")</f>
        <v/>
      </c>
      <c r="BO177" s="352">
        <f>IF(L177="loads USG", IFERROR($M177+VLOOKUP($L177,'Voyage days'!$L$203:$N$203,3,FALSE),""),"")</f>
        <v>46192</v>
      </c>
    </row>
    <row r="178" spans="1:68" ht="15.75" customHeight="1" x14ac:dyDescent="0.25">
      <c r="A178" s="429" t="s">
        <v>548</v>
      </c>
      <c r="B178" s="421">
        <v>43123</v>
      </c>
      <c r="C178" s="76">
        <v>78700</v>
      </c>
      <c r="D178" s="430"/>
      <c r="E178" s="431"/>
      <c r="F178" s="121"/>
      <c r="G178" s="121"/>
      <c r="H178" s="121" t="s">
        <v>739</v>
      </c>
      <c r="I178" s="304" t="s">
        <v>1127</v>
      </c>
      <c r="J178" s="122" t="str">
        <f t="shared" si="25"/>
        <v/>
      </c>
      <c r="K178" s="123"/>
      <c r="L178" s="124" t="s">
        <v>718</v>
      </c>
      <c r="M178" s="222">
        <v>46149</v>
      </c>
      <c r="N178" s="222">
        <v>46150</v>
      </c>
      <c r="O178" s="126"/>
      <c r="P178" s="167" t="s">
        <v>1136</v>
      </c>
      <c r="Q178" s="316"/>
      <c r="R178" s="124" t="s">
        <v>1143</v>
      </c>
      <c r="S178" s="120" t="s">
        <v>724</v>
      </c>
      <c r="T178" s="86">
        <v>46132</v>
      </c>
      <c r="U178" s="87" t="str">
        <f>IF(V178="","No AIS",VLOOKUP(V178,'Voyage days'!$A$3:$B$1480,2,FALSE))</f>
        <v>Panama</v>
      </c>
      <c r="V178" s="87" t="str">
        <f>IF(VLOOKUP(A178,'1) Kpler'!$E$2:$P$1000,8, FALSE)="","",VLOOKUP(A178,'1) Kpler'!$E$2:$P$1000,8, FALSE))</f>
        <v>Panama Canal</v>
      </c>
      <c r="W178" s="128">
        <f>IF(VLOOKUP(A178,'1) Kpler'!$E$2:$P$1000,9,FALSE)="","",VLOOKUP(A178,'1) Kpler'!$E$2:$P$1000,9,FALSE))</f>
        <v>46140.625</v>
      </c>
      <c r="X178" s="87" t="str">
        <f>VLOOKUP(A178,'1) Kpler'!$E$2:$I$1000,4,FALSE)</f>
        <v>ballast</v>
      </c>
      <c r="Y178" s="234" t="str">
        <f t="shared" si="0"/>
        <v/>
      </c>
      <c r="Z178" s="234" t="str">
        <f t="shared" si="1"/>
        <v>07-08 May</v>
      </c>
      <c r="AA178" s="234" t="str">
        <f t="shared" si="2"/>
        <v>07-08 May</v>
      </c>
      <c r="AB178" s="234" t="str">
        <f t="shared" si="3"/>
        <v/>
      </c>
      <c r="AC178" s="234" t="str">
        <f t="shared" si="4"/>
        <v>27-28 May</v>
      </c>
      <c r="AD178" s="234" t="str">
        <f t="shared" si="5"/>
        <v/>
      </c>
      <c r="AE178" s="235" t="str">
        <f t="shared" si="6"/>
        <v/>
      </c>
      <c r="AF178" s="92" t="str">
        <f t="shared" si="7"/>
        <v/>
      </c>
      <c r="AG178" s="131" t="str">
        <f t="shared" si="26"/>
        <v/>
      </c>
      <c r="AH178" s="95" t="str">
        <f>IFERROR($M178+VLOOKUP($L178,'Voyage days'!$F$38:$H$89,3,FALSE),"")</f>
        <v/>
      </c>
      <c r="AI178" s="95" t="str">
        <f>IFERROR(N178+VLOOKUP($L178,'Voyage days'!$F$38:$H$89,3,FALSE),"")</f>
        <v/>
      </c>
      <c r="AJ178" s="131" t="str">
        <f t="shared" si="27"/>
        <v>07-08 May</v>
      </c>
      <c r="AK178" s="95">
        <f>IFERROR($M178+VLOOKUP($L178,'Voyage days'!$F$94:$H$193,3,FALSE),"")</f>
        <v>46149</v>
      </c>
      <c r="AL178" s="95">
        <f>IFERROR($N178+VLOOKUP($L178,'Voyage days'!$F$94:$H$193,3,FALSE),"")</f>
        <v>46150</v>
      </c>
      <c r="AM178" s="131" t="str">
        <f t="shared" si="28"/>
        <v>07-08 May</v>
      </c>
      <c r="AN178" s="95">
        <f>IFERROR($M178+VLOOKUP($L178,'Voyage days'!$F$203:$H$256,3,FALSE),"")</f>
        <v>46149</v>
      </c>
      <c r="AO178" s="95">
        <f>IFERROR($N178+VLOOKUP($L178,'Voyage days'!$F$203:$H$256,3,FALSE),"")</f>
        <v>46150</v>
      </c>
      <c r="AP178" s="131" t="str">
        <f t="shared" si="29"/>
        <v/>
      </c>
      <c r="AQ178" s="95" t="str">
        <f>IFERROR($M178+VLOOKUP($L178,'Voyage days'!$F$294:$H$377,3,FALSE),"")</f>
        <v/>
      </c>
      <c r="AR178" s="95" t="str">
        <f>IFERROR($N178+VLOOKUP($L178,'Voyage days'!$F$294:$H$377,3,FALSE),"")</f>
        <v/>
      </c>
      <c r="AS178" s="131" t="str">
        <f t="shared" si="30"/>
        <v>27-28 May</v>
      </c>
      <c r="AT178" s="95">
        <f>IFERROR($M178+VLOOKUP($L178,'Voyage days'!$F$382:$H$446,3,FALSE),"")</f>
        <v>46169</v>
      </c>
      <c r="AU178" s="95">
        <f>IFERROR($N178+VLOOKUP($L178,'Voyage days'!$F$382:$H$446,3,FALSE),"")</f>
        <v>46170</v>
      </c>
      <c r="AV178" s="131" t="str">
        <f t="shared" si="31"/>
        <v/>
      </c>
      <c r="AW178" s="95" t="str">
        <f>IFERROR($M178+VLOOKUP($L178,'Voyage days'!$F$483:$H$538,3,FALSE),"")</f>
        <v/>
      </c>
      <c r="AX178" s="95" t="str">
        <f>IFERROR($N178+VLOOKUP($L178,'Voyage days'!$F$483:$H$538,3,FALSE),"")</f>
        <v/>
      </c>
      <c r="AY178" s="131" t="str">
        <f t="shared" si="32"/>
        <v/>
      </c>
      <c r="AZ178" s="95" t="str">
        <f>IFERROR($M178+VLOOKUP($L178,'Voyage days'!$F$540:$H$613,3,FALSE),"")</f>
        <v/>
      </c>
      <c r="BA178" s="95" t="str">
        <f>IFERROR($N178+VLOOKUP($L178,'Voyage days'!$F$540:$H$613,3,FALSE),"")</f>
        <v/>
      </c>
      <c r="BB178" s="131" t="str">
        <f t="shared" si="33"/>
        <v/>
      </c>
      <c r="BC178" s="95" t="str">
        <f>IFERROR($M178+VLOOKUP($L178,'Voyage days'!$F$448:$H$479,3,FALSE),"")</f>
        <v/>
      </c>
      <c r="BD178" s="95" t="str">
        <f>IFERROR($N178+VLOOKUP($L178,'Voyage days'!$F$448:$H$479,3,FALSE),"")</f>
        <v/>
      </c>
      <c r="BE178" s="131" t="str">
        <f t="shared" si="34"/>
        <v/>
      </c>
      <c r="BF178" s="95" t="str">
        <f>IFERROR($M178+VLOOKUP($L178,'Voyage days'!$F$620:$H$646,3,FALSE),"")</f>
        <v/>
      </c>
      <c r="BG178" s="95" t="str">
        <f>IFERROR($N178+VLOOKUP($L178,'Voyage days'!$F$620:$H$646,3,FALSE),"")</f>
        <v/>
      </c>
      <c r="BH178" s="131" t="str">
        <f t="shared" si="35"/>
        <v/>
      </c>
      <c r="BI178" s="96" t="str">
        <f>IFERROR($M178+VLOOKUP($L178,'Voyage days'!$F$702:$H$727,3,FALSE),"")</f>
        <v/>
      </c>
      <c r="BJ178" s="131" t="str">
        <f t="shared" si="36"/>
        <v/>
      </c>
      <c r="BK178" s="95" t="str">
        <f>IFERROR($M178+VLOOKUP($L178,'Voyage days'!$F$807:$H$878,3,FALSE),"")</f>
        <v/>
      </c>
      <c r="BL178" s="95" t="str">
        <f>IFERROR($N178+VLOOKUP($L178,'Voyage days'!$F$807:$H$878,3,FALSE),"")</f>
        <v/>
      </c>
      <c r="BM178" s="95" t="str">
        <f>IFERROR($N178+VLOOKUP($L178,'Voyage days'!$F$807:$K$878,6,FALSE),"")</f>
        <v/>
      </c>
      <c r="BN178" s="95" t="str">
        <f>IF(L178="loads AG", IFERROR($M178+VLOOKUP($L178,'Voyage days'!$M$38:$O$38,3,FALSE),""),"")</f>
        <v/>
      </c>
      <c r="BO178" s="95">
        <f>IF(L178="loads USG", IFERROR($M178+VLOOKUP($L178,'Voyage days'!$L$203:$N$203,3,FALSE),""),"")</f>
        <v>46181</v>
      </c>
    </row>
    <row r="179" spans="1:68" ht="15.75" customHeight="1" x14ac:dyDescent="0.25">
      <c r="A179" s="432" t="s">
        <v>560</v>
      </c>
      <c r="B179" s="349">
        <v>2020</v>
      </c>
      <c r="C179" s="427">
        <v>84000</v>
      </c>
      <c r="D179" s="433"/>
      <c r="E179" s="433"/>
      <c r="F179" s="434"/>
      <c r="G179" s="434"/>
      <c r="H179" s="434" t="s">
        <v>739</v>
      </c>
      <c r="I179" s="164" t="s">
        <v>1127</v>
      </c>
      <c r="J179" s="80" t="str">
        <f t="shared" si="25"/>
        <v>Update</v>
      </c>
      <c r="K179" s="166"/>
      <c r="L179" s="435" t="s">
        <v>718</v>
      </c>
      <c r="M179" s="205">
        <v>46159</v>
      </c>
      <c r="N179" s="205">
        <v>46160</v>
      </c>
      <c r="O179" s="84"/>
      <c r="P179" s="167" t="s">
        <v>1144</v>
      </c>
      <c r="Q179" s="167"/>
      <c r="R179" s="82" t="s">
        <v>1145</v>
      </c>
      <c r="S179" s="120" t="s">
        <v>724</v>
      </c>
      <c r="T179" s="86">
        <v>46132</v>
      </c>
      <c r="U179" s="87" t="str">
        <f>IF(V179="","No AIS",VLOOKUP(V179,'Voyage days'!$A$3:$B$1480,2,FALSE))</f>
        <v>USG</v>
      </c>
      <c r="V179" s="171" t="str">
        <f>IF(VLOOKUP(A179,'1) Kpler'!$E$2:$P$1000,8, FALSE)="","",VLOOKUP(A179,'1) Kpler'!$E$2:$P$1000,8, FALSE))</f>
        <v>Energy Transfer Nederland</v>
      </c>
      <c r="W179" s="89">
        <f>IF(VLOOKUP(A179,'1) Kpler'!$E$2:$P$1000,9,FALSE)="","",VLOOKUP(A179,'1) Kpler'!$E$2:$P$1000,9,FALSE))</f>
        <v>46160.25</v>
      </c>
      <c r="X179" s="171" t="str">
        <f>VLOOKUP(A179,'1) Kpler'!$E$2:$I$1000,4,FALSE)</f>
        <v>ballast</v>
      </c>
      <c r="Y179" s="324" t="str">
        <f t="shared" si="0"/>
        <v/>
      </c>
      <c r="Z179" s="324" t="str">
        <f t="shared" si="1"/>
        <v>17-18 May</v>
      </c>
      <c r="AA179" s="324" t="str">
        <f t="shared" si="2"/>
        <v>17-18 May</v>
      </c>
      <c r="AB179" s="324" t="str">
        <f t="shared" si="3"/>
        <v/>
      </c>
      <c r="AC179" s="324" t="str">
        <f t="shared" si="4"/>
        <v>06-07 Jun</v>
      </c>
      <c r="AD179" s="324" t="str">
        <f t="shared" si="5"/>
        <v/>
      </c>
      <c r="AE179" s="325" t="str">
        <f t="shared" si="6"/>
        <v/>
      </c>
      <c r="AF179" s="130" t="str">
        <f t="shared" si="7"/>
        <v/>
      </c>
      <c r="AG179" s="324" t="str">
        <f t="shared" si="26"/>
        <v/>
      </c>
      <c r="AH179" s="352" t="str">
        <f>IFERROR($M179+VLOOKUP($L179,'Voyage days'!$F$38:$H$89,3,FALSE),"")</f>
        <v/>
      </c>
      <c r="AI179" s="352" t="str">
        <f>IFERROR(N179+VLOOKUP($L179,'Voyage days'!$F$38:$H$89,3,FALSE),"")</f>
        <v/>
      </c>
      <c r="AJ179" s="324" t="str">
        <f t="shared" si="27"/>
        <v>17-18 May</v>
      </c>
      <c r="AK179" s="352">
        <f>IFERROR($M179+VLOOKUP($L179,'Voyage days'!$F$94:$H$193,3,FALSE),"")</f>
        <v>46159</v>
      </c>
      <c r="AL179" s="352">
        <f>IFERROR($N179+VLOOKUP($L179,'Voyage days'!$F$94:$H$193,3,FALSE),"")</f>
        <v>46160</v>
      </c>
      <c r="AM179" s="324" t="str">
        <f t="shared" si="28"/>
        <v>17-18 May</v>
      </c>
      <c r="AN179" s="352">
        <f>IFERROR($M179+VLOOKUP($L179,'Voyage days'!$F$203:$H$256,3,FALSE),"")</f>
        <v>46159</v>
      </c>
      <c r="AO179" s="352">
        <f>IFERROR($N179+VLOOKUP($L179,'Voyage days'!$F$203:$H$256,3,FALSE),"")</f>
        <v>46160</v>
      </c>
      <c r="AP179" s="324" t="str">
        <f t="shared" si="29"/>
        <v/>
      </c>
      <c r="AQ179" s="352" t="str">
        <f>IFERROR($M179+VLOOKUP($L179,'Voyage days'!$F$294:$H$377,3,FALSE),"")</f>
        <v/>
      </c>
      <c r="AR179" s="352" t="str">
        <f>IFERROR($N179+VLOOKUP($L179,'Voyage days'!$F$294:$H$377,3,FALSE),"")</f>
        <v/>
      </c>
      <c r="AS179" s="324" t="str">
        <f t="shared" si="30"/>
        <v>06-07 Jun</v>
      </c>
      <c r="AT179" s="352">
        <f>IFERROR($M179+VLOOKUP($L179,'Voyage days'!$F$382:$H$446,3,FALSE),"")</f>
        <v>46179</v>
      </c>
      <c r="AU179" s="352">
        <f>IFERROR($N179+VLOOKUP($L179,'Voyage days'!$F$382:$H$446,3,FALSE),"")</f>
        <v>46180</v>
      </c>
      <c r="AV179" s="324" t="str">
        <f t="shared" si="31"/>
        <v/>
      </c>
      <c r="AW179" s="352" t="str">
        <f>IFERROR($M179+VLOOKUP($L179,'Voyage days'!$F$483:$H$538,3,FALSE),"")</f>
        <v/>
      </c>
      <c r="AX179" s="352" t="str">
        <f>IFERROR($N179+VLOOKUP($L179,'Voyage days'!$F$483:$H$538,3,FALSE),"")</f>
        <v/>
      </c>
      <c r="AY179" s="324" t="str">
        <f t="shared" si="32"/>
        <v/>
      </c>
      <c r="AZ179" s="352" t="str">
        <f>IFERROR($M179+VLOOKUP($L179,'Voyage days'!$F$540:$H$613,3,FALSE),"")</f>
        <v/>
      </c>
      <c r="BA179" s="352" t="str">
        <f>IFERROR($N179+VLOOKUP($L179,'Voyage days'!$F$540:$H$613,3,FALSE),"")</f>
        <v/>
      </c>
      <c r="BB179" s="324" t="str">
        <f t="shared" si="33"/>
        <v/>
      </c>
      <c r="BC179" s="94" t="str">
        <f>IFERROR($M179+VLOOKUP($L179,'Voyage days'!$F$448:$H$479,3,FALSE),"")</f>
        <v/>
      </c>
      <c r="BD179" s="94" t="str">
        <f>IFERROR($N179+VLOOKUP($L179,'Voyage days'!$F$448:$H$479,3,FALSE),"")</f>
        <v/>
      </c>
      <c r="BE179" s="324" t="str">
        <f t="shared" si="34"/>
        <v/>
      </c>
      <c r="BF179" s="354" t="str">
        <f>IFERROR($M179+VLOOKUP($L179,'Voyage days'!$F$620:$H$646,3,FALSE),"")</f>
        <v/>
      </c>
      <c r="BG179" s="354" t="str">
        <f>IFERROR($N179+VLOOKUP($L179,'Voyage days'!$F$620:$H$646,3,FALSE),"")</f>
        <v/>
      </c>
      <c r="BH179" s="324" t="str">
        <f t="shared" si="35"/>
        <v/>
      </c>
      <c r="BI179" s="389" t="str">
        <f>IFERROR($M179+VLOOKUP($L179,'Voyage days'!$F$702:$H$727,3,FALSE),"")</f>
        <v/>
      </c>
      <c r="BJ179" s="324" t="str">
        <f t="shared" si="36"/>
        <v/>
      </c>
      <c r="BK179" s="354" t="str">
        <f>IFERROR($M179+VLOOKUP($L179,'Voyage days'!$F$807:$H$878,3,FALSE),"")</f>
        <v/>
      </c>
      <c r="BL179" s="354" t="str">
        <f>IFERROR($N179+VLOOKUP($L179,'Voyage days'!$F$807:$H$878,3,FALSE),"")</f>
        <v/>
      </c>
      <c r="BM179" s="95" t="str">
        <f>IFERROR($N179+VLOOKUP($L179,'Voyage days'!$F$807:$K$878,6,FALSE),"")</f>
        <v/>
      </c>
      <c r="BN179" s="94" t="str">
        <f>IF(L179="loads AG", IFERROR($M179+VLOOKUP($L179,'Voyage days'!$M$38:$O$38,3,FALSE),""),"")</f>
        <v/>
      </c>
      <c r="BO179" s="94">
        <f>IF(L179="loads USG", IFERROR($M179+VLOOKUP($L179,'Voyage days'!$L$203:$N$203,3,FALSE),""),"")</f>
        <v>46191</v>
      </c>
    </row>
    <row r="180" spans="1:68" ht="15.75" customHeight="1" x14ac:dyDescent="0.25">
      <c r="A180" s="53" t="s">
        <v>561</v>
      </c>
      <c r="B180" s="119">
        <v>2020</v>
      </c>
      <c r="C180" s="76">
        <v>84000</v>
      </c>
      <c r="D180" s="77"/>
      <c r="E180" s="77"/>
      <c r="F180" s="78"/>
      <c r="G180" s="78"/>
      <c r="H180" s="78" t="s">
        <v>739</v>
      </c>
      <c r="I180" s="233" t="s">
        <v>1127</v>
      </c>
      <c r="J180" s="80" t="str">
        <f t="shared" si="25"/>
        <v/>
      </c>
      <c r="K180" s="81" t="s">
        <v>817</v>
      </c>
      <c r="L180" s="435" t="s">
        <v>734</v>
      </c>
      <c r="M180" s="83">
        <v>46145</v>
      </c>
      <c r="N180" s="83">
        <v>46146</v>
      </c>
      <c r="O180" s="84"/>
      <c r="P180" s="167" t="s">
        <v>1146</v>
      </c>
      <c r="Q180" s="82"/>
      <c r="R180" s="82" t="s">
        <v>1147</v>
      </c>
      <c r="S180" s="120" t="s">
        <v>724</v>
      </c>
      <c r="T180" s="86">
        <v>46132</v>
      </c>
      <c r="U180" s="87" t="str">
        <f>IF(V180="","No AIS",VLOOKUP(V180,'Voyage days'!$A$3:$B$1480,2,FALSE))</f>
        <v>Indo + 4</v>
      </c>
      <c r="V180" s="88" t="str">
        <f>IF(VLOOKUP(A180,'1) Kpler'!$E$2:$P$1000,8, FALSE)="","",VLOOKUP(A180,'1) Kpler'!$E$2:$P$1000,8, FALSE))</f>
        <v>Oiltank. Merak</v>
      </c>
      <c r="W180" s="89">
        <f>IF(VLOOKUP(A180,'1) Kpler'!$E$2:$P$1000,9,FALSE)="","",VLOOKUP(A180,'1) Kpler'!$E$2:$P$1000,9,FALSE))</f>
        <v>46141.75</v>
      </c>
      <c r="X180" s="88" t="str">
        <f>VLOOKUP(A180,'1) Kpler'!$E$2:$I$1000,4,FALSE)</f>
        <v>loaded</v>
      </c>
      <c r="Y180" s="90" t="str">
        <f t="shared" si="0"/>
        <v>14-15 May</v>
      </c>
      <c r="Z180" s="90" t="str">
        <f t="shared" si="1"/>
        <v>10-11 Jun</v>
      </c>
      <c r="AA180" s="90" t="str">
        <f t="shared" si="2"/>
        <v>09-10 Jun</v>
      </c>
      <c r="AB180" s="90" t="str">
        <f t="shared" si="3"/>
        <v>23-24 May</v>
      </c>
      <c r="AC180" s="90" t="str">
        <f t="shared" si="4"/>
        <v>01-02 Jun</v>
      </c>
      <c r="AD180" s="90" t="str">
        <f t="shared" si="5"/>
        <v>06-07 May</v>
      </c>
      <c r="AE180" s="91" t="str">
        <f t="shared" si="6"/>
        <v>07-08 May</v>
      </c>
      <c r="AF180" s="92" t="str">
        <f t="shared" si="7"/>
        <v>09-10 Jun</v>
      </c>
      <c r="AG180" s="93" t="str">
        <f t="shared" si="26"/>
        <v>14-15 May</v>
      </c>
      <c r="AH180" s="94">
        <f>IFERROR($M180+VLOOKUP($L180,'Voyage days'!$F$38:$H$89,3,FALSE),"")</f>
        <v>46156</v>
      </c>
      <c r="AI180" s="94">
        <f>IFERROR(N180+VLOOKUP($L180,'Voyage days'!$F$38:$H$89,3,FALSE),"")</f>
        <v>46157</v>
      </c>
      <c r="AJ180" s="93" t="str">
        <f t="shared" si="27"/>
        <v>10-11 Jun</v>
      </c>
      <c r="AK180" s="94">
        <f>IFERROR($M180+VLOOKUP($L180,'Voyage days'!$F$94:$H$193,3,FALSE),"")</f>
        <v>46183</v>
      </c>
      <c r="AL180" s="94">
        <f>IFERROR($N180+VLOOKUP($L180,'Voyage days'!$F$94:$H$193,3,FALSE),"")</f>
        <v>46184</v>
      </c>
      <c r="AM180" s="93" t="str">
        <f t="shared" si="28"/>
        <v>09-10 Jun</v>
      </c>
      <c r="AN180" s="94">
        <f>IFERROR($M180+VLOOKUP($L180,'Voyage days'!$F$203:$H$256,3,FALSE),"")</f>
        <v>46182</v>
      </c>
      <c r="AO180" s="94">
        <f>IFERROR($N180+VLOOKUP($L180,'Voyage days'!$F$203:$H$256,3,FALSE),"")</f>
        <v>46183</v>
      </c>
      <c r="AP180" s="93" t="str">
        <f t="shared" si="29"/>
        <v>23-24 May</v>
      </c>
      <c r="AQ180" s="94">
        <f>IFERROR($M180+VLOOKUP($L180,'Voyage days'!$F$294:$H$377,3,FALSE),"")</f>
        <v>46165</v>
      </c>
      <c r="AR180" s="94">
        <f>IFERROR($N180+VLOOKUP($L180,'Voyage days'!$F$294:$H$377,3,FALSE),"")</f>
        <v>46166</v>
      </c>
      <c r="AS180" s="93" t="str">
        <f t="shared" si="30"/>
        <v>01-02 Jun</v>
      </c>
      <c r="AT180" s="94">
        <f>IFERROR($M180+VLOOKUP($L180,'Voyage days'!$F$382:$H$446,3,FALSE),"")</f>
        <v>46174</v>
      </c>
      <c r="AU180" s="94">
        <f>IFERROR($N180+VLOOKUP($L180,'Voyage days'!$F$382:$H$446,3,FALSE),"")</f>
        <v>46175</v>
      </c>
      <c r="AV180" s="93" t="str">
        <f t="shared" si="31"/>
        <v>12-13 May</v>
      </c>
      <c r="AW180" s="94">
        <f>IFERROR($M180+VLOOKUP($L180,'Voyage days'!$F$483:$H$538,3,FALSE),"")</f>
        <v>46154</v>
      </c>
      <c r="AX180" s="94">
        <f>IFERROR($N180+VLOOKUP($L180,'Voyage days'!$F$483:$H$538,3,FALSE),"")</f>
        <v>46155</v>
      </c>
      <c r="AY180" s="93" t="str">
        <f t="shared" si="32"/>
        <v>07-08 May</v>
      </c>
      <c r="AZ180" s="94">
        <f>IFERROR($M180+VLOOKUP($L180,'Voyage days'!$F$540:$H$613,3,FALSE),"")</f>
        <v>46149</v>
      </c>
      <c r="BA180" s="94">
        <f>IFERROR($N180+VLOOKUP($L180,'Voyage days'!$F$540:$H$613,3,FALSE),"")</f>
        <v>46150</v>
      </c>
      <c r="BB180" s="93" t="str">
        <f t="shared" si="33"/>
        <v>06-07 May</v>
      </c>
      <c r="BC180" s="94">
        <f>IFERROR($M180+VLOOKUP($L180,'Voyage days'!$F$448:$H$479,3,FALSE),"")</f>
        <v>46148</v>
      </c>
      <c r="BD180" s="94">
        <f>IFERROR($N180+VLOOKUP($L180,'Voyage days'!$F$448:$H$479,3,FALSE),"")</f>
        <v>46149</v>
      </c>
      <c r="BE180" s="93" t="str">
        <f t="shared" si="34"/>
        <v/>
      </c>
      <c r="BF180" s="95" t="str">
        <f>IFERROR($M180+VLOOKUP($L180,'Voyage days'!$F$620:$H$646,3,FALSE),"")</f>
        <v/>
      </c>
      <c r="BG180" s="95" t="str">
        <f>IFERROR($N180+VLOOKUP($L180,'Voyage days'!$F$620:$H$646,3,FALSE),"")</f>
        <v/>
      </c>
      <c r="BH180" s="93" t="str">
        <f t="shared" si="35"/>
        <v>11-10 Jun</v>
      </c>
      <c r="BI180" s="96">
        <f>IFERROR($M180+VLOOKUP($L180,'Voyage days'!$F$702:$H$727,3,FALSE),"")</f>
        <v>46153</v>
      </c>
      <c r="BJ180" s="93" t="str">
        <f t="shared" si="36"/>
        <v>09-10 Jun</v>
      </c>
      <c r="BK180" s="95">
        <f>IFERROR($M180+VLOOKUP($L180,'Voyage days'!$F$807:$H$878,3,FALSE),"")</f>
        <v>46182</v>
      </c>
      <c r="BL180" s="95">
        <f>IFERROR($N180+VLOOKUP($L180,'Voyage days'!$F$807:$H$878,3,FALSE),"")</f>
        <v>46183</v>
      </c>
      <c r="BM180" s="95">
        <f>IFERROR($N180+VLOOKUP($L180,'Voyage days'!$F$807:$K$878,6,FALSE),"")</f>
        <v>46159</v>
      </c>
      <c r="BN180" s="94" t="str">
        <f>IF(L180="loads AG", IFERROR($M180+VLOOKUP($L180,'Voyage days'!$M$38:$O$38,3,FALSE),""),"")</f>
        <v/>
      </c>
      <c r="BO180" s="94" t="str">
        <f>IF(L180="loads USG", IFERROR($M180+VLOOKUP($L180,'Voyage days'!$L$203:$N$203,3,FALSE),""),"")</f>
        <v/>
      </c>
    </row>
    <row r="181" spans="1:68" ht="15.75" customHeight="1" x14ac:dyDescent="0.25">
      <c r="A181" s="53" t="s">
        <v>562</v>
      </c>
      <c r="B181" s="119">
        <v>2020</v>
      </c>
      <c r="C181" s="76">
        <v>84000</v>
      </c>
      <c r="D181" s="77" t="s">
        <v>651</v>
      </c>
      <c r="E181" s="77"/>
      <c r="F181" s="78"/>
      <c r="G181" s="78"/>
      <c r="H181" s="78" t="s">
        <v>739</v>
      </c>
      <c r="I181" s="233" t="s">
        <v>1127</v>
      </c>
      <c r="J181" s="80" t="str">
        <f t="shared" si="25"/>
        <v/>
      </c>
      <c r="K181" s="81" t="s">
        <v>817</v>
      </c>
      <c r="L181" s="82" t="s">
        <v>863</v>
      </c>
      <c r="M181" s="83">
        <v>46141</v>
      </c>
      <c r="N181" s="83">
        <v>46143</v>
      </c>
      <c r="O181" s="84" t="s">
        <v>726</v>
      </c>
      <c r="P181" s="78" t="s">
        <v>1148</v>
      </c>
      <c r="Q181" s="85"/>
      <c r="R181" s="85" t="s">
        <v>1149</v>
      </c>
      <c r="S181" s="120" t="s">
        <v>724</v>
      </c>
      <c r="T181" s="232">
        <v>46132</v>
      </c>
      <c r="U181" s="87" t="str">
        <f>IF(V181="","No AIS",VLOOKUP(V181,'Voyage days'!$A$3:$B$1480,2,FALSE))</f>
        <v>ECI + 5</v>
      </c>
      <c r="V181" s="88" t="str">
        <f>IF(VLOOKUP(A181,'1) Kpler'!$E$2:$P$1000,8, FALSE)="","",VLOOKUP(A181,'1) Kpler'!$E$2:$P$1000,8, FALSE))</f>
        <v>Ennore Port</v>
      </c>
      <c r="W181" s="89">
        <f>IF(VLOOKUP(A181,'1) Kpler'!$E$2:$P$1000,9,FALSE)="","",VLOOKUP(A181,'1) Kpler'!$E$2:$P$1000,9,FALSE))</f>
        <v>46133.1875</v>
      </c>
      <c r="X181" s="88" t="str">
        <f>VLOOKUP(A181,'1) Kpler'!$E$2:$I$1000,4,FALSE)</f>
        <v>loaded</v>
      </c>
      <c r="Y181" s="90" t="str">
        <f t="shared" si="0"/>
        <v>08-10 May</v>
      </c>
      <c r="Z181" s="90" t="str">
        <f t="shared" si="1"/>
        <v/>
      </c>
      <c r="AA181" s="90" t="str">
        <f t="shared" si="2"/>
        <v>04-06 Jun</v>
      </c>
      <c r="AB181" s="90" t="str">
        <f t="shared" si="3"/>
        <v>20-22 May</v>
      </c>
      <c r="AC181" s="90" t="str">
        <f t="shared" si="4"/>
        <v>27-29 May</v>
      </c>
      <c r="AD181" s="90" t="str">
        <f t="shared" si="5"/>
        <v>04-06 May</v>
      </c>
      <c r="AE181" s="91" t="str">
        <f t="shared" si="6"/>
        <v/>
      </c>
      <c r="AF181" s="92" t="str">
        <f t="shared" si="7"/>
        <v>06-08 Jun</v>
      </c>
      <c r="AG181" s="93" t="str">
        <f t="shared" si="26"/>
        <v>08-10 May</v>
      </c>
      <c r="AH181" s="94">
        <f>IFERROR($M181+VLOOKUP($L181,'Voyage days'!$F$38:$H$89,3,FALSE),"")</f>
        <v>46150</v>
      </c>
      <c r="AI181" s="94">
        <f>IFERROR(N181+VLOOKUP($L181,'Voyage days'!$F$38:$H$89,3,FALSE),"")</f>
        <v>46152</v>
      </c>
      <c r="AJ181" s="93" t="str">
        <f t="shared" si="27"/>
        <v/>
      </c>
      <c r="AK181" s="94" t="str">
        <f>IFERROR($M181+VLOOKUP($L181,'Voyage days'!$F$94:$H$193,3,FALSE),"")</f>
        <v/>
      </c>
      <c r="AL181" s="94" t="str">
        <f>IFERROR($N181+VLOOKUP($L181,'Voyage days'!$F$94:$H$193,3,FALSE),"")</f>
        <v/>
      </c>
      <c r="AM181" s="93" t="str">
        <f t="shared" si="28"/>
        <v>04-06 Jun</v>
      </c>
      <c r="AN181" s="94">
        <f>IFERROR($M181+VLOOKUP($L181,'Voyage days'!$F$203:$H$256,3,FALSE),"")</f>
        <v>46177</v>
      </c>
      <c r="AO181" s="94">
        <f>IFERROR($N181+VLOOKUP($L181,'Voyage days'!$F$203:$H$256,3,FALSE),"")</f>
        <v>46179</v>
      </c>
      <c r="AP181" s="93" t="str">
        <f t="shared" si="29"/>
        <v>20-22 May</v>
      </c>
      <c r="AQ181" s="94">
        <f>IFERROR($M181+VLOOKUP($L181,'Voyage days'!$F$294:$H$377,3,FALSE),"")</f>
        <v>46162</v>
      </c>
      <c r="AR181" s="94">
        <f>IFERROR($N181+VLOOKUP($L181,'Voyage days'!$F$294:$H$377,3,FALSE),"")</f>
        <v>46164</v>
      </c>
      <c r="AS181" s="93" t="str">
        <f t="shared" si="30"/>
        <v>27-29 May</v>
      </c>
      <c r="AT181" s="94">
        <f>IFERROR($M181+VLOOKUP($L181,'Voyage days'!$F$382:$H$446,3,FALSE),"")</f>
        <v>46169</v>
      </c>
      <c r="AU181" s="94">
        <f>IFERROR($N181+VLOOKUP($L181,'Voyage days'!$F$382:$H$446,3,FALSE),"")</f>
        <v>46171</v>
      </c>
      <c r="AV181" s="93" t="str">
        <f t="shared" si="31"/>
        <v>29-01 May</v>
      </c>
      <c r="AW181" s="94">
        <f>IFERROR($M181+VLOOKUP($L181,'Voyage days'!$F$483:$H$538,3,FALSE),"")</f>
        <v>46141</v>
      </c>
      <c r="AX181" s="94">
        <f>IFERROR($N181+VLOOKUP($L181,'Voyage days'!$F$483:$H$538,3,FALSE),"")</f>
        <v>46143</v>
      </c>
      <c r="AY181" s="93" t="str">
        <f t="shared" si="32"/>
        <v/>
      </c>
      <c r="AZ181" s="94" t="str">
        <f>IFERROR($M181+VLOOKUP($L181,'Voyage days'!$F$540:$H$613,3,FALSE),"")</f>
        <v/>
      </c>
      <c r="BA181" s="94" t="str">
        <f>IFERROR($N181+VLOOKUP($L181,'Voyage days'!$F$540:$H$613,3,FALSE),"")</f>
        <v/>
      </c>
      <c r="BB181" s="93" t="str">
        <f t="shared" si="33"/>
        <v>04-06 May</v>
      </c>
      <c r="BC181" s="94">
        <f>IFERROR($M181+VLOOKUP($L181,'Voyage days'!$F$448:$H$479,3,FALSE),"")</f>
        <v>46146</v>
      </c>
      <c r="BD181" s="94">
        <f>IFERROR($N181+VLOOKUP($L181,'Voyage days'!$F$448:$H$479,3,FALSE),"")</f>
        <v>46148</v>
      </c>
      <c r="BE181" s="93" t="str">
        <f t="shared" si="34"/>
        <v/>
      </c>
      <c r="BF181" s="95" t="str">
        <f>IFERROR($M181+VLOOKUP($L181,'Voyage days'!$F$620:$H$646,3,FALSE),"")</f>
        <v/>
      </c>
      <c r="BG181" s="95" t="str">
        <f>IFERROR($N181+VLOOKUP($L181,'Voyage days'!$F$620:$H$646,3,FALSE),"")</f>
        <v/>
      </c>
      <c r="BH181" s="93" t="str">
        <f t="shared" si="35"/>
        <v/>
      </c>
      <c r="BI181" s="96" t="str">
        <f>IFERROR($M181+VLOOKUP($L181,'Voyage days'!$F$702:$H$727,3,FALSE),"")</f>
        <v/>
      </c>
      <c r="BJ181" s="93" t="str">
        <f t="shared" si="36"/>
        <v>06-08 Jun</v>
      </c>
      <c r="BK181" s="95">
        <f>IFERROR($M181+VLOOKUP($L181,'Voyage days'!$F$807:$H$878,3,FALSE),"")</f>
        <v>46179</v>
      </c>
      <c r="BL181" s="95">
        <f>IFERROR($N181+VLOOKUP($L181,'Voyage days'!$F$807:$H$878,3,FALSE),"")</f>
        <v>46181</v>
      </c>
      <c r="BM181" s="95">
        <f>IFERROR($N181+VLOOKUP($L181,'Voyage days'!$F$807:$K$878,6,FALSE),"")</f>
        <v>46155</v>
      </c>
      <c r="BN181" s="94" t="str">
        <f>IF(L181="loads AG", IFERROR($M181+VLOOKUP($L181,'Voyage days'!$M$38:$O$38,3,FALSE),""),"")</f>
        <v/>
      </c>
      <c r="BO181" s="94" t="str">
        <f>IF(L181="loads USG", IFERROR($M181+VLOOKUP($L181,'Voyage days'!$L$203:$N$203,3,FALSE),""),"")</f>
        <v/>
      </c>
    </row>
    <row r="182" spans="1:68" ht="15.75" customHeight="1" x14ac:dyDescent="0.25">
      <c r="A182" s="74" t="s">
        <v>333</v>
      </c>
      <c r="B182" s="436">
        <v>42429</v>
      </c>
      <c r="C182" s="210">
        <v>84000</v>
      </c>
      <c r="D182" s="77"/>
      <c r="E182" s="77"/>
      <c r="F182" s="121"/>
      <c r="G182" s="121"/>
      <c r="H182" s="121"/>
      <c r="I182" s="82" t="s">
        <v>1150</v>
      </c>
      <c r="J182" s="80" t="str">
        <f t="shared" si="25"/>
        <v/>
      </c>
      <c r="K182" s="437"/>
      <c r="L182" s="157" t="s">
        <v>718</v>
      </c>
      <c r="M182" s="307">
        <v>46133</v>
      </c>
      <c r="N182" s="307">
        <v>46135</v>
      </c>
      <c r="O182" s="84"/>
      <c r="P182" s="78" t="s">
        <v>1151</v>
      </c>
      <c r="Q182" s="82"/>
      <c r="R182" s="82" t="s">
        <v>1152</v>
      </c>
      <c r="S182" s="120" t="s">
        <v>724</v>
      </c>
      <c r="T182" s="86">
        <v>46132</v>
      </c>
      <c r="U182" s="87" t="str">
        <f>IF(V182="","No AIS",VLOOKUP(V182,'Voyage days'!$A$3:$B$1480,2,FALSE))</f>
        <v>USG</v>
      </c>
      <c r="V182" s="88" t="str">
        <f>IF(VLOOKUP(A182,'1) Kpler'!$E$2:$P$1000,8, FALSE)="","",VLOOKUP(A182,'1) Kpler'!$E$2:$P$1000,8, FALSE))</f>
        <v>Houston</v>
      </c>
      <c r="W182" s="89">
        <f>IF(VLOOKUP(A182,'1) Kpler'!$E$2:$P$1000,9,FALSE)="","",VLOOKUP(A182,'1) Kpler'!$E$2:$P$1000,9,FALSE))</f>
        <v>46133.833333333336</v>
      </c>
      <c r="X182" s="88" t="str">
        <f>VLOOKUP(A182,'1) Kpler'!$E$2:$I$1000,4,FALSE)</f>
        <v>open</v>
      </c>
      <c r="Y182" s="90" t="str">
        <f t="shared" si="0"/>
        <v/>
      </c>
      <c r="Z182" s="90" t="str">
        <f t="shared" si="1"/>
        <v>21-23 Apr</v>
      </c>
      <c r="AA182" s="90" t="str">
        <f t="shared" si="2"/>
        <v>21-23 Apr</v>
      </c>
      <c r="AB182" s="90" t="str">
        <f t="shared" si="3"/>
        <v/>
      </c>
      <c r="AC182" s="90" t="str">
        <f t="shared" si="4"/>
        <v>11-13 May</v>
      </c>
      <c r="AD182" s="90" t="str">
        <f t="shared" si="5"/>
        <v/>
      </c>
      <c r="AE182" s="91" t="str">
        <f t="shared" si="6"/>
        <v/>
      </c>
      <c r="AF182" s="92" t="str">
        <f t="shared" si="7"/>
        <v/>
      </c>
      <c r="AG182" s="200" t="str">
        <f t="shared" si="26"/>
        <v/>
      </c>
      <c r="AH182" s="201" t="str">
        <f>IFERROR($M182+VLOOKUP($L182,'Voyage days'!$F$38:$H$89,3,FALSE),"")</f>
        <v/>
      </c>
      <c r="AI182" s="201" t="str">
        <f>IFERROR(N182+VLOOKUP($L182,'Voyage days'!$F$38:$H$89,3,FALSE),"")</f>
        <v/>
      </c>
      <c r="AJ182" s="200" t="str">
        <f t="shared" si="27"/>
        <v>21-23 Apr</v>
      </c>
      <c r="AK182" s="201">
        <f>IFERROR($M182+VLOOKUP($L182,'Voyage days'!$F$94:$H$193,3,FALSE),"")</f>
        <v>46133</v>
      </c>
      <c r="AL182" s="201">
        <f>IFERROR($N182+VLOOKUP($L182,'Voyage days'!$F$94:$H$193,3,FALSE),"")</f>
        <v>46135</v>
      </c>
      <c r="AM182" s="200" t="str">
        <f t="shared" si="28"/>
        <v>21-23 Apr</v>
      </c>
      <c r="AN182" s="201">
        <f>IFERROR($M182+VLOOKUP($L182,'Voyage days'!$F$203:$H$256,3,FALSE),"")</f>
        <v>46133</v>
      </c>
      <c r="AO182" s="201">
        <f>IFERROR($N182+VLOOKUP($L182,'Voyage days'!$F$203:$H$256,3,FALSE),"")</f>
        <v>46135</v>
      </c>
      <c r="AP182" s="200" t="str">
        <f t="shared" si="29"/>
        <v/>
      </c>
      <c r="AQ182" s="201" t="str">
        <f>IFERROR($M182+VLOOKUP($L182,'Voyage days'!$F$294:$H$377,3,FALSE),"")</f>
        <v/>
      </c>
      <c r="AR182" s="201" t="str">
        <f>IFERROR($N182+VLOOKUP($L182,'Voyage days'!$F$294:$H$377,3,FALSE),"")</f>
        <v/>
      </c>
      <c r="AS182" s="200" t="str">
        <f t="shared" si="30"/>
        <v>11-13 May</v>
      </c>
      <c r="AT182" s="201">
        <f>IFERROR($M182+VLOOKUP($L182,'Voyage days'!$F$382:$H$446,3,FALSE),"")</f>
        <v>46153</v>
      </c>
      <c r="AU182" s="201">
        <f>IFERROR($N182+VLOOKUP($L182,'Voyage days'!$F$382:$H$446,3,FALSE),"")</f>
        <v>46155</v>
      </c>
      <c r="AV182" s="200" t="str">
        <f t="shared" si="31"/>
        <v/>
      </c>
      <c r="AW182" s="201" t="str">
        <f>IFERROR($M182+VLOOKUP($L182,'Voyage days'!$F$483:$H$538,3,FALSE),"")</f>
        <v/>
      </c>
      <c r="AX182" s="201" t="str">
        <f>IFERROR($N182+VLOOKUP($L182,'Voyage days'!$F$483:$H$538,3,FALSE),"")</f>
        <v/>
      </c>
      <c r="AY182" s="200" t="str">
        <f t="shared" si="32"/>
        <v/>
      </c>
      <c r="AZ182" s="201" t="str">
        <f>IFERROR($M182+VLOOKUP($L182,'Voyage days'!$F$540:$H$613,3,FALSE),"")</f>
        <v/>
      </c>
      <c r="BA182" s="201" t="str">
        <f>IFERROR($N182+VLOOKUP($L182,'Voyage days'!$F$540:$H$613,3,FALSE),"")</f>
        <v/>
      </c>
      <c r="BB182" s="200" t="str">
        <f t="shared" si="33"/>
        <v/>
      </c>
      <c r="BC182" s="94" t="str">
        <f>IFERROR($M182+VLOOKUP($L182,'Voyage days'!$F$448:$H$479,3,FALSE),"")</f>
        <v/>
      </c>
      <c r="BD182" s="94" t="str">
        <f>IFERROR($N182+VLOOKUP($L182,'Voyage days'!$F$448:$H$479,3,FALSE),"")</f>
        <v/>
      </c>
      <c r="BE182" s="200" t="str">
        <f t="shared" si="34"/>
        <v/>
      </c>
      <c r="BF182" s="201" t="str">
        <f>IFERROR($M182+VLOOKUP($L182,'Voyage days'!$F$620:$H$646,3,FALSE),"")</f>
        <v/>
      </c>
      <c r="BG182" s="201" t="str">
        <f>IFERROR($N182+VLOOKUP($L182,'Voyage days'!$F$620:$H$646,3,FALSE),"")</f>
        <v/>
      </c>
      <c r="BH182" s="200" t="str">
        <f t="shared" si="35"/>
        <v/>
      </c>
      <c r="BI182" s="438" t="str">
        <f>IFERROR($M182+VLOOKUP($L182,'Voyage days'!$F$702:$H$727,3,FALSE),"")</f>
        <v/>
      </c>
      <c r="BJ182" s="200" t="str">
        <f t="shared" si="36"/>
        <v/>
      </c>
      <c r="BK182" s="201" t="str">
        <f>IFERROR($M182+VLOOKUP($L182,'Voyage days'!$F$807:$H$878,3,FALSE),"")</f>
        <v/>
      </c>
      <c r="BL182" s="201" t="str">
        <f>IFERROR($N182+VLOOKUP($L182,'Voyage days'!$F$807:$H$878,3,FALSE),"")</f>
        <v/>
      </c>
      <c r="BM182" s="95" t="str">
        <f>IFERROR($N182+VLOOKUP($L182,'Voyage days'!$F$807:$K$878,6,FALSE),"")</f>
        <v/>
      </c>
      <c r="BN182" s="94" t="str">
        <f>IF(L182="loads AG", IFERROR($M182+VLOOKUP($L182,'Voyage days'!$M$38:$O$38,3,FALSE),""),"")</f>
        <v/>
      </c>
      <c r="BO182" s="94">
        <f>IF(L182="loads USG", IFERROR($M182+VLOOKUP($L182,'Voyage days'!$L$203:$N$203,3,FALSE),""),"")</f>
        <v>46165</v>
      </c>
    </row>
    <row r="183" spans="1:68" ht="15.75" customHeight="1" x14ac:dyDescent="0.25">
      <c r="A183" s="218" t="s">
        <v>586</v>
      </c>
      <c r="B183" s="75">
        <v>42384</v>
      </c>
      <c r="C183" s="76">
        <v>84000</v>
      </c>
      <c r="D183" s="120"/>
      <c r="E183" s="120"/>
      <c r="F183" s="121"/>
      <c r="G183" s="121"/>
      <c r="H183" s="121"/>
      <c r="I183" s="390" t="s">
        <v>1127</v>
      </c>
      <c r="J183" s="261" t="str">
        <f t="shared" si="25"/>
        <v/>
      </c>
      <c r="K183" s="303"/>
      <c r="L183" s="124" t="s">
        <v>718</v>
      </c>
      <c r="M183" s="83">
        <v>46150</v>
      </c>
      <c r="N183" s="83">
        <v>46152</v>
      </c>
      <c r="O183" s="337"/>
      <c r="P183" s="124" t="s">
        <v>1153</v>
      </c>
      <c r="Q183" s="439"/>
      <c r="R183" s="82" t="s">
        <v>1154</v>
      </c>
      <c r="S183" s="120" t="s">
        <v>724</v>
      </c>
      <c r="T183" s="86">
        <v>46132</v>
      </c>
      <c r="U183" s="87" t="str">
        <f>IF(V183="","No AIS",VLOOKUP(V183,'Voyage days'!$A$3:$B$1480,2,FALSE))</f>
        <v>USG</v>
      </c>
      <c r="V183" s="87" t="str">
        <f>IF(VLOOKUP(A183,'1) Kpler'!$E$2:$P$1000,8, FALSE)="","",VLOOKUP(A183,'1) Kpler'!$E$2:$P$1000,8, FALSE))</f>
        <v>Freeport Texas</v>
      </c>
      <c r="W183" s="89">
        <f>IF(VLOOKUP(A183,'1) Kpler'!$E$2:$P$1000,9,FALSE)="","",VLOOKUP(A183,'1) Kpler'!$E$2:$P$1000,9,FALSE))</f>
        <v>46150.625</v>
      </c>
      <c r="X183" s="87" t="str">
        <f>VLOOKUP(A183,'1) Kpler'!$E$2:$I$1000,4,FALSE)</f>
        <v>ballast</v>
      </c>
      <c r="Y183" s="234" t="str">
        <f t="shared" si="0"/>
        <v/>
      </c>
      <c r="Z183" s="234" t="str">
        <f t="shared" si="1"/>
        <v>08-10 May</v>
      </c>
      <c r="AA183" s="234" t="str">
        <f t="shared" si="2"/>
        <v>08-10 May</v>
      </c>
      <c r="AB183" s="234" t="str">
        <f t="shared" si="3"/>
        <v/>
      </c>
      <c r="AC183" s="234" t="str">
        <f t="shared" si="4"/>
        <v>28-30 May</v>
      </c>
      <c r="AD183" s="234" t="str">
        <f t="shared" si="5"/>
        <v/>
      </c>
      <c r="AE183" s="235" t="str">
        <f t="shared" si="6"/>
        <v/>
      </c>
      <c r="AF183" s="92" t="str">
        <f t="shared" si="7"/>
        <v/>
      </c>
      <c r="AG183" s="131" t="str">
        <f t="shared" si="26"/>
        <v/>
      </c>
      <c r="AH183" s="95" t="str">
        <f>IFERROR($M183+VLOOKUP($L183,'Voyage days'!$F$38:$H$89,3,FALSE),"")</f>
        <v/>
      </c>
      <c r="AI183" s="95" t="str">
        <f>IFERROR(N183+VLOOKUP($L183,'Voyage days'!$F$38:$H$89,3,FALSE),"")</f>
        <v/>
      </c>
      <c r="AJ183" s="131" t="str">
        <f t="shared" si="27"/>
        <v>08-10 May</v>
      </c>
      <c r="AK183" s="95">
        <f>IFERROR($M183+VLOOKUP($L183,'Voyage days'!$F$94:$H$193,3,FALSE),"")</f>
        <v>46150</v>
      </c>
      <c r="AL183" s="95">
        <f>IFERROR($N183+VLOOKUP($L183,'Voyage days'!$F$94:$H$193,3,FALSE),"")</f>
        <v>46152</v>
      </c>
      <c r="AM183" s="131" t="str">
        <f t="shared" si="28"/>
        <v>08-10 May</v>
      </c>
      <c r="AN183" s="95">
        <f>IFERROR($M183+VLOOKUP($L183,'Voyage days'!$F$203:$H$256,3,FALSE),"")</f>
        <v>46150</v>
      </c>
      <c r="AO183" s="95">
        <f>IFERROR($N183+VLOOKUP($L183,'Voyage days'!$F$203:$H$256,3,FALSE),"")</f>
        <v>46152</v>
      </c>
      <c r="AP183" s="131" t="str">
        <f t="shared" si="29"/>
        <v/>
      </c>
      <c r="AQ183" s="95" t="str">
        <f>IFERROR($M183+VLOOKUP($L183,'Voyage days'!$F$294:$H$377,3,FALSE),"")</f>
        <v/>
      </c>
      <c r="AR183" s="95" t="str">
        <f>IFERROR($N183+VLOOKUP($L183,'Voyage days'!$F$294:$H$377,3,FALSE),"")</f>
        <v/>
      </c>
      <c r="AS183" s="131" t="str">
        <f t="shared" si="30"/>
        <v>28-30 May</v>
      </c>
      <c r="AT183" s="95">
        <f>IFERROR($M183+VLOOKUP($L183,'Voyage days'!$F$382:$H$446,3,FALSE),"")</f>
        <v>46170</v>
      </c>
      <c r="AU183" s="95">
        <f>IFERROR($N183+VLOOKUP($L183,'Voyage days'!$F$382:$H$446,3,FALSE),"")</f>
        <v>46172</v>
      </c>
      <c r="AV183" s="131" t="str">
        <f t="shared" si="31"/>
        <v/>
      </c>
      <c r="AW183" s="95" t="str">
        <f>IFERROR($M183+VLOOKUP($L183,'Voyage days'!$F$483:$H$538,3,FALSE),"")</f>
        <v/>
      </c>
      <c r="AX183" s="95" t="str">
        <f>IFERROR($N183+VLOOKUP($L183,'Voyage days'!$F$483:$H$538,3,FALSE),"")</f>
        <v/>
      </c>
      <c r="AY183" s="131" t="str">
        <f t="shared" si="32"/>
        <v/>
      </c>
      <c r="AZ183" s="95" t="str">
        <f>IFERROR($M183+VLOOKUP($L183,'Voyage days'!$F$540:$H$613,3,FALSE),"")</f>
        <v/>
      </c>
      <c r="BA183" s="95" t="str">
        <f>IFERROR($N183+VLOOKUP($L183,'Voyage days'!$F$540:$H$613,3,FALSE),"")</f>
        <v/>
      </c>
      <c r="BB183" s="131" t="str">
        <f t="shared" si="33"/>
        <v/>
      </c>
      <c r="BC183" s="94" t="str">
        <f>IFERROR($M183+VLOOKUP($L183,'Voyage days'!$F$448:$H$479,3,FALSE),"")</f>
        <v/>
      </c>
      <c r="BD183" s="94" t="str">
        <f>IFERROR($N183+VLOOKUP($L183,'Voyage days'!$F$448:$H$479,3,FALSE),"")</f>
        <v/>
      </c>
      <c r="BE183" s="131" t="str">
        <f t="shared" si="34"/>
        <v/>
      </c>
      <c r="BF183" s="95" t="str">
        <f>IFERROR($M183+VLOOKUP($L183,'Voyage days'!$F$620:$H$646,3,FALSE),"")</f>
        <v/>
      </c>
      <c r="BG183" s="95" t="str">
        <f>IFERROR($N183+VLOOKUP($L183,'Voyage days'!$F$620:$H$646,3,FALSE),"")</f>
        <v/>
      </c>
      <c r="BH183" s="131" t="str">
        <f t="shared" si="35"/>
        <v/>
      </c>
      <c r="BI183" s="96" t="str">
        <f>IFERROR($M183+VLOOKUP($L183,'Voyage days'!$F$702:$H$727,3,FALSE),"")</f>
        <v/>
      </c>
      <c r="BJ183" s="131" t="str">
        <f t="shared" si="36"/>
        <v/>
      </c>
      <c r="BK183" s="95" t="str">
        <f>IFERROR($M183+VLOOKUP($L183,'Voyage days'!$F$807:$H$878,3,FALSE),"")</f>
        <v/>
      </c>
      <c r="BL183" s="95" t="str">
        <f>IFERROR($N183+VLOOKUP($L183,'Voyage days'!$F$807:$H$878,3,FALSE),"")</f>
        <v/>
      </c>
      <c r="BM183" s="95" t="str">
        <f>IFERROR($N183+VLOOKUP($L183,'Voyage days'!$F$807:$K$878,6,FALSE),"")</f>
        <v/>
      </c>
      <c r="BN183" s="94" t="str">
        <f>IF(L183="loads AG", IFERROR($M183+VLOOKUP($L183,'Voyage days'!$M$38:$O$38,3,FALSE),""),"")</f>
        <v/>
      </c>
      <c r="BO183" s="94">
        <f>IF(L183="loads USG", IFERROR($M183+VLOOKUP($L183,'Voyage days'!$L$203:$N$203,3,FALSE),""),"")</f>
        <v>46182</v>
      </c>
    </row>
    <row r="184" spans="1:68" ht="15.75" customHeight="1" x14ac:dyDescent="0.25">
      <c r="A184" s="266" t="s">
        <v>591</v>
      </c>
      <c r="B184" s="440" t="s">
        <v>1155</v>
      </c>
      <c r="C184" s="76">
        <v>84000</v>
      </c>
      <c r="D184" s="120"/>
      <c r="E184" s="120"/>
      <c r="F184" s="121"/>
      <c r="G184" s="121"/>
      <c r="H184" s="121"/>
      <c r="I184" s="424" t="s">
        <v>1156</v>
      </c>
      <c r="J184" s="122" t="str">
        <f t="shared" si="25"/>
        <v/>
      </c>
      <c r="K184" s="123"/>
      <c r="L184" s="124" t="s">
        <v>754</v>
      </c>
      <c r="M184" s="83">
        <v>46158</v>
      </c>
      <c r="N184" s="83">
        <v>46159</v>
      </c>
      <c r="O184" s="126"/>
      <c r="P184" s="82" t="s">
        <v>1157</v>
      </c>
      <c r="Q184" s="124"/>
      <c r="R184" s="124" t="s">
        <v>1158</v>
      </c>
      <c r="S184" s="120" t="s">
        <v>724</v>
      </c>
      <c r="T184" s="86">
        <v>46132</v>
      </c>
      <c r="U184" s="87" t="str">
        <f>IF(V184="","No AIS",VLOOKUP(V184,'Voyage days'!$A$3:$B$1480,2,FALSE))</f>
        <v>South China + 4</v>
      </c>
      <c r="V184" s="87" t="str">
        <f>IF(VLOOKUP(A184,'1) Kpler'!$E$2:$P$1000,8, FALSE)="","",VLOOKUP(A184,'1) Kpler'!$E$2:$P$1000,8, FALSE))</f>
        <v>Sinopec Zhanjiang Dongxing Refinery</v>
      </c>
      <c r="W184" s="128">
        <f>IF(VLOOKUP(A184,'1) Kpler'!$E$2:$P$1000,9,FALSE)="","",VLOOKUP(A184,'1) Kpler'!$E$2:$P$1000,9,FALSE))</f>
        <v>46154.166666666664</v>
      </c>
      <c r="X184" s="87" t="str">
        <f>VLOOKUP(A184,'1) Kpler'!$E$2:$I$1000,4,FALSE)</f>
        <v>loaded</v>
      </c>
      <c r="Y184" s="219" t="str">
        <f t="shared" si="0"/>
        <v>31-01 Jun</v>
      </c>
      <c r="Z184" s="219" t="str">
        <f t="shared" si="1"/>
        <v>21-22 Jun</v>
      </c>
      <c r="AA184" s="219" t="str">
        <f t="shared" si="2"/>
        <v>27-28 Jun</v>
      </c>
      <c r="AB184" s="219" t="str">
        <f t="shared" si="3"/>
        <v>11-12 Jun</v>
      </c>
      <c r="AC184" s="219" t="str">
        <f t="shared" si="4"/>
        <v>18-19 Jun</v>
      </c>
      <c r="AD184" s="219" t="str">
        <f t="shared" si="5"/>
        <v>20-21 May</v>
      </c>
      <c r="AE184" s="220" t="str">
        <f t="shared" si="6"/>
        <v>22-23 May</v>
      </c>
      <c r="AF184" s="130" t="str">
        <f t="shared" si="7"/>
        <v>27-28 Jun</v>
      </c>
      <c r="AG184" s="131" t="str">
        <f t="shared" si="26"/>
        <v>31-01 Jun</v>
      </c>
      <c r="AH184" s="95">
        <f>IFERROR($M184+VLOOKUP($L184,'Voyage days'!$F$38:$H$89,3,FALSE),"")</f>
        <v>46173</v>
      </c>
      <c r="AI184" s="95">
        <f>IFERROR(N184+VLOOKUP($L184,'Voyage days'!$F$38:$H$89,3,FALSE),"")</f>
        <v>46174</v>
      </c>
      <c r="AJ184" s="131" t="str">
        <f t="shared" si="27"/>
        <v>21-22 Jun</v>
      </c>
      <c r="AK184" s="95">
        <f>IFERROR($M184+VLOOKUP($L184,'Voyage days'!$F$94:$H$193,3,FALSE),"")</f>
        <v>46194</v>
      </c>
      <c r="AL184" s="95">
        <f>IFERROR($N184+VLOOKUP($L184,'Voyage days'!$F$94:$H$193,3,FALSE),"")</f>
        <v>46195</v>
      </c>
      <c r="AM184" s="131" t="str">
        <f t="shared" si="28"/>
        <v>27-28 Jun</v>
      </c>
      <c r="AN184" s="95">
        <f>IFERROR($M184+VLOOKUP($L184,'Voyage days'!$F$203:$H$256,3,FALSE),"")</f>
        <v>46200</v>
      </c>
      <c r="AO184" s="95">
        <f>IFERROR($N184+VLOOKUP($L184,'Voyage days'!$F$203:$H$256,3,FALSE),"")</f>
        <v>46201</v>
      </c>
      <c r="AP184" s="131" t="str">
        <f t="shared" si="29"/>
        <v>11-12 Jun</v>
      </c>
      <c r="AQ184" s="95">
        <f>IFERROR($M184+VLOOKUP($L184,'Voyage days'!$F$294:$H$377,3,FALSE),"")</f>
        <v>46184</v>
      </c>
      <c r="AR184" s="95">
        <f>IFERROR($N184+VLOOKUP($L184,'Voyage days'!$F$294:$H$377,3,FALSE),"")</f>
        <v>46185</v>
      </c>
      <c r="AS184" s="131" t="str">
        <f t="shared" si="30"/>
        <v>18-19 Jun</v>
      </c>
      <c r="AT184" s="95">
        <f>IFERROR($M184+VLOOKUP($L184,'Voyage days'!$F$382:$H$446,3,FALSE),"")</f>
        <v>46191</v>
      </c>
      <c r="AU184" s="95">
        <f>IFERROR($N184+VLOOKUP($L184,'Voyage days'!$F$382:$H$446,3,FALSE),"")</f>
        <v>46192</v>
      </c>
      <c r="AV184" s="131" t="str">
        <f t="shared" si="31"/>
        <v>30-31 May</v>
      </c>
      <c r="AW184" s="95">
        <f>IFERROR($M184+VLOOKUP($L184,'Voyage days'!$F$483:$H$538,3,FALSE),"")</f>
        <v>46172</v>
      </c>
      <c r="AX184" s="95">
        <f>IFERROR($N184+VLOOKUP($L184,'Voyage days'!$F$483:$H$538,3,FALSE),"")</f>
        <v>46173</v>
      </c>
      <c r="AY184" s="131" t="str">
        <f t="shared" si="32"/>
        <v>22-23 May</v>
      </c>
      <c r="AZ184" s="95">
        <f>IFERROR($M184+VLOOKUP($L184,'Voyage days'!$F$540:$H$613,3,FALSE),"")</f>
        <v>46164.75</v>
      </c>
      <c r="BA184" s="95">
        <f>IFERROR($N184+VLOOKUP($L184,'Voyage days'!$F$540:$H$613,3,FALSE),"")</f>
        <v>46165.75</v>
      </c>
      <c r="BB184" s="131" t="str">
        <f t="shared" si="33"/>
        <v>20-21 May</v>
      </c>
      <c r="BC184" s="95">
        <f>IFERROR($M184+VLOOKUP($L184,'Voyage days'!$F$448:$H$479,3,FALSE),"")</f>
        <v>46162</v>
      </c>
      <c r="BD184" s="95">
        <f>IFERROR($N184+VLOOKUP($L184,'Voyage days'!$F$448:$H$479,3,FALSE),"")</f>
        <v>46163</v>
      </c>
      <c r="BE184" s="131" t="str">
        <f t="shared" si="34"/>
        <v/>
      </c>
      <c r="BF184" s="95" t="str">
        <f>IFERROR($M184+VLOOKUP($L184,'Voyage days'!$F$620:$H$646,3,FALSE),"")</f>
        <v/>
      </c>
      <c r="BG184" s="95" t="str">
        <f>IFERROR($N184+VLOOKUP($L184,'Voyage days'!$F$620:$H$646,3,FALSE),"")</f>
        <v/>
      </c>
      <c r="BH184" s="131" t="str">
        <f t="shared" si="35"/>
        <v>22-28 Jun</v>
      </c>
      <c r="BI184" s="96">
        <f>IFERROR($M184+VLOOKUP($L184,'Voyage days'!$F$702:$H$727,3,FALSE),"")</f>
        <v>46164.75</v>
      </c>
      <c r="BJ184" s="131" t="str">
        <f t="shared" si="36"/>
        <v>27-28 Jun</v>
      </c>
      <c r="BK184" s="95">
        <f>IFERROR($M184+VLOOKUP($L184,'Voyage days'!$F$807:$H$878,3,FALSE),"")</f>
        <v>46200</v>
      </c>
      <c r="BL184" s="95">
        <f>IFERROR($N184+VLOOKUP($L184,'Voyage days'!$F$807:$H$878,3,FALSE),"")</f>
        <v>46201</v>
      </c>
      <c r="BM184" s="95">
        <f>IFERROR($N184+VLOOKUP($L184,'Voyage days'!$F$807:$K$878,6,FALSE),"")</f>
        <v>46176</v>
      </c>
      <c r="BN184" s="95" t="str">
        <f>IF(L184="loads AG", IFERROR($M184+VLOOKUP($L184,'Voyage days'!$M$38:$O$38,3,FALSE),""),"")</f>
        <v/>
      </c>
      <c r="BO184" s="95" t="str">
        <f>IF(L184="loads USG", IFERROR($M184+VLOOKUP($L184,'Voyage days'!$L$203:$N$203,3,FALSE),""),"")</f>
        <v/>
      </c>
    </row>
    <row r="185" spans="1:68" ht="15.75" customHeight="1" x14ac:dyDescent="0.25">
      <c r="A185" s="132" t="s">
        <v>451</v>
      </c>
      <c r="B185" s="131">
        <v>2016</v>
      </c>
      <c r="C185" s="441">
        <v>84000</v>
      </c>
      <c r="D185" s="143"/>
      <c r="E185" s="143"/>
      <c r="F185" s="136"/>
      <c r="G185" s="136"/>
      <c r="H185" s="136"/>
      <c r="I185" s="177" t="s">
        <v>1127</v>
      </c>
      <c r="J185" s="138" t="str">
        <f t="shared" si="25"/>
        <v/>
      </c>
      <c r="K185" s="139"/>
      <c r="L185" s="275" t="s">
        <v>790</v>
      </c>
      <c r="M185" s="225">
        <v>46139</v>
      </c>
      <c r="N185" s="442">
        <v>46140</v>
      </c>
      <c r="O185" s="443"/>
      <c r="P185" s="140" t="s">
        <v>1159</v>
      </c>
      <c r="Q185" s="140"/>
      <c r="R185" s="140" t="s">
        <v>1160</v>
      </c>
      <c r="S185" s="143" t="s">
        <v>724</v>
      </c>
      <c r="T185" s="144">
        <v>46132</v>
      </c>
      <c r="U185" s="145" t="str">
        <f>IF(V185="","No AIS",VLOOKUP(V185,'Voyage days'!$A$3:$B$1480,2,FALSE))</f>
        <v>Eu + 4</v>
      </c>
      <c r="V185" s="145" t="str">
        <f>IF(VLOOKUP(A185,'1) Kpler'!$E$2:$P$1000,8, FALSE)="","",VLOOKUP(A185,'1) Kpler'!$E$2:$P$1000,8, FALSE))</f>
        <v>Antwerp</v>
      </c>
      <c r="W185" s="290">
        <f>IF(VLOOKUP(A185,'1) Kpler'!$E$2:$P$1000,9,FALSE)="","",VLOOKUP(A185,'1) Kpler'!$E$2:$P$1000,9,FALSE))</f>
        <v>46134.75</v>
      </c>
      <c r="X185" s="145" t="str">
        <f>VLOOKUP(A185,'1) Kpler'!$E$2:$I$1000,4,FALSE)</f>
        <v>loaded</v>
      </c>
      <c r="Y185" s="93" t="str">
        <f t="shared" si="0"/>
        <v/>
      </c>
      <c r="Z185" s="93" t="str">
        <f t="shared" si="1"/>
        <v>11-12 May</v>
      </c>
      <c r="AA185" s="93" t="str">
        <f t="shared" si="2"/>
        <v>12-13 May</v>
      </c>
      <c r="AB185" s="93" t="str">
        <f t="shared" si="3"/>
        <v>08-09 May</v>
      </c>
      <c r="AC185" s="93" t="str">
        <f t="shared" si="4"/>
        <v>29-30 Apr</v>
      </c>
      <c r="AD185" s="93" t="str">
        <f t="shared" si="5"/>
        <v/>
      </c>
      <c r="AE185" s="179" t="str">
        <f t="shared" si="6"/>
        <v/>
      </c>
      <c r="AF185" s="180" t="str">
        <f t="shared" si="7"/>
        <v>11-12 May</v>
      </c>
      <c r="AG185" s="93" t="str">
        <f t="shared" si="26"/>
        <v/>
      </c>
      <c r="AH185" s="94" t="str">
        <f>IFERROR($M185+VLOOKUP($L185,'Voyage days'!$F$38:$H$89,3,FALSE),"")</f>
        <v/>
      </c>
      <c r="AI185" s="94" t="str">
        <f>IFERROR(N185+VLOOKUP($L185,'Voyage days'!$F$38:$H$89,3,FALSE),"")</f>
        <v/>
      </c>
      <c r="AJ185" s="93" t="str">
        <f t="shared" si="27"/>
        <v>11-12 May</v>
      </c>
      <c r="AK185" s="94">
        <f>IFERROR($M185+VLOOKUP($L185,'Voyage days'!$F$94:$H$193,3,FALSE),"")</f>
        <v>46153</v>
      </c>
      <c r="AL185" s="94">
        <f>IFERROR($N185+VLOOKUP($L185,'Voyage days'!$F$94:$H$193,3,FALSE),"")</f>
        <v>46154</v>
      </c>
      <c r="AM185" s="93" t="str">
        <f t="shared" si="28"/>
        <v>12-13 May</v>
      </c>
      <c r="AN185" s="94">
        <f>IFERROR($M185+VLOOKUP($L185,'Voyage days'!$F$203:$H$256,3,FALSE),"")</f>
        <v>46154</v>
      </c>
      <c r="AO185" s="94">
        <f>IFERROR($N185+VLOOKUP($L185,'Voyage days'!$F$203:$H$256,3,FALSE),"")</f>
        <v>46155</v>
      </c>
      <c r="AP185" s="93" t="str">
        <f t="shared" si="29"/>
        <v>08-09 May</v>
      </c>
      <c r="AQ185" s="94">
        <f>IFERROR($M185+VLOOKUP($L185,'Voyage days'!$F$294:$H$377,3,FALSE),"")</f>
        <v>46150</v>
      </c>
      <c r="AR185" s="94">
        <f>IFERROR($N185+VLOOKUP($L185,'Voyage days'!$F$294:$H$377,3,FALSE),"")</f>
        <v>46151</v>
      </c>
      <c r="AS185" s="93" t="str">
        <f t="shared" si="30"/>
        <v>29-30 Apr</v>
      </c>
      <c r="AT185" s="94">
        <f>IFERROR($M185+VLOOKUP($L185,'Voyage days'!$F$382:$H$446,3,FALSE),"")</f>
        <v>46141</v>
      </c>
      <c r="AU185" s="94">
        <f>IFERROR($N185+VLOOKUP($L185,'Voyage days'!$F$382:$H$446,3,FALSE),"")</f>
        <v>46142</v>
      </c>
      <c r="AV185" s="93" t="str">
        <f t="shared" si="31"/>
        <v/>
      </c>
      <c r="AW185" s="94" t="str">
        <f>IFERROR($M185+VLOOKUP($L185,'Voyage days'!$F$483:$H$538,3,FALSE),"")</f>
        <v/>
      </c>
      <c r="AX185" s="94" t="str">
        <f>IFERROR($N185+VLOOKUP($L185,'Voyage days'!$F$483:$H$538,3,FALSE),"")</f>
        <v/>
      </c>
      <c r="AY185" s="93" t="str">
        <f t="shared" si="32"/>
        <v/>
      </c>
      <c r="AZ185" s="94" t="str">
        <f>IFERROR($M185+VLOOKUP($L185,'Voyage days'!$F$540:$H$613,3,FALSE),"")</f>
        <v/>
      </c>
      <c r="BA185" s="94" t="str">
        <f>IFERROR($N185+VLOOKUP($L185,'Voyage days'!$F$540:$H$613,3,FALSE),"")</f>
        <v/>
      </c>
      <c r="BB185" s="93" t="str">
        <f t="shared" si="33"/>
        <v/>
      </c>
      <c r="BC185" s="94" t="str">
        <f>IFERROR($M185+VLOOKUP($L185,'Voyage days'!$F$448:$H$479,3,FALSE),"")</f>
        <v/>
      </c>
      <c r="BD185" s="94" t="str">
        <f>IFERROR($N185+VLOOKUP($L185,'Voyage days'!$F$448:$H$479,3,FALSE),"")</f>
        <v/>
      </c>
      <c r="BE185" s="93" t="str">
        <f t="shared" si="34"/>
        <v/>
      </c>
      <c r="BF185" s="95" t="str">
        <f>IFERROR($M185+VLOOKUP($L185,'Voyage days'!$F$620:$H$646,3,FALSE),"")</f>
        <v/>
      </c>
      <c r="BG185" s="95" t="str">
        <f>IFERROR($N185+VLOOKUP($L185,'Voyage days'!$F$620:$H$646,3,FALSE),"")</f>
        <v/>
      </c>
      <c r="BH185" s="93" t="str">
        <f t="shared" si="35"/>
        <v/>
      </c>
      <c r="BI185" s="96" t="str">
        <f>IFERROR($M185+VLOOKUP($L185,'Voyage days'!$F$702:$H$727,3,FALSE),"")</f>
        <v/>
      </c>
      <c r="BJ185" s="93" t="str">
        <f t="shared" si="36"/>
        <v>11-12 May</v>
      </c>
      <c r="BK185" s="95">
        <f>IFERROR($M185+VLOOKUP($L185,'Voyage days'!$F$807:$H$878,3,FALSE),"")</f>
        <v>46153</v>
      </c>
      <c r="BL185" s="95">
        <f>IFERROR($N185+VLOOKUP($L185,'Voyage days'!$F$807:$H$878,3,FALSE),"")</f>
        <v>46154</v>
      </c>
      <c r="BM185" s="95">
        <f>IFERROR($N185+VLOOKUP($L185,'Voyage days'!$F$807:$K$878,6,FALSE),"")</f>
        <v>46140</v>
      </c>
      <c r="BN185" s="94" t="str">
        <f>IF(L185="loads AG", IFERROR($M185+VLOOKUP($L185,'Voyage days'!$M$38:$O$38,3,FALSE),""),"")</f>
        <v/>
      </c>
      <c r="BO185" s="94" t="str">
        <f>IF(L185="loads USG", IFERROR($M185+VLOOKUP($L185,'Voyage days'!$L$203:$N$203,3,FALSE),""),"")</f>
        <v/>
      </c>
      <c r="BP185" s="248"/>
    </row>
    <row r="186" spans="1:68" ht="15.75" customHeight="1" x14ac:dyDescent="0.25">
      <c r="A186" s="280" t="s">
        <v>433</v>
      </c>
      <c r="B186" s="444">
        <v>2016</v>
      </c>
      <c r="C186" s="134">
        <v>84000</v>
      </c>
      <c r="D186" s="279"/>
      <c r="E186" s="279"/>
      <c r="F186" s="224"/>
      <c r="G186" s="224"/>
      <c r="H186" s="224"/>
      <c r="I186" s="335" t="s">
        <v>1161</v>
      </c>
      <c r="J186" s="377"/>
      <c r="K186" s="254"/>
      <c r="L186" s="227" t="s">
        <v>718</v>
      </c>
      <c r="M186" s="225">
        <v>46133</v>
      </c>
      <c r="N186" s="225">
        <v>46134</v>
      </c>
      <c r="O186" s="337"/>
      <c r="P186" s="227" t="s">
        <v>1162</v>
      </c>
      <c r="Q186" s="227"/>
      <c r="R186" s="227" t="s">
        <v>1163</v>
      </c>
      <c r="S186" s="279" t="s">
        <v>724</v>
      </c>
      <c r="T186" s="289">
        <v>46132</v>
      </c>
      <c r="U186" s="145" t="str">
        <f>IF(V186="","No AIS",VLOOKUP(V186,'Voyage days'!$A$3:$B$1480,2,FALSE))</f>
        <v>USG</v>
      </c>
      <c r="V186" s="145" t="str">
        <f>IF(VLOOKUP(A186,'1) Kpler'!$E$2:$P$1000,8, FALSE)="","",VLOOKUP(A186,'1) Kpler'!$E$2:$P$1000,8, FALSE))</f>
        <v>Energy Transfer Nederland</v>
      </c>
      <c r="W186" s="290">
        <f>IF(VLOOKUP(A186,'1) Kpler'!$E$2:$P$1000,9,FALSE)="","",VLOOKUP(A186,'1) Kpler'!$E$2:$P$1000,9,FALSE))</f>
        <v>46132.208333333336</v>
      </c>
      <c r="X186" s="145" t="str">
        <f>VLOOKUP(A186,'1) Kpler'!$E$2:$I$1000,4,FALSE)</f>
        <v>ballast</v>
      </c>
      <c r="Y186" s="445" t="str">
        <f t="shared" si="0"/>
        <v/>
      </c>
      <c r="Z186" s="445" t="str">
        <f t="shared" si="1"/>
        <v>21-22 Apr</v>
      </c>
      <c r="AA186" s="445" t="str">
        <f t="shared" si="2"/>
        <v>21-22 Apr</v>
      </c>
      <c r="AB186" s="445" t="str">
        <f t="shared" si="3"/>
        <v/>
      </c>
      <c r="AC186" s="445" t="str">
        <f t="shared" si="4"/>
        <v>11-12 May</v>
      </c>
      <c r="AD186" s="445" t="str">
        <f t="shared" si="5"/>
        <v/>
      </c>
      <c r="AE186" s="446" t="str">
        <f t="shared" si="6"/>
        <v/>
      </c>
      <c r="AF186" s="150" t="str">
        <f t="shared" si="7"/>
        <v/>
      </c>
      <c r="AG186" s="131" t="str">
        <f t="shared" si="26"/>
        <v/>
      </c>
      <c r="AH186" s="95" t="str">
        <f>IFERROR($M186+VLOOKUP($L186,'Voyage days'!$F$38:$H$89,3,FALSE),"")</f>
        <v/>
      </c>
      <c r="AI186" s="95" t="str">
        <f>IFERROR(N186+VLOOKUP($L186,'Voyage days'!$F$38:$H$89,3,FALSE),"")</f>
        <v/>
      </c>
      <c r="AJ186" s="131" t="str">
        <f t="shared" si="27"/>
        <v>21-22 Apr</v>
      </c>
      <c r="AK186" s="95">
        <f>IFERROR($M186+VLOOKUP($L186,'Voyage days'!$F$94:$H$193,3,FALSE),"")</f>
        <v>46133</v>
      </c>
      <c r="AL186" s="95">
        <f>IFERROR($N186+VLOOKUP($L186,'Voyage days'!$F$94:$H$193,3,FALSE),"")</f>
        <v>46134</v>
      </c>
      <c r="AM186" s="131" t="str">
        <f t="shared" si="28"/>
        <v>21-22 Apr</v>
      </c>
      <c r="AN186" s="95">
        <f>IFERROR($M186+VLOOKUP($L186,'Voyage days'!$F$203:$H$256,3,FALSE),"")</f>
        <v>46133</v>
      </c>
      <c r="AO186" s="95">
        <f>IFERROR($N186+VLOOKUP($L186,'Voyage days'!$F$203:$H$256,3,FALSE),"")</f>
        <v>46134</v>
      </c>
      <c r="AP186" s="131" t="str">
        <f t="shared" si="29"/>
        <v/>
      </c>
      <c r="AQ186" s="95" t="str">
        <f>IFERROR($M186+VLOOKUP($L186,'Voyage days'!$F$294:$H$377,3,FALSE),"")</f>
        <v/>
      </c>
      <c r="AR186" s="95" t="str">
        <f>IFERROR($N186+VLOOKUP($L186,'Voyage days'!$F$294:$H$377,3,FALSE),"")</f>
        <v/>
      </c>
      <c r="AS186" s="131" t="str">
        <f t="shared" si="30"/>
        <v>11-12 May</v>
      </c>
      <c r="AT186" s="95">
        <f>IFERROR($M186+VLOOKUP($L186,'Voyage days'!$F$382:$H$446,3,FALSE),"")</f>
        <v>46153</v>
      </c>
      <c r="AU186" s="95">
        <f>IFERROR($N186+VLOOKUP($L186,'Voyage days'!$F$382:$H$446,3,FALSE),"")</f>
        <v>46154</v>
      </c>
      <c r="AV186" s="131" t="str">
        <f t="shared" si="31"/>
        <v/>
      </c>
      <c r="AW186" s="95" t="str">
        <f>IFERROR($M186+VLOOKUP($L186,'Voyage days'!$F$483:$H$538,3,FALSE),"")</f>
        <v/>
      </c>
      <c r="AX186" s="95" t="str">
        <f>IFERROR($N186+VLOOKUP($L186,'Voyage days'!$F$483:$H$538,3,FALSE),"")</f>
        <v/>
      </c>
      <c r="AY186" s="131" t="str">
        <f t="shared" si="32"/>
        <v/>
      </c>
      <c r="AZ186" s="95" t="str">
        <f>IFERROR($M186+VLOOKUP($L186,'Voyage days'!$F$540:$H$613,3,FALSE),"")</f>
        <v/>
      </c>
      <c r="BA186" s="95" t="str">
        <f>IFERROR($N186+VLOOKUP($L186,'Voyage days'!$F$540:$H$613,3,FALSE),"")</f>
        <v/>
      </c>
      <c r="BB186" s="131" t="str">
        <f t="shared" si="33"/>
        <v/>
      </c>
      <c r="BC186" s="95" t="str">
        <f>IFERROR($M186+VLOOKUP($L186,'Voyage days'!$F$448:$H$479,3,FALSE),"")</f>
        <v/>
      </c>
      <c r="BD186" s="95" t="str">
        <f>IFERROR($N186+VLOOKUP($L186,'Voyage days'!$F$448:$H$479,3,FALSE),"")</f>
        <v/>
      </c>
      <c r="BE186" s="131" t="str">
        <f t="shared" si="34"/>
        <v/>
      </c>
      <c r="BF186" s="95" t="str">
        <f>IFERROR($M186+VLOOKUP($L186,'Voyage days'!$F$620:$H$646,3,FALSE),"")</f>
        <v/>
      </c>
      <c r="BG186" s="95" t="str">
        <f>IFERROR($N186+VLOOKUP($L186,'Voyage days'!$F$620:$H$646,3,FALSE),"")</f>
        <v/>
      </c>
      <c r="BH186" s="131" t="str">
        <f t="shared" si="35"/>
        <v/>
      </c>
      <c r="BI186" s="96" t="str">
        <f>IFERROR($M186+VLOOKUP($L186,'Voyage days'!$F$702:$H$727,3,FALSE),"")</f>
        <v/>
      </c>
      <c r="BJ186" s="131" t="str">
        <f t="shared" si="36"/>
        <v/>
      </c>
      <c r="BK186" s="95" t="str">
        <f>IFERROR($M186+VLOOKUP($L186,'Voyage days'!$F$807:$H$878,3,FALSE),"")</f>
        <v/>
      </c>
      <c r="BL186" s="95" t="str">
        <f>IFERROR($N186+VLOOKUP($L186,'Voyage days'!$F$807:$H$878,3,FALSE),"")</f>
        <v/>
      </c>
      <c r="BM186" s="95" t="str">
        <f>IFERROR($N186+VLOOKUP($L186,'Voyage days'!$F$807:$K$878,6,FALSE),"")</f>
        <v/>
      </c>
      <c r="BN186" s="95" t="str">
        <f>IF(L186="loads AG", IFERROR($M186+VLOOKUP($L186,'Voyage days'!$M$38:$O$38,3,FALSE),""),"")</f>
        <v/>
      </c>
      <c r="BO186" s="95">
        <f>IF(L186="loads USG", IFERROR($M186+VLOOKUP($L186,'Voyage days'!$L$203:$N$203,3,FALSE),""),"")</f>
        <v>46165</v>
      </c>
    </row>
    <row r="187" spans="1:68" x14ac:dyDescent="0.25">
      <c r="A187" s="403" t="s">
        <v>304</v>
      </c>
      <c r="B187" s="182">
        <v>2022</v>
      </c>
      <c r="C187" s="183">
        <v>91000</v>
      </c>
      <c r="D187" s="184"/>
      <c r="E187" s="184"/>
      <c r="F187" s="185"/>
      <c r="G187" s="185"/>
      <c r="H187" s="185" t="s">
        <v>1164</v>
      </c>
      <c r="I187" s="404" t="s">
        <v>1165</v>
      </c>
      <c r="J187" s="366" t="str">
        <f t="shared" ref="J187:J219" si="37">IF(W187="","NO AIS",IF((W187-M187-1)&gt;0,"Update",""))</f>
        <v/>
      </c>
      <c r="K187" s="123"/>
      <c r="L187" s="186" t="s">
        <v>718</v>
      </c>
      <c r="M187" s="189">
        <v>46153</v>
      </c>
      <c r="N187" s="447">
        <v>46154</v>
      </c>
      <c r="O187" s="448"/>
      <c r="P187" s="233" t="s">
        <v>1166</v>
      </c>
      <c r="Q187" s="192"/>
      <c r="R187" s="124" t="s">
        <v>1167</v>
      </c>
      <c r="S187" s="449" t="s">
        <v>724</v>
      </c>
      <c r="T187" s="232">
        <v>46132</v>
      </c>
      <c r="U187" s="87" t="str">
        <f>IF(V187="","No AIS",VLOOKUP(V187,'Voyage days'!$A$3:$B$1480,2,FALSE))</f>
        <v>USG</v>
      </c>
      <c r="V187" s="87" t="str">
        <f>IF(VLOOKUP(A187,'1) Kpler'!$E$2:$P$1000,8, FALSE)="","",VLOOKUP(A187,'1) Kpler'!$E$2:$P$1000,8, FALSE))</f>
        <v>Houston</v>
      </c>
      <c r="W187" s="128">
        <f>IF(VLOOKUP(A187,'1) Kpler'!$E$2:$P$1000,9,FALSE)="","",VLOOKUP(A187,'1) Kpler'!$E$2:$P$1000,9,FALSE))</f>
        <v>46151.833333333336</v>
      </c>
      <c r="X187" s="87" t="str">
        <f>VLOOKUP(A187,'1) Kpler'!$E$2:$I$1000,4,FALSE)</f>
        <v>ballast</v>
      </c>
      <c r="Y187" s="234" t="str">
        <f t="shared" si="0"/>
        <v/>
      </c>
      <c r="Z187" s="234" t="str">
        <f t="shared" si="1"/>
        <v>11-12 May</v>
      </c>
      <c r="AA187" s="234" t="str">
        <f t="shared" si="2"/>
        <v>11-12 May</v>
      </c>
      <c r="AB187" s="234" t="str">
        <f t="shared" si="3"/>
        <v/>
      </c>
      <c r="AC187" s="234" t="str">
        <f t="shared" si="4"/>
        <v>31-01 Jun</v>
      </c>
      <c r="AD187" s="234" t="str">
        <f t="shared" si="5"/>
        <v/>
      </c>
      <c r="AE187" s="235" t="str">
        <f t="shared" si="6"/>
        <v/>
      </c>
      <c r="AF187" s="92" t="str">
        <f t="shared" si="7"/>
        <v/>
      </c>
      <c r="AG187" s="131" t="str">
        <f t="shared" si="26"/>
        <v/>
      </c>
      <c r="AH187" s="95" t="str">
        <f>IFERROR($M187+VLOOKUP($L187,'Voyage days'!$F$38:$H$89,3,FALSE),"")</f>
        <v/>
      </c>
      <c r="AI187" s="95" t="str">
        <f>IFERROR(N187+VLOOKUP($L187,'Voyage days'!$F$38:$H$89,3,FALSE),"")</f>
        <v/>
      </c>
      <c r="AJ187" s="131" t="str">
        <f t="shared" si="27"/>
        <v>11-12 May</v>
      </c>
      <c r="AK187" s="95">
        <f>IFERROR($M187+VLOOKUP($L187,'Voyage days'!$F$94:$H$193,3,FALSE),"")</f>
        <v>46153</v>
      </c>
      <c r="AL187" s="95">
        <f>IFERROR($N187+VLOOKUP($L187,'Voyage days'!$F$94:$H$193,3,FALSE),"")</f>
        <v>46154</v>
      </c>
      <c r="AM187" s="131" t="str">
        <f t="shared" si="28"/>
        <v>11-12 May</v>
      </c>
      <c r="AN187" s="95">
        <f>IFERROR($M187+VLOOKUP($L187,'Voyage days'!$F$203:$H$256,3,FALSE),"")</f>
        <v>46153</v>
      </c>
      <c r="AO187" s="95">
        <f>IFERROR($N187+VLOOKUP($L187,'Voyage days'!$F$203:$H$256,3,FALSE),"")</f>
        <v>46154</v>
      </c>
      <c r="AP187" s="131" t="str">
        <f t="shared" si="29"/>
        <v/>
      </c>
      <c r="AQ187" s="95" t="str">
        <f>IFERROR($M187+VLOOKUP($L187,'Voyage days'!$F$294:$H$377,3,FALSE),"")</f>
        <v/>
      </c>
      <c r="AR187" s="95" t="str">
        <f>IFERROR($N187+VLOOKUP($L187,'Voyage days'!$F$294:$H$377,3,FALSE),"")</f>
        <v/>
      </c>
      <c r="AS187" s="131" t="str">
        <f t="shared" si="30"/>
        <v>31-01 Jun</v>
      </c>
      <c r="AT187" s="95">
        <f>IFERROR($M187+VLOOKUP($L187,'Voyage days'!$F$382:$H$446,3,FALSE),"")</f>
        <v>46173</v>
      </c>
      <c r="AU187" s="95">
        <f>IFERROR($N187+VLOOKUP($L187,'Voyage days'!$F$382:$H$446,3,FALSE),"")</f>
        <v>46174</v>
      </c>
      <c r="AV187" s="131" t="str">
        <f t="shared" si="31"/>
        <v/>
      </c>
      <c r="AW187" s="95" t="str">
        <f>IFERROR($M187+VLOOKUP($L187,'Voyage days'!$F$483:$H$538,3,FALSE),"")</f>
        <v/>
      </c>
      <c r="AX187" s="95" t="str">
        <f>IFERROR($N187+VLOOKUP($L187,'Voyage days'!$F$483:$H$538,3,FALSE),"")</f>
        <v/>
      </c>
      <c r="AY187" s="131" t="str">
        <f t="shared" si="32"/>
        <v/>
      </c>
      <c r="AZ187" s="95" t="str">
        <f>IFERROR($M187+VLOOKUP($L187,'Voyage days'!$F$540:$H$613,3,FALSE),"")</f>
        <v/>
      </c>
      <c r="BA187" s="95" t="str">
        <f>IFERROR($N187+VLOOKUP($L187,'Voyage days'!$F$540:$H$613,3,FALSE),"")</f>
        <v/>
      </c>
      <c r="BB187" s="131" t="str">
        <f t="shared" si="33"/>
        <v/>
      </c>
      <c r="BC187" s="94" t="str">
        <f>IFERROR($M187+VLOOKUP($L187,'Voyage days'!$F$448:$H$479,3,FALSE),"")</f>
        <v/>
      </c>
      <c r="BD187" s="94" t="str">
        <f>IFERROR($N187+VLOOKUP($L187,'Voyage days'!$F$448:$H$479,3,FALSE),"")</f>
        <v/>
      </c>
      <c r="BE187" s="131" t="str">
        <f t="shared" si="34"/>
        <v/>
      </c>
      <c r="BF187" s="95" t="str">
        <f>IFERROR($M187+VLOOKUP($L187,'Voyage days'!$F$620:$H$646,3,FALSE),"")</f>
        <v/>
      </c>
      <c r="BG187" s="95" t="str">
        <f>IFERROR($N187+VLOOKUP($L187,'Voyage days'!$F$620:$H$646,3,FALSE),"")</f>
        <v/>
      </c>
      <c r="BH187" s="131" t="str">
        <f t="shared" si="35"/>
        <v/>
      </c>
      <c r="BI187" s="96" t="str">
        <f>IFERROR($M187+VLOOKUP($L187,'Voyage days'!$F$702:$H$727,3,FALSE),"")</f>
        <v/>
      </c>
      <c r="BJ187" s="131" t="str">
        <f t="shared" si="36"/>
        <v/>
      </c>
      <c r="BK187" s="95" t="str">
        <f>IFERROR($M187+VLOOKUP($L187,'Voyage days'!$F$807:$H$878,3,FALSE),"")</f>
        <v/>
      </c>
      <c r="BL187" s="95" t="str">
        <f>IFERROR($N187+VLOOKUP($L187,'Voyage days'!$F$807:$H$878,3,FALSE),"")</f>
        <v/>
      </c>
      <c r="BM187" s="95" t="str">
        <f>IFERROR($N187+VLOOKUP($L187,'Voyage days'!$F$807:$K$878,6,FALSE),"")</f>
        <v/>
      </c>
      <c r="BN187" s="94" t="str">
        <f>IF(L187="loads AG", IFERROR($M187+VLOOKUP($L187,'Voyage days'!$M$38:$O$38,3,FALSE),""),"")</f>
        <v/>
      </c>
      <c r="BO187" s="94">
        <f>IF(L187="loads USG", IFERROR($M187+VLOOKUP($L187,'Voyage days'!$L$203:$N$203,3,FALSE),""),"")</f>
        <v>46185</v>
      </c>
    </row>
    <row r="188" spans="1:68" ht="15.75" customHeight="1" x14ac:dyDescent="0.25">
      <c r="A188" s="369" t="s">
        <v>322</v>
      </c>
      <c r="B188" s="176">
        <v>40961</v>
      </c>
      <c r="C188" s="134">
        <v>78000</v>
      </c>
      <c r="D188" s="143"/>
      <c r="E188" s="143"/>
      <c r="F188" s="136"/>
      <c r="G188" s="136"/>
      <c r="H188" s="136" t="s">
        <v>739</v>
      </c>
      <c r="I188" s="177" t="s">
        <v>1165</v>
      </c>
      <c r="J188" s="365" t="str">
        <f t="shared" si="37"/>
        <v/>
      </c>
      <c r="K188" s="450"/>
      <c r="L188" s="275" t="s">
        <v>718</v>
      </c>
      <c r="M188" s="451">
        <v>46147</v>
      </c>
      <c r="N188" s="141">
        <v>46148</v>
      </c>
      <c r="O188" s="452"/>
      <c r="P188" s="140" t="s">
        <v>1168</v>
      </c>
      <c r="Q188" s="247" t="s">
        <v>1169</v>
      </c>
      <c r="R188" s="227" t="s">
        <v>1170</v>
      </c>
      <c r="S188" s="143" t="s">
        <v>724</v>
      </c>
      <c r="T188" s="144">
        <v>46132</v>
      </c>
      <c r="U188" s="145" t="str">
        <f>IF(V188="","No AIS",VLOOKUP(V188,'Voyage days'!$A$3:$B$1480,2,FALSE))</f>
        <v>USG</v>
      </c>
      <c r="V188" s="146" t="str">
        <f>IF(VLOOKUP(A188,'1) Kpler'!$E$2:$P$1000,8, FALSE)="","",VLOOKUP(A188,'1) Kpler'!$E$2:$P$1000,8, FALSE))</f>
        <v>Houston</v>
      </c>
      <c r="W188" s="147">
        <f>IF(VLOOKUP(A188,'1) Kpler'!$E$2:$P$1000,9,FALSE)="","",VLOOKUP(A188,'1) Kpler'!$E$2:$P$1000,9,FALSE))</f>
        <v>46144.25</v>
      </c>
      <c r="X188" s="146" t="str">
        <f>VLOOKUP(A188,'1) Kpler'!$E$2:$I$1000,4,FALSE)</f>
        <v>ballast</v>
      </c>
      <c r="Y188" s="93" t="str">
        <f t="shared" si="0"/>
        <v/>
      </c>
      <c r="Z188" s="93" t="str">
        <f t="shared" si="1"/>
        <v>05-06 May</v>
      </c>
      <c r="AA188" s="93" t="str">
        <f t="shared" si="2"/>
        <v>05-06 May</v>
      </c>
      <c r="AB188" s="93" t="str">
        <f t="shared" si="3"/>
        <v/>
      </c>
      <c r="AC188" s="93" t="str">
        <f t="shared" si="4"/>
        <v>25-26 May</v>
      </c>
      <c r="AD188" s="93" t="str">
        <f t="shared" si="5"/>
        <v/>
      </c>
      <c r="AE188" s="179" t="str">
        <f t="shared" si="6"/>
        <v/>
      </c>
      <c r="AF188" s="180" t="str">
        <f t="shared" si="7"/>
        <v/>
      </c>
      <c r="AG188" s="93" t="str">
        <f t="shared" si="26"/>
        <v/>
      </c>
      <c r="AH188" s="94" t="str">
        <f>IFERROR($M188+VLOOKUP($L188,'Voyage days'!$F$38:$H$89,3,FALSE),"")</f>
        <v/>
      </c>
      <c r="AI188" s="94" t="str">
        <f>IFERROR(N188+VLOOKUP($L188,'Voyage days'!$F$38:$H$89,3,FALSE),"")</f>
        <v/>
      </c>
      <c r="AJ188" s="93" t="str">
        <f t="shared" si="27"/>
        <v>05-06 May</v>
      </c>
      <c r="AK188" s="94">
        <f>IFERROR($M188+VLOOKUP($L188,'Voyage days'!$F$94:$H$193,3,FALSE),"")</f>
        <v>46147</v>
      </c>
      <c r="AL188" s="94">
        <f>IFERROR($N188+VLOOKUP($L188,'Voyage days'!$F$94:$H$193,3,FALSE),"")</f>
        <v>46148</v>
      </c>
      <c r="AM188" s="93" t="str">
        <f t="shared" si="28"/>
        <v>05-06 May</v>
      </c>
      <c r="AN188" s="94">
        <f>IFERROR($M188+VLOOKUP($L188,'Voyage days'!$F$203:$H$256,3,FALSE),"")</f>
        <v>46147</v>
      </c>
      <c r="AO188" s="94">
        <f>IFERROR($N188+VLOOKUP($L188,'Voyage days'!$F$203:$H$256,3,FALSE),"")</f>
        <v>46148</v>
      </c>
      <c r="AP188" s="93" t="str">
        <f t="shared" si="29"/>
        <v/>
      </c>
      <c r="AQ188" s="94" t="str">
        <f>IFERROR($M188+VLOOKUP($L188,'Voyage days'!$F$294:$H$377,3,FALSE),"")</f>
        <v/>
      </c>
      <c r="AR188" s="94" t="str">
        <f>IFERROR($N188+VLOOKUP($L188,'Voyage days'!$F$294:$H$377,3,FALSE),"")</f>
        <v/>
      </c>
      <c r="AS188" s="93" t="str">
        <f t="shared" si="30"/>
        <v>25-26 May</v>
      </c>
      <c r="AT188" s="94">
        <f>IFERROR($M188+VLOOKUP($L188,'Voyage days'!$F$382:$H$446,3,FALSE),"")</f>
        <v>46167</v>
      </c>
      <c r="AU188" s="94">
        <f>IFERROR($N188+VLOOKUP($L188,'Voyage days'!$F$382:$H$446,3,FALSE),"")</f>
        <v>46168</v>
      </c>
      <c r="AV188" s="93" t="str">
        <f t="shared" si="31"/>
        <v/>
      </c>
      <c r="AW188" s="94" t="str">
        <f>IFERROR($M188+VLOOKUP($L188,'Voyage days'!$F$483:$H$538,3,FALSE),"")</f>
        <v/>
      </c>
      <c r="AX188" s="94" t="str">
        <f>IFERROR($N188+VLOOKUP($L188,'Voyage days'!$F$483:$H$538,3,FALSE),"")</f>
        <v/>
      </c>
      <c r="AY188" s="93" t="str">
        <f t="shared" si="32"/>
        <v/>
      </c>
      <c r="AZ188" s="94" t="str">
        <f>IFERROR($M188+VLOOKUP($L188,'Voyage days'!$F$540:$H$613,3,FALSE),"")</f>
        <v/>
      </c>
      <c r="BA188" s="94" t="str">
        <f>IFERROR($N188+VLOOKUP($L188,'Voyage days'!$F$540:$H$613,3,FALSE),"")</f>
        <v/>
      </c>
      <c r="BB188" s="93" t="str">
        <f t="shared" si="33"/>
        <v/>
      </c>
      <c r="BC188" s="94" t="str">
        <f>IFERROR($M188+VLOOKUP($L188,'Voyage days'!$F$448:$H$479,3,FALSE),"")</f>
        <v/>
      </c>
      <c r="BD188" s="94" t="str">
        <f>IFERROR($N188+VLOOKUP($L188,'Voyage days'!$F$448:$H$479,3,FALSE),"")</f>
        <v/>
      </c>
      <c r="BE188" s="93" t="str">
        <f t="shared" si="34"/>
        <v/>
      </c>
      <c r="BF188" s="95" t="str">
        <f>IFERROR($M188+VLOOKUP($L188,'Voyage days'!$F$620:$H$646,3,FALSE),"")</f>
        <v/>
      </c>
      <c r="BG188" s="95" t="str">
        <f>IFERROR($N188+VLOOKUP($L188,'Voyage days'!$F$620:$H$646,3,FALSE),"")</f>
        <v/>
      </c>
      <c r="BH188" s="93" t="str">
        <f t="shared" si="35"/>
        <v/>
      </c>
      <c r="BI188" s="96" t="str">
        <f>IFERROR($M188+VLOOKUP($L188,'Voyage days'!$F$702:$H$727,3,FALSE),"")</f>
        <v/>
      </c>
      <c r="BJ188" s="93" t="str">
        <f t="shared" si="36"/>
        <v/>
      </c>
      <c r="BK188" s="95" t="str">
        <f>IFERROR($M188+VLOOKUP($L188,'Voyage days'!$F$807:$H$878,3,FALSE),"")</f>
        <v/>
      </c>
      <c r="BL188" s="95" t="str">
        <f>IFERROR($N188+VLOOKUP($L188,'Voyage days'!$F$807:$H$878,3,FALSE),"")</f>
        <v/>
      </c>
      <c r="BM188" s="95" t="str">
        <f>IFERROR($N188+VLOOKUP($L188,'Voyage days'!$F$807:$K$878,6,FALSE),"")</f>
        <v/>
      </c>
      <c r="BN188" s="94" t="str">
        <f>IF(L188="loads AG", IFERROR($M188+VLOOKUP($L188,'Voyage days'!$M$38:$O$38,3,FALSE),""),"")</f>
        <v/>
      </c>
      <c r="BO188" s="94">
        <f>IF(L188="loads USG", IFERROR($M188+VLOOKUP($L188,'Voyage days'!$L$203:$N$203,3,FALSE),""),"")</f>
        <v>46179</v>
      </c>
    </row>
    <row r="189" spans="1:68" ht="15.75" customHeight="1" x14ac:dyDescent="0.25">
      <c r="A189" s="266" t="s">
        <v>1171</v>
      </c>
      <c r="B189" s="75">
        <v>42062</v>
      </c>
      <c r="C189" s="76">
        <v>84154</v>
      </c>
      <c r="D189" s="120"/>
      <c r="E189" s="120"/>
      <c r="F189" s="121"/>
      <c r="G189" s="121"/>
      <c r="H189" s="121" t="s">
        <v>739</v>
      </c>
      <c r="I189" s="249" t="s">
        <v>1172</v>
      </c>
      <c r="J189" s="122" t="str">
        <f t="shared" si="37"/>
        <v/>
      </c>
      <c r="K189" s="123"/>
      <c r="L189" s="124" t="s">
        <v>718</v>
      </c>
      <c r="M189" s="189">
        <v>46157</v>
      </c>
      <c r="N189" s="189">
        <v>46158</v>
      </c>
      <c r="O189" s="407"/>
      <c r="P189" s="100" t="s">
        <v>1173</v>
      </c>
      <c r="Q189" s="124" t="s">
        <v>1174</v>
      </c>
      <c r="R189" s="124" t="s">
        <v>1175</v>
      </c>
      <c r="S189" s="120" t="s">
        <v>724</v>
      </c>
      <c r="T189" s="232">
        <v>46132</v>
      </c>
      <c r="U189" s="87" t="str">
        <f>IF(V189="","No AIS",VLOOKUP(V189,'Voyage days'!$A$3:$B$1480,2,FALSE))</f>
        <v>Panama</v>
      </c>
      <c r="V189" s="87" t="str">
        <f>IF(VLOOKUP(A189,'1) Kpler'!$E$2:$P$1000,8, FALSE)="","",VLOOKUP(A189,'1) Kpler'!$E$2:$P$1000,8, FALSE))</f>
        <v>Panama Canal</v>
      </c>
      <c r="W189" s="128">
        <f>IF(VLOOKUP(A189,'1) Kpler'!$E$2:$P$1000,9,FALSE)="","",VLOOKUP(A189,'1) Kpler'!$E$2:$P$1000,9,FALSE))</f>
        <v>46149.5</v>
      </c>
      <c r="X189" s="87" t="str">
        <f>VLOOKUP(A189,'1) Kpler'!$E$2:$I$1000,4,FALSE)</f>
        <v>ballast</v>
      </c>
      <c r="Y189" s="219" t="str">
        <f t="shared" si="0"/>
        <v/>
      </c>
      <c r="Z189" s="219" t="str">
        <f t="shared" si="1"/>
        <v>15-16 May</v>
      </c>
      <c r="AA189" s="219" t="str">
        <f t="shared" si="2"/>
        <v>15-16 May</v>
      </c>
      <c r="AB189" s="219" t="str">
        <f t="shared" si="3"/>
        <v/>
      </c>
      <c r="AC189" s="219" t="str">
        <f t="shared" si="4"/>
        <v>04-05 Jun</v>
      </c>
      <c r="AD189" s="219" t="str">
        <f t="shared" si="5"/>
        <v/>
      </c>
      <c r="AE189" s="220" t="str">
        <f t="shared" si="6"/>
        <v/>
      </c>
      <c r="AF189" s="130" t="str">
        <f t="shared" si="7"/>
        <v/>
      </c>
      <c r="AG189" s="131" t="str">
        <f t="shared" si="26"/>
        <v/>
      </c>
      <c r="AH189" s="95" t="str">
        <f>IFERROR($M189+VLOOKUP($L189,'Voyage days'!$F$38:$H$89,3,FALSE),"")</f>
        <v/>
      </c>
      <c r="AI189" s="95" t="str">
        <f>IFERROR(N189+VLOOKUP($L189,'Voyage days'!$F$38:$H$89,3,FALSE),"")</f>
        <v/>
      </c>
      <c r="AJ189" s="131" t="str">
        <f t="shared" si="27"/>
        <v>15-16 May</v>
      </c>
      <c r="AK189" s="95">
        <f>IFERROR($M189+VLOOKUP($L189,'Voyage days'!$F$94:$H$193,3,FALSE),"")</f>
        <v>46157</v>
      </c>
      <c r="AL189" s="95">
        <f>IFERROR($N189+VLOOKUP($L189,'Voyage days'!$F$94:$H$193,3,FALSE),"")</f>
        <v>46158</v>
      </c>
      <c r="AM189" s="131" t="str">
        <f t="shared" si="28"/>
        <v>15-16 May</v>
      </c>
      <c r="AN189" s="95">
        <f>IFERROR($M189+VLOOKUP($L189,'Voyage days'!$F$203:$H$256,3,FALSE),"")</f>
        <v>46157</v>
      </c>
      <c r="AO189" s="95">
        <f>IFERROR($N189+VLOOKUP($L189,'Voyage days'!$F$203:$H$256,3,FALSE),"")</f>
        <v>46158</v>
      </c>
      <c r="AP189" s="131" t="str">
        <f t="shared" si="29"/>
        <v/>
      </c>
      <c r="AQ189" s="95" t="str">
        <f>IFERROR($M189+VLOOKUP($L189,'Voyage days'!$F$294:$H$377,3,FALSE),"")</f>
        <v/>
      </c>
      <c r="AR189" s="95" t="str">
        <f>IFERROR($N189+VLOOKUP($L189,'Voyage days'!$F$294:$H$377,3,FALSE),"")</f>
        <v/>
      </c>
      <c r="AS189" s="131" t="str">
        <f t="shared" si="30"/>
        <v>04-05 Jun</v>
      </c>
      <c r="AT189" s="95">
        <f>IFERROR($M189+VLOOKUP($L189,'Voyage days'!$F$382:$H$446,3,FALSE),"")</f>
        <v>46177</v>
      </c>
      <c r="AU189" s="95">
        <f>IFERROR($N189+VLOOKUP($L189,'Voyage days'!$F$382:$H$446,3,FALSE),"")</f>
        <v>46178</v>
      </c>
      <c r="AV189" s="131" t="str">
        <f t="shared" si="31"/>
        <v/>
      </c>
      <c r="AW189" s="95" t="str">
        <f>IFERROR($M189+VLOOKUP($L189,'Voyage days'!$F$483:$H$538,3,FALSE),"")</f>
        <v/>
      </c>
      <c r="AX189" s="95" t="str">
        <f>IFERROR($N189+VLOOKUP($L189,'Voyage days'!$F$483:$H$538,3,FALSE),"")</f>
        <v/>
      </c>
      <c r="AY189" s="131" t="str">
        <f t="shared" si="32"/>
        <v/>
      </c>
      <c r="AZ189" s="95" t="str">
        <f>IFERROR($M189+VLOOKUP($L189,'Voyage days'!$F$540:$H$613,3,FALSE),"")</f>
        <v/>
      </c>
      <c r="BA189" s="95" t="str">
        <f>IFERROR($N189+VLOOKUP($L189,'Voyage days'!$F$540:$H$613,3,FALSE),"")</f>
        <v/>
      </c>
      <c r="BB189" s="131" t="str">
        <f t="shared" si="33"/>
        <v/>
      </c>
      <c r="BC189" s="94" t="str">
        <f>IFERROR($M189+VLOOKUP($L189,'Voyage days'!$F$448:$H$479,3,FALSE),"")</f>
        <v/>
      </c>
      <c r="BD189" s="94" t="str">
        <f>IFERROR($N189+VLOOKUP($L189,'Voyage days'!$F$448:$H$479,3,FALSE),"")</f>
        <v/>
      </c>
      <c r="BE189" s="131" t="str">
        <f t="shared" si="34"/>
        <v/>
      </c>
      <c r="BF189" s="95" t="str">
        <f>IFERROR($M189+VLOOKUP($L189,'Voyage days'!$F$620:$H$646,3,FALSE),"")</f>
        <v/>
      </c>
      <c r="BG189" s="95" t="str">
        <f>IFERROR($N189+VLOOKUP($L189,'Voyage days'!$F$620:$H$646,3,FALSE),"")</f>
        <v/>
      </c>
      <c r="BH189" s="131" t="str">
        <f t="shared" si="35"/>
        <v/>
      </c>
      <c r="BI189" s="96" t="str">
        <f>IFERROR($M189+VLOOKUP($L189,'Voyage days'!$F$702:$H$727,3,FALSE),"")</f>
        <v/>
      </c>
      <c r="BJ189" s="131" t="str">
        <f t="shared" si="36"/>
        <v/>
      </c>
      <c r="BK189" s="95" t="str">
        <f>IFERROR($M189+VLOOKUP($L189,'Voyage days'!$F$807:$H$878,3,FALSE),"")</f>
        <v/>
      </c>
      <c r="BL189" s="95" t="str">
        <f>IFERROR($N189+VLOOKUP($L189,'Voyage days'!$F$807:$H$878,3,FALSE),"")</f>
        <v/>
      </c>
      <c r="BM189" s="95" t="str">
        <f>IFERROR($N189+VLOOKUP($L189,'Voyage days'!$F$807:$K$878,6,FALSE),"")</f>
        <v/>
      </c>
      <c r="BN189" s="94" t="str">
        <f>IF(L189="loads AG", IFERROR($M189+VLOOKUP($L189,'Voyage days'!$M$38:$O$38,3,FALSE),""),"")</f>
        <v/>
      </c>
      <c r="BO189" s="94">
        <f>IF(L189="loads USG", IFERROR($M189+VLOOKUP($L189,'Voyage days'!$L$203:$N$203,3,FALSE),""),"")</f>
        <v>46189</v>
      </c>
    </row>
    <row r="190" spans="1:68" x14ac:dyDescent="0.25">
      <c r="A190" s="266" t="s">
        <v>1176</v>
      </c>
      <c r="B190" s="75">
        <v>42202</v>
      </c>
      <c r="C190" s="76">
        <v>83000</v>
      </c>
      <c r="D190" s="77"/>
      <c r="E190" s="77"/>
      <c r="F190" s="78"/>
      <c r="G190" s="78"/>
      <c r="H190" s="78" t="s">
        <v>739</v>
      </c>
      <c r="I190" s="233" t="s">
        <v>1172</v>
      </c>
      <c r="J190" s="80" t="str">
        <f t="shared" si="37"/>
        <v/>
      </c>
      <c r="K190" s="81"/>
      <c r="L190" s="82" t="s">
        <v>770</v>
      </c>
      <c r="M190" s="83">
        <v>46157</v>
      </c>
      <c r="N190" s="222">
        <v>46158</v>
      </c>
      <c r="O190" s="84"/>
      <c r="P190" s="82" t="s">
        <v>1177</v>
      </c>
      <c r="Q190" s="82" t="s">
        <v>1178</v>
      </c>
      <c r="R190" s="82" t="s">
        <v>1179</v>
      </c>
      <c r="S190" s="120" t="s">
        <v>724</v>
      </c>
      <c r="T190" s="232">
        <v>46132</v>
      </c>
      <c r="U190" s="87" t="str">
        <f>IF(V190="","No AIS",VLOOKUP(V190,'Voyage days'!$A$3:$B$1480,2,FALSE))</f>
        <v>Korea+3/+1 bunkers</v>
      </c>
      <c r="V190" s="88" t="str">
        <f>IF(VLOOKUP(A190,'1) Kpler'!$E$2:$P$1000,8, FALSE)="","",VLOOKUP(A190,'1) Kpler'!$E$2:$P$1000,8, FALSE))</f>
        <v>Yeosu</v>
      </c>
      <c r="W190" s="89">
        <f>IF(VLOOKUP(A190,'1) Kpler'!$E$2:$P$1000,9,FALSE)="","",VLOOKUP(A190,'1) Kpler'!$E$2:$P$1000,9,FALSE))</f>
        <v>46153.583333333336</v>
      </c>
      <c r="X190" s="88" t="str">
        <f>VLOOKUP(A190,'1) Kpler'!$E$2:$I$1000,4,FALSE)</f>
        <v>loaded</v>
      </c>
      <c r="Y190" s="234" t="str">
        <f t="shared" si="0"/>
        <v>02-03 Jun</v>
      </c>
      <c r="Z190" s="234" t="str">
        <f t="shared" si="1"/>
        <v>17-18 Jun</v>
      </c>
      <c r="AA190" s="234" t="str">
        <f t="shared" si="2"/>
        <v>25-26 Jun</v>
      </c>
      <c r="AB190" s="234" t="str">
        <f t="shared" si="3"/>
        <v>13-14 Jun</v>
      </c>
      <c r="AC190" s="234" t="str">
        <f t="shared" si="4"/>
        <v>19-20 Jun</v>
      </c>
      <c r="AD190" s="234" t="str">
        <f t="shared" si="5"/>
        <v>22-23 May</v>
      </c>
      <c r="AE190" s="235" t="str">
        <f t="shared" si="6"/>
        <v>23-24 May</v>
      </c>
      <c r="AF190" s="92" t="str">
        <f t="shared" si="7"/>
        <v>29-30 Jun</v>
      </c>
      <c r="AG190" s="93" t="str">
        <f t="shared" si="26"/>
        <v>02-03 Jun</v>
      </c>
      <c r="AH190" s="94">
        <f>IFERROR($M190+VLOOKUP($L190,'Voyage days'!$F$38:$H$89,3,FALSE),"")</f>
        <v>46175</v>
      </c>
      <c r="AI190" s="94">
        <f>IFERROR(N190+VLOOKUP($L190,'Voyage days'!$F$38:$H$89,3,FALSE),"")</f>
        <v>46176</v>
      </c>
      <c r="AJ190" s="93" t="str">
        <f t="shared" si="27"/>
        <v>17-18 Jun</v>
      </c>
      <c r="AK190" s="94">
        <f>IFERROR($M190+VLOOKUP($L190,'Voyage days'!$F$94:$H$193,3,FALSE),"")</f>
        <v>46190</v>
      </c>
      <c r="AL190" s="94">
        <f>IFERROR($N190+VLOOKUP($L190,'Voyage days'!$F$94:$H$193,3,FALSE),"")</f>
        <v>46191</v>
      </c>
      <c r="AM190" s="93" t="str">
        <f t="shared" si="28"/>
        <v>25-26 Jun</v>
      </c>
      <c r="AN190" s="94">
        <f>IFERROR($M190+VLOOKUP($L190,'Voyage days'!$F$203:$H$256,3,FALSE),"")</f>
        <v>46198</v>
      </c>
      <c r="AO190" s="94">
        <f>IFERROR($N190+VLOOKUP($L190,'Voyage days'!$F$203:$H$256,3,FALSE),"")</f>
        <v>46199</v>
      </c>
      <c r="AP190" s="93" t="str">
        <f t="shared" si="29"/>
        <v>13-14 Jun</v>
      </c>
      <c r="AQ190" s="94">
        <f>IFERROR($M190+VLOOKUP($L190,'Voyage days'!$F$294:$H$377,3,FALSE),"")</f>
        <v>46186</v>
      </c>
      <c r="AR190" s="94">
        <f>IFERROR($N190+VLOOKUP($L190,'Voyage days'!$F$294:$H$377,3,FALSE),"")</f>
        <v>46187</v>
      </c>
      <c r="AS190" s="93" t="str">
        <f t="shared" si="30"/>
        <v>19-20 Jun</v>
      </c>
      <c r="AT190" s="94">
        <f>IFERROR($M190+VLOOKUP($L190,'Voyage days'!$F$382:$H$446,3,FALSE),"")</f>
        <v>46192</v>
      </c>
      <c r="AU190" s="94">
        <f>IFERROR($N190+VLOOKUP($L190,'Voyage days'!$F$382:$H$446,3,FALSE),"")</f>
        <v>46193</v>
      </c>
      <c r="AV190" s="93" t="str">
        <f t="shared" si="31"/>
        <v>29-30 May</v>
      </c>
      <c r="AW190" s="94">
        <f>IFERROR($M190+VLOOKUP($L190,'Voyage days'!$F$483:$H$538,3,FALSE),"")</f>
        <v>46171</v>
      </c>
      <c r="AX190" s="94">
        <f>IFERROR($N190+VLOOKUP($L190,'Voyage days'!$F$483:$H$538,3,FALSE),"")</f>
        <v>46172</v>
      </c>
      <c r="AY190" s="93" t="str">
        <f t="shared" si="32"/>
        <v>23-24 May</v>
      </c>
      <c r="AZ190" s="94">
        <f>IFERROR($M190+VLOOKUP($L190,'Voyage days'!$F$540:$H$613,3,FALSE),"")</f>
        <v>46165</v>
      </c>
      <c r="BA190" s="94">
        <f>IFERROR($N190+VLOOKUP($L190,'Voyage days'!$F$540:$H$613,3,FALSE),"")</f>
        <v>46166</v>
      </c>
      <c r="BB190" s="93" t="str">
        <f t="shared" si="33"/>
        <v>22-23 May</v>
      </c>
      <c r="BC190" s="94">
        <f>IFERROR($M190+VLOOKUP($L190,'Voyage days'!$F$448:$H$479,3,FALSE),"")</f>
        <v>46164</v>
      </c>
      <c r="BD190" s="94">
        <f>IFERROR($N190+VLOOKUP($L190,'Voyage days'!$F$448:$H$479,3,FALSE),"")</f>
        <v>46165</v>
      </c>
      <c r="BE190" s="93" t="str">
        <f t="shared" si="34"/>
        <v>26-27 May</v>
      </c>
      <c r="BF190" s="95">
        <f>IFERROR($M190+VLOOKUP($L190,'Voyage days'!$F$620:$H$646,3,FALSE),"")</f>
        <v>46168</v>
      </c>
      <c r="BG190" s="95">
        <f>IFERROR($N190+VLOOKUP($L190,'Voyage days'!$F$620:$H$646,3,FALSE),"")</f>
        <v>46169</v>
      </c>
      <c r="BH190" s="93" t="str">
        <f t="shared" si="35"/>
        <v>23-30 Jun</v>
      </c>
      <c r="BI190" s="96">
        <f>IFERROR($M190+VLOOKUP($L190,'Voyage days'!$F$702:$H$727,3,FALSE),"")</f>
        <v>46165</v>
      </c>
      <c r="BJ190" s="93" t="str">
        <f t="shared" si="36"/>
        <v>29-30 Jun</v>
      </c>
      <c r="BK190" s="95">
        <f>IFERROR($M190+VLOOKUP($L190,'Voyage days'!$F$807:$H$878,3,FALSE),"")</f>
        <v>46202</v>
      </c>
      <c r="BL190" s="95">
        <f>IFERROR($N190+VLOOKUP($L190,'Voyage days'!$F$807:$H$878,3,FALSE),"")</f>
        <v>46203</v>
      </c>
      <c r="BM190" s="95">
        <f>IFERROR($N190+VLOOKUP($L190,'Voyage days'!$F$807:$K$878,6,FALSE),"")</f>
        <v>46177</v>
      </c>
      <c r="BN190" s="94" t="str">
        <f>IF(L190="loads AG", IFERROR($M190+VLOOKUP($L190,'Voyage days'!$M$38:$O$38,3,FALSE),""),"")</f>
        <v/>
      </c>
      <c r="BO190" s="94" t="str">
        <f>IF(L190="loads USG", IFERROR($M190+VLOOKUP($L190,'Voyage days'!$L$203:$N$203,3,FALSE),""),"")</f>
        <v/>
      </c>
    </row>
    <row r="191" spans="1:68" x14ac:dyDescent="0.25">
      <c r="A191" s="53" t="s">
        <v>193</v>
      </c>
      <c r="B191" s="75">
        <v>42248</v>
      </c>
      <c r="C191" s="76">
        <v>84000</v>
      </c>
      <c r="D191" s="77" t="s">
        <v>651</v>
      </c>
      <c r="E191" s="77"/>
      <c r="F191" s="78"/>
      <c r="G191" s="78"/>
      <c r="H191" s="78"/>
      <c r="I191" s="233" t="s">
        <v>1172</v>
      </c>
      <c r="J191" s="80" t="str">
        <f t="shared" si="37"/>
        <v/>
      </c>
      <c r="K191" s="81"/>
      <c r="L191" s="82" t="s">
        <v>715</v>
      </c>
      <c r="M191" s="83">
        <v>46145</v>
      </c>
      <c r="N191" s="83">
        <v>46147</v>
      </c>
      <c r="O191" s="152"/>
      <c r="P191" s="78" t="s">
        <v>1180</v>
      </c>
      <c r="Q191" s="453"/>
      <c r="R191" s="82" t="s">
        <v>1181</v>
      </c>
      <c r="S191" s="120" t="s">
        <v>724</v>
      </c>
      <c r="T191" s="232">
        <v>46132</v>
      </c>
      <c r="U191" s="87" t="str">
        <f>IF(V191="","No AIS",VLOOKUP(V191,'Voyage days'!$A$3:$B$1480,2,FALSE))</f>
        <v>Japan + 6</v>
      </c>
      <c r="V191" s="88" t="str">
        <f>IF(VLOOKUP(A191,'1) Kpler'!$E$2:$P$1000,8, FALSE)="","",VLOOKUP(A191,'1) Kpler'!$E$2:$P$1000,8, FALSE))</f>
        <v>Chiba</v>
      </c>
      <c r="W191" s="89">
        <f>IF(VLOOKUP(A191,'1) Kpler'!$E$2:$P$1000,9,FALSE)="","",VLOOKUP(A191,'1) Kpler'!$E$2:$P$1000,9,FALSE))</f>
        <v>46139.458333333336</v>
      </c>
      <c r="X191" s="88" t="str">
        <f>VLOOKUP(A191,'1) Kpler'!$E$2:$I$1000,4,FALSE)</f>
        <v>loaded</v>
      </c>
      <c r="Y191" s="90" t="str">
        <f t="shared" si="0"/>
        <v>21-23 May</v>
      </c>
      <c r="Z191" s="90" t="str">
        <f t="shared" si="1"/>
        <v>03-05 Jun</v>
      </c>
      <c r="AA191" s="90" t="str">
        <f t="shared" si="2"/>
        <v>14-16 Jun</v>
      </c>
      <c r="AB191" s="90" t="str">
        <f t="shared" si="3"/>
        <v>02-04 Jun</v>
      </c>
      <c r="AC191" s="90" t="str">
        <f t="shared" si="4"/>
        <v>08-10 Jun</v>
      </c>
      <c r="AD191" s="90" t="str">
        <f t="shared" si="5"/>
        <v>11-13 May</v>
      </c>
      <c r="AE191" s="91" t="str">
        <f t="shared" si="6"/>
        <v>11-13 May</v>
      </c>
      <c r="AF191" s="92" t="str">
        <f t="shared" si="7"/>
        <v>18-20 Jun</v>
      </c>
      <c r="AG191" s="93" t="str">
        <f t="shared" si="26"/>
        <v>21-23 May</v>
      </c>
      <c r="AH191" s="94">
        <f>IFERROR($M191+VLOOKUP($L191,'Voyage days'!$F$38:$H$89,3,FALSE),"")</f>
        <v>46163</v>
      </c>
      <c r="AI191" s="94">
        <f>IFERROR(N191+VLOOKUP($L191,'Voyage days'!$F$38:$H$89,3,FALSE),"")</f>
        <v>46165</v>
      </c>
      <c r="AJ191" s="93" t="str">
        <f t="shared" si="27"/>
        <v>03-05 Jun</v>
      </c>
      <c r="AK191" s="94">
        <f>IFERROR($M191+VLOOKUP($L191,'Voyage days'!$F$94:$H$193,3,FALSE),"")</f>
        <v>46176</v>
      </c>
      <c r="AL191" s="94">
        <f>IFERROR($N191+VLOOKUP($L191,'Voyage days'!$F$94:$H$193,3,FALSE),"")</f>
        <v>46178</v>
      </c>
      <c r="AM191" s="93" t="str">
        <f t="shared" si="28"/>
        <v>14-16 Jun</v>
      </c>
      <c r="AN191" s="94">
        <f>IFERROR($M191+VLOOKUP($L191,'Voyage days'!$F$203:$H$256,3,FALSE),"")</f>
        <v>46187</v>
      </c>
      <c r="AO191" s="94">
        <f>IFERROR($N191+VLOOKUP($L191,'Voyage days'!$F$203:$H$256,3,FALSE),"")</f>
        <v>46189</v>
      </c>
      <c r="AP191" s="93" t="str">
        <f t="shared" si="29"/>
        <v>02-04 Jun</v>
      </c>
      <c r="AQ191" s="94">
        <f>IFERROR($M191+VLOOKUP($L191,'Voyage days'!$F$294:$H$377,3,FALSE),"")</f>
        <v>46175</v>
      </c>
      <c r="AR191" s="94">
        <f>IFERROR($N191+VLOOKUP($L191,'Voyage days'!$F$294:$H$377,3,FALSE),"")</f>
        <v>46177</v>
      </c>
      <c r="AS191" s="93" t="str">
        <f t="shared" si="30"/>
        <v>08-10 Jun</v>
      </c>
      <c r="AT191" s="94">
        <f>IFERROR($M191+VLOOKUP($L191,'Voyage days'!$F$382:$H$446,3,FALSE),"")</f>
        <v>46181</v>
      </c>
      <c r="AU191" s="94">
        <f>IFERROR($N191+VLOOKUP($L191,'Voyage days'!$F$382:$H$446,3,FALSE),"")</f>
        <v>46183</v>
      </c>
      <c r="AV191" s="93" t="str">
        <f t="shared" si="31"/>
        <v>16-18 May</v>
      </c>
      <c r="AW191" s="94">
        <f>IFERROR($M191+VLOOKUP($L191,'Voyage days'!$F$483:$H$538,3,FALSE),"")</f>
        <v>46158</v>
      </c>
      <c r="AX191" s="94">
        <f>IFERROR($N191+VLOOKUP($L191,'Voyage days'!$F$483:$H$538,3,FALSE),"")</f>
        <v>46160</v>
      </c>
      <c r="AY191" s="93" t="str">
        <f t="shared" si="32"/>
        <v>11-13 May</v>
      </c>
      <c r="AZ191" s="94">
        <f>IFERROR($M191+VLOOKUP($L191,'Voyage days'!$F$540:$H$613,3,FALSE),"")</f>
        <v>46153.25</v>
      </c>
      <c r="BA191" s="94">
        <f>IFERROR($N191+VLOOKUP($L191,'Voyage days'!$F$540:$H$613,3,FALSE),"")</f>
        <v>46155.25</v>
      </c>
      <c r="BB191" s="93" t="str">
        <f t="shared" si="33"/>
        <v>11-13 May</v>
      </c>
      <c r="BC191" s="94">
        <f>IFERROR($M191+VLOOKUP($L191,'Voyage days'!$F$448:$H$479,3,FALSE),"")</f>
        <v>46153</v>
      </c>
      <c r="BD191" s="94">
        <f>IFERROR($N191+VLOOKUP($L191,'Voyage days'!$F$448:$H$479,3,FALSE),"")</f>
        <v>46155</v>
      </c>
      <c r="BE191" s="93" t="str">
        <f t="shared" si="34"/>
        <v>14-16 May</v>
      </c>
      <c r="BF191" s="95">
        <f>IFERROR($M191+VLOOKUP($L191,'Voyage days'!$F$620:$H$646,3,FALSE),"")</f>
        <v>46156</v>
      </c>
      <c r="BG191" s="95">
        <f>IFERROR($N191+VLOOKUP($L191,'Voyage days'!$F$620:$H$646,3,FALSE),"")</f>
        <v>46158</v>
      </c>
      <c r="BH191" s="93" t="str">
        <f t="shared" si="35"/>
        <v>11-20 Jun</v>
      </c>
      <c r="BI191" s="96">
        <f>IFERROR($M191+VLOOKUP($L191,'Voyage days'!$F$702:$H$727,3,FALSE),"")</f>
        <v>46153.25</v>
      </c>
      <c r="BJ191" s="93" t="str">
        <f t="shared" si="36"/>
        <v>18-20 Jun</v>
      </c>
      <c r="BK191" s="95">
        <f>IFERROR($M191+VLOOKUP($L191,'Voyage days'!$F$807:$H$878,3,FALSE),"")</f>
        <v>46191</v>
      </c>
      <c r="BL191" s="95">
        <f>IFERROR($N191+VLOOKUP($L191,'Voyage days'!$F$807:$H$878,3,FALSE),"")</f>
        <v>46193</v>
      </c>
      <c r="BM191" s="95">
        <f>IFERROR($N191+VLOOKUP($L191,'Voyage days'!$F$807:$K$878,6,FALSE),"")</f>
        <v>46167</v>
      </c>
      <c r="BN191" s="94" t="str">
        <f>IF(L191="loads AG", IFERROR($M191+VLOOKUP($L191,'Voyage days'!$M$38:$O$38,3,FALSE),""),"")</f>
        <v/>
      </c>
      <c r="BO191" s="94" t="str">
        <f>IF(L191="loads USG", IFERROR($M191+VLOOKUP($L191,'Voyage days'!$L$203:$N$203,3,FALSE),""),"")</f>
        <v/>
      </c>
    </row>
    <row r="192" spans="1:68" ht="15.75" customHeight="1" x14ac:dyDescent="0.25">
      <c r="A192" s="369" t="s">
        <v>302</v>
      </c>
      <c r="B192" s="176">
        <v>43084</v>
      </c>
      <c r="C192" s="134">
        <v>84000</v>
      </c>
      <c r="D192" s="143"/>
      <c r="E192" s="143" t="s">
        <v>757</v>
      </c>
      <c r="F192" s="136"/>
      <c r="G192" s="136"/>
      <c r="H192" s="136" t="s">
        <v>713</v>
      </c>
      <c r="I192" s="413" t="s">
        <v>1172</v>
      </c>
      <c r="J192" s="138" t="str">
        <f t="shared" si="37"/>
        <v/>
      </c>
      <c r="K192" s="139"/>
      <c r="L192" s="140" t="s">
        <v>718</v>
      </c>
      <c r="M192" s="205">
        <v>46164</v>
      </c>
      <c r="N192" s="205">
        <v>46165</v>
      </c>
      <c r="O192" s="142"/>
      <c r="P192" s="136" t="s">
        <v>1182</v>
      </c>
      <c r="Q192" s="136"/>
      <c r="R192" s="140" t="s">
        <v>1183</v>
      </c>
      <c r="S192" s="279" t="s">
        <v>724</v>
      </c>
      <c r="T192" s="289">
        <v>46132</v>
      </c>
      <c r="U192" s="145" t="str">
        <f>IF(V192="","No AIS",VLOOKUP(V192,'Voyage days'!$A$3:$B$1480,2,FALSE))</f>
        <v>USG</v>
      </c>
      <c r="V192" s="146" t="str">
        <f>IF(VLOOKUP(A192,'1) Kpler'!$E$2:$P$1000,8, FALSE)="","",VLOOKUP(A192,'1) Kpler'!$E$2:$P$1000,8, FALSE))</f>
        <v>Houston</v>
      </c>
      <c r="W192" s="147">
        <f>IF(VLOOKUP(A192,'1) Kpler'!$E$2:$P$1000,9,FALSE)="","",VLOOKUP(A192,'1) Kpler'!$E$2:$P$1000,9,FALSE))</f>
        <v>46162.583333333336</v>
      </c>
      <c r="X192" s="146" t="str">
        <f>VLOOKUP(A192,'1) Kpler'!$E$2:$I$1000,4,FALSE)</f>
        <v>ballast</v>
      </c>
      <c r="Y192" s="93" t="str">
        <f t="shared" si="0"/>
        <v/>
      </c>
      <c r="Z192" s="93" t="str">
        <f t="shared" si="1"/>
        <v>22-23 May</v>
      </c>
      <c r="AA192" s="93" t="str">
        <f t="shared" si="2"/>
        <v>22-23 May</v>
      </c>
      <c r="AB192" s="93" t="str">
        <f t="shared" si="3"/>
        <v/>
      </c>
      <c r="AC192" s="93" t="str">
        <f t="shared" si="4"/>
        <v>11-12 Jun</v>
      </c>
      <c r="AD192" s="93" t="str">
        <f t="shared" si="5"/>
        <v/>
      </c>
      <c r="AE192" s="179" t="str">
        <f t="shared" si="6"/>
        <v/>
      </c>
      <c r="AF192" s="180" t="str">
        <f t="shared" si="7"/>
        <v/>
      </c>
      <c r="AG192" s="93" t="str">
        <f t="shared" si="26"/>
        <v/>
      </c>
      <c r="AH192" s="94" t="str">
        <f>IFERROR($M192+VLOOKUP($L192,'Voyage days'!$F$38:$H$89,3,FALSE),"")</f>
        <v/>
      </c>
      <c r="AI192" s="94" t="str">
        <f>IFERROR(N192+VLOOKUP($L192,'Voyage days'!$F$38:$H$89,3,FALSE),"")</f>
        <v/>
      </c>
      <c r="AJ192" s="93" t="str">
        <f t="shared" si="27"/>
        <v>22-23 May</v>
      </c>
      <c r="AK192" s="94">
        <f>IFERROR($M192+VLOOKUP($L192,'Voyage days'!$F$94:$H$193,3,FALSE),"")</f>
        <v>46164</v>
      </c>
      <c r="AL192" s="94">
        <f>IFERROR($N192+VLOOKUP($L192,'Voyage days'!$F$94:$H$193,3,FALSE),"")</f>
        <v>46165</v>
      </c>
      <c r="AM192" s="93" t="str">
        <f t="shared" si="28"/>
        <v>22-23 May</v>
      </c>
      <c r="AN192" s="94">
        <f>IFERROR($M192+VLOOKUP($L192,'Voyage days'!$F$203:$H$256,3,FALSE),"")</f>
        <v>46164</v>
      </c>
      <c r="AO192" s="94">
        <f>IFERROR($N192+VLOOKUP($L192,'Voyage days'!$F$203:$H$256,3,FALSE),"")</f>
        <v>46165</v>
      </c>
      <c r="AP192" s="93" t="str">
        <f t="shared" si="29"/>
        <v/>
      </c>
      <c r="AQ192" s="94" t="str">
        <f>IFERROR($M192+VLOOKUP($L192,'Voyage days'!$F$294:$H$377,3,FALSE),"")</f>
        <v/>
      </c>
      <c r="AR192" s="94" t="str">
        <f>IFERROR($N192+VLOOKUP($L192,'Voyage days'!$F$294:$H$377,3,FALSE),"")</f>
        <v/>
      </c>
      <c r="AS192" s="93" t="str">
        <f t="shared" si="30"/>
        <v>11-12 Jun</v>
      </c>
      <c r="AT192" s="94">
        <f>IFERROR($M192+VLOOKUP($L192,'Voyage days'!$F$382:$H$446,3,FALSE),"")</f>
        <v>46184</v>
      </c>
      <c r="AU192" s="94">
        <f>IFERROR($N192+VLOOKUP($L192,'Voyage days'!$F$382:$H$446,3,FALSE),"")</f>
        <v>46185</v>
      </c>
      <c r="AV192" s="93" t="str">
        <f t="shared" si="31"/>
        <v/>
      </c>
      <c r="AW192" s="94" t="str">
        <f>IFERROR($M192+VLOOKUP($L192,'Voyage days'!$F$483:$H$538,3,FALSE),"")</f>
        <v/>
      </c>
      <c r="AX192" s="94" t="str">
        <f>IFERROR($N192+VLOOKUP($L192,'Voyage days'!$F$483:$H$538,3,FALSE),"")</f>
        <v/>
      </c>
      <c r="AY192" s="93" t="str">
        <f t="shared" si="32"/>
        <v/>
      </c>
      <c r="AZ192" s="94" t="str">
        <f>IFERROR($M192+VLOOKUP($L192,'Voyage days'!$F$540:$H$613,3,FALSE),"")</f>
        <v/>
      </c>
      <c r="BA192" s="94" t="str">
        <f>IFERROR($N192+VLOOKUP($L192,'Voyage days'!$F$540:$H$613,3,FALSE),"")</f>
        <v/>
      </c>
      <c r="BB192" s="93" t="str">
        <f t="shared" si="33"/>
        <v/>
      </c>
      <c r="BC192" s="94" t="str">
        <f>IFERROR($M192+VLOOKUP($L192,'Voyage days'!$F$448:$H$479,3,FALSE),"")</f>
        <v/>
      </c>
      <c r="BD192" s="94" t="str">
        <f>IFERROR($N192+VLOOKUP($L192,'Voyage days'!$F$448:$H$479,3,FALSE),"")</f>
        <v/>
      </c>
      <c r="BE192" s="93" t="str">
        <f t="shared" si="34"/>
        <v/>
      </c>
      <c r="BF192" s="95" t="str">
        <f>IFERROR($M192+VLOOKUP($L192,'Voyage days'!$F$620:$H$646,3,FALSE),"")</f>
        <v/>
      </c>
      <c r="BG192" s="95" t="str">
        <f>IFERROR($N192+VLOOKUP($L192,'Voyage days'!$F$620:$H$646,3,FALSE),"")</f>
        <v/>
      </c>
      <c r="BH192" s="93" t="str">
        <f t="shared" si="35"/>
        <v/>
      </c>
      <c r="BI192" s="96" t="str">
        <f>IFERROR($M192+VLOOKUP($L192,'Voyage days'!$F$702:$H$727,3,FALSE),"")</f>
        <v/>
      </c>
      <c r="BJ192" s="93" t="str">
        <f t="shared" si="36"/>
        <v/>
      </c>
      <c r="BK192" s="95" t="str">
        <f>IFERROR($M192+VLOOKUP($L192,'Voyage days'!$F$807:$H$878,3,FALSE),"")</f>
        <v/>
      </c>
      <c r="BL192" s="95" t="str">
        <f>IFERROR($N192+VLOOKUP($L192,'Voyage days'!$F$807:$H$878,3,FALSE),"")</f>
        <v/>
      </c>
      <c r="BM192" s="95" t="str">
        <f>IFERROR($N192+VLOOKUP($L192,'Voyage days'!$F$807:$K$878,6,FALSE),"")</f>
        <v/>
      </c>
      <c r="BN192" s="94" t="str">
        <f>IF(L192="loads AG", IFERROR($M192+VLOOKUP($L192,'Voyage days'!$M$38:$O$38,3,FALSE),""),"")</f>
        <v/>
      </c>
      <c r="BO192" s="94">
        <f>IF(L192="loads USG", IFERROR($M192+VLOOKUP($L192,'Voyage days'!$L$203:$N$203,3,FALSE),""),"")</f>
        <v>46196</v>
      </c>
    </row>
    <row r="193" spans="1:67" ht="15.75" customHeight="1" x14ac:dyDescent="0.25">
      <c r="A193" s="266" t="s">
        <v>523</v>
      </c>
      <c r="B193" s="75">
        <v>42583</v>
      </c>
      <c r="C193" s="76">
        <v>84000</v>
      </c>
      <c r="D193" s="120"/>
      <c r="E193" s="120" t="s">
        <v>757</v>
      </c>
      <c r="F193" s="121"/>
      <c r="G193" s="121"/>
      <c r="H193" s="121"/>
      <c r="I193" s="249" t="s">
        <v>1184</v>
      </c>
      <c r="J193" s="122" t="str">
        <f t="shared" si="37"/>
        <v/>
      </c>
      <c r="K193" s="123"/>
      <c r="L193" s="252" t="s">
        <v>770</v>
      </c>
      <c r="M193" s="189">
        <v>46149</v>
      </c>
      <c r="N193" s="189">
        <v>46150</v>
      </c>
      <c r="O193" s="454"/>
      <c r="P193" s="124" t="s">
        <v>1185</v>
      </c>
      <c r="Q193" s="124"/>
      <c r="R193" s="124" t="s">
        <v>1186</v>
      </c>
      <c r="S193" s="120" t="s">
        <v>724</v>
      </c>
      <c r="T193" s="232">
        <v>46132</v>
      </c>
      <c r="U193" s="87" t="str">
        <f>IF(V193="","No AIS",VLOOKUP(V193,'Voyage days'!$A$3:$B$1480,2,FALSE))</f>
        <v>Korea + 4</v>
      </c>
      <c r="V193" s="87" t="str">
        <f>IF(VLOOKUP(A193,'1) Kpler'!$E$2:$P$1000,8, FALSE)="","",VLOOKUP(A193,'1) Kpler'!$E$2:$P$1000,8, FALSE))</f>
        <v>Ulsan</v>
      </c>
      <c r="W193" s="128">
        <f>IF(VLOOKUP(A193,'1) Kpler'!$E$2:$P$1000,9,FALSE)="","",VLOOKUP(A193,'1) Kpler'!$E$2:$P$1000,9,FALSE))</f>
        <v>46145.5</v>
      </c>
      <c r="X193" s="87" t="str">
        <f>VLOOKUP(A193,'1) Kpler'!$E$2:$I$1000,4,FALSE)</f>
        <v>loaded</v>
      </c>
      <c r="Y193" s="219" t="str">
        <f t="shared" si="0"/>
        <v>25-26 May</v>
      </c>
      <c r="Z193" s="219" t="str">
        <f t="shared" si="1"/>
        <v>09-10 Jun</v>
      </c>
      <c r="AA193" s="219" t="str">
        <f t="shared" si="2"/>
        <v>17-18 Jun</v>
      </c>
      <c r="AB193" s="219" t="str">
        <f t="shared" si="3"/>
        <v>05-06 Jun</v>
      </c>
      <c r="AC193" s="219" t="str">
        <f t="shared" si="4"/>
        <v>11-12 Jun</v>
      </c>
      <c r="AD193" s="219" t="str">
        <f t="shared" si="5"/>
        <v>14-15 May</v>
      </c>
      <c r="AE193" s="220" t="str">
        <f t="shared" si="6"/>
        <v>15-16 May</v>
      </c>
      <c r="AF193" s="130" t="str">
        <f t="shared" si="7"/>
        <v>21-22 Jun</v>
      </c>
      <c r="AG193" s="131" t="str">
        <f t="shared" si="26"/>
        <v>25-26 May</v>
      </c>
      <c r="AH193" s="95">
        <f>IFERROR($M193+VLOOKUP($L193,'Voyage days'!$F$38:$H$89,3,FALSE),"")</f>
        <v>46167</v>
      </c>
      <c r="AI193" s="95">
        <f>IFERROR(N193+VLOOKUP($L193,'Voyage days'!$F$38:$H$89,3,FALSE),"")</f>
        <v>46168</v>
      </c>
      <c r="AJ193" s="131" t="str">
        <f t="shared" si="27"/>
        <v>09-10 Jun</v>
      </c>
      <c r="AK193" s="95">
        <f>IFERROR($M193+VLOOKUP($L193,'Voyage days'!$F$94:$H$193,3,FALSE),"")</f>
        <v>46182</v>
      </c>
      <c r="AL193" s="95">
        <f>IFERROR($N193+VLOOKUP($L193,'Voyage days'!$F$94:$H$193,3,FALSE),"")</f>
        <v>46183</v>
      </c>
      <c r="AM193" s="131" t="str">
        <f t="shared" si="28"/>
        <v>17-18 Jun</v>
      </c>
      <c r="AN193" s="95">
        <f>IFERROR($M193+VLOOKUP($L193,'Voyage days'!$F$203:$H$256,3,FALSE),"")</f>
        <v>46190</v>
      </c>
      <c r="AO193" s="95">
        <f>IFERROR($N193+VLOOKUP($L193,'Voyage days'!$F$203:$H$256,3,FALSE),"")</f>
        <v>46191</v>
      </c>
      <c r="AP193" s="131" t="str">
        <f t="shared" si="29"/>
        <v>05-06 Jun</v>
      </c>
      <c r="AQ193" s="95">
        <f>IFERROR($M193+VLOOKUP($L193,'Voyage days'!$F$294:$H$377,3,FALSE),"")</f>
        <v>46178</v>
      </c>
      <c r="AR193" s="95">
        <f>IFERROR($N193+VLOOKUP($L193,'Voyage days'!$F$294:$H$377,3,FALSE),"")</f>
        <v>46179</v>
      </c>
      <c r="AS193" s="131" t="str">
        <f t="shared" si="30"/>
        <v>11-12 Jun</v>
      </c>
      <c r="AT193" s="95">
        <f>IFERROR($M193+VLOOKUP($L193,'Voyage days'!$F$382:$H$446,3,FALSE),"")</f>
        <v>46184</v>
      </c>
      <c r="AU193" s="95">
        <f>IFERROR($N193+VLOOKUP($L193,'Voyage days'!$F$382:$H$446,3,FALSE),"")</f>
        <v>46185</v>
      </c>
      <c r="AV193" s="131" t="str">
        <f t="shared" si="31"/>
        <v>21-22 May</v>
      </c>
      <c r="AW193" s="95">
        <f>IFERROR($M193+VLOOKUP($L193,'Voyage days'!$F$483:$H$538,3,FALSE),"")</f>
        <v>46163</v>
      </c>
      <c r="AX193" s="95">
        <f>IFERROR($N193+VLOOKUP($L193,'Voyage days'!$F$483:$H$538,3,FALSE),"")</f>
        <v>46164</v>
      </c>
      <c r="AY193" s="131" t="str">
        <f t="shared" si="32"/>
        <v>15-16 May</v>
      </c>
      <c r="AZ193" s="95">
        <f>IFERROR($M193+VLOOKUP($L193,'Voyage days'!$F$540:$H$613,3,FALSE),"")</f>
        <v>46157</v>
      </c>
      <c r="BA193" s="95">
        <f>IFERROR($N193+VLOOKUP($L193,'Voyage days'!$F$540:$H$613,3,FALSE),"")</f>
        <v>46158</v>
      </c>
      <c r="BB193" s="131" t="str">
        <f t="shared" si="33"/>
        <v>14-15 May</v>
      </c>
      <c r="BC193" s="94">
        <f>IFERROR($M193+VLOOKUP($L193,'Voyage days'!$F$448:$H$479,3,FALSE),"")</f>
        <v>46156</v>
      </c>
      <c r="BD193" s="94">
        <f>IFERROR($N193+VLOOKUP($L193,'Voyage days'!$F$448:$H$479,3,FALSE),"")</f>
        <v>46157</v>
      </c>
      <c r="BE193" s="131" t="str">
        <f t="shared" si="34"/>
        <v>18-19 May</v>
      </c>
      <c r="BF193" s="95">
        <f>IFERROR($M193+VLOOKUP($L193,'Voyage days'!$F$620:$H$646,3,FALSE),"")</f>
        <v>46160</v>
      </c>
      <c r="BG193" s="95">
        <f>IFERROR($N193+VLOOKUP($L193,'Voyage days'!$F$620:$H$646,3,FALSE),"")</f>
        <v>46161</v>
      </c>
      <c r="BH193" s="131" t="str">
        <f t="shared" si="35"/>
        <v>15-22 Jun</v>
      </c>
      <c r="BI193" s="96">
        <f>IFERROR($M193+VLOOKUP($L193,'Voyage days'!$F$702:$H$727,3,FALSE),"")</f>
        <v>46157</v>
      </c>
      <c r="BJ193" s="131" t="str">
        <f t="shared" si="36"/>
        <v>21-22 Jun</v>
      </c>
      <c r="BK193" s="95">
        <f>IFERROR($M193+VLOOKUP($L193,'Voyage days'!$F$807:$H$878,3,FALSE),"")</f>
        <v>46194</v>
      </c>
      <c r="BL193" s="95">
        <f>IFERROR($N193+VLOOKUP($L193,'Voyage days'!$F$807:$H$878,3,FALSE),"")</f>
        <v>46195</v>
      </c>
      <c r="BM193" s="95">
        <f>IFERROR($N193+VLOOKUP($L193,'Voyage days'!$F$807:$K$878,6,FALSE),"")</f>
        <v>46169</v>
      </c>
      <c r="BN193" s="94" t="str">
        <f>IF(L193="loads AG", IFERROR($M193+VLOOKUP($L193,'Voyage days'!$M$38:$O$38,3,FALSE),""),"")</f>
        <v/>
      </c>
      <c r="BO193" s="94" t="str">
        <f>IF(L193="loads USG", IFERROR($M193+VLOOKUP($L193,'Voyage days'!$L$203:$N$203,3,FALSE),""),"")</f>
        <v/>
      </c>
    </row>
    <row r="194" spans="1:67" x14ac:dyDescent="0.25">
      <c r="A194" s="266" t="s">
        <v>525</v>
      </c>
      <c r="B194" s="75">
        <v>42887</v>
      </c>
      <c r="C194" s="76">
        <v>84000</v>
      </c>
      <c r="D194" s="77"/>
      <c r="E194" s="77" t="s">
        <v>757</v>
      </c>
      <c r="F194" s="78"/>
      <c r="G194" s="78"/>
      <c r="H194" s="78"/>
      <c r="I194" s="233" t="s">
        <v>1184</v>
      </c>
      <c r="J194" s="80" t="str">
        <f t="shared" si="37"/>
        <v/>
      </c>
      <c r="K194" s="81"/>
      <c r="L194" s="82" t="s">
        <v>718</v>
      </c>
      <c r="M194" s="83">
        <v>46169</v>
      </c>
      <c r="N194" s="222">
        <v>46170</v>
      </c>
      <c r="O194" s="84"/>
      <c r="P194" s="82" t="s">
        <v>1187</v>
      </c>
      <c r="Q194" s="82"/>
      <c r="R194" s="82" t="s">
        <v>1188</v>
      </c>
      <c r="S194" s="77" t="s">
        <v>724</v>
      </c>
      <c r="T194" s="86">
        <v>46132</v>
      </c>
      <c r="U194" s="87" t="str">
        <f>IF(V194="","No AIS",VLOOKUP(V194,'Voyage days'!$A$3:$B$1480,2,FALSE))</f>
        <v>USG</v>
      </c>
      <c r="V194" s="88" t="str">
        <f>IF(VLOOKUP(A194,'1) Kpler'!$E$2:$P$1000,8, FALSE)="","",VLOOKUP(A194,'1) Kpler'!$E$2:$P$1000,8, FALSE))</f>
        <v>PADD 3</v>
      </c>
      <c r="W194" s="89">
        <f>IF(VLOOKUP(A194,'1) Kpler'!$E$2:$P$1000,9,FALSE)="","",VLOOKUP(A194,'1) Kpler'!$E$2:$P$1000,9,FALSE))</f>
        <v>46169</v>
      </c>
      <c r="X194" s="88" t="str">
        <f>VLOOKUP(A194,'1) Kpler'!$E$2:$I$1000,4,FALSE)</f>
        <v>ballast</v>
      </c>
      <c r="Y194" s="234" t="str">
        <f t="shared" si="0"/>
        <v/>
      </c>
      <c r="Z194" s="234" t="str">
        <f t="shared" si="1"/>
        <v>27-28 May</v>
      </c>
      <c r="AA194" s="234" t="str">
        <f t="shared" si="2"/>
        <v>27-28 May</v>
      </c>
      <c r="AB194" s="234" t="str">
        <f t="shared" si="3"/>
        <v/>
      </c>
      <c r="AC194" s="234" t="str">
        <f t="shared" si="4"/>
        <v>16-17 Jun</v>
      </c>
      <c r="AD194" s="234" t="str">
        <f t="shared" si="5"/>
        <v/>
      </c>
      <c r="AE194" s="235" t="str">
        <f t="shared" si="6"/>
        <v/>
      </c>
      <c r="AF194" s="92" t="str">
        <f t="shared" si="7"/>
        <v/>
      </c>
      <c r="AG194" s="93" t="str">
        <f t="shared" si="26"/>
        <v/>
      </c>
      <c r="AH194" s="94" t="str">
        <f>IFERROR($M194+VLOOKUP($L194,'Voyage days'!$F$38:$H$89,3,FALSE),"")</f>
        <v/>
      </c>
      <c r="AI194" s="94" t="str">
        <f>IFERROR(N194+VLOOKUP($L194,'Voyage days'!$F$38:$H$89,3,FALSE),"")</f>
        <v/>
      </c>
      <c r="AJ194" s="93" t="str">
        <f t="shared" si="27"/>
        <v>27-28 May</v>
      </c>
      <c r="AK194" s="94">
        <f>IFERROR($M194+VLOOKUP($L194,'Voyage days'!$F$94:$H$193,3,FALSE),"")</f>
        <v>46169</v>
      </c>
      <c r="AL194" s="94">
        <f>IFERROR($N194+VLOOKUP($L194,'Voyage days'!$F$94:$H$193,3,FALSE),"")</f>
        <v>46170</v>
      </c>
      <c r="AM194" s="93" t="str">
        <f t="shared" si="28"/>
        <v>27-28 May</v>
      </c>
      <c r="AN194" s="94">
        <f>IFERROR($M194+VLOOKUP($L194,'Voyage days'!$F$203:$H$256,3,FALSE),"")</f>
        <v>46169</v>
      </c>
      <c r="AO194" s="94">
        <f>IFERROR($N194+VLOOKUP($L194,'Voyage days'!$F$203:$H$256,3,FALSE),"")</f>
        <v>46170</v>
      </c>
      <c r="AP194" s="93" t="str">
        <f t="shared" si="29"/>
        <v/>
      </c>
      <c r="AQ194" s="94" t="str">
        <f>IFERROR($M194+VLOOKUP($L194,'Voyage days'!$F$294:$H$377,3,FALSE),"")</f>
        <v/>
      </c>
      <c r="AR194" s="94" t="str">
        <f>IFERROR($N194+VLOOKUP($L194,'Voyage days'!$F$294:$H$377,3,FALSE),"")</f>
        <v/>
      </c>
      <c r="AS194" s="93" t="str">
        <f t="shared" si="30"/>
        <v>16-17 Jun</v>
      </c>
      <c r="AT194" s="94">
        <f>IFERROR($M194+VLOOKUP($L194,'Voyage days'!$F$382:$H$446,3,FALSE),"")</f>
        <v>46189</v>
      </c>
      <c r="AU194" s="94">
        <f>IFERROR($N194+VLOOKUP($L194,'Voyage days'!$F$382:$H$446,3,FALSE),"")</f>
        <v>46190</v>
      </c>
      <c r="AV194" s="93" t="str">
        <f t="shared" si="31"/>
        <v/>
      </c>
      <c r="AW194" s="94" t="str">
        <f>IFERROR($M194+VLOOKUP($L194,'Voyage days'!$F$483:$H$538,3,FALSE),"")</f>
        <v/>
      </c>
      <c r="AX194" s="94" t="str">
        <f>IFERROR($N194+VLOOKUP($L194,'Voyage days'!$F$483:$H$538,3,FALSE),"")</f>
        <v/>
      </c>
      <c r="AY194" s="93" t="str">
        <f t="shared" si="32"/>
        <v/>
      </c>
      <c r="AZ194" s="94" t="str">
        <f>IFERROR($M194+VLOOKUP($L194,'Voyage days'!$F$540:$H$613,3,FALSE),"")</f>
        <v/>
      </c>
      <c r="BA194" s="94" t="str">
        <f>IFERROR($N194+VLOOKUP($L194,'Voyage days'!$F$540:$H$613,3,FALSE),"")</f>
        <v/>
      </c>
      <c r="BB194" s="93" t="str">
        <f t="shared" si="33"/>
        <v/>
      </c>
      <c r="BC194" s="94" t="str">
        <f>IFERROR($M194+VLOOKUP($L194,'Voyage days'!$F$448:$H$479,3,FALSE),"")</f>
        <v/>
      </c>
      <c r="BD194" s="94" t="str">
        <f>IFERROR($N194+VLOOKUP($L194,'Voyage days'!$F$448:$H$479,3,FALSE),"")</f>
        <v/>
      </c>
      <c r="BE194" s="93" t="str">
        <f t="shared" si="34"/>
        <v/>
      </c>
      <c r="BF194" s="95" t="str">
        <f>IFERROR($M194+VLOOKUP($L194,'Voyage days'!$F$620:$H$646,3,FALSE),"")</f>
        <v/>
      </c>
      <c r="BG194" s="95" t="str">
        <f>IFERROR($N194+VLOOKUP($L194,'Voyage days'!$F$620:$H$646,3,FALSE),"")</f>
        <v/>
      </c>
      <c r="BH194" s="93" t="str">
        <f t="shared" si="35"/>
        <v/>
      </c>
      <c r="BI194" s="96" t="str">
        <f>IFERROR($M194+VLOOKUP($L194,'Voyage days'!$F$702:$H$727,3,FALSE),"")</f>
        <v/>
      </c>
      <c r="BJ194" s="93" t="str">
        <f t="shared" si="36"/>
        <v/>
      </c>
      <c r="BK194" s="95" t="str">
        <f>IFERROR($M194+VLOOKUP($L194,'Voyage days'!$F$807:$H$878,3,FALSE),"")</f>
        <v/>
      </c>
      <c r="BL194" s="95" t="str">
        <f>IFERROR($N194+VLOOKUP($L194,'Voyage days'!$F$807:$H$878,3,FALSE),"")</f>
        <v/>
      </c>
      <c r="BM194" s="95" t="str">
        <f>IFERROR($N194+VLOOKUP($L194,'Voyage days'!$F$807:$K$878,6,FALSE),"")</f>
        <v/>
      </c>
      <c r="BN194" s="94" t="str">
        <f>IF(L194="loads AG", IFERROR($M194+VLOOKUP($L194,'Voyage days'!$M$38:$O$38,3,FALSE),""),"")</f>
        <v/>
      </c>
      <c r="BO194" s="94">
        <f>IF(L194="loads USG", IFERROR($M194+VLOOKUP($L194,'Voyage days'!$L$203:$N$203,3,FALSE),""),"")</f>
        <v>46201</v>
      </c>
    </row>
    <row r="195" spans="1:67" x14ac:dyDescent="0.25">
      <c r="A195" s="74" t="s">
        <v>459</v>
      </c>
      <c r="B195" s="75">
        <v>42853</v>
      </c>
      <c r="C195" s="76">
        <v>83000</v>
      </c>
      <c r="D195" s="77"/>
      <c r="E195" s="77"/>
      <c r="F195" s="78"/>
      <c r="G195" s="78"/>
      <c r="H195" s="78"/>
      <c r="I195" s="233" t="s">
        <v>1184</v>
      </c>
      <c r="J195" s="80" t="str">
        <f t="shared" si="37"/>
        <v/>
      </c>
      <c r="K195" s="81"/>
      <c r="L195" s="82" t="s">
        <v>718</v>
      </c>
      <c r="M195" s="125">
        <v>46148</v>
      </c>
      <c r="N195" s="125">
        <v>46149</v>
      </c>
      <c r="O195" s="84"/>
      <c r="P195" s="82" t="s">
        <v>1189</v>
      </c>
      <c r="Q195" s="85"/>
      <c r="R195" s="82" t="s">
        <v>1190</v>
      </c>
      <c r="S195" s="77" t="s">
        <v>724</v>
      </c>
      <c r="T195" s="86">
        <v>46132</v>
      </c>
      <c r="U195" s="87" t="str">
        <f>IF(V195="","No AIS",VLOOKUP(V195,'Voyage days'!$A$3:$B$1480,2,FALSE))</f>
        <v>USG</v>
      </c>
      <c r="V195" s="88" t="str">
        <f>IF(VLOOKUP(A195,'1) Kpler'!$E$2:$P$1000,8, FALSE)="","",VLOOKUP(A195,'1) Kpler'!$E$2:$P$1000,8, FALSE))</f>
        <v>Energy Transfer Nederland</v>
      </c>
      <c r="W195" s="89">
        <f>IF(VLOOKUP(A195,'1) Kpler'!$E$2:$P$1000,9,FALSE)="","",VLOOKUP(A195,'1) Kpler'!$E$2:$P$1000,9,FALSE))</f>
        <v>46145.625</v>
      </c>
      <c r="X195" s="88" t="str">
        <f>VLOOKUP(A195,'1) Kpler'!$E$2:$I$1000,4,FALSE)</f>
        <v>open</v>
      </c>
      <c r="Y195" s="90" t="str">
        <f t="shared" si="0"/>
        <v/>
      </c>
      <c r="Z195" s="90" t="str">
        <f t="shared" si="1"/>
        <v>06-07 May</v>
      </c>
      <c r="AA195" s="90" t="str">
        <f t="shared" si="2"/>
        <v>06-07 May</v>
      </c>
      <c r="AB195" s="90" t="str">
        <f t="shared" si="3"/>
        <v/>
      </c>
      <c r="AC195" s="90" t="str">
        <f t="shared" si="4"/>
        <v>26-27 May</v>
      </c>
      <c r="AD195" s="90" t="str">
        <f t="shared" si="5"/>
        <v/>
      </c>
      <c r="AE195" s="91" t="str">
        <f t="shared" si="6"/>
        <v/>
      </c>
      <c r="AF195" s="92" t="str">
        <f t="shared" si="7"/>
        <v/>
      </c>
      <c r="AG195" s="93" t="str">
        <f t="shared" si="26"/>
        <v/>
      </c>
      <c r="AH195" s="94" t="str">
        <f>IFERROR($M195+VLOOKUP($L195,'Voyage days'!$F$38:$H$89,3,FALSE),"")</f>
        <v/>
      </c>
      <c r="AI195" s="94" t="str">
        <f>IFERROR(N195+VLOOKUP($L195,'Voyage days'!$F$38:$H$89,3,FALSE),"")</f>
        <v/>
      </c>
      <c r="AJ195" s="93" t="str">
        <f t="shared" si="27"/>
        <v>06-07 May</v>
      </c>
      <c r="AK195" s="94">
        <f>IFERROR($M195+VLOOKUP($L195,'Voyage days'!$F$94:$H$193,3,FALSE),"")</f>
        <v>46148</v>
      </c>
      <c r="AL195" s="94">
        <f>IFERROR($N195+VLOOKUP($L195,'Voyage days'!$F$94:$H$193,3,FALSE),"")</f>
        <v>46149</v>
      </c>
      <c r="AM195" s="93" t="str">
        <f t="shared" si="28"/>
        <v>06-07 May</v>
      </c>
      <c r="AN195" s="94">
        <f>IFERROR($M195+VLOOKUP($L195,'Voyage days'!$F$203:$H$256,3,FALSE),"")</f>
        <v>46148</v>
      </c>
      <c r="AO195" s="94">
        <f>IFERROR($N195+VLOOKUP($L195,'Voyage days'!$F$203:$H$256,3,FALSE),"")</f>
        <v>46149</v>
      </c>
      <c r="AP195" s="93" t="str">
        <f t="shared" si="29"/>
        <v/>
      </c>
      <c r="AQ195" s="94" t="str">
        <f>IFERROR($M195+VLOOKUP($L195,'Voyage days'!$F$294:$H$377,3,FALSE),"")</f>
        <v/>
      </c>
      <c r="AR195" s="94" t="str">
        <f>IFERROR($N195+VLOOKUP($L195,'Voyage days'!$F$294:$H$377,3,FALSE),"")</f>
        <v/>
      </c>
      <c r="AS195" s="93" t="str">
        <f t="shared" si="30"/>
        <v>26-27 May</v>
      </c>
      <c r="AT195" s="94">
        <f>IFERROR($M195+VLOOKUP($L195,'Voyage days'!$F$382:$H$446,3,FALSE),"")</f>
        <v>46168</v>
      </c>
      <c r="AU195" s="94">
        <f>IFERROR($N195+VLOOKUP($L195,'Voyage days'!$F$382:$H$446,3,FALSE),"")</f>
        <v>46169</v>
      </c>
      <c r="AV195" s="93" t="str">
        <f t="shared" si="31"/>
        <v/>
      </c>
      <c r="AW195" s="94" t="str">
        <f>IFERROR($M195+VLOOKUP($L195,'Voyage days'!$F$483:$H$538,3,FALSE),"")</f>
        <v/>
      </c>
      <c r="AX195" s="94" t="str">
        <f>IFERROR($N195+VLOOKUP($L195,'Voyage days'!$F$483:$H$538,3,FALSE),"")</f>
        <v/>
      </c>
      <c r="AY195" s="93" t="str">
        <f t="shared" si="32"/>
        <v/>
      </c>
      <c r="AZ195" s="94" t="str">
        <f>IFERROR($M195+VLOOKUP($L195,'Voyage days'!$F$540:$H$613,3,FALSE),"")</f>
        <v/>
      </c>
      <c r="BA195" s="94" t="str">
        <f>IFERROR($N195+VLOOKUP($L195,'Voyage days'!$F$540:$H$613,3,FALSE),"")</f>
        <v/>
      </c>
      <c r="BB195" s="93" t="str">
        <f t="shared" si="33"/>
        <v/>
      </c>
      <c r="BC195" s="94" t="str">
        <f>IFERROR($M195+VLOOKUP($L195,'Voyage days'!$F$448:$H$479,3,FALSE),"")</f>
        <v/>
      </c>
      <c r="BD195" s="94" t="str">
        <f>IFERROR($N195+VLOOKUP($L195,'Voyage days'!$F$448:$H$479,3,FALSE),"")</f>
        <v/>
      </c>
      <c r="BE195" s="93" t="str">
        <f t="shared" si="34"/>
        <v/>
      </c>
      <c r="BF195" s="95" t="str">
        <f>IFERROR($M195+VLOOKUP($L195,'Voyage days'!$F$620:$H$646,3,FALSE),"")</f>
        <v/>
      </c>
      <c r="BG195" s="95" t="str">
        <f>IFERROR($N195+VLOOKUP($L195,'Voyage days'!$F$620:$H$646,3,FALSE),"")</f>
        <v/>
      </c>
      <c r="BH195" s="93" t="str">
        <f t="shared" si="35"/>
        <v/>
      </c>
      <c r="BI195" s="96" t="str">
        <f>IFERROR($M195+VLOOKUP($L195,'Voyage days'!$F$702:$H$727,3,FALSE),"")</f>
        <v/>
      </c>
      <c r="BJ195" s="93" t="str">
        <f t="shared" si="36"/>
        <v/>
      </c>
      <c r="BK195" s="95" t="str">
        <f>IFERROR($M195+VLOOKUP($L195,'Voyage days'!$F$807:$H$878,3,FALSE),"")</f>
        <v/>
      </c>
      <c r="BL195" s="95" t="str">
        <f>IFERROR($N195+VLOOKUP($L195,'Voyage days'!$F$807:$H$878,3,FALSE),"")</f>
        <v/>
      </c>
      <c r="BM195" s="95" t="str">
        <f>IFERROR($N195+VLOOKUP($L195,'Voyage days'!$F$807:$K$878,6,FALSE),"")</f>
        <v/>
      </c>
      <c r="BN195" s="94" t="str">
        <f>IF(L195="loads AG", IFERROR($M195+VLOOKUP($L195,'Voyage days'!$M$38:$O$38,3,FALSE),""),"")</f>
        <v/>
      </c>
      <c r="BO195" s="94">
        <f>IF(L195="loads USG", IFERROR($M195+VLOOKUP($L195,'Voyage days'!$L$203:$N$203,3,FALSE),""),"")</f>
        <v>46180</v>
      </c>
    </row>
    <row r="196" spans="1:67" ht="15.75" customHeight="1" x14ac:dyDescent="0.25">
      <c r="A196" s="425" t="s">
        <v>506</v>
      </c>
      <c r="B196" s="176">
        <v>42249</v>
      </c>
      <c r="C196" s="134">
        <v>84000</v>
      </c>
      <c r="D196" s="143"/>
      <c r="E196" s="143"/>
      <c r="F196" s="136"/>
      <c r="G196" s="136"/>
      <c r="H196" s="136"/>
      <c r="I196" s="177" t="s">
        <v>1184</v>
      </c>
      <c r="J196" s="138" t="str">
        <f t="shared" si="37"/>
        <v/>
      </c>
      <c r="K196" s="139"/>
      <c r="L196" s="140" t="s">
        <v>901</v>
      </c>
      <c r="M196" s="205">
        <v>46144</v>
      </c>
      <c r="N196" s="141">
        <v>46145</v>
      </c>
      <c r="O196" s="142"/>
      <c r="P196" s="140" t="s">
        <v>1191</v>
      </c>
      <c r="Q196" s="140"/>
      <c r="R196" s="140" t="s">
        <v>1192</v>
      </c>
      <c r="S196" s="143" t="s">
        <v>724</v>
      </c>
      <c r="T196" s="289">
        <v>46132</v>
      </c>
      <c r="U196" s="145" t="str">
        <f>IF(V196="","No AIS",VLOOKUP(V196,'Voyage days'!$A$3:$B$1480,2,FALSE))</f>
        <v>North China +4</v>
      </c>
      <c r="V196" s="146" t="str">
        <f>IF(VLOOKUP(A196,'1) Kpler'!$E$2:$P$1000,8, FALSE)="","",VLOOKUP(A196,'1) Kpler'!$E$2:$P$1000,8, FALSE))</f>
        <v>Wanhua Yantai NGL Terminal</v>
      </c>
      <c r="W196" s="147">
        <f>IF(VLOOKUP(A196,'1) Kpler'!$E$2:$P$1000,9,FALSE)="","",VLOOKUP(A196,'1) Kpler'!$E$2:$P$1000,9,FALSE))</f>
        <v>46141.791666666664</v>
      </c>
      <c r="X196" s="146" t="str">
        <f>VLOOKUP(A196,'1) Kpler'!$E$2:$I$1000,4,FALSE)</f>
        <v>loaded</v>
      </c>
      <c r="Y196" s="148" t="str">
        <f t="shared" si="0"/>
        <v>20-21 May</v>
      </c>
      <c r="Z196" s="148" t="str">
        <f t="shared" si="1"/>
        <v>03-04 Jun</v>
      </c>
      <c r="AA196" s="148" t="str">
        <f t="shared" si="2"/>
        <v>13-14 Jun</v>
      </c>
      <c r="AB196" s="148" t="str">
        <f t="shared" si="3"/>
        <v>31-01 Jun</v>
      </c>
      <c r="AC196" s="148" t="str">
        <f t="shared" si="4"/>
        <v>06-07 Jun</v>
      </c>
      <c r="AD196" s="148" t="str">
        <f t="shared" si="5"/>
        <v>10-11 May</v>
      </c>
      <c r="AE196" s="149" t="str">
        <f t="shared" si="6"/>
        <v>11-12 May</v>
      </c>
      <c r="AF196" s="150" t="str">
        <f t="shared" si="7"/>
        <v>17-18 Jun</v>
      </c>
      <c r="AG196" s="93" t="str">
        <f t="shared" si="26"/>
        <v>20-21 May</v>
      </c>
      <c r="AH196" s="94">
        <f>IFERROR($M196+VLOOKUP($L196,'Voyage days'!$F$38:$H$89,3,FALSE),"")</f>
        <v>46162</v>
      </c>
      <c r="AI196" s="94">
        <f>IFERROR(N196+VLOOKUP($L196,'Voyage days'!$F$38:$H$89,3,FALSE),"")</f>
        <v>46163</v>
      </c>
      <c r="AJ196" s="93" t="str">
        <f t="shared" si="27"/>
        <v>03-04 Jun</v>
      </c>
      <c r="AK196" s="94">
        <f>IFERROR($M196+VLOOKUP($L196,'Voyage days'!$F$94:$H$193,3,FALSE),"")</f>
        <v>46176</v>
      </c>
      <c r="AL196" s="94">
        <f>IFERROR($N196+VLOOKUP($L196,'Voyage days'!$F$94:$H$193,3,FALSE),"")</f>
        <v>46177</v>
      </c>
      <c r="AM196" s="93" t="str">
        <f t="shared" si="28"/>
        <v>13-14 Jun</v>
      </c>
      <c r="AN196" s="94">
        <f>IFERROR($M196+VLOOKUP($L196,'Voyage days'!$F$203:$H$256,3,FALSE),"")</f>
        <v>46186</v>
      </c>
      <c r="AO196" s="94">
        <f>IFERROR($N196+VLOOKUP($L196,'Voyage days'!$F$203:$H$256,3,FALSE),"")</f>
        <v>46187</v>
      </c>
      <c r="AP196" s="93" t="str">
        <f t="shared" si="29"/>
        <v>31-01 Jun</v>
      </c>
      <c r="AQ196" s="94">
        <f>IFERROR($M196+VLOOKUP($L196,'Voyage days'!$F$294:$H$377,3,FALSE),"")</f>
        <v>46173</v>
      </c>
      <c r="AR196" s="94">
        <f>IFERROR($N196+VLOOKUP($L196,'Voyage days'!$F$294:$H$377,3,FALSE),"")</f>
        <v>46174</v>
      </c>
      <c r="AS196" s="93" t="str">
        <f t="shared" si="30"/>
        <v>06-07 Jun</v>
      </c>
      <c r="AT196" s="94">
        <f>IFERROR($M196+VLOOKUP($L196,'Voyage days'!$F$382:$H$446,3,FALSE),"")</f>
        <v>46179</v>
      </c>
      <c r="AU196" s="94">
        <f>IFERROR($N196+VLOOKUP($L196,'Voyage days'!$F$382:$H$446,3,FALSE),"")</f>
        <v>46180</v>
      </c>
      <c r="AV196" s="93" t="str">
        <f t="shared" si="31"/>
        <v>17-18 May</v>
      </c>
      <c r="AW196" s="94">
        <f>IFERROR($M196+VLOOKUP($L196,'Voyage days'!$F$483:$H$538,3,FALSE),"")</f>
        <v>46159</v>
      </c>
      <c r="AX196" s="94">
        <f>IFERROR($N196+VLOOKUP($L196,'Voyage days'!$F$483:$H$538,3,FALSE),"")</f>
        <v>46160</v>
      </c>
      <c r="AY196" s="93" t="str">
        <f t="shared" si="32"/>
        <v>11-12 May</v>
      </c>
      <c r="AZ196" s="94">
        <f>IFERROR($M196+VLOOKUP($L196,'Voyage days'!$F$540:$H$613,3,FALSE),"")</f>
        <v>46153</v>
      </c>
      <c r="BA196" s="94">
        <f>IFERROR($N196+VLOOKUP($L196,'Voyage days'!$F$540:$H$613,3,FALSE),"")</f>
        <v>46154</v>
      </c>
      <c r="BB196" s="93" t="str">
        <f t="shared" si="33"/>
        <v>10-11 May</v>
      </c>
      <c r="BC196" s="94">
        <f>IFERROR($M196+VLOOKUP($L196,'Voyage days'!$F$448:$H$479,3,FALSE),"")</f>
        <v>46152</v>
      </c>
      <c r="BD196" s="94">
        <f>IFERROR($N196+VLOOKUP($L196,'Voyage days'!$F$448:$H$479,3,FALSE),"")</f>
        <v>46153</v>
      </c>
      <c r="BE196" s="93" t="str">
        <f t="shared" si="34"/>
        <v>15-16 May</v>
      </c>
      <c r="BF196" s="95">
        <f>IFERROR($M196+VLOOKUP($L196,'Voyage days'!$F$620:$H$646,3,FALSE),"")</f>
        <v>46157</v>
      </c>
      <c r="BG196" s="95">
        <f>IFERROR($N196+VLOOKUP($L196,'Voyage days'!$F$620:$H$646,3,FALSE),"")</f>
        <v>46158</v>
      </c>
      <c r="BH196" s="93" t="str">
        <f t="shared" si="35"/>
        <v>11-18 Jun</v>
      </c>
      <c r="BI196" s="96">
        <f>IFERROR($M196+VLOOKUP($L196,'Voyage days'!$F$702:$H$727,3,FALSE),"")</f>
        <v>46153</v>
      </c>
      <c r="BJ196" s="93" t="str">
        <f t="shared" si="36"/>
        <v>17-18 Jun</v>
      </c>
      <c r="BK196" s="95">
        <f>IFERROR($M196+VLOOKUP($L196,'Voyage days'!$F$807:$H$878,3,FALSE),"")</f>
        <v>46190</v>
      </c>
      <c r="BL196" s="95">
        <f>IFERROR($N196+VLOOKUP($L196,'Voyage days'!$F$807:$H$878,3,FALSE),"")</f>
        <v>46191</v>
      </c>
      <c r="BM196" s="95">
        <f>IFERROR($N196+VLOOKUP($L196,'Voyage days'!$F$807:$K$878,6,FALSE),"")</f>
        <v>46165</v>
      </c>
      <c r="BN196" s="94" t="str">
        <f>IF(L196="loads AG", IFERROR($M196+VLOOKUP($L196,'Voyage days'!$M$38:$O$38,3,FALSE),""),"")</f>
        <v/>
      </c>
      <c r="BO196" s="94" t="str">
        <f>IF(L196="loads USG", IFERROR($M196+VLOOKUP($L196,'Voyage days'!$L$203:$N$203,3,FALSE),""),"")</f>
        <v/>
      </c>
    </row>
    <row r="197" spans="1:67" ht="15.75" customHeight="1" x14ac:dyDescent="0.25">
      <c r="A197" s="218" t="s">
        <v>251</v>
      </c>
      <c r="B197" s="75">
        <v>39888</v>
      </c>
      <c r="C197" s="76">
        <v>82000</v>
      </c>
      <c r="D197" s="77" t="s">
        <v>651</v>
      </c>
      <c r="E197" s="120"/>
      <c r="F197" s="121"/>
      <c r="G197" s="121"/>
      <c r="H197" s="121" t="s">
        <v>739</v>
      </c>
      <c r="I197" s="249" t="s">
        <v>1193</v>
      </c>
      <c r="J197" s="455" t="str">
        <f t="shared" si="37"/>
        <v/>
      </c>
      <c r="K197" s="437" t="s">
        <v>817</v>
      </c>
      <c r="L197" s="124" t="s">
        <v>718</v>
      </c>
      <c r="M197" s="456">
        <v>46142</v>
      </c>
      <c r="N197" s="83">
        <v>46143</v>
      </c>
      <c r="O197" s="320"/>
      <c r="P197" s="100" t="s">
        <v>1194</v>
      </c>
      <c r="Q197" s="100"/>
      <c r="R197" s="100" t="s">
        <v>1195</v>
      </c>
      <c r="S197" s="120" t="s">
        <v>724</v>
      </c>
      <c r="T197" s="232">
        <v>46132</v>
      </c>
      <c r="U197" s="87" t="str">
        <f>IF(V197="","No AIS",VLOOKUP(V197,'Voyage days'!$A$3:$B$1480,2,FALSE))</f>
        <v>USG</v>
      </c>
      <c r="V197" s="87" t="str">
        <f>IF(VLOOKUP(A197,'1) Kpler'!$E$2:$P$1000,8, FALSE)="","",VLOOKUP(A197,'1) Kpler'!$E$2:$P$1000,8, FALSE))</f>
        <v>Freeport Texas</v>
      </c>
      <c r="W197" s="128">
        <f>IF(VLOOKUP(A197,'1) Kpler'!$E$2:$P$1000,9,FALSE)="","",VLOOKUP(A197,'1) Kpler'!$E$2:$P$1000,9,FALSE))</f>
        <v>46141.958333333336</v>
      </c>
      <c r="X197" s="87" t="str">
        <f>VLOOKUP(A197,'1) Kpler'!$E$2:$I$1000,4,FALSE)</f>
        <v>ballast</v>
      </c>
      <c r="Y197" s="219" t="str">
        <f t="shared" si="0"/>
        <v/>
      </c>
      <c r="Z197" s="219" t="str">
        <f t="shared" si="1"/>
        <v>30-01 May</v>
      </c>
      <c r="AA197" s="219" t="str">
        <f t="shared" si="2"/>
        <v>30-01 May</v>
      </c>
      <c r="AB197" s="219" t="str">
        <f t="shared" si="3"/>
        <v/>
      </c>
      <c r="AC197" s="219" t="str">
        <f t="shared" si="4"/>
        <v>20-21 May</v>
      </c>
      <c r="AD197" s="219" t="str">
        <f t="shared" si="5"/>
        <v/>
      </c>
      <c r="AE197" s="220" t="str">
        <f t="shared" si="6"/>
        <v/>
      </c>
      <c r="AF197" s="130" t="str">
        <f t="shared" si="7"/>
        <v/>
      </c>
      <c r="AG197" s="131" t="str">
        <f t="shared" si="26"/>
        <v/>
      </c>
      <c r="AH197" s="95" t="str">
        <f>IFERROR($M197+VLOOKUP($L197,'Voyage days'!$F$38:$H$89,3,FALSE),"")</f>
        <v/>
      </c>
      <c r="AI197" s="95" t="str">
        <f>IFERROR(N197+VLOOKUP($L197,'Voyage days'!$F$38:$H$89,3,FALSE),"")</f>
        <v/>
      </c>
      <c r="AJ197" s="131" t="str">
        <f t="shared" si="27"/>
        <v>30-01 May</v>
      </c>
      <c r="AK197" s="95">
        <f>IFERROR($M197+VLOOKUP($L197,'Voyage days'!$F$94:$H$193,3,FALSE),"")</f>
        <v>46142</v>
      </c>
      <c r="AL197" s="95">
        <f>IFERROR($N197+VLOOKUP($L197,'Voyage days'!$F$94:$H$193,3,FALSE),"")</f>
        <v>46143</v>
      </c>
      <c r="AM197" s="131" t="str">
        <f t="shared" si="28"/>
        <v>30-01 May</v>
      </c>
      <c r="AN197" s="95">
        <f>IFERROR($M197+VLOOKUP($L197,'Voyage days'!$F$203:$H$256,3,FALSE),"")</f>
        <v>46142</v>
      </c>
      <c r="AO197" s="95">
        <f>IFERROR($N197+VLOOKUP($L197,'Voyage days'!$F$203:$H$256,3,FALSE),"")</f>
        <v>46143</v>
      </c>
      <c r="AP197" s="131" t="str">
        <f t="shared" si="29"/>
        <v/>
      </c>
      <c r="AQ197" s="95" t="str">
        <f>IFERROR($M197+VLOOKUP($L197,'Voyage days'!$F$294:$H$377,3,FALSE),"")</f>
        <v/>
      </c>
      <c r="AR197" s="95" t="str">
        <f>IFERROR($N197+VLOOKUP($L197,'Voyage days'!$F$294:$H$377,3,FALSE),"")</f>
        <v/>
      </c>
      <c r="AS197" s="131" t="str">
        <f t="shared" si="30"/>
        <v>20-21 May</v>
      </c>
      <c r="AT197" s="95">
        <f>IFERROR($M197+VLOOKUP($L197,'Voyage days'!$F$382:$H$446,3,FALSE),"")</f>
        <v>46162</v>
      </c>
      <c r="AU197" s="95">
        <f>IFERROR($N197+VLOOKUP($L197,'Voyage days'!$F$382:$H$446,3,FALSE),"")</f>
        <v>46163</v>
      </c>
      <c r="AV197" s="131" t="str">
        <f t="shared" si="31"/>
        <v/>
      </c>
      <c r="AW197" s="95" t="str">
        <f>IFERROR($M197+VLOOKUP($L197,'Voyage days'!$F$483:$H$538,3,FALSE),"")</f>
        <v/>
      </c>
      <c r="AX197" s="95" t="str">
        <f>IFERROR($N197+VLOOKUP($L197,'Voyage days'!$F$483:$H$538,3,FALSE),"")</f>
        <v/>
      </c>
      <c r="AY197" s="131" t="str">
        <f t="shared" si="32"/>
        <v/>
      </c>
      <c r="AZ197" s="95" t="str">
        <f>IFERROR($M197+VLOOKUP($L197,'Voyage days'!$F$540:$H$613,3,FALSE),"")</f>
        <v/>
      </c>
      <c r="BA197" s="95" t="str">
        <f>IFERROR($N197+VLOOKUP($L197,'Voyage days'!$F$540:$H$613,3,FALSE),"")</f>
        <v/>
      </c>
      <c r="BB197" s="131" t="str">
        <f t="shared" si="33"/>
        <v/>
      </c>
      <c r="BC197" s="94" t="str">
        <f>IFERROR($M197+VLOOKUP($L197,'Voyage days'!$F$448:$H$479,3,FALSE),"")</f>
        <v/>
      </c>
      <c r="BD197" s="94" t="str">
        <f>IFERROR($N197+VLOOKUP($L197,'Voyage days'!$F$448:$H$479,3,FALSE),"")</f>
        <v/>
      </c>
      <c r="BE197" s="131" t="str">
        <f t="shared" si="34"/>
        <v/>
      </c>
      <c r="BF197" s="95" t="str">
        <f>IFERROR($M197+VLOOKUP($L197,'Voyage days'!$F$620:$H$646,3,FALSE),"")</f>
        <v/>
      </c>
      <c r="BG197" s="95" t="str">
        <f>IFERROR($N197+VLOOKUP($L197,'Voyage days'!$F$620:$H$646,3,FALSE),"")</f>
        <v/>
      </c>
      <c r="BH197" s="131" t="str">
        <f t="shared" si="35"/>
        <v/>
      </c>
      <c r="BI197" s="96" t="str">
        <f>IFERROR($M197+VLOOKUP($L197,'Voyage days'!$F$702:$H$727,3,FALSE),"")</f>
        <v/>
      </c>
      <c r="BJ197" s="131" t="str">
        <f t="shared" si="36"/>
        <v/>
      </c>
      <c r="BK197" s="95" t="str">
        <f>IFERROR($M197+VLOOKUP($L197,'Voyage days'!$F$807:$H$878,3,FALSE),"")</f>
        <v/>
      </c>
      <c r="BL197" s="95" t="str">
        <f>IFERROR($N197+VLOOKUP($L197,'Voyage days'!$F$807:$H$878,3,FALSE),"")</f>
        <v/>
      </c>
      <c r="BM197" s="95" t="str">
        <f>IFERROR($N197+VLOOKUP($L197,'Voyage days'!$F$807:$K$878,6,FALSE),"")</f>
        <v/>
      </c>
      <c r="BN197" s="94" t="str">
        <f>IF(L197="loads AG", IFERROR($M197+VLOOKUP($L197,'Voyage days'!$M$38:$O$38,3,FALSE),""),"")</f>
        <v/>
      </c>
      <c r="BO197" s="94">
        <f>IF(L197="loads USG", IFERROR($M197+VLOOKUP($L197,'Voyage days'!$L$203:$N$203,3,FALSE),""),"")</f>
        <v>46174</v>
      </c>
    </row>
    <row r="198" spans="1:67" ht="15.75" customHeight="1" x14ac:dyDescent="0.25">
      <c r="A198" s="369" t="s">
        <v>632</v>
      </c>
      <c r="B198" s="176">
        <v>39845</v>
      </c>
      <c r="C198" s="134">
        <v>82000</v>
      </c>
      <c r="D198" s="143"/>
      <c r="E198" s="143"/>
      <c r="F198" s="136"/>
      <c r="G198" s="136"/>
      <c r="H198" s="136"/>
      <c r="I198" s="177" t="s">
        <v>1193</v>
      </c>
      <c r="J198" s="138" t="str">
        <f t="shared" si="37"/>
        <v/>
      </c>
      <c r="K198" s="254"/>
      <c r="L198" s="140" t="s">
        <v>1196</v>
      </c>
      <c r="M198" s="141">
        <v>46134</v>
      </c>
      <c r="N198" s="457">
        <v>46135</v>
      </c>
      <c r="O198" s="255" t="s">
        <v>807</v>
      </c>
      <c r="P198" s="177" t="s">
        <v>1197</v>
      </c>
      <c r="Q198" s="247"/>
      <c r="R198" s="247" t="s">
        <v>1198</v>
      </c>
      <c r="S198" s="143" t="s">
        <v>724</v>
      </c>
      <c r="T198" s="144">
        <v>46132</v>
      </c>
      <c r="U198" s="145" t="str">
        <f>IF(V198="","No AIS",VLOOKUP(V198,'Voyage days'!$A$3:$B$1480,2,FALSE))</f>
        <v>Malaysia (bunkers)</v>
      </c>
      <c r="V198" s="146" t="str">
        <f>IF(VLOOKUP(A198,'1) Kpler'!$E$2:$P$1000,8, FALSE)="","",VLOOKUP(A198,'1) Kpler'!$E$2:$P$1000,8, FALSE))</f>
        <v>Westport</v>
      </c>
      <c r="W198" s="147">
        <f>IF(VLOOKUP(A198,'1) Kpler'!$E$2:$P$1000,9,FALSE)="","",VLOOKUP(A198,'1) Kpler'!$E$2:$P$1000,9,FALSE))</f>
        <v>46133.5</v>
      </c>
      <c r="X198" s="146" t="str">
        <f>VLOOKUP(A198,'1) Kpler'!$E$2:$I$1000,4,FALSE)</f>
        <v>loaded</v>
      </c>
      <c r="Y198" s="148" t="str">
        <f t="shared" si="0"/>
        <v>07-08 May</v>
      </c>
      <c r="Z198" s="148" t="str">
        <f t="shared" si="1"/>
        <v>30-31 May</v>
      </c>
      <c r="AA198" s="148" t="str">
        <f t="shared" si="2"/>
        <v>31-01 Jun</v>
      </c>
      <c r="AB198" s="148" t="str">
        <f t="shared" si="3"/>
        <v>17-18 May</v>
      </c>
      <c r="AC198" s="148" t="str">
        <f t="shared" si="4"/>
        <v>25-26 May</v>
      </c>
      <c r="AD198" s="148" t="str">
        <f t="shared" si="5"/>
        <v>27-28 Apr</v>
      </c>
      <c r="AE198" s="149" t="str">
        <f t="shared" si="6"/>
        <v>02-03 May</v>
      </c>
      <c r="AF198" s="150" t="str">
        <f t="shared" si="7"/>
        <v>04-05 Jun</v>
      </c>
      <c r="AG198" s="93" t="str">
        <f t="shared" si="26"/>
        <v>07-08 May</v>
      </c>
      <c r="AH198" s="94">
        <f>IFERROR($M198+VLOOKUP($L198,'Voyage days'!$F$38:$H$89,3,FALSE),"")</f>
        <v>46149</v>
      </c>
      <c r="AI198" s="94">
        <f>IFERROR(N198+VLOOKUP($L198,'Voyage days'!$F$38:$H$89,3,FALSE),"")</f>
        <v>46150</v>
      </c>
      <c r="AJ198" s="93" t="str">
        <f t="shared" si="27"/>
        <v>30-31 May</v>
      </c>
      <c r="AK198" s="94">
        <f>IFERROR($M198+VLOOKUP($L198,'Voyage days'!$F$94:$H$193,3,FALSE),"")</f>
        <v>46172</v>
      </c>
      <c r="AL198" s="94">
        <f>IFERROR($N198+VLOOKUP($L198,'Voyage days'!$F$94:$H$193,3,FALSE),"")</f>
        <v>46173</v>
      </c>
      <c r="AM198" s="93" t="str">
        <f t="shared" si="28"/>
        <v>31-01 Jun</v>
      </c>
      <c r="AN198" s="94">
        <f>IFERROR($M198+VLOOKUP($L198,'Voyage days'!$F$203:$H$256,3,FALSE),"")</f>
        <v>46173</v>
      </c>
      <c r="AO198" s="94">
        <f>IFERROR($N198+VLOOKUP($L198,'Voyage days'!$F$203:$H$256,3,FALSE),"")</f>
        <v>46174</v>
      </c>
      <c r="AP198" s="93" t="str">
        <f t="shared" si="29"/>
        <v>17-18 May</v>
      </c>
      <c r="AQ198" s="94">
        <f>IFERROR($M198+VLOOKUP($L198,'Voyage days'!$F$294:$H$377,3,FALSE),"")</f>
        <v>46159</v>
      </c>
      <c r="AR198" s="94">
        <f>IFERROR($N198+VLOOKUP($L198,'Voyage days'!$F$294:$H$377,3,FALSE),"")</f>
        <v>46160</v>
      </c>
      <c r="AS198" s="93" t="str">
        <f t="shared" si="30"/>
        <v>25-26 May</v>
      </c>
      <c r="AT198" s="94">
        <f>IFERROR($M198+VLOOKUP($L198,'Voyage days'!$F$382:$H$446,3,FALSE),"")</f>
        <v>46167</v>
      </c>
      <c r="AU198" s="94">
        <f>IFERROR($N198+VLOOKUP($L198,'Voyage days'!$F$382:$H$446,3,FALSE),"")</f>
        <v>46168</v>
      </c>
      <c r="AV198" s="93" t="str">
        <f t="shared" si="31"/>
        <v>08-09 May</v>
      </c>
      <c r="AW198" s="94">
        <f>IFERROR($M198+VLOOKUP($L198,'Voyage days'!$F$483:$H$538,3,FALSE),"")</f>
        <v>46150</v>
      </c>
      <c r="AX198" s="94">
        <f>IFERROR($N198+VLOOKUP($L198,'Voyage days'!$F$483:$H$538,3,FALSE),"")</f>
        <v>46151</v>
      </c>
      <c r="AY198" s="93" t="str">
        <f t="shared" si="32"/>
        <v>02-03 May</v>
      </c>
      <c r="AZ198" s="94">
        <f>IFERROR($M198+VLOOKUP($L198,'Voyage days'!$F$540:$H$613,3,FALSE),"")</f>
        <v>46144</v>
      </c>
      <c r="BA198" s="94">
        <f>IFERROR($N198+VLOOKUP($L198,'Voyage days'!$F$540:$H$613,3,FALSE),"")</f>
        <v>46145</v>
      </c>
      <c r="BB198" s="93" t="str">
        <f t="shared" si="33"/>
        <v>27-28 Apr</v>
      </c>
      <c r="BC198" s="94">
        <f>IFERROR($M198+VLOOKUP($L198,'Voyage days'!$F$448:$H$479,3,FALSE),"")</f>
        <v>46139</v>
      </c>
      <c r="BD198" s="94">
        <f>IFERROR($N198+VLOOKUP($L198,'Voyage days'!$F$448:$H$479,3,FALSE),"")</f>
        <v>46140</v>
      </c>
      <c r="BE198" s="93" t="str">
        <f t="shared" si="34"/>
        <v/>
      </c>
      <c r="BF198" s="95" t="str">
        <f>IFERROR($M198+VLOOKUP($L198,'Voyage days'!$F$620:$H$646,3,FALSE),"")</f>
        <v/>
      </c>
      <c r="BG198" s="95" t="str">
        <f>IFERROR($N198+VLOOKUP($L198,'Voyage days'!$F$620:$H$646,3,FALSE),"")</f>
        <v/>
      </c>
      <c r="BH198" s="93" t="str">
        <f t="shared" si="35"/>
        <v>07-05 Jun</v>
      </c>
      <c r="BI198" s="96">
        <f>IFERROR($M198+VLOOKUP($L198,'Voyage days'!$F$702:$H$727,3,FALSE),"")</f>
        <v>46149</v>
      </c>
      <c r="BJ198" s="93" t="str">
        <f t="shared" si="36"/>
        <v>04-05 Jun</v>
      </c>
      <c r="BK198" s="95">
        <f>IFERROR($M198+VLOOKUP($L198,'Voyage days'!$F$807:$H$878,3,FALSE),"")</f>
        <v>46177</v>
      </c>
      <c r="BL198" s="95">
        <f>IFERROR($N198+VLOOKUP($L198,'Voyage days'!$F$807:$H$878,3,FALSE),"")</f>
        <v>46178</v>
      </c>
      <c r="BM198" s="95">
        <f>IFERROR($N198+VLOOKUP($L198,'Voyage days'!$F$807:$K$878,6,FALSE),"")</f>
        <v>46152</v>
      </c>
      <c r="BN198" s="94" t="str">
        <f>IF(L198="loads AG", IFERROR($M198+VLOOKUP($L198,'Voyage days'!$M$38:$O$38,3,FALSE),""),"")</f>
        <v/>
      </c>
      <c r="BO198" s="94" t="str">
        <f>IF(L198="loads USG", IFERROR($M198+VLOOKUP($L198,'Voyage days'!$L$203:$N$203,3,FALSE),""),"")</f>
        <v/>
      </c>
    </row>
    <row r="199" spans="1:67" ht="15.75" customHeight="1" x14ac:dyDescent="0.25">
      <c r="A199" s="97" t="s">
        <v>1199</v>
      </c>
      <c r="B199" s="75">
        <v>40512</v>
      </c>
      <c r="C199" s="76">
        <v>83299</v>
      </c>
      <c r="D199" s="120"/>
      <c r="E199" s="120"/>
      <c r="F199" s="121"/>
      <c r="G199" s="121"/>
      <c r="H199" s="121"/>
      <c r="I199" s="249" t="s">
        <v>1200</v>
      </c>
      <c r="J199" s="187" t="str">
        <f t="shared" si="37"/>
        <v/>
      </c>
      <c r="K199" s="123"/>
      <c r="L199" s="124" t="s">
        <v>725</v>
      </c>
      <c r="M199" s="189">
        <v>46155</v>
      </c>
      <c r="N199" s="189">
        <v>46156</v>
      </c>
      <c r="O199" s="126"/>
      <c r="P199" s="124" t="s">
        <v>1201</v>
      </c>
      <c r="Q199" s="124"/>
      <c r="R199" s="124" t="s">
        <v>1202</v>
      </c>
      <c r="S199" s="77" t="s">
        <v>724</v>
      </c>
      <c r="T199" s="86">
        <v>46132</v>
      </c>
      <c r="U199" s="87" t="str">
        <f>IF(V199="","No AIS",VLOOKUP(V199,'Voyage days'!$A$3:$B$1480,2,FALSE))</f>
        <v>Panama</v>
      </c>
      <c r="V199" s="87" t="str">
        <f>IF(VLOOKUP(A199,'1) Kpler'!$E$2:$P$1000,8, FALSE)="","",VLOOKUP(A199,'1) Kpler'!$E$2:$P$1000,8, FALSE))</f>
        <v>Panama Canal</v>
      </c>
      <c r="W199" s="128">
        <f>IF(VLOOKUP(A199,'1) Kpler'!$E$2:$P$1000,9,FALSE)="","",VLOOKUP(A199,'1) Kpler'!$E$2:$P$1000,9,FALSE))</f>
        <v>46155.708333333336</v>
      </c>
      <c r="X199" s="87" t="str">
        <f>VLOOKUP(A199,'1) Kpler'!$E$2:$I$1000,4,FALSE)</f>
        <v>ballast</v>
      </c>
      <c r="Y199" s="234" t="str">
        <f t="shared" si="0"/>
        <v/>
      </c>
      <c r="Z199" s="458" t="str">
        <f t="shared" si="1"/>
        <v>23-24 May</v>
      </c>
      <c r="AA199" s="234" t="str">
        <f t="shared" si="2"/>
        <v/>
      </c>
      <c r="AB199" s="234" t="str">
        <f t="shared" si="3"/>
        <v/>
      </c>
      <c r="AC199" s="234" t="str">
        <f t="shared" si="4"/>
        <v/>
      </c>
      <c r="AD199" s="234" t="str">
        <f t="shared" si="5"/>
        <v/>
      </c>
      <c r="AE199" s="235" t="str">
        <f t="shared" si="6"/>
        <v/>
      </c>
      <c r="AF199" s="92" t="str">
        <f t="shared" si="7"/>
        <v/>
      </c>
      <c r="AG199" s="131" t="str">
        <f t="shared" si="26"/>
        <v/>
      </c>
      <c r="AH199" s="95" t="str">
        <f>IFERROR($M199+VLOOKUP($L199,'Voyage days'!$F$38:$H$89,3,FALSE),"")</f>
        <v/>
      </c>
      <c r="AI199" s="95" t="str">
        <f>IFERROR(N199+VLOOKUP($L199,'Voyage days'!$F$38:$H$89,3,FALSE),"")</f>
        <v/>
      </c>
      <c r="AJ199" s="131" t="str">
        <f t="shared" si="27"/>
        <v>23-24 May</v>
      </c>
      <c r="AK199" s="95">
        <f>IFERROR($M199+VLOOKUP($L199,'Voyage days'!$F$94:$H$193,3,FALSE),"")</f>
        <v>46165</v>
      </c>
      <c r="AL199" s="95">
        <f>IFERROR($N199+VLOOKUP($L199,'Voyage days'!$F$94:$H$193,3,FALSE),"")</f>
        <v>46166</v>
      </c>
      <c r="AM199" s="131" t="str">
        <f t="shared" si="28"/>
        <v/>
      </c>
      <c r="AN199" s="95" t="str">
        <f>IFERROR($M199+VLOOKUP($L199,'Voyage days'!$F$203:$H$256,3,FALSE),"")</f>
        <v/>
      </c>
      <c r="AO199" s="95" t="str">
        <f>IFERROR($N199+VLOOKUP($L199,'Voyage days'!$F$203:$H$256,3,FALSE),"")</f>
        <v/>
      </c>
      <c r="AP199" s="131" t="str">
        <f t="shared" si="29"/>
        <v/>
      </c>
      <c r="AQ199" s="95" t="str">
        <f>IFERROR($M199+VLOOKUP($L199,'Voyage days'!$F$294:$H$377,3,FALSE),"")</f>
        <v/>
      </c>
      <c r="AR199" s="95" t="str">
        <f>IFERROR($N199+VLOOKUP($L199,'Voyage days'!$F$294:$H$377,3,FALSE),"")</f>
        <v/>
      </c>
      <c r="AS199" s="131" t="str">
        <f t="shared" si="30"/>
        <v/>
      </c>
      <c r="AT199" s="95" t="str">
        <f>IFERROR($M199+VLOOKUP($L199,'Voyage days'!$F$382:$H$446,3,FALSE),"")</f>
        <v/>
      </c>
      <c r="AU199" s="95" t="str">
        <f>IFERROR($N199+VLOOKUP($L199,'Voyage days'!$F$382:$H$446,3,FALSE),"")</f>
        <v/>
      </c>
      <c r="AV199" s="131" t="str">
        <f t="shared" si="31"/>
        <v/>
      </c>
      <c r="AW199" s="95" t="str">
        <f>IFERROR($M199+VLOOKUP($L199,'Voyage days'!$F$483:$H$538,3,FALSE),"")</f>
        <v/>
      </c>
      <c r="AX199" s="95" t="str">
        <f>IFERROR($N199+VLOOKUP($L199,'Voyage days'!$F$483:$H$538,3,FALSE),"")</f>
        <v/>
      </c>
      <c r="AY199" s="131" t="str">
        <f t="shared" si="32"/>
        <v/>
      </c>
      <c r="AZ199" s="95" t="str">
        <f>IFERROR($M199+VLOOKUP($L199,'Voyage days'!$F$540:$H$613,3,FALSE),"")</f>
        <v/>
      </c>
      <c r="BA199" s="95" t="str">
        <f>IFERROR($N199+VLOOKUP($L199,'Voyage days'!$F$540:$H$613,3,FALSE),"")</f>
        <v/>
      </c>
      <c r="BB199" s="131" t="str">
        <f t="shared" si="33"/>
        <v/>
      </c>
      <c r="BC199" s="94" t="str">
        <f>IFERROR($M199+VLOOKUP($L199,'Voyage days'!$F$448:$H$479,3,FALSE),"")</f>
        <v/>
      </c>
      <c r="BD199" s="94" t="str">
        <f>IFERROR($N199+VLOOKUP($L199,'Voyage days'!$F$448:$H$479,3,FALSE),"")</f>
        <v/>
      </c>
      <c r="BE199" s="131" t="str">
        <f t="shared" si="34"/>
        <v/>
      </c>
      <c r="BF199" s="95" t="str">
        <f>IFERROR($M199+VLOOKUP($L199,'Voyage days'!$F$620:$H$646,3,FALSE),"")</f>
        <v/>
      </c>
      <c r="BG199" s="95" t="str">
        <f>IFERROR($N199+VLOOKUP($L199,'Voyage days'!$F$620:$H$646,3,FALSE),"")</f>
        <v/>
      </c>
      <c r="BH199" s="131" t="str">
        <f t="shared" si="35"/>
        <v/>
      </c>
      <c r="BI199" s="96" t="str">
        <f>IFERROR($M199+VLOOKUP($L199,'Voyage days'!$F$702:$H$727,3,FALSE),"")</f>
        <v/>
      </c>
      <c r="BJ199" s="131" t="str">
        <f t="shared" si="36"/>
        <v/>
      </c>
      <c r="BK199" s="95" t="str">
        <f>IFERROR($M199+VLOOKUP($L199,'Voyage days'!$F$807:$H$878,3,FALSE),"")</f>
        <v/>
      </c>
      <c r="BL199" s="95" t="str">
        <f>IFERROR($N199+VLOOKUP($L199,'Voyage days'!$F$807:$H$878,3,FALSE),"")</f>
        <v/>
      </c>
      <c r="BM199" s="95" t="str">
        <f>IFERROR($N199+VLOOKUP($L199,'Voyage days'!$F$807:$K$878,6,FALSE),"")</f>
        <v/>
      </c>
      <c r="BN199" s="94" t="str">
        <f>IF(L199="loads AG", IFERROR($M199+VLOOKUP($L199,'Voyage days'!$M$38:$O$38,3,FALSE),""),"")</f>
        <v/>
      </c>
      <c r="BO199" s="94" t="str">
        <f>IF(L199="loads USG", IFERROR($M199+VLOOKUP($L199,'Voyage days'!$L$203:$N$203,3,FALSE),""),"")</f>
        <v/>
      </c>
    </row>
    <row r="200" spans="1:67" x14ac:dyDescent="0.25">
      <c r="A200" s="97" t="s">
        <v>341</v>
      </c>
      <c r="B200" s="75">
        <v>43009</v>
      </c>
      <c r="C200" s="76">
        <v>84000</v>
      </c>
      <c r="D200" s="77"/>
      <c r="E200" s="77"/>
      <c r="F200" s="78"/>
      <c r="G200" s="78"/>
      <c r="H200" s="78" t="s">
        <v>739</v>
      </c>
      <c r="I200" s="233" t="s">
        <v>1200</v>
      </c>
      <c r="J200" s="261" t="str">
        <f t="shared" si="37"/>
        <v/>
      </c>
      <c r="K200" s="81"/>
      <c r="L200" s="82" t="s">
        <v>909</v>
      </c>
      <c r="M200" s="125">
        <v>46138</v>
      </c>
      <c r="N200" s="125">
        <v>46139</v>
      </c>
      <c r="O200" s="84"/>
      <c r="P200" s="82" t="s">
        <v>1203</v>
      </c>
      <c r="Q200" s="233"/>
      <c r="R200" s="233" t="s">
        <v>1204</v>
      </c>
      <c r="S200" s="77" t="s">
        <v>724</v>
      </c>
      <c r="T200" s="86">
        <v>46132</v>
      </c>
      <c r="U200" s="87" t="str">
        <f>IF(V200="","No AIS",VLOOKUP(V200,'Voyage days'!$A$3:$B$1480,2,FALSE))</f>
        <v>Singapore</v>
      </c>
      <c r="V200" s="88" t="str">
        <f>IF(VLOOKUP(A200,'1) Kpler'!$E$2:$P$1000,8, FALSE)="","",VLOOKUP(A200,'1) Kpler'!$E$2:$P$1000,8, FALSE))</f>
        <v>Singapore</v>
      </c>
      <c r="W200" s="89">
        <f>IF(VLOOKUP(A200,'1) Kpler'!$E$2:$P$1000,9,FALSE)="","",VLOOKUP(A200,'1) Kpler'!$E$2:$P$1000,9,FALSE))</f>
        <v>46138.958333333336</v>
      </c>
      <c r="X200" s="88" t="str">
        <f>VLOOKUP(A200,'1) Kpler'!$E$2:$I$1000,4,FALSE)</f>
        <v>loaded</v>
      </c>
      <c r="Y200" s="63" t="str">
        <f t="shared" si="0"/>
        <v>11-12 May</v>
      </c>
      <c r="Z200" s="63" t="str">
        <f t="shared" si="1"/>
        <v>03-04 Jun</v>
      </c>
      <c r="AA200" s="63" t="str">
        <f t="shared" si="2"/>
        <v>04-05 Jun</v>
      </c>
      <c r="AB200" s="63" t="str">
        <f t="shared" si="3"/>
        <v>21-22 May</v>
      </c>
      <c r="AC200" s="63" t="str">
        <f t="shared" si="4"/>
        <v>29-30 May</v>
      </c>
      <c r="AD200" s="63" t="str">
        <f t="shared" si="5"/>
        <v>03-04 May</v>
      </c>
      <c r="AE200" s="129" t="str">
        <f t="shared" si="6"/>
        <v>06-07 May</v>
      </c>
      <c r="AF200" s="130" t="str">
        <f t="shared" si="7"/>
        <v>08-09 Jun</v>
      </c>
      <c r="AG200" s="93" t="str">
        <f t="shared" si="26"/>
        <v>11-12 May</v>
      </c>
      <c r="AH200" s="94">
        <f>IFERROR($M200+VLOOKUP($L200,'Voyage days'!$F$38:$H$89,3,FALSE),"")</f>
        <v>46153</v>
      </c>
      <c r="AI200" s="94">
        <f>IFERROR(N200+VLOOKUP($L200,'Voyage days'!$F$38:$H$89,3,FALSE),"")</f>
        <v>46154</v>
      </c>
      <c r="AJ200" s="93" t="str">
        <f t="shared" si="27"/>
        <v>03-04 Jun</v>
      </c>
      <c r="AK200" s="94">
        <f>IFERROR($M200+VLOOKUP($L200,'Voyage days'!$F$94:$H$193,3,FALSE),"")</f>
        <v>46176</v>
      </c>
      <c r="AL200" s="94">
        <f>IFERROR($N200+VLOOKUP($L200,'Voyage days'!$F$94:$H$193,3,FALSE),"")</f>
        <v>46177</v>
      </c>
      <c r="AM200" s="93" t="str">
        <f t="shared" si="28"/>
        <v>04-05 Jun</v>
      </c>
      <c r="AN200" s="94">
        <f>IFERROR($M200+VLOOKUP($L200,'Voyage days'!$F$203:$H$256,3,FALSE),"")</f>
        <v>46177</v>
      </c>
      <c r="AO200" s="94">
        <f>IFERROR($N200+VLOOKUP($L200,'Voyage days'!$F$203:$H$256,3,FALSE),"")</f>
        <v>46178</v>
      </c>
      <c r="AP200" s="93" t="str">
        <f t="shared" si="29"/>
        <v>21-22 May</v>
      </c>
      <c r="AQ200" s="94">
        <f>IFERROR($M200+VLOOKUP($L200,'Voyage days'!$F$294:$H$377,3,FALSE),"")</f>
        <v>46163</v>
      </c>
      <c r="AR200" s="94">
        <f>IFERROR($N200+VLOOKUP($L200,'Voyage days'!$F$294:$H$377,3,FALSE),"")</f>
        <v>46164</v>
      </c>
      <c r="AS200" s="93" t="str">
        <f t="shared" si="30"/>
        <v>29-30 May</v>
      </c>
      <c r="AT200" s="94">
        <f>IFERROR($M200+VLOOKUP($L200,'Voyage days'!$F$382:$H$446,3,FALSE),"")</f>
        <v>46171</v>
      </c>
      <c r="AU200" s="94">
        <f>IFERROR($N200+VLOOKUP($L200,'Voyage days'!$F$382:$H$446,3,FALSE),"")</f>
        <v>46172</v>
      </c>
      <c r="AV200" s="93" t="str">
        <f t="shared" si="31"/>
        <v>12-13 May</v>
      </c>
      <c r="AW200" s="94">
        <f>IFERROR($M200+VLOOKUP($L200,'Voyage days'!$F$483:$H$538,3,FALSE),"")</f>
        <v>46154</v>
      </c>
      <c r="AX200" s="94">
        <f>IFERROR($N200+VLOOKUP($L200,'Voyage days'!$F$483:$H$538,3,FALSE),"")</f>
        <v>46155</v>
      </c>
      <c r="AY200" s="93" t="str">
        <f t="shared" si="32"/>
        <v>06-07 May</v>
      </c>
      <c r="AZ200" s="94">
        <f>IFERROR($M200+VLOOKUP($L200,'Voyage days'!$F$540:$H$613,3,FALSE),"")</f>
        <v>46148</v>
      </c>
      <c r="BA200" s="94">
        <f>IFERROR($N200+VLOOKUP($L200,'Voyage days'!$F$540:$H$613,3,FALSE),"")</f>
        <v>46149</v>
      </c>
      <c r="BB200" s="93" t="str">
        <f t="shared" si="33"/>
        <v>03-04 May</v>
      </c>
      <c r="BC200" s="94">
        <f>IFERROR($M200+VLOOKUP($L200,'Voyage days'!$F$448:$H$479,3,FALSE),"")</f>
        <v>46145</v>
      </c>
      <c r="BD200" s="94">
        <f>IFERROR($N200+VLOOKUP($L200,'Voyage days'!$F$448:$H$479,3,FALSE),"")</f>
        <v>46146</v>
      </c>
      <c r="BE200" s="93" t="str">
        <f t="shared" si="34"/>
        <v/>
      </c>
      <c r="BF200" s="95" t="str">
        <f>IFERROR($M200+VLOOKUP($L200,'Voyage days'!$F$620:$H$646,3,FALSE),"")</f>
        <v/>
      </c>
      <c r="BG200" s="95" t="str">
        <f>IFERROR($N200+VLOOKUP($L200,'Voyage days'!$F$620:$H$646,3,FALSE),"")</f>
        <v/>
      </c>
      <c r="BH200" s="93" t="str">
        <f t="shared" si="35"/>
        <v>11-09 Jun</v>
      </c>
      <c r="BI200" s="96">
        <f>IFERROR($M200+VLOOKUP($L200,'Voyage days'!$F$702:$H$727,3,FALSE),"")</f>
        <v>46153</v>
      </c>
      <c r="BJ200" s="93" t="str">
        <f t="shared" si="36"/>
        <v>08-09 Jun</v>
      </c>
      <c r="BK200" s="95">
        <f>IFERROR($M200+VLOOKUP($L200,'Voyage days'!$F$807:$H$878,3,FALSE),"")</f>
        <v>46181</v>
      </c>
      <c r="BL200" s="95">
        <f>IFERROR($N200+VLOOKUP($L200,'Voyage days'!$F$807:$H$878,3,FALSE),"")</f>
        <v>46182</v>
      </c>
      <c r="BM200" s="95">
        <f>IFERROR($N200+VLOOKUP($L200,'Voyage days'!$F$807:$K$878,6,FALSE),"")</f>
        <v>46158</v>
      </c>
      <c r="BN200" s="94" t="str">
        <f>IF(L200="loads AG", IFERROR($M200+VLOOKUP($L200,'Voyage days'!$M$38:$O$38,3,FALSE),""),"")</f>
        <v/>
      </c>
      <c r="BO200" s="94" t="str">
        <f>IF(L200="loads USG", IFERROR($M200+VLOOKUP($L200,'Voyage days'!$L$203:$N$203,3,FALSE),""),"")</f>
        <v/>
      </c>
    </row>
    <row r="201" spans="1:67" ht="15.75" customHeight="1" x14ac:dyDescent="0.25">
      <c r="A201" s="53" t="s">
        <v>258</v>
      </c>
      <c r="B201" s="75">
        <v>41450</v>
      </c>
      <c r="C201" s="76">
        <v>82000</v>
      </c>
      <c r="D201" s="77"/>
      <c r="E201" s="77"/>
      <c r="F201" s="78"/>
      <c r="G201" s="78"/>
      <c r="H201" s="78"/>
      <c r="I201" s="233" t="s">
        <v>1200</v>
      </c>
      <c r="J201" s="80" t="str">
        <f t="shared" si="37"/>
        <v/>
      </c>
      <c r="K201" s="81"/>
      <c r="L201" s="82" t="s">
        <v>770</v>
      </c>
      <c r="M201" s="125">
        <v>46141</v>
      </c>
      <c r="N201" s="125">
        <v>46142</v>
      </c>
      <c r="O201" s="206"/>
      <c r="P201" s="82" t="s">
        <v>1205</v>
      </c>
      <c r="Q201" s="85"/>
      <c r="R201" s="85" t="s">
        <v>1206</v>
      </c>
      <c r="S201" s="77" t="s">
        <v>724</v>
      </c>
      <c r="T201" s="86">
        <v>46132</v>
      </c>
      <c r="U201" s="87" t="str">
        <f>IF(V201="","No AIS",VLOOKUP(V201,'Voyage days'!$A$3:$B$1480,2,FALSE))</f>
        <v>Korea + 4</v>
      </c>
      <c r="V201" s="88" t="str">
        <f>IF(VLOOKUP(A201,'1) Kpler'!$E$2:$P$1000,8, FALSE)="","",VLOOKUP(A201,'1) Kpler'!$E$2:$P$1000,8, FALSE))</f>
        <v>Ulsan</v>
      </c>
      <c r="W201" s="89">
        <f>IF(VLOOKUP(A201,'1) Kpler'!$E$2:$P$1000,9,FALSE)="","",VLOOKUP(A201,'1) Kpler'!$E$2:$P$1000,9,FALSE))</f>
        <v>46137.041666666664</v>
      </c>
      <c r="X201" s="88" t="str">
        <f>VLOOKUP(A201,'1) Kpler'!$E$2:$I$1000,4,FALSE)</f>
        <v>loaded</v>
      </c>
      <c r="Y201" s="90" t="str">
        <f t="shared" si="0"/>
        <v>17-18 May</v>
      </c>
      <c r="Z201" s="90" t="str">
        <f t="shared" si="1"/>
        <v>01-02 Jun</v>
      </c>
      <c r="AA201" s="90" t="str">
        <f t="shared" si="2"/>
        <v>09-10 Jun</v>
      </c>
      <c r="AB201" s="90" t="str">
        <f t="shared" si="3"/>
        <v>28-29 May</v>
      </c>
      <c r="AC201" s="90" t="str">
        <f t="shared" si="4"/>
        <v>03-04 Jun</v>
      </c>
      <c r="AD201" s="90" t="str">
        <f t="shared" si="5"/>
        <v>06-07 May</v>
      </c>
      <c r="AE201" s="91" t="str">
        <f t="shared" si="6"/>
        <v>07-08 May</v>
      </c>
      <c r="AF201" s="92" t="str">
        <f t="shared" si="7"/>
        <v>13-14 Jun</v>
      </c>
      <c r="AG201" s="93" t="str">
        <f t="shared" si="26"/>
        <v>17-18 May</v>
      </c>
      <c r="AH201" s="94">
        <f>IFERROR($M201+VLOOKUP($L201,'Voyage days'!$F$38:$H$89,3,FALSE),"")</f>
        <v>46159</v>
      </c>
      <c r="AI201" s="94">
        <f>IFERROR(N201+VLOOKUP($L201,'Voyage days'!$F$38:$H$89,3,FALSE),"")</f>
        <v>46160</v>
      </c>
      <c r="AJ201" s="93" t="str">
        <f t="shared" si="27"/>
        <v>01-02 Jun</v>
      </c>
      <c r="AK201" s="94">
        <f>IFERROR($M201+VLOOKUP($L201,'Voyage days'!$F$94:$H$193,3,FALSE),"")</f>
        <v>46174</v>
      </c>
      <c r="AL201" s="94">
        <f>IFERROR($N201+VLOOKUP($L201,'Voyage days'!$F$94:$H$193,3,FALSE),"")</f>
        <v>46175</v>
      </c>
      <c r="AM201" s="93" t="str">
        <f t="shared" si="28"/>
        <v>09-10 Jun</v>
      </c>
      <c r="AN201" s="94">
        <f>IFERROR($M201+VLOOKUP($L201,'Voyage days'!$F$203:$H$256,3,FALSE),"")</f>
        <v>46182</v>
      </c>
      <c r="AO201" s="94">
        <f>IFERROR($N201+VLOOKUP($L201,'Voyage days'!$F$203:$H$256,3,FALSE),"")</f>
        <v>46183</v>
      </c>
      <c r="AP201" s="93" t="str">
        <f t="shared" si="29"/>
        <v>28-29 May</v>
      </c>
      <c r="AQ201" s="94">
        <f>IFERROR($M201+VLOOKUP($L201,'Voyage days'!$F$294:$H$377,3,FALSE),"")</f>
        <v>46170</v>
      </c>
      <c r="AR201" s="94">
        <f>IFERROR($N201+VLOOKUP($L201,'Voyage days'!$F$294:$H$377,3,FALSE),"")</f>
        <v>46171</v>
      </c>
      <c r="AS201" s="93" t="str">
        <f t="shared" si="30"/>
        <v>03-04 Jun</v>
      </c>
      <c r="AT201" s="94">
        <f>IFERROR($M201+VLOOKUP($L201,'Voyage days'!$F$382:$H$446,3,FALSE),"")</f>
        <v>46176</v>
      </c>
      <c r="AU201" s="94">
        <f>IFERROR($N201+VLOOKUP($L201,'Voyage days'!$F$382:$H$446,3,FALSE),"")</f>
        <v>46177</v>
      </c>
      <c r="AV201" s="93" t="str">
        <f t="shared" si="31"/>
        <v>13-14 May</v>
      </c>
      <c r="AW201" s="94">
        <f>IFERROR($M201+VLOOKUP($L201,'Voyage days'!$F$483:$H$538,3,FALSE),"")</f>
        <v>46155</v>
      </c>
      <c r="AX201" s="94">
        <f>IFERROR($N201+VLOOKUP($L201,'Voyage days'!$F$483:$H$538,3,FALSE),"")</f>
        <v>46156</v>
      </c>
      <c r="AY201" s="93" t="str">
        <f t="shared" si="32"/>
        <v>07-08 May</v>
      </c>
      <c r="AZ201" s="94">
        <f>IFERROR($M201+VLOOKUP($L201,'Voyage days'!$F$540:$H$613,3,FALSE),"")</f>
        <v>46149</v>
      </c>
      <c r="BA201" s="94">
        <f>IFERROR($N201+VLOOKUP($L201,'Voyage days'!$F$540:$H$613,3,FALSE),"")</f>
        <v>46150</v>
      </c>
      <c r="BB201" s="93" t="str">
        <f t="shared" si="33"/>
        <v>06-07 May</v>
      </c>
      <c r="BC201" s="94">
        <f>IFERROR($M201+VLOOKUP($L201,'Voyage days'!$F$448:$H$479,3,FALSE),"")</f>
        <v>46148</v>
      </c>
      <c r="BD201" s="94">
        <f>IFERROR($N201+VLOOKUP($L201,'Voyage days'!$F$448:$H$479,3,FALSE),"")</f>
        <v>46149</v>
      </c>
      <c r="BE201" s="93" t="str">
        <f t="shared" si="34"/>
        <v>10-11 May</v>
      </c>
      <c r="BF201" s="95">
        <f>IFERROR($M201+VLOOKUP($L201,'Voyage days'!$F$620:$H$646,3,FALSE),"")</f>
        <v>46152</v>
      </c>
      <c r="BG201" s="95">
        <f>IFERROR($N201+VLOOKUP($L201,'Voyage days'!$F$620:$H$646,3,FALSE),"")</f>
        <v>46153</v>
      </c>
      <c r="BH201" s="93" t="str">
        <f t="shared" si="35"/>
        <v>07-14 Jun</v>
      </c>
      <c r="BI201" s="96">
        <f>IFERROR($M201+VLOOKUP($L201,'Voyage days'!$F$702:$H$727,3,FALSE),"")</f>
        <v>46149</v>
      </c>
      <c r="BJ201" s="93" t="str">
        <f t="shared" si="36"/>
        <v>13-14 Jun</v>
      </c>
      <c r="BK201" s="95">
        <f>IFERROR($M201+VLOOKUP($L201,'Voyage days'!$F$807:$H$878,3,FALSE),"")</f>
        <v>46186</v>
      </c>
      <c r="BL201" s="95">
        <f>IFERROR($N201+VLOOKUP($L201,'Voyage days'!$F$807:$H$878,3,FALSE),"")</f>
        <v>46187</v>
      </c>
      <c r="BM201" s="95">
        <f>IFERROR($N201+VLOOKUP($L201,'Voyage days'!$F$807:$K$878,6,FALSE),"")</f>
        <v>46161</v>
      </c>
      <c r="BN201" s="94" t="str">
        <f>IF(L201="loads AG", IFERROR($M201+VLOOKUP($L201,'Voyage days'!$M$38:$O$38,3,FALSE),""),"")</f>
        <v/>
      </c>
      <c r="BO201" s="94" t="str">
        <f>IF(L201="loads USG", IFERROR($M201+VLOOKUP($L201,'Voyage days'!$L$203:$N$203,3,FALSE),""),"")</f>
        <v/>
      </c>
    </row>
    <row r="202" spans="1:67" ht="15.75" customHeight="1" x14ac:dyDescent="0.25">
      <c r="A202" s="74" t="s">
        <v>261</v>
      </c>
      <c r="B202" s="75">
        <v>43102</v>
      </c>
      <c r="C202" s="76">
        <v>84000</v>
      </c>
      <c r="D202" s="77"/>
      <c r="E202" s="77"/>
      <c r="F202" s="78"/>
      <c r="G202" s="78"/>
      <c r="H202" s="78" t="s">
        <v>739</v>
      </c>
      <c r="I202" s="233" t="s">
        <v>1200</v>
      </c>
      <c r="J202" s="80" t="str">
        <f t="shared" si="37"/>
        <v/>
      </c>
      <c r="K202" s="81"/>
      <c r="L202" s="82" t="s">
        <v>725</v>
      </c>
      <c r="M202" s="125">
        <v>46138</v>
      </c>
      <c r="N202" s="125">
        <v>46139</v>
      </c>
      <c r="O202" s="84"/>
      <c r="P202" s="82" t="s">
        <v>1207</v>
      </c>
      <c r="Q202" s="85"/>
      <c r="R202" s="82" t="s">
        <v>1208</v>
      </c>
      <c r="S202" s="77" t="s">
        <v>724</v>
      </c>
      <c r="T202" s="86">
        <v>46132</v>
      </c>
      <c r="U202" s="87" t="str">
        <f>IF(V202="","No AIS",VLOOKUP(V202,'Voyage days'!$A$3:$B$1480,2,FALSE))</f>
        <v>Panama</v>
      </c>
      <c r="V202" s="88" t="str">
        <f>IF(VLOOKUP(A202,'1) Kpler'!$E$2:$P$1000,8, FALSE)="","",VLOOKUP(A202,'1) Kpler'!$E$2:$P$1000,8, FALSE))</f>
        <v>Panama Canal</v>
      </c>
      <c r="W202" s="89">
        <f>IF(VLOOKUP(A202,'1) Kpler'!$E$2:$P$1000,9,FALSE)="","",VLOOKUP(A202,'1) Kpler'!$E$2:$P$1000,9,FALSE))</f>
        <v>46138.625</v>
      </c>
      <c r="X202" s="88" t="str">
        <f>VLOOKUP(A202,'1) Kpler'!$E$2:$I$1000,4,FALSE)</f>
        <v>ballast</v>
      </c>
      <c r="Y202" s="63" t="str">
        <f t="shared" si="0"/>
        <v/>
      </c>
      <c r="Z202" s="63" t="str">
        <f t="shared" si="1"/>
        <v>06-07 May</v>
      </c>
      <c r="AA202" s="63" t="str">
        <f t="shared" si="2"/>
        <v/>
      </c>
      <c r="AB202" s="63" t="str">
        <f t="shared" si="3"/>
        <v/>
      </c>
      <c r="AC202" s="63" t="str">
        <f t="shared" si="4"/>
        <v/>
      </c>
      <c r="AD202" s="63" t="str">
        <f t="shared" si="5"/>
        <v/>
      </c>
      <c r="AE202" s="129" t="str">
        <f t="shared" si="6"/>
        <v/>
      </c>
      <c r="AF202" s="130" t="str">
        <f t="shared" si="7"/>
        <v/>
      </c>
      <c r="AG202" s="93" t="str">
        <f t="shared" si="26"/>
        <v/>
      </c>
      <c r="AH202" s="94" t="str">
        <f>IFERROR($M202+VLOOKUP($L202,'Voyage days'!$F$38:$H$89,3,FALSE),"")</f>
        <v/>
      </c>
      <c r="AI202" s="94" t="str">
        <f>IFERROR(N202+VLOOKUP($L202,'Voyage days'!$F$38:$H$89,3,FALSE),"")</f>
        <v/>
      </c>
      <c r="AJ202" s="93" t="str">
        <f t="shared" si="27"/>
        <v>06-07 May</v>
      </c>
      <c r="AK202" s="94">
        <f>IFERROR($M202+VLOOKUP($L202,'Voyage days'!$F$94:$H$193,3,FALSE),"")</f>
        <v>46148</v>
      </c>
      <c r="AL202" s="94">
        <f>IFERROR($N202+VLOOKUP($L202,'Voyage days'!$F$94:$H$193,3,FALSE),"")</f>
        <v>46149</v>
      </c>
      <c r="AM202" s="93" t="str">
        <f t="shared" si="28"/>
        <v/>
      </c>
      <c r="AN202" s="94" t="str">
        <f>IFERROR($M202+VLOOKUP($L202,'Voyage days'!$F$203:$H$256,3,FALSE),"")</f>
        <v/>
      </c>
      <c r="AO202" s="94" t="str">
        <f>IFERROR($N202+VLOOKUP($L202,'Voyage days'!$F$203:$H$256,3,FALSE),"")</f>
        <v/>
      </c>
      <c r="AP202" s="93" t="str">
        <f t="shared" si="29"/>
        <v/>
      </c>
      <c r="AQ202" s="94" t="str">
        <f>IFERROR($M202+VLOOKUP($L202,'Voyage days'!$F$294:$H$377,3,FALSE),"")</f>
        <v/>
      </c>
      <c r="AR202" s="94" t="str">
        <f>IFERROR($N202+VLOOKUP($L202,'Voyage days'!$F$294:$H$377,3,FALSE),"")</f>
        <v/>
      </c>
      <c r="AS202" s="93" t="str">
        <f t="shared" si="30"/>
        <v/>
      </c>
      <c r="AT202" s="94" t="str">
        <f>IFERROR($M202+VLOOKUP($L202,'Voyage days'!$F$382:$H$446,3,FALSE),"")</f>
        <v/>
      </c>
      <c r="AU202" s="94" t="str">
        <f>IFERROR($N202+VLOOKUP($L202,'Voyage days'!$F$382:$H$446,3,FALSE),"")</f>
        <v/>
      </c>
      <c r="AV202" s="93" t="str">
        <f t="shared" si="31"/>
        <v/>
      </c>
      <c r="AW202" s="94" t="str">
        <f>IFERROR($M202+VLOOKUP($L202,'Voyage days'!$F$483:$H$538,3,FALSE),"")</f>
        <v/>
      </c>
      <c r="AX202" s="94" t="str">
        <f>IFERROR($N202+VLOOKUP($L202,'Voyage days'!$F$483:$H$538,3,FALSE),"")</f>
        <v/>
      </c>
      <c r="AY202" s="93" t="str">
        <f t="shared" si="32"/>
        <v/>
      </c>
      <c r="AZ202" s="94" t="str">
        <f>IFERROR($M202+VLOOKUP($L202,'Voyage days'!$F$540:$H$613,3,FALSE),"")</f>
        <v/>
      </c>
      <c r="BA202" s="94" t="str">
        <f>IFERROR($N202+VLOOKUP($L202,'Voyage days'!$F$540:$H$613,3,FALSE),"")</f>
        <v/>
      </c>
      <c r="BB202" s="93" t="str">
        <f t="shared" si="33"/>
        <v/>
      </c>
      <c r="BC202" s="94" t="str">
        <f>IFERROR($M202+VLOOKUP($L202,'Voyage days'!$F$448:$H$479,3,FALSE),"")</f>
        <v/>
      </c>
      <c r="BD202" s="94" t="str">
        <f>IFERROR($N202+VLOOKUP($L202,'Voyage days'!$F$448:$H$479,3,FALSE),"")</f>
        <v/>
      </c>
      <c r="BE202" s="93" t="str">
        <f t="shared" si="34"/>
        <v/>
      </c>
      <c r="BF202" s="95" t="str">
        <f>IFERROR($M202+VLOOKUP($L202,'Voyage days'!$F$620:$H$646,3,FALSE),"")</f>
        <v/>
      </c>
      <c r="BG202" s="95" t="str">
        <f>IFERROR($N202+VLOOKUP($L202,'Voyage days'!$F$620:$H$646,3,FALSE),"")</f>
        <v/>
      </c>
      <c r="BH202" s="93" t="str">
        <f t="shared" si="35"/>
        <v/>
      </c>
      <c r="BI202" s="96" t="str">
        <f>IFERROR($M202+VLOOKUP($L202,'Voyage days'!$F$702:$H$727,3,FALSE),"")</f>
        <v/>
      </c>
      <c r="BJ202" s="93" t="str">
        <f t="shared" si="36"/>
        <v/>
      </c>
      <c r="BK202" s="95" t="str">
        <f>IFERROR($M202+VLOOKUP($L202,'Voyage days'!$F$807:$H$878,3,FALSE),"")</f>
        <v/>
      </c>
      <c r="BL202" s="95" t="str">
        <f>IFERROR($N202+VLOOKUP($L202,'Voyage days'!$F$807:$H$878,3,FALSE),"")</f>
        <v/>
      </c>
      <c r="BM202" s="95" t="str">
        <f>IFERROR($N202+VLOOKUP($L202,'Voyage days'!$F$807:$K$878,6,FALSE),"")</f>
        <v/>
      </c>
      <c r="BN202" s="94" t="str">
        <f>IF(L202="loads AG", IFERROR($M202+VLOOKUP($L202,'Voyage days'!$M$38:$O$38,3,FALSE),""),"")</f>
        <v/>
      </c>
      <c r="BO202" s="94" t="str">
        <f>IF(L202="loads USG", IFERROR($M202+VLOOKUP($L202,'Voyage days'!$L$203:$N$203,3,FALSE),""),"")</f>
        <v/>
      </c>
    </row>
    <row r="203" spans="1:67" ht="15.75" customHeight="1" x14ac:dyDescent="0.25">
      <c r="A203" s="74" t="s">
        <v>262</v>
      </c>
      <c r="B203" s="75">
        <v>39736</v>
      </c>
      <c r="C203" s="76">
        <v>82200</v>
      </c>
      <c r="D203" s="77"/>
      <c r="E203" s="77"/>
      <c r="F203" s="78"/>
      <c r="G203" s="78"/>
      <c r="H203" s="78"/>
      <c r="I203" s="233" t="s">
        <v>1200</v>
      </c>
      <c r="J203" s="80" t="str">
        <f t="shared" si="37"/>
        <v/>
      </c>
      <c r="K203" s="81"/>
      <c r="L203" s="82" t="s">
        <v>718</v>
      </c>
      <c r="M203" s="83">
        <v>46132</v>
      </c>
      <c r="N203" s="83">
        <v>46133</v>
      </c>
      <c r="O203" s="84"/>
      <c r="P203" s="82" t="s">
        <v>773</v>
      </c>
      <c r="Q203" s="85"/>
      <c r="R203" s="82" t="s">
        <v>1209</v>
      </c>
      <c r="S203" s="77" t="s">
        <v>724</v>
      </c>
      <c r="T203" s="86">
        <v>46132</v>
      </c>
      <c r="U203" s="87" t="str">
        <f>IF(V203="","No AIS",VLOOKUP(V203,'Voyage days'!$A$3:$B$1480,2,FALSE))</f>
        <v>USG</v>
      </c>
      <c r="V203" s="88" t="str">
        <f>IF(VLOOKUP(A203,'1) Kpler'!$E$2:$P$1000,8, FALSE)="","",VLOOKUP(A203,'1) Kpler'!$E$2:$P$1000,8, FALSE))</f>
        <v>Houston</v>
      </c>
      <c r="W203" s="89">
        <f>IF(VLOOKUP(A203,'1) Kpler'!$E$2:$P$1000,9,FALSE)="","",VLOOKUP(A203,'1) Kpler'!$E$2:$P$1000,9,FALSE))</f>
        <v>46132.486805555556</v>
      </c>
      <c r="X203" s="88" t="str">
        <f>VLOOKUP(A203,'1) Kpler'!$E$2:$I$1000,4,FALSE)</f>
        <v>ballast</v>
      </c>
      <c r="Y203" s="90" t="str">
        <f t="shared" si="0"/>
        <v/>
      </c>
      <c r="Z203" s="90" t="str">
        <f t="shared" si="1"/>
        <v>20-21 Apr</v>
      </c>
      <c r="AA203" s="90" t="str">
        <f t="shared" si="2"/>
        <v>20-21 Apr</v>
      </c>
      <c r="AB203" s="90" t="str">
        <f t="shared" si="3"/>
        <v/>
      </c>
      <c r="AC203" s="90" t="str">
        <f t="shared" si="4"/>
        <v>10-11 May</v>
      </c>
      <c r="AD203" s="90" t="str">
        <f t="shared" si="5"/>
        <v/>
      </c>
      <c r="AE203" s="91" t="str">
        <f t="shared" si="6"/>
        <v/>
      </c>
      <c r="AF203" s="92" t="str">
        <f t="shared" si="7"/>
        <v/>
      </c>
      <c r="AG203" s="93" t="str">
        <f t="shared" si="26"/>
        <v/>
      </c>
      <c r="AH203" s="94" t="str">
        <f>IFERROR($M203+VLOOKUP($L203,'Voyage days'!$F$38:$H$89,3,FALSE),"")</f>
        <v/>
      </c>
      <c r="AI203" s="94" t="str">
        <f>IFERROR(N203+VLOOKUP($L203,'Voyage days'!$F$38:$H$89,3,FALSE),"")</f>
        <v/>
      </c>
      <c r="AJ203" s="93" t="str">
        <f t="shared" si="27"/>
        <v>20-21 Apr</v>
      </c>
      <c r="AK203" s="94">
        <f>IFERROR($M203+VLOOKUP($L203,'Voyage days'!$F$94:$H$193,3,FALSE),"")</f>
        <v>46132</v>
      </c>
      <c r="AL203" s="94">
        <f>IFERROR($N203+VLOOKUP($L203,'Voyage days'!$F$94:$H$193,3,FALSE),"")</f>
        <v>46133</v>
      </c>
      <c r="AM203" s="93" t="str">
        <f t="shared" si="28"/>
        <v>20-21 Apr</v>
      </c>
      <c r="AN203" s="94">
        <f>IFERROR($M203+VLOOKUP($L203,'Voyage days'!$F$203:$H$256,3,FALSE),"")</f>
        <v>46132</v>
      </c>
      <c r="AO203" s="94">
        <f>IFERROR($N203+VLOOKUP($L203,'Voyage days'!$F$203:$H$256,3,FALSE),"")</f>
        <v>46133</v>
      </c>
      <c r="AP203" s="93" t="str">
        <f t="shared" si="29"/>
        <v/>
      </c>
      <c r="AQ203" s="94" t="str">
        <f>IFERROR($M203+VLOOKUP($L203,'Voyage days'!$F$294:$H$377,3,FALSE),"")</f>
        <v/>
      </c>
      <c r="AR203" s="94" t="str">
        <f>IFERROR($N203+VLOOKUP($L203,'Voyage days'!$F$294:$H$377,3,FALSE),"")</f>
        <v/>
      </c>
      <c r="AS203" s="93" t="str">
        <f t="shared" si="30"/>
        <v>10-11 May</v>
      </c>
      <c r="AT203" s="94">
        <f>IFERROR($M203+VLOOKUP($L203,'Voyage days'!$F$382:$H$446,3,FALSE),"")</f>
        <v>46152</v>
      </c>
      <c r="AU203" s="94">
        <f>IFERROR($N203+VLOOKUP($L203,'Voyage days'!$F$382:$H$446,3,FALSE),"")</f>
        <v>46153</v>
      </c>
      <c r="AV203" s="93" t="str">
        <f t="shared" si="31"/>
        <v/>
      </c>
      <c r="AW203" s="94" t="str">
        <f>IFERROR($M203+VLOOKUP($L203,'Voyage days'!$F$483:$H$538,3,FALSE),"")</f>
        <v/>
      </c>
      <c r="AX203" s="94" t="str">
        <f>IFERROR($N203+VLOOKUP($L203,'Voyage days'!$F$483:$H$538,3,FALSE),"")</f>
        <v/>
      </c>
      <c r="AY203" s="93" t="str">
        <f t="shared" si="32"/>
        <v/>
      </c>
      <c r="AZ203" s="94" t="str">
        <f>IFERROR($M203+VLOOKUP($L203,'Voyage days'!$F$540:$H$613,3,FALSE),"")</f>
        <v/>
      </c>
      <c r="BA203" s="94" t="str">
        <f>IFERROR($N203+VLOOKUP($L203,'Voyage days'!$F$540:$H$613,3,FALSE),"")</f>
        <v/>
      </c>
      <c r="BB203" s="93" t="str">
        <f t="shared" si="33"/>
        <v/>
      </c>
      <c r="BC203" s="94" t="str">
        <f>IFERROR($M203+VLOOKUP($L203,'Voyage days'!$F$448:$H$479,3,FALSE),"")</f>
        <v/>
      </c>
      <c r="BD203" s="94" t="str">
        <f>IFERROR($N203+VLOOKUP($L203,'Voyage days'!$F$448:$H$479,3,FALSE),"")</f>
        <v/>
      </c>
      <c r="BE203" s="93" t="str">
        <f t="shared" si="34"/>
        <v/>
      </c>
      <c r="BF203" s="95" t="str">
        <f>IFERROR($M203+VLOOKUP($L203,'Voyage days'!$F$620:$H$646,3,FALSE),"")</f>
        <v/>
      </c>
      <c r="BG203" s="95" t="str">
        <f>IFERROR($N203+VLOOKUP($L203,'Voyage days'!$F$620:$H$646,3,FALSE),"")</f>
        <v/>
      </c>
      <c r="BH203" s="93" t="str">
        <f t="shared" si="35"/>
        <v/>
      </c>
      <c r="BI203" s="96" t="str">
        <f>IFERROR($M203+VLOOKUP($L203,'Voyage days'!$F$702:$H$727,3,FALSE),"")</f>
        <v/>
      </c>
      <c r="BJ203" s="93" t="str">
        <f t="shared" si="36"/>
        <v/>
      </c>
      <c r="BK203" s="95" t="str">
        <f>IFERROR($M203+VLOOKUP($L203,'Voyage days'!$F$807:$H$878,3,FALSE),"")</f>
        <v/>
      </c>
      <c r="BL203" s="95" t="str">
        <f>IFERROR($N203+VLOOKUP($L203,'Voyage days'!$F$807:$H$878,3,FALSE),"")</f>
        <v/>
      </c>
      <c r="BM203" s="95" t="str">
        <f>IFERROR($N203+VLOOKUP($L203,'Voyage days'!$F$807:$K$878,6,FALSE),"")</f>
        <v/>
      </c>
      <c r="BN203" s="94" t="str">
        <f>IF(L203="loads AG", IFERROR($M203+VLOOKUP($L203,'Voyage days'!$M$38:$O$38,3,FALSE),""),"")</f>
        <v/>
      </c>
      <c r="BO203" s="94">
        <f>IF(L203="loads USG", IFERROR($M203+VLOOKUP($L203,'Voyage days'!$L$203:$N$203,3,FALSE),""),"")</f>
        <v>46164</v>
      </c>
    </row>
    <row r="204" spans="1:67" ht="15.75" customHeight="1" x14ac:dyDescent="0.25">
      <c r="A204" s="74" t="s">
        <v>263</v>
      </c>
      <c r="B204" s="75">
        <v>41527</v>
      </c>
      <c r="C204" s="76">
        <v>82000</v>
      </c>
      <c r="D204" s="77"/>
      <c r="E204" s="77"/>
      <c r="F204" s="78"/>
      <c r="G204" s="78"/>
      <c r="H204" s="78"/>
      <c r="I204" s="233" t="s">
        <v>1200</v>
      </c>
      <c r="J204" s="80" t="str">
        <f t="shared" si="37"/>
        <v/>
      </c>
      <c r="K204" s="81"/>
      <c r="L204" s="82" t="s">
        <v>770</v>
      </c>
      <c r="M204" s="83">
        <v>46163</v>
      </c>
      <c r="N204" s="83">
        <v>46164</v>
      </c>
      <c r="O204" s="84"/>
      <c r="P204" s="82" t="s">
        <v>1210</v>
      </c>
      <c r="Q204" s="158"/>
      <c r="R204" s="82" t="s">
        <v>1211</v>
      </c>
      <c r="S204" s="77" t="s">
        <v>724</v>
      </c>
      <c r="T204" s="86">
        <v>46132</v>
      </c>
      <c r="U204" s="87" t="str">
        <f>IF(V204="","No AIS",VLOOKUP(V204,'Voyage days'!$A$3:$B$1480,2,FALSE))</f>
        <v>Korea + 4</v>
      </c>
      <c r="V204" s="88" t="str">
        <f>IF(VLOOKUP(A204,'1) Kpler'!$E$2:$P$1000,8, FALSE)="","",VLOOKUP(A204,'1) Kpler'!$E$2:$P$1000,8, FALSE))</f>
        <v>Ulsan</v>
      </c>
      <c r="W204" s="89">
        <f>IF(VLOOKUP(A204,'1) Kpler'!$E$2:$P$1000,9,FALSE)="","",VLOOKUP(A204,'1) Kpler'!$E$2:$P$1000,9,FALSE))</f>
        <v>46159.958333333336</v>
      </c>
      <c r="X204" s="88" t="str">
        <f>VLOOKUP(A204,'1) Kpler'!$E$2:$I$1000,4,FALSE)</f>
        <v>loaded</v>
      </c>
      <c r="Y204" s="63" t="str">
        <f t="shared" si="0"/>
        <v>08-09 Jun</v>
      </c>
      <c r="Z204" s="63" t="str">
        <f t="shared" si="1"/>
        <v>23-24 Jun</v>
      </c>
      <c r="AA204" s="63" t="str">
        <f t="shared" si="2"/>
        <v>01-02 Jul</v>
      </c>
      <c r="AB204" s="63" t="str">
        <f t="shared" si="3"/>
        <v>19-20 Jun</v>
      </c>
      <c r="AC204" s="63" t="str">
        <f t="shared" si="4"/>
        <v>25-26 Jun</v>
      </c>
      <c r="AD204" s="63" t="str">
        <f t="shared" si="5"/>
        <v>28-29 May</v>
      </c>
      <c r="AE204" s="129" t="str">
        <f t="shared" si="6"/>
        <v>29-30 May</v>
      </c>
      <c r="AF204" s="130" t="str">
        <f t="shared" si="7"/>
        <v>05-06 Jul</v>
      </c>
      <c r="AG204" s="93" t="str">
        <f t="shared" si="26"/>
        <v>08-09 Jun</v>
      </c>
      <c r="AH204" s="94">
        <f>IFERROR($M204+VLOOKUP($L204,'Voyage days'!$F$38:$H$89,3,FALSE),"")</f>
        <v>46181</v>
      </c>
      <c r="AI204" s="94">
        <f>IFERROR(N204+VLOOKUP($L204,'Voyage days'!$F$38:$H$89,3,FALSE),"")</f>
        <v>46182</v>
      </c>
      <c r="AJ204" s="93" t="str">
        <f t="shared" si="27"/>
        <v>23-24 Jun</v>
      </c>
      <c r="AK204" s="94">
        <f>IFERROR($M204+VLOOKUP($L204,'Voyage days'!$F$94:$H$193,3,FALSE),"")</f>
        <v>46196</v>
      </c>
      <c r="AL204" s="94">
        <f>IFERROR($N204+VLOOKUP($L204,'Voyage days'!$F$94:$H$193,3,FALSE),"")</f>
        <v>46197</v>
      </c>
      <c r="AM204" s="93" t="str">
        <f t="shared" si="28"/>
        <v>01-02 Jul</v>
      </c>
      <c r="AN204" s="94">
        <f>IFERROR($M204+VLOOKUP($L204,'Voyage days'!$F$203:$H$256,3,FALSE),"")</f>
        <v>46204</v>
      </c>
      <c r="AO204" s="94">
        <f>IFERROR($N204+VLOOKUP($L204,'Voyage days'!$F$203:$H$256,3,FALSE),"")</f>
        <v>46205</v>
      </c>
      <c r="AP204" s="93" t="str">
        <f t="shared" si="29"/>
        <v>19-20 Jun</v>
      </c>
      <c r="AQ204" s="94">
        <f>IFERROR($M204+VLOOKUP($L204,'Voyage days'!$F$294:$H$377,3,FALSE),"")</f>
        <v>46192</v>
      </c>
      <c r="AR204" s="94">
        <f>IFERROR($N204+VLOOKUP($L204,'Voyage days'!$F$294:$H$377,3,FALSE),"")</f>
        <v>46193</v>
      </c>
      <c r="AS204" s="93" t="str">
        <f t="shared" si="30"/>
        <v>25-26 Jun</v>
      </c>
      <c r="AT204" s="94">
        <f>IFERROR($M204+VLOOKUP($L204,'Voyage days'!$F$382:$H$446,3,FALSE),"")</f>
        <v>46198</v>
      </c>
      <c r="AU204" s="94">
        <f>IFERROR($N204+VLOOKUP($L204,'Voyage days'!$F$382:$H$446,3,FALSE),"")</f>
        <v>46199</v>
      </c>
      <c r="AV204" s="93" t="str">
        <f t="shared" si="31"/>
        <v>04-05 Jun</v>
      </c>
      <c r="AW204" s="94">
        <f>IFERROR($M204+VLOOKUP($L204,'Voyage days'!$F$483:$H$538,3,FALSE),"")</f>
        <v>46177</v>
      </c>
      <c r="AX204" s="94">
        <f>IFERROR($N204+VLOOKUP($L204,'Voyage days'!$F$483:$H$538,3,FALSE),"")</f>
        <v>46178</v>
      </c>
      <c r="AY204" s="93" t="str">
        <f t="shared" si="32"/>
        <v>29-30 May</v>
      </c>
      <c r="AZ204" s="94">
        <f>IFERROR($M204+VLOOKUP($L204,'Voyage days'!$F$540:$H$613,3,FALSE),"")</f>
        <v>46171</v>
      </c>
      <c r="BA204" s="94">
        <f>IFERROR($N204+VLOOKUP($L204,'Voyage days'!$F$540:$H$613,3,FALSE),"")</f>
        <v>46172</v>
      </c>
      <c r="BB204" s="93" t="str">
        <f t="shared" si="33"/>
        <v>28-29 May</v>
      </c>
      <c r="BC204" s="94">
        <f>IFERROR($M204+VLOOKUP($L204,'Voyage days'!$F$448:$H$479,3,FALSE),"")</f>
        <v>46170</v>
      </c>
      <c r="BD204" s="94">
        <f>IFERROR($N204+VLOOKUP($L204,'Voyage days'!$F$448:$H$479,3,FALSE),"")</f>
        <v>46171</v>
      </c>
      <c r="BE204" s="93" t="str">
        <f t="shared" si="34"/>
        <v>01-02 Jun</v>
      </c>
      <c r="BF204" s="95">
        <f>IFERROR($M204+VLOOKUP($L204,'Voyage days'!$F$620:$H$646,3,FALSE),"")</f>
        <v>46174</v>
      </c>
      <c r="BG204" s="95">
        <f>IFERROR($N204+VLOOKUP($L204,'Voyage days'!$F$620:$H$646,3,FALSE),"")</f>
        <v>46175</v>
      </c>
      <c r="BH204" s="93" t="str">
        <f t="shared" si="35"/>
        <v>29-06 Jul</v>
      </c>
      <c r="BI204" s="96">
        <f>IFERROR($M204+VLOOKUP($L204,'Voyage days'!$F$702:$H$727,3,FALSE),"")</f>
        <v>46171</v>
      </c>
      <c r="BJ204" s="93" t="str">
        <f t="shared" si="36"/>
        <v>05-06 Jul</v>
      </c>
      <c r="BK204" s="95">
        <f>IFERROR($M204+VLOOKUP($L204,'Voyage days'!$F$807:$H$878,3,FALSE),"")</f>
        <v>46208</v>
      </c>
      <c r="BL204" s="95">
        <f>IFERROR($N204+VLOOKUP($L204,'Voyage days'!$F$807:$H$878,3,FALSE),"")</f>
        <v>46209</v>
      </c>
      <c r="BM204" s="95">
        <f>IFERROR($N204+VLOOKUP($L204,'Voyage days'!$F$807:$K$878,6,FALSE),"")</f>
        <v>46183</v>
      </c>
      <c r="BN204" s="94" t="str">
        <f>IF(L204="loads AG", IFERROR($M204+VLOOKUP($L204,'Voyage days'!$M$38:$O$38,3,FALSE),""),"")</f>
        <v/>
      </c>
      <c r="BO204" s="94" t="str">
        <f>IF(L204="loads USG", IFERROR($M204+VLOOKUP($L204,'Voyage days'!$L$203:$N$203,3,FALSE),""),"")</f>
        <v/>
      </c>
    </row>
    <row r="205" spans="1:67" ht="15.75" customHeight="1" x14ac:dyDescent="0.25">
      <c r="A205" s="74" t="s">
        <v>264</v>
      </c>
      <c r="B205" s="119">
        <v>2018</v>
      </c>
      <c r="C205" s="76">
        <v>84000</v>
      </c>
      <c r="D205" s="77"/>
      <c r="E205" s="77"/>
      <c r="F205" s="78"/>
      <c r="G205" s="78"/>
      <c r="H205" s="78" t="s">
        <v>739</v>
      </c>
      <c r="I205" s="233" t="s">
        <v>1200</v>
      </c>
      <c r="J205" s="80" t="str">
        <f t="shared" si="37"/>
        <v/>
      </c>
      <c r="K205" s="81"/>
      <c r="L205" s="82" t="s">
        <v>770</v>
      </c>
      <c r="M205" s="262">
        <v>46148</v>
      </c>
      <c r="N205" s="83">
        <v>46151</v>
      </c>
      <c r="O205" s="84"/>
      <c r="P205" s="82" t="s">
        <v>1212</v>
      </c>
      <c r="Q205" s="82"/>
      <c r="R205" s="82" t="s">
        <v>1213</v>
      </c>
      <c r="S205" s="77" t="s">
        <v>724</v>
      </c>
      <c r="T205" s="86">
        <v>46132</v>
      </c>
      <c r="U205" s="87" t="str">
        <f>IF(V205="","No AIS",VLOOKUP(V205,'Voyage days'!$A$3:$B$1480,2,FALSE))</f>
        <v>Korea + 4</v>
      </c>
      <c r="V205" s="88" t="str">
        <f>IF(VLOOKUP(A205,'1) Kpler'!$E$2:$P$1000,8, FALSE)="","",VLOOKUP(A205,'1) Kpler'!$E$2:$P$1000,8, FALSE))</f>
        <v>SK Gas Pyeongtaek</v>
      </c>
      <c r="W205" s="89">
        <f>IF(VLOOKUP(A205,'1) Kpler'!$E$2:$P$1000,9,FALSE)="","",VLOOKUP(A205,'1) Kpler'!$E$2:$P$1000,9,FALSE))</f>
        <v>46144.375</v>
      </c>
      <c r="X205" s="88" t="str">
        <f>VLOOKUP(A205,'1) Kpler'!$E$2:$I$1000,4,FALSE)</f>
        <v>loaded</v>
      </c>
      <c r="Y205" s="90" t="str">
        <f t="shared" si="0"/>
        <v>24-27 May</v>
      </c>
      <c r="Z205" s="90" t="str">
        <f t="shared" si="1"/>
        <v>08-11 Jun</v>
      </c>
      <c r="AA205" s="90" t="str">
        <f t="shared" si="2"/>
        <v>16-19 Jun</v>
      </c>
      <c r="AB205" s="90" t="str">
        <f t="shared" si="3"/>
        <v>04-07 Jun</v>
      </c>
      <c r="AC205" s="90" t="str">
        <f t="shared" si="4"/>
        <v>10-13 Jun</v>
      </c>
      <c r="AD205" s="90" t="str">
        <f t="shared" si="5"/>
        <v>13-16 May</v>
      </c>
      <c r="AE205" s="91" t="str">
        <f t="shared" si="6"/>
        <v>14-17 May</v>
      </c>
      <c r="AF205" s="92" t="str">
        <f t="shared" si="7"/>
        <v>20-23 Jun</v>
      </c>
      <c r="AG205" s="93" t="str">
        <f t="shared" si="26"/>
        <v>24-27 May</v>
      </c>
      <c r="AH205" s="94">
        <f>IFERROR($M205+VLOOKUP($L205,'Voyage days'!$F$38:$H$89,3,FALSE),"")</f>
        <v>46166</v>
      </c>
      <c r="AI205" s="94">
        <f>IFERROR(N205+VLOOKUP($L205,'Voyage days'!$F$38:$H$89,3,FALSE),"")</f>
        <v>46169</v>
      </c>
      <c r="AJ205" s="93" t="str">
        <f t="shared" si="27"/>
        <v>08-11 Jun</v>
      </c>
      <c r="AK205" s="94">
        <f>IFERROR($M205+VLOOKUP($L205,'Voyage days'!$F$94:$H$193,3,FALSE),"")</f>
        <v>46181</v>
      </c>
      <c r="AL205" s="94">
        <f>IFERROR($N205+VLOOKUP($L205,'Voyage days'!$F$94:$H$193,3,FALSE),"")</f>
        <v>46184</v>
      </c>
      <c r="AM205" s="93" t="str">
        <f t="shared" si="28"/>
        <v>16-19 Jun</v>
      </c>
      <c r="AN205" s="94">
        <f>IFERROR($M205+VLOOKUP($L205,'Voyage days'!$F$203:$H$256,3,FALSE),"")</f>
        <v>46189</v>
      </c>
      <c r="AO205" s="94">
        <f>IFERROR($N205+VLOOKUP($L205,'Voyage days'!$F$203:$H$256,3,FALSE),"")</f>
        <v>46192</v>
      </c>
      <c r="AP205" s="93" t="str">
        <f t="shared" si="29"/>
        <v>04-07 Jun</v>
      </c>
      <c r="AQ205" s="94">
        <f>IFERROR($M205+VLOOKUP($L205,'Voyage days'!$F$294:$H$377,3,FALSE),"")</f>
        <v>46177</v>
      </c>
      <c r="AR205" s="94">
        <f>IFERROR($N205+VLOOKUP($L205,'Voyage days'!$F$294:$H$377,3,FALSE),"")</f>
        <v>46180</v>
      </c>
      <c r="AS205" s="93" t="str">
        <f t="shared" si="30"/>
        <v>10-13 Jun</v>
      </c>
      <c r="AT205" s="94">
        <f>IFERROR($M205+VLOOKUP($L205,'Voyage days'!$F$382:$H$446,3,FALSE),"")</f>
        <v>46183</v>
      </c>
      <c r="AU205" s="94">
        <f>IFERROR($N205+VLOOKUP($L205,'Voyage days'!$F$382:$H$446,3,FALSE),"")</f>
        <v>46186</v>
      </c>
      <c r="AV205" s="93" t="str">
        <f t="shared" si="31"/>
        <v>20-23 May</v>
      </c>
      <c r="AW205" s="94">
        <f>IFERROR($M205+VLOOKUP($L205,'Voyage days'!$F$483:$H$538,3,FALSE),"")</f>
        <v>46162</v>
      </c>
      <c r="AX205" s="94">
        <f>IFERROR($N205+VLOOKUP($L205,'Voyage days'!$F$483:$H$538,3,FALSE),"")</f>
        <v>46165</v>
      </c>
      <c r="AY205" s="93" t="str">
        <f t="shared" si="32"/>
        <v>14-17 May</v>
      </c>
      <c r="AZ205" s="94">
        <f>IFERROR($M205+VLOOKUP($L205,'Voyage days'!$F$540:$H$613,3,FALSE),"")</f>
        <v>46156</v>
      </c>
      <c r="BA205" s="94">
        <f>IFERROR($N205+VLOOKUP($L205,'Voyage days'!$F$540:$H$613,3,FALSE),"")</f>
        <v>46159</v>
      </c>
      <c r="BB205" s="93" t="str">
        <f t="shared" si="33"/>
        <v>13-16 May</v>
      </c>
      <c r="BC205" s="94">
        <f>IFERROR($M205+VLOOKUP($L205,'Voyage days'!$F$448:$H$479,3,FALSE),"")</f>
        <v>46155</v>
      </c>
      <c r="BD205" s="94">
        <f>IFERROR($N205+VLOOKUP($L205,'Voyage days'!$F$448:$H$479,3,FALSE),"")</f>
        <v>46158</v>
      </c>
      <c r="BE205" s="93" t="str">
        <f t="shared" si="34"/>
        <v>17-20 May</v>
      </c>
      <c r="BF205" s="95">
        <f>IFERROR($M205+VLOOKUP($L205,'Voyage days'!$F$620:$H$646,3,FALSE),"")</f>
        <v>46159</v>
      </c>
      <c r="BG205" s="95">
        <f>IFERROR($N205+VLOOKUP($L205,'Voyage days'!$F$620:$H$646,3,FALSE),"")</f>
        <v>46162</v>
      </c>
      <c r="BH205" s="93" t="str">
        <f t="shared" si="35"/>
        <v>14-23 Jun</v>
      </c>
      <c r="BI205" s="96">
        <f>IFERROR($M205+VLOOKUP($L205,'Voyage days'!$F$702:$H$727,3,FALSE),"")</f>
        <v>46156</v>
      </c>
      <c r="BJ205" s="93" t="str">
        <f t="shared" si="36"/>
        <v>20-23 Jun</v>
      </c>
      <c r="BK205" s="95">
        <f>IFERROR($M205+VLOOKUP($L205,'Voyage days'!$F$807:$H$878,3,FALSE),"")</f>
        <v>46193</v>
      </c>
      <c r="BL205" s="95">
        <f>IFERROR($N205+VLOOKUP($L205,'Voyage days'!$F$807:$H$878,3,FALSE),"")</f>
        <v>46196</v>
      </c>
      <c r="BM205" s="95">
        <f>IFERROR($N205+VLOOKUP($L205,'Voyage days'!$F$807:$K$878,6,FALSE),"")</f>
        <v>46170</v>
      </c>
      <c r="BN205" s="94" t="str">
        <f>IF(L205="loads AG", IFERROR($M205+VLOOKUP($L205,'Voyage days'!$M$38:$O$38,3,FALSE),""),"")</f>
        <v/>
      </c>
      <c r="BO205" s="94" t="str">
        <f>IF(L205="loads USG", IFERROR($M205+VLOOKUP($L205,'Voyage days'!$L$203:$N$203,3,FALSE),""),"")</f>
        <v/>
      </c>
    </row>
    <row r="206" spans="1:67" ht="15.75" customHeight="1" x14ac:dyDescent="0.25">
      <c r="A206" s="369" t="s">
        <v>260</v>
      </c>
      <c r="B206" s="176">
        <v>41353</v>
      </c>
      <c r="C206" s="134">
        <v>82000</v>
      </c>
      <c r="D206" s="143"/>
      <c r="E206" s="143"/>
      <c r="F206" s="136"/>
      <c r="G206" s="136"/>
      <c r="H206" s="136" t="s">
        <v>739</v>
      </c>
      <c r="I206" s="140" t="s">
        <v>1200</v>
      </c>
      <c r="J206" s="138" t="str">
        <f t="shared" si="37"/>
        <v/>
      </c>
      <c r="K206" s="139"/>
      <c r="L206" s="140" t="s">
        <v>909</v>
      </c>
      <c r="M206" s="141">
        <v>46139</v>
      </c>
      <c r="N206" s="225">
        <v>46140</v>
      </c>
      <c r="O206" s="168"/>
      <c r="P206" s="140" t="s">
        <v>1214</v>
      </c>
      <c r="Q206" s="247"/>
      <c r="R206" s="247" t="s">
        <v>1215</v>
      </c>
      <c r="S206" s="143" t="s">
        <v>724</v>
      </c>
      <c r="T206" s="86">
        <v>46132</v>
      </c>
      <c r="U206" s="145" t="str">
        <f>IF(V206="","No AIS",VLOOKUP(V206,'Voyage days'!$A$3:$B$1480,2,FALSE))</f>
        <v>Singapore</v>
      </c>
      <c r="V206" s="146" t="str">
        <f>IF(VLOOKUP(A206,'1) Kpler'!$E$2:$P$1000,8, FALSE)="","",VLOOKUP(A206,'1) Kpler'!$E$2:$P$1000,8, FALSE))</f>
        <v>Singapore</v>
      </c>
      <c r="W206" s="147">
        <f>IF(VLOOKUP(A206,'1) Kpler'!$E$2:$P$1000,9,FALSE)="","",VLOOKUP(A206,'1) Kpler'!$E$2:$P$1000,9,FALSE))</f>
        <v>46139.833333333336</v>
      </c>
      <c r="X206" s="146" t="str">
        <f>VLOOKUP(A206,'1) Kpler'!$E$2:$I$1000,4,FALSE)</f>
        <v>loaded</v>
      </c>
      <c r="Y206" s="93" t="str">
        <f t="shared" si="0"/>
        <v>12-13 May</v>
      </c>
      <c r="Z206" s="93" t="str">
        <f t="shared" si="1"/>
        <v>04-05 Jun</v>
      </c>
      <c r="AA206" s="93" t="str">
        <f t="shared" si="2"/>
        <v>05-06 Jun</v>
      </c>
      <c r="AB206" s="93" t="str">
        <f t="shared" si="3"/>
        <v>22-23 May</v>
      </c>
      <c r="AC206" s="93" t="str">
        <f t="shared" si="4"/>
        <v>30-31 May</v>
      </c>
      <c r="AD206" s="93" t="str">
        <f t="shared" si="5"/>
        <v>04-05 May</v>
      </c>
      <c r="AE206" s="179" t="str">
        <f t="shared" si="6"/>
        <v>07-08 May</v>
      </c>
      <c r="AF206" s="180" t="str">
        <f t="shared" si="7"/>
        <v>09-10 Jun</v>
      </c>
      <c r="AG206" s="93" t="str">
        <f t="shared" si="26"/>
        <v>12-13 May</v>
      </c>
      <c r="AH206" s="94">
        <f>IFERROR($M206+VLOOKUP($L206,'Voyage days'!$F$38:$H$89,3,FALSE),"")</f>
        <v>46154</v>
      </c>
      <c r="AI206" s="94">
        <f>IFERROR(N206+VLOOKUP($L206,'Voyage days'!$F$38:$H$89,3,FALSE),"")</f>
        <v>46155</v>
      </c>
      <c r="AJ206" s="93" t="str">
        <f t="shared" si="27"/>
        <v>04-05 Jun</v>
      </c>
      <c r="AK206" s="94">
        <f>IFERROR($M206+VLOOKUP($L206,'Voyage days'!$F$94:$H$193,3,FALSE),"")</f>
        <v>46177</v>
      </c>
      <c r="AL206" s="94">
        <f>IFERROR($N206+VLOOKUP($L206,'Voyage days'!$F$94:$H$193,3,FALSE),"")</f>
        <v>46178</v>
      </c>
      <c r="AM206" s="93" t="str">
        <f t="shared" si="28"/>
        <v>05-06 Jun</v>
      </c>
      <c r="AN206" s="94">
        <f>IFERROR($M206+VLOOKUP($L206,'Voyage days'!$F$203:$H$256,3,FALSE),"")</f>
        <v>46178</v>
      </c>
      <c r="AO206" s="94">
        <f>IFERROR($N206+VLOOKUP($L206,'Voyage days'!$F$203:$H$256,3,FALSE),"")</f>
        <v>46179</v>
      </c>
      <c r="AP206" s="93" t="str">
        <f t="shared" si="29"/>
        <v>22-23 May</v>
      </c>
      <c r="AQ206" s="94">
        <f>IFERROR($M206+VLOOKUP($L206,'Voyage days'!$F$294:$H$377,3,FALSE),"")</f>
        <v>46164</v>
      </c>
      <c r="AR206" s="94">
        <f>IFERROR($N206+VLOOKUP($L206,'Voyage days'!$F$294:$H$377,3,FALSE),"")</f>
        <v>46165</v>
      </c>
      <c r="AS206" s="93" t="str">
        <f t="shared" si="30"/>
        <v>30-31 May</v>
      </c>
      <c r="AT206" s="94">
        <f>IFERROR($M206+VLOOKUP($L206,'Voyage days'!$F$382:$H$446,3,FALSE),"")</f>
        <v>46172</v>
      </c>
      <c r="AU206" s="94">
        <f>IFERROR($N206+VLOOKUP($L206,'Voyage days'!$F$382:$H$446,3,FALSE),"")</f>
        <v>46173</v>
      </c>
      <c r="AV206" s="93" t="str">
        <f t="shared" si="31"/>
        <v>13-14 May</v>
      </c>
      <c r="AW206" s="94">
        <f>IFERROR($M206+VLOOKUP($L206,'Voyage days'!$F$483:$H$538,3,FALSE),"")</f>
        <v>46155</v>
      </c>
      <c r="AX206" s="94">
        <f>IFERROR($N206+VLOOKUP($L206,'Voyage days'!$F$483:$H$538,3,FALSE),"")</f>
        <v>46156</v>
      </c>
      <c r="AY206" s="93" t="str">
        <f t="shared" si="32"/>
        <v>07-08 May</v>
      </c>
      <c r="AZ206" s="94">
        <f>IFERROR($M206+VLOOKUP($L206,'Voyage days'!$F$540:$H$613,3,FALSE),"")</f>
        <v>46149</v>
      </c>
      <c r="BA206" s="94">
        <f>IFERROR($N206+VLOOKUP($L206,'Voyage days'!$F$540:$H$613,3,FALSE),"")</f>
        <v>46150</v>
      </c>
      <c r="BB206" s="93" t="str">
        <f t="shared" si="33"/>
        <v>04-05 May</v>
      </c>
      <c r="BC206" s="94">
        <f>IFERROR($M206+VLOOKUP($L206,'Voyage days'!$F$448:$H$479,3,FALSE),"")</f>
        <v>46146</v>
      </c>
      <c r="BD206" s="94">
        <f>IFERROR($N206+VLOOKUP($L206,'Voyage days'!$F$448:$H$479,3,FALSE),"")</f>
        <v>46147</v>
      </c>
      <c r="BE206" s="93" t="str">
        <f t="shared" si="34"/>
        <v/>
      </c>
      <c r="BF206" s="95" t="str">
        <f>IFERROR($M206+VLOOKUP($L206,'Voyage days'!$F$620:$H$646,3,FALSE),"")</f>
        <v/>
      </c>
      <c r="BG206" s="95" t="str">
        <f>IFERROR($N206+VLOOKUP($L206,'Voyage days'!$F$620:$H$646,3,FALSE),"")</f>
        <v/>
      </c>
      <c r="BH206" s="93" t="str">
        <f t="shared" si="35"/>
        <v>12-10 Jun</v>
      </c>
      <c r="BI206" s="96">
        <f>IFERROR($M206+VLOOKUP($L206,'Voyage days'!$F$702:$H$727,3,FALSE),"")</f>
        <v>46154</v>
      </c>
      <c r="BJ206" s="93" t="str">
        <f t="shared" si="36"/>
        <v>09-10 Jun</v>
      </c>
      <c r="BK206" s="95">
        <f>IFERROR($M206+VLOOKUP($L206,'Voyage days'!$F$807:$H$878,3,FALSE),"")</f>
        <v>46182</v>
      </c>
      <c r="BL206" s="95">
        <f>IFERROR($N206+VLOOKUP($L206,'Voyage days'!$F$807:$H$878,3,FALSE),"")</f>
        <v>46183</v>
      </c>
      <c r="BM206" s="95">
        <f>IFERROR($N206+VLOOKUP($L206,'Voyage days'!$F$807:$K$878,6,FALSE),"")</f>
        <v>46159</v>
      </c>
      <c r="BN206" s="94" t="str">
        <f>IF(L206="loads AG", IFERROR($M206+VLOOKUP($L206,'Voyage days'!$M$38:$O$38,3,FALSE),""),"")</f>
        <v/>
      </c>
      <c r="BO206" s="94" t="str">
        <f>IF(L206="loads USG", IFERROR($M206+VLOOKUP($L206,'Voyage days'!$L$203:$N$203,3,FALSE),""),"")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r="K207" s="254"/>
      <c r="L207" s="227" t="s">
        <v>715</v>
      </c>
      <c r="M207" s="288">
        <v>46145</v>
      </c>
      <c r="N207" s="141">
        <v>46147</v>
      </c>
      <c r="O207" s="379" t="s">
        <v>807</v>
      </c>
      <c r="P207" s="140" t="s">
        <v>1217</v>
      </c>
      <c r="Q207" s="378"/>
      <c r="R207" s="378" t="s">
        <v>1218</v>
      </c>
      <c r="S207" s="279" t="s">
        <v>1219</v>
      </c>
      <c r="T207" s="380">
        <v>46129</v>
      </c>
      <c r="U207" s="145" t="str">
        <f>IF(V207="","No AIS",VLOOKUP(V207,'Voyage days'!$A$3:$B$1480,2,FALSE))</f>
        <v>South China + 4</v>
      </c>
      <c r="V207" s="145" t="str">
        <f>IF(VLOOKUP(A207,'1) Kpler'!$E$2:$P$1000,8, FALSE)="","",VLOOKUP(A207,'1) Kpler'!$E$2:$P$1000,8, FALSE))</f>
        <v>Guangzhou</v>
      </c>
      <c r="W207" s="290">
        <f>IF(VLOOKUP(A207,'1) Kpler'!$E$2:$P$1000,9,FALSE)="","",VLOOKUP(A207,'1) Kpler'!$E$2:$P$1000,9,FALSE))</f>
        <v>46139.416666666664</v>
      </c>
      <c r="X207" s="145" t="str">
        <f>VLOOKUP(A207,'1) Kpler'!$E$2:$I$1000,4,FALSE)</f>
        <v>loaded</v>
      </c>
      <c r="Y207" s="445" t="str">
        <f t="shared" si="0"/>
        <v>21-23 May</v>
      </c>
      <c r="Z207" s="445" t="str">
        <f t="shared" si="1"/>
        <v>03-05 Jun</v>
      </c>
      <c r="AA207" s="445" t="str">
        <f t="shared" si="2"/>
        <v>14-16 Jun</v>
      </c>
      <c r="AB207" s="445" t="str">
        <f t="shared" si="3"/>
        <v>02-04 Jun</v>
      </c>
      <c r="AC207" s="445" t="str">
        <f t="shared" si="4"/>
        <v>08-10 Jun</v>
      </c>
      <c r="AD207" s="445" t="str">
        <f t="shared" si="5"/>
        <v>11-13 May</v>
      </c>
      <c r="AE207" s="446" t="str">
        <f t="shared" si="6"/>
        <v>11-13 May</v>
      </c>
      <c r="AF207" s="150" t="str">
        <f t="shared" si="7"/>
        <v>18-20 Jun</v>
      </c>
      <c r="AG207" s="131" t="str">
        <f t="shared" si="26"/>
        <v>21-23 May</v>
      </c>
      <c r="AH207" s="95">
        <f>IFERROR($M207+VLOOKUP($L207,'Voyage days'!$F$38:$H$89,3,FALSE),"")</f>
        <v>46163</v>
      </c>
      <c r="AI207" s="95">
        <f>IFERROR(N207+VLOOKUP($L207,'Voyage days'!$F$38:$H$89,3,FALSE),"")</f>
        <v>46165</v>
      </c>
      <c r="AJ207" s="131" t="str">
        <f t="shared" si="27"/>
        <v>03-05 Jun</v>
      </c>
      <c r="AK207" s="95">
        <f>IFERROR($M207+VLOOKUP($L207,'Voyage days'!$F$94:$H$193,3,FALSE),"")</f>
        <v>46176</v>
      </c>
      <c r="AL207" s="95">
        <f>IFERROR($N207+VLOOKUP($L207,'Voyage days'!$F$94:$H$193,3,FALSE),"")</f>
        <v>46178</v>
      </c>
      <c r="AM207" s="131" t="str">
        <f t="shared" si="28"/>
        <v>14-16 Jun</v>
      </c>
      <c r="AN207" s="95">
        <f>IFERROR($M207+VLOOKUP($L207,'Voyage days'!$F$203:$H$256,3,FALSE),"")</f>
        <v>46187</v>
      </c>
      <c r="AO207" s="95">
        <f>IFERROR($N207+VLOOKUP($L207,'Voyage days'!$F$203:$H$256,3,FALSE),"")</f>
        <v>46189</v>
      </c>
      <c r="AP207" s="131" t="str">
        <f t="shared" si="29"/>
        <v>02-04 Jun</v>
      </c>
      <c r="AQ207" s="95">
        <f>IFERROR($M207+VLOOKUP($L207,'Voyage days'!$F$294:$H$377,3,FALSE),"")</f>
        <v>46175</v>
      </c>
      <c r="AR207" s="95">
        <f>IFERROR($N207+VLOOKUP($L207,'Voyage days'!$F$294:$H$377,3,FALSE),"")</f>
        <v>46177</v>
      </c>
      <c r="AS207" s="131" t="str">
        <f t="shared" si="30"/>
        <v>08-10 Jun</v>
      </c>
      <c r="AT207" s="95">
        <f>IFERROR($M207+VLOOKUP($L207,'Voyage days'!$F$382:$H$446,3,FALSE),"")</f>
        <v>46181</v>
      </c>
      <c r="AU207" s="95">
        <f>IFERROR($N207+VLOOKUP($L207,'Voyage days'!$F$382:$H$446,3,FALSE),"")</f>
        <v>46183</v>
      </c>
      <c r="AV207" s="131" t="str">
        <f t="shared" si="31"/>
        <v>16-18 May</v>
      </c>
      <c r="AW207" s="95">
        <f>IFERROR($M207+VLOOKUP($L207,'Voyage days'!$F$483:$H$538,3,FALSE),"")</f>
        <v>46158</v>
      </c>
      <c r="AX207" s="95">
        <f>IFERROR($N207+VLOOKUP($L207,'Voyage days'!$F$483:$H$538,3,FALSE),"")</f>
        <v>46160</v>
      </c>
      <c r="AY207" s="131" t="str">
        <f t="shared" si="32"/>
        <v>11-13 May</v>
      </c>
      <c r="AZ207" s="95">
        <f>IFERROR($M207+VLOOKUP($L207,'Voyage days'!$F$540:$H$613,3,FALSE),"")</f>
        <v>46153.25</v>
      </c>
      <c r="BA207" s="95">
        <f>IFERROR($N207+VLOOKUP($L207,'Voyage days'!$F$540:$H$613,3,FALSE),"")</f>
        <v>46155.25</v>
      </c>
      <c r="BB207" s="131" t="str">
        <f t="shared" si="33"/>
        <v>11-13 May</v>
      </c>
      <c r="BC207" s="94">
        <f>IFERROR($M207+VLOOKUP($L207,'Voyage days'!$F$448:$H$479,3,FALSE),"")</f>
        <v>46153</v>
      </c>
      <c r="BD207" s="94">
        <f>IFERROR($N207+VLOOKUP($L207,'Voyage days'!$F$448:$H$479,3,FALSE),"")</f>
        <v>46155</v>
      </c>
      <c r="BE207" s="131" t="str">
        <f t="shared" si="34"/>
        <v>14-16 May</v>
      </c>
      <c r="BF207" s="95">
        <f>IFERROR($M207+VLOOKUP($L207,'Voyage days'!$F$620:$H$646,3,FALSE),"")</f>
        <v>46156</v>
      </c>
      <c r="BG207" s="95">
        <f>IFERROR($N207+VLOOKUP($L207,'Voyage days'!$F$620:$H$646,3,FALSE),"")</f>
        <v>46158</v>
      </c>
      <c r="BH207" s="131" t="str">
        <f t="shared" si="35"/>
        <v>11-20 Jun</v>
      </c>
      <c r="BI207" s="96">
        <f>IFERROR($M207+VLOOKUP($L207,'Voyage days'!$F$702:$H$727,3,FALSE),"")</f>
        <v>46153.25</v>
      </c>
      <c r="BJ207" s="131" t="str">
        <f t="shared" si="36"/>
        <v>18-20 Jun</v>
      </c>
      <c r="BK207" s="95">
        <f>IFERROR($M207+VLOOKUP($L207,'Voyage days'!$F$807:$H$878,3,FALSE),"")</f>
        <v>46191</v>
      </c>
      <c r="BL207" s="95">
        <f>IFERROR($N207+VLOOKUP($L207,'Voyage days'!$F$807:$H$878,3,FALSE),"")</f>
        <v>46193</v>
      </c>
      <c r="BM207" s="95">
        <f>IFERROR($N207+VLOOKUP($L207,'Voyage days'!$F$807:$K$878,6,FALSE),"")</f>
        <v>46167</v>
      </c>
      <c r="BN207" s="94" t="str">
        <f>IF(L207="loads AG", IFERROR($M207+VLOOKUP($L207,'Voyage days'!$M$38:$O$38,3,FALSE),""),"")</f>
        <v/>
      </c>
      <c r="BO207" s="94" t="str">
        <f>IF(L207="loads USG", IFERROR($M207+VLOOKUP($L207,'Voyage days'!$L$203:$N$203,3,FALSE),""),"")</f>
        <v/>
      </c>
    </row>
    <row r="208" spans="1:67" ht="15.75" customHeight="1" x14ac:dyDescent="0.25">
      <c r="A208" s="280" t="s">
        <v>532</v>
      </c>
      <c r="B208" s="281">
        <v>2022</v>
      </c>
      <c r="C208" s="274">
        <v>90000</v>
      </c>
      <c r="D208" s="282"/>
      <c r="E208" s="282"/>
      <c r="F208" s="283"/>
      <c r="G208" s="283"/>
      <c r="H208" s="283" t="s">
        <v>713</v>
      </c>
      <c r="I208" s="284" t="s">
        <v>1220</v>
      </c>
      <c r="J208" s="459" t="str">
        <f t="shared" si="37"/>
        <v>NO AIS</v>
      </c>
      <c r="K208" s="254"/>
      <c r="L208" s="286" t="s">
        <v>1221</v>
      </c>
      <c r="M208" s="288">
        <v>46141</v>
      </c>
      <c r="N208" s="141">
        <v>46142</v>
      </c>
      <c r="O208" s="282"/>
      <c r="P208" s="460" t="s">
        <v>1222</v>
      </c>
      <c r="Q208" s="461"/>
      <c r="R208" s="227" t="s">
        <v>1223</v>
      </c>
      <c r="S208" s="279" t="s">
        <v>724</v>
      </c>
      <c r="T208" s="380">
        <v>46132</v>
      </c>
      <c r="U208" s="145" t="str">
        <f>IF(V208="","No AIS",VLOOKUP(V208,'Voyage days'!$A$3:$B$1480,2,FALSE))</f>
        <v>No AIS</v>
      </c>
      <c r="V208" s="145" t="str">
        <f>IF(VLOOKUP(A208,'1) Kpler'!$E$2:$P$1000,8, FALSE)="","",VLOOKUP(A208,'1) Kpler'!$E$2:$P$1000,8, FALSE))</f>
        <v/>
      </c>
      <c r="W208" s="290" t="str">
        <f>IF(VLOOKUP(A208,'1) Kpler'!$E$2:$P$1000,9,FALSE)="","",VLOOKUP(A208,'1) Kpler'!$E$2:$P$1000,9,FALSE))</f>
        <v/>
      </c>
      <c r="X208" s="145" t="str">
        <f>VLOOKUP(A208,'1) Kpler'!$E$2:$I$1000,4,FALSE)</f>
        <v>loaded</v>
      </c>
      <c r="Y208" s="131" t="str">
        <f t="shared" si="0"/>
        <v>23-24 May</v>
      </c>
      <c r="Z208" s="131" t="str">
        <f t="shared" si="1"/>
        <v/>
      </c>
      <c r="AA208" s="131" t="str">
        <f t="shared" si="2"/>
        <v/>
      </c>
      <c r="AB208" s="131" t="str">
        <f t="shared" si="3"/>
        <v>29-30 Apr</v>
      </c>
      <c r="AC208" s="131" t="str">
        <f t="shared" si="4"/>
        <v>09-10 May</v>
      </c>
      <c r="AD208" s="131" t="str">
        <f t="shared" si="5"/>
        <v/>
      </c>
      <c r="AE208" s="291" t="str">
        <f t="shared" si="6"/>
        <v/>
      </c>
      <c r="AF208" s="180" t="str">
        <f t="shared" si="7"/>
        <v/>
      </c>
      <c r="AG208" s="131" t="str">
        <f t="shared" si="26"/>
        <v>23-24 May</v>
      </c>
      <c r="AH208" s="95">
        <f>IFERROR($M208+VLOOKUP($L208,'Voyage days'!$F$38:$H$89,3,FALSE),"")</f>
        <v>46165</v>
      </c>
      <c r="AI208" s="95">
        <f>IFERROR(N208+VLOOKUP($L208,'Voyage days'!$F$38:$H$89,3,FALSE),"")</f>
        <v>46166</v>
      </c>
      <c r="AJ208" s="131" t="str">
        <f t="shared" si="27"/>
        <v/>
      </c>
      <c r="AK208" s="95" t="str">
        <f>IFERROR($M208+VLOOKUP($L208,'Voyage days'!$F$94:$H$193,3,FALSE),"")</f>
        <v/>
      </c>
      <c r="AL208" s="95" t="str">
        <f>IFERROR($N208+VLOOKUP($L208,'Voyage days'!$F$94:$H$193,3,FALSE),"")</f>
        <v/>
      </c>
      <c r="AM208" s="131" t="str">
        <f t="shared" si="28"/>
        <v/>
      </c>
      <c r="AN208" s="95" t="str">
        <f>IFERROR($M208+VLOOKUP($L208,'Voyage days'!$F$203:$H$256,3,FALSE),"")</f>
        <v/>
      </c>
      <c r="AO208" s="95" t="str">
        <f>IFERROR($N208+VLOOKUP($L208,'Voyage days'!$F$203:$H$256,3,FALSE),"")</f>
        <v/>
      </c>
      <c r="AP208" s="131" t="str">
        <f t="shared" si="29"/>
        <v>29-30 Apr</v>
      </c>
      <c r="AQ208" s="95">
        <f>IFERROR($M208+VLOOKUP($L208,'Voyage days'!$F$294:$H$377,3,FALSE),"")</f>
        <v>46141</v>
      </c>
      <c r="AR208" s="95">
        <f>IFERROR($N208+VLOOKUP($L208,'Voyage days'!$F$294:$H$377,3,FALSE),"")</f>
        <v>46142</v>
      </c>
      <c r="AS208" s="131" t="str">
        <f t="shared" si="30"/>
        <v>09-10 May</v>
      </c>
      <c r="AT208" s="95">
        <f>IFERROR($M208+VLOOKUP($L208,'Voyage days'!$F$382:$H$446,3,FALSE),"")</f>
        <v>46151</v>
      </c>
      <c r="AU208" s="95">
        <f>IFERROR($N208+VLOOKUP($L208,'Voyage days'!$F$382:$H$446,3,FALSE),"")</f>
        <v>46152</v>
      </c>
      <c r="AV208" s="131" t="str">
        <f t="shared" si="31"/>
        <v/>
      </c>
      <c r="AW208" s="95" t="str">
        <f>IFERROR($M208+VLOOKUP($L208,'Voyage days'!$F$483:$H$538,3,FALSE),"")</f>
        <v/>
      </c>
      <c r="AX208" s="95" t="str">
        <f>IFERROR($N208+VLOOKUP($L208,'Voyage days'!$F$483:$H$538,3,FALSE),"")</f>
        <v/>
      </c>
      <c r="AY208" s="131" t="str">
        <f t="shared" si="32"/>
        <v/>
      </c>
      <c r="AZ208" s="95" t="str">
        <f>IFERROR($M208+VLOOKUP($L208,'Voyage days'!$F$540:$H$613,3,FALSE),"")</f>
        <v/>
      </c>
      <c r="BA208" s="95" t="str">
        <f>IFERROR($N208+VLOOKUP($L208,'Voyage days'!$F$540:$H$613,3,FALSE),"")</f>
        <v/>
      </c>
      <c r="BB208" s="131" t="str">
        <f t="shared" si="33"/>
        <v/>
      </c>
      <c r="BC208" s="94" t="str">
        <f>IFERROR($M208+VLOOKUP($L208,'Voyage days'!$F$448:$H$479,3,FALSE),"")</f>
        <v/>
      </c>
      <c r="BD208" s="94" t="str">
        <f>IFERROR($N208+VLOOKUP($L208,'Voyage days'!$F$448:$H$479,3,FALSE),"")</f>
        <v/>
      </c>
      <c r="BE208" s="131" t="str">
        <f t="shared" si="34"/>
        <v/>
      </c>
      <c r="BF208" s="95" t="str">
        <f>IFERROR($M208+VLOOKUP($L208,'Voyage days'!$F$620:$H$646,3,FALSE),"")</f>
        <v/>
      </c>
      <c r="BG208" s="95" t="str">
        <f>IFERROR($N208+VLOOKUP($L208,'Voyage days'!$F$620:$H$646,3,FALSE),"")</f>
        <v/>
      </c>
      <c r="BH208" s="131" t="str">
        <f t="shared" si="35"/>
        <v/>
      </c>
      <c r="BI208" s="96" t="str">
        <f>IFERROR($M208+VLOOKUP($L208,'Voyage days'!$F$702:$H$727,3,FALSE),"")</f>
        <v/>
      </c>
      <c r="BJ208" s="131" t="str">
        <f t="shared" si="36"/>
        <v/>
      </c>
      <c r="BK208" s="95" t="str">
        <f>IFERROR($M208+VLOOKUP($L208,'Voyage days'!$F$807:$H$878,3,FALSE),"")</f>
        <v/>
      </c>
      <c r="BL208" s="95" t="str">
        <f>IFERROR($N208+VLOOKUP($L208,'Voyage days'!$F$807:$H$878,3,FALSE),"")</f>
        <v/>
      </c>
      <c r="BM208" s="95" t="str">
        <f>IFERROR($N208+VLOOKUP($L208,'Voyage days'!$F$807:$K$878,6,FALSE),"")</f>
        <v/>
      </c>
      <c r="BN208" s="94" t="str">
        <f>IF(L208="loads AG", IFERROR($M208+VLOOKUP($L208,'Voyage days'!$M$38:$O$38,3,FALSE),""),"")</f>
        <v/>
      </c>
      <c r="BO208" s="94" t="str">
        <f>IF(L208="loads USG", IFERROR($M208+VLOOKUP($L208,'Voyage days'!$L$203:$N$203,3,FALSE),""),"")</f>
        <v/>
      </c>
    </row>
    <row r="209" spans="1:67" ht="15.75" customHeight="1" x14ac:dyDescent="0.25">
      <c r="A209" s="208" t="s">
        <v>563</v>
      </c>
      <c r="B209" s="153">
        <v>36465</v>
      </c>
      <c r="C209" s="76">
        <v>84000</v>
      </c>
      <c r="D209" s="395"/>
      <c r="E209" s="395"/>
      <c r="F209" s="121"/>
      <c r="G209" s="121"/>
      <c r="H209" s="121"/>
      <c r="I209" s="230" t="s">
        <v>1224</v>
      </c>
      <c r="J209" s="187" t="str">
        <f t="shared" si="37"/>
        <v/>
      </c>
      <c r="K209" s="123"/>
      <c r="L209" s="124" t="s">
        <v>734</v>
      </c>
      <c r="M209" s="83">
        <v>46160</v>
      </c>
      <c r="N209" s="83">
        <v>46161</v>
      </c>
      <c r="O209" s="126"/>
      <c r="P209" s="100" t="s">
        <v>1225</v>
      </c>
      <c r="Q209" s="124"/>
      <c r="R209" s="124" t="s">
        <v>1226</v>
      </c>
      <c r="S209" s="120" t="s">
        <v>724</v>
      </c>
      <c r="T209" s="232">
        <v>46132</v>
      </c>
      <c r="U209" s="87" t="str">
        <f>IF(V209="","No AIS",VLOOKUP(V209,'Voyage days'!$A$3:$B$1480,2,FALSE))</f>
        <v>Indo + 4</v>
      </c>
      <c r="V209" s="87" t="str">
        <f>IF(VLOOKUP(A209,'1) Kpler'!$E$2:$P$1000,8, FALSE)="","",VLOOKUP(A209,'1) Kpler'!$E$2:$P$1000,8, FALSE))</f>
        <v>Oiltank. Merak</v>
      </c>
      <c r="W209" s="128">
        <f>IF(VLOOKUP(A209,'1) Kpler'!$E$2:$P$1000,9,FALSE)="","",VLOOKUP(A209,'1) Kpler'!$E$2:$P$1000,9,FALSE))</f>
        <v>46156.5</v>
      </c>
      <c r="X209" s="87" t="str">
        <f>VLOOKUP(A209,'1) Kpler'!$E$2:$I$1000,4,FALSE)</f>
        <v>loaded</v>
      </c>
      <c r="Y209" s="234" t="str">
        <f t="shared" si="0"/>
        <v>29-30 May</v>
      </c>
      <c r="Z209" s="234" t="str">
        <f t="shared" si="1"/>
        <v>25-26 Jun</v>
      </c>
      <c r="AA209" s="234" t="str">
        <f t="shared" si="2"/>
        <v>24-25 Jun</v>
      </c>
      <c r="AB209" s="234" t="str">
        <f t="shared" si="3"/>
        <v>07-08 Jun</v>
      </c>
      <c r="AC209" s="234" t="str">
        <f t="shared" si="4"/>
        <v>16-17 Jun</v>
      </c>
      <c r="AD209" s="234" t="str">
        <f t="shared" si="5"/>
        <v>21-22 May</v>
      </c>
      <c r="AE209" s="235" t="str">
        <f t="shared" si="6"/>
        <v>22-23 May</v>
      </c>
      <c r="AF209" s="92" t="str">
        <f t="shared" si="7"/>
        <v>24-25 Jun</v>
      </c>
      <c r="AG209" s="131" t="str">
        <f t="shared" si="26"/>
        <v>29-30 May</v>
      </c>
      <c r="AH209" s="95">
        <f>IFERROR($M209+VLOOKUP($L209,'Voyage days'!$F$38:$H$89,3,FALSE),"")</f>
        <v>46171</v>
      </c>
      <c r="AI209" s="95">
        <f>IFERROR(N209+VLOOKUP($L209,'Voyage days'!$F$38:$H$89,3,FALSE),"")</f>
        <v>46172</v>
      </c>
      <c r="AJ209" s="131" t="str">
        <f t="shared" si="27"/>
        <v>25-26 Jun</v>
      </c>
      <c r="AK209" s="95">
        <f>IFERROR($M209+VLOOKUP($L209,'Voyage days'!$F$94:$H$193,3,FALSE),"")</f>
        <v>46198</v>
      </c>
      <c r="AL209" s="95">
        <f>IFERROR($N209+VLOOKUP($L209,'Voyage days'!$F$94:$H$193,3,FALSE),"")</f>
        <v>46199</v>
      </c>
      <c r="AM209" s="131" t="str">
        <f t="shared" si="28"/>
        <v>24-25 Jun</v>
      </c>
      <c r="AN209" s="95">
        <f>IFERROR($M209+VLOOKUP($L209,'Voyage days'!$F$203:$H$256,3,FALSE),"")</f>
        <v>46197</v>
      </c>
      <c r="AO209" s="95">
        <f>IFERROR($N209+VLOOKUP($L209,'Voyage days'!$F$203:$H$256,3,FALSE),"")</f>
        <v>46198</v>
      </c>
      <c r="AP209" s="131" t="str">
        <f t="shared" si="29"/>
        <v>07-08 Jun</v>
      </c>
      <c r="AQ209" s="95">
        <f>IFERROR($M209+VLOOKUP($L209,'Voyage days'!$F$294:$H$377,3,FALSE),"")</f>
        <v>46180</v>
      </c>
      <c r="AR209" s="95">
        <f>IFERROR($N209+VLOOKUP($L209,'Voyage days'!$F$294:$H$377,3,FALSE),"")</f>
        <v>46181</v>
      </c>
      <c r="AS209" s="131" t="str">
        <f t="shared" si="30"/>
        <v>16-17 Jun</v>
      </c>
      <c r="AT209" s="95">
        <f>IFERROR($M209+VLOOKUP($L209,'Voyage days'!$F$382:$H$446,3,FALSE),"")</f>
        <v>46189</v>
      </c>
      <c r="AU209" s="95">
        <f>IFERROR($N209+VLOOKUP($L209,'Voyage days'!$F$382:$H$446,3,FALSE),"")</f>
        <v>46190</v>
      </c>
      <c r="AV209" s="131" t="str">
        <f t="shared" si="31"/>
        <v>27-28 May</v>
      </c>
      <c r="AW209" s="95">
        <f>IFERROR($M209+VLOOKUP($L209,'Voyage days'!$F$483:$H$538,3,FALSE),"")</f>
        <v>46169</v>
      </c>
      <c r="AX209" s="95">
        <f>IFERROR($N209+VLOOKUP($L209,'Voyage days'!$F$483:$H$538,3,FALSE),"")</f>
        <v>46170</v>
      </c>
      <c r="AY209" s="131" t="str">
        <f t="shared" si="32"/>
        <v>22-23 May</v>
      </c>
      <c r="AZ209" s="95">
        <f>IFERROR($M209+VLOOKUP($L209,'Voyage days'!$F$540:$H$613,3,FALSE),"")</f>
        <v>46164</v>
      </c>
      <c r="BA209" s="95">
        <f>IFERROR($N209+VLOOKUP($L209,'Voyage days'!$F$540:$H$613,3,FALSE),"")</f>
        <v>46165</v>
      </c>
      <c r="BB209" s="131" t="str">
        <f t="shared" si="33"/>
        <v>21-22 May</v>
      </c>
      <c r="BC209" s="94">
        <f>IFERROR($M209+VLOOKUP($L209,'Voyage days'!$F$448:$H$479,3,FALSE),"")</f>
        <v>46163</v>
      </c>
      <c r="BD209" s="94">
        <f>IFERROR($N209+VLOOKUP($L209,'Voyage days'!$F$448:$H$479,3,FALSE),"")</f>
        <v>46164</v>
      </c>
      <c r="BE209" s="131" t="str">
        <f t="shared" si="34"/>
        <v/>
      </c>
      <c r="BF209" s="95" t="str">
        <f>IFERROR($M209+VLOOKUP($L209,'Voyage days'!$F$620:$H$646,3,FALSE),"")</f>
        <v/>
      </c>
      <c r="BG209" s="95" t="str">
        <f>IFERROR($N209+VLOOKUP($L209,'Voyage days'!$F$620:$H$646,3,FALSE),"")</f>
        <v/>
      </c>
      <c r="BH209" s="131" t="str">
        <f t="shared" si="35"/>
        <v>26-25 Jun</v>
      </c>
      <c r="BI209" s="96">
        <f>IFERROR($M209+VLOOKUP($L209,'Voyage days'!$F$702:$H$727,3,FALSE),"")</f>
        <v>46168</v>
      </c>
      <c r="BJ209" s="131" t="str">
        <f t="shared" si="36"/>
        <v>24-25 Jun</v>
      </c>
      <c r="BK209" s="95">
        <f>IFERROR($M209+VLOOKUP($L209,'Voyage days'!$F$807:$H$878,3,FALSE),"")</f>
        <v>46197</v>
      </c>
      <c r="BL209" s="95">
        <f>IFERROR($N209+VLOOKUP($L209,'Voyage days'!$F$807:$H$878,3,FALSE),"")</f>
        <v>46198</v>
      </c>
      <c r="BM209" s="95">
        <f>IFERROR($N209+VLOOKUP($L209,'Voyage days'!$F$807:$K$878,6,FALSE),"")</f>
        <v>46174</v>
      </c>
      <c r="BN209" s="94" t="str">
        <f>IF(L209="loads AG", IFERROR($M209+VLOOKUP($L209,'Voyage days'!$M$38:$O$38,3,FALSE),""),"")</f>
        <v/>
      </c>
      <c r="BO209" s="94" t="str">
        <f>IF(L209="loads USG", IFERROR($M209+VLOOKUP($L209,'Voyage days'!$L$203:$N$203,3,FALSE),""),"")</f>
        <v/>
      </c>
    </row>
    <row r="210" spans="1:67" ht="15.75" customHeight="1" x14ac:dyDescent="0.25">
      <c r="A210" s="280" t="s">
        <v>225</v>
      </c>
      <c r="B210" s="462">
        <v>36801</v>
      </c>
      <c r="C210" s="134">
        <v>84310</v>
      </c>
      <c r="D210" s="279"/>
      <c r="E210" s="279"/>
      <c r="F210" s="224"/>
      <c r="G210" s="224"/>
      <c r="H210" s="224"/>
      <c r="I210" s="284" t="s">
        <v>1224</v>
      </c>
      <c r="J210" s="138" t="str">
        <f t="shared" si="37"/>
        <v/>
      </c>
      <c r="K210" s="139"/>
      <c r="L210" s="227" t="s">
        <v>734</v>
      </c>
      <c r="M210" s="225">
        <v>46146</v>
      </c>
      <c r="N210" s="225">
        <v>46147</v>
      </c>
      <c r="O210" s="255"/>
      <c r="P210" s="227" t="s">
        <v>1227</v>
      </c>
      <c r="Q210" s="227"/>
      <c r="R210" s="227" t="s">
        <v>1228</v>
      </c>
      <c r="S210" s="282" t="s">
        <v>724</v>
      </c>
      <c r="T210" s="144">
        <v>46132</v>
      </c>
      <c r="U210" s="145" t="str">
        <f>IF(V210="","No AIS",VLOOKUP(V210,'Voyage days'!$A$3:$B$1480,2,FALSE))</f>
        <v>Indo + 4</v>
      </c>
      <c r="V210" s="145" t="str">
        <f>IF(VLOOKUP(A210,'1) Kpler'!$E$2:$P$1000,8, FALSE)="","",VLOOKUP(A210,'1) Kpler'!$E$2:$P$1000,8, FALSE))</f>
        <v>Arun</v>
      </c>
      <c r="W210" s="290">
        <f>IF(VLOOKUP(A210,'1) Kpler'!$E$2:$P$1000,9,FALSE)="","",VLOOKUP(A210,'1) Kpler'!$E$2:$P$1000,9,FALSE))</f>
        <v>46142.5</v>
      </c>
      <c r="X210" s="145" t="str">
        <f>VLOOKUP(A210,'1) Kpler'!$E$2:$I$1000,4,FALSE)</f>
        <v>loaded</v>
      </c>
      <c r="Y210" s="93" t="str">
        <f t="shared" si="0"/>
        <v>15-16 May</v>
      </c>
      <c r="Z210" s="93" t="str">
        <f t="shared" si="1"/>
        <v>11-12 Jun</v>
      </c>
      <c r="AA210" s="93" t="str">
        <f t="shared" si="2"/>
        <v>10-11 Jun</v>
      </c>
      <c r="AB210" s="93" t="str">
        <f t="shared" si="3"/>
        <v>24-25 May</v>
      </c>
      <c r="AC210" s="93" t="str">
        <f t="shared" si="4"/>
        <v>02-03 Jun</v>
      </c>
      <c r="AD210" s="93" t="str">
        <f t="shared" si="5"/>
        <v>07-08 May</v>
      </c>
      <c r="AE210" s="179" t="str">
        <f t="shared" si="6"/>
        <v>08-09 May</v>
      </c>
      <c r="AF210" s="180" t="str">
        <f t="shared" si="7"/>
        <v>10-11 Jun</v>
      </c>
      <c r="AG210" s="93" t="str">
        <f t="shared" si="26"/>
        <v>15-16 May</v>
      </c>
      <c r="AH210" s="94">
        <f>IFERROR($M210+VLOOKUP($L210,'Voyage days'!$F$38:$H$89,3,FALSE),"")</f>
        <v>46157</v>
      </c>
      <c r="AI210" s="94">
        <f>IFERROR(N210+VLOOKUP($L210,'Voyage days'!$F$38:$H$89,3,FALSE),"")</f>
        <v>46158</v>
      </c>
      <c r="AJ210" s="93" t="str">
        <f t="shared" si="27"/>
        <v>11-12 Jun</v>
      </c>
      <c r="AK210" s="94">
        <f>IFERROR($M210+VLOOKUP($L210,'Voyage days'!$F$94:$H$193,3,FALSE),"")</f>
        <v>46184</v>
      </c>
      <c r="AL210" s="94">
        <f>IFERROR($N210+VLOOKUP($L210,'Voyage days'!$F$94:$H$193,3,FALSE),"")</f>
        <v>46185</v>
      </c>
      <c r="AM210" s="93" t="str">
        <f t="shared" si="28"/>
        <v>10-11 Jun</v>
      </c>
      <c r="AN210" s="94">
        <f>IFERROR($M210+VLOOKUP($L210,'Voyage days'!$F$203:$H$256,3,FALSE),"")</f>
        <v>46183</v>
      </c>
      <c r="AO210" s="94">
        <f>IFERROR($N210+VLOOKUP($L210,'Voyage days'!$F$203:$H$256,3,FALSE),"")</f>
        <v>46184</v>
      </c>
      <c r="AP210" s="93" t="str">
        <f t="shared" si="29"/>
        <v>24-25 May</v>
      </c>
      <c r="AQ210" s="94">
        <f>IFERROR($M210+VLOOKUP($L210,'Voyage days'!$F$294:$H$377,3,FALSE),"")</f>
        <v>46166</v>
      </c>
      <c r="AR210" s="94">
        <f>IFERROR($N210+VLOOKUP($L210,'Voyage days'!$F$294:$H$377,3,FALSE),"")</f>
        <v>46167</v>
      </c>
      <c r="AS210" s="93" t="str">
        <f t="shared" si="30"/>
        <v>02-03 Jun</v>
      </c>
      <c r="AT210" s="94">
        <f>IFERROR($M210+VLOOKUP($L210,'Voyage days'!$F$382:$H$446,3,FALSE),"")</f>
        <v>46175</v>
      </c>
      <c r="AU210" s="94">
        <f>IFERROR($N210+VLOOKUP($L210,'Voyage days'!$F$382:$H$446,3,FALSE),"")</f>
        <v>46176</v>
      </c>
      <c r="AV210" s="93" t="str">
        <f t="shared" si="31"/>
        <v>13-14 May</v>
      </c>
      <c r="AW210" s="94">
        <f>IFERROR($M210+VLOOKUP($L210,'Voyage days'!$F$483:$H$538,3,FALSE),"")</f>
        <v>46155</v>
      </c>
      <c r="AX210" s="94">
        <f>IFERROR($N210+VLOOKUP($L210,'Voyage days'!$F$483:$H$538,3,FALSE),"")</f>
        <v>46156</v>
      </c>
      <c r="AY210" s="93" t="str">
        <f t="shared" si="32"/>
        <v>08-09 May</v>
      </c>
      <c r="AZ210" s="94">
        <f>IFERROR($M210+VLOOKUP($L210,'Voyage days'!$F$540:$H$613,3,FALSE),"")</f>
        <v>46150</v>
      </c>
      <c r="BA210" s="94">
        <f>IFERROR($N210+VLOOKUP($L210,'Voyage days'!$F$540:$H$613,3,FALSE),"")</f>
        <v>46151</v>
      </c>
      <c r="BB210" s="93" t="str">
        <f t="shared" si="33"/>
        <v>07-08 May</v>
      </c>
      <c r="BC210" s="94">
        <f>IFERROR($M210+VLOOKUP($L210,'Voyage days'!$F$448:$H$479,3,FALSE),"")</f>
        <v>46149</v>
      </c>
      <c r="BD210" s="94">
        <f>IFERROR($N210+VLOOKUP($L210,'Voyage days'!$F$448:$H$479,3,FALSE),"")</f>
        <v>46150</v>
      </c>
      <c r="BE210" s="93" t="str">
        <f t="shared" si="34"/>
        <v/>
      </c>
      <c r="BF210" s="95" t="str">
        <f>IFERROR($M210+VLOOKUP($L210,'Voyage days'!$F$620:$H$646,3,FALSE),"")</f>
        <v/>
      </c>
      <c r="BG210" s="95" t="str">
        <f>IFERROR($N210+VLOOKUP($L210,'Voyage days'!$F$620:$H$646,3,FALSE),"")</f>
        <v/>
      </c>
      <c r="BH210" s="93" t="str">
        <f t="shared" si="35"/>
        <v>12-11 Jun</v>
      </c>
      <c r="BI210" s="96">
        <f>IFERROR($M210+VLOOKUP($L210,'Voyage days'!$F$702:$H$727,3,FALSE),"")</f>
        <v>46154</v>
      </c>
      <c r="BJ210" s="93" t="str">
        <f t="shared" si="36"/>
        <v>10-11 Jun</v>
      </c>
      <c r="BK210" s="95">
        <f>IFERROR($M210+VLOOKUP($L210,'Voyage days'!$F$807:$H$878,3,FALSE),"")</f>
        <v>46183</v>
      </c>
      <c r="BL210" s="95">
        <f>IFERROR($N210+VLOOKUP($L210,'Voyage days'!$F$807:$H$878,3,FALSE),"")</f>
        <v>46184</v>
      </c>
      <c r="BM210" s="95">
        <f>IFERROR($N210+VLOOKUP($L210,'Voyage days'!$F$807:$K$878,6,FALSE),"")</f>
        <v>46160</v>
      </c>
      <c r="BN210" s="94" t="str">
        <f>IF(L210="loads AG", IFERROR($M210+VLOOKUP($L210,'Voyage days'!$M$38:$O$38,3,FALSE),""),"")</f>
        <v/>
      </c>
      <c r="BO210" s="94" t="str">
        <f>IF(L210="loads USG", IFERROR($M210+VLOOKUP($L210,'Voyage days'!$L$203:$N$203,3,FALSE),""),"")</f>
        <v/>
      </c>
    </row>
    <row r="211" spans="1:67" ht="15.75" customHeight="1" x14ac:dyDescent="0.25">
      <c r="A211" s="74" t="s">
        <v>222</v>
      </c>
      <c r="B211" s="398">
        <v>2023</v>
      </c>
      <c r="C211" s="76">
        <v>91000</v>
      </c>
      <c r="D211" s="77"/>
      <c r="E211" s="77"/>
      <c r="F211" s="78"/>
      <c r="G211" s="78"/>
      <c r="H211" s="78" t="s">
        <v>713</v>
      </c>
      <c r="I211" s="82" t="s">
        <v>1229</v>
      </c>
      <c r="J211" s="80" t="str">
        <f t="shared" si="37"/>
        <v/>
      </c>
      <c r="K211" s="81"/>
      <c r="L211" s="82" t="s">
        <v>715</v>
      </c>
      <c r="M211" s="83">
        <v>46158</v>
      </c>
      <c r="N211" s="345">
        <v>46159</v>
      </c>
      <c r="O211" s="206"/>
      <c r="P211" s="124" t="s">
        <v>1230</v>
      </c>
      <c r="Q211" s="82"/>
      <c r="R211" s="82" t="s">
        <v>1231</v>
      </c>
      <c r="S211" s="120" t="s">
        <v>724</v>
      </c>
      <c r="T211" s="86">
        <v>46132</v>
      </c>
      <c r="U211" s="87" t="str">
        <f>IF(V211="","No AIS",VLOOKUP(V211,'Voyage days'!$A$3:$B$1480,2,FALSE))</f>
        <v>Japan + 6</v>
      </c>
      <c r="V211" s="88" t="str">
        <f>IF(VLOOKUP(A211,'1) Kpler'!$E$2:$P$1000,8, FALSE)="","",VLOOKUP(A211,'1) Kpler'!$E$2:$P$1000,8, FALSE))</f>
        <v>Chiba</v>
      </c>
      <c r="W211" s="89">
        <f>IF(VLOOKUP(A211,'1) Kpler'!$E$2:$P$1000,9,FALSE)="","",VLOOKUP(A211,'1) Kpler'!$E$2:$P$1000,9,FALSE))</f>
        <v>46152.75</v>
      </c>
      <c r="X211" s="88" t="str">
        <f>VLOOKUP(A211,'1) Kpler'!$E$2:$I$1000,4,FALSE)</f>
        <v>loaded</v>
      </c>
      <c r="Y211" s="90" t="str">
        <f t="shared" si="0"/>
        <v>03-04 Jun</v>
      </c>
      <c r="Z211" s="90" t="str">
        <f t="shared" si="1"/>
        <v>16-17 Jun</v>
      </c>
      <c r="AA211" s="90" t="str">
        <f t="shared" si="2"/>
        <v>27-28 Jun</v>
      </c>
      <c r="AB211" s="90" t="str">
        <f t="shared" si="3"/>
        <v>15-16 Jun</v>
      </c>
      <c r="AC211" s="90" t="str">
        <f t="shared" si="4"/>
        <v>21-22 Jun</v>
      </c>
      <c r="AD211" s="90" t="str">
        <f t="shared" si="5"/>
        <v>24-25 May</v>
      </c>
      <c r="AE211" s="91" t="str">
        <f t="shared" si="6"/>
        <v>24-25 May</v>
      </c>
      <c r="AF211" s="92" t="str">
        <f t="shared" si="7"/>
        <v>01-02 Jul</v>
      </c>
      <c r="AG211" s="93" t="str">
        <f t="shared" si="26"/>
        <v>03-04 Jun</v>
      </c>
      <c r="AH211" s="94">
        <f>IFERROR($M211+VLOOKUP($L211,'Voyage days'!$F$38:$H$89,3,FALSE),"")</f>
        <v>46176</v>
      </c>
      <c r="AI211" s="94">
        <f>IFERROR(N211+VLOOKUP($L211,'Voyage days'!$F$38:$H$89,3,FALSE),"")</f>
        <v>46177</v>
      </c>
      <c r="AJ211" s="93" t="str">
        <f t="shared" si="27"/>
        <v>16-17 Jun</v>
      </c>
      <c r="AK211" s="94">
        <f>IFERROR($M211+VLOOKUP($L211,'Voyage days'!$F$94:$H$193,3,FALSE),"")</f>
        <v>46189</v>
      </c>
      <c r="AL211" s="94">
        <f>IFERROR($N211+VLOOKUP($L211,'Voyage days'!$F$94:$H$193,3,FALSE),"")</f>
        <v>46190</v>
      </c>
      <c r="AM211" s="93" t="str">
        <f t="shared" si="28"/>
        <v>27-28 Jun</v>
      </c>
      <c r="AN211" s="94">
        <f>IFERROR($M211+VLOOKUP($L211,'Voyage days'!$F$203:$H$256,3,FALSE),"")</f>
        <v>46200</v>
      </c>
      <c r="AO211" s="94">
        <f>IFERROR($N211+VLOOKUP($L211,'Voyage days'!$F$203:$H$256,3,FALSE),"")</f>
        <v>46201</v>
      </c>
      <c r="AP211" s="93" t="str">
        <f t="shared" si="29"/>
        <v>15-16 Jun</v>
      </c>
      <c r="AQ211" s="94">
        <f>IFERROR($M211+VLOOKUP($L211,'Voyage days'!$F$294:$H$377,3,FALSE),"")</f>
        <v>46188</v>
      </c>
      <c r="AR211" s="94">
        <f>IFERROR($N211+VLOOKUP($L211,'Voyage days'!$F$294:$H$377,3,FALSE),"")</f>
        <v>46189</v>
      </c>
      <c r="AS211" s="93" t="str">
        <f t="shared" si="30"/>
        <v>21-22 Jun</v>
      </c>
      <c r="AT211" s="94">
        <f>IFERROR($M211+VLOOKUP($L211,'Voyage days'!$F$382:$H$446,3,FALSE),"")</f>
        <v>46194</v>
      </c>
      <c r="AU211" s="94">
        <f>IFERROR($N211+VLOOKUP($L211,'Voyage days'!$F$382:$H$446,3,FALSE),"")</f>
        <v>46195</v>
      </c>
      <c r="AV211" s="93" t="str">
        <f t="shared" si="31"/>
        <v>29-30 May</v>
      </c>
      <c r="AW211" s="94">
        <f>IFERROR($M211+VLOOKUP($L211,'Voyage days'!$F$483:$H$538,3,FALSE),"")</f>
        <v>46171</v>
      </c>
      <c r="AX211" s="94">
        <f>IFERROR($N211+VLOOKUP($L211,'Voyage days'!$F$483:$H$538,3,FALSE),"")</f>
        <v>46172</v>
      </c>
      <c r="AY211" s="93" t="str">
        <f t="shared" si="32"/>
        <v>24-25 May</v>
      </c>
      <c r="AZ211" s="94">
        <f>IFERROR($M211+VLOOKUP($L211,'Voyage days'!$F$540:$H$613,3,FALSE),"")</f>
        <v>46166.25</v>
      </c>
      <c r="BA211" s="94">
        <f>IFERROR($N211+VLOOKUP($L211,'Voyage days'!$F$540:$H$613,3,FALSE),"")</f>
        <v>46167.25</v>
      </c>
      <c r="BB211" s="93" t="str">
        <f t="shared" si="33"/>
        <v>24-25 May</v>
      </c>
      <c r="BC211" s="94">
        <f>IFERROR($M211+VLOOKUP($L211,'Voyage days'!$F$448:$H$479,3,FALSE),"")</f>
        <v>46166</v>
      </c>
      <c r="BD211" s="94">
        <f>IFERROR($N211+VLOOKUP($L211,'Voyage days'!$F$448:$H$479,3,FALSE),"")</f>
        <v>46167</v>
      </c>
      <c r="BE211" s="93" t="str">
        <f t="shared" si="34"/>
        <v>27-28 May</v>
      </c>
      <c r="BF211" s="95">
        <f>IFERROR($M211+VLOOKUP($L211,'Voyage days'!$F$620:$H$646,3,FALSE),"")</f>
        <v>46169</v>
      </c>
      <c r="BG211" s="95">
        <f>IFERROR($N211+VLOOKUP($L211,'Voyage days'!$F$620:$H$646,3,FALSE),"")</f>
        <v>46170</v>
      </c>
      <c r="BH211" s="93" t="str">
        <f t="shared" si="35"/>
        <v>24-02 Jul</v>
      </c>
      <c r="BI211" s="96">
        <f>IFERROR($M211+VLOOKUP($L211,'Voyage days'!$F$702:$H$727,3,FALSE),"")</f>
        <v>46166.25</v>
      </c>
      <c r="BJ211" s="93" t="str">
        <f t="shared" si="36"/>
        <v>01-02 Jul</v>
      </c>
      <c r="BK211" s="95">
        <f>IFERROR($M211+VLOOKUP($L211,'Voyage days'!$F$807:$H$878,3,FALSE),"")</f>
        <v>46204</v>
      </c>
      <c r="BL211" s="95">
        <f>IFERROR($N211+VLOOKUP($L211,'Voyage days'!$F$807:$H$878,3,FALSE),"")</f>
        <v>46205</v>
      </c>
      <c r="BM211" s="95">
        <f>IFERROR($N211+VLOOKUP($L211,'Voyage days'!$F$807:$K$878,6,FALSE),"")</f>
        <v>46179</v>
      </c>
      <c r="BN211" s="94" t="str">
        <f>IF(L211="loads AG", IFERROR($M211+VLOOKUP($L211,'Voyage days'!$M$38:$O$38,3,FALSE),""),"")</f>
        <v/>
      </c>
      <c r="BO211" s="94" t="str">
        <f>IF(L211="loads USG", IFERROR($M211+VLOOKUP($L211,'Voyage days'!$L$203:$N$203,3,FALSE),""),"")</f>
        <v/>
      </c>
    </row>
    <row r="212" spans="1:67" ht="15.75" customHeight="1" x14ac:dyDescent="0.25">
      <c r="A212" s="463" t="s">
        <v>230</v>
      </c>
      <c r="B212" s="464">
        <v>40848</v>
      </c>
      <c r="C212" s="76">
        <v>78599.89</v>
      </c>
      <c r="D212" s="120"/>
      <c r="E212" s="120"/>
      <c r="F212" s="121"/>
      <c r="G212" s="121"/>
      <c r="H212" s="121"/>
      <c r="I212" s="124" t="s">
        <v>1229</v>
      </c>
      <c r="J212" s="122" t="str">
        <f t="shared" si="37"/>
        <v/>
      </c>
      <c r="K212" s="123"/>
      <c r="L212" s="124" t="s">
        <v>750</v>
      </c>
      <c r="M212" s="307">
        <v>46132</v>
      </c>
      <c r="N212" s="307">
        <v>46133</v>
      </c>
      <c r="O212" s="152"/>
      <c r="P212" s="85" t="s">
        <v>1232</v>
      </c>
      <c r="Q212" s="124" t="s">
        <v>1233</v>
      </c>
      <c r="R212" s="124" t="s">
        <v>1234</v>
      </c>
      <c r="S212" s="120" t="s">
        <v>724</v>
      </c>
      <c r="T212" s="232">
        <v>46132</v>
      </c>
      <c r="U212" s="87" t="str">
        <f>IF(V212="","No AIS",VLOOKUP(V212,'Voyage days'!$A$3:$B$1480,2,FALSE))</f>
        <v>Singapore</v>
      </c>
      <c r="V212" s="87" t="str">
        <f>IF(VLOOKUP(A212,'1) Kpler'!$E$2:$P$1000,8, FALSE)="","",VLOOKUP(A212,'1) Kpler'!$E$2:$P$1000,8, FALSE))</f>
        <v>Singapore</v>
      </c>
      <c r="W212" s="128">
        <f>IF(VLOOKUP(A212,'1) Kpler'!$E$2:$P$1000,9,FALSE)="","",VLOOKUP(A212,'1) Kpler'!$E$2:$P$1000,9,FALSE))</f>
        <v>46132.125</v>
      </c>
      <c r="X212" s="87" t="str">
        <f>VLOOKUP(A212,'1) Kpler'!$E$2:$I$1000,4,FALSE)</f>
        <v>ballast</v>
      </c>
      <c r="Y212" s="219" t="str">
        <f t="shared" si="0"/>
        <v>30-01 May</v>
      </c>
      <c r="Z212" s="219" t="str">
        <f t="shared" si="1"/>
        <v>23-24 May</v>
      </c>
      <c r="AA212" s="219" t="str">
        <f t="shared" si="2"/>
        <v>24-25 May</v>
      </c>
      <c r="AB212" s="219" t="str">
        <f t="shared" si="3"/>
        <v>10-11 May</v>
      </c>
      <c r="AC212" s="219" t="str">
        <f t="shared" si="4"/>
        <v>18-19 May</v>
      </c>
      <c r="AD212" s="219" t="str">
        <f t="shared" si="5"/>
        <v>20-21 Apr</v>
      </c>
      <c r="AE212" s="220" t="str">
        <f t="shared" si="6"/>
        <v>25-26 Apr</v>
      </c>
      <c r="AF212" s="130" t="str">
        <f t="shared" si="7"/>
        <v>27-28 May</v>
      </c>
      <c r="AG212" s="131" t="str">
        <f t="shared" si="26"/>
        <v>30-01 May</v>
      </c>
      <c r="AH212" s="95">
        <f>IFERROR($M212+VLOOKUP($L212,'Voyage days'!$F$38:$H$89,3,FALSE),"")</f>
        <v>46142</v>
      </c>
      <c r="AI212" s="95">
        <f>IFERROR(N212+VLOOKUP($L212,'Voyage days'!$F$38:$H$89,3,FALSE),"")</f>
        <v>46143</v>
      </c>
      <c r="AJ212" s="131" t="str">
        <f t="shared" si="27"/>
        <v>23-24 May</v>
      </c>
      <c r="AK212" s="95">
        <f>IFERROR($M212+VLOOKUP($L212,'Voyage days'!$F$94:$H$193,3,FALSE),"")</f>
        <v>46165</v>
      </c>
      <c r="AL212" s="95">
        <f>IFERROR($N212+VLOOKUP($L212,'Voyage days'!$F$94:$H$193,3,FALSE),"")</f>
        <v>46166</v>
      </c>
      <c r="AM212" s="131" t="str">
        <f t="shared" si="28"/>
        <v>24-25 May</v>
      </c>
      <c r="AN212" s="95">
        <f>IFERROR($M212+VLOOKUP($L212,'Voyage days'!$F$203:$H$256,3,FALSE),"")</f>
        <v>46166</v>
      </c>
      <c r="AO212" s="95">
        <f>IFERROR($N212+VLOOKUP($L212,'Voyage days'!$F$203:$H$256,3,FALSE),"")</f>
        <v>46167</v>
      </c>
      <c r="AP212" s="131" t="str">
        <f t="shared" si="29"/>
        <v>10-11 May</v>
      </c>
      <c r="AQ212" s="95">
        <f>IFERROR($M212+VLOOKUP($L212,'Voyage days'!$F$294:$H$377,3,FALSE),"")</f>
        <v>46152</v>
      </c>
      <c r="AR212" s="95">
        <f>IFERROR($N212+VLOOKUP($L212,'Voyage days'!$F$294:$H$377,3,FALSE),"")</f>
        <v>46153</v>
      </c>
      <c r="AS212" s="131" t="str">
        <f t="shared" si="30"/>
        <v>18-19 May</v>
      </c>
      <c r="AT212" s="95">
        <f>IFERROR($M212+VLOOKUP($L212,'Voyage days'!$F$382:$H$446,3,FALSE),"")</f>
        <v>46160</v>
      </c>
      <c r="AU212" s="95">
        <f>IFERROR($N212+VLOOKUP($L212,'Voyage days'!$F$382:$H$446,3,FALSE),"")</f>
        <v>46161</v>
      </c>
      <c r="AV212" s="131" t="str">
        <f t="shared" si="31"/>
        <v>01-02 May</v>
      </c>
      <c r="AW212" s="95">
        <f>IFERROR($M212+VLOOKUP($L212,'Voyage days'!$F$483:$H$538,3,FALSE),"")</f>
        <v>46143</v>
      </c>
      <c r="AX212" s="95">
        <f>IFERROR($N212+VLOOKUP($L212,'Voyage days'!$F$483:$H$538,3,FALSE),"")</f>
        <v>46144</v>
      </c>
      <c r="AY212" s="131" t="str">
        <f t="shared" si="32"/>
        <v>25-26 Apr</v>
      </c>
      <c r="AZ212" s="95">
        <f>IFERROR($M212+VLOOKUP($L212,'Voyage days'!$F$540:$H$613,3,FALSE),"")</f>
        <v>46137.25</v>
      </c>
      <c r="BA212" s="95">
        <f>IFERROR($N212+VLOOKUP($L212,'Voyage days'!$F$540:$H$613,3,FALSE),"")</f>
        <v>46138.25</v>
      </c>
      <c r="BB212" s="131" t="str">
        <f t="shared" si="33"/>
        <v>20-21 Apr</v>
      </c>
      <c r="BC212" s="94">
        <f>IFERROR($M212+VLOOKUP($L212,'Voyage days'!$F$448:$H$479,3,FALSE),"")</f>
        <v>46132</v>
      </c>
      <c r="BD212" s="94">
        <f>IFERROR($N212+VLOOKUP($L212,'Voyage days'!$F$448:$H$479,3,FALSE),"")</f>
        <v>46133</v>
      </c>
      <c r="BE212" s="131" t="str">
        <f t="shared" si="34"/>
        <v/>
      </c>
      <c r="BF212" s="95" t="str">
        <f>IFERROR($M212+VLOOKUP($L212,'Voyage days'!$F$620:$H$646,3,FALSE),"")</f>
        <v/>
      </c>
      <c r="BG212" s="95" t="str">
        <f>IFERROR($N212+VLOOKUP($L212,'Voyage days'!$F$620:$H$646,3,FALSE),"")</f>
        <v/>
      </c>
      <c r="BH212" s="131" t="str">
        <f t="shared" si="35"/>
        <v>30-28 May</v>
      </c>
      <c r="BI212" s="96">
        <f>IFERROR($M212+VLOOKUP($L212,'Voyage days'!$F$702:$H$727,3,FALSE),"")</f>
        <v>46142</v>
      </c>
      <c r="BJ212" s="131" t="str">
        <f t="shared" si="36"/>
        <v>27-28 May</v>
      </c>
      <c r="BK212" s="95">
        <f>IFERROR($M212+VLOOKUP($L212,'Voyage days'!$F$807:$H$878,3,FALSE),"")</f>
        <v>46169</v>
      </c>
      <c r="BL212" s="95">
        <f>IFERROR($N212+VLOOKUP($L212,'Voyage days'!$F$807:$H$878,3,FALSE),"")</f>
        <v>46170</v>
      </c>
      <c r="BM212" s="95">
        <f>IFERROR($N212+VLOOKUP($L212,'Voyage days'!$F$807:$K$878,6,FALSE),"")</f>
        <v>46146</v>
      </c>
      <c r="BN212" s="94" t="str">
        <f>IF(L212="loads AG", IFERROR($M212+VLOOKUP($L212,'Voyage days'!$M$38:$O$38,3,FALSE),""),"")</f>
        <v/>
      </c>
      <c r="BO212" s="94" t="str">
        <f>IF(L212="loads USG", IFERROR($M212+VLOOKUP($L212,'Voyage days'!$L$203:$N$203,3,FALSE),""),"")</f>
        <v/>
      </c>
    </row>
    <row r="213" spans="1:67" ht="15.75" customHeight="1" x14ac:dyDescent="0.25">
      <c r="A213" s="74" t="s">
        <v>275</v>
      </c>
      <c r="B213" s="398">
        <v>2008</v>
      </c>
      <c r="C213" s="76">
        <v>82200</v>
      </c>
      <c r="D213" s="77"/>
      <c r="E213" s="77"/>
      <c r="F213" s="78"/>
      <c r="G213" s="78"/>
      <c r="H213" s="78"/>
      <c r="I213" s="82" t="s">
        <v>1229</v>
      </c>
      <c r="J213" s="80" t="str">
        <f t="shared" si="37"/>
        <v/>
      </c>
      <c r="K213" s="81"/>
      <c r="L213" s="82" t="s">
        <v>718</v>
      </c>
      <c r="M213" s="83">
        <v>46146</v>
      </c>
      <c r="N213" s="83">
        <v>46147</v>
      </c>
      <c r="O213" s="206" t="s">
        <v>807</v>
      </c>
      <c r="P213" s="85" t="s">
        <v>1235</v>
      </c>
      <c r="Q213" s="82"/>
      <c r="R213" s="158" t="s">
        <v>1236</v>
      </c>
      <c r="S213" s="120" t="s">
        <v>724</v>
      </c>
      <c r="T213" s="86">
        <v>46132</v>
      </c>
      <c r="U213" s="87" t="str">
        <f>IF(V213="","No AIS",VLOOKUP(V213,'Voyage days'!$A$3:$B$1480,2,FALSE))</f>
        <v>Panama</v>
      </c>
      <c r="V213" s="88" t="str">
        <f>IF(VLOOKUP(A213,'1) Kpler'!$E$2:$P$1000,8, FALSE)="","",VLOOKUP(A213,'1) Kpler'!$E$2:$P$1000,8, FALSE))</f>
        <v>Panama Canal</v>
      </c>
      <c r="W213" s="89">
        <f>IF(VLOOKUP(A213,'1) Kpler'!$E$2:$P$1000,9,FALSE)="","",VLOOKUP(A213,'1) Kpler'!$E$2:$P$1000,9,FALSE))</f>
        <v>46140.5</v>
      </c>
      <c r="X213" s="88" t="str">
        <f>VLOOKUP(A213,'1) Kpler'!$E$2:$I$1000,4,FALSE)</f>
        <v>ballast</v>
      </c>
      <c r="Y213" s="63" t="str">
        <f t="shared" si="0"/>
        <v/>
      </c>
      <c r="Z213" s="63" t="str">
        <f t="shared" si="1"/>
        <v>04-05 May</v>
      </c>
      <c r="AA213" s="63" t="str">
        <f t="shared" si="2"/>
        <v>04-05 May</v>
      </c>
      <c r="AB213" s="63" t="str">
        <f t="shared" si="3"/>
        <v/>
      </c>
      <c r="AC213" s="63" t="str">
        <f t="shared" si="4"/>
        <v>24-25 May</v>
      </c>
      <c r="AD213" s="63" t="str">
        <f t="shared" si="5"/>
        <v/>
      </c>
      <c r="AE213" s="129" t="str">
        <f t="shared" si="6"/>
        <v/>
      </c>
      <c r="AF213" s="130" t="str">
        <f t="shared" si="7"/>
        <v/>
      </c>
      <c r="AG213" s="93" t="str">
        <f t="shared" si="26"/>
        <v/>
      </c>
      <c r="AH213" s="94" t="str">
        <f>IFERROR($M213+VLOOKUP($L213,'Voyage days'!$F$38:$H$89,3,FALSE),"")</f>
        <v/>
      </c>
      <c r="AI213" s="94" t="str">
        <f>IFERROR(N213+VLOOKUP($L213,'Voyage days'!$F$38:$H$89,3,FALSE),"")</f>
        <v/>
      </c>
      <c r="AJ213" s="93" t="str">
        <f t="shared" si="27"/>
        <v>04-05 May</v>
      </c>
      <c r="AK213" s="94">
        <f>IFERROR($M213+VLOOKUP($L213,'Voyage days'!$F$94:$H$193,3,FALSE),"")</f>
        <v>46146</v>
      </c>
      <c r="AL213" s="94">
        <f>IFERROR($N213+VLOOKUP($L213,'Voyage days'!$F$94:$H$193,3,FALSE),"")</f>
        <v>46147</v>
      </c>
      <c r="AM213" s="93" t="str">
        <f t="shared" si="28"/>
        <v>04-05 May</v>
      </c>
      <c r="AN213" s="94">
        <f>IFERROR($M213+VLOOKUP($L213,'Voyage days'!$F$203:$H$256,3,FALSE),"")</f>
        <v>46146</v>
      </c>
      <c r="AO213" s="94">
        <f>IFERROR($N213+VLOOKUP($L213,'Voyage days'!$F$203:$H$256,3,FALSE),"")</f>
        <v>46147</v>
      </c>
      <c r="AP213" s="93" t="str">
        <f t="shared" si="29"/>
        <v/>
      </c>
      <c r="AQ213" s="94" t="str">
        <f>IFERROR($M213+VLOOKUP($L213,'Voyage days'!$F$294:$H$377,3,FALSE),"")</f>
        <v/>
      </c>
      <c r="AR213" s="94" t="str">
        <f>IFERROR($N213+VLOOKUP($L213,'Voyage days'!$F$294:$H$377,3,FALSE),"")</f>
        <v/>
      </c>
      <c r="AS213" s="93" t="str">
        <f t="shared" si="30"/>
        <v>24-25 May</v>
      </c>
      <c r="AT213" s="94">
        <f>IFERROR($M213+VLOOKUP($L213,'Voyage days'!$F$382:$H$446,3,FALSE),"")</f>
        <v>46166</v>
      </c>
      <c r="AU213" s="94">
        <f>IFERROR($N213+VLOOKUP($L213,'Voyage days'!$F$382:$H$446,3,FALSE),"")</f>
        <v>46167</v>
      </c>
      <c r="AV213" s="93" t="str">
        <f t="shared" si="31"/>
        <v/>
      </c>
      <c r="AW213" s="94" t="str">
        <f>IFERROR($M213+VLOOKUP($L213,'Voyage days'!$F$483:$H$538,3,FALSE),"")</f>
        <v/>
      </c>
      <c r="AX213" s="94" t="str">
        <f>IFERROR($N213+VLOOKUP($L213,'Voyage days'!$F$483:$H$538,3,FALSE),"")</f>
        <v/>
      </c>
      <c r="AY213" s="93" t="str">
        <f t="shared" si="32"/>
        <v/>
      </c>
      <c r="AZ213" s="94" t="str">
        <f>IFERROR($M213+VLOOKUP($L213,'Voyage days'!$F$540:$H$613,3,FALSE),"")</f>
        <v/>
      </c>
      <c r="BA213" s="94" t="str">
        <f>IFERROR($N213+VLOOKUP($L213,'Voyage days'!$F$540:$H$613,3,FALSE),"")</f>
        <v/>
      </c>
      <c r="BB213" s="93" t="str">
        <f t="shared" si="33"/>
        <v/>
      </c>
      <c r="BC213" s="94" t="str">
        <f>IFERROR($M213+VLOOKUP($L213,'Voyage days'!$F$448:$H$479,3,FALSE),"")</f>
        <v/>
      </c>
      <c r="BD213" s="94" t="str">
        <f>IFERROR($N213+VLOOKUP($L213,'Voyage days'!$F$448:$H$479,3,FALSE),"")</f>
        <v/>
      </c>
      <c r="BE213" s="93" t="str">
        <f t="shared" si="34"/>
        <v/>
      </c>
      <c r="BF213" s="95" t="str">
        <f>IFERROR($M213+VLOOKUP($L213,'Voyage days'!$F$620:$H$646,3,FALSE),"")</f>
        <v/>
      </c>
      <c r="BG213" s="95" t="str">
        <f>IFERROR($N213+VLOOKUP($L213,'Voyage days'!$F$620:$H$646,3,FALSE),"")</f>
        <v/>
      </c>
      <c r="BH213" s="93" t="str">
        <f t="shared" si="35"/>
        <v/>
      </c>
      <c r="BI213" s="96" t="str">
        <f>IFERROR($M213+VLOOKUP($L213,'Voyage days'!$F$702:$H$727,3,FALSE),"")</f>
        <v/>
      </c>
      <c r="BJ213" s="93" t="str">
        <f t="shared" si="36"/>
        <v/>
      </c>
      <c r="BK213" s="95" t="str">
        <f>IFERROR($M213+VLOOKUP($L213,'Voyage days'!$F$807:$H$878,3,FALSE),"")</f>
        <v/>
      </c>
      <c r="BL213" s="95" t="str">
        <f>IFERROR($N213+VLOOKUP($L213,'Voyage days'!$F$807:$H$878,3,FALSE),"")</f>
        <v/>
      </c>
      <c r="BM213" s="95" t="str">
        <f>IFERROR($N213+VLOOKUP($L213,'Voyage days'!$F$807:$K$878,6,FALSE),"")</f>
        <v/>
      </c>
      <c r="BN213" s="94" t="str">
        <f>IF(L213="loads AG", IFERROR($M213+VLOOKUP($L213,'Voyage days'!$M$38:$O$38,3,FALSE),""),"")</f>
        <v/>
      </c>
      <c r="BO213" s="94">
        <f>IF(L213="loads USG", IFERROR($M213+VLOOKUP($L213,'Voyage days'!$L$203:$N$203,3,FALSE),""),"")</f>
        <v>46178</v>
      </c>
    </row>
    <row r="214" spans="1:67" ht="15.75" customHeight="1" x14ac:dyDescent="0.25">
      <c r="A214" s="74" t="s">
        <v>323</v>
      </c>
      <c r="B214" s="398">
        <v>2026</v>
      </c>
      <c r="C214" s="76">
        <v>90964</v>
      </c>
      <c r="D214" s="77"/>
      <c r="E214" s="77"/>
      <c r="F214" s="78"/>
      <c r="G214" s="78"/>
      <c r="H214" s="78"/>
      <c r="I214" s="82" t="s">
        <v>1229</v>
      </c>
      <c r="J214" s="80" t="str">
        <f t="shared" si="37"/>
        <v/>
      </c>
      <c r="K214" s="81"/>
      <c r="L214" s="82" t="s">
        <v>704</v>
      </c>
      <c r="M214" s="83">
        <v>46160</v>
      </c>
      <c r="N214" s="83">
        <v>46161</v>
      </c>
      <c r="O214" s="206"/>
      <c r="P214" s="85" t="s">
        <v>1237</v>
      </c>
      <c r="Q214" s="82"/>
      <c r="R214" s="82" t="s">
        <v>1238</v>
      </c>
      <c r="S214" s="120" t="s">
        <v>724</v>
      </c>
      <c r="T214" s="86">
        <v>46132</v>
      </c>
      <c r="U214" s="87" t="str">
        <f>IF(V214="","No AIS",VLOOKUP(V214,'Voyage days'!$A$3:$B$1480,2,FALSE))</f>
        <v>India?/SG-JP?</v>
      </c>
      <c r="V214" s="88" t="str">
        <f>IF(VLOOKUP(A214,'1) Kpler'!$E$2:$P$1000,8, FALSE)="","",VLOOKUP(A214,'1) Kpler'!$E$2:$P$1000,8, FALSE))</f>
        <v>Eastern Asia</v>
      </c>
      <c r="W214" s="89">
        <f>IF(VLOOKUP(A214,'1) Kpler'!$E$2:$P$1000,9,FALSE)="","",VLOOKUP(A214,'1) Kpler'!$E$2:$P$1000,9,FALSE))</f>
        <v>46160.245138888888</v>
      </c>
      <c r="X214" s="88" t="str">
        <f>VLOOKUP(A214,'1) Kpler'!$E$2:$I$1000,4,FALSE)</f>
        <v>loaded</v>
      </c>
      <c r="Y214" s="63" t="str">
        <f t="shared" si="0"/>
        <v>05-06 Jun</v>
      </c>
      <c r="Z214" s="63" t="str">
        <f t="shared" si="1"/>
        <v>17-18 Jun</v>
      </c>
      <c r="AA214" s="63" t="str">
        <f t="shared" si="2"/>
        <v>25-26 Jun</v>
      </c>
      <c r="AB214" s="63" t="str">
        <f t="shared" si="3"/>
        <v>17-18 Jun</v>
      </c>
      <c r="AC214" s="63" t="str">
        <f t="shared" si="4"/>
        <v>23-24 Jun</v>
      </c>
      <c r="AD214" s="63" t="str">
        <f t="shared" si="5"/>
        <v>26-27 May</v>
      </c>
      <c r="AE214" s="129" t="str">
        <f t="shared" si="6"/>
        <v>26-27 May</v>
      </c>
      <c r="AF214" s="130" t="str">
        <f t="shared" si="7"/>
        <v>03-04 Jul</v>
      </c>
      <c r="AG214" s="93" t="str">
        <f t="shared" si="26"/>
        <v>05-06 Jun</v>
      </c>
      <c r="AH214" s="94">
        <f>IFERROR($M214+VLOOKUP($L214,'Voyage days'!$F$38:$H$89,3,FALSE),"")</f>
        <v>46178</v>
      </c>
      <c r="AI214" s="94">
        <f>IFERROR(N214+VLOOKUP($L214,'Voyage days'!$F$38:$H$89,3,FALSE),"")</f>
        <v>46179</v>
      </c>
      <c r="AJ214" s="93" t="str">
        <f t="shared" si="27"/>
        <v>17-18 Jun</v>
      </c>
      <c r="AK214" s="94">
        <f>IFERROR($M214+VLOOKUP($L214,'Voyage days'!$F$94:$H$193,3,FALSE),"")</f>
        <v>46190</v>
      </c>
      <c r="AL214" s="94">
        <f>IFERROR($N214+VLOOKUP($L214,'Voyage days'!$F$94:$H$193,3,FALSE),"")</f>
        <v>46191</v>
      </c>
      <c r="AM214" s="93" t="str">
        <f t="shared" si="28"/>
        <v>25-26 Jun</v>
      </c>
      <c r="AN214" s="94">
        <f>IFERROR($M214+VLOOKUP($L214,'Voyage days'!$F$203:$H$256,3,FALSE),"")</f>
        <v>46198</v>
      </c>
      <c r="AO214" s="94">
        <f>IFERROR($N214+VLOOKUP($L214,'Voyage days'!$F$203:$H$256,3,FALSE),"")</f>
        <v>46199</v>
      </c>
      <c r="AP214" s="93" t="str">
        <f t="shared" si="29"/>
        <v>17-18 Jun</v>
      </c>
      <c r="AQ214" s="94">
        <f>IFERROR($M214+VLOOKUP($L214,'Voyage days'!$F$294:$H$377,3,FALSE),"")</f>
        <v>46190</v>
      </c>
      <c r="AR214" s="94">
        <f>IFERROR($N214+VLOOKUP($L214,'Voyage days'!$F$294:$H$377,3,FALSE),"")</f>
        <v>46191</v>
      </c>
      <c r="AS214" s="93" t="str">
        <f t="shared" si="30"/>
        <v>23-24 Jun</v>
      </c>
      <c r="AT214" s="94">
        <f>IFERROR($M214+VLOOKUP($L214,'Voyage days'!$F$382:$H$446,3,FALSE),"")</f>
        <v>46196</v>
      </c>
      <c r="AU214" s="94">
        <f>IFERROR($N214+VLOOKUP($L214,'Voyage days'!$F$382:$H$446,3,FALSE),"")</f>
        <v>46197</v>
      </c>
      <c r="AV214" s="93" t="str">
        <f t="shared" si="31"/>
        <v>31-01 Jun</v>
      </c>
      <c r="AW214" s="94">
        <f>IFERROR($M214+VLOOKUP($L214,'Voyage days'!$F$483:$H$538,3,FALSE),"")</f>
        <v>46173</v>
      </c>
      <c r="AX214" s="94">
        <f>IFERROR($N214+VLOOKUP($L214,'Voyage days'!$F$483:$H$538,3,FALSE),"")</f>
        <v>46174</v>
      </c>
      <c r="AY214" s="93" t="str">
        <f t="shared" si="32"/>
        <v>26-27 May</v>
      </c>
      <c r="AZ214" s="94">
        <f>IFERROR($M214+VLOOKUP($L214,'Voyage days'!$F$540:$H$613,3,FALSE),"")</f>
        <v>46168.25</v>
      </c>
      <c r="BA214" s="94">
        <f>IFERROR($N214+VLOOKUP($L214,'Voyage days'!$F$540:$H$613,3,FALSE),"")</f>
        <v>46169.25</v>
      </c>
      <c r="BB214" s="93" t="str">
        <f t="shared" si="33"/>
        <v>26-27 May</v>
      </c>
      <c r="BC214" s="94">
        <f>IFERROR($M214+VLOOKUP($L214,'Voyage days'!$F$448:$H$479,3,FALSE),"")</f>
        <v>46168</v>
      </c>
      <c r="BD214" s="94">
        <f>IFERROR($N214+VLOOKUP($L214,'Voyage days'!$F$448:$H$479,3,FALSE),"")</f>
        <v>46169</v>
      </c>
      <c r="BE214" s="93" t="str">
        <f t="shared" si="34"/>
        <v>29-30 May</v>
      </c>
      <c r="BF214" s="95">
        <f>IFERROR($M214+VLOOKUP($L214,'Voyage days'!$F$620:$H$646,3,FALSE),"")</f>
        <v>46171</v>
      </c>
      <c r="BG214" s="95">
        <f>IFERROR($N214+VLOOKUP($L214,'Voyage days'!$F$620:$H$646,3,FALSE),"")</f>
        <v>46172</v>
      </c>
      <c r="BH214" s="93" t="str">
        <f t="shared" si="35"/>
        <v>26-04 Jul</v>
      </c>
      <c r="BI214" s="96">
        <f>IFERROR($M214+VLOOKUP($L214,'Voyage days'!$F$702:$H$727,3,FALSE),"")</f>
        <v>46168.25</v>
      </c>
      <c r="BJ214" s="93" t="str">
        <f t="shared" si="36"/>
        <v>03-04 Jul</v>
      </c>
      <c r="BK214" s="95">
        <f>IFERROR($M214+VLOOKUP($L214,'Voyage days'!$F$807:$H$878,3,FALSE),"")</f>
        <v>46206</v>
      </c>
      <c r="BL214" s="95">
        <f>IFERROR($N214+VLOOKUP($L214,'Voyage days'!$F$807:$H$878,3,FALSE),"")</f>
        <v>46207</v>
      </c>
      <c r="BM214" s="95">
        <f>IFERROR($N214+VLOOKUP($L214,'Voyage days'!$F$807:$K$878,6,FALSE),"")</f>
        <v>46181</v>
      </c>
      <c r="BN214" s="94" t="str">
        <f>IF(L214="loads AG", IFERROR($M214+VLOOKUP($L214,'Voyage days'!$M$38:$O$38,3,FALSE),""),"")</f>
        <v/>
      </c>
      <c r="BO214" s="94" t="str">
        <f>IF(L214="loads USG", IFERROR($M214+VLOOKUP($L214,'Voyage days'!$L$203:$N$203,3,FALSE),""),"")</f>
        <v/>
      </c>
    </row>
    <row r="215" spans="1:67" ht="15.75" customHeight="1" x14ac:dyDescent="0.25">
      <c r="A215" s="74" t="s">
        <v>508</v>
      </c>
      <c r="B215" s="398">
        <v>2023</v>
      </c>
      <c r="C215" s="76">
        <v>91000</v>
      </c>
      <c r="D215" s="77"/>
      <c r="E215" s="77"/>
      <c r="F215" s="78"/>
      <c r="G215" s="78"/>
      <c r="H215" s="78" t="s">
        <v>713</v>
      </c>
      <c r="I215" s="82" t="s">
        <v>1229</v>
      </c>
      <c r="J215" s="80" t="str">
        <f t="shared" si="37"/>
        <v/>
      </c>
      <c r="K215" s="81"/>
      <c r="L215" s="82" t="s">
        <v>718</v>
      </c>
      <c r="M215" s="83">
        <v>46140</v>
      </c>
      <c r="N215" s="83">
        <v>46141</v>
      </c>
      <c r="O215" s="206" t="s">
        <v>779</v>
      </c>
      <c r="P215" s="82" t="s">
        <v>1239</v>
      </c>
      <c r="Q215" s="82"/>
      <c r="R215" s="82" t="s">
        <v>1240</v>
      </c>
      <c r="S215" s="120" t="s">
        <v>724</v>
      </c>
      <c r="T215" s="86">
        <v>46132</v>
      </c>
      <c r="U215" s="87" t="str">
        <f>IF(V215="","No AIS",VLOOKUP(V215,'Voyage days'!$A$3:$B$1480,2,FALSE))</f>
        <v>USG</v>
      </c>
      <c r="V215" s="88" t="str">
        <f>IF(VLOOKUP(A215,'1) Kpler'!$E$2:$P$1000,8, FALSE)="","",VLOOKUP(A215,'1) Kpler'!$E$2:$P$1000,8, FALSE))</f>
        <v>Energy Transfer Marcus Hook</v>
      </c>
      <c r="W215" s="89">
        <f>IF(VLOOKUP(A215,'1) Kpler'!$E$2:$P$1000,9,FALSE)="","",VLOOKUP(A215,'1) Kpler'!$E$2:$P$1000,9,FALSE))</f>
        <v>46140.791666666664</v>
      </c>
      <c r="X215" s="88" t="str">
        <f>VLOOKUP(A215,'1) Kpler'!$E$2:$I$1000,4,FALSE)</f>
        <v>ballast</v>
      </c>
      <c r="Y215" s="90" t="str">
        <f t="shared" si="0"/>
        <v/>
      </c>
      <c r="Z215" s="63" t="str">
        <f t="shared" si="1"/>
        <v>28-29 Apr</v>
      </c>
      <c r="AA215" s="63" t="str">
        <f t="shared" si="2"/>
        <v>28-29 Apr</v>
      </c>
      <c r="AB215" s="63" t="str">
        <f t="shared" si="3"/>
        <v/>
      </c>
      <c r="AC215" s="63" t="str">
        <f t="shared" si="4"/>
        <v>18-19 May</v>
      </c>
      <c r="AD215" s="63" t="str">
        <f t="shared" si="5"/>
        <v/>
      </c>
      <c r="AE215" s="129" t="str">
        <f t="shared" si="6"/>
        <v/>
      </c>
      <c r="AF215" s="130" t="str">
        <f t="shared" si="7"/>
        <v/>
      </c>
      <c r="AG215" s="93" t="str">
        <f t="shared" si="26"/>
        <v/>
      </c>
      <c r="AH215" s="94" t="str">
        <f>IFERROR($M215+VLOOKUP($L215,'Voyage days'!$F$38:$H$89,3,FALSE),"")</f>
        <v/>
      </c>
      <c r="AI215" s="94" t="str">
        <f>IFERROR(N215+VLOOKUP($L215,'Voyage days'!$F$38:$H$89,3,FALSE),"")</f>
        <v/>
      </c>
      <c r="AJ215" s="93" t="str">
        <f t="shared" si="27"/>
        <v>28-29 Apr</v>
      </c>
      <c r="AK215" s="94">
        <f>IFERROR($M215+VLOOKUP($L215,'Voyage days'!$F$94:$H$193,3,FALSE),"")</f>
        <v>46140</v>
      </c>
      <c r="AL215" s="94">
        <f>IFERROR($N215+VLOOKUP($L215,'Voyage days'!$F$94:$H$193,3,FALSE),"")</f>
        <v>46141</v>
      </c>
      <c r="AM215" s="93" t="str">
        <f t="shared" si="28"/>
        <v>28-29 Apr</v>
      </c>
      <c r="AN215" s="94">
        <f>IFERROR($M215+VLOOKUP($L215,'Voyage days'!$F$203:$H$256,3,FALSE),"")</f>
        <v>46140</v>
      </c>
      <c r="AO215" s="94">
        <f>IFERROR($N215+VLOOKUP($L215,'Voyage days'!$F$203:$H$256,3,FALSE),"")</f>
        <v>46141</v>
      </c>
      <c r="AP215" s="93" t="str">
        <f t="shared" si="29"/>
        <v/>
      </c>
      <c r="AQ215" s="94" t="str">
        <f>IFERROR($M215+VLOOKUP($L215,'Voyage days'!$F$294:$H$377,3,FALSE),"")</f>
        <v/>
      </c>
      <c r="AR215" s="94" t="str">
        <f>IFERROR($N215+VLOOKUP($L215,'Voyage days'!$F$294:$H$377,3,FALSE),"")</f>
        <v/>
      </c>
      <c r="AS215" s="93" t="str">
        <f t="shared" si="30"/>
        <v>18-19 May</v>
      </c>
      <c r="AT215" s="94">
        <f>IFERROR($M215+VLOOKUP($L215,'Voyage days'!$F$382:$H$446,3,FALSE),"")</f>
        <v>46160</v>
      </c>
      <c r="AU215" s="94">
        <f>IFERROR($N215+VLOOKUP($L215,'Voyage days'!$F$382:$H$446,3,FALSE),"")</f>
        <v>46161</v>
      </c>
      <c r="AV215" s="93" t="str">
        <f t="shared" si="31"/>
        <v/>
      </c>
      <c r="AW215" s="94" t="str">
        <f>IFERROR($M215+VLOOKUP($L215,'Voyage days'!$F$483:$H$538,3,FALSE),"")</f>
        <v/>
      </c>
      <c r="AX215" s="94" t="str">
        <f>IFERROR($N215+VLOOKUP($L215,'Voyage days'!$F$483:$H$538,3,FALSE),"")</f>
        <v/>
      </c>
      <c r="AY215" s="93" t="str">
        <f t="shared" si="32"/>
        <v/>
      </c>
      <c r="AZ215" s="94" t="str">
        <f>IFERROR($M215+VLOOKUP($L215,'Voyage days'!$F$540:$H$613,3,FALSE),"")</f>
        <v/>
      </c>
      <c r="BA215" s="94" t="str">
        <f>IFERROR($N215+VLOOKUP($L215,'Voyage days'!$F$540:$H$613,3,FALSE),"")</f>
        <v/>
      </c>
      <c r="BB215" s="93" t="str">
        <f t="shared" si="33"/>
        <v/>
      </c>
      <c r="BC215" s="94" t="str">
        <f>IFERROR($M215+VLOOKUP($L215,'Voyage days'!$F$448:$H$479,3,FALSE),"")</f>
        <v/>
      </c>
      <c r="BD215" s="94" t="str">
        <f>IFERROR($N215+VLOOKUP($L215,'Voyage days'!$F$448:$H$479,3,FALSE),"")</f>
        <v/>
      </c>
      <c r="BE215" s="93" t="str">
        <f t="shared" si="34"/>
        <v/>
      </c>
      <c r="BF215" s="95" t="str">
        <f>IFERROR($M215+VLOOKUP($L215,'Voyage days'!$F$620:$H$646,3,FALSE),"")</f>
        <v/>
      </c>
      <c r="BG215" s="95" t="str">
        <f>IFERROR($N215+VLOOKUP($L215,'Voyage days'!$F$620:$H$646,3,FALSE),"")</f>
        <v/>
      </c>
      <c r="BH215" s="93" t="str">
        <f t="shared" si="35"/>
        <v/>
      </c>
      <c r="BI215" s="96" t="str">
        <f>IFERROR($M215+VLOOKUP($L215,'Voyage days'!$F$702:$H$727,3,FALSE),"")</f>
        <v/>
      </c>
      <c r="BJ215" s="93" t="str">
        <f t="shared" si="36"/>
        <v/>
      </c>
      <c r="BK215" s="95" t="str">
        <f>IFERROR($M215+VLOOKUP($L215,'Voyage days'!$F$807:$H$878,3,FALSE),"")</f>
        <v/>
      </c>
      <c r="BL215" s="95" t="str">
        <f>IFERROR($N215+VLOOKUP($L215,'Voyage days'!$F$807:$H$878,3,FALSE),"")</f>
        <v/>
      </c>
      <c r="BM215" s="95" t="str">
        <f>IFERROR($N215+VLOOKUP($L215,'Voyage days'!$F$807:$K$878,6,FALSE),"")</f>
        <v/>
      </c>
      <c r="BN215" s="94" t="str">
        <f>IF(L215="loads AG", IFERROR($M215+VLOOKUP($L215,'Voyage days'!$M$38:$O$38,3,FALSE),""),"")</f>
        <v/>
      </c>
      <c r="BO215" s="94">
        <f>IF(L215="loads USG", IFERROR($M215+VLOOKUP($L215,'Voyage days'!$L$203:$N$203,3,FALSE),""),"")</f>
        <v>46172</v>
      </c>
    </row>
    <row r="216" spans="1:67" ht="15.75" customHeight="1" x14ac:dyDescent="0.25">
      <c r="A216" s="465" t="s">
        <v>516</v>
      </c>
      <c r="B216" s="398">
        <v>2008</v>
      </c>
      <c r="C216" s="76">
        <v>82200</v>
      </c>
      <c r="D216" s="231" t="s">
        <v>1241</v>
      </c>
      <c r="E216" s="77" t="s">
        <v>739</v>
      </c>
      <c r="F216" s="466"/>
      <c r="G216" s="467">
        <v>46296</v>
      </c>
      <c r="H216" s="77"/>
      <c r="I216" s="231" t="s">
        <v>1242</v>
      </c>
      <c r="J216" s="80" t="str">
        <f t="shared" si="37"/>
        <v/>
      </c>
      <c r="K216" s="81"/>
      <c r="L216" s="82" t="s">
        <v>1243</v>
      </c>
      <c r="M216" s="83">
        <v>46134</v>
      </c>
      <c r="N216" s="83">
        <v>46135</v>
      </c>
      <c r="O216" s="84"/>
      <c r="P216" s="82" t="s">
        <v>1244</v>
      </c>
      <c r="Q216" s="82"/>
      <c r="R216" s="82" t="s">
        <v>1245</v>
      </c>
      <c r="S216" s="120" t="s">
        <v>724</v>
      </c>
      <c r="T216" s="86">
        <v>46132</v>
      </c>
      <c r="U216" s="87" t="str">
        <f>IF(V216="","No AIS",VLOOKUP(V216,'Voyage days'!$A$3:$B$1480,2,FALSE))</f>
        <v>AG</v>
      </c>
      <c r="V216" s="88" t="str">
        <f>IF(VLOOKUP(A216,'1) Kpler'!$E$2:$P$1000,8, FALSE)="","",VLOOKUP(A216,'1) Kpler'!$E$2:$P$1000,8, FALSE))</f>
        <v>Yanbu NGL &amp; Yasref</v>
      </c>
      <c r="W216" s="89">
        <f>IF(VLOOKUP(A216,'1) Kpler'!$E$2:$P$1000,9,FALSE)="","",VLOOKUP(A216,'1) Kpler'!$E$2:$P$1000,9,FALSE))</f>
        <v>46134.666666666664</v>
      </c>
      <c r="X216" s="88" t="str">
        <f>VLOOKUP(A216,'1) Kpler'!$E$2:$I$1000,4,FALSE)</f>
        <v>ballast</v>
      </c>
      <c r="Y216" s="90" t="str">
        <f t="shared" si="0"/>
        <v>22-23 Apr</v>
      </c>
      <c r="Z216" s="63" t="str">
        <f t="shared" si="1"/>
        <v/>
      </c>
      <c r="AA216" s="63" t="str">
        <f t="shared" si="2"/>
        <v/>
      </c>
      <c r="AB216" s="63" t="str">
        <f t="shared" si="3"/>
        <v/>
      </c>
      <c r="AC216" s="63" t="str">
        <f t="shared" si="4"/>
        <v/>
      </c>
      <c r="AD216" s="63" t="str">
        <f t="shared" si="5"/>
        <v/>
      </c>
      <c r="AE216" s="129" t="str">
        <f t="shared" si="6"/>
        <v>11-12 May</v>
      </c>
      <c r="AF216" s="130" t="str">
        <f t="shared" si="7"/>
        <v>22-23 Apr</v>
      </c>
      <c r="AG216" s="93" t="str">
        <f t="shared" si="26"/>
        <v>22-23 Apr</v>
      </c>
      <c r="AH216" s="94">
        <f>IFERROR($M216+VLOOKUP($L216,'Voyage days'!$F$38:$H$89,3,FALSE),"")</f>
        <v>46134</v>
      </c>
      <c r="AI216" s="94">
        <f>IFERROR(N216+VLOOKUP($L216,'Voyage days'!$F$38:$H$89,3,FALSE),"")</f>
        <v>46135</v>
      </c>
      <c r="AJ216" s="93" t="str">
        <f t="shared" si="27"/>
        <v/>
      </c>
      <c r="AK216" s="94" t="str">
        <f>IFERROR($M216+VLOOKUP($L216,'Voyage days'!$F$94:$H$193,3,FALSE),"")</f>
        <v/>
      </c>
      <c r="AL216" s="94" t="str">
        <f>IFERROR($N216+VLOOKUP($L216,'Voyage days'!$F$94:$H$193,3,FALSE),"")</f>
        <v/>
      </c>
      <c r="AM216" s="93" t="str">
        <f t="shared" si="28"/>
        <v/>
      </c>
      <c r="AN216" s="94" t="str">
        <f>IFERROR($M216+VLOOKUP($L216,'Voyage days'!$F$203:$H$256,3,FALSE),"")</f>
        <v/>
      </c>
      <c r="AO216" s="94" t="str">
        <f>IFERROR($N216+VLOOKUP($L216,'Voyage days'!$F$203:$H$256,3,FALSE),"")</f>
        <v/>
      </c>
      <c r="AP216" s="93" t="str">
        <f t="shared" si="29"/>
        <v/>
      </c>
      <c r="AQ216" s="94" t="str">
        <f>IFERROR($M216+VLOOKUP($L216,'Voyage days'!$F$294:$H$377,3,FALSE),"")</f>
        <v/>
      </c>
      <c r="AR216" s="94" t="str">
        <f>IFERROR($N216+VLOOKUP($L216,'Voyage days'!$F$294:$H$377,3,FALSE),"")</f>
        <v/>
      </c>
      <c r="AS216" s="93" t="str">
        <f t="shared" si="30"/>
        <v/>
      </c>
      <c r="AT216" s="94" t="str">
        <f>IFERROR($M216+VLOOKUP($L216,'Voyage days'!$F$382:$H$446,3,FALSE),"")</f>
        <v/>
      </c>
      <c r="AU216" s="94" t="str">
        <f>IFERROR($N216+VLOOKUP($L216,'Voyage days'!$F$382:$H$446,3,FALSE),"")</f>
        <v/>
      </c>
      <c r="AV216" s="93" t="str">
        <f t="shared" si="31"/>
        <v/>
      </c>
      <c r="AW216" s="94" t="str">
        <f>IFERROR($M216+VLOOKUP($L216,'Voyage days'!$F$483:$H$538,3,FALSE),"")</f>
        <v/>
      </c>
      <c r="AX216" s="94" t="str">
        <f>IFERROR($N216+VLOOKUP($L216,'Voyage days'!$F$483:$H$538,3,FALSE),"")</f>
        <v/>
      </c>
      <c r="AY216" s="93" t="str">
        <f t="shared" si="32"/>
        <v>11-12 May</v>
      </c>
      <c r="AZ216" s="94">
        <f>IFERROR($M216+VLOOKUP($L216,'Voyage days'!$F$540:$H$613,3,FALSE),"")</f>
        <v>46153</v>
      </c>
      <c r="BA216" s="94">
        <f>IFERROR($N216+VLOOKUP($L216,'Voyage days'!$F$540:$H$613,3,FALSE),"")</f>
        <v>46154</v>
      </c>
      <c r="BB216" s="93" t="str">
        <f t="shared" si="33"/>
        <v/>
      </c>
      <c r="BC216" s="94" t="str">
        <f>IFERROR($M216+VLOOKUP($L216,'Voyage days'!$F$448:$H$479,3,FALSE),"")</f>
        <v/>
      </c>
      <c r="BD216" s="94" t="str">
        <f>IFERROR($N216+VLOOKUP($L216,'Voyage days'!$F$448:$H$479,3,FALSE),"")</f>
        <v/>
      </c>
      <c r="BE216" s="93" t="str">
        <f t="shared" si="34"/>
        <v/>
      </c>
      <c r="BF216" s="95" t="str">
        <f>IFERROR($M216+VLOOKUP($L216,'Voyage days'!$F$620:$H$646,3,FALSE),"")</f>
        <v/>
      </c>
      <c r="BG216" s="95" t="str">
        <f>IFERROR($N216+VLOOKUP($L216,'Voyage days'!$F$620:$H$646,3,FALSE),"")</f>
        <v/>
      </c>
      <c r="BH216" s="93" t="str">
        <f t="shared" si="35"/>
        <v/>
      </c>
      <c r="BI216" s="96" t="str">
        <f>IFERROR($M216+VLOOKUP($L216,'Voyage days'!$F$702:$H$727,3,FALSE),"")</f>
        <v/>
      </c>
      <c r="BJ216" s="93" t="str">
        <f t="shared" si="36"/>
        <v>22-23 Apr</v>
      </c>
      <c r="BK216" s="95">
        <f>IFERROR($M216+VLOOKUP($L216,'Voyage days'!$F$807:$H$878,3,FALSE),"")</f>
        <v>46134</v>
      </c>
      <c r="BL216" s="95">
        <f>IFERROR($N216+VLOOKUP($L216,'Voyage days'!$F$807:$H$878,3,FALSE),"")</f>
        <v>46135</v>
      </c>
      <c r="BM216" s="95">
        <f>IFERROR($N216+VLOOKUP($L216,'Voyage days'!$F$807:$K$878,6,FALSE),"")</f>
        <v>46138</v>
      </c>
      <c r="BN216" s="94">
        <f>IF(L216="loads AG", IFERROR($M216+VLOOKUP($L216,'Voyage days'!$M$38:$O$38,3,FALSE),""),"")</f>
        <v>46159</v>
      </c>
      <c r="BO216" s="94" t="str">
        <f>IF(L216="loads USG", IFERROR($M216+VLOOKUP($L216,'Voyage days'!$L$203:$N$203,3,FALSE),""),"")</f>
        <v/>
      </c>
    </row>
    <row r="217" spans="1:67" ht="15.75" customHeight="1" x14ac:dyDescent="0.25">
      <c r="A217" s="50" t="s">
        <v>539</v>
      </c>
      <c r="B217" s="398">
        <v>2024</v>
      </c>
      <c r="C217" s="76">
        <v>91000</v>
      </c>
      <c r="D217" s="231"/>
      <c r="E217" s="77"/>
      <c r="F217" s="466"/>
      <c r="G217" s="467"/>
      <c r="H217" s="77" t="s">
        <v>713</v>
      </c>
      <c r="I217" s="231" t="s">
        <v>1229</v>
      </c>
      <c r="J217" s="80" t="str">
        <f t="shared" si="37"/>
        <v/>
      </c>
      <c r="K217" s="81"/>
      <c r="L217" s="82" t="s">
        <v>901</v>
      </c>
      <c r="M217" s="83">
        <v>46151</v>
      </c>
      <c r="N217" s="83">
        <v>46152</v>
      </c>
      <c r="O217" s="84"/>
      <c r="P217" s="82" t="s">
        <v>1246</v>
      </c>
      <c r="Q217" s="158"/>
      <c r="R217" s="82" t="s">
        <v>1247</v>
      </c>
      <c r="S217" s="120" t="s">
        <v>724</v>
      </c>
      <c r="T217" s="86">
        <v>46132</v>
      </c>
      <c r="U217" s="87" t="str">
        <f>IF(V217="","No AIS",VLOOKUP(V217,'Voyage days'!$A$3:$B$1480,2,FALSE))</f>
        <v>North China +4</v>
      </c>
      <c r="V217" s="88" t="str">
        <f>IF(VLOOKUP(A217,'1) Kpler'!$E$2:$P$1000,8, FALSE)="","",VLOOKUP(A217,'1) Kpler'!$E$2:$P$1000,8, FALSE))</f>
        <v>Liaoning Kingfa Cracker</v>
      </c>
      <c r="W217" s="89">
        <f>IF(VLOOKUP(A217,'1) Kpler'!$E$2:$P$1000,9,FALSE)="","",VLOOKUP(A217,'1) Kpler'!$E$2:$P$1000,9,FALSE))</f>
        <v>46147.666666666664</v>
      </c>
      <c r="X217" s="88" t="str">
        <f>VLOOKUP(A217,'1) Kpler'!$E$2:$I$1000,4,FALSE)</f>
        <v>loaded</v>
      </c>
      <c r="Y217" s="468" t="str">
        <f>Z217</f>
        <v>10-11 Jun</v>
      </c>
      <c r="Z217" s="468" t="str">
        <f t="shared" si="1"/>
        <v>10-11 Jun</v>
      </c>
      <c r="AA217" s="468" t="str">
        <f t="shared" si="2"/>
        <v>20-21 Jun</v>
      </c>
      <c r="AB217" s="468" t="str">
        <f t="shared" si="3"/>
        <v>07-08 Jun</v>
      </c>
      <c r="AC217" s="468" t="str">
        <f t="shared" si="4"/>
        <v>13-14 Jun</v>
      </c>
      <c r="AD217" s="468" t="str">
        <f t="shared" si="5"/>
        <v>17-18 May</v>
      </c>
      <c r="AE217" s="469" t="str">
        <f t="shared" si="6"/>
        <v>18-19 May</v>
      </c>
      <c r="AF217" s="130" t="str">
        <f t="shared" si="7"/>
        <v>24-25 Jun</v>
      </c>
      <c r="AG217" s="93" t="str">
        <f t="shared" si="26"/>
        <v>27-28 May</v>
      </c>
      <c r="AH217" s="94">
        <f>IFERROR($M217+VLOOKUP($L217,'Voyage days'!$F$38:$H$89,3,FALSE),"")</f>
        <v>46169</v>
      </c>
      <c r="AI217" s="94">
        <f>IFERROR(N217+VLOOKUP($L217,'Voyage days'!$F$38:$H$89,3,FALSE),"")</f>
        <v>46170</v>
      </c>
      <c r="AJ217" s="94" t="str">
        <f t="shared" si="27"/>
        <v>10-11 Jun</v>
      </c>
      <c r="AK217" s="94">
        <f>IFERROR($M217+VLOOKUP($L217,'Voyage days'!$F$94:$H$193,3,FALSE),"")</f>
        <v>46183</v>
      </c>
      <c r="AL217" s="93">
        <f>IFERROR($N217+VLOOKUP($L217,'Voyage days'!$F$94:$H$193,3,FALSE),"")</f>
        <v>46184</v>
      </c>
      <c r="AM217" s="94" t="str">
        <f t="shared" si="28"/>
        <v>20-21 Jun</v>
      </c>
      <c r="AN217" s="94">
        <f>IFERROR($M217+VLOOKUP($L217,'Voyage days'!$F$203:$H$256,3,FALSE),"")</f>
        <v>46193</v>
      </c>
      <c r="AO217" s="93">
        <f>IFERROR($N217+VLOOKUP($L217,'Voyage days'!$F$203:$H$256,3,FALSE),"")</f>
        <v>46194</v>
      </c>
      <c r="AP217" s="94" t="str">
        <f t="shared" si="29"/>
        <v>07-08 Jun</v>
      </c>
      <c r="AQ217" s="94">
        <f>IFERROR($M217+VLOOKUP($L217,'Voyage days'!$F$294:$H$377,3,FALSE),"")</f>
        <v>46180</v>
      </c>
      <c r="AR217" s="93">
        <f>IFERROR($N217+VLOOKUP($L217,'Voyage days'!$F$294:$H$377,3,FALSE),"")</f>
        <v>46181</v>
      </c>
      <c r="AS217" s="94" t="str">
        <f t="shared" si="30"/>
        <v>13-14 Jun</v>
      </c>
      <c r="AT217" s="94">
        <f>IFERROR($M217+VLOOKUP($L217,'Voyage days'!$F$382:$H$446,3,FALSE),"")</f>
        <v>46186</v>
      </c>
      <c r="AU217" s="93">
        <f>IFERROR($N217+VLOOKUP($L217,'Voyage days'!$F$382:$H$446,3,FALSE),"")</f>
        <v>46187</v>
      </c>
      <c r="AV217" s="94" t="str">
        <f t="shared" si="31"/>
        <v>24-25 May</v>
      </c>
      <c r="AW217" s="94">
        <f>IFERROR($M217+VLOOKUP($L217,'Voyage days'!$F$483:$H$538,3,FALSE),"")</f>
        <v>46166</v>
      </c>
      <c r="AX217" s="93">
        <f>IFERROR($N217+VLOOKUP($L217,'Voyage days'!$F$483:$H$538,3,FALSE),"")</f>
        <v>46167</v>
      </c>
      <c r="AY217" s="95" t="str">
        <f t="shared" si="32"/>
        <v>18-19 May</v>
      </c>
      <c r="AZ217" s="95">
        <f>IFERROR($M217+VLOOKUP($L217,'Voyage days'!$F$540:$H$613,3,FALSE),"")</f>
        <v>46160</v>
      </c>
      <c r="BA217" s="93">
        <f>IFERROR($N217+VLOOKUP($L217,'Voyage days'!$F$540:$H$613,3,FALSE),"")</f>
        <v>46161</v>
      </c>
      <c r="BB217" s="96" t="str">
        <f t="shared" si="33"/>
        <v>17-18 May</v>
      </c>
      <c r="BC217" s="93">
        <f>IFERROR($M217+VLOOKUP($L217,'Voyage days'!$F$448:$H$479,3,FALSE),"")</f>
        <v>46159</v>
      </c>
      <c r="BD217" s="95">
        <f>IFERROR($N217+VLOOKUP($L217,'Voyage days'!$F$448:$H$479,3,FALSE),"")</f>
        <v>46160</v>
      </c>
      <c r="BE217" s="95" t="str">
        <f t="shared" si="34"/>
        <v>22-23 May</v>
      </c>
      <c r="BF217" s="470">
        <f>IFERROR($M217+VLOOKUP($L217,'Voyage days'!$F$620:$H$646,3,FALSE),"")</f>
        <v>46164</v>
      </c>
      <c r="BG217" s="470">
        <f>IFERROR($N217+VLOOKUP($L217,'Voyage days'!$F$620:$H$646,3,FALSE),"")</f>
        <v>46165</v>
      </c>
      <c r="BH217" s="93" t="str">
        <f t="shared" si="35"/>
        <v>18-25 Jun</v>
      </c>
      <c r="BI217" s="96">
        <f>IFERROR($M217+VLOOKUP($L217,'Voyage days'!$F$702:$H$727,3,FALSE),"")</f>
        <v>46160</v>
      </c>
      <c r="BJ217" s="93" t="str">
        <f t="shared" si="36"/>
        <v>24-25 Jun</v>
      </c>
      <c r="BK217" s="95">
        <f>IFERROR($M217+VLOOKUP($L217,'Voyage days'!$F$807:$H$878,3,FALSE),"")</f>
        <v>46197</v>
      </c>
      <c r="BL217" s="95">
        <f>IFERROR($N217+VLOOKUP($L217,'Voyage days'!$F$807:$H$878,3,FALSE),"")</f>
        <v>46198</v>
      </c>
      <c r="BM217" s="95">
        <f>IFERROR($N217+VLOOKUP($L217,'Voyage days'!$F$807:$K$878,6,FALSE),"")</f>
        <v>46172</v>
      </c>
      <c r="BN217" s="94" t="str">
        <f>IF(L217="loads AG", IFERROR($M217+VLOOKUP($L217,'Voyage days'!$M$38:$O$38,3,FALSE),""),"")</f>
        <v/>
      </c>
      <c r="BO217" s="94" t="str">
        <f>IF(L217="loads USG", IFERROR($M217+VLOOKUP($L217,'Voyage days'!$L$203:$N$203,3,FALSE),""),"")</f>
        <v/>
      </c>
    </row>
    <row r="218" spans="1:67" ht="15.75" customHeight="1" x14ac:dyDescent="0.25">
      <c r="A218" s="74" t="s">
        <v>541</v>
      </c>
      <c r="B218" s="398">
        <v>2024</v>
      </c>
      <c r="C218" s="76">
        <v>91000</v>
      </c>
      <c r="D218" s="77"/>
      <c r="E218" s="77"/>
      <c r="F218" s="78"/>
      <c r="G218" s="78"/>
      <c r="H218" s="78" t="s">
        <v>713</v>
      </c>
      <c r="I218" s="82" t="s">
        <v>1229</v>
      </c>
      <c r="J218" s="80" t="str">
        <f t="shared" si="37"/>
        <v>Update</v>
      </c>
      <c r="K218" s="81" t="s">
        <v>817</v>
      </c>
      <c r="L218" s="82" t="s">
        <v>1196</v>
      </c>
      <c r="M218" s="83">
        <v>46132</v>
      </c>
      <c r="N218" s="83">
        <v>46133</v>
      </c>
      <c r="O218" s="206"/>
      <c r="P218" s="82" t="s">
        <v>1248</v>
      </c>
      <c r="Q218" s="158"/>
      <c r="R218" s="82" t="s">
        <v>1249</v>
      </c>
      <c r="S218" s="120" t="s">
        <v>724</v>
      </c>
      <c r="T218" s="86">
        <v>46132</v>
      </c>
      <c r="U218" s="87" t="str">
        <f>IF(V218="","No AIS",VLOOKUP(V218,'Voyage days'!$A$3:$B$1480,2,FALSE))</f>
        <v>India?/SG-JP?</v>
      </c>
      <c r="V218" s="88" t="str">
        <f>IF(VLOOKUP(A218,'1) Kpler'!$E$2:$P$1000,8, FALSE)="","",VLOOKUP(A218,'1) Kpler'!$E$2:$P$1000,8, FALSE))</f>
        <v>Eastern Asia</v>
      </c>
      <c r="W218" s="89">
        <f>IF(VLOOKUP(A218,'1) Kpler'!$E$2:$P$1000,9,FALSE)="","",VLOOKUP(A218,'1) Kpler'!$E$2:$P$1000,9,FALSE))</f>
        <v>46134</v>
      </c>
      <c r="X218" s="88" t="str">
        <f>VLOOKUP(A218,'1) Kpler'!$E$2:$I$1000,4,FALSE)</f>
        <v>loaded</v>
      </c>
      <c r="Y218" s="63" t="str">
        <f t="shared" ref="Y218:Y267" si="38">AG218</f>
        <v>05-06 May</v>
      </c>
      <c r="Z218" s="63" t="str">
        <f t="shared" si="1"/>
        <v>28-29 May</v>
      </c>
      <c r="AA218" s="63" t="str">
        <f t="shared" si="2"/>
        <v>29-30 May</v>
      </c>
      <c r="AB218" s="63" t="str">
        <f t="shared" si="3"/>
        <v>15-16 May</v>
      </c>
      <c r="AC218" s="63" t="str">
        <f t="shared" si="4"/>
        <v>23-24 May</v>
      </c>
      <c r="AD218" s="63" t="str">
        <f t="shared" si="5"/>
        <v>25-26 Apr</v>
      </c>
      <c r="AE218" s="129" t="str">
        <f t="shared" si="6"/>
        <v>30-01 May</v>
      </c>
      <c r="AF218" s="130" t="str">
        <f t="shared" si="7"/>
        <v>02-03 Jun</v>
      </c>
      <c r="AG218" s="93" t="str">
        <f t="shared" si="26"/>
        <v>05-06 May</v>
      </c>
      <c r="AH218" s="94">
        <f>IFERROR($M218+VLOOKUP($L218,'Voyage days'!$F$38:$H$89,3,FALSE),"")</f>
        <v>46147</v>
      </c>
      <c r="AI218" s="94">
        <f>IFERROR(N218+VLOOKUP($L218,'Voyage days'!$F$38:$H$89,3,FALSE),"")</f>
        <v>46148</v>
      </c>
      <c r="AJ218" s="93" t="str">
        <f t="shared" si="27"/>
        <v>28-29 May</v>
      </c>
      <c r="AK218" s="94">
        <f>IFERROR($M218+VLOOKUP($L218,'Voyage days'!$F$94:$H$193,3,FALSE),"")</f>
        <v>46170</v>
      </c>
      <c r="AL218" s="94">
        <f>IFERROR($N218+VLOOKUP($L218,'Voyage days'!$F$94:$H$193,3,FALSE),"")</f>
        <v>46171</v>
      </c>
      <c r="AM218" s="93" t="str">
        <f t="shared" si="28"/>
        <v>29-30 May</v>
      </c>
      <c r="AN218" s="94">
        <f>IFERROR($M218+VLOOKUP($L218,'Voyage days'!$F$203:$H$256,3,FALSE),"")</f>
        <v>46171</v>
      </c>
      <c r="AO218" s="94">
        <f>IFERROR($N218+VLOOKUP($L218,'Voyage days'!$F$203:$H$256,3,FALSE),"")</f>
        <v>46172</v>
      </c>
      <c r="AP218" s="93" t="str">
        <f t="shared" si="29"/>
        <v>15-16 May</v>
      </c>
      <c r="AQ218" s="94">
        <f>IFERROR($M218+VLOOKUP($L218,'Voyage days'!$F$294:$H$377,3,FALSE),"")</f>
        <v>46157</v>
      </c>
      <c r="AR218" s="94">
        <f>IFERROR($N218+VLOOKUP($L218,'Voyage days'!$F$294:$H$377,3,FALSE),"")</f>
        <v>46158</v>
      </c>
      <c r="AS218" s="93" t="str">
        <f t="shared" si="30"/>
        <v>23-24 May</v>
      </c>
      <c r="AT218" s="94">
        <f>IFERROR($M218+VLOOKUP($L218,'Voyage days'!$F$382:$H$446,3,FALSE),"")</f>
        <v>46165</v>
      </c>
      <c r="AU218" s="94">
        <f>IFERROR($N218+VLOOKUP($L218,'Voyage days'!$F$382:$H$446,3,FALSE),"")</f>
        <v>46166</v>
      </c>
      <c r="AV218" s="93" t="str">
        <f t="shared" si="31"/>
        <v>06-07 May</v>
      </c>
      <c r="AW218" s="94">
        <f>IFERROR($M218+VLOOKUP($L218,'Voyage days'!$F$483:$H$538,3,FALSE),"")</f>
        <v>46148</v>
      </c>
      <c r="AX218" s="94">
        <f>IFERROR($N218+VLOOKUP($L218,'Voyage days'!$F$483:$H$538,3,FALSE),"")</f>
        <v>46149</v>
      </c>
      <c r="AY218" s="93" t="str">
        <f t="shared" si="32"/>
        <v>30-01 May</v>
      </c>
      <c r="AZ218" s="94">
        <f>IFERROR($M218+VLOOKUP($L218,'Voyage days'!$F$540:$H$613,3,FALSE),"")</f>
        <v>46142</v>
      </c>
      <c r="BA218" s="94">
        <f>IFERROR($N218+VLOOKUP($L218,'Voyage days'!$F$540:$H$613,3,FALSE),"")</f>
        <v>46143</v>
      </c>
      <c r="BB218" s="93" t="str">
        <f t="shared" si="33"/>
        <v>25-26 Apr</v>
      </c>
      <c r="BC218" s="94">
        <f>IFERROR($M218+VLOOKUP($L218,'Voyage days'!$F$448:$H$479,3,FALSE),"")</f>
        <v>46137</v>
      </c>
      <c r="BD218" s="94">
        <f>IFERROR($N218+VLOOKUP($L218,'Voyage days'!$F$448:$H$479,3,FALSE),"")</f>
        <v>46138</v>
      </c>
      <c r="BE218" s="93" t="str">
        <f t="shared" si="34"/>
        <v/>
      </c>
      <c r="BF218" s="95" t="str">
        <f>IFERROR($M218+VLOOKUP($L218,'Voyage days'!$F$620:$H$646,3,FALSE),"")</f>
        <v/>
      </c>
      <c r="BG218" s="95" t="str">
        <f>IFERROR($N218+VLOOKUP($L218,'Voyage days'!$F$620:$H$646,3,FALSE),"")</f>
        <v/>
      </c>
      <c r="BH218" s="93" t="str">
        <f t="shared" si="35"/>
        <v>05-03 Jun</v>
      </c>
      <c r="BI218" s="96">
        <f>IFERROR($M218+VLOOKUP($L218,'Voyage days'!$F$702:$H$727,3,FALSE),"")</f>
        <v>46147</v>
      </c>
      <c r="BJ218" s="93" t="str">
        <f t="shared" si="36"/>
        <v>02-03 Jun</v>
      </c>
      <c r="BK218" s="95">
        <f>IFERROR($M218+VLOOKUP($L218,'Voyage days'!$F$807:$H$878,3,FALSE),"")</f>
        <v>46175</v>
      </c>
      <c r="BL218" s="95">
        <f>IFERROR($N218+VLOOKUP($L218,'Voyage days'!$F$807:$H$878,3,FALSE),"")</f>
        <v>46176</v>
      </c>
      <c r="BM218" s="95">
        <f>IFERROR($N218+VLOOKUP($L218,'Voyage days'!$F$807:$K$878,6,FALSE),"")</f>
        <v>46150</v>
      </c>
      <c r="BN218" s="94" t="str">
        <f>IF(L218="loads AG", IFERROR($M218+VLOOKUP($L218,'Voyage days'!$M$38:$O$38,3,FALSE),""),"")</f>
        <v/>
      </c>
      <c r="BO218" s="94" t="str">
        <f>IF(L218="loads USG", IFERROR($M218+VLOOKUP($L218,'Voyage days'!$L$203:$N$203,3,FALSE),""),"")</f>
        <v/>
      </c>
    </row>
    <row r="219" spans="1:67" ht="15.75" customHeight="1" x14ac:dyDescent="0.25">
      <c r="A219" s="369" t="s">
        <v>637</v>
      </c>
      <c r="B219" s="471">
        <v>2002</v>
      </c>
      <c r="C219" s="134">
        <v>78929</v>
      </c>
      <c r="D219" s="143"/>
      <c r="E219" s="143"/>
      <c r="F219" s="136"/>
      <c r="G219" s="136"/>
      <c r="H219" s="136"/>
      <c r="I219" s="140" t="s">
        <v>1229</v>
      </c>
      <c r="J219" s="138" t="str">
        <f t="shared" si="37"/>
        <v/>
      </c>
      <c r="K219" s="139"/>
      <c r="L219" s="140" t="s">
        <v>1250</v>
      </c>
      <c r="M219" s="225">
        <v>46134</v>
      </c>
      <c r="N219" s="225">
        <v>46135</v>
      </c>
      <c r="O219" s="226"/>
      <c r="P219" s="140" t="s">
        <v>1251</v>
      </c>
      <c r="Q219" s="140"/>
      <c r="R219" s="278" t="s">
        <v>1252</v>
      </c>
      <c r="S219" s="279" t="s">
        <v>724</v>
      </c>
      <c r="T219" s="144">
        <v>46132</v>
      </c>
      <c r="U219" s="145" t="str">
        <f>IF(V219="","No AIS",VLOOKUP(V219,'Voyage days'!$A$3:$B$1480,2,FALSE))</f>
        <v>Mexico</v>
      </c>
      <c r="V219" s="146" t="str">
        <f>IF(VLOOKUP(A219,'1) Kpler'!$E$2:$P$1000,8, FALSE)="","",VLOOKUP(A219,'1) Kpler'!$E$2:$P$1000,8, FALSE))</f>
        <v>Pajaritos</v>
      </c>
      <c r="W219" s="147">
        <f>IF(VLOOKUP(A219,'1) Kpler'!$E$2:$P$1000,9,FALSE)="","",VLOOKUP(A219,'1) Kpler'!$E$2:$P$1000,9,FALSE))</f>
        <v>46134</v>
      </c>
      <c r="X219" s="146" t="str">
        <f>VLOOKUP(A219,'1) Kpler'!$E$2:$I$1000,4,FALSE)</f>
        <v>loaded</v>
      </c>
      <c r="Y219" s="148" t="str">
        <f t="shared" si="38"/>
        <v/>
      </c>
      <c r="Z219" s="148" t="str">
        <f t="shared" si="1"/>
        <v>24-25 Apr</v>
      </c>
      <c r="AA219" s="148" t="str">
        <f t="shared" si="2"/>
        <v>26-27 Apr</v>
      </c>
      <c r="AB219" s="148" t="str">
        <f t="shared" si="3"/>
        <v>10-11 May</v>
      </c>
      <c r="AC219" s="148" t="str">
        <f t="shared" si="4"/>
        <v>05-06 May</v>
      </c>
      <c r="AD219" s="148" t="str">
        <f t="shared" si="5"/>
        <v/>
      </c>
      <c r="AE219" s="149" t="str">
        <f t="shared" si="6"/>
        <v/>
      </c>
      <c r="AF219" s="150" t="str">
        <f t="shared" si="7"/>
        <v>12-13 May</v>
      </c>
      <c r="AG219" s="93" t="str">
        <f t="shared" si="26"/>
        <v/>
      </c>
      <c r="AH219" s="94" t="str">
        <f>IFERROR($M219+VLOOKUP($L219,'Voyage days'!$F$38:$H$89,3,FALSE),"")</f>
        <v/>
      </c>
      <c r="AI219" s="94" t="str">
        <f>IFERROR(N219+VLOOKUP($L219,'Voyage days'!$F$38:$H$89,3,FALSE),"")</f>
        <v/>
      </c>
      <c r="AJ219" s="93" t="str">
        <f t="shared" si="27"/>
        <v>24-25 Apr</v>
      </c>
      <c r="AK219" s="94">
        <f>IFERROR($M219+VLOOKUP($L219,'Voyage days'!$F$94:$H$193,3,FALSE),"")</f>
        <v>46136</v>
      </c>
      <c r="AL219" s="94">
        <f>IFERROR($N219+VLOOKUP($L219,'Voyage days'!$F$94:$H$193,3,FALSE),"")</f>
        <v>46137</v>
      </c>
      <c r="AM219" s="93" t="str">
        <f t="shared" si="28"/>
        <v>26-27 Apr</v>
      </c>
      <c r="AN219" s="94">
        <f>IFERROR($M219+VLOOKUP($L219,'Voyage days'!$F$203:$H$256,3,FALSE),"")</f>
        <v>46138</v>
      </c>
      <c r="AO219" s="94">
        <f>IFERROR($N219+VLOOKUP($L219,'Voyage days'!$F$203:$H$256,3,FALSE),"")</f>
        <v>46139</v>
      </c>
      <c r="AP219" s="93" t="str">
        <f t="shared" si="29"/>
        <v>10-11 May</v>
      </c>
      <c r="AQ219" s="94">
        <f>IFERROR($M219+VLOOKUP($L219,'Voyage days'!$F$294:$H$377,3,FALSE),"")</f>
        <v>46152</v>
      </c>
      <c r="AR219" s="94">
        <f>IFERROR($N219+VLOOKUP($L219,'Voyage days'!$F$294:$H$377,3,FALSE),"")</f>
        <v>46153</v>
      </c>
      <c r="AS219" s="93" t="str">
        <f t="shared" si="30"/>
        <v>05-06 May</v>
      </c>
      <c r="AT219" s="94">
        <f>IFERROR($M219+VLOOKUP($L219,'Voyage days'!$F$382:$H$446,3,FALSE),"")</f>
        <v>46147</v>
      </c>
      <c r="AU219" s="94">
        <f>IFERROR($N219+VLOOKUP($L219,'Voyage days'!$F$382:$H$446,3,FALSE),"")</f>
        <v>46148</v>
      </c>
      <c r="AV219" s="93" t="str">
        <f t="shared" si="31"/>
        <v/>
      </c>
      <c r="AW219" s="94" t="str">
        <f>IFERROR($M219+VLOOKUP($L219,'Voyage days'!$F$483:$H$538,3,FALSE),"")</f>
        <v/>
      </c>
      <c r="AX219" s="94" t="str">
        <f>IFERROR($N219+VLOOKUP($L219,'Voyage days'!$F$483:$H$538,3,FALSE),"")</f>
        <v/>
      </c>
      <c r="AY219" s="93" t="str">
        <f t="shared" si="32"/>
        <v/>
      </c>
      <c r="AZ219" s="94" t="str">
        <f>IFERROR($M219+VLOOKUP($L219,'Voyage days'!$F$540:$H$613,3,FALSE),"")</f>
        <v/>
      </c>
      <c r="BA219" s="94" t="str">
        <f>IFERROR($N219+VLOOKUP($L219,'Voyage days'!$F$540:$H$613,3,FALSE),"")</f>
        <v/>
      </c>
      <c r="BB219" s="93" t="str">
        <f t="shared" si="33"/>
        <v/>
      </c>
      <c r="BC219" s="94" t="str">
        <f>IFERROR($M219+VLOOKUP($L219,'Voyage days'!$F$448:$H$479,3,FALSE),"")</f>
        <v/>
      </c>
      <c r="BD219" s="94" t="str">
        <f>IFERROR($N219+VLOOKUP($L219,'Voyage days'!$F$448:$H$479,3,FALSE),"")</f>
        <v/>
      </c>
      <c r="BE219" s="93" t="str">
        <f t="shared" si="34"/>
        <v/>
      </c>
      <c r="BF219" s="95" t="str">
        <f>IFERROR($M219+VLOOKUP($L219,'Voyage days'!$F$620:$H$646,3,FALSE),"")</f>
        <v/>
      </c>
      <c r="BG219" s="95" t="str">
        <f>IFERROR($N219+VLOOKUP($L219,'Voyage days'!$F$620:$H$646,3,FALSE),"")</f>
        <v/>
      </c>
      <c r="BH219" s="93" t="str">
        <f t="shared" si="35"/>
        <v/>
      </c>
      <c r="BI219" s="96" t="str">
        <f>IFERROR($M219+VLOOKUP($L219,'Voyage days'!$F$702:$H$727,3,FALSE),"")</f>
        <v/>
      </c>
      <c r="BJ219" s="93" t="str">
        <f t="shared" si="36"/>
        <v>12-13 May</v>
      </c>
      <c r="BK219" s="95">
        <f>IFERROR($M219+VLOOKUP($L219,'Voyage days'!$F$807:$H$878,3,FALSE),"")</f>
        <v>46154</v>
      </c>
      <c r="BL219" s="95">
        <f>IFERROR($N219+VLOOKUP($L219,'Voyage days'!$F$807:$H$878,3,FALSE),"")</f>
        <v>46155</v>
      </c>
      <c r="BM219" s="95">
        <f>IFERROR($N219+VLOOKUP($L219,'Voyage days'!$F$807:$K$878,6,FALSE),"")</f>
        <v>46135</v>
      </c>
      <c r="BN219" s="94" t="str">
        <f>IF(L219="loads AG", IFERROR($M219+VLOOKUP($L219,'Voyage days'!$M$38:$O$38,3,FALSE),""),"")</f>
        <v/>
      </c>
      <c r="BO219" s="94" t="str">
        <f>IF(L219="loads USG", IFERROR($M219+VLOOKUP($L219,'Voyage days'!$L$203:$N$203,3,FALSE),""),"")</f>
        <v/>
      </c>
    </row>
    <row r="220" spans="1:67" ht="15.75" customHeight="1" x14ac:dyDescent="0.25">
      <c r="A220" s="208" t="s">
        <v>39</v>
      </c>
      <c r="B220" s="75">
        <v>41817</v>
      </c>
      <c r="C220" s="76">
        <v>84000</v>
      </c>
      <c r="D220" s="395"/>
      <c r="E220" s="395"/>
      <c r="F220" s="121"/>
      <c r="G220" s="121"/>
      <c r="H220" s="121"/>
      <c r="I220" s="472" t="s">
        <v>1253</v>
      </c>
      <c r="J220" s="405"/>
      <c r="K220" s="123"/>
      <c r="L220" s="82" t="s">
        <v>1250</v>
      </c>
      <c r="M220" s="83">
        <v>46132</v>
      </c>
      <c r="N220" s="83">
        <v>46133</v>
      </c>
      <c r="O220" s="126"/>
      <c r="P220" s="100" t="s">
        <v>1254</v>
      </c>
      <c r="Q220" s="124"/>
      <c r="R220" s="124" t="s">
        <v>1255</v>
      </c>
      <c r="S220" s="120" t="s">
        <v>724</v>
      </c>
      <c r="T220" s="232">
        <v>46132</v>
      </c>
      <c r="U220" s="87" t="str">
        <f>IF(V220="","No AIS",VLOOKUP(V220,'Voyage days'!$A$3:$B$1480,2,FALSE))</f>
        <v>Mexico</v>
      </c>
      <c r="V220" s="87" t="str">
        <f>IF(VLOOKUP(A220,'1) Kpler'!$E$2:$P$1000,8, FALSE)="","",VLOOKUP(A220,'1) Kpler'!$E$2:$P$1000,8, FALSE))</f>
        <v>Pajaritos</v>
      </c>
      <c r="W220" s="128">
        <f>IF(VLOOKUP(A220,'1) Kpler'!$E$2:$P$1000,9,FALSE)="","",VLOOKUP(A220,'1) Kpler'!$E$2:$P$1000,9,FALSE))</f>
        <v>46132.625</v>
      </c>
      <c r="X220" s="87" t="str">
        <f>VLOOKUP(A220,'1) Kpler'!$E$2:$I$1000,4,FALSE)</f>
        <v>loaded</v>
      </c>
      <c r="Y220" s="219" t="str">
        <f t="shared" si="38"/>
        <v/>
      </c>
      <c r="Z220" s="219" t="str">
        <f t="shared" si="1"/>
        <v>22-23 Apr</v>
      </c>
      <c r="AA220" s="219" t="str">
        <f t="shared" si="2"/>
        <v>24-25 Apr</v>
      </c>
      <c r="AB220" s="219" t="str">
        <f t="shared" si="3"/>
        <v>08-09 May</v>
      </c>
      <c r="AC220" s="219" t="str">
        <f t="shared" si="4"/>
        <v>03-04 May</v>
      </c>
      <c r="AD220" s="219" t="str">
        <f t="shared" si="5"/>
        <v/>
      </c>
      <c r="AE220" s="220" t="str">
        <f t="shared" si="6"/>
        <v/>
      </c>
      <c r="AF220" s="130" t="str">
        <f t="shared" si="7"/>
        <v>10-11 May</v>
      </c>
      <c r="AG220" s="131" t="str">
        <f t="shared" si="26"/>
        <v/>
      </c>
      <c r="AH220" s="95" t="str">
        <f>IFERROR($M220+VLOOKUP($L220,'Voyage days'!$F$38:$H$89,3,FALSE),"")</f>
        <v/>
      </c>
      <c r="AI220" s="95" t="str">
        <f>IFERROR(N220+VLOOKUP($L220,'Voyage days'!$F$38:$H$89,3,FALSE),"")</f>
        <v/>
      </c>
      <c r="AJ220" s="131" t="str">
        <f t="shared" si="27"/>
        <v>22-23 Apr</v>
      </c>
      <c r="AK220" s="95">
        <f>IFERROR($M220+VLOOKUP($L220,'Voyage days'!$F$94:$H$193,3,FALSE),"")</f>
        <v>46134</v>
      </c>
      <c r="AL220" s="95">
        <f>IFERROR($N220+VLOOKUP($L220,'Voyage days'!$F$94:$H$193,3,FALSE),"")</f>
        <v>46135</v>
      </c>
      <c r="AM220" s="131" t="str">
        <f t="shared" si="28"/>
        <v>24-25 Apr</v>
      </c>
      <c r="AN220" s="95">
        <f>IFERROR($M220+VLOOKUP($L220,'Voyage days'!$F$203:$H$256,3,FALSE),"")</f>
        <v>46136</v>
      </c>
      <c r="AO220" s="95">
        <f>IFERROR($N220+VLOOKUP($L220,'Voyage days'!$F$203:$H$256,3,FALSE),"")</f>
        <v>46137</v>
      </c>
      <c r="AP220" s="131" t="str">
        <f t="shared" si="29"/>
        <v>08-09 May</v>
      </c>
      <c r="AQ220" s="95">
        <f>IFERROR($M220+VLOOKUP($L220,'Voyage days'!$F$294:$H$377,3,FALSE),"")</f>
        <v>46150</v>
      </c>
      <c r="AR220" s="95">
        <f>IFERROR($N220+VLOOKUP($L220,'Voyage days'!$F$294:$H$377,3,FALSE),"")</f>
        <v>46151</v>
      </c>
      <c r="AS220" s="131" t="str">
        <f t="shared" si="30"/>
        <v>03-04 May</v>
      </c>
      <c r="AT220" s="95">
        <f>IFERROR($M220+VLOOKUP($L220,'Voyage days'!$F$382:$H$446,3,FALSE),"")</f>
        <v>46145</v>
      </c>
      <c r="AU220" s="95">
        <f>IFERROR($N220+VLOOKUP($L220,'Voyage days'!$F$382:$H$446,3,FALSE),"")</f>
        <v>46146</v>
      </c>
      <c r="AV220" s="131" t="str">
        <f t="shared" si="31"/>
        <v/>
      </c>
      <c r="AW220" s="95" t="str">
        <f>IFERROR($M220+VLOOKUP($L220,'Voyage days'!$F$483:$H$538,3,FALSE),"")</f>
        <v/>
      </c>
      <c r="AX220" s="95" t="str">
        <f>IFERROR($N220+VLOOKUP($L220,'Voyage days'!$F$483:$H$538,3,FALSE),"")</f>
        <v/>
      </c>
      <c r="AY220" s="131" t="str">
        <f t="shared" si="32"/>
        <v/>
      </c>
      <c r="AZ220" s="95" t="str">
        <f>IFERROR($M220+VLOOKUP($L220,'Voyage days'!$F$540:$H$613,3,FALSE),"")</f>
        <v/>
      </c>
      <c r="BA220" s="95" t="str">
        <f>IFERROR($N220+VLOOKUP($L220,'Voyage days'!$F$540:$H$613,3,FALSE),"")</f>
        <v/>
      </c>
      <c r="BB220" s="131" t="str">
        <f t="shared" si="33"/>
        <v/>
      </c>
      <c r="BC220" s="94" t="str">
        <f>IFERROR($M220+VLOOKUP($L220,'Voyage days'!$F$448:$H$479,3,FALSE),"")</f>
        <v/>
      </c>
      <c r="BD220" s="94" t="str">
        <f>IFERROR($N220+VLOOKUP($L220,'Voyage days'!$F$448:$H$479,3,FALSE),"")</f>
        <v/>
      </c>
      <c r="BE220" s="131" t="str">
        <f t="shared" si="34"/>
        <v/>
      </c>
      <c r="BF220" s="95" t="str">
        <f>IFERROR($M220+VLOOKUP($L220,'Voyage days'!$F$620:$H$646,3,FALSE),"")</f>
        <v/>
      </c>
      <c r="BG220" s="95" t="str">
        <f>IFERROR($N220+VLOOKUP($L220,'Voyage days'!$F$620:$H$646,3,FALSE),"")</f>
        <v/>
      </c>
      <c r="BH220" s="131" t="str">
        <f t="shared" si="35"/>
        <v/>
      </c>
      <c r="BI220" s="96" t="str">
        <f>IFERROR($M220+VLOOKUP($L220,'Voyage days'!$F$702:$H$727,3,FALSE),"")</f>
        <v/>
      </c>
      <c r="BJ220" s="131" t="str">
        <f t="shared" si="36"/>
        <v>10-11 May</v>
      </c>
      <c r="BK220" s="95">
        <f>IFERROR($M220+VLOOKUP($L220,'Voyage days'!$F$807:$H$878,3,FALSE),"")</f>
        <v>46152</v>
      </c>
      <c r="BL220" s="95">
        <f>IFERROR($N220+VLOOKUP($L220,'Voyage days'!$F$807:$H$878,3,FALSE),"")</f>
        <v>46153</v>
      </c>
      <c r="BM220" s="95">
        <f>IFERROR($N220+VLOOKUP($L220,'Voyage days'!$F$807:$K$878,6,FALSE),"")</f>
        <v>46133</v>
      </c>
      <c r="BN220" s="94" t="str">
        <f>IF(L220="loads AG", IFERROR($M220+VLOOKUP($L220,'Voyage days'!$M$38:$O$38,3,FALSE),""),"")</f>
        <v/>
      </c>
      <c r="BO220" s="94" t="str">
        <f>IF(L220="loads USG", IFERROR($M220+VLOOKUP($L220,'Voyage days'!$L$203:$N$203,3,FALSE),""),"")</f>
        <v/>
      </c>
    </row>
    <row r="221" spans="1:67" ht="15.75" customHeight="1" x14ac:dyDescent="0.25">
      <c r="A221" s="97" t="s">
        <v>1256</v>
      </c>
      <c r="B221" s="75">
        <v>42717</v>
      </c>
      <c r="C221" s="76">
        <v>84000</v>
      </c>
      <c r="D221" s="77"/>
      <c r="E221" s="77"/>
      <c r="F221" s="78"/>
      <c r="G221" s="78"/>
      <c r="H221" s="78"/>
      <c r="I221" s="237" t="s">
        <v>1253</v>
      </c>
      <c r="J221" s="261"/>
      <c r="K221" s="81"/>
      <c r="L221" s="212" t="s">
        <v>718</v>
      </c>
      <c r="M221" s="83">
        <v>46134</v>
      </c>
      <c r="N221" s="83">
        <v>46135</v>
      </c>
      <c r="O221" s="473"/>
      <c r="P221" s="100" t="s">
        <v>1257</v>
      </c>
      <c r="Q221" s="82"/>
      <c r="R221" s="82" t="s">
        <v>1258</v>
      </c>
      <c r="S221" s="77" t="s">
        <v>724</v>
      </c>
      <c r="T221" s="232">
        <v>46132</v>
      </c>
      <c r="U221" s="87" t="str">
        <f>IF(V221="","No AIS",VLOOKUP(V221,'Voyage days'!$A$3:$B$1480,2,FALSE))</f>
        <v>USG</v>
      </c>
      <c r="V221" s="88" t="str">
        <f>IF(VLOOKUP(A221,'1) Kpler'!$E$2:$P$1000,8, FALSE)="","",VLOOKUP(A221,'1) Kpler'!$E$2:$P$1000,8, FALSE))</f>
        <v>Houston</v>
      </c>
      <c r="W221" s="89">
        <f>IF(VLOOKUP(A221,'1) Kpler'!$E$2:$P$1000,9,FALSE)="","",VLOOKUP(A221,'1) Kpler'!$E$2:$P$1000,9,FALSE))</f>
        <v>46134.895833333336</v>
      </c>
      <c r="X221" s="88" t="str">
        <f>VLOOKUP(A221,'1) Kpler'!$E$2:$I$1000,4,FALSE)</f>
        <v>loaded</v>
      </c>
      <c r="Y221" s="90" t="str">
        <f t="shared" si="38"/>
        <v/>
      </c>
      <c r="Z221" s="90" t="str">
        <f t="shared" si="1"/>
        <v>22-23 Apr</v>
      </c>
      <c r="AA221" s="90" t="str">
        <f t="shared" si="2"/>
        <v>22-23 Apr</v>
      </c>
      <c r="AB221" s="90" t="str">
        <f t="shared" si="3"/>
        <v/>
      </c>
      <c r="AC221" s="90" t="str">
        <f t="shared" si="4"/>
        <v>12-13 May</v>
      </c>
      <c r="AD221" s="90" t="str">
        <f t="shared" si="5"/>
        <v/>
      </c>
      <c r="AE221" s="91" t="str">
        <f t="shared" si="6"/>
        <v/>
      </c>
      <c r="AF221" s="92" t="str">
        <f t="shared" si="7"/>
        <v/>
      </c>
      <c r="AG221" s="93" t="str">
        <f t="shared" si="26"/>
        <v/>
      </c>
      <c r="AH221" s="94" t="str">
        <f>IFERROR($M221+VLOOKUP($L221,'Voyage days'!$F$38:$H$89,3,FALSE),"")</f>
        <v/>
      </c>
      <c r="AI221" s="94" t="str">
        <f>IFERROR(N221+VLOOKUP($L221,'Voyage days'!$F$38:$H$89,3,FALSE),"")</f>
        <v/>
      </c>
      <c r="AJ221" s="93" t="str">
        <f t="shared" si="27"/>
        <v>22-23 Apr</v>
      </c>
      <c r="AK221" s="94">
        <f>IFERROR($M221+VLOOKUP($L221,'Voyage days'!$F$94:$H$193,3,FALSE),"")</f>
        <v>46134</v>
      </c>
      <c r="AL221" s="94">
        <f>IFERROR($N221+VLOOKUP($L221,'Voyage days'!$F$94:$H$193,3,FALSE),"")</f>
        <v>46135</v>
      </c>
      <c r="AM221" s="93" t="str">
        <f t="shared" si="28"/>
        <v>22-23 Apr</v>
      </c>
      <c r="AN221" s="94">
        <f>IFERROR($M221+VLOOKUP($L221,'Voyage days'!$F$203:$H$256,3,FALSE),"")</f>
        <v>46134</v>
      </c>
      <c r="AO221" s="94">
        <f>IFERROR($N221+VLOOKUP($L221,'Voyage days'!$F$203:$H$256,3,FALSE),"")</f>
        <v>46135</v>
      </c>
      <c r="AP221" s="93" t="str">
        <f t="shared" si="29"/>
        <v/>
      </c>
      <c r="AQ221" s="94" t="str">
        <f>IFERROR($M221+VLOOKUP($L221,'Voyage days'!$F$294:$H$377,3,FALSE),"")</f>
        <v/>
      </c>
      <c r="AR221" s="94" t="str">
        <f>IFERROR($N221+VLOOKUP($L221,'Voyage days'!$F$294:$H$377,3,FALSE),"")</f>
        <v/>
      </c>
      <c r="AS221" s="93" t="str">
        <f t="shared" si="30"/>
        <v>12-13 May</v>
      </c>
      <c r="AT221" s="94">
        <f>IFERROR($M221+VLOOKUP($L221,'Voyage days'!$F$382:$H$446,3,FALSE),"")</f>
        <v>46154</v>
      </c>
      <c r="AU221" s="94">
        <f>IFERROR($N221+VLOOKUP($L221,'Voyage days'!$F$382:$H$446,3,FALSE),"")</f>
        <v>46155</v>
      </c>
      <c r="AV221" s="93" t="str">
        <f t="shared" si="31"/>
        <v/>
      </c>
      <c r="AW221" s="94" t="str">
        <f>IFERROR($M221+VLOOKUP($L221,'Voyage days'!$F$483:$H$538,3,FALSE),"")</f>
        <v/>
      </c>
      <c r="AX221" s="94" t="str">
        <f>IFERROR($N221+VLOOKUP($L221,'Voyage days'!$F$483:$H$538,3,FALSE),"")</f>
        <v/>
      </c>
      <c r="AY221" s="93" t="str">
        <f t="shared" si="32"/>
        <v/>
      </c>
      <c r="AZ221" s="94" t="str">
        <f>IFERROR($M221+VLOOKUP($L221,'Voyage days'!$F$540:$H$613,3,FALSE),"")</f>
        <v/>
      </c>
      <c r="BA221" s="94" t="str">
        <f>IFERROR($N221+VLOOKUP($L221,'Voyage days'!$F$540:$H$613,3,FALSE),"")</f>
        <v/>
      </c>
      <c r="BB221" s="93" t="str">
        <f t="shared" si="33"/>
        <v/>
      </c>
      <c r="BC221" s="94" t="str">
        <f>IFERROR($M221+VLOOKUP($L221,'Voyage days'!$F$448:$H$479,3,FALSE),"")</f>
        <v/>
      </c>
      <c r="BD221" s="94" t="str">
        <f>IFERROR($N221+VLOOKUP($L221,'Voyage days'!$F$448:$H$479,3,FALSE),"")</f>
        <v/>
      </c>
      <c r="BE221" s="93" t="str">
        <f t="shared" si="34"/>
        <v/>
      </c>
      <c r="BF221" s="95" t="str">
        <f>IFERROR($M221+VLOOKUP($L221,'Voyage days'!$F$620:$H$646,3,FALSE),"")</f>
        <v/>
      </c>
      <c r="BG221" s="95" t="str">
        <f>IFERROR($N221+VLOOKUP($L221,'Voyage days'!$F$620:$H$646,3,FALSE),"")</f>
        <v/>
      </c>
      <c r="BH221" s="93" t="str">
        <f t="shared" si="35"/>
        <v/>
      </c>
      <c r="BI221" s="96" t="str">
        <f>IFERROR($M221+VLOOKUP($L221,'Voyage days'!$F$702:$H$727,3,FALSE),"")</f>
        <v/>
      </c>
      <c r="BJ221" s="93" t="str">
        <f t="shared" si="36"/>
        <v/>
      </c>
      <c r="BK221" s="95" t="str">
        <f>IFERROR($M221+VLOOKUP($L221,'Voyage days'!$F$807:$H$878,3,FALSE),"")</f>
        <v/>
      </c>
      <c r="BL221" s="95" t="str">
        <f>IFERROR($N221+VLOOKUP($L221,'Voyage days'!$F$807:$H$878,3,FALSE),"")</f>
        <v/>
      </c>
      <c r="BM221" s="95" t="str">
        <f>IFERROR($N221+VLOOKUP($L221,'Voyage days'!$F$807:$K$878,6,FALSE),"")</f>
        <v/>
      </c>
      <c r="BN221" s="94" t="str">
        <f>IF(L221="loads AG", IFERROR($M221+VLOOKUP($L221,'Voyage days'!$M$38:$O$38,3,FALSE),""),"")</f>
        <v/>
      </c>
      <c r="BO221" s="94">
        <f>IF(L221="loads USG", IFERROR($M221+VLOOKUP($L221,'Voyage days'!$L$203:$N$203,3,FALSE),""),"")</f>
        <v>46166</v>
      </c>
    </row>
    <row r="222" spans="1:67" ht="15.75" customHeight="1" x14ac:dyDescent="0.25">
      <c r="A222" s="474" t="s">
        <v>1259</v>
      </c>
      <c r="B222" s="176">
        <v>42886</v>
      </c>
      <c r="C222" s="134">
        <v>84000</v>
      </c>
      <c r="D222" s="242"/>
      <c r="E222" s="242"/>
      <c r="F222" s="136"/>
      <c r="G222" s="136"/>
      <c r="H222" s="136"/>
      <c r="I222" s="244" t="s">
        <v>1253</v>
      </c>
      <c r="J222" s="365"/>
      <c r="K222" s="139"/>
      <c r="L222" s="140" t="s">
        <v>718</v>
      </c>
      <c r="M222" s="225">
        <v>46132</v>
      </c>
      <c r="N222" s="225">
        <v>46133</v>
      </c>
      <c r="O222" s="142"/>
      <c r="P222" s="247" t="s">
        <v>1260</v>
      </c>
      <c r="Q222" s="140"/>
      <c r="R222" s="140" t="s">
        <v>1261</v>
      </c>
      <c r="S222" s="143" t="s">
        <v>724</v>
      </c>
      <c r="T222" s="144">
        <v>46132</v>
      </c>
      <c r="U222" s="145" t="str">
        <f>IF(V222="","No AIS",VLOOKUP(V222,'Voyage days'!$A$3:$B$1480,2,FALSE))</f>
        <v>USG</v>
      </c>
      <c r="V222" s="146" t="str">
        <f>IF(VLOOKUP(A222,'1) Kpler'!$E$2:$P$1000,8, FALSE)="","",VLOOKUP(A222,'1) Kpler'!$E$2:$P$1000,8, FALSE))</f>
        <v>Energy Transfer Nederland</v>
      </c>
      <c r="W222" s="147">
        <f>IF(VLOOKUP(A222,'1) Kpler'!$E$2:$P$1000,9,FALSE)="","",VLOOKUP(A222,'1) Kpler'!$E$2:$P$1000,9,FALSE))</f>
        <v>46132.541666666664</v>
      </c>
      <c r="X222" s="146" t="str">
        <f>VLOOKUP(A222,'1) Kpler'!$E$2:$I$1000,4,FALSE)</f>
        <v>ballast</v>
      </c>
      <c r="Y222" s="93" t="str">
        <f t="shared" si="38"/>
        <v/>
      </c>
      <c r="Z222" s="93" t="str">
        <f t="shared" si="1"/>
        <v>20-21 Apr</v>
      </c>
      <c r="AA222" s="93" t="str">
        <f t="shared" si="2"/>
        <v>20-21 Apr</v>
      </c>
      <c r="AB222" s="93" t="str">
        <f t="shared" si="3"/>
        <v/>
      </c>
      <c r="AC222" s="93" t="str">
        <f t="shared" si="4"/>
        <v>10-11 May</v>
      </c>
      <c r="AD222" s="93" t="str">
        <f t="shared" si="5"/>
        <v/>
      </c>
      <c r="AE222" s="179" t="str">
        <f t="shared" si="6"/>
        <v/>
      </c>
      <c r="AF222" s="180" t="str">
        <f t="shared" si="7"/>
        <v/>
      </c>
      <c r="AG222" s="93" t="str">
        <f t="shared" si="26"/>
        <v/>
      </c>
      <c r="AH222" s="94" t="str">
        <f>IFERROR($M222+VLOOKUP($L222,'Voyage days'!$F$38:$H$89,3,FALSE),"")</f>
        <v/>
      </c>
      <c r="AI222" s="94" t="str">
        <f>IFERROR(N222+VLOOKUP($L222,'Voyage days'!$F$38:$H$89,3,FALSE),"")</f>
        <v/>
      </c>
      <c r="AJ222" s="93" t="str">
        <f t="shared" si="27"/>
        <v>20-21 Apr</v>
      </c>
      <c r="AK222" s="94">
        <f>IFERROR($M222+VLOOKUP($L222,'Voyage days'!$F$94:$H$193,3,FALSE),"")</f>
        <v>46132</v>
      </c>
      <c r="AL222" s="94">
        <f>IFERROR($N222+VLOOKUP($L222,'Voyage days'!$F$94:$H$193,3,FALSE),"")</f>
        <v>46133</v>
      </c>
      <c r="AM222" s="93" t="str">
        <f t="shared" si="28"/>
        <v>20-21 Apr</v>
      </c>
      <c r="AN222" s="94">
        <f>IFERROR($M222+VLOOKUP($L222,'Voyage days'!$F$203:$H$256,3,FALSE),"")</f>
        <v>46132</v>
      </c>
      <c r="AO222" s="94">
        <f>IFERROR($N222+VLOOKUP($L222,'Voyage days'!$F$203:$H$256,3,FALSE),"")</f>
        <v>46133</v>
      </c>
      <c r="AP222" s="93" t="str">
        <f t="shared" si="29"/>
        <v/>
      </c>
      <c r="AQ222" s="94" t="str">
        <f>IFERROR($M222+VLOOKUP($L222,'Voyage days'!$F$294:$H$377,3,FALSE),"")</f>
        <v/>
      </c>
      <c r="AR222" s="94" t="str">
        <f>IFERROR($N222+VLOOKUP($L222,'Voyage days'!$F$294:$H$377,3,FALSE),"")</f>
        <v/>
      </c>
      <c r="AS222" s="93" t="str">
        <f t="shared" si="30"/>
        <v>10-11 May</v>
      </c>
      <c r="AT222" s="94">
        <f>IFERROR($M222+VLOOKUP($L222,'Voyage days'!$F$382:$H$446,3,FALSE),"")</f>
        <v>46152</v>
      </c>
      <c r="AU222" s="94">
        <f>IFERROR($N222+VLOOKUP($L222,'Voyage days'!$F$382:$H$446,3,FALSE),"")</f>
        <v>46153</v>
      </c>
      <c r="AV222" s="93" t="str">
        <f t="shared" si="31"/>
        <v/>
      </c>
      <c r="AW222" s="94" t="str">
        <f>IFERROR($M222+VLOOKUP($L222,'Voyage days'!$F$483:$H$538,3,FALSE),"")</f>
        <v/>
      </c>
      <c r="AX222" s="94" t="str">
        <f>IFERROR($N222+VLOOKUP($L222,'Voyage days'!$F$483:$H$538,3,FALSE),"")</f>
        <v/>
      </c>
      <c r="AY222" s="93" t="str">
        <f t="shared" si="32"/>
        <v/>
      </c>
      <c r="AZ222" s="94" t="str">
        <f>IFERROR($M222+VLOOKUP($L222,'Voyage days'!$F$540:$H$613,3,FALSE),"")</f>
        <v/>
      </c>
      <c r="BA222" s="94" t="str">
        <f>IFERROR($N222+VLOOKUP($L222,'Voyage days'!$F$540:$H$613,3,FALSE),"")</f>
        <v/>
      </c>
      <c r="BB222" s="93" t="str">
        <f t="shared" si="33"/>
        <v/>
      </c>
      <c r="BC222" s="94" t="str">
        <f>IFERROR($M222+VLOOKUP($L222,'Voyage days'!$F$448:$H$479,3,FALSE),"")</f>
        <v/>
      </c>
      <c r="BD222" s="94" t="str">
        <f>IFERROR($N222+VLOOKUP($L222,'Voyage days'!$F$448:$H$479,3,FALSE),"")</f>
        <v/>
      </c>
      <c r="BE222" s="93" t="str">
        <f t="shared" si="34"/>
        <v/>
      </c>
      <c r="BF222" s="95" t="str">
        <f>IFERROR($M222+VLOOKUP($L222,'Voyage days'!$F$620:$H$646,3,FALSE),"")</f>
        <v/>
      </c>
      <c r="BG222" s="95" t="str">
        <f>IFERROR($N222+VLOOKUP($L222,'Voyage days'!$F$620:$H$646,3,FALSE),"")</f>
        <v/>
      </c>
      <c r="BH222" s="93" t="str">
        <f t="shared" si="35"/>
        <v/>
      </c>
      <c r="BI222" s="96" t="str">
        <f>IFERROR($M222+VLOOKUP($L222,'Voyage days'!$F$702:$H$727,3,FALSE),"")</f>
        <v/>
      </c>
      <c r="BJ222" s="93" t="str">
        <f t="shared" si="36"/>
        <v/>
      </c>
      <c r="BK222" s="95" t="str">
        <f>IFERROR($M222+VLOOKUP($L222,'Voyage days'!$F$807:$H$878,3,FALSE),"")</f>
        <v/>
      </c>
      <c r="BL222" s="95" t="str">
        <f>IFERROR($N222+VLOOKUP($L222,'Voyage days'!$F$807:$H$878,3,FALSE),"")</f>
        <v/>
      </c>
      <c r="BM222" s="95" t="str">
        <f>IFERROR($N222+VLOOKUP($L222,'Voyage days'!$F$807:$K$878,6,FALSE),"")</f>
        <v/>
      </c>
      <c r="BN222" s="94" t="str">
        <f>IF(L222="loads AG", IFERROR($M222+VLOOKUP($L222,'Voyage days'!$M$38:$O$38,3,FALSE),""),"")</f>
        <v/>
      </c>
      <c r="BO222" s="94">
        <f>IF(L222="loads USG", IFERROR($M222+VLOOKUP($L222,'Voyage days'!$L$203:$N$203,3,FALSE),""),"")</f>
        <v>46164</v>
      </c>
    </row>
    <row r="223" spans="1:67" x14ac:dyDescent="0.25">
      <c r="A223" s="97" t="s">
        <v>1262</v>
      </c>
      <c r="B223" s="75">
        <v>42121</v>
      </c>
      <c r="C223" s="76">
        <v>84161</v>
      </c>
      <c r="D223" s="77"/>
      <c r="E223" s="77"/>
      <c r="F223" s="78"/>
      <c r="G223" s="78"/>
      <c r="H223" s="78" t="s">
        <v>713</v>
      </c>
      <c r="I223" s="79" t="s">
        <v>1263</v>
      </c>
      <c r="J223" s="80" t="str">
        <f t="shared" ref="J223:J230" si="39">IF(W223="","NO AIS",IF((W223-M223-1)&gt;0,"Update",""))</f>
        <v>Update</v>
      </c>
      <c r="K223" s="81"/>
      <c r="L223" s="82" t="s">
        <v>718</v>
      </c>
      <c r="M223" s="222">
        <v>46128</v>
      </c>
      <c r="N223" s="222">
        <v>46129</v>
      </c>
      <c r="O223" s="84"/>
      <c r="P223" s="82" t="s">
        <v>1264</v>
      </c>
      <c r="Q223" s="475"/>
      <c r="R223" s="82" t="s">
        <v>1265</v>
      </c>
      <c r="S223" s="77" t="s">
        <v>724</v>
      </c>
      <c r="T223" s="232">
        <v>46132</v>
      </c>
      <c r="U223" s="87" t="str">
        <f>IF(V223="","No AIS",VLOOKUP(V223,'Voyage days'!$A$3:$B$1480,2,FALSE))</f>
        <v>Panama</v>
      </c>
      <c r="V223" s="88" t="str">
        <f>IF(VLOOKUP(A223,'1) Kpler'!$E$2:$P$1000,8, FALSE)="","",VLOOKUP(A223,'1) Kpler'!$E$2:$P$1000,8, FALSE))</f>
        <v>Panama Canal</v>
      </c>
      <c r="W223" s="89">
        <f>IF(VLOOKUP(A223,'1) Kpler'!$E$2:$P$1000,9,FALSE)="","",VLOOKUP(A223,'1) Kpler'!$E$2:$P$1000,9,FALSE))</f>
        <v>46135.000694444447</v>
      </c>
      <c r="X223" s="88" t="str">
        <f>VLOOKUP(A223,'1) Kpler'!$E$2:$I$1000,4,FALSE)</f>
        <v>loaded</v>
      </c>
      <c r="Y223" s="234" t="str">
        <f t="shared" si="38"/>
        <v/>
      </c>
      <c r="Z223" s="234" t="str">
        <f t="shared" si="1"/>
        <v>16-17 Apr</v>
      </c>
      <c r="AA223" s="234" t="str">
        <f t="shared" si="2"/>
        <v>16-17 Apr</v>
      </c>
      <c r="AB223" s="234" t="str">
        <f t="shared" si="3"/>
        <v/>
      </c>
      <c r="AC223" s="234" t="str">
        <f t="shared" si="4"/>
        <v>06-07 May</v>
      </c>
      <c r="AD223" s="234" t="str">
        <f t="shared" si="5"/>
        <v/>
      </c>
      <c r="AE223" s="235" t="str">
        <f t="shared" si="6"/>
        <v/>
      </c>
      <c r="AF223" s="92" t="str">
        <f t="shared" si="7"/>
        <v/>
      </c>
      <c r="AG223" s="93" t="str">
        <f t="shared" si="26"/>
        <v/>
      </c>
      <c r="AH223" s="94" t="str">
        <f>IFERROR($M223+VLOOKUP($L223,'Voyage days'!$F$38:$H$89,3,FALSE),"")</f>
        <v/>
      </c>
      <c r="AI223" s="94" t="str">
        <f>IFERROR(N223+VLOOKUP($L223,'Voyage days'!$F$38:$H$89,3,FALSE),"")</f>
        <v/>
      </c>
      <c r="AJ223" s="93" t="str">
        <f t="shared" si="27"/>
        <v>16-17 Apr</v>
      </c>
      <c r="AK223" s="94">
        <f>IFERROR($M223+VLOOKUP($L223,'Voyage days'!$F$94:$H$193,3,FALSE),"")</f>
        <v>46128</v>
      </c>
      <c r="AL223" s="94">
        <f>IFERROR($N223+VLOOKUP($L223,'Voyage days'!$F$94:$H$193,3,FALSE),"")</f>
        <v>46129</v>
      </c>
      <c r="AM223" s="93" t="str">
        <f t="shared" si="28"/>
        <v>16-17 Apr</v>
      </c>
      <c r="AN223" s="94">
        <f>IFERROR($M223+VLOOKUP($L223,'Voyage days'!$F$203:$H$256,3,FALSE),"")</f>
        <v>46128</v>
      </c>
      <c r="AO223" s="94">
        <f>IFERROR($N223+VLOOKUP($L223,'Voyage days'!$F$203:$H$256,3,FALSE),"")</f>
        <v>46129</v>
      </c>
      <c r="AP223" s="93" t="str">
        <f t="shared" si="29"/>
        <v/>
      </c>
      <c r="AQ223" s="94" t="str">
        <f>IFERROR($M223+VLOOKUP($L223,'Voyage days'!$F$294:$H$377,3,FALSE),"")</f>
        <v/>
      </c>
      <c r="AR223" s="94" t="str">
        <f>IFERROR($N223+VLOOKUP($L223,'Voyage days'!$F$294:$H$377,3,FALSE),"")</f>
        <v/>
      </c>
      <c r="AS223" s="93" t="str">
        <f t="shared" si="30"/>
        <v>06-07 May</v>
      </c>
      <c r="AT223" s="94">
        <f>IFERROR($M223+VLOOKUP($L223,'Voyage days'!$F$382:$H$446,3,FALSE),"")</f>
        <v>46148</v>
      </c>
      <c r="AU223" s="94">
        <f>IFERROR($N223+VLOOKUP($L223,'Voyage days'!$F$382:$H$446,3,FALSE),"")</f>
        <v>46149</v>
      </c>
      <c r="AV223" s="93" t="str">
        <f t="shared" si="31"/>
        <v/>
      </c>
      <c r="AW223" s="94" t="str">
        <f>IFERROR($M223+VLOOKUP($L223,'Voyage days'!$F$483:$H$538,3,FALSE),"")</f>
        <v/>
      </c>
      <c r="AX223" s="94" t="str">
        <f>IFERROR($N223+VLOOKUP($L223,'Voyage days'!$F$483:$H$538,3,FALSE),"")</f>
        <v/>
      </c>
      <c r="AY223" s="93" t="str">
        <f t="shared" si="32"/>
        <v/>
      </c>
      <c r="AZ223" s="94" t="str">
        <f>IFERROR($M223+VLOOKUP($L223,'Voyage days'!$F$540:$H$613,3,FALSE),"")</f>
        <v/>
      </c>
      <c r="BA223" s="94" t="str">
        <f>IFERROR($N223+VLOOKUP($L223,'Voyage days'!$F$540:$H$613,3,FALSE),"")</f>
        <v/>
      </c>
      <c r="BB223" s="93" t="str">
        <f t="shared" si="33"/>
        <v/>
      </c>
      <c r="BC223" s="94" t="str">
        <f>IFERROR($M223+VLOOKUP($L223,'Voyage days'!$F$448:$H$479,3,FALSE),"")</f>
        <v/>
      </c>
      <c r="BD223" s="94" t="str">
        <f>IFERROR($N223+VLOOKUP($L223,'Voyage days'!$F$448:$H$479,3,FALSE),"")</f>
        <v/>
      </c>
      <c r="BE223" s="93" t="str">
        <f t="shared" si="34"/>
        <v/>
      </c>
      <c r="BF223" s="95" t="str">
        <f>IFERROR($M223+VLOOKUP($L223,'Voyage days'!$F$620:$H$646,3,FALSE),"")</f>
        <v/>
      </c>
      <c r="BG223" s="95" t="str">
        <f>IFERROR($N223+VLOOKUP($L223,'Voyage days'!$F$620:$H$646,3,FALSE),"")</f>
        <v/>
      </c>
      <c r="BH223" s="93" t="str">
        <f t="shared" si="35"/>
        <v/>
      </c>
      <c r="BI223" s="96" t="str">
        <f>IFERROR($M223+VLOOKUP($L223,'Voyage days'!$F$702:$H$727,3,FALSE),"")</f>
        <v/>
      </c>
      <c r="BJ223" s="93" t="str">
        <f t="shared" si="36"/>
        <v/>
      </c>
      <c r="BK223" s="95" t="str">
        <f>IFERROR($M223+VLOOKUP($L223,'Voyage days'!$F$807:$H$878,3,FALSE),"")</f>
        <v/>
      </c>
      <c r="BL223" s="95" t="str">
        <f>IFERROR($N223+VLOOKUP($L223,'Voyage days'!$F$807:$H$878,3,FALSE),"")</f>
        <v/>
      </c>
      <c r="BM223" s="95" t="str">
        <f>IFERROR($N223+VLOOKUP($L223,'Voyage days'!$F$807:$K$878,6,FALSE),"")</f>
        <v/>
      </c>
      <c r="BN223" s="94" t="str">
        <f>IF(L223="loads AG", IFERROR($M223+VLOOKUP($L223,'Voyage days'!$M$38:$O$38,3,FALSE),""),"")</f>
        <v/>
      </c>
      <c r="BO223" s="94">
        <f>IF(L223="loads USG", IFERROR($M223+VLOOKUP($L223,'Voyage days'!$L$203:$N$203,3,FALSE),""),"")</f>
        <v>46160</v>
      </c>
    </row>
    <row r="224" spans="1:67" ht="15.75" customHeight="1" x14ac:dyDescent="0.25">
      <c r="A224" s="218" t="s">
        <v>1266</v>
      </c>
      <c r="B224" s="119">
        <v>2022</v>
      </c>
      <c r="C224" s="76">
        <v>91000</v>
      </c>
      <c r="D224" s="120"/>
      <c r="E224" s="120" t="s">
        <v>757</v>
      </c>
      <c r="F224" s="121"/>
      <c r="G224" s="121"/>
      <c r="H224" s="121" t="s">
        <v>713</v>
      </c>
      <c r="I224" s="79" t="s">
        <v>1263</v>
      </c>
      <c r="J224" s="122" t="str">
        <f t="shared" si="39"/>
        <v/>
      </c>
      <c r="K224" s="123"/>
      <c r="L224" s="82" t="s">
        <v>1079</v>
      </c>
      <c r="M224" s="83">
        <v>46138</v>
      </c>
      <c r="N224" s="83">
        <v>46139</v>
      </c>
      <c r="O224" s="126"/>
      <c r="P224" s="100" t="s">
        <v>1267</v>
      </c>
      <c r="Q224" s="124"/>
      <c r="R224" s="124" t="s">
        <v>1268</v>
      </c>
      <c r="S224" s="431" t="s">
        <v>724</v>
      </c>
      <c r="T224" s="86">
        <v>46132</v>
      </c>
      <c r="U224" s="87" t="str">
        <f>IF(V224="","No AIS",VLOOKUP(V224,'Voyage days'!$A$3:$B$1480,2,FALSE))</f>
        <v>WCI + 5</v>
      </c>
      <c r="V224" s="87" t="str">
        <f>IF(VLOOKUP(A224,'1) Kpler'!$E$2:$P$1000,8, FALSE)="","",VLOOKUP(A224,'1) Kpler'!$E$2:$P$1000,8, FALSE))</f>
        <v>Mangalore</v>
      </c>
      <c r="W224" s="128">
        <f>IF(VLOOKUP(A224,'1) Kpler'!$E$2:$P$1000,9,FALSE)="","",VLOOKUP(A224,'1) Kpler'!$E$2:$P$1000,9,FALSE))</f>
        <v>46133.416666666664</v>
      </c>
      <c r="X224" s="87" t="str">
        <f>VLOOKUP(A224,'1) Kpler'!$E$2:$I$1000,4,FALSE)</f>
        <v>loaded</v>
      </c>
      <c r="Y224" s="234" t="str">
        <f t="shared" si="38"/>
        <v>01-02 May</v>
      </c>
      <c r="Z224" s="234" t="str">
        <f t="shared" si="1"/>
        <v/>
      </c>
      <c r="AA224" s="234" t="str">
        <f t="shared" si="2"/>
        <v>28-29 May</v>
      </c>
      <c r="AB224" s="234" t="str">
        <f t="shared" si="3"/>
        <v>15-16 May</v>
      </c>
      <c r="AC224" s="234" t="str">
        <f t="shared" si="4"/>
        <v>09-10 May</v>
      </c>
      <c r="AD224" s="234" t="str">
        <f t="shared" si="5"/>
        <v/>
      </c>
      <c r="AE224" s="235" t="str">
        <f t="shared" si="6"/>
        <v/>
      </c>
      <c r="AF224" s="92" t="str">
        <f t="shared" si="7"/>
        <v>31-01 Jun</v>
      </c>
      <c r="AG224" s="131" t="str">
        <f t="shared" si="26"/>
        <v>01-02 May</v>
      </c>
      <c r="AH224" s="95">
        <f>IFERROR($M224+VLOOKUP($L224,'Voyage days'!$F$38:$H$89,3,FALSE),"")</f>
        <v>46143</v>
      </c>
      <c r="AI224" s="95">
        <f>IFERROR(N224+VLOOKUP($L224,'Voyage days'!$F$38:$H$89,3,FALSE),"")</f>
        <v>46144</v>
      </c>
      <c r="AJ224" s="131" t="str">
        <f t="shared" si="27"/>
        <v/>
      </c>
      <c r="AK224" s="95" t="str">
        <f>IFERROR($M224+VLOOKUP($L224,'Voyage days'!$F$94:$H$193,3,FALSE),"")</f>
        <v/>
      </c>
      <c r="AL224" s="95" t="str">
        <f>IFERROR($N224+VLOOKUP($L224,'Voyage days'!$F$94:$H$193,3,FALSE),"")</f>
        <v/>
      </c>
      <c r="AM224" s="131" t="str">
        <f t="shared" si="28"/>
        <v>28-29 May</v>
      </c>
      <c r="AN224" s="95">
        <f>IFERROR($M224+VLOOKUP($L224,'Voyage days'!$F$203:$H$256,3,FALSE),"")</f>
        <v>46170</v>
      </c>
      <c r="AO224" s="95">
        <f>IFERROR($N224+VLOOKUP($L224,'Voyage days'!$F$203:$H$256,3,FALSE),"")</f>
        <v>46171</v>
      </c>
      <c r="AP224" s="131" t="str">
        <f t="shared" si="29"/>
        <v>15-16 May</v>
      </c>
      <c r="AQ224" s="95">
        <f>IFERROR($M224+VLOOKUP($L224,'Voyage days'!$F$294:$H$377,3,FALSE),"")</f>
        <v>46157</v>
      </c>
      <c r="AR224" s="95">
        <f>IFERROR($N224+VLOOKUP($L224,'Voyage days'!$F$294:$H$377,3,FALSE),"")</f>
        <v>46158</v>
      </c>
      <c r="AS224" s="131" t="str">
        <f t="shared" si="30"/>
        <v>09-10 May</v>
      </c>
      <c r="AT224" s="95">
        <f>IFERROR($M224+VLOOKUP($L224,'Voyage days'!$F$382:$H$446,3,FALSE),"")</f>
        <v>46151</v>
      </c>
      <c r="AU224" s="95">
        <f>IFERROR($N224+VLOOKUP($L224,'Voyage days'!$F$382:$H$446,3,FALSE),"")</f>
        <v>46152</v>
      </c>
      <c r="AV224" s="131" t="str">
        <f t="shared" si="31"/>
        <v/>
      </c>
      <c r="AW224" s="95" t="str">
        <f>IFERROR($M224+VLOOKUP($L224,'Voyage days'!$F$483:$H$538,3,FALSE),"")</f>
        <v/>
      </c>
      <c r="AX224" s="95" t="str">
        <f>IFERROR($N224+VLOOKUP($L224,'Voyage days'!$F$483:$H$538,3,FALSE),"")</f>
        <v/>
      </c>
      <c r="AY224" s="131" t="str">
        <f t="shared" si="32"/>
        <v/>
      </c>
      <c r="AZ224" s="95" t="str">
        <f>IFERROR($M224+VLOOKUP($L224,'Voyage days'!$F$540:$H$613,3,FALSE),"")</f>
        <v/>
      </c>
      <c r="BA224" s="95" t="str">
        <f>IFERROR($N224+VLOOKUP($L224,'Voyage days'!$F$540:$H$613,3,FALSE),"")</f>
        <v/>
      </c>
      <c r="BB224" s="131" t="str">
        <f t="shared" si="33"/>
        <v/>
      </c>
      <c r="BC224" s="94" t="str">
        <f>IFERROR($M224+VLOOKUP($L224,'Voyage days'!$F$448:$H$479,3,FALSE),"")</f>
        <v/>
      </c>
      <c r="BD224" s="94" t="str">
        <f>IFERROR($N224+VLOOKUP($L224,'Voyage days'!$F$448:$H$479,3,FALSE),"")</f>
        <v/>
      </c>
      <c r="BE224" s="131" t="str">
        <f t="shared" si="34"/>
        <v/>
      </c>
      <c r="BF224" s="95" t="str">
        <f>IFERROR($M224+VLOOKUP($L224,'Voyage days'!$F$620:$H$646,3,FALSE),"")</f>
        <v/>
      </c>
      <c r="BG224" s="95" t="str">
        <f>IFERROR($N224+VLOOKUP($L224,'Voyage days'!$F$620:$H$646,3,FALSE),"")</f>
        <v/>
      </c>
      <c r="BH224" s="131" t="str">
        <f t="shared" si="35"/>
        <v/>
      </c>
      <c r="BI224" s="96" t="str">
        <f>IFERROR($M224+VLOOKUP($L224,'Voyage days'!$F$702:$H$727,3,FALSE),"")</f>
        <v/>
      </c>
      <c r="BJ224" s="131" t="str">
        <f t="shared" si="36"/>
        <v>31-01 Jun</v>
      </c>
      <c r="BK224" s="95">
        <f>IFERROR($M224+VLOOKUP($L224,'Voyage days'!$F$807:$H$878,3,FALSE),"")</f>
        <v>46173</v>
      </c>
      <c r="BL224" s="95">
        <f>IFERROR($N224+VLOOKUP($L224,'Voyage days'!$F$807:$H$878,3,FALSE),"")</f>
        <v>46174</v>
      </c>
      <c r="BM224" s="95">
        <f>IFERROR($N224+VLOOKUP($L224,'Voyage days'!$F$807:$K$878,6,FALSE),"")</f>
        <v>46146</v>
      </c>
      <c r="BN224" s="94" t="str">
        <f>IF(L224="loads AG", IFERROR($M224+VLOOKUP($L224,'Voyage days'!$M$38:$O$38,3,FALSE),""),"")</f>
        <v/>
      </c>
      <c r="BO224" s="94" t="str">
        <f>IF(L224="loads USG", IFERROR($M224+VLOOKUP($L224,'Voyage days'!$L$203:$N$203,3,FALSE),""),"")</f>
        <v/>
      </c>
    </row>
    <row r="225" spans="1:67" ht="15.75" customHeight="1" x14ac:dyDescent="0.25">
      <c r="A225" s="74" t="s">
        <v>237</v>
      </c>
      <c r="B225" s="119">
        <v>2022</v>
      </c>
      <c r="C225" s="76">
        <v>91000</v>
      </c>
      <c r="D225" s="77"/>
      <c r="E225" s="77"/>
      <c r="F225" s="78"/>
      <c r="G225" s="78"/>
      <c r="H225" s="78" t="s">
        <v>713</v>
      </c>
      <c r="I225" s="260" t="s">
        <v>1263</v>
      </c>
      <c r="J225" s="80" t="str">
        <f t="shared" si="39"/>
        <v/>
      </c>
      <c r="K225" s="81"/>
      <c r="L225" s="82" t="s">
        <v>704</v>
      </c>
      <c r="M225" s="83">
        <v>46157</v>
      </c>
      <c r="N225" s="83">
        <v>46158</v>
      </c>
      <c r="O225" s="84"/>
      <c r="P225" s="82" t="s">
        <v>1269</v>
      </c>
      <c r="Q225" s="82"/>
      <c r="R225" s="124" t="s">
        <v>1270</v>
      </c>
      <c r="S225" s="431" t="s">
        <v>724</v>
      </c>
      <c r="T225" s="86">
        <v>46132</v>
      </c>
      <c r="U225" s="87" t="str">
        <f>IF(V225="","No AIS",VLOOKUP(V225,'Voyage days'!$A$3:$B$1480,2,FALSE))</f>
        <v>India?/SG-JP?</v>
      </c>
      <c r="V225" s="88" t="str">
        <f>IF(VLOOKUP(A225,'1) Kpler'!$E$2:$P$1000,8, FALSE)="","",VLOOKUP(A225,'1) Kpler'!$E$2:$P$1000,8, FALSE))</f>
        <v>Eastern Asia</v>
      </c>
      <c r="W225" s="89">
        <f>IF(VLOOKUP(A225,'1) Kpler'!$E$2:$P$1000,9,FALSE)="","",VLOOKUP(A225,'1) Kpler'!$E$2:$P$1000,9,FALSE))</f>
        <v>46157.463888888888</v>
      </c>
      <c r="X225" s="88" t="str">
        <f>VLOOKUP(A225,'1) Kpler'!$E$2:$I$1000,4,FALSE)</f>
        <v>loaded</v>
      </c>
      <c r="Y225" s="63" t="str">
        <f t="shared" si="38"/>
        <v>02-03 Jun</v>
      </c>
      <c r="Z225" s="63" t="str">
        <f t="shared" si="1"/>
        <v>14-15 Jun</v>
      </c>
      <c r="AA225" s="63" t="str">
        <f t="shared" si="2"/>
        <v>22-23 Jun</v>
      </c>
      <c r="AB225" s="63" t="str">
        <f t="shared" si="3"/>
        <v>14-15 Jun</v>
      </c>
      <c r="AC225" s="63" t="str">
        <f t="shared" si="4"/>
        <v>20-21 Jun</v>
      </c>
      <c r="AD225" s="63" t="str">
        <f t="shared" si="5"/>
        <v>23-24 May</v>
      </c>
      <c r="AE225" s="129" t="str">
        <f t="shared" si="6"/>
        <v>23-24 May</v>
      </c>
      <c r="AF225" s="130" t="str">
        <f t="shared" si="7"/>
        <v>30-01 Jul</v>
      </c>
      <c r="AG225" s="93" t="str">
        <f t="shared" si="26"/>
        <v>02-03 Jun</v>
      </c>
      <c r="AH225" s="94">
        <f>IFERROR($M225+VLOOKUP($L225,'Voyage days'!$F$38:$H$89,3,FALSE),"")</f>
        <v>46175</v>
      </c>
      <c r="AI225" s="94">
        <f>IFERROR(N225+VLOOKUP($L225,'Voyage days'!$F$38:$H$89,3,FALSE),"")</f>
        <v>46176</v>
      </c>
      <c r="AJ225" s="93" t="str">
        <f t="shared" si="27"/>
        <v>14-15 Jun</v>
      </c>
      <c r="AK225" s="94">
        <f>IFERROR($M225+VLOOKUP($L225,'Voyage days'!$F$94:$H$193,3,FALSE),"")</f>
        <v>46187</v>
      </c>
      <c r="AL225" s="94">
        <f>IFERROR($N225+VLOOKUP($L225,'Voyage days'!$F$94:$H$193,3,FALSE),"")</f>
        <v>46188</v>
      </c>
      <c r="AM225" s="93" t="str">
        <f t="shared" si="28"/>
        <v>22-23 Jun</v>
      </c>
      <c r="AN225" s="94">
        <f>IFERROR($M225+VLOOKUP($L225,'Voyage days'!$F$203:$H$256,3,FALSE),"")</f>
        <v>46195</v>
      </c>
      <c r="AO225" s="94">
        <f>IFERROR($N225+VLOOKUP($L225,'Voyage days'!$F$203:$H$256,3,FALSE),"")</f>
        <v>46196</v>
      </c>
      <c r="AP225" s="93" t="str">
        <f t="shared" si="29"/>
        <v>14-15 Jun</v>
      </c>
      <c r="AQ225" s="94">
        <f>IFERROR($M225+VLOOKUP($L225,'Voyage days'!$F$294:$H$377,3,FALSE),"")</f>
        <v>46187</v>
      </c>
      <c r="AR225" s="94">
        <f>IFERROR($N225+VLOOKUP($L225,'Voyage days'!$F$294:$H$377,3,FALSE),"")</f>
        <v>46188</v>
      </c>
      <c r="AS225" s="93" t="str">
        <f t="shared" si="30"/>
        <v>20-21 Jun</v>
      </c>
      <c r="AT225" s="94">
        <f>IFERROR($M225+VLOOKUP($L225,'Voyage days'!$F$382:$H$446,3,FALSE),"")</f>
        <v>46193</v>
      </c>
      <c r="AU225" s="94">
        <f>IFERROR($N225+VLOOKUP($L225,'Voyage days'!$F$382:$H$446,3,FALSE),"")</f>
        <v>46194</v>
      </c>
      <c r="AV225" s="93" t="str">
        <f t="shared" si="31"/>
        <v>28-29 May</v>
      </c>
      <c r="AW225" s="94">
        <f>IFERROR($M225+VLOOKUP($L225,'Voyage days'!$F$483:$H$538,3,FALSE),"")</f>
        <v>46170</v>
      </c>
      <c r="AX225" s="94">
        <f>IFERROR($N225+VLOOKUP($L225,'Voyage days'!$F$483:$H$538,3,FALSE),"")</f>
        <v>46171</v>
      </c>
      <c r="AY225" s="93" t="str">
        <f t="shared" si="32"/>
        <v>23-24 May</v>
      </c>
      <c r="AZ225" s="94">
        <f>IFERROR($M225+VLOOKUP($L225,'Voyage days'!$F$540:$H$613,3,FALSE),"")</f>
        <v>46165.25</v>
      </c>
      <c r="BA225" s="94">
        <f>IFERROR($N225+VLOOKUP($L225,'Voyage days'!$F$540:$H$613,3,FALSE),"")</f>
        <v>46166.25</v>
      </c>
      <c r="BB225" s="93" t="str">
        <f t="shared" si="33"/>
        <v>23-24 May</v>
      </c>
      <c r="BC225" s="94">
        <f>IFERROR($M225+VLOOKUP($L225,'Voyage days'!$F$448:$H$479,3,FALSE),"")</f>
        <v>46165</v>
      </c>
      <c r="BD225" s="94">
        <f>IFERROR($N225+VLOOKUP($L225,'Voyage days'!$F$448:$H$479,3,FALSE),"")</f>
        <v>46166</v>
      </c>
      <c r="BE225" s="93" t="str">
        <f t="shared" si="34"/>
        <v>26-27 May</v>
      </c>
      <c r="BF225" s="95">
        <f>IFERROR($M225+VLOOKUP($L225,'Voyage days'!$F$620:$H$646,3,FALSE),"")</f>
        <v>46168</v>
      </c>
      <c r="BG225" s="95">
        <f>IFERROR($N225+VLOOKUP($L225,'Voyage days'!$F$620:$H$646,3,FALSE),"")</f>
        <v>46169</v>
      </c>
      <c r="BH225" s="93" t="str">
        <f t="shared" si="35"/>
        <v>23-01 Jul</v>
      </c>
      <c r="BI225" s="96">
        <f>IFERROR($M225+VLOOKUP($L225,'Voyage days'!$F$702:$H$727,3,FALSE),"")</f>
        <v>46165.25</v>
      </c>
      <c r="BJ225" s="93" t="str">
        <f t="shared" si="36"/>
        <v>30-01 Jul</v>
      </c>
      <c r="BK225" s="95">
        <f>IFERROR($M225+VLOOKUP($L225,'Voyage days'!$F$807:$H$878,3,FALSE),"")</f>
        <v>46203</v>
      </c>
      <c r="BL225" s="95">
        <f>IFERROR($N225+VLOOKUP($L225,'Voyage days'!$F$807:$H$878,3,FALSE),"")</f>
        <v>46204</v>
      </c>
      <c r="BM225" s="95">
        <f>IFERROR($N225+VLOOKUP($L225,'Voyage days'!$F$807:$K$878,6,FALSE),"")</f>
        <v>46178</v>
      </c>
      <c r="BN225" s="94" t="str">
        <f>IF(L225="loads AG", IFERROR($M225+VLOOKUP($L225,'Voyage days'!$M$38:$O$38,3,FALSE),""),"")</f>
        <v/>
      </c>
      <c r="BO225" s="94" t="str">
        <f>IF(L225="loads USG", IFERROR($M225+VLOOKUP($L225,'Voyage days'!$L$203:$N$203,3,FALSE),""),"")</f>
        <v/>
      </c>
    </row>
    <row r="226" spans="1:67" ht="16.5" customHeight="1" x14ac:dyDescent="0.25">
      <c r="A226" s="74" t="s">
        <v>239</v>
      </c>
      <c r="B226" s="119">
        <v>2026</v>
      </c>
      <c r="C226" s="76">
        <v>88000</v>
      </c>
      <c r="D226" s="77"/>
      <c r="E226" s="77"/>
      <c r="F226" s="78"/>
      <c r="G226" s="78"/>
      <c r="H226" s="78" t="s">
        <v>713</v>
      </c>
      <c r="I226" s="260" t="s">
        <v>1263</v>
      </c>
      <c r="J226" s="80" t="str">
        <f t="shared" si="39"/>
        <v>Update</v>
      </c>
      <c r="K226" s="81"/>
      <c r="L226" s="82" t="s">
        <v>710</v>
      </c>
      <c r="M226" s="83">
        <v>46130</v>
      </c>
      <c r="N226" s="83">
        <v>46131</v>
      </c>
      <c r="O226" s="84"/>
      <c r="P226" s="82" t="s">
        <v>1271</v>
      </c>
      <c r="Q226" s="82"/>
      <c r="R226" s="124" t="s">
        <v>1272</v>
      </c>
      <c r="S226" s="431" t="s">
        <v>724</v>
      </c>
      <c r="T226" s="86">
        <v>46132</v>
      </c>
      <c r="U226" s="87" t="str">
        <f>IF(V226="","No AIS",VLOOKUP(V226,'Voyage days'!$A$3:$B$1480,2,FALSE))</f>
        <v>Panama</v>
      </c>
      <c r="V226" s="88" t="str">
        <f>IF(VLOOKUP(A226,'1) Kpler'!$E$2:$P$1000,8, FALSE)="","",VLOOKUP(A226,'1) Kpler'!$E$2:$P$1000,8, FALSE))</f>
        <v>Panama Canal</v>
      </c>
      <c r="W226" s="89">
        <f>IF(VLOOKUP(A226,'1) Kpler'!$E$2:$P$1000,9,FALSE)="","",VLOOKUP(A226,'1) Kpler'!$E$2:$P$1000,9,FALSE))</f>
        <v>46155.791666666664</v>
      </c>
      <c r="X226" s="88" t="str">
        <f>VLOOKUP(A226,'1) Kpler'!$E$2:$I$1000,4,FALSE)</f>
        <v>ballast</v>
      </c>
      <c r="Y226" s="63" t="str">
        <f t="shared" si="38"/>
        <v>05-06 May</v>
      </c>
      <c r="Z226" s="63" t="str">
        <f t="shared" si="1"/>
        <v>20-21 May</v>
      </c>
      <c r="AA226" s="63" t="str">
        <f t="shared" si="2"/>
        <v>01-02 Jun</v>
      </c>
      <c r="AB226" s="63" t="str">
        <f t="shared" si="3"/>
        <v>16-17 May</v>
      </c>
      <c r="AC226" s="63" t="str">
        <f t="shared" si="4"/>
        <v>23-24 May</v>
      </c>
      <c r="AD226" s="63" t="str">
        <f t="shared" si="5"/>
        <v>24-25 Apr</v>
      </c>
      <c r="AE226" s="129" t="str">
        <f t="shared" si="6"/>
        <v>25-26 Apr</v>
      </c>
      <c r="AF226" s="130" t="str">
        <f t="shared" si="7"/>
        <v>01-02 Jun</v>
      </c>
      <c r="AG226" s="93" t="str">
        <f t="shared" si="26"/>
        <v>05-06 May</v>
      </c>
      <c r="AH226" s="94">
        <f>IFERROR($M226+VLOOKUP($L226,'Voyage days'!$F$38:$H$89,3,FALSE),"")</f>
        <v>46147</v>
      </c>
      <c r="AI226" s="94">
        <f>IFERROR(N226+VLOOKUP($L226,'Voyage days'!$F$38:$H$89,3,FALSE),"")</f>
        <v>46148</v>
      </c>
      <c r="AJ226" s="93" t="str">
        <f t="shared" si="27"/>
        <v>20-21 May</v>
      </c>
      <c r="AK226" s="94">
        <f>IFERROR($M226+VLOOKUP($L226,'Voyage days'!$F$94:$H$193,3,FALSE),"")</f>
        <v>46162</v>
      </c>
      <c r="AL226" s="94">
        <f>IFERROR($N226+VLOOKUP($L226,'Voyage days'!$F$94:$H$193,3,FALSE),"")</f>
        <v>46163</v>
      </c>
      <c r="AM226" s="93" t="str">
        <f t="shared" si="28"/>
        <v>01-02 Jun</v>
      </c>
      <c r="AN226" s="94">
        <f>IFERROR($M226+VLOOKUP($L226,'Voyage days'!$F$203:$H$256,3,FALSE),"")</f>
        <v>46174</v>
      </c>
      <c r="AO226" s="94">
        <f>IFERROR($N226+VLOOKUP($L226,'Voyage days'!$F$203:$H$256,3,FALSE),"")</f>
        <v>46175</v>
      </c>
      <c r="AP226" s="93" t="str">
        <f t="shared" si="29"/>
        <v>16-17 May</v>
      </c>
      <c r="AQ226" s="94">
        <f>IFERROR($M226+VLOOKUP($L226,'Voyage days'!$F$294:$H$377,3,FALSE),"")</f>
        <v>46158</v>
      </c>
      <c r="AR226" s="94">
        <f>IFERROR($N226+VLOOKUP($L226,'Voyage days'!$F$294:$H$377,3,FALSE),"")</f>
        <v>46159</v>
      </c>
      <c r="AS226" s="93" t="str">
        <f t="shared" si="30"/>
        <v>23-24 May</v>
      </c>
      <c r="AT226" s="94">
        <f>IFERROR($M226+VLOOKUP($L226,'Voyage days'!$F$382:$H$446,3,FALSE),"")</f>
        <v>46165</v>
      </c>
      <c r="AU226" s="94">
        <f>IFERROR($N226+VLOOKUP($L226,'Voyage days'!$F$382:$H$446,3,FALSE),"")</f>
        <v>46166</v>
      </c>
      <c r="AV226" s="93" t="str">
        <f t="shared" si="31"/>
        <v>02-03 May</v>
      </c>
      <c r="AW226" s="94">
        <f>IFERROR($M226+VLOOKUP($L226,'Voyage days'!$F$483:$H$538,3,FALSE),"")</f>
        <v>46144</v>
      </c>
      <c r="AX226" s="94">
        <f>IFERROR($N226+VLOOKUP($L226,'Voyage days'!$F$483:$H$538,3,FALSE),"")</f>
        <v>46145</v>
      </c>
      <c r="AY226" s="93" t="str">
        <f t="shared" si="32"/>
        <v>25-26 Apr</v>
      </c>
      <c r="AZ226" s="94">
        <f>IFERROR($M226+VLOOKUP($L226,'Voyage days'!$F$540:$H$613,3,FALSE),"")</f>
        <v>46137.25</v>
      </c>
      <c r="BA226" s="94">
        <f>IFERROR($N226+VLOOKUP($L226,'Voyage days'!$F$540:$H$613,3,FALSE),"")</f>
        <v>46138.25</v>
      </c>
      <c r="BB226" s="93" t="str">
        <f t="shared" si="33"/>
        <v>24-25 Apr</v>
      </c>
      <c r="BC226" s="94">
        <f>IFERROR($M226+VLOOKUP($L226,'Voyage days'!$F$448:$H$479,3,FALSE),"")</f>
        <v>46136</v>
      </c>
      <c r="BD226" s="94">
        <f>IFERROR($N226+VLOOKUP($L226,'Voyage days'!$F$448:$H$479,3,FALSE),"")</f>
        <v>46137</v>
      </c>
      <c r="BE226" s="93" t="str">
        <f t="shared" si="34"/>
        <v>01-02 May</v>
      </c>
      <c r="BF226" s="95">
        <f>IFERROR($M226+VLOOKUP($L226,'Voyage days'!$F$620:$H$646,3,FALSE),"")</f>
        <v>46143</v>
      </c>
      <c r="BG226" s="95">
        <f>IFERROR($N226+VLOOKUP($L226,'Voyage days'!$F$620:$H$646,3,FALSE),"")</f>
        <v>46144</v>
      </c>
      <c r="BH226" s="93" t="str">
        <f t="shared" si="35"/>
        <v>25-02 Jun</v>
      </c>
      <c r="BI226" s="96">
        <f>IFERROR($M226+VLOOKUP($L226,'Voyage days'!$F$702:$H$727,3,FALSE),"")</f>
        <v>46137.25</v>
      </c>
      <c r="BJ226" s="93" t="str">
        <f t="shared" si="36"/>
        <v>01-02 Jun</v>
      </c>
      <c r="BK226" s="95">
        <f>IFERROR($M226+VLOOKUP($L226,'Voyage days'!$F$807:$H$878,3,FALSE),"")</f>
        <v>46174</v>
      </c>
      <c r="BL226" s="95">
        <f>IFERROR($N226+VLOOKUP($L226,'Voyage days'!$F$807:$H$878,3,FALSE),"")</f>
        <v>46175</v>
      </c>
      <c r="BM226" s="95">
        <f>IFERROR($N226+VLOOKUP($L226,'Voyage days'!$F$807:$K$878,6,FALSE),"")</f>
        <v>46149</v>
      </c>
      <c r="BN226" s="94" t="str">
        <f>IF(L226="loads AG", IFERROR($M226+VLOOKUP($L226,'Voyage days'!$M$38:$O$38,3,FALSE),""),"")</f>
        <v/>
      </c>
      <c r="BO226" s="94" t="str">
        <f>IF(L226="loads USG", IFERROR($M226+VLOOKUP($L226,'Voyage days'!$L$203:$N$203,3,FALSE),""),"")</f>
        <v/>
      </c>
    </row>
    <row r="227" spans="1:67" ht="16.5" customHeight="1" x14ac:dyDescent="0.25">
      <c r="A227" s="74" t="s">
        <v>376</v>
      </c>
      <c r="B227" s="75">
        <v>42377</v>
      </c>
      <c r="C227" s="76">
        <v>84000</v>
      </c>
      <c r="D227" s="77"/>
      <c r="E227" s="77"/>
      <c r="F227" s="78"/>
      <c r="G227" s="78"/>
      <c r="H227" s="78"/>
      <c r="I227" s="260" t="s">
        <v>1263</v>
      </c>
      <c r="J227" s="261" t="str">
        <f t="shared" si="39"/>
        <v/>
      </c>
      <c r="K227" s="81"/>
      <c r="L227" s="82" t="s">
        <v>1138</v>
      </c>
      <c r="M227" s="83">
        <v>46132</v>
      </c>
      <c r="N227" s="83">
        <v>46133</v>
      </c>
      <c r="O227" s="84"/>
      <c r="P227" s="82" t="s">
        <v>1273</v>
      </c>
      <c r="Q227" s="82"/>
      <c r="R227" s="82" t="s">
        <v>1274</v>
      </c>
      <c r="S227" s="431" t="s">
        <v>724</v>
      </c>
      <c r="T227" s="86">
        <v>46132</v>
      </c>
      <c r="U227" s="87" t="str">
        <f>IF(V227="","No AIS",VLOOKUP(V227,'Voyage days'!$A$3:$B$1480,2,FALSE))</f>
        <v>Cape (as proxy)</v>
      </c>
      <c r="V227" s="88" t="str">
        <f>IF(VLOOKUP(A227,'1) Kpler'!$E$2:$P$1000,8, FALSE)="","",VLOOKUP(A227,'1) Kpler'!$E$2:$P$1000,8, FALSE))</f>
        <v>Cape Town</v>
      </c>
      <c r="W227" s="89">
        <f>IF(VLOOKUP(A227,'1) Kpler'!$E$2:$P$1000,9,FALSE)="","",VLOOKUP(A227,'1) Kpler'!$E$2:$P$1000,9,FALSE))</f>
        <v>46132.75</v>
      </c>
      <c r="X227" s="88" t="str">
        <f>VLOOKUP(A227,'1) Kpler'!$E$2:$I$1000,4,FALSE)</f>
        <v>ballast</v>
      </c>
      <c r="Y227" s="90" t="str">
        <f t="shared" si="38"/>
        <v/>
      </c>
      <c r="Z227" s="90" t="str">
        <f t="shared" si="1"/>
        <v/>
      </c>
      <c r="AA227" s="90" t="str">
        <f t="shared" si="2"/>
        <v>11-12 May</v>
      </c>
      <c r="AB227" s="90" t="str">
        <f t="shared" si="3"/>
        <v>30-01 May</v>
      </c>
      <c r="AC227" s="90" t="str">
        <f t="shared" si="4"/>
        <v>06-07 May</v>
      </c>
      <c r="AD227" s="90" t="str">
        <f t="shared" si="5"/>
        <v>06-07 May</v>
      </c>
      <c r="AE227" s="91" t="str">
        <f t="shared" si="6"/>
        <v/>
      </c>
      <c r="AF227" s="92" t="str">
        <f t="shared" si="7"/>
        <v>13-14 May</v>
      </c>
      <c r="AG227" s="93" t="str">
        <f t="shared" si="26"/>
        <v/>
      </c>
      <c r="AH227" s="94" t="str">
        <f>IFERROR($M227+VLOOKUP($L227,'Voyage days'!$F$38:$H$89,3,FALSE),"")</f>
        <v/>
      </c>
      <c r="AI227" s="94" t="str">
        <f>IFERROR(N227+VLOOKUP($L227,'Voyage days'!$F$38:$H$89,3,FALSE),"")</f>
        <v/>
      </c>
      <c r="AJ227" s="93" t="str">
        <f t="shared" si="27"/>
        <v/>
      </c>
      <c r="AK227" s="94" t="str">
        <f>IFERROR($M227+VLOOKUP($L227,'Voyage days'!$F$94:$H$193,3,FALSE),"")</f>
        <v/>
      </c>
      <c r="AL227" s="94" t="str">
        <f>IFERROR($N227+VLOOKUP($L227,'Voyage days'!$F$94:$H$193,3,FALSE),"")</f>
        <v/>
      </c>
      <c r="AM227" s="93" t="str">
        <f t="shared" si="28"/>
        <v>11-12 May</v>
      </c>
      <c r="AN227" s="94">
        <f>IFERROR($M227+VLOOKUP($L227,'Voyage days'!$F$203:$H$256,3,FALSE),"")</f>
        <v>46153</v>
      </c>
      <c r="AO227" s="94">
        <f>IFERROR($N227+VLOOKUP($L227,'Voyage days'!$F$203:$H$256,3,FALSE),"")</f>
        <v>46154</v>
      </c>
      <c r="AP227" s="93" t="str">
        <f t="shared" si="29"/>
        <v>30-01 May</v>
      </c>
      <c r="AQ227" s="94">
        <f>IFERROR($M227+VLOOKUP($L227,'Voyage days'!$F$294:$H$377,3,FALSE),"")</f>
        <v>46142</v>
      </c>
      <c r="AR227" s="94">
        <f>IFERROR($N227+VLOOKUP($L227,'Voyage days'!$F$294:$H$377,3,FALSE),"")</f>
        <v>46143</v>
      </c>
      <c r="AS227" s="93" t="str">
        <f t="shared" si="30"/>
        <v>06-07 May</v>
      </c>
      <c r="AT227" s="94">
        <f>IFERROR($M227+VLOOKUP($L227,'Voyage days'!$F$382:$H$446,3,FALSE),"")</f>
        <v>46148</v>
      </c>
      <c r="AU227" s="94">
        <f>IFERROR($N227+VLOOKUP($L227,'Voyage days'!$F$382:$H$446,3,FALSE),"")</f>
        <v>46149</v>
      </c>
      <c r="AV227" s="93" t="str">
        <f t="shared" si="31"/>
        <v/>
      </c>
      <c r="AW227" s="94" t="str">
        <f>IFERROR($M227+VLOOKUP($L227,'Voyage days'!$F$483:$H$538,3,FALSE),"")</f>
        <v/>
      </c>
      <c r="AX227" s="94" t="str">
        <f>IFERROR($N227+VLOOKUP($L227,'Voyage days'!$F$483:$H$538,3,FALSE),"")</f>
        <v/>
      </c>
      <c r="AY227" s="93" t="str">
        <f t="shared" si="32"/>
        <v/>
      </c>
      <c r="AZ227" s="94" t="str">
        <f>IFERROR($M227+VLOOKUP($L227,'Voyage days'!$F$540:$H$613,3,FALSE),"")</f>
        <v/>
      </c>
      <c r="BA227" s="94" t="str">
        <f>IFERROR($N227+VLOOKUP($L227,'Voyage days'!$F$540:$H$613,3,FALSE),"")</f>
        <v/>
      </c>
      <c r="BB227" s="93" t="str">
        <f t="shared" si="33"/>
        <v>06-07 May</v>
      </c>
      <c r="BC227" s="94">
        <f>IFERROR($M227+VLOOKUP($L227,'Voyage days'!$F$448:$H$479,3,FALSE),"")</f>
        <v>46148</v>
      </c>
      <c r="BD227" s="94">
        <f>IFERROR($N227+VLOOKUP($L227,'Voyage days'!$F$448:$H$479,3,FALSE),"")</f>
        <v>46149</v>
      </c>
      <c r="BE227" s="93" t="str">
        <f t="shared" si="34"/>
        <v/>
      </c>
      <c r="BF227" s="95" t="str">
        <f>IFERROR($M227+VLOOKUP($L227,'Voyage days'!$F$620:$H$646,3,FALSE),"")</f>
        <v/>
      </c>
      <c r="BG227" s="95" t="str">
        <f>IFERROR($N227+VLOOKUP($L227,'Voyage days'!$F$620:$H$646,3,FALSE),"")</f>
        <v/>
      </c>
      <c r="BH227" s="93" t="str">
        <f t="shared" si="35"/>
        <v/>
      </c>
      <c r="BI227" s="96" t="str">
        <f>IFERROR($M227+VLOOKUP($L227,'Voyage days'!$F$702:$H$727,3,FALSE),"")</f>
        <v/>
      </c>
      <c r="BJ227" s="93" t="str">
        <f t="shared" si="36"/>
        <v>13-14 May</v>
      </c>
      <c r="BK227" s="95">
        <f>IFERROR($M227+VLOOKUP($L227,'Voyage days'!$F$807:$H$878,3,FALSE),"")</f>
        <v>46155</v>
      </c>
      <c r="BL227" s="95">
        <f>IFERROR($N227+VLOOKUP($L227,'Voyage days'!$F$807:$H$878,3,FALSE),"")</f>
        <v>46156</v>
      </c>
      <c r="BM227" s="95">
        <f>IFERROR($N227+VLOOKUP($L227,'Voyage days'!$F$807:$K$878,6,FALSE),"")</f>
        <v>46133</v>
      </c>
      <c r="BN227" s="94" t="str">
        <f>IF(L227="loads AG", IFERROR($M227+VLOOKUP($L227,'Voyage days'!$M$38:$O$38,3,FALSE),""),"")</f>
        <v/>
      </c>
      <c r="BO227" s="94" t="str">
        <f>IF(L227="loads USG", IFERROR($M227+VLOOKUP($L227,'Voyage days'!$L$203:$N$203,3,FALSE),""),"")</f>
        <v/>
      </c>
    </row>
    <row r="228" spans="1:67" ht="15.75" customHeight="1" x14ac:dyDescent="0.25">
      <c r="A228" s="266" t="s">
        <v>379</v>
      </c>
      <c r="B228" s="75">
        <v>42339</v>
      </c>
      <c r="C228" s="76">
        <v>84000</v>
      </c>
      <c r="D228" s="77"/>
      <c r="E228" s="77"/>
      <c r="F228" s="78"/>
      <c r="G228" s="78"/>
      <c r="H228" s="78"/>
      <c r="I228" s="260" t="s">
        <v>1263</v>
      </c>
      <c r="J228" s="80" t="str">
        <f t="shared" si="39"/>
        <v/>
      </c>
      <c r="K228" s="81"/>
      <c r="L228" s="82" t="s">
        <v>718</v>
      </c>
      <c r="M228" s="83">
        <v>46132</v>
      </c>
      <c r="N228" s="83">
        <v>46133</v>
      </c>
      <c r="O228" s="84"/>
      <c r="P228" s="82" t="s">
        <v>1275</v>
      </c>
      <c r="Q228" s="82"/>
      <c r="R228" s="82" t="s">
        <v>1276</v>
      </c>
      <c r="S228" s="431" t="s">
        <v>724</v>
      </c>
      <c r="T228" s="86">
        <v>46132</v>
      </c>
      <c r="U228" s="87" t="str">
        <f>IF(V228="","No AIS",VLOOKUP(V228,'Voyage days'!$A$3:$B$1480,2,FALSE))</f>
        <v>USG</v>
      </c>
      <c r="V228" s="88" t="str">
        <f>IF(VLOOKUP(A228,'1) Kpler'!$E$2:$P$1000,8, FALSE)="","",VLOOKUP(A228,'1) Kpler'!$E$2:$P$1000,8, FALSE))</f>
        <v>Energy Transfer Nederland</v>
      </c>
      <c r="W228" s="89">
        <f>IF(VLOOKUP(A228,'1) Kpler'!$E$2:$P$1000,9,FALSE)="","",VLOOKUP(A228,'1) Kpler'!$E$2:$P$1000,9,FALSE))</f>
        <v>46132.5</v>
      </c>
      <c r="X228" s="88" t="str">
        <f>VLOOKUP(A228,'1) Kpler'!$E$2:$I$1000,4,FALSE)</f>
        <v>ballast</v>
      </c>
      <c r="Y228" s="63" t="str">
        <f t="shared" si="38"/>
        <v/>
      </c>
      <c r="Z228" s="63" t="str">
        <f t="shared" si="1"/>
        <v>20-21 Apr</v>
      </c>
      <c r="AA228" s="63" t="str">
        <f t="shared" si="2"/>
        <v>20-21 Apr</v>
      </c>
      <c r="AB228" s="63" t="str">
        <f t="shared" si="3"/>
        <v/>
      </c>
      <c r="AC228" s="63" t="str">
        <f t="shared" si="4"/>
        <v>10-11 May</v>
      </c>
      <c r="AD228" s="63" t="str">
        <f t="shared" si="5"/>
        <v/>
      </c>
      <c r="AE228" s="129" t="str">
        <f t="shared" si="6"/>
        <v/>
      </c>
      <c r="AF228" s="130" t="str">
        <f t="shared" si="7"/>
        <v/>
      </c>
      <c r="AG228" s="93" t="str">
        <f t="shared" si="26"/>
        <v/>
      </c>
      <c r="AH228" s="94" t="str">
        <f>IFERROR($M228+VLOOKUP($L228,'Voyage days'!$F$38:$H$89,3,FALSE),"")</f>
        <v/>
      </c>
      <c r="AI228" s="94" t="str">
        <f>IFERROR(N228+VLOOKUP($L228,'Voyage days'!$F$38:$H$89,3,FALSE),"")</f>
        <v/>
      </c>
      <c r="AJ228" s="93" t="str">
        <f t="shared" si="27"/>
        <v>20-21 Apr</v>
      </c>
      <c r="AK228" s="94">
        <f>IFERROR($M228+VLOOKUP($L228,'Voyage days'!$F$94:$H$193,3,FALSE),"")</f>
        <v>46132</v>
      </c>
      <c r="AL228" s="94">
        <f>IFERROR($N228+VLOOKUP($L228,'Voyage days'!$F$94:$H$193,3,FALSE),"")</f>
        <v>46133</v>
      </c>
      <c r="AM228" s="93" t="str">
        <f t="shared" si="28"/>
        <v>20-21 Apr</v>
      </c>
      <c r="AN228" s="94">
        <f>IFERROR($M228+VLOOKUP($L228,'Voyage days'!$F$203:$H$256,3,FALSE),"")</f>
        <v>46132</v>
      </c>
      <c r="AO228" s="94">
        <f>IFERROR($N228+VLOOKUP($L228,'Voyage days'!$F$203:$H$256,3,FALSE),"")</f>
        <v>46133</v>
      </c>
      <c r="AP228" s="93" t="str">
        <f t="shared" si="29"/>
        <v/>
      </c>
      <c r="AQ228" s="94" t="str">
        <f>IFERROR($M228+VLOOKUP($L228,'Voyage days'!$F$294:$H$377,3,FALSE),"")</f>
        <v/>
      </c>
      <c r="AR228" s="94" t="str">
        <f>IFERROR($N228+VLOOKUP($L228,'Voyage days'!$F$294:$H$377,3,FALSE),"")</f>
        <v/>
      </c>
      <c r="AS228" s="93" t="str">
        <f t="shared" si="30"/>
        <v>10-11 May</v>
      </c>
      <c r="AT228" s="94">
        <f>IFERROR($M228+VLOOKUP($L228,'Voyage days'!$F$382:$H$446,3,FALSE),"")</f>
        <v>46152</v>
      </c>
      <c r="AU228" s="94">
        <f>IFERROR($N228+VLOOKUP($L228,'Voyage days'!$F$382:$H$446,3,FALSE),"")</f>
        <v>46153</v>
      </c>
      <c r="AV228" s="93" t="str">
        <f t="shared" si="31"/>
        <v/>
      </c>
      <c r="AW228" s="94" t="str">
        <f>IFERROR($M228+VLOOKUP($L228,'Voyage days'!$F$483:$H$538,3,FALSE),"")</f>
        <v/>
      </c>
      <c r="AX228" s="94" t="str">
        <f>IFERROR($N228+VLOOKUP($L228,'Voyage days'!$F$483:$H$538,3,FALSE),"")</f>
        <v/>
      </c>
      <c r="AY228" s="93" t="str">
        <f t="shared" si="32"/>
        <v/>
      </c>
      <c r="AZ228" s="94" t="str">
        <f>IFERROR($M228+VLOOKUP($L228,'Voyage days'!$F$540:$H$613,3,FALSE),"")</f>
        <v/>
      </c>
      <c r="BA228" s="94" t="str">
        <f>IFERROR($N228+VLOOKUP($L228,'Voyage days'!$F$540:$H$613,3,FALSE),"")</f>
        <v/>
      </c>
      <c r="BB228" s="93" t="str">
        <f t="shared" si="33"/>
        <v/>
      </c>
      <c r="BC228" s="94" t="str">
        <f>IFERROR($M228+VLOOKUP($L228,'Voyage days'!$F$448:$H$479,3,FALSE),"")</f>
        <v/>
      </c>
      <c r="BD228" s="94" t="str">
        <f>IFERROR($N228+VLOOKUP($L228,'Voyage days'!$F$448:$H$479,3,FALSE),"")</f>
        <v/>
      </c>
      <c r="BE228" s="93" t="str">
        <f t="shared" si="34"/>
        <v/>
      </c>
      <c r="BF228" s="95" t="str">
        <f>IFERROR($M228+VLOOKUP($L228,'Voyage days'!$F$620:$H$646,3,FALSE),"")</f>
        <v/>
      </c>
      <c r="BG228" s="95" t="str">
        <f>IFERROR($N228+VLOOKUP($L228,'Voyage days'!$F$620:$H$646,3,FALSE),"")</f>
        <v/>
      </c>
      <c r="BH228" s="93" t="str">
        <f t="shared" si="35"/>
        <v/>
      </c>
      <c r="BI228" s="96" t="str">
        <f>IFERROR($M228+VLOOKUP($L228,'Voyage days'!$F$702:$H$727,3,FALSE),"")</f>
        <v/>
      </c>
      <c r="BJ228" s="93" t="str">
        <f t="shared" si="36"/>
        <v/>
      </c>
      <c r="BK228" s="95" t="str">
        <f>IFERROR($M228+VLOOKUP($L228,'Voyage days'!$F$807:$H$878,3,FALSE),"")</f>
        <v/>
      </c>
      <c r="BL228" s="95" t="str">
        <f>IFERROR($N228+VLOOKUP($L228,'Voyage days'!$F$807:$H$878,3,FALSE),"")</f>
        <v/>
      </c>
      <c r="BM228" s="95" t="str">
        <f>IFERROR($N228+VLOOKUP($L228,'Voyage days'!$F$807:$K$878,6,FALSE),"")</f>
        <v/>
      </c>
      <c r="BN228" s="94" t="str">
        <f>IF(L228="loads AG", IFERROR($M228+VLOOKUP($L228,'Voyage days'!$M$38:$O$38,3,FALSE),""),"")</f>
        <v/>
      </c>
      <c r="BO228" s="94">
        <f>IF(L228="loads USG", IFERROR($M228+VLOOKUP($L228,'Voyage days'!$L$203:$N$203,3,FALSE),""),"")</f>
        <v>46164</v>
      </c>
    </row>
    <row r="229" spans="1:67" ht="16.5" customHeight="1" x14ac:dyDescent="0.25">
      <c r="A229" s="132" t="s">
        <v>467</v>
      </c>
      <c r="B229" s="133">
        <v>2019</v>
      </c>
      <c r="C229" s="134">
        <v>83000</v>
      </c>
      <c r="D229" s="143"/>
      <c r="E229" s="143"/>
      <c r="F229" s="136"/>
      <c r="G229" s="136"/>
      <c r="H229" s="136"/>
      <c r="I229" s="137" t="s">
        <v>1263</v>
      </c>
      <c r="J229" s="138" t="str">
        <f t="shared" si="39"/>
        <v/>
      </c>
      <c r="K229" s="139"/>
      <c r="L229" s="140" t="s">
        <v>790</v>
      </c>
      <c r="M229" s="141">
        <v>46145</v>
      </c>
      <c r="N229" s="361">
        <v>46146</v>
      </c>
      <c r="O229" s="142"/>
      <c r="P229" s="140" t="s">
        <v>1277</v>
      </c>
      <c r="Q229" s="140"/>
      <c r="R229" s="140" t="s">
        <v>1278</v>
      </c>
      <c r="S229" s="143" t="s">
        <v>724</v>
      </c>
      <c r="T229" s="144">
        <v>46132</v>
      </c>
      <c r="U229" s="145" t="str">
        <f>IF(V229="","No AIS",VLOOKUP(V229,'Voyage days'!$A$3:$B$1480,2,FALSE))</f>
        <v>Eu + 4</v>
      </c>
      <c r="V229" s="146" t="str">
        <f>IF(VLOOKUP(A229,'1) Kpler'!$E$2:$P$1000,8, FALSE)="","",VLOOKUP(A229,'1) Kpler'!$E$2:$P$1000,8, FALSE))</f>
        <v>Terneuzen</v>
      </c>
      <c r="W229" s="147">
        <f>IF(VLOOKUP(A229,'1) Kpler'!$E$2:$P$1000,9,FALSE)="","",VLOOKUP(A229,'1) Kpler'!$E$2:$P$1000,9,FALSE))</f>
        <v>46141.729861111111</v>
      </c>
      <c r="X229" s="146" t="str">
        <f>VLOOKUP(A229,'1) Kpler'!$E$2:$I$1000,4,FALSE)</f>
        <v>loaded</v>
      </c>
      <c r="Y229" s="148" t="str">
        <f t="shared" si="38"/>
        <v/>
      </c>
      <c r="Z229" s="148" t="str">
        <f t="shared" si="1"/>
        <v>17-18 May</v>
      </c>
      <c r="AA229" s="148" t="str">
        <f t="shared" si="2"/>
        <v>18-19 May</v>
      </c>
      <c r="AB229" s="148" t="str">
        <f t="shared" si="3"/>
        <v>14-15 May</v>
      </c>
      <c r="AC229" s="148" t="str">
        <f t="shared" si="4"/>
        <v>05-06 May</v>
      </c>
      <c r="AD229" s="148" t="str">
        <f t="shared" si="5"/>
        <v/>
      </c>
      <c r="AE229" s="149" t="str">
        <f t="shared" si="6"/>
        <v/>
      </c>
      <c r="AF229" s="150" t="str">
        <f t="shared" si="7"/>
        <v>17-18 May</v>
      </c>
      <c r="AG229" s="93" t="str">
        <f t="shared" si="26"/>
        <v/>
      </c>
      <c r="AH229" s="94" t="str">
        <f>IFERROR($M229+VLOOKUP($L229,'Voyage days'!$F$38:$H$89,3,FALSE),"")</f>
        <v/>
      </c>
      <c r="AI229" s="94" t="str">
        <f>IFERROR(N229+VLOOKUP($L229,'Voyage days'!$F$38:$H$89,3,FALSE),"")</f>
        <v/>
      </c>
      <c r="AJ229" s="93" t="str">
        <f t="shared" si="27"/>
        <v>17-18 May</v>
      </c>
      <c r="AK229" s="94">
        <f>IFERROR($M229+VLOOKUP($L229,'Voyage days'!$F$94:$H$193,3,FALSE),"")</f>
        <v>46159</v>
      </c>
      <c r="AL229" s="94">
        <f>IFERROR($N229+VLOOKUP($L229,'Voyage days'!$F$94:$H$193,3,FALSE),"")</f>
        <v>46160</v>
      </c>
      <c r="AM229" s="93" t="str">
        <f t="shared" si="28"/>
        <v>18-19 May</v>
      </c>
      <c r="AN229" s="94">
        <f>IFERROR($M229+VLOOKUP($L229,'Voyage days'!$F$203:$H$256,3,FALSE),"")</f>
        <v>46160</v>
      </c>
      <c r="AO229" s="94">
        <f>IFERROR($N229+VLOOKUP($L229,'Voyage days'!$F$203:$H$256,3,FALSE),"")</f>
        <v>46161</v>
      </c>
      <c r="AP229" s="93" t="str">
        <f t="shared" si="29"/>
        <v>14-15 May</v>
      </c>
      <c r="AQ229" s="94">
        <f>IFERROR($M229+VLOOKUP($L229,'Voyage days'!$F$294:$H$377,3,FALSE),"")</f>
        <v>46156</v>
      </c>
      <c r="AR229" s="94">
        <f>IFERROR($N229+VLOOKUP($L229,'Voyage days'!$F$294:$H$377,3,FALSE),"")</f>
        <v>46157</v>
      </c>
      <c r="AS229" s="93" t="str">
        <f t="shared" si="30"/>
        <v>05-06 May</v>
      </c>
      <c r="AT229" s="94">
        <f>IFERROR($M229+VLOOKUP($L229,'Voyage days'!$F$382:$H$446,3,FALSE),"")</f>
        <v>46147</v>
      </c>
      <c r="AU229" s="94">
        <f>IFERROR($N229+VLOOKUP($L229,'Voyage days'!$F$382:$H$446,3,FALSE),"")</f>
        <v>46148</v>
      </c>
      <c r="AV229" s="93" t="str">
        <f t="shared" si="31"/>
        <v/>
      </c>
      <c r="AW229" s="94" t="str">
        <f>IFERROR($M229+VLOOKUP($L229,'Voyage days'!$F$483:$H$538,3,FALSE),"")</f>
        <v/>
      </c>
      <c r="AX229" s="94" t="str">
        <f>IFERROR($N229+VLOOKUP($L229,'Voyage days'!$F$483:$H$538,3,FALSE),"")</f>
        <v/>
      </c>
      <c r="AY229" s="93" t="str">
        <f t="shared" si="32"/>
        <v/>
      </c>
      <c r="AZ229" s="94" t="str">
        <f>IFERROR($M229+VLOOKUP($L229,'Voyage days'!$F$540:$H$613,3,FALSE),"")</f>
        <v/>
      </c>
      <c r="BA229" s="94" t="str">
        <f>IFERROR($N229+VLOOKUP($L229,'Voyage days'!$F$540:$H$613,3,FALSE),"")</f>
        <v/>
      </c>
      <c r="BB229" s="93" t="str">
        <f t="shared" si="33"/>
        <v/>
      </c>
      <c r="BC229" s="94" t="str">
        <f>IFERROR($M229+VLOOKUP($L229,'Voyage days'!$F$448:$H$479,3,FALSE),"")</f>
        <v/>
      </c>
      <c r="BD229" s="94" t="str">
        <f>IFERROR($N229+VLOOKUP($L229,'Voyage days'!$F$448:$H$479,3,FALSE),"")</f>
        <v/>
      </c>
      <c r="BE229" s="93" t="str">
        <f t="shared" si="34"/>
        <v/>
      </c>
      <c r="BF229" s="95" t="str">
        <f>IFERROR($M229+VLOOKUP($L229,'Voyage days'!$F$620:$H$646,3,FALSE),"")</f>
        <v/>
      </c>
      <c r="BG229" s="95" t="str">
        <f>IFERROR($N229+VLOOKUP($L229,'Voyage days'!$F$620:$H$646,3,FALSE),"")</f>
        <v/>
      </c>
      <c r="BH229" s="93" t="str">
        <f t="shared" si="35"/>
        <v/>
      </c>
      <c r="BI229" s="96" t="str">
        <f>IFERROR($M229+VLOOKUP($L229,'Voyage days'!$F$702:$H$727,3,FALSE),"")</f>
        <v/>
      </c>
      <c r="BJ229" s="93" t="str">
        <f t="shared" si="36"/>
        <v>17-18 May</v>
      </c>
      <c r="BK229" s="95">
        <f>IFERROR($M229+VLOOKUP($L229,'Voyage days'!$F$807:$H$878,3,FALSE),"")</f>
        <v>46159</v>
      </c>
      <c r="BL229" s="95">
        <f>IFERROR($N229+VLOOKUP($L229,'Voyage days'!$F$807:$H$878,3,FALSE),"")</f>
        <v>46160</v>
      </c>
      <c r="BM229" s="95">
        <f>IFERROR($N229+VLOOKUP($L229,'Voyage days'!$F$807:$K$878,6,FALSE),"")</f>
        <v>46146</v>
      </c>
      <c r="BN229" s="94" t="str">
        <f>IF(L229="loads AG", IFERROR($M229+VLOOKUP($L229,'Voyage days'!$M$38:$O$38,3,FALSE),""),"")</f>
        <v/>
      </c>
      <c r="BO229" s="94" t="str">
        <f>IF(L229="loads USG", IFERROR($M229+VLOOKUP($L229,'Voyage days'!$L$203:$N$203,3,FALSE),""),"")</f>
        <v/>
      </c>
    </row>
    <row r="230" spans="1:67" ht="15.75" customHeight="1" x14ac:dyDescent="0.25">
      <c r="A230" s="476" t="s">
        <v>90</v>
      </c>
      <c r="B230" s="182">
        <v>2021</v>
      </c>
      <c r="C230" s="183">
        <v>91000</v>
      </c>
      <c r="D230" s="184"/>
      <c r="E230" s="184" t="s">
        <v>757</v>
      </c>
      <c r="F230" s="185"/>
      <c r="G230" s="185"/>
      <c r="H230" s="185" t="s">
        <v>713</v>
      </c>
      <c r="I230" s="404" t="s">
        <v>1279</v>
      </c>
      <c r="J230" s="187" t="str">
        <f t="shared" si="39"/>
        <v/>
      </c>
      <c r="K230" s="123"/>
      <c r="L230" s="186" t="s">
        <v>754</v>
      </c>
      <c r="M230" s="83">
        <v>46145</v>
      </c>
      <c r="N230" s="83">
        <v>46147</v>
      </c>
      <c r="O230" s="206" t="s">
        <v>726</v>
      </c>
      <c r="P230" s="82" t="s">
        <v>1280</v>
      </c>
      <c r="Q230" s="477"/>
      <c r="R230" s="186" t="s">
        <v>1281</v>
      </c>
      <c r="S230" s="221" t="s">
        <v>724</v>
      </c>
      <c r="T230" s="329">
        <v>46132</v>
      </c>
      <c r="U230" s="195" t="str">
        <f>IF(V230="","No AIS",VLOOKUP(V230,'Voyage days'!$A$3:$B$1480,2,FALSE))</f>
        <v>South China + 4</v>
      </c>
      <c r="V230" s="195" t="str">
        <f>IF(VLOOKUP(A230,'1) Kpler'!$E$2:$P$1000,8, FALSE)="","",VLOOKUP(A230,'1) Kpler'!$E$2:$P$1000,8, FALSE))</f>
        <v>FREP Plant</v>
      </c>
      <c r="W230" s="196">
        <f>IF(VLOOKUP(A230,'1) Kpler'!$E$2:$P$1000,9,FALSE)="","",VLOOKUP(A230,'1) Kpler'!$E$2:$P$1000,9,FALSE))</f>
        <v>46141.5</v>
      </c>
      <c r="X230" s="195" t="str">
        <f>VLOOKUP(A230,'1) Kpler'!$E$2:$I$1000,4,FALSE)</f>
        <v>loaded</v>
      </c>
      <c r="Y230" s="219" t="str">
        <f t="shared" si="38"/>
        <v>18-20 May</v>
      </c>
      <c r="Z230" s="219" t="str">
        <f t="shared" si="1"/>
        <v>08-10 Jun</v>
      </c>
      <c r="AA230" s="219" t="str">
        <f t="shared" si="2"/>
        <v>14-16 Jun</v>
      </c>
      <c r="AB230" s="219" t="str">
        <f t="shared" si="3"/>
        <v>29-31 May</v>
      </c>
      <c r="AC230" s="219" t="str">
        <f t="shared" si="4"/>
        <v>05-07 Jun</v>
      </c>
      <c r="AD230" s="219" t="str">
        <f t="shared" si="5"/>
        <v>07-09 May</v>
      </c>
      <c r="AE230" s="220" t="str">
        <f t="shared" si="6"/>
        <v>09-11 May</v>
      </c>
      <c r="AF230" s="130" t="str">
        <f t="shared" si="7"/>
        <v>14-16 Jun</v>
      </c>
      <c r="AG230" s="200" t="str">
        <f t="shared" si="26"/>
        <v>18-20 May</v>
      </c>
      <c r="AH230" s="201">
        <f>IFERROR($M230+VLOOKUP($L230,'Voyage days'!$F$38:$H$89,3,FALSE),"")</f>
        <v>46160</v>
      </c>
      <c r="AI230" s="201">
        <f>IFERROR(N230+VLOOKUP($L230,'Voyage days'!$F$38:$H$89,3,FALSE),"")</f>
        <v>46162</v>
      </c>
      <c r="AJ230" s="200" t="str">
        <f t="shared" si="27"/>
        <v>08-10 Jun</v>
      </c>
      <c r="AK230" s="201">
        <f>IFERROR($M230+VLOOKUP($L230,'Voyage days'!$F$94:$H$193,3,FALSE),"")</f>
        <v>46181</v>
      </c>
      <c r="AL230" s="201">
        <f>IFERROR($N230+VLOOKUP($L230,'Voyage days'!$F$94:$H$193,3,FALSE),"")</f>
        <v>46183</v>
      </c>
      <c r="AM230" s="200" t="str">
        <f t="shared" si="28"/>
        <v>14-16 Jun</v>
      </c>
      <c r="AN230" s="201">
        <f>IFERROR($M230+VLOOKUP($L230,'Voyage days'!$F$203:$H$256,3,FALSE),"")</f>
        <v>46187</v>
      </c>
      <c r="AO230" s="201">
        <f>IFERROR($N230+VLOOKUP($L230,'Voyage days'!$F$203:$H$256,3,FALSE),"")</f>
        <v>46189</v>
      </c>
      <c r="AP230" s="200" t="str">
        <f t="shared" si="29"/>
        <v>29-31 May</v>
      </c>
      <c r="AQ230" s="201">
        <f>IFERROR($M230+VLOOKUP($L230,'Voyage days'!$F$294:$H$377,3,FALSE),"")</f>
        <v>46171</v>
      </c>
      <c r="AR230" s="201">
        <f>IFERROR($N230+VLOOKUP($L230,'Voyage days'!$F$294:$H$377,3,FALSE),"")</f>
        <v>46173</v>
      </c>
      <c r="AS230" s="200" t="str">
        <f t="shared" si="30"/>
        <v>05-07 Jun</v>
      </c>
      <c r="AT230" s="201">
        <f>IFERROR($M230+VLOOKUP($L230,'Voyage days'!$F$382:$H$446,3,FALSE),"")</f>
        <v>46178</v>
      </c>
      <c r="AU230" s="201">
        <f>IFERROR($N230+VLOOKUP($L230,'Voyage days'!$F$382:$H$446,3,FALSE),"")</f>
        <v>46180</v>
      </c>
      <c r="AV230" s="200" t="str">
        <f t="shared" si="31"/>
        <v>17-19 May</v>
      </c>
      <c r="AW230" s="201">
        <f>IFERROR($M230+VLOOKUP($L230,'Voyage days'!$F$483:$H$538,3,FALSE),"")</f>
        <v>46159</v>
      </c>
      <c r="AX230" s="201">
        <f>IFERROR($N230+VLOOKUP($L230,'Voyage days'!$F$483:$H$538,3,FALSE),"")</f>
        <v>46161</v>
      </c>
      <c r="AY230" s="200" t="str">
        <f t="shared" si="32"/>
        <v>09-11 May</v>
      </c>
      <c r="AZ230" s="201">
        <f>IFERROR($M230+VLOOKUP($L230,'Voyage days'!$F$540:$H$613,3,FALSE),"")</f>
        <v>46151.75</v>
      </c>
      <c r="BA230" s="201">
        <f>IFERROR($N230+VLOOKUP($L230,'Voyage days'!$F$540:$H$613,3,FALSE),"")</f>
        <v>46153.75</v>
      </c>
      <c r="BB230" s="200" t="str">
        <f t="shared" si="33"/>
        <v>07-09 May</v>
      </c>
      <c r="BC230" s="94">
        <f>IFERROR($M230+VLOOKUP($L230,'Voyage days'!$F$448:$H$479,3,FALSE),"")</f>
        <v>46149</v>
      </c>
      <c r="BD230" s="94">
        <f>IFERROR($N230+VLOOKUP($L230,'Voyage days'!$F$448:$H$479,3,FALSE),"")</f>
        <v>46151</v>
      </c>
      <c r="BE230" s="200" t="str">
        <f t="shared" si="34"/>
        <v/>
      </c>
      <c r="BF230" s="201" t="str">
        <f>IFERROR($M230+VLOOKUP($L230,'Voyage days'!$F$620:$H$646,3,FALSE),"")</f>
        <v/>
      </c>
      <c r="BG230" s="201" t="str">
        <f>IFERROR($N230+VLOOKUP($L230,'Voyage days'!$F$620:$H$646,3,FALSE),"")</f>
        <v/>
      </c>
      <c r="BH230" s="200" t="str">
        <f t="shared" si="35"/>
        <v>09-16 Jun</v>
      </c>
      <c r="BI230" s="202">
        <f>IFERROR($M230+VLOOKUP($L230,'Voyage days'!$F$702:$H$727,3,FALSE),"")</f>
        <v>46151.75</v>
      </c>
      <c r="BJ230" s="200" t="str">
        <f t="shared" si="36"/>
        <v>14-16 Jun</v>
      </c>
      <c r="BK230" s="201">
        <f>IFERROR($M230+VLOOKUP($L230,'Voyage days'!$F$807:$H$878,3,FALSE),"")</f>
        <v>46187</v>
      </c>
      <c r="BL230" s="201">
        <f>IFERROR($N230+VLOOKUP($L230,'Voyage days'!$F$807:$H$878,3,FALSE),"")</f>
        <v>46189</v>
      </c>
      <c r="BM230" s="95">
        <f>IFERROR($N230+VLOOKUP($L230,'Voyage days'!$F$807:$K$878,6,FALSE),"")</f>
        <v>46164</v>
      </c>
      <c r="BN230" s="94" t="str">
        <f>IF(L230="loads AG", IFERROR($M230+VLOOKUP($L230,'Voyage days'!$M$38:$O$38,3,FALSE),""),"")</f>
        <v/>
      </c>
      <c r="BO230" s="94" t="str">
        <f>IF(L230="loads USG", IFERROR($M230+VLOOKUP($L230,'Voyage days'!$L$203:$N$203,3,FALSE),""),"")</f>
        <v/>
      </c>
    </row>
    <row r="231" spans="1:67" ht="15.75" customHeight="1" x14ac:dyDescent="0.25">
      <c r="A231" s="263" t="s">
        <v>95</v>
      </c>
      <c r="B231" s="119">
        <v>2025</v>
      </c>
      <c r="C231" s="76">
        <v>88000</v>
      </c>
      <c r="D231" s="120"/>
      <c r="E231" s="120"/>
      <c r="F231" s="121"/>
      <c r="G231" s="121"/>
      <c r="H231" s="121"/>
      <c r="I231" s="249" t="s">
        <v>1279</v>
      </c>
      <c r="J231" s="366"/>
      <c r="K231" s="123"/>
      <c r="L231" s="252" t="s">
        <v>718</v>
      </c>
      <c r="M231" s="205">
        <v>46135</v>
      </c>
      <c r="N231" s="205">
        <v>46137</v>
      </c>
      <c r="O231" s="126"/>
      <c r="P231" s="233" t="s">
        <v>984</v>
      </c>
      <c r="Q231" s="82"/>
      <c r="R231" s="82" t="s">
        <v>1282</v>
      </c>
      <c r="S231" s="221" t="s">
        <v>724</v>
      </c>
      <c r="T231" s="86">
        <v>46132</v>
      </c>
      <c r="U231" s="87" t="str">
        <f>IF(V231="","No AIS",VLOOKUP(V231,'Voyage days'!$A$3:$B$1480,2,FALSE))</f>
        <v>USG</v>
      </c>
      <c r="V231" s="87" t="str">
        <f>IF(VLOOKUP(A231,'1) Kpler'!$E$2:$P$1000,8, FALSE)="","",VLOOKUP(A231,'1) Kpler'!$E$2:$P$1000,8, FALSE))</f>
        <v>Houston</v>
      </c>
      <c r="W231" s="128">
        <f>IF(VLOOKUP(A231,'1) Kpler'!$E$2:$P$1000,9,FALSE)="","",VLOOKUP(A231,'1) Kpler'!$E$2:$P$1000,9,FALSE))</f>
        <v>46135.75</v>
      </c>
      <c r="X231" s="87" t="str">
        <f>VLOOKUP(A231,'1) Kpler'!$E$2:$I$1000,4,FALSE)</f>
        <v>ballast</v>
      </c>
      <c r="Y231" s="445" t="str">
        <f t="shared" si="38"/>
        <v/>
      </c>
      <c r="Z231" s="445" t="str">
        <f t="shared" si="1"/>
        <v>23-25 Apr</v>
      </c>
      <c r="AA231" s="445" t="str">
        <f t="shared" si="2"/>
        <v>23-25 Apr</v>
      </c>
      <c r="AB231" s="445" t="str">
        <f t="shared" si="3"/>
        <v/>
      </c>
      <c r="AC231" s="445" t="str">
        <f t="shared" si="4"/>
        <v>13-15 May</v>
      </c>
      <c r="AD231" s="445" t="str">
        <f t="shared" si="5"/>
        <v/>
      </c>
      <c r="AE231" s="446" t="str">
        <f t="shared" si="6"/>
        <v/>
      </c>
      <c r="AF231" s="150" t="str">
        <f t="shared" si="7"/>
        <v/>
      </c>
      <c r="AG231" s="93" t="str">
        <f t="shared" si="26"/>
        <v/>
      </c>
      <c r="AH231" s="94" t="str">
        <f>IFERROR($M231+VLOOKUP($L231,'Voyage days'!$F$38:$H$89,3,FALSE),"")</f>
        <v/>
      </c>
      <c r="AI231" s="94" t="str">
        <f>IFERROR(N231+VLOOKUP($L231,'Voyage days'!$F$38:$H$89,3,FALSE),"")</f>
        <v/>
      </c>
      <c r="AJ231" s="93" t="str">
        <f t="shared" si="27"/>
        <v>23-25 Apr</v>
      </c>
      <c r="AK231" s="94">
        <f>IFERROR($M231+VLOOKUP($L231,'Voyage days'!$F$94:$H$193,3,FALSE),"")</f>
        <v>46135</v>
      </c>
      <c r="AL231" s="94">
        <f>IFERROR($N231+VLOOKUP($L231,'Voyage days'!$F$94:$H$193,3,FALSE),"")</f>
        <v>46137</v>
      </c>
      <c r="AM231" s="93" t="str">
        <f t="shared" si="28"/>
        <v>23-25 Apr</v>
      </c>
      <c r="AN231" s="94">
        <f>IFERROR($M231+VLOOKUP($L231,'Voyage days'!$F$203:$H$256,3,FALSE),"")</f>
        <v>46135</v>
      </c>
      <c r="AO231" s="94">
        <f>IFERROR($N231+VLOOKUP($L231,'Voyage days'!$F$203:$H$256,3,FALSE),"")</f>
        <v>46137</v>
      </c>
      <c r="AP231" s="93" t="str">
        <f t="shared" si="29"/>
        <v/>
      </c>
      <c r="AQ231" s="94" t="str">
        <f>IFERROR($M231+VLOOKUP($L231,'Voyage days'!$F$294:$H$377,3,FALSE),"")</f>
        <v/>
      </c>
      <c r="AR231" s="94" t="str">
        <f>IFERROR($N231+VLOOKUP($L231,'Voyage days'!$F$294:$H$377,3,FALSE),"")</f>
        <v/>
      </c>
      <c r="AS231" s="93" t="str">
        <f t="shared" si="30"/>
        <v>13-15 May</v>
      </c>
      <c r="AT231" s="94">
        <f>IFERROR($M231+VLOOKUP($L231,'Voyage days'!$F$382:$H$446,3,FALSE),"")</f>
        <v>46155</v>
      </c>
      <c r="AU231" s="94">
        <f>IFERROR($N231+VLOOKUP($L231,'Voyage days'!$F$382:$H$446,3,FALSE),"")</f>
        <v>46157</v>
      </c>
      <c r="AV231" s="93" t="str">
        <f t="shared" si="31"/>
        <v/>
      </c>
      <c r="AW231" s="94" t="str">
        <f>IFERROR($M231+VLOOKUP($L231,'Voyage days'!$F$483:$H$538,3,FALSE),"")</f>
        <v/>
      </c>
      <c r="AX231" s="94" t="str">
        <f>IFERROR($N231+VLOOKUP($L231,'Voyage days'!$F$483:$H$538,3,FALSE),"")</f>
        <v/>
      </c>
      <c r="AY231" s="93" t="str">
        <f t="shared" si="32"/>
        <v/>
      </c>
      <c r="AZ231" s="94" t="str">
        <f>IFERROR($M231+VLOOKUP($L231,'Voyage days'!$F$540:$H$613,3,FALSE),"")</f>
        <v/>
      </c>
      <c r="BA231" s="94" t="str">
        <f>IFERROR($N231+VLOOKUP($L231,'Voyage days'!$F$540:$H$613,3,FALSE),"")</f>
        <v/>
      </c>
      <c r="BB231" s="93" t="str">
        <f t="shared" si="33"/>
        <v/>
      </c>
      <c r="BC231" s="94" t="str">
        <f>IFERROR($M231+VLOOKUP($L231,'Voyage days'!$F$448:$H$479,3,FALSE),"")</f>
        <v/>
      </c>
      <c r="BD231" s="94" t="str">
        <f>IFERROR($N231+VLOOKUP($L231,'Voyage days'!$F$448:$H$479,3,FALSE),"")</f>
        <v/>
      </c>
      <c r="BE231" s="93" t="str">
        <f t="shared" si="34"/>
        <v/>
      </c>
      <c r="BF231" s="95" t="str">
        <f>IFERROR($M231+VLOOKUP($L231,'Voyage days'!$F$620:$H$646,3,FALSE),"")</f>
        <v/>
      </c>
      <c r="BG231" s="95" t="str">
        <f>IFERROR($N231+VLOOKUP($L231,'Voyage days'!$F$620:$H$646,3,FALSE),"")</f>
        <v/>
      </c>
      <c r="BH231" s="93" t="str">
        <f t="shared" si="35"/>
        <v/>
      </c>
      <c r="BI231" s="96" t="str">
        <f>IFERROR($M231+VLOOKUP($L231,'Voyage days'!$F$702:$H$727,3,FALSE),"")</f>
        <v/>
      </c>
      <c r="BJ231" s="93" t="str">
        <f t="shared" si="36"/>
        <v/>
      </c>
      <c r="BK231" s="95" t="str">
        <f>IFERROR($M231+VLOOKUP($L231,'Voyage days'!$F$807:$H$878,3,FALSE),"")</f>
        <v/>
      </c>
      <c r="BL231" s="95" t="str">
        <f>IFERROR($N231+VLOOKUP($L231,'Voyage days'!$F$807:$H$878,3,FALSE),"")</f>
        <v/>
      </c>
      <c r="BM231" s="95" t="str">
        <f>IFERROR($N231+VLOOKUP($L231,'Voyage days'!$F$807:$K$878,6,FALSE),"")</f>
        <v/>
      </c>
      <c r="BN231" s="94" t="str">
        <f>IF(L231="loads AG", IFERROR($M231+VLOOKUP($L231,'Voyage days'!$M$38:$O$38,3,FALSE),""),"")</f>
        <v/>
      </c>
      <c r="BO231" s="94">
        <f>IF(L231="loads USG", IFERROR($M231+VLOOKUP($L231,'Voyage days'!$L$203:$N$203,3,FALSE),""),"")</f>
        <v>46167</v>
      </c>
    </row>
    <row r="232" spans="1:67" ht="15.75" customHeight="1" x14ac:dyDescent="0.25">
      <c r="A232" s="53" t="s">
        <v>212</v>
      </c>
      <c r="B232" s="119">
        <v>2025</v>
      </c>
      <c r="C232" s="76">
        <v>86700</v>
      </c>
      <c r="D232" s="77"/>
      <c r="E232" s="77"/>
      <c r="F232" s="78"/>
      <c r="G232" s="78"/>
      <c r="H232" s="78" t="s">
        <v>713</v>
      </c>
      <c r="I232" s="233" t="s">
        <v>1279</v>
      </c>
      <c r="J232" s="80" t="str">
        <f t="shared" ref="J232:J267" si="40">IF(W232="","NO AIS",IF((W232-M232-1)&gt;0,"Update",""))</f>
        <v/>
      </c>
      <c r="K232" s="81" t="s">
        <v>817</v>
      </c>
      <c r="L232" s="82" t="s">
        <v>863</v>
      </c>
      <c r="M232" s="83">
        <v>46162</v>
      </c>
      <c r="N232" s="83">
        <v>46163</v>
      </c>
      <c r="O232" s="126"/>
      <c r="P232" s="82" t="s">
        <v>1283</v>
      </c>
      <c r="Q232" s="82"/>
      <c r="R232" s="82" t="s">
        <v>1284</v>
      </c>
      <c r="S232" s="221" t="s">
        <v>724</v>
      </c>
      <c r="T232" s="232">
        <v>46132</v>
      </c>
      <c r="U232" s="87" t="str">
        <f>IF(V232="","No AIS",VLOOKUP(V232,'Voyage days'!$A$3:$B$1480,2,FALSE))</f>
        <v>ECI + 5</v>
      </c>
      <c r="V232" s="88" t="str">
        <f>IF(VLOOKUP(A232,'1) Kpler'!$E$2:$P$1000,8, FALSE)="","",VLOOKUP(A232,'1) Kpler'!$E$2:$P$1000,8, FALSE))</f>
        <v>Ennore Port</v>
      </c>
      <c r="W232" s="89">
        <f>IF(VLOOKUP(A232,'1) Kpler'!$E$2:$P$1000,9,FALSE)="","",VLOOKUP(A232,'1) Kpler'!$E$2:$P$1000,9,FALSE))</f>
        <v>46157.375</v>
      </c>
      <c r="X232" s="88" t="str">
        <f>VLOOKUP(A232,'1) Kpler'!$E$2:$I$1000,4,FALSE)</f>
        <v>loaded</v>
      </c>
      <c r="Y232" s="63" t="str">
        <f t="shared" si="38"/>
        <v>29-30 May</v>
      </c>
      <c r="Z232" s="63" t="str">
        <f t="shared" si="1"/>
        <v/>
      </c>
      <c r="AA232" s="63" t="str">
        <f t="shared" si="2"/>
        <v>25-26 Jun</v>
      </c>
      <c r="AB232" s="63" t="str">
        <f t="shared" si="3"/>
        <v>10-11 Jun</v>
      </c>
      <c r="AC232" s="63" t="str">
        <f t="shared" si="4"/>
        <v>17-18 Jun</v>
      </c>
      <c r="AD232" s="63" t="str">
        <f t="shared" si="5"/>
        <v>25-26 May</v>
      </c>
      <c r="AE232" s="129" t="str">
        <f t="shared" si="6"/>
        <v/>
      </c>
      <c r="AF232" s="130" t="str">
        <f t="shared" si="7"/>
        <v>27-28 Jun</v>
      </c>
      <c r="AG232" s="93" t="str">
        <f t="shared" si="26"/>
        <v>29-30 May</v>
      </c>
      <c r="AH232" s="94">
        <f>IFERROR($M232+VLOOKUP($L232,'Voyage days'!$F$38:$H$89,3,FALSE),"")</f>
        <v>46171</v>
      </c>
      <c r="AI232" s="94">
        <f>IFERROR(N232+VLOOKUP($L232,'Voyage days'!$F$38:$H$89,3,FALSE),"")</f>
        <v>46172</v>
      </c>
      <c r="AJ232" s="93" t="str">
        <f t="shared" si="27"/>
        <v/>
      </c>
      <c r="AK232" s="94" t="str">
        <f>IFERROR($M232+VLOOKUP($L232,'Voyage days'!$F$94:$H$193,3,FALSE),"")</f>
        <v/>
      </c>
      <c r="AL232" s="94" t="str">
        <f>IFERROR($N232+VLOOKUP($L232,'Voyage days'!$F$94:$H$193,3,FALSE),"")</f>
        <v/>
      </c>
      <c r="AM232" s="93" t="str">
        <f t="shared" si="28"/>
        <v>25-26 Jun</v>
      </c>
      <c r="AN232" s="94">
        <f>IFERROR($M232+VLOOKUP($L232,'Voyage days'!$F$203:$H$256,3,FALSE),"")</f>
        <v>46198</v>
      </c>
      <c r="AO232" s="94">
        <f>IFERROR($N232+VLOOKUP($L232,'Voyage days'!$F$203:$H$256,3,FALSE),"")</f>
        <v>46199</v>
      </c>
      <c r="AP232" s="93" t="str">
        <f t="shared" si="29"/>
        <v>10-11 Jun</v>
      </c>
      <c r="AQ232" s="94">
        <f>IFERROR($M232+VLOOKUP($L232,'Voyage days'!$F$294:$H$377,3,FALSE),"")</f>
        <v>46183</v>
      </c>
      <c r="AR232" s="94">
        <f>IFERROR($N232+VLOOKUP($L232,'Voyage days'!$F$294:$H$377,3,FALSE),"")</f>
        <v>46184</v>
      </c>
      <c r="AS232" s="93" t="str">
        <f t="shared" si="30"/>
        <v>17-18 Jun</v>
      </c>
      <c r="AT232" s="94">
        <f>IFERROR($M232+VLOOKUP($L232,'Voyage days'!$F$382:$H$446,3,FALSE),"")</f>
        <v>46190</v>
      </c>
      <c r="AU232" s="94">
        <f>IFERROR($N232+VLOOKUP($L232,'Voyage days'!$F$382:$H$446,3,FALSE),"")</f>
        <v>46191</v>
      </c>
      <c r="AV232" s="93" t="str">
        <f t="shared" si="31"/>
        <v>20-21 May</v>
      </c>
      <c r="AW232" s="94">
        <f>IFERROR($M232+VLOOKUP($L232,'Voyage days'!$F$483:$H$538,3,FALSE),"")</f>
        <v>46162</v>
      </c>
      <c r="AX232" s="94">
        <f>IFERROR($N232+VLOOKUP($L232,'Voyage days'!$F$483:$H$538,3,FALSE),"")</f>
        <v>46163</v>
      </c>
      <c r="AY232" s="93" t="str">
        <f t="shared" si="32"/>
        <v/>
      </c>
      <c r="AZ232" s="94" t="str">
        <f>IFERROR($M232+VLOOKUP($L232,'Voyage days'!$F$540:$H$613,3,FALSE),"")</f>
        <v/>
      </c>
      <c r="BA232" s="94" t="str">
        <f>IFERROR($N232+VLOOKUP($L232,'Voyage days'!$F$540:$H$613,3,FALSE),"")</f>
        <v/>
      </c>
      <c r="BB232" s="93" t="str">
        <f t="shared" si="33"/>
        <v>25-26 May</v>
      </c>
      <c r="BC232" s="94">
        <f>IFERROR($M232+VLOOKUP($L232,'Voyage days'!$F$448:$H$479,3,FALSE),"")</f>
        <v>46167</v>
      </c>
      <c r="BD232" s="94">
        <f>IFERROR($N232+VLOOKUP($L232,'Voyage days'!$F$448:$H$479,3,FALSE),"")</f>
        <v>46168</v>
      </c>
      <c r="BE232" s="93" t="str">
        <f t="shared" si="34"/>
        <v/>
      </c>
      <c r="BF232" s="95" t="str">
        <f>IFERROR($M232+VLOOKUP($L232,'Voyage days'!$F$620:$H$646,3,FALSE),"")</f>
        <v/>
      </c>
      <c r="BG232" s="95" t="str">
        <f>IFERROR($N232+VLOOKUP($L232,'Voyage days'!$F$620:$H$646,3,FALSE),"")</f>
        <v/>
      </c>
      <c r="BH232" s="93" t="str">
        <f t="shared" si="35"/>
        <v/>
      </c>
      <c r="BI232" s="96" t="str">
        <f>IFERROR($M232+VLOOKUP($L232,'Voyage days'!$F$702:$H$727,3,FALSE),"")</f>
        <v/>
      </c>
      <c r="BJ232" s="93" t="str">
        <f t="shared" si="36"/>
        <v>27-28 Jun</v>
      </c>
      <c r="BK232" s="95">
        <f>IFERROR($M232+VLOOKUP($L232,'Voyage days'!$F$807:$H$878,3,FALSE),"")</f>
        <v>46200</v>
      </c>
      <c r="BL232" s="95">
        <f>IFERROR($N232+VLOOKUP($L232,'Voyage days'!$F$807:$H$878,3,FALSE),"")</f>
        <v>46201</v>
      </c>
      <c r="BM232" s="95">
        <f>IFERROR($N232+VLOOKUP($L232,'Voyage days'!$F$807:$K$878,6,FALSE),"")</f>
        <v>46175</v>
      </c>
      <c r="BN232" s="94" t="str">
        <f>IF(L232="loads AG", IFERROR($M232+VLOOKUP($L232,'Voyage days'!$M$38:$O$38,3,FALSE),""),"")</f>
        <v/>
      </c>
      <c r="BO232" s="94" t="str">
        <f>IF(L232="loads USG", IFERROR($M232+VLOOKUP($L232,'Voyage days'!$L$203:$N$203,3,FALSE),""),"")</f>
        <v/>
      </c>
    </row>
    <row r="233" spans="1:67" ht="15.75" customHeight="1" x14ac:dyDescent="0.25">
      <c r="A233" s="97" t="s">
        <v>182</v>
      </c>
      <c r="B233" s="119">
        <v>2013</v>
      </c>
      <c r="C233" s="76">
        <v>84000</v>
      </c>
      <c r="D233" s="120" t="s">
        <v>651</v>
      </c>
      <c r="E233" s="120" t="s">
        <v>757</v>
      </c>
      <c r="F233" s="121"/>
      <c r="G233" s="121"/>
      <c r="H233" s="121" t="s">
        <v>739</v>
      </c>
      <c r="I233" s="390" t="s">
        <v>1279</v>
      </c>
      <c r="J233" s="165" t="str">
        <f t="shared" si="40"/>
        <v/>
      </c>
      <c r="K233" s="123"/>
      <c r="L233" s="124" t="s">
        <v>718</v>
      </c>
      <c r="M233" s="222">
        <v>46157</v>
      </c>
      <c r="N233" s="83">
        <v>46158</v>
      </c>
      <c r="O233" s="126"/>
      <c r="P233" s="258" t="s">
        <v>955</v>
      </c>
      <c r="Q233" s="478"/>
      <c r="R233" s="124" t="s">
        <v>1285</v>
      </c>
      <c r="S233" s="221" t="s">
        <v>724</v>
      </c>
      <c r="T233" s="86">
        <v>46132</v>
      </c>
      <c r="U233" s="87" t="str">
        <f>IF(V233="","No AIS",VLOOKUP(V233,'Voyage days'!$A$3:$B$1480,2,FALSE))</f>
        <v>Panama</v>
      </c>
      <c r="V233" s="87" t="str">
        <f>IF(VLOOKUP(A233,'1) Kpler'!$E$2:$P$1000,8, FALSE)="","",VLOOKUP(A233,'1) Kpler'!$E$2:$P$1000,8, FALSE))</f>
        <v>Panama Canal</v>
      </c>
      <c r="W233" s="128">
        <f>IF(VLOOKUP(A233,'1) Kpler'!$E$2:$P$1000,9,FALSE)="","",VLOOKUP(A233,'1) Kpler'!$E$2:$P$1000,9,FALSE))</f>
        <v>46134.75</v>
      </c>
      <c r="X233" s="87" t="str">
        <f>VLOOKUP(A233,'1) Kpler'!$E$2:$I$1000,4,FALSE)</f>
        <v>open</v>
      </c>
      <c r="Y233" s="219" t="str">
        <f t="shared" si="38"/>
        <v/>
      </c>
      <c r="Z233" s="219" t="str">
        <f t="shared" si="1"/>
        <v>15-16 May</v>
      </c>
      <c r="AA233" s="219" t="str">
        <f t="shared" si="2"/>
        <v>15-16 May</v>
      </c>
      <c r="AB233" s="219" t="str">
        <f t="shared" si="3"/>
        <v/>
      </c>
      <c r="AC233" s="219" t="str">
        <f t="shared" si="4"/>
        <v>04-05 Jun</v>
      </c>
      <c r="AD233" s="219" t="str">
        <f t="shared" si="5"/>
        <v/>
      </c>
      <c r="AE233" s="220" t="str">
        <f t="shared" si="6"/>
        <v/>
      </c>
      <c r="AF233" s="130" t="str">
        <f t="shared" si="7"/>
        <v/>
      </c>
      <c r="AG233" s="131" t="str">
        <f t="shared" si="26"/>
        <v/>
      </c>
      <c r="AH233" s="95" t="str">
        <f>IFERROR($M233+VLOOKUP($L233,'Voyage days'!$F$38:$H$89,3,FALSE),"")</f>
        <v/>
      </c>
      <c r="AI233" s="95" t="str">
        <f>IFERROR(N233+VLOOKUP($L233,'Voyage days'!$F$38:$H$89,3,FALSE),"")</f>
        <v/>
      </c>
      <c r="AJ233" s="131" t="str">
        <f t="shared" si="27"/>
        <v>15-16 May</v>
      </c>
      <c r="AK233" s="95">
        <f>IFERROR($M233+VLOOKUP($L233,'Voyage days'!$F$94:$H$193,3,FALSE),"")</f>
        <v>46157</v>
      </c>
      <c r="AL233" s="95">
        <f>IFERROR($N233+VLOOKUP($L233,'Voyage days'!$F$94:$H$193,3,FALSE),"")</f>
        <v>46158</v>
      </c>
      <c r="AM233" s="131" t="str">
        <f t="shared" si="28"/>
        <v>15-16 May</v>
      </c>
      <c r="AN233" s="95">
        <f>IFERROR($M233+VLOOKUP($L233,'Voyage days'!$F$203:$H$256,3,FALSE),"")</f>
        <v>46157</v>
      </c>
      <c r="AO233" s="95">
        <f>IFERROR($N233+VLOOKUP($L233,'Voyage days'!$F$203:$H$256,3,FALSE),"")</f>
        <v>46158</v>
      </c>
      <c r="AP233" s="131" t="str">
        <f t="shared" si="29"/>
        <v/>
      </c>
      <c r="AQ233" s="95" t="str">
        <f>IFERROR($M233+VLOOKUP($L233,'Voyage days'!$F$294:$H$377,3,FALSE),"")</f>
        <v/>
      </c>
      <c r="AR233" s="95" t="str">
        <f>IFERROR($N233+VLOOKUP($L233,'Voyage days'!$F$294:$H$377,3,FALSE),"")</f>
        <v/>
      </c>
      <c r="AS233" s="131" t="str">
        <f t="shared" si="30"/>
        <v>04-05 Jun</v>
      </c>
      <c r="AT233" s="95">
        <f>IFERROR($M233+VLOOKUP($L233,'Voyage days'!$F$382:$H$446,3,FALSE),"")</f>
        <v>46177</v>
      </c>
      <c r="AU233" s="95">
        <f>IFERROR($N233+VLOOKUP($L233,'Voyage days'!$F$382:$H$446,3,FALSE),"")</f>
        <v>46178</v>
      </c>
      <c r="AV233" s="131" t="str">
        <f t="shared" si="31"/>
        <v/>
      </c>
      <c r="AW233" s="95" t="str">
        <f>IFERROR($M233+VLOOKUP($L233,'Voyage days'!$F$483:$H$538,3,FALSE),"")</f>
        <v/>
      </c>
      <c r="AX233" s="95" t="str">
        <f>IFERROR($N233+VLOOKUP($L233,'Voyage days'!$F$483:$H$538,3,FALSE),"")</f>
        <v/>
      </c>
      <c r="AY233" s="131" t="str">
        <f t="shared" si="32"/>
        <v/>
      </c>
      <c r="AZ233" s="95" t="str">
        <f>IFERROR($M233+VLOOKUP($L233,'Voyage days'!$F$540:$H$613,3,FALSE),"")</f>
        <v/>
      </c>
      <c r="BA233" s="95" t="str">
        <f>IFERROR($N233+VLOOKUP($L233,'Voyage days'!$F$540:$H$613,3,FALSE),"")</f>
        <v/>
      </c>
      <c r="BB233" s="131" t="str">
        <f t="shared" si="33"/>
        <v/>
      </c>
      <c r="BC233" s="95" t="str">
        <f>IFERROR($M233+VLOOKUP($L233,'Voyage days'!$F$448:$H$479,3,FALSE),"")</f>
        <v/>
      </c>
      <c r="BD233" s="95" t="str">
        <f>IFERROR($N233+VLOOKUP($L233,'Voyage days'!$F$448:$H$479,3,FALSE),"")</f>
        <v/>
      </c>
      <c r="BE233" s="131" t="str">
        <f t="shared" si="34"/>
        <v/>
      </c>
      <c r="BF233" s="95" t="str">
        <f>IFERROR($M233+VLOOKUP($L233,'Voyage days'!$F$620:$H$646,3,FALSE),"")</f>
        <v/>
      </c>
      <c r="BG233" s="95" t="str">
        <f>IFERROR($N233+VLOOKUP($L233,'Voyage days'!$F$620:$H$646,3,FALSE),"")</f>
        <v/>
      </c>
      <c r="BH233" s="131" t="str">
        <f t="shared" si="35"/>
        <v/>
      </c>
      <c r="BI233" s="96" t="str">
        <f>IFERROR($M233+VLOOKUP($L233,'Voyage days'!$F$702:$H$727,3,FALSE),"")</f>
        <v/>
      </c>
      <c r="BJ233" s="131" t="str">
        <f t="shared" si="36"/>
        <v/>
      </c>
      <c r="BK233" s="95" t="str">
        <f>IFERROR($M233+VLOOKUP($L233,'Voyage days'!$F$807:$H$878,3,FALSE),"")</f>
        <v/>
      </c>
      <c r="BL233" s="95" t="str">
        <f>IFERROR($N233+VLOOKUP($L233,'Voyage days'!$F$807:$H$878,3,FALSE),"")</f>
        <v/>
      </c>
      <c r="BM233" s="95" t="str">
        <f>IFERROR($N233+VLOOKUP($L233,'Voyage days'!$F$807:$K$878,6,FALSE),"")</f>
        <v/>
      </c>
      <c r="BN233" s="95" t="str">
        <f>IF(L233="loads AG", IFERROR($M233+VLOOKUP($L233,'Voyage days'!$M$38:$O$38,3,FALSE),""),"")</f>
        <v/>
      </c>
      <c r="BO233" s="95">
        <f>IF(L233="loads USG", IFERROR($M233+VLOOKUP($L233,'Voyage days'!$L$203:$N$203,3,FALSE),""),"")</f>
        <v>46189</v>
      </c>
    </row>
    <row r="234" spans="1:67" ht="15.75" customHeight="1" x14ac:dyDescent="0.25">
      <c r="A234" s="263" t="s">
        <v>227</v>
      </c>
      <c r="B234" s="75">
        <v>43709</v>
      </c>
      <c r="C234" s="76">
        <v>80000</v>
      </c>
      <c r="D234" s="77"/>
      <c r="E234" s="77"/>
      <c r="F234" s="78"/>
      <c r="G234" s="78"/>
      <c r="H234" s="78" t="s">
        <v>739</v>
      </c>
      <c r="I234" s="357" t="s">
        <v>1279</v>
      </c>
      <c r="J234" s="165" t="str">
        <f t="shared" si="40"/>
        <v/>
      </c>
      <c r="K234" s="81"/>
      <c r="L234" s="167" t="s">
        <v>725</v>
      </c>
      <c r="M234" s="83">
        <v>46146</v>
      </c>
      <c r="N234" s="83">
        <v>46147</v>
      </c>
      <c r="O234" s="107"/>
      <c r="P234" s="124" t="s">
        <v>1286</v>
      </c>
      <c r="Q234" s="477"/>
      <c r="R234" s="82" t="s">
        <v>1287</v>
      </c>
      <c r="S234" s="221" t="s">
        <v>724</v>
      </c>
      <c r="T234" s="232">
        <v>46127</v>
      </c>
      <c r="U234" s="87" t="str">
        <f>IF(V234="","No AIS",VLOOKUP(V234,'Voyage days'!$A$3:$B$1480,2,FALSE))</f>
        <v>Panama</v>
      </c>
      <c r="V234" s="88" t="str">
        <f>IF(VLOOKUP(A234,'1) Kpler'!$E$2:$P$1000,8, FALSE)="","",VLOOKUP(A234,'1) Kpler'!$E$2:$P$1000,8, FALSE))</f>
        <v>Panama Canal</v>
      </c>
      <c r="W234" s="89">
        <f>IF(VLOOKUP(A234,'1) Kpler'!$E$2:$P$1000,9,FALSE)="","",VLOOKUP(A234,'1) Kpler'!$E$2:$P$1000,9,FALSE))</f>
        <v>46146.520833333336</v>
      </c>
      <c r="X234" s="88" t="str">
        <f>VLOOKUP(A234,'1) Kpler'!$E$2:$I$1000,4,FALSE)</f>
        <v>ballast</v>
      </c>
      <c r="Y234" s="219" t="str">
        <f t="shared" si="38"/>
        <v/>
      </c>
      <c r="Z234" s="219" t="str">
        <f t="shared" si="1"/>
        <v>14-15 May</v>
      </c>
      <c r="AA234" s="219" t="str">
        <f t="shared" si="2"/>
        <v/>
      </c>
      <c r="AB234" s="219" t="str">
        <f t="shared" si="3"/>
        <v/>
      </c>
      <c r="AC234" s="219" t="str">
        <f t="shared" si="4"/>
        <v/>
      </c>
      <c r="AD234" s="219" t="str">
        <f t="shared" si="5"/>
        <v/>
      </c>
      <c r="AE234" s="220" t="str">
        <f t="shared" si="6"/>
        <v/>
      </c>
      <c r="AF234" s="130" t="str">
        <f t="shared" si="7"/>
        <v/>
      </c>
      <c r="AG234" s="131" t="str">
        <f t="shared" si="26"/>
        <v/>
      </c>
      <c r="AH234" s="95" t="str">
        <f>IFERROR($M234+VLOOKUP($L234,'Voyage days'!$F$38:$H$89,3,FALSE),"")</f>
        <v/>
      </c>
      <c r="AI234" s="95" t="str">
        <f>IFERROR(N234+VLOOKUP($L234,'Voyage days'!$F$38:$H$89,3,FALSE),"")</f>
        <v/>
      </c>
      <c r="AJ234" s="131" t="str">
        <f t="shared" si="27"/>
        <v>14-15 May</v>
      </c>
      <c r="AK234" s="95">
        <f>IFERROR($M234+VLOOKUP($L234,'Voyage days'!$F$94:$H$193,3,FALSE),"")</f>
        <v>46156</v>
      </c>
      <c r="AL234" s="95">
        <f>IFERROR($N234+VLOOKUP($L234,'Voyage days'!$F$94:$H$193,3,FALSE),"")</f>
        <v>46157</v>
      </c>
      <c r="AM234" s="131" t="str">
        <f t="shared" si="28"/>
        <v/>
      </c>
      <c r="AN234" s="95" t="str">
        <f>IFERROR($M234+VLOOKUP($L234,'Voyage days'!$F$203:$H$256,3,FALSE),"")</f>
        <v/>
      </c>
      <c r="AO234" s="95" t="str">
        <f>IFERROR($N234+VLOOKUP($L234,'Voyage days'!$F$203:$H$256,3,FALSE),"")</f>
        <v/>
      </c>
      <c r="AP234" s="131" t="str">
        <f t="shared" si="29"/>
        <v/>
      </c>
      <c r="AQ234" s="95" t="str">
        <f>IFERROR($M234+VLOOKUP($L234,'Voyage days'!$F$294:$H$377,3,FALSE),"")</f>
        <v/>
      </c>
      <c r="AR234" s="95" t="str">
        <f>IFERROR($N234+VLOOKUP($L234,'Voyage days'!$F$294:$H$377,3,FALSE),"")</f>
        <v/>
      </c>
      <c r="AS234" s="131" t="str">
        <f t="shared" si="30"/>
        <v/>
      </c>
      <c r="AT234" s="95" t="str">
        <f>IFERROR($M234+VLOOKUP($L234,'Voyage days'!$F$382:$H$446,3,FALSE),"")</f>
        <v/>
      </c>
      <c r="AU234" s="95" t="str">
        <f>IFERROR($N234+VLOOKUP($L234,'Voyage days'!$F$382:$H$446,3,FALSE),"")</f>
        <v/>
      </c>
      <c r="AV234" s="131" t="str">
        <f t="shared" si="31"/>
        <v/>
      </c>
      <c r="AW234" s="95" t="str">
        <f>IFERROR($M234+VLOOKUP($L234,'Voyage days'!$F$483:$H$538,3,FALSE),"")</f>
        <v/>
      </c>
      <c r="AX234" s="95" t="str">
        <f>IFERROR($N234+VLOOKUP($L234,'Voyage days'!$F$483:$H$538,3,FALSE),"")</f>
        <v/>
      </c>
      <c r="AY234" s="131" t="str">
        <f t="shared" si="32"/>
        <v/>
      </c>
      <c r="AZ234" s="95" t="str">
        <f>IFERROR($M234+VLOOKUP($L234,'Voyage days'!$F$540:$H$613,3,FALSE),"")</f>
        <v/>
      </c>
      <c r="BA234" s="95" t="str">
        <f>IFERROR($N234+VLOOKUP($L234,'Voyage days'!$F$540:$H$613,3,FALSE),"")</f>
        <v/>
      </c>
      <c r="BB234" s="131" t="str">
        <f t="shared" si="33"/>
        <v/>
      </c>
      <c r="BC234" s="95" t="str">
        <f>IFERROR($M234+VLOOKUP($L234,'Voyage days'!$F$448:$H$479,3,FALSE),"")</f>
        <v/>
      </c>
      <c r="BD234" s="95" t="str">
        <f>IFERROR($N234+VLOOKUP($L234,'Voyage days'!$F$448:$H$479,3,FALSE),"")</f>
        <v/>
      </c>
      <c r="BE234" s="131" t="str">
        <f t="shared" si="34"/>
        <v/>
      </c>
      <c r="BF234" s="95" t="str">
        <f>IFERROR($M234+VLOOKUP($L234,'Voyage days'!$F$620:$H$646,3,FALSE),"")</f>
        <v/>
      </c>
      <c r="BG234" s="95" t="str">
        <f>IFERROR($N234+VLOOKUP($L234,'Voyage days'!$F$620:$H$646,3,FALSE),"")</f>
        <v/>
      </c>
      <c r="BH234" s="131" t="str">
        <f t="shared" si="35"/>
        <v/>
      </c>
      <c r="BI234" s="96" t="str">
        <f>IFERROR($M234+VLOOKUP($L234,'Voyage days'!$F$702:$H$727,3,FALSE),"")</f>
        <v/>
      </c>
      <c r="BJ234" s="131" t="str">
        <f t="shared" si="36"/>
        <v/>
      </c>
      <c r="BK234" s="95" t="str">
        <f>IFERROR($M234+VLOOKUP($L234,'Voyage days'!$F$807:$H$878,3,FALSE),"")</f>
        <v/>
      </c>
      <c r="BL234" s="95" t="str">
        <f>IFERROR($N234+VLOOKUP($L234,'Voyage days'!$F$807:$H$878,3,FALSE),"")</f>
        <v/>
      </c>
      <c r="BM234" s="95" t="str">
        <f>IFERROR($N234+VLOOKUP($L234,'Voyage days'!$F$807:$K$878,6,FALSE),"")</f>
        <v/>
      </c>
      <c r="BN234" s="95" t="str">
        <f>IF(L234="loads AG", IFERROR($M234+VLOOKUP($L234,'Voyage days'!$M$38:$O$38,3,FALSE),""),"")</f>
        <v/>
      </c>
      <c r="BO234" s="95" t="str">
        <f>IF(L234="loads USG", IFERROR($M234+VLOOKUP($L234,'Voyage days'!$L$203:$N$203,3,FALSE),""),"")</f>
        <v/>
      </c>
    </row>
    <row r="235" spans="1:67" ht="15.75" customHeight="1" x14ac:dyDescent="0.25">
      <c r="A235" s="53" t="s">
        <v>256</v>
      </c>
      <c r="B235" s="119">
        <v>2022</v>
      </c>
      <c r="C235" s="76">
        <v>91000</v>
      </c>
      <c r="D235" s="77"/>
      <c r="E235" s="77"/>
      <c r="F235" s="78"/>
      <c r="G235" s="78"/>
      <c r="H235" s="78" t="s">
        <v>713</v>
      </c>
      <c r="I235" s="233" t="s">
        <v>1279</v>
      </c>
      <c r="J235" s="80" t="str">
        <f t="shared" si="40"/>
        <v/>
      </c>
      <c r="K235" s="81"/>
      <c r="L235" s="82" t="s">
        <v>718</v>
      </c>
      <c r="M235" s="83">
        <v>46144</v>
      </c>
      <c r="N235" s="83">
        <v>46145</v>
      </c>
      <c r="O235" s="126"/>
      <c r="P235" s="82" t="s">
        <v>1288</v>
      </c>
      <c r="Q235" s="82"/>
      <c r="R235" s="82" t="s">
        <v>1289</v>
      </c>
      <c r="S235" s="221" t="s">
        <v>724</v>
      </c>
      <c r="T235" s="232">
        <v>46132</v>
      </c>
      <c r="U235" s="87" t="str">
        <f>IF(V235="","No AIS",VLOOKUP(V235,'Voyage days'!$A$3:$B$1480,2,FALSE))</f>
        <v>USG</v>
      </c>
      <c r="V235" s="88" t="str">
        <f>IF(VLOOKUP(A235,'1) Kpler'!$E$2:$P$1000,8, FALSE)="","",VLOOKUP(A235,'1) Kpler'!$E$2:$P$1000,8, FALSE))</f>
        <v>Houston</v>
      </c>
      <c r="W235" s="89">
        <f>IF(VLOOKUP(A235,'1) Kpler'!$E$2:$P$1000,9,FALSE)="","",VLOOKUP(A235,'1) Kpler'!$E$2:$P$1000,9,FALSE))</f>
        <v>46142.583333333336</v>
      </c>
      <c r="X235" s="88" t="str">
        <f>VLOOKUP(A235,'1) Kpler'!$E$2:$I$1000,4,FALSE)</f>
        <v>ballast</v>
      </c>
      <c r="Y235" s="63" t="str">
        <f t="shared" si="38"/>
        <v/>
      </c>
      <c r="Z235" s="63" t="str">
        <f t="shared" si="1"/>
        <v>02-03 May</v>
      </c>
      <c r="AA235" s="63" t="str">
        <f t="shared" si="2"/>
        <v>02-03 May</v>
      </c>
      <c r="AB235" s="63" t="str">
        <f t="shared" si="3"/>
        <v/>
      </c>
      <c r="AC235" s="63" t="str">
        <f t="shared" si="4"/>
        <v>22-23 May</v>
      </c>
      <c r="AD235" s="63" t="str">
        <f t="shared" si="5"/>
        <v/>
      </c>
      <c r="AE235" s="129" t="str">
        <f t="shared" si="6"/>
        <v/>
      </c>
      <c r="AF235" s="130" t="str">
        <f t="shared" si="7"/>
        <v/>
      </c>
      <c r="AG235" s="93" t="str">
        <f t="shared" si="26"/>
        <v/>
      </c>
      <c r="AH235" s="94" t="str">
        <f>IFERROR($M235+VLOOKUP($L235,'Voyage days'!$F$38:$H$89,3,FALSE),"")</f>
        <v/>
      </c>
      <c r="AI235" s="94" t="str">
        <f>IFERROR(N235+VLOOKUP($L235,'Voyage days'!$F$38:$H$89,3,FALSE),"")</f>
        <v/>
      </c>
      <c r="AJ235" s="93" t="str">
        <f t="shared" si="27"/>
        <v>02-03 May</v>
      </c>
      <c r="AK235" s="94">
        <f>IFERROR($M235+VLOOKUP($L235,'Voyage days'!$F$94:$H$193,3,FALSE),"")</f>
        <v>46144</v>
      </c>
      <c r="AL235" s="94">
        <f>IFERROR($N235+VLOOKUP($L235,'Voyage days'!$F$94:$H$193,3,FALSE),"")</f>
        <v>46145</v>
      </c>
      <c r="AM235" s="93" t="str">
        <f t="shared" si="28"/>
        <v>02-03 May</v>
      </c>
      <c r="AN235" s="94">
        <f>IFERROR($M235+VLOOKUP($L235,'Voyage days'!$F$203:$H$256,3,FALSE),"")</f>
        <v>46144</v>
      </c>
      <c r="AO235" s="94">
        <f>IFERROR($N235+VLOOKUP($L235,'Voyage days'!$F$203:$H$256,3,FALSE),"")</f>
        <v>46145</v>
      </c>
      <c r="AP235" s="93" t="str">
        <f t="shared" si="29"/>
        <v/>
      </c>
      <c r="AQ235" s="94" t="str">
        <f>IFERROR($M235+VLOOKUP($L235,'Voyage days'!$F$294:$H$377,3,FALSE),"")</f>
        <v/>
      </c>
      <c r="AR235" s="94" t="str">
        <f>IFERROR($N235+VLOOKUP($L235,'Voyage days'!$F$294:$H$377,3,FALSE),"")</f>
        <v/>
      </c>
      <c r="AS235" s="93" t="str">
        <f t="shared" si="30"/>
        <v>22-23 May</v>
      </c>
      <c r="AT235" s="94">
        <f>IFERROR($M235+VLOOKUP($L235,'Voyage days'!$F$382:$H$446,3,FALSE),"")</f>
        <v>46164</v>
      </c>
      <c r="AU235" s="94">
        <f>IFERROR($N235+VLOOKUP($L235,'Voyage days'!$F$382:$H$446,3,FALSE),"")</f>
        <v>46165</v>
      </c>
      <c r="AV235" s="93" t="str">
        <f t="shared" si="31"/>
        <v/>
      </c>
      <c r="AW235" s="94" t="str">
        <f>IFERROR($M235+VLOOKUP($L235,'Voyage days'!$F$483:$H$538,3,FALSE),"")</f>
        <v/>
      </c>
      <c r="AX235" s="94" t="str">
        <f>IFERROR($N235+VLOOKUP($L235,'Voyage days'!$F$483:$H$538,3,FALSE),"")</f>
        <v/>
      </c>
      <c r="AY235" s="93" t="str">
        <f t="shared" si="32"/>
        <v/>
      </c>
      <c r="AZ235" s="94" t="str">
        <f>IFERROR($M235+VLOOKUP($L235,'Voyage days'!$F$540:$H$613,3,FALSE),"")</f>
        <v/>
      </c>
      <c r="BA235" s="94" t="str">
        <f>IFERROR($N235+VLOOKUP($L235,'Voyage days'!$F$540:$H$613,3,FALSE),"")</f>
        <v/>
      </c>
      <c r="BB235" s="93" t="str">
        <f t="shared" si="33"/>
        <v/>
      </c>
      <c r="BC235" s="94" t="str">
        <f>IFERROR($M235+VLOOKUP($L235,'Voyage days'!$F$448:$H$479,3,FALSE),"")</f>
        <v/>
      </c>
      <c r="BD235" s="94" t="str">
        <f>IFERROR($N235+VLOOKUP($L235,'Voyage days'!$F$448:$H$479,3,FALSE),"")</f>
        <v/>
      </c>
      <c r="BE235" s="93" t="str">
        <f t="shared" si="34"/>
        <v/>
      </c>
      <c r="BF235" s="95" t="str">
        <f>IFERROR($M235+VLOOKUP($L235,'Voyage days'!$F$620:$H$646,3,FALSE),"")</f>
        <v/>
      </c>
      <c r="BG235" s="95" t="str">
        <f>IFERROR($N235+VLOOKUP($L235,'Voyage days'!$F$620:$H$646,3,FALSE),"")</f>
        <v/>
      </c>
      <c r="BH235" s="93" t="str">
        <f t="shared" si="35"/>
        <v/>
      </c>
      <c r="BI235" s="96" t="str">
        <f>IFERROR($M235+VLOOKUP($L235,'Voyage days'!$F$702:$H$727,3,FALSE),"")</f>
        <v/>
      </c>
      <c r="BJ235" s="93" t="str">
        <f t="shared" si="36"/>
        <v/>
      </c>
      <c r="BK235" s="95" t="str">
        <f>IFERROR($M235+VLOOKUP($L235,'Voyage days'!$F$807:$H$878,3,FALSE),"")</f>
        <v/>
      </c>
      <c r="BL235" s="95" t="str">
        <f>IFERROR($N235+VLOOKUP($L235,'Voyage days'!$F$807:$H$878,3,FALSE),"")</f>
        <v/>
      </c>
      <c r="BM235" s="95" t="str">
        <f>IFERROR($N235+VLOOKUP($L235,'Voyage days'!$F$807:$K$878,6,FALSE),"")</f>
        <v/>
      </c>
      <c r="BN235" s="94" t="str">
        <f>IF(L235="loads AG", IFERROR($M235+VLOOKUP($L235,'Voyage days'!$M$38:$O$38,3,FALSE),""),"")</f>
        <v/>
      </c>
      <c r="BO235" s="94">
        <f>IF(L235="loads USG", IFERROR($M235+VLOOKUP($L235,'Voyage days'!$L$203:$N$203,3,FALSE),""),"")</f>
        <v>46176</v>
      </c>
    </row>
    <row r="236" spans="1:67" ht="15.75" customHeight="1" x14ac:dyDescent="0.25">
      <c r="A236" s="479" t="s">
        <v>308</v>
      </c>
      <c r="B236" s="428">
        <v>2026</v>
      </c>
      <c r="C236" s="76">
        <v>90964</v>
      </c>
      <c r="D236" s="77"/>
      <c r="E236" s="77"/>
      <c r="F236" s="78"/>
      <c r="G236" s="78"/>
      <c r="H236" s="78"/>
      <c r="I236" s="233" t="s">
        <v>1279</v>
      </c>
      <c r="J236" s="80" t="str">
        <f t="shared" si="40"/>
        <v/>
      </c>
      <c r="K236" s="81"/>
      <c r="L236" s="82" t="s">
        <v>718</v>
      </c>
      <c r="M236" s="83">
        <v>46156</v>
      </c>
      <c r="N236" s="83">
        <v>46157</v>
      </c>
      <c r="O236" s="126"/>
      <c r="P236" s="82" t="s">
        <v>889</v>
      </c>
      <c r="Q236" s="82"/>
      <c r="R236" s="82" t="s">
        <v>1290</v>
      </c>
      <c r="S236" s="221" t="s">
        <v>724</v>
      </c>
      <c r="T236" s="232">
        <v>46132</v>
      </c>
      <c r="U236" s="87" t="str">
        <f>IF(V236="","No AIS",VLOOKUP(V236,'Voyage days'!$A$3:$B$1480,2,FALSE))</f>
        <v>Panama</v>
      </c>
      <c r="V236" s="88" t="str">
        <f>IF(VLOOKUP(A236,'1) Kpler'!$E$2:$P$1000,8, FALSE)="","",VLOOKUP(A236,'1) Kpler'!$E$2:$P$1000,8, FALSE))</f>
        <v>Panama Canal</v>
      </c>
      <c r="W236" s="89">
        <f>IF(VLOOKUP(A236,'1) Kpler'!$E$2:$P$1000,9,FALSE)="","",VLOOKUP(A236,'1) Kpler'!$E$2:$P$1000,9,FALSE))</f>
        <v>46144.916666666664</v>
      </c>
      <c r="X236" s="88" t="str">
        <f>VLOOKUP(A236,'1) Kpler'!$E$2:$I$1000,4,FALSE)</f>
        <v>ballast</v>
      </c>
      <c r="Y236" s="63" t="str">
        <f t="shared" si="38"/>
        <v/>
      </c>
      <c r="Z236" s="63" t="str">
        <f t="shared" si="1"/>
        <v>14-15 May</v>
      </c>
      <c r="AA236" s="63" t="str">
        <f t="shared" si="2"/>
        <v>14-15 May</v>
      </c>
      <c r="AB236" s="63" t="str">
        <f t="shared" si="3"/>
        <v/>
      </c>
      <c r="AC236" s="63" t="str">
        <f t="shared" si="4"/>
        <v>03-04 Jun</v>
      </c>
      <c r="AD236" s="63" t="str">
        <f t="shared" si="5"/>
        <v/>
      </c>
      <c r="AE236" s="129" t="str">
        <f t="shared" si="6"/>
        <v/>
      </c>
      <c r="AF236" s="130" t="str">
        <f t="shared" si="7"/>
        <v/>
      </c>
      <c r="AG236" s="93" t="str">
        <f t="shared" si="26"/>
        <v/>
      </c>
      <c r="AH236" s="94" t="str">
        <f>IFERROR($M236+VLOOKUP($L236,'Voyage days'!$F$38:$H$89,3,FALSE),"")</f>
        <v/>
      </c>
      <c r="AI236" s="94" t="str">
        <f>IFERROR(N236+VLOOKUP($L236,'Voyage days'!$F$38:$H$89,3,FALSE),"")</f>
        <v/>
      </c>
      <c r="AJ236" s="93" t="str">
        <f t="shared" si="27"/>
        <v>14-15 May</v>
      </c>
      <c r="AK236" s="94">
        <f>IFERROR($M236+VLOOKUP($L236,'Voyage days'!$F$94:$H$193,3,FALSE),"")</f>
        <v>46156</v>
      </c>
      <c r="AL236" s="94">
        <f>IFERROR($N236+VLOOKUP($L236,'Voyage days'!$F$94:$H$193,3,FALSE),"")</f>
        <v>46157</v>
      </c>
      <c r="AM236" s="93" t="str">
        <f t="shared" si="28"/>
        <v>14-15 May</v>
      </c>
      <c r="AN236" s="94">
        <f>IFERROR($M236+VLOOKUP($L236,'Voyage days'!$F$203:$H$256,3,FALSE),"")</f>
        <v>46156</v>
      </c>
      <c r="AO236" s="94">
        <f>IFERROR($N236+VLOOKUP($L236,'Voyage days'!$F$203:$H$256,3,FALSE),"")</f>
        <v>46157</v>
      </c>
      <c r="AP236" s="93" t="str">
        <f t="shared" si="29"/>
        <v/>
      </c>
      <c r="AQ236" s="94" t="str">
        <f>IFERROR($M236+VLOOKUP($L236,'Voyage days'!$F$294:$H$377,3,FALSE),"")</f>
        <v/>
      </c>
      <c r="AR236" s="94" t="str">
        <f>IFERROR($N236+VLOOKUP($L236,'Voyage days'!$F$294:$H$377,3,FALSE),"")</f>
        <v/>
      </c>
      <c r="AS236" s="93" t="str">
        <f t="shared" si="30"/>
        <v>03-04 Jun</v>
      </c>
      <c r="AT236" s="94">
        <f>IFERROR($M236+VLOOKUP($L236,'Voyage days'!$F$382:$H$446,3,FALSE),"")</f>
        <v>46176</v>
      </c>
      <c r="AU236" s="94">
        <f>IFERROR($N236+VLOOKUP($L236,'Voyage days'!$F$382:$H$446,3,FALSE),"")</f>
        <v>46177</v>
      </c>
      <c r="AV236" s="93" t="str">
        <f t="shared" si="31"/>
        <v/>
      </c>
      <c r="AW236" s="94" t="str">
        <f>IFERROR($M236+VLOOKUP($L236,'Voyage days'!$F$483:$H$538,3,FALSE),"")</f>
        <v/>
      </c>
      <c r="AX236" s="94" t="str">
        <f>IFERROR($N236+VLOOKUP($L236,'Voyage days'!$F$483:$H$538,3,FALSE),"")</f>
        <v/>
      </c>
      <c r="AY236" s="93" t="str">
        <f t="shared" si="32"/>
        <v/>
      </c>
      <c r="AZ236" s="94" t="str">
        <f>IFERROR($M236+VLOOKUP($L236,'Voyage days'!$F$540:$H$613,3,FALSE),"")</f>
        <v/>
      </c>
      <c r="BA236" s="94" t="str">
        <f>IFERROR($N236+VLOOKUP($L236,'Voyage days'!$F$540:$H$613,3,FALSE),"")</f>
        <v/>
      </c>
      <c r="BB236" s="93" t="str">
        <f t="shared" si="33"/>
        <v/>
      </c>
      <c r="BC236" s="94" t="str">
        <f>IFERROR($M236+VLOOKUP($L236,'Voyage days'!$F$448:$H$479,3,FALSE),"")</f>
        <v/>
      </c>
      <c r="BD236" s="94" t="str">
        <f>IFERROR($N236+VLOOKUP($L236,'Voyage days'!$F$448:$H$479,3,FALSE),"")</f>
        <v/>
      </c>
      <c r="BE236" s="93" t="str">
        <f t="shared" si="34"/>
        <v/>
      </c>
      <c r="BF236" s="95" t="str">
        <f>IFERROR($M236+VLOOKUP($L236,'Voyage days'!$F$620:$H$646,3,FALSE),"")</f>
        <v/>
      </c>
      <c r="BG236" s="95" t="str">
        <f>IFERROR($N236+VLOOKUP($L236,'Voyage days'!$F$620:$H$646,3,FALSE),"")</f>
        <v/>
      </c>
      <c r="BH236" s="93" t="str">
        <f t="shared" si="35"/>
        <v/>
      </c>
      <c r="BI236" s="96" t="str">
        <f>IFERROR($M236+VLOOKUP($L236,'Voyage days'!$F$702:$H$727,3,FALSE),"")</f>
        <v/>
      </c>
      <c r="BJ236" s="93" t="str">
        <f t="shared" si="36"/>
        <v/>
      </c>
      <c r="BK236" s="95" t="str">
        <f>IFERROR($M236+VLOOKUP($L236,'Voyage days'!$F$807:$H$878,3,FALSE),"")</f>
        <v/>
      </c>
      <c r="BL236" s="95" t="str">
        <f>IFERROR($N236+VLOOKUP($L236,'Voyage days'!$F$807:$H$878,3,FALSE),"")</f>
        <v/>
      </c>
      <c r="BM236" s="95" t="str">
        <f>IFERROR($N236+VLOOKUP($L236,'Voyage days'!$F$807:$K$878,6,FALSE),"")</f>
        <v/>
      </c>
      <c r="BN236" s="94" t="str">
        <f>IF(L236="loads AG", IFERROR($M236+VLOOKUP($L236,'Voyage days'!$M$38:$O$38,3,FALSE),""),"")</f>
        <v/>
      </c>
      <c r="BO236" s="94">
        <f>IF(L236="loads USG", IFERROR($M236+VLOOKUP($L236,'Voyage days'!$L$203:$N$203,3,FALSE),""),"")</f>
        <v>46188</v>
      </c>
    </row>
    <row r="237" spans="1:67" ht="15.75" customHeight="1" x14ac:dyDescent="0.25">
      <c r="A237" s="480" t="s">
        <v>366</v>
      </c>
      <c r="B237" s="428">
        <v>2023</v>
      </c>
      <c r="C237" s="76">
        <v>86000</v>
      </c>
      <c r="D237" s="77"/>
      <c r="E237" s="77"/>
      <c r="F237" s="78"/>
      <c r="G237" s="78"/>
      <c r="H237" s="78" t="s">
        <v>713</v>
      </c>
      <c r="I237" s="233" t="s">
        <v>1279</v>
      </c>
      <c r="J237" s="80" t="str">
        <f t="shared" si="40"/>
        <v/>
      </c>
      <c r="K237" s="81"/>
      <c r="L237" s="82" t="s">
        <v>710</v>
      </c>
      <c r="M237" s="83">
        <v>46140</v>
      </c>
      <c r="N237" s="83">
        <v>46142</v>
      </c>
      <c r="O237" s="84"/>
      <c r="P237" s="124" t="s">
        <v>1291</v>
      </c>
      <c r="Q237" s="481"/>
      <c r="R237" s="82" t="s">
        <v>1292</v>
      </c>
      <c r="S237" s="221" t="s">
        <v>724</v>
      </c>
      <c r="T237" s="232">
        <v>46132</v>
      </c>
      <c r="U237" s="87" t="str">
        <f>IF(V237="","No AIS",VLOOKUP(V237,'Voyage days'!$A$3:$B$1480,2,FALSE))</f>
        <v>East China + 4</v>
      </c>
      <c r="V237" s="88" t="str">
        <f>IF(VLOOKUP(A237,'1) Kpler'!$E$2:$P$1000,8, FALSE)="","",VLOOKUP(A237,'1) Kpler'!$E$2:$P$1000,8, FALSE))</f>
        <v>Ningbo Area</v>
      </c>
      <c r="W237" s="89">
        <f>IF(VLOOKUP(A237,'1) Kpler'!$E$2:$P$1000,9,FALSE)="","",VLOOKUP(A237,'1) Kpler'!$E$2:$P$1000,9,FALSE))</f>
        <v>46136.5</v>
      </c>
      <c r="X237" s="88" t="str">
        <f>VLOOKUP(A237,'1) Kpler'!$E$2:$I$1000,4,FALSE)</f>
        <v>loaded</v>
      </c>
      <c r="Y237" s="90" t="str">
        <f t="shared" si="38"/>
        <v>15-17 May</v>
      </c>
      <c r="Z237" s="90" t="str">
        <f t="shared" si="1"/>
        <v>30-01 Jun</v>
      </c>
      <c r="AA237" s="90" t="str">
        <f t="shared" si="2"/>
        <v>11-13 Jun</v>
      </c>
      <c r="AB237" s="90" t="str">
        <f t="shared" si="3"/>
        <v>26-28 May</v>
      </c>
      <c r="AC237" s="90" t="str">
        <f t="shared" si="4"/>
        <v>02-04 Jun</v>
      </c>
      <c r="AD237" s="90" t="str">
        <f t="shared" si="5"/>
        <v>04-06 May</v>
      </c>
      <c r="AE237" s="91" t="str">
        <f t="shared" si="6"/>
        <v>05-07 May</v>
      </c>
      <c r="AF237" s="92" t="str">
        <f t="shared" si="7"/>
        <v>11-13 Jun</v>
      </c>
      <c r="AG237" s="93" t="str">
        <f t="shared" si="26"/>
        <v>15-17 May</v>
      </c>
      <c r="AH237" s="94">
        <f>IFERROR($M237+VLOOKUP($L237,'Voyage days'!$F$38:$H$89,3,FALSE),"")</f>
        <v>46157</v>
      </c>
      <c r="AI237" s="94">
        <f>IFERROR(N237+VLOOKUP($L237,'Voyage days'!$F$38:$H$89,3,FALSE),"")</f>
        <v>46159</v>
      </c>
      <c r="AJ237" s="93" t="str">
        <f t="shared" si="27"/>
        <v>30-01 Jun</v>
      </c>
      <c r="AK237" s="94">
        <f>IFERROR($M237+VLOOKUP($L237,'Voyage days'!$F$94:$H$193,3,FALSE),"")</f>
        <v>46172</v>
      </c>
      <c r="AL237" s="94">
        <f>IFERROR($N237+VLOOKUP($L237,'Voyage days'!$F$94:$H$193,3,FALSE),"")</f>
        <v>46174</v>
      </c>
      <c r="AM237" s="93" t="str">
        <f t="shared" si="28"/>
        <v>11-13 Jun</v>
      </c>
      <c r="AN237" s="94">
        <f>IFERROR($M237+VLOOKUP($L237,'Voyage days'!$F$203:$H$256,3,FALSE),"")</f>
        <v>46184</v>
      </c>
      <c r="AO237" s="94">
        <f>IFERROR($N237+VLOOKUP($L237,'Voyage days'!$F$203:$H$256,3,FALSE),"")</f>
        <v>46186</v>
      </c>
      <c r="AP237" s="93" t="str">
        <f t="shared" si="29"/>
        <v>26-28 May</v>
      </c>
      <c r="AQ237" s="94">
        <f>IFERROR($M237+VLOOKUP($L237,'Voyage days'!$F$294:$H$377,3,FALSE),"")</f>
        <v>46168</v>
      </c>
      <c r="AR237" s="94">
        <f>IFERROR($N237+VLOOKUP($L237,'Voyage days'!$F$294:$H$377,3,FALSE),"")</f>
        <v>46170</v>
      </c>
      <c r="AS237" s="93" t="str">
        <f t="shared" si="30"/>
        <v>02-04 Jun</v>
      </c>
      <c r="AT237" s="94">
        <f>IFERROR($M237+VLOOKUP($L237,'Voyage days'!$F$382:$H$446,3,FALSE),"")</f>
        <v>46175</v>
      </c>
      <c r="AU237" s="94">
        <f>IFERROR($N237+VLOOKUP($L237,'Voyage days'!$F$382:$H$446,3,FALSE),"")</f>
        <v>46177</v>
      </c>
      <c r="AV237" s="93" t="str">
        <f t="shared" si="31"/>
        <v>12-14 May</v>
      </c>
      <c r="AW237" s="94">
        <f>IFERROR($M237+VLOOKUP($L237,'Voyage days'!$F$483:$H$538,3,FALSE),"")</f>
        <v>46154</v>
      </c>
      <c r="AX237" s="94">
        <f>IFERROR($N237+VLOOKUP($L237,'Voyage days'!$F$483:$H$538,3,FALSE),"")</f>
        <v>46156</v>
      </c>
      <c r="AY237" s="93" t="str">
        <f t="shared" si="32"/>
        <v>05-07 May</v>
      </c>
      <c r="AZ237" s="94">
        <f>IFERROR($M237+VLOOKUP($L237,'Voyage days'!$F$540:$H$613,3,FALSE),"")</f>
        <v>46147.25</v>
      </c>
      <c r="BA237" s="94">
        <f>IFERROR($N237+VLOOKUP($L237,'Voyage days'!$F$540:$H$613,3,FALSE),"")</f>
        <v>46149.25</v>
      </c>
      <c r="BB237" s="93" t="str">
        <f t="shared" si="33"/>
        <v>04-06 May</v>
      </c>
      <c r="BC237" s="94">
        <f>IFERROR($M237+VLOOKUP($L237,'Voyage days'!$F$448:$H$479,3,FALSE),"")</f>
        <v>46146</v>
      </c>
      <c r="BD237" s="94">
        <f>IFERROR($N237+VLOOKUP($L237,'Voyage days'!$F$448:$H$479,3,FALSE),"")</f>
        <v>46148</v>
      </c>
      <c r="BE237" s="93" t="str">
        <f t="shared" si="34"/>
        <v>11-13 May</v>
      </c>
      <c r="BF237" s="95">
        <f>IFERROR($M237+VLOOKUP($L237,'Voyage days'!$F$620:$H$646,3,FALSE),"")</f>
        <v>46153</v>
      </c>
      <c r="BG237" s="95">
        <f>IFERROR($N237+VLOOKUP($L237,'Voyage days'!$F$620:$H$646,3,FALSE),"")</f>
        <v>46155</v>
      </c>
      <c r="BH237" s="93" t="str">
        <f t="shared" si="35"/>
        <v>05-13 Jun</v>
      </c>
      <c r="BI237" s="96">
        <f>IFERROR($M237+VLOOKUP($L237,'Voyage days'!$F$702:$H$727,3,FALSE),"")</f>
        <v>46147.25</v>
      </c>
      <c r="BJ237" s="93" t="str">
        <f t="shared" si="36"/>
        <v>11-13 Jun</v>
      </c>
      <c r="BK237" s="95">
        <f>IFERROR($M237+VLOOKUP($L237,'Voyage days'!$F$807:$H$878,3,FALSE),"")</f>
        <v>46184</v>
      </c>
      <c r="BL237" s="95">
        <f>IFERROR($N237+VLOOKUP($L237,'Voyage days'!$F$807:$H$878,3,FALSE),"")</f>
        <v>46186</v>
      </c>
      <c r="BM237" s="95">
        <f>IFERROR($N237+VLOOKUP($L237,'Voyage days'!$F$807:$K$878,6,FALSE),"")</f>
        <v>46160</v>
      </c>
      <c r="BN237" s="94" t="str">
        <f>IF(L237="loads AG", IFERROR($M237+VLOOKUP($L237,'Voyage days'!$M$38:$O$38,3,FALSE),""),"")</f>
        <v/>
      </c>
      <c r="BO237" s="94" t="str">
        <f>IF(L237="loads USG", IFERROR($M237+VLOOKUP($L237,'Voyage days'!$L$203:$N$203,3,FALSE),""),"")</f>
        <v/>
      </c>
    </row>
    <row r="238" spans="1:67" ht="15.75" customHeight="1" x14ac:dyDescent="0.25">
      <c r="A238" s="236" t="s">
        <v>445</v>
      </c>
      <c r="B238" s="428">
        <v>2023</v>
      </c>
      <c r="C238" s="76">
        <v>86000</v>
      </c>
      <c r="D238" s="77"/>
      <c r="E238" s="77"/>
      <c r="F238" s="78"/>
      <c r="G238" s="78"/>
      <c r="H238" s="78"/>
      <c r="I238" s="233" t="s">
        <v>1279</v>
      </c>
      <c r="J238" s="80" t="str">
        <f t="shared" si="40"/>
        <v/>
      </c>
      <c r="K238" s="81"/>
      <c r="L238" s="85" t="s">
        <v>1293</v>
      </c>
      <c r="M238" s="83">
        <v>46132</v>
      </c>
      <c r="N238" s="83">
        <v>46133</v>
      </c>
      <c r="O238" s="84" t="s">
        <v>726</v>
      </c>
      <c r="P238" s="82" t="s">
        <v>1294</v>
      </c>
      <c r="Q238" s="85"/>
      <c r="R238" s="82" t="s">
        <v>1295</v>
      </c>
      <c r="S238" s="221" t="s">
        <v>724</v>
      </c>
      <c r="T238" s="232">
        <v>46132</v>
      </c>
      <c r="U238" s="87" t="str">
        <f>IF(V238="","No AIS",VLOOKUP(V238,'Voyage days'!$A$3:$B$1480,2,FALSE))</f>
        <v>Caribs</v>
      </c>
      <c r="V238" s="88" t="str">
        <f>IF(VLOOKUP(A238,'1) Kpler'!$E$2:$P$1000,8, FALSE)="","",VLOOKUP(A238,'1) Kpler'!$E$2:$P$1000,8, FALSE))</f>
        <v>Kingston LPG</v>
      </c>
      <c r="W238" s="89">
        <f>IF(VLOOKUP(A238,'1) Kpler'!$E$2:$P$1000,9,FALSE)="","",VLOOKUP(A238,'1) Kpler'!$E$2:$P$1000,9,FALSE))</f>
        <v>46132.125</v>
      </c>
      <c r="X238" s="88" t="str">
        <f>VLOOKUP(A238,'1) Kpler'!$E$2:$I$1000,4,FALSE)</f>
        <v>loaded</v>
      </c>
      <c r="Y238" s="63" t="str">
        <f t="shared" si="38"/>
        <v/>
      </c>
      <c r="Z238" s="63" t="str">
        <f t="shared" si="1"/>
        <v>26-27 Apr</v>
      </c>
      <c r="AA238" s="63" t="str">
        <f t="shared" si="2"/>
        <v>26-27 Apr</v>
      </c>
      <c r="AB238" s="63" t="str">
        <f t="shared" si="3"/>
        <v>02-03 May</v>
      </c>
      <c r="AC238" s="63" t="str">
        <f t="shared" si="4"/>
        <v>30-01 May</v>
      </c>
      <c r="AD238" s="63" t="str">
        <f t="shared" si="5"/>
        <v/>
      </c>
      <c r="AE238" s="129" t="str">
        <f t="shared" si="6"/>
        <v/>
      </c>
      <c r="AF238" s="130" t="str">
        <f t="shared" si="7"/>
        <v>20-21 Apr</v>
      </c>
      <c r="AG238" s="93" t="str">
        <f t="shared" si="26"/>
        <v/>
      </c>
      <c r="AH238" s="94" t="str">
        <f>IFERROR($M238+VLOOKUP($L238,'Voyage days'!$F$38:$H$89,3,FALSE),"")</f>
        <v/>
      </c>
      <c r="AI238" s="94" t="str">
        <f>IFERROR(N238+VLOOKUP($L238,'Voyage days'!$F$38:$H$89,3,FALSE),"")</f>
        <v/>
      </c>
      <c r="AJ238" s="93" t="str">
        <f t="shared" si="27"/>
        <v>26-27 Apr</v>
      </c>
      <c r="AK238" s="94">
        <f>IFERROR($M238+VLOOKUP($L238,'Voyage days'!$F$94:$H$193,3,FALSE),"")</f>
        <v>46138</v>
      </c>
      <c r="AL238" s="94">
        <f>IFERROR($N238+VLOOKUP($L238,'Voyage days'!$F$94:$H$193,3,FALSE),"")</f>
        <v>46139</v>
      </c>
      <c r="AM238" s="93" t="str">
        <f t="shared" si="28"/>
        <v>26-27 Apr</v>
      </c>
      <c r="AN238" s="94">
        <f>IFERROR($M238+VLOOKUP($L238,'Voyage days'!$F$203:$H$256,3,FALSE),"")</f>
        <v>46138</v>
      </c>
      <c r="AO238" s="94">
        <f>IFERROR($N238+VLOOKUP($L238,'Voyage days'!$F$203:$H$256,3,FALSE),"")</f>
        <v>46139</v>
      </c>
      <c r="AP238" s="93" t="str">
        <f t="shared" si="29"/>
        <v>02-03 May</v>
      </c>
      <c r="AQ238" s="94">
        <f>IFERROR($M238+VLOOKUP($L238,'Voyage days'!$F$294:$H$377,3,FALSE),"")</f>
        <v>46144</v>
      </c>
      <c r="AR238" s="94">
        <f>IFERROR($N238+VLOOKUP($L238,'Voyage days'!$F$294:$H$377,3,FALSE),"")</f>
        <v>46145</v>
      </c>
      <c r="AS238" s="93" t="str">
        <f t="shared" si="30"/>
        <v>30-01 May</v>
      </c>
      <c r="AT238" s="94">
        <f>IFERROR($M238+VLOOKUP($L238,'Voyage days'!$F$382:$H$446,3,FALSE),"")</f>
        <v>46142</v>
      </c>
      <c r="AU238" s="94">
        <f>IFERROR($N238+VLOOKUP($L238,'Voyage days'!$F$382:$H$446,3,FALSE),"")</f>
        <v>46143</v>
      </c>
      <c r="AV238" s="93" t="str">
        <f t="shared" si="31"/>
        <v/>
      </c>
      <c r="AW238" s="94" t="str">
        <f>IFERROR($M238+VLOOKUP($L238,'Voyage days'!$F$483:$H$538,3,FALSE),"")</f>
        <v/>
      </c>
      <c r="AX238" s="94" t="str">
        <f>IFERROR($N238+VLOOKUP($L238,'Voyage days'!$F$483:$H$538,3,FALSE),"")</f>
        <v/>
      </c>
      <c r="AY238" s="93" t="str">
        <f t="shared" si="32"/>
        <v/>
      </c>
      <c r="AZ238" s="94" t="str">
        <f>IFERROR($M238+VLOOKUP($L238,'Voyage days'!$F$540:$H$613,3,FALSE),"")</f>
        <v/>
      </c>
      <c r="BA238" s="94" t="str">
        <f>IFERROR($N238+VLOOKUP($L238,'Voyage days'!$F$540:$H$613,3,FALSE),"")</f>
        <v/>
      </c>
      <c r="BB238" s="93" t="str">
        <f t="shared" si="33"/>
        <v/>
      </c>
      <c r="BC238" s="94" t="str">
        <f>IFERROR($M238+VLOOKUP($L238,'Voyage days'!$F$448:$H$479,3,FALSE),"")</f>
        <v/>
      </c>
      <c r="BD238" s="94" t="str">
        <f>IFERROR($N238+VLOOKUP($L238,'Voyage days'!$F$448:$H$479,3,FALSE),"")</f>
        <v/>
      </c>
      <c r="BE238" s="93" t="str">
        <f t="shared" si="34"/>
        <v/>
      </c>
      <c r="BF238" s="95" t="str">
        <f>IFERROR($M238+VLOOKUP($L238,'Voyage days'!$F$620:$H$646,3,FALSE),"")</f>
        <v/>
      </c>
      <c r="BG238" s="95" t="str">
        <f>IFERROR($N238+VLOOKUP($L238,'Voyage days'!$F$620:$H$646,3,FALSE),"")</f>
        <v/>
      </c>
      <c r="BH238" s="93" t="str">
        <f t="shared" si="35"/>
        <v/>
      </c>
      <c r="BI238" s="96" t="str">
        <f>IFERROR($M238+VLOOKUP($L238,'Voyage days'!$F$702:$H$727,3,FALSE),"")</f>
        <v/>
      </c>
      <c r="BJ238" s="93" t="str">
        <f t="shared" si="36"/>
        <v>20-21 Apr</v>
      </c>
      <c r="BK238" s="95">
        <f>IFERROR($M238+VLOOKUP($L238,'Voyage days'!$F$807:$H$878,3,FALSE),"")</f>
        <v>46132</v>
      </c>
      <c r="BL238" s="95">
        <f>IFERROR($N238+VLOOKUP($L238,'Voyage days'!$F$807:$H$878,3,FALSE),"")</f>
        <v>46133</v>
      </c>
      <c r="BM238" s="95">
        <f>IFERROR($N238+VLOOKUP($L238,'Voyage days'!$F$807:$K$878,6,FALSE),"")</f>
        <v>46133</v>
      </c>
      <c r="BN238" s="94" t="str">
        <f>IF(L238="loads AG", IFERROR($M238+VLOOKUP($L238,'Voyage days'!$M$38:$O$38,3,FALSE),""),"")</f>
        <v/>
      </c>
      <c r="BO238" s="94" t="str">
        <f>IF(L238="loads USG", IFERROR($M238+VLOOKUP($L238,'Voyage days'!$L$203:$N$203,3,FALSE),""),"")</f>
        <v/>
      </c>
    </row>
    <row r="239" spans="1:67" ht="15.75" customHeight="1" x14ac:dyDescent="0.25">
      <c r="A239" s="53" t="s">
        <v>462</v>
      </c>
      <c r="B239" s="119">
        <v>2016</v>
      </c>
      <c r="C239" s="76">
        <v>83000</v>
      </c>
      <c r="D239" s="77"/>
      <c r="E239" s="77"/>
      <c r="F239" s="78"/>
      <c r="G239" s="78"/>
      <c r="H239" s="78" t="s">
        <v>739</v>
      </c>
      <c r="I239" s="233" t="s">
        <v>1279</v>
      </c>
      <c r="J239" s="261" t="str">
        <f t="shared" si="40"/>
        <v/>
      </c>
      <c r="K239" s="81"/>
      <c r="L239" s="82" t="s">
        <v>1079</v>
      </c>
      <c r="M239" s="83">
        <v>46139</v>
      </c>
      <c r="N239" s="83">
        <v>46140</v>
      </c>
      <c r="O239" s="84"/>
      <c r="P239" s="82" t="s">
        <v>1296</v>
      </c>
      <c r="Q239" s="82"/>
      <c r="R239" s="82" t="s">
        <v>1297</v>
      </c>
      <c r="S239" s="221" t="s">
        <v>724</v>
      </c>
      <c r="T239" s="86">
        <v>46132</v>
      </c>
      <c r="U239" s="87" t="str">
        <f>IF(V239="","No AIS",VLOOKUP(V239,'Voyage days'!$A$3:$B$1480,2,FALSE))</f>
        <v>WCI + 5</v>
      </c>
      <c r="V239" s="88" t="str">
        <f>IF(VLOOKUP(A239,'1) Kpler'!$E$2:$P$1000,8, FALSE)="","",VLOOKUP(A239,'1) Kpler'!$E$2:$P$1000,8, FALSE))</f>
        <v>Mangalore</v>
      </c>
      <c r="W239" s="89">
        <f>IF(VLOOKUP(A239,'1) Kpler'!$E$2:$P$1000,9,FALSE)="","",VLOOKUP(A239,'1) Kpler'!$E$2:$P$1000,9,FALSE))</f>
        <v>46134.208333333336</v>
      </c>
      <c r="X239" s="88" t="str">
        <f>VLOOKUP(A239,'1) Kpler'!$E$2:$I$1000,4,FALSE)</f>
        <v>loaded</v>
      </c>
      <c r="Y239" s="90" t="str">
        <f t="shared" si="38"/>
        <v>02-03 May</v>
      </c>
      <c r="Z239" s="90" t="str">
        <f t="shared" si="1"/>
        <v/>
      </c>
      <c r="AA239" s="90" t="str">
        <f t="shared" si="2"/>
        <v>29-30 May</v>
      </c>
      <c r="AB239" s="90" t="str">
        <f t="shared" si="3"/>
        <v>16-17 May</v>
      </c>
      <c r="AC239" s="90" t="str">
        <f t="shared" si="4"/>
        <v>10-11 May</v>
      </c>
      <c r="AD239" s="90" t="str">
        <f t="shared" si="5"/>
        <v/>
      </c>
      <c r="AE239" s="91" t="str">
        <f t="shared" si="6"/>
        <v/>
      </c>
      <c r="AF239" s="92" t="str">
        <f t="shared" si="7"/>
        <v>01-02 Jun</v>
      </c>
      <c r="AG239" s="93" t="str">
        <f t="shared" si="26"/>
        <v>02-03 May</v>
      </c>
      <c r="AH239" s="94">
        <f>IFERROR($M239+VLOOKUP($L239,'Voyage days'!$F$38:$H$89,3,FALSE),"")</f>
        <v>46144</v>
      </c>
      <c r="AI239" s="94">
        <f>IFERROR(N239+VLOOKUP($L239,'Voyage days'!$F$38:$H$89,3,FALSE),"")</f>
        <v>46145</v>
      </c>
      <c r="AJ239" s="93" t="str">
        <f t="shared" si="27"/>
        <v/>
      </c>
      <c r="AK239" s="94" t="str">
        <f>IFERROR($M239+VLOOKUP($L239,'Voyage days'!$F$94:$H$193,3,FALSE),"")</f>
        <v/>
      </c>
      <c r="AL239" s="94" t="str">
        <f>IFERROR($N239+VLOOKUP($L239,'Voyage days'!$F$94:$H$193,3,FALSE),"")</f>
        <v/>
      </c>
      <c r="AM239" s="93" t="str">
        <f t="shared" si="28"/>
        <v>29-30 May</v>
      </c>
      <c r="AN239" s="94">
        <f>IFERROR($M239+VLOOKUP($L239,'Voyage days'!$F$203:$H$256,3,FALSE),"")</f>
        <v>46171</v>
      </c>
      <c r="AO239" s="94">
        <f>IFERROR($N239+VLOOKUP($L239,'Voyage days'!$F$203:$H$256,3,FALSE),"")</f>
        <v>46172</v>
      </c>
      <c r="AP239" s="93" t="str">
        <f t="shared" si="29"/>
        <v>16-17 May</v>
      </c>
      <c r="AQ239" s="94">
        <f>IFERROR($M239+VLOOKUP($L239,'Voyage days'!$F$294:$H$377,3,FALSE),"")</f>
        <v>46158</v>
      </c>
      <c r="AR239" s="94">
        <f>IFERROR($N239+VLOOKUP($L239,'Voyage days'!$F$294:$H$377,3,FALSE),"")</f>
        <v>46159</v>
      </c>
      <c r="AS239" s="93" t="str">
        <f t="shared" si="30"/>
        <v>10-11 May</v>
      </c>
      <c r="AT239" s="94">
        <f>IFERROR($M239+VLOOKUP($L239,'Voyage days'!$F$382:$H$446,3,FALSE),"")</f>
        <v>46152</v>
      </c>
      <c r="AU239" s="94">
        <f>IFERROR($N239+VLOOKUP($L239,'Voyage days'!$F$382:$H$446,3,FALSE),"")</f>
        <v>46153</v>
      </c>
      <c r="AV239" s="93" t="str">
        <f t="shared" si="31"/>
        <v/>
      </c>
      <c r="AW239" s="94" t="str">
        <f>IFERROR($M239+VLOOKUP($L239,'Voyage days'!$F$483:$H$538,3,FALSE),"")</f>
        <v/>
      </c>
      <c r="AX239" s="94" t="str">
        <f>IFERROR($N239+VLOOKUP($L239,'Voyage days'!$F$483:$H$538,3,FALSE),"")</f>
        <v/>
      </c>
      <c r="AY239" s="93" t="str">
        <f t="shared" si="32"/>
        <v/>
      </c>
      <c r="AZ239" s="94" t="str">
        <f>IFERROR($M239+VLOOKUP($L239,'Voyage days'!$F$540:$H$613,3,FALSE),"")</f>
        <v/>
      </c>
      <c r="BA239" s="94" t="str">
        <f>IFERROR($N239+VLOOKUP($L239,'Voyage days'!$F$540:$H$613,3,FALSE),"")</f>
        <v/>
      </c>
      <c r="BB239" s="93" t="str">
        <f t="shared" si="33"/>
        <v/>
      </c>
      <c r="BC239" s="94" t="str">
        <f>IFERROR($M239+VLOOKUP($L239,'Voyage days'!$F$448:$H$479,3,FALSE),"")</f>
        <v/>
      </c>
      <c r="BD239" s="94" t="str">
        <f>IFERROR($N239+VLOOKUP($L239,'Voyage days'!$F$448:$H$479,3,FALSE),"")</f>
        <v/>
      </c>
      <c r="BE239" s="93" t="str">
        <f t="shared" si="34"/>
        <v/>
      </c>
      <c r="BF239" s="95" t="str">
        <f>IFERROR($M239+VLOOKUP($L239,'Voyage days'!$F$620:$H$646,3,FALSE),"")</f>
        <v/>
      </c>
      <c r="BG239" s="95" t="str">
        <f>IFERROR($N239+VLOOKUP($L239,'Voyage days'!$F$620:$H$646,3,FALSE),"")</f>
        <v/>
      </c>
      <c r="BH239" s="93" t="str">
        <f t="shared" si="35"/>
        <v/>
      </c>
      <c r="BI239" s="96" t="str">
        <f>IFERROR($M239+VLOOKUP($L239,'Voyage days'!$F$702:$H$727,3,FALSE),"")</f>
        <v/>
      </c>
      <c r="BJ239" s="93" t="str">
        <f t="shared" si="36"/>
        <v>01-02 Jun</v>
      </c>
      <c r="BK239" s="95">
        <f>IFERROR($M239+VLOOKUP($L239,'Voyage days'!$F$807:$H$878,3,FALSE),"")</f>
        <v>46174</v>
      </c>
      <c r="BL239" s="95">
        <f>IFERROR($N239+VLOOKUP($L239,'Voyage days'!$F$807:$H$878,3,FALSE),"")</f>
        <v>46175</v>
      </c>
      <c r="BM239" s="95">
        <f>IFERROR($N239+VLOOKUP($L239,'Voyage days'!$F$807:$K$878,6,FALSE),"")</f>
        <v>46147</v>
      </c>
      <c r="BN239" s="94" t="str">
        <f>IF(L239="loads AG", IFERROR($M239+VLOOKUP($L239,'Voyage days'!$M$38:$O$38,3,FALSE),""),"")</f>
        <v/>
      </c>
      <c r="BO239" s="94" t="str">
        <f>IF(L239="loads USG", IFERROR($M239+VLOOKUP($L239,'Voyage days'!$L$203:$N$203,3,FALSE),""),"")</f>
        <v/>
      </c>
    </row>
    <row r="240" spans="1:67" ht="15.75" customHeight="1" x14ac:dyDescent="0.25">
      <c r="A240" s="53" t="s">
        <v>461</v>
      </c>
      <c r="B240" s="119">
        <v>2022</v>
      </c>
      <c r="C240" s="76">
        <v>91000</v>
      </c>
      <c r="D240" s="77"/>
      <c r="E240" s="77"/>
      <c r="F240" s="78"/>
      <c r="G240" s="78"/>
      <c r="H240" s="78" t="s">
        <v>713</v>
      </c>
      <c r="I240" s="233" t="s">
        <v>1279</v>
      </c>
      <c r="J240" s="261" t="str">
        <f t="shared" si="40"/>
        <v/>
      </c>
      <c r="K240" s="81"/>
      <c r="L240" s="82" t="s">
        <v>822</v>
      </c>
      <c r="M240" s="83">
        <v>46151</v>
      </c>
      <c r="N240" s="83">
        <v>46152</v>
      </c>
      <c r="O240" s="84"/>
      <c r="P240" s="82" t="s">
        <v>1298</v>
      </c>
      <c r="Q240" s="82"/>
      <c r="R240" s="82" t="s">
        <v>1299</v>
      </c>
      <c r="S240" s="221" t="s">
        <v>724</v>
      </c>
      <c r="T240" s="86">
        <v>46132</v>
      </c>
      <c r="U240" s="87" t="str">
        <f>IF(V240="","No AIS",VLOOKUP(V240,'Voyage days'!$A$3:$B$1480,2,FALSE))</f>
        <v>Port Louis</v>
      </c>
      <c r="V240" s="88" t="str">
        <f>IF(VLOOKUP(A240,'1) Kpler'!$E$2:$P$1000,8, FALSE)="","",VLOOKUP(A240,'1) Kpler'!$E$2:$P$1000,8, FALSE))</f>
        <v>Port Louis</v>
      </c>
      <c r="W240" s="89">
        <f>IF(VLOOKUP(A240,'1) Kpler'!$E$2:$P$1000,9,FALSE)="","",VLOOKUP(A240,'1) Kpler'!$E$2:$P$1000,9,FALSE))</f>
        <v>46151.208333333336</v>
      </c>
      <c r="X240" s="88" t="str">
        <f>VLOOKUP(A240,'1) Kpler'!$E$2:$I$1000,4,FALSE)</f>
        <v>loaded</v>
      </c>
      <c r="Y240" s="63" t="str">
        <f t="shared" si="38"/>
        <v>04-05 Jun</v>
      </c>
      <c r="Z240" s="63" t="str">
        <f t="shared" si="1"/>
        <v>24-25 Jun</v>
      </c>
      <c r="AA240" s="63" t="str">
        <f t="shared" si="2"/>
        <v>02-03 Jul</v>
      </c>
      <c r="AB240" s="63" t="str">
        <f t="shared" si="3"/>
        <v>15-16 Jun</v>
      </c>
      <c r="AC240" s="63" t="str">
        <f t="shared" si="4"/>
        <v>23-24 Jun</v>
      </c>
      <c r="AD240" s="63" t="str">
        <f t="shared" si="5"/>
        <v>26-27 May</v>
      </c>
      <c r="AE240" s="129" t="str">
        <f t="shared" si="6"/>
        <v>29-30 May</v>
      </c>
      <c r="AF240" s="130" t="str">
        <f t="shared" si="7"/>
        <v>01-02 Jul</v>
      </c>
      <c r="AG240" s="93" t="str">
        <f t="shared" si="26"/>
        <v>04-05 Jun</v>
      </c>
      <c r="AH240" s="94">
        <f>IFERROR($M240+VLOOKUP($L240,'Voyage days'!$F$38:$H$89,3,FALSE),"")</f>
        <v>46177</v>
      </c>
      <c r="AI240" s="94">
        <f>IFERROR(N240+VLOOKUP($L240,'Voyage days'!$F$38:$H$89,3,FALSE),"")</f>
        <v>46178</v>
      </c>
      <c r="AJ240" s="93" t="str">
        <f t="shared" si="27"/>
        <v>24-25 Jun</v>
      </c>
      <c r="AK240" s="94">
        <f>IFERROR($M240+VLOOKUP($L240,'Voyage days'!$F$94:$H$193,3,FALSE),"")</f>
        <v>46197</v>
      </c>
      <c r="AL240" s="94">
        <f>IFERROR($N240+VLOOKUP($L240,'Voyage days'!$F$94:$H$193,3,FALSE),"")</f>
        <v>46198</v>
      </c>
      <c r="AM240" s="93" t="str">
        <f t="shared" si="28"/>
        <v>02-03 Jul</v>
      </c>
      <c r="AN240" s="94">
        <f>IFERROR($M240+VLOOKUP($L240,'Voyage days'!$F$203:$H$256,3,FALSE),"")</f>
        <v>46205</v>
      </c>
      <c r="AO240" s="94">
        <f>IFERROR($N240+VLOOKUP($L240,'Voyage days'!$F$203:$H$256,3,FALSE),"")</f>
        <v>46206</v>
      </c>
      <c r="AP240" s="93" t="str">
        <f t="shared" si="29"/>
        <v>15-16 Jun</v>
      </c>
      <c r="AQ240" s="94">
        <f>IFERROR($M240+VLOOKUP($L240,'Voyage days'!$F$294:$H$377,3,FALSE),"")</f>
        <v>46188</v>
      </c>
      <c r="AR240" s="94">
        <f>IFERROR($N240+VLOOKUP($L240,'Voyage days'!$F$294:$H$377,3,FALSE),"")</f>
        <v>46189</v>
      </c>
      <c r="AS240" s="93" t="str">
        <f t="shared" si="30"/>
        <v>23-24 Jun</v>
      </c>
      <c r="AT240" s="94">
        <f>IFERROR($M240+VLOOKUP($L240,'Voyage days'!$F$382:$H$446,3,FALSE),"")</f>
        <v>46196</v>
      </c>
      <c r="AU240" s="94">
        <f>IFERROR($N240+VLOOKUP($L240,'Voyage days'!$F$382:$H$446,3,FALSE),"")</f>
        <v>46197</v>
      </c>
      <c r="AV240" s="93" t="str">
        <f t="shared" si="31"/>
        <v>06-07 Jun</v>
      </c>
      <c r="AW240" s="94">
        <f>IFERROR($M240+VLOOKUP($L240,'Voyage days'!$F$483:$H$538,3,FALSE),"")</f>
        <v>46179</v>
      </c>
      <c r="AX240" s="94">
        <f>IFERROR($N240+VLOOKUP($L240,'Voyage days'!$F$483:$H$538,3,FALSE),"")</f>
        <v>46180</v>
      </c>
      <c r="AY240" s="93" t="str">
        <f t="shared" si="32"/>
        <v>29-30 May</v>
      </c>
      <c r="AZ240" s="94">
        <f>IFERROR($M240+VLOOKUP($L240,'Voyage days'!$F$540:$H$613,3,FALSE),"")</f>
        <v>46171</v>
      </c>
      <c r="BA240" s="94">
        <f>IFERROR($N240+VLOOKUP($L240,'Voyage days'!$F$540:$H$613,3,FALSE),"")</f>
        <v>46172</v>
      </c>
      <c r="BB240" s="93" t="str">
        <f t="shared" si="33"/>
        <v>26-27 May</v>
      </c>
      <c r="BC240" s="94">
        <f>IFERROR($M240+VLOOKUP($L240,'Voyage days'!$F$448:$H$479,3,FALSE),"")</f>
        <v>46168</v>
      </c>
      <c r="BD240" s="94">
        <f>IFERROR($N240+VLOOKUP($L240,'Voyage days'!$F$448:$H$479,3,FALSE),"")</f>
        <v>46169</v>
      </c>
      <c r="BE240" s="93" t="str">
        <f t="shared" si="34"/>
        <v/>
      </c>
      <c r="BF240" s="95" t="str">
        <f>IFERROR($M240+VLOOKUP($L240,'Voyage days'!$F$620:$H$646,3,FALSE),"")</f>
        <v/>
      </c>
      <c r="BG240" s="95" t="str">
        <f>IFERROR($N240+VLOOKUP($L240,'Voyage days'!$F$620:$H$646,3,FALSE),"")</f>
        <v/>
      </c>
      <c r="BH240" s="93" t="str">
        <f t="shared" si="35"/>
        <v/>
      </c>
      <c r="BI240" s="96" t="str">
        <f>IFERROR($M240+VLOOKUP($L240,'Voyage days'!$F$702:$H$727,3,FALSE),"")</f>
        <v/>
      </c>
      <c r="BJ240" s="93" t="str">
        <f t="shared" si="36"/>
        <v>01-02 Jul</v>
      </c>
      <c r="BK240" s="95">
        <f>IFERROR($M240+VLOOKUP($L240,'Voyage days'!$F$807:$H$878,3,FALSE),"")</f>
        <v>46204</v>
      </c>
      <c r="BL240" s="95">
        <f>IFERROR($N240+VLOOKUP($L240,'Voyage days'!$F$807:$H$878,3,FALSE),"")</f>
        <v>46205</v>
      </c>
      <c r="BM240" s="95">
        <f>IFERROR($N240+VLOOKUP($L240,'Voyage days'!$F$807:$K$878,6,FALSE),"")</f>
        <v>46152</v>
      </c>
      <c r="BN240" s="94" t="str">
        <f>IF(L240="loads AG", IFERROR($M240+VLOOKUP($L240,'Voyage days'!$M$38:$O$38,3,FALSE),""),"")</f>
        <v/>
      </c>
      <c r="BO240" s="94" t="str">
        <f>IF(L240="loads USG", IFERROR($M240+VLOOKUP($L240,'Voyage days'!$L$203:$N$203,3,FALSE),""),"")</f>
        <v/>
      </c>
    </row>
    <row r="241" spans="1:67" ht="15.75" customHeight="1" x14ac:dyDescent="0.25">
      <c r="A241" s="317" t="s">
        <v>470</v>
      </c>
      <c r="B241" s="428">
        <v>2023</v>
      </c>
      <c r="C241" s="76">
        <v>86000</v>
      </c>
      <c r="D241" s="77"/>
      <c r="E241" s="77"/>
      <c r="F241" s="78"/>
      <c r="G241" s="78"/>
      <c r="H241" s="78" t="s">
        <v>713</v>
      </c>
      <c r="I241" s="233" t="s">
        <v>1279</v>
      </c>
      <c r="J241" s="80" t="str">
        <f t="shared" si="40"/>
        <v/>
      </c>
      <c r="K241" s="81"/>
      <c r="L241" s="82" t="s">
        <v>715</v>
      </c>
      <c r="M241" s="83">
        <v>46147</v>
      </c>
      <c r="N241" s="83">
        <v>46148</v>
      </c>
      <c r="O241" s="84"/>
      <c r="P241" s="124" t="s">
        <v>1300</v>
      </c>
      <c r="Q241" s="85"/>
      <c r="R241" s="82" t="s">
        <v>1301</v>
      </c>
      <c r="S241" s="221" t="s">
        <v>724</v>
      </c>
      <c r="T241" s="86">
        <v>46132</v>
      </c>
      <c r="U241" s="87" t="str">
        <f>IF(V241="","No AIS",VLOOKUP(V241,'Voyage days'!$A$3:$B$1480,2,FALSE))</f>
        <v>Japan + 6</v>
      </c>
      <c r="V241" s="88" t="str">
        <f>IF(VLOOKUP(A241,'1) Kpler'!$E$2:$P$1000,8, FALSE)="","",VLOOKUP(A241,'1) Kpler'!$E$2:$P$1000,8, FALSE))</f>
        <v>Chiba</v>
      </c>
      <c r="W241" s="89">
        <f>IF(VLOOKUP(A241,'1) Kpler'!$E$2:$P$1000,9,FALSE)="","",VLOOKUP(A241,'1) Kpler'!$E$2:$P$1000,9,FALSE))</f>
        <v>46141.041666666664</v>
      </c>
      <c r="X241" s="88" t="str">
        <f>VLOOKUP(A241,'1) Kpler'!$E$2:$I$1000,4,FALSE)</f>
        <v>loaded</v>
      </c>
      <c r="Y241" s="63" t="str">
        <f t="shared" si="38"/>
        <v>23-24 May</v>
      </c>
      <c r="Z241" s="63" t="str">
        <f t="shared" si="1"/>
        <v>05-06 Jun</v>
      </c>
      <c r="AA241" s="63" t="str">
        <f t="shared" si="2"/>
        <v>16-17 Jun</v>
      </c>
      <c r="AB241" s="63" t="str">
        <f t="shared" si="3"/>
        <v>04-05 Jun</v>
      </c>
      <c r="AC241" s="63" t="str">
        <f t="shared" si="4"/>
        <v>10-11 Jun</v>
      </c>
      <c r="AD241" s="63" t="str">
        <f t="shared" si="5"/>
        <v>13-14 May</v>
      </c>
      <c r="AE241" s="129" t="str">
        <f t="shared" si="6"/>
        <v>13-14 May</v>
      </c>
      <c r="AF241" s="130" t="str">
        <f t="shared" si="7"/>
        <v>20-21 Jun</v>
      </c>
      <c r="AG241" s="93" t="str">
        <f t="shared" si="26"/>
        <v>23-24 May</v>
      </c>
      <c r="AH241" s="94">
        <f>IFERROR($M241+VLOOKUP($L241,'Voyage days'!$F$38:$H$89,3,FALSE),"")</f>
        <v>46165</v>
      </c>
      <c r="AI241" s="94">
        <f>IFERROR(N241+VLOOKUP($L241,'Voyage days'!$F$38:$H$89,3,FALSE),"")</f>
        <v>46166</v>
      </c>
      <c r="AJ241" s="93" t="str">
        <f t="shared" si="27"/>
        <v>05-06 Jun</v>
      </c>
      <c r="AK241" s="94">
        <f>IFERROR($M241+VLOOKUP($L241,'Voyage days'!$F$94:$H$193,3,FALSE),"")</f>
        <v>46178</v>
      </c>
      <c r="AL241" s="94">
        <f>IFERROR($N241+VLOOKUP($L241,'Voyage days'!$F$94:$H$193,3,FALSE),"")</f>
        <v>46179</v>
      </c>
      <c r="AM241" s="93" t="str">
        <f t="shared" si="28"/>
        <v>16-17 Jun</v>
      </c>
      <c r="AN241" s="94">
        <f>IFERROR($M241+VLOOKUP($L241,'Voyage days'!$F$203:$H$256,3,FALSE),"")</f>
        <v>46189</v>
      </c>
      <c r="AO241" s="94">
        <f>IFERROR($N241+VLOOKUP($L241,'Voyage days'!$F$203:$H$256,3,FALSE),"")</f>
        <v>46190</v>
      </c>
      <c r="AP241" s="93" t="str">
        <f t="shared" si="29"/>
        <v>04-05 Jun</v>
      </c>
      <c r="AQ241" s="94">
        <f>IFERROR($M241+VLOOKUP($L241,'Voyage days'!$F$294:$H$377,3,FALSE),"")</f>
        <v>46177</v>
      </c>
      <c r="AR241" s="94">
        <f>IFERROR($N241+VLOOKUP($L241,'Voyage days'!$F$294:$H$377,3,FALSE),"")</f>
        <v>46178</v>
      </c>
      <c r="AS241" s="93" t="str">
        <f t="shared" si="30"/>
        <v>10-11 Jun</v>
      </c>
      <c r="AT241" s="94">
        <f>IFERROR($M241+VLOOKUP($L241,'Voyage days'!$F$382:$H$446,3,FALSE),"")</f>
        <v>46183</v>
      </c>
      <c r="AU241" s="94">
        <f>IFERROR($N241+VLOOKUP($L241,'Voyage days'!$F$382:$H$446,3,FALSE),"")</f>
        <v>46184</v>
      </c>
      <c r="AV241" s="93" t="str">
        <f t="shared" si="31"/>
        <v>18-19 May</v>
      </c>
      <c r="AW241" s="94">
        <f>IFERROR($M241+VLOOKUP($L241,'Voyage days'!$F$483:$H$538,3,FALSE),"")</f>
        <v>46160</v>
      </c>
      <c r="AX241" s="94">
        <f>IFERROR($N241+VLOOKUP($L241,'Voyage days'!$F$483:$H$538,3,FALSE),"")</f>
        <v>46161</v>
      </c>
      <c r="AY241" s="93" t="str">
        <f t="shared" si="32"/>
        <v>13-14 May</v>
      </c>
      <c r="AZ241" s="94">
        <f>IFERROR($M241+VLOOKUP($L241,'Voyage days'!$F$540:$H$613,3,FALSE),"")</f>
        <v>46155.25</v>
      </c>
      <c r="BA241" s="94">
        <f>IFERROR($N241+VLOOKUP($L241,'Voyage days'!$F$540:$H$613,3,FALSE),"")</f>
        <v>46156.25</v>
      </c>
      <c r="BB241" s="93" t="str">
        <f t="shared" si="33"/>
        <v>13-14 May</v>
      </c>
      <c r="BC241" s="94">
        <f>IFERROR($M241+VLOOKUP($L241,'Voyage days'!$F$448:$H$479,3,FALSE),"")</f>
        <v>46155</v>
      </c>
      <c r="BD241" s="94">
        <f>IFERROR($N241+VLOOKUP($L241,'Voyage days'!$F$448:$H$479,3,FALSE),"")</f>
        <v>46156</v>
      </c>
      <c r="BE241" s="93" t="str">
        <f t="shared" si="34"/>
        <v>16-17 May</v>
      </c>
      <c r="BF241" s="95">
        <f>IFERROR($M241+VLOOKUP($L241,'Voyage days'!$F$620:$H$646,3,FALSE),"")</f>
        <v>46158</v>
      </c>
      <c r="BG241" s="95">
        <f>IFERROR($N241+VLOOKUP($L241,'Voyage days'!$F$620:$H$646,3,FALSE),"")</f>
        <v>46159</v>
      </c>
      <c r="BH241" s="93" t="str">
        <f t="shared" si="35"/>
        <v>13-21 Jun</v>
      </c>
      <c r="BI241" s="96">
        <f>IFERROR($M241+VLOOKUP($L241,'Voyage days'!$F$702:$H$727,3,FALSE),"")</f>
        <v>46155.25</v>
      </c>
      <c r="BJ241" s="93" t="str">
        <f t="shared" si="36"/>
        <v>20-21 Jun</v>
      </c>
      <c r="BK241" s="95">
        <f>IFERROR($M241+VLOOKUP($L241,'Voyage days'!$F$807:$H$878,3,FALSE),"")</f>
        <v>46193</v>
      </c>
      <c r="BL241" s="95">
        <f>IFERROR($N241+VLOOKUP($L241,'Voyage days'!$F$807:$H$878,3,FALSE),"")</f>
        <v>46194</v>
      </c>
      <c r="BM241" s="95">
        <f>IFERROR($N241+VLOOKUP($L241,'Voyage days'!$F$807:$K$878,6,FALSE),"")</f>
        <v>46168</v>
      </c>
      <c r="BN241" s="94" t="str">
        <f>IF(L241="loads AG", IFERROR($M241+VLOOKUP($L241,'Voyage days'!$M$38:$O$38,3,FALSE),""),"")</f>
        <v/>
      </c>
      <c r="BO241" s="94" t="str">
        <f>IF(L241="loads USG", IFERROR($M241+VLOOKUP($L241,'Voyage days'!$L$203:$N$203,3,FALSE),""),"")</f>
        <v/>
      </c>
    </row>
    <row r="242" spans="1:67" ht="15.75" customHeight="1" x14ac:dyDescent="0.25">
      <c r="A242" s="317" t="s">
        <v>487</v>
      </c>
      <c r="B242" s="75">
        <v>43586</v>
      </c>
      <c r="C242" s="427">
        <v>80000</v>
      </c>
      <c r="D242" s="77"/>
      <c r="E242" s="77"/>
      <c r="F242" s="78"/>
      <c r="G242" s="78"/>
      <c r="H242" s="78" t="s">
        <v>739</v>
      </c>
      <c r="I242" s="233" t="s">
        <v>1279</v>
      </c>
      <c r="J242" s="80" t="str">
        <f t="shared" si="40"/>
        <v>NO AIS</v>
      </c>
      <c r="K242" s="81"/>
      <c r="L242" s="82" t="s">
        <v>1302</v>
      </c>
      <c r="M242" s="83">
        <v>46132</v>
      </c>
      <c r="N242" s="83">
        <v>46133</v>
      </c>
      <c r="O242" s="84"/>
      <c r="P242" s="124" t="s">
        <v>1303</v>
      </c>
      <c r="Q242" s="82"/>
      <c r="R242" s="82" t="s">
        <v>1304</v>
      </c>
      <c r="S242" s="221" t="s">
        <v>724</v>
      </c>
      <c r="T242" s="86">
        <v>46132</v>
      </c>
      <c r="U242" s="87" t="str">
        <f>IF(V242="","No AIS",VLOOKUP(V242,'Voyage days'!$A$3:$B$1480,2,FALSE))</f>
        <v>No AIS</v>
      </c>
      <c r="V242" s="88" t="str">
        <f>IF(VLOOKUP(A242,'1) Kpler'!$E$2:$P$1000,8, FALSE)="","",VLOOKUP(A242,'1) Kpler'!$E$2:$P$1000,8, FALSE))</f>
        <v/>
      </c>
      <c r="W242" s="89" t="str">
        <f>IF(VLOOKUP(A242,'1) Kpler'!$E$2:$P$1000,9,FALSE)="","",VLOOKUP(A242,'1) Kpler'!$E$2:$P$1000,9,FALSE))</f>
        <v/>
      </c>
      <c r="X242" s="88" t="str">
        <f>VLOOKUP(A242,'1) Kpler'!$E$2:$I$1000,4,FALSE)</f>
        <v>ballast</v>
      </c>
      <c r="Y242" s="90" t="str">
        <f t="shared" si="38"/>
        <v/>
      </c>
      <c r="Z242" s="90" t="str">
        <f t="shared" si="1"/>
        <v>27-28 Apr</v>
      </c>
      <c r="AA242" s="90" t="str">
        <f t="shared" si="2"/>
        <v/>
      </c>
      <c r="AB242" s="90" t="str">
        <f t="shared" si="3"/>
        <v/>
      </c>
      <c r="AC242" s="90" t="str">
        <f t="shared" si="4"/>
        <v/>
      </c>
      <c r="AD242" s="90" t="str">
        <f t="shared" si="5"/>
        <v/>
      </c>
      <c r="AE242" s="91" t="str">
        <f t="shared" si="6"/>
        <v/>
      </c>
      <c r="AF242" s="92" t="str">
        <f t="shared" si="7"/>
        <v/>
      </c>
      <c r="AG242" s="93" t="str">
        <f t="shared" si="26"/>
        <v/>
      </c>
      <c r="AH242" s="94" t="str">
        <f>IFERROR($M242+VLOOKUP($L242,'Voyage days'!$F$38:$H$89,3,FALSE),"")</f>
        <v/>
      </c>
      <c r="AI242" s="94" t="str">
        <f>IFERROR(N242+VLOOKUP($L242,'Voyage days'!$F$38:$H$89,3,FALSE),"")</f>
        <v/>
      </c>
      <c r="AJ242" s="93" t="str">
        <f t="shared" si="27"/>
        <v>27-28 Apr</v>
      </c>
      <c r="AK242" s="94">
        <f>IFERROR($M242+VLOOKUP($L242,'Voyage days'!$F$94:$H$193,3,FALSE),"")</f>
        <v>46139</v>
      </c>
      <c r="AL242" s="94">
        <f>IFERROR($N242+VLOOKUP($L242,'Voyage days'!$F$94:$H$193,3,FALSE),"")</f>
        <v>46140</v>
      </c>
      <c r="AM242" s="93" t="str">
        <f t="shared" si="28"/>
        <v/>
      </c>
      <c r="AN242" s="94" t="str">
        <f>IFERROR($M242+VLOOKUP($L242,'Voyage days'!$F$203:$H$256,3,FALSE),"")</f>
        <v/>
      </c>
      <c r="AO242" s="94" t="str">
        <f>IFERROR($N242+VLOOKUP($L242,'Voyage days'!$F$203:$H$256,3,FALSE),"")</f>
        <v/>
      </c>
      <c r="AP242" s="93" t="str">
        <f t="shared" si="29"/>
        <v/>
      </c>
      <c r="AQ242" s="94" t="str">
        <f>IFERROR($M242+VLOOKUP($L242,'Voyage days'!$F$294:$H$377,3,FALSE),"")</f>
        <v/>
      </c>
      <c r="AR242" s="94" t="str">
        <f>IFERROR($N242+VLOOKUP($L242,'Voyage days'!$F$294:$H$377,3,FALSE),"")</f>
        <v/>
      </c>
      <c r="AS242" s="93" t="str">
        <f t="shared" si="30"/>
        <v/>
      </c>
      <c r="AT242" s="94" t="str">
        <f>IFERROR($M242+VLOOKUP($L242,'Voyage days'!$F$382:$H$446,3,FALSE),"")</f>
        <v/>
      </c>
      <c r="AU242" s="94" t="str">
        <f>IFERROR($N242+VLOOKUP($L242,'Voyage days'!$F$382:$H$446,3,FALSE),"")</f>
        <v/>
      </c>
      <c r="AV242" s="93" t="str">
        <f t="shared" si="31"/>
        <v/>
      </c>
      <c r="AW242" s="94" t="str">
        <f>IFERROR($M242+VLOOKUP($L242,'Voyage days'!$F$483:$H$538,3,FALSE),"")</f>
        <v/>
      </c>
      <c r="AX242" s="94" t="str">
        <f>IFERROR($N242+VLOOKUP($L242,'Voyage days'!$F$483:$H$538,3,FALSE),"")</f>
        <v/>
      </c>
      <c r="AY242" s="93" t="str">
        <f t="shared" si="32"/>
        <v/>
      </c>
      <c r="AZ242" s="94" t="str">
        <f>IFERROR($M242+VLOOKUP($L242,'Voyage days'!$F$540:$H$613,3,FALSE),"")</f>
        <v/>
      </c>
      <c r="BA242" s="94" t="str">
        <f>IFERROR($N242+VLOOKUP($L242,'Voyage days'!$F$540:$H$613,3,FALSE),"")</f>
        <v/>
      </c>
      <c r="BB242" s="93" t="str">
        <f t="shared" si="33"/>
        <v/>
      </c>
      <c r="BC242" s="94" t="str">
        <f>IFERROR($M242+VLOOKUP($L242,'Voyage days'!$F$448:$H$479,3,FALSE),"")</f>
        <v/>
      </c>
      <c r="BD242" s="94" t="str">
        <f>IFERROR($N242+VLOOKUP($L242,'Voyage days'!$F$448:$H$479,3,FALSE),"")</f>
        <v/>
      </c>
      <c r="BE242" s="93" t="str">
        <f t="shared" si="34"/>
        <v/>
      </c>
      <c r="BF242" s="95" t="str">
        <f>IFERROR($M242+VLOOKUP($L242,'Voyage days'!$F$620:$H$646,3,FALSE),"")</f>
        <v/>
      </c>
      <c r="BG242" s="95" t="str">
        <f>IFERROR($N242+VLOOKUP($L242,'Voyage days'!$F$620:$H$646,3,FALSE),"")</f>
        <v/>
      </c>
      <c r="BH242" s="93" t="str">
        <f t="shared" si="35"/>
        <v/>
      </c>
      <c r="BI242" s="96" t="str">
        <f>IFERROR($M242+VLOOKUP($L242,'Voyage days'!$F$702:$H$727,3,FALSE),"")</f>
        <v/>
      </c>
      <c r="BJ242" s="93" t="str">
        <f t="shared" si="36"/>
        <v/>
      </c>
      <c r="BK242" s="95" t="str">
        <f>IFERROR($M242+VLOOKUP($L242,'Voyage days'!$F$807:$H$878,3,FALSE),"")</f>
        <v/>
      </c>
      <c r="BL242" s="95" t="str">
        <f>IFERROR($N242+VLOOKUP($L242,'Voyage days'!$F$807:$H$878,3,FALSE),"")</f>
        <v/>
      </c>
      <c r="BM242" s="95" t="str">
        <f>IFERROR($N242+VLOOKUP($L242,'Voyage days'!$F$807:$K$878,6,FALSE),"")</f>
        <v/>
      </c>
      <c r="BN242" s="94" t="str">
        <f>IF(L242="loads AG", IFERROR($M242+VLOOKUP($L242,'Voyage days'!$M$38:$O$38,3,FALSE),""),"")</f>
        <v/>
      </c>
      <c r="BO242" s="94" t="str">
        <f>IF(L242="loads USG", IFERROR($M242+VLOOKUP($L242,'Voyage days'!$L$203:$N$203,3,FALSE),""),"")</f>
        <v/>
      </c>
    </row>
    <row r="243" spans="1:67" ht="15.75" customHeight="1" x14ac:dyDescent="0.25">
      <c r="A243" s="317" t="s">
        <v>509</v>
      </c>
      <c r="B243" s="119">
        <v>2023</v>
      </c>
      <c r="C243" s="76">
        <v>86000</v>
      </c>
      <c r="D243" s="77"/>
      <c r="E243" s="77"/>
      <c r="F243" s="78"/>
      <c r="G243" s="78"/>
      <c r="H243" s="78" t="s">
        <v>713</v>
      </c>
      <c r="I243" s="233" t="s">
        <v>1279</v>
      </c>
      <c r="J243" s="80" t="str">
        <f t="shared" si="40"/>
        <v>Update</v>
      </c>
      <c r="K243" s="81"/>
      <c r="L243" s="82" t="s">
        <v>718</v>
      </c>
      <c r="M243" s="83">
        <v>46128</v>
      </c>
      <c r="N243" s="83">
        <v>46129</v>
      </c>
      <c r="O243" s="84"/>
      <c r="P243" s="124" t="s">
        <v>958</v>
      </c>
      <c r="Q243" s="82"/>
      <c r="R243" s="82" t="s">
        <v>1305</v>
      </c>
      <c r="S243" s="221" t="s">
        <v>724</v>
      </c>
      <c r="T243" s="86">
        <v>46132</v>
      </c>
      <c r="U243" s="87" t="str">
        <f>IF(V243="","No AIS",VLOOKUP(V243,'Voyage days'!$A$3:$B$1480,2,FALSE))</f>
        <v>Panama</v>
      </c>
      <c r="V243" s="88" t="str">
        <f>IF(VLOOKUP(A243,'1) Kpler'!$E$2:$P$1000,8, FALSE)="","",VLOOKUP(A243,'1) Kpler'!$E$2:$P$1000,8, FALSE))</f>
        <v>Panama Canal</v>
      </c>
      <c r="W243" s="89">
        <f>IF(VLOOKUP(A243,'1) Kpler'!$E$2:$P$1000,9,FALSE)="","",VLOOKUP(A243,'1) Kpler'!$E$2:$P$1000,9,FALSE))</f>
        <v>46134.958333333336</v>
      </c>
      <c r="X243" s="88" t="str">
        <f>VLOOKUP(A243,'1) Kpler'!$E$2:$I$1000,4,FALSE)</f>
        <v>loaded</v>
      </c>
      <c r="Y243" s="63" t="str">
        <f t="shared" si="38"/>
        <v/>
      </c>
      <c r="Z243" s="63" t="str">
        <f t="shared" si="1"/>
        <v>16-17 Apr</v>
      </c>
      <c r="AA243" s="63" t="str">
        <f t="shared" si="2"/>
        <v>16-17 Apr</v>
      </c>
      <c r="AB243" s="63" t="str">
        <f t="shared" si="3"/>
        <v/>
      </c>
      <c r="AC243" s="63" t="str">
        <f t="shared" si="4"/>
        <v>06-07 May</v>
      </c>
      <c r="AD243" s="63" t="str">
        <f t="shared" si="5"/>
        <v/>
      </c>
      <c r="AE243" s="129" t="str">
        <f t="shared" si="6"/>
        <v/>
      </c>
      <c r="AF243" s="130" t="str">
        <f t="shared" si="7"/>
        <v/>
      </c>
      <c r="AG243" s="93" t="str">
        <f t="shared" si="26"/>
        <v/>
      </c>
      <c r="AH243" s="94" t="str">
        <f>IFERROR($M243+VLOOKUP($L243,'Voyage days'!$F$38:$H$89,3,FALSE),"")</f>
        <v/>
      </c>
      <c r="AI243" s="94" t="str">
        <f>IFERROR(N243+VLOOKUP($L243,'Voyage days'!$F$38:$H$89,3,FALSE),"")</f>
        <v/>
      </c>
      <c r="AJ243" s="93" t="str">
        <f t="shared" si="27"/>
        <v>16-17 Apr</v>
      </c>
      <c r="AK243" s="94">
        <f>IFERROR($M243+VLOOKUP($L243,'Voyage days'!$F$94:$H$193,3,FALSE),"")</f>
        <v>46128</v>
      </c>
      <c r="AL243" s="94">
        <f>IFERROR($N243+VLOOKUP($L243,'Voyage days'!$F$94:$H$193,3,FALSE),"")</f>
        <v>46129</v>
      </c>
      <c r="AM243" s="93" t="str">
        <f t="shared" si="28"/>
        <v>16-17 Apr</v>
      </c>
      <c r="AN243" s="94">
        <f>IFERROR($M243+VLOOKUP($L243,'Voyage days'!$F$203:$H$256,3,FALSE),"")</f>
        <v>46128</v>
      </c>
      <c r="AO243" s="94">
        <f>IFERROR($N243+VLOOKUP($L243,'Voyage days'!$F$203:$H$256,3,FALSE),"")</f>
        <v>46129</v>
      </c>
      <c r="AP243" s="93" t="str">
        <f t="shared" si="29"/>
        <v/>
      </c>
      <c r="AQ243" s="94" t="str">
        <f>IFERROR($M243+VLOOKUP($L243,'Voyage days'!$F$294:$H$377,3,FALSE),"")</f>
        <v/>
      </c>
      <c r="AR243" s="94" t="str">
        <f>IFERROR($N243+VLOOKUP($L243,'Voyage days'!$F$294:$H$377,3,FALSE),"")</f>
        <v/>
      </c>
      <c r="AS243" s="93" t="str">
        <f t="shared" si="30"/>
        <v>06-07 May</v>
      </c>
      <c r="AT243" s="94">
        <f>IFERROR($M243+VLOOKUP($L243,'Voyage days'!$F$382:$H$446,3,FALSE),"")</f>
        <v>46148</v>
      </c>
      <c r="AU243" s="94">
        <f>IFERROR($N243+VLOOKUP($L243,'Voyage days'!$F$382:$H$446,3,FALSE),"")</f>
        <v>46149</v>
      </c>
      <c r="AV243" s="93" t="str">
        <f t="shared" si="31"/>
        <v/>
      </c>
      <c r="AW243" s="94" t="str">
        <f>IFERROR($M243+VLOOKUP($L243,'Voyage days'!$F$483:$H$538,3,FALSE),"")</f>
        <v/>
      </c>
      <c r="AX243" s="94" t="str">
        <f>IFERROR($N243+VLOOKUP($L243,'Voyage days'!$F$483:$H$538,3,FALSE),"")</f>
        <v/>
      </c>
      <c r="AY243" s="93" t="str">
        <f t="shared" si="32"/>
        <v/>
      </c>
      <c r="AZ243" s="94" t="str">
        <f>IFERROR($M243+VLOOKUP($L243,'Voyage days'!$F$540:$H$613,3,FALSE),"")</f>
        <v/>
      </c>
      <c r="BA243" s="94" t="str">
        <f>IFERROR($N243+VLOOKUP($L243,'Voyage days'!$F$540:$H$613,3,FALSE),"")</f>
        <v/>
      </c>
      <c r="BB243" s="93" t="str">
        <f t="shared" si="33"/>
        <v/>
      </c>
      <c r="BC243" s="94" t="str">
        <f>IFERROR($M243+VLOOKUP($L243,'Voyage days'!$F$448:$H$479,3,FALSE),"")</f>
        <v/>
      </c>
      <c r="BD243" s="94" t="str">
        <f>IFERROR($N243+VLOOKUP($L243,'Voyage days'!$F$448:$H$479,3,FALSE),"")</f>
        <v/>
      </c>
      <c r="BE243" s="93" t="str">
        <f t="shared" si="34"/>
        <v/>
      </c>
      <c r="BF243" s="95" t="str">
        <f>IFERROR($M243+VLOOKUP($L243,'Voyage days'!$F$620:$H$646,3,FALSE),"")</f>
        <v/>
      </c>
      <c r="BG243" s="95" t="str">
        <f>IFERROR($N243+VLOOKUP($L243,'Voyage days'!$F$620:$H$646,3,FALSE),"")</f>
        <v/>
      </c>
      <c r="BH243" s="93" t="str">
        <f t="shared" si="35"/>
        <v/>
      </c>
      <c r="BI243" s="96" t="str">
        <f>IFERROR($M243+VLOOKUP($L243,'Voyage days'!$F$702:$H$727,3,FALSE),"")</f>
        <v/>
      </c>
      <c r="BJ243" s="93" t="str">
        <f t="shared" si="36"/>
        <v/>
      </c>
      <c r="BK243" s="95" t="str">
        <f>IFERROR($M243+VLOOKUP($L243,'Voyage days'!$F$807:$H$878,3,FALSE),"")</f>
        <v/>
      </c>
      <c r="BL243" s="95" t="str">
        <f>IFERROR($N243+VLOOKUP($L243,'Voyage days'!$F$807:$H$878,3,FALSE),"")</f>
        <v/>
      </c>
      <c r="BM243" s="95" t="str">
        <f>IFERROR($N243+VLOOKUP($L243,'Voyage days'!$F$807:$K$878,6,FALSE),"")</f>
        <v/>
      </c>
      <c r="BN243" s="94" t="str">
        <f>IF(L243="loads AG", IFERROR($M243+VLOOKUP($L243,'Voyage days'!$M$38:$O$38,3,FALSE),""),"")</f>
        <v/>
      </c>
      <c r="BO243" s="94">
        <f>IF(L243="loads USG", IFERROR($M243+VLOOKUP($L243,'Voyage days'!$L$203:$N$203,3,FALSE),""),"")</f>
        <v>46160</v>
      </c>
    </row>
    <row r="244" spans="1:67" ht="15.75" customHeight="1" x14ac:dyDescent="0.25">
      <c r="A244" s="74" t="s">
        <v>537</v>
      </c>
      <c r="B244" s="98">
        <v>2021</v>
      </c>
      <c r="C244" s="151">
        <v>90000</v>
      </c>
      <c r="D244" s="107"/>
      <c r="E244" s="107"/>
      <c r="F244" s="156"/>
      <c r="G244" s="156"/>
      <c r="H244" s="156" t="s">
        <v>713</v>
      </c>
      <c r="I244" s="233" t="s">
        <v>1279</v>
      </c>
      <c r="J244" s="80" t="str">
        <f t="shared" si="40"/>
        <v/>
      </c>
      <c r="K244" s="81" t="s">
        <v>817</v>
      </c>
      <c r="L244" s="85" t="s">
        <v>1079</v>
      </c>
      <c r="M244" s="307">
        <v>46152</v>
      </c>
      <c r="N244" s="307">
        <v>46153</v>
      </c>
      <c r="O244" s="107"/>
      <c r="P244" s="85" t="s">
        <v>1306</v>
      </c>
      <c r="Q244" s="85"/>
      <c r="R244" s="82" t="s">
        <v>1307</v>
      </c>
      <c r="S244" s="221" t="s">
        <v>724</v>
      </c>
      <c r="T244" s="86">
        <v>46132</v>
      </c>
      <c r="U244" s="87" t="str">
        <f>IF(V244="","No AIS",VLOOKUP(V244,'Voyage days'!$A$3:$B$1480,2,FALSE))</f>
        <v>WCI + 5</v>
      </c>
      <c r="V244" s="88" t="str">
        <f>IF(VLOOKUP(A244,'1) Kpler'!$E$2:$P$1000,8, FALSE)="","",VLOOKUP(A244,'1) Kpler'!$E$2:$P$1000,8, FALSE))</f>
        <v>Mangalore</v>
      </c>
      <c r="W244" s="89">
        <f>IF(VLOOKUP(A244,'1) Kpler'!$E$2:$P$1000,9,FALSE)="","",VLOOKUP(A244,'1) Kpler'!$E$2:$P$1000,9,FALSE))</f>
        <v>46147.5</v>
      </c>
      <c r="X244" s="88" t="str">
        <f>VLOOKUP(A244,'1) Kpler'!$E$2:$I$1000,4,FALSE)</f>
        <v>loaded</v>
      </c>
      <c r="Y244" s="90" t="str">
        <f t="shared" si="38"/>
        <v>15-16 May</v>
      </c>
      <c r="Z244" s="90" t="str">
        <f t="shared" si="1"/>
        <v/>
      </c>
      <c r="AA244" s="90" t="str">
        <f t="shared" si="2"/>
        <v>11-12 Jun</v>
      </c>
      <c r="AB244" s="90" t="str">
        <f t="shared" si="3"/>
        <v>29-30 May</v>
      </c>
      <c r="AC244" s="90" t="str">
        <f t="shared" si="4"/>
        <v>23-24 May</v>
      </c>
      <c r="AD244" s="90" t="str">
        <f t="shared" si="5"/>
        <v/>
      </c>
      <c r="AE244" s="91" t="str">
        <f t="shared" si="6"/>
        <v/>
      </c>
      <c r="AF244" s="92" t="str">
        <f t="shared" si="7"/>
        <v>14-15 Jun</v>
      </c>
      <c r="AG244" s="93" t="str">
        <f t="shared" si="26"/>
        <v>15-16 May</v>
      </c>
      <c r="AH244" s="94">
        <f>IFERROR($M244+VLOOKUP($L244,'Voyage days'!$F$38:$H$89,3,FALSE),"")</f>
        <v>46157</v>
      </c>
      <c r="AI244" s="94">
        <f>IFERROR(N244+VLOOKUP($L244,'Voyage days'!$F$38:$H$89,3,FALSE),"")</f>
        <v>46158</v>
      </c>
      <c r="AJ244" s="93" t="str">
        <f t="shared" si="27"/>
        <v/>
      </c>
      <c r="AK244" s="94" t="str">
        <f>IFERROR($M244+VLOOKUP($L244,'Voyage days'!$F$94:$H$193,3,FALSE),"")</f>
        <v/>
      </c>
      <c r="AL244" s="94" t="str">
        <f>IFERROR($N244+VLOOKUP($L244,'Voyage days'!$F$94:$H$193,3,FALSE),"")</f>
        <v/>
      </c>
      <c r="AM244" s="93" t="str">
        <f t="shared" si="28"/>
        <v>11-12 Jun</v>
      </c>
      <c r="AN244" s="94">
        <f>IFERROR($M244+VLOOKUP($L244,'Voyage days'!$F$203:$H$256,3,FALSE),"")</f>
        <v>46184</v>
      </c>
      <c r="AO244" s="94">
        <f>IFERROR($N244+VLOOKUP($L244,'Voyage days'!$F$203:$H$256,3,FALSE),"")</f>
        <v>46185</v>
      </c>
      <c r="AP244" s="93" t="str">
        <f t="shared" si="29"/>
        <v>29-30 May</v>
      </c>
      <c r="AQ244" s="94">
        <f>IFERROR($M244+VLOOKUP($L244,'Voyage days'!$F$294:$H$377,3,FALSE),"")</f>
        <v>46171</v>
      </c>
      <c r="AR244" s="94">
        <f>IFERROR($N244+VLOOKUP($L244,'Voyage days'!$F$294:$H$377,3,FALSE),"")</f>
        <v>46172</v>
      </c>
      <c r="AS244" s="93" t="str">
        <f t="shared" si="30"/>
        <v>23-24 May</v>
      </c>
      <c r="AT244" s="94">
        <f>IFERROR($M244+VLOOKUP($L244,'Voyage days'!$F$382:$H$446,3,FALSE),"")</f>
        <v>46165</v>
      </c>
      <c r="AU244" s="94">
        <f>IFERROR($N244+VLOOKUP($L244,'Voyage days'!$F$382:$H$446,3,FALSE),"")</f>
        <v>46166</v>
      </c>
      <c r="AV244" s="93" t="str">
        <f t="shared" si="31"/>
        <v/>
      </c>
      <c r="AW244" s="94" t="str">
        <f>IFERROR($M244+VLOOKUP($L244,'Voyage days'!$F$483:$H$538,3,FALSE),"")</f>
        <v/>
      </c>
      <c r="AX244" s="94" t="str">
        <f>IFERROR($N244+VLOOKUP($L244,'Voyage days'!$F$483:$H$538,3,FALSE),"")</f>
        <v/>
      </c>
      <c r="AY244" s="93" t="str">
        <f t="shared" si="32"/>
        <v/>
      </c>
      <c r="AZ244" s="94" t="str">
        <f>IFERROR($M244+VLOOKUP($L244,'Voyage days'!$F$540:$H$613,3,FALSE),"")</f>
        <v/>
      </c>
      <c r="BA244" s="94" t="str">
        <f>IFERROR($N244+VLOOKUP($L244,'Voyage days'!$F$540:$H$613,3,FALSE),"")</f>
        <v/>
      </c>
      <c r="BB244" s="93" t="str">
        <f t="shared" si="33"/>
        <v/>
      </c>
      <c r="BC244" s="94" t="str">
        <f>IFERROR($M244+VLOOKUP($L244,'Voyage days'!$F$448:$H$479,3,FALSE),"")</f>
        <v/>
      </c>
      <c r="BD244" s="94" t="str">
        <f>IFERROR($N244+VLOOKUP($L244,'Voyage days'!$F$448:$H$479,3,FALSE),"")</f>
        <v/>
      </c>
      <c r="BE244" s="93" t="str">
        <f t="shared" si="34"/>
        <v/>
      </c>
      <c r="BF244" s="95" t="str">
        <f>IFERROR($M244+VLOOKUP($L244,'Voyage days'!$F$620:$H$646,3,FALSE),"")</f>
        <v/>
      </c>
      <c r="BG244" s="95" t="str">
        <f>IFERROR($N244+VLOOKUP($L244,'Voyage days'!$F$620:$H$646,3,FALSE),"")</f>
        <v/>
      </c>
      <c r="BH244" s="93" t="str">
        <f t="shared" si="35"/>
        <v/>
      </c>
      <c r="BI244" s="96" t="str">
        <f>IFERROR($M244+VLOOKUP($L244,'Voyage days'!$F$702:$H$727,3,FALSE),"")</f>
        <v/>
      </c>
      <c r="BJ244" s="93" t="str">
        <f t="shared" si="36"/>
        <v>14-15 Jun</v>
      </c>
      <c r="BK244" s="95">
        <f>IFERROR($M244+VLOOKUP($L244,'Voyage days'!$F$807:$H$878,3,FALSE),"")</f>
        <v>46187</v>
      </c>
      <c r="BL244" s="95">
        <f>IFERROR($N244+VLOOKUP($L244,'Voyage days'!$F$807:$H$878,3,FALSE),"")</f>
        <v>46188</v>
      </c>
      <c r="BM244" s="95">
        <f>IFERROR($N244+VLOOKUP($L244,'Voyage days'!$F$807:$K$878,6,FALSE),"")</f>
        <v>46160</v>
      </c>
      <c r="BN244" s="94" t="str">
        <f>IF(L244="loads AG", IFERROR($M244+VLOOKUP($L244,'Voyage days'!$M$38:$O$38,3,FALSE),""),"")</f>
        <v/>
      </c>
      <c r="BO244" s="94" t="str">
        <f>IF(L244="loads USG", IFERROR($M244+VLOOKUP($L244,'Voyage days'!$L$203:$N$203,3,FALSE),""),"")</f>
        <v/>
      </c>
    </row>
    <row r="245" spans="1:67" ht="15.75" customHeight="1" x14ac:dyDescent="0.25">
      <c r="A245" s="263" t="s">
        <v>593</v>
      </c>
      <c r="B245" s="119">
        <v>2024</v>
      </c>
      <c r="C245" s="76">
        <v>86000</v>
      </c>
      <c r="D245" s="77"/>
      <c r="E245" s="77"/>
      <c r="F245" s="78"/>
      <c r="G245" s="78"/>
      <c r="H245" s="78" t="s">
        <v>713</v>
      </c>
      <c r="I245" s="233" t="s">
        <v>1279</v>
      </c>
      <c r="J245" s="80" t="str">
        <f t="shared" si="40"/>
        <v/>
      </c>
      <c r="K245" s="81"/>
      <c r="L245" s="82" t="s">
        <v>715</v>
      </c>
      <c r="M245" s="83">
        <v>46152</v>
      </c>
      <c r="N245" s="83">
        <v>46153</v>
      </c>
      <c r="O245" s="337" t="s">
        <v>807</v>
      </c>
      <c r="P245" s="124" t="s">
        <v>1308</v>
      </c>
      <c r="Q245" s="78"/>
      <c r="R245" s="78" t="s">
        <v>1309</v>
      </c>
      <c r="S245" s="221" t="s">
        <v>724</v>
      </c>
      <c r="T245" s="86">
        <v>46132</v>
      </c>
      <c r="U245" s="87" t="str">
        <f>IF(V245="","No AIS",VLOOKUP(V245,'Voyage days'!$A$3:$B$1480,2,FALSE))</f>
        <v>Japan + 6</v>
      </c>
      <c r="V245" s="88" t="str">
        <f>IF(VLOOKUP(A245,'1) Kpler'!$E$2:$P$1000,8, FALSE)="","",VLOOKUP(A245,'1) Kpler'!$E$2:$P$1000,8, FALSE))</f>
        <v>Chiba</v>
      </c>
      <c r="W245" s="89">
        <f>IF(VLOOKUP(A245,'1) Kpler'!$E$2:$P$1000,9,FALSE)="","",VLOOKUP(A245,'1) Kpler'!$E$2:$P$1000,9,FALSE))</f>
        <v>46146.083333333336</v>
      </c>
      <c r="X245" s="88" t="str">
        <f>VLOOKUP(A245,'1) Kpler'!$E$2:$I$1000,4,FALSE)</f>
        <v>loaded</v>
      </c>
      <c r="Y245" s="63" t="str">
        <f t="shared" si="38"/>
        <v>28-29 May</v>
      </c>
      <c r="Z245" s="63" t="str">
        <f t="shared" si="1"/>
        <v>10-11 Jun</v>
      </c>
      <c r="AA245" s="63" t="str">
        <f t="shared" si="2"/>
        <v>21-22 Jun</v>
      </c>
      <c r="AB245" s="63" t="str">
        <f t="shared" si="3"/>
        <v>09-10 Jun</v>
      </c>
      <c r="AC245" s="63" t="str">
        <f t="shared" si="4"/>
        <v>15-16 Jun</v>
      </c>
      <c r="AD245" s="63" t="str">
        <f t="shared" si="5"/>
        <v>18-19 May</v>
      </c>
      <c r="AE245" s="129" t="str">
        <f t="shared" si="6"/>
        <v>18-19 May</v>
      </c>
      <c r="AF245" s="130" t="str">
        <f t="shared" si="7"/>
        <v>25-26 Jun</v>
      </c>
      <c r="AG245" s="93" t="str">
        <f t="shared" si="26"/>
        <v>28-29 May</v>
      </c>
      <c r="AH245" s="94">
        <f>IFERROR($M245+VLOOKUP($L245,'Voyage days'!$F$38:$H$89,3,FALSE),"")</f>
        <v>46170</v>
      </c>
      <c r="AI245" s="94">
        <f>IFERROR(N245+VLOOKUP($L245,'Voyage days'!$F$38:$H$89,3,FALSE),"")</f>
        <v>46171</v>
      </c>
      <c r="AJ245" s="93" t="str">
        <f t="shared" si="27"/>
        <v>10-11 Jun</v>
      </c>
      <c r="AK245" s="94">
        <f>IFERROR($M245+VLOOKUP($L245,'Voyage days'!$F$94:$H$193,3,FALSE),"")</f>
        <v>46183</v>
      </c>
      <c r="AL245" s="94">
        <f>IFERROR($N245+VLOOKUP($L245,'Voyage days'!$F$94:$H$193,3,FALSE),"")</f>
        <v>46184</v>
      </c>
      <c r="AM245" s="93" t="str">
        <f t="shared" si="28"/>
        <v>21-22 Jun</v>
      </c>
      <c r="AN245" s="94">
        <f>IFERROR($M245+VLOOKUP($L245,'Voyage days'!$F$203:$H$256,3,FALSE),"")</f>
        <v>46194</v>
      </c>
      <c r="AO245" s="94">
        <f>IFERROR($N245+VLOOKUP($L245,'Voyage days'!$F$203:$H$256,3,FALSE),"")</f>
        <v>46195</v>
      </c>
      <c r="AP245" s="93" t="str">
        <f t="shared" si="29"/>
        <v>09-10 Jun</v>
      </c>
      <c r="AQ245" s="94">
        <f>IFERROR($M245+VLOOKUP($L245,'Voyage days'!$F$294:$H$377,3,FALSE),"")</f>
        <v>46182</v>
      </c>
      <c r="AR245" s="94">
        <f>IFERROR($N245+VLOOKUP($L245,'Voyage days'!$F$294:$H$377,3,FALSE),"")</f>
        <v>46183</v>
      </c>
      <c r="AS245" s="93" t="str">
        <f t="shared" si="30"/>
        <v>15-16 Jun</v>
      </c>
      <c r="AT245" s="94">
        <f>IFERROR($M245+VLOOKUP($L245,'Voyage days'!$F$382:$H$446,3,FALSE),"")</f>
        <v>46188</v>
      </c>
      <c r="AU245" s="94">
        <f>IFERROR($N245+VLOOKUP($L245,'Voyage days'!$F$382:$H$446,3,FALSE),"")</f>
        <v>46189</v>
      </c>
      <c r="AV245" s="93" t="str">
        <f t="shared" si="31"/>
        <v>23-24 May</v>
      </c>
      <c r="AW245" s="94">
        <f>IFERROR($M245+VLOOKUP($L245,'Voyage days'!$F$483:$H$538,3,FALSE),"")</f>
        <v>46165</v>
      </c>
      <c r="AX245" s="94">
        <f>IFERROR($N245+VLOOKUP($L245,'Voyage days'!$F$483:$H$538,3,FALSE),"")</f>
        <v>46166</v>
      </c>
      <c r="AY245" s="93" t="str">
        <f t="shared" si="32"/>
        <v>18-19 May</v>
      </c>
      <c r="AZ245" s="94">
        <f>IFERROR($M245+VLOOKUP($L245,'Voyage days'!$F$540:$H$613,3,FALSE),"")</f>
        <v>46160.25</v>
      </c>
      <c r="BA245" s="94">
        <f>IFERROR($N245+VLOOKUP($L245,'Voyage days'!$F$540:$H$613,3,FALSE),"")</f>
        <v>46161.25</v>
      </c>
      <c r="BB245" s="93" t="str">
        <f t="shared" si="33"/>
        <v>18-19 May</v>
      </c>
      <c r="BC245" s="94">
        <f>IFERROR($M245+VLOOKUP($L245,'Voyage days'!$F$448:$H$479,3,FALSE),"")</f>
        <v>46160</v>
      </c>
      <c r="BD245" s="94">
        <f>IFERROR($N245+VLOOKUP($L245,'Voyage days'!$F$448:$H$479,3,FALSE),"")</f>
        <v>46161</v>
      </c>
      <c r="BE245" s="93" t="str">
        <f t="shared" si="34"/>
        <v>21-22 May</v>
      </c>
      <c r="BF245" s="95">
        <f>IFERROR($M245+VLOOKUP($L245,'Voyage days'!$F$620:$H$646,3,FALSE),"")</f>
        <v>46163</v>
      </c>
      <c r="BG245" s="95">
        <f>IFERROR($N245+VLOOKUP($L245,'Voyage days'!$F$620:$H$646,3,FALSE),"")</f>
        <v>46164</v>
      </c>
      <c r="BH245" s="93" t="str">
        <f t="shared" si="35"/>
        <v>18-26 Jun</v>
      </c>
      <c r="BI245" s="96">
        <f>IFERROR($M245+VLOOKUP($L245,'Voyage days'!$F$702:$H$727,3,FALSE),"")</f>
        <v>46160.25</v>
      </c>
      <c r="BJ245" s="93" t="str">
        <f t="shared" si="36"/>
        <v>25-26 Jun</v>
      </c>
      <c r="BK245" s="95">
        <f>IFERROR($M245+VLOOKUP($L245,'Voyage days'!$F$807:$H$878,3,FALSE),"")</f>
        <v>46198</v>
      </c>
      <c r="BL245" s="95">
        <f>IFERROR($N245+VLOOKUP($L245,'Voyage days'!$F$807:$H$878,3,FALSE),"")</f>
        <v>46199</v>
      </c>
      <c r="BM245" s="95">
        <f>IFERROR($N245+VLOOKUP($L245,'Voyage days'!$F$807:$K$878,6,FALSE),"")</f>
        <v>46173</v>
      </c>
      <c r="BN245" s="94" t="str">
        <f>IF(L245="loads AG", IFERROR($M245+VLOOKUP($L245,'Voyage days'!$M$38:$O$38,3,FALSE),""),"")</f>
        <v/>
      </c>
      <c r="BO245" s="94" t="str">
        <f>IF(L245="loads USG", IFERROR($M245+VLOOKUP($L245,'Voyage days'!$L$203:$N$203,3,FALSE),""),"")</f>
        <v/>
      </c>
    </row>
    <row r="246" spans="1:67" ht="15.75" customHeight="1" x14ac:dyDescent="0.25">
      <c r="A246" s="236" t="s">
        <v>604</v>
      </c>
      <c r="B246" s="119">
        <v>2024</v>
      </c>
      <c r="C246" s="76">
        <v>86000</v>
      </c>
      <c r="D246" s="77"/>
      <c r="E246" s="77"/>
      <c r="F246" s="78"/>
      <c r="G246" s="78"/>
      <c r="H246" s="78" t="s">
        <v>713</v>
      </c>
      <c r="I246" s="233" t="s">
        <v>1310</v>
      </c>
      <c r="J246" s="80" t="str">
        <f t="shared" si="40"/>
        <v/>
      </c>
      <c r="K246" s="81"/>
      <c r="L246" s="82" t="s">
        <v>704</v>
      </c>
      <c r="M246" s="83">
        <v>46159</v>
      </c>
      <c r="N246" s="83">
        <v>46160</v>
      </c>
      <c r="O246" s="84"/>
      <c r="P246" s="82" t="s">
        <v>1311</v>
      </c>
      <c r="Q246" s="82"/>
      <c r="R246" s="82" t="s">
        <v>1312</v>
      </c>
      <c r="S246" s="221" t="s">
        <v>724</v>
      </c>
      <c r="T246" s="86">
        <v>46132</v>
      </c>
      <c r="U246" s="87" t="str">
        <f>IF(V246="","No AIS",VLOOKUP(V246,'Voyage days'!$A$3:$B$1480,2,FALSE))</f>
        <v>Panama</v>
      </c>
      <c r="V246" s="88" t="str">
        <f>IF(VLOOKUP(A246,'1) Kpler'!$E$2:$P$1000,8, FALSE)="","",VLOOKUP(A246,'1) Kpler'!$E$2:$P$1000,8, FALSE))</f>
        <v>Panama Canal</v>
      </c>
      <c r="W246" s="89">
        <f>IF(VLOOKUP(A246,'1) Kpler'!$E$2:$P$1000,9,FALSE)="","",VLOOKUP(A246,'1) Kpler'!$E$2:$P$1000,9,FALSE))</f>
        <v>46133.958333333336</v>
      </c>
      <c r="X246" s="88" t="str">
        <f>VLOOKUP(A246,'1) Kpler'!$E$2:$I$1000,4,FALSE)</f>
        <v>loaded</v>
      </c>
      <c r="Y246" s="90" t="str">
        <f t="shared" si="38"/>
        <v>04-05 Jun</v>
      </c>
      <c r="Z246" s="90" t="str">
        <f t="shared" si="1"/>
        <v>16-17 Jun</v>
      </c>
      <c r="AA246" s="90" t="str">
        <f t="shared" si="2"/>
        <v>24-25 Jun</v>
      </c>
      <c r="AB246" s="90" t="str">
        <f t="shared" si="3"/>
        <v>16-17 Jun</v>
      </c>
      <c r="AC246" s="90" t="str">
        <f t="shared" si="4"/>
        <v>22-23 Jun</v>
      </c>
      <c r="AD246" s="90" t="str">
        <f t="shared" si="5"/>
        <v>25-26 May</v>
      </c>
      <c r="AE246" s="91" t="str">
        <f t="shared" si="6"/>
        <v>25-26 May</v>
      </c>
      <c r="AF246" s="92" t="str">
        <f t="shared" si="7"/>
        <v>02-03 Jul</v>
      </c>
      <c r="AG246" s="93" t="str">
        <f t="shared" si="26"/>
        <v>04-05 Jun</v>
      </c>
      <c r="AH246" s="94">
        <f>IFERROR($M246+VLOOKUP($L246,'Voyage days'!$F$38:$H$89,3,FALSE),"")</f>
        <v>46177</v>
      </c>
      <c r="AI246" s="94">
        <f>IFERROR(N246+VLOOKUP($L246,'Voyage days'!$F$38:$H$89,3,FALSE),"")</f>
        <v>46178</v>
      </c>
      <c r="AJ246" s="93" t="str">
        <f t="shared" si="27"/>
        <v>16-17 Jun</v>
      </c>
      <c r="AK246" s="94">
        <f>IFERROR($M246+VLOOKUP($L246,'Voyage days'!$F$94:$H$193,3,FALSE),"")</f>
        <v>46189</v>
      </c>
      <c r="AL246" s="94">
        <f>IFERROR($N246+VLOOKUP($L246,'Voyage days'!$F$94:$H$193,3,FALSE),"")</f>
        <v>46190</v>
      </c>
      <c r="AM246" s="93" t="str">
        <f t="shared" si="28"/>
        <v>24-25 Jun</v>
      </c>
      <c r="AN246" s="94">
        <f>IFERROR($M246+VLOOKUP($L246,'Voyage days'!$F$203:$H$256,3,FALSE),"")</f>
        <v>46197</v>
      </c>
      <c r="AO246" s="94">
        <f>IFERROR($N246+VLOOKUP($L246,'Voyage days'!$F$203:$H$256,3,FALSE),"")</f>
        <v>46198</v>
      </c>
      <c r="AP246" s="93" t="str">
        <f t="shared" si="29"/>
        <v>16-17 Jun</v>
      </c>
      <c r="AQ246" s="94">
        <f>IFERROR($M246+VLOOKUP($L246,'Voyage days'!$F$294:$H$377,3,FALSE),"")</f>
        <v>46189</v>
      </c>
      <c r="AR246" s="94">
        <f>IFERROR($N246+VLOOKUP($L246,'Voyage days'!$F$294:$H$377,3,FALSE),"")</f>
        <v>46190</v>
      </c>
      <c r="AS246" s="93" t="str">
        <f t="shared" si="30"/>
        <v>22-23 Jun</v>
      </c>
      <c r="AT246" s="94">
        <f>IFERROR($M246+VLOOKUP($L246,'Voyage days'!$F$382:$H$446,3,FALSE),"")</f>
        <v>46195</v>
      </c>
      <c r="AU246" s="94">
        <f>IFERROR($N246+VLOOKUP($L246,'Voyage days'!$F$382:$H$446,3,FALSE),"")</f>
        <v>46196</v>
      </c>
      <c r="AV246" s="93" t="str">
        <f t="shared" si="31"/>
        <v>30-31 May</v>
      </c>
      <c r="AW246" s="94">
        <f>IFERROR($M246+VLOOKUP($L246,'Voyage days'!$F$483:$H$538,3,FALSE),"")</f>
        <v>46172</v>
      </c>
      <c r="AX246" s="94">
        <f>IFERROR($N246+VLOOKUP($L246,'Voyage days'!$F$483:$H$538,3,FALSE),"")</f>
        <v>46173</v>
      </c>
      <c r="AY246" s="93" t="str">
        <f t="shared" si="32"/>
        <v>25-26 May</v>
      </c>
      <c r="AZ246" s="94">
        <f>IFERROR($M246+VLOOKUP($L246,'Voyage days'!$F$540:$H$613,3,FALSE),"")</f>
        <v>46167.25</v>
      </c>
      <c r="BA246" s="94">
        <f>IFERROR($N246+VLOOKUP($L246,'Voyage days'!$F$540:$H$613,3,FALSE),"")</f>
        <v>46168.25</v>
      </c>
      <c r="BB246" s="93" t="str">
        <f t="shared" si="33"/>
        <v>25-26 May</v>
      </c>
      <c r="BC246" s="94">
        <f>IFERROR($M246+VLOOKUP($L246,'Voyage days'!$F$448:$H$479,3,FALSE),"")</f>
        <v>46167</v>
      </c>
      <c r="BD246" s="94">
        <f>IFERROR($N246+VLOOKUP($L246,'Voyage days'!$F$448:$H$479,3,FALSE),"")</f>
        <v>46168</v>
      </c>
      <c r="BE246" s="93" t="str">
        <f t="shared" si="34"/>
        <v>28-29 May</v>
      </c>
      <c r="BF246" s="95">
        <f>IFERROR($M246+VLOOKUP($L246,'Voyage days'!$F$620:$H$646,3,FALSE),"")</f>
        <v>46170</v>
      </c>
      <c r="BG246" s="95">
        <f>IFERROR($N246+VLOOKUP($L246,'Voyage days'!$F$620:$H$646,3,FALSE),"")</f>
        <v>46171</v>
      </c>
      <c r="BH246" s="93" t="str">
        <f t="shared" si="35"/>
        <v>25-03 Jul</v>
      </c>
      <c r="BI246" s="96">
        <f>IFERROR($M246+VLOOKUP($L246,'Voyage days'!$F$702:$H$727,3,FALSE),"")</f>
        <v>46167.25</v>
      </c>
      <c r="BJ246" s="93" t="str">
        <f t="shared" si="36"/>
        <v>02-03 Jul</v>
      </c>
      <c r="BK246" s="95">
        <f>IFERROR($M246+VLOOKUP($L246,'Voyage days'!$F$807:$H$878,3,FALSE),"")</f>
        <v>46205</v>
      </c>
      <c r="BL246" s="95">
        <f>IFERROR($N246+VLOOKUP($L246,'Voyage days'!$F$807:$H$878,3,FALSE),"")</f>
        <v>46206</v>
      </c>
      <c r="BM246" s="95">
        <f>IFERROR($N246+VLOOKUP($L246,'Voyage days'!$F$807:$K$878,6,FALSE),"")</f>
        <v>46180</v>
      </c>
      <c r="BN246" s="94" t="str">
        <f>IF(L246="loads AG", IFERROR($M246+VLOOKUP($L246,'Voyage days'!$M$38:$O$38,3,FALSE),""),"")</f>
        <v/>
      </c>
      <c r="BO246" s="94" t="str">
        <f>IF(L246="loads USG", IFERROR($M246+VLOOKUP($L246,'Voyage days'!$L$203:$N$203,3,FALSE),""),"")</f>
        <v/>
      </c>
    </row>
    <row r="247" spans="1:67" ht="15" customHeight="1" x14ac:dyDescent="0.25">
      <c r="A247" s="236" t="s">
        <v>170</v>
      </c>
      <c r="B247" s="75">
        <v>43678</v>
      </c>
      <c r="C247" s="76">
        <v>80000</v>
      </c>
      <c r="D247" s="77"/>
      <c r="E247" s="77"/>
      <c r="F247" s="78"/>
      <c r="G247" s="78"/>
      <c r="H247" s="78" t="s">
        <v>739</v>
      </c>
      <c r="I247" s="233" t="s">
        <v>1279</v>
      </c>
      <c r="J247" s="80" t="str">
        <f t="shared" si="40"/>
        <v/>
      </c>
      <c r="K247" s="81" t="s">
        <v>790</v>
      </c>
      <c r="L247" s="159" t="s">
        <v>718</v>
      </c>
      <c r="M247" s="83">
        <v>46153</v>
      </c>
      <c r="N247" s="83">
        <v>46154</v>
      </c>
      <c r="O247" s="84"/>
      <c r="P247" s="82" t="s">
        <v>996</v>
      </c>
      <c r="Q247" s="82"/>
      <c r="R247" s="82" t="s">
        <v>1313</v>
      </c>
      <c r="S247" s="221" t="s">
        <v>724</v>
      </c>
      <c r="T247" s="86">
        <v>46132</v>
      </c>
      <c r="U247" s="87" t="str">
        <f>IF(V247="","No AIS",VLOOKUP(V247,'Voyage days'!$A$3:$B$1480,2,FALSE))</f>
        <v>USG</v>
      </c>
      <c r="V247" s="88" t="str">
        <f>IF(VLOOKUP(A247,'1) Kpler'!$E$2:$P$1000,8, FALSE)="","",VLOOKUP(A247,'1) Kpler'!$E$2:$P$1000,8, FALSE))</f>
        <v>PADD 3</v>
      </c>
      <c r="W247" s="89">
        <f>IF(VLOOKUP(A247,'1) Kpler'!$E$2:$P$1000,9,FALSE)="","",VLOOKUP(A247,'1) Kpler'!$E$2:$P$1000,9,FALSE))</f>
        <v>46152</v>
      </c>
      <c r="X247" s="88" t="str">
        <f>VLOOKUP(A247,'1) Kpler'!$E$2:$I$1000,4,FALSE)</f>
        <v>ballast</v>
      </c>
      <c r="Y247" s="63" t="str">
        <f t="shared" si="38"/>
        <v/>
      </c>
      <c r="Z247" s="63" t="str">
        <f t="shared" si="1"/>
        <v>11-12 May</v>
      </c>
      <c r="AA247" s="63" t="str">
        <f t="shared" si="2"/>
        <v>11-12 May</v>
      </c>
      <c r="AB247" s="63" t="str">
        <f t="shared" si="3"/>
        <v/>
      </c>
      <c r="AC247" s="63" t="str">
        <f t="shared" si="4"/>
        <v>31-01 Jun</v>
      </c>
      <c r="AD247" s="63" t="str">
        <f t="shared" si="5"/>
        <v/>
      </c>
      <c r="AE247" s="129" t="str">
        <f t="shared" si="6"/>
        <v/>
      </c>
      <c r="AF247" s="130" t="str">
        <f t="shared" si="7"/>
        <v/>
      </c>
      <c r="AG247" s="93" t="str">
        <f t="shared" si="26"/>
        <v/>
      </c>
      <c r="AH247" s="94" t="str">
        <f>IFERROR($M247+VLOOKUP($L247,'Voyage days'!$F$38:$H$89,3,FALSE),"")</f>
        <v/>
      </c>
      <c r="AI247" s="94" t="str">
        <f>IFERROR(N247+VLOOKUP($L247,'Voyage days'!$F$38:$H$89,3,FALSE),"")</f>
        <v/>
      </c>
      <c r="AJ247" s="93" t="str">
        <f t="shared" si="27"/>
        <v>11-12 May</v>
      </c>
      <c r="AK247" s="94">
        <f>IFERROR($M247+VLOOKUP($L247,'Voyage days'!$F$94:$H$193,3,FALSE),"")</f>
        <v>46153</v>
      </c>
      <c r="AL247" s="94">
        <f>IFERROR($N247+VLOOKUP($L247,'Voyage days'!$F$94:$H$193,3,FALSE),"")</f>
        <v>46154</v>
      </c>
      <c r="AM247" s="93" t="str">
        <f t="shared" si="28"/>
        <v>11-12 May</v>
      </c>
      <c r="AN247" s="94">
        <f>IFERROR($M247+VLOOKUP($L247,'Voyage days'!$F$203:$H$256,3,FALSE),"")</f>
        <v>46153</v>
      </c>
      <c r="AO247" s="94">
        <f>IFERROR($N247+VLOOKUP($L247,'Voyage days'!$F$203:$H$256,3,FALSE),"")</f>
        <v>46154</v>
      </c>
      <c r="AP247" s="93" t="str">
        <f t="shared" si="29"/>
        <v/>
      </c>
      <c r="AQ247" s="94" t="str">
        <f>IFERROR($M247+VLOOKUP($L247,'Voyage days'!$F$294:$H$377,3,FALSE),"")</f>
        <v/>
      </c>
      <c r="AR247" s="94" t="str">
        <f>IFERROR($N247+VLOOKUP($L247,'Voyage days'!$F$294:$H$377,3,FALSE),"")</f>
        <v/>
      </c>
      <c r="AS247" s="93" t="str">
        <f t="shared" si="30"/>
        <v>31-01 Jun</v>
      </c>
      <c r="AT247" s="94">
        <f>IFERROR($M247+VLOOKUP($L247,'Voyage days'!$F$382:$H$446,3,FALSE),"")</f>
        <v>46173</v>
      </c>
      <c r="AU247" s="94">
        <f>IFERROR($N247+VLOOKUP($L247,'Voyage days'!$F$382:$H$446,3,FALSE),"")</f>
        <v>46174</v>
      </c>
      <c r="AV247" s="93" t="str">
        <f t="shared" si="31"/>
        <v/>
      </c>
      <c r="AW247" s="94" t="str">
        <f>IFERROR($M247+VLOOKUP($L247,'Voyage days'!$F$483:$H$538,3,FALSE),"")</f>
        <v/>
      </c>
      <c r="AX247" s="94" t="str">
        <f>IFERROR($N247+VLOOKUP($L247,'Voyage days'!$F$483:$H$538,3,FALSE),"")</f>
        <v/>
      </c>
      <c r="AY247" s="93" t="str">
        <f t="shared" si="32"/>
        <v/>
      </c>
      <c r="AZ247" s="94" t="str">
        <f>IFERROR($M247+VLOOKUP($L247,'Voyage days'!$F$540:$H$613,3,FALSE),"")</f>
        <v/>
      </c>
      <c r="BA247" s="94" t="str">
        <f>IFERROR($N247+VLOOKUP($L247,'Voyage days'!$F$540:$H$613,3,FALSE),"")</f>
        <v/>
      </c>
      <c r="BB247" s="93" t="str">
        <f t="shared" si="33"/>
        <v/>
      </c>
      <c r="BC247" s="94" t="str">
        <f>IFERROR($M247+VLOOKUP($L247,'Voyage days'!$F$448:$H$479,3,FALSE),"")</f>
        <v/>
      </c>
      <c r="BD247" s="94" t="str">
        <f>IFERROR($N247+VLOOKUP($L247,'Voyage days'!$F$448:$H$479,3,FALSE),"")</f>
        <v/>
      </c>
      <c r="BE247" s="93" t="str">
        <f t="shared" si="34"/>
        <v/>
      </c>
      <c r="BF247" s="95" t="str">
        <f>IFERROR($M247+VLOOKUP($L247,'Voyage days'!$F$620:$H$646,3,FALSE),"")</f>
        <v/>
      </c>
      <c r="BG247" s="95" t="str">
        <f>IFERROR($N247+VLOOKUP($L247,'Voyage days'!$F$620:$H$646,3,FALSE),"")</f>
        <v/>
      </c>
      <c r="BH247" s="93" t="str">
        <f t="shared" si="35"/>
        <v/>
      </c>
      <c r="BI247" s="96" t="str">
        <f>IFERROR($M247+VLOOKUP($L247,'Voyage days'!$F$702:$H$727,3,FALSE),"")</f>
        <v/>
      </c>
      <c r="BJ247" s="93" t="str">
        <f t="shared" si="36"/>
        <v/>
      </c>
      <c r="BK247" s="95" t="str">
        <f>IFERROR($M247+VLOOKUP($L247,'Voyage days'!$F$807:$H$878,3,FALSE),"")</f>
        <v/>
      </c>
      <c r="BL247" s="95" t="str">
        <f>IFERROR($N247+VLOOKUP($L247,'Voyage days'!$F$807:$H$878,3,FALSE),"")</f>
        <v/>
      </c>
      <c r="BM247" s="95" t="str">
        <f>IFERROR($N247+VLOOKUP($L247,'Voyage days'!$F$807:$K$878,6,FALSE),"")</f>
        <v/>
      </c>
      <c r="BN247" s="94" t="str">
        <f>IF(L247="loads AG", IFERROR($M247+VLOOKUP($L247,'Voyage days'!$M$38:$O$38,3,FALSE),""),"")</f>
        <v/>
      </c>
      <c r="BO247" s="94">
        <f>IF(L247="loads USG", IFERROR($M247+VLOOKUP($L247,'Voyage days'!$L$203:$N$203,3,FALSE),""),"")</f>
        <v>46185</v>
      </c>
    </row>
    <row r="248" spans="1:67" ht="15.75" customHeight="1" x14ac:dyDescent="0.25">
      <c r="A248" s="132" t="s">
        <v>638</v>
      </c>
      <c r="B248" s="133">
        <v>2008</v>
      </c>
      <c r="C248" s="134">
        <v>78500</v>
      </c>
      <c r="D248" s="143"/>
      <c r="E248" s="143"/>
      <c r="F248" s="136"/>
      <c r="G248" s="136"/>
      <c r="H248" s="136" t="s">
        <v>739</v>
      </c>
      <c r="I248" s="177" t="s">
        <v>1279</v>
      </c>
      <c r="J248" s="138" t="str">
        <f t="shared" si="40"/>
        <v/>
      </c>
      <c r="K248" s="139"/>
      <c r="L248" s="140" t="s">
        <v>909</v>
      </c>
      <c r="M248" s="141">
        <v>46142</v>
      </c>
      <c r="N248" s="141">
        <v>46143</v>
      </c>
      <c r="O248" s="226"/>
      <c r="P248" s="140" t="s">
        <v>1314</v>
      </c>
      <c r="Q248" s="140"/>
      <c r="R248" s="140" t="s">
        <v>1315</v>
      </c>
      <c r="S248" s="143" t="s">
        <v>724</v>
      </c>
      <c r="T248" s="144">
        <v>46132</v>
      </c>
      <c r="U248" s="145" t="str">
        <f>IF(V248="","No AIS",VLOOKUP(V248,'Voyage days'!$A$3:$B$1480,2,FALSE))</f>
        <v>Singapore</v>
      </c>
      <c r="V248" s="146" t="str">
        <f>IF(VLOOKUP(A248,'1) Kpler'!$E$2:$P$1000,8, FALSE)="","",VLOOKUP(A248,'1) Kpler'!$E$2:$P$1000,8, FALSE))</f>
        <v>Singapore</v>
      </c>
      <c r="W248" s="147">
        <f>IF(VLOOKUP(A248,'1) Kpler'!$E$2:$P$1000,9,FALSE)="","",VLOOKUP(A248,'1) Kpler'!$E$2:$P$1000,9,FALSE))</f>
        <v>46142.000694444447</v>
      </c>
      <c r="X248" s="146" t="str">
        <f>VLOOKUP(A248,'1) Kpler'!$E$2:$I$1000,4,FALSE)</f>
        <v>open</v>
      </c>
      <c r="Y248" s="148" t="str">
        <f t="shared" si="38"/>
        <v>15-16 May</v>
      </c>
      <c r="Z248" s="148" t="str">
        <f t="shared" si="1"/>
        <v>07-08 Jun</v>
      </c>
      <c r="AA248" s="148" t="str">
        <f t="shared" si="2"/>
        <v>08-09 Jun</v>
      </c>
      <c r="AB248" s="148" t="str">
        <f t="shared" si="3"/>
        <v>25-26 May</v>
      </c>
      <c r="AC248" s="148" t="str">
        <f t="shared" si="4"/>
        <v>02-03 Jun</v>
      </c>
      <c r="AD248" s="148" t="str">
        <f t="shared" si="5"/>
        <v>07-08 May</v>
      </c>
      <c r="AE248" s="149" t="str">
        <f t="shared" si="6"/>
        <v>10-11 May</v>
      </c>
      <c r="AF248" s="150" t="str">
        <f t="shared" si="7"/>
        <v>12-13 Jun</v>
      </c>
      <c r="AG248" s="93" t="str">
        <f t="shared" si="26"/>
        <v>15-16 May</v>
      </c>
      <c r="AH248" s="94">
        <f>IFERROR($M248+VLOOKUP($L248,'Voyage days'!$F$38:$H$89,3,FALSE),"")</f>
        <v>46157</v>
      </c>
      <c r="AI248" s="94">
        <f>IFERROR(N248+VLOOKUP($L248,'Voyage days'!$F$38:$H$89,3,FALSE),"")</f>
        <v>46158</v>
      </c>
      <c r="AJ248" s="93" t="str">
        <f t="shared" si="27"/>
        <v>07-08 Jun</v>
      </c>
      <c r="AK248" s="94">
        <f>IFERROR($M248+VLOOKUP($L248,'Voyage days'!$F$94:$H$193,3,FALSE),"")</f>
        <v>46180</v>
      </c>
      <c r="AL248" s="94">
        <f>IFERROR($N248+VLOOKUP($L248,'Voyage days'!$F$94:$H$193,3,FALSE),"")</f>
        <v>46181</v>
      </c>
      <c r="AM248" s="93" t="str">
        <f t="shared" si="28"/>
        <v>08-09 Jun</v>
      </c>
      <c r="AN248" s="94">
        <f>IFERROR($M248+VLOOKUP($L248,'Voyage days'!$F$203:$H$256,3,FALSE),"")</f>
        <v>46181</v>
      </c>
      <c r="AO248" s="94">
        <f>IFERROR($N248+VLOOKUP($L248,'Voyage days'!$F$203:$H$256,3,FALSE),"")</f>
        <v>46182</v>
      </c>
      <c r="AP248" s="93" t="str">
        <f t="shared" si="29"/>
        <v>25-26 May</v>
      </c>
      <c r="AQ248" s="94">
        <f>IFERROR($M248+VLOOKUP($L248,'Voyage days'!$F$294:$H$377,3,FALSE),"")</f>
        <v>46167</v>
      </c>
      <c r="AR248" s="94">
        <f>IFERROR($N248+VLOOKUP($L248,'Voyage days'!$F$294:$H$377,3,FALSE),"")</f>
        <v>46168</v>
      </c>
      <c r="AS248" s="93" t="str">
        <f t="shared" si="30"/>
        <v>02-03 Jun</v>
      </c>
      <c r="AT248" s="94">
        <f>IFERROR($M248+VLOOKUP($L248,'Voyage days'!$F$382:$H$446,3,FALSE),"")</f>
        <v>46175</v>
      </c>
      <c r="AU248" s="94">
        <f>IFERROR($N248+VLOOKUP($L248,'Voyage days'!$F$382:$H$446,3,FALSE),"")</f>
        <v>46176</v>
      </c>
      <c r="AV248" s="93" t="str">
        <f t="shared" si="31"/>
        <v>16-17 May</v>
      </c>
      <c r="AW248" s="94">
        <f>IFERROR($M248+VLOOKUP($L248,'Voyage days'!$F$483:$H$538,3,FALSE),"")</f>
        <v>46158</v>
      </c>
      <c r="AX248" s="94">
        <f>IFERROR($N248+VLOOKUP($L248,'Voyage days'!$F$483:$H$538,3,FALSE),"")</f>
        <v>46159</v>
      </c>
      <c r="AY248" s="93" t="str">
        <f t="shared" si="32"/>
        <v>10-11 May</v>
      </c>
      <c r="AZ248" s="94">
        <f>IFERROR($M248+VLOOKUP($L248,'Voyage days'!$F$540:$H$613,3,FALSE),"")</f>
        <v>46152</v>
      </c>
      <c r="BA248" s="94">
        <f>IFERROR($N248+VLOOKUP($L248,'Voyage days'!$F$540:$H$613,3,FALSE),"")</f>
        <v>46153</v>
      </c>
      <c r="BB248" s="93" t="str">
        <f t="shared" si="33"/>
        <v>07-08 May</v>
      </c>
      <c r="BC248" s="94">
        <f>IFERROR($M248+VLOOKUP($L248,'Voyage days'!$F$448:$H$479,3,FALSE),"")</f>
        <v>46149</v>
      </c>
      <c r="BD248" s="94">
        <f>IFERROR($N248+VLOOKUP($L248,'Voyage days'!$F$448:$H$479,3,FALSE),"")</f>
        <v>46150</v>
      </c>
      <c r="BE248" s="93" t="str">
        <f t="shared" si="34"/>
        <v/>
      </c>
      <c r="BF248" s="95" t="str">
        <f>IFERROR($M248+VLOOKUP($L248,'Voyage days'!$F$620:$H$646,3,FALSE),"")</f>
        <v/>
      </c>
      <c r="BG248" s="95" t="str">
        <f>IFERROR($N248+VLOOKUP($L248,'Voyage days'!$F$620:$H$646,3,FALSE),"")</f>
        <v/>
      </c>
      <c r="BH248" s="93" t="str">
        <f t="shared" si="35"/>
        <v>15-13 Jun</v>
      </c>
      <c r="BI248" s="96">
        <f>IFERROR($M248+VLOOKUP($L248,'Voyage days'!$F$702:$H$727,3,FALSE),"")</f>
        <v>46157</v>
      </c>
      <c r="BJ248" s="93" t="str">
        <f t="shared" si="36"/>
        <v>12-13 Jun</v>
      </c>
      <c r="BK248" s="95">
        <f>IFERROR($M248+VLOOKUP($L248,'Voyage days'!$F$807:$H$878,3,FALSE),"")</f>
        <v>46185</v>
      </c>
      <c r="BL248" s="95">
        <f>IFERROR($N248+VLOOKUP($L248,'Voyage days'!$F$807:$H$878,3,FALSE),"")</f>
        <v>46186</v>
      </c>
      <c r="BM248" s="95">
        <f>IFERROR($N248+VLOOKUP($L248,'Voyage days'!$F$807:$K$878,6,FALSE),"")</f>
        <v>46162</v>
      </c>
      <c r="BN248" s="94" t="str">
        <f>IF(L248="loads AG", IFERROR($M248+VLOOKUP($L248,'Voyage days'!$M$38:$O$38,3,FALSE),""),"")</f>
        <v/>
      </c>
      <c r="BO248" s="94" t="str">
        <f>IF(L248="loads USG", IFERROR($M248+VLOOKUP($L248,'Voyage days'!$L$203:$N$203,3,FALSE),""),"")</f>
        <v/>
      </c>
    </row>
    <row r="249" spans="1:67" ht="15.75" customHeight="1" x14ac:dyDescent="0.25">
      <c r="A249" s="74" t="s">
        <v>613</v>
      </c>
      <c r="B249" s="119">
        <v>2024</v>
      </c>
      <c r="C249" s="76">
        <v>93000</v>
      </c>
      <c r="D249" s="77"/>
      <c r="E249" s="77"/>
      <c r="F249" s="78"/>
      <c r="G249" s="78"/>
      <c r="H249" s="78" t="s">
        <v>713</v>
      </c>
      <c r="I249" s="233" t="s">
        <v>1316</v>
      </c>
      <c r="J249" s="80" t="str">
        <f t="shared" si="40"/>
        <v>NO AIS</v>
      </c>
      <c r="K249" s="81"/>
      <c r="L249" s="82" t="s">
        <v>1317</v>
      </c>
      <c r="M249" s="83">
        <v>46143</v>
      </c>
      <c r="N249" s="83">
        <v>46144</v>
      </c>
      <c r="O249" s="84"/>
      <c r="P249" s="167" t="s">
        <v>1318</v>
      </c>
      <c r="Q249" s="82"/>
      <c r="R249" s="82"/>
      <c r="S249" s="120" t="s">
        <v>33</v>
      </c>
      <c r="T249" s="86">
        <v>46132</v>
      </c>
      <c r="U249" s="87" t="str">
        <f>IF(V249="","No AIS",VLOOKUP(V249,'Voyage days'!$A$3:$B$1480,2,FALSE))</f>
        <v>No AIS</v>
      </c>
      <c r="V249" s="88" t="str">
        <f>IF(VLOOKUP(A249,'1) Kpler'!$E$2:$P$1000,8, FALSE)="","",VLOOKUP(A249,'1) Kpler'!$E$2:$P$1000,8, FALSE))</f>
        <v/>
      </c>
      <c r="W249" s="89" t="str">
        <f>IF(VLOOKUP(A249,'1) Kpler'!$E$2:$P$1000,9,FALSE)="","",VLOOKUP(A249,'1) Kpler'!$E$2:$P$1000,9,FALSE))</f>
        <v/>
      </c>
      <c r="X249" s="88" t="str">
        <f>VLOOKUP(A249,'1) Kpler'!$E$2:$I$1000,4,FALSE)</f>
        <v>ballast</v>
      </c>
      <c r="Y249" s="63" t="str">
        <f t="shared" si="38"/>
        <v/>
      </c>
      <c r="Z249" s="63" t="str">
        <f t="shared" si="1"/>
        <v>01-02 May</v>
      </c>
      <c r="AA249" s="63" t="str">
        <f t="shared" si="2"/>
        <v/>
      </c>
      <c r="AB249" s="63" t="str">
        <f t="shared" si="3"/>
        <v/>
      </c>
      <c r="AC249" s="63" t="str">
        <f t="shared" si="4"/>
        <v>15-16 May</v>
      </c>
      <c r="AD249" s="63" t="str">
        <f t="shared" si="5"/>
        <v/>
      </c>
      <c r="AE249" s="129" t="str">
        <f t="shared" si="6"/>
        <v/>
      </c>
      <c r="AF249" s="130" t="str">
        <f t="shared" si="7"/>
        <v/>
      </c>
      <c r="AG249" s="93" t="str">
        <f t="shared" si="26"/>
        <v/>
      </c>
      <c r="AH249" s="94" t="str">
        <f>IFERROR($M249+VLOOKUP($L249,'Voyage days'!$F$38:$H$89,3,FALSE),"")</f>
        <v/>
      </c>
      <c r="AI249" s="94" t="str">
        <f>IFERROR(N249+VLOOKUP($L249,'Voyage days'!$F$38:$H$89,3,FALSE),"")</f>
        <v/>
      </c>
      <c r="AJ249" s="93" t="str">
        <f t="shared" si="27"/>
        <v>01-02 May</v>
      </c>
      <c r="AK249" s="94">
        <f>IFERROR($M249+VLOOKUP($L249,'Voyage days'!$F$94:$H$193,3,FALSE),"")</f>
        <v>46143</v>
      </c>
      <c r="AL249" s="94">
        <f>IFERROR($N249+VLOOKUP($L249,'Voyage days'!$F$94:$H$193,3,FALSE),"")</f>
        <v>46144</v>
      </c>
      <c r="AM249" s="93" t="str">
        <f t="shared" si="28"/>
        <v/>
      </c>
      <c r="AN249" s="94" t="str">
        <f>IFERROR($M249+VLOOKUP($L249,'Voyage days'!$F$203:$H$256,3,FALSE),"")</f>
        <v/>
      </c>
      <c r="AO249" s="94" t="str">
        <f>IFERROR($N249+VLOOKUP($L249,'Voyage days'!$F$203:$H$256,3,FALSE),"")</f>
        <v/>
      </c>
      <c r="AP249" s="93" t="str">
        <f t="shared" si="29"/>
        <v/>
      </c>
      <c r="AQ249" s="94" t="str">
        <f>IFERROR($M249+VLOOKUP($L249,'Voyage days'!$F$294:$H$377,3,FALSE),"")</f>
        <v/>
      </c>
      <c r="AR249" s="94" t="str">
        <f>IFERROR($N249+VLOOKUP($L249,'Voyage days'!$F$294:$H$377,3,FALSE),"")</f>
        <v/>
      </c>
      <c r="AS249" s="93" t="str">
        <f t="shared" si="30"/>
        <v>15-16 May</v>
      </c>
      <c r="AT249" s="94">
        <f>IFERROR($M249+VLOOKUP($L249,'Voyage days'!$F$382:$H$446,3,FALSE),"")</f>
        <v>46157</v>
      </c>
      <c r="AU249" s="94">
        <f>IFERROR($N249+VLOOKUP($L249,'Voyage days'!$F$382:$H$446,3,FALSE),"")</f>
        <v>46158</v>
      </c>
      <c r="AV249" s="93" t="str">
        <f t="shared" si="31"/>
        <v/>
      </c>
      <c r="AW249" s="94" t="str">
        <f>IFERROR($M249+VLOOKUP($L249,'Voyage days'!$F$483:$H$538,3,FALSE),"")</f>
        <v/>
      </c>
      <c r="AX249" s="94" t="str">
        <f>IFERROR($N249+VLOOKUP($L249,'Voyage days'!$F$483:$H$538,3,FALSE),"")</f>
        <v/>
      </c>
      <c r="AY249" s="93" t="str">
        <f t="shared" si="32"/>
        <v/>
      </c>
      <c r="AZ249" s="94" t="str">
        <f>IFERROR($M249+VLOOKUP($L249,'Voyage days'!$F$540:$H$613,3,FALSE),"")</f>
        <v/>
      </c>
      <c r="BA249" s="94" t="str">
        <f>IFERROR($N249+VLOOKUP($L249,'Voyage days'!$F$540:$H$613,3,FALSE),"")</f>
        <v/>
      </c>
      <c r="BB249" s="93" t="str">
        <f t="shared" si="33"/>
        <v/>
      </c>
      <c r="BC249" s="94" t="str">
        <f>IFERROR($M249+VLOOKUP($L249,'Voyage days'!$F$448:$H$479,3,FALSE),"")</f>
        <v/>
      </c>
      <c r="BD249" s="94" t="str">
        <f>IFERROR($N249+VLOOKUP($L249,'Voyage days'!$F$448:$H$479,3,FALSE),"")</f>
        <v/>
      </c>
      <c r="BE249" s="93" t="str">
        <f t="shared" si="34"/>
        <v/>
      </c>
      <c r="BF249" s="95" t="str">
        <f>IFERROR($M249+VLOOKUP($L249,'Voyage days'!$F$620:$H$646,3,FALSE),"")</f>
        <v/>
      </c>
      <c r="BG249" s="95" t="str">
        <f>IFERROR($N249+VLOOKUP($L249,'Voyage days'!$F$620:$H$646,3,FALSE),"")</f>
        <v/>
      </c>
      <c r="BH249" s="93" t="str">
        <f t="shared" si="35"/>
        <v/>
      </c>
      <c r="BI249" s="96" t="str">
        <f>IFERROR($M249+VLOOKUP($L249,'Voyage days'!$F$702:$H$727,3,FALSE),"")</f>
        <v/>
      </c>
      <c r="BJ249" s="93" t="str">
        <f t="shared" si="36"/>
        <v/>
      </c>
      <c r="BK249" s="95" t="str">
        <f>IFERROR($M249+VLOOKUP($L249,'Voyage days'!$F$807:$H$878,3,FALSE),"")</f>
        <v/>
      </c>
      <c r="BL249" s="95" t="str">
        <f>IFERROR($N249+VLOOKUP($L249,'Voyage days'!$F$807:$H$878,3,FALSE),"")</f>
        <v/>
      </c>
      <c r="BM249" s="95" t="str">
        <f>IFERROR($N249+VLOOKUP($L249,'Voyage days'!$F$807:$K$878,6,FALSE),"")</f>
        <v/>
      </c>
      <c r="BN249" s="94" t="str">
        <f>IF(L249="loads AG", IFERROR($M249+VLOOKUP($L249,'Voyage days'!$M$38:$O$38,3,FALSE),""),"")</f>
        <v/>
      </c>
      <c r="BO249" s="94" t="str">
        <f>IF(L249="loads USG", IFERROR($M249+VLOOKUP($L249,'Voyage days'!$L$203:$N$203,3,FALSE),""),"")</f>
        <v/>
      </c>
    </row>
    <row r="250" spans="1:67" ht="15.75" customHeight="1" x14ac:dyDescent="0.25">
      <c r="A250" s="263" t="s">
        <v>185</v>
      </c>
      <c r="B250" s="75">
        <v>43707</v>
      </c>
      <c r="C250" s="76">
        <v>80550</v>
      </c>
      <c r="D250" s="77"/>
      <c r="E250" s="77"/>
      <c r="F250" s="78"/>
      <c r="G250" s="78"/>
      <c r="H250" s="78" t="s">
        <v>739</v>
      </c>
      <c r="I250" s="233" t="s">
        <v>1316</v>
      </c>
      <c r="J250" s="80" t="str">
        <f t="shared" si="40"/>
        <v/>
      </c>
      <c r="K250" s="81"/>
      <c r="L250" s="82" t="s">
        <v>729</v>
      </c>
      <c r="M250" s="83">
        <v>46139</v>
      </c>
      <c r="N250" s="307">
        <v>46140</v>
      </c>
      <c r="O250" s="482"/>
      <c r="P250" s="82" t="s">
        <v>1319</v>
      </c>
      <c r="Q250" s="233"/>
      <c r="R250" s="233" t="s">
        <v>1320</v>
      </c>
      <c r="S250" s="120" t="s">
        <v>33</v>
      </c>
      <c r="T250" s="86">
        <v>46132</v>
      </c>
      <c r="U250" s="87" t="str">
        <f>IF(V250="","No AIS",VLOOKUP(V250,'Voyage days'!$A$3:$B$1480,2,FALSE))</f>
        <v>Mohammedia + 5</v>
      </c>
      <c r="V250" s="88" t="str">
        <f>IF(VLOOKUP(A250,'1) Kpler'!$E$2:$P$1000,8, FALSE)="","",VLOOKUP(A250,'1) Kpler'!$E$2:$P$1000,8, FALSE))</f>
        <v>Mohammedia Refinery</v>
      </c>
      <c r="W250" s="89">
        <f>IF(VLOOKUP(A250,'1) Kpler'!$E$2:$P$1000,9,FALSE)="","",VLOOKUP(A250,'1) Kpler'!$E$2:$P$1000,9,FALSE))</f>
        <v>46134.25</v>
      </c>
      <c r="X250" s="88" t="str">
        <f>VLOOKUP(A250,'1) Kpler'!$E$2:$I$1000,4,FALSE)</f>
        <v>loaded</v>
      </c>
      <c r="Y250" s="90" t="str">
        <f t="shared" si="38"/>
        <v/>
      </c>
      <c r="Z250" s="90" t="str">
        <f t="shared" si="1"/>
        <v>10-11 May</v>
      </c>
      <c r="AA250" s="90" t="str">
        <f t="shared" si="2"/>
        <v>11-12 May</v>
      </c>
      <c r="AB250" s="90" t="str">
        <f t="shared" si="3"/>
        <v>06-07 May</v>
      </c>
      <c r="AC250" s="90" t="str">
        <f t="shared" si="4"/>
        <v>28-29 Apr</v>
      </c>
      <c r="AD250" s="90" t="str">
        <f t="shared" si="5"/>
        <v/>
      </c>
      <c r="AE250" s="91" t="str">
        <f t="shared" si="6"/>
        <v/>
      </c>
      <c r="AF250" s="92" t="str">
        <f t="shared" si="7"/>
        <v>05-06 May</v>
      </c>
      <c r="AG250" s="93" t="str">
        <f t="shared" si="26"/>
        <v/>
      </c>
      <c r="AH250" s="94" t="str">
        <f>IFERROR($M250+VLOOKUP($L250,'Voyage days'!$F$38:$H$89,3,FALSE),"")</f>
        <v/>
      </c>
      <c r="AI250" s="94" t="str">
        <f>IFERROR(N250+VLOOKUP($L250,'Voyage days'!$F$38:$H$89,3,FALSE),"")</f>
        <v/>
      </c>
      <c r="AJ250" s="93" t="str">
        <f t="shared" si="27"/>
        <v>10-11 May</v>
      </c>
      <c r="AK250" s="94">
        <f>IFERROR($M250+VLOOKUP($L250,'Voyage days'!$F$94:$H$193,3,FALSE),"")</f>
        <v>46152</v>
      </c>
      <c r="AL250" s="94">
        <f>IFERROR($N250+VLOOKUP($L250,'Voyage days'!$F$94:$H$193,3,FALSE),"")</f>
        <v>46153</v>
      </c>
      <c r="AM250" s="93" t="str">
        <f t="shared" si="28"/>
        <v>11-12 May</v>
      </c>
      <c r="AN250" s="94">
        <f>IFERROR($M250+VLOOKUP($L250,'Voyage days'!$F$203:$H$256,3,FALSE),"")</f>
        <v>46153</v>
      </c>
      <c r="AO250" s="94">
        <f>IFERROR($N250+VLOOKUP($L250,'Voyage days'!$F$203:$H$256,3,FALSE),"")</f>
        <v>46154</v>
      </c>
      <c r="AP250" s="93" t="str">
        <f t="shared" si="29"/>
        <v>06-07 May</v>
      </c>
      <c r="AQ250" s="94">
        <f>IFERROR($M250+VLOOKUP($L250,'Voyage days'!$F$294:$H$377,3,FALSE),"")</f>
        <v>46148</v>
      </c>
      <c r="AR250" s="94">
        <f>IFERROR($N250+VLOOKUP($L250,'Voyage days'!$F$294:$H$377,3,FALSE),"")</f>
        <v>46149</v>
      </c>
      <c r="AS250" s="93" t="str">
        <f t="shared" si="30"/>
        <v>28-29 Apr</v>
      </c>
      <c r="AT250" s="94">
        <f>IFERROR($M250+VLOOKUP($L250,'Voyage days'!$F$382:$H$446,3,FALSE),"")</f>
        <v>46140</v>
      </c>
      <c r="AU250" s="94">
        <f>IFERROR($N250+VLOOKUP($L250,'Voyage days'!$F$382:$H$446,3,FALSE),"")</f>
        <v>46141</v>
      </c>
      <c r="AV250" s="93" t="str">
        <f t="shared" si="31"/>
        <v/>
      </c>
      <c r="AW250" s="94" t="str">
        <f>IFERROR($M250+VLOOKUP($L250,'Voyage days'!$F$483:$H$538,3,FALSE),"")</f>
        <v/>
      </c>
      <c r="AX250" s="94" t="str">
        <f>IFERROR($N250+VLOOKUP($L250,'Voyage days'!$F$483:$H$538,3,FALSE),"")</f>
        <v/>
      </c>
      <c r="AY250" s="93" t="str">
        <f t="shared" si="32"/>
        <v/>
      </c>
      <c r="AZ250" s="94" t="str">
        <f>IFERROR($M250+VLOOKUP($L250,'Voyage days'!$F$540:$H$613,3,FALSE),"")</f>
        <v/>
      </c>
      <c r="BA250" s="94" t="str">
        <f>IFERROR($N250+VLOOKUP($L250,'Voyage days'!$F$540:$H$613,3,FALSE),"")</f>
        <v/>
      </c>
      <c r="BB250" s="93" t="str">
        <f t="shared" si="33"/>
        <v/>
      </c>
      <c r="BC250" s="94" t="str">
        <f>IFERROR($M250+VLOOKUP($L250,'Voyage days'!$F$448:$H$479,3,FALSE),"")</f>
        <v/>
      </c>
      <c r="BD250" s="94" t="str">
        <f>IFERROR($N250+VLOOKUP($L250,'Voyage days'!$F$448:$H$479,3,FALSE),"")</f>
        <v/>
      </c>
      <c r="BE250" s="93" t="str">
        <f t="shared" si="34"/>
        <v/>
      </c>
      <c r="BF250" s="95" t="str">
        <f>IFERROR($M250+VLOOKUP($L250,'Voyage days'!$F$620:$H$646,3,FALSE),"")</f>
        <v/>
      </c>
      <c r="BG250" s="95" t="str">
        <f>IFERROR($N250+VLOOKUP($L250,'Voyage days'!$F$620:$H$646,3,FALSE),"")</f>
        <v/>
      </c>
      <c r="BH250" s="93" t="str">
        <f t="shared" si="35"/>
        <v/>
      </c>
      <c r="BI250" s="96" t="str">
        <f>IFERROR($M250+VLOOKUP($L250,'Voyage days'!$F$702:$H$727,3,FALSE),"")</f>
        <v/>
      </c>
      <c r="BJ250" s="93" t="str">
        <f t="shared" si="36"/>
        <v>05-06 May</v>
      </c>
      <c r="BK250" s="95">
        <f>IFERROR($M250+VLOOKUP($L250,'Voyage days'!$F$807:$H$878,3,FALSE),"")</f>
        <v>46147</v>
      </c>
      <c r="BL250" s="95">
        <f>IFERROR($N250+VLOOKUP($L250,'Voyage days'!$F$807:$H$878,3,FALSE),"")</f>
        <v>46148</v>
      </c>
      <c r="BM250" s="95">
        <f>IFERROR($N250+VLOOKUP($L250,'Voyage days'!$F$807:$K$878,6,FALSE),"")</f>
        <v>46140</v>
      </c>
      <c r="BN250" s="94" t="str">
        <f>IF(L250="loads AG", IFERROR($M250+VLOOKUP($L250,'Voyage days'!$M$38:$O$38,3,FALSE),""),"")</f>
        <v/>
      </c>
      <c r="BO250" s="94" t="str">
        <f>IF(L250="loads USG", IFERROR($M250+VLOOKUP($L250,'Voyage days'!$L$203:$N$203,3,FALSE),""),"")</f>
        <v/>
      </c>
    </row>
    <row r="251" spans="1:67" ht="15.75" customHeight="1" x14ac:dyDescent="0.25">
      <c r="A251" s="263" t="s">
        <v>183</v>
      </c>
      <c r="B251" s="75">
        <v>43553</v>
      </c>
      <c r="C251" s="76">
        <v>84200</v>
      </c>
      <c r="D251" s="77"/>
      <c r="E251" s="77"/>
      <c r="F251" s="78"/>
      <c r="G251" s="78"/>
      <c r="H251" s="78" t="s">
        <v>739</v>
      </c>
      <c r="I251" s="233" t="s">
        <v>1316</v>
      </c>
      <c r="J251" s="80" t="str">
        <f t="shared" si="40"/>
        <v/>
      </c>
      <c r="K251" s="81"/>
      <c r="L251" s="82" t="s">
        <v>718</v>
      </c>
      <c r="M251" s="83">
        <v>46142</v>
      </c>
      <c r="N251" s="83">
        <v>46143</v>
      </c>
      <c r="O251" s="84" t="s">
        <v>779</v>
      </c>
      <c r="P251" s="124" t="s">
        <v>1321</v>
      </c>
      <c r="Q251" s="82"/>
      <c r="R251" s="82" t="s">
        <v>1322</v>
      </c>
      <c r="S251" s="120" t="s">
        <v>33</v>
      </c>
      <c r="T251" s="86">
        <v>46132</v>
      </c>
      <c r="U251" s="87" t="str">
        <f>IF(V251="","No AIS",VLOOKUP(V251,'Voyage days'!$A$3:$B$1480,2,FALSE))</f>
        <v>USG</v>
      </c>
      <c r="V251" s="88" t="str">
        <f>IF(VLOOKUP(A251,'1) Kpler'!$E$2:$P$1000,8, FALSE)="","",VLOOKUP(A251,'1) Kpler'!$E$2:$P$1000,8, FALSE))</f>
        <v>Houston</v>
      </c>
      <c r="W251" s="89">
        <f>IF(VLOOKUP(A251,'1) Kpler'!$E$2:$P$1000,9,FALSE)="","",VLOOKUP(A251,'1) Kpler'!$E$2:$P$1000,9,FALSE))</f>
        <v>46142.791666666664</v>
      </c>
      <c r="X251" s="88" t="str">
        <f>VLOOKUP(A251,'1) Kpler'!$E$2:$I$1000,4,FALSE)</f>
        <v>loaded</v>
      </c>
      <c r="Y251" s="63" t="str">
        <f t="shared" si="38"/>
        <v/>
      </c>
      <c r="Z251" s="63" t="str">
        <f t="shared" si="1"/>
        <v>30-01 May</v>
      </c>
      <c r="AA251" s="63" t="str">
        <f t="shared" si="2"/>
        <v>30-01 May</v>
      </c>
      <c r="AB251" s="63" t="str">
        <f t="shared" si="3"/>
        <v/>
      </c>
      <c r="AC251" s="63" t="str">
        <f t="shared" si="4"/>
        <v>20-21 May</v>
      </c>
      <c r="AD251" s="63" t="str">
        <f t="shared" si="5"/>
        <v/>
      </c>
      <c r="AE251" s="129" t="str">
        <f t="shared" si="6"/>
        <v/>
      </c>
      <c r="AF251" s="130" t="str">
        <f t="shared" si="7"/>
        <v/>
      </c>
      <c r="AG251" s="93" t="str">
        <f t="shared" si="26"/>
        <v/>
      </c>
      <c r="AH251" s="94" t="str">
        <f>IFERROR($M251+VLOOKUP($L251,'Voyage days'!$F$38:$H$89,3,FALSE),"")</f>
        <v/>
      </c>
      <c r="AI251" s="94" t="str">
        <f>IFERROR(N251+VLOOKUP($L251,'Voyage days'!$F$38:$H$89,3,FALSE),"")</f>
        <v/>
      </c>
      <c r="AJ251" s="93" t="str">
        <f t="shared" si="27"/>
        <v>30-01 May</v>
      </c>
      <c r="AK251" s="94">
        <f>IFERROR($M251+VLOOKUP($L251,'Voyage days'!$F$94:$H$193,3,FALSE),"")</f>
        <v>46142</v>
      </c>
      <c r="AL251" s="94">
        <f>IFERROR($N251+VLOOKUP($L251,'Voyage days'!$F$94:$H$193,3,FALSE),"")</f>
        <v>46143</v>
      </c>
      <c r="AM251" s="93" t="str">
        <f t="shared" si="28"/>
        <v>30-01 May</v>
      </c>
      <c r="AN251" s="94">
        <f>IFERROR($M251+VLOOKUP($L251,'Voyage days'!$F$203:$H$256,3,FALSE),"")</f>
        <v>46142</v>
      </c>
      <c r="AO251" s="94">
        <f>IFERROR($N251+VLOOKUP($L251,'Voyage days'!$F$203:$H$256,3,FALSE),"")</f>
        <v>46143</v>
      </c>
      <c r="AP251" s="93" t="str">
        <f t="shared" si="29"/>
        <v/>
      </c>
      <c r="AQ251" s="94" t="str">
        <f>IFERROR($M251+VLOOKUP($L251,'Voyage days'!$F$294:$H$377,3,FALSE),"")</f>
        <v/>
      </c>
      <c r="AR251" s="94" t="str">
        <f>IFERROR($N251+VLOOKUP($L251,'Voyage days'!$F$294:$H$377,3,FALSE),"")</f>
        <v/>
      </c>
      <c r="AS251" s="93" t="str">
        <f t="shared" si="30"/>
        <v>20-21 May</v>
      </c>
      <c r="AT251" s="94">
        <f>IFERROR($M251+VLOOKUP($L251,'Voyage days'!$F$382:$H$446,3,FALSE),"")</f>
        <v>46162</v>
      </c>
      <c r="AU251" s="94">
        <f>IFERROR($N251+VLOOKUP($L251,'Voyage days'!$F$382:$H$446,3,FALSE),"")</f>
        <v>46163</v>
      </c>
      <c r="AV251" s="93" t="str">
        <f t="shared" si="31"/>
        <v/>
      </c>
      <c r="AW251" s="94" t="str">
        <f>IFERROR($M251+VLOOKUP($L251,'Voyage days'!$F$483:$H$538,3,FALSE),"")</f>
        <v/>
      </c>
      <c r="AX251" s="94" t="str">
        <f>IFERROR($N251+VLOOKUP($L251,'Voyage days'!$F$483:$H$538,3,FALSE),"")</f>
        <v/>
      </c>
      <c r="AY251" s="93" t="str">
        <f t="shared" si="32"/>
        <v/>
      </c>
      <c r="AZ251" s="94" t="str">
        <f>IFERROR($M251+VLOOKUP($L251,'Voyage days'!$F$540:$H$613,3,FALSE),"")</f>
        <v/>
      </c>
      <c r="BA251" s="94" t="str">
        <f>IFERROR($N251+VLOOKUP($L251,'Voyage days'!$F$540:$H$613,3,FALSE),"")</f>
        <v/>
      </c>
      <c r="BB251" s="93" t="str">
        <f t="shared" si="33"/>
        <v/>
      </c>
      <c r="BC251" s="94" t="str">
        <f>IFERROR($M251+VLOOKUP($L251,'Voyage days'!$F$448:$H$479,3,FALSE),"")</f>
        <v/>
      </c>
      <c r="BD251" s="94" t="str">
        <f>IFERROR($N251+VLOOKUP($L251,'Voyage days'!$F$448:$H$479,3,FALSE),"")</f>
        <v/>
      </c>
      <c r="BE251" s="93" t="str">
        <f t="shared" si="34"/>
        <v/>
      </c>
      <c r="BF251" s="95" t="str">
        <f>IFERROR($M251+VLOOKUP($L251,'Voyage days'!$F$620:$H$646,3,FALSE),"")</f>
        <v/>
      </c>
      <c r="BG251" s="95" t="str">
        <f>IFERROR($N251+VLOOKUP($L251,'Voyage days'!$F$620:$H$646,3,FALSE),"")</f>
        <v/>
      </c>
      <c r="BH251" s="93" t="str">
        <f t="shared" si="35"/>
        <v/>
      </c>
      <c r="BI251" s="96" t="str">
        <f>IFERROR($M251+VLOOKUP($L251,'Voyage days'!$F$702:$H$727,3,FALSE),"")</f>
        <v/>
      </c>
      <c r="BJ251" s="93" t="str">
        <f t="shared" si="36"/>
        <v/>
      </c>
      <c r="BK251" s="95" t="str">
        <f>IFERROR($M251+VLOOKUP($L251,'Voyage days'!$F$807:$H$878,3,FALSE),"")</f>
        <v/>
      </c>
      <c r="BL251" s="95" t="str">
        <f>IFERROR($N251+VLOOKUP($L251,'Voyage days'!$F$807:$H$878,3,FALSE),"")</f>
        <v/>
      </c>
      <c r="BM251" s="95" t="str">
        <f>IFERROR($N251+VLOOKUP($L251,'Voyage days'!$F$807:$K$878,6,FALSE),"")</f>
        <v/>
      </c>
      <c r="BN251" s="94" t="str">
        <f>IF(L251="loads AG", IFERROR($M251+VLOOKUP($L251,'Voyage days'!$M$38:$O$38,3,FALSE),""),"")</f>
        <v/>
      </c>
      <c r="BO251" s="94">
        <f>IF(L251="loads USG", IFERROR($M251+VLOOKUP($L251,'Voyage days'!$L$203:$N$203,3,FALSE),""),"")</f>
        <v>46174</v>
      </c>
    </row>
    <row r="252" spans="1:67" ht="15.75" customHeight="1" x14ac:dyDescent="0.25">
      <c r="A252" s="74" t="s">
        <v>186</v>
      </c>
      <c r="B252" s="75">
        <v>43616</v>
      </c>
      <c r="C252" s="76">
        <v>84200</v>
      </c>
      <c r="D252" s="77"/>
      <c r="E252" s="77"/>
      <c r="F252" s="78"/>
      <c r="G252" s="78"/>
      <c r="H252" s="78" t="s">
        <v>739</v>
      </c>
      <c r="I252" s="233" t="s">
        <v>1316</v>
      </c>
      <c r="J252" s="80" t="str">
        <f t="shared" si="40"/>
        <v/>
      </c>
      <c r="K252" s="81" t="s">
        <v>817</v>
      </c>
      <c r="L252" s="82" t="s">
        <v>754</v>
      </c>
      <c r="M252" s="83">
        <v>46157</v>
      </c>
      <c r="N252" s="83">
        <v>46158</v>
      </c>
      <c r="O252" s="84"/>
      <c r="P252" s="82" t="s">
        <v>1323</v>
      </c>
      <c r="Q252" s="82"/>
      <c r="R252" s="82" t="s">
        <v>1324</v>
      </c>
      <c r="S252" s="120" t="s">
        <v>33</v>
      </c>
      <c r="T252" s="86">
        <v>46132</v>
      </c>
      <c r="U252" s="87" t="str">
        <f>IF(V252="","No AIS",VLOOKUP(V252,'Voyage days'!$A$3:$B$1480,2,FALSE))</f>
        <v>South China + 4</v>
      </c>
      <c r="V252" s="88" t="str">
        <f>IF(VLOOKUP(A252,'1) Kpler'!$E$2:$P$1000,8, FALSE)="","",VLOOKUP(A252,'1) Kpler'!$E$2:$P$1000,8, FALSE))</f>
        <v>Sinopec Zhanjiang Dongxing Refinery</v>
      </c>
      <c r="W252" s="89">
        <f>IF(VLOOKUP(A252,'1) Kpler'!$E$2:$P$1000,9,FALSE)="","",VLOOKUP(A252,'1) Kpler'!$E$2:$P$1000,9,FALSE))</f>
        <v>46155.1875</v>
      </c>
      <c r="X252" s="88" t="str">
        <f>VLOOKUP(A252,'1) Kpler'!$E$2:$I$1000,4,FALSE)</f>
        <v>loaded</v>
      </c>
      <c r="Y252" s="90" t="str">
        <f t="shared" si="38"/>
        <v>30-31 May</v>
      </c>
      <c r="Z252" s="90" t="str">
        <f t="shared" si="1"/>
        <v>20-21 Jun</v>
      </c>
      <c r="AA252" s="90" t="str">
        <f t="shared" si="2"/>
        <v>26-27 Jun</v>
      </c>
      <c r="AB252" s="90" t="str">
        <f t="shared" si="3"/>
        <v>10-11 Jun</v>
      </c>
      <c r="AC252" s="90" t="str">
        <f t="shared" si="4"/>
        <v>17-18 Jun</v>
      </c>
      <c r="AD252" s="90" t="str">
        <f t="shared" si="5"/>
        <v>19-20 May</v>
      </c>
      <c r="AE252" s="91" t="str">
        <f t="shared" si="6"/>
        <v>21-22 May</v>
      </c>
      <c r="AF252" s="92" t="str">
        <f t="shared" si="7"/>
        <v>26-27 Jun</v>
      </c>
      <c r="AG252" s="93" t="str">
        <f t="shared" si="26"/>
        <v>30-31 May</v>
      </c>
      <c r="AH252" s="94">
        <f>IFERROR($M252+VLOOKUP($L252,'Voyage days'!$F$38:$H$89,3,FALSE),"")</f>
        <v>46172</v>
      </c>
      <c r="AI252" s="94">
        <f>IFERROR(N252+VLOOKUP($L252,'Voyage days'!$F$38:$H$89,3,FALSE),"")</f>
        <v>46173</v>
      </c>
      <c r="AJ252" s="93" t="str">
        <f t="shared" si="27"/>
        <v>20-21 Jun</v>
      </c>
      <c r="AK252" s="94">
        <f>IFERROR($M252+VLOOKUP($L252,'Voyage days'!$F$94:$H$193,3,FALSE),"")</f>
        <v>46193</v>
      </c>
      <c r="AL252" s="94">
        <f>IFERROR($N252+VLOOKUP($L252,'Voyage days'!$F$94:$H$193,3,FALSE),"")</f>
        <v>46194</v>
      </c>
      <c r="AM252" s="93" t="str">
        <f t="shared" si="28"/>
        <v>26-27 Jun</v>
      </c>
      <c r="AN252" s="94">
        <f>IFERROR($M252+VLOOKUP($L252,'Voyage days'!$F$203:$H$256,3,FALSE),"")</f>
        <v>46199</v>
      </c>
      <c r="AO252" s="94">
        <f>IFERROR($N252+VLOOKUP($L252,'Voyage days'!$F$203:$H$256,3,FALSE),"")</f>
        <v>46200</v>
      </c>
      <c r="AP252" s="93" t="str">
        <f t="shared" si="29"/>
        <v>10-11 Jun</v>
      </c>
      <c r="AQ252" s="94">
        <f>IFERROR($M252+VLOOKUP($L252,'Voyage days'!$F$294:$H$377,3,FALSE),"")</f>
        <v>46183</v>
      </c>
      <c r="AR252" s="94">
        <f>IFERROR($N252+VLOOKUP($L252,'Voyage days'!$F$294:$H$377,3,FALSE),"")</f>
        <v>46184</v>
      </c>
      <c r="AS252" s="93" t="str">
        <f t="shared" si="30"/>
        <v>17-18 Jun</v>
      </c>
      <c r="AT252" s="94">
        <f>IFERROR($M252+VLOOKUP($L252,'Voyage days'!$F$382:$H$446,3,FALSE),"")</f>
        <v>46190</v>
      </c>
      <c r="AU252" s="94">
        <f>IFERROR($N252+VLOOKUP($L252,'Voyage days'!$F$382:$H$446,3,FALSE),"")</f>
        <v>46191</v>
      </c>
      <c r="AV252" s="93" t="str">
        <f t="shared" si="31"/>
        <v>29-30 May</v>
      </c>
      <c r="AW252" s="94">
        <f>IFERROR($M252+VLOOKUP($L252,'Voyage days'!$F$483:$H$538,3,FALSE),"")</f>
        <v>46171</v>
      </c>
      <c r="AX252" s="94">
        <f>IFERROR($N252+VLOOKUP($L252,'Voyage days'!$F$483:$H$538,3,FALSE),"")</f>
        <v>46172</v>
      </c>
      <c r="AY252" s="93" t="str">
        <f t="shared" si="32"/>
        <v>21-22 May</v>
      </c>
      <c r="AZ252" s="94">
        <f>IFERROR($M252+VLOOKUP($L252,'Voyage days'!$F$540:$H$613,3,FALSE),"")</f>
        <v>46163.75</v>
      </c>
      <c r="BA252" s="94">
        <f>IFERROR($N252+VLOOKUP($L252,'Voyage days'!$F$540:$H$613,3,FALSE),"")</f>
        <v>46164.75</v>
      </c>
      <c r="BB252" s="93" t="str">
        <f t="shared" si="33"/>
        <v>19-20 May</v>
      </c>
      <c r="BC252" s="94">
        <f>IFERROR($M252+VLOOKUP($L252,'Voyage days'!$F$448:$H$479,3,FALSE),"")</f>
        <v>46161</v>
      </c>
      <c r="BD252" s="94">
        <f>IFERROR($N252+VLOOKUP($L252,'Voyage days'!$F$448:$H$479,3,FALSE),"")</f>
        <v>46162</v>
      </c>
      <c r="BE252" s="93" t="str">
        <f t="shared" si="34"/>
        <v/>
      </c>
      <c r="BF252" s="95" t="str">
        <f>IFERROR($M252+VLOOKUP($L252,'Voyage days'!$F$620:$H$646,3,FALSE),"")</f>
        <v/>
      </c>
      <c r="BG252" s="95" t="str">
        <f>IFERROR($N252+VLOOKUP($L252,'Voyage days'!$F$620:$H$646,3,FALSE),"")</f>
        <v/>
      </c>
      <c r="BH252" s="93" t="str">
        <f t="shared" si="35"/>
        <v>21-27 Jun</v>
      </c>
      <c r="BI252" s="96">
        <f>IFERROR($M252+VLOOKUP($L252,'Voyage days'!$F$702:$H$727,3,FALSE),"")</f>
        <v>46163.75</v>
      </c>
      <c r="BJ252" s="93" t="str">
        <f t="shared" si="36"/>
        <v>26-27 Jun</v>
      </c>
      <c r="BK252" s="95">
        <f>IFERROR($M252+VLOOKUP($L252,'Voyage days'!$F$807:$H$878,3,FALSE),"")</f>
        <v>46199</v>
      </c>
      <c r="BL252" s="95">
        <f>IFERROR($N252+VLOOKUP($L252,'Voyage days'!$F$807:$H$878,3,FALSE),"")</f>
        <v>46200</v>
      </c>
      <c r="BM252" s="95">
        <f>IFERROR($N252+VLOOKUP($L252,'Voyage days'!$F$807:$K$878,6,FALSE),"")</f>
        <v>46175</v>
      </c>
      <c r="BN252" s="94" t="str">
        <f>IF(L252="loads AG", IFERROR($M252+VLOOKUP($L252,'Voyage days'!$M$38:$O$38,3,FALSE),""),"")</f>
        <v/>
      </c>
      <c r="BO252" s="94" t="str">
        <f>IF(L252="loads USG", IFERROR($M252+VLOOKUP($L252,'Voyage days'!$L$203:$N$203,3,FALSE),""),"")</f>
        <v/>
      </c>
    </row>
    <row r="253" spans="1:67" x14ac:dyDescent="0.25">
      <c r="A253" s="236" t="s">
        <v>58</v>
      </c>
      <c r="B253" s="75">
        <v>43644</v>
      </c>
      <c r="C253" s="76">
        <v>80550</v>
      </c>
      <c r="D253" s="77"/>
      <c r="E253" s="77"/>
      <c r="F253" s="78"/>
      <c r="G253" s="78"/>
      <c r="H253" s="78" t="s">
        <v>739</v>
      </c>
      <c r="I253" s="233" t="s">
        <v>1316</v>
      </c>
      <c r="J253" s="80" t="str">
        <f t="shared" si="40"/>
        <v/>
      </c>
      <c r="K253" s="81"/>
      <c r="L253" s="159" t="s">
        <v>718</v>
      </c>
      <c r="M253" s="307">
        <v>46134</v>
      </c>
      <c r="N253" s="83">
        <v>46135</v>
      </c>
      <c r="O253" s="84"/>
      <c r="P253" s="82" t="s">
        <v>786</v>
      </c>
      <c r="Q253" s="82"/>
      <c r="R253" s="82" t="s">
        <v>1325</v>
      </c>
      <c r="S253" s="120" t="s">
        <v>33</v>
      </c>
      <c r="T253" s="86">
        <v>46132</v>
      </c>
      <c r="U253" s="87" t="str">
        <f>IF(V253="","No AIS",VLOOKUP(V253,'Voyage days'!$A$3:$B$1480,2,FALSE))</f>
        <v>USG</v>
      </c>
      <c r="V253" s="88" t="str">
        <f>IF(VLOOKUP(A253,'1) Kpler'!$E$2:$P$1000,8, FALSE)="","",VLOOKUP(A253,'1) Kpler'!$E$2:$P$1000,8, FALSE))</f>
        <v>Energy Transfer Nederland</v>
      </c>
      <c r="W253" s="89">
        <f>IF(VLOOKUP(A253,'1) Kpler'!$E$2:$P$1000,9,FALSE)="","",VLOOKUP(A253,'1) Kpler'!$E$2:$P$1000,9,FALSE))</f>
        <v>46134.041666666664</v>
      </c>
      <c r="X253" s="88" t="str">
        <f>VLOOKUP(A253,'1) Kpler'!$E$2:$I$1000,4,FALSE)</f>
        <v>ballast</v>
      </c>
      <c r="Y253" s="63" t="str">
        <f t="shared" si="38"/>
        <v/>
      </c>
      <c r="Z253" s="63" t="str">
        <f t="shared" si="1"/>
        <v>22-23 Apr</v>
      </c>
      <c r="AA253" s="63" t="str">
        <f t="shared" si="2"/>
        <v>22-23 Apr</v>
      </c>
      <c r="AB253" s="63" t="str">
        <f t="shared" si="3"/>
        <v/>
      </c>
      <c r="AC253" s="63" t="str">
        <f t="shared" si="4"/>
        <v>12-13 May</v>
      </c>
      <c r="AD253" s="63" t="str">
        <f t="shared" si="5"/>
        <v/>
      </c>
      <c r="AE253" s="129" t="str">
        <f t="shared" si="6"/>
        <v/>
      </c>
      <c r="AF253" s="130" t="str">
        <f t="shared" si="7"/>
        <v/>
      </c>
      <c r="AG253" s="93" t="str">
        <f t="shared" si="26"/>
        <v/>
      </c>
      <c r="AH253" s="94" t="str">
        <f>IFERROR($M253+VLOOKUP($L253,'Voyage days'!$F$38:$H$89,3,FALSE),"")</f>
        <v/>
      </c>
      <c r="AI253" s="94" t="str">
        <f>IFERROR(N253+VLOOKUP($L253,'Voyage days'!$F$38:$H$89,3,FALSE),"")</f>
        <v/>
      </c>
      <c r="AJ253" s="93" t="str">
        <f t="shared" si="27"/>
        <v>22-23 Apr</v>
      </c>
      <c r="AK253" s="94">
        <f>IFERROR($M253+VLOOKUP($L253,'Voyage days'!$F$94:$H$193,3,FALSE),"")</f>
        <v>46134</v>
      </c>
      <c r="AL253" s="94">
        <f>IFERROR($N253+VLOOKUP($L253,'Voyage days'!$F$94:$H$193,3,FALSE),"")</f>
        <v>46135</v>
      </c>
      <c r="AM253" s="93" t="str">
        <f t="shared" si="28"/>
        <v>22-23 Apr</v>
      </c>
      <c r="AN253" s="94">
        <f>IFERROR($M253+VLOOKUP($L253,'Voyage days'!$F$203:$H$256,3,FALSE),"")</f>
        <v>46134</v>
      </c>
      <c r="AO253" s="94">
        <f>IFERROR($N253+VLOOKUP($L253,'Voyage days'!$F$203:$H$256,3,FALSE),"")</f>
        <v>46135</v>
      </c>
      <c r="AP253" s="93" t="str">
        <f t="shared" si="29"/>
        <v/>
      </c>
      <c r="AQ253" s="94" t="str">
        <f>IFERROR($M253+VLOOKUP($L253,'Voyage days'!$F$294:$H$377,3,FALSE),"")</f>
        <v/>
      </c>
      <c r="AR253" s="94" t="str">
        <f>IFERROR($N253+VLOOKUP($L253,'Voyage days'!$F$294:$H$377,3,FALSE),"")</f>
        <v/>
      </c>
      <c r="AS253" s="93" t="str">
        <f t="shared" si="30"/>
        <v>12-13 May</v>
      </c>
      <c r="AT253" s="94">
        <f>IFERROR($M253+VLOOKUP($L253,'Voyage days'!$F$382:$H$446,3,FALSE),"")</f>
        <v>46154</v>
      </c>
      <c r="AU253" s="94">
        <f>IFERROR($N253+VLOOKUP($L253,'Voyage days'!$F$382:$H$446,3,FALSE),"")</f>
        <v>46155</v>
      </c>
      <c r="AV253" s="93" t="str">
        <f t="shared" si="31"/>
        <v/>
      </c>
      <c r="AW253" s="94" t="str">
        <f>IFERROR($M253+VLOOKUP($L253,'Voyage days'!$F$483:$H$538,3,FALSE),"")</f>
        <v/>
      </c>
      <c r="AX253" s="94" t="str">
        <f>IFERROR($N253+VLOOKUP($L253,'Voyage days'!$F$483:$H$538,3,FALSE),"")</f>
        <v/>
      </c>
      <c r="AY253" s="93" t="str">
        <f t="shared" si="32"/>
        <v/>
      </c>
      <c r="AZ253" s="94" t="str">
        <f>IFERROR($M253+VLOOKUP($L253,'Voyage days'!$F$540:$H$613,3,FALSE),"")</f>
        <v/>
      </c>
      <c r="BA253" s="94" t="str">
        <f>IFERROR($N253+VLOOKUP($L253,'Voyage days'!$F$540:$H$613,3,FALSE),"")</f>
        <v/>
      </c>
      <c r="BB253" s="93" t="str">
        <f t="shared" si="33"/>
        <v/>
      </c>
      <c r="BC253" s="94" t="str">
        <f>IFERROR($M253+VLOOKUP($L253,'Voyage days'!$F$448:$H$479,3,FALSE),"")</f>
        <v/>
      </c>
      <c r="BD253" s="94" t="str">
        <f>IFERROR($N253+VLOOKUP($L253,'Voyage days'!$F$448:$H$479,3,FALSE),"")</f>
        <v/>
      </c>
      <c r="BE253" s="93" t="str">
        <f t="shared" si="34"/>
        <v/>
      </c>
      <c r="BF253" s="95" t="str">
        <f>IFERROR($M253+VLOOKUP($L253,'Voyage days'!$F$620:$H$646,3,FALSE),"")</f>
        <v/>
      </c>
      <c r="BG253" s="95" t="str">
        <f>IFERROR($N253+VLOOKUP($L253,'Voyage days'!$F$620:$H$646,3,FALSE),"")</f>
        <v/>
      </c>
      <c r="BH253" s="93" t="str">
        <f t="shared" si="35"/>
        <v/>
      </c>
      <c r="BI253" s="96" t="str">
        <f>IFERROR($M253+VLOOKUP($L253,'Voyage days'!$F$702:$H$727,3,FALSE),"")</f>
        <v/>
      </c>
      <c r="BJ253" s="93" t="str">
        <f t="shared" si="36"/>
        <v/>
      </c>
      <c r="BK253" s="95" t="str">
        <f>IFERROR($M253+VLOOKUP($L253,'Voyage days'!$F$807:$H$878,3,FALSE),"")</f>
        <v/>
      </c>
      <c r="BL253" s="95" t="str">
        <f>IFERROR($N253+VLOOKUP($L253,'Voyage days'!$F$807:$H$878,3,FALSE),"")</f>
        <v/>
      </c>
      <c r="BM253" s="95" t="str">
        <f>IFERROR($N253+VLOOKUP($L253,'Voyage days'!$F$807:$K$878,6,FALSE),"")</f>
        <v/>
      </c>
      <c r="BN253" s="94" t="str">
        <f>IF(L253="loads AG", IFERROR($M253+VLOOKUP($L253,'Voyage days'!$M$38:$O$38,3,FALSE),""),"")</f>
        <v/>
      </c>
      <c r="BO253" s="94">
        <f>IF(L253="loads USG", IFERROR($M253+VLOOKUP($L253,'Voyage days'!$L$203:$N$203,3,FALSE),""),"")</f>
        <v>46166</v>
      </c>
    </row>
    <row r="254" spans="1:67" ht="15.75" customHeight="1" x14ac:dyDescent="0.25">
      <c r="A254" s="369" t="s">
        <v>639</v>
      </c>
      <c r="B254" s="176">
        <v>40040</v>
      </c>
      <c r="C254" s="134">
        <v>78000</v>
      </c>
      <c r="D254" s="143"/>
      <c r="E254" s="143"/>
      <c r="F254" s="136"/>
      <c r="G254" s="136"/>
      <c r="H254" s="136"/>
      <c r="I254" s="177" t="s">
        <v>1316</v>
      </c>
      <c r="J254" s="138" t="str">
        <f t="shared" si="40"/>
        <v/>
      </c>
      <c r="K254" s="139"/>
      <c r="L254" s="140" t="s">
        <v>734</v>
      </c>
      <c r="M254" s="141">
        <v>46166</v>
      </c>
      <c r="N254" s="141">
        <v>46167</v>
      </c>
      <c r="O254" s="142"/>
      <c r="P254" s="140" t="s">
        <v>1326</v>
      </c>
      <c r="Q254" s="140"/>
      <c r="R254" s="140" t="s">
        <v>1327</v>
      </c>
      <c r="S254" s="143" t="s">
        <v>724</v>
      </c>
      <c r="T254" s="144">
        <v>46129</v>
      </c>
      <c r="U254" s="145" t="str">
        <f>IF(V254="","No AIS",VLOOKUP(V254,'Voyage days'!$A$3:$B$1480,2,FALSE))</f>
        <v>Indo + 4</v>
      </c>
      <c r="V254" s="146" t="str">
        <f>IF(VLOOKUP(A254,'1) Kpler'!$E$2:$P$1000,8, FALSE)="","",VLOOKUP(A254,'1) Kpler'!$E$2:$P$1000,8, FALSE))</f>
        <v>Oiltank. Merak</v>
      </c>
      <c r="W254" s="147">
        <f>IF(VLOOKUP(A254,'1) Kpler'!$E$2:$P$1000,9,FALSE)="","",VLOOKUP(A254,'1) Kpler'!$E$2:$P$1000,9,FALSE))</f>
        <v>46162.333333333336</v>
      </c>
      <c r="X254" s="146" t="str">
        <f>VLOOKUP(A254,'1) Kpler'!$E$2:$I$1000,4,FALSE)</f>
        <v>loaded</v>
      </c>
      <c r="Y254" s="148" t="str">
        <f t="shared" si="38"/>
        <v>04-05 Jun</v>
      </c>
      <c r="Z254" s="148" t="str">
        <f t="shared" si="1"/>
        <v>01-02 Jul</v>
      </c>
      <c r="AA254" s="148" t="str">
        <f t="shared" si="2"/>
        <v>30-01 Jul</v>
      </c>
      <c r="AB254" s="148" t="str">
        <f t="shared" si="3"/>
        <v>13-14 Jun</v>
      </c>
      <c r="AC254" s="148" t="str">
        <f t="shared" si="4"/>
        <v>22-23 Jun</v>
      </c>
      <c r="AD254" s="148" t="str">
        <f t="shared" si="5"/>
        <v>27-28 May</v>
      </c>
      <c r="AE254" s="149" t="str">
        <f t="shared" si="6"/>
        <v>28-29 May</v>
      </c>
      <c r="AF254" s="150" t="str">
        <f t="shared" si="7"/>
        <v>30-01 Jul</v>
      </c>
      <c r="AG254" s="93" t="str">
        <f t="shared" si="26"/>
        <v>04-05 Jun</v>
      </c>
      <c r="AH254" s="94">
        <f>IFERROR($M254+VLOOKUP($L254,'Voyage days'!$F$38:$H$89,3,FALSE),"")</f>
        <v>46177</v>
      </c>
      <c r="AI254" s="94">
        <f>IFERROR(N254+VLOOKUP($L254,'Voyage days'!$F$38:$H$89,3,FALSE),"")</f>
        <v>46178</v>
      </c>
      <c r="AJ254" s="93" t="str">
        <f t="shared" si="27"/>
        <v>01-02 Jul</v>
      </c>
      <c r="AK254" s="94">
        <f>IFERROR($M254+VLOOKUP($L254,'Voyage days'!$F$94:$H$193,3,FALSE),"")</f>
        <v>46204</v>
      </c>
      <c r="AL254" s="94">
        <f>IFERROR($N254+VLOOKUP($L254,'Voyage days'!$F$94:$H$193,3,FALSE),"")</f>
        <v>46205</v>
      </c>
      <c r="AM254" s="93" t="str">
        <f t="shared" si="28"/>
        <v>30-01 Jul</v>
      </c>
      <c r="AN254" s="94">
        <f>IFERROR($M254+VLOOKUP($L254,'Voyage days'!$F$203:$H$256,3,FALSE),"")</f>
        <v>46203</v>
      </c>
      <c r="AO254" s="94">
        <f>IFERROR($N254+VLOOKUP($L254,'Voyage days'!$F$203:$H$256,3,FALSE),"")</f>
        <v>46204</v>
      </c>
      <c r="AP254" s="93" t="str">
        <f t="shared" si="29"/>
        <v>13-14 Jun</v>
      </c>
      <c r="AQ254" s="94">
        <f>IFERROR($M254+VLOOKUP($L254,'Voyage days'!$F$294:$H$377,3,FALSE),"")</f>
        <v>46186</v>
      </c>
      <c r="AR254" s="94">
        <f>IFERROR($N254+VLOOKUP($L254,'Voyage days'!$F$294:$H$377,3,FALSE),"")</f>
        <v>46187</v>
      </c>
      <c r="AS254" s="93" t="str">
        <f t="shared" si="30"/>
        <v>22-23 Jun</v>
      </c>
      <c r="AT254" s="94">
        <f>IFERROR($M254+VLOOKUP($L254,'Voyage days'!$F$382:$H$446,3,FALSE),"")</f>
        <v>46195</v>
      </c>
      <c r="AU254" s="94">
        <f>IFERROR($N254+VLOOKUP($L254,'Voyage days'!$F$382:$H$446,3,FALSE),"")</f>
        <v>46196</v>
      </c>
      <c r="AV254" s="93" t="str">
        <f t="shared" si="31"/>
        <v>02-03 Jun</v>
      </c>
      <c r="AW254" s="94">
        <f>IFERROR($M254+VLOOKUP($L254,'Voyage days'!$F$483:$H$538,3,FALSE),"")</f>
        <v>46175</v>
      </c>
      <c r="AX254" s="94">
        <f>IFERROR($N254+VLOOKUP($L254,'Voyage days'!$F$483:$H$538,3,FALSE),"")</f>
        <v>46176</v>
      </c>
      <c r="AY254" s="93" t="str">
        <f t="shared" si="32"/>
        <v>28-29 May</v>
      </c>
      <c r="AZ254" s="94">
        <f>IFERROR($M254+VLOOKUP($L254,'Voyage days'!$F$540:$H$613,3,FALSE),"")</f>
        <v>46170</v>
      </c>
      <c r="BA254" s="94">
        <f>IFERROR($N254+VLOOKUP($L254,'Voyage days'!$F$540:$H$613,3,FALSE),"")</f>
        <v>46171</v>
      </c>
      <c r="BB254" s="93" t="str">
        <f t="shared" si="33"/>
        <v>27-28 May</v>
      </c>
      <c r="BC254" s="94">
        <f>IFERROR($M254+VLOOKUP($L254,'Voyage days'!$F$448:$H$479,3,FALSE),"")</f>
        <v>46169</v>
      </c>
      <c r="BD254" s="94">
        <f>IFERROR($N254+VLOOKUP($L254,'Voyage days'!$F$448:$H$479,3,FALSE),"")</f>
        <v>46170</v>
      </c>
      <c r="BE254" s="93" t="str">
        <f t="shared" si="34"/>
        <v/>
      </c>
      <c r="BF254" s="95" t="str">
        <f>IFERROR($M254+VLOOKUP($L254,'Voyage days'!$F$620:$H$646,3,FALSE),"")</f>
        <v/>
      </c>
      <c r="BG254" s="95" t="str">
        <f>IFERROR($N254+VLOOKUP($L254,'Voyage days'!$F$620:$H$646,3,FALSE),"")</f>
        <v/>
      </c>
      <c r="BH254" s="93" t="str">
        <f t="shared" si="35"/>
        <v>01-01 Jul</v>
      </c>
      <c r="BI254" s="96">
        <f>IFERROR($M254+VLOOKUP($L254,'Voyage days'!$F$702:$H$727,3,FALSE),"")</f>
        <v>46174</v>
      </c>
      <c r="BJ254" s="93" t="str">
        <f t="shared" si="36"/>
        <v>30-01 Jul</v>
      </c>
      <c r="BK254" s="95">
        <f>IFERROR($M254+VLOOKUP($L254,'Voyage days'!$F$807:$H$878,3,FALSE),"")</f>
        <v>46203</v>
      </c>
      <c r="BL254" s="95">
        <f>IFERROR($N254+VLOOKUP($L254,'Voyage days'!$F$807:$H$878,3,FALSE),"")</f>
        <v>46204</v>
      </c>
      <c r="BM254" s="95">
        <f>IFERROR($N254+VLOOKUP($L254,'Voyage days'!$F$807:$K$878,6,FALSE),"")</f>
        <v>46180</v>
      </c>
      <c r="BN254" s="94" t="str">
        <f>IF(L254="loads AG", IFERROR($M254+VLOOKUP($L254,'Voyage days'!$M$38:$O$38,3,FALSE),""),"")</f>
        <v/>
      </c>
      <c r="BO254" s="94" t="str">
        <f>IF(L254="loads USG", IFERROR($M254+VLOOKUP($L254,'Voyage days'!$L$203:$N$203,3,FALSE),""),"")</f>
        <v/>
      </c>
    </row>
    <row r="255" spans="1:67" ht="15.75" customHeight="1" x14ac:dyDescent="0.25">
      <c r="A255" s="74" t="s">
        <v>19</v>
      </c>
      <c r="B255" s="182">
        <v>2022</v>
      </c>
      <c r="C255" s="183">
        <v>86000</v>
      </c>
      <c r="D255" s="184"/>
      <c r="E255" s="184"/>
      <c r="F255" s="185"/>
      <c r="G255" s="185"/>
      <c r="H255" s="185" t="s">
        <v>713</v>
      </c>
      <c r="I255" s="404" t="s">
        <v>1328</v>
      </c>
      <c r="J255" s="405" t="str">
        <f t="shared" si="40"/>
        <v>NO AIS</v>
      </c>
      <c r="K255" s="123"/>
      <c r="L255" s="186" t="s">
        <v>797</v>
      </c>
      <c r="M255" s="83">
        <v>46137</v>
      </c>
      <c r="N255" s="222">
        <v>46138</v>
      </c>
      <c r="O255" s="483"/>
      <c r="P255" s="484" t="s">
        <v>1329</v>
      </c>
      <c r="Q255" s="186"/>
      <c r="R255" s="186" t="s">
        <v>1330</v>
      </c>
      <c r="S255" s="120" t="s">
        <v>33</v>
      </c>
      <c r="T255" s="232">
        <v>46132</v>
      </c>
      <c r="U255" s="87" t="str">
        <f>IF(V255="","No AIS",VLOOKUP(V255,'Voyage days'!$A$3:$B$1480,2,FALSE))</f>
        <v>No AIS</v>
      </c>
      <c r="V255" s="87" t="str">
        <f>IF(VLOOKUP(A255,'1) Kpler'!$E$2:$P$1000,8, FALSE)="","",VLOOKUP(A255,'1) Kpler'!$E$2:$P$1000,8, FALSE))</f>
        <v/>
      </c>
      <c r="W255" s="128" t="str">
        <f>IF(VLOOKUP(A255,'1) Kpler'!$E$2:$P$1000,9,FALSE)="","",VLOOKUP(A255,'1) Kpler'!$E$2:$P$1000,9,FALSE))</f>
        <v/>
      </c>
      <c r="X255" s="87" t="str">
        <f>VLOOKUP(A255,'1) Kpler'!$E$2:$I$1000,4,FALSE)</f>
        <v>loaded</v>
      </c>
      <c r="Y255" s="219" t="str">
        <f t="shared" si="38"/>
        <v>04-05 May</v>
      </c>
      <c r="Z255" s="219" t="str">
        <f t="shared" si="1"/>
        <v>13-14 May</v>
      </c>
      <c r="AA255" s="219" t="str">
        <f t="shared" si="2"/>
        <v>16-17 May</v>
      </c>
      <c r="AB255" s="219" t="str">
        <f t="shared" si="3"/>
        <v>10-11 May</v>
      </c>
      <c r="AC255" s="219" t="str">
        <f t="shared" si="4"/>
        <v>03-04 May</v>
      </c>
      <c r="AD255" s="219" t="str">
        <f t="shared" si="5"/>
        <v/>
      </c>
      <c r="AE255" s="220" t="str">
        <f t="shared" si="6"/>
        <v/>
      </c>
      <c r="AF255" s="130" t="str">
        <f t="shared" si="7"/>
        <v>26-27 Apr</v>
      </c>
      <c r="AG255" s="131" t="str">
        <f t="shared" si="26"/>
        <v>04-05 May</v>
      </c>
      <c r="AH255" s="95">
        <f>IFERROR($M255+VLOOKUP($L255,'Voyage days'!$F$38:$H$89,3,FALSE),"")</f>
        <v>46146</v>
      </c>
      <c r="AI255" s="95">
        <f>IFERROR(N255+VLOOKUP($L255,'Voyage days'!$F$38:$H$89,3,FALSE),"")</f>
        <v>46147</v>
      </c>
      <c r="AJ255" s="131" t="str">
        <f t="shared" si="27"/>
        <v>13-14 May</v>
      </c>
      <c r="AK255" s="95">
        <f>IFERROR($M255+VLOOKUP($L255,'Voyage days'!$F$94:$H$193,3,FALSE),"")</f>
        <v>46155</v>
      </c>
      <c r="AL255" s="95">
        <f>IFERROR($N255+VLOOKUP($L255,'Voyage days'!$F$94:$H$193,3,FALSE),"")</f>
        <v>46156</v>
      </c>
      <c r="AM255" s="131" t="str">
        <f t="shared" si="28"/>
        <v>16-17 May</v>
      </c>
      <c r="AN255" s="95">
        <f>IFERROR($M255+VLOOKUP($L255,'Voyage days'!$F$203:$H$256,3,FALSE),"")</f>
        <v>46158</v>
      </c>
      <c r="AO255" s="95">
        <f>IFERROR($N255+VLOOKUP($L255,'Voyage days'!$F$203:$H$256,3,FALSE),"")</f>
        <v>46159</v>
      </c>
      <c r="AP255" s="131" t="str">
        <f t="shared" si="29"/>
        <v>10-11 May</v>
      </c>
      <c r="AQ255" s="95">
        <f>IFERROR($M255+VLOOKUP($L255,'Voyage days'!$F$294:$H$377,3,FALSE),"")</f>
        <v>46152</v>
      </c>
      <c r="AR255" s="95">
        <f>IFERROR($N255+VLOOKUP($L255,'Voyage days'!$F$294:$H$377,3,FALSE),"")</f>
        <v>46153</v>
      </c>
      <c r="AS255" s="131" t="str">
        <f t="shared" si="30"/>
        <v>03-04 May</v>
      </c>
      <c r="AT255" s="95">
        <f>IFERROR($M255+VLOOKUP($L255,'Voyage days'!$F$382:$H$446,3,FALSE),"")</f>
        <v>46145</v>
      </c>
      <c r="AU255" s="95">
        <f>IFERROR($N255+VLOOKUP($L255,'Voyage days'!$F$382:$H$446,3,FALSE),"")</f>
        <v>46146</v>
      </c>
      <c r="AV255" s="131" t="str">
        <f t="shared" si="31"/>
        <v/>
      </c>
      <c r="AW255" s="95" t="str">
        <f>IFERROR($M255+VLOOKUP($L255,'Voyage days'!$F$483:$H$538,3,FALSE),"")</f>
        <v/>
      </c>
      <c r="AX255" s="95" t="str">
        <f>IFERROR($N255+VLOOKUP($L255,'Voyage days'!$F$483:$H$538,3,FALSE),"")</f>
        <v/>
      </c>
      <c r="AY255" s="131" t="str">
        <f t="shared" si="32"/>
        <v/>
      </c>
      <c r="AZ255" s="95" t="str">
        <f>IFERROR($M255+VLOOKUP($L255,'Voyage days'!$F$540:$H$613,3,FALSE),"")</f>
        <v/>
      </c>
      <c r="BA255" s="95" t="str">
        <f>IFERROR($N255+VLOOKUP($L255,'Voyage days'!$F$540:$H$613,3,FALSE),"")</f>
        <v/>
      </c>
      <c r="BB255" s="131" t="str">
        <f t="shared" si="33"/>
        <v/>
      </c>
      <c r="BC255" s="94" t="str">
        <f>IFERROR($M255+VLOOKUP($L255,'Voyage days'!$F$448:$H$479,3,FALSE),"")</f>
        <v/>
      </c>
      <c r="BD255" s="94" t="str">
        <f>IFERROR($N255+VLOOKUP($L255,'Voyage days'!$F$448:$H$479,3,FALSE),"")</f>
        <v/>
      </c>
      <c r="BE255" s="131" t="str">
        <f t="shared" si="34"/>
        <v/>
      </c>
      <c r="BF255" s="95" t="str">
        <f>IFERROR($M255+VLOOKUP($L255,'Voyage days'!$F$620:$H$646,3,FALSE),"")</f>
        <v/>
      </c>
      <c r="BG255" s="95" t="str">
        <f>IFERROR($N255+VLOOKUP($L255,'Voyage days'!$F$620:$H$646,3,FALSE),"")</f>
        <v/>
      </c>
      <c r="BH255" s="131" t="str">
        <f t="shared" si="35"/>
        <v/>
      </c>
      <c r="BI255" s="96" t="str">
        <f>IFERROR($M255+VLOOKUP($L255,'Voyage days'!$F$702:$H$727,3,FALSE),"")</f>
        <v/>
      </c>
      <c r="BJ255" s="131" t="str">
        <f t="shared" si="36"/>
        <v>26-27 Apr</v>
      </c>
      <c r="BK255" s="95">
        <f>IFERROR($M255+VLOOKUP($L255,'Voyage days'!$F$807:$H$878,3,FALSE),"")</f>
        <v>46138.5</v>
      </c>
      <c r="BL255" s="95">
        <f>IFERROR($N255+VLOOKUP($L255,'Voyage days'!$F$807:$H$878,3,FALSE),"")</f>
        <v>46139.5</v>
      </c>
      <c r="BM255" s="95">
        <f>IFERROR($N255+VLOOKUP($L255,'Voyage days'!$F$807:$K$878,6,FALSE),"")</f>
        <v>46138</v>
      </c>
      <c r="BN255" s="94" t="str">
        <f>IF(L255="loads AG", IFERROR($M255+VLOOKUP($L255,'Voyage days'!$M$38:$O$38,3,FALSE),""),"")</f>
        <v/>
      </c>
      <c r="BO255" s="94" t="str">
        <f>IF(L255="loads USG", IFERROR($M255+VLOOKUP($L255,'Voyage days'!$L$203:$N$203,3,FALSE),""),"")</f>
        <v/>
      </c>
    </row>
    <row r="256" spans="1:67" ht="15.75" customHeight="1" x14ac:dyDescent="0.25">
      <c r="A256" s="485" t="s">
        <v>32</v>
      </c>
      <c r="B256" s="119">
        <v>2022</v>
      </c>
      <c r="C256" s="76">
        <v>86000</v>
      </c>
      <c r="D256" s="77"/>
      <c r="E256" s="77"/>
      <c r="F256" s="78"/>
      <c r="G256" s="78"/>
      <c r="H256" s="78" t="s">
        <v>713</v>
      </c>
      <c r="I256" s="233" t="s">
        <v>1328</v>
      </c>
      <c r="J256" s="80" t="str">
        <f t="shared" si="40"/>
        <v>NO AIS</v>
      </c>
      <c r="K256" s="81"/>
      <c r="L256" s="477" t="s">
        <v>1086</v>
      </c>
      <c r="M256" s="83">
        <v>46137</v>
      </c>
      <c r="N256" s="205">
        <v>46138</v>
      </c>
      <c r="O256" s="84"/>
      <c r="P256" s="82" t="s">
        <v>1331</v>
      </c>
      <c r="Q256" s="82"/>
      <c r="R256" s="82" t="s">
        <v>1332</v>
      </c>
      <c r="S256" s="120" t="s">
        <v>33</v>
      </c>
      <c r="T256" s="86">
        <v>46132</v>
      </c>
      <c r="U256" s="87" t="str">
        <f>IF(V256="","No AIS",VLOOKUP(V256,'Voyage days'!$A$3:$B$1480,2,FALSE))</f>
        <v>No AIS</v>
      </c>
      <c r="V256" s="88" t="str">
        <f>IF(VLOOKUP(A256,'1) Kpler'!$E$2:$P$1000,8, FALSE)="","",VLOOKUP(A256,'1) Kpler'!$E$2:$P$1000,8, FALSE))</f>
        <v/>
      </c>
      <c r="W256" s="89" t="str">
        <f>IF(VLOOKUP(A256,'1) Kpler'!$E$2:$P$1000,9,FALSE)="","",VLOOKUP(A256,'1) Kpler'!$E$2:$P$1000,9,FALSE))</f>
        <v/>
      </c>
      <c r="X256" s="88" t="str">
        <f>VLOOKUP(A256,'1) Kpler'!$E$2:$I$1000,4,FALSE)</f>
        <v>loaded</v>
      </c>
      <c r="Y256" s="219" t="str">
        <f t="shared" si="38"/>
        <v/>
      </c>
      <c r="Z256" s="219" t="str">
        <f t="shared" si="1"/>
        <v/>
      </c>
      <c r="AA256" s="219" t="str">
        <f t="shared" si="2"/>
        <v/>
      </c>
      <c r="AB256" s="219" t="str">
        <f t="shared" si="3"/>
        <v/>
      </c>
      <c r="AC256" s="219" t="str">
        <f t="shared" si="4"/>
        <v>08-09 May</v>
      </c>
      <c r="AD256" s="219" t="str">
        <f t="shared" si="5"/>
        <v/>
      </c>
      <c r="AE256" s="220" t="str">
        <f t="shared" si="6"/>
        <v/>
      </c>
      <c r="AF256" s="130" t="str">
        <f t="shared" si="7"/>
        <v/>
      </c>
      <c r="AG256" s="131" t="str">
        <f t="shared" si="26"/>
        <v/>
      </c>
      <c r="AH256" s="95" t="str">
        <f>IFERROR($M256+VLOOKUP($L256,'Voyage days'!$F$38:$H$89,3,FALSE),"")</f>
        <v/>
      </c>
      <c r="AI256" s="95" t="str">
        <f>IFERROR(N256+VLOOKUP($L256,'Voyage days'!$F$38:$H$89,3,FALSE),"")</f>
        <v/>
      </c>
      <c r="AJ256" s="131" t="str">
        <f t="shared" si="27"/>
        <v/>
      </c>
      <c r="AK256" s="95" t="str">
        <f>IFERROR($M256+VLOOKUP($L256,'Voyage days'!$F$94:$H$193,3,FALSE),"")</f>
        <v/>
      </c>
      <c r="AL256" s="95" t="str">
        <f>IFERROR($N256+VLOOKUP($L256,'Voyage days'!$F$94:$H$193,3,FALSE),"")</f>
        <v/>
      </c>
      <c r="AM256" s="131" t="str">
        <f t="shared" si="28"/>
        <v/>
      </c>
      <c r="AN256" s="95" t="str">
        <f>IFERROR($M256+VLOOKUP($L256,'Voyage days'!$F$203:$H$256,3,FALSE),"")</f>
        <v/>
      </c>
      <c r="AO256" s="95" t="str">
        <f>IFERROR($N256+VLOOKUP($L256,'Voyage days'!$F$203:$H$256,3,FALSE),"")</f>
        <v/>
      </c>
      <c r="AP256" s="131" t="str">
        <f t="shared" si="29"/>
        <v/>
      </c>
      <c r="AQ256" s="95" t="str">
        <f>IFERROR($M256+VLOOKUP($L256,'Voyage days'!$F$294:$H$377,3,FALSE),"")</f>
        <v/>
      </c>
      <c r="AR256" s="95" t="str">
        <f>IFERROR($N256+VLOOKUP($L256,'Voyage days'!$F$294:$H$377,3,FALSE),"")</f>
        <v/>
      </c>
      <c r="AS256" s="131" t="str">
        <f t="shared" si="30"/>
        <v>08-09 May</v>
      </c>
      <c r="AT256" s="95">
        <f>IFERROR($M256+VLOOKUP($L256,'Voyage days'!$F$382:$H$446,3,FALSE),"")</f>
        <v>46150</v>
      </c>
      <c r="AU256" s="95">
        <f>IFERROR($N256+VLOOKUP($L256,'Voyage days'!$F$382:$H$446,3,FALSE),"")</f>
        <v>46151</v>
      </c>
      <c r="AV256" s="131" t="str">
        <f t="shared" si="31"/>
        <v/>
      </c>
      <c r="AW256" s="95" t="str">
        <f>IFERROR($M256+VLOOKUP($L256,'Voyage days'!$F$483:$H$538,3,FALSE),"")</f>
        <v/>
      </c>
      <c r="AX256" s="95" t="str">
        <f>IFERROR($N256+VLOOKUP($L256,'Voyage days'!$F$483:$H$538,3,FALSE),"")</f>
        <v/>
      </c>
      <c r="AY256" s="131" t="str">
        <f t="shared" si="32"/>
        <v/>
      </c>
      <c r="AZ256" s="95" t="str">
        <f>IFERROR($M256+VLOOKUP($L256,'Voyage days'!$F$540:$H$613,3,FALSE),"")</f>
        <v/>
      </c>
      <c r="BA256" s="95" t="str">
        <f>IFERROR($N256+VLOOKUP($L256,'Voyage days'!$F$540:$H$613,3,FALSE),"")</f>
        <v/>
      </c>
      <c r="BB256" s="131" t="str">
        <f t="shared" si="33"/>
        <v/>
      </c>
      <c r="BC256" s="94" t="str">
        <f>IFERROR($M256+VLOOKUP($L256,'Voyage days'!$F$448:$H$479,3,FALSE),"")</f>
        <v/>
      </c>
      <c r="BD256" s="94" t="str">
        <f>IFERROR($N256+VLOOKUP($L256,'Voyage days'!$F$448:$H$479,3,FALSE),"")</f>
        <v/>
      </c>
      <c r="BE256" s="131" t="str">
        <f t="shared" si="34"/>
        <v/>
      </c>
      <c r="BF256" s="95" t="str">
        <f>IFERROR($M256+VLOOKUP($L256,'Voyage days'!$F$620:$H$646,3,FALSE),"")</f>
        <v/>
      </c>
      <c r="BG256" s="95" t="str">
        <f>IFERROR($N256+VLOOKUP($L256,'Voyage days'!$F$620:$H$646,3,FALSE),"")</f>
        <v/>
      </c>
      <c r="BH256" s="131" t="str">
        <f t="shared" si="35"/>
        <v/>
      </c>
      <c r="BI256" s="96" t="str">
        <f>IFERROR($M256+VLOOKUP($L256,'Voyage days'!$F$702:$H$727,3,FALSE),"")</f>
        <v/>
      </c>
      <c r="BJ256" s="131" t="str">
        <f t="shared" si="36"/>
        <v/>
      </c>
      <c r="BK256" s="95" t="str">
        <f>IFERROR($M256+VLOOKUP($L256,'Voyage days'!$F$807:$H$878,3,FALSE),"")</f>
        <v/>
      </c>
      <c r="BL256" s="95" t="str">
        <f>IFERROR($N256+VLOOKUP($L256,'Voyage days'!$F$807:$H$878,3,FALSE),"")</f>
        <v/>
      </c>
      <c r="BM256" s="95" t="str">
        <f>IFERROR($N256+VLOOKUP($L256,'Voyage days'!$F$807:$K$878,6,FALSE),"")</f>
        <v/>
      </c>
      <c r="BN256" s="94" t="str">
        <f>IF(L256="loads AG", IFERROR($M256+VLOOKUP($L256,'Voyage days'!$M$38:$O$38,3,FALSE),""),"")</f>
        <v/>
      </c>
      <c r="BO256" s="94" t="str">
        <f>IF(L256="loads USG", IFERROR($M256+VLOOKUP($L256,'Voyage days'!$L$203:$N$203,3,FALSE),""),"")</f>
        <v/>
      </c>
    </row>
    <row r="257" spans="1:67" ht="15.75" customHeight="1" x14ac:dyDescent="0.25">
      <c r="A257" s="485" t="s">
        <v>88</v>
      </c>
      <c r="B257" s="119">
        <v>2023</v>
      </c>
      <c r="C257" s="76">
        <v>86000</v>
      </c>
      <c r="D257" s="77"/>
      <c r="E257" s="77"/>
      <c r="F257" s="78"/>
      <c r="G257" s="78"/>
      <c r="H257" s="78" t="s">
        <v>713</v>
      </c>
      <c r="I257" s="233" t="s">
        <v>1328</v>
      </c>
      <c r="J257" s="80" t="str">
        <f t="shared" si="40"/>
        <v>NO AIS</v>
      </c>
      <c r="K257" s="81"/>
      <c r="L257" s="82" t="s">
        <v>1243</v>
      </c>
      <c r="M257" s="83">
        <v>46132</v>
      </c>
      <c r="N257" s="205">
        <v>46133</v>
      </c>
      <c r="O257" s="84"/>
      <c r="P257" s="167" t="s">
        <v>1333</v>
      </c>
      <c r="Q257" s="82"/>
      <c r="R257" s="82" t="s">
        <v>1334</v>
      </c>
      <c r="S257" s="120" t="s">
        <v>33</v>
      </c>
      <c r="T257" s="86">
        <v>46132</v>
      </c>
      <c r="U257" s="87" t="str">
        <f>IF(V257="","No AIS",VLOOKUP(V257,'Voyage days'!$A$3:$B$1480,2,FALSE))</f>
        <v>No AIS</v>
      </c>
      <c r="V257" s="88" t="str">
        <f>IF(VLOOKUP(A257,'1) Kpler'!$E$2:$P$1000,8, FALSE)="","",VLOOKUP(A257,'1) Kpler'!$E$2:$P$1000,8, FALSE))</f>
        <v/>
      </c>
      <c r="W257" s="89" t="str">
        <f>IF(VLOOKUP(A257,'1) Kpler'!$E$2:$P$1000,9,FALSE)="","",VLOOKUP(A257,'1) Kpler'!$E$2:$P$1000,9,FALSE))</f>
        <v/>
      </c>
      <c r="X257" s="88" t="str">
        <f>VLOOKUP(A257,'1) Kpler'!$E$2:$I$1000,4,FALSE)</f>
        <v>ballast</v>
      </c>
      <c r="Y257" s="219" t="str">
        <f t="shared" si="38"/>
        <v>20-21 Apr</v>
      </c>
      <c r="Z257" s="219" t="str">
        <f t="shared" si="1"/>
        <v/>
      </c>
      <c r="AA257" s="219" t="str">
        <f t="shared" si="2"/>
        <v/>
      </c>
      <c r="AB257" s="219" t="str">
        <f t="shared" si="3"/>
        <v/>
      </c>
      <c r="AC257" s="219" t="str">
        <f t="shared" si="4"/>
        <v/>
      </c>
      <c r="AD257" s="219" t="str">
        <f t="shared" si="5"/>
        <v/>
      </c>
      <c r="AE257" s="220" t="str">
        <f t="shared" si="6"/>
        <v>09-10 May</v>
      </c>
      <c r="AF257" s="130" t="str">
        <f t="shared" si="7"/>
        <v>20-21 Apr</v>
      </c>
      <c r="AG257" s="131" t="str">
        <f t="shared" si="26"/>
        <v>20-21 Apr</v>
      </c>
      <c r="AH257" s="95">
        <f>IFERROR($M257+VLOOKUP($L257,'Voyage days'!$F$38:$H$89,3,FALSE),"")</f>
        <v>46132</v>
      </c>
      <c r="AI257" s="95">
        <f>IFERROR(N257+VLOOKUP($L257,'Voyage days'!$F$38:$H$89,3,FALSE),"")</f>
        <v>46133</v>
      </c>
      <c r="AJ257" s="131" t="str">
        <f t="shared" si="27"/>
        <v/>
      </c>
      <c r="AK257" s="95" t="str">
        <f>IFERROR($M257+VLOOKUP($L257,'Voyage days'!$F$94:$H$193,3,FALSE),"")</f>
        <v/>
      </c>
      <c r="AL257" s="95" t="str">
        <f>IFERROR($N257+VLOOKUP($L257,'Voyage days'!$F$94:$H$193,3,FALSE),"")</f>
        <v/>
      </c>
      <c r="AM257" s="131" t="str">
        <f t="shared" si="28"/>
        <v/>
      </c>
      <c r="AN257" s="95" t="str">
        <f>IFERROR($M257+VLOOKUP($L257,'Voyage days'!$F$203:$H$256,3,FALSE),"")</f>
        <v/>
      </c>
      <c r="AO257" s="95" t="str">
        <f>IFERROR($N257+VLOOKUP($L257,'Voyage days'!$F$203:$H$256,3,FALSE),"")</f>
        <v/>
      </c>
      <c r="AP257" s="131" t="str">
        <f t="shared" si="29"/>
        <v/>
      </c>
      <c r="AQ257" s="95" t="str">
        <f>IFERROR($M257+VLOOKUP($L257,'Voyage days'!$F$294:$H$377,3,FALSE),"")</f>
        <v/>
      </c>
      <c r="AR257" s="95" t="str">
        <f>IFERROR($N257+VLOOKUP($L257,'Voyage days'!$F$294:$H$377,3,FALSE),"")</f>
        <v/>
      </c>
      <c r="AS257" s="131" t="str">
        <f t="shared" si="30"/>
        <v/>
      </c>
      <c r="AT257" s="95" t="str">
        <f>IFERROR($M257+VLOOKUP($L257,'Voyage days'!$F$382:$H$446,3,FALSE),"")</f>
        <v/>
      </c>
      <c r="AU257" s="95" t="str">
        <f>IFERROR($N257+VLOOKUP($L257,'Voyage days'!$F$382:$H$446,3,FALSE),"")</f>
        <v/>
      </c>
      <c r="AV257" s="131" t="str">
        <f t="shared" si="31"/>
        <v/>
      </c>
      <c r="AW257" s="95" t="str">
        <f>IFERROR($M257+VLOOKUP($L257,'Voyage days'!$F$483:$H$538,3,FALSE),"")</f>
        <v/>
      </c>
      <c r="AX257" s="95" t="str">
        <f>IFERROR($N257+VLOOKUP($L257,'Voyage days'!$F$483:$H$538,3,FALSE),"")</f>
        <v/>
      </c>
      <c r="AY257" s="131" t="str">
        <f t="shared" si="32"/>
        <v>09-10 May</v>
      </c>
      <c r="AZ257" s="95">
        <f>IFERROR($M257+VLOOKUP($L257,'Voyage days'!$F$540:$H$613,3,FALSE),"")</f>
        <v>46151</v>
      </c>
      <c r="BA257" s="95">
        <f>IFERROR($N257+VLOOKUP($L257,'Voyage days'!$F$540:$H$613,3,FALSE),"")</f>
        <v>46152</v>
      </c>
      <c r="BB257" s="131" t="str">
        <f t="shared" si="33"/>
        <v/>
      </c>
      <c r="BC257" s="94" t="str">
        <f>IFERROR($M257+VLOOKUP($L257,'Voyage days'!$F$448:$H$479,3,FALSE),"")</f>
        <v/>
      </c>
      <c r="BD257" s="94" t="str">
        <f>IFERROR($N257+VLOOKUP($L257,'Voyage days'!$F$448:$H$479,3,FALSE),"")</f>
        <v/>
      </c>
      <c r="BE257" s="131" t="str">
        <f t="shared" si="34"/>
        <v/>
      </c>
      <c r="BF257" s="95" t="str">
        <f>IFERROR($M257+VLOOKUP($L257,'Voyage days'!$F$620:$H$646,3,FALSE),"")</f>
        <v/>
      </c>
      <c r="BG257" s="95" t="str">
        <f>IFERROR($N257+VLOOKUP($L257,'Voyage days'!$F$620:$H$646,3,FALSE),"")</f>
        <v/>
      </c>
      <c r="BH257" s="131" t="str">
        <f t="shared" si="35"/>
        <v/>
      </c>
      <c r="BI257" s="96" t="str">
        <f>IFERROR($M257+VLOOKUP($L257,'Voyage days'!$F$702:$H$727,3,FALSE),"")</f>
        <v/>
      </c>
      <c r="BJ257" s="131" t="str">
        <f t="shared" si="36"/>
        <v>20-21 Apr</v>
      </c>
      <c r="BK257" s="95">
        <f>IFERROR($M257+VLOOKUP($L257,'Voyage days'!$F$807:$H$878,3,FALSE),"")</f>
        <v>46132</v>
      </c>
      <c r="BL257" s="95">
        <f>IFERROR($N257+VLOOKUP($L257,'Voyage days'!$F$807:$H$878,3,FALSE),"")</f>
        <v>46133</v>
      </c>
      <c r="BM257" s="95">
        <f>IFERROR($N257+VLOOKUP($L257,'Voyage days'!$F$807:$K$878,6,FALSE),"")</f>
        <v>46136</v>
      </c>
      <c r="BN257" s="94">
        <f>IF(L257="loads AG", IFERROR($M257+VLOOKUP($L257,'Voyage days'!$M$38:$O$38,3,FALSE),""),"")</f>
        <v>46157</v>
      </c>
      <c r="BO257" s="94" t="str">
        <f>IF(L257="loads USG", IFERROR($M257+VLOOKUP($L257,'Voyage days'!$L$203:$N$203,3,FALSE),""),"")</f>
        <v/>
      </c>
    </row>
    <row r="258" spans="1:67" ht="15.75" customHeight="1" x14ac:dyDescent="0.25">
      <c r="A258" s="338" t="s">
        <v>224</v>
      </c>
      <c r="B258" s="75">
        <v>42396</v>
      </c>
      <c r="C258" s="76">
        <v>84000</v>
      </c>
      <c r="D258" s="77"/>
      <c r="E258" s="77"/>
      <c r="F258" s="78"/>
      <c r="G258" s="78"/>
      <c r="H258" s="78"/>
      <c r="I258" s="233" t="s">
        <v>1328</v>
      </c>
      <c r="J258" s="80" t="str">
        <f t="shared" si="40"/>
        <v/>
      </c>
      <c r="K258" s="81"/>
      <c r="L258" s="159" t="s">
        <v>863</v>
      </c>
      <c r="M258" s="83">
        <v>46136</v>
      </c>
      <c r="N258" s="83">
        <v>46137</v>
      </c>
      <c r="O258" s="482"/>
      <c r="P258" s="82" t="s">
        <v>1335</v>
      </c>
      <c r="Q258" s="82"/>
      <c r="R258" s="82" t="s">
        <v>1336</v>
      </c>
      <c r="S258" s="120" t="s">
        <v>33</v>
      </c>
      <c r="T258" s="86">
        <v>46132</v>
      </c>
      <c r="U258" s="87" t="str">
        <f>IF(V258="","No AIS",VLOOKUP(V258,'Voyage days'!$A$3:$B$1480,2,FALSE))</f>
        <v>ECI + 5</v>
      </c>
      <c r="V258" s="88" t="str">
        <f>IF(VLOOKUP(A258,'1) Kpler'!$E$2:$P$1000,8, FALSE)="","",VLOOKUP(A258,'1) Kpler'!$E$2:$P$1000,8, FALSE))</f>
        <v>Ennore Port</v>
      </c>
      <c r="W258" s="89">
        <f>IF(VLOOKUP(A258,'1) Kpler'!$E$2:$P$1000,9,FALSE)="","",VLOOKUP(A258,'1) Kpler'!$E$2:$P$1000,9,FALSE))</f>
        <v>46132.4375</v>
      </c>
      <c r="X258" s="88" t="str">
        <f>VLOOKUP(A258,'1) Kpler'!$E$2:$I$1000,4,FALSE)</f>
        <v>loaded</v>
      </c>
      <c r="Y258" s="90" t="str">
        <f t="shared" si="38"/>
        <v>03-04 May</v>
      </c>
      <c r="Z258" s="90" t="str">
        <f t="shared" ref="Z258:Z267" si="41">AJ258</f>
        <v/>
      </c>
      <c r="AA258" s="90" t="str">
        <f t="shared" ref="AA258:AA267" si="42">AM258</f>
        <v>30-31 May</v>
      </c>
      <c r="AB258" s="90" t="str">
        <f t="shared" ref="AB258:AB267" si="43">AP258</f>
        <v>15-16 May</v>
      </c>
      <c r="AC258" s="90" t="str">
        <f t="shared" ref="AC258:AC267" si="44">AS258</f>
        <v>22-23 May</v>
      </c>
      <c r="AD258" s="90" t="str">
        <f t="shared" ref="AD258:AD267" si="45">BB258</f>
        <v>29-30 Apr</v>
      </c>
      <c r="AE258" s="91" t="str">
        <f t="shared" ref="AE258:AE267" si="46">AY258</f>
        <v/>
      </c>
      <c r="AF258" s="92" t="str">
        <f t="shared" ref="AF258:AF267" si="47">BJ258</f>
        <v>01-02 Jun</v>
      </c>
      <c r="AG258" s="93" t="str">
        <f t="shared" si="26"/>
        <v>03-04 May</v>
      </c>
      <c r="AH258" s="94">
        <f>IFERROR($M258+VLOOKUP($L258,'Voyage days'!$F$38:$H$89,3,FALSE),"")</f>
        <v>46145</v>
      </c>
      <c r="AI258" s="94">
        <f>IFERROR(N258+VLOOKUP($L258,'Voyage days'!$F$38:$H$89,3,FALSE),"")</f>
        <v>46146</v>
      </c>
      <c r="AJ258" s="93" t="str">
        <f t="shared" si="27"/>
        <v/>
      </c>
      <c r="AK258" s="94" t="str">
        <f>IFERROR($M258+VLOOKUP($L258,'Voyage days'!$F$94:$H$193,3,FALSE),"")</f>
        <v/>
      </c>
      <c r="AL258" s="94" t="str">
        <f>IFERROR($N258+VLOOKUP($L258,'Voyage days'!$F$94:$H$193,3,FALSE),"")</f>
        <v/>
      </c>
      <c r="AM258" s="93" t="str">
        <f t="shared" si="28"/>
        <v>30-31 May</v>
      </c>
      <c r="AN258" s="94">
        <f>IFERROR($M258+VLOOKUP($L258,'Voyage days'!$F$203:$H$256,3,FALSE),"")</f>
        <v>46172</v>
      </c>
      <c r="AO258" s="94">
        <f>IFERROR($N258+VLOOKUP($L258,'Voyage days'!$F$203:$H$256,3,FALSE),"")</f>
        <v>46173</v>
      </c>
      <c r="AP258" s="93" t="str">
        <f t="shared" si="29"/>
        <v>15-16 May</v>
      </c>
      <c r="AQ258" s="94">
        <f>IFERROR($M258+VLOOKUP($L258,'Voyage days'!$F$294:$H$377,3,FALSE),"")</f>
        <v>46157</v>
      </c>
      <c r="AR258" s="94">
        <f>IFERROR($N258+VLOOKUP($L258,'Voyage days'!$F$294:$H$377,3,FALSE),"")</f>
        <v>46158</v>
      </c>
      <c r="AS258" s="93" t="str">
        <f t="shared" si="30"/>
        <v>22-23 May</v>
      </c>
      <c r="AT258" s="94">
        <f>IFERROR($M258+VLOOKUP($L258,'Voyage days'!$F$382:$H$446,3,FALSE),"")</f>
        <v>46164</v>
      </c>
      <c r="AU258" s="94">
        <f>IFERROR($N258+VLOOKUP($L258,'Voyage days'!$F$382:$H$446,3,FALSE),"")</f>
        <v>46165</v>
      </c>
      <c r="AV258" s="93" t="str">
        <f t="shared" si="31"/>
        <v>24-25 Apr</v>
      </c>
      <c r="AW258" s="94">
        <f>IFERROR($M258+VLOOKUP($L258,'Voyage days'!$F$483:$H$538,3,FALSE),"")</f>
        <v>46136</v>
      </c>
      <c r="AX258" s="94">
        <f>IFERROR($N258+VLOOKUP($L258,'Voyage days'!$F$483:$H$538,3,FALSE),"")</f>
        <v>46137</v>
      </c>
      <c r="AY258" s="93" t="str">
        <f t="shared" si="32"/>
        <v/>
      </c>
      <c r="AZ258" s="94" t="str">
        <f>IFERROR($M258+VLOOKUP($L258,'Voyage days'!$F$540:$H$613,3,FALSE),"")</f>
        <v/>
      </c>
      <c r="BA258" s="94" t="str">
        <f>IFERROR($N258+VLOOKUP($L258,'Voyage days'!$F$540:$H$613,3,FALSE),"")</f>
        <v/>
      </c>
      <c r="BB258" s="93" t="str">
        <f t="shared" si="33"/>
        <v>29-30 Apr</v>
      </c>
      <c r="BC258" s="94">
        <f>IFERROR($M258+VLOOKUP($L258,'Voyage days'!$F$448:$H$479,3,FALSE),"")</f>
        <v>46141</v>
      </c>
      <c r="BD258" s="94">
        <f>IFERROR($N258+VLOOKUP($L258,'Voyage days'!$F$448:$H$479,3,FALSE),"")</f>
        <v>46142</v>
      </c>
      <c r="BE258" s="93" t="str">
        <f t="shared" si="34"/>
        <v/>
      </c>
      <c r="BF258" s="95" t="str">
        <f>IFERROR($M258+VLOOKUP($L258,'Voyage days'!$F$620:$H$646,3,FALSE),"")</f>
        <v/>
      </c>
      <c r="BG258" s="95" t="str">
        <f>IFERROR($N258+VLOOKUP($L258,'Voyage days'!$F$620:$H$646,3,FALSE),"")</f>
        <v/>
      </c>
      <c r="BH258" s="93" t="str">
        <f t="shared" si="35"/>
        <v/>
      </c>
      <c r="BI258" s="96" t="str">
        <f>IFERROR($M258+VLOOKUP($L258,'Voyage days'!$F$702:$H$727,3,FALSE),"")</f>
        <v/>
      </c>
      <c r="BJ258" s="93" t="str">
        <f t="shared" si="36"/>
        <v>01-02 Jun</v>
      </c>
      <c r="BK258" s="95">
        <f>IFERROR($M258+VLOOKUP($L258,'Voyage days'!$F$807:$H$878,3,FALSE),"")</f>
        <v>46174</v>
      </c>
      <c r="BL258" s="95">
        <f>IFERROR($N258+VLOOKUP($L258,'Voyage days'!$F$807:$H$878,3,FALSE),"")</f>
        <v>46175</v>
      </c>
      <c r="BM258" s="95">
        <f>IFERROR($N258+VLOOKUP($L258,'Voyage days'!$F$807:$K$878,6,FALSE),"")</f>
        <v>46149</v>
      </c>
      <c r="BN258" s="94" t="str">
        <f>IF(L258="loads AG", IFERROR($M258+VLOOKUP($L258,'Voyage days'!$M$38:$O$38,3,FALSE),""),"")</f>
        <v/>
      </c>
      <c r="BO258" s="94" t="str">
        <f>IF(L258="loads USG", IFERROR($M258+VLOOKUP($L258,'Voyage days'!$L$203:$N$203,3,FALSE),""),"")</f>
        <v/>
      </c>
    </row>
    <row r="259" spans="1:67" ht="15.75" customHeight="1" x14ac:dyDescent="0.25">
      <c r="A259" s="74" t="s">
        <v>292</v>
      </c>
      <c r="B259" s="119">
        <v>2022</v>
      </c>
      <c r="C259" s="76">
        <v>86000</v>
      </c>
      <c r="D259" s="77"/>
      <c r="E259" s="77" t="s">
        <v>757</v>
      </c>
      <c r="F259" s="78"/>
      <c r="G259" s="78"/>
      <c r="H259" s="78" t="s">
        <v>713</v>
      </c>
      <c r="I259" s="233" t="s">
        <v>1328</v>
      </c>
      <c r="J259" s="80" t="str">
        <f t="shared" si="40"/>
        <v/>
      </c>
      <c r="K259" s="81"/>
      <c r="L259" s="159" t="s">
        <v>901</v>
      </c>
      <c r="M259" s="83">
        <v>46164</v>
      </c>
      <c r="N259" s="83">
        <v>46165</v>
      </c>
      <c r="O259" s="84"/>
      <c r="P259" s="82" t="s">
        <v>1337</v>
      </c>
      <c r="Q259" s="78"/>
      <c r="R259" s="82" t="s">
        <v>1338</v>
      </c>
      <c r="S259" s="120" t="s">
        <v>33</v>
      </c>
      <c r="T259" s="86">
        <v>46132</v>
      </c>
      <c r="U259" s="87" t="str">
        <f>IF(V259="","No AIS",VLOOKUP(V259,'Voyage days'!$A$3:$B$1480,2,FALSE))</f>
        <v>North China +4</v>
      </c>
      <c r="V259" s="88" t="str">
        <f>IF(VLOOKUP(9902809,'1) Kpler'!$K$2:$P$1000,2, FALSE)="","",VLOOKUP(9902809,'1) Kpler'!$K$2:$P$1000,2, FALSE))</f>
        <v>Wanhua Yantai NGL Terminal</v>
      </c>
      <c r="W259" s="89">
        <f>IF(VLOOKUP(9902809,'1) Kpler'!$K$2:$P$1000,2,FALSE)="","",VLOOKUP(9902809,'1) Kpler'!$K$2:$P$1000,3,FALSE))</f>
        <v>46161.208333333336</v>
      </c>
      <c r="X259" s="486"/>
      <c r="Y259" s="63" t="str">
        <f t="shared" si="38"/>
        <v>09-10 Jun</v>
      </c>
      <c r="Z259" s="63" t="str">
        <f t="shared" si="41"/>
        <v>23-24 Jun</v>
      </c>
      <c r="AA259" s="63" t="str">
        <f t="shared" si="42"/>
        <v>03-04 Jul</v>
      </c>
      <c r="AB259" s="63" t="str">
        <f t="shared" si="43"/>
        <v>20-21 Jun</v>
      </c>
      <c r="AC259" s="63" t="str">
        <f t="shared" si="44"/>
        <v>26-27 Jun</v>
      </c>
      <c r="AD259" s="63" t="str">
        <f t="shared" si="45"/>
        <v>30-31 May</v>
      </c>
      <c r="AE259" s="129" t="str">
        <f t="shared" si="46"/>
        <v>31-01 Jun</v>
      </c>
      <c r="AF259" s="130" t="str">
        <f t="shared" si="47"/>
        <v>07-08 Jul</v>
      </c>
      <c r="AG259" s="93" t="str">
        <f t="shared" si="26"/>
        <v>09-10 Jun</v>
      </c>
      <c r="AH259" s="94">
        <f>IFERROR($M259+VLOOKUP($L259,'Voyage days'!$F$38:$H$89,3,FALSE),"")</f>
        <v>46182</v>
      </c>
      <c r="AI259" s="94">
        <f>IFERROR(N259+VLOOKUP($L259,'Voyage days'!$F$38:$H$89,3,FALSE),"")</f>
        <v>46183</v>
      </c>
      <c r="AJ259" s="93" t="str">
        <f t="shared" si="27"/>
        <v>23-24 Jun</v>
      </c>
      <c r="AK259" s="94">
        <f>IFERROR($M259+VLOOKUP($L259,'Voyage days'!$F$94:$H$193,3,FALSE),"")</f>
        <v>46196</v>
      </c>
      <c r="AL259" s="94">
        <f>IFERROR($N259+VLOOKUP($L259,'Voyage days'!$F$94:$H$193,3,FALSE),"")</f>
        <v>46197</v>
      </c>
      <c r="AM259" s="93" t="str">
        <f t="shared" si="28"/>
        <v>03-04 Jul</v>
      </c>
      <c r="AN259" s="94">
        <f>IFERROR($M259+VLOOKUP($L259,'Voyage days'!$F$203:$H$256,3,FALSE),"")</f>
        <v>46206</v>
      </c>
      <c r="AO259" s="94">
        <f>IFERROR($N259+VLOOKUP($L259,'Voyage days'!$F$203:$H$256,3,FALSE),"")</f>
        <v>46207</v>
      </c>
      <c r="AP259" s="93" t="str">
        <f t="shared" si="29"/>
        <v>20-21 Jun</v>
      </c>
      <c r="AQ259" s="94">
        <f>IFERROR($M259+VLOOKUP($L259,'Voyage days'!$F$294:$H$377,3,FALSE),"")</f>
        <v>46193</v>
      </c>
      <c r="AR259" s="94">
        <f>IFERROR($N259+VLOOKUP($L259,'Voyage days'!$F$294:$H$377,3,FALSE),"")</f>
        <v>46194</v>
      </c>
      <c r="AS259" s="93" t="str">
        <f t="shared" si="30"/>
        <v>26-27 Jun</v>
      </c>
      <c r="AT259" s="94">
        <f>IFERROR($M259+VLOOKUP($L259,'Voyage days'!$F$382:$H$446,3,FALSE),"")</f>
        <v>46199</v>
      </c>
      <c r="AU259" s="94">
        <f>IFERROR($N259+VLOOKUP($L259,'Voyage days'!$F$382:$H$446,3,FALSE),"")</f>
        <v>46200</v>
      </c>
      <c r="AV259" s="93" t="str">
        <f t="shared" si="31"/>
        <v>06-07 Jun</v>
      </c>
      <c r="AW259" s="94">
        <f>IFERROR($M259+VLOOKUP($L259,'Voyage days'!$F$483:$H$538,3,FALSE),"")</f>
        <v>46179</v>
      </c>
      <c r="AX259" s="94">
        <f>IFERROR($N259+VLOOKUP($L259,'Voyage days'!$F$483:$H$538,3,FALSE),"")</f>
        <v>46180</v>
      </c>
      <c r="AY259" s="93" t="str">
        <f t="shared" si="32"/>
        <v>31-01 Jun</v>
      </c>
      <c r="AZ259" s="94">
        <f>IFERROR($M259+VLOOKUP($L259,'Voyage days'!$F$540:$H$613,3,FALSE),"")</f>
        <v>46173</v>
      </c>
      <c r="BA259" s="94">
        <f>IFERROR($N259+VLOOKUP($L259,'Voyage days'!$F$540:$H$613,3,FALSE),"")</f>
        <v>46174</v>
      </c>
      <c r="BB259" s="93" t="str">
        <f t="shared" si="33"/>
        <v>30-31 May</v>
      </c>
      <c r="BC259" s="94">
        <f>IFERROR($M259+VLOOKUP($L259,'Voyage days'!$F$448:$H$479,3,FALSE),"")</f>
        <v>46172</v>
      </c>
      <c r="BD259" s="94">
        <f>IFERROR($N259+VLOOKUP($L259,'Voyage days'!$F$448:$H$479,3,FALSE),"")</f>
        <v>46173</v>
      </c>
      <c r="BE259" s="93" t="str">
        <f t="shared" si="34"/>
        <v>04-05 Jun</v>
      </c>
      <c r="BF259" s="95">
        <f>IFERROR($M259+VLOOKUP($L259,'Voyage days'!$F$620:$H$646,3,FALSE),"")</f>
        <v>46177</v>
      </c>
      <c r="BG259" s="95">
        <f>IFERROR($N259+VLOOKUP($L259,'Voyage days'!$F$620:$H$646,3,FALSE),"")</f>
        <v>46178</v>
      </c>
      <c r="BH259" s="93" t="str">
        <f t="shared" si="35"/>
        <v>31-08 Jul</v>
      </c>
      <c r="BI259" s="96">
        <f>IFERROR($M259+VLOOKUP($L259,'Voyage days'!$F$702:$H$727,3,FALSE),"")</f>
        <v>46173</v>
      </c>
      <c r="BJ259" s="93" t="str">
        <f t="shared" si="36"/>
        <v>07-08 Jul</v>
      </c>
      <c r="BK259" s="95">
        <f>IFERROR($M259+VLOOKUP($L259,'Voyage days'!$F$807:$H$878,3,FALSE),"")</f>
        <v>46210</v>
      </c>
      <c r="BL259" s="95">
        <f>IFERROR($N259+VLOOKUP($L259,'Voyage days'!$F$807:$H$878,3,FALSE),"")</f>
        <v>46211</v>
      </c>
      <c r="BM259" s="95">
        <f>IFERROR($N259+VLOOKUP($L259,'Voyage days'!$F$807:$K$878,6,FALSE),"")</f>
        <v>46185</v>
      </c>
      <c r="BN259" s="94" t="str">
        <f>IF(L259="loads AG", IFERROR($M259+VLOOKUP($L259,'Voyage days'!$M$38:$O$38,3,FALSE),""),"")</f>
        <v/>
      </c>
      <c r="BO259" s="94" t="str">
        <f>IF(L259="loads USG", IFERROR($M259+VLOOKUP($L259,'Voyage days'!$L$203:$N$203,3,FALSE),""),"")</f>
        <v/>
      </c>
    </row>
    <row r="260" spans="1:67" ht="15.75" customHeight="1" x14ac:dyDescent="0.25">
      <c r="A260" s="74" t="s">
        <v>319</v>
      </c>
      <c r="B260" s="119">
        <v>2021</v>
      </c>
      <c r="C260" s="76">
        <v>86000</v>
      </c>
      <c r="D260" s="77"/>
      <c r="E260" s="77" t="s">
        <v>757</v>
      </c>
      <c r="F260" s="78"/>
      <c r="G260" s="78"/>
      <c r="H260" s="78" t="s">
        <v>713</v>
      </c>
      <c r="I260" s="233" t="s">
        <v>1328</v>
      </c>
      <c r="J260" s="261" t="str">
        <f t="shared" si="40"/>
        <v/>
      </c>
      <c r="K260" s="81"/>
      <c r="L260" s="82" t="s">
        <v>778</v>
      </c>
      <c r="M260" s="83">
        <v>46139</v>
      </c>
      <c r="N260" s="83">
        <v>46140</v>
      </c>
      <c r="O260" s="84"/>
      <c r="P260" s="82" t="s">
        <v>1339</v>
      </c>
      <c r="Q260" s="85"/>
      <c r="R260" s="82" t="s">
        <v>1340</v>
      </c>
      <c r="S260" s="120" t="s">
        <v>33</v>
      </c>
      <c r="T260" s="86">
        <v>46132</v>
      </c>
      <c r="U260" s="87" t="str">
        <f>IF(V260="","No AIS",VLOOKUP(V260,'Voyage days'!$A$3:$B$1480,2,FALSE))</f>
        <v>Bethioua -&gt; SG</v>
      </c>
      <c r="V260" s="88" t="str">
        <f>IF(VLOOKUP(A260,'1) Kpler'!$E$2:$P$1000,8, FALSE)="","",VLOOKUP(A260,'1) Kpler'!$E$2:$P$1000,8, FALSE))</f>
        <v>Arzew</v>
      </c>
      <c r="W260" s="89">
        <f>IF(VLOOKUP(A260,'1) Kpler'!$E$2:$P$1000,9,FALSE)="","",VLOOKUP(A260,'1) Kpler'!$E$2:$P$1000,9,FALSE))</f>
        <v>46138</v>
      </c>
      <c r="X260" s="88" t="str">
        <f>VLOOKUP(A260,'1) Kpler'!$E$2:$I$1000,4,FALSE)</f>
        <v>ballast</v>
      </c>
      <c r="Y260" s="90" t="str">
        <f t="shared" si="38"/>
        <v>07-08 May</v>
      </c>
      <c r="Z260" s="90" t="str">
        <f t="shared" si="41"/>
        <v>11-12 May</v>
      </c>
      <c r="AA260" s="90" t="str">
        <f t="shared" si="42"/>
        <v>17-18 May</v>
      </c>
      <c r="AB260" s="90" t="str">
        <f t="shared" si="43"/>
        <v>12-13 May</v>
      </c>
      <c r="AC260" s="90" t="str">
        <f t="shared" si="44"/>
        <v>02-03 May</v>
      </c>
      <c r="AD260" s="90" t="str">
        <f t="shared" si="45"/>
        <v/>
      </c>
      <c r="AE260" s="91" t="str">
        <f t="shared" si="46"/>
        <v/>
      </c>
      <c r="AF260" s="92" t="str">
        <f t="shared" si="47"/>
        <v>01-02 May</v>
      </c>
      <c r="AG260" s="93" t="str">
        <f t="shared" si="26"/>
        <v>07-08 May</v>
      </c>
      <c r="AH260" s="94">
        <f>IFERROR($M260+VLOOKUP($L260,'Voyage days'!$F$38:$H$89,3,FALSE),"")</f>
        <v>46149</v>
      </c>
      <c r="AI260" s="94">
        <f>IFERROR(N260+VLOOKUP($L260,'Voyage days'!$F$38:$H$89,3,FALSE),"")</f>
        <v>46150</v>
      </c>
      <c r="AJ260" s="93" t="str">
        <f t="shared" si="27"/>
        <v>11-12 May</v>
      </c>
      <c r="AK260" s="94">
        <f>IFERROR($M260+VLOOKUP($L260,'Voyage days'!$F$94:$H$193,3,FALSE),"")</f>
        <v>46153</v>
      </c>
      <c r="AL260" s="94">
        <f>IFERROR($N260+VLOOKUP($L260,'Voyage days'!$F$94:$H$193,3,FALSE),"")</f>
        <v>46154</v>
      </c>
      <c r="AM260" s="93" t="str">
        <f t="shared" si="28"/>
        <v>17-18 May</v>
      </c>
      <c r="AN260" s="94">
        <f>IFERROR($M260+VLOOKUP($L260,'Voyage days'!$F$203:$H$256,3,FALSE),"")</f>
        <v>46159</v>
      </c>
      <c r="AO260" s="94">
        <f>IFERROR($N260+VLOOKUP($L260,'Voyage days'!$F$203:$H$256,3,FALSE),"")</f>
        <v>46160</v>
      </c>
      <c r="AP260" s="93" t="str">
        <f t="shared" si="29"/>
        <v>12-13 May</v>
      </c>
      <c r="AQ260" s="94">
        <f>IFERROR($M260+VLOOKUP($L260,'Voyage days'!$F$294:$H$377,3,FALSE),"")</f>
        <v>46154</v>
      </c>
      <c r="AR260" s="94">
        <f>IFERROR($N260+VLOOKUP($L260,'Voyage days'!$F$294:$H$377,3,FALSE),"")</f>
        <v>46155</v>
      </c>
      <c r="AS260" s="93" t="str">
        <f t="shared" si="30"/>
        <v>02-03 May</v>
      </c>
      <c r="AT260" s="94">
        <f>IFERROR($M260+VLOOKUP($L260,'Voyage days'!$F$382:$H$446,3,FALSE),"")</f>
        <v>46144</v>
      </c>
      <c r="AU260" s="94">
        <f>IFERROR($N260+VLOOKUP($L260,'Voyage days'!$F$382:$H$446,3,FALSE),"")</f>
        <v>46145</v>
      </c>
      <c r="AV260" s="93" t="str">
        <f t="shared" si="31"/>
        <v/>
      </c>
      <c r="AW260" s="94" t="str">
        <f>IFERROR($M260+VLOOKUP($L260,'Voyage days'!$F$483:$H$538,3,FALSE),"")</f>
        <v/>
      </c>
      <c r="AX260" s="94" t="str">
        <f>IFERROR($N260+VLOOKUP($L260,'Voyage days'!$F$483:$H$538,3,FALSE),"")</f>
        <v/>
      </c>
      <c r="AY260" s="93" t="str">
        <f t="shared" si="32"/>
        <v/>
      </c>
      <c r="AZ260" s="94" t="str">
        <f>IFERROR($M260+VLOOKUP($L260,'Voyage days'!$F$540:$H$613,3,FALSE),"")</f>
        <v/>
      </c>
      <c r="BA260" s="94" t="str">
        <f>IFERROR($N260+VLOOKUP($L260,'Voyage days'!$F$540:$H$613,3,FALSE),"")</f>
        <v/>
      </c>
      <c r="BB260" s="93" t="str">
        <f t="shared" si="33"/>
        <v/>
      </c>
      <c r="BC260" s="94" t="str">
        <f>IFERROR($M260+VLOOKUP($L260,'Voyage days'!$F$448:$H$479,3,FALSE),"")</f>
        <v/>
      </c>
      <c r="BD260" s="94" t="str">
        <f>IFERROR($N260+VLOOKUP($L260,'Voyage days'!$F$448:$H$479,3,FALSE),"")</f>
        <v/>
      </c>
      <c r="BE260" s="93" t="str">
        <f t="shared" si="34"/>
        <v/>
      </c>
      <c r="BF260" s="95" t="str">
        <f>IFERROR($M260+VLOOKUP($L260,'Voyage days'!$F$620:$H$646,3,FALSE),"")</f>
        <v/>
      </c>
      <c r="BG260" s="95" t="str">
        <f>IFERROR($N260+VLOOKUP($L260,'Voyage days'!$F$620:$H$646,3,FALSE),"")</f>
        <v/>
      </c>
      <c r="BH260" s="93" t="str">
        <f t="shared" si="35"/>
        <v/>
      </c>
      <c r="BI260" s="96" t="str">
        <f>IFERROR($M260+VLOOKUP($L260,'Voyage days'!$F$702:$H$727,3,FALSE),"")</f>
        <v/>
      </c>
      <c r="BJ260" s="93" t="str">
        <f t="shared" si="36"/>
        <v>01-02 May</v>
      </c>
      <c r="BK260" s="95">
        <f>IFERROR($M260+VLOOKUP($L260,'Voyage days'!$F$807:$H$878,3,FALSE),"")</f>
        <v>46143</v>
      </c>
      <c r="BL260" s="95">
        <f>IFERROR($N260+VLOOKUP($L260,'Voyage days'!$F$807:$H$878,3,FALSE),"")</f>
        <v>46144</v>
      </c>
      <c r="BM260" s="95">
        <f>IFERROR($N260+VLOOKUP($L260,'Voyage days'!$F$807:$K$878,6,FALSE),"")</f>
        <v>46140</v>
      </c>
      <c r="BN260" s="94" t="str">
        <f>IF(L260="loads AG", IFERROR($M260+VLOOKUP($L260,'Voyage days'!$M$38:$O$38,3,FALSE),""),"")</f>
        <v/>
      </c>
      <c r="BO260" s="94" t="str">
        <f>IF(L260="loads USG", IFERROR($M260+VLOOKUP($L260,'Voyage days'!$L$203:$N$203,3,FALSE),""),"")</f>
        <v/>
      </c>
    </row>
    <row r="261" spans="1:67" x14ac:dyDescent="0.25">
      <c r="A261" s="74" t="s">
        <v>326</v>
      </c>
      <c r="B261" s="119">
        <v>2021</v>
      </c>
      <c r="C261" s="76">
        <v>86000</v>
      </c>
      <c r="D261" s="77"/>
      <c r="E261" s="77" t="s">
        <v>757</v>
      </c>
      <c r="F261" s="78"/>
      <c r="G261" s="78"/>
      <c r="H261" s="78" t="s">
        <v>713</v>
      </c>
      <c r="I261" s="233" t="s">
        <v>1328</v>
      </c>
      <c r="J261" s="80" t="str">
        <f t="shared" si="40"/>
        <v>NO AIS</v>
      </c>
      <c r="K261" s="81"/>
      <c r="L261" s="82" t="s">
        <v>718</v>
      </c>
      <c r="M261" s="83">
        <v>46133</v>
      </c>
      <c r="N261" s="307">
        <v>46134</v>
      </c>
      <c r="O261" s="482"/>
      <c r="P261" s="78" t="s">
        <v>1341</v>
      </c>
      <c r="Q261" s="78"/>
      <c r="R261" s="82" t="s">
        <v>1342</v>
      </c>
      <c r="S261" s="120" t="s">
        <v>33</v>
      </c>
      <c r="T261" s="86">
        <v>46132</v>
      </c>
      <c r="U261" s="87" t="str">
        <f>IF(V261="","No AIS",VLOOKUP(V261,'Voyage days'!$A$3:$B$1480,2,FALSE))</f>
        <v>No AIS</v>
      </c>
      <c r="V261" s="88" t="str">
        <f>IF(VLOOKUP(A261,'1) Kpler'!$E$2:$P$1000,8, FALSE)="","",VLOOKUP(A261,'1) Kpler'!$E$2:$P$1000,8, FALSE))</f>
        <v/>
      </c>
      <c r="W261" s="89" t="str">
        <f>IF(VLOOKUP(A261,'1) Kpler'!$E$2:$P$1000,9,FALSE)="","",VLOOKUP(A261,'1) Kpler'!$E$2:$P$1000,9,FALSE))</f>
        <v/>
      </c>
      <c r="X261" s="88" t="str">
        <f>VLOOKUP(A261,'1) Kpler'!$E$2:$I$1000,4,FALSE)</f>
        <v>loaded</v>
      </c>
      <c r="Y261" s="63" t="str">
        <f t="shared" si="38"/>
        <v/>
      </c>
      <c r="Z261" s="63" t="str">
        <f t="shared" si="41"/>
        <v>21-22 Apr</v>
      </c>
      <c r="AA261" s="63" t="str">
        <f t="shared" si="42"/>
        <v>21-22 Apr</v>
      </c>
      <c r="AB261" s="63" t="str">
        <f t="shared" si="43"/>
        <v/>
      </c>
      <c r="AC261" s="63" t="str">
        <f t="shared" si="44"/>
        <v>11-12 May</v>
      </c>
      <c r="AD261" s="63" t="str">
        <f t="shared" si="45"/>
        <v/>
      </c>
      <c r="AE261" s="129" t="str">
        <f t="shared" si="46"/>
        <v/>
      </c>
      <c r="AF261" s="130" t="str">
        <f t="shared" si="47"/>
        <v/>
      </c>
      <c r="AG261" s="93" t="str">
        <f t="shared" si="26"/>
        <v/>
      </c>
      <c r="AH261" s="94" t="str">
        <f>IFERROR($M261+VLOOKUP($L261,'Voyage days'!$F$38:$H$89,3,FALSE),"")</f>
        <v/>
      </c>
      <c r="AI261" s="94" t="str">
        <f>IFERROR(N261+VLOOKUP($L261,'Voyage days'!$F$38:$H$89,3,FALSE),"")</f>
        <v/>
      </c>
      <c r="AJ261" s="93" t="str">
        <f t="shared" si="27"/>
        <v>21-22 Apr</v>
      </c>
      <c r="AK261" s="94">
        <f>IFERROR($M261+VLOOKUP($L261,'Voyage days'!$F$94:$H$193,3,FALSE),"")</f>
        <v>46133</v>
      </c>
      <c r="AL261" s="94">
        <f>IFERROR($N261+VLOOKUP($L261,'Voyage days'!$F$94:$H$193,3,FALSE),"")</f>
        <v>46134</v>
      </c>
      <c r="AM261" s="93" t="str">
        <f t="shared" si="28"/>
        <v>21-22 Apr</v>
      </c>
      <c r="AN261" s="94">
        <f>IFERROR($M261+VLOOKUP($L261,'Voyage days'!$F$203:$H$256,3,FALSE),"")</f>
        <v>46133</v>
      </c>
      <c r="AO261" s="94">
        <f>IFERROR($N261+VLOOKUP($L261,'Voyage days'!$F$203:$H$256,3,FALSE),"")</f>
        <v>46134</v>
      </c>
      <c r="AP261" s="93" t="str">
        <f t="shared" si="29"/>
        <v/>
      </c>
      <c r="AQ261" s="94" t="str">
        <f>IFERROR($M261+VLOOKUP($L261,'Voyage days'!$F$294:$H$377,3,FALSE),"")</f>
        <v/>
      </c>
      <c r="AR261" s="94" t="str">
        <f>IFERROR($N261+VLOOKUP($L261,'Voyage days'!$F$294:$H$377,3,FALSE),"")</f>
        <v/>
      </c>
      <c r="AS261" s="93" t="str">
        <f t="shared" si="30"/>
        <v>11-12 May</v>
      </c>
      <c r="AT261" s="94">
        <f>IFERROR($M261+VLOOKUP($L261,'Voyage days'!$F$382:$H$446,3,FALSE),"")</f>
        <v>46153</v>
      </c>
      <c r="AU261" s="94">
        <f>IFERROR($N261+VLOOKUP($L261,'Voyage days'!$F$382:$H$446,3,FALSE),"")</f>
        <v>46154</v>
      </c>
      <c r="AV261" s="93" t="str">
        <f t="shared" si="31"/>
        <v/>
      </c>
      <c r="AW261" s="94" t="str">
        <f>IFERROR($M261+VLOOKUP($L261,'Voyage days'!$F$483:$H$538,3,FALSE),"")</f>
        <v/>
      </c>
      <c r="AX261" s="94" t="str">
        <f>IFERROR($N261+VLOOKUP($L261,'Voyage days'!$F$483:$H$538,3,FALSE),"")</f>
        <v/>
      </c>
      <c r="AY261" s="93" t="str">
        <f t="shared" si="32"/>
        <v/>
      </c>
      <c r="AZ261" s="94" t="str">
        <f>IFERROR($M261+VLOOKUP($L261,'Voyage days'!$F$540:$H$613,3,FALSE),"")</f>
        <v/>
      </c>
      <c r="BA261" s="94" t="str">
        <f>IFERROR($N261+VLOOKUP($L261,'Voyage days'!$F$540:$H$613,3,FALSE),"")</f>
        <v/>
      </c>
      <c r="BB261" s="93" t="str">
        <f t="shared" si="33"/>
        <v/>
      </c>
      <c r="BC261" s="94" t="str">
        <f>IFERROR($M261+VLOOKUP($L261,'Voyage days'!$F$448:$H$479,3,FALSE),"")</f>
        <v/>
      </c>
      <c r="BD261" s="94" t="str">
        <f>IFERROR($N261+VLOOKUP($L261,'Voyage days'!$F$448:$H$479,3,FALSE),"")</f>
        <v/>
      </c>
      <c r="BE261" s="93" t="str">
        <f t="shared" si="34"/>
        <v/>
      </c>
      <c r="BF261" s="95" t="str">
        <f>IFERROR($M261+VLOOKUP($L261,'Voyage days'!$F$620:$H$646,3,FALSE),"")</f>
        <v/>
      </c>
      <c r="BG261" s="95" t="str">
        <f>IFERROR($N261+VLOOKUP($L261,'Voyage days'!$F$620:$H$646,3,FALSE),"")</f>
        <v/>
      </c>
      <c r="BH261" s="93" t="str">
        <f t="shared" si="35"/>
        <v/>
      </c>
      <c r="BI261" s="96" t="str">
        <f>IFERROR($M261+VLOOKUP($L261,'Voyage days'!$F$702:$H$727,3,FALSE),"")</f>
        <v/>
      </c>
      <c r="BJ261" s="93" t="str">
        <f t="shared" si="36"/>
        <v/>
      </c>
      <c r="BK261" s="95" t="str">
        <f>IFERROR($M261+VLOOKUP($L261,'Voyage days'!$F$807:$H$878,3,FALSE),"")</f>
        <v/>
      </c>
      <c r="BL261" s="95" t="str">
        <f>IFERROR($N261+VLOOKUP($L261,'Voyage days'!$F$807:$H$878,3,FALSE),"")</f>
        <v/>
      </c>
      <c r="BM261" s="95" t="str">
        <f>IFERROR($N261+VLOOKUP($L261,'Voyage days'!$F$807:$K$878,6,FALSE),"")</f>
        <v/>
      </c>
      <c r="BN261" s="94" t="str">
        <f>IF(L261="loads AG", IFERROR($M261+VLOOKUP($L261,'Voyage days'!$M$38:$O$38,3,FALSE),""),"")</f>
        <v/>
      </c>
      <c r="BO261" s="94">
        <f>IF(L261="loads USG", IFERROR($M261+VLOOKUP($L261,'Voyage days'!$L$203:$N$203,3,FALSE),""),"")</f>
        <v>46165</v>
      </c>
    </row>
    <row r="262" spans="1:67" ht="15.75" customHeight="1" x14ac:dyDescent="0.25">
      <c r="A262" s="74" t="s">
        <v>337</v>
      </c>
      <c r="B262" s="119">
        <v>2021</v>
      </c>
      <c r="C262" s="76">
        <v>86000</v>
      </c>
      <c r="D262" s="77"/>
      <c r="E262" s="77" t="s">
        <v>757</v>
      </c>
      <c r="F262" s="78"/>
      <c r="G262" s="78"/>
      <c r="H262" s="78" t="s">
        <v>1343</v>
      </c>
      <c r="I262" s="233" t="s">
        <v>1328</v>
      </c>
      <c r="J262" s="80" t="str">
        <f t="shared" si="40"/>
        <v/>
      </c>
      <c r="K262" s="81"/>
      <c r="L262" s="82" t="s">
        <v>901</v>
      </c>
      <c r="M262" s="83">
        <v>46160</v>
      </c>
      <c r="N262" s="83">
        <v>46161</v>
      </c>
      <c r="O262" s="84"/>
      <c r="P262" s="82" t="s">
        <v>1344</v>
      </c>
      <c r="Q262" s="82"/>
      <c r="R262" s="82" t="s">
        <v>1345</v>
      </c>
      <c r="S262" s="120" t="s">
        <v>33</v>
      </c>
      <c r="T262" s="86">
        <v>46132</v>
      </c>
      <c r="U262" s="87" t="str">
        <f>IF(V262="","No AIS",VLOOKUP(V262,'Voyage days'!$A$3:$B$1480,2,FALSE))</f>
        <v>North China +4</v>
      </c>
      <c r="V262" s="88" t="str">
        <f>IF(VLOOKUP(A262,'1) Kpler'!$E$2:$P$1000,8, FALSE)="","",VLOOKUP(A262,'1) Kpler'!$E$2:$P$1000,8, FALSE))</f>
        <v>Wanhua Yantai NGL Terminal</v>
      </c>
      <c r="W262" s="89">
        <f>IF(VLOOKUP(A262,'1) Kpler'!$E$2:$P$1000,9,FALSE)="","",VLOOKUP(A262,'1) Kpler'!$E$2:$P$1000,9,FALSE))</f>
        <v>46154.541666666664</v>
      </c>
      <c r="X262" s="88" t="str">
        <f>VLOOKUP(A262,'1) Kpler'!$E$2:$I$1000,4,FALSE)</f>
        <v>loaded</v>
      </c>
      <c r="Y262" s="90" t="str">
        <f t="shared" si="38"/>
        <v>05-06 Jun</v>
      </c>
      <c r="Z262" s="90" t="str">
        <f t="shared" si="41"/>
        <v>19-20 Jun</v>
      </c>
      <c r="AA262" s="90" t="str">
        <f t="shared" si="42"/>
        <v>29-30 Jun</v>
      </c>
      <c r="AB262" s="90" t="str">
        <f t="shared" si="43"/>
        <v>16-17 Jun</v>
      </c>
      <c r="AC262" s="90" t="str">
        <f t="shared" si="44"/>
        <v>22-23 Jun</v>
      </c>
      <c r="AD262" s="90" t="str">
        <f t="shared" si="45"/>
        <v>26-27 May</v>
      </c>
      <c r="AE262" s="91" t="str">
        <f t="shared" si="46"/>
        <v>27-28 May</v>
      </c>
      <c r="AF262" s="92" t="str">
        <f t="shared" si="47"/>
        <v>03-04 Jul</v>
      </c>
      <c r="AG262" s="93" t="str">
        <f t="shared" si="26"/>
        <v>05-06 Jun</v>
      </c>
      <c r="AH262" s="94">
        <f>IFERROR($M262+VLOOKUP($L262,'Voyage days'!$F$38:$H$89,3,FALSE),"")</f>
        <v>46178</v>
      </c>
      <c r="AI262" s="94">
        <f>IFERROR(N262+VLOOKUP($L262,'Voyage days'!$F$38:$H$89,3,FALSE),"")</f>
        <v>46179</v>
      </c>
      <c r="AJ262" s="93" t="str">
        <f t="shared" si="27"/>
        <v>19-20 Jun</v>
      </c>
      <c r="AK262" s="94">
        <f>IFERROR($M262+VLOOKUP($L262,'Voyage days'!$F$94:$H$193,3,FALSE),"")</f>
        <v>46192</v>
      </c>
      <c r="AL262" s="94">
        <f>IFERROR($N262+VLOOKUP($L262,'Voyage days'!$F$94:$H$193,3,FALSE),"")</f>
        <v>46193</v>
      </c>
      <c r="AM262" s="93" t="str">
        <f t="shared" si="28"/>
        <v>29-30 Jun</v>
      </c>
      <c r="AN262" s="94">
        <f>IFERROR($M262+VLOOKUP($L262,'Voyage days'!$F$203:$H$256,3,FALSE),"")</f>
        <v>46202</v>
      </c>
      <c r="AO262" s="94">
        <f>IFERROR($N262+VLOOKUP($L262,'Voyage days'!$F$203:$H$256,3,FALSE),"")</f>
        <v>46203</v>
      </c>
      <c r="AP262" s="93" t="str">
        <f t="shared" si="29"/>
        <v>16-17 Jun</v>
      </c>
      <c r="AQ262" s="94">
        <f>IFERROR($M262+VLOOKUP($L262,'Voyage days'!$F$294:$H$377,3,FALSE),"")</f>
        <v>46189</v>
      </c>
      <c r="AR262" s="94">
        <f>IFERROR($N262+VLOOKUP($L262,'Voyage days'!$F$294:$H$377,3,FALSE),"")</f>
        <v>46190</v>
      </c>
      <c r="AS262" s="93" t="str">
        <f t="shared" si="30"/>
        <v>22-23 Jun</v>
      </c>
      <c r="AT262" s="94">
        <f>IFERROR($M262+VLOOKUP($L262,'Voyage days'!$F$382:$H$446,3,FALSE),"")</f>
        <v>46195</v>
      </c>
      <c r="AU262" s="94">
        <f>IFERROR($N262+VLOOKUP($L262,'Voyage days'!$F$382:$H$446,3,FALSE),"")</f>
        <v>46196</v>
      </c>
      <c r="AV262" s="93" t="str">
        <f t="shared" si="31"/>
        <v>02-03 Jun</v>
      </c>
      <c r="AW262" s="94">
        <f>IFERROR($M262+VLOOKUP($L262,'Voyage days'!$F$483:$H$538,3,FALSE),"")</f>
        <v>46175</v>
      </c>
      <c r="AX262" s="94">
        <f>IFERROR($N262+VLOOKUP($L262,'Voyage days'!$F$483:$H$538,3,FALSE),"")</f>
        <v>46176</v>
      </c>
      <c r="AY262" s="93" t="str">
        <f t="shared" si="32"/>
        <v>27-28 May</v>
      </c>
      <c r="AZ262" s="94">
        <f>IFERROR($M262+VLOOKUP($L262,'Voyage days'!$F$540:$H$613,3,FALSE),"")</f>
        <v>46169</v>
      </c>
      <c r="BA262" s="94">
        <f>IFERROR($N262+VLOOKUP($L262,'Voyage days'!$F$540:$H$613,3,FALSE),"")</f>
        <v>46170</v>
      </c>
      <c r="BB262" s="93" t="str">
        <f t="shared" si="33"/>
        <v>26-27 May</v>
      </c>
      <c r="BC262" s="94">
        <f>IFERROR($M262+VLOOKUP($L262,'Voyage days'!$F$448:$H$479,3,FALSE),"")</f>
        <v>46168</v>
      </c>
      <c r="BD262" s="94">
        <f>IFERROR($N262+VLOOKUP($L262,'Voyage days'!$F$448:$H$479,3,FALSE),"")</f>
        <v>46169</v>
      </c>
      <c r="BE262" s="93" t="str">
        <f t="shared" si="34"/>
        <v>31-01 Jun</v>
      </c>
      <c r="BF262" s="95">
        <f>IFERROR($M262+VLOOKUP($L262,'Voyage days'!$F$620:$H$646,3,FALSE),"")</f>
        <v>46173</v>
      </c>
      <c r="BG262" s="95">
        <f>IFERROR($N262+VLOOKUP($L262,'Voyage days'!$F$620:$H$646,3,FALSE),"")</f>
        <v>46174</v>
      </c>
      <c r="BH262" s="93" t="str">
        <f t="shared" si="35"/>
        <v>27-04 Jul</v>
      </c>
      <c r="BI262" s="96">
        <f>IFERROR($M262+VLOOKUP($L262,'Voyage days'!$F$702:$H$727,3,FALSE),"")</f>
        <v>46169</v>
      </c>
      <c r="BJ262" s="93" t="str">
        <f t="shared" si="36"/>
        <v>03-04 Jul</v>
      </c>
      <c r="BK262" s="95">
        <f>IFERROR($M262+VLOOKUP($L262,'Voyage days'!$F$807:$H$878,3,FALSE),"")</f>
        <v>46206</v>
      </c>
      <c r="BL262" s="95">
        <f>IFERROR($N262+VLOOKUP($L262,'Voyage days'!$F$807:$H$878,3,FALSE),"")</f>
        <v>46207</v>
      </c>
      <c r="BM262" s="95">
        <f>IFERROR($N262+VLOOKUP($L262,'Voyage days'!$F$807:$K$878,6,FALSE),"")</f>
        <v>46181</v>
      </c>
      <c r="BN262" s="94" t="str">
        <f>IF(L262="loads AG", IFERROR($M262+VLOOKUP($L262,'Voyage days'!$M$38:$O$38,3,FALSE),""),"")</f>
        <v/>
      </c>
      <c r="BO262" s="94" t="str">
        <f>IF(L262="loads USG", IFERROR($M262+VLOOKUP($L262,'Voyage days'!$L$203:$N$203,3,FALSE),""),"")</f>
        <v/>
      </c>
    </row>
    <row r="263" spans="1:67" ht="15.75" customHeight="1" x14ac:dyDescent="0.25">
      <c r="A263" s="74" t="s">
        <v>524</v>
      </c>
      <c r="B263" s="75">
        <v>42583</v>
      </c>
      <c r="C263" s="76">
        <v>84000</v>
      </c>
      <c r="D263" s="77"/>
      <c r="E263" s="77" t="s">
        <v>757</v>
      </c>
      <c r="F263" s="78"/>
      <c r="G263" s="78"/>
      <c r="H263" s="78"/>
      <c r="I263" s="233" t="s">
        <v>1328</v>
      </c>
      <c r="J263" s="261" t="str">
        <f t="shared" si="40"/>
        <v/>
      </c>
      <c r="K263" s="81"/>
      <c r="L263" s="82" t="s">
        <v>725</v>
      </c>
      <c r="M263" s="83">
        <v>46146</v>
      </c>
      <c r="N263" s="83">
        <v>46147</v>
      </c>
      <c r="O263" s="84" t="s">
        <v>726</v>
      </c>
      <c r="P263" s="82" t="s">
        <v>1346</v>
      </c>
      <c r="Q263" s="82" t="s">
        <v>1347</v>
      </c>
      <c r="R263" s="82" t="s">
        <v>1348</v>
      </c>
      <c r="S263" s="120" t="s">
        <v>33</v>
      </c>
      <c r="T263" s="86">
        <v>46132</v>
      </c>
      <c r="U263" s="87" t="str">
        <f>IF(V263="","No AIS",VLOOKUP(V263,'Voyage days'!$A$3:$B$1480,2,FALSE))</f>
        <v>Panama</v>
      </c>
      <c r="V263" s="88" t="str">
        <f>IF(VLOOKUP(A263,'1) Kpler'!$E$2:$P$1000,8, FALSE)="","",VLOOKUP(A263,'1) Kpler'!$E$2:$P$1000,8, FALSE))</f>
        <v>Panama Canal</v>
      </c>
      <c r="W263" s="89">
        <f>IF(VLOOKUP(A263,'1) Kpler'!$E$2:$P$1000,9,FALSE)="","",VLOOKUP(A263,'1) Kpler'!$E$2:$P$1000,9,FALSE))</f>
        <v>46146.25</v>
      </c>
      <c r="X263" s="88" t="str">
        <f>VLOOKUP(A263,'1) Kpler'!$E$2:$I$1000,4,FALSE)</f>
        <v>ballast</v>
      </c>
      <c r="Y263" s="63" t="str">
        <f t="shared" si="38"/>
        <v/>
      </c>
      <c r="Z263" s="63" t="str">
        <f t="shared" si="41"/>
        <v>14-15 May</v>
      </c>
      <c r="AA263" s="63" t="str">
        <f t="shared" si="42"/>
        <v/>
      </c>
      <c r="AB263" s="63" t="str">
        <f t="shared" si="43"/>
        <v/>
      </c>
      <c r="AC263" s="63" t="str">
        <f t="shared" si="44"/>
        <v/>
      </c>
      <c r="AD263" s="63" t="str">
        <f t="shared" si="45"/>
        <v/>
      </c>
      <c r="AE263" s="129" t="str">
        <f t="shared" si="46"/>
        <v/>
      </c>
      <c r="AF263" s="130" t="str">
        <f t="shared" si="47"/>
        <v/>
      </c>
      <c r="AG263" s="93" t="str">
        <f t="shared" si="26"/>
        <v/>
      </c>
      <c r="AH263" s="94" t="str">
        <f>IFERROR($M263+VLOOKUP($L263,'Voyage days'!$F$38:$H$89,3,FALSE),"")</f>
        <v/>
      </c>
      <c r="AI263" s="94" t="str">
        <f>IFERROR(N263+VLOOKUP($L263,'Voyage days'!$F$38:$H$89,3,FALSE),"")</f>
        <v/>
      </c>
      <c r="AJ263" s="93" t="str">
        <f t="shared" si="27"/>
        <v>14-15 May</v>
      </c>
      <c r="AK263" s="94">
        <f>IFERROR($M263+VLOOKUP($L263,'Voyage days'!$F$94:$H$193,3,FALSE),"")</f>
        <v>46156</v>
      </c>
      <c r="AL263" s="94">
        <f>IFERROR($N263+VLOOKUP($L263,'Voyage days'!$F$94:$H$193,3,FALSE),"")</f>
        <v>46157</v>
      </c>
      <c r="AM263" s="93" t="str">
        <f t="shared" si="28"/>
        <v/>
      </c>
      <c r="AN263" s="94" t="str">
        <f>IFERROR($M263+VLOOKUP($L263,'Voyage days'!$F$203:$H$256,3,FALSE),"")</f>
        <v/>
      </c>
      <c r="AO263" s="94" t="str">
        <f>IFERROR($N263+VLOOKUP($L263,'Voyage days'!$F$203:$H$256,3,FALSE),"")</f>
        <v/>
      </c>
      <c r="AP263" s="93" t="str">
        <f t="shared" si="29"/>
        <v/>
      </c>
      <c r="AQ263" s="94" t="str">
        <f>IFERROR($M263+VLOOKUP($L263,'Voyage days'!$F$294:$H$377,3,FALSE),"")</f>
        <v/>
      </c>
      <c r="AR263" s="94" t="str">
        <f>IFERROR($N263+VLOOKUP($L263,'Voyage days'!$F$294:$H$377,3,FALSE),"")</f>
        <v/>
      </c>
      <c r="AS263" s="93" t="str">
        <f t="shared" si="30"/>
        <v/>
      </c>
      <c r="AT263" s="94" t="str">
        <f>IFERROR($M263+VLOOKUP($L263,'Voyage days'!$F$382:$H$446,3,FALSE),"")</f>
        <v/>
      </c>
      <c r="AU263" s="94" t="str">
        <f>IFERROR($N263+VLOOKUP($L263,'Voyage days'!$F$382:$H$446,3,FALSE),"")</f>
        <v/>
      </c>
      <c r="AV263" s="93" t="str">
        <f t="shared" si="31"/>
        <v/>
      </c>
      <c r="AW263" s="94" t="str">
        <f>IFERROR($M263+VLOOKUP($L263,'Voyage days'!$F$483:$H$538,3,FALSE),"")</f>
        <v/>
      </c>
      <c r="AX263" s="94" t="str">
        <f>IFERROR($N263+VLOOKUP($L263,'Voyage days'!$F$483:$H$538,3,FALSE),"")</f>
        <v/>
      </c>
      <c r="AY263" s="93" t="str">
        <f t="shared" si="32"/>
        <v/>
      </c>
      <c r="AZ263" s="94" t="str">
        <f>IFERROR($M263+VLOOKUP($L263,'Voyage days'!$F$540:$H$613,3,FALSE),"")</f>
        <v/>
      </c>
      <c r="BA263" s="94" t="str">
        <f>IFERROR($N263+VLOOKUP($L263,'Voyage days'!$F$540:$H$613,3,FALSE),"")</f>
        <v/>
      </c>
      <c r="BB263" s="93" t="str">
        <f t="shared" si="33"/>
        <v/>
      </c>
      <c r="BC263" s="94" t="str">
        <f>IFERROR($M263+VLOOKUP($L263,'Voyage days'!$F$448:$H$479,3,FALSE),"")</f>
        <v/>
      </c>
      <c r="BD263" s="94" t="str">
        <f>IFERROR($N263+VLOOKUP($L263,'Voyage days'!$F$448:$H$479,3,FALSE),"")</f>
        <v/>
      </c>
      <c r="BE263" s="93" t="str">
        <f t="shared" si="34"/>
        <v/>
      </c>
      <c r="BF263" s="95" t="str">
        <f>IFERROR($M263+VLOOKUP($L263,'Voyage days'!$F$620:$H$646,3,FALSE),"")</f>
        <v/>
      </c>
      <c r="BG263" s="95" t="str">
        <f>IFERROR($N263+VLOOKUP($L263,'Voyage days'!$F$620:$H$646,3,FALSE),"")</f>
        <v/>
      </c>
      <c r="BH263" s="93" t="str">
        <f t="shared" si="35"/>
        <v/>
      </c>
      <c r="BI263" s="96" t="str">
        <f>IFERROR($M263+VLOOKUP($L263,'Voyage days'!$F$702:$H$727,3,FALSE),"")</f>
        <v/>
      </c>
      <c r="BJ263" s="93" t="str">
        <f t="shared" si="36"/>
        <v/>
      </c>
      <c r="BK263" s="95" t="str">
        <f>IFERROR($M263+VLOOKUP($L263,'Voyage days'!$F$807:$H$878,3,FALSE),"")</f>
        <v/>
      </c>
      <c r="BL263" s="95" t="str">
        <f>IFERROR($N263+VLOOKUP($L263,'Voyage days'!$F$807:$H$878,3,FALSE),"")</f>
        <v/>
      </c>
      <c r="BM263" s="95" t="str">
        <f>IFERROR($N263+VLOOKUP($L263,'Voyage days'!$F$807:$K$878,6,FALSE),"")</f>
        <v/>
      </c>
      <c r="BN263" s="94" t="str">
        <f>IF(L263="loads AG", IFERROR($M263+VLOOKUP($L263,'Voyage days'!$M$38:$O$38,3,FALSE),""),"")</f>
        <v/>
      </c>
      <c r="BO263" s="94" t="str">
        <f>IF(L263="loads USG", IFERROR($M263+VLOOKUP($L263,'Voyage days'!$L$203:$N$203,3,FALSE),""),"")</f>
        <v/>
      </c>
    </row>
    <row r="264" spans="1:67" ht="15.75" customHeight="1" x14ac:dyDescent="0.25">
      <c r="A264" s="74" t="s">
        <v>528</v>
      </c>
      <c r="B264" s="75">
        <v>42937</v>
      </c>
      <c r="C264" s="76">
        <v>84000</v>
      </c>
      <c r="D264" s="77"/>
      <c r="E264" s="77" t="s">
        <v>757</v>
      </c>
      <c r="F264" s="78"/>
      <c r="G264" s="78"/>
      <c r="H264" s="78"/>
      <c r="I264" s="233" t="s">
        <v>1328</v>
      </c>
      <c r="J264" s="80" t="str">
        <f t="shared" si="40"/>
        <v/>
      </c>
      <c r="K264" s="81"/>
      <c r="L264" s="82" t="s">
        <v>901</v>
      </c>
      <c r="M264" s="83">
        <v>46136</v>
      </c>
      <c r="N264" s="83">
        <v>46137</v>
      </c>
      <c r="O264" s="84"/>
      <c r="P264" s="82" t="s">
        <v>1349</v>
      </c>
      <c r="Q264" s="82"/>
      <c r="R264" s="82" t="s">
        <v>1350</v>
      </c>
      <c r="S264" s="120" t="s">
        <v>33</v>
      </c>
      <c r="T264" s="86">
        <v>46132</v>
      </c>
      <c r="U264" s="87" t="str">
        <f>IF(V264="","No AIS",VLOOKUP(V264,'Voyage days'!$A$3:$B$1480,2,FALSE))</f>
        <v>North China +4</v>
      </c>
      <c r="V264" s="88" t="str">
        <f>IF(VLOOKUP(A264,'1) Kpler'!$E$2:$P$1000,8, FALSE)="","",VLOOKUP(A264,'1) Kpler'!$E$2:$P$1000,8, FALSE))</f>
        <v>Wanhua Yantai NGL Terminal</v>
      </c>
      <c r="W264" s="89">
        <f>IF(VLOOKUP(A264,'1) Kpler'!$E$2:$P$1000,9,FALSE)="","",VLOOKUP(A264,'1) Kpler'!$E$2:$P$1000,9,FALSE))</f>
        <v>46132.708333333336</v>
      </c>
      <c r="X264" s="88" t="str">
        <f>VLOOKUP(A264,'1) Kpler'!$E$2:$I$1000,4,FALSE)</f>
        <v>loaded</v>
      </c>
      <c r="Y264" s="90" t="str">
        <f t="shared" si="38"/>
        <v>12-13 May</v>
      </c>
      <c r="Z264" s="90" t="str">
        <f t="shared" si="41"/>
        <v>26-27 May</v>
      </c>
      <c r="AA264" s="90" t="str">
        <f t="shared" si="42"/>
        <v>05-06 Jun</v>
      </c>
      <c r="AB264" s="90" t="str">
        <f t="shared" si="43"/>
        <v>23-24 May</v>
      </c>
      <c r="AC264" s="90" t="str">
        <f t="shared" si="44"/>
        <v>29-30 May</v>
      </c>
      <c r="AD264" s="90" t="str">
        <f t="shared" si="45"/>
        <v>02-03 May</v>
      </c>
      <c r="AE264" s="91" t="str">
        <f t="shared" si="46"/>
        <v>03-04 May</v>
      </c>
      <c r="AF264" s="92" t="str">
        <f t="shared" si="47"/>
        <v>09-10 Jun</v>
      </c>
      <c r="AG264" s="93" t="str">
        <f t="shared" si="26"/>
        <v>12-13 May</v>
      </c>
      <c r="AH264" s="94">
        <f>IFERROR($M264+VLOOKUP($L264,'Voyage days'!$F$38:$H$89,3,FALSE),"")</f>
        <v>46154</v>
      </c>
      <c r="AI264" s="94">
        <f>IFERROR(N264+VLOOKUP($L264,'Voyage days'!$F$38:$H$89,3,FALSE),"")</f>
        <v>46155</v>
      </c>
      <c r="AJ264" s="93" t="str">
        <f t="shared" si="27"/>
        <v>26-27 May</v>
      </c>
      <c r="AK264" s="94">
        <f>IFERROR($M264+VLOOKUP($L264,'Voyage days'!$F$94:$H$193,3,FALSE),"")</f>
        <v>46168</v>
      </c>
      <c r="AL264" s="94">
        <f>IFERROR($N264+VLOOKUP($L264,'Voyage days'!$F$94:$H$193,3,FALSE),"")</f>
        <v>46169</v>
      </c>
      <c r="AM264" s="93" t="str">
        <f t="shared" si="28"/>
        <v>05-06 Jun</v>
      </c>
      <c r="AN264" s="94">
        <f>IFERROR($M264+VLOOKUP($L264,'Voyage days'!$F$203:$H$256,3,FALSE),"")</f>
        <v>46178</v>
      </c>
      <c r="AO264" s="94">
        <f>IFERROR($N264+VLOOKUP($L264,'Voyage days'!$F$203:$H$256,3,FALSE),"")</f>
        <v>46179</v>
      </c>
      <c r="AP264" s="93" t="str">
        <f t="shared" si="29"/>
        <v>23-24 May</v>
      </c>
      <c r="AQ264" s="94">
        <f>IFERROR($M264+VLOOKUP($L264,'Voyage days'!$F$294:$H$377,3,FALSE),"")</f>
        <v>46165</v>
      </c>
      <c r="AR264" s="94">
        <f>IFERROR($N264+VLOOKUP($L264,'Voyage days'!$F$294:$H$377,3,FALSE),"")</f>
        <v>46166</v>
      </c>
      <c r="AS264" s="93" t="str">
        <f t="shared" si="30"/>
        <v>29-30 May</v>
      </c>
      <c r="AT264" s="94">
        <f>IFERROR($M264+VLOOKUP($L264,'Voyage days'!$F$382:$H$446,3,FALSE),"")</f>
        <v>46171</v>
      </c>
      <c r="AU264" s="94">
        <f>IFERROR($N264+VLOOKUP($L264,'Voyage days'!$F$382:$H$446,3,FALSE),"")</f>
        <v>46172</v>
      </c>
      <c r="AV264" s="93" t="str">
        <f t="shared" si="31"/>
        <v>09-10 May</v>
      </c>
      <c r="AW264" s="94">
        <f>IFERROR($M264+VLOOKUP($L264,'Voyage days'!$F$483:$H$538,3,FALSE),"")</f>
        <v>46151</v>
      </c>
      <c r="AX264" s="94">
        <f>IFERROR($N264+VLOOKUP($L264,'Voyage days'!$F$483:$H$538,3,FALSE),"")</f>
        <v>46152</v>
      </c>
      <c r="AY264" s="93" t="str">
        <f t="shared" si="32"/>
        <v>03-04 May</v>
      </c>
      <c r="AZ264" s="94">
        <f>IFERROR($M264+VLOOKUP($L264,'Voyage days'!$F$540:$H$613,3,FALSE),"")</f>
        <v>46145</v>
      </c>
      <c r="BA264" s="94">
        <f>IFERROR($N264+VLOOKUP($L264,'Voyage days'!$F$540:$H$613,3,FALSE),"")</f>
        <v>46146</v>
      </c>
      <c r="BB264" s="93" t="str">
        <f t="shared" si="33"/>
        <v>02-03 May</v>
      </c>
      <c r="BC264" s="94">
        <f>IFERROR($M264+VLOOKUP($L264,'Voyage days'!$F$448:$H$479,3,FALSE),"")</f>
        <v>46144</v>
      </c>
      <c r="BD264" s="94">
        <f>IFERROR($N264+VLOOKUP($L264,'Voyage days'!$F$448:$H$479,3,FALSE),"")</f>
        <v>46145</v>
      </c>
      <c r="BE264" s="93" t="str">
        <f t="shared" si="34"/>
        <v>07-08 May</v>
      </c>
      <c r="BF264" s="95">
        <f>IFERROR($M264+VLOOKUP($L264,'Voyage days'!$F$620:$H$646,3,FALSE),"")</f>
        <v>46149</v>
      </c>
      <c r="BG264" s="95">
        <f>IFERROR($N264+VLOOKUP($L264,'Voyage days'!$F$620:$H$646,3,FALSE),"")</f>
        <v>46150</v>
      </c>
      <c r="BH264" s="93" t="str">
        <f t="shared" si="35"/>
        <v>03-10 Jun</v>
      </c>
      <c r="BI264" s="96">
        <f>IFERROR($M264+VLOOKUP($L264,'Voyage days'!$F$702:$H$727,3,FALSE),"")</f>
        <v>46145</v>
      </c>
      <c r="BJ264" s="93" t="str">
        <f t="shared" si="36"/>
        <v>09-10 Jun</v>
      </c>
      <c r="BK264" s="95">
        <f>IFERROR($M264+VLOOKUP($L264,'Voyage days'!$F$807:$H$878,3,FALSE),"")</f>
        <v>46182</v>
      </c>
      <c r="BL264" s="95">
        <f>IFERROR($N264+VLOOKUP($L264,'Voyage days'!$F$807:$H$878,3,FALSE),"")</f>
        <v>46183</v>
      </c>
      <c r="BM264" s="95">
        <f>IFERROR($N264+VLOOKUP($L264,'Voyage days'!$F$807:$K$878,6,FALSE),"")</f>
        <v>46157</v>
      </c>
      <c r="BN264" s="94" t="str">
        <f>IF(L264="loads AG", IFERROR($M264+VLOOKUP($L264,'Voyage days'!$M$38:$O$38,3,FALSE),""),"")</f>
        <v/>
      </c>
      <c r="BO264" s="94" t="str">
        <f>IF(L264="loads USG", IFERROR($M264+VLOOKUP($L264,'Voyage days'!$L$203:$N$203,3,FALSE),""),"")</f>
        <v/>
      </c>
    </row>
    <row r="265" spans="1:67" ht="15.75" customHeight="1" x14ac:dyDescent="0.25">
      <c r="A265" s="74" t="s">
        <v>555</v>
      </c>
      <c r="B265" s="119">
        <v>2022</v>
      </c>
      <c r="C265" s="76">
        <v>86000</v>
      </c>
      <c r="D265" s="77"/>
      <c r="E265" s="77"/>
      <c r="F265" s="78"/>
      <c r="G265" s="78"/>
      <c r="H265" s="78" t="s">
        <v>713</v>
      </c>
      <c r="I265" s="233" t="s">
        <v>1328</v>
      </c>
      <c r="J265" s="261" t="str">
        <f t="shared" si="40"/>
        <v/>
      </c>
      <c r="K265" s="81"/>
      <c r="L265" s="477" t="s">
        <v>1243</v>
      </c>
      <c r="M265" s="83">
        <v>46133</v>
      </c>
      <c r="N265" s="83">
        <v>46134</v>
      </c>
      <c r="O265" s="84"/>
      <c r="P265" s="82" t="s">
        <v>1351</v>
      </c>
      <c r="Q265" s="82"/>
      <c r="R265" s="487" t="s">
        <v>1352</v>
      </c>
      <c r="S265" s="120" t="s">
        <v>33</v>
      </c>
      <c r="T265" s="86">
        <v>46132</v>
      </c>
      <c r="U265" s="87" t="str">
        <f>IF(V265="","No AIS",VLOOKUP(V265,'Voyage days'!$A$3:$B$1480,2,FALSE))</f>
        <v>AG</v>
      </c>
      <c r="V265" s="88" t="str">
        <f>IF(VLOOKUP(A265,'1) Kpler'!$E$2:$P$1000,8, FALSE)="","",VLOOKUP(A265,'1) Kpler'!$E$2:$P$1000,8, FALSE))</f>
        <v>Fujairah</v>
      </c>
      <c r="W265" s="89">
        <f>IF(VLOOKUP(A265,'1) Kpler'!$E$2:$P$1000,9,FALSE)="","",VLOOKUP(A265,'1) Kpler'!$E$2:$P$1000,9,FALSE))</f>
        <v>46132.75</v>
      </c>
      <c r="X265" s="88" t="str">
        <f>VLOOKUP(A265,'1) Kpler'!$E$2:$I$1000,4,FALSE)</f>
        <v>ballast</v>
      </c>
      <c r="Y265" s="63" t="str">
        <f t="shared" si="38"/>
        <v>21-22 Apr</v>
      </c>
      <c r="Z265" s="63" t="str">
        <f t="shared" si="41"/>
        <v/>
      </c>
      <c r="AA265" s="63" t="str">
        <f t="shared" si="42"/>
        <v/>
      </c>
      <c r="AB265" s="63" t="str">
        <f t="shared" si="43"/>
        <v/>
      </c>
      <c r="AC265" s="63" t="str">
        <f t="shared" si="44"/>
        <v/>
      </c>
      <c r="AD265" s="63" t="str">
        <f t="shared" si="45"/>
        <v/>
      </c>
      <c r="AE265" s="129" t="str">
        <f t="shared" si="46"/>
        <v>10-11 May</v>
      </c>
      <c r="AF265" s="130" t="str">
        <f t="shared" si="47"/>
        <v>21-22 Apr</v>
      </c>
      <c r="AG265" s="93" t="str">
        <f t="shared" si="26"/>
        <v>21-22 Apr</v>
      </c>
      <c r="AH265" s="94">
        <f>IFERROR($M265+VLOOKUP($L265,'Voyage days'!$F$38:$H$89,3,FALSE),"")</f>
        <v>46133</v>
      </c>
      <c r="AI265" s="94">
        <f>IFERROR(N265+VLOOKUP($L265,'Voyage days'!$F$38:$H$89,3,FALSE),"")</f>
        <v>46134</v>
      </c>
      <c r="AJ265" s="93" t="str">
        <f t="shared" si="27"/>
        <v/>
      </c>
      <c r="AK265" s="94" t="str">
        <f>IFERROR($M265+VLOOKUP($L265,'Voyage days'!$F$94:$H$193,3,FALSE),"")</f>
        <v/>
      </c>
      <c r="AL265" s="94" t="str">
        <f>IFERROR($N265+VLOOKUP($L265,'Voyage days'!$F$94:$H$193,3,FALSE),"")</f>
        <v/>
      </c>
      <c r="AM265" s="93" t="str">
        <f t="shared" si="28"/>
        <v/>
      </c>
      <c r="AN265" s="94" t="str">
        <f>IFERROR($M265+VLOOKUP($L265,'Voyage days'!$F$203:$H$256,3,FALSE),"")</f>
        <v/>
      </c>
      <c r="AO265" s="94" t="str">
        <f>IFERROR($N265+VLOOKUP($L265,'Voyage days'!$F$203:$H$256,3,FALSE),"")</f>
        <v/>
      </c>
      <c r="AP265" s="93" t="str">
        <f t="shared" si="29"/>
        <v/>
      </c>
      <c r="AQ265" s="94" t="str">
        <f>IFERROR($M265+VLOOKUP($L265,'Voyage days'!$F$294:$H$377,3,FALSE),"")</f>
        <v/>
      </c>
      <c r="AR265" s="94" t="str">
        <f>IFERROR($N265+VLOOKUP($L265,'Voyage days'!$F$294:$H$377,3,FALSE),"")</f>
        <v/>
      </c>
      <c r="AS265" s="93" t="str">
        <f t="shared" si="30"/>
        <v/>
      </c>
      <c r="AT265" s="94" t="str">
        <f>IFERROR($M265+VLOOKUP($L265,'Voyage days'!$F$382:$H$446,3,FALSE),"")</f>
        <v/>
      </c>
      <c r="AU265" s="94" t="str">
        <f>IFERROR($N265+VLOOKUP($L265,'Voyage days'!$F$382:$H$446,3,FALSE),"")</f>
        <v/>
      </c>
      <c r="AV265" s="93" t="str">
        <f t="shared" si="31"/>
        <v/>
      </c>
      <c r="AW265" s="94" t="str">
        <f>IFERROR($M265+VLOOKUP($L265,'Voyage days'!$F$483:$H$538,3,FALSE),"")</f>
        <v/>
      </c>
      <c r="AX265" s="94" t="str">
        <f>IFERROR($N265+VLOOKUP($L265,'Voyage days'!$F$483:$H$538,3,FALSE),"")</f>
        <v/>
      </c>
      <c r="AY265" s="93" t="str">
        <f t="shared" si="32"/>
        <v>10-11 May</v>
      </c>
      <c r="AZ265" s="94">
        <f>IFERROR($M265+VLOOKUP($L265,'Voyage days'!$F$540:$H$613,3,FALSE),"")</f>
        <v>46152</v>
      </c>
      <c r="BA265" s="94">
        <f>IFERROR($N265+VLOOKUP($L265,'Voyage days'!$F$540:$H$613,3,FALSE),"")</f>
        <v>46153</v>
      </c>
      <c r="BB265" s="93" t="str">
        <f t="shared" si="33"/>
        <v/>
      </c>
      <c r="BC265" s="94" t="str">
        <f>IFERROR($M265+VLOOKUP($L265,'Voyage days'!$F$448:$H$479,3,FALSE),"")</f>
        <v/>
      </c>
      <c r="BD265" s="94" t="str">
        <f>IFERROR($N265+VLOOKUP($L265,'Voyage days'!$F$448:$H$479,3,FALSE),"")</f>
        <v/>
      </c>
      <c r="BE265" s="93" t="str">
        <f t="shared" si="34"/>
        <v/>
      </c>
      <c r="BF265" s="95" t="str">
        <f>IFERROR($M265+VLOOKUP($L265,'Voyage days'!$F$620:$H$646,3,FALSE),"")</f>
        <v/>
      </c>
      <c r="BG265" s="95" t="str">
        <f>IFERROR($N265+VLOOKUP($L265,'Voyage days'!$F$620:$H$646,3,FALSE),"")</f>
        <v/>
      </c>
      <c r="BH265" s="93" t="str">
        <f t="shared" si="35"/>
        <v/>
      </c>
      <c r="BI265" s="96" t="str">
        <f>IFERROR($M265+VLOOKUP($L265,'Voyage days'!$F$702:$H$727,3,FALSE),"")</f>
        <v/>
      </c>
      <c r="BJ265" s="93" t="str">
        <f t="shared" si="36"/>
        <v>21-22 Apr</v>
      </c>
      <c r="BK265" s="95">
        <f>IFERROR($M265+VLOOKUP($L265,'Voyage days'!$F$807:$H$878,3,FALSE),"")</f>
        <v>46133</v>
      </c>
      <c r="BL265" s="95">
        <f>IFERROR($N265+VLOOKUP($L265,'Voyage days'!$F$807:$H$878,3,FALSE),"")</f>
        <v>46134</v>
      </c>
      <c r="BM265" s="95">
        <f>IFERROR($N265+VLOOKUP($L265,'Voyage days'!$F$807:$K$878,6,FALSE),"")</f>
        <v>46137</v>
      </c>
      <c r="BN265" s="94">
        <f>IF(L265="loads AG", IFERROR($M265+VLOOKUP($L265,'Voyage days'!$M$38:$O$38,3,FALSE),""),"")</f>
        <v>46158</v>
      </c>
      <c r="BO265" s="94" t="str">
        <f>IF(L265="loads USG", IFERROR($M265+VLOOKUP($L265,'Voyage days'!$L$203:$N$203,3,FALSE),""),"")</f>
        <v/>
      </c>
    </row>
    <row r="266" spans="1:67" ht="15.75" customHeight="1" x14ac:dyDescent="0.25">
      <c r="A266" s="369" t="s">
        <v>640</v>
      </c>
      <c r="B266" s="133">
        <v>2022</v>
      </c>
      <c r="C266" s="134">
        <v>86000</v>
      </c>
      <c r="D266" s="143"/>
      <c r="E266" s="143"/>
      <c r="F266" s="136"/>
      <c r="G266" s="136" t="s">
        <v>1353</v>
      </c>
      <c r="H266" s="136" t="s">
        <v>713</v>
      </c>
      <c r="I266" s="177" t="s">
        <v>1328</v>
      </c>
      <c r="J266" s="138" t="str">
        <f t="shared" si="40"/>
        <v/>
      </c>
      <c r="K266" s="139"/>
      <c r="L266" s="140" t="s">
        <v>718</v>
      </c>
      <c r="M266" s="141">
        <v>46132</v>
      </c>
      <c r="N266" s="141">
        <v>46133</v>
      </c>
      <c r="O266" s="142"/>
      <c r="P266" s="140" t="s">
        <v>1354</v>
      </c>
      <c r="Q266" s="275"/>
      <c r="R266" s="167" t="s">
        <v>1355</v>
      </c>
      <c r="S266" s="120" t="s">
        <v>33</v>
      </c>
      <c r="T266" s="144">
        <v>46132</v>
      </c>
      <c r="U266" s="145" t="str">
        <f>IF(V266="","No AIS",VLOOKUP(V266,'Voyage days'!$A$3:$B$1480,2,FALSE))</f>
        <v>USG</v>
      </c>
      <c r="V266" s="146" t="str">
        <f>IF(VLOOKUP(A266,'1) Kpler'!$E$2:$P$1000,8, FALSE)="","",VLOOKUP(A266,'1) Kpler'!$E$2:$P$1000,8, FALSE))</f>
        <v>Energy Transfer Nederland</v>
      </c>
      <c r="W266" s="147">
        <f>IF(VLOOKUP(A266,'1) Kpler'!$E$2:$P$1000,9,FALSE)="","",VLOOKUP(A266,'1) Kpler'!$E$2:$P$1000,9,FALSE))</f>
        <v>46132.486805555556</v>
      </c>
      <c r="X266" s="146" t="str">
        <f>VLOOKUP(A266,'1) Kpler'!$E$2:$I$1000,4,FALSE)</f>
        <v>ballast</v>
      </c>
      <c r="Y266" s="148" t="str">
        <f t="shared" si="38"/>
        <v/>
      </c>
      <c r="Z266" s="148" t="str">
        <f t="shared" si="41"/>
        <v>20-21 Apr</v>
      </c>
      <c r="AA266" s="148" t="str">
        <f t="shared" si="42"/>
        <v>20-21 Apr</v>
      </c>
      <c r="AB266" s="148" t="str">
        <f t="shared" si="43"/>
        <v/>
      </c>
      <c r="AC266" s="148" t="str">
        <f t="shared" si="44"/>
        <v>10-11 May</v>
      </c>
      <c r="AD266" s="148" t="str">
        <f t="shared" si="45"/>
        <v/>
      </c>
      <c r="AE266" s="149" t="str">
        <f t="shared" si="46"/>
        <v/>
      </c>
      <c r="AF266" s="150" t="str">
        <f t="shared" si="47"/>
        <v/>
      </c>
      <c r="AG266" s="93" t="str">
        <f t="shared" si="26"/>
        <v/>
      </c>
      <c r="AH266" s="94" t="str">
        <f>IFERROR($M266+VLOOKUP($L266,'Voyage days'!$F$38:$H$89,3,FALSE),"")</f>
        <v/>
      </c>
      <c r="AI266" s="94" t="str">
        <f>IFERROR(N266+VLOOKUP($L266,'Voyage days'!$F$38:$H$89,3,FALSE),"")</f>
        <v/>
      </c>
      <c r="AJ266" s="93" t="str">
        <f t="shared" si="27"/>
        <v>20-21 Apr</v>
      </c>
      <c r="AK266" s="94">
        <f>IFERROR($M266+VLOOKUP($L266,'Voyage days'!$F$94:$H$193,3,FALSE),"")</f>
        <v>46132</v>
      </c>
      <c r="AL266" s="94">
        <f>IFERROR($N266+VLOOKUP($L266,'Voyage days'!$F$94:$H$193,3,FALSE),"")</f>
        <v>46133</v>
      </c>
      <c r="AM266" s="93" t="str">
        <f t="shared" si="28"/>
        <v>20-21 Apr</v>
      </c>
      <c r="AN266" s="94">
        <f>IFERROR($M266+VLOOKUP($L266,'Voyage days'!$F$203:$H$256,3,FALSE),"")</f>
        <v>46132</v>
      </c>
      <c r="AO266" s="94">
        <f>IFERROR($N266+VLOOKUP($L266,'Voyage days'!$F$203:$H$256,3,FALSE),"")</f>
        <v>46133</v>
      </c>
      <c r="AP266" s="93" t="str">
        <f t="shared" si="29"/>
        <v/>
      </c>
      <c r="AQ266" s="94" t="str">
        <f>IFERROR($M266+VLOOKUP($L266,'Voyage days'!$F$294:$H$377,3,FALSE),"")</f>
        <v/>
      </c>
      <c r="AR266" s="94" t="str">
        <f>IFERROR($N266+VLOOKUP($L266,'Voyage days'!$F$294:$H$377,3,FALSE),"")</f>
        <v/>
      </c>
      <c r="AS266" s="93" t="str">
        <f t="shared" si="30"/>
        <v>10-11 May</v>
      </c>
      <c r="AT266" s="94">
        <f>IFERROR($M266+VLOOKUP($L266,'Voyage days'!$F$382:$H$446,3,FALSE),"")</f>
        <v>46152</v>
      </c>
      <c r="AU266" s="94">
        <f>IFERROR($N266+VLOOKUP($L266,'Voyage days'!$F$382:$H$446,3,FALSE),"")</f>
        <v>46153</v>
      </c>
      <c r="AV266" s="93" t="str">
        <f t="shared" si="31"/>
        <v/>
      </c>
      <c r="AW266" s="94" t="str">
        <f>IFERROR($M266+VLOOKUP($L266,'Voyage days'!$F$483:$H$538,3,FALSE),"")</f>
        <v/>
      </c>
      <c r="AX266" s="94" t="str">
        <f>IFERROR($N266+VLOOKUP($L266,'Voyage days'!$F$483:$H$538,3,FALSE),"")</f>
        <v/>
      </c>
      <c r="AY266" s="93" t="str">
        <f t="shared" si="32"/>
        <v/>
      </c>
      <c r="AZ266" s="94" t="str">
        <f>IFERROR($M266+VLOOKUP($L266,'Voyage days'!$F$540:$H$613,3,FALSE),"")</f>
        <v/>
      </c>
      <c r="BA266" s="94" t="str">
        <f>IFERROR($N266+VLOOKUP($L266,'Voyage days'!$F$540:$H$613,3,FALSE),"")</f>
        <v/>
      </c>
      <c r="BB266" s="93" t="str">
        <f t="shared" si="33"/>
        <v/>
      </c>
      <c r="BC266" s="94" t="str">
        <f>IFERROR($M266+VLOOKUP($L266,'Voyage days'!$F$448:$H$479,3,FALSE),"")</f>
        <v/>
      </c>
      <c r="BD266" s="94" t="str">
        <f>IFERROR($N266+VLOOKUP($L266,'Voyage days'!$F$448:$H$479,3,FALSE),"")</f>
        <v/>
      </c>
      <c r="BE266" s="93" t="str">
        <f t="shared" si="34"/>
        <v/>
      </c>
      <c r="BF266" s="95" t="str">
        <f>IFERROR($M266+VLOOKUP($L266,'Voyage days'!$F$620:$H$646,3,FALSE),"")</f>
        <v/>
      </c>
      <c r="BG266" s="95" t="str">
        <f>IFERROR($N266+VLOOKUP($L266,'Voyage days'!$F$620:$H$646,3,FALSE),"")</f>
        <v/>
      </c>
      <c r="BH266" s="93" t="str">
        <f t="shared" si="35"/>
        <v/>
      </c>
      <c r="BI266" s="96" t="str">
        <f>IFERROR($M266+VLOOKUP($L266,'Voyage days'!$F$702:$H$727,3,FALSE),"")</f>
        <v/>
      </c>
      <c r="BJ266" s="93" t="str">
        <f t="shared" si="36"/>
        <v/>
      </c>
      <c r="BK266" s="95" t="str">
        <f>IFERROR($M266+VLOOKUP($L266,'Voyage days'!$F$807:$H$878,3,FALSE),"")</f>
        <v/>
      </c>
      <c r="BL266" s="95" t="str">
        <f>IFERROR($N266+VLOOKUP($L266,'Voyage days'!$F$807:$H$878,3,FALSE),"")</f>
        <v/>
      </c>
      <c r="BM266" s="95" t="str">
        <f>IFERROR($N266+VLOOKUP($L266,'Voyage days'!$F$807:$K$878,6,FALSE),"")</f>
        <v/>
      </c>
      <c r="BN266" s="94" t="str">
        <f>IF(L266="loads AG", IFERROR($M266+VLOOKUP($L266,'Voyage days'!$M$38:$O$38,3,FALSE),""),"")</f>
        <v/>
      </c>
      <c r="BO266" s="94">
        <f>IF(L266="loads USG", IFERROR($M266+VLOOKUP($L266,'Voyage days'!$L$203:$N$203,3,FALSE),""),"")</f>
        <v>46164</v>
      </c>
    </row>
    <row r="267" spans="1:67" ht="15.75" customHeight="1" x14ac:dyDescent="0.25">
      <c r="A267" s="488" t="s">
        <v>102</v>
      </c>
      <c r="B267" s="489">
        <v>2003</v>
      </c>
      <c r="C267" s="134">
        <v>82557</v>
      </c>
      <c r="D267" s="143"/>
      <c r="E267" s="143"/>
      <c r="F267" s="136"/>
      <c r="G267" s="136" t="s">
        <v>1353</v>
      </c>
      <c r="H267" s="136" t="s">
        <v>713</v>
      </c>
      <c r="I267" s="177" t="s">
        <v>1356</v>
      </c>
      <c r="J267" s="138" t="str">
        <f t="shared" si="40"/>
        <v>NO AIS</v>
      </c>
      <c r="K267" s="139"/>
      <c r="L267" s="140" t="s">
        <v>1079</v>
      </c>
      <c r="M267" s="288">
        <v>46137</v>
      </c>
      <c r="N267" s="288">
        <v>46138</v>
      </c>
      <c r="O267" s="142"/>
      <c r="P267" s="140" t="s">
        <v>1357</v>
      </c>
      <c r="Q267" s="140"/>
      <c r="R267" s="378" t="s">
        <v>1358</v>
      </c>
      <c r="S267" s="374" t="s">
        <v>33</v>
      </c>
      <c r="T267" s="289">
        <v>46132</v>
      </c>
      <c r="U267" s="145" t="str">
        <f>IF(V267="","No AIS",VLOOKUP(V267,'Voyage days'!$A$3:$B$1480,2,FALSE))</f>
        <v>No AIS</v>
      </c>
      <c r="V267" s="146" t="str">
        <f>IF(VLOOKUP(A267,'1) Kpler'!$E$2:$P$1000,8, FALSE)="","",VLOOKUP(A267,'1) Kpler'!$E$2:$P$1000,8, FALSE))</f>
        <v/>
      </c>
      <c r="W267" s="147" t="str">
        <f>IF(VLOOKUP(A267,'1) Kpler'!$E$2:$P$1000,9,FALSE)="","",VLOOKUP(A267,'1) Kpler'!$E$2:$P$1000,9,FALSE))</f>
        <v/>
      </c>
      <c r="X267" s="146" t="str">
        <f>VLOOKUP(A267,'1) Kpler'!$E$2:$I$1000,4,FALSE)</f>
        <v>ballast</v>
      </c>
      <c r="Y267" s="148" t="str">
        <f t="shared" si="38"/>
        <v>30-01 May</v>
      </c>
      <c r="Z267" s="148" t="str">
        <f t="shared" si="41"/>
        <v/>
      </c>
      <c r="AA267" s="148" t="str">
        <f t="shared" si="42"/>
        <v>27-28 May</v>
      </c>
      <c r="AB267" s="148" t="str">
        <f t="shared" si="43"/>
        <v>14-15 May</v>
      </c>
      <c r="AC267" s="148" t="str">
        <f t="shared" si="44"/>
        <v>08-09 May</v>
      </c>
      <c r="AD267" s="148" t="str">
        <f t="shared" si="45"/>
        <v/>
      </c>
      <c r="AE267" s="149" t="str">
        <f t="shared" si="46"/>
        <v/>
      </c>
      <c r="AF267" s="150" t="str">
        <f t="shared" si="47"/>
        <v>30-31 May</v>
      </c>
      <c r="AG267" s="93" t="str">
        <f t="shared" si="26"/>
        <v>30-01 May</v>
      </c>
      <c r="AH267" s="94">
        <f>IFERROR($M267+VLOOKUP($L267,'Voyage days'!$F$38:$H$89,3,FALSE),"")</f>
        <v>46142</v>
      </c>
      <c r="AI267" s="94">
        <f>IFERROR(N267+VLOOKUP($L267,'Voyage days'!$F$38:$H$89,3,FALSE),"")</f>
        <v>46143</v>
      </c>
      <c r="AJ267" s="93" t="str">
        <f t="shared" si="27"/>
        <v/>
      </c>
      <c r="AK267" s="94" t="str">
        <f>IFERROR($M267+VLOOKUP($L267,'Voyage days'!$F$94:$H$193,3,FALSE),"")</f>
        <v/>
      </c>
      <c r="AL267" s="94" t="str">
        <f>IFERROR($N267+VLOOKUP($L267,'Voyage days'!$F$94:$H$193,3,FALSE),"")</f>
        <v/>
      </c>
      <c r="AM267" s="93" t="str">
        <f t="shared" si="28"/>
        <v>27-28 May</v>
      </c>
      <c r="AN267" s="94">
        <f>IFERROR($M267+VLOOKUP($L267,'Voyage days'!$F$203:$H$256,3,FALSE),"")</f>
        <v>46169</v>
      </c>
      <c r="AO267" s="94">
        <f>IFERROR($N267+VLOOKUP($L267,'Voyage days'!$F$203:$H$256,3,FALSE),"")</f>
        <v>46170</v>
      </c>
      <c r="AP267" s="93" t="str">
        <f t="shared" si="29"/>
        <v>14-15 May</v>
      </c>
      <c r="AQ267" s="94">
        <f>IFERROR($M267+VLOOKUP($L267,'Voyage days'!$F$294:$H$377,3,FALSE),"")</f>
        <v>46156</v>
      </c>
      <c r="AR267" s="94">
        <f>IFERROR($N267+VLOOKUP($L267,'Voyage days'!$F$294:$H$377,3,FALSE),"")</f>
        <v>46157</v>
      </c>
      <c r="AS267" s="93" t="str">
        <f t="shared" si="30"/>
        <v>08-09 May</v>
      </c>
      <c r="AT267" s="94">
        <f>IFERROR($M267+VLOOKUP($L267,'Voyage days'!$F$382:$H$446,3,FALSE),"")</f>
        <v>46150</v>
      </c>
      <c r="AU267" s="94">
        <f>IFERROR($N267+VLOOKUP($L267,'Voyage days'!$F$382:$H$446,3,FALSE),"")</f>
        <v>46151</v>
      </c>
      <c r="AV267" s="93" t="str">
        <f t="shared" si="31"/>
        <v/>
      </c>
      <c r="AW267" s="94" t="str">
        <f>IFERROR($M267+VLOOKUP($L267,'Voyage days'!$F$483:$H$538,3,FALSE),"")</f>
        <v/>
      </c>
      <c r="AX267" s="94" t="str">
        <f>IFERROR($N267+VLOOKUP($L267,'Voyage days'!$F$483:$H$538,3,FALSE),"")</f>
        <v/>
      </c>
      <c r="AY267" s="93" t="str">
        <f t="shared" si="32"/>
        <v/>
      </c>
      <c r="AZ267" s="94" t="str">
        <f>IFERROR($M267+VLOOKUP($L267,'Voyage days'!$F$540:$H$613,3,FALSE),"")</f>
        <v/>
      </c>
      <c r="BA267" s="94" t="str">
        <f>IFERROR($N267+VLOOKUP($L267,'Voyage days'!$F$540:$H$613,3,FALSE),"")</f>
        <v/>
      </c>
      <c r="BB267" s="93" t="str">
        <f t="shared" si="33"/>
        <v/>
      </c>
      <c r="BC267" s="94" t="str">
        <f>IFERROR($M267+VLOOKUP($L267,'Voyage days'!$F$448:$H$479,3,FALSE),"")</f>
        <v/>
      </c>
      <c r="BD267" s="94" t="str">
        <f>IFERROR($N267+VLOOKUP($L267,'Voyage days'!$F$448:$H$479,3,FALSE),"")</f>
        <v/>
      </c>
      <c r="BE267" s="93" t="str">
        <f t="shared" si="34"/>
        <v/>
      </c>
      <c r="BF267" s="95" t="str">
        <f>IFERROR($M267+VLOOKUP($L267,'Voyage days'!$F$620:$H$646,3,FALSE),"")</f>
        <v/>
      </c>
      <c r="BG267" s="95" t="str">
        <f>IFERROR($N267+VLOOKUP($L267,'Voyage days'!$F$620:$H$646,3,FALSE),"")</f>
        <v/>
      </c>
      <c r="BH267" s="93" t="str">
        <f t="shared" si="35"/>
        <v/>
      </c>
      <c r="BI267" s="96" t="str">
        <f>IFERROR($M267+VLOOKUP($L267,'Voyage days'!$F$702:$H$727,3,FALSE),"")</f>
        <v/>
      </c>
      <c r="BJ267" s="93" t="str">
        <f t="shared" si="36"/>
        <v>30-31 May</v>
      </c>
      <c r="BK267" s="95">
        <f>IFERROR($M267+VLOOKUP($L267,'Voyage days'!$F$807:$H$878,3,FALSE),"")</f>
        <v>46172</v>
      </c>
      <c r="BL267" s="95">
        <f>IFERROR($N267+VLOOKUP($L267,'Voyage days'!$F$807:$H$878,3,FALSE),"")</f>
        <v>46173</v>
      </c>
      <c r="BM267" s="95">
        <f>IFERROR($N267+VLOOKUP($L267,'Voyage days'!$F$807:$K$878,6,FALSE),"")</f>
        <v>46145</v>
      </c>
      <c r="BN267" s="94" t="str">
        <f>IF(L267="loads AG", IFERROR($M267+VLOOKUP($L267,'Voyage days'!$M$38:$O$38,3,FALSE),""),"")</f>
        <v/>
      </c>
      <c r="BO267" s="94" t="str">
        <f>IF(L267="loads USG", IFERROR($M267+VLOOKUP($L267,'Voyage days'!$L$203:$N$203,3,FALSE),""),"")</f>
        <v/>
      </c>
    </row>
    <row r="268" spans="1:67" ht="15.75" customHeight="1" x14ac:dyDescent="0.25">
      <c r="A268" s="490"/>
      <c r="B268" s="490" t="s">
        <v>1359</v>
      </c>
      <c r="C268" s="491"/>
      <c r="D268" s="492"/>
      <c r="E268" s="492"/>
      <c r="F268" s="493"/>
      <c r="G268" s="493"/>
      <c r="H268" s="493"/>
      <c r="I268" s="494"/>
      <c r="J268" s="495"/>
      <c r="K268" s="496"/>
      <c r="L268" s="495"/>
      <c r="M268" s="497"/>
      <c r="N268" s="497"/>
      <c r="O268" s="498"/>
      <c r="P268" s="499"/>
      <c r="Q268" s="499"/>
      <c r="R268" s="500"/>
      <c r="S268" s="501" t="str">
        <f ca="1">IF(L268&lt;&gt;"",MID(INFO("DIRECTORY"),10,LEN(INFO("DIRECTORY"))-LEN(MID(INFO("DIRECTORY"),FIND("\",INFO("DIRECTORY"),10),1000))-LEN("C:\Users\")),IF(M268&lt;&gt;"",MID(INFO("DIRECTORY"),10,LEN(INFO("DIRECTORY"))-LEN(MID(INFO("DIRECTORY"),FIND("\",INFO("DIRECTORY"),10),1000))-LEN("C:\Users\")),IF(N268&lt;&gt;"",MID(INFO("DIRECTORY"),10,LEN(INFO("DIRECTORY"))-LEN(MID(INFO("DIRECTORY"),FIND("\",INFO("DIRECTORY"),10),1000))-LEN("C:\Users\")),IF(O268&lt;&gt;"",MID(INFO("DIRECTORY"),10,LEN(INFO("DIRECTORY"))-LEN(MID(INFO("DIRECTORY"),FIND("\",INFO("DIRECTORY"),10),1000))-LEN("C:\Users\")),IF(P268&lt;&gt;"",MID(INFO("DIRECTORY"),10,LEN(INFO("DIRECTORY"))-LEN(MID(INFO("DIRECTORY"),FIND("\",INFO("DIRECTORY"),10),1000))-LEN("C:\Users\")),IF(Q268&lt;&gt;"",NOW(),IF(R268&lt;&gt;"",MID(INFO("DIRECTORY"),10,LEN(INFO("DIRECTORY"))-LEN(MID(INFO("DIRECTORY"),FIND("\",INFO("DIRECTORY"),10),1000))-LEN("C:\Users\")),"")))))))</f>
        <v/>
      </c>
      <c r="T268" s="502"/>
      <c r="U268" s="502"/>
      <c r="V268" s="502"/>
      <c r="W268" s="503"/>
      <c r="X268" s="496"/>
      <c r="Y268" s="496"/>
      <c r="Z268" s="496"/>
      <c r="AA268" s="496"/>
      <c r="AB268" s="496"/>
      <c r="AC268" s="496"/>
      <c r="AD268" s="496"/>
      <c r="AE268" s="496"/>
      <c r="AF268" s="496"/>
      <c r="AG268" s="496"/>
      <c r="AH268" s="504" t="str">
        <f>IFERROR($M268+VLOOKUP($L268,'Voyage days'!$F$38:$H$89,3,FALSE),"")</f>
        <v/>
      </c>
      <c r="AI268" s="504" t="str">
        <f>IFERROR(N268+VLOOKUP($L268,'Voyage days'!$F$38:$H$89,3,FALSE),"")</f>
        <v/>
      </c>
      <c r="AJ268" s="505" t="str">
        <f t="shared" si="27"/>
        <v/>
      </c>
      <c r="AK268" s="504" t="str">
        <f>IFERROR($M268+VLOOKUP($L268,'Voyage days'!$F$94:$H$193,3,FALSE),"")</f>
        <v/>
      </c>
      <c r="AL268" s="504" t="str">
        <f>IFERROR($N268+VLOOKUP($L268,'Voyage days'!$F$94:$H$193,3,FALSE),"")</f>
        <v/>
      </c>
      <c r="AM268" s="505" t="str">
        <f t="shared" si="28"/>
        <v/>
      </c>
      <c r="AN268" s="504" t="str">
        <f>IFERROR($M268+VLOOKUP($L268,'Voyage days'!$F$203:$H$256,3,FALSE),"")</f>
        <v/>
      </c>
      <c r="AO268" s="504" t="str">
        <f>IFERROR($N268+VLOOKUP($L268,'Voyage days'!$F$203:$H$256,3,FALSE),"")</f>
        <v/>
      </c>
      <c r="AP268" s="505" t="str">
        <f t="shared" si="29"/>
        <v/>
      </c>
      <c r="AQ268" s="504" t="str">
        <f>IFERROR($M268+VLOOKUP($L268,'Voyage days'!$F$294:$H$377,3,FALSE),"")</f>
        <v/>
      </c>
      <c r="AR268" s="504" t="str">
        <f>IFERROR($N268+VLOOKUP($L268,'Voyage days'!$F$294:$H$377,3,FALSE),"")</f>
        <v/>
      </c>
      <c r="AS268" s="505" t="str">
        <f t="shared" si="30"/>
        <v/>
      </c>
      <c r="AT268" s="504" t="str">
        <f>IFERROR($M268+VLOOKUP($L268,'Voyage days'!$F$382:$H$446,3,FALSE),"")</f>
        <v/>
      </c>
      <c r="AU268" s="504" t="str">
        <f>IFERROR($N268+VLOOKUP($L268,'Voyage days'!$F$382:$H$446,3,FALSE),"")</f>
        <v/>
      </c>
      <c r="AV268" s="505" t="str">
        <f t="shared" si="31"/>
        <v/>
      </c>
      <c r="AW268" s="504" t="str">
        <f>IFERROR($M268+VLOOKUP($L268,'Voyage days'!$F$483:$H$538,3,FALSE),"")</f>
        <v/>
      </c>
      <c r="AX268" s="504" t="str">
        <f>IFERROR($N268+VLOOKUP($L268,'Voyage days'!$F$483:$H$538,3,FALSE),"")</f>
        <v/>
      </c>
      <c r="AY268" s="505" t="str">
        <f t="shared" si="32"/>
        <v/>
      </c>
      <c r="AZ268" s="504" t="str">
        <f>IFERROR($M268+VLOOKUP($L268,'Voyage days'!$F$540:$H$613,3,FALSE),"")</f>
        <v/>
      </c>
      <c r="BA268" s="504" t="str">
        <f>IFERROR($N268+VLOOKUP($L268,'Voyage days'!$F$540:$H$613,3,FALSE),"")</f>
        <v/>
      </c>
      <c r="BB268" s="505" t="str">
        <f t="shared" si="33"/>
        <v/>
      </c>
      <c r="BC268" s="94" t="str">
        <f>IFERROR($M268+VLOOKUP($L268,'Voyage days'!$F$448:$H$479,3,FALSE),"")</f>
        <v/>
      </c>
      <c r="BD268" s="94" t="str">
        <f>IFERROR($N268+VLOOKUP($L268,'Voyage days'!$F$448:$H$479,3,FALSE),"")</f>
        <v/>
      </c>
      <c r="BE268" s="505" t="str">
        <f t="shared" si="34"/>
        <v/>
      </c>
      <c r="BF268" s="504" t="str">
        <f>IFERROR($M268+VLOOKUP($L268,'Voyage days'!$F$620:$H$646,3,FALSE),"")</f>
        <v/>
      </c>
      <c r="BG268" s="504" t="str">
        <f>IFERROR($N268+VLOOKUP($L268,'Voyage days'!$F$620:$H$646,3,FALSE),"")</f>
        <v/>
      </c>
      <c r="BH268" s="505" t="str">
        <f t="shared" si="35"/>
        <v/>
      </c>
      <c r="BI268" s="506" t="str">
        <f>IFERROR($M268+VLOOKUP($L268,'Voyage days'!$F$702:$H$727,3,FALSE),"")</f>
        <v/>
      </c>
      <c r="BJ268" s="131" t="str">
        <f t="shared" si="36"/>
        <v/>
      </c>
      <c r="BK268" s="95" t="str">
        <f>IFERROR($M268+VLOOKUP($L268,'Voyage days'!$F$807:$H$878,3,FALSE),"")</f>
        <v/>
      </c>
      <c r="BL268" s="95" t="str">
        <f>IFERROR($N268+VLOOKUP($L268,'Voyage days'!$F$807:$H$878,3,FALSE),"")</f>
        <v/>
      </c>
      <c r="BM268" s="95" t="str">
        <f>IFERROR($N268+VLOOKUP($L268,'Voyage days'!$F$807:$K$878,6,FALSE),"")</f>
        <v/>
      </c>
      <c r="BN268" s="94" t="str">
        <f>IF(L268="loads AG", IFERROR($M268+VLOOKUP($L268,'Voyage days'!$M$38:$O$38,3,FALSE),""),"")</f>
        <v/>
      </c>
      <c r="BO268" s="94" t="str">
        <f>IF(L268="loads USG", IFERROR($M268+VLOOKUP($L268,'Voyage days'!$L$203:$N$203,3,FALSE),""),"")</f>
        <v/>
      </c>
    </row>
    <row r="269" spans="1:67" ht="15.75" customHeight="1" x14ac:dyDescent="0.25">
      <c r="A269" s="97" t="s">
        <v>282</v>
      </c>
      <c r="B269" s="98">
        <v>2024</v>
      </c>
      <c r="C269" s="151">
        <v>93000</v>
      </c>
      <c r="D269" s="221"/>
      <c r="E269" s="221" t="s">
        <v>757</v>
      </c>
      <c r="F269" s="507"/>
      <c r="G269" s="507"/>
      <c r="H269" s="507" t="s">
        <v>713</v>
      </c>
      <c r="I269" s="508" t="s">
        <v>1360</v>
      </c>
      <c r="J269" s="122" t="str">
        <f t="shared" ref="J269:J280" si="48">IF(W269="","NO AIS",IF((W269-M269-1)&gt;0,"Update",""))</f>
        <v/>
      </c>
      <c r="K269" s="81"/>
      <c r="L269" s="249" t="s">
        <v>1243</v>
      </c>
      <c r="M269" s="83">
        <v>46146</v>
      </c>
      <c r="N269" s="205">
        <v>46147</v>
      </c>
      <c r="O269" s="84"/>
      <c r="P269" s="82" t="s">
        <v>1232</v>
      </c>
      <c r="Q269" s="124"/>
      <c r="R269" s="124" t="s">
        <v>1361</v>
      </c>
      <c r="S269" s="120" t="s">
        <v>33</v>
      </c>
      <c r="T269" s="232">
        <v>46131</v>
      </c>
      <c r="U269" s="87" t="str">
        <f>IF(V269="","No AIS",VLOOKUP(V269,'Voyage days'!$A$3:$B$1480,2,FALSE))</f>
        <v>Singapore</v>
      </c>
      <c r="V269" s="87" t="str">
        <f>IF(VLOOKUP(A269,'1) Kpler'!$E$2:$P$1000,8, FALSE)="","",VLOOKUP(A269,'1) Kpler'!$E$2:$P$1000,8, FALSE))</f>
        <v>Singapore</v>
      </c>
      <c r="W269" s="128">
        <f>IF(VLOOKUP(A269,'1) Kpler'!$E$2:$P$1000,9,FALSE)="","",VLOOKUP(A269,'1) Kpler'!$E$2:$P$1000,9,FALSE))</f>
        <v>46132.916666666664</v>
      </c>
      <c r="X269" s="87" t="str">
        <f>VLOOKUP(A269,'1) Kpler'!$E$2:$I$1000,4,FALSE)</f>
        <v>open</v>
      </c>
      <c r="Y269" s="234" t="str">
        <f t="shared" ref="Y269:Y345" si="49">AG269</f>
        <v>04-05 May</v>
      </c>
      <c r="Z269" s="234" t="str">
        <f t="shared" ref="Z269:Z345" si="50">AJ269</f>
        <v/>
      </c>
      <c r="AA269" s="234" t="str">
        <f t="shared" ref="AA269:AA345" si="51">AM269</f>
        <v/>
      </c>
      <c r="AB269" s="234" t="str">
        <f t="shared" ref="AB269:AB345" si="52">AP269</f>
        <v/>
      </c>
      <c r="AC269" s="234" t="str">
        <f t="shared" ref="AC269:AC345" si="53">AS269</f>
        <v/>
      </c>
      <c r="AD269" s="234" t="str">
        <f t="shared" ref="AD269:AD345" si="54">BB269</f>
        <v/>
      </c>
      <c r="AE269" s="235" t="str">
        <f t="shared" ref="AE269:AE345" si="55">AY269</f>
        <v>23-24 May</v>
      </c>
      <c r="AF269" s="92" t="str">
        <f t="shared" ref="AF269:AF345" si="56">BJ269</f>
        <v>04-05 May</v>
      </c>
      <c r="AG269" s="93" t="str">
        <f t="shared" ref="AG269:AG345" si="57">IF(AH269="","",TEXT(AH269,"dd")&amp;"-"&amp;TEXT(AI269,"dd mmm"))</f>
        <v>04-05 May</v>
      </c>
      <c r="AH269" s="94">
        <f>IFERROR($M269+VLOOKUP($L269,'Voyage days'!$F$38:$H$89,3,FALSE),"")</f>
        <v>46146</v>
      </c>
      <c r="AI269" s="94">
        <f>IFERROR(N269+VLOOKUP($L269,'Voyage days'!$F$38:$H$89,3,FALSE),"")</f>
        <v>46147</v>
      </c>
      <c r="AJ269" s="93" t="str">
        <f t="shared" si="27"/>
        <v/>
      </c>
      <c r="AK269" s="94" t="str">
        <f>IFERROR($M269+VLOOKUP($L269,'Voyage days'!$F$94:$H$193,3,FALSE),"")</f>
        <v/>
      </c>
      <c r="AL269" s="94" t="str">
        <f>IFERROR($N269+VLOOKUP($L269,'Voyage days'!$F$94:$H$193,3,FALSE),"")</f>
        <v/>
      </c>
      <c r="AM269" s="93" t="str">
        <f t="shared" si="28"/>
        <v/>
      </c>
      <c r="AN269" s="94" t="str">
        <f>IFERROR($M269+VLOOKUP($L269,'Voyage days'!$F$203:$H$256,3,FALSE),"")</f>
        <v/>
      </c>
      <c r="AO269" s="94" t="str">
        <f>IFERROR($N269+VLOOKUP($L269,'Voyage days'!$F$203:$H$256,3,FALSE),"")</f>
        <v/>
      </c>
      <c r="AP269" s="93" t="str">
        <f t="shared" si="29"/>
        <v/>
      </c>
      <c r="AQ269" s="94" t="str">
        <f>IFERROR($M269+VLOOKUP($L269,'Voyage days'!$F$294:$H$377,3,FALSE),"")</f>
        <v/>
      </c>
      <c r="AR269" s="94" t="str">
        <f>IFERROR($N269+VLOOKUP($L269,'Voyage days'!$F$294:$H$377,3,FALSE),"")</f>
        <v/>
      </c>
      <c r="AS269" s="93" t="str">
        <f t="shared" si="30"/>
        <v/>
      </c>
      <c r="AT269" s="94" t="str">
        <f>IFERROR($M269+VLOOKUP($L269,'Voyage days'!$F$382:$H$446,3,FALSE),"")</f>
        <v/>
      </c>
      <c r="AU269" s="94" t="str">
        <f>IFERROR($N269+VLOOKUP($L269,'Voyage days'!$F$382:$H$446,3,FALSE),"")</f>
        <v/>
      </c>
      <c r="AV269" s="93" t="str">
        <f t="shared" si="31"/>
        <v/>
      </c>
      <c r="AW269" s="94" t="str">
        <f>IFERROR($M269+VLOOKUP($L269,'Voyage days'!$F$483:$H$538,3,FALSE),"")</f>
        <v/>
      </c>
      <c r="AX269" s="94" t="str">
        <f>IFERROR($N269+VLOOKUP($L269,'Voyage days'!$F$483:$H$538,3,FALSE),"")</f>
        <v/>
      </c>
      <c r="AY269" s="93" t="str">
        <f t="shared" si="32"/>
        <v>23-24 May</v>
      </c>
      <c r="AZ269" s="94">
        <f>IFERROR($M269+VLOOKUP($L269,'Voyage days'!$F$540:$H$613,3,FALSE),"")</f>
        <v>46165</v>
      </c>
      <c r="BA269" s="94">
        <f>IFERROR($N269+VLOOKUP($L269,'Voyage days'!$F$540:$H$613,3,FALSE),"")</f>
        <v>46166</v>
      </c>
      <c r="BB269" s="93" t="str">
        <f t="shared" si="33"/>
        <v/>
      </c>
      <c r="BC269" s="94" t="str">
        <f>IFERROR($M269+VLOOKUP($L269,'Voyage days'!$F$448:$H$479,3,FALSE),"")</f>
        <v/>
      </c>
      <c r="BD269" s="94" t="str">
        <f>IFERROR($N269+VLOOKUP($L269,'Voyage days'!$F$448:$H$479,3,FALSE),"")</f>
        <v/>
      </c>
      <c r="BE269" s="93" t="str">
        <f t="shared" si="34"/>
        <v/>
      </c>
      <c r="BF269" s="95" t="str">
        <f>IFERROR($M269+VLOOKUP($L269,'Voyage days'!$F$620:$H$646,3,FALSE),"")</f>
        <v/>
      </c>
      <c r="BG269" s="95" t="str">
        <f>IFERROR($N269+VLOOKUP($L269,'Voyage days'!$F$620:$H$646,3,FALSE),"")</f>
        <v/>
      </c>
      <c r="BH269" s="93" t="str">
        <f t="shared" si="35"/>
        <v/>
      </c>
      <c r="BI269" s="96" t="str">
        <f>IFERROR($M269+VLOOKUP($L269,'Voyage days'!$F$702:$H$727,3,FALSE),"")</f>
        <v/>
      </c>
      <c r="BJ269" s="93" t="str">
        <f t="shared" si="36"/>
        <v>04-05 May</v>
      </c>
      <c r="BK269" s="95">
        <f>IFERROR($M269+VLOOKUP($L269,'Voyage days'!$F$807:$H$878,3,FALSE),"")</f>
        <v>46146</v>
      </c>
      <c r="BL269" s="95">
        <f>IFERROR($N269+VLOOKUP($L269,'Voyage days'!$F$807:$H$878,3,FALSE),"")</f>
        <v>46147</v>
      </c>
      <c r="BM269" s="95">
        <f>IFERROR($N269+VLOOKUP($L269,'Voyage days'!$F$807:$K$878,6,FALSE),"")</f>
        <v>46150</v>
      </c>
      <c r="BN269" s="94">
        <f>IF(L269="loads AG", IFERROR($M269+VLOOKUP($L269,'Voyage days'!$M$38:$O$38,3,FALSE),""),"")</f>
        <v>46171</v>
      </c>
      <c r="BO269" s="94" t="str">
        <f>IF(L269="loads USG", IFERROR($M269+VLOOKUP($L269,'Voyage days'!$L$203:$N$203,3,FALSE),""),"")</f>
        <v/>
      </c>
    </row>
    <row r="270" spans="1:67" ht="15.75" customHeight="1" x14ac:dyDescent="0.25">
      <c r="A270" s="74" t="s">
        <v>310</v>
      </c>
      <c r="B270" s="98">
        <v>2016</v>
      </c>
      <c r="C270" s="151">
        <v>83000</v>
      </c>
      <c r="D270" s="107"/>
      <c r="E270" s="107" t="s">
        <v>757</v>
      </c>
      <c r="F270" s="156"/>
      <c r="G270" s="156"/>
      <c r="H270" s="156"/>
      <c r="I270" s="357" t="s">
        <v>1360</v>
      </c>
      <c r="J270" s="122" t="str">
        <f t="shared" si="48"/>
        <v/>
      </c>
      <c r="K270" s="123"/>
      <c r="L270" s="82" t="s">
        <v>860</v>
      </c>
      <c r="M270" s="509">
        <v>46164</v>
      </c>
      <c r="N270" s="83">
        <v>46165</v>
      </c>
      <c r="O270" s="126"/>
      <c r="P270" s="82" t="s">
        <v>1362</v>
      </c>
      <c r="Q270" s="82"/>
      <c r="R270" s="82" t="s">
        <v>1363</v>
      </c>
      <c r="S270" s="120" t="s">
        <v>33</v>
      </c>
      <c r="T270" s="232">
        <v>46131</v>
      </c>
      <c r="U270" s="218" t="str">
        <f>IF(V270="","No AIS",VLOOKUP(V270,'Voyage days'!$A$3:$B$1480,2,FALSE))</f>
        <v>Vietnam + 3</v>
      </c>
      <c r="V270" s="218" t="str">
        <f>IF(VLOOKUP(A270,'1) Kpler'!$E$2:$P$1000,8, FALSE)="","",VLOOKUP(A270,'1) Kpler'!$E$2:$P$1000,8, FALSE))</f>
        <v>PV Vung Tau</v>
      </c>
      <c r="W270" s="510">
        <f>IF(VLOOKUP(A270,'1) Kpler'!$E$2:$P$1000,9,FALSE)="","",VLOOKUP(A270,'1) Kpler'!$E$2:$P$1000,9,FALSE))</f>
        <v>46162.625</v>
      </c>
      <c r="X270" s="511" t="str">
        <f>VLOOKUP(A270,'1) Kpler'!$E$2:$I$1000,4,FALSE)</f>
        <v>loaded</v>
      </c>
      <c r="Y270" s="63" t="str">
        <f t="shared" si="49"/>
        <v>04-05 Jun</v>
      </c>
      <c r="Z270" s="63" t="str">
        <f t="shared" si="50"/>
        <v>27-28 Jun</v>
      </c>
      <c r="AA270" s="63" t="str">
        <f t="shared" si="51"/>
        <v>30-01 Jul</v>
      </c>
      <c r="AB270" s="63" t="str">
        <f t="shared" si="52"/>
        <v>15-16 Jun</v>
      </c>
      <c r="AC270" s="63" t="str">
        <f t="shared" si="53"/>
        <v>21-22 Jun</v>
      </c>
      <c r="AD270" s="63" t="str">
        <f t="shared" si="54"/>
        <v>24-25 May</v>
      </c>
      <c r="AE270" s="129" t="str">
        <f t="shared" si="55"/>
        <v>28-29 May</v>
      </c>
      <c r="AF270" s="130" t="str">
        <f t="shared" si="56"/>
        <v>01-02 Jul</v>
      </c>
      <c r="AG270" s="131" t="str">
        <f t="shared" si="57"/>
        <v>04-05 Jun</v>
      </c>
      <c r="AH270" s="95">
        <f>IFERROR($M270+VLOOKUP($L270,'Voyage days'!$F$38:$H$89,3,FALSE),"")</f>
        <v>46177</v>
      </c>
      <c r="AI270" s="95">
        <f>IFERROR(N270+VLOOKUP($L270,'Voyage days'!$F$38:$H$89,3,FALSE),"")</f>
        <v>46178</v>
      </c>
      <c r="AJ270" s="131" t="str">
        <f t="shared" si="27"/>
        <v>27-28 Jun</v>
      </c>
      <c r="AK270" s="95">
        <f>IFERROR($M270+VLOOKUP($L270,'Voyage days'!$F$94:$H$193,3,FALSE),"")</f>
        <v>46200</v>
      </c>
      <c r="AL270" s="95">
        <f>IFERROR($N270+VLOOKUP($L270,'Voyage days'!$F$94:$H$193,3,FALSE),"")</f>
        <v>46201</v>
      </c>
      <c r="AM270" s="131" t="str">
        <f t="shared" si="28"/>
        <v>30-01 Jul</v>
      </c>
      <c r="AN270" s="95">
        <f>IFERROR($M270+VLOOKUP($L270,'Voyage days'!$F$203:$H$256,3,FALSE),"")</f>
        <v>46203</v>
      </c>
      <c r="AO270" s="95">
        <f>IFERROR($N270+VLOOKUP($L270,'Voyage days'!$F$203:$H$256,3,FALSE),"")</f>
        <v>46204</v>
      </c>
      <c r="AP270" s="131" t="str">
        <f t="shared" si="29"/>
        <v>15-16 Jun</v>
      </c>
      <c r="AQ270" s="95">
        <f>IFERROR($M270+VLOOKUP($L270,'Voyage days'!$F$294:$H$377,3,FALSE),"")</f>
        <v>46188</v>
      </c>
      <c r="AR270" s="95">
        <f>IFERROR($N270+VLOOKUP($L270,'Voyage days'!$F$294:$H$377,3,FALSE),"")</f>
        <v>46189</v>
      </c>
      <c r="AS270" s="131" t="str">
        <f t="shared" si="30"/>
        <v>21-22 Jun</v>
      </c>
      <c r="AT270" s="95">
        <f>IFERROR($M270+VLOOKUP($L270,'Voyage days'!$F$382:$H$446,3,FALSE),"")</f>
        <v>46194</v>
      </c>
      <c r="AU270" s="95">
        <f>IFERROR($N270+VLOOKUP($L270,'Voyage days'!$F$382:$H$446,3,FALSE),"")</f>
        <v>46195</v>
      </c>
      <c r="AV270" s="131" t="str">
        <f t="shared" si="31"/>
        <v>03-04 Jun</v>
      </c>
      <c r="AW270" s="95">
        <f>IFERROR($M270+VLOOKUP($L270,'Voyage days'!$F$483:$H$538,3,FALSE),"")</f>
        <v>46176</v>
      </c>
      <c r="AX270" s="95">
        <f>IFERROR($N270+VLOOKUP($L270,'Voyage days'!$F$483:$H$538,3,FALSE),"")</f>
        <v>46177</v>
      </c>
      <c r="AY270" s="131" t="str">
        <f t="shared" si="32"/>
        <v>28-29 May</v>
      </c>
      <c r="AZ270" s="95">
        <f>IFERROR($M270+VLOOKUP($L270,'Voyage days'!$F$540:$H$613,3,FALSE),"")</f>
        <v>46170.25</v>
      </c>
      <c r="BA270" s="95">
        <f>IFERROR($N270+VLOOKUP($L270,'Voyage days'!$F$540:$H$613,3,FALSE),"")</f>
        <v>46171.25</v>
      </c>
      <c r="BB270" s="131" t="str">
        <f t="shared" si="33"/>
        <v>24-25 May</v>
      </c>
      <c r="BC270" s="94">
        <f>IFERROR($M270+VLOOKUP($L270,'Voyage days'!$F$448:$H$479,3,FALSE),"")</f>
        <v>46166</v>
      </c>
      <c r="BD270" s="94">
        <f>IFERROR($N270+VLOOKUP($L270,'Voyage days'!$F$448:$H$479,3,FALSE),"")</f>
        <v>46167</v>
      </c>
      <c r="BE270" s="131" t="str">
        <f t="shared" si="34"/>
        <v/>
      </c>
      <c r="BF270" s="95" t="str">
        <f>IFERROR($M270+VLOOKUP($L270,'Voyage days'!$F$620:$H$646,3,FALSE),"")</f>
        <v/>
      </c>
      <c r="BG270" s="95" t="str">
        <f>IFERROR($N270+VLOOKUP($L270,'Voyage days'!$F$620:$H$646,3,FALSE),"")</f>
        <v/>
      </c>
      <c r="BH270" s="131" t="str">
        <f t="shared" si="35"/>
        <v>28-02 Jul</v>
      </c>
      <c r="BI270" s="96">
        <f>IFERROR($M270+VLOOKUP($L270,'Voyage days'!$F$702:$H$727,3,FALSE),"")</f>
        <v>46170.25</v>
      </c>
      <c r="BJ270" s="131" t="str">
        <f t="shared" si="36"/>
        <v>01-02 Jul</v>
      </c>
      <c r="BK270" s="95">
        <f>IFERROR($M270+VLOOKUP($L270,'Voyage days'!$F$807:$H$878,3,FALSE),"")</f>
        <v>46204</v>
      </c>
      <c r="BL270" s="95">
        <f>IFERROR($N270+VLOOKUP($L270,'Voyage days'!$F$807:$H$878,3,FALSE),"")</f>
        <v>46205</v>
      </c>
      <c r="BM270" s="95">
        <f>IFERROR($N270+VLOOKUP($L270,'Voyage days'!$F$807:$K$878,6,FALSE),"")</f>
        <v>46179</v>
      </c>
      <c r="BN270" s="94" t="str">
        <f>IF(L270="loads AG", IFERROR($M270+VLOOKUP($L270,'Voyage days'!$M$38:$O$38,3,FALSE),""),"")</f>
        <v/>
      </c>
      <c r="BO270" s="94" t="str">
        <f>IF(L270="loads USG", IFERROR($M270+VLOOKUP($L270,'Voyage days'!$L$203:$N$203,3,FALSE),""),"")</f>
        <v/>
      </c>
    </row>
    <row r="271" spans="1:67" ht="15.75" customHeight="1" x14ac:dyDescent="0.25">
      <c r="A271" s="266" t="s">
        <v>315</v>
      </c>
      <c r="B271" s="98">
        <v>2023</v>
      </c>
      <c r="C271" s="76">
        <v>93000</v>
      </c>
      <c r="D271" s="120"/>
      <c r="E271" s="120" t="s">
        <v>757</v>
      </c>
      <c r="F271" s="121"/>
      <c r="G271" s="121" t="s">
        <v>789</v>
      </c>
      <c r="H271" s="121" t="s">
        <v>713</v>
      </c>
      <c r="I271" s="249" t="s">
        <v>1360</v>
      </c>
      <c r="J271" s="122" t="str">
        <f t="shared" si="48"/>
        <v/>
      </c>
      <c r="K271" s="81"/>
      <c r="L271" s="249" t="s">
        <v>718</v>
      </c>
      <c r="M271" s="83">
        <v>46134</v>
      </c>
      <c r="N271" s="83">
        <v>46135</v>
      </c>
      <c r="O271" s="126"/>
      <c r="P271" s="82" t="s">
        <v>1364</v>
      </c>
      <c r="Q271" s="82"/>
      <c r="R271" s="82" t="s">
        <v>1365</v>
      </c>
      <c r="S271" s="120" t="s">
        <v>33</v>
      </c>
      <c r="T271" s="232">
        <v>46131</v>
      </c>
      <c r="U271" s="87" t="str">
        <f>IF(V271="","No AIS",VLOOKUP(V271,'Voyage days'!$A$3:$B$1480,2,FALSE))</f>
        <v>USG</v>
      </c>
      <c r="V271" s="87" t="str">
        <f>IF(VLOOKUP(A271,'1) Kpler'!$E$2:$P$1000,8, FALSE)="","",VLOOKUP(A271,'1) Kpler'!$E$2:$P$1000,8, FALSE))</f>
        <v>Houston</v>
      </c>
      <c r="W271" s="128">
        <f>IF(VLOOKUP(A271,'1) Kpler'!$E$2:$P$1000,9,FALSE)="","",VLOOKUP(A271,'1) Kpler'!$E$2:$P$1000,9,FALSE))</f>
        <v>46132.375</v>
      </c>
      <c r="X271" s="87" t="str">
        <f>VLOOKUP(A271,'1) Kpler'!$E$2:$I$1000,4,FALSE)</f>
        <v>ballast</v>
      </c>
      <c r="Y271" s="63" t="str">
        <f t="shared" si="49"/>
        <v/>
      </c>
      <c r="Z271" s="63" t="str">
        <f t="shared" si="50"/>
        <v>22-23 Apr</v>
      </c>
      <c r="AA271" s="63" t="str">
        <f t="shared" si="51"/>
        <v>22-23 Apr</v>
      </c>
      <c r="AB271" s="63" t="str">
        <f t="shared" si="52"/>
        <v/>
      </c>
      <c r="AC271" s="63" t="str">
        <f t="shared" si="53"/>
        <v>12-13 May</v>
      </c>
      <c r="AD271" s="63" t="str">
        <f t="shared" si="54"/>
        <v/>
      </c>
      <c r="AE271" s="129" t="str">
        <f t="shared" si="55"/>
        <v/>
      </c>
      <c r="AF271" s="130" t="str">
        <f t="shared" si="56"/>
        <v/>
      </c>
      <c r="AG271" s="93" t="str">
        <f t="shared" si="57"/>
        <v/>
      </c>
      <c r="AH271" s="94" t="str">
        <f>IFERROR($M271+VLOOKUP($L271,'Voyage days'!$F$38:$H$89,3,FALSE),"")</f>
        <v/>
      </c>
      <c r="AI271" s="94" t="str">
        <f>IFERROR(N271+VLOOKUP($L271,'Voyage days'!$F$38:$H$89,3,FALSE),"")</f>
        <v/>
      </c>
      <c r="AJ271" s="93" t="str">
        <f t="shared" si="27"/>
        <v>22-23 Apr</v>
      </c>
      <c r="AK271" s="94">
        <f>IFERROR($M271+VLOOKUP($L271,'Voyage days'!$F$94:$H$193,3,FALSE),"")</f>
        <v>46134</v>
      </c>
      <c r="AL271" s="94">
        <f>IFERROR($N271+VLOOKUP($L271,'Voyage days'!$F$94:$H$193,3,FALSE),"")</f>
        <v>46135</v>
      </c>
      <c r="AM271" s="93" t="str">
        <f t="shared" si="28"/>
        <v>22-23 Apr</v>
      </c>
      <c r="AN271" s="94">
        <f>IFERROR($M271+VLOOKUP($L271,'Voyage days'!$F$203:$H$256,3,FALSE),"")</f>
        <v>46134</v>
      </c>
      <c r="AO271" s="94">
        <f>IFERROR($N271+VLOOKUP($L271,'Voyage days'!$F$203:$H$256,3,FALSE),"")</f>
        <v>46135</v>
      </c>
      <c r="AP271" s="93" t="str">
        <f t="shared" si="29"/>
        <v/>
      </c>
      <c r="AQ271" s="94" t="str">
        <f>IFERROR($M271+VLOOKUP($L271,'Voyage days'!$F$294:$H$377,3,FALSE),"")</f>
        <v/>
      </c>
      <c r="AR271" s="94" t="str">
        <f>IFERROR($N271+VLOOKUP($L271,'Voyage days'!$F$294:$H$377,3,FALSE),"")</f>
        <v/>
      </c>
      <c r="AS271" s="93" t="str">
        <f t="shared" si="30"/>
        <v>12-13 May</v>
      </c>
      <c r="AT271" s="94">
        <f>IFERROR($M271+VLOOKUP($L271,'Voyage days'!$F$382:$H$446,3,FALSE),"")</f>
        <v>46154</v>
      </c>
      <c r="AU271" s="94">
        <f>IFERROR($N271+VLOOKUP($L271,'Voyage days'!$F$382:$H$446,3,FALSE),"")</f>
        <v>46155</v>
      </c>
      <c r="AV271" s="93" t="str">
        <f t="shared" si="31"/>
        <v/>
      </c>
      <c r="AW271" s="94" t="str">
        <f>IFERROR($M271+VLOOKUP($L271,'Voyage days'!$F$483:$H$538,3,FALSE),"")</f>
        <v/>
      </c>
      <c r="AX271" s="94" t="str">
        <f>IFERROR($N271+VLOOKUP($L271,'Voyage days'!$F$483:$H$538,3,FALSE),"")</f>
        <v/>
      </c>
      <c r="AY271" s="93" t="str">
        <f t="shared" si="32"/>
        <v/>
      </c>
      <c r="AZ271" s="94" t="str">
        <f>IFERROR($M271+VLOOKUP($L271,'Voyage days'!$F$540:$H$613,3,FALSE),"")</f>
        <v/>
      </c>
      <c r="BA271" s="94" t="str">
        <f>IFERROR($N271+VLOOKUP($L271,'Voyage days'!$F$540:$H$613,3,FALSE),"")</f>
        <v/>
      </c>
      <c r="BB271" s="93" t="str">
        <f t="shared" si="33"/>
        <v/>
      </c>
      <c r="BC271" s="94" t="str">
        <f>IFERROR($M271+VLOOKUP($L271,'Voyage days'!$F$448:$H$479,3,FALSE),"")</f>
        <v/>
      </c>
      <c r="BD271" s="94" t="str">
        <f>IFERROR($N271+VLOOKUP($L271,'Voyage days'!$F$448:$H$479,3,FALSE),"")</f>
        <v/>
      </c>
      <c r="BE271" s="93" t="str">
        <f t="shared" si="34"/>
        <v/>
      </c>
      <c r="BF271" s="95" t="str">
        <f>IFERROR($M271+VLOOKUP($L271,'Voyage days'!$F$620:$H$646,3,FALSE),"")</f>
        <v/>
      </c>
      <c r="BG271" s="95" t="str">
        <f>IFERROR($N271+VLOOKUP($L271,'Voyage days'!$F$620:$H$646,3,FALSE),"")</f>
        <v/>
      </c>
      <c r="BH271" s="93" t="str">
        <f t="shared" si="35"/>
        <v/>
      </c>
      <c r="BI271" s="96" t="str">
        <f>IFERROR($M271+VLOOKUP($L271,'Voyage days'!$F$702:$H$727,3,FALSE),"")</f>
        <v/>
      </c>
      <c r="BJ271" s="93" t="str">
        <f t="shared" si="36"/>
        <v/>
      </c>
      <c r="BK271" s="95" t="str">
        <f>IFERROR($M271+VLOOKUP($L271,'Voyage days'!$F$807:$H$878,3,FALSE),"")</f>
        <v/>
      </c>
      <c r="BL271" s="95" t="str">
        <f>IFERROR($N271+VLOOKUP($L271,'Voyage days'!$F$807:$H$878,3,FALSE),"")</f>
        <v/>
      </c>
      <c r="BM271" s="95" t="str">
        <f>IFERROR($N271+VLOOKUP($L271,'Voyage days'!$F$807:$K$878,6,FALSE),"")</f>
        <v/>
      </c>
      <c r="BN271" s="94" t="str">
        <f>IF(L271="loads AG", IFERROR($M271+VLOOKUP($L271,'Voyage days'!$M$38:$O$38,3,FALSE),""),"")</f>
        <v/>
      </c>
      <c r="BO271" s="94">
        <f>IF(L271="loads USG", IFERROR($M271+VLOOKUP($L271,'Voyage days'!$L$203:$N$203,3,FALSE),""),"")</f>
        <v>46166</v>
      </c>
    </row>
    <row r="272" spans="1:67" ht="15.75" customHeight="1" x14ac:dyDescent="0.25">
      <c r="A272" s="53" t="s">
        <v>327</v>
      </c>
      <c r="B272" s="119">
        <v>2018</v>
      </c>
      <c r="C272" s="76">
        <v>84000</v>
      </c>
      <c r="D272" s="120"/>
      <c r="E272" s="120" t="s">
        <v>757</v>
      </c>
      <c r="F272" s="78"/>
      <c r="G272" s="78" t="s">
        <v>789</v>
      </c>
      <c r="H272" s="78" t="s">
        <v>1366</v>
      </c>
      <c r="I272" s="249" t="s">
        <v>1360</v>
      </c>
      <c r="J272" s="122" t="str">
        <f t="shared" si="48"/>
        <v/>
      </c>
      <c r="K272" s="81" t="s">
        <v>817</v>
      </c>
      <c r="L272" s="82" t="s">
        <v>863</v>
      </c>
      <c r="M272" s="509">
        <v>46147</v>
      </c>
      <c r="N272" s="509">
        <v>46149</v>
      </c>
      <c r="O272" s="84" t="s">
        <v>1367</v>
      </c>
      <c r="P272" s="82" t="s">
        <v>1368</v>
      </c>
      <c r="Q272" s="85"/>
      <c r="R272" s="85" t="s">
        <v>1369</v>
      </c>
      <c r="S272" s="120" t="s">
        <v>33</v>
      </c>
      <c r="T272" s="232">
        <v>46131</v>
      </c>
      <c r="U272" s="87" t="str">
        <f>IF(V272="","No AIS",VLOOKUP(V272,'Voyage days'!$A$3:$B$1480,2,FALSE))</f>
        <v>ECI + 5</v>
      </c>
      <c r="V272" s="88" t="str">
        <f>IF(VLOOKUP(A272,'1) Kpler'!$E$2:$P$1000,8, FALSE)="","",VLOOKUP(A272,'1) Kpler'!$E$2:$P$1000,8, FALSE))</f>
        <v>Ennore Port</v>
      </c>
      <c r="W272" s="89">
        <f>IF(VLOOKUP(A272,'1) Kpler'!$E$2:$P$1000,9,FALSE)="","",VLOOKUP(A272,'1) Kpler'!$E$2:$P$1000,9,FALSE))</f>
        <v>46141.520833333336</v>
      </c>
      <c r="X272" s="88" t="str">
        <f>VLOOKUP(A272,'1) Kpler'!$E$2:$I$1000,4,FALSE)</f>
        <v>loaded</v>
      </c>
      <c r="Y272" s="234" t="str">
        <f t="shared" si="49"/>
        <v>14-16 May</v>
      </c>
      <c r="Z272" s="234" t="str">
        <f t="shared" si="50"/>
        <v/>
      </c>
      <c r="AA272" s="234" t="str">
        <f t="shared" si="51"/>
        <v>10-12 Jun</v>
      </c>
      <c r="AB272" s="234" t="str">
        <f t="shared" si="52"/>
        <v>26-28 May</v>
      </c>
      <c r="AC272" s="234" t="str">
        <f t="shared" si="53"/>
        <v>02-04 Jun</v>
      </c>
      <c r="AD272" s="234" t="str">
        <f t="shared" si="54"/>
        <v>10-12 May</v>
      </c>
      <c r="AE272" s="235" t="str">
        <f t="shared" si="55"/>
        <v/>
      </c>
      <c r="AF272" s="92" t="str">
        <f t="shared" si="56"/>
        <v>12-14 Jun</v>
      </c>
      <c r="AG272" s="93" t="str">
        <f t="shared" si="57"/>
        <v>14-16 May</v>
      </c>
      <c r="AH272" s="94">
        <f>IFERROR($M272+VLOOKUP($L272,'Voyage days'!$F$38:$H$89,3,FALSE),"")</f>
        <v>46156</v>
      </c>
      <c r="AI272" s="94">
        <f>IFERROR(N272+VLOOKUP($L272,'Voyage days'!$F$38:$H$89,3,FALSE),"")</f>
        <v>46158</v>
      </c>
      <c r="AJ272" s="93" t="str">
        <f t="shared" si="27"/>
        <v/>
      </c>
      <c r="AK272" s="94" t="str">
        <f>IFERROR($M272+VLOOKUP($L272,'Voyage days'!$F$94:$H$193,3,FALSE),"")</f>
        <v/>
      </c>
      <c r="AL272" s="94" t="str">
        <f>IFERROR($N272+VLOOKUP($L272,'Voyage days'!$F$94:$H$193,3,FALSE),"")</f>
        <v/>
      </c>
      <c r="AM272" s="93" t="str">
        <f t="shared" si="28"/>
        <v>10-12 Jun</v>
      </c>
      <c r="AN272" s="94">
        <f>IFERROR($M272+VLOOKUP($L272,'Voyage days'!$F$203:$H$256,3,FALSE),"")</f>
        <v>46183</v>
      </c>
      <c r="AO272" s="94">
        <f>IFERROR($N272+VLOOKUP($L272,'Voyage days'!$F$203:$H$256,3,FALSE),"")</f>
        <v>46185</v>
      </c>
      <c r="AP272" s="93" t="str">
        <f t="shared" si="29"/>
        <v>26-28 May</v>
      </c>
      <c r="AQ272" s="94">
        <f>IFERROR($M272+VLOOKUP($L272,'Voyage days'!$F$294:$H$377,3,FALSE),"")</f>
        <v>46168</v>
      </c>
      <c r="AR272" s="94">
        <f>IFERROR($N272+VLOOKUP($L272,'Voyage days'!$F$294:$H$377,3,FALSE),"")</f>
        <v>46170</v>
      </c>
      <c r="AS272" s="93" t="str">
        <f t="shared" si="30"/>
        <v>02-04 Jun</v>
      </c>
      <c r="AT272" s="94">
        <f>IFERROR($M272+VLOOKUP($L272,'Voyage days'!$F$382:$H$446,3,FALSE),"")</f>
        <v>46175</v>
      </c>
      <c r="AU272" s="94">
        <f>IFERROR($N272+VLOOKUP($L272,'Voyage days'!$F$382:$H$446,3,FALSE),"")</f>
        <v>46177</v>
      </c>
      <c r="AV272" s="93" t="str">
        <f t="shared" si="31"/>
        <v>05-07 May</v>
      </c>
      <c r="AW272" s="94">
        <f>IFERROR($M272+VLOOKUP($L272,'Voyage days'!$F$483:$H$538,3,FALSE),"")</f>
        <v>46147</v>
      </c>
      <c r="AX272" s="94">
        <f>IFERROR($N272+VLOOKUP($L272,'Voyage days'!$F$483:$H$538,3,FALSE),"")</f>
        <v>46149</v>
      </c>
      <c r="AY272" s="93" t="str">
        <f t="shared" si="32"/>
        <v/>
      </c>
      <c r="AZ272" s="94" t="str">
        <f>IFERROR($M272+VLOOKUP($L272,'Voyage days'!$F$540:$H$613,3,FALSE),"")</f>
        <v/>
      </c>
      <c r="BA272" s="94" t="str">
        <f>IFERROR($N272+VLOOKUP($L272,'Voyage days'!$F$540:$H$613,3,FALSE),"")</f>
        <v/>
      </c>
      <c r="BB272" s="93" t="str">
        <f t="shared" si="33"/>
        <v>10-12 May</v>
      </c>
      <c r="BC272" s="94">
        <f>IFERROR($M272+VLOOKUP($L272,'Voyage days'!$F$448:$H$479,3,FALSE),"")</f>
        <v>46152</v>
      </c>
      <c r="BD272" s="94">
        <f>IFERROR($N272+VLOOKUP($L272,'Voyage days'!$F$448:$H$479,3,FALSE),"")</f>
        <v>46154</v>
      </c>
      <c r="BE272" s="93" t="str">
        <f t="shared" si="34"/>
        <v/>
      </c>
      <c r="BF272" s="95" t="str">
        <f>IFERROR($M272+VLOOKUP($L272,'Voyage days'!$F$620:$H$646,3,FALSE),"")</f>
        <v/>
      </c>
      <c r="BG272" s="95" t="str">
        <f>IFERROR($N272+VLOOKUP($L272,'Voyage days'!$F$620:$H$646,3,FALSE),"")</f>
        <v/>
      </c>
      <c r="BH272" s="93" t="str">
        <f t="shared" si="35"/>
        <v/>
      </c>
      <c r="BI272" s="96" t="str">
        <f>IFERROR($M272+VLOOKUP($L272,'Voyage days'!$F$702:$H$727,3,FALSE),"")</f>
        <v/>
      </c>
      <c r="BJ272" s="93" t="str">
        <f t="shared" si="36"/>
        <v>12-14 Jun</v>
      </c>
      <c r="BK272" s="95">
        <f>IFERROR($M272+VLOOKUP($L272,'Voyage days'!$F$807:$H$878,3,FALSE),"")</f>
        <v>46185</v>
      </c>
      <c r="BL272" s="95">
        <f>IFERROR($N272+VLOOKUP($L272,'Voyage days'!$F$807:$H$878,3,FALSE),"")</f>
        <v>46187</v>
      </c>
      <c r="BM272" s="95">
        <f>IFERROR($N272+VLOOKUP($L272,'Voyage days'!$F$807:$K$878,6,FALSE),"")</f>
        <v>46161</v>
      </c>
      <c r="BN272" s="94" t="str">
        <f>IF(L272="loads AG", IFERROR($M272+VLOOKUP($L272,'Voyage days'!$M$38:$O$38,3,FALSE),""),"")</f>
        <v/>
      </c>
      <c r="BO272" s="94" t="str">
        <f>IF(L272="loads USG", IFERROR($M272+VLOOKUP($L272,'Voyage days'!$L$203:$N$203,3,FALSE),""),"")</f>
        <v/>
      </c>
    </row>
    <row r="273" spans="1:68" ht="15.75" customHeight="1" x14ac:dyDescent="0.25">
      <c r="A273" s="132" t="s">
        <v>335</v>
      </c>
      <c r="B273" s="133">
        <v>2024</v>
      </c>
      <c r="C273" s="134">
        <v>93000</v>
      </c>
      <c r="D273" s="143"/>
      <c r="E273" s="143" t="s">
        <v>757</v>
      </c>
      <c r="F273" s="136"/>
      <c r="G273" s="136"/>
      <c r="H273" s="136" t="s">
        <v>713</v>
      </c>
      <c r="I273" s="177" t="s">
        <v>1360</v>
      </c>
      <c r="J273" s="138" t="str">
        <f t="shared" si="48"/>
        <v/>
      </c>
      <c r="K273" s="139" t="s">
        <v>817</v>
      </c>
      <c r="L273" s="140" t="s">
        <v>860</v>
      </c>
      <c r="M273" s="141">
        <v>46160</v>
      </c>
      <c r="N273" s="141">
        <v>46161</v>
      </c>
      <c r="O273" s="305"/>
      <c r="P273" s="140" t="s">
        <v>1370</v>
      </c>
      <c r="Q273" s="247"/>
      <c r="R273" s="247" t="s">
        <v>1371</v>
      </c>
      <c r="S273" s="143" t="s">
        <v>33</v>
      </c>
      <c r="T273" s="289">
        <v>46131</v>
      </c>
      <c r="U273" s="145" t="str">
        <f>IF(V273="","No AIS",VLOOKUP(V273,'Voyage days'!$A$3:$B$1480,2,FALSE))</f>
        <v>India?/SG-JP?</v>
      </c>
      <c r="V273" s="146" t="str">
        <f>IF(VLOOKUP(A273,'1) Kpler'!$E$2:$P$1000,8, FALSE)="","",VLOOKUP(A273,'1) Kpler'!$E$2:$P$1000,8, FALSE))</f>
        <v>Eastern Asia</v>
      </c>
      <c r="W273" s="147">
        <f>IF(VLOOKUP(A273,'1) Kpler'!$E$2:$P$1000,9,FALSE)="","",VLOOKUP(A273,'1) Kpler'!$E$2:$P$1000,9,FALSE))</f>
        <v>46153.463888888888</v>
      </c>
      <c r="X273" s="146" t="str">
        <f>VLOOKUP(A273,'1) Kpler'!$E$2:$I$1000,4,FALSE)</f>
        <v>loaded</v>
      </c>
      <c r="Y273" s="445" t="str">
        <f t="shared" si="49"/>
        <v>31-01 Jun</v>
      </c>
      <c r="Z273" s="445" t="str">
        <f t="shared" si="50"/>
        <v>23-24 Jun</v>
      </c>
      <c r="AA273" s="445" t="str">
        <f t="shared" si="51"/>
        <v>26-27 Jun</v>
      </c>
      <c r="AB273" s="445" t="str">
        <f t="shared" si="52"/>
        <v>11-12 Jun</v>
      </c>
      <c r="AC273" s="445" t="str">
        <f t="shared" si="53"/>
        <v>17-18 Jun</v>
      </c>
      <c r="AD273" s="445" t="str">
        <f t="shared" si="54"/>
        <v>20-21 May</v>
      </c>
      <c r="AE273" s="446" t="str">
        <f t="shared" si="55"/>
        <v>24-25 May</v>
      </c>
      <c r="AF273" s="150" t="str">
        <f t="shared" si="56"/>
        <v>27-28 Jun</v>
      </c>
      <c r="AG273" s="93" t="str">
        <f t="shared" si="57"/>
        <v>31-01 Jun</v>
      </c>
      <c r="AH273" s="94">
        <f>IFERROR($M273+VLOOKUP($L273,'Voyage days'!$F$38:$H$89,3,FALSE),"")</f>
        <v>46173</v>
      </c>
      <c r="AI273" s="94">
        <f>IFERROR(N273+VLOOKUP($L273,'Voyage days'!$F$38:$H$89,3,FALSE),"")</f>
        <v>46174</v>
      </c>
      <c r="AJ273" s="93" t="str">
        <f t="shared" si="27"/>
        <v>23-24 Jun</v>
      </c>
      <c r="AK273" s="94">
        <f>IFERROR($M273+VLOOKUP($L273,'Voyage days'!$F$94:$H$193,3,FALSE),"")</f>
        <v>46196</v>
      </c>
      <c r="AL273" s="94">
        <f>IFERROR($N273+VLOOKUP($L273,'Voyage days'!$F$94:$H$193,3,FALSE),"")</f>
        <v>46197</v>
      </c>
      <c r="AM273" s="93" t="str">
        <f t="shared" si="28"/>
        <v>26-27 Jun</v>
      </c>
      <c r="AN273" s="94">
        <f>IFERROR($M273+VLOOKUP($L273,'Voyage days'!$F$203:$H$256,3,FALSE),"")</f>
        <v>46199</v>
      </c>
      <c r="AO273" s="94">
        <f>IFERROR($N273+VLOOKUP($L273,'Voyage days'!$F$203:$H$256,3,FALSE),"")</f>
        <v>46200</v>
      </c>
      <c r="AP273" s="93" t="str">
        <f t="shared" si="29"/>
        <v>11-12 Jun</v>
      </c>
      <c r="AQ273" s="94">
        <f>IFERROR($M273+VLOOKUP($L273,'Voyage days'!$F$294:$H$377,3,FALSE),"")</f>
        <v>46184</v>
      </c>
      <c r="AR273" s="94">
        <f>IFERROR($N273+VLOOKUP($L273,'Voyage days'!$F$294:$H$377,3,FALSE),"")</f>
        <v>46185</v>
      </c>
      <c r="AS273" s="93" t="str">
        <f t="shared" si="30"/>
        <v>17-18 Jun</v>
      </c>
      <c r="AT273" s="94">
        <f>IFERROR($M273+VLOOKUP($L273,'Voyage days'!$F$382:$H$446,3,FALSE),"")</f>
        <v>46190</v>
      </c>
      <c r="AU273" s="94">
        <f>IFERROR($N273+VLOOKUP($L273,'Voyage days'!$F$382:$H$446,3,FALSE),"")</f>
        <v>46191</v>
      </c>
      <c r="AV273" s="93" t="str">
        <f t="shared" si="31"/>
        <v>30-31 May</v>
      </c>
      <c r="AW273" s="94">
        <f>IFERROR($M273+VLOOKUP($L273,'Voyage days'!$F$483:$H$538,3,FALSE),"")</f>
        <v>46172</v>
      </c>
      <c r="AX273" s="94">
        <f>IFERROR($N273+VLOOKUP($L273,'Voyage days'!$F$483:$H$538,3,FALSE),"")</f>
        <v>46173</v>
      </c>
      <c r="AY273" s="93" t="str">
        <f t="shared" si="32"/>
        <v>24-25 May</v>
      </c>
      <c r="AZ273" s="94">
        <f>IFERROR($M273+VLOOKUP($L273,'Voyage days'!$F$540:$H$613,3,FALSE),"")</f>
        <v>46166.25</v>
      </c>
      <c r="BA273" s="94">
        <f>IFERROR($N273+VLOOKUP($L273,'Voyage days'!$F$540:$H$613,3,FALSE),"")</f>
        <v>46167.25</v>
      </c>
      <c r="BB273" s="93" t="str">
        <f t="shared" si="33"/>
        <v>20-21 May</v>
      </c>
      <c r="BC273" s="94">
        <f>IFERROR($M273+VLOOKUP($L273,'Voyage days'!$F$448:$H$479,3,FALSE),"")</f>
        <v>46162</v>
      </c>
      <c r="BD273" s="94">
        <f>IFERROR($N273+VLOOKUP($L273,'Voyage days'!$F$448:$H$479,3,FALSE),"")</f>
        <v>46163</v>
      </c>
      <c r="BE273" s="93" t="str">
        <f t="shared" si="34"/>
        <v/>
      </c>
      <c r="BF273" s="95" t="str">
        <f>IFERROR($M273+VLOOKUP($L273,'Voyage days'!$F$620:$H$646,3,FALSE),"")</f>
        <v/>
      </c>
      <c r="BG273" s="95" t="str">
        <f>IFERROR($N273+VLOOKUP($L273,'Voyage days'!$F$620:$H$646,3,FALSE),"")</f>
        <v/>
      </c>
      <c r="BH273" s="93" t="str">
        <f t="shared" si="35"/>
        <v>24-28 Jun</v>
      </c>
      <c r="BI273" s="96">
        <f>IFERROR($M273+VLOOKUP($L273,'Voyage days'!$F$702:$H$727,3,FALSE),"")</f>
        <v>46166.25</v>
      </c>
      <c r="BJ273" s="93" t="str">
        <f t="shared" si="36"/>
        <v>27-28 Jun</v>
      </c>
      <c r="BK273" s="95">
        <f>IFERROR($M273+VLOOKUP($L273,'Voyage days'!$F$807:$H$878,3,FALSE),"")</f>
        <v>46200</v>
      </c>
      <c r="BL273" s="95">
        <f>IFERROR($N273+VLOOKUP($L273,'Voyage days'!$F$807:$H$878,3,FALSE),"")</f>
        <v>46201</v>
      </c>
      <c r="BM273" s="95">
        <f>IFERROR($N273+VLOOKUP($L273,'Voyage days'!$F$807:$K$878,6,FALSE),"")</f>
        <v>46175</v>
      </c>
      <c r="BN273" s="94" t="str">
        <f>IF(L273="loads AG", IFERROR($M273+VLOOKUP($L273,'Voyage days'!$M$38:$O$38,3,FALSE),""),"")</f>
        <v/>
      </c>
      <c r="BO273" s="94" t="str">
        <f>IF(L273="loads USG", IFERROR($M273+VLOOKUP($L273,'Voyage days'!$L$203:$N$203,3,FALSE),""),"")</f>
        <v/>
      </c>
    </row>
    <row r="274" spans="1:68" x14ac:dyDescent="0.25">
      <c r="A274" s="400" t="s">
        <v>515</v>
      </c>
      <c r="B274" s="133">
        <v>2008</v>
      </c>
      <c r="C274" s="134">
        <v>84615</v>
      </c>
      <c r="D274" s="279"/>
      <c r="E274" s="279"/>
      <c r="F274" s="224"/>
      <c r="G274" s="224"/>
      <c r="H274" s="224" t="s">
        <v>713</v>
      </c>
      <c r="I274" s="512" t="s">
        <v>1372</v>
      </c>
      <c r="J274" s="285" t="str">
        <f t="shared" si="48"/>
        <v>NO AIS</v>
      </c>
      <c r="K274" s="254"/>
      <c r="L274" s="227" t="s">
        <v>1373</v>
      </c>
      <c r="M274" s="225">
        <v>46134</v>
      </c>
      <c r="N274" s="225">
        <v>46135</v>
      </c>
      <c r="O274" s="513" t="s">
        <v>1374</v>
      </c>
      <c r="P274" s="227" t="s">
        <v>1375</v>
      </c>
      <c r="Q274" s="227"/>
      <c r="R274" s="227" t="s">
        <v>1376</v>
      </c>
      <c r="S274" s="279" t="s">
        <v>33</v>
      </c>
      <c r="T274" s="289">
        <v>46131</v>
      </c>
      <c r="U274" s="145" t="str">
        <f>IF(V274="","No AIS",VLOOKUP(V274,'Voyage days'!$A$3:$B$1480,2,FALSE))</f>
        <v>No AIS</v>
      </c>
      <c r="V274" s="145" t="str">
        <f>IF(VLOOKUP(A274,'1) Kpler'!$E$2:$P$1000,8, FALSE)="","",VLOOKUP(A274,'1) Kpler'!$E$2:$P$1000,8, FALSE))</f>
        <v/>
      </c>
      <c r="W274" s="290" t="str">
        <f>IF(VLOOKUP(A274,'1) Kpler'!$E$2:$P$1000,9,FALSE)="","",VLOOKUP(A274,'1) Kpler'!$E$2:$P$1000,9,FALSE))</f>
        <v/>
      </c>
      <c r="X274" s="145" t="str">
        <f>VLOOKUP(A274,'1) Kpler'!$E$2:$I$1000,4,FALSE)</f>
        <v>ballast</v>
      </c>
      <c r="Y274" s="445" t="str">
        <f t="shared" si="49"/>
        <v>07-08 May</v>
      </c>
      <c r="Z274" s="445" t="str">
        <f t="shared" si="50"/>
        <v>28-29 May</v>
      </c>
      <c r="AA274" s="445" t="str">
        <f t="shared" si="51"/>
        <v>30-31 May</v>
      </c>
      <c r="AB274" s="445" t="str">
        <f t="shared" si="52"/>
        <v>18-19 May</v>
      </c>
      <c r="AC274" s="445" t="str">
        <f t="shared" si="53"/>
        <v>24-25 May</v>
      </c>
      <c r="AD274" s="445" t="str">
        <f t="shared" si="54"/>
        <v>26-27 Apr</v>
      </c>
      <c r="AE274" s="446" t="str">
        <f t="shared" si="55"/>
        <v>27-28 Apr</v>
      </c>
      <c r="AF274" s="150" t="str">
        <f t="shared" si="56"/>
        <v>03-04 Jun</v>
      </c>
      <c r="AG274" s="131" t="str">
        <f t="shared" si="57"/>
        <v>07-08 May</v>
      </c>
      <c r="AH274" s="95">
        <f>IFERROR($M274+VLOOKUP($L274,'Voyage days'!$F$38:$H$89,3,FALSE),"")</f>
        <v>46149</v>
      </c>
      <c r="AI274" s="95">
        <f>IFERROR(N274+VLOOKUP($L274,'Voyage days'!$F$38:$H$89,3,FALSE),"")</f>
        <v>46150</v>
      </c>
      <c r="AJ274" s="131" t="str">
        <f t="shared" si="27"/>
        <v>28-29 May</v>
      </c>
      <c r="AK274" s="95">
        <f>IFERROR($M274+VLOOKUP($L274,'Voyage days'!$F$94:$H$193,3,FALSE),"")</f>
        <v>46170</v>
      </c>
      <c r="AL274" s="95">
        <f>IFERROR($N274+VLOOKUP($L274,'Voyage days'!$F$94:$H$193,3,FALSE),"")</f>
        <v>46171</v>
      </c>
      <c r="AM274" s="131" t="str">
        <f t="shared" si="28"/>
        <v>30-31 May</v>
      </c>
      <c r="AN274" s="95">
        <f>IFERROR($M274+VLOOKUP($L274,'Voyage days'!$F$203:$H$256,3,FALSE),"")</f>
        <v>46172</v>
      </c>
      <c r="AO274" s="95">
        <f>IFERROR($N274+VLOOKUP($L274,'Voyage days'!$F$203:$H$256,3,FALSE),"")</f>
        <v>46173</v>
      </c>
      <c r="AP274" s="131" t="str">
        <f t="shared" si="29"/>
        <v>18-19 May</v>
      </c>
      <c r="AQ274" s="95">
        <f>IFERROR($M274+VLOOKUP($L274,'Voyage days'!$F$294:$H$377,3,FALSE),"")</f>
        <v>46160</v>
      </c>
      <c r="AR274" s="95">
        <f>IFERROR($N274+VLOOKUP($L274,'Voyage days'!$F$294:$H$377,3,FALSE),"")</f>
        <v>46161</v>
      </c>
      <c r="AS274" s="131" t="str">
        <f t="shared" si="30"/>
        <v>24-25 May</v>
      </c>
      <c r="AT274" s="95">
        <f>IFERROR($M274+VLOOKUP($L274,'Voyage days'!$F$382:$H$446,3,FALSE),"")</f>
        <v>46166</v>
      </c>
      <c r="AU274" s="95">
        <f>IFERROR($N274+VLOOKUP($L274,'Voyage days'!$F$382:$H$446,3,FALSE),"")</f>
        <v>46167</v>
      </c>
      <c r="AV274" s="131" t="str">
        <f t="shared" si="31"/>
        <v>08-09 May</v>
      </c>
      <c r="AW274" s="95">
        <f>IFERROR($M274+VLOOKUP($L274,'Voyage days'!$F$483:$H$538,3,FALSE),"")</f>
        <v>46150</v>
      </c>
      <c r="AX274" s="95">
        <f>IFERROR($N274+VLOOKUP($L274,'Voyage days'!$F$483:$H$538,3,FALSE),"")</f>
        <v>46151</v>
      </c>
      <c r="AY274" s="131" t="str">
        <f t="shared" si="32"/>
        <v>27-28 Apr</v>
      </c>
      <c r="AZ274" s="95">
        <f>IFERROR($M274+VLOOKUP($L274,'Voyage days'!$F$540:$H$613,3,FALSE),"")</f>
        <v>46139.25</v>
      </c>
      <c r="BA274" s="95">
        <f>IFERROR($N274+VLOOKUP($L274,'Voyage days'!$F$540:$H$613,3,FALSE),"")</f>
        <v>46140.25</v>
      </c>
      <c r="BB274" s="131" t="str">
        <f t="shared" si="33"/>
        <v>26-27 Apr</v>
      </c>
      <c r="BC274" s="95">
        <f>IFERROR($M274+VLOOKUP($L274,'Voyage days'!$F$448:$H$479,3,FALSE),"")</f>
        <v>46138</v>
      </c>
      <c r="BD274" s="95">
        <f>IFERROR($N274+VLOOKUP($L274,'Voyage days'!$F$448:$H$479,3,FALSE),"")</f>
        <v>46139</v>
      </c>
      <c r="BE274" s="131" t="str">
        <f t="shared" si="34"/>
        <v>07-08 May</v>
      </c>
      <c r="BF274" s="95">
        <f>IFERROR($M274+VLOOKUP($L274,'Voyage days'!$F$620:$H$646,3,FALSE),"")</f>
        <v>46149</v>
      </c>
      <c r="BG274" s="95">
        <f>IFERROR($N274+VLOOKUP($L274,'Voyage days'!$F$620:$H$646,3,FALSE),"")</f>
        <v>46150</v>
      </c>
      <c r="BH274" s="131" t="str">
        <f t="shared" si="35"/>
        <v>27-04 Jun</v>
      </c>
      <c r="BI274" s="96">
        <f>IFERROR($M274+VLOOKUP($L274,'Voyage days'!$F$702:$H$727,3,FALSE),"")</f>
        <v>46139.25</v>
      </c>
      <c r="BJ274" s="131" t="str">
        <f t="shared" si="36"/>
        <v>03-04 Jun</v>
      </c>
      <c r="BK274" s="95">
        <f>IFERROR($M274+VLOOKUP($L274,'Voyage days'!$F$807:$H$878,3,FALSE),"")</f>
        <v>46176</v>
      </c>
      <c r="BL274" s="95">
        <f>IFERROR($N274+VLOOKUP($L274,'Voyage days'!$F$807:$H$878,3,FALSE),"")</f>
        <v>46177</v>
      </c>
      <c r="BM274" s="95">
        <f>IFERROR($N274+VLOOKUP($L274,'Voyage days'!$F$807:$K$878,6,FALSE),"")</f>
        <v>46151</v>
      </c>
      <c r="BN274" s="95" t="str">
        <f>IF(L274="loads AG", IFERROR($M274+VLOOKUP($L274,'Voyage days'!$M$38:$O$38,3,FALSE),""),"")</f>
        <v/>
      </c>
      <c r="BO274" s="95" t="str">
        <f>IF(L274="loads USG", IFERROR($M274+VLOOKUP($L274,'Voyage days'!$L$203:$N$203,3,FALSE),""),"")</f>
        <v/>
      </c>
      <c r="BP274" s="248"/>
    </row>
    <row r="275" spans="1:68" ht="15.75" customHeight="1" x14ac:dyDescent="0.25">
      <c r="A275" s="514" t="s">
        <v>93</v>
      </c>
      <c r="B275" s="204">
        <v>2006</v>
      </c>
      <c r="C275" s="76">
        <v>82252</v>
      </c>
      <c r="D275" s="178"/>
      <c r="E275" s="178" t="s">
        <v>757</v>
      </c>
      <c r="F275" s="163"/>
      <c r="G275" s="163"/>
      <c r="H275" s="163"/>
      <c r="I275" s="124" t="s">
        <v>1377</v>
      </c>
      <c r="J275" s="80" t="str">
        <f t="shared" si="48"/>
        <v/>
      </c>
      <c r="K275" s="81"/>
      <c r="L275" s="82" t="s">
        <v>718</v>
      </c>
      <c r="M275" s="515">
        <v>46168</v>
      </c>
      <c r="N275" s="83">
        <v>46169</v>
      </c>
      <c r="O275" s="206"/>
      <c r="P275" s="82" t="s">
        <v>1378</v>
      </c>
      <c r="Q275" s="82"/>
      <c r="R275" s="82" t="s">
        <v>1379</v>
      </c>
      <c r="S275" s="120" t="s">
        <v>33</v>
      </c>
      <c r="T275" s="86">
        <v>46131</v>
      </c>
      <c r="U275" s="87" t="str">
        <f>IF(V275="","No AIS",VLOOKUP(V275,'Voyage days'!$A$3:$B$1480,2,FALSE))</f>
        <v>Cape (as proxy)</v>
      </c>
      <c r="V275" s="88" t="str">
        <f>IF(VLOOKUP(A275,'1) Kpler'!$E$2:$P$1000,8, FALSE)="","",VLOOKUP(A275,'1) Kpler'!$E$2:$P$1000,8, FALSE))</f>
        <v>Port Elizabeth</v>
      </c>
      <c r="W275" s="89">
        <f>IF(VLOOKUP(A275,'1) Kpler'!$E$2:$P$1000,9,FALSE)="","",VLOOKUP(A275,'1) Kpler'!$E$2:$P$1000,9,FALSE))</f>
        <v>46135.833333333336</v>
      </c>
      <c r="X275" s="88" t="str">
        <f>VLOOKUP(A275,'1) Kpler'!$E$2:$I$1000,4,FALSE)</f>
        <v>ballast</v>
      </c>
      <c r="Y275" s="63" t="str">
        <f t="shared" si="49"/>
        <v/>
      </c>
      <c r="Z275" s="207" t="str">
        <f t="shared" si="50"/>
        <v>26-27 May</v>
      </c>
      <c r="AA275" s="207" t="str">
        <f t="shared" si="51"/>
        <v>26-27 May</v>
      </c>
      <c r="AB275" s="63" t="str">
        <f t="shared" si="52"/>
        <v/>
      </c>
      <c r="AC275" s="63" t="str">
        <f t="shared" si="53"/>
        <v>15-16 Jun</v>
      </c>
      <c r="AD275" s="63" t="str">
        <f t="shared" si="54"/>
        <v/>
      </c>
      <c r="AE275" s="129" t="str">
        <f t="shared" si="55"/>
        <v/>
      </c>
      <c r="AF275" s="130" t="str">
        <f t="shared" si="56"/>
        <v/>
      </c>
      <c r="AG275" s="93" t="str">
        <f t="shared" si="57"/>
        <v/>
      </c>
      <c r="AH275" s="94" t="str">
        <f>IFERROR($M275+VLOOKUP($L275,'Voyage days'!$F$38:$H$89,3,FALSE),"")</f>
        <v/>
      </c>
      <c r="AI275" s="94" t="str">
        <f>IFERROR(N275+VLOOKUP($L275,'Voyage days'!$F$38:$H$89,3,FALSE),"")</f>
        <v/>
      </c>
      <c r="AJ275" s="93" t="str">
        <f t="shared" si="27"/>
        <v>26-27 May</v>
      </c>
      <c r="AK275" s="94">
        <f>IFERROR($M275+VLOOKUP($L275,'Voyage days'!$F$94:$H$193,3,FALSE),"")</f>
        <v>46168</v>
      </c>
      <c r="AL275" s="94">
        <f>IFERROR($N275+VLOOKUP($L275,'Voyage days'!$F$94:$H$193,3,FALSE),"")</f>
        <v>46169</v>
      </c>
      <c r="AM275" s="93" t="str">
        <f t="shared" si="28"/>
        <v>26-27 May</v>
      </c>
      <c r="AN275" s="94">
        <f>IFERROR($M275+VLOOKUP($L275,'Voyage days'!$F$203:$H$256,3,FALSE),"")</f>
        <v>46168</v>
      </c>
      <c r="AO275" s="94">
        <f>IFERROR($N275+VLOOKUP($L275,'Voyage days'!$F$203:$H$256,3,FALSE),"")</f>
        <v>46169</v>
      </c>
      <c r="AP275" s="93" t="str">
        <f t="shared" si="29"/>
        <v/>
      </c>
      <c r="AQ275" s="94" t="str">
        <f>IFERROR($M275+VLOOKUP($L275,'Voyage days'!$F$294:$H$377,3,FALSE),"")</f>
        <v/>
      </c>
      <c r="AR275" s="94" t="str">
        <f>IFERROR($N275+VLOOKUP($L275,'Voyage days'!$F$294:$H$377,3,FALSE),"")</f>
        <v/>
      </c>
      <c r="AS275" s="93" t="str">
        <f t="shared" si="30"/>
        <v>15-16 Jun</v>
      </c>
      <c r="AT275" s="94">
        <f>IFERROR($M275+VLOOKUP($L275,'Voyage days'!$F$382:$H$446,3,FALSE),"")</f>
        <v>46188</v>
      </c>
      <c r="AU275" s="94">
        <f>IFERROR($N275+VLOOKUP($L275,'Voyage days'!$F$382:$H$446,3,FALSE),"")</f>
        <v>46189</v>
      </c>
      <c r="AV275" s="93" t="str">
        <f t="shared" si="31"/>
        <v/>
      </c>
      <c r="AW275" s="94" t="str">
        <f>IFERROR($M275+VLOOKUP($L275,'Voyage days'!$F$483:$H$538,3,FALSE),"")</f>
        <v/>
      </c>
      <c r="AX275" s="94" t="str">
        <f>IFERROR($N275+VLOOKUP($L275,'Voyage days'!$F$483:$H$538,3,FALSE),"")</f>
        <v/>
      </c>
      <c r="AY275" s="93" t="str">
        <f t="shared" si="32"/>
        <v/>
      </c>
      <c r="AZ275" s="94" t="str">
        <f>IFERROR($M275+VLOOKUP($L275,'Voyage days'!$F$540:$H$613,3,FALSE),"")</f>
        <v/>
      </c>
      <c r="BA275" s="94" t="str">
        <f>IFERROR($N275+VLOOKUP($L275,'Voyage days'!$F$540:$H$613,3,FALSE),"")</f>
        <v/>
      </c>
      <c r="BB275" s="93" t="str">
        <f t="shared" si="33"/>
        <v/>
      </c>
      <c r="BC275" s="94" t="str">
        <f>IFERROR($M275+VLOOKUP($L275,'Voyage days'!$F$448:$H$479,3,FALSE),"")</f>
        <v/>
      </c>
      <c r="BD275" s="94" t="str">
        <f>IFERROR($N275+VLOOKUP($L275,'Voyage days'!$F$448:$H$479,3,FALSE),"")</f>
        <v/>
      </c>
      <c r="BE275" s="93" t="str">
        <f t="shared" si="34"/>
        <v/>
      </c>
      <c r="BF275" s="95" t="str">
        <f>IFERROR($M275+VLOOKUP($L275,'Voyage days'!$F$620:$H$646,3,FALSE),"")</f>
        <v/>
      </c>
      <c r="BG275" s="95" t="str">
        <f>IFERROR($N275+VLOOKUP($L275,'Voyage days'!$F$620:$H$646,3,FALSE),"")</f>
        <v/>
      </c>
      <c r="BH275" s="93" t="str">
        <f t="shared" si="35"/>
        <v/>
      </c>
      <c r="BI275" s="96" t="str">
        <f>IFERROR($M275+VLOOKUP($L275,'Voyage days'!$F$702:$H$727,3,FALSE),"")</f>
        <v/>
      </c>
      <c r="BJ275" s="93" t="str">
        <f t="shared" si="36"/>
        <v/>
      </c>
      <c r="BK275" s="95" t="str">
        <f>IFERROR($M275+VLOOKUP($L275,'Voyage days'!$F$807:$H$878,3,FALSE),"")</f>
        <v/>
      </c>
      <c r="BL275" s="95" t="str">
        <f>IFERROR($N275+VLOOKUP($L275,'Voyage days'!$F$807:$H$878,3,FALSE),"")</f>
        <v/>
      </c>
      <c r="BM275" s="95" t="str">
        <f>IFERROR($N275+VLOOKUP($L275,'Voyage days'!$F$807:$K$878,6,FALSE),"")</f>
        <v/>
      </c>
      <c r="BN275" s="94" t="str">
        <f>IF(L275="loads AG", IFERROR($M275+VLOOKUP($L275,'Voyage days'!$M$38:$O$38,3,FALSE),""),"")</f>
        <v/>
      </c>
      <c r="BO275" s="94">
        <f>IF(L275="loads USG", IFERROR($M275+VLOOKUP($L275,'Voyage days'!$L$203:$N$203,3,FALSE),""),"")</f>
        <v>46200</v>
      </c>
    </row>
    <row r="276" spans="1:68" ht="15.75" customHeight="1" x14ac:dyDescent="0.25">
      <c r="A276" s="266" t="s">
        <v>1380</v>
      </c>
      <c r="B276" s="119">
        <v>2023</v>
      </c>
      <c r="C276" s="76">
        <v>91000</v>
      </c>
      <c r="D276" s="120"/>
      <c r="E276" s="120"/>
      <c r="F276" s="121"/>
      <c r="G276" s="121"/>
      <c r="H276" s="121" t="s">
        <v>713</v>
      </c>
      <c r="I276" s="249" t="s">
        <v>1377</v>
      </c>
      <c r="J276" s="122" t="str">
        <f t="shared" si="48"/>
        <v/>
      </c>
      <c r="K276" s="123"/>
      <c r="L276" s="124" t="s">
        <v>718</v>
      </c>
      <c r="M276" s="83">
        <v>46166</v>
      </c>
      <c r="N276" s="83">
        <v>46167</v>
      </c>
      <c r="O276" s="126"/>
      <c r="P276" s="82" t="s">
        <v>1381</v>
      </c>
      <c r="Q276" s="516"/>
      <c r="R276" s="105" t="s">
        <v>1382</v>
      </c>
      <c r="S276" s="120" t="s">
        <v>33</v>
      </c>
      <c r="T276" s="232">
        <v>46131</v>
      </c>
      <c r="U276" s="87" t="str">
        <f>IF(V276="","No AIS",VLOOKUP(V276,'Voyage days'!$A$3:$B$1480,2,FALSE))</f>
        <v>USG</v>
      </c>
      <c r="V276" s="87" t="str">
        <f>IF(VLOOKUP(A276,'1) Kpler'!$E$2:$P$1000,8, FALSE)="","",VLOOKUP(A276,'1) Kpler'!$E$2:$P$1000,8, FALSE))</f>
        <v>PADD 3</v>
      </c>
      <c r="W276" s="128">
        <f>IF(VLOOKUP(A276,'1) Kpler'!$E$2:$P$1000,9,FALSE)="","",VLOOKUP(A276,'1) Kpler'!$E$2:$P$1000,9,FALSE))</f>
        <v>46166</v>
      </c>
      <c r="X276" s="517" t="str">
        <f>VLOOKUP(A276,'1) Kpler'!$E$2:$I$1000,4,FALSE)</f>
        <v>ballast</v>
      </c>
      <c r="Y276" s="445" t="str">
        <f t="shared" si="49"/>
        <v/>
      </c>
      <c r="Z276" s="445" t="str">
        <f t="shared" si="50"/>
        <v>24-25 May</v>
      </c>
      <c r="AA276" s="445" t="str">
        <f t="shared" si="51"/>
        <v>24-25 May</v>
      </c>
      <c r="AB276" s="445" t="str">
        <f t="shared" si="52"/>
        <v/>
      </c>
      <c r="AC276" s="445" t="str">
        <f t="shared" si="53"/>
        <v>13-14 Jun</v>
      </c>
      <c r="AD276" s="445" t="str">
        <f t="shared" si="54"/>
        <v/>
      </c>
      <c r="AE276" s="446" t="str">
        <f t="shared" si="55"/>
        <v/>
      </c>
      <c r="AF276" s="150" t="str">
        <f t="shared" si="56"/>
        <v/>
      </c>
      <c r="AG276" s="131" t="str">
        <f t="shared" si="57"/>
        <v/>
      </c>
      <c r="AH276" s="95" t="str">
        <f>IFERROR($M276+VLOOKUP($L276,'Voyage days'!$F$38:$H$89,3,FALSE),"")</f>
        <v/>
      </c>
      <c r="AI276" s="95" t="str">
        <f>IFERROR(N276+VLOOKUP($L276,'Voyage days'!$F$38:$H$89,3,FALSE),"")</f>
        <v/>
      </c>
      <c r="AJ276" s="131" t="str">
        <f t="shared" si="27"/>
        <v>24-25 May</v>
      </c>
      <c r="AK276" s="95">
        <f>IFERROR($M276+VLOOKUP($L276,'Voyage days'!$F$94:$H$193,3,FALSE),"")</f>
        <v>46166</v>
      </c>
      <c r="AL276" s="95">
        <f>IFERROR($N276+VLOOKUP($L276,'Voyage days'!$F$94:$H$193,3,FALSE),"")</f>
        <v>46167</v>
      </c>
      <c r="AM276" s="131" t="str">
        <f t="shared" si="28"/>
        <v>24-25 May</v>
      </c>
      <c r="AN276" s="95">
        <f>IFERROR($M276+VLOOKUP($L276,'Voyage days'!$F$203:$H$256,3,FALSE),"")</f>
        <v>46166</v>
      </c>
      <c r="AO276" s="95">
        <f>IFERROR($N276+VLOOKUP($L276,'Voyage days'!$F$203:$H$256,3,FALSE),"")</f>
        <v>46167</v>
      </c>
      <c r="AP276" s="131" t="str">
        <f t="shared" si="29"/>
        <v/>
      </c>
      <c r="AQ276" s="95" t="str">
        <f>IFERROR($M276+VLOOKUP($L276,'Voyage days'!$F$294:$H$377,3,FALSE),"")</f>
        <v/>
      </c>
      <c r="AR276" s="95" t="str">
        <f>IFERROR($N276+VLOOKUP($L276,'Voyage days'!$F$294:$H$377,3,FALSE),"")</f>
        <v/>
      </c>
      <c r="AS276" s="131" t="str">
        <f t="shared" si="30"/>
        <v>13-14 Jun</v>
      </c>
      <c r="AT276" s="95">
        <f>IFERROR($M276+VLOOKUP($L276,'Voyage days'!$F$382:$H$446,3,FALSE),"")</f>
        <v>46186</v>
      </c>
      <c r="AU276" s="95">
        <f>IFERROR($N276+VLOOKUP($L276,'Voyage days'!$F$382:$H$446,3,FALSE),"")</f>
        <v>46187</v>
      </c>
      <c r="AV276" s="131" t="str">
        <f t="shared" si="31"/>
        <v/>
      </c>
      <c r="AW276" s="95" t="str">
        <f>IFERROR($M276+VLOOKUP($L276,'Voyage days'!$F$483:$H$538,3,FALSE),"")</f>
        <v/>
      </c>
      <c r="AX276" s="95" t="str">
        <f>IFERROR($N276+VLOOKUP($L276,'Voyage days'!$F$483:$H$538,3,FALSE),"")</f>
        <v/>
      </c>
      <c r="AY276" s="131" t="str">
        <f t="shared" si="32"/>
        <v/>
      </c>
      <c r="AZ276" s="95" t="str">
        <f>IFERROR($M276+VLOOKUP($L276,'Voyage days'!$F$540:$H$613,3,FALSE),"")</f>
        <v/>
      </c>
      <c r="BA276" s="95" t="str">
        <f>IFERROR($N276+VLOOKUP($L276,'Voyage days'!$F$540:$H$613,3,FALSE),"")</f>
        <v/>
      </c>
      <c r="BB276" s="131" t="str">
        <f t="shared" si="33"/>
        <v/>
      </c>
      <c r="BC276" s="95" t="str">
        <f>IFERROR($M276+VLOOKUP($L276,'Voyage days'!$F$448:$H$479,3,FALSE),"")</f>
        <v/>
      </c>
      <c r="BD276" s="95" t="str">
        <f>IFERROR($N276+VLOOKUP($L276,'Voyage days'!$F$448:$H$479,3,FALSE),"")</f>
        <v/>
      </c>
      <c r="BE276" s="131" t="str">
        <f t="shared" si="34"/>
        <v/>
      </c>
      <c r="BF276" s="95" t="str">
        <f>IFERROR($M276+VLOOKUP($L276,'Voyage days'!$F$620:$H$646,3,FALSE),"")</f>
        <v/>
      </c>
      <c r="BG276" s="95" t="str">
        <f>IFERROR($N276+VLOOKUP($L276,'Voyage days'!$F$620:$H$646,3,FALSE),"")</f>
        <v/>
      </c>
      <c r="BH276" s="131" t="str">
        <f t="shared" si="35"/>
        <v/>
      </c>
      <c r="BI276" s="96" t="str">
        <f>IFERROR($M276+VLOOKUP($L276,'Voyage days'!$F$702:$H$727,3,FALSE),"")</f>
        <v/>
      </c>
      <c r="BJ276" s="131" t="str">
        <f t="shared" si="36"/>
        <v/>
      </c>
      <c r="BK276" s="95" t="str">
        <f>IFERROR($M276+VLOOKUP($L276,'Voyage days'!$F$807:$H$878,3,FALSE),"")</f>
        <v/>
      </c>
      <c r="BL276" s="95" t="str">
        <f>IFERROR($N276+VLOOKUP($L276,'Voyage days'!$F$807:$H$878,3,FALSE),"")</f>
        <v/>
      </c>
      <c r="BM276" s="95" t="str">
        <f>IFERROR($N276+VLOOKUP($L276,'Voyage days'!$F$807:$K$878,6,FALSE),"")</f>
        <v/>
      </c>
      <c r="BN276" s="95" t="str">
        <f>IF(L276="loads AG", IFERROR($M276+VLOOKUP($L276,'Voyage days'!$M$38:$O$38,3,FALSE),""),"")</f>
        <v/>
      </c>
      <c r="BO276" s="95">
        <f>IF(L276="loads USG", IFERROR($M276+VLOOKUP($L276,'Voyage days'!$L$203:$N$203,3,FALSE),""),"")</f>
        <v>46198</v>
      </c>
    </row>
    <row r="277" spans="1:68" x14ac:dyDescent="0.25">
      <c r="A277" s="97" t="s">
        <v>1383</v>
      </c>
      <c r="B277" s="75">
        <v>42443</v>
      </c>
      <c r="C277" s="76">
        <v>84142</v>
      </c>
      <c r="D277" s="77"/>
      <c r="E277" s="77"/>
      <c r="F277" s="78"/>
      <c r="G277" s="78"/>
      <c r="H277" s="78" t="s">
        <v>713</v>
      </c>
      <c r="I277" s="233" t="s">
        <v>1377</v>
      </c>
      <c r="J277" s="80" t="str">
        <f t="shared" si="48"/>
        <v/>
      </c>
      <c r="K277" s="81"/>
      <c r="L277" s="82" t="s">
        <v>718</v>
      </c>
      <c r="M277" s="83">
        <v>46141</v>
      </c>
      <c r="N277" s="83">
        <v>46142</v>
      </c>
      <c r="O277" s="84"/>
      <c r="P277" s="82" t="s">
        <v>1384</v>
      </c>
      <c r="Q277" s="82"/>
      <c r="R277" s="82" t="s">
        <v>1385</v>
      </c>
      <c r="S277" s="120" t="s">
        <v>1386</v>
      </c>
      <c r="T277" s="232">
        <v>46131</v>
      </c>
      <c r="U277" s="87" t="str">
        <f>IF(V277="","No AIS",VLOOKUP(V277,'Voyage days'!$A$3:$B$1480,2,FALSE))</f>
        <v>Panama</v>
      </c>
      <c r="V277" s="88" t="str">
        <f>IF(VLOOKUP(A277,'1) Kpler'!$E$2:$P$1000,8, FALSE)="","",VLOOKUP(A277,'1) Kpler'!$E$2:$P$1000,8, FALSE))</f>
        <v>Panama Canal</v>
      </c>
      <c r="W277" s="89">
        <f>IF(VLOOKUP(A277,'1) Kpler'!$E$2:$P$1000,9,FALSE)="","",VLOOKUP(A277,'1) Kpler'!$E$2:$P$1000,9,FALSE))</f>
        <v>46135.458333333336</v>
      </c>
      <c r="X277" s="88" t="str">
        <f>VLOOKUP(A277,'1) Kpler'!$E$2:$I$1000,4,FALSE)</f>
        <v>ballast</v>
      </c>
      <c r="Y277" s="234" t="str">
        <f t="shared" si="49"/>
        <v/>
      </c>
      <c r="Z277" s="234" t="str">
        <f t="shared" si="50"/>
        <v>29-30 Apr</v>
      </c>
      <c r="AA277" s="234" t="str">
        <f t="shared" si="51"/>
        <v>29-30 Apr</v>
      </c>
      <c r="AB277" s="234" t="str">
        <f t="shared" si="52"/>
        <v/>
      </c>
      <c r="AC277" s="234" t="str">
        <f t="shared" si="53"/>
        <v>19-20 May</v>
      </c>
      <c r="AD277" s="234" t="str">
        <f t="shared" si="54"/>
        <v/>
      </c>
      <c r="AE277" s="235" t="str">
        <f t="shared" si="55"/>
        <v/>
      </c>
      <c r="AF277" s="92" t="str">
        <f t="shared" si="56"/>
        <v/>
      </c>
      <c r="AG277" s="93" t="str">
        <f t="shared" si="57"/>
        <v/>
      </c>
      <c r="AH277" s="94" t="str">
        <f>IFERROR($M277+VLOOKUP($L277,'Voyage days'!$F$38:$H$89,3,FALSE),"")</f>
        <v/>
      </c>
      <c r="AI277" s="94" t="str">
        <f>IFERROR(N277+VLOOKUP($L277,'Voyage days'!$F$38:$H$89,3,FALSE),"")</f>
        <v/>
      </c>
      <c r="AJ277" s="93" t="str">
        <f t="shared" si="27"/>
        <v>29-30 Apr</v>
      </c>
      <c r="AK277" s="94">
        <f>IFERROR($M277+VLOOKUP($L277,'Voyage days'!$F$94:$H$193,3,FALSE),"")</f>
        <v>46141</v>
      </c>
      <c r="AL277" s="94">
        <f>IFERROR($N277+VLOOKUP($L277,'Voyage days'!$F$94:$H$193,3,FALSE),"")</f>
        <v>46142</v>
      </c>
      <c r="AM277" s="93" t="str">
        <f t="shared" si="28"/>
        <v>29-30 Apr</v>
      </c>
      <c r="AN277" s="94">
        <f>IFERROR($M277+VLOOKUP($L277,'Voyage days'!$F$203:$H$256,3,FALSE),"")</f>
        <v>46141</v>
      </c>
      <c r="AO277" s="94">
        <f>IFERROR($N277+VLOOKUP($L277,'Voyage days'!$F$203:$H$256,3,FALSE),"")</f>
        <v>46142</v>
      </c>
      <c r="AP277" s="93" t="str">
        <f t="shared" si="29"/>
        <v/>
      </c>
      <c r="AQ277" s="94" t="str">
        <f>IFERROR($M277+VLOOKUP($L277,'Voyage days'!$F$294:$H$377,3,FALSE),"")</f>
        <v/>
      </c>
      <c r="AR277" s="94" t="str">
        <f>IFERROR($N277+VLOOKUP($L277,'Voyage days'!$F$294:$H$377,3,FALSE),"")</f>
        <v/>
      </c>
      <c r="AS277" s="93" t="str">
        <f t="shared" si="30"/>
        <v>19-20 May</v>
      </c>
      <c r="AT277" s="94">
        <f>IFERROR($M277+VLOOKUP($L277,'Voyage days'!$F$382:$H$446,3,FALSE),"")</f>
        <v>46161</v>
      </c>
      <c r="AU277" s="94">
        <f>IFERROR($N277+VLOOKUP($L277,'Voyage days'!$F$382:$H$446,3,FALSE),"")</f>
        <v>46162</v>
      </c>
      <c r="AV277" s="93" t="str">
        <f t="shared" si="31"/>
        <v/>
      </c>
      <c r="AW277" s="94" t="str">
        <f>IFERROR($M277+VLOOKUP($L277,'Voyage days'!$F$483:$H$538,3,FALSE),"")</f>
        <v/>
      </c>
      <c r="AX277" s="94" t="str">
        <f>IFERROR($N277+VLOOKUP($L277,'Voyage days'!$F$483:$H$538,3,FALSE),"")</f>
        <v/>
      </c>
      <c r="AY277" s="93" t="str">
        <f t="shared" si="32"/>
        <v/>
      </c>
      <c r="AZ277" s="94" t="str">
        <f>IFERROR($M277+VLOOKUP($L277,'Voyage days'!$F$540:$H$613,3,FALSE),"")</f>
        <v/>
      </c>
      <c r="BA277" s="94" t="str">
        <f>IFERROR($N277+VLOOKUP($L277,'Voyage days'!$F$540:$H$613,3,FALSE),"")</f>
        <v/>
      </c>
      <c r="BB277" s="93" t="str">
        <f t="shared" si="33"/>
        <v/>
      </c>
      <c r="BC277" s="94" t="str">
        <f>IFERROR($M277+VLOOKUP($L277,'Voyage days'!$F$448:$H$479,3,FALSE),"")</f>
        <v/>
      </c>
      <c r="BD277" s="94" t="str">
        <f>IFERROR($N277+VLOOKUP($L277,'Voyage days'!$F$448:$H$479,3,FALSE),"")</f>
        <v/>
      </c>
      <c r="BE277" s="93" t="str">
        <f t="shared" si="34"/>
        <v/>
      </c>
      <c r="BF277" s="95" t="str">
        <f>IFERROR($M277+VLOOKUP($L277,'Voyage days'!$F$620:$H$646,3,FALSE),"")</f>
        <v/>
      </c>
      <c r="BG277" s="95" t="str">
        <f>IFERROR($N277+VLOOKUP($L277,'Voyage days'!$F$620:$H$646,3,FALSE),"")</f>
        <v/>
      </c>
      <c r="BH277" s="93" t="str">
        <f t="shared" si="35"/>
        <v/>
      </c>
      <c r="BI277" s="96" t="str">
        <f>IFERROR($M277+VLOOKUP($L277,'Voyage days'!$F$702:$H$727,3,FALSE),"")</f>
        <v/>
      </c>
      <c r="BJ277" s="93" t="str">
        <f t="shared" si="36"/>
        <v/>
      </c>
      <c r="BK277" s="95" t="str">
        <f>IFERROR($M277+VLOOKUP($L277,'Voyage days'!$F$807:$H$878,3,FALSE),"")</f>
        <v/>
      </c>
      <c r="BL277" s="95" t="str">
        <f>IFERROR($N277+VLOOKUP($L277,'Voyage days'!$F$807:$H$878,3,FALSE),"")</f>
        <v/>
      </c>
      <c r="BM277" s="95" t="str">
        <f>IFERROR($N277+VLOOKUP($L277,'Voyage days'!$F$807:$K$878,6,FALSE),"")</f>
        <v/>
      </c>
      <c r="BN277" s="94" t="str">
        <f>IF(L277="loads AG", IFERROR($M277+VLOOKUP($L277,'Voyage days'!$M$38:$O$38,3,FALSE),""),"")</f>
        <v/>
      </c>
      <c r="BO277" s="94">
        <f>IF(L277="loads USG", IFERROR($M277+VLOOKUP($L277,'Voyage days'!$L$203:$N$203,3,FALSE),""),"")</f>
        <v>46173</v>
      </c>
    </row>
    <row r="278" spans="1:68" ht="14.25" customHeight="1" x14ac:dyDescent="0.25">
      <c r="A278" s="518" t="s">
        <v>1387</v>
      </c>
      <c r="B278" s="75">
        <v>42489</v>
      </c>
      <c r="C278" s="76">
        <v>84114</v>
      </c>
      <c r="D278" s="77"/>
      <c r="E278" s="77"/>
      <c r="F278" s="78"/>
      <c r="G278" s="78"/>
      <c r="H278" s="78" t="s">
        <v>713</v>
      </c>
      <c r="I278" s="233" t="s">
        <v>1377</v>
      </c>
      <c r="J278" s="80" t="str">
        <f t="shared" si="48"/>
        <v>NO AIS</v>
      </c>
      <c r="K278" s="81"/>
      <c r="L278" s="82" t="s">
        <v>710</v>
      </c>
      <c r="M278" s="83">
        <v>46150</v>
      </c>
      <c r="N278" s="83">
        <v>46152</v>
      </c>
      <c r="O278" s="84"/>
      <c r="P278" s="82" t="s">
        <v>1388</v>
      </c>
      <c r="Q278" s="82"/>
      <c r="R278" s="82" t="s">
        <v>1389</v>
      </c>
      <c r="S278" s="120" t="s">
        <v>33</v>
      </c>
      <c r="T278" s="232">
        <v>46131</v>
      </c>
      <c r="U278" s="87" t="str">
        <f>IF(V278="","No AIS",VLOOKUP(V278,'Voyage days'!$A$3:$B$1480,2,FALSE))</f>
        <v>No AIS</v>
      </c>
      <c r="V278" s="88" t="str">
        <f>IF(VLOOKUP(A278,'1) Kpler'!$E$2:$P$1000,8, FALSE)="","",VLOOKUP(A278,'1) Kpler'!$E$2:$P$1000,8, FALSE))</f>
        <v/>
      </c>
      <c r="W278" s="89" t="str">
        <f>IF(VLOOKUP(A278,'1) Kpler'!$E$2:$P$1000,9,FALSE)="","",VLOOKUP(A278,'1) Kpler'!$E$2:$P$1000,9,FALSE))</f>
        <v/>
      </c>
      <c r="X278" s="88" t="str">
        <f>VLOOKUP(A278,'1) Kpler'!$E$2:$I$1000,4,FALSE)</f>
        <v>ballast</v>
      </c>
      <c r="Y278" s="63" t="str">
        <f t="shared" si="49"/>
        <v>25-27 May</v>
      </c>
      <c r="Z278" s="63" t="str">
        <f t="shared" si="50"/>
        <v>09-11 Jun</v>
      </c>
      <c r="AA278" s="63" t="str">
        <f t="shared" si="51"/>
        <v>21-23 Jun</v>
      </c>
      <c r="AB278" s="63" t="str">
        <f t="shared" si="52"/>
        <v>05-07 Jun</v>
      </c>
      <c r="AC278" s="63" t="str">
        <f t="shared" si="53"/>
        <v>12-14 Jun</v>
      </c>
      <c r="AD278" s="63" t="str">
        <f t="shared" si="54"/>
        <v>14-16 May</v>
      </c>
      <c r="AE278" s="129" t="str">
        <f t="shared" si="55"/>
        <v>15-17 May</v>
      </c>
      <c r="AF278" s="130" t="str">
        <f t="shared" si="56"/>
        <v>21-23 Jun</v>
      </c>
      <c r="AG278" s="93" t="str">
        <f t="shared" si="57"/>
        <v>25-27 May</v>
      </c>
      <c r="AH278" s="94">
        <f>IFERROR($M278+VLOOKUP($L278,'Voyage days'!$F$38:$H$89,3,FALSE),"")</f>
        <v>46167</v>
      </c>
      <c r="AI278" s="94">
        <f>IFERROR(N278+VLOOKUP($L278,'Voyage days'!$F$38:$H$89,3,FALSE),"")</f>
        <v>46169</v>
      </c>
      <c r="AJ278" s="93" t="str">
        <f t="shared" si="27"/>
        <v>09-11 Jun</v>
      </c>
      <c r="AK278" s="94">
        <f>IFERROR($M278+VLOOKUP($L278,'Voyage days'!$F$94:$H$193,3,FALSE),"")</f>
        <v>46182</v>
      </c>
      <c r="AL278" s="94">
        <f>IFERROR($N278+VLOOKUP($L278,'Voyage days'!$F$94:$H$193,3,FALSE),"")</f>
        <v>46184</v>
      </c>
      <c r="AM278" s="93" t="str">
        <f t="shared" si="28"/>
        <v>21-23 Jun</v>
      </c>
      <c r="AN278" s="94">
        <f>IFERROR($M278+VLOOKUP($L278,'Voyage days'!$F$203:$H$256,3,FALSE),"")</f>
        <v>46194</v>
      </c>
      <c r="AO278" s="94">
        <f>IFERROR($N278+VLOOKUP($L278,'Voyage days'!$F$203:$H$256,3,FALSE),"")</f>
        <v>46196</v>
      </c>
      <c r="AP278" s="93" t="str">
        <f t="shared" si="29"/>
        <v>05-07 Jun</v>
      </c>
      <c r="AQ278" s="94">
        <f>IFERROR($M278+VLOOKUP($L278,'Voyage days'!$F$294:$H$377,3,FALSE),"")</f>
        <v>46178</v>
      </c>
      <c r="AR278" s="94">
        <f>IFERROR($N278+VLOOKUP($L278,'Voyage days'!$F$294:$H$377,3,FALSE),"")</f>
        <v>46180</v>
      </c>
      <c r="AS278" s="93" t="str">
        <f t="shared" si="30"/>
        <v>12-14 Jun</v>
      </c>
      <c r="AT278" s="94">
        <f>IFERROR($M278+VLOOKUP($L278,'Voyage days'!$F$382:$H$446,3,FALSE),"")</f>
        <v>46185</v>
      </c>
      <c r="AU278" s="94">
        <f>IFERROR($N278+VLOOKUP($L278,'Voyage days'!$F$382:$H$446,3,FALSE),"")</f>
        <v>46187</v>
      </c>
      <c r="AV278" s="93" t="str">
        <f t="shared" si="31"/>
        <v>22-24 May</v>
      </c>
      <c r="AW278" s="94">
        <f>IFERROR($M278+VLOOKUP($L278,'Voyage days'!$F$483:$H$538,3,FALSE),"")</f>
        <v>46164</v>
      </c>
      <c r="AX278" s="94">
        <f>IFERROR($N278+VLOOKUP($L278,'Voyage days'!$F$483:$H$538,3,FALSE),"")</f>
        <v>46166</v>
      </c>
      <c r="AY278" s="93" t="str">
        <f t="shared" si="32"/>
        <v>15-17 May</v>
      </c>
      <c r="AZ278" s="94">
        <f>IFERROR($M278+VLOOKUP($L278,'Voyage days'!$F$540:$H$613,3,FALSE),"")</f>
        <v>46157.25</v>
      </c>
      <c r="BA278" s="94">
        <f>IFERROR($N278+VLOOKUP($L278,'Voyage days'!$F$540:$H$613,3,FALSE),"")</f>
        <v>46159.25</v>
      </c>
      <c r="BB278" s="93" t="str">
        <f t="shared" si="33"/>
        <v>14-16 May</v>
      </c>
      <c r="BC278" s="94">
        <f>IFERROR($M278+VLOOKUP($L278,'Voyage days'!$F$448:$H$479,3,FALSE),"")</f>
        <v>46156</v>
      </c>
      <c r="BD278" s="94">
        <f>IFERROR($N278+VLOOKUP($L278,'Voyage days'!$F$448:$H$479,3,FALSE),"")</f>
        <v>46158</v>
      </c>
      <c r="BE278" s="93" t="str">
        <f t="shared" si="34"/>
        <v>21-23 May</v>
      </c>
      <c r="BF278" s="95">
        <f>IFERROR($M278+VLOOKUP($L278,'Voyage days'!$F$620:$H$646,3,FALSE),"")</f>
        <v>46163</v>
      </c>
      <c r="BG278" s="95">
        <f>IFERROR($N278+VLOOKUP($L278,'Voyage days'!$F$620:$H$646,3,FALSE),"")</f>
        <v>46165</v>
      </c>
      <c r="BH278" s="93" t="str">
        <f t="shared" si="35"/>
        <v>15-23 Jun</v>
      </c>
      <c r="BI278" s="96">
        <f>IFERROR($M278+VLOOKUP($L278,'Voyage days'!$F$702:$H$727,3,FALSE),"")</f>
        <v>46157.25</v>
      </c>
      <c r="BJ278" s="93" t="str">
        <f t="shared" si="36"/>
        <v>21-23 Jun</v>
      </c>
      <c r="BK278" s="95">
        <f>IFERROR($M278+VLOOKUP($L278,'Voyage days'!$F$807:$H$878,3,FALSE),"")</f>
        <v>46194</v>
      </c>
      <c r="BL278" s="95">
        <f>IFERROR($N278+VLOOKUP($L278,'Voyage days'!$F$807:$H$878,3,FALSE),"")</f>
        <v>46196</v>
      </c>
      <c r="BM278" s="95">
        <f>IFERROR($N278+VLOOKUP($L278,'Voyage days'!$F$807:$K$878,6,FALSE),"")</f>
        <v>46170</v>
      </c>
      <c r="BN278" s="94" t="str">
        <f>IF(L278="loads AG", IFERROR($M278+VLOOKUP($L278,'Voyage days'!$M$38:$O$38,3,FALSE),""),"")</f>
        <v/>
      </c>
      <c r="BO278" s="94" t="str">
        <f>IF(L278="loads USG", IFERROR($M278+VLOOKUP($L278,'Voyage days'!$L$203:$N$203,3,FALSE),""),"")</f>
        <v/>
      </c>
    </row>
    <row r="279" spans="1:68" ht="15.75" customHeight="1" x14ac:dyDescent="0.25">
      <c r="A279" s="266" t="s">
        <v>1390</v>
      </c>
      <c r="B279" s="75">
        <v>42103</v>
      </c>
      <c r="C279" s="76">
        <v>83000</v>
      </c>
      <c r="D279" s="77"/>
      <c r="E279" s="77"/>
      <c r="F279" s="78"/>
      <c r="G279" s="78"/>
      <c r="H279" s="78" t="s">
        <v>739</v>
      </c>
      <c r="I279" s="233" t="s">
        <v>1377</v>
      </c>
      <c r="J279" s="80" t="str">
        <f t="shared" si="48"/>
        <v/>
      </c>
      <c r="K279" s="81" t="s">
        <v>817</v>
      </c>
      <c r="L279" s="82" t="s">
        <v>734</v>
      </c>
      <c r="M279" s="83">
        <v>46143</v>
      </c>
      <c r="N279" s="83">
        <v>46144</v>
      </c>
      <c r="O279" s="84"/>
      <c r="P279" s="82" t="s">
        <v>1391</v>
      </c>
      <c r="Q279" s="82"/>
      <c r="R279" s="82" t="s">
        <v>1392</v>
      </c>
      <c r="S279" s="120" t="s">
        <v>33</v>
      </c>
      <c r="T279" s="86">
        <v>46131</v>
      </c>
      <c r="U279" s="87" t="str">
        <f>IF(V279="","No AIS",VLOOKUP(V279,'Voyage days'!$A$3:$B$1480,2,FALSE))</f>
        <v>Indo + 4 (STS)</v>
      </c>
      <c r="V279" s="88" t="str">
        <f>IF(VLOOKUP(A279,'1) Kpler'!$E$2:$P$1000,8, FALSE)="","",VLOOKUP(A279,'1) Kpler'!$E$2:$P$1000,8, FALSE))</f>
        <v>Kalbut</v>
      </c>
      <c r="W279" s="89">
        <f>IF(VLOOKUP(A279,'1) Kpler'!$E$2:$P$1000,9,FALSE)="","",VLOOKUP(A279,'1) Kpler'!$E$2:$P$1000,9,FALSE))</f>
        <v>46139.875</v>
      </c>
      <c r="X279" s="88" t="str">
        <f>VLOOKUP(A279,'1) Kpler'!$E$2:$I$1000,4,FALSE)</f>
        <v>loaded</v>
      </c>
      <c r="Y279" s="234" t="str">
        <f t="shared" si="49"/>
        <v>12-13 May</v>
      </c>
      <c r="Z279" s="234" t="str">
        <f t="shared" si="50"/>
        <v>08-09 Jun</v>
      </c>
      <c r="AA279" s="234" t="str">
        <f t="shared" si="51"/>
        <v>07-08 Jun</v>
      </c>
      <c r="AB279" s="234" t="str">
        <f t="shared" si="52"/>
        <v>21-22 May</v>
      </c>
      <c r="AC279" s="234" t="str">
        <f t="shared" si="53"/>
        <v>30-31 May</v>
      </c>
      <c r="AD279" s="234" t="str">
        <f t="shared" si="54"/>
        <v>04-05 May</v>
      </c>
      <c r="AE279" s="235" t="str">
        <f t="shared" si="55"/>
        <v>05-06 May</v>
      </c>
      <c r="AF279" s="92" t="str">
        <f t="shared" si="56"/>
        <v>07-08 Jun</v>
      </c>
      <c r="AG279" s="93" t="str">
        <f t="shared" si="57"/>
        <v>12-13 May</v>
      </c>
      <c r="AH279" s="94">
        <f>IFERROR($M279+VLOOKUP($L279,'Voyage days'!$F$38:$H$89,3,FALSE),"")</f>
        <v>46154</v>
      </c>
      <c r="AI279" s="94">
        <f>IFERROR(N279+VLOOKUP($L279,'Voyage days'!$F$38:$H$89,3,FALSE),"")</f>
        <v>46155</v>
      </c>
      <c r="AJ279" s="93" t="str">
        <f t="shared" si="27"/>
        <v>08-09 Jun</v>
      </c>
      <c r="AK279" s="94">
        <f>IFERROR($M279+VLOOKUP($L279,'Voyage days'!$F$94:$H$193,3,FALSE),"")</f>
        <v>46181</v>
      </c>
      <c r="AL279" s="94">
        <f>IFERROR($N279+VLOOKUP($L279,'Voyage days'!$F$94:$H$193,3,FALSE),"")</f>
        <v>46182</v>
      </c>
      <c r="AM279" s="93" t="str">
        <f t="shared" si="28"/>
        <v>07-08 Jun</v>
      </c>
      <c r="AN279" s="94">
        <f>IFERROR($M279+VLOOKUP($L279,'Voyage days'!$F$203:$H$256,3,FALSE),"")</f>
        <v>46180</v>
      </c>
      <c r="AO279" s="94">
        <f>IFERROR($N279+VLOOKUP($L279,'Voyage days'!$F$203:$H$256,3,FALSE),"")</f>
        <v>46181</v>
      </c>
      <c r="AP279" s="93" t="str">
        <f t="shared" si="29"/>
        <v>21-22 May</v>
      </c>
      <c r="AQ279" s="94">
        <f>IFERROR($M279+VLOOKUP($L279,'Voyage days'!$F$294:$H$377,3,FALSE),"")</f>
        <v>46163</v>
      </c>
      <c r="AR279" s="94">
        <f>IFERROR($N279+VLOOKUP($L279,'Voyage days'!$F$294:$H$377,3,FALSE),"")</f>
        <v>46164</v>
      </c>
      <c r="AS279" s="93" t="str">
        <f t="shared" si="30"/>
        <v>30-31 May</v>
      </c>
      <c r="AT279" s="94">
        <f>IFERROR($M279+VLOOKUP($L279,'Voyage days'!$F$382:$H$446,3,FALSE),"")</f>
        <v>46172</v>
      </c>
      <c r="AU279" s="94">
        <f>IFERROR($N279+VLOOKUP($L279,'Voyage days'!$F$382:$H$446,3,FALSE),"")</f>
        <v>46173</v>
      </c>
      <c r="AV279" s="93" t="str">
        <f t="shared" si="31"/>
        <v>10-11 May</v>
      </c>
      <c r="AW279" s="94">
        <f>IFERROR($M279+VLOOKUP($L279,'Voyage days'!$F$483:$H$538,3,FALSE),"")</f>
        <v>46152</v>
      </c>
      <c r="AX279" s="94">
        <f>IFERROR($N279+VLOOKUP($L279,'Voyage days'!$F$483:$H$538,3,FALSE),"")</f>
        <v>46153</v>
      </c>
      <c r="AY279" s="93" t="str">
        <f t="shared" si="32"/>
        <v>05-06 May</v>
      </c>
      <c r="AZ279" s="94">
        <f>IFERROR($M279+VLOOKUP($L279,'Voyage days'!$F$540:$H$613,3,FALSE),"")</f>
        <v>46147</v>
      </c>
      <c r="BA279" s="94">
        <f>IFERROR($N279+VLOOKUP($L279,'Voyage days'!$F$540:$H$613,3,FALSE),"")</f>
        <v>46148</v>
      </c>
      <c r="BB279" s="93" t="str">
        <f t="shared" si="33"/>
        <v>04-05 May</v>
      </c>
      <c r="BC279" s="94">
        <f>IFERROR($M279+VLOOKUP($L279,'Voyage days'!$F$448:$H$479,3,FALSE),"")</f>
        <v>46146</v>
      </c>
      <c r="BD279" s="94">
        <f>IFERROR($N279+VLOOKUP($L279,'Voyage days'!$F$448:$H$479,3,FALSE),"")</f>
        <v>46147</v>
      </c>
      <c r="BE279" s="93" t="str">
        <f t="shared" si="34"/>
        <v/>
      </c>
      <c r="BF279" s="95" t="str">
        <f>IFERROR($M279+VLOOKUP($L279,'Voyage days'!$F$620:$H$646,3,FALSE),"")</f>
        <v/>
      </c>
      <c r="BG279" s="95" t="str">
        <f>IFERROR($N279+VLOOKUP($L279,'Voyage days'!$F$620:$H$646,3,FALSE),"")</f>
        <v/>
      </c>
      <c r="BH279" s="93" t="str">
        <f t="shared" si="35"/>
        <v>09-08 Jun</v>
      </c>
      <c r="BI279" s="96">
        <f>IFERROR($M279+VLOOKUP($L279,'Voyage days'!$F$702:$H$727,3,FALSE),"")</f>
        <v>46151</v>
      </c>
      <c r="BJ279" s="93" t="str">
        <f t="shared" si="36"/>
        <v>07-08 Jun</v>
      </c>
      <c r="BK279" s="95">
        <f>IFERROR($M279+VLOOKUP($L279,'Voyage days'!$F$807:$H$878,3,FALSE),"")</f>
        <v>46180</v>
      </c>
      <c r="BL279" s="95">
        <f>IFERROR($N279+VLOOKUP($L279,'Voyage days'!$F$807:$H$878,3,FALSE),"")</f>
        <v>46181</v>
      </c>
      <c r="BM279" s="95">
        <f>IFERROR($N279+VLOOKUP($L279,'Voyage days'!$F$807:$K$878,6,FALSE),"")</f>
        <v>46157</v>
      </c>
      <c r="BN279" s="94" t="str">
        <f>IF(L279="loads AG", IFERROR($M279+VLOOKUP($L279,'Voyage days'!$M$38:$O$38,3,FALSE),""),"")</f>
        <v/>
      </c>
      <c r="BO279" s="94" t="str">
        <f>IF(L279="loads USG", IFERROR($M279+VLOOKUP($L279,'Voyage days'!$L$203:$N$203,3,FALSE),""),"")</f>
        <v/>
      </c>
    </row>
    <row r="280" spans="1:68" ht="15.75" customHeight="1" x14ac:dyDescent="0.25">
      <c r="A280" s="514" t="s">
        <v>1393</v>
      </c>
      <c r="B280" s="119">
        <v>2022</v>
      </c>
      <c r="C280" s="76">
        <v>91000</v>
      </c>
      <c r="D280" s="77"/>
      <c r="E280" s="77" t="s">
        <v>757</v>
      </c>
      <c r="F280" s="78"/>
      <c r="G280" s="78" t="s">
        <v>1353</v>
      </c>
      <c r="H280" s="78" t="s">
        <v>713</v>
      </c>
      <c r="I280" s="233" t="s">
        <v>1377</v>
      </c>
      <c r="J280" s="80" t="str">
        <f t="shared" si="48"/>
        <v/>
      </c>
      <c r="K280" s="81"/>
      <c r="L280" s="82" t="s">
        <v>704</v>
      </c>
      <c r="M280" s="83">
        <v>46169</v>
      </c>
      <c r="N280" s="83">
        <v>46172</v>
      </c>
      <c r="O280" s="84"/>
      <c r="P280" s="82" t="s">
        <v>1394</v>
      </c>
      <c r="Q280" s="82"/>
      <c r="R280" s="304" t="s">
        <v>1395</v>
      </c>
      <c r="S280" s="120" t="s">
        <v>33</v>
      </c>
      <c r="T280" s="86">
        <v>46131</v>
      </c>
      <c r="U280" s="87" t="str">
        <f>IF(V280="","No AIS",VLOOKUP(V280,'Voyage days'!$A$3:$B$1480,2,FALSE))</f>
        <v>+14 days open Far East</v>
      </c>
      <c r="V280" s="88" t="str">
        <f>IF(VLOOKUP(A280,'1) Kpler'!$E$2:$P$1000,8, FALSE)="","",VLOOKUP(A280,'1) Kpler'!$E$2:$P$1000,8, FALSE))</f>
        <v>Ferndale</v>
      </c>
      <c r="W280" s="89">
        <f>IF(VLOOKUP(A280,'1) Kpler'!$E$2:$P$1000,9,FALSE)="","",VLOOKUP(A280,'1) Kpler'!$E$2:$P$1000,9,FALSE))</f>
        <v>46148.25</v>
      </c>
      <c r="X280" s="88" t="str">
        <f>VLOOKUP(A280,'1) Kpler'!$E$2:$I$1000,4,FALSE)</f>
        <v>ballast</v>
      </c>
      <c r="Y280" s="63" t="str">
        <f t="shared" si="49"/>
        <v>14-17 Jun</v>
      </c>
      <c r="Z280" s="63" t="str">
        <f t="shared" si="50"/>
        <v>26-29 Jun</v>
      </c>
      <c r="AA280" s="63" t="str">
        <f t="shared" si="51"/>
        <v>04-07 Jul</v>
      </c>
      <c r="AB280" s="63" t="str">
        <f t="shared" si="52"/>
        <v>26-29 Jun</v>
      </c>
      <c r="AC280" s="63" t="str">
        <f t="shared" si="53"/>
        <v>02-05 Jul</v>
      </c>
      <c r="AD280" s="63" t="str">
        <f t="shared" si="54"/>
        <v>04-07 Jun</v>
      </c>
      <c r="AE280" s="129" t="str">
        <f t="shared" si="55"/>
        <v>04-07 Jun</v>
      </c>
      <c r="AF280" s="130" t="str">
        <f t="shared" si="56"/>
        <v>12-15 Jul</v>
      </c>
      <c r="AG280" s="93" t="str">
        <f t="shared" si="57"/>
        <v>14-17 Jun</v>
      </c>
      <c r="AH280" s="94">
        <f>IFERROR($M280+VLOOKUP($L280,'Voyage days'!$F$38:$H$89,3,FALSE),"")</f>
        <v>46187</v>
      </c>
      <c r="AI280" s="94">
        <f>IFERROR(N280+VLOOKUP($L280,'Voyage days'!$F$38:$H$89,3,FALSE),"")</f>
        <v>46190</v>
      </c>
      <c r="AJ280" s="93" t="str">
        <f t="shared" si="27"/>
        <v>26-29 Jun</v>
      </c>
      <c r="AK280" s="94">
        <f>IFERROR($M280+VLOOKUP($L280,'Voyage days'!$F$94:$H$193,3,FALSE),"")</f>
        <v>46199</v>
      </c>
      <c r="AL280" s="94">
        <f>IFERROR($N280+VLOOKUP($L280,'Voyage days'!$F$94:$H$193,3,FALSE),"")</f>
        <v>46202</v>
      </c>
      <c r="AM280" s="93" t="str">
        <f t="shared" si="28"/>
        <v>04-07 Jul</v>
      </c>
      <c r="AN280" s="94">
        <f>IFERROR($M280+VLOOKUP($L280,'Voyage days'!$F$203:$H$256,3,FALSE),"")</f>
        <v>46207</v>
      </c>
      <c r="AO280" s="94">
        <f>IFERROR($N280+VLOOKUP($L280,'Voyage days'!$F$203:$H$256,3,FALSE),"")</f>
        <v>46210</v>
      </c>
      <c r="AP280" s="93" t="str">
        <f t="shared" si="29"/>
        <v>26-29 Jun</v>
      </c>
      <c r="AQ280" s="94">
        <f>IFERROR($M280+VLOOKUP($L280,'Voyage days'!$F$294:$H$377,3,FALSE),"")</f>
        <v>46199</v>
      </c>
      <c r="AR280" s="94">
        <f>IFERROR($N280+VLOOKUP($L280,'Voyage days'!$F$294:$H$377,3,FALSE),"")</f>
        <v>46202</v>
      </c>
      <c r="AS280" s="93" t="str">
        <f t="shared" si="30"/>
        <v>02-05 Jul</v>
      </c>
      <c r="AT280" s="94">
        <f>IFERROR($M280+VLOOKUP($L280,'Voyage days'!$F$382:$H$446,3,FALSE),"")</f>
        <v>46205</v>
      </c>
      <c r="AU280" s="94">
        <f>IFERROR($N280+VLOOKUP($L280,'Voyage days'!$F$382:$H$446,3,FALSE),"")</f>
        <v>46208</v>
      </c>
      <c r="AV280" s="93" t="str">
        <f t="shared" si="31"/>
        <v>09-12 Jun</v>
      </c>
      <c r="AW280" s="94">
        <f>IFERROR($M280+VLOOKUP($L280,'Voyage days'!$F$483:$H$538,3,FALSE),"")</f>
        <v>46182</v>
      </c>
      <c r="AX280" s="94">
        <f>IFERROR($N280+VLOOKUP($L280,'Voyage days'!$F$483:$H$538,3,FALSE),"")</f>
        <v>46185</v>
      </c>
      <c r="AY280" s="93" t="str">
        <f t="shared" si="32"/>
        <v>04-07 Jun</v>
      </c>
      <c r="AZ280" s="94">
        <f>IFERROR($M280+VLOOKUP($L280,'Voyage days'!$F$540:$H$613,3,FALSE),"")</f>
        <v>46177.25</v>
      </c>
      <c r="BA280" s="94">
        <f>IFERROR($N280+VLOOKUP($L280,'Voyage days'!$F$540:$H$613,3,FALSE),"")</f>
        <v>46180.25</v>
      </c>
      <c r="BB280" s="93" t="str">
        <f t="shared" si="33"/>
        <v>04-07 Jun</v>
      </c>
      <c r="BC280" s="94">
        <f>IFERROR($M280+VLOOKUP($L280,'Voyage days'!$F$448:$H$479,3,FALSE),"")</f>
        <v>46177</v>
      </c>
      <c r="BD280" s="94">
        <f>IFERROR($N280+VLOOKUP($L280,'Voyage days'!$F$448:$H$479,3,FALSE),"")</f>
        <v>46180</v>
      </c>
      <c r="BE280" s="93" t="str">
        <f t="shared" si="34"/>
        <v>07-10 Jun</v>
      </c>
      <c r="BF280" s="95">
        <f>IFERROR($M280+VLOOKUP($L280,'Voyage days'!$F$620:$H$646,3,FALSE),"")</f>
        <v>46180</v>
      </c>
      <c r="BG280" s="95">
        <f>IFERROR($N280+VLOOKUP($L280,'Voyage days'!$F$620:$H$646,3,FALSE),"")</f>
        <v>46183</v>
      </c>
      <c r="BH280" s="93" t="str">
        <f t="shared" si="35"/>
        <v>04-15 Jul</v>
      </c>
      <c r="BI280" s="96">
        <f>IFERROR($M280+VLOOKUP($L280,'Voyage days'!$F$702:$H$727,3,FALSE),"")</f>
        <v>46177.25</v>
      </c>
      <c r="BJ280" s="93" t="str">
        <f t="shared" si="36"/>
        <v>12-15 Jul</v>
      </c>
      <c r="BK280" s="95">
        <f>IFERROR($M280+VLOOKUP($L280,'Voyage days'!$F$807:$H$878,3,FALSE),"")</f>
        <v>46215</v>
      </c>
      <c r="BL280" s="95">
        <f>IFERROR($N280+VLOOKUP($L280,'Voyage days'!$F$807:$H$878,3,FALSE),"")</f>
        <v>46218</v>
      </c>
      <c r="BM280" s="95">
        <f>IFERROR($N280+VLOOKUP($L280,'Voyage days'!$F$807:$K$878,6,FALSE),"")</f>
        <v>46192</v>
      </c>
      <c r="BN280" s="94" t="str">
        <f>IF(L280="loads AG", IFERROR($M280+VLOOKUP($L280,'Voyage days'!$M$38:$O$38,3,FALSE),""),"")</f>
        <v/>
      </c>
      <c r="BO280" s="94" t="str">
        <f>IF(L280="loads USG", IFERROR($M280+VLOOKUP($L280,'Voyage days'!$L$203:$N$203,3,FALSE),""),"")</f>
        <v/>
      </c>
    </row>
    <row r="281" spans="1:68" ht="15.75" customHeight="1" x14ac:dyDescent="0.25">
      <c r="A281" s="266" t="s">
        <v>1396</v>
      </c>
      <c r="B281" s="119">
        <v>2007</v>
      </c>
      <c r="C281" s="76">
        <v>82000</v>
      </c>
      <c r="D281" s="77"/>
      <c r="E281" s="77"/>
      <c r="F281" s="78"/>
      <c r="G281" s="78"/>
      <c r="H281" s="78"/>
      <c r="I281" s="233" t="s">
        <v>1377</v>
      </c>
      <c r="J281" s="80"/>
      <c r="K281" s="81"/>
      <c r="L281" s="82" t="s">
        <v>863</v>
      </c>
      <c r="M281" s="83">
        <v>46135</v>
      </c>
      <c r="N281" s="83">
        <v>46136</v>
      </c>
      <c r="O281" s="84" t="s">
        <v>1367</v>
      </c>
      <c r="P281" s="85" t="s">
        <v>1397</v>
      </c>
      <c r="Q281" s="82"/>
      <c r="R281" s="304" t="s">
        <v>1398</v>
      </c>
      <c r="S281" s="120" t="s">
        <v>33</v>
      </c>
      <c r="T281" s="86">
        <v>46131</v>
      </c>
      <c r="U281" s="87" t="str">
        <f>IF(V281="","No AIS",VLOOKUP(V281,'Voyage days'!$A$3:$B$1480,2,FALSE))</f>
        <v>No AIS</v>
      </c>
      <c r="V281" s="88" t="str">
        <f>IF(VLOOKUP(A281,'1) Kpler'!$E$2:$P$1000,8, FALSE)="","",VLOOKUP(A281,'1) Kpler'!$E$2:$P$1000,8, FALSE))</f>
        <v/>
      </c>
      <c r="W281" s="89" t="str">
        <f>IF(VLOOKUP(A281,'1) Kpler'!$E$2:$P$1000,9,FALSE)="","",VLOOKUP(A281,'1) Kpler'!$E$2:$P$1000,9,FALSE))</f>
        <v/>
      </c>
      <c r="X281" s="88" t="str">
        <f>VLOOKUP(A281,'1) Kpler'!$E$2:$I$1000,4,FALSE)</f>
        <v>ballast</v>
      </c>
      <c r="Y281" s="63" t="str">
        <f t="shared" si="49"/>
        <v>02-03 May</v>
      </c>
      <c r="Z281" s="63" t="str">
        <f t="shared" si="50"/>
        <v/>
      </c>
      <c r="AA281" s="63" t="str">
        <f t="shared" si="51"/>
        <v>29-30 May</v>
      </c>
      <c r="AB281" s="63" t="str">
        <f t="shared" si="52"/>
        <v>14-15 May</v>
      </c>
      <c r="AC281" s="63" t="str">
        <f t="shared" si="53"/>
        <v>21-22 May</v>
      </c>
      <c r="AD281" s="63" t="str">
        <f t="shared" si="54"/>
        <v>28-29 Apr</v>
      </c>
      <c r="AE281" s="129" t="str">
        <f t="shared" si="55"/>
        <v/>
      </c>
      <c r="AF281" s="130" t="str">
        <f t="shared" si="56"/>
        <v>31-01 Jun</v>
      </c>
      <c r="AG281" s="93" t="str">
        <f t="shared" si="57"/>
        <v>02-03 May</v>
      </c>
      <c r="AH281" s="94">
        <f>IFERROR($M281+VLOOKUP($L281,'Voyage days'!$F$38:$H$89,3,FALSE),"")</f>
        <v>46144</v>
      </c>
      <c r="AI281" s="94">
        <f>IFERROR(N281+VLOOKUP($L281,'Voyage days'!$F$38:$H$89,3,FALSE),"")</f>
        <v>46145</v>
      </c>
      <c r="AJ281" s="93" t="str">
        <f t="shared" si="27"/>
        <v/>
      </c>
      <c r="AK281" s="94" t="str">
        <f>IFERROR($M281+VLOOKUP($L281,'Voyage days'!$F$94:$H$193,3,FALSE),"")</f>
        <v/>
      </c>
      <c r="AL281" s="94" t="str">
        <f>IFERROR($N281+VLOOKUP($L281,'Voyage days'!$F$94:$H$193,3,FALSE),"")</f>
        <v/>
      </c>
      <c r="AM281" s="93" t="str">
        <f t="shared" si="28"/>
        <v>29-30 May</v>
      </c>
      <c r="AN281" s="94">
        <f>IFERROR($M281+VLOOKUP($L281,'Voyage days'!$F$203:$H$256,3,FALSE),"")</f>
        <v>46171</v>
      </c>
      <c r="AO281" s="94">
        <f>IFERROR($N281+VLOOKUP($L281,'Voyage days'!$F$203:$H$256,3,FALSE),"")</f>
        <v>46172</v>
      </c>
      <c r="AP281" s="93" t="str">
        <f t="shared" si="29"/>
        <v>14-15 May</v>
      </c>
      <c r="AQ281" s="94">
        <f>IFERROR($M281+VLOOKUP($L281,'Voyage days'!$F$294:$H$377,3,FALSE),"")</f>
        <v>46156</v>
      </c>
      <c r="AR281" s="94">
        <f>IFERROR($N281+VLOOKUP($L281,'Voyage days'!$F$294:$H$377,3,FALSE),"")</f>
        <v>46157</v>
      </c>
      <c r="AS281" s="93" t="str">
        <f t="shared" si="30"/>
        <v>21-22 May</v>
      </c>
      <c r="AT281" s="94">
        <f>IFERROR($M281+VLOOKUP($L281,'Voyage days'!$F$382:$H$446,3,FALSE),"")</f>
        <v>46163</v>
      </c>
      <c r="AU281" s="94">
        <f>IFERROR($N281+VLOOKUP($L281,'Voyage days'!$F$382:$H$446,3,FALSE),"")</f>
        <v>46164</v>
      </c>
      <c r="AV281" s="93" t="str">
        <f t="shared" si="31"/>
        <v>23-24 Apr</v>
      </c>
      <c r="AW281" s="94">
        <f>IFERROR($M281+VLOOKUP($L281,'Voyage days'!$F$483:$H$538,3,FALSE),"")</f>
        <v>46135</v>
      </c>
      <c r="AX281" s="94">
        <f>IFERROR($N281+VLOOKUP($L281,'Voyage days'!$F$483:$H$538,3,FALSE),"")</f>
        <v>46136</v>
      </c>
      <c r="AY281" s="93" t="str">
        <f t="shared" si="32"/>
        <v/>
      </c>
      <c r="AZ281" s="94" t="str">
        <f>IFERROR($M281+VLOOKUP($L281,'Voyage days'!$F$540:$H$613,3,FALSE),"")</f>
        <v/>
      </c>
      <c r="BA281" s="94" t="str">
        <f>IFERROR($N281+VLOOKUP($L281,'Voyage days'!$F$540:$H$613,3,FALSE),"")</f>
        <v/>
      </c>
      <c r="BB281" s="93" t="str">
        <f t="shared" si="33"/>
        <v>28-29 Apr</v>
      </c>
      <c r="BC281" s="94">
        <f>IFERROR($M281+VLOOKUP($L281,'Voyage days'!$F$448:$H$479,3,FALSE),"")</f>
        <v>46140</v>
      </c>
      <c r="BD281" s="94">
        <f>IFERROR($N281+VLOOKUP($L281,'Voyage days'!$F$448:$H$479,3,FALSE),"")</f>
        <v>46141</v>
      </c>
      <c r="BE281" s="93" t="str">
        <f t="shared" si="34"/>
        <v/>
      </c>
      <c r="BF281" s="95" t="str">
        <f>IFERROR($M281+VLOOKUP($L281,'Voyage days'!$F$620:$H$646,3,FALSE),"")</f>
        <v/>
      </c>
      <c r="BG281" s="95" t="str">
        <f>IFERROR($N281+VLOOKUP($L281,'Voyage days'!$F$620:$H$646,3,FALSE),"")</f>
        <v/>
      </c>
      <c r="BH281" s="93" t="str">
        <f t="shared" si="35"/>
        <v/>
      </c>
      <c r="BI281" s="96" t="str">
        <f>IFERROR($M281+VLOOKUP($L281,'Voyage days'!$F$702:$H$727,3,FALSE),"")</f>
        <v/>
      </c>
      <c r="BJ281" s="93" t="str">
        <f t="shared" si="36"/>
        <v>31-01 Jun</v>
      </c>
      <c r="BK281" s="95">
        <f>IFERROR($M281+VLOOKUP($L281,'Voyage days'!$F$807:$H$878,3,FALSE),"")</f>
        <v>46173</v>
      </c>
      <c r="BL281" s="95">
        <f>IFERROR($N281+VLOOKUP($L281,'Voyage days'!$F$807:$H$878,3,FALSE),"")</f>
        <v>46174</v>
      </c>
      <c r="BM281" s="95">
        <f>IFERROR($N281+VLOOKUP($L281,'Voyage days'!$F$807:$K$878,6,FALSE),"")</f>
        <v>46148</v>
      </c>
      <c r="BN281" s="94" t="str">
        <f>IF(L281="loads AG", IFERROR($M281+VLOOKUP($L281,'Voyage days'!$M$38:$O$38,3,FALSE),""),"")</f>
        <v/>
      </c>
      <c r="BO281" s="94" t="str">
        <f>IF(L281="loads USG", IFERROR($M281+VLOOKUP($L281,'Voyage days'!$L$203:$N$203,3,FALSE),""),"")</f>
        <v/>
      </c>
    </row>
    <row r="282" spans="1:68" ht="15.75" customHeight="1" x14ac:dyDescent="0.25">
      <c r="A282" s="266" t="s">
        <v>1399</v>
      </c>
      <c r="B282" s="75">
        <v>42583</v>
      </c>
      <c r="C282" s="76">
        <v>84136</v>
      </c>
      <c r="D282" s="77"/>
      <c r="E282" s="77"/>
      <c r="F282" s="78"/>
      <c r="G282" s="78"/>
      <c r="H282" s="78" t="s">
        <v>713</v>
      </c>
      <c r="I282" s="233" t="s">
        <v>1377</v>
      </c>
      <c r="J282" s="80" t="str">
        <f t="shared" ref="J282:J284" si="58">IF(W282="","NO AIS",IF((W282-M282-1)&gt;0,"Update",""))</f>
        <v/>
      </c>
      <c r="K282" s="81"/>
      <c r="L282" s="82" t="s">
        <v>729</v>
      </c>
      <c r="M282" s="83">
        <v>46144</v>
      </c>
      <c r="N282" s="83">
        <v>46145</v>
      </c>
      <c r="O282" s="84"/>
      <c r="P282" s="85" t="s">
        <v>1400</v>
      </c>
      <c r="Q282" s="82" t="s">
        <v>1401</v>
      </c>
      <c r="R282" s="82" t="s">
        <v>1402</v>
      </c>
      <c r="S282" s="120" t="s">
        <v>33</v>
      </c>
      <c r="T282" s="86">
        <v>46131</v>
      </c>
      <c r="U282" s="87" t="str">
        <f>IF(V282="","No AIS",VLOOKUP(V282,'Voyage days'!$A$3:$B$1480,2,FALSE))</f>
        <v>Mohammedia + 5</v>
      </c>
      <c r="V282" s="88" t="str">
        <f>IF(VLOOKUP(A282,'1) Kpler'!$E$2:$P$1000,8, FALSE)="","",VLOOKUP(A282,'1) Kpler'!$E$2:$P$1000,8, FALSE))</f>
        <v>Mohammedia Refinery</v>
      </c>
      <c r="W282" s="89">
        <f>IF(VLOOKUP(A282,'1) Kpler'!$E$2:$P$1000,9,FALSE)="","",VLOOKUP(A282,'1) Kpler'!$E$2:$P$1000,9,FALSE))</f>
        <v>46140.708333333336</v>
      </c>
      <c r="X282" s="88" t="str">
        <f>VLOOKUP(A282,'1) Kpler'!$E$2:$I$1000,4,FALSE)</f>
        <v>loaded</v>
      </c>
      <c r="Y282" s="234" t="str">
        <f t="shared" si="49"/>
        <v/>
      </c>
      <c r="Z282" s="234" t="str">
        <f t="shared" si="50"/>
        <v>15-16 May</v>
      </c>
      <c r="AA282" s="234" t="str">
        <f t="shared" si="51"/>
        <v>16-17 May</v>
      </c>
      <c r="AB282" s="234" t="str">
        <f t="shared" si="52"/>
        <v>11-12 May</v>
      </c>
      <c r="AC282" s="234" t="str">
        <f t="shared" si="53"/>
        <v>03-04 May</v>
      </c>
      <c r="AD282" s="234" t="str">
        <f t="shared" si="54"/>
        <v/>
      </c>
      <c r="AE282" s="235" t="str">
        <f t="shared" si="55"/>
        <v/>
      </c>
      <c r="AF282" s="92" t="str">
        <f t="shared" si="56"/>
        <v>10-11 May</v>
      </c>
      <c r="AG282" s="93" t="str">
        <f t="shared" si="57"/>
        <v/>
      </c>
      <c r="AH282" s="94" t="str">
        <f>IFERROR($M282+VLOOKUP($L282,'Voyage days'!$F$38:$H$89,3,FALSE),"")</f>
        <v/>
      </c>
      <c r="AI282" s="94" t="str">
        <f>IFERROR(N282+VLOOKUP($L282,'Voyage days'!$F$38:$H$89,3,FALSE),"")</f>
        <v/>
      </c>
      <c r="AJ282" s="93" t="str">
        <f t="shared" si="27"/>
        <v>15-16 May</v>
      </c>
      <c r="AK282" s="94">
        <f>IFERROR($M282+VLOOKUP($L282,'Voyage days'!$F$94:$H$193,3,FALSE),"")</f>
        <v>46157</v>
      </c>
      <c r="AL282" s="94">
        <f>IFERROR($N282+VLOOKUP($L282,'Voyage days'!$F$94:$H$193,3,FALSE),"")</f>
        <v>46158</v>
      </c>
      <c r="AM282" s="93" t="str">
        <f t="shared" si="28"/>
        <v>16-17 May</v>
      </c>
      <c r="AN282" s="94">
        <f>IFERROR($M282+VLOOKUP($L282,'Voyage days'!$F$203:$H$256,3,FALSE),"")</f>
        <v>46158</v>
      </c>
      <c r="AO282" s="94">
        <f>IFERROR($N282+VLOOKUP($L282,'Voyage days'!$F$203:$H$256,3,FALSE),"")</f>
        <v>46159</v>
      </c>
      <c r="AP282" s="93" t="str">
        <f t="shared" si="29"/>
        <v>11-12 May</v>
      </c>
      <c r="AQ282" s="94">
        <f>IFERROR($M282+VLOOKUP($L282,'Voyage days'!$F$294:$H$377,3,FALSE),"")</f>
        <v>46153</v>
      </c>
      <c r="AR282" s="94">
        <f>IFERROR($N282+VLOOKUP($L282,'Voyage days'!$F$294:$H$377,3,FALSE),"")</f>
        <v>46154</v>
      </c>
      <c r="AS282" s="93" t="str">
        <f t="shared" si="30"/>
        <v>03-04 May</v>
      </c>
      <c r="AT282" s="94">
        <f>IFERROR($M282+VLOOKUP($L282,'Voyage days'!$F$382:$H$446,3,FALSE),"")</f>
        <v>46145</v>
      </c>
      <c r="AU282" s="94">
        <f>IFERROR($N282+VLOOKUP($L282,'Voyage days'!$F$382:$H$446,3,FALSE),"")</f>
        <v>46146</v>
      </c>
      <c r="AV282" s="93" t="str">
        <f t="shared" si="31"/>
        <v/>
      </c>
      <c r="AW282" s="94" t="str">
        <f>IFERROR($M282+VLOOKUP($L282,'Voyage days'!$F$483:$H$538,3,FALSE),"")</f>
        <v/>
      </c>
      <c r="AX282" s="94" t="str">
        <f>IFERROR($N282+VLOOKUP($L282,'Voyage days'!$F$483:$H$538,3,FALSE),"")</f>
        <v/>
      </c>
      <c r="AY282" s="93" t="str">
        <f t="shared" si="32"/>
        <v/>
      </c>
      <c r="AZ282" s="94" t="str">
        <f>IFERROR($M282+VLOOKUP($L282,'Voyage days'!$F$540:$H$613,3,FALSE),"")</f>
        <v/>
      </c>
      <c r="BA282" s="94" t="str">
        <f>IFERROR($N282+VLOOKUP($L282,'Voyage days'!$F$540:$H$613,3,FALSE),"")</f>
        <v/>
      </c>
      <c r="BB282" s="93" t="str">
        <f t="shared" si="33"/>
        <v/>
      </c>
      <c r="BC282" s="94" t="str">
        <f>IFERROR($M282+VLOOKUP($L282,'Voyage days'!$F$448:$H$479,3,FALSE),"")</f>
        <v/>
      </c>
      <c r="BD282" s="94" t="str">
        <f>IFERROR($N282+VLOOKUP($L282,'Voyage days'!$F$448:$H$479,3,FALSE),"")</f>
        <v/>
      </c>
      <c r="BE282" s="93" t="str">
        <f t="shared" si="34"/>
        <v/>
      </c>
      <c r="BF282" s="95" t="str">
        <f>IFERROR($M282+VLOOKUP($L282,'Voyage days'!$F$620:$H$646,3,FALSE),"")</f>
        <v/>
      </c>
      <c r="BG282" s="95" t="str">
        <f>IFERROR($N282+VLOOKUP($L282,'Voyage days'!$F$620:$H$646,3,FALSE),"")</f>
        <v/>
      </c>
      <c r="BH282" s="93" t="str">
        <f t="shared" si="35"/>
        <v/>
      </c>
      <c r="BI282" s="96" t="str">
        <f>IFERROR($M282+VLOOKUP($L282,'Voyage days'!$F$702:$H$727,3,FALSE),"")</f>
        <v/>
      </c>
      <c r="BJ282" s="93" t="str">
        <f t="shared" si="36"/>
        <v>10-11 May</v>
      </c>
      <c r="BK282" s="95">
        <f>IFERROR($M282+VLOOKUP($L282,'Voyage days'!$F$807:$H$878,3,FALSE),"")</f>
        <v>46152</v>
      </c>
      <c r="BL282" s="95">
        <f>IFERROR($N282+VLOOKUP($L282,'Voyage days'!$F$807:$H$878,3,FALSE),"")</f>
        <v>46153</v>
      </c>
      <c r="BM282" s="95">
        <f>IFERROR($N282+VLOOKUP($L282,'Voyage days'!$F$807:$K$878,6,FALSE),"")</f>
        <v>46145</v>
      </c>
      <c r="BN282" s="94" t="str">
        <f>IF(L282="loads AG", IFERROR($M282+VLOOKUP($L282,'Voyage days'!$M$38:$O$38,3,FALSE),""),"")</f>
        <v/>
      </c>
      <c r="BO282" s="94" t="str">
        <f>IF(L282="loads USG", IFERROR($M282+VLOOKUP($L282,'Voyage days'!$L$203:$N$203,3,FALSE),""),"")</f>
        <v/>
      </c>
    </row>
    <row r="283" spans="1:68" ht="15.75" customHeight="1" x14ac:dyDescent="0.25">
      <c r="A283" s="514" t="s">
        <v>1403</v>
      </c>
      <c r="B283" s="119">
        <v>2015</v>
      </c>
      <c r="C283" s="76">
        <v>83000</v>
      </c>
      <c r="D283" s="77"/>
      <c r="E283" s="77"/>
      <c r="F283" s="78"/>
      <c r="G283" s="78"/>
      <c r="H283" s="78" t="s">
        <v>739</v>
      </c>
      <c r="I283" s="233" t="s">
        <v>1377</v>
      </c>
      <c r="J283" s="80" t="str">
        <f t="shared" si="58"/>
        <v/>
      </c>
      <c r="K283" s="81"/>
      <c r="L283" s="82" t="s">
        <v>718</v>
      </c>
      <c r="M283" s="83">
        <v>46152</v>
      </c>
      <c r="N283" s="83">
        <v>46153</v>
      </c>
      <c r="O283" s="314"/>
      <c r="P283" s="82" t="s">
        <v>1404</v>
      </c>
      <c r="Q283" s="272"/>
      <c r="R283" s="272" t="s">
        <v>1405</v>
      </c>
      <c r="S283" s="120" t="s">
        <v>33</v>
      </c>
      <c r="T283" s="86">
        <v>46131</v>
      </c>
      <c r="U283" s="87" t="str">
        <f>IF(V283="","No AIS",VLOOKUP(V283,'Voyage days'!$A$3:$B$1480,2,FALSE))</f>
        <v>Panama</v>
      </c>
      <c r="V283" s="88" t="str">
        <f>IF(VLOOKUP(A283,'1) Kpler'!$E$2:$P$1000,8, FALSE)="","",VLOOKUP(A283,'1) Kpler'!$E$2:$P$1000,8, FALSE))</f>
        <v>Panama Canal</v>
      </c>
      <c r="W283" s="89">
        <f>IF(VLOOKUP(A283,'1) Kpler'!$E$2:$P$1000,9,FALSE)="","",VLOOKUP(A283,'1) Kpler'!$E$2:$P$1000,9,FALSE))</f>
        <v>46144.208333333336</v>
      </c>
      <c r="X283" s="88" t="str">
        <f>VLOOKUP(A283,'1) Kpler'!$E$2:$I$1000,4,FALSE)</f>
        <v>ballast</v>
      </c>
      <c r="Y283" s="63" t="str">
        <f t="shared" si="49"/>
        <v/>
      </c>
      <c r="Z283" s="63" t="str">
        <f t="shared" si="50"/>
        <v>10-11 May</v>
      </c>
      <c r="AA283" s="63" t="str">
        <f t="shared" si="51"/>
        <v>10-11 May</v>
      </c>
      <c r="AB283" s="63" t="str">
        <f t="shared" si="52"/>
        <v/>
      </c>
      <c r="AC283" s="63" t="str">
        <f t="shared" si="53"/>
        <v>30-31 May</v>
      </c>
      <c r="AD283" s="63" t="str">
        <f t="shared" si="54"/>
        <v/>
      </c>
      <c r="AE283" s="129" t="str">
        <f t="shared" si="55"/>
        <v/>
      </c>
      <c r="AF283" s="130" t="str">
        <f t="shared" si="56"/>
        <v/>
      </c>
      <c r="AG283" s="93" t="str">
        <f t="shared" si="57"/>
        <v/>
      </c>
      <c r="AH283" s="94" t="str">
        <f>IFERROR($M283+VLOOKUP($L283,'Voyage days'!$F$38:$H$89,3,FALSE),"")</f>
        <v/>
      </c>
      <c r="AI283" s="94" t="str">
        <f>IFERROR(N283+VLOOKUP($L283,'Voyage days'!$F$38:$H$89,3,FALSE),"")</f>
        <v/>
      </c>
      <c r="AJ283" s="93" t="str">
        <f t="shared" si="27"/>
        <v>10-11 May</v>
      </c>
      <c r="AK283" s="94">
        <f>IFERROR($M283+VLOOKUP($L283,'Voyage days'!$F$94:$H$193,3,FALSE),"")</f>
        <v>46152</v>
      </c>
      <c r="AL283" s="94">
        <f>IFERROR($N283+VLOOKUP($L283,'Voyage days'!$F$94:$H$193,3,FALSE),"")</f>
        <v>46153</v>
      </c>
      <c r="AM283" s="93" t="str">
        <f t="shared" si="28"/>
        <v>10-11 May</v>
      </c>
      <c r="AN283" s="94">
        <f>IFERROR($M283+VLOOKUP($L283,'Voyage days'!$F$203:$H$256,3,FALSE),"")</f>
        <v>46152</v>
      </c>
      <c r="AO283" s="94">
        <f>IFERROR($N283+VLOOKUP($L283,'Voyage days'!$F$203:$H$256,3,FALSE),"")</f>
        <v>46153</v>
      </c>
      <c r="AP283" s="93" t="str">
        <f t="shared" si="29"/>
        <v/>
      </c>
      <c r="AQ283" s="94" t="str">
        <f>IFERROR($M283+VLOOKUP($L283,'Voyage days'!$F$294:$H$377,3,FALSE),"")</f>
        <v/>
      </c>
      <c r="AR283" s="94" t="str">
        <f>IFERROR($N283+VLOOKUP($L283,'Voyage days'!$F$294:$H$377,3,FALSE),"")</f>
        <v/>
      </c>
      <c r="AS283" s="93" t="str">
        <f t="shared" si="30"/>
        <v>30-31 May</v>
      </c>
      <c r="AT283" s="94">
        <f>IFERROR($M283+VLOOKUP($L283,'Voyage days'!$F$382:$H$446,3,FALSE),"")</f>
        <v>46172</v>
      </c>
      <c r="AU283" s="94">
        <f>IFERROR($N283+VLOOKUP($L283,'Voyage days'!$F$382:$H$446,3,FALSE),"")</f>
        <v>46173</v>
      </c>
      <c r="AV283" s="93" t="str">
        <f t="shared" si="31"/>
        <v/>
      </c>
      <c r="AW283" s="94" t="str">
        <f>IFERROR($M283+VLOOKUP($L283,'Voyage days'!$F$483:$H$538,3,FALSE),"")</f>
        <v/>
      </c>
      <c r="AX283" s="94" t="str">
        <f>IFERROR($N283+VLOOKUP($L283,'Voyage days'!$F$483:$H$538,3,FALSE),"")</f>
        <v/>
      </c>
      <c r="AY283" s="93" t="str">
        <f t="shared" si="32"/>
        <v/>
      </c>
      <c r="AZ283" s="94" t="str">
        <f>IFERROR($M283+VLOOKUP($L283,'Voyage days'!$F$540:$H$613,3,FALSE),"")</f>
        <v/>
      </c>
      <c r="BA283" s="94" t="str">
        <f>IFERROR($N283+VLOOKUP($L283,'Voyage days'!$F$540:$H$613,3,FALSE),"")</f>
        <v/>
      </c>
      <c r="BB283" s="93" t="str">
        <f t="shared" si="33"/>
        <v/>
      </c>
      <c r="BC283" s="94" t="str">
        <f>IFERROR($M283+VLOOKUP($L283,'Voyage days'!$F$448:$H$479,3,FALSE),"")</f>
        <v/>
      </c>
      <c r="BD283" s="94" t="str">
        <f>IFERROR($N283+VLOOKUP($L283,'Voyage days'!$F$448:$H$479,3,FALSE),"")</f>
        <v/>
      </c>
      <c r="BE283" s="93" t="str">
        <f t="shared" si="34"/>
        <v/>
      </c>
      <c r="BF283" s="95" t="str">
        <f>IFERROR($M283+VLOOKUP($L283,'Voyage days'!$F$620:$H$646,3,FALSE),"")</f>
        <v/>
      </c>
      <c r="BG283" s="95" t="str">
        <f>IFERROR($N283+VLOOKUP($L283,'Voyage days'!$F$620:$H$646,3,FALSE),"")</f>
        <v/>
      </c>
      <c r="BH283" s="93" t="str">
        <f t="shared" si="35"/>
        <v/>
      </c>
      <c r="BI283" s="96" t="str">
        <f>IFERROR($M283+VLOOKUP($L283,'Voyage days'!$F$702:$H$727,3,FALSE),"")</f>
        <v/>
      </c>
      <c r="BJ283" s="93" t="str">
        <f t="shared" si="36"/>
        <v/>
      </c>
      <c r="BK283" s="95" t="str">
        <f>IFERROR($M283+VLOOKUP($L283,'Voyage days'!$F$807:$H$878,3,FALSE),"")</f>
        <v/>
      </c>
      <c r="BL283" s="95" t="str">
        <f>IFERROR($N283+VLOOKUP($L283,'Voyage days'!$F$807:$H$878,3,FALSE),"")</f>
        <v/>
      </c>
      <c r="BM283" s="95" t="str">
        <f>IFERROR($N283+VLOOKUP($L283,'Voyage days'!$F$807:$K$878,6,FALSE),"")</f>
        <v/>
      </c>
      <c r="BN283" s="94" t="str">
        <f>IF(L283="loads AG", IFERROR($M283+VLOOKUP($L283,'Voyage days'!$M$38:$O$38,3,FALSE),""),"")</f>
        <v/>
      </c>
      <c r="BO283" s="94">
        <f>IF(L283="loads USG", IFERROR($M283+VLOOKUP($L283,'Voyage days'!$L$203:$N$203,3,FALSE),""),"")</f>
        <v>46184</v>
      </c>
    </row>
    <row r="284" spans="1:68" ht="15.75" customHeight="1" x14ac:dyDescent="0.25">
      <c r="A284" s="97" t="s">
        <v>1406</v>
      </c>
      <c r="B284" s="75">
        <v>42247</v>
      </c>
      <c r="C284" s="76">
        <v>84000</v>
      </c>
      <c r="D284" s="77"/>
      <c r="E284" s="77"/>
      <c r="F284" s="78"/>
      <c r="G284" s="78"/>
      <c r="H284" s="78" t="s">
        <v>713</v>
      </c>
      <c r="I284" s="233" t="s">
        <v>1377</v>
      </c>
      <c r="J284" s="80" t="str">
        <f t="shared" si="58"/>
        <v/>
      </c>
      <c r="K284" s="81"/>
      <c r="L284" s="82" t="s">
        <v>710</v>
      </c>
      <c r="M284" s="83">
        <v>46142</v>
      </c>
      <c r="N284" s="83">
        <v>46143</v>
      </c>
      <c r="O284" s="84" t="s">
        <v>1367</v>
      </c>
      <c r="P284" s="82" t="s">
        <v>1407</v>
      </c>
      <c r="Q284" s="82"/>
      <c r="R284" s="272" t="s">
        <v>1408</v>
      </c>
      <c r="S284" s="120" t="s">
        <v>33</v>
      </c>
      <c r="T284" s="86">
        <v>46131</v>
      </c>
      <c r="U284" s="87" t="str">
        <f>IF(V284="","No AIS",VLOOKUP(V284,'Voyage days'!$A$3:$B$1480,2,FALSE))</f>
        <v>North China +4</v>
      </c>
      <c r="V284" s="88" t="str">
        <f>IF(VLOOKUP(A284,'1) Kpler'!$E$2:$P$1000,8, FALSE)="","",VLOOKUP(A284,'1) Kpler'!$E$2:$P$1000,8, FALSE))</f>
        <v>Lianyungang</v>
      </c>
      <c r="W284" s="89">
        <f>IF(VLOOKUP(A284,'1) Kpler'!$E$2:$P$1000,9,FALSE)="","",VLOOKUP(A284,'1) Kpler'!$E$2:$P$1000,9,FALSE))</f>
        <v>46140.583333333336</v>
      </c>
      <c r="X284" s="88" t="str">
        <f>VLOOKUP(A284,'1) Kpler'!$E$2:$I$1000,4,FALSE)</f>
        <v>loaded</v>
      </c>
      <c r="Y284" s="63" t="str">
        <f t="shared" si="49"/>
        <v>17-18 May</v>
      </c>
      <c r="Z284" s="63" t="str">
        <f t="shared" si="50"/>
        <v>01-02 Jun</v>
      </c>
      <c r="AA284" s="63" t="str">
        <f t="shared" si="51"/>
        <v>13-14 Jun</v>
      </c>
      <c r="AB284" s="63" t="str">
        <f t="shared" si="52"/>
        <v>28-29 May</v>
      </c>
      <c r="AC284" s="63" t="str">
        <f t="shared" si="53"/>
        <v>04-05 Jun</v>
      </c>
      <c r="AD284" s="63" t="str">
        <f t="shared" si="54"/>
        <v>06-07 May</v>
      </c>
      <c r="AE284" s="129" t="str">
        <f t="shared" si="55"/>
        <v>07-08 May</v>
      </c>
      <c r="AF284" s="130" t="str">
        <f t="shared" si="56"/>
        <v>13-14 Jun</v>
      </c>
      <c r="AG284" s="93" t="str">
        <f t="shared" si="57"/>
        <v>17-18 May</v>
      </c>
      <c r="AH284" s="94">
        <f>IFERROR($M284+VLOOKUP($L284,'Voyage days'!$F$38:$H$89,3,FALSE),"")</f>
        <v>46159</v>
      </c>
      <c r="AI284" s="94">
        <f>IFERROR(N284+VLOOKUP($L284,'Voyage days'!$F$38:$H$89,3,FALSE),"")</f>
        <v>46160</v>
      </c>
      <c r="AJ284" s="93" t="str">
        <f t="shared" si="27"/>
        <v>01-02 Jun</v>
      </c>
      <c r="AK284" s="94">
        <f>IFERROR($M284+VLOOKUP($L284,'Voyage days'!$F$94:$H$193,3,FALSE),"")</f>
        <v>46174</v>
      </c>
      <c r="AL284" s="94">
        <f>IFERROR($N284+VLOOKUP($L284,'Voyage days'!$F$94:$H$193,3,FALSE),"")</f>
        <v>46175</v>
      </c>
      <c r="AM284" s="93" t="str">
        <f t="shared" si="28"/>
        <v>13-14 Jun</v>
      </c>
      <c r="AN284" s="94">
        <f>IFERROR($M284+VLOOKUP($L284,'Voyage days'!$F$203:$H$256,3,FALSE),"")</f>
        <v>46186</v>
      </c>
      <c r="AO284" s="94">
        <f>IFERROR($N284+VLOOKUP($L284,'Voyage days'!$F$203:$H$256,3,FALSE),"")</f>
        <v>46187</v>
      </c>
      <c r="AP284" s="93" t="str">
        <f t="shared" si="29"/>
        <v>28-29 May</v>
      </c>
      <c r="AQ284" s="94">
        <f>IFERROR($M284+VLOOKUP($L284,'Voyage days'!$F$294:$H$377,3,FALSE),"")</f>
        <v>46170</v>
      </c>
      <c r="AR284" s="94">
        <f>IFERROR($N284+VLOOKUP($L284,'Voyage days'!$F$294:$H$377,3,FALSE),"")</f>
        <v>46171</v>
      </c>
      <c r="AS284" s="93" t="str">
        <f t="shared" si="30"/>
        <v>04-05 Jun</v>
      </c>
      <c r="AT284" s="94">
        <f>IFERROR($M284+VLOOKUP($L284,'Voyage days'!$F$382:$H$446,3,FALSE),"")</f>
        <v>46177</v>
      </c>
      <c r="AU284" s="94">
        <f>IFERROR($N284+VLOOKUP($L284,'Voyage days'!$F$382:$H$446,3,FALSE),"")</f>
        <v>46178</v>
      </c>
      <c r="AV284" s="93" t="str">
        <f t="shared" si="31"/>
        <v>14-15 May</v>
      </c>
      <c r="AW284" s="94">
        <f>IFERROR($M284+VLOOKUP($L284,'Voyage days'!$F$483:$H$538,3,FALSE),"")</f>
        <v>46156</v>
      </c>
      <c r="AX284" s="94">
        <f>IFERROR($N284+VLOOKUP($L284,'Voyage days'!$F$483:$H$538,3,FALSE),"")</f>
        <v>46157</v>
      </c>
      <c r="AY284" s="93" t="str">
        <f t="shared" si="32"/>
        <v>07-08 May</v>
      </c>
      <c r="AZ284" s="94">
        <f>IFERROR($M284+VLOOKUP($L284,'Voyage days'!$F$540:$H$613,3,FALSE),"")</f>
        <v>46149.25</v>
      </c>
      <c r="BA284" s="94">
        <f>IFERROR($N284+VLOOKUP($L284,'Voyage days'!$F$540:$H$613,3,FALSE),"")</f>
        <v>46150.25</v>
      </c>
      <c r="BB284" s="93" t="str">
        <f t="shared" si="33"/>
        <v>06-07 May</v>
      </c>
      <c r="BC284" s="94">
        <f>IFERROR($M284+VLOOKUP($L284,'Voyage days'!$F$448:$H$479,3,FALSE),"")</f>
        <v>46148</v>
      </c>
      <c r="BD284" s="94">
        <f>IFERROR($N284+VLOOKUP($L284,'Voyage days'!$F$448:$H$479,3,FALSE),"")</f>
        <v>46149</v>
      </c>
      <c r="BE284" s="93" t="str">
        <f t="shared" si="34"/>
        <v>13-14 May</v>
      </c>
      <c r="BF284" s="95">
        <f>IFERROR($M284+VLOOKUP($L284,'Voyage days'!$F$620:$H$646,3,FALSE),"")</f>
        <v>46155</v>
      </c>
      <c r="BG284" s="95">
        <f>IFERROR($N284+VLOOKUP($L284,'Voyage days'!$F$620:$H$646,3,FALSE),"")</f>
        <v>46156</v>
      </c>
      <c r="BH284" s="93" t="str">
        <f t="shared" si="35"/>
        <v>07-14 Jun</v>
      </c>
      <c r="BI284" s="96">
        <f>IFERROR($M284+VLOOKUP($L284,'Voyage days'!$F$702:$H$727,3,FALSE),"")</f>
        <v>46149.25</v>
      </c>
      <c r="BJ284" s="93" t="str">
        <f t="shared" si="36"/>
        <v>13-14 Jun</v>
      </c>
      <c r="BK284" s="95">
        <f>IFERROR($M284+VLOOKUP($L284,'Voyage days'!$F$807:$H$878,3,FALSE),"")</f>
        <v>46186</v>
      </c>
      <c r="BL284" s="95">
        <f>IFERROR($N284+VLOOKUP($L284,'Voyage days'!$F$807:$H$878,3,FALSE),"")</f>
        <v>46187</v>
      </c>
      <c r="BM284" s="95">
        <f>IFERROR($N284+VLOOKUP($L284,'Voyage days'!$F$807:$K$878,6,FALSE),"")</f>
        <v>46161</v>
      </c>
      <c r="BN284" s="94" t="str">
        <f>IF(L284="loads AG", IFERROR($M284+VLOOKUP($L284,'Voyage days'!$M$38:$O$38,3,FALSE),""),"")</f>
        <v/>
      </c>
      <c r="BO284" s="94" t="str">
        <f>IF(L284="loads USG", IFERROR($M284+VLOOKUP($L284,'Voyage days'!$L$203:$N$203,3,FALSE),""),"")</f>
        <v/>
      </c>
    </row>
    <row r="285" spans="1:68" ht="15.75" customHeight="1" x14ac:dyDescent="0.25">
      <c r="A285" s="519" t="s">
        <v>1409</v>
      </c>
      <c r="B285" s="75">
        <v>39448</v>
      </c>
      <c r="C285" s="76">
        <v>84601</v>
      </c>
      <c r="D285" s="77" t="s">
        <v>1410</v>
      </c>
      <c r="E285" s="77" t="s">
        <v>739</v>
      </c>
      <c r="F285" s="78"/>
      <c r="G285" s="78">
        <v>45658</v>
      </c>
      <c r="H285" s="78"/>
      <c r="I285" s="233" t="s">
        <v>1377</v>
      </c>
      <c r="J285" s="80" t="str">
        <f>IF(V285="","NO AIS",IF((V285-L285-1)&gt;0,"Update",""))</f>
        <v>NO AIS</v>
      </c>
      <c r="K285" s="367"/>
      <c r="L285" s="82" t="s">
        <v>1243</v>
      </c>
      <c r="M285" s="83">
        <v>46123</v>
      </c>
      <c r="N285" s="83">
        <v>46123</v>
      </c>
      <c r="O285" s="84"/>
      <c r="P285" s="82" t="s">
        <v>1411</v>
      </c>
      <c r="Q285" s="82"/>
      <c r="R285" s="82" t="s">
        <v>1412</v>
      </c>
      <c r="S285" s="120" t="s">
        <v>33</v>
      </c>
      <c r="T285" s="86">
        <v>46131</v>
      </c>
      <c r="U285" s="87" t="str">
        <f>IF(V285="","No AIS",VLOOKUP(V285,'Voyage days'!$A$3:$B$1480,2,FALSE))</f>
        <v>No AIS</v>
      </c>
      <c r="V285" s="88" t="str">
        <f>IF(VLOOKUP(A285,'1) Kpler'!$E$2:$P$1000,8, FALSE)="","",VLOOKUP(A285,'1) Kpler'!$E$2:$P$1000,8, FALSE))</f>
        <v/>
      </c>
      <c r="W285" s="89" t="str">
        <f>IF(VLOOKUP(A285,'1) Kpler'!$E$2:$P$1000,9,FALSE)="","",VLOOKUP(A285,'1) Kpler'!$E$2:$P$1000,9,FALSE))</f>
        <v/>
      </c>
      <c r="X285" s="88" t="str">
        <f>VLOOKUP(A285,'1) Kpler'!$E$2:$I$1000,4,FALSE)</f>
        <v>loaded</v>
      </c>
      <c r="Y285" s="63" t="str">
        <f t="shared" si="49"/>
        <v>11-11 Apr</v>
      </c>
      <c r="Z285" s="63" t="str">
        <f t="shared" si="50"/>
        <v/>
      </c>
      <c r="AA285" s="63" t="str">
        <f t="shared" si="51"/>
        <v/>
      </c>
      <c r="AB285" s="63" t="str">
        <f t="shared" si="52"/>
        <v/>
      </c>
      <c r="AC285" s="63" t="str">
        <f t="shared" si="53"/>
        <v/>
      </c>
      <c r="AD285" s="63" t="str">
        <f t="shared" si="54"/>
        <v/>
      </c>
      <c r="AE285" s="129" t="str">
        <f t="shared" si="55"/>
        <v>30-30 Apr</v>
      </c>
      <c r="AF285" s="368" t="str">
        <f t="shared" si="56"/>
        <v>11-11 Apr</v>
      </c>
      <c r="AG285" s="93" t="str">
        <f t="shared" si="57"/>
        <v>11-11 Apr</v>
      </c>
      <c r="AH285" s="94">
        <f>IFERROR($M285+VLOOKUP($L285,'Voyage days'!$F$38:$H$89,3,FALSE),"")</f>
        <v>46123</v>
      </c>
      <c r="AI285" s="94">
        <f>IFERROR(N285+VLOOKUP($L285,'Voyage days'!$F$38:$H$89,3,FALSE),"")</f>
        <v>46123</v>
      </c>
      <c r="AJ285" s="93" t="str">
        <f t="shared" si="27"/>
        <v/>
      </c>
      <c r="AK285" s="94" t="str">
        <f>IFERROR($M285+VLOOKUP($L285,'Voyage days'!$F$94:$H$193,3,FALSE),"")</f>
        <v/>
      </c>
      <c r="AL285" s="94" t="str">
        <f>IFERROR($N285+VLOOKUP($L285,'Voyage days'!$F$94:$H$193,3,FALSE),"")</f>
        <v/>
      </c>
      <c r="AM285" s="93" t="str">
        <f t="shared" si="28"/>
        <v/>
      </c>
      <c r="AN285" s="94" t="str">
        <f>IFERROR($M285+VLOOKUP($L285,'Voyage days'!$F$203:$H$256,3,FALSE),"")</f>
        <v/>
      </c>
      <c r="AO285" s="94" t="str">
        <f>IFERROR($N285+VLOOKUP($L285,'Voyage days'!$F$203:$H$256,3,FALSE),"")</f>
        <v/>
      </c>
      <c r="AP285" s="93" t="str">
        <f t="shared" si="29"/>
        <v/>
      </c>
      <c r="AQ285" s="94" t="str">
        <f>IFERROR($M285+VLOOKUP($L285,'Voyage days'!$F$294:$H$377,3,FALSE),"")</f>
        <v/>
      </c>
      <c r="AR285" s="94" t="str">
        <f>IFERROR($N285+VLOOKUP($L285,'Voyage days'!$F$294:$H$377,3,FALSE),"")</f>
        <v/>
      </c>
      <c r="AS285" s="93" t="str">
        <f t="shared" si="30"/>
        <v/>
      </c>
      <c r="AT285" s="94" t="str">
        <f>IFERROR($M285+VLOOKUP($L285,'Voyage days'!$F$382:$H$446,3,FALSE),"")</f>
        <v/>
      </c>
      <c r="AU285" s="94" t="str">
        <f>IFERROR($N285+VLOOKUP($L285,'Voyage days'!$F$382:$H$446,3,FALSE),"")</f>
        <v/>
      </c>
      <c r="AV285" s="93" t="str">
        <f t="shared" si="31"/>
        <v/>
      </c>
      <c r="AW285" s="94" t="str">
        <f>IFERROR($M285+VLOOKUP($L285,'Voyage days'!$F$483:$H$538,3,FALSE),"")</f>
        <v/>
      </c>
      <c r="AX285" s="94" t="str">
        <f>IFERROR($N285+VLOOKUP($L285,'Voyage days'!$F$483:$H$538,3,FALSE),"")</f>
        <v/>
      </c>
      <c r="AY285" s="93" t="str">
        <f t="shared" si="32"/>
        <v>30-30 Apr</v>
      </c>
      <c r="AZ285" s="94">
        <f>IFERROR($M285+VLOOKUP($L285,'Voyage days'!$F$540:$H$613,3,FALSE),"")</f>
        <v>46142</v>
      </c>
      <c r="BA285" s="94">
        <f>IFERROR($N285+VLOOKUP($L285,'Voyage days'!$F$540:$H$613,3,FALSE),"")</f>
        <v>46142</v>
      </c>
      <c r="BB285" s="93" t="str">
        <f t="shared" si="33"/>
        <v/>
      </c>
      <c r="BC285" s="94" t="str">
        <f>IFERROR($M285+VLOOKUP($L285,'Voyage days'!$F$448:$H$479,3,FALSE),"")</f>
        <v/>
      </c>
      <c r="BD285" s="94" t="str">
        <f>IFERROR($N285+VLOOKUP($L285,'Voyage days'!$F$448:$H$479,3,FALSE),"")</f>
        <v/>
      </c>
      <c r="BE285" s="93" t="str">
        <f t="shared" si="34"/>
        <v/>
      </c>
      <c r="BF285" s="95" t="str">
        <f>IFERROR($M285+VLOOKUP($L285,'Voyage days'!$F$620:$H$646,3,FALSE),"")</f>
        <v/>
      </c>
      <c r="BG285" s="95" t="str">
        <f>IFERROR($N285+VLOOKUP($L285,'Voyage days'!$F$620:$H$646,3,FALSE),"")</f>
        <v/>
      </c>
      <c r="BH285" s="93" t="str">
        <f t="shared" si="35"/>
        <v/>
      </c>
      <c r="BI285" s="96" t="str">
        <f>IFERROR($M285+VLOOKUP($L285,'Voyage days'!$F$702:$H$727,3,FALSE),"")</f>
        <v/>
      </c>
      <c r="BJ285" s="93" t="str">
        <f t="shared" si="36"/>
        <v>11-11 Apr</v>
      </c>
      <c r="BK285" s="95">
        <f>IFERROR($M285+VLOOKUP($L285,'Voyage days'!$F$807:$H$878,3,FALSE),"")</f>
        <v>46123</v>
      </c>
      <c r="BL285" s="95">
        <f>IFERROR($N285+VLOOKUP($L285,'Voyage days'!$F$807:$H$878,3,FALSE),"")</f>
        <v>46123</v>
      </c>
      <c r="BM285" s="95">
        <f>IFERROR($N285+VLOOKUP($L285,'Voyage days'!$F$807:$K$878,6,FALSE),"")</f>
        <v>46126</v>
      </c>
      <c r="BN285" s="94">
        <f>IF(L285="loads AG", IFERROR($M285+VLOOKUP($L285,'Voyage days'!$M$38:$O$38,3,FALSE),""),"")</f>
        <v>46148</v>
      </c>
      <c r="BO285" s="94" t="str">
        <f>IF(L285="loads USG", IFERROR($M285+VLOOKUP($L285,'Voyage days'!$L$203:$N$203,3,FALSE),""),"")</f>
        <v/>
      </c>
      <c r="BP285" s="8"/>
    </row>
    <row r="286" spans="1:68" x14ac:dyDescent="0.25">
      <c r="A286" s="97" t="s">
        <v>1413</v>
      </c>
      <c r="B286" s="75">
        <v>42667</v>
      </c>
      <c r="C286" s="76">
        <v>84171</v>
      </c>
      <c r="D286" s="77"/>
      <c r="E286" s="77"/>
      <c r="F286" s="78"/>
      <c r="G286" s="78"/>
      <c r="H286" s="78" t="s">
        <v>713</v>
      </c>
      <c r="I286" s="233" t="s">
        <v>1377</v>
      </c>
      <c r="J286" s="80" t="str">
        <f t="shared" ref="J286:J291" si="59">IF(W286="","NO AIS",IF((W286-M286-1)&gt;0,"Update",""))</f>
        <v/>
      </c>
      <c r="K286" s="81" t="s">
        <v>817</v>
      </c>
      <c r="L286" s="82" t="s">
        <v>863</v>
      </c>
      <c r="M286" s="83">
        <v>46141</v>
      </c>
      <c r="N286" s="83">
        <v>46142</v>
      </c>
      <c r="O286" s="84"/>
      <c r="P286" s="82" t="s">
        <v>1414</v>
      </c>
      <c r="Q286" s="82"/>
      <c r="R286" s="82" t="s">
        <v>1415</v>
      </c>
      <c r="S286" s="120" t="s">
        <v>33</v>
      </c>
      <c r="T286" s="86">
        <v>46131</v>
      </c>
      <c r="U286" s="87" t="str">
        <f>IF(V286="","No AIS",VLOOKUP(V286,'Voyage days'!$A$3:$B$1480,2,FALSE))</f>
        <v>ECI + 5</v>
      </c>
      <c r="V286" s="88" t="str">
        <f>IF(VLOOKUP(A286,'1) Kpler'!$E$2:$P$1000,8, FALSE)="","",VLOOKUP(A286,'1) Kpler'!$E$2:$P$1000,8, FALSE))</f>
        <v>Ennore Port</v>
      </c>
      <c r="W286" s="89">
        <f>IF(VLOOKUP(A286,'1) Kpler'!$E$2:$P$1000,9,FALSE)="","",VLOOKUP(A286,'1) Kpler'!$E$2:$P$1000,9,FALSE))</f>
        <v>46136.854166666664</v>
      </c>
      <c r="X286" s="88" t="str">
        <f>VLOOKUP(A286,'1) Kpler'!$E$2:$I$1000,4,FALSE)</f>
        <v>loaded</v>
      </c>
      <c r="Y286" s="63" t="str">
        <f t="shared" si="49"/>
        <v>08-09 May</v>
      </c>
      <c r="Z286" s="63" t="str">
        <f t="shared" si="50"/>
        <v/>
      </c>
      <c r="AA286" s="63" t="str">
        <f t="shared" si="51"/>
        <v>04-05 Jun</v>
      </c>
      <c r="AB286" s="63" t="str">
        <f t="shared" si="52"/>
        <v>20-21 May</v>
      </c>
      <c r="AC286" s="63" t="str">
        <f t="shared" si="53"/>
        <v>27-28 May</v>
      </c>
      <c r="AD286" s="63" t="str">
        <f t="shared" si="54"/>
        <v>04-05 May</v>
      </c>
      <c r="AE286" s="129" t="str">
        <f t="shared" si="55"/>
        <v/>
      </c>
      <c r="AF286" s="130" t="str">
        <f t="shared" si="56"/>
        <v>06-07 Jun</v>
      </c>
      <c r="AG286" s="93" t="str">
        <f t="shared" si="57"/>
        <v>08-09 May</v>
      </c>
      <c r="AH286" s="94">
        <f>IFERROR($M286+VLOOKUP($L286,'Voyage days'!$F$38:$H$89,3,FALSE),"")</f>
        <v>46150</v>
      </c>
      <c r="AI286" s="94">
        <f>IFERROR(N286+VLOOKUP($L286,'Voyage days'!$F$38:$H$89,3,FALSE),"")</f>
        <v>46151</v>
      </c>
      <c r="AJ286" s="93" t="str">
        <f t="shared" si="27"/>
        <v/>
      </c>
      <c r="AK286" s="94" t="str">
        <f>IFERROR($M286+VLOOKUP($L286,'Voyage days'!$F$94:$H$193,3,FALSE),"")</f>
        <v/>
      </c>
      <c r="AL286" s="94" t="str">
        <f>IFERROR($N286+VLOOKUP($L286,'Voyage days'!$F$94:$H$193,3,FALSE),"")</f>
        <v/>
      </c>
      <c r="AM286" s="93" t="str">
        <f t="shared" si="28"/>
        <v>04-05 Jun</v>
      </c>
      <c r="AN286" s="94">
        <f>IFERROR($M286+VLOOKUP($L286,'Voyage days'!$F$203:$H$256,3,FALSE),"")</f>
        <v>46177</v>
      </c>
      <c r="AO286" s="94">
        <f>IFERROR($N286+VLOOKUP($L286,'Voyage days'!$F$203:$H$256,3,FALSE),"")</f>
        <v>46178</v>
      </c>
      <c r="AP286" s="93" t="str">
        <f t="shared" si="29"/>
        <v>20-21 May</v>
      </c>
      <c r="AQ286" s="94">
        <f>IFERROR($M286+VLOOKUP($L286,'Voyage days'!$F$294:$H$377,3,FALSE),"")</f>
        <v>46162</v>
      </c>
      <c r="AR286" s="94">
        <f>IFERROR($N286+VLOOKUP($L286,'Voyage days'!$F$294:$H$377,3,FALSE),"")</f>
        <v>46163</v>
      </c>
      <c r="AS286" s="93" t="str">
        <f t="shared" si="30"/>
        <v>27-28 May</v>
      </c>
      <c r="AT286" s="94">
        <f>IFERROR($M286+VLOOKUP($L286,'Voyage days'!$F$382:$H$446,3,FALSE),"")</f>
        <v>46169</v>
      </c>
      <c r="AU286" s="94">
        <f>IFERROR($N286+VLOOKUP($L286,'Voyage days'!$F$382:$H$446,3,FALSE),"")</f>
        <v>46170</v>
      </c>
      <c r="AV286" s="93" t="str">
        <f t="shared" si="31"/>
        <v>29-30 Apr</v>
      </c>
      <c r="AW286" s="94">
        <f>IFERROR($M286+VLOOKUP($L286,'Voyage days'!$F$483:$H$538,3,FALSE),"")</f>
        <v>46141</v>
      </c>
      <c r="AX286" s="94">
        <f>IFERROR($N286+VLOOKUP($L286,'Voyage days'!$F$483:$H$538,3,FALSE),"")</f>
        <v>46142</v>
      </c>
      <c r="AY286" s="93" t="str">
        <f t="shared" si="32"/>
        <v/>
      </c>
      <c r="AZ286" s="94" t="str">
        <f>IFERROR($M286+VLOOKUP($L286,'Voyage days'!$F$540:$H$613,3,FALSE),"")</f>
        <v/>
      </c>
      <c r="BA286" s="94" t="str">
        <f>IFERROR($N286+VLOOKUP($L286,'Voyage days'!$F$540:$H$613,3,FALSE),"")</f>
        <v/>
      </c>
      <c r="BB286" s="93" t="str">
        <f t="shared" si="33"/>
        <v>04-05 May</v>
      </c>
      <c r="BC286" s="94">
        <f>IFERROR($M286+VLOOKUP($L286,'Voyage days'!$F$448:$H$479,3,FALSE),"")</f>
        <v>46146</v>
      </c>
      <c r="BD286" s="94">
        <f>IFERROR($N286+VLOOKUP($L286,'Voyage days'!$F$448:$H$479,3,FALSE),"")</f>
        <v>46147</v>
      </c>
      <c r="BE286" s="93" t="str">
        <f t="shared" si="34"/>
        <v/>
      </c>
      <c r="BF286" s="95" t="str">
        <f>IFERROR($M286+VLOOKUP($L286,'Voyage days'!$F$620:$H$646,3,FALSE),"")</f>
        <v/>
      </c>
      <c r="BG286" s="95" t="str">
        <f>IFERROR($N286+VLOOKUP($L286,'Voyage days'!$F$620:$H$646,3,FALSE),"")</f>
        <v/>
      </c>
      <c r="BH286" s="93" t="str">
        <f t="shared" si="35"/>
        <v/>
      </c>
      <c r="BI286" s="96" t="str">
        <f>IFERROR($M286+VLOOKUP($L286,'Voyage days'!$F$702:$H$727,3,FALSE),"")</f>
        <v/>
      </c>
      <c r="BJ286" s="93" t="str">
        <f t="shared" si="36"/>
        <v>06-07 Jun</v>
      </c>
      <c r="BK286" s="95">
        <f>IFERROR($M286+VLOOKUP($L286,'Voyage days'!$F$807:$H$878,3,FALSE),"")</f>
        <v>46179</v>
      </c>
      <c r="BL286" s="95">
        <f>IFERROR($N286+VLOOKUP($L286,'Voyage days'!$F$807:$H$878,3,FALSE),"")</f>
        <v>46180</v>
      </c>
      <c r="BM286" s="95">
        <f>IFERROR($N286+VLOOKUP($L286,'Voyage days'!$F$807:$K$878,6,FALSE),"")</f>
        <v>46154</v>
      </c>
      <c r="BN286" s="94" t="str">
        <f>IF(L286="loads AG", IFERROR($M286+VLOOKUP($L286,'Voyage days'!$M$38:$O$38,3,FALSE),""),"")</f>
        <v/>
      </c>
      <c r="BO286" s="94" t="str">
        <f>IF(L286="loads USG", IFERROR($M286+VLOOKUP($L286,'Voyage days'!$L$203:$N$203,3,FALSE),""),"")</f>
        <v/>
      </c>
    </row>
    <row r="287" spans="1:68" ht="15" customHeight="1" x14ac:dyDescent="0.25">
      <c r="A287" s="266" t="s">
        <v>1416</v>
      </c>
      <c r="B287" s="75">
        <v>42016</v>
      </c>
      <c r="C287" s="76">
        <v>83000</v>
      </c>
      <c r="D287" s="77"/>
      <c r="E287" s="77"/>
      <c r="F287" s="78"/>
      <c r="G287" s="78"/>
      <c r="H287" s="78" t="s">
        <v>739</v>
      </c>
      <c r="I287" s="233" t="s">
        <v>1377</v>
      </c>
      <c r="J287" s="80" t="str">
        <f t="shared" si="59"/>
        <v/>
      </c>
      <c r="K287" s="81" t="s">
        <v>817</v>
      </c>
      <c r="L287" s="82" t="s">
        <v>1417</v>
      </c>
      <c r="M287" s="83">
        <v>46154</v>
      </c>
      <c r="N287" s="83">
        <v>46155</v>
      </c>
      <c r="O287" s="84"/>
      <c r="P287" s="82" t="s">
        <v>1418</v>
      </c>
      <c r="Q287" s="82"/>
      <c r="R287" s="82" t="s">
        <v>1419</v>
      </c>
      <c r="S287" s="120" t="s">
        <v>33</v>
      </c>
      <c r="T287" s="86">
        <v>46131</v>
      </c>
      <c r="U287" s="87" t="str">
        <f>IF(V287="","No AIS",VLOOKUP(V287,'Voyage days'!$A$3:$B$1480,2,FALSE))</f>
        <v>Thailand + 3</v>
      </c>
      <c r="V287" s="88" t="str">
        <f>IF(VLOOKUP(A287,'1) Kpler'!$E$2:$P$1000,8, FALSE)="","",VLOOKUP(A287,'1) Kpler'!$E$2:$P$1000,8, FALSE))</f>
        <v>Ko Sichang</v>
      </c>
      <c r="W287" s="89">
        <f>IF(VLOOKUP(A287,'1) Kpler'!$E$2:$P$1000,9,FALSE)="","",VLOOKUP(A287,'1) Kpler'!$E$2:$P$1000,9,FALSE))</f>
        <v>46152.791666666664</v>
      </c>
      <c r="X287" s="88" t="str">
        <f>VLOOKUP(A287,'1) Kpler'!$E$2:$I$1000,4,FALSE)</f>
        <v>loaded</v>
      </c>
      <c r="Y287" s="234" t="str">
        <f t="shared" si="49"/>
        <v>25-26 May</v>
      </c>
      <c r="Z287" s="234" t="str">
        <f t="shared" si="50"/>
        <v>15-16 Jun</v>
      </c>
      <c r="AA287" s="234" t="str">
        <f t="shared" si="51"/>
        <v>21-22 Jun</v>
      </c>
      <c r="AB287" s="234" t="str">
        <f t="shared" si="52"/>
        <v>03-04 Jun</v>
      </c>
      <c r="AC287" s="234" t="str">
        <f t="shared" si="53"/>
        <v>12-13 Jun</v>
      </c>
      <c r="AD287" s="234" t="str">
        <f t="shared" si="54"/>
        <v>14-15 May</v>
      </c>
      <c r="AE287" s="235" t="str">
        <f t="shared" si="55"/>
        <v>18-19 May</v>
      </c>
      <c r="AF287" s="92" t="str">
        <f t="shared" si="56"/>
        <v>22-23 Jun</v>
      </c>
      <c r="AG287" s="93" t="str">
        <f t="shared" si="57"/>
        <v>25-26 May</v>
      </c>
      <c r="AH287" s="94">
        <f>IFERROR($M287+VLOOKUP($L287,'Voyage days'!$F$38:$H$89,3,FALSE),"")</f>
        <v>46167</v>
      </c>
      <c r="AI287" s="94">
        <f>IFERROR(N287+VLOOKUP($L287,'Voyage days'!$F$38:$H$89,3,FALSE),"")</f>
        <v>46168</v>
      </c>
      <c r="AJ287" s="93" t="str">
        <f t="shared" si="27"/>
        <v>15-16 Jun</v>
      </c>
      <c r="AK287" s="94">
        <f>IFERROR($M287+VLOOKUP($L287,'Voyage days'!$F$94:$H$193,3,FALSE),"")</f>
        <v>46188</v>
      </c>
      <c r="AL287" s="94">
        <f>IFERROR($N287+VLOOKUP($L287,'Voyage days'!$F$94:$H$193,3,FALSE),"")</f>
        <v>46189</v>
      </c>
      <c r="AM287" s="93" t="str">
        <f t="shared" si="28"/>
        <v>21-22 Jun</v>
      </c>
      <c r="AN287" s="94">
        <f>IFERROR($M287+VLOOKUP($L287,'Voyage days'!$F$203:$H$256,3,FALSE),"")</f>
        <v>46194</v>
      </c>
      <c r="AO287" s="94">
        <f>IFERROR($N287+VLOOKUP($L287,'Voyage days'!$F$203:$H$256,3,FALSE),"")</f>
        <v>46195</v>
      </c>
      <c r="AP287" s="93" t="str">
        <f t="shared" si="29"/>
        <v>03-04 Jun</v>
      </c>
      <c r="AQ287" s="94">
        <f>IFERROR($M287+VLOOKUP($L287,'Voyage days'!$F$294:$H$377,3,FALSE),"")</f>
        <v>46176</v>
      </c>
      <c r="AR287" s="94">
        <f>IFERROR($N287+VLOOKUP($L287,'Voyage days'!$F$294:$H$377,3,FALSE),"")</f>
        <v>46177</v>
      </c>
      <c r="AS287" s="93" t="str">
        <f t="shared" si="30"/>
        <v>12-13 Jun</v>
      </c>
      <c r="AT287" s="94">
        <f>IFERROR($M287+VLOOKUP($L287,'Voyage days'!$F$382:$H$446,3,FALSE),"")</f>
        <v>46185</v>
      </c>
      <c r="AU287" s="94">
        <f>IFERROR($N287+VLOOKUP($L287,'Voyage days'!$F$382:$H$446,3,FALSE),"")</f>
        <v>46186</v>
      </c>
      <c r="AV287" s="93" t="str">
        <f t="shared" si="31"/>
        <v>25-26 May</v>
      </c>
      <c r="AW287" s="94">
        <f>IFERROR($M287+VLOOKUP($L287,'Voyage days'!$F$483:$H$538,3,FALSE),"")</f>
        <v>46167</v>
      </c>
      <c r="AX287" s="94">
        <f>IFERROR($N287+VLOOKUP($L287,'Voyage days'!$F$483:$H$538,3,FALSE),"")</f>
        <v>46168</v>
      </c>
      <c r="AY287" s="93" t="str">
        <f t="shared" si="32"/>
        <v>18-19 May</v>
      </c>
      <c r="AZ287" s="94">
        <f>IFERROR($M287+VLOOKUP($L287,'Voyage days'!$F$540:$H$613,3,FALSE),"")</f>
        <v>46160.75</v>
      </c>
      <c r="BA287" s="94">
        <f>IFERROR($N287+VLOOKUP($L287,'Voyage days'!$F$540:$H$613,3,FALSE),"")</f>
        <v>46161.75</v>
      </c>
      <c r="BB287" s="93" t="str">
        <f t="shared" si="33"/>
        <v>14-15 May</v>
      </c>
      <c r="BC287" s="94">
        <f>IFERROR($M287+VLOOKUP($L287,'Voyage days'!$F$448:$H$479,3,FALSE),"")</f>
        <v>46156</v>
      </c>
      <c r="BD287" s="94">
        <f>IFERROR($N287+VLOOKUP($L287,'Voyage days'!$F$448:$H$479,3,FALSE),"")</f>
        <v>46157</v>
      </c>
      <c r="BE287" s="93" t="str">
        <f t="shared" si="34"/>
        <v/>
      </c>
      <c r="BF287" s="95" t="str">
        <f>IFERROR($M287+VLOOKUP($L287,'Voyage days'!$F$620:$H$646,3,FALSE),"")</f>
        <v/>
      </c>
      <c r="BG287" s="95" t="str">
        <f>IFERROR($N287+VLOOKUP($L287,'Voyage days'!$F$620:$H$646,3,FALSE),"")</f>
        <v/>
      </c>
      <c r="BH287" s="93" t="str">
        <f t="shared" si="35"/>
        <v>18-23 Jun</v>
      </c>
      <c r="BI287" s="96">
        <f>IFERROR($M287+VLOOKUP($L287,'Voyage days'!$F$702:$H$727,3,FALSE),"")</f>
        <v>46160.75</v>
      </c>
      <c r="BJ287" s="93" t="str">
        <f t="shared" si="36"/>
        <v>22-23 Jun</v>
      </c>
      <c r="BK287" s="95">
        <f>IFERROR($M287+VLOOKUP($L287,'Voyage days'!$F$807:$H$878,3,FALSE),"")</f>
        <v>46195</v>
      </c>
      <c r="BL287" s="95">
        <f>IFERROR($N287+VLOOKUP($L287,'Voyage days'!$F$807:$H$878,3,FALSE),"")</f>
        <v>46196</v>
      </c>
      <c r="BM287" s="95">
        <f>IFERROR($N287+VLOOKUP($L287,'Voyage days'!$F$807:$K$878,6,FALSE),"")</f>
        <v>46170</v>
      </c>
      <c r="BN287" s="94" t="str">
        <f>IF(L287="loads AG", IFERROR($M287+VLOOKUP($L287,'Voyage days'!$M$38:$O$38,3,FALSE),""),"")</f>
        <v/>
      </c>
      <c r="BO287" s="94" t="str">
        <f>IF(L287="loads USG", IFERROR($M287+VLOOKUP($L287,'Voyage days'!$L$203:$N$203,3,FALSE),""),"")</f>
        <v/>
      </c>
    </row>
    <row r="288" spans="1:68" ht="15.75" customHeight="1" x14ac:dyDescent="0.25">
      <c r="A288" s="266" t="s">
        <v>1420</v>
      </c>
      <c r="B288" s="75">
        <v>42016</v>
      </c>
      <c r="C288" s="76">
        <v>83000</v>
      </c>
      <c r="D288" s="77"/>
      <c r="E288" s="77"/>
      <c r="F288" s="78"/>
      <c r="G288" s="78"/>
      <c r="H288" s="78" t="s">
        <v>739</v>
      </c>
      <c r="I288" s="233" t="s">
        <v>1421</v>
      </c>
      <c r="J288" s="80" t="str">
        <f t="shared" si="59"/>
        <v/>
      </c>
      <c r="K288" s="81"/>
      <c r="L288" s="82" t="s">
        <v>990</v>
      </c>
      <c r="M288" s="83">
        <v>46143</v>
      </c>
      <c r="N288" s="83">
        <v>46144</v>
      </c>
      <c r="O288" s="84"/>
      <c r="P288" s="82" t="s">
        <v>1422</v>
      </c>
      <c r="Q288" s="82"/>
      <c r="R288" s="82" t="s">
        <v>1423</v>
      </c>
      <c r="S288" s="120" t="s">
        <v>33</v>
      </c>
      <c r="T288" s="86">
        <v>46131</v>
      </c>
      <c r="U288" s="87" t="str">
        <f>IF(V288="","No AIS",VLOOKUP(V288,'Voyage days'!$A$3:$B$1480,2,FALSE))</f>
        <v>Tanzania + 7</v>
      </c>
      <c r="V288" s="88" t="str">
        <f>IF(VLOOKUP(A288,'1) Kpler'!$E$2:$P$1000,8, FALSE)="","",VLOOKUP(A288,'1) Kpler'!$E$2:$P$1000,8, FALSE))</f>
        <v>Zanzibar</v>
      </c>
      <c r="W288" s="89">
        <f>IF(VLOOKUP(A288,'1) Kpler'!$E$2:$P$1000,9,FALSE)="","",VLOOKUP(A288,'1) Kpler'!$E$2:$P$1000,9,FALSE))</f>
        <v>46138.5</v>
      </c>
      <c r="X288" s="88" t="str">
        <f>VLOOKUP(A288,'1) Kpler'!$E$2:$I$1000,4,FALSE)</f>
        <v>loaded</v>
      </c>
      <c r="Y288" s="63" t="str">
        <f t="shared" si="49"/>
        <v>10-11 May</v>
      </c>
      <c r="Z288" s="63" t="str">
        <f t="shared" si="50"/>
        <v>17-18 Jun</v>
      </c>
      <c r="AA288" s="63" t="str">
        <f t="shared" si="51"/>
        <v>28-29 May</v>
      </c>
      <c r="AB288" s="63" t="str">
        <f t="shared" si="52"/>
        <v>15-16 May</v>
      </c>
      <c r="AC288" s="63" t="str">
        <f t="shared" si="53"/>
        <v>16-17 May</v>
      </c>
      <c r="AD288" s="63" t="str">
        <f t="shared" si="54"/>
        <v>12-13 May</v>
      </c>
      <c r="AE288" s="129" t="str">
        <f t="shared" si="55"/>
        <v>16-17 May</v>
      </c>
      <c r="AF288" s="130" t="str">
        <f t="shared" si="56"/>
        <v>01-02 May</v>
      </c>
      <c r="AG288" s="93" t="str">
        <f t="shared" si="57"/>
        <v>10-11 May</v>
      </c>
      <c r="AH288" s="94">
        <f>IFERROR($M288+VLOOKUP($L288,'Voyage days'!$F$38:$H$89,3,FALSE),"")</f>
        <v>46152</v>
      </c>
      <c r="AI288" s="94">
        <f>IFERROR(N288+VLOOKUP($L288,'Voyage days'!$F$38:$H$89,3,FALSE),"")</f>
        <v>46153</v>
      </c>
      <c r="AJ288" s="93" t="str">
        <f t="shared" si="27"/>
        <v>17-18 Jun</v>
      </c>
      <c r="AK288" s="94">
        <f>IFERROR($M288+VLOOKUP($L288,'Voyage days'!$F$94:$H$193,3,FALSE),"")</f>
        <v>46190</v>
      </c>
      <c r="AL288" s="94">
        <f>IFERROR($N288+VLOOKUP($L288,'Voyage days'!$F$94:$H$193,3,FALSE),"")</f>
        <v>46191</v>
      </c>
      <c r="AM288" s="93" t="str">
        <f t="shared" si="28"/>
        <v>28-29 May</v>
      </c>
      <c r="AN288" s="94">
        <f>IFERROR($M288+VLOOKUP($L288,'Voyage days'!$F$203:$H$256,3,FALSE),"")</f>
        <v>46170</v>
      </c>
      <c r="AO288" s="94">
        <f>IFERROR($N288+VLOOKUP($L288,'Voyage days'!$F$203:$H$256,3,FALSE),"")</f>
        <v>46171</v>
      </c>
      <c r="AP288" s="93" t="str">
        <f t="shared" si="29"/>
        <v>15-16 May</v>
      </c>
      <c r="AQ288" s="94">
        <f>IFERROR($M288+VLOOKUP($L288,'Voyage days'!$F$294:$H$377,3,FALSE),"")</f>
        <v>46157</v>
      </c>
      <c r="AR288" s="94">
        <f>IFERROR($N288+VLOOKUP($L288,'Voyage days'!$F$294:$H$377,3,FALSE),"")</f>
        <v>46158</v>
      </c>
      <c r="AS288" s="93" t="str">
        <f t="shared" si="30"/>
        <v>16-17 May</v>
      </c>
      <c r="AT288" s="94">
        <f>IFERROR($M288+VLOOKUP($L288,'Voyage days'!$F$382:$H$446,3,FALSE),"")</f>
        <v>46158</v>
      </c>
      <c r="AU288" s="94">
        <f>IFERROR($N288+VLOOKUP($L288,'Voyage days'!$F$382:$H$446,3,FALSE),"")</f>
        <v>46159</v>
      </c>
      <c r="AV288" s="93" t="str">
        <f t="shared" si="31"/>
        <v>18-19 May</v>
      </c>
      <c r="AW288" s="94">
        <f>IFERROR($M288+VLOOKUP($L288,'Voyage days'!$F$483:$H$538,3,FALSE),"")</f>
        <v>46160</v>
      </c>
      <c r="AX288" s="94">
        <f>IFERROR($N288+VLOOKUP($L288,'Voyage days'!$F$483:$H$538,3,FALSE),"")</f>
        <v>46161</v>
      </c>
      <c r="AY288" s="93" t="str">
        <f t="shared" si="32"/>
        <v>16-17 May</v>
      </c>
      <c r="AZ288" s="94">
        <f>IFERROR($M288+VLOOKUP($L288,'Voyage days'!$F$540:$H$613,3,FALSE),"")</f>
        <v>46158</v>
      </c>
      <c r="BA288" s="94">
        <f>IFERROR($N288+VLOOKUP($L288,'Voyage days'!$F$540:$H$613,3,FALSE),"")</f>
        <v>46159</v>
      </c>
      <c r="BB288" s="93" t="str">
        <f t="shared" si="33"/>
        <v>12-13 May</v>
      </c>
      <c r="BC288" s="94">
        <f>IFERROR($M288+VLOOKUP($L288,'Voyage days'!$F$448:$H$479,3,FALSE),"")</f>
        <v>46154</v>
      </c>
      <c r="BD288" s="94">
        <f>IFERROR($N288+VLOOKUP($L288,'Voyage days'!$F$448:$H$479,3,FALSE),"")</f>
        <v>46155</v>
      </c>
      <c r="BE288" s="93" t="str">
        <f t="shared" si="34"/>
        <v/>
      </c>
      <c r="BF288" s="95" t="str">
        <f>IFERROR($M288+VLOOKUP($L288,'Voyage days'!$F$620:$H$646,3,FALSE),"")</f>
        <v/>
      </c>
      <c r="BG288" s="95" t="str">
        <f>IFERROR($N288+VLOOKUP($L288,'Voyage days'!$F$620:$H$646,3,FALSE),"")</f>
        <v/>
      </c>
      <c r="BH288" s="93" t="str">
        <f t="shared" si="35"/>
        <v>16-02 May</v>
      </c>
      <c r="BI288" s="96">
        <f>IFERROR($M288+VLOOKUP($L288,'Voyage days'!$F$702:$H$727,3,FALSE),"")</f>
        <v>46158</v>
      </c>
      <c r="BJ288" s="93" t="str">
        <f t="shared" si="36"/>
        <v>01-02 May</v>
      </c>
      <c r="BK288" s="95">
        <f>IFERROR($M288+VLOOKUP($L288,'Voyage days'!$F$807:$H$878,3,FALSE),"")</f>
        <v>46143</v>
      </c>
      <c r="BL288" s="95">
        <f>IFERROR($N288+VLOOKUP($L288,'Voyage days'!$F$807:$H$878,3,FALSE),"")</f>
        <v>46144</v>
      </c>
      <c r="BM288" s="95">
        <f>IFERROR($N288+VLOOKUP($L288,'Voyage days'!$F$807:$K$878,6,FALSE),"")</f>
        <v>46157</v>
      </c>
      <c r="BN288" s="94" t="str">
        <f>IF(L288="loads AG", IFERROR($M288+VLOOKUP($L288,'Voyage days'!$M$38:$O$38,3,FALSE),""),"")</f>
        <v/>
      </c>
      <c r="BO288" s="94" t="str">
        <f>IF(L288="loads USG", IFERROR($M288+VLOOKUP($L288,'Voyage days'!$L$203:$N$203,3,FALSE),""),"")</f>
        <v/>
      </c>
    </row>
    <row r="289" spans="1:67" ht="13.5" customHeight="1" x14ac:dyDescent="0.25">
      <c r="A289" s="97" t="s">
        <v>1424</v>
      </c>
      <c r="B289" s="75">
        <v>42447</v>
      </c>
      <c r="C289" s="76">
        <v>84107</v>
      </c>
      <c r="D289" s="77"/>
      <c r="E289" s="77"/>
      <c r="F289" s="78"/>
      <c r="G289" s="78"/>
      <c r="H289" s="78" t="s">
        <v>713</v>
      </c>
      <c r="I289" s="233" t="s">
        <v>1377</v>
      </c>
      <c r="J289" s="80" t="str">
        <f t="shared" si="59"/>
        <v/>
      </c>
      <c r="K289" s="81"/>
      <c r="L289" s="82" t="s">
        <v>718</v>
      </c>
      <c r="M289" s="83">
        <v>46133</v>
      </c>
      <c r="N289" s="83">
        <v>46134</v>
      </c>
      <c r="O289" s="84"/>
      <c r="P289" s="82" t="s">
        <v>1425</v>
      </c>
      <c r="Q289" s="82"/>
      <c r="R289" s="82" t="s">
        <v>1426</v>
      </c>
      <c r="S289" s="120" t="s">
        <v>33</v>
      </c>
      <c r="T289" s="86">
        <v>46131</v>
      </c>
      <c r="U289" s="87" t="str">
        <f>IF(V289="","No AIS",VLOOKUP(V289,'Voyage days'!$A$3:$B$1480,2,FALSE))</f>
        <v>USG</v>
      </c>
      <c r="V289" s="88" t="str">
        <f>IF(VLOOKUP(A289,'1) Kpler'!$E$2:$P$1000,8, FALSE)="","",VLOOKUP(A289,'1) Kpler'!$E$2:$P$1000,8, FALSE))</f>
        <v>Houston</v>
      </c>
      <c r="W289" s="89">
        <f>IF(VLOOKUP(A289,'1) Kpler'!$E$2:$P$1000,9,FALSE)="","",VLOOKUP(A289,'1) Kpler'!$E$2:$P$1000,9,FALSE))</f>
        <v>46134</v>
      </c>
      <c r="X289" s="88" t="str">
        <f>VLOOKUP(A289,'1) Kpler'!$E$2:$I$1000,4,FALSE)</f>
        <v>open</v>
      </c>
      <c r="Y289" s="234" t="str">
        <f t="shared" si="49"/>
        <v/>
      </c>
      <c r="Z289" s="234" t="str">
        <f t="shared" si="50"/>
        <v>21-22 Apr</v>
      </c>
      <c r="AA289" s="234" t="str">
        <f t="shared" si="51"/>
        <v>21-22 Apr</v>
      </c>
      <c r="AB289" s="234" t="str">
        <f t="shared" si="52"/>
        <v/>
      </c>
      <c r="AC289" s="234" t="str">
        <f t="shared" si="53"/>
        <v>11-12 May</v>
      </c>
      <c r="AD289" s="234" t="str">
        <f t="shared" si="54"/>
        <v/>
      </c>
      <c r="AE289" s="235" t="str">
        <f t="shared" si="55"/>
        <v/>
      </c>
      <c r="AF289" s="92" t="str">
        <f t="shared" si="56"/>
        <v/>
      </c>
      <c r="AG289" s="93" t="str">
        <f t="shared" si="57"/>
        <v/>
      </c>
      <c r="AH289" s="94" t="str">
        <f>IFERROR($M289+VLOOKUP($L289,'Voyage days'!$F$38:$H$89,3,FALSE),"")</f>
        <v/>
      </c>
      <c r="AI289" s="94" t="str">
        <f>IFERROR(N289+VLOOKUP($L289,'Voyage days'!$F$38:$H$89,3,FALSE),"")</f>
        <v/>
      </c>
      <c r="AJ289" s="93" t="str">
        <f t="shared" si="27"/>
        <v>21-22 Apr</v>
      </c>
      <c r="AK289" s="94">
        <f>IFERROR($M289+VLOOKUP($L289,'Voyage days'!$F$94:$H$193,3,FALSE),"")</f>
        <v>46133</v>
      </c>
      <c r="AL289" s="94">
        <f>IFERROR($N289+VLOOKUP($L289,'Voyage days'!$F$94:$H$193,3,FALSE),"")</f>
        <v>46134</v>
      </c>
      <c r="AM289" s="93" t="str">
        <f t="shared" si="28"/>
        <v>21-22 Apr</v>
      </c>
      <c r="AN289" s="94">
        <f>IFERROR($M289+VLOOKUP($L289,'Voyage days'!$F$203:$H$256,3,FALSE),"")</f>
        <v>46133</v>
      </c>
      <c r="AO289" s="94">
        <f>IFERROR($N289+VLOOKUP($L289,'Voyage days'!$F$203:$H$256,3,FALSE),"")</f>
        <v>46134</v>
      </c>
      <c r="AP289" s="93" t="str">
        <f t="shared" si="29"/>
        <v/>
      </c>
      <c r="AQ289" s="94" t="str">
        <f>IFERROR($M289+VLOOKUP($L289,'Voyage days'!$F$294:$H$377,3,FALSE),"")</f>
        <v/>
      </c>
      <c r="AR289" s="94" t="str">
        <f>IFERROR($N289+VLOOKUP($L289,'Voyage days'!$F$294:$H$377,3,FALSE),"")</f>
        <v/>
      </c>
      <c r="AS289" s="93" t="str">
        <f t="shared" si="30"/>
        <v>11-12 May</v>
      </c>
      <c r="AT289" s="94">
        <f>IFERROR($M289+VLOOKUP($L289,'Voyage days'!$F$382:$H$446,3,FALSE),"")</f>
        <v>46153</v>
      </c>
      <c r="AU289" s="94">
        <f>IFERROR($N289+VLOOKUP($L289,'Voyage days'!$F$382:$H$446,3,FALSE),"")</f>
        <v>46154</v>
      </c>
      <c r="AV289" s="93" t="str">
        <f t="shared" si="31"/>
        <v/>
      </c>
      <c r="AW289" s="94" t="str">
        <f>IFERROR($M289+VLOOKUP($L289,'Voyage days'!$F$483:$H$538,3,FALSE),"")</f>
        <v/>
      </c>
      <c r="AX289" s="94" t="str">
        <f>IFERROR($N289+VLOOKUP($L289,'Voyage days'!$F$483:$H$538,3,FALSE),"")</f>
        <v/>
      </c>
      <c r="AY289" s="93" t="str">
        <f t="shared" si="32"/>
        <v/>
      </c>
      <c r="AZ289" s="94" t="str">
        <f>IFERROR($M289+VLOOKUP($L289,'Voyage days'!$F$540:$H$613,3,FALSE),"")</f>
        <v/>
      </c>
      <c r="BA289" s="94" t="str">
        <f>IFERROR($N289+VLOOKUP($L289,'Voyage days'!$F$540:$H$613,3,FALSE),"")</f>
        <v/>
      </c>
      <c r="BB289" s="93" t="str">
        <f t="shared" si="33"/>
        <v/>
      </c>
      <c r="BC289" s="94" t="str">
        <f>IFERROR($M289+VLOOKUP($L289,'Voyage days'!$F$448:$H$479,3,FALSE),"")</f>
        <v/>
      </c>
      <c r="BD289" s="94" t="str">
        <f>IFERROR($N289+VLOOKUP($L289,'Voyage days'!$F$448:$H$479,3,FALSE),"")</f>
        <v/>
      </c>
      <c r="BE289" s="93" t="str">
        <f t="shared" si="34"/>
        <v/>
      </c>
      <c r="BF289" s="95" t="str">
        <f>IFERROR($M289+VLOOKUP($L289,'Voyage days'!$F$620:$H$646,3,FALSE),"")</f>
        <v/>
      </c>
      <c r="BG289" s="95" t="str">
        <f>IFERROR($N289+VLOOKUP($L289,'Voyage days'!$F$620:$H$646,3,FALSE),"")</f>
        <v/>
      </c>
      <c r="BH289" s="93" t="str">
        <f t="shared" si="35"/>
        <v/>
      </c>
      <c r="BI289" s="96" t="str">
        <f>IFERROR($M289+VLOOKUP($L289,'Voyage days'!$F$702:$H$727,3,FALSE),"")</f>
        <v/>
      </c>
      <c r="BJ289" s="93" t="str">
        <f t="shared" si="36"/>
        <v/>
      </c>
      <c r="BK289" s="95" t="str">
        <f>IFERROR($M289+VLOOKUP($L289,'Voyage days'!$F$807:$H$878,3,FALSE),"")</f>
        <v/>
      </c>
      <c r="BL289" s="95" t="str">
        <f>IFERROR($N289+VLOOKUP($L289,'Voyage days'!$F$807:$H$878,3,FALSE),"")</f>
        <v/>
      </c>
      <c r="BM289" s="95" t="str">
        <f>IFERROR($N289+VLOOKUP($L289,'Voyage days'!$F$807:$K$878,6,FALSE),"")</f>
        <v/>
      </c>
      <c r="BN289" s="94" t="str">
        <f>IF(L289="loads AG", IFERROR($M289+VLOOKUP($L289,'Voyage days'!$M$38:$O$38,3,FALSE),""),"")</f>
        <v/>
      </c>
      <c r="BO289" s="94">
        <f>IF(L289="loads USG", IFERROR($M289+VLOOKUP($L289,'Voyage days'!$L$203:$N$203,3,FALSE),""),"")</f>
        <v>46165</v>
      </c>
    </row>
    <row r="290" spans="1:67" ht="15.75" customHeight="1" x14ac:dyDescent="0.25">
      <c r="A290" s="97" t="s">
        <v>1427</v>
      </c>
      <c r="B290" s="75">
        <v>42292</v>
      </c>
      <c r="C290" s="76">
        <v>84196</v>
      </c>
      <c r="D290" s="77"/>
      <c r="E290" s="77"/>
      <c r="F290" s="78"/>
      <c r="G290" s="78" t="s">
        <v>789</v>
      </c>
      <c r="H290" s="78" t="s">
        <v>713</v>
      </c>
      <c r="I290" s="233" t="s">
        <v>1377</v>
      </c>
      <c r="J290" s="80" t="str">
        <f t="shared" si="59"/>
        <v/>
      </c>
      <c r="K290" s="81" t="s">
        <v>817</v>
      </c>
      <c r="L290" s="82" t="s">
        <v>734</v>
      </c>
      <c r="M290" s="83">
        <v>46146</v>
      </c>
      <c r="N290" s="83">
        <v>46147</v>
      </c>
      <c r="O290" s="84"/>
      <c r="P290" s="82" t="s">
        <v>1428</v>
      </c>
      <c r="Q290" s="82"/>
      <c r="R290" s="82" t="s">
        <v>1429</v>
      </c>
      <c r="S290" s="120" t="s">
        <v>33</v>
      </c>
      <c r="T290" s="86">
        <v>46131</v>
      </c>
      <c r="U290" s="87" t="str">
        <f>IF(V290="","No AIS",VLOOKUP(V290,'Voyage days'!$A$3:$B$1480,2,FALSE))</f>
        <v>Indo + 4 (STS)</v>
      </c>
      <c r="V290" s="88" t="str">
        <f>IF(VLOOKUP(A290,'1) Kpler'!$E$2:$P$1000,8, FALSE)="","",VLOOKUP(A290,'1) Kpler'!$E$2:$P$1000,8, FALSE))</f>
        <v>Kalbut</v>
      </c>
      <c r="W290" s="89">
        <f>IF(VLOOKUP(A290,'1) Kpler'!$E$2:$P$1000,9,FALSE)="","",VLOOKUP(A290,'1) Kpler'!$E$2:$P$1000,9,FALSE))</f>
        <v>46143.5</v>
      </c>
      <c r="X290" s="88" t="str">
        <f>VLOOKUP(A290,'1) Kpler'!$E$2:$I$1000,4,FALSE)</f>
        <v>loaded</v>
      </c>
      <c r="Y290" s="63" t="str">
        <f t="shared" si="49"/>
        <v>15-16 May</v>
      </c>
      <c r="Z290" s="63" t="str">
        <f t="shared" si="50"/>
        <v>11-12 Jun</v>
      </c>
      <c r="AA290" s="63" t="str">
        <f t="shared" si="51"/>
        <v>10-11 Jun</v>
      </c>
      <c r="AB290" s="63" t="str">
        <f t="shared" si="52"/>
        <v>24-25 May</v>
      </c>
      <c r="AC290" s="63" t="str">
        <f t="shared" si="53"/>
        <v>02-03 Jun</v>
      </c>
      <c r="AD290" s="63" t="str">
        <f t="shared" si="54"/>
        <v>07-08 May</v>
      </c>
      <c r="AE290" s="129" t="str">
        <f t="shared" si="55"/>
        <v>08-09 May</v>
      </c>
      <c r="AF290" s="130" t="str">
        <f t="shared" si="56"/>
        <v>10-11 Jun</v>
      </c>
      <c r="AG290" s="93" t="str">
        <f t="shared" si="57"/>
        <v>15-16 May</v>
      </c>
      <c r="AH290" s="94">
        <f>IFERROR($M290+VLOOKUP($L290,'Voyage days'!$F$38:$H$89,3,FALSE),"")</f>
        <v>46157</v>
      </c>
      <c r="AI290" s="94">
        <f>IFERROR(N290+VLOOKUP($L290,'Voyage days'!$F$38:$H$89,3,FALSE),"")</f>
        <v>46158</v>
      </c>
      <c r="AJ290" s="93" t="str">
        <f t="shared" si="27"/>
        <v>11-12 Jun</v>
      </c>
      <c r="AK290" s="94">
        <f>IFERROR($M290+VLOOKUP($L290,'Voyage days'!$F$94:$H$193,3,FALSE),"")</f>
        <v>46184</v>
      </c>
      <c r="AL290" s="94">
        <f>IFERROR($N290+VLOOKUP($L290,'Voyage days'!$F$94:$H$193,3,FALSE),"")</f>
        <v>46185</v>
      </c>
      <c r="AM290" s="93" t="str">
        <f t="shared" si="28"/>
        <v>10-11 Jun</v>
      </c>
      <c r="AN290" s="94">
        <f>IFERROR($M290+VLOOKUP($L290,'Voyage days'!$F$203:$H$256,3,FALSE),"")</f>
        <v>46183</v>
      </c>
      <c r="AO290" s="94">
        <f>IFERROR($N290+VLOOKUP($L290,'Voyage days'!$F$203:$H$256,3,FALSE),"")</f>
        <v>46184</v>
      </c>
      <c r="AP290" s="93" t="str">
        <f t="shared" si="29"/>
        <v>24-25 May</v>
      </c>
      <c r="AQ290" s="94">
        <f>IFERROR($M290+VLOOKUP($L290,'Voyage days'!$F$294:$H$377,3,FALSE),"")</f>
        <v>46166</v>
      </c>
      <c r="AR290" s="94">
        <f>IFERROR($N290+VLOOKUP($L290,'Voyage days'!$F$294:$H$377,3,FALSE),"")</f>
        <v>46167</v>
      </c>
      <c r="AS290" s="93" t="str">
        <f t="shared" si="30"/>
        <v>02-03 Jun</v>
      </c>
      <c r="AT290" s="94">
        <f>IFERROR($M290+VLOOKUP($L290,'Voyage days'!$F$382:$H$446,3,FALSE),"")</f>
        <v>46175</v>
      </c>
      <c r="AU290" s="94">
        <f>IFERROR($N290+VLOOKUP($L290,'Voyage days'!$F$382:$H$446,3,FALSE),"")</f>
        <v>46176</v>
      </c>
      <c r="AV290" s="93" t="str">
        <f t="shared" si="31"/>
        <v>13-14 May</v>
      </c>
      <c r="AW290" s="94">
        <f>IFERROR($M290+VLOOKUP($L290,'Voyage days'!$F$483:$H$538,3,FALSE),"")</f>
        <v>46155</v>
      </c>
      <c r="AX290" s="94">
        <f>IFERROR($N290+VLOOKUP($L290,'Voyage days'!$F$483:$H$538,3,FALSE),"")</f>
        <v>46156</v>
      </c>
      <c r="AY290" s="93" t="str">
        <f t="shared" si="32"/>
        <v>08-09 May</v>
      </c>
      <c r="AZ290" s="94">
        <f>IFERROR($M290+VLOOKUP($L290,'Voyage days'!$F$540:$H$613,3,FALSE),"")</f>
        <v>46150</v>
      </c>
      <c r="BA290" s="94">
        <f>IFERROR($N290+VLOOKUP($L290,'Voyage days'!$F$540:$H$613,3,FALSE),"")</f>
        <v>46151</v>
      </c>
      <c r="BB290" s="93" t="str">
        <f t="shared" si="33"/>
        <v>07-08 May</v>
      </c>
      <c r="BC290" s="94">
        <f>IFERROR($M290+VLOOKUP($L290,'Voyage days'!$F$448:$H$479,3,FALSE),"")</f>
        <v>46149</v>
      </c>
      <c r="BD290" s="94">
        <f>IFERROR($N290+VLOOKUP($L290,'Voyage days'!$F$448:$H$479,3,FALSE),"")</f>
        <v>46150</v>
      </c>
      <c r="BE290" s="93" t="str">
        <f t="shared" si="34"/>
        <v/>
      </c>
      <c r="BF290" s="95" t="str">
        <f>IFERROR($M290+VLOOKUP($L290,'Voyage days'!$F$620:$H$646,3,FALSE),"")</f>
        <v/>
      </c>
      <c r="BG290" s="95" t="str">
        <f>IFERROR($N290+VLOOKUP($L290,'Voyage days'!$F$620:$H$646,3,FALSE),"")</f>
        <v/>
      </c>
      <c r="BH290" s="93" t="str">
        <f t="shared" si="35"/>
        <v>12-11 Jun</v>
      </c>
      <c r="BI290" s="96">
        <f>IFERROR($M290+VLOOKUP($L290,'Voyage days'!$F$702:$H$727,3,FALSE),"")</f>
        <v>46154</v>
      </c>
      <c r="BJ290" s="93" t="str">
        <f t="shared" si="36"/>
        <v>10-11 Jun</v>
      </c>
      <c r="BK290" s="95">
        <f>IFERROR($M290+VLOOKUP($L290,'Voyage days'!$F$807:$H$878,3,FALSE),"")</f>
        <v>46183</v>
      </c>
      <c r="BL290" s="95">
        <f>IFERROR($N290+VLOOKUP($L290,'Voyage days'!$F$807:$H$878,3,FALSE),"")</f>
        <v>46184</v>
      </c>
      <c r="BM290" s="95">
        <f>IFERROR($N290+VLOOKUP($L290,'Voyage days'!$F$807:$K$878,6,FALSE),"")</f>
        <v>46160</v>
      </c>
      <c r="BN290" s="94" t="str">
        <f>IF(L290="loads AG", IFERROR($M290+VLOOKUP($L290,'Voyage days'!$M$38:$O$38,3,FALSE),""),"")</f>
        <v/>
      </c>
      <c r="BO290" s="94" t="str">
        <f>IF(L290="loads USG", IFERROR($M290+VLOOKUP($L290,'Voyage days'!$L$203:$N$203,3,FALSE),""),"")</f>
        <v/>
      </c>
    </row>
    <row r="291" spans="1:67" ht="15" customHeight="1" x14ac:dyDescent="0.25">
      <c r="A291" s="266" t="s">
        <v>1430</v>
      </c>
      <c r="B291" s="75">
        <v>42184</v>
      </c>
      <c r="C291" s="76">
        <v>83000</v>
      </c>
      <c r="D291" s="77"/>
      <c r="E291" s="77"/>
      <c r="F291" s="78"/>
      <c r="G291" s="78"/>
      <c r="H291" s="78" t="s">
        <v>739</v>
      </c>
      <c r="I291" s="233" t="s">
        <v>1377</v>
      </c>
      <c r="J291" s="80" t="str">
        <f t="shared" si="59"/>
        <v/>
      </c>
      <c r="K291" s="81" t="s">
        <v>817</v>
      </c>
      <c r="L291" s="82" t="s">
        <v>718</v>
      </c>
      <c r="M291" s="307">
        <v>46161</v>
      </c>
      <c r="N291" s="307">
        <v>46162</v>
      </c>
      <c r="O291" s="84"/>
      <c r="P291" s="82" t="s">
        <v>1431</v>
      </c>
      <c r="Q291" s="82"/>
      <c r="R291" s="82" t="s">
        <v>1432</v>
      </c>
      <c r="S291" s="120" t="s">
        <v>33</v>
      </c>
      <c r="T291" s="86">
        <v>46131</v>
      </c>
      <c r="U291" s="87" t="str">
        <f>IF(V291="","No AIS",VLOOKUP(V291,'Voyage days'!$A$3:$B$1480,2,FALSE))</f>
        <v>Port Louis</v>
      </c>
      <c r="V291" s="88" t="str">
        <f>IF(VLOOKUP(A291,'1) Kpler'!$E$2:$P$1000,8, FALSE)="","",VLOOKUP(A291,'1) Kpler'!$E$2:$P$1000,8, FALSE))</f>
        <v>Port Louis</v>
      </c>
      <c r="W291" s="89">
        <f>IF(VLOOKUP(A291,'1) Kpler'!$E$2:$P$1000,9,FALSE)="","",VLOOKUP(A291,'1) Kpler'!$E$2:$P$1000,9,FALSE))</f>
        <v>46134.395833333336</v>
      </c>
      <c r="X291" s="88" t="str">
        <f>VLOOKUP(A291,'1) Kpler'!$E$2:$I$1000,4,FALSE)</f>
        <v>ballast</v>
      </c>
      <c r="Y291" s="234" t="str">
        <f t="shared" si="49"/>
        <v/>
      </c>
      <c r="Z291" s="234" t="str">
        <f t="shared" si="50"/>
        <v>19-20 May</v>
      </c>
      <c r="AA291" s="234" t="str">
        <f t="shared" si="51"/>
        <v>19-20 May</v>
      </c>
      <c r="AB291" s="234" t="str">
        <f t="shared" si="52"/>
        <v/>
      </c>
      <c r="AC291" s="234" t="str">
        <f t="shared" si="53"/>
        <v>08-09 Jun</v>
      </c>
      <c r="AD291" s="234" t="str">
        <f t="shared" si="54"/>
        <v/>
      </c>
      <c r="AE291" s="235" t="str">
        <f t="shared" si="55"/>
        <v/>
      </c>
      <c r="AF291" s="92" t="str">
        <f t="shared" si="56"/>
        <v/>
      </c>
      <c r="AG291" s="93" t="str">
        <f t="shared" si="57"/>
        <v/>
      </c>
      <c r="AH291" s="94" t="str">
        <f>IFERROR($M291+VLOOKUP($L291,'Voyage days'!$F$38:$H$89,3,FALSE),"")</f>
        <v/>
      </c>
      <c r="AI291" s="94" t="str">
        <f>IFERROR(N291+VLOOKUP($L291,'Voyage days'!$F$38:$H$89,3,FALSE),"")</f>
        <v/>
      </c>
      <c r="AJ291" s="93" t="str">
        <f t="shared" si="27"/>
        <v>19-20 May</v>
      </c>
      <c r="AK291" s="94">
        <f>IFERROR($M291+VLOOKUP($L291,'Voyage days'!$F$94:$H$193,3,FALSE),"")</f>
        <v>46161</v>
      </c>
      <c r="AL291" s="94">
        <f>IFERROR($N291+VLOOKUP($L291,'Voyage days'!$F$94:$H$193,3,FALSE),"")</f>
        <v>46162</v>
      </c>
      <c r="AM291" s="93" t="str">
        <f t="shared" si="28"/>
        <v>19-20 May</v>
      </c>
      <c r="AN291" s="94">
        <f>IFERROR($M291+VLOOKUP($L291,'Voyage days'!$F$203:$H$256,3,FALSE),"")</f>
        <v>46161</v>
      </c>
      <c r="AO291" s="94">
        <f>IFERROR($N291+VLOOKUP($L291,'Voyage days'!$F$203:$H$256,3,FALSE),"")</f>
        <v>46162</v>
      </c>
      <c r="AP291" s="93" t="str">
        <f t="shared" si="29"/>
        <v/>
      </c>
      <c r="AQ291" s="94" t="str">
        <f>IFERROR($M291+VLOOKUP($L291,'Voyage days'!$F$294:$H$377,3,FALSE),"")</f>
        <v/>
      </c>
      <c r="AR291" s="94" t="str">
        <f>IFERROR($N291+VLOOKUP($L291,'Voyage days'!$F$294:$H$377,3,FALSE),"")</f>
        <v/>
      </c>
      <c r="AS291" s="93" t="str">
        <f t="shared" si="30"/>
        <v>08-09 Jun</v>
      </c>
      <c r="AT291" s="94">
        <f>IFERROR($M291+VLOOKUP($L291,'Voyage days'!$F$382:$H$446,3,FALSE),"")</f>
        <v>46181</v>
      </c>
      <c r="AU291" s="94">
        <f>IFERROR($N291+VLOOKUP($L291,'Voyage days'!$F$382:$H$446,3,FALSE),"")</f>
        <v>46182</v>
      </c>
      <c r="AV291" s="93" t="str">
        <f t="shared" si="31"/>
        <v/>
      </c>
      <c r="AW291" s="94" t="str">
        <f>IFERROR($M291+VLOOKUP($L291,'Voyage days'!$F$483:$H$538,3,FALSE),"")</f>
        <v/>
      </c>
      <c r="AX291" s="94" t="str">
        <f>IFERROR($N291+VLOOKUP($L291,'Voyage days'!$F$483:$H$538,3,FALSE),"")</f>
        <v/>
      </c>
      <c r="AY291" s="93" t="str">
        <f t="shared" si="32"/>
        <v/>
      </c>
      <c r="AZ291" s="94" t="str">
        <f>IFERROR($M291+VLOOKUP($L291,'Voyage days'!$F$540:$H$613,3,FALSE),"")</f>
        <v/>
      </c>
      <c r="BA291" s="94" t="str">
        <f>IFERROR($N291+VLOOKUP($L291,'Voyage days'!$F$540:$H$613,3,FALSE),"")</f>
        <v/>
      </c>
      <c r="BB291" s="93" t="str">
        <f t="shared" si="33"/>
        <v/>
      </c>
      <c r="BC291" s="94" t="str">
        <f>IFERROR($M291+VLOOKUP($L291,'Voyage days'!$F$448:$H$479,3,FALSE),"")</f>
        <v/>
      </c>
      <c r="BD291" s="94" t="str">
        <f>IFERROR($N291+VLOOKUP($L291,'Voyage days'!$F$448:$H$479,3,FALSE),"")</f>
        <v/>
      </c>
      <c r="BE291" s="93" t="str">
        <f t="shared" si="34"/>
        <v/>
      </c>
      <c r="BF291" s="95" t="str">
        <f>IFERROR($M291+VLOOKUP($L291,'Voyage days'!$F$620:$H$646,3,FALSE),"")</f>
        <v/>
      </c>
      <c r="BG291" s="95" t="str">
        <f>IFERROR($N291+VLOOKUP($L291,'Voyage days'!$F$620:$H$646,3,FALSE),"")</f>
        <v/>
      </c>
      <c r="BH291" s="93" t="str">
        <f t="shared" si="35"/>
        <v/>
      </c>
      <c r="BI291" s="96" t="str">
        <f>IFERROR($M291+VLOOKUP($L291,'Voyage days'!$F$702:$H$727,3,FALSE),"")</f>
        <v/>
      </c>
      <c r="BJ291" s="93" t="str">
        <f t="shared" si="36"/>
        <v/>
      </c>
      <c r="BK291" s="95" t="str">
        <f>IFERROR($M291+VLOOKUP($L291,'Voyage days'!$F$807:$H$878,3,FALSE),"")</f>
        <v/>
      </c>
      <c r="BL291" s="95" t="str">
        <f>IFERROR($N291+VLOOKUP($L291,'Voyage days'!$F$807:$H$878,3,FALSE),"")</f>
        <v/>
      </c>
      <c r="BM291" s="95" t="str">
        <f>IFERROR($N291+VLOOKUP($L291,'Voyage days'!$F$807:$K$878,6,FALSE),"")</f>
        <v/>
      </c>
      <c r="BN291" s="94" t="str">
        <f>IF(L291="loads AG", IFERROR($M291+VLOOKUP($L291,'Voyage days'!$M$38:$O$38,3,FALSE),""),"")</f>
        <v/>
      </c>
      <c r="BO291" s="94">
        <f>IF(L291="loads USG", IFERROR($M291+VLOOKUP($L291,'Voyage days'!$L$203:$N$203,3,FALSE),""),"")</f>
        <v>46193</v>
      </c>
    </row>
    <row r="292" spans="1:67" ht="15.75" customHeight="1" x14ac:dyDescent="0.25">
      <c r="A292" s="514" t="s">
        <v>1433</v>
      </c>
      <c r="B292" s="75">
        <v>42297</v>
      </c>
      <c r="C292" s="76">
        <v>83000</v>
      </c>
      <c r="D292" s="77"/>
      <c r="E292" s="77"/>
      <c r="F292" s="78"/>
      <c r="G292" s="78"/>
      <c r="H292" s="78"/>
      <c r="I292" s="233" t="s">
        <v>1377</v>
      </c>
      <c r="J292" s="80" t="s">
        <v>1434</v>
      </c>
      <c r="K292" s="81"/>
      <c r="L292" s="82" t="s">
        <v>718</v>
      </c>
      <c r="M292" s="83">
        <v>46133</v>
      </c>
      <c r="N292" s="83">
        <v>46134</v>
      </c>
      <c r="O292" s="84"/>
      <c r="P292" s="82" t="s">
        <v>1435</v>
      </c>
      <c r="Q292" s="82"/>
      <c r="R292" s="82" t="s">
        <v>1436</v>
      </c>
      <c r="S292" s="120" t="s">
        <v>33</v>
      </c>
      <c r="T292" s="86">
        <v>46131</v>
      </c>
      <c r="U292" s="87" t="s">
        <v>1437</v>
      </c>
      <c r="V292" s="88" t="s">
        <v>556</v>
      </c>
      <c r="W292" s="89" t="s">
        <v>556</v>
      </c>
      <c r="X292" s="88" t="s">
        <v>26</v>
      </c>
      <c r="Y292" s="234" t="str">
        <f t="shared" si="49"/>
        <v/>
      </c>
      <c r="Z292" s="234" t="str">
        <f t="shared" si="50"/>
        <v>21-22 Apr</v>
      </c>
      <c r="AA292" s="234" t="str">
        <f t="shared" si="51"/>
        <v>21-22 Apr</v>
      </c>
      <c r="AB292" s="234" t="str">
        <f t="shared" si="52"/>
        <v/>
      </c>
      <c r="AC292" s="234" t="str">
        <f t="shared" si="53"/>
        <v>11-12 May</v>
      </c>
      <c r="AD292" s="234" t="str">
        <f t="shared" si="54"/>
        <v/>
      </c>
      <c r="AE292" s="235" t="str">
        <f t="shared" si="55"/>
        <v/>
      </c>
      <c r="AF292" s="92" t="str">
        <f t="shared" si="56"/>
        <v/>
      </c>
      <c r="AG292" s="93" t="str">
        <f t="shared" si="57"/>
        <v/>
      </c>
      <c r="AH292" s="94" t="str">
        <f>IFERROR($M292+VLOOKUP($L292,'Voyage days'!$F$38:$H$89,3,FALSE),"")</f>
        <v/>
      </c>
      <c r="AI292" s="94" t="str">
        <f>IFERROR(N292+VLOOKUP($L292,'Voyage days'!$F$38:$H$89,3,FALSE),"")</f>
        <v/>
      </c>
      <c r="AJ292" s="93" t="str">
        <f t="shared" si="27"/>
        <v>21-22 Apr</v>
      </c>
      <c r="AK292" s="94">
        <f>IFERROR($M292+VLOOKUP($L292,'Voyage days'!$F$94:$H$193,3,FALSE),"")</f>
        <v>46133</v>
      </c>
      <c r="AL292" s="94">
        <f>IFERROR($N292+VLOOKUP($L292,'Voyage days'!$F$94:$H$193,3,FALSE),"")</f>
        <v>46134</v>
      </c>
      <c r="AM292" s="93" t="str">
        <f t="shared" si="28"/>
        <v>21-22 Apr</v>
      </c>
      <c r="AN292" s="94">
        <f>IFERROR($M292+VLOOKUP($L292,'Voyage days'!$F$203:$H$256,3,FALSE),"")</f>
        <v>46133</v>
      </c>
      <c r="AO292" s="94">
        <f>IFERROR($N292+VLOOKUP($L292,'Voyage days'!$F$203:$H$256,3,FALSE),"")</f>
        <v>46134</v>
      </c>
      <c r="AP292" s="93" t="str">
        <f t="shared" si="29"/>
        <v/>
      </c>
      <c r="AQ292" s="94" t="str">
        <f>IFERROR($M292+VLOOKUP($L292,'Voyage days'!$F$294:$H$377,3,FALSE),"")</f>
        <v/>
      </c>
      <c r="AR292" s="94" t="str">
        <f>IFERROR($N292+VLOOKUP($L292,'Voyage days'!$F$294:$H$377,3,FALSE),"")</f>
        <v/>
      </c>
      <c r="AS292" s="93" t="str">
        <f t="shared" si="30"/>
        <v>11-12 May</v>
      </c>
      <c r="AT292" s="94">
        <f>IFERROR($M292+VLOOKUP($L292,'Voyage days'!$F$382:$H$446,3,FALSE),"")</f>
        <v>46153</v>
      </c>
      <c r="AU292" s="94">
        <f>IFERROR($N292+VLOOKUP($L292,'Voyage days'!$F$382:$H$446,3,FALSE),"")</f>
        <v>46154</v>
      </c>
      <c r="AV292" s="93" t="str">
        <f t="shared" si="31"/>
        <v/>
      </c>
      <c r="AW292" s="94" t="str">
        <f>IFERROR($M292+VLOOKUP($L292,'Voyage days'!$F$483:$H$538,3,FALSE),"")</f>
        <v/>
      </c>
      <c r="AX292" s="94" t="str">
        <f>IFERROR($N292+VLOOKUP($L292,'Voyage days'!$F$483:$H$538,3,FALSE),"")</f>
        <v/>
      </c>
      <c r="AY292" s="93" t="str">
        <f t="shared" si="32"/>
        <v/>
      </c>
      <c r="AZ292" s="94" t="str">
        <f>IFERROR($M292+VLOOKUP($L292,'Voyage days'!$F$540:$H$613,3,FALSE),"")</f>
        <v/>
      </c>
      <c r="BA292" s="94" t="str">
        <f>IFERROR($N292+VLOOKUP($L292,'Voyage days'!$F$540:$H$613,3,FALSE),"")</f>
        <v/>
      </c>
      <c r="BB292" s="93" t="str">
        <f t="shared" si="33"/>
        <v/>
      </c>
      <c r="BC292" s="94" t="str">
        <f>IFERROR($M292+VLOOKUP($L292,'Voyage days'!$F$448:$H$479,3,FALSE),"")</f>
        <v/>
      </c>
      <c r="BD292" s="94" t="str">
        <f>IFERROR($N292+VLOOKUP($L292,'Voyage days'!$F$448:$H$479,3,FALSE),"")</f>
        <v/>
      </c>
      <c r="BE292" s="93" t="str">
        <f t="shared" si="34"/>
        <v/>
      </c>
      <c r="BF292" s="95" t="str">
        <f>IFERROR($M292+VLOOKUP($L292,'Voyage days'!$F$620:$H$646,3,FALSE),"")</f>
        <v/>
      </c>
      <c r="BG292" s="95" t="str">
        <f>IFERROR($N292+VLOOKUP($L292,'Voyage days'!$F$620:$H$646,3,FALSE),"")</f>
        <v/>
      </c>
      <c r="BH292" s="93" t="str">
        <f t="shared" si="35"/>
        <v/>
      </c>
      <c r="BI292" s="96" t="str">
        <f>IFERROR($M292+VLOOKUP($L292,'Voyage days'!$F$702:$H$727,3,FALSE),"")</f>
        <v/>
      </c>
      <c r="BJ292" s="93" t="str">
        <f t="shared" si="36"/>
        <v/>
      </c>
      <c r="BK292" s="95" t="str">
        <f>IFERROR($M292+VLOOKUP($L292,'Voyage days'!$F$807:$H$878,3,FALSE),"")</f>
        <v/>
      </c>
      <c r="BL292" s="95" t="str">
        <f>IFERROR($N292+VLOOKUP($L292,'Voyage days'!$F$807:$H$878,3,FALSE),"")</f>
        <v/>
      </c>
      <c r="BM292" s="95" t="str">
        <f>IFERROR($N292+VLOOKUP($L292,'Voyage days'!$F$807:$K$878,6,FALSE),"")</f>
        <v/>
      </c>
      <c r="BN292" s="94" t="str">
        <f>IF(L292="loads AG", IFERROR($M292+VLOOKUP($L292,'Voyage days'!$M$38:$O$38,3,FALSE),""),"")</f>
        <v/>
      </c>
      <c r="BO292" s="94">
        <f>IF(L292="loads USG", IFERROR($M292+VLOOKUP($L292,'Voyage days'!$L$203:$N$203,3,FALSE),""),"")</f>
        <v>46165</v>
      </c>
    </row>
    <row r="293" spans="1:67" ht="15.75" customHeight="1" x14ac:dyDescent="0.25">
      <c r="A293" s="266" t="s">
        <v>1438</v>
      </c>
      <c r="B293" s="119">
        <v>2011</v>
      </c>
      <c r="C293" s="76">
        <v>80000</v>
      </c>
      <c r="D293" s="77"/>
      <c r="E293" s="77"/>
      <c r="F293" s="78"/>
      <c r="G293" s="78"/>
      <c r="H293" s="78" t="s">
        <v>713</v>
      </c>
      <c r="I293" s="233" t="s">
        <v>1377</v>
      </c>
      <c r="J293" s="80" t="str">
        <f t="shared" ref="J293:J302" si="60">IF(W293="","NO AIS",IF((W293-M293-1)&gt;0,"Update",""))</f>
        <v>NO AIS</v>
      </c>
      <c r="K293" s="81"/>
      <c r="L293" s="82" t="s">
        <v>217</v>
      </c>
      <c r="M293" s="83">
        <v>46132</v>
      </c>
      <c r="N293" s="83">
        <v>46133</v>
      </c>
      <c r="O293" s="84" t="s">
        <v>1367</v>
      </c>
      <c r="P293" s="82" t="s">
        <v>1439</v>
      </c>
      <c r="Q293" s="82"/>
      <c r="R293" s="82" t="s">
        <v>1440</v>
      </c>
      <c r="S293" s="120" t="s">
        <v>33</v>
      </c>
      <c r="T293" s="86">
        <v>46131</v>
      </c>
      <c r="U293" s="87" t="str">
        <f>IF(V293="","No AIS",VLOOKUP(V293,'Voyage days'!$A$3:$B$1480,2,FALSE))</f>
        <v>No AIS</v>
      </c>
      <c r="V293" s="88" t="str">
        <f>IF(VLOOKUP(A293,'1) Kpler'!$E$2:$P$1000,8, FALSE)="","",VLOOKUP(A293,'1) Kpler'!$E$2:$P$1000,8, FALSE))</f>
        <v/>
      </c>
      <c r="W293" s="89" t="str">
        <f>IF(VLOOKUP(A293,'1) Kpler'!$E$2:$P$1000,9,FALSE)="","",VLOOKUP(A293,'1) Kpler'!$E$2:$P$1000,9,FALSE))</f>
        <v/>
      </c>
      <c r="X293" s="88" t="str">
        <f>VLOOKUP(A293,'1) Kpler'!$E$2:$I$1000,4,FALSE)</f>
        <v>loaded</v>
      </c>
      <c r="Y293" s="63" t="str">
        <f t="shared" si="49"/>
        <v>25-26 Apr</v>
      </c>
      <c r="Z293" s="63" t="str">
        <f t="shared" si="50"/>
        <v/>
      </c>
      <c r="AA293" s="63" t="str">
        <f t="shared" si="51"/>
        <v>21-22 May</v>
      </c>
      <c r="AB293" s="63" t="str">
        <f t="shared" si="52"/>
        <v>08-09 May</v>
      </c>
      <c r="AC293" s="63" t="str">
        <f t="shared" si="53"/>
        <v>16-17 May</v>
      </c>
      <c r="AD293" s="63" t="str">
        <f t="shared" si="54"/>
        <v>26-27 Apr</v>
      </c>
      <c r="AE293" s="129" t="str">
        <f t="shared" si="55"/>
        <v/>
      </c>
      <c r="AF293" s="130" t="str">
        <f t="shared" si="56"/>
        <v>02-03 Jun</v>
      </c>
      <c r="AG293" s="93" t="str">
        <f t="shared" si="57"/>
        <v>25-26 Apr</v>
      </c>
      <c r="AH293" s="94">
        <f>IFERROR($M293+VLOOKUP($L293,'Voyage days'!$F$38:$H$89,3,FALSE),"")</f>
        <v>46137</v>
      </c>
      <c r="AI293" s="94">
        <f>IFERROR(N293+VLOOKUP($L293,'Voyage days'!$F$38:$H$89,3,FALSE),"")</f>
        <v>46138</v>
      </c>
      <c r="AJ293" s="93" t="str">
        <f t="shared" si="27"/>
        <v/>
      </c>
      <c r="AK293" s="94" t="str">
        <f>IFERROR($M293+VLOOKUP($L293,'Voyage days'!$F$94:$H$193,3,FALSE),"")</f>
        <v/>
      </c>
      <c r="AL293" s="94" t="str">
        <f>IFERROR($N293+VLOOKUP($L293,'Voyage days'!$F$94:$H$193,3,FALSE),"")</f>
        <v/>
      </c>
      <c r="AM293" s="93" t="str">
        <f t="shared" si="28"/>
        <v>21-22 May</v>
      </c>
      <c r="AN293" s="94">
        <f>IFERROR($M293+VLOOKUP($L293,'Voyage days'!$F$203:$H$256,3,FALSE),"")</f>
        <v>46163</v>
      </c>
      <c r="AO293" s="94">
        <f>IFERROR($N293+VLOOKUP($L293,'Voyage days'!$F$203:$H$256,3,FALSE),"")</f>
        <v>46164</v>
      </c>
      <c r="AP293" s="93" t="str">
        <f t="shared" si="29"/>
        <v>08-09 May</v>
      </c>
      <c r="AQ293" s="94">
        <f>IFERROR($M293+VLOOKUP($L293,'Voyage days'!$F$294:$H$377,3,FALSE),"")</f>
        <v>46150</v>
      </c>
      <c r="AR293" s="94">
        <f>IFERROR($N293+VLOOKUP($L293,'Voyage days'!$F$294:$H$377,3,FALSE),"")</f>
        <v>46151</v>
      </c>
      <c r="AS293" s="93" t="str">
        <f t="shared" si="30"/>
        <v>16-17 May</v>
      </c>
      <c r="AT293" s="94">
        <f>IFERROR($M293+VLOOKUP($L293,'Voyage days'!$F$382:$H$446,3,FALSE),"")</f>
        <v>46158</v>
      </c>
      <c r="AU293" s="94">
        <f>IFERROR($N293+VLOOKUP($L293,'Voyage days'!$F$382:$H$446,3,FALSE),"")</f>
        <v>46159</v>
      </c>
      <c r="AV293" s="93" t="str">
        <f t="shared" si="31"/>
        <v/>
      </c>
      <c r="AW293" s="94" t="str">
        <f>IFERROR($M293+VLOOKUP($L293,'Voyage days'!$F$483:$H$538,3,FALSE),"")</f>
        <v/>
      </c>
      <c r="AX293" s="94" t="str">
        <f>IFERROR($N293+VLOOKUP($L293,'Voyage days'!$F$483:$H$538,3,FALSE),"")</f>
        <v/>
      </c>
      <c r="AY293" s="93" t="str">
        <f t="shared" si="32"/>
        <v/>
      </c>
      <c r="AZ293" s="94" t="str">
        <f>IFERROR($M293+VLOOKUP($L293,'Voyage days'!$F$540:$H$613,3,FALSE),"")</f>
        <v/>
      </c>
      <c r="BA293" s="94" t="str">
        <f>IFERROR($N293+VLOOKUP($L293,'Voyage days'!$F$540:$H$613,3,FALSE),"")</f>
        <v/>
      </c>
      <c r="BB293" s="93" t="str">
        <f t="shared" si="33"/>
        <v>26-27 Apr</v>
      </c>
      <c r="BC293" s="94">
        <f>IFERROR($M293+VLOOKUP($L293,'Voyage days'!$F$448:$H$479,3,FALSE),"")</f>
        <v>46138</v>
      </c>
      <c r="BD293" s="94">
        <f>IFERROR($N293+VLOOKUP($L293,'Voyage days'!$F$448:$H$479,3,FALSE),"")</f>
        <v>46139</v>
      </c>
      <c r="BE293" s="93" t="str">
        <f t="shared" si="34"/>
        <v/>
      </c>
      <c r="BF293" s="95" t="str">
        <f>IFERROR($M293+VLOOKUP($L293,'Voyage days'!$F$620:$H$646,3,FALSE),"")</f>
        <v/>
      </c>
      <c r="BG293" s="95" t="str">
        <f>IFERROR($N293+VLOOKUP($L293,'Voyage days'!$F$620:$H$646,3,FALSE),"")</f>
        <v/>
      </c>
      <c r="BH293" s="93" t="str">
        <f t="shared" si="35"/>
        <v/>
      </c>
      <c r="BI293" s="96" t="str">
        <f>IFERROR($M293+VLOOKUP($L293,'Voyage days'!$F$702:$H$727,3,FALSE),"")</f>
        <v/>
      </c>
      <c r="BJ293" s="93" t="str">
        <f t="shared" si="36"/>
        <v>02-03 Jun</v>
      </c>
      <c r="BK293" s="95">
        <f>IFERROR($M293+VLOOKUP($L293,'Voyage days'!$F$807:$H$878,3,FALSE),"")</f>
        <v>46175</v>
      </c>
      <c r="BL293" s="95">
        <f>IFERROR($N293+VLOOKUP($L293,'Voyage days'!$F$807:$H$878,3,FALSE),"")</f>
        <v>46176</v>
      </c>
      <c r="BM293" s="95">
        <f>IFERROR($N293+VLOOKUP($L293,'Voyage days'!$F$807:$K$878,6,FALSE),"")</f>
        <v>46141</v>
      </c>
      <c r="BN293" s="94" t="str">
        <f>IF(L293="loads AG", IFERROR($M293+VLOOKUP($L293,'Voyage days'!$M$38:$O$38,3,FALSE),""),"")</f>
        <v/>
      </c>
      <c r="BO293" s="94" t="str">
        <f>IF(L293="loads USG", IFERROR($M293+VLOOKUP($L293,'Voyage days'!$L$203:$N$203,3,FALSE),""),"")</f>
        <v/>
      </c>
    </row>
    <row r="294" spans="1:67" ht="15.75" customHeight="1" x14ac:dyDescent="0.25">
      <c r="A294" s="266" t="s">
        <v>1441</v>
      </c>
      <c r="B294" s="119">
        <v>2023</v>
      </c>
      <c r="C294" s="76">
        <v>91000</v>
      </c>
      <c r="D294" s="77"/>
      <c r="E294" s="77"/>
      <c r="F294" s="78"/>
      <c r="G294" s="78"/>
      <c r="H294" s="78" t="s">
        <v>713</v>
      </c>
      <c r="I294" s="233" t="s">
        <v>1377</v>
      </c>
      <c r="J294" s="80" t="str">
        <f t="shared" si="60"/>
        <v/>
      </c>
      <c r="K294" s="81" t="s">
        <v>817</v>
      </c>
      <c r="L294" s="82" t="s">
        <v>718</v>
      </c>
      <c r="M294" s="83">
        <v>46152</v>
      </c>
      <c r="N294" s="83">
        <v>46153</v>
      </c>
      <c r="O294" s="84"/>
      <c r="P294" s="82" t="s">
        <v>1442</v>
      </c>
      <c r="Q294" s="82"/>
      <c r="R294" s="82" t="s">
        <v>965</v>
      </c>
      <c r="S294" s="120" t="s">
        <v>33</v>
      </c>
      <c r="T294" s="86">
        <v>46131</v>
      </c>
      <c r="U294" s="87" t="str">
        <f>IF(V294="","No AIS",VLOOKUP(V294,'Voyage days'!$A$3:$B$1480,2,FALSE))</f>
        <v>USG</v>
      </c>
      <c r="V294" s="88" t="str">
        <f>IF(VLOOKUP(A294,'1) Kpler'!$E$2:$P$1000,8, FALSE)="","",VLOOKUP(A294,'1) Kpler'!$E$2:$P$1000,8, FALSE))</f>
        <v>Houston</v>
      </c>
      <c r="W294" s="89">
        <f>IF(VLOOKUP(A294,'1) Kpler'!$E$2:$P$1000,9,FALSE)="","",VLOOKUP(A294,'1) Kpler'!$E$2:$P$1000,9,FALSE))</f>
        <v>46146.708333333336</v>
      </c>
      <c r="X294" s="88" t="str">
        <f>VLOOKUP(A294,'1) Kpler'!$E$2:$I$1000,4,FALSE)</f>
        <v>ballast</v>
      </c>
      <c r="Y294" s="63" t="str">
        <f t="shared" si="49"/>
        <v/>
      </c>
      <c r="Z294" s="63" t="str">
        <f t="shared" si="50"/>
        <v>10-11 May</v>
      </c>
      <c r="AA294" s="63" t="str">
        <f t="shared" si="51"/>
        <v>10-11 May</v>
      </c>
      <c r="AB294" s="63" t="str">
        <f t="shared" si="52"/>
        <v/>
      </c>
      <c r="AC294" s="63" t="str">
        <f t="shared" si="53"/>
        <v>30-31 May</v>
      </c>
      <c r="AD294" s="63" t="str">
        <f t="shared" si="54"/>
        <v/>
      </c>
      <c r="AE294" s="129" t="str">
        <f t="shared" si="55"/>
        <v/>
      </c>
      <c r="AF294" s="130" t="str">
        <f t="shared" si="56"/>
        <v/>
      </c>
      <c r="AG294" s="93" t="str">
        <f t="shared" si="57"/>
        <v/>
      </c>
      <c r="AH294" s="94" t="str">
        <f>IFERROR($M294+VLOOKUP($L294,'Voyage days'!$F$38:$H$89,3,FALSE),"")</f>
        <v/>
      </c>
      <c r="AI294" s="94" t="str">
        <f>IFERROR(N294+VLOOKUP($L294,'Voyage days'!$F$38:$H$89,3,FALSE),"")</f>
        <v/>
      </c>
      <c r="AJ294" s="93" t="str">
        <f t="shared" si="27"/>
        <v>10-11 May</v>
      </c>
      <c r="AK294" s="94">
        <f>IFERROR($M294+VLOOKUP($L294,'Voyage days'!$F$94:$H$193,3,FALSE),"")</f>
        <v>46152</v>
      </c>
      <c r="AL294" s="94">
        <f>IFERROR($N294+VLOOKUP($L294,'Voyage days'!$F$94:$H$193,3,FALSE),"")</f>
        <v>46153</v>
      </c>
      <c r="AM294" s="93" t="str">
        <f t="shared" si="28"/>
        <v>10-11 May</v>
      </c>
      <c r="AN294" s="94">
        <f>IFERROR($M294+VLOOKUP($L294,'Voyage days'!$F$203:$H$256,3,FALSE),"")</f>
        <v>46152</v>
      </c>
      <c r="AO294" s="94">
        <f>IFERROR($N294+VLOOKUP($L294,'Voyage days'!$F$203:$H$256,3,FALSE),"")</f>
        <v>46153</v>
      </c>
      <c r="AP294" s="93" t="str">
        <f t="shared" si="29"/>
        <v/>
      </c>
      <c r="AQ294" s="94" t="str">
        <f>IFERROR($M294+VLOOKUP($L294,'Voyage days'!$F$294:$H$377,3,FALSE),"")</f>
        <v/>
      </c>
      <c r="AR294" s="94" t="str">
        <f>IFERROR($N294+VLOOKUP($L294,'Voyage days'!$F$294:$H$377,3,FALSE),"")</f>
        <v/>
      </c>
      <c r="AS294" s="93" t="str">
        <f t="shared" si="30"/>
        <v>30-31 May</v>
      </c>
      <c r="AT294" s="94">
        <f>IFERROR($M294+VLOOKUP($L294,'Voyage days'!$F$382:$H$446,3,FALSE),"")</f>
        <v>46172</v>
      </c>
      <c r="AU294" s="94">
        <f>IFERROR($N294+VLOOKUP($L294,'Voyage days'!$F$382:$H$446,3,FALSE),"")</f>
        <v>46173</v>
      </c>
      <c r="AV294" s="93" t="str">
        <f t="shared" si="31"/>
        <v/>
      </c>
      <c r="AW294" s="94" t="str">
        <f>IFERROR($M294+VLOOKUP($L294,'Voyage days'!$F$483:$H$538,3,FALSE),"")</f>
        <v/>
      </c>
      <c r="AX294" s="94" t="str">
        <f>IFERROR($N294+VLOOKUP($L294,'Voyage days'!$F$483:$H$538,3,FALSE),"")</f>
        <v/>
      </c>
      <c r="AY294" s="93" t="str">
        <f t="shared" si="32"/>
        <v/>
      </c>
      <c r="AZ294" s="94" t="str">
        <f>IFERROR($M294+VLOOKUP($L294,'Voyage days'!$F$540:$H$613,3,FALSE),"")</f>
        <v/>
      </c>
      <c r="BA294" s="94" t="str">
        <f>IFERROR($N294+VLOOKUP($L294,'Voyage days'!$F$540:$H$613,3,FALSE),"")</f>
        <v/>
      </c>
      <c r="BB294" s="93" t="str">
        <f t="shared" si="33"/>
        <v/>
      </c>
      <c r="BC294" s="94" t="str">
        <f>IFERROR($M294+VLOOKUP($L294,'Voyage days'!$F$448:$H$479,3,FALSE),"")</f>
        <v/>
      </c>
      <c r="BD294" s="94" t="str">
        <f>IFERROR($N294+VLOOKUP($L294,'Voyage days'!$F$448:$H$479,3,FALSE),"")</f>
        <v/>
      </c>
      <c r="BE294" s="93" t="str">
        <f t="shared" si="34"/>
        <v/>
      </c>
      <c r="BF294" s="95" t="str">
        <f>IFERROR($M294+VLOOKUP($L294,'Voyage days'!$F$620:$H$646,3,FALSE),"")</f>
        <v/>
      </c>
      <c r="BG294" s="95" t="str">
        <f>IFERROR($N294+VLOOKUP($L294,'Voyage days'!$F$620:$H$646,3,FALSE),"")</f>
        <v/>
      </c>
      <c r="BH294" s="93" t="str">
        <f t="shared" si="35"/>
        <v/>
      </c>
      <c r="BI294" s="96" t="str">
        <f>IFERROR($M294+VLOOKUP($L294,'Voyage days'!$F$702:$H$727,3,FALSE),"")</f>
        <v/>
      </c>
      <c r="BJ294" s="93" t="str">
        <f t="shared" si="36"/>
        <v/>
      </c>
      <c r="BK294" s="95" t="str">
        <f>IFERROR($M294+VLOOKUP($L294,'Voyage days'!$F$807:$H$878,3,FALSE),"")</f>
        <v/>
      </c>
      <c r="BL294" s="95" t="str">
        <f>IFERROR($N294+VLOOKUP($L294,'Voyage days'!$F$807:$H$878,3,FALSE),"")</f>
        <v/>
      </c>
      <c r="BM294" s="95" t="str">
        <f>IFERROR($N294+VLOOKUP($L294,'Voyage days'!$F$807:$K$878,6,FALSE),"")</f>
        <v/>
      </c>
      <c r="BN294" s="94" t="str">
        <f>IF(L294="loads AG", IFERROR($M294+VLOOKUP($L294,'Voyage days'!$M$38:$O$38,3,FALSE),""),"")</f>
        <v/>
      </c>
      <c r="BO294" s="94">
        <f>IF(L294="loads USG", IFERROR($M294+VLOOKUP($L294,'Voyage days'!$L$203:$N$203,3,FALSE),""),"")</f>
        <v>46184</v>
      </c>
    </row>
    <row r="295" spans="1:67" ht="15.75" customHeight="1" x14ac:dyDescent="0.25">
      <c r="A295" s="97" t="s">
        <v>1443</v>
      </c>
      <c r="B295" s="75">
        <v>42460</v>
      </c>
      <c r="C295" s="76">
        <v>83839</v>
      </c>
      <c r="D295" s="77"/>
      <c r="E295" s="77"/>
      <c r="F295" s="78"/>
      <c r="G295" s="78"/>
      <c r="H295" s="78" t="s">
        <v>713</v>
      </c>
      <c r="I295" s="233" t="s">
        <v>1377</v>
      </c>
      <c r="J295" s="80" t="str">
        <f t="shared" si="60"/>
        <v/>
      </c>
      <c r="K295" s="81"/>
      <c r="L295" s="82" t="s">
        <v>718</v>
      </c>
      <c r="M295" s="83">
        <v>46148</v>
      </c>
      <c r="N295" s="83">
        <v>46149</v>
      </c>
      <c r="O295" s="84"/>
      <c r="P295" s="85" t="s">
        <v>1444</v>
      </c>
      <c r="Q295" s="82"/>
      <c r="R295" s="82" t="s">
        <v>1445</v>
      </c>
      <c r="S295" s="120" t="s">
        <v>33</v>
      </c>
      <c r="T295" s="86">
        <v>46131</v>
      </c>
      <c r="U295" s="87" t="str">
        <f>IF(V295="","No AIS",VLOOKUP(V295,'Voyage days'!$A$3:$B$1480,2,FALSE))</f>
        <v>Panama</v>
      </c>
      <c r="V295" s="88" t="str">
        <f>IF(VLOOKUP(A295,'1) Kpler'!$E$2:$P$1000,8, FALSE)="","",VLOOKUP(A295,'1) Kpler'!$E$2:$P$1000,8, FALSE))</f>
        <v>Panama Canal</v>
      </c>
      <c r="W295" s="89">
        <f>IF(VLOOKUP(A295,'1) Kpler'!$E$2:$P$1000,9,FALSE)="","",VLOOKUP(A295,'1) Kpler'!$E$2:$P$1000,9,FALSE))</f>
        <v>46137.375</v>
      </c>
      <c r="X295" s="88" t="str">
        <f>VLOOKUP(A295,'1) Kpler'!$E$2:$I$1000,4,FALSE)</f>
        <v>ballast</v>
      </c>
      <c r="Y295" s="63" t="str">
        <f t="shared" si="49"/>
        <v/>
      </c>
      <c r="Z295" s="63" t="str">
        <f t="shared" si="50"/>
        <v>06-07 May</v>
      </c>
      <c r="AA295" s="63" t="str">
        <f t="shared" si="51"/>
        <v>06-07 May</v>
      </c>
      <c r="AB295" s="63" t="str">
        <f t="shared" si="52"/>
        <v/>
      </c>
      <c r="AC295" s="63" t="str">
        <f t="shared" si="53"/>
        <v>26-27 May</v>
      </c>
      <c r="AD295" s="63" t="str">
        <f t="shared" si="54"/>
        <v/>
      </c>
      <c r="AE295" s="129" t="str">
        <f t="shared" si="55"/>
        <v/>
      </c>
      <c r="AF295" s="130" t="str">
        <f t="shared" si="56"/>
        <v/>
      </c>
      <c r="AG295" s="93" t="str">
        <f t="shared" si="57"/>
        <v/>
      </c>
      <c r="AH295" s="94" t="str">
        <f>IFERROR($M295+VLOOKUP($L295,'Voyage days'!$F$38:$H$89,3,FALSE),"")</f>
        <v/>
      </c>
      <c r="AI295" s="94" t="str">
        <f>IFERROR(N295+VLOOKUP($L295,'Voyage days'!$F$38:$H$89,3,FALSE),"")</f>
        <v/>
      </c>
      <c r="AJ295" s="93" t="str">
        <f t="shared" si="27"/>
        <v>06-07 May</v>
      </c>
      <c r="AK295" s="94">
        <f>IFERROR($M295+VLOOKUP($L295,'Voyage days'!$F$94:$H$193,3,FALSE),"")</f>
        <v>46148</v>
      </c>
      <c r="AL295" s="94">
        <f>IFERROR($N295+VLOOKUP($L295,'Voyage days'!$F$94:$H$193,3,FALSE),"")</f>
        <v>46149</v>
      </c>
      <c r="AM295" s="93" t="str">
        <f t="shared" si="28"/>
        <v>06-07 May</v>
      </c>
      <c r="AN295" s="94">
        <f>IFERROR($M295+VLOOKUP($L295,'Voyage days'!$F$203:$H$256,3,FALSE),"")</f>
        <v>46148</v>
      </c>
      <c r="AO295" s="94">
        <f>IFERROR($N295+VLOOKUP($L295,'Voyage days'!$F$203:$H$256,3,FALSE),"")</f>
        <v>46149</v>
      </c>
      <c r="AP295" s="93" t="str">
        <f t="shared" si="29"/>
        <v/>
      </c>
      <c r="AQ295" s="94" t="str">
        <f>IFERROR($M295+VLOOKUP($L295,'Voyage days'!$F$294:$H$377,3,FALSE),"")</f>
        <v/>
      </c>
      <c r="AR295" s="94" t="str">
        <f>IFERROR($N295+VLOOKUP($L295,'Voyage days'!$F$294:$H$377,3,FALSE),"")</f>
        <v/>
      </c>
      <c r="AS295" s="93" t="str">
        <f t="shared" si="30"/>
        <v>26-27 May</v>
      </c>
      <c r="AT295" s="94">
        <f>IFERROR($M295+VLOOKUP($L295,'Voyage days'!$F$382:$H$446,3,FALSE),"")</f>
        <v>46168</v>
      </c>
      <c r="AU295" s="94">
        <f>IFERROR($N295+VLOOKUP($L295,'Voyage days'!$F$382:$H$446,3,FALSE),"")</f>
        <v>46169</v>
      </c>
      <c r="AV295" s="93" t="str">
        <f t="shared" si="31"/>
        <v/>
      </c>
      <c r="AW295" s="94" t="str">
        <f>IFERROR($M295+VLOOKUP($L295,'Voyage days'!$F$483:$H$538,3,FALSE),"")</f>
        <v/>
      </c>
      <c r="AX295" s="94" t="str">
        <f>IFERROR($N295+VLOOKUP($L295,'Voyage days'!$F$483:$H$538,3,FALSE),"")</f>
        <v/>
      </c>
      <c r="AY295" s="93" t="str">
        <f t="shared" si="32"/>
        <v/>
      </c>
      <c r="AZ295" s="94" t="str">
        <f>IFERROR($M295+VLOOKUP($L295,'Voyage days'!$F$540:$H$613,3,FALSE),"")</f>
        <v/>
      </c>
      <c r="BA295" s="94" t="str">
        <f>IFERROR($N295+VLOOKUP($L295,'Voyage days'!$F$540:$H$613,3,FALSE),"")</f>
        <v/>
      </c>
      <c r="BB295" s="93" t="str">
        <f t="shared" si="33"/>
        <v/>
      </c>
      <c r="BC295" s="94" t="str">
        <f>IFERROR($M295+VLOOKUP($L295,'Voyage days'!$F$448:$H$479,3,FALSE),"")</f>
        <v/>
      </c>
      <c r="BD295" s="94" t="str">
        <f>IFERROR($N295+VLOOKUP($L295,'Voyage days'!$F$448:$H$479,3,FALSE),"")</f>
        <v/>
      </c>
      <c r="BE295" s="93" t="str">
        <f t="shared" si="34"/>
        <v/>
      </c>
      <c r="BF295" s="95" t="str">
        <f>IFERROR($M295+VLOOKUP($L295,'Voyage days'!$F$620:$H$646,3,FALSE),"")</f>
        <v/>
      </c>
      <c r="BG295" s="95" t="str">
        <f>IFERROR($N295+VLOOKUP($L295,'Voyage days'!$F$620:$H$646,3,FALSE),"")</f>
        <v/>
      </c>
      <c r="BH295" s="93" t="str">
        <f t="shared" si="35"/>
        <v/>
      </c>
      <c r="BI295" s="96" t="str">
        <f>IFERROR($M295+VLOOKUP($L295,'Voyage days'!$F$702:$H$727,3,FALSE),"")</f>
        <v/>
      </c>
      <c r="BJ295" s="93" t="str">
        <f t="shared" si="36"/>
        <v/>
      </c>
      <c r="BK295" s="95" t="str">
        <f>IFERROR($M295+VLOOKUP($L295,'Voyage days'!$F$807:$H$878,3,FALSE),"")</f>
        <v/>
      </c>
      <c r="BL295" s="95" t="str">
        <f>IFERROR($N295+VLOOKUP($L295,'Voyage days'!$F$807:$H$878,3,FALSE),"")</f>
        <v/>
      </c>
      <c r="BM295" s="95" t="str">
        <f>IFERROR($N295+VLOOKUP($L295,'Voyage days'!$F$807:$K$878,6,FALSE),"")</f>
        <v/>
      </c>
      <c r="BN295" s="94" t="str">
        <f>IF(L295="loads AG", IFERROR($M295+VLOOKUP($L295,'Voyage days'!$M$38:$O$38,3,FALSE),""),"")</f>
        <v/>
      </c>
      <c r="BO295" s="94">
        <f>IF(L295="loads USG", IFERROR($M295+VLOOKUP($L295,'Voyage days'!$L$203:$N$203,3,FALSE),""),"")</f>
        <v>46180</v>
      </c>
    </row>
    <row r="296" spans="1:67" ht="15.75" customHeight="1" x14ac:dyDescent="0.25">
      <c r="A296" s="97" t="s">
        <v>1446</v>
      </c>
      <c r="B296" s="75">
        <v>42501</v>
      </c>
      <c r="C296" s="76">
        <v>84134</v>
      </c>
      <c r="D296" s="77"/>
      <c r="E296" s="77"/>
      <c r="F296" s="78"/>
      <c r="G296" s="78"/>
      <c r="H296" s="78" t="s">
        <v>713</v>
      </c>
      <c r="I296" s="237" t="s">
        <v>1447</v>
      </c>
      <c r="J296" s="80" t="str">
        <f t="shared" si="60"/>
        <v/>
      </c>
      <c r="K296" s="81"/>
      <c r="L296" s="82" t="s">
        <v>704</v>
      </c>
      <c r="M296" s="83">
        <v>46162</v>
      </c>
      <c r="N296" s="83">
        <v>46163</v>
      </c>
      <c r="O296" s="84"/>
      <c r="P296" s="82" t="s">
        <v>1448</v>
      </c>
      <c r="Q296" s="82"/>
      <c r="R296" s="82" t="s">
        <v>1449</v>
      </c>
      <c r="S296" s="120" t="s">
        <v>33</v>
      </c>
      <c r="T296" s="86">
        <v>46131</v>
      </c>
      <c r="U296" s="87" t="str">
        <f>IF(V296="","No AIS",VLOOKUP(V296,'Voyage days'!$A$3:$B$1480,2,FALSE))</f>
        <v>+14 days open Far East</v>
      </c>
      <c r="V296" s="88" t="str">
        <f>IF(VLOOKUP(A296,'1) Kpler'!$E$2:$P$1000,8, FALSE)="","",VLOOKUP(A296,'1) Kpler'!$E$2:$P$1000,8, FALSE))</f>
        <v>Ferndale</v>
      </c>
      <c r="W296" s="89">
        <f>IF(VLOOKUP(A296,'1) Kpler'!$E$2:$P$1000,9,FALSE)="","",VLOOKUP(A296,'1) Kpler'!$E$2:$P$1000,9,FALSE))</f>
        <v>46140.791666666664</v>
      </c>
      <c r="X296" s="88" t="str">
        <f>VLOOKUP(A296,'1) Kpler'!$E$2:$I$1000,4,FALSE)</f>
        <v>ballast</v>
      </c>
      <c r="Y296" s="234" t="str">
        <f t="shared" si="49"/>
        <v>07-08 Jun</v>
      </c>
      <c r="Z296" s="234" t="str">
        <f t="shared" si="50"/>
        <v>19-20 Jun</v>
      </c>
      <c r="AA296" s="234" t="str">
        <f t="shared" si="51"/>
        <v>27-28 Jun</v>
      </c>
      <c r="AB296" s="234" t="str">
        <f t="shared" si="52"/>
        <v>19-20 Jun</v>
      </c>
      <c r="AC296" s="234" t="str">
        <f t="shared" si="53"/>
        <v>25-26 Jun</v>
      </c>
      <c r="AD296" s="234" t="str">
        <f t="shared" si="54"/>
        <v>28-29 May</v>
      </c>
      <c r="AE296" s="235" t="str">
        <f t="shared" si="55"/>
        <v>28-29 May</v>
      </c>
      <c r="AF296" s="92" t="str">
        <f t="shared" si="56"/>
        <v>05-06 Jul</v>
      </c>
      <c r="AG296" s="93" t="str">
        <f t="shared" si="57"/>
        <v>07-08 Jun</v>
      </c>
      <c r="AH296" s="94">
        <f>IFERROR($M296+VLOOKUP($L296,'Voyage days'!$F$38:$H$89,3,FALSE),"")</f>
        <v>46180</v>
      </c>
      <c r="AI296" s="94">
        <f>IFERROR(N296+VLOOKUP($L296,'Voyage days'!$F$38:$H$89,3,FALSE),"")</f>
        <v>46181</v>
      </c>
      <c r="AJ296" s="93" t="str">
        <f t="shared" si="27"/>
        <v>19-20 Jun</v>
      </c>
      <c r="AK296" s="94">
        <f>IFERROR($M296+VLOOKUP($L296,'Voyage days'!$F$94:$H$193,3,FALSE),"")</f>
        <v>46192</v>
      </c>
      <c r="AL296" s="94">
        <f>IFERROR($N296+VLOOKUP($L296,'Voyage days'!$F$94:$H$193,3,FALSE),"")</f>
        <v>46193</v>
      </c>
      <c r="AM296" s="93" t="str">
        <f t="shared" si="28"/>
        <v>27-28 Jun</v>
      </c>
      <c r="AN296" s="94">
        <f>IFERROR($M296+VLOOKUP($L296,'Voyage days'!$F$203:$H$256,3,FALSE),"")</f>
        <v>46200</v>
      </c>
      <c r="AO296" s="94">
        <f>IFERROR($N296+VLOOKUP($L296,'Voyage days'!$F$203:$H$256,3,FALSE),"")</f>
        <v>46201</v>
      </c>
      <c r="AP296" s="93" t="str">
        <f t="shared" si="29"/>
        <v>19-20 Jun</v>
      </c>
      <c r="AQ296" s="94">
        <f>IFERROR($M296+VLOOKUP($L296,'Voyage days'!$F$294:$H$377,3,FALSE),"")</f>
        <v>46192</v>
      </c>
      <c r="AR296" s="94">
        <f>IFERROR($N296+VLOOKUP($L296,'Voyage days'!$F$294:$H$377,3,FALSE),"")</f>
        <v>46193</v>
      </c>
      <c r="AS296" s="93" t="str">
        <f t="shared" si="30"/>
        <v>25-26 Jun</v>
      </c>
      <c r="AT296" s="94">
        <f>IFERROR($M296+VLOOKUP($L296,'Voyage days'!$F$382:$H$446,3,FALSE),"")</f>
        <v>46198</v>
      </c>
      <c r="AU296" s="94">
        <f>IFERROR($N296+VLOOKUP($L296,'Voyage days'!$F$382:$H$446,3,FALSE),"")</f>
        <v>46199</v>
      </c>
      <c r="AV296" s="93" t="str">
        <f t="shared" si="31"/>
        <v>02-03 Jun</v>
      </c>
      <c r="AW296" s="94">
        <f>IFERROR($M296+VLOOKUP($L296,'Voyage days'!$F$483:$H$538,3,FALSE),"")</f>
        <v>46175</v>
      </c>
      <c r="AX296" s="94">
        <f>IFERROR($N296+VLOOKUP($L296,'Voyage days'!$F$483:$H$538,3,FALSE),"")</f>
        <v>46176</v>
      </c>
      <c r="AY296" s="93" t="str">
        <f t="shared" si="32"/>
        <v>28-29 May</v>
      </c>
      <c r="AZ296" s="94">
        <f>IFERROR($M296+VLOOKUP($L296,'Voyage days'!$F$540:$H$613,3,FALSE),"")</f>
        <v>46170.25</v>
      </c>
      <c r="BA296" s="94">
        <f>IFERROR($N296+VLOOKUP($L296,'Voyage days'!$F$540:$H$613,3,FALSE),"")</f>
        <v>46171.25</v>
      </c>
      <c r="BB296" s="93" t="str">
        <f t="shared" si="33"/>
        <v>28-29 May</v>
      </c>
      <c r="BC296" s="94">
        <f>IFERROR($M296+VLOOKUP($L296,'Voyage days'!$F$448:$H$479,3,FALSE),"")</f>
        <v>46170</v>
      </c>
      <c r="BD296" s="94">
        <f>IFERROR($N296+VLOOKUP($L296,'Voyage days'!$F$448:$H$479,3,FALSE),"")</f>
        <v>46171</v>
      </c>
      <c r="BE296" s="93" t="str">
        <f t="shared" si="34"/>
        <v>31-01 Jun</v>
      </c>
      <c r="BF296" s="95">
        <f>IFERROR($M296+VLOOKUP($L296,'Voyage days'!$F$620:$H$646,3,FALSE),"")</f>
        <v>46173</v>
      </c>
      <c r="BG296" s="95">
        <f>IFERROR($N296+VLOOKUP($L296,'Voyage days'!$F$620:$H$646,3,FALSE),"")</f>
        <v>46174</v>
      </c>
      <c r="BH296" s="93" t="str">
        <f t="shared" si="35"/>
        <v>28-06 Jul</v>
      </c>
      <c r="BI296" s="96">
        <f>IFERROR($M296+VLOOKUP($L296,'Voyage days'!$F$702:$H$727,3,FALSE),"")</f>
        <v>46170.25</v>
      </c>
      <c r="BJ296" s="93" t="str">
        <f t="shared" si="36"/>
        <v>05-06 Jul</v>
      </c>
      <c r="BK296" s="95">
        <f>IFERROR($M296+VLOOKUP($L296,'Voyage days'!$F$807:$H$878,3,FALSE),"")</f>
        <v>46208</v>
      </c>
      <c r="BL296" s="95">
        <f>IFERROR($N296+VLOOKUP($L296,'Voyage days'!$F$807:$H$878,3,FALSE),"")</f>
        <v>46209</v>
      </c>
      <c r="BM296" s="95">
        <f>IFERROR($N296+VLOOKUP($L296,'Voyage days'!$F$807:$K$878,6,FALSE),"")</f>
        <v>46183</v>
      </c>
      <c r="BN296" s="94" t="str">
        <f>IF(L296="loads AG", IFERROR($M296+VLOOKUP($L296,'Voyage days'!$M$38:$O$38,3,FALSE),""),"")</f>
        <v/>
      </c>
      <c r="BO296" s="94" t="str">
        <f>IF(L296="loads USG", IFERROR($M296+VLOOKUP($L296,'Voyage days'!$L$203:$N$203,3,FALSE),""),"")</f>
        <v/>
      </c>
    </row>
    <row r="297" spans="1:67" ht="15" customHeight="1" x14ac:dyDescent="0.25">
      <c r="A297" s="97" t="s">
        <v>229</v>
      </c>
      <c r="B297" s="75">
        <v>42752</v>
      </c>
      <c r="C297" s="76">
        <v>81653</v>
      </c>
      <c r="D297" s="77"/>
      <c r="E297" s="77"/>
      <c r="F297" s="78"/>
      <c r="G297" s="78"/>
      <c r="H297" s="78"/>
      <c r="I297" s="233" t="s">
        <v>1377</v>
      </c>
      <c r="J297" s="80" t="str">
        <f t="shared" si="60"/>
        <v/>
      </c>
      <c r="K297" s="81"/>
      <c r="L297" s="82" t="s">
        <v>718</v>
      </c>
      <c r="M297" s="83">
        <v>46158</v>
      </c>
      <c r="N297" s="83">
        <v>46162</v>
      </c>
      <c r="O297" s="84"/>
      <c r="P297" s="82" t="s">
        <v>1450</v>
      </c>
      <c r="Q297" s="82"/>
      <c r="R297" s="82" t="s">
        <v>1451</v>
      </c>
      <c r="S297" s="77" t="s">
        <v>33</v>
      </c>
      <c r="T297" s="86">
        <v>46131</v>
      </c>
      <c r="U297" s="87" t="str">
        <f>IF(V297="","No AIS",VLOOKUP(V297,'Voyage days'!$A$3:$B$1480,2,FALSE))</f>
        <v>Panama</v>
      </c>
      <c r="V297" s="88" t="str">
        <f>IF(VLOOKUP(A297,'1) Kpler'!$E$2:$P$1000,8, FALSE)="","",VLOOKUP(A297,'1) Kpler'!$E$2:$P$1000,8, FALSE))</f>
        <v>Panama Canal</v>
      </c>
      <c r="W297" s="89">
        <f>IF(VLOOKUP(A297,'1) Kpler'!$E$2:$P$1000,9,FALSE)="","",VLOOKUP(A297,'1) Kpler'!$E$2:$P$1000,9,FALSE))</f>
        <v>46153.125</v>
      </c>
      <c r="X297" s="88" t="str">
        <f>VLOOKUP(A297,'1) Kpler'!$E$2:$I$1000,4,FALSE)</f>
        <v>ballast</v>
      </c>
      <c r="Y297" s="234" t="str">
        <f t="shared" si="49"/>
        <v/>
      </c>
      <c r="Z297" s="234" t="str">
        <f t="shared" si="50"/>
        <v>16-20 May</v>
      </c>
      <c r="AA297" s="234" t="str">
        <f t="shared" si="51"/>
        <v>16-20 May</v>
      </c>
      <c r="AB297" s="234" t="str">
        <f t="shared" si="52"/>
        <v/>
      </c>
      <c r="AC297" s="234" t="str">
        <f t="shared" si="53"/>
        <v>05-09 Jun</v>
      </c>
      <c r="AD297" s="234" t="str">
        <f t="shared" si="54"/>
        <v/>
      </c>
      <c r="AE297" s="235" t="str">
        <f t="shared" si="55"/>
        <v/>
      </c>
      <c r="AF297" s="92" t="str">
        <f t="shared" si="56"/>
        <v/>
      </c>
      <c r="AG297" s="93" t="str">
        <f t="shared" si="57"/>
        <v/>
      </c>
      <c r="AH297" s="94" t="str">
        <f>IFERROR($M297+VLOOKUP($L297,'Voyage days'!$F$38:$H$89,3,FALSE),"")</f>
        <v/>
      </c>
      <c r="AI297" s="94" t="str">
        <f>IFERROR(N297+VLOOKUP($L297,'Voyage days'!$F$38:$H$89,3,FALSE),"")</f>
        <v/>
      </c>
      <c r="AJ297" s="93" t="str">
        <f t="shared" si="27"/>
        <v>16-20 May</v>
      </c>
      <c r="AK297" s="94">
        <f>IFERROR($M297+VLOOKUP($L297,'Voyage days'!$F$94:$H$193,3,FALSE),"")</f>
        <v>46158</v>
      </c>
      <c r="AL297" s="94">
        <f>IFERROR($N297+VLOOKUP($L297,'Voyage days'!$F$94:$H$193,3,FALSE),"")</f>
        <v>46162</v>
      </c>
      <c r="AM297" s="93" t="str">
        <f t="shared" si="28"/>
        <v>16-20 May</v>
      </c>
      <c r="AN297" s="94">
        <f>IFERROR($M297+VLOOKUP($L297,'Voyage days'!$F$203:$H$256,3,FALSE),"")</f>
        <v>46158</v>
      </c>
      <c r="AO297" s="94">
        <f>IFERROR($N297+VLOOKUP($L297,'Voyage days'!$F$203:$H$256,3,FALSE),"")</f>
        <v>46162</v>
      </c>
      <c r="AP297" s="93" t="str">
        <f t="shared" si="29"/>
        <v/>
      </c>
      <c r="AQ297" s="94" t="str">
        <f>IFERROR($M297+VLOOKUP($L297,'Voyage days'!$F$294:$H$377,3,FALSE),"")</f>
        <v/>
      </c>
      <c r="AR297" s="94" t="str">
        <f>IFERROR($N297+VLOOKUP($L297,'Voyage days'!$F$294:$H$377,3,FALSE),"")</f>
        <v/>
      </c>
      <c r="AS297" s="93" t="str">
        <f t="shared" si="30"/>
        <v>05-09 Jun</v>
      </c>
      <c r="AT297" s="94">
        <f>IFERROR($M297+VLOOKUP($L297,'Voyage days'!$F$382:$H$446,3,FALSE),"")</f>
        <v>46178</v>
      </c>
      <c r="AU297" s="94">
        <f>IFERROR($N297+VLOOKUP($L297,'Voyage days'!$F$382:$H$446,3,FALSE),"")</f>
        <v>46182</v>
      </c>
      <c r="AV297" s="93" t="str">
        <f t="shared" si="31"/>
        <v/>
      </c>
      <c r="AW297" s="94" t="str">
        <f>IFERROR($M297+VLOOKUP($L297,'Voyage days'!$F$483:$H$538,3,FALSE),"")</f>
        <v/>
      </c>
      <c r="AX297" s="94" t="str">
        <f>IFERROR($N297+VLOOKUP($L297,'Voyage days'!$F$483:$H$538,3,FALSE),"")</f>
        <v/>
      </c>
      <c r="AY297" s="93" t="str">
        <f t="shared" si="32"/>
        <v/>
      </c>
      <c r="AZ297" s="94" t="str">
        <f>IFERROR($M297+VLOOKUP($L297,'Voyage days'!$F$540:$H$613,3,FALSE),"")</f>
        <v/>
      </c>
      <c r="BA297" s="94" t="str">
        <f>IFERROR($N297+VLOOKUP($L297,'Voyage days'!$F$540:$H$613,3,FALSE),"")</f>
        <v/>
      </c>
      <c r="BB297" s="93" t="str">
        <f t="shared" si="33"/>
        <v/>
      </c>
      <c r="BC297" s="94" t="str">
        <f>IFERROR($M297+VLOOKUP($L297,'Voyage days'!$F$448:$H$479,3,FALSE),"")</f>
        <v/>
      </c>
      <c r="BD297" s="94" t="str">
        <f>IFERROR($N297+VLOOKUP($L297,'Voyage days'!$F$448:$H$479,3,FALSE),"")</f>
        <v/>
      </c>
      <c r="BE297" s="93" t="str">
        <f t="shared" si="34"/>
        <v/>
      </c>
      <c r="BF297" s="95" t="str">
        <f>IFERROR($M297+VLOOKUP($L297,'Voyage days'!$F$620:$H$646,3,FALSE),"")</f>
        <v/>
      </c>
      <c r="BG297" s="95" t="str">
        <f>IFERROR($N297+VLOOKUP($L297,'Voyage days'!$F$620:$H$646,3,FALSE),"")</f>
        <v/>
      </c>
      <c r="BH297" s="93" t="str">
        <f t="shared" si="35"/>
        <v/>
      </c>
      <c r="BI297" s="96" t="str">
        <f>IFERROR($M297+VLOOKUP($L297,'Voyage days'!$F$702:$H$727,3,FALSE),"")</f>
        <v/>
      </c>
      <c r="BJ297" s="93" t="str">
        <f t="shared" si="36"/>
        <v/>
      </c>
      <c r="BK297" s="95" t="str">
        <f>IFERROR($M297+VLOOKUP($L297,'Voyage days'!$F$807:$H$878,3,FALSE),"")</f>
        <v/>
      </c>
      <c r="BL297" s="95" t="str">
        <f>IFERROR($N297+VLOOKUP($L297,'Voyage days'!$F$807:$H$878,3,FALSE),"")</f>
        <v/>
      </c>
      <c r="BM297" s="95" t="str">
        <f>IFERROR($N297+VLOOKUP($L297,'Voyage days'!$F$807:$K$878,6,FALSE),"")</f>
        <v/>
      </c>
      <c r="BN297" s="94" t="str">
        <f>IF(L297="loads AG", IFERROR($M297+VLOOKUP($L297,'Voyage days'!$M$38:$O$38,3,FALSE),""),"")</f>
        <v/>
      </c>
      <c r="BO297" s="94">
        <f>IF(L297="loads USG", IFERROR($M297+VLOOKUP($L297,'Voyage days'!$L$203:$N$203,3,FALSE),""),"")</f>
        <v>46190</v>
      </c>
    </row>
    <row r="298" spans="1:67" ht="15.75" customHeight="1" x14ac:dyDescent="0.25">
      <c r="A298" s="97" t="s">
        <v>305</v>
      </c>
      <c r="B298" s="119">
        <v>2023</v>
      </c>
      <c r="C298" s="76">
        <v>93000</v>
      </c>
      <c r="D298" s="77"/>
      <c r="E298" s="77" t="s">
        <v>757</v>
      </c>
      <c r="F298" s="78"/>
      <c r="G298" s="78"/>
      <c r="H298" s="78" t="s">
        <v>713</v>
      </c>
      <c r="I298" s="233" t="s">
        <v>1452</v>
      </c>
      <c r="J298" s="80" t="str">
        <f t="shared" si="60"/>
        <v/>
      </c>
      <c r="K298" s="81" t="s">
        <v>817</v>
      </c>
      <c r="L298" s="82" t="s">
        <v>718</v>
      </c>
      <c r="M298" s="83">
        <v>46158</v>
      </c>
      <c r="N298" s="83">
        <v>46159</v>
      </c>
      <c r="O298" s="84"/>
      <c r="P298" s="304" t="s">
        <v>1453</v>
      </c>
      <c r="Q298" s="82"/>
      <c r="R298" s="82" t="s">
        <v>1454</v>
      </c>
      <c r="S298" s="77" t="s">
        <v>33</v>
      </c>
      <c r="T298" s="86">
        <v>46131</v>
      </c>
      <c r="U298" s="87" t="str">
        <f>IF(V298="","No AIS",VLOOKUP(V298,'Voyage days'!$A$3:$B$1480,2,FALSE))</f>
        <v>USG</v>
      </c>
      <c r="V298" s="88" t="str">
        <f>IF(VLOOKUP(A298,'1) Kpler'!$E$2:$P$1000,8, FALSE)="","",VLOOKUP(A298,'1) Kpler'!$E$2:$P$1000,8, FALSE))</f>
        <v>Energy Transfer Nederland</v>
      </c>
      <c r="W298" s="89">
        <f>IF(VLOOKUP(A298,'1) Kpler'!$E$2:$P$1000,9,FALSE)="","",VLOOKUP(A298,'1) Kpler'!$E$2:$P$1000,9,FALSE))</f>
        <v>46156.458333333336</v>
      </c>
      <c r="X298" s="88" t="str">
        <f>VLOOKUP(A298,'1) Kpler'!$E$2:$I$1000,4,FALSE)</f>
        <v>open</v>
      </c>
      <c r="Y298" s="63" t="str">
        <f t="shared" si="49"/>
        <v/>
      </c>
      <c r="Z298" s="63" t="str">
        <f t="shared" si="50"/>
        <v>16-17 May</v>
      </c>
      <c r="AA298" s="63" t="str">
        <f t="shared" si="51"/>
        <v>16-17 May</v>
      </c>
      <c r="AB298" s="63" t="str">
        <f t="shared" si="52"/>
        <v/>
      </c>
      <c r="AC298" s="63" t="str">
        <f t="shared" si="53"/>
        <v>05-06 Jun</v>
      </c>
      <c r="AD298" s="63" t="str">
        <f t="shared" si="54"/>
        <v/>
      </c>
      <c r="AE298" s="129" t="str">
        <f t="shared" si="55"/>
        <v/>
      </c>
      <c r="AF298" s="130" t="str">
        <f t="shared" si="56"/>
        <v/>
      </c>
      <c r="AG298" s="93" t="str">
        <f t="shared" si="57"/>
        <v/>
      </c>
      <c r="AH298" s="94" t="str">
        <f>IFERROR($M298+VLOOKUP($L298,'Voyage days'!$F$38:$H$89,3,FALSE),"")</f>
        <v/>
      </c>
      <c r="AI298" s="94" t="str">
        <f>IFERROR(N298+VLOOKUP($L298,'Voyage days'!$F$38:$H$89,3,FALSE),"")</f>
        <v/>
      </c>
      <c r="AJ298" s="93" t="str">
        <f t="shared" si="27"/>
        <v>16-17 May</v>
      </c>
      <c r="AK298" s="94">
        <f>IFERROR($M298+VLOOKUP($L298,'Voyage days'!$F$94:$H$193,3,FALSE),"")</f>
        <v>46158</v>
      </c>
      <c r="AL298" s="94">
        <f>IFERROR($N298+VLOOKUP($L298,'Voyage days'!$F$94:$H$193,3,FALSE),"")</f>
        <v>46159</v>
      </c>
      <c r="AM298" s="93" t="str">
        <f t="shared" si="28"/>
        <v>16-17 May</v>
      </c>
      <c r="AN298" s="94">
        <f>IFERROR($M298+VLOOKUP($L298,'Voyage days'!$F$203:$H$256,3,FALSE),"")</f>
        <v>46158</v>
      </c>
      <c r="AO298" s="94">
        <f>IFERROR($N298+VLOOKUP($L298,'Voyage days'!$F$203:$H$256,3,FALSE),"")</f>
        <v>46159</v>
      </c>
      <c r="AP298" s="93" t="str">
        <f t="shared" si="29"/>
        <v/>
      </c>
      <c r="AQ298" s="94" t="str">
        <f>IFERROR($M298+VLOOKUP($L298,'Voyage days'!$F$294:$H$377,3,FALSE),"")</f>
        <v/>
      </c>
      <c r="AR298" s="94" t="str">
        <f>IFERROR($N298+VLOOKUP($L298,'Voyage days'!$F$294:$H$377,3,FALSE),"")</f>
        <v/>
      </c>
      <c r="AS298" s="93" t="str">
        <f t="shared" si="30"/>
        <v>05-06 Jun</v>
      </c>
      <c r="AT298" s="94">
        <f>IFERROR($M298+VLOOKUP($L298,'Voyage days'!$F$382:$H$446,3,FALSE),"")</f>
        <v>46178</v>
      </c>
      <c r="AU298" s="94">
        <f>IFERROR($N298+VLOOKUP($L298,'Voyage days'!$F$382:$H$446,3,FALSE),"")</f>
        <v>46179</v>
      </c>
      <c r="AV298" s="93" t="str">
        <f t="shared" si="31"/>
        <v/>
      </c>
      <c r="AW298" s="94" t="str">
        <f>IFERROR($M298+VLOOKUP($L298,'Voyage days'!$F$483:$H$538,3,FALSE),"")</f>
        <v/>
      </c>
      <c r="AX298" s="94" t="str">
        <f>IFERROR($N298+VLOOKUP($L298,'Voyage days'!$F$483:$H$538,3,FALSE),"")</f>
        <v/>
      </c>
      <c r="AY298" s="93" t="str">
        <f t="shared" si="32"/>
        <v/>
      </c>
      <c r="AZ298" s="94" t="str">
        <f>IFERROR($M298+VLOOKUP($L298,'Voyage days'!$F$540:$H$613,3,FALSE),"")</f>
        <v/>
      </c>
      <c r="BA298" s="94" t="str">
        <f>IFERROR($N298+VLOOKUP($L298,'Voyage days'!$F$540:$H$613,3,FALSE),"")</f>
        <v/>
      </c>
      <c r="BB298" s="93" t="str">
        <f t="shared" si="33"/>
        <v/>
      </c>
      <c r="BC298" s="94" t="str">
        <f>IFERROR($M298+VLOOKUP($L298,'Voyage days'!$F$448:$H$479,3,FALSE),"")</f>
        <v/>
      </c>
      <c r="BD298" s="94" t="str">
        <f>IFERROR($N298+VLOOKUP($L298,'Voyage days'!$F$448:$H$479,3,FALSE),"")</f>
        <v/>
      </c>
      <c r="BE298" s="93" t="str">
        <f t="shared" si="34"/>
        <v/>
      </c>
      <c r="BF298" s="95" t="str">
        <f>IFERROR($M298+VLOOKUP($L298,'Voyage days'!$F$620:$H$646,3,FALSE),"")</f>
        <v/>
      </c>
      <c r="BG298" s="95" t="str">
        <f>IFERROR($N298+VLOOKUP($L298,'Voyage days'!$F$620:$H$646,3,FALSE),"")</f>
        <v/>
      </c>
      <c r="BH298" s="93" t="str">
        <f t="shared" si="35"/>
        <v/>
      </c>
      <c r="BI298" s="96" t="str">
        <f>IFERROR($M298+VLOOKUP($L298,'Voyage days'!$F$702:$H$727,3,FALSE),"")</f>
        <v/>
      </c>
      <c r="BJ298" s="93" t="str">
        <f t="shared" si="36"/>
        <v/>
      </c>
      <c r="BK298" s="95" t="str">
        <f>IFERROR($M298+VLOOKUP($L298,'Voyage days'!$F$807:$H$878,3,FALSE),"")</f>
        <v/>
      </c>
      <c r="BL298" s="95" t="str">
        <f>IFERROR($N298+VLOOKUP($L298,'Voyage days'!$F$807:$H$878,3,FALSE),"")</f>
        <v/>
      </c>
      <c r="BM298" s="95" t="str">
        <f>IFERROR($N298+VLOOKUP($L298,'Voyage days'!$F$807:$K$878,6,FALSE),"")</f>
        <v/>
      </c>
      <c r="BN298" s="94" t="str">
        <f>IF(L298="loads AG", IFERROR($M298+VLOOKUP($L298,'Voyage days'!$M$38:$O$38,3,FALSE),""),"")</f>
        <v/>
      </c>
      <c r="BO298" s="94">
        <f>IF(L298="loads USG", IFERROR($M298+VLOOKUP($L298,'Voyage days'!$L$203:$N$203,3,FALSE),""),"")</f>
        <v>46190</v>
      </c>
    </row>
    <row r="299" spans="1:67" ht="15.75" customHeight="1" x14ac:dyDescent="0.25">
      <c r="A299" s="97" t="s">
        <v>336</v>
      </c>
      <c r="B299" s="119">
        <v>2021</v>
      </c>
      <c r="C299" s="76">
        <v>86000</v>
      </c>
      <c r="D299" s="77"/>
      <c r="E299" s="77" t="s">
        <v>757</v>
      </c>
      <c r="F299" s="78"/>
      <c r="G299" s="78"/>
      <c r="H299" s="78" t="s">
        <v>713</v>
      </c>
      <c r="I299" s="233" t="s">
        <v>1455</v>
      </c>
      <c r="J299" s="80" t="str">
        <f t="shared" si="60"/>
        <v/>
      </c>
      <c r="K299" s="81"/>
      <c r="L299" s="82" t="s">
        <v>754</v>
      </c>
      <c r="M299" s="83">
        <v>46137</v>
      </c>
      <c r="N299" s="83">
        <v>46138</v>
      </c>
      <c r="O299" s="168"/>
      <c r="P299" s="82" t="s">
        <v>1456</v>
      </c>
      <c r="Q299" s="82"/>
      <c r="R299" s="82" t="s">
        <v>1457</v>
      </c>
      <c r="S299" s="77" t="s">
        <v>33</v>
      </c>
      <c r="T299" s="86">
        <v>46132</v>
      </c>
      <c r="U299" s="87" t="str">
        <f>IF(V299="","No AIS",VLOOKUP(V299,'Voyage days'!$A$3:$B$1480,2,FALSE))</f>
        <v>South China + 4</v>
      </c>
      <c r="V299" s="88" t="str">
        <f>IF(VLOOKUP(A299,'1) Kpler'!$E$2:$P$1000,8, FALSE)="","",VLOOKUP(A299,'1) Kpler'!$E$2:$P$1000,8, FALSE))</f>
        <v>Guangzhou</v>
      </c>
      <c r="W299" s="89">
        <f>IF(VLOOKUP(A299,'1) Kpler'!$E$2:$P$1000,9,FALSE)="","",VLOOKUP(A299,'1) Kpler'!$E$2:$P$1000,9,FALSE))</f>
        <v>46137.083333333336</v>
      </c>
      <c r="X299" s="88" t="str">
        <f>VLOOKUP(A299,'1) Kpler'!$E$2:$I$1000,4,FALSE)</f>
        <v>ballast</v>
      </c>
      <c r="Y299" s="234" t="str">
        <f t="shared" si="49"/>
        <v>10-11 May</v>
      </c>
      <c r="Z299" s="234" t="str">
        <f t="shared" si="50"/>
        <v>31-01 Jun</v>
      </c>
      <c r="AA299" s="234" t="str">
        <f t="shared" si="51"/>
        <v>06-07 Jun</v>
      </c>
      <c r="AB299" s="234" t="str">
        <f t="shared" si="52"/>
        <v>21-22 May</v>
      </c>
      <c r="AC299" s="234" t="str">
        <f t="shared" si="53"/>
        <v>28-29 May</v>
      </c>
      <c r="AD299" s="234" t="str">
        <f t="shared" si="54"/>
        <v>29-30 Apr</v>
      </c>
      <c r="AE299" s="235" t="str">
        <f t="shared" si="55"/>
        <v>01-02 May</v>
      </c>
      <c r="AF299" s="92" t="str">
        <f t="shared" si="56"/>
        <v>06-07 Jun</v>
      </c>
      <c r="AG299" s="93" t="str">
        <f t="shared" si="57"/>
        <v>10-11 May</v>
      </c>
      <c r="AH299" s="94">
        <f>IFERROR($M299+VLOOKUP($L299,'Voyage days'!$F$38:$H$89,3,FALSE),"")</f>
        <v>46152</v>
      </c>
      <c r="AI299" s="94">
        <f>IFERROR(N299+VLOOKUP($L299,'Voyage days'!$F$38:$H$89,3,FALSE),"")</f>
        <v>46153</v>
      </c>
      <c r="AJ299" s="93" t="str">
        <f t="shared" si="27"/>
        <v>31-01 Jun</v>
      </c>
      <c r="AK299" s="94">
        <f>IFERROR($M299+VLOOKUP($L299,'Voyage days'!$F$94:$H$193,3,FALSE),"")</f>
        <v>46173</v>
      </c>
      <c r="AL299" s="94">
        <f>IFERROR($N299+VLOOKUP($L299,'Voyage days'!$F$94:$H$193,3,FALSE),"")</f>
        <v>46174</v>
      </c>
      <c r="AM299" s="93" t="str">
        <f t="shared" si="28"/>
        <v>06-07 Jun</v>
      </c>
      <c r="AN299" s="94">
        <f>IFERROR($M299+VLOOKUP($L299,'Voyage days'!$F$203:$H$256,3,FALSE),"")</f>
        <v>46179</v>
      </c>
      <c r="AO299" s="94">
        <f>IFERROR($N299+VLOOKUP($L299,'Voyage days'!$F$203:$H$256,3,FALSE),"")</f>
        <v>46180</v>
      </c>
      <c r="AP299" s="93" t="str">
        <f t="shared" si="29"/>
        <v>21-22 May</v>
      </c>
      <c r="AQ299" s="94">
        <f>IFERROR($M299+VLOOKUP($L299,'Voyage days'!$F$294:$H$377,3,FALSE),"")</f>
        <v>46163</v>
      </c>
      <c r="AR299" s="94">
        <f>IFERROR($N299+VLOOKUP($L299,'Voyage days'!$F$294:$H$377,3,FALSE),"")</f>
        <v>46164</v>
      </c>
      <c r="AS299" s="93" t="str">
        <f t="shared" si="30"/>
        <v>28-29 May</v>
      </c>
      <c r="AT299" s="94">
        <f>IFERROR($M299+VLOOKUP($L299,'Voyage days'!$F$382:$H$446,3,FALSE),"")</f>
        <v>46170</v>
      </c>
      <c r="AU299" s="94">
        <f>IFERROR($N299+VLOOKUP($L299,'Voyage days'!$F$382:$H$446,3,FALSE),"")</f>
        <v>46171</v>
      </c>
      <c r="AV299" s="93" t="str">
        <f t="shared" si="31"/>
        <v>09-10 May</v>
      </c>
      <c r="AW299" s="94">
        <f>IFERROR($M299+VLOOKUP($L299,'Voyage days'!$F$483:$H$538,3,FALSE),"")</f>
        <v>46151</v>
      </c>
      <c r="AX299" s="94">
        <f>IFERROR($N299+VLOOKUP($L299,'Voyage days'!$F$483:$H$538,3,FALSE),"")</f>
        <v>46152</v>
      </c>
      <c r="AY299" s="93" t="str">
        <f t="shared" si="32"/>
        <v>01-02 May</v>
      </c>
      <c r="AZ299" s="94">
        <f>IFERROR($M299+VLOOKUP($L299,'Voyage days'!$F$540:$H$613,3,FALSE),"")</f>
        <v>46143.75</v>
      </c>
      <c r="BA299" s="94">
        <f>IFERROR($N299+VLOOKUP($L299,'Voyage days'!$F$540:$H$613,3,FALSE),"")</f>
        <v>46144.75</v>
      </c>
      <c r="BB299" s="93" t="str">
        <f t="shared" si="33"/>
        <v>29-30 Apr</v>
      </c>
      <c r="BC299" s="94">
        <f>IFERROR($M299+VLOOKUP($L299,'Voyage days'!$F$448:$H$479,3,FALSE),"")</f>
        <v>46141</v>
      </c>
      <c r="BD299" s="94">
        <f>IFERROR($N299+VLOOKUP($L299,'Voyage days'!$F$448:$H$479,3,FALSE),"")</f>
        <v>46142</v>
      </c>
      <c r="BE299" s="93" t="str">
        <f t="shared" si="34"/>
        <v/>
      </c>
      <c r="BF299" s="95" t="str">
        <f>IFERROR($M299+VLOOKUP($L299,'Voyage days'!$F$620:$H$646,3,FALSE),"")</f>
        <v/>
      </c>
      <c r="BG299" s="95" t="str">
        <f>IFERROR($N299+VLOOKUP($L299,'Voyage days'!$F$620:$H$646,3,FALSE),"")</f>
        <v/>
      </c>
      <c r="BH299" s="93" t="str">
        <f t="shared" si="35"/>
        <v>01-07 Jun</v>
      </c>
      <c r="BI299" s="96">
        <f>IFERROR($M299+VLOOKUP($L299,'Voyage days'!$F$702:$H$727,3,FALSE),"")</f>
        <v>46143.75</v>
      </c>
      <c r="BJ299" s="93" t="str">
        <f t="shared" si="36"/>
        <v>06-07 Jun</v>
      </c>
      <c r="BK299" s="95">
        <f>IFERROR($M299+VLOOKUP($L299,'Voyage days'!$F$807:$H$878,3,FALSE),"")</f>
        <v>46179</v>
      </c>
      <c r="BL299" s="95">
        <f>IFERROR($N299+VLOOKUP($L299,'Voyage days'!$F$807:$H$878,3,FALSE),"")</f>
        <v>46180</v>
      </c>
      <c r="BM299" s="95">
        <f>IFERROR($N299+VLOOKUP($L299,'Voyage days'!$F$807:$K$878,6,FALSE),"")</f>
        <v>46155</v>
      </c>
      <c r="BN299" s="94" t="str">
        <f>IF(L299="loads AG", IFERROR($M299+VLOOKUP($L299,'Voyage days'!$M$38:$O$38,3,FALSE),""),"")</f>
        <v/>
      </c>
      <c r="BO299" s="94" t="str">
        <f>IF(L299="loads USG", IFERROR($M299+VLOOKUP($L299,'Voyage days'!$L$203:$N$203,3,FALSE),""),"")</f>
        <v/>
      </c>
    </row>
    <row r="300" spans="1:67" x14ac:dyDescent="0.25">
      <c r="A300" s="266" t="s">
        <v>447</v>
      </c>
      <c r="B300" s="119">
        <v>2023</v>
      </c>
      <c r="C300" s="76">
        <v>91000</v>
      </c>
      <c r="D300" s="77"/>
      <c r="E300" s="77" t="s">
        <v>757</v>
      </c>
      <c r="F300" s="78"/>
      <c r="G300" s="78"/>
      <c r="H300" s="78" t="s">
        <v>713</v>
      </c>
      <c r="I300" s="233" t="s">
        <v>1377</v>
      </c>
      <c r="J300" s="80" t="str">
        <f t="shared" si="60"/>
        <v/>
      </c>
      <c r="K300" s="123"/>
      <c r="L300" s="82" t="s">
        <v>718</v>
      </c>
      <c r="M300" s="83">
        <v>46134</v>
      </c>
      <c r="N300" s="509">
        <v>46135</v>
      </c>
      <c r="O300" s="84"/>
      <c r="P300" s="124" t="s">
        <v>1458</v>
      </c>
      <c r="Q300" s="85"/>
      <c r="R300" s="85" t="s">
        <v>1459</v>
      </c>
      <c r="S300" s="77" t="s">
        <v>33</v>
      </c>
      <c r="T300" s="86">
        <v>46131</v>
      </c>
      <c r="U300" s="87" t="str">
        <f>IF(V300="","No AIS",VLOOKUP(V300,'Voyage days'!$A$3:$B$1480,2,FALSE))</f>
        <v>USG</v>
      </c>
      <c r="V300" s="88" t="str">
        <f>IF(VLOOKUP(A300,'1) Kpler'!$E$2:$P$1000,8, FALSE)="","",VLOOKUP(A300,'1) Kpler'!$E$2:$P$1000,8, FALSE))</f>
        <v>Houston</v>
      </c>
      <c r="W300" s="89">
        <f>IF(VLOOKUP(A300,'1) Kpler'!$E$2:$P$1000,9,FALSE)="","",VLOOKUP(A300,'1) Kpler'!$E$2:$P$1000,9,FALSE))</f>
        <v>46132.486805555556</v>
      </c>
      <c r="X300" s="88" t="str">
        <f>VLOOKUP(A300,'1) Kpler'!$E$2:$I$1000,4,FALSE)</f>
        <v>open</v>
      </c>
      <c r="Y300" s="234" t="str">
        <f t="shared" si="49"/>
        <v/>
      </c>
      <c r="Z300" s="234" t="str">
        <f t="shared" si="50"/>
        <v>22-23 Apr</v>
      </c>
      <c r="AA300" s="234" t="str">
        <f t="shared" si="51"/>
        <v>22-23 Apr</v>
      </c>
      <c r="AB300" s="234" t="str">
        <f t="shared" si="52"/>
        <v/>
      </c>
      <c r="AC300" s="234" t="str">
        <f t="shared" si="53"/>
        <v>12-13 May</v>
      </c>
      <c r="AD300" s="234" t="str">
        <f t="shared" si="54"/>
        <v/>
      </c>
      <c r="AE300" s="235" t="str">
        <f t="shared" si="55"/>
        <v/>
      </c>
      <c r="AF300" s="92" t="str">
        <f t="shared" si="56"/>
        <v/>
      </c>
      <c r="AG300" s="93" t="str">
        <f t="shared" si="57"/>
        <v/>
      </c>
      <c r="AH300" s="94" t="str">
        <f>IFERROR($M300+VLOOKUP($L300,'Voyage days'!$F$38:$H$89,3,FALSE),"")</f>
        <v/>
      </c>
      <c r="AI300" s="94" t="str">
        <f>IFERROR(N300+VLOOKUP($L300,'Voyage days'!$F$38:$H$89,3,FALSE),"")</f>
        <v/>
      </c>
      <c r="AJ300" s="93" t="str">
        <f t="shared" si="27"/>
        <v>22-23 Apr</v>
      </c>
      <c r="AK300" s="94">
        <f>IFERROR($M300+VLOOKUP($L300,'Voyage days'!$F$94:$H$193,3,FALSE),"")</f>
        <v>46134</v>
      </c>
      <c r="AL300" s="94">
        <f>IFERROR($N300+VLOOKUP($L300,'Voyage days'!$F$94:$H$193,3,FALSE),"")</f>
        <v>46135</v>
      </c>
      <c r="AM300" s="93" t="str">
        <f t="shared" si="28"/>
        <v>22-23 Apr</v>
      </c>
      <c r="AN300" s="94">
        <f>IFERROR($M300+VLOOKUP($L300,'Voyage days'!$F$203:$H$256,3,FALSE),"")</f>
        <v>46134</v>
      </c>
      <c r="AO300" s="94">
        <f>IFERROR($N300+VLOOKUP($L300,'Voyage days'!$F$203:$H$256,3,FALSE),"")</f>
        <v>46135</v>
      </c>
      <c r="AP300" s="93" t="str">
        <f t="shared" si="29"/>
        <v/>
      </c>
      <c r="AQ300" s="94" t="str">
        <f>IFERROR($M300+VLOOKUP($L300,'Voyage days'!$F$294:$H$377,3,FALSE),"")</f>
        <v/>
      </c>
      <c r="AR300" s="94" t="str">
        <f>IFERROR($N300+VLOOKUP($L300,'Voyage days'!$F$294:$H$377,3,FALSE),"")</f>
        <v/>
      </c>
      <c r="AS300" s="93" t="str">
        <f t="shared" si="30"/>
        <v>12-13 May</v>
      </c>
      <c r="AT300" s="94">
        <f>IFERROR($M300+VLOOKUP($L300,'Voyage days'!$F$382:$H$446,3,FALSE),"")</f>
        <v>46154</v>
      </c>
      <c r="AU300" s="94">
        <f>IFERROR($N300+VLOOKUP($L300,'Voyage days'!$F$382:$H$446,3,FALSE),"")</f>
        <v>46155</v>
      </c>
      <c r="AV300" s="93" t="str">
        <f t="shared" si="31"/>
        <v/>
      </c>
      <c r="AW300" s="94" t="str">
        <f>IFERROR($M300+VLOOKUP($L300,'Voyage days'!$F$483:$H$538,3,FALSE),"")</f>
        <v/>
      </c>
      <c r="AX300" s="94" t="str">
        <f>IFERROR($N300+VLOOKUP($L300,'Voyage days'!$F$483:$H$538,3,FALSE),"")</f>
        <v/>
      </c>
      <c r="AY300" s="93" t="str">
        <f t="shared" si="32"/>
        <v/>
      </c>
      <c r="AZ300" s="94" t="str">
        <f>IFERROR($M300+VLOOKUP($L300,'Voyage days'!$F$540:$H$613,3,FALSE),"")</f>
        <v/>
      </c>
      <c r="BA300" s="94" t="str">
        <f>IFERROR($N300+VLOOKUP($L300,'Voyage days'!$F$540:$H$613,3,FALSE),"")</f>
        <v/>
      </c>
      <c r="BB300" s="93" t="str">
        <f t="shared" si="33"/>
        <v/>
      </c>
      <c r="BC300" s="94" t="str">
        <f>IFERROR($M300+VLOOKUP($L300,'Voyage days'!$F$448:$H$479,3,FALSE),"")</f>
        <v/>
      </c>
      <c r="BD300" s="94" t="str">
        <f>IFERROR($N300+VLOOKUP($L300,'Voyage days'!$F$448:$H$479,3,FALSE),"")</f>
        <v/>
      </c>
      <c r="BE300" s="93" t="str">
        <f t="shared" si="34"/>
        <v/>
      </c>
      <c r="BF300" s="95" t="str">
        <f>IFERROR($M300+VLOOKUP($L300,'Voyage days'!$F$620:$H$646,3,FALSE),"")</f>
        <v/>
      </c>
      <c r="BG300" s="95" t="str">
        <f>IFERROR($N300+VLOOKUP($L300,'Voyage days'!$F$620:$H$646,3,FALSE),"")</f>
        <v/>
      </c>
      <c r="BH300" s="93" t="str">
        <f t="shared" si="35"/>
        <v/>
      </c>
      <c r="BI300" s="96" t="str">
        <f>IFERROR($M300+VLOOKUP($L300,'Voyage days'!$F$702:$H$727,3,FALSE),"")</f>
        <v/>
      </c>
      <c r="BJ300" s="93" t="str">
        <f t="shared" si="36"/>
        <v/>
      </c>
      <c r="BK300" s="95" t="str">
        <f>IFERROR($M300+VLOOKUP($L300,'Voyage days'!$F$807:$H$878,3,FALSE),"")</f>
        <v/>
      </c>
      <c r="BL300" s="95" t="str">
        <f>IFERROR($N300+VLOOKUP($L300,'Voyage days'!$F$807:$H$878,3,FALSE),"")</f>
        <v/>
      </c>
      <c r="BM300" s="95" t="str">
        <f>IFERROR($N300+VLOOKUP($L300,'Voyage days'!$F$807:$K$878,6,FALSE),"")</f>
        <v/>
      </c>
      <c r="BN300" s="94" t="str">
        <f>IF(L300="loads AG", IFERROR($M300+VLOOKUP($L300,'Voyage days'!$M$38:$O$38,3,FALSE),""),"")</f>
        <v/>
      </c>
      <c r="BO300" s="94">
        <f>IF(L300="loads USG", IFERROR($M300+VLOOKUP($L300,'Voyage days'!$L$203:$N$203,3,FALSE),""),"")</f>
        <v>46166</v>
      </c>
    </row>
    <row r="301" spans="1:67" ht="15.75" customHeight="1" x14ac:dyDescent="0.25">
      <c r="A301" s="400" t="s">
        <v>521</v>
      </c>
      <c r="B301" s="176">
        <v>42979</v>
      </c>
      <c r="C301" s="134">
        <v>84099</v>
      </c>
      <c r="D301" s="143"/>
      <c r="E301" s="143" t="s">
        <v>757</v>
      </c>
      <c r="F301" s="136"/>
      <c r="G301" s="136"/>
      <c r="H301" s="136"/>
      <c r="I301" s="177" t="s">
        <v>1377</v>
      </c>
      <c r="J301" s="138" t="str">
        <f t="shared" si="60"/>
        <v/>
      </c>
      <c r="K301" s="139" t="s">
        <v>817</v>
      </c>
      <c r="L301" s="140" t="s">
        <v>909</v>
      </c>
      <c r="M301" s="361">
        <v>46162</v>
      </c>
      <c r="N301" s="307">
        <v>46163</v>
      </c>
      <c r="O301" s="142"/>
      <c r="P301" s="140" t="s">
        <v>1460</v>
      </c>
      <c r="Q301" s="520"/>
      <c r="R301" s="140" t="s">
        <v>1461</v>
      </c>
      <c r="S301" s="120" t="s">
        <v>33</v>
      </c>
      <c r="T301" s="86">
        <v>46131</v>
      </c>
      <c r="U301" s="145" t="str">
        <f>IF(V301="","No AIS",VLOOKUP(V301,'Voyage days'!$A$3:$B$1480,2,FALSE))</f>
        <v>Singapore</v>
      </c>
      <c r="V301" s="146" t="str">
        <f>IF(VLOOKUP(A301,'1) Kpler'!$E$2:$P$1000,8, FALSE)="","",VLOOKUP(A301,'1) Kpler'!$E$2:$P$1000,8, FALSE))</f>
        <v>Singapore</v>
      </c>
      <c r="W301" s="147">
        <f>IF(VLOOKUP(A301,'1) Kpler'!$E$2:$P$1000,9,FALSE)="","",VLOOKUP(A301,'1) Kpler'!$E$2:$P$1000,9,FALSE))</f>
        <v>46162.375</v>
      </c>
      <c r="X301" s="146" t="str">
        <f>VLOOKUP(A301,'1) Kpler'!$E$2:$I$1000,4,FALSE)</f>
        <v>loaded</v>
      </c>
      <c r="Y301" s="93" t="str">
        <f t="shared" si="49"/>
        <v>04-05 Jun</v>
      </c>
      <c r="Z301" s="93" t="str">
        <f t="shared" si="50"/>
        <v>27-28 Jun</v>
      </c>
      <c r="AA301" s="93" t="str">
        <f t="shared" si="51"/>
        <v>28-29 Jun</v>
      </c>
      <c r="AB301" s="93" t="str">
        <f t="shared" si="52"/>
        <v>14-15 Jun</v>
      </c>
      <c r="AC301" s="93" t="str">
        <f t="shared" si="53"/>
        <v>22-23 Jun</v>
      </c>
      <c r="AD301" s="93" t="str">
        <f t="shared" si="54"/>
        <v>27-28 May</v>
      </c>
      <c r="AE301" s="179" t="str">
        <f t="shared" si="55"/>
        <v>30-31 May</v>
      </c>
      <c r="AF301" s="180" t="str">
        <f t="shared" si="56"/>
        <v>02-03 Jul</v>
      </c>
      <c r="AG301" s="93" t="str">
        <f t="shared" si="57"/>
        <v>04-05 Jun</v>
      </c>
      <c r="AH301" s="94">
        <f>IFERROR($M301+VLOOKUP($L301,'Voyage days'!$F$38:$H$89,3,FALSE),"")</f>
        <v>46177</v>
      </c>
      <c r="AI301" s="94">
        <f>IFERROR(N301+VLOOKUP($L301,'Voyage days'!$F$38:$H$89,3,FALSE),"")</f>
        <v>46178</v>
      </c>
      <c r="AJ301" s="93" t="str">
        <f t="shared" si="27"/>
        <v>27-28 Jun</v>
      </c>
      <c r="AK301" s="94">
        <f>IFERROR($M301+VLOOKUP($L301,'Voyage days'!$F$94:$H$193,3,FALSE),"")</f>
        <v>46200</v>
      </c>
      <c r="AL301" s="94">
        <f>IFERROR($N301+VLOOKUP($L301,'Voyage days'!$F$94:$H$193,3,FALSE),"")</f>
        <v>46201</v>
      </c>
      <c r="AM301" s="93" t="str">
        <f t="shared" si="28"/>
        <v>28-29 Jun</v>
      </c>
      <c r="AN301" s="94">
        <f>IFERROR($M301+VLOOKUP($L301,'Voyage days'!$F$203:$H$256,3,FALSE),"")</f>
        <v>46201</v>
      </c>
      <c r="AO301" s="94">
        <f>IFERROR($N301+VLOOKUP($L301,'Voyage days'!$F$203:$H$256,3,FALSE),"")</f>
        <v>46202</v>
      </c>
      <c r="AP301" s="93" t="str">
        <f t="shared" si="29"/>
        <v>14-15 Jun</v>
      </c>
      <c r="AQ301" s="94">
        <f>IFERROR($M301+VLOOKUP($L301,'Voyage days'!$F$294:$H$377,3,FALSE),"")</f>
        <v>46187</v>
      </c>
      <c r="AR301" s="94">
        <f>IFERROR($N301+VLOOKUP($L301,'Voyage days'!$F$294:$H$377,3,FALSE),"")</f>
        <v>46188</v>
      </c>
      <c r="AS301" s="93" t="str">
        <f t="shared" si="30"/>
        <v>22-23 Jun</v>
      </c>
      <c r="AT301" s="94">
        <f>IFERROR($M301+VLOOKUP($L301,'Voyage days'!$F$382:$H$446,3,FALSE),"")</f>
        <v>46195</v>
      </c>
      <c r="AU301" s="94">
        <f>IFERROR($N301+VLOOKUP($L301,'Voyage days'!$F$382:$H$446,3,FALSE),"")</f>
        <v>46196</v>
      </c>
      <c r="AV301" s="93" t="str">
        <f t="shared" si="31"/>
        <v>05-06 Jun</v>
      </c>
      <c r="AW301" s="94">
        <f>IFERROR($M301+VLOOKUP($L301,'Voyage days'!$F$483:$H$538,3,FALSE),"")</f>
        <v>46178</v>
      </c>
      <c r="AX301" s="94">
        <f>IFERROR($N301+VLOOKUP($L301,'Voyage days'!$F$483:$H$538,3,FALSE),"")</f>
        <v>46179</v>
      </c>
      <c r="AY301" s="93" t="str">
        <f t="shared" si="32"/>
        <v>30-31 May</v>
      </c>
      <c r="AZ301" s="94">
        <f>IFERROR($M301+VLOOKUP($L301,'Voyage days'!$F$540:$H$613,3,FALSE),"")</f>
        <v>46172</v>
      </c>
      <c r="BA301" s="94">
        <f>IFERROR($N301+VLOOKUP($L301,'Voyage days'!$F$540:$H$613,3,FALSE),"")</f>
        <v>46173</v>
      </c>
      <c r="BB301" s="93" t="str">
        <f t="shared" si="33"/>
        <v>27-28 May</v>
      </c>
      <c r="BC301" s="94">
        <f>IFERROR($M301+VLOOKUP($L301,'Voyage days'!$F$448:$H$479,3,FALSE),"")</f>
        <v>46169</v>
      </c>
      <c r="BD301" s="94">
        <f>IFERROR($N301+VLOOKUP($L301,'Voyage days'!$F$448:$H$479,3,FALSE),"")</f>
        <v>46170</v>
      </c>
      <c r="BE301" s="93" t="str">
        <f t="shared" si="34"/>
        <v/>
      </c>
      <c r="BF301" s="95" t="str">
        <f>IFERROR($M301+VLOOKUP($L301,'Voyage days'!$F$620:$H$646,3,FALSE),"")</f>
        <v/>
      </c>
      <c r="BG301" s="95" t="str">
        <f>IFERROR($N301+VLOOKUP($L301,'Voyage days'!$F$620:$H$646,3,FALSE),"")</f>
        <v/>
      </c>
      <c r="BH301" s="93" t="str">
        <f t="shared" si="35"/>
        <v>04-03 Jul</v>
      </c>
      <c r="BI301" s="96">
        <f>IFERROR($M301+VLOOKUP($L301,'Voyage days'!$F$702:$H$727,3,FALSE),"")</f>
        <v>46177</v>
      </c>
      <c r="BJ301" s="93" t="str">
        <f t="shared" si="36"/>
        <v>02-03 Jul</v>
      </c>
      <c r="BK301" s="95">
        <f>IFERROR($M301+VLOOKUP($L301,'Voyage days'!$F$807:$H$878,3,FALSE),"")</f>
        <v>46205</v>
      </c>
      <c r="BL301" s="95">
        <f>IFERROR($N301+VLOOKUP($L301,'Voyage days'!$F$807:$H$878,3,FALSE),"")</f>
        <v>46206</v>
      </c>
      <c r="BM301" s="95">
        <f>IFERROR($N301+VLOOKUP($L301,'Voyage days'!$F$807:$K$878,6,FALSE),"")</f>
        <v>46182</v>
      </c>
      <c r="BN301" s="94" t="str">
        <f>IF(L301="loads AG", IFERROR($M301+VLOOKUP($L301,'Voyage days'!$M$38:$O$38,3,FALSE),""),"")</f>
        <v/>
      </c>
      <c r="BO301" s="94" t="str">
        <f>IF(L301="loads USG", IFERROR($M301+VLOOKUP($L301,'Voyage days'!$L$203:$N$203,3,FALSE),""),"")</f>
        <v/>
      </c>
    </row>
    <row r="302" spans="1:67" ht="15.75" customHeight="1" x14ac:dyDescent="0.25">
      <c r="A302" s="113" t="s">
        <v>48</v>
      </c>
      <c r="B302" s="75">
        <v>40193</v>
      </c>
      <c r="C302" s="76">
        <v>83278</v>
      </c>
      <c r="D302" s="77" t="s">
        <v>651</v>
      </c>
      <c r="E302" s="120"/>
      <c r="F302" s="121"/>
      <c r="G302" s="121"/>
      <c r="H302" s="121" t="s">
        <v>739</v>
      </c>
      <c r="I302" s="249" t="s">
        <v>1462</v>
      </c>
      <c r="J302" s="343" t="str">
        <f t="shared" si="60"/>
        <v/>
      </c>
      <c r="K302" s="123" t="s">
        <v>817</v>
      </c>
      <c r="L302" s="124" t="s">
        <v>718</v>
      </c>
      <c r="M302" s="189">
        <v>46159</v>
      </c>
      <c r="N302" s="521">
        <v>46160</v>
      </c>
      <c r="O302" s="522"/>
      <c r="P302" s="124" t="s">
        <v>1463</v>
      </c>
      <c r="Q302" s="78"/>
      <c r="R302" s="78" t="s">
        <v>1047</v>
      </c>
      <c r="S302" s="184" t="s">
        <v>33</v>
      </c>
      <c r="T302" s="329">
        <v>46131</v>
      </c>
      <c r="U302" s="87" t="str">
        <f>IF(V302="","No AIS",VLOOKUP(V302,'Voyage days'!$A$3:$B$1480,2,FALSE))</f>
        <v>USG</v>
      </c>
      <c r="V302" s="87" t="str">
        <f>IF(VLOOKUP(A302,'1) Kpler'!$E$2:$P$1000,8, FALSE)="","",VLOOKUP(A302,'1) Kpler'!$E$2:$P$1000,8, FALSE))</f>
        <v>Houston</v>
      </c>
      <c r="W302" s="128">
        <f>IF(VLOOKUP(A302,'1) Kpler'!$E$2:$P$1000,9,FALSE)="","",VLOOKUP(A302,'1) Kpler'!$E$2:$P$1000,9,FALSE))</f>
        <v>46159.208333333336</v>
      </c>
      <c r="X302" s="87" t="str">
        <f>VLOOKUP(A302,'1) Kpler'!$E$2:$I$1000,4,FALSE)</f>
        <v>ballast</v>
      </c>
      <c r="Y302" s="234" t="str">
        <f t="shared" si="49"/>
        <v/>
      </c>
      <c r="Z302" s="234" t="str">
        <f t="shared" si="50"/>
        <v>17-18 May</v>
      </c>
      <c r="AA302" s="234" t="str">
        <f t="shared" si="51"/>
        <v>17-18 May</v>
      </c>
      <c r="AB302" s="234" t="str">
        <f t="shared" si="52"/>
        <v/>
      </c>
      <c r="AC302" s="234" t="str">
        <f t="shared" si="53"/>
        <v>06-07 Jun</v>
      </c>
      <c r="AD302" s="234" t="str">
        <f t="shared" si="54"/>
        <v/>
      </c>
      <c r="AE302" s="235" t="str">
        <f t="shared" si="55"/>
        <v/>
      </c>
      <c r="AF302" s="92" t="str">
        <f t="shared" si="56"/>
        <v/>
      </c>
      <c r="AG302" s="131" t="str">
        <f t="shared" si="57"/>
        <v/>
      </c>
      <c r="AH302" s="95" t="str">
        <f>IFERROR($M302+VLOOKUP($L302,'Voyage days'!$F$38:$H$89,3,FALSE),"")</f>
        <v/>
      </c>
      <c r="AI302" s="95" t="str">
        <f>IFERROR(N302+VLOOKUP($L302,'Voyage days'!$F$38:$H$89,3,FALSE),"")</f>
        <v/>
      </c>
      <c r="AJ302" s="131" t="str">
        <f t="shared" si="27"/>
        <v>17-18 May</v>
      </c>
      <c r="AK302" s="95">
        <f>IFERROR($M302+VLOOKUP($L302,'Voyage days'!$F$94:$H$193,3,FALSE),"")</f>
        <v>46159</v>
      </c>
      <c r="AL302" s="95">
        <f>IFERROR($N302+VLOOKUP($L302,'Voyage days'!$F$94:$H$193,3,FALSE),"")</f>
        <v>46160</v>
      </c>
      <c r="AM302" s="131" t="str">
        <f t="shared" si="28"/>
        <v>17-18 May</v>
      </c>
      <c r="AN302" s="95">
        <f>IFERROR($M302+VLOOKUP($L302,'Voyage days'!$F$203:$H$256,3,FALSE),"")</f>
        <v>46159</v>
      </c>
      <c r="AO302" s="95">
        <f>IFERROR($N302+VLOOKUP($L302,'Voyage days'!$F$203:$H$256,3,FALSE),"")</f>
        <v>46160</v>
      </c>
      <c r="AP302" s="131" t="str">
        <f t="shared" si="29"/>
        <v/>
      </c>
      <c r="AQ302" s="95" t="str">
        <f>IFERROR($M302+VLOOKUP($L302,'Voyage days'!$F$294:$H$377,3,FALSE),"")</f>
        <v/>
      </c>
      <c r="AR302" s="95" t="str">
        <f>IFERROR($N302+VLOOKUP($L302,'Voyage days'!$F$294:$H$377,3,FALSE),"")</f>
        <v/>
      </c>
      <c r="AS302" s="131" t="str">
        <f t="shared" si="30"/>
        <v>06-07 Jun</v>
      </c>
      <c r="AT302" s="95">
        <f>IFERROR($M302+VLOOKUP($L302,'Voyage days'!$F$382:$H$446,3,FALSE),"")</f>
        <v>46179</v>
      </c>
      <c r="AU302" s="95">
        <f>IFERROR($N302+VLOOKUP($L302,'Voyage days'!$F$382:$H$446,3,FALSE),"")</f>
        <v>46180</v>
      </c>
      <c r="AV302" s="131" t="str">
        <f t="shared" si="31"/>
        <v/>
      </c>
      <c r="AW302" s="95" t="str">
        <f>IFERROR($M302+VLOOKUP($L302,'Voyage days'!$F$483:$H$538,3,FALSE),"")</f>
        <v/>
      </c>
      <c r="AX302" s="95" t="str">
        <f>IFERROR($N302+VLOOKUP($L302,'Voyage days'!$F$483:$H$538,3,FALSE),"")</f>
        <v/>
      </c>
      <c r="AY302" s="131" t="str">
        <f t="shared" si="32"/>
        <v/>
      </c>
      <c r="AZ302" s="95" t="str">
        <f>IFERROR($M302+VLOOKUP($L302,'Voyage days'!$F$540:$H$613,3,FALSE),"")</f>
        <v/>
      </c>
      <c r="BA302" s="95" t="str">
        <f>IFERROR($N302+VLOOKUP($L302,'Voyage days'!$F$540:$H$613,3,FALSE),"")</f>
        <v/>
      </c>
      <c r="BB302" s="131" t="str">
        <f t="shared" si="33"/>
        <v/>
      </c>
      <c r="BC302" s="94" t="str">
        <f>IFERROR($M302+VLOOKUP($L302,'Voyage days'!$F$448:$H$479,3,FALSE),"")</f>
        <v/>
      </c>
      <c r="BD302" s="94" t="str">
        <f>IFERROR($N302+VLOOKUP($L302,'Voyage days'!$F$448:$H$479,3,FALSE),"")</f>
        <v/>
      </c>
      <c r="BE302" s="131" t="str">
        <f t="shared" si="34"/>
        <v/>
      </c>
      <c r="BF302" s="95" t="str">
        <f>IFERROR($M302+VLOOKUP($L302,'Voyage days'!$F$620:$H$646,3,FALSE),"")</f>
        <v/>
      </c>
      <c r="BG302" s="95" t="str">
        <f>IFERROR($N302+VLOOKUP($L302,'Voyage days'!$F$620:$H$646,3,FALSE),"")</f>
        <v/>
      </c>
      <c r="BH302" s="131" t="str">
        <f t="shared" si="35"/>
        <v/>
      </c>
      <c r="BI302" s="96" t="str">
        <f>IFERROR($M302+VLOOKUP($L302,'Voyage days'!$F$702:$H$727,3,FALSE),"")</f>
        <v/>
      </c>
      <c r="BJ302" s="131" t="str">
        <f t="shared" si="36"/>
        <v/>
      </c>
      <c r="BK302" s="95" t="str">
        <f>IFERROR($M302+VLOOKUP($L302,'Voyage days'!$F$807:$H$878,3,FALSE),"")</f>
        <v/>
      </c>
      <c r="BL302" s="95" t="str">
        <f>IFERROR($N302+VLOOKUP($L302,'Voyage days'!$F$807:$H$878,3,FALSE),"")</f>
        <v/>
      </c>
      <c r="BM302" s="95" t="str">
        <f>IFERROR($N302+VLOOKUP($L302,'Voyage days'!$F$807:$K$878,6,FALSE),"")</f>
        <v/>
      </c>
      <c r="BN302" s="94" t="str">
        <f>IF(L302="loads AG", IFERROR($M302+VLOOKUP($L302,'Voyage days'!$M$38:$O$38,3,FALSE),""),"")</f>
        <v/>
      </c>
      <c r="BO302" s="94">
        <f>IF(L302="loads USG", IFERROR($M302+VLOOKUP($L302,'Voyage days'!$L$203:$N$203,3,FALSE),""),"")</f>
        <v>46191</v>
      </c>
    </row>
    <row r="303" spans="1:67" ht="15.75" customHeight="1" x14ac:dyDescent="0.25">
      <c r="A303" s="113" t="s">
        <v>50</v>
      </c>
      <c r="B303" s="119">
        <v>2026</v>
      </c>
      <c r="C303" s="76">
        <v>93000</v>
      </c>
      <c r="D303" s="77"/>
      <c r="E303" s="120"/>
      <c r="F303" s="121"/>
      <c r="G303" s="121"/>
      <c r="H303" s="121"/>
      <c r="I303" s="523" t="s">
        <v>1462</v>
      </c>
      <c r="J303" s="80"/>
      <c r="K303" s="524"/>
      <c r="L303" s="124" t="s">
        <v>718</v>
      </c>
      <c r="M303" s="222">
        <v>46137</v>
      </c>
      <c r="N303" s="222">
        <v>46138</v>
      </c>
      <c r="O303" s="522"/>
      <c r="P303" s="124" t="s">
        <v>1464</v>
      </c>
      <c r="Q303" s="78"/>
      <c r="R303" s="78" t="s">
        <v>1465</v>
      </c>
      <c r="S303" s="107" t="s">
        <v>33</v>
      </c>
      <c r="T303" s="108">
        <v>46131</v>
      </c>
      <c r="U303" s="109" t="str">
        <f>IF(V303="","No AIS",VLOOKUP(V303,'Voyage days'!$A$3:$B$1480,2,FALSE))</f>
        <v>Korea+3/+1 bunkers</v>
      </c>
      <c r="V303" s="74" t="str">
        <f>IF(VLOOKUP(A303,'1) Kpler'!$E$2:$P$1000,8, FALSE)="","",VLOOKUP(A303,'1) Kpler'!$E$2:$P$1000,8, FALSE))</f>
        <v>Yeosu</v>
      </c>
      <c r="W303" s="525">
        <f>IF(VLOOKUP(A303,'1) Kpler'!$E$2:$P$1000,9,FALSE)="","",VLOOKUP(A303,'1) Kpler'!$E$2:$P$1000,9,FALSE))</f>
        <v>46156.527777777781</v>
      </c>
      <c r="X303" s="74" t="str">
        <f>VLOOKUP(A303,'1) Kpler'!$E$2:$I$1000,4,FALSE)</f>
        <v>ballast</v>
      </c>
      <c r="Y303" s="111" t="str">
        <f t="shared" si="49"/>
        <v/>
      </c>
      <c r="Z303" s="111" t="str">
        <f t="shared" si="50"/>
        <v>25-26 Apr</v>
      </c>
      <c r="AA303" s="111" t="str">
        <f t="shared" si="51"/>
        <v>25-26 Apr</v>
      </c>
      <c r="AB303" s="111" t="str">
        <f t="shared" si="52"/>
        <v/>
      </c>
      <c r="AC303" s="111" t="str">
        <f t="shared" si="53"/>
        <v>15-16 May</v>
      </c>
      <c r="AD303" s="111" t="str">
        <f t="shared" si="54"/>
        <v/>
      </c>
      <c r="AE303" s="112" t="str">
        <f t="shared" si="55"/>
        <v/>
      </c>
      <c r="AF303" s="113" t="str">
        <f t="shared" si="56"/>
        <v/>
      </c>
      <c r="AG303" s="526" t="str">
        <f t="shared" si="57"/>
        <v/>
      </c>
      <c r="AH303" s="116" t="str">
        <f>IFERROR($M303+VLOOKUP($L303,'Voyage days'!$F$38:$H$89,3,FALSE),"")</f>
        <v/>
      </c>
      <c r="AI303" s="116" t="str">
        <f>IFERROR(N303+VLOOKUP($L303,'Voyage days'!$F$38:$H$89,3,FALSE),"")</f>
        <v/>
      </c>
      <c r="AJ303" s="526" t="str">
        <f t="shared" si="27"/>
        <v>25-26 Apr</v>
      </c>
      <c r="AK303" s="116">
        <f>IFERROR($M303+VLOOKUP($L303,'Voyage days'!$F$94:$H$193,3,FALSE),"")</f>
        <v>46137</v>
      </c>
      <c r="AL303" s="116">
        <f>IFERROR($N303+VLOOKUP($L303,'Voyage days'!$F$94:$H$193,3,FALSE),"")</f>
        <v>46138</v>
      </c>
      <c r="AM303" s="526" t="str">
        <f t="shared" si="28"/>
        <v>25-26 Apr</v>
      </c>
      <c r="AN303" s="116">
        <f>IFERROR($M303+VLOOKUP($L303,'Voyage days'!$F$203:$H$256,3,FALSE),"")</f>
        <v>46137</v>
      </c>
      <c r="AO303" s="116">
        <f>IFERROR($N303+VLOOKUP($L303,'Voyage days'!$F$203:$H$256,3,FALSE),"")</f>
        <v>46138</v>
      </c>
      <c r="AP303" s="526" t="str">
        <f t="shared" si="29"/>
        <v/>
      </c>
      <c r="AQ303" s="116" t="str">
        <f>IFERROR($M303+VLOOKUP($L303,'Voyage days'!$F$294:$H$377,3,FALSE),"")</f>
        <v/>
      </c>
      <c r="AR303" s="116" t="str">
        <f>IFERROR($N303+VLOOKUP($L303,'Voyage days'!$F$294:$H$377,3,FALSE),"")</f>
        <v/>
      </c>
      <c r="AS303" s="526" t="str">
        <f t="shared" si="30"/>
        <v>15-16 May</v>
      </c>
      <c r="AT303" s="116">
        <f>IFERROR($M303+VLOOKUP($L303,'Voyage days'!$F$382:$H$446,3,FALSE),"")</f>
        <v>46157</v>
      </c>
      <c r="AU303" s="116">
        <f>IFERROR($N303+VLOOKUP($L303,'Voyage days'!$F$382:$H$446,3,FALSE),"")</f>
        <v>46158</v>
      </c>
      <c r="AV303" s="526" t="str">
        <f t="shared" si="31"/>
        <v/>
      </c>
      <c r="AW303" s="116" t="str">
        <f>IFERROR($M303+VLOOKUP($L303,'Voyage days'!$F$483:$H$538,3,FALSE),"")</f>
        <v/>
      </c>
      <c r="AX303" s="116" t="str">
        <f>IFERROR($N303+VLOOKUP($L303,'Voyage days'!$F$483:$H$538,3,FALSE),"")</f>
        <v/>
      </c>
      <c r="AY303" s="526" t="str">
        <f t="shared" si="32"/>
        <v/>
      </c>
      <c r="AZ303" s="116" t="str">
        <f>IFERROR($M303+VLOOKUP($L303,'Voyage days'!$F$540:$H$613,3,FALSE),"")</f>
        <v/>
      </c>
      <c r="BA303" s="116" t="str">
        <f>IFERROR($N303+VLOOKUP($L303,'Voyage days'!$F$540:$H$613,3,FALSE),"")</f>
        <v/>
      </c>
      <c r="BB303" s="526" t="str">
        <f t="shared" si="33"/>
        <v/>
      </c>
      <c r="BC303" s="116" t="str">
        <f>IFERROR($M303+VLOOKUP($L303,'Voyage days'!$F$448:$H$479,3,FALSE),"")</f>
        <v/>
      </c>
      <c r="BD303" s="116" t="str">
        <f>IFERROR($N303+VLOOKUP($L303,'Voyage days'!$F$448:$H$479,3,FALSE),"")</f>
        <v/>
      </c>
      <c r="BE303" s="526" t="str">
        <f t="shared" si="34"/>
        <v/>
      </c>
      <c r="BF303" s="115" t="str">
        <f>IFERROR($M303+VLOOKUP($L303,'Voyage days'!$F$620:$H$646,3,FALSE),"")</f>
        <v/>
      </c>
      <c r="BG303" s="115" t="str">
        <f>IFERROR($N303+VLOOKUP($L303,'Voyage days'!$F$620:$H$646,3,FALSE),"")</f>
        <v/>
      </c>
      <c r="BH303" s="526" t="str">
        <f t="shared" si="35"/>
        <v/>
      </c>
      <c r="BI303" s="117" t="str">
        <f>IFERROR($M303+VLOOKUP($L303,'Voyage days'!$F$702:$H$727,3,FALSE),"")</f>
        <v/>
      </c>
      <c r="BJ303" s="526" t="str">
        <f t="shared" si="36"/>
        <v/>
      </c>
      <c r="BK303" s="115" t="str">
        <f>IFERROR($M303+VLOOKUP($L303,'Voyage days'!$F$807:$H$878,3,FALSE),"")</f>
        <v/>
      </c>
      <c r="BL303" s="115" t="str">
        <f>IFERROR($N303+VLOOKUP($L303,'Voyage days'!$F$807:$H$878,3,FALSE),"")</f>
        <v/>
      </c>
      <c r="BM303" s="115" t="str">
        <f>IFERROR($N303+VLOOKUP($L303,'Voyage days'!$F$807:$K$878,6,FALSE),"")</f>
        <v/>
      </c>
      <c r="BN303" s="118" t="str">
        <f>IF(L303="loads AG", IFERROR($M303+VLOOKUP($L303,'Voyage days'!$M$38:$O$38,3,FALSE),""),"")</f>
        <v/>
      </c>
      <c r="BO303" s="118">
        <f>IF(L303="loads USG", IFERROR($M303+VLOOKUP($L303,'Voyage days'!$L$203:$N$203,3,FALSE),""),"")</f>
        <v>46169</v>
      </c>
    </row>
    <row r="304" spans="1:67" x14ac:dyDescent="0.25">
      <c r="A304" s="113" t="s">
        <v>1466</v>
      </c>
      <c r="B304" s="75">
        <v>39931</v>
      </c>
      <c r="C304" s="76">
        <v>83271</v>
      </c>
      <c r="D304" s="77" t="s">
        <v>651</v>
      </c>
      <c r="E304" s="77"/>
      <c r="F304" s="78"/>
      <c r="G304" s="78"/>
      <c r="H304" s="78"/>
      <c r="I304" s="233" t="s">
        <v>1462</v>
      </c>
      <c r="J304" s="122" t="str">
        <f t="shared" ref="J304:J342" si="61">IF(W304="","NO AIS",IF((W304-M304-1)&gt;0,"Update",""))</f>
        <v/>
      </c>
      <c r="K304" s="81"/>
      <c r="L304" s="82" t="s">
        <v>770</v>
      </c>
      <c r="M304" s="83">
        <v>46144</v>
      </c>
      <c r="N304" s="83">
        <v>46146</v>
      </c>
      <c r="O304" s="84"/>
      <c r="P304" s="124" t="s">
        <v>1467</v>
      </c>
      <c r="Q304" s="82"/>
      <c r="R304" s="82" t="s">
        <v>1468</v>
      </c>
      <c r="S304" s="107" t="s">
        <v>33</v>
      </c>
      <c r="T304" s="108">
        <v>46131</v>
      </c>
      <c r="U304" s="87" t="str">
        <f>IF(V304="","No AIS",VLOOKUP(V304,'Voyage days'!$A$3:$B$1480,2,FALSE))</f>
        <v>Korea + 4</v>
      </c>
      <c r="V304" s="88" t="str">
        <f>IF(VLOOKUP(A304,'1) Kpler'!$E$2:$P$1000,8, FALSE)="","",VLOOKUP(A304,'1) Kpler'!$E$2:$P$1000,8, FALSE))</f>
        <v>Incheon LPG</v>
      </c>
      <c r="W304" s="89">
        <f>IF(VLOOKUP(A304,'1) Kpler'!$E$2:$P$1000,9,FALSE)="","",VLOOKUP(A304,'1) Kpler'!$E$2:$P$1000,9,FALSE))</f>
        <v>46141.583333333336</v>
      </c>
      <c r="X304" s="88" t="str">
        <f>VLOOKUP(A304,'1) Kpler'!$E$2:$I$1000,4,FALSE)</f>
        <v>open</v>
      </c>
      <c r="Y304" s="63" t="str">
        <f t="shared" si="49"/>
        <v>20-22 May</v>
      </c>
      <c r="Z304" s="63" t="str">
        <f t="shared" si="50"/>
        <v>04-06 Jun</v>
      </c>
      <c r="AA304" s="63" t="str">
        <f t="shared" si="51"/>
        <v>12-14 Jun</v>
      </c>
      <c r="AB304" s="63" t="str">
        <f t="shared" si="52"/>
        <v>31-02 Jun</v>
      </c>
      <c r="AC304" s="63" t="str">
        <f t="shared" si="53"/>
        <v>06-08 Jun</v>
      </c>
      <c r="AD304" s="63" t="str">
        <f t="shared" si="54"/>
        <v>09-11 May</v>
      </c>
      <c r="AE304" s="129" t="str">
        <f t="shared" si="55"/>
        <v>10-12 May</v>
      </c>
      <c r="AF304" s="130" t="str">
        <f t="shared" si="56"/>
        <v>16-18 Jun</v>
      </c>
      <c r="AG304" s="93" t="str">
        <f t="shared" si="57"/>
        <v>20-22 May</v>
      </c>
      <c r="AH304" s="94">
        <f>IFERROR($M304+VLOOKUP($L304,'Voyage days'!$F$38:$H$89,3,FALSE),"")</f>
        <v>46162</v>
      </c>
      <c r="AI304" s="94">
        <f>IFERROR(N304+VLOOKUP($L304,'Voyage days'!$F$38:$H$89,3,FALSE),"")</f>
        <v>46164</v>
      </c>
      <c r="AJ304" s="93" t="str">
        <f t="shared" si="27"/>
        <v>04-06 Jun</v>
      </c>
      <c r="AK304" s="94">
        <f>IFERROR($M304+VLOOKUP($L304,'Voyage days'!$F$94:$H$193,3,FALSE),"")</f>
        <v>46177</v>
      </c>
      <c r="AL304" s="94">
        <f>IFERROR($N304+VLOOKUP($L304,'Voyage days'!$F$94:$H$193,3,FALSE),"")</f>
        <v>46179</v>
      </c>
      <c r="AM304" s="93" t="str">
        <f t="shared" si="28"/>
        <v>12-14 Jun</v>
      </c>
      <c r="AN304" s="94">
        <f>IFERROR($M304+VLOOKUP($L304,'Voyage days'!$F$203:$H$256,3,FALSE),"")</f>
        <v>46185</v>
      </c>
      <c r="AO304" s="94">
        <f>IFERROR($N304+VLOOKUP($L304,'Voyage days'!$F$203:$H$256,3,FALSE),"")</f>
        <v>46187</v>
      </c>
      <c r="AP304" s="93" t="str">
        <f t="shared" si="29"/>
        <v>31-02 Jun</v>
      </c>
      <c r="AQ304" s="94">
        <f>IFERROR($M304+VLOOKUP($L304,'Voyage days'!$F$294:$H$377,3,FALSE),"")</f>
        <v>46173</v>
      </c>
      <c r="AR304" s="94">
        <f>IFERROR($N304+VLOOKUP($L304,'Voyage days'!$F$294:$H$377,3,FALSE),"")</f>
        <v>46175</v>
      </c>
      <c r="AS304" s="93" t="str">
        <f t="shared" si="30"/>
        <v>06-08 Jun</v>
      </c>
      <c r="AT304" s="94">
        <f>IFERROR($M304+VLOOKUP($L304,'Voyage days'!$F$382:$H$446,3,FALSE),"")</f>
        <v>46179</v>
      </c>
      <c r="AU304" s="94">
        <f>IFERROR($N304+VLOOKUP($L304,'Voyage days'!$F$382:$H$446,3,FALSE),"")</f>
        <v>46181</v>
      </c>
      <c r="AV304" s="93" t="str">
        <f t="shared" si="31"/>
        <v>16-18 May</v>
      </c>
      <c r="AW304" s="94">
        <f>IFERROR($M304+VLOOKUP($L304,'Voyage days'!$F$483:$H$538,3,FALSE),"")</f>
        <v>46158</v>
      </c>
      <c r="AX304" s="94">
        <f>IFERROR($N304+VLOOKUP($L304,'Voyage days'!$F$483:$H$538,3,FALSE),"")</f>
        <v>46160</v>
      </c>
      <c r="AY304" s="93" t="str">
        <f t="shared" si="32"/>
        <v>10-12 May</v>
      </c>
      <c r="AZ304" s="94">
        <f>IFERROR($M304+VLOOKUP($L304,'Voyage days'!$F$540:$H$613,3,FALSE),"")</f>
        <v>46152</v>
      </c>
      <c r="BA304" s="94">
        <f>IFERROR($N304+VLOOKUP($L304,'Voyage days'!$F$540:$H$613,3,FALSE),"")</f>
        <v>46154</v>
      </c>
      <c r="BB304" s="93" t="str">
        <f t="shared" si="33"/>
        <v>09-11 May</v>
      </c>
      <c r="BC304" s="94">
        <f>IFERROR($M304+VLOOKUP($L304,'Voyage days'!$F$448:$H$479,3,FALSE),"")</f>
        <v>46151</v>
      </c>
      <c r="BD304" s="94">
        <f>IFERROR($N304+VLOOKUP($L304,'Voyage days'!$F$448:$H$479,3,FALSE),"")</f>
        <v>46153</v>
      </c>
      <c r="BE304" s="93" t="str">
        <f t="shared" si="34"/>
        <v>13-15 May</v>
      </c>
      <c r="BF304" s="95">
        <f>IFERROR($M304+VLOOKUP($L304,'Voyage days'!$F$620:$H$646,3,FALSE),"")</f>
        <v>46155</v>
      </c>
      <c r="BG304" s="95">
        <f>IFERROR($N304+VLOOKUP($L304,'Voyage days'!$F$620:$H$646,3,FALSE),"")</f>
        <v>46157</v>
      </c>
      <c r="BH304" s="93" t="str">
        <f t="shared" si="35"/>
        <v>10-18 Jun</v>
      </c>
      <c r="BI304" s="96">
        <f>IFERROR($M304+VLOOKUP($L304,'Voyage days'!$F$702:$H$727,3,FALSE),"")</f>
        <v>46152</v>
      </c>
      <c r="BJ304" s="93" t="str">
        <f t="shared" si="36"/>
        <v>16-18 Jun</v>
      </c>
      <c r="BK304" s="95">
        <f>IFERROR($M304+VLOOKUP($L304,'Voyage days'!$F$807:$H$878,3,FALSE),"")</f>
        <v>46189</v>
      </c>
      <c r="BL304" s="95">
        <f>IFERROR($N304+VLOOKUP($L304,'Voyage days'!$F$807:$H$878,3,FALSE),"")</f>
        <v>46191</v>
      </c>
      <c r="BM304" s="95">
        <f>IFERROR($N304+VLOOKUP($L304,'Voyage days'!$F$807:$K$878,6,FALSE),"")</f>
        <v>46165</v>
      </c>
      <c r="BN304" s="94" t="str">
        <f>IF(L304="loads AG", IFERROR($M304+VLOOKUP($L304,'Voyage days'!$M$38:$O$38,3,FALSE),""),"")</f>
        <v/>
      </c>
      <c r="BO304" s="94" t="str">
        <f>IF(L304="loads USG", IFERROR($M304+VLOOKUP($L304,'Voyage days'!$L$203:$N$203,3,FALSE),""),"")</f>
        <v/>
      </c>
    </row>
    <row r="305" spans="1:67" ht="15.75" customHeight="1" x14ac:dyDescent="0.25">
      <c r="A305" s="356" t="s">
        <v>1469</v>
      </c>
      <c r="B305" s="98">
        <v>2007</v>
      </c>
      <c r="C305" s="151">
        <v>82000</v>
      </c>
      <c r="D305" s="77" t="s">
        <v>651</v>
      </c>
      <c r="E305" s="77"/>
      <c r="F305" s="78"/>
      <c r="G305" s="78"/>
      <c r="H305" s="78"/>
      <c r="I305" s="233" t="s">
        <v>1462</v>
      </c>
      <c r="J305" s="80" t="str">
        <f t="shared" si="61"/>
        <v/>
      </c>
      <c r="K305" s="81"/>
      <c r="L305" s="82" t="s">
        <v>718</v>
      </c>
      <c r="M305" s="83">
        <v>46143</v>
      </c>
      <c r="N305" s="83">
        <v>46144</v>
      </c>
      <c r="O305" s="84"/>
      <c r="P305" s="82" t="s">
        <v>1470</v>
      </c>
      <c r="Q305" s="82"/>
      <c r="R305" s="82" t="s">
        <v>1471</v>
      </c>
      <c r="S305" s="107" t="s">
        <v>33</v>
      </c>
      <c r="T305" s="108">
        <v>46131</v>
      </c>
      <c r="U305" s="87" t="str">
        <f>IF(V305="","No AIS",VLOOKUP(V305,'Voyage days'!$A$3:$B$1480,2,FALSE))</f>
        <v>USG</v>
      </c>
      <c r="V305" s="88" t="str">
        <f>IF(VLOOKUP(A305,'1) Kpler'!$E$2:$P$1000,8, FALSE)="","",VLOOKUP(A305,'1) Kpler'!$E$2:$P$1000,8, FALSE))</f>
        <v>Houston</v>
      </c>
      <c r="W305" s="89">
        <f>IF(VLOOKUP(A305,'1) Kpler'!$E$2:$P$1000,9,FALSE)="","",VLOOKUP(A305,'1) Kpler'!$E$2:$P$1000,9,FALSE))</f>
        <v>46141.708333333336</v>
      </c>
      <c r="X305" s="88" t="str">
        <f>VLOOKUP(A305,'1) Kpler'!$E$2:$I$1000,4,FALSE)</f>
        <v>open</v>
      </c>
      <c r="Y305" s="63" t="str">
        <f t="shared" si="49"/>
        <v/>
      </c>
      <c r="Z305" s="63" t="str">
        <f t="shared" si="50"/>
        <v>01-02 May</v>
      </c>
      <c r="AA305" s="63" t="str">
        <f t="shared" si="51"/>
        <v>01-02 May</v>
      </c>
      <c r="AB305" s="63" t="str">
        <f t="shared" si="52"/>
        <v/>
      </c>
      <c r="AC305" s="63" t="str">
        <f t="shared" si="53"/>
        <v>21-22 May</v>
      </c>
      <c r="AD305" s="63" t="str">
        <f t="shared" si="54"/>
        <v/>
      </c>
      <c r="AE305" s="129" t="str">
        <f t="shared" si="55"/>
        <v/>
      </c>
      <c r="AF305" s="130" t="str">
        <f t="shared" si="56"/>
        <v/>
      </c>
      <c r="AG305" s="93" t="str">
        <f t="shared" si="57"/>
        <v/>
      </c>
      <c r="AH305" s="94" t="str">
        <f>IFERROR($M305+VLOOKUP($L305,'Voyage days'!$F$38:$H$89,3,FALSE),"")</f>
        <v/>
      </c>
      <c r="AI305" s="94" t="str">
        <f>IFERROR(N305+VLOOKUP($L305,'Voyage days'!$F$38:$H$89,3,FALSE),"")</f>
        <v/>
      </c>
      <c r="AJ305" s="93" t="str">
        <f t="shared" si="27"/>
        <v>01-02 May</v>
      </c>
      <c r="AK305" s="94">
        <f>IFERROR($M305+VLOOKUP($L305,'Voyage days'!$F$94:$H$193,3,FALSE),"")</f>
        <v>46143</v>
      </c>
      <c r="AL305" s="94">
        <f>IFERROR($N305+VLOOKUP($L305,'Voyage days'!$F$94:$H$193,3,FALSE),"")</f>
        <v>46144</v>
      </c>
      <c r="AM305" s="93" t="str">
        <f t="shared" si="28"/>
        <v>01-02 May</v>
      </c>
      <c r="AN305" s="94">
        <f>IFERROR($M305+VLOOKUP($L305,'Voyage days'!$F$203:$H$256,3,FALSE),"")</f>
        <v>46143</v>
      </c>
      <c r="AO305" s="94">
        <f>IFERROR($N305+VLOOKUP($L305,'Voyage days'!$F$203:$H$256,3,FALSE),"")</f>
        <v>46144</v>
      </c>
      <c r="AP305" s="93" t="str">
        <f t="shared" si="29"/>
        <v/>
      </c>
      <c r="AQ305" s="94" t="str">
        <f>IFERROR($M305+VLOOKUP($L305,'Voyage days'!$F$294:$H$377,3,FALSE),"")</f>
        <v/>
      </c>
      <c r="AR305" s="94" t="str">
        <f>IFERROR($N305+VLOOKUP($L305,'Voyage days'!$F$294:$H$377,3,FALSE),"")</f>
        <v/>
      </c>
      <c r="AS305" s="93" t="str">
        <f t="shared" si="30"/>
        <v>21-22 May</v>
      </c>
      <c r="AT305" s="94">
        <f>IFERROR($M305+VLOOKUP($L305,'Voyage days'!$F$382:$H$446,3,FALSE),"")</f>
        <v>46163</v>
      </c>
      <c r="AU305" s="94">
        <f>IFERROR($N305+VLOOKUP($L305,'Voyage days'!$F$382:$H$446,3,FALSE),"")</f>
        <v>46164</v>
      </c>
      <c r="AV305" s="93" t="str">
        <f t="shared" si="31"/>
        <v/>
      </c>
      <c r="AW305" s="94" t="str">
        <f>IFERROR($M305+VLOOKUP($L305,'Voyage days'!$F$483:$H$538,3,FALSE),"")</f>
        <v/>
      </c>
      <c r="AX305" s="94" t="str">
        <f>IFERROR($N305+VLOOKUP($L305,'Voyage days'!$F$483:$H$538,3,FALSE),"")</f>
        <v/>
      </c>
      <c r="AY305" s="93" t="str">
        <f t="shared" si="32"/>
        <v/>
      </c>
      <c r="AZ305" s="94" t="str">
        <f>IFERROR($M305+VLOOKUP($L305,'Voyage days'!$F$540:$H$613,3,FALSE),"")</f>
        <v/>
      </c>
      <c r="BA305" s="94" t="str">
        <f>IFERROR($N305+VLOOKUP($L305,'Voyage days'!$F$540:$H$613,3,FALSE),"")</f>
        <v/>
      </c>
      <c r="BB305" s="93" t="str">
        <f t="shared" si="33"/>
        <v/>
      </c>
      <c r="BC305" s="94" t="str">
        <f>IFERROR($M305+VLOOKUP($L305,'Voyage days'!$F$448:$H$479,3,FALSE),"")</f>
        <v/>
      </c>
      <c r="BD305" s="94" t="str">
        <f>IFERROR($N305+VLOOKUP($L305,'Voyage days'!$F$448:$H$479,3,FALSE),"")</f>
        <v/>
      </c>
      <c r="BE305" s="93" t="str">
        <f t="shared" si="34"/>
        <v/>
      </c>
      <c r="BF305" s="95" t="str">
        <f>IFERROR($M305+VLOOKUP($L305,'Voyage days'!$F$620:$H$646,3,FALSE),"")</f>
        <v/>
      </c>
      <c r="BG305" s="95" t="str">
        <f>IFERROR($N305+VLOOKUP($L305,'Voyage days'!$F$620:$H$646,3,FALSE),"")</f>
        <v/>
      </c>
      <c r="BH305" s="93" t="str">
        <f t="shared" si="35"/>
        <v/>
      </c>
      <c r="BI305" s="96" t="str">
        <f>IFERROR($M305+VLOOKUP($L305,'Voyage days'!$F$702:$H$727,3,FALSE),"")</f>
        <v/>
      </c>
      <c r="BJ305" s="93" t="str">
        <f t="shared" si="36"/>
        <v/>
      </c>
      <c r="BK305" s="95" t="str">
        <f>IFERROR($M305+VLOOKUP($L305,'Voyage days'!$F$807:$H$878,3,FALSE),"")</f>
        <v/>
      </c>
      <c r="BL305" s="95" t="str">
        <f>IFERROR($N305+VLOOKUP($L305,'Voyage days'!$F$807:$H$878,3,FALSE),"")</f>
        <v/>
      </c>
      <c r="BM305" s="95" t="str">
        <f>IFERROR($N305+VLOOKUP($L305,'Voyage days'!$F$807:$K$878,6,FALSE),"")</f>
        <v/>
      </c>
      <c r="BN305" s="94" t="str">
        <f>IF(L305="loads AG", IFERROR($M305+VLOOKUP($L305,'Voyage days'!$M$38:$O$38,3,FALSE),""),"")</f>
        <v/>
      </c>
      <c r="BO305" s="94">
        <f>IF(L305="loads USG", IFERROR($M305+VLOOKUP($L305,'Voyage days'!$L$203:$N$203,3,FALSE),""),"")</f>
        <v>46175</v>
      </c>
    </row>
    <row r="306" spans="1:67" ht="15.75" customHeight="1" x14ac:dyDescent="0.25">
      <c r="A306" s="218" t="s">
        <v>160</v>
      </c>
      <c r="B306" s="98">
        <v>2023</v>
      </c>
      <c r="C306" s="151">
        <v>84000</v>
      </c>
      <c r="D306" s="77" t="s">
        <v>651</v>
      </c>
      <c r="E306" s="77"/>
      <c r="F306" s="78"/>
      <c r="G306" s="78"/>
      <c r="H306" s="78" t="s">
        <v>713</v>
      </c>
      <c r="I306" s="233" t="s">
        <v>1462</v>
      </c>
      <c r="J306" s="122" t="str">
        <f t="shared" si="61"/>
        <v/>
      </c>
      <c r="K306" s="81"/>
      <c r="L306" s="82" t="s">
        <v>718</v>
      </c>
      <c r="M306" s="83">
        <v>46136</v>
      </c>
      <c r="N306" s="83">
        <v>46137</v>
      </c>
      <c r="O306" s="84"/>
      <c r="P306" s="82" t="s">
        <v>1472</v>
      </c>
      <c r="Q306" s="82"/>
      <c r="R306" s="82" t="s">
        <v>1473</v>
      </c>
      <c r="S306" s="107" t="s">
        <v>33</v>
      </c>
      <c r="T306" s="108">
        <v>46131</v>
      </c>
      <c r="U306" s="87" t="str">
        <f>IF(V306="","No AIS",VLOOKUP(V306,'Voyage days'!$A$3:$B$1480,2,FALSE))</f>
        <v>USG</v>
      </c>
      <c r="V306" s="88" t="str">
        <f>IF(VLOOKUP(A306,'1) Kpler'!$E$2:$P$1000,8, FALSE)="","",VLOOKUP(A306,'1) Kpler'!$E$2:$P$1000,8, FALSE))</f>
        <v>Houston</v>
      </c>
      <c r="W306" s="89">
        <f>IF(VLOOKUP(A306,'1) Kpler'!$E$2:$P$1000,9,FALSE)="","",VLOOKUP(A306,'1) Kpler'!$E$2:$P$1000,9,FALSE))</f>
        <v>46134.666666666664</v>
      </c>
      <c r="X306" s="88" t="str">
        <f>VLOOKUP(A306,'1) Kpler'!$E$2:$I$1000,4,FALSE)</f>
        <v>ballast</v>
      </c>
      <c r="Y306" s="234" t="str">
        <f t="shared" si="49"/>
        <v/>
      </c>
      <c r="Z306" s="234" t="str">
        <f t="shared" si="50"/>
        <v>24-25 Apr</v>
      </c>
      <c r="AA306" s="234" t="str">
        <f t="shared" si="51"/>
        <v>24-25 Apr</v>
      </c>
      <c r="AB306" s="234" t="str">
        <f t="shared" si="52"/>
        <v/>
      </c>
      <c r="AC306" s="234" t="str">
        <f t="shared" si="53"/>
        <v>14-15 May</v>
      </c>
      <c r="AD306" s="234" t="str">
        <f t="shared" si="54"/>
        <v/>
      </c>
      <c r="AE306" s="235" t="str">
        <f t="shared" si="55"/>
        <v/>
      </c>
      <c r="AF306" s="92" t="str">
        <f t="shared" si="56"/>
        <v/>
      </c>
      <c r="AG306" s="93" t="str">
        <f t="shared" si="57"/>
        <v/>
      </c>
      <c r="AH306" s="94" t="str">
        <f>IFERROR($M306+VLOOKUP($L306,'Voyage days'!$F$38:$H$89,3,FALSE),"")</f>
        <v/>
      </c>
      <c r="AI306" s="94" t="str">
        <f>IFERROR(N306+VLOOKUP($L306,'Voyage days'!$F$38:$H$89,3,FALSE),"")</f>
        <v/>
      </c>
      <c r="AJ306" s="93" t="str">
        <f t="shared" si="27"/>
        <v>24-25 Apr</v>
      </c>
      <c r="AK306" s="94">
        <f>IFERROR($M306+VLOOKUP($L306,'Voyage days'!$F$94:$H$193,3,FALSE),"")</f>
        <v>46136</v>
      </c>
      <c r="AL306" s="94">
        <f>IFERROR($N306+VLOOKUP($L306,'Voyage days'!$F$94:$H$193,3,FALSE),"")</f>
        <v>46137</v>
      </c>
      <c r="AM306" s="93" t="str">
        <f t="shared" si="28"/>
        <v>24-25 Apr</v>
      </c>
      <c r="AN306" s="94">
        <f>IFERROR($M306+VLOOKUP($L306,'Voyage days'!$F$203:$H$256,3,FALSE),"")</f>
        <v>46136</v>
      </c>
      <c r="AO306" s="94">
        <f>IFERROR($N306+VLOOKUP($L306,'Voyage days'!$F$203:$H$256,3,FALSE),"")</f>
        <v>46137</v>
      </c>
      <c r="AP306" s="93" t="str">
        <f t="shared" si="29"/>
        <v/>
      </c>
      <c r="AQ306" s="94" t="str">
        <f>IFERROR($M306+VLOOKUP($L306,'Voyage days'!$F$294:$H$377,3,FALSE),"")</f>
        <v/>
      </c>
      <c r="AR306" s="94" t="str">
        <f>IFERROR($N306+VLOOKUP($L306,'Voyage days'!$F$294:$H$377,3,FALSE),"")</f>
        <v/>
      </c>
      <c r="AS306" s="93" t="str">
        <f t="shared" si="30"/>
        <v>14-15 May</v>
      </c>
      <c r="AT306" s="94">
        <f>IFERROR($M306+VLOOKUP($L306,'Voyage days'!$F$382:$H$446,3,FALSE),"")</f>
        <v>46156</v>
      </c>
      <c r="AU306" s="94">
        <f>IFERROR($N306+VLOOKUP($L306,'Voyage days'!$F$382:$H$446,3,FALSE),"")</f>
        <v>46157</v>
      </c>
      <c r="AV306" s="93" t="str">
        <f t="shared" si="31"/>
        <v/>
      </c>
      <c r="AW306" s="94" t="str">
        <f>IFERROR($M306+VLOOKUP($L306,'Voyage days'!$F$483:$H$538,3,FALSE),"")</f>
        <v/>
      </c>
      <c r="AX306" s="94" t="str">
        <f>IFERROR($N306+VLOOKUP($L306,'Voyage days'!$F$483:$H$538,3,FALSE),"")</f>
        <v/>
      </c>
      <c r="AY306" s="93" t="str">
        <f t="shared" si="32"/>
        <v/>
      </c>
      <c r="AZ306" s="94" t="str">
        <f>IFERROR($M306+VLOOKUP($L306,'Voyage days'!$F$540:$H$613,3,FALSE),"")</f>
        <v/>
      </c>
      <c r="BA306" s="94" t="str">
        <f>IFERROR($N306+VLOOKUP($L306,'Voyage days'!$F$540:$H$613,3,FALSE),"")</f>
        <v/>
      </c>
      <c r="BB306" s="93" t="str">
        <f t="shared" si="33"/>
        <v/>
      </c>
      <c r="BC306" s="94" t="str">
        <f>IFERROR($M306+VLOOKUP($L306,'Voyage days'!$F$448:$H$479,3,FALSE),"")</f>
        <v/>
      </c>
      <c r="BD306" s="94" t="str">
        <f>IFERROR($N306+VLOOKUP($L306,'Voyage days'!$F$448:$H$479,3,FALSE),"")</f>
        <v/>
      </c>
      <c r="BE306" s="93" t="str">
        <f t="shared" si="34"/>
        <v/>
      </c>
      <c r="BF306" s="95" t="str">
        <f>IFERROR($M306+VLOOKUP($L306,'Voyage days'!$F$620:$H$646,3,FALSE),"")</f>
        <v/>
      </c>
      <c r="BG306" s="95" t="str">
        <f>IFERROR($N306+VLOOKUP($L306,'Voyage days'!$F$620:$H$646,3,FALSE),"")</f>
        <v/>
      </c>
      <c r="BH306" s="93" t="str">
        <f t="shared" si="35"/>
        <v/>
      </c>
      <c r="BI306" s="96" t="str">
        <f>IFERROR($M306+VLOOKUP($L306,'Voyage days'!$F$702:$H$727,3,FALSE),"")</f>
        <v/>
      </c>
      <c r="BJ306" s="93" t="str">
        <f t="shared" si="36"/>
        <v/>
      </c>
      <c r="BK306" s="95" t="str">
        <f>IFERROR($M306+VLOOKUP($L306,'Voyage days'!$F$807:$H$878,3,FALSE),"")</f>
        <v/>
      </c>
      <c r="BL306" s="95" t="str">
        <f>IFERROR($N306+VLOOKUP($L306,'Voyage days'!$F$807:$H$878,3,FALSE),"")</f>
        <v/>
      </c>
      <c r="BM306" s="95" t="str">
        <f>IFERROR($N306+VLOOKUP($L306,'Voyage days'!$F$807:$K$878,6,FALSE),"")</f>
        <v/>
      </c>
      <c r="BN306" s="94" t="str">
        <f>IF(L306="loads AG", IFERROR($M306+VLOOKUP($L306,'Voyage days'!$M$38:$O$38,3,FALSE),""),"")</f>
        <v/>
      </c>
      <c r="BO306" s="94">
        <f>IF(L306="loads USG", IFERROR($M306+VLOOKUP($L306,'Voyage days'!$L$203:$N$203,3,FALSE),""),"")</f>
        <v>46168</v>
      </c>
    </row>
    <row r="307" spans="1:67" ht="15.75" customHeight="1" x14ac:dyDescent="0.25">
      <c r="A307" s="356" t="s">
        <v>161</v>
      </c>
      <c r="B307" s="75">
        <v>42425</v>
      </c>
      <c r="C307" s="76">
        <v>84000</v>
      </c>
      <c r="D307" s="77" t="s">
        <v>651</v>
      </c>
      <c r="E307" s="77"/>
      <c r="F307" s="78"/>
      <c r="G307" s="78"/>
      <c r="H307" s="78" t="s">
        <v>739</v>
      </c>
      <c r="I307" s="233" t="s">
        <v>1462</v>
      </c>
      <c r="J307" s="80" t="str">
        <f t="shared" si="61"/>
        <v>Update</v>
      </c>
      <c r="K307" s="81"/>
      <c r="L307" s="82" t="s">
        <v>718</v>
      </c>
      <c r="M307" s="83">
        <v>46166</v>
      </c>
      <c r="N307" s="83">
        <v>46167</v>
      </c>
      <c r="O307" s="84"/>
      <c r="P307" s="82" t="s">
        <v>1474</v>
      </c>
      <c r="Q307" s="82"/>
      <c r="R307" s="82" t="s">
        <v>1475</v>
      </c>
      <c r="S307" s="107" t="s">
        <v>33</v>
      </c>
      <c r="T307" s="108">
        <v>46131</v>
      </c>
      <c r="U307" s="87" t="str">
        <f>IF(V307="","No AIS",VLOOKUP(V307,'Voyage days'!$A$3:$B$1480,2,FALSE))</f>
        <v>USG</v>
      </c>
      <c r="V307" s="88" t="str">
        <f>IF(VLOOKUP(A307,'1) Kpler'!$E$2:$P$1000,8, FALSE)="","",VLOOKUP(A307,'1) Kpler'!$E$2:$P$1000,8, FALSE))</f>
        <v>PADD 3</v>
      </c>
      <c r="W307" s="89">
        <f>IF(VLOOKUP(A307,'1) Kpler'!$E$2:$P$1000,9,FALSE)="","",VLOOKUP(A307,'1) Kpler'!$E$2:$P$1000,9,FALSE))</f>
        <v>46168</v>
      </c>
      <c r="X307" s="88" t="str">
        <f>VLOOKUP(A307,'1) Kpler'!$E$2:$I$1000,4,FALSE)</f>
        <v>open</v>
      </c>
      <c r="Y307" s="234" t="str">
        <f t="shared" si="49"/>
        <v/>
      </c>
      <c r="Z307" s="234" t="str">
        <f t="shared" si="50"/>
        <v>24-25 May</v>
      </c>
      <c r="AA307" s="63" t="str">
        <f t="shared" si="51"/>
        <v>24-25 May</v>
      </c>
      <c r="AB307" s="63" t="str">
        <f t="shared" si="52"/>
        <v/>
      </c>
      <c r="AC307" s="63" t="str">
        <f t="shared" si="53"/>
        <v>13-14 Jun</v>
      </c>
      <c r="AD307" s="63" t="str">
        <f t="shared" si="54"/>
        <v/>
      </c>
      <c r="AE307" s="129" t="str">
        <f t="shared" si="55"/>
        <v/>
      </c>
      <c r="AF307" s="130" t="str">
        <f t="shared" si="56"/>
        <v/>
      </c>
      <c r="AG307" s="93" t="str">
        <f t="shared" si="57"/>
        <v/>
      </c>
      <c r="AH307" s="94" t="str">
        <f>IFERROR($M307+VLOOKUP($L307,'Voyage days'!$F$38:$H$89,3,FALSE),"")</f>
        <v/>
      </c>
      <c r="AI307" s="94" t="str">
        <f>IFERROR(N307+VLOOKUP($L307,'Voyage days'!$F$38:$H$89,3,FALSE),"")</f>
        <v/>
      </c>
      <c r="AJ307" s="93" t="str">
        <f t="shared" si="27"/>
        <v>24-25 May</v>
      </c>
      <c r="AK307" s="94">
        <f>IFERROR($M307+VLOOKUP($L307,'Voyage days'!$F$94:$H$193,3,FALSE),"")</f>
        <v>46166</v>
      </c>
      <c r="AL307" s="94">
        <f>IFERROR($N307+VLOOKUP($L307,'Voyage days'!$F$94:$H$193,3,FALSE),"")</f>
        <v>46167</v>
      </c>
      <c r="AM307" s="93" t="str">
        <f t="shared" si="28"/>
        <v>24-25 May</v>
      </c>
      <c r="AN307" s="94">
        <f>IFERROR($M307+VLOOKUP($L307,'Voyage days'!$F$203:$H$256,3,FALSE),"")</f>
        <v>46166</v>
      </c>
      <c r="AO307" s="94">
        <f>IFERROR($N307+VLOOKUP($L307,'Voyage days'!$F$203:$H$256,3,FALSE),"")</f>
        <v>46167</v>
      </c>
      <c r="AP307" s="93" t="str">
        <f t="shared" si="29"/>
        <v/>
      </c>
      <c r="AQ307" s="94" t="str">
        <f>IFERROR($M307+VLOOKUP($L307,'Voyage days'!$F$294:$H$377,3,FALSE),"")</f>
        <v/>
      </c>
      <c r="AR307" s="94" t="str">
        <f>IFERROR($N307+VLOOKUP($L307,'Voyage days'!$F$294:$H$377,3,FALSE),"")</f>
        <v/>
      </c>
      <c r="AS307" s="93" t="str">
        <f t="shared" si="30"/>
        <v>13-14 Jun</v>
      </c>
      <c r="AT307" s="94">
        <f>IFERROR($M307+VLOOKUP($L307,'Voyage days'!$F$382:$H$446,3,FALSE),"")</f>
        <v>46186</v>
      </c>
      <c r="AU307" s="94">
        <f>IFERROR($N307+VLOOKUP($L307,'Voyage days'!$F$382:$H$446,3,FALSE),"")</f>
        <v>46187</v>
      </c>
      <c r="AV307" s="93" t="str">
        <f t="shared" si="31"/>
        <v/>
      </c>
      <c r="AW307" s="94" t="str">
        <f>IFERROR($M307+VLOOKUP($L307,'Voyage days'!$F$483:$H$538,3,FALSE),"")</f>
        <v/>
      </c>
      <c r="AX307" s="94" t="str">
        <f>IFERROR($N307+VLOOKUP($L307,'Voyage days'!$F$483:$H$538,3,FALSE),"")</f>
        <v/>
      </c>
      <c r="AY307" s="93" t="str">
        <f t="shared" si="32"/>
        <v/>
      </c>
      <c r="AZ307" s="94" t="str">
        <f>IFERROR($M307+VLOOKUP($L307,'Voyage days'!$F$540:$H$613,3,FALSE),"")</f>
        <v/>
      </c>
      <c r="BA307" s="94" t="str">
        <f>IFERROR($N307+VLOOKUP($L307,'Voyage days'!$F$540:$H$613,3,FALSE),"")</f>
        <v/>
      </c>
      <c r="BB307" s="93" t="str">
        <f t="shared" si="33"/>
        <v/>
      </c>
      <c r="BC307" s="94" t="str">
        <f>IFERROR($M307+VLOOKUP($L307,'Voyage days'!$F$448:$H$479,3,FALSE),"")</f>
        <v/>
      </c>
      <c r="BD307" s="94" t="str">
        <f>IFERROR($N307+VLOOKUP($L307,'Voyage days'!$F$448:$H$479,3,FALSE),"")</f>
        <v/>
      </c>
      <c r="BE307" s="93" t="str">
        <f t="shared" si="34"/>
        <v/>
      </c>
      <c r="BF307" s="95" t="str">
        <f>IFERROR($M307+VLOOKUP($L307,'Voyage days'!$F$620:$H$646,3,FALSE),"")</f>
        <v/>
      </c>
      <c r="BG307" s="95" t="str">
        <f>IFERROR($N307+VLOOKUP($L307,'Voyage days'!$F$620:$H$646,3,FALSE),"")</f>
        <v/>
      </c>
      <c r="BH307" s="93" t="str">
        <f t="shared" si="35"/>
        <v/>
      </c>
      <c r="BI307" s="96" t="str">
        <f>IFERROR($M307+VLOOKUP($L307,'Voyage days'!$F$702:$H$727,3,FALSE),"")</f>
        <v/>
      </c>
      <c r="BJ307" s="93" t="str">
        <f t="shared" si="36"/>
        <v/>
      </c>
      <c r="BK307" s="95" t="str">
        <f>IFERROR($M307+VLOOKUP($L307,'Voyage days'!$F$807:$H$878,3,FALSE),"")</f>
        <v/>
      </c>
      <c r="BL307" s="95" t="str">
        <f>IFERROR($N307+VLOOKUP($L307,'Voyage days'!$F$807:$H$878,3,FALSE),"")</f>
        <v/>
      </c>
      <c r="BM307" s="95" t="str">
        <f>IFERROR($N307+VLOOKUP($L307,'Voyage days'!$F$807:$K$878,6,FALSE),"")</f>
        <v/>
      </c>
      <c r="BN307" s="94" t="str">
        <f>IF(L307="loads AG", IFERROR($M307+VLOOKUP($L307,'Voyage days'!$M$38:$O$38,3,FALSE),""),"")</f>
        <v/>
      </c>
      <c r="BO307" s="94">
        <f>IF(L307="loads USG", IFERROR($M307+VLOOKUP($L307,'Voyage days'!$L$203:$N$203,3,FALSE),""),"")</f>
        <v>46198</v>
      </c>
    </row>
    <row r="308" spans="1:67" ht="15.75" customHeight="1" x14ac:dyDescent="0.25">
      <c r="A308" s="218" t="s">
        <v>167</v>
      </c>
      <c r="B308" s="75">
        <v>42331</v>
      </c>
      <c r="C308" s="76">
        <v>84000</v>
      </c>
      <c r="D308" s="77" t="s">
        <v>651</v>
      </c>
      <c r="E308" s="120"/>
      <c r="F308" s="121"/>
      <c r="G308" s="121"/>
      <c r="H308" s="121"/>
      <c r="I308" s="233" t="s">
        <v>1476</v>
      </c>
      <c r="J308" s="122" t="str">
        <f t="shared" si="61"/>
        <v>NO AIS</v>
      </c>
      <c r="K308" s="81"/>
      <c r="L308" s="124" t="s">
        <v>1477</v>
      </c>
      <c r="M308" s="83">
        <v>46137</v>
      </c>
      <c r="N308" s="83">
        <v>46138</v>
      </c>
      <c r="O308" s="126"/>
      <c r="P308" s="82" t="s">
        <v>1478</v>
      </c>
      <c r="Q308" s="124"/>
      <c r="R308" s="124" t="s">
        <v>1479</v>
      </c>
      <c r="S308" s="107" t="s">
        <v>33</v>
      </c>
      <c r="T308" s="108">
        <v>46131</v>
      </c>
      <c r="U308" s="87" t="str">
        <f>IF(V308="","No AIS",VLOOKUP(V308,'Voyage days'!$A$3:$B$1480,2,FALSE))</f>
        <v>No AIS</v>
      </c>
      <c r="V308" s="87" t="str">
        <f>IF(VLOOKUP(A308,'1) Kpler'!$E$2:$P$1000,8, FALSE)="","",VLOOKUP(A308,'1) Kpler'!$E$2:$P$1000,8, FALSE))</f>
        <v/>
      </c>
      <c r="W308" s="128" t="str">
        <f>IF(VLOOKUP(A308,'1) Kpler'!$E$2:$P$1000,9,FALSE)="","",VLOOKUP(A308,'1) Kpler'!$E$2:$P$1000,9,FALSE))</f>
        <v/>
      </c>
      <c r="X308" s="87" t="str">
        <f>VLOOKUP(A308,'1) Kpler'!$E$2:$I$1000,4,FALSE)</f>
        <v>ballast</v>
      </c>
      <c r="Y308" s="234" t="str">
        <f t="shared" si="49"/>
        <v/>
      </c>
      <c r="Z308" s="234" t="str">
        <f t="shared" si="50"/>
        <v>07-08 May</v>
      </c>
      <c r="AA308" s="234" t="str">
        <f t="shared" si="51"/>
        <v>07-08 May</v>
      </c>
      <c r="AB308" s="234" t="str">
        <f t="shared" si="52"/>
        <v>02-03 May</v>
      </c>
      <c r="AC308" s="234" t="str">
        <f t="shared" si="53"/>
        <v>05-06 May</v>
      </c>
      <c r="AD308" s="234" t="str">
        <f t="shared" si="54"/>
        <v/>
      </c>
      <c r="AE308" s="235" t="str">
        <f t="shared" si="55"/>
        <v/>
      </c>
      <c r="AF308" s="92" t="str">
        <f t="shared" si="56"/>
        <v/>
      </c>
      <c r="AG308" s="93" t="str">
        <f t="shared" si="57"/>
        <v/>
      </c>
      <c r="AH308" s="94" t="str">
        <f>IFERROR($M308+VLOOKUP($L308,'Voyage days'!$F$38:$H$89,3,FALSE),"")</f>
        <v/>
      </c>
      <c r="AI308" s="94" t="str">
        <f>IFERROR(N308+VLOOKUP($L308,'Voyage days'!$F$38:$H$89,3,FALSE),"")</f>
        <v/>
      </c>
      <c r="AJ308" s="93" t="str">
        <f t="shared" si="27"/>
        <v>07-08 May</v>
      </c>
      <c r="AK308" s="94">
        <f>IFERROR($M308+VLOOKUP($L308,'Voyage days'!$F$94:$H$193,3,FALSE),"")</f>
        <v>46149</v>
      </c>
      <c r="AL308" s="94">
        <f>IFERROR($N308+VLOOKUP($L308,'Voyage days'!$F$94:$H$193,3,FALSE),"")</f>
        <v>46150</v>
      </c>
      <c r="AM308" s="93" t="str">
        <f t="shared" si="28"/>
        <v>07-08 May</v>
      </c>
      <c r="AN308" s="94">
        <f>IFERROR($M308+VLOOKUP($L308,'Voyage days'!$F$203:$H$256,3,FALSE),"")</f>
        <v>46149</v>
      </c>
      <c r="AO308" s="94">
        <f>IFERROR($N308+VLOOKUP($L308,'Voyage days'!$F$203:$H$256,3,FALSE),"")</f>
        <v>46150</v>
      </c>
      <c r="AP308" s="93" t="str">
        <f t="shared" si="29"/>
        <v>02-03 May</v>
      </c>
      <c r="AQ308" s="94">
        <f>IFERROR($M308+VLOOKUP($L308,'Voyage days'!$F$294:$H$377,3,FALSE),"")</f>
        <v>46144</v>
      </c>
      <c r="AR308" s="94">
        <f>IFERROR($N308+VLOOKUP($L308,'Voyage days'!$F$294:$H$377,3,FALSE),"")</f>
        <v>46145</v>
      </c>
      <c r="AS308" s="93" t="str">
        <f t="shared" si="30"/>
        <v>05-06 May</v>
      </c>
      <c r="AT308" s="94">
        <f>IFERROR($M308+VLOOKUP($L308,'Voyage days'!$F$382:$H$446,3,FALSE),"")</f>
        <v>46147</v>
      </c>
      <c r="AU308" s="94">
        <f>IFERROR($N308+VLOOKUP($L308,'Voyage days'!$F$382:$H$446,3,FALSE),"")</f>
        <v>46148</v>
      </c>
      <c r="AV308" s="93" t="str">
        <f t="shared" si="31"/>
        <v/>
      </c>
      <c r="AW308" s="94" t="str">
        <f>IFERROR($M308+VLOOKUP($L308,'Voyage days'!$F$483:$H$538,3,FALSE),"")</f>
        <v/>
      </c>
      <c r="AX308" s="94" t="str">
        <f>IFERROR($N308+VLOOKUP($L308,'Voyage days'!$F$483:$H$538,3,FALSE),"")</f>
        <v/>
      </c>
      <c r="AY308" s="93" t="str">
        <f t="shared" si="32"/>
        <v/>
      </c>
      <c r="AZ308" s="94" t="str">
        <f>IFERROR($M308+VLOOKUP($L308,'Voyage days'!$F$540:$H$613,3,FALSE),"")</f>
        <v/>
      </c>
      <c r="BA308" s="94" t="str">
        <f>IFERROR($N308+VLOOKUP($L308,'Voyage days'!$F$540:$H$613,3,FALSE),"")</f>
        <v/>
      </c>
      <c r="BB308" s="93" t="str">
        <f t="shared" si="33"/>
        <v/>
      </c>
      <c r="BC308" s="94" t="str">
        <f>IFERROR($M308+VLOOKUP($L308,'Voyage days'!$F$448:$H$479,3,FALSE),"")</f>
        <v/>
      </c>
      <c r="BD308" s="94" t="str">
        <f>IFERROR($N308+VLOOKUP($L308,'Voyage days'!$F$448:$H$479,3,FALSE),"")</f>
        <v/>
      </c>
      <c r="BE308" s="93" t="str">
        <f t="shared" si="34"/>
        <v/>
      </c>
      <c r="BF308" s="95" t="str">
        <f>IFERROR($M308+VLOOKUP($L308,'Voyage days'!$F$620:$H$646,3,FALSE),"")</f>
        <v/>
      </c>
      <c r="BG308" s="95" t="str">
        <f>IFERROR($N308+VLOOKUP($L308,'Voyage days'!$F$620:$H$646,3,FALSE),"")</f>
        <v/>
      </c>
      <c r="BH308" s="93" t="str">
        <f t="shared" si="35"/>
        <v/>
      </c>
      <c r="BI308" s="96" t="str">
        <f>IFERROR($M308+VLOOKUP($L308,'Voyage days'!$F$702:$H$727,3,FALSE),"")</f>
        <v/>
      </c>
      <c r="BJ308" s="93" t="str">
        <f t="shared" si="36"/>
        <v/>
      </c>
      <c r="BK308" s="95" t="str">
        <f>IFERROR($M308+VLOOKUP($L308,'Voyage days'!$F$807:$H$878,3,FALSE),"")</f>
        <v/>
      </c>
      <c r="BL308" s="95" t="str">
        <f>IFERROR($N308+VLOOKUP($L308,'Voyage days'!$F$807:$H$878,3,FALSE),"")</f>
        <v/>
      </c>
      <c r="BM308" s="95" t="str">
        <f>IFERROR($N308+VLOOKUP($L308,'Voyage days'!$F$807:$K$878,6,FALSE),"")</f>
        <v/>
      </c>
      <c r="BN308" s="94" t="str">
        <f>IF(L308="loads AG", IFERROR($M308+VLOOKUP($L308,'Voyage days'!$M$38:$O$38,3,FALSE),""),"")</f>
        <v/>
      </c>
      <c r="BO308" s="94" t="str">
        <f>IF(L308="loads USG", IFERROR($M308+VLOOKUP($L308,'Voyage days'!$L$203:$N$203,3,FALSE),""),"")</f>
        <v/>
      </c>
    </row>
    <row r="309" spans="1:67" ht="15.75" customHeight="1" x14ac:dyDescent="0.25">
      <c r="A309" s="514" t="s">
        <v>168</v>
      </c>
      <c r="B309" s="155">
        <v>42299</v>
      </c>
      <c r="C309" s="151">
        <v>84000</v>
      </c>
      <c r="D309" s="77" t="s">
        <v>651</v>
      </c>
      <c r="E309" s="107"/>
      <c r="F309" s="156"/>
      <c r="G309" s="156"/>
      <c r="H309" s="156" t="s">
        <v>739</v>
      </c>
      <c r="I309" s="233" t="s">
        <v>1462</v>
      </c>
      <c r="J309" s="80" t="str">
        <f t="shared" si="61"/>
        <v/>
      </c>
      <c r="K309" s="81"/>
      <c r="L309" s="82" t="s">
        <v>718</v>
      </c>
      <c r="M309" s="83">
        <v>46140</v>
      </c>
      <c r="N309" s="83">
        <v>46141</v>
      </c>
      <c r="O309" s="126"/>
      <c r="P309" s="82" t="s">
        <v>1480</v>
      </c>
      <c r="Q309" s="85"/>
      <c r="R309" s="82" t="s">
        <v>1481</v>
      </c>
      <c r="S309" s="107" t="s">
        <v>33</v>
      </c>
      <c r="T309" s="108">
        <v>46131</v>
      </c>
      <c r="U309" s="87" t="str">
        <f>IF(V309="","No AIS",VLOOKUP(V309,'Voyage days'!$A$3:$B$1480,2,FALSE))</f>
        <v>Panama</v>
      </c>
      <c r="V309" s="88" t="str">
        <f>IF(VLOOKUP(A309,'1) Kpler'!$E$2:$P$1000,8, FALSE)="","",VLOOKUP(A309,'1) Kpler'!$E$2:$P$1000,8, FALSE))</f>
        <v>Panama Canal</v>
      </c>
      <c r="W309" s="89">
        <f>IF(VLOOKUP(A309,'1) Kpler'!$E$2:$P$1000,9,FALSE)="","",VLOOKUP(A309,'1) Kpler'!$E$2:$P$1000,9,FALSE))</f>
        <v>46132.541666666664</v>
      </c>
      <c r="X309" s="88" t="str">
        <f>VLOOKUP(A309,'1) Kpler'!$E$2:$I$1000,4,FALSE)</f>
        <v>loaded</v>
      </c>
      <c r="Y309" s="63" t="str">
        <f t="shared" si="49"/>
        <v/>
      </c>
      <c r="Z309" s="63" t="str">
        <f t="shared" si="50"/>
        <v>28-29 Apr</v>
      </c>
      <c r="AA309" s="63" t="str">
        <f t="shared" si="51"/>
        <v>28-29 Apr</v>
      </c>
      <c r="AB309" s="63" t="str">
        <f t="shared" si="52"/>
        <v/>
      </c>
      <c r="AC309" s="63" t="str">
        <f t="shared" si="53"/>
        <v>18-19 May</v>
      </c>
      <c r="AD309" s="63" t="str">
        <f t="shared" si="54"/>
        <v/>
      </c>
      <c r="AE309" s="129" t="str">
        <f t="shared" si="55"/>
        <v/>
      </c>
      <c r="AF309" s="130" t="str">
        <f t="shared" si="56"/>
        <v/>
      </c>
      <c r="AG309" s="93" t="str">
        <f t="shared" si="57"/>
        <v/>
      </c>
      <c r="AH309" s="94" t="str">
        <f>IFERROR($M309+VLOOKUP($L309,'Voyage days'!$F$38:$H$89,3,FALSE),"")</f>
        <v/>
      </c>
      <c r="AI309" s="94" t="str">
        <f>IFERROR(N309+VLOOKUP($L309,'Voyage days'!$F$38:$H$89,3,FALSE),"")</f>
        <v/>
      </c>
      <c r="AJ309" s="93" t="str">
        <f t="shared" si="27"/>
        <v>28-29 Apr</v>
      </c>
      <c r="AK309" s="94">
        <f>IFERROR($M309+VLOOKUP($L309,'Voyage days'!$F$94:$H$193,3,FALSE),"")</f>
        <v>46140</v>
      </c>
      <c r="AL309" s="94">
        <f>IFERROR($N309+VLOOKUP($L309,'Voyage days'!$F$94:$H$193,3,FALSE),"")</f>
        <v>46141</v>
      </c>
      <c r="AM309" s="93" t="str">
        <f t="shared" si="28"/>
        <v>28-29 Apr</v>
      </c>
      <c r="AN309" s="94">
        <f>IFERROR($M309+VLOOKUP($L309,'Voyage days'!$F$203:$H$256,3,FALSE),"")</f>
        <v>46140</v>
      </c>
      <c r="AO309" s="94">
        <f>IFERROR($N309+VLOOKUP($L309,'Voyage days'!$F$203:$H$256,3,FALSE),"")</f>
        <v>46141</v>
      </c>
      <c r="AP309" s="93" t="str">
        <f t="shared" si="29"/>
        <v/>
      </c>
      <c r="AQ309" s="94" t="str">
        <f>IFERROR($M309+VLOOKUP($L309,'Voyage days'!$F$294:$H$377,3,FALSE),"")</f>
        <v/>
      </c>
      <c r="AR309" s="94" t="str">
        <f>IFERROR($N309+VLOOKUP($L309,'Voyage days'!$F$294:$H$377,3,FALSE),"")</f>
        <v/>
      </c>
      <c r="AS309" s="93" t="str">
        <f t="shared" si="30"/>
        <v>18-19 May</v>
      </c>
      <c r="AT309" s="94">
        <f>IFERROR($M309+VLOOKUP($L309,'Voyage days'!$F$382:$H$446,3,FALSE),"")</f>
        <v>46160</v>
      </c>
      <c r="AU309" s="94">
        <f>IFERROR($N309+VLOOKUP($L309,'Voyage days'!$F$382:$H$446,3,FALSE),"")</f>
        <v>46161</v>
      </c>
      <c r="AV309" s="93" t="str">
        <f t="shared" si="31"/>
        <v/>
      </c>
      <c r="AW309" s="94" t="str">
        <f>IFERROR($M309+VLOOKUP($L309,'Voyage days'!$F$483:$H$538,3,FALSE),"")</f>
        <v/>
      </c>
      <c r="AX309" s="94" t="str">
        <f>IFERROR($N309+VLOOKUP($L309,'Voyage days'!$F$483:$H$538,3,FALSE),"")</f>
        <v/>
      </c>
      <c r="AY309" s="93" t="str">
        <f t="shared" si="32"/>
        <v/>
      </c>
      <c r="AZ309" s="94" t="str">
        <f>IFERROR($M309+VLOOKUP($L309,'Voyage days'!$F$540:$H$613,3,FALSE),"")</f>
        <v/>
      </c>
      <c r="BA309" s="94" t="str">
        <f>IFERROR($N309+VLOOKUP($L309,'Voyage days'!$F$540:$H$613,3,FALSE),"")</f>
        <v/>
      </c>
      <c r="BB309" s="93" t="str">
        <f t="shared" si="33"/>
        <v/>
      </c>
      <c r="BC309" s="94" t="str">
        <f>IFERROR($M309+VLOOKUP($L309,'Voyage days'!$F$448:$H$479,3,FALSE),"")</f>
        <v/>
      </c>
      <c r="BD309" s="94" t="str">
        <f>IFERROR($N309+VLOOKUP($L309,'Voyage days'!$F$448:$H$479,3,FALSE),"")</f>
        <v/>
      </c>
      <c r="BE309" s="93" t="str">
        <f t="shared" si="34"/>
        <v/>
      </c>
      <c r="BF309" s="95" t="str">
        <f>IFERROR($M309+VLOOKUP($L309,'Voyage days'!$F$620:$H$646,3,FALSE),"")</f>
        <v/>
      </c>
      <c r="BG309" s="95" t="str">
        <f>IFERROR($N309+VLOOKUP($L309,'Voyage days'!$F$620:$H$646,3,FALSE),"")</f>
        <v/>
      </c>
      <c r="BH309" s="93" t="str">
        <f t="shared" si="35"/>
        <v/>
      </c>
      <c r="BI309" s="96" t="str">
        <f>IFERROR($M309+VLOOKUP($L309,'Voyage days'!$F$702:$H$727,3,FALSE),"")</f>
        <v/>
      </c>
      <c r="BJ309" s="93" t="str">
        <f t="shared" si="36"/>
        <v/>
      </c>
      <c r="BK309" s="95" t="str">
        <f>IFERROR($M309+VLOOKUP($L309,'Voyage days'!$F$807:$H$878,3,FALSE),"")</f>
        <v/>
      </c>
      <c r="BL309" s="95" t="str">
        <f>IFERROR($N309+VLOOKUP($L309,'Voyage days'!$F$807:$H$878,3,FALSE),"")</f>
        <v/>
      </c>
      <c r="BM309" s="95" t="str">
        <f>IFERROR($N309+VLOOKUP($L309,'Voyage days'!$F$807:$K$878,6,FALSE),"")</f>
        <v/>
      </c>
      <c r="BN309" s="94" t="str">
        <f>IF(L309="loads AG", IFERROR($M309+VLOOKUP($L309,'Voyage days'!$M$38:$O$38,3,FALSE),""),"")</f>
        <v/>
      </c>
      <c r="BO309" s="94">
        <f>IF(L309="loads USG", IFERROR($M309+VLOOKUP($L309,'Voyage days'!$L$203:$N$203,3,FALSE),""),"")</f>
        <v>46172</v>
      </c>
    </row>
    <row r="310" spans="1:67" ht="15.75" customHeight="1" x14ac:dyDescent="0.25">
      <c r="A310" s="356" t="s">
        <v>169</v>
      </c>
      <c r="B310" s="75">
        <v>42290</v>
      </c>
      <c r="C310" s="76">
        <v>84000</v>
      </c>
      <c r="D310" s="77" t="s">
        <v>651</v>
      </c>
      <c r="E310" s="77"/>
      <c r="F310" s="78"/>
      <c r="G310" s="78"/>
      <c r="H310" s="78" t="s">
        <v>739</v>
      </c>
      <c r="I310" s="233" t="s">
        <v>1462</v>
      </c>
      <c r="J310" s="80" t="str">
        <f t="shared" si="61"/>
        <v/>
      </c>
      <c r="K310" s="81"/>
      <c r="L310" s="82" t="s">
        <v>874</v>
      </c>
      <c r="M310" s="83">
        <v>46151</v>
      </c>
      <c r="N310" s="83">
        <v>46152</v>
      </c>
      <c r="O310" s="126"/>
      <c r="P310" s="82" t="s">
        <v>996</v>
      </c>
      <c r="Q310" s="158"/>
      <c r="R310" s="82" t="s">
        <v>1482</v>
      </c>
      <c r="S310" s="107" t="s">
        <v>33</v>
      </c>
      <c r="T310" s="108">
        <v>46131</v>
      </c>
      <c r="U310" s="87" t="str">
        <f>IF(V310="","No AIS",VLOOKUP(V310,'Voyage days'!$A$3:$B$1480,2,FALSE))</f>
        <v>Panama</v>
      </c>
      <c r="V310" s="88" t="str">
        <f>IF(VLOOKUP(A310,'1) Kpler'!$E$2:$P$1000,8, FALSE)="","",VLOOKUP(A310,'1) Kpler'!$E$2:$P$1000,8, FALSE))</f>
        <v>Panama Canal</v>
      </c>
      <c r="W310" s="89">
        <f>IF(VLOOKUP(A310,'1) Kpler'!$E$2:$P$1000,9,FALSE)="","",VLOOKUP(A310,'1) Kpler'!$E$2:$P$1000,9,FALSE))</f>
        <v>46139.625</v>
      </c>
      <c r="X310" s="88" t="str">
        <f>VLOOKUP(A310,'1) Kpler'!$E$2:$I$1000,4,FALSE)</f>
        <v>ballast</v>
      </c>
      <c r="Y310" s="234" t="str">
        <f t="shared" si="49"/>
        <v/>
      </c>
      <c r="Z310" s="234" t="str">
        <f t="shared" si="50"/>
        <v>09-10 May</v>
      </c>
      <c r="AA310" s="234" t="str">
        <f t="shared" si="51"/>
        <v/>
      </c>
      <c r="AB310" s="234" t="str">
        <f t="shared" si="52"/>
        <v/>
      </c>
      <c r="AC310" s="234" t="str">
        <f t="shared" si="53"/>
        <v>24-25 May</v>
      </c>
      <c r="AD310" s="234" t="str">
        <f t="shared" si="54"/>
        <v/>
      </c>
      <c r="AE310" s="235" t="str">
        <f t="shared" si="55"/>
        <v/>
      </c>
      <c r="AF310" s="92" t="str">
        <f t="shared" si="56"/>
        <v/>
      </c>
      <c r="AG310" s="93" t="str">
        <f t="shared" si="57"/>
        <v/>
      </c>
      <c r="AH310" s="94" t="str">
        <f>IFERROR($M310+VLOOKUP($L310,'Voyage days'!$F$38:$H$89,3,FALSE),"")</f>
        <v/>
      </c>
      <c r="AI310" s="94" t="str">
        <f>IFERROR(N310+VLOOKUP($L310,'Voyage days'!$F$38:$H$89,3,FALSE),"")</f>
        <v/>
      </c>
      <c r="AJ310" s="93" t="str">
        <f t="shared" si="27"/>
        <v>09-10 May</v>
      </c>
      <c r="AK310" s="94">
        <f>IFERROR($M310+VLOOKUP($L310,'Voyage days'!$F$94:$H$193,3,FALSE),"")</f>
        <v>46151</v>
      </c>
      <c r="AL310" s="94">
        <f>IFERROR($N310+VLOOKUP($L310,'Voyage days'!$F$94:$H$193,3,FALSE),"")</f>
        <v>46152</v>
      </c>
      <c r="AM310" s="93" t="str">
        <f t="shared" si="28"/>
        <v/>
      </c>
      <c r="AN310" s="94" t="str">
        <f>IFERROR($M310+VLOOKUP($L310,'Voyage days'!$F$203:$H$256,3,FALSE),"")</f>
        <v/>
      </c>
      <c r="AO310" s="94" t="str">
        <f>IFERROR($N310+VLOOKUP($L310,'Voyage days'!$F$203:$H$256,3,FALSE),"")</f>
        <v/>
      </c>
      <c r="AP310" s="93" t="str">
        <f t="shared" si="29"/>
        <v/>
      </c>
      <c r="AQ310" s="94" t="str">
        <f>IFERROR($M310+VLOOKUP($L310,'Voyage days'!$F$294:$H$377,3,FALSE),"")</f>
        <v/>
      </c>
      <c r="AR310" s="94" t="str">
        <f>IFERROR($N310+VLOOKUP($L310,'Voyage days'!$F$294:$H$377,3,FALSE),"")</f>
        <v/>
      </c>
      <c r="AS310" s="93" t="str">
        <f t="shared" si="30"/>
        <v>24-25 May</v>
      </c>
      <c r="AT310" s="94">
        <f>IFERROR($M310+VLOOKUP($L310,'Voyage days'!$F$382:$H$446,3,FALSE),"")</f>
        <v>46166</v>
      </c>
      <c r="AU310" s="94">
        <f>IFERROR($N310+VLOOKUP($L310,'Voyage days'!$F$382:$H$446,3,FALSE),"")</f>
        <v>46167</v>
      </c>
      <c r="AV310" s="93" t="str">
        <f t="shared" si="31"/>
        <v/>
      </c>
      <c r="AW310" s="94" t="str">
        <f>IFERROR($M310+VLOOKUP($L310,'Voyage days'!$F$483:$H$538,3,FALSE),"")</f>
        <v/>
      </c>
      <c r="AX310" s="94" t="str">
        <f>IFERROR($N310+VLOOKUP($L310,'Voyage days'!$F$483:$H$538,3,FALSE),"")</f>
        <v/>
      </c>
      <c r="AY310" s="93" t="str">
        <f t="shared" si="32"/>
        <v/>
      </c>
      <c r="AZ310" s="94" t="str">
        <f>IFERROR($M310+VLOOKUP($L310,'Voyage days'!$F$540:$H$613,3,FALSE),"")</f>
        <v/>
      </c>
      <c r="BA310" s="94" t="str">
        <f>IFERROR($N310+VLOOKUP($L310,'Voyage days'!$F$540:$H$613,3,FALSE),"")</f>
        <v/>
      </c>
      <c r="BB310" s="93" t="str">
        <f t="shared" si="33"/>
        <v/>
      </c>
      <c r="BC310" s="94" t="str">
        <f>IFERROR($M310+VLOOKUP($L310,'Voyage days'!$F$448:$H$479,3,FALSE),"")</f>
        <v/>
      </c>
      <c r="BD310" s="94" t="str">
        <f>IFERROR($N310+VLOOKUP($L310,'Voyage days'!$F$448:$H$479,3,FALSE),"")</f>
        <v/>
      </c>
      <c r="BE310" s="93" t="str">
        <f t="shared" si="34"/>
        <v/>
      </c>
      <c r="BF310" s="95" t="str">
        <f>IFERROR($M310+VLOOKUP($L310,'Voyage days'!$F$620:$H$646,3,FALSE),"")</f>
        <v/>
      </c>
      <c r="BG310" s="95" t="str">
        <f>IFERROR($N310+VLOOKUP($L310,'Voyage days'!$F$620:$H$646,3,FALSE),"")</f>
        <v/>
      </c>
      <c r="BH310" s="93" t="str">
        <f t="shared" si="35"/>
        <v/>
      </c>
      <c r="BI310" s="96" t="str">
        <f>IFERROR($M310+VLOOKUP($L310,'Voyage days'!$F$702:$H$727,3,FALSE),"")</f>
        <v/>
      </c>
      <c r="BJ310" s="93" t="str">
        <f t="shared" si="36"/>
        <v/>
      </c>
      <c r="BK310" s="95" t="str">
        <f>IFERROR($M310+VLOOKUP($L310,'Voyage days'!$F$807:$H$878,3,FALSE),"")</f>
        <v/>
      </c>
      <c r="BL310" s="95" t="str">
        <f>IFERROR($N310+VLOOKUP($L310,'Voyage days'!$F$807:$H$878,3,FALSE),"")</f>
        <v/>
      </c>
      <c r="BM310" s="95" t="str">
        <f>IFERROR($N310+VLOOKUP($L310,'Voyage days'!$F$807:$K$878,6,FALSE),"")</f>
        <v/>
      </c>
      <c r="BN310" s="94" t="str">
        <f>IF(L310="loads AG", IFERROR($M310+VLOOKUP($L310,'Voyage days'!$M$38:$O$38,3,FALSE),""),"")</f>
        <v/>
      </c>
      <c r="BO310" s="94" t="str">
        <f>IF(L310="loads USG", IFERROR($M310+VLOOKUP($L310,'Voyage days'!$L$203:$N$203,3,FALSE),""),"")</f>
        <v/>
      </c>
    </row>
    <row r="311" spans="1:67" x14ac:dyDescent="0.25">
      <c r="A311" s="356" t="s">
        <v>189</v>
      </c>
      <c r="B311" s="75">
        <v>42181</v>
      </c>
      <c r="C311" s="76">
        <v>84000</v>
      </c>
      <c r="D311" s="77" t="s">
        <v>651</v>
      </c>
      <c r="E311" s="77"/>
      <c r="F311" s="78"/>
      <c r="G311" s="78"/>
      <c r="H311" s="78" t="s">
        <v>739</v>
      </c>
      <c r="I311" s="233" t="s">
        <v>1483</v>
      </c>
      <c r="J311" s="80" t="str">
        <f t="shared" si="61"/>
        <v/>
      </c>
      <c r="K311" s="81"/>
      <c r="L311" s="82" t="s">
        <v>770</v>
      </c>
      <c r="M311" s="83">
        <v>46141</v>
      </c>
      <c r="N311" s="83">
        <v>46142</v>
      </c>
      <c r="O311" s="126"/>
      <c r="P311" s="100" t="s">
        <v>1484</v>
      </c>
      <c r="Q311" s="82"/>
      <c r="R311" s="82" t="s">
        <v>1485</v>
      </c>
      <c r="S311" s="107" t="s">
        <v>33</v>
      </c>
      <c r="T311" s="108">
        <v>46132</v>
      </c>
      <c r="U311" s="87" t="str">
        <f>IF(V311="","No AIS",VLOOKUP(V311,'Voyage days'!$A$3:$B$1480,2,FALSE))</f>
        <v>Korea + 4</v>
      </c>
      <c r="V311" s="88" t="str">
        <f>IF(VLOOKUP(A311,'1) Kpler'!$E$2:$P$1000,8, FALSE)="","",VLOOKUP(A311,'1) Kpler'!$E$2:$P$1000,8, FALSE))</f>
        <v>Total Daesan Hanwha Refinery</v>
      </c>
      <c r="W311" s="89">
        <f>IF(VLOOKUP(A311,'1) Kpler'!$E$2:$P$1000,9,FALSE)="","",VLOOKUP(A311,'1) Kpler'!$E$2:$P$1000,9,FALSE))</f>
        <v>46137.958333333336</v>
      </c>
      <c r="X311" s="88" t="str">
        <f>VLOOKUP(A311,'1) Kpler'!$E$2:$I$1000,4,FALSE)</f>
        <v>open</v>
      </c>
      <c r="Y311" s="63" t="str">
        <f t="shared" si="49"/>
        <v>17-18 May</v>
      </c>
      <c r="Z311" s="63" t="str">
        <f t="shared" si="50"/>
        <v>01-02 Jun</v>
      </c>
      <c r="AA311" s="63" t="str">
        <f t="shared" si="51"/>
        <v>09-10 Jun</v>
      </c>
      <c r="AB311" s="63" t="str">
        <f t="shared" si="52"/>
        <v>28-29 May</v>
      </c>
      <c r="AC311" s="63" t="str">
        <f t="shared" si="53"/>
        <v>03-04 Jun</v>
      </c>
      <c r="AD311" s="63" t="str">
        <f t="shared" si="54"/>
        <v>06-07 May</v>
      </c>
      <c r="AE311" s="129" t="str">
        <f t="shared" si="55"/>
        <v>07-08 May</v>
      </c>
      <c r="AF311" s="130" t="str">
        <f t="shared" si="56"/>
        <v>13-14 Jun</v>
      </c>
      <c r="AG311" s="93" t="str">
        <f t="shared" si="57"/>
        <v>17-18 May</v>
      </c>
      <c r="AH311" s="94">
        <f>IFERROR($M311+VLOOKUP($L311,'Voyage days'!$F$38:$H$89,3,FALSE),"")</f>
        <v>46159</v>
      </c>
      <c r="AI311" s="94">
        <f>IFERROR(N311+VLOOKUP($L311,'Voyage days'!$F$38:$H$89,3,FALSE),"")</f>
        <v>46160</v>
      </c>
      <c r="AJ311" s="93" t="str">
        <f t="shared" si="27"/>
        <v>01-02 Jun</v>
      </c>
      <c r="AK311" s="94">
        <f>IFERROR($M311+VLOOKUP($L311,'Voyage days'!$F$94:$H$193,3,FALSE),"")</f>
        <v>46174</v>
      </c>
      <c r="AL311" s="94">
        <f>IFERROR($N311+VLOOKUP($L311,'Voyage days'!$F$94:$H$193,3,FALSE),"")</f>
        <v>46175</v>
      </c>
      <c r="AM311" s="93" t="str">
        <f t="shared" si="28"/>
        <v>09-10 Jun</v>
      </c>
      <c r="AN311" s="94">
        <f>IFERROR($M311+VLOOKUP($L311,'Voyage days'!$F$203:$H$256,3,FALSE),"")</f>
        <v>46182</v>
      </c>
      <c r="AO311" s="94">
        <f>IFERROR($N311+VLOOKUP($L311,'Voyage days'!$F$203:$H$256,3,FALSE),"")</f>
        <v>46183</v>
      </c>
      <c r="AP311" s="93" t="str">
        <f t="shared" si="29"/>
        <v>28-29 May</v>
      </c>
      <c r="AQ311" s="94">
        <f>IFERROR($M311+VLOOKUP($L311,'Voyage days'!$F$294:$H$377,3,FALSE),"")</f>
        <v>46170</v>
      </c>
      <c r="AR311" s="94">
        <f>IFERROR($N311+VLOOKUP($L311,'Voyage days'!$F$294:$H$377,3,FALSE),"")</f>
        <v>46171</v>
      </c>
      <c r="AS311" s="93" t="str">
        <f t="shared" si="30"/>
        <v>03-04 Jun</v>
      </c>
      <c r="AT311" s="94">
        <f>IFERROR($M311+VLOOKUP($L311,'Voyage days'!$F$382:$H$446,3,FALSE),"")</f>
        <v>46176</v>
      </c>
      <c r="AU311" s="94">
        <f>IFERROR($N311+VLOOKUP($L311,'Voyage days'!$F$382:$H$446,3,FALSE),"")</f>
        <v>46177</v>
      </c>
      <c r="AV311" s="93" t="str">
        <f t="shared" si="31"/>
        <v>13-14 May</v>
      </c>
      <c r="AW311" s="94">
        <f>IFERROR($M311+VLOOKUP($L311,'Voyage days'!$F$483:$H$538,3,FALSE),"")</f>
        <v>46155</v>
      </c>
      <c r="AX311" s="94">
        <f>IFERROR($N311+VLOOKUP($L311,'Voyage days'!$F$483:$H$538,3,FALSE),"")</f>
        <v>46156</v>
      </c>
      <c r="AY311" s="93" t="str">
        <f t="shared" si="32"/>
        <v>07-08 May</v>
      </c>
      <c r="AZ311" s="94">
        <f>IFERROR($M311+VLOOKUP($L311,'Voyage days'!$F$540:$H$613,3,FALSE),"")</f>
        <v>46149</v>
      </c>
      <c r="BA311" s="94">
        <f>IFERROR($N311+VLOOKUP($L311,'Voyage days'!$F$540:$H$613,3,FALSE),"")</f>
        <v>46150</v>
      </c>
      <c r="BB311" s="93" t="str">
        <f t="shared" si="33"/>
        <v>06-07 May</v>
      </c>
      <c r="BC311" s="94">
        <f>IFERROR($M311+VLOOKUP($L311,'Voyage days'!$F$448:$H$479,3,FALSE),"")</f>
        <v>46148</v>
      </c>
      <c r="BD311" s="94">
        <f>IFERROR($N311+VLOOKUP($L311,'Voyage days'!$F$448:$H$479,3,FALSE),"")</f>
        <v>46149</v>
      </c>
      <c r="BE311" s="93" t="str">
        <f t="shared" si="34"/>
        <v>10-11 May</v>
      </c>
      <c r="BF311" s="95">
        <f>IFERROR($M311+VLOOKUP($L311,'Voyage days'!$F$620:$H$646,3,FALSE),"")</f>
        <v>46152</v>
      </c>
      <c r="BG311" s="95">
        <f>IFERROR($N311+VLOOKUP($L311,'Voyage days'!$F$620:$H$646,3,FALSE),"")</f>
        <v>46153</v>
      </c>
      <c r="BH311" s="93" t="str">
        <f t="shared" si="35"/>
        <v>07-14 Jun</v>
      </c>
      <c r="BI311" s="96">
        <f>IFERROR($M311+VLOOKUP($L311,'Voyage days'!$F$702:$H$727,3,FALSE),"")</f>
        <v>46149</v>
      </c>
      <c r="BJ311" s="93" t="str">
        <f t="shared" si="36"/>
        <v>13-14 Jun</v>
      </c>
      <c r="BK311" s="95">
        <f>IFERROR($M311+VLOOKUP($L311,'Voyage days'!$F$807:$H$878,3,FALSE),"")</f>
        <v>46186</v>
      </c>
      <c r="BL311" s="95">
        <f>IFERROR($N311+VLOOKUP($L311,'Voyage days'!$F$807:$H$878,3,FALSE),"")</f>
        <v>46187</v>
      </c>
      <c r="BM311" s="95">
        <f>IFERROR($N311+VLOOKUP($L311,'Voyage days'!$F$807:$K$878,6,FALSE),"")</f>
        <v>46161</v>
      </c>
      <c r="BN311" s="94" t="str">
        <f>IF(L311="loads AG", IFERROR($M311+VLOOKUP($L311,'Voyage days'!$M$38:$O$38,3,FALSE),""),"")</f>
        <v/>
      </c>
      <c r="BO311" s="94" t="str">
        <f>IF(L311="loads USG", IFERROR($M311+VLOOKUP($L311,'Voyage days'!$L$203:$N$203,3,FALSE),""),"")</f>
        <v/>
      </c>
    </row>
    <row r="312" spans="1:67" ht="15.75" customHeight="1" x14ac:dyDescent="0.25">
      <c r="A312" s="514" t="s">
        <v>190</v>
      </c>
      <c r="B312" s="75">
        <v>41848</v>
      </c>
      <c r="C312" s="76">
        <v>84000</v>
      </c>
      <c r="D312" s="77" t="s">
        <v>651</v>
      </c>
      <c r="E312" s="77"/>
      <c r="F312" s="78"/>
      <c r="G312" s="78"/>
      <c r="H312" s="78" t="s">
        <v>739</v>
      </c>
      <c r="I312" s="233" t="s">
        <v>1462</v>
      </c>
      <c r="J312" s="80" t="str">
        <f t="shared" si="61"/>
        <v>Update</v>
      </c>
      <c r="K312" s="81"/>
      <c r="L312" s="82" t="s">
        <v>790</v>
      </c>
      <c r="M312" s="83">
        <v>46133</v>
      </c>
      <c r="N312" s="83">
        <v>46134</v>
      </c>
      <c r="O312" s="84" t="s">
        <v>779</v>
      </c>
      <c r="P312" s="82" t="s">
        <v>1486</v>
      </c>
      <c r="Q312" s="78"/>
      <c r="R312" s="85" t="s">
        <v>1487</v>
      </c>
      <c r="S312" s="107" t="s">
        <v>33</v>
      </c>
      <c r="T312" s="108">
        <v>46132</v>
      </c>
      <c r="U312" s="87" t="str">
        <f>IF(V312="","No AIS",VLOOKUP(V312,'Voyage days'!$A$3:$B$1480,2,FALSE))</f>
        <v>USG</v>
      </c>
      <c r="V312" s="88" t="str">
        <f>IF(VLOOKUP(A312,'1) Kpler'!$E$2:$P$1000,8, FALSE)="","",VLOOKUP(A312,'1) Kpler'!$E$2:$P$1000,8, FALSE))</f>
        <v>Houston</v>
      </c>
      <c r="W312" s="89">
        <f>IF(VLOOKUP(A312,'1) Kpler'!$E$2:$P$1000,9,FALSE)="","",VLOOKUP(A312,'1) Kpler'!$E$2:$P$1000,9,FALSE))</f>
        <v>46148.5</v>
      </c>
      <c r="X312" s="88" t="str">
        <f>VLOOKUP(A312,'1) Kpler'!$E$2:$I$1000,4,FALSE)</f>
        <v>ballast</v>
      </c>
      <c r="Y312" s="234" t="str">
        <f t="shared" si="49"/>
        <v/>
      </c>
      <c r="Z312" s="234" t="str">
        <f t="shared" si="50"/>
        <v>05-06 May</v>
      </c>
      <c r="AA312" s="234" t="str">
        <f t="shared" si="51"/>
        <v>06-07 May</v>
      </c>
      <c r="AB312" s="234" t="str">
        <f t="shared" si="52"/>
        <v>02-03 May</v>
      </c>
      <c r="AC312" s="234" t="str">
        <f t="shared" si="53"/>
        <v>23-24 Apr</v>
      </c>
      <c r="AD312" s="234" t="str">
        <f t="shared" si="54"/>
        <v/>
      </c>
      <c r="AE312" s="235" t="str">
        <f t="shared" si="55"/>
        <v/>
      </c>
      <c r="AF312" s="92" t="str">
        <f t="shared" si="56"/>
        <v>05-06 May</v>
      </c>
      <c r="AG312" s="93" t="str">
        <f t="shared" si="57"/>
        <v/>
      </c>
      <c r="AH312" s="94" t="str">
        <f>IFERROR($M312+VLOOKUP($L312,'Voyage days'!$F$38:$H$89,3,FALSE),"")</f>
        <v/>
      </c>
      <c r="AI312" s="94" t="str">
        <f>IFERROR(N312+VLOOKUP($L312,'Voyage days'!$F$38:$H$89,3,FALSE),"")</f>
        <v/>
      </c>
      <c r="AJ312" s="93" t="str">
        <f t="shared" si="27"/>
        <v>05-06 May</v>
      </c>
      <c r="AK312" s="94">
        <f>IFERROR($M312+VLOOKUP($L312,'Voyage days'!$F$94:$H$193,3,FALSE),"")</f>
        <v>46147</v>
      </c>
      <c r="AL312" s="94">
        <f>IFERROR($N312+VLOOKUP($L312,'Voyage days'!$F$94:$H$193,3,FALSE),"")</f>
        <v>46148</v>
      </c>
      <c r="AM312" s="93" t="str">
        <f t="shared" si="28"/>
        <v>06-07 May</v>
      </c>
      <c r="AN312" s="94">
        <f>IFERROR($M312+VLOOKUP($L312,'Voyage days'!$F$203:$H$256,3,FALSE),"")</f>
        <v>46148</v>
      </c>
      <c r="AO312" s="94">
        <f>IFERROR($N312+VLOOKUP($L312,'Voyage days'!$F$203:$H$256,3,FALSE),"")</f>
        <v>46149</v>
      </c>
      <c r="AP312" s="93" t="str">
        <f t="shared" si="29"/>
        <v>02-03 May</v>
      </c>
      <c r="AQ312" s="94">
        <f>IFERROR($M312+VLOOKUP($L312,'Voyage days'!$F$294:$H$377,3,FALSE),"")</f>
        <v>46144</v>
      </c>
      <c r="AR312" s="94">
        <f>IFERROR($N312+VLOOKUP($L312,'Voyage days'!$F$294:$H$377,3,FALSE),"")</f>
        <v>46145</v>
      </c>
      <c r="AS312" s="93" t="str">
        <f t="shared" si="30"/>
        <v>23-24 Apr</v>
      </c>
      <c r="AT312" s="94">
        <f>IFERROR($M312+VLOOKUP($L312,'Voyage days'!$F$382:$H$446,3,FALSE),"")</f>
        <v>46135</v>
      </c>
      <c r="AU312" s="94">
        <f>IFERROR($N312+VLOOKUP($L312,'Voyage days'!$F$382:$H$446,3,FALSE),"")</f>
        <v>46136</v>
      </c>
      <c r="AV312" s="93" t="str">
        <f t="shared" si="31"/>
        <v/>
      </c>
      <c r="AW312" s="94" t="str">
        <f>IFERROR($M312+VLOOKUP($L312,'Voyage days'!$F$483:$H$538,3,FALSE),"")</f>
        <v/>
      </c>
      <c r="AX312" s="94" t="str">
        <f>IFERROR($N312+VLOOKUP($L312,'Voyage days'!$F$483:$H$538,3,FALSE),"")</f>
        <v/>
      </c>
      <c r="AY312" s="93" t="str">
        <f t="shared" si="32"/>
        <v/>
      </c>
      <c r="AZ312" s="94" t="str">
        <f>IFERROR($M312+VLOOKUP($L312,'Voyage days'!$F$540:$H$613,3,FALSE),"")</f>
        <v/>
      </c>
      <c r="BA312" s="94" t="str">
        <f>IFERROR($N312+VLOOKUP($L312,'Voyage days'!$F$540:$H$613,3,FALSE),"")</f>
        <v/>
      </c>
      <c r="BB312" s="93" t="str">
        <f t="shared" si="33"/>
        <v/>
      </c>
      <c r="BC312" s="94" t="str">
        <f>IFERROR($M312+VLOOKUP($L312,'Voyage days'!$F$448:$H$479,3,FALSE),"")</f>
        <v/>
      </c>
      <c r="BD312" s="94" t="str">
        <f>IFERROR($N312+VLOOKUP($L312,'Voyage days'!$F$448:$H$479,3,FALSE),"")</f>
        <v/>
      </c>
      <c r="BE312" s="93" t="str">
        <f t="shared" si="34"/>
        <v/>
      </c>
      <c r="BF312" s="95" t="str">
        <f>IFERROR($M312+VLOOKUP($L312,'Voyage days'!$F$620:$H$646,3,FALSE),"")</f>
        <v/>
      </c>
      <c r="BG312" s="95" t="str">
        <f>IFERROR($N312+VLOOKUP($L312,'Voyage days'!$F$620:$H$646,3,FALSE),"")</f>
        <v/>
      </c>
      <c r="BH312" s="93" t="str">
        <f t="shared" si="35"/>
        <v/>
      </c>
      <c r="BI312" s="96" t="str">
        <f>IFERROR($M312+VLOOKUP($L312,'Voyage days'!$F$702:$H$727,3,FALSE),"")</f>
        <v/>
      </c>
      <c r="BJ312" s="93" t="str">
        <f t="shared" si="36"/>
        <v>05-06 May</v>
      </c>
      <c r="BK312" s="95">
        <f>IFERROR($M312+VLOOKUP($L312,'Voyage days'!$F$807:$H$878,3,FALSE),"")</f>
        <v>46147</v>
      </c>
      <c r="BL312" s="95">
        <f>IFERROR($N312+VLOOKUP($L312,'Voyage days'!$F$807:$H$878,3,FALSE),"")</f>
        <v>46148</v>
      </c>
      <c r="BM312" s="95">
        <f>IFERROR($N312+VLOOKUP($L312,'Voyage days'!$F$807:$K$878,6,FALSE),"")</f>
        <v>46134</v>
      </c>
      <c r="BN312" s="94" t="str">
        <f>IF(L312="loads AG", IFERROR($M312+VLOOKUP($L312,'Voyage days'!$M$38:$O$38,3,FALSE),""),"")</f>
        <v/>
      </c>
      <c r="BO312" s="94" t="str">
        <f>IF(L312="loads USG", IFERROR($M312+VLOOKUP($L312,'Voyage days'!$L$203:$N$203,3,FALSE),""),"")</f>
        <v/>
      </c>
    </row>
    <row r="313" spans="1:67" ht="15.75" customHeight="1" x14ac:dyDescent="0.25">
      <c r="A313" s="356" t="s">
        <v>196</v>
      </c>
      <c r="B313" s="75">
        <v>42277</v>
      </c>
      <c r="C313" s="76">
        <v>84000</v>
      </c>
      <c r="D313" s="77" t="s">
        <v>651</v>
      </c>
      <c r="E313" s="77"/>
      <c r="F313" s="78"/>
      <c r="G313" s="78"/>
      <c r="H313" s="78" t="s">
        <v>739</v>
      </c>
      <c r="I313" s="233" t="s">
        <v>1462</v>
      </c>
      <c r="J313" s="80" t="str">
        <f t="shared" si="61"/>
        <v/>
      </c>
      <c r="K313" s="81"/>
      <c r="L313" s="159" t="s">
        <v>718</v>
      </c>
      <c r="M313" s="83">
        <v>46172</v>
      </c>
      <c r="N313" s="83">
        <v>46173</v>
      </c>
      <c r="O313" s="84"/>
      <c r="P313" s="82" t="s">
        <v>1488</v>
      </c>
      <c r="Q313" s="82"/>
      <c r="R313" s="78" t="s">
        <v>1489</v>
      </c>
      <c r="S313" s="107" t="s">
        <v>33</v>
      </c>
      <c r="T313" s="108">
        <v>46132</v>
      </c>
      <c r="U313" s="87" t="str">
        <f>IF(V313="","No AIS",VLOOKUP(V313,'Voyage days'!$A$3:$B$1480,2,FALSE))</f>
        <v>Japan + 6</v>
      </c>
      <c r="V313" s="88" t="str">
        <f>IF(VLOOKUP(A313,'1) Kpler'!$E$2:$P$1000,8, FALSE)="","",VLOOKUP(A313,'1) Kpler'!$E$2:$P$1000,8, FALSE))</f>
        <v>Sendai Refinery</v>
      </c>
      <c r="W313" s="89">
        <f>IF(VLOOKUP(A313,'1) Kpler'!$E$2:$P$1000,9,FALSE)="","",VLOOKUP(A313,'1) Kpler'!$E$2:$P$1000,9,FALSE))</f>
        <v>46134.875</v>
      </c>
      <c r="X313" s="88" t="str">
        <f>VLOOKUP(A313,'1) Kpler'!$E$2:$I$1000,4,FALSE)</f>
        <v>loaded</v>
      </c>
      <c r="Y313" s="63" t="str">
        <f t="shared" si="49"/>
        <v/>
      </c>
      <c r="Z313" s="63" t="str">
        <f t="shared" si="50"/>
        <v>30-31 May</v>
      </c>
      <c r="AA313" s="63" t="str">
        <f t="shared" si="51"/>
        <v>30-31 May</v>
      </c>
      <c r="AB313" s="63" t="str">
        <f t="shared" si="52"/>
        <v/>
      </c>
      <c r="AC313" s="63" t="str">
        <f t="shared" si="53"/>
        <v>19-20 Jun</v>
      </c>
      <c r="AD313" s="63" t="str">
        <f t="shared" si="54"/>
        <v/>
      </c>
      <c r="AE313" s="129" t="str">
        <f t="shared" si="55"/>
        <v/>
      </c>
      <c r="AF313" s="130" t="str">
        <f t="shared" si="56"/>
        <v/>
      </c>
      <c r="AG313" s="93" t="str">
        <f t="shared" si="57"/>
        <v/>
      </c>
      <c r="AH313" s="94" t="str">
        <f>IFERROR($M313+VLOOKUP($L313,'Voyage days'!$F$38:$H$89,3,FALSE),"")</f>
        <v/>
      </c>
      <c r="AI313" s="94" t="str">
        <f>IFERROR(N313+VLOOKUP($L313,'Voyage days'!$F$38:$H$89,3,FALSE),"")</f>
        <v/>
      </c>
      <c r="AJ313" s="93" t="str">
        <f t="shared" si="27"/>
        <v>30-31 May</v>
      </c>
      <c r="AK313" s="94">
        <f>IFERROR($M313+VLOOKUP($L313,'Voyage days'!$F$94:$H$193,3,FALSE),"")</f>
        <v>46172</v>
      </c>
      <c r="AL313" s="94">
        <f>IFERROR($N313+VLOOKUP($L313,'Voyage days'!$F$94:$H$193,3,FALSE),"")</f>
        <v>46173</v>
      </c>
      <c r="AM313" s="93" t="str">
        <f t="shared" si="28"/>
        <v>30-31 May</v>
      </c>
      <c r="AN313" s="94">
        <f>IFERROR($M313+VLOOKUP($L313,'Voyage days'!$F$203:$H$256,3,FALSE),"")</f>
        <v>46172</v>
      </c>
      <c r="AO313" s="94">
        <f>IFERROR($N313+VLOOKUP($L313,'Voyage days'!$F$203:$H$256,3,FALSE),"")</f>
        <v>46173</v>
      </c>
      <c r="AP313" s="93" t="str">
        <f t="shared" si="29"/>
        <v/>
      </c>
      <c r="AQ313" s="94" t="str">
        <f>IFERROR($M313+VLOOKUP($L313,'Voyage days'!$F$294:$H$377,3,FALSE),"")</f>
        <v/>
      </c>
      <c r="AR313" s="94" t="str">
        <f>IFERROR($N313+VLOOKUP($L313,'Voyage days'!$F$294:$H$377,3,FALSE),"")</f>
        <v/>
      </c>
      <c r="AS313" s="93" t="str">
        <f t="shared" si="30"/>
        <v>19-20 Jun</v>
      </c>
      <c r="AT313" s="94">
        <f>IFERROR($M313+VLOOKUP($L313,'Voyage days'!$F$382:$H$446,3,FALSE),"")</f>
        <v>46192</v>
      </c>
      <c r="AU313" s="94">
        <f>IFERROR($N313+VLOOKUP($L313,'Voyage days'!$F$382:$H$446,3,FALSE),"")</f>
        <v>46193</v>
      </c>
      <c r="AV313" s="93" t="str">
        <f t="shared" si="31"/>
        <v/>
      </c>
      <c r="AW313" s="94" t="str">
        <f>IFERROR($M313+VLOOKUP($L313,'Voyage days'!$F$483:$H$538,3,FALSE),"")</f>
        <v/>
      </c>
      <c r="AX313" s="94" t="str">
        <f>IFERROR($N313+VLOOKUP($L313,'Voyage days'!$F$483:$H$538,3,FALSE),"")</f>
        <v/>
      </c>
      <c r="AY313" s="93" t="str">
        <f t="shared" si="32"/>
        <v/>
      </c>
      <c r="AZ313" s="94" t="str">
        <f>IFERROR($M313+VLOOKUP($L313,'Voyage days'!$F$540:$H$613,3,FALSE),"")</f>
        <v/>
      </c>
      <c r="BA313" s="94" t="str">
        <f>IFERROR($N313+VLOOKUP($L313,'Voyage days'!$F$540:$H$613,3,FALSE),"")</f>
        <v/>
      </c>
      <c r="BB313" s="93" t="str">
        <f t="shared" si="33"/>
        <v/>
      </c>
      <c r="BC313" s="94" t="str">
        <f>IFERROR($M313+VLOOKUP($L313,'Voyage days'!$F$448:$H$479,3,FALSE),"")</f>
        <v/>
      </c>
      <c r="BD313" s="94" t="str">
        <f>IFERROR($N313+VLOOKUP($L313,'Voyage days'!$F$448:$H$479,3,FALSE),"")</f>
        <v/>
      </c>
      <c r="BE313" s="93" t="str">
        <f t="shared" si="34"/>
        <v/>
      </c>
      <c r="BF313" s="95" t="str">
        <f>IFERROR($M313+VLOOKUP($L313,'Voyage days'!$F$620:$H$646,3,FALSE),"")</f>
        <v/>
      </c>
      <c r="BG313" s="95" t="str">
        <f>IFERROR($N313+VLOOKUP($L313,'Voyage days'!$F$620:$H$646,3,FALSE),"")</f>
        <v/>
      </c>
      <c r="BH313" s="93" t="str">
        <f t="shared" si="35"/>
        <v/>
      </c>
      <c r="BI313" s="96" t="str">
        <f>IFERROR($M313+VLOOKUP($L313,'Voyage days'!$F$702:$H$727,3,FALSE),"")</f>
        <v/>
      </c>
      <c r="BJ313" s="93" t="str">
        <f t="shared" si="36"/>
        <v/>
      </c>
      <c r="BK313" s="95" t="str">
        <f>IFERROR($M313+VLOOKUP($L313,'Voyage days'!$F$807:$H$878,3,FALSE),"")</f>
        <v/>
      </c>
      <c r="BL313" s="95" t="str">
        <f>IFERROR($N313+VLOOKUP($L313,'Voyage days'!$F$807:$H$878,3,FALSE),"")</f>
        <v/>
      </c>
      <c r="BM313" s="95" t="str">
        <f>IFERROR($N313+VLOOKUP($L313,'Voyage days'!$F$807:$K$878,6,FALSE),"")</f>
        <v/>
      </c>
      <c r="BN313" s="94" t="str">
        <f>IF(L313="loads AG", IFERROR($M313+VLOOKUP($L313,'Voyage days'!$M$38:$O$38,3,FALSE),""),"")</f>
        <v/>
      </c>
      <c r="BO313" s="94">
        <f>IF(L313="loads USG", IFERROR($M313+VLOOKUP($L313,'Voyage days'!$L$203:$N$203,3,FALSE),""),"")</f>
        <v>46204</v>
      </c>
    </row>
    <row r="314" spans="1:67" ht="15.75" customHeight="1" x14ac:dyDescent="0.25">
      <c r="A314" s="53" t="s">
        <v>199</v>
      </c>
      <c r="B314" s="75">
        <v>42208</v>
      </c>
      <c r="C314" s="76">
        <v>84000</v>
      </c>
      <c r="D314" s="77" t="s">
        <v>651</v>
      </c>
      <c r="E314" s="77"/>
      <c r="F314" s="78"/>
      <c r="G314" s="78"/>
      <c r="H314" s="78"/>
      <c r="I314" s="233" t="s">
        <v>1462</v>
      </c>
      <c r="J314" s="80" t="str">
        <f t="shared" si="61"/>
        <v/>
      </c>
      <c r="K314" s="81"/>
      <c r="L314" s="82" t="s">
        <v>715</v>
      </c>
      <c r="M314" s="83">
        <v>46145</v>
      </c>
      <c r="N314" s="83">
        <v>46146</v>
      </c>
      <c r="O314" s="84"/>
      <c r="P314" s="100" t="s">
        <v>904</v>
      </c>
      <c r="Q314" s="82"/>
      <c r="R314" s="82" t="s">
        <v>1490</v>
      </c>
      <c r="S314" s="107" t="s">
        <v>33</v>
      </c>
      <c r="T314" s="108">
        <v>46132</v>
      </c>
      <c r="U314" s="87" t="str">
        <f>IF(V314="","No AIS",VLOOKUP(V314,'Voyage days'!$A$3:$B$1480,2,FALSE))</f>
        <v>Japan + 6</v>
      </c>
      <c r="V314" s="88" t="str">
        <f>IF(VLOOKUP(A314,'1) Kpler'!$E$2:$P$1000,8, FALSE)="","",VLOOKUP(A314,'1) Kpler'!$E$2:$P$1000,8, FALSE))</f>
        <v>Chiba</v>
      </c>
      <c r="W314" s="89">
        <f>IF(VLOOKUP(A314,'1) Kpler'!$E$2:$P$1000,9,FALSE)="","",VLOOKUP(A314,'1) Kpler'!$E$2:$P$1000,9,FALSE))</f>
        <v>46140.583333333336</v>
      </c>
      <c r="X314" s="88" t="str">
        <f>VLOOKUP(A314,'1) Kpler'!$E$2:$I$1000,4,FALSE)</f>
        <v>loaded</v>
      </c>
      <c r="Y314" s="234" t="str">
        <f t="shared" si="49"/>
        <v>21-22 May</v>
      </c>
      <c r="Z314" s="234" t="str">
        <f t="shared" si="50"/>
        <v>03-04 Jun</v>
      </c>
      <c r="AA314" s="234" t="str">
        <f t="shared" si="51"/>
        <v>14-15 Jun</v>
      </c>
      <c r="AB314" s="234" t="str">
        <f t="shared" si="52"/>
        <v>02-03 Jun</v>
      </c>
      <c r="AC314" s="234" t="str">
        <f t="shared" si="53"/>
        <v>08-09 Jun</v>
      </c>
      <c r="AD314" s="234" t="str">
        <f t="shared" si="54"/>
        <v>11-12 May</v>
      </c>
      <c r="AE314" s="235" t="str">
        <f t="shared" si="55"/>
        <v>11-12 May</v>
      </c>
      <c r="AF314" s="92" t="str">
        <f t="shared" si="56"/>
        <v>18-19 Jun</v>
      </c>
      <c r="AG314" s="93" t="str">
        <f t="shared" si="57"/>
        <v>21-22 May</v>
      </c>
      <c r="AH314" s="94">
        <f>IFERROR($M314+VLOOKUP($L314,'Voyage days'!$F$38:$H$89,3,FALSE),"")</f>
        <v>46163</v>
      </c>
      <c r="AI314" s="94">
        <f>IFERROR(N314+VLOOKUP($L314,'Voyage days'!$F$38:$H$89,3,FALSE),"")</f>
        <v>46164</v>
      </c>
      <c r="AJ314" s="93" t="str">
        <f t="shared" si="27"/>
        <v>03-04 Jun</v>
      </c>
      <c r="AK314" s="94">
        <f>IFERROR($M314+VLOOKUP($L314,'Voyage days'!$F$94:$H$193,3,FALSE),"")</f>
        <v>46176</v>
      </c>
      <c r="AL314" s="94">
        <f>IFERROR($N314+VLOOKUP($L314,'Voyage days'!$F$94:$H$193,3,FALSE),"")</f>
        <v>46177</v>
      </c>
      <c r="AM314" s="93" t="str">
        <f t="shared" si="28"/>
        <v>14-15 Jun</v>
      </c>
      <c r="AN314" s="94">
        <f>IFERROR($M314+VLOOKUP($L314,'Voyage days'!$F$203:$H$256,3,FALSE),"")</f>
        <v>46187</v>
      </c>
      <c r="AO314" s="94">
        <f>IFERROR($N314+VLOOKUP($L314,'Voyage days'!$F$203:$H$256,3,FALSE),"")</f>
        <v>46188</v>
      </c>
      <c r="AP314" s="93" t="str">
        <f t="shared" si="29"/>
        <v>02-03 Jun</v>
      </c>
      <c r="AQ314" s="94">
        <f>IFERROR($M314+VLOOKUP($L314,'Voyage days'!$F$294:$H$377,3,FALSE),"")</f>
        <v>46175</v>
      </c>
      <c r="AR314" s="94">
        <f>IFERROR($N314+VLOOKUP($L314,'Voyage days'!$F$294:$H$377,3,FALSE),"")</f>
        <v>46176</v>
      </c>
      <c r="AS314" s="93" t="str">
        <f t="shared" si="30"/>
        <v>08-09 Jun</v>
      </c>
      <c r="AT314" s="94">
        <f>IFERROR($M314+VLOOKUP($L314,'Voyage days'!$F$382:$H$446,3,FALSE),"")</f>
        <v>46181</v>
      </c>
      <c r="AU314" s="94">
        <f>IFERROR($N314+VLOOKUP($L314,'Voyage days'!$F$382:$H$446,3,FALSE),"")</f>
        <v>46182</v>
      </c>
      <c r="AV314" s="93" t="str">
        <f t="shared" si="31"/>
        <v>16-17 May</v>
      </c>
      <c r="AW314" s="94">
        <f>IFERROR($M314+VLOOKUP($L314,'Voyage days'!$F$483:$H$538,3,FALSE),"")</f>
        <v>46158</v>
      </c>
      <c r="AX314" s="94">
        <f>IFERROR($N314+VLOOKUP($L314,'Voyage days'!$F$483:$H$538,3,FALSE),"")</f>
        <v>46159</v>
      </c>
      <c r="AY314" s="93" t="str">
        <f t="shared" si="32"/>
        <v>11-12 May</v>
      </c>
      <c r="AZ314" s="94">
        <f>IFERROR($M314+VLOOKUP($L314,'Voyage days'!$F$540:$H$613,3,FALSE),"")</f>
        <v>46153.25</v>
      </c>
      <c r="BA314" s="94">
        <f>IFERROR($N314+VLOOKUP($L314,'Voyage days'!$F$540:$H$613,3,FALSE),"")</f>
        <v>46154.25</v>
      </c>
      <c r="BB314" s="93" t="str">
        <f t="shared" si="33"/>
        <v>11-12 May</v>
      </c>
      <c r="BC314" s="94">
        <f>IFERROR($M314+VLOOKUP($L314,'Voyage days'!$F$448:$H$479,3,FALSE),"")</f>
        <v>46153</v>
      </c>
      <c r="BD314" s="94">
        <f>IFERROR($N314+VLOOKUP($L314,'Voyage days'!$F$448:$H$479,3,FALSE),"")</f>
        <v>46154</v>
      </c>
      <c r="BE314" s="93" t="str">
        <f t="shared" si="34"/>
        <v>14-15 May</v>
      </c>
      <c r="BF314" s="95">
        <f>IFERROR($M314+VLOOKUP($L314,'Voyage days'!$F$620:$H$646,3,FALSE),"")</f>
        <v>46156</v>
      </c>
      <c r="BG314" s="95">
        <f>IFERROR($N314+VLOOKUP($L314,'Voyage days'!$F$620:$H$646,3,FALSE),"")</f>
        <v>46157</v>
      </c>
      <c r="BH314" s="93" t="str">
        <f t="shared" si="35"/>
        <v>11-19 Jun</v>
      </c>
      <c r="BI314" s="96">
        <f>IFERROR($M314+VLOOKUP($L314,'Voyage days'!$F$702:$H$727,3,FALSE),"")</f>
        <v>46153.25</v>
      </c>
      <c r="BJ314" s="93" t="str">
        <f t="shared" si="36"/>
        <v>18-19 Jun</v>
      </c>
      <c r="BK314" s="95">
        <f>IFERROR($M314+VLOOKUP($L314,'Voyage days'!$F$807:$H$878,3,FALSE),"")</f>
        <v>46191</v>
      </c>
      <c r="BL314" s="95">
        <f>IFERROR($N314+VLOOKUP($L314,'Voyage days'!$F$807:$H$878,3,FALSE),"")</f>
        <v>46192</v>
      </c>
      <c r="BM314" s="95">
        <f>IFERROR($N314+VLOOKUP($L314,'Voyage days'!$F$807:$K$878,6,FALSE),"")</f>
        <v>46166</v>
      </c>
      <c r="BN314" s="94" t="str">
        <f>IF(L314="loads AG", IFERROR($M314+VLOOKUP($L314,'Voyage days'!$M$38:$O$38,3,FALSE),""),"")</f>
        <v/>
      </c>
      <c r="BO314" s="94" t="str">
        <f>IF(L314="loads USG", IFERROR($M314+VLOOKUP($L314,'Voyage days'!$L$203:$N$203,3,FALSE),""),"")</f>
        <v/>
      </c>
    </row>
    <row r="315" spans="1:67" ht="15.75" customHeight="1" x14ac:dyDescent="0.25">
      <c r="A315" s="356" t="s">
        <v>200</v>
      </c>
      <c r="B315" s="75">
        <v>42313</v>
      </c>
      <c r="C315" s="76">
        <v>84000</v>
      </c>
      <c r="D315" s="77" t="s">
        <v>651</v>
      </c>
      <c r="E315" s="77"/>
      <c r="F315" s="78"/>
      <c r="G315" s="78"/>
      <c r="H315" s="78" t="s">
        <v>739</v>
      </c>
      <c r="I315" s="233" t="s">
        <v>1462</v>
      </c>
      <c r="J315" s="80" t="str">
        <f t="shared" si="61"/>
        <v>NO AIS</v>
      </c>
      <c r="K315" s="81"/>
      <c r="L315" s="82" t="s">
        <v>718</v>
      </c>
      <c r="M315" s="83">
        <v>46132</v>
      </c>
      <c r="N315" s="83">
        <v>46133</v>
      </c>
      <c r="O315" s="206"/>
      <c r="P315" s="82" t="s">
        <v>1491</v>
      </c>
      <c r="Q315" s="82"/>
      <c r="R315" s="82" t="s">
        <v>1492</v>
      </c>
      <c r="S315" s="107" t="s">
        <v>33</v>
      </c>
      <c r="T315" s="108">
        <v>46132</v>
      </c>
      <c r="U315" s="87" t="str">
        <f>IF(V315="","No AIS",VLOOKUP(V315,'Voyage days'!$A$3:$B$1480,2,FALSE))</f>
        <v>No AIS</v>
      </c>
      <c r="V315" s="88" t="str">
        <f>IF(VLOOKUP(A315,'1) Kpler'!$E$2:$P$1000,8, FALSE)="","",VLOOKUP(A315,'1) Kpler'!$E$2:$P$1000,8, FALSE))</f>
        <v/>
      </c>
      <c r="W315" s="89" t="str">
        <f>IF(VLOOKUP(A315,'1) Kpler'!$E$2:$P$1000,9,FALSE)="","",VLOOKUP(A315,'1) Kpler'!$E$2:$P$1000,9,FALSE))</f>
        <v/>
      </c>
      <c r="X315" s="88" t="str">
        <f>VLOOKUP(A315,'1) Kpler'!$E$2:$I$1000,4,FALSE)</f>
        <v>loaded</v>
      </c>
      <c r="Y315" s="63" t="str">
        <f t="shared" si="49"/>
        <v/>
      </c>
      <c r="Z315" s="63" t="str">
        <f t="shared" si="50"/>
        <v>20-21 Apr</v>
      </c>
      <c r="AA315" s="63" t="str">
        <f t="shared" si="51"/>
        <v>20-21 Apr</v>
      </c>
      <c r="AB315" s="63" t="str">
        <f t="shared" si="52"/>
        <v/>
      </c>
      <c r="AC315" s="63" t="str">
        <f t="shared" si="53"/>
        <v>10-11 May</v>
      </c>
      <c r="AD315" s="63" t="str">
        <f t="shared" si="54"/>
        <v/>
      </c>
      <c r="AE315" s="129" t="str">
        <f t="shared" si="55"/>
        <v/>
      </c>
      <c r="AF315" s="130" t="str">
        <f t="shared" si="56"/>
        <v/>
      </c>
      <c r="AG315" s="93" t="str">
        <f t="shared" si="57"/>
        <v/>
      </c>
      <c r="AH315" s="94" t="str">
        <f>IFERROR($M315+VLOOKUP($L315,'Voyage days'!$F$38:$H$89,3,FALSE),"")</f>
        <v/>
      </c>
      <c r="AI315" s="94" t="str">
        <f>IFERROR(N315+VLOOKUP($L315,'Voyage days'!$F$38:$H$89,3,FALSE),"")</f>
        <v/>
      </c>
      <c r="AJ315" s="93" t="str">
        <f t="shared" si="27"/>
        <v>20-21 Apr</v>
      </c>
      <c r="AK315" s="94">
        <f>IFERROR($M315+VLOOKUP($L315,'Voyage days'!$F$94:$H$193,3,FALSE),"")</f>
        <v>46132</v>
      </c>
      <c r="AL315" s="94">
        <f>IFERROR($N315+VLOOKUP($L315,'Voyage days'!$F$94:$H$193,3,FALSE),"")</f>
        <v>46133</v>
      </c>
      <c r="AM315" s="93" t="str">
        <f t="shared" si="28"/>
        <v>20-21 Apr</v>
      </c>
      <c r="AN315" s="94">
        <f>IFERROR($M315+VLOOKUP($L315,'Voyage days'!$F$203:$H$256,3,FALSE),"")</f>
        <v>46132</v>
      </c>
      <c r="AO315" s="94">
        <f>IFERROR($N315+VLOOKUP($L315,'Voyage days'!$F$203:$H$256,3,FALSE),"")</f>
        <v>46133</v>
      </c>
      <c r="AP315" s="93" t="str">
        <f t="shared" si="29"/>
        <v/>
      </c>
      <c r="AQ315" s="94" t="str">
        <f>IFERROR($M315+VLOOKUP($L315,'Voyage days'!$F$294:$H$377,3,FALSE),"")</f>
        <v/>
      </c>
      <c r="AR315" s="94" t="str">
        <f>IFERROR($N315+VLOOKUP($L315,'Voyage days'!$F$294:$H$377,3,FALSE),"")</f>
        <v/>
      </c>
      <c r="AS315" s="93" t="str">
        <f t="shared" si="30"/>
        <v>10-11 May</v>
      </c>
      <c r="AT315" s="94">
        <f>IFERROR($M315+VLOOKUP($L315,'Voyage days'!$F$382:$H$446,3,FALSE),"")</f>
        <v>46152</v>
      </c>
      <c r="AU315" s="94">
        <f>IFERROR($N315+VLOOKUP($L315,'Voyage days'!$F$382:$H$446,3,FALSE),"")</f>
        <v>46153</v>
      </c>
      <c r="AV315" s="93" t="str">
        <f t="shared" si="31"/>
        <v/>
      </c>
      <c r="AW315" s="94" t="str">
        <f>IFERROR($M315+VLOOKUP($L315,'Voyage days'!$F$483:$H$538,3,FALSE),"")</f>
        <v/>
      </c>
      <c r="AX315" s="94" t="str">
        <f>IFERROR($N315+VLOOKUP($L315,'Voyage days'!$F$483:$H$538,3,FALSE),"")</f>
        <v/>
      </c>
      <c r="AY315" s="93" t="str">
        <f t="shared" si="32"/>
        <v/>
      </c>
      <c r="AZ315" s="94" t="str">
        <f>IFERROR($M315+VLOOKUP($L315,'Voyage days'!$F$540:$H$613,3,FALSE),"")</f>
        <v/>
      </c>
      <c r="BA315" s="94" t="str">
        <f>IFERROR($N315+VLOOKUP($L315,'Voyage days'!$F$540:$H$613,3,FALSE),"")</f>
        <v/>
      </c>
      <c r="BB315" s="93" t="str">
        <f t="shared" si="33"/>
        <v/>
      </c>
      <c r="BC315" s="94" t="str">
        <f>IFERROR($M315+VLOOKUP($L315,'Voyage days'!$F$448:$H$479,3,FALSE),"")</f>
        <v/>
      </c>
      <c r="BD315" s="94" t="str">
        <f>IFERROR($N315+VLOOKUP($L315,'Voyage days'!$F$448:$H$479,3,FALSE),"")</f>
        <v/>
      </c>
      <c r="BE315" s="93" t="str">
        <f t="shared" si="34"/>
        <v/>
      </c>
      <c r="BF315" s="95" t="str">
        <f>IFERROR($M315+VLOOKUP($L315,'Voyage days'!$F$620:$H$646,3,FALSE),"")</f>
        <v/>
      </c>
      <c r="BG315" s="95" t="str">
        <f>IFERROR($N315+VLOOKUP($L315,'Voyage days'!$F$620:$H$646,3,FALSE),"")</f>
        <v/>
      </c>
      <c r="BH315" s="93" t="str">
        <f t="shared" si="35"/>
        <v/>
      </c>
      <c r="BI315" s="96" t="str">
        <f>IFERROR($M315+VLOOKUP($L315,'Voyage days'!$F$702:$H$727,3,FALSE),"")</f>
        <v/>
      </c>
      <c r="BJ315" s="93" t="str">
        <f t="shared" si="36"/>
        <v/>
      </c>
      <c r="BK315" s="95" t="str">
        <f>IFERROR($M315+VLOOKUP($L315,'Voyage days'!$F$807:$H$878,3,FALSE),"")</f>
        <v/>
      </c>
      <c r="BL315" s="95" t="str">
        <f>IFERROR($N315+VLOOKUP($L315,'Voyage days'!$F$807:$H$878,3,FALSE),"")</f>
        <v/>
      </c>
      <c r="BM315" s="95" t="str">
        <f>IFERROR($N315+VLOOKUP($L315,'Voyage days'!$F$807:$K$878,6,FALSE),"")</f>
        <v/>
      </c>
      <c r="BN315" s="94" t="str">
        <f>IF(L315="loads AG", IFERROR($M315+VLOOKUP($L315,'Voyage days'!$M$38:$O$38,3,FALSE),""),"")</f>
        <v/>
      </c>
      <c r="BO315" s="94">
        <f>IF(L315="loads USG", IFERROR($M315+VLOOKUP($L315,'Voyage days'!$L$203:$N$203,3,FALSE),""),"")</f>
        <v>46164</v>
      </c>
    </row>
    <row r="316" spans="1:67" ht="15.75" customHeight="1" x14ac:dyDescent="0.25">
      <c r="A316" s="74" t="s">
        <v>195</v>
      </c>
      <c r="B316" s="75">
        <v>42179</v>
      </c>
      <c r="C316" s="76">
        <v>84000</v>
      </c>
      <c r="D316" s="77" t="s">
        <v>651</v>
      </c>
      <c r="E316" s="77"/>
      <c r="F316" s="78"/>
      <c r="G316" s="78"/>
      <c r="H316" s="78" t="s">
        <v>739</v>
      </c>
      <c r="I316" s="233" t="s">
        <v>1462</v>
      </c>
      <c r="J316" s="80" t="str">
        <f t="shared" si="61"/>
        <v/>
      </c>
      <c r="K316" s="81"/>
      <c r="L316" s="159" t="s">
        <v>718</v>
      </c>
      <c r="M316" s="83">
        <v>46152</v>
      </c>
      <c r="N316" s="83">
        <v>46153</v>
      </c>
      <c r="O316" s="305"/>
      <c r="P316" s="82" t="s">
        <v>1207</v>
      </c>
      <c r="Q316" s="85"/>
      <c r="R316" s="85" t="s">
        <v>1010</v>
      </c>
      <c r="S316" s="107" t="s">
        <v>33</v>
      </c>
      <c r="T316" s="108">
        <v>46132</v>
      </c>
      <c r="U316" s="87" t="str">
        <f>IF(V316="","No AIS",VLOOKUP(V316,'Voyage days'!$A$3:$B$1480,2,FALSE))</f>
        <v>Panama</v>
      </c>
      <c r="V316" s="88" t="str">
        <f>IF(VLOOKUP(A316,'1) Kpler'!$E$2:$P$1000,8, FALSE)="","",VLOOKUP(A316,'1) Kpler'!$E$2:$P$1000,8, FALSE))</f>
        <v>Panama Canal</v>
      </c>
      <c r="W316" s="89">
        <f>IF(VLOOKUP(A316,'1) Kpler'!$E$2:$P$1000,9,FALSE)="","",VLOOKUP(A316,'1) Kpler'!$E$2:$P$1000,9,FALSE))</f>
        <v>46138.833333333336</v>
      </c>
      <c r="X316" s="88" t="str">
        <f>VLOOKUP(A316,'1) Kpler'!$E$2:$I$1000,4,FALSE)</f>
        <v>ballast</v>
      </c>
      <c r="Y316" s="234" t="str">
        <f t="shared" si="49"/>
        <v/>
      </c>
      <c r="Z316" s="234" t="str">
        <f t="shared" si="50"/>
        <v>10-11 May</v>
      </c>
      <c r="AA316" s="234" t="str">
        <f t="shared" si="51"/>
        <v>10-11 May</v>
      </c>
      <c r="AB316" s="234" t="str">
        <f t="shared" si="52"/>
        <v/>
      </c>
      <c r="AC316" s="234" t="str">
        <f t="shared" si="53"/>
        <v>30-31 May</v>
      </c>
      <c r="AD316" s="234" t="str">
        <f t="shared" si="54"/>
        <v/>
      </c>
      <c r="AE316" s="235" t="str">
        <f t="shared" si="55"/>
        <v/>
      </c>
      <c r="AF316" s="92" t="str">
        <f t="shared" si="56"/>
        <v/>
      </c>
      <c r="AG316" s="93" t="str">
        <f t="shared" si="57"/>
        <v/>
      </c>
      <c r="AH316" s="94" t="str">
        <f>IFERROR($M316+VLOOKUP($L316,'Voyage days'!$F$38:$H$89,3,FALSE),"")</f>
        <v/>
      </c>
      <c r="AI316" s="94" t="str">
        <f>IFERROR(N316+VLOOKUP($L316,'Voyage days'!$F$38:$H$89,3,FALSE),"")</f>
        <v/>
      </c>
      <c r="AJ316" s="93" t="str">
        <f t="shared" si="27"/>
        <v>10-11 May</v>
      </c>
      <c r="AK316" s="94">
        <f>IFERROR($M316+VLOOKUP($L316,'Voyage days'!$F$94:$H$193,3,FALSE),"")</f>
        <v>46152</v>
      </c>
      <c r="AL316" s="94">
        <f>IFERROR($N316+VLOOKUP($L316,'Voyage days'!$F$94:$H$193,3,FALSE),"")</f>
        <v>46153</v>
      </c>
      <c r="AM316" s="93" t="str">
        <f t="shared" si="28"/>
        <v>10-11 May</v>
      </c>
      <c r="AN316" s="94">
        <f>IFERROR($M316+VLOOKUP($L316,'Voyage days'!$F$203:$H$256,3,FALSE),"")</f>
        <v>46152</v>
      </c>
      <c r="AO316" s="94">
        <f>IFERROR($N316+VLOOKUP($L316,'Voyage days'!$F$203:$H$256,3,FALSE),"")</f>
        <v>46153</v>
      </c>
      <c r="AP316" s="93" t="str">
        <f t="shared" si="29"/>
        <v/>
      </c>
      <c r="AQ316" s="94" t="str">
        <f>IFERROR($M316+VLOOKUP($L316,'Voyage days'!$F$294:$H$377,3,FALSE),"")</f>
        <v/>
      </c>
      <c r="AR316" s="94" t="str">
        <f>IFERROR($N316+VLOOKUP($L316,'Voyage days'!$F$294:$H$377,3,FALSE),"")</f>
        <v/>
      </c>
      <c r="AS316" s="93" t="str">
        <f t="shared" si="30"/>
        <v>30-31 May</v>
      </c>
      <c r="AT316" s="94">
        <f>IFERROR($M316+VLOOKUP($L316,'Voyage days'!$F$382:$H$446,3,FALSE),"")</f>
        <v>46172</v>
      </c>
      <c r="AU316" s="94">
        <f>IFERROR($N316+VLOOKUP($L316,'Voyage days'!$F$382:$H$446,3,FALSE),"")</f>
        <v>46173</v>
      </c>
      <c r="AV316" s="93" t="str">
        <f t="shared" si="31"/>
        <v/>
      </c>
      <c r="AW316" s="94" t="str">
        <f>IFERROR($M316+VLOOKUP($L316,'Voyage days'!$F$483:$H$538,3,FALSE),"")</f>
        <v/>
      </c>
      <c r="AX316" s="94" t="str">
        <f>IFERROR($N316+VLOOKUP($L316,'Voyage days'!$F$483:$H$538,3,FALSE),"")</f>
        <v/>
      </c>
      <c r="AY316" s="93" t="str">
        <f t="shared" si="32"/>
        <v/>
      </c>
      <c r="AZ316" s="94" t="str">
        <f>IFERROR($M316+VLOOKUP($L316,'Voyage days'!$F$540:$H$613,3,FALSE),"")</f>
        <v/>
      </c>
      <c r="BA316" s="94" t="str">
        <f>IFERROR($N316+VLOOKUP($L316,'Voyage days'!$F$540:$H$613,3,FALSE),"")</f>
        <v/>
      </c>
      <c r="BB316" s="93" t="str">
        <f t="shared" si="33"/>
        <v/>
      </c>
      <c r="BC316" s="94" t="str">
        <f>IFERROR($M316+VLOOKUP($L316,'Voyage days'!$F$448:$H$479,3,FALSE),"")</f>
        <v/>
      </c>
      <c r="BD316" s="94" t="str">
        <f>IFERROR($N316+VLOOKUP($L316,'Voyage days'!$F$448:$H$479,3,FALSE),"")</f>
        <v/>
      </c>
      <c r="BE316" s="93" t="str">
        <f t="shared" si="34"/>
        <v/>
      </c>
      <c r="BF316" s="95" t="str">
        <f>IFERROR($M316+VLOOKUP($L316,'Voyage days'!$F$620:$H$646,3,FALSE),"")</f>
        <v/>
      </c>
      <c r="BG316" s="95" t="str">
        <f>IFERROR($N316+VLOOKUP($L316,'Voyage days'!$F$620:$H$646,3,FALSE),"")</f>
        <v/>
      </c>
      <c r="BH316" s="93" t="str">
        <f t="shared" si="35"/>
        <v/>
      </c>
      <c r="BI316" s="96" t="str">
        <f>IFERROR($M316+VLOOKUP($L316,'Voyage days'!$F$702:$H$727,3,FALSE),"")</f>
        <v/>
      </c>
      <c r="BJ316" s="93" t="str">
        <f t="shared" si="36"/>
        <v/>
      </c>
      <c r="BK316" s="95" t="str">
        <f>IFERROR($M316+VLOOKUP($L316,'Voyage days'!$F$807:$H$878,3,FALSE),"")</f>
        <v/>
      </c>
      <c r="BL316" s="95" t="str">
        <f>IFERROR($N316+VLOOKUP($L316,'Voyage days'!$F$807:$H$878,3,FALSE),"")</f>
        <v/>
      </c>
      <c r="BM316" s="95" t="str">
        <f>IFERROR($N316+VLOOKUP($L316,'Voyage days'!$F$807:$K$878,6,FALSE),"")</f>
        <v/>
      </c>
      <c r="BN316" s="94" t="str">
        <f>IF(L316="loads AG", IFERROR($M316+VLOOKUP($L316,'Voyage days'!$M$38:$O$38,3,FALSE),""),"")</f>
        <v/>
      </c>
      <c r="BO316" s="94">
        <f>IF(L316="loads USG", IFERROR($M316+VLOOKUP($L316,'Voyage days'!$L$203:$N$203,3,FALSE),""),"")</f>
        <v>46184</v>
      </c>
    </row>
    <row r="317" spans="1:67" ht="15.75" customHeight="1" x14ac:dyDescent="0.25">
      <c r="A317" s="74" t="s">
        <v>198</v>
      </c>
      <c r="B317" s="75">
        <v>42234</v>
      </c>
      <c r="C317" s="76">
        <v>84000</v>
      </c>
      <c r="D317" s="77" t="s">
        <v>651</v>
      </c>
      <c r="E317" s="77"/>
      <c r="F317" s="78"/>
      <c r="G317" s="78"/>
      <c r="H317" s="78" t="s">
        <v>739</v>
      </c>
      <c r="I317" s="233" t="s">
        <v>1462</v>
      </c>
      <c r="J317" s="80" t="str">
        <f t="shared" si="61"/>
        <v/>
      </c>
      <c r="K317" s="81"/>
      <c r="L317" s="82" t="s">
        <v>718</v>
      </c>
      <c r="M317" s="83">
        <v>46140</v>
      </c>
      <c r="N317" s="83">
        <v>46141</v>
      </c>
      <c r="O317" s="84"/>
      <c r="P317" s="167" t="s">
        <v>1493</v>
      </c>
      <c r="Q317" s="82"/>
      <c r="R317" s="82" t="s">
        <v>1494</v>
      </c>
      <c r="S317" s="107" t="s">
        <v>33</v>
      </c>
      <c r="T317" s="108">
        <v>46132</v>
      </c>
      <c r="U317" s="87" t="str">
        <f>IF(V317="","No AIS",VLOOKUP(V317,'Voyage days'!$A$3:$B$1480,2,FALSE))</f>
        <v>USG</v>
      </c>
      <c r="V317" s="88" t="str">
        <f>IF(VLOOKUP(A317,'1) Kpler'!$E$2:$P$1000,8, FALSE)="","",VLOOKUP(A317,'1) Kpler'!$E$2:$P$1000,8, FALSE))</f>
        <v>Houston</v>
      </c>
      <c r="W317" s="89">
        <f>IF(VLOOKUP(A317,'1) Kpler'!$E$2:$P$1000,9,FALSE)="","",VLOOKUP(A317,'1) Kpler'!$E$2:$P$1000,9,FALSE))</f>
        <v>46140.708333333336</v>
      </c>
      <c r="X317" s="88" t="str">
        <f>VLOOKUP(A317,'1) Kpler'!$E$2:$I$1000,4,FALSE)</f>
        <v>ballast</v>
      </c>
      <c r="Y317" s="63" t="str">
        <f t="shared" si="49"/>
        <v/>
      </c>
      <c r="Z317" s="63" t="str">
        <f t="shared" si="50"/>
        <v>28-29 Apr</v>
      </c>
      <c r="AA317" s="63" t="str">
        <f t="shared" si="51"/>
        <v>28-29 Apr</v>
      </c>
      <c r="AB317" s="63" t="str">
        <f t="shared" si="52"/>
        <v/>
      </c>
      <c r="AC317" s="63" t="str">
        <f t="shared" si="53"/>
        <v>18-19 May</v>
      </c>
      <c r="AD317" s="63" t="str">
        <f t="shared" si="54"/>
        <v/>
      </c>
      <c r="AE317" s="129" t="str">
        <f t="shared" si="55"/>
        <v/>
      </c>
      <c r="AF317" s="130" t="str">
        <f t="shared" si="56"/>
        <v/>
      </c>
      <c r="AG317" s="93" t="str">
        <f t="shared" si="57"/>
        <v/>
      </c>
      <c r="AH317" s="94" t="str">
        <f>IFERROR($M317+VLOOKUP($L317,'Voyage days'!$F$38:$H$89,3,FALSE),"")</f>
        <v/>
      </c>
      <c r="AI317" s="94" t="str">
        <f>IFERROR(N317+VLOOKUP($L317,'Voyage days'!$F$38:$H$89,3,FALSE),"")</f>
        <v/>
      </c>
      <c r="AJ317" s="93" t="str">
        <f t="shared" si="27"/>
        <v>28-29 Apr</v>
      </c>
      <c r="AK317" s="94">
        <f>IFERROR($M317+VLOOKUP($L317,'Voyage days'!$F$94:$H$193,3,FALSE),"")</f>
        <v>46140</v>
      </c>
      <c r="AL317" s="94">
        <f>IFERROR($N317+VLOOKUP($L317,'Voyage days'!$F$94:$H$193,3,FALSE),"")</f>
        <v>46141</v>
      </c>
      <c r="AM317" s="93" t="str">
        <f t="shared" si="28"/>
        <v>28-29 Apr</v>
      </c>
      <c r="AN317" s="94">
        <f>IFERROR($M317+VLOOKUP($L317,'Voyage days'!$F$203:$H$256,3,FALSE),"")</f>
        <v>46140</v>
      </c>
      <c r="AO317" s="94">
        <f>IFERROR($N317+VLOOKUP($L317,'Voyage days'!$F$203:$H$256,3,FALSE),"")</f>
        <v>46141</v>
      </c>
      <c r="AP317" s="93" t="str">
        <f t="shared" si="29"/>
        <v/>
      </c>
      <c r="AQ317" s="94" t="str">
        <f>IFERROR($M317+VLOOKUP($L317,'Voyage days'!$F$294:$H$377,3,FALSE),"")</f>
        <v/>
      </c>
      <c r="AR317" s="94" t="str">
        <f>IFERROR($N317+VLOOKUP($L317,'Voyage days'!$F$294:$H$377,3,FALSE),"")</f>
        <v/>
      </c>
      <c r="AS317" s="93" t="str">
        <f t="shared" si="30"/>
        <v>18-19 May</v>
      </c>
      <c r="AT317" s="94">
        <f>IFERROR($M317+VLOOKUP($L317,'Voyage days'!$F$382:$H$446,3,FALSE),"")</f>
        <v>46160</v>
      </c>
      <c r="AU317" s="94">
        <f>IFERROR($N317+VLOOKUP($L317,'Voyage days'!$F$382:$H$446,3,FALSE),"")</f>
        <v>46161</v>
      </c>
      <c r="AV317" s="93" t="str">
        <f t="shared" si="31"/>
        <v/>
      </c>
      <c r="AW317" s="94" t="str">
        <f>IFERROR($M317+VLOOKUP($L317,'Voyage days'!$F$483:$H$538,3,FALSE),"")</f>
        <v/>
      </c>
      <c r="AX317" s="94" t="str">
        <f>IFERROR($N317+VLOOKUP($L317,'Voyage days'!$F$483:$H$538,3,FALSE),"")</f>
        <v/>
      </c>
      <c r="AY317" s="93" t="str">
        <f t="shared" si="32"/>
        <v/>
      </c>
      <c r="AZ317" s="94" t="str">
        <f>IFERROR($M317+VLOOKUP($L317,'Voyage days'!$F$540:$H$613,3,FALSE),"")</f>
        <v/>
      </c>
      <c r="BA317" s="94" t="str">
        <f>IFERROR($N317+VLOOKUP($L317,'Voyage days'!$F$540:$H$613,3,FALSE),"")</f>
        <v/>
      </c>
      <c r="BB317" s="93" t="str">
        <f t="shared" si="33"/>
        <v/>
      </c>
      <c r="BC317" s="94" t="str">
        <f>IFERROR($M317+VLOOKUP($L317,'Voyage days'!$F$448:$H$479,3,FALSE),"")</f>
        <v/>
      </c>
      <c r="BD317" s="94" t="str">
        <f>IFERROR($N317+VLOOKUP($L317,'Voyage days'!$F$448:$H$479,3,FALSE),"")</f>
        <v/>
      </c>
      <c r="BE317" s="93" t="str">
        <f t="shared" si="34"/>
        <v/>
      </c>
      <c r="BF317" s="95" t="str">
        <f>IFERROR($M317+VLOOKUP($L317,'Voyage days'!$F$620:$H$646,3,FALSE),"")</f>
        <v/>
      </c>
      <c r="BG317" s="95" t="str">
        <f>IFERROR($N317+VLOOKUP($L317,'Voyage days'!$F$620:$H$646,3,FALSE),"")</f>
        <v/>
      </c>
      <c r="BH317" s="93" t="str">
        <f t="shared" si="35"/>
        <v/>
      </c>
      <c r="BI317" s="96" t="str">
        <f>IFERROR($M317+VLOOKUP($L317,'Voyage days'!$F$702:$H$727,3,FALSE),"")</f>
        <v/>
      </c>
      <c r="BJ317" s="93" t="str">
        <f t="shared" si="36"/>
        <v/>
      </c>
      <c r="BK317" s="95" t="str">
        <f>IFERROR($M317+VLOOKUP($L317,'Voyage days'!$F$807:$H$878,3,FALSE),"")</f>
        <v/>
      </c>
      <c r="BL317" s="95" t="str">
        <f>IFERROR($N317+VLOOKUP($L317,'Voyage days'!$F$807:$H$878,3,FALSE),"")</f>
        <v/>
      </c>
      <c r="BM317" s="95" t="str">
        <f>IFERROR($N317+VLOOKUP($L317,'Voyage days'!$F$807:$K$878,6,FALSE),"")</f>
        <v/>
      </c>
      <c r="BN317" s="94" t="str">
        <f>IF(L317="loads AG", IFERROR($M317+VLOOKUP($L317,'Voyage days'!$M$38:$O$38,3,FALSE),""),"")</f>
        <v/>
      </c>
      <c r="BO317" s="94">
        <f>IF(L317="loads USG", IFERROR($M317+VLOOKUP($L317,'Voyage days'!$L$203:$N$203,3,FALSE),""),"")</f>
        <v>46172</v>
      </c>
    </row>
    <row r="318" spans="1:67" ht="15.75" customHeight="1" x14ac:dyDescent="0.25">
      <c r="A318" s="356" t="s">
        <v>202</v>
      </c>
      <c r="B318" s="75">
        <v>41908</v>
      </c>
      <c r="C318" s="76">
        <v>84000</v>
      </c>
      <c r="D318" s="77" t="s">
        <v>651</v>
      </c>
      <c r="E318" s="77"/>
      <c r="F318" s="78"/>
      <c r="G318" s="78"/>
      <c r="H318" s="78" t="s">
        <v>739</v>
      </c>
      <c r="I318" s="233" t="s">
        <v>1462</v>
      </c>
      <c r="J318" s="80" t="str">
        <f t="shared" si="61"/>
        <v/>
      </c>
      <c r="K318" s="81"/>
      <c r="L318" s="85" t="s">
        <v>718</v>
      </c>
      <c r="M318" s="125">
        <v>46162</v>
      </c>
      <c r="N318" s="125">
        <v>46163</v>
      </c>
      <c r="O318" s="84"/>
      <c r="P318" s="82" t="s">
        <v>1495</v>
      </c>
      <c r="Q318" s="82"/>
      <c r="R318" s="82" t="s">
        <v>1496</v>
      </c>
      <c r="S318" s="107" t="s">
        <v>33</v>
      </c>
      <c r="T318" s="108">
        <v>46132</v>
      </c>
      <c r="U318" s="87" t="str">
        <f>IF(V318="","No AIS",VLOOKUP(V318,'Voyage days'!$A$3:$B$1480,2,FALSE))</f>
        <v>Panama</v>
      </c>
      <c r="V318" s="88" t="str">
        <f>IF(VLOOKUP(A318,'1) Kpler'!$E$2:$P$1000,8, FALSE)="","",VLOOKUP(A318,'1) Kpler'!$E$2:$P$1000,8, FALSE))</f>
        <v>Panama Canal</v>
      </c>
      <c r="W318" s="89">
        <f>IF(VLOOKUP(A318,'1) Kpler'!$E$2:$P$1000,9,FALSE)="","",VLOOKUP(A318,'1) Kpler'!$E$2:$P$1000,9,FALSE))</f>
        <v>46140.208333333336</v>
      </c>
      <c r="X318" s="88" t="str">
        <f>VLOOKUP(A318,'1) Kpler'!$E$2:$I$1000,4,FALSE)</f>
        <v>ballast</v>
      </c>
      <c r="Y318" s="63" t="str">
        <f t="shared" si="49"/>
        <v/>
      </c>
      <c r="Z318" s="63" t="str">
        <f t="shared" si="50"/>
        <v>20-21 May</v>
      </c>
      <c r="AA318" s="63" t="str">
        <f t="shared" si="51"/>
        <v>20-21 May</v>
      </c>
      <c r="AB318" s="63" t="str">
        <f t="shared" si="52"/>
        <v/>
      </c>
      <c r="AC318" s="63" t="str">
        <f t="shared" si="53"/>
        <v>09-10 Jun</v>
      </c>
      <c r="AD318" s="63" t="str">
        <f t="shared" si="54"/>
        <v/>
      </c>
      <c r="AE318" s="129" t="str">
        <f t="shared" si="55"/>
        <v/>
      </c>
      <c r="AF318" s="130" t="str">
        <f t="shared" si="56"/>
        <v/>
      </c>
      <c r="AG318" s="93" t="str">
        <f t="shared" si="57"/>
        <v/>
      </c>
      <c r="AH318" s="94" t="str">
        <f>IFERROR($M318+VLOOKUP($L318,'Voyage days'!$F$38:$H$89,3,FALSE),"")</f>
        <v/>
      </c>
      <c r="AI318" s="94" t="str">
        <f>IFERROR(N318+VLOOKUP($L318,'Voyage days'!$F$38:$H$89,3,FALSE),"")</f>
        <v/>
      </c>
      <c r="AJ318" s="93" t="str">
        <f t="shared" si="27"/>
        <v>20-21 May</v>
      </c>
      <c r="AK318" s="94">
        <f>IFERROR($M318+VLOOKUP($L318,'Voyage days'!$F$94:$H$193,3,FALSE),"")</f>
        <v>46162</v>
      </c>
      <c r="AL318" s="94">
        <f>IFERROR($N318+VLOOKUP($L318,'Voyage days'!$F$94:$H$193,3,FALSE),"")</f>
        <v>46163</v>
      </c>
      <c r="AM318" s="93" t="str">
        <f t="shared" si="28"/>
        <v>20-21 May</v>
      </c>
      <c r="AN318" s="94">
        <f>IFERROR($M318+VLOOKUP($L318,'Voyage days'!$F$203:$H$256,3,FALSE),"")</f>
        <v>46162</v>
      </c>
      <c r="AO318" s="94">
        <f>IFERROR($N318+VLOOKUP($L318,'Voyage days'!$F$203:$H$256,3,FALSE),"")</f>
        <v>46163</v>
      </c>
      <c r="AP318" s="93" t="str">
        <f t="shared" si="29"/>
        <v/>
      </c>
      <c r="AQ318" s="94" t="str">
        <f>IFERROR($M318+VLOOKUP($L318,'Voyage days'!$F$294:$H$377,3,FALSE),"")</f>
        <v/>
      </c>
      <c r="AR318" s="94" t="str">
        <f>IFERROR($N318+VLOOKUP($L318,'Voyage days'!$F$294:$H$377,3,FALSE),"")</f>
        <v/>
      </c>
      <c r="AS318" s="93" t="str">
        <f t="shared" si="30"/>
        <v>09-10 Jun</v>
      </c>
      <c r="AT318" s="94">
        <f>IFERROR($M318+VLOOKUP($L318,'Voyage days'!$F$382:$H$446,3,FALSE),"")</f>
        <v>46182</v>
      </c>
      <c r="AU318" s="94">
        <f>IFERROR($N318+VLOOKUP($L318,'Voyage days'!$F$382:$H$446,3,FALSE),"")</f>
        <v>46183</v>
      </c>
      <c r="AV318" s="93" t="str">
        <f t="shared" si="31"/>
        <v/>
      </c>
      <c r="AW318" s="94" t="str">
        <f>IFERROR($M318+VLOOKUP($L318,'Voyage days'!$F$483:$H$538,3,FALSE),"")</f>
        <v/>
      </c>
      <c r="AX318" s="94" t="str">
        <f>IFERROR($N318+VLOOKUP($L318,'Voyage days'!$F$483:$H$538,3,FALSE),"")</f>
        <v/>
      </c>
      <c r="AY318" s="93" t="str">
        <f t="shared" si="32"/>
        <v/>
      </c>
      <c r="AZ318" s="94" t="str">
        <f>IFERROR($M318+VLOOKUP($L318,'Voyage days'!$F$540:$H$613,3,FALSE),"")</f>
        <v/>
      </c>
      <c r="BA318" s="94" t="str">
        <f>IFERROR($N318+VLOOKUP($L318,'Voyage days'!$F$540:$H$613,3,FALSE),"")</f>
        <v/>
      </c>
      <c r="BB318" s="93" t="str">
        <f t="shared" si="33"/>
        <v/>
      </c>
      <c r="BC318" s="94" t="str">
        <f>IFERROR($M318+VLOOKUP($L318,'Voyage days'!$F$448:$H$479,3,FALSE),"")</f>
        <v/>
      </c>
      <c r="BD318" s="94" t="str">
        <f>IFERROR($N318+VLOOKUP($L318,'Voyage days'!$F$448:$H$479,3,FALSE),"")</f>
        <v/>
      </c>
      <c r="BE318" s="93" t="str">
        <f t="shared" si="34"/>
        <v/>
      </c>
      <c r="BF318" s="95" t="str">
        <f>IFERROR($M318+VLOOKUP($L318,'Voyage days'!$F$620:$H$646,3,FALSE),"")</f>
        <v/>
      </c>
      <c r="BG318" s="95" t="str">
        <f>IFERROR($N318+VLOOKUP($L318,'Voyage days'!$F$620:$H$646,3,FALSE),"")</f>
        <v/>
      </c>
      <c r="BH318" s="93" t="str">
        <f t="shared" si="35"/>
        <v/>
      </c>
      <c r="BI318" s="96" t="str">
        <f>IFERROR($M318+VLOOKUP($L318,'Voyage days'!$F$702:$H$727,3,FALSE),"")</f>
        <v/>
      </c>
      <c r="BJ318" s="93" t="str">
        <f t="shared" si="36"/>
        <v/>
      </c>
      <c r="BK318" s="95" t="str">
        <f>IFERROR($M318+VLOOKUP($L318,'Voyage days'!$F$807:$H$878,3,FALSE),"")</f>
        <v/>
      </c>
      <c r="BL318" s="95" t="str">
        <f>IFERROR($N318+VLOOKUP($L318,'Voyage days'!$F$807:$H$878,3,FALSE),"")</f>
        <v/>
      </c>
      <c r="BM318" s="95" t="str">
        <f>IFERROR($N318+VLOOKUP($L318,'Voyage days'!$F$807:$K$878,6,FALSE),"")</f>
        <v/>
      </c>
      <c r="BN318" s="94" t="str">
        <f>IF(L318="loads AG", IFERROR($M318+VLOOKUP($L318,'Voyage days'!$M$38:$O$38,3,FALSE),""),"")</f>
        <v/>
      </c>
      <c r="BO318" s="94">
        <f>IF(L318="loads USG", IFERROR($M318+VLOOKUP($L318,'Voyage days'!$L$203:$N$203,3,FALSE),""),"")</f>
        <v>46194</v>
      </c>
    </row>
    <row r="319" spans="1:67" ht="15.75" customHeight="1" x14ac:dyDescent="0.25">
      <c r="A319" s="356" t="s">
        <v>203</v>
      </c>
      <c r="B319" s="75">
        <v>42006</v>
      </c>
      <c r="C319" s="76">
        <v>84000</v>
      </c>
      <c r="D319" s="77" t="s">
        <v>651</v>
      </c>
      <c r="E319" s="77"/>
      <c r="F319" s="78"/>
      <c r="G319" s="78"/>
      <c r="H319" s="78" t="s">
        <v>739</v>
      </c>
      <c r="I319" s="233" t="s">
        <v>1462</v>
      </c>
      <c r="J319" s="80" t="str">
        <f t="shared" si="61"/>
        <v/>
      </c>
      <c r="K319" s="81" t="s">
        <v>817</v>
      </c>
      <c r="L319" s="82" t="s">
        <v>710</v>
      </c>
      <c r="M319" s="83">
        <v>46164</v>
      </c>
      <c r="N319" s="83">
        <v>46166</v>
      </c>
      <c r="O319" s="84"/>
      <c r="P319" s="100" t="s">
        <v>1497</v>
      </c>
      <c r="Q319" s="264"/>
      <c r="R319" s="82" t="s">
        <v>1498</v>
      </c>
      <c r="S319" s="107" t="s">
        <v>33</v>
      </c>
      <c r="T319" s="108">
        <v>46132</v>
      </c>
      <c r="U319" s="87" t="str">
        <f>IF(V319="","No AIS",VLOOKUP(V319,'Voyage days'!$A$3:$B$1480,2,FALSE))</f>
        <v>Panama</v>
      </c>
      <c r="V319" s="88" t="str">
        <f>IF(VLOOKUP(A320,'1) Kpler'!$E$2:$P$1000,8, FALSE)="","",VLOOKUP(A320,'1) Kpler'!$E$2:$P$1000,8, FALSE))</f>
        <v>Panama Canal</v>
      </c>
      <c r="W319" s="89">
        <f>IF(VLOOKUP(A319,'1) Kpler'!$E$2:$P$1000,9,FALSE)="","",VLOOKUP(A319,'1) Kpler'!$E$2:$P$1000,9,FALSE))</f>
        <v>46160.25</v>
      </c>
      <c r="X319" s="88" t="str">
        <f>VLOOKUP(A319,'1) Kpler'!$E$2:$I$1000,4,FALSE)</f>
        <v>loaded</v>
      </c>
      <c r="Y319" s="234" t="str">
        <f t="shared" si="49"/>
        <v>08-10 Jun</v>
      </c>
      <c r="Z319" s="234" t="str">
        <f t="shared" si="50"/>
        <v>23-25 Jun</v>
      </c>
      <c r="AA319" s="234" t="str">
        <f t="shared" si="51"/>
        <v>05-07 Jul</v>
      </c>
      <c r="AB319" s="234" t="str">
        <f t="shared" si="52"/>
        <v>19-21 Jun</v>
      </c>
      <c r="AC319" s="234" t="str">
        <f t="shared" si="53"/>
        <v>26-28 Jun</v>
      </c>
      <c r="AD319" s="234" t="str">
        <f t="shared" si="54"/>
        <v>28-30 May</v>
      </c>
      <c r="AE319" s="235" t="str">
        <f t="shared" si="55"/>
        <v>29-31 May</v>
      </c>
      <c r="AF319" s="92" t="str">
        <f t="shared" si="56"/>
        <v>05-07 Jul</v>
      </c>
      <c r="AG319" s="93" t="str">
        <f t="shared" si="57"/>
        <v>08-10 Jun</v>
      </c>
      <c r="AH319" s="94">
        <f>IFERROR($M319+VLOOKUP($L319,'Voyage days'!$F$38:$H$89,3,FALSE),"")</f>
        <v>46181</v>
      </c>
      <c r="AI319" s="94">
        <f>IFERROR(N319+VLOOKUP($L319,'Voyage days'!$F$38:$H$89,3,FALSE),"")</f>
        <v>46183</v>
      </c>
      <c r="AJ319" s="93" t="str">
        <f t="shared" si="27"/>
        <v>23-25 Jun</v>
      </c>
      <c r="AK319" s="94">
        <f>IFERROR($M319+VLOOKUP($L319,'Voyage days'!$F$94:$H$193,3,FALSE),"")</f>
        <v>46196</v>
      </c>
      <c r="AL319" s="94">
        <f>IFERROR($N319+VLOOKUP($L319,'Voyage days'!$F$94:$H$193,3,FALSE),"")</f>
        <v>46198</v>
      </c>
      <c r="AM319" s="93" t="str">
        <f t="shared" si="28"/>
        <v>05-07 Jul</v>
      </c>
      <c r="AN319" s="94">
        <f>IFERROR($M319+VLOOKUP($L319,'Voyage days'!$F$203:$H$256,3,FALSE),"")</f>
        <v>46208</v>
      </c>
      <c r="AO319" s="94">
        <f>IFERROR($N319+VLOOKUP($L319,'Voyage days'!$F$203:$H$256,3,FALSE),"")</f>
        <v>46210</v>
      </c>
      <c r="AP319" s="93" t="str">
        <f t="shared" si="29"/>
        <v>19-21 Jun</v>
      </c>
      <c r="AQ319" s="94">
        <f>IFERROR($M319+VLOOKUP($L319,'Voyage days'!$F$294:$H$377,3,FALSE),"")</f>
        <v>46192</v>
      </c>
      <c r="AR319" s="94">
        <f>IFERROR($N319+VLOOKUP($L319,'Voyage days'!$F$294:$H$377,3,FALSE),"")</f>
        <v>46194</v>
      </c>
      <c r="AS319" s="93" t="str">
        <f t="shared" si="30"/>
        <v>26-28 Jun</v>
      </c>
      <c r="AT319" s="94">
        <f>IFERROR($M319+VLOOKUP($L319,'Voyage days'!$F$382:$H$446,3,FALSE),"")</f>
        <v>46199</v>
      </c>
      <c r="AU319" s="94">
        <f>IFERROR($N319+VLOOKUP($L319,'Voyage days'!$F$382:$H$446,3,FALSE),"")</f>
        <v>46201</v>
      </c>
      <c r="AV319" s="93" t="str">
        <f t="shared" si="31"/>
        <v>05-07 Jun</v>
      </c>
      <c r="AW319" s="94">
        <f>IFERROR($M319+VLOOKUP($L319,'Voyage days'!$F$483:$H$538,3,FALSE),"")</f>
        <v>46178</v>
      </c>
      <c r="AX319" s="94">
        <f>IFERROR($N319+VLOOKUP($L319,'Voyage days'!$F$483:$H$538,3,FALSE),"")</f>
        <v>46180</v>
      </c>
      <c r="AY319" s="93" t="str">
        <f t="shared" si="32"/>
        <v>29-31 May</v>
      </c>
      <c r="AZ319" s="94">
        <f>IFERROR($M319+VLOOKUP($L319,'Voyage days'!$F$540:$H$613,3,FALSE),"")</f>
        <v>46171.25</v>
      </c>
      <c r="BA319" s="94">
        <f>IFERROR($N319+VLOOKUP($L319,'Voyage days'!$F$540:$H$613,3,FALSE),"")</f>
        <v>46173.25</v>
      </c>
      <c r="BB319" s="93" t="str">
        <f t="shared" si="33"/>
        <v>28-30 May</v>
      </c>
      <c r="BC319" s="94">
        <f>IFERROR($M319+VLOOKUP($L319,'Voyage days'!$F$448:$H$479,3,FALSE),"")</f>
        <v>46170</v>
      </c>
      <c r="BD319" s="94">
        <f>IFERROR($N319+VLOOKUP($L319,'Voyage days'!$F$448:$H$479,3,FALSE),"")</f>
        <v>46172</v>
      </c>
      <c r="BE319" s="93" t="str">
        <f t="shared" si="34"/>
        <v>04-06 Jun</v>
      </c>
      <c r="BF319" s="95">
        <f>IFERROR($M319+VLOOKUP($L319,'Voyage days'!$F$620:$H$646,3,FALSE),"")</f>
        <v>46177</v>
      </c>
      <c r="BG319" s="95">
        <f>IFERROR($N319+VLOOKUP($L319,'Voyage days'!$F$620:$H$646,3,FALSE),"")</f>
        <v>46179</v>
      </c>
      <c r="BH319" s="93" t="str">
        <f t="shared" si="35"/>
        <v>29-07 Jul</v>
      </c>
      <c r="BI319" s="96">
        <f>IFERROR($M319+VLOOKUP($L319,'Voyage days'!$F$702:$H$727,3,FALSE),"")</f>
        <v>46171.25</v>
      </c>
      <c r="BJ319" s="93" t="str">
        <f t="shared" si="36"/>
        <v>05-07 Jul</v>
      </c>
      <c r="BK319" s="95">
        <f>IFERROR($M319+VLOOKUP($L319,'Voyage days'!$F$807:$H$878,3,FALSE),"")</f>
        <v>46208</v>
      </c>
      <c r="BL319" s="95">
        <f>IFERROR($N319+VLOOKUP($L319,'Voyage days'!$F$807:$H$878,3,FALSE),"")</f>
        <v>46210</v>
      </c>
      <c r="BM319" s="95">
        <f>IFERROR($N319+VLOOKUP($L319,'Voyage days'!$F$807:$K$878,6,FALSE),"")</f>
        <v>46184</v>
      </c>
      <c r="BN319" s="94" t="str">
        <f>IF(L319="loads AG", IFERROR($M319+VLOOKUP($L319,'Voyage days'!$M$38:$O$38,3,FALSE),""),"")</f>
        <v/>
      </c>
      <c r="BO319" s="94" t="str">
        <f>IF(L319="loads USG", IFERROR($M319+VLOOKUP($L319,'Voyage days'!$L$203:$N$203,3,FALSE),""),"")</f>
        <v/>
      </c>
    </row>
    <row r="320" spans="1:67" ht="15.75" customHeight="1" x14ac:dyDescent="0.25">
      <c r="A320" s="53" t="s">
        <v>206</v>
      </c>
      <c r="B320" s="75">
        <v>42171</v>
      </c>
      <c r="C320" s="76">
        <v>84000</v>
      </c>
      <c r="D320" s="77" t="s">
        <v>651</v>
      </c>
      <c r="E320" s="77"/>
      <c r="F320" s="78"/>
      <c r="G320" s="78"/>
      <c r="H320" s="78" t="s">
        <v>739</v>
      </c>
      <c r="I320" s="233" t="s">
        <v>1462</v>
      </c>
      <c r="J320" s="80" t="str">
        <f t="shared" si="61"/>
        <v/>
      </c>
      <c r="K320" s="81"/>
      <c r="L320" s="82" t="s">
        <v>725</v>
      </c>
      <c r="M320" s="83">
        <v>46150</v>
      </c>
      <c r="N320" s="83">
        <v>46151</v>
      </c>
      <c r="O320" s="84" t="s">
        <v>1374</v>
      </c>
      <c r="P320" s="82" t="s">
        <v>1499</v>
      </c>
      <c r="Q320" s="82"/>
      <c r="R320" s="82" t="s">
        <v>1500</v>
      </c>
      <c r="S320" s="107" t="s">
        <v>33</v>
      </c>
      <c r="T320" s="108">
        <v>46132</v>
      </c>
      <c r="U320" s="87" t="str">
        <f>IF(V320="","No AIS",VLOOKUP(V320,'Voyage days'!$A$3:$B$1480,2,FALSE))</f>
        <v>No AIS</v>
      </c>
      <c r="W320" s="89">
        <f>IF(VLOOKUP(A320,'1) Kpler'!$E$2:$P$1000,9,FALSE)="","",VLOOKUP(A320,'1) Kpler'!$E$2:$P$1000,9,FALSE))</f>
        <v>46150.625</v>
      </c>
      <c r="X320" s="88" t="str">
        <f>VLOOKUP(A320,'1) Kpler'!$E$2:$I$1000,4,FALSE)</f>
        <v>ballast</v>
      </c>
      <c r="Y320" s="63" t="str">
        <f t="shared" si="49"/>
        <v/>
      </c>
      <c r="Z320" s="63" t="str">
        <f t="shared" si="50"/>
        <v>18-19 May</v>
      </c>
      <c r="AA320" s="63" t="str">
        <f t="shared" si="51"/>
        <v/>
      </c>
      <c r="AB320" s="63" t="str">
        <f t="shared" si="52"/>
        <v/>
      </c>
      <c r="AC320" s="63" t="str">
        <f t="shared" si="53"/>
        <v/>
      </c>
      <c r="AD320" s="63" t="str">
        <f t="shared" si="54"/>
        <v/>
      </c>
      <c r="AE320" s="129" t="str">
        <f t="shared" si="55"/>
        <v/>
      </c>
      <c r="AF320" s="130" t="str">
        <f t="shared" si="56"/>
        <v/>
      </c>
      <c r="AG320" s="93" t="str">
        <f t="shared" si="57"/>
        <v/>
      </c>
      <c r="AH320" s="94" t="str">
        <f>IFERROR($M320+VLOOKUP($L320,'Voyage days'!$F$38:$H$89,3,FALSE),"")</f>
        <v/>
      </c>
      <c r="AI320" s="94" t="str">
        <f>IFERROR(N320+VLOOKUP($L320,'Voyage days'!$F$38:$H$89,3,FALSE),"")</f>
        <v/>
      </c>
      <c r="AJ320" s="93" t="str">
        <f t="shared" si="27"/>
        <v>18-19 May</v>
      </c>
      <c r="AK320" s="94">
        <f>IFERROR($M320+VLOOKUP($L320,'Voyage days'!$F$94:$H$193,3,FALSE),"")</f>
        <v>46160</v>
      </c>
      <c r="AL320" s="94">
        <f>IFERROR($N320+VLOOKUP($L320,'Voyage days'!$F$94:$H$193,3,FALSE),"")</f>
        <v>46161</v>
      </c>
      <c r="AM320" s="93" t="str">
        <f t="shared" si="28"/>
        <v/>
      </c>
      <c r="AN320" s="94" t="str">
        <f>IFERROR($M320+VLOOKUP($L320,'Voyage days'!$F$203:$H$256,3,FALSE),"")</f>
        <v/>
      </c>
      <c r="AO320" s="94" t="str">
        <f>IFERROR($N320+VLOOKUP($L320,'Voyage days'!$F$203:$H$256,3,FALSE),"")</f>
        <v/>
      </c>
      <c r="AP320" s="93" t="str">
        <f t="shared" si="29"/>
        <v/>
      </c>
      <c r="AQ320" s="94" t="str">
        <f>IFERROR($M320+VLOOKUP($L320,'Voyage days'!$F$294:$H$377,3,FALSE),"")</f>
        <v/>
      </c>
      <c r="AR320" s="94" t="str">
        <f>IFERROR($N320+VLOOKUP($L320,'Voyage days'!$F$294:$H$377,3,FALSE),"")</f>
        <v/>
      </c>
      <c r="AS320" s="93" t="str">
        <f t="shared" si="30"/>
        <v/>
      </c>
      <c r="AT320" s="94" t="str">
        <f>IFERROR($M320+VLOOKUP($L320,'Voyage days'!$F$382:$H$446,3,FALSE),"")</f>
        <v/>
      </c>
      <c r="AU320" s="94" t="str">
        <f>IFERROR($N320+VLOOKUP($L320,'Voyage days'!$F$382:$H$446,3,FALSE),"")</f>
        <v/>
      </c>
      <c r="AV320" s="93" t="str">
        <f t="shared" si="31"/>
        <v/>
      </c>
      <c r="AW320" s="94" t="str">
        <f>IFERROR($M320+VLOOKUP($L320,'Voyage days'!$F$483:$H$538,3,FALSE),"")</f>
        <v/>
      </c>
      <c r="AX320" s="94" t="str">
        <f>IFERROR($N320+VLOOKUP($L320,'Voyage days'!$F$483:$H$538,3,FALSE),"")</f>
        <v/>
      </c>
      <c r="AY320" s="93" t="str">
        <f t="shared" si="32"/>
        <v/>
      </c>
      <c r="AZ320" s="94" t="str">
        <f>IFERROR($M320+VLOOKUP($L320,'Voyage days'!$F$540:$H$613,3,FALSE),"")</f>
        <v/>
      </c>
      <c r="BA320" s="94" t="str">
        <f>IFERROR($N320+VLOOKUP($L320,'Voyage days'!$F$540:$H$613,3,FALSE),"")</f>
        <v/>
      </c>
      <c r="BB320" s="93" t="str">
        <f t="shared" si="33"/>
        <v/>
      </c>
      <c r="BC320" s="94" t="str">
        <f>IFERROR($M320+VLOOKUP($L320,'Voyage days'!$F$448:$H$479,3,FALSE),"")</f>
        <v/>
      </c>
      <c r="BD320" s="94" t="str">
        <f>IFERROR($N320+VLOOKUP($L320,'Voyage days'!$F$448:$H$479,3,FALSE),"")</f>
        <v/>
      </c>
      <c r="BE320" s="93" t="str">
        <f t="shared" si="34"/>
        <v/>
      </c>
      <c r="BF320" s="95" t="str">
        <f>IFERROR($M320+VLOOKUP($L320,'Voyage days'!$F$620:$H$646,3,FALSE),"")</f>
        <v/>
      </c>
      <c r="BG320" s="95" t="str">
        <f>IFERROR($N320+VLOOKUP($L320,'Voyage days'!$F$620:$H$646,3,FALSE),"")</f>
        <v/>
      </c>
      <c r="BH320" s="93" t="str">
        <f t="shared" si="35"/>
        <v/>
      </c>
      <c r="BI320" s="96" t="str">
        <f>IFERROR($M320+VLOOKUP($L320,'Voyage days'!$F$702:$H$727,3,FALSE),"")</f>
        <v/>
      </c>
      <c r="BJ320" s="93" t="str">
        <f t="shared" si="36"/>
        <v/>
      </c>
      <c r="BK320" s="95" t="str">
        <f>IFERROR($M320+VLOOKUP($L320,'Voyage days'!$F$807:$H$878,3,FALSE),"")</f>
        <v/>
      </c>
      <c r="BL320" s="95" t="str">
        <f>IFERROR($N320+VLOOKUP($L320,'Voyage days'!$F$807:$H$878,3,FALSE),"")</f>
        <v/>
      </c>
      <c r="BM320" s="95" t="str">
        <f>IFERROR($N320+VLOOKUP($L320,'Voyage days'!$F$807:$K$878,6,FALSE),"")</f>
        <v/>
      </c>
      <c r="BN320" s="94" t="str">
        <f>IF(L320="loads AG", IFERROR($M320+VLOOKUP($L320,'Voyage days'!$M$38:$O$38,3,FALSE),""),"")</f>
        <v/>
      </c>
      <c r="BO320" s="94" t="str">
        <f>IF(L320="loads USG", IFERROR($M320+VLOOKUP($L320,'Voyage days'!$L$203:$N$203,3,FALSE),""),"")</f>
        <v/>
      </c>
    </row>
    <row r="321" spans="1:67" ht="15.75" customHeight="1" x14ac:dyDescent="0.25">
      <c r="A321" s="356" t="s">
        <v>207</v>
      </c>
      <c r="B321" s="75">
        <v>42308</v>
      </c>
      <c r="C321" s="76">
        <v>84000</v>
      </c>
      <c r="D321" s="77" t="s">
        <v>651</v>
      </c>
      <c r="E321" s="77"/>
      <c r="F321" s="78"/>
      <c r="G321" s="78"/>
      <c r="H321" s="78" t="s">
        <v>739</v>
      </c>
      <c r="I321" s="233" t="s">
        <v>1462</v>
      </c>
      <c r="J321" s="80" t="str">
        <f t="shared" si="61"/>
        <v/>
      </c>
      <c r="K321" s="81"/>
      <c r="L321" s="82" t="s">
        <v>718</v>
      </c>
      <c r="M321" s="83">
        <v>46140</v>
      </c>
      <c r="N321" s="83">
        <v>46141</v>
      </c>
      <c r="O321" s="84" t="s">
        <v>739</v>
      </c>
      <c r="P321" s="124" t="s">
        <v>1501</v>
      </c>
      <c r="Q321" s="82"/>
      <c r="R321" s="82" t="s">
        <v>1502</v>
      </c>
      <c r="S321" s="107" t="s">
        <v>33</v>
      </c>
      <c r="T321" s="108">
        <v>46132</v>
      </c>
      <c r="U321" s="87" t="str">
        <f>IF(V321="","No AIS",VLOOKUP(V321,'Voyage days'!$A$3:$B$1480,2,FALSE))</f>
        <v>Panama</v>
      </c>
      <c r="V321" s="88" t="str">
        <f>IF(VLOOKUP(A321,'1) Kpler'!$E$2:$P$1000,8, FALSE)="","",VLOOKUP(A321,'1) Kpler'!$E$2:$P$1000,8, FALSE))</f>
        <v>Panama Canal</v>
      </c>
      <c r="W321" s="89">
        <f>IF(VLOOKUP(A321,'1) Kpler'!$E$2:$P$1000,9,FALSE)="","",VLOOKUP(A321,'1) Kpler'!$E$2:$P$1000,9,FALSE))</f>
        <v>46132.375</v>
      </c>
      <c r="X321" s="88" t="str">
        <f>VLOOKUP(A321,'1) Kpler'!$E$2:$I$1000,4,FALSE)</f>
        <v>open</v>
      </c>
      <c r="Y321" s="234" t="str">
        <f t="shared" si="49"/>
        <v/>
      </c>
      <c r="Z321" s="234" t="str">
        <f t="shared" si="50"/>
        <v>28-29 Apr</v>
      </c>
      <c r="AA321" s="234" t="str">
        <f t="shared" si="51"/>
        <v>28-29 Apr</v>
      </c>
      <c r="AB321" s="234" t="str">
        <f t="shared" si="52"/>
        <v/>
      </c>
      <c r="AC321" s="234" t="str">
        <f t="shared" si="53"/>
        <v>18-19 May</v>
      </c>
      <c r="AD321" s="234" t="str">
        <f t="shared" si="54"/>
        <v/>
      </c>
      <c r="AE321" s="235" t="str">
        <f t="shared" si="55"/>
        <v/>
      </c>
      <c r="AF321" s="92" t="str">
        <f t="shared" si="56"/>
        <v/>
      </c>
      <c r="AG321" s="93" t="str">
        <f t="shared" si="57"/>
        <v/>
      </c>
      <c r="AH321" s="94" t="str">
        <f>IFERROR($M321+VLOOKUP($L321,'Voyage days'!$F$38:$H$89,3,FALSE),"")</f>
        <v/>
      </c>
      <c r="AI321" s="94" t="str">
        <f>IFERROR(N321+VLOOKUP($L321,'Voyage days'!$F$38:$H$89,3,FALSE),"")</f>
        <v/>
      </c>
      <c r="AJ321" s="93" t="str">
        <f t="shared" si="27"/>
        <v>28-29 Apr</v>
      </c>
      <c r="AK321" s="94">
        <f>IFERROR($M321+VLOOKUP($L321,'Voyage days'!$F$94:$H$193,3,FALSE),"")</f>
        <v>46140</v>
      </c>
      <c r="AL321" s="94">
        <f>IFERROR($N321+VLOOKUP($L321,'Voyage days'!$F$94:$H$193,3,FALSE),"")</f>
        <v>46141</v>
      </c>
      <c r="AM321" s="93" t="str">
        <f t="shared" si="28"/>
        <v>28-29 Apr</v>
      </c>
      <c r="AN321" s="94">
        <f>IFERROR($M321+VLOOKUP($L321,'Voyage days'!$F$203:$H$256,3,FALSE),"")</f>
        <v>46140</v>
      </c>
      <c r="AO321" s="94">
        <f>IFERROR($N321+VLOOKUP($L321,'Voyage days'!$F$203:$H$256,3,FALSE),"")</f>
        <v>46141</v>
      </c>
      <c r="AP321" s="93" t="str">
        <f t="shared" si="29"/>
        <v/>
      </c>
      <c r="AQ321" s="94" t="str">
        <f>IFERROR($M321+VLOOKUP($L321,'Voyage days'!$F$294:$H$377,3,FALSE),"")</f>
        <v/>
      </c>
      <c r="AR321" s="94" t="str">
        <f>IFERROR($N321+VLOOKUP($L321,'Voyage days'!$F$294:$H$377,3,FALSE),"")</f>
        <v/>
      </c>
      <c r="AS321" s="93" t="str">
        <f t="shared" si="30"/>
        <v>18-19 May</v>
      </c>
      <c r="AT321" s="94">
        <f>IFERROR($M321+VLOOKUP($L321,'Voyage days'!$F$382:$H$446,3,FALSE),"")</f>
        <v>46160</v>
      </c>
      <c r="AU321" s="94">
        <f>IFERROR($N321+VLOOKUP($L321,'Voyage days'!$F$382:$H$446,3,FALSE),"")</f>
        <v>46161</v>
      </c>
      <c r="AV321" s="93" t="str">
        <f t="shared" si="31"/>
        <v/>
      </c>
      <c r="AW321" s="94" t="str">
        <f>IFERROR($M321+VLOOKUP($L321,'Voyage days'!$F$483:$H$538,3,FALSE),"")</f>
        <v/>
      </c>
      <c r="AX321" s="94" t="str">
        <f>IFERROR($N321+VLOOKUP($L321,'Voyage days'!$F$483:$H$538,3,FALSE),"")</f>
        <v/>
      </c>
      <c r="AY321" s="93" t="str">
        <f t="shared" si="32"/>
        <v/>
      </c>
      <c r="AZ321" s="94" t="str">
        <f>IFERROR($M321+VLOOKUP($L321,'Voyage days'!$F$540:$H$613,3,FALSE),"")</f>
        <v/>
      </c>
      <c r="BA321" s="94" t="str">
        <f>IFERROR($N321+VLOOKUP($L321,'Voyage days'!$F$540:$H$613,3,FALSE),"")</f>
        <v/>
      </c>
      <c r="BB321" s="93" t="str">
        <f t="shared" si="33"/>
        <v/>
      </c>
      <c r="BC321" s="94" t="str">
        <f>IFERROR($M321+VLOOKUP($L321,'Voyage days'!$F$448:$H$479,3,FALSE),"")</f>
        <v/>
      </c>
      <c r="BD321" s="94" t="str">
        <f>IFERROR($N321+VLOOKUP($L321,'Voyage days'!$F$448:$H$479,3,FALSE),"")</f>
        <v/>
      </c>
      <c r="BE321" s="93" t="str">
        <f t="shared" si="34"/>
        <v/>
      </c>
      <c r="BF321" s="95" t="str">
        <f>IFERROR($M321+VLOOKUP($L321,'Voyage days'!$F$620:$H$646,3,FALSE),"")</f>
        <v/>
      </c>
      <c r="BG321" s="95" t="str">
        <f>IFERROR($N321+VLOOKUP($L321,'Voyage days'!$F$620:$H$646,3,FALSE),"")</f>
        <v/>
      </c>
      <c r="BH321" s="93" t="str">
        <f t="shared" si="35"/>
        <v/>
      </c>
      <c r="BI321" s="96" t="str">
        <f>IFERROR($M321+VLOOKUP($L321,'Voyage days'!$F$702:$H$727,3,FALSE),"")</f>
        <v/>
      </c>
      <c r="BJ321" s="93" t="str">
        <f t="shared" si="36"/>
        <v/>
      </c>
      <c r="BK321" s="95" t="str">
        <f>IFERROR($M321+VLOOKUP($L321,'Voyage days'!$F$807:$H$878,3,FALSE),"")</f>
        <v/>
      </c>
      <c r="BL321" s="95" t="str">
        <f>IFERROR($N321+VLOOKUP($L321,'Voyage days'!$F$807:$H$878,3,FALSE),"")</f>
        <v/>
      </c>
      <c r="BM321" s="95" t="str">
        <f>IFERROR($N321+VLOOKUP($L321,'Voyage days'!$F$807:$K$878,6,FALSE),"")</f>
        <v/>
      </c>
      <c r="BN321" s="94" t="str">
        <f>IF(L321="loads AG", IFERROR($M321+VLOOKUP($L321,'Voyage days'!$M$38:$O$38,3,FALSE),""),"")</f>
        <v/>
      </c>
      <c r="BO321" s="94">
        <f>IF(L321="loads USG", IFERROR($M321+VLOOKUP($L321,'Voyage days'!$L$203:$N$203,3,FALSE),""),"")</f>
        <v>46172</v>
      </c>
    </row>
    <row r="322" spans="1:67" ht="15.75" customHeight="1" x14ac:dyDescent="0.25">
      <c r="A322" s="53" t="s">
        <v>208</v>
      </c>
      <c r="B322" s="75">
        <v>42248</v>
      </c>
      <c r="C322" s="76">
        <v>84000</v>
      </c>
      <c r="D322" s="77" t="s">
        <v>651</v>
      </c>
      <c r="E322" s="77"/>
      <c r="F322" s="78"/>
      <c r="G322" s="78"/>
      <c r="H322" s="78" t="s">
        <v>739</v>
      </c>
      <c r="I322" s="233" t="s">
        <v>1462</v>
      </c>
      <c r="J322" s="80" t="str">
        <f t="shared" si="61"/>
        <v/>
      </c>
      <c r="K322" s="81"/>
      <c r="L322" s="82" t="s">
        <v>725</v>
      </c>
      <c r="M322" s="307">
        <v>46137</v>
      </c>
      <c r="N322" s="83">
        <v>46138</v>
      </c>
      <c r="O322" s="84" t="s">
        <v>1367</v>
      </c>
      <c r="P322" s="82" t="s">
        <v>1503</v>
      </c>
      <c r="Q322" s="78"/>
      <c r="R322" s="78" t="s">
        <v>1504</v>
      </c>
      <c r="S322" s="107" t="s">
        <v>33</v>
      </c>
      <c r="T322" s="108">
        <v>46132</v>
      </c>
      <c r="U322" s="87" t="str">
        <f>IF(V322="","No AIS",VLOOKUP(V322,'Voyage days'!$A$3:$B$1480,2,FALSE))</f>
        <v>Panama</v>
      </c>
      <c r="V322" s="88" t="str">
        <f>IF(VLOOKUP(A322,'1) Kpler'!$E$2:$P$1000,8, FALSE)="","",VLOOKUP(A322,'1) Kpler'!$E$2:$P$1000,8, FALSE))</f>
        <v>Panama Canal</v>
      </c>
      <c r="W322" s="89">
        <f>IF(VLOOKUP(A322,'1) Kpler'!$E$2:$P$1000,9,FALSE)="","",VLOOKUP(A322,'1) Kpler'!$E$2:$P$1000,9,FALSE))</f>
        <v>46136.75</v>
      </c>
      <c r="X322" s="88" t="str">
        <f>VLOOKUP(A322,'1) Kpler'!$E$2:$I$1000,4,FALSE)</f>
        <v>ballast</v>
      </c>
      <c r="Y322" s="63" t="str">
        <f t="shared" si="49"/>
        <v/>
      </c>
      <c r="Z322" s="63" t="str">
        <f t="shared" si="50"/>
        <v>05-06 May</v>
      </c>
      <c r="AA322" s="63" t="str">
        <f t="shared" si="51"/>
        <v/>
      </c>
      <c r="AB322" s="63" t="str">
        <f t="shared" si="52"/>
        <v/>
      </c>
      <c r="AC322" s="63" t="str">
        <f t="shared" si="53"/>
        <v/>
      </c>
      <c r="AD322" s="63" t="str">
        <f t="shared" si="54"/>
        <v/>
      </c>
      <c r="AE322" s="129" t="str">
        <f t="shared" si="55"/>
        <v/>
      </c>
      <c r="AF322" s="130" t="str">
        <f t="shared" si="56"/>
        <v/>
      </c>
      <c r="AG322" s="93" t="str">
        <f t="shared" si="57"/>
        <v/>
      </c>
      <c r="AH322" s="94" t="str">
        <f>IFERROR($M322+VLOOKUP($L322,'Voyage days'!$F$38:$H$89,3,FALSE),"")</f>
        <v/>
      </c>
      <c r="AI322" s="94" t="str">
        <f>IFERROR(N322+VLOOKUP($L322,'Voyage days'!$F$38:$H$89,3,FALSE),"")</f>
        <v/>
      </c>
      <c r="AJ322" s="93" t="str">
        <f t="shared" si="27"/>
        <v>05-06 May</v>
      </c>
      <c r="AK322" s="94">
        <f>IFERROR($M322+VLOOKUP($L322,'Voyage days'!$F$94:$H$193,3,FALSE),"")</f>
        <v>46147</v>
      </c>
      <c r="AL322" s="94">
        <f>IFERROR($N322+VLOOKUP($L322,'Voyage days'!$F$94:$H$193,3,FALSE),"")</f>
        <v>46148</v>
      </c>
      <c r="AM322" s="93" t="str">
        <f t="shared" si="28"/>
        <v/>
      </c>
      <c r="AN322" s="94" t="str">
        <f>IFERROR($M322+VLOOKUP($L322,'Voyage days'!$F$203:$H$256,3,FALSE),"")</f>
        <v/>
      </c>
      <c r="AO322" s="94" t="str">
        <f>IFERROR($N322+VLOOKUP($L322,'Voyage days'!$F$203:$H$256,3,FALSE),"")</f>
        <v/>
      </c>
      <c r="AP322" s="93" t="str">
        <f t="shared" si="29"/>
        <v/>
      </c>
      <c r="AQ322" s="94" t="str">
        <f>IFERROR($M322+VLOOKUP($L322,'Voyage days'!$F$294:$H$377,3,FALSE),"")</f>
        <v/>
      </c>
      <c r="AR322" s="94" t="str">
        <f>IFERROR($N322+VLOOKUP($L322,'Voyage days'!$F$294:$H$377,3,FALSE),"")</f>
        <v/>
      </c>
      <c r="AS322" s="93" t="str">
        <f t="shared" si="30"/>
        <v/>
      </c>
      <c r="AT322" s="94" t="str">
        <f>IFERROR($M322+VLOOKUP($L322,'Voyage days'!$F$382:$H$446,3,FALSE),"")</f>
        <v/>
      </c>
      <c r="AU322" s="94" t="str">
        <f>IFERROR($N322+VLOOKUP($L322,'Voyage days'!$F$382:$H$446,3,FALSE),"")</f>
        <v/>
      </c>
      <c r="AV322" s="93" t="str">
        <f t="shared" si="31"/>
        <v/>
      </c>
      <c r="AW322" s="94" t="str">
        <f>IFERROR($M322+VLOOKUP($L322,'Voyage days'!$F$483:$H$538,3,FALSE),"")</f>
        <v/>
      </c>
      <c r="AX322" s="94" t="str">
        <f>IFERROR($N322+VLOOKUP($L322,'Voyage days'!$F$483:$H$538,3,FALSE),"")</f>
        <v/>
      </c>
      <c r="AY322" s="93" t="str">
        <f t="shared" si="32"/>
        <v/>
      </c>
      <c r="AZ322" s="94" t="str">
        <f>IFERROR($M322+VLOOKUP($L322,'Voyage days'!$F$540:$H$613,3,FALSE),"")</f>
        <v/>
      </c>
      <c r="BA322" s="94" t="str">
        <f>IFERROR($N322+VLOOKUP($L322,'Voyage days'!$F$540:$H$613,3,FALSE),"")</f>
        <v/>
      </c>
      <c r="BB322" s="93" t="str">
        <f t="shared" si="33"/>
        <v/>
      </c>
      <c r="BC322" s="94" t="str">
        <f>IFERROR($M322+VLOOKUP($L322,'Voyage days'!$F$448:$H$479,3,FALSE),"")</f>
        <v/>
      </c>
      <c r="BD322" s="94" t="str">
        <f>IFERROR($N322+VLOOKUP($L322,'Voyage days'!$F$448:$H$479,3,FALSE),"")</f>
        <v/>
      </c>
      <c r="BE322" s="93" t="str">
        <f t="shared" si="34"/>
        <v/>
      </c>
      <c r="BF322" s="95" t="str">
        <f>IFERROR($M322+VLOOKUP($L322,'Voyage days'!$F$620:$H$646,3,FALSE),"")</f>
        <v/>
      </c>
      <c r="BG322" s="95" t="str">
        <f>IFERROR($N322+VLOOKUP($L322,'Voyage days'!$F$620:$H$646,3,FALSE),"")</f>
        <v/>
      </c>
      <c r="BH322" s="93" t="str">
        <f t="shared" si="35"/>
        <v/>
      </c>
      <c r="BI322" s="96" t="str">
        <f>IFERROR($M322+VLOOKUP($L322,'Voyage days'!$F$702:$H$727,3,FALSE),"")</f>
        <v/>
      </c>
      <c r="BJ322" s="93" t="str">
        <f t="shared" si="36"/>
        <v/>
      </c>
      <c r="BK322" s="95" t="str">
        <f>IFERROR($M322+VLOOKUP($L322,'Voyage days'!$F$807:$H$878,3,FALSE),"")</f>
        <v/>
      </c>
      <c r="BL322" s="95" t="str">
        <f>IFERROR($N322+VLOOKUP($L322,'Voyage days'!$F$807:$H$878,3,FALSE),"")</f>
        <v/>
      </c>
      <c r="BM322" s="95" t="str">
        <f>IFERROR($N322+VLOOKUP($L322,'Voyage days'!$F$807:$K$878,6,FALSE),"")</f>
        <v/>
      </c>
      <c r="BN322" s="94" t="str">
        <f>IF(L322="loads AG", IFERROR($M322+VLOOKUP($L322,'Voyage days'!$M$38:$O$38,3,FALSE),""),"")</f>
        <v/>
      </c>
      <c r="BO322" s="94" t="str">
        <f>IF(L322="loads USG", IFERROR($M322+VLOOKUP($L322,'Voyage days'!$L$203:$N$203,3,FALSE),""),"")</f>
        <v/>
      </c>
    </row>
    <row r="323" spans="1:67" ht="15.75" customHeight="1" x14ac:dyDescent="0.25">
      <c r="A323" s="317" t="s">
        <v>209</v>
      </c>
      <c r="B323" s="119">
        <v>2023</v>
      </c>
      <c r="C323" s="76">
        <v>86000</v>
      </c>
      <c r="D323" s="77" t="s">
        <v>651</v>
      </c>
      <c r="E323" s="77"/>
      <c r="F323" s="78"/>
      <c r="G323" s="78"/>
      <c r="H323" s="78" t="s">
        <v>713</v>
      </c>
      <c r="I323" s="233" t="s">
        <v>1462</v>
      </c>
      <c r="J323" s="80" t="str">
        <f t="shared" si="61"/>
        <v/>
      </c>
      <c r="K323" s="81" t="s">
        <v>817</v>
      </c>
      <c r="L323" s="82" t="s">
        <v>718</v>
      </c>
      <c r="M323" s="83">
        <v>46162</v>
      </c>
      <c r="N323" s="83">
        <v>46163</v>
      </c>
      <c r="O323" s="84"/>
      <c r="P323" s="85" t="s">
        <v>1505</v>
      </c>
      <c r="Q323" s="82"/>
      <c r="R323" s="82" t="s">
        <v>1506</v>
      </c>
      <c r="S323" s="107" t="s">
        <v>33</v>
      </c>
      <c r="T323" s="108">
        <v>46132</v>
      </c>
      <c r="U323" s="87" t="str">
        <f>IF(V323="","No AIS",VLOOKUP(V323,'Voyage days'!$A$3:$B$1480,2,FALSE))</f>
        <v>USG</v>
      </c>
      <c r="V323" s="88" t="str">
        <f>IF(VLOOKUP(A323,'1) Kpler'!$E$2:$P$1000,8, FALSE)="","",VLOOKUP(A323,'1) Kpler'!$E$2:$P$1000,8, FALSE))</f>
        <v>Houston</v>
      </c>
      <c r="W323" s="89">
        <f>IF(VLOOKUP(A323,'1) Kpler'!$E$2:$P$1000,9,FALSE)="","",VLOOKUP(A323,'1) Kpler'!$E$2:$P$1000,9,FALSE))</f>
        <v>46161.333333333336</v>
      </c>
      <c r="X323" s="88" t="str">
        <f>VLOOKUP(A323,'1) Kpler'!$E$2:$I$1000,4,FALSE)</f>
        <v>ballast</v>
      </c>
      <c r="Y323" s="234" t="str">
        <f t="shared" si="49"/>
        <v/>
      </c>
      <c r="Z323" s="234" t="str">
        <f t="shared" si="50"/>
        <v>20-21 May</v>
      </c>
      <c r="AA323" s="234" t="str">
        <f t="shared" si="51"/>
        <v>20-21 May</v>
      </c>
      <c r="AB323" s="234" t="str">
        <f t="shared" si="52"/>
        <v/>
      </c>
      <c r="AC323" s="234" t="str">
        <f t="shared" si="53"/>
        <v>09-10 Jun</v>
      </c>
      <c r="AD323" s="234" t="str">
        <f t="shared" si="54"/>
        <v/>
      </c>
      <c r="AE323" s="235" t="str">
        <f t="shared" si="55"/>
        <v/>
      </c>
      <c r="AF323" s="92" t="str">
        <f t="shared" si="56"/>
        <v/>
      </c>
      <c r="AG323" s="93" t="str">
        <f t="shared" si="57"/>
        <v/>
      </c>
      <c r="AH323" s="94" t="str">
        <f>IFERROR($M323+VLOOKUP($L323,'Voyage days'!$F$38:$H$89,3,FALSE),"")</f>
        <v/>
      </c>
      <c r="AI323" s="94" t="str">
        <f>IFERROR(N323+VLOOKUP($L323,'Voyage days'!$F$38:$H$89,3,FALSE),"")</f>
        <v/>
      </c>
      <c r="AJ323" s="93" t="str">
        <f t="shared" si="27"/>
        <v>20-21 May</v>
      </c>
      <c r="AK323" s="94">
        <f>IFERROR($M323+VLOOKUP($L323,'Voyage days'!$F$94:$H$193,3,FALSE),"")</f>
        <v>46162</v>
      </c>
      <c r="AL323" s="94">
        <f>IFERROR($N323+VLOOKUP($L323,'Voyage days'!$F$94:$H$193,3,FALSE),"")</f>
        <v>46163</v>
      </c>
      <c r="AM323" s="93" t="str">
        <f t="shared" si="28"/>
        <v>20-21 May</v>
      </c>
      <c r="AN323" s="94">
        <f>IFERROR($M323+VLOOKUP($L323,'Voyage days'!$F$203:$H$256,3,FALSE),"")</f>
        <v>46162</v>
      </c>
      <c r="AO323" s="94">
        <f>IFERROR($N323+VLOOKUP($L323,'Voyage days'!$F$203:$H$256,3,FALSE),"")</f>
        <v>46163</v>
      </c>
      <c r="AP323" s="93" t="str">
        <f t="shared" si="29"/>
        <v/>
      </c>
      <c r="AQ323" s="94" t="str">
        <f>IFERROR($M323+VLOOKUP($L323,'Voyage days'!$F$294:$H$377,3,FALSE),"")</f>
        <v/>
      </c>
      <c r="AR323" s="94" t="str">
        <f>IFERROR($N323+VLOOKUP($L323,'Voyage days'!$F$294:$H$377,3,FALSE),"")</f>
        <v/>
      </c>
      <c r="AS323" s="93" t="str">
        <f t="shared" si="30"/>
        <v>09-10 Jun</v>
      </c>
      <c r="AT323" s="94">
        <f>IFERROR($M323+VLOOKUP($L323,'Voyage days'!$F$382:$H$446,3,FALSE),"")</f>
        <v>46182</v>
      </c>
      <c r="AU323" s="94">
        <f>IFERROR($N323+VLOOKUP($L323,'Voyage days'!$F$382:$H$446,3,FALSE),"")</f>
        <v>46183</v>
      </c>
      <c r="AV323" s="93" t="str">
        <f t="shared" si="31"/>
        <v/>
      </c>
      <c r="AW323" s="94" t="str">
        <f>IFERROR($M323+VLOOKUP($L323,'Voyage days'!$F$483:$H$538,3,FALSE),"")</f>
        <v/>
      </c>
      <c r="AX323" s="94" t="str">
        <f>IFERROR($N323+VLOOKUP($L323,'Voyage days'!$F$483:$H$538,3,FALSE),"")</f>
        <v/>
      </c>
      <c r="AY323" s="93" t="str">
        <f t="shared" si="32"/>
        <v/>
      </c>
      <c r="AZ323" s="94" t="str">
        <f>IFERROR($M323+VLOOKUP($L323,'Voyage days'!$F$540:$H$613,3,FALSE),"")</f>
        <v/>
      </c>
      <c r="BA323" s="94" t="str">
        <f>IFERROR($N323+VLOOKUP($L323,'Voyage days'!$F$540:$H$613,3,FALSE),"")</f>
        <v/>
      </c>
      <c r="BB323" s="93" t="str">
        <f t="shared" si="33"/>
        <v/>
      </c>
      <c r="BC323" s="94" t="str">
        <f>IFERROR($M323+VLOOKUP($L323,'Voyage days'!$F$448:$H$479,3,FALSE),"")</f>
        <v/>
      </c>
      <c r="BD323" s="94" t="str">
        <f>IFERROR($N323+VLOOKUP($L323,'Voyage days'!$F$448:$H$479,3,FALSE),"")</f>
        <v/>
      </c>
      <c r="BE323" s="93" t="str">
        <f t="shared" si="34"/>
        <v/>
      </c>
      <c r="BF323" s="95" t="str">
        <f>IFERROR($M323+VLOOKUP($L323,'Voyage days'!$F$620:$H$646,3,FALSE),"")</f>
        <v/>
      </c>
      <c r="BG323" s="95" t="str">
        <f>IFERROR($N323+VLOOKUP($L323,'Voyage days'!$F$620:$H$646,3,FALSE),"")</f>
        <v/>
      </c>
      <c r="BH323" s="93" t="str">
        <f t="shared" si="35"/>
        <v/>
      </c>
      <c r="BI323" s="96" t="str">
        <f>IFERROR($M323+VLOOKUP($L323,'Voyage days'!$F$702:$H$727,3,FALSE),"")</f>
        <v/>
      </c>
      <c r="BJ323" s="93" t="str">
        <f t="shared" si="36"/>
        <v/>
      </c>
      <c r="BK323" s="95" t="str">
        <f>IFERROR($M323+VLOOKUP($L323,'Voyage days'!$F$807:$H$878,3,FALSE),"")</f>
        <v/>
      </c>
      <c r="BL323" s="95" t="str">
        <f>IFERROR($N323+VLOOKUP($L323,'Voyage days'!$F$807:$H$878,3,FALSE),"")</f>
        <v/>
      </c>
      <c r="BM323" s="95" t="str">
        <f>IFERROR($N323+VLOOKUP($L323,'Voyage days'!$F$807:$K$878,6,FALSE),"")</f>
        <v/>
      </c>
      <c r="BN323" s="94" t="str">
        <f>IF(L323="loads AG", IFERROR($M323+VLOOKUP($L323,'Voyage days'!$M$38:$O$38,3,FALSE),""),"")</f>
        <v/>
      </c>
      <c r="BO323" s="94">
        <f>IF(L323="loads USG", IFERROR($M323+VLOOKUP($L323,'Voyage days'!$L$203:$N$203,3,FALSE),""),"")</f>
        <v>46194</v>
      </c>
    </row>
    <row r="324" spans="1:67" x14ac:dyDescent="0.25">
      <c r="A324" s="74" t="s">
        <v>211</v>
      </c>
      <c r="B324" s="119">
        <v>2021</v>
      </c>
      <c r="C324" s="76">
        <v>84000</v>
      </c>
      <c r="D324" s="77" t="s">
        <v>651</v>
      </c>
      <c r="E324" s="77"/>
      <c r="F324" s="78"/>
      <c r="G324" s="78"/>
      <c r="H324" s="78" t="s">
        <v>713</v>
      </c>
      <c r="I324" s="233" t="s">
        <v>1462</v>
      </c>
      <c r="J324" s="80" t="str">
        <f t="shared" si="61"/>
        <v/>
      </c>
      <c r="K324" s="81"/>
      <c r="L324" s="82" t="s">
        <v>704</v>
      </c>
      <c r="M324" s="83">
        <v>46163</v>
      </c>
      <c r="N324" s="83">
        <v>46164</v>
      </c>
      <c r="O324" s="84"/>
      <c r="P324" s="82" t="s">
        <v>1507</v>
      </c>
      <c r="Q324" s="82"/>
      <c r="R324" s="82" t="s">
        <v>1508</v>
      </c>
      <c r="S324" s="107" t="s">
        <v>33</v>
      </c>
      <c r="T324" s="108">
        <v>46132</v>
      </c>
      <c r="U324" s="87" t="str">
        <f>IF(V324="","No AIS",VLOOKUP(V324,'Voyage days'!$A$3:$B$1480,2,FALSE))</f>
        <v>+14 days to Far East</v>
      </c>
      <c r="V324" s="88" t="str">
        <f>IF(VLOOKUP(A324,'1) Kpler'!$E$2:$P$1000,8, FALSE)="","",VLOOKUP(A324,'1) Kpler'!$E$2:$P$1000,8, FALSE))</f>
        <v>RIPET</v>
      </c>
      <c r="W324" s="89">
        <f>IF(VLOOKUP(A324,'1) Kpler'!$E$2:$P$1000,9,FALSE)="","",VLOOKUP(A324,'1) Kpler'!$E$2:$P$1000,9,FALSE))</f>
        <v>46143.791666666664</v>
      </c>
      <c r="X324" s="88" t="str">
        <f>VLOOKUP(A324,'1) Kpler'!$E$2:$I$1000,4,FALSE)</f>
        <v>ballast</v>
      </c>
      <c r="Y324" s="63" t="str">
        <f t="shared" si="49"/>
        <v>08-09 Jun</v>
      </c>
      <c r="Z324" s="63" t="str">
        <f t="shared" si="50"/>
        <v>20-21 Jun</v>
      </c>
      <c r="AA324" s="63" t="str">
        <f t="shared" si="51"/>
        <v>28-29 Jun</v>
      </c>
      <c r="AB324" s="63" t="str">
        <f t="shared" si="52"/>
        <v>20-21 Jun</v>
      </c>
      <c r="AC324" s="63" t="str">
        <f t="shared" si="53"/>
        <v>26-27 Jun</v>
      </c>
      <c r="AD324" s="63" t="str">
        <f t="shared" si="54"/>
        <v>29-30 May</v>
      </c>
      <c r="AE324" s="129" t="str">
        <f t="shared" si="55"/>
        <v>29-30 May</v>
      </c>
      <c r="AF324" s="130" t="str">
        <f t="shared" si="56"/>
        <v>06-07 Jul</v>
      </c>
      <c r="AG324" s="93" t="str">
        <f t="shared" si="57"/>
        <v>08-09 Jun</v>
      </c>
      <c r="AH324" s="94">
        <f>IFERROR($M324+VLOOKUP($L324,'Voyage days'!$F$38:$H$89,3,FALSE),"")</f>
        <v>46181</v>
      </c>
      <c r="AI324" s="94">
        <f>IFERROR(N324+VLOOKUP($L324,'Voyage days'!$F$38:$H$89,3,FALSE),"")</f>
        <v>46182</v>
      </c>
      <c r="AJ324" s="93" t="str">
        <f t="shared" si="27"/>
        <v>20-21 Jun</v>
      </c>
      <c r="AK324" s="94">
        <f>IFERROR($M324+VLOOKUP($L324,'Voyage days'!$F$94:$H$193,3,FALSE),"")</f>
        <v>46193</v>
      </c>
      <c r="AL324" s="94">
        <f>IFERROR($N324+VLOOKUP($L324,'Voyage days'!$F$94:$H$193,3,FALSE),"")</f>
        <v>46194</v>
      </c>
      <c r="AM324" s="93" t="str">
        <f t="shared" si="28"/>
        <v>28-29 Jun</v>
      </c>
      <c r="AN324" s="94">
        <f>IFERROR($M324+VLOOKUP($L324,'Voyage days'!$F$203:$H$256,3,FALSE),"")</f>
        <v>46201</v>
      </c>
      <c r="AO324" s="94">
        <f>IFERROR($N324+VLOOKUP($L324,'Voyage days'!$F$203:$H$256,3,FALSE),"")</f>
        <v>46202</v>
      </c>
      <c r="AP324" s="93" t="str">
        <f t="shared" si="29"/>
        <v>20-21 Jun</v>
      </c>
      <c r="AQ324" s="94">
        <f>IFERROR($M324+VLOOKUP($L324,'Voyage days'!$F$294:$H$377,3,FALSE),"")</f>
        <v>46193</v>
      </c>
      <c r="AR324" s="94">
        <f>IFERROR($N324+VLOOKUP($L324,'Voyage days'!$F$294:$H$377,3,FALSE),"")</f>
        <v>46194</v>
      </c>
      <c r="AS324" s="93" t="str">
        <f t="shared" si="30"/>
        <v>26-27 Jun</v>
      </c>
      <c r="AT324" s="94">
        <f>IFERROR($M324+VLOOKUP($L324,'Voyage days'!$F$382:$H$446,3,FALSE),"")</f>
        <v>46199</v>
      </c>
      <c r="AU324" s="94">
        <f>IFERROR($N324+VLOOKUP($L324,'Voyage days'!$F$382:$H$446,3,FALSE),"")</f>
        <v>46200</v>
      </c>
      <c r="AV324" s="93" t="str">
        <f t="shared" si="31"/>
        <v>03-04 Jun</v>
      </c>
      <c r="AW324" s="94">
        <f>IFERROR($M324+VLOOKUP($L324,'Voyage days'!$F$483:$H$538,3,FALSE),"")</f>
        <v>46176</v>
      </c>
      <c r="AX324" s="94">
        <f>IFERROR($N324+VLOOKUP($L324,'Voyage days'!$F$483:$H$538,3,FALSE),"")</f>
        <v>46177</v>
      </c>
      <c r="AY324" s="93" t="str">
        <f t="shared" si="32"/>
        <v>29-30 May</v>
      </c>
      <c r="AZ324" s="94">
        <f>IFERROR($M324+VLOOKUP($L324,'Voyage days'!$F$540:$H$613,3,FALSE),"")</f>
        <v>46171.25</v>
      </c>
      <c r="BA324" s="94">
        <f>IFERROR($N324+VLOOKUP($L324,'Voyage days'!$F$540:$H$613,3,FALSE),"")</f>
        <v>46172.25</v>
      </c>
      <c r="BB324" s="93" t="str">
        <f t="shared" si="33"/>
        <v>29-30 May</v>
      </c>
      <c r="BC324" s="94">
        <f>IFERROR($M324+VLOOKUP($L324,'Voyage days'!$F$448:$H$479,3,FALSE),"")</f>
        <v>46171</v>
      </c>
      <c r="BD324" s="94">
        <f>IFERROR($N324+VLOOKUP($L324,'Voyage days'!$F$448:$H$479,3,FALSE),"")</f>
        <v>46172</v>
      </c>
      <c r="BE324" s="93" t="str">
        <f t="shared" si="34"/>
        <v>01-02 Jun</v>
      </c>
      <c r="BF324" s="95">
        <f>IFERROR($M324+VLOOKUP($L324,'Voyage days'!$F$620:$H$646,3,FALSE),"")</f>
        <v>46174</v>
      </c>
      <c r="BG324" s="95">
        <f>IFERROR($N324+VLOOKUP($L324,'Voyage days'!$F$620:$H$646,3,FALSE),"")</f>
        <v>46175</v>
      </c>
      <c r="BH324" s="93" t="str">
        <f t="shared" si="35"/>
        <v>29-07 Jul</v>
      </c>
      <c r="BI324" s="96">
        <f>IFERROR($M324+VLOOKUP($L324,'Voyage days'!$F$702:$H$727,3,FALSE),"")</f>
        <v>46171.25</v>
      </c>
      <c r="BJ324" s="93" t="str">
        <f t="shared" si="36"/>
        <v>06-07 Jul</v>
      </c>
      <c r="BK324" s="95">
        <f>IFERROR($M324+VLOOKUP($L324,'Voyage days'!$F$807:$H$878,3,FALSE),"")</f>
        <v>46209</v>
      </c>
      <c r="BL324" s="95">
        <f>IFERROR($N324+VLOOKUP($L324,'Voyage days'!$F$807:$H$878,3,FALSE),"")</f>
        <v>46210</v>
      </c>
      <c r="BM324" s="95">
        <f>IFERROR($N324+VLOOKUP($L324,'Voyage days'!$F$807:$K$878,6,FALSE),"")</f>
        <v>46184</v>
      </c>
      <c r="BN324" s="94" t="str">
        <f>IF(L324="loads AG", IFERROR($M324+VLOOKUP($L324,'Voyage days'!$M$38:$O$38,3,FALSE),""),"")</f>
        <v/>
      </c>
      <c r="BO324" s="94" t="str">
        <f>IF(L324="loads USG", IFERROR($M324+VLOOKUP($L324,'Voyage days'!$L$203:$N$203,3,FALSE),""),"")</f>
        <v/>
      </c>
    </row>
    <row r="325" spans="1:67" ht="15.75" customHeight="1" x14ac:dyDescent="0.25">
      <c r="A325" s="317" t="s">
        <v>253</v>
      </c>
      <c r="B325" s="119">
        <v>2020</v>
      </c>
      <c r="C325" s="76">
        <v>80000</v>
      </c>
      <c r="D325" s="77" t="s">
        <v>651</v>
      </c>
      <c r="E325" s="77"/>
      <c r="F325" s="78"/>
      <c r="G325" s="78"/>
      <c r="H325" s="78" t="s">
        <v>713</v>
      </c>
      <c r="I325" s="233" t="s">
        <v>1462</v>
      </c>
      <c r="J325" s="80" t="str">
        <f t="shared" si="61"/>
        <v/>
      </c>
      <c r="K325" s="81"/>
      <c r="L325" s="82" t="s">
        <v>718</v>
      </c>
      <c r="M325" s="83">
        <v>46170</v>
      </c>
      <c r="N325" s="83">
        <v>46171</v>
      </c>
      <c r="O325" s="84"/>
      <c r="P325" s="82" t="s">
        <v>1509</v>
      </c>
      <c r="Q325" s="82"/>
      <c r="R325" s="82" t="s">
        <v>1510</v>
      </c>
      <c r="S325" s="107" t="s">
        <v>33</v>
      </c>
      <c r="T325" s="108">
        <v>46132</v>
      </c>
      <c r="U325" s="87" t="str">
        <f>IF(V325="","No AIS",VLOOKUP(V325,'Voyage days'!$A$3:$B$1480,2,FALSE))</f>
        <v>Japan + 6</v>
      </c>
      <c r="V325" s="88" t="str">
        <f>IF(VLOOKUP(A325,'1) Kpler'!$E$2:$P$1000,8, FALSE)="","",VLOOKUP(A325,'1) Kpler'!$E$2:$P$1000,8, FALSE))</f>
        <v>Sakai Mitsui Chemicals</v>
      </c>
      <c r="W325" s="89">
        <f>IF(VLOOKUP(A325,'1) Kpler'!$E$2:$P$1000,9,FALSE)="","",VLOOKUP(A325,'1) Kpler'!$E$2:$P$1000,9,FALSE))</f>
        <v>46138.666666666664</v>
      </c>
      <c r="X325" s="88" t="str">
        <f>VLOOKUP(A325,'1) Kpler'!$E$2:$I$1000,4,FALSE)</f>
        <v>loaded</v>
      </c>
      <c r="Y325" s="234" t="str">
        <f t="shared" si="49"/>
        <v/>
      </c>
      <c r="Z325" s="234" t="str">
        <f t="shared" si="50"/>
        <v>28-29 May</v>
      </c>
      <c r="AA325" s="234" t="str">
        <f t="shared" si="51"/>
        <v>28-29 May</v>
      </c>
      <c r="AB325" s="234" t="str">
        <f t="shared" si="52"/>
        <v/>
      </c>
      <c r="AC325" s="234" t="str">
        <f t="shared" si="53"/>
        <v>17-18 Jun</v>
      </c>
      <c r="AD325" s="234" t="str">
        <f t="shared" si="54"/>
        <v/>
      </c>
      <c r="AE325" s="235" t="str">
        <f t="shared" si="55"/>
        <v/>
      </c>
      <c r="AF325" s="92" t="str">
        <f t="shared" si="56"/>
        <v/>
      </c>
      <c r="AG325" s="93" t="str">
        <f t="shared" si="57"/>
        <v/>
      </c>
      <c r="AH325" s="94" t="str">
        <f>IFERROR($M325+VLOOKUP($L325,'Voyage days'!$F$38:$H$89,3,FALSE),"")</f>
        <v/>
      </c>
      <c r="AI325" s="94" t="str">
        <f>IFERROR(N325+VLOOKUP($L325,'Voyage days'!$F$38:$H$89,3,FALSE),"")</f>
        <v/>
      </c>
      <c r="AJ325" s="93" t="str">
        <f t="shared" si="27"/>
        <v>28-29 May</v>
      </c>
      <c r="AK325" s="94">
        <f>IFERROR($M325+VLOOKUP($L325,'Voyage days'!$F$94:$H$193,3,FALSE),"")</f>
        <v>46170</v>
      </c>
      <c r="AL325" s="94">
        <f>IFERROR($N325+VLOOKUP($L325,'Voyage days'!$F$94:$H$193,3,FALSE),"")</f>
        <v>46171</v>
      </c>
      <c r="AM325" s="93" t="str">
        <f t="shared" si="28"/>
        <v>28-29 May</v>
      </c>
      <c r="AN325" s="94">
        <f>IFERROR($M325+VLOOKUP($L325,'Voyage days'!$F$203:$H$256,3,FALSE),"")</f>
        <v>46170</v>
      </c>
      <c r="AO325" s="94">
        <f>IFERROR($N325+VLOOKUP($L325,'Voyage days'!$F$203:$H$256,3,FALSE),"")</f>
        <v>46171</v>
      </c>
      <c r="AP325" s="93" t="str">
        <f t="shared" si="29"/>
        <v/>
      </c>
      <c r="AQ325" s="94" t="str">
        <f>IFERROR($M325+VLOOKUP($L325,'Voyage days'!$F$294:$H$377,3,FALSE),"")</f>
        <v/>
      </c>
      <c r="AR325" s="94" t="str">
        <f>IFERROR($N325+VLOOKUP($L325,'Voyage days'!$F$294:$H$377,3,FALSE),"")</f>
        <v/>
      </c>
      <c r="AS325" s="93" t="str">
        <f t="shared" si="30"/>
        <v>17-18 Jun</v>
      </c>
      <c r="AT325" s="94">
        <f>IFERROR($M325+VLOOKUP($L325,'Voyage days'!$F$382:$H$446,3,FALSE),"")</f>
        <v>46190</v>
      </c>
      <c r="AU325" s="94">
        <f>IFERROR($N325+VLOOKUP($L325,'Voyage days'!$F$382:$H$446,3,FALSE),"")</f>
        <v>46191</v>
      </c>
      <c r="AV325" s="93" t="str">
        <f t="shared" si="31"/>
        <v/>
      </c>
      <c r="AW325" s="94" t="str">
        <f>IFERROR($M325+VLOOKUP($L325,'Voyage days'!$F$483:$H$538,3,FALSE),"")</f>
        <v/>
      </c>
      <c r="AX325" s="94" t="str">
        <f>IFERROR($N325+VLOOKUP($L325,'Voyage days'!$F$483:$H$538,3,FALSE),"")</f>
        <v/>
      </c>
      <c r="AY325" s="93" t="str">
        <f t="shared" si="32"/>
        <v/>
      </c>
      <c r="AZ325" s="94" t="str">
        <f>IFERROR($M325+VLOOKUP($L325,'Voyage days'!$F$540:$H$613,3,FALSE),"")</f>
        <v/>
      </c>
      <c r="BA325" s="94" t="str">
        <f>IFERROR($N325+VLOOKUP($L325,'Voyage days'!$F$540:$H$613,3,FALSE),"")</f>
        <v/>
      </c>
      <c r="BB325" s="93" t="str">
        <f t="shared" si="33"/>
        <v/>
      </c>
      <c r="BC325" s="94" t="str">
        <f>IFERROR($M325+VLOOKUP($L325,'Voyage days'!$F$448:$H$479,3,FALSE),"")</f>
        <v/>
      </c>
      <c r="BD325" s="94" t="str">
        <f>IFERROR($N325+VLOOKUP($L325,'Voyage days'!$F$448:$H$479,3,FALSE),"")</f>
        <v/>
      </c>
      <c r="BE325" s="93" t="str">
        <f t="shared" si="34"/>
        <v/>
      </c>
      <c r="BF325" s="95" t="str">
        <f>IFERROR($M325+VLOOKUP($L325,'Voyage days'!$F$620:$H$646,3,FALSE),"")</f>
        <v/>
      </c>
      <c r="BG325" s="95" t="str">
        <f>IFERROR($N325+VLOOKUP($L325,'Voyage days'!$F$620:$H$646,3,FALSE),"")</f>
        <v/>
      </c>
      <c r="BH325" s="93" t="str">
        <f t="shared" si="35"/>
        <v/>
      </c>
      <c r="BI325" s="96" t="str">
        <f>IFERROR($M325+VLOOKUP($L325,'Voyage days'!$F$702:$H$727,3,FALSE),"")</f>
        <v/>
      </c>
      <c r="BJ325" s="93" t="str">
        <f t="shared" si="36"/>
        <v/>
      </c>
      <c r="BK325" s="95" t="str">
        <f>IFERROR($M325+VLOOKUP($L325,'Voyage days'!$F$807:$H$878,3,FALSE),"")</f>
        <v/>
      </c>
      <c r="BL325" s="95" t="str">
        <f>IFERROR($N325+VLOOKUP($L325,'Voyage days'!$F$807:$H$878,3,FALSE),"")</f>
        <v/>
      </c>
      <c r="BM325" s="95" t="str">
        <f>IFERROR($N325+VLOOKUP($L325,'Voyage days'!$F$807:$K$878,6,FALSE),"")</f>
        <v/>
      </c>
      <c r="BN325" s="94" t="str">
        <f>IF(L325="loads AG", IFERROR($M325+VLOOKUP($L325,'Voyage days'!$M$38:$O$38,3,FALSE),""),"")</f>
        <v/>
      </c>
      <c r="BO325" s="94">
        <f>IF(L325="loads USG", IFERROR($M325+VLOOKUP($L325,'Voyage days'!$L$203:$N$203,3,FALSE),""),"")</f>
        <v>46202</v>
      </c>
    </row>
    <row r="326" spans="1:67" ht="15.75" customHeight="1" x14ac:dyDescent="0.25">
      <c r="A326" s="317" t="s">
        <v>1511</v>
      </c>
      <c r="B326" s="119">
        <v>2023</v>
      </c>
      <c r="C326" s="76">
        <v>86000</v>
      </c>
      <c r="D326" s="77" t="s">
        <v>651</v>
      </c>
      <c r="E326" s="178" t="s">
        <v>757</v>
      </c>
      <c r="F326" s="78"/>
      <c r="G326" s="78"/>
      <c r="H326" s="78" t="s">
        <v>713</v>
      </c>
      <c r="I326" s="233" t="s">
        <v>1462</v>
      </c>
      <c r="J326" s="80" t="str">
        <f t="shared" si="61"/>
        <v/>
      </c>
      <c r="K326" s="81"/>
      <c r="L326" s="159" t="s">
        <v>391</v>
      </c>
      <c r="M326" s="83">
        <v>46153</v>
      </c>
      <c r="N326" s="83">
        <v>46154</v>
      </c>
      <c r="O326" s="84"/>
      <c r="P326" s="82" t="s">
        <v>1512</v>
      </c>
      <c r="Q326" s="85"/>
      <c r="R326" s="85" t="s">
        <v>1513</v>
      </c>
      <c r="S326" s="107" t="s">
        <v>33</v>
      </c>
      <c r="T326" s="108">
        <v>46132</v>
      </c>
      <c r="U326" s="87" t="str">
        <f>IF(V326="","No AIS",VLOOKUP(V326,'Voyage days'!$A$3:$B$1480,2,FALSE))</f>
        <v>Richards Bay</v>
      </c>
      <c r="V326" s="88" t="str">
        <f>IF(VLOOKUP(A326,'1) Kpler'!$E$2:$P$1000,8, FALSE)="","",VLOOKUP(A326,'1) Kpler'!$E$2:$P$1000,8, FALSE))</f>
        <v>Richards Bay</v>
      </c>
      <c r="W326" s="89">
        <f>IF(VLOOKUP(A326,'1) Kpler'!$E$2:$P$1000,9,FALSE)="","",VLOOKUP(A326,'1) Kpler'!$E$2:$P$1000,9,FALSE))</f>
        <v>46153.333333333336</v>
      </c>
      <c r="X326" s="88" t="str">
        <f>VLOOKUP(A326,'1) Kpler'!$E$2:$I$1000,4,FALSE)</f>
        <v>loaded</v>
      </c>
      <c r="Y326" s="63" t="str">
        <f t="shared" si="49"/>
        <v/>
      </c>
      <c r="Z326" s="63" t="str">
        <f t="shared" si="50"/>
        <v/>
      </c>
      <c r="AA326" s="63" t="str">
        <f t="shared" si="51"/>
        <v>02-03 Jun</v>
      </c>
      <c r="AB326" s="63" t="str">
        <f t="shared" si="52"/>
        <v>20-21 May</v>
      </c>
      <c r="AC326" s="63" t="str">
        <f t="shared" si="53"/>
        <v>28-29 May</v>
      </c>
      <c r="AD326" s="63" t="str">
        <f t="shared" si="54"/>
        <v>24-25 May</v>
      </c>
      <c r="AE326" s="129" t="str">
        <f t="shared" si="55"/>
        <v/>
      </c>
      <c r="AF326" s="130" t="str">
        <f t="shared" si="56"/>
        <v>04-05 Jun</v>
      </c>
      <c r="AG326" s="93" t="str">
        <f t="shared" si="57"/>
        <v/>
      </c>
      <c r="AH326" s="94" t="str">
        <f>IFERROR($M326+VLOOKUP($L326,'Voyage days'!$F$38:$H$89,3,FALSE),"")</f>
        <v/>
      </c>
      <c r="AI326" s="94" t="str">
        <f>IFERROR(N326+VLOOKUP($L326,'Voyage days'!$F$38:$H$89,3,FALSE),"")</f>
        <v/>
      </c>
      <c r="AJ326" s="93" t="str">
        <f t="shared" si="27"/>
        <v/>
      </c>
      <c r="AK326" s="94" t="str">
        <f>IFERROR($M326+VLOOKUP($L326,'Voyage days'!$F$94:$H$193,3,FALSE),"")</f>
        <v/>
      </c>
      <c r="AL326" s="94" t="str">
        <f>IFERROR($N326+VLOOKUP($L326,'Voyage days'!$F$94:$H$193,3,FALSE),"")</f>
        <v/>
      </c>
      <c r="AM326" s="93" t="str">
        <f t="shared" si="28"/>
        <v>02-03 Jun</v>
      </c>
      <c r="AN326" s="94">
        <f>IFERROR($M326+VLOOKUP($L326,'Voyage days'!$F$203:$H$256,3,FALSE),"")</f>
        <v>46175</v>
      </c>
      <c r="AO326" s="94">
        <f>IFERROR($N326+VLOOKUP($L326,'Voyage days'!$F$203:$H$256,3,FALSE),"")</f>
        <v>46176</v>
      </c>
      <c r="AP326" s="93" t="str">
        <f t="shared" si="29"/>
        <v>20-21 May</v>
      </c>
      <c r="AQ326" s="94">
        <f>IFERROR($M326+VLOOKUP($L326,'Voyage days'!$F$294:$H$377,3,FALSE),"")</f>
        <v>46162</v>
      </c>
      <c r="AR326" s="94">
        <f>IFERROR($N326+VLOOKUP($L326,'Voyage days'!$F$294:$H$377,3,FALSE),"")</f>
        <v>46163</v>
      </c>
      <c r="AS326" s="93" t="str">
        <f t="shared" si="30"/>
        <v>28-29 May</v>
      </c>
      <c r="AT326" s="94">
        <f>IFERROR($M326+VLOOKUP($L326,'Voyage days'!$F$382:$H$446,3,FALSE),"")</f>
        <v>46170</v>
      </c>
      <c r="AU326" s="94">
        <f>IFERROR($N326+VLOOKUP($L326,'Voyage days'!$F$382:$H$446,3,FALSE),"")</f>
        <v>46171</v>
      </c>
      <c r="AV326" s="93" t="str">
        <f t="shared" si="31"/>
        <v/>
      </c>
      <c r="AW326" s="94" t="str">
        <f>IFERROR($M326+VLOOKUP($L326,'Voyage days'!$F$483:$H$538,3,FALSE),"")</f>
        <v/>
      </c>
      <c r="AX326" s="94" t="str">
        <f>IFERROR($N326+VLOOKUP($L326,'Voyage days'!$F$483:$H$538,3,FALSE),"")</f>
        <v/>
      </c>
      <c r="AY326" s="93" t="str">
        <f t="shared" si="32"/>
        <v/>
      </c>
      <c r="AZ326" s="94" t="str">
        <f>IFERROR($M326+VLOOKUP($L326,'Voyage days'!$F$540:$H$613,3,FALSE),"")</f>
        <v/>
      </c>
      <c r="BA326" s="94" t="str">
        <f>IFERROR($N326+VLOOKUP($L326,'Voyage days'!$F$540:$H$613,3,FALSE),"")</f>
        <v/>
      </c>
      <c r="BB326" s="93" t="str">
        <f t="shared" si="33"/>
        <v>24-25 May</v>
      </c>
      <c r="BC326" s="94">
        <f>IFERROR($M326+VLOOKUP($L326,'Voyage days'!$F$448:$H$479,3,FALSE),"")</f>
        <v>46166</v>
      </c>
      <c r="BD326" s="94">
        <f>IFERROR($N326+VLOOKUP($L326,'Voyage days'!$F$448:$H$479,3,FALSE),"")</f>
        <v>46167</v>
      </c>
      <c r="BE326" s="93" t="str">
        <f t="shared" si="34"/>
        <v/>
      </c>
      <c r="BF326" s="95" t="str">
        <f>IFERROR($M326+VLOOKUP($L326,'Voyage days'!$F$620:$H$646,3,FALSE),"")</f>
        <v/>
      </c>
      <c r="BG326" s="95" t="str">
        <f>IFERROR($N326+VLOOKUP($L326,'Voyage days'!$F$620:$H$646,3,FALSE),"")</f>
        <v/>
      </c>
      <c r="BH326" s="93" t="str">
        <f t="shared" si="35"/>
        <v/>
      </c>
      <c r="BI326" s="96" t="str">
        <f>IFERROR($M326+VLOOKUP($L326,'Voyage days'!$F$702:$H$727,3,FALSE),"")</f>
        <v/>
      </c>
      <c r="BJ326" s="93" t="str">
        <f t="shared" si="36"/>
        <v>04-05 Jun</v>
      </c>
      <c r="BK326" s="95">
        <f>IFERROR($M326+VLOOKUP($L326,'Voyage days'!$F$807:$H$878,3,FALSE),"")</f>
        <v>46177</v>
      </c>
      <c r="BL326" s="95">
        <f>IFERROR($N326+VLOOKUP($L326,'Voyage days'!$F$807:$H$878,3,FALSE),"")</f>
        <v>46178</v>
      </c>
      <c r="BM326" s="95">
        <f>IFERROR($N326+VLOOKUP($L326,'Voyage days'!$F$807:$K$878,6,FALSE),"")</f>
        <v>46154</v>
      </c>
      <c r="BN326" s="94" t="str">
        <f>IF(L326="loads AG", IFERROR($M326+VLOOKUP($L326,'Voyage days'!$M$38:$O$38,3,FALSE),""),"")</f>
        <v/>
      </c>
      <c r="BO326" s="94" t="str">
        <f>IF(L326="loads USG", IFERROR($M326+VLOOKUP($L326,'Voyage days'!$L$203:$N$203,3,FALSE),""),"")</f>
        <v/>
      </c>
    </row>
    <row r="327" spans="1:67" ht="15.75" customHeight="1" x14ac:dyDescent="0.25">
      <c r="A327" s="317" t="s">
        <v>1514</v>
      </c>
      <c r="B327" s="119">
        <v>2023</v>
      </c>
      <c r="C327" s="76">
        <v>86000</v>
      </c>
      <c r="D327" s="77" t="s">
        <v>651</v>
      </c>
      <c r="E327" s="178" t="s">
        <v>757</v>
      </c>
      <c r="F327" s="78"/>
      <c r="G327" s="78"/>
      <c r="H327" s="78" t="s">
        <v>713</v>
      </c>
      <c r="I327" s="233" t="s">
        <v>1462</v>
      </c>
      <c r="J327" s="80" t="str">
        <f t="shared" si="61"/>
        <v/>
      </c>
      <c r="K327" s="81"/>
      <c r="L327" s="159" t="s">
        <v>710</v>
      </c>
      <c r="M327" s="83">
        <v>46146</v>
      </c>
      <c r="N327" s="83">
        <v>46148</v>
      </c>
      <c r="O327" s="84" t="s">
        <v>1367</v>
      </c>
      <c r="P327" s="82" t="s">
        <v>1515</v>
      </c>
      <c r="Q327" s="82"/>
      <c r="R327" s="82" t="s">
        <v>1516</v>
      </c>
      <c r="S327" s="107" t="s">
        <v>33</v>
      </c>
      <c r="T327" s="86">
        <v>46132</v>
      </c>
      <c r="U327" s="87" t="str">
        <f>IF(V327="","No AIS",VLOOKUP(V327,'Voyage days'!$A$3:$B$1480,2,FALSE))</f>
        <v>East China + 4</v>
      </c>
      <c r="V327" s="88" t="str">
        <f>IF(VLOOKUP(A327,'1) Kpler'!$E$2:$P$1000,8, FALSE)="","",VLOOKUP(A327,'1) Kpler'!$E$2:$P$1000,8, FALSE))</f>
        <v>Ningbo Area</v>
      </c>
      <c r="W327" s="89">
        <f>IF(VLOOKUP(A327,'1) Kpler'!$E$2:$P$1000,9,FALSE)="","",VLOOKUP(A327,'1) Kpler'!$E$2:$P$1000,9,FALSE))</f>
        <v>46142.208333333336</v>
      </c>
      <c r="X327" s="88" t="str">
        <f>VLOOKUP(A327,'1) Kpler'!$E$2:$I$1000,4,FALSE)</f>
        <v>loaded</v>
      </c>
      <c r="Y327" s="234" t="str">
        <f t="shared" si="49"/>
        <v>21-23 May</v>
      </c>
      <c r="Z327" s="234" t="str">
        <f t="shared" si="50"/>
        <v>05-07 Jun</v>
      </c>
      <c r="AA327" s="234" t="str">
        <f t="shared" si="51"/>
        <v>17-19 Jun</v>
      </c>
      <c r="AB327" s="234" t="str">
        <f t="shared" si="52"/>
        <v>01-03 Jun</v>
      </c>
      <c r="AC327" s="234" t="str">
        <f t="shared" si="53"/>
        <v>08-10 Jun</v>
      </c>
      <c r="AD327" s="234" t="str">
        <f t="shared" si="54"/>
        <v>10-12 May</v>
      </c>
      <c r="AE327" s="235" t="str">
        <f t="shared" si="55"/>
        <v>11-13 May</v>
      </c>
      <c r="AF327" s="92" t="str">
        <f t="shared" si="56"/>
        <v>17-19 Jun</v>
      </c>
      <c r="AG327" s="93" t="str">
        <f t="shared" si="57"/>
        <v>21-23 May</v>
      </c>
      <c r="AH327" s="94">
        <f>IFERROR($M327+VLOOKUP($L327,'Voyage days'!$F$38:$H$89,3,FALSE),"")</f>
        <v>46163</v>
      </c>
      <c r="AI327" s="94">
        <f>IFERROR(N327+VLOOKUP($L327,'Voyage days'!$F$38:$H$89,3,FALSE),"")</f>
        <v>46165</v>
      </c>
      <c r="AJ327" s="93" t="str">
        <f t="shared" si="27"/>
        <v>05-07 Jun</v>
      </c>
      <c r="AK327" s="94">
        <f>IFERROR($M327+VLOOKUP($L327,'Voyage days'!$F$94:$H$193,3,FALSE),"")</f>
        <v>46178</v>
      </c>
      <c r="AL327" s="94">
        <f>IFERROR($N327+VLOOKUP($L327,'Voyage days'!$F$94:$H$193,3,FALSE),"")</f>
        <v>46180</v>
      </c>
      <c r="AM327" s="93" t="str">
        <f t="shared" si="28"/>
        <v>17-19 Jun</v>
      </c>
      <c r="AN327" s="94">
        <f>IFERROR($M327+VLOOKUP($L327,'Voyage days'!$F$203:$H$256,3,FALSE),"")</f>
        <v>46190</v>
      </c>
      <c r="AO327" s="94">
        <f>IFERROR($N327+VLOOKUP($L327,'Voyage days'!$F$203:$H$256,3,FALSE),"")</f>
        <v>46192</v>
      </c>
      <c r="AP327" s="93" t="str">
        <f t="shared" si="29"/>
        <v>01-03 Jun</v>
      </c>
      <c r="AQ327" s="94">
        <f>IFERROR($M327+VLOOKUP($L327,'Voyage days'!$F$294:$H$377,3,FALSE),"")</f>
        <v>46174</v>
      </c>
      <c r="AR327" s="94">
        <f>IFERROR($N327+VLOOKUP($L327,'Voyage days'!$F$294:$H$377,3,FALSE),"")</f>
        <v>46176</v>
      </c>
      <c r="AS327" s="93" t="str">
        <f t="shared" si="30"/>
        <v>08-10 Jun</v>
      </c>
      <c r="AT327" s="94">
        <f>IFERROR($M327+VLOOKUP($L327,'Voyage days'!$F$382:$H$446,3,FALSE),"")</f>
        <v>46181</v>
      </c>
      <c r="AU327" s="94">
        <f>IFERROR($N327+VLOOKUP($L327,'Voyage days'!$F$382:$H$446,3,FALSE),"")</f>
        <v>46183</v>
      </c>
      <c r="AV327" s="93" t="str">
        <f t="shared" si="31"/>
        <v>18-20 May</v>
      </c>
      <c r="AW327" s="94">
        <f>IFERROR($M327+VLOOKUP($L327,'Voyage days'!$F$483:$H$538,3,FALSE),"")</f>
        <v>46160</v>
      </c>
      <c r="AX327" s="94">
        <f>IFERROR($N327+VLOOKUP($L327,'Voyage days'!$F$483:$H$538,3,FALSE),"")</f>
        <v>46162</v>
      </c>
      <c r="AY327" s="93" t="str">
        <f t="shared" si="32"/>
        <v>11-13 May</v>
      </c>
      <c r="AZ327" s="94">
        <f>IFERROR($M327+VLOOKUP($L327,'Voyage days'!$F$540:$H$613,3,FALSE),"")</f>
        <v>46153.25</v>
      </c>
      <c r="BA327" s="94">
        <f>IFERROR($N327+VLOOKUP($L327,'Voyage days'!$F$540:$H$613,3,FALSE),"")</f>
        <v>46155.25</v>
      </c>
      <c r="BB327" s="93" t="str">
        <f t="shared" si="33"/>
        <v>10-12 May</v>
      </c>
      <c r="BC327" s="94">
        <f>IFERROR($M327+VLOOKUP($L327,'Voyage days'!$F$448:$H$479,3,FALSE),"")</f>
        <v>46152</v>
      </c>
      <c r="BD327" s="94">
        <f>IFERROR($N327+VLOOKUP($L327,'Voyage days'!$F$448:$H$479,3,FALSE),"")</f>
        <v>46154</v>
      </c>
      <c r="BE327" s="93" t="str">
        <f t="shared" si="34"/>
        <v>17-19 May</v>
      </c>
      <c r="BF327" s="95">
        <f>IFERROR($M327+VLOOKUP($L327,'Voyage days'!$F$620:$H$646,3,FALSE),"")</f>
        <v>46159</v>
      </c>
      <c r="BG327" s="95">
        <f>IFERROR($N327+VLOOKUP($L327,'Voyage days'!$F$620:$H$646,3,FALSE),"")</f>
        <v>46161</v>
      </c>
      <c r="BH327" s="93" t="str">
        <f t="shared" si="35"/>
        <v>11-19 Jun</v>
      </c>
      <c r="BI327" s="96">
        <f>IFERROR($M327+VLOOKUP($L327,'Voyage days'!$F$702:$H$727,3,FALSE),"")</f>
        <v>46153.25</v>
      </c>
      <c r="BJ327" s="93" t="str">
        <f t="shared" si="36"/>
        <v>17-19 Jun</v>
      </c>
      <c r="BK327" s="95">
        <f>IFERROR($M327+VLOOKUP($L327,'Voyage days'!$F$807:$H$878,3,FALSE),"")</f>
        <v>46190</v>
      </c>
      <c r="BL327" s="95">
        <f>IFERROR($N327+VLOOKUP($L327,'Voyage days'!$F$807:$H$878,3,FALSE),"")</f>
        <v>46192</v>
      </c>
      <c r="BM327" s="95">
        <f>IFERROR($N327+VLOOKUP($L327,'Voyage days'!$F$807:$K$878,6,FALSE),"")</f>
        <v>46166</v>
      </c>
      <c r="BN327" s="94" t="str">
        <f>IF(L327="loads AG", IFERROR($M327+VLOOKUP($L327,'Voyage days'!$M$38:$O$38,3,FALSE),""),"")</f>
        <v/>
      </c>
      <c r="BO327" s="94" t="str">
        <f>IF(L327="loads USG", IFERROR($M327+VLOOKUP($L327,'Voyage days'!$L$203:$N$203,3,FALSE),""),"")</f>
        <v/>
      </c>
    </row>
    <row r="328" spans="1:67" ht="15.75" customHeight="1" x14ac:dyDescent="0.25">
      <c r="A328" s="280" t="s">
        <v>583</v>
      </c>
      <c r="B328" s="176">
        <v>42389</v>
      </c>
      <c r="C328" s="134">
        <v>84000</v>
      </c>
      <c r="D328" s="77" t="s">
        <v>651</v>
      </c>
      <c r="E328" s="143"/>
      <c r="F328" s="136"/>
      <c r="G328" s="136"/>
      <c r="H328" s="136"/>
      <c r="I328" s="177" t="s">
        <v>1462</v>
      </c>
      <c r="J328" s="138" t="str">
        <f t="shared" si="61"/>
        <v/>
      </c>
      <c r="K328" s="139"/>
      <c r="L328" s="140" t="s">
        <v>718</v>
      </c>
      <c r="M328" s="141">
        <v>46157</v>
      </c>
      <c r="N328" s="141">
        <v>46158</v>
      </c>
      <c r="O328" s="142"/>
      <c r="P328" s="140" t="s">
        <v>885</v>
      </c>
      <c r="Q328" s="140"/>
      <c r="R328" s="140" t="s">
        <v>1517</v>
      </c>
      <c r="S328" s="143" t="s">
        <v>33</v>
      </c>
      <c r="T328" s="144">
        <v>46132</v>
      </c>
      <c r="U328" s="145" t="str">
        <f>IF(V328="","No AIS",VLOOKUP(V328,'Voyage days'!$A$3:$B$1480,2,FALSE))</f>
        <v>Panama</v>
      </c>
      <c r="V328" s="146" t="str">
        <f>IF(VLOOKUP(A328,'1) Kpler'!$E$2:$P$1000,8, FALSE)="","",VLOOKUP(A328,'1) Kpler'!$E$2:$P$1000,8, FALSE))</f>
        <v>Panama Canal</v>
      </c>
      <c r="W328" s="147">
        <f>IF(VLOOKUP(A328,'1) Kpler'!$E$2:$P$1000,9,FALSE)="","",VLOOKUP(A328,'1) Kpler'!$E$2:$P$1000,9,FALSE))</f>
        <v>46147.000694444447</v>
      </c>
      <c r="X328" s="146" t="str">
        <f>VLOOKUP(A328,'1) Kpler'!$E$2:$I$1000,4,FALSE)</f>
        <v>ballast</v>
      </c>
      <c r="Y328" s="445" t="str">
        <f t="shared" si="49"/>
        <v/>
      </c>
      <c r="Z328" s="445" t="str">
        <f t="shared" si="50"/>
        <v>15-16 May</v>
      </c>
      <c r="AA328" s="445" t="str">
        <f t="shared" si="51"/>
        <v>15-16 May</v>
      </c>
      <c r="AB328" s="445" t="str">
        <f t="shared" si="52"/>
        <v/>
      </c>
      <c r="AC328" s="445" t="str">
        <f t="shared" si="53"/>
        <v>04-05 Jun</v>
      </c>
      <c r="AD328" s="445" t="str">
        <f t="shared" si="54"/>
        <v/>
      </c>
      <c r="AE328" s="446" t="str">
        <f t="shared" si="55"/>
        <v/>
      </c>
      <c r="AF328" s="150" t="str">
        <f t="shared" si="56"/>
        <v/>
      </c>
      <c r="AG328" s="93" t="str">
        <f t="shared" si="57"/>
        <v/>
      </c>
      <c r="AH328" s="94" t="str">
        <f>IFERROR($M328+VLOOKUP($L328,'Voyage days'!$F$38:$H$89,3,FALSE),"")</f>
        <v/>
      </c>
      <c r="AI328" s="94" t="str">
        <f>IFERROR(N328+VLOOKUP($L328,'Voyage days'!$F$38:$H$89,3,FALSE),"")</f>
        <v/>
      </c>
      <c r="AJ328" s="93" t="str">
        <f t="shared" si="27"/>
        <v>15-16 May</v>
      </c>
      <c r="AK328" s="94">
        <f>IFERROR($M328+VLOOKUP($L328,'Voyage days'!$F$94:$H$193,3,FALSE),"")</f>
        <v>46157</v>
      </c>
      <c r="AL328" s="94">
        <f>IFERROR($N328+VLOOKUP($L328,'Voyage days'!$F$94:$H$193,3,FALSE),"")</f>
        <v>46158</v>
      </c>
      <c r="AM328" s="93" t="str">
        <f t="shared" si="28"/>
        <v>15-16 May</v>
      </c>
      <c r="AN328" s="94">
        <f>IFERROR($M328+VLOOKUP($L328,'Voyage days'!$F$203:$H$256,3,FALSE),"")</f>
        <v>46157</v>
      </c>
      <c r="AO328" s="94">
        <f>IFERROR($N328+VLOOKUP($L328,'Voyage days'!$F$203:$H$256,3,FALSE),"")</f>
        <v>46158</v>
      </c>
      <c r="AP328" s="93" t="str">
        <f t="shared" si="29"/>
        <v/>
      </c>
      <c r="AQ328" s="94" t="str">
        <f>IFERROR($M328+VLOOKUP($L328,'Voyage days'!$F$294:$H$377,3,FALSE),"")</f>
        <v/>
      </c>
      <c r="AR328" s="94" t="str">
        <f>IFERROR($N328+VLOOKUP($L328,'Voyage days'!$F$294:$H$377,3,FALSE),"")</f>
        <v/>
      </c>
      <c r="AS328" s="93" t="str">
        <f t="shared" si="30"/>
        <v>04-05 Jun</v>
      </c>
      <c r="AT328" s="94">
        <f>IFERROR($M328+VLOOKUP($L328,'Voyage days'!$F$382:$H$446,3,FALSE),"")</f>
        <v>46177</v>
      </c>
      <c r="AU328" s="94">
        <f>IFERROR($N328+VLOOKUP($L328,'Voyage days'!$F$382:$H$446,3,FALSE),"")</f>
        <v>46178</v>
      </c>
      <c r="AV328" s="93" t="str">
        <f t="shared" si="31"/>
        <v/>
      </c>
      <c r="AW328" s="94" t="str">
        <f>IFERROR($M328+VLOOKUP($L328,'Voyage days'!$F$483:$H$538,3,FALSE),"")</f>
        <v/>
      </c>
      <c r="AX328" s="94" t="str">
        <f>IFERROR($N328+VLOOKUP($L328,'Voyage days'!$F$483:$H$538,3,FALSE),"")</f>
        <v/>
      </c>
      <c r="AY328" s="93" t="str">
        <f t="shared" si="32"/>
        <v/>
      </c>
      <c r="AZ328" s="94" t="str">
        <f>IFERROR($M328+VLOOKUP($L328,'Voyage days'!$F$540:$H$613,3,FALSE),"")</f>
        <v/>
      </c>
      <c r="BA328" s="94" t="str">
        <f>IFERROR($N328+VLOOKUP($L328,'Voyage days'!$F$540:$H$613,3,FALSE),"")</f>
        <v/>
      </c>
      <c r="BB328" s="93" t="str">
        <f t="shared" si="33"/>
        <v/>
      </c>
      <c r="BC328" s="94" t="str">
        <f>IFERROR($M328+VLOOKUP($L328,'Voyage days'!$F$448:$H$479,3,FALSE),"")</f>
        <v/>
      </c>
      <c r="BD328" s="94" t="str">
        <f>IFERROR($N328+VLOOKUP($L328,'Voyage days'!$F$448:$H$479,3,FALSE),"")</f>
        <v/>
      </c>
      <c r="BE328" s="93" t="str">
        <f t="shared" si="34"/>
        <v/>
      </c>
      <c r="BF328" s="95" t="str">
        <f>IFERROR($M328+VLOOKUP($L328,'Voyage days'!$F$620:$H$646,3,FALSE),"")</f>
        <v/>
      </c>
      <c r="BG328" s="95" t="str">
        <f>IFERROR($N328+VLOOKUP($L328,'Voyage days'!$F$620:$H$646,3,FALSE),"")</f>
        <v/>
      </c>
      <c r="BH328" s="93" t="str">
        <f t="shared" si="35"/>
        <v/>
      </c>
      <c r="BI328" s="96" t="str">
        <f>IFERROR($M328+VLOOKUP($L328,'Voyage days'!$F$702:$H$727,3,FALSE),"")</f>
        <v/>
      </c>
      <c r="BJ328" s="93" t="str">
        <f t="shared" si="36"/>
        <v/>
      </c>
      <c r="BK328" s="95" t="str">
        <f>IFERROR($M328+VLOOKUP($L328,'Voyage days'!$F$807:$H$878,3,FALSE),"")</f>
        <v/>
      </c>
      <c r="BL328" s="95" t="str">
        <f>IFERROR($N328+VLOOKUP($L328,'Voyage days'!$F$807:$H$878,3,FALSE),"")</f>
        <v/>
      </c>
      <c r="BM328" s="95" t="str">
        <f>IFERROR($N328+VLOOKUP($L328,'Voyage days'!$F$807:$K$878,6,FALSE),"")</f>
        <v/>
      </c>
      <c r="BN328" s="94" t="str">
        <f>IF(L328="loads AG", IFERROR($M328+VLOOKUP($L328,'Voyage days'!$M$38:$O$38,3,FALSE),""),"")</f>
        <v/>
      </c>
      <c r="BO328" s="94">
        <f>IF(L328="loads USG", IFERROR($M328+VLOOKUP($L328,'Voyage days'!$L$203:$N$203,3,FALSE),""),"")</f>
        <v>46189</v>
      </c>
    </row>
    <row r="329" spans="1:67" ht="15.75" customHeight="1" x14ac:dyDescent="0.25">
      <c r="A329" s="403" t="s">
        <v>37</v>
      </c>
      <c r="B329" s="229">
        <v>39783</v>
      </c>
      <c r="C329" s="183">
        <v>82200</v>
      </c>
      <c r="D329" s="184"/>
      <c r="E329" s="184"/>
      <c r="F329" s="185"/>
      <c r="G329" s="185"/>
      <c r="H329" s="185"/>
      <c r="I329" s="404" t="s">
        <v>1518</v>
      </c>
      <c r="J329" s="187" t="str">
        <f t="shared" si="61"/>
        <v/>
      </c>
      <c r="K329" s="123"/>
      <c r="L329" s="186" t="s">
        <v>718</v>
      </c>
      <c r="M329" s="189">
        <v>46138</v>
      </c>
      <c r="N329" s="189">
        <v>46139</v>
      </c>
      <c r="O329" s="84"/>
      <c r="P329" s="82" t="s">
        <v>1092</v>
      </c>
      <c r="Q329" s="527"/>
      <c r="R329" s="85" t="s">
        <v>1519</v>
      </c>
      <c r="S329" s="120" t="s">
        <v>33</v>
      </c>
      <c r="T329" s="86">
        <v>46131</v>
      </c>
      <c r="U329" s="87" t="str">
        <f>IF(V329="","No AIS",VLOOKUP(V329,'Voyage days'!$A$3:$B$1480,2,FALSE))</f>
        <v>USG</v>
      </c>
      <c r="V329" s="87" t="str">
        <f>IF(VLOOKUP(A329,'1) Kpler'!$E$2:$P$1000,8, FALSE)="","",VLOOKUP(A329,'1) Kpler'!$E$2:$P$1000,8, FALSE))</f>
        <v>Houston</v>
      </c>
      <c r="W329" s="128">
        <f>IF(VLOOKUP(A329,'1) Kpler'!$E$2:$P$1000,9,FALSE)="","",VLOOKUP(A329,'1) Kpler'!$E$2:$P$1000,9,FALSE))</f>
        <v>46138.125</v>
      </c>
      <c r="X329" s="87" t="str">
        <f>VLOOKUP(A329,'1) Kpler'!$E$2:$I$1000,4,FALSE)</f>
        <v>ballast</v>
      </c>
      <c r="Y329" s="219" t="str">
        <f t="shared" si="49"/>
        <v/>
      </c>
      <c r="Z329" s="219" t="str">
        <f t="shared" si="50"/>
        <v>26-27 Apr</v>
      </c>
      <c r="AA329" s="219" t="str">
        <f t="shared" si="51"/>
        <v>26-27 Apr</v>
      </c>
      <c r="AB329" s="219" t="str">
        <f t="shared" si="52"/>
        <v/>
      </c>
      <c r="AC329" s="219" t="str">
        <f t="shared" si="53"/>
        <v>16-17 May</v>
      </c>
      <c r="AD329" s="219" t="str">
        <f t="shared" si="54"/>
        <v/>
      </c>
      <c r="AE329" s="220" t="str">
        <f t="shared" si="55"/>
        <v/>
      </c>
      <c r="AF329" s="130" t="str">
        <f t="shared" si="56"/>
        <v/>
      </c>
      <c r="AG329" s="131" t="str">
        <f t="shared" si="57"/>
        <v/>
      </c>
      <c r="AH329" s="95" t="str">
        <f>IFERROR($M329+VLOOKUP($L329,'Voyage days'!$F$38:$H$89,3,FALSE),"")</f>
        <v/>
      </c>
      <c r="AI329" s="95" t="str">
        <f>IFERROR(N329+VLOOKUP($L329,'Voyage days'!$F$38:$H$89,3,FALSE),"")</f>
        <v/>
      </c>
      <c r="AJ329" s="131" t="str">
        <f t="shared" si="27"/>
        <v>26-27 Apr</v>
      </c>
      <c r="AK329" s="95">
        <f>IFERROR($M329+VLOOKUP($L329,'Voyage days'!$F$94:$H$193,3,FALSE),"")</f>
        <v>46138</v>
      </c>
      <c r="AL329" s="95">
        <f>IFERROR($N329+VLOOKUP($L329,'Voyage days'!$F$94:$H$193,3,FALSE),"")</f>
        <v>46139</v>
      </c>
      <c r="AM329" s="131" t="str">
        <f t="shared" si="28"/>
        <v>26-27 Apr</v>
      </c>
      <c r="AN329" s="95">
        <f>IFERROR($M329+VLOOKUP($L329,'Voyage days'!$F$203:$H$256,3,FALSE),"")</f>
        <v>46138</v>
      </c>
      <c r="AO329" s="95">
        <f>IFERROR($N329+VLOOKUP($L329,'Voyage days'!$F$203:$H$256,3,FALSE),"")</f>
        <v>46139</v>
      </c>
      <c r="AP329" s="131" t="str">
        <f t="shared" si="29"/>
        <v/>
      </c>
      <c r="AQ329" s="95" t="str">
        <f>IFERROR($M329+VLOOKUP($L329,'Voyage days'!$F$294:$H$377,3,FALSE),"")</f>
        <v/>
      </c>
      <c r="AR329" s="95" t="str">
        <f>IFERROR($N329+VLOOKUP($L329,'Voyage days'!$F$294:$H$377,3,FALSE),"")</f>
        <v/>
      </c>
      <c r="AS329" s="131" t="str">
        <f t="shared" si="30"/>
        <v>16-17 May</v>
      </c>
      <c r="AT329" s="95">
        <f>IFERROR($M329+VLOOKUP($L329,'Voyage days'!$F$382:$H$446,3,FALSE),"")</f>
        <v>46158</v>
      </c>
      <c r="AU329" s="95">
        <f>IFERROR($N329+VLOOKUP($L329,'Voyage days'!$F$382:$H$446,3,FALSE),"")</f>
        <v>46159</v>
      </c>
      <c r="AV329" s="131" t="str">
        <f t="shared" si="31"/>
        <v/>
      </c>
      <c r="AW329" s="95" t="str">
        <f>IFERROR($M329+VLOOKUP($L329,'Voyage days'!$F$483:$H$538,3,FALSE),"")</f>
        <v/>
      </c>
      <c r="AX329" s="95" t="str">
        <f>IFERROR($N329+VLOOKUP($L329,'Voyage days'!$F$483:$H$538,3,FALSE),"")</f>
        <v/>
      </c>
      <c r="AY329" s="131" t="str">
        <f t="shared" si="32"/>
        <v/>
      </c>
      <c r="AZ329" s="95" t="str">
        <f>IFERROR($M329+VLOOKUP($L329,'Voyage days'!$F$540:$H$613,3,FALSE),"")</f>
        <v/>
      </c>
      <c r="BA329" s="95" t="str">
        <f>IFERROR($N329+VLOOKUP($L329,'Voyage days'!$F$540:$H$613,3,FALSE),"")</f>
        <v/>
      </c>
      <c r="BB329" s="131" t="str">
        <f t="shared" si="33"/>
        <v/>
      </c>
      <c r="BC329" s="94" t="str">
        <f>IFERROR($M329+VLOOKUP($L329,'Voyage days'!$F$448:$H$479,3,FALSE),"")</f>
        <v/>
      </c>
      <c r="BD329" s="94" t="str">
        <f>IFERROR($N329+VLOOKUP($L329,'Voyage days'!$F$448:$H$479,3,FALSE),"")</f>
        <v/>
      </c>
      <c r="BE329" s="131" t="str">
        <f t="shared" si="34"/>
        <v/>
      </c>
      <c r="BF329" s="95" t="str">
        <f>IFERROR($M329+VLOOKUP($L329,'Voyage days'!$F$620:$H$646,3,FALSE),"")</f>
        <v/>
      </c>
      <c r="BG329" s="95" t="str">
        <f>IFERROR($N329+VLOOKUP($L329,'Voyage days'!$F$620:$H$646,3,FALSE),"")</f>
        <v/>
      </c>
      <c r="BH329" s="131" t="str">
        <f t="shared" si="35"/>
        <v/>
      </c>
      <c r="BI329" s="96" t="str">
        <f>IFERROR($M329+VLOOKUP($L329,'Voyage days'!$F$702:$H$727,3,FALSE),"")</f>
        <v/>
      </c>
      <c r="BJ329" s="131" t="str">
        <f t="shared" si="36"/>
        <v/>
      </c>
      <c r="BK329" s="95" t="str">
        <f>IFERROR($M329+VLOOKUP($L329,'Voyage days'!$F$807:$H$878,3,FALSE),"")</f>
        <v/>
      </c>
      <c r="BL329" s="95" t="str">
        <f>IFERROR($N329+VLOOKUP($L329,'Voyage days'!$F$807:$H$878,3,FALSE),"")</f>
        <v/>
      </c>
      <c r="BM329" s="95" t="str">
        <f>IFERROR($N329+VLOOKUP($L329,'Voyage days'!$F$807:$K$878,6,FALSE),"")</f>
        <v/>
      </c>
      <c r="BN329" s="94" t="str">
        <f>IF(L329="loads AG", IFERROR($M329+VLOOKUP($L329,'Voyage days'!$M$38:$O$38,3,FALSE),""),"")</f>
        <v/>
      </c>
      <c r="BO329" s="94">
        <f>IF(L329="loads USG", IFERROR($M329+VLOOKUP($L329,'Voyage days'!$L$203:$N$203,3,FALSE),""),"")</f>
        <v>46170</v>
      </c>
    </row>
    <row r="330" spans="1:67" ht="15.75" customHeight="1" x14ac:dyDescent="0.25">
      <c r="A330" s="113" t="s">
        <v>99</v>
      </c>
      <c r="B330" s="119">
        <v>2023</v>
      </c>
      <c r="C330" s="76">
        <v>91000</v>
      </c>
      <c r="D330" s="120" t="s">
        <v>651</v>
      </c>
      <c r="E330" s="120" t="s">
        <v>757</v>
      </c>
      <c r="F330" s="121"/>
      <c r="G330" s="121"/>
      <c r="H330" s="121" t="s">
        <v>713</v>
      </c>
      <c r="I330" s="249" t="s">
        <v>1518</v>
      </c>
      <c r="J330" s="122" t="str">
        <f t="shared" si="61"/>
        <v/>
      </c>
      <c r="K330" s="123"/>
      <c r="L330" s="124" t="s">
        <v>718</v>
      </c>
      <c r="M330" s="222">
        <v>46168</v>
      </c>
      <c r="N330" s="222">
        <v>46169</v>
      </c>
      <c r="O330" s="126"/>
      <c r="P330" s="124" t="s">
        <v>910</v>
      </c>
      <c r="Q330" s="124"/>
      <c r="R330" s="124" t="s">
        <v>1520</v>
      </c>
      <c r="S330" s="120" t="s">
        <v>33</v>
      </c>
      <c r="T330" s="232">
        <v>46131</v>
      </c>
      <c r="U330" s="87" t="str">
        <f>IF(V330="","No AIS",VLOOKUP(V330,'Voyage days'!$A$3:$B$1480,2,FALSE))</f>
        <v>Singapore</v>
      </c>
      <c r="V330" s="87" t="str">
        <f>IF(VLOOKUP(A330,'1) Kpler'!$E$2:$P$1000,8, FALSE)="","",VLOOKUP(A330,'1) Kpler'!$E$2:$P$1000,8, FALSE))</f>
        <v>Singapore</v>
      </c>
      <c r="W330" s="128">
        <f>IF(VLOOKUP(A330,'1) Kpler'!$E$2:$P$1000,9,FALSE)="","",VLOOKUP(A330,'1) Kpler'!$E$2:$P$1000,9,FALSE))</f>
        <v>46133.666666666664</v>
      </c>
      <c r="X330" s="87" t="str">
        <f>VLOOKUP(A330,'1) Kpler'!$E$2:$I$1000,4,FALSE)</f>
        <v>open</v>
      </c>
      <c r="Y330" s="219" t="str">
        <f t="shared" si="49"/>
        <v/>
      </c>
      <c r="Z330" s="219" t="str">
        <f t="shared" si="50"/>
        <v>26-27 May</v>
      </c>
      <c r="AA330" s="219" t="str">
        <f t="shared" si="51"/>
        <v>26-27 May</v>
      </c>
      <c r="AB330" s="219" t="str">
        <f t="shared" si="52"/>
        <v/>
      </c>
      <c r="AC330" s="219" t="str">
        <f t="shared" si="53"/>
        <v>15-16 Jun</v>
      </c>
      <c r="AD330" s="219" t="str">
        <f t="shared" si="54"/>
        <v/>
      </c>
      <c r="AE330" s="220" t="str">
        <f t="shared" si="55"/>
        <v/>
      </c>
      <c r="AF330" s="130" t="str">
        <f t="shared" si="56"/>
        <v/>
      </c>
      <c r="AG330" s="131" t="str">
        <f t="shared" si="57"/>
        <v/>
      </c>
      <c r="AH330" s="95" t="str">
        <f>IFERROR($M330+VLOOKUP($L330,'Voyage days'!$F$38:$H$89,3,FALSE),"")</f>
        <v/>
      </c>
      <c r="AI330" s="95" t="str">
        <f>IFERROR(N330+VLOOKUP($L330,'Voyage days'!$F$38:$H$89,3,FALSE),"")</f>
        <v/>
      </c>
      <c r="AJ330" s="131" t="str">
        <f t="shared" si="27"/>
        <v>26-27 May</v>
      </c>
      <c r="AK330" s="95">
        <f>IFERROR($M330+VLOOKUP($L330,'Voyage days'!$F$94:$H$193,3,FALSE),"")</f>
        <v>46168</v>
      </c>
      <c r="AL330" s="95">
        <f>IFERROR($N330+VLOOKUP($L330,'Voyage days'!$F$94:$H$193,3,FALSE),"")</f>
        <v>46169</v>
      </c>
      <c r="AM330" s="131" t="str">
        <f t="shared" si="28"/>
        <v>26-27 May</v>
      </c>
      <c r="AN330" s="95">
        <f>IFERROR($M330+VLOOKUP($L330,'Voyage days'!$F$203:$H$256,3,FALSE),"")</f>
        <v>46168</v>
      </c>
      <c r="AO330" s="95">
        <f>IFERROR($N330+VLOOKUP($L330,'Voyage days'!$F$203:$H$256,3,FALSE),"")</f>
        <v>46169</v>
      </c>
      <c r="AP330" s="131" t="str">
        <f t="shared" si="29"/>
        <v/>
      </c>
      <c r="AQ330" s="95" t="str">
        <f>IFERROR($M330+VLOOKUP($L330,'Voyage days'!$F$294:$H$377,3,FALSE),"")</f>
        <v/>
      </c>
      <c r="AR330" s="95" t="str">
        <f>IFERROR($N330+VLOOKUP($L330,'Voyage days'!$F$294:$H$377,3,FALSE),"")</f>
        <v/>
      </c>
      <c r="AS330" s="131" t="str">
        <f t="shared" si="30"/>
        <v>15-16 Jun</v>
      </c>
      <c r="AT330" s="95">
        <f>IFERROR($M330+VLOOKUP($L330,'Voyage days'!$F$382:$H$446,3,FALSE),"")</f>
        <v>46188</v>
      </c>
      <c r="AU330" s="95">
        <f>IFERROR($N330+VLOOKUP($L330,'Voyage days'!$F$382:$H$446,3,FALSE),"")</f>
        <v>46189</v>
      </c>
      <c r="AV330" s="131" t="str">
        <f t="shared" si="31"/>
        <v/>
      </c>
      <c r="AW330" s="95" t="str">
        <f>IFERROR($M330+VLOOKUP($L330,'Voyage days'!$F$483:$H$538,3,FALSE),"")</f>
        <v/>
      </c>
      <c r="AX330" s="95" t="str">
        <f>IFERROR($N330+VLOOKUP($L330,'Voyage days'!$F$483:$H$538,3,FALSE),"")</f>
        <v/>
      </c>
      <c r="AY330" s="131" t="str">
        <f t="shared" si="32"/>
        <v/>
      </c>
      <c r="AZ330" s="95" t="str">
        <f>IFERROR($M330+VLOOKUP($L330,'Voyage days'!$F$540:$H$613,3,FALSE),"")</f>
        <v/>
      </c>
      <c r="BA330" s="95" t="str">
        <f>IFERROR($N330+VLOOKUP($L330,'Voyage days'!$F$540:$H$613,3,FALSE),"")</f>
        <v/>
      </c>
      <c r="BB330" s="131" t="str">
        <f t="shared" si="33"/>
        <v/>
      </c>
      <c r="BC330" s="95" t="str">
        <f>IFERROR($M330+VLOOKUP($L330,'Voyage days'!$F$448:$H$479,3,FALSE),"")</f>
        <v/>
      </c>
      <c r="BD330" s="95" t="str">
        <f>IFERROR($N330+VLOOKUP($L330,'Voyage days'!$F$448:$H$479,3,FALSE),"")</f>
        <v/>
      </c>
      <c r="BE330" s="131" t="str">
        <f t="shared" si="34"/>
        <v/>
      </c>
      <c r="BF330" s="95" t="str">
        <f>IFERROR($M330+VLOOKUP($L330,'Voyage days'!$F$620:$H$646,3,FALSE),"")</f>
        <v/>
      </c>
      <c r="BG330" s="95" t="str">
        <f>IFERROR($N330+VLOOKUP($L330,'Voyage days'!$F$620:$H$646,3,FALSE),"")</f>
        <v/>
      </c>
      <c r="BH330" s="131" t="str">
        <f t="shared" si="35"/>
        <v/>
      </c>
      <c r="BI330" s="96" t="str">
        <f>IFERROR($M330+VLOOKUP($L330,'Voyage days'!$F$702:$H$727,3,FALSE),"")</f>
        <v/>
      </c>
      <c r="BJ330" s="131" t="str">
        <f t="shared" si="36"/>
        <v/>
      </c>
      <c r="BK330" s="95" t="str">
        <f>IFERROR($M330+VLOOKUP($L330,'Voyage days'!$F$807:$H$878,3,FALSE),"")</f>
        <v/>
      </c>
      <c r="BL330" s="95" t="str">
        <f>IFERROR($N330+VLOOKUP($L330,'Voyage days'!$F$807:$H$878,3,FALSE),"")</f>
        <v/>
      </c>
      <c r="BM330" s="95" t="str">
        <f>IFERROR($N330+VLOOKUP($L330,'Voyage days'!$F$807:$K$878,6,FALSE),"")</f>
        <v/>
      </c>
      <c r="BN330" s="95" t="str">
        <f>IF(L330="loads AG", IFERROR($M330+VLOOKUP($L330,'Voyage days'!$M$38:$O$38,3,FALSE),""),"")</f>
        <v/>
      </c>
      <c r="BO330" s="95">
        <f>IF(L330="loads USG", IFERROR($M330+VLOOKUP($L330,'Voyage days'!$L$203:$N$203,3,FALSE),""),"")</f>
        <v>46200</v>
      </c>
    </row>
    <row r="331" spans="1:67" ht="15.75" customHeight="1" x14ac:dyDescent="0.25">
      <c r="A331" s="339" t="s">
        <v>270</v>
      </c>
      <c r="B331" s="119">
        <v>2020</v>
      </c>
      <c r="C331" s="76">
        <v>84000</v>
      </c>
      <c r="D331" s="107"/>
      <c r="E331" s="107"/>
      <c r="F331" s="78"/>
      <c r="G331" s="78"/>
      <c r="H331" s="78"/>
      <c r="I331" s="233" t="s">
        <v>1518</v>
      </c>
      <c r="J331" s="80" t="str">
        <f t="shared" si="61"/>
        <v/>
      </c>
      <c r="K331" s="81"/>
      <c r="L331" s="82" t="s">
        <v>1086</v>
      </c>
      <c r="M331" s="83">
        <v>46137</v>
      </c>
      <c r="N331" s="83">
        <v>46138</v>
      </c>
      <c r="O331" s="84"/>
      <c r="P331" s="82" t="s">
        <v>1521</v>
      </c>
      <c r="Q331" s="85"/>
      <c r="R331" s="85" t="s">
        <v>1522</v>
      </c>
      <c r="S331" s="120" t="s">
        <v>33</v>
      </c>
      <c r="T331" s="232">
        <v>46131</v>
      </c>
      <c r="U331" s="87" t="str">
        <f>IF(V331="","No AIS",VLOOKUP(V331,'Voyage days'!$A$3:$B$1480,2,FALSE))</f>
        <v>AG</v>
      </c>
      <c r="V331" s="88" t="str">
        <f>IF(VLOOKUP(A331,'1) Kpler'!$E$2:$P$1000,8, FALSE)="","",VLOOKUP(A331,'1) Kpler'!$E$2:$P$1000,8, FALSE))</f>
        <v>Fujairah</v>
      </c>
      <c r="W331" s="89">
        <f>IF(VLOOKUP(A331,'1) Kpler'!$E$2:$P$1000,9,FALSE)="","",VLOOKUP(A331,'1) Kpler'!$E$2:$P$1000,9,FALSE))</f>
        <v>46132.5</v>
      </c>
      <c r="X331" s="88" t="str">
        <f>VLOOKUP(A331,'1) Kpler'!$E$2:$I$1000,4,FALSE)</f>
        <v>open</v>
      </c>
      <c r="Y331" s="234" t="str">
        <f t="shared" si="49"/>
        <v/>
      </c>
      <c r="Z331" s="528" t="str">
        <f t="shared" si="50"/>
        <v/>
      </c>
      <c r="AA331" s="528" t="str">
        <f t="shared" si="51"/>
        <v/>
      </c>
      <c r="AB331" s="234" t="str">
        <f t="shared" si="52"/>
        <v/>
      </c>
      <c r="AC331" s="234" t="str">
        <f t="shared" si="53"/>
        <v>08-09 May</v>
      </c>
      <c r="AD331" s="234" t="str">
        <f t="shared" si="54"/>
        <v/>
      </c>
      <c r="AE331" s="235" t="str">
        <f t="shared" si="55"/>
        <v/>
      </c>
      <c r="AF331" s="92" t="str">
        <f t="shared" si="56"/>
        <v/>
      </c>
      <c r="AG331" s="93" t="str">
        <f t="shared" si="57"/>
        <v/>
      </c>
      <c r="AH331" s="94" t="str">
        <f>IFERROR($M331+VLOOKUP($L331,'Voyage days'!$F$38:$H$89,3,FALSE),"")</f>
        <v/>
      </c>
      <c r="AI331" s="94" t="str">
        <f>IFERROR(N331+VLOOKUP($L331,'Voyage days'!$F$38:$H$89,3,FALSE),"")</f>
        <v/>
      </c>
      <c r="AJ331" s="93" t="str">
        <f t="shared" si="27"/>
        <v/>
      </c>
      <c r="AK331" s="94" t="str">
        <f>IFERROR($M331+VLOOKUP($L331,'Voyage days'!$F$94:$H$193,3,FALSE),"")</f>
        <v/>
      </c>
      <c r="AL331" s="94" t="str">
        <f>IFERROR($N331+VLOOKUP($L331,'Voyage days'!$F$94:$H$193,3,FALSE),"")</f>
        <v/>
      </c>
      <c r="AM331" s="93" t="str">
        <f t="shared" si="28"/>
        <v/>
      </c>
      <c r="AN331" s="94" t="str">
        <f>IFERROR($M331+VLOOKUP($L331,'Voyage days'!$F$203:$H$256,3,FALSE),"")</f>
        <v/>
      </c>
      <c r="AO331" s="94" t="str">
        <f>IFERROR($N331+VLOOKUP($L331,'Voyage days'!$F$203:$H$256,3,FALSE),"")</f>
        <v/>
      </c>
      <c r="AP331" s="93" t="str">
        <f t="shared" si="29"/>
        <v/>
      </c>
      <c r="AQ331" s="94" t="str">
        <f>IFERROR($M331+VLOOKUP($L331,'Voyage days'!$F$294:$H$377,3,FALSE),"")</f>
        <v/>
      </c>
      <c r="AR331" s="94" t="str">
        <f>IFERROR($N331+VLOOKUP($L331,'Voyage days'!$F$294:$H$377,3,FALSE),"")</f>
        <v/>
      </c>
      <c r="AS331" s="93" t="str">
        <f t="shared" si="30"/>
        <v>08-09 May</v>
      </c>
      <c r="AT331" s="94">
        <f>IFERROR($M331+VLOOKUP($L331,'Voyage days'!$F$382:$H$446,3,FALSE),"")</f>
        <v>46150</v>
      </c>
      <c r="AU331" s="94">
        <f>IFERROR($N331+VLOOKUP($L331,'Voyage days'!$F$382:$H$446,3,FALSE),"")</f>
        <v>46151</v>
      </c>
      <c r="AV331" s="93" t="str">
        <f t="shared" si="31"/>
        <v/>
      </c>
      <c r="AW331" s="94" t="str">
        <f>IFERROR($M331+VLOOKUP($L331,'Voyage days'!$F$483:$H$538,3,FALSE),"")</f>
        <v/>
      </c>
      <c r="AX331" s="94" t="str">
        <f>IFERROR($N331+VLOOKUP($L331,'Voyage days'!$F$483:$H$538,3,FALSE),"")</f>
        <v/>
      </c>
      <c r="AY331" s="93" t="str">
        <f t="shared" si="32"/>
        <v/>
      </c>
      <c r="AZ331" s="94" t="str">
        <f>IFERROR($M331+VLOOKUP($L331,'Voyage days'!$F$540:$H$613,3,FALSE),"")</f>
        <v/>
      </c>
      <c r="BA331" s="94" t="str">
        <f>IFERROR($N331+VLOOKUP($L331,'Voyage days'!$F$540:$H$613,3,FALSE),"")</f>
        <v/>
      </c>
      <c r="BB331" s="93" t="str">
        <f t="shared" si="33"/>
        <v/>
      </c>
      <c r="BC331" s="94" t="str">
        <f>IFERROR($M331+VLOOKUP($L331,'Voyage days'!$F$448:$H$479,3,FALSE),"")</f>
        <v/>
      </c>
      <c r="BD331" s="94" t="str">
        <f>IFERROR($N331+VLOOKUP($L331,'Voyage days'!$F$448:$H$479,3,FALSE),"")</f>
        <v/>
      </c>
      <c r="BE331" s="93" t="str">
        <f t="shared" si="34"/>
        <v/>
      </c>
      <c r="BF331" s="95" t="str">
        <f>IFERROR($M331+VLOOKUP($L331,'Voyage days'!$F$620:$H$646,3,FALSE),"")</f>
        <v/>
      </c>
      <c r="BG331" s="95" t="str">
        <f>IFERROR($N331+VLOOKUP($L331,'Voyage days'!$F$620:$H$646,3,FALSE),"")</f>
        <v/>
      </c>
      <c r="BH331" s="93" t="str">
        <f t="shared" si="35"/>
        <v/>
      </c>
      <c r="BI331" s="96" t="str">
        <f>IFERROR($M331+VLOOKUP($L331,'Voyage days'!$F$702:$H$727,3,FALSE),"")</f>
        <v/>
      </c>
      <c r="BJ331" s="93" t="str">
        <f t="shared" si="36"/>
        <v/>
      </c>
      <c r="BK331" s="95" t="str">
        <f>IFERROR($M331+VLOOKUP($L331,'Voyage days'!$F$807:$H$878,3,FALSE),"")</f>
        <v/>
      </c>
      <c r="BL331" s="95" t="str">
        <f>IFERROR($N331+VLOOKUP($L331,'Voyage days'!$F$807:$H$878,3,FALSE),"")</f>
        <v/>
      </c>
      <c r="BM331" s="95" t="str">
        <f>IFERROR($N331+VLOOKUP($L331,'Voyage days'!$F$807:$K$878,6,FALSE),"")</f>
        <v/>
      </c>
      <c r="BN331" s="94" t="str">
        <f>IF(L331="loads AG", IFERROR($M331+VLOOKUP($L331,'Voyage days'!$M$38:$O$38,3,FALSE),""),"")</f>
        <v/>
      </c>
      <c r="BO331" s="94" t="str">
        <f>IF(L331="loads USG", IFERROR($M331+VLOOKUP($L331,'Voyage days'!$L$203:$N$203,3,FALSE),""),"")</f>
        <v/>
      </c>
    </row>
    <row r="332" spans="1:67" ht="15.75" customHeight="1" x14ac:dyDescent="0.25">
      <c r="A332" s="53" t="s">
        <v>271</v>
      </c>
      <c r="B332" s="119">
        <v>2007</v>
      </c>
      <c r="C332" s="76">
        <v>82000</v>
      </c>
      <c r="D332" s="107"/>
      <c r="E332" s="107"/>
      <c r="F332" s="78"/>
      <c r="G332" s="78"/>
      <c r="H332" s="78"/>
      <c r="I332" s="233" t="s">
        <v>1518</v>
      </c>
      <c r="J332" s="80" t="str">
        <f t="shared" si="61"/>
        <v/>
      </c>
      <c r="K332" s="81"/>
      <c r="L332" s="85" t="s">
        <v>1086</v>
      </c>
      <c r="M332" s="83">
        <v>46137</v>
      </c>
      <c r="N332" s="83">
        <v>46138</v>
      </c>
      <c r="O332" s="84" t="s">
        <v>1374</v>
      </c>
      <c r="P332" s="85" t="s">
        <v>1523</v>
      </c>
      <c r="Q332" s="85"/>
      <c r="R332" s="85" t="s">
        <v>1524</v>
      </c>
      <c r="S332" s="120" t="s">
        <v>33</v>
      </c>
      <c r="T332" s="232">
        <v>46131</v>
      </c>
      <c r="U332" s="87" t="str">
        <f>IF(V332="","No AIS",VLOOKUP(V332,'Voyage days'!$A$3:$B$1480,2,FALSE))</f>
        <v>AG</v>
      </c>
      <c r="V332" s="88" t="str">
        <f>IF(VLOOKUP(A332,'1) Kpler'!$E$2:$P$1000,8, FALSE)="","",VLOOKUP(A332,'1) Kpler'!$E$2:$P$1000,8, FALSE))</f>
        <v>Fujairah</v>
      </c>
      <c r="W332" s="89">
        <f>IF(VLOOKUP(A332,'1) Kpler'!$E$2:$P$1000,9,FALSE)="","",VLOOKUP(A332,'1) Kpler'!$E$2:$P$1000,9,FALSE))</f>
        <v>46132.208333333336</v>
      </c>
      <c r="X332" s="88" t="str">
        <f>VLOOKUP(A332,'1) Kpler'!$E$2:$I$1000,4,FALSE)</f>
        <v>ballast</v>
      </c>
      <c r="Y332" s="63" t="str">
        <f t="shared" si="49"/>
        <v/>
      </c>
      <c r="Z332" s="529" t="str">
        <f t="shared" si="50"/>
        <v/>
      </c>
      <c r="AA332" s="529" t="str">
        <f t="shared" si="51"/>
        <v/>
      </c>
      <c r="AB332" s="63" t="str">
        <f t="shared" si="52"/>
        <v/>
      </c>
      <c r="AC332" s="63" t="str">
        <f t="shared" si="53"/>
        <v>08-09 May</v>
      </c>
      <c r="AD332" s="63" t="str">
        <f t="shared" si="54"/>
        <v/>
      </c>
      <c r="AE332" s="129" t="str">
        <f t="shared" si="55"/>
        <v/>
      </c>
      <c r="AF332" s="130" t="str">
        <f t="shared" si="56"/>
        <v/>
      </c>
      <c r="AG332" s="93" t="str">
        <f t="shared" si="57"/>
        <v/>
      </c>
      <c r="AH332" s="94" t="str">
        <f>IFERROR($M332+VLOOKUP($L332,'Voyage days'!$F$38:$H$89,3,FALSE),"")</f>
        <v/>
      </c>
      <c r="AI332" s="94" t="str">
        <f>IFERROR(N332+VLOOKUP($L332,'Voyage days'!$F$38:$H$89,3,FALSE),"")</f>
        <v/>
      </c>
      <c r="AJ332" s="93" t="str">
        <f t="shared" si="27"/>
        <v/>
      </c>
      <c r="AK332" s="94" t="str">
        <f>IFERROR($M332+VLOOKUP($L332,'Voyage days'!$F$94:$H$193,3,FALSE),"")</f>
        <v/>
      </c>
      <c r="AL332" s="94" t="str">
        <f>IFERROR($N332+VLOOKUP($L332,'Voyage days'!$F$94:$H$193,3,FALSE),"")</f>
        <v/>
      </c>
      <c r="AM332" s="93" t="str">
        <f t="shared" si="28"/>
        <v/>
      </c>
      <c r="AN332" s="94" t="str">
        <f>IFERROR($M332+VLOOKUP($L332,'Voyage days'!$F$203:$H$256,3,FALSE),"")</f>
        <v/>
      </c>
      <c r="AO332" s="94" t="str">
        <f>IFERROR($N332+VLOOKUP($L332,'Voyage days'!$F$203:$H$256,3,FALSE),"")</f>
        <v/>
      </c>
      <c r="AP332" s="93" t="str">
        <f t="shared" si="29"/>
        <v/>
      </c>
      <c r="AQ332" s="94" t="str">
        <f>IFERROR($M332+VLOOKUP($L332,'Voyage days'!$F$294:$H$377,3,FALSE),"")</f>
        <v/>
      </c>
      <c r="AR332" s="94" t="str">
        <f>IFERROR($N332+VLOOKUP($L332,'Voyage days'!$F$294:$H$377,3,FALSE),"")</f>
        <v/>
      </c>
      <c r="AS332" s="93" t="str">
        <f t="shared" si="30"/>
        <v>08-09 May</v>
      </c>
      <c r="AT332" s="94">
        <f>IFERROR($M332+VLOOKUP($L332,'Voyage days'!$F$382:$H$446,3,FALSE),"")</f>
        <v>46150</v>
      </c>
      <c r="AU332" s="94">
        <f>IFERROR($N332+VLOOKUP($L332,'Voyage days'!$F$382:$H$446,3,FALSE),"")</f>
        <v>46151</v>
      </c>
      <c r="AV332" s="93" t="str">
        <f t="shared" si="31"/>
        <v/>
      </c>
      <c r="AW332" s="94" t="str">
        <f>IFERROR($M332+VLOOKUP($L332,'Voyage days'!$F$483:$H$538,3,FALSE),"")</f>
        <v/>
      </c>
      <c r="AX332" s="94" t="str">
        <f>IFERROR($N332+VLOOKUP($L332,'Voyage days'!$F$483:$H$538,3,FALSE),"")</f>
        <v/>
      </c>
      <c r="AY332" s="93" t="str">
        <f t="shared" si="32"/>
        <v/>
      </c>
      <c r="AZ332" s="94" t="str">
        <f>IFERROR($M332+VLOOKUP($L332,'Voyage days'!$F$540:$H$613,3,FALSE),"")</f>
        <v/>
      </c>
      <c r="BA332" s="94" t="str">
        <f>IFERROR($N332+VLOOKUP($L332,'Voyage days'!$F$540:$H$613,3,FALSE),"")</f>
        <v/>
      </c>
      <c r="BB332" s="93" t="str">
        <f t="shared" si="33"/>
        <v/>
      </c>
      <c r="BC332" s="94" t="str">
        <f>IFERROR($M332+VLOOKUP($L332,'Voyage days'!$F$448:$H$479,3,FALSE),"")</f>
        <v/>
      </c>
      <c r="BD332" s="94" t="str">
        <f>IFERROR($N332+VLOOKUP($L332,'Voyage days'!$F$448:$H$479,3,FALSE),"")</f>
        <v/>
      </c>
      <c r="BE332" s="93" t="str">
        <f t="shared" si="34"/>
        <v/>
      </c>
      <c r="BF332" s="95" t="str">
        <f>IFERROR($M332+VLOOKUP($L332,'Voyage days'!$F$620:$H$646,3,FALSE),"")</f>
        <v/>
      </c>
      <c r="BG332" s="95" t="str">
        <f>IFERROR($N332+VLOOKUP($L332,'Voyage days'!$F$620:$H$646,3,FALSE),"")</f>
        <v/>
      </c>
      <c r="BH332" s="93" t="str">
        <f t="shared" si="35"/>
        <v/>
      </c>
      <c r="BI332" s="96" t="str">
        <f>IFERROR($M332+VLOOKUP($L332,'Voyage days'!$F$702:$H$727,3,FALSE),"")</f>
        <v/>
      </c>
      <c r="BJ332" s="93" t="str">
        <f t="shared" si="36"/>
        <v/>
      </c>
      <c r="BK332" s="95" t="str">
        <f>IFERROR($M332+VLOOKUP($L332,'Voyage days'!$F$807:$H$878,3,FALSE),"")</f>
        <v/>
      </c>
      <c r="BL332" s="95" t="str">
        <f>IFERROR($N332+VLOOKUP($L332,'Voyage days'!$F$807:$H$878,3,FALSE),"")</f>
        <v/>
      </c>
      <c r="BM332" s="95" t="str">
        <f>IFERROR($N332+VLOOKUP($L332,'Voyage days'!$F$807:$K$878,6,FALSE),"")</f>
        <v/>
      </c>
      <c r="BN332" s="94" t="str">
        <f>IF(L332="loads AG", IFERROR($M332+VLOOKUP($L332,'Voyage days'!$M$38:$O$38,3,FALSE),""),"")</f>
        <v/>
      </c>
      <c r="BO332" s="94" t="str">
        <f>IF(L332="loads USG", IFERROR($M332+VLOOKUP($L332,'Voyage days'!$L$203:$N$203,3,FALSE),""),"")</f>
        <v/>
      </c>
    </row>
    <row r="333" spans="1:67" ht="15.75" customHeight="1" x14ac:dyDescent="0.25">
      <c r="A333" s="266" t="s">
        <v>272</v>
      </c>
      <c r="B333" s="119">
        <v>2019</v>
      </c>
      <c r="C333" s="76">
        <v>84000</v>
      </c>
      <c r="D333" s="107"/>
      <c r="E333" s="107"/>
      <c r="F333" s="78"/>
      <c r="G333" s="78"/>
      <c r="H333" s="78"/>
      <c r="I333" s="233" t="s">
        <v>1518</v>
      </c>
      <c r="J333" s="80" t="str">
        <f t="shared" si="61"/>
        <v/>
      </c>
      <c r="K333" s="81"/>
      <c r="L333" s="85" t="s">
        <v>1243</v>
      </c>
      <c r="M333" s="83">
        <v>46136</v>
      </c>
      <c r="N333" s="83">
        <v>46137</v>
      </c>
      <c r="O333" s="84"/>
      <c r="P333" s="82" t="s">
        <v>1525</v>
      </c>
      <c r="Q333" s="82"/>
      <c r="R333" s="82" t="s">
        <v>1526</v>
      </c>
      <c r="S333" s="120" t="s">
        <v>33</v>
      </c>
      <c r="T333" s="232">
        <v>46131</v>
      </c>
      <c r="U333" s="87" t="str">
        <f>IF(V333="","No AIS",VLOOKUP(V333,'Voyage days'!$A$3:$B$1480,2,FALSE))</f>
        <v>AG</v>
      </c>
      <c r="V333" s="88" t="str">
        <f>IF(VLOOKUP(A333,'1) Kpler'!$E$2:$P$1000,8, FALSE)="","",VLOOKUP(A333,'1) Kpler'!$E$2:$P$1000,8, FALSE))</f>
        <v>Yanbu NGL &amp; Yasref</v>
      </c>
      <c r="W333" s="89">
        <f>IF(VLOOKUP(A333,'1) Kpler'!$E$2:$P$1000,9,FALSE)="","",VLOOKUP(A333,'1) Kpler'!$E$2:$P$1000,9,FALSE))</f>
        <v>46136.000694444447</v>
      </c>
      <c r="X333" s="88" t="str">
        <f>VLOOKUP(A333,'1) Kpler'!$E$2:$I$1000,4,FALSE)</f>
        <v>ballast</v>
      </c>
      <c r="Y333" s="234" t="str">
        <f t="shared" si="49"/>
        <v>24-25 Apr</v>
      </c>
      <c r="Z333" s="528" t="str">
        <f t="shared" si="50"/>
        <v/>
      </c>
      <c r="AA333" s="528" t="str">
        <f t="shared" si="51"/>
        <v/>
      </c>
      <c r="AB333" s="234" t="str">
        <f t="shared" si="52"/>
        <v/>
      </c>
      <c r="AC333" s="234" t="str">
        <f t="shared" si="53"/>
        <v/>
      </c>
      <c r="AD333" s="234" t="str">
        <f t="shared" si="54"/>
        <v/>
      </c>
      <c r="AE333" s="235" t="str">
        <f t="shared" si="55"/>
        <v>13-14 May</v>
      </c>
      <c r="AF333" s="92" t="str">
        <f t="shared" si="56"/>
        <v>24-25 Apr</v>
      </c>
      <c r="AG333" s="93" t="str">
        <f t="shared" si="57"/>
        <v>24-25 Apr</v>
      </c>
      <c r="AH333" s="94">
        <f>IFERROR($M333+VLOOKUP($L333,'Voyage days'!$F$38:$H$89,3,FALSE),"")</f>
        <v>46136</v>
      </c>
      <c r="AI333" s="94">
        <f>IFERROR(N333+VLOOKUP($L333,'Voyage days'!$F$38:$H$89,3,FALSE),"")</f>
        <v>46137</v>
      </c>
      <c r="AJ333" s="93" t="str">
        <f t="shared" si="27"/>
        <v/>
      </c>
      <c r="AK333" s="94" t="str">
        <f>IFERROR($M333+VLOOKUP($L333,'Voyage days'!$F$94:$H$193,3,FALSE),"")</f>
        <v/>
      </c>
      <c r="AL333" s="94" t="str">
        <f>IFERROR($N333+VLOOKUP($L333,'Voyage days'!$F$94:$H$193,3,FALSE),"")</f>
        <v/>
      </c>
      <c r="AM333" s="93" t="str">
        <f t="shared" si="28"/>
        <v/>
      </c>
      <c r="AN333" s="94" t="str">
        <f>IFERROR($M333+VLOOKUP($L333,'Voyage days'!$F$203:$H$256,3,FALSE),"")</f>
        <v/>
      </c>
      <c r="AO333" s="94" t="str">
        <f>IFERROR($N333+VLOOKUP($L333,'Voyage days'!$F$203:$H$256,3,FALSE),"")</f>
        <v/>
      </c>
      <c r="AP333" s="93" t="str">
        <f t="shared" si="29"/>
        <v/>
      </c>
      <c r="AQ333" s="94" t="str">
        <f>IFERROR($M333+VLOOKUP($L333,'Voyage days'!$F$294:$H$377,3,FALSE),"")</f>
        <v/>
      </c>
      <c r="AR333" s="94" t="str">
        <f>IFERROR($N333+VLOOKUP($L333,'Voyage days'!$F$294:$H$377,3,FALSE),"")</f>
        <v/>
      </c>
      <c r="AS333" s="93" t="str">
        <f t="shared" si="30"/>
        <v/>
      </c>
      <c r="AT333" s="94" t="str">
        <f>IFERROR($M333+VLOOKUP($L333,'Voyage days'!$F$382:$H$446,3,FALSE),"")</f>
        <v/>
      </c>
      <c r="AU333" s="94" t="str">
        <f>IFERROR($N333+VLOOKUP($L333,'Voyage days'!$F$382:$H$446,3,FALSE),"")</f>
        <v/>
      </c>
      <c r="AV333" s="93" t="str">
        <f t="shared" si="31"/>
        <v/>
      </c>
      <c r="AW333" s="94" t="str">
        <f>IFERROR($M333+VLOOKUP($L333,'Voyage days'!$F$483:$H$538,3,FALSE),"")</f>
        <v/>
      </c>
      <c r="AX333" s="94" t="str">
        <f>IFERROR($N333+VLOOKUP($L333,'Voyage days'!$F$483:$H$538,3,FALSE),"")</f>
        <v/>
      </c>
      <c r="AY333" s="93" t="str">
        <f t="shared" si="32"/>
        <v>13-14 May</v>
      </c>
      <c r="AZ333" s="94">
        <f>IFERROR($M333+VLOOKUP($L333,'Voyage days'!$F$540:$H$613,3,FALSE),"")</f>
        <v>46155</v>
      </c>
      <c r="BA333" s="94">
        <f>IFERROR($N333+VLOOKUP($L333,'Voyage days'!$F$540:$H$613,3,FALSE),"")</f>
        <v>46156</v>
      </c>
      <c r="BB333" s="93" t="str">
        <f t="shared" si="33"/>
        <v/>
      </c>
      <c r="BC333" s="94" t="str">
        <f>IFERROR($M333+VLOOKUP($L333,'Voyage days'!$F$448:$H$479,3,FALSE),"")</f>
        <v/>
      </c>
      <c r="BD333" s="94" t="str">
        <f>IFERROR($N333+VLOOKUP($L333,'Voyage days'!$F$448:$H$479,3,FALSE),"")</f>
        <v/>
      </c>
      <c r="BE333" s="93" t="str">
        <f t="shared" si="34"/>
        <v/>
      </c>
      <c r="BF333" s="95" t="str">
        <f>IFERROR($M333+VLOOKUP($L333,'Voyage days'!$F$620:$H$646,3,FALSE),"")</f>
        <v/>
      </c>
      <c r="BG333" s="95" t="str">
        <f>IFERROR($N333+VLOOKUP($L333,'Voyage days'!$F$620:$H$646,3,FALSE),"")</f>
        <v/>
      </c>
      <c r="BH333" s="93" t="str">
        <f t="shared" si="35"/>
        <v/>
      </c>
      <c r="BI333" s="96" t="str">
        <f>IFERROR($M333+VLOOKUP($L333,'Voyage days'!$F$702:$H$727,3,FALSE),"")</f>
        <v/>
      </c>
      <c r="BJ333" s="93" t="str">
        <f t="shared" si="36"/>
        <v>24-25 Apr</v>
      </c>
      <c r="BK333" s="95">
        <f>IFERROR($M333+VLOOKUP($L333,'Voyage days'!$F$807:$H$878,3,FALSE),"")</f>
        <v>46136</v>
      </c>
      <c r="BL333" s="95">
        <f>IFERROR($N333+VLOOKUP($L333,'Voyage days'!$F$807:$H$878,3,FALSE),"")</f>
        <v>46137</v>
      </c>
      <c r="BM333" s="95">
        <f>IFERROR($N333+VLOOKUP($L333,'Voyage days'!$F$807:$K$878,6,FALSE),"")</f>
        <v>46140</v>
      </c>
      <c r="BN333" s="94">
        <f>IF(L333="loads AG", IFERROR($M333+VLOOKUP($L333,'Voyage days'!$M$38:$O$38,3,FALSE),""),"")</f>
        <v>46161</v>
      </c>
      <c r="BO333" s="94" t="str">
        <f>IF(L333="loads USG", IFERROR($M333+VLOOKUP($L333,'Voyage days'!$L$203:$N$203,3,FALSE),""),"")</f>
        <v/>
      </c>
    </row>
    <row r="334" spans="1:67" x14ac:dyDescent="0.25">
      <c r="A334" s="530" t="s">
        <v>274</v>
      </c>
      <c r="B334" s="531" t="s">
        <v>1527</v>
      </c>
      <c r="C334" s="76">
        <v>82000</v>
      </c>
      <c r="D334" s="107"/>
      <c r="E334" s="107"/>
      <c r="F334" s="466"/>
      <c r="G334" s="77"/>
      <c r="H334" s="466"/>
      <c r="I334" s="82" t="s">
        <v>1518</v>
      </c>
      <c r="J334" s="80" t="str">
        <f t="shared" si="61"/>
        <v/>
      </c>
      <c r="K334" s="81"/>
      <c r="L334" s="82" t="s">
        <v>1086</v>
      </c>
      <c r="M334" s="83">
        <v>46137</v>
      </c>
      <c r="N334" s="83">
        <v>46138</v>
      </c>
      <c r="O334" s="84" t="s">
        <v>1374</v>
      </c>
      <c r="P334" s="82" t="s">
        <v>1528</v>
      </c>
      <c r="Q334" s="82"/>
      <c r="R334" s="231" t="s">
        <v>1529</v>
      </c>
      <c r="S334" s="120" t="s">
        <v>33</v>
      </c>
      <c r="T334" s="232">
        <v>46131</v>
      </c>
      <c r="U334" s="87" t="str">
        <f>IF(V334="","No AIS",VLOOKUP(V334,'Voyage days'!$A$3:$B$1480,2,FALSE))</f>
        <v>AG</v>
      </c>
      <c r="V334" s="88" t="str">
        <f>IF(VLOOKUP(A334,'1) Kpler'!$E$2:$P$1000,8, FALSE)="","",VLOOKUP(A334,'1) Kpler'!$E$2:$P$1000,8, FALSE))</f>
        <v>Fujairah</v>
      </c>
      <c r="W334" s="89">
        <f>IF(VLOOKUP(A334,'1) Kpler'!$E$2:$P$1000,9,FALSE)="","",VLOOKUP(A334,'1) Kpler'!$E$2:$P$1000,9,FALSE))</f>
        <v>46132.625</v>
      </c>
      <c r="X334" s="88" t="str">
        <f>VLOOKUP(A334,'1) Kpler'!$E$2:$I$1000,4,FALSE)</f>
        <v>open</v>
      </c>
      <c r="Y334" s="234" t="str">
        <f t="shared" si="49"/>
        <v/>
      </c>
      <c r="Z334" s="528" t="str">
        <f t="shared" si="50"/>
        <v/>
      </c>
      <c r="AA334" s="528" t="str">
        <f t="shared" si="51"/>
        <v/>
      </c>
      <c r="AB334" s="234" t="str">
        <f t="shared" si="52"/>
        <v/>
      </c>
      <c r="AC334" s="234" t="str">
        <f t="shared" si="53"/>
        <v>08-09 May</v>
      </c>
      <c r="AD334" s="234" t="str">
        <f t="shared" si="54"/>
        <v/>
      </c>
      <c r="AE334" s="235" t="str">
        <f t="shared" si="55"/>
        <v/>
      </c>
      <c r="AF334" s="92" t="str">
        <f t="shared" si="56"/>
        <v/>
      </c>
      <c r="AG334" s="93" t="str">
        <f t="shared" si="57"/>
        <v/>
      </c>
      <c r="AH334" s="94" t="str">
        <f>IFERROR($M334+VLOOKUP($L334,'Voyage days'!$F$38:$H$89,3,FALSE),"")</f>
        <v/>
      </c>
      <c r="AI334" s="94" t="str">
        <f>IFERROR(N334+VLOOKUP($L334,'Voyage days'!$F$38:$H$89,3,FALSE),"")</f>
        <v/>
      </c>
      <c r="AJ334" s="93" t="str">
        <f t="shared" si="27"/>
        <v/>
      </c>
      <c r="AK334" s="94" t="str">
        <f>IFERROR($M334+VLOOKUP($L334,'Voyage days'!$F$94:$H$193,3,FALSE),"")</f>
        <v/>
      </c>
      <c r="AL334" s="94" t="str">
        <f>IFERROR($N334+VLOOKUP($L334,'Voyage days'!$F$94:$H$193,3,FALSE),"")</f>
        <v/>
      </c>
      <c r="AM334" s="93" t="str">
        <f t="shared" si="28"/>
        <v/>
      </c>
      <c r="AN334" s="94" t="str">
        <f>IFERROR($M334+VLOOKUP($L334,'Voyage days'!$F$203:$H$256,3,FALSE),"")</f>
        <v/>
      </c>
      <c r="AO334" s="94" t="str">
        <f>IFERROR($N334+VLOOKUP($L334,'Voyage days'!$F$203:$H$256,3,FALSE),"")</f>
        <v/>
      </c>
      <c r="AP334" s="93" t="str">
        <f t="shared" si="29"/>
        <v/>
      </c>
      <c r="AQ334" s="94" t="str">
        <f>IFERROR($M334+VLOOKUP($L334,'Voyage days'!$F$294:$H$377,3,FALSE),"")</f>
        <v/>
      </c>
      <c r="AR334" s="94" t="str">
        <f>IFERROR($N334+VLOOKUP($L334,'Voyage days'!$F$294:$H$377,3,FALSE),"")</f>
        <v/>
      </c>
      <c r="AS334" s="93" t="str">
        <f t="shared" si="30"/>
        <v>08-09 May</v>
      </c>
      <c r="AT334" s="94">
        <f>IFERROR($M334+VLOOKUP($L334,'Voyage days'!$F$382:$H$446,3,FALSE),"")</f>
        <v>46150</v>
      </c>
      <c r="AU334" s="94">
        <f>IFERROR($N334+VLOOKUP($L334,'Voyage days'!$F$382:$H$446,3,FALSE),"")</f>
        <v>46151</v>
      </c>
      <c r="AV334" s="93" t="str">
        <f t="shared" si="31"/>
        <v/>
      </c>
      <c r="AW334" s="94" t="str">
        <f>IFERROR($M334+VLOOKUP($L334,'Voyage days'!$F$483:$H$538,3,FALSE),"")</f>
        <v/>
      </c>
      <c r="AX334" s="94" t="str">
        <f>IFERROR($N334+VLOOKUP($L334,'Voyage days'!$F$483:$H$538,3,FALSE),"")</f>
        <v/>
      </c>
      <c r="AY334" s="93" t="str">
        <f t="shared" si="32"/>
        <v/>
      </c>
      <c r="AZ334" s="94" t="str">
        <f>IFERROR($M334+VLOOKUP($L334,'Voyage days'!$F$540:$H$613,3,FALSE),"")</f>
        <v/>
      </c>
      <c r="BA334" s="94" t="str">
        <f>IFERROR($N334+VLOOKUP($L334,'Voyage days'!$F$540:$H$613,3,FALSE),"")</f>
        <v/>
      </c>
      <c r="BB334" s="93" t="str">
        <f t="shared" si="33"/>
        <v/>
      </c>
      <c r="BC334" s="94" t="str">
        <f>IFERROR($M334+VLOOKUP($L334,'Voyage days'!$F$448:$H$479,3,FALSE),"")</f>
        <v/>
      </c>
      <c r="BD334" s="94" t="str">
        <f>IFERROR($N334+VLOOKUP($L334,'Voyage days'!$F$448:$H$479,3,FALSE),"")</f>
        <v/>
      </c>
      <c r="BE334" s="93" t="str">
        <f t="shared" si="34"/>
        <v/>
      </c>
      <c r="BF334" s="95" t="str">
        <f>IFERROR($M334+VLOOKUP($L334,'Voyage days'!$F$620:$H$646,3,FALSE),"")</f>
        <v/>
      </c>
      <c r="BG334" s="95" t="str">
        <f>IFERROR($N334+VLOOKUP($L334,'Voyage days'!$F$620:$H$646,3,FALSE),"")</f>
        <v/>
      </c>
      <c r="BH334" s="93" t="str">
        <f t="shared" si="35"/>
        <v/>
      </c>
      <c r="BI334" s="96" t="str">
        <f>IFERROR($M334+VLOOKUP($L334,'Voyage days'!$F$702:$H$727,3,FALSE),"")</f>
        <v/>
      </c>
      <c r="BJ334" s="93" t="str">
        <f t="shared" si="36"/>
        <v/>
      </c>
      <c r="BK334" s="95" t="str">
        <f>IFERROR($M334+VLOOKUP($L334,'Voyage days'!$F$807:$H$878,3,FALSE),"")</f>
        <v/>
      </c>
      <c r="BL334" s="95" t="str">
        <f>IFERROR($N334+VLOOKUP($L334,'Voyage days'!$F$807:$H$878,3,FALSE),"")</f>
        <v/>
      </c>
      <c r="BM334" s="95" t="str">
        <f>IFERROR($N334+VLOOKUP($L334,'Voyage days'!$F$807:$K$878,6,FALSE),"")</f>
        <v/>
      </c>
      <c r="BN334" s="94" t="str">
        <f>IF(L334="loads AG", IFERROR($M334+VLOOKUP($L334,'Voyage days'!$M$38:$O$38,3,FALSE),""),"")</f>
        <v/>
      </c>
      <c r="BO334" s="94" t="str">
        <f>IF(L334="loads USG", IFERROR($M334+VLOOKUP($L334,'Voyage days'!$L$203:$N$203,3,FALSE),""),"")</f>
        <v/>
      </c>
    </row>
    <row r="335" spans="1:67" ht="15.75" customHeight="1" x14ac:dyDescent="0.25">
      <c r="A335" s="530" t="s">
        <v>334</v>
      </c>
      <c r="B335" s="119">
        <v>2020</v>
      </c>
      <c r="C335" s="76">
        <v>84000</v>
      </c>
      <c r="D335" s="107"/>
      <c r="E335" s="107"/>
      <c r="F335" s="78"/>
      <c r="G335" s="78"/>
      <c r="H335" s="78"/>
      <c r="I335" s="233" t="s">
        <v>1518</v>
      </c>
      <c r="J335" s="80" t="str">
        <f t="shared" si="61"/>
        <v/>
      </c>
      <c r="K335" s="81"/>
      <c r="L335" s="82" t="s">
        <v>1086</v>
      </c>
      <c r="M335" s="83">
        <v>46137</v>
      </c>
      <c r="N335" s="83">
        <v>46138</v>
      </c>
      <c r="O335" s="84"/>
      <c r="P335" s="85" t="s">
        <v>1530</v>
      </c>
      <c r="Q335" s="82"/>
      <c r="R335" s="82" t="s">
        <v>1531</v>
      </c>
      <c r="S335" s="120" t="s">
        <v>33</v>
      </c>
      <c r="T335" s="232">
        <v>46131</v>
      </c>
      <c r="U335" s="87" t="str">
        <f>IF(V335="","No AIS",VLOOKUP(V335,'Voyage days'!$A$3:$B$1480,2,FALSE))</f>
        <v>AG</v>
      </c>
      <c r="V335" s="88" t="str">
        <f>IF(VLOOKUP(A335,'1) Kpler'!$E$2:$P$1000,8, FALSE)="","",VLOOKUP(A335,'1) Kpler'!$E$2:$P$1000,8, FALSE))</f>
        <v>Fujairah</v>
      </c>
      <c r="W335" s="89">
        <f>IF(VLOOKUP(A335,'1) Kpler'!$E$2:$P$1000,9,FALSE)="","",VLOOKUP(A335,'1) Kpler'!$E$2:$P$1000,9,FALSE))</f>
        <v>46132.5</v>
      </c>
      <c r="X335" s="88" t="str">
        <f>VLOOKUP(A335,'1) Kpler'!$E$2:$I$1000,4,FALSE)</f>
        <v>open</v>
      </c>
      <c r="Y335" s="234" t="str">
        <f t="shared" si="49"/>
        <v/>
      </c>
      <c r="Z335" s="528" t="str">
        <f t="shared" si="50"/>
        <v/>
      </c>
      <c r="AA335" s="528" t="str">
        <f t="shared" si="51"/>
        <v/>
      </c>
      <c r="AB335" s="234" t="str">
        <f t="shared" si="52"/>
        <v/>
      </c>
      <c r="AC335" s="234" t="str">
        <f t="shared" si="53"/>
        <v>08-09 May</v>
      </c>
      <c r="AD335" s="234" t="str">
        <f t="shared" si="54"/>
        <v/>
      </c>
      <c r="AE335" s="235" t="str">
        <f t="shared" si="55"/>
        <v/>
      </c>
      <c r="AF335" s="92" t="str">
        <f t="shared" si="56"/>
        <v/>
      </c>
      <c r="AG335" s="93" t="str">
        <f t="shared" si="57"/>
        <v/>
      </c>
      <c r="AH335" s="94" t="str">
        <f>IFERROR($M335+VLOOKUP($L335,'Voyage days'!$F$38:$H$89,3,FALSE),"")</f>
        <v/>
      </c>
      <c r="AI335" s="94" t="str">
        <f>IFERROR(N335+VLOOKUP($L335,'Voyage days'!$F$38:$H$89,3,FALSE),"")</f>
        <v/>
      </c>
      <c r="AJ335" s="93" t="str">
        <f t="shared" si="27"/>
        <v/>
      </c>
      <c r="AK335" s="94" t="str">
        <f>IFERROR($M335+VLOOKUP($L335,'Voyage days'!$F$94:$H$193,3,FALSE),"")</f>
        <v/>
      </c>
      <c r="AL335" s="94" t="str">
        <f>IFERROR($N335+VLOOKUP($L335,'Voyage days'!$F$94:$H$193,3,FALSE),"")</f>
        <v/>
      </c>
      <c r="AM335" s="93" t="str">
        <f t="shared" si="28"/>
        <v/>
      </c>
      <c r="AN335" s="94" t="str">
        <f>IFERROR($M335+VLOOKUP($L335,'Voyage days'!$F$203:$H$256,3,FALSE),"")</f>
        <v/>
      </c>
      <c r="AO335" s="94" t="str">
        <f>IFERROR($N335+VLOOKUP($L335,'Voyage days'!$F$203:$H$256,3,FALSE),"")</f>
        <v/>
      </c>
      <c r="AP335" s="93" t="str">
        <f t="shared" si="29"/>
        <v/>
      </c>
      <c r="AQ335" s="94" t="str">
        <f>IFERROR($M335+VLOOKUP($L335,'Voyage days'!$F$294:$H$377,3,FALSE),"")</f>
        <v/>
      </c>
      <c r="AR335" s="94" t="str">
        <f>IFERROR($N335+VLOOKUP($L335,'Voyage days'!$F$294:$H$377,3,FALSE),"")</f>
        <v/>
      </c>
      <c r="AS335" s="93" t="str">
        <f t="shared" si="30"/>
        <v>08-09 May</v>
      </c>
      <c r="AT335" s="94">
        <f>IFERROR($M335+VLOOKUP($L335,'Voyage days'!$F$382:$H$446,3,FALSE),"")</f>
        <v>46150</v>
      </c>
      <c r="AU335" s="94">
        <f>IFERROR($N335+VLOOKUP($L335,'Voyage days'!$F$382:$H$446,3,FALSE),"")</f>
        <v>46151</v>
      </c>
      <c r="AV335" s="93" t="str">
        <f t="shared" si="31"/>
        <v/>
      </c>
      <c r="AW335" s="94" t="str">
        <f>IFERROR($M335+VLOOKUP($L335,'Voyage days'!$F$483:$H$538,3,FALSE),"")</f>
        <v/>
      </c>
      <c r="AX335" s="94" t="str">
        <f>IFERROR($N335+VLOOKUP($L335,'Voyage days'!$F$483:$H$538,3,FALSE),"")</f>
        <v/>
      </c>
      <c r="AY335" s="93" t="str">
        <f t="shared" si="32"/>
        <v/>
      </c>
      <c r="AZ335" s="94" t="str">
        <f>IFERROR($M335+VLOOKUP($L335,'Voyage days'!$F$540:$H$613,3,FALSE),"")</f>
        <v/>
      </c>
      <c r="BA335" s="94" t="str">
        <f>IFERROR($N335+VLOOKUP($L335,'Voyage days'!$F$540:$H$613,3,FALSE),"")</f>
        <v/>
      </c>
      <c r="BB335" s="93" t="str">
        <f t="shared" si="33"/>
        <v/>
      </c>
      <c r="BC335" s="94" t="str">
        <f>IFERROR($M335+VLOOKUP($L335,'Voyage days'!$F$448:$H$479,3,FALSE),"")</f>
        <v/>
      </c>
      <c r="BD335" s="94" t="str">
        <f>IFERROR($N335+VLOOKUP($L335,'Voyage days'!$F$448:$H$479,3,FALSE),"")</f>
        <v/>
      </c>
      <c r="BE335" s="93" t="str">
        <f t="shared" si="34"/>
        <v/>
      </c>
      <c r="BF335" s="95" t="str">
        <f>IFERROR($M335+VLOOKUP($L335,'Voyage days'!$F$620:$H$646,3,FALSE),"")</f>
        <v/>
      </c>
      <c r="BG335" s="95" t="str">
        <f>IFERROR($N335+VLOOKUP($L335,'Voyage days'!$F$620:$H$646,3,FALSE),"")</f>
        <v/>
      </c>
      <c r="BH335" s="93" t="str">
        <f t="shared" si="35"/>
        <v/>
      </c>
      <c r="BI335" s="96" t="str">
        <f>IFERROR($M335+VLOOKUP($L335,'Voyage days'!$F$702:$H$727,3,FALSE),"")</f>
        <v/>
      </c>
      <c r="BJ335" s="93" t="str">
        <f t="shared" si="36"/>
        <v/>
      </c>
      <c r="BK335" s="95" t="str">
        <f>IFERROR($M335+VLOOKUP($L335,'Voyage days'!$F$807:$H$878,3,FALSE),"")</f>
        <v/>
      </c>
      <c r="BL335" s="95" t="str">
        <f>IFERROR($N335+VLOOKUP($L335,'Voyage days'!$F$807:$H$878,3,FALSE),"")</f>
        <v/>
      </c>
      <c r="BM335" s="95" t="str">
        <f>IFERROR($N335+VLOOKUP($L335,'Voyage days'!$F$807:$K$878,6,FALSE),"")</f>
        <v/>
      </c>
      <c r="BN335" s="94" t="str">
        <f>IF(L335="loads AG", IFERROR($M335+VLOOKUP($L335,'Voyage days'!$M$38:$O$38,3,FALSE),""),"")</f>
        <v/>
      </c>
      <c r="BO335" s="94" t="str">
        <f>IF(L335="loads USG", IFERROR($M335+VLOOKUP($L335,'Voyage days'!$L$203:$N$203,3,FALSE),""),"")</f>
        <v/>
      </c>
    </row>
    <row r="336" spans="1:67" ht="15.75" customHeight="1" x14ac:dyDescent="0.25">
      <c r="A336" s="53" t="s">
        <v>620</v>
      </c>
      <c r="B336" s="75">
        <v>39630</v>
      </c>
      <c r="C336" s="76">
        <v>82182</v>
      </c>
      <c r="D336" s="77"/>
      <c r="E336" s="77"/>
      <c r="F336" s="78"/>
      <c r="G336" s="78"/>
      <c r="H336" s="78"/>
      <c r="I336" s="233" t="s">
        <v>1518</v>
      </c>
      <c r="J336" s="80" t="str">
        <f t="shared" si="61"/>
        <v/>
      </c>
      <c r="K336" s="81"/>
      <c r="L336" s="82" t="s">
        <v>734</v>
      </c>
      <c r="M336" s="83">
        <v>46164</v>
      </c>
      <c r="N336" s="83">
        <v>46165</v>
      </c>
      <c r="O336" s="84"/>
      <c r="P336" s="82" t="s">
        <v>1532</v>
      </c>
      <c r="Q336" s="82"/>
      <c r="R336" s="231" t="s">
        <v>1533</v>
      </c>
      <c r="S336" s="120" t="s">
        <v>33</v>
      </c>
      <c r="T336" s="232">
        <v>46131</v>
      </c>
      <c r="U336" s="87" t="str">
        <f>IF(V336="","No AIS",VLOOKUP(V336,'Voyage days'!$A$3:$B$1480,2,FALSE))</f>
        <v>Indo + 4</v>
      </c>
      <c r="V336" s="88" t="str">
        <f>IF(VLOOKUP(A336,'1) Kpler'!$E$2:$P$1000,8, FALSE)="","",VLOOKUP(A336,'1) Kpler'!$E$2:$P$1000,8, FALSE))</f>
        <v>Oiltank. Merak</v>
      </c>
      <c r="W336" s="89">
        <f>IF(VLOOKUP(A336,'1) Kpler'!$E$2:$P$1000,9,FALSE)="","",VLOOKUP(A336,'1) Kpler'!$E$2:$P$1000,9,FALSE))</f>
        <v>46161.104166666664</v>
      </c>
      <c r="X336" s="88" t="str">
        <f>VLOOKUP(A336,'1) Kpler'!$E$2:$I$1000,4,FALSE)</f>
        <v>loaded</v>
      </c>
      <c r="Y336" s="234" t="str">
        <f t="shared" si="49"/>
        <v>02-03 Jun</v>
      </c>
      <c r="Z336" s="234" t="str">
        <f t="shared" si="50"/>
        <v>29-30 Jun</v>
      </c>
      <c r="AA336" s="234" t="str">
        <f t="shared" si="51"/>
        <v>28-29 Jun</v>
      </c>
      <c r="AB336" s="234" t="str">
        <f t="shared" si="52"/>
        <v>11-12 Jun</v>
      </c>
      <c r="AC336" s="234" t="str">
        <f t="shared" si="53"/>
        <v>20-21 Jun</v>
      </c>
      <c r="AD336" s="234" t="str">
        <f t="shared" si="54"/>
        <v>25-26 May</v>
      </c>
      <c r="AE336" s="235" t="str">
        <f t="shared" si="55"/>
        <v>26-27 May</v>
      </c>
      <c r="AF336" s="92" t="str">
        <f t="shared" si="56"/>
        <v>28-29 Jun</v>
      </c>
      <c r="AG336" s="93" t="str">
        <f t="shared" si="57"/>
        <v>02-03 Jun</v>
      </c>
      <c r="AH336" s="94">
        <f>IFERROR($M336+VLOOKUP($L336,'Voyage days'!$F$38:$H$89,3,FALSE),"")</f>
        <v>46175</v>
      </c>
      <c r="AI336" s="94">
        <f>IFERROR(N336+VLOOKUP($L336,'Voyage days'!$F$38:$H$89,3,FALSE),"")</f>
        <v>46176</v>
      </c>
      <c r="AJ336" s="93" t="str">
        <f t="shared" si="27"/>
        <v>29-30 Jun</v>
      </c>
      <c r="AK336" s="94">
        <f>IFERROR($M336+VLOOKUP($L336,'Voyage days'!$F$94:$H$193,3,FALSE),"")</f>
        <v>46202</v>
      </c>
      <c r="AL336" s="94">
        <f>IFERROR($N336+VLOOKUP($L336,'Voyage days'!$F$94:$H$193,3,FALSE),"")</f>
        <v>46203</v>
      </c>
      <c r="AM336" s="93" t="str">
        <f t="shared" si="28"/>
        <v>28-29 Jun</v>
      </c>
      <c r="AN336" s="94">
        <f>IFERROR($M336+VLOOKUP($L336,'Voyage days'!$F$203:$H$256,3,FALSE),"")</f>
        <v>46201</v>
      </c>
      <c r="AO336" s="94">
        <f>IFERROR($N336+VLOOKUP($L336,'Voyage days'!$F$203:$H$256,3,FALSE),"")</f>
        <v>46202</v>
      </c>
      <c r="AP336" s="93" t="str">
        <f t="shared" si="29"/>
        <v>11-12 Jun</v>
      </c>
      <c r="AQ336" s="94">
        <f>IFERROR($M336+VLOOKUP($L336,'Voyage days'!$F$294:$H$377,3,FALSE),"")</f>
        <v>46184</v>
      </c>
      <c r="AR336" s="94">
        <f>IFERROR($N336+VLOOKUP($L336,'Voyage days'!$F$294:$H$377,3,FALSE),"")</f>
        <v>46185</v>
      </c>
      <c r="AS336" s="93" t="str">
        <f t="shared" si="30"/>
        <v>20-21 Jun</v>
      </c>
      <c r="AT336" s="94">
        <f>IFERROR($M336+VLOOKUP($L336,'Voyage days'!$F$382:$H$446,3,FALSE),"")</f>
        <v>46193</v>
      </c>
      <c r="AU336" s="94">
        <f>IFERROR($N336+VLOOKUP($L336,'Voyage days'!$F$382:$H$446,3,FALSE),"")</f>
        <v>46194</v>
      </c>
      <c r="AV336" s="93" t="str">
        <f t="shared" si="31"/>
        <v>31-01 Jun</v>
      </c>
      <c r="AW336" s="94">
        <f>IFERROR($M336+VLOOKUP($L336,'Voyage days'!$F$483:$H$538,3,FALSE),"")</f>
        <v>46173</v>
      </c>
      <c r="AX336" s="94">
        <f>IFERROR($N336+VLOOKUP($L336,'Voyage days'!$F$483:$H$538,3,FALSE),"")</f>
        <v>46174</v>
      </c>
      <c r="AY336" s="93" t="str">
        <f t="shared" si="32"/>
        <v>26-27 May</v>
      </c>
      <c r="AZ336" s="94">
        <f>IFERROR($M336+VLOOKUP($L336,'Voyage days'!$F$540:$H$613,3,FALSE),"")</f>
        <v>46168</v>
      </c>
      <c r="BA336" s="94">
        <f>IFERROR($N336+VLOOKUP($L336,'Voyage days'!$F$540:$H$613,3,FALSE),"")</f>
        <v>46169</v>
      </c>
      <c r="BB336" s="93" t="str">
        <f t="shared" si="33"/>
        <v>25-26 May</v>
      </c>
      <c r="BC336" s="94">
        <f>IFERROR($M336+VLOOKUP($L336,'Voyage days'!$F$448:$H$479,3,FALSE),"")</f>
        <v>46167</v>
      </c>
      <c r="BD336" s="94">
        <f>IFERROR($N336+VLOOKUP($L336,'Voyage days'!$F$448:$H$479,3,FALSE),"")</f>
        <v>46168</v>
      </c>
      <c r="BE336" s="93" t="str">
        <f t="shared" si="34"/>
        <v/>
      </c>
      <c r="BF336" s="95" t="str">
        <f>IFERROR($M336+VLOOKUP($L336,'Voyage days'!$F$620:$H$646,3,FALSE),"")</f>
        <v/>
      </c>
      <c r="BG336" s="95" t="str">
        <f>IFERROR($N336+VLOOKUP($L336,'Voyage days'!$F$620:$H$646,3,FALSE),"")</f>
        <v/>
      </c>
      <c r="BH336" s="93" t="str">
        <f t="shared" si="35"/>
        <v>30-29 Jun</v>
      </c>
      <c r="BI336" s="96">
        <f>IFERROR($M336+VLOOKUP($L336,'Voyage days'!$F$702:$H$727,3,FALSE),"")</f>
        <v>46172</v>
      </c>
      <c r="BJ336" s="93" t="str">
        <f t="shared" si="36"/>
        <v>28-29 Jun</v>
      </c>
      <c r="BK336" s="95">
        <f>IFERROR($M336+VLOOKUP($L336,'Voyage days'!$F$807:$H$878,3,FALSE),"")</f>
        <v>46201</v>
      </c>
      <c r="BL336" s="95">
        <f>IFERROR($N336+VLOOKUP($L336,'Voyage days'!$F$807:$H$878,3,FALSE),"")</f>
        <v>46202</v>
      </c>
      <c r="BM336" s="95">
        <f>IFERROR($N336+VLOOKUP($L336,'Voyage days'!$F$807:$K$878,6,FALSE),"")</f>
        <v>46178</v>
      </c>
      <c r="BN336" s="94" t="str">
        <f>IF(L336="loads AG", IFERROR($M336+VLOOKUP($L336,'Voyage days'!$M$38:$O$38,3,FALSE),""),"")</f>
        <v/>
      </c>
      <c r="BO336" s="94" t="str">
        <f>IF(L336="loads USG", IFERROR($M336+VLOOKUP($L336,'Voyage days'!$L$203:$N$203,3,FALSE),""),"")</f>
        <v/>
      </c>
    </row>
    <row r="337" spans="1:68" ht="15.75" customHeight="1" x14ac:dyDescent="0.25">
      <c r="A337" s="132" t="s">
        <v>578</v>
      </c>
      <c r="B337" s="176">
        <v>42517</v>
      </c>
      <c r="C337" s="134">
        <v>84000</v>
      </c>
      <c r="D337" s="143"/>
      <c r="E337" s="143"/>
      <c r="F337" s="136"/>
      <c r="G337" s="136"/>
      <c r="H337" s="136"/>
      <c r="I337" s="413" t="s">
        <v>1518</v>
      </c>
      <c r="J337" s="138" t="str">
        <f t="shared" si="61"/>
        <v/>
      </c>
      <c r="K337" s="139"/>
      <c r="L337" s="140" t="s">
        <v>718</v>
      </c>
      <c r="M337" s="141">
        <v>46145</v>
      </c>
      <c r="N337" s="532">
        <v>46146</v>
      </c>
      <c r="O337" s="142"/>
      <c r="P337" s="140" t="s">
        <v>1444</v>
      </c>
      <c r="Q337" s="227"/>
      <c r="R337" s="140" t="s">
        <v>1534</v>
      </c>
      <c r="S337" s="279" t="s">
        <v>33</v>
      </c>
      <c r="T337" s="144">
        <v>46131</v>
      </c>
      <c r="U337" s="145" t="str">
        <f>IF(V337="","No AIS",VLOOKUP(V337,'Voyage days'!$A$3:$B$1480,2,FALSE))</f>
        <v>Panama</v>
      </c>
      <c r="V337" s="146" t="str">
        <f>IF(VLOOKUP(A337,'1) Kpler'!$E$2:$P$1000,8, FALSE)="","",VLOOKUP(A337,'1) Kpler'!$E$2:$P$1000,8, FALSE))</f>
        <v>Panama Canal</v>
      </c>
      <c r="W337" s="147">
        <f>IF(VLOOKUP(A337,'1) Kpler'!$E$2:$P$1000,9,FALSE)="","",VLOOKUP(A337,'1) Kpler'!$E$2:$P$1000,9,FALSE))</f>
        <v>46137.541666666664</v>
      </c>
      <c r="X337" s="146" t="str">
        <f>VLOOKUP(A337,'1) Kpler'!$E$2:$I$1000,4,FALSE)</f>
        <v>ballast</v>
      </c>
      <c r="Y337" s="93" t="str">
        <f t="shared" si="49"/>
        <v/>
      </c>
      <c r="Z337" s="93" t="str">
        <f t="shared" si="50"/>
        <v>03-04 May</v>
      </c>
      <c r="AA337" s="93" t="str">
        <f t="shared" si="51"/>
        <v>03-04 May</v>
      </c>
      <c r="AB337" s="93" t="str">
        <f t="shared" si="52"/>
        <v/>
      </c>
      <c r="AC337" s="93" t="str">
        <f t="shared" si="53"/>
        <v>23-24 May</v>
      </c>
      <c r="AD337" s="93" t="str">
        <f t="shared" si="54"/>
        <v/>
      </c>
      <c r="AE337" s="179" t="str">
        <f t="shared" si="55"/>
        <v/>
      </c>
      <c r="AF337" s="180" t="str">
        <f t="shared" si="56"/>
        <v/>
      </c>
      <c r="AG337" s="93" t="str">
        <f t="shared" si="57"/>
        <v/>
      </c>
      <c r="AH337" s="94" t="str">
        <f>IFERROR($M337+VLOOKUP($L337,'Voyage days'!$F$38:$H$89,3,FALSE),"")</f>
        <v/>
      </c>
      <c r="AI337" s="94" t="str">
        <f>IFERROR(N337+VLOOKUP($L337,'Voyage days'!$F$38:$H$89,3,FALSE),"")</f>
        <v/>
      </c>
      <c r="AJ337" s="93" t="str">
        <f t="shared" si="27"/>
        <v>03-04 May</v>
      </c>
      <c r="AK337" s="94">
        <f>IFERROR($M337+VLOOKUP($L337,'Voyage days'!$F$94:$H$193,3,FALSE),"")</f>
        <v>46145</v>
      </c>
      <c r="AL337" s="94">
        <f>IFERROR($N337+VLOOKUP($L337,'Voyage days'!$F$94:$H$193,3,FALSE),"")</f>
        <v>46146</v>
      </c>
      <c r="AM337" s="93" t="str">
        <f t="shared" si="28"/>
        <v>03-04 May</v>
      </c>
      <c r="AN337" s="94">
        <f>IFERROR($M337+VLOOKUP($L337,'Voyage days'!$F$203:$H$256,3,FALSE),"")</f>
        <v>46145</v>
      </c>
      <c r="AO337" s="94">
        <f>IFERROR($N337+VLOOKUP($L337,'Voyage days'!$F$203:$H$256,3,FALSE),"")</f>
        <v>46146</v>
      </c>
      <c r="AP337" s="93" t="str">
        <f t="shared" si="29"/>
        <v/>
      </c>
      <c r="AQ337" s="94" t="str">
        <f>IFERROR($M337+VLOOKUP($L337,'Voyage days'!$F$294:$H$377,3,FALSE),"")</f>
        <v/>
      </c>
      <c r="AR337" s="94" t="str">
        <f>IFERROR($N337+VLOOKUP($L337,'Voyage days'!$F$294:$H$377,3,FALSE),"")</f>
        <v/>
      </c>
      <c r="AS337" s="93" t="str">
        <f t="shared" si="30"/>
        <v>23-24 May</v>
      </c>
      <c r="AT337" s="94">
        <f>IFERROR($M337+VLOOKUP($L337,'Voyage days'!$F$382:$H$446,3,FALSE),"")</f>
        <v>46165</v>
      </c>
      <c r="AU337" s="94">
        <f>IFERROR($N337+VLOOKUP($L337,'Voyage days'!$F$382:$H$446,3,FALSE),"")</f>
        <v>46166</v>
      </c>
      <c r="AV337" s="93" t="str">
        <f t="shared" si="31"/>
        <v/>
      </c>
      <c r="AW337" s="94" t="str">
        <f>IFERROR($M337+VLOOKUP($L337,'Voyage days'!$F$483:$H$538,3,FALSE),"")</f>
        <v/>
      </c>
      <c r="AX337" s="94" t="str">
        <f>IFERROR($N337+VLOOKUP($L337,'Voyage days'!$F$483:$H$538,3,FALSE),"")</f>
        <v/>
      </c>
      <c r="AY337" s="93" t="str">
        <f t="shared" si="32"/>
        <v/>
      </c>
      <c r="AZ337" s="94" t="str">
        <f>IFERROR($M337+VLOOKUP($L337,'Voyage days'!$F$540:$H$613,3,FALSE),"")</f>
        <v/>
      </c>
      <c r="BA337" s="94" t="str">
        <f>IFERROR($N337+VLOOKUP($L337,'Voyage days'!$F$540:$H$613,3,FALSE),"")</f>
        <v/>
      </c>
      <c r="BB337" s="93" t="str">
        <f t="shared" si="33"/>
        <v/>
      </c>
      <c r="BC337" s="94" t="str">
        <f>IFERROR($M337+VLOOKUP($L337,'Voyage days'!$F$448:$H$479,3,FALSE),"")</f>
        <v/>
      </c>
      <c r="BD337" s="94" t="str">
        <f>IFERROR($N337+VLOOKUP($L337,'Voyage days'!$F$448:$H$479,3,FALSE),"")</f>
        <v/>
      </c>
      <c r="BE337" s="93" t="str">
        <f t="shared" si="34"/>
        <v/>
      </c>
      <c r="BF337" s="95" t="str">
        <f>IFERROR($M337+VLOOKUP($L337,'Voyage days'!$F$620:$H$646,3,FALSE),"")</f>
        <v/>
      </c>
      <c r="BG337" s="95" t="str">
        <f>IFERROR($N337+VLOOKUP($L337,'Voyage days'!$F$620:$H$646,3,FALSE),"")</f>
        <v/>
      </c>
      <c r="BH337" s="93" t="str">
        <f t="shared" si="35"/>
        <v/>
      </c>
      <c r="BI337" s="96" t="str">
        <f>IFERROR($M337+VLOOKUP($L337,'Voyage days'!$F$702:$H$727,3,FALSE),"")</f>
        <v/>
      </c>
      <c r="BJ337" s="93" t="str">
        <f t="shared" si="36"/>
        <v/>
      </c>
      <c r="BK337" s="95" t="str">
        <f>IFERROR($M337+VLOOKUP($L337,'Voyage days'!$F$807:$H$878,3,FALSE),"")</f>
        <v/>
      </c>
      <c r="BL337" s="95" t="str">
        <f>IFERROR($N337+VLOOKUP($L337,'Voyage days'!$F$807:$H$878,3,FALSE),"")</f>
        <v/>
      </c>
      <c r="BM337" s="95" t="str">
        <f>IFERROR($N337+VLOOKUP($L337,'Voyage days'!$F$807:$K$878,6,FALSE),"")</f>
        <v/>
      </c>
      <c r="BN337" s="94" t="str">
        <f>IF(L337="loads AG", IFERROR($M337+VLOOKUP($L337,'Voyage days'!$M$38:$O$38,3,FALSE),""),"")</f>
        <v/>
      </c>
      <c r="BO337" s="94">
        <f>IF(L337="loads USG", IFERROR($M337+VLOOKUP($L337,'Voyage days'!$L$203:$N$203,3,FALSE),""),"")</f>
        <v>46177</v>
      </c>
    </row>
    <row r="338" spans="1:68" ht="15.75" customHeight="1" x14ac:dyDescent="0.25">
      <c r="A338" s="533" t="s">
        <v>599</v>
      </c>
      <c r="B338" s="534">
        <v>36800</v>
      </c>
      <c r="C338" s="535">
        <v>78874</v>
      </c>
      <c r="D338" s="374"/>
      <c r="E338" s="374"/>
      <c r="F338" s="375"/>
      <c r="G338" s="375"/>
      <c r="H338" s="375"/>
      <c r="I338" s="536" t="s">
        <v>1535</v>
      </c>
      <c r="J338" s="459" t="str">
        <f t="shared" si="61"/>
        <v/>
      </c>
      <c r="K338" s="537"/>
      <c r="L338" s="538" t="s">
        <v>797</v>
      </c>
      <c r="M338" s="288">
        <v>46137</v>
      </c>
      <c r="N338" s="288">
        <v>46138</v>
      </c>
      <c r="O338" s="379"/>
      <c r="P338" s="539" t="s">
        <v>1536</v>
      </c>
      <c r="Q338" s="378"/>
      <c r="R338" s="540" t="s">
        <v>1117</v>
      </c>
      <c r="S338" s="374" t="s">
        <v>33</v>
      </c>
      <c r="T338" s="380">
        <v>46131</v>
      </c>
      <c r="U338" s="541" t="str">
        <f>IF(V338="","No AIS",VLOOKUP(V338,'Voyage days'!$A$3:$B$1480,2,FALSE))</f>
        <v>Suez + 7</v>
      </c>
      <c r="V338" s="541" t="str">
        <f>IF(VLOOKUP(A338,'1) Kpler'!$E$2:$P$1000,8, FALSE)="","",VLOOKUP(A338,'1) Kpler'!$E$2:$P$1000,8, FALSE))</f>
        <v>Wadi Feiran LPG</v>
      </c>
      <c r="W338" s="542">
        <f>IF(VLOOKUP(A338,'1) Kpler'!$E$2:$P$1000,9,FALSE)="","",VLOOKUP(A338,'1) Kpler'!$E$2:$P$1000,9,FALSE))</f>
        <v>46132.486805555556</v>
      </c>
      <c r="X338" s="541" t="str">
        <f>VLOOKUP(A338,'1) Kpler'!$E$2:$I$1000,4,FALSE)</f>
        <v>floatingStorage</v>
      </c>
      <c r="Y338" s="543" t="str">
        <f t="shared" si="49"/>
        <v>04-05 May</v>
      </c>
      <c r="Z338" s="543" t="str">
        <f t="shared" si="50"/>
        <v>13-14 May</v>
      </c>
      <c r="AA338" s="543" t="str">
        <f t="shared" si="51"/>
        <v>16-17 May</v>
      </c>
      <c r="AB338" s="543" t="str">
        <f t="shared" si="52"/>
        <v>10-11 May</v>
      </c>
      <c r="AC338" s="543" t="str">
        <f t="shared" si="53"/>
        <v>03-04 May</v>
      </c>
      <c r="AD338" s="543" t="str">
        <f t="shared" si="54"/>
        <v/>
      </c>
      <c r="AE338" s="544" t="str">
        <f t="shared" si="55"/>
        <v/>
      </c>
      <c r="AF338" s="545" t="str">
        <f t="shared" si="56"/>
        <v>26-27 Apr</v>
      </c>
      <c r="AG338" s="200" t="str">
        <f t="shared" si="57"/>
        <v>04-05 May</v>
      </c>
      <c r="AH338" s="201">
        <f>IFERROR($M338+VLOOKUP($L338,'Voyage days'!$F$38:$H$89,3,FALSE),"")</f>
        <v>46146</v>
      </c>
      <c r="AI338" s="201">
        <f>IFERROR(N338+VLOOKUP($L338,'Voyage days'!$F$38:$H$89,3,FALSE),"")</f>
        <v>46147</v>
      </c>
      <c r="AJ338" s="200" t="str">
        <f t="shared" si="27"/>
        <v>13-14 May</v>
      </c>
      <c r="AK338" s="201">
        <f>IFERROR($M338+VLOOKUP($L338,'Voyage days'!$F$94:$H$193,3,FALSE),"")</f>
        <v>46155</v>
      </c>
      <c r="AL338" s="201">
        <f>IFERROR($N338+VLOOKUP($L338,'Voyage days'!$F$94:$H$193,3,FALSE),"")</f>
        <v>46156</v>
      </c>
      <c r="AM338" s="200" t="str">
        <f t="shared" si="28"/>
        <v>16-17 May</v>
      </c>
      <c r="AN338" s="201">
        <f>IFERROR($M338+VLOOKUP($L338,'Voyage days'!$F$203:$H$256,3,FALSE),"")</f>
        <v>46158</v>
      </c>
      <c r="AO338" s="201">
        <f>IFERROR($N338+VLOOKUP($L338,'Voyage days'!$F$203:$H$256,3,FALSE),"")</f>
        <v>46159</v>
      </c>
      <c r="AP338" s="200" t="str">
        <f t="shared" si="29"/>
        <v>10-11 May</v>
      </c>
      <c r="AQ338" s="201">
        <f>IFERROR($M338+VLOOKUP($L338,'Voyage days'!$F$294:$H$377,3,FALSE),"")</f>
        <v>46152</v>
      </c>
      <c r="AR338" s="201">
        <f>IFERROR($N338+VLOOKUP($L338,'Voyage days'!$F$294:$H$377,3,FALSE),"")</f>
        <v>46153</v>
      </c>
      <c r="AS338" s="200" t="str">
        <f t="shared" si="30"/>
        <v>03-04 May</v>
      </c>
      <c r="AT338" s="201">
        <f>IFERROR($M338+VLOOKUP($L338,'Voyage days'!$F$382:$H$446,3,FALSE),"")</f>
        <v>46145</v>
      </c>
      <c r="AU338" s="201">
        <f>IFERROR($N338+VLOOKUP($L338,'Voyage days'!$F$382:$H$446,3,FALSE),"")</f>
        <v>46146</v>
      </c>
      <c r="AV338" s="200" t="str">
        <f t="shared" si="31"/>
        <v/>
      </c>
      <c r="AW338" s="201" t="str">
        <f>IFERROR($M338+VLOOKUP($L338,'Voyage days'!$F$483:$H$538,3,FALSE),"")</f>
        <v/>
      </c>
      <c r="AX338" s="201" t="str">
        <f>IFERROR($N338+VLOOKUP($L338,'Voyage days'!$F$483:$H$538,3,FALSE),"")</f>
        <v/>
      </c>
      <c r="AY338" s="200" t="str">
        <f t="shared" si="32"/>
        <v/>
      </c>
      <c r="AZ338" s="201" t="str">
        <f>IFERROR($M338+VLOOKUP($L338,'Voyage days'!$F$540:$H$613,3,FALSE),"")</f>
        <v/>
      </c>
      <c r="BA338" s="201" t="str">
        <f>IFERROR($N338+VLOOKUP($L338,'Voyage days'!$F$540:$H$613,3,FALSE),"")</f>
        <v/>
      </c>
      <c r="BB338" s="200" t="str">
        <f t="shared" si="33"/>
        <v/>
      </c>
      <c r="BC338" s="201" t="str">
        <f>IFERROR($M338+VLOOKUP($L338,'Voyage days'!$F$448:$H$479,3,FALSE),"")</f>
        <v/>
      </c>
      <c r="BD338" s="201" t="str">
        <f>IFERROR($N338+VLOOKUP($L338,'Voyage days'!$F$448:$H$479,3,FALSE),"")</f>
        <v/>
      </c>
      <c r="BE338" s="200" t="str">
        <f t="shared" si="34"/>
        <v/>
      </c>
      <c r="BF338" s="201" t="str">
        <f>IFERROR($M338+VLOOKUP($L338,'Voyage days'!$F$620:$H$646,3,FALSE),"")</f>
        <v/>
      </c>
      <c r="BG338" s="201" t="str">
        <f>IFERROR($N338+VLOOKUP($L338,'Voyage days'!$F$620:$H$646,3,FALSE),"")</f>
        <v/>
      </c>
      <c r="BH338" s="200" t="str">
        <f t="shared" si="35"/>
        <v/>
      </c>
      <c r="BI338" s="202" t="str">
        <f>IFERROR($M338+VLOOKUP($L338,'Voyage days'!$F$702:$H$727,3,FALSE),"")</f>
        <v/>
      </c>
      <c r="BJ338" s="200" t="str">
        <f t="shared" si="36"/>
        <v>26-27 Apr</v>
      </c>
      <c r="BK338" s="201">
        <f>IFERROR($M338+VLOOKUP($L338,'Voyage days'!$F$807:$H$878,3,FALSE),"")</f>
        <v>46138.5</v>
      </c>
      <c r="BL338" s="201">
        <f>IFERROR($N338+VLOOKUP($L338,'Voyage days'!$F$807:$H$878,3,FALSE),"")</f>
        <v>46139.5</v>
      </c>
      <c r="BM338" s="201">
        <f>IFERROR($N338+VLOOKUP($L338,'Voyage days'!$F$807:$K$878,6,FALSE),"")</f>
        <v>46138</v>
      </c>
      <c r="BN338" s="201" t="str">
        <f>IF(L338="loads AG", IFERROR($M338+VLOOKUP($L338,'Voyage days'!$M$38:$O$38,3,FALSE),""),"")</f>
        <v/>
      </c>
      <c r="BO338" s="201" t="str">
        <f>IF(L338="loads USG", IFERROR($M338+VLOOKUP($L338,'Voyage days'!$L$203:$N$203,3,FALSE),""),"")</f>
        <v/>
      </c>
    </row>
    <row r="339" spans="1:68" x14ac:dyDescent="0.25">
      <c r="A339" s="546" t="s">
        <v>365</v>
      </c>
      <c r="B339" s="75">
        <v>39479</v>
      </c>
      <c r="C339" s="76">
        <v>82383</v>
      </c>
      <c r="D339" s="383"/>
      <c r="E339" s="383"/>
      <c r="F339" s="300"/>
      <c r="G339" s="300"/>
      <c r="H339" s="300" t="s">
        <v>739</v>
      </c>
      <c r="I339" s="301" t="s">
        <v>1537</v>
      </c>
      <c r="J339" s="311" t="str">
        <f t="shared" si="61"/>
        <v>NO AIS</v>
      </c>
      <c r="K339" s="303"/>
      <c r="L339" s="304" t="s">
        <v>1086</v>
      </c>
      <c r="M339" s="288">
        <v>46137</v>
      </c>
      <c r="N339" s="288">
        <v>46138</v>
      </c>
      <c r="O339" s="305"/>
      <c r="P339" s="304" t="s">
        <v>1538</v>
      </c>
      <c r="Q339" s="304"/>
      <c r="R339" s="304"/>
      <c r="S339" s="547" t="s">
        <v>33</v>
      </c>
      <c r="T339" s="380">
        <v>46131</v>
      </c>
      <c r="U339" s="170" t="str">
        <f>IF(V339="","No AIS",VLOOKUP(V339,'Voyage days'!$A$3:$B$1480,2,FALSE))</f>
        <v>No AIS</v>
      </c>
      <c r="V339" s="170" t="str">
        <f>IF(VLOOKUP(A339,'1) Kpler'!$E$2:$P$1000,8, FALSE)="","",VLOOKUP(A339,'1) Kpler'!$E$2:$P$1000,8, FALSE))</f>
        <v/>
      </c>
      <c r="W339" s="393" t="str">
        <f>IF(VLOOKUP(A339,'1) Kpler'!$E$2:$P$1000,9,FALSE)="","",VLOOKUP(A339,'1) Kpler'!$E$2:$P$1000,9,FALSE))</f>
        <v/>
      </c>
      <c r="X339" s="170" t="str">
        <f>VLOOKUP(A339,'1) Kpler'!$E$2:$I$1000,4,FALSE)</f>
        <v>ballast</v>
      </c>
      <c r="Y339" s="173" t="str">
        <f t="shared" si="49"/>
        <v/>
      </c>
      <c r="Z339" s="173" t="str">
        <f t="shared" si="50"/>
        <v/>
      </c>
      <c r="AA339" s="173" t="str">
        <f t="shared" si="51"/>
        <v/>
      </c>
      <c r="AB339" s="173" t="str">
        <f t="shared" si="52"/>
        <v/>
      </c>
      <c r="AC339" s="173" t="str">
        <f t="shared" si="53"/>
        <v>08-09 May</v>
      </c>
      <c r="AD339" s="173" t="str">
        <f t="shared" si="54"/>
        <v/>
      </c>
      <c r="AE339" s="174" t="str">
        <f t="shared" si="55"/>
        <v/>
      </c>
      <c r="AF339" s="92" t="str">
        <f t="shared" si="56"/>
        <v/>
      </c>
      <c r="AG339" s="131" t="str">
        <f t="shared" si="57"/>
        <v/>
      </c>
      <c r="AH339" s="95" t="str">
        <f>IFERROR($M339+VLOOKUP($L339,'Voyage days'!$F$38:$H$89,3,FALSE),"")</f>
        <v/>
      </c>
      <c r="AI339" s="95" t="str">
        <f>IFERROR(N339+VLOOKUP($L339,'Voyage days'!$F$38:$H$89,3,FALSE),"")</f>
        <v/>
      </c>
      <c r="AJ339" s="131" t="str">
        <f t="shared" si="27"/>
        <v/>
      </c>
      <c r="AK339" s="95" t="str">
        <f>IFERROR($M339+VLOOKUP($L339,'Voyage days'!$F$94:$H$193,3,FALSE),"")</f>
        <v/>
      </c>
      <c r="AL339" s="95" t="str">
        <f>IFERROR($N339+VLOOKUP($L339,'Voyage days'!$F$94:$H$193,3,FALSE),"")</f>
        <v/>
      </c>
      <c r="AM339" s="131" t="str">
        <f t="shared" si="28"/>
        <v/>
      </c>
      <c r="AN339" s="95" t="str">
        <f>IFERROR($M339+VLOOKUP($L339,'Voyage days'!$F$203:$H$256,3,FALSE),"")</f>
        <v/>
      </c>
      <c r="AO339" s="95" t="str">
        <f>IFERROR($N339+VLOOKUP($L339,'Voyage days'!$F$203:$H$256,3,FALSE),"")</f>
        <v/>
      </c>
      <c r="AP339" s="131" t="str">
        <f t="shared" si="29"/>
        <v/>
      </c>
      <c r="AQ339" s="95" t="str">
        <f>IFERROR($M339+VLOOKUP($L339,'Voyage days'!$F$294:$H$377,3,FALSE),"")</f>
        <v/>
      </c>
      <c r="AR339" s="95" t="str">
        <f>IFERROR($N339+VLOOKUP($L339,'Voyage days'!$F$294:$H$377,3,FALSE),"")</f>
        <v/>
      </c>
      <c r="AS339" s="131" t="str">
        <f t="shared" si="30"/>
        <v>08-09 May</v>
      </c>
      <c r="AT339" s="95">
        <f>IFERROR($M339+VLOOKUP($L339,'Voyage days'!$F$382:$H$446,3,FALSE),"")</f>
        <v>46150</v>
      </c>
      <c r="AU339" s="95">
        <f>IFERROR($N339+VLOOKUP($L339,'Voyage days'!$F$382:$H$446,3,FALSE),"")</f>
        <v>46151</v>
      </c>
      <c r="AV339" s="131" t="str">
        <f t="shared" si="31"/>
        <v/>
      </c>
      <c r="AW339" s="95" t="str">
        <f>IFERROR($M339+VLOOKUP($L339,'Voyage days'!$F$483:$H$538,3,FALSE),"")</f>
        <v/>
      </c>
      <c r="AX339" s="95" t="str">
        <f>IFERROR($N339+VLOOKUP($L339,'Voyage days'!$F$483:$H$538,3,FALSE),"")</f>
        <v/>
      </c>
      <c r="AY339" s="131" t="str">
        <f t="shared" si="32"/>
        <v/>
      </c>
      <c r="AZ339" s="95" t="str">
        <f>IFERROR($M339+VLOOKUP($L339,'Voyage days'!$F$540:$H$613,3,FALSE),"")</f>
        <v/>
      </c>
      <c r="BA339" s="95" t="str">
        <f>IFERROR($N339+VLOOKUP($L339,'Voyage days'!$F$540:$H$613,3,FALSE),"")</f>
        <v/>
      </c>
      <c r="BB339" s="131" t="str">
        <f t="shared" si="33"/>
        <v/>
      </c>
      <c r="BC339" s="95" t="str">
        <f>IFERROR($M339+VLOOKUP($L339,'Voyage days'!$F$448:$H$479,3,FALSE),"")</f>
        <v/>
      </c>
      <c r="BD339" s="95" t="str">
        <f>IFERROR($N339+VLOOKUP($L339,'Voyage days'!$F$448:$H$479,3,FALSE),"")</f>
        <v/>
      </c>
      <c r="BE339" s="131" t="str">
        <f t="shared" si="34"/>
        <v/>
      </c>
      <c r="BF339" s="95" t="str">
        <f>IFERROR($M339+VLOOKUP($L339,'Voyage days'!$F$620:$H$646,3,FALSE),"")</f>
        <v/>
      </c>
      <c r="BG339" s="95" t="str">
        <f>IFERROR($N339+VLOOKUP($L339,'Voyage days'!$F$620:$H$646,3,FALSE),"")</f>
        <v/>
      </c>
      <c r="BH339" s="131" t="str">
        <f t="shared" si="35"/>
        <v/>
      </c>
      <c r="BI339" s="96" t="str">
        <f>IFERROR($M339+VLOOKUP($L339,'Voyage days'!$F$702:$H$727,3,FALSE),"")</f>
        <v/>
      </c>
      <c r="BJ339" s="131" t="str">
        <f t="shared" si="36"/>
        <v/>
      </c>
      <c r="BK339" s="95" t="str">
        <f>IFERROR($M339+VLOOKUP($L339,'Voyage days'!$F$807:$H$878,3,FALSE),"")</f>
        <v/>
      </c>
      <c r="BL339" s="95" t="str">
        <f>IFERROR($N339+VLOOKUP($L339,'Voyage days'!$F$807:$H$878,3,FALSE),"")</f>
        <v/>
      </c>
      <c r="BM339" s="95" t="str">
        <f>IFERROR($N339+VLOOKUP($L339,'Voyage days'!$F$807:$K$878,6,FALSE),"")</f>
        <v/>
      </c>
      <c r="BN339" s="95" t="str">
        <f>IF(L339="loads AG", IFERROR($M339+VLOOKUP($L339,'Voyage days'!$M$38:$O$38,3,FALSE),""),"")</f>
        <v/>
      </c>
      <c r="BO339" s="95" t="str">
        <f>IF(L339="loads USG", IFERROR($M339+VLOOKUP($L339,'Voyage days'!$L$203:$N$203,3,FALSE),""),"")</f>
        <v/>
      </c>
    </row>
    <row r="340" spans="1:68" ht="15.75" customHeight="1" x14ac:dyDescent="0.25">
      <c r="A340" s="548" t="s">
        <v>429</v>
      </c>
      <c r="B340" s="549">
        <v>2002</v>
      </c>
      <c r="C340" s="373">
        <v>79514</v>
      </c>
      <c r="D340" s="374"/>
      <c r="E340" s="374" t="s">
        <v>757</v>
      </c>
      <c r="F340" s="375"/>
      <c r="G340" s="375"/>
      <c r="H340" s="375"/>
      <c r="I340" s="536" t="s">
        <v>1539</v>
      </c>
      <c r="J340" s="459" t="str">
        <f t="shared" si="61"/>
        <v/>
      </c>
      <c r="K340" s="537"/>
      <c r="L340" s="378" t="s">
        <v>1079</v>
      </c>
      <c r="M340" s="288">
        <v>46142</v>
      </c>
      <c r="N340" s="288">
        <v>46143</v>
      </c>
      <c r="O340" s="550" t="s">
        <v>1367</v>
      </c>
      <c r="P340" s="378" t="s">
        <v>1540</v>
      </c>
      <c r="Q340" s="536"/>
      <c r="R340" s="378" t="s">
        <v>1541</v>
      </c>
      <c r="S340" s="547" t="s">
        <v>33</v>
      </c>
      <c r="T340" s="380">
        <v>46131</v>
      </c>
      <c r="U340" s="541" t="str">
        <f>IF(V340="","No AIS",VLOOKUP(V340,'Voyage days'!$A$3:$B$1480,2,FALSE))</f>
        <v>WCI + 5</v>
      </c>
      <c r="V340" s="541" t="str">
        <f>IF(VLOOKUP(A340,'1) Kpler'!$E$2:$P$1000,8, FALSE)="","",VLOOKUP(A340,'1) Kpler'!$E$2:$P$1000,8, FALSE))</f>
        <v>Mumbai</v>
      </c>
      <c r="W340" s="542">
        <f>IF(VLOOKUP(A340,'1) Kpler'!$E$2:$P$1000,9,FALSE)="","",VLOOKUP(A340,'1) Kpler'!$E$2:$P$1000,9,FALSE))</f>
        <v>46132.875</v>
      </c>
      <c r="X340" s="541" t="str">
        <f>VLOOKUP(A340,'1) Kpler'!$E$2:$I$1000,4,FALSE)</f>
        <v>ballast</v>
      </c>
      <c r="Y340" s="200" t="str">
        <f t="shared" si="49"/>
        <v>05-06 May</v>
      </c>
      <c r="Z340" s="200" t="str">
        <f t="shared" si="50"/>
        <v/>
      </c>
      <c r="AA340" s="200" t="str">
        <f t="shared" si="51"/>
        <v>01-02 Jun</v>
      </c>
      <c r="AB340" s="200" t="str">
        <f t="shared" si="52"/>
        <v>19-20 May</v>
      </c>
      <c r="AC340" s="200" t="str">
        <f t="shared" si="53"/>
        <v>13-14 May</v>
      </c>
      <c r="AD340" s="200" t="str">
        <f t="shared" si="54"/>
        <v/>
      </c>
      <c r="AE340" s="551" t="str">
        <f t="shared" si="55"/>
        <v/>
      </c>
      <c r="AF340" s="552" t="str">
        <f t="shared" si="56"/>
        <v>04-05 Jun</v>
      </c>
      <c r="AG340" s="200" t="str">
        <f t="shared" si="57"/>
        <v>05-06 May</v>
      </c>
      <c r="AH340" s="201">
        <f>IFERROR($M340+VLOOKUP($L340,'Voyage days'!$F$38:$H$89,3,FALSE),"")</f>
        <v>46147</v>
      </c>
      <c r="AI340" s="201">
        <f>IFERROR(N340+VLOOKUP($L340,'Voyage days'!$F$38:$H$89,3,FALSE),"")</f>
        <v>46148</v>
      </c>
      <c r="AJ340" s="200" t="str">
        <f t="shared" si="27"/>
        <v/>
      </c>
      <c r="AK340" s="201" t="str">
        <f>IFERROR($M340+VLOOKUP($L340,'Voyage days'!$F$94:$H$193,3,FALSE),"")</f>
        <v/>
      </c>
      <c r="AL340" s="201" t="str">
        <f>IFERROR($N340+VLOOKUP($L340,'Voyage days'!$F$94:$H$193,3,FALSE),"")</f>
        <v/>
      </c>
      <c r="AM340" s="200" t="str">
        <f t="shared" si="28"/>
        <v>01-02 Jun</v>
      </c>
      <c r="AN340" s="201">
        <f>IFERROR($M340+VLOOKUP($L340,'Voyage days'!$F$203:$H$256,3,FALSE),"")</f>
        <v>46174</v>
      </c>
      <c r="AO340" s="201">
        <f>IFERROR($N340+VLOOKUP($L340,'Voyage days'!$F$203:$H$256,3,FALSE),"")</f>
        <v>46175</v>
      </c>
      <c r="AP340" s="200" t="str">
        <f t="shared" si="29"/>
        <v>19-20 May</v>
      </c>
      <c r="AQ340" s="201">
        <f>IFERROR($M340+VLOOKUP($L340,'Voyage days'!$F$294:$H$377,3,FALSE),"")</f>
        <v>46161</v>
      </c>
      <c r="AR340" s="201">
        <f>IFERROR($N340+VLOOKUP($L340,'Voyage days'!$F$294:$H$377,3,FALSE),"")</f>
        <v>46162</v>
      </c>
      <c r="AS340" s="200" t="str">
        <f t="shared" si="30"/>
        <v>13-14 May</v>
      </c>
      <c r="AT340" s="201">
        <f>IFERROR($M340+VLOOKUP($L340,'Voyage days'!$F$382:$H$446,3,FALSE),"")</f>
        <v>46155</v>
      </c>
      <c r="AU340" s="201">
        <f>IFERROR($N340+VLOOKUP($L340,'Voyage days'!$F$382:$H$446,3,FALSE),"")</f>
        <v>46156</v>
      </c>
      <c r="AV340" s="200" t="str">
        <f t="shared" si="31"/>
        <v/>
      </c>
      <c r="AW340" s="201" t="str">
        <f>IFERROR($M340+VLOOKUP($L340,'Voyage days'!$F$483:$H$538,3,FALSE),"")</f>
        <v/>
      </c>
      <c r="AX340" s="201" t="str">
        <f>IFERROR($N340+VLOOKUP($L340,'Voyage days'!$F$483:$H$538,3,FALSE),"")</f>
        <v/>
      </c>
      <c r="AY340" s="200" t="str">
        <f t="shared" si="32"/>
        <v/>
      </c>
      <c r="AZ340" s="201" t="str">
        <f>IFERROR($M340+VLOOKUP($L340,'Voyage days'!$F$540:$H$613,3,FALSE),"")</f>
        <v/>
      </c>
      <c r="BA340" s="201" t="str">
        <f>IFERROR($N340+VLOOKUP($L340,'Voyage days'!$F$540:$H$613,3,FALSE),"")</f>
        <v/>
      </c>
      <c r="BB340" s="200" t="str">
        <f t="shared" si="33"/>
        <v/>
      </c>
      <c r="BC340" s="201" t="str">
        <f>IFERROR($M340+VLOOKUP($L340,'Voyage days'!$F$448:$H$479,3,FALSE),"")</f>
        <v/>
      </c>
      <c r="BD340" s="201" t="str">
        <f>IFERROR($N340+VLOOKUP($L340,'Voyage days'!$F$448:$H$479,3,FALSE),"")</f>
        <v/>
      </c>
      <c r="BE340" s="200" t="str">
        <f t="shared" si="34"/>
        <v/>
      </c>
      <c r="BF340" s="201" t="str">
        <f>IFERROR($M340+VLOOKUP($L340,'Voyage days'!$F$620:$H$646,3,FALSE),"")</f>
        <v/>
      </c>
      <c r="BG340" s="201" t="str">
        <f>IFERROR($N340+VLOOKUP($L340,'Voyage days'!$F$620:$H$646,3,FALSE),"")</f>
        <v/>
      </c>
      <c r="BH340" s="200" t="str">
        <f t="shared" si="35"/>
        <v/>
      </c>
      <c r="BI340" s="202" t="str">
        <f>IFERROR($M340+VLOOKUP($L340,'Voyage days'!$F$702:$H$727,3,FALSE),"")</f>
        <v/>
      </c>
      <c r="BJ340" s="200" t="str">
        <f t="shared" si="36"/>
        <v>04-05 Jun</v>
      </c>
      <c r="BK340" s="201">
        <f>IFERROR($M340+VLOOKUP($L340,'Voyage days'!$F$807:$H$878,3,FALSE),"")</f>
        <v>46177</v>
      </c>
      <c r="BL340" s="201">
        <f>IFERROR($N340+VLOOKUP($L340,'Voyage days'!$F$807:$H$878,3,FALSE),"")</f>
        <v>46178</v>
      </c>
      <c r="BM340" s="201">
        <f>IFERROR($N340+VLOOKUP($L340,'Voyage days'!$F$807:$K$878,6,FALSE),"")</f>
        <v>46150</v>
      </c>
      <c r="BN340" s="201" t="str">
        <f>IF(L340="loads AG", IFERROR($M340+VLOOKUP($L340,'Voyage days'!$M$38:$O$38,3,FALSE),""),"")</f>
        <v/>
      </c>
      <c r="BO340" s="201" t="str">
        <f>IF(L340="loads USG", IFERROR($M340+VLOOKUP($L340,'Voyage days'!$L$203:$N$203,3,FALSE),""),"")</f>
        <v/>
      </c>
    </row>
    <row r="341" spans="1:68" ht="15.75" customHeight="1" x14ac:dyDescent="0.25">
      <c r="A341" s="548" t="s">
        <v>314</v>
      </c>
      <c r="B341" s="534">
        <v>38687</v>
      </c>
      <c r="C341" s="373">
        <v>78913</v>
      </c>
      <c r="D341" s="374"/>
      <c r="E341" s="374"/>
      <c r="F341" s="375"/>
      <c r="G341" s="375"/>
      <c r="H341" s="375"/>
      <c r="I341" s="536" t="s">
        <v>1542</v>
      </c>
      <c r="J341" s="459" t="str">
        <f t="shared" si="61"/>
        <v/>
      </c>
      <c r="K341" s="537"/>
      <c r="L341" s="378" t="s">
        <v>718</v>
      </c>
      <c r="M341" s="288">
        <v>46171</v>
      </c>
      <c r="N341" s="288">
        <v>46172</v>
      </c>
      <c r="O341" s="379"/>
      <c r="P341" s="378" t="s">
        <v>1543</v>
      </c>
      <c r="Q341" s="378"/>
      <c r="R341" s="378" t="s">
        <v>1544</v>
      </c>
      <c r="S341" s="374" t="s">
        <v>33</v>
      </c>
      <c r="T341" s="380">
        <v>46131</v>
      </c>
      <c r="U341" s="541" t="str">
        <f>IF(V341="","No AIS",VLOOKUP(V341,'Voyage days'!$A$3:$B$1480,2,FALSE))</f>
        <v>Singapore</v>
      </c>
      <c r="V341" s="541" t="str">
        <f>IF(VLOOKUP(A341,'1) Kpler'!$E$2:$P$1000,8, FALSE)="","",VLOOKUP(A341,'1) Kpler'!$E$2:$P$1000,8, FALSE))</f>
        <v>Singapore</v>
      </c>
      <c r="W341" s="542">
        <f>IF(VLOOKUP(A341,'1) Kpler'!$E$2:$P$1000,9,FALSE)="","",VLOOKUP(A341,'1) Kpler'!$E$2:$P$1000,9,FALSE))</f>
        <v>46133.15</v>
      </c>
      <c r="X341" s="541" t="str">
        <f>VLOOKUP(A341,'1) Kpler'!$E$2:$I$1000,4,FALSE)</f>
        <v>ballast</v>
      </c>
      <c r="Y341" s="200" t="str">
        <f t="shared" si="49"/>
        <v/>
      </c>
      <c r="Z341" s="200" t="str">
        <f t="shared" si="50"/>
        <v>29-30 May</v>
      </c>
      <c r="AA341" s="200" t="str">
        <f t="shared" si="51"/>
        <v>29-30 May</v>
      </c>
      <c r="AB341" s="200" t="str">
        <f t="shared" si="52"/>
        <v/>
      </c>
      <c r="AC341" s="200" t="str">
        <f t="shared" si="53"/>
        <v>18-19 Jun</v>
      </c>
      <c r="AD341" s="200" t="str">
        <f t="shared" si="54"/>
        <v/>
      </c>
      <c r="AE341" s="551" t="str">
        <f t="shared" si="55"/>
        <v/>
      </c>
      <c r="AF341" s="552" t="str">
        <f t="shared" si="56"/>
        <v/>
      </c>
      <c r="AG341" s="200" t="str">
        <f t="shared" si="57"/>
        <v/>
      </c>
      <c r="AH341" s="201" t="str">
        <f>IFERROR($M341+VLOOKUP($L341,'Voyage days'!$F$38:$H$89,3,FALSE),"")</f>
        <v/>
      </c>
      <c r="AI341" s="201" t="str">
        <f>IFERROR(N341+VLOOKUP($L341,'Voyage days'!$F$38:$H$89,3,FALSE),"")</f>
        <v/>
      </c>
      <c r="AJ341" s="200" t="str">
        <f t="shared" si="27"/>
        <v>29-30 May</v>
      </c>
      <c r="AK341" s="201">
        <f>IFERROR($M341+VLOOKUP($L341,'Voyage days'!$F$94:$H$193,3,FALSE),"")</f>
        <v>46171</v>
      </c>
      <c r="AL341" s="201">
        <f>IFERROR($N341+VLOOKUP($L341,'Voyage days'!$F$94:$H$193,3,FALSE),"")</f>
        <v>46172</v>
      </c>
      <c r="AM341" s="200" t="str">
        <f t="shared" si="28"/>
        <v>29-30 May</v>
      </c>
      <c r="AN341" s="201">
        <f>IFERROR($M341+VLOOKUP($L341,'Voyage days'!$F$203:$H$256,3,FALSE),"")</f>
        <v>46171</v>
      </c>
      <c r="AO341" s="201">
        <f>IFERROR($N341+VLOOKUP($L341,'Voyage days'!$F$203:$H$256,3,FALSE),"")</f>
        <v>46172</v>
      </c>
      <c r="AP341" s="200" t="str">
        <f t="shared" si="29"/>
        <v/>
      </c>
      <c r="AQ341" s="201" t="str">
        <f>IFERROR($M341+VLOOKUP($L341,'Voyage days'!$F$294:$H$377,3,FALSE),"")</f>
        <v/>
      </c>
      <c r="AR341" s="201" t="str">
        <f>IFERROR($N341+VLOOKUP($L341,'Voyage days'!$F$294:$H$377,3,FALSE),"")</f>
        <v/>
      </c>
      <c r="AS341" s="200" t="str">
        <f t="shared" si="30"/>
        <v>18-19 Jun</v>
      </c>
      <c r="AT341" s="201">
        <f>IFERROR($M341+VLOOKUP($L341,'Voyage days'!$F$382:$H$446,3,FALSE),"")</f>
        <v>46191</v>
      </c>
      <c r="AU341" s="201">
        <f>IFERROR($N341+VLOOKUP($L341,'Voyage days'!$F$382:$H$446,3,FALSE),"")</f>
        <v>46192</v>
      </c>
      <c r="AV341" s="200" t="str">
        <f t="shared" si="31"/>
        <v/>
      </c>
      <c r="AW341" s="201" t="str">
        <f>IFERROR($M341+VLOOKUP($L341,'Voyage days'!$F$483:$H$538,3,FALSE),"")</f>
        <v/>
      </c>
      <c r="AX341" s="201" t="str">
        <f>IFERROR($N341+VLOOKUP($L341,'Voyage days'!$F$483:$H$538,3,FALSE),"")</f>
        <v/>
      </c>
      <c r="AY341" s="200" t="str">
        <f t="shared" si="32"/>
        <v/>
      </c>
      <c r="AZ341" s="201" t="str">
        <f>IFERROR($M341+VLOOKUP($L341,'Voyage days'!$F$540:$H$613,3,FALSE),"")</f>
        <v/>
      </c>
      <c r="BA341" s="201" t="str">
        <f>IFERROR($N341+VLOOKUP($L341,'Voyage days'!$F$540:$H$613,3,FALSE),"")</f>
        <v/>
      </c>
      <c r="BB341" s="200" t="str">
        <f t="shared" si="33"/>
        <v/>
      </c>
      <c r="BC341" s="201" t="str">
        <f>IFERROR($M341+VLOOKUP($L341,'Voyage days'!$F$448:$H$479,3,FALSE),"")</f>
        <v/>
      </c>
      <c r="BD341" s="201" t="str">
        <f>IFERROR($N341+VLOOKUP($L341,'Voyage days'!$F$448:$H$479,3,FALSE),"")</f>
        <v/>
      </c>
      <c r="BE341" s="200" t="str">
        <f t="shared" si="34"/>
        <v/>
      </c>
      <c r="BF341" s="201" t="str">
        <f>IFERROR($M341+VLOOKUP($L341,'Voyage days'!$F$620:$H$646,3,FALSE),"")</f>
        <v/>
      </c>
      <c r="BG341" s="201" t="str">
        <f>IFERROR($N341+VLOOKUP($L341,'Voyage days'!$F$620:$H$646,3,FALSE),"")</f>
        <v/>
      </c>
      <c r="BH341" s="200" t="str">
        <f t="shared" si="35"/>
        <v/>
      </c>
      <c r="BI341" s="202" t="str">
        <f>IFERROR($M341+VLOOKUP($L341,'Voyage days'!$F$702:$H$727,3,FALSE),"")</f>
        <v/>
      </c>
      <c r="BJ341" s="200" t="str">
        <f t="shared" si="36"/>
        <v/>
      </c>
      <c r="BK341" s="201" t="str">
        <f>IFERROR($M341+VLOOKUP($L341,'Voyage days'!$F$807:$H$878,3,FALSE),"")</f>
        <v/>
      </c>
      <c r="BL341" s="201" t="str">
        <f>IFERROR($N341+VLOOKUP($L341,'Voyage days'!$F$807:$H$878,3,FALSE),"")</f>
        <v/>
      </c>
      <c r="BM341" s="201" t="str">
        <f>IFERROR($N341+VLOOKUP($L341,'Voyage days'!$F$807:$K$878,6,FALSE),"")</f>
        <v/>
      </c>
      <c r="BN341" s="201" t="str">
        <f>IF(L341="loads AG", IFERROR($M341+VLOOKUP($L341,'Voyage days'!$M$38:$O$38,3,FALSE),""),"")</f>
        <v/>
      </c>
      <c r="BO341" s="201">
        <f>IF(L341="loads USG", IFERROR($M341+VLOOKUP($L341,'Voyage days'!$L$203:$N$203,3,FALSE),""),"")</f>
        <v>46203</v>
      </c>
    </row>
    <row r="342" spans="1:68" ht="15.75" customHeight="1" x14ac:dyDescent="0.25">
      <c r="A342" s="74" t="s">
        <v>478</v>
      </c>
      <c r="B342" s="153">
        <v>37681</v>
      </c>
      <c r="C342" s="154">
        <v>78945</v>
      </c>
      <c r="D342" s="77"/>
      <c r="E342" s="77"/>
      <c r="F342" s="78"/>
      <c r="G342" s="78"/>
      <c r="H342" s="78"/>
      <c r="I342" s="82" t="s">
        <v>1545</v>
      </c>
      <c r="J342" s="80" t="str">
        <f t="shared" si="61"/>
        <v/>
      </c>
      <c r="K342" s="81"/>
      <c r="L342" s="82" t="s">
        <v>718</v>
      </c>
      <c r="M342" s="83">
        <v>46133</v>
      </c>
      <c r="N342" s="83">
        <v>46134</v>
      </c>
      <c r="O342" s="206"/>
      <c r="P342" s="82" t="s">
        <v>1546</v>
      </c>
      <c r="Q342" s="85"/>
      <c r="R342" s="85" t="s">
        <v>1547</v>
      </c>
      <c r="S342" s="77" t="s">
        <v>33</v>
      </c>
      <c r="T342" s="380">
        <v>46131</v>
      </c>
      <c r="U342" s="87" t="str">
        <f>IF(V342="","No AIS",VLOOKUP(V342,'Voyage days'!$A$3:$B$1480,2,FALSE))</f>
        <v>USG</v>
      </c>
      <c r="V342" s="88" t="str">
        <f>IF(VLOOKUP(A342,'1) Kpler'!$E$2:$P$1000,8, FALSE)="","",VLOOKUP(A342,'1) Kpler'!$E$2:$P$1000,8, FALSE))</f>
        <v>Targa</v>
      </c>
      <c r="W342" s="89">
        <f>IF(VLOOKUP(A342,'1) Kpler'!$E$2:$P$1000,9,FALSE)="","",VLOOKUP(A342,'1) Kpler'!$E$2:$P$1000,9,FALSE))</f>
        <v>46133.125</v>
      </c>
      <c r="X342" s="88" t="str">
        <f>VLOOKUP(A342,'1) Kpler'!$E$2:$I$1000,4,FALSE)</f>
        <v>ballast</v>
      </c>
      <c r="Y342" s="63" t="str">
        <f t="shared" si="49"/>
        <v/>
      </c>
      <c r="Z342" s="63" t="str">
        <f t="shared" si="50"/>
        <v>21-22 Apr</v>
      </c>
      <c r="AA342" s="63" t="str">
        <f t="shared" si="51"/>
        <v>21-22 Apr</v>
      </c>
      <c r="AB342" s="63" t="str">
        <f t="shared" si="52"/>
        <v/>
      </c>
      <c r="AC342" s="63" t="str">
        <f t="shared" si="53"/>
        <v>11-12 May</v>
      </c>
      <c r="AD342" s="63" t="str">
        <f t="shared" si="54"/>
        <v/>
      </c>
      <c r="AE342" s="129" t="str">
        <f t="shared" si="55"/>
        <v/>
      </c>
      <c r="AF342" s="130" t="str">
        <f t="shared" si="56"/>
        <v/>
      </c>
      <c r="AG342" s="93" t="str">
        <f t="shared" si="57"/>
        <v/>
      </c>
      <c r="AH342" s="94" t="str">
        <f>IFERROR($M342+VLOOKUP($L342,'Voyage days'!$F$38:$H$89,3,FALSE),"")</f>
        <v/>
      </c>
      <c r="AI342" s="94" t="str">
        <f>IFERROR(N342+VLOOKUP($L342,'Voyage days'!$F$38:$H$89,3,FALSE),"")</f>
        <v/>
      </c>
      <c r="AJ342" s="93" t="str">
        <f t="shared" si="27"/>
        <v>21-22 Apr</v>
      </c>
      <c r="AK342" s="94">
        <f>IFERROR($M342+VLOOKUP($L342,'Voyage days'!$F$94:$H$193,3,FALSE),"")</f>
        <v>46133</v>
      </c>
      <c r="AL342" s="94">
        <f>IFERROR($N342+VLOOKUP($L342,'Voyage days'!$F$94:$H$193,3,FALSE),"")</f>
        <v>46134</v>
      </c>
      <c r="AM342" s="93" t="str">
        <f t="shared" si="28"/>
        <v>21-22 Apr</v>
      </c>
      <c r="AN342" s="94">
        <f>IFERROR($M342+VLOOKUP($L342,'Voyage days'!$F$203:$H$256,3,FALSE),"")</f>
        <v>46133</v>
      </c>
      <c r="AO342" s="94">
        <f>IFERROR($N342+VLOOKUP($L342,'Voyage days'!$F$203:$H$256,3,FALSE),"")</f>
        <v>46134</v>
      </c>
      <c r="AP342" s="93" t="str">
        <f t="shared" si="29"/>
        <v/>
      </c>
      <c r="AQ342" s="94" t="str">
        <f>IFERROR($M342+VLOOKUP($L342,'Voyage days'!$F$294:$H$377,3,FALSE),"")</f>
        <v/>
      </c>
      <c r="AR342" s="94" t="str">
        <f>IFERROR($N342+VLOOKUP($L342,'Voyage days'!$F$294:$H$377,3,FALSE),"")</f>
        <v/>
      </c>
      <c r="AS342" s="93" t="str">
        <f t="shared" si="30"/>
        <v>11-12 May</v>
      </c>
      <c r="AT342" s="94">
        <f>IFERROR($M342+VLOOKUP($L342,'Voyage days'!$F$382:$H$446,3,FALSE),"")</f>
        <v>46153</v>
      </c>
      <c r="AU342" s="94">
        <f>IFERROR($N342+VLOOKUP($L342,'Voyage days'!$F$382:$H$446,3,FALSE),"")</f>
        <v>46154</v>
      </c>
      <c r="AV342" s="93" t="str">
        <f t="shared" si="31"/>
        <v/>
      </c>
      <c r="AW342" s="94" t="str">
        <f>IFERROR($M342+VLOOKUP($L342,'Voyage days'!$F$483:$H$538,3,FALSE),"")</f>
        <v/>
      </c>
      <c r="AX342" s="94" t="str">
        <f>IFERROR($N342+VLOOKUP($L342,'Voyage days'!$F$483:$H$538,3,FALSE),"")</f>
        <v/>
      </c>
      <c r="AY342" s="93" t="str">
        <f t="shared" si="32"/>
        <v/>
      </c>
      <c r="AZ342" s="94" t="str">
        <f>IFERROR($M342+VLOOKUP($L342,'Voyage days'!$F$540:$H$613,3,FALSE),"")</f>
        <v/>
      </c>
      <c r="BA342" s="94" t="str">
        <f>IFERROR($N342+VLOOKUP($L342,'Voyage days'!$F$540:$H$613,3,FALSE),"")</f>
        <v/>
      </c>
      <c r="BB342" s="93" t="str">
        <f t="shared" si="33"/>
        <v/>
      </c>
      <c r="BC342" s="94" t="str">
        <f>IFERROR($M342+VLOOKUP($L342,'Voyage days'!$F$448:$H$479,3,FALSE),"")</f>
        <v/>
      </c>
      <c r="BD342" s="94" t="str">
        <f>IFERROR($N342+VLOOKUP($L342,'Voyage days'!$F$448:$H$479,3,FALSE),"")</f>
        <v/>
      </c>
      <c r="BE342" s="93" t="str">
        <f t="shared" si="34"/>
        <v/>
      </c>
      <c r="BF342" s="95" t="str">
        <f>IFERROR($M342+VLOOKUP($L342,'Voyage days'!$F$620:$H$646,3,FALSE),"")</f>
        <v/>
      </c>
      <c r="BG342" s="95" t="str">
        <f>IFERROR($N342+VLOOKUP($L342,'Voyage days'!$F$620:$H$646,3,FALSE),"")</f>
        <v/>
      </c>
      <c r="BH342" s="93" t="str">
        <f t="shared" si="35"/>
        <v/>
      </c>
      <c r="BI342" s="96" t="str">
        <f>IFERROR($M342+VLOOKUP($L342,'Voyage days'!$F$702:$H$727,3,FALSE),"")</f>
        <v/>
      </c>
      <c r="BJ342" s="93" t="str">
        <f t="shared" si="36"/>
        <v/>
      </c>
      <c r="BK342" s="95" t="str">
        <f>IFERROR($M342+VLOOKUP($L342,'Voyage days'!$F$807:$H$878,3,FALSE),"")</f>
        <v/>
      </c>
      <c r="BL342" s="95" t="str">
        <f>IFERROR($N342+VLOOKUP($L342,'Voyage days'!$F$807:$H$878,3,FALSE),"")</f>
        <v/>
      </c>
      <c r="BM342" s="95" t="str">
        <f>IFERROR($N342+VLOOKUP($L342,'Voyage days'!$F$807:$K$878,6,FALSE),"")</f>
        <v/>
      </c>
      <c r="BN342" s="94" t="str">
        <f>IF(L342="loads AG", IFERROR($M342+VLOOKUP($L342,'Voyage days'!$M$38:$O$38,3,FALSE),""),"")</f>
        <v/>
      </c>
      <c r="BO342" s="94">
        <f>IF(L342="loads USG", IFERROR($M342+VLOOKUP($L342,'Voyage days'!$L$203:$N$203,3,FALSE),""),"")</f>
        <v>46165</v>
      </c>
    </row>
    <row r="343" spans="1:68" ht="15.75" customHeight="1" x14ac:dyDescent="0.25">
      <c r="A343" s="553" t="s">
        <v>514</v>
      </c>
      <c r="B343" s="549">
        <v>2007</v>
      </c>
      <c r="C343" s="373">
        <v>84597</v>
      </c>
      <c r="D343" s="374"/>
      <c r="E343" s="374"/>
      <c r="F343" s="375"/>
      <c r="G343" s="375"/>
      <c r="H343" s="375"/>
      <c r="I343" s="378" t="s">
        <v>1548</v>
      </c>
      <c r="J343" s="459"/>
      <c r="K343" s="537"/>
      <c r="L343" s="538" t="s">
        <v>1243</v>
      </c>
      <c r="M343" s="288">
        <v>46133</v>
      </c>
      <c r="N343" s="288">
        <v>46134</v>
      </c>
      <c r="O343" s="379"/>
      <c r="P343" s="378" t="s">
        <v>1549</v>
      </c>
      <c r="Q343" s="378"/>
      <c r="R343" s="378" t="s">
        <v>1550</v>
      </c>
      <c r="S343" s="374" t="s">
        <v>33</v>
      </c>
      <c r="T343" s="380">
        <v>46131</v>
      </c>
      <c r="U343" s="541" t="str">
        <f>IF(V343="","No AIS",VLOOKUP(V343,'Voyage days'!$A$3:$B$1480,2,FALSE))</f>
        <v>AG</v>
      </c>
      <c r="V343" s="541" t="str">
        <f>IF(VLOOKUP(A343,'1) Kpler'!$E$2:$P$1000,8, FALSE)="","",VLOOKUP(A343,'1) Kpler'!$E$2:$P$1000,8, FALSE))</f>
        <v>Fujairah</v>
      </c>
      <c r="W343" s="542">
        <f>IF(VLOOKUP(A343,'1) Kpler'!$E$2:$P$1000,9,FALSE)="","",VLOOKUP(A343,'1) Kpler'!$E$2:$P$1000,9,FALSE))</f>
        <v>46132.625</v>
      </c>
      <c r="X343" s="541" t="str">
        <f>VLOOKUP(A343,'1) Kpler'!$E$2:$I$1000,4,FALSE)</f>
        <v>ballast</v>
      </c>
      <c r="Y343" s="543" t="str">
        <f t="shared" si="49"/>
        <v>21-22 Apr</v>
      </c>
      <c r="Z343" s="543" t="str">
        <f t="shared" si="50"/>
        <v/>
      </c>
      <c r="AA343" s="543" t="str">
        <f t="shared" si="51"/>
        <v/>
      </c>
      <c r="AB343" s="543" t="str">
        <f t="shared" si="52"/>
        <v/>
      </c>
      <c r="AC343" s="543" t="str">
        <f t="shared" si="53"/>
        <v/>
      </c>
      <c r="AD343" s="543" t="str">
        <f t="shared" si="54"/>
        <v/>
      </c>
      <c r="AE343" s="543" t="str">
        <f t="shared" si="55"/>
        <v>10-11 May</v>
      </c>
      <c r="AF343" s="545" t="str">
        <f t="shared" si="56"/>
        <v>21-22 Apr</v>
      </c>
      <c r="AG343" s="200" t="str">
        <f t="shared" si="57"/>
        <v>21-22 Apr</v>
      </c>
      <c r="AH343" s="201">
        <f>IFERROR($M343+VLOOKUP($L343,'Voyage days'!$F$38:$H$89,3,FALSE),"")</f>
        <v>46133</v>
      </c>
      <c r="AI343" s="201">
        <f>IFERROR(N343+VLOOKUP($L343,'Voyage days'!$F$38:$H$89,3,FALSE),"")</f>
        <v>46134</v>
      </c>
      <c r="AJ343" s="200" t="str">
        <f t="shared" si="27"/>
        <v/>
      </c>
      <c r="AK343" s="201" t="str">
        <f>IFERROR($M343+VLOOKUP($L343,'Voyage days'!$F$94:$H$193,3,FALSE),"")</f>
        <v/>
      </c>
      <c r="AL343" s="201" t="str">
        <f>IFERROR($N343+VLOOKUP($L343,'Voyage days'!$F$94:$H$193,3,FALSE),"")</f>
        <v/>
      </c>
      <c r="AM343" s="200" t="str">
        <f t="shared" si="28"/>
        <v/>
      </c>
      <c r="AN343" s="201" t="str">
        <f>IFERROR($M343+VLOOKUP($L343,'Voyage days'!$F$203:$H$256,3,FALSE),"")</f>
        <v/>
      </c>
      <c r="AO343" s="201" t="str">
        <f>IFERROR($N343+VLOOKUP($L343,'Voyage days'!$F$203:$H$256,3,FALSE),"")</f>
        <v/>
      </c>
      <c r="AP343" s="200" t="str">
        <f t="shared" si="29"/>
        <v/>
      </c>
      <c r="AQ343" s="201" t="str">
        <f>IFERROR($M343+VLOOKUP($L343,'Voyage days'!$F$294:$H$377,3,FALSE),"")</f>
        <v/>
      </c>
      <c r="AR343" s="201" t="str">
        <f>IFERROR($N343+VLOOKUP($L343,'Voyage days'!$F$294:$H$377,3,FALSE),"")</f>
        <v/>
      </c>
      <c r="AS343" s="200" t="str">
        <f t="shared" si="30"/>
        <v/>
      </c>
      <c r="AT343" s="201" t="str">
        <f>IFERROR($M343+VLOOKUP($L343,'Voyage days'!$F$382:$H$446,3,FALSE),"")</f>
        <v/>
      </c>
      <c r="AU343" s="201" t="str">
        <f>IFERROR($N343+VLOOKUP($L343,'Voyage days'!$F$382:$H$446,3,FALSE),"")</f>
        <v/>
      </c>
      <c r="AV343" s="200" t="str">
        <f t="shared" si="31"/>
        <v/>
      </c>
      <c r="AW343" s="201" t="str">
        <f>IFERROR($M343+VLOOKUP($L343,'Voyage days'!$F$483:$H$538,3,FALSE),"")</f>
        <v/>
      </c>
      <c r="AX343" s="201" t="str">
        <f>IFERROR($N343+VLOOKUP($L343,'Voyage days'!$F$483:$H$538,3,FALSE),"")</f>
        <v/>
      </c>
      <c r="AY343" s="200" t="str">
        <f t="shared" si="32"/>
        <v>10-11 May</v>
      </c>
      <c r="AZ343" s="201">
        <f>IFERROR($M343+VLOOKUP($L343,'Voyage days'!$F$540:$H$613,3,FALSE),"")</f>
        <v>46152</v>
      </c>
      <c r="BA343" s="201">
        <f>IFERROR($N343+VLOOKUP($L343,'Voyage days'!$F$540:$H$613,3,FALSE),"")</f>
        <v>46153</v>
      </c>
      <c r="BB343" s="200" t="str">
        <f t="shared" si="33"/>
        <v/>
      </c>
      <c r="BC343" s="201" t="str">
        <f>IFERROR($M343+VLOOKUP($L343,'Voyage days'!$F$448:$H$479,3,FALSE),"")</f>
        <v/>
      </c>
      <c r="BD343" s="201" t="str">
        <f>IFERROR($N343+VLOOKUP($L343,'Voyage days'!$F$448:$H$479,3,FALSE),"")</f>
        <v/>
      </c>
      <c r="BE343" s="200" t="str">
        <f t="shared" si="34"/>
        <v/>
      </c>
      <c r="BF343" s="201" t="str">
        <f>IFERROR($M343+VLOOKUP($L343,'Voyage days'!$F$620:$H$646,3,FALSE),"")</f>
        <v/>
      </c>
      <c r="BG343" s="201" t="str">
        <f>IFERROR($N343+VLOOKUP($L343,'Voyage days'!$F$620:$H$646,3,FALSE),"")</f>
        <v/>
      </c>
      <c r="BH343" s="200" t="str">
        <f t="shared" si="35"/>
        <v/>
      </c>
      <c r="BI343" s="438" t="str">
        <f>IFERROR($M343+VLOOKUP($L343,'Voyage days'!$F$702:$H$727,3,FALSE),"")</f>
        <v/>
      </c>
      <c r="BJ343" s="200" t="str">
        <f t="shared" si="36"/>
        <v>21-22 Apr</v>
      </c>
      <c r="BK343" s="201">
        <f>IFERROR($M343+VLOOKUP($L343,'Voyage days'!$F$807:$H$878,3,FALSE),"")</f>
        <v>46133</v>
      </c>
      <c r="BL343" s="201">
        <f>IFERROR($N343+VLOOKUP($L343,'Voyage days'!$F$807:$H$878,3,FALSE),"")</f>
        <v>46134</v>
      </c>
      <c r="BM343" s="201">
        <f>IFERROR($N343+VLOOKUP($L343,'Voyage days'!$F$807:$K$878,6,FALSE),"")</f>
        <v>46137</v>
      </c>
      <c r="BN343" s="201">
        <f>IF(L343="loads AG", IFERROR($M343+VLOOKUP($L343,'Voyage days'!$M$38:$O$38,3,FALSE),""),"")</f>
        <v>46158</v>
      </c>
      <c r="BO343" s="201" t="str">
        <f>IF(L343="loads USG", IFERROR($M343+VLOOKUP($L343,'Voyage days'!$L$203:$N$203,3,FALSE),""),"")</f>
        <v/>
      </c>
      <c r="BP343" s="554"/>
    </row>
    <row r="344" spans="1:68" ht="15.75" customHeight="1" x14ac:dyDescent="0.25">
      <c r="A344" s="553" t="s">
        <v>1551</v>
      </c>
      <c r="B344" s="549">
        <v>2006</v>
      </c>
      <c r="C344" s="373">
        <v>83270</v>
      </c>
      <c r="D344" s="374"/>
      <c r="E344" s="374"/>
      <c r="F344" s="375"/>
      <c r="G344" s="375"/>
      <c r="H344" s="375"/>
      <c r="I344" s="378" t="s">
        <v>1548</v>
      </c>
      <c r="J344" s="459"/>
      <c r="K344" s="537"/>
      <c r="L344" s="538" t="s">
        <v>734</v>
      </c>
      <c r="M344" s="288">
        <v>46149</v>
      </c>
      <c r="N344" s="288">
        <v>46150</v>
      </c>
      <c r="O344" s="379"/>
      <c r="P344" s="378" t="s">
        <v>1552</v>
      </c>
      <c r="Q344" s="378"/>
      <c r="R344" s="378" t="s">
        <v>1550</v>
      </c>
      <c r="S344" s="374" t="s">
        <v>724</v>
      </c>
      <c r="T344" s="380">
        <v>46132</v>
      </c>
      <c r="U344" s="541" t="str">
        <f>IF(V344="","No AIS",VLOOKUP(V344,'Voyage days'!$A$3:$B$1480,2,FALSE))</f>
        <v>Indo + 4</v>
      </c>
      <c r="V344" s="541" t="str">
        <f>IF(VLOOKUP(A344,'1) Kpler'!$E$2:$P$1000,8, FALSE)="","",VLOOKUP(A344,'1) Kpler'!$E$2:$P$1000,8, FALSE))</f>
        <v>Oiltank. Merak</v>
      </c>
      <c r="W344" s="542">
        <f>IF(VLOOKUP(A344,'1) Kpler'!$E$2:$P$1000,9,FALSE)="","",VLOOKUP(A344,'1) Kpler'!$E$2:$P$1000,9,FALSE))</f>
        <v>46144.8125</v>
      </c>
      <c r="X344" s="541" t="str">
        <f>VLOOKUP(A344,'1) Kpler'!$E$2:$I$1000,4,FALSE)</f>
        <v>loaded</v>
      </c>
      <c r="Y344" s="543" t="str">
        <f t="shared" si="49"/>
        <v>18-19 May</v>
      </c>
      <c r="Z344" s="543" t="str">
        <f t="shared" si="50"/>
        <v>14-15 Jun</v>
      </c>
      <c r="AA344" s="543" t="str">
        <f t="shared" si="51"/>
        <v>13-14 Jun</v>
      </c>
      <c r="AB344" s="543" t="str">
        <f t="shared" si="52"/>
        <v>27-28 May</v>
      </c>
      <c r="AC344" s="543" t="str">
        <f t="shared" si="53"/>
        <v>05-06 Jun</v>
      </c>
      <c r="AD344" s="543" t="str">
        <f t="shared" si="54"/>
        <v>10-11 May</v>
      </c>
      <c r="AE344" s="543" t="str">
        <f t="shared" si="55"/>
        <v>11-12 May</v>
      </c>
      <c r="AF344" s="545" t="str">
        <f t="shared" si="56"/>
        <v>13-14 Jun</v>
      </c>
      <c r="AG344" s="200" t="str">
        <f t="shared" si="57"/>
        <v>18-19 May</v>
      </c>
      <c r="AH344" s="201">
        <f>IFERROR($M344+VLOOKUP($L344,'Voyage days'!$F$38:$H$89,3,FALSE),"")</f>
        <v>46160</v>
      </c>
      <c r="AI344" s="201">
        <f>IFERROR(N344+VLOOKUP($L344,'Voyage days'!$F$38:$H$89,3,FALSE),"")</f>
        <v>46161</v>
      </c>
      <c r="AJ344" s="200" t="str">
        <f t="shared" si="27"/>
        <v>14-15 Jun</v>
      </c>
      <c r="AK344" s="201">
        <f>IFERROR($M344+VLOOKUP($L344,'Voyage days'!$F$94:$H$193,3,FALSE),"")</f>
        <v>46187</v>
      </c>
      <c r="AL344" s="201">
        <f>IFERROR($N344+VLOOKUP($L344,'Voyage days'!$F$94:$H$193,3,FALSE),"")</f>
        <v>46188</v>
      </c>
      <c r="AM344" s="200" t="str">
        <f t="shared" si="28"/>
        <v>13-14 Jun</v>
      </c>
      <c r="AN344" s="201">
        <f>IFERROR($M344+VLOOKUP($L344,'Voyage days'!$F$203:$H$256,3,FALSE),"")</f>
        <v>46186</v>
      </c>
      <c r="AO344" s="201">
        <f>IFERROR($N344+VLOOKUP($L344,'Voyage days'!$F$203:$H$256,3,FALSE),"")</f>
        <v>46187</v>
      </c>
      <c r="AP344" s="200" t="str">
        <f t="shared" si="29"/>
        <v>27-28 May</v>
      </c>
      <c r="AQ344" s="201">
        <f>IFERROR($M344+VLOOKUP($L344,'Voyage days'!$F$294:$H$377,3,FALSE),"")</f>
        <v>46169</v>
      </c>
      <c r="AR344" s="201">
        <f>IFERROR($N344+VLOOKUP($L344,'Voyage days'!$F$294:$H$377,3,FALSE),"")</f>
        <v>46170</v>
      </c>
      <c r="AS344" s="200" t="str">
        <f t="shared" si="30"/>
        <v>05-06 Jun</v>
      </c>
      <c r="AT344" s="201">
        <f>IFERROR($M344+VLOOKUP($L344,'Voyage days'!$F$382:$H$446,3,FALSE),"")</f>
        <v>46178</v>
      </c>
      <c r="AU344" s="201">
        <f>IFERROR($N344+VLOOKUP($L344,'Voyage days'!$F$382:$H$446,3,FALSE),"")</f>
        <v>46179</v>
      </c>
      <c r="AV344" s="200" t="str">
        <f t="shared" si="31"/>
        <v>16-17 May</v>
      </c>
      <c r="AW344" s="201">
        <f>IFERROR($M344+VLOOKUP($L344,'Voyage days'!$F$483:$H$538,3,FALSE),"")</f>
        <v>46158</v>
      </c>
      <c r="AX344" s="201">
        <f>IFERROR($N344+VLOOKUP($L344,'Voyage days'!$F$483:$H$538,3,FALSE),"")</f>
        <v>46159</v>
      </c>
      <c r="AY344" s="200" t="str">
        <f t="shared" si="32"/>
        <v>11-12 May</v>
      </c>
      <c r="AZ344" s="201">
        <f>IFERROR($M344+VLOOKUP($L344,'Voyage days'!$F$540:$H$613,3,FALSE),"")</f>
        <v>46153</v>
      </c>
      <c r="BA344" s="201">
        <f>IFERROR($N344+VLOOKUP($L344,'Voyage days'!$F$540:$H$613,3,FALSE),"")</f>
        <v>46154</v>
      </c>
      <c r="BB344" s="200" t="str">
        <f t="shared" si="33"/>
        <v>10-11 May</v>
      </c>
      <c r="BC344" s="201">
        <f>IFERROR($M344+VLOOKUP($L344,'Voyage days'!$F$448:$H$479,3,FALSE),"")</f>
        <v>46152</v>
      </c>
      <c r="BD344" s="201">
        <f>IFERROR($N344+VLOOKUP($L344,'Voyage days'!$F$448:$H$479,3,FALSE),"")</f>
        <v>46153</v>
      </c>
      <c r="BE344" s="200" t="str">
        <f t="shared" si="34"/>
        <v/>
      </c>
      <c r="BF344" s="201" t="str">
        <f>IFERROR($M344+VLOOKUP($L344,'Voyage days'!$F$620:$H$646,3,FALSE),"")</f>
        <v/>
      </c>
      <c r="BG344" s="201" t="str">
        <f>IFERROR($N344+VLOOKUP($L344,'Voyage days'!$F$620:$H$646,3,FALSE),"")</f>
        <v/>
      </c>
      <c r="BH344" s="200" t="str">
        <f t="shared" si="35"/>
        <v>15-14 Jun</v>
      </c>
      <c r="BI344" s="438">
        <f>IFERROR($M344+VLOOKUP($L344,'Voyage days'!$F$702:$H$727,3,FALSE),"")</f>
        <v>46157</v>
      </c>
      <c r="BJ344" s="200" t="str">
        <f t="shared" si="36"/>
        <v>13-14 Jun</v>
      </c>
      <c r="BK344" s="201">
        <f>IFERROR($M344+VLOOKUP($L344,'Voyage days'!$F$807:$H$878,3,FALSE),"")</f>
        <v>46186</v>
      </c>
      <c r="BL344" s="201">
        <f>IFERROR($N344+VLOOKUP($L344,'Voyage days'!$F$807:$H$878,3,FALSE),"")</f>
        <v>46187</v>
      </c>
      <c r="BM344" s="201">
        <f>IFERROR($N344+VLOOKUP($L344,'Voyage days'!$F$807:$K$878,6,FALSE),"")</f>
        <v>46163</v>
      </c>
      <c r="BN344" s="201" t="str">
        <f>IF(L344="loads AG", IFERROR($M344+VLOOKUP($L344,'Voyage days'!$M$38:$O$38,3,FALSE),""),"")</f>
        <v/>
      </c>
      <c r="BO344" s="201" t="str">
        <f>IF(L344="loads USG", IFERROR($M344+VLOOKUP($L344,'Voyage days'!$L$203:$N$203,3,FALSE),""),"")</f>
        <v/>
      </c>
      <c r="BP344" s="554"/>
    </row>
    <row r="345" spans="1:68" ht="15.75" customHeight="1" x14ac:dyDescent="0.25">
      <c r="A345" s="53" t="s">
        <v>543</v>
      </c>
      <c r="B345" s="119">
        <v>2020</v>
      </c>
      <c r="C345" s="76">
        <v>82416</v>
      </c>
      <c r="D345" s="77"/>
      <c r="E345" s="77"/>
      <c r="F345" s="78"/>
      <c r="G345" s="78"/>
      <c r="H345" s="78" t="s">
        <v>739</v>
      </c>
      <c r="I345" s="233" t="s">
        <v>1553</v>
      </c>
      <c r="J345" s="80" t="str">
        <f>IF(W345="","NO AIS",IF((W345-M345-1)&gt;0,"Update",""))</f>
        <v>Update</v>
      </c>
      <c r="K345" s="81"/>
      <c r="L345" s="272" t="s">
        <v>1138</v>
      </c>
      <c r="M345" s="83">
        <v>46132</v>
      </c>
      <c r="N345" s="307">
        <v>46133</v>
      </c>
      <c r="O345" s="84"/>
      <c r="P345" s="82" t="s">
        <v>1554</v>
      </c>
      <c r="Q345" s="124"/>
      <c r="R345" s="82" t="s">
        <v>1555</v>
      </c>
      <c r="S345" s="374" t="s">
        <v>33</v>
      </c>
      <c r="T345" s="380">
        <v>46131</v>
      </c>
      <c r="U345" s="87" t="str">
        <f>IF(V345="","No AIS",VLOOKUP(V345,'Voyage days'!$A$3:$B$1480,2,FALSE))</f>
        <v>USG</v>
      </c>
      <c r="V345" s="88" t="str">
        <f>IF(VLOOKUP(A345,'1) Kpler'!$E$2:$P$1000,8, FALSE)="","",VLOOKUP(A345,'1) Kpler'!$E$2:$P$1000,8, FALSE))</f>
        <v>Houston</v>
      </c>
      <c r="W345" s="89">
        <f>IF(VLOOKUP(A345,'1) Kpler'!$E$2:$P$1000,9,FALSE)="","",VLOOKUP(A345,'1) Kpler'!$E$2:$P$1000,9,FALSE))</f>
        <v>46153.958333333336</v>
      </c>
      <c r="X345" s="88" t="str">
        <f>VLOOKUP(A345,'1) Kpler'!$E$2:$I$1000,4,FALSE)</f>
        <v>ballast</v>
      </c>
      <c r="Y345" s="63" t="str">
        <f t="shared" si="49"/>
        <v/>
      </c>
      <c r="Z345" s="63" t="str">
        <f t="shared" si="50"/>
        <v/>
      </c>
      <c r="AA345" s="63" t="str">
        <f t="shared" si="51"/>
        <v>11-12 May</v>
      </c>
      <c r="AB345" s="63" t="str">
        <f t="shared" si="52"/>
        <v>30-01 May</v>
      </c>
      <c r="AC345" s="63" t="str">
        <f t="shared" si="53"/>
        <v>06-07 May</v>
      </c>
      <c r="AD345" s="63" t="str">
        <f t="shared" si="54"/>
        <v>06-07 May</v>
      </c>
      <c r="AE345" s="129" t="str">
        <f t="shared" si="55"/>
        <v/>
      </c>
      <c r="AF345" s="130" t="str">
        <f t="shared" si="56"/>
        <v>13-14 May</v>
      </c>
      <c r="AG345" s="93" t="str">
        <f t="shared" si="57"/>
        <v/>
      </c>
      <c r="AH345" s="94" t="str">
        <f>IFERROR($M345+VLOOKUP($L345,'Voyage days'!$F$38:$H$89,3,FALSE),"")</f>
        <v/>
      </c>
      <c r="AI345" s="94" t="str">
        <f>IFERROR(N345+VLOOKUP($L345,'Voyage days'!$F$38:$H$89,3,FALSE),"")</f>
        <v/>
      </c>
      <c r="AJ345" s="93" t="str">
        <f t="shared" si="27"/>
        <v/>
      </c>
      <c r="AK345" s="94" t="str">
        <f>IFERROR($M345+VLOOKUP($L345,'Voyage days'!$F$94:$H$193,3,FALSE),"")</f>
        <v/>
      </c>
      <c r="AL345" s="94" t="str">
        <f>IFERROR($N345+VLOOKUP($L345,'Voyage days'!$F$94:$H$193,3,FALSE),"")</f>
        <v/>
      </c>
      <c r="AM345" s="93" t="str">
        <f t="shared" si="28"/>
        <v>11-12 May</v>
      </c>
      <c r="AN345" s="94">
        <f>IFERROR($M345+VLOOKUP($L345,'Voyage days'!$F$203:$H$256,3,FALSE),"")</f>
        <v>46153</v>
      </c>
      <c r="AO345" s="94">
        <f>IFERROR($N345+VLOOKUP($L345,'Voyage days'!$F$203:$H$256,3,FALSE),"")</f>
        <v>46154</v>
      </c>
      <c r="AP345" s="93" t="str">
        <f t="shared" si="29"/>
        <v>30-01 May</v>
      </c>
      <c r="AQ345" s="94">
        <f>IFERROR($M345+VLOOKUP($L345,'Voyage days'!$F$294:$H$377,3,FALSE),"")</f>
        <v>46142</v>
      </c>
      <c r="AR345" s="94">
        <f>IFERROR($N345+VLOOKUP($L345,'Voyage days'!$F$294:$H$377,3,FALSE),"")</f>
        <v>46143</v>
      </c>
      <c r="AS345" s="93" t="str">
        <f t="shared" si="30"/>
        <v>06-07 May</v>
      </c>
      <c r="AT345" s="94">
        <f>IFERROR($M345+VLOOKUP($L345,'Voyage days'!$F$382:$H$446,3,FALSE),"")</f>
        <v>46148</v>
      </c>
      <c r="AU345" s="94">
        <f>IFERROR($N345+VLOOKUP($L345,'Voyage days'!$F$382:$H$446,3,FALSE),"")</f>
        <v>46149</v>
      </c>
      <c r="AV345" s="93" t="str">
        <f t="shared" si="31"/>
        <v/>
      </c>
      <c r="AW345" s="94" t="str">
        <f>IFERROR($M345+VLOOKUP($L345,'Voyage days'!$F$483:$H$538,3,FALSE),"")</f>
        <v/>
      </c>
      <c r="AX345" s="94" t="str">
        <f>IFERROR($N345+VLOOKUP($L345,'Voyage days'!$F$483:$H$538,3,FALSE),"")</f>
        <v/>
      </c>
      <c r="AY345" s="93" t="str">
        <f t="shared" si="32"/>
        <v/>
      </c>
      <c r="AZ345" s="94" t="str">
        <f>IFERROR($M345+VLOOKUP($L345,'Voyage days'!$F$540:$H$613,3,FALSE),"")</f>
        <v/>
      </c>
      <c r="BA345" s="94" t="str">
        <f>IFERROR($N345+VLOOKUP($L345,'Voyage days'!$F$540:$H$613,3,FALSE),"")</f>
        <v/>
      </c>
      <c r="BB345" s="93" t="str">
        <f t="shared" si="33"/>
        <v>06-07 May</v>
      </c>
      <c r="BC345" s="94">
        <f>IFERROR($M345+VLOOKUP($L345,'Voyage days'!$F$448:$H$479,3,FALSE),"")</f>
        <v>46148</v>
      </c>
      <c r="BD345" s="94">
        <f>IFERROR($N345+VLOOKUP($L345,'Voyage days'!$F$448:$H$479,3,FALSE),"")</f>
        <v>46149</v>
      </c>
      <c r="BE345" s="93" t="str">
        <f t="shared" si="34"/>
        <v/>
      </c>
      <c r="BF345" s="95" t="str">
        <f>IFERROR($M345+VLOOKUP($L345,'Voyage days'!$F$620:$H$646,3,FALSE),"")</f>
        <v/>
      </c>
      <c r="BG345" s="95" t="str">
        <f>IFERROR($N345+VLOOKUP($L345,'Voyage days'!$F$620:$H$646,3,FALSE),"")</f>
        <v/>
      </c>
      <c r="BH345" s="93" t="str">
        <f t="shared" si="35"/>
        <v/>
      </c>
      <c r="BI345" s="96" t="str">
        <f>IFERROR($M345+VLOOKUP($L345,'Voyage days'!$F$702:$H$727,3,FALSE),"")</f>
        <v/>
      </c>
      <c r="BJ345" s="93" t="str">
        <f t="shared" si="36"/>
        <v>13-14 May</v>
      </c>
      <c r="BK345" s="95">
        <f>IFERROR($M345+VLOOKUP($L345,'Voyage days'!$F$807:$H$878,3,FALSE),"")</f>
        <v>46155</v>
      </c>
      <c r="BL345" s="95">
        <f>IFERROR($N345+VLOOKUP($L345,'Voyage days'!$F$807:$H$878,3,FALSE),"")</f>
        <v>46156</v>
      </c>
      <c r="BM345" s="95">
        <f>IFERROR($N345+VLOOKUP($L345,'Voyage days'!$F$807:$K$878,6,FALSE),"")</f>
        <v>46133</v>
      </c>
      <c r="BN345" s="94" t="str">
        <f>IF(L345="loads AG", IFERROR($M345+VLOOKUP($L345,'Voyage days'!$M$38:$O$38,3,FALSE),""),"")</f>
        <v/>
      </c>
      <c r="BO345" s="94" t="str">
        <f>IF(L345="loads USG", IFERROR($M345+VLOOKUP($L345,'Voyage days'!$L$203:$N$203,3,FALSE),""),"")</f>
        <v/>
      </c>
    </row>
    <row r="346" spans="1:68" ht="15.75" customHeight="1" x14ac:dyDescent="0.25">
      <c r="A346" s="266"/>
      <c r="B346" s="266"/>
      <c r="C346" s="76"/>
      <c r="D346" s="119"/>
      <c r="E346" s="119"/>
      <c r="F346" s="382"/>
      <c r="G346" s="382"/>
      <c r="H346" s="382"/>
      <c r="I346" s="266"/>
      <c r="J346" s="119"/>
      <c r="K346" s="555"/>
      <c r="L346" s="266"/>
      <c r="M346" s="266"/>
      <c r="N346" s="266"/>
      <c r="O346" s="119"/>
      <c r="P346" s="266"/>
      <c r="Q346" s="266"/>
      <c r="R346" s="266"/>
      <c r="S346" s="266"/>
      <c r="T346" s="119"/>
      <c r="U346" s="382"/>
      <c r="V346" s="113"/>
      <c r="W346" s="556"/>
      <c r="X346" s="356"/>
      <c r="Y346" s="266"/>
      <c r="Z346" s="266"/>
      <c r="AA346" s="266"/>
      <c r="AB346" s="266"/>
      <c r="AC346" s="266"/>
      <c r="AD346" s="266"/>
      <c r="AE346" s="266"/>
      <c r="AF346" s="64"/>
      <c r="AG346" s="266"/>
      <c r="AH346" s="266"/>
      <c r="AI346" s="266"/>
      <c r="AJ346" s="266"/>
      <c r="AK346" s="266"/>
      <c r="AL346" s="266"/>
      <c r="AM346" s="119"/>
      <c r="AN346" s="266"/>
      <c r="AO346" s="266"/>
      <c r="AP346" s="266"/>
      <c r="AQ346" s="266"/>
      <c r="AR346" s="266"/>
      <c r="AS346" s="266"/>
      <c r="AT346" s="266"/>
      <c r="AU346" s="266"/>
      <c r="AV346" s="266"/>
      <c r="AW346" s="266"/>
      <c r="AX346" s="266"/>
      <c r="AY346" s="266"/>
      <c r="AZ346" s="266"/>
      <c r="BA346" s="266"/>
      <c r="BB346" s="266"/>
      <c r="BC346" s="266"/>
      <c r="BD346" s="266"/>
      <c r="BE346" s="266"/>
      <c r="BF346" s="266"/>
      <c r="BG346" s="97"/>
      <c r="BH346" s="97"/>
      <c r="BI346" s="50"/>
      <c r="BJ346" s="266"/>
      <c r="BK346" s="266"/>
      <c r="BL346" s="97"/>
      <c r="BM346" s="266"/>
      <c r="BN346" s="266"/>
      <c r="BO346" s="266"/>
    </row>
    <row r="347" spans="1:68" ht="15.75" customHeight="1" x14ac:dyDescent="0.25">
      <c r="A347" s="266"/>
      <c r="B347" s="266"/>
      <c r="C347" s="76"/>
      <c r="D347" s="119"/>
      <c r="E347" s="119"/>
      <c r="F347" s="382"/>
      <c r="G347" s="382"/>
      <c r="H347" s="382"/>
      <c r="I347" s="266"/>
      <c r="J347" s="119"/>
      <c r="K347" s="555"/>
      <c r="L347" s="266"/>
      <c r="M347" s="266"/>
      <c r="N347" s="266"/>
      <c r="O347" s="119"/>
      <c r="P347" s="266"/>
      <c r="Q347" s="266"/>
      <c r="R347" s="266"/>
      <c r="S347" s="266"/>
      <c r="T347" s="119"/>
      <c r="U347" s="382"/>
      <c r="V347" s="113"/>
      <c r="W347" s="556"/>
      <c r="X347" s="356"/>
      <c r="Y347" s="266"/>
      <c r="Z347" s="266"/>
      <c r="AA347" s="266"/>
      <c r="AB347" s="266"/>
      <c r="AC347" s="266"/>
      <c r="AD347" s="266"/>
      <c r="AE347" s="266"/>
      <c r="AF347" s="64"/>
      <c r="AG347" s="266"/>
      <c r="AH347" s="266"/>
      <c r="AI347" s="266"/>
      <c r="AJ347" s="266"/>
      <c r="AK347" s="266"/>
      <c r="AL347" s="266"/>
      <c r="AM347" s="119"/>
      <c r="AN347" s="266"/>
      <c r="AO347" s="266"/>
      <c r="AP347" s="266"/>
      <c r="AQ347" s="266"/>
      <c r="AR347" s="266"/>
      <c r="AS347" s="266"/>
      <c r="AT347" s="266"/>
      <c r="AU347" s="266"/>
      <c r="AV347" s="266"/>
      <c r="AW347" s="266"/>
      <c r="AX347" s="266"/>
      <c r="AY347" s="266"/>
      <c r="AZ347" s="266"/>
      <c r="BA347" s="266"/>
      <c r="BB347" s="266"/>
      <c r="BC347" s="266"/>
      <c r="BD347" s="266"/>
      <c r="BE347" s="266"/>
      <c r="BF347" s="266"/>
      <c r="BG347" s="97"/>
      <c r="BH347" s="97"/>
      <c r="BI347" s="50"/>
      <c r="BJ347" s="266"/>
      <c r="BK347" s="266"/>
      <c r="BL347" s="97"/>
      <c r="BM347" s="266"/>
      <c r="BN347" s="266"/>
      <c r="BO347" s="266"/>
    </row>
    <row r="348" spans="1:68" ht="15.75" customHeight="1" x14ac:dyDescent="0.25">
      <c r="A348" s="266"/>
      <c r="B348" s="266"/>
      <c r="C348" s="76"/>
      <c r="D348" s="119"/>
      <c r="E348" s="119"/>
      <c r="F348" s="382"/>
      <c r="G348" s="382"/>
      <c r="H348" s="382"/>
      <c r="I348" s="266"/>
      <c r="J348" s="119"/>
      <c r="K348" s="555"/>
      <c r="L348" s="266"/>
      <c r="M348" s="266"/>
      <c r="N348" s="266"/>
      <c r="O348" s="119"/>
      <c r="P348" s="266"/>
      <c r="Q348" s="266"/>
      <c r="R348" s="266"/>
      <c r="S348" s="266"/>
      <c r="T348" s="119"/>
      <c r="U348" s="382"/>
      <c r="V348" s="113"/>
      <c r="W348" s="556"/>
      <c r="X348" s="356"/>
      <c r="Y348" s="266"/>
      <c r="Z348" s="266"/>
      <c r="AA348" s="266"/>
      <c r="AB348" s="266"/>
      <c r="AC348" s="266"/>
      <c r="AD348" s="266"/>
      <c r="AE348" s="266"/>
      <c r="AF348" s="64"/>
      <c r="AG348" s="266"/>
      <c r="AH348" s="266"/>
      <c r="AI348" s="266"/>
      <c r="AJ348" s="266"/>
      <c r="AK348" s="266"/>
      <c r="AL348" s="266"/>
      <c r="AM348" s="119"/>
      <c r="AN348" s="266"/>
      <c r="AO348" s="266"/>
      <c r="AP348" s="266"/>
      <c r="AQ348" s="266"/>
      <c r="AR348" s="266"/>
      <c r="AS348" s="266"/>
      <c r="AT348" s="266"/>
      <c r="AU348" s="266"/>
      <c r="AV348" s="266"/>
      <c r="AW348" s="266"/>
      <c r="AX348" s="266"/>
      <c r="AY348" s="266"/>
      <c r="AZ348" s="266"/>
      <c r="BA348" s="266"/>
      <c r="BB348" s="266"/>
      <c r="BC348" s="266"/>
      <c r="BD348" s="266"/>
      <c r="BE348" s="266"/>
      <c r="BF348" s="266"/>
      <c r="BG348" s="97"/>
      <c r="BH348" s="97"/>
      <c r="BI348" s="50"/>
      <c r="BJ348" s="266"/>
      <c r="BK348" s="266"/>
      <c r="BL348" s="97"/>
      <c r="BM348" s="266"/>
      <c r="BN348" s="266"/>
      <c r="BO348" s="266"/>
    </row>
    <row r="349" spans="1:68" ht="15.75" customHeight="1" x14ac:dyDescent="0.25">
      <c r="A349" s="266"/>
      <c r="B349" s="266"/>
      <c r="C349" s="76"/>
      <c r="D349" s="119"/>
      <c r="E349" s="119"/>
      <c r="F349" s="382"/>
      <c r="G349" s="382"/>
      <c r="H349" s="382"/>
      <c r="I349" s="266"/>
      <c r="J349" s="119"/>
      <c r="K349" s="555"/>
      <c r="L349" s="266"/>
      <c r="M349" s="266"/>
      <c r="N349" s="266"/>
      <c r="O349" s="119"/>
      <c r="P349" s="266"/>
      <c r="Q349" s="266"/>
      <c r="R349" s="266"/>
      <c r="S349" s="266"/>
      <c r="T349" s="119"/>
      <c r="U349" s="382"/>
      <c r="V349" s="113"/>
      <c r="W349" s="556"/>
      <c r="X349" s="356"/>
      <c r="Y349" s="266"/>
      <c r="Z349" s="266"/>
      <c r="AA349" s="266"/>
      <c r="AB349" s="266"/>
      <c r="AC349" s="266"/>
      <c r="AD349" s="266"/>
      <c r="AE349" s="266"/>
      <c r="AF349" s="64"/>
      <c r="AG349" s="266"/>
      <c r="AH349" s="266"/>
      <c r="AI349" s="266"/>
      <c r="AJ349" s="266"/>
      <c r="AK349" s="266"/>
      <c r="AL349" s="266"/>
      <c r="AM349" s="119"/>
      <c r="AN349" s="266"/>
      <c r="AO349" s="266"/>
      <c r="AP349" s="266"/>
      <c r="AQ349" s="266"/>
      <c r="AR349" s="266"/>
      <c r="AS349" s="266"/>
      <c r="AT349" s="266"/>
      <c r="AU349" s="266"/>
      <c r="AV349" s="266"/>
      <c r="AW349" s="266"/>
      <c r="AX349" s="266"/>
      <c r="AY349" s="266"/>
      <c r="AZ349" s="266"/>
      <c r="BA349" s="266"/>
      <c r="BB349" s="266"/>
      <c r="BC349" s="266"/>
      <c r="BD349" s="266"/>
      <c r="BE349" s="266"/>
      <c r="BF349" s="266"/>
      <c r="BG349" s="97"/>
      <c r="BH349" s="97"/>
      <c r="BI349" s="50"/>
      <c r="BJ349" s="266"/>
      <c r="BK349" s="266"/>
      <c r="BL349" s="97"/>
      <c r="BM349" s="266"/>
      <c r="BN349" s="266"/>
      <c r="BO349" s="266"/>
    </row>
    <row r="350" spans="1:68" ht="15.75" customHeight="1" x14ac:dyDescent="0.25">
      <c r="A350" s="266"/>
      <c r="B350" s="266"/>
      <c r="C350" s="76"/>
      <c r="D350" s="119"/>
      <c r="E350" s="119"/>
      <c r="F350" s="382"/>
      <c r="G350" s="382"/>
      <c r="H350" s="382"/>
      <c r="I350" s="266"/>
      <c r="J350" s="119"/>
      <c r="K350" s="555"/>
      <c r="L350" s="266"/>
      <c r="M350" s="266"/>
      <c r="N350" s="266"/>
      <c r="O350" s="119"/>
      <c r="P350" s="266"/>
      <c r="Q350" s="266"/>
      <c r="R350" s="266"/>
      <c r="S350" s="266"/>
      <c r="T350" s="119"/>
      <c r="U350" s="382"/>
      <c r="V350" s="113"/>
      <c r="W350" s="556"/>
      <c r="X350" s="356"/>
      <c r="Y350" s="266"/>
      <c r="Z350" s="266"/>
      <c r="AA350" s="266"/>
      <c r="AB350" s="266"/>
      <c r="AC350" s="266"/>
      <c r="AD350" s="266"/>
      <c r="AE350" s="266"/>
      <c r="AF350" s="64"/>
      <c r="AG350" s="266"/>
      <c r="AH350" s="266"/>
      <c r="AI350" s="266"/>
      <c r="AJ350" s="266"/>
      <c r="AK350" s="266"/>
      <c r="AL350" s="266"/>
      <c r="AM350" s="119"/>
      <c r="AN350" s="266"/>
      <c r="AO350" s="266"/>
      <c r="AP350" s="266"/>
      <c r="AQ350" s="266"/>
      <c r="AR350" s="266"/>
      <c r="AS350" s="266"/>
      <c r="AT350" s="266"/>
      <c r="AU350" s="266"/>
      <c r="AV350" s="266"/>
      <c r="AW350" s="266"/>
      <c r="AX350" s="266"/>
      <c r="AY350" s="266"/>
      <c r="AZ350" s="266"/>
      <c r="BA350" s="266"/>
      <c r="BB350" s="266"/>
      <c r="BC350" s="266"/>
      <c r="BD350" s="266"/>
      <c r="BE350" s="266"/>
      <c r="BF350" s="266"/>
      <c r="BG350" s="97"/>
      <c r="BH350" s="97"/>
      <c r="BI350" s="50"/>
      <c r="BJ350" s="266"/>
      <c r="BK350" s="266"/>
      <c r="BL350" s="97"/>
      <c r="BM350" s="266"/>
      <c r="BN350" s="266"/>
      <c r="BO350" s="266"/>
    </row>
    <row r="351" spans="1:68" ht="15.75" customHeight="1" x14ac:dyDescent="0.25">
      <c r="A351" s="266"/>
      <c r="B351" s="266"/>
      <c r="C351" s="76"/>
      <c r="D351" s="119"/>
      <c r="E351" s="119"/>
      <c r="F351" s="382"/>
      <c r="G351" s="382"/>
      <c r="H351" s="382"/>
      <c r="I351" s="266"/>
      <c r="J351" s="119"/>
      <c r="K351" s="555"/>
      <c r="L351" s="266"/>
      <c r="M351" s="266"/>
      <c r="N351" s="266"/>
      <c r="O351" s="119"/>
      <c r="P351" s="266"/>
      <c r="Q351" s="266"/>
      <c r="R351" s="266"/>
      <c r="S351" s="266"/>
      <c r="T351" s="119"/>
      <c r="U351" s="382"/>
      <c r="V351" s="113"/>
      <c r="W351" s="556"/>
      <c r="X351" s="356"/>
      <c r="Y351" s="266"/>
      <c r="Z351" s="266"/>
      <c r="AA351" s="266"/>
      <c r="AB351" s="266"/>
      <c r="AC351" s="266"/>
      <c r="AD351" s="266"/>
      <c r="AE351" s="266"/>
      <c r="AF351" s="64"/>
      <c r="AG351" s="266"/>
      <c r="AH351" s="266"/>
      <c r="AI351" s="266"/>
      <c r="AJ351" s="266"/>
      <c r="AK351" s="266"/>
      <c r="AL351" s="266"/>
      <c r="AM351" s="119"/>
      <c r="AN351" s="266"/>
      <c r="AO351" s="266"/>
      <c r="AP351" s="266"/>
      <c r="AQ351" s="266"/>
      <c r="AR351" s="266"/>
      <c r="AS351" s="266"/>
      <c r="AT351" s="266"/>
      <c r="AU351" s="266"/>
      <c r="AV351" s="266"/>
      <c r="AW351" s="266"/>
      <c r="AX351" s="266"/>
      <c r="AY351" s="266"/>
      <c r="AZ351" s="266"/>
      <c r="BA351" s="266"/>
      <c r="BB351" s="266"/>
      <c r="BC351" s="266"/>
      <c r="BD351" s="266"/>
      <c r="BE351" s="266"/>
      <c r="BF351" s="266"/>
      <c r="BG351" s="97"/>
      <c r="BH351" s="97"/>
      <c r="BI351" s="50"/>
      <c r="BJ351" s="266"/>
      <c r="BK351" s="266"/>
      <c r="BL351" s="97"/>
      <c r="BM351" s="266"/>
      <c r="BN351" s="266"/>
      <c r="BO351" s="266"/>
    </row>
    <row r="352" spans="1:68" ht="15.75" customHeight="1" x14ac:dyDescent="0.25">
      <c r="A352" s="266"/>
      <c r="B352" s="266"/>
      <c r="C352" s="76"/>
      <c r="D352" s="119"/>
      <c r="E352" s="119"/>
      <c r="F352" s="382"/>
      <c r="G352" s="382"/>
      <c r="H352" s="382"/>
      <c r="I352" s="266"/>
      <c r="J352" s="119"/>
      <c r="K352" s="555"/>
      <c r="L352" s="266"/>
      <c r="M352" s="266"/>
      <c r="N352" s="266"/>
      <c r="O352" s="119"/>
      <c r="P352" s="266"/>
      <c r="Q352" s="266"/>
      <c r="R352" s="266"/>
      <c r="S352" s="266"/>
      <c r="T352" s="119"/>
      <c r="U352" s="382"/>
      <c r="V352" s="113"/>
      <c r="W352" s="556"/>
      <c r="X352" s="356"/>
      <c r="Y352" s="266"/>
      <c r="Z352" s="266"/>
      <c r="AA352" s="266"/>
      <c r="AB352" s="266"/>
      <c r="AC352" s="266"/>
      <c r="AD352" s="266"/>
      <c r="AE352" s="266"/>
      <c r="AF352" s="64"/>
      <c r="AG352" s="266"/>
      <c r="AH352" s="266"/>
      <c r="AI352" s="266"/>
      <c r="AJ352" s="266"/>
      <c r="AK352" s="266"/>
      <c r="AL352" s="266"/>
      <c r="AM352" s="119"/>
      <c r="AN352" s="266"/>
      <c r="AO352" s="266"/>
      <c r="AP352" s="266"/>
      <c r="AQ352" s="266"/>
      <c r="AR352" s="266"/>
      <c r="AS352" s="266"/>
      <c r="AT352" s="266"/>
      <c r="AU352" s="266"/>
      <c r="AV352" s="266"/>
      <c r="AW352" s="266"/>
      <c r="AX352" s="266"/>
      <c r="AY352" s="266"/>
      <c r="AZ352" s="266"/>
      <c r="BA352" s="266"/>
      <c r="BB352" s="266"/>
      <c r="BC352" s="266"/>
      <c r="BD352" s="266"/>
      <c r="BE352" s="266"/>
      <c r="BF352" s="266"/>
      <c r="BG352" s="97"/>
      <c r="BH352" s="97"/>
      <c r="BI352" s="50"/>
      <c r="BJ352" s="266"/>
      <c r="BK352" s="266"/>
      <c r="BL352" s="97"/>
      <c r="BM352" s="266"/>
      <c r="BN352" s="266"/>
      <c r="BO352" s="266"/>
    </row>
    <row r="353" spans="1:67" ht="15.75" customHeight="1" x14ac:dyDescent="0.25">
      <c r="A353" s="266"/>
      <c r="B353" s="266"/>
      <c r="C353" s="76"/>
      <c r="D353" s="119"/>
      <c r="E353" s="119"/>
      <c r="F353" s="382"/>
      <c r="G353" s="382"/>
      <c r="H353" s="382"/>
      <c r="I353" s="266"/>
      <c r="J353" s="119"/>
      <c r="K353" s="555"/>
      <c r="L353" s="266"/>
      <c r="M353" s="266"/>
      <c r="N353" s="266"/>
      <c r="O353" s="119"/>
      <c r="P353" s="266"/>
      <c r="Q353" s="266"/>
      <c r="R353" s="266"/>
      <c r="S353" s="266"/>
      <c r="T353" s="119"/>
      <c r="U353" s="382"/>
      <c r="V353" s="113"/>
      <c r="W353" s="556"/>
      <c r="X353" s="356"/>
      <c r="Y353" s="266"/>
      <c r="Z353" s="266"/>
      <c r="AA353" s="266"/>
      <c r="AB353" s="266"/>
      <c r="AC353" s="266"/>
      <c r="AD353" s="266"/>
      <c r="AE353" s="266"/>
      <c r="AF353" s="64"/>
      <c r="AG353" s="266"/>
      <c r="AH353" s="266"/>
      <c r="AI353" s="266"/>
      <c r="AJ353" s="266"/>
      <c r="AK353" s="266"/>
      <c r="AL353" s="266"/>
      <c r="AM353" s="119"/>
      <c r="AN353" s="266"/>
      <c r="AO353" s="266"/>
      <c r="AP353" s="266"/>
      <c r="AQ353" s="266"/>
      <c r="AR353" s="266"/>
      <c r="AS353" s="266"/>
      <c r="AT353" s="266"/>
      <c r="AU353" s="266"/>
      <c r="AV353" s="266"/>
      <c r="AW353" s="266"/>
      <c r="AX353" s="266"/>
      <c r="AY353" s="266"/>
      <c r="AZ353" s="266"/>
      <c r="BA353" s="266"/>
      <c r="BB353" s="266"/>
      <c r="BC353" s="266"/>
      <c r="BD353" s="266"/>
      <c r="BE353" s="266"/>
      <c r="BF353" s="266"/>
      <c r="BG353" s="97"/>
      <c r="BH353" s="97"/>
      <c r="BI353" s="50"/>
      <c r="BJ353" s="266"/>
      <c r="BK353" s="266"/>
      <c r="BL353" s="97"/>
      <c r="BM353" s="266"/>
      <c r="BN353" s="266"/>
      <c r="BO353" s="266"/>
    </row>
    <row r="354" spans="1:67" ht="15.75" customHeight="1" x14ac:dyDescent="0.25">
      <c r="A354" s="266"/>
      <c r="B354" s="266"/>
      <c r="C354" s="76"/>
      <c r="D354" s="119"/>
      <c r="E354" s="119"/>
      <c r="F354" s="382"/>
      <c r="G354" s="382"/>
      <c r="H354" s="382"/>
      <c r="I354" s="266"/>
      <c r="J354" s="119"/>
      <c r="K354" s="555"/>
      <c r="L354" s="266"/>
      <c r="M354" s="266"/>
      <c r="N354" s="266"/>
      <c r="O354" s="119"/>
      <c r="P354" s="266"/>
      <c r="Q354" s="266"/>
      <c r="R354" s="266"/>
      <c r="S354" s="266"/>
      <c r="T354" s="119"/>
      <c r="U354" s="382"/>
      <c r="V354" s="113"/>
      <c r="W354" s="556"/>
      <c r="X354" s="356"/>
      <c r="Y354" s="266"/>
      <c r="Z354" s="266"/>
      <c r="AA354" s="266"/>
      <c r="AB354" s="266"/>
      <c r="AC354" s="266"/>
      <c r="AD354" s="266"/>
      <c r="AE354" s="266"/>
      <c r="AF354" s="64"/>
      <c r="AG354" s="266"/>
      <c r="AH354" s="266"/>
      <c r="AI354" s="266"/>
      <c r="AJ354" s="266"/>
      <c r="AK354" s="266"/>
      <c r="AL354" s="266"/>
      <c r="AM354" s="119"/>
      <c r="AN354" s="266"/>
      <c r="AO354" s="266"/>
      <c r="AP354" s="266"/>
      <c r="AQ354" s="266"/>
      <c r="AR354" s="266"/>
      <c r="AS354" s="266"/>
      <c r="AT354" s="266"/>
      <c r="AU354" s="266"/>
      <c r="AV354" s="266"/>
      <c r="AW354" s="266"/>
      <c r="AX354" s="266"/>
      <c r="AY354" s="266"/>
      <c r="AZ354" s="266"/>
      <c r="BA354" s="266"/>
      <c r="BB354" s="266"/>
      <c r="BC354" s="266"/>
      <c r="BD354" s="266"/>
      <c r="BE354" s="266"/>
      <c r="BF354" s="266"/>
      <c r="BG354" s="97"/>
      <c r="BH354" s="97"/>
      <c r="BI354" s="50"/>
      <c r="BJ354" s="266"/>
      <c r="BK354" s="266"/>
      <c r="BL354" s="97"/>
      <c r="BM354" s="266"/>
      <c r="BN354" s="266"/>
      <c r="BO354" s="266"/>
    </row>
    <row r="355" spans="1:67" ht="15.75" customHeight="1" x14ac:dyDescent="0.25">
      <c r="A355" s="266"/>
      <c r="B355" s="266"/>
      <c r="C355" s="76"/>
      <c r="D355" s="119"/>
      <c r="E355" s="119"/>
      <c r="F355" s="382"/>
      <c r="G355" s="382"/>
      <c r="H355" s="382"/>
      <c r="I355" s="266"/>
      <c r="J355" s="119"/>
      <c r="K355" s="555"/>
      <c r="L355" s="266"/>
      <c r="M355" s="266"/>
      <c r="N355" s="266"/>
      <c r="O355" s="119"/>
      <c r="P355" s="266"/>
      <c r="Q355" s="266"/>
      <c r="R355" s="266"/>
      <c r="S355" s="266"/>
      <c r="T355" s="119"/>
      <c r="U355" s="382"/>
      <c r="V355" s="113"/>
      <c r="W355" s="556"/>
      <c r="X355" s="356"/>
      <c r="Y355" s="266"/>
      <c r="Z355" s="266"/>
      <c r="AA355" s="266"/>
      <c r="AB355" s="266"/>
      <c r="AC355" s="266"/>
      <c r="AD355" s="266"/>
      <c r="AE355" s="266"/>
      <c r="AF355" s="64"/>
      <c r="AG355" s="266"/>
      <c r="AH355" s="266"/>
      <c r="AI355" s="266"/>
      <c r="AJ355" s="266"/>
      <c r="AK355" s="266"/>
      <c r="AL355" s="266"/>
      <c r="AM355" s="119"/>
      <c r="AN355" s="266"/>
      <c r="AO355" s="266"/>
      <c r="AP355" s="266"/>
      <c r="AQ355" s="266"/>
      <c r="AR355" s="266"/>
      <c r="AS355" s="266"/>
      <c r="AT355" s="266"/>
      <c r="AU355" s="266"/>
      <c r="AV355" s="266"/>
      <c r="AW355" s="266"/>
      <c r="AX355" s="266"/>
      <c r="AY355" s="266"/>
      <c r="AZ355" s="266"/>
      <c r="BA355" s="266"/>
      <c r="BB355" s="266"/>
      <c r="BC355" s="266"/>
      <c r="BD355" s="266"/>
      <c r="BE355" s="266"/>
      <c r="BF355" s="266"/>
      <c r="BG355" s="97"/>
      <c r="BH355" s="97"/>
      <c r="BI355" s="50"/>
      <c r="BJ355" s="266"/>
      <c r="BK355" s="266"/>
      <c r="BL355" s="97"/>
      <c r="BM355" s="266"/>
      <c r="BN355" s="266"/>
      <c r="BO355" s="266"/>
    </row>
    <row r="356" spans="1:67" ht="15.75" customHeight="1" x14ac:dyDescent="0.25">
      <c r="A356" s="266"/>
      <c r="B356" s="266"/>
      <c r="C356" s="76"/>
      <c r="D356" s="119"/>
      <c r="E356" s="119"/>
      <c r="F356" s="382"/>
      <c r="G356" s="382"/>
      <c r="H356" s="382"/>
      <c r="I356" s="266"/>
      <c r="J356" s="119"/>
      <c r="K356" s="555"/>
      <c r="L356" s="266"/>
      <c r="M356" s="266"/>
      <c r="N356" s="266"/>
      <c r="O356" s="119"/>
      <c r="P356" s="266"/>
      <c r="Q356" s="266"/>
      <c r="R356" s="266"/>
      <c r="S356" s="266"/>
      <c r="T356" s="119"/>
      <c r="U356" s="382"/>
      <c r="V356" s="113"/>
      <c r="W356" s="556"/>
      <c r="X356" s="356"/>
      <c r="Y356" s="266"/>
      <c r="Z356" s="266"/>
      <c r="AA356" s="266"/>
      <c r="AB356" s="266"/>
      <c r="AC356" s="266"/>
      <c r="AD356" s="266"/>
      <c r="AE356" s="266"/>
      <c r="AF356" s="64"/>
      <c r="AG356" s="266"/>
      <c r="AH356" s="266"/>
      <c r="AI356" s="266"/>
      <c r="AJ356" s="266"/>
      <c r="AK356" s="266"/>
      <c r="AL356" s="266"/>
      <c r="AM356" s="119"/>
      <c r="AN356" s="266"/>
      <c r="AO356" s="266"/>
      <c r="AP356" s="266"/>
      <c r="AQ356" s="266"/>
      <c r="AR356" s="266"/>
      <c r="AS356" s="266"/>
      <c r="AT356" s="266"/>
      <c r="AU356" s="266"/>
      <c r="AV356" s="266"/>
      <c r="AW356" s="266"/>
      <c r="AX356" s="266"/>
      <c r="AY356" s="266"/>
      <c r="AZ356" s="266"/>
      <c r="BA356" s="266"/>
      <c r="BB356" s="266"/>
      <c r="BC356" s="266"/>
      <c r="BD356" s="266"/>
      <c r="BE356" s="266"/>
      <c r="BF356" s="266"/>
      <c r="BG356" s="97"/>
      <c r="BH356" s="97"/>
      <c r="BI356" s="50"/>
      <c r="BJ356" s="266"/>
      <c r="BK356" s="266"/>
      <c r="BL356" s="97"/>
      <c r="BM356" s="266"/>
      <c r="BN356" s="266"/>
      <c r="BO356" s="266"/>
    </row>
    <row r="357" spans="1:67" ht="15.75" customHeight="1" x14ac:dyDescent="0.25">
      <c r="A357" s="266"/>
      <c r="B357" s="266"/>
      <c r="C357" s="76"/>
      <c r="D357" s="119"/>
      <c r="E357" s="119"/>
      <c r="F357" s="382"/>
      <c r="G357" s="382"/>
      <c r="H357" s="382"/>
      <c r="I357" s="266"/>
      <c r="J357" s="119"/>
      <c r="K357" s="555"/>
      <c r="L357" s="266"/>
      <c r="M357" s="266"/>
      <c r="N357" s="266"/>
      <c r="O357" s="119"/>
      <c r="P357" s="266"/>
      <c r="Q357" s="266"/>
      <c r="R357" s="266"/>
      <c r="S357" s="266"/>
      <c r="T357" s="119"/>
      <c r="U357" s="382"/>
      <c r="V357" s="113"/>
      <c r="W357" s="556"/>
      <c r="X357" s="356"/>
      <c r="Y357" s="266"/>
      <c r="Z357" s="266"/>
      <c r="AA357" s="266"/>
      <c r="AB357" s="266"/>
      <c r="AC357" s="266"/>
      <c r="AD357" s="266"/>
      <c r="AE357" s="266"/>
      <c r="AF357" s="64"/>
      <c r="AG357" s="266"/>
      <c r="AH357" s="266"/>
      <c r="AI357" s="266"/>
      <c r="AJ357" s="266"/>
      <c r="AK357" s="266"/>
      <c r="AL357" s="266"/>
      <c r="AM357" s="119"/>
      <c r="AN357" s="266"/>
      <c r="AO357" s="266"/>
      <c r="AP357" s="266"/>
      <c r="AQ357" s="266"/>
      <c r="AR357" s="266"/>
      <c r="AS357" s="266"/>
      <c r="AT357" s="266"/>
      <c r="AU357" s="266"/>
      <c r="AV357" s="266"/>
      <c r="AW357" s="266"/>
      <c r="AX357" s="266"/>
      <c r="AY357" s="266"/>
      <c r="AZ357" s="266"/>
      <c r="BA357" s="266"/>
      <c r="BB357" s="266"/>
      <c r="BC357" s="266"/>
      <c r="BD357" s="266"/>
      <c r="BE357" s="266"/>
      <c r="BF357" s="266"/>
      <c r="BG357" s="97"/>
      <c r="BH357" s="97"/>
      <c r="BI357" s="50"/>
      <c r="BJ357" s="266"/>
      <c r="BK357" s="266"/>
      <c r="BL357" s="97"/>
      <c r="BM357" s="266"/>
      <c r="BN357" s="266"/>
      <c r="BO357" s="266"/>
    </row>
    <row r="358" spans="1:67" ht="15.75" customHeight="1" x14ac:dyDescent="0.25">
      <c r="A358" s="266"/>
      <c r="B358" s="266"/>
      <c r="C358" s="76"/>
      <c r="D358" s="119"/>
      <c r="E358" s="119"/>
      <c r="F358" s="382"/>
      <c r="G358" s="382"/>
      <c r="H358" s="382"/>
      <c r="I358" s="266"/>
      <c r="J358" s="119"/>
      <c r="K358" s="555"/>
      <c r="L358" s="266"/>
      <c r="M358" s="266"/>
      <c r="N358" s="266"/>
      <c r="O358" s="119"/>
      <c r="P358" s="266"/>
      <c r="Q358" s="266"/>
      <c r="R358" s="266"/>
      <c r="S358" s="266"/>
      <c r="T358" s="119"/>
      <c r="U358" s="382"/>
      <c r="V358" s="113"/>
      <c r="W358" s="556"/>
      <c r="X358" s="356"/>
      <c r="Y358" s="266"/>
      <c r="Z358" s="266"/>
      <c r="AA358" s="266"/>
      <c r="AB358" s="266"/>
      <c r="AC358" s="266"/>
      <c r="AD358" s="266"/>
      <c r="AE358" s="266"/>
      <c r="AF358" s="64"/>
      <c r="AG358" s="266"/>
      <c r="AH358" s="266"/>
      <c r="AI358" s="266"/>
      <c r="AJ358" s="266"/>
      <c r="AK358" s="266"/>
      <c r="AL358" s="266"/>
      <c r="AM358" s="119"/>
      <c r="AN358" s="266"/>
      <c r="AO358" s="266"/>
      <c r="AP358" s="266"/>
      <c r="AQ358" s="266"/>
      <c r="AR358" s="266"/>
      <c r="AS358" s="266"/>
      <c r="AT358" s="266"/>
      <c r="AU358" s="266"/>
      <c r="AV358" s="266"/>
      <c r="AW358" s="266"/>
      <c r="AX358" s="266"/>
      <c r="AY358" s="266"/>
      <c r="AZ358" s="266"/>
      <c r="BA358" s="266"/>
      <c r="BB358" s="266"/>
      <c r="BC358" s="266"/>
      <c r="BD358" s="266"/>
      <c r="BE358" s="266"/>
      <c r="BF358" s="266"/>
      <c r="BG358" s="97"/>
      <c r="BH358" s="97"/>
      <c r="BI358" s="50"/>
      <c r="BJ358" s="266"/>
      <c r="BK358" s="266"/>
      <c r="BL358" s="97"/>
      <c r="BM358" s="266"/>
      <c r="BN358" s="266"/>
      <c r="BO358" s="266"/>
    </row>
    <row r="359" spans="1:67" ht="15.75" customHeight="1" x14ac:dyDescent="0.25">
      <c r="A359" s="266"/>
      <c r="B359" s="266"/>
      <c r="C359" s="76"/>
      <c r="D359" s="119"/>
      <c r="E359" s="119"/>
      <c r="F359" s="382"/>
      <c r="G359" s="382"/>
      <c r="H359" s="382"/>
      <c r="I359" s="266"/>
      <c r="J359" s="119"/>
      <c r="K359" s="555"/>
      <c r="L359" s="266"/>
      <c r="M359" s="266"/>
      <c r="N359" s="266"/>
      <c r="O359" s="119"/>
      <c r="P359" s="266"/>
      <c r="Q359" s="266"/>
      <c r="R359" s="266"/>
      <c r="S359" s="266"/>
      <c r="T359" s="119"/>
      <c r="U359" s="382"/>
      <c r="V359" s="113"/>
      <c r="W359" s="556"/>
      <c r="X359" s="356"/>
      <c r="Y359" s="266"/>
      <c r="Z359" s="266"/>
      <c r="AA359" s="266"/>
      <c r="AB359" s="266"/>
      <c r="AC359" s="266"/>
      <c r="AD359" s="266"/>
      <c r="AE359" s="266"/>
      <c r="AF359" s="64"/>
      <c r="AG359" s="266"/>
      <c r="AH359" s="266"/>
      <c r="AI359" s="266"/>
      <c r="AJ359" s="266"/>
      <c r="AK359" s="266"/>
      <c r="AL359" s="266"/>
      <c r="AM359" s="119"/>
      <c r="AN359" s="266"/>
      <c r="AO359" s="266"/>
      <c r="AP359" s="266"/>
      <c r="AQ359" s="266"/>
      <c r="AR359" s="266"/>
      <c r="AS359" s="266"/>
      <c r="AT359" s="266"/>
      <c r="AU359" s="266"/>
      <c r="AV359" s="266"/>
      <c r="AW359" s="266"/>
      <c r="AX359" s="266"/>
      <c r="AY359" s="266"/>
      <c r="AZ359" s="266"/>
      <c r="BA359" s="266"/>
      <c r="BB359" s="266"/>
      <c r="BC359" s="266"/>
      <c r="BD359" s="266"/>
      <c r="BE359" s="266"/>
      <c r="BF359" s="266"/>
      <c r="BG359" s="97"/>
      <c r="BH359" s="97"/>
      <c r="BI359" s="50"/>
      <c r="BJ359" s="266"/>
      <c r="BK359" s="266"/>
      <c r="BL359" s="97"/>
      <c r="BM359" s="266"/>
      <c r="BN359" s="266"/>
      <c r="BO359" s="266"/>
    </row>
    <row r="360" spans="1:67" ht="15.75" customHeight="1" x14ac:dyDescent="0.25">
      <c r="A360" s="266"/>
      <c r="B360" s="266"/>
      <c r="C360" s="76"/>
      <c r="D360" s="119"/>
      <c r="E360" s="119"/>
      <c r="F360" s="382"/>
      <c r="G360" s="382"/>
      <c r="H360" s="382"/>
      <c r="I360" s="266"/>
      <c r="J360" s="119"/>
      <c r="K360" s="555"/>
      <c r="L360" s="266"/>
      <c r="M360" s="266"/>
      <c r="N360" s="266"/>
      <c r="O360" s="119"/>
      <c r="P360" s="266"/>
      <c r="Q360" s="266"/>
      <c r="R360" s="266"/>
      <c r="S360" s="266"/>
      <c r="T360" s="119"/>
      <c r="U360" s="382"/>
      <c r="V360" s="113"/>
      <c r="W360" s="556"/>
      <c r="X360" s="356"/>
      <c r="Y360" s="266"/>
      <c r="Z360" s="266"/>
      <c r="AA360" s="266"/>
      <c r="AB360" s="266"/>
      <c r="AC360" s="266"/>
      <c r="AD360" s="266"/>
      <c r="AE360" s="266"/>
      <c r="AF360" s="64"/>
      <c r="AG360" s="266"/>
      <c r="AH360" s="266"/>
      <c r="AI360" s="266"/>
      <c r="AJ360" s="266"/>
      <c r="AK360" s="266"/>
      <c r="AL360" s="266"/>
      <c r="AM360" s="119"/>
      <c r="AN360" s="266"/>
      <c r="AO360" s="266"/>
      <c r="AP360" s="266"/>
      <c r="AQ360" s="266"/>
      <c r="AR360" s="266"/>
      <c r="AS360" s="266"/>
      <c r="AT360" s="266"/>
      <c r="AU360" s="266"/>
      <c r="AV360" s="266"/>
      <c r="AW360" s="266"/>
      <c r="AX360" s="266"/>
      <c r="AY360" s="266"/>
      <c r="AZ360" s="266"/>
      <c r="BA360" s="266"/>
      <c r="BB360" s="266"/>
      <c r="BC360" s="266"/>
      <c r="BD360" s="266"/>
      <c r="BE360" s="266"/>
      <c r="BF360" s="266"/>
      <c r="BG360" s="97"/>
      <c r="BH360" s="97"/>
      <c r="BI360" s="50"/>
      <c r="BJ360" s="266"/>
      <c r="BK360" s="266"/>
      <c r="BL360" s="97"/>
      <c r="BM360" s="266"/>
      <c r="BN360" s="266"/>
      <c r="BO360" s="266"/>
    </row>
    <row r="361" spans="1:67" ht="15.75" customHeight="1" x14ac:dyDescent="0.25">
      <c r="A361" s="266"/>
      <c r="B361" s="266"/>
      <c r="C361" s="76"/>
      <c r="D361" s="119"/>
      <c r="E361" s="119"/>
      <c r="F361" s="382"/>
      <c r="G361" s="382"/>
      <c r="H361" s="382"/>
      <c r="I361" s="266"/>
      <c r="J361" s="119"/>
      <c r="K361" s="555"/>
      <c r="L361" s="266"/>
      <c r="M361" s="266"/>
      <c r="N361" s="266"/>
      <c r="O361" s="119"/>
      <c r="P361" s="266"/>
      <c r="Q361" s="266"/>
      <c r="R361" s="266"/>
      <c r="S361" s="266"/>
      <c r="T361" s="119"/>
      <c r="U361" s="382"/>
      <c r="V361" s="113"/>
      <c r="W361" s="556"/>
      <c r="X361" s="356"/>
      <c r="Y361" s="266"/>
      <c r="Z361" s="266"/>
      <c r="AA361" s="266"/>
      <c r="AB361" s="266"/>
      <c r="AC361" s="266"/>
      <c r="AD361" s="266"/>
      <c r="AE361" s="266"/>
      <c r="AF361" s="64"/>
      <c r="AG361" s="266"/>
      <c r="AH361" s="266"/>
      <c r="AI361" s="266"/>
      <c r="AJ361" s="266"/>
      <c r="AK361" s="266"/>
      <c r="AL361" s="266"/>
      <c r="AM361" s="119"/>
      <c r="AN361" s="266"/>
      <c r="AO361" s="266"/>
      <c r="AP361" s="266"/>
      <c r="AQ361" s="266"/>
      <c r="AR361" s="266"/>
      <c r="AS361" s="266"/>
      <c r="AT361" s="266"/>
      <c r="AU361" s="266"/>
      <c r="AV361" s="266"/>
      <c r="AW361" s="266"/>
      <c r="AX361" s="266"/>
      <c r="AY361" s="266"/>
      <c r="AZ361" s="266"/>
      <c r="BA361" s="266"/>
      <c r="BB361" s="266"/>
      <c r="BC361" s="266"/>
      <c r="BD361" s="266"/>
      <c r="BE361" s="266"/>
      <c r="BF361" s="266"/>
      <c r="BG361" s="97"/>
      <c r="BH361" s="97"/>
      <c r="BI361" s="50"/>
      <c r="BJ361" s="266"/>
      <c r="BK361" s="266"/>
      <c r="BL361" s="97"/>
      <c r="BM361" s="266"/>
      <c r="BN361" s="266"/>
      <c r="BO361" s="266"/>
    </row>
    <row r="362" spans="1:67" ht="15.75" customHeight="1" x14ac:dyDescent="0.25">
      <c r="A362" s="266"/>
      <c r="B362" s="266"/>
      <c r="C362" s="76"/>
      <c r="D362" s="119"/>
      <c r="E362" s="119"/>
      <c r="F362" s="382"/>
      <c r="G362" s="382"/>
      <c r="H362" s="382"/>
      <c r="I362" s="266"/>
      <c r="J362" s="119"/>
      <c r="K362" s="555"/>
      <c r="L362" s="266"/>
      <c r="M362" s="266"/>
      <c r="N362" s="266"/>
      <c r="O362" s="119"/>
      <c r="P362" s="266"/>
      <c r="Q362" s="266"/>
      <c r="R362" s="266"/>
      <c r="S362" s="266"/>
      <c r="T362" s="119"/>
      <c r="U362" s="382"/>
      <c r="V362" s="113"/>
      <c r="W362" s="556"/>
      <c r="X362" s="356"/>
      <c r="Y362" s="266"/>
      <c r="Z362" s="266"/>
      <c r="AA362" s="266"/>
      <c r="AB362" s="266"/>
      <c r="AC362" s="266"/>
      <c r="AD362" s="266"/>
      <c r="AE362" s="266"/>
      <c r="AF362" s="64"/>
      <c r="AG362" s="266"/>
      <c r="AH362" s="266"/>
      <c r="AI362" s="266"/>
      <c r="AJ362" s="266"/>
      <c r="AK362" s="266"/>
      <c r="AL362" s="266"/>
      <c r="AM362" s="119"/>
      <c r="AN362" s="266"/>
      <c r="AO362" s="266"/>
      <c r="AP362" s="266"/>
      <c r="AQ362" s="266"/>
      <c r="AR362" s="266"/>
      <c r="AS362" s="266"/>
      <c r="AT362" s="266"/>
      <c r="AU362" s="266"/>
      <c r="AV362" s="266"/>
      <c r="AW362" s="266"/>
      <c r="AX362" s="266"/>
      <c r="AY362" s="266"/>
      <c r="AZ362" s="266"/>
      <c r="BA362" s="266"/>
      <c r="BB362" s="266"/>
      <c r="BC362" s="266"/>
      <c r="BD362" s="266"/>
      <c r="BE362" s="266"/>
      <c r="BF362" s="266"/>
      <c r="BG362" s="97"/>
      <c r="BH362" s="97"/>
      <c r="BI362" s="50"/>
      <c r="BJ362" s="266"/>
      <c r="BK362" s="266"/>
      <c r="BL362" s="97"/>
      <c r="BM362" s="266"/>
      <c r="BN362" s="266"/>
      <c r="BO362" s="266"/>
    </row>
    <row r="363" spans="1:67" ht="15.75" customHeight="1" x14ac:dyDescent="0.25">
      <c r="A363" s="266"/>
      <c r="B363" s="266"/>
      <c r="C363" s="76"/>
      <c r="D363" s="119"/>
      <c r="E363" s="119"/>
      <c r="F363" s="382"/>
      <c r="G363" s="382"/>
      <c r="H363" s="382"/>
      <c r="I363" s="266"/>
      <c r="J363" s="119"/>
      <c r="K363" s="555"/>
      <c r="L363" s="266"/>
      <c r="M363" s="266"/>
      <c r="N363" s="266"/>
      <c r="O363" s="119"/>
      <c r="P363" s="266"/>
      <c r="Q363" s="266"/>
      <c r="R363" s="266"/>
      <c r="S363" s="266"/>
      <c r="T363" s="119"/>
      <c r="U363" s="382"/>
      <c r="V363" s="113"/>
      <c r="W363" s="556"/>
      <c r="X363" s="356"/>
      <c r="Y363" s="266"/>
      <c r="Z363" s="266"/>
      <c r="AA363" s="266"/>
      <c r="AB363" s="266"/>
      <c r="AC363" s="266"/>
      <c r="AD363" s="266"/>
      <c r="AE363" s="266"/>
      <c r="AF363" s="64"/>
      <c r="AG363" s="266"/>
      <c r="AH363" s="266"/>
      <c r="AI363" s="266"/>
      <c r="AJ363" s="266"/>
      <c r="AK363" s="266"/>
      <c r="AL363" s="266"/>
      <c r="AM363" s="119"/>
      <c r="AN363" s="266"/>
      <c r="AO363" s="266"/>
      <c r="AP363" s="266"/>
      <c r="AQ363" s="266"/>
      <c r="AR363" s="266"/>
      <c r="AS363" s="266"/>
      <c r="AT363" s="266"/>
      <c r="AU363" s="266"/>
      <c r="AV363" s="266"/>
      <c r="AW363" s="266"/>
      <c r="AX363" s="266"/>
      <c r="AY363" s="266"/>
      <c r="AZ363" s="266"/>
      <c r="BA363" s="266"/>
      <c r="BB363" s="266"/>
      <c r="BC363" s="266"/>
      <c r="BD363" s="266"/>
      <c r="BE363" s="266"/>
      <c r="BF363" s="266"/>
      <c r="BG363" s="97"/>
      <c r="BH363" s="97"/>
      <c r="BI363" s="50"/>
      <c r="BJ363" s="266"/>
      <c r="BK363" s="266"/>
      <c r="BL363" s="97"/>
      <c r="BM363" s="266"/>
      <c r="BN363" s="266"/>
      <c r="BO363" s="266"/>
    </row>
    <row r="364" spans="1:67" ht="15.75" customHeight="1" x14ac:dyDescent="0.25">
      <c r="A364" s="266"/>
      <c r="B364" s="266"/>
      <c r="C364" s="76"/>
      <c r="D364" s="119"/>
      <c r="E364" s="119"/>
      <c r="F364" s="382"/>
      <c r="G364" s="382"/>
      <c r="H364" s="382"/>
      <c r="I364" s="266"/>
      <c r="J364" s="119"/>
      <c r="K364" s="555"/>
      <c r="L364" s="266"/>
      <c r="M364" s="266"/>
      <c r="N364" s="266"/>
      <c r="O364" s="119"/>
      <c r="P364" s="266"/>
      <c r="Q364" s="266"/>
      <c r="R364" s="266"/>
      <c r="S364" s="266"/>
      <c r="T364" s="119"/>
      <c r="U364" s="382"/>
      <c r="V364" s="113"/>
      <c r="W364" s="556"/>
      <c r="X364" s="356"/>
      <c r="Y364" s="266"/>
      <c r="Z364" s="266"/>
      <c r="AA364" s="266"/>
      <c r="AB364" s="266"/>
      <c r="AC364" s="266"/>
      <c r="AD364" s="266"/>
      <c r="AE364" s="266"/>
      <c r="AF364" s="64"/>
      <c r="AG364" s="266"/>
      <c r="AH364" s="266"/>
      <c r="AI364" s="266"/>
      <c r="AJ364" s="266"/>
      <c r="AK364" s="266"/>
      <c r="AL364" s="266"/>
      <c r="AM364" s="119"/>
      <c r="AN364" s="266"/>
      <c r="AO364" s="266"/>
      <c r="AP364" s="266"/>
      <c r="AQ364" s="266"/>
      <c r="AR364" s="266"/>
      <c r="AS364" s="266"/>
      <c r="AT364" s="266"/>
      <c r="AU364" s="266"/>
      <c r="AV364" s="266"/>
      <c r="AW364" s="266"/>
      <c r="AX364" s="266"/>
      <c r="AY364" s="266"/>
      <c r="AZ364" s="266"/>
      <c r="BA364" s="266"/>
      <c r="BB364" s="266"/>
      <c r="BC364" s="266"/>
      <c r="BD364" s="266"/>
      <c r="BE364" s="266"/>
      <c r="BF364" s="266"/>
      <c r="BG364" s="97"/>
      <c r="BH364" s="97"/>
      <c r="BI364" s="50"/>
      <c r="BJ364" s="266"/>
      <c r="BK364" s="266"/>
      <c r="BL364" s="97"/>
      <c r="BM364" s="266"/>
      <c r="BN364" s="266"/>
      <c r="BO364" s="266"/>
    </row>
    <row r="365" spans="1:67" ht="15.75" customHeight="1" x14ac:dyDescent="0.25">
      <c r="A365" s="266"/>
      <c r="B365" s="266"/>
      <c r="C365" s="76"/>
      <c r="D365" s="119"/>
      <c r="E365" s="119"/>
      <c r="F365" s="382"/>
      <c r="G365" s="382"/>
      <c r="H365" s="382"/>
      <c r="I365" s="266"/>
      <c r="J365" s="119"/>
      <c r="K365" s="555"/>
      <c r="L365" s="266"/>
      <c r="M365" s="266"/>
      <c r="N365" s="266"/>
      <c r="O365" s="119"/>
      <c r="P365" s="266"/>
      <c r="Q365" s="266"/>
      <c r="R365" s="266"/>
      <c r="S365" s="266"/>
      <c r="T365" s="119"/>
      <c r="U365" s="382"/>
      <c r="V365" s="113"/>
      <c r="W365" s="556"/>
      <c r="X365" s="356"/>
      <c r="Y365" s="266"/>
      <c r="Z365" s="266"/>
      <c r="AA365" s="266"/>
      <c r="AB365" s="266"/>
      <c r="AC365" s="266"/>
      <c r="AD365" s="266"/>
      <c r="AE365" s="266"/>
      <c r="AF365" s="64"/>
      <c r="AG365" s="266"/>
      <c r="AH365" s="266"/>
      <c r="AI365" s="266"/>
      <c r="AJ365" s="266"/>
      <c r="AK365" s="266"/>
      <c r="AL365" s="266"/>
      <c r="AM365" s="119"/>
      <c r="AN365" s="266"/>
      <c r="AO365" s="266"/>
      <c r="AP365" s="266"/>
      <c r="AQ365" s="266"/>
      <c r="AR365" s="266"/>
      <c r="AS365" s="266"/>
      <c r="AT365" s="266"/>
      <c r="AU365" s="266"/>
      <c r="AV365" s="266"/>
      <c r="AW365" s="266"/>
      <c r="AX365" s="266"/>
      <c r="AY365" s="266"/>
      <c r="AZ365" s="266"/>
      <c r="BA365" s="266"/>
      <c r="BB365" s="266"/>
      <c r="BC365" s="266"/>
      <c r="BD365" s="266"/>
      <c r="BE365" s="266"/>
      <c r="BF365" s="266"/>
      <c r="BG365" s="97"/>
      <c r="BH365" s="97"/>
      <c r="BI365" s="50"/>
      <c r="BJ365" s="266"/>
      <c r="BK365" s="266"/>
      <c r="BL365" s="97"/>
      <c r="BM365" s="266"/>
      <c r="BN365" s="266"/>
      <c r="BO365" s="266"/>
    </row>
    <row r="366" spans="1:67" ht="15.75" customHeight="1" x14ac:dyDescent="0.25">
      <c r="A366" s="266"/>
      <c r="B366" s="266"/>
      <c r="C366" s="76"/>
      <c r="D366" s="119"/>
      <c r="E366" s="119"/>
      <c r="F366" s="382"/>
      <c r="G366" s="382"/>
      <c r="H366" s="382"/>
      <c r="I366" s="266"/>
      <c r="J366" s="119"/>
      <c r="K366" s="555"/>
      <c r="L366" s="266"/>
      <c r="M366" s="266"/>
      <c r="N366" s="266"/>
      <c r="O366" s="119"/>
      <c r="P366" s="266"/>
      <c r="Q366" s="266"/>
      <c r="R366" s="266"/>
      <c r="S366" s="266"/>
      <c r="T366" s="119"/>
      <c r="U366" s="382"/>
      <c r="V366" s="113"/>
      <c r="W366" s="556"/>
      <c r="X366" s="356"/>
      <c r="Y366" s="266"/>
      <c r="Z366" s="266"/>
      <c r="AA366" s="266"/>
      <c r="AB366" s="266"/>
      <c r="AC366" s="266"/>
      <c r="AD366" s="266"/>
      <c r="AE366" s="266"/>
      <c r="AF366" s="64"/>
      <c r="AG366" s="266"/>
      <c r="AH366" s="266"/>
      <c r="AI366" s="266"/>
      <c r="AJ366" s="266"/>
      <c r="AK366" s="266"/>
      <c r="AL366" s="266"/>
      <c r="AM366" s="119"/>
      <c r="AN366" s="266"/>
      <c r="AO366" s="266"/>
      <c r="AP366" s="266"/>
      <c r="AQ366" s="266"/>
      <c r="AR366" s="266"/>
      <c r="AS366" s="266"/>
      <c r="AT366" s="266"/>
      <c r="AU366" s="266"/>
      <c r="AV366" s="266"/>
      <c r="AW366" s="266"/>
      <c r="AX366" s="266"/>
      <c r="AY366" s="266"/>
      <c r="AZ366" s="266"/>
      <c r="BA366" s="266"/>
      <c r="BB366" s="266"/>
      <c r="BC366" s="266"/>
      <c r="BD366" s="266"/>
      <c r="BE366" s="266"/>
      <c r="BF366" s="266"/>
      <c r="BG366" s="97"/>
      <c r="BH366" s="97"/>
      <c r="BI366" s="50"/>
      <c r="BJ366" s="266"/>
      <c r="BK366" s="266"/>
      <c r="BL366" s="97"/>
      <c r="BM366" s="266"/>
      <c r="BN366" s="266"/>
      <c r="BO366" s="266"/>
    </row>
    <row r="367" spans="1:67" ht="15.75" customHeight="1" x14ac:dyDescent="0.25">
      <c r="A367" s="266"/>
      <c r="B367" s="266"/>
      <c r="C367" s="76"/>
      <c r="D367" s="119"/>
      <c r="E367" s="119"/>
      <c r="F367" s="382"/>
      <c r="G367" s="382"/>
      <c r="H367" s="382"/>
      <c r="I367" s="266"/>
      <c r="J367" s="119"/>
      <c r="K367" s="555"/>
      <c r="L367" s="266"/>
      <c r="M367" s="266"/>
      <c r="N367" s="266"/>
      <c r="O367" s="119"/>
      <c r="P367" s="266"/>
      <c r="Q367" s="266"/>
      <c r="R367" s="266"/>
      <c r="S367" s="266"/>
      <c r="T367" s="119"/>
      <c r="U367" s="382"/>
      <c r="V367" s="113"/>
      <c r="W367" s="556"/>
      <c r="X367" s="356"/>
      <c r="Y367" s="266"/>
      <c r="Z367" s="266"/>
      <c r="AA367" s="266"/>
      <c r="AB367" s="266"/>
      <c r="AC367" s="266"/>
      <c r="AD367" s="266"/>
      <c r="AE367" s="266"/>
      <c r="AF367" s="64"/>
      <c r="AG367" s="266"/>
      <c r="AH367" s="266"/>
      <c r="AI367" s="266"/>
      <c r="AJ367" s="266"/>
      <c r="AK367" s="266"/>
      <c r="AL367" s="266"/>
      <c r="AM367" s="119"/>
      <c r="AN367" s="266"/>
      <c r="AO367" s="266"/>
      <c r="AP367" s="266"/>
      <c r="AQ367" s="266"/>
      <c r="AR367" s="266"/>
      <c r="AS367" s="266"/>
      <c r="AT367" s="266"/>
      <c r="AU367" s="266"/>
      <c r="AV367" s="266"/>
      <c r="AW367" s="266"/>
      <c r="AX367" s="266"/>
      <c r="AY367" s="266"/>
      <c r="AZ367" s="266"/>
      <c r="BA367" s="266"/>
      <c r="BB367" s="266"/>
      <c r="BC367" s="266"/>
      <c r="BD367" s="266"/>
      <c r="BE367" s="266"/>
      <c r="BF367" s="266"/>
      <c r="BG367" s="97"/>
      <c r="BH367" s="97"/>
      <c r="BI367" s="50"/>
      <c r="BJ367" s="266"/>
      <c r="BK367" s="266"/>
      <c r="BL367" s="97"/>
      <c r="BM367" s="266"/>
      <c r="BN367" s="266"/>
      <c r="BO367" s="266"/>
    </row>
    <row r="368" spans="1:67" ht="15.75" customHeight="1" x14ac:dyDescent="0.25">
      <c r="A368" s="266"/>
      <c r="B368" s="266"/>
      <c r="C368" s="76"/>
      <c r="D368" s="119"/>
      <c r="E368" s="119"/>
      <c r="F368" s="382"/>
      <c r="G368" s="382"/>
      <c r="H368" s="382"/>
      <c r="I368" s="266"/>
      <c r="J368" s="119"/>
      <c r="K368" s="555"/>
      <c r="L368" s="266"/>
      <c r="M368" s="266"/>
      <c r="N368" s="266"/>
      <c r="O368" s="119"/>
      <c r="P368" s="266"/>
      <c r="Q368" s="266"/>
      <c r="R368" s="266"/>
      <c r="S368" s="266"/>
      <c r="T368" s="119"/>
      <c r="U368" s="382"/>
      <c r="V368" s="113"/>
      <c r="W368" s="556"/>
      <c r="X368" s="356"/>
      <c r="Y368" s="266"/>
      <c r="Z368" s="266"/>
      <c r="AA368" s="266"/>
      <c r="AB368" s="266"/>
      <c r="AC368" s="266"/>
      <c r="AD368" s="266"/>
      <c r="AE368" s="266"/>
      <c r="AF368" s="64"/>
      <c r="AG368" s="266"/>
      <c r="AH368" s="266"/>
      <c r="AI368" s="266"/>
      <c r="AJ368" s="266"/>
      <c r="AK368" s="266"/>
      <c r="AL368" s="266"/>
      <c r="AM368" s="119"/>
      <c r="AN368" s="266"/>
      <c r="AO368" s="266"/>
      <c r="AP368" s="266"/>
      <c r="AQ368" s="266"/>
      <c r="AR368" s="266"/>
      <c r="AS368" s="266"/>
      <c r="AT368" s="266"/>
      <c r="AU368" s="266"/>
      <c r="AV368" s="266"/>
      <c r="AW368" s="266"/>
      <c r="AX368" s="266"/>
      <c r="AY368" s="266"/>
      <c r="AZ368" s="266"/>
      <c r="BA368" s="266"/>
      <c r="BB368" s="266"/>
      <c r="BC368" s="266"/>
      <c r="BD368" s="266"/>
      <c r="BE368" s="266"/>
      <c r="BF368" s="266"/>
      <c r="BG368" s="97"/>
      <c r="BH368" s="97"/>
      <c r="BI368" s="50"/>
      <c r="BJ368" s="266"/>
      <c r="BK368" s="266"/>
      <c r="BL368" s="97"/>
      <c r="BM368" s="266"/>
      <c r="BN368" s="266"/>
      <c r="BO368" s="266"/>
    </row>
    <row r="369" spans="1:67" ht="15.75" customHeight="1" x14ac:dyDescent="0.25">
      <c r="A369" s="266"/>
      <c r="B369" s="266"/>
      <c r="C369" s="76"/>
      <c r="D369" s="119"/>
      <c r="E369" s="119"/>
      <c r="F369" s="382"/>
      <c r="G369" s="382"/>
      <c r="H369" s="382"/>
      <c r="I369" s="266"/>
      <c r="J369" s="119"/>
      <c r="K369" s="555"/>
      <c r="L369" s="266"/>
      <c r="M369" s="266"/>
      <c r="N369" s="266"/>
      <c r="O369" s="119"/>
      <c r="P369" s="266"/>
      <c r="Q369" s="266"/>
      <c r="R369" s="266"/>
      <c r="S369" s="266"/>
      <c r="T369" s="119"/>
      <c r="U369" s="382"/>
      <c r="V369" s="113"/>
      <c r="W369" s="556"/>
      <c r="X369" s="356"/>
      <c r="Y369" s="266"/>
      <c r="Z369" s="266"/>
      <c r="AA369" s="266"/>
      <c r="AB369" s="266"/>
      <c r="AC369" s="266"/>
      <c r="AD369" s="266"/>
      <c r="AE369" s="266"/>
      <c r="AF369" s="64"/>
      <c r="AG369" s="266"/>
      <c r="AH369" s="266"/>
      <c r="AI369" s="266"/>
      <c r="AJ369" s="266"/>
      <c r="AK369" s="266"/>
      <c r="AL369" s="266"/>
      <c r="AM369" s="119"/>
      <c r="AN369" s="266"/>
      <c r="AO369" s="266"/>
      <c r="AP369" s="266"/>
      <c r="AQ369" s="266"/>
      <c r="AR369" s="266"/>
      <c r="AS369" s="266"/>
      <c r="AT369" s="266"/>
      <c r="AU369" s="266"/>
      <c r="AV369" s="266"/>
      <c r="AW369" s="266"/>
      <c r="AX369" s="266"/>
      <c r="AY369" s="266"/>
      <c r="AZ369" s="266"/>
      <c r="BA369" s="266"/>
      <c r="BB369" s="266"/>
      <c r="BC369" s="266"/>
      <c r="BD369" s="266"/>
      <c r="BE369" s="266"/>
      <c r="BF369" s="266"/>
      <c r="BG369" s="97"/>
      <c r="BH369" s="97"/>
      <c r="BI369" s="50"/>
      <c r="BJ369" s="266"/>
      <c r="BK369" s="266"/>
      <c r="BL369" s="97"/>
      <c r="BM369" s="266"/>
      <c r="BN369" s="266"/>
      <c r="BO369" s="266"/>
    </row>
    <row r="370" spans="1:67" ht="15.75" customHeight="1" x14ac:dyDescent="0.25">
      <c r="A370" s="266"/>
      <c r="B370" s="266"/>
      <c r="C370" s="76"/>
      <c r="D370" s="119"/>
      <c r="E370" s="119"/>
      <c r="F370" s="382"/>
      <c r="G370" s="382"/>
      <c r="H370" s="382"/>
      <c r="I370" s="266"/>
      <c r="J370" s="119"/>
      <c r="K370" s="555"/>
      <c r="L370" s="266"/>
      <c r="M370" s="266"/>
      <c r="N370" s="266"/>
      <c r="O370" s="119"/>
      <c r="P370" s="266"/>
      <c r="Q370" s="266"/>
      <c r="R370" s="266"/>
      <c r="S370" s="266"/>
      <c r="T370" s="119"/>
      <c r="U370" s="382"/>
      <c r="V370" s="113"/>
      <c r="W370" s="556"/>
      <c r="X370" s="356"/>
      <c r="Y370" s="266"/>
      <c r="Z370" s="266"/>
      <c r="AA370" s="266"/>
      <c r="AB370" s="266"/>
      <c r="AC370" s="266"/>
      <c r="AD370" s="266"/>
      <c r="AE370" s="266"/>
      <c r="AF370" s="64"/>
      <c r="AG370" s="266"/>
      <c r="AH370" s="266"/>
      <c r="AI370" s="266"/>
      <c r="AJ370" s="266"/>
      <c r="AK370" s="266"/>
      <c r="AL370" s="266"/>
      <c r="AM370" s="119"/>
      <c r="AN370" s="266"/>
      <c r="AO370" s="266"/>
      <c r="AP370" s="266"/>
      <c r="AQ370" s="266"/>
      <c r="AR370" s="266"/>
      <c r="AS370" s="266"/>
      <c r="AT370" s="266"/>
      <c r="AU370" s="266"/>
      <c r="AV370" s="266"/>
      <c r="AW370" s="266"/>
      <c r="AX370" s="266"/>
      <c r="AY370" s="266"/>
      <c r="AZ370" s="266"/>
      <c r="BA370" s="266"/>
      <c r="BB370" s="266"/>
      <c r="BC370" s="266"/>
      <c r="BD370" s="266"/>
      <c r="BE370" s="266"/>
      <c r="BF370" s="266"/>
      <c r="BG370" s="97"/>
      <c r="BH370" s="97"/>
      <c r="BI370" s="50"/>
      <c r="BJ370" s="266"/>
      <c r="BK370" s="266"/>
      <c r="BL370" s="97"/>
      <c r="BM370" s="266"/>
      <c r="BN370" s="266"/>
      <c r="BO370" s="266"/>
    </row>
    <row r="371" spans="1:67" ht="15.75" customHeight="1" x14ac:dyDescent="0.25">
      <c r="A371" s="266"/>
      <c r="B371" s="266"/>
      <c r="C371" s="76"/>
      <c r="D371" s="119"/>
      <c r="E371" s="119"/>
      <c r="F371" s="382"/>
      <c r="G371" s="382"/>
      <c r="H371" s="382"/>
      <c r="I371" s="266"/>
      <c r="J371" s="119"/>
      <c r="K371" s="555"/>
      <c r="L371" s="266"/>
      <c r="M371" s="266"/>
      <c r="N371" s="266"/>
      <c r="O371" s="119"/>
      <c r="P371" s="266"/>
      <c r="Q371" s="266"/>
      <c r="R371" s="266"/>
      <c r="S371" s="266"/>
      <c r="T371" s="119"/>
      <c r="U371" s="382"/>
      <c r="V371" s="113"/>
      <c r="W371" s="556"/>
      <c r="X371" s="356"/>
      <c r="Y371" s="266"/>
      <c r="Z371" s="266"/>
      <c r="AA371" s="266"/>
      <c r="AB371" s="266"/>
      <c r="AC371" s="266"/>
      <c r="AD371" s="266"/>
      <c r="AE371" s="266"/>
      <c r="AF371" s="64"/>
      <c r="AG371" s="266"/>
      <c r="AH371" s="266"/>
      <c r="AI371" s="266"/>
      <c r="AJ371" s="266"/>
      <c r="AK371" s="266"/>
      <c r="AL371" s="266"/>
      <c r="AM371" s="119"/>
      <c r="AN371" s="266"/>
      <c r="AO371" s="266"/>
      <c r="AP371" s="266"/>
      <c r="AQ371" s="266"/>
      <c r="AR371" s="266"/>
      <c r="AS371" s="266"/>
      <c r="AT371" s="266"/>
      <c r="AU371" s="266"/>
      <c r="AV371" s="266"/>
      <c r="AW371" s="266"/>
      <c r="AX371" s="266"/>
      <c r="AY371" s="266"/>
      <c r="AZ371" s="266"/>
      <c r="BA371" s="266"/>
      <c r="BB371" s="266"/>
      <c r="BC371" s="266"/>
      <c r="BD371" s="266"/>
      <c r="BE371" s="266"/>
      <c r="BF371" s="266"/>
      <c r="BG371" s="97"/>
      <c r="BH371" s="97"/>
      <c r="BI371" s="50"/>
      <c r="BJ371" s="266"/>
      <c r="BK371" s="266"/>
      <c r="BL371" s="97"/>
      <c r="BM371" s="266"/>
      <c r="BN371" s="266"/>
      <c r="BO371" s="266"/>
    </row>
    <row r="372" spans="1:67" ht="15.75" customHeight="1" x14ac:dyDescent="0.25">
      <c r="A372" s="266"/>
      <c r="B372" s="266"/>
      <c r="C372" s="76"/>
      <c r="D372" s="119"/>
      <c r="E372" s="119"/>
      <c r="F372" s="382"/>
      <c r="G372" s="382"/>
      <c r="H372" s="382"/>
      <c r="I372" s="266"/>
      <c r="J372" s="119"/>
      <c r="K372" s="555"/>
      <c r="L372" s="266"/>
      <c r="M372" s="266"/>
      <c r="N372" s="266"/>
      <c r="O372" s="119"/>
      <c r="P372" s="266"/>
      <c r="Q372" s="266"/>
      <c r="R372" s="266"/>
      <c r="S372" s="266"/>
      <c r="T372" s="119"/>
      <c r="U372" s="382"/>
      <c r="V372" s="113"/>
      <c r="W372" s="556"/>
      <c r="X372" s="356"/>
      <c r="Y372" s="266"/>
      <c r="Z372" s="266"/>
      <c r="AA372" s="266"/>
      <c r="AB372" s="266"/>
      <c r="AC372" s="266"/>
      <c r="AD372" s="266"/>
      <c r="AE372" s="266"/>
      <c r="AF372" s="64"/>
      <c r="AG372" s="266"/>
      <c r="AH372" s="266"/>
      <c r="AI372" s="266"/>
      <c r="AJ372" s="266"/>
      <c r="AK372" s="266"/>
      <c r="AL372" s="266"/>
      <c r="AM372" s="119"/>
      <c r="AN372" s="266"/>
      <c r="AO372" s="266"/>
      <c r="AP372" s="266"/>
      <c r="AQ372" s="266"/>
      <c r="AR372" s="266"/>
      <c r="AS372" s="266"/>
      <c r="AT372" s="266"/>
      <c r="AU372" s="266"/>
      <c r="AV372" s="266"/>
      <c r="AW372" s="266"/>
      <c r="AX372" s="266"/>
      <c r="AY372" s="266"/>
      <c r="AZ372" s="266"/>
      <c r="BA372" s="266"/>
      <c r="BB372" s="266"/>
      <c r="BC372" s="266"/>
      <c r="BD372" s="266"/>
      <c r="BE372" s="266"/>
      <c r="BF372" s="266"/>
      <c r="BG372" s="97"/>
      <c r="BH372" s="97"/>
      <c r="BI372" s="50"/>
      <c r="BJ372" s="266"/>
      <c r="BK372" s="266"/>
      <c r="BL372" s="97"/>
      <c r="BM372" s="266"/>
      <c r="BN372" s="266"/>
      <c r="BO372" s="266"/>
    </row>
    <row r="373" spans="1:67" ht="15.75" customHeight="1" x14ac:dyDescent="0.25">
      <c r="A373" s="266"/>
      <c r="B373" s="266"/>
      <c r="C373" s="76"/>
      <c r="D373" s="119"/>
      <c r="E373" s="119"/>
      <c r="F373" s="382"/>
      <c r="G373" s="382"/>
      <c r="H373" s="382"/>
      <c r="I373" s="266"/>
      <c r="J373" s="119"/>
      <c r="K373" s="555"/>
      <c r="L373" s="266"/>
      <c r="M373" s="266"/>
      <c r="N373" s="266"/>
      <c r="O373" s="119"/>
      <c r="P373" s="266"/>
      <c r="Q373" s="266"/>
      <c r="R373" s="266"/>
      <c r="S373" s="266"/>
      <c r="T373" s="119"/>
      <c r="U373" s="382"/>
      <c r="V373" s="113"/>
      <c r="W373" s="556"/>
      <c r="X373" s="356"/>
      <c r="Y373" s="266"/>
      <c r="Z373" s="266"/>
      <c r="AA373" s="266"/>
      <c r="AB373" s="266"/>
      <c r="AC373" s="266"/>
      <c r="AD373" s="266"/>
      <c r="AE373" s="266"/>
      <c r="AF373" s="64"/>
      <c r="AG373" s="266"/>
      <c r="AH373" s="266"/>
      <c r="AI373" s="266"/>
      <c r="AJ373" s="266"/>
      <c r="AK373" s="266"/>
      <c r="AL373" s="266"/>
      <c r="AM373" s="119"/>
      <c r="AN373" s="266"/>
      <c r="AO373" s="266"/>
      <c r="AP373" s="266"/>
      <c r="AQ373" s="266"/>
      <c r="AR373" s="266"/>
      <c r="AS373" s="266"/>
      <c r="AT373" s="266"/>
      <c r="AU373" s="266"/>
      <c r="AV373" s="266"/>
      <c r="AW373" s="266"/>
      <c r="AX373" s="266"/>
      <c r="AY373" s="266"/>
      <c r="AZ373" s="266"/>
      <c r="BA373" s="266"/>
      <c r="BB373" s="266"/>
      <c r="BC373" s="266"/>
      <c r="BD373" s="266"/>
      <c r="BE373" s="266"/>
      <c r="BF373" s="266"/>
      <c r="BG373" s="97"/>
      <c r="BH373" s="97"/>
      <c r="BI373" s="50"/>
      <c r="BJ373" s="266"/>
      <c r="BK373" s="266"/>
      <c r="BL373" s="97"/>
      <c r="BM373" s="266"/>
      <c r="BN373" s="266"/>
      <c r="BO373" s="266"/>
    </row>
    <row r="374" spans="1:67" ht="15.75" customHeight="1" x14ac:dyDescent="0.25">
      <c r="A374" s="266"/>
      <c r="B374" s="266"/>
      <c r="C374" s="76"/>
      <c r="D374" s="119"/>
      <c r="E374" s="119"/>
      <c r="F374" s="382"/>
      <c r="G374" s="382"/>
      <c r="H374" s="382"/>
      <c r="I374" s="266"/>
      <c r="J374" s="119"/>
      <c r="K374" s="555"/>
      <c r="L374" s="266"/>
      <c r="M374" s="266"/>
      <c r="N374" s="266"/>
      <c r="O374" s="119"/>
      <c r="P374" s="266"/>
      <c r="Q374" s="266"/>
      <c r="R374" s="266"/>
      <c r="S374" s="266"/>
      <c r="T374" s="119"/>
      <c r="U374" s="382"/>
      <c r="V374" s="113"/>
      <c r="W374" s="556"/>
      <c r="X374" s="356"/>
      <c r="Y374" s="266"/>
      <c r="Z374" s="266"/>
      <c r="AA374" s="266"/>
      <c r="AB374" s="266"/>
      <c r="AC374" s="266"/>
      <c r="AD374" s="266"/>
      <c r="AE374" s="266"/>
      <c r="AF374" s="64"/>
      <c r="AG374" s="266"/>
      <c r="AH374" s="266"/>
      <c r="AI374" s="266"/>
      <c r="AJ374" s="266"/>
      <c r="AK374" s="266"/>
      <c r="AL374" s="266"/>
      <c r="AM374" s="119"/>
      <c r="AN374" s="266"/>
      <c r="AO374" s="266"/>
      <c r="AP374" s="266"/>
      <c r="AQ374" s="266"/>
      <c r="AR374" s="266"/>
      <c r="AS374" s="266"/>
      <c r="AT374" s="266"/>
      <c r="AU374" s="266"/>
      <c r="AV374" s="266"/>
      <c r="AW374" s="266"/>
      <c r="AX374" s="266"/>
      <c r="AY374" s="266"/>
      <c r="AZ374" s="266"/>
      <c r="BA374" s="266"/>
      <c r="BB374" s="266"/>
      <c r="BC374" s="266"/>
      <c r="BD374" s="266"/>
      <c r="BE374" s="266"/>
      <c r="BF374" s="266"/>
      <c r="BG374" s="97"/>
      <c r="BH374" s="97"/>
      <c r="BI374" s="50"/>
      <c r="BJ374" s="266"/>
      <c r="BK374" s="266"/>
      <c r="BL374" s="97"/>
      <c r="BM374" s="266"/>
      <c r="BN374" s="266"/>
      <c r="BO374" s="266"/>
    </row>
    <row r="375" spans="1:67" ht="15.75" customHeight="1" x14ac:dyDescent="0.25">
      <c r="A375" s="266"/>
      <c r="B375" s="266"/>
      <c r="C375" s="76"/>
      <c r="D375" s="119"/>
      <c r="E375" s="119"/>
      <c r="F375" s="382"/>
      <c r="G375" s="382"/>
      <c r="H375" s="382"/>
      <c r="I375" s="266"/>
      <c r="J375" s="119"/>
      <c r="K375" s="555"/>
      <c r="L375" s="266"/>
      <c r="M375" s="266"/>
      <c r="N375" s="266"/>
      <c r="O375" s="119"/>
      <c r="P375" s="266"/>
      <c r="Q375" s="266"/>
      <c r="R375" s="266"/>
      <c r="S375" s="266"/>
      <c r="T375" s="119"/>
      <c r="U375" s="382"/>
      <c r="V375" s="113"/>
      <c r="W375" s="556"/>
      <c r="X375" s="356"/>
      <c r="Y375" s="266"/>
      <c r="Z375" s="266"/>
      <c r="AA375" s="266"/>
      <c r="AB375" s="266"/>
      <c r="AC375" s="266"/>
      <c r="AD375" s="266"/>
      <c r="AE375" s="266"/>
      <c r="AF375" s="64"/>
      <c r="AG375" s="266"/>
      <c r="AH375" s="266"/>
      <c r="AI375" s="266"/>
      <c r="AJ375" s="266"/>
      <c r="AK375" s="266"/>
      <c r="AL375" s="266"/>
      <c r="AM375" s="119"/>
      <c r="AN375" s="266"/>
      <c r="AO375" s="266"/>
      <c r="AP375" s="266"/>
      <c r="AQ375" s="266"/>
      <c r="AR375" s="266"/>
      <c r="AS375" s="266"/>
      <c r="AT375" s="266"/>
      <c r="AU375" s="266"/>
      <c r="AV375" s="266"/>
      <c r="AW375" s="266"/>
      <c r="AX375" s="266"/>
      <c r="AY375" s="266"/>
      <c r="AZ375" s="266"/>
      <c r="BA375" s="266"/>
      <c r="BB375" s="266"/>
      <c r="BC375" s="266"/>
      <c r="BD375" s="266"/>
      <c r="BE375" s="266"/>
      <c r="BF375" s="266"/>
      <c r="BG375" s="97"/>
      <c r="BH375" s="97"/>
      <c r="BI375" s="50"/>
      <c r="BJ375" s="266"/>
      <c r="BK375" s="266"/>
      <c r="BL375" s="97"/>
      <c r="BM375" s="266"/>
      <c r="BN375" s="266"/>
      <c r="BO375" s="266"/>
    </row>
    <row r="376" spans="1:67" ht="15.75" customHeight="1" x14ac:dyDescent="0.25">
      <c r="A376" s="266"/>
      <c r="B376" s="266"/>
      <c r="C376" s="76"/>
      <c r="D376" s="119"/>
      <c r="E376" s="119"/>
      <c r="F376" s="382"/>
      <c r="G376" s="382"/>
      <c r="H376" s="382"/>
      <c r="I376" s="266"/>
      <c r="J376" s="119"/>
      <c r="K376" s="555"/>
      <c r="L376" s="266"/>
      <c r="M376" s="266"/>
      <c r="N376" s="266"/>
      <c r="O376" s="119"/>
      <c r="P376" s="266"/>
      <c r="Q376" s="266"/>
      <c r="R376" s="266"/>
      <c r="S376" s="266"/>
      <c r="T376" s="119"/>
      <c r="U376" s="382"/>
      <c r="V376" s="113"/>
      <c r="W376" s="556"/>
      <c r="X376" s="356"/>
      <c r="Y376" s="266"/>
      <c r="Z376" s="266"/>
      <c r="AA376" s="266"/>
      <c r="AB376" s="266"/>
      <c r="AC376" s="266"/>
      <c r="AD376" s="266"/>
      <c r="AE376" s="266"/>
      <c r="AF376" s="64"/>
      <c r="AG376" s="266"/>
      <c r="AH376" s="266"/>
      <c r="AI376" s="266"/>
      <c r="AJ376" s="266"/>
      <c r="AK376" s="266"/>
      <c r="AL376" s="266"/>
      <c r="AM376" s="119"/>
      <c r="AN376" s="266"/>
      <c r="AO376" s="266"/>
      <c r="AP376" s="266"/>
      <c r="AQ376" s="266"/>
      <c r="AR376" s="266"/>
      <c r="AS376" s="266"/>
      <c r="AT376" s="266"/>
      <c r="AU376" s="266"/>
      <c r="AV376" s="266"/>
      <c r="AW376" s="266"/>
      <c r="AX376" s="266"/>
      <c r="AY376" s="266"/>
      <c r="AZ376" s="266"/>
      <c r="BA376" s="266"/>
      <c r="BB376" s="266"/>
      <c r="BC376" s="266"/>
      <c r="BD376" s="266"/>
      <c r="BE376" s="266"/>
      <c r="BF376" s="266"/>
      <c r="BG376" s="97"/>
      <c r="BH376" s="97"/>
      <c r="BI376" s="50"/>
      <c r="BJ376" s="266"/>
      <c r="BK376" s="266"/>
      <c r="BL376" s="97"/>
      <c r="BM376" s="266"/>
      <c r="BN376" s="266"/>
      <c r="BO376" s="266"/>
    </row>
    <row r="377" spans="1:67" ht="15.75" customHeight="1" x14ac:dyDescent="0.25">
      <c r="A377" s="266"/>
      <c r="B377" s="266"/>
      <c r="C377" s="76"/>
      <c r="D377" s="119"/>
      <c r="E377" s="119"/>
      <c r="F377" s="382"/>
      <c r="G377" s="382"/>
      <c r="H377" s="382"/>
      <c r="I377" s="266"/>
      <c r="J377" s="119"/>
      <c r="K377" s="555"/>
      <c r="L377" s="266"/>
      <c r="M377" s="266"/>
      <c r="N377" s="266"/>
      <c r="O377" s="119"/>
      <c r="P377" s="266"/>
      <c r="Q377" s="266"/>
      <c r="R377" s="266"/>
      <c r="S377" s="266"/>
      <c r="T377" s="119"/>
      <c r="U377" s="382"/>
      <c r="V377" s="113"/>
      <c r="W377" s="556"/>
      <c r="X377" s="356"/>
      <c r="Y377" s="266"/>
      <c r="Z377" s="266"/>
      <c r="AA377" s="266"/>
      <c r="AB377" s="266"/>
      <c r="AC377" s="266"/>
      <c r="AD377" s="266"/>
      <c r="AE377" s="266"/>
      <c r="AF377" s="64"/>
      <c r="AG377" s="266"/>
      <c r="AH377" s="266"/>
      <c r="AI377" s="266"/>
      <c r="AJ377" s="266"/>
      <c r="AK377" s="266"/>
      <c r="AL377" s="266"/>
      <c r="AM377" s="119"/>
      <c r="AN377" s="266"/>
      <c r="AO377" s="266"/>
      <c r="AP377" s="266"/>
      <c r="AQ377" s="266"/>
      <c r="AR377" s="266"/>
      <c r="AS377" s="266"/>
      <c r="AT377" s="266"/>
      <c r="AU377" s="266"/>
      <c r="AV377" s="266"/>
      <c r="AW377" s="266"/>
      <c r="AX377" s="266"/>
      <c r="AY377" s="266"/>
      <c r="AZ377" s="266"/>
      <c r="BA377" s="266"/>
      <c r="BB377" s="266"/>
      <c r="BC377" s="266"/>
      <c r="BD377" s="266"/>
      <c r="BE377" s="266"/>
      <c r="BF377" s="266"/>
      <c r="BG377" s="97"/>
      <c r="BH377" s="97"/>
      <c r="BI377" s="50"/>
      <c r="BJ377" s="266"/>
      <c r="BK377" s="266"/>
      <c r="BL377" s="97"/>
      <c r="BM377" s="266"/>
      <c r="BN377" s="266"/>
      <c r="BO377" s="266"/>
    </row>
    <row r="378" spans="1:67" ht="15.75" customHeight="1" x14ac:dyDescent="0.25">
      <c r="A378" s="266"/>
      <c r="B378" s="266"/>
      <c r="C378" s="76"/>
      <c r="D378" s="119"/>
      <c r="E378" s="119"/>
      <c r="F378" s="382"/>
      <c r="G378" s="382"/>
      <c r="H378" s="382"/>
      <c r="I378" s="266"/>
      <c r="J378" s="119"/>
      <c r="K378" s="555"/>
      <c r="L378" s="266"/>
      <c r="M378" s="266"/>
      <c r="N378" s="266"/>
      <c r="O378" s="119"/>
      <c r="P378" s="266"/>
      <c r="Q378" s="266"/>
      <c r="R378" s="266"/>
      <c r="S378" s="266"/>
      <c r="T378" s="119"/>
      <c r="U378" s="382"/>
      <c r="V378" s="113"/>
      <c r="W378" s="556"/>
      <c r="X378" s="356"/>
      <c r="Y378" s="266"/>
      <c r="Z378" s="266"/>
      <c r="AA378" s="266"/>
      <c r="AB378" s="266"/>
      <c r="AC378" s="266"/>
      <c r="AD378" s="266"/>
      <c r="AE378" s="266"/>
      <c r="AF378" s="64"/>
      <c r="AG378" s="266"/>
      <c r="AH378" s="266"/>
      <c r="AI378" s="266"/>
      <c r="AJ378" s="266"/>
      <c r="AK378" s="266"/>
      <c r="AL378" s="266"/>
      <c r="AM378" s="119"/>
      <c r="AN378" s="266"/>
      <c r="AO378" s="266"/>
      <c r="AP378" s="266"/>
      <c r="AQ378" s="266"/>
      <c r="AR378" s="266"/>
      <c r="AS378" s="266"/>
      <c r="AT378" s="266"/>
      <c r="AU378" s="266"/>
      <c r="AV378" s="266"/>
      <c r="AW378" s="266"/>
      <c r="AX378" s="266"/>
      <c r="AY378" s="266"/>
      <c r="AZ378" s="266"/>
      <c r="BA378" s="266"/>
      <c r="BB378" s="266"/>
      <c r="BC378" s="266"/>
      <c r="BD378" s="266"/>
      <c r="BE378" s="266"/>
      <c r="BF378" s="266"/>
      <c r="BG378" s="97"/>
      <c r="BH378" s="97"/>
      <c r="BI378" s="50"/>
      <c r="BJ378" s="266"/>
      <c r="BK378" s="266"/>
      <c r="BL378" s="97"/>
      <c r="BM378" s="266"/>
      <c r="BN378" s="266"/>
      <c r="BO378" s="266"/>
    </row>
    <row r="379" spans="1:67" ht="15.75" customHeight="1" x14ac:dyDescent="0.25">
      <c r="A379" s="266"/>
      <c r="B379" s="266"/>
      <c r="C379" s="76"/>
      <c r="D379" s="119"/>
      <c r="E379" s="119"/>
      <c r="F379" s="382"/>
      <c r="G379" s="382"/>
      <c r="H379" s="382"/>
      <c r="I379" s="266"/>
      <c r="J379" s="119"/>
      <c r="K379" s="555"/>
      <c r="L379" s="266"/>
      <c r="M379" s="266"/>
      <c r="N379" s="266"/>
      <c r="O379" s="119"/>
      <c r="P379" s="266"/>
      <c r="Q379" s="266"/>
      <c r="R379" s="266"/>
      <c r="S379" s="266"/>
      <c r="T379" s="119"/>
      <c r="U379" s="382"/>
      <c r="V379" s="113"/>
      <c r="W379" s="556"/>
      <c r="X379" s="356"/>
      <c r="Y379" s="266"/>
      <c r="Z379" s="266"/>
      <c r="AA379" s="266"/>
      <c r="AB379" s="266"/>
      <c r="AC379" s="266"/>
      <c r="AD379" s="266"/>
      <c r="AE379" s="266"/>
      <c r="AF379" s="64"/>
      <c r="AG379" s="266"/>
      <c r="AH379" s="266"/>
      <c r="AI379" s="266"/>
      <c r="AJ379" s="266"/>
      <c r="AK379" s="266"/>
      <c r="AL379" s="266"/>
      <c r="AM379" s="119"/>
      <c r="AN379" s="266"/>
      <c r="AO379" s="266"/>
      <c r="AP379" s="266"/>
      <c r="AQ379" s="266"/>
      <c r="AR379" s="266"/>
      <c r="AS379" s="266"/>
      <c r="AT379" s="266"/>
      <c r="AU379" s="266"/>
      <c r="AV379" s="266"/>
      <c r="AW379" s="266"/>
      <c r="AX379" s="266"/>
      <c r="AY379" s="266"/>
      <c r="AZ379" s="266"/>
      <c r="BA379" s="266"/>
      <c r="BB379" s="266"/>
      <c r="BC379" s="266"/>
      <c r="BD379" s="266"/>
      <c r="BE379" s="266"/>
      <c r="BF379" s="266"/>
      <c r="BG379" s="97"/>
      <c r="BH379" s="97"/>
      <c r="BI379" s="50"/>
      <c r="BJ379" s="266"/>
      <c r="BK379" s="266"/>
      <c r="BL379" s="97"/>
      <c r="BM379" s="266"/>
      <c r="BN379" s="266"/>
      <c r="BO379" s="266"/>
    </row>
    <row r="380" spans="1:67" ht="15.75" customHeight="1" x14ac:dyDescent="0.25">
      <c r="A380" s="266"/>
      <c r="B380" s="266"/>
      <c r="C380" s="76"/>
      <c r="D380" s="119"/>
      <c r="E380" s="119"/>
      <c r="F380" s="382"/>
      <c r="G380" s="382"/>
      <c r="H380" s="382"/>
      <c r="I380" s="266"/>
      <c r="J380" s="119"/>
      <c r="K380" s="555"/>
      <c r="L380" s="266"/>
      <c r="M380" s="266"/>
      <c r="N380" s="266"/>
      <c r="O380" s="119"/>
      <c r="P380" s="266"/>
      <c r="Q380" s="266"/>
      <c r="R380" s="266"/>
      <c r="S380" s="266"/>
      <c r="T380" s="119"/>
      <c r="U380" s="382"/>
      <c r="V380" s="113"/>
      <c r="W380" s="556"/>
      <c r="X380" s="356"/>
      <c r="Y380" s="266"/>
      <c r="Z380" s="266"/>
      <c r="AA380" s="266"/>
      <c r="AB380" s="266"/>
      <c r="AC380" s="266"/>
      <c r="AD380" s="266"/>
      <c r="AE380" s="266"/>
      <c r="AF380" s="64"/>
      <c r="AG380" s="266"/>
      <c r="AH380" s="266"/>
      <c r="AI380" s="266"/>
      <c r="AJ380" s="266"/>
      <c r="AK380" s="266"/>
      <c r="AL380" s="266"/>
      <c r="AM380" s="119"/>
      <c r="AN380" s="266"/>
      <c r="AO380" s="266"/>
      <c r="AP380" s="266"/>
      <c r="AQ380" s="266"/>
      <c r="AR380" s="266"/>
      <c r="AS380" s="266"/>
      <c r="AT380" s="266"/>
      <c r="AU380" s="266"/>
      <c r="AV380" s="266"/>
      <c r="AW380" s="266"/>
      <c r="AX380" s="266"/>
      <c r="AY380" s="266"/>
      <c r="AZ380" s="266"/>
      <c r="BA380" s="266"/>
      <c r="BB380" s="266"/>
      <c r="BC380" s="266"/>
      <c r="BD380" s="266"/>
      <c r="BE380" s="266"/>
      <c r="BF380" s="266"/>
      <c r="BG380" s="97"/>
      <c r="BH380" s="97"/>
      <c r="BI380" s="50"/>
      <c r="BJ380" s="266"/>
      <c r="BK380" s="266"/>
      <c r="BL380" s="97"/>
      <c r="BM380" s="266"/>
      <c r="BN380" s="266"/>
      <c r="BO380" s="266"/>
    </row>
    <row r="381" spans="1:67" ht="15.75" customHeight="1" x14ac:dyDescent="0.25">
      <c r="A381" s="266"/>
      <c r="B381" s="266"/>
      <c r="C381" s="76"/>
      <c r="D381" s="119"/>
      <c r="E381" s="119"/>
      <c r="F381" s="382"/>
      <c r="G381" s="382"/>
      <c r="H381" s="382"/>
      <c r="I381" s="266"/>
      <c r="J381" s="119"/>
      <c r="K381" s="555"/>
      <c r="L381" s="266"/>
      <c r="M381" s="266"/>
      <c r="N381" s="266"/>
      <c r="O381" s="119"/>
      <c r="P381" s="266"/>
      <c r="Q381" s="266"/>
      <c r="R381" s="266"/>
      <c r="S381" s="266"/>
      <c r="T381" s="119"/>
      <c r="U381" s="382"/>
      <c r="V381" s="113"/>
      <c r="W381" s="556"/>
      <c r="X381" s="356"/>
      <c r="Y381" s="266"/>
      <c r="Z381" s="266"/>
      <c r="AA381" s="266"/>
      <c r="AB381" s="266"/>
      <c r="AC381" s="266"/>
      <c r="AD381" s="266"/>
      <c r="AE381" s="266"/>
      <c r="AF381" s="64"/>
      <c r="AG381" s="266"/>
      <c r="AH381" s="266"/>
      <c r="AI381" s="266"/>
      <c r="AJ381" s="266"/>
      <c r="AK381" s="266"/>
      <c r="AL381" s="266"/>
      <c r="AM381" s="119"/>
      <c r="AN381" s="266"/>
      <c r="AO381" s="266"/>
      <c r="AP381" s="266"/>
      <c r="AQ381" s="266"/>
      <c r="AR381" s="266"/>
      <c r="AS381" s="266"/>
      <c r="AT381" s="266"/>
      <c r="AU381" s="266"/>
      <c r="AV381" s="266"/>
      <c r="AW381" s="266"/>
      <c r="AX381" s="266"/>
      <c r="AY381" s="266"/>
      <c r="AZ381" s="266"/>
      <c r="BA381" s="266"/>
      <c r="BB381" s="266"/>
      <c r="BC381" s="266"/>
      <c r="BD381" s="266"/>
      <c r="BE381" s="266"/>
      <c r="BF381" s="266"/>
      <c r="BG381" s="97"/>
      <c r="BH381" s="97"/>
      <c r="BI381" s="50"/>
      <c r="BJ381" s="266"/>
      <c r="BK381" s="266"/>
      <c r="BL381" s="97"/>
      <c r="BM381" s="266"/>
      <c r="BN381" s="266"/>
      <c r="BO381" s="266"/>
    </row>
    <row r="382" spans="1:67" ht="15.75" customHeight="1" x14ac:dyDescent="0.25">
      <c r="A382" s="266"/>
      <c r="B382" s="266"/>
      <c r="C382" s="76"/>
      <c r="D382" s="119"/>
      <c r="E382" s="119"/>
      <c r="F382" s="382"/>
      <c r="G382" s="382"/>
      <c r="H382" s="382"/>
      <c r="I382" s="266"/>
      <c r="J382" s="119"/>
      <c r="K382" s="555"/>
      <c r="L382" s="266"/>
      <c r="M382" s="266"/>
      <c r="N382" s="266"/>
      <c r="O382" s="119"/>
      <c r="P382" s="266"/>
      <c r="Q382" s="266"/>
      <c r="R382" s="266"/>
      <c r="S382" s="266"/>
      <c r="T382" s="119"/>
      <c r="U382" s="382"/>
      <c r="V382" s="113"/>
      <c r="W382" s="556"/>
      <c r="X382" s="356"/>
      <c r="Y382" s="266"/>
      <c r="Z382" s="266"/>
      <c r="AA382" s="266"/>
      <c r="AB382" s="266"/>
      <c r="AC382" s="266"/>
      <c r="AD382" s="266"/>
      <c r="AE382" s="266"/>
      <c r="AF382" s="64"/>
      <c r="AG382" s="266"/>
      <c r="AH382" s="266"/>
      <c r="AI382" s="266"/>
      <c r="AJ382" s="266"/>
      <c r="AK382" s="266"/>
      <c r="AL382" s="266"/>
      <c r="AM382" s="119"/>
      <c r="AN382" s="266"/>
      <c r="AO382" s="266"/>
      <c r="AP382" s="266"/>
      <c r="AQ382" s="266"/>
      <c r="AR382" s="266"/>
      <c r="AS382" s="266"/>
      <c r="AT382" s="266"/>
      <c r="AU382" s="266"/>
      <c r="AV382" s="266"/>
      <c r="AW382" s="266"/>
      <c r="AX382" s="266"/>
      <c r="AY382" s="266"/>
      <c r="AZ382" s="266"/>
      <c r="BA382" s="266"/>
      <c r="BB382" s="266"/>
      <c r="BC382" s="266"/>
      <c r="BD382" s="266"/>
      <c r="BE382" s="266"/>
      <c r="BF382" s="266"/>
      <c r="BG382" s="97"/>
      <c r="BH382" s="97"/>
      <c r="BI382" s="50"/>
      <c r="BJ382" s="266"/>
      <c r="BK382" s="266"/>
      <c r="BL382" s="97"/>
      <c r="BM382" s="266"/>
      <c r="BN382" s="266"/>
      <c r="BO382" s="266"/>
    </row>
    <row r="383" spans="1:67" ht="15.75" customHeight="1" x14ac:dyDescent="0.25">
      <c r="A383" s="266"/>
      <c r="B383" s="266"/>
      <c r="C383" s="76"/>
      <c r="D383" s="119"/>
      <c r="E383" s="119"/>
      <c r="F383" s="382"/>
      <c r="G383" s="382"/>
      <c r="H383" s="382"/>
      <c r="I383" s="266"/>
      <c r="J383" s="119"/>
      <c r="K383" s="555"/>
      <c r="L383" s="266"/>
      <c r="M383" s="266"/>
      <c r="N383" s="266"/>
      <c r="O383" s="119"/>
      <c r="P383" s="266"/>
      <c r="Q383" s="266"/>
      <c r="R383" s="266"/>
      <c r="S383" s="266"/>
      <c r="T383" s="119"/>
      <c r="U383" s="382"/>
      <c r="V383" s="113"/>
      <c r="W383" s="556"/>
      <c r="X383" s="356"/>
      <c r="Y383" s="266"/>
      <c r="Z383" s="266"/>
      <c r="AA383" s="266"/>
      <c r="AB383" s="266"/>
      <c r="AC383" s="266"/>
      <c r="AD383" s="266"/>
      <c r="AE383" s="266"/>
      <c r="AF383" s="64"/>
      <c r="AG383" s="266"/>
      <c r="AH383" s="266"/>
      <c r="AI383" s="266"/>
      <c r="AJ383" s="266"/>
      <c r="AK383" s="266"/>
      <c r="AL383" s="266"/>
      <c r="AM383" s="119"/>
      <c r="AN383" s="266"/>
      <c r="AO383" s="266"/>
      <c r="AP383" s="266"/>
      <c r="AQ383" s="266"/>
      <c r="AR383" s="266"/>
      <c r="AS383" s="266"/>
      <c r="AT383" s="266"/>
      <c r="AU383" s="266"/>
      <c r="AV383" s="266"/>
      <c r="AW383" s="266"/>
      <c r="AX383" s="266"/>
      <c r="AY383" s="266"/>
      <c r="AZ383" s="266"/>
      <c r="BA383" s="266"/>
      <c r="BB383" s="266"/>
      <c r="BC383" s="266"/>
      <c r="BD383" s="266"/>
      <c r="BE383" s="266"/>
      <c r="BF383" s="266"/>
      <c r="BG383" s="97"/>
      <c r="BH383" s="97"/>
      <c r="BI383" s="50"/>
      <c r="BJ383" s="266"/>
      <c r="BK383" s="266"/>
      <c r="BL383" s="97"/>
      <c r="BM383" s="266"/>
      <c r="BN383" s="266"/>
      <c r="BO383" s="266"/>
    </row>
    <row r="384" spans="1:67" ht="15.75" customHeight="1" x14ac:dyDescent="0.25">
      <c r="A384" s="266"/>
      <c r="B384" s="266"/>
      <c r="C384" s="76"/>
      <c r="D384" s="119"/>
      <c r="E384" s="119"/>
      <c r="F384" s="382"/>
      <c r="G384" s="382"/>
      <c r="H384" s="382"/>
      <c r="I384" s="266"/>
      <c r="J384" s="119"/>
      <c r="K384" s="555"/>
      <c r="L384" s="266"/>
      <c r="M384" s="266"/>
      <c r="N384" s="266"/>
      <c r="O384" s="119"/>
      <c r="P384" s="266"/>
      <c r="Q384" s="266"/>
      <c r="R384" s="266"/>
      <c r="S384" s="266"/>
      <c r="T384" s="119"/>
      <c r="U384" s="382"/>
      <c r="V384" s="113"/>
      <c r="W384" s="556"/>
      <c r="X384" s="356"/>
      <c r="Y384" s="266"/>
      <c r="Z384" s="266"/>
      <c r="AA384" s="266"/>
      <c r="AB384" s="266"/>
      <c r="AC384" s="266"/>
      <c r="AD384" s="266"/>
      <c r="AE384" s="266"/>
      <c r="AF384" s="64"/>
      <c r="AG384" s="266"/>
      <c r="AH384" s="266"/>
      <c r="AI384" s="266"/>
      <c r="AJ384" s="266"/>
      <c r="AK384" s="266"/>
      <c r="AL384" s="266"/>
      <c r="AM384" s="119"/>
      <c r="AN384" s="266"/>
      <c r="AO384" s="266"/>
      <c r="AP384" s="266"/>
      <c r="AQ384" s="266"/>
      <c r="AR384" s="266"/>
      <c r="AS384" s="266"/>
      <c r="AT384" s="266"/>
      <c r="AU384" s="266"/>
      <c r="AV384" s="266"/>
      <c r="AW384" s="266"/>
      <c r="AX384" s="266"/>
      <c r="AY384" s="266"/>
      <c r="AZ384" s="266"/>
      <c r="BA384" s="266"/>
      <c r="BB384" s="266"/>
      <c r="BC384" s="266"/>
      <c r="BD384" s="266"/>
      <c r="BE384" s="266"/>
      <c r="BF384" s="266"/>
      <c r="BG384" s="97"/>
      <c r="BH384" s="97"/>
      <c r="BI384" s="50"/>
      <c r="BJ384" s="266"/>
      <c r="BK384" s="266"/>
      <c r="BL384" s="97"/>
      <c r="BM384" s="266"/>
      <c r="BN384" s="266"/>
      <c r="BO384" s="266"/>
    </row>
    <row r="385" spans="1:67" ht="15.75" customHeight="1" x14ac:dyDescent="0.25">
      <c r="A385" s="266"/>
      <c r="B385" s="266"/>
      <c r="C385" s="76"/>
      <c r="D385" s="119"/>
      <c r="E385" s="119"/>
      <c r="F385" s="382"/>
      <c r="G385" s="382"/>
      <c r="H385" s="382"/>
      <c r="I385" s="266"/>
      <c r="J385" s="119"/>
      <c r="K385" s="555"/>
      <c r="L385" s="266"/>
      <c r="M385" s="266"/>
      <c r="N385" s="266"/>
      <c r="O385" s="119"/>
      <c r="P385" s="266"/>
      <c r="Q385" s="266"/>
      <c r="R385" s="266"/>
      <c r="S385" s="266"/>
      <c r="T385" s="119"/>
      <c r="U385" s="382"/>
      <c r="V385" s="113"/>
      <c r="W385" s="556"/>
      <c r="X385" s="356"/>
      <c r="Y385" s="266"/>
      <c r="Z385" s="266"/>
      <c r="AA385" s="266"/>
      <c r="AB385" s="266"/>
      <c r="AC385" s="266"/>
      <c r="AD385" s="266"/>
      <c r="AE385" s="266"/>
      <c r="AF385" s="64"/>
      <c r="AG385" s="266"/>
      <c r="AH385" s="266"/>
      <c r="AI385" s="266"/>
      <c r="AJ385" s="266"/>
      <c r="AK385" s="266"/>
      <c r="AL385" s="266"/>
      <c r="AM385" s="119"/>
      <c r="AN385" s="266"/>
      <c r="AO385" s="266"/>
      <c r="AP385" s="266"/>
      <c r="AQ385" s="266"/>
      <c r="AR385" s="266"/>
      <c r="AS385" s="266"/>
      <c r="AT385" s="266"/>
      <c r="AU385" s="266"/>
      <c r="AV385" s="266"/>
      <c r="AW385" s="266"/>
      <c r="AX385" s="266"/>
      <c r="AY385" s="266"/>
      <c r="AZ385" s="266"/>
      <c r="BA385" s="266"/>
      <c r="BB385" s="266"/>
      <c r="BC385" s="266"/>
      <c r="BD385" s="266"/>
      <c r="BE385" s="266"/>
      <c r="BF385" s="266"/>
      <c r="BG385" s="97"/>
      <c r="BH385" s="97"/>
      <c r="BI385" s="50"/>
      <c r="BJ385" s="266"/>
      <c r="BK385" s="266"/>
      <c r="BL385" s="97"/>
      <c r="BM385" s="266"/>
      <c r="BN385" s="266"/>
      <c r="BO385" s="266"/>
    </row>
    <row r="386" spans="1:67" ht="15.75" customHeight="1" x14ac:dyDescent="0.25">
      <c r="A386" s="266"/>
      <c r="B386" s="266"/>
      <c r="C386" s="76"/>
      <c r="D386" s="119"/>
      <c r="E386" s="119"/>
      <c r="F386" s="382"/>
      <c r="G386" s="382"/>
      <c r="H386" s="382"/>
      <c r="I386" s="266"/>
      <c r="J386" s="119"/>
      <c r="K386" s="555"/>
      <c r="L386" s="266"/>
      <c r="M386" s="266"/>
      <c r="N386" s="266"/>
      <c r="O386" s="119"/>
      <c r="P386" s="266"/>
      <c r="Q386" s="266"/>
      <c r="R386" s="266"/>
      <c r="S386" s="266"/>
      <c r="T386" s="119"/>
      <c r="U386" s="382"/>
      <c r="V386" s="113"/>
      <c r="W386" s="556"/>
      <c r="X386" s="356"/>
      <c r="Y386" s="266"/>
      <c r="Z386" s="266"/>
      <c r="AA386" s="266"/>
      <c r="AB386" s="266"/>
      <c r="AC386" s="266"/>
      <c r="AD386" s="266"/>
      <c r="AE386" s="266"/>
      <c r="AF386" s="64"/>
      <c r="AG386" s="266"/>
      <c r="AH386" s="266"/>
      <c r="AI386" s="266"/>
      <c r="AJ386" s="266"/>
      <c r="AK386" s="266"/>
      <c r="AL386" s="266"/>
      <c r="AM386" s="119"/>
      <c r="AN386" s="266"/>
      <c r="AO386" s="266"/>
      <c r="AP386" s="266"/>
      <c r="AQ386" s="266"/>
      <c r="AR386" s="266"/>
      <c r="AS386" s="266"/>
      <c r="AT386" s="266"/>
      <c r="AU386" s="266"/>
      <c r="AV386" s="266"/>
      <c r="AW386" s="266"/>
      <c r="AX386" s="266"/>
      <c r="AY386" s="266"/>
      <c r="AZ386" s="266"/>
      <c r="BA386" s="266"/>
      <c r="BB386" s="266"/>
      <c r="BC386" s="266"/>
      <c r="BD386" s="266"/>
      <c r="BE386" s="266"/>
      <c r="BF386" s="266"/>
      <c r="BG386" s="97"/>
      <c r="BH386" s="97"/>
      <c r="BI386" s="50"/>
      <c r="BJ386" s="266"/>
      <c r="BK386" s="266"/>
      <c r="BL386" s="97"/>
      <c r="BM386" s="266"/>
      <c r="BN386" s="266"/>
      <c r="BO386" s="266"/>
    </row>
    <row r="387" spans="1:67" ht="15.75" customHeight="1" x14ac:dyDescent="0.25">
      <c r="A387" s="266"/>
      <c r="B387" s="266"/>
      <c r="C387" s="76"/>
      <c r="D387" s="119"/>
      <c r="E387" s="119"/>
      <c r="F387" s="382"/>
      <c r="G387" s="382"/>
      <c r="H387" s="382"/>
      <c r="I387" s="266"/>
      <c r="J387" s="119"/>
      <c r="K387" s="555"/>
      <c r="L387" s="266"/>
      <c r="M387" s="266"/>
      <c r="N387" s="266"/>
      <c r="O387" s="119"/>
      <c r="P387" s="266"/>
      <c r="Q387" s="266"/>
      <c r="R387" s="266"/>
      <c r="S387" s="266"/>
      <c r="T387" s="119"/>
      <c r="U387" s="382"/>
      <c r="V387" s="113"/>
      <c r="W387" s="556"/>
      <c r="X387" s="356"/>
      <c r="Y387" s="266"/>
      <c r="Z387" s="266"/>
      <c r="AA387" s="266"/>
      <c r="AB387" s="266"/>
      <c r="AC387" s="266"/>
      <c r="AD387" s="266"/>
      <c r="AE387" s="266"/>
      <c r="AF387" s="64"/>
      <c r="AG387" s="266"/>
      <c r="AH387" s="266"/>
      <c r="AI387" s="266"/>
      <c r="AJ387" s="266"/>
      <c r="AK387" s="266"/>
      <c r="AL387" s="266"/>
      <c r="AM387" s="119"/>
      <c r="AN387" s="266"/>
      <c r="AO387" s="266"/>
      <c r="AP387" s="266"/>
      <c r="AQ387" s="266"/>
      <c r="AR387" s="266"/>
      <c r="AS387" s="266"/>
      <c r="AT387" s="266"/>
      <c r="AU387" s="266"/>
      <c r="AV387" s="266"/>
      <c r="AW387" s="266"/>
      <c r="AX387" s="266"/>
      <c r="AY387" s="266"/>
      <c r="AZ387" s="266"/>
      <c r="BA387" s="266"/>
      <c r="BB387" s="266"/>
      <c r="BC387" s="266"/>
      <c r="BD387" s="266"/>
      <c r="BE387" s="266"/>
      <c r="BF387" s="266"/>
      <c r="BG387" s="97"/>
      <c r="BH387" s="97"/>
      <c r="BI387" s="50"/>
      <c r="BJ387" s="266"/>
      <c r="BK387" s="266"/>
      <c r="BL387" s="97"/>
      <c r="BM387" s="266"/>
      <c r="BN387" s="266"/>
      <c r="BO387" s="266"/>
    </row>
    <row r="388" spans="1:67" ht="15.75" customHeight="1" x14ac:dyDescent="0.25">
      <c r="A388" s="266"/>
      <c r="B388" s="266"/>
      <c r="C388" s="76"/>
      <c r="D388" s="119"/>
      <c r="E388" s="119"/>
      <c r="F388" s="382"/>
      <c r="G388" s="382"/>
      <c r="H388" s="382"/>
      <c r="I388" s="266"/>
      <c r="J388" s="119"/>
      <c r="K388" s="555"/>
      <c r="L388" s="266"/>
      <c r="M388" s="266"/>
      <c r="N388" s="266"/>
      <c r="O388" s="119"/>
      <c r="P388" s="266"/>
      <c r="Q388" s="266"/>
      <c r="R388" s="266"/>
      <c r="S388" s="266"/>
      <c r="T388" s="119"/>
      <c r="U388" s="382"/>
      <c r="V388" s="113"/>
      <c r="W388" s="556"/>
      <c r="X388" s="356"/>
      <c r="Y388" s="266"/>
      <c r="Z388" s="266"/>
      <c r="AA388" s="266"/>
      <c r="AB388" s="266"/>
      <c r="AC388" s="266"/>
      <c r="AD388" s="266"/>
      <c r="AE388" s="266"/>
      <c r="AF388" s="64"/>
      <c r="AG388" s="266"/>
      <c r="AH388" s="266"/>
      <c r="AI388" s="266"/>
      <c r="AJ388" s="266"/>
      <c r="AK388" s="266"/>
      <c r="AL388" s="266"/>
      <c r="AM388" s="119"/>
      <c r="AN388" s="266"/>
      <c r="AO388" s="266"/>
      <c r="AP388" s="266"/>
      <c r="AQ388" s="266"/>
      <c r="AR388" s="266"/>
      <c r="AS388" s="266"/>
      <c r="AT388" s="266"/>
      <c r="AU388" s="266"/>
      <c r="AV388" s="266"/>
      <c r="AW388" s="266"/>
      <c r="AX388" s="266"/>
      <c r="AY388" s="266"/>
      <c r="AZ388" s="266"/>
      <c r="BA388" s="266"/>
      <c r="BB388" s="266"/>
      <c r="BC388" s="266"/>
      <c r="BD388" s="266"/>
      <c r="BE388" s="266"/>
      <c r="BF388" s="266"/>
      <c r="BG388" s="97"/>
      <c r="BH388" s="97"/>
      <c r="BI388" s="50"/>
      <c r="BJ388" s="266"/>
      <c r="BK388" s="266"/>
      <c r="BL388" s="97"/>
      <c r="BM388" s="266"/>
      <c r="BN388" s="266"/>
      <c r="BO388" s="266"/>
    </row>
    <row r="389" spans="1:67" ht="15.75" customHeight="1" x14ac:dyDescent="0.25">
      <c r="A389" s="266"/>
      <c r="B389" s="266"/>
      <c r="C389" s="76"/>
      <c r="D389" s="119"/>
      <c r="E389" s="119"/>
      <c r="F389" s="382"/>
      <c r="G389" s="382"/>
      <c r="H389" s="382"/>
      <c r="I389" s="266"/>
      <c r="J389" s="119"/>
      <c r="K389" s="555"/>
      <c r="L389" s="266"/>
      <c r="M389" s="266"/>
      <c r="N389" s="266"/>
      <c r="O389" s="119"/>
      <c r="P389" s="266"/>
      <c r="Q389" s="266"/>
      <c r="R389" s="266"/>
      <c r="S389" s="266"/>
      <c r="T389" s="119"/>
      <c r="U389" s="382"/>
      <c r="V389" s="113"/>
      <c r="W389" s="556"/>
      <c r="X389" s="356"/>
      <c r="Y389" s="266"/>
      <c r="Z389" s="266"/>
      <c r="AA389" s="266"/>
      <c r="AB389" s="266"/>
      <c r="AC389" s="266"/>
      <c r="AD389" s="266"/>
      <c r="AE389" s="266"/>
      <c r="AF389" s="64"/>
      <c r="AG389" s="266"/>
      <c r="AH389" s="266"/>
      <c r="AI389" s="266"/>
      <c r="AJ389" s="266"/>
      <c r="AK389" s="266"/>
      <c r="AL389" s="266"/>
      <c r="AM389" s="119"/>
      <c r="AN389" s="266"/>
      <c r="AO389" s="266"/>
      <c r="AP389" s="266"/>
      <c r="AQ389" s="266"/>
      <c r="AR389" s="266"/>
      <c r="AS389" s="266"/>
      <c r="AT389" s="266"/>
      <c r="AU389" s="266"/>
      <c r="AV389" s="266"/>
      <c r="AW389" s="266"/>
      <c r="AX389" s="266"/>
      <c r="AY389" s="266"/>
      <c r="AZ389" s="266"/>
      <c r="BA389" s="266"/>
      <c r="BB389" s="266"/>
      <c r="BC389" s="266"/>
      <c r="BD389" s="266"/>
      <c r="BE389" s="266"/>
      <c r="BF389" s="266"/>
      <c r="BG389" s="97"/>
      <c r="BH389" s="97"/>
      <c r="BI389" s="50"/>
      <c r="BJ389" s="266"/>
      <c r="BK389" s="266"/>
      <c r="BL389" s="97"/>
      <c r="BM389" s="266"/>
      <c r="BN389" s="266"/>
      <c r="BO389" s="266"/>
    </row>
    <row r="390" spans="1:67" ht="15.75" customHeight="1" x14ac:dyDescent="0.25">
      <c r="A390" s="266"/>
      <c r="B390" s="266"/>
      <c r="C390" s="76"/>
      <c r="D390" s="119"/>
      <c r="E390" s="119"/>
      <c r="F390" s="382"/>
      <c r="G390" s="382"/>
      <c r="H390" s="382"/>
      <c r="I390" s="266"/>
      <c r="J390" s="119"/>
      <c r="K390" s="555"/>
      <c r="L390" s="266"/>
      <c r="M390" s="266"/>
      <c r="N390" s="266"/>
      <c r="O390" s="119"/>
      <c r="P390" s="266"/>
      <c r="Q390" s="266"/>
      <c r="R390" s="266"/>
      <c r="S390" s="266"/>
      <c r="T390" s="119"/>
      <c r="U390" s="382"/>
      <c r="V390" s="113"/>
      <c r="W390" s="556"/>
      <c r="X390" s="356"/>
      <c r="Y390" s="266"/>
      <c r="Z390" s="266"/>
      <c r="AA390" s="266"/>
      <c r="AB390" s="266"/>
      <c r="AC390" s="266"/>
      <c r="AD390" s="266"/>
      <c r="AE390" s="266"/>
      <c r="AF390" s="64"/>
      <c r="AG390" s="266"/>
      <c r="AH390" s="266"/>
      <c r="AI390" s="266"/>
      <c r="AJ390" s="266"/>
      <c r="AK390" s="266"/>
      <c r="AL390" s="266"/>
      <c r="AM390" s="119"/>
      <c r="AN390" s="266"/>
      <c r="AO390" s="266"/>
      <c r="AP390" s="266"/>
      <c r="AQ390" s="266"/>
      <c r="AR390" s="266"/>
      <c r="AS390" s="266"/>
      <c r="AT390" s="266"/>
      <c r="AU390" s="266"/>
      <c r="AV390" s="266"/>
      <c r="AW390" s="266"/>
      <c r="AX390" s="266"/>
      <c r="AY390" s="266"/>
      <c r="AZ390" s="266"/>
      <c r="BA390" s="266"/>
      <c r="BB390" s="266"/>
      <c r="BC390" s="266"/>
      <c r="BD390" s="266"/>
      <c r="BE390" s="266"/>
      <c r="BF390" s="266"/>
      <c r="BG390" s="97"/>
      <c r="BH390" s="97"/>
      <c r="BI390" s="50"/>
      <c r="BJ390" s="266"/>
      <c r="BK390" s="266"/>
      <c r="BL390" s="97"/>
      <c r="BM390" s="266"/>
      <c r="BN390" s="266"/>
      <c r="BO390" s="266"/>
    </row>
    <row r="391" spans="1:67" ht="15.75" customHeight="1" x14ac:dyDescent="0.25">
      <c r="A391" s="266"/>
      <c r="B391" s="266"/>
      <c r="C391" s="76"/>
      <c r="D391" s="119"/>
      <c r="E391" s="119"/>
      <c r="F391" s="382"/>
      <c r="G391" s="382"/>
      <c r="H391" s="382"/>
      <c r="I391" s="266"/>
      <c r="J391" s="119"/>
      <c r="K391" s="555"/>
      <c r="L391" s="266"/>
      <c r="M391" s="266"/>
      <c r="N391" s="266"/>
      <c r="O391" s="119"/>
      <c r="P391" s="266"/>
      <c r="Q391" s="266"/>
      <c r="R391" s="266"/>
      <c r="S391" s="266"/>
      <c r="T391" s="119"/>
      <c r="U391" s="97"/>
      <c r="V391" s="113"/>
      <c r="W391" s="356"/>
      <c r="X391" s="356"/>
      <c r="Y391" s="266"/>
      <c r="Z391" s="266"/>
      <c r="AA391" s="266"/>
      <c r="AB391" s="266"/>
      <c r="AC391" s="266"/>
      <c r="AD391" s="266"/>
      <c r="AE391" s="266"/>
      <c r="AF391" s="64"/>
      <c r="AG391" s="266"/>
      <c r="AH391" s="266"/>
      <c r="AI391" s="266"/>
      <c r="AJ391" s="266"/>
      <c r="AK391" s="266"/>
      <c r="AL391" s="266"/>
      <c r="AM391" s="266"/>
      <c r="AN391" s="266"/>
      <c r="AO391" s="266"/>
      <c r="AP391" s="266"/>
      <c r="AQ391" s="266"/>
      <c r="AR391" s="266"/>
      <c r="AS391" s="266"/>
      <c r="AT391" s="266"/>
      <c r="AU391" s="266"/>
      <c r="AV391" s="266"/>
      <c r="AW391" s="266"/>
      <c r="AX391" s="266"/>
      <c r="AY391" s="266"/>
      <c r="AZ391" s="266"/>
      <c r="BA391" s="266"/>
      <c r="BB391" s="266"/>
      <c r="BC391" s="266"/>
      <c r="BD391" s="266"/>
      <c r="BE391" s="266"/>
      <c r="BF391" s="266"/>
      <c r="BG391" s="97"/>
      <c r="BH391" s="97"/>
      <c r="BI391" s="50"/>
      <c r="BJ391" s="266"/>
      <c r="BK391" s="266"/>
      <c r="BL391" s="97"/>
      <c r="BM391" s="266"/>
      <c r="BN391" s="266"/>
      <c r="BO391" s="266"/>
    </row>
    <row r="392" spans="1:67" ht="15.75" customHeight="1" x14ac:dyDescent="0.25">
      <c r="A392" s="266"/>
      <c r="B392" s="266"/>
      <c r="C392" s="76"/>
      <c r="D392" s="119"/>
      <c r="E392" s="119"/>
      <c r="F392" s="382"/>
      <c r="G392" s="382"/>
      <c r="H392" s="382"/>
      <c r="I392" s="266"/>
      <c r="J392" s="119"/>
      <c r="K392" s="555"/>
      <c r="L392" s="266"/>
      <c r="M392" s="266"/>
      <c r="N392" s="266"/>
      <c r="O392" s="119"/>
      <c r="P392" s="266"/>
      <c r="Q392" s="266"/>
      <c r="R392" s="266"/>
      <c r="S392" s="266"/>
      <c r="T392" s="119"/>
      <c r="U392" s="97"/>
      <c r="V392" s="113"/>
      <c r="W392" s="356"/>
      <c r="X392" s="356"/>
      <c r="Y392" s="266"/>
      <c r="Z392" s="266"/>
      <c r="AA392" s="266"/>
      <c r="AB392" s="266"/>
      <c r="AC392" s="266"/>
      <c r="AD392" s="266"/>
      <c r="AE392" s="266"/>
      <c r="AF392" s="64"/>
      <c r="AG392" s="266"/>
      <c r="AH392" s="266"/>
      <c r="AI392" s="266"/>
      <c r="AJ392" s="266"/>
      <c r="AK392" s="266"/>
      <c r="AL392" s="266"/>
      <c r="AM392" s="266"/>
      <c r="AN392" s="266"/>
      <c r="AO392" s="266"/>
      <c r="AP392" s="266"/>
      <c r="AQ392" s="266"/>
      <c r="AR392" s="266"/>
      <c r="AS392" s="266"/>
      <c r="AT392" s="266"/>
      <c r="AU392" s="266"/>
      <c r="AV392" s="266"/>
      <c r="AW392" s="266"/>
      <c r="AX392" s="266"/>
      <c r="AY392" s="266"/>
      <c r="AZ392" s="266"/>
      <c r="BA392" s="266"/>
      <c r="BB392" s="266"/>
      <c r="BC392" s="266"/>
      <c r="BD392" s="266"/>
      <c r="BE392" s="266"/>
      <c r="BF392" s="266"/>
      <c r="BG392" s="97"/>
      <c r="BH392" s="97"/>
      <c r="BI392" s="50"/>
      <c r="BJ392" s="266"/>
      <c r="BK392" s="266"/>
      <c r="BL392" s="97"/>
      <c r="BM392" s="266"/>
      <c r="BN392" s="266"/>
      <c r="BO392" s="266"/>
    </row>
    <row r="393" spans="1:67" ht="15.75" customHeight="1" x14ac:dyDescent="0.25">
      <c r="A393" s="266"/>
      <c r="B393" s="266"/>
      <c r="C393" s="76"/>
      <c r="D393" s="119"/>
      <c r="E393" s="119"/>
      <c r="F393" s="382"/>
      <c r="G393" s="382"/>
      <c r="H393" s="382"/>
      <c r="I393" s="266"/>
      <c r="J393" s="119"/>
      <c r="K393" s="555"/>
      <c r="L393" s="266"/>
      <c r="M393" s="266"/>
      <c r="N393" s="266"/>
      <c r="O393" s="119"/>
      <c r="P393" s="266"/>
      <c r="Q393" s="266"/>
      <c r="R393" s="266"/>
      <c r="S393" s="266"/>
      <c r="T393" s="119"/>
      <c r="U393" s="97"/>
      <c r="V393" s="113"/>
      <c r="W393" s="356"/>
      <c r="X393" s="356"/>
      <c r="Y393" s="266"/>
      <c r="Z393" s="266"/>
      <c r="AA393" s="266"/>
      <c r="AB393" s="266"/>
      <c r="AC393" s="266"/>
      <c r="AD393" s="266"/>
      <c r="AE393" s="266"/>
      <c r="AF393" s="64"/>
      <c r="AG393" s="266"/>
      <c r="AH393" s="266"/>
      <c r="AI393" s="266"/>
      <c r="AJ393" s="266"/>
      <c r="AK393" s="266"/>
      <c r="AL393" s="266"/>
      <c r="AM393" s="266"/>
      <c r="AN393" s="266"/>
      <c r="AO393" s="266"/>
      <c r="AP393" s="266"/>
      <c r="AQ393" s="266"/>
      <c r="AR393" s="266"/>
      <c r="AS393" s="266"/>
      <c r="AT393" s="266"/>
      <c r="AU393" s="266"/>
      <c r="AV393" s="266"/>
      <c r="AW393" s="266"/>
      <c r="AX393" s="266"/>
      <c r="AY393" s="266"/>
      <c r="AZ393" s="266"/>
      <c r="BA393" s="266"/>
      <c r="BB393" s="266"/>
      <c r="BC393" s="266"/>
      <c r="BD393" s="266"/>
      <c r="BE393" s="266"/>
      <c r="BF393" s="266"/>
      <c r="BG393" s="97"/>
      <c r="BH393" s="97"/>
      <c r="BI393" s="50"/>
      <c r="BJ393" s="266"/>
      <c r="BK393" s="266"/>
      <c r="BL393" s="97"/>
      <c r="BM393" s="266"/>
      <c r="BN393" s="266"/>
      <c r="BO393" s="266"/>
    </row>
    <row r="394" spans="1:67" ht="15.75" customHeight="1" x14ac:dyDescent="0.25">
      <c r="A394" s="266"/>
      <c r="B394" s="266"/>
      <c r="C394" s="76"/>
      <c r="D394" s="119"/>
      <c r="E394" s="119"/>
      <c r="F394" s="382"/>
      <c r="G394" s="382"/>
      <c r="H394" s="382"/>
      <c r="I394" s="266"/>
      <c r="J394" s="119"/>
      <c r="K394" s="555"/>
      <c r="L394" s="266"/>
      <c r="M394" s="266"/>
      <c r="N394" s="266"/>
      <c r="O394" s="119"/>
      <c r="P394" s="266"/>
      <c r="Q394" s="266"/>
      <c r="R394" s="266"/>
      <c r="S394" s="266"/>
      <c r="T394" s="119"/>
      <c r="U394" s="97"/>
      <c r="V394" s="113"/>
      <c r="W394" s="356"/>
      <c r="X394" s="356"/>
      <c r="Y394" s="266"/>
      <c r="Z394" s="266"/>
      <c r="AA394" s="266"/>
      <c r="AB394" s="266"/>
      <c r="AC394" s="266"/>
      <c r="AD394" s="266"/>
      <c r="AE394" s="266"/>
      <c r="AF394" s="64"/>
      <c r="AG394" s="266"/>
      <c r="AH394" s="266"/>
      <c r="AI394" s="266"/>
      <c r="AJ394" s="266"/>
      <c r="AK394" s="266"/>
      <c r="AL394" s="266"/>
      <c r="AM394" s="266"/>
      <c r="AN394" s="266"/>
      <c r="AO394" s="266"/>
      <c r="AP394" s="266"/>
      <c r="AQ394" s="266"/>
      <c r="AR394" s="266"/>
      <c r="AS394" s="266"/>
      <c r="AT394" s="266"/>
      <c r="AU394" s="266"/>
      <c r="AV394" s="266"/>
      <c r="AW394" s="266"/>
      <c r="AX394" s="266"/>
      <c r="AY394" s="266"/>
      <c r="AZ394" s="266"/>
      <c r="BA394" s="266"/>
      <c r="BB394" s="266"/>
      <c r="BC394" s="266"/>
      <c r="BD394" s="266"/>
      <c r="BE394" s="266"/>
      <c r="BF394" s="266"/>
      <c r="BG394" s="97"/>
      <c r="BH394" s="97"/>
      <c r="BI394" s="50"/>
      <c r="BJ394" s="266"/>
      <c r="BK394" s="266"/>
      <c r="BL394" s="97"/>
      <c r="BM394" s="266"/>
      <c r="BN394" s="266"/>
      <c r="BO394" s="266"/>
    </row>
    <row r="395" spans="1:67" ht="15.75" customHeight="1" x14ac:dyDescent="0.25">
      <c r="A395" s="266"/>
      <c r="B395" s="266"/>
      <c r="C395" s="76"/>
      <c r="D395" s="119"/>
      <c r="E395" s="119"/>
      <c r="F395" s="382"/>
      <c r="G395" s="382"/>
      <c r="H395" s="382"/>
      <c r="I395" s="266"/>
      <c r="J395" s="119"/>
      <c r="K395" s="555"/>
      <c r="L395" s="266"/>
      <c r="M395" s="266"/>
      <c r="N395" s="266"/>
      <c r="O395" s="119"/>
      <c r="P395" s="266"/>
      <c r="Q395" s="266"/>
      <c r="R395" s="266"/>
      <c r="S395" s="266"/>
      <c r="T395" s="119"/>
      <c r="U395" s="97"/>
      <c r="V395" s="113"/>
      <c r="W395" s="356"/>
      <c r="X395" s="356"/>
      <c r="Y395" s="266"/>
      <c r="Z395" s="266"/>
      <c r="AA395" s="266"/>
      <c r="AB395" s="266"/>
      <c r="AC395" s="266"/>
      <c r="AD395" s="266"/>
      <c r="AE395" s="266"/>
      <c r="AF395" s="64"/>
      <c r="AG395" s="266"/>
      <c r="AH395" s="266"/>
      <c r="AI395" s="266"/>
      <c r="AJ395" s="266"/>
      <c r="AK395" s="266"/>
      <c r="AL395" s="266"/>
      <c r="AM395" s="266"/>
      <c r="AN395" s="266"/>
      <c r="AO395" s="266"/>
      <c r="AP395" s="266"/>
      <c r="AQ395" s="266"/>
      <c r="AR395" s="266"/>
      <c r="AS395" s="266"/>
      <c r="AT395" s="266"/>
      <c r="AU395" s="266"/>
      <c r="AV395" s="266"/>
      <c r="AW395" s="266"/>
      <c r="AX395" s="266"/>
      <c r="AY395" s="266"/>
      <c r="AZ395" s="266"/>
      <c r="BA395" s="266"/>
      <c r="BB395" s="266"/>
      <c r="BC395" s="266"/>
      <c r="BD395" s="266"/>
      <c r="BE395" s="266"/>
      <c r="BF395" s="266"/>
      <c r="BG395" s="97"/>
      <c r="BH395" s="97"/>
      <c r="BI395" s="50"/>
      <c r="BJ395" s="266"/>
      <c r="BK395" s="266"/>
      <c r="BL395" s="97"/>
      <c r="BM395" s="266"/>
      <c r="BN395" s="266"/>
      <c r="BO395" s="266"/>
    </row>
    <row r="396" spans="1:67" ht="15.75" customHeight="1" x14ac:dyDescent="0.25">
      <c r="A396" s="266"/>
      <c r="B396" s="266"/>
      <c r="C396" s="76"/>
      <c r="D396" s="119"/>
      <c r="E396" s="119"/>
      <c r="F396" s="382"/>
      <c r="G396" s="382"/>
      <c r="H396" s="382"/>
      <c r="I396" s="266"/>
      <c r="J396" s="119"/>
      <c r="K396" s="555"/>
      <c r="L396" s="266"/>
      <c r="M396" s="266"/>
      <c r="N396" s="266"/>
      <c r="O396" s="119"/>
      <c r="P396" s="266"/>
      <c r="Q396" s="266"/>
      <c r="R396" s="266"/>
      <c r="S396" s="266"/>
      <c r="T396" s="119"/>
      <c r="U396" s="97"/>
      <c r="V396" s="113"/>
      <c r="W396" s="356"/>
      <c r="X396" s="356"/>
      <c r="Y396" s="266"/>
      <c r="Z396" s="266"/>
      <c r="AA396" s="266"/>
      <c r="AB396" s="266"/>
      <c r="AC396" s="266"/>
      <c r="AD396" s="266"/>
      <c r="AE396" s="266"/>
      <c r="AF396" s="64"/>
      <c r="AG396" s="266"/>
      <c r="AH396" s="266"/>
      <c r="AI396" s="266"/>
      <c r="AJ396" s="266"/>
      <c r="AK396" s="266"/>
      <c r="AL396" s="266"/>
      <c r="AM396" s="266"/>
      <c r="AN396" s="266"/>
      <c r="AO396" s="266"/>
      <c r="AP396" s="266"/>
      <c r="AQ396" s="266"/>
      <c r="AR396" s="266"/>
      <c r="AS396" s="266"/>
      <c r="AT396" s="266"/>
      <c r="AU396" s="266"/>
      <c r="AV396" s="266"/>
      <c r="AW396" s="266"/>
      <c r="AX396" s="266"/>
      <c r="AY396" s="266"/>
      <c r="AZ396" s="266"/>
      <c r="BA396" s="266"/>
      <c r="BB396" s="266"/>
      <c r="BC396" s="266"/>
      <c r="BD396" s="266"/>
      <c r="BE396" s="266"/>
      <c r="BF396" s="266"/>
      <c r="BG396" s="97"/>
      <c r="BH396" s="97"/>
      <c r="BI396" s="50"/>
      <c r="BJ396" s="266"/>
      <c r="BK396" s="266"/>
      <c r="BL396" s="97"/>
      <c r="BM396" s="266"/>
      <c r="BN396" s="266"/>
      <c r="BO396" s="266"/>
    </row>
    <row r="397" spans="1:67" ht="15.75" customHeight="1" x14ac:dyDescent="0.25">
      <c r="A397" s="266"/>
      <c r="B397" s="266"/>
      <c r="C397" s="76"/>
      <c r="D397" s="119"/>
      <c r="E397" s="119"/>
      <c r="F397" s="382"/>
      <c r="G397" s="382"/>
      <c r="H397" s="382"/>
      <c r="I397" s="266"/>
      <c r="J397" s="119"/>
      <c r="K397" s="555"/>
      <c r="L397" s="266"/>
      <c r="M397" s="266"/>
      <c r="N397" s="266"/>
      <c r="O397" s="119"/>
      <c r="P397" s="266"/>
      <c r="Q397" s="266"/>
      <c r="R397" s="266"/>
      <c r="S397" s="266"/>
      <c r="T397" s="119"/>
      <c r="U397" s="97"/>
      <c r="V397" s="113"/>
      <c r="W397" s="356"/>
      <c r="X397" s="356"/>
      <c r="Y397" s="266"/>
      <c r="Z397" s="266"/>
      <c r="AA397" s="266"/>
      <c r="AB397" s="266"/>
      <c r="AC397" s="266"/>
      <c r="AD397" s="266"/>
      <c r="AE397" s="266"/>
      <c r="AF397" s="64"/>
      <c r="AG397" s="266"/>
      <c r="AH397" s="266"/>
      <c r="AI397" s="266"/>
      <c r="AJ397" s="266"/>
      <c r="AK397" s="266"/>
      <c r="AL397" s="266"/>
      <c r="AM397" s="266"/>
      <c r="AN397" s="266"/>
      <c r="AO397" s="266"/>
      <c r="AP397" s="266"/>
      <c r="AQ397" s="266"/>
      <c r="AR397" s="266"/>
      <c r="AS397" s="266"/>
      <c r="AT397" s="266"/>
      <c r="AU397" s="266"/>
      <c r="AV397" s="266"/>
      <c r="AW397" s="266"/>
      <c r="AX397" s="266"/>
      <c r="AY397" s="266"/>
      <c r="AZ397" s="266"/>
      <c r="BA397" s="266"/>
      <c r="BB397" s="266"/>
      <c r="BC397" s="266"/>
      <c r="BD397" s="266"/>
      <c r="BE397" s="266"/>
      <c r="BF397" s="266"/>
      <c r="BG397" s="97"/>
      <c r="BH397" s="97"/>
      <c r="BI397" s="50"/>
      <c r="BJ397" s="266"/>
      <c r="BK397" s="266"/>
      <c r="BL397" s="97"/>
      <c r="BM397" s="266"/>
      <c r="BN397" s="266"/>
      <c r="BO397" s="266"/>
    </row>
    <row r="398" spans="1:67" ht="15.75" customHeight="1" x14ac:dyDescent="0.25">
      <c r="A398" s="266"/>
      <c r="B398" s="266"/>
      <c r="C398" s="76"/>
      <c r="D398" s="119"/>
      <c r="E398" s="119"/>
      <c r="F398" s="382"/>
      <c r="G398" s="382"/>
      <c r="H398" s="382"/>
      <c r="I398" s="266"/>
      <c r="J398" s="119"/>
      <c r="K398" s="555"/>
      <c r="L398" s="266"/>
      <c r="M398" s="266"/>
      <c r="N398" s="266"/>
      <c r="O398" s="119"/>
      <c r="P398" s="266"/>
      <c r="Q398" s="266"/>
      <c r="R398" s="266"/>
      <c r="S398" s="266"/>
      <c r="T398" s="119"/>
      <c r="U398" s="97"/>
      <c r="V398" s="113"/>
      <c r="W398" s="356"/>
      <c r="X398" s="356"/>
      <c r="Y398" s="266"/>
      <c r="Z398" s="266"/>
      <c r="AA398" s="266"/>
      <c r="AB398" s="266"/>
      <c r="AC398" s="266"/>
      <c r="AD398" s="266"/>
      <c r="AE398" s="266"/>
      <c r="AF398" s="64"/>
      <c r="AG398" s="266"/>
      <c r="AH398" s="266"/>
      <c r="AI398" s="266"/>
      <c r="AJ398" s="266"/>
      <c r="AK398" s="266"/>
      <c r="AL398" s="266"/>
      <c r="AM398" s="266"/>
      <c r="AN398" s="266"/>
      <c r="AO398" s="266"/>
      <c r="AP398" s="266"/>
      <c r="AQ398" s="266"/>
      <c r="AR398" s="266"/>
      <c r="AS398" s="266"/>
      <c r="AT398" s="266"/>
      <c r="AU398" s="266"/>
      <c r="AV398" s="266"/>
      <c r="AW398" s="266"/>
      <c r="AX398" s="266"/>
      <c r="AY398" s="266"/>
      <c r="AZ398" s="266"/>
      <c r="BA398" s="266"/>
      <c r="BB398" s="266"/>
      <c r="BC398" s="266"/>
      <c r="BD398" s="266"/>
      <c r="BE398" s="266"/>
      <c r="BF398" s="266"/>
      <c r="BG398" s="97"/>
      <c r="BH398" s="97"/>
      <c r="BI398" s="50"/>
      <c r="BJ398" s="266"/>
      <c r="BK398" s="266"/>
      <c r="BL398" s="97"/>
      <c r="BM398" s="266"/>
      <c r="BN398" s="266"/>
      <c r="BO398" s="266"/>
    </row>
    <row r="399" spans="1:67" ht="15.75" customHeight="1" x14ac:dyDescent="0.25">
      <c r="A399" s="266"/>
      <c r="B399" s="266"/>
      <c r="C399" s="76"/>
      <c r="D399" s="119"/>
      <c r="E399" s="119"/>
      <c r="F399" s="382"/>
      <c r="G399" s="382"/>
      <c r="H399" s="382"/>
      <c r="I399" s="266"/>
      <c r="J399" s="119"/>
      <c r="K399" s="555"/>
      <c r="L399" s="266"/>
      <c r="M399" s="266"/>
      <c r="N399" s="266"/>
      <c r="O399" s="119"/>
      <c r="P399" s="266"/>
      <c r="Q399" s="266"/>
      <c r="R399" s="266"/>
      <c r="S399" s="266"/>
      <c r="T399" s="119"/>
      <c r="U399" s="97"/>
      <c r="V399" s="113"/>
      <c r="W399" s="356"/>
      <c r="X399" s="356"/>
      <c r="Y399" s="266"/>
      <c r="Z399" s="266"/>
      <c r="AA399" s="266"/>
      <c r="AB399" s="266"/>
      <c r="AC399" s="266"/>
      <c r="AD399" s="266"/>
      <c r="AE399" s="266"/>
      <c r="AF399" s="64"/>
      <c r="AG399" s="266"/>
      <c r="AH399" s="266"/>
      <c r="AI399" s="266"/>
      <c r="AJ399" s="266"/>
      <c r="AK399" s="266"/>
      <c r="AL399" s="266"/>
      <c r="AM399" s="266"/>
      <c r="AN399" s="266"/>
      <c r="AO399" s="266"/>
      <c r="AP399" s="266"/>
      <c r="AQ399" s="266"/>
      <c r="AR399" s="266"/>
      <c r="AS399" s="266"/>
      <c r="AT399" s="266"/>
      <c r="AU399" s="266"/>
      <c r="AV399" s="266"/>
      <c r="AW399" s="266"/>
      <c r="AX399" s="266"/>
      <c r="AY399" s="266"/>
      <c r="AZ399" s="266"/>
      <c r="BA399" s="266"/>
      <c r="BB399" s="266"/>
      <c r="BC399" s="266"/>
      <c r="BD399" s="266"/>
      <c r="BE399" s="266"/>
      <c r="BF399" s="266"/>
      <c r="BG399" s="97"/>
      <c r="BH399" s="97"/>
      <c r="BI399" s="50"/>
      <c r="BJ399" s="266"/>
      <c r="BK399" s="266"/>
      <c r="BL399" s="97"/>
      <c r="BM399" s="266"/>
      <c r="BN399" s="266"/>
      <c r="BO399" s="266"/>
    </row>
    <row r="400" spans="1:67" ht="15.75" customHeight="1" x14ac:dyDescent="0.25">
      <c r="A400" s="266"/>
      <c r="B400" s="266"/>
      <c r="C400" s="76"/>
      <c r="D400" s="119"/>
      <c r="E400" s="119"/>
      <c r="F400" s="382"/>
      <c r="G400" s="382"/>
      <c r="H400" s="382"/>
      <c r="I400" s="266"/>
      <c r="J400" s="119"/>
      <c r="K400" s="555"/>
      <c r="L400" s="266"/>
      <c r="M400" s="266"/>
      <c r="N400" s="266"/>
      <c r="O400" s="119"/>
      <c r="P400" s="266"/>
      <c r="Q400" s="266"/>
      <c r="R400" s="266"/>
      <c r="S400" s="266"/>
      <c r="T400" s="119"/>
      <c r="U400" s="97"/>
      <c r="V400" s="113"/>
      <c r="W400" s="356"/>
      <c r="X400" s="356"/>
      <c r="Y400" s="266"/>
      <c r="Z400" s="266"/>
      <c r="AA400" s="266"/>
      <c r="AB400" s="266"/>
      <c r="AC400" s="266"/>
      <c r="AD400" s="266"/>
      <c r="AE400" s="266"/>
      <c r="AF400" s="64"/>
      <c r="AG400" s="266"/>
      <c r="AH400" s="266"/>
      <c r="AI400" s="266"/>
      <c r="AJ400" s="266"/>
      <c r="AK400" s="266"/>
      <c r="AL400" s="266"/>
      <c r="AM400" s="266"/>
      <c r="AN400" s="266"/>
      <c r="AO400" s="266"/>
      <c r="AP400" s="266"/>
      <c r="AQ400" s="266"/>
      <c r="AR400" s="266"/>
      <c r="AS400" s="266"/>
      <c r="AT400" s="266"/>
      <c r="AU400" s="266"/>
      <c r="AV400" s="266"/>
      <c r="AW400" s="266"/>
      <c r="AX400" s="266"/>
      <c r="AY400" s="266"/>
      <c r="AZ400" s="266"/>
      <c r="BA400" s="266"/>
      <c r="BB400" s="266"/>
      <c r="BC400" s="266"/>
      <c r="BD400" s="266"/>
      <c r="BE400" s="266"/>
      <c r="BF400" s="266"/>
      <c r="BG400" s="97"/>
      <c r="BH400" s="97"/>
      <c r="BI400" s="50"/>
      <c r="BJ400" s="266"/>
      <c r="BK400" s="266"/>
      <c r="BL400" s="97"/>
      <c r="BM400" s="266"/>
      <c r="BN400" s="266"/>
      <c r="BO400" s="266"/>
    </row>
    <row r="401" spans="1:67" ht="15.75" customHeight="1" x14ac:dyDescent="0.25">
      <c r="A401" s="266"/>
      <c r="B401" s="266"/>
      <c r="C401" s="76"/>
      <c r="D401" s="119"/>
      <c r="E401" s="119"/>
      <c r="F401" s="382"/>
      <c r="G401" s="382"/>
      <c r="H401" s="382"/>
      <c r="I401" s="266"/>
      <c r="J401" s="119"/>
      <c r="K401" s="555"/>
      <c r="L401" s="266"/>
      <c r="M401" s="266"/>
      <c r="N401" s="266"/>
      <c r="O401" s="119"/>
      <c r="P401" s="266"/>
      <c r="Q401" s="266"/>
      <c r="R401" s="266"/>
      <c r="S401" s="266"/>
      <c r="T401" s="119"/>
      <c r="U401" s="97"/>
      <c r="V401" s="113"/>
      <c r="W401" s="356"/>
      <c r="X401" s="356"/>
      <c r="Y401" s="266"/>
      <c r="Z401" s="266"/>
      <c r="AA401" s="266"/>
      <c r="AB401" s="266"/>
      <c r="AC401" s="266"/>
      <c r="AD401" s="266"/>
      <c r="AE401" s="266"/>
      <c r="AF401" s="64"/>
      <c r="AG401" s="266"/>
      <c r="AH401" s="266"/>
      <c r="AI401" s="266"/>
      <c r="AJ401" s="266"/>
      <c r="AK401" s="266"/>
      <c r="AL401" s="266"/>
      <c r="AM401" s="266"/>
      <c r="AN401" s="266"/>
      <c r="AO401" s="266"/>
      <c r="AP401" s="266"/>
      <c r="AQ401" s="266"/>
      <c r="AR401" s="266"/>
      <c r="AS401" s="266"/>
      <c r="AT401" s="266"/>
      <c r="AU401" s="266"/>
      <c r="AV401" s="266"/>
      <c r="AW401" s="266"/>
      <c r="AX401" s="266"/>
      <c r="AY401" s="266"/>
      <c r="AZ401" s="266"/>
      <c r="BA401" s="266"/>
      <c r="BB401" s="266"/>
      <c r="BC401" s="266"/>
      <c r="BD401" s="266"/>
      <c r="BE401" s="266"/>
      <c r="BF401" s="266"/>
      <c r="BG401" s="97"/>
      <c r="BH401" s="97"/>
      <c r="BI401" s="50"/>
      <c r="BJ401" s="266"/>
      <c r="BK401" s="266"/>
      <c r="BL401" s="97"/>
      <c r="BM401" s="266"/>
      <c r="BN401" s="266"/>
      <c r="BO401" s="266"/>
    </row>
    <row r="402" spans="1:67" ht="15.75" customHeight="1" x14ac:dyDescent="0.25">
      <c r="A402" s="266"/>
      <c r="B402" s="266"/>
      <c r="C402" s="76"/>
      <c r="D402" s="119"/>
      <c r="E402" s="119"/>
      <c r="F402" s="382"/>
      <c r="G402" s="382"/>
      <c r="H402" s="382"/>
      <c r="I402" s="266"/>
      <c r="J402" s="119"/>
      <c r="K402" s="555"/>
      <c r="L402" s="266"/>
      <c r="M402" s="266"/>
      <c r="N402" s="266"/>
      <c r="O402" s="119"/>
      <c r="P402" s="266"/>
      <c r="Q402" s="266"/>
      <c r="R402" s="266"/>
      <c r="S402" s="266"/>
      <c r="T402" s="119"/>
      <c r="U402" s="97"/>
      <c r="V402" s="113"/>
      <c r="W402" s="356"/>
      <c r="X402" s="356"/>
      <c r="Y402" s="266"/>
      <c r="Z402" s="266"/>
      <c r="AA402" s="266"/>
      <c r="AB402" s="266"/>
      <c r="AC402" s="266"/>
      <c r="AD402" s="266"/>
      <c r="AE402" s="266"/>
      <c r="AF402" s="64"/>
      <c r="AG402" s="266"/>
      <c r="AH402" s="266"/>
      <c r="AI402" s="266"/>
      <c r="AJ402" s="266"/>
      <c r="AK402" s="266"/>
      <c r="AL402" s="266"/>
      <c r="AM402" s="266"/>
      <c r="AN402" s="266"/>
      <c r="AO402" s="266"/>
      <c r="AP402" s="266"/>
      <c r="AQ402" s="266"/>
      <c r="AR402" s="266"/>
      <c r="AS402" s="266"/>
      <c r="AT402" s="266"/>
      <c r="AU402" s="266"/>
      <c r="AV402" s="266"/>
      <c r="AW402" s="266"/>
      <c r="AX402" s="266"/>
      <c r="AY402" s="266"/>
      <c r="AZ402" s="266"/>
      <c r="BA402" s="266"/>
      <c r="BB402" s="266"/>
      <c r="BC402" s="266"/>
      <c r="BD402" s="266"/>
      <c r="BE402" s="266"/>
      <c r="BF402" s="266"/>
      <c r="BG402" s="97"/>
      <c r="BH402" s="97"/>
      <c r="BI402" s="50"/>
      <c r="BJ402" s="266"/>
      <c r="BK402" s="266"/>
      <c r="BL402" s="97"/>
      <c r="BM402" s="266"/>
      <c r="BN402" s="266"/>
      <c r="BO402" s="266"/>
    </row>
    <row r="403" spans="1:67" ht="15.75" customHeight="1" x14ac:dyDescent="0.25">
      <c r="A403" s="266"/>
      <c r="B403" s="266"/>
      <c r="C403" s="76"/>
      <c r="D403" s="119"/>
      <c r="E403" s="119"/>
      <c r="F403" s="382"/>
      <c r="G403" s="382"/>
      <c r="H403" s="382"/>
      <c r="I403" s="266"/>
      <c r="J403" s="119"/>
      <c r="K403" s="555"/>
      <c r="L403" s="266"/>
      <c r="M403" s="266"/>
      <c r="N403" s="266"/>
      <c r="O403" s="119"/>
      <c r="P403" s="266"/>
      <c r="Q403" s="266"/>
      <c r="R403" s="266"/>
      <c r="S403" s="266"/>
      <c r="T403" s="119"/>
      <c r="U403" s="97"/>
      <c r="V403" s="113"/>
      <c r="W403" s="356"/>
      <c r="X403" s="356"/>
      <c r="Y403" s="266"/>
      <c r="Z403" s="266"/>
      <c r="AA403" s="266"/>
      <c r="AB403" s="266"/>
      <c r="AC403" s="266"/>
      <c r="AD403" s="266"/>
      <c r="AE403" s="266"/>
      <c r="AF403" s="64"/>
      <c r="AG403" s="266"/>
      <c r="AH403" s="266"/>
      <c r="AI403" s="266"/>
      <c r="AJ403" s="266"/>
      <c r="AK403" s="266"/>
      <c r="AL403" s="266"/>
      <c r="AM403" s="266"/>
      <c r="AN403" s="266"/>
      <c r="AO403" s="266"/>
      <c r="AP403" s="266"/>
      <c r="AQ403" s="266"/>
      <c r="AR403" s="266"/>
      <c r="AS403" s="266"/>
      <c r="AT403" s="266"/>
      <c r="AU403" s="266"/>
      <c r="AV403" s="266"/>
      <c r="AW403" s="266"/>
      <c r="AX403" s="266"/>
      <c r="AY403" s="266"/>
      <c r="AZ403" s="266"/>
      <c r="BA403" s="266"/>
      <c r="BB403" s="266"/>
      <c r="BC403" s="266"/>
      <c r="BD403" s="266"/>
      <c r="BE403" s="266"/>
      <c r="BF403" s="266"/>
      <c r="BG403" s="97"/>
      <c r="BH403" s="97"/>
      <c r="BI403" s="50"/>
      <c r="BJ403" s="266"/>
      <c r="BK403" s="266"/>
      <c r="BL403" s="97"/>
      <c r="BM403" s="266"/>
      <c r="BN403" s="266"/>
      <c r="BO403" s="266"/>
    </row>
  </sheetData>
  <autoFilter ref="A2:BP339" xr:uid="{00000000-0009-0000-0000-000001000000}"/>
  <conditionalFormatting sqref="E1:E215 E217:E403">
    <cfRule type="cellIs" dxfId="30" priority="22" operator="equal">
      <formula>"C"</formula>
    </cfRule>
    <cfRule type="cellIs" dxfId="29" priority="23" operator="equal">
      <formula>"EU"</formula>
    </cfRule>
  </conditionalFormatting>
  <conditionalFormatting sqref="E3:E215 G3:G215 F167 H167 E217:E333 G217:G333 E335:E403 G335:G403">
    <cfRule type="containsText" dxfId="28" priority="20" operator="containsText" text="DT">
      <formula>NOT(ISERROR(SEARCH(("DT"),(E3))))</formula>
    </cfRule>
  </conditionalFormatting>
  <conditionalFormatting sqref="F167 H167 D3:D215 D217:D358">
    <cfRule type="containsText" dxfId="27" priority="21" operator="containsText" text="US">
      <formula>NOT(ISERROR(SEARCH(("US"),(D3))))</formula>
    </cfRule>
  </conditionalFormatting>
  <conditionalFormatting sqref="O1:O215 O217:O403">
    <cfRule type="cellIs" dxfId="26" priority="12" operator="equal">
      <formula>"O?"</formula>
    </cfRule>
    <cfRule type="notContainsBlanks" dxfId="25" priority="15">
      <formula>LEN(TRIM(O1))&gt;0</formula>
    </cfRule>
  </conditionalFormatting>
  <conditionalFormatting sqref="O1:O403">
    <cfRule type="cellIs" dxfId="24" priority="1" operator="equal">
      <formula>"R"</formula>
    </cfRule>
    <cfRule type="cellIs" dxfId="23" priority="2" operator="equal">
      <formula>"O"</formula>
    </cfRule>
    <cfRule type="cellIs" dxfId="22" priority="3" operator="equal">
      <formula>"R?"</formula>
    </cfRule>
  </conditionalFormatting>
  <conditionalFormatting sqref="O3:O215 O217:O403">
    <cfRule type="cellIs" dxfId="21" priority="14" operator="equal">
      <formula>"o?"</formula>
    </cfRule>
  </conditionalFormatting>
  <conditionalFormatting sqref="O15:O16 O26 O230 T154:T160 M1:M19 N3:N5 N7:N23 M21:M23 U23 N25:N36 M25:M42 N38:N42 M45:N46 N48 M48:M52 N50:N52 N54:N62 M54:M65 N64:N65 N67:N71 M67:M74 N74 N77:N79 M77:M107 N82 N86:N90 N92:N93 N95:N102 N104:N107 M110:M113 N111:N113 M116:N116 M118:N122 N124 M124:M127 N126:N127 M129:M130 N132 M132:M135 N135 M138:N138 N140:N147 M140:M186 P144 N149:N150 N153:N157 N161 N163:N173 N175:N178 N180:N182 N184:N185 M188:N189 M191:M193 N192:N193 M196:M198 N197:N198 N203:N204 M203:M209 N206 N209 M211:M212 N212 N214 M214:M215 M217:N217 N219 M219:M221 N223:N228 M223:M231 N230:N231 M233 N235:N246 M235:M253 N250:N253 M255:M278 N256:N267 Q270:R271 N271:N272 N274:N278 R280 N280:N282 M280:M287 N285:N286 M289:M308 N290 N292:N299 N301 N303:N310 M312:N321 M323:M328 N326:N328 M330:N335 M337:M403 N338:N345 P340">
    <cfRule type="expression" dxfId="20" priority="17">
      <formula>AND(ISNUMBER(M1),TRUNC(M1)&lt;TODAY())</formula>
    </cfRule>
  </conditionalFormatting>
  <conditionalFormatting sqref="Q223 X270">
    <cfRule type="timePeriod" dxfId="19" priority="16" timePeriod="last7Days">
      <formula>AND(TODAY()-FLOOR(Q223,1)&lt;=6,FLOOR(Q223,1)&lt;=TODAY())</formula>
    </cfRule>
  </conditionalFormatting>
  <conditionalFormatting sqref="T3:T358">
    <cfRule type="timePeriod" dxfId="18" priority="4" timePeriod="last7Days">
      <formula>AND(TODAY()-FLOOR(T3,1)&lt;=6,FLOOR(T3,1)&lt;=TODAY())</formula>
    </cfRule>
  </conditionalFormatting>
  <conditionalFormatting sqref="T6 T63 T177:T184 K3:K267 E22:H23 E26:H26 K269:K403">
    <cfRule type="cellIs" dxfId="17" priority="18" operator="equal">
      <formula>"Cape"</formula>
    </cfRule>
  </conditionalFormatting>
  <conditionalFormatting sqref="T6 T63 T177:T184 K3:K356 E22:H23 E26:H26">
    <cfRule type="cellIs" dxfId="16" priority="19" operator="equal">
      <formula>"Cape?"</formula>
    </cfRule>
  </conditionalFormatting>
  <pageMargins left="0.7" right="0.7" top="0.75" bottom="0.75" header="0" footer="0"/>
  <pageSetup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'Voyage days'!$F$38:$F$924</xm:f>
          </x14:formula1>
          <xm:sqref>L3:L267 L269:L384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J709"/>
  <sheetViews>
    <sheetView workbookViewId="0">
      <pane ySplit="3" topLeftCell="A4" activePane="bottomLeft" state="frozen"/>
      <selection pane="bottomLeft" activeCell="B5" sqref="B5"/>
    </sheetView>
  </sheetViews>
  <sheetFormatPr defaultColWidth="14.42578125" defaultRowHeight="15" customHeight="1" x14ac:dyDescent="0.25"/>
  <cols>
    <col min="2" max="3" width="5.85546875" hidden="1" customWidth="1"/>
    <col min="4" max="4" width="8.42578125" customWidth="1"/>
    <col min="5" max="5" width="7.28515625" hidden="1" customWidth="1"/>
    <col min="6" max="6" width="26.7109375" customWidth="1"/>
    <col min="7" max="8" width="7.28515625" customWidth="1"/>
    <col min="9" max="9" width="18.42578125" customWidth="1"/>
    <col min="10" max="10" width="16.28515625" customWidth="1"/>
    <col min="11" max="11" width="14.7109375" customWidth="1"/>
    <col min="12" max="12" width="12.140625" customWidth="1"/>
    <col min="13" max="15" width="9" customWidth="1"/>
    <col min="16" max="16" width="8" customWidth="1"/>
    <col min="17" max="18" width="9.7109375" customWidth="1"/>
    <col min="19" max="19" width="11.140625" customWidth="1"/>
    <col min="20" max="24" width="8.85546875" customWidth="1"/>
    <col min="25" max="25" width="44" customWidth="1"/>
    <col min="26" max="26" width="37.5703125" customWidth="1"/>
    <col min="27" max="27" width="45.28515625" customWidth="1"/>
    <col min="28" max="28" width="20.42578125" hidden="1" customWidth="1"/>
    <col min="29" max="31" width="8.42578125" hidden="1" customWidth="1"/>
    <col min="32" max="33" width="10.140625" hidden="1" customWidth="1"/>
    <col min="34" max="35" width="8.7109375" hidden="1" customWidth="1"/>
    <col min="36" max="36" width="11.7109375" customWidth="1"/>
    <col min="37" max="37" width="17" customWidth="1"/>
    <col min="38" max="38" width="12.5703125" customWidth="1"/>
    <col min="39" max="40" width="10.7109375" customWidth="1"/>
    <col min="41" max="41" width="9.85546875" customWidth="1"/>
    <col min="42" max="47" width="11.42578125" customWidth="1"/>
    <col min="48" max="48" width="38" customWidth="1"/>
    <col min="49" max="49" width="11.42578125" customWidth="1"/>
    <col min="50" max="50" width="18.28515625" customWidth="1"/>
    <col min="51" max="51" width="18" customWidth="1"/>
    <col min="52" max="52" width="20.140625" customWidth="1"/>
    <col min="53" max="53" width="8.85546875" customWidth="1"/>
    <col min="54" max="54" width="13.85546875" customWidth="1"/>
    <col min="55" max="55" width="20.140625" customWidth="1"/>
    <col min="56" max="56" width="13.85546875" customWidth="1"/>
    <col min="57" max="58" width="11.42578125" customWidth="1"/>
    <col min="60" max="62" width="11" customWidth="1"/>
  </cols>
  <sheetData>
    <row r="1" spans="1:62" x14ac:dyDescent="0.25">
      <c r="A1" s="38" t="s">
        <v>71</v>
      </c>
      <c r="B1" s="557" t="s">
        <v>1556</v>
      </c>
      <c r="C1" s="558"/>
      <c r="D1" s="558"/>
      <c r="E1" s="558"/>
      <c r="F1" s="559" t="s">
        <v>1557</v>
      </c>
      <c r="G1" s="743" t="s">
        <v>1558</v>
      </c>
      <c r="H1" s="742"/>
      <c r="I1" s="561" t="s">
        <v>1559</v>
      </c>
      <c r="K1" s="562" t="s">
        <v>1560</v>
      </c>
      <c r="L1" s="563"/>
      <c r="M1" s="564"/>
      <c r="N1" s="564"/>
      <c r="O1" s="563"/>
      <c r="P1" s="563"/>
      <c r="Q1" s="563"/>
      <c r="R1" s="563"/>
      <c r="S1" s="563"/>
      <c r="T1" s="563"/>
      <c r="U1" s="563"/>
      <c r="V1" s="563"/>
      <c r="W1" s="563"/>
      <c r="X1" s="565"/>
      <c r="Y1" s="566" t="s">
        <v>1561</v>
      </c>
      <c r="Z1" s="46"/>
      <c r="AA1" s="566" t="s">
        <v>1562</v>
      </c>
      <c r="AB1" s="558"/>
      <c r="AC1" s="567"/>
      <c r="AD1" s="565"/>
      <c r="AE1" s="565"/>
      <c r="AF1" s="565"/>
      <c r="AG1" s="565"/>
      <c r="AH1" s="565"/>
      <c r="AI1" s="565"/>
      <c r="AJ1" s="565"/>
      <c r="AK1" s="565"/>
      <c r="AL1" s="565"/>
      <c r="AM1" s="565"/>
      <c r="AN1" s="565"/>
      <c r="AO1" s="565"/>
      <c r="AP1" s="567"/>
      <c r="AQ1" s="567"/>
      <c r="AR1" s="567"/>
      <c r="AS1" s="567"/>
      <c r="AT1" s="567"/>
      <c r="AU1" s="568" t="s">
        <v>1563</v>
      </c>
      <c r="AV1" s="46"/>
      <c r="AW1" s="46"/>
      <c r="AX1" s="46"/>
      <c r="AY1" s="46"/>
      <c r="AZ1" s="563"/>
      <c r="BA1" s="569"/>
      <c r="BB1" s="563"/>
      <c r="BC1" s="569"/>
      <c r="BD1" s="46"/>
      <c r="BE1" s="46"/>
      <c r="BF1" s="46"/>
      <c r="BG1" s="46"/>
      <c r="BH1" s="46"/>
      <c r="BI1" s="46"/>
      <c r="BJ1" s="46"/>
    </row>
    <row r="2" spans="1:62" x14ac:dyDescent="0.25">
      <c r="B2" s="570"/>
      <c r="C2" s="570"/>
      <c r="D2" s="570"/>
      <c r="E2" s="570"/>
      <c r="F2" s="571" t="s">
        <v>1564</v>
      </c>
      <c r="G2" s="744" t="s">
        <v>1565</v>
      </c>
      <c r="H2" s="742"/>
      <c r="I2" s="46" t="s">
        <v>1566</v>
      </c>
      <c r="J2" s="573"/>
      <c r="K2" s="562">
        <v>5</v>
      </c>
      <c r="L2" s="570" t="s">
        <v>1317</v>
      </c>
      <c r="M2" s="574" t="s">
        <v>317</v>
      </c>
      <c r="N2" s="570"/>
      <c r="O2" s="570"/>
      <c r="P2" s="570" t="s">
        <v>1567</v>
      </c>
      <c r="Q2" s="570" t="s">
        <v>1567</v>
      </c>
      <c r="R2" s="570" t="s">
        <v>817</v>
      </c>
      <c r="S2" s="570"/>
      <c r="T2" s="570"/>
      <c r="U2" s="570"/>
      <c r="V2" s="570"/>
      <c r="W2" s="570"/>
      <c r="X2" s="575"/>
      <c r="Y2" s="566" t="s">
        <v>1568</v>
      </c>
      <c r="Z2" s="46"/>
      <c r="AA2" s="570"/>
      <c r="AB2" s="570"/>
      <c r="AC2" s="573"/>
      <c r="AD2" s="570" t="s">
        <v>1317</v>
      </c>
      <c r="AE2" s="570" t="s">
        <v>1317</v>
      </c>
      <c r="AF2" s="575" t="s">
        <v>1317</v>
      </c>
      <c r="AG2" s="565"/>
      <c r="AH2" s="564"/>
      <c r="AI2" s="564"/>
      <c r="AJ2" s="564"/>
      <c r="AK2" s="564"/>
      <c r="AL2" s="564"/>
      <c r="AM2" s="564"/>
      <c r="AN2" s="564"/>
      <c r="AO2" s="564"/>
      <c r="AP2" s="46"/>
      <c r="AQ2" s="46"/>
      <c r="AR2" s="46"/>
      <c r="AS2" s="46"/>
      <c r="AT2" s="46"/>
      <c r="AU2" s="46"/>
      <c r="AV2" s="46"/>
      <c r="AW2" s="46"/>
      <c r="AX2" s="46"/>
      <c r="AY2" s="46"/>
      <c r="AZ2" s="576"/>
      <c r="BA2" s="577"/>
      <c r="BB2" s="576"/>
      <c r="BC2" s="577"/>
      <c r="BD2" s="576"/>
      <c r="BE2" s="46"/>
      <c r="BF2" s="46"/>
      <c r="BG2" s="46"/>
      <c r="BH2" s="578"/>
      <c r="BI2" s="578"/>
      <c r="BJ2" s="578"/>
    </row>
    <row r="3" spans="1:62" x14ac:dyDescent="0.25">
      <c r="B3" s="579" t="s">
        <v>652</v>
      </c>
      <c r="C3" s="580" t="s">
        <v>651</v>
      </c>
      <c r="D3" s="579" t="s">
        <v>1569</v>
      </c>
      <c r="E3" s="579" t="s">
        <v>1570</v>
      </c>
      <c r="F3" s="579" t="s">
        <v>648</v>
      </c>
      <c r="G3" s="581" t="s">
        <v>649</v>
      </c>
      <c r="H3" s="581" t="s">
        <v>650</v>
      </c>
      <c r="I3" s="579" t="s">
        <v>1571</v>
      </c>
      <c r="J3" s="579" t="s">
        <v>1570</v>
      </c>
      <c r="K3" s="582" t="s">
        <v>317</v>
      </c>
      <c r="L3" s="574" t="s">
        <v>817</v>
      </c>
      <c r="M3" s="574" t="s">
        <v>1572</v>
      </c>
      <c r="N3" s="574" t="s">
        <v>1086</v>
      </c>
      <c r="O3" s="574" t="s">
        <v>1573</v>
      </c>
      <c r="P3" s="574"/>
      <c r="Q3" s="574" t="s">
        <v>1574</v>
      </c>
      <c r="R3" s="574" t="s">
        <v>1574</v>
      </c>
      <c r="S3" s="574" t="s">
        <v>672</v>
      </c>
      <c r="T3" s="574" t="s">
        <v>1575</v>
      </c>
      <c r="U3" s="574" t="s">
        <v>1576</v>
      </c>
      <c r="V3" s="574" t="s">
        <v>1577</v>
      </c>
      <c r="W3" s="574" t="s">
        <v>1578</v>
      </c>
      <c r="X3" s="574" t="s">
        <v>1579</v>
      </c>
      <c r="Y3" s="583" t="s">
        <v>1580</v>
      </c>
      <c r="Z3" s="579" t="s">
        <v>1581</v>
      </c>
      <c r="AA3" s="579" t="s">
        <v>1582</v>
      </c>
      <c r="AB3" s="579" t="s">
        <v>1583</v>
      </c>
      <c r="AC3" s="584"/>
      <c r="AD3" s="585" t="s">
        <v>317</v>
      </c>
      <c r="AE3" s="585" t="s">
        <v>817</v>
      </c>
      <c r="AF3" s="586" t="s">
        <v>1572</v>
      </c>
      <c r="AG3" s="586" t="s">
        <v>668</v>
      </c>
      <c r="AH3" s="587" t="s">
        <v>701</v>
      </c>
      <c r="AI3" s="587" t="s">
        <v>1576</v>
      </c>
      <c r="AJ3" s="586" t="s">
        <v>1578</v>
      </c>
      <c r="AK3" s="587" t="s">
        <v>1584</v>
      </c>
      <c r="AL3" s="587" t="s">
        <v>672</v>
      </c>
      <c r="AM3" s="587" t="s">
        <v>700</v>
      </c>
      <c r="AN3" s="587" t="s">
        <v>1574</v>
      </c>
      <c r="AO3" s="587" t="s">
        <v>1585</v>
      </c>
      <c r="AP3" s="46"/>
      <c r="AQ3" s="46"/>
      <c r="AR3" s="46"/>
      <c r="AS3" s="46"/>
      <c r="AT3" s="46"/>
      <c r="AU3" s="46"/>
      <c r="AV3" s="46"/>
      <c r="AW3" s="46"/>
      <c r="AX3" s="46"/>
      <c r="AY3" s="46"/>
      <c r="AZ3" s="576"/>
      <c r="BA3" s="577"/>
      <c r="BB3" s="576"/>
      <c r="BC3" s="577"/>
      <c r="BD3" s="576"/>
      <c r="BE3" s="46"/>
      <c r="BF3" s="46"/>
      <c r="BG3" s="588"/>
      <c r="BH3" s="588"/>
      <c r="BI3" s="588"/>
      <c r="BJ3" s="588"/>
    </row>
    <row r="4" spans="1:62" x14ac:dyDescent="0.25">
      <c r="B4" s="589">
        <f>VLOOKUP(F4,'2) Tracker'!$A$3:$O$411,5,FALSE)</f>
        <v>0</v>
      </c>
      <c r="C4" s="589">
        <f>VLOOKUP(F4,'2) Tracker'!$A$3:$O$411,4,FALSE)</f>
        <v>0</v>
      </c>
      <c r="D4" s="563" t="s">
        <v>1569</v>
      </c>
      <c r="E4" s="563">
        <f>VLOOKUP(F4,'2) Tracker'!$A$3:$O$407,15,FALSE)</f>
        <v>0</v>
      </c>
      <c r="F4" s="590" t="s">
        <v>568</v>
      </c>
      <c r="G4" s="591">
        <f>VLOOKUP(F4,'2) Tracker'!$A$2:$BO$361,2,FALSE)</f>
        <v>2025</v>
      </c>
      <c r="H4" s="592">
        <f>VLOOKUP(F4,'2) Tracker'!$A$2:$BO$361,3,FALSE)</f>
        <v>88000</v>
      </c>
      <c r="I4" s="593" t="str">
        <f>VLOOKUP(F4,'2) Tracker'!$A$2:$BO$361,9,FALSE)</f>
        <v>Gunvor</v>
      </c>
      <c r="J4" s="594" t="str">
        <f>VLOOKUP(F4,'2) Tracker'!$A$2:$BO$361,12,FALSE)</f>
        <v>loads USG</v>
      </c>
      <c r="K4" s="595">
        <f t="shared" ref="K4:O4" si="0">AD4</f>
        <v>46125</v>
      </c>
      <c r="L4" s="595">
        <f t="shared" si="0"/>
        <v>46125</v>
      </c>
      <c r="M4" s="596">
        <f t="shared" si="0"/>
        <v>46157</v>
      </c>
      <c r="N4" s="596" t="str">
        <f t="shared" si="0"/>
        <v/>
      </c>
      <c r="O4" s="597" t="str">
        <f t="shared" si="0"/>
        <v/>
      </c>
      <c r="P4" s="598" t="str">
        <f>IFERROR(IF(VLOOKUP(F4,'Voyage days'!$M$808:$N$819,2,FALSE),"GOA",""),"")</f>
        <v/>
      </c>
      <c r="Q4" s="596" t="str">
        <f t="shared" ref="Q4:R4" si="1">AM4</f>
        <v/>
      </c>
      <c r="R4" s="595" t="str">
        <f t="shared" si="1"/>
        <v/>
      </c>
      <c r="S4" s="595">
        <f t="shared" ref="S4:S258" si="2">AL4</f>
        <v>46145</v>
      </c>
      <c r="T4" s="596" t="str">
        <f t="shared" ref="T4:T258" si="3">AK4</f>
        <v/>
      </c>
      <c r="U4" s="595" t="str">
        <f t="shared" ref="U4:U142" si="4">AI4</f>
        <v/>
      </c>
      <c r="V4" s="595"/>
      <c r="W4" s="595" t="str">
        <f t="shared" ref="W4:W142" si="5">AJ4</f>
        <v/>
      </c>
      <c r="X4" s="599" t="str">
        <f t="shared" ref="X4:X258" si="6">AO4</f>
        <v/>
      </c>
      <c r="Y4" s="594"/>
      <c r="Z4" s="600" t="str">
        <f>VLOOKUP(F4,'2) Tracker'!$A$3:$Q$505,16,FALSE)</f>
        <v>ETA Cristobal 17 Apr, pending disport</v>
      </c>
      <c r="AA4" s="600" t="str">
        <f>VLOOKUP(F4,'2) Tracker'!$A$3:$R$505,18,FALSE)</f>
        <v>Gunvor 06-07 Apr Freeport</v>
      </c>
      <c r="AB4" s="600">
        <f>VLOOKUP(F4,'2) Tracker'!$A$3:$Q$505,17,FALSE)</f>
        <v>0</v>
      </c>
      <c r="AC4" s="601"/>
      <c r="AD4" s="601">
        <f>VLOOKUP(F4,'2) Tracker'!$A$2:$BO$981,37,FALSE)</f>
        <v>46125</v>
      </c>
      <c r="AE4" s="601">
        <f>VLOOKUP(F4,'2) Tracker'!$A$2:$BO$981,40,FALSE)</f>
        <v>46125</v>
      </c>
      <c r="AF4" s="601">
        <f>VLOOKUP(F4,'2) Tracker'!$A$2:$BO$981,67,FALSE)</f>
        <v>46157</v>
      </c>
      <c r="AG4" s="601" t="str">
        <f>VLOOKUP(F4,'2) Tracker'!$A$2:$BO$981,34,FALSE)</f>
        <v/>
      </c>
      <c r="AH4" s="601" t="str">
        <f>VLOOKUP(F4,'2) Tracker'!$A$2:$BN$981,66,FALSE)</f>
        <v/>
      </c>
      <c r="AI4" s="601" t="str">
        <f>VLOOKUP(F4,'2) Tracker'!$A$2:$BO$981,56,FALSE)</f>
        <v/>
      </c>
      <c r="AJ4" s="601" t="str">
        <f>VLOOKUP(F4,'2) Tracker'!$A$2:$BO$981,52,FALSE)</f>
        <v/>
      </c>
      <c r="AK4" s="601" t="str">
        <f>VLOOKUP(F4,'2) Tracker'!$A$2:$AQ$981,43,FALSE)</f>
        <v/>
      </c>
      <c r="AL4" s="601">
        <f>VLOOKUP(F4,'2) Tracker'!$A$2:$BH$981,46,FALSE())</f>
        <v>46145</v>
      </c>
      <c r="AM4" s="601" t="str">
        <f>VLOOKUP(F4,'2) Tracker'!$A$2:$BO$981,65,FALSE())</f>
        <v/>
      </c>
      <c r="AN4" s="601" t="str">
        <f>VLOOKUP(F4,'2) Tracker'!$A$2:$BK$981,63,FALSE())</f>
        <v/>
      </c>
      <c r="AO4" s="601" t="str">
        <f>VLOOKUP(F4,'2) Tracker'!$A$2:$BF$981,58,FALSE())</f>
        <v/>
      </c>
      <c r="AP4" s="46"/>
      <c r="AQ4" s="46"/>
      <c r="AR4" s="46"/>
      <c r="AS4" s="46"/>
      <c r="AT4" s="46"/>
      <c r="AU4" s="46"/>
      <c r="AV4" s="46"/>
      <c r="AW4" s="46"/>
      <c r="AX4" s="602"/>
      <c r="AY4" s="603"/>
      <c r="AZ4" s="563"/>
      <c r="BA4" s="569"/>
      <c r="BB4" s="563"/>
      <c r="BC4" s="569"/>
      <c r="BD4" s="563"/>
      <c r="BE4" s="46"/>
      <c r="BF4" s="46"/>
      <c r="BG4" s="563"/>
      <c r="BH4" s="563"/>
      <c r="BI4" s="563"/>
      <c r="BJ4" s="563"/>
    </row>
    <row r="5" spans="1:62" x14ac:dyDescent="0.25">
      <c r="B5" s="589"/>
      <c r="C5" s="589"/>
      <c r="D5" s="563" t="s">
        <v>1569</v>
      </c>
      <c r="E5" s="563">
        <f>VLOOKUP(F5,'2) Tracker'!$A$3:$O$407,15,FALSE)</f>
        <v>0</v>
      </c>
      <c r="F5" s="590" t="s">
        <v>529</v>
      </c>
      <c r="G5" s="591">
        <f>VLOOKUP(F5,'2) Tracker'!$A$2:$BO$361,2,FALSE)</f>
        <v>2024</v>
      </c>
      <c r="H5" s="592">
        <f>VLOOKUP(F5,'2) Tracker'!$A$2:$BO$361,3,FALSE)</f>
        <v>88000</v>
      </c>
      <c r="I5" s="593" t="str">
        <f>VLOOKUP(F5,'2) Tracker'!$A$2:$BO$361,9,FALSE)</f>
        <v>Chevron</v>
      </c>
      <c r="J5" s="594" t="str">
        <f>VLOOKUP(F5,'2) Tracker'!$A$2:$BO$361,12,FALSE)</f>
        <v>loads USG</v>
      </c>
      <c r="K5" s="596">
        <f t="shared" ref="K5:O5" si="7">AD5</f>
        <v>46125</v>
      </c>
      <c r="L5" s="596">
        <f t="shared" si="7"/>
        <v>46125</v>
      </c>
      <c r="M5" s="596">
        <f t="shared" si="7"/>
        <v>46157</v>
      </c>
      <c r="N5" s="596" t="str">
        <f t="shared" si="7"/>
        <v/>
      </c>
      <c r="O5" s="597" t="str">
        <f t="shared" si="7"/>
        <v/>
      </c>
      <c r="P5" s="598" t="str">
        <f>IFERROR(IF(VLOOKUP(F5,'Voyage days'!$M$808:$N$819,2,FALSE),"GOA",""),"")</f>
        <v/>
      </c>
      <c r="Q5" s="596" t="str">
        <f t="shared" ref="Q5:R5" si="8">AM5</f>
        <v/>
      </c>
      <c r="R5" s="596" t="str">
        <f t="shared" si="8"/>
        <v/>
      </c>
      <c r="S5" s="595">
        <f t="shared" si="2"/>
        <v>46145</v>
      </c>
      <c r="T5" s="596" t="str">
        <f t="shared" si="3"/>
        <v/>
      </c>
      <c r="U5" s="596" t="str">
        <f t="shared" si="4"/>
        <v/>
      </c>
      <c r="V5" s="596"/>
      <c r="W5" s="596" t="str">
        <f t="shared" si="5"/>
        <v/>
      </c>
      <c r="X5" s="599" t="str">
        <f t="shared" si="6"/>
        <v/>
      </c>
      <c r="Y5" s="594"/>
      <c r="Z5" s="600" t="str">
        <f>VLOOKUP(F5,'2) Tracker'!$A$3:$Q$505,16,FALSE)</f>
        <v>@ Enterprise 12 Apr, pending disport</v>
      </c>
      <c r="AA5" s="600" t="str">
        <f>VLOOKUP(F5,'2) Tracker'!$A$3:$R$505,18,FALSE)</f>
        <v>Chevron 12-13 Apr Enterprise</v>
      </c>
      <c r="AB5" s="600">
        <f>VLOOKUP(F5,'2) Tracker'!$A$3:$Q$505,17,FALSE)</f>
        <v>0</v>
      </c>
      <c r="AC5" s="601"/>
      <c r="AD5" s="601">
        <f>VLOOKUP(F5,'2) Tracker'!$A$2:$BO$981,37,FALSE)</f>
        <v>46125</v>
      </c>
      <c r="AE5" s="601">
        <f>VLOOKUP(F5,'2) Tracker'!$A$2:$BO$981,40,FALSE)</f>
        <v>46125</v>
      </c>
      <c r="AF5" s="601">
        <f>VLOOKUP(F5,'2) Tracker'!$A$2:$BO$981,67,FALSE)</f>
        <v>46157</v>
      </c>
      <c r="AG5" s="601" t="str">
        <f>VLOOKUP(F5,'2) Tracker'!$A$2:$BO$981,34,FALSE)</f>
        <v/>
      </c>
      <c r="AH5" s="601" t="str">
        <f>VLOOKUP(F5,'2) Tracker'!$A$2:$BN$981,66,FALSE)</f>
        <v/>
      </c>
      <c r="AI5" s="601" t="str">
        <f>VLOOKUP(F5,'2) Tracker'!$A$2:$BO$981,56,FALSE)</f>
        <v/>
      </c>
      <c r="AJ5" s="601" t="str">
        <f>VLOOKUP(F5,'2) Tracker'!$A$2:$BO$981,52,FALSE)</f>
        <v/>
      </c>
      <c r="AK5" s="601" t="str">
        <f>VLOOKUP(F5,'2) Tracker'!$A$2:$AQ$981,43,FALSE)</f>
        <v/>
      </c>
      <c r="AL5" s="601">
        <f>VLOOKUP(F5,'2) Tracker'!$A$2:$BH$981,46,FALSE())</f>
        <v>46145</v>
      </c>
      <c r="AM5" s="601" t="str">
        <f>VLOOKUP(F5,'2) Tracker'!$A$2:$BO$981,65,FALSE())</f>
        <v/>
      </c>
      <c r="AN5" s="601" t="str">
        <f>VLOOKUP(F5,'2) Tracker'!$A$2:$BK$981,63,FALSE())</f>
        <v/>
      </c>
      <c r="AO5" s="601" t="str">
        <f>VLOOKUP(F5,'2) Tracker'!$A$2:$BF$981,58,FALSE())</f>
        <v/>
      </c>
      <c r="AP5" s="46"/>
      <c r="AQ5" s="46"/>
      <c r="AR5" s="46"/>
      <c r="AS5" s="46"/>
      <c r="AT5" s="46"/>
      <c r="AU5" s="46"/>
      <c r="AV5" s="46"/>
      <c r="AW5" s="46"/>
      <c r="AX5" s="14"/>
      <c r="AY5" s="15"/>
      <c r="AZ5" s="563"/>
      <c r="BA5" s="604" t="s">
        <v>2912</v>
      </c>
      <c r="BB5" s="605" t="e">
        <f>VLOOKUP(AZ5,'1) Kpler'!$E$2:$F$500,2,FALSE)</f>
        <v>#N/A</v>
      </c>
      <c r="BC5" s="569"/>
      <c r="BD5" s="563"/>
      <c r="BE5" s="46"/>
      <c r="BF5" s="46"/>
      <c r="BG5" s="563"/>
      <c r="BH5" s="563"/>
      <c r="BI5" s="563"/>
      <c r="BJ5" s="563"/>
    </row>
    <row r="6" spans="1:62" x14ac:dyDescent="0.25">
      <c r="B6" s="589">
        <f>VLOOKUP(F6,'2) Tracker'!$A$3:$O$411,5,FALSE)</f>
        <v>0</v>
      </c>
      <c r="C6" s="589">
        <f>VLOOKUP(F6,'2) Tracker'!$A$3:$O$411,4,FALSE)</f>
        <v>0</v>
      </c>
      <c r="D6" s="563"/>
      <c r="E6" s="563">
        <f>VLOOKUP(F6,'2) Tracker'!$A$3:$O$407,15,FALSE)</f>
        <v>0</v>
      </c>
      <c r="F6" s="604" t="s">
        <v>236</v>
      </c>
      <c r="G6" s="591">
        <f>VLOOKUP(F6,'2) Tracker'!$A$2:$BO$361,2,FALSE)</f>
        <v>2023</v>
      </c>
      <c r="H6" s="592">
        <f>VLOOKUP(F6,'2) Tracker'!$A$2:$BO$361,3,FALSE)</f>
        <v>86700</v>
      </c>
      <c r="I6" s="600" t="str">
        <f>VLOOKUP(F6,'2) Tracker'!$A$2:$BO$361,9,FALSE)</f>
        <v>Eneos</v>
      </c>
      <c r="J6" s="594" t="str">
        <f>VLOOKUP(F6,'2) Tracker'!$A$2:$BO$361,12,FALSE)</f>
        <v>loads USG</v>
      </c>
      <c r="K6" s="595">
        <f t="shared" ref="K6:O6" si="9">AD6</f>
        <v>46127</v>
      </c>
      <c r="L6" s="595">
        <f t="shared" si="9"/>
        <v>46127</v>
      </c>
      <c r="M6" s="596">
        <f t="shared" si="9"/>
        <v>46159</v>
      </c>
      <c r="N6" s="596" t="str">
        <f t="shared" si="9"/>
        <v/>
      </c>
      <c r="O6" s="597" t="str">
        <f t="shared" si="9"/>
        <v/>
      </c>
      <c r="P6" s="598" t="str">
        <f>IFERROR(IF(VLOOKUP(F6,'Voyage days'!$M$808:$N$819,2,FALSE),"GOA",""),"")</f>
        <v/>
      </c>
      <c r="Q6" s="596" t="str">
        <f t="shared" ref="Q6:R6" si="10">AM6</f>
        <v/>
      </c>
      <c r="R6" s="595" t="str">
        <f t="shared" si="10"/>
        <v/>
      </c>
      <c r="S6" s="595">
        <f t="shared" si="2"/>
        <v>46147</v>
      </c>
      <c r="T6" s="596" t="str">
        <f t="shared" si="3"/>
        <v/>
      </c>
      <c r="U6" s="595" t="str">
        <f t="shared" si="4"/>
        <v/>
      </c>
      <c r="V6" s="595"/>
      <c r="W6" s="595" t="str">
        <f t="shared" si="5"/>
        <v/>
      </c>
      <c r="X6" s="599" t="str">
        <f t="shared" si="6"/>
        <v/>
      </c>
      <c r="Y6" s="594"/>
      <c r="Z6" s="600" t="str">
        <f>VLOOKUP(F6,'2) Tracker'!$A$3:$Q$505,16,FALSE)</f>
        <v>pending disport</v>
      </c>
      <c r="AA6" s="600" t="str">
        <f>VLOOKUP(F6,'2) Tracker'!$A$3:$R$505,18,FALSE)</f>
        <v>Eneos 13-14 Apr Nederland?</v>
      </c>
      <c r="AB6" s="600">
        <f>VLOOKUP(F6,'2) Tracker'!$A$3:$Q$505,17,FALSE)</f>
        <v>0</v>
      </c>
      <c r="AC6" s="601"/>
      <c r="AD6" s="601">
        <f>VLOOKUP(F6,'2) Tracker'!$A$2:$BO$981,37,FALSE)</f>
        <v>46127</v>
      </c>
      <c r="AE6" s="601">
        <f>VLOOKUP(F6,'2) Tracker'!$A$2:$BO$981,40,FALSE)</f>
        <v>46127</v>
      </c>
      <c r="AF6" s="601">
        <f>VLOOKUP(F6,'2) Tracker'!$A$2:$BO$981,67,FALSE)</f>
        <v>46159</v>
      </c>
      <c r="AG6" s="601" t="str">
        <f>VLOOKUP(F6,'2) Tracker'!$A$2:$BO$981,34,FALSE)</f>
        <v/>
      </c>
      <c r="AH6" s="601" t="str">
        <f>VLOOKUP(F6,'2) Tracker'!$A$2:$BN$981,66,FALSE)</f>
        <v/>
      </c>
      <c r="AI6" s="601" t="str">
        <f>VLOOKUP(F6,'2) Tracker'!$A$2:$BO$981,56,FALSE)</f>
        <v/>
      </c>
      <c r="AJ6" s="601" t="str">
        <f>VLOOKUP(F6,'2) Tracker'!$A$2:$BO$981,52,FALSE)</f>
        <v/>
      </c>
      <c r="AK6" s="601" t="str">
        <f>VLOOKUP(F6,'2) Tracker'!$A$2:$AQ$981,43,FALSE)</f>
        <v/>
      </c>
      <c r="AL6" s="601">
        <f>VLOOKUP(F6,'2) Tracker'!$A$2:$BH$981,46,FALSE())</f>
        <v>46147</v>
      </c>
      <c r="AM6" s="601" t="str">
        <f>VLOOKUP(F6,'2) Tracker'!$A$2:$BO$981,65,FALSE())</f>
        <v/>
      </c>
      <c r="AN6" s="601" t="str">
        <f>VLOOKUP(F6,'2) Tracker'!$A$2:$BK$981,63,FALSE())</f>
        <v/>
      </c>
      <c r="AO6" s="601" t="str">
        <f>VLOOKUP(F6,'2) Tracker'!$A$2:$BF$981,58,FALSE())</f>
        <v/>
      </c>
      <c r="AP6" s="46"/>
      <c r="AQ6" s="46"/>
      <c r="AR6" s="46"/>
      <c r="AS6" s="46"/>
      <c r="AT6" s="46"/>
      <c r="AU6" s="46"/>
      <c r="AV6" s="46"/>
      <c r="AW6" s="46"/>
      <c r="AX6" s="14"/>
      <c r="AY6" s="15"/>
      <c r="AZ6" s="563"/>
      <c r="BA6" s="569"/>
      <c r="BB6" s="563"/>
      <c r="BC6" s="569"/>
      <c r="BD6" s="563"/>
      <c r="BE6" s="46"/>
      <c r="BF6" s="46"/>
      <c r="BG6" s="563"/>
      <c r="BH6" s="563"/>
      <c r="BI6" s="563"/>
      <c r="BJ6" s="563"/>
    </row>
    <row r="7" spans="1:62" ht="15" customHeight="1" x14ac:dyDescent="0.25">
      <c r="B7" s="589">
        <f>VLOOKUP(F7,'2) Tracker'!$A$3:$O$411,5,FALSE)</f>
        <v>0</v>
      </c>
      <c r="C7" s="589">
        <f>VLOOKUP(F7,'2) Tracker'!$A$3:$O$411,4,FALSE)</f>
        <v>0</v>
      </c>
      <c r="D7" s="563" t="s">
        <v>1569</v>
      </c>
      <c r="E7" s="563">
        <f>VLOOKUP(F7,'2) Tracker'!$A$3:$O$407,15,FALSE)</f>
        <v>0</v>
      </c>
      <c r="F7" s="590" t="s">
        <v>509</v>
      </c>
      <c r="G7" s="591">
        <f>VLOOKUP(F7,'2) Tracker'!$A$2:$BO$361,2,FALSE)</f>
        <v>2023</v>
      </c>
      <c r="H7" s="592">
        <f>VLOOKUP(F7,'2) Tracker'!$A$2:$BO$361,3,FALSE)</f>
        <v>86000</v>
      </c>
      <c r="I7" s="600" t="str">
        <f>VLOOKUP(F7,'2) Tracker'!$A$2:$BO$361,9,FALSE)</f>
        <v>Trafigura</v>
      </c>
      <c r="J7" s="594" t="str">
        <f>VLOOKUP(F7,'2) Tracker'!$A$2:$BO$361,12,FALSE)</f>
        <v>loads USG</v>
      </c>
      <c r="K7" s="596">
        <f t="shared" ref="K7:O7" si="11">AD7</f>
        <v>46128</v>
      </c>
      <c r="L7" s="596">
        <f t="shared" si="11"/>
        <v>46128</v>
      </c>
      <c r="M7" s="596">
        <f t="shared" si="11"/>
        <v>46160</v>
      </c>
      <c r="N7" s="596" t="str">
        <f t="shared" si="11"/>
        <v/>
      </c>
      <c r="O7" s="597" t="str">
        <f t="shared" si="11"/>
        <v/>
      </c>
      <c r="P7" s="598" t="str">
        <f>IFERROR(IF(VLOOKUP(F7,'Voyage days'!$M$808:$N$819,2,FALSE),"GOA",""),"")</f>
        <v/>
      </c>
      <c r="Q7" s="596" t="str">
        <f t="shared" ref="Q7:R7" si="12">AM7</f>
        <v/>
      </c>
      <c r="R7" s="596" t="str">
        <f t="shared" si="12"/>
        <v/>
      </c>
      <c r="S7" s="595">
        <f t="shared" si="2"/>
        <v>46148</v>
      </c>
      <c r="T7" s="596" t="str">
        <f t="shared" si="3"/>
        <v/>
      </c>
      <c r="U7" s="596" t="str">
        <f t="shared" si="4"/>
        <v/>
      </c>
      <c r="V7" s="596"/>
      <c r="W7" s="596" t="str">
        <f t="shared" si="5"/>
        <v/>
      </c>
      <c r="X7" s="599" t="str">
        <f t="shared" si="6"/>
        <v/>
      </c>
      <c r="Y7" s="606" t="s">
        <v>1586</v>
      </c>
      <c r="Z7" s="600" t="str">
        <f>VLOOKUP(F7,'2) Tracker'!$A$3:$Q$505,16,FALSE)</f>
        <v>pending firm disport</v>
      </c>
      <c r="AA7" s="600" t="str">
        <f>VLOOKUP(F7,'2) Tracker'!$A$3:$R$505,18,FALSE)</f>
        <v>Trafigura 15-16 Apr USG</v>
      </c>
      <c r="AB7" s="600">
        <f>VLOOKUP(F7,'2) Tracker'!$A$3:$Q$505,17,FALSE)</f>
        <v>0</v>
      </c>
      <c r="AC7" s="601"/>
      <c r="AD7" s="601">
        <f>VLOOKUP(F7,'2) Tracker'!$A$2:$BO$981,37,FALSE)</f>
        <v>46128</v>
      </c>
      <c r="AE7" s="601">
        <f>VLOOKUP(F7,'2) Tracker'!$A$2:$BO$981,40,FALSE)</f>
        <v>46128</v>
      </c>
      <c r="AF7" s="601">
        <f>VLOOKUP(F7,'2) Tracker'!$A$2:$BO$981,67,FALSE)</f>
        <v>46160</v>
      </c>
      <c r="AG7" s="601" t="str">
        <f>VLOOKUP(F7,'2) Tracker'!$A$2:$BO$981,34,FALSE)</f>
        <v/>
      </c>
      <c r="AH7" s="601" t="str">
        <f>VLOOKUP(F7,'2) Tracker'!$A$2:$BN$981,66,FALSE)</f>
        <v/>
      </c>
      <c r="AI7" s="601" t="str">
        <f>VLOOKUP(F7,'2) Tracker'!$A$2:$BO$981,56,FALSE)</f>
        <v/>
      </c>
      <c r="AJ7" s="601" t="str">
        <f>VLOOKUP(F7,'2) Tracker'!$A$2:$BO$981,52,FALSE)</f>
        <v/>
      </c>
      <c r="AK7" s="601" t="str">
        <f>VLOOKUP(F7,'2) Tracker'!$A$2:$AQ$981,43,FALSE)</f>
        <v/>
      </c>
      <c r="AL7" s="601">
        <f>VLOOKUP(F7,'2) Tracker'!$A$2:$BH$981,46,FALSE())</f>
        <v>46148</v>
      </c>
      <c r="AM7" s="601" t="str">
        <f>VLOOKUP(F7,'2) Tracker'!$A$2:$BO$981,65,FALSE())</f>
        <v/>
      </c>
      <c r="AN7" s="601" t="str">
        <f>VLOOKUP(F7,'2) Tracker'!$A$2:$BK$981,63,FALSE())</f>
        <v/>
      </c>
      <c r="AO7" s="601" t="str">
        <f>VLOOKUP(F7,'2) Tracker'!$A$2:$BF$981,58,FALSE())</f>
        <v/>
      </c>
      <c r="AP7" s="46"/>
      <c r="AQ7" s="46"/>
      <c r="AR7" s="46"/>
      <c r="AS7" s="46"/>
      <c r="AT7" s="46"/>
      <c r="AU7" s="46"/>
      <c r="AV7" s="46"/>
      <c r="AW7" s="46"/>
      <c r="AX7" s="14"/>
      <c r="AY7" s="15"/>
      <c r="AZ7" s="563"/>
      <c r="BA7" s="569"/>
      <c r="BB7" s="563"/>
      <c r="BC7" s="569"/>
      <c r="BD7" s="563"/>
      <c r="BE7" s="46"/>
      <c r="BF7" s="46"/>
      <c r="BG7" s="563"/>
      <c r="BH7" s="563"/>
      <c r="BI7" s="563"/>
      <c r="BJ7" s="563"/>
    </row>
    <row r="8" spans="1:62" ht="15" customHeight="1" x14ac:dyDescent="0.25">
      <c r="B8" s="589">
        <f>VLOOKUP(F8,'2) Tracker'!$A$3:$O$411,5,FALSE)</f>
        <v>0</v>
      </c>
      <c r="C8" s="589">
        <f>VLOOKUP(F8,'2) Tracker'!$A$3:$O$411,4,FALSE)</f>
        <v>0</v>
      </c>
      <c r="D8" s="563"/>
      <c r="E8" s="563">
        <f>VLOOKUP(F8,'2) Tracker'!$A$3:$O$407,15,FALSE)</f>
        <v>0</v>
      </c>
      <c r="F8" s="604" t="s">
        <v>84</v>
      </c>
      <c r="G8" s="607">
        <f>VLOOKUP(F8,'2) Tracker'!$A$2:$BO$361,2,FALSE)</f>
        <v>2013</v>
      </c>
      <c r="H8" s="592">
        <f>VLOOKUP(F8,'2) Tracker'!$A$2:$BO$361,3,FALSE)</f>
        <v>82000</v>
      </c>
      <c r="I8" s="600" t="str">
        <f>VLOOKUP(F8,'2) Tracker'!$A$2:$BO$361,9,FALSE)</f>
        <v>Exxon</v>
      </c>
      <c r="J8" s="594" t="str">
        <f>VLOOKUP(F8,'2) Tracker'!$A$2:$BO$361,12,FALSE)</f>
        <v>loads USG</v>
      </c>
      <c r="K8" s="596">
        <f t="shared" ref="K8:O8" si="13">AD8</f>
        <v>46128</v>
      </c>
      <c r="L8" s="596">
        <f t="shared" si="13"/>
        <v>46128</v>
      </c>
      <c r="M8" s="596">
        <f t="shared" si="13"/>
        <v>46160</v>
      </c>
      <c r="N8" s="596" t="str">
        <f t="shared" si="13"/>
        <v/>
      </c>
      <c r="O8" s="597" t="str">
        <f t="shared" si="13"/>
        <v/>
      </c>
      <c r="P8" s="598" t="str">
        <f>IFERROR(IF(VLOOKUP(F8,'Voyage days'!$M$808:$N$819,2,FALSE),"GOA",""),"")</f>
        <v/>
      </c>
      <c r="Q8" s="596" t="str">
        <f t="shared" ref="Q8:R8" si="14">AM8</f>
        <v/>
      </c>
      <c r="R8" s="596" t="str">
        <f t="shared" si="14"/>
        <v/>
      </c>
      <c r="S8" s="595">
        <f t="shared" si="2"/>
        <v>46148</v>
      </c>
      <c r="T8" s="596" t="str">
        <f t="shared" si="3"/>
        <v/>
      </c>
      <c r="U8" s="596" t="str">
        <f t="shared" si="4"/>
        <v/>
      </c>
      <c r="V8" s="596"/>
      <c r="W8" s="596" t="str">
        <f t="shared" si="5"/>
        <v/>
      </c>
      <c r="X8" s="599" t="str">
        <f t="shared" si="6"/>
        <v/>
      </c>
      <c r="Y8" s="594"/>
      <c r="Z8" s="600" t="str">
        <f>VLOOKUP(F8,'2) Tracker'!$A$3:$Q$505,16,FALSE)</f>
        <v>pending firm disport</v>
      </c>
      <c r="AA8" s="600" t="str">
        <f>VLOOKUP(F8,'2) Tracker'!$A$3:$R$505,18,FALSE)</f>
        <v>Axpo 08-09 Apr USG</v>
      </c>
      <c r="AB8" s="600">
        <f>VLOOKUP(F8,'2) Tracker'!$A$3:$Q$505,17,FALSE)</f>
        <v>0</v>
      </c>
      <c r="AC8" s="601"/>
      <c r="AD8" s="601">
        <f>VLOOKUP(F8,'2) Tracker'!$A$2:$BO$981,37,FALSE)</f>
        <v>46128</v>
      </c>
      <c r="AE8" s="601">
        <f>VLOOKUP(F8,'2) Tracker'!$A$2:$BO$981,40,FALSE)</f>
        <v>46128</v>
      </c>
      <c r="AF8" s="601">
        <f>VLOOKUP(F8,'2) Tracker'!$A$2:$BO$981,67,FALSE)</f>
        <v>46160</v>
      </c>
      <c r="AG8" s="601" t="str">
        <f>VLOOKUP(F8,'2) Tracker'!$A$2:$BO$981,34,FALSE)</f>
        <v/>
      </c>
      <c r="AH8" s="601" t="str">
        <f>VLOOKUP(F8,'2) Tracker'!$A$2:$BN$981,66,FALSE)</f>
        <v/>
      </c>
      <c r="AI8" s="601" t="str">
        <f>VLOOKUP(F8,'2) Tracker'!$A$2:$BO$981,56,FALSE)</f>
        <v/>
      </c>
      <c r="AJ8" s="601" t="str">
        <f>VLOOKUP(F8,'2) Tracker'!$A$2:$BO$981,52,FALSE)</f>
        <v/>
      </c>
      <c r="AK8" s="601" t="str">
        <f>VLOOKUP(F8,'2) Tracker'!$A$2:$AQ$981,43,FALSE)</f>
        <v/>
      </c>
      <c r="AL8" s="601">
        <f>VLOOKUP(F8,'2) Tracker'!$A$2:$BH$981,46,FALSE())</f>
        <v>46148</v>
      </c>
      <c r="AM8" s="601" t="str">
        <f>VLOOKUP(F8,'2) Tracker'!$A$2:$BO$981,65,FALSE())</f>
        <v/>
      </c>
      <c r="AN8" s="601" t="str">
        <f>VLOOKUP(F8,'2) Tracker'!$A$2:$BK$981,63,FALSE())</f>
        <v/>
      </c>
      <c r="AO8" s="601" t="str">
        <f>VLOOKUP(F8,'2) Tracker'!$A$2:$BF$981,58,FALSE())</f>
        <v/>
      </c>
      <c r="AP8" s="46"/>
      <c r="AQ8" s="46"/>
      <c r="AR8" s="46"/>
      <c r="AS8" s="46"/>
      <c r="AT8" s="46"/>
      <c r="AU8" s="46"/>
      <c r="AV8" s="46"/>
      <c r="AW8" s="46"/>
      <c r="AX8" s="14"/>
      <c r="AY8" s="15"/>
      <c r="AZ8" s="563"/>
      <c r="BA8" s="604" t="s">
        <v>2912</v>
      </c>
      <c r="BB8" s="605" t="e">
        <f>VLOOKUP(AZ8,'1) Kpler'!$E$2:$F$500,2,FALSE)</f>
        <v>#N/A</v>
      </c>
      <c r="BC8" s="569"/>
      <c r="BD8" s="563"/>
      <c r="BE8" s="46"/>
      <c r="BF8" s="46"/>
      <c r="BG8" s="563"/>
      <c r="BH8" s="563"/>
      <c r="BI8" s="563"/>
      <c r="BJ8" s="563"/>
    </row>
    <row r="9" spans="1:62" ht="15" customHeight="1" x14ac:dyDescent="0.25">
      <c r="B9" s="589">
        <f>VLOOKUP(F9,'2) Tracker'!$A$3:$O$411,5,FALSE)</f>
        <v>0</v>
      </c>
      <c r="C9" s="589">
        <f>VLOOKUP(F9,'2) Tracker'!$A$3:$O$411,4,FALSE)</f>
        <v>0</v>
      </c>
      <c r="D9" s="563"/>
      <c r="E9" s="563">
        <f>VLOOKUP(F9,'2) Tracker'!$A$3:$O$407,15,FALSE)</f>
        <v>0</v>
      </c>
      <c r="F9" s="608" t="s">
        <v>1262</v>
      </c>
      <c r="G9" s="607">
        <f>VLOOKUP(F9,'2) Tracker'!$A$2:$BO$361,2,FALSE)</f>
        <v>42121</v>
      </c>
      <c r="H9" s="592">
        <f>VLOOKUP(F9,'2) Tracker'!$A$2:$BO$361,3,FALSE)</f>
        <v>84161</v>
      </c>
      <c r="I9" s="593" t="str">
        <f>VLOOKUP(F9,'2) Tracker'!$A$2:$BO$361,9,FALSE)</f>
        <v>Total</v>
      </c>
      <c r="J9" s="594" t="str">
        <f>VLOOKUP(F9,'2) Tracker'!$A$2:$BO$361,12,FALSE)</f>
        <v>loads USG</v>
      </c>
      <c r="K9" s="595">
        <f t="shared" ref="K9:O9" si="15">AD9</f>
        <v>46128</v>
      </c>
      <c r="L9" s="595">
        <f t="shared" si="15"/>
        <v>46128</v>
      </c>
      <c r="M9" s="596">
        <f t="shared" si="15"/>
        <v>46160</v>
      </c>
      <c r="N9" s="596" t="str">
        <f t="shared" si="15"/>
        <v/>
      </c>
      <c r="O9" s="597" t="str">
        <f t="shared" si="15"/>
        <v/>
      </c>
      <c r="P9" s="598" t="str">
        <f>IFERROR(IF(VLOOKUP(F9,'Voyage days'!$M$808:$N$821,2,FALSE),"GOA",""),"")</f>
        <v/>
      </c>
      <c r="Q9" s="596" t="str">
        <f t="shared" ref="Q9:R9" si="16">AM9</f>
        <v/>
      </c>
      <c r="R9" s="595" t="str">
        <f t="shared" si="16"/>
        <v/>
      </c>
      <c r="S9" s="595">
        <f t="shared" si="2"/>
        <v>46148</v>
      </c>
      <c r="T9" s="596" t="str">
        <f t="shared" si="3"/>
        <v/>
      </c>
      <c r="U9" s="595" t="str">
        <f t="shared" si="4"/>
        <v/>
      </c>
      <c r="V9" s="595"/>
      <c r="W9" s="595" t="str">
        <f t="shared" si="5"/>
        <v/>
      </c>
      <c r="X9" s="599" t="str">
        <f t="shared" si="6"/>
        <v/>
      </c>
      <c r="Y9" s="594"/>
      <c r="Z9" s="600" t="str">
        <f>VLOOKUP(F9,'2) Tracker'!$A$3:$Q$505,16,FALSE)</f>
        <v>@ Port Arthur lighterage 12 Apr via Cape</v>
      </c>
      <c r="AA9" s="600" t="str">
        <f>VLOOKUP(F9,'2) Tracker'!$A$3:$R$505,18,FALSE)</f>
        <v>Total 12-13 Apr Nederland</v>
      </c>
      <c r="AB9" s="600">
        <f>VLOOKUP(F9,'2) Tracker'!$A$3:$Q$505,17,FALSE)</f>
        <v>0</v>
      </c>
      <c r="AC9" s="601"/>
      <c r="AD9" s="601">
        <f>VLOOKUP(F9,'2) Tracker'!$A$2:$BO$981,37,FALSE)</f>
        <v>46128</v>
      </c>
      <c r="AE9" s="601">
        <f>VLOOKUP(F9,'2) Tracker'!$A$2:$BO$981,40,FALSE)</f>
        <v>46128</v>
      </c>
      <c r="AF9" s="601">
        <f>VLOOKUP(F9,'2) Tracker'!$A$2:$BO$981,67,FALSE)</f>
        <v>46160</v>
      </c>
      <c r="AG9" s="601" t="str">
        <f>VLOOKUP(F9,'2) Tracker'!$A$2:$BO$981,34,FALSE)</f>
        <v/>
      </c>
      <c r="AH9" s="601" t="str">
        <f>VLOOKUP(F9,'2) Tracker'!$A$2:$BN$981,66,FALSE)</f>
        <v/>
      </c>
      <c r="AI9" s="601" t="str">
        <f>VLOOKUP(F9,'2) Tracker'!$A$2:$BO$981,56,FALSE)</f>
        <v/>
      </c>
      <c r="AJ9" s="601" t="str">
        <f>VLOOKUP(F9,'2) Tracker'!$A$2:$BO$981,52,FALSE)</f>
        <v/>
      </c>
      <c r="AK9" s="601" t="str">
        <f>VLOOKUP(F9,'2) Tracker'!$A$2:$AQ$981,43,FALSE)</f>
        <v/>
      </c>
      <c r="AL9" s="601">
        <f>VLOOKUP(F9,'2) Tracker'!$A$2:$BH$981,46,FALSE())</f>
        <v>46148</v>
      </c>
      <c r="AM9" s="601" t="str">
        <f>VLOOKUP(F9,'2) Tracker'!$A$2:$BO$981,65,FALSE())</f>
        <v/>
      </c>
      <c r="AN9" s="601" t="str">
        <f>VLOOKUP(F9,'2) Tracker'!$A$2:$BK$981,63,FALSE())</f>
        <v/>
      </c>
      <c r="AO9" s="601" t="str">
        <f>VLOOKUP(F9,'2) Tracker'!$A$2:$BF$981,58,FALSE())</f>
        <v/>
      </c>
      <c r="AP9" s="46"/>
      <c r="AQ9" s="46"/>
      <c r="AR9" s="46"/>
      <c r="AS9" s="46"/>
      <c r="AT9" s="46"/>
      <c r="AU9" s="46"/>
      <c r="AV9" s="46"/>
      <c r="AW9" s="46"/>
      <c r="AX9" s="609"/>
      <c r="AY9" s="610"/>
      <c r="AZ9" s="563"/>
      <c r="BA9" s="569"/>
      <c r="BB9" s="563"/>
      <c r="BC9" s="569"/>
      <c r="BD9" s="563"/>
      <c r="BE9" s="46"/>
      <c r="BF9" s="46"/>
      <c r="BG9" s="563"/>
      <c r="BH9" s="563"/>
      <c r="BI9" s="563"/>
      <c r="BJ9" s="563"/>
    </row>
    <row r="10" spans="1:62" ht="15" customHeight="1" x14ac:dyDescent="0.25">
      <c r="B10" s="589">
        <f>VLOOKUP(F10,'2) Tracker'!$A$3:$O$411,5,FALSE)</f>
        <v>0</v>
      </c>
      <c r="C10" s="589">
        <f>VLOOKUP(F10,'2) Tracker'!$A$3:$O$411,4,FALSE)</f>
        <v>0</v>
      </c>
      <c r="D10" s="563"/>
      <c r="E10" s="563">
        <f>VLOOKUP(F10,'2) Tracker'!$A$3:$O$407,15,FALSE)</f>
        <v>0</v>
      </c>
      <c r="F10" s="604" t="s">
        <v>603</v>
      </c>
      <c r="G10" s="607">
        <f>VLOOKUP(F10,'2) Tracker'!$A$2:$BO$361,2,FALSE)</f>
        <v>39722</v>
      </c>
      <c r="H10" s="592">
        <f>VLOOKUP(F10,'2) Tracker'!$A$2:$BO$361,3,FALSE)</f>
        <v>80186</v>
      </c>
      <c r="I10" s="594" t="str">
        <f>VLOOKUP(F10,'2) Tracker'!$A$2:$BO$361,9,FALSE)</f>
        <v>Mercuria</v>
      </c>
      <c r="J10" s="594" t="str">
        <f>VLOOKUP(F10,'2) Tracker'!$A$2:$BO$361,12,FALSE)</f>
        <v>loads USG</v>
      </c>
      <c r="K10" s="596">
        <f t="shared" ref="K10:O10" si="17">AD10</f>
        <v>46130</v>
      </c>
      <c r="L10" s="596">
        <f t="shared" si="17"/>
        <v>46130</v>
      </c>
      <c r="M10" s="596">
        <f t="shared" si="17"/>
        <v>46162</v>
      </c>
      <c r="N10" s="596" t="str">
        <f t="shared" si="17"/>
        <v/>
      </c>
      <c r="O10" s="597" t="str">
        <f t="shared" si="17"/>
        <v/>
      </c>
      <c r="P10" s="598" t="str">
        <f>IFERROR(IF(VLOOKUP(F10,'Voyage days'!$M$808:$N$819,2,FALSE),"GOA",""),"")</f>
        <v/>
      </c>
      <c r="Q10" s="596" t="str">
        <f t="shared" ref="Q10:R10" si="18">AM10</f>
        <v/>
      </c>
      <c r="R10" s="596" t="str">
        <f t="shared" si="18"/>
        <v/>
      </c>
      <c r="S10" s="595">
        <f t="shared" si="2"/>
        <v>46150</v>
      </c>
      <c r="T10" s="596" t="str">
        <f t="shared" si="3"/>
        <v/>
      </c>
      <c r="U10" s="596" t="str">
        <f t="shared" si="4"/>
        <v/>
      </c>
      <c r="V10" s="570" t="s">
        <v>1577</v>
      </c>
      <c r="W10" s="596" t="str">
        <f t="shared" si="5"/>
        <v/>
      </c>
      <c r="X10" s="599" t="str">
        <f t="shared" si="6"/>
        <v/>
      </c>
      <c r="Y10" s="606"/>
      <c r="Z10" s="600" t="str">
        <f>VLOOKUP(F10,'2) Tracker'!$A$3:$Q$505,16,FALSE)</f>
        <v>ETA USG 16 Apr, pending firm disport</v>
      </c>
      <c r="AA10" s="600" t="str">
        <f>VLOOKUP(F10,'2) Tracker'!$A$3:$R$505,18,FALSE)</f>
        <v>Mercuria 18-19 Apr USG</v>
      </c>
      <c r="AB10" s="600">
        <f>VLOOKUP(F10,'2) Tracker'!$A$3:$Q$505,17,FALSE)</f>
        <v>0</v>
      </c>
      <c r="AC10" s="601"/>
      <c r="AD10" s="601">
        <f>VLOOKUP(F10,'2) Tracker'!$A$2:$BO$981,37,FALSE)</f>
        <v>46130</v>
      </c>
      <c r="AE10" s="601">
        <f>VLOOKUP(F10,'2) Tracker'!$A$2:$BO$981,40,FALSE)</f>
        <v>46130</v>
      </c>
      <c r="AF10" s="601">
        <f>VLOOKUP(F10,'2) Tracker'!$A$2:$BO$981,67,FALSE)</f>
        <v>46162</v>
      </c>
      <c r="AG10" s="601" t="str">
        <f>VLOOKUP(F10,'2) Tracker'!$A$2:$BO$981,34,FALSE)</f>
        <v/>
      </c>
      <c r="AH10" s="601" t="str">
        <f>VLOOKUP(F10,'2) Tracker'!$A$2:$BN$981,66,FALSE)</f>
        <v/>
      </c>
      <c r="AI10" s="601" t="str">
        <f>VLOOKUP(F10,'2) Tracker'!$A$2:$BO$981,56,FALSE)</f>
        <v/>
      </c>
      <c r="AJ10" s="601" t="str">
        <f>VLOOKUP(F10,'2) Tracker'!$A$2:$BO$981,52,FALSE)</f>
        <v/>
      </c>
      <c r="AK10" s="601" t="str">
        <f>VLOOKUP(F10,'2) Tracker'!$A$2:$AQ$981,43,FALSE)</f>
        <v/>
      </c>
      <c r="AL10" s="601">
        <f>VLOOKUP(F10,'2) Tracker'!$A$2:$BH$981,46,FALSE())</f>
        <v>46150</v>
      </c>
      <c r="AM10" s="601" t="str">
        <f>VLOOKUP(F10,'2) Tracker'!$A$2:$BO$981,65,FALSE())</f>
        <v/>
      </c>
      <c r="AN10" s="601" t="str">
        <f>VLOOKUP(F10,'2) Tracker'!$A$2:$BK$981,63,FALSE())</f>
        <v/>
      </c>
      <c r="AO10" s="601" t="str">
        <f>VLOOKUP(F10,'2) Tracker'!$A$2:$BF$981,58,FALSE())</f>
        <v/>
      </c>
      <c r="AP10" s="46"/>
      <c r="AQ10" s="46"/>
      <c r="AR10" s="46"/>
      <c r="AS10" s="46"/>
      <c r="AT10" s="46"/>
      <c r="AU10" s="46"/>
      <c r="AV10" s="46"/>
      <c r="AW10" s="46"/>
      <c r="AX10" s="46"/>
      <c r="AY10" s="46"/>
      <c r="AZ10" s="563"/>
      <c r="BA10" s="569"/>
      <c r="BB10" s="563"/>
      <c r="BC10" s="569"/>
      <c r="BD10" s="563"/>
      <c r="BE10" s="46"/>
      <c r="BF10" s="46"/>
      <c r="BG10" s="563"/>
      <c r="BH10" s="563"/>
      <c r="BI10" s="563"/>
      <c r="BJ10" s="563"/>
    </row>
    <row r="11" spans="1:62" ht="15" customHeight="1" x14ac:dyDescent="0.25">
      <c r="B11" s="589" t="str">
        <f>VLOOKUP(F11,'2) Tracker'!$A$3:$O$411,5,FALSE)</f>
        <v>C</v>
      </c>
      <c r="C11" s="589">
        <f>VLOOKUP(F11,'2) Tracker'!$A$3:$O$411,4,FALSE)</f>
        <v>0</v>
      </c>
      <c r="D11" s="563"/>
      <c r="E11" s="563">
        <f>VLOOKUP(F11,'2) Tracker'!$A$3:$O$407,15,FALSE)</f>
        <v>0</v>
      </c>
      <c r="F11" s="604" t="s">
        <v>921</v>
      </c>
      <c r="G11" s="591">
        <f>VLOOKUP(F11,'2) Tracker'!$A$2:$BO$361,2,FALSE)</f>
        <v>2020</v>
      </c>
      <c r="H11" s="592">
        <f>VLOOKUP(F11,'2) Tracker'!$A$2:$BO$361,3,FALSE)</f>
        <v>84700</v>
      </c>
      <c r="I11" s="600" t="str">
        <f>VLOOKUP(F11,'2) Tracker'!$A$2:$BO$361,9,FALSE)</f>
        <v>E1</v>
      </c>
      <c r="J11" s="594" t="str">
        <f>VLOOKUP(F11,'2) Tracker'!$A$2:$BO$361,12,FALSE)</f>
        <v>loads USG</v>
      </c>
      <c r="K11" s="596">
        <f t="shared" ref="K11:O11" si="19">AD11</f>
        <v>46130</v>
      </c>
      <c r="L11" s="596">
        <f t="shared" si="19"/>
        <v>46130</v>
      </c>
      <c r="M11" s="596">
        <f t="shared" si="19"/>
        <v>46162</v>
      </c>
      <c r="N11" s="596" t="str">
        <f t="shared" si="19"/>
        <v/>
      </c>
      <c r="O11" s="597" t="str">
        <f t="shared" si="19"/>
        <v/>
      </c>
      <c r="P11" s="598" t="str">
        <f>IFERROR(IF(VLOOKUP(F11,'Voyage days'!$M$808:$N$819,2,FALSE),"GOA",""),"")</f>
        <v/>
      </c>
      <c r="Q11" s="596" t="str">
        <f t="shared" ref="Q11:R11" si="20">AM11</f>
        <v/>
      </c>
      <c r="R11" s="596" t="str">
        <f t="shared" si="20"/>
        <v/>
      </c>
      <c r="S11" s="595">
        <f t="shared" si="2"/>
        <v>46150</v>
      </c>
      <c r="T11" s="596" t="str">
        <f t="shared" si="3"/>
        <v/>
      </c>
      <c r="U11" s="596" t="str">
        <f t="shared" si="4"/>
        <v/>
      </c>
      <c r="V11" s="596"/>
      <c r="W11" s="596" t="str">
        <f t="shared" si="5"/>
        <v/>
      </c>
      <c r="X11" s="599" t="str">
        <f t="shared" si="6"/>
        <v/>
      </c>
      <c r="Y11" s="611" t="s">
        <v>1587</v>
      </c>
      <c r="Z11" s="600" t="str">
        <f>VLOOKUP(F11,'2) Tracker'!$A$3:$Q$505,16,FALSE)</f>
        <v xml:space="preserve">ETA USG 14 Apr via Cape, pending firm disport </v>
      </c>
      <c r="AA11" s="600" t="str">
        <f>VLOOKUP(F11,'2) Tracker'!$A$3:$R$505,18,FALSE)</f>
        <v>Marathon 18-19 Apr Freeport</v>
      </c>
      <c r="AB11" s="612">
        <f>'2) Tracker'!Q259</f>
        <v>0</v>
      </c>
      <c r="AC11" s="601"/>
      <c r="AD11" s="601">
        <f>VLOOKUP(F11,'2) Tracker'!$A$2:$BO$981,37,FALSE)</f>
        <v>46130</v>
      </c>
      <c r="AE11" s="601">
        <f>VLOOKUP(F11,'2) Tracker'!$A$2:$BO$981,40,FALSE)</f>
        <v>46130</v>
      </c>
      <c r="AF11" s="601">
        <f>VLOOKUP(F11,'2) Tracker'!$A$2:$BO$981,67,FALSE)</f>
        <v>46162</v>
      </c>
      <c r="AG11" s="601" t="str">
        <f>VLOOKUP(F11,'2) Tracker'!$A$2:$BO$981,34,FALSE)</f>
        <v/>
      </c>
      <c r="AH11" s="601" t="str">
        <f>VLOOKUP(F11,'2) Tracker'!$A$2:$BN$981,66,FALSE)</f>
        <v/>
      </c>
      <c r="AI11" s="601" t="str">
        <f>VLOOKUP(F11,'2) Tracker'!$A$2:$BO$981,56,FALSE)</f>
        <v/>
      </c>
      <c r="AJ11" s="601" t="str">
        <f>VLOOKUP(F11,'2) Tracker'!$A$2:$BO$981,52,FALSE)</f>
        <v/>
      </c>
      <c r="AK11" s="601" t="str">
        <f>VLOOKUP(F11,'2) Tracker'!$A$2:$AQ$981,43,FALSE)</f>
        <v/>
      </c>
      <c r="AL11" s="601">
        <f>VLOOKUP(F11,'2) Tracker'!$A$2:$BH$981,46,FALSE())</f>
        <v>46150</v>
      </c>
      <c r="AM11" s="601" t="str">
        <f>VLOOKUP(F11,'2) Tracker'!$A$2:$BO$981,65,FALSE())</f>
        <v/>
      </c>
      <c r="AN11" s="601" t="str">
        <f>VLOOKUP(F11,'2) Tracker'!$A$2:$BK$981,63,FALSE())</f>
        <v/>
      </c>
      <c r="AO11" s="601" t="str">
        <f>VLOOKUP(F11,'2) Tracker'!$A$2:$BF$981,58,FALSE())</f>
        <v/>
      </c>
      <c r="AP11" s="46"/>
      <c r="AQ11" s="46"/>
      <c r="AR11" s="46"/>
      <c r="AS11" s="46"/>
      <c r="AT11" s="46"/>
      <c r="AU11" s="46"/>
      <c r="AV11" s="613"/>
      <c r="AW11" s="46"/>
      <c r="AX11" s="46"/>
      <c r="AY11" s="46"/>
      <c r="AZ11" s="563"/>
      <c r="BA11" s="569"/>
      <c r="BB11" s="563"/>
      <c r="BC11" s="569"/>
      <c r="BD11" s="563"/>
      <c r="BE11" s="46"/>
      <c r="BF11" s="46"/>
      <c r="BG11" s="563"/>
      <c r="BH11" s="563"/>
      <c r="BI11" s="563"/>
      <c r="BJ11" s="563"/>
    </row>
    <row r="12" spans="1:62" ht="15" customHeight="1" x14ac:dyDescent="0.25">
      <c r="B12" s="589">
        <f>VLOOKUP(F12,'2) Tracker'!$A$3:$O$411,5,FALSE)</f>
        <v>0</v>
      </c>
      <c r="C12" s="589">
        <f>VLOOKUP(F12,'2) Tracker'!$A$3:$O$411,4,FALSE)</f>
        <v>0</v>
      </c>
      <c r="D12" s="563"/>
      <c r="E12" s="563">
        <f>VLOOKUP(F12,'2) Tracker'!$A$3:$O$407,15,FALSE)</f>
        <v>0</v>
      </c>
      <c r="F12" s="608" t="s">
        <v>219</v>
      </c>
      <c r="G12" s="591">
        <f>VLOOKUP(F12,'2) Tracker'!$A$2:$BO$361,2,FALSE)</f>
        <v>2022</v>
      </c>
      <c r="H12" s="592">
        <f>VLOOKUP(F12,'2) Tracker'!$A$2:$BO$361,3,FALSE)</f>
        <v>84000</v>
      </c>
      <c r="I12" s="593" t="str">
        <f>VLOOKUP(F12,'2) Tracker'!$A$2:$BO$361,9,FALSE)</f>
        <v>Equinor</v>
      </c>
      <c r="J12" s="594" t="str">
        <f>VLOOKUP(F12,'2) Tracker'!$A$2:$BO$361,12,FALSE)</f>
        <v>loads USG</v>
      </c>
      <c r="K12" s="596">
        <f t="shared" ref="K12:O12" si="21">AD12</f>
        <v>46131</v>
      </c>
      <c r="L12" s="596">
        <f t="shared" si="21"/>
        <v>46131</v>
      </c>
      <c r="M12" s="596">
        <f t="shared" si="21"/>
        <v>46163</v>
      </c>
      <c r="N12" s="596" t="str">
        <f t="shared" si="21"/>
        <v/>
      </c>
      <c r="O12" s="597" t="str">
        <f t="shared" si="21"/>
        <v/>
      </c>
      <c r="P12" s="598" t="str">
        <f>IFERROR(IF(VLOOKUP(F12,'Voyage days'!$M$808:$N$819,2,FALSE),"GOA",""),"")</f>
        <v/>
      </c>
      <c r="Q12" s="596" t="str">
        <f t="shared" ref="Q12:R12" si="22">AM12</f>
        <v/>
      </c>
      <c r="R12" s="595" t="str">
        <f t="shared" si="22"/>
        <v/>
      </c>
      <c r="S12" s="595">
        <f t="shared" si="2"/>
        <v>46151</v>
      </c>
      <c r="T12" s="596" t="str">
        <f t="shared" si="3"/>
        <v/>
      </c>
      <c r="U12" s="595" t="str">
        <f t="shared" si="4"/>
        <v/>
      </c>
      <c r="V12" s="595"/>
      <c r="W12" s="595" t="str">
        <f t="shared" si="5"/>
        <v/>
      </c>
      <c r="X12" s="599" t="str">
        <f t="shared" si="6"/>
        <v/>
      </c>
      <c r="Y12" s="594"/>
      <c r="Z12" s="600" t="str">
        <f>VLOOKUP(F12,'2) Tracker'!$A$3:$Q$505,16,FALSE)</f>
        <v>pending firm disport</v>
      </c>
      <c r="AA12" s="600" t="str">
        <f>VLOOKUP(F12,'2) Tracker'!$A$3:$R$505,18,FALSE)</f>
        <v>Equinor 11-12 Apr Targa</v>
      </c>
      <c r="AB12" s="600">
        <f>VLOOKUP(F12,'2) Tracker'!$A$3:$Q$505,17,FALSE)</f>
        <v>0</v>
      </c>
      <c r="AC12" s="601"/>
      <c r="AD12" s="601">
        <f>VLOOKUP(F12,'2) Tracker'!$A$2:$BO$981,37,FALSE)</f>
        <v>46131</v>
      </c>
      <c r="AE12" s="601">
        <f>VLOOKUP(F12,'2) Tracker'!$A$2:$BO$981,40,FALSE)</f>
        <v>46131</v>
      </c>
      <c r="AF12" s="601">
        <f>VLOOKUP(F12,'2) Tracker'!$A$2:$BO$981,67,FALSE)</f>
        <v>46163</v>
      </c>
      <c r="AG12" s="601" t="str">
        <f>VLOOKUP(F12,'2) Tracker'!$A$2:$BO$981,34,FALSE)</f>
        <v/>
      </c>
      <c r="AH12" s="601" t="str">
        <f>VLOOKUP(F12,'2) Tracker'!$A$2:$BN$981,66,FALSE)</f>
        <v/>
      </c>
      <c r="AI12" s="601" t="str">
        <f>VLOOKUP(F12,'2) Tracker'!$A$2:$BO$981,56,FALSE)</f>
        <v/>
      </c>
      <c r="AJ12" s="601" t="str">
        <f>VLOOKUP(F12,'2) Tracker'!$A$2:$BO$981,52,FALSE)</f>
        <v/>
      </c>
      <c r="AK12" s="601" t="str">
        <f>VLOOKUP(F12,'2) Tracker'!$A$2:$AQ$981,43,FALSE)</f>
        <v/>
      </c>
      <c r="AL12" s="601">
        <f>VLOOKUP(F12,'2) Tracker'!$A$2:$BH$981,46,FALSE())</f>
        <v>46151</v>
      </c>
      <c r="AM12" s="601" t="str">
        <f>VLOOKUP(F12,'2) Tracker'!$A$2:$BO$981,65,FALSE())</f>
        <v/>
      </c>
      <c r="AN12" s="601" t="str">
        <f>VLOOKUP(F12,'2) Tracker'!$A$2:$BK$981,63,FALSE())</f>
        <v/>
      </c>
      <c r="AO12" s="601" t="str">
        <f>VLOOKUP(F12,'2) Tracker'!$A$2:$BF$981,58,FALSE())</f>
        <v/>
      </c>
      <c r="AP12" s="46"/>
      <c r="AQ12" s="46"/>
      <c r="AR12" s="46"/>
      <c r="AS12" s="46"/>
      <c r="AT12" s="46"/>
      <c r="AU12" s="46"/>
      <c r="AV12" s="46"/>
      <c r="AW12" s="46"/>
      <c r="AX12" s="46"/>
      <c r="AY12" s="46"/>
      <c r="AZ12" s="563"/>
      <c r="BA12" s="569"/>
      <c r="BB12" s="563"/>
      <c r="BC12" s="569"/>
      <c r="BD12" s="563"/>
      <c r="BE12" s="46"/>
      <c r="BF12" s="46"/>
      <c r="BG12" s="563"/>
      <c r="BH12" s="563"/>
      <c r="BI12" s="563"/>
      <c r="BJ12" s="563"/>
    </row>
    <row r="13" spans="1:62" x14ac:dyDescent="0.25">
      <c r="B13" s="589">
        <f>VLOOKUP(F13,'2) Tracker'!$A$3:$O$411,5,FALSE)</f>
        <v>0</v>
      </c>
      <c r="C13" s="589">
        <f>VLOOKUP(F13,'2) Tracker'!$A$3:$O$411,4,FALSE)</f>
        <v>0</v>
      </c>
      <c r="D13" s="563"/>
      <c r="E13" s="563">
        <f>VLOOKUP(F13,'2) Tracker'!$A$3:$O$407,15,FALSE)</f>
        <v>0</v>
      </c>
      <c r="F13" s="604" t="s">
        <v>262</v>
      </c>
      <c r="G13" s="607">
        <f>VLOOKUP(F13,'2) Tracker'!$A$2:$BO$361,2,FALSE)</f>
        <v>39736</v>
      </c>
      <c r="H13" s="592">
        <f>VLOOKUP(F13,'2) Tracker'!$A$2:$BO$361,3,FALSE)</f>
        <v>82200</v>
      </c>
      <c r="I13" s="600" t="str">
        <f>VLOOKUP(F13,'2) Tracker'!$A$2:$BO$361,9,FALSE)</f>
        <v>SK Gas</v>
      </c>
      <c r="J13" s="594" t="str">
        <f>VLOOKUP(F13,'2) Tracker'!$A$2:$BO$361,12,FALSE)</f>
        <v>loads USG</v>
      </c>
      <c r="K13" s="595">
        <f t="shared" ref="K13:O13" si="23">AD13</f>
        <v>46132</v>
      </c>
      <c r="L13" s="595">
        <f t="shared" si="23"/>
        <v>46132</v>
      </c>
      <c r="M13" s="596">
        <f t="shared" si="23"/>
        <v>46164</v>
      </c>
      <c r="N13" s="596" t="str">
        <f t="shared" si="23"/>
        <v/>
      </c>
      <c r="O13" s="597" t="str">
        <f t="shared" si="23"/>
        <v/>
      </c>
      <c r="P13" s="598" t="str">
        <f>IFERROR(IF(VLOOKUP(F13,'Voyage days'!$M$808:$N$819,2,FALSE),"GOA",""),"")</f>
        <v/>
      </c>
      <c r="Q13" s="596" t="str">
        <f t="shared" ref="Q13:R13" si="24">AM13</f>
        <v/>
      </c>
      <c r="R13" s="595" t="str">
        <f t="shared" si="24"/>
        <v/>
      </c>
      <c r="S13" s="595">
        <f t="shared" si="2"/>
        <v>46152</v>
      </c>
      <c r="T13" s="596" t="str">
        <f t="shared" si="3"/>
        <v/>
      </c>
      <c r="U13" s="595" t="str">
        <f t="shared" si="4"/>
        <v/>
      </c>
      <c r="V13" s="570" t="s">
        <v>1577</v>
      </c>
      <c r="W13" s="596" t="str">
        <f t="shared" si="5"/>
        <v/>
      </c>
      <c r="X13" s="599" t="str">
        <f t="shared" si="6"/>
        <v/>
      </c>
      <c r="Y13" s="594"/>
      <c r="Z13" s="600" t="str">
        <f>VLOOKUP(F13,'2) Tracker'!$A$3:$Q$505,16,FALSE)</f>
        <v>ETA USG 20 Apr via Cape</v>
      </c>
      <c r="AA13" s="600" t="str">
        <f>VLOOKUP(F13,'2) Tracker'!$A$3:$R$505,18,FALSE)</f>
        <v>SK Gas 20-21 Apr USG</v>
      </c>
      <c r="AB13" s="600">
        <f>VLOOKUP(F13,'2) Tracker'!$A$3:$Q$505,17,FALSE)</f>
        <v>0</v>
      </c>
      <c r="AC13" s="601"/>
      <c r="AD13" s="601">
        <f>VLOOKUP(F13,'2) Tracker'!$A$2:$BO$981,37,FALSE)</f>
        <v>46132</v>
      </c>
      <c r="AE13" s="601">
        <f>VLOOKUP(F13,'2) Tracker'!$A$2:$BO$981,40,FALSE)</f>
        <v>46132</v>
      </c>
      <c r="AF13" s="601">
        <f>VLOOKUP(F13,'2) Tracker'!$A$2:$BO$981,67,FALSE)</f>
        <v>46164</v>
      </c>
      <c r="AG13" s="601" t="str">
        <f>VLOOKUP(F13,'2) Tracker'!$A$2:$BO$981,34,FALSE)</f>
        <v/>
      </c>
      <c r="AH13" s="601" t="str">
        <f>VLOOKUP(F13,'2) Tracker'!$A$2:$BN$981,66,FALSE)</f>
        <v/>
      </c>
      <c r="AI13" s="601" t="str">
        <f>VLOOKUP(F13,'2) Tracker'!$A$2:$BO$981,56,FALSE)</f>
        <v/>
      </c>
      <c r="AJ13" s="601" t="str">
        <f>VLOOKUP(F13,'2) Tracker'!$A$2:$BO$981,52,FALSE)</f>
        <v/>
      </c>
      <c r="AK13" s="601" t="str">
        <f>VLOOKUP(F13,'2) Tracker'!$A$2:$AQ$981,43,FALSE)</f>
        <v/>
      </c>
      <c r="AL13" s="601">
        <f>VLOOKUP(F13,'2) Tracker'!$A$2:$BH$981,46,FALSE())</f>
        <v>46152</v>
      </c>
      <c r="AM13" s="601" t="str">
        <f>VLOOKUP(F13,'2) Tracker'!$A$2:$BO$981,65,FALSE())</f>
        <v/>
      </c>
      <c r="AN13" s="601" t="str">
        <f>VLOOKUP(F13,'2) Tracker'!$A$2:$BK$981,63,FALSE())</f>
        <v/>
      </c>
      <c r="AO13" s="601" t="str">
        <f>VLOOKUP(F13,'2) Tracker'!$A$2:$BF$981,58,FALSE())</f>
        <v/>
      </c>
      <c r="AP13" s="46"/>
      <c r="AQ13" s="46"/>
      <c r="AR13" s="46"/>
      <c r="AS13" s="46"/>
      <c r="AT13" s="46"/>
      <c r="AU13" s="46"/>
      <c r="AV13" s="46"/>
      <c r="AW13" s="46"/>
      <c r="AX13" s="46"/>
      <c r="AY13" s="46"/>
      <c r="AZ13" s="563"/>
      <c r="BA13" s="569"/>
      <c r="BB13" s="563"/>
      <c r="BC13" s="569"/>
      <c r="BD13" s="563"/>
      <c r="BE13" s="46"/>
      <c r="BF13" s="46"/>
      <c r="BG13" s="563"/>
      <c r="BH13" s="563"/>
      <c r="BI13" s="563"/>
      <c r="BJ13" s="563"/>
    </row>
    <row r="14" spans="1:62" x14ac:dyDescent="0.25">
      <c r="B14" s="589">
        <f>VLOOKUP(F14,'2) Tracker'!$A$3:$O$411,5,FALSE)</f>
        <v>0</v>
      </c>
      <c r="C14" s="589">
        <f>VLOOKUP(F14,'2) Tracker'!$A$3:$O$411,4,FALSE)</f>
        <v>0</v>
      </c>
      <c r="D14" s="563"/>
      <c r="E14" s="563">
        <f>VLOOKUP(F14,'2) Tracker'!$A$3:$O$407,15,FALSE)</f>
        <v>0</v>
      </c>
      <c r="F14" s="604" t="s">
        <v>602</v>
      </c>
      <c r="G14" s="607">
        <f>VLOOKUP(F14,'2) Tracker'!$A$2:$BO$361,2,FALSE)</f>
        <v>42550</v>
      </c>
      <c r="H14" s="592">
        <f>VLOOKUP(F14,'2) Tracker'!$A$2:$BO$361,3,FALSE)</f>
        <v>84000</v>
      </c>
      <c r="I14" s="600" t="str">
        <f>VLOOKUP(F14,'2) Tracker'!$A$2:$BO$361,9,FALSE)</f>
        <v>OE</v>
      </c>
      <c r="J14" s="594" t="str">
        <f>VLOOKUP(F14,'2) Tracker'!$A$2:$BO$361,12,FALSE)</f>
        <v>loads USG</v>
      </c>
      <c r="K14" s="596">
        <f t="shared" ref="K14:O14" si="25">AD14</f>
        <v>46132</v>
      </c>
      <c r="L14" s="595">
        <f t="shared" si="25"/>
        <v>46132</v>
      </c>
      <c r="M14" s="596">
        <f t="shared" si="25"/>
        <v>46164</v>
      </c>
      <c r="N14" s="597" t="str">
        <f t="shared" si="25"/>
        <v/>
      </c>
      <c r="O14" s="597" t="str">
        <f t="shared" si="25"/>
        <v/>
      </c>
      <c r="P14" s="598" t="str">
        <f>IFERROR(IF(VLOOKUP(F14,'Voyage days'!$M$808:$N$819,2,FALSE),"GOA",""),"")</f>
        <v/>
      </c>
      <c r="Q14" s="596" t="str">
        <f t="shared" ref="Q14:R14" si="26">AM14</f>
        <v/>
      </c>
      <c r="R14" s="596" t="str">
        <f t="shared" si="26"/>
        <v/>
      </c>
      <c r="S14" s="595">
        <f t="shared" si="2"/>
        <v>46152</v>
      </c>
      <c r="T14" s="596" t="str">
        <f t="shared" si="3"/>
        <v/>
      </c>
      <c r="U14" s="596" t="str">
        <f t="shared" si="4"/>
        <v/>
      </c>
      <c r="V14" s="596"/>
      <c r="W14" s="596" t="str">
        <f t="shared" si="5"/>
        <v/>
      </c>
      <c r="X14" s="599" t="str">
        <f t="shared" si="6"/>
        <v/>
      </c>
      <c r="Y14" s="614"/>
      <c r="Z14" s="600" t="str">
        <f>VLOOKUP(F14,'2) Tracker'!$A$3:$Q$505,16,FALSE)</f>
        <v>ETA 18 Apr USG, waiting to berth</v>
      </c>
      <c r="AA14" s="600" t="str">
        <f>VLOOKUP(F14,'2) Tracker'!$A$3:$R$505,18,FALSE)</f>
        <v>ATC 15-16 Apr USG</v>
      </c>
      <c r="AB14" s="600">
        <f>VLOOKUP(F14,'2) Tracker'!$A$3:$Q$505,17,FALSE)</f>
        <v>0</v>
      </c>
      <c r="AC14" s="601"/>
      <c r="AD14" s="601">
        <f>VLOOKUP(F14,'2) Tracker'!$A$2:$BO$981,37,FALSE)</f>
        <v>46132</v>
      </c>
      <c r="AE14" s="601">
        <f>VLOOKUP(F14,'2) Tracker'!$A$2:$BO$981,40,FALSE)</f>
        <v>46132</v>
      </c>
      <c r="AF14" s="601">
        <f>VLOOKUP(F14,'2) Tracker'!$A$2:$BO$981,67,FALSE)</f>
        <v>46164</v>
      </c>
      <c r="AG14" s="601" t="str">
        <f>VLOOKUP(F14,'2) Tracker'!$A$2:$BO$981,34,FALSE)</f>
        <v/>
      </c>
      <c r="AH14" s="601" t="str">
        <f>VLOOKUP(F14,'2) Tracker'!$A$2:$BN$981,66,FALSE)</f>
        <v/>
      </c>
      <c r="AI14" s="601" t="str">
        <f>VLOOKUP(F14,'2) Tracker'!$A$2:$BO$981,56,FALSE)</f>
        <v/>
      </c>
      <c r="AJ14" s="601" t="str">
        <f>VLOOKUP(F14,'2) Tracker'!$A$2:$BO$981,52,FALSE)</f>
        <v/>
      </c>
      <c r="AK14" s="601" t="str">
        <f>VLOOKUP(F14,'2) Tracker'!$A$2:$AQ$981,43,FALSE)</f>
        <v/>
      </c>
      <c r="AL14" s="601">
        <f>VLOOKUP(F14,'2) Tracker'!$A$2:$BH$981,46,FALSE())</f>
        <v>46152</v>
      </c>
      <c r="AM14" s="601" t="str">
        <f>VLOOKUP(F14,'2) Tracker'!$A$2:$BO$981,65,FALSE())</f>
        <v/>
      </c>
      <c r="AN14" s="601" t="str">
        <f>VLOOKUP(F14,'2) Tracker'!$A$2:$BK$981,63,FALSE())</f>
        <v/>
      </c>
      <c r="AO14" s="601" t="str">
        <f>VLOOKUP(F14,'2) Tracker'!$A$2:$BF$981,58,FALSE())</f>
        <v/>
      </c>
      <c r="AP14" s="46"/>
      <c r="AQ14" s="46"/>
      <c r="AR14" s="46"/>
      <c r="AS14" s="46"/>
      <c r="AT14" s="46"/>
      <c r="AU14" s="46"/>
      <c r="AV14" s="613"/>
      <c r="AW14" s="46"/>
      <c r="AX14" s="46"/>
      <c r="AY14" s="46"/>
      <c r="AZ14" s="563"/>
      <c r="BA14" s="569"/>
      <c r="BB14" s="563"/>
      <c r="BC14" s="569"/>
      <c r="BD14" s="563"/>
      <c r="BE14" s="46"/>
      <c r="BF14" s="46"/>
      <c r="BG14" s="563"/>
      <c r="BH14" s="563"/>
      <c r="BI14" s="563"/>
      <c r="BJ14" s="563"/>
    </row>
    <row r="15" spans="1:62" x14ac:dyDescent="0.25">
      <c r="B15" s="589">
        <f>VLOOKUP(F15,'2) Tracker'!$A$3:$O$411,5,FALSE)</f>
        <v>0</v>
      </c>
      <c r="C15" s="589">
        <f>VLOOKUP(F15,'2) Tracker'!$A$3:$O$411,4,FALSE)</f>
        <v>0</v>
      </c>
      <c r="D15" s="563"/>
      <c r="E15" s="563">
        <f>VLOOKUP(F15,'2) Tracker'!$A$3:$O$407,15,FALSE)</f>
        <v>0</v>
      </c>
      <c r="F15" s="604" t="s">
        <v>501</v>
      </c>
      <c r="G15" s="615">
        <f>VLOOKUP(F15,'2) Tracker'!$A$2:$BO$361,2,FALSE)</f>
        <v>2009</v>
      </c>
      <c r="H15" s="592">
        <f>VLOOKUP(F15,'2) Tracker'!$A$2:$BO$361,3,FALSE)</f>
        <v>83300</v>
      </c>
      <c r="I15" s="600" t="str">
        <f>VLOOKUP(F15,'2) Tracker'!$A$2:$BO$361,9,FALSE)</f>
        <v>Gyxis</v>
      </c>
      <c r="J15" s="594" t="str">
        <f>VLOOKUP(F15,'2) Tracker'!$A$2:$BO$361,12,FALSE)</f>
        <v>loads USG</v>
      </c>
      <c r="K15" s="596">
        <f t="shared" ref="K15:O15" si="27">AD15</f>
        <v>46132</v>
      </c>
      <c r="L15" s="596">
        <f t="shared" si="27"/>
        <v>46132</v>
      </c>
      <c r="M15" s="596">
        <f t="shared" si="27"/>
        <v>46164</v>
      </c>
      <c r="N15" s="596" t="str">
        <f t="shared" si="27"/>
        <v/>
      </c>
      <c r="O15" s="597" t="str">
        <f t="shared" si="27"/>
        <v/>
      </c>
      <c r="P15" s="598" t="str">
        <f>IFERROR(IF(VLOOKUP(F15,'Voyage days'!$M$808:$N$819,2,FALSE),"GOA",""),"")</f>
        <v/>
      </c>
      <c r="Q15" s="596" t="str">
        <f t="shared" ref="Q15:R15" si="28">AM15</f>
        <v/>
      </c>
      <c r="R15" s="596" t="str">
        <f t="shared" si="28"/>
        <v/>
      </c>
      <c r="S15" s="595">
        <f t="shared" si="2"/>
        <v>46152</v>
      </c>
      <c r="T15" s="596" t="str">
        <f t="shared" si="3"/>
        <v/>
      </c>
      <c r="U15" s="596" t="str">
        <f t="shared" si="4"/>
        <v/>
      </c>
      <c r="V15" s="596"/>
      <c r="W15" s="596" t="str">
        <f t="shared" si="5"/>
        <v/>
      </c>
      <c r="X15" s="599" t="str">
        <f t="shared" si="6"/>
        <v/>
      </c>
      <c r="Y15" s="594"/>
      <c r="Z15" s="600" t="str">
        <f>VLOOKUP(F15,'2) Tracker'!$A$3:$Q$505,16,FALSE)</f>
        <v>@ Houston 16 Apr. waiting to berth</v>
      </c>
      <c r="AA15" s="600" t="str">
        <f>VLOOKUP(F15,'2) Tracker'!$A$3:$R$505,18,FALSE)</f>
        <v>Gyxis 16-17 Apr USG</v>
      </c>
      <c r="AB15" s="600">
        <f>VLOOKUP(F15,'2) Tracker'!$A$3:$Q$505,17,FALSE)</f>
        <v>0</v>
      </c>
      <c r="AC15" s="601"/>
      <c r="AD15" s="601">
        <f>VLOOKUP(F15,'2) Tracker'!$A$2:$BO$981,37,FALSE)</f>
        <v>46132</v>
      </c>
      <c r="AE15" s="601">
        <f>VLOOKUP(F15,'2) Tracker'!$A$2:$BO$981,40,FALSE)</f>
        <v>46132</v>
      </c>
      <c r="AF15" s="601">
        <f>VLOOKUP(F15,'2) Tracker'!$A$2:$BO$981,67,FALSE)</f>
        <v>46164</v>
      </c>
      <c r="AG15" s="601" t="str">
        <f>VLOOKUP(F15,'2) Tracker'!$A$2:$BO$981,34,FALSE)</f>
        <v/>
      </c>
      <c r="AH15" s="601" t="str">
        <f>VLOOKUP(F15,'2) Tracker'!$A$2:$BN$981,66,FALSE)</f>
        <v/>
      </c>
      <c r="AI15" s="601" t="str">
        <f>VLOOKUP(F15,'2) Tracker'!$A$2:$BO$981,56,FALSE)</f>
        <v/>
      </c>
      <c r="AJ15" s="601" t="str">
        <f>VLOOKUP(F15,'2) Tracker'!$A$2:$BO$981,52,FALSE)</f>
        <v/>
      </c>
      <c r="AK15" s="601" t="str">
        <f>VLOOKUP(F15,'2) Tracker'!$A$2:$AQ$981,43,FALSE)</f>
        <v/>
      </c>
      <c r="AL15" s="601">
        <f>VLOOKUP(F15,'2) Tracker'!$A$2:$BH$981,46,FALSE())</f>
        <v>46152</v>
      </c>
      <c r="AM15" s="601" t="str">
        <f>VLOOKUP(F15,'2) Tracker'!$A$2:$BO$981,65,FALSE())</f>
        <v/>
      </c>
      <c r="AN15" s="601" t="str">
        <f>VLOOKUP(F15,'2) Tracker'!$A$2:$BK$981,63,FALSE())</f>
        <v/>
      </c>
      <c r="AO15" s="601" t="str">
        <f>VLOOKUP(F15,'2) Tracker'!$A$2:$BF$981,58,FALSE())</f>
        <v/>
      </c>
      <c r="AP15" s="46"/>
      <c r="AQ15" s="46"/>
      <c r="AR15" s="46"/>
      <c r="AS15" s="46"/>
      <c r="AT15" s="46"/>
      <c r="AU15" s="46"/>
      <c r="AV15" s="572" t="s">
        <v>1565</v>
      </c>
      <c r="AW15" s="46"/>
      <c r="AX15" s="46"/>
      <c r="AY15" s="46"/>
      <c r="AZ15" s="605"/>
      <c r="BA15" s="604" t="e">
        <f>VLOOKUP(AZ15,#REF!,2, FALSE)</f>
        <v>#REF!</v>
      </c>
      <c r="BB15" s="605" t="e">
        <f>VLOOKUP(AZ15,'1) Kpler'!$E$2:$F$500,2,FALSE)</f>
        <v>#N/A</v>
      </c>
      <c r="BC15" s="604" t="s">
        <v>1588</v>
      </c>
      <c r="BD15" s="605"/>
      <c r="BE15" s="46"/>
      <c r="BF15" s="46"/>
      <c r="BG15" s="605"/>
      <c r="BH15" s="605"/>
      <c r="BI15" s="605"/>
      <c r="BJ15" s="605"/>
    </row>
    <row r="16" spans="1:62" x14ac:dyDescent="0.25">
      <c r="B16" s="589" t="str">
        <f>VLOOKUP(F16,'2) Tracker'!$A$3:$O$411,5,FALSE)</f>
        <v>C</v>
      </c>
      <c r="C16" s="589">
        <f>VLOOKUP(F16,'2) Tracker'!$A$3:$O$411,4,FALSE)</f>
        <v>0</v>
      </c>
      <c r="D16" s="563"/>
      <c r="E16" s="563">
        <f>VLOOKUP(F16,'2) Tracker'!$A$3:$O$407,15,FALSE)</f>
        <v>0</v>
      </c>
      <c r="F16" s="604" t="s">
        <v>531</v>
      </c>
      <c r="G16" s="607">
        <f>VLOOKUP(F16,'2) Tracker'!$A$2:$BO$361,2,FALSE)</f>
        <v>42571</v>
      </c>
      <c r="H16" s="592">
        <f>VLOOKUP(F16,'2) Tracker'!$A$2:$BO$361,3,FALSE)</f>
        <v>84000</v>
      </c>
      <c r="I16" s="600" t="str">
        <f>VLOOKUP(F16,'2) Tracker'!$A$2:$BO$361,9,FALSE)</f>
        <v>OE</v>
      </c>
      <c r="J16" s="594" t="str">
        <f>VLOOKUP(F16,'2) Tracker'!$A$2:$BO$361,12,FALSE)</f>
        <v>loads USG</v>
      </c>
      <c r="K16" s="596">
        <f t="shared" ref="K16:O16" si="29">AD16</f>
        <v>46132</v>
      </c>
      <c r="L16" s="596">
        <f t="shared" si="29"/>
        <v>46132</v>
      </c>
      <c r="M16" s="596">
        <f t="shared" si="29"/>
        <v>46164</v>
      </c>
      <c r="N16" s="596" t="str">
        <f t="shared" si="29"/>
        <v/>
      </c>
      <c r="O16" s="597" t="str">
        <f t="shared" si="29"/>
        <v/>
      </c>
      <c r="P16" s="598" t="str">
        <f>IFERROR(IF(VLOOKUP(F16,'Voyage days'!$M$808:$N$819,2,FALSE),"GOA",""),"")</f>
        <v/>
      </c>
      <c r="Q16" s="596" t="str">
        <f t="shared" ref="Q16:R16" si="30">AM16</f>
        <v/>
      </c>
      <c r="R16" s="596" t="str">
        <f t="shared" si="30"/>
        <v/>
      </c>
      <c r="S16" s="595">
        <f t="shared" si="2"/>
        <v>46152</v>
      </c>
      <c r="T16" s="596" t="str">
        <f t="shared" si="3"/>
        <v/>
      </c>
      <c r="U16" s="596" t="str">
        <f t="shared" si="4"/>
        <v/>
      </c>
      <c r="V16" s="596"/>
      <c r="W16" s="596" t="str">
        <f t="shared" si="5"/>
        <v/>
      </c>
      <c r="X16" s="599" t="str">
        <f t="shared" si="6"/>
        <v/>
      </c>
      <c r="Y16" s="614"/>
      <c r="Z16" s="600" t="str">
        <f>VLOOKUP(F16,'2) Tracker'!$A$3:$Q$505,16,FALSE)</f>
        <v>ETA USG 17 Apr via Cape, waiting to berth</v>
      </c>
      <c r="AA16" s="600" t="str">
        <f>VLOOKUP(F16,'2) Tracker'!$A$3:$R$505,18,FALSE)</f>
        <v>Gunvor 18-19 Apr USG</v>
      </c>
      <c r="AB16" s="600">
        <f>VLOOKUP(F16,'2) Tracker'!$A$3:$Q$505,17,FALSE)</f>
        <v>0</v>
      </c>
      <c r="AC16" s="601"/>
      <c r="AD16" s="601">
        <f>VLOOKUP(F16,'2) Tracker'!$A$2:$BO$981,37,FALSE)</f>
        <v>46132</v>
      </c>
      <c r="AE16" s="601">
        <f>VLOOKUP(F16,'2) Tracker'!$A$2:$BO$981,40,FALSE)</f>
        <v>46132</v>
      </c>
      <c r="AF16" s="601">
        <f>VLOOKUP(F16,'2) Tracker'!$A$2:$BO$981,67,FALSE)</f>
        <v>46164</v>
      </c>
      <c r="AG16" s="601" t="str">
        <f>VLOOKUP(F16,'2) Tracker'!$A$2:$BO$981,34,FALSE)</f>
        <v/>
      </c>
      <c r="AH16" s="601" t="str">
        <f>VLOOKUP(F16,'2) Tracker'!$A$2:$BN$981,66,FALSE)</f>
        <v/>
      </c>
      <c r="AI16" s="601" t="str">
        <f>VLOOKUP(F16,'2) Tracker'!$A$2:$BO$981,56,FALSE)</f>
        <v/>
      </c>
      <c r="AJ16" s="601" t="str">
        <f>VLOOKUP(F16,'2) Tracker'!$A$2:$BO$981,52,FALSE)</f>
        <v/>
      </c>
      <c r="AK16" s="601" t="str">
        <f>VLOOKUP(F16,'2) Tracker'!$A$2:$AQ$981,43,FALSE)</f>
        <v/>
      </c>
      <c r="AL16" s="601">
        <f>VLOOKUP(F16,'2) Tracker'!$A$2:$BH$981,46,FALSE())</f>
        <v>46152</v>
      </c>
      <c r="AM16" s="601" t="str">
        <f>VLOOKUP(F16,'2) Tracker'!$A$2:$BO$981,65,FALSE())</f>
        <v/>
      </c>
      <c r="AN16" s="601" t="str">
        <f>VLOOKUP(F16,'2) Tracker'!$A$2:$BK$981,63,FALSE())</f>
        <v/>
      </c>
      <c r="AO16" s="601" t="str">
        <f>VLOOKUP(F16,'2) Tracker'!$A$2:$BF$981,58,FALSE())</f>
        <v/>
      </c>
      <c r="AP16" s="46"/>
      <c r="AQ16" s="46"/>
      <c r="AR16" s="46"/>
      <c r="AS16" s="46"/>
      <c r="AT16" s="46"/>
      <c r="AU16" s="46"/>
      <c r="AV16" s="46"/>
      <c r="AW16" s="46"/>
      <c r="AX16" s="46"/>
      <c r="AY16" s="46"/>
      <c r="AZ16" s="563"/>
      <c r="BA16" s="569"/>
      <c r="BB16" s="563"/>
      <c r="BC16" s="569"/>
      <c r="BD16" s="563"/>
      <c r="BE16" s="46"/>
      <c r="BF16" s="46"/>
      <c r="BG16" s="563"/>
      <c r="BH16" s="563"/>
      <c r="BI16" s="563"/>
      <c r="BJ16" s="563"/>
    </row>
    <row r="17" spans="2:62" x14ac:dyDescent="0.25">
      <c r="B17" s="589">
        <f>VLOOKUP(F17,'2) Tracker'!$A$3:$O$411,5,FALSE)</f>
        <v>0</v>
      </c>
      <c r="C17" s="589">
        <f>VLOOKUP(F17,'2) Tracker'!$A$3:$O$411,4,FALSE)</f>
        <v>0</v>
      </c>
      <c r="D17" s="563"/>
      <c r="E17" s="563">
        <f>VLOOKUP(F17,'2) Tracker'!$A$3:$O$407,15,FALSE)</f>
        <v>0</v>
      </c>
      <c r="F17" s="608" t="s">
        <v>379</v>
      </c>
      <c r="G17" s="607">
        <f>VLOOKUP(F17,'2) Tracker'!$A$2:$BO$361,2,FALSE)</f>
        <v>42339</v>
      </c>
      <c r="H17" s="592">
        <f>VLOOKUP(F17,'2) Tracker'!$A$2:$BO$361,3,FALSE)</f>
        <v>84000</v>
      </c>
      <c r="I17" s="593" t="str">
        <f>VLOOKUP(F17,'2) Tracker'!$A$2:$BO$361,9,FALSE)</f>
        <v>Total</v>
      </c>
      <c r="J17" s="594" t="str">
        <f>VLOOKUP(F17,'2) Tracker'!$A$2:$BO$361,12,FALSE)</f>
        <v>loads USG</v>
      </c>
      <c r="K17" s="596">
        <f t="shared" ref="K17:O17" si="31">AD17</f>
        <v>46132</v>
      </c>
      <c r="L17" s="596">
        <f t="shared" si="31"/>
        <v>46132</v>
      </c>
      <c r="M17" s="596">
        <f t="shared" si="31"/>
        <v>46164</v>
      </c>
      <c r="N17" s="596" t="str">
        <f t="shared" si="31"/>
        <v/>
      </c>
      <c r="O17" s="597" t="str">
        <f t="shared" si="31"/>
        <v/>
      </c>
      <c r="P17" s="598" t="str">
        <f>IFERROR(IF(VLOOKUP(F17,'Voyage days'!$M$808:$N$819,2,FALSE),"GOA",""),"")</f>
        <v/>
      </c>
      <c r="Q17" s="596" t="str">
        <f t="shared" ref="Q17:R17" si="32">AM17</f>
        <v/>
      </c>
      <c r="R17" s="596" t="str">
        <f t="shared" si="32"/>
        <v/>
      </c>
      <c r="S17" s="595">
        <f t="shared" si="2"/>
        <v>46152</v>
      </c>
      <c r="T17" s="596" t="str">
        <f t="shared" si="3"/>
        <v/>
      </c>
      <c r="U17" s="596" t="str">
        <f t="shared" si="4"/>
        <v/>
      </c>
      <c r="V17" s="596"/>
      <c r="W17" s="596" t="str">
        <f t="shared" si="5"/>
        <v/>
      </c>
      <c r="X17" s="599" t="str">
        <f t="shared" si="6"/>
        <v/>
      </c>
      <c r="Y17" s="594"/>
      <c r="Z17" s="600" t="str">
        <f>VLOOKUP(F17,'2) Tracker'!$A$3:$Q$505,16,FALSE)</f>
        <v xml:space="preserve">ETA Nederland 20 Apr via Cape </v>
      </c>
      <c r="AA17" s="600" t="str">
        <f>VLOOKUP(F17,'2) Tracker'!$A$3:$R$505,18,FALSE)</f>
        <v>Total 18-19 Apr Nederland</v>
      </c>
      <c r="AB17" s="600">
        <f>VLOOKUP(F17,'2) Tracker'!$A$3:$Q$505,17,FALSE)</f>
        <v>0</v>
      </c>
      <c r="AC17" s="601"/>
      <c r="AD17" s="601">
        <f>VLOOKUP(F17,'2) Tracker'!$A$2:$BO$981,37,FALSE)</f>
        <v>46132</v>
      </c>
      <c r="AE17" s="601">
        <f>VLOOKUP(F17,'2) Tracker'!$A$2:$BO$981,40,FALSE)</f>
        <v>46132</v>
      </c>
      <c r="AF17" s="601">
        <f>VLOOKUP(F17,'2) Tracker'!$A$2:$BO$981,67,FALSE)</f>
        <v>46164</v>
      </c>
      <c r="AG17" s="601" t="str">
        <f>VLOOKUP(F17,'2) Tracker'!$A$2:$BO$981,34,FALSE)</f>
        <v/>
      </c>
      <c r="AH17" s="601" t="str">
        <f>VLOOKUP(F17,'2) Tracker'!$A$2:$BN$981,66,FALSE)</f>
        <v/>
      </c>
      <c r="AI17" s="601" t="str">
        <f>VLOOKUP(F17,'2) Tracker'!$A$2:$BO$981,56,FALSE)</f>
        <v/>
      </c>
      <c r="AJ17" s="601" t="str">
        <f>VLOOKUP(F17,'2) Tracker'!$A$2:$BO$981,52,FALSE)</f>
        <v/>
      </c>
      <c r="AK17" s="601" t="str">
        <f>VLOOKUP(F17,'2) Tracker'!$A$2:$AQ$981,43,FALSE)</f>
        <v/>
      </c>
      <c r="AL17" s="601">
        <f>VLOOKUP(F17,'2) Tracker'!$A$2:$BH$981,46,FALSE())</f>
        <v>46152</v>
      </c>
      <c r="AM17" s="601" t="str">
        <f>VLOOKUP(F17,'2) Tracker'!$A$2:$BO$981,65,FALSE())</f>
        <v/>
      </c>
      <c r="AN17" s="601" t="str">
        <f>VLOOKUP(F17,'2) Tracker'!$A$2:$BK$981,63,FALSE())</f>
        <v/>
      </c>
      <c r="AO17" s="601" t="str">
        <f>VLOOKUP(F17,'2) Tracker'!$A$2:$BF$981,58,FALSE())</f>
        <v/>
      </c>
      <c r="AP17" s="46"/>
      <c r="AQ17" s="46"/>
      <c r="AR17" s="46"/>
      <c r="AS17" s="46"/>
      <c r="AT17" s="46"/>
      <c r="AU17" s="46"/>
      <c r="AV17" s="46"/>
      <c r="AW17" s="46"/>
      <c r="AX17" s="46"/>
      <c r="AY17" s="46"/>
      <c r="AZ17" s="563"/>
      <c r="BA17" s="569"/>
      <c r="BB17" s="563"/>
      <c r="BC17" s="569"/>
      <c r="BD17" s="563"/>
      <c r="BE17" s="46"/>
      <c r="BF17" s="46"/>
      <c r="BG17" s="563"/>
      <c r="BH17" s="563"/>
      <c r="BI17" s="563"/>
      <c r="BJ17" s="563"/>
    </row>
    <row r="18" spans="2:62" x14ac:dyDescent="0.25">
      <c r="B18" s="589">
        <f>VLOOKUP(F18,'2) Tracker'!$A$3:$O$411,5,FALSE)</f>
        <v>0</v>
      </c>
      <c r="C18" s="589">
        <f>VLOOKUP(F18,'2) Tracker'!$A$3:$O$411,4,FALSE)</f>
        <v>0</v>
      </c>
      <c r="D18" s="563"/>
      <c r="E18" s="563">
        <f>VLOOKUP(F18,'2) Tracker'!$A$3:$O$407,15,FALSE)</f>
        <v>0</v>
      </c>
      <c r="F18" s="604" t="s">
        <v>477</v>
      </c>
      <c r="G18" s="591">
        <f>VLOOKUP(F18,'2) Tracker'!$A$2:$BO$361,2,FALSE)</f>
        <v>2022</v>
      </c>
      <c r="H18" s="592">
        <f>VLOOKUP(F18,'2) Tracker'!$A$2:$BO$361,3,FALSE)</f>
        <v>84000</v>
      </c>
      <c r="I18" s="594" t="str">
        <f>VLOOKUP(F18,'2) Tracker'!$A$2:$BO$361,9,FALSE)</f>
        <v>AGT</v>
      </c>
      <c r="J18" s="594" t="str">
        <f>VLOOKUP(F18,'2) Tracker'!$A$2:$BO$361,12,FALSE)</f>
        <v>loads USG</v>
      </c>
      <c r="K18" s="596">
        <f t="shared" ref="K18:O18" si="33">AD18</f>
        <v>46132</v>
      </c>
      <c r="L18" s="596">
        <f t="shared" si="33"/>
        <v>46132</v>
      </c>
      <c r="M18" s="596">
        <f t="shared" si="33"/>
        <v>46164</v>
      </c>
      <c r="N18" s="596" t="str">
        <f t="shared" si="33"/>
        <v/>
      </c>
      <c r="O18" s="597" t="str">
        <f t="shared" si="33"/>
        <v/>
      </c>
      <c r="P18" s="598" t="str">
        <f>IFERROR(IF(VLOOKUP(F18,'Voyage days'!$M$808:$N$819,2,FALSE),"GOA",""),"")</f>
        <v/>
      </c>
      <c r="Q18" s="596" t="str">
        <f t="shared" ref="Q18:R18" si="34">AM18</f>
        <v/>
      </c>
      <c r="R18" s="596" t="str">
        <f t="shared" si="34"/>
        <v/>
      </c>
      <c r="S18" s="595">
        <f t="shared" si="2"/>
        <v>46152</v>
      </c>
      <c r="T18" s="596" t="str">
        <f t="shared" si="3"/>
        <v/>
      </c>
      <c r="U18" s="596" t="str">
        <f t="shared" si="4"/>
        <v/>
      </c>
      <c r="V18" s="596"/>
      <c r="W18" s="596" t="str">
        <f t="shared" si="5"/>
        <v/>
      </c>
      <c r="X18" s="599" t="str">
        <f t="shared" si="6"/>
        <v/>
      </c>
      <c r="Y18" s="594"/>
      <c r="Z18" s="600" t="str">
        <f>VLOOKUP(F18,'2) Tracker'!$A$3:$Q$505,16,FALSE)</f>
        <v>ETA USG 20 Apr via Cape</v>
      </c>
      <c r="AA18" s="600" t="str">
        <f>VLOOKUP(F18,'2) Tracker'!$A$3:$R$505,18,FALSE)</f>
        <v>AGT 17-18 Apr USG (delay)?</v>
      </c>
      <c r="AB18" s="600">
        <f>VLOOKUP(F18,'2) Tracker'!$A$3:$Q$505,17,FALSE)</f>
        <v>0</v>
      </c>
      <c r="AC18" s="601"/>
      <c r="AD18" s="601">
        <f>VLOOKUP(F18,'2) Tracker'!$A$2:$BO$981,37,FALSE)</f>
        <v>46132</v>
      </c>
      <c r="AE18" s="601">
        <f>VLOOKUP(F18,'2) Tracker'!$A$2:$BO$981,40,FALSE)</f>
        <v>46132</v>
      </c>
      <c r="AF18" s="601">
        <f>VLOOKUP(F18,'2) Tracker'!$A$2:$BO$981,67,FALSE)</f>
        <v>46164</v>
      </c>
      <c r="AG18" s="601" t="str">
        <f>VLOOKUP(F18,'2) Tracker'!$A$2:$BO$981,34,FALSE)</f>
        <v/>
      </c>
      <c r="AH18" s="601" t="str">
        <f>VLOOKUP(F18,'2) Tracker'!$A$2:$BN$981,66,FALSE)</f>
        <v/>
      </c>
      <c r="AI18" s="601" t="str">
        <f>VLOOKUP(F18,'2) Tracker'!$A$2:$BO$981,56,FALSE)</f>
        <v/>
      </c>
      <c r="AJ18" s="601" t="str">
        <f>VLOOKUP(F18,'2) Tracker'!$A$2:$BO$981,52,FALSE)</f>
        <v/>
      </c>
      <c r="AK18" s="601" t="str">
        <f>VLOOKUP(F18,'2) Tracker'!$A$2:$AQ$981,43,FALSE)</f>
        <v/>
      </c>
      <c r="AL18" s="601">
        <f>VLOOKUP(F18,'2) Tracker'!$A$2:$BH$981,46,FALSE())</f>
        <v>46152</v>
      </c>
      <c r="AM18" s="601" t="str">
        <f>VLOOKUP(F18,'2) Tracker'!$A$2:$BO$981,65,FALSE())</f>
        <v/>
      </c>
      <c r="AN18" s="601" t="str">
        <f>VLOOKUP(F18,'2) Tracker'!$A$2:$BK$981,63,FALSE())</f>
        <v/>
      </c>
      <c r="AO18" s="601" t="str">
        <f>VLOOKUP(F18,'2) Tracker'!$A$2:$BF$981,58,FALSE())</f>
        <v/>
      </c>
      <c r="AP18" s="46"/>
      <c r="AQ18" s="46"/>
      <c r="AR18" s="46"/>
      <c r="AS18" s="46"/>
      <c r="AT18" s="46"/>
      <c r="AU18" s="46"/>
      <c r="AV18" s="46"/>
      <c r="AW18" s="46"/>
      <c r="AX18" s="46"/>
      <c r="AY18" s="46"/>
      <c r="AZ18" s="563"/>
      <c r="BA18" s="604" t="e">
        <f>VLOOKUP(AZ18,#REF!,2, FALSE)</f>
        <v>#REF!</v>
      </c>
      <c r="BB18" s="605" t="e">
        <f>VLOOKUP(AZ18,'1) Kpler'!$E$2:$F$500,2,FALSE)</f>
        <v>#N/A</v>
      </c>
      <c r="BC18" s="569"/>
      <c r="BD18" s="563"/>
      <c r="BE18" s="46"/>
      <c r="BF18" s="46"/>
      <c r="BG18" s="563"/>
      <c r="BH18" s="563"/>
      <c r="BI18" s="563"/>
      <c r="BJ18" s="563"/>
    </row>
    <row r="19" spans="2:62" ht="15" customHeight="1" x14ac:dyDescent="0.25">
      <c r="B19" s="589">
        <f>VLOOKUP(F19,'2) Tracker'!$A$3:$O$411,5,FALSE)</f>
        <v>0</v>
      </c>
      <c r="C19" s="589">
        <f>VLOOKUP(F19,'2) Tracker'!$A$3:$O$411,4,FALSE)</f>
        <v>0</v>
      </c>
      <c r="D19" s="563" t="s">
        <v>1569</v>
      </c>
      <c r="E19" s="563">
        <f>VLOOKUP(F19,'2) Tracker'!$A$3:$O$407,15,FALSE)</f>
        <v>0</v>
      </c>
      <c r="F19" s="590" t="s">
        <v>188</v>
      </c>
      <c r="G19" s="607">
        <f>VLOOKUP(F19,'2) Tracker'!$A$2:$BO$361,2,FALSE)</f>
        <v>2019</v>
      </c>
      <c r="H19" s="592">
        <f>VLOOKUP(F19,'2) Tracker'!$A$2:$BO$361,3,FALSE)</f>
        <v>80032</v>
      </c>
      <c r="I19" s="594" t="str">
        <f>VLOOKUP(F19,'2) Tracker'!$A$2:$BO$361,9,FALSE)</f>
        <v>BWPS</v>
      </c>
      <c r="J19" s="594" t="str">
        <f>VLOOKUP(F19,'2) Tracker'!$A$2:$BO$361,12,FALSE)</f>
        <v>loads USG</v>
      </c>
      <c r="K19" s="595">
        <f t="shared" ref="K19:O19" si="35">AD19</f>
        <v>46132</v>
      </c>
      <c r="L19" s="595">
        <f t="shared" si="35"/>
        <v>46132</v>
      </c>
      <c r="M19" s="596">
        <f t="shared" si="35"/>
        <v>46164</v>
      </c>
      <c r="N19" s="596" t="str">
        <f t="shared" si="35"/>
        <v/>
      </c>
      <c r="O19" s="597" t="str">
        <f t="shared" si="35"/>
        <v/>
      </c>
      <c r="P19" s="598" t="str">
        <f>IFERROR(IF(VLOOKUP(F19,'Voyage days'!$M$808:$N$819,2,FALSE),"GOA",""),"")</f>
        <v/>
      </c>
      <c r="Q19" s="596" t="str">
        <f t="shared" ref="Q19:R19" si="36">AM19</f>
        <v/>
      </c>
      <c r="R19" s="595" t="str">
        <f t="shared" si="36"/>
        <v/>
      </c>
      <c r="S19" s="595">
        <f t="shared" si="2"/>
        <v>46152</v>
      </c>
      <c r="T19" s="596" t="str">
        <f t="shared" si="3"/>
        <v/>
      </c>
      <c r="U19" s="595" t="str">
        <f t="shared" si="4"/>
        <v/>
      </c>
      <c r="V19" s="616"/>
      <c r="W19" s="616" t="str">
        <f t="shared" si="5"/>
        <v/>
      </c>
      <c r="X19" s="599" t="str">
        <f t="shared" si="6"/>
        <v/>
      </c>
      <c r="Y19" s="594"/>
      <c r="Z19" s="600" t="str">
        <f>VLOOKUP(F19,'2) Tracker'!$A$3:$Q$505,16,FALSE)</f>
        <v>@ Houston anchorage 11 Apr, waiting to berth</v>
      </c>
      <c r="AA19" s="600" t="str">
        <f>VLOOKUP(F19,'2) Tracker'!$A$3:$R$505,18,FALSE)</f>
        <v>BWPS 12-13 Apr USG (delay)</v>
      </c>
      <c r="AB19" s="600">
        <f>VLOOKUP(F19,'2) Tracker'!$A$3:$Q$505,17,FALSE)</f>
        <v>0</v>
      </c>
      <c r="AC19" s="601"/>
      <c r="AD19" s="601">
        <f>VLOOKUP(F19,'2) Tracker'!$A$2:$BO$981,37,FALSE)</f>
        <v>46132</v>
      </c>
      <c r="AE19" s="601">
        <f>VLOOKUP(F19,'2) Tracker'!$A$2:$BO$981,40,FALSE)</f>
        <v>46132</v>
      </c>
      <c r="AF19" s="601">
        <f>VLOOKUP(F19,'2) Tracker'!$A$2:$BO$981,67,FALSE)</f>
        <v>46164</v>
      </c>
      <c r="AG19" s="601" t="str">
        <f>VLOOKUP(F19,'2) Tracker'!$A$2:$BO$981,34,FALSE)</f>
        <v/>
      </c>
      <c r="AH19" s="601" t="str">
        <f>VLOOKUP(F19,'2) Tracker'!$A$2:$BN$981,66,FALSE)</f>
        <v/>
      </c>
      <c r="AI19" s="601" t="str">
        <f>VLOOKUP(F19,'2) Tracker'!$A$2:$BO$981,56,FALSE)</f>
        <v/>
      </c>
      <c r="AJ19" s="601" t="str">
        <f>VLOOKUP(F19,'2) Tracker'!$A$2:$BO$981,52,FALSE)</f>
        <v/>
      </c>
      <c r="AK19" s="601" t="str">
        <f>VLOOKUP(F19,'2) Tracker'!$A$2:$AQ$981,43,FALSE)</f>
        <v/>
      </c>
      <c r="AL19" s="601">
        <f>VLOOKUP(F19,'2) Tracker'!$A$2:$BH$981,46,FALSE())</f>
        <v>46152</v>
      </c>
      <c r="AM19" s="601" t="str">
        <f>VLOOKUP(F19,'2) Tracker'!$A$2:$BO$981,65,FALSE())</f>
        <v/>
      </c>
      <c r="AN19" s="601" t="str">
        <f>VLOOKUP(F19,'2) Tracker'!$A$2:$BK$981,63,FALSE())</f>
        <v/>
      </c>
      <c r="AO19" s="601" t="str">
        <f>VLOOKUP(F19,'2) Tracker'!$A$2:$BF$981,58,FALSE())</f>
        <v/>
      </c>
      <c r="AP19" s="46"/>
      <c r="AQ19" s="46"/>
      <c r="AR19" s="46"/>
      <c r="AS19" s="46"/>
      <c r="AT19" s="46"/>
      <c r="AU19" s="46"/>
      <c r="AV19" s="46"/>
      <c r="AW19" s="46"/>
      <c r="AX19" s="46"/>
      <c r="AY19" s="46"/>
      <c r="AZ19" s="563"/>
      <c r="BA19" s="569"/>
      <c r="BB19" s="563"/>
      <c r="BC19" s="569"/>
      <c r="BD19" s="563"/>
      <c r="BE19" s="46"/>
      <c r="BF19" s="46"/>
      <c r="BG19" s="563"/>
      <c r="BH19" s="563"/>
      <c r="BI19" s="563"/>
      <c r="BJ19" s="563"/>
    </row>
    <row r="20" spans="2:62" ht="15.75" customHeight="1" x14ac:dyDescent="0.25">
      <c r="B20" s="589">
        <f>VLOOKUP(F20,'2) Tracker'!$A$3:$O$411,5,FALSE)</f>
        <v>0</v>
      </c>
      <c r="C20" s="589" t="str">
        <f>VLOOKUP(F20,'2) Tracker'!$A$3:$O$411,4,FALSE)</f>
        <v>US</v>
      </c>
      <c r="D20" s="563"/>
      <c r="E20" s="563">
        <f>VLOOKUP(F20,'2) Tracker'!$A$3:$O$407,15,FALSE)</f>
        <v>0</v>
      </c>
      <c r="F20" s="604" t="s">
        <v>200</v>
      </c>
      <c r="G20" s="607">
        <f>VLOOKUP(F20,'2) Tracker'!$A$2:$BO$361,2,FALSE)</f>
        <v>42313</v>
      </c>
      <c r="H20" s="592">
        <f>VLOOKUP(F20,'2) Tracker'!$A$2:$BO$361,3,FALSE)</f>
        <v>84000</v>
      </c>
      <c r="I20" s="594" t="str">
        <f>VLOOKUP(F20,'2) Tracker'!$A$2:$BO$361,9,FALSE)</f>
        <v>Helios</v>
      </c>
      <c r="J20" s="594" t="str">
        <f>VLOOKUP(F20,'2) Tracker'!$A$2:$BO$361,12,FALSE)</f>
        <v>loads USG</v>
      </c>
      <c r="K20" s="595">
        <f t="shared" ref="K20:O20" si="37">AD20</f>
        <v>46132</v>
      </c>
      <c r="L20" s="595">
        <f t="shared" si="37"/>
        <v>46132</v>
      </c>
      <c r="M20" s="596">
        <f t="shared" si="37"/>
        <v>46164</v>
      </c>
      <c r="N20" s="596" t="str">
        <f t="shared" si="37"/>
        <v/>
      </c>
      <c r="O20" s="597" t="str">
        <f t="shared" si="37"/>
        <v/>
      </c>
      <c r="P20" s="598" t="str">
        <f>IFERROR(IF(VLOOKUP(F20,'Voyage days'!$M$808:$N$819,2,FALSE),"GOA",""),"")</f>
        <v/>
      </c>
      <c r="Q20" s="596" t="str">
        <f t="shared" ref="Q20:R20" si="38">AM20</f>
        <v/>
      </c>
      <c r="R20" s="595" t="str">
        <f t="shared" si="38"/>
        <v/>
      </c>
      <c r="S20" s="595">
        <f t="shared" si="2"/>
        <v>46152</v>
      </c>
      <c r="T20" s="596" t="str">
        <f t="shared" si="3"/>
        <v/>
      </c>
      <c r="U20" s="595" t="str">
        <f t="shared" si="4"/>
        <v/>
      </c>
      <c r="V20" s="596"/>
      <c r="W20" s="596" t="str">
        <f t="shared" si="5"/>
        <v/>
      </c>
      <c r="X20" s="599" t="str">
        <f t="shared" si="6"/>
        <v/>
      </c>
      <c r="Y20" s="594"/>
      <c r="Z20" s="600" t="str">
        <f>VLOOKUP(F20,'2) Tracker'!$A$3:$Q$505,16,FALSE)</f>
        <v>@ Freeport 17 Apr, still loading</v>
      </c>
      <c r="AA20" s="600" t="str">
        <f>VLOOKUP(F20,'2) Tracker'!$A$3:$R$505,18,FALSE)</f>
        <v>P66 18-19 Apr Freeport</v>
      </c>
      <c r="AB20" s="600">
        <f>VLOOKUP(F20,'2) Tracker'!$A$3:$Q$505,17,FALSE)</f>
        <v>0</v>
      </c>
      <c r="AC20" s="601"/>
      <c r="AD20" s="601">
        <f>VLOOKUP(F20,'2) Tracker'!$A$2:$BO$981,37,FALSE)</f>
        <v>46132</v>
      </c>
      <c r="AE20" s="601">
        <f>VLOOKUP(F20,'2) Tracker'!$A$2:$BO$981,40,FALSE)</f>
        <v>46132</v>
      </c>
      <c r="AF20" s="601">
        <f>VLOOKUP(F20,'2) Tracker'!$A$2:$BO$981,67,FALSE)</f>
        <v>46164</v>
      </c>
      <c r="AG20" s="601" t="str">
        <f>VLOOKUP(F20,'2) Tracker'!$A$2:$BO$981,34,FALSE)</f>
        <v/>
      </c>
      <c r="AH20" s="601" t="str">
        <f>VLOOKUP(F20,'2) Tracker'!$A$2:$BN$981,66,FALSE)</f>
        <v/>
      </c>
      <c r="AI20" s="601" t="str">
        <f>VLOOKUP(F20,'2) Tracker'!$A$2:$BO$981,56,FALSE)</f>
        <v/>
      </c>
      <c r="AJ20" s="601" t="str">
        <f>VLOOKUP(F20,'2) Tracker'!$A$2:$BO$981,52,FALSE)</f>
        <v/>
      </c>
      <c r="AK20" s="601" t="str">
        <f>VLOOKUP(F20,'2) Tracker'!$A$2:$AQ$981,43,FALSE)</f>
        <v/>
      </c>
      <c r="AL20" s="601">
        <f>VLOOKUP(F20,'2) Tracker'!$A$2:$BH$981,46,FALSE())</f>
        <v>46152</v>
      </c>
      <c r="AM20" s="601" t="str">
        <f>VLOOKUP(F20,'2) Tracker'!$A$2:$BO$981,65,FALSE())</f>
        <v/>
      </c>
      <c r="AN20" s="601" t="str">
        <f>VLOOKUP(F20,'2) Tracker'!$A$2:$BK$981,63,FALSE())</f>
        <v/>
      </c>
      <c r="AO20" s="601" t="str">
        <f>VLOOKUP(F20,'2) Tracker'!$A$2:$BF$981,58,FALSE())</f>
        <v/>
      </c>
      <c r="AP20" s="46"/>
      <c r="AQ20" s="46"/>
      <c r="AR20" s="46"/>
      <c r="AS20" s="46"/>
      <c r="AT20" s="46"/>
      <c r="AU20" s="46"/>
      <c r="AV20" s="46"/>
      <c r="AW20" s="46"/>
      <c r="AX20" s="46"/>
      <c r="AY20" s="46"/>
      <c r="AZ20" s="563"/>
      <c r="BA20" s="604"/>
      <c r="BB20" s="605"/>
      <c r="BC20" s="569"/>
      <c r="BD20" s="563"/>
      <c r="BE20" s="46"/>
      <c r="BF20" s="46"/>
      <c r="BG20" s="563"/>
      <c r="BH20" s="563"/>
      <c r="BI20" s="563"/>
      <c r="BJ20" s="563"/>
    </row>
    <row r="21" spans="2:62" x14ac:dyDescent="0.25">
      <c r="B21" s="589">
        <f>VLOOKUP(F21,'2) Tracker'!$A$3:$O$411,5,FALSE)</f>
        <v>0</v>
      </c>
      <c r="C21" s="589" t="str">
        <f>VLOOKUP(F21,'2) Tracker'!$A$3:$O$411,4,FALSE)</f>
        <v>US</v>
      </c>
      <c r="D21" s="563"/>
      <c r="E21" s="563">
        <f>VLOOKUP(F21,'2) Tracker'!$A$3:$O$407,15,FALSE)</f>
        <v>0</v>
      </c>
      <c r="F21" s="608" t="s">
        <v>1050</v>
      </c>
      <c r="G21" s="607">
        <f>VLOOKUP(F21,'2) Tracker'!$A$2:$BO$361,2,FALSE)</f>
        <v>42079</v>
      </c>
      <c r="H21" s="592">
        <f>VLOOKUP(F21,'2) Tracker'!$A$2:$BO$361,3,FALSE)</f>
        <v>84134</v>
      </c>
      <c r="I21" s="593" t="str">
        <f>VLOOKUP(F21,'2) Tracker'!$A$2:$BO$361,9,FALSE)</f>
        <v>Marathon</v>
      </c>
      <c r="J21" s="594" t="str">
        <f>VLOOKUP(F21,'2) Tracker'!$A$2:$BO$361,12,FALSE)</f>
        <v>loads USG</v>
      </c>
      <c r="K21" s="595">
        <f t="shared" ref="K21:O21" si="39">AD21</f>
        <v>46132</v>
      </c>
      <c r="L21" s="595">
        <f t="shared" si="39"/>
        <v>46132</v>
      </c>
      <c r="M21" s="596">
        <f t="shared" si="39"/>
        <v>46164</v>
      </c>
      <c r="N21" s="596" t="str">
        <f t="shared" si="39"/>
        <v/>
      </c>
      <c r="O21" s="597" t="str">
        <f t="shared" si="39"/>
        <v/>
      </c>
      <c r="P21" s="598" t="str">
        <f>IFERROR(IF(VLOOKUP(F21,'Voyage days'!$M$808:$N$819,2,FALSE),"GOA",""),"")</f>
        <v/>
      </c>
      <c r="Q21" s="596" t="str">
        <f t="shared" ref="Q21:R21" si="40">AM21</f>
        <v/>
      </c>
      <c r="R21" s="595" t="str">
        <f t="shared" si="40"/>
        <v/>
      </c>
      <c r="S21" s="595">
        <f t="shared" si="2"/>
        <v>46152</v>
      </c>
      <c r="T21" s="595" t="str">
        <f t="shared" si="3"/>
        <v/>
      </c>
      <c r="U21" s="595" t="str">
        <f t="shared" si="4"/>
        <v/>
      </c>
      <c r="V21" s="595"/>
      <c r="W21" s="595" t="str">
        <f t="shared" si="5"/>
        <v/>
      </c>
      <c r="X21" s="599" t="str">
        <f t="shared" si="6"/>
        <v/>
      </c>
      <c r="Y21" s="594"/>
      <c r="Z21" s="600" t="str">
        <f>VLOOKUP(F21,'2) Tracker'!$A$3:$Q$505,16,FALSE)</f>
        <v>ex DD, @ Balboa 09 Apr, waiting to transit</v>
      </c>
      <c r="AA21" s="600" t="str">
        <f>VLOOKUP(F21,'2) Tracker'!$A$3:$R$505,18,FALSE)</f>
        <v>Marathon 20-21 Apr USG</v>
      </c>
      <c r="AB21" s="600">
        <f>VLOOKUP(F21,'2) Tracker'!$A$3:$Q$505,17,FALSE)</f>
        <v>0</v>
      </c>
      <c r="AC21" s="601"/>
      <c r="AD21" s="601">
        <f>VLOOKUP(F21,'2) Tracker'!$A$2:$BO$981,37,FALSE)</f>
        <v>46132</v>
      </c>
      <c r="AE21" s="601">
        <f>VLOOKUP(F21,'2) Tracker'!$A$2:$BO$981,40,FALSE)</f>
        <v>46132</v>
      </c>
      <c r="AF21" s="601">
        <f>VLOOKUP(F21,'2) Tracker'!$A$2:$BO$981,67,FALSE)</f>
        <v>46164</v>
      </c>
      <c r="AG21" s="601" t="str">
        <f>VLOOKUP(F21,'2) Tracker'!$A$2:$BO$981,34,FALSE)</f>
        <v/>
      </c>
      <c r="AH21" s="601" t="str">
        <f>VLOOKUP(F21,'2) Tracker'!$A$2:$BN$981,66,FALSE)</f>
        <v/>
      </c>
      <c r="AI21" s="601" t="str">
        <f>VLOOKUP(F21,'2) Tracker'!$A$2:$BO$981,56,FALSE)</f>
        <v/>
      </c>
      <c r="AJ21" s="601" t="str">
        <f>VLOOKUP(F21,'2) Tracker'!$A$2:$BO$981,52,FALSE)</f>
        <v/>
      </c>
      <c r="AK21" s="601" t="str">
        <f>VLOOKUP(F21,'2) Tracker'!$A$2:$AQ$981,43,FALSE)</f>
        <v/>
      </c>
      <c r="AL21" s="601">
        <f>VLOOKUP(F21,'2) Tracker'!$A$2:$BH$981,46,FALSE())</f>
        <v>46152</v>
      </c>
      <c r="AM21" s="601" t="str">
        <f>VLOOKUP(F21,'2) Tracker'!$A$2:$BO$981,65,FALSE())</f>
        <v/>
      </c>
      <c r="AN21" s="601" t="str">
        <f>VLOOKUP(F21,'2) Tracker'!$A$2:$BK$981,63,FALSE())</f>
        <v/>
      </c>
      <c r="AO21" s="601" t="str">
        <f>VLOOKUP(F21,'2) Tracker'!$A$2:$BF$981,58,FALSE())</f>
        <v/>
      </c>
      <c r="AP21" s="46"/>
      <c r="AQ21" s="46"/>
      <c r="AR21" s="46"/>
      <c r="AS21" s="46"/>
      <c r="AT21" s="46"/>
      <c r="AU21" s="46"/>
      <c r="AV21" s="46"/>
      <c r="AW21" s="46"/>
      <c r="AX21" s="46"/>
      <c r="AY21" s="46"/>
      <c r="AZ21" s="563"/>
      <c r="BA21" s="604"/>
      <c r="BB21" s="605"/>
      <c r="BC21" s="569"/>
      <c r="BD21" s="563"/>
      <c r="BE21" s="46"/>
      <c r="BF21" s="46"/>
      <c r="BG21" s="563"/>
      <c r="BH21" s="563"/>
      <c r="BI21" s="563"/>
      <c r="BJ21" s="563"/>
    </row>
    <row r="22" spans="2:62" x14ac:dyDescent="0.25">
      <c r="B22" s="589">
        <f>VLOOKUP(F22,'2) Tracker'!$A$3:$O$411,5,FALSE)</f>
        <v>0</v>
      </c>
      <c r="C22" s="589" t="str">
        <f>VLOOKUP(F22,'2) Tracker'!$A$3:$O$411,4,FALSE)</f>
        <v>US</v>
      </c>
      <c r="D22" s="563"/>
      <c r="E22" s="563" t="str">
        <f>VLOOKUP(F22,'2) Tracker'!$A$3:$O$407,15,FALSE)</f>
        <v>eu</v>
      </c>
      <c r="F22" s="604" t="s">
        <v>1589</v>
      </c>
      <c r="G22" s="607">
        <f>VLOOKUP(F22,'2) Tracker'!$A$2:$BO$361,2,FALSE)</f>
        <v>42217</v>
      </c>
      <c r="H22" s="592">
        <f>VLOOKUP(F22,'2) Tracker'!$A$2:$BO$361,3,FALSE)</f>
        <v>84000</v>
      </c>
      <c r="I22" s="593" t="str">
        <f>VLOOKUP(F22,'2) Tracker'!$A$2:$BO$361,9,FALSE)</f>
        <v>Energy Transfer</v>
      </c>
      <c r="J22" s="594" t="str">
        <f>VLOOKUP(F22,'2) Tracker'!$A$2:$BO$361,12,FALSE)</f>
        <v>loads USG</v>
      </c>
      <c r="K22" s="595">
        <f t="shared" ref="K22:O22" si="41">AD22</f>
        <v>46132</v>
      </c>
      <c r="L22" s="595">
        <f t="shared" si="41"/>
        <v>46132</v>
      </c>
      <c r="M22" s="596">
        <f t="shared" si="41"/>
        <v>46164</v>
      </c>
      <c r="N22" s="596" t="str">
        <f t="shared" si="41"/>
        <v/>
      </c>
      <c r="O22" s="597" t="str">
        <f t="shared" si="41"/>
        <v/>
      </c>
      <c r="P22" s="598" t="str">
        <f>IFERROR(IF(VLOOKUP(F22,'Voyage days'!$M$808:$N$819,2,FALSE),"GOA",""),"")</f>
        <v/>
      </c>
      <c r="Q22" s="596" t="str">
        <f t="shared" ref="Q22:R22" si="42">AM22</f>
        <v/>
      </c>
      <c r="R22" s="596" t="str">
        <f t="shared" si="42"/>
        <v/>
      </c>
      <c r="S22" s="595">
        <f t="shared" si="2"/>
        <v>46152</v>
      </c>
      <c r="T22" s="596" t="str">
        <f t="shared" si="3"/>
        <v/>
      </c>
      <c r="U22" s="596" t="str">
        <f t="shared" si="4"/>
        <v/>
      </c>
      <c r="V22" s="570" t="s">
        <v>1577</v>
      </c>
      <c r="W22" s="596" t="str">
        <f t="shared" si="5"/>
        <v/>
      </c>
      <c r="X22" s="599" t="str">
        <f t="shared" si="6"/>
        <v/>
      </c>
      <c r="Y22" s="594"/>
      <c r="Z22" s="600" t="str">
        <f>VLOOKUP(F22,'2) Tracker'!$A$3:$Q$505,16,FALSE)</f>
        <v>ETA 19 Apr Marcus Hook</v>
      </c>
      <c r="AA22" s="600" t="str">
        <f>VLOOKUP(F22,'2) Tracker'!$A$3:$R$505,18,FALSE)</f>
        <v>ET 11-12 Mar MH</v>
      </c>
      <c r="AB22" s="600">
        <f>VLOOKUP(F22,'2) Tracker'!$A$3:$Q$505,17,FALSE)</f>
        <v>0</v>
      </c>
      <c r="AC22" s="601"/>
      <c r="AD22" s="601">
        <f>VLOOKUP(F22,'2) Tracker'!$A$2:$BO$981,37,FALSE)</f>
        <v>46132</v>
      </c>
      <c r="AE22" s="601">
        <f>VLOOKUP(F22,'2) Tracker'!$A$2:$BO$981,40,FALSE)</f>
        <v>46132</v>
      </c>
      <c r="AF22" s="601">
        <f>VLOOKUP(F22,'2) Tracker'!$A$2:$BO$981,67,FALSE)</f>
        <v>46164</v>
      </c>
      <c r="AG22" s="601" t="str">
        <f>VLOOKUP(F22,'2) Tracker'!$A$2:$BO$981,34,FALSE)</f>
        <v/>
      </c>
      <c r="AH22" s="601" t="str">
        <f>VLOOKUP(F22,'2) Tracker'!$A$2:$BN$981,66,FALSE)</f>
        <v/>
      </c>
      <c r="AI22" s="601" t="str">
        <f>VLOOKUP(F22,'2) Tracker'!$A$2:$BO$981,56,FALSE)</f>
        <v/>
      </c>
      <c r="AJ22" s="601" t="str">
        <f>VLOOKUP(F22,'2) Tracker'!$A$2:$BO$981,52,FALSE)</f>
        <v/>
      </c>
      <c r="AK22" s="601" t="str">
        <f>VLOOKUP(F22,'2) Tracker'!$A$2:$AQ$981,43,FALSE)</f>
        <v/>
      </c>
      <c r="AL22" s="601">
        <f>VLOOKUP(F22,'2) Tracker'!$A$2:$BH$981,46,FALSE())</f>
        <v>46152</v>
      </c>
      <c r="AM22" s="601" t="str">
        <f>VLOOKUP(F22,'2) Tracker'!$A$2:$BO$981,65,FALSE())</f>
        <v/>
      </c>
      <c r="AN22" s="601" t="str">
        <f>VLOOKUP(F22,'2) Tracker'!$A$2:$BK$981,63,FALSE())</f>
        <v/>
      </c>
      <c r="AO22" s="601" t="str">
        <f>VLOOKUP(F22,'2) Tracker'!$A$2:$BF$981,58,FALSE())</f>
        <v/>
      </c>
      <c r="AP22" s="46"/>
      <c r="AQ22" s="46"/>
      <c r="AR22" s="46"/>
      <c r="AS22" s="46"/>
      <c r="AT22" s="46"/>
      <c r="AU22" s="46"/>
      <c r="AV22" s="46"/>
      <c r="AW22" s="46"/>
      <c r="AX22" s="46"/>
      <c r="AY22" s="46"/>
      <c r="AZ22" s="563"/>
      <c r="BA22" s="569"/>
      <c r="BB22" s="563"/>
      <c r="BC22" s="569"/>
      <c r="BD22" s="563"/>
      <c r="BE22" s="46"/>
      <c r="BF22" s="46"/>
      <c r="BG22" s="563"/>
      <c r="BH22" s="563"/>
      <c r="BI22" s="563"/>
      <c r="BJ22" s="563"/>
    </row>
    <row r="23" spans="2:62" x14ac:dyDescent="0.25">
      <c r="B23" s="589">
        <f>VLOOKUP(F23,'2) Tracker'!$A$3:$O$411,5,FALSE)</f>
        <v>0</v>
      </c>
      <c r="C23" s="589">
        <f>VLOOKUP(F23,'2) Tracker'!$A$3:$O$411,4,FALSE)</f>
        <v>0</v>
      </c>
      <c r="D23" s="563"/>
      <c r="E23" s="563">
        <f>VLOOKUP(F23,'2) Tracker'!$A$3:$O$407,15,FALSE)</f>
        <v>0</v>
      </c>
      <c r="F23" s="604" t="s">
        <v>640</v>
      </c>
      <c r="G23" s="591">
        <f>VLOOKUP(F23,'2) Tracker'!$A$2:$BO$361,2,FALSE)</f>
        <v>2022</v>
      </c>
      <c r="H23" s="592">
        <f>VLOOKUP(F23,'2) Tracker'!$A$2:$BO$361,3,FALSE)</f>
        <v>86000</v>
      </c>
      <c r="I23" s="594" t="str">
        <f>VLOOKUP(F23,'2) Tracker'!$A$2:$BO$361,9,FALSE)</f>
        <v>Wanhua</v>
      </c>
      <c r="J23" s="594" t="str">
        <f>VLOOKUP(F23,'2) Tracker'!$A$2:$BO$361,12,FALSE)</f>
        <v>loads USG</v>
      </c>
      <c r="K23" s="595">
        <f t="shared" ref="K23:O23" si="43">AD23</f>
        <v>46132</v>
      </c>
      <c r="L23" s="595">
        <f t="shared" si="43"/>
        <v>46132</v>
      </c>
      <c r="M23" s="596">
        <f t="shared" si="43"/>
        <v>46164</v>
      </c>
      <c r="N23" s="596" t="str">
        <f t="shared" si="43"/>
        <v/>
      </c>
      <c r="O23" s="597" t="str">
        <f t="shared" si="43"/>
        <v/>
      </c>
      <c r="P23" s="598" t="str">
        <f>IFERROR(IF(VLOOKUP(F23,'Voyage days'!$M$808:$N$819,2,FALSE),"GOA",""),"")</f>
        <v>GOA</v>
      </c>
      <c r="Q23" s="597" t="str">
        <f t="shared" ref="Q23:R23" si="44">AM23</f>
        <v/>
      </c>
      <c r="R23" s="595" t="str">
        <f t="shared" si="44"/>
        <v/>
      </c>
      <c r="S23" s="595">
        <f t="shared" si="2"/>
        <v>46152</v>
      </c>
      <c r="T23" s="596" t="str">
        <f t="shared" si="3"/>
        <v/>
      </c>
      <c r="U23" s="595" t="str">
        <f t="shared" si="4"/>
        <v/>
      </c>
      <c r="V23" s="596"/>
      <c r="W23" s="596" t="str">
        <f t="shared" si="5"/>
        <v/>
      </c>
      <c r="X23" s="599" t="str">
        <f t="shared" si="6"/>
        <v/>
      </c>
      <c r="Y23" s="614"/>
      <c r="Z23" s="600" t="str">
        <f>VLOOKUP(F23,'2) Tracker'!$A$3:$Q$505,16,FALSE)</f>
        <v>@ Nederland 18 Apr, waiting to berth</v>
      </c>
      <c r="AA23" s="600" t="str">
        <f>VLOOKUP(F23,'2) Tracker'!$A$3:$R$505,18,FALSE)</f>
        <v>Satellite 20-21 Apr Nederland</v>
      </c>
      <c r="AB23" s="600">
        <f>VLOOKUP(F23,'2) Tracker'!$A$3:$Q$505,17,FALSE)</f>
        <v>0</v>
      </c>
      <c r="AC23" s="601"/>
      <c r="AD23" s="601">
        <f>VLOOKUP(F23,'2) Tracker'!$A$2:$BO$981,37,FALSE)</f>
        <v>46132</v>
      </c>
      <c r="AE23" s="601">
        <f>VLOOKUP(F23,'2) Tracker'!$A$2:$BO$981,40,FALSE)</f>
        <v>46132</v>
      </c>
      <c r="AF23" s="601">
        <f>VLOOKUP(F23,'2) Tracker'!$A$2:$BO$981,67,FALSE)</f>
        <v>46164</v>
      </c>
      <c r="AG23" s="601" t="str">
        <f>VLOOKUP(F23,'2) Tracker'!$A$2:$BO$981,34,FALSE)</f>
        <v/>
      </c>
      <c r="AH23" s="601" t="str">
        <f>VLOOKUP(F23,'2) Tracker'!$A$2:$BN$981,66,FALSE)</f>
        <v/>
      </c>
      <c r="AI23" s="601" t="str">
        <f>VLOOKUP(F23,'2) Tracker'!$A$2:$BO$981,56,FALSE)</f>
        <v/>
      </c>
      <c r="AJ23" s="601" t="str">
        <f>VLOOKUP(F23,'2) Tracker'!$A$2:$BO$981,52,FALSE)</f>
        <v/>
      </c>
      <c r="AK23" s="601" t="str">
        <f>VLOOKUP(F23,'2) Tracker'!$A$2:$AQ$981,43,FALSE)</f>
        <v/>
      </c>
      <c r="AL23" s="601">
        <f>VLOOKUP(F23,'2) Tracker'!$A$2:$BH$981,46,FALSE())</f>
        <v>46152</v>
      </c>
      <c r="AM23" s="601" t="str">
        <f>VLOOKUP(F23,'2) Tracker'!$A$2:$BO$981,65,FALSE())</f>
        <v/>
      </c>
      <c r="AN23" s="601" t="str">
        <f>VLOOKUP(F23,'2) Tracker'!$A$2:$BK$981,63,FALSE())</f>
        <v/>
      </c>
      <c r="AO23" s="601" t="str">
        <f>VLOOKUP(F23,'2) Tracker'!$A$2:$BF$981,58,FALSE())</f>
        <v/>
      </c>
      <c r="AP23" s="46"/>
      <c r="AQ23" s="46"/>
      <c r="AR23" s="46"/>
      <c r="AS23" s="46"/>
      <c r="AT23" s="46"/>
      <c r="AU23" s="46"/>
      <c r="AV23" s="46"/>
      <c r="AW23" s="46"/>
      <c r="AX23" s="46"/>
      <c r="AY23" s="46"/>
      <c r="AZ23" s="563"/>
      <c r="BA23" s="569"/>
      <c r="BB23" s="563"/>
      <c r="BC23" s="569"/>
      <c r="BD23" s="563"/>
      <c r="BE23" s="46"/>
      <c r="BF23" s="46"/>
      <c r="BG23" s="563"/>
      <c r="BH23" s="563"/>
      <c r="BI23" s="563"/>
      <c r="BJ23" s="563"/>
    </row>
    <row r="24" spans="2:62" x14ac:dyDescent="0.25">
      <c r="B24" s="589">
        <f>VLOOKUP(F24,'2) Tracker'!$A$3:$O$411,5,FALSE)</f>
        <v>0</v>
      </c>
      <c r="C24" s="589">
        <f>VLOOKUP(F24,'2) Tracker'!$A$3:$O$411,4,FALSE)</f>
        <v>0</v>
      </c>
      <c r="D24" s="563"/>
      <c r="E24" s="563">
        <f>VLOOKUP(F24,'2) Tracker'!$A$3:$O$407,15,FALSE)</f>
        <v>0</v>
      </c>
      <c r="F24" s="608" t="str">
        <f>'2) Tracker'!A222</f>
        <v>Albert III</v>
      </c>
      <c r="G24" s="617">
        <f>VLOOKUP(F24,'2) Tracker'!$A$2:$BO$361,2,FALSE)</f>
        <v>42886</v>
      </c>
      <c r="H24" s="592">
        <f>VLOOKUP(F24,'2) Tracker'!$A$2:$BO$361,3,FALSE)</f>
        <v>84000</v>
      </c>
      <c r="I24" s="593" t="str">
        <f>VLOOKUP(F24,'2) Tracker'!$A$2:$BO$361,9,FALSE)</f>
        <v>Tomza</v>
      </c>
      <c r="J24" s="594" t="str">
        <f>VLOOKUP(F24,'2) Tracker'!$A$2:$BO$361,12,FALSE)</f>
        <v>loads USG</v>
      </c>
      <c r="K24" s="596">
        <f t="shared" ref="K24:O24" si="45">AD24</f>
        <v>46132</v>
      </c>
      <c r="L24" s="596">
        <f t="shared" si="45"/>
        <v>46132</v>
      </c>
      <c r="M24" s="596">
        <f t="shared" si="45"/>
        <v>46164</v>
      </c>
      <c r="N24" s="596" t="str">
        <f t="shared" si="45"/>
        <v/>
      </c>
      <c r="O24" s="597" t="str">
        <f t="shared" si="45"/>
        <v/>
      </c>
      <c r="P24" s="598" t="str">
        <f>IFERROR(IF(VLOOKUP(F24,'Voyage days'!$M$808:$N$819,2,FALSE),"GOA",""),"")</f>
        <v/>
      </c>
      <c r="Q24" s="596" t="str">
        <f t="shared" ref="Q24:R24" si="46">AM24</f>
        <v/>
      </c>
      <c r="R24" s="596" t="str">
        <f t="shared" si="46"/>
        <v/>
      </c>
      <c r="S24" s="595">
        <f t="shared" si="2"/>
        <v>46152</v>
      </c>
      <c r="T24" s="596" t="str">
        <f t="shared" si="3"/>
        <v/>
      </c>
      <c r="U24" s="596" t="str">
        <f t="shared" si="4"/>
        <v/>
      </c>
      <c r="V24" s="596"/>
      <c r="W24" s="596" t="str">
        <f t="shared" si="5"/>
        <v/>
      </c>
      <c r="X24" s="599" t="str">
        <f t="shared" si="6"/>
        <v/>
      </c>
      <c r="Y24" s="594"/>
      <c r="Z24" s="600" t="str">
        <f>VLOOKUP(F24,'2) Tracker'!$A$3:$Q$505,16,FALSE)</f>
        <v>@ Tuxpan 12 Apr</v>
      </c>
      <c r="AA24" s="600" t="str">
        <f>VLOOKUP(F24,'2) Tracker'!$A$3:$R$505,18,FALSE)</f>
        <v>Tomza 20 Mar Enterprise</v>
      </c>
      <c r="AB24" s="600">
        <f>VLOOKUP(F24,'2) Tracker'!$A$3:$Q$505,17,FALSE)</f>
        <v>0</v>
      </c>
      <c r="AC24" s="601"/>
      <c r="AD24" s="601">
        <f>VLOOKUP(F24,'2) Tracker'!$A$2:$BO$981,37,FALSE)</f>
        <v>46132</v>
      </c>
      <c r="AE24" s="601">
        <f>VLOOKUP(F24,'2) Tracker'!$A$2:$BO$981,40,FALSE)</f>
        <v>46132</v>
      </c>
      <c r="AF24" s="601">
        <f>VLOOKUP(F24,'2) Tracker'!$A$2:$BO$981,67,FALSE)</f>
        <v>46164</v>
      </c>
      <c r="AG24" s="601" t="str">
        <f>VLOOKUP(F24,'2) Tracker'!$A$2:$BO$981,34,FALSE)</f>
        <v/>
      </c>
      <c r="AH24" s="601" t="str">
        <f>VLOOKUP(F24,'2) Tracker'!$A$2:$BN$981,66,FALSE)</f>
        <v/>
      </c>
      <c r="AI24" s="601" t="str">
        <f>VLOOKUP(F24,'2) Tracker'!$A$2:$BO$981,56,FALSE)</f>
        <v/>
      </c>
      <c r="AJ24" s="601" t="str">
        <f>VLOOKUP(F24,'2) Tracker'!$A$2:$BO$981,52,FALSE)</f>
        <v/>
      </c>
      <c r="AK24" s="601" t="str">
        <f>VLOOKUP(F24,'2) Tracker'!$A$2:$AQ$981,43,FALSE)</f>
        <v/>
      </c>
      <c r="AL24" s="601">
        <f>VLOOKUP(F24,'2) Tracker'!$A$2:$BH$981,46,FALSE())</f>
        <v>46152</v>
      </c>
      <c r="AM24" s="601" t="str">
        <f>VLOOKUP(F24,'2) Tracker'!$A$2:$BO$981,65,FALSE())</f>
        <v/>
      </c>
      <c r="AN24" s="601" t="str">
        <f>VLOOKUP(F24,'2) Tracker'!$A$2:$BK$981,63,FALSE())</f>
        <v/>
      </c>
      <c r="AO24" s="601" t="str">
        <f>VLOOKUP(F24,'2) Tracker'!$A$2:$BF$981,58,FALSE())</f>
        <v/>
      </c>
      <c r="AP24" s="46"/>
      <c r="AQ24" s="46"/>
      <c r="AR24" s="46"/>
      <c r="AS24" s="46"/>
      <c r="AT24" s="46"/>
      <c r="AU24" s="46"/>
      <c r="AV24" s="46"/>
      <c r="AW24" s="46"/>
      <c r="AX24" s="46"/>
      <c r="AY24" s="46"/>
      <c r="AZ24" s="563"/>
      <c r="BA24" s="569"/>
      <c r="BB24" s="563"/>
      <c r="BC24" s="569"/>
      <c r="BD24" s="563"/>
      <c r="BE24" s="46"/>
      <c r="BF24" s="46"/>
      <c r="BG24" s="563"/>
      <c r="BH24" s="563"/>
      <c r="BI24" s="563"/>
      <c r="BJ24" s="563"/>
    </row>
    <row r="25" spans="2:62" x14ac:dyDescent="0.25">
      <c r="B25" s="589">
        <f>VLOOKUP(F25,'2) Tracker'!$A$3:$O$411,5,FALSE)</f>
        <v>0</v>
      </c>
      <c r="C25" s="589">
        <f>VLOOKUP(F25,'2) Tracker'!$A$3:$O$411,4,FALSE)</f>
        <v>0</v>
      </c>
      <c r="D25" s="563"/>
      <c r="E25" s="563" t="str">
        <f>VLOOKUP(F25,'2) Tracker'!$A$3:$O$407,15,FALSE)</f>
        <v>eu</v>
      </c>
      <c r="F25" s="604" t="s">
        <v>872</v>
      </c>
      <c r="G25" s="607">
        <f>VLOOKUP(F25,'2) Tracker'!$A$2:$BO$361,2,FALSE)</f>
        <v>41960</v>
      </c>
      <c r="H25" s="592">
        <f>VLOOKUP(F25,'2) Tracker'!$A$2:$BO$361,3,FALSE)</f>
        <v>84196</v>
      </c>
      <c r="I25" s="600" t="str">
        <f>VLOOKUP(F25,'2) Tracker'!$A$2:$BO$361,9,FALSE)</f>
        <v>BP</v>
      </c>
      <c r="J25" s="594" t="str">
        <f>VLOOKUP(F25,'2) Tracker'!$A$2:$BO$361,12,FALSE)</f>
        <v>loads MH</v>
      </c>
      <c r="K25" s="596">
        <f t="shared" ref="K25:O25" si="47">AD25</f>
        <v>46132</v>
      </c>
      <c r="L25" s="596" t="str">
        <f t="shared" si="47"/>
        <v/>
      </c>
      <c r="M25" s="596" t="str">
        <f t="shared" si="47"/>
        <v/>
      </c>
      <c r="N25" s="596" t="str">
        <f t="shared" si="47"/>
        <v/>
      </c>
      <c r="O25" s="597" t="str">
        <f t="shared" si="47"/>
        <v/>
      </c>
      <c r="P25" s="598" t="str">
        <f>IFERROR(IF(VLOOKUP(F25,'Voyage days'!$M$808:$N$819,2,FALSE),"GOA",""),"")</f>
        <v/>
      </c>
      <c r="Q25" s="596" t="str">
        <f t="shared" ref="Q25:R25" si="48">AM25</f>
        <v/>
      </c>
      <c r="R25" s="596" t="str">
        <f t="shared" si="48"/>
        <v/>
      </c>
      <c r="S25" s="595">
        <f t="shared" si="2"/>
        <v>46147</v>
      </c>
      <c r="T25" s="596" t="str">
        <f t="shared" si="3"/>
        <v/>
      </c>
      <c r="U25" s="596" t="str">
        <f t="shared" si="4"/>
        <v/>
      </c>
      <c r="V25" s="596"/>
      <c r="W25" s="596" t="str">
        <f t="shared" si="5"/>
        <v/>
      </c>
      <c r="X25" s="599" t="str">
        <f t="shared" si="6"/>
        <v/>
      </c>
      <c r="Y25" s="614"/>
      <c r="Z25" s="600" t="str">
        <f>VLOOKUP(F25,'2) Tracker'!$A$3:$Q$505,16,FALSE)</f>
        <v>Arrived on 15 Apr / india voyage next</v>
      </c>
      <c r="AA25" s="600" t="str">
        <f>VLOOKUP(F25,'2) Tracker'!$A$3:$R$505,18,FALSE)</f>
        <v>BP 14-15 Apr MH</v>
      </c>
      <c r="AB25" s="600" t="str">
        <f>VLOOKUP(F25,'2) Tracker'!$A$3:$Q$505,17,FALSE)</f>
        <v>10-15 Apr USG next; unless sold FOB</v>
      </c>
      <c r="AC25" s="601"/>
      <c r="AD25" s="601">
        <f>VLOOKUP(F25,'2) Tracker'!$A$2:$BO$981,37,FALSE)</f>
        <v>46132</v>
      </c>
      <c r="AE25" s="601" t="str">
        <f>VLOOKUP(F25,'2) Tracker'!$A$2:$BO$981,40,FALSE)</f>
        <v/>
      </c>
      <c r="AF25" s="601" t="str">
        <f>VLOOKUP(F25,'2) Tracker'!$A$2:$BO$981,67,FALSE)</f>
        <v/>
      </c>
      <c r="AG25" s="601" t="str">
        <f>VLOOKUP(F25,'2) Tracker'!$A$2:$BO$981,34,FALSE)</f>
        <v/>
      </c>
      <c r="AH25" s="601" t="str">
        <f>VLOOKUP(F25,'2) Tracker'!$A$2:$BN$981,66,FALSE)</f>
        <v/>
      </c>
      <c r="AI25" s="601" t="str">
        <f>VLOOKUP(F25,'2) Tracker'!$A$2:$BO$981,56,FALSE)</f>
        <v/>
      </c>
      <c r="AJ25" s="601" t="str">
        <f>VLOOKUP(F25,'2) Tracker'!$A$2:$BO$981,52,FALSE)</f>
        <v/>
      </c>
      <c r="AK25" s="601" t="str">
        <f>VLOOKUP(F25,'2) Tracker'!$A$2:$AQ$981,43,FALSE)</f>
        <v/>
      </c>
      <c r="AL25" s="601">
        <f>VLOOKUP(F25,'2) Tracker'!$A$2:$BH$981,46,FALSE())</f>
        <v>46147</v>
      </c>
      <c r="AM25" s="601" t="str">
        <f>VLOOKUP(F25,'2) Tracker'!$A$2:$BO$981,65,FALSE())</f>
        <v/>
      </c>
      <c r="AN25" s="601" t="str">
        <f>VLOOKUP(F25,'2) Tracker'!$A$2:$BK$981,63,FALSE())</f>
        <v/>
      </c>
      <c r="AO25" s="601" t="str">
        <f>VLOOKUP(F25,'2) Tracker'!$A$2:$BF$981,58,FALSE())</f>
        <v/>
      </c>
      <c r="AP25" s="46"/>
      <c r="AQ25" s="46"/>
      <c r="AR25" s="46"/>
      <c r="AS25" s="46"/>
      <c r="AT25" s="46"/>
      <c r="AU25" s="46"/>
      <c r="AV25" s="46"/>
      <c r="AW25" s="46"/>
      <c r="AX25" s="46"/>
      <c r="AY25" s="46"/>
      <c r="AZ25" s="46"/>
      <c r="BA25" s="46"/>
      <c r="BB25" s="46"/>
      <c r="BC25" s="604"/>
      <c r="BD25" s="605"/>
      <c r="BE25" s="46"/>
      <c r="BF25" s="46"/>
      <c r="BG25" s="618" t="s">
        <v>1590</v>
      </c>
      <c r="BH25" s="604" t="s">
        <v>1220</v>
      </c>
      <c r="BI25" s="605"/>
      <c r="BJ25" s="605"/>
    </row>
    <row r="26" spans="2:62" x14ac:dyDescent="0.25">
      <c r="B26" s="589" t="str">
        <f>VLOOKUP(F26,'2) Tracker'!$A$3:$O$411,5,FALSE)</f>
        <v>C</v>
      </c>
      <c r="C26" s="589">
        <f>VLOOKUP(F26,'2) Tracker'!$A$3:$O$411,4,FALSE)</f>
        <v>0</v>
      </c>
      <c r="D26" s="563"/>
      <c r="E26" s="563">
        <f>VLOOKUP(F26,'2) Tracker'!$A$3:$O$407,15,FALSE)</f>
        <v>0</v>
      </c>
      <c r="F26" s="604" t="s">
        <v>326</v>
      </c>
      <c r="G26" s="591">
        <f>VLOOKUP(F26,'2) Tracker'!$A$2:$BO$361,2,FALSE)</f>
        <v>2021</v>
      </c>
      <c r="H26" s="592">
        <f>VLOOKUP(F26,'2) Tracker'!$A$2:$BO$361,3,FALSE)</f>
        <v>86000</v>
      </c>
      <c r="I26" s="594" t="str">
        <f>VLOOKUP(F26,'2) Tracker'!$A$2:$BO$361,9,FALSE)</f>
        <v>Wanhua</v>
      </c>
      <c r="J26" s="594" t="str">
        <f>VLOOKUP(F26,'2) Tracker'!$A$2:$BO$361,12,FALSE)</f>
        <v>loads USG</v>
      </c>
      <c r="K26" s="596">
        <f t="shared" ref="K26:O26" si="49">AD26</f>
        <v>46133</v>
      </c>
      <c r="L26" s="596">
        <f t="shared" si="49"/>
        <v>46133</v>
      </c>
      <c r="M26" s="596">
        <f t="shared" si="49"/>
        <v>46165</v>
      </c>
      <c r="N26" s="596" t="str">
        <f t="shared" si="49"/>
        <v/>
      </c>
      <c r="O26" s="597" t="str">
        <f t="shared" si="49"/>
        <v/>
      </c>
      <c r="P26" s="598" t="str">
        <f>IFERROR(IF(VLOOKUP(F26,'Voyage days'!$M$808:$N$819,2,FALSE),"GOA",""),"")</f>
        <v/>
      </c>
      <c r="Q26" s="597" t="str">
        <f t="shared" ref="Q26:R26" si="50">AM26</f>
        <v/>
      </c>
      <c r="R26" s="596" t="str">
        <f t="shared" si="50"/>
        <v/>
      </c>
      <c r="S26" s="595">
        <f t="shared" si="2"/>
        <v>46153</v>
      </c>
      <c r="T26" s="596" t="str">
        <f t="shared" si="3"/>
        <v/>
      </c>
      <c r="U26" s="596" t="str">
        <f t="shared" si="4"/>
        <v/>
      </c>
      <c r="V26" s="596"/>
      <c r="W26" s="596" t="str">
        <f t="shared" si="5"/>
        <v/>
      </c>
      <c r="X26" s="599" t="str">
        <f t="shared" si="6"/>
        <v/>
      </c>
      <c r="Y26" s="594"/>
      <c r="Z26" s="600" t="str">
        <f>VLOOKUP(F26,'2) Tracker'!$A$3:$Q$505,16,FALSE)</f>
        <v>@ Nederland 19 Apr, still loading</v>
      </c>
      <c r="AA26" s="600" t="str">
        <f>VLOOKUP(F26,'2) Tracker'!$A$3:$R$505,18,FALSE)</f>
        <v>Wanhua 19-20 Apr Nederland</v>
      </c>
      <c r="AB26" s="600">
        <f>VLOOKUP(F26,'2) Tracker'!$A$3:$Q$505,17,FALSE)</f>
        <v>0</v>
      </c>
      <c r="AC26" s="601"/>
      <c r="AD26" s="601">
        <f>VLOOKUP(F26,'2) Tracker'!$A$2:$BO$981,37,FALSE)</f>
        <v>46133</v>
      </c>
      <c r="AE26" s="601">
        <f>VLOOKUP(F26,'2) Tracker'!$A$2:$BO$981,40,FALSE)</f>
        <v>46133</v>
      </c>
      <c r="AF26" s="601">
        <f>VLOOKUP(F26,'2) Tracker'!$A$2:$BO$981,67,FALSE)</f>
        <v>46165</v>
      </c>
      <c r="AG26" s="601" t="str">
        <f>VLOOKUP(F26,'2) Tracker'!$A$2:$BO$981,34,FALSE)</f>
        <v/>
      </c>
      <c r="AH26" s="601" t="str">
        <f>VLOOKUP(F26,'2) Tracker'!$A$2:$BN$981,66,FALSE)</f>
        <v/>
      </c>
      <c r="AI26" s="601" t="str">
        <f>VLOOKUP(F26,'2) Tracker'!$A$2:$BO$981,56,FALSE)</f>
        <v/>
      </c>
      <c r="AJ26" s="601" t="str">
        <f>VLOOKUP(F26,'2) Tracker'!$A$2:$BO$981,52,FALSE)</f>
        <v/>
      </c>
      <c r="AK26" s="601" t="str">
        <f>VLOOKUP(F26,'2) Tracker'!$A$2:$AQ$981,43,FALSE)</f>
        <v/>
      </c>
      <c r="AL26" s="601">
        <f>VLOOKUP(F26,'2) Tracker'!$A$2:$BH$981,46,FALSE())</f>
        <v>46153</v>
      </c>
      <c r="AM26" s="601" t="str">
        <f>VLOOKUP(F26,'2) Tracker'!$A$2:$BO$981,65,FALSE())</f>
        <v/>
      </c>
      <c r="AN26" s="601" t="str">
        <f>VLOOKUP(F26,'2) Tracker'!$A$2:$BK$981,63,FALSE())</f>
        <v/>
      </c>
      <c r="AO26" s="601" t="str">
        <f>VLOOKUP(F26,'2) Tracker'!$A$2:$BF$981,58,FALSE())</f>
        <v/>
      </c>
      <c r="AP26" s="46"/>
      <c r="AQ26" s="46"/>
      <c r="AR26" s="46"/>
      <c r="AS26" s="46"/>
      <c r="AT26" s="46"/>
      <c r="AU26" s="46"/>
      <c r="AV26" s="613"/>
      <c r="AW26" s="46"/>
      <c r="AX26" s="46"/>
      <c r="AY26" s="46"/>
      <c r="AZ26" s="563"/>
      <c r="BA26" s="604" t="e">
        <f>VLOOKUP(AZ26,#REF!,2, FALSE)</f>
        <v>#REF!</v>
      </c>
      <c r="BB26" s="605" t="e">
        <f>VLOOKUP(AZ26,'1) Kpler'!$E$2:$F$500,2,FALSE)</f>
        <v>#N/A</v>
      </c>
      <c r="BC26" s="569"/>
      <c r="BD26" s="563"/>
      <c r="BE26" s="46"/>
      <c r="BF26" s="46"/>
      <c r="BG26" s="563"/>
      <c r="BH26" s="563"/>
      <c r="BI26" s="563"/>
      <c r="BJ26" s="563"/>
    </row>
    <row r="27" spans="2:62" x14ac:dyDescent="0.25">
      <c r="B27" s="589">
        <f>VLOOKUP(F27,'2) Tracker'!$A$3:$O$411,5,FALSE)</f>
        <v>0</v>
      </c>
      <c r="C27" s="589">
        <f>VLOOKUP(F27,'2) Tracker'!$A$3:$O$411,4,FALSE)</f>
        <v>0</v>
      </c>
      <c r="D27" s="563"/>
      <c r="E27" s="563"/>
      <c r="F27" s="619" t="s">
        <v>491</v>
      </c>
      <c r="G27" s="591">
        <f>VLOOKUP(F27,'2) Tracker'!$A$2:$BO$361,2,FALSE)</f>
        <v>2025</v>
      </c>
      <c r="H27" s="592">
        <f>VLOOKUP(F27,'2) Tracker'!$A$2:$BO$361,3,FALSE)</f>
        <v>86000</v>
      </c>
      <c r="I27" s="593" t="str">
        <f>VLOOKUP(F27,'2) Tracker'!$A$2:$BO$361,9,FALSE)</f>
        <v>BGN</v>
      </c>
      <c r="J27" s="594" t="str">
        <f>VLOOKUP(F27,'2) Tracker'!$A$2:$BO$361,12,FALSE)</f>
        <v>loads USG</v>
      </c>
      <c r="K27" s="595">
        <f t="shared" ref="K27:O27" si="51">AD27</f>
        <v>46133</v>
      </c>
      <c r="L27" s="595">
        <f t="shared" si="51"/>
        <v>46133</v>
      </c>
      <c r="M27" s="596">
        <f t="shared" si="51"/>
        <v>46165</v>
      </c>
      <c r="N27" s="596" t="str">
        <f t="shared" si="51"/>
        <v/>
      </c>
      <c r="O27" s="597" t="str">
        <f t="shared" si="51"/>
        <v/>
      </c>
      <c r="P27" s="598" t="str">
        <f>IFERROR(IF(VLOOKUP(F27,'Voyage days'!$M$808:$N$819,2,FALSE),"GOA",""),"")</f>
        <v/>
      </c>
      <c r="Q27" s="596" t="str">
        <f t="shared" ref="Q27:R27" si="52">AM27</f>
        <v/>
      </c>
      <c r="R27" s="595" t="str">
        <f t="shared" si="52"/>
        <v/>
      </c>
      <c r="S27" s="595">
        <f t="shared" si="2"/>
        <v>46153</v>
      </c>
      <c r="T27" s="596" t="str">
        <f t="shared" si="3"/>
        <v/>
      </c>
      <c r="U27" s="595" t="str">
        <f t="shared" si="4"/>
        <v/>
      </c>
      <c r="V27" s="595"/>
      <c r="W27" s="595" t="str">
        <f t="shared" si="5"/>
        <v/>
      </c>
      <c r="X27" s="599" t="str">
        <f t="shared" si="6"/>
        <v/>
      </c>
      <c r="Y27" s="594"/>
      <c r="Z27" s="600" t="str">
        <f>VLOOKUP(F27,'2) Tracker'!$A$3:$Q$505,16,FALSE)</f>
        <v>@ Anchorage, waiting to berth</v>
      </c>
      <c r="AA27" s="600" t="str">
        <f>VLOOKUP(F27,'2) Tracker'!$A$3:$R$505,18,FALSE)</f>
        <v>BGN 10-11 Mar Nederland</v>
      </c>
      <c r="AB27" s="600">
        <f>VLOOKUP(F27,'2) Tracker'!$A$3:$Q$505,17,FALSE)</f>
        <v>0</v>
      </c>
      <c r="AC27" s="601"/>
      <c r="AD27" s="601">
        <f>VLOOKUP(F27,'2) Tracker'!$A$2:$BO$981,37,FALSE)</f>
        <v>46133</v>
      </c>
      <c r="AE27" s="601">
        <f>VLOOKUP(F27,'2) Tracker'!$A$2:$BO$981,40,FALSE)</f>
        <v>46133</v>
      </c>
      <c r="AF27" s="601">
        <f>VLOOKUP(F27,'2) Tracker'!$A$2:$BO$981,67,FALSE)</f>
        <v>46165</v>
      </c>
      <c r="AG27" s="601" t="str">
        <f>VLOOKUP(F27,'2) Tracker'!$A$2:$BO$981,34,FALSE)</f>
        <v/>
      </c>
      <c r="AH27" s="601" t="str">
        <f>VLOOKUP(F27,'2) Tracker'!$A$2:$BN$981,66,FALSE)</f>
        <v/>
      </c>
      <c r="AI27" s="601" t="str">
        <f>VLOOKUP(F27,'2) Tracker'!$A$2:$BO$981,56,FALSE)</f>
        <v/>
      </c>
      <c r="AJ27" s="601" t="str">
        <f>VLOOKUP(F27,'2) Tracker'!$A$2:$BO$981,52,FALSE)</f>
        <v/>
      </c>
      <c r="AK27" s="601" t="str">
        <f>VLOOKUP(F27,'2) Tracker'!$A$2:$AQ$981,43,FALSE)</f>
        <v/>
      </c>
      <c r="AL27" s="601">
        <f>VLOOKUP(F27,'2) Tracker'!$A$2:$BH$981,46,FALSE())</f>
        <v>46153</v>
      </c>
      <c r="AM27" s="601" t="str">
        <f>VLOOKUP(F27,'2) Tracker'!$A$2:$BO$981,65,FALSE())</f>
        <v/>
      </c>
      <c r="AN27" s="601" t="str">
        <f>VLOOKUP(F27,'2) Tracker'!$A$2:$BK$981,63,FALSE())</f>
        <v/>
      </c>
      <c r="AO27" s="601" t="str">
        <f>VLOOKUP(F27,'2) Tracker'!$A$2:$BF$981,58,FALSE())</f>
        <v/>
      </c>
      <c r="AP27" s="46"/>
      <c r="AQ27" s="46"/>
      <c r="AR27" s="46"/>
      <c r="AS27" s="46"/>
      <c r="AT27" s="46"/>
      <c r="AU27" s="46"/>
      <c r="AV27" s="613"/>
      <c r="AW27" s="46"/>
      <c r="AX27" s="46"/>
      <c r="AY27" s="46"/>
      <c r="AZ27" s="563"/>
      <c r="BA27" s="569"/>
      <c r="BB27" s="563"/>
      <c r="BC27" s="569"/>
      <c r="BD27" s="563"/>
      <c r="BE27" s="46"/>
      <c r="BF27" s="46"/>
      <c r="BG27" s="563"/>
      <c r="BH27" s="563"/>
      <c r="BI27" s="563"/>
      <c r="BJ27" s="563"/>
    </row>
    <row r="28" spans="2:62" x14ac:dyDescent="0.25">
      <c r="B28" s="589">
        <f>VLOOKUP(F28,'2) Tracker'!$A$3:$O$411,5,FALSE)</f>
        <v>0</v>
      </c>
      <c r="C28" s="589">
        <f>VLOOKUP(F28,'2) Tracker'!$A$3:$O$411,4,FALSE)</f>
        <v>0</v>
      </c>
      <c r="D28" s="563"/>
      <c r="E28" s="563">
        <f>VLOOKUP(F28,'2) Tracker'!$A$3:$O$407,15,FALSE)</f>
        <v>0</v>
      </c>
      <c r="F28" s="604" t="s">
        <v>478</v>
      </c>
      <c r="G28" s="617">
        <f>VLOOKUP(F28,'2) Tracker'!$A$2:$BO$361,2,FALSE)</f>
        <v>37681</v>
      </c>
      <c r="H28" s="592">
        <f>VLOOKUP(F28,'2) Tracker'!$A$2:$BO$361,3,FALSE)</f>
        <v>78945</v>
      </c>
      <c r="I28" s="600" t="str">
        <f>VLOOKUP(F28,'2) Tracker'!$A$2:$BO$361,9,FALSE)</f>
        <v>European Navigation Group</v>
      </c>
      <c r="J28" s="594" t="str">
        <f>VLOOKUP(F28,'2) Tracker'!$A$2:$BO$361,12,FALSE)</f>
        <v>loads USG</v>
      </c>
      <c r="K28" s="596">
        <f t="shared" ref="K28:O28" si="53">AD28</f>
        <v>46133</v>
      </c>
      <c r="L28" s="596">
        <f t="shared" si="53"/>
        <v>46133</v>
      </c>
      <c r="M28" s="596">
        <f t="shared" si="53"/>
        <v>46165</v>
      </c>
      <c r="N28" s="597" t="str">
        <f t="shared" si="53"/>
        <v/>
      </c>
      <c r="O28" s="597" t="str">
        <f t="shared" si="53"/>
        <v/>
      </c>
      <c r="P28" s="598" t="str">
        <f>IFERROR(IF(VLOOKUP(F28,'Voyage days'!$M$808:$N$819,2,FALSE),"GOA",""),"")</f>
        <v/>
      </c>
      <c r="Q28" s="596" t="str">
        <f t="shared" ref="Q28:R28" si="54">AM28</f>
        <v/>
      </c>
      <c r="R28" s="595" t="str">
        <f t="shared" si="54"/>
        <v/>
      </c>
      <c r="S28" s="595">
        <f t="shared" si="2"/>
        <v>46153</v>
      </c>
      <c r="T28" s="595" t="str">
        <f t="shared" si="3"/>
        <v/>
      </c>
      <c r="U28" s="595" t="str">
        <f t="shared" si="4"/>
        <v/>
      </c>
      <c r="V28" s="596"/>
      <c r="W28" s="596" t="str">
        <f t="shared" si="5"/>
        <v/>
      </c>
      <c r="X28" s="599" t="str">
        <f t="shared" si="6"/>
        <v/>
      </c>
      <c r="Y28" s="606" t="s">
        <v>1591</v>
      </c>
      <c r="Z28" s="600" t="str">
        <f>VLOOKUP(F28,'2) Tracker'!$A$3:$Q$505,16,FALSE)</f>
        <v>ex DD, @ Houston anchorage 11 Apr, waiting to berth</v>
      </c>
      <c r="AA28" s="600" t="str">
        <f>VLOOKUP(F28,'2) Tracker'!$A$3:$R$505,18,FALSE)</f>
        <v>BGN 07-08 Apr Targa</v>
      </c>
      <c r="AB28" s="600">
        <f>VLOOKUP(F28,'2) Tracker'!$A$3:$Q$505,17,FALSE)</f>
        <v>0</v>
      </c>
      <c r="AC28" s="601"/>
      <c r="AD28" s="601">
        <f>VLOOKUP(F28,'2) Tracker'!$A$2:$BO$981,37,FALSE)</f>
        <v>46133</v>
      </c>
      <c r="AE28" s="601">
        <f>VLOOKUP(F28,'2) Tracker'!$A$2:$BO$981,40,FALSE)</f>
        <v>46133</v>
      </c>
      <c r="AF28" s="601">
        <f>VLOOKUP(F28,'2) Tracker'!$A$2:$BO$981,67,FALSE)</f>
        <v>46165</v>
      </c>
      <c r="AG28" s="601" t="str">
        <f>VLOOKUP(F28,'2) Tracker'!$A$2:$BO$981,34,FALSE)</f>
        <v/>
      </c>
      <c r="AH28" s="601" t="str">
        <f>VLOOKUP(F28,'2) Tracker'!$A$2:$BN$981,66,FALSE)</f>
        <v/>
      </c>
      <c r="AI28" s="601" t="str">
        <f>VLOOKUP(F28,'2) Tracker'!$A$2:$BO$981,56,FALSE)</f>
        <v/>
      </c>
      <c r="AJ28" s="601" t="str">
        <f>VLOOKUP(F28,'2) Tracker'!$A$2:$BO$981,52,FALSE)</f>
        <v/>
      </c>
      <c r="AK28" s="601" t="str">
        <f>VLOOKUP(F28,'2) Tracker'!$A$2:$AQ$981,43,FALSE)</f>
        <v/>
      </c>
      <c r="AL28" s="601">
        <f>VLOOKUP(F28,'2) Tracker'!$A$2:$BH$981,46,FALSE())</f>
        <v>46153</v>
      </c>
      <c r="AM28" s="601" t="str">
        <f>VLOOKUP(F28,'2) Tracker'!$A$2:$BO$981,65,FALSE())</f>
        <v/>
      </c>
      <c r="AN28" s="601" t="str">
        <f>VLOOKUP(F28,'2) Tracker'!$A$2:$BK$981,63,FALSE())</f>
        <v/>
      </c>
      <c r="AO28" s="601" t="str">
        <f>VLOOKUP(F28,'2) Tracker'!$A$2:$BF$981,58,FALSE())</f>
        <v/>
      </c>
      <c r="AP28" s="46"/>
      <c r="AQ28" s="46"/>
      <c r="AR28" s="46"/>
      <c r="AS28" s="46"/>
      <c r="AT28" s="46"/>
      <c r="AU28" s="46"/>
      <c r="AV28" s="46"/>
      <c r="AW28" s="46"/>
      <c r="AX28" s="46"/>
      <c r="AY28" s="46"/>
      <c r="AZ28" s="563"/>
      <c r="BA28" s="569"/>
      <c r="BB28" s="563"/>
      <c r="BC28" s="569"/>
      <c r="BD28" s="563"/>
      <c r="BE28" s="46"/>
      <c r="BF28" s="46"/>
      <c r="BG28" s="563"/>
      <c r="BH28" s="563"/>
      <c r="BI28" s="563"/>
      <c r="BJ28" s="563"/>
    </row>
    <row r="29" spans="2:62" ht="14.25" customHeight="1" x14ac:dyDescent="0.25">
      <c r="B29" s="589">
        <f>VLOOKUP(F29,'2) Tracker'!$A$3:$O$411,5,FALSE)</f>
        <v>0</v>
      </c>
      <c r="C29" s="589">
        <f>VLOOKUP(F29,'2) Tracker'!$A$3:$O$411,4,FALSE)</f>
        <v>0</v>
      </c>
      <c r="D29" s="563"/>
      <c r="E29" s="563">
        <f>VLOOKUP(F29,'2) Tracker'!$A$3:$O$407,15,FALSE)</f>
        <v>0</v>
      </c>
      <c r="F29" s="608" t="s">
        <v>306</v>
      </c>
      <c r="G29" s="591">
        <f>VLOOKUP(F29,'2) Tracker'!$A$2:$BO$361,2,FALSE)</f>
        <v>2023</v>
      </c>
      <c r="H29" s="592">
        <f>VLOOKUP(F29,'2) Tracker'!$A$2:$BO$361,3,FALSE)</f>
        <v>84000</v>
      </c>
      <c r="I29" s="593" t="str">
        <f>VLOOKUP(F29,'2) Tracker'!$A$2:$BO$361,9,FALSE)</f>
        <v>BGN</v>
      </c>
      <c r="J29" s="594" t="str">
        <f>VLOOKUP(F29,'2) Tracker'!$A$2:$BO$361,12,FALSE)</f>
        <v>loads USG</v>
      </c>
      <c r="K29" s="596">
        <f t="shared" ref="K29:O29" si="55">AD29</f>
        <v>46133</v>
      </c>
      <c r="L29" s="596">
        <f t="shared" si="55"/>
        <v>46133</v>
      </c>
      <c r="M29" s="596">
        <f t="shared" si="55"/>
        <v>46165</v>
      </c>
      <c r="N29" s="596" t="str">
        <f t="shared" si="55"/>
        <v/>
      </c>
      <c r="O29" s="597" t="str">
        <f t="shared" si="55"/>
        <v/>
      </c>
      <c r="P29" s="598" t="str">
        <f>IFERROR(IF(VLOOKUP(F29,'Voyage days'!$M$808:$N$819,2,FALSE),"GOA",""),"")</f>
        <v/>
      </c>
      <c r="Q29" s="596" t="str">
        <f t="shared" ref="Q29:R29" si="56">AM29</f>
        <v/>
      </c>
      <c r="R29" s="596" t="str">
        <f t="shared" si="56"/>
        <v/>
      </c>
      <c r="S29" s="595">
        <f t="shared" si="2"/>
        <v>46153</v>
      </c>
      <c r="T29" s="596" t="str">
        <f t="shared" si="3"/>
        <v/>
      </c>
      <c r="U29" s="596" t="str">
        <f t="shared" si="4"/>
        <v/>
      </c>
      <c r="V29" s="616"/>
      <c r="W29" s="616" t="str">
        <f t="shared" si="5"/>
        <v/>
      </c>
      <c r="X29" s="599" t="str">
        <f t="shared" si="6"/>
        <v/>
      </c>
      <c r="Y29" s="594"/>
      <c r="Z29" s="600" t="str">
        <f>VLOOKUP(F29,'2) Tracker'!$A$3:$Q$505,16,FALSE)</f>
        <v>ex DD, ETA Nederland 22 Apr via Cape</v>
      </c>
      <c r="AA29" s="600" t="str">
        <f>VLOOKUP(F29,'2) Tracker'!$A$3:$R$505,18,FALSE)</f>
        <v>BGN 18-19 Apr Nederland</v>
      </c>
      <c r="AB29" s="600">
        <f>VLOOKUP(F29,'2) Tracker'!$A$3:$Q$505,17,FALSE)</f>
        <v>0</v>
      </c>
      <c r="AC29" s="601"/>
      <c r="AD29" s="601">
        <f>VLOOKUP(F29,'2) Tracker'!$A$2:$BO$981,37,FALSE)</f>
        <v>46133</v>
      </c>
      <c r="AE29" s="601">
        <f>VLOOKUP(F29,'2) Tracker'!$A$2:$BO$981,40,FALSE)</f>
        <v>46133</v>
      </c>
      <c r="AF29" s="601">
        <f>VLOOKUP(F29,'2) Tracker'!$A$2:$BO$981,67,FALSE)</f>
        <v>46165</v>
      </c>
      <c r="AG29" s="601" t="str">
        <f>VLOOKUP(F29,'2) Tracker'!$A$2:$BO$981,34,FALSE)</f>
        <v/>
      </c>
      <c r="AH29" s="601" t="str">
        <f>VLOOKUP(F29,'2) Tracker'!$A$2:$BN$981,66,FALSE)</f>
        <v/>
      </c>
      <c r="AI29" s="620" t="str">
        <f>VLOOKUP(F29,'2) Tracker'!$A$2:$BO$981,56,FALSE)</f>
        <v/>
      </c>
      <c r="AJ29" s="620" t="str">
        <f>VLOOKUP(F29,'2) Tracker'!$A$2:$BO$981,52,FALSE)</f>
        <v/>
      </c>
      <c r="AK29" s="620" t="str">
        <f>VLOOKUP(F29,'2) Tracker'!$A$2:$AQ$981,43,FALSE)</f>
        <v/>
      </c>
      <c r="AL29" s="621">
        <f>VLOOKUP(F29,'2) Tracker'!$A$2:$BH$981,46,FALSE())</f>
        <v>46153</v>
      </c>
      <c r="AM29" s="621" t="str">
        <f>VLOOKUP(F29,'2) Tracker'!$A$2:$BO$981,65,FALSE())</f>
        <v/>
      </c>
      <c r="AN29" s="621" t="str">
        <f>VLOOKUP(F29,'2) Tracker'!$A$2:$BK$981,63,FALSE())</f>
        <v/>
      </c>
      <c r="AO29" s="621" t="str">
        <f>VLOOKUP(F29,'2) Tracker'!$A$2:$BF$981,58,FALSE())</f>
        <v/>
      </c>
      <c r="AP29" s="46"/>
      <c r="AQ29" s="46"/>
      <c r="AR29" s="46"/>
      <c r="AS29" s="46"/>
      <c r="AT29" s="46"/>
      <c r="AU29" s="46"/>
      <c r="AV29" s="46"/>
      <c r="AW29" s="46"/>
      <c r="AX29" s="46"/>
      <c r="AY29" s="46"/>
      <c r="AZ29" s="563"/>
      <c r="BA29" s="569"/>
      <c r="BB29" s="563"/>
      <c r="BC29" s="569"/>
      <c r="BD29" s="563"/>
      <c r="BE29" s="46"/>
      <c r="BF29" s="46"/>
      <c r="BG29" s="563"/>
      <c r="BH29" s="563"/>
      <c r="BI29" s="563"/>
      <c r="BJ29" s="563"/>
    </row>
    <row r="30" spans="2:62" x14ac:dyDescent="0.25">
      <c r="B30" s="589">
        <f>VLOOKUP(F30,'2) Tracker'!$A$3:$O$411,5,FALSE)</f>
        <v>0</v>
      </c>
      <c r="C30" s="589">
        <f>VLOOKUP(F30,'2) Tracker'!$A$3:$O$411,4,FALSE)</f>
        <v>0</v>
      </c>
      <c r="D30" s="563"/>
      <c r="E30" s="563">
        <f>VLOOKUP(F30,'2) Tracker'!$A$3:$O$407,15,FALSE)</f>
        <v>0</v>
      </c>
      <c r="F30" s="608" t="s">
        <v>283</v>
      </c>
      <c r="G30" s="591">
        <f>VLOOKUP(F30,'2) Tracker'!$A$2:$BO$361,2,FALSE)</f>
        <v>2021</v>
      </c>
      <c r="H30" s="592">
        <f>VLOOKUP(F30,'2) Tracker'!$A$2:$BO$361,3,FALSE)</f>
        <v>84000</v>
      </c>
      <c r="I30" s="593" t="str">
        <f>VLOOKUP(F30,'2) Tracker'!$A$2:$BO$361,9,FALSE)</f>
        <v>BGN</v>
      </c>
      <c r="J30" s="594" t="str">
        <f>VLOOKUP(F30,'2) Tracker'!$A$2:$BO$361,12,FALSE)</f>
        <v>loads USG</v>
      </c>
      <c r="K30" s="596">
        <f t="shared" ref="K30:O30" si="57">AD30</f>
        <v>46133</v>
      </c>
      <c r="L30" s="596">
        <f t="shared" si="57"/>
        <v>46133</v>
      </c>
      <c r="M30" s="596">
        <f t="shared" si="57"/>
        <v>46165</v>
      </c>
      <c r="N30" s="596" t="str">
        <f t="shared" si="57"/>
        <v/>
      </c>
      <c r="O30" s="597" t="str">
        <f t="shared" si="57"/>
        <v/>
      </c>
      <c r="P30" s="598" t="str">
        <f>IFERROR(IF(VLOOKUP(F30,'Voyage days'!$M$808:$N$819,2,FALSE),"GOA",""),"")</f>
        <v/>
      </c>
      <c r="Q30" s="596" t="str">
        <f t="shared" ref="Q30:R30" si="58">AM30</f>
        <v/>
      </c>
      <c r="R30" s="596" t="str">
        <f t="shared" si="58"/>
        <v/>
      </c>
      <c r="S30" s="595">
        <f t="shared" si="2"/>
        <v>46153</v>
      </c>
      <c r="T30" s="596" t="str">
        <f t="shared" si="3"/>
        <v/>
      </c>
      <c r="U30" s="596" t="str">
        <f t="shared" si="4"/>
        <v/>
      </c>
      <c r="V30" s="596"/>
      <c r="W30" s="596" t="str">
        <f t="shared" si="5"/>
        <v/>
      </c>
      <c r="X30" s="599" t="str">
        <f t="shared" si="6"/>
        <v/>
      </c>
      <c r="Y30" s="594"/>
      <c r="Z30" s="600" t="str">
        <f>VLOOKUP(F30,'2) Tracker'!$A$3:$Q$505,16,FALSE)</f>
        <v>ETA Balboa 14 Apr</v>
      </c>
      <c r="AA30" s="600" t="str">
        <f>VLOOKUP(F30,'2) Tracker'!$A$3:$R$505,18,FALSE)</f>
        <v>BGN 20-21 Apr USG</v>
      </c>
      <c r="AB30" s="600">
        <f>VLOOKUP(F30,'2) Tracker'!$A$3:$Q$505,17,FALSE)</f>
        <v>0</v>
      </c>
      <c r="AC30" s="601"/>
      <c r="AD30" s="601">
        <f>VLOOKUP(F30,'2) Tracker'!$A$2:$BO$981,37,FALSE)</f>
        <v>46133</v>
      </c>
      <c r="AE30" s="601">
        <f>VLOOKUP(F30,'2) Tracker'!$A$2:$BO$981,40,FALSE)</f>
        <v>46133</v>
      </c>
      <c r="AF30" s="601">
        <f>VLOOKUP(F30,'2) Tracker'!$A$2:$BO$981,67,FALSE)</f>
        <v>46165</v>
      </c>
      <c r="AG30" s="601" t="str">
        <f>VLOOKUP(F30,'2) Tracker'!$A$2:$BO$981,34,FALSE)</f>
        <v/>
      </c>
      <c r="AH30" s="601" t="str">
        <f>VLOOKUP(F30,'2) Tracker'!$A$2:$BN$981,66,FALSE)</f>
        <v/>
      </c>
      <c r="AI30" s="601" t="str">
        <f>VLOOKUP(F30,'2) Tracker'!$A$2:$BO$981,56,FALSE)</f>
        <v/>
      </c>
      <c r="AJ30" s="601" t="str">
        <f>VLOOKUP(F30,'2) Tracker'!$A$2:$BO$981,52,FALSE)</f>
        <v/>
      </c>
      <c r="AK30" s="601" t="str">
        <f>VLOOKUP(F30,'2) Tracker'!$A$2:$AQ$981,43,FALSE)</f>
        <v/>
      </c>
      <c r="AL30" s="601">
        <f>VLOOKUP(F30,'2) Tracker'!$A$2:$BH$981,46,FALSE())</f>
        <v>46153</v>
      </c>
      <c r="AM30" s="601" t="str">
        <f>VLOOKUP(F30,'2) Tracker'!$A$2:$BO$981,65,FALSE())</f>
        <v/>
      </c>
      <c r="AN30" s="601" t="str">
        <f>VLOOKUP(F30,'2) Tracker'!$A$2:$BK$981,63,FALSE())</f>
        <v/>
      </c>
      <c r="AO30" s="601" t="str">
        <f>VLOOKUP(F30,'2) Tracker'!$A$2:$BF$981,58,FALSE())</f>
        <v/>
      </c>
      <c r="AP30" s="46"/>
      <c r="AQ30" s="46"/>
      <c r="AR30" s="46"/>
      <c r="AS30" s="46"/>
      <c r="AT30" s="46"/>
      <c r="AU30" s="46"/>
      <c r="AV30" s="46"/>
      <c r="AW30" s="46"/>
      <c r="AX30" s="46"/>
      <c r="AY30" s="46"/>
      <c r="AZ30" s="563"/>
      <c r="BA30" s="604" t="e">
        <f>VLOOKUP(AZ30,#REF!,2, FALSE)</f>
        <v>#REF!</v>
      </c>
      <c r="BB30" s="605" t="e">
        <f>VLOOKUP(AZ30,'1) Kpler'!$E$2:$F$500,2,FALSE)</f>
        <v>#N/A</v>
      </c>
      <c r="BC30" s="569"/>
      <c r="BD30" s="563"/>
      <c r="BE30" s="46"/>
      <c r="BF30" s="46"/>
      <c r="BG30" s="563"/>
      <c r="BH30" s="563"/>
      <c r="BI30" s="563"/>
      <c r="BJ30" s="563"/>
    </row>
    <row r="31" spans="2:62" x14ac:dyDescent="0.25">
      <c r="B31" s="589">
        <f>VLOOKUP(F31,'2) Tracker'!$A$3:$O$411,5,FALSE)</f>
        <v>0</v>
      </c>
      <c r="C31" s="589">
        <f>VLOOKUP(F31,'2) Tracker'!$A$3:$O$411,4,FALSE)</f>
        <v>0</v>
      </c>
      <c r="D31" s="563"/>
      <c r="E31" s="563">
        <f>VLOOKUP(F31,'2) Tracker'!$A$3:$O$407,15,FALSE)</f>
        <v>0</v>
      </c>
      <c r="F31" s="604" t="s">
        <v>1424</v>
      </c>
      <c r="G31" s="607">
        <f>VLOOKUP(F31,'2) Tracker'!$A$2:$BO$361,2,FALSE)</f>
        <v>42447</v>
      </c>
      <c r="H31" s="592">
        <f>VLOOKUP(F31,'2) Tracker'!$A$2:$BO$361,3,FALSE)</f>
        <v>84107</v>
      </c>
      <c r="I31" s="594" t="str">
        <f>VLOOKUP(F31,'2) Tracker'!$A$2:$BO$361,9,FALSE)</f>
        <v>BW</v>
      </c>
      <c r="J31" s="594" t="str">
        <f>VLOOKUP(F31,'2) Tracker'!$A$2:$BO$361,12,FALSE)</f>
        <v>loads USG</v>
      </c>
      <c r="K31" s="596">
        <f t="shared" ref="K31:O31" si="59">AD31</f>
        <v>46133</v>
      </c>
      <c r="L31" s="596">
        <f t="shared" si="59"/>
        <v>46133</v>
      </c>
      <c r="M31" s="596">
        <f t="shared" si="59"/>
        <v>46165</v>
      </c>
      <c r="N31" s="596" t="str">
        <f t="shared" si="59"/>
        <v/>
      </c>
      <c r="O31" s="597" t="str">
        <f t="shared" si="59"/>
        <v/>
      </c>
      <c r="P31" s="598" t="str">
        <f>IFERROR(IF(VLOOKUP(F31,'Voyage days'!$M$808:$N$819,2,FALSE),"GOA",""),"")</f>
        <v/>
      </c>
      <c r="Q31" s="596" t="str">
        <f t="shared" ref="Q31:R31" si="60">AM31</f>
        <v/>
      </c>
      <c r="R31" s="596" t="str">
        <f t="shared" si="60"/>
        <v/>
      </c>
      <c r="S31" s="595">
        <f t="shared" si="2"/>
        <v>46153</v>
      </c>
      <c r="T31" s="596" t="str">
        <f t="shared" si="3"/>
        <v/>
      </c>
      <c r="U31" s="596" t="str">
        <f t="shared" si="4"/>
        <v/>
      </c>
      <c r="V31" s="596"/>
      <c r="W31" s="596" t="str">
        <f t="shared" si="5"/>
        <v/>
      </c>
      <c r="X31" s="599" t="str">
        <f t="shared" si="6"/>
        <v/>
      </c>
      <c r="Y31" s="606"/>
      <c r="Z31" s="600" t="str">
        <f>VLOOKUP(F31,'2) Tracker'!$A$3:$Q$505,16,FALSE)</f>
        <v>@ Galveston 19 Apr</v>
      </c>
      <c r="AA31" s="600" t="str">
        <f>VLOOKUP(F31,'2) Tracker'!$A$3:$R$505,18,FALSE)</f>
        <v>Geogas 20-21 Apr USG</v>
      </c>
      <c r="AB31" s="600">
        <f>VLOOKUP(F31,'2) Tracker'!$A$3:$Q$505,17,FALSE)</f>
        <v>0</v>
      </c>
      <c r="AC31" s="601"/>
      <c r="AD31" s="601">
        <f>VLOOKUP(F31,'2) Tracker'!$A$2:$BO$981,37,FALSE)</f>
        <v>46133</v>
      </c>
      <c r="AE31" s="601">
        <f>VLOOKUP(F31,'2) Tracker'!$A$2:$BO$981,40,FALSE)</f>
        <v>46133</v>
      </c>
      <c r="AF31" s="601">
        <f>VLOOKUP(F31,'2) Tracker'!$A$2:$BO$981,67,FALSE)</f>
        <v>46165</v>
      </c>
      <c r="AG31" s="601" t="str">
        <f>VLOOKUP(F31,'2) Tracker'!$A$2:$BO$981,34,FALSE)</f>
        <v/>
      </c>
      <c r="AH31" s="601" t="str">
        <f>VLOOKUP(F31,'2) Tracker'!$A$2:$BN$981,66,FALSE)</f>
        <v/>
      </c>
      <c r="AI31" s="601" t="str">
        <f>VLOOKUP(F31,'2) Tracker'!$A$2:$BO$981,56,FALSE)</f>
        <v/>
      </c>
      <c r="AJ31" s="601" t="str">
        <f>VLOOKUP(F31,'2) Tracker'!$A$2:$BO$981,52,FALSE)</f>
        <v/>
      </c>
      <c r="AK31" s="601" t="str">
        <f>VLOOKUP(F31,'2) Tracker'!$A$2:$AQ$981,43,FALSE)</f>
        <v/>
      </c>
      <c r="AL31" s="601">
        <f>VLOOKUP(F31,'2) Tracker'!$A$2:$BH$981,46,FALSE())</f>
        <v>46153</v>
      </c>
      <c r="AM31" s="601" t="str">
        <f>VLOOKUP(F31,'2) Tracker'!$A$2:$BO$981,65,FALSE())</f>
        <v/>
      </c>
      <c r="AN31" s="601" t="str">
        <f>VLOOKUP(F31,'2) Tracker'!$A$2:$BK$981,63,FALSE())</f>
        <v/>
      </c>
      <c r="AO31" s="601" t="str">
        <f>VLOOKUP(F31,'2) Tracker'!$A$2:$BF$981,58,FALSE())</f>
        <v/>
      </c>
      <c r="AP31" s="46"/>
      <c r="AQ31" s="46"/>
      <c r="AR31" s="46"/>
      <c r="AS31" s="46"/>
      <c r="AT31" s="46"/>
      <c r="AU31" s="46"/>
      <c r="AV31" s="46"/>
      <c r="AW31" s="46"/>
      <c r="AX31" s="46"/>
      <c r="AY31" s="46"/>
      <c r="AZ31" s="563"/>
      <c r="BA31" s="569"/>
      <c r="BB31" s="563"/>
      <c r="BC31" s="569"/>
      <c r="BD31" s="563"/>
      <c r="BE31" s="46"/>
      <c r="BF31" s="46"/>
      <c r="BG31" s="563"/>
      <c r="BH31" s="563"/>
      <c r="BI31" s="563"/>
      <c r="BJ31" s="563"/>
    </row>
    <row r="32" spans="2:62" x14ac:dyDescent="0.25">
      <c r="B32" s="589">
        <f>VLOOKUP(F32,'2) Tracker'!$A$3:$O$411,5,FALSE)</f>
        <v>0</v>
      </c>
      <c r="C32" s="589">
        <f>VLOOKUP(F32,'2) Tracker'!$A$3:$O$411,4,FALSE)</f>
        <v>0</v>
      </c>
      <c r="D32" s="563"/>
      <c r="E32" s="563">
        <f>VLOOKUP(F32,'2) Tracker'!$A$3:$O$407,15,FALSE)</f>
        <v>0</v>
      </c>
      <c r="F32" s="608" t="s">
        <v>433</v>
      </c>
      <c r="G32" s="591">
        <f>VLOOKUP(F32,'2) Tracker'!$A$2:$BO$361,2,FALSE)</f>
        <v>2016</v>
      </c>
      <c r="H32" s="592">
        <f>VLOOKUP(F32,'2) Tracker'!$A$2:$BO$361,3,FALSE)</f>
        <v>84000</v>
      </c>
      <c r="I32" s="593" t="str">
        <f>VLOOKUP(F32,'2) Tracker'!$A$2:$BO$361,9,FALSE)</f>
        <v xml:space="preserve">Petrobras&gt;swiss </v>
      </c>
      <c r="J32" s="594" t="str">
        <f>VLOOKUP(F32,'2) Tracker'!$A$2:$BO$361,12,FALSE)</f>
        <v>loads USG</v>
      </c>
      <c r="K32" s="596">
        <f t="shared" ref="K32:O32" si="61">AD32</f>
        <v>46133</v>
      </c>
      <c r="L32" s="596">
        <f t="shared" si="61"/>
        <v>46133</v>
      </c>
      <c r="M32" s="596">
        <f t="shared" si="61"/>
        <v>46165</v>
      </c>
      <c r="N32" s="596" t="str">
        <f t="shared" si="61"/>
        <v/>
      </c>
      <c r="O32" s="597" t="str">
        <f t="shared" si="61"/>
        <v/>
      </c>
      <c r="P32" s="598" t="str">
        <f>IFERROR(IF(VLOOKUP(F32,'Voyage days'!$M$808:$N$819,2,FALSE),"GOA",""),"")</f>
        <v/>
      </c>
      <c r="Q32" s="596" t="str">
        <f t="shared" ref="Q32:R32" si="62">AM32</f>
        <v/>
      </c>
      <c r="R32" s="596" t="str">
        <f t="shared" si="62"/>
        <v/>
      </c>
      <c r="S32" s="595">
        <f t="shared" si="2"/>
        <v>46153</v>
      </c>
      <c r="T32" s="596" t="str">
        <f t="shared" si="3"/>
        <v/>
      </c>
      <c r="U32" s="596" t="str">
        <f t="shared" si="4"/>
        <v/>
      </c>
      <c r="V32" s="596"/>
      <c r="W32" s="596" t="str">
        <f t="shared" si="5"/>
        <v/>
      </c>
      <c r="X32" s="599" t="str">
        <f t="shared" si="6"/>
        <v/>
      </c>
      <c r="Y32" s="594"/>
      <c r="Z32" s="600" t="str">
        <f>VLOOKUP(F32,'2) Tracker'!$A$3:$Q$505,16,FALSE)</f>
        <v>@ Suape 02 Apr, ETA USG 20 Apr</v>
      </c>
      <c r="AA32" s="600" t="str">
        <f>VLOOKUP(F32,'2) Tracker'!$A$3:$R$505,18,FALSE)</f>
        <v>Petrobras 21-22 Apr USG</v>
      </c>
      <c r="AB32" s="600">
        <f>VLOOKUP(F32,'2) Tracker'!$A$3:$Q$505,17,FALSE)</f>
        <v>0</v>
      </c>
      <c r="AC32" s="601"/>
      <c r="AD32" s="601">
        <f>VLOOKUP(F32,'2) Tracker'!$A$2:$BO$981,37,FALSE)</f>
        <v>46133</v>
      </c>
      <c r="AE32" s="601">
        <f>VLOOKUP(F32,'2) Tracker'!$A$2:$BO$981,40,FALSE)</f>
        <v>46133</v>
      </c>
      <c r="AF32" s="601">
        <f>VLOOKUP(F32,'2) Tracker'!$A$2:$BO$981,67,FALSE)</f>
        <v>46165</v>
      </c>
      <c r="AG32" s="601" t="str">
        <f>VLOOKUP(F32,'2) Tracker'!$A$2:$BO$981,34,FALSE)</f>
        <v/>
      </c>
      <c r="AH32" s="601" t="str">
        <f>VLOOKUP(F32,'2) Tracker'!$A$2:$BN$981,66,FALSE)</f>
        <v/>
      </c>
      <c r="AI32" s="601" t="str">
        <f>VLOOKUP(F32,'2) Tracker'!$A$2:$BO$981,56,FALSE)</f>
        <v/>
      </c>
      <c r="AJ32" s="601" t="str">
        <f>VLOOKUP(F32,'2) Tracker'!$A$2:$BO$981,52,FALSE)</f>
        <v/>
      </c>
      <c r="AK32" s="601" t="str">
        <f>VLOOKUP(F32,'2) Tracker'!$A$2:$AQ$981,43,FALSE)</f>
        <v/>
      </c>
      <c r="AL32" s="601">
        <f>VLOOKUP(F32,'2) Tracker'!$A$2:$BH$981,46,FALSE())</f>
        <v>46153</v>
      </c>
      <c r="AM32" s="601" t="str">
        <f>VLOOKUP(F32,'2) Tracker'!$A$2:$BO$981,65,FALSE())</f>
        <v/>
      </c>
      <c r="AN32" s="601" t="str">
        <f>VLOOKUP(F32,'2) Tracker'!$A$2:$BK$981,63,FALSE())</f>
        <v/>
      </c>
      <c r="AO32" s="601" t="str">
        <f>VLOOKUP(F32,'2) Tracker'!$A$2:$BF$981,58,FALSE())</f>
        <v/>
      </c>
      <c r="AP32" s="46"/>
      <c r="AQ32" s="46"/>
      <c r="AR32" s="46"/>
      <c r="AS32" s="46"/>
      <c r="AT32" s="46"/>
      <c r="AU32" s="46"/>
      <c r="AV32" s="46"/>
      <c r="AW32" s="46"/>
      <c r="AX32" s="46"/>
      <c r="AY32" s="46"/>
      <c r="AZ32" s="563"/>
      <c r="BA32" s="604" t="e">
        <f>VLOOKUP(AZ32,#REF!,2, FALSE)</f>
        <v>#REF!</v>
      </c>
      <c r="BB32" s="605" t="e">
        <f>VLOOKUP(AZ32,'1) Kpler'!$E$2:$F$500,2,FALSE)</f>
        <v>#N/A</v>
      </c>
      <c r="BC32" s="569"/>
      <c r="BD32" s="563"/>
      <c r="BE32" s="46"/>
      <c r="BF32" s="46"/>
      <c r="BG32" s="563"/>
      <c r="BH32" s="563"/>
      <c r="BI32" s="563"/>
      <c r="BJ32" s="563"/>
    </row>
    <row r="33" spans="2:62" x14ac:dyDescent="0.25">
      <c r="B33" s="589">
        <f>VLOOKUP(F33,'2) Tracker'!$A$3:$O$411,5,FALSE)</f>
        <v>0</v>
      </c>
      <c r="C33" s="589" t="str">
        <f>VLOOKUP(F33,'2) Tracker'!$A$3:$O$411,4,FALSE)</f>
        <v>US</v>
      </c>
      <c r="D33" s="563"/>
      <c r="E33" s="563">
        <f>VLOOKUP(F33,'2) Tracker'!$A$3:$O$407,15,FALSE)</f>
        <v>0</v>
      </c>
      <c r="F33" s="604" t="s">
        <v>615</v>
      </c>
      <c r="G33" s="615">
        <f>VLOOKUP(F33,'2) Tracker'!$A$2:$BO$361,2,FALSE)</f>
        <v>2016</v>
      </c>
      <c r="H33" s="592">
        <f>VLOOKUP(F33,'2) Tracker'!$A$2:$BO$361,3,FALSE)</f>
        <v>84000</v>
      </c>
      <c r="I33" s="594" t="str">
        <f>VLOOKUP(F33,'2) Tracker'!$A$2:$BO$361,9,FALSE)</f>
        <v>Exxon</v>
      </c>
      <c r="J33" s="594" t="str">
        <f>VLOOKUP(F33,'2) Tracker'!$A$2:$BO$361,12,FALSE)</f>
        <v>loads USG</v>
      </c>
      <c r="K33" s="596">
        <f t="shared" ref="K33:O33" si="63">AD33</f>
        <v>46133</v>
      </c>
      <c r="L33" s="596">
        <f t="shared" si="63"/>
        <v>46133</v>
      </c>
      <c r="M33" s="596">
        <f t="shared" si="63"/>
        <v>46165</v>
      </c>
      <c r="N33" s="596" t="str">
        <f t="shared" si="63"/>
        <v/>
      </c>
      <c r="O33" s="597" t="str">
        <f t="shared" si="63"/>
        <v/>
      </c>
      <c r="P33" s="598" t="str">
        <f>IFERROR(IF(VLOOKUP(F33,'Voyage days'!$M$808:$N$819,2,FALSE),"GOA",""),"")</f>
        <v/>
      </c>
      <c r="Q33" s="596" t="str">
        <f t="shared" ref="Q33:R33" si="64">AM33</f>
        <v/>
      </c>
      <c r="R33" s="596" t="str">
        <f t="shared" si="64"/>
        <v/>
      </c>
      <c r="S33" s="595">
        <f t="shared" si="2"/>
        <v>46153</v>
      </c>
      <c r="T33" s="596" t="str">
        <f t="shared" si="3"/>
        <v/>
      </c>
      <c r="U33" s="596" t="str">
        <f t="shared" si="4"/>
        <v/>
      </c>
      <c r="V33" s="570" t="s">
        <v>1577</v>
      </c>
      <c r="W33" s="596" t="str">
        <f t="shared" si="5"/>
        <v/>
      </c>
      <c r="X33" s="599" t="str">
        <f t="shared" si="6"/>
        <v/>
      </c>
      <c r="Y33" s="594"/>
      <c r="Z33" s="600" t="str">
        <f>VLOOKUP(F33,'2) Tracker'!$A$3:$Q$505,16,FALSE)</f>
        <v>ETA Freeport 20 Apr via Cape</v>
      </c>
      <c r="AA33" s="600" t="str">
        <f>VLOOKUP(F33,'2) Tracker'!$A$3:$R$505,18,FALSE)</f>
        <v>Swiss via Pdec 21-22 April Freeport</v>
      </c>
      <c r="AB33" s="600">
        <f>VLOOKUP(F33,'2) Tracker'!$A$3:$Q$505,17,FALSE)</f>
        <v>0</v>
      </c>
      <c r="AC33" s="601"/>
      <c r="AD33" s="601">
        <f>VLOOKUP(F33,'2) Tracker'!$A$2:$BO$981,37,FALSE)</f>
        <v>46133</v>
      </c>
      <c r="AE33" s="601">
        <f>VLOOKUP(F33,'2) Tracker'!$A$2:$BO$981,40,FALSE)</f>
        <v>46133</v>
      </c>
      <c r="AF33" s="601">
        <f>VLOOKUP(F33,'2) Tracker'!$A$2:$BO$981,67,FALSE)</f>
        <v>46165</v>
      </c>
      <c r="AG33" s="601" t="str">
        <f>VLOOKUP(F33,'2) Tracker'!$A$2:$BO$981,34,FALSE)</f>
        <v/>
      </c>
      <c r="AH33" s="601" t="str">
        <f>VLOOKUP(F33,'2) Tracker'!$A$2:$BN$981,66,FALSE)</f>
        <v/>
      </c>
      <c r="AI33" s="601" t="str">
        <f>VLOOKUP(F33,'2) Tracker'!$A$2:$BO$981,56,FALSE)</f>
        <v/>
      </c>
      <c r="AJ33" s="601" t="str">
        <f>VLOOKUP(F33,'2) Tracker'!$A$2:$BO$981,52,FALSE)</f>
        <v/>
      </c>
      <c r="AK33" s="601" t="str">
        <f>VLOOKUP(F33,'2) Tracker'!$A$2:$AQ$981,43,FALSE)</f>
        <v/>
      </c>
      <c r="AL33" s="601">
        <f>VLOOKUP(F33,'2) Tracker'!$A$2:$BH$981,46,FALSE())</f>
        <v>46153</v>
      </c>
      <c r="AM33" s="601" t="str">
        <f>VLOOKUP(F33,'2) Tracker'!$A$2:$BO$981,65,FALSE())</f>
        <v/>
      </c>
      <c r="AN33" s="601" t="str">
        <f>VLOOKUP(F33,'2) Tracker'!$A$2:$BK$981,63,FALSE())</f>
        <v/>
      </c>
      <c r="AO33" s="601" t="str">
        <f>VLOOKUP(F33,'2) Tracker'!$A$2:$BF$981,58,FALSE())</f>
        <v/>
      </c>
      <c r="AP33" s="46"/>
      <c r="AQ33" s="46"/>
      <c r="AR33" s="46"/>
      <c r="AS33" s="46"/>
      <c r="AT33" s="46"/>
      <c r="AU33" s="46"/>
      <c r="AV33" s="46"/>
      <c r="AW33" s="46"/>
      <c r="AX33" s="46"/>
      <c r="AY33" s="46"/>
      <c r="AZ33" s="563"/>
      <c r="BA33" s="569"/>
      <c r="BB33" s="563"/>
      <c r="BC33" s="569"/>
      <c r="BD33" s="563"/>
      <c r="BE33" s="46"/>
      <c r="BF33" s="46"/>
      <c r="BG33" s="563"/>
      <c r="BH33" s="563"/>
      <c r="BI33" s="563"/>
      <c r="BJ33" s="563"/>
    </row>
    <row r="34" spans="2:62" x14ac:dyDescent="0.25">
      <c r="B34" s="589">
        <f>VLOOKUP(F34,'2) Tracker'!$A$3:$O$411,5,FALSE)</f>
        <v>0</v>
      </c>
      <c r="C34" s="589">
        <f>VLOOKUP(F34,'2) Tracker'!$A$3:$O$411,4,FALSE)</f>
        <v>0</v>
      </c>
      <c r="D34" s="563"/>
      <c r="E34" s="563">
        <f>VLOOKUP(F34,'2) Tracker'!$A$3:$O$407,15,FALSE)</f>
        <v>0</v>
      </c>
      <c r="F34" s="604" t="s">
        <v>1433</v>
      </c>
      <c r="G34" s="607">
        <f>VLOOKUP(F34,'2) Tracker'!$A$2:$BO$361,2,FALSE)</f>
        <v>42297</v>
      </c>
      <c r="H34" s="592">
        <f>VLOOKUP(F34,'2) Tracker'!$A$2:$BO$361,3,FALSE)</f>
        <v>83000</v>
      </c>
      <c r="I34" s="593" t="str">
        <f>VLOOKUP(F34,'2) Tracker'!$A$2:$BO$361,9,FALSE)</f>
        <v>BW</v>
      </c>
      <c r="J34" s="594" t="str">
        <f>VLOOKUP(F34,'2) Tracker'!$A$2:$BO$361,12,FALSE)</f>
        <v>loads USG</v>
      </c>
      <c r="K34" s="596">
        <f t="shared" ref="K34:O34" si="65">AD34</f>
        <v>46133</v>
      </c>
      <c r="L34" s="596">
        <f t="shared" si="65"/>
        <v>46133</v>
      </c>
      <c r="M34" s="596">
        <f t="shared" si="65"/>
        <v>46165</v>
      </c>
      <c r="N34" s="596" t="str">
        <f t="shared" si="65"/>
        <v/>
      </c>
      <c r="O34" s="597" t="str">
        <f t="shared" si="65"/>
        <v/>
      </c>
      <c r="P34" s="598" t="str">
        <f>IFERROR(IF(VLOOKUP(F34,'Voyage days'!$M$808:$N$819,2,FALSE),"GOA",""),"")</f>
        <v/>
      </c>
      <c r="Q34" s="596" t="str">
        <f t="shared" ref="Q34:R34" si="66">AM34</f>
        <v/>
      </c>
      <c r="R34" s="596" t="str">
        <f t="shared" si="66"/>
        <v/>
      </c>
      <c r="S34" s="595">
        <f t="shared" si="2"/>
        <v>46153</v>
      </c>
      <c r="T34" s="596" t="str">
        <f t="shared" si="3"/>
        <v/>
      </c>
      <c r="U34" s="596" t="str">
        <f t="shared" si="4"/>
        <v/>
      </c>
      <c r="V34" s="596"/>
      <c r="W34" s="596" t="str">
        <f t="shared" si="5"/>
        <v/>
      </c>
      <c r="X34" s="599" t="str">
        <f t="shared" si="6"/>
        <v/>
      </c>
      <c r="Y34" s="594"/>
      <c r="Z34" s="600" t="str">
        <f>VLOOKUP(F34,'2) Tracker'!$A$3:$Q$505,16,FALSE)</f>
        <v>@ Galveston 19 Apr, waiting to berth</v>
      </c>
      <c r="AA34" s="600" t="str">
        <f>VLOOKUP(F34,'2) Tracker'!$A$3:$R$505,18,FALSE)</f>
        <v>COA? 21-22 Apr Freeport</v>
      </c>
      <c r="AB34" s="600">
        <f>VLOOKUP(F34,'2) Tracker'!$A$3:$Q$505,17,FALSE)</f>
        <v>0</v>
      </c>
      <c r="AC34" s="601"/>
      <c r="AD34" s="601">
        <f>VLOOKUP(F34,'2) Tracker'!$A$2:$BO$981,37,FALSE)</f>
        <v>46133</v>
      </c>
      <c r="AE34" s="601">
        <f>VLOOKUP(F34,'2) Tracker'!$A$2:$BO$981,40,FALSE)</f>
        <v>46133</v>
      </c>
      <c r="AF34" s="601">
        <f>VLOOKUP(F34,'2) Tracker'!$A$2:$BO$981,67,FALSE)</f>
        <v>46165</v>
      </c>
      <c r="AG34" s="601" t="str">
        <f>VLOOKUP(F34,'2) Tracker'!$A$2:$BO$981,34,FALSE)</f>
        <v/>
      </c>
      <c r="AH34" s="601" t="str">
        <f>VLOOKUP(F34,'2) Tracker'!$A$2:$BN$981,66,FALSE)</f>
        <v/>
      </c>
      <c r="AI34" s="601" t="str">
        <f>VLOOKUP(F34,'2) Tracker'!$A$2:$BO$981,56,FALSE)</f>
        <v/>
      </c>
      <c r="AJ34" s="601" t="str">
        <f>VLOOKUP(F34,'2) Tracker'!$A$2:$BO$981,52,FALSE)</f>
        <v/>
      </c>
      <c r="AK34" s="601" t="str">
        <f>VLOOKUP(F34,'2) Tracker'!$A$2:$AQ$981,43,FALSE)</f>
        <v/>
      </c>
      <c r="AL34" s="601">
        <f>VLOOKUP(F34,'2) Tracker'!$A$2:$BH$981,46,FALSE())</f>
        <v>46153</v>
      </c>
      <c r="AM34" s="601" t="str">
        <f>VLOOKUP(F34,'2) Tracker'!$A$2:$BO$981,65,FALSE())</f>
        <v/>
      </c>
      <c r="AN34" s="601" t="str">
        <f>VLOOKUP(F34,'2) Tracker'!$A$2:$BK$981,63,FALSE())</f>
        <v/>
      </c>
      <c r="AO34" s="601" t="str">
        <f>VLOOKUP(F34,'2) Tracker'!$A$2:$BF$981,58,FALSE())</f>
        <v/>
      </c>
      <c r="AP34" s="46"/>
      <c r="AQ34" s="46"/>
      <c r="AR34" s="46"/>
      <c r="AS34" s="46"/>
      <c r="AT34" s="46"/>
      <c r="AU34" s="46"/>
      <c r="AV34" s="46"/>
      <c r="AW34" s="46"/>
      <c r="AX34" s="46"/>
      <c r="AY34" s="46"/>
      <c r="AZ34" s="563"/>
      <c r="BA34" s="569"/>
      <c r="BB34" s="563"/>
      <c r="BC34" s="569"/>
      <c r="BD34" s="563"/>
      <c r="BE34" s="46"/>
      <c r="BF34" s="46"/>
      <c r="BG34" s="563"/>
      <c r="BH34" s="563"/>
      <c r="BI34" s="563"/>
      <c r="BJ34" s="563"/>
    </row>
    <row r="35" spans="2:62" x14ac:dyDescent="0.25">
      <c r="B35" s="589">
        <f>VLOOKUP(F35,'2) Tracker'!$A$3:$O$411,5,FALSE)</f>
        <v>0</v>
      </c>
      <c r="C35" s="589">
        <f>VLOOKUP(F35,'2) Tracker'!$A$3:$O$411,4,FALSE)</f>
        <v>0</v>
      </c>
      <c r="D35" s="563"/>
      <c r="E35" s="563">
        <f>VLOOKUP(F35,'2) Tracker'!$A$3:$O$407,15,FALSE)</f>
        <v>0</v>
      </c>
      <c r="F35" s="604" t="s">
        <v>333</v>
      </c>
      <c r="G35" s="607">
        <f>VLOOKUP(F35,'2) Tracker'!$A$2:$BO$361,2,FALSE)</f>
        <v>42429</v>
      </c>
      <c r="H35" s="592">
        <f>VLOOKUP(F35,'2) Tracker'!$A$2:$BO$361,3,FALSE)</f>
        <v>84000</v>
      </c>
      <c r="I35" s="594" t="str">
        <f>VLOOKUP(F35,'2) Tracker'!$A$2:$BO$361,9,FALSE)</f>
        <v>Petredec&gt;Itochu</v>
      </c>
      <c r="J35" s="594" t="str">
        <f>VLOOKUP(F35,'2) Tracker'!$A$2:$BO$361,12,FALSE)</f>
        <v>loads USG</v>
      </c>
      <c r="K35" s="596">
        <f t="shared" ref="K35:O35" si="67">AD35</f>
        <v>46133</v>
      </c>
      <c r="L35" s="596">
        <f t="shared" si="67"/>
        <v>46133</v>
      </c>
      <c r="M35" s="596">
        <f t="shared" si="67"/>
        <v>46165</v>
      </c>
      <c r="N35" s="596" t="str">
        <f t="shared" si="67"/>
        <v/>
      </c>
      <c r="O35" s="597" t="str">
        <f t="shared" si="67"/>
        <v/>
      </c>
      <c r="P35" s="598" t="str">
        <f>IFERROR(IF(VLOOKUP(F35,'Voyage days'!$M$808:$N$819,2,FALSE),"GOA",""),"")</f>
        <v/>
      </c>
      <c r="Q35" s="596" t="str">
        <f t="shared" ref="Q35:R35" si="68">AM35</f>
        <v/>
      </c>
      <c r="R35" s="596" t="str">
        <f t="shared" si="68"/>
        <v/>
      </c>
      <c r="S35" s="595">
        <f t="shared" si="2"/>
        <v>46153</v>
      </c>
      <c r="T35" s="596" t="str">
        <f t="shared" si="3"/>
        <v/>
      </c>
      <c r="U35" s="596" t="str">
        <f t="shared" si="4"/>
        <v/>
      </c>
      <c r="V35" s="596"/>
      <c r="W35" s="596" t="str">
        <f t="shared" si="5"/>
        <v/>
      </c>
      <c r="X35" s="599" t="str">
        <f t="shared" si="6"/>
        <v/>
      </c>
      <c r="Y35" s="614"/>
      <c r="Z35" s="600" t="str">
        <f>VLOOKUP(F35,'2) Tracker'!$A$3:$Q$505,16,FALSE)</f>
        <v>ex DD, ETA Balboa 14 Apr</v>
      </c>
      <c r="AA35" s="600" t="str">
        <f>VLOOKUP(F35,'2) Tracker'!$A$3:$R$505,18,FALSE)</f>
        <v>Petredec 21-22 Apr USG</v>
      </c>
      <c r="AB35" s="600">
        <f>VLOOKUP(F35,'2) Tracker'!$A$3:$Q$505,17,FALSE)</f>
        <v>0</v>
      </c>
      <c r="AC35" s="601"/>
      <c r="AD35" s="601">
        <f>VLOOKUP(F35,'2) Tracker'!$A$2:$BO$981,37,FALSE)</f>
        <v>46133</v>
      </c>
      <c r="AE35" s="601">
        <f>VLOOKUP(F35,'2) Tracker'!$A$2:$BO$981,40,FALSE)</f>
        <v>46133</v>
      </c>
      <c r="AF35" s="601">
        <f>VLOOKUP(F35,'2) Tracker'!$A$2:$BO$981,67,FALSE)</f>
        <v>46165</v>
      </c>
      <c r="AG35" s="601" t="str">
        <f>VLOOKUP(F35,'2) Tracker'!$A$2:$BO$981,34,FALSE)</f>
        <v/>
      </c>
      <c r="AH35" s="601" t="str">
        <f>VLOOKUP(F35,'2) Tracker'!$A$2:$BN$981,66,FALSE)</f>
        <v/>
      </c>
      <c r="AI35" s="601" t="str">
        <f>VLOOKUP(F35,'2) Tracker'!$A$2:$BO$981,56,FALSE)</f>
        <v/>
      </c>
      <c r="AJ35" s="601" t="str">
        <f>VLOOKUP(F35,'2) Tracker'!$A$2:$BO$981,52,FALSE)</f>
        <v/>
      </c>
      <c r="AK35" s="601" t="str">
        <f>VLOOKUP(F35,'2) Tracker'!$A$2:$AQ$981,43,FALSE)</f>
        <v/>
      </c>
      <c r="AL35" s="601">
        <f>VLOOKUP(F35,'2) Tracker'!$A$2:$BH$981,46,FALSE())</f>
        <v>46153</v>
      </c>
      <c r="AM35" s="601" t="str">
        <f>VLOOKUP(F35,'2) Tracker'!$A$2:$BO$981,65,FALSE())</f>
        <v/>
      </c>
      <c r="AN35" s="601" t="str">
        <f>VLOOKUP(F35,'2) Tracker'!$A$2:$BK$981,63,FALSE())</f>
        <v/>
      </c>
      <c r="AO35" s="601" t="str">
        <f>VLOOKUP(F35,'2) Tracker'!$A$2:$BF$981,58,FALSE())</f>
        <v/>
      </c>
      <c r="AP35" s="46"/>
      <c r="AQ35" s="46"/>
      <c r="AR35" s="46"/>
      <c r="AS35" s="46"/>
      <c r="AT35" s="46"/>
      <c r="AU35" s="46"/>
      <c r="AV35" s="46"/>
      <c r="AW35" s="46"/>
      <c r="AX35" s="46"/>
      <c r="AY35" s="46"/>
      <c r="AZ35" s="563"/>
      <c r="BA35" s="604" t="e">
        <f>VLOOKUP(AZ35,#REF!,2, FALSE)</f>
        <v>#REF!</v>
      </c>
      <c r="BB35" s="605" t="e">
        <f>VLOOKUP(AZ35,'1) Kpler'!$E$2:$F$500,2,FALSE)</f>
        <v>#N/A</v>
      </c>
      <c r="BC35" s="569"/>
      <c r="BD35" s="563"/>
      <c r="BE35" s="46"/>
      <c r="BF35" s="46"/>
      <c r="BG35" s="563"/>
      <c r="BH35" s="563"/>
      <c r="BI35" s="563"/>
      <c r="BJ35" s="563"/>
    </row>
    <row r="36" spans="2:62" x14ac:dyDescent="0.25">
      <c r="B36" s="589">
        <f>VLOOKUP(F36,'2) Tracker'!$A$3:$O$411,5,FALSE)</f>
        <v>0</v>
      </c>
      <c r="C36" s="589">
        <f>VLOOKUP(F36,'2) Tracker'!$A$3:$O$411,4,FALSE)</f>
        <v>0</v>
      </c>
      <c r="D36" s="605"/>
      <c r="E36" s="605" t="str">
        <f>VLOOKUP(F36,'2) Tracker'!$A$3:$O$407,15,FALSE)</f>
        <v>R?</v>
      </c>
      <c r="F36" s="604" t="s">
        <v>316</v>
      </c>
      <c r="G36" s="591">
        <f>VLOOKUP(F36,'2) Tracker'!$A$2:$BO$361,2,FALSE)</f>
        <v>2023</v>
      </c>
      <c r="H36" s="592">
        <f>VLOOKUP(F36,'2) Tracker'!$A$2:$BO$361,3,FALSE)</f>
        <v>93000</v>
      </c>
      <c r="I36" s="594" t="str">
        <f>VLOOKUP(F36,'2) Tracker'!$A$2:$BO$361,9,FALSE)</f>
        <v>Mercuria</v>
      </c>
      <c r="J36" s="594" t="str">
        <f>VLOOKUP(F36,'2) Tracker'!$A$2:$BO$361,12,FALSE)</f>
        <v>loads USG</v>
      </c>
      <c r="K36" s="596">
        <f t="shared" ref="K36:O36" si="69">AD36</f>
        <v>46134</v>
      </c>
      <c r="L36" s="596">
        <f t="shared" si="69"/>
        <v>46134</v>
      </c>
      <c r="M36" s="596">
        <f t="shared" si="69"/>
        <v>46166</v>
      </c>
      <c r="N36" s="596" t="str">
        <f t="shared" si="69"/>
        <v/>
      </c>
      <c r="O36" s="597" t="str">
        <f t="shared" si="69"/>
        <v/>
      </c>
      <c r="P36" s="598" t="str">
        <f>IFERROR(IF(VLOOKUP(F36,'Voyage days'!$M$808:$N$819,2,FALSE),"GOA",""),"")</f>
        <v/>
      </c>
      <c r="Q36" s="596" t="str">
        <f t="shared" ref="Q36:R36" si="70">AM36</f>
        <v/>
      </c>
      <c r="R36" s="596" t="str">
        <f t="shared" si="70"/>
        <v/>
      </c>
      <c r="S36" s="595">
        <f t="shared" si="2"/>
        <v>46154</v>
      </c>
      <c r="T36" s="596" t="str">
        <f t="shared" si="3"/>
        <v/>
      </c>
      <c r="U36" s="596" t="str">
        <f t="shared" si="4"/>
        <v/>
      </c>
      <c r="V36" s="596"/>
      <c r="W36" s="596" t="str">
        <f t="shared" si="5"/>
        <v/>
      </c>
      <c r="X36" s="599" t="str">
        <f t="shared" si="6"/>
        <v/>
      </c>
      <c r="Y36" s="594"/>
      <c r="Z36" s="600" t="str">
        <f>VLOOKUP(F36,'2) Tracker'!$A$3:$Q$505,16,FALSE)</f>
        <v>@ Balboa 12 Apr / not a relet but can look at reshuffling</v>
      </c>
      <c r="AA36" s="600" t="str">
        <f>VLOOKUP(F36,'2) Tracker'!$A$3:$R$505,18,FALSE)</f>
        <v>Total 01-02 Feb Nederland</v>
      </c>
      <c r="AB36" s="600">
        <f>VLOOKUP(F36,'2) Tracker'!$A$3:$Q$505,17,FALSE)</f>
        <v>0</v>
      </c>
      <c r="AC36" s="601"/>
      <c r="AD36" s="601">
        <f>VLOOKUP(F36,'2) Tracker'!$A$2:$BO$981,37,FALSE)</f>
        <v>46134</v>
      </c>
      <c r="AE36" s="601">
        <f>VLOOKUP(F36,'2) Tracker'!$A$2:$BO$981,40,FALSE)</f>
        <v>46134</v>
      </c>
      <c r="AF36" s="601">
        <f>VLOOKUP(F36,'2) Tracker'!$A$2:$BO$981,67,FALSE)</f>
        <v>46166</v>
      </c>
      <c r="AG36" s="601" t="str">
        <f>VLOOKUP(F36,'2) Tracker'!$A$2:$BO$981,34,FALSE)</f>
        <v/>
      </c>
      <c r="AH36" s="601" t="str">
        <f>VLOOKUP(F36,'2) Tracker'!$A$2:$BN$981,66,FALSE)</f>
        <v/>
      </c>
      <c r="AI36" s="601" t="str">
        <f>VLOOKUP(F36,'2) Tracker'!$A$2:$BO$981,56,FALSE)</f>
        <v/>
      </c>
      <c r="AJ36" s="601" t="str">
        <f>VLOOKUP(F36,'2) Tracker'!$A$2:$BO$981,52,FALSE)</f>
        <v/>
      </c>
      <c r="AK36" s="601" t="str">
        <f>VLOOKUP(F36,'2) Tracker'!$A$2:$AQ$981,43,FALSE)</f>
        <v/>
      </c>
      <c r="AL36" s="601">
        <f>VLOOKUP(F36,'2) Tracker'!$A$2:$BH$981,46,FALSE())</f>
        <v>46154</v>
      </c>
      <c r="AM36" s="601" t="str">
        <f>VLOOKUP(F36,'2) Tracker'!$A$2:$BO$981,65,FALSE())</f>
        <v/>
      </c>
      <c r="AN36" s="601" t="str">
        <f>VLOOKUP(F36,'2) Tracker'!$A$2:$BK$981,63,FALSE())</f>
        <v/>
      </c>
      <c r="AO36" s="601" t="str">
        <f>VLOOKUP(F36,'2) Tracker'!$A$2:$BF$981,58,FALSE())</f>
        <v/>
      </c>
      <c r="AP36" s="46"/>
      <c r="AQ36" s="46"/>
      <c r="AR36" s="46"/>
      <c r="AS36" s="46"/>
      <c r="AT36" s="46"/>
      <c r="AU36" s="46"/>
      <c r="AV36" s="46"/>
      <c r="AW36" s="46"/>
      <c r="AX36" s="46"/>
      <c r="AY36" s="46"/>
      <c r="AZ36" s="563"/>
      <c r="BA36" s="604" t="e">
        <f>VLOOKUP(AZ36,#REF!,2, FALSE)</f>
        <v>#REF!</v>
      </c>
      <c r="BB36" s="605" t="e">
        <f>VLOOKUP(AZ36,'1) Kpler'!$E$2:$F$500,2,FALSE)</f>
        <v>#N/A</v>
      </c>
      <c r="BC36" s="569"/>
      <c r="BD36" s="563"/>
      <c r="BE36" s="46"/>
      <c r="BF36" s="46"/>
      <c r="BG36" s="563"/>
      <c r="BH36" s="563"/>
      <c r="BI36" s="563"/>
      <c r="BJ36" s="563"/>
    </row>
    <row r="37" spans="2:62" x14ac:dyDescent="0.25">
      <c r="B37" s="589">
        <f>VLOOKUP(F37,'2) Tracker'!$A$3:$O$411,5,FALSE)</f>
        <v>0</v>
      </c>
      <c r="C37" s="589">
        <f>VLOOKUP(F37,'2) Tracker'!$A$3:$O$411,4,FALSE)</f>
        <v>0</v>
      </c>
      <c r="D37" s="563"/>
      <c r="E37" s="563">
        <f>VLOOKUP(F37,'2) Tracker'!$A$3:$O$407,15,FALSE)</f>
        <v>0</v>
      </c>
      <c r="F37" s="608" t="str">
        <f>'2) Tracker'!A220</f>
        <v>Albert</v>
      </c>
      <c r="G37" s="617">
        <f>VLOOKUP(F37,'2) Tracker'!$A$2:$BO$361,2,FALSE)</f>
        <v>41817</v>
      </c>
      <c r="H37" s="592">
        <f>VLOOKUP(F37,'2) Tracker'!$A$2:$BO$361,3,FALSE)</f>
        <v>84000</v>
      </c>
      <c r="I37" s="593" t="str">
        <f>VLOOKUP(F37,'2) Tracker'!$A$2:$BO$361,9,FALSE)</f>
        <v>Tomza</v>
      </c>
      <c r="J37" s="594" t="str">
        <f>VLOOKUP(F37,'2) Tracker'!$A$2:$BO$361,12,FALSE)</f>
        <v>Mexico</v>
      </c>
      <c r="K37" s="596">
        <f t="shared" ref="K37:O37" si="71">AD37</f>
        <v>46134</v>
      </c>
      <c r="L37" s="596">
        <f t="shared" si="71"/>
        <v>46136</v>
      </c>
      <c r="M37" s="596" t="str">
        <f t="shared" si="71"/>
        <v/>
      </c>
      <c r="N37" s="596" t="str">
        <f t="shared" si="71"/>
        <v/>
      </c>
      <c r="O37" s="597" t="str">
        <f t="shared" si="71"/>
        <v/>
      </c>
      <c r="P37" s="598" t="str">
        <f>IFERROR(IF(VLOOKUP(F37,'Voyage days'!$M$808:$N$819,2,FALSE),"GOA",""),"")</f>
        <v/>
      </c>
      <c r="Q37" s="596">
        <f t="shared" ref="Q37:R37" si="72">AM37</f>
        <v>46133</v>
      </c>
      <c r="R37" s="596">
        <f t="shared" si="72"/>
        <v>46152</v>
      </c>
      <c r="S37" s="595">
        <f t="shared" si="2"/>
        <v>46145</v>
      </c>
      <c r="T37" s="596">
        <f t="shared" si="3"/>
        <v>46150</v>
      </c>
      <c r="U37" s="596" t="str">
        <f t="shared" si="4"/>
        <v/>
      </c>
      <c r="V37" s="596"/>
      <c r="W37" s="596" t="str">
        <f t="shared" si="5"/>
        <v/>
      </c>
      <c r="X37" s="599" t="str">
        <f t="shared" si="6"/>
        <v/>
      </c>
      <c r="Y37" s="594"/>
      <c r="Z37" s="600" t="str">
        <f>VLOOKUP(F37,'2) Tracker'!$A$3:$Q$505,16,FALSE)</f>
        <v>@ Pajaritos 15 Apr</v>
      </c>
      <c r="AA37" s="600" t="str">
        <f>VLOOKUP(F37,'2) Tracker'!$A$3:$R$505,18,FALSE)</f>
        <v>Tomza 23 Mar Targa</v>
      </c>
      <c r="AB37" s="600">
        <f>VLOOKUP(F37,'2) Tracker'!$A$3:$Q$505,17,FALSE)</f>
        <v>0</v>
      </c>
      <c r="AC37" s="601"/>
      <c r="AD37" s="601">
        <f>VLOOKUP(F37,'2) Tracker'!$A$2:$BO$981,37,FALSE)</f>
        <v>46134</v>
      </c>
      <c r="AE37" s="601">
        <f>VLOOKUP(F37,'2) Tracker'!$A$2:$BO$981,40,FALSE)</f>
        <v>46136</v>
      </c>
      <c r="AF37" s="601" t="str">
        <f>VLOOKUP(F37,'2) Tracker'!$A$2:$BO$981,67,FALSE)</f>
        <v/>
      </c>
      <c r="AG37" s="601" t="str">
        <f>VLOOKUP(F37,'2) Tracker'!$A$2:$BO$981,34,FALSE)</f>
        <v/>
      </c>
      <c r="AH37" s="601" t="str">
        <f>VLOOKUP(F37,'2) Tracker'!$A$2:$BN$981,66,FALSE)</f>
        <v/>
      </c>
      <c r="AI37" s="620" t="str">
        <f>VLOOKUP(F37,'2) Tracker'!$A$2:$BO$981,56,FALSE)</f>
        <v/>
      </c>
      <c r="AJ37" s="620" t="str">
        <f>VLOOKUP(F37,'2) Tracker'!$A$2:$BO$981,52,FALSE)</f>
        <v/>
      </c>
      <c r="AK37" s="620">
        <f>VLOOKUP(F37,'2) Tracker'!$A$2:$AQ$981,43,FALSE)</f>
        <v>46150</v>
      </c>
      <c r="AL37" s="621">
        <f>VLOOKUP(F37,'2) Tracker'!$A$2:$BH$981,46,FALSE())</f>
        <v>46145</v>
      </c>
      <c r="AM37" s="621">
        <f>VLOOKUP(F37,'2) Tracker'!$A$2:$BO$981,65,FALSE())</f>
        <v>46133</v>
      </c>
      <c r="AN37" s="621">
        <f>VLOOKUP(F37,'2) Tracker'!$A$2:$BK$981,63,FALSE())</f>
        <v>46152</v>
      </c>
      <c r="AO37" s="621" t="str">
        <f>VLOOKUP(F37,'2) Tracker'!$A$2:$BF$981,58,FALSE())</f>
        <v/>
      </c>
      <c r="AP37" s="46"/>
      <c r="AQ37" s="46"/>
      <c r="AR37" s="46"/>
      <c r="AS37" s="46"/>
      <c r="AT37" s="46"/>
      <c r="AU37" s="46"/>
      <c r="AV37" s="46"/>
      <c r="AW37" s="46"/>
      <c r="AX37" s="46"/>
      <c r="AY37" s="46"/>
      <c r="AZ37" s="563"/>
      <c r="BA37" s="569"/>
      <c r="BB37" s="563"/>
      <c r="BC37" s="569"/>
      <c r="BD37" s="563"/>
      <c r="BE37" s="46"/>
      <c r="BF37" s="46"/>
      <c r="BG37" s="563"/>
      <c r="BH37" s="563"/>
      <c r="BI37" s="563"/>
      <c r="BJ37" s="563"/>
    </row>
    <row r="38" spans="2:62" x14ac:dyDescent="0.25">
      <c r="B38" s="589" t="str">
        <f>VLOOKUP(F38,'2) Tracker'!$A$3:$O$411,5,FALSE)</f>
        <v>C</v>
      </c>
      <c r="C38" s="589">
        <f>VLOOKUP(F38,'2) Tracker'!$A$3:$O$411,4,FALSE)</f>
        <v>0</v>
      </c>
      <c r="D38" s="563"/>
      <c r="E38" s="563">
        <f>VLOOKUP(F38,'2) Tracker'!$A$3:$O$407,15,FALSE)</f>
        <v>0</v>
      </c>
      <c r="F38" s="604" t="s">
        <v>447</v>
      </c>
      <c r="G38" s="591">
        <f>VLOOKUP(F38,'2) Tracker'!$A$2:$BO$361,2,FALSE)</f>
        <v>2023</v>
      </c>
      <c r="H38" s="592">
        <f>VLOOKUP(F38,'2) Tracker'!$A$2:$BO$361,3,FALSE)</f>
        <v>91000</v>
      </c>
      <c r="I38" s="594" t="str">
        <f>VLOOKUP(F38,'2) Tracker'!$A$2:$BO$361,9,FALSE)</f>
        <v>BW</v>
      </c>
      <c r="J38" s="594" t="str">
        <f>VLOOKUP(F38,'2) Tracker'!$A$2:$BO$361,12,FALSE)</f>
        <v>loads USG</v>
      </c>
      <c r="K38" s="595">
        <f t="shared" ref="K38:O38" si="73">AD38</f>
        <v>46134</v>
      </c>
      <c r="L38" s="595">
        <f t="shared" si="73"/>
        <v>46134</v>
      </c>
      <c r="M38" s="596">
        <f t="shared" si="73"/>
        <v>46166</v>
      </c>
      <c r="N38" s="596" t="str">
        <f t="shared" si="73"/>
        <v/>
      </c>
      <c r="O38" s="597" t="str">
        <f t="shared" si="73"/>
        <v/>
      </c>
      <c r="P38" s="598" t="str">
        <f>IFERROR(IF(VLOOKUP(F38,'Voyage days'!$M$808:$N$819,2,FALSE),"GOA",""),"")</f>
        <v/>
      </c>
      <c r="Q38" s="596" t="str">
        <f t="shared" ref="Q38:R38" si="74">AM38</f>
        <v/>
      </c>
      <c r="R38" s="595" t="str">
        <f t="shared" si="74"/>
        <v/>
      </c>
      <c r="S38" s="595">
        <f t="shared" si="2"/>
        <v>46154</v>
      </c>
      <c r="T38" s="596" t="str">
        <f t="shared" si="3"/>
        <v/>
      </c>
      <c r="U38" s="595" t="str">
        <f t="shared" si="4"/>
        <v/>
      </c>
      <c r="V38" s="595"/>
      <c r="W38" s="595" t="str">
        <f t="shared" si="5"/>
        <v/>
      </c>
      <c r="X38" s="599" t="str">
        <f t="shared" si="6"/>
        <v/>
      </c>
      <c r="Y38" s="594"/>
      <c r="Z38" s="600" t="str">
        <f>VLOOKUP(F38,'2) Tracker'!$A$3:$Q$505,16,FALSE)</f>
        <v>@ Houston anchorage 14 Apr, waiting to berth</v>
      </c>
      <c r="AA38" s="600" t="str">
        <f>VLOOKUP(F38,'2) Tracker'!$A$3:$R$505,18,FALSE)</f>
        <v>ATC 16-17 Apr USG</v>
      </c>
      <c r="AB38" s="600">
        <f>VLOOKUP(F38,'2) Tracker'!$A$3:$Q$505,17,FALSE)</f>
        <v>0</v>
      </c>
      <c r="AC38" s="601"/>
      <c r="AD38" s="601">
        <f>VLOOKUP(F38,'2) Tracker'!$A$2:$BO$981,37,FALSE)</f>
        <v>46134</v>
      </c>
      <c r="AE38" s="601">
        <f>VLOOKUP(F38,'2) Tracker'!$A$2:$BO$981,40,FALSE)</f>
        <v>46134</v>
      </c>
      <c r="AF38" s="601">
        <f>VLOOKUP(F38,'2) Tracker'!$A$2:$BO$981,67,FALSE)</f>
        <v>46166</v>
      </c>
      <c r="AG38" s="601" t="str">
        <f>VLOOKUP(F38,'2) Tracker'!$A$2:$BO$981,34,FALSE)</f>
        <v/>
      </c>
      <c r="AH38" s="601" t="str">
        <f>VLOOKUP(F38,'2) Tracker'!$A$2:$BN$981,66,FALSE)</f>
        <v/>
      </c>
      <c r="AI38" s="601" t="str">
        <f>VLOOKUP(F38,'2) Tracker'!$A$2:$BO$981,56,FALSE)</f>
        <v/>
      </c>
      <c r="AJ38" s="601" t="str">
        <f>VLOOKUP(F38,'2) Tracker'!$A$2:$BO$981,52,FALSE)</f>
        <v/>
      </c>
      <c r="AK38" s="601" t="str">
        <f>VLOOKUP(F38,'2) Tracker'!$A$2:$AQ$981,43,FALSE)</f>
        <v/>
      </c>
      <c r="AL38" s="601">
        <f>VLOOKUP(F38,'2) Tracker'!$A$2:$BH$981,46,FALSE())</f>
        <v>46154</v>
      </c>
      <c r="AM38" s="601" t="str">
        <f>VLOOKUP(F38,'2) Tracker'!$A$2:$BO$981,65,FALSE())</f>
        <v/>
      </c>
      <c r="AN38" s="601" t="str">
        <f>VLOOKUP(F38,'2) Tracker'!$A$2:$BK$981,63,FALSE())</f>
        <v/>
      </c>
      <c r="AO38" s="601" t="str">
        <f>VLOOKUP(F38,'2) Tracker'!$A$2:$BF$981,58,FALSE())</f>
        <v/>
      </c>
      <c r="AP38" s="46"/>
      <c r="AQ38" s="46"/>
      <c r="AR38" s="46"/>
      <c r="AS38" s="46"/>
      <c r="AT38" s="46"/>
      <c r="AU38" s="46"/>
      <c r="AV38" s="46"/>
      <c r="AW38" s="46"/>
      <c r="AX38" s="46"/>
      <c r="AY38" s="46"/>
      <c r="AZ38" s="563"/>
      <c r="BA38" s="604" t="e">
        <f>VLOOKUP(AZ38,#REF!,2, FALSE)</f>
        <v>#REF!</v>
      </c>
      <c r="BB38" s="605" t="e">
        <f>VLOOKUP(AZ38,'1) Kpler'!$E$2:$F$500,2,FALSE)</f>
        <v>#N/A</v>
      </c>
      <c r="BC38" s="569"/>
      <c r="BD38" s="563"/>
      <c r="BE38" s="46"/>
      <c r="BF38" s="46"/>
      <c r="BG38" s="563"/>
      <c r="BH38" s="563"/>
      <c r="BI38" s="563"/>
      <c r="BJ38" s="563"/>
    </row>
    <row r="39" spans="2:62" x14ac:dyDescent="0.25">
      <c r="B39" s="589" t="str">
        <f>VLOOKUP(F39,'2) Tracker'!$A$3:$O$411,5,FALSE)</f>
        <v>C</v>
      </c>
      <c r="C39" s="589">
        <f>VLOOKUP(F39,'2) Tracker'!$A$3:$O$411,4,FALSE)</f>
        <v>0</v>
      </c>
      <c r="D39" s="563"/>
      <c r="E39" s="563">
        <f>VLOOKUP(F39,'2) Tracker'!$A$3:$O$407,15,FALSE)</f>
        <v>0</v>
      </c>
      <c r="F39" s="604" t="s">
        <v>315</v>
      </c>
      <c r="G39" s="591">
        <f>VLOOKUP(F39,'2) Tracker'!$A$2:$BO$361,2,FALSE)</f>
        <v>2023</v>
      </c>
      <c r="H39" s="592">
        <f>VLOOKUP(F39,'2) Tracker'!$A$2:$BO$361,3,FALSE)</f>
        <v>93000</v>
      </c>
      <c r="I39" s="600" t="str">
        <f>VLOOKUP(F39,'2) Tracker'!$A$2:$BO$361,9,FALSE)</f>
        <v>Sinogas</v>
      </c>
      <c r="J39" s="594" t="str">
        <f>VLOOKUP(F39,'2) Tracker'!$A$2:$BO$361,12,FALSE)</f>
        <v>loads USG</v>
      </c>
      <c r="K39" s="596">
        <f t="shared" ref="K39:O39" si="75">AD39</f>
        <v>46134</v>
      </c>
      <c r="L39" s="596">
        <f t="shared" si="75"/>
        <v>46134</v>
      </c>
      <c r="M39" s="596">
        <f t="shared" si="75"/>
        <v>46166</v>
      </c>
      <c r="N39" s="596" t="str">
        <f t="shared" si="75"/>
        <v/>
      </c>
      <c r="O39" s="597" t="str">
        <f t="shared" si="75"/>
        <v/>
      </c>
      <c r="P39" s="622" t="str">
        <f>IFERROR(IF(VLOOKUP(F39,'Voyage days'!$M$808:$N$828,2,FALSE),"GOA",""),"")</f>
        <v>GOA</v>
      </c>
      <c r="Q39" s="623" t="str">
        <f t="shared" ref="Q39:R39" si="76">AM39</f>
        <v/>
      </c>
      <c r="R39" s="596" t="str">
        <f t="shared" si="76"/>
        <v/>
      </c>
      <c r="S39" s="595">
        <f t="shared" si="2"/>
        <v>46154</v>
      </c>
      <c r="T39" s="596" t="str">
        <f t="shared" si="3"/>
        <v/>
      </c>
      <c r="U39" s="596" t="str">
        <f t="shared" si="4"/>
        <v/>
      </c>
      <c r="V39" s="596"/>
      <c r="W39" s="596" t="str">
        <f t="shared" si="5"/>
        <v/>
      </c>
      <c r="X39" s="599" t="str">
        <f t="shared" si="6"/>
        <v/>
      </c>
      <c r="Y39" s="594"/>
      <c r="Z39" s="600" t="str">
        <f>VLOOKUP(F39,'2) Tracker'!$A$3:$Q$505,16,FALSE)</f>
        <v>ETA USG 20 Apr</v>
      </c>
      <c r="AA39" s="600" t="str">
        <f>VLOOKUP(F39,'2) Tracker'!$A$3:$R$505,18,FALSE)</f>
        <v>Gunvor 12-13 Apr USG</v>
      </c>
      <c r="AB39" s="600">
        <f>VLOOKUP(F39,'2) Tracker'!$A$3:$Q$505,17,FALSE)</f>
        <v>0</v>
      </c>
      <c r="AC39" s="601"/>
      <c r="AD39" s="601">
        <f>VLOOKUP(F39,'2) Tracker'!$A$2:$BO$981,37,FALSE)</f>
        <v>46134</v>
      </c>
      <c r="AE39" s="601">
        <f>VLOOKUP(F39,'2) Tracker'!$A$2:$BO$981,40,FALSE)</f>
        <v>46134</v>
      </c>
      <c r="AF39" s="601">
        <f>VLOOKUP(F39,'2) Tracker'!$A$2:$BO$981,67,FALSE)</f>
        <v>46166</v>
      </c>
      <c r="AG39" s="601" t="str">
        <f>VLOOKUP(F39,'2) Tracker'!$A$2:$BO$981,34,FALSE)</f>
        <v/>
      </c>
      <c r="AH39" s="601" t="str">
        <f>VLOOKUP(F39,'2) Tracker'!$A$2:$BN$981,66,FALSE)</f>
        <v/>
      </c>
      <c r="AI39" s="601" t="str">
        <f>VLOOKUP(F39,'2) Tracker'!$A$2:$BO$981,56,FALSE)</f>
        <v/>
      </c>
      <c r="AJ39" s="601" t="str">
        <f>VLOOKUP(F39,'2) Tracker'!$A$2:$BO$981,52,FALSE)</f>
        <v/>
      </c>
      <c r="AK39" s="601" t="str">
        <f>VLOOKUP(F39,'2) Tracker'!$A$2:$AQ$981,43,FALSE)</f>
        <v/>
      </c>
      <c r="AL39" s="601">
        <f>VLOOKUP(F39,'2) Tracker'!$A$2:$BH$981,46,FALSE())</f>
        <v>46154</v>
      </c>
      <c r="AM39" s="601" t="str">
        <f>VLOOKUP(F39,'2) Tracker'!$A$2:$BO$981,65,FALSE())</f>
        <v/>
      </c>
      <c r="AN39" s="601" t="str">
        <f>VLOOKUP(F39,'2) Tracker'!$A$2:$BK$981,63,FALSE())</f>
        <v/>
      </c>
      <c r="AO39" s="601" t="str">
        <f>VLOOKUP(F39,'2) Tracker'!$A$2:$BF$981,58,FALSE())</f>
        <v/>
      </c>
      <c r="AP39" s="46"/>
      <c r="AQ39" s="46"/>
      <c r="AR39" s="46"/>
      <c r="AS39" s="46"/>
      <c r="AT39" s="46"/>
      <c r="AU39" s="46"/>
      <c r="AV39" s="46"/>
      <c r="AW39" s="46"/>
      <c r="AX39" s="46"/>
      <c r="AY39" s="46"/>
      <c r="AZ39" s="563"/>
      <c r="BA39" s="604" t="e">
        <f>VLOOKUP(AZ39,#REF!,2, FALSE)</f>
        <v>#REF!</v>
      </c>
      <c r="BB39" s="605" t="e">
        <f>VLOOKUP(AZ39,'1) Kpler'!$E$2:$F$500,2,FALSE)</f>
        <v>#N/A</v>
      </c>
      <c r="BC39" s="569"/>
      <c r="BD39" s="563"/>
      <c r="BE39" s="46"/>
      <c r="BF39" s="46"/>
      <c r="BG39" s="563"/>
      <c r="BH39" s="563"/>
      <c r="BI39" s="563"/>
      <c r="BJ39" s="563"/>
    </row>
    <row r="40" spans="2:62" ht="15.75" customHeight="1" x14ac:dyDescent="0.25">
      <c r="B40" s="589" t="str">
        <f>VLOOKUP(F40,'2) Tracker'!$A$3:$O$411,5,FALSE)</f>
        <v>C</v>
      </c>
      <c r="C40" s="589">
        <f>VLOOKUP(F40,'2) Tracker'!$A$3:$O$411,4,FALSE)</f>
        <v>0</v>
      </c>
      <c r="D40" s="563"/>
      <c r="E40" s="563" t="str">
        <f>VLOOKUP(F40,'2) Tracker'!$A$3:$O$407,15,FALSE)</f>
        <v>eu</v>
      </c>
      <c r="F40" s="608" t="s">
        <v>843</v>
      </c>
      <c r="G40" s="591">
        <f>VLOOKUP(F40,'2) Tracker'!$A$2:$BO$361,2,FALSE)</f>
        <v>2023</v>
      </c>
      <c r="H40" s="592">
        <f>VLOOKUP(F40,'2) Tracker'!$A$2:$BO$361,3,FALSE)</f>
        <v>91000</v>
      </c>
      <c r="I40" s="593" t="str">
        <f>VLOOKUP(F40,'2) Tracker'!$A$2:$BO$361,9,FALSE)</f>
        <v>BGN</v>
      </c>
      <c r="J40" s="594" t="str">
        <f>VLOOKUP(F40,'2) Tracker'!$A$2:$BO$361,12,FALSE)</f>
        <v>loads USG</v>
      </c>
      <c r="K40" s="596">
        <f t="shared" ref="K40:O40" si="77">AD40</f>
        <v>46134</v>
      </c>
      <c r="L40" s="596">
        <f t="shared" si="77"/>
        <v>46134</v>
      </c>
      <c r="M40" s="596">
        <f t="shared" si="77"/>
        <v>46166</v>
      </c>
      <c r="N40" s="596" t="str">
        <f t="shared" si="77"/>
        <v/>
      </c>
      <c r="O40" s="597" t="str">
        <f t="shared" si="77"/>
        <v/>
      </c>
      <c r="P40" s="598" t="str">
        <f>IFERROR(IF(VLOOKUP(F40,'Voyage days'!$M$808:$N$819,2,FALSE),"GOA",""),"")</f>
        <v/>
      </c>
      <c r="Q40" s="596" t="str">
        <f t="shared" ref="Q40:R40" si="78">AM40</f>
        <v/>
      </c>
      <c r="R40" s="596" t="str">
        <f t="shared" si="78"/>
        <v/>
      </c>
      <c r="S40" s="595">
        <f t="shared" si="2"/>
        <v>46154</v>
      </c>
      <c r="T40" s="595" t="str">
        <f t="shared" si="3"/>
        <v/>
      </c>
      <c r="U40" s="596" t="str">
        <f t="shared" si="4"/>
        <v/>
      </c>
      <c r="V40" s="596"/>
      <c r="W40" s="596" t="str">
        <f t="shared" si="5"/>
        <v/>
      </c>
      <c r="X40" s="599" t="str">
        <f t="shared" si="6"/>
        <v/>
      </c>
      <c r="Y40" s="594"/>
      <c r="Z40" s="600" t="str">
        <f>VLOOKUP(F40,'2) Tracker'!$A$3:$Q$505,16,FALSE)</f>
        <v>ETA 11 Apr USG</v>
      </c>
      <c r="AA40" s="600" t="str">
        <f>VLOOKUP(F40,'2) Tracker'!$A$3:$R$505,18,FALSE)</f>
        <v>BGN 22-23 Apr USG</v>
      </c>
      <c r="AB40" s="600">
        <f>VLOOKUP(F40,'2) Tracker'!$A$3:$Q$505,17,FALSE)</f>
        <v>0</v>
      </c>
      <c r="AC40" s="601"/>
      <c r="AD40" s="601">
        <f>VLOOKUP(F40,'2) Tracker'!$A$2:$BO$981,37,FALSE)</f>
        <v>46134</v>
      </c>
      <c r="AE40" s="601">
        <f>VLOOKUP(F40,'2) Tracker'!$A$2:$BO$981,40,FALSE)</f>
        <v>46134</v>
      </c>
      <c r="AF40" s="601">
        <f>VLOOKUP(F40,'2) Tracker'!$A$2:$BO$981,67,FALSE)</f>
        <v>46166</v>
      </c>
      <c r="AG40" s="601" t="str">
        <f>VLOOKUP(F40,'2) Tracker'!$A$2:$BO$981,34,FALSE)</f>
        <v/>
      </c>
      <c r="AH40" s="601" t="str">
        <f>VLOOKUP(F40,'2) Tracker'!$A$2:$BN$981,66,FALSE)</f>
        <v/>
      </c>
      <c r="AI40" s="601" t="str">
        <f>VLOOKUP(F40,'2) Tracker'!$A$2:$BO$981,56,FALSE)</f>
        <v/>
      </c>
      <c r="AJ40" s="601" t="str">
        <f>VLOOKUP(F40,'2) Tracker'!$A$2:$BO$981,52,FALSE)</f>
        <v/>
      </c>
      <c r="AK40" s="601" t="str">
        <f>VLOOKUP(F40,'2) Tracker'!$A$2:$AQ$981,43,FALSE)</f>
        <v/>
      </c>
      <c r="AL40" s="601">
        <f>VLOOKUP(F40,'2) Tracker'!$A$2:$BH$981,46,FALSE())</f>
        <v>46154</v>
      </c>
      <c r="AM40" s="601" t="str">
        <f>VLOOKUP(F40,'2) Tracker'!$A$2:$BO$981,65,FALSE())</f>
        <v/>
      </c>
      <c r="AN40" s="601" t="str">
        <f>VLOOKUP(F40,'2) Tracker'!$A$2:$BK$981,63,FALSE())</f>
        <v/>
      </c>
      <c r="AO40" s="601" t="str">
        <f>VLOOKUP(F40,'2) Tracker'!$A$2:$BF$981,58,FALSE())</f>
        <v/>
      </c>
      <c r="AP40" s="46"/>
      <c r="AQ40" s="46"/>
      <c r="AR40" s="46"/>
      <c r="AS40" s="46"/>
      <c r="AT40" s="46"/>
      <c r="AU40" s="46"/>
      <c r="AV40" s="46"/>
      <c r="AW40" s="46"/>
      <c r="AX40" s="46"/>
      <c r="AY40" s="46"/>
      <c r="AZ40" s="563"/>
      <c r="BA40" s="569"/>
      <c r="BB40" s="563"/>
      <c r="BC40" s="569"/>
      <c r="BD40" s="563"/>
      <c r="BE40" s="46"/>
      <c r="BF40" s="46"/>
      <c r="BG40" s="563"/>
      <c r="BH40" s="563"/>
      <c r="BI40" s="563"/>
      <c r="BJ40" s="563"/>
    </row>
    <row r="41" spans="2:62" x14ac:dyDescent="0.25">
      <c r="B41" s="589">
        <f>VLOOKUP(F41,'2) Tracker'!$A$3:$O$411,5,FALSE)</f>
        <v>0</v>
      </c>
      <c r="C41" s="589">
        <f>VLOOKUP(F41,'2) Tracker'!$A$3:$O$411,4,FALSE)</f>
        <v>0</v>
      </c>
      <c r="D41" s="563" t="s">
        <v>1569</v>
      </c>
      <c r="E41" s="563">
        <f>VLOOKUP(F41,'2) Tracker'!$A$3:$O$407,15,FALSE)</f>
        <v>0</v>
      </c>
      <c r="F41" s="590" t="s">
        <v>58</v>
      </c>
      <c r="G41" s="607">
        <f>VLOOKUP(F41,'2) Tracker'!$A$2:$BO$361,2,FALSE)</f>
        <v>43644</v>
      </c>
      <c r="H41" s="592">
        <f>VLOOKUP(F41,'2) Tracker'!$A$2:$BO$361,3,FALSE)</f>
        <v>80550</v>
      </c>
      <c r="I41" s="594" t="str">
        <f>VLOOKUP(F41,'2) Tracker'!$A$2:$BO$361,9,FALSE)</f>
        <v>Vitol</v>
      </c>
      <c r="J41" s="594" t="str">
        <f>VLOOKUP(F41,'2) Tracker'!$A$2:$BO$361,12,FALSE)</f>
        <v>loads USG</v>
      </c>
      <c r="K41" s="596">
        <f t="shared" ref="K41:O41" si="79">AD41</f>
        <v>46134</v>
      </c>
      <c r="L41" s="596">
        <f t="shared" si="79"/>
        <v>46134</v>
      </c>
      <c r="M41" s="596">
        <f t="shared" si="79"/>
        <v>46166</v>
      </c>
      <c r="N41" s="596" t="str">
        <f t="shared" si="79"/>
        <v/>
      </c>
      <c r="O41" s="597" t="str">
        <f t="shared" si="79"/>
        <v/>
      </c>
      <c r="P41" s="598" t="str">
        <f>IFERROR(IF(VLOOKUP(F41,'Voyage days'!$M$808:$N$819,2,FALSE),"GOA",""),"")</f>
        <v/>
      </c>
      <c r="Q41" s="596" t="str">
        <f t="shared" ref="Q41:R41" si="80">AM41</f>
        <v/>
      </c>
      <c r="R41" s="596" t="str">
        <f t="shared" si="80"/>
        <v/>
      </c>
      <c r="S41" s="595">
        <f t="shared" si="2"/>
        <v>46154</v>
      </c>
      <c r="T41" s="596" t="str">
        <f t="shared" si="3"/>
        <v/>
      </c>
      <c r="U41" s="596" t="str">
        <f t="shared" si="4"/>
        <v/>
      </c>
      <c r="V41" s="616"/>
      <c r="W41" s="616" t="str">
        <f t="shared" si="5"/>
        <v/>
      </c>
      <c r="X41" s="599" t="str">
        <f t="shared" si="6"/>
        <v/>
      </c>
      <c r="Y41" s="594"/>
      <c r="Z41" s="600" t="str">
        <f>VLOOKUP(F41,'2) Tracker'!$A$3:$Q$505,16,FALSE)</f>
        <v>ETA Nederland 22 Apr</v>
      </c>
      <c r="AA41" s="600" t="str">
        <f>VLOOKUP(F41,'2) Tracker'!$A$3:$R$505,18,FALSE)</f>
        <v>Vitol 22-23 Apr Nederland</v>
      </c>
      <c r="AB41" s="600">
        <f>VLOOKUP(F41,'2) Tracker'!$A$3:$Q$505,17,FALSE)</f>
        <v>0</v>
      </c>
      <c r="AC41" s="601"/>
      <c r="AD41" s="601">
        <f>VLOOKUP(F41,'2) Tracker'!$A$2:$BO$981,37,FALSE)</f>
        <v>46134</v>
      </c>
      <c r="AE41" s="601">
        <f>VLOOKUP(F41,'2) Tracker'!$A$2:$BO$981,40,FALSE)</f>
        <v>46134</v>
      </c>
      <c r="AF41" s="601">
        <f>VLOOKUP(F41,'2) Tracker'!$A$2:$BO$981,67,FALSE)</f>
        <v>46166</v>
      </c>
      <c r="AG41" s="601" t="str">
        <f>VLOOKUP(F41,'2) Tracker'!$A$2:$BO$981,34,FALSE)</f>
        <v/>
      </c>
      <c r="AH41" s="601" t="str">
        <f>VLOOKUP(F41,'2) Tracker'!$A$2:$BN$981,66,FALSE)</f>
        <v/>
      </c>
      <c r="AI41" s="601" t="str">
        <f>VLOOKUP(F41,'2) Tracker'!$A$2:$BO$981,56,FALSE)</f>
        <v/>
      </c>
      <c r="AJ41" s="601" t="str">
        <f>VLOOKUP(F41,'2) Tracker'!$A$2:$BO$981,52,FALSE)</f>
        <v/>
      </c>
      <c r="AK41" s="601" t="str">
        <f>VLOOKUP(F41,'2) Tracker'!$A$2:$AQ$981,43,FALSE)</f>
        <v/>
      </c>
      <c r="AL41" s="601">
        <f>VLOOKUP(F41,'2) Tracker'!$A$2:$BH$981,46,FALSE())</f>
        <v>46154</v>
      </c>
      <c r="AM41" s="601" t="str">
        <f>VLOOKUP(F41,'2) Tracker'!$A$2:$BO$981,65,FALSE())</f>
        <v/>
      </c>
      <c r="AN41" s="601" t="str">
        <f>VLOOKUP(F41,'2) Tracker'!$A$2:$BK$981,63,FALSE())</f>
        <v/>
      </c>
      <c r="AO41" s="601" t="str">
        <f>VLOOKUP(F41,'2) Tracker'!$A$2:$BF$981,58,FALSE())</f>
        <v/>
      </c>
      <c r="AP41" s="46"/>
      <c r="AQ41" s="46"/>
      <c r="AR41" s="46"/>
      <c r="AS41" s="46"/>
      <c r="AT41" s="46"/>
      <c r="AU41" s="46"/>
      <c r="AV41" s="46"/>
      <c r="AW41" s="46"/>
      <c r="AX41" s="46"/>
      <c r="AY41" s="46"/>
      <c r="AZ41" s="563"/>
      <c r="BA41" s="604" t="e">
        <f>VLOOKUP(AZ41,#REF!,2, FALSE)</f>
        <v>#REF!</v>
      </c>
      <c r="BB41" s="605" t="e">
        <f>VLOOKUP(AZ41,'1) Kpler'!$E$2:$F$500,2,FALSE)</f>
        <v>#N/A</v>
      </c>
      <c r="BC41" s="569"/>
      <c r="BD41" s="563"/>
      <c r="BE41" s="46"/>
      <c r="BF41" s="46"/>
      <c r="BG41" s="563"/>
      <c r="BH41" s="563"/>
      <c r="BI41" s="563"/>
      <c r="BJ41" s="563"/>
    </row>
    <row r="42" spans="2:62" x14ac:dyDescent="0.25">
      <c r="B42" s="589">
        <f>VLOOKUP(F42,'2) Tracker'!$A$3:$O$411,5,FALSE)</f>
        <v>0</v>
      </c>
      <c r="C42" s="589">
        <f>VLOOKUP(F42,'2) Tracker'!$A$3:$O$411,4,FALSE)</f>
        <v>0</v>
      </c>
      <c r="D42" s="563"/>
      <c r="E42" s="563">
        <f>VLOOKUP(F42,'2) Tracker'!$A$3:$O$407,15,FALSE)</f>
        <v>0</v>
      </c>
      <c r="F42" s="608" t="str">
        <f>'2) Tracker'!A221</f>
        <v>Albert II</v>
      </c>
      <c r="G42" s="617">
        <f>VLOOKUP(F42,'2) Tracker'!$A$2:$BO$361,2,FALSE)</f>
        <v>42717</v>
      </c>
      <c r="H42" s="592">
        <f>VLOOKUP(F42,'2) Tracker'!$A$2:$BO$361,3,FALSE)</f>
        <v>84000</v>
      </c>
      <c r="I42" s="593" t="str">
        <f>VLOOKUP(F42,'2) Tracker'!$A$2:$BO$361,9,FALSE)</f>
        <v>Tomza</v>
      </c>
      <c r="J42" s="594" t="str">
        <f>VLOOKUP(F42,'2) Tracker'!$A$2:$BO$361,12,FALSE)</f>
        <v>loads USG</v>
      </c>
      <c r="K42" s="596">
        <f t="shared" ref="K42:O42" si="81">AD42</f>
        <v>46134</v>
      </c>
      <c r="L42" s="596">
        <f t="shared" si="81"/>
        <v>46134</v>
      </c>
      <c r="M42" s="596">
        <f t="shared" si="81"/>
        <v>46166</v>
      </c>
      <c r="N42" s="596" t="str">
        <f t="shared" si="81"/>
        <v/>
      </c>
      <c r="O42" s="597" t="str">
        <f t="shared" si="81"/>
        <v/>
      </c>
      <c r="P42" s="598" t="str">
        <f>IFERROR(IF(VLOOKUP(F42,'Voyage days'!$M$808:$N$819,2,FALSE),"GOA",""),"")</f>
        <v/>
      </c>
      <c r="Q42" s="596" t="str">
        <f t="shared" ref="Q42:R42" si="82">AM42</f>
        <v/>
      </c>
      <c r="R42" s="596" t="str">
        <f t="shared" si="82"/>
        <v/>
      </c>
      <c r="S42" s="595">
        <f t="shared" si="2"/>
        <v>46154</v>
      </c>
      <c r="T42" s="596" t="str">
        <f t="shared" si="3"/>
        <v/>
      </c>
      <c r="U42" s="596" t="str">
        <f t="shared" si="4"/>
        <v/>
      </c>
      <c r="V42" s="596"/>
      <c r="W42" s="596" t="str">
        <f t="shared" si="5"/>
        <v/>
      </c>
      <c r="X42" s="599" t="str">
        <f t="shared" si="6"/>
        <v/>
      </c>
      <c r="Y42" s="594"/>
      <c r="Z42" s="600" t="str">
        <f>VLOOKUP(F42,'2) Tracker'!$A$3:$Q$505,16,FALSE)</f>
        <v>@ Omoa 12 Apr</v>
      </c>
      <c r="AA42" s="600" t="str">
        <f>VLOOKUP(F42,'2) Tracker'!$A$3:$R$505,18,FALSE)</f>
        <v>Tomza 06 Apr Enterprise</v>
      </c>
      <c r="AB42" s="600"/>
      <c r="AC42" s="601"/>
      <c r="AD42" s="601">
        <f>VLOOKUP(F42,'2) Tracker'!$A$2:$BO$981,37,FALSE)</f>
        <v>46134</v>
      </c>
      <c r="AE42" s="601">
        <f>VLOOKUP(F42,'2) Tracker'!$A$2:$BO$981,40,FALSE)</f>
        <v>46134</v>
      </c>
      <c r="AF42" s="601">
        <f>VLOOKUP(F42,'2) Tracker'!$A$2:$BO$981,67,FALSE)</f>
        <v>46166</v>
      </c>
      <c r="AG42" s="601" t="str">
        <f>VLOOKUP(F42,'2) Tracker'!$A$2:$BO$981,34,FALSE)</f>
        <v/>
      </c>
      <c r="AH42" s="601" t="str">
        <f>VLOOKUP(F42,'2) Tracker'!$A$2:$BN$981,66,FALSE)</f>
        <v/>
      </c>
      <c r="AI42" s="601" t="str">
        <f>VLOOKUP(F42,'2) Tracker'!$A$2:$BO$981,56,FALSE)</f>
        <v/>
      </c>
      <c r="AJ42" s="601" t="str">
        <f>VLOOKUP(F42,'2) Tracker'!$A$2:$BO$981,52,FALSE)</f>
        <v/>
      </c>
      <c r="AK42" s="601" t="str">
        <f>VLOOKUP(F42,'2) Tracker'!$A$2:$AQ$981,43,FALSE)</f>
        <v/>
      </c>
      <c r="AL42" s="601">
        <f>VLOOKUP(F42,'2) Tracker'!$A$2:$BH$981,46,FALSE())</f>
        <v>46154</v>
      </c>
      <c r="AM42" s="601" t="str">
        <f>VLOOKUP(F42,'2) Tracker'!$A$2:$BO$981,65,FALSE())</f>
        <v/>
      </c>
      <c r="AN42" s="601" t="str">
        <f>VLOOKUP(F42,'2) Tracker'!$A$2:$BK$981,63,FALSE())</f>
        <v/>
      </c>
      <c r="AO42" s="601" t="str">
        <f>VLOOKUP(F42,'2) Tracker'!$A$2:$BF$981,58,FALSE())</f>
        <v/>
      </c>
      <c r="AP42" s="46"/>
      <c r="AQ42" s="46"/>
      <c r="AR42" s="46"/>
      <c r="AS42" s="46"/>
      <c r="AT42" s="46"/>
      <c r="AU42" s="46"/>
      <c r="AV42" s="46"/>
      <c r="AW42" s="46"/>
      <c r="AX42" s="46"/>
      <c r="AY42" s="46"/>
      <c r="AZ42" s="563"/>
      <c r="BA42" s="569"/>
      <c r="BB42" s="563"/>
      <c r="BC42" s="569"/>
      <c r="BD42" s="563"/>
      <c r="BE42" s="46"/>
      <c r="BF42" s="46"/>
      <c r="BG42" s="563"/>
      <c r="BH42" s="563"/>
      <c r="BI42" s="563"/>
      <c r="BJ42" s="563"/>
    </row>
    <row r="43" spans="2:62" x14ac:dyDescent="0.25">
      <c r="B43" s="589">
        <f>VLOOKUP(F43,'2) Tracker'!$A$3:$O$411,5,FALSE)</f>
        <v>0</v>
      </c>
      <c r="C43" s="589">
        <f>VLOOKUP(F43,'2) Tracker'!$A$3:$O$411,4,FALSE)</f>
        <v>0</v>
      </c>
      <c r="D43" s="563" t="s">
        <v>1569</v>
      </c>
      <c r="E43" s="563">
        <f>VLOOKUP(F43,'2) Tracker'!$A$3:$O$407,15,FALSE)</f>
        <v>0</v>
      </c>
      <c r="F43" s="590" t="s">
        <v>95</v>
      </c>
      <c r="G43" s="591">
        <f>VLOOKUP(F43,'2) Tracker'!$A$2:$BO$361,2,FALSE)</f>
        <v>2025</v>
      </c>
      <c r="H43" s="592">
        <f>VLOOKUP(F43,'2) Tracker'!$A$2:$BO$361,3,FALSE)</f>
        <v>88000</v>
      </c>
      <c r="I43" s="600" t="str">
        <f>VLOOKUP(F43,'2) Tracker'!$A$2:$BO$361,9,FALSE)</f>
        <v>Trafigura</v>
      </c>
      <c r="J43" s="594" t="str">
        <f>VLOOKUP(F43,'2) Tracker'!$A$2:$BO$361,12,FALSE)</f>
        <v>loads USG</v>
      </c>
      <c r="K43" s="595">
        <f t="shared" ref="K43:O43" si="83">AD43</f>
        <v>46135</v>
      </c>
      <c r="L43" s="595">
        <f t="shared" si="83"/>
        <v>46135</v>
      </c>
      <c r="M43" s="596">
        <f t="shared" si="83"/>
        <v>46167</v>
      </c>
      <c r="N43" s="596" t="str">
        <f t="shared" si="83"/>
        <v/>
      </c>
      <c r="O43" s="597" t="str">
        <f t="shared" si="83"/>
        <v/>
      </c>
      <c r="P43" s="598" t="str">
        <f>IFERROR(IF(VLOOKUP(F43,'Voyage days'!$M$808:$N$819,2,FALSE),"GOA",""),"")</f>
        <v/>
      </c>
      <c r="Q43" s="596" t="str">
        <f t="shared" ref="Q43:R43" si="84">AM43</f>
        <v/>
      </c>
      <c r="R43" s="595" t="str">
        <f t="shared" si="84"/>
        <v/>
      </c>
      <c r="S43" s="595">
        <f t="shared" si="2"/>
        <v>46155</v>
      </c>
      <c r="T43" s="596" t="str">
        <f t="shared" si="3"/>
        <v/>
      </c>
      <c r="U43" s="595" t="str">
        <f t="shared" si="4"/>
        <v/>
      </c>
      <c r="V43" s="595"/>
      <c r="W43" s="595" t="str">
        <f t="shared" si="5"/>
        <v/>
      </c>
      <c r="X43" s="599" t="str">
        <f t="shared" si="6"/>
        <v/>
      </c>
      <c r="Y43" s="594"/>
      <c r="Z43" s="600" t="str">
        <f>VLOOKUP(F43,'2) Tracker'!$A$3:$Q$505,16,FALSE)</f>
        <v>ETA Balboa 18 Apr</v>
      </c>
      <c r="AA43" s="600" t="str">
        <f>VLOOKUP(F43,'2) Tracker'!$A$3:$R$505,18,FALSE)</f>
        <v>Trafigura 23-24 Apr USG</v>
      </c>
      <c r="AB43" s="600">
        <f>VLOOKUP(F43,'2) Tracker'!$A$3:$Q$505,17,FALSE)</f>
        <v>0</v>
      </c>
      <c r="AC43" s="601"/>
      <c r="AD43" s="601">
        <f>VLOOKUP(F43,'2) Tracker'!$A$2:$BO$981,37,FALSE)</f>
        <v>46135</v>
      </c>
      <c r="AE43" s="601">
        <f>VLOOKUP(F43,'2) Tracker'!$A$2:$BO$981,40,FALSE)</f>
        <v>46135</v>
      </c>
      <c r="AF43" s="601">
        <f>VLOOKUP(F43,'2) Tracker'!$A$2:$BO$981,67,FALSE)</f>
        <v>46167</v>
      </c>
      <c r="AG43" s="601" t="str">
        <f>VLOOKUP(F43,'2) Tracker'!$A$2:$BO$981,34,FALSE)</f>
        <v/>
      </c>
      <c r="AH43" s="601" t="str">
        <f>VLOOKUP(F43,'2) Tracker'!$A$2:$BN$981,66,FALSE)</f>
        <v/>
      </c>
      <c r="AI43" s="601" t="str">
        <f>VLOOKUP(F43,'2) Tracker'!$A$2:$BO$981,56,FALSE)</f>
        <v/>
      </c>
      <c r="AJ43" s="601" t="str">
        <f>VLOOKUP(F43,'2) Tracker'!$A$2:$BO$981,52,FALSE)</f>
        <v/>
      </c>
      <c r="AK43" s="601" t="str">
        <f>VLOOKUP(F43,'2) Tracker'!$A$2:$AQ$981,43,FALSE)</f>
        <v/>
      </c>
      <c r="AL43" s="601">
        <f>VLOOKUP(F43,'2) Tracker'!$A$2:$BH$981,46,FALSE())</f>
        <v>46155</v>
      </c>
      <c r="AM43" s="601" t="str">
        <f>VLOOKUP(F43,'2) Tracker'!$A$2:$BO$981,65,FALSE())</f>
        <v/>
      </c>
      <c r="AN43" s="601" t="str">
        <f>VLOOKUP(F43,'2) Tracker'!$A$2:$BK$981,63,FALSE())</f>
        <v/>
      </c>
      <c r="AO43" s="601" t="str">
        <f>VLOOKUP(F43,'2) Tracker'!$A$2:$BF$981,58,FALSE())</f>
        <v/>
      </c>
      <c r="AP43" s="46"/>
      <c r="AQ43" s="46"/>
      <c r="AR43" s="46"/>
      <c r="AS43" s="46"/>
      <c r="AT43" s="46"/>
      <c r="AU43" s="46"/>
      <c r="AV43" s="46"/>
      <c r="AW43" s="46"/>
      <c r="AX43" s="46"/>
      <c r="AY43" s="46"/>
      <c r="AZ43" s="563"/>
      <c r="BA43" s="604" t="e">
        <f>VLOOKUP(AZ43,#REF!,2, FALSE)</f>
        <v>#REF!</v>
      </c>
      <c r="BB43" s="605" t="e">
        <f>VLOOKUP(AZ43,'1) Kpler'!$E$2:$F$500,2,FALSE)</f>
        <v>#N/A</v>
      </c>
      <c r="BC43" s="569"/>
      <c r="BD43" s="563"/>
      <c r="BE43" s="46"/>
      <c r="BF43" s="46"/>
      <c r="BG43" s="563"/>
      <c r="BH43" s="563"/>
      <c r="BI43" s="563"/>
      <c r="BJ43" s="563"/>
    </row>
    <row r="44" spans="2:62" x14ac:dyDescent="0.25">
      <c r="B44" s="589">
        <f>VLOOKUP(F44,'2) Tracker'!$A$3:$O$411,5,FALSE)</f>
        <v>0</v>
      </c>
      <c r="C44" s="589">
        <f>VLOOKUP(F44,'2) Tracker'!$A$3:$O$411,4,FALSE)</f>
        <v>0</v>
      </c>
      <c r="D44" s="563" t="s">
        <v>1569</v>
      </c>
      <c r="E44" s="563" t="str">
        <f>VLOOKUP(F44,'2) Tracker'!$A$3:$O$407,15,FALSE)</f>
        <v>eu</v>
      </c>
      <c r="F44" s="590" t="s">
        <v>234</v>
      </c>
      <c r="G44" s="607">
        <f>VLOOKUP(F44,'2) Tracker'!$A$2:$BO$361,2,FALSE)</f>
        <v>43617</v>
      </c>
      <c r="H44" s="592">
        <f>VLOOKUP(F44,'2) Tracker'!$A$2:$BO$361,3,FALSE)</f>
        <v>80000</v>
      </c>
      <c r="I44" s="593" t="str">
        <f>VLOOKUP(F44,'2) Tracker'!$A$2:$BO$361,9,FALSE)</f>
        <v>ATC</v>
      </c>
      <c r="J44" s="594" t="str">
        <f>VLOOKUP(F44,'2) Tracker'!$A$2:$BO$361,12,FALSE)</f>
        <v>loads USG</v>
      </c>
      <c r="K44" s="596">
        <f t="shared" ref="K44:O44" si="85">AD44</f>
        <v>46135</v>
      </c>
      <c r="L44" s="596">
        <f t="shared" si="85"/>
        <v>46135</v>
      </c>
      <c r="M44" s="596">
        <f t="shared" si="85"/>
        <v>46167</v>
      </c>
      <c r="N44" s="596" t="str">
        <f t="shared" si="85"/>
        <v/>
      </c>
      <c r="O44" s="597" t="str">
        <f t="shared" si="85"/>
        <v/>
      </c>
      <c r="P44" s="598" t="str">
        <f>IFERROR(IF(VLOOKUP(F44,'Voyage days'!$M$808:$N$821,2,FALSE),"GOA",""),"")</f>
        <v/>
      </c>
      <c r="Q44" s="596" t="str">
        <f t="shared" ref="Q44:R44" si="86">AM44</f>
        <v/>
      </c>
      <c r="R44" s="596" t="str">
        <f t="shared" si="86"/>
        <v/>
      </c>
      <c r="S44" s="595">
        <f t="shared" si="2"/>
        <v>46155</v>
      </c>
      <c r="T44" s="596" t="str">
        <f t="shared" si="3"/>
        <v/>
      </c>
      <c r="U44" s="596" t="str">
        <f t="shared" si="4"/>
        <v/>
      </c>
      <c r="V44" s="596"/>
      <c r="W44" s="596" t="str">
        <f t="shared" si="5"/>
        <v/>
      </c>
      <c r="X44" s="599" t="str">
        <f t="shared" si="6"/>
        <v/>
      </c>
      <c r="Y44" s="594"/>
      <c r="Z44" s="600" t="str">
        <f>VLOOKUP(F44,'2) Tracker'!$A$3:$Q$505,16,FALSE)</f>
        <v>ETA Nederland 22 Apr</v>
      </c>
      <c r="AA44" s="600" t="str">
        <f>VLOOKUP(F44,'2) Tracker'!$A$3:$R$505,18,FALSE)</f>
        <v>Naftomar 23-24 Apr USG</v>
      </c>
      <c r="AB44" s="600" t="str">
        <f>VLOOKUP(F44,'2) Tracker'!$A$3:$Q$505,17,FALSE)</f>
        <v>c3 / c4 in deck tanks</v>
      </c>
      <c r="AC44" s="601"/>
      <c r="AD44" s="601">
        <f>VLOOKUP(F44,'2) Tracker'!$A$2:$BO$981,37,FALSE)</f>
        <v>46135</v>
      </c>
      <c r="AE44" s="601">
        <f>VLOOKUP(F44,'2) Tracker'!$A$2:$BO$981,40,FALSE)</f>
        <v>46135</v>
      </c>
      <c r="AF44" s="601">
        <f>VLOOKUP(F44,'2) Tracker'!$A$2:$BO$981,67,FALSE)</f>
        <v>46167</v>
      </c>
      <c r="AG44" s="601" t="str">
        <f>VLOOKUP(F44,'2) Tracker'!$A$2:$BO$981,34,FALSE)</f>
        <v/>
      </c>
      <c r="AH44" s="601" t="str">
        <f>VLOOKUP(F44,'2) Tracker'!$A$2:$BN$981,66,FALSE)</f>
        <v/>
      </c>
      <c r="AI44" s="601" t="str">
        <f>VLOOKUP(F44,'2) Tracker'!$A$2:$BO$981,56,FALSE)</f>
        <v/>
      </c>
      <c r="AJ44" s="601" t="str">
        <f>VLOOKUP(F44,'2) Tracker'!$A$2:$BO$981,52,FALSE)</f>
        <v/>
      </c>
      <c r="AK44" s="601" t="str">
        <f>VLOOKUP(F44,'2) Tracker'!$A$2:$AQ$981,43,FALSE)</f>
        <v/>
      </c>
      <c r="AL44" s="601">
        <f>VLOOKUP(F44,'2) Tracker'!$A$2:$BH$981,46,FALSE())</f>
        <v>46155</v>
      </c>
      <c r="AM44" s="601" t="str">
        <f>VLOOKUP(F44,'2) Tracker'!$A$2:$BO$981,65,FALSE())</f>
        <v/>
      </c>
      <c r="AN44" s="601" t="str">
        <f>VLOOKUP(F44,'2) Tracker'!$A$2:$BK$981,63,FALSE())</f>
        <v/>
      </c>
      <c r="AO44" s="601" t="str">
        <f>VLOOKUP(F44,'2) Tracker'!$A$2:$BF$981,58,FALSE())</f>
        <v/>
      </c>
      <c r="AP44" s="46"/>
      <c r="AQ44" s="46"/>
      <c r="AR44" s="46"/>
      <c r="AS44" s="46"/>
      <c r="AT44" s="46"/>
      <c r="AU44" s="46"/>
      <c r="AV44" s="46"/>
      <c r="AW44" s="46"/>
      <c r="AX44" s="46"/>
      <c r="AY44" s="46"/>
      <c r="AZ44" s="563"/>
      <c r="BA44" s="604" t="e">
        <f>VLOOKUP(AZ44,#REF!,2, FALSE)</f>
        <v>#REF!</v>
      </c>
      <c r="BB44" s="605" t="e">
        <f>VLOOKUP(AZ44,'1) Kpler'!$E$2:$F$500,2,FALSE)</f>
        <v>#N/A</v>
      </c>
      <c r="BC44" s="569"/>
      <c r="BD44" s="563"/>
      <c r="BE44" s="46"/>
      <c r="BF44" s="46"/>
      <c r="BG44" s="563"/>
      <c r="BH44" s="563"/>
      <c r="BI44" s="563"/>
      <c r="BJ44" s="563"/>
    </row>
    <row r="45" spans="2:62" x14ac:dyDescent="0.25">
      <c r="B45" s="589">
        <f>VLOOKUP(F45,'2) Tracker'!$A$3:$O$411,5,FALSE)</f>
        <v>0</v>
      </c>
      <c r="C45" s="589">
        <f>VLOOKUP(F45,'2) Tracker'!$A$3:$O$411,4,FALSE)</f>
        <v>0</v>
      </c>
      <c r="D45" s="563"/>
      <c r="E45" s="563">
        <f>VLOOKUP(F45,'2) Tracker'!$A$3:$O$407,15,FALSE)</f>
        <v>0</v>
      </c>
      <c r="F45" s="569" t="s">
        <v>476</v>
      </c>
      <c r="G45" s="607">
        <f>VLOOKUP(F45,'2) Tracker'!$A$2:$BO$361,2,FALSE)</f>
        <v>2025</v>
      </c>
      <c r="H45" s="592">
        <f>VLOOKUP(F45,'2) Tracker'!$A$2:$BO$361,3,FALSE)</f>
        <v>86920</v>
      </c>
      <c r="I45" s="600" t="str">
        <f>VLOOKUP(F45,'2) Tracker'!$A$2:$BO$361,9,FALSE)</f>
        <v>Astomos</v>
      </c>
      <c r="J45" s="594" t="str">
        <f>VLOOKUP(F45,'2) Tracker'!$A$2:$BO$361,12,FALSE)</f>
        <v>loads USG</v>
      </c>
      <c r="K45" s="595">
        <f t="shared" ref="K45:O45" si="87">AD45</f>
        <v>46135</v>
      </c>
      <c r="L45" s="595">
        <f t="shared" si="87"/>
        <v>46135</v>
      </c>
      <c r="M45" s="596">
        <f t="shared" si="87"/>
        <v>46167</v>
      </c>
      <c r="N45" s="596" t="str">
        <f t="shared" si="87"/>
        <v/>
      </c>
      <c r="O45" s="597" t="str">
        <f t="shared" si="87"/>
        <v/>
      </c>
      <c r="P45" s="598" t="str">
        <f>IFERROR(IF(VLOOKUP(F45,'Voyage days'!$M$808:$N$819,2,FALSE),"GOA",""),"")</f>
        <v/>
      </c>
      <c r="Q45" s="596" t="str">
        <f t="shared" ref="Q45:R45" si="88">AM45</f>
        <v/>
      </c>
      <c r="R45" s="595" t="str">
        <f t="shared" si="88"/>
        <v/>
      </c>
      <c r="S45" s="595">
        <f t="shared" si="2"/>
        <v>46155</v>
      </c>
      <c r="T45" s="596" t="str">
        <f t="shared" si="3"/>
        <v/>
      </c>
      <c r="U45" s="595" t="str">
        <f t="shared" si="4"/>
        <v/>
      </c>
      <c r="V45" s="596"/>
      <c r="W45" s="596" t="str">
        <f t="shared" si="5"/>
        <v/>
      </c>
      <c r="X45" s="599" t="str">
        <f t="shared" si="6"/>
        <v/>
      </c>
      <c r="Y45" s="594"/>
      <c r="Z45" s="600" t="str">
        <f>VLOOKUP(F45,'2) Tracker'!$A$3:$Q$505,16,FALSE)</f>
        <v>ETA USG 23 Apr</v>
      </c>
      <c r="AA45" s="600" t="str">
        <f>VLOOKUP(F45,'2) Tracker'!$A$3:$R$505,18,FALSE)</f>
        <v xml:space="preserve">Astomos 23-24 Apr USG </v>
      </c>
      <c r="AB45" s="600">
        <f>VLOOKUP(F45,'2) Tracker'!$A$3:$Q$505,17,FALSE)</f>
        <v>0</v>
      </c>
      <c r="AC45" s="601"/>
      <c r="AD45" s="601">
        <f>VLOOKUP(F45,'2) Tracker'!$A$2:$BO$981,37,FALSE)</f>
        <v>46135</v>
      </c>
      <c r="AE45" s="601">
        <f>VLOOKUP(F45,'2) Tracker'!$A$2:$BO$981,40,FALSE)</f>
        <v>46135</v>
      </c>
      <c r="AF45" s="601">
        <f>VLOOKUP(F45,'2) Tracker'!$A$2:$BO$981,67,FALSE)</f>
        <v>46167</v>
      </c>
      <c r="AG45" s="601" t="str">
        <f>VLOOKUP(F45,'2) Tracker'!$A$2:$BO$981,34,FALSE)</f>
        <v/>
      </c>
      <c r="AH45" s="601" t="str">
        <f>VLOOKUP(F45,'2) Tracker'!$A$2:$BN$981,66,FALSE)</f>
        <v/>
      </c>
      <c r="AI45" s="601" t="str">
        <f>VLOOKUP(F45,'2) Tracker'!$A$2:$BO$981,56,FALSE)</f>
        <v/>
      </c>
      <c r="AJ45" s="601" t="str">
        <f>VLOOKUP(F45,'2) Tracker'!$A$2:$BO$981,52,FALSE)</f>
        <v/>
      </c>
      <c r="AK45" s="601" t="str">
        <f>VLOOKUP(F45,'2) Tracker'!$A$2:$AQ$981,43,FALSE)</f>
        <v/>
      </c>
      <c r="AL45" s="601">
        <f>VLOOKUP(F45,'2) Tracker'!$A$2:$BH$981,46,FALSE())</f>
        <v>46155</v>
      </c>
      <c r="AM45" s="601" t="str">
        <f>VLOOKUP(F45,'2) Tracker'!$A$2:$BO$981,65,FALSE())</f>
        <v/>
      </c>
      <c r="AN45" s="601" t="str">
        <f>VLOOKUP(F45,'2) Tracker'!$A$2:$BK$981,63,FALSE())</f>
        <v/>
      </c>
      <c r="AO45" s="601" t="str">
        <f>VLOOKUP(F45,'2) Tracker'!$A$2:$BF$981,58,FALSE())</f>
        <v/>
      </c>
      <c r="AP45" s="46"/>
      <c r="AQ45" s="46"/>
      <c r="AR45" s="46"/>
      <c r="AS45" s="46"/>
      <c r="AT45" s="46"/>
      <c r="AU45" s="46"/>
      <c r="AV45" s="46"/>
      <c r="AW45" s="46"/>
      <c r="AX45" s="46"/>
      <c r="AY45" s="46"/>
      <c r="AZ45" s="563"/>
      <c r="BA45" s="569"/>
      <c r="BB45" s="563"/>
      <c r="BC45" s="569"/>
      <c r="BD45" s="563"/>
      <c r="BE45" s="46"/>
      <c r="BF45" s="46"/>
      <c r="BG45" s="563"/>
      <c r="BH45" s="563"/>
      <c r="BI45" s="563"/>
      <c r="BJ45" s="563"/>
    </row>
    <row r="46" spans="2:62" x14ac:dyDescent="0.25">
      <c r="B46" s="589">
        <f>VLOOKUP(F46,'2) Tracker'!$A$3:$O$411,5,FALSE)</f>
        <v>0</v>
      </c>
      <c r="C46" s="589">
        <f>VLOOKUP(F46,'2) Tracker'!$A$3:$O$411,4,FALSE)</f>
        <v>0</v>
      </c>
      <c r="D46" s="563"/>
      <c r="E46" s="563">
        <f>VLOOKUP(F46,'2) Tracker'!$A$3:$O$407,15,FALSE)</f>
        <v>0</v>
      </c>
      <c r="F46" s="604" t="s">
        <v>637</v>
      </c>
      <c r="G46" s="624">
        <f>VLOOKUP(F46,'2) Tracker'!$A$2:$BO$361,2,FALSE)</f>
        <v>2002</v>
      </c>
      <c r="H46" s="592">
        <f>VLOOKUP(F46,'2) Tracker'!$A$2:$BO$361,3,FALSE)</f>
        <v>78929</v>
      </c>
      <c r="I46" s="600" t="str">
        <f>VLOOKUP(F46,'2) Tracker'!$A$2:$BO$361,9,FALSE)</f>
        <v>SwissChemGas</v>
      </c>
      <c r="J46" s="594" t="str">
        <f>VLOOKUP(F46,'2) Tracker'!$A$2:$BO$361,12,FALSE)</f>
        <v>Mexico</v>
      </c>
      <c r="K46" s="596">
        <f t="shared" ref="K46:O46" si="89">AD46</f>
        <v>46136</v>
      </c>
      <c r="L46" s="596">
        <f t="shared" si="89"/>
        <v>46138</v>
      </c>
      <c r="M46" s="596" t="str">
        <f t="shared" si="89"/>
        <v/>
      </c>
      <c r="N46" s="596" t="str">
        <f t="shared" si="89"/>
        <v/>
      </c>
      <c r="O46" s="597" t="str">
        <f t="shared" si="89"/>
        <v/>
      </c>
      <c r="P46" s="598" t="str">
        <f>IFERROR(IF(VLOOKUP(F46,'Voyage days'!$M$808:$N$819,2,FALSE),"GOA",""),"")</f>
        <v/>
      </c>
      <c r="Q46" s="596">
        <f t="shared" ref="Q46:R46" si="90">AM46</f>
        <v>46135</v>
      </c>
      <c r="R46" s="596">
        <f t="shared" si="90"/>
        <v>46154</v>
      </c>
      <c r="S46" s="595">
        <f t="shared" si="2"/>
        <v>46147</v>
      </c>
      <c r="T46" s="596">
        <f t="shared" si="3"/>
        <v>46152</v>
      </c>
      <c r="U46" s="596" t="str">
        <f t="shared" si="4"/>
        <v/>
      </c>
      <c r="V46" s="596"/>
      <c r="W46" s="596" t="str">
        <f t="shared" si="5"/>
        <v/>
      </c>
      <c r="X46" s="599" t="str">
        <f t="shared" si="6"/>
        <v/>
      </c>
      <c r="Y46" s="594"/>
      <c r="Z46" s="600" t="str">
        <f>VLOOKUP(F46,'2) Tracker'!$A$3:$Q$505,16,FALSE)</f>
        <v>@ Pajaritos 11 Apr</v>
      </c>
      <c r="AA46" s="600" t="str">
        <f>VLOOKUP(F46,'2) Tracker'!$A$3:$R$505,18,FALSE)</f>
        <v>SwissChemGas 05 Apr Targa</v>
      </c>
      <c r="AB46" s="600">
        <f>VLOOKUP(F46,'2) Tracker'!$A$3:$Q$505,17,FALSE)</f>
        <v>0</v>
      </c>
      <c r="AC46" s="601"/>
      <c r="AD46" s="601">
        <f>VLOOKUP(F46,'2) Tracker'!$A$2:$BO$981,37,FALSE)</f>
        <v>46136</v>
      </c>
      <c r="AE46" s="601">
        <f>VLOOKUP(F46,'2) Tracker'!$A$2:$BO$981,40,FALSE)</f>
        <v>46138</v>
      </c>
      <c r="AF46" s="601" t="str">
        <f>VLOOKUP(F46,'2) Tracker'!$A$2:$BO$981,67,FALSE)</f>
        <v/>
      </c>
      <c r="AG46" s="601" t="str">
        <f>VLOOKUP(F46,'2) Tracker'!$A$2:$BO$981,34,FALSE)</f>
        <v/>
      </c>
      <c r="AH46" s="601" t="str">
        <f>VLOOKUP(F46,'2) Tracker'!$A$2:$BN$981,66,FALSE)</f>
        <v/>
      </c>
      <c r="AI46" s="601" t="str">
        <f>VLOOKUP(F46,'2) Tracker'!$A$2:$BO$981,56,FALSE)</f>
        <v/>
      </c>
      <c r="AJ46" s="601" t="str">
        <f>VLOOKUP(F46,'2) Tracker'!$A$2:$BO$981,52,FALSE)</f>
        <v/>
      </c>
      <c r="AK46" s="601">
        <f>VLOOKUP(F46,'2) Tracker'!$A$2:$AQ$981,43,FALSE)</f>
        <v>46152</v>
      </c>
      <c r="AL46" s="601">
        <f>VLOOKUP(F46,'2) Tracker'!$A$2:$BH$981,46,FALSE())</f>
        <v>46147</v>
      </c>
      <c r="AM46" s="601">
        <f>VLOOKUP(F46,'2) Tracker'!$A$2:$BO$981,65,FALSE())</f>
        <v>46135</v>
      </c>
      <c r="AN46" s="601">
        <f>VLOOKUP(F46,'2) Tracker'!$A$2:$BK$981,63,FALSE())</f>
        <v>46154</v>
      </c>
      <c r="AO46" s="601" t="str">
        <f>VLOOKUP(F46,'2) Tracker'!$A$2:$BF$981,58,FALSE())</f>
        <v/>
      </c>
      <c r="AP46" s="46"/>
      <c r="AQ46" s="46"/>
      <c r="AR46" s="46"/>
      <c r="AS46" s="46"/>
      <c r="AT46" s="46"/>
      <c r="AU46" s="46"/>
      <c r="AV46" s="46"/>
      <c r="AW46" s="46"/>
      <c r="AX46" s="46"/>
      <c r="AY46" s="46"/>
      <c r="AZ46" s="605"/>
      <c r="BA46" s="604" t="e">
        <f>VLOOKUP(AZ46,#REF!,2, FALSE)</f>
        <v>#REF!</v>
      </c>
      <c r="BB46" s="605" t="e">
        <f>VLOOKUP(AZ46,'1) Kpler'!$E$2:$F$500,2,FALSE)</f>
        <v>#N/A</v>
      </c>
      <c r="BC46" s="604"/>
      <c r="BD46" s="605"/>
      <c r="BE46" s="46"/>
      <c r="BF46" s="46"/>
      <c r="BG46" s="605"/>
      <c r="BH46" s="605"/>
      <c r="BI46" s="605"/>
      <c r="BJ46" s="605"/>
    </row>
    <row r="47" spans="2:62" x14ac:dyDescent="0.25">
      <c r="B47" s="589">
        <f>VLOOKUP(F47,'2) Tracker'!$A$3:$O$411,5,FALSE)</f>
        <v>0</v>
      </c>
      <c r="C47" s="589">
        <f>VLOOKUP(F47,'2) Tracker'!$A$3:$O$411,4,FALSE)</f>
        <v>0</v>
      </c>
      <c r="D47" s="563"/>
      <c r="E47" s="563">
        <f>VLOOKUP(F47,'2) Tracker'!$A$3:$O$407,15,FALSE)</f>
        <v>0</v>
      </c>
      <c r="F47" s="608" t="s">
        <v>542</v>
      </c>
      <c r="G47" s="591">
        <f>VLOOKUP(F47,'2) Tracker'!$A$2:$BO$361,2,FALSE)</f>
        <v>2024</v>
      </c>
      <c r="H47" s="592">
        <f>VLOOKUP(F47,'2) Tracker'!$A$2:$BO$361,3,FALSE)</f>
        <v>86000</v>
      </c>
      <c r="I47" s="593" t="str">
        <f>VLOOKUP(F47,'2) Tracker'!$A$2:$BO$361,9,FALSE)</f>
        <v>BGN&gt; ???</v>
      </c>
      <c r="J47" s="594" t="str">
        <f>VLOOKUP(F47,'2) Tracker'!$A$2:$BO$361,12,FALSE)</f>
        <v>loads USG</v>
      </c>
      <c r="K47" s="595">
        <f t="shared" ref="K47:O47" si="91">AD47</f>
        <v>46136</v>
      </c>
      <c r="L47" s="595">
        <f t="shared" si="91"/>
        <v>46136</v>
      </c>
      <c r="M47" s="596">
        <f t="shared" si="91"/>
        <v>46168</v>
      </c>
      <c r="N47" s="596" t="str">
        <f t="shared" si="91"/>
        <v/>
      </c>
      <c r="O47" s="597" t="str">
        <f t="shared" si="91"/>
        <v/>
      </c>
      <c r="P47" s="598" t="str">
        <f>IFERROR(IF(VLOOKUP(F47,'Voyage days'!$M$808:$N$819,2,FALSE),"GOA",""),"")</f>
        <v/>
      </c>
      <c r="Q47" s="596" t="str">
        <f t="shared" ref="Q47:R47" si="92">AM47</f>
        <v/>
      </c>
      <c r="R47" s="596" t="str">
        <f t="shared" si="92"/>
        <v/>
      </c>
      <c r="S47" s="595">
        <f t="shared" si="2"/>
        <v>46156</v>
      </c>
      <c r="T47" s="596" t="str">
        <f t="shared" si="3"/>
        <v/>
      </c>
      <c r="U47" s="596" t="str">
        <f t="shared" si="4"/>
        <v/>
      </c>
      <c r="V47" s="596"/>
      <c r="W47" s="596" t="str">
        <f t="shared" si="5"/>
        <v/>
      </c>
      <c r="X47" s="599" t="str">
        <f t="shared" si="6"/>
        <v/>
      </c>
      <c r="Y47" s="594"/>
      <c r="Z47" s="600" t="str">
        <f>VLOOKUP(F47,'2) Tracker'!$A$3:$Q$505,16,FALSE)</f>
        <v>ETA Nderlanjd 23 Apr</v>
      </c>
      <c r="AA47" s="600" t="str">
        <f>VLOOKUP(F47,'2) Tracker'!$A$3:$R$505,18,FALSE)</f>
        <v>BGN 23-24 Apr Nederland</v>
      </c>
      <c r="AB47" s="600">
        <f>VLOOKUP(F47,'2) Tracker'!$A$3:$Q$505,17,FALSE)</f>
        <v>0</v>
      </c>
      <c r="AC47" s="601"/>
      <c r="AD47" s="601">
        <f>VLOOKUP(F47,'2) Tracker'!$A$2:$BO$981,37,FALSE)</f>
        <v>46136</v>
      </c>
      <c r="AE47" s="601">
        <f>VLOOKUP(F47,'2) Tracker'!$A$2:$BO$981,40,FALSE)</f>
        <v>46136</v>
      </c>
      <c r="AF47" s="601">
        <f>VLOOKUP(F47,'2) Tracker'!$A$2:$BO$981,67,FALSE)</f>
        <v>46168</v>
      </c>
      <c r="AG47" s="601" t="str">
        <f>VLOOKUP(F47,'2) Tracker'!$A$2:$BO$981,34,FALSE)</f>
        <v/>
      </c>
      <c r="AH47" s="601" t="str">
        <f>VLOOKUP(F47,'2) Tracker'!$A$2:$BN$981,66,FALSE)</f>
        <v/>
      </c>
      <c r="AI47" s="601" t="str">
        <f>VLOOKUP(F47,'2) Tracker'!$A$2:$BO$981,56,FALSE)</f>
        <v/>
      </c>
      <c r="AJ47" s="601" t="str">
        <f>VLOOKUP(F47,'2) Tracker'!$A$2:$BO$981,52,FALSE)</f>
        <v/>
      </c>
      <c r="AK47" s="601" t="str">
        <f>VLOOKUP(F47,'2) Tracker'!$A$2:$AQ$981,43,FALSE)</f>
        <v/>
      </c>
      <c r="AL47" s="601">
        <f>VLOOKUP(F47,'2) Tracker'!$A$2:$BH$981,46,FALSE())</f>
        <v>46156</v>
      </c>
      <c r="AM47" s="601" t="str">
        <f>VLOOKUP(F47,'2) Tracker'!$A$2:$BO$981,65,FALSE())</f>
        <v/>
      </c>
      <c r="AN47" s="601" t="str">
        <f>VLOOKUP(F47,'2) Tracker'!$A$2:$BK$981,63,FALSE())</f>
        <v/>
      </c>
      <c r="AO47" s="601" t="str">
        <f>VLOOKUP(F47,'2) Tracker'!$A$2:$BF$981,58,FALSE())</f>
        <v/>
      </c>
      <c r="AP47" s="46"/>
      <c r="AQ47" s="46"/>
      <c r="AR47" s="46"/>
      <c r="AS47" s="46"/>
      <c r="AT47" s="46"/>
      <c r="AU47" s="46"/>
      <c r="AV47" s="46"/>
      <c r="AW47" s="46"/>
      <c r="AX47" s="46"/>
      <c r="AY47" s="46"/>
      <c r="AZ47" s="563"/>
      <c r="BA47" s="569"/>
      <c r="BB47" s="563"/>
      <c r="BC47" s="569"/>
      <c r="BD47" s="563"/>
      <c r="BE47" s="46"/>
      <c r="BF47" s="46"/>
      <c r="BG47" s="563"/>
      <c r="BH47" s="563"/>
      <c r="BI47" s="563"/>
      <c r="BJ47" s="563"/>
    </row>
    <row r="48" spans="2:62" x14ac:dyDescent="0.25">
      <c r="B48" s="589">
        <f>VLOOKUP(F48,'2) Tracker'!$A$3:$O$411,5,FALSE)</f>
        <v>0</v>
      </c>
      <c r="C48" s="589" t="str">
        <f>VLOOKUP(F48,'2) Tracker'!$A$3:$O$411,4,FALSE)</f>
        <v>US</v>
      </c>
      <c r="D48" s="563"/>
      <c r="E48" s="563" t="str">
        <f>VLOOKUP(F48,'2) Tracker'!$A$3:$O$407,15,FALSE)</f>
        <v>eu</v>
      </c>
      <c r="F48" s="608" t="s">
        <v>559</v>
      </c>
      <c r="G48" s="591">
        <f>VLOOKUP(F48,'2) Tracker'!$A$2:$BO$361,2,FALSE)</f>
        <v>2021</v>
      </c>
      <c r="H48" s="592">
        <f>VLOOKUP(F48,'2) Tracker'!$A$2:$BO$361,3,FALSE)</f>
        <v>84000</v>
      </c>
      <c r="I48" s="593" t="str">
        <f>VLOOKUP(F48,'2) Tracker'!$A$2:$BO$361,9,FALSE)</f>
        <v>Chevron</v>
      </c>
      <c r="J48" s="594" t="str">
        <f>VLOOKUP(F48,'2) Tracker'!$A$2:$BO$361,12,FALSE)</f>
        <v>loads USG</v>
      </c>
      <c r="K48" s="595">
        <f t="shared" ref="K48:O48" si="93">AD48</f>
        <v>46136</v>
      </c>
      <c r="L48" s="595">
        <f t="shared" si="93"/>
        <v>46136</v>
      </c>
      <c r="M48" s="595">
        <f t="shared" si="93"/>
        <v>46168</v>
      </c>
      <c r="N48" s="595" t="str">
        <f t="shared" si="93"/>
        <v/>
      </c>
      <c r="O48" s="597" t="str">
        <f t="shared" si="93"/>
        <v/>
      </c>
      <c r="P48" s="598" t="str">
        <f>IFERROR(IF(VLOOKUP(F48,'Voyage days'!$M$808:$N$821,2,FALSE),"GOA",""),"")</f>
        <v/>
      </c>
      <c r="Q48" s="596" t="str">
        <f t="shared" ref="Q48:R48" si="94">AM48</f>
        <v/>
      </c>
      <c r="R48" s="596" t="str">
        <f t="shared" si="94"/>
        <v/>
      </c>
      <c r="S48" s="595">
        <f t="shared" si="2"/>
        <v>46156</v>
      </c>
      <c r="T48" s="596" t="str">
        <f t="shared" si="3"/>
        <v/>
      </c>
      <c r="U48" s="596" t="str">
        <f t="shared" si="4"/>
        <v/>
      </c>
      <c r="V48" s="596"/>
      <c r="W48" s="596" t="str">
        <f t="shared" si="5"/>
        <v/>
      </c>
      <c r="X48" s="599" t="str">
        <f t="shared" si="6"/>
        <v/>
      </c>
      <c r="Y48" s="594"/>
      <c r="Z48" s="600" t="str">
        <f>VLOOKUP(F48,'2) Tracker'!$A$3:$Q$505,16,FALSE)</f>
        <v>ETA USG 12 Apr, ex Antwerp 29 Mar</v>
      </c>
      <c r="AA48" s="600" t="str">
        <f>VLOOKUP(F48,'2) Tracker'!$A$3:$R$505,18,FALSE)</f>
        <v>Chevron 24-25 Apr USG</v>
      </c>
      <c r="AB48" s="600" t="str">
        <f>VLOOKUP(F48,'2) Tracker'!$A$3:$Q$505,17,FALSE)</f>
        <v>Has 18-19 Apr looking to swap for 28-29 Apr</v>
      </c>
      <c r="AC48" s="601"/>
      <c r="AD48" s="601">
        <f>VLOOKUP(F48,'2) Tracker'!$A$2:$BO$981,37,FALSE)</f>
        <v>46136</v>
      </c>
      <c r="AE48" s="601">
        <f>VLOOKUP(F48,'2) Tracker'!$A$2:$BO$981,40,FALSE)</f>
        <v>46136</v>
      </c>
      <c r="AF48" s="601">
        <f>VLOOKUP(F48,'2) Tracker'!$A$2:$BO$981,67,FALSE)</f>
        <v>46168</v>
      </c>
      <c r="AG48" s="601" t="str">
        <f>VLOOKUP(F48,'2) Tracker'!$A$2:$BO$981,34,FALSE)</f>
        <v/>
      </c>
      <c r="AH48" s="601" t="str">
        <f>VLOOKUP(F48,'2) Tracker'!$A$2:$BN$981,66,FALSE)</f>
        <v/>
      </c>
      <c r="AI48" s="601" t="str">
        <f>VLOOKUP(F48,'2) Tracker'!$A$2:$BO$981,56,FALSE)</f>
        <v/>
      </c>
      <c r="AJ48" s="601" t="str">
        <f>VLOOKUP(F48,'2) Tracker'!$A$2:$BO$981,52,FALSE)</f>
        <v/>
      </c>
      <c r="AK48" s="601" t="str">
        <f>VLOOKUP(F48,'2) Tracker'!$A$2:$AQ$981,43,FALSE)</f>
        <v/>
      </c>
      <c r="AL48" s="601">
        <f>VLOOKUP(F48,'2) Tracker'!$A$2:$BH$981,46,FALSE())</f>
        <v>46156</v>
      </c>
      <c r="AM48" s="601" t="str">
        <f>VLOOKUP(F48,'2) Tracker'!$A$2:$BO$981,65,FALSE())</f>
        <v/>
      </c>
      <c r="AN48" s="601" t="str">
        <f>VLOOKUP(F48,'2) Tracker'!$A$2:$BK$981,63,FALSE())</f>
        <v/>
      </c>
      <c r="AO48" s="601" t="str">
        <f>VLOOKUP(F48,'2) Tracker'!$A$2:$BF$981,58,FALSE())</f>
        <v/>
      </c>
      <c r="AP48" s="46"/>
      <c r="AQ48" s="46"/>
      <c r="AR48" s="46"/>
      <c r="AS48" s="46"/>
      <c r="AT48" s="46" t="s">
        <v>1592</v>
      </c>
      <c r="AU48" s="46"/>
      <c r="AV48" s="46"/>
      <c r="AW48" s="46"/>
      <c r="AX48" s="46"/>
      <c r="AY48" s="46"/>
      <c r="AZ48" s="605"/>
      <c r="BA48" s="604" t="e">
        <f>VLOOKUP(AZ48,#REF!,2, FALSE)</f>
        <v>#REF!</v>
      </c>
      <c r="BB48" s="605" t="e">
        <f>VLOOKUP(AZ48,'1) Kpler'!$E$2:$F$500,2,FALSE)</f>
        <v>#N/A</v>
      </c>
      <c r="BC48" s="604"/>
      <c r="BD48" s="605"/>
      <c r="BE48" s="46"/>
      <c r="BF48" s="46"/>
      <c r="BG48" s="605"/>
      <c r="BH48" s="605"/>
      <c r="BI48" s="605"/>
      <c r="BJ48" s="605"/>
    </row>
    <row r="49" spans="2:62" x14ac:dyDescent="0.25">
      <c r="B49" s="589">
        <f>VLOOKUP(F49,'2) Tracker'!$A$3:$O$411,5,FALSE)</f>
        <v>0</v>
      </c>
      <c r="C49" s="589" t="str">
        <f>VLOOKUP(F49,'2) Tracker'!$A$3:$O$411,4,FALSE)</f>
        <v>US</v>
      </c>
      <c r="D49" s="563"/>
      <c r="E49" s="563">
        <f>VLOOKUP(F49,'2) Tracker'!$A$3:$O$407,15,FALSE)</f>
        <v>0</v>
      </c>
      <c r="F49" s="604" t="s">
        <v>160</v>
      </c>
      <c r="G49" s="591">
        <f>VLOOKUP(F49,'2) Tracker'!$A$2:$BO$361,2,FALSE)</f>
        <v>2023</v>
      </c>
      <c r="H49" s="592">
        <f>VLOOKUP(F49,'2) Tracker'!$A$2:$BO$361,3,FALSE)</f>
        <v>84000</v>
      </c>
      <c r="I49" s="594" t="str">
        <f>VLOOKUP(F49,'2) Tracker'!$A$2:$BO$361,9,FALSE)</f>
        <v>Helios</v>
      </c>
      <c r="J49" s="594" t="str">
        <f>VLOOKUP(F49,'2) Tracker'!$A$2:$BO$361,12,FALSE)</f>
        <v>loads USG</v>
      </c>
      <c r="K49" s="595">
        <f t="shared" ref="K49:O49" si="95">AD49</f>
        <v>46136</v>
      </c>
      <c r="L49" s="595">
        <f t="shared" si="95"/>
        <v>46136</v>
      </c>
      <c r="M49" s="596">
        <f t="shared" si="95"/>
        <v>46168</v>
      </c>
      <c r="N49" s="596" t="str">
        <f t="shared" si="95"/>
        <v/>
      </c>
      <c r="O49" s="597" t="str">
        <f t="shared" si="95"/>
        <v/>
      </c>
      <c r="P49" s="598" t="str">
        <f>IFERROR(IF(VLOOKUP(F49,'Voyage days'!$M$808:$N$819,2,FALSE),"GOA",""),"")</f>
        <v/>
      </c>
      <c r="Q49" s="596" t="str">
        <f t="shared" ref="Q49:R49" si="96">AM49</f>
        <v/>
      </c>
      <c r="R49" s="595" t="str">
        <f t="shared" si="96"/>
        <v/>
      </c>
      <c r="S49" s="595">
        <f t="shared" si="2"/>
        <v>46156</v>
      </c>
      <c r="T49" s="596" t="str">
        <f t="shared" si="3"/>
        <v/>
      </c>
      <c r="U49" s="595" t="str">
        <f t="shared" si="4"/>
        <v/>
      </c>
      <c r="V49" s="596"/>
      <c r="W49" s="596" t="str">
        <f t="shared" si="5"/>
        <v/>
      </c>
      <c r="X49" s="599" t="str">
        <f t="shared" si="6"/>
        <v/>
      </c>
      <c r="Y49" s="594"/>
      <c r="Z49" s="600" t="str">
        <f>VLOOKUP(F49,'2) Tracker'!$A$3:$Q$505,16,FALSE)</f>
        <v>@ Houston Anchorage 19 Apr</v>
      </c>
      <c r="AA49" s="600" t="str">
        <f>VLOOKUP(F49,'2) Tracker'!$A$3:$R$505,18,FALSE)</f>
        <v>MB Energy 23-24 Apr USG</v>
      </c>
      <c r="AB49" s="600">
        <f>VLOOKUP(F49,'2) Tracker'!$A$3:$Q$505,17,FALSE)</f>
        <v>0</v>
      </c>
      <c r="AC49" s="601"/>
      <c r="AD49" s="601">
        <f>VLOOKUP(F49,'2) Tracker'!$A$2:$BO$981,37,FALSE)</f>
        <v>46136</v>
      </c>
      <c r="AE49" s="601">
        <f>VLOOKUP(F49,'2) Tracker'!$A$2:$BO$981,40,FALSE)</f>
        <v>46136</v>
      </c>
      <c r="AF49" s="601">
        <f>VLOOKUP(F49,'2) Tracker'!$A$2:$BO$981,67,FALSE)</f>
        <v>46168</v>
      </c>
      <c r="AG49" s="601" t="str">
        <f>VLOOKUP(F49,'2) Tracker'!$A$2:$BO$981,34,FALSE)</f>
        <v/>
      </c>
      <c r="AH49" s="601" t="str">
        <f>VLOOKUP(F49,'2) Tracker'!$A$2:$BN$981,66,FALSE)</f>
        <v/>
      </c>
      <c r="AI49" s="601" t="str">
        <f>VLOOKUP(F49,'2) Tracker'!$A$2:$BO$981,56,FALSE)</f>
        <v/>
      </c>
      <c r="AJ49" s="601" t="str">
        <f>VLOOKUP(F49,'2) Tracker'!$A$2:$BO$981,52,FALSE)</f>
        <v/>
      </c>
      <c r="AK49" s="601" t="str">
        <f>VLOOKUP(F49,'2) Tracker'!$A$2:$AQ$981,43,FALSE)</f>
        <v/>
      </c>
      <c r="AL49" s="601">
        <f>VLOOKUP(F49,'2) Tracker'!$A$2:$BH$981,46,FALSE())</f>
        <v>46156</v>
      </c>
      <c r="AM49" s="601" t="str">
        <f>VLOOKUP(F49,'2) Tracker'!$A$2:$BO$981,65,FALSE())</f>
        <v/>
      </c>
      <c r="AN49" s="601" t="str">
        <f>VLOOKUP(F49,'2) Tracker'!$A$2:$BK$981,63,FALSE())</f>
        <v/>
      </c>
      <c r="AO49" s="601" t="str">
        <f>VLOOKUP(F49,'2) Tracker'!$A$2:$BF$981,58,FALSE())</f>
        <v/>
      </c>
      <c r="AP49" s="46"/>
      <c r="AQ49" s="46"/>
      <c r="AR49" s="46"/>
      <c r="AS49" s="46"/>
      <c r="AT49" s="46"/>
      <c r="AU49" s="46"/>
      <c r="AV49" s="46"/>
      <c r="AW49" s="46"/>
      <c r="AX49" s="46"/>
      <c r="AY49" s="46"/>
      <c r="AZ49" s="563"/>
      <c r="BA49" s="569"/>
      <c r="BB49" s="563"/>
      <c r="BC49" s="569"/>
      <c r="BD49" s="563"/>
      <c r="BE49" s="46"/>
      <c r="BF49" s="46"/>
      <c r="BG49" s="563"/>
      <c r="BH49" s="563"/>
      <c r="BI49" s="563"/>
      <c r="BJ49" s="563"/>
    </row>
    <row r="50" spans="2:62" x14ac:dyDescent="0.25">
      <c r="B50" s="589" t="str">
        <f>VLOOKUP(F50,'2) Tracker'!$A$3:$O$411,5,FALSE)</f>
        <v>C</v>
      </c>
      <c r="C50" s="589">
        <f>VLOOKUP(F50,'2) Tracker'!$A$3:$O$411,4,FALSE)</f>
        <v>0</v>
      </c>
      <c r="D50" s="563"/>
      <c r="E50" s="563">
        <f>VLOOKUP(F50,'2) Tracker'!$A$3:$O$407,15,FALSE)</f>
        <v>0</v>
      </c>
      <c r="F50" s="604" t="s">
        <v>281</v>
      </c>
      <c r="G50" s="607">
        <f>VLOOKUP(F50,'2) Tracker'!$A$2:$BO$361,2,FALSE)</f>
        <v>43102</v>
      </c>
      <c r="H50" s="592">
        <f>VLOOKUP(F50,'2) Tracker'!$A$2:$BO$361,3,FALSE)</f>
        <v>85000</v>
      </c>
      <c r="I50" s="594" t="str">
        <f>VLOOKUP(F50,'2) Tracker'!$A$2:$BO$361,9,FALSE)</f>
        <v>E1</v>
      </c>
      <c r="J50" s="594" t="str">
        <f>VLOOKUP(F50,'2) Tracker'!$A$2:$BO$361,12,FALSE)</f>
        <v>loads USG</v>
      </c>
      <c r="K50" s="595">
        <f t="shared" ref="K50:O50" si="97">AD50</f>
        <v>46136</v>
      </c>
      <c r="L50" s="595">
        <f t="shared" si="97"/>
        <v>46136</v>
      </c>
      <c r="M50" s="596">
        <f t="shared" si="97"/>
        <v>46168</v>
      </c>
      <c r="N50" s="596" t="str">
        <f t="shared" si="97"/>
        <v/>
      </c>
      <c r="O50" s="597" t="str">
        <f t="shared" si="97"/>
        <v/>
      </c>
      <c r="P50" s="598" t="str">
        <f>IFERROR(IF(VLOOKUP(F50,'Voyage days'!$M$808:$N$819,2,FALSE),"GOA",""),"")</f>
        <v/>
      </c>
      <c r="Q50" s="596" t="str">
        <f t="shared" ref="Q50:R50" si="98">AM50</f>
        <v/>
      </c>
      <c r="R50" s="595" t="str">
        <f t="shared" si="98"/>
        <v/>
      </c>
      <c r="S50" s="595">
        <f t="shared" si="2"/>
        <v>46156</v>
      </c>
      <c r="T50" s="596" t="str">
        <f t="shared" si="3"/>
        <v/>
      </c>
      <c r="U50" s="595" t="str">
        <f t="shared" si="4"/>
        <v/>
      </c>
      <c r="V50" s="595"/>
      <c r="W50" s="595" t="str">
        <f t="shared" si="5"/>
        <v/>
      </c>
      <c r="X50" s="599" t="str">
        <f t="shared" si="6"/>
        <v/>
      </c>
      <c r="Y50" s="594"/>
      <c r="Z50" s="600" t="str">
        <f>VLOOKUP(F50,'2) Tracker'!$A$3:$Q$505,16,FALSE)</f>
        <v>ETA Houston 22 Apr via Cape</v>
      </c>
      <c r="AA50" s="600" t="str">
        <f>VLOOKUP(F50,'2) Tracker'!$A$3:$R$505,18,FALSE)</f>
        <v>Astomos 23-24 Apr USG (via Vitol)</v>
      </c>
      <c r="AB50" s="600">
        <f>VLOOKUP(F50,'2) Tracker'!$A$3:$Q$505,17,FALSE)</f>
        <v>0</v>
      </c>
      <c r="AC50" s="601"/>
      <c r="AD50" s="601">
        <f>VLOOKUP(F50,'2) Tracker'!$A$2:$BO$981,37,FALSE)</f>
        <v>46136</v>
      </c>
      <c r="AE50" s="601">
        <f>VLOOKUP(F50,'2) Tracker'!$A$2:$BO$981,40,FALSE)</f>
        <v>46136</v>
      </c>
      <c r="AF50" s="601">
        <f>VLOOKUP(F50,'2) Tracker'!$A$2:$BO$981,67,FALSE)</f>
        <v>46168</v>
      </c>
      <c r="AG50" s="601" t="str">
        <f>VLOOKUP(F50,'2) Tracker'!$A$2:$BO$981,34,FALSE)</f>
        <v/>
      </c>
      <c r="AH50" s="601" t="str">
        <f>VLOOKUP(F50,'2) Tracker'!$A$2:$BN$981,66,FALSE)</f>
        <v/>
      </c>
      <c r="AI50" s="601" t="str">
        <f>VLOOKUP(F50,'2) Tracker'!$A$2:$BO$981,56,FALSE)</f>
        <v/>
      </c>
      <c r="AJ50" s="601" t="str">
        <f>VLOOKUP(F50,'2) Tracker'!$A$2:$BO$981,52,FALSE)</f>
        <v/>
      </c>
      <c r="AK50" s="601" t="str">
        <f>VLOOKUP(F50,'2) Tracker'!$A$2:$AQ$981,43,FALSE)</f>
        <v/>
      </c>
      <c r="AL50" s="601">
        <f>VLOOKUP(F50,'2) Tracker'!$A$2:$BH$981,46,FALSE())</f>
        <v>46156</v>
      </c>
      <c r="AM50" s="601" t="str">
        <f>VLOOKUP(F50,'2) Tracker'!$A$2:$BO$981,65,FALSE())</f>
        <v/>
      </c>
      <c r="AN50" s="601" t="str">
        <f>VLOOKUP(F50,'2) Tracker'!$A$2:$BK$981,63,FALSE())</f>
        <v/>
      </c>
      <c r="AO50" s="601" t="str">
        <f>VLOOKUP(F50,'2) Tracker'!$A$2:$BF$981,58,FALSE())</f>
        <v/>
      </c>
      <c r="AP50" s="46"/>
      <c r="AQ50" s="46"/>
      <c r="AR50" s="46"/>
      <c r="AS50" s="46"/>
      <c r="AT50" s="46"/>
      <c r="AU50" s="46"/>
      <c r="AV50" s="46"/>
      <c r="AW50" s="46"/>
      <c r="AX50" s="46"/>
      <c r="AY50" s="46"/>
      <c r="AZ50" s="563"/>
      <c r="BA50" s="604" t="e">
        <f>VLOOKUP(AZ50,#REF!,2, FALSE)</f>
        <v>#REF!</v>
      </c>
      <c r="BB50" s="605" t="e">
        <f>VLOOKUP(AZ50,'1) Kpler'!$E$2:$F$500,2,FALSE)</f>
        <v>#N/A</v>
      </c>
      <c r="BC50" s="569"/>
      <c r="BD50" s="563"/>
      <c r="BE50" s="46"/>
      <c r="BF50" s="46"/>
      <c r="BG50" s="563"/>
      <c r="BH50" s="563"/>
      <c r="BI50" s="563"/>
      <c r="BJ50" s="563"/>
    </row>
    <row r="51" spans="2:62" x14ac:dyDescent="0.25">
      <c r="B51" s="589">
        <f>VLOOKUP(F51,'2) Tracker'!$A$3:$O$411,5,FALSE)</f>
        <v>0</v>
      </c>
      <c r="C51" s="589" t="str">
        <f>VLOOKUP(F51,'2) Tracker'!$A$3:$O$411,4,FALSE)</f>
        <v>US</v>
      </c>
      <c r="D51" s="563" t="s">
        <v>1569</v>
      </c>
      <c r="E51" s="563">
        <f>VLOOKUP(F51,'2) Tracker'!$A$3:$O$407,15,FALSE)</f>
        <v>0</v>
      </c>
      <c r="F51" s="590" t="s">
        <v>628</v>
      </c>
      <c r="G51" s="607">
        <f>VLOOKUP(F51,'2) Tracker'!$A$2:$BO$361,2,FALSE)</f>
        <v>42985</v>
      </c>
      <c r="H51" s="592">
        <f>VLOOKUP(F51,'2) Tracker'!$A$2:$BO$361,3,FALSE)</f>
        <v>78700</v>
      </c>
      <c r="I51" s="600" t="str">
        <f>VLOOKUP(F51,'2) Tracker'!$A$2:$BO$361,9,FALSE)</f>
        <v>BWPS</v>
      </c>
      <c r="J51" s="594" t="str">
        <f>VLOOKUP(F51,'2) Tracker'!$A$2:$BO$361,12,FALSE)</f>
        <v>loads USG</v>
      </c>
      <c r="K51" s="596">
        <f t="shared" ref="K51:O51" si="99">AD51</f>
        <v>46136</v>
      </c>
      <c r="L51" s="596">
        <f t="shared" si="99"/>
        <v>46136</v>
      </c>
      <c r="M51" s="596">
        <f t="shared" si="99"/>
        <v>46168</v>
      </c>
      <c r="N51" s="596" t="str">
        <f t="shared" si="99"/>
        <v/>
      </c>
      <c r="O51" s="597" t="str">
        <f t="shared" si="99"/>
        <v/>
      </c>
      <c r="P51" s="598" t="str">
        <f>IFERROR(IF(VLOOKUP(F51,'Voyage days'!$M$808:$N$819,2,FALSE),"GOA",""),"")</f>
        <v/>
      </c>
      <c r="Q51" s="596" t="str">
        <f t="shared" ref="Q51:R51" si="100">AM51</f>
        <v/>
      </c>
      <c r="R51" s="596" t="str">
        <f t="shared" si="100"/>
        <v/>
      </c>
      <c r="S51" s="595">
        <f t="shared" si="2"/>
        <v>46156</v>
      </c>
      <c r="T51" s="596" t="str">
        <f t="shared" si="3"/>
        <v/>
      </c>
      <c r="U51" s="596" t="str">
        <f t="shared" si="4"/>
        <v/>
      </c>
      <c r="V51" s="616"/>
      <c r="W51" s="616" t="str">
        <f t="shared" si="5"/>
        <v/>
      </c>
      <c r="X51" s="599" t="str">
        <f t="shared" si="6"/>
        <v/>
      </c>
      <c r="Y51" s="594"/>
      <c r="Z51" s="600" t="str">
        <f>VLOOKUP(F51,'2) Tracker'!$A$3:$Q$505,16,FALSE)</f>
        <v>ETA Balboa 14 Apr</v>
      </c>
      <c r="AA51" s="600" t="str">
        <f>VLOOKUP(F51,'2) Tracker'!$A$3:$R$505,18,FALSE)</f>
        <v>Chevron 24-25 Apr USG</v>
      </c>
      <c r="AB51" s="600">
        <f>VLOOKUP(F51,'2) Tracker'!$A$3:$Q$505,17,FALSE)</f>
        <v>0</v>
      </c>
      <c r="AC51" s="601"/>
      <c r="AD51" s="601">
        <f>VLOOKUP(F51,'2) Tracker'!$A$2:$BO$981,37,FALSE)</f>
        <v>46136</v>
      </c>
      <c r="AE51" s="601">
        <f>VLOOKUP(F51,'2) Tracker'!$A$2:$BO$981,40,FALSE)</f>
        <v>46136</v>
      </c>
      <c r="AF51" s="601">
        <f>VLOOKUP(F51,'2) Tracker'!$A$2:$BO$981,67,FALSE)</f>
        <v>46168</v>
      </c>
      <c r="AG51" s="601" t="str">
        <f>VLOOKUP(F51,'2) Tracker'!$A$2:$BO$981,34,FALSE)</f>
        <v/>
      </c>
      <c r="AH51" s="601" t="str">
        <f>VLOOKUP(F51,'2) Tracker'!$A$2:$BN$981,66,FALSE)</f>
        <v/>
      </c>
      <c r="AI51" s="601" t="str">
        <f>VLOOKUP(F51,'2) Tracker'!$A$2:$BO$981,56,FALSE)</f>
        <v/>
      </c>
      <c r="AJ51" s="601" t="str">
        <f>VLOOKUP(F51,'2) Tracker'!$A$2:$BO$981,52,FALSE)</f>
        <v/>
      </c>
      <c r="AK51" s="601" t="str">
        <f>VLOOKUP(F51,'2) Tracker'!$A$2:$AQ$981,43,FALSE)</f>
        <v/>
      </c>
      <c r="AL51" s="601">
        <f>VLOOKUP(F51,'2) Tracker'!$A$2:$BH$981,46,FALSE())</f>
        <v>46156</v>
      </c>
      <c r="AM51" s="601" t="str">
        <f>VLOOKUP(F51,'2) Tracker'!$A$2:$BO$981,65,FALSE())</f>
        <v/>
      </c>
      <c r="AN51" s="601" t="str">
        <f>VLOOKUP(F51,'2) Tracker'!$A$2:$BK$981,63,FALSE())</f>
        <v/>
      </c>
      <c r="AO51" s="601" t="str">
        <f>VLOOKUP(F51,'2) Tracker'!$A$2:$BF$981,58,FALSE())</f>
        <v/>
      </c>
      <c r="AP51" s="46"/>
      <c r="AQ51" s="46"/>
      <c r="AR51" s="46"/>
      <c r="AS51" s="46"/>
      <c r="AT51" s="46"/>
      <c r="AU51" s="46"/>
      <c r="AV51" s="46"/>
      <c r="AW51" s="46"/>
      <c r="AX51" s="46"/>
      <c r="AY51" s="46"/>
      <c r="AZ51" s="605"/>
      <c r="BA51" s="604" t="e">
        <f>VLOOKUP(AZ51,#REF!,2, FALSE)</f>
        <v>#REF!</v>
      </c>
      <c r="BB51" s="605" t="e">
        <f>VLOOKUP(AZ51,'1) Kpler'!$E$2:$F$500,2,FALSE)</f>
        <v>#N/A</v>
      </c>
      <c r="BC51" s="604"/>
      <c r="BD51" s="605"/>
      <c r="BE51" s="46"/>
      <c r="BF51" s="46"/>
      <c r="BG51" s="605"/>
      <c r="BH51" s="605"/>
      <c r="BI51" s="605"/>
      <c r="BJ51" s="605"/>
    </row>
    <row r="52" spans="2:62" x14ac:dyDescent="0.25">
      <c r="B52" s="589">
        <f>VLOOKUP(F52,'2) Tracker'!$A$3:$O$411,5,FALSE)</f>
        <v>0</v>
      </c>
      <c r="C52" s="589" t="str">
        <f>VLOOKUP(F52,'2) Tracker'!$A$3:$O$411,4,FALSE)</f>
        <v>US</v>
      </c>
      <c r="D52" s="563" t="s">
        <v>1569</v>
      </c>
      <c r="E52" s="563">
        <f>VLOOKUP(F52,'2) Tracker'!$A$3:$O$407,15,FALSE)</f>
        <v>0</v>
      </c>
      <c r="F52" s="590" t="s">
        <v>374</v>
      </c>
      <c r="G52" s="607">
        <f>VLOOKUP(F52,'2) Tracker'!$A$2:$BO$361,2,FALSE)</f>
        <v>2025</v>
      </c>
      <c r="H52" s="592">
        <f>VLOOKUP(F52,'2) Tracker'!$A$2:$BO$361,3,FALSE)</f>
        <v>87000</v>
      </c>
      <c r="I52" s="593" t="str">
        <f>VLOOKUP(F52,'2) Tracker'!$A$2:$BO$361,9,FALSE)</f>
        <v>Chevron</v>
      </c>
      <c r="J52" s="594" t="str">
        <f>VLOOKUP(F52,'2) Tracker'!$A$2:$BO$361,12,FALSE)</f>
        <v>loads USG</v>
      </c>
      <c r="K52" s="595">
        <f t="shared" ref="K52:O52" si="101">AD52</f>
        <v>46136</v>
      </c>
      <c r="L52" s="595">
        <f t="shared" si="101"/>
        <v>46136</v>
      </c>
      <c r="M52" s="596">
        <f t="shared" si="101"/>
        <v>46168</v>
      </c>
      <c r="N52" s="597" t="str">
        <f t="shared" si="101"/>
        <v/>
      </c>
      <c r="O52" s="597" t="str">
        <f t="shared" si="101"/>
        <v/>
      </c>
      <c r="P52" s="598" t="str">
        <f>IFERROR(IF(VLOOKUP(F52,'Voyage days'!$M$808:$N$819,2,FALSE),"GOA",""),"")</f>
        <v/>
      </c>
      <c r="Q52" s="596" t="str">
        <f t="shared" ref="Q52:R52" si="102">AM52</f>
        <v/>
      </c>
      <c r="R52" s="595" t="str">
        <f t="shared" si="102"/>
        <v/>
      </c>
      <c r="S52" s="595">
        <f t="shared" si="2"/>
        <v>46156</v>
      </c>
      <c r="T52" s="596" t="str">
        <f t="shared" si="3"/>
        <v/>
      </c>
      <c r="U52" s="595" t="str">
        <f t="shared" si="4"/>
        <v/>
      </c>
      <c r="V52" s="601"/>
      <c r="W52" s="601" t="str">
        <f t="shared" si="5"/>
        <v/>
      </c>
      <c r="X52" s="599" t="str">
        <f t="shared" si="6"/>
        <v/>
      </c>
      <c r="Y52" s="594"/>
      <c r="Z52" s="600" t="str">
        <f>VLOOKUP(F52,'2) Tracker'!$A$3:$Q$505,16,FALSE)</f>
        <v>ETA Balboa 14 Apr</v>
      </c>
      <c r="AA52" s="600" t="str">
        <f>VLOOKUP(F52,'2) Tracker'!$A$3:$R$505,18,FALSE)</f>
        <v>Chevron 24-25 Feb Targa</v>
      </c>
      <c r="AB52" s="600" t="str">
        <f>VLOOKUP(F52,'2) Tracker'!$A$3:$Q$505,17,FALSE)</f>
        <v>Has 18-19 Apr looking to swap for 28-29 Apr</v>
      </c>
      <c r="AC52" s="601"/>
      <c r="AD52" s="601">
        <f>VLOOKUP(F52,'2) Tracker'!$A$2:$BO$981,37,FALSE)</f>
        <v>46136</v>
      </c>
      <c r="AE52" s="601">
        <f>VLOOKUP(F52,'2) Tracker'!$A$2:$BO$981,40,FALSE)</f>
        <v>46136</v>
      </c>
      <c r="AF52" s="601">
        <f>VLOOKUP(F52,'2) Tracker'!$A$2:$BO$981,67,FALSE)</f>
        <v>46168</v>
      </c>
      <c r="AG52" s="601" t="str">
        <f>VLOOKUP(F52,'2) Tracker'!$A$2:$BO$981,34,FALSE)</f>
        <v/>
      </c>
      <c r="AH52" s="601" t="str">
        <f>VLOOKUP(F52,'2) Tracker'!$A$2:$BN$981,66,FALSE)</f>
        <v/>
      </c>
      <c r="AI52" s="601" t="str">
        <f>VLOOKUP(F52,'2) Tracker'!$A$2:$BO$981,56,FALSE)</f>
        <v/>
      </c>
      <c r="AJ52" s="601" t="str">
        <f>VLOOKUP(F52,'2) Tracker'!$A$2:$BO$981,52,FALSE)</f>
        <v/>
      </c>
      <c r="AK52" s="601" t="str">
        <f>VLOOKUP(F52,'2) Tracker'!$A$2:$AQ$981,43,FALSE)</f>
        <v/>
      </c>
      <c r="AL52" s="601">
        <f>VLOOKUP(F52,'2) Tracker'!$A$2:$BH$981,46,FALSE())</f>
        <v>46156</v>
      </c>
      <c r="AM52" s="601" t="str">
        <f>VLOOKUP(F52,'2) Tracker'!$A$2:$BO$981,65,FALSE())</f>
        <v/>
      </c>
      <c r="AN52" s="601" t="str">
        <f>VLOOKUP(F52,'2) Tracker'!$A$2:$BK$981,63,FALSE())</f>
        <v/>
      </c>
      <c r="AO52" s="601" t="str">
        <f>VLOOKUP(F52,'2) Tracker'!$A$2:$BF$981,58,FALSE())</f>
        <v/>
      </c>
      <c r="AP52" s="46"/>
      <c r="AQ52" s="46"/>
      <c r="AR52" s="46"/>
      <c r="AS52" s="46"/>
      <c r="AT52" s="46"/>
      <c r="AU52" s="46"/>
      <c r="AV52" s="46"/>
      <c r="AW52" s="46"/>
      <c r="AX52" s="46"/>
      <c r="AY52" s="46"/>
      <c r="AZ52" s="563"/>
      <c r="BA52" s="604" t="e">
        <f>VLOOKUP(AZ52,#REF!,2, FALSE)</f>
        <v>#REF!</v>
      </c>
      <c r="BB52" s="605" t="e">
        <f>VLOOKUP(AZ52,'1) Kpler'!$E$2:$F$500,2,FALSE)</f>
        <v>#N/A</v>
      </c>
      <c r="BC52" s="569"/>
      <c r="BD52" s="563"/>
      <c r="BE52" s="46"/>
      <c r="BF52" s="46"/>
      <c r="BG52" s="563"/>
      <c r="BH52" s="563"/>
      <c r="BI52" s="563"/>
      <c r="BJ52" s="563"/>
    </row>
    <row r="53" spans="2:62" x14ac:dyDescent="0.25">
      <c r="B53" s="589">
        <f>VLOOKUP(F53,'2) Tracker'!$A$3:$O$411,5,FALSE)</f>
        <v>0</v>
      </c>
      <c r="C53" s="589">
        <f>VLOOKUP(F53,'2) Tracker'!$A$3:$O$411,4,FALSE)</f>
        <v>0</v>
      </c>
      <c r="D53" s="563"/>
      <c r="E53" s="563" t="str">
        <f>VLOOKUP(F53,'2) Tracker'!$A$3:$O$407,15,FALSE)</f>
        <v>R?</v>
      </c>
      <c r="F53" s="604" t="s">
        <v>878</v>
      </c>
      <c r="G53" s="607">
        <f>VLOOKUP(F53,'2) Tracker'!$A$2:$BO$361,2,FALSE)</f>
        <v>42741</v>
      </c>
      <c r="H53" s="592">
        <f>VLOOKUP(F53,'2) Tracker'!$A$2:$BO$361,3,FALSE)</f>
        <v>84000</v>
      </c>
      <c r="I53" s="600" t="str">
        <f>VLOOKUP(F53,'2) Tracker'!$A$2:$BO$361,9,FALSE)</f>
        <v>BP</v>
      </c>
      <c r="J53" s="594" t="str">
        <f>VLOOKUP(F53,'2) Tracker'!$A$2:$BO$361,12,FALSE)</f>
        <v>loads USG</v>
      </c>
      <c r="K53" s="596">
        <f t="shared" ref="K53:O53" si="103">AD53</f>
        <v>46137</v>
      </c>
      <c r="L53" s="596">
        <f t="shared" si="103"/>
        <v>46137</v>
      </c>
      <c r="M53" s="596">
        <f t="shared" si="103"/>
        <v>46169</v>
      </c>
      <c r="N53" s="597" t="str">
        <f t="shared" si="103"/>
        <v/>
      </c>
      <c r="O53" s="597" t="str">
        <f t="shared" si="103"/>
        <v/>
      </c>
      <c r="P53" s="598" t="str">
        <f>IFERROR(IF(VLOOKUP(F53,'Voyage days'!$M$808:$N$819,2,FALSE),"GOA",""),"")</f>
        <v/>
      </c>
      <c r="Q53" s="596" t="str">
        <f t="shared" ref="Q53:R53" si="104">AM53</f>
        <v/>
      </c>
      <c r="R53" s="596" t="str">
        <f t="shared" si="104"/>
        <v/>
      </c>
      <c r="S53" s="595">
        <f t="shared" si="2"/>
        <v>46157</v>
      </c>
      <c r="T53" s="596" t="str">
        <f t="shared" si="3"/>
        <v/>
      </c>
      <c r="U53" s="596" t="str">
        <f t="shared" si="4"/>
        <v/>
      </c>
      <c r="V53" s="570" t="s">
        <v>1577</v>
      </c>
      <c r="W53" s="596" t="str">
        <f t="shared" si="5"/>
        <v/>
      </c>
      <c r="X53" s="599" t="str">
        <f t="shared" si="6"/>
        <v/>
      </c>
      <c r="Y53" s="594"/>
      <c r="Z53" s="600" t="str">
        <f>VLOOKUP(F53,'2) Tracker'!$A$3:$Q$505,16,FALSE)</f>
        <v>@ Lavera 06 Apr</v>
      </c>
      <c r="AA53" s="600" t="str">
        <f>VLOOKUP(F53,'2) Tracker'!$A$3:$R$505,18,FALSE)</f>
        <v>Exxon/ATC 23-24 Mar USG</v>
      </c>
      <c r="AB53" s="600">
        <f>VLOOKUP(F53,'2) Tracker'!$A$3:$Q$505,17,FALSE)</f>
        <v>0</v>
      </c>
      <c r="AC53" s="601"/>
      <c r="AD53" s="601">
        <f>VLOOKUP(F53,'2) Tracker'!$A$2:$BO$981,37,FALSE)</f>
        <v>46137</v>
      </c>
      <c r="AE53" s="601">
        <f>VLOOKUP(F53,'2) Tracker'!$A$2:$BO$981,40,FALSE)</f>
        <v>46137</v>
      </c>
      <c r="AF53" s="601">
        <f>VLOOKUP(F53,'2) Tracker'!$A$2:$BO$981,67,FALSE)</f>
        <v>46169</v>
      </c>
      <c r="AG53" s="601" t="str">
        <f>VLOOKUP(F53,'2) Tracker'!$A$2:$BO$981,34,FALSE)</f>
        <v/>
      </c>
      <c r="AH53" s="601" t="str">
        <f>VLOOKUP(F53,'2) Tracker'!$A$2:$BN$981,66,FALSE)</f>
        <v/>
      </c>
      <c r="AI53" s="601" t="str">
        <f>VLOOKUP(F53,'2) Tracker'!$A$2:$BO$981,56,FALSE)</f>
        <v/>
      </c>
      <c r="AJ53" s="601" t="str">
        <f>VLOOKUP(F53,'2) Tracker'!$A$2:$BO$981,52,FALSE)</f>
        <v/>
      </c>
      <c r="AK53" s="601" t="str">
        <f>VLOOKUP(F53,'2) Tracker'!$A$2:$AQ$981,43,FALSE)</f>
        <v/>
      </c>
      <c r="AL53" s="601">
        <f>VLOOKUP(F53,'2) Tracker'!$A$2:$BH$981,46,FALSE())</f>
        <v>46157</v>
      </c>
      <c r="AM53" s="601" t="str">
        <f>VLOOKUP(F53,'2) Tracker'!$A$2:$BO$981,65,FALSE())</f>
        <v/>
      </c>
      <c r="AN53" s="601" t="str">
        <f>VLOOKUP(F53,'2) Tracker'!$A$2:$BK$981,63,FALSE())</f>
        <v/>
      </c>
      <c r="AO53" s="601" t="str">
        <f>VLOOKUP(F53,'2) Tracker'!$A$2:$BF$981,58,FALSE())</f>
        <v/>
      </c>
      <c r="AP53" s="46"/>
      <c r="AQ53" s="46"/>
      <c r="AR53" s="46"/>
      <c r="AS53" s="46"/>
      <c r="AT53" s="46"/>
      <c r="AU53" s="46"/>
      <c r="AV53" s="46"/>
      <c r="AW53" s="46"/>
      <c r="AX53" s="46"/>
      <c r="AY53" s="46"/>
      <c r="AZ53" s="563"/>
      <c r="BA53" s="569"/>
      <c r="BB53" s="563"/>
      <c r="BC53" s="569"/>
      <c r="BD53" s="563"/>
      <c r="BE53" s="46"/>
      <c r="BF53" s="46"/>
      <c r="BG53" s="563"/>
      <c r="BH53" s="563"/>
      <c r="BI53" s="563"/>
      <c r="BJ53" s="563"/>
    </row>
    <row r="54" spans="2:62" x14ac:dyDescent="0.25">
      <c r="B54" s="589">
        <f>VLOOKUP(F54,'2) Tracker'!$A$3:$O$411,5,FALSE)</f>
        <v>0</v>
      </c>
      <c r="C54" s="589">
        <f>VLOOKUP(F54,'2) Tracker'!$A$3:$O$411,4,FALSE)</f>
        <v>0</v>
      </c>
      <c r="D54" s="563"/>
      <c r="E54" s="563" t="str">
        <f>VLOOKUP(F54,'2) Tracker'!$A$3:$O$407,15,FALSE)</f>
        <v>eu</v>
      </c>
      <c r="F54" s="608" t="s">
        <v>301</v>
      </c>
      <c r="G54" s="591">
        <f>VLOOKUP(F54,'2) Tracker'!$A$2:$BO$361,2,FALSE)</f>
        <v>2024</v>
      </c>
      <c r="H54" s="592">
        <f>VLOOKUP(F54,'2) Tracker'!$A$2:$BO$361,3,FALSE)</f>
        <v>87000</v>
      </c>
      <c r="I54" s="593" t="str">
        <f>VLOOKUP(F54,'2) Tracker'!$A$2:$BO$361,9,FALSE)</f>
        <v>BGN</v>
      </c>
      <c r="J54" s="594" t="str">
        <f>VLOOKUP(F54,'2) Tracker'!$A$2:$BO$361,12,FALSE)</f>
        <v>loads USG</v>
      </c>
      <c r="K54" s="595">
        <f t="shared" ref="K54:O54" si="105">AD54</f>
        <v>46137</v>
      </c>
      <c r="L54" s="595">
        <f t="shared" si="105"/>
        <v>46137</v>
      </c>
      <c r="M54" s="596">
        <f t="shared" si="105"/>
        <v>46169</v>
      </c>
      <c r="N54" s="596" t="str">
        <f t="shared" si="105"/>
        <v/>
      </c>
      <c r="O54" s="597" t="str">
        <f t="shared" si="105"/>
        <v/>
      </c>
      <c r="P54" s="598" t="str">
        <f>IFERROR(IF(VLOOKUP(F54,'Voyage days'!$M$808:$N$819,2,FALSE),"GOA",""),"")</f>
        <v/>
      </c>
      <c r="Q54" s="596" t="str">
        <f t="shared" ref="Q54:R54" si="106">AM54</f>
        <v/>
      </c>
      <c r="R54" s="595" t="str">
        <f t="shared" si="106"/>
        <v/>
      </c>
      <c r="S54" s="595">
        <f t="shared" si="2"/>
        <v>46157</v>
      </c>
      <c r="T54" s="596" t="str">
        <f t="shared" si="3"/>
        <v/>
      </c>
      <c r="U54" s="595" t="str">
        <f t="shared" si="4"/>
        <v/>
      </c>
      <c r="V54" s="596"/>
      <c r="W54" s="596" t="str">
        <f t="shared" si="5"/>
        <v/>
      </c>
      <c r="X54" s="599" t="str">
        <f t="shared" si="6"/>
        <v/>
      </c>
      <c r="Y54" s="594"/>
      <c r="Z54" s="600" t="str">
        <f>VLOOKUP(F54,'2) Tracker'!$A$3:$Q$505,16,FALSE)</f>
        <v>ETA Nederland 25 Apr</v>
      </c>
      <c r="AA54" s="600" t="str">
        <f>VLOOKUP(F54,'2) Tracker'!$A$3:$R$505,18,FALSE)</f>
        <v>BGN 25-26 Apr Nederland</v>
      </c>
      <c r="AB54" s="600">
        <f>VLOOKUP(F54,'2) Tracker'!$A$3:$Q$505,17,FALSE)</f>
        <v>0</v>
      </c>
      <c r="AC54" s="601"/>
      <c r="AD54" s="601">
        <f>VLOOKUP(F54,'2) Tracker'!$A$2:$BO$981,37,FALSE)</f>
        <v>46137</v>
      </c>
      <c r="AE54" s="601">
        <f>VLOOKUP(F54,'2) Tracker'!$A$2:$BO$981,40,FALSE)</f>
        <v>46137</v>
      </c>
      <c r="AF54" s="601">
        <f>VLOOKUP(F54,'2) Tracker'!$A$2:$BO$981,67,FALSE)</f>
        <v>46169</v>
      </c>
      <c r="AG54" s="601" t="str">
        <f>VLOOKUP(F54,'2) Tracker'!$A$2:$BO$981,34,FALSE)</f>
        <v/>
      </c>
      <c r="AH54" s="601" t="str">
        <f>VLOOKUP(F54,'2) Tracker'!$A$2:$BN$981,66,FALSE)</f>
        <v/>
      </c>
      <c r="AI54" s="601" t="str">
        <f>VLOOKUP(F54,'2) Tracker'!$A$2:$BO$981,56,FALSE)</f>
        <v/>
      </c>
      <c r="AJ54" s="601" t="str">
        <f>VLOOKUP(F54,'2) Tracker'!$A$2:$BO$981,52,FALSE)</f>
        <v/>
      </c>
      <c r="AK54" s="601" t="str">
        <f>VLOOKUP(F54,'2) Tracker'!$A$2:$AQ$981,43,FALSE)</f>
        <v/>
      </c>
      <c r="AL54" s="601">
        <f>VLOOKUP(F54,'2) Tracker'!$A$2:$BH$981,46,FALSE())</f>
        <v>46157</v>
      </c>
      <c r="AM54" s="601" t="str">
        <f>VLOOKUP(F54,'2) Tracker'!$A$2:$BO$981,65,FALSE())</f>
        <v/>
      </c>
      <c r="AN54" s="601" t="str">
        <f>VLOOKUP(F54,'2) Tracker'!$A$2:$BK$981,63,FALSE())</f>
        <v/>
      </c>
      <c r="AO54" s="601" t="str">
        <f>VLOOKUP(F54,'2) Tracker'!$A$2:$BF$981,58,FALSE())</f>
        <v/>
      </c>
      <c r="AP54" s="46"/>
      <c r="AQ54" s="46"/>
      <c r="AR54" s="46"/>
      <c r="AS54" s="46"/>
      <c r="AT54" s="46"/>
      <c r="AU54" s="46"/>
      <c r="AV54" s="46"/>
      <c r="AW54" s="46"/>
      <c r="AX54" s="46"/>
      <c r="AY54" s="46"/>
      <c r="AZ54" s="591"/>
      <c r="BA54" s="604" t="e">
        <f>VLOOKUP(AZ54,#REF!,2, FALSE)</f>
        <v>#REF!</v>
      </c>
      <c r="BB54" s="605" t="e">
        <f>VLOOKUP(AZ54,'1) Kpler'!$E$2:$F$500,2,FALSE)</f>
        <v>#N/A</v>
      </c>
      <c r="BC54" s="594"/>
      <c r="BD54" s="605"/>
      <c r="BE54" s="46"/>
      <c r="BF54" s="46"/>
      <c r="BG54" s="605"/>
      <c r="BH54" s="605"/>
      <c r="BI54" s="605"/>
      <c r="BJ54" s="605"/>
    </row>
    <row r="55" spans="2:62" x14ac:dyDescent="0.25">
      <c r="B55" s="589">
        <f>VLOOKUP(F55,'2) Tracker'!$A$3:$O$411,5,FALSE)</f>
        <v>0</v>
      </c>
      <c r="C55" s="589" t="str">
        <f>VLOOKUP(F55,'2) Tracker'!$A$3:$O$411,4,FALSE)</f>
        <v>US</v>
      </c>
      <c r="D55" s="563" t="s">
        <v>1569</v>
      </c>
      <c r="E55" s="563" t="str">
        <f>VLOOKUP(F55,'2) Tracker'!$A$3:$O$407,15,FALSE)</f>
        <v>eu</v>
      </c>
      <c r="F55" s="625" t="s">
        <v>627</v>
      </c>
      <c r="G55" s="607">
        <f>VLOOKUP(F55,'2) Tracker'!$A$2:$BO$361,2,FALSE)</f>
        <v>43104</v>
      </c>
      <c r="H55" s="592">
        <f>VLOOKUP(F55,'2) Tracker'!$A$2:$BO$361,3,FALSE)</f>
        <v>78700</v>
      </c>
      <c r="I55" s="593" t="str">
        <f>VLOOKUP(F55,'2) Tracker'!$A$2:$BO$361,9,FALSE)</f>
        <v>Gunvor</v>
      </c>
      <c r="J55" s="594" t="str">
        <f>VLOOKUP(F55,'2) Tracker'!$A$2:$BO$361,12,FALSE)</f>
        <v>loads USG</v>
      </c>
      <c r="K55" s="596">
        <f t="shared" ref="K55:O55" si="107">AD55</f>
        <v>46137</v>
      </c>
      <c r="L55" s="596">
        <f t="shared" si="107"/>
        <v>46137</v>
      </c>
      <c r="M55" s="596">
        <f t="shared" si="107"/>
        <v>46169</v>
      </c>
      <c r="N55" s="596" t="str">
        <f t="shared" si="107"/>
        <v/>
      </c>
      <c r="O55" s="597" t="str">
        <f t="shared" si="107"/>
        <v/>
      </c>
      <c r="P55" s="598" t="str">
        <f>IFERROR(IF(VLOOKUP(F55,'Voyage days'!$M$808:$N$819,2,FALSE),"GOA",""),"")</f>
        <v/>
      </c>
      <c r="Q55" s="596" t="str">
        <f t="shared" ref="Q55:R55" si="108">AM55</f>
        <v/>
      </c>
      <c r="R55" s="596" t="str">
        <f t="shared" si="108"/>
        <v/>
      </c>
      <c r="S55" s="595">
        <f t="shared" si="2"/>
        <v>46157</v>
      </c>
      <c r="T55" s="596" t="str">
        <f t="shared" si="3"/>
        <v/>
      </c>
      <c r="U55" s="596" t="str">
        <f t="shared" si="4"/>
        <v/>
      </c>
      <c r="V55" s="596"/>
      <c r="W55" s="596" t="str">
        <f t="shared" si="5"/>
        <v/>
      </c>
      <c r="X55" s="599" t="str">
        <f t="shared" si="6"/>
        <v/>
      </c>
      <c r="Y55" s="594"/>
      <c r="Z55" s="600" t="str">
        <f>VLOOKUP(F55,'2) Tracker'!$A$3:$Q$505,16,FALSE)</f>
        <v>Ex Dortyol 02 Apr, ETA 25 Apr USG</v>
      </c>
      <c r="AA55" s="600" t="str">
        <f>VLOOKUP(F55,'2) Tracker'!$A$3:$R$505,18,FALSE)</f>
        <v>ATC 21-22 Feb Enterprise</v>
      </c>
      <c r="AB55" s="600">
        <f>VLOOKUP(F55,'2) Tracker'!$A$3:$Q$505,17,FALSE)</f>
        <v>0</v>
      </c>
      <c r="AC55" s="601"/>
      <c r="AD55" s="601">
        <f>VLOOKUP(F55,'2) Tracker'!$A$2:$BO$981,37,FALSE)</f>
        <v>46137</v>
      </c>
      <c r="AE55" s="601">
        <f>VLOOKUP(F55,'2) Tracker'!$A$2:$BO$981,40,FALSE)</f>
        <v>46137</v>
      </c>
      <c r="AF55" s="601">
        <f>VLOOKUP(F55,'2) Tracker'!$A$2:$BO$981,67,FALSE)</f>
        <v>46169</v>
      </c>
      <c r="AG55" s="601" t="str">
        <f>VLOOKUP(F55,'2) Tracker'!$A$2:$BO$981,34,FALSE)</f>
        <v/>
      </c>
      <c r="AH55" s="601" t="str">
        <f>VLOOKUP(F55,'2) Tracker'!$A$2:$BN$981,66,FALSE)</f>
        <v/>
      </c>
      <c r="AI55" s="601" t="str">
        <f>VLOOKUP(F55,'2) Tracker'!$A$2:$BO$981,56,FALSE)</f>
        <v/>
      </c>
      <c r="AJ55" s="601" t="str">
        <f>VLOOKUP(F55,'2) Tracker'!$A$2:$BO$981,52,FALSE)</f>
        <v/>
      </c>
      <c r="AK55" s="601" t="str">
        <f>VLOOKUP(F55,'2) Tracker'!$A$2:$AQ$981,43,FALSE)</f>
        <v/>
      </c>
      <c r="AL55" s="601">
        <f>VLOOKUP(F55,'2) Tracker'!$A$2:$BH$981,46,FALSE())</f>
        <v>46157</v>
      </c>
      <c r="AM55" s="601" t="str">
        <f>VLOOKUP(F55,'2) Tracker'!$A$2:$BO$981,65,FALSE())</f>
        <v/>
      </c>
      <c r="AN55" s="601" t="str">
        <f>VLOOKUP(F55,'2) Tracker'!$A$2:$BK$981,63,FALSE())</f>
        <v/>
      </c>
      <c r="AO55" s="601" t="str">
        <f>VLOOKUP(F55,'2) Tracker'!$A$2:$BF$981,58,FALSE())</f>
        <v/>
      </c>
      <c r="AP55" s="46"/>
      <c r="AQ55" s="46"/>
      <c r="AR55" s="46"/>
      <c r="AS55" s="46"/>
      <c r="AT55" s="46"/>
      <c r="AU55" s="46"/>
      <c r="AV55" s="46"/>
      <c r="AW55" s="46"/>
      <c r="AX55" s="46"/>
      <c r="AY55" s="46"/>
      <c r="AZ55" s="605"/>
      <c r="BA55" s="604" t="e">
        <f>VLOOKUP(AZ55,#REF!,2, FALSE)</f>
        <v>#REF!</v>
      </c>
      <c r="BB55" s="605" t="e">
        <f>VLOOKUP(AZ55,'1) Kpler'!$E$2:$F$500,2,FALSE)</f>
        <v>#N/A</v>
      </c>
      <c r="BC55" s="604"/>
      <c r="BD55" s="605"/>
      <c r="BE55" s="46"/>
      <c r="BF55" s="46"/>
      <c r="BG55" s="605"/>
      <c r="BH55" s="605"/>
      <c r="BI55" s="605"/>
      <c r="BJ55" s="605"/>
    </row>
    <row r="56" spans="2:62" x14ac:dyDescent="0.25">
      <c r="B56" s="589">
        <f>VLOOKUP(F56,'2) Tracker'!$A$3:$O$411,5,FALSE)</f>
        <v>0</v>
      </c>
      <c r="C56" s="589">
        <f>VLOOKUP(F56,'2) Tracker'!$A$3:$O$411,4,FALSE)</f>
        <v>0</v>
      </c>
      <c r="D56" s="563"/>
      <c r="E56" s="563">
        <f>VLOOKUP(F56,'2) Tracker'!$A$3:$O$407,15,FALSE)</f>
        <v>0</v>
      </c>
      <c r="F56" s="608" t="s">
        <v>381</v>
      </c>
      <c r="G56" s="591">
        <f>VLOOKUP(F56,'2) Tracker'!$A$2:$BO$361,2,FALSE)</f>
        <v>2016</v>
      </c>
      <c r="H56" s="592">
        <f>VLOOKUP(F56,'2) Tracker'!$A$2:$BO$361,3,FALSE)</f>
        <v>84000</v>
      </c>
      <c r="I56" s="593" t="str">
        <f>VLOOKUP(F56,'2) Tracker'!$A$2:$BO$361,9,FALSE)</f>
        <v>ATC &gt; AGT</v>
      </c>
      <c r="J56" s="594" t="str">
        <f>VLOOKUP(F56,'2) Tracker'!$A$2:$BO$361,12,FALSE)</f>
        <v>loads USG</v>
      </c>
      <c r="K56" s="595">
        <f t="shared" ref="K56:O56" si="109">AD56</f>
        <v>46137</v>
      </c>
      <c r="L56" s="595">
        <f t="shared" si="109"/>
        <v>46137</v>
      </c>
      <c r="M56" s="596">
        <f t="shared" si="109"/>
        <v>46169</v>
      </c>
      <c r="N56" s="596" t="str">
        <f t="shared" si="109"/>
        <v/>
      </c>
      <c r="O56" s="597" t="str">
        <f t="shared" si="109"/>
        <v/>
      </c>
      <c r="P56" s="598" t="str">
        <f>IFERROR(IF(VLOOKUP(F56,'Voyage days'!$M$808:$N$819,2,FALSE),"GOA",""),"")</f>
        <v/>
      </c>
      <c r="Q56" s="596" t="str">
        <f t="shared" ref="Q56:R56" si="110">AM56</f>
        <v/>
      </c>
      <c r="R56" s="596" t="str">
        <f t="shared" si="110"/>
        <v/>
      </c>
      <c r="S56" s="595">
        <f t="shared" si="2"/>
        <v>46157</v>
      </c>
      <c r="T56" s="596" t="str">
        <f t="shared" si="3"/>
        <v/>
      </c>
      <c r="U56" s="596" t="str">
        <f t="shared" si="4"/>
        <v/>
      </c>
      <c r="V56" s="596"/>
      <c r="W56" s="596" t="str">
        <f t="shared" si="5"/>
        <v/>
      </c>
      <c r="X56" s="599" t="str">
        <f t="shared" si="6"/>
        <v/>
      </c>
      <c r="Y56" s="594"/>
      <c r="Z56" s="600" t="str">
        <f>VLOOKUP(F56,'2) Tracker'!$A$3:$Q$505,16,FALSE)</f>
        <v>ex DD, ETA USG 22 Apr via Cape</v>
      </c>
      <c r="AA56" s="600" t="str">
        <f>VLOOKUP(F56,'2) Tracker'!$A$3:$R$505,18,FALSE)</f>
        <v>Geogas 25-26 Apr USG</v>
      </c>
      <c r="AB56" s="600">
        <f>VLOOKUP(F56,'2) Tracker'!$A$3:$Q$505,17,FALSE)</f>
        <v>0</v>
      </c>
      <c r="AC56" s="601"/>
      <c r="AD56" s="601">
        <f>VLOOKUP(F56,'2) Tracker'!$A$2:$BO$981,37,FALSE)</f>
        <v>46137</v>
      </c>
      <c r="AE56" s="601">
        <f>VLOOKUP(F56,'2) Tracker'!$A$2:$BO$981,40,FALSE)</f>
        <v>46137</v>
      </c>
      <c r="AF56" s="601">
        <f>VLOOKUP(F56,'2) Tracker'!$A$2:$BO$981,67,FALSE)</f>
        <v>46169</v>
      </c>
      <c r="AG56" s="601" t="str">
        <f>VLOOKUP(F56,'2) Tracker'!$A$2:$BO$981,34,FALSE)</f>
        <v/>
      </c>
      <c r="AH56" s="601" t="str">
        <f>VLOOKUP(F56,'2) Tracker'!$A$2:$BN$981,66,FALSE)</f>
        <v/>
      </c>
      <c r="AI56" s="601" t="str">
        <f>VLOOKUP(F56,'2) Tracker'!$A$2:$BO$981,56,FALSE)</f>
        <v/>
      </c>
      <c r="AJ56" s="601" t="str">
        <f>VLOOKUP(F56,'2) Tracker'!$A$2:$BO$981,52,FALSE)</f>
        <v/>
      </c>
      <c r="AK56" s="601" t="str">
        <f>VLOOKUP(F56,'2) Tracker'!$A$2:$AQ$981,43,FALSE)</f>
        <v/>
      </c>
      <c r="AL56" s="601">
        <f>VLOOKUP(F56,'2) Tracker'!$A$2:$BH$981,46,FALSE())</f>
        <v>46157</v>
      </c>
      <c r="AM56" s="601" t="str">
        <f>VLOOKUP(F56,'2) Tracker'!$A$2:$BO$981,65,FALSE())</f>
        <v/>
      </c>
      <c r="AN56" s="601" t="str">
        <f>VLOOKUP(F56,'2) Tracker'!$A$2:$BK$981,63,FALSE())</f>
        <v/>
      </c>
      <c r="AO56" s="601" t="str">
        <f>VLOOKUP(F56,'2) Tracker'!$A$2:$BF$981,58,FALSE())</f>
        <v/>
      </c>
      <c r="AP56" s="46"/>
      <c r="AQ56" s="46"/>
      <c r="AR56" s="46"/>
      <c r="AS56" s="46"/>
      <c r="AT56" s="46" t="s">
        <v>1593</v>
      </c>
      <c r="AU56" s="46"/>
      <c r="AV56" s="46"/>
      <c r="AW56" s="46"/>
      <c r="AX56" s="46"/>
      <c r="AY56" s="46"/>
      <c r="AZ56" s="605"/>
      <c r="BA56" s="604" t="e">
        <f>VLOOKUP(AZ56,#REF!,2, FALSE)</f>
        <v>#REF!</v>
      </c>
      <c r="BB56" s="605" t="e">
        <f>VLOOKUP(AZ56,'1) Kpler'!$E$2:$F$500,2,FALSE)</f>
        <v>#N/A</v>
      </c>
      <c r="BC56" s="604"/>
      <c r="BD56" s="605"/>
      <c r="BE56" s="46"/>
      <c r="BF56" s="46"/>
      <c r="BG56" s="605"/>
      <c r="BH56" s="605"/>
      <c r="BI56" s="605"/>
      <c r="BJ56" s="605"/>
    </row>
    <row r="57" spans="2:62" x14ac:dyDescent="0.25">
      <c r="B57" s="589" t="str">
        <f>VLOOKUP(F57,'2) Tracker'!$A$3:$O$411,5,FALSE)</f>
        <v>C</v>
      </c>
      <c r="C57" s="589">
        <f>VLOOKUP(F57,'2) Tracker'!$A$3:$O$411,4,FALSE)</f>
        <v>0</v>
      </c>
      <c r="D57" s="563"/>
      <c r="E57" s="563">
        <f>VLOOKUP(F57,'2) Tracker'!$A$3:$O$407,15,FALSE)</f>
        <v>0</v>
      </c>
      <c r="F57" s="604" t="s">
        <v>483</v>
      </c>
      <c r="G57" s="591">
        <f>VLOOKUP(F57,'2) Tracker'!$A$2:$BO$361,2,FALSE)</f>
        <v>2023</v>
      </c>
      <c r="H57" s="592">
        <f>VLOOKUP(F57,'2) Tracker'!$A$2:$BO$361,3,FALSE)</f>
        <v>93000</v>
      </c>
      <c r="I57" s="594" t="str">
        <f>VLOOKUP(F57,'2) Tracker'!$A$2:$BO$361,9,FALSE)</f>
        <v>OE</v>
      </c>
      <c r="J57" s="594" t="str">
        <f>VLOOKUP(F57,'2) Tracker'!$A$2:$BO$361,12,FALSE)</f>
        <v>loads USG</v>
      </c>
      <c r="K57" s="596">
        <f t="shared" ref="K57:O57" si="111">AD57</f>
        <v>46137</v>
      </c>
      <c r="L57" s="596">
        <f t="shared" si="111"/>
        <v>46137</v>
      </c>
      <c r="M57" s="596">
        <f t="shared" si="111"/>
        <v>46169</v>
      </c>
      <c r="N57" s="596" t="str">
        <f t="shared" si="111"/>
        <v/>
      </c>
      <c r="O57" s="597" t="str">
        <f t="shared" si="111"/>
        <v/>
      </c>
      <c r="P57" s="598" t="str">
        <f>IFERROR(IF(VLOOKUP(F57,'Voyage days'!$M$808:$N$819,2,FALSE),"GOA",""),"")</f>
        <v/>
      </c>
      <c r="Q57" s="596" t="str">
        <f t="shared" ref="Q57:R57" si="112">AM57</f>
        <v/>
      </c>
      <c r="R57" s="596" t="str">
        <f t="shared" si="112"/>
        <v/>
      </c>
      <c r="S57" s="595">
        <f t="shared" si="2"/>
        <v>46157</v>
      </c>
      <c r="T57" s="596" t="str">
        <f t="shared" si="3"/>
        <v/>
      </c>
      <c r="U57" s="596" t="str">
        <f t="shared" si="4"/>
        <v/>
      </c>
      <c r="V57" s="596"/>
      <c r="W57" s="596" t="str">
        <f t="shared" si="5"/>
        <v/>
      </c>
      <c r="X57" s="599" t="str">
        <f t="shared" si="6"/>
        <v/>
      </c>
      <c r="Y57" s="594"/>
      <c r="Z57" s="600" t="str">
        <f>VLOOKUP(F57,'2) Tracker'!$A$3:$Q$505,16,FALSE)</f>
        <v>ETA USG 23 Apr via Cape</v>
      </c>
      <c r="AA57" s="600" t="str">
        <f>VLOOKUP(F57,'2) Tracker'!$A$3:$R$505,18,FALSE)</f>
        <v>SK 25-26 Apr USG</v>
      </c>
      <c r="AB57" s="600">
        <f>VLOOKUP(F57,'2) Tracker'!$A$3:$Q$505,17,FALSE)</f>
        <v>0</v>
      </c>
      <c r="AC57" s="601"/>
      <c r="AD57" s="601">
        <f>VLOOKUP(F57,'2) Tracker'!$A$2:$BO$981,37,FALSE)</f>
        <v>46137</v>
      </c>
      <c r="AE57" s="601">
        <f>VLOOKUP(F57,'2) Tracker'!$A$2:$BO$981,40,FALSE)</f>
        <v>46137</v>
      </c>
      <c r="AF57" s="601">
        <f>VLOOKUP(F57,'2) Tracker'!$A$2:$BO$981,67,FALSE)</f>
        <v>46169</v>
      </c>
      <c r="AG57" s="601" t="str">
        <f>VLOOKUP(F57,'2) Tracker'!$A$2:$BO$981,34,FALSE)</f>
        <v/>
      </c>
      <c r="AH57" s="601" t="str">
        <f>VLOOKUP(F57,'2) Tracker'!$A$2:$BN$981,66,FALSE)</f>
        <v/>
      </c>
      <c r="AI57" s="601" t="str">
        <f>VLOOKUP(F57,'2) Tracker'!$A$2:$BO$981,56,FALSE)</f>
        <v/>
      </c>
      <c r="AJ57" s="601" t="str">
        <f>VLOOKUP(F57,'2) Tracker'!$A$2:$BO$981,52,FALSE)</f>
        <v/>
      </c>
      <c r="AK57" s="601" t="str">
        <f>VLOOKUP(F57,'2) Tracker'!$A$2:$AQ$981,43,FALSE)</f>
        <v/>
      </c>
      <c r="AL57" s="601">
        <f>VLOOKUP(F57,'2) Tracker'!$A$2:$BH$981,46,FALSE())</f>
        <v>46157</v>
      </c>
      <c r="AM57" s="601" t="str">
        <f>VLOOKUP(F57,'2) Tracker'!$A$2:$BO$981,65,FALSE())</f>
        <v/>
      </c>
      <c r="AN57" s="601" t="str">
        <f>VLOOKUP(F57,'2) Tracker'!$A$2:$BK$981,63,FALSE())</f>
        <v/>
      </c>
      <c r="AO57" s="601" t="str">
        <f>VLOOKUP(F57,'2) Tracker'!$A$2:$BF$981,58,FALSE())</f>
        <v/>
      </c>
      <c r="AP57" s="46"/>
      <c r="AQ57" s="46"/>
      <c r="AR57" s="46"/>
      <c r="AS57" s="46"/>
      <c r="AT57" s="46"/>
      <c r="AU57" s="46"/>
      <c r="AV57" s="46"/>
      <c r="AW57" s="46"/>
      <c r="AX57" s="46"/>
      <c r="AY57" s="46"/>
      <c r="AZ57" s="605"/>
      <c r="BA57" s="604" t="e">
        <f>VLOOKUP(AZ57,#REF!,2, FALSE)</f>
        <v>#REF!</v>
      </c>
      <c r="BB57" s="605" t="e">
        <f>VLOOKUP(AZ57,'1) Kpler'!$E$2:$F$500,2,FALSE)</f>
        <v>#N/A</v>
      </c>
      <c r="BC57" s="604"/>
      <c r="BD57" s="605"/>
      <c r="BE57" s="46"/>
      <c r="BF57" s="46"/>
      <c r="BG57" s="605"/>
      <c r="BH57" s="605"/>
      <c r="BI57" s="605"/>
      <c r="BJ57" s="605"/>
    </row>
    <row r="58" spans="2:62" x14ac:dyDescent="0.25">
      <c r="B58" s="589" t="str">
        <f>VLOOKUP(F58,'2) Tracker'!$A$3:$O$411,5,FALSE)</f>
        <v>C</v>
      </c>
      <c r="C58" s="589">
        <f>VLOOKUP(F58,'2) Tracker'!$A$3:$O$411,4,FALSE)</f>
        <v>0</v>
      </c>
      <c r="D58" s="563"/>
      <c r="E58" s="563">
        <f>VLOOKUP(F58,'2) Tracker'!$A$3:$O$407,15,FALSE)</f>
        <v>0</v>
      </c>
      <c r="F58" s="604" t="s">
        <v>527</v>
      </c>
      <c r="G58" s="607">
        <f>VLOOKUP(F58,'2) Tracker'!$A$2:$BO$361,2,FALSE)</f>
        <v>42472</v>
      </c>
      <c r="H58" s="592">
        <f>VLOOKUP(F58,'2) Tracker'!$A$2:$BO$361,3,FALSE)</f>
        <v>84000</v>
      </c>
      <c r="I58" s="600" t="str">
        <f>VLOOKUP(F58,'2) Tracker'!$A$2:$BO$361,9,FALSE)</f>
        <v>OE</v>
      </c>
      <c r="J58" s="594" t="str">
        <f>VLOOKUP(F58,'2) Tracker'!$A$2:$BO$361,12,FALSE)</f>
        <v>loads USG</v>
      </c>
      <c r="K58" s="596">
        <f t="shared" ref="K58:O58" si="113">AD58</f>
        <v>46137</v>
      </c>
      <c r="L58" s="596">
        <f t="shared" si="113"/>
        <v>46137</v>
      </c>
      <c r="M58" s="596">
        <f t="shared" si="113"/>
        <v>46169</v>
      </c>
      <c r="N58" s="597" t="str">
        <f t="shared" si="113"/>
        <v/>
      </c>
      <c r="O58" s="597" t="str">
        <f t="shared" si="113"/>
        <v/>
      </c>
      <c r="P58" s="598" t="str">
        <f>IFERROR(IF(VLOOKUP(F58,'Voyage days'!$M$808:$N$819,2,FALSE),"GOA",""),"")</f>
        <v/>
      </c>
      <c r="Q58" s="596" t="str">
        <f t="shared" ref="Q58:R58" si="114">AM58</f>
        <v/>
      </c>
      <c r="R58" s="596" t="str">
        <f t="shared" si="114"/>
        <v/>
      </c>
      <c r="S58" s="595">
        <f t="shared" si="2"/>
        <v>46157</v>
      </c>
      <c r="T58" s="596" t="str">
        <f t="shared" si="3"/>
        <v/>
      </c>
      <c r="U58" s="596" t="str">
        <f t="shared" si="4"/>
        <v/>
      </c>
      <c r="V58" s="596"/>
      <c r="W58" s="596" t="str">
        <f t="shared" si="5"/>
        <v/>
      </c>
      <c r="X58" s="599" t="str">
        <f t="shared" si="6"/>
        <v/>
      </c>
      <c r="Y58" s="614"/>
      <c r="Z58" s="600" t="str">
        <f>VLOOKUP(F58,'2) Tracker'!$A$3:$Q$505,16,FALSE)</f>
        <v>ETA USG 24 Apr via Cape</v>
      </c>
      <c r="AA58" s="600" t="str">
        <f>VLOOKUP(F58,'2) Tracker'!$A$3:$R$505,18,FALSE)</f>
        <v>SK 25-26 Apr USG OOS?</v>
      </c>
      <c r="AB58" s="600">
        <f>VLOOKUP(F58,'2) Tracker'!$A$3:$Q$505,17,FALSE)</f>
        <v>0</v>
      </c>
      <c r="AC58" s="601"/>
      <c r="AD58" s="601">
        <f>VLOOKUP(F58,'2) Tracker'!$A$2:$BO$981,37,FALSE)</f>
        <v>46137</v>
      </c>
      <c r="AE58" s="601">
        <f>VLOOKUP(F58,'2) Tracker'!$A$2:$BO$981,40,FALSE)</f>
        <v>46137</v>
      </c>
      <c r="AF58" s="601">
        <f>VLOOKUP(F58,'2) Tracker'!$A$2:$BO$981,67,FALSE)</f>
        <v>46169</v>
      </c>
      <c r="AG58" s="601" t="str">
        <f>VLOOKUP(F58,'2) Tracker'!$A$2:$BO$981,34,FALSE)</f>
        <v/>
      </c>
      <c r="AH58" s="601" t="str">
        <f>VLOOKUP(F58,'2) Tracker'!$A$2:$BN$981,66,FALSE)</f>
        <v/>
      </c>
      <c r="AI58" s="601" t="str">
        <f>VLOOKUP(F58,'2) Tracker'!$A$2:$BO$981,56,FALSE)</f>
        <v/>
      </c>
      <c r="AJ58" s="601" t="str">
        <f>VLOOKUP(F58,'2) Tracker'!$A$2:$BO$981,52,FALSE)</f>
        <v/>
      </c>
      <c r="AK58" s="601" t="str">
        <f>VLOOKUP(F58,'2) Tracker'!$A$2:$AQ$981,43,FALSE)</f>
        <v/>
      </c>
      <c r="AL58" s="601">
        <f>VLOOKUP(F58,'2) Tracker'!$A$2:$BH$981,46,FALSE())</f>
        <v>46157</v>
      </c>
      <c r="AM58" s="601" t="str">
        <f>VLOOKUP(F58,'2) Tracker'!$A$2:$BO$981,65,FALSE())</f>
        <v/>
      </c>
      <c r="AN58" s="601" t="str">
        <f>VLOOKUP(F58,'2) Tracker'!$A$2:$BK$981,63,FALSE())</f>
        <v/>
      </c>
      <c r="AO58" s="601" t="str">
        <f>VLOOKUP(F58,'2) Tracker'!$A$2:$BF$981,58,FALSE())</f>
        <v/>
      </c>
      <c r="AP58" s="46"/>
      <c r="AQ58" s="46"/>
      <c r="AR58" s="46"/>
      <c r="AS58" s="46"/>
      <c r="AT58" s="46"/>
      <c r="AU58" s="46"/>
      <c r="AV58" s="46"/>
      <c r="AW58" s="46"/>
      <c r="AX58" s="46"/>
      <c r="AY58" s="46"/>
      <c r="AZ58" s="563"/>
      <c r="BA58" s="569"/>
      <c r="BB58" s="563"/>
      <c r="BC58" s="569"/>
      <c r="BD58" s="563"/>
      <c r="BE58" s="46"/>
      <c r="BF58" s="46"/>
      <c r="BG58" s="563"/>
      <c r="BH58" s="563"/>
      <c r="BI58" s="563"/>
      <c r="BJ58" s="563"/>
    </row>
    <row r="59" spans="2:62" x14ac:dyDescent="0.25">
      <c r="B59" s="589"/>
      <c r="C59" s="589"/>
      <c r="D59" s="563"/>
      <c r="E59" s="563"/>
      <c r="F59" s="569" t="s">
        <v>50</v>
      </c>
      <c r="G59" s="591">
        <v>2026</v>
      </c>
      <c r="H59" s="592">
        <v>93000</v>
      </c>
      <c r="I59" s="600" t="str">
        <f>VLOOKUP(F59,'2) Tracker'!$A$2:$BO$361,9,FALSE)</f>
        <v>Helios</v>
      </c>
      <c r="J59" s="594" t="str">
        <f>VLOOKUP(F59,'2) Tracker'!$A$2:$BO$361,12,FALSE)</f>
        <v>loads USG</v>
      </c>
      <c r="K59" s="596">
        <f t="shared" ref="K59:L59" si="115">AD59</f>
        <v>46137</v>
      </c>
      <c r="L59" s="596">
        <f t="shared" si="115"/>
        <v>46137</v>
      </c>
      <c r="M59" s="596"/>
      <c r="N59" s="596" t="str">
        <f t="shared" ref="N59:O59" si="116">AG59</f>
        <v/>
      </c>
      <c r="O59" s="597" t="str">
        <f t="shared" si="116"/>
        <v/>
      </c>
      <c r="P59" s="598" t="str">
        <f>IFERROR(IF(VLOOKUP(F54,'Voyage days'!$M$808:$N$819,2,FALSE),"GOA",""),"")</f>
        <v/>
      </c>
      <c r="Q59" s="597" t="str">
        <f t="shared" ref="Q59:R59" si="117">AM59</f>
        <v/>
      </c>
      <c r="R59" s="596" t="str">
        <f t="shared" si="117"/>
        <v/>
      </c>
      <c r="S59" s="595">
        <f t="shared" si="2"/>
        <v>46157</v>
      </c>
      <c r="T59" s="595" t="str">
        <f t="shared" si="3"/>
        <v/>
      </c>
      <c r="U59" s="596" t="str">
        <f t="shared" si="4"/>
        <v/>
      </c>
      <c r="V59" s="596"/>
      <c r="W59" s="596" t="str">
        <f t="shared" si="5"/>
        <v/>
      </c>
      <c r="X59" s="599" t="str">
        <f t="shared" si="6"/>
        <v/>
      </c>
      <c r="Y59" s="594"/>
      <c r="Z59" s="600" t="str">
        <f>VLOOKUP(F59,'2) Tracker'!$A$3:$Q$505,16,FALSE)</f>
        <v>@ Balboa 19 Apr</v>
      </c>
      <c r="AA59" s="600" t="str">
        <f>VLOOKUP(F59,'2) Tracker'!$A$3:$R$505,18,FALSE)</f>
        <v>Petredec 25-26 Apr USG</v>
      </c>
      <c r="AB59" s="600">
        <f>VLOOKUP(F59,'2) Tracker'!$A$3:$Q$505,17,FALSE)</f>
        <v>0</v>
      </c>
      <c r="AC59" s="601"/>
      <c r="AD59" s="601">
        <f>VLOOKUP(F59,'2) Tracker'!$A$2:$BO$981,37,FALSE)</f>
        <v>46137</v>
      </c>
      <c r="AE59" s="601">
        <f>VLOOKUP(F59,'2) Tracker'!$A$2:$BO$981,40,FALSE)</f>
        <v>46137</v>
      </c>
      <c r="AF59" s="601">
        <f>VLOOKUP(F59,'2) Tracker'!$A$2:$BO$981,67,FALSE)</f>
        <v>46169</v>
      </c>
      <c r="AG59" s="601" t="str">
        <f>VLOOKUP(F59,'2) Tracker'!$A$2:$BO$981,34,FALSE)</f>
        <v/>
      </c>
      <c r="AH59" s="601" t="str">
        <f>VLOOKUP(F59,'2) Tracker'!$A$2:$BN$981,66,FALSE)</f>
        <v/>
      </c>
      <c r="AI59" s="601" t="str">
        <f>VLOOKUP(F59,'2) Tracker'!$A$2:$BO$981,56,FALSE)</f>
        <v/>
      </c>
      <c r="AJ59" s="601" t="str">
        <f>VLOOKUP(F59,'2) Tracker'!$A$2:$BO$981,52,FALSE)</f>
        <v/>
      </c>
      <c r="AK59" s="601" t="str">
        <f>VLOOKUP(F59,'2) Tracker'!$A$2:$AQ$981,43,FALSE)</f>
        <v/>
      </c>
      <c r="AL59" s="601">
        <f>VLOOKUP(F59,'2) Tracker'!$A$2:$BH$981,46,FALSE())</f>
        <v>46157</v>
      </c>
      <c r="AM59" s="601" t="str">
        <f>VLOOKUP(F59,'2) Tracker'!$A$2:$BO$981,65,FALSE())</f>
        <v/>
      </c>
      <c r="AN59" s="601" t="str">
        <f>VLOOKUP(F59,'2) Tracker'!$A$2:$BK$981,63,FALSE())</f>
        <v/>
      </c>
      <c r="AO59" s="601" t="str">
        <f>VLOOKUP(F59,'2) Tracker'!$A$2:$BF$981,58,FALSE())</f>
        <v/>
      </c>
      <c r="AP59" s="46"/>
      <c r="AQ59" s="46"/>
      <c r="AR59" s="46"/>
      <c r="AS59" s="46"/>
      <c r="AT59" s="46"/>
      <c r="AU59" s="46"/>
      <c r="AV59" s="46"/>
      <c r="AW59" s="46"/>
      <c r="AX59" s="46"/>
      <c r="AY59" s="46"/>
      <c r="AZ59" s="563"/>
      <c r="BA59" s="569"/>
      <c r="BB59" s="563"/>
      <c r="BC59" s="569"/>
      <c r="BD59" s="563"/>
      <c r="BE59" s="46"/>
      <c r="BF59" s="46"/>
      <c r="BG59" s="563"/>
      <c r="BH59" s="563"/>
      <c r="BI59" s="563"/>
      <c r="BJ59" s="563"/>
    </row>
    <row r="60" spans="2:62" x14ac:dyDescent="0.25">
      <c r="B60" s="589">
        <f>VLOOKUP(F60,'2) Tracker'!$A$3:$O$411,5,FALSE)</f>
        <v>0</v>
      </c>
      <c r="C60" s="589">
        <f>VLOOKUP(F60,'2) Tracker'!$A$3:$O$411,4,FALSE)</f>
        <v>0</v>
      </c>
      <c r="D60" s="563"/>
      <c r="E60" s="563" t="str">
        <f>VLOOKUP(F60,'2) Tracker'!$A$3:$O$407,15,FALSE)</f>
        <v>R?</v>
      </c>
      <c r="F60" s="604" t="s">
        <v>1018</v>
      </c>
      <c r="G60" s="591">
        <f>VLOOKUP(F60,'2) Tracker'!$A$2:$BO$361,2,FALSE)</f>
        <v>2024</v>
      </c>
      <c r="H60" s="592">
        <f>VLOOKUP(F60,'2) Tracker'!$A$2:$BO$361,3,FALSE)</f>
        <v>87000</v>
      </c>
      <c r="I60" s="594" t="str">
        <f>VLOOKUP(F60,'2) Tracker'!$A$2:$BO$361,9,FALSE)</f>
        <v>Gyxis</v>
      </c>
      <c r="J60" s="594" t="str">
        <f>VLOOKUP(F60,'2) Tracker'!$A$2:$BO$361,12,FALSE)</f>
        <v>loads USG</v>
      </c>
      <c r="K60" s="596">
        <f t="shared" ref="K60:O60" si="118">AD60</f>
        <v>46137</v>
      </c>
      <c r="L60" s="596">
        <f t="shared" si="118"/>
        <v>46137</v>
      </c>
      <c r="M60" s="596">
        <f t="shared" si="118"/>
        <v>46169</v>
      </c>
      <c r="N60" s="596" t="str">
        <f t="shared" si="118"/>
        <v/>
      </c>
      <c r="O60" s="597" t="str">
        <f t="shared" si="118"/>
        <v/>
      </c>
      <c r="P60" s="598" t="str">
        <f>IFERROR(IF(VLOOKUP(F60,'Voyage days'!$M$808:$N$819,2,FALSE),"GOA",""),"")</f>
        <v/>
      </c>
      <c r="Q60" s="596" t="str">
        <f t="shared" ref="Q60:R60" si="119">AM60</f>
        <v/>
      </c>
      <c r="R60" s="596" t="str">
        <f t="shared" si="119"/>
        <v/>
      </c>
      <c r="S60" s="595">
        <f t="shared" si="2"/>
        <v>46157</v>
      </c>
      <c r="T60" s="596" t="str">
        <f t="shared" si="3"/>
        <v/>
      </c>
      <c r="U60" s="596" t="str">
        <f t="shared" si="4"/>
        <v/>
      </c>
      <c r="V60" s="596"/>
      <c r="W60" s="596" t="str">
        <f t="shared" si="5"/>
        <v/>
      </c>
      <c r="X60" s="599" t="str">
        <f t="shared" si="6"/>
        <v/>
      </c>
      <c r="Y60" s="594"/>
      <c r="Z60" s="600" t="str">
        <f>VLOOKUP(F60,'2) Tracker'!$A$3:$Q$505,16,FALSE)</f>
        <v>ETA USG 25 Apr via Cape</v>
      </c>
      <c r="AA60" s="600" t="str">
        <f>VLOOKUP(F60,'2) Tracker'!$A$3:$R$505,18,FALSE)</f>
        <v>SK Gas 05 Feb Nederland</v>
      </c>
      <c r="AB60" s="600">
        <f>VLOOKUP(F60,'2) Tracker'!$A$3:$Q$505,17,FALSE)</f>
        <v>0</v>
      </c>
      <c r="AC60" s="601"/>
      <c r="AD60" s="601">
        <f>VLOOKUP(F60,'2) Tracker'!$A$2:$BO$981,37,FALSE)</f>
        <v>46137</v>
      </c>
      <c r="AE60" s="601">
        <f>VLOOKUP(F60,'2) Tracker'!$A$2:$BO$981,40,FALSE)</f>
        <v>46137</v>
      </c>
      <c r="AF60" s="601">
        <f>VLOOKUP(F60,'2) Tracker'!$A$2:$BO$981,67,FALSE)</f>
        <v>46169</v>
      </c>
      <c r="AG60" s="601" t="str">
        <f>VLOOKUP(F60,'2) Tracker'!$A$2:$BO$981,34,FALSE)</f>
        <v/>
      </c>
      <c r="AH60" s="601" t="str">
        <f>VLOOKUP(F60,'2) Tracker'!$A$2:$BN$981,66,FALSE)</f>
        <v/>
      </c>
      <c r="AI60" s="601" t="str">
        <f>VLOOKUP(F60,'2) Tracker'!$A$2:$BO$981,56,FALSE)</f>
        <v/>
      </c>
      <c r="AJ60" s="601" t="str">
        <f>VLOOKUP(F60,'2) Tracker'!$A$2:$BO$981,52,FALSE)</f>
        <v/>
      </c>
      <c r="AK60" s="601" t="str">
        <f>VLOOKUP(F60,'2) Tracker'!$A$2:$AQ$981,43,FALSE)</f>
        <v/>
      </c>
      <c r="AL60" s="601">
        <f>VLOOKUP(F60,'2) Tracker'!$A$2:$BH$981,46,FALSE())</f>
        <v>46157</v>
      </c>
      <c r="AM60" s="601" t="str">
        <f>VLOOKUP(F60,'2) Tracker'!$A$2:$BO$981,65,FALSE())</f>
        <v/>
      </c>
      <c r="AN60" s="601" t="str">
        <f>VLOOKUP(F60,'2) Tracker'!$A$2:$BK$981,63,FALSE())</f>
        <v/>
      </c>
      <c r="AO60" s="601" t="str">
        <f>VLOOKUP(F60,'2) Tracker'!$A$2:$BF$981,58,FALSE())</f>
        <v/>
      </c>
      <c r="AP60" s="46"/>
      <c r="AQ60" s="46"/>
      <c r="AR60" s="46"/>
      <c r="AS60" s="46"/>
      <c r="AT60" s="46"/>
      <c r="AU60" s="46"/>
      <c r="AV60" s="46"/>
      <c r="AW60" s="46"/>
      <c r="AX60" s="46"/>
      <c r="AY60" s="46"/>
      <c r="AZ60" s="563"/>
      <c r="BA60" s="604" t="e">
        <f>VLOOKUP(AZ60,#REF!,2, FALSE)</f>
        <v>#REF!</v>
      </c>
      <c r="BB60" s="605" t="e">
        <f>VLOOKUP(AZ60,'1) Kpler'!$E$2:$F$500,2,FALSE)</f>
        <v>#N/A</v>
      </c>
      <c r="BC60" s="569"/>
      <c r="BD60" s="563"/>
      <c r="BE60" s="46"/>
      <c r="BF60" s="46"/>
      <c r="BG60" s="563"/>
      <c r="BH60" s="563"/>
      <c r="BI60" s="563"/>
      <c r="BJ60" s="563"/>
    </row>
    <row r="61" spans="2:62" ht="15.75" customHeight="1" x14ac:dyDescent="0.25">
      <c r="B61" s="589">
        <f>VLOOKUP(F61,'2) Tracker'!$A$3:$O$411,5,FALSE)</f>
        <v>0</v>
      </c>
      <c r="C61" s="589">
        <f>VLOOKUP(F61,'2) Tracker'!$A$3:$O$411,4,FALSE)</f>
        <v>0</v>
      </c>
      <c r="D61" s="563"/>
      <c r="E61" s="563">
        <f>VLOOKUP(F61,'2) Tracker'!$A$3:$O$407,15,FALSE)</f>
        <v>0</v>
      </c>
      <c r="F61" s="608" t="s">
        <v>510</v>
      </c>
      <c r="G61" s="591">
        <f>VLOOKUP(F61,'2) Tracker'!$A$2:$BO$361,2,FALSE)</f>
        <v>2023</v>
      </c>
      <c r="H61" s="592">
        <f>VLOOKUP(F61,'2) Tracker'!$A$2:$BO$361,3,FALSE)</f>
        <v>86000</v>
      </c>
      <c r="I61" s="593" t="str">
        <f>VLOOKUP(F61,'2) Tracker'!$A$2:$BO$361,9,FALSE)</f>
        <v>BGN</v>
      </c>
      <c r="J61" s="594" t="str">
        <f>VLOOKUP(F61,'2) Tracker'!$A$2:$BO$361,12,FALSE)</f>
        <v>loads USG</v>
      </c>
      <c r="K61" s="596">
        <f t="shared" ref="K61:O61" si="120">AD61</f>
        <v>46138</v>
      </c>
      <c r="L61" s="596">
        <f t="shared" si="120"/>
        <v>46138</v>
      </c>
      <c r="M61" s="596">
        <f t="shared" si="120"/>
        <v>46170</v>
      </c>
      <c r="N61" s="596" t="str">
        <f t="shared" si="120"/>
        <v/>
      </c>
      <c r="O61" s="597" t="str">
        <f t="shared" si="120"/>
        <v/>
      </c>
      <c r="P61" s="598" t="str">
        <f>IFERROR(IF(VLOOKUP(F61,'Voyage days'!$M$808:$N$819,2,FALSE),"GOA",""),"")</f>
        <v/>
      </c>
      <c r="Q61" s="596" t="str">
        <f t="shared" ref="Q61:R61" si="121">AM61</f>
        <v/>
      </c>
      <c r="R61" s="596" t="str">
        <f t="shared" si="121"/>
        <v/>
      </c>
      <c r="S61" s="595">
        <f t="shared" si="2"/>
        <v>46158</v>
      </c>
      <c r="T61" s="596" t="str">
        <f t="shared" si="3"/>
        <v/>
      </c>
      <c r="U61" s="596" t="str">
        <f t="shared" si="4"/>
        <v/>
      </c>
      <c r="V61" s="596"/>
      <c r="W61" s="596" t="str">
        <f t="shared" si="5"/>
        <v/>
      </c>
      <c r="X61" s="599" t="str">
        <f t="shared" si="6"/>
        <v/>
      </c>
      <c r="Y61" s="594" t="s">
        <v>1594</v>
      </c>
      <c r="Z61" s="600" t="str">
        <f>VLOOKUP(F61,'2) Tracker'!$A$3:$Q$505,16,FALSE)</f>
        <v>Heading towards Panama 22 apr</v>
      </c>
      <c r="AA61" s="600" t="str">
        <f>VLOOKUP(F61,'2) Tracker'!$A$3:$R$505,18,FALSE)</f>
        <v>BGN 27-28 Mar USG</v>
      </c>
      <c r="AB61" s="600">
        <f>VLOOKUP(F61,'2) Tracker'!$A$3:$Q$505,17,FALSE)</f>
        <v>0</v>
      </c>
      <c r="AC61" s="601"/>
      <c r="AD61" s="601">
        <f>VLOOKUP(F61,'2) Tracker'!$A$2:$BO$981,37,FALSE)</f>
        <v>46138</v>
      </c>
      <c r="AE61" s="601">
        <f>VLOOKUP(F61,'2) Tracker'!$A$2:$BO$981,40,FALSE)</f>
        <v>46138</v>
      </c>
      <c r="AF61" s="601">
        <f>VLOOKUP(F61,'2) Tracker'!$A$2:$BO$981,67,FALSE)</f>
        <v>46170</v>
      </c>
      <c r="AG61" s="601" t="str">
        <f>VLOOKUP(F61,'2) Tracker'!$A$2:$BO$981,34,FALSE)</f>
        <v/>
      </c>
      <c r="AH61" s="601" t="str">
        <f>VLOOKUP(F61,'2) Tracker'!$A$2:$BN$981,66,FALSE)</f>
        <v/>
      </c>
      <c r="AI61" s="601" t="str">
        <f>VLOOKUP(F61,'2) Tracker'!$A$2:$BO$981,56,FALSE)</f>
        <v/>
      </c>
      <c r="AJ61" s="601" t="str">
        <f>VLOOKUP(F61,'2) Tracker'!$A$2:$BO$981,52,FALSE)</f>
        <v/>
      </c>
      <c r="AK61" s="601" t="str">
        <f>VLOOKUP(F61,'2) Tracker'!$A$2:$AQ$981,43,FALSE)</f>
        <v/>
      </c>
      <c r="AL61" s="601">
        <f>VLOOKUP(F61,'2) Tracker'!$A$2:$BH$981,46,FALSE())</f>
        <v>46158</v>
      </c>
      <c r="AM61" s="601" t="str">
        <f>VLOOKUP(F61,'2) Tracker'!$A$2:$BO$981,65,FALSE())</f>
        <v/>
      </c>
      <c r="AN61" s="601" t="str">
        <f>VLOOKUP(F61,'2) Tracker'!$A$2:$BK$981,63,FALSE())</f>
        <v/>
      </c>
      <c r="AO61" s="601" t="str">
        <f>VLOOKUP(F61,'2) Tracker'!$A$2:$BF$981,58,FALSE())</f>
        <v/>
      </c>
      <c r="AP61" s="46"/>
      <c r="AQ61" s="46"/>
      <c r="AR61" s="46"/>
      <c r="AS61" s="46"/>
      <c r="AT61" s="46"/>
      <c r="AU61" s="46"/>
      <c r="AV61" s="46"/>
      <c r="AW61" s="46"/>
      <c r="AX61" s="46"/>
      <c r="AY61" s="46"/>
      <c r="AZ61" s="563"/>
      <c r="BA61" s="569"/>
      <c r="BB61" s="563"/>
      <c r="BC61" s="569"/>
      <c r="BD61" s="563"/>
      <c r="BE61" s="46"/>
      <c r="BF61" s="46"/>
      <c r="BG61" s="563"/>
      <c r="BH61" s="563"/>
      <c r="BI61" s="563"/>
      <c r="BJ61" s="563"/>
    </row>
    <row r="62" spans="2:62" x14ac:dyDescent="0.25">
      <c r="B62" s="589">
        <f>VLOOKUP(F62,'2) Tracker'!$A$3:$O$411,5,FALSE)</f>
        <v>0</v>
      </c>
      <c r="C62" s="589" t="str">
        <f>VLOOKUP(F62,'2) Tracker'!$A$3:$O$411,4,FALSE)</f>
        <v>US</v>
      </c>
      <c r="D62" s="563"/>
      <c r="E62" s="563">
        <f>VLOOKUP(F62,'2) Tracker'!$A$3:$O$407,15,FALSE)</f>
        <v>0</v>
      </c>
      <c r="F62" s="604" t="s">
        <v>972</v>
      </c>
      <c r="G62" s="607">
        <f>VLOOKUP(F62,'2) Tracker'!$A$2:$BO$361,2,FALSE)</f>
        <v>42741</v>
      </c>
      <c r="H62" s="592">
        <f>VLOOKUP(F62,'2) Tracker'!$A$2:$BO$361,3,FALSE)</f>
        <v>84180</v>
      </c>
      <c r="I62" s="600" t="str">
        <f>VLOOKUP(F62,'2) Tracker'!$A$2:$BO$361,9,FALSE)</f>
        <v>Exxon</v>
      </c>
      <c r="J62" s="594" t="str">
        <f>VLOOKUP(F62,'2) Tracker'!$A$2:$BO$361,12,FALSE)</f>
        <v>loads USG</v>
      </c>
      <c r="K62" s="596">
        <f t="shared" ref="K62:O62" si="122">AD62</f>
        <v>46138</v>
      </c>
      <c r="L62" s="596">
        <f t="shared" si="122"/>
        <v>46138</v>
      </c>
      <c r="M62" s="596">
        <f t="shared" si="122"/>
        <v>46170</v>
      </c>
      <c r="N62" s="596" t="str">
        <f t="shared" si="122"/>
        <v/>
      </c>
      <c r="O62" s="597" t="str">
        <f t="shared" si="122"/>
        <v/>
      </c>
      <c r="P62" s="598" t="str">
        <f>IFERROR(IF(VLOOKUP(F62,'Voyage days'!$M$808:$N$819,2,FALSE),"GOA",""),"")</f>
        <v/>
      </c>
      <c r="Q62" s="596" t="str">
        <f t="shared" ref="Q62:R62" si="123">AM62</f>
        <v/>
      </c>
      <c r="R62" s="596" t="str">
        <f t="shared" si="123"/>
        <v/>
      </c>
      <c r="S62" s="595">
        <f t="shared" si="2"/>
        <v>46158</v>
      </c>
      <c r="T62" s="596" t="str">
        <f t="shared" si="3"/>
        <v/>
      </c>
      <c r="U62" s="596" t="str">
        <f t="shared" si="4"/>
        <v/>
      </c>
      <c r="V62" s="596"/>
      <c r="W62" s="596" t="str">
        <f t="shared" si="5"/>
        <v/>
      </c>
      <c r="X62" s="599" t="str">
        <f t="shared" si="6"/>
        <v/>
      </c>
      <c r="Y62" s="594"/>
      <c r="Z62" s="600" t="str">
        <f>VLOOKUP(F62,'2) Tracker'!$A$3:$Q$505,16,FALSE)</f>
        <v>ETA USG 26 Apr via Cape</v>
      </c>
      <c r="AA62" s="600" t="str">
        <f>VLOOKUP(F62,'2) Tracker'!$A$3:$R$505,18,FALSE)</f>
        <v>Pertamina 25-26 Mar Freeport</v>
      </c>
      <c r="AB62" s="600">
        <f>VLOOKUP(F62,'2) Tracker'!$A$3:$Q$505,17,FALSE)</f>
        <v>0</v>
      </c>
      <c r="AC62" s="601"/>
      <c r="AD62" s="601">
        <f>VLOOKUP(F62,'2) Tracker'!$A$2:$BO$981,37,FALSE)</f>
        <v>46138</v>
      </c>
      <c r="AE62" s="601">
        <f>VLOOKUP(F62,'2) Tracker'!$A$2:$BO$981,40,FALSE)</f>
        <v>46138</v>
      </c>
      <c r="AF62" s="601">
        <f>VLOOKUP(F62,'2) Tracker'!$A$2:$BO$981,67,FALSE)</f>
        <v>46170</v>
      </c>
      <c r="AG62" s="601" t="str">
        <f>VLOOKUP(F62,'2) Tracker'!$A$2:$BO$981,34,FALSE)</f>
        <v/>
      </c>
      <c r="AH62" s="601" t="str">
        <f>VLOOKUP(F62,'2) Tracker'!$A$2:$BN$981,66,FALSE)</f>
        <v/>
      </c>
      <c r="AI62" s="601" t="str">
        <f>VLOOKUP(F62,'2) Tracker'!$A$2:$BO$981,56,FALSE)</f>
        <v/>
      </c>
      <c r="AJ62" s="601" t="str">
        <f>VLOOKUP(F62,'2) Tracker'!$A$2:$BO$981,52,FALSE)</f>
        <v/>
      </c>
      <c r="AK62" s="601" t="str">
        <f>VLOOKUP(F62,'2) Tracker'!$A$2:$AQ$981,43,FALSE)</f>
        <v/>
      </c>
      <c r="AL62" s="601">
        <f>VLOOKUP(F62,'2) Tracker'!$A$2:$BH$981,46,FALSE())</f>
        <v>46158</v>
      </c>
      <c r="AM62" s="601" t="str">
        <f>VLOOKUP(F62,'2) Tracker'!$A$2:$BO$981,65,FALSE())</f>
        <v/>
      </c>
      <c r="AN62" s="601" t="str">
        <f>VLOOKUP(F62,'2) Tracker'!$A$2:$BK$981,63,FALSE())</f>
        <v/>
      </c>
      <c r="AO62" s="601" t="str">
        <f>VLOOKUP(F62,'2) Tracker'!$A$2:$BF$981,58,FALSE())</f>
        <v/>
      </c>
      <c r="AP62" s="46"/>
      <c r="AQ62" s="46"/>
      <c r="AR62" s="46"/>
      <c r="AS62" s="46"/>
      <c r="AT62" s="46"/>
      <c r="AU62" s="46"/>
      <c r="AV62" s="46"/>
      <c r="AW62" s="46"/>
      <c r="AX62" s="46"/>
      <c r="AY62" s="46"/>
      <c r="AZ62" s="563"/>
      <c r="BA62" s="569"/>
      <c r="BB62" s="563"/>
      <c r="BC62" s="569"/>
      <c r="BD62" s="563"/>
      <c r="BE62" s="46"/>
      <c r="BF62" s="46"/>
      <c r="BG62" s="563"/>
      <c r="BH62" s="563"/>
      <c r="BI62" s="563"/>
      <c r="BJ62" s="563"/>
    </row>
    <row r="63" spans="2:62" x14ac:dyDescent="0.25">
      <c r="B63" s="589">
        <f>VLOOKUP(F63,'2) Tracker'!$A$3:$O$411,5,FALSE)</f>
        <v>0</v>
      </c>
      <c r="C63" s="589">
        <f>VLOOKUP(F63,'2) Tracker'!$A$3:$O$411,4,FALSE)</f>
        <v>0</v>
      </c>
      <c r="D63" s="563"/>
      <c r="E63" s="563">
        <f>VLOOKUP(F63,'2) Tracker'!$A$3:$O$407,15,FALSE)</f>
        <v>0</v>
      </c>
      <c r="F63" s="604" t="s">
        <v>37</v>
      </c>
      <c r="G63" s="607">
        <f>VLOOKUP(F63,'2) Tracker'!$A$2:$BO$361,2,FALSE)</f>
        <v>39783</v>
      </c>
      <c r="H63" s="592">
        <f>VLOOKUP(F63,'2) Tracker'!$A$2:$BO$361,3,FALSE)</f>
        <v>82200</v>
      </c>
      <c r="I63" s="594" t="str">
        <f>VLOOKUP(F63,'2) Tracker'!$A$2:$BO$361,9,FALSE)</f>
        <v>Neptune</v>
      </c>
      <c r="J63" s="594" t="str">
        <f>VLOOKUP(F63,'2) Tracker'!$A$2:$BO$361,12,FALSE)</f>
        <v>loads USG</v>
      </c>
      <c r="K63" s="596">
        <f t="shared" ref="K63:O63" si="124">AD63</f>
        <v>46138</v>
      </c>
      <c r="L63" s="596">
        <f t="shared" si="124"/>
        <v>46138</v>
      </c>
      <c r="M63" s="596">
        <f t="shared" si="124"/>
        <v>46170</v>
      </c>
      <c r="N63" s="596" t="str">
        <f t="shared" si="124"/>
        <v/>
      </c>
      <c r="O63" s="597" t="str">
        <f t="shared" si="124"/>
        <v/>
      </c>
      <c r="P63" s="598" t="str">
        <f>IFERROR(IF(VLOOKUP(F63,'Voyage days'!$M$808:$N$819,2,FALSE),"GOA",""),"")</f>
        <v/>
      </c>
      <c r="Q63" s="601" t="str">
        <f t="shared" ref="Q63:R63" si="125">AM63</f>
        <v/>
      </c>
      <c r="R63" s="596" t="str">
        <f t="shared" si="125"/>
        <v/>
      </c>
      <c r="S63" s="595">
        <f t="shared" si="2"/>
        <v>46158</v>
      </c>
      <c r="T63" s="596" t="str">
        <f t="shared" si="3"/>
        <v/>
      </c>
      <c r="U63" s="596" t="str">
        <f t="shared" si="4"/>
        <v/>
      </c>
      <c r="V63" s="596"/>
      <c r="W63" s="596" t="str">
        <f t="shared" si="5"/>
        <v/>
      </c>
      <c r="X63" s="599" t="str">
        <f t="shared" si="6"/>
        <v/>
      </c>
      <c r="Y63" s="594"/>
      <c r="Z63" s="600" t="str">
        <f>VLOOKUP(F63,'2) Tracker'!$A$3:$Q$505,16,FALSE)</f>
        <v>ETA USG 24 Apr via Cape</v>
      </c>
      <c r="AA63" s="600" t="str">
        <f>VLOOKUP(F63,'2) Tracker'!$A$3:$R$505,18,FALSE)</f>
        <v>Abalone 26-27 Apr USG</v>
      </c>
      <c r="AB63" s="600">
        <f>VLOOKUP(F63,'2) Tracker'!$A$3:$Q$505,17,FALSE)</f>
        <v>0</v>
      </c>
      <c r="AC63" s="601"/>
      <c r="AD63" s="601">
        <f>VLOOKUP(F63,'2) Tracker'!$A$2:$BO$981,37,FALSE)</f>
        <v>46138</v>
      </c>
      <c r="AE63" s="601">
        <f>VLOOKUP(F63,'2) Tracker'!$A$2:$BO$981,40,FALSE)</f>
        <v>46138</v>
      </c>
      <c r="AF63" s="601">
        <f>VLOOKUP(F63,'2) Tracker'!$A$2:$BO$981,67,FALSE)</f>
        <v>46170</v>
      </c>
      <c r="AG63" s="601" t="str">
        <f>VLOOKUP(F63,'2) Tracker'!$A$2:$BO$981,34,FALSE)</f>
        <v/>
      </c>
      <c r="AH63" s="601" t="str">
        <f>VLOOKUP(F63,'2) Tracker'!$A$2:$BN$981,66,FALSE)</f>
        <v/>
      </c>
      <c r="AI63" s="601" t="str">
        <f>VLOOKUP(F63,'2) Tracker'!$A$2:$BO$981,56,FALSE)</f>
        <v/>
      </c>
      <c r="AJ63" s="601" t="str">
        <f>VLOOKUP(F63,'2) Tracker'!$A$2:$BO$981,52,FALSE)</f>
        <v/>
      </c>
      <c r="AK63" s="601" t="str">
        <f>VLOOKUP(F63,'2) Tracker'!$A$2:$AQ$981,43,FALSE)</f>
        <v/>
      </c>
      <c r="AL63" s="601">
        <f>VLOOKUP(F63,'2) Tracker'!$A$2:$BH$981,46,FALSE())</f>
        <v>46158</v>
      </c>
      <c r="AM63" s="601" t="str">
        <f>VLOOKUP(F63,'2) Tracker'!$A$2:$BO$981,65,FALSE())</f>
        <v/>
      </c>
      <c r="AN63" s="601" t="str">
        <f>VLOOKUP(F63,'2) Tracker'!$A$2:$BK$981,63,FALSE())</f>
        <v/>
      </c>
      <c r="AO63" s="601" t="str">
        <f>VLOOKUP(F63,'2) Tracker'!$A$2:$BF$981,58,FALSE())</f>
        <v/>
      </c>
      <c r="AP63" s="46"/>
      <c r="AQ63" s="46"/>
      <c r="AR63" s="46"/>
      <c r="AS63" s="46"/>
      <c r="AT63" s="46"/>
      <c r="AU63" s="46"/>
      <c r="AV63" s="46"/>
      <c r="AW63" s="46"/>
      <c r="AX63" s="46"/>
      <c r="AY63" s="46"/>
      <c r="AZ63" s="563"/>
      <c r="BA63" s="604" t="e">
        <f>VLOOKUP(AZ63,#REF!,2, FALSE)</f>
        <v>#REF!</v>
      </c>
      <c r="BB63" s="605" t="e">
        <f>VLOOKUP(AZ63,'1) Kpler'!$E$2:$F$500,2,FALSE)</f>
        <v>#N/A</v>
      </c>
      <c r="BC63" s="569"/>
      <c r="BD63" s="563"/>
      <c r="BE63" s="46"/>
      <c r="BF63" s="46"/>
      <c r="BG63" s="563"/>
      <c r="BH63" s="563"/>
      <c r="BI63" s="563"/>
      <c r="BJ63" s="563"/>
    </row>
    <row r="64" spans="2:62" x14ac:dyDescent="0.25">
      <c r="B64" s="589">
        <f>VLOOKUP(F64,'2) Tracker'!$A$3:$O$411,5,FALSE)</f>
        <v>0</v>
      </c>
      <c r="C64" s="589">
        <f>VLOOKUP(F64,'2) Tracker'!$A$3:$O$411,4,FALSE)</f>
        <v>0</v>
      </c>
      <c r="D64" s="563" t="s">
        <v>1569</v>
      </c>
      <c r="E64" s="563" t="str">
        <f>VLOOKUP(F64,'2) Tracker'!$A$3:$O$407,15,FALSE)</f>
        <v>R?</v>
      </c>
      <c r="F64" s="590" t="s">
        <v>445</v>
      </c>
      <c r="G64" s="626">
        <f>VLOOKUP(F64,'2) Tracker'!$A$2:$BO$361,2,FALSE)</f>
        <v>2023</v>
      </c>
      <c r="H64" s="592">
        <f>VLOOKUP(F64,'2) Tracker'!$A$2:$BO$361,3,FALSE)</f>
        <v>86000</v>
      </c>
      <c r="I64" s="600" t="str">
        <f>VLOOKUP(F64,'2) Tracker'!$A$2:$BO$361,9,FALSE)</f>
        <v>Trafigura</v>
      </c>
      <c r="J64" s="594" t="str">
        <f>VLOOKUP(F64,'2) Tracker'!$A$2:$BO$361,12,FALSE)</f>
        <v>Caribs</v>
      </c>
      <c r="K64" s="595">
        <f t="shared" ref="K64:O64" si="126">AD64</f>
        <v>46138</v>
      </c>
      <c r="L64" s="595">
        <f t="shared" si="126"/>
        <v>46138</v>
      </c>
      <c r="M64" s="596" t="str">
        <f t="shared" si="126"/>
        <v/>
      </c>
      <c r="N64" s="597" t="str">
        <f t="shared" si="126"/>
        <v/>
      </c>
      <c r="O64" s="597" t="str">
        <f t="shared" si="126"/>
        <v/>
      </c>
      <c r="P64" s="598" t="str">
        <f>IFERROR(IF(VLOOKUP(F64,'Voyage days'!$M$808:$N$819,2,FALSE),"GOA",""),"")</f>
        <v/>
      </c>
      <c r="Q64" s="596">
        <f t="shared" ref="Q64:R64" si="127">AM64</f>
        <v>46133</v>
      </c>
      <c r="R64" s="595">
        <f t="shared" si="127"/>
        <v>46132</v>
      </c>
      <c r="S64" s="595">
        <f t="shared" si="2"/>
        <v>46142</v>
      </c>
      <c r="T64" s="595">
        <f t="shared" si="3"/>
        <v>46144</v>
      </c>
      <c r="U64" s="595" t="str">
        <f t="shared" si="4"/>
        <v/>
      </c>
      <c r="V64" s="596"/>
      <c r="W64" s="596" t="str">
        <f t="shared" si="5"/>
        <v/>
      </c>
      <c r="X64" s="599" t="str">
        <f t="shared" si="6"/>
        <v/>
      </c>
      <c r="Y64" s="594"/>
      <c r="Z64" s="600" t="str">
        <f>VLOOKUP(F64,'2) Tracker'!$A$3:$Q$505,16,FALSE)</f>
        <v>ETA Ennore 21 may</v>
      </c>
      <c r="AA64" s="600" t="str">
        <f>VLOOKUP(F64,'2) Tracker'!$A$3:$R$505,18,FALSE)</f>
        <v>Trafigura 12-13 Apr USG</v>
      </c>
      <c r="AB64" s="600">
        <f>VLOOKUP(F64,'2) Tracker'!$A$3:$Q$505,17,FALSE)</f>
        <v>0</v>
      </c>
      <c r="AC64" s="601"/>
      <c r="AD64" s="601">
        <f>VLOOKUP(F64,'2) Tracker'!$A$2:$BO$981,37,FALSE)</f>
        <v>46138</v>
      </c>
      <c r="AE64" s="601">
        <f>VLOOKUP(F64,'2) Tracker'!$A$2:$BO$981,40,FALSE)</f>
        <v>46138</v>
      </c>
      <c r="AF64" s="601" t="str">
        <f>VLOOKUP(F64,'2) Tracker'!$A$2:$BO$981,67,FALSE)</f>
        <v/>
      </c>
      <c r="AG64" s="601" t="str">
        <f>VLOOKUP(F64,'2) Tracker'!$A$2:$BO$981,34,FALSE)</f>
        <v/>
      </c>
      <c r="AH64" s="601" t="str">
        <f>VLOOKUP(F64,'2) Tracker'!$A$2:$BN$981,66,FALSE)</f>
        <v/>
      </c>
      <c r="AI64" s="601" t="str">
        <f>VLOOKUP(F64,'2) Tracker'!$A$2:$BO$981,56,FALSE)</f>
        <v/>
      </c>
      <c r="AJ64" s="601" t="str">
        <f>VLOOKUP(F64,'2) Tracker'!$A$2:$BO$981,52,FALSE)</f>
        <v/>
      </c>
      <c r="AK64" s="601">
        <f>VLOOKUP(F64,'2) Tracker'!$A$2:$AQ$981,43,FALSE)</f>
        <v>46144</v>
      </c>
      <c r="AL64" s="601">
        <f>VLOOKUP(F64,'2) Tracker'!$A$2:$BH$981,46,FALSE())</f>
        <v>46142</v>
      </c>
      <c r="AM64" s="601">
        <f>VLOOKUP(F64,'2) Tracker'!$A$2:$BO$981,65,FALSE())</f>
        <v>46133</v>
      </c>
      <c r="AN64" s="601">
        <f>VLOOKUP(F64,'2) Tracker'!$A$2:$BK$981,63,FALSE())</f>
        <v>46132</v>
      </c>
      <c r="AO64" s="601" t="str">
        <f>VLOOKUP(F64,'2) Tracker'!$A$2:$BF$981,58,FALSE())</f>
        <v/>
      </c>
      <c r="AP64" s="46"/>
      <c r="AQ64" s="46"/>
      <c r="AR64" s="46"/>
      <c r="AS64" s="46"/>
      <c r="AT64" s="46"/>
      <c r="AU64" s="46"/>
      <c r="AV64" s="46"/>
      <c r="AW64" s="46"/>
      <c r="AX64" s="46"/>
      <c r="AY64" s="46"/>
      <c r="AZ64" s="563"/>
      <c r="BA64" s="604" t="e">
        <f>VLOOKUP(AZ64,#REF!,2, FALSE)</f>
        <v>#REF!</v>
      </c>
      <c r="BB64" s="605" t="e">
        <f>VLOOKUP(AZ64,'1) Kpler'!$E$2:$F$500,2,FALSE)</f>
        <v>#N/A</v>
      </c>
      <c r="BC64" s="569"/>
      <c r="BD64" s="563"/>
      <c r="BE64" s="46"/>
      <c r="BF64" s="46"/>
      <c r="BG64" s="563"/>
      <c r="BH64" s="563"/>
      <c r="BI64" s="563"/>
      <c r="BJ64" s="563"/>
    </row>
    <row r="65" spans="2:62" x14ac:dyDescent="0.25">
      <c r="B65" s="589">
        <f>VLOOKUP(F65,'2) Tracker'!$A$3:$O$411,5,FALSE)</f>
        <v>0</v>
      </c>
      <c r="C65" s="589">
        <f>VLOOKUP(F65,'2) Tracker'!$A$3:$O$411,4,FALSE)</f>
        <v>0</v>
      </c>
      <c r="D65" s="563"/>
      <c r="E65" s="563">
        <f>VLOOKUP(F65,'2) Tracker'!$A$3:$O$407,15,FALSE)</f>
        <v>0</v>
      </c>
      <c r="F65" s="604" t="s">
        <v>487</v>
      </c>
      <c r="G65" s="607">
        <f>VLOOKUP(F65,'2) Tracker'!$A$2:$BO$361,2,FALSE)</f>
        <v>43586</v>
      </c>
      <c r="H65" s="592">
        <f>VLOOKUP(F65,'2) Tracker'!$A$2:$BO$361,3,FALSE)</f>
        <v>80000</v>
      </c>
      <c r="I65" s="600" t="str">
        <f>VLOOKUP(F65,'2) Tracker'!$A$2:$BO$361,9,FALSE)</f>
        <v>Trafigura</v>
      </c>
      <c r="J65" s="594" t="str">
        <f>VLOOKUP(F65,'2) Tracker'!$A$2:$BO$361,12,FALSE)</f>
        <v>Monteverde</v>
      </c>
      <c r="K65" s="596">
        <f t="shared" ref="K65:O65" si="128">AD65</f>
        <v>46139</v>
      </c>
      <c r="L65" s="596" t="str">
        <f t="shared" si="128"/>
        <v/>
      </c>
      <c r="M65" s="596" t="str">
        <f t="shared" si="128"/>
        <v/>
      </c>
      <c r="N65" s="596" t="str">
        <f t="shared" si="128"/>
        <v/>
      </c>
      <c r="O65" s="597" t="str">
        <f t="shared" si="128"/>
        <v/>
      </c>
      <c r="P65" s="598" t="str">
        <f>IFERROR(IF(VLOOKUP(F65,'Voyage days'!$M$808:$N$819,2,FALSE),"GOA",""),"")</f>
        <v/>
      </c>
      <c r="Q65" s="596" t="str">
        <f t="shared" ref="Q65:R65" si="129">AM65</f>
        <v/>
      </c>
      <c r="R65" s="596" t="str">
        <f t="shared" si="129"/>
        <v/>
      </c>
      <c r="S65" s="595" t="str">
        <f t="shared" si="2"/>
        <v/>
      </c>
      <c r="T65" s="596" t="str">
        <f t="shared" si="3"/>
        <v/>
      </c>
      <c r="U65" s="596" t="str">
        <f t="shared" si="4"/>
        <v/>
      </c>
      <c r="V65" s="596"/>
      <c r="W65" s="596" t="str">
        <f t="shared" si="5"/>
        <v/>
      </c>
      <c r="X65" s="599" t="str">
        <f t="shared" si="6"/>
        <v/>
      </c>
      <c r="Y65" s="594"/>
      <c r="Z65" s="600" t="str">
        <f>VLOOKUP(F65,'2) Tracker'!$A$3:$Q$505,16,FALSE)</f>
        <v>@ Corpus Christi 06 Apr, pending disport</v>
      </c>
      <c r="AA65" s="600" t="str">
        <f>VLOOKUP(F65,'2) Tracker'!$A$3:$R$505,18,FALSE)</f>
        <v>Trafigura 06-07 Apr Corpus Christi</v>
      </c>
      <c r="AB65" s="600">
        <f>VLOOKUP(F65,'2) Tracker'!$A$3:$Q$505,17,FALSE)</f>
        <v>0</v>
      </c>
      <c r="AC65" s="601"/>
      <c r="AD65" s="601">
        <f>VLOOKUP(F65,'2) Tracker'!$A$2:$BO$981,37,FALSE)</f>
        <v>46139</v>
      </c>
      <c r="AE65" s="601" t="str">
        <f>VLOOKUP(F65,'2) Tracker'!$A$2:$BO$981,40,FALSE)</f>
        <v/>
      </c>
      <c r="AF65" s="601" t="str">
        <f>VLOOKUP(F65,'2) Tracker'!$A$2:$BO$981,67,FALSE)</f>
        <v/>
      </c>
      <c r="AG65" s="601" t="str">
        <f>VLOOKUP(F65,'2) Tracker'!$A$2:$BO$981,34,FALSE)</f>
        <v/>
      </c>
      <c r="AH65" s="601" t="str">
        <f>VLOOKUP(F65,'2) Tracker'!$A$2:$BN$981,66,FALSE)</f>
        <v/>
      </c>
      <c r="AI65" s="601" t="str">
        <f>VLOOKUP(F65,'2) Tracker'!$A$2:$BO$981,56,FALSE)</f>
        <v/>
      </c>
      <c r="AJ65" s="601" t="str">
        <f>VLOOKUP(F65,'2) Tracker'!$A$2:$BO$981,52,FALSE)</f>
        <v/>
      </c>
      <c r="AK65" s="601" t="str">
        <f>VLOOKUP(F65,'2) Tracker'!$A$2:$AQ$981,43,FALSE)</f>
        <v/>
      </c>
      <c r="AL65" s="601" t="str">
        <f>VLOOKUP(F65,'2) Tracker'!$A$2:$BH$981,46,FALSE())</f>
        <v/>
      </c>
      <c r="AM65" s="601" t="str">
        <f>VLOOKUP(F65,'2) Tracker'!$A$2:$BO$981,65,FALSE())</f>
        <v/>
      </c>
      <c r="AN65" s="601" t="str">
        <f>VLOOKUP(F65,'2) Tracker'!$A$2:$BK$981,63,FALSE())</f>
        <v/>
      </c>
      <c r="AO65" s="601" t="str">
        <f>VLOOKUP(F65,'2) Tracker'!$A$2:$BF$981,58,FALSE())</f>
        <v/>
      </c>
      <c r="AP65" s="46"/>
      <c r="AQ65" s="46"/>
      <c r="AR65" s="46"/>
      <c r="AS65" s="46"/>
      <c r="AT65" s="46"/>
      <c r="AU65" s="46"/>
      <c r="AV65" s="46"/>
      <c r="AW65" s="46"/>
      <c r="AX65" s="46"/>
      <c r="AY65" s="46"/>
      <c r="AZ65" s="563"/>
      <c r="BA65" s="569"/>
      <c r="BB65" s="563"/>
      <c r="BC65" s="569"/>
      <c r="BD65" s="563"/>
      <c r="BE65" s="46"/>
      <c r="BF65" s="46"/>
      <c r="BG65" s="563"/>
      <c r="BH65" s="563"/>
      <c r="BI65" s="563"/>
      <c r="BJ65" s="563"/>
    </row>
    <row r="66" spans="2:62" x14ac:dyDescent="0.25">
      <c r="B66" s="589">
        <f>VLOOKUP(F66,'2) Tracker'!$A$3:$O$411,5,FALSE)</f>
        <v>0</v>
      </c>
      <c r="C66" s="589">
        <f>VLOOKUP(F66,'2) Tracker'!$A$3:$O$411,4,FALSE)</f>
        <v>0</v>
      </c>
      <c r="D66" s="563"/>
      <c r="E66" s="563" t="str">
        <f>VLOOKUP(F66,'2) Tracker'!$A$3:$O$407,15,FALSE)</f>
        <v>eu</v>
      </c>
      <c r="F66" s="608" t="s">
        <v>518</v>
      </c>
      <c r="G66" s="591">
        <f>VLOOKUP(F66,'2) Tracker'!$A$2:$BO$361,2,FALSE)</f>
        <v>2023</v>
      </c>
      <c r="H66" s="592">
        <f>VLOOKUP(F66,'2) Tracker'!$A$2:$BO$361,3,FALSE)</f>
        <v>91000</v>
      </c>
      <c r="I66" s="593" t="str">
        <f>VLOOKUP(F66,'2) Tracker'!$A$2:$BO$361,9,FALSE)</f>
        <v>Borealis</v>
      </c>
      <c r="J66" s="594" t="str">
        <f>VLOOKUP(F66,'2) Tracker'!$A$2:$BO$361,12,FALSE)</f>
        <v>loads USG</v>
      </c>
      <c r="K66" s="596">
        <f t="shared" ref="K66:O66" si="130">AD66</f>
        <v>46140</v>
      </c>
      <c r="L66" s="596">
        <f t="shared" si="130"/>
        <v>46140</v>
      </c>
      <c r="M66" s="596">
        <f t="shared" si="130"/>
        <v>46172</v>
      </c>
      <c r="N66" s="596" t="str">
        <f t="shared" si="130"/>
        <v/>
      </c>
      <c r="O66" s="597" t="str">
        <f t="shared" si="130"/>
        <v/>
      </c>
      <c r="P66" s="598" t="str">
        <f>IFERROR(IF(VLOOKUP(F66,'Voyage days'!$M$808:$N$819,2,FALSE),"GOA",""),"")</f>
        <v/>
      </c>
      <c r="Q66" s="596" t="str">
        <f t="shared" ref="Q66:R66" si="131">AM66</f>
        <v/>
      </c>
      <c r="R66" s="596" t="str">
        <f t="shared" si="131"/>
        <v/>
      </c>
      <c r="S66" s="595">
        <f t="shared" si="2"/>
        <v>46160</v>
      </c>
      <c r="T66" s="596" t="str">
        <f t="shared" si="3"/>
        <v/>
      </c>
      <c r="U66" s="596" t="str">
        <f t="shared" si="4"/>
        <v/>
      </c>
      <c r="V66" s="596"/>
      <c r="W66" s="596" t="str">
        <f t="shared" si="5"/>
        <v/>
      </c>
      <c r="X66" s="599" t="str">
        <f t="shared" si="6"/>
        <v/>
      </c>
      <c r="Y66" s="594"/>
      <c r="Z66" s="600" t="str">
        <f>VLOOKUP(F66,'2) Tracker'!$A$3:$Q$505,16,FALSE)</f>
        <v>@ Skagen 08 Apr</v>
      </c>
      <c r="AA66" s="600" t="str">
        <f>VLOOKUP(F66,'2) Tracker'!$A$3:$R$505,18,FALSE)</f>
        <v>Borealis 05-06 Mar Targa</v>
      </c>
      <c r="AB66" s="600">
        <f>VLOOKUP(F66,'2) Tracker'!$A$3:$Q$505,17,FALSE)</f>
        <v>0</v>
      </c>
      <c r="AC66" s="601"/>
      <c r="AD66" s="601">
        <f>VLOOKUP(F66,'2) Tracker'!$A$2:$BO$981,37,FALSE)</f>
        <v>46140</v>
      </c>
      <c r="AE66" s="601">
        <f>VLOOKUP(F66,'2) Tracker'!$A$2:$BO$981,40,FALSE)</f>
        <v>46140</v>
      </c>
      <c r="AF66" s="601">
        <f>VLOOKUP(F66,'2) Tracker'!$A$2:$BO$981,67,FALSE)</f>
        <v>46172</v>
      </c>
      <c r="AG66" s="601" t="str">
        <f>VLOOKUP(F66,'2) Tracker'!$A$2:$BO$981,34,FALSE)</f>
        <v/>
      </c>
      <c r="AH66" s="601" t="str">
        <f>VLOOKUP(F66,'2) Tracker'!$A$2:$BN$981,66,FALSE)</f>
        <v/>
      </c>
      <c r="AI66" s="601" t="str">
        <f>VLOOKUP(F66,'2) Tracker'!$A$2:$BO$981,56,FALSE)</f>
        <v/>
      </c>
      <c r="AJ66" s="601" t="str">
        <f>VLOOKUP(F66,'2) Tracker'!$A$2:$BO$981,52,FALSE)</f>
        <v/>
      </c>
      <c r="AK66" s="601" t="str">
        <f>VLOOKUP(F66,'2) Tracker'!$A$2:$AQ$981,43,FALSE)</f>
        <v/>
      </c>
      <c r="AL66" s="601">
        <f>VLOOKUP(F66,'2) Tracker'!$A$2:$BH$981,46,FALSE())</f>
        <v>46160</v>
      </c>
      <c r="AM66" s="601" t="str">
        <f>VLOOKUP(F66,'2) Tracker'!$A$2:$BO$981,65,FALSE())</f>
        <v/>
      </c>
      <c r="AN66" s="601" t="str">
        <f>VLOOKUP(F66,'2) Tracker'!$A$2:$BK$981,63,FALSE())</f>
        <v/>
      </c>
      <c r="AO66" s="601" t="str">
        <f>VLOOKUP(F66,'2) Tracker'!$A$2:$BF$981,58,FALSE())</f>
        <v/>
      </c>
      <c r="AP66" s="46"/>
      <c r="AQ66" s="46"/>
      <c r="AR66" s="46"/>
      <c r="AS66" s="46"/>
      <c r="AT66" s="46"/>
      <c r="AU66" s="46"/>
      <c r="AV66" s="46"/>
      <c r="AW66" s="46"/>
      <c r="AX66" s="46"/>
      <c r="AY66" s="46"/>
      <c r="AZ66" s="605"/>
      <c r="BA66" s="604" t="e">
        <f>VLOOKUP(AZ66,#REF!,2, FALSE)</f>
        <v>#REF!</v>
      </c>
      <c r="BB66" s="605" t="e">
        <f>VLOOKUP(AZ66,'1) Kpler'!$E$2:$F$500,2,FALSE)</f>
        <v>#N/A</v>
      </c>
      <c r="BC66" s="604" t="s">
        <v>1595</v>
      </c>
      <c r="BD66" s="605"/>
      <c r="BE66" s="46"/>
      <c r="BF66" s="46"/>
      <c r="BG66" s="605"/>
      <c r="BH66" s="605"/>
      <c r="BI66" s="605"/>
      <c r="BJ66" s="605"/>
    </row>
    <row r="67" spans="2:62" x14ac:dyDescent="0.25">
      <c r="B67" s="589">
        <f>VLOOKUP(F67,'2) Tracker'!$A$3:$O$411,5,FALSE)</f>
        <v>0</v>
      </c>
      <c r="C67" s="589" t="str">
        <f>VLOOKUP(F67,'2) Tracker'!$A$3:$O$411,4,FALSE)</f>
        <v>US</v>
      </c>
      <c r="D67" s="563" t="s">
        <v>1569</v>
      </c>
      <c r="E67" s="563">
        <f>VLOOKUP(F67,'2) Tracker'!$A$3:$O$407,15,FALSE)</f>
        <v>0</v>
      </c>
      <c r="F67" s="590" t="s">
        <v>184</v>
      </c>
      <c r="G67" s="607">
        <f>VLOOKUP(F67,'2) Tracker'!$A$2:$BO$361,2,FALSE)</f>
        <v>42978</v>
      </c>
      <c r="H67" s="592">
        <f>VLOOKUP(F67,'2) Tracker'!$A$2:$BO$361,3,FALSE)</f>
        <v>78700</v>
      </c>
      <c r="I67" s="593" t="str">
        <f>VLOOKUP(F67,'2) Tracker'!$A$2:$BO$361,9,FALSE)</f>
        <v>P66</v>
      </c>
      <c r="J67" s="594" t="str">
        <f>VLOOKUP(F67,'2) Tracker'!$A$2:$BO$361,12,FALSE)</f>
        <v>loads USG</v>
      </c>
      <c r="K67" s="596">
        <f t="shared" ref="K67:O67" si="132">AD67</f>
        <v>46140</v>
      </c>
      <c r="L67" s="596">
        <f t="shared" si="132"/>
        <v>46140</v>
      </c>
      <c r="M67" s="596">
        <f t="shared" si="132"/>
        <v>46172</v>
      </c>
      <c r="N67" s="596" t="str">
        <f t="shared" si="132"/>
        <v/>
      </c>
      <c r="O67" s="597" t="str">
        <f t="shared" si="132"/>
        <v/>
      </c>
      <c r="P67" s="598" t="str">
        <f>IFERROR(IF(VLOOKUP(F67,'Voyage days'!$M$808:$N$819,2,FALSE),"GOA",""),"")</f>
        <v/>
      </c>
      <c r="Q67" s="596" t="str">
        <f t="shared" ref="Q67:R67" si="133">AM67</f>
        <v/>
      </c>
      <c r="R67" s="596" t="str">
        <f t="shared" si="133"/>
        <v/>
      </c>
      <c r="S67" s="595">
        <f t="shared" si="2"/>
        <v>46160</v>
      </c>
      <c r="T67" s="596" t="str">
        <f t="shared" si="3"/>
        <v/>
      </c>
      <c r="U67" s="596" t="str">
        <f t="shared" si="4"/>
        <v/>
      </c>
      <c r="V67" s="596"/>
      <c r="W67" s="596" t="str">
        <f t="shared" si="5"/>
        <v/>
      </c>
      <c r="X67" s="599" t="str">
        <f t="shared" si="6"/>
        <v/>
      </c>
      <c r="Y67" s="606"/>
      <c r="Z67" s="600" t="str">
        <f>VLOOKUP(F67,'2) Tracker'!$A$3:$Q$505,16,FALSE)</f>
        <v>ETA Freeport 27 Apr via Cape</v>
      </c>
      <c r="AA67" s="600" t="str">
        <f>VLOOKUP(F67,'2) Tracker'!$A$3:$R$505,18,FALSE)</f>
        <v>P66 28-29 Apr Freeport</v>
      </c>
      <c r="AB67" s="600">
        <f>VLOOKUP(F67,'2) Tracker'!$A$3:$Q$505,17,FALSE)</f>
        <v>0</v>
      </c>
      <c r="AC67" s="601"/>
      <c r="AD67" s="601">
        <f>VLOOKUP(F67,'2) Tracker'!$A$2:$BO$981,37,FALSE)</f>
        <v>46140</v>
      </c>
      <c r="AE67" s="601">
        <f>VLOOKUP(F67,'2) Tracker'!$A$2:$BO$981,40,FALSE)</f>
        <v>46140</v>
      </c>
      <c r="AF67" s="601">
        <f>VLOOKUP(F67,'2) Tracker'!$A$2:$BO$981,67,FALSE)</f>
        <v>46172</v>
      </c>
      <c r="AG67" s="601" t="str">
        <f>VLOOKUP(F67,'2) Tracker'!$A$2:$BO$981,34,FALSE)</f>
        <v/>
      </c>
      <c r="AH67" s="601" t="str">
        <f>VLOOKUP(F67,'2) Tracker'!$A$2:$BN$981,66,FALSE)</f>
        <v/>
      </c>
      <c r="AI67" s="601" t="str">
        <f>VLOOKUP(F67,'2) Tracker'!$A$2:$BO$981,56,FALSE)</f>
        <v/>
      </c>
      <c r="AJ67" s="601" t="str">
        <f>VLOOKUP(F67,'2) Tracker'!$A$2:$BO$981,52,FALSE)</f>
        <v/>
      </c>
      <c r="AK67" s="601" t="str">
        <f>VLOOKUP(F67,'2) Tracker'!$A$2:$AQ$981,43,FALSE)</f>
        <v/>
      </c>
      <c r="AL67" s="601">
        <f>VLOOKUP(F67,'2) Tracker'!$A$2:$BH$981,46,FALSE())</f>
        <v>46160</v>
      </c>
      <c r="AM67" s="601" t="str">
        <f>VLOOKUP(F67,'2) Tracker'!$A$2:$BO$981,65,FALSE())</f>
        <v/>
      </c>
      <c r="AN67" s="601" t="str">
        <f>VLOOKUP(F67,'2) Tracker'!$A$2:$BK$981,63,FALSE())</f>
        <v/>
      </c>
      <c r="AO67" s="601" t="str">
        <f>VLOOKUP(F67,'2) Tracker'!$A$2:$BF$981,58,FALSE())</f>
        <v/>
      </c>
      <c r="AP67" s="46"/>
      <c r="AQ67" s="46"/>
      <c r="AR67" s="46"/>
      <c r="AS67" s="46"/>
      <c r="AT67" s="46"/>
      <c r="AU67" s="46"/>
      <c r="AV67" s="46"/>
      <c r="AW67" s="46"/>
      <c r="AX67" s="46"/>
      <c r="AY67" s="46"/>
      <c r="AZ67" s="563"/>
      <c r="BA67" s="604" t="e">
        <f>VLOOKUP(AZ67,#REF!,2, FALSE)</f>
        <v>#REF!</v>
      </c>
      <c r="BB67" s="605" t="e">
        <f>VLOOKUP(AZ67,'1) Kpler'!$E$2:$F$500,2,FALSE)</f>
        <v>#N/A</v>
      </c>
      <c r="BC67" s="569"/>
      <c r="BD67" s="563"/>
      <c r="BE67" s="46"/>
      <c r="BF67" s="46"/>
      <c r="BG67" s="563"/>
      <c r="BH67" s="563"/>
      <c r="BI67" s="563"/>
      <c r="BJ67" s="563"/>
    </row>
    <row r="68" spans="2:62" x14ac:dyDescent="0.25">
      <c r="B68" s="589">
        <f>VLOOKUP(F68,'2) Tracker'!$A$3:$O$411,5,FALSE)</f>
        <v>0</v>
      </c>
      <c r="C68" s="589" t="str">
        <f>VLOOKUP(F68,'2) Tracker'!$A$3:$O$411,4,FALSE)</f>
        <v>US</v>
      </c>
      <c r="D68" s="563"/>
      <c r="E68" s="563">
        <f>VLOOKUP(F68,'2) Tracker'!$A$3:$O$407,15,FALSE)</f>
        <v>0</v>
      </c>
      <c r="F68" s="569" t="s">
        <v>168</v>
      </c>
      <c r="G68" s="607">
        <f>VLOOKUP(F68,'2) Tracker'!$A$2:$BO$361,2,FALSE)</f>
        <v>42299</v>
      </c>
      <c r="H68" s="592">
        <f>VLOOKUP(F68,'2) Tracker'!$A$2:$BO$361,3,FALSE)</f>
        <v>84000</v>
      </c>
      <c r="I68" s="594" t="str">
        <f>VLOOKUP(F68,'2) Tracker'!$A$2:$BO$361,9,FALSE)</f>
        <v>Helios</v>
      </c>
      <c r="J68" s="594" t="str">
        <f>VLOOKUP(F68,'2) Tracker'!$A$2:$BO$361,12,FALSE)</f>
        <v>loads USG</v>
      </c>
      <c r="K68" s="595">
        <f t="shared" ref="K68:O68" si="134">AD68</f>
        <v>46140</v>
      </c>
      <c r="L68" s="595">
        <f t="shared" si="134"/>
        <v>46140</v>
      </c>
      <c r="M68" s="596">
        <f t="shared" si="134"/>
        <v>46172</v>
      </c>
      <c r="N68" s="596" t="str">
        <f t="shared" si="134"/>
        <v/>
      </c>
      <c r="O68" s="597" t="str">
        <f t="shared" si="134"/>
        <v/>
      </c>
      <c r="P68" s="598" t="str">
        <f>IFERROR(IF(VLOOKUP(F68,'Voyage days'!$M$808:$N$819,2,FALSE),"GOA",""),"")</f>
        <v/>
      </c>
      <c r="Q68" s="596" t="str">
        <f t="shared" ref="Q68:R68" si="135">AM68</f>
        <v/>
      </c>
      <c r="R68" s="595" t="str">
        <f t="shared" si="135"/>
        <v/>
      </c>
      <c r="S68" s="595">
        <f t="shared" si="2"/>
        <v>46160</v>
      </c>
      <c r="T68" s="596" t="str">
        <f t="shared" si="3"/>
        <v/>
      </c>
      <c r="U68" s="595" t="str">
        <f t="shared" si="4"/>
        <v/>
      </c>
      <c r="V68" s="596"/>
      <c r="W68" s="596" t="str">
        <f t="shared" si="5"/>
        <v/>
      </c>
      <c r="X68" s="599" t="str">
        <f t="shared" si="6"/>
        <v/>
      </c>
      <c r="Y68" s="594"/>
      <c r="Z68" s="600" t="str">
        <f>VLOOKUP(F68,'2) Tracker'!$A$3:$Q$505,16,FALSE)</f>
        <v>ETA Cristobal 20 Apr</v>
      </c>
      <c r="AA68" s="600" t="str">
        <f>VLOOKUP(F68,'2) Tracker'!$A$3:$R$505,18,FALSE)</f>
        <v>Axpo 28-29 Apr Freeport</v>
      </c>
      <c r="AB68" s="600">
        <f>VLOOKUP(F68,'2) Tracker'!$A$3:$Q$505,17,FALSE)</f>
        <v>0</v>
      </c>
      <c r="AC68" s="601"/>
      <c r="AD68" s="601">
        <f>VLOOKUP(F68,'2) Tracker'!$A$2:$BO$981,37,FALSE)</f>
        <v>46140</v>
      </c>
      <c r="AE68" s="601">
        <f>VLOOKUP(F68,'2) Tracker'!$A$2:$BO$981,40,FALSE)</f>
        <v>46140</v>
      </c>
      <c r="AF68" s="601">
        <f>VLOOKUP(F68,'2) Tracker'!$A$2:$BO$981,67,FALSE)</f>
        <v>46172</v>
      </c>
      <c r="AG68" s="601" t="str">
        <f>VLOOKUP(F68,'2) Tracker'!$A$2:$BO$981,34,FALSE)</f>
        <v/>
      </c>
      <c r="AH68" s="601" t="str">
        <f>VLOOKUP(F68,'2) Tracker'!$A$2:$BN$981,66,FALSE)</f>
        <v/>
      </c>
      <c r="AI68" s="601" t="str">
        <f>VLOOKUP(F68,'2) Tracker'!$A$2:$BO$981,56,FALSE)</f>
        <v/>
      </c>
      <c r="AJ68" s="601" t="str">
        <f>VLOOKUP(F68,'2) Tracker'!$A$2:$BO$981,52,FALSE)</f>
        <v/>
      </c>
      <c r="AK68" s="601" t="str">
        <f>VLOOKUP(F68,'2) Tracker'!$A$2:$AQ$981,43,FALSE)</f>
        <v/>
      </c>
      <c r="AL68" s="601">
        <f>VLOOKUP(F68,'2) Tracker'!$A$2:$BH$981,46,FALSE())</f>
        <v>46160</v>
      </c>
      <c r="AM68" s="601" t="str">
        <f>VLOOKUP(F68,'2) Tracker'!$A$2:$BO$981,65,FALSE())</f>
        <v/>
      </c>
      <c r="AN68" s="601" t="str">
        <f>VLOOKUP(F68,'2) Tracker'!$A$2:$BK$981,63,FALSE())</f>
        <v/>
      </c>
      <c r="AO68" s="601" t="str">
        <f>VLOOKUP(F68,'2) Tracker'!$A$2:$BF$981,58,FALSE())</f>
        <v/>
      </c>
      <c r="AP68" s="46"/>
      <c r="AQ68" s="46"/>
      <c r="AR68" s="46"/>
      <c r="AS68" s="46"/>
      <c r="AT68" s="46"/>
      <c r="AU68" s="46"/>
      <c r="AV68" s="46"/>
      <c r="AW68" s="46"/>
      <c r="AX68" s="46"/>
      <c r="AY68" s="46"/>
      <c r="AZ68" s="563"/>
      <c r="BA68" s="569"/>
      <c r="BB68" s="563"/>
      <c r="BC68" s="569"/>
      <c r="BD68" s="563"/>
      <c r="BE68" s="46"/>
      <c r="BF68" s="46"/>
      <c r="BG68" s="563"/>
      <c r="BH68" s="563"/>
      <c r="BI68" s="563"/>
      <c r="BJ68" s="563"/>
    </row>
    <row r="69" spans="2:62" x14ac:dyDescent="0.25">
      <c r="B69" s="589">
        <f>VLOOKUP(F69,'2) Tracker'!$A$3:$O$411,5,FALSE)</f>
        <v>0</v>
      </c>
      <c r="C69" s="589" t="str">
        <f>VLOOKUP(F69,'2) Tracker'!$A$3:$O$411,4,FALSE)</f>
        <v>US</v>
      </c>
      <c r="D69" s="563"/>
      <c r="E69" s="563" t="str">
        <f>VLOOKUP(F69,'2) Tracker'!$A$3:$O$407,15,FALSE)</f>
        <v>S</v>
      </c>
      <c r="F69" s="569" t="s">
        <v>207</v>
      </c>
      <c r="G69" s="607">
        <f>VLOOKUP(F69,'2) Tracker'!$A$2:$BO$361,2,FALSE)</f>
        <v>42308</v>
      </c>
      <c r="H69" s="592">
        <f>VLOOKUP(F69,'2) Tracker'!$A$2:$BO$361,3,FALSE)</f>
        <v>84000</v>
      </c>
      <c r="I69" s="594" t="str">
        <f>VLOOKUP(F69,'2) Tracker'!$A$2:$BO$361,9,FALSE)</f>
        <v>Helios</v>
      </c>
      <c r="J69" s="594" t="str">
        <f>VLOOKUP(F69,'2) Tracker'!$A$2:$BO$361,12,FALSE)</f>
        <v>loads USG</v>
      </c>
      <c r="K69" s="596">
        <f t="shared" ref="K69:O69" si="136">AD69</f>
        <v>46140</v>
      </c>
      <c r="L69" s="596">
        <f t="shared" si="136"/>
        <v>46140</v>
      </c>
      <c r="M69" s="596">
        <f t="shared" si="136"/>
        <v>46172</v>
      </c>
      <c r="N69" s="596" t="str">
        <f t="shared" si="136"/>
        <v/>
      </c>
      <c r="O69" s="597" t="str">
        <f t="shared" si="136"/>
        <v/>
      </c>
      <c r="P69" s="598" t="str">
        <f>IFERROR(IF(VLOOKUP(F69,'Voyage days'!$M$808:$N$819,2,FALSE),"GOA",""),"")</f>
        <v/>
      </c>
      <c r="Q69" s="596" t="str">
        <f t="shared" ref="Q69:R69" si="137">AM69</f>
        <v/>
      </c>
      <c r="R69" s="596" t="str">
        <f t="shared" si="137"/>
        <v/>
      </c>
      <c r="S69" s="595">
        <f t="shared" si="2"/>
        <v>46160</v>
      </c>
      <c r="T69" s="596" t="str">
        <f t="shared" si="3"/>
        <v/>
      </c>
      <c r="U69" s="596" t="str">
        <f t="shared" si="4"/>
        <v/>
      </c>
      <c r="V69" s="570" t="s">
        <v>1577</v>
      </c>
      <c r="W69" s="596" t="str">
        <f t="shared" si="5"/>
        <v/>
      </c>
      <c r="X69" s="599" t="str">
        <f t="shared" si="6"/>
        <v/>
      </c>
      <c r="Y69" s="594"/>
      <c r="Z69" s="600" t="str">
        <f>VLOOKUP(F69,'2) Tracker'!$A$3:$Q$505,16,FALSE)</f>
        <v>ETA Balboa 20 Apr</v>
      </c>
      <c r="AA69" s="600" t="str">
        <f>VLOOKUP(F69,'2) Tracker'!$A$3:$R$505,18,FALSE)</f>
        <v>BP 28-29 Apr USG</v>
      </c>
      <c r="AB69" s="600">
        <f>VLOOKUP(F69,'2) Tracker'!$A$3:$Q$505,17,FALSE)</f>
        <v>0</v>
      </c>
      <c r="AC69" s="601"/>
      <c r="AD69" s="601">
        <f>VLOOKUP(F69,'2) Tracker'!$A$2:$BO$981,37,FALSE)</f>
        <v>46140</v>
      </c>
      <c r="AE69" s="601">
        <f>VLOOKUP(F69,'2) Tracker'!$A$2:$BO$981,40,FALSE)</f>
        <v>46140</v>
      </c>
      <c r="AF69" s="601">
        <f>VLOOKUP(F69,'2) Tracker'!$A$2:$BO$981,67,FALSE)</f>
        <v>46172</v>
      </c>
      <c r="AG69" s="601" t="str">
        <f>VLOOKUP(F69,'2) Tracker'!$A$2:$BO$981,34,FALSE)</f>
        <v/>
      </c>
      <c r="AH69" s="601" t="str">
        <f>VLOOKUP(F69,'2) Tracker'!$A$2:$BN$981,66,FALSE)</f>
        <v/>
      </c>
      <c r="AI69" s="601" t="str">
        <f>VLOOKUP(F69,'2) Tracker'!$A$2:$BO$981,56,FALSE)</f>
        <v/>
      </c>
      <c r="AJ69" s="601" t="str">
        <f>VLOOKUP(F69,'2) Tracker'!$A$2:$BO$981,52,FALSE)</f>
        <v/>
      </c>
      <c r="AK69" s="601" t="str">
        <f>VLOOKUP(F69,'2) Tracker'!$A$2:$AQ$981,43,FALSE)</f>
        <v/>
      </c>
      <c r="AL69" s="601">
        <f>VLOOKUP(F69,'2) Tracker'!$A$2:$BH$981,46,FALSE())</f>
        <v>46160</v>
      </c>
      <c r="AM69" s="601" t="str">
        <f>VLOOKUP(F69,'2) Tracker'!$A$2:$BO$981,65,FALSE())</f>
        <v/>
      </c>
      <c r="AN69" s="601" t="str">
        <f>VLOOKUP(F69,'2) Tracker'!$A$2:$BK$981,63,FALSE())</f>
        <v/>
      </c>
      <c r="AO69" s="601" t="str">
        <f>VLOOKUP(F69,'2) Tracker'!$A$2:$BF$981,58,FALSE())</f>
        <v/>
      </c>
      <c r="AP69" s="46"/>
      <c r="AQ69" s="46"/>
      <c r="AR69" s="627"/>
      <c r="AS69" s="627"/>
      <c r="AT69" s="627"/>
      <c r="AU69" s="627"/>
      <c r="AV69" s="628" t="s">
        <v>1557</v>
      </c>
      <c r="AW69" s="627"/>
      <c r="AX69" s="627" t="s">
        <v>35</v>
      </c>
      <c r="AY69" s="627" t="s">
        <v>36</v>
      </c>
      <c r="AZ69" s="605" t="s">
        <v>1596</v>
      </c>
      <c r="BA69" s="604" t="s">
        <v>1597</v>
      </c>
      <c r="BB69" s="605" t="s">
        <v>1598</v>
      </c>
      <c r="BC69" s="604" t="s">
        <v>1580</v>
      </c>
      <c r="BD69" s="605"/>
      <c r="BE69" s="627"/>
      <c r="BF69" s="627" t="s">
        <v>1599</v>
      </c>
      <c r="BG69" s="618" t="s">
        <v>1600</v>
      </c>
      <c r="BH69" s="604" t="s">
        <v>949</v>
      </c>
      <c r="BI69" s="605"/>
      <c r="BJ69" s="605"/>
    </row>
    <row r="70" spans="2:62" x14ac:dyDescent="0.25">
      <c r="B70" s="589">
        <f>VLOOKUP(F70,'2) Tracker'!$A$3:$O$411,5,FALSE)</f>
        <v>0</v>
      </c>
      <c r="C70" s="589" t="str">
        <f>VLOOKUP(F70,'2) Tracker'!$A$3:$O$411,4,FALSE)</f>
        <v>US</v>
      </c>
      <c r="D70" s="563"/>
      <c r="E70" s="563">
        <f>VLOOKUP(F70,'2) Tracker'!$A$3:$O$407,15,FALSE)</f>
        <v>0</v>
      </c>
      <c r="F70" s="604" t="s">
        <v>198</v>
      </c>
      <c r="G70" s="607">
        <f>VLOOKUP(F70,'2) Tracker'!$A$2:$BO$361,2,FALSE)</f>
        <v>42234</v>
      </c>
      <c r="H70" s="592">
        <f>VLOOKUP(F70,'2) Tracker'!$A$2:$BO$361,3,FALSE)</f>
        <v>84000</v>
      </c>
      <c r="I70" s="594" t="str">
        <f>VLOOKUP(F70,'2) Tracker'!$A$2:$BO$361,9,FALSE)</f>
        <v>Helios</v>
      </c>
      <c r="J70" s="594" t="str">
        <f>VLOOKUP(F70,'2) Tracker'!$A$2:$BO$361,12,FALSE)</f>
        <v>loads USG</v>
      </c>
      <c r="K70" s="596">
        <f t="shared" ref="K70:O70" si="138">AD70</f>
        <v>46140</v>
      </c>
      <c r="L70" s="596">
        <f t="shared" si="138"/>
        <v>46140</v>
      </c>
      <c r="M70" s="596">
        <f t="shared" si="138"/>
        <v>46172</v>
      </c>
      <c r="N70" s="596" t="str">
        <f t="shared" si="138"/>
        <v/>
      </c>
      <c r="O70" s="597" t="str">
        <f t="shared" si="138"/>
        <v/>
      </c>
      <c r="P70" s="598" t="str">
        <f>IFERROR(IF(VLOOKUP(F70,'Voyage days'!$M$808:$N$819,2,FALSE),"GOA",""),"")</f>
        <v/>
      </c>
      <c r="Q70" s="596" t="str">
        <f t="shared" ref="Q70:R70" si="139">AM70</f>
        <v/>
      </c>
      <c r="R70" s="596" t="str">
        <f t="shared" si="139"/>
        <v/>
      </c>
      <c r="S70" s="595">
        <f t="shared" si="2"/>
        <v>46160</v>
      </c>
      <c r="T70" s="596" t="str">
        <f t="shared" si="3"/>
        <v/>
      </c>
      <c r="U70" s="596" t="str">
        <f t="shared" si="4"/>
        <v/>
      </c>
      <c r="V70" s="596"/>
      <c r="W70" s="596" t="str">
        <f t="shared" si="5"/>
        <v/>
      </c>
      <c r="X70" s="599" t="str">
        <f t="shared" si="6"/>
        <v/>
      </c>
      <c r="Y70" s="611" t="s">
        <v>1601</v>
      </c>
      <c r="Z70" s="600" t="str">
        <f>VLOOKUP(F70,'2) Tracker'!$A$3:$Q$505,16,FALSE)</f>
        <v>ETA Nederland 23 Apr</v>
      </c>
      <c r="AA70" s="600" t="str">
        <f>VLOOKUP(F70,'2) Tracker'!$A$3:$R$505,18,FALSE)</f>
        <v>Total 28-29 Apr Nederland</v>
      </c>
      <c r="AB70" s="600">
        <f>VLOOKUP(F70,'2) Tracker'!$A$3:$Q$505,17,FALSE)</f>
        <v>0</v>
      </c>
      <c r="AC70" s="601"/>
      <c r="AD70" s="601">
        <f>VLOOKUP(F70,'2) Tracker'!$A$2:$BO$981,37,FALSE)</f>
        <v>46140</v>
      </c>
      <c r="AE70" s="601">
        <f>VLOOKUP(F70,'2) Tracker'!$A$2:$BO$981,40,FALSE)</f>
        <v>46140</v>
      </c>
      <c r="AF70" s="601">
        <f>VLOOKUP(F70,'2) Tracker'!$A$2:$BO$981,67,FALSE)</f>
        <v>46172</v>
      </c>
      <c r="AG70" s="601" t="str">
        <f>VLOOKUP(F70,'2) Tracker'!$A$2:$BO$981,34,FALSE)</f>
        <v/>
      </c>
      <c r="AH70" s="601" t="str">
        <f>VLOOKUP(F70,'2) Tracker'!$A$2:$BN$981,66,FALSE)</f>
        <v/>
      </c>
      <c r="AI70" s="601" t="str">
        <f>VLOOKUP(F70,'2) Tracker'!$A$2:$BO$981,56,FALSE)</f>
        <v/>
      </c>
      <c r="AJ70" s="601" t="str">
        <f>VLOOKUP(F70,'2) Tracker'!$A$2:$BO$981,52,FALSE)</f>
        <v/>
      </c>
      <c r="AK70" s="601" t="str">
        <f>VLOOKUP(F70,'2) Tracker'!$A$2:$AQ$981,43,FALSE)</f>
        <v/>
      </c>
      <c r="AL70" s="601">
        <f>VLOOKUP(F70,'2) Tracker'!$A$2:$BH$981,46,FALSE())</f>
        <v>46160</v>
      </c>
      <c r="AM70" s="601" t="str">
        <f>VLOOKUP(F70,'2) Tracker'!$A$2:$BO$981,65,FALSE())</f>
        <v/>
      </c>
      <c r="AN70" s="601" t="str">
        <f>VLOOKUP(F70,'2) Tracker'!$A$2:$BK$981,63,FALSE())</f>
        <v/>
      </c>
      <c r="AO70" s="601" t="str">
        <f>VLOOKUP(F70,'2) Tracker'!$A$2:$BF$981,58,FALSE())</f>
        <v/>
      </c>
      <c r="AP70" s="46"/>
      <c r="AQ70" s="46"/>
      <c r="AR70" s="46"/>
      <c r="AS70" s="46"/>
      <c r="AT70" s="46"/>
      <c r="AU70" s="46"/>
      <c r="AV70" s="46"/>
      <c r="AW70" s="46"/>
      <c r="AX70" s="46"/>
      <c r="AY70" s="46"/>
      <c r="AZ70" s="563"/>
      <c r="BA70" s="569"/>
      <c r="BB70" s="563"/>
      <c r="BC70" s="569"/>
      <c r="BD70" s="563"/>
      <c r="BE70" s="46"/>
      <c r="BF70" s="46"/>
      <c r="BG70" s="563"/>
      <c r="BH70" s="563"/>
      <c r="BI70" s="563"/>
      <c r="BJ70" s="563"/>
    </row>
    <row r="71" spans="2:62" x14ac:dyDescent="0.25">
      <c r="B71" s="589">
        <f>VLOOKUP(F71,'2) Tracker'!$A$3:$O$411,5,FALSE)</f>
        <v>0</v>
      </c>
      <c r="C71" s="589">
        <f>VLOOKUP(F71,'2) Tracker'!$A$3:$O$411,4,FALSE)</f>
        <v>0</v>
      </c>
      <c r="D71" s="563"/>
      <c r="E71" s="563" t="str">
        <f>VLOOKUP(F71,'2) Tracker'!$A$3:$O$407,15,FALSE)</f>
        <v>eu</v>
      </c>
      <c r="F71" s="604" t="s">
        <v>508</v>
      </c>
      <c r="G71" s="591">
        <f>VLOOKUP(F71,'2) Tracker'!$A$2:$BO$361,2,FALSE)</f>
        <v>2023</v>
      </c>
      <c r="H71" s="592">
        <f>VLOOKUP(F71,'2) Tracker'!$A$2:$BO$361,3,FALSE)</f>
        <v>91000</v>
      </c>
      <c r="I71" s="594" t="str">
        <f>VLOOKUP(F71,'2) Tracker'!$A$2:$BO$361,9,FALSE)</f>
        <v>SwissChemGas</v>
      </c>
      <c r="J71" s="594" t="str">
        <f>VLOOKUP(F71,'2) Tracker'!$A$2:$BO$361,12,FALSE)</f>
        <v>loads USG</v>
      </c>
      <c r="K71" s="596">
        <f t="shared" ref="K71:O71" si="140">AD71</f>
        <v>46140</v>
      </c>
      <c r="L71" s="596">
        <f t="shared" si="140"/>
        <v>46140</v>
      </c>
      <c r="M71" s="596">
        <f t="shared" si="140"/>
        <v>46172</v>
      </c>
      <c r="N71" s="596" t="str">
        <f t="shared" si="140"/>
        <v/>
      </c>
      <c r="O71" s="597" t="str">
        <f t="shared" si="140"/>
        <v/>
      </c>
      <c r="P71" s="598" t="str">
        <f>IFERROR(IF(VLOOKUP(F71,'Voyage days'!$M$808:$N$819,2,FALSE),"GOA",""),"")</f>
        <v/>
      </c>
      <c r="Q71" s="596" t="str">
        <f t="shared" ref="Q71:R71" si="141">AM71</f>
        <v/>
      </c>
      <c r="R71" s="596" t="str">
        <f t="shared" si="141"/>
        <v/>
      </c>
      <c r="S71" s="595">
        <f t="shared" si="2"/>
        <v>46160</v>
      </c>
      <c r="T71" s="596" t="str">
        <f t="shared" si="3"/>
        <v/>
      </c>
      <c r="U71" s="596" t="str">
        <f t="shared" si="4"/>
        <v/>
      </c>
      <c r="V71" s="596"/>
      <c r="W71" s="596" t="str">
        <f t="shared" si="5"/>
        <v/>
      </c>
      <c r="X71" s="599" t="str">
        <f t="shared" si="6"/>
        <v/>
      </c>
      <c r="Y71" s="594"/>
      <c r="Z71" s="600" t="str">
        <f>VLOOKUP(F71,'2) Tracker'!$A$3:$Q$505,16,FALSE)</f>
        <v>Ex Eu</v>
      </c>
      <c r="AA71" s="600" t="str">
        <f>VLOOKUP(F71,'2) Tracker'!$A$3:$R$505,18,FALSE)</f>
        <v>SwissChemGas 26-27 Mar USG</v>
      </c>
      <c r="AB71" s="600">
        <f>VLOOKUP(F71,'2) Tracker'!$A$3:$Q$505,17,FALSE)</f>
        <v>0</v>
      </c>
      <c r="AC71" s="601"/>
      <c r="AD71" s="601">
        <f>VLOOKUP(F71,'2) Tracker'!$A$2:$BO$981,37,FALSE)</f>
        <v>46140</v>
      </c>
      <c r="AE71" s="601">
        <f>VLOOKUP(F71,'2) Tracker'!$A$2:$BO$981,40,FALSE)</f>
        <v>46140</v>
      </c>
      <c r="AF71" s="601">
        <f>VLOOKUP(F71,'2) Tracker'!$A$2:$BO$981,67,FALSE)</f>
        <v>46172</v>
      </c>
      <c r="AG71" s="601" t="str">
        <f>VLOOKUP(F71,'2) Tracker'!$A$2:$BO$981,34,FALSE)</f>
        <v/>
      </c>
      <c r="AH71" s="601" t="str">
        <f>VLOOKUP(F71,'2) Tracker'!$A$2:$BN$981,66,FALSE)</f>
        <v/>
      </c>
      <c r="AI71" s="601" t="str">
        <f>VLOOKUP(F71,'2) Tracker'!$A$2:$BO$981,56,FALSE)</f>
        <v/>
      </c>
      <c r="AJ71" s="601" t="str">
        <f>VLOOKUP(F71,'2) Tracker'!$A$2:$BO$981,52,FALSE)</f>
        <v/>
      </c>
      <c r="AK71" s="601" t="str">
        <f>VLOOKUP(F71,'2) Tracker'!$A$2:$AQ$981,43,FALSE)</f>
        <v/>
      </c>
      <c r="AL71" s="601">
        <f>VLOOKUP(F71,'2) Tracker'!$A$2:$BH$981,46,FALSE())</f>
        <v>46160</v>
      </c>
      <c r="AM71" s="601" t="str">
        <f>VLOOKUP(F71,'2) Tracker'!$A$2:$BO$981,65,FALSE())</f>
        <v/>
      </c>
      <c r="AN71" s="601" t="str">
        <f>VLOOKUP(F71,'2) Tracker'!$A$2:$BK$981,63,FALSE())</f>
        <v/>
      </c>
      <c r="AO71" s="601" t="str">
        <f>VLOOKUP(F71,'2) Tracker'!$A$2:$BF$981,58,FALSE())</f>
        <v/>
      </c>
      <c r="AP71" s="46"/>
      <c r="AQ71" s="46"/>
      <c r="AR71" s="46"/>
      <c r="AS71" s="46"/>
      <c r="AT71" s="46"/>
      <c r="AU71" s="46"/>
      <c r="AV71" s="46"/>
      <c r="AW71" s="46"/>
      <c r="AX71" s="46"/>
      <c r="AY71" s="46"/>
      <c r="AZ71" s="563"/>
      <c r="BA71" s="569"/>
      <c r="BB71" s="563"/>
      <c r="BC71" s="569"/>
      <c r="BD71" s="563"/>
      <c r="BE71" s="46"/>
      <c r="BF71" s="46"/>
      <c r="BG71" s="563"/>
      <c r="BH71" s="563"/>
      <c r="BI71" s="563"/>
      <c r="BJ71" s="563"/>
    </row>
    <row r="72" spans="2:62" x14ac:dyDescent="0.25">
      <c r="B72" s="589">
        <f>VLOOKUP(F72,'2) Tracker'!$A$3:$O$411,5,FALSE)</f>
        <v>0</v>
      </c>
      <c r="C72" s="589">
        <f>VLOOKUP(F72,'2) Tracker'!$A$3:$O$411,4,FALSE)</f>
        <v>0</v>
      </c>
      <c r="D72" s="563"/>
      <c r="E72" s="563">
        <f>VLOOKUP(F72,'2) Tracker'!$A$3:$O$407,15,FALSE)</f>
        <v>0</v>
      </c>
      <c r="F72" s="569" t="s">
        <v>1383</v>
      </c>
      <c r="G72" s="607">
        <f>VLOOKUP(F72,'2) Tracker'!$A$2:$BO$361,2,FALSE)</f>
        <v>42443</v>
      </c>
      <c r="H72" s="592">
        <f>VLOOKUP(F72,'2) Tracker'!$A$2:$BO$361,3,FALSE)</f>
        <v>84142</v>
      </c>
      <c r="I72" s="594" t="str">
        <f>VLOOKUP(F72,'2) Tracker'!$A$2:$BO$361,9,FALSE)</f>
        <v>BW</v>
      </c>
      <c r="J72" s="594" t="str">
        <f>VLOOKUP(F72,'2) Tracker'!$A$2:$BO$361,12,FALSE)</f>
        <v>loads USG</v>
      </c>
      <c r="K72" s="595">
        <f t="shared" ref="K72:O72" si="142">AD72</f>
        <v>46141</v>
      </c>
      <c r="L72" s="595">
        <f t="shared" si="142"/>
        <v>46141</v>
      </c>
      <c r="M72" s="596">
        <f t="shared" si="142"/>
        <v>46173</v>
      </c>
      <c r="N72" s="596" t="str">
        <f t="shared" si="142"/>
        <v/>
      </c>
      <c r="O72" s="597" t="str">
        <f t="shared" si="142"/>
        <v/>
      </c>
      <c r="P72" s="598" t="str">
        <f>IFERROR(IF(VLOOKUP(F72,'Voyage days'!$M$808:$N$819,2,FALSE),"GOA",""),"")</f>
        <v/>
      </c>
      <c r="Q72" s="596" t="str">
        <f t="shared" ref="Q72:R72" si="143">AM72</f>
        <v/>
      </c>
      <c r="R72" s="596" t="str">
        <f t="shared" si="143"/>
        <v/>
      </c>
      <c r="S72" s="595">
        <f t="shared" si="2"/>
        <v>46161</v>
      </c>
      <c r="T72" s="596" t="str">
        <f t="shared" si="3"/>
        <v/>
      </c>
      <c r="U72" s="596" t="str">
        <f t="shared" si="4"/>
        <v/>
      </c>
      <c r="V72" s="616"/>
      <c r="W72" s="616" t="str">
        <f t="shared" si="5"/>
        <v/>
      </c>
      <c r="X72" s="599" t="str">
        <f t="shared" si="6"/>
        <v/>
      </c>
      <c r="Y72" s="594"/>
      <c r="Z72" s="600" t="str">
        <f>VLOOKUP(F72,'2) Tracker'!$A$3:$Q$505,16,FALSE)</f>
        <v>ex DD, ETA Balboa 23 Apr</v>
      </c>
      <c r="AA72" s="600" t="str">
        <f>VLOOKUP(F72,'2) Tracker'!$A$3:$R$505,18,FALSE)</f>
        <v>BASF 29-30 Apr USG</v>
      </c>
      <c r="AB72" s="600">
        <f>VLOOKUP(F72,'2) Tracker'!$A$3:$Q$505,17,FALSE)</f>
        <v>0</v>
      </c>
      <c r="AC72" s="601"/>
      <c r="AD72" s="601">
        <f>VLOOKUP(F72,'2) Tracker'!$A$2:$BO$981,37,FALSE)</f>
        <v>46141</v>
      </c>
      <c r="AE72" s="601">
        <f>VLOOKUP(F72,'2) Tracker'!$A$2:$BO$981,40,FALSE)</f>
        <v>46141</v>
      </c>
      <c r="AF72" s="601">
        <f>VLOOKUP(F72,'2) Tracker'!$A$2:$BO$981,67,FALSE)</f>
        <v>46173</v>
      </c>
      <c r="AG72" s="601" t="str">
        <f>VLOOKUP(F72,'2) Tracker'!$A$2:$BO$981,34,FALSE)</f>
        <v/>
      </c>
      <c r="AH72" s="601" t="str">
        <f>VLOOKUP(F72,'2) Tracker'!$A$2:$BN$981,66,FALSE)</f>
        <v/>
      </c>
      <c r="AI72" s="601" t="str">
        <f>VLOOKUP(F72,'2) Tracker'!$A$2:$BO$981,56,FALSE)</f>
        <v/>
      </c>
      <c r="AJ72" s="601" t="str">
        <f>VLOOKUP(F72,'2) Tracker'!$A$2:$BO$981,52,FALSE)</f>
        <v/>
      </c>
      <c r="AK72" s="601" t="str">
        <f>VLOOKUP(F72,'2) Tracker'!$A$2:$AQ$981,43,FALSE)</f>
        <v/>
      </c>
      <c r="AL72" s="601">
        <f>VLOOKUP(F72,'2) Tracker'!$A$2:$BH$981,46,FALSE())</f>
        <v>46161</v>
      </c>
      <c r="AM72" s="601" t="str">
        <f>VLOOKUP(F72,'2) Tracker'!$A$2:$BO$981,65,FALSE())</f>
        <v/>
      </c>
      <c r="AN72" s="601" t="str">
        <f>VLOOKUP(F72,'2) Tracker'!$A$2:$BK$981,63,FALSE())</f>
        <v/>
      </c>
      <c r="AO72" s="601" t="str">
        <f>VLOOKUP(F72,'2) Tracker'!$A$2:$BF$981,58,FALSE())</f>
        <v/>
      </c>
      <c r="AP72" s="46"/>
      <c r="AQ72" s="46"/>
      <c r="AR72" s="46"/>
      <c r="AS72" s="46"/>
      <c r="AT72" s="46"/>
      <c r="AU72" s="46"/>
      <c r="AV72" s="46"/>
      <c r="AW72" s="46"/>
      <c r="AX72" s="46"/>
      <c r="AY72" s="46"/>
      <c r="AZ72" s="563"/>
      <c r="BA72" s="569"/>
      <c r="BB72" s="563"/>
      <c r="BC72" s="569"/>
      <c r="BD72" s="563"/>
      <c r="BE72" s="46"/>
      <c r="BF72" s="46"/>
      <c r="BG72" s="563"/>
      <c r="BH72" s="563"/>
      <c r="BI72" s="563"/>
      <c r="BJ72" s="563"/>
    </row>
    <row r="73" spans="2:62" x14ac:dyDescent="0.25">
      <c r="B73" s="589">
        <f>VLOOKUP(F73,'2) Tracker'!$A$3:$O$411,5,FALSE)</f>
        <v>0</v>
      </c>
      <c r="C73" s="589" t="str">
        <f>VLOOKUP(F73,'2) Tracker'!$A$3:$O$411,4,FALSE)</f>
        <v>US</v>
      </c>
      <c r="D73" s="563"/>
      <c r="E73" s="563">
        <f>VLOOKUP(F73,'2) Tracker'!$A$3:$O$407,15,FALSE)</f>
        <v>0</v>
      </c>
      <c r="F73" s="629" t="s">
        <v>251</v>
      </c>
      <c r="G73" s="607">
        <f>VLOOKUP(F73,'2) Tracker'!$A$2:$BO$361,2,FALSE)</f>
        <v>39888</v>
      </c>
      <c r="H73" s="592">
        <f>VLOOKUP(F73,'2) Tracker'!$A$2:$BO$361,3,FALSE)</f>
        <v>82000</v>
      </c>
      <c r="I73" s="600" t="str">
        <f>VLOOKUP(F73,'2) Tracker'!$A$2:$BO$361,9,FALSE)</f>
        <v>SHV</v>
      </c>
      <c r="J73" s="594" t="str">
        <f>VLOOKUP(F73,'2) Tracker'!$A$2:$BO$361,12,FALSE)</f>
        <v>loads USG</v>
      </c>
      <c r="K73" s="596">
        <f t="shared" ref="K73:O73" si="144">AD73</f>
        <v>46142</v>
      </c>
      <c r="L73" s="596">
        <f t="shared" si="144"/>
        <v>46142</v>
      </c>
      <c r="M73" s="596">
        <f t="shared" si="144"/>
        <v>46174</v>
      </c>
      <c r="N73" s="596" t="str">
        <f t="shared" si="144"/>
        <v/>
      </c>
      <c r="O73" s="597" t="str">
        <f t="shared" si="144"/>
        <v/>
      </c>
      <c r="P73" s="598" t="str">
        <f>IFERROR(IF(VLOOKUP(F73,'Voyage days'!$M$808:$N$819,2,FALSE),"GOA",""),"")</f>
        <v/>
      </c>
      <c r="Q73" s="596" t="str">
        <f t="shared" ref="Q73:R73" si="145">AM73</f>
        <v/>
      </c>
      <c r="R73" s="596" t="str">
        <f t="shared" si="145"/>
        <v/>
      </c>
      <c r="S73" s="595">
        <f t="shared" si="2"/>
        <v>46162</v>
      </c>
      <c r="T73" s="596" t="str">
        <f t="shared" si="3"/>
        <v/>
      </c>
      <c r="U73" s="596" t="str">
        <f t="shared" si="4"/>
        <v/>
      </c>
      <c r="V73" s="596"/>
      <c r="W73" s="596" t="str">
        <f t="shared" si="5"/>
        <v/>
      </c>
      <c r="X73" s="599" t="str">
        <f t="shared" si="6"/>
        <v/>
      </c>
      <c r="Y73" s="606" t="s">
        <v>1602</v>
      </c>
      <c r="Z73" s="600" t="str">
        <f>VLOOKUP(F73,'2) Tracker'!$A$3:$Q$505,16,FALSE)</f>
        <v>ETA Freeport 30 Apr via Cape</v>
      </c>
      <c r="AA73" s="600" t="str">
        <f>VLOOKUP(F73,'2) Tracker'!$A$3:$R$505,18,FALSE)</f>
        <v>Pertamina 29-30 Apr Freeport</v>
      </c>
      <c r="AB73" s="600">
        <f>VLOOKUP(F73,'2) Tracker'!$A$3:$Q$505,17,FALSE)</f>
        <v>0</v>
      </c>
      <c r="AC73" s="601"/>
      <c r="AD73" s="601">
        <f>VLOOKUP(F73,'2) Tracker'!$A$2:$BO$981,37,FALSE)</f>
        <v>46142</v>
      </c>
      <c r="AE73" s="601">
        <f>VLOOKUP(F73,'2) Tracker'!$A$2:$BO$981,40,FALSE)</f>
        <v>46142</v>
      </c>
      <c r="AF73" s="601">
        <f>VLOOKUP(F73,'2) Tracker'!$A$2:$BO$981,67,FALSE)</f>
        <v>46174</v>
      </c>
      <c r="AG73" s="601" t="str">
        <f>VLOOKUP(F73,'2) Tracker'!$A$2:$BO$981,34,FALSE)</f>
        <v/>
      </c>
      <c r="AH73" s="601" t="str">
        <f>VLOOKUP(F73,'2) Tracker'!$A$2:$BN$981,66,FALSE)</f>
        <v/>
      </c>
      <c r="AI73" s="601" t="str">
        <f>VLOOKUP(F73,'2) Tracker'!$A$2:$BO$981,56,FALSE)</f>
        <v/>
      </c>
      <c r="AJ73" s="601" t="str">
        <f>VLOOKUP(F73,'2) Tracker'!$A$2:$BO$981,52,FALSE)</f>
        <v/>
      </c>
      <c r="AK73" s="601" t="str">
        <f>VLOOKUP(F73,'2) Tracker'!$A$2:$AQ$981,43,FALSE)</f>
        <v/>
      </c>
      <c r="AL73" s="601">
        <f>VLOOKUP(F73,'2) Tracker'!$A$2:$BH$981,46,FALSE())</f>
        <v>46162</v>
      </c>
      <c r="AM73" s="601" t="str">
        <f>VLOOKUP(F73,'2) Tracker'!$A$2:$BO$981,65,FALSE())</f>
        <v/>
      </c>
      <c r="AN73" s="601" t="str">
        <f>VLOOKUP(F73,'2) Tracker'!$A$2:$BK$981,63,FALSE())</f>
        <v/>
      </c>
      <c r="AO73" s="601" t="str">
        <f>VLOOKUP(F73,'2) Tracker'!$A$2:$BF$981,58,FALSE())</f>
        <v/>
      </c>
      <c r="AP73" s="46"/>
      <c r="AQ73" s="46"/>
      <c r="AR73" s="46"/>
      <c r="AS73" s="46"/>
      <c r="AT73" s="46"/>
      <c r="AU73" s="46"/>
      <c r="AV73" s="46"/>
      <c r="AW73" s="46"/>
      <c r="AX73" s="46"/>
      <c r="AY73" s="46"/>
      <c r="AZ73" s="605"/>
      <c r="BA73" s="604" t="e">
        <f>VLOOKUP(AZ73,#REF!,2, FALSE)</f>
        <v>#REF!</v>
      </c>
      <c r="BB73" s="605" t="e">
        <f>VLOOKUP(AZ73,'1) Kpler'!$E$2:$F$500,2,FALSE)</f>
        <v>#N/A</v>
      </c>
      <c r="BC73" s="604"/>
      <c r="BD73" s="605"/>
      <c r="BE73" s="46"/>
      <c r="BF73" s="46"/>
      <c r="BG73" s="605"/>
      <c r="BH73" s="605"/>
      <c r="BI73" s="605"/>
      <c r="BJ73" s="605"/>
    </row>
    <row r="74" spans="2:62" x14ac:dyDescent="0.25">
      <c r="B74" s="589">
        <f>VLOOKUP(F74,'2) Tracker'!$A$3:$O$411,5,FALSE)</f>
        <v>0</v>
      </c>
      <c r="C74" s="589" t="str">
        <f>VLOOKUP(F74,'2) Tracker'!$A$3:$O$411,4,FALSE)</f>
        <v>US</v>
      </c>
      <c r="D74" s="563"/>
      <c r="E74" s="563">
        <f>VLOOKUP(F74,'2) Tracker'!$A$3:$O$407,15,FALSE)</f>
        <v>0</v>
      </c>
      <c r="F74" s="594" t="s">
        <v>191</v>
      </c>
      <c r="G74" s="591">
        <f>VLOOKUP(F74,'2) Tracker'!$A$2:$BO$361,2,FALSE)</f>
        <v>2015</v>
      </c>
      <c r="H74" s="592">
        <f>VLOOKUP(F74,'2) Tracker'!$A$2:$BO$361,3,FALSE)</f>
        <v>84000</v>
      </c>
      <c r="I74" s="594" t="str">
        <f>VLOOKUP(F74,'2) Tracker'!$A$2:$BO$361,9,FALSE)</f>
        <v>Helios &gt; Exxon</v>
      </c>
      <c r="J74" s="594" t="str">
        <f>VLOOKUP(F74,'2) Tracker'!$A$2:$BO$361,12,FALSE)</f>
        <v>Balboa</v>
      </c>
      <c r="K74" s="596">
        <f t="shared" ref="K74:O74" si="146">AD74</f>
        <v>46142</v>
      </c>
      <c r="L74" s="596" t="str">
        <f t="shared" si="146"/>
        <v/>
      </c>
      <c r="M74" s="596" t="str">
        <f t="shared" si="146"/>
        <v/>
      </c>
      <c r="N74" s="596" t="str">
        <f t="shared" si="146"/>
        <v/>
      </c>
      <c r="O74" s="597" t="str">
        <f t="shared" si="146"/>
        <v/>
      </c>
      <c r="P74" s="598" t="str">
        <f>IFERROR(IF(VLOOKUP(F74,'Voyage days'!$M$808:$N$819,2,FALSE),"GOA",""),"")</f>
        <v/>
      </c>
      <c r="Q74" s="596" t="str">
        <f t="shared" ref="Q74:R74" si="147">AM74</f>
        <v/>
      </c>
      <c r="R74" s="595" t="str">
        <f t="shared" si="147"/>
        <v/>
      </c>
      <c r="S74" s="595" t="str">
        <f t="shared" si="2"/>
        <v/>
      </c>
      <c r="T74" s="596" t="str">
        <f t="shared" si="3"/>
        <v/>
      </c>
      <c r="U74" s="595" t="str">
        <f t="shared" si="4"/>
        <v/>
      </c>
      <c r="V74" s="596"/>
      <c r="W74" s="596" t="str">
        <f t="shared" si="5"/>
        <v/>
      </c>
      <c r="X74" s="599" t="str">
        <f t="shared" si="6"/>
        <v/>
      </c>
      <c r="Y74" s="614"/>
      <c r="Z74" s="600" t="str">
        <f>VLOOKUP(F74,'2) Tracker'!$A$3:$Q$505,16,FALSE)</f>
        <v>ETA Balboa 13 Apr</v>
      </c>
      <c r="AA74" s="600" t="str">
        <f>VLOOKUP(F74,'2) Tracker'!$A$3:$R$505,18,FALSE)</f>
        <v>Chevron 01 Feb Escravos</v>
      </c>
      <c r="AB74" s="600">
        <f>VLOOKUP(F74,'2) Tracker'!$A$3:$Q$505,17,FALSE)</f>
        <v>0</v>
      </c>
      <c r="AC74" s="601"/>
      <c r="AD74" s="601">
        <f>VLOOKUP(F74,'2) Tracker'!$A$2:$BO$981,37,FALSE)</f>
        <v>46142</v>
      </c>
      <c r="AE74" s="601" t="str">
        <f>VLOOKUP(F74,'2) Tracker'!$A$2:$BO$981,40,FALSE)</f>
        <v/>
      </c>
      <c r="AF74" s="601" t="str">
        <f>VLOOKUP(F74,'2) Tracker'!$A$2:$BO$981,67,FALSE)</f>
        <v/>
      </c>
      <c r="AG74" s="601" t="str">
        <f>VLOOKUP(F74,'2) Tracker'!$A$2:$BO$981,34,FALSE)</f>
        <v/>
      </c>
      <c r="AH74" s="601" t="str">
        <f>VLOOKUP(F74,'2) Tracker'!$A$2:$BN$981,66,FALSE)</f>
        <v/>
      </c>
      <c r="AI74" s="601" t="str">
        <f>VLOOKUP(F74,'2) Tracker'!$A$2:$BO$981,56,FALSE)</f>
        <v/>
      </c>
      <c r="AJ74" s="601" t="str">
        <f>VLOOKUP(F74,'2) Tracker'!$A$2:$BO$981,52,FALSE)</f>
        <v/>
      </c>
      <c r="AK74" s="601" t="str">
        <f>VLOOKUP(F74,'2) Tracker'!$A$2:$AQ$981,43,FALSE)</f>
        <v/>
      </c>
      <c r="AL74" s="601" t="str">
        <f>VLOOKUP(F74,'2) Tracker'!$A$2:$BH$981,46,FALSE())</f>
        <v/>
      </c>
      <c r="AM74" s="601" t="str">
        <f>VLOOKUP(F74,'2) Tracker'!$A$2:$BO$981,65,FALSE())</f>
        <v/>
      </c>
      <c r="AN74" s="601" t="str">
        <f>VLOOKUP(F74,'2) Tracker'!$A$2:$BK$981,63,FALSE())</f>
        <v/>
      </c>
      <c r="AO74" s="601" t="str">
        <f>VLOOKUP(F74,'2) Tracker'!$A$2:$BF$981,58,FALSE())</f>
        <v/>
      </c>
      <c r="AP74" s="46"/>
      <c r="AQ74" s="46"/>
      <c r="AR74" s="46"/>
      <c r="AS74" s="46"/>
      <c r="AT74" s="46"/>
      <c r="AU74" s="46"/>
      <c r="AV74" s="46"/>
      <c r="AW74" s="46"/>
      <c r="AX74" s="46"/>
      <c r="AY74" s="46"/>
      <c r="AZ74" s="605"/>
      <c r="BA74" s="604" t="e">
        <f>VLOOKUP(AZ74,#REF!,2, FALSE)</f>
        <v>#REF!</v>
      </c>
      <c r="BB74" s="605" t="e">
        <f>VLOOKUP(AZ74,'1) Kpler'!$E$2:$F$500,2,FALSE)</f>
        <v>#N/A</v>
      </c>
      <c r="BC74" s="604"/>
      <c r="BD74" s="605"/>
      <c r="BE74" s="46"/>
      <c r="BF74" s="46"/>
      <c r="BG74" s="563"/>
      <c r="BH74" s="605"/>
      <c r="BI74" s="605"/>
      <c r="BJ74" s="605"/>
    </row>
    <row r="75" spans="2:62" x14ac:dyDescent="0.25">
      <c r="B75" s="589">
        <f>VLOOKUP(F75,'2) Tracker'!$A$3:$O$411,5,FALSE)</f>
        <v>0</v>
      </c>
      <c r="C75" s="589">
        <f>VLOOKUP(F75,'2) Tracker'!$A$3:$O$411,4,FALSE)</f>
        <v>0</v>
      </c>
      <c r="D75" s="563"/>
      <c r="E75" s="563" t="str">
        <f>VLOOKUP(F75,'2) Tracker'!$A$3:$O$407,15,FALSE)</f>
        <v>eu</v>
      </c>
      <c r="F75" s="604" t="s">
        <v>183</v>
      </c>
      <c r="G75" s="607">
        <f>VLOOKUP(F75,'2) Tracker'!$A$2:$BO$361,2,FALSE)</f>
        <v>43553</v>
      </c>
      <c r="H75" s="592">
        <f>VLOOKUP(F75,'2) Tracker'!$A$2:$BO$361,3,FALSE)</f>
        <v>84200</v>
      </c>
      <c r="I75" s="594" t="str">
        <f>VLOOKUP(F75,'2) Tracker'!$A$2:$BO$361,9,FALSE)</f>
        <v>Vitol</v>
      </c>
      <c r="J75" s="594" t="str">
        <f>VLOOKUP(F75,'2) Tracker'!$A$2:$BO$361,12,FALSE)</f>
        <v>loads USG</v>
      </c>
      <c r="K75" s="595">
        <f t="shared" ref="K75:O75" si="148">AD75</f>
        <v>46142</v>
      </c>
      <c r="L75" s="595">
        <f t="shared" si="148"/>
        <v>46142</v>
      </c>
      <c r="M75" s="596">
        <f t="shared" si="148"/>
        <v>46174</v>
      </c>
      <c r="N75" s="596" t="str">
        <f t="shared" si="148"/>
        <v/>
      </c>
      <c r="O75" s="597" t="str">
        <f t="shared" si="148"/>
        <v/>
      </c>
      <c r="P75" s="598" t="str">
        <f>IFERROR(IF(VLOOKUP(F75,'Voyage days'!$M$808:$N$819,2,FALSE),"GOA",""),"")</f>
        <v/>
      </c>
      <c r="Q75" s="596" t="str">
        <f t="shared" ref="Q75:R75" si="149">AM75</f>
        <v/>
      </c>
      <c r="R75" s="595" t="str">
        <f t="shared" si="149"/>
        <v/>
      </c>
      <c r="S75" s="595">
        <f t="shared" si="2"/>
        <v>46162</v>
      </c>
      <c r="T75" s="596" t="str">
        <f t="shared" si="3"/>
        <v/>
      </c>
      <c r="U75" s="595" t="str">
        <f t="shared" si="4"/>
        <v/>
      </c>
      <c r="V75" s="595"/>
      <c r="W75" s="595" t="str">
        <f t="shared" si="5"/>
        <v/>
      </c>
      <c r="X75" s="599" t="str">
        <f t="shared" si="6"/>
        <v/>
      </c>
      <c r="Y75" s="594"/>
      <c r="Z75" s="600" t="str">
        <f>VLOOKUP(F75,'2) Tracker'!$A$3:$Q$505,16,FALSE)</f>
        <v>ETA USG 30 Apr</v>
      </c>
      <c r="AA75" s="600" t="str">
        <f>VLOOKUP(F75,'2) Tracker'!$A$3:$R$505,18,FALSE)</f>
        <v>Vitol 30-01 May USG</v>
      </c>
      <c r="AB75" s="600">
        <f>VLOOKUP(F75,'2) Tracker'!$A$3:$Q$505,17,FALSE)</f>
        <v>0</v>
      </c>
      <c r="AC75" s="601"/>
      <c r="AD75" s="601">
        <f>VLOOKUP(F75,'2) Tracker'!$A$2:$BO$981,37,FALSE)</f>
        <v>46142</v>
      </c>
      <c r="AE75" s="601">
        <f>VLOOKUP(F75,'2) Tracker'!$A$2:$BO$981,40,FALSE)</f>
        <v>46142</v>
      </c>
      <c r="AF75" s="601">
        <f>VLOOKUP(F75,'2) Tracker'!$A$2:$BO$981,67,FALSE)</f>
        <v>46174</v>
      </c>
      <c r="AG75" s="601" t="str">
        <f>VLOOKUP(F75,'2) Tracker'!$A$2:$BO$981,34,FALSE)</f>
        <v/>
      </c>
      <c r="AH75" s="601" t="str">
        <f>VLOOKUP(F75,'2) Tracker'!$A$2:$BN$981,66,FALSE)</f>
        <v/>
      </c>
      <c r="AI75" s="601" t="str">
        <f>VLOOKUP(F75,'2) Tracker'!$A$2:$BO$981,56,FALSE)</f>
        <v/>
      </c>
      <c r="AJ75" s="601" t="str">
        <f>VLOOKUP(F75,'2) Tracker'!$A$2:$BO$981,52,FALSE)</f>
        <v/>
      </c>
      <c r="AK75" s="601" t="str">
        <f>VLOOKUP(F75,'2) Tracker'!$A$2:$AQ$981,43,FALSE)</f>
        <v/>
      </c>
      <c r="AL75" s="601">
        <f>VLOOKUP(F75,'2) Tracker'!$A$2:$BH$981,46,FALSE())</f>
        <v>46162</v>
      </c>
      <c r="AM75" s="601" t="str">
        <f>VLOOKUP(F75,'2) Tracker'!$A$2:$BO$981,65,FALSE())</f>
        <v/>
      </c>
      <c r="AN75" s="601" t="str">
        <f>VLOOKUP(F75,'2) Tracker'!$A$2:$BK$981,63,FALSE())</f>
        <v/>
      </c>
      <c r="AO75" s="601" t="str">
        <f>VLOOKUP(F75,'2) Tracker'!$A$2:$BF$981,58,FALSE())</f>
        <v/>
      </c>
      <c r="AP75" s="46"/>
      <c r="AQ75" s="46"/>
      <c r="AR75" s="46"/>
      <c r="AS75" s="46"/>
      <c r="AT75" s="46"/>
      <c r="AU75" s="46"/>
      <c r="AV75" s="46"/>
      <c r="AW75" s="46"/>
      <c r="AX75" s="46"/>
      <c r="AY75" s="46"/>
      <c r="AZ75" s="605"/>
      <c r="BA75" s="604" t="e">
        <f>VLOOKUP(AZ75,#REF!,2, FALSE)</f>
        <v>#REF!</v>
      </c>
      <c r="BB75" s="605" t="e">
        <f>VLOOKUP(AZ75,'1) Kpler'!$E$2:$F$500,2,FALSE)</f>
        <v>#N/A</v>
      </c>
      <c r="BC75" s="604"/>
      <c r="BD75" s="605"/>
      <c r="BE75" s="46"/>
      <c r="BF75" s="46"/>
      <c r="BG75" s="605"/>
      <c r="BH75" s="605"/>
      <c r="BI75" s="605"/>
      <c r="BJ75" s="605"/>
    </row>
    <row r="76" spans="2:62" x14ac:dyDescent="0.25">
      <c r="B76" s="589">
        <f>VLOOKUP(F76,'2) Tracker'!$A$3:$O$411,5,FALSE)</f>
        <v>0</v>
      </c>
      <c r="C76" s="589">
        <f>VLOOKUP(F76,'2) Tracker'!$A$3:$O$411,4,FALSE)</f>
        <v>0</v>
      </c>
      <c r="D76" s="563"/>
      <c r="E76" s="563" t="str">
        <f>VLOOKUP(F76,'2) Tracker'!$A$3:$O$407,15,FALSE)</f>
        <v>eu</v>
      </c>
      <c r="F76" s="608" t="s">
        <v>89</v>
      </c>
      <c r="G76" s="591">
        <f>VLOOKUP(F76,'2) Tracker'!$A$2:$BO$361,2,FALSE)</f>
        <v>2024</v>
      </c>
      <c r="H76" s="592">
        <f>VLOOKUP(F76,'2) Tracker'!$A$2:$BO$361,3,FALSE)</f>
        <v>91000</v>
      </c>
      <c r="I76" s="593" t="str">
        <f>VLOOKUP(F76,'2) Tracker'!$A$2:$BO$361,9,FALSE)</f>
        <v>BGN</v>
      </c>
      <c r="J76" s="594" t="str">
        <f>VLOOKUP(F76,'2) Tracker'!$A$2:$BO$361,12,FALSE)</f>
        <v>loads USG</v>
      </c>
      <c r="K76" s="595">
        <f t="shared" ref="K76:O76" si="150">AD76</f>
        <v>46143</v>
      </c>
      <c r="L76" s="595">
        <f t="shared" si="150"/>
        <v>46143</v>
      </c>
      <c r="M76" s="596">
        <f t="shared" si="150"/>
        <v>46175</v>
      </c>
      <c r="N76" s="596" t="str">
        <f t="shared" si="150"/>
        <v/>
      </c>
      <c r="O76" s="597" t="str">
        <f t="shared" si="150"/>
        <v/>
      </c>
      <c r="P76" s="598" t="str">
        <f>IFERROR(IF(VLOOKUP(F76,'Voyage days'!$M$808:$N$819,2,FALSE),"GOA",""),"")</f>
        <v/>
      </c>
      <c r="Q76" s="596" t="str">
        <f t="shared" ref="Q76:R76" si="151">AM76</f>
        <v/>
      </c>
      <c r="R76" s="595" t="str">
        <f t="shared" si="151"/>
        <v/>
      </c>
      <c r="S76" s="595">
        <f t="shared" si="2"/>
        <v>46163</v>
      </c>
      <c r="T76" s="596" t="str">
        <f t="shared" si="3"/>
        <v/>
      </c>
      <c r="U76" s="595" t="str">
        <f t="shared" si="4"/>
        <v/>
      </c>
      <c r="V76" s="596"/>
      <c r="W76" s="596" t="str">
        <f t="shared" si="5"/>
        <v/>
      </c>
      <c r="X76" s="599" t="str">
        <f t="shared" si="6"/>
        <v/>
      </c>
      <c r="Y76" s="594"/>
      <c r="Z76" s="600" t="str">
        <f>VLOOKUP(F76,'2) Tracker'!$A$3:$Q$505,16,FALSE)</f>
        <v>ETA USG 29 Apr</v>
      </c>
      <c r="AA76" s="600" t="str">
        <f>VLOOKUP(F76,'2) Tracker'!$A$3:$R$505,18,FALSE)</f>
        <v>BGN 01-02 May USG</v>
      </c>
      <c r="AB76" s="600">
        <f>VLOOKUP(F76,'2) Tracker'!$A$3:$Q$505,17,FALSE)</f>
        <v>0</v>
      </c>
      <c r="AC76" s="601"/>
      <c r="AD76" s="601">
        <f>VLOOKUP(F76,'2) Tracker'!$A$2:$BO$981,37,FALSE)</f>
        <v>46143</v>
      </c>
      <c r="AE76" s="601">
        <f>VLOOKUP(F76,'2) Tracker'!$A$2:$BO$981,40,FALSE)</f>
        <v>46143</v>
      </c>
      <c r="AF76" s="601">
        <f>VLOOKUP(F76,'2) Tracker'!$A$2:$BO$981,67,FALSE)</f>
        <v>46175</v>
      </c>
      <c r="AG76" s="601" t="str">
        <f>VLOOKUP(F76,'2) Tracker'!$A$2:$BO$981,34,FALSE)</f>
        <v/>
      </c>
      <c r="AH76" s="601" t="str">
        <f>VLOOKUP(F76,'2) Tracker'!$A$2:$BN$981,66,FALSE)</f>
        <v/>
      </c>
      <c r="AI76" s="601" t="str">
        <f>VLOOKUP(F76,'2) Tracker'!$A$2:$BO$981,56,FALSE)</f>
        <v/>
      </c>
      <c r="AJ76" s="601" t="str">
        <f>VLOOKUP(F76,'2) Tracker'!$A$2:$BO$981,52,FALSE)</f>
        <v/>
      </c>
      <c r="AK76" s="601" t="str">
        <f>VLOOKUP(F76,'2) Tracker'!$A$2:$AQ$981,43,FALSE)</f>
        <v/>
      </c>
      <c r="AL76" s="601">
        <f>VLOOKUP(F76,'2) Tracker'!$A$2:$BH$981,46,FALSE())</f>
        <v>46163</v>
      </c>
      <c r="AM76" s="601" t="str">
        <f>VLOOKUP(F76,'2) Tracker'!$A$2:$BO$981,65,FALSE())</f>
        <v/>
      </c>
      <c r="AN76" s="601" t="str">
        <f>VLOOKUP(F76,'2) Tracker'!$A$2:$BK$981,63,FALSE())</f>
        <v/>
      </c>
      <c r="AO76" s="601" t="str">
        <f>VLOOKUP(F76,'2) Tracker'!$A$2:$BF$981,58,FALSE())</f>
        <v/>
      </c>
      <c r="AP76" s="46"/>
      <c r="AQ76" s="46"/>
      <c r="AR76" s="46"/>
      <c r="AS76" s="46"/>
      <c r="AT76" s="46"/>
      <c r="AU76" s="46"/>
      <c r="AV76" s="46"/>
      <c r="AW76" s="46"/>
      <c r="AX76" s="46"/>
      <c r="AY76" s="46"/>
      <c r="AZ76" s="563"/>
      <c r="BA76" s="604" t="e">
        <f>VLOOKUP(AZ76,#REF!,2, FALSE)</f>
        <v>#REF!</v>
      </c>
      <c r="BB76" s="605" t="e">
        <f>VLOOKUP(AZ76,'1) Kpler'!$E$2:$F$500,2,FALSE)</f>
        <v>#N/A</v>
      </c>
      <c r="BC76" s="569"/>
      <c r="BD76" s="563"/>
      <c r="BE76" s="46"/>
      <c r="BF76" s="46"/>
      <c r="BG76" s="563"/>
      <c r="BH76" s="563"/>
      <c r="BI76" s="563"/>
      <c r="BJ76" s="563"/>
    </row>
    <row r="77" spans="2:62" x14ac:dyDescent="0.25">
      <c r="B77" s="589">
        <f>VLOOKUP(F77,'2) Tracker'!$A$3:$O$411,5,FALSE)</f>
        <v>0</v>
      </c>
      <c r="C77" s="589">
        <f>VLOOKUP(F77,'2) Tracker'!$A$3:$O$411,4,FALSE)</f>
        <v>0</v>
      </c>
      <c r="D77" s="563"/>
      <c r="E77" s="563">
        <f>VLOOKUP(F77,'2) Tracker'!$A$3:$O$407,15,FALSE)</f>
        <v>0</v>
      </c>
      <c r="F77" s="608" t="s">
        <v>210</v>
      </c>
      <c r="G77" s="591">
        <f>VLOOKUP(F77,'2) Tracker'!$A$2:$BO$361,2,FALSE)</f>
        <v>2020</v>
      </c>
      <c r="H77" s="592">
        <f>VLOOKUP(F77,'2) Tracker'!$A$2:$BO$361,3,FALSE)</f>
        <v>82000</v>
      </c>
      <c r="I77" s="593" t="str">
        <f>VLOOKUP(F77,'2) Tracker'!$A$2:$BO$361,9,FALSE)</f>
        <v>Equinor</v>
      </c>
      <c r="J77" s="594" t="str">
        <f>VLOOKUP(F77,'2) Tracker'!$A$2:$BO$361,12,FALSE)</f>
        <v>loads USG</v>
      </c>
      <c r="K77" s="595">
        <f t="shared" ref="K77:O77" si="152">AD77</f>
        <v>46143</v>
      </c>
      <c r="L77" s="595">
        <f t="shared" si="152"/>
        <v>46143</v>
      </c>
      <c r="M77" s="596">
        <f t="shared" si="152"/>
        <v>46175</v>
      </c>
      <c r="N77" s="597" t="str">
        <f t="shared" si="152"/>
        <v/>
      </c>
      <c r="O77" s="597" t="str">
        <f t="shared" si="152"/>
        <v/>
      </c>
      <c r="P77" s="598" t="str">
        <f>IFERROR(IF(VLOOKUP(F77,'Voyage days'!$M$808:$N$819,2,FALSE),"GOA",""),"")</f>
        <v/>
      </c>
      <c r="Q77" s="596" t="str">
        <f t="shared" ref="Q77:R77" si="153">AM77</f>
        <v/>
      </c>
      <c r="R77" s="595" t="str">
        <f t="shared" si="153"/>
        <v/>
      </c>
      <c r="S77" s="595">
        <f t="shared" si="2"/>
        <v>46163</v>
      </c>
      <c r="T77" s="596" t="str">
        <f t="shared" si="3"/>
        <v/>
      </c>
      <c r="U77" s="595" t="str">
        <f t="shared" si="4"/>
        <v/>
      </c>
      <c r="V77" s="596"/>
      <c r="W77" s="596" t="str">
        <f t="shared" si="5"/>
        <v/>
      </c>
      <c r="X77" s="599" t="str">
        <f t="shared" si="6"/>
        <v/>
      </c>
      <c r="Y77" s="594"/>
      <c r="Z77" s="600" t="str">
        <f>VLOOKUP(F77,'2) Tracker'!$A$3:$Q$505,16,FALSE)</f>
        <v>ETA Balboa 22 Apr</v>
      </c>
      <c r="AA77" s="600" t="str">
        <f>VLOOKUP(F77,'2) Tracker'!$A$3:$R$505,18,FALSE)</f>
        <v>Equinor 01-05 May USG?</v>
      </c>
      <c r="AB77" s="600">
        <f>VLOOKUP(F77,'2) Tracker'!$A$3:$Q$505,17,FALSE)</f>
        <v>0</v>
      </c>
      <c r="AC77" s="601"/>
      <c r="AD77" s="601">
        <f>VLOOKUP(F77,'2) Tracker'!$A$2:$BO$981,37,FALSE)</f>
        <v>46143</v>
      </c>
      <c r="AE77" s="601">
        <f>VLOOKUP(F77,'2) Tracker'!$A$2:$BO$981,40,FALSE)</f>
        <v>46143</v>
      </c>
      <c r="AF77" s="601">
        <f>VLOOKUP(F77,'2) Tracker'!$A$2:$BO$981,67,FALSE)</f>
        <v>46175</v>
      </c>
      <c r="AG77" s="601" t="str">
        <f>VLOOKUP(F77,'2) Tracker'!$A$2:$BO$981,34,FALSE)</f>
        <v/>
      </c>
      <c r="AH77" s="601" t="str">
        <f>VLOOKUP(F77,'2) Tracker'!$A$2:$BN$981,66,FALSE)</f>
        <v/>
      </c>
      <c r="AI77" s="601" t="str">
        <f>VLOOKUP(F77,'2) Tracker'!$A$2:$BO$981,56,FALSE)</f>
        <v/>
      </c>
      <c r="AJ77" s="601" t="str">
        <f>VLOOKUP(F77,'2) Tracker'!$A$2:$BO$981,52,FALSE)</f>
        <v/>
      </c>
      <c r="AK77" s="601" t="str">
        <f>VLOOKUP(F77,'2) Tracker'!$A$2:$AQ$981,43,FALSE)</f>
        <v/>
      </c>
      <c r="AL77" s="601">
        <f>VLOOKUP(F77,'2) Tracker'!$A$2:$BH$981,46,FALSE())</f>
        <v>46163</v>
      </c>
      <c r="AM77" s="601" t="str">
        <f>VLOOKUP(F77,'2) Tracker'!$A$2:$BO$981,65,FALSE())</f>
        <v/>
      </c>
      <c r="AN77" s="601" t="str">
        <f>VLOOKUP(F77,'2) Tracker'!$A$2:$BK$981,63,FALSE())</f>
        <v/>
      </c>
      <c r="AO77" s="601" t="str">
        <f>VLOOKUP(F77,'2) Tracker'!$A$2:$BF$981,58,FALSE())</f>
        <v/>
      </c>
      <c r="AP77" s="627"/>
      <c r="AQ77" s="627"/>
      <c r="AR77" s="46"/>
      <c r="AS77" s="46"/>
      <c r="AT77" s="46"/>
      <c r="AU77" s="46"/>
      <c r="AV77" s="46"/>
      <c r="AW77" s="46"/>
      <c r="AX77" s="46"/>
      <c r="AY77" s="46"/>
      <c r="AZ77" s="563"/>
      <c r="BA77" s="604" t="e">
        <f>VLOOKUP(AZ77,#REF!,2, FALSE)</f>
        <v>#REF!</v>
      </c>
      <c r="BB77" s="605" t="e">
        <f>VLOOKUP(AZ77,'1) Kpler'!$E$2:$F$500,2,FALSE)</f>
        <v>#N/A</v>
      </c>
      <c r="BC77" s="569"/>
      <c r="BD77" s="563"/>
      <c r="BE77" s="46"/>
      <c r="BF77" s="46"/>
      <c r="BG77" s="563"/>
      <c r="BH77" s="563"/>
      <c r="BI77" s="563"/>
      <c r="BJ77" s="563"/>
    </row>
    <row r="78" spans="2:62" x14ac:dyDescent="0.25">
      <c r="B78" s="589">
        <f>VLOOKUP(F78,'2) Tracker'!$A$3:$O$411,5,FALSE)</f>
        <v>0</v>
      </c>
      <c r="C78" s="589">
        <f>VLOOKUP(F78,'2) Tracker'!$A$3:$O$411,4,FALSE)</f>
        <v>0</v>
      </c>
      <c r="D78" s="563"/>
      <c r="E78" s="563">
        <f>VLOOKUP(F78,'2) Tracker'!$A$3:$O$407,15,FALSE)</f>
        <v>0</v>
      </c>
      <c r="F78" s="608" t="s">
        <v>158</v>
      </c>
      <c r="G78" s="591">
        <f>VLOOKUP(F78,'2) Tracker'!$A$2:$BO$361,2,FALSE)</f>
        <v>2022</v>
      </c>
      <c r="H78" s="592">
        <f>VLOOKUP(F78,'2) Tracker'!$A$2:$BO$361,3,FALSE)</f>
        <v>84000</v>
      </c>
      <c r="I78" s="593" t="str">
        <f>VLOOKUP(F78,'2) Tracker'!$A$2:$BO$361,9,FALSE)</f>
        <v>Equinor</v>
      </c>
      <c r="J78" s="594" t="str">
        <f>VLOOKUP(F78,'2) Tracker'!$A$2:$BO$361,12,FALSE)</f>
        <v>loads USG</v>
      </c>
      <c r="K78" s="596">
        <f t="shared" ref="K78:O78" si="154">AD78</f>
        <v>46143</v>
      </c>
      <c r="L78" s="596">
        <f t="shared" si="154"/>
        <v>46143</v>
      </c>
      <c r="M78" s="596">
        <f t="shared" si="154"/>
        <v>46175</v>
      </c>
      <c r="N78" s="597" t="str">
        <f t="shared" si="154"/>
        <v/>
      </c>
      <c r="O78" s="597" t="str">
        <f t="shared" si="154"/>
        <v/>
      </c>
      <c r="P78" s="598" t="str">
        <f>IFERROR(IF(VLOOKUP(F78,'Voyage days'!$M$808:$N$819,2,FALSE),"GOA",""),"")</f>
        <v/>
      </c>
      <c r="Q78" s="596" t="str">
        <f t="shared" ref="Q78:R78" si="155">AM78</f>
        <v/>
      </c>
      <c r="R78" s="596" t="str">
        <f t="shared" si="155"/>
        <v/>
      </c>
      <c r="S78" s="595">
        <f t="shared" si="2"/>
        <v>46163</v>
      </c>
      <c r="T78" s="596" t="str">
        <f t="shared" si="3"/>
        <v/>
      </c>
      <c r="U78" s="596" t="str">
        <f t="shared" si="4"/>
        <v/>
      </c>
      <c r="V78" s="596"/>
      <c r="W78" s="596" t="str">
        <f t="shared" si="5"/>
        <v/>
      </c>
      <c r="X78" s="599" t="str">
        <f t="shared" si="6"/>
        <v/>
      </c>
      <c r="Y78" s="594"/>
      <c r="Z78" s="600" t="str">
        <f>VLOOKUP(F78,'2) Tracker'!$A$3:$Q$505,16,FALSE)</f>
        <v>ETA Balboa 24 Apr</v>
      </c>
      <c r="AA78" s="600" t="str">
        <f>VLOOKUP(F78,'2) Tracker'!$A$3:$R$505,18,FALSE)</f>
        <v>Equinor 01-05 May USG?</v>
      </c>
      <c r="AB78" s="600">
        <f>VLOOKUP(F78,'2) Tracker'!$A$3:$Q$505,17,FALSE)</f>
        <v>0</v>
      </c>
      <c r="AC78" s="601"/>
      <c r="AD78" s="601">
        <f>VLOOKUP(F78,'2) Tracker'!$A$2:$BO$981,37,FALSE)</f>
        <v>46143</v>
      </c>
      <c r="AE78" s="601">
        <f>VLOOKUP(F78,'2) Tracker'!$A$2:$BO$981,40,FALSE)</f>
        <v>46143</v>
      </c>
      <c r="AF78" s="601">
        <f>VLOOKUP(F78,'2) Tracker'!$A$2:$BO$981,67,FALSE)</f>
        <v>46175</v>
      </c>
      <c r="AG78" s="601" t="str">
        <f>VLOOKUP(F78,'2) Tracker'!$A$2:$BO$981,34,FALSE)</f>
        <v/>
      </c>
      <c r="AH78" s="601" t="str">
        <f>VLOOKUP(F78,'2) Tracker'!$A$2:$BN$981,66,FALSE)</f>
        <v/>
      </c>
      <c r="AI78" s="601" t="str">
        <f>VLOOKUP(F78,'2) Tracker'!$A$2:$BO$981,56,FALSE)</f>
        <v/>
      </c>
      <c r="AJ78" s="601" t="str">
        <f>VLOOKUP(F78,'2) Tracker'!$A$2:$BO$981,52,FALSE)</f>
        <v/>
      </c>
      <c r="AK78" s="601" t="str">
        <f>VLOOKUP(F78,'2) Tracker'!$A$2:$AQ$981,43,FALSE)</f>
        <v/>
      </c>
      <c r="AL78" s="601">
        <f>VLOOKUP(F78,'2) Tracker'!$A$2:$BH$981,46,FALSE())</f>
        <v>46163</v>
      </c>
      <c r="AM78" s="601" t="str">
        <f>VLOOKUP(F78,'2) Tracker'!$A$2:$BO$981,65,FALSE())</f>
        <v/>
      </c>
      <c r="AN78" s="601" t="str">
        <f>VLOOKUP(F78,'2) Tracker'!$A$2:$BK$981,63,FALSE())</f>
        <v/>
      </c>
      <c r="AO78" s="601" t="str">
        <f>VLOOKUP(F78,'2) Tracker'!$A$2:$BF$981,58,FALSE())</f>
        <v/>
      </c>
      <c r="AP78" s="46"/>
      <c r="AQ78" s="46"/>
      <c r="AR78" s="46"/>
      <c r="AS78" s="46"/>
      <c r="AT78" s="46"/>
      <c r="AU78" s="46"/>
      <c r="AV78" s="46"/>
      <c r="AW78" s="46"/>
      <c r="AX78" s="46"/>
      <c r="AY78" s="46"/>
      <c r="AZ78" s="605"/>
      <c r="BA78" s="604" t="e">
        <f>VLOOKUP(AZ78,#REF!,2, FALSE)</f>
        <v>#REF!</v>
      </c>
      <c r="BB78" s="605" t="e">
        <f>VLOOKUP(AZ78,'1) Kpler'!$E$2:$F$500,2,FALSE)</f>
        <v>#N/A</v>
      </c>
      <c r="BC78" s="604" t="s">
        <v>1603</v>
      </c>
      <c r="BD78" s="605"/>
      <c r="BE78" s="46"/>
      <c r="BF78" s="46"/>
      <c r="BG78" s="605"/>
      <c r="BH78" s="605"/>
      <c r="BI78" s="605"/>
      <c r="BJ78" s="605"/>
    </row>
    <row r="79" spans="2:62" x14ac:dyDescent="0.25">
      <c r="B79" s="589"/>
      <c r="C79" s="589">
        <f>VLOOKUP(F79,'2) Tracker'!$A$3:$O$411,4,FALSE)</f>
        <v>0</v>
      </c>
      <c r="D79" s="563" t="s">
        <v>1569</v>
      </c>
      <c r="E79" s="563">
        <f>VLOOKUP(F79,'2) Tracker'!$A$3:$O$407,15,FALSE)</f>
        <v>0</v>
      </c>
      <c r="F79" s="590" t="s">
        <v>500</v>
      </c>
      <c r="G79" s="591">
        <f>VLOOKUP(F79,'2) Tracker'!$A$2:$BO$361,2,FALSE)</f>
        <v>2024</v>
      </c>
      <c r="H79" s="592">
        <f>VLOOKUP(F79,'2) Tracker'!$A$2:$BO$361,3,FALSE)</f>
        <v>88000</v>
      </c>
      <c r="I79" s="593" t="str">
        <f>VLOOKUP(F79,'2) Tracker'!$A$2:$BO$361,9,FALSE)</f>
        <v>Geogas</v>
      </c>
      <c r="J79" s="594" t="str">
        <f>VLOOKUP(F79,'2) Tracker'!$A$2:$BO$361,12,FALSE)</f>
        <v>loads USG</v>
      </c>
      <c r="K79" s="596">
        <f t="shared" ref="K79:O79" si="156">AD79</f>
        <v>46143</v>
      </c>
      <c r="L79" s="596">
        <f t="shared" si="156"/>
        <v>46143</v>
      </c>
      <c r="M79" s="596">
        <f t="shared" si="156"/>
        <v>46175</v>
      </c>
      <c r="N79" s="596" t="str">
        <f t="shared" si="156"/>
        <v/>
      </c>
      <c r="O79" s="597" t="str">
        <f t="shared" si="156"/>
        <v/>
      </c>
      <c r="P79" s="598" t="str">
        <f>IFERROR(IF(VLOOKUP(F79,'Voyage days'!$M$808:$N$819,2,FALSE),"GOA",""),"")</f>
        <v/>
      </c>
      <c r="Q79" s="596" t="str">
        <f t="shared" ref="Q79:R79" si="157">AM79</f>
        <v/>
      </c>
      <c r="R79" s="596" t="str">
        <f t="shared" si="157"/>
        <v/>
      </c>
      <c r="S79" s="595">
        <f t="shared" si="2"/>
        <v>46163</v>
      </c>
      <c r="T79" s="595" t="str">
        <f t="shared" si="3"/>
        <v/>
      </c>
      <c r="U79" s="596" t="str">
        <f t="shared" si="4"/>
        <v/>
      </c>
      <c r="V79" s="596"/>
      <c r="W79" s="596" t="str">
        <f t="shared" si="5"/>
        <v/>
      </c>
      <c r="X79" s="599" t="str">
        <f t="shared" si="6"/>
        <v/>
      </c>
      <c r="Y79" s="594"/>
      <c r="Z79" s="600" t="str">
        <f>VLOOKUP(F79,'2) Tracker'!$A$3:$Q$505,16,FALSE)</f>
        <v>Sailed Mombasa 03 Apr, ETA USG 1 May</v>
      </c>
      <c r="AA79" s="600" t="str">
        <f>VLOOKUP(F79,'2) Tracker'!$A$3:$R$505,18,FALSE)</f>
        <v>Geogas 29-30 Apr USG Enterprise</v>
      </c>
      <c r="AB79" s="600" t="str">
        <f>VLOOKUP(F79,'2) Tracker'!$A$3:$Q$505,17,FALSE)</f>
        <v>charter out 05-06 May / charter in 13-14 May</v>
      </c>
      <c r="AC79" s="601"/>
      <c r="AD79" s="601">
        <f>VLOOKUP(F79,'2) Tracker'!$A$2:$BO$981,37,FALSE)</f>
        <v>46143</v>
      </c>
      <c r="AE79" s="601">
        <f>VLOOKUP(F79,'2) Tracker'!$A$2:$BO$981,40,FALSE)</f>
        <v>46143</v>
      </c>
      <c r="AF79" s="601">
        <f>VLOOKUP(F79,'2) Tracker'!$A$2:$BO$981,67,FALSE)</f>
        <v>46175</v>
      </c>
      <c r="AG79" s="601" t="str">
        <f>VLOOKUP(F79,'2) Tracker'!$A$2:$BO$981,34,FALSE)</f>
        <v/>
      </c>
      <c r="AH79" s="601" t="str">
        <f>VLOOKUP(F79,'2) Tracker'!$A$2:$BN$981,66,FALSE)</f>
        <v/>
      </c>
      <c r="AI79" s="601" t="str">
        <f>VLOOKUP(F79,'2) Tracker'!$A$2:$BO$981,56,FALSE)</f>
        <v/>
      </c>
      <c r="AJ79" s="601" t="str">
        <f>VLOOKUP(F79,'2) Tracker'!$A$2:$BO$981,52,FALSE)</f>
        <v/>
      </c>
      <c r="AK79" s="601" t="str">
        <f>VLOOKUP(F79,'2) Tracker'!$A$2:$AQ$981,43,FALSE)</f>
        <v/>
      </c>
      <c r="AL79" s="601">
        <f>VLOOKUP(F79,'2) Tracker'!$A$2:$BH$981,46,FALSE())</f>
        <v>46163</v>
      </c>
      <c r="AM79" s="601" t="str">
        <f>VLOOKUP(F79,'2) Tracker'!$A$2:$BO$981,65,FALSE())</f>
        <v/>
      </c>
      <c r="AN79" s="601" t="str">
        <f>VLOOKUP(F79,'2) Tracker'!$A$2:$BK$981,63,FALSE())</f>
        <v/>
      </c>
      <c r="AO79" s="601" t="str">
        <f>VLOOKUP(F79,'2) Tracker'!$A$2:$BF$981,58,FALSE())</f>
        <v/>
      </c>
      <c r="AP79" s="46"/>
      <c r="AQ79" s="46"/>
      <c r="AR79" s="46"/>
      <c r="AS79" s="46"/>
      <c r="AT79" s="46"/>
      <c r="AU79" s="46"/>
      <c r="AV79" s="46"/>
      <c r="AW79" s="46"/>
      <c r="AX79" s="46"/>
      <c r="AY79" s="46"/>
      <c r="AZ79" s="605"/>
      <c r="BA79" s="604" t="e">
        <f>VLOOKUP(AZ79,#REF!,2, FALSE)</f>
        <v>#REF!</v>
      </c>
      <c r="BB79" s="605" t="e">
        <f>VLOOKUP(AZ79,'1) Kpler'!$E$2:$F$500,2,FALSE)</f>
        <v>#N/A</v>
      </c>
      <c r="BC79" s="604"/>
      <c r="BD79" s="605"/>
      <c r="BE79" s="46"/>
      <c r="BF79" s="46"/>
      <c r="BG79" s="605"/>
      <c r="BH79" s="605"/>
      <c r="BI79" s="605"/>
      <c r="BJ79" s="605"/>
    </row>
    <row r="80" spans="2:62" x14ac:dyDescent="0.25">
      <c r="B80" s="589">
        <f>VLOOKUP(F80,'2) Tracker'!$A$3:$O$411,5,FALSE)</f>
        <v>0</v>
      </c>
      <c r="C80" s="589" t="str">
        <f>VLOOKUP(F80,'2) Tracker'!$A$3:$O$411,4,FALSE)</f>
        <v>US</v>
      </c>
      <c r="D80" s="563"/>
      <c r="E80" s="563">
        <f>VLOOKUP(F80,'2) Tracker'!$A$3:$O$407,15,FALSE)</f>
        <v>0</v>
      </c>
      <c r="F80" s="604" t="s">
        <v>1469</v>
      </c>
      <c r="G80" s="591">
        <f>VLOOKUP(F80,'2) Tracker'!$A$2:$BO$361,2,FALSE)</f>
        <v>2007</v>
      </c>
      <c r="H80" s="592">
        <f>VLOOKUP(F80,'2) Tracker'!$A$2:$BO$361,3,FALSE)</f>
        <v>82000</v>
      </c>
      <c r="I80" s="594" t="str">
        <f>VLOOKUP(F80,'2) Tracker'!$A$2:$BO$361,9,FALSE)</f>
        <v>Helios</v>
      </c>
      <c r="J80" s="594" t="str">
        <f>VLOOKUP(F80,'2) Tracker'!$A$2:$BO$361,12,FALSE)</f>
        <v>loads USG</v>
      </c>
      <c r="K80" s="596">
        <f t="shared" ref="K80:O80" si="158">AD80</f>
        <v>46143</v>
      </c>
      <c r="L80" s="596">
        <f t="shared" si="158"/>
        <v>46143</v>
      </c>
      <c r="M80" s="596">
        <f t="shared" si="158"/>
        <v>46175</v>
      </c>
      <c r="N80" s="596" t="str">
        <f t="shared" si="158"/>
        <v/>
      </c>
      <c r="O80" s="597" t="str">
        <f t="shared" si="158"/>
        <v/>
      </c>
      <c r="P80" s="598" t="str">
        <f>IFERROR(IF(VLOOKUP(F80,'Voyage days'!$M$808:$N$819,2,FALSE),"GOA",""),"")</f>
        <v/>
      </c>
      <c r="Q80" s="596" t="str">
        <f t="shared" ref="Q80:R80" si="159">AM80</f>
        <v/>
      </c>
      <c r="R80" s="595" t="str">
        <f t="shared" si="159"/>
        <v/>
      </c>
      <c r="S80" s="595">
        <f t="shared" si="2"/>
        <v>46163</v>
      </c>
      <c r="T80" s="596" t="str">
        <f t="shared" si="3"/>
        <v/>
      </c>
      <c r="U80" s="595" t="str">
        <f t="shared" si="4"/>
        <v/>
      </c>
      <c r="V80" s="596"/>
      <c r="W80" s="596" t="str">
        <f t="shared" si="5"/>
        <v/>
      </c>
      <c r="X80" s="599" t="str">
        <f t="shared" si="6"/>
        <v/>
      </c>
      <c r="Y80" s="594"/>
      <c r="Z80" s="600" t="str">
        <f>VLOOKUP(F80,'2) Tracker'!$A$3:$Q$505,16,FALSE)</f>
        <v>ETA USG 29 Apr via Cape</v>
      </c>
      <c r="AA80" s="600" t="str">
        <f>VLOOKUP(F80,'2) Tracker'!$A$3:$R$505,18,FALSE)</f>
        <v>BGN Ely May USG</v>
      </c>
      <c r="AB80" s="600">
        <f>VLOOKUP(F80,'2) Tracker'!$A$3:$Q$505,17,FALSE)</f>
        <v>0</v>
      </c>
      <c r="AC80" s="601"/>
      <c r="AD80" s="601">
        <f>VLOOKUP(F80,'2) Tracker'!$A$2:$BO$981,37,FALSE)</f>
        <v>46143</v>
      </c>
      <c r="AE80" s="601">
        <f>VLOOKUP(F80,'2) Tracker'!$A$2:$BO$981,40,FALSE)</f>
        <v>46143</v>
      </c>
      <c r="AF80" s="601">
        <f>VLOOKUP(F80,'2) Tracker'!$A$2:$BO$981,67,FALSE)</f>
        <v>46175</v>
      </c>
      <c r="AG80" s="601" t="str">
        <f>VLOOKUP(F80,'2) Tracker'!$A$2:$BO$981,34,FALSE)</f>
        <v/>
      </c>
      <c r="AH80" s="601" t="str">
        <f>VLOOKUP(F80,'2) Tracker'!$A$2:$BN$981,66,FALSE)</f>
        <v/>
      </c>
      <c r="AI80" s="601" t="str">
        <f>VLOOKUP(F80,'2) Tracker'!$A$2:$BO$981,56,FALSE)</f>
        <v/>
      </c>
      <c r="AJ80" s="601" t="str">
        <f>VLOOKUP(F80,'2) Tracker'!$A$2:$BO$981,52,FALSE)</f>
        <v/>
      </c>
      <c r="AK80" s="601" t="str">
        <f>VLOOKUP(F80,'2) Tracker'!$A$2:$AQ$981,43,FALSE)</f>
        <v/>
      </c>
      <c r="AL80" s="601">
        <f>VLOOKUP(F80,'2) Tracker'!$A$2:$BH$981,46,FALSE())</f>
        <v>46163</v>
      </c>
      <c r="AM80" s="601" t="str">
        <f>VLOOKUP(F80,'2) Tracker'!$A$2:$BO$981,65,FALSE())</f>
        <v/>
      </c>
      <c r="AN80" s="601" t="str">
        <f>VLOOKUP(F80,'2) Tracker'!$A$2:$BK$981,63,FALSE())</f>
        <v/>
      </c>
      <c r="AO80" s="601" t="str">
        <f>VLOOKUP(F80,'2) Tracker'!$A$2:$BF$981,58,FALSE())</f>
        <v/>
      </c>
      <c r="AP80" s="46"/>
      <c r="AQ80" s="46"/>
      <c r="AR80" s="630"/>
      <c r="AS80" s="630"/>
      <c r="AT80" s="630"/>
      <c r="AU80" s="630"/>
      <c r="AV80" s="46"/>
      <c r="AW80" s="630"/>
      <c r="AX80" s="630"/>
      <c r="AY80" s="630"/>
      <c r="AZ80" s="563"/>
      <c r="BA80" s="569"/>
      <c r="BB80" s="563"/>
      <c r="BC80" s="569"/>
      <c r="BD80" s="563"/>
      <c r="BE80" s="630"/>
      <c r="BF80" s="630">
        <f>BJ80</f>
        <v>0</v>
      </c>
      <c r="BG80" s="563"/>
      <c r="BH80" s="563"/>
      <c r="BI80" s="563"/>
      <c r="BJ80" s="563"/>
    </row>
    <row r="81" spans="2:62" x14ac:dyDescent="0.25">
      <c r="B81" s="589">
        <f>VLOOKUP(F81,'2) Tracker'!$A$3:$O$411,5,FALSE)</f>
        <v>0</v>
      </c>
      <c r="C81" s="589">
        <f>VLOOKUP(F81,'2) Tracker'!$A$3:$O$411,4,FALSE)</f>
        <v>0</v>
      </c>
      <c r="D81" s="563"/>
      <c r="E81" s="563">
        <f>VLOOKUP(F81,'2) Tracker'!$A$3:$O$407,15,FALSE)</f>
        <v>0</v>
      </c>
      <c r="F81" s="561" t="s">
        <v>552</v>
      </c>
      <c r="G81" s="615">
        <f>VLOOKUP(F81,'2) Tracker'!$A$2:$BO$361,2,FALSE)</f>
        <v>2017</v>
      </c>
      <c r="H81" s="592">
        <f>VLOOKUP(F81,'2) Tracker'!$A$2:$BO$361,3,FALSE)</f>
        <v>82200</v>
      </c>
      <c r="I81" s="600" t="str">
        <f>VLOOKUP(F81,'2) Tracker'!$A$2:$BO$361,9,FALSE)</f>
        <v>Gyxis</v>
      </c>
      <c r="J81" s="594" t="str">
        <f>VLOOKUP(F81,'2) Tracker'!$A$2:$BO$361,12,FALSE)</f>
        <v>loads USG</v>
      </c>
      <c r="K81" s="596">
        <f t="shared" ref="K81:O81" si="160">AD81</f>
        <v>46143</v>
      </c>
      <c r="L81" s="596">
        <f t="shared" si="160"/>
        <v>46143</v>
      </c>
      <c r="M81" s="596">
        <f t="shared" si="160"/>
        <v>46175</v>
      </c>
      <c r="N81" s="596" t="str">
        <f t="shared" si="160"/>
        <v/>
      </c>
      <c r="O81" s="597" t="str">
        <f t="shared" si="160"/>
        <v/>
      </c>
      <c r="P81" s="598" t="str">
        <f>IFERROR(IF(VLOOKUP(F81,'Voyage days'!$M$808:$N$819,2,FALSE),"GOA",""),"")</f>
        <v/>
      </c>
      <c r="Q81" s="596" t="str">
        <f t="shared" ref="Q81:R81" si="161">AM81</f>
        <v/>
      </c>
      <c r="R81" s="596" t="str">
        <f t="shared" si="161"/>
        <v/>
      </c>
      <c r="S81" s="595">
        <f t="shared" si="2"/>
        <v>46163</v>
      </c>
      <c r="T81" s="596" t="str">
        <f t="shared" si="3"/>
        <v/>
      </c>
      <c r="U81" s="596" t="str">
        <f t="shared" si="4"/>
        <v/>
      </c>
      <c r="V81" s="596"/>
      <c r="W81" s="596" t="str">
        <f t="shared" si="5"/>
        <v/>
      </c>
      <c r="X81" s="599" t="str">
        <f t="shared" si="6"/>
        <v/>
      </c>
      <c r="Y81" s="594"/>
      <c r="Z81" s="600" t="str">
        <f>VLOOKUP(F81,'2) Tracker'!$A$3:$Q$505,16,FALSE)</f>
        <v>ETA Nederland 01 May via Cape</v>
      </c>
      <c r="AA81" s="600" t="str">
        <f>VLOOKUP(F81,'2) Tracker'!$A$3:$R$505,18,FALSE)</f>
        <v>Gyxis 01-02 May Nederland</v>
      </c>
      <c r="AB81" s="600">
        <f>VLOOKUP(F81,'2) Tracker'!$A$3:$Q$505,17,FALSE)</f>
        <v>0</v>
      </c>
      <c r="AC81" s="601"/>
      <c r="AD81" s="601">
        <f>VLOOKUP(F81,'2) Tracker'!$A$2:$BO$981,37,FALSE)</f>
        <v>46143</v>
      </c>
      <c r="AE81" s="601">
        <f>VLOOKUP(F81,'2) Tracker'!$A$2:$BO$981,40,FALSE)</f>
        <v>46143</v>
      </c>
      <c r="AF81" s="601">
        <f>VLOOKUP(F81,'2) Tracker'!$A$2:$BO$981,67,FALSE)</f>
        <v>46175</v>
      </c>
      <c r="AG81" s="601" t="str">
        <f>VLOOKUP(F81,'2) Tracker'!$A$2:$BO$981,34,FALSE)</f>
        <v/>
      </c>
      <c r="AH81" s="601" t="str">
        <f>VLOOKUP(F81,'2) Tracker'!$A$2:$BN$981,66,FALSE)</f>
        <v/>
      </c>
      <c r="AI81" s="601" t="str">
        <f>VLOOKUP(F81,'2) Tracker'!$A$2:$BO$981,56,FALSE)</f>
        <v/>
      </c>
      <c r="AJ81" s="601" t="str">
        <f>VLOOKUP(F81,'2) Tracker'!$A$2:$BO$981,52,FALSE)</f>
        <v/>
      </c>
      <c r="AK81" s="601" t="str">
        <f>VLOOKUP(F81,'2) Tracker'!$A$2:$AQ$981,43,FALSE)</f>
        <v/>
      </c>
      <c r="AL81" s="601">
        <f>VLOOKUP(F81,'2) Tracker'!$A$2:$BH$981,46,FALSE())</f>
        <v>46163</v>
      </c>
      <c r="AM81" s="601" t="str">
        <f>VLOOKUP(F81,'2) Tracker'!$A$2:$BO$981,65,FALSE())</f>
        <v/>
      </c>
      <c r="AN81" s="601" t="str">
        <f>VLOOKUP(F81,'2) Tracker'!$A$2:$BK$981,63,FALSE())</f>
        <v/>
      </c>
      <c r="AO81" s="601" t="str">
        <f>VLOOKUP(F81,'2) Tracker'!$A$2:$BF$981,58,FALSE())</f>
        <v/>
      </c>
      <c r="AP81" s="627"/>
      <c r="AQ81" s="627"/>
      <c r="AR81" s="46"/>
      <c r="AS81" s="46"/>
      <c r="AT81" s="46"/>
      <c r="AU81" s="46"/>
      <c r="AV81" s="46"/>
      <c r="AW81" s="46"/>
      <c r="AX81" s="46"/>
      <c r="AY81" s="46"/>
      <c r="AZ81" s="563"/>
      <c r="BA81" s="604" t="e">
        <f>VLOOKUP(AZ81,#REF!,2, FALSE)</f>
        <v>#REF!</v>
      </c>
      <c r="BB81" s="605" t="e">
        <f>VLOOKUP(AZ81,'1) Kpler'!$E$2:$F$500,2,FALSE)</f>
        <v>#N/A</v>
      </c>
      <c r="BC81" s="569"/>
      <c r="BD81" s="563"/>
      <c r="BE81" s="46"/>
      <c r="BF81" s="46"/>
      <c r="BG81" s="563"/>
      <c r="BH81" s="563"/>
      <c r="BI81" s="563"/>
      <c r="BJ81" s="563"/>
    </row>
    <row r="82" spans="2:62" x14ac:dyDescent="0.25">
      <c r="B82" s="589">
        <f>VLOOKUP(F82,'2) Tracker'!$A$3:$O$411,5,FALSE)</f>
        <v>0</v>
      </c>
      <c r="C82" s="589">
        <f>VLOOKUP(F82,'2) Tracker'!$A$3:$O$411,4,FALSE)</f>
        <v>0</v>
      </c>
      <c r="D82" s="563"/>
      <c r="E82" s="563">
        <f>VLOOKUP(F82,'2) Tracker'!$A$3:$O$407,15,FALSE)</f>
        <v>0</v>
      </c>
      <c r="F82" s="608" t="s">
        <v>613</v>
      </c>
      <c r="G82" s="591">
        <f>VLOOKUP(F82,'2) Tracker'!$A$2:$BO$361,2,FALSE)</f>
        <v>2024</v>
      </c>
      <c r="H82" s="592">
        <f>VLOOKUP(F82,'2) Tracker'!$A$2:$BO$361,3,FALSE)</f>
        <v>93000</v>
      </c>
      <c r="I82" s="600" t="str">
        <f>VLOOKUP(F82,'2) Tracker'!$A$2:$BO$361,9,FALSE)</f>
        <v>Vitol</v>
      </c>
      <c r="J82" s="594" t="str">
        <f>VLOOKUP(F82,'2) Tracker'!$A$2:$BO$361,12,FALSE)</f>
        <v>USG</v>
      </c>
      <c r="K82" s="596">
        <f t="shared" ref="K82:O82" si="162">AD82</f>
        <v>46143</v>
      </c>
      <c r="L82" s="596" t="str">
        <f t="shared" si="162"/>
        <v/>
      </c>
      <c r="M82" s="596" t="str">
        <f t="shared" si="162"/>
        <v/>
      </c>
      <c r="N82" s="596" t="str">
        <f t="shared" si="162"/>
        <v/>
      </c>
      <c r="O82" s="597" t="str">
        <f t="shared" si="162"/>
        <v/>
      </c>
      <c r="P82" s="598" t="str">
        <f>IFERROR(IF(VLOOKUP(F82,'Voyage days'!$M$808:$N$819,2,FALSE),"GOA",""),"")</f>
        <v/>
      </c>
      <c r="Q82" s="596" t="str">
        <f t="shared" ref="Q82:R82" si="163">AM82</f>
        <v/>
      </c>
      <c r="R82" s="596" t="str">
        <f t="shared" si="163"/>
        <v/>
      </c>
      <c r="S82" s="595">
        <f t="shared" si="2"/>
        <v>46157</v>
      </c>
      <c r="T82" s="596" t="str">
        <f t="shared" si="3"/>
        <v/>
      </c>
      <c r="U82" s="596" t="str">
        <f t="shared" si="4"/>
        <v/>
      </c>
      <c r="V82" s="596"/>
      <c r="W82" s="596" t="str">
        <f t="shared" si="5"/>
        <v/>
      </c>
      <c r="X82" s="599" t="str">
        <f t="shared" si="6"/>
        <v/>
      </c>
      <c r="Y82" s="594"/>
      <c r="Z82" s="600" t="str">
        <f>VLOOKUP(F82,'2) Tracker'!$A$3:$Q$505,16,FALSE)</f>
        <v>ML: Newbuild / floating outside - Iran owner. Blacklisted by US.</v>
      </c>
      <c r="AA82" s="600">
        <f>VLOOKUP(F82,'2) Tracker'!$A$3:$R$505,18,FALSE)</f>
        <v>0</v>
      </c>
      <c r="AB82" s="600">
        <f>VLOOKUP(F82,'2) Tracker'!$A$3:$Q$505,17,FALSE)</f>
        <v>0</v>
      </c>
      <c r="AC82" s="601"/>
      <c r="AD82" s="601">
        <f>VLOOKUP(F82,'2) Tracker'!$A$2:$BO$981,37,FALSE)</f>
        <v>46143</v>
      </c>
      <c r="AE82" s="601" t="str">
        <f>VLOOKUP(F82,'2) Tracker'!$A$2:$BO$981,40,FALSE)</f>
        <v/>
      </c>
      <c r="AF82" s="601" t="str">
        <f>VLOOKUP(F82,'2) Tracker'!$A$2:$BO$981,67,FALSE)</f>
        <v/>
      </c>
      <c r="AG82" s="601" t="str">
        <f>VLOOKUP(F82,'2) Tracker'!$A$2:$BO$981,34,FALSE)</f>
        <v/>
      </c>
      <c r="AH82" s="601" t="str">
        <f>VLOOKUP(F82,'2) Tracker'!$A$2:$BN$981,66,FALSE)</f>
        <v/>
      </c>
      <c r="AI82" s="601" t="str">
        <f>VLOOKUP(F82,'2) Tracker'!$A$2:$BO$981,56,FALSE)</f>
        <v/>
      </c>
      <c r="AJ82" s="601" t="str">
        <f>VLOOKUP(F82,'2) Tracker'!$A$2:$BO$981,52,FALSE)</f>
        <v/>
      </c>
      <c r="AK82" s="601" t="str">
        <f>VLOOKUP(F82,'2) Tracker'!$A$2:$AQ$981,43,FALSE)</f>
        <v/>
      </c>
      <c r="AL82" s="601">
        <f>VLOOKUP(F82,'2) Tracker'!$A$2:$BH$981,46,FALSE())</f>
        <v>46157</v>
      </c>
      <c r="AM82" s="601" t="str">
        <f>VLOOKUP(F82,'2) Tracker'!$A$2:$BO$981,65,FALSE())</f>
        <v/>
      </c>
      <c r="AN82" s="601" t="str">
        <f>VLOOKUP(F82,'2) Tracker'!$A$2:$BK$981,63,FALSE())</f>
        <v/>
      </c>
      <c r="AO82" s="601" t="str">
        <f>VLOOKUP(F82,'2) Tracker'!$A$2:$BF$981,58,FALSE())</f>
        <v/>
      </c>
      <c r="AP82" s="46"/>
      <c r="AQ82" s="46"/>
      <c r="AR82" s="46"/>
      <c r="AS82" s="46"/>
      <c r="AT82" s="46"/>
      <c r="AU82" s="46"/>
      <c r="AV82" s="46"/>
      <c r="AW82" s="46"/>
      <c r="AX82" s="46"/>
      <c r="AY82" s="46"/>
      <c r="AZ82" s="563"/>
      <c r="BA82" s="604" t="e">
        <f>VLOOKUP(AZ82,#REF!,2, FALSE)</f>
        <v>#REF!</v>
      </c>
      <c r="BB82" s="605" t="e">
        <f>VLOOKUP(AZ82,'1) Kpler'!$E$2:$F$500,2,FALSE)</f>
        <v>#N/A</v>
      </c>
      <c r="BC82" s="569"/>
      <c r="BD82" s="563"/>
      <c r="BE82" s="46"/>
      <c r="BF82" s="46"/>
      <c r="BG82" s="563"/>
      <c r="BH82" s="563"/>
      <c r="BI82" s="563"/>
      <c r="BJ82" s="563"/>
    </row>
    <row r="83" spans="2:62" x14ac:dyDescent="0.25">
      <c r="B83" s="589">
        <f>VLOOKUP(F83,'2) Tracker'!$A$3:$O$411,5,FALSE)</f>
        <v>0</v>
      </c>
      <c r="C83" s="589"/>
      <c r="D83" s="563"/>
      <c r="E83" s="563">
        <f>VLOOKUP(F83,'2) Tracker'!$A$3:$O$407,15,FALSE)</f>
        <v>0</v>
      </c>
      <c r="F83" s="604" t="s">
        <v>256</v>
      </c>
      <c r="G83" s="591">
        <f>VLOOKUP(F83,'2) Tracker'!$A$2:$BO$361,2,FALSE)</f>
        <v>2022</v>
      </c>
      <c r="H83" s="592">
        <f>VLOOKUP(F83,'2) Tracker'!$A$2:$BO$361,3,FALSE)</f>
        <v>91000</v>
      </c>
      <c r="I83" s="600" t="str">
        <f>VLOOKUP(F83,'2) Tracker'!$A$2:$BO$361,9,FALSE)</f>
        <v>Trafigura</v>
      </c>
      <c r="J83" s="594" t="str">
        <f>VLOOKUP(F83,'2) Tracker'!$A$2:$BO$361,12,FALSE)</f>
        <v>loads USG</v>
      </c>
      <c r="K83" s="596">
        <f t="shared" ref="K83:O83" si="164">AD83</f>
        <v>46144</v>
      </c>
      <c r="L83" s="596">
        <f t="shared" si="164"/>
        <v>46144</v>
      </c>
      <c r="M83" s="596">
        <f t="shared" si="164"/>
        <v>46176</v>
      </c>
      <c r="N83" s="596" t="str">
        <f t="shared" si="164"/>
        <v/>
      </c>
      <c r="O83" s="597" t="str">
        <f t="shared" si="164"/>
        <v/>
      </c>
      <c r="P83" s="598" t="str">
        <f>IFERROR(IF(VLOOKUP(F83,'Voyage days'!$M$808:$N$819,2,FALSE),"GOA",""),"")</f>
        <v/>
      </c>
      <c r="Q83" s="596" t="str">
        <f t="shared" ref="Q83:R83" si="165">AM83</f>
        <v/>
      </c>
      <c r="R83" s="595" t="str">
        <f t="shared" si="165"/>
        <v/>
      </c>
      <c r="S83" s="595">
        <f t="shared" si="2"/>
        <v>46164</v>
      </c>
      <c r="T83" s="596" t="str">
        <f t="shared" si="3"/>
        <v/>
      </c>
      <c r="U83" s="595" t="str">
        <f t="shared" si="4"/>
        <v/>
      </c>
      <c r="V83" s="595"/>
      <c r="W83" s="595" t="str">
        <f t="shared" si="5"/>
        <v/>
      </c>
      <c r="X83" s="599" t="str">
        <f t="shared" si="6"/>
        <v/>
      </c>
      <c r="Y83" s="614"/>
      <c r="Z83" s="600" t="str">
        <f>VLOOKUP(F83,'2) Tracker'!$A$3:$Q$505,16,FALSE)</f>
        <v>ETA USG via Cape 30 Apr</v>
      </c>
      <c r="AA83" s="600" t="str">
        <f>VLOOKUP(F83,'2) Tracker'!$A$3:$R$505,18,FALSE)</f>
        <v>Petredec 02-03 May USG</v>
      </c>
      <c r="AB83" s="600">
        <f>VLOOKUP(F83,'2) Tracker'!$A$3:$Q$505,17,FALSE)</f>
        <v>0</v>
      </c>
      <c r="AC83" s="601"/>
      <c r="AD83" s="601">
        <f>VLOOKUP(F83,'2) Tracker'!$A$2:$BO$981,37,FALSE)</f>
        <v>46144</v>
      </c>
      <c r="AE83" s="601">
        <f>VLOOKUP(F83,'2) Tracker'!$A$2:$BO$981,40,FALSE)</f>
        <v>46144</v>
      </c>
      <c r="AF83" s="601">
        <f>VLOOKUP(F83,'2) Tracker'!$A$2:$BO$981,67,FALSE)</f>
        <v>46176</v>
      </c>
      <c r="AG83" s="601" t="str">
        <f>VLOOKUP(F83,'2) Tracker'!$A$2:$BO$981,34,FALSE)</f>
        <v/>
      </c>
      <c r="AH83" s="601" t="str">
        <f>VLOOKUP(F83,'2) Tracker'!$A$2:$BN$981,66,FALSE)</f>
        <v/>
      </c>
      <c r="AI83" s="601" t="str">
        <f>VLOOKUP(F83,'2) Tracker'!$A$2:$BO$981,56,FALSE)</f>
        <v/>
      </c>
      <c r="AJ83" s="601" t="str">
        <f>VLOOKUP(F83,'2) Tracker'!$A$2:$BO$981,52,FALSE)</f>
        <v/>
      </c>
      <c r="AK83" s="601" t="str">
        <f>VLOOKUP(F83,'2) Tracker'!$A$2:$AQ$981,43,FALSE)</f>
        <v/>
      </c>
      <c r="AL83" s="601">
        <f>VLOOKUP(F83,'2) Tracker'!$A$2:$BH$981,46,FALSE())</f>
        <v>46164</v>
      </c>
      <c r="AM83" s="601" t="str">
        <f>VLOOKUP(F83,'2) Tracker'!$A$2:$BO$981,65,FALSE())</f>
        <v/>
      </c>
      <c r="AN83" s="601" t="str">
        <f>VLOOKUP(F83,'2) Tracker'!$A$2:$BK$981,63,FALSE())</f>
        <v/>
      </c>
      <c r="AO83" s="601" t="str">
        <f>VLOOKUP(F83,'2) Tracker'!$A$2:$BF$981,58,FALSE())</f>
        <v/>
      </c>
      <c r="AP83" s="46"/>
      <c r="AQ83" s="46"/>
      <c r="AR83" s="46"/>
      <c r="AS83" s="46"/>
      <c r="AT83" s="46"/>
      <c r="AU83" s="46"/>
      <c r="AV83" s="46"/>
      <c r="AW83" s="46"/>
      <c r="AX83" s="46"/>
      <c r="AY83" s="46"/>
      <c r="AZ83" s="563"/>
      <c r="BA83" s="569"/>
      <c r="BB83" s="563"/>
      <c r="BC83" s="569"/>
      <c r="BD83" s="563"/>
      <c r="BE83" s="46"/>
      <c r="BF83" s="46"/>
      <c r="BG83" s="563"/>
      <c r="BH83" s="563"/>
      <c r="BI83" s="563"/>
      <c r="BJ83" s="563"/>
    </row>
    <row r="84" spans="2:62" x14ac:dyDescent="0.25">
      <c r="B84" s="589">
        <f>VLOOKUP(F84,'2) Tracker'!$A$3:$O$411,5,FALSE)</f>
        <v>0</v>
      </c>
      <c r="C84" s="589" t="str">
        <f>VLOOKUP(F84,'2) Tracker'!$A$3:$O$411,4,FALSE)</f>
        <v>US</v>
      </c>
      <c r="D84" s="563"/>
      <c r="E84" s="563">
        <f>VLOOKUP(F84,'2) Tracker'!$A$3:$O$407,15,FALSE)</f>
        <v>0</v>
      </c>
      <c r="F84" s="604" t="s">
        <v>544</v>
      </c>
      <c r="G84" s="591">
        <f>VLOOKUP(F84,'2) Tracker'!$A$2:$BO$361,2,FALSE)</f>
        <v>2023</v>
      </c>
      <c r="H84" s="592">
        <f>VLOOKUP(F84,'2) Tracker'!$A$2:$BO$361,3,FALSE)</f>
        <v>87000</v>
      </c>
      <c r="I84" s="594" t="str">
        <f>VLOOKUP(F84,'2) Tracker'!$A$2:$BO$361,9,FALSE)</f>
        <v>Exxon</v>
      </c>
      <c r="J84" s="594" t="str">
        <f>VLOOKUP(F84,'2) Tracker'!$A$2:$BO$361,12,FALSE)</f>
        <v>loads USG</v>
      </c>
      <c r="K84" s="595">
        <f t="shared" ref="K84:O84" si="166">AD84</f>
        <v>46144</v>
      </c>
      <c r="L84" s="595">
        <f t="shared" si="166"/>
        <v>46144</v>
      </c>
      <c r="M84" s="596">
        <f t="shared" si="166"/>
        <v>46176</v>
      </c>
      <c r="N84" s="597" t="str">
        <f t="shared" si="166"/>
        <v/>
      </c>
      <c r="O84" s="597" t="str">
        <f t="shared" si="166"/>
        <v/>
      </c>
      <c r="P84" s="598" t="str">
        <f>IFERROR(IF(VLOOKUP(F84,'Voyage days'!$M$808:$N$819,2,FALSE),"GOA",""),"")</f>
        <v/>
      </c>
      <c r="Q84" s="596" t="str">
        <f t="shared" ref="Q84:R84" si="167">AM84</f>
        <v/>
      </c>
      <c r="R84" s="595" t="str">
        <f t="shared" si="167"/>
        <v/>
      </c>
      <c r="S84" s="595">
        <f t="shared" si="2"/>
        <v>46164</v>
      </c>
      <c r="T84" s="596" t="str">
        <f t="shared" si="3"/>
        <v/>
      </c>
      <c r="U84" s="595" t="str">
        <f t="shared" si="4"/>
        <v/>
      </c>
      <c r="V84" s="596"/>
      <c r="W84" s="596" t="str">
        <f t="shared" si="5"/>
        <v/>
      </c>
      <c r="X84" s="599" t="str">
        <f t="shared" si="6"/>
        <v/>
      </c>
      <c r="Y84" s="606"/>
      <c r="Z84" s="600" t="str">
        <f>VLOOKUP(F84,'2) Tracker'!$A$3:$Q$505,16,FALSE)</f>
        <v>ETA Balboa 18 Apr</v>
      </c>
      <c r="AA84" s="600" t="str">
        <f>VLOOKUP(F84,'2) Tracker'!$A$3:$R$505,18,FALSE)</f>
        <v>BWPS 02-04 May USG</v>
      </c>
      <c r="AB84" s="600">
        <f>VLOOKUP(F84,'2) Tracker'!$A$3:$Q$505,17,FALSE)</f>
        <v>0</v>
      </c>
      <c r="AC84" s="601"/>
      <c r="AD84" s="601">
        <f>VLOOKUP(F84,'2) Tracker'!$A$2:$BO$981,37,FALSE)</f>
        <v>46144</v>
      </c>
      <c r="AE84" s="601">
        <f>VLOOKUP(F84,'2) Tracker'!$A$2:$BO$981,40,FALSE)</f>
        <v>46144</v>
      </c>
      <c r="AF84" s="601">
        <f>VLOOKUP(F84,'2) Tracker'!$A$2:$BO$981,67,FALSE)</f>
        <v>46176</v>
      </c>
      <c r="AG84" s="601" t="str">
        <f>VLOOKUP(F84,'2) Tracker'!$A$2:$BO$981,34,FALSE)</f>
        <v/>
      </c>
      <c r="AH84" s="601" t="str">
        <f>VLOOKUP(F84,'2) Tracker'!$A$2:$BN$981,66,FALSE)</f>
        <v/>
      </c>
      <c r="AI84" s="601" t="str">
        <f>VLOOKUP(F84,'2) Tracker'!$A$2:$BO$981,56,FALSE)</f>
        <v/>
      </c>
      <c r="AJ84" s="601" t="str">
        <f>VLOOKUP(F84,'2) Tracker'!$A$2:$BO$981,52,FALSE)</f>
        <v/>
      </c>
      <c r="AK84" s="601" t="str">
        <f>VLOOKUP(F84,'2) Tracker'!$A$2:$AQ$981,43,FALSE)</f>
        <v/>
      </c>
      <c r="AL84" s="601">
        <f>VLOOKUP(F84,'2) Tracker'!$A$2:$BH$981,46,FALSE())</f>
        <v>46164</v>
      </c>
      <c r="AM84" s="601" t="str">
        <f>VLOOKUP(F84,'2) Tracker'!$A$2:$BO$981,65,FALSE())</f>
        <v/>
      </c>
      <c r="AN84" s="601" t="str">
        <f>VLOOKUP(F84,'2) Tracker'!$A$2:$BK$981,63,FALSE())</f>
        <v/>
      </c>
      <c r="AO84" s="601" t="str">
        <f>VLOOKUP(F84,'2) Tracker'!$A$2:$BF$981,58,FALSE())</f>
        <v/>
      </c>
      <c r="AP84" s="46"/>
      <c r="AQ84" s="46"/>
      <c r="AR84" s="46"/>
      <c r="AS84" s="46"/>
      <c r="AT84" s="46"/>
      <c r="AU84" s="46"/>
      <c r="AV84" s="46"/>
      <c r="AW84" s="46"/>
      <c r="AX84" s="46"/>
      <c r="AY84" s="46"/>
      <c r="AZ84" s="563"/>
      <c r="BA84" s="604" t="e">
        <f>VLOOKUP(AZ84,#REF!,2, FALSE)</f>
        <v>#REF!</v>
      </c>
      <c r="BB84" s="605" t="e">
        <f>VLOOKUP(AZ84,'1) Kpler'!$E$2:$F$500,2,FALSE)</f>
        <v>#N/A</v>
      </c>
      <c r="BC84" s="569"/>
      <c r="BD84" s="563"/>
      <c r="BE84" s="46"/>
      <c r="BF84" s="46"/>
      <c r="BG84" s="563"/>
      <c r="BH84" s="563"/>
      <c r="BI84" s="563"/>
      <c r="BJ84" s="563"/>
    </row>
    <row r="85" spans="2:62" x14ac:dyDescent="0.25">
      <c r="B85" s="589">
        <f>VLOOKUP(F85,'2) Tracker'!$A$3:$O$411,5,FALSE)</f>
        <v>0</v>
      </c>
      <c r="C85" s="589">
        <f>VLOOKUP(F85,'2) Tracker'!$A$3:$O$411,4,FALSE)</f>
        <v>0</v>
      </c>
      <c r="D85" s="563"/>
      <c r="E85" s="563">
        <f>VLOOKUP(F85,'2) Tracker'!$A$3:$O$407,15,FALSE)</f>
        <v>0</v>
      </c>
      <c r="F85" s="631" t="s">
        <v>578</v>
      </c>
      <c r="G85" s="607">
        <f>VLOOKUP(F85,'2) Tracker'!$A$2:$BO$361,2,FALSE)</f>
        <v>42517</v>
      </c>
      <c r="H85" s="592">
        <f>VLOOKUP(F85,'2) Tracker'!$A$2:$BO$361,3,FALSE)</f>
        <v>84000</v>
      </c>
      <c r="I85" s="600" t="str">
        <f>VLOOKUP(F85,'2) Tracker'!$A$2:$BO$361,9,FALSE)</f>
        <v>Neptune</v>
      </c>
      <c r="J85" s="594" t="str">
        <f>VLOOKUP(F85,'2) Tracker'!$A$2:$BO$361,12,FALSE)</f>
        <v>loads USG</v>
      </c>
      <c r="K85" s="596">
        <f t="shared" ref="K85:O85" si="168">AD85</f>
        <v>46145</v>
      </c>
      <c r="L85" s="596">
        <f t="shared" si="168"/>
        <v>46145</v>
      </c>
      <c r="M85" s="596">
        <f t="shared" si="168"/>
        <v>46177</v>
      </c>
      <c r="N85" s="596" t="str">
        <f t="shared" si="168"/>
        <v/>
      </c>
      <c r="O85" s="597" t="str">
        <f t="shared" si="168"/>
        <v/>
      </c>
      <c r="P85" s="598" t="str">
        <f>IFERROR(IF(VLOOKUP(F85,'Voyage days'!$M$808:$N$819,2,FALSE),"GOA",""),"")</f>
        <v/>
      </c>
      <c r="Q85" s="596" t="str">
        <f t="shared" ref="Q85:R85" si="169">AM85</f>
        <v/>
      </c>
      <c r="R85" s="596" t="str">
        <f t="shared" si="169"/>
        <v/>
      </c>
      <c r="S85" s="595">
        <f t="shared" si="2"/>
        <v>46165</v>
      </c>
      <c r="T85" s="596" t="str">
        <f t="shared" si="3"/>
        <v/>
      </c>
      <c r="U85" s="596" t="str">
        <f t="shared" si="4"/>
        <v/>
      </c>
      <c r="V85" s="596"/>
      <c r="W85" s="596" t="str">
        <f t="shared" si="5"/>
        <v/>
      </c>
      <c r="X85" s="599" t="str">
        <f t="shared" si="6"/>
        <v/>
      </c>
      <c r="Y85" s="594"/>
      <c r="Z85" s="600" t="str">
        <f>VLOOKUP(F85,'2) Tracker'!$A$3:$Q$505,16,FALSE)</f>
        <v>ex DD, ETA Balboa 25 Apr</v>
      </c>
      <c r="AA85" s="600" t="str">
        <f>VLOOKUP(F85,'2) Tracker'!$A$3:$R$505,18,FALSE)</f>
        <v>Levgas 03-04 May USG</v>
      </c>
      <c r="AB85" s="600">
        <f>VLOOKUP(F85,'2) Tracker'!$A$3:$Q$505,17,FALSE)</f>
        <v>0</v>
      </c>
      <c r="AC85" s="601"/>
      <c r="AD85" s="601">
        <f>VLOOKUP(F85,'2) Tracker'!$A$2:$BO$981,37,FALSE)</f>
        <v>46145</v>
      </c>
      <c r="AE85" s="601">
        <f>VLOOKUP(F85,'2) Tracker'!$A$2:$BO$981,40,FALSE)</f>
        <v>46145</v>
      </c>
      <c r="AF85" s="601">
        <f>VLOOKUP(F85,'2) Tracker'!$A$2:$BO$981,67,FALSE)</f>
        <v>46177</v>
      </c>
      <c r="AG85" s="601" t="str">
        <f>VLOOKUP(F85,'2) Tracker'!$A$2:$BO$981,34,FALSE)</f>
        <v/>
      </c>
      <c r="AH85" s="601" t="str">
        <f>VLOOKUP(F85,'2) Tracker'!$A$2:$BN$981,66,FALSE)</f>
        <v/>
      </c>
      <c r="AI85" s="601" t="str">
        <f>VLOOKUP(F85,'2) Tracker'!$A$2:$BO$981,56,FALSE)</f>
        <v/>
      </c>
      <c r="AJ85" s="601" t="str">
        <f>VLOOKUP(F85,'2) Tracker'!$A$2:$BO$981,52,FALSE)</f>
        <v/>
      </c>
      <c r="AK85" s="601" t="str">
        <f>VLOOKUP(F85,'2) Tracker'!$A$2:$AQ$981,43,FALSE)</f>
        <v/>
      </c>
      <c r="AL85" s="601">
        <f>VLOOKUP(F85,'2) Tracker'!$A$2:$BH$981,46,FALSE())</f>
        <v>46165</v>
      </c>
      <c r="AM85" s="601" t="str">
        <f>VLOOKUP(F85,'2) Tracker'!$A$2:$BO$981,65,FALSE())</f>
        <v/>
      </c>
      <c r="AN85" s="601" t="str">
        <f>VLOOKUP(F85,'2) Tracker'!$A$2:$BK$981,63,FALSE())</f>
        <v/>
      </c>
      <c r="AO85" s="601" t="str">
        <f>VLOOKUP(F85,'2) Tracker'!$A$2:$BF$981,58,FALSE())</f>
        <v/>
      </c>
      <c r="AP85" s="46"/>
      <c r="AQ85" s="46"/>
      <c r="AR85" s="46"/>
      <c r="AS85" s="46"/>
      <c r="AT85" s="46"/>
      <c r="AU85" s="46"/>
      <c r="AV85" s="46"/>
      <c r="AW85" s="46"/>
      <c r="AX85" s="46"/>
      <c r="AY85" s="46"/>
      <c r="AZ85" s="605"/>
      <c r="BA85" s="604" t="e">
        <f>VLOOKUP(AZ85,#REF!,2, FALSE)</f>
        <v>#REF!</v>
      </c>
      <c r="BB85" s="605" t="e">
        <f>VLOOKUP(AZ85,'1) Kpler'!$E$2:$F$500,2,FALSE)</f>
        <v>#N/A</v>
      </c>
      <c r="BC85" s="604"/>
      <c r="BD85" s="605"/>
      <c r="BE85" s="46"/>
      <c r="BF85" s="46"/>
      <c r="BG85" s="605"/>
      <c r="BH85" s="605"/>
      <c r="BI85" s="605"/>
      <c r="BJ85" s="605"/>
    </row>
    <row r="86" spans="2:62" ht="15" customHeight="1" x14ac:dyDescent="0.25">
      <c r="B86" s="589">
        <f>VLOOKUP(F86,'2) Tracker'!$A$3:$O$411,5,FALSE)</f>
        <v>0</v>
      </c>
      <c r="C86" s="589">
        <f>VLOOKUP(F86,'2) Tracker'!$A$3:$O$411,4,FALSE)</f>
        <v>0</v>
      </c>
      <c r="D86" s="563"/>
      <c r="E86" s="563">
        <f>VLOOKUP(F86,'2) Tracker'!$A$3:$O$407,15,FALSE)</f>
        <v>0</v>
      </c>
      <c r="F86" s="632" t="s">
        <v>321</v>
      </c>
      <c r="G86" s="591">
        <f>VLOOKUP(F86,'2) Tracker'!$A$2:$BO$361,2,FALSE)</f>
        <v>2020</v>
      </c>
      <c r="H86" s="592">
        <f>VLOOKUP(F86,'2) Tracker'!$A$2:$BO$361,3,FALSE)</f>
        <v>84000</v>
      </c>
      <c r="I86" s="600" t="str">
        <f>VLOOKUP(F86,'2) Tracker'!$A$2:$BO$361,9,FALSE)</f>
        <v>E1</v>
      </c>
      <c r="J86" s="594" t="str">
        <f>VLOOKUP(F86,'2) Tracker'!$A$2:$BO$361,12,FALSE)</f>
        <v>loads USG</v>
      </c>
      <c r="K86" s="596">
        <f t="shared" ref="K86:O86" si="170">AD86</f>
        <v>46145</v>
      </c>
      <c r="L86" s="595">
        <f t="shared" si="170"/>
        <v>46145</v>
      </c>
      <c r="M86" s="596">
        <f t="shared" si="170"/>
        <v>46177</v>
      </c>
      <c r="N86" s="596" t="str">
        <f t="shared" si="170"/>
        <v/>
      </c>
      <c r="O86" s="597" t="str">
        <f t="shared" si="170"/>
        <v/>
      </c>
      <c r="P86" s="598" t="str">
        <f>IFERROR(IF(VLOOKUP(F86,'Voyage days'!$M$808:$N$819,2,FALSE),"GOA",""),"")</f>
        <v/>
      </c>
      <c r="Q86" s="596" t="str">
        <f t="shared" ref="Q86:R86" si="171">AM86</f>
        <v/>
      </c>
      <c r="R86" s="595" t="str">
        <f t="shared" si="171"/>
        <v/>
      </c>
      <c r="S86" s="595">
        <f t="shared" si="2"/>
        <v>46165</v>
      </c>
      <c r="T86" s="596" t="str">
        <f t="shared" si="3"/>
        <v/>
      </c>
      <c r="U86" s="595" t="str">
        <f t="shared" si="4"/>
        <v/>
      </c>
      <c r="V86" s="596"/>
      <c r="W86" s="596" t="str">
        <f t="shared" si="5"/>
        <v/>
      </c>
      <c r="X86" s="599" t="str">
        <f t="shared" si="6"/>
        <v/>
      </c>
      <c r="Y86" s="594"/>
      <c r="Z86" s="600" t="str">
        <f>VLOOKUP(F86,'2) Tracker'!$A$3:$Q$505,16,FALSE)</f>
        <v>ETA Houston 01 May via Cape</v>
      </c>
      <c r="AA86" s="600" t="str">
        <f>VLOOKUP(F86,'2) Tracker'!$A$3:$R$505,18,FALSE)</f>
        <v>Trafi 03-04 May USG</v>
      </c>
      <c r="AB86" s="600">
        <f>VLOOKUP(F86,'2) Tracker'!$A$3:$Q$505,17,FALSE)</f>
        <v>0</v>
      </c>
      <c r="AC86" s="601"/>
      <c r="AD86" s="601">
        <f>VLOOKUP(F86,'2) Tracker'!$A$2:$BO$981,37,FALSE)</f>
        <v>46145</v>
      </c>
      <c r="AE86" s="601">
        <f>VLOOKUP(F86,'2) Tracker'!$A$2:$BO$981,40,FALSE)</f>
        <v>46145</v>
      </c>
      <c r="AF86" s="601">
        <f>VLOOKUP(F86,'2) Tracker'!$A$2:$BO$981,67,FALSE)</f>
        <v>46177</v>
      </c>
      <c r="AG86" s="601" t="str">
        <f>VLOOKUP(F86,'2) Tracker'!$A$2:$BO$981,34,FALSE)</f>
        <v/>
      </c>
      <c r="AH86" s="601" t="str">
        <f>VLOOKUP(F86,'2) Tracker'!$A$2:$BN$981,66,FALSE)</f>
        <v/>
      </c>
      <c r="AI86" s="601" t="str">
        <f>VLOOKUP(F86,'2) Tracker'!$A$2:$BO$981,56,FALSE)</f>
        <v/>
      </c>
      <c r="AJ86" s="601" t="str">
        <f>VLOOKUP(F86,'2) Tracker'!$A$2:$BO$981,52,FALSE)</f>
        <v/>
      </c>
      <c r="AK86" s="601" t="str">
        <f>VLOOKUP(F86,'2) Tracker'!$A$2:$AQ$981,43,FALSE)</f>
        <v/>
      </c>
      <c r="AL86" s="601">
        <f>VLOOKUP(F86,'2) Tracker'!$A$2:$BH$981,46,FALSE())</f>
        <v>46165</v>
      </c>
      <c r="AM86" s="601" t="str">
        <f>VLOOKUP(F86,'2) Tracker'!$A$2:$BO$981,65,FALSE())</f>
        <v/>
      </c>
      <c r="AN86" s="601" t="str">
        <f>VLOOKUP(F86,'2) Tracker'!$A$2:$BK$981,63,FALSE())</f>
        <v/>
      </c>
      <c r="AO86" s="601" t="str">
        <f>VLOOKUP(F86,'2) Tracker'!$A$2:$BF$981,58,FALSE())</f>
        <v/>
      </c>
      <c r="AP86" s="46"/>
      <c r="AQ86" s="46"/>
      <c r="AR86" s="46"/>
      <c r="AS86" s="46"/>
      <c r="AT86" s="46"/>
      <c r="AU86" s="46"/>
      <c r="AV86" s="46"/>
      <c r="AW86" s="46"/>
      <c r="AX86" s="46"/>
      <c r="AY86" s="46"/>
      <c r="AZ86" s="563"/>
      <c r="BA86" s="569"/>
      <c r="BB86" s="563"/>
      <c r="BC86" s="569"/>
      <c r="BD86" s="563"/>
      <c r="BE86" s="46"/>
      <c r="BF86" s="46"/>
      <c r="BG86" s="563"/>
      <c r="BH86" s="563"/>
      <c r="BI86" s="563"/>
      <c r="BJ86" s="563"/>
    </row>
    <row r="87" spans="2:62" ht="15.75" customHeight="1" x14ac:dyDescent="0.25">
      <c r="B87" s="589">
        <f>VLOOKUP(F87,'2) Tracker'!$A$3:$O$411,5,FALSE)</f>
        <v>0</v>
      </c>
      <c r="C87" s="589">
        <f>VLOOKUP(F87,'2) Tracker'!$A$3:$O$411,4,FALSE)</f>
        <v>0</v>
      </c>
      <c r="D87" s="563"/>
      <c r="E87" s="563">
        <f>VLOOKUP(F87,'2) Tracker'!$A$3:$O$407,15,FALSE)</f>
        <v>0</v>
      </c>
      <c r="F87" s="608" t="s">
        <v>214</v>
      </c>
      <c r="G87" s="615">
        <f>VLOOKUP(F87,'2) Tracker'!$A$2:$BO$361,2,FALSE)</f>
        <v>2025</v>
      </c>
      <c r="H87" s="592">
        <f>VLOOKUP(F87,'2) Tracker'!$A$2:$BO$361,3,FALSE)</f>
        <v>86700</v>
      </c>
      <c r="I87" s="593" t="str">
        <f>VLOOKUP(F87,'2) Tracker'!$A$2:$BO$361,9,FALSE)</f>
        <v>BGN</v>
      </c>
      <c r="J87" s="594" t="str">
        <f>VLOOKUP(F87,'2) Tracker'!$A$2:$BO$361,12,FALSE)</f>
        <v>Gibraltar</v>
      </c>
      <c r="K87" s="595">
        <f t="shared" ref="K87:O87" si="172">AD87</f>
        <v>46145</v>
      </c>
      <c r="L87" s="595">
        <f t="shared" si="172"/>
        <v>46146</v>
      </c>
      <c r="M87" s="596" t="str">
        <f t="shared" si="172"/>
        <v/>
      </c>
      <c r="N87" s="596" t="str">
        <f t="shared" si="172"/>
        <v/>
      </c>
      <c r="O87" s="597" t="str">
        <f t="shared" si="172"/>
        <v/>
      </c>
      <c r="P87" s="598" t="str">
        <f>IFERROR(IF(VLOOKUP(F87,'Voyage days'!$M$808:$N$819,2,FALSE),"GOA",""),"")</f>
        <v/>
      </c>
      <c r="Q87" s="596">
        <f t="shared" ref="Q87:R87" si="173">AM87</f>
        <v>46133</v>
      </c>
      <c r="R87" s="595">
        <f t="shared" si="173"/>
        <v>46140</v>
      </c>
      <c r="S87" s="595">
        <f t="shared" si="2"/>
        <v>46133</v>
      </c>
      <c r="T87" s="596">
        <f t="shared" si="3"/>
        <v>46142</v>
      </c>
      <c r="U87" s="595" t="str">
        <f t="shared" si="4"/>
        <v/>
      </c>
      <c r="V87" s="595"/>
      <c r="W87" s="595" t="str">
        <f t="shared" si="5"/>
        <v/>
      </c>
      <c r="X87" s="599" t="str">
        <f t="shared" si="6"/>
        <v/>
      </c>
      <c r="Y87" s="594"/>
      <c r="Z87" s="600" t="str">
        <f>VLOOKUP(F87,'2) Tracker'!$A$3:$Q$505,16,FALSE)</f>
        <v>ETA Horizon Tangier 13 Apr</v>
      </c>
      <c r="AA87" s="600" t="str">
        <f>VLOOKUP(F87,'2) Tracker'!$A$3:$R$505,18,FALSE)</f>
        <v>BGN 23-24 Mar Nederland</v>
      </c>
      <c r="AB87" s="600">
        <f>VLOOKUP(F87,'2) Tracker'!$A$3:$Q$505,17,FALSE)</f>
        <v>0</v>
      </c>
      <c r="AC87" s="601"/>
      <c r="AD87" s="601">
        <f>VLOOKUP(F87,'2) Tracker'!$A$2:$BO$981,37,FALSE)</f>
        <v>46145</v>
      </c>
      <c r="AE87" s="601">
        <f>VLOOKUP(F87,'2) Tracker'!$A$2:$BO$981,40,FALSE)</f>
        <v>46146</v>
      </c>
      <c r="AF87" s="601" t="str">
        <f>VLOOKUP(F87,'2) Tracker'!$A$2:$BO$981,67,FALSE)</f>
        <v/>
      </c>
      <c r="AG87" s="601" t="str">
        <f>VLOOKUP(F87,'2) Tracker'!$A$2:$BO$981,34,FALSE)</f>
        <v/>
      </c>
      <c r="AH87" s="601" t="str">
        <f>VLOOKUP(F87,'2) Tracker'!$A$2:$BN$981,66,FALSE)</f>
        <v/>
      </c>
      <c r="AI87" s="601" t="str">
        <f>VLOOKUP(F87,'2) Tracker'!$A$2:$BO$981,56,FALSE)</f>
        <v/>
      </c>
      <c r="AJ87" s="601" t="str">
        <f>VLOOKUP(F87,'2) Tracker'!$A$2:$BO$981,52,FALSE)</f>
        <v/>
      </c>
      <c r="AK87" s="601">
        <f>VLOOKUP(F87,'2) Tracker'!$A$2:$AQ$981,43,FALSE)</f>
        <v>46142</v>
      </c>
      <c r="AL87" s="601">
        <f>VLOOKUP(F87,'2) Tracker'!$A$2:$BH$981,46,FALSE())</f>
        <v>46133</v>
      </c>
      <c r="AM87" s="601">
        <f>VLOOKUP(F87,'2) Tracker'!$A$2:$BO$981,65,FALSE())</f>
        <v>46133</v>
      </c>
      <c r="AN87" s="601">
        <f>VLOOKUP(F87,'2) Tracker'!$A$2:$BK$981,63,FALSE())</f>
        <v>46140</v>
      </c>
      <c r="AO87" s="601" t="str">
        <f>VLOOKUP(F87,'2) Tracker'!$A$2:$BF$981,58,FALSE())</f>
        <v/>
      </c>
      <c r="AP87" s="46"/>
      <c r="AQ87" s="46"/>
      <c r="AR87" s="46"/>
      <c r="AS87" s="46"/>
      <c r="AT87" s="46"/>
      <c r="AU87" s="46"/>
      <c r="AV87" s="46"/>
      <c r="AW87" s="46"/>
      <c r="AX87" s="46"/>
      <c r="AY87" s="46"/>
      <c r="AZ87" s="563"/>
      <c r="BA87" s="604" t="e">
        <f>VLOOKUP(AZ87,#REF!,2, FALSE)</f>
        <v>#REF!</v>
      </c>
      <c r="BB87" s="605" t="e">
        <f>VLOOKUP(AZ87,'1) Kpler'!$E$2:$F$500,2,FALSE)</f>
        <v>#N/A</v>
      </c>
      <c r="BC87" s="569"/>
      <c r="BD87" s="563"/>
      <c r="BE87" s="46"/>
      <c r="BF87" s="46"/>
      <c r="BG87" s="563"/>
      <c r="BH87" s="563"/>
      <c r="BI87" s="563"/>
      <c r="BJ87" s="563"/>
    </row>
    <row r="88" spans="2:62" x14ac:dyDescent="0.25">
      <c r="B88" s="589">
        <f>VLOOKUP(F88,'2) Tracker'!$A$3:$O$411,5,FALSE)</f>
        <v>0</v>
      </c>
      <c r="C88" s="589">
        <f>VLOOKUP(F88,'2) Tracker'!$A$3:$O$411,4,FALSE)</f>
        <v>0</v>
      </c>
      <c r="D88" s="563"/>
      <c r="E88" s="563">
        <f>VLOOKUP(F88,'2) Tracker'!$A$3:$O$407,15,FALSE)</f>
        <v>0</v>
      </c>
      <c r="F88" s="561" t="s">
        <v>291</v>
      </c>
      <c r="G88" s="617">
        <f>VLOOKUP(F88,'2) Tracker'!$A$2:$BO$361,2,FALSE)</f>
        <v>37773</v>
      </c>
      <c r="H88" s="592">
        <f>VLOOKUP(F88,'2) Tracker'!$A$2:$BO$361,3,FALSE)</f>
        <v>78934</v>
      </c>
      <c r="I88" s="600" t="str">
        <f>VLOOKUP(F88,'2) Tracker'!$A$2:$BO$361,9,FALSE)</f>
        <v>Astomos</v>
      </c>
      <c r="J88" s="594" t="str">
        <f>VLOOKUP(F88,'2) Tracker'!$A$2:$BO$361,12,FALSE)</f>
        <v>loads USG</v>
      </c>
      <c r="K88" s="595">
        <f t="shared" ref="K88:O88" si="174">AD88</f>
        <v>46146</v>
      </c>
      <c r="L88" s="595">
        <f t="shared" si="174"/>
        <v>46146</v>
      </c>
      <c r="M88" s="596">
        <f t="shared" si="174"/>
        <v>46178</v>
      </c>
      <c r="N88" s="597" t="str">
        <f t="shared" si="174"/>
        <v/>
      </c>
      <c r="O88" s="597" t="str">
        <f t="shared" si="174"/>
        <v/>
      </c>
      <c r="P88" s="598" t="str">
        <f>IFERROR(IF(VLOOKUP(F88,'Voyage days'!$M$808:$N$819,2,FALSE),"GOA",""),"")</f>
        <v/>
      </c>
      <c r="Q88" s="596" t="str">
        <f t="shared" ref="Q88:R88" si="175">AM88</f>
        <v/>
      </c>
      <c r="R88" s="595" t="str">
        <f t="shared" si="175"/>
        <v/>
      </c>
      <c r="S88" s="595">
        <f t="shared" si="2"/>
        <v>46166</v>
      </c>
      <c r="T88" s="596" t="str">
        <f t="shared" si="3"/>
        <v/>
      </c>
      <c r="U88" s="595" t="str">
        <f t="shared" si="4"/>
        <v/>
      </c>
      <c r="V88" s="570" t="s">
        <v>1577</v>
      </c>
      <c r="W88" s="596" t="str">
        <f t="shared" si="5"/>
        <v/>
      </c>
      <c r="X88" s="599" t="str">
        <f t="shared" si="6"/>
        <v/>
      </c>
      <c r="Y88" s="594"/>
      <c r="Z88" s="600" t="str">
        <f>VLOOKUP(F88,'2) Tracker'!$A$3:$Q$505,16,FALSE)</f>
        <v>ETA USG 04 May via Cape Proxy / SWAP give 05-06 May / take back 15-16 May</v>
      </c>
      <c r="AA88" s="600" t="str">
        <f>VLOOKUP(F88,'2) Tracker'!$A$3:$R$505,18,FALSE)</f>
        <v>Astomos 04-05 May USG</v>
      </c>
      <c r="AB88" s="600">
        <f>VLOOKUP(F88,'2) Tracker'!$A$3:$Q$505,17,FALSE)</f>
        <v>0</v>
      </c>
      <c r="AC88" s="601"/>
      <c r="AD88" s="601">
        <f>VLOOKUP(F88,'2) Tracker'!$A$2:$BO$981,37,FALSE)</f>
        <v>46146</v>
      </c>
      <c r="AE88" s="601">
        <f>VLOOKUP(F88,'2) Tracker'!$A$2:$BO$981,40,FALSE)</f>
        <v>46146</v>
      </c>
      <c r="AF88" s="601">
        <f>VLOOKUP(F88,'2) Tracker'!$A$2:$BO$981,67,FALSE)</f>
        <v>46178</v>
      </c>
      <c r="AG88" s="601" t="str">
        <f>VLOOKUP(F88,'2) Tracker'!$A$2:$BO$981,34,FALSE)</f>
        <v/>
      </c>
      <c r="AH88" s="601" t="str">
        <f>VLOOKUP(F88,'2) Tracker'!$A$2:$BN$981,66,FALSE)</f>
        <v/>
      </c>
      <c r="AI88" s="601" t="str">
        <f>VLOOKUP(F88,'2) Tracker'!$A$2:$BO$981,56,FALSE)</f>
        <v/>
      </c>
      <c r="AJ88" s="601" t="str">
        <f>VLOOKUP(F88,'2) Tracker'!$A$2:$BO$981,52,FALSE)</f>
        <v/>
      </c>
      <c r="AK88" s="601" t="str">
        <f>VLOOKUP(F88,'2) Tracker'!$A$2:$AQ$981,43,FALSE)</f>
        <v/>
      </c>
      <c r="AL88" s="601">
        <f>VLOOKUP(F88,'2) Tracker'!$A$2:$BH$981,46,FALSE())</f>
        <v>46166</v>
      </c>
      <c r="AM88" s="601" t="str">
        <f>VLOOKUP(F88,'2) Tracker'!$A$2:$BO$981,65,FALSE())</f>
        <v/>
      </c>
      <c r="AN88" s="601" t="str">
        <f>VLOOKUP(F88,'2) Tracker'!$A$2:$BK$981,63,FALSE())</f>
        <v/>
      </c>
      <c r="AO88" s="601" t="str">
        <f>VLOOKUP(F88,'2) Tracker'!$A$2:$BF$981,58,FALSE())</f>
        <v/>
      </c>
      <c r="AP88" s="46"/>
      <c r="AQ88" s="46"/>
      <c r="AR88" s="46"/>
      <c r="AS88" s="46"/>
      <c r="AT88" s="46"/>
      <c r="AU88" s="46"/>
      <c r="AV88" s="46"/>
      <c r="AW88" s="46"/>
      <c r="AX88" s="46"/>
      <c r="AY88" s="46"/>
      <c r="AZ88" s="563"/>
      <c r="BA88" s="569"/>
      <c r="BB88" s="563"/>
      <c r="BC88" s="569"/>
      <c r="BD88" s="563"/>
      <c r="BE88" s="46"/>
      <c r="BF88" s="46"/>
      <c r="BG88" s="563"/>
      <c r="BH88" s="563"/>
      <c r="BI88" s="563"/>
      <c r="BJ88" s="563"/>
    </row>
    <row r="89" spans="2:62" x14ac:dyDescent="0.25">
      <c r="B89" s="589">
        <f>VLOOKUP(F89,'2) Tracker'!$A$3:$O$411,5,FALSE)</f>
        <v>0</v>
      </c>
      <c r="C89" s="589">
        <f>VLOOKUP(F89,'2) Tracker'!$A$3:$O$411,4,FALSE)</f>
        <v>0</v>
      </c>
      <c r="D89" s="563"/>
      <c r="E89" s="563" t="str">
        <f>VLOOKUP(F89,'2) Tracker'!$A$3:$O$407,15,FALSE)</f>
        <v>R</v>
      </c>
      <c r="F89" s="629" t="s">
        <v>275</v>
      </c>
      <c r="G89" s="615">
        <f>VLOOKUP(F89,'2) Tracker'!$A$2:$BO$361,2,FALSE)</f>
        <v>2008</v>
      </c>
      <c r="H89" s="592">
        <f>VLOOKUP(F89,'2) Tracker'!$A$2:$BO$361,3,FALSE)</f>
        <v>82200</v>
      </c>
      <c r="I89" s="600" t="str">
        <f>VLOOKUP(F89,'2) Tracker'!$A$2:$BO$361,9,FALSE)</f>
        <v>SwissChemGas</v>
      </c>
      <c r="J89" s="594" t="str">
        <f>VLOOKUP(F89,'2) Tracker'!$A$2:$BO$361,12,FALSE)</f>
        <v>loads USG</v>
      </c>
      <c r="K89" s="596">
        <f t="shared" ref="K89:O89" si="176">AD89</f>
        <v>46146</v>
      </c>
      <c r="L89" s="596">
        <f t="shared" si="176"/>
        <v>46146</v>
      </c>
      <c r="M89" s="596">
        <f t="shared" si="176"/>
        <v>46178</v>
      </c>
      <c r="N89" s="596" t="str">
        <f t="shared" si="176"/>
        <v/>
      </c>
      <c r="O89" s="597" t="str">
        <f t="shared" si="176"/>
        <v/>
      </c>
      <c r="P89" s="633" t="s">
        <v>1567</v>
      </c>
      <c r="Q89" s="597" t="str">
        <f t="shared" ref="Q89:R89" si="177">AM89</f>
        <v/>
      </c>
      <c r="R89" s="596" t="str">
        <f t="shared" si="177"/>
        <v/>
      </c>
      <c r="S89" s="595">
        <f t="shared" si="2"/>
        <v>46166</v>
      </c>
      <c r="T89" s="595" t="str">
        <f t="shared" si="3"/>
        <v/>
      </c>
      <c r="U89" s="596" t="str">
        <f t="shared" si="4"/>
        <v/>
      </c>
      <c r="V89" s="596"/>
      <c r="W89" s="596" t="str">
        <f t="shared" si="5"/>
        <v/>
      </c>
      <c r="X89" s="599" t="str">
        <f t="shared" si="6"/>
        <v/>
      </c>
      <c r="Y89" s="614" t="s">
        <v>1604</v>
      </c>
      <c r="Z89" s="600" t="str">
        <f>VLOOKUP(F89,'2) Tracker'!$A$3:$Q$505,16,FALSE)</f>
        <v>ETA Balboa 28 Apr / SWAP - give back 05-06 May</v>
      </c>
      <c r="AA89" s="600" t="str">
        <f>VLOOKUP(F89,'2) Tracker'!$A$3:$R$505,18,FALSE)</f>
        <v>BWPS 04-05 May USG</v>
      </c>
      <c r="AB89" s="600">
        <f>VLOOKUP(F89,'2) Tracker'!$A$3:$Q$505,17,FALSE)</f>
        <v>0</v>
      </c>
      <c r="AC89" s="601"/>
      <c r="AD89" s="601">
        <f>VLOOKUP(F89,'2) Tracker'!$A$2:$BO$981,37,FALSE)</f>
        <v>46146</v>
      </c>
      <c r="AE89" s="601">
        <f>VLOOKUP(F89,'2) Tracker'!$A$2:$BO$981,40,FALSE)</f>
        <v>46146</v>
      </c>
      <c r="AF89" s="601">
        <f>VLOOKUP(F89,'2) Tracker'!$A$2:$BO$981,67,FALSE)</f>
        <v>46178</v>
      </c>
      <c r="AG89" s="601" t="str">
        <f>VLOOKUP(F89,'2) Tracker'!$A$2:$BO$981,34,FALSE)</f>
        <v/>
      </c>
      <c r="AH89" s="601" t="str">
        <f>VLOOKUP(F89,'2) Tracker'!$A$2:$BN$981,66,FALSE)</f>
        <v/>
      </c>
      <c r="AI89" s="601" t="str">
        <f>VLOOKUP(F89,'2) Tracker'!$A$2:$BO$981,56,FALSE)</f>
        <v/>
      </c>
      <c r="AJ89" s="601" t="str">
        <f>VLOOKUP(F89,'2) Tracker'!$A$2:$BO$981,52,FALSE)</f>
        <v/>
      </c>
      <c r="AK89" s="601" t="str">
        <f>VLOOKUP(F89,'2) Tracker'!$A$2:$AQ$981,43,FALSE)</f>
        <v/>
      </c>
      <c r="AL89" s="601">
        <f>VLOOKUP(F89,'2) Tracker'!$A$2:$BH$981,46,FALSE())</f>
        <v>46166</v>
      </c>
      <c r="AM89" s="601" t="str">
        <f>VLOOKUP(F89,'2) Tracker'!$A$2:$BO$981,65,FALSE())</f>
        <v/>
      </c>
      <c r="AN89" s="601" t="str">
        <f>VLOOKUP(F89,'2) Tracker'!$A$2:$BK$981,63,FALSE())</f>
        <v/>
      </c>
      <c r="AO89" s="601" t="str">
        <f>VLOOKUP(F89,'2) Tracker'!$A$2:$BF$981,58,FALSE())</f>
        <v/>
      </c>
      <c r="AP89" s="46"/>
      <c r="AQ89" s="46"/>
      <c r="AR89" s="46"/>
      <c r="AS89" s="46"/>
      <c r="AT89" s="46"/>
      <c r="AU89" s="46"/>
      <c r="AV89" s="46"/>
      <c r="AW89" s="46"/>
      <c r="AX89" s="46"/>
      <c r="AY89" s="46"/>
      <c r="AZ89" s="563"/>
      <c r="BA89" s="604" t="e">
        <f>VLOOKUP(AZ89,#REF!,2, FALSE)</f>
        <v>#REF!</v>
      </c>
      <c r="BB89" s="605" t="e">
        <f>VLOOKUP(AZ89,'1) Kpler'!$E$2:$F$500,2,FALSE)</f>
        <v>#N/A</v>
      </c>
      <c r="BC89" s="569"/>
      <c r="BD89" s="563"/>
      <c r="BE89" s="46"/>
      <c r="BF89" s="46"/>
      <c r="BG89" s="563"/>
      <c r="BH89" s="563"/>
      <c r="BI89" s="563"/>
      <c r="BJ89" s="563"/>
    </row>
    <row r="90" spans="2:62" x14ac:dyDescent="0.25">
      <c r="B90" s="589">
        <f>VLOOKUP(F90,'2) Tracker'!$A$3:$O$411,5,FALSE)</f>
        <v>0</v>
      </c>
      <c r="C90" s="589">
        <f>VLOOKUP(F90,'2) Tracker'!$A$3:$O$411,4,FALSE)</f>
        <v>0</v>
      </c>
      <c r="D90" s="563"/>
      <c r="E90" s="563">
        <f>VLOOKUP(F90,'2) Tracker'!$A$3:$O$407,15,FALSE)</f>
        <v>0</v>
      </c>
      <c r="F90" s="604" t="s">
        <v>322</v>
      </c>
      <c r="G90" s="607">
        <f>VLOOKUP(F90,'2) Tracker'!$A$2:$BO$361,2,FALSE)</f>
        <v>40961</v>
      </c>
      <c r="H90" s="592">
        <f>VLOOKUP(F90,'2) Tracker'!$A$2:$BO$361,3,FALSE)</f>
        <v>78000</v>
      </c>
      <c r="I90" s="594" t="str">
        <f>VLOOKUP(F90,'2) Tracker'!$A$2:$BO$361,9,FALSE)</f>
        <v>PTT</v>
      </c>
      <c r="J90" s="594" t="str">
        <f>VLOOKUP(F90,'2) Tracker'!$A$2:$BO$361,12,FALSE)</f>
        <v>loads USG</v>
      </c>
      <c r="K90" s="595">
        <f t="shared" ref="K90:O90" si="178">AD90</f>
        <v>46147</v>
      </c>
      <c r="L90" s="595">
        <f t="shared" si="178"/>
        <v>46147</v>
      </c>
      <c r="M90" s="596">
        <f t="shared" si="178"/>
        <v>46179</v>
      </c>
      <c r="N90" s="596" t="str">
        <f t="shared" si="178"/>
        <v/>
      </c>
      <c r="O90" s="597" t="str">
        <f t="shared" si="178"/>
        <v/>
      </c>
      <c r="P90" s="598" t="str">
        <f>IFERROR(IF(VLOOKUP(F90,'Voyage days'!$M$808:$N$819,2,FALSE),"GOA",""),"")</f>
        <v/>
      </c>
      <c r="Q90" s="596" t="str">
        <f t="shared" ref="Q90:R90" si="179">AM90</f>
        <v/>
      </c>
      <c r="R90" s="595" t="str">
        <f t="shared" si="179"/>
        <v/>
      </c>
      <c r="S90" s="595">
        <f t="shared" si="2"/>
        <v>46167</v>
      </c>
      <c r="T90" s="596" t="str">
        <f t="shared" si="3"/>
        <v/>
      </c>
      <c r="U90" s="595" t="str">
        <f t="shared" si="4"/>
        <v/>
      </c>
      <c r="V90" s="596"/>
      <c r="W90" s="596" t="str">
        <f t="shared" si="5"/>
        <v/>
      </c>
      <c r="X90" s="599" t="str">
        <f t="shared" si="6"/>
        <v/>
      </c>
      <c r="Y90" s="611" t="s">
        <v>1170</v>
      </c>
      <c r="Z90" s="600" t="str">
        <f>VLOOKUP(F90,'2) Tracker'!$A$3:$Q$505,16,FALSE)</f>
        <v>ETA USG 03 May via Cape</v>
      </c>
      <c r="AA90" s="600" t="str">
        <f>VLOOKUP(F90,'2) Tracker'!$A$3:$R$505,18,FALSE)</f>
        <v>ATC 05-06 May USG</v>
      </c>
      <c r="AB90" s="600" t="str">
        <f>VLOOKUP(F90,'2) Tracker'!$A$3:$Q$505,17,FALSE)</f>
        <v xml:space="preserve">"14 knots speed" </v>
      </c>
      <c r="AC90" s="601"/>
      <c r="AD90" s="601">
        <f>VLOOKUP(F90,'2) Tracker'!$A$2:$BO$981,37,FALSE)</f>
        <v>46147</v>
      </c>
      <c r="AE90" s="601">
        <f>VLOOKUP(F90,'2) Tracker'!$A$2:$BO$981,40,FALSE)</f>
        <v>46147</v>
      </c>
      <c r="AF90" s="601">
        <f>VLOOKUP(F90,'2) Tracker'!$A$2:$BO$981,67,FALSE)</f>
        <v>46179</v>
      </c>
      <c r="AG90" s="601" t="str">
        <f>VLOOKUP(F90,'2) Tracker'!$A$2:$BO$981,34,FALSE)</f>
        <v/>
      </c>
      <c r="AH90" s="601" t="str">
        <f>VLOOKUP(F90,'2) Tracker'!$A$2:$BN$981,66,FALSE)</f>
        <v/>
      </c>
      <c r="AI90" s="620" t="str">
        <f>VLOOKUP(F90,'2) Tracker'!$A$2:$BO$981,56,FALSE)</f>
        <v/>
      </c>
      <c r="AJ90" s="601" t="str">
        <f>VLOOKUP(F90,'2) Tracker'!$A$2:$BO$981,52,FALSE)</f>
        <v/>
      </c>
      <c r="AK90" s="601" t="str">
        <f>VLOOKUP(F90,'2) Tracker'!$A$2:$AQ$981,43,FALSE)</f>
        <v/>
      </c>
      <c r="AL90" s="601">
        <f>VLOOKUP(F90,'2) Tracker'!$A$2:$BH$981,46,FALSE())</f>
        <v>46167</v>
      </c>
      <c r="AM90" s="601" t="str">
        <f>VLOOKUP(F90,'2) Tracker'!$A$2:$BO$981,65,FALSE())</f>
        <v/>
      </c>
      <c r="AN90" s="601" t="str">
        <f>VLOOKUP(F90,'2) Tracker'!$A$2:$BK$981,63,FALSE())</f>
        <v/>
      </c>
      <c r="AO90" s="601" t="str">
        <f>VLOOKUP(F90,'2) Tracker'!$A$2:$BF$981,58,FALSE())</f>
        <v/>
      </c>
      <c r="AP90" s="46"/>
      <c r="AQ90" s="46"/>
      <c r="AR90" s="46"/>
      <c r="AS90" s="46"/>
      <c r="AT90" s="46"/>
      <c r="AU90" s="46"/>
      <c r="AV90" s="46"/>
      <c r="AW90" s="46"/>
      <c r="AX90" s="46"/>
      <c r="AY90" s="46"/>
      <c r="AZ90" s="563"/>
      <c r="BA90" s="569"/>
      <c r="BB90" s="563"/>
      <c r="BC90" s="569"/>
      <c r="BD90" s="563"/>
      <c r="BE90" s="46"/>
      <c r="BF90" s="46"/>
      <c r="BG90" s="563"/>
      <c r="BH90" s="563"/>
      <c r="BI90" s="563"/>
      <c r="BJ90" s="563"/>
    </row>
    <row r="91" spans="2:62" x14ac:dyDescent="0.25">
      <c r="B91" s="589">
        <f>VLOOKUP(F91,'2) Tracker'!$A$3:$O$411,5,FALSE)</f>
        <v>0</v>
      </c>
      <c r="C91" s="589">
        <f>VLOOKUP(F91,'2) Tracker'!$A$3:$O$411,4,FALSE)</f>
        <v>0</v>
      </c>
      <c r="D91" s="563" t="s">
        <v>1569</v>
      </c>
      <c r="E91" s="563">
        <f>VLOOKUP(F91,'2) Tracker'!$A$3:$O$407,15,FALSE)</f>
        <v>0</v>
      </c>
      <c r="F91" s="590" t="s">
        <v>622</v>
      </c>
      <c r="G91" s="591">
        <v>2026</v>
      </c>
      <c r="H91" s="592">
        <f>VLOOKUP(F91,'2) Tracker'!$A$2:$BO$361,3,FALSE)</f>
        <v>88000</v>
      </c>
      <c r="I91" s="600" t="str">
        <f>VLOOKUP(F91,'2) Tracker'!$A$2:$BO$361,9,FALSE)</f>
        <v>Gunvor</v>
      </c>
      <c r="J91" s="594" t="str">
        <f>VLOOKUP(F91,'2) Tracker'!$A$2:$BO$361,12,FALSE)</f>
        <v>loads USG</v>
      </c>
      <c r="K91" s="596">
        <f t="shared" ref="K91:O91" si="180">AD91</f>
        <v>46147</v>
      </c>
      <c r="L91" s="596">
        <f t="shared" si="180"/>
        <v>46147</v>
      </c>
      <c r="M91" s="596">
        <f t="shared" si="180"/>
        <v>46179</v>
      </c>
      <c r="N91" s="596" t="str">
        <f t="shared" si="180"/>
        <v/>
      </c>
      <c r="O91" s="597" t="str">
        <f t="shared" si="180"/>
        <v/>
      </c>
      <c r="P91" s="598" t="str">
        <f>IFERROR(IF(VLOOKUP(F91,'Voyage days'!$M$808:$N$819,2,FALSE),"GOA",""),"")</f>
        <v/>
      </c>
      <c r="Q91" s="596" t="str">
        <f t="shared" ref="Q91:R91" si="181">AM91</f>
        <v/>
      </c>
      <c r="R91" s="596" t="str">
        <f t="shared" si="181"/>
        <v/>
      </c>
      <c r="S91" s="595">
        <f t="shared" si="2"/>
        <v>46167</v>
      </c>
      <c r="T91" s="595" t="str">
        <f t="shared" si="3"/>
        <v/>
      </c>
      <c r="U91" s="596" t="str">
        <f t="shared" si="4"/>
        <v/>
      </c>
      <c r="V91" s="596"/>
      <c r="W91" s="596" t="str">
        <f t="shared" si="5"/>
        <v/>
      </c>
      <c r="X91" s="599" t="str">
        <f t="shared" si="6"/>
        <v/>
      </c>
      <c r="Y91" s="594"/>
      <c r="Z91" s="600" t="str">
        <f>VLOOKUP(F91,'2) Tracker'!$A$3:$Q$505,16,FALSE)</f>
        <v>ETA USG 5 May</v>
      </c>
      <c r="AA91" s="600" t="str">
        <f>VLOOKUP(F91,'2) Tracker'!$A$3:$R$505,18,FALSE)</f>
        <v>Gunvor 10-11 May USG</v>
      </c>
      <c r="AB91" s="600">
        <f>VLOOKUP(F91,'2) Tracker'!$A$3:$Q$505,17,FALSE)</f>
        <v>0</v>
      </c>
      <c r="AC91" s="601"/>
      <c r="AD91" s="601">
        <f>VLOOKUP(F91,'2) Tracker'!$A$2:$BO$981,37,FALSE)</f>
        <v>46147</v>
      </c>
      <c r="AE91" s="601">
        <f>VLOOKUP(F91,'2) Tracker'!$A$2:$BO$981,40,FALSE)</f>
        <v>46147</v>
      </c>
      <c r="AF91" s="601">
        <f>VLOOKUP(F91,'2) Tracker'!$A$2:$BO$981,67,FALSE)</f>
        <v>46179</v>
      </c>
      <c r="AG91" s="601" t="str">
        <f>VLOOKUP(F91,'2) Tracker'!$A$2:$BO$981,34,FALSE)</f>
        <v/>
      </c>
      <c r="AH91" s="601" t="str">
        <f>VLOOKUP(F91,'2) Tracker'!$A$2:$BN$981,66,FALSE)</f>
        <v/>
      </c>
      <c r="AI91" s="620" t="str">
        <f>VLOOKUP(F91,'2) Tracker'!$A$2:$BO$981,56,FALSE)</f>
        <v/>
      </c>
      <c r="AJ91" s="620" t="str">
        <f>VLOOKUP(F91,'2) Tracker'!$A$2:$BO$981,52,FALSE)</f>
        <v/>
      </c>
      <c r="AK91" s="620" t="str">
        <f>VLOOKUP(F91,'2) Tracker'!$A$2:$AQ$981,43,FALSE)</f>
        <v/>
      </c>
      <c r="AL91" s="621">
        <f>VLOOKUP(F91,'2) Tracker'!$A$2:$BH$981,46,FALSE())</f>
        <v>46167</v>
      </c>
      <c r="AM91" s="621" t="str">
        <f>VLOOKUP(F91,'2) Tracker'!$A$2:$BO$981,65,FALSE())</f>
        <v/>
      </c>
      <c r="AN91" s="621" t="str">
        <f>VLOOKUP(F91,'2) Tracker'!$A$2:$BK$981,63,FALSE())</f>
        <v/>
      </c>
      <c r="AO91" s="621" t="str">
        <f>VLOOKUP(F91,'2) Tracker'!$A$2:$BF$981,58,FALSE())</f>
        <v/>
      </c>
      <c r="AP91" s="46"/>
      <c r="AQ91" s="46"/>
      <c r="AR91" s="46"/>
      <c r="AS91" s="46"/>
      <c r="AT91" s="46"/>
      <c r="AU91" s="46"/>
      <c r="AV91" s="46"/>
      <c r="AW91" s="46"/>
      <c r="AX91" s="46"/>
      <c r="AY91" s="46"/>
      <c r="AZ91" s="605"/>
      <c r="BA91" s="604" t="e">
        <f>VLOOKUP(AZ91,#REF!,2, FALSE)</f>
        <v>#REF!</v>
      </c>
      <c r="BB91" s="605" t="e">
        <f>VLOOKUP(AZ91,'1) Kpler'!$E$2:$F$500,2,FALSE)</f>
        <v>#N/A</v>
      </c>
      <c r="BC91" s="604"/>
      <c r="BD91" s="605"/>
      <c r="BE91" s="46"/>
      <c r="BF91" s="46"/>
      <c r="BG91" s="605"/>
      <c r="BH91" s="605"/>
      <c r="BI91" s="605"/>
      <c r="BJ91" s="605"/>
    </row>
    <row r="92" spans="2:62" x14ac:dyDescent="0.25">
      <c r="B92" s="589">
        <f>VLOOKUP(F92,'2) Tracker'!$A$3:$O$411,5,FALSE)</f>
        <v>0</v>
      </c>
      <c r="C92" s="589" t="str">
        <f>VLOOKUP(F92,'2) Tracker'!$A$3:$O$411,4,FALSE)</f>
        <v>US</v>
      </c>
      <c r="D92" s="563"/>
      <c r="E92" s="563" t="str">
        <f>VLOOKUP(F92,'2) Tracker'!$A$3:$O$407,15,FALSE)</f>
        <v>eu</v>
      </c>
      <c r="F92" s="569" t="s">
        <v>190</v>
      </c>
      <c r="G92" s="607">
        <f>VLOOKUP(F92,'2) Tracker'!$A$2:$BO$361,2,FALSE)</f>
        <v>41848</v>
      </c>
      <c r="H92" s="592">
        <f>VLOOKUP(F92,'2) Tracker'!$A$2:$BO$361,3,FALSE)</f>
        <v>84000</v>
      </c>
      <c r="I92" s="594" t="str">
        <f>VLOOKUP(F92,'2) Tracker'!$A$2:$BO$361,9,FALSE)</f>
        <v>Helios</v>
      </c>
      <c r="J92" s="594" t="str">
        <f>VLOOKUP(F92,'2) Tracker'!$A$2:$BO$361,12,FALSE)</f>
        <v>Eu</v>
      </c>
      <c r="K92" s="595">
        <f t="shared" ref="K92:O92" si="182">AD92</f>
        <v>46147</v>
      </c>
      <c r="L92" s="595">
        <f t="shared" si="182"/>
        <v>46148</v>
      </c>
      <c r="M92" s="596" t="str">
        <f t="shared" si="182"/>
        <v/>
      </c>
      <c r="N92" s="596" t="str">
        <f t="shared" si="182"/>
        <v/>
      </c>
      <c r="O92" s="597" t="str">
        <f t="shared" si="182"/>
        <v/>
      </c>
      <c r="P92" s="598" t="str">
        <f>IFERROR(IF(VLOOKUP(F92,'Voyage days'!$M$808:$N$819,2,FALSE),"GOA",""),"")</f>
        <v/>
      </c>
      <c r="Q92" s="596">
        <f t="shared" ref="Q92:R92" si="183">AM92</f>
        <v>46134</v>
      </c>
      <c r="R92" s="595">
        <f t="shared" si="183"/>
        <v>46147</v>
      </c>
      <c r="S92" s="595">
        <f t="shared" si="2"/>
        <v>46135</v>
      </c>
      <c r="T92" s="596">
        <f t="shared" si="3"/>
        <v>46144</v>
      </c>
      <c r="U92" s="595" t="str">
        <f t="shared" si="4"/>
        <v/>
      </c>
      <c r="V92" s="570" t="s">
        <v>1577</v>
      </c>
      <c r="W92" s="616" t="str">
        <f t="shared" si="5"/>
        <v/>
      </c>
      <c r="X92" s="599" t="str">
        <f t="shared" si="6"/>
        <v/>
      </c>
      <c r="Y92" s="594"/>
      <c r="Z92" s="600" t="str">
        <f>VLOOKUP(F92,'2) Tracker'!$A$3:$Q$505,16,FALSE)</f>
        <v>ETA Ternuezen 16 Apr</v>
      </c>
      <c r="AA92" s="600" t="str">
        <f>VLOOKUP(F92,'2) Tracker'!$A$3:$R$505,18,FALSE)</f>
        <v>COA 27-28 Mar Enterprise</v>
      </c>
      <c r="AB92" s="600">
        <f>VLOOKUP(F92,'2) Tracker'!$A$3:$Q$505,17,FALSE)</f>
        <v>0</v>
      </c>
      <c r="AC92" s="601"/>
      <c r="AD92" s="601">
        <f>VLOOKUP(F92,'2) Tracker'!$A$2:$BO$981,37,FALSE)</f>
        <v>46147</v>
      </c>
      <c r="AE92" s="601">
        <f>VLOOKUP(F92,'2) Tracker'!$A$2:$BO$981,40,FALSE)</f>
        <v>46148</v>
      </c>
      <c r="AF92" s="601" t="str">
        <f>VLOOKUP(F92,'2) Tracker'!$A$2:$BO$981,67,FALSE)</f>
        <v/>
      </c>
      <c r="AG92" s="601" t="str">
        <f>VLOOKUP(F92,'2) Tracker'!$A$2:$BO$981,34,FALSE)</f>
        <v/>
      </c>
      <c r="AH92" s="601" t="str">
        <f>VLOOKUP(F92,'2) Tracker'!$A$2:$BN$981,66,FALSE)</f>
        <v/>
      </c>
      <c r="AI92" s="601" t="str">
        <f>VLOOKUP(F92,'2) Tracker'!$A$2:$BO$981,56,FALSE)</f>
        <v/>
      </c>
      <c r="AJ92" s="601" t="str">
        <f>VLOOKUP(F92,'2) Tracker'!$A$2:$BO$981,52,FALSE)</f>
        <v/>
      </c>
      <c r="AK92" s="601">
        <f>VLOOKUP(F92,'2) Tracker'!$A$2:$AQ$981,43,FALSE)</f>
        <v>46144</v>
      </c>
      <c r="AL92" s="601">
        <f>VLOOKUP(F92,'2) Tracker'!$A$2:$BH$981,46,FALSE())</f>
        <v>46135</v>
      </c>
      <c r="AM92" s="601">
        <f>VLOOKUP(F92,'2) Tracker'!$A$2:$BO$981,65,FALSE())</f>
        <v>46134</v>
      </c>
      <c r="AN92" s="601">
        <f>VLOOKUP(F92,'2) Tracker'!$A$2:$BK$981,63,FALSE())</f>
        <v>46147</v>
      </c>
      <c r="AO92" s="601" t="str">
        <f>VLOOKUP(F92,'2) Tracker'!$A$2:$BF$981,58,FALSE())</f>
        <v/>
      </c>
      <c r="AP92" s="46"/>
      <c r="AQ92" s="46"/>
      <c r="AR92" s="46"/>
      <c r="AS92" s="46"/>
      <c r="AT92" s="46"/>
      <c r="AU92" s="46"/>
      <c r="AV92" s="46"/>
      <c r="AW92" s="46"/>
      <c r="AX92" s="46"/>
      <c r="AY92" s="46"/>
      <c r="AZ92" s="563"/>
      <c r="BA92" s="604" t="e">
        <f>VLOOKUP(AZ92,#REF!,2, FALSE)</f>
        <v>#REF!</v>
      </c>
      <c r="BB92" s="605" t="e">
        <f>VLOOKUP(AZ92,'1) Kpler'!$E$2:$F$500,2,FALSE)</f>
        <v>#N/A</v>
      </c>
      <c r="BC92" s="569"/>
      <c r="BD92" s="563"/>
      <c r="BE92" s="46"/>
      <c r="BF92" s="46"/>
      <c r="BG92" s="563"/>
      <c r="BH92" s="563"/>
      <c r="BI92" s="563"/>
      <c r="BJ92" s="563"/>
    </row>
    <row r="93" spans="2:62" x14ac:dyDescent="0.25">
      <c r="B93" s="589">
        <f>VLOOKUP(F93,'2) Tracker'!$A$3:$O$411,5,FALSE)</f>
        <v>0</v>
      </c>
      <c r="C93" s="589" t="str">
        <f>VLOOKUP(F93,'2) Tracker'!$A$3:$O$411,4,FALSE)</f>
        <v>US</v>
      </c>
      <c r="D93" s="563"/>
      <c r="E93" s="563" t="str">
        <f>VLOOKUP(F93,'2) Tracker'!$A$3:$O$407,15,FALSE)</f>
        <v>O</v>
      </c>
      <c r="F93" s="604" t="s">
        <v>208</v>
      </c>
      <c r="G93" s="607">
        <f>VLOOKUP(F93,'2) Tracker'!$A$2:$BO$361,2,FALSE)</f>
        <v>42248</v>
      </c>
      <c r="H93" s="592">
        <f>VLOOKUP(F93,'2) Tracker'!$A$2:$BO$361,3,FALSE)</f>
        <v>84000</v>
      </c>
      <c r="I93" s="593" t="str">
        <f>VLOOKUP(F93,'2) Tracker'!$A$2:$BO$361,9,FALSE)</f>
        <v>Helios</v>
      </c>
      <c r="J93" s="594" t="str">
        <f>VLOOKUP(F93,'2) Tracker'!$A$2:$BO$361,12,FALSE)</f>
        <v>Balboa</v>
      </c>
      <c r="K93" s="596">
        <f t="shared" ref="K93:O93" si="184">AD93</f>
        <v>46147</v>
      </c>
      <c r="L93" s="596" t="str">
        <f t="shared" si="184"/>
        <v/>
      </c>
      <c r="M93" s="596" t="str">
        <f t="shared" si="184"/>
        <v/>
      </c>
      <c r="N93" s="596" t="str">
        <f t="shared" si="184"/>
        <v/>
      </c>
      <c r="O93" s="597" t="str">
        <f t="shared" si="184"/>
        <v/>
      </c>
      <c r="P93" s="598" t="str">
        <f>IFERROR(IF(VLOOKUP(F93,'Voyage days'!$M$808:$N$819,2,FALSE),"GOA",""),"")</f>
        <v/>
      </c>
      <c r="Q93" s="596" t="str">
        <f t="shared" ref="Q93:R93" si="185">AM93</f>
        <v/>
      </c>
      <c r="R93" s="596" t="str">
        <f t="shared" si="185"/>
        <v/>
      </c>
      <c r="S93" s="595" t="str">
        <f t="shared" si="2"/>
        <v/>
      </c>
      <c r="T93" s="595" t="str">
        <f t="shared" si="3"/>
        <v/>
      </c>
      <c r="U93" s="596" t="str">
        <f t="shared" si="4"/>
        <v/>
      </c>
      <c r="V93" s="596"/>
      <c r="W93" s="596" t="str">
        <f t="shared" si="5"/>
        <v/>
      </c>
      <c r="X93" s="599" t="str">
        <f t="shared" si="6"/>
        <v/>
      </c>
      <c r="Y93" s="606"/>
      <c r="Z93" s="600" t="str">
        <f>VLOOKUP(F93,'2) Tracker'!$A$3:$Q$505,16,FALSE)</f>
        <v>ETA Balboa 24 Apr, USG 04-05 May</v>
      </c>
      <c r="AA93" s="600" t="str">
        <f>VLOOKUP(F93,'2) Tracker'!$A$3:$R$505,18,FALSE)</f>
        <v>Gyxis 21-22 Feb Enterprise</v>
      </c>
      <c r="AB93" s="600">
        <f>VLOOKUP(F93,'2) Tracker'!$A$3:$Q$505,17,FALSE)</f>
        <v>0</v>
      </c>
      <c r="AC93" s="601"/>
      <c r="AD93" s="601">
        <f>VLOOKUP(F93,'2) Tracker'!$A$2:$BO$981,37,FALSE)</f>
        <v>46147</v>
      </c>
      <c r="AE93" s="601" t="str">
        <f>VLOOKUP(F93,'2) Tracker'!$A$2:$BO$981,40,FALSE)</f>
        <v/>
      </c>
      <c r="AF93" s="601" t="str">
        <f>VLOOKUP(F93,'2) Tracker'!$A$2:$BO$981,67,FALSE)</f>
        <v/>
      </c>
      <c r="AG93" s="601" t="str">
        <f>VLOOKUP(F93,'2) Tracker'!$A$2:$BO$981,34,FALSE)</f>
        <v/>
      </c>
      <c r="AH93" s="601" t="str">
        <f>VLOOKUP(F93,'2) Tracker'!$A$2:$BN$981,66,FALSE)</f>
        <v/>
      </c>
      <c r="AI93" s="601" t="str">
        <f>VLOOKUP(F93,'2) Tracker'!$A$2:$BO$981,56,FALSE)</f>
        <v/>
      </c>
      <c r="AJ93" s="601" t="str">
        <f>VLOOKUP(F93,'2) Tracker'!$A$2:$BO$981,52,FALSE)</f>
        <v/>
      </c>
      <c r="AK93" s="601" t="str">
        <f>VLOOKUP(F93,'2) Tracker'!$A$2:$AQ$981,43,FALSE)</f>
        <v/>
      </c>
      <c r="AL93" s="601" t="str">
        <f>VLOOKUP(F93,'2) Tracker'!$A$2:$BH$981,46,FALSE())</f>
        <v/>
      </c>
      <c r="AM93" s="601" t="str">
        <f>VLOOKUP(F93,'2) Tracker'!$A$2:$BO$981,65,FALSE())</f>
        <v/>
      </c>
      <c r="AN93" s="601" t="str">
        <f>VLOOKUP(F93,'2) Tracker'!$A$2:$BK$981,63,FALSE())</f>
        <v/>
      </c>
      <c r="AO93" s="601" t="str">
        <f>VLOOKUP(F93,'2) Tracker'!$A$2:$BF$981,58,FALSE())</f>
        <v/>
      </c>
      <c r="AP93" s="46"/>
      <c r="AQ93" s="46"/>
      <c r="AR93" s="46"/>
      <c r="AS93" s="46"/>
      <c r="AT93" s="46"/>
      <c r="AU93" s="46"/>
      <c r="AV93" s="46"/>
      <c r="AW93" s="46"/>
      <c r="AX93" s="46"/>
      <c r="AY93" s="46"/>
      <c r="AZ93" s="563"/>
      <c r="BA93" s="569"/>
      <c r="BB93" s="563"/>
      <c r="BC93" s="569"/>
      <c r="BD93" s="563"/>
      <c r="BE93" s="46"/>
      <c r="BF93" s="46"/>
      <c r="BG93" s="563"/>
      <c r="BH93" s="563"/>
      <c r="BI93" s="563"/>
      <c r="BJ93" s="563"/>
    </row>
    <row r="94" spans="2:62" x14ac:dyDescent="0.25">
      <c r="B94" s="589">
        <f>VLOOKUP(F94,'2) Tracker'!$A$3:$O$411,5,FALSE)</f>
        <v>0</v>
      </c>
      <c r="C94" s="589">
        <f>VLOOKUP(F94,'2) Tracker'!$A$3:$O$411,4,FALSE)</f>
        <v>0</v>
      </c>
      <c r="D94" s="563"/>
      <c r="E94" s="563">
        <f>VLOOKUP(F94,'2) Tracker'!$A$3:$O$407,15,FALSE)</f>
        <v>0</v>
      </c>
      <c r="F94" s="569" t="s">
        <v>459</v>
      </c>
      <c r="G94" s="607">
        <f>VLOOKUP(F94,'2) Tracker'!$A$2:$BO$361,2,FALSE)</f>
        <v>42853</v>
      </c>
      <c r="H94" s="592">
        <f>VLOOKUP(F94,'2) Tracker'!$A$2:$BO$361,3,FALSE)</f>
        <v>83000</v>
      </c>
      <c r="I94" s="600" t="str">
        <f>VLOOKUP(F94,'2) Tracker'!$A$2:$BO$361,9,FALSE)</f>
        <v>Shell</v>
      </c>
      <c r="J94" s="594" t="str">
        <f>VLOOKUP(F94,'2) Tracker'!$A$2:$BO$361,12,FALSE)</f>
        <v>loads USG</v>
      </c>
      <c r="K94" s="596">
        <f t="shared" ref="K94:O94" si="186">AD94</f>
        <v>46148</v>
      </c>
      <c r="L94" s="596">
        <f t="shared" si="186"/>
        <v>46148</v>
      </c>
      <c r="M94" s="596">
        <f t="shared" si="186"/>
        <v>46180</v>
      </c>
      <c r="N94" s="596" t="str">
        <f t="shared" si="186"/>
        <v/>
      </c>
      <c r="O94" s="597" t="str">
        <f t="shared" si="186"/>
        <v/>
      </c>
      <c r="P94" s="598" t="str">
        <f>IFERROR(IF(VLOOKUP(F94,'Voyage days'!$M$808:$N$819,2,FALSE),"GOA",""),"")</f>
        <v/>
      </c>
      <c r="Q94" s="596" t="str">
        <f t="shared" ref="Q94:R94" si="187">AM94</f>
        <v/>
      </c>
      <c r="R94" s="596" t="str">
        <f t="shared" si="187"/>
        <v/>
      </c>
      <c r="S94" s="595">
        <f t="shared" si="2"/>
        <v>46168</v>
      </c>
      <c r="T94" s="596" t="str">
        <f t="shared" si="3"/>
        <v/>
      </c>
      <c r="U94" s="596" t="str">
        <f t="shared" si="4"/>
        <v/>
      </c>
      <c r="V94" s="570" t="s">
        <v>1577</v>
      </c>
      <c r="W94" s="596" t="str">
        <f t="shared" si="5"/>
        <v/>
      </c>
      <c r="X94" s="599" t="str">
        <f t="shared" si="6"/>
        <v/>
      </c>
      <c r="Y94" s="614" t="s">
        <v>1604</v>
      </c>
      <c r="Z94" s="600" t="str">
        <f>VLOOKUP(F94,'2) Tracker'!$A$3:$Q$505,16,FALSE)</f>
        <v>ETA Nederland 03 May via Cape</v>
      </c>
      <c r="AA94" s="600" t="str">
        <f>VLOOKUP(F94,'2) Tracker'!$A$3:$R$505,18,FALSE)</f>
        <v>ET 06-07 May Nederland</v>
      </c>
      <c r="AB94" s="600">
        <f>VLOOKUP(F94,'2) Tracker'!$A$3:$Q$505,17,FALSE)</f>
        <v>0</v>
      </c>
      <c r="AC94" s="601"/>
      <c r="AD94" s="601">
        <f>VLOOKUP(F94,'2) Tracker'!$A$2:$BO$981,37,FALSE)</f>
        <v>46148</v>
      </c>
      <c r="AE94" s="601">
        <f>VLOOKUP(F94,'2) Tracker'!$A$2:$BO$981,40,FALSE)</f>
        <v>46148</v>
      </c>
      <c r="AF94" s="601">
        <f>VLOOKUP(F94,'2) Tracker'!$A$2:$BO$981,67,FALSE)</f>
        <v>46180</v>
      </c>
      <c r="AG94" s="601" t="str">
        <f>VLOOKUP(F94,'2) Tracker'!$A$2:$BO$981,34,FALSE)</f>
        <v/>
      </c>
      <c r="AH94" s="601" t="str">
        <f>VLOOKUP(F94,'2) Tracker'!$A$2:$BN$981,66,FALSE)</f>
        <v/>
      </c>
      <c r="AI94" s="601" t="str">
        <f>VLOOKUP(F94,'2) Tracker'!$A$2:$BO$981,56,FALSE)</f>
        <v/>
      </c>
      <c r="AJ94" s="601" t="str">
        <f>VLOOKUP(F94,'2) Tracker'!$A$2:$BO$981,52,FALSE)</f>
        <v/>
      </c>
      <c r="AK94" s="601" t="str">
        <f>VLOOKUP(F94,'2) Tracker'!$A$2:$AQ$981,43,FALSE)</f>
        <v/>
      </c>
      <c r="AL94" s="601">
        <f>VLOOKUP(F94,'2) Tracker'!$A$2:$BH$981,46,FALSE())</f>
        <v>46168</v>
      </c>
      <c r="AM94" s="601" t="str">
        <f>VLOOKUP(F94,'2) Tracker'!$A$2:$BO$981,65,FALSE())</f>
        <v/>
      </c>
      <c r="AN94" s="601" t="str">
        <f>VLOOKUP(F94,'2) Tracker'!$A$2:$BK$981,63,FALSE())</f>
        <v/>
      </c>
      <c r="AO94" s="601" t="str">
        <f>VLOOKUP(F94,'2) Tracker'!$A$2:$BF$981,58,FALSE())</f>
        <v/>
      </c>
      <c r="AP94" s="46"/>
      <c r="AQ94" s="46"/>
      <c r="AR94" s="46"/>
      <c r="AS94" s="46"/>
      <c r="AT94" s="46"/>
      <c r="AU94" s="46"/>
      <c r="AV94" s="46"/>
      <c r="AW94" s="46"/>
      <c r="AX94" s="46"/>
      <c r="AY94" s="46"/>
      <c r="AZ94" s="563" t="s">
        <v>1605</v>
      </c>
      <c r="BA94" s="634" t="e">
        <f>VLOOKUP(AZ94,#REF!,2, FALSE)</f>
        <v>#REF!</v>
      </c>
      <c r="BB94" s="605" t="e">
        <f>VLOOKUP(AZ94,'1) Kpler'!$E$2:$F$500,2,FALSE)</f>
        <v>#N/A</v>
      </c>
      <c r="BC94" s="569"/>
      <c r="BD94" s="563"/>
      <c r="BE94" s="46"/>
      <c r="BF94" s="46"/>
      <c r="BG94" s="563"/>
      <c r="BH94" s="563"/>
      <c r="BI94" s="563"/>
      <c r="BJ94" s="563"/>
    </row>
    <row r="95" spans="2:62" x14ac:dyDescent="0.25">
      <c r="B95" s="589">
        <f>VLOOKUP(F95,'2) Tracker'!$A$3:$O$411,5,FALSE)</f>
        <v>0</v>
      </c>
      <c r="C95" s="589">
        <f>VLOOKUP(F95,'2) Tracker'!$A$3:$O$411,4,FALSE)</f>
        <v>0</v>
      </c>
      <c r="D95" s="563"/>
      <c r="E95" s="563">
        <f>VLOOKUP(F95,'2) Tracker'!$A$3:$O$407,15,FALSE)</f>
        <v>0</v>
      </c>
      <c r="F95" s="629" t="s">
        <v>353</v>
      </c>
      <c r="G95" s="615">
        <f>VLOOKUP(F95,'2) Tracker'!$A$2:$BO$361,2,FALSE)</f>
        <v>2016</v>
      </c>
      <c r="H95" s="592">
        <f>VLOOKUP(F95,'2) Tracker'!$A$2:$BO$361,3,FALSE)</f>
        <v>83000</v>
      </c>
      <c r="I95" s="594" t="str">
        <f>VLOOKUP(F95,'2) Tracker'!$A$2:$BO$361,9,FALSE)</f>
        <v>Eneos&gt;Itochu</v>
      </c>
      <c r="J95" s="594" t="str">
        <f>VLOOKUP(F95,'2) Tracker'!$A$2:$BO$361,12,FALSE)</f>
        <v>loads USG</v>
      </c>
      <c r="K95" s="595">
        <f t="shared" ref="K95:O95" si="188">AD95</f>
        <v>46148</v>
      </c>
      <c r="L95" s="595">
        <f t="shared" si="188"/>
        <v>46148</v>
      </c>
      <c r="M95" s="596">
        <f t="shared" si="188"/>
        <v>46180</v>
      </c>
      <c r="N95" s="596" t="str">
        <f t="shared" si="188"/>
        <v/>
      </c>
      <c r="O95" s="597" t="str">
        <f t="shared" si="188"/>
        <v/>
      </c>
      <c r="P95" s="598" t="str">
        <f>IFERROR(IF(VLOOKUP(F95,'Voyage days'!$M$808:$N$819,2,FALSE),"GOA",""),"")</f>
        <v/>
      </c>
      <c r="Q95" s="596" t="str">
        <f t="shared" ref="Q95:R95" si="189">AM95</f>
        <v/>
      </c>
      <c r="R95" s="595" t="str">
        <f t="shared" si="189"/>
        <v/>
      </c>
      <c r="S95" s="595">
        <f t="shared" si="2"/>
        <v>46168</v>
      </c>
      <c r="T95" s="596" t="str">
        <f t="shared" si="3"/>
        <v/>
      </c>
      <c r="U95" s="595" t="str">
        <f t="shared" si="4"/>
        <v/>
      </c>
      <c r="V95" s="595"/>
      <c r="W95" s="595" t="str">
        <f t="shared" si="5"/>
        <v/>
      </c>
      <c r="X95" s="599" t="str">
        <f t="shared" si="6"/>
        <v/>
      </c>
      <c r="Y95" s="614" t="s">
        <v>1604</v>
      </c>
      <c r="Z95" s="600" t="str">
        <f>VLOOKUP(F95,'2) Tracker'!$A$3:$Q$505,16,FALSE)</f>
        <v>ETA Balboa 25 Apr</v>
      </c>
      <c r="AA95" s="600" t="str">
        <f>VLOOKUP(F95,'2) Tracker'!$A$3:$R$505,18,FALSE)</f>
        <v>Vitol 06-07 May USG</v>
      </c>
      <c r="AB95" s="600">
        <f>VLOOKUP(F95,'2) Tracker'!$A$3:$Q$505,17,FALSE)</f>
        <v>0</v>
      </c>
      <c r="AC95" s="601"/>
      <c r="AD95" s="601">
        <f>VLOOKUP(F95,'2) Tracker'!$A$2:$BO$981,37,FALSE)</f>
        <v>46148</v>
      </c>
      <c r="AE95" s="601">
        <f>VLOOKUP(F95,'2) Tracker'!$A$2:$BO$981,40,FALSE)</f>
        <v>46148</v>
      </c>
      <c r="AF95" s="601">
        <f>VLOOKUP(F95,'2) Tracker'!$A$2:$BO$981,67,FALSE)</f>
        <v>46180</v>
      </c>
      <c r="AG95" s="601" t="str">
        <f>VLOOKUP(F95,'2) Tracker'!$A$2:$BO$981,34,FALSE)</f>
        <v/>
      </c>
      <c r="AH95" s="601" t="str">
        <f>VLOOKUP(F95,'2) Tracker'!$A$2:$BN$981,66,FALSE)</f>
        <v/>
      </c>
      <c r="AI95" s="601" t="str">
        <f>VLOOKUP(F95,'2) Tracker'!$A$2:$BO$981,56,FALSE)</f>
        <v/>
      </c>
      <c r="AJ95" s="601" t="str">
        <f>VLOOKUP(F95,'2) Tracker'!$A$2:$BO$981,52,FALSE)</f>
        <v/>
      </c>
      <c r="AK95" s="601" t="str">
        <f>VLOOKUP(F95,'2) Tracker'!$A$2:$AQ$981,43,FALSE)</f>
        <v/>
      </c>
      <c r="AL95" s="601">
        <f>VLOOKUP(F95,'2) Tracker'!$A$2:$BH$981,46,FALSE())</f>
        <v>46168</v>
      </c>
      <c r="AM95" s="601" t="str">
        <f>VLOOKUP(F95,'2) Tracker'!$A$2:$BO$981,65,FALSE())</f>
        <v/>
      </c>
      <c r="AN95" s="601" t="str">
        <f>VLOOKUP(F95,'2) Tracker'!$A$2:$BK$981,63,FALSE())</f>
        <v/>
      </c>
      <c r="AO95" s="601" t="str">
        <f>VLOOKUP(F95,'2) Tracker'!$A$2:$BF$981,58,FALSE())</f>
        <v/>
      </c>
      <c r="AP95" s="46"/>
      <c r="AQ95" s="46"/>
      <c r="AR95" s="46"/>
      <c r="AS95" s="46"/>
      <c r="AT95" s="46"/>
      <c r="AU95" s="46"/>
      <c r="AV95" s="46"/>
      <c r="AW95" s="46"/>
      <c r="AX95" s="46"/>
      <c r="AY95" s="46"/>
      <c r="AZ95" s="563"/>
      <c r="BA95" s="569"/>
      <c r="BB95" s="563"/>
      <c r="BC95" s="569"/>
      <c r="BD95" s="563"/>
      <c r="BE95" s="46"/>
      <c r="BF95" s="46"/>
      <c r="BG95" s="563"/>
      <c r="BH95" s="563"/>
      <c r="BI95" s="563"/>
      <c r="BJ95" s="563"/>
    </row>
    <row r="96" spans="2:62" x14ac:dyDescent="0.25">
      <c r="B96" s="589">
        <f>VLOOKUP(F96,'2) Tracker'!$A$3:$O$411,5,FALSE)</f>
        <v>0</v>
      </c>
      <c r="C96" s="589">
        <f>VLOOKUP(F96,'2) Tracker'!$A$3:$O$411,4,FALSE)</f>
        <v>0</v>
      </c>
      <c r="D96" s="563"/>
      <c r="E96" s="563" t="str">
        <f>VLOOKUP(F96,'2) Tracker'!$A$3:$O$407,15,FALSE)</f>
        <v xml:space="preserve"> </v>
      </c>
      <c r="F96" s="608" t="s">
        <v>571</v>
      </c>
      <c r="G96" s="607">
        <f>VLOOKUP(F96,'2) Tracker'!$A$2:$BO$361,2,FALSE)</f>
        <v>41275</v>
      </c>
      <c r="H96" s="592">
        <f>VLOOKUP(F96,'2) Tracker'!$A$2:$BO$361,3,FALSE)</f>
        <v>83000</v>
      </c>
      <c r="I96" s="593" t="str">
        <f>VLOOKUP(F96,'2) Tracker'!$A$2:$BO$361,9,FALSE)</f>
        <v>Equinor</v>
      </c>
      <c r="J96" s="594" t="str">
        <f>VLOOKUP(F96,'2) Tracker'!$A$2:$BO$361,12,FALSE)</f>
        <v>loads USG</v>
      </c>
      <c r="K96" s="596">
        <f t="shared" ref="K96:O96" si="190">AD96</f>
        <v>46148</v>
      </c>
      <c r="L96" s="596">
        <f t="shared" si="190"/>
        <v>46148</v>
      </c>
      <c r="M96" s="596">
        <f t="shared" si="190"/>
        <v>46180</v>
      </c>
      <c r="N96" s="596" t="str">
        <f t="shared" si="190"/>
        <v/>
      </c>
      <c r="O96" s="597" t="str">
        <f t="shared" si="190"/>
        <v/>
      </c>
      <c r="P96" s="598" t="str">
        <f>IFERROR(IF(VLOOKUP(F96,'Voyage days'!$M$808:$N$819,2,FALSE),"GOA",""),"")</f>
        <v/>
      </c>
      <c r="Q96" s="596" t="str">
        <f t="shared" ref="Q96:R96" si="191">AM96</f>
        <v/>
      </c>
      <c r="R96" s="596" t="str">
        <f t="shared" si="191"/>
        <v/>
      </c>
      <c r="S96" s="595">
        <f t="shared" si="2"/>
        <v>46168</v>
      </c>
      <c r="T96" s="596" t="str">
        <f t="shared" si="3"/>
        <v/>
      </c>
      <c r="U96" s="596" t="str">
        <f t="shared" si="4"/>
        <v/>
      </c>
      <c r="V96" s="596"/>
      <c r="W96" s="596" t="str">
        <f t="shared" si="5"/>
        <v/>
      </c>
      <c r="X96" s="599" t="str">
        <f t="shared" si="6"/>
        <v/>
      </c>
      <c r="Y96" s="594"/>
      <c r="Z96" s="600" t="str">
        <f>VLOOKUP(F96,'2) Tracker'!$A$3:$Q$505,16,FALSE)</f>
        <v>ETA Balboa 29 Apr</v>
      </c>
      <c r="AA96" s="600" t="str">
        <f>VLOOKUP(F96,'2) Tracker'!$A$3:$R$505,18,FALSE)</f>
        <v>Equinor 06-10 May USG</v>
      </c>
      <c r="AB96" s="600">
        <f>VLOOKUP(F96,'2) Tracker'!$A$3:$Q$505,17,FALSE)</f>
        <v>0</v>
      </c>
      <c r="AC96" s="601"/>
      <c r="AD96" s="601">
        <f>VLOOKUP(F96,'2) Tracker'!$A$2:$BO$981,37,FALSE)</f>
        <v>46148</v>
      </c>
      <c r="AE96" s="601">
        <f>VLOOKUP(F96,'2) Tracker'!$A$2:$BO$981,40,FALSE)</f>
        <v>46148</v>
      </c>
      <c r="AF96" s="601">
        <f>VLOOKUP(F96,'2) Tracker'!$A$2:$BO$981,67,FALSE)</f>
        <v>46180</v>
      </c>
      <c r="AG96" s="601" t="str">
        <f>VLOOKUP(F96,'2) Tracker'!$A$2:$BO$981,34,FALSE)</f>
        <v/>
      </c>
      <c r="AH96" s="601" t="str">
        <f>VLOOKUP(F96,'2) Tracker'!$A$2:$BN$981,66,FALSE)</f>
        <v/>
      </c>
      <c r="AI96" s="601" t="str">
        <f>VLOOKUP(F96,'2) Tracker'!$A$2:$BO$981,56,FALSE)</f>
        <v/>
      </c>
      <c r="AJ96" s="601" t="str">
        <f>VLOOKUP(F96,'2) Tracker'!$A$2:$BO$981,52,FALSE)</f>
        <v/>
      </c>
      <c r="AK96" s="601" t="str">
        <f>VLOOKUP(F96,'2) Tracker'!$A$2:$AQ$981,43,FALSE)</f>
        <v/>
      </c>
      <c r="AL96" s="601">
        <f>VLOOKUP(F96,'2) Tracker'!$A$2:$BH$981,46,FALSE())</f>
        <v>46168</v>
      </c>
      <c r="AM96" s="601" t="str">
        <f>VLOOKUP(F96,'2) Tracker'!$A$2:$BO$981,65,FALSE())</f>
        <v/>
      </c>
      <c r="AN96" s="601" t="str">
        <f>VLOOKUP(F96,'2) Tracker'!$A$2:$BK$981,63,FALSE())</f>
        <v/>
      </c>
      <c r="AO96" s="601" t="str">
        <f>VLOOKUP(F96,'2) Tracker'!$A$2:$BF$981,58,FALSE())</f>
        <v/>
      </c>
      <c r="AP96" s="46"/>
      <c r="AQ96" s="46"/>
      <c r="AR96" s="46"/>
      <c r="AS96" s="46"/>
      <c r="AT96" s="46"/>
      <c r="AU96" s="46"/>
      <c r="AV96" s="46"/>
      <c r="AW96" s="46"/>
      <c r="AX96" s="46"/>
      <c r="AY96" s="46"/>
      <c r="AZ96" s="563"/>
      <c r="BA96" s="604" t="e">
        <f>VLOOKUP(AZ96,#REF!,2, FALSE)</f>
        <v>#REF!</v>
      </c>
      <c r="BB96" s="605" t="e">
        <f>VLOOKUP(AZ96,'1) Kpler'!$E$2:$F$500,2,FALSE)</f>
        <v>#N/A</v>
      </c>
      <c r="BC96" s="569"/>
      <c r="BD96" s="563"/>
      <c r="BE96" s="46"/>
      <c r="BF96" s="46"/>
      <c r="BG96" s="563"/>
      <c r="BH96" s="563"/>
      <c r="BI96" s="563"/>
      <c r="BJ96" s="563"/>
    </row>
    <row r="97" spans="2:62" x14ac:dyDescent="0.25">
      <c r="B97" s="589">
        <f>VLOOKUP(F97,'2) Tracker'!$A$3:$O$411,5,FALSE)</f>
        <v>0</v>
      </c>
      <c r="C97" s="589">
        <f>VLOOKUP(F97,'2) Tracker'!$A$3:$O$411,4,FALSE)</f>
        <v>0</v>
      </c>
      <c r="D97" s="563"/>
      <c r="E97" s="563">
        <f>VLOOKUP(F97,'2) Tracker'!$A$3:$O$407,15,FALSE)</f>
        <v>0</v>
      </c>
      <c r="F97" s="604" t="s">
        <v>1443</v>
      </c>
      <c r="G97" s="607">
        <f>VLOOKUP(F97,'2) Tracker'!$A$2:$BO$361,2,FALSE)</f>
        <v>42460</v>
      </c>
      <c r="H97" s="592">
        <f>VLOOKUP(F97,'2) Tracker'!$A$2:$BO$361,3,FALSE)</f>
        <v>83839</v>
      </c>
      <c r="I97" s="594" t="str">
        <f>VLOOKUP(F97,'2) Tracker'!$A$2:$BO$361,9,FALSE)</f>
        <v>BW</v>
      </c>
      <c r="J97" s="594" t="str">
        <f>VLOOKUP(F97,'2) Tracker'!$A$2:$BO$361,12,FALSE)</f>
        <v>loads USG</v>
      </c>
      <c r="K97" s="595">
        <f t="shared" ref="K97:O97" si="192">AD97</f>
        <v>46148</v>
      </c>
      <c r="L97" s="595">
        <f t="shared" si="192"/>
        <v>46148</v>
      </c>
      <c r="M97" s="596">
        <f t="shared" si="192"/>
        <v>46180</v>
      </c>
      <c r="N97" s="596" t="str">
        <f t="shared" si="192"/>
        <v/>
      </c>
      <c r="O97" s="597" t="str">
        <f t="shared" si="192"/>
        <v/>
      </c>
      <c r="P97" s="598" t="str">
        <f>IFERROR(IF(VLOOKUP(F97,'Voyage days'!$M$808:$N$819,2,FALSE),"GOA",""),"")</f>
        <v/>
      </c>
      <c r="Q97" s="596" t="str">
        <f t="shared" ref="Q97:R97" si="193">AM97</f>
        <v/>
      </c>
      <c r="R97" s="595" t="str">
        <f t="shared" si="193"/>
        <v/>
      </c>
      <c r="S97" s="635">
        <f t="shared" si="2"/>
        <v>46168</v>
      </c>
      <c r="T97" s="596" t="str">
        <f t="shared" si="3"/>
        <v/>
      </c>
      <c r="U97" s="595" t="str">
        <f t="shared" si="4"/>
        <v/>
      </c>
      <c r="V97" s="596"/>
      <c r="W97" s="596" t="str">
        <f t="shared" si="5"/>
        <v/>
      </c>
      <c r="X97" s="599" t="str">
        <f t="shared" si="6"/>
        <v/>
      </c>
      <c r="Y97" s="611" t="s">
        <v>1445</v>
      </c>
      <c r="Z97" s="600" t="str">
        <f>VLOOKUP(F97,'2) Tracker'!$A$3:$Q$505,16,FALSE)</f>
        <v>ex DD, ETA Balboa 25 Apr</v>
      </c>
      <c r="AA97" s="600" t="str">
        <f>VLOOKUP(F97,'2) Tracker'!$A$3:$R$505,18,FALSE)</f>
        <v>BGN 06-07 May USG</v>
      </c>
      <c r="AB97" s="600">
        <f>VLOOKUP(F97,'2) Tracker'!$A$3:$Q$505,17,FALSE)</f>
        <v>0</v>
      </c>
      <c r="AC97" s="601"/>
      <c r="AD97" s="601">
        <f>VLOOKUP(F97,'2) Tracker'!$A$2:$BO$981,37,FALSE)</f>
        <v>46148</v>
      </c>
      <c r="AE97" s="601">
        <f>VLOOKUP(F97,'2) Tracker'!$A$2:$BO$981,40,FALSE)</f>
        <v>46148</v>
      </c>
      <c r="AF97" s="601">
        <f>VLOOKUP(F97,'2) Tracker'!$A$2:$BO$981,67,FALSE)</f>
        <v>46180</v>
      </c>
      <c r="AG97" s="601" t="str">
        <f>VLOOKUP(F97,'2) Tracker'!$A$2:$BO$981,34,FALSE)</f>
        <v/>
      </c>
      <c r="AH97" s="601" t="str">
        <f>VLOOKUP(F97,'2) Tracker'!$A$2:$BN$981,66,FALSE)</f>
        <v/>
      </c>
      <c r="AI97" s="601" t="str">
        <f>VLOOKUP(F97,'2) Tracker'!$A$2:$BO$981,56,FALSE)</f>
        <v/>
      </c>
      <c r="AJ97" s="601" t="str">
        <f>VLOOKUP(F97,'2) Tracker'!$A$2:$BO$981,52,FALSE)</f>
        <v/>
      </c>
      <c r="AK97" s="601" t="str">
        <f>VLOOKUP(F97,'2) Tracker'!$A$2:$AQ$981,43,FALSE)</f>
        <v/>
      </c>
      <c r="AL97" s="601">
        <f>VLOOKUP(F97,'2) Tracker'!$A$2:$BH$981,46,FALSE())</f>
        <v>46168</v>
      </c>
      <c r="AM97" s="601" t="str">
        <f>VLOOKUP(F97,'2) Tracker'!$A$2:$BO$981,65,FALSE())</f>
        <v/>
      </c>
      <c r="AN97" s="601" t="str">
        <f>VLOOKUP(F97,'2) Tracker'!$A$2:$BK$981,63,FALSE())</f>
        <v/>
      </c>
      <c r="AO97" s="601" t="str">
        <f>VLOOKUP(F97,'2) Tracker'!$A$2:$BF$981,58,FALSE())</f>
        <v/>
      </c>
      <c r="AP97" s="46"/>
      <c r="AQ97" s="46"/>
      <c r="AR97" s="46"/>
      <c r="AS97" s="46"/>
      <c r="AT97" s="46"/>
      <c r="AU97" s="46"/>
      <c r="AV97" s="46"/>
      <c r="AW97" s="46"/>
      <c r="AX97" s="46"/>
      <c r="AY97" s="46"/>
      <c r="AZ97" s="563"/>
      <c r="BA97" s="604" t="e">
        <f>VLOOKUP(AZ97,#REF!,2, FALSE)</f>
        <v>#REF!</v>
      </c>
      <c r="BB97" s="605" t="e">
        <f>VLOOKUP(AZ97,'1) Kpler'!$E$2:$F$500,2,FALSE)</f>
        <v>#N/A</v>
      </c>
      <c r="BC97" s="569"/>
      <c r="BD97" s="563"/>
      <c r="BE97" s="46"/>
      <c r="BF97" s="46"/>
      <c r="BG97" s="563"/>
      <c r="BH97" s="563"/>
      <c r="BI97" s="563"/>
      <c r="BJ97" s="563"/>
    </row>
    <row r="98" spans="2:62" x14ac:dyDescent="0.25">
      <c r="B98" s="589">
        <f>VLOOKUP(F98,'2) Tracker'!$A$3:$O$411,5,FALSE)</f>
        <v>0</v>
      </c>
      <c r="C98" s="589">
        <f>VLOOKUP(F98,'2) Tracker'!$A$3:$O$411,4,FALSE)</f>
        <v>0</v>
      </c>
      <c r="D98" s="563"/>
      <c r="E98" s="563" t="str">
        <f>VLOOKUP(F98,'2) Tracker'!$A$3:$O$407,15,FALSE)</f>
        <v>eu</v>
      </c>
      <c r="F98" s="608" t="s">
        <v>83</v>
      </c>
      <c r="G98" s="607">
        <f>VLOOKUP(F98,'2) Tracker'!$A$2:$BO$361,2,FALSE)</f>
        <v>40298</v>
      </c>
      <c r="H98" s="592">
        <f>VLOOKUP(F98,'2) Tracker'!$A$2:$BO$361,3,FALSE)</f>
        <v>83270</v>
      </c>
      <c r="I98" s="593" t="str">
        <f>VLOOKUP(F98,'2) Tracker'!$A$2:$BO$361,9,FALSE)</f>
        <v>ATC</v>
      </c>
      <c r="J98" s="594" t="str">
        <f>VLOOKUP(F98,'2) Tracker'!$A$2:$BO$361,12,FALSE)</f>
        <v>Turkey</v>
      </c>
      <c r="K98" s="595">
        <f t="shared" ref="K98:O98" si="194">AD98</f>
        <v>46148</v>
      </c>
      <c r="L98" s="595">
        <f t="shared" si="194"/>
        <v>46154</v>
      </c>
      <c r="M98" s="596" t="str">
        <f t="shared" si="194"/>
        <v/>
      </c>
      <c r="N98" s="596">
        <f t="shared" si="194"/>
        <v>46144</v>
      </c>
      <c r="O98" s="597" t="str">
        <f t="shared" si="194"/>
        <v/>
      </c>
      <c r="P98" s="598" t="str">
        <f>IFERROR(IF(VLOOKUP(F98,'Voyage days'!$M$808:$N$819,2,FALSE),"GOA",""),"")</f>
        <v/>
      </c>
      <c r="Q98" s="596">
        <f t="shared" ref="Q98:R98" si="195">AM98</f>
        <v>46135</v>
      </c>
      <c r="R98" s="596">
        <f t="shared" si="195"/>
        <v>46138</v>
      </c>
      <c r="S98" s="595">
        <f t="shared" si="2"/>
        <v>46139</v>
      </c>
      <c r="T98" s="596">
        <f t="shared" si="3"/>
        <v>46149</v>
      </c>
      <c r="U98" s="596" t="str">
        <f t="shared" si="4"/>
        <v/>
      </c>
      <c r="V98" s="596"/>
      <c r="W98" s="596" t="str">
        <f t="shared" si="5"/>
        <v/>
      </c>
      <c r="X98" s="599" t="str">
        <f t="shared" si="6"/>
        <v/>
      </c>
      <c r="Y98" s="606" t="s">
        <v>1606</v>
      </c>
      <c r="Z98" s="600" t="str">
        <f>VLOOKUP(F98,'2) Tracker'!$A$3:$Q$505,16,FALSE)</f>
        <v>@ Dortyol 07 Apr, ETD 23 Apr</v>
      </c>
      <c r="AA98" s="600" t="str">
        <f>VLOOKUP(F98,'2) Tracker'!$A$3:$R$505,18,FALSE)</f>
        <v>ATC 01-02 Apr Yanbu</v>
      </c>
      <c r="AB98" s="600">
        <f>VLOOKUP(F98,'2) Tracker'!$A$3:$Q$505,17,FALSE)</f>
        <v>0</v>
      </c>
      <c r="AC98" s="601"/>
      <c r="AD98" s="601">
        <f>VLOOKUP(F98,'2) Tracker'!$A$2:$BO$981,37,FALSE)</f>
        <v>46148</v>
      </c>
      <c r="AE98" s="601">
        <f>VLOOKUP(F98,'2) Tracker'!$A$2:$BO$981,40,FALSE)</f>
        <v>46154</v>
      </c>
      <c r="AF98" s="601" t="str">
        <f>VLOOKUP(F98,'2) Tracker'!$A$2:$BO$981,67,FALSE)</f>
        <v/>
      </c>
      <c r="AG98" s="601">
        <f>VLOOKUP(F98,'2) Tracker'!$A$2:$BO$981,34,FALSE)</f>
        <v>46144</v>
      </c>
      <c r="AH98" s="601" t="str">
        <f>VLOOKUP(F98,'2) Tracker'!$A$2:$BN$981,66,FALSE)</f>
        <v/>
      </c>
      <c r="AI98" s="601" t="str">
        <f>VLOOKUP(F98,'2) Tracker'!$A$2:$BO$981,56,FALSE)</f>
        <v/>
      </c>
      <c r="AJ98" s="601" t="str">
        <f>VLOOKUP(F98,'2) Tracker'!$A$2:$BO$981,52,FALSE)</f>
        <v/>
      </c>
      <c r="AK98" s="601">
        <f>VLOOKUP(F98,'2) Tracker'!$A$2:$AQ$981,43,FALSE)</f>
        <v>46149</v>
      </c>
      <c r="AL98" s="601">
        <f>VLOOKUP(F98,'2) Tracker'!$A$2:$BH$981,46,FALSE())</f>
        <v>46139</v>
      </c>
      <c r="AM98" s="601">
        <f>VLOOKUP(F98,'2) Tracker'!$A$2:$BO$981,65,FALSE())</f>
        <v>46135</v>
      </c>
      <c r="AN98" s="601">
        <f>VLOOKUP(F98,'2) Tracker'!$A$2:$BK$981,63,FALSE())</f>
        <v>46138</v>
      </c>
      <c r="AO98" s="601" t="str">
        <f>VLOOKUP(F98,'2) Tracker'!$A$2:$BF$981,58,FALSE())</f>
        <v/>
      </c>
      <c r="AP98" s="46"/>
      <c r="AQ98" s="46"/>
      <c r="AR98" s="46"/>
      <c r="AS98" s="46"/>
      <c r="AT98" s="46"/>
      <c r="AU98" s="46"/>
      <c r="AV98" s="46"/>
      <c r="AW98" s="46"/>
      <c r="AX98" s="46"/>
      <c r="AY98" s="46"/>
      <c r="AZ98" s="605"/>
      <c r="BA98" s="604" t="e">
        <f>VLOOKUP(AZ98,#REF!,2, FALSE)</f>
        <v>#REF!</v>
      </c>
      <c r="BB98" s="605" t="e">
        <f>VLOOKUP(AZ98,'1) Kpler'!$E$2:$F$500,2,FALSE)</f>
        <v>#N/A</v>
      </c>
      <c r="BC98" s="604"/>
      <c r="BD98" s="605"/>
      <c r="BE98" s="46"/>
      <c r="BF98" s="46"/>
      <c r="BG98" s="605"/>
      <c r="BH98" s="605"/>
      <c r="BI98" s="605"/>
      <c r="BJ98" s="605"/>
    </row>
    <row r="99" spans="2:62" x14ac:dyDescent="0.25">
      <c r="B99" s="589">
        <f>VLOOKUP(F99,'2) Tracker'!$A$3:$O$411,5,FALSE)</f>
        <v>0</v>
      </c>
      <c r="C99" s="589">
        <f>VLOOKUP(F99,'2) Tracker'!$A$3:$O$411,4,FALSE)</f>
        <v>0</v>
      </c>
      <c r="D99" s="563"/>
      <c r="E99" s="563">
        <f>VLOOKUP(F99,'2) Tracker'!$A$3:$O$407,15,FALSE)</f>
        <v>0</v>
      </c>
      <c r="F99" s="604" t="s">
        <v>261</v>
      </c>
      <c r="G99" s="607">
        <f>VLOOKUP(F99,'2) Tracker'!$A$2:$BO$361,2,FALSE)</f>
        <v>43102</v>
      </c>
      <c r="H99" s="592">
        <f>VLOOKUP(F99,'2) Tracker'!$A$2:$BO$361,3,FALSE)</f>
        <v>84000</v>
      </c>
      <c r="I99" s="600" t="str">
        <f>VLOOKUP(F99,'2) Tracker'!$A$2:$BO$361,9,FALSE)</f>
        <v>SK Gas</v>
      </c>
      <c r="J99" s="594" t="str">
        <f>VLOOKUP(F99,'2) Tracker'!$A$2:$BO$361,12,FALSE)</f>
        <v>Balboa</v>
      </c>
      <c r="K99" s="596">
        <f t="shared" ref="K99:O99" si="196">AD99</f>
        <v>46148</v>
      </c>
      <c r="L99" s="596" t="str">
        <f t="shared" si="196"/>
        <v/>
      </c>
      <c r="M99" s="596" t="str">
        <f t="shared" si="196"/>
        <v/>
      </c>
      <c r="N99" s="596" t="str">
        <f t="shared" si="196"/>
        <v/>
      </c>
      <c r="O99" s="597" t="str">
        <f t="shared" si="196"/>
        <v/>
      </c>
      <c r="P99" s="598" t="str">
        <f>IFERROR(IF(VLOOKUP(F99,'Voyage days'!$M$808:$N$819,2,FALSE),"GOA",""),"")</f>
        <v/>
      </c>
      <c r="Q99" s="596" t="str">
        <f t="shared" ref="Q99:R99" si="197">AM99</f>
        <v/>
      </c>
      <c r="R99" s="596" t="str">
        <f t="shared" si="197"/>
        <v/>
      </c>
      <c r="S99" s="595" t="str">
        <f t="shared" si="2"/>
        <v/>
      </c>
      <c r="T99" s="596" t="str">
        <f t="shared" si="3"/>
        <v/>
      </c>
      <c r="U99" s="596" t="str">
        <f t="shared" si="4"/>
        <v/>
      </c>
      <c r="V99" s="596"/>
      <c r="W99" s="596" t="str">
        <f t="shared" si="5"/>
        <v/>
      </c>
      <c r="X99" s="599" t="str">
        <f t="shared" si="6"/>
        <v/>
      </c>
      <c r="Y99" s="594"/>
      <c r="Z99" s="600" t="str">
        <f>VLOOKUP(F99,'2) Tracker'!$A$3:$Q$505,16,FALSE)</f>
        <v>ETA Balboa 26 Apr</v>
      </c>
      <c r="AA99" s="600" t="str">
        <f>VLOOKUP(F99,'2) Tracker'!$A$3:$R$505,18,FALSE)</f>
        <v>SK Gas 13 Feb Enterprise</v>
      </c>
      <c r="AB99" s="600">
        <f>VLOOKUP(F99,'2) Tracker'!$A$3:$Q$505,17,FALSE)</f>
        <v>0</v>
      </c>
      <c r="AC99" s="601"/>
      <c r="AD99" s="601">
        <f>VLOOKUP(F99,'2) Tracker'!$A$2:$BO$981,37,FALSE)</f>
        <v>46148</v>
      </c>
      <c r="AE99" s="601" t="str">
        <f>VLOOKUP(F99,'2) Tracker'!$A$2:$BO$981,40,FALSE)</f>
        <v/>
      </c>
      <c r="AF99" s="601" t="str">
        <f>VLOOKUP(F99,'2) Tracker'!$A$2:$BO$981,67,FALSE)</f>
        <v/>
      </c>
      <c r="AG99" s="601" t="str">
        <f>VLOOKUP(F99,'2) Tracker'!$A$2:$BO$981,34,FALSE)</f>
        <v/>
      </c>
      <c r="AH99" s="601" t="str">
        <f>VLOOKUP(F99,'2) Tracker'!$A$2:$BN$981,66,FALSE)</f>
        <v/>
      </c>
      <c r="AI99" s="601" t="str">
        <f>VLOOKUP(F99,'2) Tracker'!$A$2:$BO$981,56,FALSE)</f>
        <v/>
      </c>
      <c r="AJ99" s="601" t="str">
        <f>VLOOKUP(F99,'2) Tracker'!$A$2:$BO$981,52,FALSE)</f>
        <v/>
      </c>
      <c r="AK99" s="601" t="str">
        <f>VLOOKUP(F99,'2) Tracker'!$A$2:$AQ$981,43,FALSE)</f>
        <v/>
      </c>
      <c r="AL99" s="601" t="str">
        <f>VLOOKUP(F99,'2) Tracker'!$A$2:$BH$981,46,FALSE())</f>
        <v/>
      </c>
      <c r="AM99" s="601" t="str">
        <f>VLOOKUP(F99,'2) Tracker'!$A$2:$BO$981,65,FALSE())</f>
        <v/>
      </c>
      <c r="AN99" s="601" t="str">
        <f>VLOOKUP(F99,'2) Tracker'!$A$2:$BK$981,63,FALSE())</f>
        <v/>
      </c>
      <c r="AO99" s="601" t="str">
        <f>VLOOKUP(F99,'2) Tracker'!$A$2:$BF$981,58,FALSE())</f>
        <v/>
      </c>
      <c r="AP99" s="46"/>
      <c r="AQ99" s="46"/>
      <c r="AR99" s="46"/>
      <c r="AS99" s="46"/>
      <c r="AT99" s="46"/>
      <c r="AU99" s="46"/>
      <c r="AV99" s="46"/>
      <c r="AW99" s="46"/>
      <c r="AX99" s="46"/>
      <c r="AY99" s="46"/>
      <c r="AZ99" s="563"/>
      <c r="BA99" s="569"/>
      <c r="BB99" s="563"/>
      <c r="BC99" s="569"/>
      <c r="BD99" s="563"/>
      <c r="BE99" s="46"/>
      <c r="BF99" s="46"/>
      <c r="BG99" s="563"/>
      <c r="BH99" s="563"/>
      <c r="BI99" s="563"/>
      <c r="BJ99" s="563"/>
    </row>
    <row r="100" spans="2:62" x14ac:dyDescent="0.25">
      <c r="B100" s="589">
        <f>VLOOKUP(F100,'2) Tracker'!$A$3:$O$411,5,FALSE)</f>
        <v>0</v>
      </c>
      <c r="C100" s="589" t="str">
        <f>VLOOKUP(F100,'2) Tracker'!$A$3:$O$411,4,FALSE)</f>
        <v>US</v>
      </c>
      <c r="D100" s="563"/>
      <c r="E100" s="563">
        <f>VLOOKUP(F100,'2) Tracker'!$A$3:$O$407,15,FALSE)</f>
        <v>0</v>
      </c>
      <c r="F100" s="604" t="s">
        <v>167</v>
      </c>
      <c r="G100" s="607">
        <f>VLOOKUP(F100,'2) Tracker'!$A$2:$BO$361,2,FALSE)</f>
        <v>42331</v>
      </c>
      <c r="H100" s="592">
        <f>VLOOKUP(F100,'2) Tracker'!$A$2:$BO$361,3,FALSE)</f>
        <v>84000</v>
      </c>
      <c r="I100" s="600" t="str">
        <f>VLOOKUP(F100,'2) Tracker'!$A$2:$BO$361,9,FALSE)</f>
        <v>Helios &gt; Petrobras</v>
      </c>
      <c r="J100" s="594" t="str">
        <f>VLOOKUP(F100,'2) Tracker'!$A$2:$BO$361,12,FALSE)</f>
        <v>Suape</v>
      </c>
      <c r="K100" s="596">
        <f t="shared" ref="K100:O100" si="198">AD100</f>
        <v>46149</v>
      </c>
      <c r="L100" s="596">
        <f t="shared" si="198"/>
        <v>46149</v>
      </c>
      <c r="M100" s="596" t="str">
        <f t="shared" si="198"/>
        <v/>
      </c>
      <c r="N100" s="596" t="str">
        <f t="shared" si="198"/>
        <v/>
      </c>
      <c r="O100" s="597" t="str">
        <f t="shared" si="198"/>
        <v/>
      </c>
      <c r="P100" s="598" t="str">
        <f>IFERROR(IF(VLOOKUP(F100,'Voyage days'!$M$808:$N$819,2,FALSE),"GOA",""),"")</f>
        <v/>
      </c>
      <c r="Q100" s="596" t="str">
        <f t="shared" ref="Q100:R100" si="199">AM100</f>
        <v/>
      </c>
      <c r="R100" s="596" t="str">
        <f t="shared" si="199"/>
        <v/>
      </c>
      <c r="S100" s="595">
        <f t="shared" si="2"/>
        <v>46147</v>
      </c>
      <c r="T100" s="596">
        <f t="shared" si="3"/>
        <v>46144</v>
      </c>
      <c r="U100" s="596" t="str">
        <f t="shared" si="4"/>
        <v/>
      </c>
      <c r="V100" s="570" t="s">
        <v>1577</v>
      </c>
      <c r="W100" s="596" t="str">
        <f t="shared" si="5"/>
        <v/>
      </c>
      <c r="X100" s="599" t="str">
        <f t="shared" si="6"/>
        <v/>
      </c>
      <c r="Y100" s="594"/>
      <c r="Z100" s="600" t="str">
        <f>VLOOKUP(F100,'2) Tracker'!$A$3:$Q$505,16,FALSE)</f>
        <v>@ Suape since 06 Mar</v>
      </c>
      <c r="AA100" s="600" t="str">
        <f>VLOOKUP(F100,'2) Tracker'!$A$3:$R$505,18,FALSE)</f>
        <v>ATC 09 Nov Nederland</v>
      </c>
      <c r="AB100" s="600">
        <f>VLOOKUP(F100,'2) Tracker'!$A$3:$Q$505,17,FALSE)</f>
        <v>0</v>
      </c>
      <c r="AC100" s="601"/>
      <c r="AD100" s="601">
        <f>VLOOKUP(F100,'2) Tracker'!$A$2:$BO$981,37,FALSE)</f>
        <v>46149</v>
      </c>
      <c r="AE100" s="601">
        <f>VLOOKUP(F100,'2) Tracker'!$A$2:$BO$981,40,FALSE)</f>
        <v>46149</v>
      </c>
      <c r="AF100" s="601" t="str">
        <f>VLOOKUP(F100,'2) Tracker'!$A$2:$BO$981,67,FALSE)</f>
        <v/>
      </c>
      <c r="AG100" s="601" t="str">
        <f>VLOOKUP(F100,'2) Tracker'!$A$2:$BO$981,34,FALSE)</f>
        <v/>
      </c>
      <c r="AH100" s="601" t="str">
        <f>VLOOKUP(F100,'2) Tracker'!$A$2:$BN$981,66,FALSE)</f>
        <v/>
      </c>
      <c r="AI100" s="601" t="str">
        <f>VLOOKUP(F100,'2) Tracker'!$A$2:$BO$981,56,FALSE)</f>
        <v/>
      </c>
      <c r="AJ100" s="601" t="str">
        <f>VLOOKUP(F100,'2) Tracker'!$A$2:$BO$981,52,FALSE)</f>
        <v/>
      </c>
      <c r="AK100" s="601">
        <f>VLOOKUP(F100,'2) Tracker'!$A$2:$AQ$981,43,FALSE)</f>
        <v>46144</v>
      </c>
      <c r="AL100" s="601">
        <f>VLOOKUP(F100,'2) Tracker'!$A$2:$BH$981,46,FALSE())</f>
        <v>46147</v>
      </c>
      <c r="AM100" s="601" t="str">
        <f>VLOOKUP(F100,'2) Tracker'!$A$2:$BO$981,65,FALSE())</f>
        <v/>
      </c>
      <c r="AN100" s="601" t="str">
        <f>VLOOKUP(F100,'2) Tracker'!$A$2:$BK$981,63,FALSE())</f>
        <v/>
      </c>
      <c r="AO100" s="601" t="str">
        <f>VLOOKUP(F100,'2) Tracker'!$A$2:$BF$981,58,FALSE())</f>
        <v/>
      </c>
      <c r="AP100" s="46"/>
      <c r="AQ100" s="46"/>
      <c r="AR100" s="46"/>
      <c r="AS100" s="46"/>
      <c r="AT100" s="46"/>
      <c r="AU100" s="46"/>
      <c r="AV100" s="46"/>
      <c r="AW100" s="46"/>
      <c r="AX100" s="46"/>
      <c r="AY100" s="46"/>
      <c r="AZ100" s="605"/>
      <c r="BA100" s="604" t="e">
        <f>VLOOKUP(AZ100,#REF!,2, FALSE)</f>
        <v>#REF!</v>
      </c>
      <c r="BB100" s="605" t="e">
        <f>VLOOKUP(AZ100,'1) Kpler'!$E$2:$F$500,2,FALSE)</f>
        <v>#N/A</v>
      </c>
      <c r="BC100" s="604"/>
      <c r="BD100" s="605"/>
      <c r="BE100" s="46"/>
      <c r="BF100" s="46"/>
      <c r="BG100" s="605"/>
      <c r="BH100" s="605"/>
      <c r="BI100" s="605"/>
      <c r="BJ100" s="605"/>
    </row>
    <row r="101" spans="2:62" x14ac:dyDescent="0.25">
      <c r="B101" s="589">
        <f>VLOOKUP(F101,'2) Tracker'!$A$3:$O$411,5,FALSE)</f>
        <v>0</v>
      </c>
      <c r="C101" s="589">
        <f>VLOOKUP(F101,'2) Tracker'!$A$3:$O$411,4,FALSE)</f>
        <v>0</v>
      </c>
      <c r="D101" s="563" t="s">
        <v>1569</v>
      </c>
      <c r="E101" s="563">
        <f>VLOOKUP(F101,'2) Tracker'!$A$3:$O$407,15,FALSE)</f>
        <v>0</v>
      </c>
      <c r="F101" s="590" t="s">
        <v>548</v>
      </c>
      <c r="G101" s="607">
        <f>VLOOKUP(F101,'2) Tracker'!$A$2:$BO$361,2,FALSE)</f>
        <v>43123</v>
      </c>
      <c r="H101" s="592">
        <f>VLOOKUP(F101,'2) Tracker'!$A$2:$BO$361,3,FALSE)</f>
        <v>78700</v>
      </c>
      <c r="I101" s="594" t="str">
        <f>VLOOKUP(F101,'2) Tracker'!$A$2:$BO$361,9,FALSE)</f>
        <v>Petredec</v>
      </c>
      <c r="J101" s="594" t="str">
        <f>VLOOKUP(F101,'2) Tracker'!$A$2:$BO$361,12,FALSE)</f>
        <v>loads USG</v>
      </c>
      <c r="K101" s="596">
        <f t="shared" ref="K101:O101" si="200">AD101</f>
        <v>46149</v>
      </c>
      <c r="L101" s="596">
        <f t="shared" si="200"/>
        <v>46149</v>
      </c>
      <c r="M101" s="596">
        <f t="shared" si="200"/>
        <v>46181</v>
      </c>
      <c r="N101" s="596" t="str">
        <f t="shared" si="200"/>
        <v/>
      </c>
      <c r="O101" s="597" t="str">
        <f t="shared" si="200"/>
        <v/>
      </c>
      <c r="P101" s="598" t="str">
        <f>IFERROR(IF(VLOOKUP(F101,'Voyage days'!$M$808:$N$819,2,FALSE),"GOA",""),"")</f>
        <v/>
      </c>
      <c r="Q101" s="596" t="str">
        <f t="shared" ref="Q101:R101" si="201">AM101</f>
        <v/>
      </c>
      <c r="R101" s="596" t="str">
        <f t="shared" si="201"/>
        <v/>
      </c>
      <c r="S101" s="595">
        <f t="shared" si="2"/>
        <v>46169</v>
      </c>
      <c r="T101" s="595" t="str">
        <f t="shared" si="3"/>
        <v/>
      </c>
      <c r="U101" s="596" t="str">
        <f t="shared" si="4"/>
        <v/>
      </c>
      <c r="V101" s="596"/>
      <c r="W101" s="596" t="str">
        <f t="shared" si="5"/>
        <v/>
      </c>
      <c r="X101" s="599" t="str">
        <f t="shared" si="6"/>
        <v/>
      </c>
      <c r="Y101" s="611" t="s">
        <v>1143</v>
      </c>
      <c r="Z101" s="600" t="str">
        <f>VLOOKUP(F101,'2) Tracker'!$A$3:$Q$505,16,FALSE)</f>
        <v>ETA Balboa 28 Apr</v>
      </c>
      <c r="AA101" s="600" t="str">
        <f>VLOOKUP(F101,'2) Tracker'!$A$3:$R$505,18,FALSE)</f>
        <v>Total 07-08 May USG</v>
      </c>
      <c r="AB101" s="600">
        <f>VLOOKUP(F101,'2) Tracker'!$A$3:$Q$505,17,FALSE)</f>
        <v>0</v>
      </c>
      <c r="AC101" s="601"/>
      <c r="AD101" s="601">
        <f>VLOOKUP(F101,'2) Tracker'!$A$2:$BO$981,37,FALSE)</f>
        <v>46149</v>
      </c>
      <c r="AE101" s="601">
        <f>VLOOKUP(F101,'2) Tracker'!$A$2:$BO$981,40,FALSE)</f>
        <v>46149</v>
      </c>
      <c r="AF101" s="601">
        <f>VLOOKUP(F101,'2) Tracker'!$A$2:$BO$981,67,FALSE)</f>
        <v>46181</v>
      </c>
      <c r="AG101" s="601" t="str">
        <f>VLOOKUP(F101,'2) Tracker'!$A$2:$BO$981,34,FALSE)</f>
        <v/>
      </c>
      <c r="AH101" s="601" t="str">
        <f>VLOOKUP(F101,'2) Tracker'!$A$2:$BN$981,66,FALSE)</f>
        <v/>
      </c>
      <c r="AI101" s="601" t="str">
        <f>VLOOKUP(F101,'2) Tracker'!$A$2:$BO$981,56,FALSE)</f>
        <v/>
      </c>
      <c r="AJ101" s="601" t="str">
        <f>VLOOKUP(F101,'2) Tracker'!$A$2:$BO$981,52,FALSE)</f>
        <v/>
      </c>
      <c r="AK101" s="601" t="str">
        <f>VLOOKUP(F101,'2) Tracker'!$A$2:$AQ$981,43,FALSE)</f>
        <v/>
      </c>
      <c r="AL101" s="601">
        <f>VLOOKUP(F101,'2) Tracker'!$A$2:$BH$981,46,FALSE())</f>
        <v>46169</v>
      </c>
      <c r="AM101" s="601" t="str">
        <f>VLOOKUP(F101,'2) Tracker'!$A$2:$BO$981,65,FALSE())</f>
        <v/>
      </c>
      <c r="AN101" s="601" t="str">
        <f>VLOOKUP(F101,'2) Tracker'!$A$2:$BK$981,63,FALSE())</f>
        <v/>
      </c>
      <c r="AO101" s="601" t="str">
        <f>VLOOKUP(F101,'2) Tracker'!$A$2:$BF$981,58,FALSE())</f>
        <v/>
      </c>
      <c r="AP101" s="46"/>
      <c r="AQ101" s="46"/>
      <c r="AR101" s="46"/>
      <c r="AS101" s="46"/>
      <c r="AT101" s="46"/>
      <c r="AU101" s="46"/>
      <c r="AV101" s="46"/>
      <c r="AW101" s="46"/>
      <c r="AX101" s="46"/>
      <c r="AY101" s="46"/>
      <c r="AZ101" s="563"/>
      <c r="BA101" s="604" t="e">
        <f>VLOOKUP(AZ101,#REF!,2, FALSE)</f>
        <v>#REF!</v>
      </c>
      <c r="BB101" s="605" t="e">
        <f>VLOOKUP(AZ101,'1) Kpler'!$E$2:$F$500,2,FALSE)</f>
        <v>#N/A</v>
      </c>
      <c r="BC101" s="569"/>
      <c r="BD101" s="563"/>
      <c r="BE101" s="46"/>
      <c r="BF101" s="46"/>
      <c r="BG101" s="563"/>
      <c r="BH101" s="563"/>
      <c r="BI101" s="563"/>
      <c r="BJ101" s="563"/>
    </row>
    <row r="102" spans="2:62" ht="17.25" customHeight="1" x14ac:dyDescent="0.25">
      <c r="B102" s="589">
        <f>VLOOKUP(F102,'2) Tracker'!$A$3:$O$411,5,FALSE)</f>
        <v>0</v>
      </c>
      <c r="C102" s="589" t="str">
        <f>VLOOKUP(F102,'2) Tracker'!$A$3:$O$411,4,FALSE)</f>
        <v>US</v>
      </c>
      <c r="D102" s="563" t="s">
        <v>1569</v>
      </c>
      <c r="E102" s="563" t="str">
        <f>VLOOKUP(F102,'2) Tracker'!$A$3:$O$407,15,FALSE)</f>
        <v>Eu</v>
      </c>
      <c r="F102" s="590" t="s">
        <v>375</v>
      </c>
      <c r="G102" s="591">
        <f>VLOOKUP(F102,'2) Tracker'!$A$2:$BO$361,2,FALSE)</f>
        <v>2020</v>
      </c>
      <c r="H102" s="592">
        <f>VLOOKUP(F102,'2) Tracker'!$A$2:$BO$361,3,FALSE)</f>
        <v>80000</v>
      </c>
      <c r="I102" s="593" t="str">
        <f>VLOOKUP(F102,'2) Tracker'!$A$2:$BO$361,9,FALSE)</f>
        <v>Chevron</v>
      </c>
      <c r="J102" s="594" t="str">
        <f>VLOOKUP(F102,'2) Tracker'!$A$2:$BO$361,12,FALSE)</f>
        <v>Eu</v>
      </c>
      <c r="K102" s="596">
        <f t="shared" ref="K102:O102" si="202">AD102</f>
        <v>46149</v>
      </c>
      <c r="L102" s="596">
        <f t="shared" si="202"/>
        <v>46150</v>
      </c>
      <c r="M102" s="596" t="str">
        <f t="shared" si="202"/>
        <v/>
      </c>
      <c r="N102" s="596" t="str">
        <f t="shared" si="202"/>
        <v/>
      </c>
      <c r="O102" s="597" t="str">
        <f t="shared" si="202"/>
        <v/>
      </c>
      <c r="P102" s="598" t="str">
        <f>IFERROR(IF(VLOOKUP(F102,'Voyage days'!$M$808:$N$819,2,FALSE),"GOA",""),"")</f>
        <v/>
      </c>
      <c r="Q102" s="596">
        <f t="shared" ref="Q102:R102" si="203">AM102</f>
        <v>46136</v>
      </c>
      <c r="R102" s="596">
        <f t="shared" si="203"/>
        <v>46149</v>
      </c>
      <c r="S102" s="595">
        <f t="shared" si="2"/>
        <v>46137</v>
      </c>
      <c r="T102" s="596">
        <f t="shared" si="3"/>
        <v>46146</v>
      </c>
      <c r="U102" s="596" t="str">
        <f t="shared" si="4"/>
        <v/>
      </c>
      <c r="V102" s="596"/>
      <c r="W102" s="596" t="str">
        <f t="shared" si="5"/>
        <v/>
      </c>
      <c r="X102" s="599" t="str">
        <f t="shared" si="6"/>
        <v/>
      </c>
      <c r="Y102" s="614"/>
      <c r="Z102" s="600" t="str">
        <f>VLOOKUP(F102,'2) Tracker'!$A$3:$Q$505,16,FALSE)</f>
        <v>ETA Antwerp 19 Apr</v>
      </c>
      <c r="AA102" s="600" t="str">
        <f>VLOOKUP(F102,'2) Tracker'!$A$3:$R$505,18,FALSE)</f>
        <v>Chevron 02 Apr Targa</v>
      </c>
      <c r="AB102" s="600">
        <f>VLOOKUP(F102,'2) Tracker'!$A$3:$Q$505,17,FALSE)</f>
        <v>0</v>
      </c>
      <c r="AC102" s="601"/>
      <c r="AD102" s="601">
        <f>VLOOKUP(F102,'2) Tracker'!$A$2:$BO$981,37,FALSE)</f>
        <v>46149</v>
      </c>
      <c r="AE102" s="601">
        <f>VLOOKUP(F102,'2) Tracker'!$A$2:$BO$981,40,FALSE)</f>
        <v>46150</v>
      </c>
      <c r="AF102" s="601" t="str">
        <f>VLOOKUP(F102,'2) Tracker'!$A$2:$BO$981,67,FALSE)</f>
        <v/>
      </c>
      <c r="AG102" s="601" t="str">
        <f>VLOOKUP(F102,'2) Tracker'!$A$2:$BO$981,34,FALSE)</f>
        <v/>
      </c>
      <c r="AH102" s="601" t="str">
        <f>VLOOKUP(F102,'2) Tracker'!$A$2:$BN$981,66,FALSE)</f>
        <v/>
      </c>
      <c r="AI102" s="601" t="str">
        <f>VLOOKUP(F102,'2) Tracker'!$A$2:$BO$981,56,FALSE)</f>
        <v/>
      </c>
      <c r="AJ102" s="601" t="str">
        <f>VLOOKUP(F102,'2) Tracker'!$A$2:$BO$981,52,FALSE)</f>
        <v/>
      </c>
      <c r="AK102" s="601">
        <f>VLOOKUP(F102,'2) Tracker'!$A$2:$AQ$981,43,FALSE)</f>
        <v>46146</v>
      </c>
      <c r="AL102" s="601">
        <f>VLOOKUP(F102,'2) Tracker'!$A$2:$BH$981,46,FALSE())</f>
        <v>46137</v>
      </c>
      <c r="AM102" s="601">
        <f>VLOOKUP(F102,'2) Tracker'!$A$2:$BO$981,65,FALSE())</f>
        <v>46136</v>
      </c>
      <c r="AN102" s="601">
        <f>VLOOKUP(F102,'2) Tracker'!$A$2:$BK$981,63,FALSE())</f>
        <v>46149</v>
      </c>
      <c r="AO102" s="601" t="str">
        <f>VLOOKUP(F102,'2) Tracker'!$A$2:$BF$981,58,FALSE())</f>
        <v/>
      </c>
      <c r="AP102" s="46"/>
      <c r="AQ102" s="46"/>
      <c r="AR102" s="46"/>
      <c r="AS102" s="46"/>
      <c r="AT102" s="46"/>
      <c r="AU102" s="46"/>
      <c r="AV102" s="46"/>
      <c r="AW102" s="46"/>
      <c r="AX102" s="46"/>
      <c r="AY102" s="46"/>
      <c r="AZ102" s="605"/>
      <c r="BA102" s="604" t="e">
        <f>VLOOKUP(AZ102,#REF!,2, FALSE)</f>
        <v>#REF!</v>
      </c>
      <c r="BB102" s="605" t="e">
        <f>VLOOKUP(AZ102,'1) Kpler'!$E$2:$F$500,2,FALSE)</f>
        <v>#N/A</v>
      </c>
      <c r="BC102" s="604" t="s">
        <v>1588</v>
      </c>
      <c r="BD102" s="605"/>
      <c r="BE102" s="46"/>
      <c r="BF102" s="46"/>
      <c r="BG102" s="605"/>
      <c r="BH102" s="605"/>
      <c r="BI102" s="605"/>
      <c r="BJ102" s="605"/>
    </row>
    <row r="103" spans="2:62" x14ac:dyDescent="0.25">
      <c r="B103" s="589">
        <f>VLOOKUP(F103,'2) Tracker'!$A$3:$O$411,5,FALSE)</f>
        <v>0</v>
      </c>
      <c r="C103" s="589">
        <f>VLOOKUP(F103,'2) Tracker'!$A$3:$O$411,4,FALSE)</f>
        <v>0</v>
      </c>
      <c r="D103" s="563"/>
      <c r="E103" s="563">
        <f>VLOOKUP(F103,'2) Tracker'!$A$3:$O$407,15,FALSE)</f>
        <v>0</v>
      </c>
      <c r="F103" s="604" t="s">
        <v>454</v>
      </c>
      <c r="G103" s="617">
        <f>VLOOKUP(F103,'2) Tracker'!$A$2:$BO$361,2,FALSE)</f>
        <v>37895</v>
      </c>
      <c r="H103" s="592">
        <f>VLOOKUP(F103,'2) Tracker'!$A$2:$BO$361,3,FALSE)</f>
        <v>82000</v>
      </c>
      <c r="I103" s="600" t="str">
        <f>VLOOKUP(F103,'2) Tracker'!$A$2:$BO$361,9,FALSE)</f>
        <v>Astomos</v>
      </c>
      <c r="J103" s="594" t="str">
        <f>VLOOKUP(F103,'2) Tracker'!$A$2:$BO$361,12,FALSE)</f>
        <v>Honolulu</v>
      </c>
      <c r="K103" s="596">
        <f t="shared" ref="K103:O103" si="204">AD103</f>
        <v>46149</v>
      </c>
      <c r="L103" s="596" t="str">
        <f t="shared" si="204"/>
        <v/>
      </c>
      <c r="M103" s="596" t="str">
        <f t="shared" si="204"/>
        <v/>
      </c>
      <c r="N103" s="597" t="str">
        <f t="shared" si="204"/>
        <v/>
      </c>
      <c r="O103" s="597" t="str">
        <f t="shared" si="204"/>
        <v/>
      </c>
      <c r="P103" s="598" t="str">
        <f>IFERROR(IF(VLOOKUP(F103,'Voyage days'!$M$808:$N$819,2,FALSE),"GOA",""),"")</f>
        <v/>
      </c>
      <c r="Q103" s="596" t="str">
        <f t="shared" ref="Q103:R103" si="205">AM103</f>
        <v/>
      </c>
      <c r="R103" s="596" t="str">
        <f t="shared" si="205"/>
        <v/>
      </c>
      <c r="S103" s="595" t="str">
        <f t="shared" si="2"/>
        <v/>
      </c>
      <c r="T103" s="596" t="str">
        <f t="shared" si="3"/>
        <v/>
      </c>
      <c r="U103" s="596" t="str">
        <f t="shared" si="4"/>
        <v/>
      </c>
      <c r="V103" s="596"/>
      <c r="W103" s="596" t="str">
        <f t="shared" si="5"/>
        <v/>
      </c>
      <c r="X103" s="599" t="str">
        <f t="shared" si="6"/>
        <v/>
      </c>
      <c r="Y103" s="606"/>
      <c r="Z103" s="600" t="str">
        <f>VLOOKUP(F103,'2) Tracker'!$A$3:$Q$505,16,FALSE)</f>
        <v>ex DD, @ Honolulu 11 Apr</v>
      </c>
      <c r="AA103" s="600" t="str">
        <f>VLOOKUP(F103,'2) Tracker'!$A$3:$R$505,18,FALSE)</f>
        <v>Astomos 25-26 Dec Ras Laffan</v>
      </c>
      <c r="AB103" s="600">
        <f>VLOOKUP(F103,'2) Tracker'!$A$3:$Q$505,17,FALSE)</f>
        <v>0</v>
      </c>
      <c r="AC103" s="601"/>
      <c r="AD103" s="601">
        <f>VLOOKUP(F103,'2) Tracker'!$A$2:$BO$981,37,FALSE)</f>
        <v>46149</v>
      </c>
      <c r="AE103" s="601" t="str">
        <f>VLOOKUP(F103,'2) Tracker'!$A$2:$BO$981,40,FALSE)</f>
        <v/>
      </c>
      <c r="AF103" s="601" t="str">
        <f>VLOOKUP(F103,'2) Tracker'!$A$2:$BO$981,67,FALSE)</f>
        <v/>
      </c>
      <c r="AG103" s="601" t="str">
        <f>VLOOKUP(F103,'2) Tracker'!$A$2:$BO$981,34,FALSE)</f>
        <v/>
      </c>
      <c r="AH103" s="601" t="str">
        <f>VLOOKUP(F103,'2) Tracker'!$A$2:$BN$981,66,FALSE)</f>
        <v/>
      </c>
      <c r="AI103" s="601" t="str">
        <f>VLOOKUP(F103,'2) Tracker'!$A$2:$BO$981,56,FALSE)</f>
        <v/>
      </c>
      <c r="AJ103" s="601" t="str">
        <f>VLOOKUP(F103,'2) Tracker'!$A$2:$BO$981,52,FALSE)</f>
        <v/>
      </c>
      <c r="AK103" s="601" t="str">
        <f>VLOOKUP(F103,'2) Tracker'!$A$2:$AQ$981,43,FALSE)</f>
        <v/>
      </c>
      <c r="AL103" s="601" t="str">
        <f>VLOOKUP(F103,'2) Tracker'!$A$2:$BH$981,46,FALSE())</f>
        <v/>
      </c>
      <c r="AM103" s="601" t="str">
        <f>VLOOKUP(F103,'2) Tracker'!$A$2:$BO$981,65,FALSE())</f>
        <v/>
      </c>
      <c r="AN103" s="601" t="str">
        <f>VLOOKUP(F103,'2) Tracker'!$A$2:$BK$981,63,FALSE())</f>
        <v/>
      </c>
      <c r="AO103" s="601" t="str">
        <f>VLOOKUP(F103,'2) Tracker'!$A$2:$BF$981,58,FALSE())</f>
        <v/>
      </c>
      <c r="AP103" s="46"/>
      <c r="AQ103" s="46"/>
      <c r="AR103" s="46"/>
      <c r="AS103" s="46"/>
      <c r="AT103" s="46"/>
      <c r="AU103" s="46"/>
      <c r="AV103" s="46"/>
      <c r="AW103" s="46"/>
      <c r="AX103" s="46"/>
      <c r="AY103" s="46"/>
      <c r="AZ103" s="563"/>
      <c r="BA103" s="604" t="e">
        <f>VLOOKUP(AZ103,#REF!,2, FALSE)</f>
        <v>#REF!</v>
      </c>
      <c r="BB103" s="605" t="e">
        <f>VLOOKUP(AZ103,'1) Kpler'!$E$2:$F$500,2,FALSE)</f>
        <v>#N/A</v>
      </c>
      <c r="BC103" s="569"/>
      <c r="BD103" s="563"/>
      <c r="BE103" s="46"/>
      <c r="BF103" s="46"/>
      <c r="BG103" s="563"/>
      <c r="BH103" s="563"/>
      <c r="BI103" s="563"/>
      <c r="BJ103" s="563"/>
    </row>
    <row r="104" spans="2:62" x14ac:dyDescent="0.25">
      <c r="B104" s="589">
        <f>VLOOKUP(F104,'2) Tracker'!$A$3:$O$411,5,FALSE)</f>
        <v>0</v>
      </c>
      <c r="C104" s="589">
        <f>VLOOKUP(F104,'2) Tracker'!$A$3:$O$411,4,FALSE)</f>
        <v>0</v>
      </c>
      <c r="D104" s="563" t="s">
        <v>1569</v>
      </c>
      <c r="E104" s="563" t="str">
        <f>VLOOKUP(F104,'2) Tracker'!$A$3:$O$407,15,FALSE)</f>
        <v>R?</v>
      </c>
      <c r="F104" s="590" t="s">
        <v>228</v>
      </c>
      <c r="G104" s="591">
        <f>VLOOKUP(F104,'2) Tracker'!$A$2:$BO$361,2,FALSE)</f>
        <v>2025</v>
      </c>
      <c r="H104" s="592">
        <f>VLOOKUP(F104,'2) Tracker'!$A$2:$BO$361,3,FALSE)</f>
        <v>88000</v>
      </c>
      <c r="I104" s="600" t="str">
        <f>VLOOKUP(F104,'2) Tracker'!$A$2:$BO$361,9,FALSE)</f>
        <v xml:space="preserve">Evalend&gt;Geogas </v>
      </c>
      <c r="J104" s="594" t="str">
        <f>VLOOKUP(F104,'2) Tracker'!$A$2:$BO$361,12,FALSE)</f>
        <v>Balboa</v>
      </c>
      <c r="K104" s="601">
        <f t="shared" ref="K104:O104" si="206">AD104</f>
        <v>46149</v>
      </c>
      <c r="L104" s="601" t="str">
        <f t="shared" si="206"/>
        <v/>
      </c>
      <c r="M104" s="597" t="str">
        <f t="shared" si="206"/>
        <v/>
      </c>
      <c r="N104" s="596" t="str">
        <f t="shared" si="206"/>
        <v/>
      </c>
      <c r="O104" s="597" t="str">
        <f t="shared" si="206"/>
        <v/>
      </c>
      <c r="P104" s="598" t="str">
        <f>IFERROR(IF(VLOOKUP(F104,'Voyage days'!$M$808:$N$819,2,FALSE),"GOA",""),"")</f>
        <v/>
      </c>
      <c r="Q104" s="597" t="str">
        <f t="shared" ref="Q104:R104" si="207">AM104</f>
        <v/>
      </c>
      <c r="R104" s="601" t="str">
        <f t="shared" si="207"/>
        <v/>
      </c>
      <c r="S104" s="601" t="str">
        <f t="shared" si="2"/>
        <v/>
      </c>
      <c r="T104" s="597" t="str">
        <f t="shared" si="3"/>
        <v/>
      </c>
      <c r="U104" s="601" t="str">
        <f t="shared" si="4"/>
        <v/>
      </c>
      <c r="V104" s="601"/>
      <c r="W104" s="601" t="str">
        <f t="shared" si="5"/>
        <v/>
      </c>
      <c r="X104" s="599" t="str">
        <f t="shared" si="6"/>
        <v/>
      </c>
      <c r="Y104" s="594"/>
      <c r="Z104" s="600" t="str">
        <f>VLOOKUP(F104,'2) Tracker'!$A$3:$Q$505,16,FALSE)</f>
        <v>ETA Balboa 27 Apr</v>
      </c>
      <c r="AA104" s="600" t="str">
        <f>VLOOKUP(F104,'2) Tracker'!$A$3:$R$505,18,FALSE)</f>
        <v>Geogas 07-08 May USG</v>
      </c>
      <c r="AB104" s="600" t="str">
        <f>VLOOKUP(F104,'2) Tracker'!$A$3:$Q$505,17,FALSE)</f>
        <v>charter out 05-06 May / charter in 13-14 May</v>
      </c>
      <c r="AC104" s="601"/>
      <c r="AD104" s="601">
        <f>VLOOKUP(F104,'2) Tracker'!$A$2:$BO$981,37,FALSE)</f>
        <v>46149</v>
      </c>
      <c r="AE104" s="601" t="str">
        <f>VLOOKUP(F104,'2) Tracker'!$A$2:$BO$981,40,FALSE)</f>
        <v/>
      </c>
      <c r="AF104" s="601" t="str">
        <f>VLOOKUP(F104,'2) Tracker'!$A$2:$BO$981,67,FALSE)</f>
        <v/>
      </c>
      <c r="AG104" s="601" t="str">
        <f>VLOOKUP(F104,'2) Tracker'!$A$2:$BO$981,34,FALSE)</f>
        <v/>
      </c>
      <c r="AH104" s="601" t="str">
        <f>VLOOKUP(F104,'2) Tracker'!$A$2:$BN$981,66,FALSE)</f>
        <v/>
      </c>
      <c r="AI104" s="601" t="str">
        <f>VLOOKUP(F104,'2) Tracker'!$A$2:$BO$981,56,FALSE)</f>
        <v/>
      </c>
      <c r="AJ104" s="601" t="str">
        <f>VLOOKUP(F104,'2) Tracker'!$A$2:$BO$981,52,FALSE)</f>
        <v/>
      </c>
      <c r="AK104" s="601" t="str">
        <f>VLOOKUP(F104,'2) Tracker'!$A$2:$AQ$981,43,FALSE)</f>
        <v/>
      </c>
      <c r="AL104" s="601" t="str">
        <f>VLOOKUP(F104,'2) Tracker'!$A$2:$BH$981,46,FALSE())</f>
        <v/>
      </c>
      <c r="AM104" s="601" t="str">
        <f>VLOOKUP(F104,'2) Tracker'!$A$2:$BO$981,65,FALSE())</f>
        <v/>
      </c>
      <c r="AN104" s="601" t="str">
        <f>VLOOKUP(F104,'2) Tracker'!$A$2:$BK$981,63,FALSE())</f>
        <v/>
      </c>
      <c r="AO104" s="601" t="str">
        <f>VLOOKUP(F104,'2) Tracker'!$A$2:$BF$981,58,FALSE())</f>
        <v/>
      </c>
      <c r="AP104" s="46"/>
      <c r="AQ104" s="46"/>
      <c r="AR104" s="46"/>
      <c r="AS104" s="46"/>
      <c r="AT104" s="46"/>
      <c r="AU104" s="46"/>
      <c r="AV104" s="46"/>
      <c r="AW104" s="46"/>
      <c r="AX104" s="46"/>
      <c r="AY104" s="46"/>
      <c r="AZ104" s="605"/>
      <c r="BA104" s="604" t="e">
        <f>VLOOKUP(AZ104,#REF!,2, FALSE)</f>
        <v>#REF!</v>
      </c>
      <c r="BB104" s="605" t="e">
        <f>VLOOKUP(AZ104,'1) Kpler'!$E$2:$F$500,2,FALSE)</f>
        <v>#N/A</v>
      </c>
      <c r="BC104" s="604"/>
      <c r="BD104" s="605"/>
      <c r="BE104" s="46"/>
      <c r="BF104" s="46"/>
      <c r="BG104" s="605"/>
      <c r="BH104" s="605"/>
      <c r="BI104" s="605"/>
      <c r="BJ104" s="605"/>
    </row>
    <row r="105" spans="2:62" x14ac:dyDescent="0.25">
      <c r="B105" s="589">
        <f>VLOOKUP(F105,'2) Tracker'!$A$3:$O$411,5,FALSE)</f>
        <v>0</v>
      </c>
      <c r="C105" s="589" t="str">
        <f>VLOOKUP(F105,'2) Tracker'!$A$3:$O$411,4,FALSE)</f>
        <v>US</v>
      </c>
      <c r="D105" s="563" t="s">
        <v>1569</v>
      </c>
      <c r="E105" s="563">
        <f>VLOOKUP(F105,'2) Tracker'!$A$3:$O$407,15,FALSE)</f>
        <v>0</v>
      </c>
      <c r="F105" s="590" t="s">
        <v>209</v>
      </c>
      <c r="G105" s="591">
        <f>VLOOKUP(F105,'2) Tracker'!$A$2:$BO$361,2,FALSE)</f>
        <v>2023</v>
      </c>
      <c r="H105" s="592">
        <f>VLOOKUP(F105,'2) Tracker'!$A$2:$BO$361,3,FALSE)</f>
        <v>86000</v>
      </c>
      <c r="I105" s="594" t="str">
        <f>VLOOKUP(F105,'2) Tracker'!$A$2:$BO$361,9,FALSE)</f>
        <v>Helios</v>
      </c>
      <c r="J105" s="594" t="str">
        <f>VLOOKUP(F105,'2) Tracker'!$A$2:$BO$361,12,FALSE)</f>
        <v>loads USG</v>
      </c>
      <c r="K105" s="596">
        <f t="shared" ref="K105:O105" si="208">AD105</f>
        <v>46149</v>
      </c>
      <c r="L105" s="596" t="str">
        <f t="shared" si="208"/>
        <v/>
      </c>
      <c r="M105" s="596" t="str">
        <f t="shared" si="208"/>
        <v/>
      </c>
      <c r="N105" s="596" t="str">
        <f t="shared" si="208"/>
        <v/>
      </c>
      <c r="O105" s="597" t="str">
        <f t="shared" si="208"/>
        <v/>
      </c>
      <c r="P105" s="598" t="str">
        <f>IFERROR(IF(VLOOKUP(F105,'Voyage days'!$M$808:$N$819,2,FALSE),"GOA",""),"")</f>
        <v/>
      </c>
      <c r="Q105" s="596" t="str">
        <f t="shared" ref="Q105:R105" si="209">AM105</f>
        <v/>
      </c>
      <c r="R105" s="596" t="str">
        <f t="shared" si="209"/>
        <v/>
      </c>
      <c r="S105" s="595" t="str">
        <f t="shared" si="2"/>
        <v/>
      </c>
      <c r="T105" s="596" t="str">
        <f t="shared" si="3"/>
        <v/>
      </c>
      <c r="U105" s="596" t="str">
        <f t="shared" si="4"/>
        <v/>
      </c>
      <c r="V105" s="596"/>
      <c r="W105" s="596" t="str">
        <f t="shared" si="5"/>
        <v/>
      </c>
      <c r="X105" s="599" t="str">
        <f t="shared" si="6"/>
        <v/>
      </c>
      <c r="Y105" s="594"/>
      <c r="Z105" s="600" t="str">
        <f>VLOOKUP(F104,'2) Tracker'!$A$3:$Q$505,16,FALSE)</f>
        <v>ETA Balboa 27 Apr</v>
      </c>
      <c r="AA105" s="600" t="str">
        <f>VLOOKUP(F105,'2) Tracker'!$A$3:$R$505,18,FALSE)</f>
        <v>E1 18-19 May USG</v>
      </c>
      <c r="AB105" s="600" t="str">
        <f>VLOOKUP(F104,'2) Tracker'!$A$3:$Q$505,17,FALSE)</f>
        <v>charter out 05-06 May / charter in 13-14 May</v>
      </c>
      <c r="AC105" s="601"/>
      <c r="AD105" s="601">
        <f>VLOOKUP(F104,'2) Tracker'!$A$2:$BO$981,37,FALSE)</f>
        <v>46149</v>
      </c>
      <c r="AE105" s="601" t="str">
        <f>VLOOKUP(F104,'2) Tracker'!$A$2:$BO$981,40,FALSE)</f>
        <v/>
      </c>
      <c r="AF105" s="601" t="str">
        <f>VLOOKUP(F104,'2) Tracker'!$A$2:$BO$981,67,FALSE)</f>
        <v/>
      </c>
      <c r="AG105" s="601" t="str">
        <f>VLOOKUP(F104,'2) Tracker'!$A$2:$BO$981,34,FALSE)</f>
        <v/>
      </c>
      <c r="AH105" s="601" t="str">
        <f>VLOOKUP(F104,'2) Tracker'!$A$2:$BN$981,66,FALSE)</f>
        <v/>
      </c>
      <c r="AI105" s="601" t="str">
        <f>VLOOKUP(F104,'2) Tracker'!$A$2:$BO$981,56,FALSE)</f>
        <v/>
      </c>
      <c r="AJ105" s="601" t="str">
        <f>VLOOKUP(F104,'2) Tracker'!$A$2:$BO$981,52,FALSE)</f>
        <v/>
      </c>
      <c r="AK105" s="601" t="str">
        <f>VLOOKUP(F104,'2) Tracker'!$A$2:$AQ$981,43,FALSE)</f>
        <v/>
      </c>
      <c r="AL105" s="601" t="str">
        <f>VLOOKUP(F104,'2) Tracker'!$A$2:$BH$981,46,FALSE())</f>
        <v/>
      </c>
      <c r="AM105" s="601" t="str">
        <f>VLOOKUP(F104,'2) Tracker'!$A$2:$BO$981,65,FALSE())</f>
        <v/>
      </c>
      <c r="AN105" s="601" t="str">
        <f>VLOOKUP(F104,'2) Tracker'!$A$2:$BK$981,63,FALSE())</f>
        <v/>
      </c>
      <c r="AO105" s="601" t="str">
        <f>VLOOKUP(F104,'2) Tracker'!$A$2:$BF$981,58,FALSE())</f>
        <v/>
      </c>
      <c r="AP105" s="46"/>
      <c r="AQ105" s="46"/>
      <c r="AR105" s="46"/>
      <c r="AS105" s="46"/>
      <c r="AT105" s="46"/>
      <c r="AU105" s="46"/>
      <c r="AV105" s="46"/>
      <c r="AW105" s="46"/>
      <c r="AX105" s="46"/>
      <c r="AY105" s="46"/>
      <c r="AZ105" s="563"/>
      <c r="BA105" s="604" t="e">
        <f>VLOOKUP(AZ105,#REF!,2, FALSE)</f>
        <v>#REF!</v>
      </c>
      <c r="BB105" s="605" t="e">
        <f>VLOOKUP(AZ105,'1) Kpler'!$E$2:$F$500,2,FALSE)</f>
        <v>#N/A</v>
      </c>
      <c r="BC105" s="569"/>
      <c r="BD105" s="563"/>
      <c r="BE105" s="46"/>
      <c r="BF105" s="46"/>
      <c r="BG105" s="563"/>
      <c r="BH105" s="563"/>
      <c r="BI105" s="563"/>
      <c r="BJ105" s="563"/>
    </row>
    <row r="106" spans="2:62" x14ac:dyDescent="0.25">
      <c r="B106" s="589" t="str">
        <f>VLOOKUP(F106,'2) Tracker'!$A$3:$O$411,5,FALSE)</f>
        <v>C</v>
      </c>
      <c r="C106" s="589">
        <f>VLOOKUP(F106,'2) Tracker'!$A$3:$O$411,4,FALSE)</f>
        <v>0</v>
      </c>
      <c r="D106" s="563" t="s">
        <v>1569</v>
      </c>
      <c r="E106" s="563">
        <f>VLOOKUP(F106,'2) Tracker'!$A$3:$O$407,15,FALSE)</f>
        <v>0</v>
      </c>
      <c r="F106" s="590" t="s">
        <v>641</v>
      </c>
      <c r="G106" s="591">
        <f>VLOOKUP(F106,'2) Tracker'!$A$2:$BO$361,2,FALSE)</f>
        <v>2025</v>
      </c>
      <c r="H106" s="592">
        <f>VLOOKUP(F106,'2) Tracker'!$A$2:$BO$361,3,FALSE)</f>
        <v>88000</v>
      </c>
      <c r="I106" s="600" t="str">
        <f>VLOOKUP(F106,'2) Tracker'!$A$2:$BO$361,9,FALSE)</f>
        <v>AGT</v>
      </c>
      <c r="J106" s="594" t="str">
        <f>VLOOKUP(F106,'2) Tracker'!$A$2:$BO$361,12,FALSE)</f>
        <v>loads USG</v>
      </c>
      <c r="K106" s="596">
        <f t="shared" ref="K106:O106" si="210">AD106</f>
        <v>46150</v>
      </c>
      <c r="L106" s="596">
        <f t="shared" si="210"/>
        <v>46150</v>
      </c>
      <c r="M106" s="596">
        <f t="shared" si="210"/>
        <v>46182</v>
      </c>
      <c r="N106" s="596" t="str">
        <f t="shared" si="210"/>
        <v/>
      </c>
      <c r="O106" s="597" t="str">
        <f t="shared" si="210"/>
        <v/>
      </c>
      <c r="P106" s="598" t="str">
        <f>IFERROR(IF(VLOOKUP(F106,'Voyage days'!$M$808:$N$819,2,FALSE),"GOA",""),"")</f>
        <v/>
      </c>
      <c r="Q106" s="596" t="str">
        <f t="shared" ref="Q106:R106" si="211">AM106</f>
        <v/>
      </c>
      <c r="R106" s="596" t="str">
        <f t="shared" si="211"/>
        <v/>
      </c>
      <c r="S106" s="595">
        <f t="shared" si="2"/>
        <v>46170</v>
      </c>
      <c r="T106" s="596" t="str">
        <f t="shared" si="3"/>
        <v/>
      </c>
      <c r="U106" s="596" t="str">
        <f t="shared" si="4"/>
        <v/>
      </c>
      <c r="V106" s="596"/>
      <c r="W106" s="596" t="str">
        <f t="shared" si="5"/>
        <v/>
      </c>
      <c r="X106" s="599" t="str">
        <f t="shared" si="6"/>
        <v/>
      </c>
      <c r="Y106" s="611" t="s">
        <v>776</v>
      </c>
      <c r="Z106" s="600" t="str">
        <f>VLOOKUP(F106,'2) Tracker'!$A$3:$Q$505,16,FALSE)</f>
        <v>ETA Balboa 29 Apr</v>
      </c>
      <c r="AA106" s="600" t="str">
        <f>VLOOKUP(F106,'2) Tracker'!$A$3:$R$505,18,FALSE)</f>
        <v>Exxon 08-09 May USG</v>
      </c>
      <c r="AB106" s="600">
        <f>VLOOKUP(F106,'2) Tracker'!$A$3:$Q$505,17,FALSE)</f>
        <v>0</v>
      </c>
      <c r="AC106" s="601"/>
      <c r="AD106" s="601">
        <f>VLOOKUP(F106,'2) Tracker'!$A$2:$BO$981,37,FALSE)</f>
        <v>46150</v>
      </c>
      <c r="AE106" s="601">
        <f>VLOOKUP(F106,'2) Tracker'!$A$2:$BO$981,40,FALSE)</f>
        <v>46150</v>
      </c>
      <c r="AF106" s="601">
        <f>VLOOKUP(F106,'2) Tracker'!$A$2:$BO$981,67,FALSE)</f>
        <v>46182</v>
      </c>
      <c r="AG106" s="601" t="str">
        <f>VLOOKUP(F106,'2) Tracker'!$A$2:$BO$981,34,FALSE)</f>
        <v/>
      </c>
      <c r="AH106" s="601" t="str">
        <f>VLOOKUP(F106,'2) Tracker'!$A$2:$BN$981,66,FALSE)</f>
        <v/>
      </c>
      <c r="AI106" s="601" t="str">
        <f>VLOOKUP(F106,'2) Tracker'!$A$2:$BO$981,56,FALSE)</f>
        <v/>
      </c>
      <c r="AJ106" s="601" t="str">
        <f>VLOOKUP(F106,'2) Tracker'!$A$2:$BO$981,52,FALSE)</f>
        <v/>
      </c>
      <c r="AK106" s="601" t="str">
        <f>VLOOKUP(F106,'2) Tracker'!$A$2:$AQ$981,43,FALSE)</f>
        <v/>
      </c>
      <c r="AL106" s="601">
        <f>VLOOKUP(F106,'2) Tracker'!$A$2:$BH$981,46,FALSE())</f>
        <v>46170</v>
      </c>
      <c r="AM106" s="601" t="str">
        <f>VLOOKUP(F106,'2) Tracker'!$A$2:$BO$981,65,FALSE())</f>
        <v/>
      </c>
      <c r="AN106" s="601" t="str">
        <f>VLOOKUP(F106,'2) Tracker'!$A$2:$BK$981,63,FALSE())</f>
        <v/>
      </c>
      <c r="AO106" s="601" t="str">
        <f>VLOOKUP(F106,'2) Tracker'!$A$2:$BF$981,58,FALSE())</f>
        <v/>
      </c>
      <c r="AP106" s="46"/>
      <c r="AQ106" s="46"/>
      <c r="AR106" s="46"/>
      <c r="AS106" s="46"/>
      <c r="AT106" s="46"/>
      <c r="AU106" s="46"/>
      <c r="AV106" s="46"/>
      <c r="AW106" s="46"/>
      <c r="AX106" s="46"/>
      <c r="AY106" s="46"/>
      <c r="AZ106" s="605"/>
      <c r="BA106" s="604" t="e">
        <f>VLOOKUP(AZ106,#REF!,2, FALSE)</f>
        <v>#REF!</v>
      </c>
      <c r="BB106" s="605" t="e">
        <f>VLOOKUP(AZ106,'1) Kpler'!$E$2:$F$500,2,FALSE)</f>
        <v>#N/A</v>
      </c>
      <c r="BC106" s="604"/>
      <c r="BD106" s="605"/>
      <c r="BE106" s="46"/>
      <c r="BF106" s="46"/>
      <c r="BG106" s="605"/>
      <c r="BH106" s="605"/>
      <c r="BI106" s="605"/>
      <c r="BJ106" s="605"/>
    </row>
    <row r="107" spans="2:62" x14ac:dyDescent="0.25">
      <c r="B107" s="589">
        <f>VLOOKUP(F107,'2) Tracker'!$A$3:$O$411,5,FALSE)</f>
        <v>0</v>
      </c>
      <c r="C107" s="589">
        <f>VLOOKUP(F107,'2) Tracker'!$A$3:$O$411,4,FALSE)</f>
        <v>0</v>
      </c>
      <c r="D107" s="563"/>
      <c r="E107" s="563">
        <f>VLOOKUP(F107,'2) Tracker'!$A$3:$O$407,15,FALSE)</f>
        <v>0</v>
      </c>
      <c r="F107" s="604" t="s">
        <v>586</v>
      </c>
      <c r="G107" s="607">
        <f>VLOOKUP(F107,'2) Tracker'!$A$2:$BO$361,2,FALSE)</f>
        <v>42384</v>
      </c>
      <c r="H107" s="592">
        <f>VLOOKUP(F107,'2) Tracker'!$A$2:$BO$361,3,FALSE)</f>
        <v>84000</v>
      </c>
      <c r="I107" s="600" t="str">
        <f>VLOOKUP(F107,'2) Tracker'!$A$2:$BO$361,9,FALSE)</f>
        <v>Petredec</v>
      </c>
      <c r="J107" s="594" t="str">
        <f>VLOOKUP(F107,'2) Tracker'!$A$2:$BO$361,12,FALSE)</f>
        <v>loads USG</v>
      </c>
      <c r="K107" s="596">
        <f t="shared" ref="K107:O107" si="212">AD107</f>
        <v>46150</v>
      </c>
      <c r="L107" s="596">
        <f t="shared" si="212"/>
        <v>46150</v>
      </c>
      <c r="M107" s="596">
        <f t="shared" si="212"/>
        <v>46182</v>
      </c>
      <c r="N107" s="597" t="str">
        <f t="shared" si="212"/>
        <v/>
      </c>
      <c r="O107" s="597" t="str">
        <f t="shared" si="212"/>
        <v/>
      </c>
      <c r="P107" s="598" t="str">
        <f>IFERROR(IF(VLOOKUP(F107,'Voyage days'!$M$808:$N$819,2,FALSE),"GOA",""),"")</f>
        <v/>
      </c>
      <c r="Q107" s="596" t="str">
        <f t="shared" ref="Q107:R107" si="213">AM107</f>
        <v/>
      </c>
      <c r="R107" s="596" t="str">
        <f t="shared" si="213"/>
        <v/>
      </c>
      <c r="S107" s="595">
        <f t="shared" si="2"/>
        <v>46170</v>
      </c>
      <c r="T107" s="596" t="str">
        <f t="shared" si="3"/>
        <v/>
      </c>
      <c r="U107" s="596" t="str">
        <f t="shared" si="4"/>
        <v/>
      </c>
      <c r="V107" s="596"/>
      <c r="W107" s="596" t="str">
        <f t="shared" si="5"/>
        <v/>
      </c>
      <c r="X107" s="599" t="str">
        <f t="shared" si="6"/>
        <v/>
      </c>
      <c r="Y107" s="611" t="s">
        <v>1607</v>
      </c>
      <c r="Z107" s="600" t="str">
        <f>VLOOKUP(F107,'2) Tracker'!$A$3:$Q$505,16,FALSE)</f>
        <v>ETA Freeport 08 May via Cape</v>
      </c>
      <c r="AA107" s="600" t="str">
        <f>VLOOKUP(F107,'2) Tracker'!$A$3:$R$505,18,FALSE)</f>
        <v>Petredec 08-09 May Freeport</v>
      </c>
      <c r="AB107" s="600">
        <f>VLOOKUP(F107,'2) Tracker'!$A$3:$Q$505,17,FALSE)</f>
        <v>0</v>
      </c>
      <c r="AC107" s="601"/>
      <c r="AD107" s="601">
        <f>VLOOKUP(F107,'2) Tracker'!$A$2:$BO$981,37,FALSE)</f>
        <v>46150</v>
      </c>
      <c r="AE107" s="601">
        <f>VLOOKUP(F107,'2) Tracker'!$A$2:$BO$981,40,FALSE)</f>
        <v>46150</v>
      </c>
      <c r="AF107" s="601">
        <f>VLOOKUP(F107,'2) Tracker'!$A$2:$BO$981,67,FALSE)</f>
        <v>46182</v>
      </c>
      <c r="AG107" s="601" t="str">
        <f>VLOOKUP(F107,'2) Tracker'!$A$2:$BO$981,34,FALSE)</f>
        <v/>
      </c>
      <c r="AH107" s="601" t="str">
        <f>VLOOKUP(F107,'2) Tracker'!$A$2:$BN$981,66,FALSE)</f>
        <v/>
      </c>
      <c r="AI107" s="601" t="str">
        <f>VLOOKUP(F107,'2) Tracker'!$A$2:$BO$981,56,FALSE)</f>
        <v/>
      </c>
      <c r="AJ107" s="601" t="str">
        <f>VLOOKUP(F107,'2) Tracker'!$A$2:$BO$981,52,FALSE)</f>
        <v/>
      </c>
      <c r="AK107" s="601" t="str">
        <f>VLOOKUP(F107,'2) Tracker'!$A$2:$AQ$981,43,FALSE)</f>
        <v/>
      </c>
      <c r="AL107" s="601">
        <f>VLOOKUP(F107,'2) Tracker'!$A$2:$BH$981,46,FALSE())</f>
        <v>46170</v>
      </c>
      <c r="AM107" s="601" t="str">
        <f>VLOOKUP(F107,'2) Tracker'!$A$2:$BO$981,65,FALSE())</f>
        <v/>
      </c>
      <c r="AN107" s="601" t="str">
        <f>VLOOKUP(F107,'2) Tracker'!$A$2:$BK$981,63,FALSE())</f>
        <v/>
      </c>
      <c r="AO107" s="601" t="str">
        <f>VLOOKUP(F107,'2) Tracker'!$A$2:$BF$981,58,FALSE())</f>
        <v/>
      </c>
      <c r="AP107" s="46"/>
      <c r="AQ107" s="46"/>
      <c r="AR107" s="46"/>
      <c r="AS107" s="46"/>
      <c r="AT107" s="46"/>
      <c r="AU107" s="46"/>
      <c r="AV107" s="46"/>
      <c r="AW107" s="46"/>
      <c r="AX107" s="46"/>
      <c r="AY107" s="46"/>
      <c r="AZ107" s="563"/>
      <c r="BA107" s="604" t="e">
        <f>VLOOKUP(AZ107,#REF!,2, FALSE)</f>
        <v>#REF!</v>
      </c>
      <c r="BB107" s="605" t="e">
        <f>VLOOKUP(AZ107,'1) Kpler'!$E$2:$F$500,2,FALSE)</f>
        <v>#N/A</v>
      </c>
      <c r="BC107" s="569"/>
      <c r="BD107" s="563"/>
      <c r="BE107" s="46"/>
      <c r="BF107" s="46"/>
      <c r="BG107" s="563"/>
      <c r="BH107" s="563"/>
      <c r="BI107" s="563"/>
      <c r="BJ107" s="563"/>
    </row>
    <row r="108" spans="2:62" x14ac:dyDescent="0.25">
      <c r="B108" s="589">
        <f>VLOOKUP(F108,'2) Tracker'!$A$3:$O$411,5,FALSE)</f>
        <v>0</v>
      </c>
      <c r="C108" s="589">
        <f>VLOOKUP(F108,'2) Tracker'!$A$3:$O$411,4,FALSE)</f>
        <v>0</v>
      </c>
      <c r="D108" s="563"/>
      <c r="E108" s="563">
        <f>VLOOKUP(F108,'2) Tracker'!$A$3:$O$407,15,FALSE)</f>
        <v>0</v>
      </c>
      <c r="F108" s="604" t="s">
        <v>553</v>
      </c>
      <c r="G108" s="615">
        <f>VLOOKUP(F108,'2) Tracker'!$A$2:$BO$361,2,FALSE)</f>
        <v>2019</v>
      </c>
      <c r="H108" s="592">
        <f>VLOOKUP(F108,'2) Tracker'!$A$2:$BO$361,3,FALSE)</f>
        <v>82000</v>
      </c>
      <c r="I108" s="600" t="str">
        <f>VLOOKUP(F108,'2) Tracker'!$A$2:$BO$361,9,FALSE)</f>
        <v>Gyxis</v>
      </c>
      <c r="J108" s="594" t="str">
        <f>VLOOKUP(F108,'2) Tracker'!$A$2:$BO$361,12,FALSE)</f>
        <v>loads USG</v>
      </c>
      <c r="K108" s="595">
        <f t="shared" ref="K108:O108" si="214">AD108</f>
        <v>46151</v>
      </c>
      <c r="L108" s="595">
        <f t="shared" si="214"/>
        <v>46151</v>
      </c>
      <c r="M108" s="596">
        <f t="shared" si="214"/>
        <v>46183</v>
      </c>
      <c r="N108" s="596" t="str">
        <f t="shared" si="214"/>
        <v/>
      </c>
      <c r="O108" s="597" t="str">
        <f t="shared" si="214"/>
        <v/>
      </c>
      <c r="P108" s="598" t="str">
        <f>IFERROR(IF(VLOOKUP(F108,'Voyage days'!$M$808:$N$819,2,FALSE),"GOA",""),"")</f>
        <v/>
      </c>
      <c r="Q108" s="596" t="str">
        <f t="shared" ref="Q108:R108" si="215">AM108</f>
        <v/>
      </c>
      <c r="R108" s="595" t="str">
        <f t="shared" si="215"/>
        <v/>
      </c>
      <c r="S108" s="595">
        <f t="shared" si="2"/>
        <v>46171</v>
      </c>
      <c r="T108" s="596" t="str">
        <f t="shared" si="3"/>
        <v/>
      </c>
      <c r="U108" s="595" t="str">
        <f t="shared" si="4"/>
        <v/>
      </c>
      <c r="V108" s="595"/>
      <c r="W108" s="595" t="str">
        <f t="shared" si="5"/>
        <v/>
      </c>
      <c r="X108" s="599" t="str">
        <f t="shared" si="6"/>
        <v/>
      </c>
      <c r="Y108" s="611" t="s">
        <v>1035</v>
      </c>
      <c r="Z108" s="600" t="str">
        <f>VLOOKUP(F108,'2) Tracker'!$A$3:$Q$505,16,FALSE)</f>
        <v>ETA USG 05 May via Cape</v>
      </c>
      <c r="AA108" s="600" t="str">
        <f>VLOOKUP(F108,'2) Tracker'!$A$3:$R$505,18,FALSE)</f>
        <v>BGN 09-10 May USG</v>
      </c>
      <c r="AB108" s="600">
        <f>VLOOKUP(F108,'2) Tracker'!$A$3:$Q$505,17,FALSE)</f>
        <v>0</v>
      </c>
      <c r="AC108" s="601"/>
      <c r="AD108" s="601">
        <f>VLOOKUP(F108,'2) Tracker'!$A$2:$BO$981,37,FALSE)</f>
        <v>46151</v>
      </c>
      <c r="AE108" s="601">
        <f>VLOOKUP(F108,'2) Tracker'!$A$2:$BO$981,40,FALSE)</f>
        <v>46151</v>
      </c>
      <c r="AF108" s="601">
        <f>VLOOKUP(F108,'2) Tracker'!$A$2:$BO$981,67,FALSE)</f>
        <v>46183</v>
      </c>
      <c r="AG108" s="601" t="str">
        <f>VLOOKUP(F108,'2) Tracker'!$A$2:$BO$981,34,FALSE)</f>
        <v/>
      </c>
      <c r="AH108" s="601" t="str">
        <f>VLOOKUP(F108,'2) Tracker'!$A$2:$BN$981,66,FALSE)</f>
        <v/>
      </c>
      <c r="AI108" s="601" t="str">
        <f>VLOOKUP(F108,'2) Tracker'!$A$2:$BO$981,56,FALSE)</f>
        <v/>
      </c>
      <c r="AJ108" s="601" t="str">
        <f>VLOOKUP(F108,'2) Tracker'!$A$2:$BO$981,52,FALSE)</f>
        <v/>
      </c>
      <c r="AK108" s="601" t="str">
        <f>VLOOKUP(F108,'2) Tracker'!$A$2:$AQ$981,43,FALSE)</f>
        <v/>
      </c>
      <c r="AL108" s="601">
        <f>VLOOKUP(F108,'2) Tracker'!$A$2:$BH$981,46,FALSE())</f>
        <v>46171</v>
      </c>
      <c r="AM108" s="601" t="str">
        <f>VLOOKUP(F108,'2) Tracker'!$A$2:$BO$981,65,FALSE())</f>
        <v/>
      </c>
      <c r="AN108" s="601" t="str">
        <f>VLOOKUP(F108,'2) Tracker'!$A$2:$BK$981,63,FALSE())</f>
        <v/>
      </c>
      <c r="AO108" s="601" t="str">
        <f>VLOOKUP(F108,'2) Tracker'!$A$2:$BF$981,58,FALSE())</f>
        <v/>
      </c>
      <c r="AW108" s="46"/>
      <c r="AX108" s="46"/>
      <c r="AY108" s="46"/>
      <c r="AZ108" s="563"/>
      <c r="BA108" s="569"/>
      <c r="BB108" s="563"/>
      <c r="BC108" s="569"/>
      <c r="BD108" s="563"/>
      <c r="BE108" s="46"/>
      <c r="BF108" s="46"/>
      <c r="BG108" s="563"/>
      <c r="BH108" s="563"/>
      <c r="BI108" s="563"/>
      <c r="BJ108" s="563"/>
    </row>
    <row r="109" spans="2:62" x14ac:dyDescent="0.25">
      <c r="B109" s="589" t="str">
        <f>VLOOKUP(F109,'2) Tracker'!$A$3:$O$411,5,FALSE)</f>
        <v>C</v>
      </c>
      <c r="C109" s="589">
        <f>VLOOKUP(F109,'2) Tracker'!$A$3:$O$411,4,FALSE)</f>
        <v>0</v>
      </c>
      <c r="D109" s="563"/>
      <c r="E109" s="563">
        <f>VLOOKUP(F109,'2) Tracker'!$A$3:$O$407,15,FALSE)</f>
        <v>0</v>
      </c>
      <c r="F109" s="604" t="s">
        <v>257</v>
      </c>
      <c r="G109" s="591">
        <f>VLOOKUP(F109,'2) Tracker'!$A$2:$BO$361,2,FALSE)</f>
        <v>2023</v>
      </c>
      <c r="H109" s="592">
        <f>VLOOKUP(F109,'2) Tracker'!$A$2:$BO$361,3,FALSE)</f>
        <v>86700</v>
      </c>
      <c r="I109" s="600" t="str">
        <f>VLOOKUP(F109,'2) Tracker'!$A$2:$BO$361,9,FALSE)</f>
        <v>Itochu</v>
      </c>
      <c r="J109" s="594" t="str">
        <f>VLOOKUP(F109,'2) Tracker'!$A$2:$BO$361,12,FALSE)</f>
        <v>loads USG</v>
      </c>
      <c r="K109" s="596">
        <f t="shared" ref="K109:O109" si="216">AD109</f>
        <v>46151</v>
      </c>
      <c r="L109" s="596">
        <f t="shared" si="216"/>
        <v>46151</v>
      </c>
      <c r="M109" s="596">
        <f t="shared" si="216"/>
        <v>46183</v>
      </c>
      <c r="N109" s="596" t="str">
        <f t="shared" si="216"/>
        <v/>
      </c>
      <c r="O109" s="597" t="str">
        <f t="shared" si="216"/>
        <v/>
      </c>
      <c r="P109" s="598" t="str">
        <f>IFERROR(IF(VLOOKUP(F109,'Voyage days'!$M$808:$N$819,2,FALSE),"GOA",""),"")</f>
        <v/>
      </c>
      <c r="Q109" s="596" t="str">
        <f t="shared" ref="Q109:R109" si="217">AM109</f>
        <v/>
      </c>
      <c r="R109" s="596" t="str">
        <f t="shared" si="217"/>
        <v/>
      </c>
      <c r="S109" s="595">
        <f t="shared" si="2"/>
        <v>46171</v>
      </c>
      <c r="T109" s="596" t="str">
        <f t="shared" si="3"/>
        <v/>
      </c>
      <c r="U109" s="596" t="str">
        <f t="shared" si="4"/>
        <v/>
      </c>
      <c r="V109" s="596"/>
      <c r="W109" s="596" t="str">
        <f t="shared" si="5"/>
        <v/>
      </c>
      <c r="X109" s="599" t="str">
        <f t="shared" si="6"/>
        <v/>
      </c>
      <c r="Y109" s="594"/>
      <c r="Z109" s="600" t="str">
        <f>VLOOKUP(F109,'2) Tracker'!$A$3:$Q$505,16,FALSE)</f>
        <v>ETA USG via Cape 05 May</v>
      </c>
      <c r="AA109" s="600" t="str">
        <f>VLOOKUP(F109,'2) Tracker'!$A$3:$R$505,18,FALSE)</f>
        <v>Helios/BP 09-10 May USG?</v>
      </c>
      <c r="AB109" s="600">
        <f>VLOOKUP(F109,'2) Tracker'!$A$3:$Q$505,17,FALSE)</f>
        <v>0</v>
      </c>
      <c r="AC109" s="601"/>
      <c r="AD109" s="601">
        <f>VLOOKUP(F109,'2) Tracker'!$A$2:$BO$981,37,FALSE)</f>
        <v>46151</v>
      </c>
      <c r="AE109" s="601">
        <f>VLOOKUP(F109,'2) Tracker'!$A$2:$BO$981,40,FALSE)</f>
        <v>46151</v>
      </c>
      <c r="AF109" s="601">
        <f>VLOOKUP(F109,'2) Tracker'!$A$2:$BO$981,67,FALSE)</f>
        <v>46183</v>
      </c>
      <c r="AG109" s="601" t="str">
        <f>VLOOKUP(F109,'2) Tracker'!$A$2:$BO$981,34,FALSE)</f>
        <v/>
      </c>
      <c r="AH109" s="601" t="str">
        <f>VLOOKUP(F109,'2) Tracker'!$A$2:$BN$981,66,FALSE)</f>
        <v/>
      </c>
      <c r="AI109" s="601" t="str">
        <f>VLOOKUP(F109,'2) Tracker'!$A$2:$BO$981,56,FALSE)</f>
        <v/>
      </c>
      <c r="AJ109" s="601" t="str">
        <f>VLOOKUP(F109,'2) Tracker'!$A$2:$BO$981,52,FALSE)</f>
        <v/>
      </c>
      <c r="AK109" s="601" t="str">
        <f>VLOOKUP(F109,'2) Tracker'!$A$2:$AQ$981,43,FALSE)</f>
        <v/>
      </c>
      <c r="AL109" s="601">
        <f>VLOOKUP(F109,'2) Tracker'!$A$2:$BH$981,46,FALSE())</f>
        <v>46171</v>
      </c>
      <c r="AM109" s="601" t="str">
        <f>VLOOKUP(F109,'2) Tracker'!$A$2:$BO$981,65,FALSE())</f>
        <v/>
      </c>
      <c r="AN109" s="601" t="str">
        <f>VLOOKUP(F109,'2) Tracker'!$A$2:$BK$981,63,FALSE())</f>
        <v/>
      </c>
      <c r="AO109" s="601" t="str">
        <f>VLOOKUP(F109,'2) Tracker'!$A$2:$BF$981,58,FALSE())</f>
        <v/>
      </c>
      <c r="AP109" s="46"/>
      <c r="AQ109" s="46"/>
      <c r="AR109" s="46"/>
      <c r="AS109" s="46"/>
      <c r="AT109" s="46"/>
      <c r="AU109" s="46"/>
      <c r="AV109" s="46"/>
      <c r="AW109" s="46"/>
      <c r="AX109" s="46"/>
      <c r="AY109" s="46"/>
      <c r="AZ109" s="563"/>
      <c r="BA109" s="604" t="e">
        <f>VLOOKUP(AZ109,#REF!,2, FALSE)</f>
        <v>#REF!</v>
      </c>
      <c r="BB109" s="605" t="e">
        <f>VLOOKUP(AZ109,'1) Kpler'!$E$2:$F$500,2,FALSE)</f>
        <v>#N/A</v>
      </c>
      <c r="BC109" s="569"/>
      <c r="BD109" s="563"/>
      <c r="BE109" s="46"/>
      <c r="BF109" s="46"/>
      <c r="BG109" s="563"/>
      <c r="BH109" s="563"/>
      <c r="BI109" s="563"/>
      <c r="BJ109" s="563"/>
    </row>
    <row r="110" spans="2:62" x14ac:dyDescent="0.25">
      <c r="B110" s="589">
        <f>VLOOKUP(F110,'2) Tracker'!$A$3:$O$411,5,FALSE)</f>
        <v>0</v>
      </c>
      <c r="C110" s="589" t="str">
        <f>VLOOKUP(F110,'2) Tracker'!$A$3:$O$411,4,FALSE)</f>
        <v>US</v>
      </c>
      <c r="D110" s="563"/>
      <c r="E110" s="563" t="str">
        <f>VLOOKUP(F110,'2) Tracker'!$A$3:$O$407,15,FALSE)</f>
        <v>eu</v>
      </c>
      <c r="F110" s="608" t="s">
        <v>944</v>
      </c>
      <c r="G110" s="607">
        <f>VLOOKUP(F110,'2) Tracker'!$A$2:$BO$361,2,FALSE)</f>
        <v>43617</v>
      </c>
      <c r="H110" s="592">
        <f>VLOOKUP(F110,'2) Tracker'!$A$2:$BO$361,3,FALSE)</f>
        <v>82200</v>
      </c>
      <c r="I110" s="593" t="str">
        <f>VLOOKUP(F110,'2) Tracker'!$A$2:$BO$361,9,FALSE)</f>
        <v>Energy Transfer</v>
      </c>
      <c r="J110" s="594" t="str">
        <f>VLOOKUP(F110,'2) Tracker'!$A$2:$BO$361,12,FALSE)</f>
        <v>Eu</v>
      </c>
      <c r="K110" s="596">
        <f t="shared" ref="K110:O110" si="218">AD110</f>
        <v>46151</v>
      </c>
      <c r="L110" s="596">
        <f t="shared" si="218"/>
        <v>46152</v>
      </c>
      <c r="M110" s="596" t="str">
        <f t="shared" si="218"/>
        <v/>
      </c>
      <c r="N110" s="596" t="str">
        <f t="shared" si="218"/>
        <v/>
      </c>
      <c r="O110" s="597" t="str">
        <f t="shared" si="218"/>
        <v/>
      </c>
      <c r="P110" s="598" t="str">
        <f>IFERROR(IF(VLOOKUP(F110,'Voyage days'!$M$808:$N$819,2,FALSE),"GOA",""),"")</f>
        <v/>
      </c>
      <c r="Q110" s="596">
        <f t="shared" ref="Q110:R110" si="219">AM110</f>
        <v>46138</v>
      </c>
      <c r="R110" s="596">
        <f t="shared" si="219"/>
        <v>46151</v>
      </c>
      <c r="S110" s="595">
        <f t="shared" si="2"/>
        <v>46139</v>
      </c>
      <c r="T110" s="596">
        <f t="shared" si="3"/>
        <v>46148</v>
      </c>
      <c r="U110" s="596" t="str">
        <f t="shared" si="4"/>
        <v/>
      </c>
      <c r="V110" s="570" t="s">
        <v>1577</v>
      </c>
      <c r="W110" s="596" t="str">
        <f t="shared" si="5"/>
        <v/>
      </c>
      <c r="X110" s="599" t="str">
        <f t="shared" si="6"/>
        <v/>
      </c>
      <c r="Y110" s="594"/>
      <c r="Z110" s="600" t="str">
        <f>VLOOKUP(F110,'2) Tracker'!$A$3:$Q$505,16,FALSE)</f>
        <v>ETA eu 22 Apr</v>
      </c>
      <c r="AA110" s="600" t="str">
        <f>VLOOKUP(F110,'2) Tracker'!$A$3:$R$505,18,FALSE)</f>
        <v>ET 03-04 Apr MH</v>
      </c>
      <c r="AB110" s="600">
        <f>VLOOKUP(F110,'2) Tracker'!$A$3:$Q$505,17,FALSE)</f>
        <v>0</v>
      </c>
      <c r="AC110" s="601"/>
      <c r="AD110" s="601">
        <f>VLOOKUP(F110,'2) Tracker'!$A$2:$BO$981,37,FALSE)</f>
        <v>46151</v>
      </c>
      <c r="AE110" s="601">
        <f>VLOOKUP(F110,'2) Tracker'!$A$2:$BO$981,40,FALSE)</f>
        <v>46152</v>
      </c>
      <c r="AF110" s="601" t="str">
        <f>VLOOKUP(F110,'2) Tracker'!$A$2:$BO$981,67,FALSE)</f>
        <v/>
      </c>
      <c r="AG110" s="601" t="str">
        <f>VLOOKUP(F110,'2) Tracker'!$A$2:$BO$981,34,FALSE)</f>
        <v/>
      </c>
      <c r="AH110" s="601" t="str">
        <f>VLOOKUP(F110,'2) Tracker'!$A$2:$BN$981,66,FALSE)</f>
        <v/>
      </c>
      <c r="AI110" s="601" t="str">
        <f>VLOOKUP(F110,'2) Tracker'!$A$2:$BO$981,56,FALSE)</f>
        <v/>
      </c>
      <c r="AJ110" s="601" t="str">
        <f>VLOOKUP(F110,'2) Tracker'!$A$2:$BO$981,52,FALSE)</f>
        <v/>
      </c>
      <c r="AK110" s="601">
        <f>VLOOKUP(F110,'2) Tracker'!$A$2:$AQ$981,43,FALSE)</f>
        <v>46148</v>
      </c>
      <c r="AL110" s="601">
        <f>VLOOKUP(F110,'2) Tracker'!$A$2:$BH$981,46,FALSE())</f>
        <v>46139</v>
      </c>
      <c r="AM110" s="601">
        <f>VLOOKUP(F110,'2) Tracker'!$A$2:$BO$981,65,FALSE())</f>
        <v>46138</v>
      </c>
      <c r="AN110" s="601">
        <f>VLOOKUP(F110,'2) Tracker'!$A$2:$BK$981,63,FALSE())</f>
        <v>46151</v>
      </c>
      <c r="AO110" s="601" t="str">
        <f>VLOOKUP(F110,'2) Tracker'!$A$2:$BF$981,58,FALSE())</f>
        <v/>
      </c>
      <c r="AP110" s="46"/>
      <c r="AQ110" s="46"/>
      <c r="AR110" s="46"/>
      <c r="AS110" s="46"/>
      <c r="AT110" s="46"/>
      <c r="AU110" s="46"/>
      <c r="AV110" s="46"/>
      <c r="AW110" s="46"/>
      <c r="AX110" s="46"/>
      <c r="AY110" s="46"/>
      <c r="AZ110" s="563"/>
      <c r="BA110" s="604" t="e">
        <f>VLOOKUP(AZ110,#REF!,2, FALSE)</f>
        <v>#REF!</v>
      </c>
      <c r="BB110" s="605" t="e">
        <f>VLOOKUP(AZ110,'1) Kpler'!$E$2:$F$500,2,FALSE)</f>
        <v>#N/A</v>
      </c>
      <c r="BC110" s="569"/>
      <c r="BD110" s="563"/>
      <c r="BE110" s="46"/>
      <c r="BF110" s="46"/>
      <c r="BG110" s="563"/>
      <c r="BH110" s="563"/>
      <c r="BI110" s="563"/>
      <c r="BJ110" s="563"/>
    </row>
    <row r="111" spans="2:62" x14ac:dyDescent="0.25">
      <c r="B111" s="589">
        <f>VLOOKUP(F111,'2) Tracker'!$A$3:$O$411,5,FALSE)</f>
        <v>0</v>
      </c>
      <c r="C111" s="589" t="str">
        <f>VLOOKUP(F111,'2) Tracker'!$A$3:$O$411,4,FALSE)</f>
        <v>US</v>
      </c>
      <c r="D111" s="563"/>
      <c r="E111" s="563">
        <f>VLOOKUP(F111,'2) Tracker'!$A$3:$O$407,15,FALSE)</f>
        <v>0</v>
      </c>
      <c r="F111" s="569" t="s">
        <v>169</v>
      </c>
      <c r="G111" s="607">
        <f>VLOOKUP(F111,'2) Tracker'!$A$2:$BO$361,2,FALSE)</f>
        <v>42290</v>
      </c>
      <c r="H111" s="592">
        <f>VLOOKUP(F111,'2) Tracker'!$A$2:$BO$361,3,FALSE)</f>
        <v>84000</v>
      </c>
      <c r="I111" s="594" t="str">
        <f>VLOOKUP(F111,'2) Tracker'!$A$2:$BO$361,9,FALSE)</f>
        <v>Helios</v>
      </c>
      <c r="J111" s="594" t="str">
        <f>VLOOKUP(F111,'2) Tracker'!$A$2:$BO$361,12,FALSE)</f>
        <v>loads MH</v>
      </c>
      <c r="K111" s="596">
        <f t="shared" ref="K111:O111" si="220">AD111</f>
        <v>46151</v>
      </c>
      <c r="L111" s="596" t="str">
        <f t="shared" si="220"/>
        <v/>
      </c>
      <c r="M111" s="596" t="str">
        <f t="shared" si="220"/>
        <v/>
      </c>
      <c r="N111" s="596" t="str">
        <f t="shared" si="220"/>
        <v/>
      </c>
      <c r="O111" s="597" t="str">
        <f t="shared" si="220"/>
        <v/>
      </c>
      <c r="P111" s="598" t="str">
        <f>IFERROR(IF(VLOOKUP(F111,'Voyage days'!$M$808:$N$819,2,FALSE),"GOA",""),"")</f>
        <v/>
      </c>
      <c r="Q111" s="596" t="str">
        <f t="shared" ref="Q111:R111" si="221">AM111</f>
        <v/>
      </c>
      <c r="R111" s="596" t="str">
        <f t="shared" si="221"/>
        <v/>
      </c>
      <c r="S111" s="595">
        <f t="shared" si="2"/>
        <v>46166</v>
      </c>
      <c r="T111" s="596" t="str">
        <f t="shared" si="3"/>
        <v/>
      </c>
      <c r="U111" s="596" t="str">
        <f t="shared" si="4"/>
        <v/>
      </c>
      <c r="V111" s="570" t="s">
        <v>1577</v>
      </c>
      <c r="W111" s="596" t="str">
        <f t="shared" si="5"/>
        <v/>
      </c>
      <c r="X111" s="599" t="str">
        <f t="shared" si="6"/>
        <v/>
      </c>
      <c r="Y111" s="611" t="s">
        <v>1482</v>
      </c>
      <c r="Z111" s="600" t="str">
        <f>VLOOKUP(F111,'2) Tracker'!$A$3:$Q$505,16,FALSE)</f>
        <v>ETA Balboa 27 Apr</v>
      </c>
      <c r="AA111" s="600" t="str">
        <f>VLOOKUP(F111,'2) Tracker'!$A$3:$R$505,18,FALSE)</f>
        <v>BP 09-10 May MH</v>
      </c>
      <c r="AB111" s="600">
        <f>VLOOKUP(F111,'2) Tracker'!$A$3:$Q$505,17,FALSE)</f>
        <v>0</v>
      </c>
      <c r="AC111" s="601"/>
      <c r="AD111" s="601">
        <f>VLOOKUP(F111,'2) Tracker'!$A$2:$BO$981,37,FALSE)</f>
        <v>46151</v>
      </c>
      <c r="AE111" s="601" t="str">
        <f>VLOOKUP(F111,'2) Tracker'!$A$2:$BO$981,40,FALSE)</f>
        <v/>
      </c>
      <c r="AF111" s="601" t="str">
        <f>VLOOKUP(F111,'2) Tracker'!$A$2:$BO$981,67,FALSE)</f>
        <v/>
      </c>
      <c r="AG111" s="601" t="str">
        <f>VLOOKUP(F111,'2) Tracker'!$A$2:$BO$981,34,FALSE)</f>
        <v/>
      </c>
      <c r="AH111" s="601" t="str">
        <f>VLOOKUP(F111,'2) Tracker'!$A$2:$BN$981,66,FALSE)</f>
        <v/>
      </c>
      <c r="AI111" s="601" t="str">
        <f>VLOOKUP(F111,'2) Tracker'!$A$2:$BO$981,56,FALSE)</f>
        <v/>
      </c>
      <c r="AJ111" s="601" t="str">
        <f>VLOOKUP(F111,'2) Tracker'!$A$2:$BO$981,52,FALSE)</f>
        <v/>
      </c>
      <c r="AK111" s="601" t="str">
        <f>VLOOKUP(F111,'2) Tracker'!$A$2:$AQ$981,43,FALSE)</f>
        <v/>
      </c>
      <c r="AL111" s="601">
        <f>VLOOKUP(F111,'2) Tracker'!$A$2:$BH$981,46,FALSE())</f>
        <v>46166</v>
      </c>
      <c r="AM111" s="601" t="str">
        <f>VLOOKUP(F111,'2) Tracker'!$A$2:$BO$981,65,FALSE())</f>
        <v/>
      </c>
      <c r="AN111" s="601" t="str">
        <f>VLOOKUP(F111,'2) Tracker'!$A$2:$BK$981,63,FALSE())</f>
        <v/>
      </c>
      <c r="AO111" s="601" t="str">
        <f>VLOOKUP(F111,'2) Tracker'!$A$2:$BF$981,58,FALSE())</f>
        <v/>
      </c>
      <c r="AP111" s="46"/>
      <c r="AQ111" s="46"/>
      <c r="AR111" s="46"/>
      <c r="AS111" s="46"/>
      <c r="AT111" s="46"/>
      <c r="AU111" s="46"/>
      <c r="AV111" s="46"/>
      <c r="AW111" s="46"/>
      <c r="AX111" s="46"/>
      <c r="AY111" s="46"/>
      <c r="AZ111" s="563"/>
      <c r="BA111" s="604" t="e">
        <f>VLOOKUP(AZ111,#REF!,2, FALSE)</f>
        <v>#REF!</v>
      </c>
      <c r="BB111" s="605" t="e">
        <f>VLOOKUP(AZ111,'1) Kpler'!$E$2:$F$500,2,FALSE)</f>
        <v>#N/A</v>
      </c>
      <c r="BC111" s="569"/>
      <c r="BD111" s="563"/>
      <c r="BE111" s="46"/>
      <c r="BF111" s="46"/>
      <c r="BG111" s="563"/>
      <c r="BH111" s="563"/>
      <c r="BI111" s="563"/>
      <c r="BJ111" s="563"/>
    </row>
    <row r="112" spans="2:62" x14ac:dyDescent="0.25">
      <c r="B112" s="589">
        <f>VLOOKUP(F112,'2) Tracker'!$A$3:$O$411,5,FALSE)</f>
        <v>0</v>
      </c>
      <c r="C112" s="589">
        <f>VLOOKUP(F112,'2) Tracker'!$A$3:$O$411,4,FALSE)</f>
        <v>0</v>
      </c>
      <c r="D112" s="563"/>
      <c r="E112" s="563" t="str">
        <f>VLOOKUP(F112,'2) Tracker'!$A$3:$O$407,15,FALSE)</f>
        <v>eu</v>
      </c>
      <c r="F112" s="604" t="s">
        <v>601</v>
      </c>
      <c r="G112" s="615">
        <f>VLOOKUP(F112,'2) Tracker'!$A$2:$BO$361,2,FALSE)</f>
        <v>2013</v>
      </c>
      <c r="H112" s="592">
        <f>VLOOKUP(F112,'2) Tracker'!$A$2:$BO$361,3,FALSE)</f>
        <v>83300</v>
      </c>
      <c r="I112" s="594" t="str">
        <f>VLOOKUP(F112,'2) Tracker'!$A$2:$BO$361,9,FALSE)</f>
        <v>Gyxis</v>
      </c>
      <c r="J112" s="594" t="str">
        <f>VLOOKUP(F112,'2) Tracker'!$A$2:$BO$361,12,FALSE)</f>
        <v>loads USG</v>
      </c>
      <c r="K112" s="596">
        <f t="shared" ref="K112:O112" si="222">AD112</f>
        <v>46152</v>
      </c>
      <c r="L112" s="596">
        <f t="shared" si="222"/>
        <v>46152</v>
      </c>
      <c r="M112" s="596">
        <f t="shared" si="222"/>
        <v>46184</v>
      </c>
      <c r="N112" s="596" t="str">
        <f t="shared" si="222"/>
        <v/>
      </c>
      <c r="O112" s="597" t="str">
        <f t="shared" si="222"/>
        <v/>
      </c>
      <c r="P112" s="598" t="str">
        <f>IFERROR(IF(VLOOKUP(F112,'Voyage days'!$M$808:$N$819,2,FALSE),"GOA",""),"")</f>
        <v/>
      </c>
      <c r="Q112" s="596" t="str">
        <f t="shared" ref="Q112:R112" si="223">AM112</f>
        <v/>
      </c>
      <c r="R112" s="596" t="str">
        <f t="shared" si="223"/>
        <v/>
      </c>
      <c r="S112" s="595">
        <f t="shared" si="2"/>
        <v>46172</v>
      </c>
      <c r="T112" s="596" t="str">
        <f t="shared" si="3"/>
        <v/>
      </c>
      <c r="U112" s="596" t="str">
        <f t="shared" si="4"/>
        <v/>
      </c>
      <c r="V112" s="596"/>
      <c r="W112" s="596" t="str">
        <f t="shared" si="5"/>
        <v/>
      </c>
      <c r="X112" s="599" t="str">
        <f t="shared" si="6"/>
        <v/>
      </c>
      <c r="Y112" s="594"/>
      <c r="Z112" s="600" t="str">
        <f>VLOOKUP(F112,'2) Tracker'!$A$3:$Q$505,16,FALSE)</f>
        <v>ETA Antwerp 17 Apr</v>
      </c>
      <c r="AA112" s="600" t="str">
        <f>VLOOKUP(F112,'2) Tracker'!$A$3:$R$505,18,FALSE)</f>
        <v>Dow 10-11 May USG</v>
      </c>
      <c r="AB112" s="600">
        <f>VLOOKUP(F112,'2) Tracker'!$A$3:$Q$505,17,FALSE)</f>
        <v>0</v>
      </c>
      <c r="AC112" s="601"/>
      <c r="AD112" s="601">
        <f>VLOOKUP(F112,'2) Tracker'!$A$2:$BO$981,37,FALSE)</f>
        <v>46152</v>
      </c>
      <c r="AE112" s="601">
        <f>VLOOKUP(F112,'2) Tracker'!$A$2:$BO$981,40,FALSE)</f>
        <v>46152</v>
      </c>
      <c r="AF112" s="601">
        <f>VLOOKUP(F112,'2) Tracker'!$A$2:$BO$981,67,FALSE)</f>
        <v>46184</v>
      </c>
      <c r="AG112" s="601" t="str">
        <f>VLOOKUP(F112,'2) Tracker'!$A$2:$BO$981,34,FALSE)</f>
        <v/>
      </c>
      <c r="AH112" s="601" t="str">
        <f>VLOOKUP(F112,'2) Tracker'!$A$2:$BN$981,66,FALSE)</f>
        <v/>
      </c>
      <c r="AI112" s="601" t="str">
        <f>VLOOKUP(F112,'2) Tracker'!$A$2:$BO$981,56,FALSE)</f>
        <v/>
      </c>
      <c r="AJ112" s="601" t="str">
        <f>VLOOKUP(F112,'2) Tracker'!$A$2:$BO$981,52,FALSE)</f>
        <v/>
      </c>
      <c r="AK112" s="601" t="str">
        <f>VLOOKUP(F112,'2) Tracker'!$A$2:$AQ$981,43,FALSE)</f>
        <v/>
      </c>
      <c r="AL112" s="601">
        <f>VLOOKUP(F112,'2) Tracker'!$A$2:$BH$981,46,FALSE())</f>
        <v>46172</v>
      </c>
      <c r="AM112" s="601" t="str">
        <f>VLOOKUP(F112,'2) Tracker'!$A$2:$BO$981,65,FALSE())</f>
        <v/>
      </c>
      <c r="AN112" s="601" t="str">
        <f>VLOOKUP(F112,'2) Tracker'!$A$2:$BK$981,63,FALSE())</f>
        <v/>
      </c>
      <c r="AO112" s="601" t="str">
        <f>VLOOKUP(F112,'2) Tracker'!$A$2:$BF$981,58,FALSE())</f>
        <v/>
      </c>
      <c r="AP112" s="46"/>
      <c r="AQ112" s="46"/>
      <c r="AR112" s="46"/>
      <c r="AS112" s="46"/>
      <c r="AT112" s="46"/>
      <c r="AU112" s="46"/>
      <c r="AV112" s="46"/>
      <c r="AW112" s="46"/>
      <c r="AX112" s="46"/>
      <c r="AY112" s="46"/>
      <c r="AZ112" s="563"/>
      <c r="BA112" s="569"/>
      <c r="BB112" s="563"/>
      <c r="BC112" s="569"/>
      <c r="BD112" s="563"/>
      <c r="BE112" s="46"/>
      <c r="BF112" s="46"/>
      <c r="BG112" s="563"/>
      <c r="BH112" s="563"/>
      <c r="BI112" s="563"/>
      <c r="BJ112" s="563"/>
    </row>
    <row r="113" spans="2:62" x14ac:dyDescent="0.25">
      <c r="B113" s="589">
        <f>VLOOKUP(F113,'2) Tracker'!$A$3:$O$411,5,FALSE)</f>
        <v>0</v>
      </c>
      <c r="C113" s="589">
        <f>VLOOKUP(F113,'2) Tracker'!$A$3:$O$411,4,FALSE)</f>
        <v>0</v>
      </c>
      <c r="D113" s="563"/>
      <c r="E113" s="563">
        <f>VLOOKUP(F113,'2) Tracker'!$A$3:$O$407,15,FALSE)</f>
        <v>0</v>
      </c>
      <c r="F113" s="608" t="s">
        <v>566</v>
      </c>
      <c r="G113" s="607">
        <f>VLOOKUP(F113,'2) Tracker'!$A$2:$BO$361,2,FALSE)</f>
        <v>43831</v>
      </c>
      <c r="H113" s="592">
        <f>VLOOKUP(F113,'2) Tracker'!$A$2:$BO$361,3,FALSE)</f>
        <v>84000</v>
      </c>
      <c r="I113" s="593" t="str">
        <f>VLOOKUP(F113,'2) Tracker'!$A$2:$BO$361,9,FALSE)</f>
        <v>Equinor</v>
      </c>
      <c r="J113" s="594" t="str">
        <f>VLOOKUP(F113,'2) Tracker'!$A$2:$BO$361,12,FALSE)</f>
        <v>loads USG</v>
      </c>
      <c r="K113" s="596">
        <f t="shared" ref="K113:O113" si="224">AD113</f>
        <v>46152</v>
      </c>
      <c r="L113" s="596">
        <f t="shared" si="224"/>
        <v>46152</v>
      </c>
      <c r="M113" s="596">
        <f t="shared" si="224"/>
        <v>46184</v>
      </c>
      <c r="N113" s="596" t="str">
        <f t="shared" si="224"/>
        <v/>
      </c>
      <c r="O113" s="597" t="str">
        <f t="shared" si="224"/>
        <v/>
      </c>
      <c r="P113" s="598" t="str">
        <f>IFERROR(IF(VLOOKUP(F113,'Voyage days'!$M$808:$N$819,2,FALSE),"GOA",""),"")</f>
        <v/>
      </c>
      <c r="Q113" s="596" t="str">
        <f t="shared" ref="Q113:R113" si="225">AM113</f>
        <v/>
      </c>
      <c r="R113" s="596" t="str">
        <f t="shared" si="225"/>
        <v/>
      </c>
      <c r="S113" s="595">
        <f t="shared" si="2"/>
        <v>46172</v>
      </c>
      <c r="T113" s="596" t="str">
        <f t="shared" si="3"/>
        <v/>
      </c>
      <c r="U113" s="596" t="str">
        <f t="shared" si="4"/>
        <v/>
      </c>
      <c r="V113" s="596"/>
      <c r="W113" s="596" t="str">
        <f t="shared" si="5"/>
        <v/>
      </c>
      <c r="X113" s="599" t="str">
        <f t="shared" si="6"/>
        <v/>
      </c>
      <c r="Y113" s="594"/>
      <c r="Z113" s="600" t="str">
        <f>VLOOKUP(F113,'2) Tracker'!$A$3:$Q$505,16,FALSE)</f>
        <v>Heading back to USG</v>
      </c>
      <c r="AA113" s="600" t="str">
        <f>VLOOKUP(F113,'2) Tracker'!$A$3:$R$505,18,FALSE)</f>
        <v>Equinor 10-11 May USG</v>
      </c>
      <c r="AB113" s="600">
        <f>VLOOKUP(F113,'2) Tracker'!$A$3:$Q$505,17,FALSE)</f>
        <v>0</v>
      </c>
      <c r="AC113" s="601"/>
      <c r="AD113" s="601">
        <f>VLOOKUP(F113,'2) Tracker'!$A$2:$BO$981,37,FALSE)</f>
        <v>46152</v>
      </c>
      <c r="AE113" s="601">
        <f>VLOOKUP(F113,'2) Tracker'!$A$2:$BO$981,40,FALSE)</f>
        <v>46152</v>
      </c>
      <c r="AF113" s="601">
        <f>VLOOKUP(F113,'2) Tracker'!$A$2:$BO$981,67,FALSE)</f>
        <v>46184</v>
      </c>
      <c r="AG113" s="601" t="str">
        <f>VLOOKUP(F113,'2) Tracker'!$A$2:$BO$981,34,FALSE)</f>
        <v/>
      </c>
      <c r="AH113" s="601" t="str">
        <f>VLOOKUP(F113,'2) Tracker'!$A$2:$BN$981,66,FALSE)</f>
        <v/>
      </c>
      <c r="AI113" s="601" t="str">
        <f>VLOOKUP(F113,'2) Tracker'!$A$2:$BO$981,56,FALSE)</f>
        <v/>
      </c>
      <c r="AJ113" s="601" t="str">
        <f>VLOOKUP(F113,'2) Tracker'!$A$2:$BO$981,52,FALSE)</f>
        <v/>
      </c>
      <c r="AK113" s="601" t="str">
        <f>VLOOKUP(F113,'2) Tracker'!$A$2:$AQ$981,43,FALSE)</f>
        <v/>
      </c>
      <c r="AL113" s="601">
        <f>VLOOKUP(F113,'2) Tracker'!$A$2:$BH$981,46,FALSE())</f>
        <v>46172</v>
      </c>
      <c r="AM113" s="601" t="str">
        <f>VLOOKUP(F113,'2) Tracker'!$A$2:$BO$981,65,FALSE())</f>
        <v/>
      </c>
      <c r="AN113" s="601" t="str">
        <f>VLOOKUP(F113,'2) Tracker'!$A$2:$BK$981,63,FALSE())</f>
        <v/>
      </c>
      <c r="AO113" s="601" t="str">
        <f>VLOOKUP(F113,'2) Tracker'!$A$2:$BF$981,58,FALSE())</f>
        <v/>
      </c>
      <c r="AP113" s="46"/>
      <c r="AQ113" s="46"/>
      <c r="AR113" s="46"/>
      <c r="AS113" s="46"/>
      <c r="AT113" s="46"/>
      <c r="AU113" s="46"/>
      <c r="AV113" s="46"/>
      <c r="AW113" s="46"/>
      <c r="AX113" s="46"/>
      <c r="AY113" s="46"/>
      <c r="AZ113" s="563"/>
      <c r="BA113" s="569"/>
      <c r="BB113" s="563"/>
      <c r="BC113" s="569"/>
      <c r="BD113" s="563"/>
      <c r="BE113" s="46"/>
      <c r="BF113" s="46"/>
      <c r="BG113" s="563"/>
      <c r="BH113" s="563"/>
      <c r="BI113" s="563"/>
      <c r="BJ113" s="563"/>
    </row>
    <row r="114" spans="2:62" x14ac:dyDescent="0.25">
      <c r="B114" s="589">
        <f>VLOOKUP(F114,'2) Tracker'!$A$3:$O$411,5,FALSE)</f>
        <v>0</v>
      </c>
      <c r="C114" s="589">
        <f>VLOOKUP(F114,'2) Tracker'!$A$3:$O$411,4,FALSE)</f>
        <v>0</v>
      </c>
      <c r="D114" s="563"/>
      <c r="E114" s="563">
        <f>VLOOKUP(F114,'2) Tracker'!$A$3:$O$407,15,FALSE)</f>
        <v>0</v>
      </c>
      <c r="F114" s="604" t="s">
        <v>1441</v>
      </c>
      <c r="G114" s="591">
        <f>VLOOKUP(F114,'2) Tracker'!$A$2:$BO$361,2,FALSE)</f>
        <v>2023</v>
      </c>
      <c r="H114" s="592">
        <f>VLOOKUP(F114,'2) Tracker'!$A$2:$BO$361,3,FALSE)</f>
        <v>91000</v>
      </c>
      <c r="I114" s="594" t="str">
        <f>VLOOKUP(F114,'2) Tracker'!$A$2:$BO$361,9,FALSE)</f>
        <v>BW</v>
      </c>
      <c r="J114" s="594" t="str">
        <f>VLOOKUP(F114,'2) Tracker'!$A$2:$BO$361,12,FALSE)</f>
        <v>loads USG</v>
      </c>
      <c r="K114" s="596">
        <f t="shared" ref="K114:O114" si="226">AD114</f>
        <v>46152</v>
      </c>
      <c r="L114" s="596">
        <f t="shared" si="226"/>
        <v>46152</v>
      </c>
      <c r="M114" s="596">
        <f t="shared" si="226"/>
        <v>46184</v>
      </c>
      <c r="N114" s="596" t="str">
        <f t="shared" si="226"/>
        <v/>
      </c>
      <c r="O114" s="597" t="str">
        <f t="shared" si="226"/>
        <v/>
      </c>
      <c r="P114" s="598" t="str">
        <f>IFERROR(IF(VLOOKUP(F114,'Voyage days'!$M$808:$N$819,2,FALSE),"GOA",""),"")</f>
        <v/>
      </c>
      <c r="Q114" s="596" t="str">
        <f t="shared" ref="Q114:R114" si="227">AM114</f>
        <v/>
      </c>
      <c r="R114" s="596" t="str">
        <f t="shared" si="227"/>
        <v/>
      </c>
      <c r="S114" s="595">
        <f t="shared" si="2"/>
        <v>46172</v>
      </c>
      <c r="T114" s="595" t="str">
        <f t="shared" si="3"/>
        <v/>
      </c>
      <c r="U114" s="596" t="str">
        <f t="shared" si="4"/>
        <v/>
      </c>
      <c r="V114" s="596"/>
      <c r="W114" s="596" t="str">
        <f t="shared" si="5"/>
        <v/>
      </c>
      <c r="X114" s="599" t="str">
        <f t="shared" si="6"/>
        <v/>
      </c>
      <c r="Y114" s="614"/>
      <c r="Z114" s="600" t="str">
        <f>VLOOKUP(F114,'2) Tracker'!$A$3:$Q$505,16,FALSE)</f>
        <v>ETA USG 04 May via Cape / SWAP - give back 05-06 May</v>
      </c>
      <c r="AA114" s="600" t="str">
        <f>VLOOKUP(F114,'2) Tracker'!$A$3:$R$505,18,FALSE)</f>
        <v>Equinor 10-11 May USG</v>
      </c>
      <c r="AB114" s="600">
        <f>VLOOKUP(F114,'2) Tracker'!$A$3:$Q$505,17,FALSE)</f>
        <v>0</v>
      </c>
      <c r="AC114" s="601"/>
      <c r="AD114" s="601">
        <f>VLOOKUP(F114,'2) Tracker'!$A$2:$BO$981,37,FALSE)</f>
        <v>46152</v>
      </c>
      <c r="AE114" s="601">
        <f>VLOOKUP(F114,'2) Tracker'!$A$2:$BO$981,40,FALSE)</f>
        <v>46152</v>
      </c>
      <c r="AF114" s="601">
        <f>VLOOKUP(F114,'2) Tracker'!$A$2:$BO$981,67,FALSE)</f>
        <v>46184</v>
      </c>
      <c r="AG114" s="601" t="str">
        <f>VLOOKUP(F114,'2) Tracker'!$A$2:$BO$981,34,FALSE)</f>
        <v/>
      </c>
      <c r="AH114" s="601" t="str">
        <f>VLOOKUP(F114,'2) Tracker'!$A$2:$BN$981,66,FALSE)</f>
        <v/>
      </c>
      <c r="AI114" s="601" t="str">
        <f>VLOOKUP(F114,'2) Tracker'!$A$2:$BO$981,56,FALSE)</f>
        <v/>
      </c>
      <c r="AJ114" s="601" t="str">
        <f>VLOOKUP(F114,'2) Tracker'!$A$2:$BO$981,52,FALSE)</f>
        <v/>
      </c>
      <c r="AK114" s="601" t="str">
        <f>VLOOKUP(F114,'2) Tracker'!$A$2:$AQ$981,43,FALSE)</f>
        <v/>
      </c>
      <c r="AL114" s="601">
        <f>VLOOKUP(F114,'2) Tracker'!$A$2:$BH$981,46,FALSE())</f>
        <v>46172</v>
      </c>
      <c r="AM114" s="601" t="str">
        <f>VLOOKUP(F114,'2) Tracker'!$A$2:$BO$981,65,FALSE())</f>
        <v/>
      </c>
      <c r="AN114" s="601" t="str">
        <f>VLOOKUP(F114,'2) Tracker'!$A$2:$BK$981,63,FALSE())</f>
        <v/>
      </c>
      <c r="AO114" s="601" t="str">
        <f>VLOOKUP(F114,'2) Tracker'!$A$2:$BF$981,58,FALSE())</f>
        <v/>
      </c>
      <c r="AP114" s="46"/>
      <c r="AQ114" s="46"/>
      <c r="AR114" s="46"/>
      <c r="AS114" s="46"/>
      <c r="AT114" s="46"/>
      <c r="AU114" s="46"/>
      <c r="AV114" s="46"/>
      <c r="AW114" s="46"/>
      <c r="AX114" s="46"/>
      <c r="AY114" s="46"/>
      <c r="AZ114" s="605"/>
      <c r="BA114" s="604" t="e">
        <f>VLOOKUP(AZ114,#REF!,2, FALSE)</f>
        <v>#REF!</v>
      </c>
      <c r="BB114" s="605" t="e">
        <f>VLOOKUP(AZ114,'1) Kpler'!$E$2:$F$500,2,FALSE)</f>
        <v>#N/A</v>
      </c>
      <c r="BC114" s="604"/>
      <c r="BD114" s="605"/>
      <c r="BE114" s="46"/>
      <c r="BF114" s="46"/>
      <c r="BG114" s="605"/>
      <c r="BH114" s="605"/>
      <c r="BI114" s="605"/>
      <c r="BJ114" s="605"/>
    </row>
    <row r="115" spans="2:62" x14ac:dyDescent="0.25">
      <c r="B115" s="589">
        <f>VLOOKUP(F115,'2) Tracker'!$A$3:$O$411,5,FALSE)</f>
        <v>0</v>
      </c>
      <c r="C115" s="589">
        <f>VLOOKUP(F115,'2) Tracker'!$A$3:$O$411,4,FALSE)</f>
        <v>0</v>
      </c>
      <c r="D115" s="563"/>
      <c r="E115" s="563">
        <f>VLOOKUP(F115,'2) Tracker'!$A$3:$O$407,15,FALSE)</f>
        <v>0</v>
      </c>
      <c r="F115" s="604" t="s">
        <v>1403</v>
      </c>
      <c r="G115" s="591">
        <f>VLOOKUP(F115,'2) Tracker'!$A$2:$BO$361,2,FALSE)</f>
        <v>2015</v>
      </c>
      <c r="H115" s="592">
        <f>VLOOKUP(F115,'2) Tracker'!$A$2:$BO$361,3,FALSE)</f>
        <v>83000</v>
      </c>
      <c r="I115" s="594" t="str">
        <f>VLOOKUP(F115,'2) Tracker'!$A$2:$BO$361,9,FALSE)</f>
        <v>BW</v>
      </c>
      <c r="J115" s="594" t="str">
        <f>VLOOKUP(F115,'2) Tracker'!$A$2:$BO$361,12,FALSE)</f>
        <v>loads USG</v>
      </c>
      <c r="K115" s="596">
        <f t="shared" ref="K115:O115" si="228">AD115</f>
        <v>46152</v>
      </c>
      <c r="L115" s="595">
        <f t="shared" si="228"/>
        <v>46152</v>
      </c>
      <c r="M115" s="596">
        <f t="shared" si="228"/>
        <v>46184</v>
      </c>
      <c r="N115" s="596" t="str">
        <f t="shared" si="228"/>
        <v/>
      </c>
      <c r="O115" s="597" t="str">
        <f t="shared" si="228"/>
        <v/>
      </c>
      <c r="P115" s="598" t="str">
        <f>IFERROR(IF(VLOOKUP(F115,'Voyage days'!$M$808:$N$819,2,FALSE),"GOA",""),"")</f>
        <v/>
      </c>
      <c r="Q115" s="596" t="str">
        <f t="shared" ref="Q115:R115" si="229">AM115</f>
        <v/>
      </c>
      <c r="R115" s="595" t="str">
        <f t="shared" si="229"/>
        <v/>
      </c>
      <c r="S115" s="595">
        <f t="shared" si="2"/>
        <v>46172</v>
      </c>
      <c r="T115" s="596" t="str">
        <f t="shared" si="3"/>
        <v/>
      </c>
      <c r="U115" s="595" t="str">
        <f t="shared" si="4"/>
        <v/>
      </c>
      <c r="V115" s="596"/>
      <c r="W115" s="596" t="str">
        <f t="shared" si="5"/>
        <v/>
      </c>
      <c r="X115" s="599" t="str">
        <f t="shared" si="6"/>
        <v/>
      </c>
      <c r="Y115" s="614"/>
      <c r="Z115" s="600" t="str">
        <f>VLOOKUP(F115,'2) Tracker'!$A$3:$Q$505,16,FALSE)</f>
        <v>ETA Balboa 02 May</v>
      </c>
      <c r="AA115" s="600" t="str">
        <f>VLOOKUP(F115,'2) Tracker'!$A$3:$R$505,18,FALSE)</f>
        <v>COA? 10-11 May USG?</v>
      </c>
      <c r="AB115" s="600">
        <f>VLOOKUP(F115,'2) Tracker'!$A$3:$Q$505,17,FALSE)</f>
        <v>0</v>
      </c>
      <c r="AC115" s="601"/>
      <c r="AD115" s="601">
        <f>VLOOKUP(F115,'2) Tracker'!$A$2:$BO$981,37,FALSE)</f>
        <v>46152</v>
      </c>
      <c r="AE115" s="601">
        <f>VLOOKUP(F115,'2) Tracker'!$A$2:$BO$981,40,FALSE)</f>
        <v>46152</v>
      </c>
      <c r="AF115" s="601">
        <f>VLOOKUP(F115,'2) Tracker'!$A$2:$BO$981,67,FALSE)</f>
        <v>46184</v>
      </c>
      <c r="AG115" s="601" t="str">
        <f>VLOOKUP(F115,'2) Tracker'!$A$2:$BO$981,34,FALSE)</f>
        <v/>
      </c>
      <c r="AH115" s="601" t="str">
        <f>VLOOKUP(F115,'2) Tracker'!$A$2:$BN$981,66,FALSE)</f>
        <v/>
      </c>
      <c r="AI115" s="601" t="str">
        <f>VLOOKUP(F115,'2) Tracker'!$A$2:$BO$981,56,FALSE)</f>
        <v/>
      </c>
      <c r="AJ115" s="601" t="str">
        <f>VLOOKUP(F115,'2) Tracker'!$A$2:$BO$981,52,FALSE)</f>
        <v/>
      </c>
      <c r="AK115" s="601" t="str">
        <f>VLOOKUP(F115,'2) Tracker'!$A$2:$AQ$981,43,FALSE)</f>
        <v/>
      </c>
      <c r="AL115" s="601">
        <f>VLOOKUP(F115,'2) Tracker'!$A$2:$BH$981,46,FALSE())</f>
        <v>46172</v>
      </c>
      <c r="AM115" s="601" t="str">
        <f>VLOOKUP(F115,'2) Tracker'!$A$2:$BO$981,65,FALSE())</f>
        <v/>
      </c>
      <c r="AN115" s="601" t="str">
        <f>VLOOKUP(F115,'2) Tracker'!$A$2:$BK$981,63,FALSE())</f>
        <v/>
      </c>
      <c r="AO115" s="601" t="str">
        <f>VLOOKUP(F115,'2) Tracker'!$A$2:$BF$981,58,FALSE())</f>
        <v/>
      </c>
      <c r="AP115" s="46"/>
      <c r="AQ115" s="46"/>
      <c r="AR115" s="46"/>
      <c r="AS115" s="46"/>
      <c r="AT115" s="46"/>
      <c r="AU115" s="46"/>
      <c r="AV115" s="636" t="s">
        <v>1608</v>
      </c>
      <c r="AW115" s="46"/>
      <c r="AX115" s="46"/>
      <c r="AY115" s="46"/>
      <c r="AZ115" s="605"/>
      <c r="BA115" s="604" t="e">
        <f>VLOOKUP(AZ115,#REF!,2, FALSE)</f>
        <v>#REF!</v>
      </c>
      <c r="BB115" s="605" t="e">
        <f>VLOOKUP(AZ115,'1) Kpler'!$E$2:$F$500,2,FALSE)</f>
        <v>#N/A</v>
      </c>
      <c r="BC115" s="604"/>
      <c r="BD115" s="605"/>
      <c r="BE115" s="46"/>
      <c r="BF115" s="46"/>
      <c r="BG115" s="605"/>
      <c r="BH115" s="605"/>
      <c r="BI115" s="605"/>
      <c r="BJ115" s="605"/>
    </row>
    <row r="116" spans="2:62" x14ac:dyDescent="0.25">
      <c r="B116" s="589">
        <f>VLOOKUP(F116,'2) Tracker'!$A$3:$O$411,5,FALSE)</f>
        <v>0</v>
      </c>
      <c r="C116" s="589" t="str">
        <f>VLOOKUP(F116,'2) Tracker'!$A$3:$O$411,4,FALSE)</f>
        <v>US</v>
      </c>
      <c r="D116" s="563"/>
      <c r="E116" s="563">
        <f>VLOOKUP(F116,'2) Tracker'!$A$3:$O$407,15,FALSE)</f>
        <v>0</v>
      </c>
      <c r="F116" s="604" t="s">
        <v>195</v>
      </c>
      <c r="G116" s="607">
        <f>VLOOKUP(F116,'2) Tracker'!$A$2:$BO$361,2,FALSE)</f>
        <v>42179</v>
      </c>
      <c r="H116" s="592">
        <f>VLOOKUP(F116,'2) Tracker'!$A$2:$BO$361,3,FALSE)</f>
        <v>84000</v>
      </c>
      <c r="I116" s="594" t="str">
        <f>VLOOKUP(F116,'2) Tracker'!$A$2:$BO$361,9,FALSE)</f>
        <v>Helios</v>
      </c>
      <c r="J116" s="594" t="str">
        <f>VLOOKUP(F116,'2) Tracker'!$A$2:$BO$361,12,FALSE)</f>
        <v>loads USG</v>
      </c>
      <c r="K116" s="596">
        <f t="shared" ref="K116:O116" si="230">AD116</f>
        <v>46152</v>
      </c>
      <c r="L116" s="596">
        <f t="shared" si="230"/>
        <v>46152</v>
      </c>
      <c r="M116" s="596">
        <f t="shared" si="230"/>
        <v>46184</v>
      </c>
      <c r="N116" s="596" t="str">
        <f t="shared" si="230"/>
        <v/>
      </c>
      <c r="O116" s="597" t="str">
        <f t="shared" si="230"/>
        <v/>
      </c>
      <c r="P116" s="598" t="str">
        <f>IFERROR(IF(VLOOKUP(F116,'Voyage days'!$M$808:$N$819,2,FALSE),"GOA",""),"")</f>
        <v/>
      </c>
      <c r="Q116" s="596" t="str">
        <f t="shared" ref="Q116:R116" si="231">AM116</f>
        <v/>
      </c>
      <c r="R116" s="596" t="str">
        <f t="shared" si="231"/>
        <v/>
      </c>
      <c r="S116" s="595">
        <f t="shared" si="2"/>
        <v>46172</v>
      </c>
      <c r="T116" s="596" t="str">
        <f t="shared" si="3"/>
        <v/>
      </c>
      <c r="U116" s="596" t="str">
        <f t="shared" si="4"/>
        <v/>
      </c>
      <c r="V116" s="596"/>
      <c r="W116" s="596" t="str">
        <f t="shared" si="5"/>
        <v/>
      </c>
      <c r="X116" s="599" t="str">
        <f t="shared" si="6"/>
        <v/>
      </c>
      <c r="Y116" s="606"/>
      <c r="Z116" s="600" t="str">
        <f>VLOOKUP(F116,'2) Tracker'!$A$3:$Q$505,16,FALSE)</f>
        <v>ETA Balboa 26 Apr</v>
      </c>
      <c r="AA116" s="600" t="str">
        <f>VLOOKUP(F116,'2) Tracker'!$A$3:$R$505,18,FALSE)</f>
        <v>Gunvor 10-11 May USG</v>
      </c>
      <c r="AB116" s="600">
        <f>VLOOKUP(F116,'2) Tracker'!$A$3:$Q$505,17,FALSE)</f>
        <v>0</v>
      </c>
      <c r="AC116" s="601"/>
      <c r="AD116" s="601">
        <f>VLOOKUP(F116,'2) Tracker'!$A$2:$BO$981,37,FALSE)</f>
        <v>46152</v>
      </c>
      <c r="AE116" s="601">
        <f>VLOOKUP(F116,'2) Tracker'!$A$2:$BO$981,40,FALSE)</f>
        <v>46152</v>
      </c>
      <c r="AF116" s="601">
        <f>VLOOKUP(F116,'2) Tracker'!$A$2:$BO$981,67,FALSE)</f>
        <v>46184</v>
      </c>
      <c r="AG116" s="601" t="str">
        <f>VLOOKUP(F116,'2) Tracker'!$A$2:$BO$981,34,FALSE)</f>
        <v/>
      </c>
      <c r="AH116" s="601" t="str">
        <f>VLOOKUP(F116,'2) Tracker'!$A$2:$BN$981,66,FALSE)</f>
        <v/>
      </c>
      <c r="AI116" s="601" t="str">
        <f>VLOOKUP(F116,'2) Tracker'!$A$2:$BO$981,56,FALSE)</f>
        <v/>
      </c>
      <c r="AJ116" s="601" t="str">
        <f>VLOOKUP(F116,'2) Tracker'!$A$2:$BO$981,52,FALSE)</f>
        <v/>
      </c>
      <c r="AK116" s="601" t="str">
        <f>VLOOKUP(F116,'2) Tracker'!$A$2:$AQ$981,43,FALSE)</f>
        <v/>
      </c>
      <c r="AL116" s="601">
        <f>VLOOKUP(F116,'2) Tracker'!$A$2:$BH$981,46,FALSE())</f>
        <v>46172</v>
      </c>
      <c r="AM116" s="601" t="str">
        <f>VLOOKUP(F116,'2) Tracker'!$A$2:$BO$981,65,FALSE())</f>
        <v/>
      </c>
      <c r="AN116" s="601" t="str">
        <f>VLOOKUP(F116,'2) Tracker'!$A$2:$BK$981,63,FALSE())</f>
        <v/>
      </c>
      <c r="AO116" s="601" t="str">
        <f>VLOOKUP(F116,'2) Tracker'!$A$2:$BF$981,58,FALSE())</f>
        <v/>
      </c>
      <c r="AP116" s="46"/>
      <c r="AQ116" s="46"/>
      <c r="AR116" s="46"/>
      <c r="AS116" s="46"/>
      <c r="AT116" s="46"/>
      <c r="AU116" s="46"/>
      <c r="AV116" s="46"/>
      <c r="AW116" s="46"/>
      <c r="AX116" s="46"/>
      <c r="AY116" s="46"/>
      <c r="AZ116" s="563"/>
      <c r="BA116" s="604" t="e">
        <f>VLOOKUP(AZ116,#REF!,2, FALSE)</f>
        <v>#REF!</v>
      </c>
      <c r="BB116" s="605" t="e">
        <f>VLOOKUP(AZ116,'1) Kpler'!$E$2:$F$500,2,FALSE)</f>
        <v>#N/A</v>
      </c>
      <c r="BC116" s="569"/>
      <c r="BD116" s="563"/>
      <c r="BE116" s="46"/>
      <c r="BF116" s="46"/>
      <c r="BG116" s="563"/>
      <c r="BH116" s="563"/>
      <c r="BI116" s="563"/>
      <c r="BJ116" s="563"/>
    </row>
    <row r="117" spans="2:62" x14ac:dyDescent="0.25">
      <c r="B117" s="589" t="str">
        <f>VLOOKUP(F117,'2) Tracker'!$A$3:$O$411,5,FALSE)</f>
        <v>C</v>
      </c>
      <c r="C117" s="589">
        <f>VLOOKUP(F117,'2) Tracker'!$A$3:$O$411,4,FALSE)</f>
        <v>0</v>
      </c>
      <c r="D117" s="563"/>
      <c r="E117" s="563">
        <f>VLOOKUP(F117,'2) Tracker'!$A$3:$O$407,15,FALSE)</f>
        <v>0</v>
      </c>
      <c r="F117" s="561" t="s">
        <v>319</v>
      </c>
      <c r="G117" s="591">
        <f>VLOOKUP(F117,'2) Tracker'!$A$2:$BO$361,2,FALSE)</f>
        <v>2021</v>
      </c>
      <c r="H117" s="592">
        <f>VLOOKUP(F117,'2) Tracker'!$A$2:$BO$361,3,FALSE)</f>
        <v>86000</v>
      </c>
      <c r="I117" s="594" t="str">
        <f>VLOOKUP(F117,'2) Tracker'!$A$2:$BO$361,9,FALSE)</f>
        <v>Wanhua</v>
      </c>
      <c r="J117" s="594" t="str">
        <f>VLOOKUP(F117,'2) Tracker'!$A$2:$BO$361,12,FALSE)</f>
        <v>Turkey</v>
      </c>
      <c r="K117" s="596">
        <f t="shared" ref="K117:O117" si="232">AD117</f>
        <v>46153</v>
      </c>
      <c r="L117" s="595">
        <f t="shared" si="232"/>
        <v>46159</v>
      </c>
      <c r="M117" s="596" t="str">
        <f t="shared" si="232"/>
        <v/>
      </c>
      <c r="N117" s="597">
        <f t="shared" si="232"/>
        <v>46149</v>
      </c>
      <c r="O117" s="597" t="str">
        <f t="shared" si="232"/>
        <v/>
      </c>
      <c r="P117" s="598" t="str">
        <f>IFERROR(IF(VLOOKUP(F117,'Voyage days'!$M$808:$N$819,2,FALSE),"GOA",""),"")</f>
        <v/>
      </c>
      <c r="Q117" s="597">
        <f t="shared" ref="Q117:R117" si="233">AM117</f>
        <v>46140</v>
      </c>
      <c r="R117" s="595">
        <f t="shared" si="233"/>
        <v>46143</v>
      </c>
      <c r="S117" s="595">
        <f t="shared" si="2"/>
        <v>46144</v>
      </c>
      <c r="T117" s="596">
        <f t="shared" si="3"/>
        <v>46154</v>
      </c>
      <c r="U117" s="595" t="str">
        <f t="shared" si="4"/>
        <v/>
      </c>
      <c r="V117" s="596"/>
      <c r="W117" s="596" t="str">
        <f t="shared" si="5"/>
        <v/>
      </c>
      <c r="X117" s="599" t="str">
        <f t="shared" si="6"/>
        <v/>
      </c>
      <c r="Y117" s="614"/>
      <c r="Z117" s="600" t="str">
        <f>VLOOKUP(F117,'2) Tracker'!$A$3:$Q$505,16,FALSE)</f>
        <v>ETA Arzew 26 Apr</v>
      </c>
      <c r="AA117" s="600" t="str">
        <f>VLOOKUP(F117,'2) Tracker'!$A$3:$R$505,18,FALSE)</f>
        <v>Wanhua 26-27 Apr Bethioua</v>
      </c>
      <c r="AB117" s="600">
        <f>VLOOKUP(F117,'2) Tracker'!$A$3:$Q$505,17,FALSE)</f>
        <v>0</v>
      </c>
      <c r="AC117" s="601"/>
      <c r="AD117" s="601">
        <f>VLOOKUP(F117,'2) Tracker'!$A$2:$BO$981,37,FALSE)</f>
        <v>46153</v>
      </c>
      <c r="AE117" s="601">
        <f>VLOOKUP(F117,'2) Tracker'!$A$2:$BO$981,40,FALSE)</f>
        <v>46159</v>
      </c>
      <c r="AF117" s="601" t="str">
        <f>VLOOKUP(F117,'2) Tracker'!$A$2:$BO$981,67,FALSE)</f>
        <v/>
      </c>
      <c r="AG117" s="601">
        <f>VLOOKUP(F117,'2) Tracker'!$A$2:$BO$981,34,FALSE)</f>
        <v>46149</v>
      </c>
      <c r="AH117" s="601" t="str">
        <f>VLOOKUP(F117,'2) Tracker'!$A$2:$BN$981,66,FALSE)</f>
        <v/>
      </c>
      <c r="AI117" s="601" t="str">
        <f>VLOOKUP(F117,'2) Tracker'!$A$2:$BO$981,56,FALSE)</f>
        <v/>
      </c>
      <c r="AJ117" s="601" t="str">
        <f>VLOOKUP(F117,'2) Tracker'!$A$2:$BO$981,52,FALSE)</f>
        <v/>
      </c>
      <c r="AK117" s="601">
        <f>VLOOKUP(F117,'2) Tracker'!$A$2:$AQ$981,43,FALSE)</f>
        <v>46154</v>
      </c>
      <c r="AL117" s="601">
        <f>VLOOKUP(F117,'2) Tracker'!$A$2:$BH$981,46,FALSE())</f>
        <v>46144</v>
      </c>
      <c r="AM117" s="601">
        <f>VLOOKUP(F117,'2) Tracker'!$A$2:$BO$981,65,FALSE())</f>
        <v>46140</v>
      </c>
      <c r="AN117" s="601">
        <f>VLOOKUP(F117,'2) Tracker'!$A$2:$BK$981,63,FALSE())</f>
        <v>46143</v>
      </c>
      <c r="AO117" s="601" t="str">
        <f>VLOOKUP(F117,'2) Tracker'!$A$2:$BF$981,58,FALSE())</f>
        <v/>
      </c>
      <c r="AP117" s="46"/>
      <c r="AQ117" s="46"/>
      <c r="AR117" s="46"/>
      <c r="AS117" s="46"/>
      <c r="AT117" s="46"/>
      <c r="AU117" s="46"/>
      <c r="AV117" s="46"/>
      <c r="AW117" s="46"/>
      <c r="AX117" s="46"/>
      <c r="AY117" s="46"/>
      <c r="AZ117" s="605"/>
      <c r="BA117" s="604"/>
      <c r="BB117" s="605"/>
      <c r="BC117" s="604"/>
      <c r="BD117" s="605"/>
      <c r="BE117" s="46"/>
      <c r="BF117" s="46"/>
      <c r="BG117" s="605"/>
      <c r="BH117" s="605"/>
      <c r="BI117" s="605"/>
      <c r="BJ117" s="605"/>
    </row>
    <row r="118" spans="2:62" x14ac:dyDescent="0.25">
      <c r="B118" s="589">
        <f>VLOOKUP(F118,'2) Tracker'!$A$3:$O$411,5,FALSE)</f>
        <v>0</v>
      </c>
      <c r="C118" s="589">
        <f>VLOOKUP(F118,'2) Tracker'!$A$3:$O$411,4,FALSE)</f>
        <v>0</v>
      </c>
      <c r="D118" s="563" t="s">
        <v>1569</v>
      </c>
      <c r="E118" s="563">
        <f>VLOOKUP(F118,'2) Tracker'!$A$3:$O$407,15,FALSE)</f>
        <v>0</v>
      </c>
      <c r="F118" s="590" t="s">
        <v>170</v>
      </c>
      <c r="G118" s="607">
        <f>VLOOKUP(F118,'2) Tracker'!$A$2:$BO$361,2,FALSE)</f>
        <v>43678</v>
      </c>
      <c r="H118" s="592">
        <f>VLOOKUP(F118,'2) Tracker'!$A$2:$BO$361,3,FALSE)</f>
        <v>80000</v>
      </c>
      <c r="I118" s="600" t="str">
        <f>VLOOKUP(F118,'2) Tracker'!$A$2:$BO$361,9,FALSE)</f>
        <v>Trafigura</v>
      </c>
      <c r="J118" s="594" t="str">
        <f>VLOOKUP(F118,'2) Tracker'!$A$2:$BO$361,12,FALSE)</f>
        <v>loads USG</v>
      </c>
      <c r="K118" s="596">
        <f t="shared" ref="K118:O118" si="234">AD118</f>
        <v>46153</v>
      </c>
      <c r="L118" s="596">
        <f t="shared" si="234"/>
        <v>46153</v>
      </c>
      <c r="M118" s="596">
        <f t="shared" si="234"/>
        <v>46185</v>
      </c>
      <c r="N118" s="596" t="str">
        <f t="shared" si="234"/>
        <v/>
      </c>
      <c r="O118" s="597" t="str">
        <f t="shared" si="234"/>
        <v/>
      </c>
      <c r="P118" s="598" t="str">
        <f>IFERROR(IF(VLOOKUP(F118,'Voyage days'!$M$808:$N$819,2,FALSE),"GOA",""),"")</f>
        <v/>
      </c>
      <c r="Q118" s="596" t="str">
        <f t="shared" ref="Q118:R118" si="235">AM118</f>
        <v/>
      </c>
      <c r="R118" s="596" t="str">
        <f t="shared" si="235"/>
        <v/>
      </c>
      <c r="S118" s="595">
        <f t="shared" si="2"/>
        <v>46173</v>
      </c>
      <c r="T118" s="596" t="str">
        <f t="shared" si="3"/>
        <v/>
      </c>
      <c r="U118" s="596" t="str">
        <f t="shared" si="4"/>
        <v/>
      </c>
      <c r="V118" s="596"/>
      <c r="W118" s="596" t="str">
        <f t="shared" si="5"/>
        <v/>
      </c>
      <c r="X118" s="599" t="str">
        <f t="shared" si="6"/>
        <v/>
      </c>
      <c r="Y118" s="611" t="s">
        <v>1313</v>
      </c>
      <c r="Z118" s="600" t="str">
        <f>VLOOKUP(F118,'2) Tracker'!$A$3:$Q$505,16,FALSE)</f>
        <v>ETA Balboa 27 Apr</v>
      </c>
      <c r="AA118" s="600" t="str">
        <f>VLOOKUP(F118,'2) Tracker'!$A$3:$R$505,18,FALSE)</f>
        <v>Petrochina 11-12 May USG</v>
      </c>
      <c r="AB118" s="600">
        <f>VLOOKUP(F118,'2) Tracker'!$A$3:$Q$505,17,FALSE)</f>
        <v>0</v>
      </c>
      <c r="AC118" s="601"/>
      <c r="AD118" s="601">
        <f>VLOOKUP(F118,'2) Tracker'!$A$2:$BO$981,37,FALSE)</f>
        <v>46153</v>
      </c>
      <c r="AE118" s="601">
        <f>VLOOKUP(F118,'2) Tracker'!$A$2:$BO$981,40,FALSE)</f>
        <v>46153</v>
      </c>
      <c r="AF118" s="601">
        <f>VLOOKUP(F118,'2) Tracker'!$A$2:$BO$981,67,FALSE)</f>
        <v>46185</v>
      </c>
      <c r="AG118" s="601" t="str">
        <f>VLOOKUP(F118,'2) Tracker'!$A$2:$BO$981,34,FALSE)</f>
        <v/>
      </c>
      <c r="AH118" s="601" t="str">
        <f>VLOOKUP(F118,'2) Tracker'!$A$2:$BN$981,66,FALSE)</f>
        <v/>
      </c>
      <c r="AI118" s="601" t="str">
        <f>VLOOKUP(F118,'2) Tracker'!$A$2:$BO$981,56,FALSE)</f>
        <v/>
      </c>
      <c r="AJ118" s="601" t="str">
        <f>VLOOKUP(F118,'2) Tracker'!$A$2:$BO$981,52,FALSE)</f>
        <v/>
      </c>
      <c r="AK118" s="601" t="str">
        <f>VLOOKUP(F118,'2) Tracker'!$A$2:$AQ$981,43,FALSE)</f>
        <v/>
      </c>
      <c r="AL118" s="601">
        <f>VLOOKUP(F118,'2) Tracker'!$A$2:$BH$981,46,FALSE())</f>
        <v>46173</v>
      </c>
      <c r="AM118" s="601" t="str">
        <f>VLOOKUP(F118,'2) Tracker'!$A$2:$BO$981,65,FALSE())</f>
        <v/>
      </c>
      <c r="AN118" s="601" t="str">
        <f>VLOOKUP(F118,'2) Tracker'!$A$2:$BK$981,63,FALSE())</f>
        <v/>
      </c>
      <c r="AO118" s="601" t="str">
        <f>VLOOKUP(F118,'2) Tracker'!$A$2:$BF$981,58,FALSE())</f>
        <v/>
      </c>
      <c r="AP118" s="46"/>
      <c r="AQ118" s="46"/>
      <c r="AR118" s="46"/>
      <c r="AS118" s="46"/>
      <c r="AT118" s="46"/>
      <c r="AU118" s="46"/>
      <c r="AV118" s="46"/>
      <c r="AW118" s="46"/>
      <c r="AX118" s="46"/>
      <c r="AY118" s="46"/>
      <c r="AZ118" s="563"/>
      <c r="BA118" s="604" t="s">
        <v>2912</v>
      </c>
      <c r="BB118" s="605" t="e">
        <f>VLOOKUP(AZ118,'1) Kpler'!$E$2:$F$500,2,FALSE)</f>
        <v>#N/A</v>
      </c>
      <c r="BC118" s="569"/>
      <c r="BD118" s="563"/>
      <c r="BE118" s="46"/>
      <c r="BF118" s="46"/>
      <c r="BG118" s="563"/>
      <c r="BH118" s="563"/>
      <c r="BI118" s="563"/>
      <c r="BJ118" s="563"/>
    </row>
    <row r="119" spans="2:62" x14ac:dyDescent="0.25">
      <c r="B119" s="589">
        <f>VLOOKUP(F119,'2) Tracker'!$A$3:$O$411,5,FALSE)</f>
        <v>0</v>
      </c>
      <c r="C119" s="589">
        <f>VLOOKUP(F119,'2) Tracker'!$A$3:$O$411,4,FALSE)</f>
        <v>0</v>
      </c>
      <c r="D119" s="563"/>
      <c r="E119" s="563">
        <f>VLOOKUP(F119,'2) Tracker'!$A$3:$O$407,15,FALSE)</f>
        <v>0</v>
      </c>
      <c r="F119" s="604" t="s">
        <v>304</v>
      </c>
      <c r="G119" s="591">
        <f>VLOOKUP(F119,'2) Tracker'!$A$2:$BO$361,2,FALSE)</f>
        <v>2022</v>
      </c>
      <c r="H119" s="592">
        <f>VLOOKUP(F119,'2) Tracker'!$A$2:$BO$361,3,FALSE)</f>
        <v>91000</v>
      </c>
      <c r="I119" s="594" t="str">
        <f>VLOOKUP(F119,'2) Tracker'!$A$2:$BO$361,9,FALSE)</f>
        <v>PTT</v>
      </c>
      <c r="J119" s="594" t="str">
        <f>VLOOKUP(F119,'2) Tracker'!$A$2:$BO$361,12,FALSE)</f>
        <v>loads USG</v>
      </c>
      <c r="K119" s="596">
        <f t="shared" ref="K119:O119" si="236">AD119</f>
        <v>46153</v>
      </c>
      <c r="L119" s="596">
        <f t="shared" si="236"/>
        <v>46153</v>
      </c>
      <c r="M119" s="596">
        <f t="shared" si="236"/>
        <v>46185</v>
      </c>
      <c r="N119" s="596" t="str">
        <f t="shared" si="236"/>
        <v/>
      </c>
      <c r="O119" s="597" t="str">
        <f t="shared" si="236"/>
        <v/>
      </c>
      <c r="P119" s="598" t="str">
        <f>IFERROR(IF(VLOOKUP(F119,'Voyage days'!$M$808:$N$819,2,FALSE),"GOA",""),"")</f>
        <v/>
      </c>
      <c r="Q119" s="596" t="str">
        <f t="shared" ref="Q119:R119" si="237">AM119</f>
        <v/>
      </c>
      <c r="R119" s="595" t="str">
        <f t="shared" si="237"/>
        <v/>
      </c>
      <c r="S119" s="595">
        <f t="shared" si="2"/>
        <v>46173</v>
      </c>
      <c r="T119" s="595" t="str">
        <f t="shared" si="3"/>
        <v/>
      </c>
      <c r="U119" s="595" t="str">
        <f t="shared" si="4"/>
        <v/>
      </c>
      <c r="V119" s="595"/>
      <c r="W119" s="595" t="str">
        <f t="shared" si="5"/>
        <v/>
      </c>
      <c r="X119" s="599" t="str">
        <f t="shared" si="6"/>
        <v/>
      </c>
      <c r="Y119" s="614"/>
      <c r="Z119" s="600" t="str">
        <f>VLOOKUP(F119,'2) Tracker'!$A$3:$Q$505,16,FALSE)</f>
        <v>ETA USG 10 May via Cape</v>
      </c>
      <c r="AA119" s="600" t="str">
        <f>VLOOKUP(F119,'2) Tracker'!$A$3:$R$505,18,FALSE)</f>
        <v>BGN 11-12 May USG</v>
      </c>
      <c r="AB119" s="600">
        <f>VLOOKUP(F119,'2) Tracker'!$A$3:$Q$505,17,FALSE)</f>
        <v>0</v>
      </c>
      <c r="AC119" s="601"/>
      <c r="AD119" s="601">
        <f>VLOOKUP(F119,'2) Tracker'!$A$2:$BO$981,37,FALSE)</f>
        <v>46153</v>
      </c>
      <c r="AE119" s="601">
        <f>VLOOKUP(F119,'2) Tracker'!$A$2:$BO$981,40,FALSE)</f>
        <v>46153</v>
      </c>
      <c r="AF119" s="601">
        <f>VLOOKUP(F119,'2) Tracker'!$A$2:$BO$981,67,FALSE)</f>
        <v>46185</v>
      </c>
      <c r="AG119" s="601" t="str">
        <f>VLOOKUP(F119,'2) Tracker'!$A$2:$BO$981,34,FALSE)</f>
        <v/>
      </c>
      <c r="AH119" s="601" t="str">
        <f>VLOOKUP(F119,'2) Tracker'!$A$2:$BN$981,66,FALSE)</f>
        <v/>
      </c>
      <c r="AI119" s="601" t="str">
        <f>VLOOKUP(F119,'2) Tracker'!$A$2:$BO$981,56,FALSE)</f>
        <v/>
      </c>
      <c r="AJ119" s="601" t="str">
        <f>VLOOKUP(F119,'2) Tracker'!$A$2:$BO$981,52,FALSE)</f>
        <v/>
      </c>
      <c r="AK119" s="601" t="str">
        <f>VLOOKUP(F119,'2) Tracker'!$A$2:$AQ$981,43,FALSE)</f>
        <v/>
      </c>
      <c r="AL119" s="601">
        <f>VLOOKUP(F119,'2) Tracker'!$A$2:$BH$981,46,FALSE())</f>
        <v>46173</v>
      </c>
      <c r="AM119" s="601" t="str">
        <f>VLOOKUP(F119,'2) Tracker'!$A$2:$BO$981,65,FALSE())</f>
        <v/>
      </c>
      <c r="AN119" s="601" t="str">
        <f>VLOOKUP(F119,'2) Tracker'!$A$2:$BK$981,63,FALSE())</f>
        <v/>
      </c>
      <c r="AO119" s="601" t="str">
        <f>VLOOKUP(F119,'2) Tracker'!$A$2:$BF$981,58,FALSE())</f>
        <v/>
      </c>
      <c r="AP119" s="46"/>
      <c r="AQ119" s="46"/>
      <c r="AR119" s="46"/>
      <c r="AS119" s="46"/>
      <c r="AT119" s="46"/>
      <c r="AU119" s="46"/>
      <c r="AV119" s="46"/>
      <c r="AW119" s="46"/>
      <c r="AX119" s="46"/>
      <c r="AY119" s="46"/>
      <c r="AZ119" s="563"/>
      <c r="BA119" s="604" t="e">
        <f>VLOOKUP(AZ119,#REF!,2, FALSE)</f>
        <v>#REF!</v>
      </c>
      <c r="BB119" s="605" t="e">
        <f>VLOOKUP(AZ119,'1) Kpler'!$E$2:$F$500,2,FALSE)</f>
        <v>#N/A</v>
      </c>
      <c r="BC119" s="569"/>
      <c r="BD119" s="563"/>
      <c r="BE119" s="46"/>
      <c r="BF119" s="46"/>
      <c r="BG119" s="563"/>
      <c r="BH119" s="563"/>
      <c r="BI119" s="563"/>
      <c r="BJ119" s="563"/>
    </row>
    <row r="120" spans="2:62" x14ac:dyDescent="0.25">
      <c r="B120" s="589">
        <f>VLOOKUP(F120,'2) Tracker'!$A$3:$O$411,5,FALSE)</f>
        <v>0</v>
      </c>
      <c r="C120" s="589">
        <f>VLOOKUP(F120,'2) Tracker'!$A$3:$O$411,4,FALSE)</f>
        <v>0</v>
      </c>
      <c r="D120" s="563"/>
      <c r="E120" s="563">
        <f>VLOOKUP(F120,'2) Tracker'!$A$3:$O$407,15,FALSE)</f>
        <v>0</v>
      </c>
      <c r="F120" s="604" t="s">
        <v>458</v>
      </c>
      <c r="G120" s="607">
        <f>VLOOKUP(F120,'2) Tracker'!$A$2:$BO$361,2,FALSE)</f>
        <v>43435</v>
      </c>
      <c r="H120" s="592">
        <f>VLOOKUP(F120,'2) Tracker'!$A$2:$BO$361,3,FALSE)</f>
        <v>83000</v>
      </c>
      <c r="I120" s="594" t="str">
        <f>VLOOKUP(F120,'2) Tracker'!$A$2:$BO$361,9,FALSE)</f>
        <v>Astomos</v>
      </c>
      <c r="J120" s="594" t="str">
        <f>VLOOKUP(F120,'2) Tracker'!$A$2:$BO$361,12,FALSE)</f>
        <v>Mohammedia</v>
      </c>
      <c r="K120" s="596">
        <f t="shared" ref="K120:O120" si="238">AD120</f>
        <v>46153</v>
      </c>
      <c r="L120" s="596">
        <f t="shared" si="238"/>
        <v>46154</v>
      </c>
      <c r="M120" s="596" t="str">
        <f t="shared" si="238"/>
        <v/>
      </c>
      <c r="N120" s="596" t="str">
        <f t="shared" si="238"/>
        <v/>
      </c>
      <c r="O120" s="597" t="str">
        <f t="shared" si="238"/>
        <v/>
      </c>
      <c r="P120" s="598" t="str">
        <f>IFERROR(IF(VLOOKUP(F120,'Voyage days'!$M$808:$N$819,2,FALSE),"GOA",""),"")</f>
        <v/>
      </c>
      <c r="Q120" s="596">
        <f t="shared" ref="Q120:R120" si="239">AM120</f>
        <v>46141</v>
      </c>
      <c r="R120" s="596">
        <f t="shared" si="239"/>
        <v>46148</v>
      </c>
      <c r="S120" s="595">
        <f t="shared" si="2"/>
        <v>46141</v>
      </c>
      <c r="T120" s="596">
        <f t="shared" si="3"/>
        <v>46149</v>
      </c>
      <c r="U120" s="596" t="str">
        <f t="shared" si="4"/>
        <v/>
      </c>
      <c r="V120" s="596"/>
      <c r="W120" s="596" t="str">
        <f t="shared" si="5"/>
        <v/>
      </c>
      <c r="X120" s="599" t="str">
        <f t="shared" si="6"/>
        <v/>
      </c>
      <c r="Y120" s="594"/>
      <c r="Z120" s="600" t="str">
        <f>VLOOKUP(F120,'2) Tracker'!$A$3:$Q$505,16,FALSE)</f>
        <v>pending firm disport - either FE / Morocco</v>
      </c>
      <c r="AA120" s="600" t="str">
        <f>VLOOKUP(F120,'2) Tracker'!$A$3:$R$505,18,FALSE)</f>
        <v>Exxon 09-10 Apr USG</v>
      </c>
      <c r="AB120" s="600"/>
      <c r="AC120" s="601"/>
      <c r="AD120" s="601">
        <f>VLOOKUP(F120,'2) Tracker'!$A$2:$BO$981,37,FALSE)</f>
        <v>46153</v>
      </c>
      <c r="AE120" s="601">
        <f>VLOOKUP(F120,'2) Tracker'!$A$2:$BO$981,40,FALSE)</f>
        <v>46154</v>
      </c>
      <c r="AF120" s="601" t="str">
        <f>VLOOKUP(F120,'2) Tracker'!$A$2:$BO$981,67,FALSE)</f>
        <v/>
      </c>
      <c r="AG120" s="601" t="str">
        <f>VLOOKUP(F120,'2) Tracker'!$A$2:$BO$981,34,FALSE)</f>
        <v/>
      </c>
      <c r="AH120" s="601" t="str">
        <f>VLOOKUP(F120,'2) Tracker'!$A$2:$BN$981,66,FALSE)</f>
        <v/>
      </c>
      <c r="AI120" s="601" t="str">
        <f>VLOOKUP(F120,'2) Tracker'!$A$2:$BO$981,56,FALSE)</f>
        <v/>
      </c>
      <c r="AJ120" s="601" t="str">
        <f>VLOOKUP(F120,'2) Tracker'!$A$2:$BO$981,52,FALSE)</f>
        <v/>
      </c>
      <c r="AK120" s="601">
        <f>VLOOKUP(F120,'2) Tracker'!$A$2:$AQ$981,43,FALSE)</f>
        <v>46149</v>
      </c>
      <c r="AL120" s="601">
        <f>VLOOKUP(F120,'2) Tracker'!$A$2:$BH$981,46,FALSE())</f>
        <v>46141</v>
      </c>
      <c r="AM120" s="601">
        <f>VLOOKUP(F120,'2) Tracker'!$A$2:$BO$981,65,FALSE())</f>
        <v>46141</v>
      </c>
      <c r="AN120" s="601">
        <f>VLOOKUP(F120,'2) Tracker'!$A$2:$BK$981,63,FALSE())</f>
        <v>46148</v>
      </c>
      <c r="AO120" s="601" t="str">
        <f>VLOOKUP(F120,'2) Tracker'!$A$2:$BF$981,58,FALSE())</f>
        <v/>
      </c>
      <c r="AP120" s="46"/>
      <c r="AQ120" s="46"/>
      <c r="AR120" s="46"/>
      <c r="AS120" s="46"/>
      <c r="AT120" s="46"/>
      <c r="AU120" s="46"/>
      <c r="AV120" s="46"/>
      <c r="AW120" s="46"/>
      <c r="AX120" s="46"/>
      <c r="AY120" s="46"/>
      <c r="AZ120" s="605"/>
      <c r="BA120" s="604" t="e">
        <f>VLOOKUP(AZ120,#REF!,2, FALSE)</f>
        <v>#REF!</v>
      </c>
      <c r="BB120" s="605" t="e">
        <f>VLOOKUP(AZ120,'1) Kpler'!$E$2:$F$500,2,FALSE)</f>
        <v>#N/A</v>
      </c>
      <c r="BC120" s="604"/>
      <c r="BD120" s="605"/>
      <c r="BE120" s="46"/>
      <c r="BF120" s="46"/>
      <c r="BG120" s="605"/>
      <c r="BH120" s="605"/>
      <c r="BI120" s="605"/>
      <c r="BJ120" s="605"/>
    </row>
    <row r="121" spans="2:62" x14ac:dyDescent="0.25">
      <c r="B121" s="589">
        <f>VLOOKUP(F121,'2) Tracker'!$A$3:$O$411,5,FALSE)</f>
        <v>0</v>
      </c>
      <c r="C121" s="589">
        <f>VLOOKUP(F121,'2) Tracker'!$A$3:$O$411,4,FALSE)</f>
        <v>0</v>
      </c>
      <c r="D121" s="563"/>
      <c r="E121" s="563">
        <f>VLOOKUP(F121,'2) Tracker'!$A$3:$O$407,15,FALSE)</f>
        <v>0</v>
      </c>
      <c r="F121" s="604" t="s">
        <v>451</v>
      </c>
      <c r="G121" s="591">
        <f>VLOOKUP(F121,'2) Tracker'!$A$2:$BO$361,2,FALSE)</f>
        <v>2016</v>
      </c>
      <c r="H121" s="592">
        <f>VLOOKUP(F121,'2) Tracker'!$A$2:$BO$361,3,FALSE)</f>
        <v>84000</v>
      </c>
      <c r="I121" s="600" t="str">
        <f>VLOOKUP(F121,'2) Tracker'!$A$2:$BO$361,9,FALSE)</f>
        <v>Petredec</v>
      </c>
      <c r="J121" s="594" t="str">
        <f>VLOOKUP(F121,'2) Tracker'!$A$2:$BO$361,12,FALSE)</f>
        <v>Eu</v>
      </c>
      <c r="K121" s="595">
        <f t="shared" ref="K121:O121" si="240">AD121</f>
        <v>46153</v>
      </c>
      <c r="L121" s="595">
        <f t="shared" si="240"/>
        <v>46154</v>
      </c>
      <c r="M121" s="596" t="str">
        <f t="shared" si="240"/>
        <v/>
      </c>
      <c r="N121" s="596" t="str">
        <f t="shared" si="240"/>
        <v/>
      </c>
      <c r="O121" s="597" t="str">
        <f t="shared" si="240"/>
        <v/>
      </c>
      <c r="P121" s="598" t="str">
        <f>IFERROR(IF(VLOOKUP(F121,'Voyage days'!$M$808:$N$819,2,FALSE),"GOA",""),"")</f>
        <v/>
      </c>
      <c r="Q121" s="596">
        <f t="shared" ref="Q121:R121" si="241">AM121</f>
        <v>46140</v>
      </c>
      <c r="R121" s="595">
        <f t="shared" si="241"/>
        <v>46153</v>
      </c>
      <c r="S121" s="595">
        <f t="shared" si="2"/>
        <v>46141</v>
      </c>
      <c r="T121" s="596">
        <f t="shared" si="3"/>
        <v>46150</v>
      </c>
      <c r="U121" s="595" t="str">
        <f t="shared" si="4"/>
        <v/>
      </c>
      <c r="V121" s="595"/>
      <c r="W121" s="595" t="str">
        <f t="shared" si="5"/>
        <v/>
      </c>
      <c r="X121" s="599" t="str">
        <f t="shared" si="6"/>
        <v/>
      </c>
      <c r="Y121" s="614"/>
      <c r="Z121" s="600" t="str">
        <f>VLOOKUP(F121,'2) Tracker'!$A$3:$Q$505,16,FALSE)</f>
        <v>@ Nederland 06 Apr, pending firm disport</v>
      </c>
      <c r="AA121" s="600" t="str">
        <f>VLOOKUP(F121,'2) Tracker'!$A$3:$R$505,18,FALSE)</f>
        <v>ET 05-06 Apr Nederland</v>
      </c>
      <c r="AB121" s="600">
        <f>VLOOKUP(F121,'2) Tracker'!$A$3:$Q$505,17,FALSE)</f>
        <v>0</v>
      </c>
      <c r="AC121" s="601"/>
      <c r="AD121" s="601">
        <f>VLOOKUP(F121,'2) Tracker'!$A$2:$BO$981,37,FALSE)</f>
        <v>46153</v>
      </c>
      <c r="AE121" s="601">
        <f>VLOOKUP(F121,'2) Tracker'!$A$2:$BO$981,40,FALSE)</f>
        <v>46154</v>
      </c>
      <c r="AF121" s="601" t="str">
        <f>VLOOKUP(F121,'2) Tracker'!$A$2:$BO$981,67,FALSE)</f>
        <v/>
      </c>
      <c r="AG121" s="601" t="str">
        <f>VLOOKUP(F121,'2) Tracker'!$A$2:$BO$981,34,FALSE)</f>
        <v/>
      </c>
      <c r="AH121" s="601" t="str">
        <f>VLOOKUP(F121,'2) Tracker'!$A$2:$BN$981,66,FALSE)</f>
        <v/>
      </c>
      <c r="AI121" s="601" t="str">
        <f>VLOOKUP(F121,'2) Tracker'!$A$2:$BO$981,56,FALSE)</f>
        <v/>
      </c>
      <c r="AJ121" s="601" t="str">
        <f>VLOOKUP(F121,'2) Tracker'!$A$2:$BO$981,52,FALSE)</f>
        <v/>
      </c>
      <c r="AK121" s="601">
        <f>VLOOKUP(F121,'2) Tracker'!$A$2:$AQ$981,43,FALSE)</f>
        <v>46150</v>
      </c>
      <c r="AL121" s="601">
        <f>VLOOKUP(F121,'2) Tracker'!$A$2:$BH$981,46,FALSE())</f>
        <v>46141</v>
      </c>
      <c r="AM121" s="601">
        <f>VLOOKUP(F121,'2) Tracker'!$A$2:$BO$981,65,FALSE())</f>
        <v>46140</v>
      </c>
      <c r="AN121" s="601">
        <f>VLOOKUP(F121,'2) Tracker'!$A$2:$BK$981,63,FALSE())</f>
        <v>46153</v>
      </c>
      <c r="AO121" s="601" t="str">
        <f>VLOOKUP(F121,'2) Tracker'!$A$2:$BF$981,58,FALSE())</f>
        <v/>
      </c>
      <c r="AP121" s="46"/>
      <c r="AQ121" s="46"/>
      <c r="AR121" s="46"/>
      <c r="AS121" s="46"/>
      <c r="AT121" s="46"/>
      <c r="AU121" s="46"/>
      <c r="AV121" s="46"/>
      <c r="AW121" s="46"/>
      <c r="AX121" s="46"/>
      <c r="AY121" s="46"/>
      <c r="AZ121" s="605"/>
      <c r="BA121" s="604" t="e">
        <f>VLOOKUP(AZ121,#REF!,2, FALSE)</f>
        <v>#REF!</v>
      </c>
      <c r="BB121" s="605" t="e">
        <f>VLOOKUP(AZ121,'1) Kpler'!$E$2:$F$500,2,FALSE)</f>
        <v>#N/A</v>
      </c>
      <c r="BC121" s="604"/>
      <c r="BD121" s="605"/>
      <c r="BE121" s="46"/>
      <c r="BF121" s="46"/>
      <c r="BG121" s="605"/>
      <c r="BH121" s="605"/>
      <c r="BI121" s="605"/>
      <c r="BJ121" s="605"/>
    </row>
    <row r="122" spans="2:62" x14ac:dyDescent="0.25">
      <c r="B122" s="589">
        <f>VLOOKUP(F122,'2) Tracker'!$A$3:$O$411,5,FALSE)</f>
        <v>0</v>
      </c>
      <c r="C122" s="589">
        <f>VLOOKUP(F122,'2) Tracker'!$A$3:$O$411,4,FALSE)</f>
        <v>0</v>
      </c>
      <c r="D122" s="563"/>
      <c r="E122" s="563">
        <f>VLOOKUP(F122,'2) Tracker'!$A$3:$O$407,15,FALSE)</f>
        <v>0</v>
      </c>
      <c r="F122" s="604" t="s">
        <v>331</v>
      </c>
      <c r="G122" s="607">
        <f>VLOOKUP(F122,'2) Tracker'!$A$2:$BO$361,2,FALSE)</f>
        <v>41883</v>
      </c>
      <c r="H122" s="592">
        <f>VLOOKUP(F122,'2) Tracker'!$A$2:$BO$361,3,FALSE)</f>
        <v>84000</v>
      </c>
      <c r="I122" s="600" t="str">
        <f>VLOOKUP(F122,'2) Tracker'!$A$2:$BO$361,9,FALSE)</f>
        <v>E1</v>
      </c>
      <c r="J122" s="594" t="str">
        <f>VLOOKUP(F122,'2) Tracker'!$A$2:$BO$361,12,FALSE)</f>
        <v>loads USG</v>
      </c>
      <c r="K122" s="596">
        <f t="shared" ref="K122:O122" si="242">AD122</f>
        <v>46154</v>
      </c>
      <c r="L122" s="596">
        <f t="shared" si="242"/>
        <v>46154</v>
      </c>
      <c r="M122" s="596">
        <f t="shared" si="242"/>
        <v>46186</v>
      </c>
      <c r="N122" s="596" t="str">
        <f t="shared" si="242"/>
        <v/>
      </c>
      <c r="O122" s="597" t="str">
        <f t="shared" si="242"/>
        <v/>
      </c>
      <c r="P122" s="598" t="str">
        <f>IFERROR(IF(VLOOKUP(F122,'Voyage days'!$M$808:$N$819,2,FALSE),"GOA",""),"")</f>
        <v/>
      </c>
      <c r="Q122" s="596" t="str">
        <f t="shared" ref="Q122:R122" si="243">AM122</f>
        <v/>
      </c>
      <c r="R122" s="596" t="str">
        <f t="shared" si="243"/>
        <v/>
      </c>
      <c r="S122" s="595">
        <f t="shared" si="2"/>
        <v>46174</v>
      </c>
      <c r="T122" s="596" t="str">
        <f t="shared" si="3"/>
        <v/>
      </c>
      <c r="U122" s="596" t="str">
        <f t="shared" si="4"/>
        <v/>
      </c>
      <c r="V122" s="596"/>
      <c r="W122" s="596" t="str">
        <f t="shared" si="5"/>
        <v/>
      </c>
      <c r="X122" s="599" t="str">
        <f t="shared" si="6"/>
        <v/>
      </c>
      <c r="Y122" s="594" t="s">
        <v>1609</v>
      </c>
      <c r="Z122" s="600" t="str">
        <f>VLOOKUP(F122,'2) Tracker'!$A$3:$Q$505,16,FALSE)</f>
        <v>ETA USG 07 May via Cape</v>
      </c>
      <c r="AA122" s="600" t="str">
        <f>VLOOKUP(F122,'2) Tracker'!$A$3:$R$505,18,FALSE)</f>
        <v>BGN 12-13 May USG</v>
      </c>
      <c r="AB122" s="600">
        <f>VLOOKUP(F122,'2) Tracker'!$A$3:$Q$505,17,FALSE)</f>
        <v>0</v>
      </c>
      <c r="AC122" s="601"/>
      <c r="AD122" s="601">
        <f>VLOOKUP(F122,'2) Tracker'!$A$2:$BO$981,37,FALSE)</f>
        <v>46154</v>
      </c>
      <c r="AE122" s="601">
        <f>VLOOKUP(F122,'2) Tracker'!$A$2:$BO$981,40,FALSE)</f>
        <v>46154</v>
      </c>
      <c r="AF122" s="601">
        <f>VLOOKUP(F122,'2) Tracker'!$A$2:$BO$981,67,FALSE)</f>
        <v>46186</v>
      </c>
      <c r="AG122" s="601" t="str">
        <f>VLOOKUP(F122,'2) Tracker'!$A$2:$BO$981,34,FALSE)</f>
        <v/>
      </c>
      <c r="AH122" s="601" t="str">
        <f>VLOOKUP(F122,'2) Tracker'!$A$2:$BN$981,66,FALSE)</f>
        <v/>
      </c>
      <c r="AI122" s="601" t="str">
        <f>VLOOKUP(F122,'2) Tracker'!$A$2:$BO$981,56,FALSE)</f>
        <v/>
      </c>
      <c r="AJ122" s="601" t="str">
        <f>VLOOKUP(F122,'2) Tracker'!$A$2:$BO$981,52,FALSE)</f>
        <v/>
      </c>
      <c r="AK122" s="601" t="str">
        <f>VLOOKUP(F122,'2) Tracker'!$A$2:$AQ$981,43,FALSE)</f>
        <v/>
      </c>
      <c r="AL122" s="601">
        <f>VLOOKUP(F122,'2) Tracker'!$A$2:$BH$981,46,FALSE())</f>
        <v>46174</v>
      </c>
      <c r="AM122" s="601" t="str">
        <f>VLOOKUP(F122,'2) Tracker'!$A$2:$BO$981,65,FALSE())</f>
        <v/>
      </c>
      <c r="AN122" s="601" t="str">
        <f>VLOOKUP(F122,'2) Tracker'!$A$2:$BK$981,63,FALSE())</f>
        <v/>
      </c>
      <c r="AO122" s="601" t="str">
        <f>VLOOKUP(F122,'2) Tracker'!$A$2:$BF$981,58,FALSE())</f>
        <v/>
      </c>
      <c r="AP122" s="46"/>
      <c r="AQ122" s="46"/>
      <c r="AR122" s="46"/>
      <c r="AS122" s="46"/>
      <c r="AT122" s="46"/>
      <c r="AU122" s="46"/>
      <c r="AV122" s="46"/>
      <c r="AW122" s="46"/>
      <c r="AX122" s="46"/>
      <c r="AY122" s="46"/>
      <c r="AZ122" s="605"/>
      <c r="BA122" s="604"/>
      <c r="BB122" s="605"/>
      <c r="BC122" s="604"/>
      <c r="BD122" s="605"/>
      <c r="BE122" s="46"/>
      <c r="BF122" s="46"/>
      <c r="BG122" s="605"/>
      <c r="BH122" s="605"/>
      <c r="BI122" s="605"/>
      <c r="BJ122" s="605"/>
    </row>
    <row r="123" spans="2:62" ht="18" customHeight="1" x14ac:dyDescent="0.25">
      <c r="B123" s="589">
        <f>VLOOKUP(F123,'2) Tracker'!$A$3:$O$411,5,FALSE)</f>
        <v>0</v>
      </c>
      <c r="C123" s="589">
        <f>VLOOKUP(F123,'2) Tracker'!$A$3:$O$411,4,FALSE)</f>
        <v>0</v>
      </c>
      <c r="D123" s="563"/>
      <c r="E123" s="563">
        <f>VLOOKUP(F123,'2) Tracker'!$A$3:$O$407,15,FALSE)</f>
        <v>0</v>
      </c>
      <c r="F123" s="604" t="s">
        <v>60</v>
      </c>
      <c r="G123" s="607">
        <f>VLOOKUP(F123,'2) Tracker'!$A$2:$BO$361,2,FALSE)</f>
        <v>41094</v>
      </c>
      <c r="H123" s="592">
        <f>VLOOKUP(F123,'2) Tracker'!$A$2:$BO$361,3,FALSE)</f>
        <v>83000</v>
      </c>
      <c r="I123" s="594" t="str">
        <f>VLOOKUP(F123,'2) Tracker'!$A$2:$BO$361,9,FALSE)</f>
        <v>BASF</v>
      </c>
      <c r="J123" s="594" t="str">
        <f>VLOOKUP(F123,'2) Tracker'!$A$2:$BO$361,12,FALSE)</f>
        <v>loads USG</v>
      </c>
      <c r="K123" s="595">
        <f t="shared" ref="K123:O123" si="244">AD123</f>
        <v>46154</v>
      </c>
      <c r="L123" s="595">
        <f t="shared" si="244"/>
        <v>46154</v>
      </c>
      <c r="M123" s="596">
        <f t="shared" si="244"/>
        <v>46186</v>
      </c>
      <c r="N123" s="596" t="str">
        <f t="shared" si="244"/>
        <v/>
      </c>
      <c r="O123" s="597" t="str">
        <f t="shared" si="244"/>
        <v/>
      </c>
      <c r="P123" s="598" t="str">
        <f>IFERROR(IF(VLOOKUP(F123,'Voyage days'!$M$808:$N$819,2,FALSE),"GOA",""),"")</f>
        <v/>
      </c>
      <c r="Q123" s="596" t="str">
        <f t="shared" ref="Q123:R123" si="245">AM123</f>
        <v/>
      </c>
      <c r="R123" s="595" t="str">
        <f t="shared" si="245"/>
        <v/>
      </c>
      <c r="S123" s="595">
        <f t="shared" si="2"/>
        <v>46174</v>
      </c>
      <c r="T123" s="596" t="str">
        <f t="shared" si="3"/>
        <v/>
      </c>
      <c r="U123" s="595" t="str">
        <f t="shared" si="4"/>
        <v/>
      </c>
      <c r="V123" s="570" t="s">
        <v>1577</v>
      </c>
      <c r="W123" s="595" t="str">
        <f t="shared" si="5"/>
        <v/>
      </c>
      <c r="X123" s="599" t="str">
        <f t="shared" si="6"/>
        <v/>
      </c>
      <c r="Y123" s="594"/>
      <c r="Z123" s="600" t="str">
        <f>VLOOKUP(F123,'2) Tracker'!$A$3:$Q$505,16,FALSE)</f>
        <v>ETA Freeport 12 May via Cape</v>
      </c>
      <c r="AA123" s="600" t="str">
        <f>VLOOKUP(F123,'2) Tracker'!$A$3:$R$505,18,FALSE)</f>
        <v>BASF 04-05 May Freeport</v>
      </c>
      <c r="AB123" s="600">
        <f>VLOOKUP(F123,'2) Tracker'!$A$3:$Q$505,17,FALSE)</f>
        <v>0</v>
      </c>
      <c r="AC123" s="601"/>
      <c r="AD123" s="601">
        <f>VLOOKUP(F123,'2) Tracker'!$A$2:$BO$981,37,FALSE)</f>
        <v>46154</v>
      </c>
      <c r="AE123" s="601">
        <f>VLOOKUP(F123,'2) Tracker'!$A$2:$BO$981,40,FALSE)</f>
        <v>46154</v>
      </c>
      <c r="AF123" s="601">
        <f>VLOOKUP(F123,'2) Tracker'!$A$2:$BO$981,67,FALSE)</f>
        <v>46186</v>
      </c>
      <c r="AG123" s="601" t="str">
        <f>VLOOKUP(F123,'2) Tracker'!$A$2:$BO$981,34,FALSE)</f>
        <v/>
      </c>
      <c r="AH123" s="601" t="str">
        <f>VLOOKUP(F123,'2) Tracker'!$A$2:$BN$981,66,FALSE)</f>
        <v/>
      </c>
      <c r="AI123" s="601" t="str">
        <f>VLOOKUP(F123,'2) Tracker'!$A$2:$BO$981,56,FALSE)</f>
        <v/>
      </c>
      <c r="AJ123" s="601" t="str">
        <f>VLOOKUP(F123,'2) Tracker'!$A$2:$BO$981,52,FALSE)</f>
        <v/>
      </c>
      <c r="AK123" s="601" t="str">
        <f>VLOOKUP(F123,'2) Tracker'!$A$2:$AQ$981,43,FALSE)</f>
        <v/>
      </c>
      <c r="AL123" s="601">
        <f>VLOOKUP(F123,'2) Tracker'!$A$2:$BH$981,46,FALSE())</f>
        <v>46174</v>
      </c>
      <c r="AM123" s="601" t="str">
        <f>VLOOKUP(F123,'2) Tracker'!$A$2:$BO$981,65,FALSE())</f>
        <v/>
      </c>
      <c r="AN123" s="601" t="str">
        <f>VLOOKUP(F123,'2) Tracker'!$A$2:$BK$981,63,FALSE())</f>
        <v/>
      </c>
      <c r="AO123" s="601" t="str">
        <f>VLOOKUP(F123,'2) Tracker'!$A$2:$BF$981,58,FALSE())</f>
        <v/>
      </c>
      <c r="AP123" s="627"/>
      <c r="AQ123" s="627"/>
      <c r="AR123" s="46"/>
      <c r="AS123" s="46"/>
      <c r="AT123" s="46"/>
      <c r="AU123" s="46"/>
      <c r="AV123" s="46"/>
      <c r="AW123" s="46"/>
      <c r="AX123" s="46"/>
      <c r="AY123" s="46"/>
      <c r="AZ123" s="563"/>
      <c r="BA123" s="604" t="e">
        <f>VLOOKUP(AZ123,#REF!,2, FALSE)</f>
        <v>#REF!</v>
      </c>
      <c r="BB123" s="605" t="e">
        <f>VLOOKUP(AZ123,'1) Kpler'!$E$2:$F$500,2,FALSE)</f>
        <v>#N/A</v>
      </c>
      <c r="BC123" s="569"/>
      <c r="BD123" s="563"/>
      <c r="BE123" s="46"/>
      <c r="BF123" s="46"/>
      <c r="BG123" s="563"/>
      <c r="BH123" s="563"/>
      <c r="BI123" s="563"/>
      <c r="BJ123" s="563"/>
    </row>
    <row r="124" spans="2:62" x14ac:dyDescent="0.25">
      <c r="B124" s="589" t="str">
        <f>VLOOKUP(F124,'2) Tracker'!$A$3:$O$411,5,FALSE)</f>
        <v>C</v>
      </c>
      <c r="C124" s="589">
        <f>VLOOKUP(F124,'2) Tracker'!$A$3:$O$411,4,FALSE)</f>
        <v>0</v>
      </c>
      <c r="D124" s="563" t="s">
        <v>1569</v>
      </c>
      <c r="E124" s="563" t="str">
        <f>VLOOKUP(F124,'2) Tracker'!$A$3:$O$407,15,FALSE)</f>
        <v>eu</v>
      </c>
      <c r="F124" s="590" t="s">
        <v>616</v>
      </c>
      <c r="G124" s="591">
        <f>VLOOKUP(F124,'2) Tracker'!$A$2:$BO$361,2,FALSE)</f>
        <v>2024</v>
      </c>
      <c r="H124" s="592">
        <f>VLOOKUP(F124,'2) Tracker'!$A$2:$BO$361,3,FALSE)</f>
        <v>86000</v>
      </c>
      <c r="I124" s="600" t="str">
        <f>VLOOKUP(F124,'2) Tracker'!$A$2:$BO$361,9,FALSE)</f>
        <v>Eneos</v>
      </c>
      <c r="J124" s="594" t="str">
        <f>VLOOKUP(F124,'2) Tracker'!$A$2:$BO$361,12,FALSE)</f>
        <v>East Med</v>
      </c>
      <c r="K124" s="596">
        <f t="shared" ref="K124:O124" si="246">AD124</f>
        <v>46155</v>
      </c>
      <c r="L124" s="596">
        <f t="shared" si="246"/>
        <v>46156</v>
      </c>
      <c r="M124" s="596" t="str">
        <f t="shared" si="246"/>
        <v/>
      </c>
      <c r="N124" s="596" t="str">
        <f t="shared" si="246"/>
        <v/>
      </c>
      <c r="O124" s="597" t="str">
        <f t="shared" si="246"/>
        <v/>
      </c>
      <c r="P124" s="598" t="str">
        <f>IFERROR(IF(VLOOKUP(F124,'Voyage days'!$M$808:$N$819,2,FALSE),"GOA",""),"")</f>
        <v/>
      </c>
      <c r="Q124" s="596">
        <f t="shared" ref="Q124:R124" si="247">AM124</f>
        <v>46140</v>
      </c>
      <c r="R124" s="595">
        <f t="shared" si="247"/>
        <v>46144</v>
      </c>
      <c r="S124" s="595">
        <f t="shared" si="2"/>
        <v>46142</v>
      </c>
      <c r="T124" s="596">
        <f t="shared" si="3"/>
        <v>46151</v>
      </c>
      <c r="U124" s="595" t="str">
        <f t="shared" si="4"/>
        <v/>
      </c>
      <c r="V124" s="596"/>
      <c r="W124" s="596" t="str">
        <f t="shared" si="5"/>
        <v/>
      </c>
      <c r="X124" s="599" t="str">
        <f t="shared" si="6"/>
        <v/>
      </c>
      <c r="Y124" s="611" t="s">
        <v>938</v>
      </c>
      <c r="Z124" s="600" t="str">
        <f>VLOOKUP(F124,'2) Tracker'!$A$3:$Q$505,16,FALSE)</f>
        <v>@ Dortyol 11 Apr</v>
      </c>
      <c r="AA124" s="600" t="str">
        <f>VLOOKUP(F124,'2) Tracker'!$A$3:$R$505,18,FALSE)</f>
        <v>Vitol 07-08 May USG</v>
      </c>
      <c r="AB124" s="600">
        <f>VLOOKUP(F124,'2) Tracker'!$A$3:$Q$505,17,FALSE)</f>
        <v>0</v>
      </c>
      <c r="AC124" s="601"/>
      <c r="AD124" s="601">
        <f>VLOOKUP(F124,'2) Tracker'!$A$2:$BO$981,37,FALSE)</f>
        <v>46155</v>
      </c>
      <c r="AE124" s="601">
        <f>VLOOKUP(F124,'2) Tracker'!$A$2:$BO$981,40,FALSE)</f>
        <v>46156</v>
      </c>
      <c r="AF124" s="601" t="str">
        <f>VLOOKUP(F124,'2) Tracker'!$A$2:$BO$981,67,FALSE)</f>
        <v/>
      </c>
      <c r="AG124" s="601" t="str">
        <f>VLOOKUP(F124,'2) Tracker'!$A$2:$BO$981,34,FALSE)</f>
        <v/>
      </c>
      <c r="AH124" s="601" t="str">
        <f>VLOOKUP(F124,'2) Tracker'!$A$2:$BN$981,66,FALSE)</f>
        <v/>
      </c>
      <c r="AI124" s="601" t="str">
        <f>VLOOKUP(F124,'2) Tracker'!$A$2:$BO$981,56,FALSE)</f>
        <v/>
      </c>
      <c r="AJ124" s="601" t="str">
        <f>VLOOKUP(F124,'2) Tracker'!$A$2:$BO$981,52,FALSE)</f>
        <v/>
      </c>
      <c r="AK124" s="601">
        <f>VLOOKUP(F124,'2) Tracker'!$A$2:$AQ$981,43,FALSE)</f>
        <v>46151</v>
      </c>
      <c r="AL124" s="601">
        <f>VLOOKUP(F124,'2) Tracker'!$A$2:$BH$981,46,FALSE())</f>
        <v>46142</v>
      </c>
      <c r="AM124" s="601">
        <f>VLOOKUP(F124,'2) Tracker'!$A$2:$BO$981,65,FALSE())</f>
        <v>46140</v>
      </c>
      <c r="AN124" s="601">
        <f>VLOOKUP(F124,'2) Tracker'!$A$2:$BK$981,63,FALSE())</f>
        <v>46144</v>
      </c>
      <c r="AO124" s="601" t="str">
        <f>VLOOKUP(F124,'2) Tracker'!$A$2:$BF$981,58,FALSE())</f>
        <v/>
      </c>
      <c r="AP124" s="46"/>
      <c r="AQ124" s="46"/>
      <c r="AR124" s="46"/>
      <c r="AS124" s="46"/>
      <c r="AT124" s="46"/>
      <c r="AU124" s="46"/>
      <c r="AV124" s="46"/>
      <c r="AW124" s="46"/>
      <c r="AX124" s="46"/>
      <c r="AY124" s="46"/>
      <c r="AZ124" s="563"/>
      <c r="BA124" s="604" t="e">
        <f>VLOOKUP(AZ124,#REF!,2, FALSE)</f>
        <v>#REF!</v>
      </c>
      <c r="BB124" s="605" t="e">
        <f>VLOOKUP(AZ124,'1) Kpler'!$E$2:$F$500,2,FALSE)</f>
        <v>#N/A</v>
      </c>
      <c r="BC124" s="569"/>
      <c r="BD124" s="563"/>
      <c r="BE124" s="46"/>
      <c r="BF124" s="46"/>
      <c r="BG124" s="563"/>
      <c r="BH124" s="563"/>
      <c r="BI124" s="563"/>
      <c r="BJ124" s="563"/>
    </row>
    <row r="125" spans="2:62" x14ac:dyDescent="0.25">
      <c r="B125" s="589">
        <f>VLOOKUP(F125,'2) Tracker'!$A$3:$O$411,5,FALSE)</f>
        <v>0</v>
      </c>
      <c r="C125" s="589">
        <f>VLOOKUP(F125,'2) Tracker'!$A$3:$O$411,4,FALSE)</f>
        <v>0</v>
      </c>
      <c r="D125" s="563"/>
      <c r="E125" s="563" t="str">
        <f>VLOOKUP(F125,'2) Tracker'!$A$3:$O$407,15,FALSE)</f>
        <v>eu</v>
      </c>
      <c r="F125" s="608" t="s">
        <v>164</v>
      </c>
      <c r="G125" s="607">
        <f>VLOOKUP(F125,'2) Tracker'!$A$2:$BO$361,2,FALSE)</f>
        <v>42353</v>
      </c>
      <c r="H125" s="592">
        <f>VLOOKUP(F125,'2) Tracker'!$A$2:$BO$361,3,FALSE)</f>
        <v>84000</v>
      </c>
      <c r="I125" s="593" t="str">
        <f>VLOOKUP(F125,'2) Tracker'!$A$2:$BO$361,9,FALSE)</f>
        <v>BGN</v>
      </c>
      <c r="J125" s="594" t="str">
        <f>VLOOKUP(F125,'2) Tracker'!$A$2:$BO$361,12,FALSE)</f>
        <v>Eu</v>
      </c>
      <c r="K125" s="596">
        <f t="shared" ref="K125:O125" si="248">AD125</f>
        <v>46155</v>
      </c>
      <c r="L125" s="596">
        <f t="shared" si="248"/>
        <v>46156</v>
      </c>
      <c r="M125" s="596" t="str">
        <f t="shared" si="248"/>
        <v/>
      </c>
      <c r="N125" s="596" t="str">
        <f t="shared" si="248"/>
        <v/>
      </c>
      <c r="O125" s="597" t="str">
        <f t="shared" si="248"/>
        <v/>
      </c>
      <c r="P125" s="598" t="str">
        <f>IFERROR(IF(VLOOKUP(F125,'Voyage days'!$M$808:$N$819,2,FALSE),"GOA",""),"")</f>
        <v/>
      </c>
      <c r="Q125" s="596">
        <f t="shared" ref="Q125:R125" si="249">AM125</f>
        <v>46142</v>
      </c>
      <c r="R125" s="596">
        <f t="shared" si="249"/>
        <v>46155</v>
      </c>
      <c r="S125" s="595">
        <f t="shared" si="2"/>
        <v>46143</v>
      </c>
      <c r="T125" s="596">
        <f t="shared" si="3"/>
        <v>46152</v>
      </c>
      <c r="U125" s="596" t="str">
        <f t="shared" si="4"/>
        <v/>
      </c>
      <c r="V125" s="570" t="s">
        <v>1577</v>
      </c>
      <c r="W125" s="596" t="str">
        <f t="shared" si="5"/>
        <v/>
      </c>
      <c r="X125" s="599" t="str">
        <f t="shared" si="6"/>
        <v/>
      </c>
      <c r="Y125" s="594"/>
      <c r="Z125" s="600" t="str">
        <f>VLOOKUP(F125,'2) Tracker'!$A$3:$Q$505,16,FALSE)</f>
        <v>ETA Brinidis 24 Apr</v>
      </c>
      <c r="AA125" s="600" t="str">
        <f>VLOOKUP(F125,'2) Tracker'!$A$3:$R$505,18,FALSE)</f>
        <v>BGN 08-09 Apr MH</v>
      </c>
      <c r="AB125" s="600">
        <f>VLOOKUP(F125,'2) Tracker'!$A$3:$Q$505,17,FALSE)</f>
        <v>0</v>
      </c>
      <c r="AC125" s="601"/>
      <c r="AD125" s="601">
        <f>VLOOKUP(F125,'2) Tracker'!$A$2:$BO$981,37,FALSE)</f>
        <v>46155</v>
      </c>
      <c r="AE125" s="601">
        <f>VLOOKUP(F125,'2) Tracker'!$A$2:$BO$981,40,FALSE)</f>
        <v>46156</v>
      </c>
      <c r="AF125" s="601" t="str">
        <f>VLOOKUP(F125,'2) Tracker'!$A$2:$BO$981,67,FALSE)</f>
        <v/>
      </c>
      <c r="AG125" s="601" t="str">
        <f>VLOOKUP(F125,'2) Tracker'!$A$2:$BO$981,34,FALSE)</f>
        <v/>
      </c>
      <c r="AH125" s="601" t="str">
        <f>VLOOKUP(F125,'2) Tracker'!$A$2:$BN$981,66,FALSE)</f>
        <v/>
      </c>
      <c r="AI125" s="601" t="str">
        <f>VLOOKUP(F125,'2) Tracker'!$A$2:$BO$981,56,FALSE)</f>
        <v/>
      </c>
      <c r="AJ125" s="601" t="str">
        <f>VLOOKUP(F125,'2) Tracker'!$A$2:$BO$981,52,FALSE)</f>
        <v/>
      </c>
      <c r="AK125" s="601">
        <f>VLOOKUP(F125,'2) Tracker'!$A$2:$AQ$981,43,FALSE)</f>
        <v>46152</v>
      </c>
      <c r="AL125" s="601">
        <f>VLOOKUP(F125,'2) Tracker'!$A$2:$BH$981,46,FALSE())</f>
        <v>46143</v>
      </c>
      <c r="AM125" s="601">
        <f>VLOOKUP(F125,'2) Tracker'!$A$2:$BO$981,65,FALSE())</f>
        <v>46142</v>
      </c>
      <c r="AN125" s="601">
        <f>VLOOKUP(F125,'2) Tracker'!$A$2:$BK$981,63,FALSE())</f>
        <v>46155</v>
      </c>
      <c r="AO125" s="601" t="str">
        <f>VLOOKUP(F125,'2) Tracker'!$A$2:$BF$981,58,FALSE())</f>
        <v/>
      </c>
      <c r="AP125" s="46"/>
      <c r="AQ125" s="46"/>
      <c r="AR125" s="46"/>
      <c r="AS125" s="46"/>
      <c r="AT125" s="46"/>
      <c r="AU125" s="46"/>
      <c r="AV125" s="46"/>
      <c r="AW125" s="46"/>
      <c r="AX125" s="46"/>
      <c r="AY125" s="46"/>
      <c r="AZ125" s="563"/>
      <c r="BA125" s="569"/>
      <c r="BB125" s="563"/>
      <c r="BC125" s="569"/>
      <c r="BD125" s="563"/>
      <c r="BE125" s="46"/>
      <c r="BF125" s="46"/>
      <c r="BG125" s="563"/>
      <c r="BH125" s="563"/>
      <c r="BI125" s="563"/>
      <c r="BJ125" s="563"/>
    </row>
    <row r="126" spans="2:62" x14ac:dyDescent="0.25">
      <c r="B126" s="589">
        <f>VLOOKUP(F126,'2) Tracker'!$A$3:$O$411,5,FALSE)</f>
        <v>0</v>
      </c>
      <c r="C126" s="589">
        <f>VLOOKUP(F126,'2) Tracker'!$A$3:$O$411,4,FALSE)</f>
        <v>0</v>
      </c>
      <c r="D126" s="563"/>
      <c r="E126" s="563">
        <f>VLOOKUP(F126,'2) Tracker'!$A$3:$O$407,15,FALSE)</f>
        <v>0</v>
      </c>
      <c r="F126" s="604" t="s">
        <v>599</v>
      </c>
      <c r="G126" s="617">
        <f>VLOOKUP(F126,'2) Tracker'!$A$2:$BO$361,2,FALSE)</f>
        <v>36800</v>
      </c>
      <c r="H126" s="592">
        <f>VLOOKUP(F126,'2) Tracker'!$A$2:$BO$361,3,FALSE)</f>
        <v>78874</v>
      </c>
      <c r="I126" s="594" t="str">
        <f>VLOOKUP(F126,'2) Tracker'!$A$2:$BO$361,9,FALSE)</f>
        <v>EGPC</v>
      </c>
      <c r="J126" s="594" t="str">
        <f>VLOOKUP(F126,'2) Tracker'!$A$2:$BO$361,12,FALSE)</f>
        <v>Suez</v>
      </c>
      <c r="K126" s="596">
        <f t="shared" ref="K126:O126" si="250">AD126</f>
        <v>46155</v>
      </c>
      <c r="L126" s="596">
        <f t="shared" si="250"/>
        <v>46158</v>
      </c>
      <c r="M126" s="596" t="str">
        <f t="shared" si="250"/>
        <v/>
      </c>
      <c r="N126" s="596">
        <f t="shared" si="250"/>
        <v>46146</v>
      </c>
      <c r="O126" s="597" t="str">
        <f t="shared" si="250"/>
        <v/>
      </c>
      <c r="P126" s="598" t="str">
        <f>IFERROR(IF(VLOOKUP(F126,'Voyage days'!$M$808:$N$819,2,FALSE),"GOA",""),"")</f>
        <v/>
      </c>
      <c r="Q126" s="596">
        <f t="shared" ref="Q126:R126" si="251">AM126</f>
        <v>46138</v>
      </c>
      <c r="R126" s="596">
        <f t="shared" si="251"/>
        <v>46138.5</v>
      </c>
      <c r="S126" s="595">
        <f t="shared" si="2"/>
        <v>46145</v>
      </c>
      <c r="T126" s="595">
        <f t="shared" si="3"/>
        <v>46152</v>
      </c>
      <c r="U126" s="596" t="str">
        <f t="shared" si="4"/>
        <v/>
      </c>
      <c r="V126" s="596"/>
      <c r="W126" s="596" t="str">
        <f t="shared" si="5"/>
        <v/>
      </c>
      <c r="X126" s="599" t="str">
        <f t="shared" si="6"/>
        <v/>
      </c>
      <c r="Y126" s="594"/>
      <c r="Z126" s="600" t="str">
        <f>VLOOKUP(F126,'2) Tracker'!$A$3:$Q$505,16,FALSE)</f>
        <v>Floater ex Egypt from 06 Jan 26</v>
      </c>
      <c r="AA126" s="600" t="str">
        <f>VLOOKUP(F126,'2) Tracker'!$A$3:$R$505,18,FALSE)</f>
        <v>Floating Storage</v>
      </c>
      <c r="AB126" s="600">
        <f>VLOOKUP(F126,'2) Tracker'!$A$3:$Q$505,17,FALSE)</f>
        <v>0</v>
      </c>
      <c r="AC126" s="601"/>
      <c r="AD126" s="601">
        <f>VLOOKUP(F126,'2) Tracker'!$A$2:$BO$981,37,FALSE)</f>
        <v>46155</v>
      </c>
      <c r="AE126" s="601">
        <f>VLOOKUP(F126,'2) Tracker'!$A$2:$BO$981,40,FALSE)</f>
        <v>46158</v>
      </c>
      <c r="AF126" s="601" t="str">
        <f>VLOOKUP(F126,'2) Tracker'!$A$2:$BO$981,67,FALSE)</f>
        <v/>
      </c>
      <c r="AG126" s="601">
        <f>VLOOKUP(F126,'2) Tracker'!$A$2:$BO$981,34,FALSE)</f>
        <v>46146</v>
      </c>
      <c r="AH126" s="601" t="str">
        <f>VLOOKUP(F126,'2) Tracker'!$A$2:$BN$981,66,FALSE)</f>
        <v/>
      </c>
      <c r="AI126" s="601" t="str">
        <f>VLOOKUP(F126,'2) Tracker'!$A$2:$BO$981,56,FALSE)</f>
        <v/>
      </c>
      <c r="AJ126" s="601" t="str">
        <f>VLOOKUP(F126,'2) Tracker'!$A$2:$BO$981,52,FALSE)</f>
        <v/>
      </c>
      <c r="AK126" s="601">
        <f>VLOOKUP(F126,'2) Tracker'!$A$2:$AQ$981,43,FALSE)</f>
        <v>46152</v>
      </c>
      <c r="AL126" s="601">
        <f>VLOOKUP(F126,'2) Tracker'!$A$2:$BH$981,46,FALSE())</f>
        <v>46145</v>
      </c>
      <c r="AM126" s="601">
        <f>VLOOKUP(F126,'2) Tracker'!$A$2:$BO$981,65,FALSE())</f>
        <v>46138</v>
      </c>
      <c r="AN126" s="601">
        <f>VLOOKUP(F126,'2) Tracker'!$A$2:$BK$981,63,FALSE())</f>
        <v>46138.5</v>
      </c>
      <c r="AO126" s="601" t="str">
        <f>VLOOKUP(F126,'2) Tracker'!$A$2:$BF$981,58,FALSE())</f>
        <v/>
      </c>
      <c r="AP126" s="46"/>
      <c r="AQ126" s="46"/>
      <c r="AR126" s="46"/>
      <c r="AS126" s="46"/>
      <c r="AT126" s="46"/>
      <c r="AU126" s="46"/>
      <c r="AV126" s="46"/>
      <c r="AW126" s="46"/>
      <c r="AX126" s="46"/>
      <c r="AY126" s="46"/>
      <c r="AZ126" s="605"/>
      <c r="BA126" s="604" t="e">
        <f>VLOOKUP(AZ126,#REF!,2, FALSE)</f>
        <v>#REF!</v>
      </c>
      <c r="BB126" s="605" t="e">
        <f>VLOOKUP(AZ126,'1) Kpler'!$E$2:$F$500,2,FALSE)</f>
        <v>#N/A</v>
      </c>
      <c r="BC126" s="604"/>
      <c r="BD126" s="605"/>
      <c r="BE126" s="46"/>
      <c r="BF126" s="46"/>
      <c r="BG126" s="605"/>
      <c r="BH126" s="605"/>
      <c r="BI126" s="605"/>
      <c r="BJ126" s="605"/>
    </row>
    <row r="127" spans="2:62" x14ac:dyDescent="0.25">
      <c r="B127" s="589">
        <f>VLOOKUP(F127,'2) Tracker'!$A$3:$O$411,5,FALSE)</f>
        <v>0</v>
      </c>
      <c r="C127" s="589">
        <f>VLOOKUP(F127,'2) Tracker'!$A$3:$O$411,4,FALSE)</f>
        <v>0</v>
      </c>
      <c r="D127" s="563"/>
      <c r="E127" s="563">
        <f>VLOOKUP(F127,'2) Tracker'!$A$3:$O$407,15,FALSE)</f>
        <v>0</v>
      </c>
      <c r="F127" s="604" t="s">
        <v>19</v>
      </c>
      <c r="G127" s="591">
        <f>VLOOKUP(F127,'2) Tracker'!$A$2:$BO$361,2,FALSE)</f>
        <v>2022</v>
      </c>
      <c r="H127" s="592">
        <f>VLOOKUP(F127,'2) Tracker'!$A$2:$BO$361,3,FALSE)</f>
        <v>86000</v>
      </c>
      <c r="I127" s="594" t="str">
        <f>VLOOKUP(F127,'2) Tracker'!$A$2:$BO$361,9,FALSE)</f>
        <v>Wanhua</v>
      </c>
      <c r="J127" s="594" t="str">
        <f>VLOOKUP(F127,'2) Tracker'!$A$2:$BO$361,12,FALSE)</f>
        <v>Suez</v>
      </c>
      <c r="K127" s="596">
        <f t="shared" ref="K127:O127" si="252">AD127</f>
        <v>46155</v>
      </c>
      <c r="L127" s="596">
        <f t="shared" si="252"/>
        <v>46158</v>
      </c>
      <c r="M127" s="596" t="str">
        <f t="shared" si="252"/>
        <v/>
      </c>
      <c r="N127" s="596">
        <f t="shared" si="252"/>
        <v>46146</v>
      </c>
      <c r="O127" s="597" t="str">
        <f t="shared" si="252"/>
        <v/>
      </c>
      <c r="P127" s="598" t="str">
        <f>IFERROR(IF(VLOOKUP(F127,'Voyage days'!$M$808:$N$819,2,FALSE),"GOA",""),"")</f>
        <v>GOA</v>
      </c>
      <c r="Q127" s="597">
        <f t="shared" ref="Q127:R127" si="253">AM127</f>
        <v>46138</v>
      </c>
      <c r="R127" s="596">
        <f t="shared" si="253"/>
        <v>46138.5</v>
      </c>
      <c r="S127" s="595">
        <f t="shared" si="2"/>
        <v>46145</v>
      </c>
      <c r="T127" s="596">
        <f t="shared" si="3"/>
        <v>46152</v>
      </c>
      <c r="U127" s="596" t="str">
        <f t="shared" si="4"/>
        <v/>
      </c>
      <c r="V127" s="596"/>
      <c r="W127" s="596" t="str">
        <f t="shared" si="5"/>
        <v/>
      </c>
      <c r="X127" s="599" t="str">
        <f t="shared" si="6"/>
        <v/>
      </c>
      <c r="Y127" s="614"/>
      <c r="Z127" s="600" t="str">
        <f>VLOOKUP(F127,'2) Tracker'!$A$3:$Q$505,16,FALSE)</f>
        <v>Discharge STS in Suez (ML) / Loading at Yanbu / ATC TC?</v>
      </c>
      <c r="AA127" s="600" t="str">
        <f>VLOOKUP(F127,'2) Tracker'!$A$3:$R$505,18,FALSE)</f>
        <v>ATC 13 Apr Yanbu</v>
      </c>
      <c r="AB127" s="600">
        <f>VLOOKUP(F127,'2) Tracker'!$A$3:$Q$505,17,FALSE)</f>
        <v>0</v>
      </c>
      <c r="AC127" s="601"/>
      <c r="AD127" s="601">
        <f>VLOOKUP(F127,'2) Tracker'!$A$2:$BO$981,37,FALSE)</f>
        <v>46155</v>
      </c>
      <c r="AE127" s="601">
        <f>VLOOKUP(F127,'2) Tracker'!$A$2:$BO$981,40,FALSE)</f>
        <v>46158</v>
      </c>
      <c r="AF127" s="601" t="str">
        <f>VLOOKUP(F127,'2) Tracker'!$A$2:$BO$981,67,FALSE)</f>
        <v/>
      </c>
      <c r="AG127" s="601">
        <f>VLOOKUP(F127,'2) Tracker'!$A$2:$BO$981,34,FALSE)</f>
        <v>46146</v>
      </c>
      <c r="AH127" s="601" t="str">
        <f>VLOOKUP(F127,'2) Tracker'!$A$2:$BN$981,66,FALSE)</f>
        <v/>
      </c>
      <c r="AI127" s="601" t="str">
        <f>VLOOKUP(F127,'2) Tracker'!$A$2:$BO$981,56,FALSE)</f>
        <v/>
      </c>
      <c r="AJ127" s="601" t="str">
        <f>VLOOKUP(F127,'2) Tracker'!$A$2:$BO$981,52,FALSE)</f>
        <v/>
      </c>
      <c r="AK127" s="601">
        <f>VLOOKUP(F127,'2) Tracker'!$A$2:$AQ$981,43,FALSE)</f>
        <v>46152</v>
      </c>
      <c r="AL127" s="601">
        <f>VLOOKUP(F127,'2) Tracker'!$A$2:$BH$981,46,FALSE())</f>
        <v>46145</v>
      </c>
      <c r="AM127" s="601">
        <f>VLOOKUP(F127,'2) Tracker'!$A$2:$BO$981,65,FALSE())</f>
        <v>46138</v>
      </c>
      <c r="AN127" s="601">
        <f>VLOOKUP(F127,'2) Tracker'!$A$2:$BK$981,63,FALSE())</f>
        <v>46138.5</v>
      </c>
      <c r="AO127" s="601" t="str">
        <f>VLOOKUP(F127,'2) Tracker'!$A$2:$BF$981,58,FALSE())</f>
        <v/>
      </c>
      <c r="AP127" s="46"/>
      <c r="AQ127" s="46"/>
      <c r="AR127" s="46"/>
      <c r="AS127" s="46"/>
      <c r="AT127" s="46"/>
      <c r="AU127" s="46"/>
      <c r="AV127" s="637" t="s">
        <v>1610</v>
      </c>
      <c r="AW127" s="46"/>
      <c r="AX127" s="46"/>
      <c r="AY127" s="46"/>
      <c r="AZ127" s="605"/>
      <c r="BA127" s="604" t="e">
        <f>VLOOKUP(AZ127,#REF!,2, FALSE)</f>
        <v>#REF!</v>
      </c>
      <c r="BB127" s="605" t="e">
        <f>VLOOKUP(AZ127,'1) Kpler'!$E$2:$F$500,2,FALSE)</f>
        <v>#N/A</v>
      </c>
      <c r="BC127" s="604"/>
      <c r="BD127" s="605"/>
      <c r="BE127" s="46"/>
      <c r="BF127" s="46"/>
      <c r="BG127" s="605"/>
      <c r="BH127" s="605"/>
      <c r="BI127" s="605"/>
      <c r="BJ127" s="605"/>
    </row>
    <row r="128" spans="2:62" x14ac:dyDescent="0.25">
      <c r="B128" s="589">
        <f>VLOOKUP(F128,'2) Tracker'!$A$3:$O$411,5,FALSE)</f>
        <v>0</v>
      </c>
      <c r="C128" s="589">
        <f>VLOOKUP(F128,'2) Tracker'!$A$3:$O$411,4,FALSE)</f>
        <v>0</v>
      </c>
      <c r="D128" s="563"/>
      <c r="E128" s="563" t="str">
        <f>VLOOKUP(F128,'2) Tracker'!$A$3:$O$407,15,FALSE)</f>
        <v>R?</v>
      </c>
      <c r="F128" s="604" t="s">
        <v>457</v>
      </c>
      <c r="G128" s="591">
        <f>VLOOKUP(F128,'2) Tracker'!$A$2:$BO$361,2,FALSE)</f>
        <v>2023</v>
      </c>
      <c r="H128" s="592">
        <f>VLOOKUP(F128,'2) Tracker'!$A$2:$BO$361,3,FALSE)</f>
        <v>84000</v>
      </c>
      <c r="I128" s="594" t="str">
        <f>VLOOKUP(F128,'2) Tracker'!$A$2:$BO$361,9,FALSE)</f>
        <v>Astomos</v>
      </c>
      <c r="J128" s="594" t="str">
        <f>VLOOKUP(F128,'2) Tracker'!$A$2:$BO$361,12,FALSE)</f>
        <v>Balboa</v>
      </c>
      <c r="K128" s="595">
        <f t="shared" ref="K128:O128" si="254">AD128</f>
        <v>46155</v>
      </c>
      <c r="L128" s="595" t="str">
        <f t="shared" si="254"/>
        <v/>
      </c>
      <c r="M128" s="596" t="str">
        <f t="shared" si="254"/>
        <v/>
      </c>
      <c r="N128" s="597" t="str">
        <f t="shared" si="254"/>
        <v/>
      </c>
      <c r="O128" s="597" t="str">
        <f t="shared" si="254"/>
        <v/>
      </c>
      <c r="P128" s="598" t="str">
        <f>IFERROR(IF(VLOOKUP(F128,'Voyage days'!$M$808:$N$819,2,FALSE),"GOA",""),"")</f>
        <v/>
      </c>
      <c r="Q128" s="596" t="str">
        <f t="shared" ref="Q128:R128" si="255">AM128</f>
        <v/>
      </c>
      <c r="R128" s="596" t="str">
        <f t="shared" si="255"/>
        <v/>
      </c>
      <c r="S128" s="595" t="str">
        <f t="shared" si="2"/>
        <v/>
      </c>
      <c r="T128" s="596" t="str">
        <f t="shared" si="3"/>
        <v/>
      </c>
      <c r="U128" s="596" t="str">
        <f t="shared" si="4"/>
        <v/>
      </c>
      <c r="V128" s="596"/>
      <c r="W128" s="596" t="str">
        <f t="shared" si="5"/>
        <v/>
      </c>
      <c r="X128" s="599" t="str">
        <f t="shared" si="6"/>
        <v/>
      </c>
      <c r="Y128" s="594"/>
      <c r="Z128" s="600" t="str">
        <f>VLOOKUP(F128,'2) Tracker'!$A$3:$Q$505,16,FALSE)</f>
        <v>ETA Balboa 01 May</v>
      </c>
      <c r="AA128" s="600" t="str">
        <f>VLOOKUP(F128,'2) Tracker'!$A$3:$R$505,18,FALSE)</f>
        <v>Marathon 22-23 Feb Freeport</v>
      </c>
      <c r="AB128" s="600">
        <f>VLOOKUP(F128,'2) Tracker'!$A$3:$Q$505,17,FALSE)</f>
        <v>0</v>
      </c>
      <c r="AC128" s="601"/>
      <c r="AD128" s="601">
        <f>VLOOKUP(F128,'2) Tracker'!$A$2:$BO$981,37,FALSE)</f>
        <v>46155</v>
      </c>
      <c r="AE128" s="601" t="str">
        <f>VLOOKUP(F128,'2) Tracker'!$A$2:$BO$981,40,FALSE)</f>
        <v/>
      </c>
      <c r="AF128" s="601" t="str">
        <f>VLOOKUP(F128,'2) Tracker'!$A$2:$BO$981,67,FALSE)</f>
        <v/>
      </c>
      <c r="AG128" s="601" t="str">
        <f>VLOOKUP(F128,'2) Tracker'!$A$2:$BO$981,34,FALSE)</f>
        <v/>
      </c>
      <c r="AH128" s="601" t="str">
        <f>VLOOKUP(F128,'2) Tracker'!$A$2:$BN$981,66,FALSE)</f>
        <v/>
      </c>
      <c r="AI128" s="601" t="str">
        <f>VLOOKUP(F128,'2) Tracker'!$A$2:$BO$981,56,FALSE)</f>
        <v/>
      </c>
      <c r="AJ128" s="601" t="str">
        <f>VLOOKUP(F128,'2) Tracker'!$A$2:$BO$981,52,FALSE)</f>
        <v/>
      </c>
      <c r="AK128" s="601" t="str">
        <f>VLOOKUP(F128,'2) Tracker'!$A$2:$AQ$981,43,FALSE)</f>
        <v/>
      </c>
      <c r="AL128" s="601" t="str">
        <f>VLOOKUP(F128,'2) Tracker'!$A$2:$BH$981,46,FALSE())</f>
        <v/>
      </c>
      <c r="AM128" s="601" t="str">
        <f>VLOOKUP(F128,'2) Tracker'!$A$2:$BO$981,65,FALSE())</f>
        <v/>
      </c>
      <c r="AN128" s="601" t="str">
        <f>VLOOKUP(F128,'2) Tracker'!$A$2:$BK$981,63,FALSE())</f>
        <v/>
      </c>
      <c r="AO128" s="601" t="str">
        <f>VLOOKUP(F128,'2) Tracker'!$A$2:$BF$981,58,FALSE())</f>
        <v/>
      </c>
      <c r="AP128" s="46"/>
      <c r="AQ128" s="46"/>
      <c r="AR128" s="46"/>
      <c r="AS128" s="46"/>
      <c r="AT128" s="46"/>
      <c r="AU128" s="46"/>
      <c r="AV128" s="46"/>
      <c r="AW128" s="46"/>
      <c r="AX128" s="46"/>
      <c r="AY128" s="46"/>
      <c r="AZ128" s="563"/>
      <c r="BA128" s="604" t="e">
        <f>VLOOKUP(AZ128,#REF!,2, FALSE)</f>
        <v>#REF!</v>
      </c>
      <c r="BB128" s="605" t="e">
        <f>VLOOKUP(AZ128,'1) Kpler'!$E$2:$F$500,2,FALSE)</f>
        <v>#N/A</v>
      </c>
      <c r="BC128" s="569"/>
      <c r="BD128" s="563"/>
      <c r="BE128" s="46"/>
      <c r="BF128" s="46"/>
      <c r="BG128" s="563"/>
      <c r="BH128" s="563"/>
      <c r="BI128" s="563"/>
      <c r="BJ128" s="563"/>
    </row>
    <row r="129" spans="2:62" x14ac:dyDescent="0.25">
      <c r="B129" s="589">
        <f>VLOOKUP(F129,'2) Tracker'!$A$3:$O$411,5,FALSE)</f>
        <v>0</v>
      </c>
      <c r="C129" s="589">
        <f>VLOOKUP(F129,'2) Tracker'!$A$3:$O$411,4,FALSE)</f>
        <v>0</v>
      </c>
      <c r="D129" s="563" t="s">
        <v>1569</v>
      </c>
      <c r="E129" s="563"/>
      <c r="F129" s="590" t="s">
        <v>72</v>
      </c>
      <c r="G129" s="607">
        <f>VLOOKUP(F129,'2) Tracker'!$A$2:$BO$361,2,FALSE)</f>
        <v>2026</v>
      </c>
      <c r="H129" s="592">
        <f>VLOOKUP(F129,'2) Tracker'!$A$2:$BO$361,3,FALSE)</f>
        <v>87000</v>
      </c>
      <c r="I129" s="593" t="str">
        <f>VLOOKUP(F129,'2) Tracker'!$A$2:$BO$361,9,FALSE)</f>
        <v>Chevron</v>
      </c>
      <c r="J129" s="594" t="str">
        <f>VLOOKUP(F129,'2) Tracker'!$A$2:$BO$361,12,FALSE)</f>
        <v>Balboa</v>
      </c>
      <c r="K129" s="596">
        <f t="shared" ref="K129:O129" si="256">AD129</f>
        <v>46155</v>
      </c>
      <c r="L129" s="596" t="str">
        <f t="shared" si="256"/>
        <v/>
      </c>
      <c r="M129" s="596" t="str">
        <f t="shared" si="256"/>
        <v/>
      </c>
      <c r="N129" s="596" t="str">
        <f t="shared" si="256"/>
        <v/>
      </c>
      <c r="O129" s="597" t="str">
        <f t="shared" si="256"/>
        <v/>
      </c>
      <c r="P129" s="598" t="str">
        <f>IFERROR(IF(VLOOKUP(F129,'Voyage days'!$M$808:$N$819,2,FALSE),"GOA",""),"")</f>
        <v/>
      </c>
      <c r="Q129" s="596" t="str">
        <f t="shared" ref="Q129:R129" si="257">AM129</f>
        <v/>
      </c>
      <c r="R129" s="596" t="str">
        <f t="shared" si="257"/>
        <v/>
      </c>
      <c r="S129" s="595" t="str">
        <f t="shared" si="2"/>
        <v/>
      </c>
      <c r="T129" s="596" t="str">
        <f t="shared" si="3"/>
        <v/>
      </c>
      <c r="U129" s="596" t="str">
        <f t="shared" si="4"/>
        <v/>
      </c>
      <c r="V129" s="570" t="s">
        <v>1577</v>
      </c>
      <c r="W129" s="596" t="str">
        <f t="shared" si="5"/>
        <v/>
      </c>
      <c r="X129" s="599" t="str">
        <f t="shared" si="6"/>
        <v/>
      </c>
      <c r="Y129" s="606"/>
      <c r="Z129" s="600" t="str">
        <f>VLOOKUP(F129,'2) Tracker'!$A$3:$Q$505,16,FALSE)</f>
        <v>ETA Balboa 03 May</v>
      </c>
      <c r="AA129" s="600" t="str">
        <f>VLOOKUP(F129,'2) Tracker'!$A$3:$R$505,18,FALSE)</f>
        <v>Chevron 03-04 Mar Enterprise</v>
      </c>
      <c r="AB129" s="600">
        <f>VLOOKUP(F129,'2) Tracker'!$A$3:$Q$505,17,FALSE)</f>
        <v>0</v>
      </c>
      <c r="AC129" s="601"/>
      <c r="AD129" s="601">
        <f>VLOOKUP(F129,'2) Tracker'!$A$2:$BO$981,37,FALSE)</f>
        <v>46155</v>
      </c>
      <c r="AE129" s="601" t="str">
        <f>VLOOKUP(F129,'2) Tracker'!$A$2:$BO$981,40,FALSE)</f>
        <v/>
      </c>
      <c r="AF129" s="601" t="str">
        <f>VLOOKUP(F129,'2) Tracker'!$A$2:$BO$981,67,FALSE)</f>
        <v/>
      </c>
      <c r="AG129" s="601" t="str">
        <f>VLOOKUP(F129,'2) Tracker'!$A$2:$BO$981,34,FALSE)</f>
        <v/>
      </c>
      <c r="AH129" s="601" t="str">
        <f>VLOOKUP(F129,'2) Tracker'!$A$2:$BN$981,66,FALSE)</f>
        <v/>
      </c>
      <c r="AI129" s="601" t="str">
        <f>VLOOKUP(F129,'2) Tracker'!$A$2:$BO$981,56,FALSE)</f>
        <v/>
      </c>
      <c r="AJ129" s="601" t="str">
        <f>VLOOKUP(F129,'2) Tracker'!$A$2:$BO$981,52,FALSE)</f>
        <v/>
      </c>
      <c r="AK129" s="601" t="str">
        <f>VLOOKUP(F129,'2) Tracker'!$A$2:$AQ$981,43,FALSE)</f>
        <v/>
      </c>
      <c r="AL129" s="601" t="str">
        <f>VLOOKUP(F129,'2) Tracker'!$A$2:$BH$981,46,FALSE())</f>
        <v/>
      </c>
      <c r="AM129" s="601" t="str">
        <f>VLOOKUP(F129,'2) Tracker'!$A$2:$BO$981,65,FALSE())</f>
        <v/>
      </c>
      <c r="AN129" s="601" t="str">
        <f>VLOOKUP(F129,'2) Tracker'!$A$2:$BK$981,63,FALSE())</f>
        <v/>
      </c>
      <c r="AO129" s="601" t="str">
        <f>VLOOKUP(F129,'2) Tracker'!$A$2:$BF$981,58,FALSE())</f>
        <v/>
      </c>
      <c r="AP129" s="46"/>
      <c r="AQ129" s="46"/>
      <c r="AR129" s="46"/>
      <c r="AS129" s="46"/>
      <c r="AT129" s="46"/>
      <c r="AU129" s="46"/>
      <c r="AV129" s="46"/>
      <c r="AW129" s="46"/>
      <c r="AX129" s="46"/>
      <c r="AY129" s="46"/>
      <c r="AZ129" s="563"/>
      <c r="BA129" s="604" t="e">
        <f>VLOOKUP(AZ129,#REF!,2, FALSE)</f>
        <v>#REF!</v>
      </c>
      <c r="BB129" s="605" t="e">
        <f>VLOOKUP(AZ129,'1) Kpler'!$E$2:$F$500,2,FALSE)</f>
        <v>#N/A</v>
      </c>
      <c r="BC129" s="569"/>
      <c r="BD129" s="563"/>
      <c r="BE129" s="46"/>
      <c r="BF129" s="46"/>
      <c r="BG129" s="563"/>
      <c r="BH129" s="563"/>
      <c r="BI129" s="563"/>
      <c r="BJ129" s="563"/>
    </row>
    <row r="130" spans="2:62" ht="15.75" customHeight="1" x14ac:dyDescent="0.25">
      <c r="B130" s="589">
        <f>VLOOKUP(F130,'2) Tracker'!$A$3:$O$411,5,FALSE)</f>
        <v>0</v>
      </c>
      <c r="C130" s="589">
        <f>VLOOKUP(F130,'2) Tracker'!$A$3:$O$411,4,FALSE)</f>
        <v>0</v>
      </c>
      <c r="D130" s="563"/>
      <c r="E130" s="563" t="str">
        <f>VLOOKUP(F130,'2) Tracker'!$A$3:$O$407,15,FALSE)</f>
        <v>R?</v>
      </c>
      <c r="F130" s="604" t="s">
        <v>384</v>
      </c>
      <c r="G130" s="626">
        <f>VLOOKUP(F130,'2) Tracker'!$A$2:$BO$361,2,FALSE)</f>
        <v>2023</v>
      </c>
      <c r="H130" s="592">
        <f>VLOOKUP(F130,'2) Tracker'!$A$2:$BO$361,3,FALSE)</f>
        <v>93000</v>
      </c>
      <c r="I130" s="600" t="str">
        <f>VLOOKUP(F130,'2) Tracker'!$A$2:$BO$361,9,FALSE)</f>
        <v>Petredec</v>
      </c>
      <c r="J130" s="594" t="str">
        <f>VLOOKUP(F130,'2) Tracker'!$A$2:$BO$361,12,FALSE)</f>
        <v>loads USG</v>
      </c>
      <c r="K130" s="596">
        <f t="shared" ref="K130:O130" si="258">AD130</f>
        <v>46156</v>
      </c>
      <c r="L130" s="596">
        <f t="shared" si="258"/>
        <v>46156</v>
      </c>
      <c r="M130" s="596">
        <f t="shared" si="258"/>
        <v>46188</v>
      </c>
      <c r="N130" s="596" t="str">
        <f t="shared" si="258"/>
        <v/>
      </c>
      <c r="O130" s="597" t="str">
        <f t="shared" si="258"/>
        <v/>
      </c>
      <c r="P130" s="598" t="str">
        <f>IFERROR(IF(VLOOKUP(F130,'Voyage days'!$M$808:$N$819,2,FALSE),"GOA",""),"")</f>
        <v/>
      </c>
      <c r="Q130" s="596" t="str">
        <f t="shared" ref="Q130:R130" si="259">AM130</f>
        <v/>
      </c>
      <c r="R130" s="595" t="str">
        <f t="shared" si="259"/>
        <v/>
      </c>
      <c r="S130" s="595">
        <f t="shared" si="2"/>
        <v>46176</v>
      </c>
      <c r="T130" s="596" t="str">
        <f t="shared" si="3"/>
        <v/>
      </c>
      <c r="U130" s="595" t="str">
        <f t="shared" si="4"/>
        <v/>
      </c>
      <c r="V130" s="595"/>
      <c r="W130" s="595" t="str">
        <f t="shared" si="5"/>
        <v/>
      </c>
      <c r="X130" s="599" t="str">
        <f t="shared" si="6"/>
        <v/>
      </c>
      <c r="Y130" s="606"/>
      <c r="Z130" s="600" t="str">
        <f>VLOOKUP(F130,'2) Tracker'!$A$3:$Q$505,16,FALSE)</f>
        <v>ETA Balboa 28 Apr</v>
      </c>
      <c r="AA130" s="600" t="str">
        <f>VLOOKUP(F130,'2) Tracker'!$A$3:$R$505,18,FALSE)</f>
        <v>Petredec 14-15 May USG</v>
      </c>
      <c r="AB130" s="600">
        <f>VLOOKUP(F130,'2) Tracker'!$A$3:$Q$505,17,FALSE)</f>
        <v>0</v>
      </c>
      <c r="AC130" s="601"/>
      <c r="AD130" s="601">
        <f>VLOOKUP(F130,'2) Tracker'!$A$2:$BO$981,37,FALSE)</f>
        <v>46156</v>
      </c>
      <c r="AE130" s="601">
        <f>VLOOKUP(F130,'2) Tracker'!$A$2:$BO$981,40,FALSE)</f>
        <v>46156</v>
      </c>
      <c r="AF130" s="601">
        <f>VLOOKUP(F130,'2) Tracker'!$A$2:$BO$981,67,FALSE)</f>
        <v>46188</v>
      </c>
      <c r="AG130" s="601" t="str">
        <f>VLOOKUP(F130,'2) Tracker'!$A$2:$BO$981,34,FALSE)</f>
        <v/>
      </c>
      <c r="AH130" s="601" t="str">
        <f>VLOOKUP(F130,'2) Tracker'!$A$2:$BN$981,66,FALSE)</f>
        <v/>
      </c>
      <c r="AI130" s="601" t="str">
        <f>VLOOKUP(F130,'2) Tracker'!$A$2:$BO$981,56,FALSE)</f>
        <v/>
      </c>
      <c r="AJ130" s="601" t="str">
        <f>VLOOKUP(F130,'2) Tracker'!$A$2:$BO$981,52,FALSE)</f>
        <v/>
      </c>
      <c r="AK130" s="601" t="str">
        <f>VLOOKUP(F130,'2) Tracker'!$A$2:$AQ$981,43,FALSE)</f>
        <v/>
      </c>
      <c r="AL130" s="601">
        <f>VLOOKUP(F130,'2) Tracker'!$A$2:$BH$981,46,FALSE())</f>
        <v>46176</v>
      </c>
      <c r="AM130" s="601" t="str">
        <f>VLOOKUP(F130,'2) Tracker'!$A$2:$BO$981,65,FALSE())</f>
        <v/>
      </c>
      <c r="AN130" s="601" t="str">
        <f>VLOOKUP(F130,'2) Tracker'!$A$2:$BK$981,63,FALSE())</f>
        <v/>
      </c>
      <c r="AO130" s="601" t="str">
        <f>VLOOKUP(F130,'2) Tracker'!$A$2:$BF$981,58,FALSE())</f>
        <v/>
      </c>
      <c r="AP130" s="46"/>
      <c r="AQ130" s="46"/>
      <c r="AR130" s="46"/>
      <c r="AS130" s="46"/>
      <c r="AT130" s="46"/>
      <c r="AU130" s="46"/>
      <c r="AV130" s="46"/>
      <c r="AW130" s="46"/>
      <c r="AX130" s="46"/>
      <c r="AY130" s="46"/>
      <c r="AZ130" s="563"/>
      <c r="BA130" s="604" t="e">
        <f>VLOOKUP(AZ130,#REF!,2, FALSE)</f>
        <v>#REF!</v>
      </c>
      <c r="BB130" s="605" t="e">
        <f>VLOOKUP(AZ130,'1) Kpler'!$E$2:$F$500,2,FALSE)</f>
        <v>#N/A</v>
      </c>
      <c r="BC130" s="569"/>
      <c r="BD130" s="563"/>
      <c r="BE130" s="46"/>
      <c r="BF130" s="46"/>
      <c r="BG130" s="563"/>
      <c r="BH130" s="563"/>
      <c r="BI130" s="563"/>
      <c r="BJ130" s="563"/>
    </row>
    <row r="131" spans="2:62" x14ac:dyDescent="0.25">
      <c r="B131" s="638"/>
      <c r="C131" s="589">
        <f>VLOOKUP(F131,'2) Tracker'!$A$3:$O$411,4,FALSE)</f>
        <v>0</v>
      </c>
      <c r="D131" s="563" t="s">
        <v>1569</v>
      </c>
      <c r="E131" s="563">
        <f>VLOOKUP(F131,'2) Tracker'!$A$3:$O$407,15,FALSE)</f>
        <v>0</v>
      </c>
      <c r="F131" s="590" t="s">
        <v>227</v>
      </c>
      <c r="G131" s="607">
        <f>VLOOKUP(F131,'2) Tracker'!$A$2:$BO$361,2,FALSE)</f>
        <v>43709</v>
      </c>
      <c r="H131" s="592">
        <f>VLOOKUP(F131,'2) Tracker'!$A$2:$BO$361,3,FALSE)</f>
        <v>80000</v>
      </c>
      <c r="I131" s="600" t="str">
        <f>VLOOKUP(F131,'2) Tracker'!$A$2:$BO$361,9,FALSE)</f>
        <v>Trafigura</v>
      </c>
      <c r="J131" s="594" t="str">
        <f>VLOOKUP(F131,'2) Tracker'!$A$2:$BO$361,12,FALSE)</f>
        <v>Balboa</v>
      </c>
      <c r="K131" s="596">
        <f t="shared" ref="K131:O131" si="260">AD131</f>
        <v>46156</v>
      </c>
      <c r="L131" s="596" t="str">
        <f t="shared" si="260"/>
        <v/>
      </c>
      <c r="M131" s="596" t="str">
        <f t="shared" si="260"/>
        <v/>
      </c>
      <c r="N131" s="596" t="str">
        <f t="shared" si="260"/>
        <v/>
      </c>
      <c r="O131" s="597" t="str">
        <f t="shared" si="260"/>
        <v/>
      </c>
      <c r="P131" s="598" t="str">
        <f>IFERROR(IF(VLOOKUP(F131,'Voyage days'!$M$808:$N$819,2,FALSE),"GOA",""),"")</f>
        <v/>
      </c>
      <c r="Q131" s="596" t="str">
        <f t="shared" ref="Q131:R131" si="261">AM131</f>
        <v/>
      </c>
      <c r="R131" s="596" t="str">
        <f t="shared" si="261"/>
        <v/>
      </c>
      <c r="S131" s="595" t="str">
        <f t="shared" si="2"/>
        <v/>
      </c>
      <c r="T131" s="596" t="str">
        <f t="shared" si="3"/>
        <v/>
      </c>
      <c r="U131" s="596" t="str">
        <f t="shared" si="4"/>
        <v/>
      </c>
      <c r="V131" s="570" t="s">
        <v>1577</v>
      </c>
      <c r="W131" s="596" t="str">
        <f t="shared" si="5"/>
        <v/>
      </c>
      <c r="X131" s="599" t="str">
        <f t="shared" si="6"/>
        <v/>
      </c>
      <c r="Y131" s="606" t="s">
        <v>1611</v>
      </c>
      <c r="Z131" s="600" t="str">
        <f>VLOOKUP(F131,'2) Tracker'!$A$3:$Q$505,16,FALSE)</f>
        <v>ETA Balboa 3 May</v>
      </c>
      <c r="AA131" s="600" t="str">
        <f>VLOOKUP(F131,'2) Tracker'!$A$3:$R$505,18,FALSE)</f>
        <v>Trafi 24-25 Jan USG</v>
      </c>
      <c r="AB131" s="600">
        <f>VLOOKUP(F131,'2) Tracker'!$A$3:$Q$505,17,FALSE)</f>
        <v>0</v>
      </c>
      <c r="AC131" s="601"/>
      <c r="AD131" s="601">
        <f>VLOOKUP(F131,'2) Tracker'!$A$2:$BO$981,37,FALSE)</f>
        <v>46156</v>
      </c>
      <c r="AE131" s="601" t="str">
        <f>VLOOKUP(F131,'2) Tracker'!$A$2:$BO$981,40,FALSE)</f>
        <v/>
      </c>
      <c r="AF131" s="601" t="str">
        <f>VLOOKUP(F131,'2) Tracker'!$A$2:$BO$981,67,FALSE)</f>
        <v/>
      </c>
      <c r="AG131" s="601" t="str">
        <f>VLOOKUP(F131,'2) Tracker'!$A$2:$BO$981,34,FALSE)</f>
        <v/>
      </c>
      <c r="AH131" s="601" t="str">
        <f>VLOOKUP(F131,'2) Tracker'!$A$2:$BN$981,66,FALSE)</f>
        <v/>
      </c>
      <c r="AI131" s="601" t="str">
        <f>VLOOKUP(F131,'2) Tracker'!$A$2:$BO$981,56,FALSE)</f>
        <v/>
      </c>
      <c r="AJ131" s="601" t="str">
        <f>VLOOKUP(F131,'2) Tracker'!$A$2:$BO$981,52,FALSE)</f>
        <v/>
      </c>
      <c r="AK131" s="601" t="str">
        <f>VLOOKUP(F131,'2) Tracker'!$A$2:$AQ$981,43,FALSE)</f>
        <v/>
      </c>
      <c r="AL131" s="601" t="str">
        <f>VLOOKUP(F131,'2) Tracker'!$A$2:$BH$981,46,FALSE())</f>
        <v/>
      </c>
      <c r="AM131" s="601" t="str">
        <f>VLOOKUP(F131,'2) Tracker'!$A$2:$BO$981,65,FALSE())</f>
        <v/>
      </c>
      <c r="AN131" s="601" t="str">
        <f>VLOOKUP(F131,'2) Tracker'!$A$2:$BK$981,63,FALSE())</f>
        <v/>
      </c>
      <c r="AO131" s="601" t="str">
        <f>VLOOKUP(F131,'2) Tracker'!$A$2:$BF$981,58,FALSE())</f>
        <v/>
      </c>
      <c r="AP131" s="46"/>
      <c r="AQ131" s="46"/>
      <c r="AR131" s="46"/>
      <c r="AS131" s="46"/>
      <c r="AT131" s="46"/>
      <c r="AU131" s="46"/>
      <c r="AV131" s="46"/>
      <c r="AW131" s="46"/>
      <c r="AX131" s="46"/>
      <c r="AY131" s="46"/>
      <c r="AZ131" s="563"/>
      <c r="BA131" s="604" t="e">
        <f>VLOOKUP(AZ131,#REF!,2, FALSE)</f>
        <v>#REF!</v>
      </c>
      <c r="BB131" s="605" t="e">
        <f>VLOOKUP(AZ131,'1) Kpler'!$E$2:$F$500,2,FALSE)</f>
        <v>#N/A</v>
      </c>
      <c r="BC131" s="569"/>
      <c r="BD131" s="563"/>
      <c r="BE131" s="46"/>
      <c r="BF131" s="46"/>
      <c r="BG131" s="563"/>
      <c r="BH131" s="563"/>
      <c r="BI131" s="563"/>
      <c r="BJ131" s="563"/>
    </row>
    <row r="132" spans="2:62" ht="15" customHeight="1" x14ac:dyDescent="0.25">
      <c r="B132" s="589" t="str">
        <f>VLOOKUP(F132,'2) Tracker'!$A$3:$O$411,5,FALSE)</f>
        <v>C</v>
      </c>
      <c r="C132" s="589">
        <f>VLOOKUP(F132,'2) Tracker'!$A$3:$O$411,4,FALSE)</f>
        <v>0</v>
      </c>
      <c r="D132" s="563"/>
      <c r="E132" s="563" t="str">
        <f>VLOOKUP(F132,'2) Tracker'!$A$3:$O$407,15,FALSE)</f>
        <v>R?</v>
      </c>
      <c r="F132" s="604" t="s">
        <v>524</v>
      </c>
      <c r="G132" s="607">
        <f>VLOOKUP(F132,'2) Tracker'!$A$2:$BO$361,2,FALSE)</f>
        <v>42583</v>
      </c>
      <c r="H132" s="592">
        <f>VLOOKUP(F132,'2) Tracker'!$A$2:$BO$361,3,FALSE)</f>
        <v>84000</v>
      </c>
      <c r="I132" s="594" t="str">
        <f>VLOOKUP(F132,'2) Tracker'!$A$2:$BO$361,9,FALSE)</f>
        <v>Wanhua</v>
      </c>
      <c r="J132" s="594" t="str">
        <f>VLOOKUP(F132,'2) Tracker'!$A$2:$BO$361,12,FALSE)</f>
        <v>Balboa</v>
      </c>
      <c r="K132" s="595">
        <f t="shared" ref="K132:O132" si="262">AD132</f>
        <v>46156</v>
      </c>
      <c r="L132" s="595" t="str">
        <f t="shared" si="262"/>
        <v/>
      </c>
      <c r="M132" s="596" t="str">
        <f t="shared" si="262"/>
        <v/>
      </c>
      <c r="N132" s="596" t="str">
        <f t="shared" si="262"/>
        <v/>
      </c>
      <c r="O132" s="597" t="str">
        <f t="shared" si="262"/>
        <v/>
      </c>
      <c r="P132" s="598" t="str">
        <f>IFERROR(IF(VLOOKUP(F132,'Voyage days'!$M$808:$N$821,2,FALSE),"GOA",""),"")</f>
        <v/>
      </c>
      <c r="Q132" s="597" t="str">
        <f t="shared" ref="Q132:R132" si="263">AM132</f>
        <v/>
      </c>
      <c r="R132" s="595" t="str">
        <f t="shared" si="263"/>
        <v/>
      </c>
      <c r="S132" s="595" t="str">
        <f t="shared" si="2"/>
        <v/>
      </c>
      <c r="T132" s="595" t="str">
        <f t="shared" si="3"/>
        <v/>
      </c>
      <c r="U132" s="595" t="str">
        <f t="shared" si="4"/>
        <v/>
      </c>
      <c r="V132" s="570" t="s">
        <v>1577</v>
      </c>
      <c r="W132" s="596" t="str">
        <f t="shared" si="5"/>
        <v/>
      </c>
      <c r="X132" s="599" t="str">
        <f t="shared" si="6"/>
        <v/>
      </c>
      <c r="Y132" s="606"/>
      <c r="Z132" s="600" t="str">
        <f>VLOOKUP(F132,'2) Tracker'!$A$3:$Q$505,16,FALSE)</f>
        <v>ETA Balboa 04 May / proxy for USG</v>
      </c>
      <c r="AA132" s="600" t="str">
        <f>VLOOKUP(F132,'2) Tracker'!$A$3:$R$505,18,FALSE)</f>
        <v>Wanhua 20-21 Feb Nederland</v>
      </c>
      <c r="AB132" s="600" t="str">
        <f>VLOOKUP(F132,'2) Tracker'!$A$3:$Q$505,17,FALSE)</f>
        <v>load end May USG</v>
      </c>
      <c r="AC132" s="601"/>
      <c r="AD132" s="601">
        <f>VLOOKUP(F132,'2) Tracker'!$A$2:$BO$981,37,FALSE)</f>
        <v>46156</v>
      </c>
      <c r="AE132" s="601" t="str">
        <f>VLOOKUP(F132,'2) Tracker'!$A$2:$BO$981,40,FALSE)</f>
        <v/>
      </c>
      <c r="AF132" s="601" t="str">
        <f>VLOOKUP(F132,'2) Tracker'!$A$2:$BO$981,67,FALSE)</f>
        <v/>
      </c>
      <c r="AG132" s="601" t="str">
        <f>VLOOKUP(F132,'2) Tracker'!$A$2:$BO$981,34,FALSE)</f>
        <v/>
      </c>
      <c r="AH132" s="601" t="str">
        <f>VLOOKUP(F132,'2) Tracker'!$A$2:$BN$981,66,FALSE)</f>
        <v/>
      </c>
      <c r="AI132" s="601" t="str">
        <f>VLOOKUP(F132,'2) Tracker'!$A$2:$BO$981,56,FALSE)</f>
        <v/>
      </c>
      <c r="AJ132" s="601" t="str">
        <f>VLOOKUP(F132,'2) Tracker'!$A$2:$BO$981,52,FALSE)</f>
        <v/>
      </c>
      <c r="AK132" s="601" t="str">
        <f>VLOOKUP(F132,'2) Tracker'!$A$2:$AQ$981,43,FALSE)</f>
        <v/>
      </c>
      <c r="AL132" s="601" t="str">
        <f>VLOOKUP(F132,'2) Tracker'!$A$2:$BH$981,46,FALSE())</f>
        <v/>
      </c>
      <c r="AM132" s="601" t="str">
        <f>VLOOKUP(F132,'2) Tracker'!$A$2:$BO$981,65,FALSE())</f>
        <v/>
      </c>
      <c r="AN132" s="601" t="str">
        <f>VLOOKUP(F132,'2) Tracker'!$A$2:$BK$981,63,FALSE())</f>
        <v/>
      </c>
      <c r="AO132" s="601" t="str">
        <f>VLOOKUP(F132,'2) Tracker'!$A$2:$BF$981,58,FALSE())</f>
        <v/>
      </c>
      <c r="AP132" s="46"/>
      <c r="AQ132" s="46"/>
      <c r="AR132" s="46"/>
      <c r="AS132" s="46"/>
      <c r="AT132" s="46"/>
      <c r="AU132" s="46"/>
      <c r="AV132" s="46"/>
      <c r="AW132" s="46"/>
      <c r="AX132" s="46"/>
      <c r="AY132" s="46"/>
      <c r="AZ132" s="605"/>
      <c r="BA132" s="604" t="e">
        <f>VLOOKUP(AZ132,#REF!,2, FALSE)</f>
        <v>#REF!</v>
      </c>
      <c r="BB132" s="605" t="e">
        <f>VLOOKUP(AZ132,'1) Kpler'!$E$2:$F$500,2,FALSE)</f>
        <v>#N/A</v>
      </c>
      <c r="BC132" s="604"/>
      <c r="BD132" s="605"/>
      <c r="BE132" s="46"/>
      <c r="BF132" s="46"/>
      <c r="BG132" s="605"/>
      <c r="BH132" s="605"/>
      <c r="BI132" s="605"/>
      <c r="BJ132" s="605"/>
    </row>
    <row r="133" spans="2:62" x14ac:dyDescent="0.25">
      <c r="B133" s="589">
        <f>VLOOKUP(F133,'2) Tracker'!$A$3:$O$411,5,FALSE)</f>
        <v>0</v>
      </c>
      <c r="C133" s="589">
        <f>VLOOKUP(F133,'2) Tracker'!$A$3:$O$411,4,FALSE)</f>
        <v>0</v>
      </c>
      <c r="D133" s="563"/>
      <c r="E133" s="563"/>
      <c r="F133" s="604" t="s">
        <v>308</v>
      </c>
      <c r="G133" s="591">
        <v>2026</v>
      </c>
      <c r="H133" s="592">
        <v>90964</v>
      </c>
      <c r="I133" s="600" t="s">
        <v>1279</v>
      </c>
      <c r="J133" s="594" t="str">
        <f>VLOOKUP(F133,'2) Tracker'!$A$2:$BO$361,12,FALSE)</f>
        <v>loads USG</v>
      </c>
      <c r="K133" s="596">
        <f t="shared" ref="K133:K142" si="264">AD133</f>
        <v>46156</v>
      </c>
      <c r="L133" s="639"/>
      <c r="N133" s="597" t="str">
        <f t="shared" ref="N133:O133" si="265">AG133</f>
        <v/>
      </c>
      <c r="O133" s="597" t="str">
        <f t="shared" si="265"/>
        <v/>
      </c>
      <c r="P133" s="598" t="str">
        <f>IFERROR(IF(VLOOKUP(F133,'Voyage days'!$M$808:$N$821,2,FALSE),"GOA",""),"")</f>
        <v>GOA</v>
      </c>
      <c r="Q133" s="597" t="str">
        <f t="shared" ref="Q133:R133" si="266">AM133</f>
        <v/>
      </c>
      <c r="R133" s="595" t="str">
        <f t="shared" si="266"/>
        <v/>
      </c>
      <c r="S133" s="595">
        <f t="shared" si="2"/>
        <v>46176</v>
      </c>
      <c r="T133" s="596" t="str">
        <f t="shared" si="3"/>
        <v/>
      </c>
      <c r="U133" s="595" t="str">
        <f t="shared" si="4"/>
        <v/>
      </c>
      <c r="V133" s="616"/>
      <c r="W133" s="616" t="str">
        <f t="shared" si="5"/>
        <v/>
      </c>
      <c r="X133" s="599" t="str">
        <f t="shared" si="6"/>
        <v/>
      </c>
      <c r="Y133" s="614" t="s">
        <v>1604</v>
      </c>
      <c r="Z133" s="600" t="str">
        <f>VLOOKUP(F133,'2) Tracker'!$A$3:$Q$505,16,FALSE)</f>
        <v>ETA Balboa 03 May</v>
      </c>
      <c r="AA133" s="600" t="str">
        <f>VLOOKUP(F133,'2) Tracker'!$A$3:$R$505,18,FALSE)</f>
        <v>Petredec 14-15 May USG (2/2)</v>
      </c>
      <c r="AB133" s="600">
        <f>VLOOKUP(F133,'2) Tracker'!$A$3:$Q$505,17,FALSE)</f>
        <v>0</v>
      </c>
      <c r="AC133" s="601"/>
      <c r="AD133" s="601">
        <f>VLOOKUP(F133,'2) Tracker'!$A$2:$BO$981,37,FALSE)</f>
        <v>46156</v>
      </c>
      <c r="AE133" s="601">
        <f>VLOOKUP(F133,'2) Tracker'!$A$2:$BO$981,40,FALSE)</f>
        <v>46156</v>
      </c>
      <c r="AF133" s="601">
        <f>VLOOKUP(F133,'2) Tracker'!$A$2:$BO$981,67,FALSE)</f>
        <v>46188</v>
      </c>
      <c r="AG133" s="601" t="str">
        <f>VLOOKUP(F133,'2) Tracker'!$A$2:$BO$981,34,FALSE)</f>
        <v/>
      </c>
      <c r="AH133" s="601" t="str">
        <f>VLOOKUP(F133,'2) Tracker'!$A$2:$BN$981,66,FALSE)</f>
        <v/>
      </c>
      <c r="AI133" s="601" t="str">
        <f>VLOOKUP(F133,'2) Tracker'!$A$2:$BO$981,56,FALSE)</f>
        <v/>
      </c>
      <c r="AJ133" s="601" t="str">
        <f>VLOOKUP(F133,'2) Tracker'!$A$2:$BO$981,52,FALSE)</f>
        <v/>
      </c>
      <c r="AK133" s="601" t="str">
        <f>VLOOKUP(F133,'2) Tracker'!$A$2:$AQ$981,43,FALSE)</f>
        <v/>
      </c>
      <c r="AL133" s="601">
        <f>VLOOKUP(F133,'2) Tracker'!$A$2:$BH$981,46,FALSE())</f>
        <v>46176</v>
      </c>
      <c r="AM133" s="601" t="str">
        <f>VLOOKUP(F133,'2) Tracker'!$A$2:$BO$981,65,FALSE())</f>
        <v/>
      </c>
      <c r="AN133" s="601" t="str">
        <f>VLOOKUP(F133,'2) Tracker'!$A$2:$BK$981,63,FALSE())</f>
        <v/>
      </c>
      <c r="AO133" s="601" t="str">
        <f>VLOOKUP(F133,'2) Tracker'!$A$2:$BF$981,58,FALSE())</f>
        <v/>
      </c>
      <c r="AP133" s="46"/>
      <c r="AQ133" s="46"/>
      <c r="AR133" s="46"/>
      <c r="AS133" s="46"/>
      <c r="AT133" s="46"/>
      <c r="AU133" s="46"/>
      <c r="AV133" s="46"/>
      <c r="AW133" s="46"/>
      <c r="AX133" s="46"/>
      <c r="AY133" s="46"/>
      <c r="AZ133" s="605"/>
      <c r="BA133" s="604" t="e">
        <f>VLOOKUP(AZ133,#REF!,2, FALSE)</f>
        <v>#REF!</v>
      </c>
      <c r="BB133" s="605" t="e">
        <f>VLOOKUP(AZ133,'1) Kpler'!$E$2:$F$500,2,FALSE)</f>
        <v>#N/A</v>
      </c>
      <c r="BC133" s="604"/>
      <c r="BD133" s="605"/>
      <c r="BE133" s="46"/>
      <c r="BF133" s="46"/>
      <c r="BG133" s="605"/>
      <c r="BH133" s="605"/>
      <c r="BI133" s="605"/>
      <c r="BJ133" s="605"/>
    </row>
    <row r="134" spans="2:62" x14ac:dyDescent="0.25">
      <c r="B134" s="589" t="str">
        <f>VLOOKUP(F134,'2) Tracker'!$A$3:$O$411,5,FALSE)</f>
        <v>C</v>
      </c>
      <c r="C134" s="589" t="str">
        <f>VLOOKUP(F134,'2) Tracker'!$A$3:$O$411,4,FALSE)</f>
        <v>US</v>
      </c>
      <c r="D134" s="563"/>
      <c r="E134" s="563">
        <f>VLOOKUP(F134,'2) Tracker'!$A$3:$O$407,15,FALSE)</f>
        <v>0</v>
      </c>
      <c r="F134" s="604" t="s">
        <v>182</v>
      </c>
      <c r="G134" s="607">
        <f>VLOOKUP(F134,'2) Tracker'!$A$2:$BO$361,2,FALSE)</f>
        <v>2013</v>
      </c>
      <c r="H134" s="592">
        <f>VLOOKUP(F134,'2) Tracker'!$A$2:$BO$361,3,FALSE)</f>
        <v>84000</v>
      </c>
      <c r="I134" s="594" t="str">
        <f>VLOOKUP(F134,'2) Tracker'!$A$2:$BO$361,9,FALSE)</f>
        <v>Trafigura</v>
      </c>
      <c r="J134" s="594" t="str">
        <f>VLOOKUP(F134,'2) Tracker'!$A$2:$BO$361,12,FALSE)</f>
        <v>loads USG</v>
      </c>
      <c r="K134" s="595">
        <f t="shared" si="264"/>
        <v>46157</v>
      </c>
      <c r="L134" s="595">
        <f t="shared" ref="L134:O134" si="267">AE134</f>
        <v>46157</v>
      </c>
      <c r="M134" s="596">
        <f t="shared" si="267"/>
        <v>46189</v>
      </c>
      <c r="N134" s="596" t="str">
        <f t="shared" si="267"/>
        <v/>
      </c>
      <c r="O134" s="597" t="str">
        <f t="shared" si="267"/>
        <v/>
      </c>
      <c r="P134" s="598" t="str">
        <f>IFERROR(IF(VLOOKUP(F134,'Voyage days'!$M$808:$N$819,2,FALSE),"GOA",""),"")</f>
        <v/>
      </c>
      <c r="Q134" s="596" t="str">
        <f t="shared" ref="Q134:R134" si="268">AM134</f>
        <v/>
      </c>
      <c r="R134" s="595" t="str">
        <f t="shared" si="268"/>
        <v/>
      </c>
      <c r="S134" s="595">
        <f t="shared" si="2"/>
        <v>46177</v>
      </c>
      <c r="T134" s="596" t="str">
        <f t="shared" si="3"/>
        <v/>
      </c>
      <c r="U134" s="595" t="str">
        <f t="shared" si="4"/>
        <v/>
      </c>
      <c r="V134" s="596"/>
      <c r="W134" s="596" t="str">
        <f t="shared" si="5"/>
        <v/>
      </c>
      <c r="X134" s="599" t="str">
        <f t="shared" si="6"/>
        <v/>
      </c>
      <c r="Y134" s="614" t="s">
        <v>1604</v>
      </c>
      <c r="Z134" s="600" t="str">
        <f>VLOOKUP(F134,'2) Tracker'!$A$3:$Q$505,16,FALSE)</f>
        <v>ETA Balboa 22 Apr</v>
      </c>
      <c r="AA134" s="600" t="str">
        <f>VLOOKUP(F134,'2) Tracker'!$A$3:$R$505,18,FALSE)</f>
        <v>Gunvor 15-16 May USG</v>
      </c>
      <c r="AB134" s="600">
        <f>VLOOKUP(F134,'2) Tracker'!$A$3:$Q$505,17,FALSE)</f>
        <v>0</v>
      </c>
      <c r="AC134" s="601"/>
      <c r="AD134" s="601">
        <f>VLOOKUP(F134,'2) Tracker'!$A$2:$BO$981,37,FALSE)</f>
        <v>46157</v>
      </c>
      <c r="AE134" s="601">
        <f>VLOOKUP(F134,'2) Tracker'!$A$2:$BO$981,40,FALSE)</f>
        <v>46157</v>
      </c>
      <c r="AF134" s="601">
        <f>VLOOKUP(F134,'2) Tracker'!$A$2:$BO$981,67,FALSE)</f>
        <v>46189</v>
      </c>
      <c r="AG134" s="601" t="str">
        <f>VLOOKUP(F134,'2) Tracker'!$A$2:$BO$981,34,FALSE)</f>
        <v/>
      </c>
      <c r="AH134" s="601" t="str">
        <f>VLOOKUP(F134,'2) Tracker'!$A$2:$BN$981,66,FALSE)</f>
        <v/>
      </c>
      <c r="AI134" s="601" t="str">
        <f>VLOOKUP(F134,'2) Tracker'!$A$2:$BO$981,56,FALSE)</f>
        <v/>
      </c>
      <c r="AJ134" s="601" t="str">
        <f>VLOOKUP(F134,'2) Tracker'!$A$2:$BO$981,52,FALSE)</f>
        <v/>
      </c>
      <c r="AK134" s="601" t="str">
        <f>VLOOKUP(F134,'2) Tracker'!$A$2:$AQ$981,43,FALSE)</f>
        <v/>
      </c>
      <c r="AL134" s="601">
        <f>VLOOKUP(F134,'2) Tracker'!$A$2:$BH$981,46,FALSE())</f>
        <v>46177</v>
      </c>
      <c r="AM134" s="601" t="str">
        <f>VLOOKUP(F134,'2) Tracker'!$A$2:$BO$981,65,FALSE())</f>
        <v/>
      </c>
      <c r="AN134" s="601" t="str">
        <f>VLOOKUP(F134,'2) Tracker'!$A$2:$BK$981,63,FALSE())</f>
        <v/>
      </c>
      <c r="AO134" s="601" t="str">
        <f>VLOOKUP(F134,'2) Tracker'!$A$2:$BF$981,58,FALSE())</f>
        <v/>
      </c>
      <c r="AP134" s="46"/>
      <c r="AQ134" s="46"/>
      <c r="AR134" s="46"/>
      <c r="AS134" s="46"/>
      <c r="AT134" s="46"/>
      <c r="AU134" s="46"/>
      <c r="AV134" s="46"/>
      <c r="AW134" s="46"/>
      <c r="AX134" s="46"/>
      <c r="AY134" s="46"/>
      <c r="AZ134" s="563"/>
      <c r="BA134" s="604" t="e">
        <f>VLOOKUP(AZ134,#REF!,2, FALSE)</f>
        <v>#REF!</v>
      </c>
      <c r="BB134" s="605" t="e">
        <f>VLOOKUP(AZ134,'1) Kpler'!$E$2:$F$500,2,FALSE)</f>
        <v>#N/A</v>
      </c>
      <c r="BC134" s="569"/>
      <c r="BD134" s="563"/>
      <c r="BE134" s="46"/>
      <c r="BF134" s="46"/>
      <c r="BG134" s="563"/>
      <c r="BH134" s="563"/>
      <c r="BI134" s="563"/>
      <c r="BJ134" s="563"/>
    </row>
    <row r="135" spans="2:62" x14ac:dyDescent="0.25">
      <c r="B135" s="589">
        <f>VLOOKUP(F135,'2) Tracker'!$A$3:$O$411,5,FALSE)</f>
        <v>0</v>
      </c>
      <c r="C135" s="589">
        <f>VLOOKUP(F135,'2) Tracker'!$A$3:$O$411,4,FALSE)</f>
        <v>0</v>
      </c>
      <c r="D135" s="563"/>
      <c r="E135" s="563">
        <f>VLOOKUP(F135,'2) Tracker'!$A$3:$O$407,15,FALSE)</f>
        <v>0</v>
      </c>
      <c r="F135" s="604" t="s">
        <v>290</v>
      </c>
      <c r="G135" s="607">
        <f>VLOOKUP(F135,'2) Tracker'!$A$2:$BO$361,2,FALSE)</f>
        <v>39479</v>
      </c>
      <c r="H135" s="592">
        <f>VLOOKUP(F135,'2) Tracker'!$A$2:$BO$361,3,FALSE)</f>
        <v>82000</v>
      </c>
      <c r="I135" s="594" t="str">
        <f>VLOOKUP(F135,'2) Tracker'!$A$2:$BO$361,9,FALSE)</f>
        <v>Exxon</v>
      </c>
      <c r="J135" s="594" t="str">
        <f>VLOOKUP(F135,'2) Tracker'!$A$2:$BO$361,12,FALSE)</f>
        <v>loads USG</v>
      </c>
      <c r="K135" s="596">
        <f t="shared" si="264"/>
        <v>46157</v>
      </c>
      <c r="L135" s="596">
        <f t="shared" ref="L135:O135" si="269">AE135</f>
        <v>46157</v>
      </c>
      <c r="M135" s="596">
        <f t="shared" si="269"/>
        <v>46189</v>
      </c>
      <c r="N135" s="597" t="str">
        <f t="shared" si="269"/>
        <v/>
      </c>
      <c r="O135" s="597" t="str">
        <f t="shared" si="269"/>
        <v/>
      </c>
      <c r="P135" s="633" t="s">
        <v>1567</v>
      </c>
      <c r="Q135" s="597" t="str">
        <f t="shared" ref="Q135:R135" si="270">AM135</f>
        <v/>
      </c>
      <c r="R135" s="596" t="str">
        <f t="shared" si="270"/>
        <v/>
      </c>
      <c r="S135" s="595">
        <f t="shared" si="2"/>
        <v>46177</v>
      </c>
      <c r="T135" s="595" t="str">
        <f t="shared" si="3"/>
        <v/>
      </c>
      <c r="U135" s="596" t="str">
        <f t="shared" si="4"/>
        <v/>
      </c>
      <c r="V135" s="596"/>
      <c r="W135" s="596" t="str">
        <f t="shared" si="5"/>
        <v/>
      </c>
      <c r="X135" s="599" t="str">
        <f t="shared" si="6"/>
        <v/>
      </c>
      <c r="Y135" s="594" t="s">
        <v>1612</v>
      </c>
      <c r="Z135" s="600" t="str">
        <f>VLOOKUP(F135,'2) Tracker'!$A$3:$Q$505,16,FALSE)</f>
        <v>ETA Freeport 12 May via Cape</v>
      </c>
      <c r="AA135" s="600" t="str">
        <f>VLOOKUP(F135,'2) Tracker'!$A$3:$R$505,18,FALSE)</f>
        <v>SwissChemGas 15-16 May USG</v>
      </c>
      <c r="AB135" s="600">
        <f>VLOOKUP(F135,'2) Tracker'!$A$3:$Q$505,17,FALSE)</f>
        <v>0</v>
      </c>
      <c r="AC135" s="601"/>
      <c r="AD135" s="601">
        <f>VLOOKUP(F135,'2) Tracker'!$A$2:$BO$981,37,FALSE)</f>
        <v>46157</v>
      </c>
      <c r="AE135" s="601">
        <f>VLOOKUP(F135,'2) Tracker'!$A$2:$BO$981,40,FALSE)</f>
        <v>46157</v>
      </c>
      <c r="AF135" s="601">
        <f>VLOOKUP(F135,'2) Tracker'!$A$2:$BO$981,67,FALSE)</f>
        <v>46189</v>
      </c>
      <c r="AG135" s="601" t="str">
        <f>VLOOKUP(F135,'2) Tracker'!$A$2:$BO$981,34,FALSE)</f>
        <v/>
      </c>
      <c r="AH135" s="601" t="str">
        <f>VLOOKUP(F135,'2) Tracker'!$A$2:$BN$981,66,FALSE)</f>
        <v/>
      </c>
      <c r="AI135" s="601" t="str">
        <f>VLOOKUP(F135,'2) Tracker'!$A$2:$BO$981,56,FALSE)</f>
        <v/>
      </c>
      <c r="AJ135" s="601" t="str">
        <f>VLOOKUP(F135,'2) Tracker'!$A$2:$BO$981,52,FALSE)</f>
        <v/>
      </c>
      <c r="AK135" s="601" t="str">
        <f>VLOOKUP(F135,'2) Tracker'!$A$2:$AQ$981,43,FALSE)</f>
        <v/>
      </c>
      <c r="AL135" s="601">
        <f>VLOOKUP(F135,'2) Tracker'!$A$2:$BH$981,46,FALSE())</f>
        <v>46177</v>
      </c>
      <c r="AM135" s="601" t="str">
        <f>VLOOKUP(F135,'2) Tracker'!$A$2:$BO$981,65,FALSE())</f>
        <v/>
      </c>
      <c r="AN135" s="601" t="str">
        <f>VLOOKUP(F135,'2) Tracker'!$A$2:$BK$981,63,FALSE())</f>
        <v/>
      </c>
      <c r="AO135" s="601" t="str">
        <f>VLOOKUP(F135,'2) Tracker'!$A$2:$BF$981,58,FALSE())</f>
        <v/>
      </c>
      <c r="AP135" s="46"/>
      <c r="AQ135" s="46"/>
      <c r="AR135" s="46"/>
      <c r="AS135" s="46"/>
      <c r="AT135" s="46"/>
      <c r="AU135" s="46"/>
      <c r="AV135" s="46"/>
      <c r="AW135" s="46"/>
      <c r="AX135" s="46"/>
      <c r="AY135" s="46"/>
      <c r="AZ135" s="605"/>
      <c r="BA135" s="604" t="e">
        <f>VLOOKUP(AZ135,#REF!,2, FALSE)</f>
        <v>#REF!</v>
      </c>
      <c r="BB135" s="605" t="e">
        <f>VLOOKUP(AZ135,'1) Kpler'!$E$2:$F$500,2,FALSE)</f>
        <v>#N/A</v>
      </c>
      <c r="BC135" s="604"/>
      <c r="BD135" s="605"/>
      <c r="BE135" s="46"/>
      <c r="BF135" s="46"/>
      <c r="BG135" s="605"/>
      <c r="BH135" s="605"/>
      <c r="BI135" s="605"/>
      <c r="BJ135" s="605"/>
    </row>
    <row r="136" spans="2:62" x14ac:dyDescent="0.25">
      <c r="B136" s="589">
        <f>VLOOKUP(F136,'2) Tracker'!$A$3:$O$411,5,FALSE)</f>
        <v>0</v>
      </c>
      <c r="C136" s="589">
        <f>VLOOKUP(F136,'2) Tracker'!$A$3:$O$411,4,FALSE)</f>
        <v>0</v>
      </c>
      <c r="D136" s="563"/>
      <c r="E136" s="563">
        <f>VLOOKUP(F136,'2) Tracker'!$A$3:$O$407,15,FALSE)</f>
        <v>0</v>
      </c>
      <c r="F136" s="604" t="s">
        <v>1171</v>
      </c>
      <c r="G136" s="607">
        <f>VLOOKUP(F136,'2) Tracker'!$A$2:$BO$361,2,FALSE)</f>
        <v>42062</v>
      </c>
      <c r="H136" s="592">
        <f>VLOOKUP(F136,'2) Tracker'!$A$2:$BO$361,3,FALSE)</f>
        <v>84154</v>
      </c>
      <c r="I136" s="594" t="str">
        <f>VLOOKUP(F136,'2) Tracker'!$A$2:$BO$361,9,FALSE)</f>
        <v>Satellite</v>
      </c>
      <c r="J136" s="594" t="str">
        <f>VLOOKUP(F136,'2) Tracker'!$A$2:$BO$361,12,FALSE)</f>
        <v>loads USG</v>
      </c>
      <c r="K136" s="596">
        <f t="shared" si="264"/>
        <v>46157</v>
      </c>
      <c r="L136" s="596">
        <f t="shared" ref="L136:O136" si="271">AE136</f>
        <v>46157</v>
      </c>
      <c r="M136" s="596">
        <f t="shared" si="271"/>
        <v>46189</v>
      </c>
      <c r="N136" s="596" t="str">
        <f t="shared" si="271"/>
        <v/>
      </c>
      <c r="O136" s="597" t="str">
        <f t="shared" si="271"/>
        <v/>
      </c>
      <c r="P136" s="598" t="str">
        <f>IFERROR(IF(VLOOKUP(F136,'Voyage days'!$M$808:$N$819,2,FALSE),"GOA",""),"")</f>
        <v/>
      </c>
      <c r="Q136" s="596" t="str">
        <f t="shared" ref="Q136:R136" si="272">AM136</f>
        <v/>
      </c>
      <c r="R136" s="596" t="str">
        <f t="shared" si="272"/>
        <v/>
      </c>
      <c r="S136" s="595">
        <f t="shared" si="2"/>
        <v>46177</v>
      </c>
      <c r="T136" s="596" t="str">
        <f t="shared" si="3"/>
        <v/>
      </c>
      <c r="U136" s="596" t="str">
        <f t="shared" si="4"/>
        <v/>
      </c>
      <c r="V136" s="596"/>
      <c r="W136" s="596" t="str">
        <f t="shared" si="5"/>
        <v/>
      </c>
      <c r="X136" s="599" t="str">
        <f t="shared" si="6"/>
        <v/>
      </c>
      <c r="Y136" s="614"/>
      <c r="Z136" s="600" t="str">
        <f>VLOOKUP(F136,'2) Tracker'!$A$3:$Q$505,16,FALSE)</f>
        <v>ETA 3rd port Tokyo Bay 13 Apr</v>
      </c>
      <c r="AA136" s="600" t="str">
        <f>VLOOKUP(F136,'2) Tracker'!$A$3:$R$505,18,FALSE)</f>
        <v>SK Gas 15-16 May USG</v>
      </c>
      <c r="AB136" s="600" t="str">
        <f>VLOOKUP(F136,'2) Tracker'!$A$3:$Q$505,17,FALSE)</f>
        <v xml:space="preserve">Has 18-19 May Ndl looking to swap for 22-25 May </v>
      </c>
      <c r="AC136" s="601"/>
      <c r="AD136" s="601">
        <f>VLOOKUP(F136,'2) Tracker'!$A$2:$BO$981,37,FALSE)</f>
        <v>46157</v>
      </c>
      <c r="AE136" s="601">
        <f>VLOOKUP(F136,'2) Tracker'!$A$2:$BO$981,40,FALSE)</f>
        <v>46157</v>
      </c>
      <c r="AF136" s="601">
        <f>VLOOKUP(F136,'2) Tracker'!$A$2:$BO$981,67,FALSE)</f>
        <v>46189</v>
      </c>
      <c r="AG136" s="601" t="str">
        <f>VLOOKUP(F136,'2) Tracker'!$A$2:$BO$981,34,FALSE)</f>
        <v/>
      </c>
      <c r="AH136" s="601" t="str">
        <f>VLOOKUP(F136,'2) Tracker'!$A$2:$BN$981,66,FALSE)</f>
        <v/>
      </c>
      <c r="AI136" s="601" t="str">
        <f>VLOOKUP(F136,'2) Tracker'!$A$2:$BO$981,56,FALSE)</f>
        <v/>
      </c>
      <c r="AJ136" s="601" t="str">
        <f>VLOOKUP(F136,'2) Tracker'!$A$2:$BO$981,52,FALSE)</f>
        <v/>
      </c>
      <c r="AK136" s="601" t="str">
        <f>VLOOKUP(F136,'2) Tracker'!$A$2:$AQ$981,43,FALSE)</f>
        <v/>
      </c>
      <c r="AL136" s="601">
        <f>VLOOKUP(F136,'2) Tracker'!$A$2:$BH$981,46,FALSE())</f>
        <v>46177</v>
      </c>
      <c r="AM136" s="601" t="str">
        <f>VLOOKUP(F136,'2) Tracker'!$A$2:$BO$981,65,FALSE())</f>
        <v/>
      </c>
      <c r="AN136" s="601" t="str">
        <f>VLOOKUP(F136,'2) Tracker'!$A$2:$BK$981,63,FALSE())</f>
        <v/>
      </c>
      <c r="AO136" s="601" t="str">
        <f>VLOOKUP(F136,'2) Tracker'!$A$2:$BF$981,58,FALSE())</f>
        <v/>
      </c>
      <c r="AP136" s="46"/>
      <c r="AQ136" s="46"/>
      <c r="AR136" s="46"/>
      <c r="AS136" s="46"/>
      <c r="AT136" s="46"/>
      <c r="AU136" s="46"/>
      <c r="AV136" s="46"/>
      <c r="AW136" s="46"/>
      <c r="AX136" s="46"/>
      <c r="AY136" s="46"/>
      <c r="AZ136" s="563"/>
      <c r="BA136" s="569"/>
      <c r="BB136" s="563"/>
      <c r="BC136" s="569"/>
      <c r="BD136" s="563"/>
      <c r="BE136" s="46"/>
      <c r="BF136" s="46"/>
      <c r="BG136" s="563"/>
      <c r="BH136" s="563"/>
      <c r="BI136" s="563"/>
      <c r="BJ136" s="563"/>
    </row>
    <row r="137" spans="2:62" x14ac:dyDescent="0.25">
      <c r="B137" s="589" t="str">
        <f>VLOOKUP(F137,'2) Tracker'!$A$3:$O$411,5,FALSE)</f>
        <v>C</v>
      </c>
      <c r="C137" s="589">
        <f>VLOOKUP(F137,'2) Tracker'!$A$3:$O$411,4,FALSE)</f>
        <v>0</v>
      </c>
      <c r="D137" s="563"/>
      <c r="E137" s="563">
        <f>VLOOKUP(F137,'2) Tracker'!$A$3:$O$407,15,FALSE)</f>
        <v>0</v>
      </c>
      <c r="F137" s="604" t="s">
        <v>520</v>
      </c>
      <c r="G137" s="607">
        <f>VLOOKUP(F137,'2) Tracker'!$A$2:$BO$361,2,FALSE)</f>
        <v>42535</v>
      </c>
      <c r="H137" s="592">
        <f>VLOOKUP(F137,'2) Tracker'!$A$2:$BO$361,3,FALSE)</f>
        <v>84000</v>
      </c>
      <c r="I137" s="594" t="s">
        <v>1040</v>
      </c>
      <c r="J137" s="594" t="str">
        <f>VLOOKUP(F137,'2) Tracker'!$A$2:$BO$361,12,FALSE)</f>
        <v>loads USG</v>
      </c>
      <c r="K137" s="596">
        <f t="shared" si="264"/>
        <v>46157</v>
      </c>
      <c r="L137" s="596">
        <f t="shared" ref="L137:O137" si="273">AE137</f>
        <v>46157</v>
      </c>
      <c r="M137" s="596">
        <f t="shared" si="273"/>
        <v>46189</v>
      </c>
      <c r="N137" s="596" t="str">
        <f t="shared" si="273"/>
        <v/>
      </c>
      <c r="O137" s="597" t="str">
        <f t="shared" si="273"/>
        <v/>
      </c>
      <c r="P137" s="598" t="str">
        <f>IFERROR(IF(VLOOKUP(F137,'Voyage days'!$M$808:$N$819,2,FALSE),"GOA",""),"")</f>
        <v/>
      </c>
      <c r="Q137" s="596" t="str">
        <f t="shared" ref="Q137:R137" si="274">AM137</f>
        <v/>
      </c>
      <c r="R137" s="595" t="str">
        <f t="shared" si="274"/>
        <v/>
      </c>
      <c r="S137" s="595">
        <f t="shared" si="2"/>
        <v>46177</v>
      </c>
      <c r="T137" s="596" t="str">
        <f t="shared" si="3"/>
        <v/>
      </c>
      <c r="U137" s="595" t="str">
        <f t="shared" si="4"/>
        <v/>
      </c>
      <c r="V137" s="596"/>
      <c r="W137" s="596" t="str">
        <f t="shared" si="5"/>
        <v/>
      </c>
      <c r="X137" s="599" t="str">
        <f t="shared" si="6"/>
        <v/>
      </c>
      <c r="Y137" s="594"/>
      <c r="Z137" s="600" t="str">
        <f>VLOOKUP(F137,'2) Tracker'!$A$3:$Q$505,16,FALSE)</f>
        <v>ETA Cape 23 Apr</v>
      </c>
      <c r="AA137" s="600" t="str">
        <f>VLOOKUP(F137,'2) Tracker'!$A$3:$R$505,18,FALSE)</f>
        <v>Itochu 15-16 May USG</v>
      </c>
      <c r="AB137" s="600" t="str">
        <f>VLOOKUP(F137,'2) Tracker'!$A$3:$Q$505,17,FALSE)</f>
        <v>Give out 2/2 15-16 May, Take back ~20 May</v>
      </c>
      <c r="AC137" s="601"/>
      <c r="AD137" s="601">
        <f>VLOOKUP(F137,'2) Tracker'!$A$2:$BO$981,37,FALSE)</f>
        <v>46157</v>
      </c>
      <c r="AE137" s="601">
        <f>VLOOKUP(F137,'2) Tracker'!$A$2:$BO$981,40,FALSE)</f>
        <v>46157</v>
      </c>
      <c r="AF137" s="601">
        <f>VLOOKUP(F137,'2) Tracker'!$A$2:$BO$981,67,FALSE)</f>
        <v>46189</v>
      </c>
      <c r="AG137" s="601" t="str">
        <f>VLOOKUP(F137,'2) Tracker'!$A$2:$BO$981,34,FALSE)</f>
        <v/>
      </c>
      <c r="AH137" s="601" t="str">
        <f>VLOOKUP(F137,'2) Tracker'!$A$2:$BN$981,66,FALSE)</f>
        <v/>
      </c>
      <c r="AI137" s="601" t="str">
        <f>VLOOKUP(F137,'2) Tracker'!$A$2:$BO$981,56,FALSE)</f>
        <v/>
      </c>
      <c r="AJ137" s="601" t="str">
        <f>VLOOKUP(F137,'2) Tracker'!$A$2:$BO$981,52,FALSE)</f>
        <v/>
      </c>
      <c r="AK137" s="601" t="str">
        <f>VLOOKUP(F137,'2) Tracker'!$A$2:$AQ$981,43,FALSE)</f>
        <v/>
      </c>
      <c r="AL137" s="601">
        <f>VLOOKUP(F137,'2) Tracker'!$A$2:$BH$981,46,FALSE())</f>
        <v>46177</v>
      </c>
      <c r="AM137" s="601" t="str">
        <f>VLOOKUP(F137,'2) Tracker'!$A$2:$BO$981,65,FALSE())</f>
        <v/>
      </c>
      <c r="AN137" s="601" t="str">
        <f>VLOOKUP(F137,'2) Tracker'!$A$2:$BK$981,63,FALSE())</f>
        <v/>
      </c>
      <c r="AO137" s="601" t="str">
        <f>VLOOKUP(F137,'2) Tracker'!$A$2:$BF$981,58,FALSE())</f>
        <v/>
      </c>
      <c r="AP137" s="46"/>
      <c r="AQ137" s="46"/>
      <c r="AR137" s="46"/>
      <c r="AS137" s="46"/>
      <c r="AT137" s="46"/>
      <c r="AU137" s="46"/>
      <c r="AV137" s="46"/>
      <c r="AW137" s="46"/>
      <c r="AX137" s="46"/>
      <c r="AY137" s="46"/>
      <c r="AZ137" s="605"/>
      <c r="BA137" s="604" t="e">
        <f>VLOOKUP(AZ137,#REF!,2, FALSE)</f>
        <v>#REF!</v>
      </c>
      <c r="BB137" s="605" t="e">
        <f>VLOOKUP(AZ137,'1) Kpler'!$E$2:$F$500,2,FALSE)</f>
        <v>#N/A</v>
      </c>
      <c r="BC137" s="604"/>
      <c r="BD137" s="605"/>
      <c r="BE137" s="46"/>
      <c r="BF137" s="46"/>
      <c r="BG137" s="605"/>
      <c r="BH137" s="605"/>
      <c r="BI137" s="605"/>
      <c r="BJ137" s="605"/>
    </row>
    <row r="138" spans="2:62" x14ac:dyDescent="0.25">
      <c r="B138" s="589">
        <f>VLOOKUP(F138,'2) Tracker'!$A$3:$O$411,5,FALSE)</f>
        <v>0</v>
      </c>
      <c r="C138" s="589" t="str">
        <f>VLOOKUP(F138,'2) Tracker'!$A$3:$O$411,4,FALSE)</f>
        <v>US</v>
      </c>
      <c r="D138" s="563"/>
      <c r="E138" s="563">
        <f>VLOOKUP(F138,'2) Tracker'!$A$3:$O$407,15,FALSE)</f>
        <v>0</v>
      </c>
      <c r="F138" s="569" t="s">
        <v>583</v>
      </c>
      <c r="G138" s="607">
        <f>VLOOKUP(F138,'2) Tracker'!$A$2:$BO$361,2,FALSE)</f>
        <v>42389</v>
      </c>
      <c r="H138" s="592">
        <f>VLOOKUP(F138,'2) Tracker'!$A$2:$BO$361,3,FALSE)</f>
        <v>84000</v>
      </c>
      <c r="I138" s="600" t="str">
        <f>VLOOKUP(F138,'2) Tracker'!$A$2:$BO$361,9,FALSE)</f>
        <v>Helios</v>
      </c>
      <c r="J138" s="594" t="str">
        <f>VLOOKUP(F138,'2) Tracker'!$A$2:$BO$361,12,FALSE)</f>
        <v>loads USG</v>
      </c>
      <c r="K138" s="596">
        <f t="shared" si="264"/>
        <v>46157</v>
      </c>
      <c r="L138" s="596">
        <f t="shared" ref="L138:O138" si="275">AE138</f>
        <v>46157</v>
      </c>
      <c r="M138" s="596">
        <f t="shared" si="275"/>
        <v>46189</v>
      </c>
      <c r="N138" s="596" t="str">
        <f t="shared" si="275"/>
        <v/>
      </c>
      <c r="O138" s="597" t="str">
        <f t="shared" si="275"/>
        <v/>
      </c>
      <c r="P138" s="598" t="str">
        <f>IFERROR(IF(VLOOKUP(F138,'Voyage days'!$M$808:$N$819,2,FALSE),"GOA",""),"")</f>
        <v/>
      </c>
      <c r="Q138" s="596" t="str">
        <f t="shared" ref="Q138:R138" si="276">AM138</f>
        <v/>
      </c>
      <c r="R138" s="596" t="str">
        <f t="shared" si="276"/>
        <v/>
      </c>
      <c r="S138" s="595">
        <f t="shared" si="2"/>
        <v>46177</v>
      </c>
      <c r="T138" s="595" t="str">
        <f t="shared" si="3"/>
        <v/>
      </c>
      <c r="U138" s="596" t="str">
        <f t="shared" si="4"/>
        <v/>
      </c>
      <c r="V138" s="570"/>
      <c r="W138" s="596" t="str">
        <f t="shared" si="5"/>
        <v/>
      </c>
      <c r="X138" s="599" t="str">
        <f t="shared" si="6"/>
        <v/>
      </c>
      <c r="Y138" s="611" t="s">
        <v>1613</v>
      </c>
      <c r="Z138" s="600" t="str">
        <f>VLOOKUP(F138,'2) Tracker'!$A$3:$Q$505,16,FALSE)</f>
        <v>ETA Balboa 05 May</v>
      </c>
      <c r="AA138" s="600" t="str">
        <f>VLOOKUP(F138,'2) Tracker'!$A$3:$R$505,18,FALSE)</f>
        <v>BASF 15-16 May USG</v>
      </c>
      <c r="AB138" s="600">
        <f>VLOOKUP(F138,'2) Tracker'!$A$3:$Q$505,17,FALSE)</f>
        <v>0</v>
      </c>
      <c r="AC138" s="601"/>
      <c r="AD138" s="601">
        <f>VLOOKUP(F138,'2) Tracker'!$A$2:$BO$981,37,FALSE)</f>
        <v>46157</v>
      </c>
      <c r="AE138" s="601">
        <f>VLOOKUP(F138,'2) Tracker'!$A$2:$BO$981,40,FALSE)</f>
        <v>46157</v>
      </c>
      <c r="AF138" s="601">
        <f>VLOOKUP(F138,'2) Tracker'!$A$2:$BO$981,67,FALSE)</f>
        <v>46189</v>
      </c>
      <c r="AG138" s="601" t="str">
        <f>VLOOKUP(F138,'2) Tracker'!$A$2:$BO$981,34,FALSE)</f>
        <v/>
      </c>
      <c r="AH138" s="601" t="str">
        <f>VLOOKUP(F138,'2) Tracker'!$A$2:$BN$981,66,FALSE)</f>
        <v/>
      </c>
      <c r="AI138" s="601" t="str">
        <f>VLOOKUP(F138,'2) Tracker'!$A$2:$BO$981,56,FALSE)</f>
        <v/>
      </c>
      <c r="AJ138" s="601" t="str">
        <f>VLOOKUP(F138,'2) Tracker'!$A$2:$BO$981,52,FALSE)</f>
        <v/>
      </c>
      <c r="AK138" s="601" t="str">
        <f>VLOOKUP(F138,'2) Tracker'!$A$2:$AQ$981,43,FALSE)</f>
        <v/>
      </c>
      <c r="AL138" s="601">
        <f>VLOOKUP(F138,'2) Tracker'!$A$2:$BH$981,46,FALSE())</f>
        <v>46177</v>
      </c>
      <c r="AM138" s="601" t="str">
        <f>VLOOKUP(F138,'2) Tracker'!$A$2:$BO$981,65,FALSE())</f>
        <v/>
      </c>
      <c r="AN138" s="601" t="str">
        <f>VLOOKUP(F138,'2) Tracker'!$A$2:$BK$981,63,FALSE())</f>
        <v/>
      </c>
      <c r="AO138" s="601" t="str">
        <f>VLOOKUP(F138,'2) Tracker'!$A$2:$BF$981,58,FALSE())</f>
        <v/>
      </c>
      <c r="AP138" s="46"/>
      <c r="AQ138" s="46"/>
      <c r="AR138" s="46"/>
      <c r="AS138" s="46"/>
      <c r="AT138" s="46"/>
      <c r="AU138" s="46"/>
      <c r="AV138" s="46"/>
      <c r="AW138" s="46"/>
      <c r="AX138" s="46"/>
      <c r="AY138" s="46"/>
      <c r="AZ138" s="563"/>
      <c r="BA138" s="569"/>
      <c r="BB138" s="563"/>
      <c r="BC138" s="569"/>
      <c r="BD138" s="563"/>
      <c r="BE138" s="46"/>
      <c r="BF138" s="46"/>
      <c r="BG138" s="563"/>
      <c r="BH138" s="563"/>
      <c r="BI138" s="563"/>
      <c r="BJ138" s="563"/>
    </row>
    <row r="139" spans="2:62" x14ac:dyDescent="0.25">
      <c r="B139" s="589">
        <f>VLOOKUP(F139,'2) Tracker'!$A$3:$O$411,5,FALSE)</f>
        <v>0</v>
      </c>
      <c r="C139" s="589" t="str">
        <f>VLOOKUP(F139,'2) Tracker'!$A$3:$O$411,4,FALSE)</f>
        <v>US</v>
      </c>
      <c r="D139" s="563"/>
      <c r="E139" s="563" t="str">
        <f>VLOOKUP(F139,'2) Tracker'!$A$3:$O$407,15,FALSE)</f>
        <v>eu</v>
      </c>
      <c r="F139" s="608" t="s">
        <v>328</v>
      </c>
      <c r="G139" s="607">
        <f>VLOOKUP(F139,'2) Tracker'!$A$2:$BO$361,2,FALSE)</f>
        <v>2017</v>
      </c>
      <c r="H139" s="592">
        <f>VLOOKUP(F139,'2) Tracker'!$A$2:$BO$361,3,FALSE)</f>
        <v>83000</v>
      </c>
      <c r="I139" s="593" t="str">
        <f>VLOOKUP(F139,'2) Tracker'!$A$2:$BO$361,9,FALSE)</f>
        <v>Energy Transfer</v>
      </c>
      <c r="J139" s="594" t="str">
        <f>VLOOKUP(F139,'2) Tracker'!$A$2:$BO$361,12,FALSE)</f>
        <v>Eu</v>
      </c>
      <c r="K139" s="596">
        <f t="shared" si="264"/>
        <v>46157</v>
      </c>
      <c r="L139" s="596">
        <f t="shared" ref="L139:O139" si="277">AE139</f>
        <v>46158</v>
      </c>
      <c r="M139" s="596" t="str">
        <f t="shared" si="277"/>
        <v/>
      </c>
      <c r="N139" s="596" t="str">
        <f t="shared" si="277"/>
        <v/>
      </c>
      <c r="O139" s="597" t="str">
        <f t="shared" si="277"/>
        <v/>
      </c>
      <c r="P139" s="598" t="str">
        <f>IFERROR(IF(VLOOKUP(F139,'Voyage days'!$M$808:$N$819,2,FALSE),"GOA",""),"")</f>
        <v/>
      </c>
      <c r="Q139" s="596">
        <f t="shared" ref="Q139:R139" si="278">AM139</f>
        <v>46144</v>
      </c>
      <c r="R139" s="596">
        <f t="shared" si="278"/>
        <v>46157</v>
      </c>
      <c r="S139" s="595">
        <f t="shared" si="2"/>
        <v>46145</v>
      </c>
      <c r="T139" s="596">
        <f t="shared" si="3"/>
        <v>46154</v>
      </c>
      <c r="U139" s="596" t="str">
        <f t="shared" si="4"/>
        <v/>
      </c>
      <c r="V139" s="570" t="s">
        <v>1577</v>
      </c>
      <c r="W139" s="596" t="str">
        <f t="shared" si="5"/>
        <v/>
      </c>
      <c r="X139" s="599" t="str">
        <f t="shared" si="6"/>
        <v/>
      </c>
      <c r="Y139" s="594"/>
      <c r="Z139" s="600" t="str">
        <f>VLOOKUP(F139,'2) Tracker'!$A$3:$Q$505,16,FALSE)</f>
        <v xml:space="preserve">ETA Stenungsund 26 Apr </v>
      </c>
      <c r="AA139" s="600" t="str">
        <f>VLOOKUP(F139,'2) Tracker'!$A$3:$R$505,18,FALSE)</f>
        <v>ET 06-07 Apr Nederland</v>
      </c>
      <c r="AB139" s="600">
        <f>VLOOKUP(F139,'2) Tracker'!$A$3:$Q$505,17,FALSE)</f>
        <v>0</v>
      </c>
      <c r="AC139" s="601"/>
      <c r="AD139" s="601">
        <f>VLOOKUP(F139,'2) Tracker'!$A$2:$BO$981,37,FALSE)</f>
        <v>46157</v>
      </c>
      <c r="AE139" s="601">
        <f>VLOOKUP(F139,'2) Tracker'!$A$2:$BO$981,40,FALSE)</f>
        <v>46158</v>
      </c>
      <c r="AF139" s="601" t="str">
        <f>VLOOKUP(F139,'2) Tracker'!$A$2:$BO$981,67,FALSE)</f>
        <v/>
      </c>
      <c r="AG139" s="601" t="str">
        <f>VLOOKUP(F139,'2) Tracker'!$A$2:$BO$981,34,FALSE)</f>
        <v/>
      </c>
      <c r="AH139" s="601" t="str">
        <f>VLOOKUP(F139,'2) Tracker'!$A$2:$BN$981,66,FALSE)</f>
        <v/>
      </c>
      <c r="AI139" s="601" t="str">
        <f>VLOOKUP(F139,'2) Tracker'!$A$2:$BO$981,56,FALSE)</f>
        <v/>
      </c>
      <c r="AJ139" s="601" t="str">
        <f>VLOOKUP(F139,'2) Tracker'!$A$2:$BO$981,52,FALSE)</f>
        <v/>
      </c>
      <c r="AK139" s="601">
        <f>VLOOKUP(F139,'2) Tracker'!$A$2:$AQ$981,43,FALSE)</f>
        <v>46154</v>
      </c>
      <c r="AL139" s="601">
        <f>VLOOKUP(F139,'2) Tracker'!$A$2:$BH$981,46,FALSE())</f>
        <v>46145</v>
      </c>
      <c r="AM139" s="601">
        <f>VLOOKUP(F139,'2) Tracker'!$A$2:$BO$981,65,FALSE())</f>
        <v>46144</v>
      </c>
      <c r="AN139" s="601">
        <f>VLOOKUP(F139,'2) Tracker'!$A$2:$BK$981,63,FALSE())</f>
        <v>46157</v>
      </c>
      <c r="AO139" s="601" t="str">
        <f>VLOOKUP(F139,'2) Tracker'!$A$2:$BF$981,58,FALSE())</f>
        <v/>
      </c>
      <c r="AP139" s="46"/>
      <c r="AQ139" s="46"/>
      <c r="AR139" s="46"/>
      <c r="AS139" s="46"/>
      <c r="AT139" s="46"/>
      <c r="AU139" s="46"/>
      <c r="AV139" s="46"/>
      <c r="AW139" s="46"/>
      <c r="AX139" s="46"/>
      <c r="AY139" s="46"/>
      <c r="AZ139" s="605"/>
      <c r="BA139" s="604" t="e">
        <f>VLOOKUP(AZ139,#REF!,2, FALSE)</f>
        <v>#REF!</v>
      </c>
      <c r="BB139" s="605" t="e">
        <f>VLOOKUP(AZ139,'1) Kpler'!$E$2:$F$500,2,FALSE)</f>
        <v>#N/A</v>
      </c>
      <c r="BC139" s="604"/>
      <c r="BD139" s="605"/>
      <c r="BE139" s="46"/>
      <c r="BF139" s="46"/>
      <c r="BG139" s="605"/>
      <c r="BH139" s="605"/>
      <c r="BI139" s="605"/>
      <c r="BJ139" s="605"/>
    </row>
    <row r="140" spans="2:62" x14ac:dyDescent="0.25">
      <c r="B140" s="589">
        <f>VLOOKUP(F140,'2) Tracker'!$A$3:$O$411,5,FALSE)</f>
        <v>0</v>
      </c>
      <c r="C140" s="589">
        <f>VLOOKUP(F140,'2) Tracker'!$A$3:$O$411,4,FALSE)</f>
        <v>0</v>
      </c>
      <c r="D140" s="563"/>
      <c r="E140" s="563">
        <f>VLOOKUP(F140,'2) Tracker'!$A$3:$O$407,15,FALSE)</f>
        <v>0</v>
      </c>
      <c r="F140" s="569" t="s">
        <v>1399</v>
      </c>
      <c r="G140" s="607">
        <f>VLOOKUP(F140,'2) Tracker'!$A$2:$BO$361,2,FALSE)</f>
        <v>42583</v>
      </c>
      <c r="H140" s="592">
        <f>VLOOKUP(F140,'2) Tracker'!$A$2:$BO$361,3,FALSE)</f>
        <v>84136</v>
      </c>
      <c r="I140" s="594" t="str">
        <f>VLOOKUP(F140,'2) Tracker'!$A$2:$BO$361,9,FALSE)</f>
        <v>BW</v>
      </c>
      <c r="J140" s="594" t="str">
        <f>VLOOKUP(F140,'2) Tracker'!$A$2:$BO$361,12,FALSE)</f>
        <v>Mohammedia</v>
      </c>
      <c r="K140" s="595">
        <f t="shared" si="264"/>
        <v>46157</v>
      </c>
      <c r="L140" s="595">
        <f t="shared" ref="L140:O140" si="279">AE140</f>
        <v>46158</v>
      </c>
      <c r="M140" s="596" t="str">
        <f t="shared" si="279"/>
        <v/>
      </c>
      <c r="N140" s="596" t="str">
        <f t="shared" si="279"/>
        <v/>
      </c>
      <c r="O140" s="597" t="str">
        <f t="shared" si="279"/>
        <v/>
      </c>
      <c r="P140" s="598" t="str">
        <f>IFERROR(IF(VLOOKUP(F140,'Voyage days'!$M$808:$N$819,2,FALSE),"GOA",""),"")</f>
        <v/>
      </c>
      <c r="Q140" s="596">
        <f t="shared" ref="Q140:R140" si="280">AM140</f>
        <v>46145</v>
      </c>
      <c r="R140" s="595">
        <f t="shared" si="280"/>
        <v>46152</v>
      </c>
      <c r="S140" s="595">
        <f t="shared" si="2"/>
        <v>46145</v>
      </c>
      <c r="T140" s="596">
        <f t="shared" si="3"/>
        <v>46153</v>
      </c>
      <c r="U140" s="595" t="str">
        <f t="shared" si="4"/>
        <v/>
      </c>
      <c r="V140" s="595"/>
      <c r="W140" s="595" t="str">
        <f t="shared" si="5"/>
        <v/>
      </c>
      <c r="X140" s="599" t="str">
        <f t="shared" si="6"/>
        <v/>
      </c>
      <c r="Y140" s="614" t="s">
        <v>1614</v>
      </c>
      <c r="Z140" s="600"/>
      <c r="AA140" s="600" t="str">
        <f>VLOOKUP(F140,'2) Tracker'!$A$3:$R$505,18,FALSE)</f>
        <v>Total 16-17 Apr MH</v>
      </c>
      <c r="AB140" s="600" t="str">
        <f>VLOOKUP(F140,'2) Tracker'!$A$3:$Q$505,17,FALSE)</f>
        <v>BGN 26-27 May USG</v>
      </c>
      <c r="AC140" s="601"/>
      <c r="AD140" s="601">
        <f>VLOOKUP(F140,'2) Tracker'!$A$2:$BO$981,37,FALSE)</f>
        <v>46157</v>
      </c>
      <c r="AE140" s="601">
        <f>VLOOKUP(F140,'2) Tracker'!$A$2:$BO$981,40,FALSE)</f>
        <v>46158</v>
      </c>
      <c r="AF140" s="601" t="str">
        <f>VLOOKUP(F140,'2) Tracker'!$A$2:$BO$981,67,FALSE)</f>
        <v/>
      </c>
      <c r="AG140" s="601" t="str">
        <f>VLOOKUP(F140,'2) Tracker'!$A$2:$BO$981,34,FALSE)</f>
        <v/>
      </c>
      <c r="AH140" s="601" t="str">
        <f>VLOOKUP(F140,'2) Tracker'!$A$2:$BN$981,66,FALSE)</f>
        <v/>
      </c>
      <c r="AI140" s="601" t="str">
        <f>VLOOKUP(F140,'2) Tracker'!$A$2:$BO$981,56,FALSE)</f>
        <v/>
      </c>
      <c r="AJ140" s="601" t="str">
        <f>VLOOKUP(F140,'2) Tracker'!$A$2:$BO$981,52,FALSE)</f>
        <v/>
      </c>
      <c r="AK140" s="601">
        <f>VLOOKUP(F140,'2) Tracker'!$A$2:$AQ$981,43,FALSE)</f>
        <v>46153</v>
      </c>
      <c r="AL140" s="601">
        <f>VLOOKUP(F140,'2) Tracker'!$A$2:$BH$981,46,FALSE())</f>
        <v>46145</v>
      </c>
      <c r="AM140" s="601">
        <f>VLOOKUP(F140,'2) Tracker'!$A$2:$BO$981,65,FALSE())</f>
        <v>46145</v>
      </c>
      <c r="AN140" s="601">
        <f>VLOOKUP(F140,'2) Tracker'!$A$2:$BK$981,63,FALSE())</f>
        <v>46152</v>
      </c>
      <c r="AO140" s="601" t="str">
        <f>VLOOKUP(F140,'2) Tracker'!$A$2:$BF$981,58,FALSE())</f>
        <v/>
      </c>
      <c r="AP140" s="46"/>
      <c r="AQ140" s="46"/>
      <c r="AR140" s="46"/>
      <c r="AS140" s="46"/>
      <c r="AT140" s="46"/>
      <c r="AU140" s="46"/>
      <c r="AV140" s="46"/>
      <c r="AW140" s="46"/>
      <c r="AX140" s="46"/>
      <c r="AY140" s="46"/>
      <c r="AZ140" s="605"/>
      <c r="BA140" s="604" t="e">
        <f>VLOOKUP(AZ140,#REF!,2, FALSE)</f>
        <v>#REF!</v>
      </c>
      <c r="BB140" s="605" t="e">
        <f>VLOOKUP(AZ140,'1) Kpler'!$E$2:$F$500,2,FALSE)</f>
        <v>#N/A</v>
      </c>
      <c r="BC140" s="604"/>
      <c r="BD140" s="605"/>
      <c r="BE140" s="46"/>
      <c r="BF140" s="46"/>
      <c r="BG140" s="605"/>
      <c r="BH140" s="605"/>
      <c r="BI140" s="605"/>
      <c r="BJ140" s="605"/>
    </row>
    <row r="141" spans="2:62" x14ac:dyDescent="0.25">
      <c r="B141" s="589">
        <f>VLOOKUP(F141,'2) Tracker'!$A$3:$O$411,5,FALSE)</f>
        <v>0</v>
      </c>
      <c r="C141" s="589">
        <f>VLOOKUP(F141,'2) Tracker'!$A$3:$O$411,4,FALSE)</f>
        <v>0</v>
      </c>
      <c r="D141" s="563"/>
      <c r="E141" s="596">
        <f>VLOOKUP(F141,'2) Tracker'!$A$3:$O$407,15,FALSE)</f>
        <v>0</v>
      </c>
      <c r="F141" s="608" t="s">
        <v>549</v>
      </c>
      <c r="G141" s="591">
        <v>2016</v>
      </c>
      <c r="H141" s="592">
        <f>VLOOKUP(F141,'2) Tracker'!$A$2:$BO$361,3,FALSE)</f>
        <v>84000</v>
      </c>
      <c r="I141" s="593" t="str">
        <f>VLOOKUP(F141,'2) Tracker'!$A$2:$BO$361,9,FALSE)</f>
        <v>ATC&gt;Mercuria</v>
      </c>
      <c r="J141" s="594" t="str">
        <f>VLOOKUP(F141,'2) Tracker'!$A$2:$BO$361,12,FALSE)</f>
        <v>Suez</v>
      </c>
      <c r="K141" s="595">
        <f t="shared" si="264"/>
        <v>46157</v>
      </c>
      <c r="L141" s="595">
        <f t="shared" ref="L141:O141" si="281">AE141</f>
        <v>46160</v>
      </c>
      <c r="M141" s="596" t="str">
        <f t="shared" si="281"/>
        <v/>
      </c>
      <c r="N141" s="596">
        <f t="shared" si="281"/>
        <v>46148</v>
      </c>
      <c r="O141" s="597" t="str">
        <f t="shared" si="281"/>
        <v/>
      </c>
      <c r="P141" s="598" t="str">
        <f>IFERROR(IF(VLOOKUP(F141,'Voyage days'!$M$808:$N$819,2,FALSE),"GOA",""),"")</f>
        <v/>
      </c>
      <c r="Q141" s="596">
        <f t="shared" ref="Q141:R141" si="282">AM141</f>
        <v>46140</v>
      </c>
      <c r="R141" s="596">
        <f t="shared" si="282"/>
        <v>46140.5</v>
      </c>
      <c r="S141" s="595">
        <f t="shared" si="2"/>
        <v>46147</v>
      </c>
      <c r="T141" s="596">
        <f t="shared" si="3"/>
        <v>46154</v>
      </c>
      <c r="U141" s="596" t="str">
        <f t="shared" si="4"/>
        <v/>
      </c>
      <c r="V141" s="595"/>
      <c r="W141" s="595" t="str">
        <f t="shared" si="5"/>
        <v/>
      </c>
      <c r="X141" s="599" t="str">
        <f t="shared" si="6"/>
        <v/>
      </c>
      <c r="Y141" s="606" t="s">
        <v>1606</v>
      </c>
      <c r="Z141" s="600" t="str">
        <f>VLOOKUP(F141,'2) Tracker'!$A$3:$Q$505,16,FALSE)</f>
        <v>drifting off Jizan since 29 Mar</v>
      </c>
      <c r="AA141" s="600" t="str">
        <f>VLOOKUP(F141,'2) Tracker'!$A$3:$R$505,18,FALSE)</f>
        <v>ATC 7 Jan STS Red Sea (G Alkhaleej)</v>
      </c>
      <c r="AB141" s="600">
        <f>VLOOKUP(F141,'2) Tracker'!$A$3:$Q$505,17,FALSE)</f>
        <v>0</v>
      </c>
      <c r="AC141" s="601"/>
      <c r="AD141" s="601">
        <f>VLOOKUP(F141,'2) Tracker'!$A$2:$BO$981,37,FALSE)</f>
        <v>46157</v>
      </c>
      <c r="AE141" s="601">
        <f>VLOOKUP(F141,'2) Tracker'!$A$2:$BO$981,40,FALSE)</f>
        <v>46160</v>
      </c>
      <c r="AF141" s="601" t="str">
        <f>VLOOKUP(F141,'2) Tracker'!$A$2:$BO$981,67,FALSE)</f>
        <v/>
      </c>
      <c r="AG141" s="601">
        <f>VLOOKUP(F141,'2) Tracker'!$A$2:$BO$981,34,FALSE)</f>
        <v>46148</v>
      </c>
      <c r="AH141" s="601" t="str">
        <f>VLOOKUP(F141,'2) Tracker'!$A$2:$BN$981,66,FALSE)</f>
        <v/>
      </c>
      <c r="AI141" s="601" t="str">
        <f>VLOOKUP(F141,'2) Tracker'!$A$2:$BO$981,56,FALSE)</f>
        <v/>
      </c>
      <c r="AJ141" s="601" t="str">
        <f>VLOOKUP(F141,'2) Tracker'!$A$2:$BO$981,52,FALSE)</f>
        <v/>
      </c>
      <c r="AK141" s="601">
        <f>VLOOKUP(F141,'2) Tracker'!$A$2:$AQ$981,43,FALSE)</f>
        <v>46154</v>
      </c>
      <c r="AL141" s="601">
        <f>VLOOKUP(F141,'2) Tracker'!$A$2:$BH$981,46,FALSE())</f>
        <v>46147</v>
      </c>
      <c r="AM141" s="601">
        <f>VLOOKUP(F141,'2) Tracker'!$A$2:$BO$981,65,FALSE())</f>
        <v>46140</v>
      </c>
      <c r="AN141" s="601">
        <f>VLOOKUP(F141,'2) Tracker'!$A$2:$BK$981,63,FALSE())</f>
        <v>46140.5</v>
      </c>
      <c r="AO141" s="601" t="str">
        <f>VLOOKUP(F141,'2) Tracker'!$A$2:$BF$981,58,FALSE())</f>
        <v/>
      </c>
      <c r="AP141" s="46"/>
      <c r="AQ141" s="46"/>
      <c r="AR141" s="46"/>
      <c r="AS141" s="46"/>
      <c r="AT141" s="46"/>
      <c r="AU141" s="46"/>
      <c r="AV141" s="46"/>
      <c r="AW141" s="46"/>
      <c r="AX141" s="46"/>
      <c r="AY141" s="46"/>
      <c r="AZ141" s="605"/>
      <c r="BA141" s="604" t="e">
        <f>VLOOKUP(AZ141,#REF!,2, FALSE)</f>
        <v>#REF!</v>
      </c>
      <c r="BB141" s="605" t="e">
        <f>VLOOKUP(AZ141,'1) Kpler'!$E$2:$F$500,2,FALSE)</f>
        <v>#N/A</v>
      </c>
      <c r="BC141" s="604"/>
      <c r="BD141" s="605"/>
      <c r="BE141" s="46"/>
      <c r="BF141" s="46"/>
      <c r="BG141" s="605"/>
      <c r="BH141" s="605"/>
      <c r="BI141" s="605"/>
      <c r="BJ141" s="605"/>
    </row>
    <row r="142" spans="2:62" x14ac:dyDescent="0.25">
      <c r="B142" s="589" t="str">
        <f>VLOOKUP(F142,'2) Tracker'!$A$3:$O$411,5,FALSE)</f>
        <v>C</v>
      </c>
      <c r="C142" s="589" t="str">
        <f>VLOOKUP(F142,'2) Tracker'!$A$3:$O$411,4,FALSE)</f>
        <v>US</v>
      </c>
      <c r="D142" s="563"/>
      <c r="E142" s="563" t="str">
        <f>VLOOKUP(F142,'2) Tracker'!$A$3:$O$407,15,FALSE)</f>
        <v>eu</v>
      </c>
      <c r="F142" s="604" t="s">
        <v>455</v>
      </c>
      <c r="G142" s="591">
        <f>VLOOKUP(F142,'2) Tracker'!$A$2:$BO$361,2,FALSE)</f>
        <v>2023</v>
      </c>
      <c r="H142" s="592">
        <f>VLOOKUP(F142,'2) Tracker'!$A$2:$BO$361,3,FALSE)</f>
        <v>91000</v>
      </c>
      <c r="I142" s="593" t="str">
        <f>VLOOKUP(F142,'2) Tracker'!$A$2:$BO$361,9,FALSE)</f>
        <v>BGN</v>
      </c>
      <c r="J142" s="594" t="str">
        <f>VLOOKUP(F142,'2) Tracker'!$A$2:$BO$361,12,FALSE)</f>
        <v>Suez</v>
      </c>
      <c r="K142" s="596">
        <f t="shared" si="264"/>
        <v>46157</v>
      </c>
      <c r="L142" s="596">
        <f t="shared" ref="L142:O142" si="283">AE142</f>
        <v>46160</v>
      </c>
      <c r="M142" s="596" t="str">
        <f t="shared" si="283"/>
        <v/>
      </c>
      <c r="N142" s="596">
        <f t="shared" si="283"/>
        <v>46148</v>
      </c>
      <c r="O142" s="597" t="str">
        <f t="shared" si="283"/>
        <v/>
      </c>
      <c r="P142" s="598" t="str">
        <f>IFERROR(IF(VLOOKUP(F142,'Voyage days'!$M$808:$N$819,2,FALSE),"GOA",""),"")</f>
        <v/>
      </c>
      <c r="Q142" s="596">
        <f t="shared" ref="Q142:R142" si="284">AM142</f>
        <v>46140</v>
      </c>
      <c r="R142" s="596">
        <f t="shared" si="284"/>
        <v>46140.5</v>
      </c>
      <c r="S142" s="595">
        <f t="shared" si="2"/>
        <v>46147</v>
      </c>
      <c r="T142" s="596">
        <f t="shared" si="3"/>
        <v>46154</v>
      </c>
      <c r="U142" s="596" t="str">
        <f t="shared" si="4"/>
        <v/>
      </c>
      <c r="V142" s="596"/>
      <c r="W142" s="596" t="str">
        <f t="shared" si="5"/>
        <v/>
      </c>
      <c r="X142" s="599" t="str">
        <f t="shared" si="6"/>
        <v/>
      </c>
      <c r="Y142" s="594"/>
      <c r="Z142" s="600" t="str">
        <f>VLOOKUP(F142,'2) Tracker'!$A$3:$Q$505,16,FALSE)</f>
        <v>ETA Ain Sukhna 18 Apr</v>
      </c>
      <c r="AA142" s="600" t="str">
        <f>VLOOKUP(F142,'2) Tracker'!$A$3:$R$505,18,FALSE)</f>
        <v>BGN 27-28 Mar Nederland</v>
      </c>
      <c r="AB142" s="600">
        <f>VLOOKUP(F142,'2) Tracker'!$A$3:$Q$505,17,FALSE)</f>
        <v>0</v>
      </c>
      <c r="AC142" s="601"/>
      <c r="AD142" s="601">
        <f>VLOOKUP(F142,'2) Tracker'!$A$2:$BO$981,37,FALSE)</f>
        <v>46157</v>
      </c>
      <c r="AE142" s="601">
        <f>VLOOKUP(F142,'2) Tracker'!$A$2:$BO$981,40,FALSE)</f>
        <v>46160</v>
      </c>
      <c r="AF142" s="601" t="str">
        <f>VLOOKUP(F142,'2) Tracker'!$A$2:$BO$981,67,FALSE)</f>
        <v/>
      </c>
      <c r="AG142" s="601">
        <f>VLOOKUP(F142,'2) Tracker'!$A$2:$BO$981,34,FALSE)</f>
        <v>46148</v>
      </c>
      <c r="AH142" s="601" t="str">
        <f>VLOOKUP(F142,'2) Tracker'!$A$2:$BN$981,66,FALSE)</f>
        <v/>
      </c>
      <c r="AI142" s="601" t="str">
        <f>VLOOKUP(F142,'2) Tracker'!$A$2:$BO$981,56,FALSE)</f>
        <v/>
      </c>
      <c r="AJ142" s="601" t="str">
        <f>VLOOKUP(F142,'2) Tracker'!$A$2:$BO$981,52,FALSE)</f>
        <v/>
      </c>
      <c r="AK142" s="601">
        <f>VLOOKUP(F142,'2) Tracker'!$A$2:$AQ$981,43,FALSE)</f>
        <v>46154</v>
      </c>
      <c r="AL142" s="601">
        <f>VLOOKUP(F142,'2) Tracker'!$A$2:$BH$981,46,FALSE())</f>
        <v>46147</v>
      </c>
      <c r="AM142" s="601">
        <f>VLOOKUP(F142,'2) Tracker'!$A$2:$BO$981,65,FALSE())</f>
        <v>46140</v>
      </c>
      <c r="AN142" s="601">
        <f>VLOOKUP(F142,'2) Tracker'!$A$2:$BK$981,63,FALSE())</f>
        <v>46140.5</v>
      </c>
      <c r="AO142" s="601" t="str">
        <f>VLOOKUP(F142,'2) Tracker'!$A$2:$BF$981,58,FALSE())</f>
        <v/>
      </c>
      <c r="AP142" s="46"/>
      <c r="AQ142" s="46"/>
      <c r="AR142" s="46"/>
      <c r="AS142" s="46"/>
      <c r="AT142" s="46"/>
      <c r="AU142" s="46"/>
      <c r="AV142" s="46"/>
      <c r="AW142" s="46"/>
      <c r="AX142" s="46"/>
      <c r="AY142" s="46"/>
      <c r="AZ142" s="563"/>
      <c r="BA142" s="569"/>
      <c r="BB142" s="563"/>
      <c r="BC142" s="569"/>
      <c r="BD142" s="563"/>
      <c r="BE142" s="46"/>
      <c r="BF142" s="46"/>
      <c r="BG142" s="563"/>
      <c r="BH142" s="563"/>
      <c r="BI142" s="563"/>
      <c r="BJ142" s="563"/>
    </row>
    <row r="143" spans="2:62" x14ac:dyDescent="0.25">
      <c r="B143" s="589">
        <f>VLOOKUP(F143,'2) Tracker'!$A$3:$O$411,5,FALSE)</f>
        <v>0</v>
      </c>
      <c r="C143" s="589">
        <f>VLOOKUP(F143,'2) Tracker'!$A$3:$O$411,4,FALSE)</f>
        <v>0</v>
      </c>
      <c r="D143" s="563"/>
      <c r="E143" s="563">
        <f>VLOOKUP(F143,'2) Tracker'!$A$3:$O$407,15,FALSE)</f>
        <v>0</v>
      </c>
      <c r="F143" s="594" t="s">
        <v>504</v>
      </c>
      <c r="G143" s="607">
        <f>VLOOKUP(F143,'2) Tracker'!$A$2:$BO$361,2,FALSE)</f>
        <v>41275</v>
      </c>
      <c r="H143" s="592">
        <f>VLOOKUP(F143,'2) Tracker'!$A$2:$BO$361,3,FALSE)</f>
        <v>80000</v>
      </c>
      <c r="I143" s="600" t="str">
        <f>VLOOKUP(F143,'2) Tracker'!$A$2:$BO$361,9,FALSE)</f>
        <v>Astomos</v>
      </c>
      <c r="J143" s="594" t="str">
        <f>VLOOKUP(F143,'2) Tracker'!$A$2:$BO$361,12,FALSE)</f>
        <v>loads USG</v>
      </c>
      <c r="K143" s="595">
        <f t="shared" ref="K143:L143" si="285">AD144</f>
        <v>46158</v>
      </c>
      <c r="L143" s="595">
        <f t="shared" si="285"/>
        <v>46158</v>
      </c>
      <c r="M143" s="596">
        <f t="shared" ref="M143:O143" si="286">AF143</f>
        <v>46190</v>
      </c>
      <c r="N143" s="596" t="str">
        <f t="shared" si="286"/>
        <v/>
      </c>
      <c r="O143" s="597" t="str">
        <f t="shared" si="286"/>
        <v/>
      </c>
      <c r="P143" s="598" t="str">
        <f>IFERROR(IF(VLOOKUP(F143,'Voyage days'!$M$808:$N$819,2,FALSE),"GOA",""),"")</f>
        <v/>
      </c>
      <c r="Q143" s="596" t="str">
        <f t="shared" ref="Q143:Q344" si="287">AM143</f>
        <v/>
      </c>
      <c r="R143" s="595" t="str">
        <f>AN144</f>
        <v/>
      </c>
      <c r="S143" s="595">
        <f t="shared" si="2"/>
        <v>46178</v>
      </c>
      <c r="T143" s="596" t="str">
        <f t="shared" si="3"/>
        <v/>
      </c>
      <c r="U143" s="595" t="str">
        <f>AI144</f>
        <v/>
      </c>
      <c r="V143" s="570" t="s">
        <v>1577</v>
      </c>
      <c r="W143" s="595" t="str">
        <f>AJ144</f>
        <v/>
      </c>
      <c r="X143" s="599" t="str">
        <f t="shared" si="6"/>
        <v/>
      </c>
      <c r="Y143" s="606"/>
      <c r="Z143" s="600" t="str">
        <f>VLOOKUP(F143,'2) Tracker'!$A$3:$Q$505,16,FALSE)</f>
        <v>ETA Port Elizabeth 21 Apr</v>
      </c>
      <c r="AA143" s="600" t="str">
        <f>VLOOKUP(F143,'2) Tracker'!$A$3:$R$505,18,FALSE)</f>
        <v>Vitol 16-17 May USG</v>
      </c>
      <c r="AB143" s="600">
        <f>VLOOKUP(F143,'2) Tracker'!$A$3:$Q$505,17,FALSE)</f>
        <v>0</v>
      </c>
      <c r="AC143" s="601"/>
      <c r="AD143" s="601">
        <f>VLOOKUP(F143,'2) Tracker'!$A$2:$BO$981,37,FALSE)</f>
        <v>46158</v>
      </c>
      <c r="AE143" s="601">
        <f>VLOOKUP(F143,'2) Tracker'!$A$2:$BO$981,40,FALSE)</f>
        <v>46158</v>
      </c>
      <c r="AF143" s="601">
        <f>VLOOKUP(F143,'2) Tracker'!$A$2:$BO$981,67,FALSE)</f>
        <v>46190</v>
      </c>
      <c r="AG143" s="601" t="str">
        <f>VLOOKUP(F143,'2) Tracker'!$A$2:$BO$981,34,FALSE)</f>
        <v/>
      </c>
      <c r="AH143" s="601" t="str">
        <f>VLOOKUP(F143,'2) Tracker'!$A$2:$BN$981,66,FALSE)</f>
        <v/>
      </c>
      <c r="AI143" s="601" t="str">
        <f>VLOOKUP(F143,'2) Tracker'!$A$2:$BO$981,56,FALSE)</f>
        <v/>
      </c>
      <c r="AJ143" s="601" t="str">
        <f>VLOOKUP(F143,'2) Tracker'!$A$2:$BO$981,52,FALSE)</f>
        <v/>
      </c>
      <c r="AK143" s="601" t="str">
        <f>VLOOKUP(F143,'2) Tracker'!$A$2:$AQ$981,43,FALSE)</f>
        <v/>
      </c>
      <c r="AL143" s="601">
        <f>VLOOKUP(F143,'2) Tracker'!$A$2:$BH$981,46,FALSE())</f>
        <v>46178</v>
      </c>
      <c r="AM143" s="601" t="str">
        <f>VLOOKUP(F143,'2) Tracker'!$A$2:$BO$981,65,FALSE())</f>
        <v/>
      </c>
      <c r="AN143" s="601" t="str">
        <f>VLOOKUP(F143,'2) Tracker'!$A$2:$BK$981,63,FALSE())</f>
        <v/>
      </c>
      <c r="AO143" s="601" t="str">
        <f>VLOOKUP(F143,'2) Tracker'!$A$2:$BF$981,58,FALSE())</f>
        <v/>
      </c>
      <c r="AP143" s="46"/>
      <c r="AQ143" s="46"/>
      <c r="AR143" s="46"/>
      <c r="AS143" s="46"/>
      <c r="AT143" s="46"/>
      <c r="AU143" s="46"/>
      <c r="AV143" s="46"/>
      <c r="AW143" s="46"/>
      <c r="AX143" s="46"/>
      <c r="AY143" s="46"/>
      <c r="AZ143" s="563"/>
      <c r="BA143" s="569"/>
      <c r="BB143" s="563"/>
      <c r="BC143" s="569"/>
      <c r="BD143" s="563"/>
      <c r="BE143" s="46"/>
      <c r="BF143" s="46"/>
      <c r="BG143" s="563"/>
      <c r="BH143" s="563"/>
      <c r="BI143" s="563"/>
      <c r="BJ143" s="563"/>
    </row>
    <row r="144" spans="2:62" x14ac:dyDescent="0.25">
      <c r="B144" s="589" t="str">
        <f>VLOOKUP(F144,'2) Tracker'!$A$3:$O$411,5,FALSE)</f>
        <v>C</v>
      </c>
      <c r="C144" s="589">
        <f>VLOOKUP(F144,'2) Tracker'!$A$3:$O$411,4,FALSE)</f>
        <v>0</v>
      </c>
      <c r="D144" s="563"/>
      <c r="E144" s="563">
        <f>VLOOKUP(F144,'2) Tracker'!$A$3:$O$407,15,FALSE)</f>
        <v>0</v>
      </c>
      <c r="F144" s="569" t="s">
        <v>305</v>
      </c>
      <c r="G144" s="591">
        <f>VLOOKUP(F144,'2) Tracker'!$A$2:$BO$361,2,FALSE)</f>
        <v>2023</v>
      </c>
      <c r="H144" s="592">
        <f>VLOOKUP(F144,'2) Tracker'!$A$2:$BO$361,3,FALSE)</f>
        <v>93000</v>
      </c>
      <c r="I144" s="640" t="str">
        <f>VLOOKUP(F144,'2) Tracker'!$A$2:$BO$361,9,FALSE)</f>
        <v>BW-Sinogas pool</v>
      </c>
      <c r="J144" s="594" t="str">
        <f>VLOOKUP(F144,'2) Tracker'!$A$2:$BO$361,12,FALSE)</f>
        <v>loads USG</v>
      </c>
      <c r="K144" s="596">
        <f t="shared" ref="K144:O144" si="288">AD144</f>
        <v>46158</v>
      </c>
      <c r="L144" s="596">
        <f t="shared" si="288"/>
        <v>46158</v>
      </c>
      <c r="M144" s="596">
        <f t="shared" si="288"/>
        <v>46190</v>
      </c>
      <c r="N144" s="596" t="str">
        <f t="shared" si="288"/>
        <v/>
      </c>
      <c r="O144" s="597" t="str">
        <f t="shared" si="288"/>
        <v/>
      </c>
      <c r="P144" s="598" t="str">
        <f>IFERROR(IF(VLOOKUP(F144,'Voyage days'!$M$808:$N$821,2,FALSE),"GOA",""),"")</f>
        <v/>
      </c>
      <c r="Q144" s="596" t="str">
        <f t="shared" si="287"/>
        <v/>
      </c>
      <c r="R144" s="596" t="str">
        <f t="shared" ref="R144:R344" si="289">AN144</f>
        <v/>
      </c>
      <c r="S144" s="595">
        <f t="shared" si="2"/>
        <v>46178</v>
      </c>
      <c r="T144" s="596" t="str">
        <f t="shared" si="3"/>
        <v/>
      </c>
      <c r="U144" s="596" t="str">
        <f t="shared" ref="U144:U344" si="290">AI144</f>
        <v/>
      </c>
      <c r="V144" s="596"/>
      <c r="W144" s="596" t="str">
        <f t="shared" ref="W144:W344" si="291">AJ144</f>
        <v/>
      </c>
      <c r="X144" s="599" t="str">
        <f t="shared" si="6"/>
        <v/>
      </c>
      <c r="Y144" s="614"/>
      <c r="Z144" s="600" t="str">
        <f>VLOOKUP(F144,'2) Tracker'!$A$3:$Q$505,16,FALSE)</f>
        <v>ETA Nederland 14 May via Cape</v>
      </c>
      <c r="AA144" s="600" t="str">
        <f>VLOOKUP(F144,'2) Tracker'!$A$3:$R$505,18,FALSE)</f>
        <v>SHV 16-17 May Nederland</v>
      </c>
      <c r="AB144" s="600">
        <f>VLOOKUP(F144,'2) Tracker'!$A$3:$Q$505,17,FALSE)</f>
        <v>0</v>
      </c>
      <c r="AC144" s="601"/>
      <c r="AD144" s="601">
        <f>VLOOKUP(F144,'2) Tracker'!$A$2:$BO$981,37,FALSE)</f>
        <v>46158</v>
      </c>
      <c r="AE144" s="601">
        <f>VLOOKUP(F144,'2) Tracker'!$A$2:$BO$981,40,FALSE)</f>
        <v>46158</v>
      </c>
      <c r="AF144" s="601">
        <f>VLOOKUP(F144,'2) Tracker'!$A$2:$BO$981,67,FALSE)</f>
        <v>46190</v>
      </c>
      <c r="AG144" s="601" t="str">
        <f>VLOOKUP(F144,'2) Tracker'!$A$2:$BO$981,34,FALSE)</f>
        <v/>
      </c>
      <c r="AH144" s="601" t="str">
        <f>VLOOKUP(F144,'2) Tracker'!$A$2:$BN$981,66,FALSE)</f>
        <v/>
      </c>
      <c r="AI144" s="601" t="str">
        <f>VLOOKUP(F144,'2) Tracker'!$A$2:$BO$981,56,FALSE)</f>
        <v/>
      </c>
      <c r="AJ144" s="601" t="str">
        <f>VLOOKUP(F144,'2) Tracker'!$A$2:$BO$981,52,FALSE)</f>
        <v/>
      </c>
      <c r="AK144" s="601" t="str">
        <f>VLOOKUP(F144,'2) Tracker'!$A$2:$AQ$981,43,FALSE)</f>
        <v/>
      </c>
      <c r="AL144" s="601">
        <f>VLOOKUP(F144,'2) Tracker'!$A$2:$BH$981,46,FALSE())</f>
        <v>46178</v>
      </c>
      <c r="AM144" s="601" t="str">
        <f>VLOOKUP(F144,'2) Tracker'!$A$2:$BO$981,65,FALSE())</f>
        <v/>
      </c>
      <c r="AN144" s="601" t="str">
        <f>VLOOKUP(F144,'2) Tracker'!$A$2:$BK$981,63,FALSE())</f>
        <v/>
      </c>
      <c r="AO144" s="601" t="str">
        <f>VLOOKUP(F144,'2) Tracker'!$A$2:$BF$981,58,FALSE())</f>
        <v/>
      </c>
      <c r="AP144" s="46"/>
      <c r="AQ144" s="46"/>
      <c r="AR144" s="46"/>
      <c r="AS144" s="46"/>
      <c r="AT144" s="46"/>
      <c r="AU144" s="46"/>
      <c r="AV144" s="46"/>
      <c r="AW144" s="46"/>
      <c r="AX144" s="46"/>
      <c r="AY144" s="46"/>
      <c r="AZ144" s="605"/>
      <c r="BA144" s="604" t="e">
        <f>VLOOKUP(AZ144,#REF!,2, FALSE)</f>
        <v>#REF!</v>
      </c>
      <c r="BB144" s="605" t="e">
        <f>VLOOKUP(AZ144,'1) Kpler'!$E$2:$F$500,2,FALSE)</f>
        <v>#N/A</v>
      </c>
      <c r="BC144" s="604"/>
      <c r="BD144" s="605"/>
      <c r="BE144" s="46"/>
      <c r="BF144" s="46"/>
      <c r="BG144" s="605"/>
      <c r="BH144" s="605"/>
      <c r="BI144" s="605"/>
      <c r="BJ144" s="605"/>
    </row>
    <row r="145" spans="2:62" x14ac:dyDescent="0.25">
      <c r="B145" s="589">
        <f>VLOOKUP(F145,'2) Tracker'!$A$3:$O$411,5,FALSE)</f>
        <v>0</v>
      </c>
      <c r="C145" s="589">
        <f>VLOOKUP(F145,'2) Tracker'!$A$3:$O$411,4,FALSE)</f>
        <v>0</v>
      </c>
      <c r="D145" s="563"/>
      <c r="E145" s="563">
        <f>VLOOKUP(F145,'2) Tracker'!$A$3:$O$407,15,FALSE)</f>
        <v>0</v>
      </c>
      <c r="F145" s="604" t="s">
        <v>229</v>
      </c>
      <c r="G145" s="607">
        <f>VLOOKUP(F145,'2) Tracker'!$A$2:$BO$361,2,FALSE)</f>
        <v>42752</v>
      </c>
      <c r="H145" s="592">
        <f>VLOOKUP(F145,'2) Tracker'!$A$2:$BO$361,3,FALSE)</f>
        <v>81653</v>
      </c>
      <c r="I145" s="594" t="str">
        <f>VLOOKUP(F145,'2) Tracker'!$A$2:$BO$361,9,FALSE)</f>
        <v>BW</v>
      </c>
      <c r="J145" s="594" t="str">
        <f>VLOOKUP(F145,'2) Tracker'!$A$2:$BO$361,12,FALSE)</f>
        <v>loads USG</v>
      </c>
      <c r="K145" s="595">
        <f t="shared" ref="K145:O145" si="292">AD145</f>
        <v>46158</v>
      </c>
      <c r="L145" s="595">
        <f t="shared" si="292"/>
        <v>46158</v>
      </c>
      <c r="M145" s="596">
        <f t="shared" si="292"/>
        <v>46190</v>
      </c>
      <c r="N145" s="596" t="str">
        <f t="shared" si="292"/>
        <v/>
      </c>
      <c r="O145" s="597" t="str">
        <f t="shared" si="292"/>
        <v/>
      </c>
      <c r="P145" s="598" t="str">
        <f>IFERROR(IF(VLOOKUP(F145,'Voyage days'!$M$808:$N$819,2,FALSE),"GOA",""),"")</f>
        <v/>
      </c>
      <c r="Q145" s="596" t="str">
        <f t="shared" si="287"/>
        <v/>
      </c>
      <c r="R145" s="595" t="str">
        <f t="shared" si="289"/>
        <v/>
      </c>
      <c r="S145" s="595">
        <f t="shared" si="2"/>
        <v>46178</v>
      </c>
      <c r="T145" s="596" t="str">
        <f t="shared" si="3"/>
        <v/>
      </c>
      <c r="U145" s="595" t="str">
        <f t="shared" si="290"/>
        <v/>
      </c>
      <c r="V145" s="596"/>
      <c r="W145" s="596" t="str">
        <f t="shared" si="291"/>
        <v/>
      </c>
      <c r="X145" s="599" t="str">
        <f t="shared" si="6"/>
        <v/>
      </c>
      <c r="Y145" s="614"/>
      <c r="Z145" s="600" t="str">
        <f>VLOOKUP(F145,'2) Tracker'!$A$3:$Q$505,16,FALSE)</f>
        <v>ETA Balboa 11 May, programmed</v>
      </c>
      <c r="AA145" s="600" t="str">
        <f>VLOOKUP(F145,'2) Tracker'!$A$3:$R$505,18,FALSE)</f>
        <v>Altagas 27-28 Mar RIPET</v>
      </c>
      <c r="AB145" s="600">
        <f>VLOOKUP(F145,'2) Tracker'!$A$3:$Q$505,17,FALSE)</f>
        <v>0</v>
      </c>
      <c r="AC145" s="601"/>
      <c r="AD145" s="601">
        <f>VLOOKUP(F145,'2) Tracker'!$A$2:$BO$981,37,FALSE)</f>
        <v>46158</v>
      </c>
      <c r="AE145" s="601">
        <f>VLOOKUP(F145,'2) Tracker'!$A$2:$BO$981,40,FALSE)</f>
        <v>46158</v>
      </c>
      <c r="AF145" s="601">
        <f>VLOOKUP(F145,'2) Tracker'!$A$2:$BO$981,67,FALSE)</f>
        <v>46190</v>
      </c>
      <c r="AG145" s="601" t="str">
        <f>VLOOKUP(F145,'2) Tracker'!$A$2:$BO$981,34,FALSE)</f>
        <v/>
      </c>
      <c r="AH145" s="601" t="str">
        <f>VLOOKUP(F145,'2) Tracker'!$A$2:$BN$981,66,FALSE)</f>
        <v/>
      </c>
      <c r="AI145" s="601" t="str">
        <f>VLOOKUP(F145,'2) Tracker'!$A$2:$BO$981,56,FALSE)</f>
        <v/>
      </c>
      <c r="AJ145" s="601" t="str">
        <f>VLOOKUP(F145,'2) Tracker'!$A$2:$BO$981,52,FALSE)</f>
        <v/>
      </c>
      <c r="AK145" s="601" t="str">
        <f>VLOOKUP(F145,'2) Tracker'!$A$2:$AQ$981,43,FALSE)</f>
        <v/>
      </c>
      <c r="AL145" s="601">
        <f>VLOOKUP(F145,'2) Tracker'!$A$2:$BH$981,46,FALSE())</f>
        <v>46178</v>
      </c>
      <c r="AM145" s="601" t="str">
        <f>VLOOKUP(F145,'2) Tracker'!$A$2:$BO$981,65,FALSE())</f>
        <v/>
      </c>
      <c r="AN145" s="601" t="str">
        <f>VLOOKUP(F145,'2) Tracker'!$A$2:$BK$981,63,FALSE())</f>
        <v/>
      </c>
      <c r="AO145" s="601" t="str">
        <f>VLOOKUP(F145,'2) Tracker'!$A$2:$BF$981,58,FALSE())</f>
        <v/>
      </c>
      <c r="AP145" s="46"/>
      <c r="AQ145" s="46"/>
      <c r="AR145" s="46"/>
      <c r="AS145" s="46"/>
      <c r="AT145" s="46"/>
      <c r="AU145" s="46"/>
      <c r="AV145" s="46"/>
      <c r="AW145" s="46"/>
      <c r="AX145" s="46"/>
      <c r="AY145" s="46"/>
      <c r="AZ145" s="563"/>
      <c r="BA145" s="604" t="e">
        <f>VLOOKUP(AZ145,#REF!,2, FALSE)</f>
        <v>#REF!</v>
      </c>
      <c r="BB145" s="605" t="e">
        <f>VLOOKUP(AZ145,'1) Kpler'!$E$2:$F$500,2,FALSE)</f>
        <v>#N/A</v>
      </c>
      <c r="BC145" s="569"/>
      <c r="BD145" s="563"/>
      <c r="BE145" s="46"/>
      <c r="BF145" s="46"/>
      <c r="BG145" s="563"/>
      <c r="BH145" s="563"/>
      <c r="BI145" s="563"/>
      <c r="BJ145" s="563"/>
    </row>
    <row r="146" spans="2:62" x14ac:dyDescent="0.25">
      <c r="B146" s="589">
        <f>VLOOKUP(F146,'2) Tracker'!$A$3:$O$411,5,FALSE)</f>
        <v>0</v>
      </c>
      <c r="C146" s="589">
        <f>VLOOKUP(F146,'2) Tracker'!$A$3:$O$411,4,FALSE)</f>
        <v>0</v>
      </c>
      <c r="D146" s="563"/>
      <c r="E146" s="563">
        <f>VLOOKUP(F146,'2) Tracker'!$A$3:$O$407,15,FALSE)</f>
        <v>0</v>
      </c>
      <c r="F146" s="608" t="s">
        <v>467</v>
      </c>
      <c r="G146" s="605">
        <f>VLOOKUP(F146,'2) Tracker'!$A$2:$BO$361,2,FALSE)</f>
        <v>2019</v>
      </c>
      <c r="H146" s="592">
        <f>VLOOKUP(F146,'2) Tracker'!$A$2:$BO$361,3,FALSE)</f>
        <v>83000</v>
      </c>
      <c r="I146" s="593" t="str">
        <f>VLOOKUP(F146,'2) Tracker'!$A$2:$BO$361,9,FALSE)</f>
        <v>Total</v>
      </c>
      <c r="J146" s="594" t="str">
        <f>VLOOKUP(F146,'2) Tracker'!$A$2:$BO$361,12,FALSE)</f>
        <v>Eu</v>
      </c>
      <c r="K146" s="595">
        <f t="shared" ref="K146:O146" si="293">AD146</f>
        <v>46159</v>
      </c>
      <c r="L146" s="595">
        <f t="shared" si="293"/>
        <v>46160</v>
      </c>
      <c r="M146" s="596" t="str">
        <f t="shared" si="293"/>
        <v/>
      </c>
      <c r="N146" s="597" t="str">
        <f t="shared" si="293"/>
        <v/>
      </c>
      <c r="O146" s="597" t="str">
        <f t="shared" si="293"/>
        <v/>
      </c>
      <c r="P146" s="598" t="str">
        <f>IFERROR(IF(VLOOKUP(F146,'Voyage days'!$M$808:$N$819,2,FALSE),"GOA",""),"")</f>
        <v/>
      </c>
      <c r="Q146" s="596">
        <f t="shared" si="287"/>
        <v>46146</v>
      </c>
      <c r="R146" s="596">
        <f t="shared" si="289"/>
        <v>46159</v>
      </c>
      <c r="S146" s="595">
        <f t="shared" si="2"/>
        <v>46147</v>
      </c>
      <c r="T146" s="596">
        <f t="shared" si="3"/>
        <v>46156</v>
      </c>
      <c r="U146" s="596" t="str">
        <f t="shared" si="290"/>
        <v/>
      </c>
      <c r="V146" s="596"/>
      <c r="W146" s="596" t="str">
        <f t="shared" si="291"/>
        <v/>
      </c>
      <c r="X146" s="599" t="str">
        <f t="shared" si="6"/>
        <v/>
      </c>
      <c r="Y146" s="594"/>
      <c r="Z146" s="600" t="str">
        <f>VLOOKUP(F146,'2) Tracker'!$A$3:$Q$505,16,FALSE)</f>
        <v>ETA Terneuzen 17 Apr</v>
      </c>
      <c r="AA146" s="600" t="str">
        <f>VLOOKUP(F146,'2) Tracker'!$A$3:$R$505,18,FALSE)</f>
        <v>Total 31 Mar Nederland</v>
      </c>
      <c r="AB146" s="600">
        <f>VLOOKUP(F146,'2) Tracker'!$A$3:$Q$505,17,FALSE)</f>
        <v>0</v>
      </c>
      <c r="AC146" s="601"/>
      <c r="AD146" s="601">
        <f>VLOOKUP(F146,'2) Tracker'!$A$2:$BO$981,37,FALSE)</f>
        <v>46159</v>
      </c>
      <c r="AE146" s="601">
        <f>VLOOKUP(F146,'2) Tracker'!$A$2:$BO$981,40,FALSE)</f>
        <v>46160</v>
      </c>
      <c r="AF146" s="601" t="str">
        <f>VLOOKUP(F146,'2) Tracker'!$A$2:$BO$981,67,FALSE)</f>
        <v/>
      </c>
      <c r="AG146" s="601" t="str">
        <f>VLOOKUP(F146,'2) Tracker'!$A$2:$BO$981,34,FALSE)</f>
        <v/>
      </c>
      <c r="AH146" s="601" t="str">
        <f>VLOOKUP(F146,'2) Tracker'!$A$2:$BN$981,66,FALSE)</f>
        <v/>
      </c>
      <c r="AI146" s="601" t="str">
        <f>VLOOKUP(F146,'2) Tracker'!$A$2:$BO$981,56,FALSE)</f>
        <v/>
      </c>
      <c r="AJ146" s="601" t="str">
        <f>VLOOKUP(F146,'2) Tracker'!$A$2:$BO$981,52,FALSE)</f>
        <v/>
      </c>
      <c r="AK146" s="601">
        <f>VLOOKUP(F146,'2) Tracker'!$A$2:$AQ$981,43,FALSE)</f>
        <v>46156</v>
      </c>
      <c r="AL146" s="601">
        <f>VLOOKUP(F146,'2) Tracker'!$A$2:$BH$981,46,FALSE())</f>
        <v>46147</v>
      </c>
      <c r="AM146" s="601">
        <f>VLOOKUP(F146,'2) Tracker'!$A$2:$BO$981,65,FALSE())</f>
        <v>46146</v>
      </c>
      <c r="AN146" s="601">
        <f>VLOOKUP(F146,'2) Tracker'!$A$2:$BK$981,63,FALSE())</f>
        <v>46159</v>
      </c>
      <c r="AO146" s="601" t="str">
        <f>VLOOKUP(F146,'2) Tracker'!$A$2:$BF$981,58,FALSE())</f>
        <v/>
      </c>
      <c r="AP146" s="46"/>
      <c r="AQ146" s="46"/>
      <c r="AR146" s="46"/>
      <c r="AS146" s="46"/>
      <c r="AT146" s="46"/>
      <c r="AU146" s="46"/>
      <c r="AV146" s="46"/>
      <c r="AW146" s="46"/>
      <c r="AX146" s="46"/>
      <c r="AY146" s="46"/>
      <c r="AZ146" s="605"/>
      <c r="BA146" s="604" t="e">
        <f>VLOOKUP(AZ146,#REF!,2, FALSE)</f>
        <v>#REF!</v>
      </c>
      <c r="BB146" s="605" t="e">
        <f>VLOOKUP(AZ146,'1) Kpler'!$E$2:$F$500,2,FALSE)</f>
        <v>#N/A</v>
      </c>
      <c r="BC146" s="604"/>
      <c r="BD146" s="605"/>
      <c r="BE146" s="46"/>
      <c r="BF146" s="46"/>
      <c r="BG146" s="605"/>
      <c r="BH146" s="605"/>
      <c r="BI146" s="605"/>
      <c r="BJ146" s="605"/>
    </row>
    <row r="147" spans="2:62" x14ac:dyDescent="0.25">
      <c r="B147" s="589">
        <f>VLOOKUP(F147,'2) Tracker'!$A$3:$O$411,5,FALSE)</f>
        <v>0</v>
      </c>
      <c r="C147" s="589">
        <f>VLOOKUP(F147,'2) Tracker'!$A$3:$O$411,4,FALSE)</f>
        <v>0</v>
      </c>
      <c r="D147" s="563"/>
      <c r="E147" s="563">
        <f>VLOOKUP(F147,'2) Tracker'!$A$3:$O$407,15,FALSE)</f>
        <v>0</v>
      </c>
      <c r="F147" s="569" t="s">
        <v>560</v>
      </c>
      <c r="G147" s="591">
        <f>VLOOKUP(F147,'2) Tracker'!$A$2:$BO$361,2,FALSE)</f>
        <v>2020</v>
      </c>
      <c r="H147" s="592">
        <f>VLOOKUP(F147,'2) Tracker'!$A$2:$BO$361,3,FALSE)</f>
        <v>84000</v>
      </c>
      <c r="I147" s="600" t="str">
        <f>VLOOKUP(F147,'2) Tracker'!$A$2:$BO$361,9,FALSE)</f>
        <v>Petredec</v>
      </c>
      <c r="J147" s="594" t="str">
        <f>VLOOKUP(F147,'2) Tracker'!$A$2:$BO$361,12,FALSE)</f>
        <v>loads USG</v>
      </c>
      <c r="K147" s="596">
        <f t="shared" ref="K147:O147" si="294">AD147</f>
        <v>46159</v>
      </c>
      <c r="L147" s="596">
        <f t="shared" si="294"/>
        <v>46159</v>
      </c>
      <c r="M147" s="596">
        <f t="shared" si="294"/>
        <v>46191</v>
      </c>
      <c r="N147" s="596" t="str">
        <f t="shared" si="294"/>
        <v/>
      </c>
      <c r="O147" s="597" t="str">
        <f t="shared" si="294"/>
        <v/>
      </c>
      <c r="P147" s="598" t="str">
        <f>IFERROR(IF(VLOOKUP(F147,'Voyage days'!$M$808:$N$819,2,FALSE),"GOA",""),"")</f>
        <v/>
      </c>
      <c r="Q147" s="596" t="str">
        <f t="shared" si="287"/>
        <v/>
      </c>
      <c r="R147" s="596" t="str">
        <f t="shared" si="289"/>
        <v/>
      </c>
      <c r="S147" s="595">
        <f t="shared" si="2"/>
        <v>46179</v>
      </c>
      <c r="T147" s="596" t="str">
        <f t="shared" si="3"/>
        <v/>
      </c>
      <c r="U147" s="596" t="str">
        <f t="shared" si="290"/>
        <v/>
      </c>
      <c r="V147" s="596"/>
      <c r="W147" s="596" t="str">
        <f t="shared" si="291"/>
        <v/>
      </c>
      <c r="X147" s="599" t="str">
        <f t="shared" si="6"/>
        <v/>
      </c>
      <c r="Y147" s="594"/>
      <c r="Z147" s="600" t="str">
        <f>VLOOKUP(F147,'2) Tracker'!$A$3:$Q$505,16,FALSE)</f>
        <v>ETA Singapore 10 Apr</v>
      </c>
      <c r="AA147" s="600" t="str">
        <f>VLOOKUP(F147,'2) Tracker'!$A$3:$R$505,18,FALSE)</f>
        <v>Borealis 17-18 May USG</v>
      </c>
      <c r="AB147" s="600">
        <f>VLOOKUP(F147,'2) Tracker'!$A$3:$Q$505,17,FALSE)</f>
        <v>0</v>
      </c>
      <c r="AC147" s="601"/>
      <c r="AD147" s="601">
        <f>VLOOKUP(F147,'2) Tracker'!$A$2:$BO$981,37,FALSE)</f>
        <v>46159</v>
      </c>
      <c r="AE147" s="601">
        <f>VLOOKUP(F147,'2) Tracker'!$A$2:$BO$981,40,FALSE)</f>
        <v>46159</v>
      </c>
      <c r="AF147" s="601">
        <f>VLOOKUP(F147,'2) Tracker'!$A$2:$BO$981,67,FALSE)</f>
        <v>46191</v>
      </c>
      <c r="AG147" s="601" t="str">
        <f>VLOOKUP(F147,'2) Tracker'!$A$2:$BO$981,34,FALSE)</f>
        <v/>
      </c>
      <c r="AH147" s="601" t="str">
        <f>VLOOKUP(F147,'2) Tracker'!$A$2:$BN$981,66,FALSE)</f>
        <v/>
      </c>
      <c r="AI147" s="601" t="str">
        <f>VLOOKUP(F147,'2) Tracker'!$A$2:$BO$981,56,FALSE)</f>
        <v/>
      </c>
      <c r="AJ147" s="601" t="str">
        <f>VLOOKUP(F147,'2) Tracker'!$A$2:$BO$981,52,FALSE)</f>
        <v/>
      </c>
      <c r="AK147" s="601" t="str">
        <f>VLOOKUP(F147,'2) Tracker'!$A$2:$AQ$981,43,FALSE)</f>
        <v/>
      </c>
      <c r="AL147" s="601">
        <f>VLOOKUP(F147,'2) Tracker'!$A$2:$BH$981,46,FALSE())</f>
        <v>46179</v>
      </c>
      <c r="AM147" s="601" t="str">
        <f>VLOOKUP(F147,'2) Tracker'!$A$2:$BO$981,65,FALSE())</f>
        <v/>
      </c>
      <c r="AN147" s="601" t="str">
        <f>VLOOKUP(F147,'2) Tracker'!$A$2:$BK$981,63,FALSE())</f>
        <v/>
      </c>
      <c r="AO147" s="601" t="str">
        <f>VLOOKUP(F147,'2) Tracker'!$A$2:$BF$981,58,FALSE())</f>
        <v/>
      </c>
      <c r="AP147" s="46"/>
      <c r="AQ147" s="46"/>
      <c r="AR147" s="46"/>
      <c r="AS147" s="46"/>
      <c r="AT147" s="46"/>
      <c r="AU147" s="46"/>
      <c r="AV147" s="641" t="s">
        <v>1557</v>
      </c>
      <c r="AW147" s="46"/>
      <c r="AX147" s="46"/>
      <c r="AY147" s="46"/>
      <c r="AZ147" s="605"/>
      <c r="BA147" s="604" t="e">
        <f>VLOOKUP(AZ147,#REF!,2, FALSE)</f>
        <v>#REF!</v>
      </c>
      <c r="BB147" s="605" t="e">
        <f>VLOOKUP(AZ147,'1) Kpler'!$E$2:$F$500,2,FALSE)</f>
        <v>#N/A</v>
      </c>
      <c r="BC147" s="604" t="s">
        <v>1588</v>
      </c>
      <c r="BD147" s="605"/>
      <c r="BE147" s="46"/>
      <c r="BF147" s="46"/>
      <c r="BG147" s="605"/>
      <c r="BH147" s="605"/>
      <c r="BI147" s="605"/>
      <c r="BJ147" s="605"/>
    </row>
    <row r="148" spans="2:62" x14ac:dyDescent="0.25">
      <c r="B148" s="589">
        <f>VLOOKUP(F148,'2) Tracker'!$A$3:$O$411,5,FALSE)</f>
        <v>0</v>
      </c>
      <c r="C148" s="589" t="str">
        <f>VLOOKUP(F148,'2) Tracker'!$A$3:$O$411,4,FALSE)</f>
        <v>US</v>
      </c>
      <c r="D148" s="563"/>
      <c r="E148" s="563">
        <f>VLOOKUP(F148,'2) Tracker'!$A$3:$O$407,15,FALSE)</f>
        <v>0</v>
      </c>
      <c r="F148" s="594" t="s">
        <v>48</v>
      </c>
      <c r="G148" s="607">
        <f>VLOOKUP(F148,'2) Tracker'!$A$2:$BO$361,2,FALSE)</f>
        <v>40193</v>
      </c>
      <c r="H148" s="592">
        <f>VLOOKUP(F148,'2) Tracker'!$A$2:$BO$361,3,FALSE)</f>
        <v>83278</v>
      </c>
      <c r="I148" s="600" t="str">
        <f>VLOOKUP(F148,'2) Tracker'!$A$2:$BO$361,9,FALSE)</f>
        <v>Helios</v>
      </c>
      <c r="J148" s="594" t="str">
        <f>VLOOKUP(F148,'2) Tracker'!$A$2:$BO$361,12,FALSE)</f>
        <v>loads USG</v>
      </c>
      <c r="K148" s="596">
        <f t="shared" ref="K148:O148" si="295">AD148</f>
        <v>46159</v>
      </c>
      <c r="L148" s="596">
        <f t="shared" si="295"/>
        <v>46159</v>
      </c>
      <c r="M148" s="596">
        <f t="shared" si="295"/>
        <v>46191</v>
      </c>
      <c r="N148" s="597" t="str">
        <f t="shared" si="295"/>
        <v/>
      </c>
      <c r="O148" s="597" t="str">
        <f t="shared" si="295"/>
        <v/>
      </c>
      <c r="P148" s="598" t="str">
        <f>IFERROR(IF(VLOOKUP(F148,'Voyage days'!$M$808:$N$819,2,FALSE),"GOA",""),"")</f>
        <v/>
      </c>
      <c r="Q148" s="596" t="str">
        <f t="shared" si="287"/>
        <v/>
      </c>
      <c r="R148" s="596" t="str">
        <f t="shared" si="289"/>
        <v/>
      </c>
      <c r="S148" s="595">
        <f t="shared" si="2"/>
        <v>46179</v>
      </c>
      <c r="T148" s="596" t="str">
        <f t="shared" si="3"/>
        <v/>
      </c>
      <c r="U148" s="596" t="str">
        <f t="shared" si="290"/>
        <v/>
      </c>
      <c r="V148" s="596"/>
      <c r="W148" s="596" t="str">
        <f t="shared" si="291"/>
        <v/>
      </c>
      <c r="X148" s="599" t="str">
        <f t="shared" si="6"/>
        <v/>
      </c>
      <c r="Y148" s="594"/>
      <c r="Z148" s="600" t="str">
        <f>VLOOKUP(F148,'2) Tracker'!$A$3:$Q$505,16,FALSE)</f>
        <v>ETA USG 17 May via Cape</v>
      </c>
      <c r="AA148" s="600" t="str">
        <f>VLOOKUP(F148,'2) Tracker'!$A$3:$R$505,18,FALSE)</f>
        <v>Itochu 15-16 May USG</v>
      </c>
      <c r="AB148" s="600">
        <f>VLOOKUP(F148,'2) Tracker'!$A$3:$Q$505,17,FALSE)</f>
        <v>0</v>
      </c>
      <c r="AC148" s="601"/>
      <c r="AD148" s="601">
        <f>VLOOKUP(F148,'2) Tracker'!$A$2:$BO$981,37,FALSE)</f>
        <v>46159</v>
      </c>
      <c r="AE148" s="601">
        <f>VLOOKUP(F148,'2) Tracker'!$A$2:$BO$981,40,FALSE)</f>
        <v>46159</v>
      </c>
      <c r="AF148" s="601">
        <f>VLOOKUP(F148,'2) Tracker'!$A$2:$BO$981,67,FALSE)</f>
        <v>46191</v>
      </c>
      <c r="AG148" s="601" t="str">
        <f>VLOOKUP(F148,'2) Tracker'!$A$2:$BO$981,34,FALSE)</f>
        <v/>
      </c>
      <c r="AH148" s="601" t="str">
        <f>VLOOKUP(F148,'2) Tracker'!$A$2:$BN$981,66,FALSE)</f>
        <v/>
      </c>
      <c r="AI148" s="601" t="str">
        <f>VLOOKUP(F148,'2) Tracker'!$A$2:$BO$981,56,FALSE)</f>
        <v/>
      </c>
      <c r="AJ148" s="601" t="str">
        <f>VLOOKUP(F148,'2) Tracker'!$A$2:$BO$981,52,FALSE)</f>
        <v/>
      </c>
      <c r="AK148" s="601" t="str">
        <f>VLOOKUP(F148,'2) Tracker'!$A$2:$AQ$981,43,FALSE)</f>
        <v/>
      </c>
      <c r="AL148" s="601">
        <f>VLOOKUP(F148,'2) Tracker'!$A$2:$BH$981,46,FALSE())</f>
        <v>46179</v>
      </c>
      <c r="AM148" s="601" t="str">
        <f>VLOOKUP(F148,'2) Tracker'!$A$2:$BO$981,65,FALSE())</f>
        <v/>
      </c>
      <c r="AN148" s="601" t="str">
        <f>VLOOKUP(F148,'2) Tracker'!$A$2:$BK$981,63,FALSE())</f>
        <v/>
      </c>
      <c r="AO148" s="601" t="str">
        <f>VLOOKUP(F148,'2) Tracker'!$A$2:$BF$981,58,FALSE())</f>
        <v/>
      </c>
      <c r="AP148" s="46"/>
      <c r="AQ148" s="46"/>
      <c r="AR148" s="46"/>
      <c r="AS148" s="46"/>
      <c r="AT148" s="46"/>
      <c r="AU148" s="46"/>
      <c r="AV148" s="46"/>
      <c r="AW148" s="46"/>
      <c r="AX148" s="46"/>
      <c r="AY148" s="46"/>
      <c r="AZ148" s="563"/>
      <c r="BA148" s="604" t="e">
        <f>VLOOKUP(AZ148,#REF!,2, FALSE)</f>
        <v>#REF!</v>
      </c>
      <c r="BB148" s="605" t="e">
        <f>VLOOKUP(AZ148,'1) Kpler'!$E$2:$F$500,2,FALSE)</f>
        <v>#N/A</v>
      </c>
      <c r="BC148" s="569"/>
      <c r="BD148" s="563"/>
      <c r="BE148" s="46"/>
      <c r="BF148" s="46"/>
      <c r="BG148" s="563"/>
      <c r="BH148" s="563"/>
      <c r="BI148" s="563"/>
      <c r="BJ148" s="563"/>
    </row>
    <row r="149" spans="2:62" x14ac:dyDescent="0.25">
      <c r="B149" s="589">
        <f>VLOOKUP(F149,'2) Tracker'!$A$3:$O$411,5,FALSE)</f>
        <v>0</v>
      </c>
      <c r="C149" s="589">
        <f>VLOOKUP(F149,'2) Tracker'!$A$3:$O$411,4,FALSE)</f>
        <v>0</v>
      </c>
      <c r="D149" s="563" t="s">
        <v>1569</v>
      </c>
      <c r="E149" s="563">
        <f>VLOOKUP(F149,'2) Tracker'!$A$3:$O$407,15,FALSE)</f>
        <v>0</v>
      </c>
      <c r="F149" s="590" t="s">
        <v>533</v>
      </c>
      <c r="G149" s="591">
        <v>2017</v>
      </c>
      <c r="H149" s="592">
        <f>VLOOKUP(F149,'2) Tracker'!$A$2:$BO$361,3,FALSE)</f>
        <v>78700</v>
      </c>
      <c r="I149" s="600" t="str">
        <f>VLOOKUP(F149,'2) Tracker'!$A$2:$BO$361,9,FALSE)</f>
        <v>Petredec</v>
      </c>
      <c r="J149" s="594" t="str">
        <f>VLOOKUP(F149,'2) Tracker'!$A$2:$BO$361,12,FALSE)</f>
        <v>loads USG</v>
      </c>
      <c r="K149" s="595">
        <f t="shared" ref="K149:O149" si="296">AD149</f>
        <v>46160</v>
      </c>
      <c r="L149" s="595">
        <f t="shared" si="296"/>
        <v>46160</v>
      </c>
      <c r="M149" s="596">
        <f t="shared" si="296"/>
        <v>46192</v>
      </c>
      <c r="N149" s="596" t="str">
        <f t="shared" si="296"/>
        <v/>
      </c>
      <c r="O149" s="597" t="str">
        <f t="shared" si="296"/>
        <v/>
      </c>
      <c r="P149" s="598" t="str">
        <f>IFERROR(IF(VLOOKUP(F149,'Voyage days'!$M$808:$N$819,2,FALSE),"GOA",""),"")</f>
        <v/>
      </c>
      <c r="Q149" s="596" t="str">
        <f t="shared" si="287"/>
        <v/>
      </c>
      <c r="R149" s="595" t="str">
        <f t="shared" si="289"/>
        <v/>
      </c>
      <c r="S149" s="595">
        <f t="shared" si="2"/>
        <v>46180</v>
      </c>
      <c r="T149" s="596" t="str">
        <f t="shared" si="3"/>
        <v/>
      </c>
      <c r="U149" s="595" t="str">
        <f t="shared" si="290"/>
        <v/>
      </c>
      <c r="V149" s="596"/>
      <c r="W149" s="596" t="str">
        <f t="shared" si="291"/>
        <v/>
      </c>
      <c r="X149" s="599" t="str">
        <f t="shared" si="6"/>
        <v/>
      </c>
      <c r="Y149" s="594"/>
      <c r="Z149" s="600" t="str">
        <f>VLOOKUP(F149,'2) Tracker'!$A$3:$Q$505,16,FALSE)</f>
        <v>@ 2nd port Niigata 14 Apr</v>
      </c>
      <c r="AA149" s="600" t="str">
        <f>VLOOKUP(F149,'2) Tracker'!$A$3:$R$505,18,FALSE)</f>
        <v>Exxon 18-19 May USG</v>
      </c>
      <c r="AB149" s="600">
        <f>VLOOKUP(F149,'2) Tracker'!$A$3:$Q$505,17,FALSE)</f>
        <v>0</v>
      </c>
      <c r="AC149" s="601"/>
      <c r="AD149" s="601">
        <f>VLOOKUP(F149,'2) Tracker'!$A$2:$BO$981,37,FALSE)</f>
        <v>46160</v>
      </c>
      <c r="AE149" s="601">
        <f>VLOOKUP(F149,'2) Tracker'!$A$2:$BO$981,40,FALSE)</f>
        <v>46160</v>
      </c>
      <c r="AF149" s="601">
        <f>VLOOKUP(F149,'2) Tracker'!$A$2:$BO$981,67,FALSE)</f>
        <v>46192</v>
      </c>
      <c r="AG149" s="601" t="str">
        <f>VLOOKUP(F149,'2) Tracker'!$A$2:$BO$981,34,FALSE)</f>
        <v/>
      </c>
      <c r="AH149" s="601" t="str">
        <f>VLOOKUP(F149,'2) Tracker'!$A$2:$BN$981,66,FALSE)</f>
        <v/>
      </c>
      <c r="AI149" s="601" t="str">
        <f>VLOOKUP(F149,'2) Tracker'!$A$2:$BO$981,56,FALSE)</f>
        <v/>
      </c>
      <c r="AJ149" s="601" t="str">
        <f>VLOOKUP(F149,'2) Tracker'!$A$2:$BO$981,52,FALSE)</f>
        <v/>
      </c>
      <c r="AK149" s="601" t="str">
        <f>VLOOKUP(F149,'2) Tracker'!$A$2:$AQ$981,43,FALSE)</f>
        <v/>
      </c>
      <c r="AL149" s="601">
        <f>VLOOKUP(F149,'2) Tracker'!$A$2:$BH$981,46,FALSE())</f>
        <v>46180</v>
      </c>
      <c r="AM149" s="601" t="str">
        <f>VLOOKUP(F149,'2) Tracker'!$A$2:$BO$981,65,FALSE())</f>
        <v/>
      </c>
      <c r="AN149" s="601" t="str">
        <f>VLOOKUP(F149,'2) Tracker'!$A$2:$BK$981,63,FALSE())</f>
        <v/>
      </c>
      <c r="AO149" s="601" t="str">
        <f>VLOOKUP(F149,'2) Tracker'!$A$2:$BF$981,58,FALSE())</f>
        <v/>
      </c>
      <c r="AP149" s="46"/>
      <c r="AQ149" s="46"/>
      <c r="AR149" s="46"/>
      <c r="AS149" s="46"/>
      <c r="AT149" s="46"/>
      <c r="AU149" s="46"/>
      <c r="AV149" s="46"/>
      <c r="AW149" s="46"/>
      <c r="AX149" s="46"/>
      <c r="AY149" s="46"/>
      <c r="AZ149" s="563"/>
      <c r="BA149" s="569"/>
      <c r="BB149" s="563"/>
      <c r="BC149" s="569"/>
      <c r="BD149" s="563"/>
      <c r="BE149" s="46"/>
      <c r="BF149" s="46"/>
      <c r="BG149" s="563"/>
      <c r="BH149" s="563"/>
      <c r="BI149" s="563"/>
      <c r="BJ149" s="563"/>
    </row>
    <row r="150" spans="2:62" x14ac:dyDescent="0.25">
      <c r="B150" s="589">
        <f>VLOOKUP(F150,'2) Tracker'!$A$3:$O$411,5,FALSE)</f>
        <v>0</v>
      </c>
      <c r="C150" s="589">
        <f>VLOOKUP(F150,'2) Tracker'!$A$3:$O$411,4,FALSE)</f>
        <v>0</v>
      </c>
      <c r="D150" s="563" t="s">
        <v>1569</v>
      </c>
      <c r="E150" s="563">
        <f>VLOOKUP(F150,'2) Tracker'!$A$3:$O$407,15,FALSE)</f>
        <v>0</v>
      </c>
      <c r="F150" s="590" t="s">
        <v>625</v>
      </c>
      <c r="G150" s="591">
        <f>VLOOKUP(F150,'2) Tracker'!$A$2:$BO$361,2,FALSE)</f>
        <v>2017</v>
      </c>
      <c r="H150" s="592">
        <f>VLOOKUP(F150,'2) Tracker'!$A$2:$BO$361,3,FALSE)</f>
        <v>79329</v>
      </c>
      <c r="I150" s="600" t="str">
        <f>VLOOKUP(F150,'2) Tracker'!$A$2:$BO$361,9,FALSE)</f>
        <v>BWPS</v>
      </c>
      <c r="J150" s="594" t="str">
        <f>VLOOKUP(F150,'2) Tracker'!$A$2:$BO$361,12,FALSE)</f>
        <v>loads USG</v>
      </c>
      <c r="K150" s="596">
        <f t="shared" ref="K150:O150" si="297">AD150</f>
        <v>46160</v>
      </c>
      <c r="L150" s="596">
        <f t="shared" si="297"/>
        <v>46160</v>
      </c>
      <c r="M150" s="596">
        <f t="shared" si="297"/>
        <v>46192</v>
      </c>
      <c r="N150" s="597" t="str">
        <f t="shared" si="297"/>
        <v/>
      </c>
      <c r="O150" s="597" t="str">
        <f t="shared" si="297"/>
        <v/>
      </c>
      <c r="P150" s="598" t="str">
        <f>IFERROR(IF(VLOOKUP(F150,'Voyage days'!$M$808:$N$819,2,FALSE),"GOA",""),"")</f>
        <v/>
      </c>
      <c r="Q150" s="596" t="str">
        <f t="shared" si="287"/>
        <v/>
      </c>
      <c r="R150" s="596" t="str">
        <f t="shared" si="289"/>
        <v/>
      </c>
      <c r="S150" s="595">
        <f t="shared" si="2"/>
        <v>46180</v>
      </c>
      <c r="T150" s="596" t="str">
        <f t="shared" si="3"/>
        <v/>
      </c>
      <c r="U150" s="596" t="str">
        <f t="shared" si="290"/>
        <v/>
      </c>
      <c r="V150" s="570" t="s">
        <v>1577</v>
      </c>
      <c r="W150" s="596" t="str">
        <f t="shared" si="291"/>
        <v/>
      </c>
      <c r="X150" s="599" t="str">
        <f t="shared" si="6"/>
        <v/>
      </c>
      <c r="Y150" s="614"/>
      <c r="Z150" s="600" t="str">
        <f>VLOOKUP(F150,'2) Tracker'!$A$3:$Q$505,16,FALSE)</f>
        <v>ETA Balboa 05 May</v>
      </c>
      <c r="AA150" s="600" t="str">
        <f>VLOOKUP(F150,'2) Tracker'!$A$3:$R$505,18,FALSE)</f>
        <v>STL 18-19 May USG</v>
      </c>
      <c r="AB150" s="600">
        <f>VLOOKUP(F150,'2) Tracker'!$A$3:$Q$505,17,FALSE)</f>
        <v>0</v>
      </c>
      <c r="AC150" s="601"/>
      <c r="AD150" s="601">
        <f>VLOOKUP(F150,'2) Tracker'!$A$2:$BO$981,37,FALSE)</f>
        <v>46160</v>
      </c>
      <c r="AE150" s="601">
        <f>VLOOKUP(F150,'2) Tracker'!$A$2:$BO$981,40,FALSE)</f>
        <v>46160</v>
      </c>
      <c r="AF150" s="601">
        <f>VLOOKUP(F150,'2) Tracker'!$A$2:$BO$981,67,FALSE)</f>
        <v>46192</v>
      </c>
      <c r="AG150" s="601" t="str">
        <f>VLOOKUP(F150,'2) Tracker'!$A$2:$BO$981,34,FALSE)</f>
        <v/>
      </c>
      <c r="AH150" s="601" t="str">
        <f>VLOOKUP(F150,'2) Tracker'!$A$2:$BN$981,66,FALSE)</f>
        <v/>
      </c>
      <c r="AI150" s="601" t="str">
        <f>VLOOKUP(F150,'2) Tracker'!$A$2:$BO$981,56,FALSE)</f>
        <v/>
      </c>
      <c r="AJ150" s="601" t="str">
        <f>VLOOKUP(F150,'2) Tracker'!$A$2:$BO$981,52,FALSE)</f>
        <v/>
      </c>
      <c r="AK150" s="601" t="str">
        <f>VLOOKUP(F150,'2) Tracker'!$A$2:$AQ$981,43,FALSE)</f>
        <v/>
      </c>
      <c r="AL150" s="601">
        <f>VLOOKUP(F150,'2) Tracker'!$A$2:$BH$981,46,FALSE())</f>
        <v>46180</v>
      </c>
      <c r="AM150" s="601" t="str">
        <f>VLOOKUP(F150,'2) Tracker'!$A$2:$BO$981,65,FALSE())</f>
        <v/>
      </c>
      <c r="AN150" s="601" t="str">
        <f>VLOOKUP(F150,'2) Tracker'!$A$2:$BK$981,63,FALSE())</f>
        <v/>
      </c>
      <c r="AO150" s="601" t="str">
        <f>VLOOKUP(F150,'2) Tracker'!$A$2:$BF$981,58,FALSE())</f>
        <v/>
      </c>
      <c r="AP150" s="46"/>
      <c r="AQ150" s="46"/>
      <c r="AR150" s="46"/>
      <c r="AS150" s="46"/>
      <c r="AT150" s="46"/>
      <c r="AU150" s="46"/>
      <c r="AV150" s="46"/>
      <c r="AW150" s="46"/>
      <c r="AX150" s="46"/>
      <c r="AY150" s="46"/>
      <c r="AZ150" s="605"/>
      <c r="BA150" s="604" t="e">
        <f>VLOOKUP(AZ150,#REF!,2, FALSE)</f>
        <v>#REF!</v>
      </c>
      <c r="BB150" s="605" t="e">
        <f>VLOOKUP(AZ150,'1) Kpler'!$E$2:$F$500,2,FALSE)</f>
        <v>#N/A</v>
      </c>
      <c r="BC150" s="604"/>
      <c r="BD150" s="605"/>
      <c r="BE150" s="46"/>
      <c r="BF150" s="46"/>
      <c r="BG150" s="605"/>
      <c r="BH150" s="605"/>
      <c r="BI150" s="605"/>
      <c r="BJ150" s="605"/>
    </row>
    <row r="151" spans="2:62" x14ac:dyDescent="0.25">
      <c r="B151" s="589">
        <f>VLOOKUP(F151,'2) Tracker'!$A$3:$O$411,5,FALSE)</f>
        <v>0</v>
      </c>
      <c r="C151" s="589">
        <f>VLOOKUP(F151,'2) Tracker'!$A$3:$O$411,4,FALSE)</f>
        <v>0</v>
      </c>
      <c r="D151" s="563"/>
      <c r="E151" s="563">
        <f>VLOOKUP(F151,'2) Tracker'!$A$3:$O$407,15,FALSE)</f>
        <v>0</v>
      </c>
      <c r="F151" s="608" t="s">
        <v>307</v>
      </c>
      <c r="G151" s="591">
        <f>VLOOKUP(F151,'2) Tracker'!$A$2:$BO$361,2,FALSE)</f>
        <v>2023</v>
      </c>
      <c r="H151" s="592">
        <f>VLOOKUP(F151,'2) Tracker'!$A$2:$BO$361,3,FALSE)</f>
        <v>86000</v>
      </c>
      <c r="I151" s="593" t="str">
        <f>VLOOKUP(F151,'2) Tracker'!$A$2:$BO$361,9,FALSE)</f>
        <v>BGN</v>
      </c>
      <c r="J151" s="594" t="str">
        <f>VLOOKUP(F151,'2) Tracker'!$A$2:$BO$361,12,FALSE)</f>
        <v>loads USG</v>
      </c>
      <c r="K151" s="596">
        <f t="shared" ref="K151:O151" si="298">AD151</f>
        <v>46160</v>
      </c>
      <c r="L151" s="596">
        <f t="shared" si="298"/>
        <v>46160</v>
      </c>
      <c r="M151" s="596">
        <f t="shared" si="298"/>
        <v>46192</v>
      </c>
      <c r="N151" s="596" t="str">
        <f t="shared" si="298"/>
        <v/>
      </c>
      <c r="O151" s="597" t="str">
        <f t="shared" si="298"/>
        <v/>
      </c>
      <c r="P151" s="598" t="str">
        <f>IFERROR(IF(VLOOKUP(F151,'Voyage days'!$M$808:$N$819,2,FALSE),"GOA",""),"")</f>
        <v/>
      </c>
      <c r="Q151" s="596" t="str">
        <f t="shared" si="287"/>
        <v/>
      </c>
      <c r="R151" s="596" t="str">
        <f t="shared" si="289"/>
        <v/>
      </c>
      <c r="S151" s="595">
        <f t="shared" si="2"/>
        <v>46180</v>
      </c>
      <c r="T151" s="596" t="str">
        <f t="shared" si="3"/>
        <v/>
      </c>
      <c r="U151" s="596" t="str">
        <f t="shared" si="290"/>
        <v/>
      </c>
      <c r="V151" s="596"/>
      <c r="W151" s="596" t="str">
        <f t="shared" si="291"/>
        <v/>
      </c>
      <c r="X151" s="599" t="str">
        <f t="shared" si="6"/>
        <v/>
      </c>
      <c r="Y151" s="594"/>
      <c r="Z151" s="600" t="str">
        <f>VLOOKUP(F151,'2) Tracker'!$A$3:$Q$505,16,FALSE)</f>
        <v>ETA USGC 18 May</v>
      </c>
      <c r="AA151" s="600" t="str">
        <f>VLOOKUP(F151,'2) Tracker'!$A$3:$R$505,18,FALSE)</f>
        <v>BGN 25-26 Feb Targa</v>
      </c>
      <c r="AB151" s="600">
        <f>VLOOKUP(F151,'2) Tracker'!$A$3:$Q$505,17,FALSE)</f>
        <v>0</v>
      </c>
      <c r="AC151" s="601"/>
      <c r="AD151" s="601">
        <f>VLOOKUP(F151,'2) Tracker'!$A$2:$BO$981,37,FALSE)</f>
        <v>46160</v>
      </c>
      <c r="AE151" s="601">
        <f>VLOOKUP(F151,'2) Tracker'!$A$2:$BO$981,40,FALSE)</f>
        <v>46160</v>
      </c>
      <c r="AF151" s="601">
        <f>VLOOKUP(F151,'2) Tracker'!$A$2:$BO$981,67,FALSE)</f>
        <v>46192</v>
      </c>
      <c r="AG151" s="601" t="str">
        <f>VLOOKUP(F151,'2) Tracker'!$A$2:$BO$981,34,FALSE)</f>
        <v/>
      </c>
      <c r="AH151" s="601" t="str">
        <f>VLOOKUP(F151,'2) Tracker'!$A$2:$BN$981,66,FALSE)</f>
        <v/>
      </c>
      <c r="AI151" s="601" t="str">
        <f>VLOOKUP(F151,'2) Tracker'!$A$2:$BO$981,56,FALSE)</f>
        <v/>
      </c>
      <c r="AJ151" s="601" t="str">
        <f>VLOOKUP(F151,'2) Tracker'!$A$2:$BO$981,52,FALSE)</f>
        <v/>
      </c>
      <c r="AK151" s="601" t="str">
        <f>VLOOKUP(F151,'2) Tracker'!$A$2:$AQ$981,43,FALSE)</f>
        <v/>
      </c>
      <c r="AL151" s="601">
        <f>VLOOKUP(F151,'2) Tracker'!$A$2:$BH$981,46,FALSE())</f>
        <v>46180</v>
      </c>
      <c r="AM151" s="601" t="str">
        <f>VLOOKUP(F151,'2) Tracker'!$A$2:$BO$981,65,FALSE())</f>
        <v/>
      </c>
      <c r="AN151" s="601" t="str">
        <f>VLOOKUP(F151,'2) Tracker'!$A$2:$BK$981,63,FALSE())</f>
        <v/>
      </c>
      <c r="AO151" s="601" t="str">
        <f>VLOOKUP(F151,'2) Tracker'!$A$2:$BF$981,58,FALSE())</f>
        <v/>
      </c>
      <c r="AP151" s="46"/>
      <c r="AQ151" s="46"/>
      <c r="AR151" s="46"/>
      <c r="AS151" s="46"/>
      <c r="AT151" s="46"/>
      <c r="AU151" s="46"/>
      <c r="AV151" s="46"/>
      <c r="AW151" s="46"/>
      <c r="AX151" s="46"/>
      <c r="AY151" s="46"/>
      <c r="AZ151" s="605"/>
      <c r="BA151" s="604" t="e">
        <f>VLOOKUP(AZ151,#REF!,2, FALSE)</f>
        <v>#REF!</v>
      </c>
      <c r="BB151" s="605" t="e">
        <f>VLOOKUP(AZ151,'1) Kpler'!$E$2:$F$500,2,FALSE)</f>
        <v>#N/A</v>
      </c>
      <c r="BC151" s="604"/>
      <c r="BD151" s="605"/>
      <c r="BE151" s="46"/>
      <c r="BF151" s="46"/>
      <c r="BG151" s="605"/>
      <c r="BH151" s="605"/>
      <c r="BI151" s="605"/>
      <c r="BJ151" s="605"/>
    </row>
    <row r="152" spans="2:62" x14ac:dyDescent="0.25">
      <c r="B152" s="589">
        <f>VLOOKUP(F152,'2) Tracker'!$A$3:$O$411,5,FALSE)</f>
        <v>0</v>
      </c>
      <c r="C152" s="589" t="str">
        <f>VLOOKUP(F152,'2) Tracker'!$A$3:$O$411,4,FALSE)</f>
        <v>US</v>
      </c>
      <c r="D152" s="563"/>
      <c r="E152" s="563" t="str">
        <f>VLOOKUP(F152,'2) Tracker'!$A$3:$O$407,15,FALSE)</f>
        <v>O?</v>
      </c>
      <c r="F152" s="604" t="s">
        <v>206</v>
      </c>
      <c r="G152" s="607">
        <f>VLOOKUP(F152,'2) Tracker'!$A$2:$BO$361,2,FALSE)</f>
        <v>42171</v>
      </c>
      <c r="H152" s="592">
        <f>VLOOKUP(F152,'2) Tracker'!$A$2:$BO$361,3,FALSE)</f>
        <v>84000</v>
      </c>
      <c r="I152" s="593" t="str">
        <f>VLOOKUP(F152,'2) Tracker'!$A$2:$BO$361,9,FALSE)</f>
        <v>Helios</v>
      </c>
      <c r="J152" s="594" t="str">
        <f>VLOOKUP(F152,'2) Tracker'!$A$2:$BO$361,12,FALSE)</f>
        <v>Balboa</v>
      </c>
      <c r="K152" s="596">
        <f t="shared" ref="K152:O152" si="299">AD152</f>
        <v>46160</v>
      </c>
      <c r="L152" s="596" t="str">
        <f t="shared" si="299"/>
        <v/>
      </c>
      <c r="M152" s="596" t="str">
        <f t="shared" si="299"/>
        <v/>
      </c>
      <c r="N152" s="596" t="str">
        <f t="shared" si="299"/>
        <v/>
      </c>
      <c r="O152" s="597" t="str">
        <f t="shared" si="299"/>
        <v/>
      </c>
      <c r="P152" s="598" t="str">
        <f>IFERROR(IF(VLOOKUP(F152,'Voyage days'!$M$808:$N$819,2,FALSE),"GOA",""),"")</f>
        <v/>
      </c>
      <c r="Q152" s="596" t="str">
        <f t="shared" si="287"/>
        <v/>
      </c>
      <c r="R152" s="596" t="str">
        <f t="shared" si="289"/>
        <v/>
      </c>
      <c r="S152" s="595" t="str">
        <f t="shared" si="2"/>
        <v/>
      </c>
      <c r="T152" s="596" t="str">
        <f t="shared" si="3"/>
        <v/>
      </c>
      <c r="U152" s="596" t="str">
        <f t="shared" si="290"/>
        <v/>
      </c>
      <c r="V152" s="596"/>
      <c r="W152" s="596" t="str">
        <f t="shared" si="291"/>
        <v/>
      </c>
      <c r="X152" s="599" t="str">
        <f t="shared" si="6"/>
        <v/>
      </c>
      <c r="Y152" s="594"/>
      <c r="Z152" s="600" t="str">
        <f>VLOOKUP(F152,'2) Tracker'!$A$3:$Q$505,16,FALSE)</f>
        <v>ETA Balboa 08 May</v>
      </c>
      <c r="AA152" s="600" t="str">
        <f>VLOOKUP(F152,'2) Tracker'!$A$3:$R$505,18,FALSE)</f>
        <v>Unipec 23-24 Feb Enterprise</v>
      </c>
      <c r="AB152" s="600">
        <f>VLOOKUP(F152,'2) Tracker'!$A$3:$Q$505,17,FALSE)</f>
        <v>0</v>
      </c>
      <c r="AC152" s="601"/>
      <c r="AD152" s="601">
        <f>VLOOKUP(F152,'2) Tracker'!$A$2:$BO$981,37,FALSE)</f>
        <v>46160</v>
      </c>
      <c r="AE152" s="601" t="str">
        <f>VLOOKUP(F152,'2) Tracker'!$A$2:$BO$981,40,FALSE)</f>
        <v/>
      </c>
      <c r="AF152" s="601" t="str">
        <f>VLOOKUP(F152,'2) Tracker'!$A$2:$BO$981,67,FALSE)</f>
        <v/>
      </c>
      <c r="AG152" s="601" t="str">
        <f>VLOOKUP(F152,'2) Tracker'!$A$2:$BO$981,34,FALSE)</f>
        <v/>
      </c>
      <c r="AH152" s="601" t="str">
        <f>VLOOKUP(F152,'2) Tracker'!$A$2:$BN$981,66,FALSE)</f>
        <v/>
      </c>
      <c r="AI152" s="601" t="str">
        <f>VLOOKUP(F152,'2) Tracker'!$A$2:$BO$981,56,FALSE)</f>
        <v/>
      </c>
      <c r="AJ152" s="601" t="str">
        <f>VLOOKUP(F152,'2) Tracker'!$A$2:$BO$981,52,FALSE)</f>
        <v/>
      </c>
      <c r="AK152" s="601" t="str">
        <f>VLOOKUP(F152,'2) Tracker'!$A$2:$AQ$981,43,FALSE)</f>
        <v/>
      </c>
      <c r="AL152" s="601" t="str">
        <f>VLOOKUP(F152,'2) Tracker'!$A$2:$BH$981,46,FALSE())</f>
        <v/>
      </c>
      <c r="AM152" s="601" t="str">
        <f>VLOOKUP(F152,'2) Tracker'!$A$2:$BO$981,65,FALSE())</f>
        <v/>
      </c>
      <c r="AN152" s="601" t="str">
        <f>VLOOKUP(F152,'2) Tracker'!$A$2:$BK$981,63,FALSE())</f>
        <v/>
      </c>
      <c r="AO152" s="601" t="str">
        <f>VLOOKUP(F152,'2) Tracker'!$A$2:$BF$981,58,FALSE())</f>
        <v/>
      </c>
      <c r="AP152" s="46"/>
      <c r="AQ152" s="46"/>
      <c r="AR152" s="46"/>
      <c r="AS152" s="46"/>
      <c r="AT152" s="46"/>
      <c r="AU152" s="46"/>
      <c r="AV152" s="46"/>
      <c r="AW152" s="46"/>
      <c r="AX152" s="46"/>
      <c r="AY152" s="46"/>
      <c r="AZ152" s="605"/>
      <c r="BA152" s="604" t="e">
        <f>VLOOKUP(AZ152,#REF!,2, FALSE)</f>
        <v>#REF!</v>
      </c>
      <c r="BB152" s="605" t="e">
        <f>VLOOKUP(AZ152,'1) Kpler'!$E$2:$F$500,2,FALSE)</f>
        <v>#N/A</v>
      </c>
      <c r="BC152" s="604"/>
      <c r="BD152" s="605"/>
      <c r="BE152" s="46"/>
      <c r="BF152" s="46"/>
      <c r="BG152" s="605"/>
      <c r="BH152" s="605"/>
      <c r="BI152" s="605"/>
      <c r="BJ152" s="605"/>
    </row>
    <row r="153" spans="2:62" x14ac:dyDescent="0.25">
      <c r="B153" s="589">
        <f>VLOOKUP(F153,'2) Tracker'!$A$3:$O$411,5,FALSE)</f>
        <v>0</v>
      </c>
      <c r="C153" s="589">
        <f>VLOOKUP(F153,'2) Tracker'!$A$3:$O$411,4,FALSE)</f>
        <v>0</v>
      </c>
      <c r="D153" s="563"/>
      <c r="E153" s="563">
        <f>VLOOKUP(F153,'2) Tracker'!$A$3:$O$407,15,FALSE)</f>
        <v>0</v>
      </c>
      <c r="F153" s="604" t="s">
        <v>1430</v>
      </c>
      <c r="G153" s="607">
        <f>VLOOKUP(F153,'2) Tracker'!$A$2:$BO$361,2,FALSE)</f>
        <v>42184</v>
      </c>
      <c r="H153" s="592">
        <f>VLOOKUP(F153,'2) Tracker'!$A$2:$BO$361,3,FALSE)</f>
        <v>83000</v>
      </c>
      <c r="I153" s="594" t="str">
        <f>VLOOKUP(F153,'2) Tracker'!$A$2:$BO$361,9,FALSE)</f>
        <v>BW</v>
      </c>
      <c r="J153" s="594" t="str">
        <f>VLOOKUP(F153,'2) Tracker'!$A$2:$BO$361,12,FALSE)</f>
        <v>loads USG</v>
      </c>
      <c r="K153" s="595">
        <f t="shared" ref="K153:O153" si="300">AD153</f>
        <v>46161</v>
      </c>
      <c r="L153" s="595">
        <f t="shared" si="300"/>
        <v>46161</v>
      </c>
      <c r="M153" s="596">
        <f t="shared" si="300"/>
        <v>46193</v>
      </c>
      <c r="N153" s="596" t="str">
        <f t="shared" si="300"/>
        <v/>
      </c>
      <c r="O153" s="597" t="str">
        <f t="shared" si="300"/>
        <v/>
      </c>
      <c r="P153" s="598" t="str">
        <f>IFERROR(IF(VLOOKUP(F153,'Voyage days'!$M$808:$N$819,2,FALSE),"GOA",""),"")</f>
        <v/>
      </c>
      <c r="Q153" s="596" t="str">
        <f t="shared" si="287"/>
        <v/>
      </c>
      <c r="R153" s="596" t="str">
        <f t="shared" si="289"/>
        <v/>
      </c>
      <c r="S153" s="595">
        <f t="shared" si="2"/>
        <v>46181</v>
      </c>
      <c r="T153" s="596" t="str">
        <f t="shared" si="3"/>
        <v/>
      </c>
      <c r="U153" s="596" t="str">
        <f t="shared" si="290"/>
        <v/>
      </c>
      <c r="V153" s="596"/>
      <c r="W153" s="596" t="str">
        <f t="shared" si="291"/>
        <v/>
      </c>
      <c r="X153" s="599" t="str">
        <f t="shared" si="6"/>
        <v/>
      </c>
      <c r="Y153" s="614"/>
      <c r="Z153" s="600" t="str">
        <f>VLOOKUP(F153,'2) Tracker'!$A$3:$Q$505,16,FALSE)</f>
        <v>ETA Port Louis 22 Apr, programmed</v>
      </c>
      <c r="AA153" s="600" t="str">
        <f>VLOOKUP(F153,'2) Tracker'!$A$3:$R$505,18,FALSE)</f>
        <v>COA? 19-20 May USG</v>
      </c>
      <c r="AB153" s="600">
        <f>VLOOKUP(F153,'2) Tracker'!$A$3:$Q$505,17,FALSE)</f>
        <v>0</v>
      </c>
      <c r="AC153" s="601"/>
      <c r="AD153" s="601">
        <f>VLOOKUP(F153,'2) Tracker'!$A$2:$BO$981,37,FALSE)</f>
        <v>46161</v>
      </c>
      <c r="AE153" s="601">
        <f>VLOOKUP(F153,'2) Tracker'!$A$2:$BO$981,40,FALSE)</f>
        <v>46161</v>
      </c>
      <c r="AF153" s="601">
        <f>VLOOKUP(F153,'2) Tracker'!$A$2:$BO$981,67,FALSE)</f>
        <v>46193</v>
      </c>
      <c r="AG153" s="601" t="str">
        <f>VLOOKUP(F153,'2) Tracker'!$A$2:$BO$981,34,FALSE)</f>
        <v/>
      </c>
      <c r="AH153" s="601" t="str">
        <f>VLOOKUP(F153,'2) Tracker'!$A$2:$BN$981,66,FALSE)</f>
        <v/>
      </c>
      <c r="AI153" s="601" t="str">
        <f>VLOOKUP(F153,'2) Tracker'!$A$2:$BO$981,56,FALSE)</f>
        <v/>
      </c>
      <c r="AJ153" s="601" t="str">
        <f>VLOOKUP(F153,'2) Tracker'!$A$2:$BO$981,52,FALSE)</f>
        <v/>
      </c>
      <c r="AK153" s="601" t="str">
        <f>VLOOKUP(F153,'2) Tracker'!$A$2:$AQ$981,43,FALSE)</f>
        <v/>
      </c>
      <c r="AL153" s="601">
        <f>VLOOKUP(F153,'2) Tracker'!$A$2:$BH$981,46,FALSE())</f>
        <v>46181</v>
      </c>
      <c r="AM153" s="601" t="str">
        <f>VLOOKUP(F153,'2) Tracker'!$A$2:$BO$981,65,FALSE())</f>
        <v/>
      </c>
      <c r="AN153" s="601" t="str">
        <f>VLOOKUP(F153,'2) Tracker'!$A$2:$BK$981,63,FALSE())</f>
        <v/>
      </c>
      <c r="AO153" s="601" t="str">
        <f>VLOOKUP(F153,'2) Tracker'!$A$2:$BF$981,58,FALSE())</f>
        <v/>
      </c>
      <c r="AP153" s="46"/>
      <c r="AQ153" s="46"/>
      <c r="AR153" s="46"/>
      <c r="AS153" s="46"/>
      <c r="AT153" s="46"/>
      <c r="AU153" s="46"/>
      <c r="AV153" s="46"/>
      <c r="AW153" s="46"/>
      <c r="AX153" s="46"/>
      <c r="AY153" s="46"/>
      <c r="AZ153" s="605"/>
      <c r="BA153" s="604" t="e">
        <f>VLOOKUP(AZ153,#REF!,2, FALSE)</f>
        <v>#REF!</v>
      </c>
      <c r="BB153" s="605" t="e">
        <f>VLOOKUP(AZ153,'1) Kpler'!$E$2:$F$500,2,FALSE)</f>
        <v>#N/A</v>
      </c>
      <c r="BC153" s="604"/>
      <c r="BD153" s="605"/>
      <c r="BE153" s="46"/>
      <c r="BF153" s="46"/>
      <c r="BG153" s="605"/>
      <c r="BH153" s="605"/>
      <c r="BI153" s="605"/>
      <c r="BJ153" s="605"/>
    </row>
    <row r="154" spans="2:62" x14ac:dyDescent="0.25">
      <c r="B154" s="589">
        <f>VLOOKUP(F154,'2) Tracker'!$A$3:$O$411,5,FALSE)</f>
        <v>0</v>
      </c>
      <c r="C154" s="589" t="str">
        <f>VLOOKUP(F154,'2) Tracker'!$A$3:$O$411,4,FALSE)</f>
        <v>US</v>
      </c>
      <c r="D154" s="563"/>
      <c r="E154" s="563">
        <f>VLOOKUP(F154,'2) Tracker'!$A$3:$O$407,15,FALSE)</f>
        <v>0</v>
      </c>
      <c r="F154" s="569" t="s">
        <v>202</v>
      </c>
      <c r="G154" s="607">
        <f>VLOOKUP(F154,'2) Tracker'!$A$2:$BO$361,2,FALSE)</f>
        <v>41908</v>
      </c>
      <c r="H154" s="592">
        <f>VLOOKUP(F154,'2) Tracker'!$A$2:$BO$361,3,FALSE)</f>
        <v>84000</v>
      </c>
      <c r="I154" s="600" t="str">
        <f>VLOOKUP(F154,'2) Tracker'!$A$2:$BO$361,9,FALSE)</f>
        <v>Helios</v>
      </c>
      <c r="J154" s="594" t="str">
        <f>VLOOKUP(F154,'2) Tracker'!$A$2:$BO$361,12,FALSE)</f>
        <v>loads USG</v>
      </c>
      <c r="K154" s="596">
        <f t="shared" ref="K154:O154" si="301">AD154</f>
        <v>46162</v>
      </c>
      <c r="L154" s="596">
        <f t="shared" si="301"/>
        <v>46162</v>
      </c>
      <c r="M154" s="596">
        <f t="shared" si="301"/>
        <v>46194</v>
      </c>
      <c r="N154" s="596" t="str">
        <f t="shared" si="301"/>
        <v/>
      </c>
      <c r="O154" s="597" t="str">
        <f t="shared" si="301"/>
        <v/>
      </c>
      <c r="P154" s="598" t="str">
        <f>IFERROR(IF(VLOOKUP(F154,'Voyage days'!$M$808:$N$819,2,FALSE),"GOA",""),"")</f>
        <v/>
      </c>
      <c r="Q154" s="596" t="str">
        <f t="shared" si="287"/>
        <v/>
      </c>
      <c r="R154" s="596" t="str">
        <f t="shared" si="289"/>
        <v/>
      </c>
      <c r="S154" s="595">
        <f t="shared" si="2"/>
        <v>46182</v>
      </c>
      <c r="T154" s="596" t="str">
        <f t="shared" si="3"/>
        <v/>
      </c>
      <c r="U154" s="596" t="str">
        <f t="shared" si="290"/>
        <v/>
      </c>
      <c r="V154" s="596"/>
      <c r="W154" s="596" t="str">
        <f t="shared" si="291"/>
        <v/>
      </c>
      <c r="X154" s="599" t="str">
        <f t="shared" si="6"/>
        <v/>
      </c>
      <c r="Y154" s="611" t="s">
        <v>1615</v>
      </c>
      <c r="Z154" s="600" t="str">
        <f>VLOOKUP(F154,'2) Tracker'!$A$3:$Q$505,16,FALSE)</f>
        <v>ETa Balboa 28 Apr</v>
      </c>
      <c r="AA154" s="600" t="str">
        <f>VLOOKUP(F154,'2) Tracker'!$A$3:$R$505,18,FALSE)</f>
        <v>PetroChina 20-21 May USG</v>
      </c>
      <c r="AB154" s="600">
        <f>VLOOKUP(F154,'2) Tracker'!$A$3:$Q$505,17,FALSE)</f>
        <v>0</v>
      </c>
      <c r="AC154" s="601"/>
      <c r="AD154" s="601">
        <f>VLOOKUP(F154,'2) Tracker'!$A$2:$BO$981,37,FALSE)</f>
        <v>46162</v>
      </c>
      <c r="AE154" s="601">
        <f>VLOOKUP(F154,'2) Tracker'!$A$2:$BO$981,40,FALSE)</f>
        <v>46162</v>
      </c>
      <c r="AF154" s="601">
        <f>VLOOKUP(F154,'2) Tracker'!$A$2:$BO$981,67,FALSE)</f>
        <v>46194</v>
      </c>
      <c r="AG154" s="601" t="str">
        <f>VLOOKUP(F154,'2) Tracker'!$A$2:$BO$981,34,FALSE)</f>
        <v/>
      </c>
      <c r="AH154" s="601" t="str">
        <f>VLOOKUP(F154,'2) Tracker'!$A$2:$BN$981,66,FALSE)</f>
        <v/>
      </c>
      <c r="AI154" s="601" t="str">
        <f>VLOOKUP(F154,'2) Tracker'!$A$2:$BO$981,56,FALSE)</f>
        <v/>
      </c>
      <c r="AJ154" s="601" t="str">
        <f>VLOOKUP(F154,'2) Tracker'!$A$2:$BO$981,52,FALSE)</f>
        <v/>
      </c>
      <c r="AK154" s="601" t="str">
        <f>VLOOKUP(F154,'2) Tracker'!$A$2:$AQ$981,43,FALSE)</f>
        <v/>
      </c>
      <c r="AL154" s="601">
        <f>VLOOKUP(F154,'2) Tracker'!$A$2:$BH$981,46,FALSE())</f>
        <v>46182</v>
      </c>
      <c r="AM154" s="601" t="str">
        <f>VLOOKUP(F154,'2) Tracker'!$A$2:$BO$981,65,FALSE())</f>
        <v/>
      </c>
      <c r="AN154" s="601" t="str">
        <f>VLOOKUP(F154,'2) Tracker'!$A$2:$BK$981,63,FALSE())</f>
        <v/>
      </c>
      <c r="AO154" s="601" t="str">
        <f>VLOOKUP(F154,'2) Tracker'!$A$2:$BF$981,58,FALSE())</f>
        <v/>
      </c>
      <c r="AP154" s="46"/>
      <c r="AQ154" s="46"/>
      <c r="AR154" s="46"/>
      <c r="AS154" s="46"/>
      <c r="AT154" s="46"/>
      <c r="AU154" s="46"/>
      <c r="AV154" s="46"/>
      <c r="AW154" s="46"/>
      <c r="AX154" s="46"/>
      <c r="AY154" s="46"/>
      <c r="AZ154" s="563"/>
      <c r="BA154" s="569"/>
      <c r="BB154" s="563"/>
      <c r="BC154" s="569"/>
      <c r="BD154" s="563"/>
      <c r="BE154" s="46"/>
      <c r="BF154" s="46"/>
      <c r="BG154" s="563"/>
      <c r="BH154" s="563"/>
      <c r="BI154" s="563"/>
      <c r="BJ154" s="563"/>
    </row>
    <row r="155" spans="2:62" x14ac:dyDescent="0.25">
      <c r="B155" s="589" t="str">
        <f>VLOOKUP(F155,'2) Tracker'!$A$3:$O$411,5,FALSE)</f>
        <v>C</v>
      </c>
      <c r="C155" s="589">
        <f>VLOOKUP(F155,'2) Tracker'!$A$3:$O$411,4,FALSE)</f>
        <v>0</v>
      </c>
      <c r="D155" s="563"/>
      <c r="E155" s="563" t="str">
        <f>VLOOKUP(F155,'2) Tracker'!$A$3:$O$407,15,FALSE)</f>
        <v>eu</v>
      </c>
      <c r="F155" s="604" t="s">
        <v>311</v>
      </c>
      <c r="G155" s="591">
        <f>VLOOKUP(F155,'2) Tracker'!$A$2:$BO$361,2,FALSE)</f>
        <v>2018</v>
      </c>
      <c r="H155" s="592">
        <f>VLOOKUP(F155,'2) Tracker'!$A$2:$BO$361,3,FALSE)</f>
        <v>84196</v>
      </c>
      <c r="I155" s="594" t="str">
        <f>VLOOKUP(F155,'2) Tracker'!$A$2:$BO$361,9,FALSE)</f>
        <v>ATC</v>
      </c>
      <c r="J155" s="594" t="str">
        <f>VLOOKUP(F155,'2) Tracker'!$A$2:$BO$361,12,FALSE)</f>
        <v>Eu</v>
      </c>
      <c r="K155" s="595">
        <f t="shared" ref="K155:O155" si="302">AD155</f>
        <v>46162</v>
      </c>
      <c r="L155" s="595">
        <f t="shared" si="302"/>
        <v>46163</v>
      </c>
      <c r="M155" s="596" t="str">
        <f t="shared" si="302"/>
        <v/>
      </c>
      <c r="N155" s="596" t="str">
        <f t="shared" si="302"/>
        <v/>
      </c>
      <c r="O155" s="597" t="str">
        <f t="shared" si="302"/>
        <v/>
      </c>
      <c r="P155" s="622" t="str">
        <f>IFERROR(IF(VLOOKUP(F155,'Voyage days'!$M$808:$N$828,2,FALSE),"GOA",""),"")</f>
        <v>GOA</v>
      </c>
      <c r="Q155" s="623">
        <f t="shared" si="287"/>
        <v>46150</v>
      </c>
      <c r="R155" s="595">
        <f t="shared" si="289"/>
        <v>46162</v>
      </c>
      <c r="S155" s="595">
        <f t="shared" si="2"/>
        <v>46150</v>
      </c>
      <c r="T155" s="596">
        <f t="shared" si="3"/>
        <v>46159</v>
      </c>
      <c r="U155" s="595" t="str">
        <f t="shared" si="290"/>
        <v/>
      </c>
      <c r="V155" s="596"/>
      <c r="W155" s="596" t="str">
        <f t="shared" si="291"/>
        <v/>
      </c>
      <c r="X155" s="599" t="str">
        <f t="shared" si="6"/>
        <v/>
      </c>
      <c r="Y155" s="594"/>
      <c r="Z155" s="600" t="str">
        <f>VLOOKUP(F155,'2) Tracker'!$A$3:$Q$505,16,FALSE)</f>
        <v>@ Houston anchorage 08 Apr, ETA Eu 30 Apr</v>
      </c>
      <c r="AA155" s="600" t="str">
        <f>VLOOKUP(F155,'2) Tracker'!$A$3:$R$505,18,FALSE)</f>
        <v>Dow 10-11 Apr USG</v>
      </c>
      <c r="AB155" s="600">
        <f>VLOOKUP(F155,'2) Tracker'!$A$3:$Q$505,17,FALSE)</f>
        <v>0</v>
      </c>
      <c r="AC155" s="601"/>
      <c r="AD155" s="601">
        <f>VLOOKUP(F155,'2) Tracker'!$A$2:$BO$981,37,FALSE)</f>
        <v>46162</v>
      </c>
      <c r="AE155" s="601">
        <f>VLOOKUP(F155,'2) Tracker'!$A$2:$BO$981,40,FALSE)</f>
        <v>46163</v>
      </c>
      <c r="AF155" s="601" t="str">
        <f>VLOOKUP(F155,'2) Tracker'!$A$2:$BO$981,67,FALSE)</f>
        <v/>
      </c>
      <c r="AG155" s="601" t="str">
        <f>VLOOKUP(F155,'2) Tracker'!$A$2:$BO$981,34,FALSE)</f>
        <v/>
      </c>
      <c r="AH155" s="601" t="str">
        <f>VLOOKUP(F155,'2) Tracker'!$A$2:$BN$981,66,FALSE)</f>
        <v/>
      </c>
      <c r="AI155" s="601" t="str">
        <f>VLOOKUP(F155,'2) Tracker'!$A$2:$BO$981,56,FALSE)</f>
        <v/>
      </c>
      <c r="AJ155" s="601" t="str">
        <f>VLOOKUP(F155,'2) Tracker'!$A$2:$BO$981,52,FALSE)</f>
        <v/>
      </c>
      <c r="AK155" s="601">
        <f>VLOOKUP(F155,'2) Tracker'!$A$2:$AQ$981,43,FALSE)</f>
        <v>46159</v>
      </c>
      <c r="AL155" s="601">
        <f>VLOOKUP(F155,'2) Tracker'!$A$2:$BH$981,46,FALSE())</f>
        <v>46150</v>
      </c>
      <c r="AM155" s="601">
        <f>VLOOKUP(F155,'2) Tracker'!$A$2:$BO$981,65,FALSE())</f>
        <v>46150</v>
      </c>
      <c r="AN155" s="601">
        <f>VLOOKUP(F155,'2) Tracker'!$A$2:$BK$981,63,FALSE())</f>
        <v>46162</v>
      </c>
      <c r="AO155" s="601" t="str">
        <f>VLOOKUP(F155,'2) Tracker'!$A$2:$BF$981,58,FALSE())</f>
        <v/>
      </c>
      <c r="AP155" s="46"/>
      <c r="AQ155" s="46"/>
      <c r="AR155" s="46"/>
      <c r="AS155" s="46"/>
      <c r="AT155" s="46"/>
      <c r="AU155" s="46"/>
      <c r="AV155" s="46"/>
      <c r="AW155" s="46"/>
      <c r="AX155" s="46"/>
      <c r="AY155" s="46"/>
      <c r="AZ155" s="605"/>
      <c r="BA155" s="604" t="e">
        <f>VLOOKUP(AZ155,#REF!,2, FALSE)</f>
        <v>#REF!</v>
      </c>
      <c r="BB155" s="605" t="e">
        <f>VLOOKUP(AZ155,'1) Kpler'!$E$2:$F$500,2,FALSE)</f>
        <v>#N/A</v>
      </c>
      <c r="BC155" s="604"/>
      <c r="BD155" s="605"/>
      <c r="BE155" s="46"/>
      <c r="BF155" s="46"/>
      <c r="BG155" s="605"/>
      <c r="BH155" s="605"/>
      <c r="BI155" s="605"/>
      <c r="BJ155" s="605"/>
    </row>
    <row r="156" spans="2:62" ht="14.25" customHeight="1" x14ac:dyDescent="0.25">
      <c r="B156" s="589">
        <f>VLOOKUP(F156,'2) Tracker'!$A$3:$O$411,5,FALSE)</f>
        <v>0</v>
      </c>
      <c r="C156" s="589">
        <f>VLOOKUP(F156,'2) Tracker'!$A$3:$O$411,4,FALSE)</f>
        <v>0</v>
      </c>
      <c r="D156" s="563"/>
      <c r="E156" s="563" t="str">
        <f>VLOOKUP(F156,'2) Tracker'!$A$3:$O$407,15,FALSE)</f>
        <v>R?</v>
      </c>
      <c r="F156" s="569" t="s">
        <v>595</v>
      </c>
      <c r="G156" s="607">
        <f>VLOOKUP(F156,'2) Tracker'!$A$2:$BO$361,2,FALSE)</f>
        <v>42459</v>
      </c>
      <c r="H156" s="592">
        <f>VLOOKUP(F156,'2) Tracker'!$A$2:$BO$361,3,FALSE)</f>
        <v>82200</v>
      </c>
      <c r="I156" s="594" t="str">
        <f>VLOOKUP(F156,'2) Tracker'!$A$2:$BO$361,9,FALSE)</f>
        <v>Nep-Asto-NSU-Itochu</v>
      </c>
      <c r="J156" s="594" t="str">
        <f>VLOOKUP(F156,'2) Tracker'!$A$2:$BO$361,12,FALSE)</f>
        <v>Singapore ballast</v>
      </c>
      <c r="K156" s="596">
        <f t="shared" ref="K156:O156" si="303">AD156</f>
        <v>46162</v>
      </c>
      <c r="L156" s="596">
        <f t="shared" si="303"/>
        <v>46163</v>
      </c>
      <c r="M156" s="596" t="str">
        <f t="shared" si="303"/>
        <v/>
      </c>
      <c r="N156" s="596">
        <f t="shared" si="303"/>
        <v>46139</v>
      </c>
      <c r="O156" s="597" t="str">
        <f t="shared" si="303"/>
        <v/>
      </c>
      <c r="P156" s="598" t="str">
        <f>IFERROR(IF(VLOOKUP(F156,'Voyage days'!$M$808:$N$819,2,FALSE),"GOA",""),"")</f>
        <v/>
      </c>
      <c r="Q156" s="597">
        <f t="shared" si="287"/>
        <v>46143</v>
      </c>
      <c r="R156" s="596">
        <f t="shared" si="289"/>
        <v>46166</v>
      </c>
      <c r="S156" s="595">
        <f t="shared" si="2"/>
        <v>46157</v>
      </c>
      <c r="T156" s="596">
        <f t="shared" si="3"/>
        <v>46149</v>
      </c>
      <c r="U156" s="596">
        <f t="shared" si="290"/>
        <v>46130</v>
      </c>
      <c r="V156" s="596"/>
      <c r="W156" s="596">
        <f t="shared" si="291"/>
        <v>46134.25</v>
      </c>
      <c r="X156" s="599" t="str">
        <f t="shared" si="6"/>
        <v/>
      </c>
      <c r="Y156" s="606"/>
      <c r="Z156" s="600" t="str">
        <f>VLOOKUP(F156,'2) Tracker'!$A$3:$Q$505,16,FALSE)</f>
        <v>ex DD, @ Singapore 15 Apr</v>
      </c>
      <c r="AA156" s="600" t="str">
        <f>VLOOKUP(F156,'2) Tracker'!$A$3:$R$505,18,FALSE)</f>
        <v>Inpex 17-18 Feb Darwin</v>
      </c>
      <c r="AB156" s="600">
        <f>VLOOKUP(F156,'2) Tracker'!$A$3:$Q$505,17,FALSE)</f>
        <v>0</v>
      </c>
      <c r="AC156" s="601"/>
      <c r="AD156" s="601">
        <f>VLOOKUP(F156,'2) Tracker'!$A$2:$BO$981,37,FALSE)</f>
        <v>46162</v>
      </c>
      <c r="AE156" s="601">
        <f>VLOOKUP(F156,'2) Tracker'!$A$2:$BO$981,40,FALSE)</f>
        <v>46163</v>
      </c>
      <c r="AF156" s="601" t="str">
        <f>VLOOKUP(F156,'2) Tracker'!$A$2:$BO$981,67,FALSE)</f>
        <v/>
      </c>
      <c r="AG156" s="601">
        <f>VLOOKUP(F156,'2) Tracker'!$A$2:$BO$981,34,FALSE)</f>
        <v>46139</v>
      </c>
      <c r="AH156" s="601" t="str">
        <f>VLOOKUP(F156,'2) Tracker'!$A$2:$BN$981,66,FALSE)</f>
        <v/>
      </c>
      <c r="AI156" s="601">
        <f>VLOOKUP(F156,'2) Tracker'!$A$2:$BO$981,56,FALSE)</f>
        <v>46130</v>
      </c>
      <c r="AJ156" s="601">
        <f>VLOOKUP(F156,'2) Tracker'!$A$2:$BO$981,52,FALSE)</f>
        <v>46134.25</v>
      </c>
      <c r="AK156" s="601">
        <f>VLOOKUP(F156,'2) Tracker'!$A$2:$AQ$981,43,FALSE)</f>
        <v>46149</v>
      </c>
      <c r="AL156" s="601">
        <f>VLOOKUP(F156,'2) Tracker'!$A$2:$BH$981,46,FALSE())</f>
        <v>46157</v>
      </c>
      <c r="AM156" s="601">
        <f>VLOOKUP(F156,'2) Tracker'!$A$2:$BO$981,65,FALSE())</f>
        <v>46143</v>
      </c>
      <c r="AN156" s="601">
        <f>VLOOKUP(F156,'2) Tracker'!$A$2:$BK$981,63,FALSE())</f>
        <v>46166</v>
      </c>
      <c r="AO156" s="601" t="str">
        <f>VLOOKUP(F156,'2) Tracker'!$A$2:$BF$981,58,FALSE())</f>
        <v/>
      </c>
      <c r="AP156" s="46"/>
      <c r="AQ156" s="46"/>
      <c r="AR156" s="46"/>
      <c r="AS156" s="46"/>
      <c r="AT156" s="46"/>
      <c r="AU156" s="46"/>
      <c r="AV156" s="46"/>
      <c r="AW156" s="46"/>
      <c r="AX156" s="46"/>
      <c r="AY156" s="46"/>
      <c r="AZ156" s="605"/>
      <c r="BA156" s="604" t="e">
        <f>VLOOKUP(AZ156,#REF!,2, FALSE)</f>
        <v>#REF!</v>
      </c>
      <c r="BB156" s="605" t="e">
        <f>VLOOKUP(AZ156,'1) Kpler'!$E$2:$F$500,2,FALSE)</f>
        <v>#N/A</v>
      </c>
      <c r="BC156" s="604"/>
      <c r="BD156" s="605"/>
      <c r="BE156" s="46"/>
      <c r="BF156" s="46"/>
      <c r="BG156" s="605"/>
      <c r="BH156" s="605"/>
      <c r="BI156" s="605"/>
      <c r="BJ156" s="605"/>
    </row>
    <row r="157" spans="2:62" x14ac:dyDescent="0.25">
      <c r="B157" s="589">
        <f>VLOOKUP(F157,'2) Tracker'!$A$3:$O$411,5,FALSE)</f>
        <v>0</v>
      </c>
      <c r="C157" s="589">
        <f>VLOOKUP(F157,'2) Tracker'!$A$3:$O$411,4,FALSE)</f>
        <v>0</v>
      </c>
      <c r="D157" s="563"/>
      <c r="E157" s="563">
        <f>VLOOKUP(F157,'2) Tracker'!$A$3:$O$407,15,FALSE)</f>
        <v>0</v>
      </c>
      <c r="F157" s="604" t="s">
        <v>318</v>
      </c>
      <c r="G157" s="607">
        <f>VLOOKUP(F157,'2) Tracker'!$A$2:$BO$361,2,FALSE)</f>
        <v>44007</v>
      </c>
      <c r="H157" s="592">
        <f>VLOOKUP(F157,'2) Tracker'!$A$2:$BO$361,3,FALSE)</f>
        <v>84000</v>
      </c>
      <c r="I157" s="600" t="str">
        <f>VLOOKUP(F157,'2) Tracker'!$A$2:$BO$361,9,FALSE)</f>
        <v>Mercuria</v>
      </c>
      <c r="J157" s="594" t="str">
        <f>VLOOKUP(F157,'2) Tracker'!$A$2:$BO$361,12,FALSE)</f>
        <v>Japan</v>
      </c>
      <c r="K157" s="595">
        <f t="shared" ref="K157:O157" si="304">AD157</f>
        <v>46162</v>
      </c>
      <c r="L157" s="595">
        <f t="shared" si="304"/>
        <v>46173</v>
      </c>
      <c r="M157" s="596" t="str">
        <f t="shared" si="304"/>
        <v/>
      </c>
      <c r="N157" s="597">
        <f t="shared" si="304"/>
        <v>46149</v>
      </c>
      <c r="O157" s="597" t="str">
        <f t="shared" si="304"/>
        <v/>
      </c>
      <c r="P157" s="598" t="str">
        <f>IFERROR(IF(VLOOKUP(F157,'Voyage days'!$M$808:$N$819,2,FALSE),"GOA",""),"")</f>
        <v/>
      </c>
      <c r="Q157" s="596">
        <f t="shared" si="287"/>
        <v>46152</v>
      </c>
      <c r="R157" s="596">
        <f t="shared" si="289"/>
        <v>46177</v>
      </c>
      <c r="S157" s="595">
        <f t="shared" si="2"/>
        <v>46167</v>
      </c>
      <c r="T157" s="596">
        <f t="shared" si="3"/>
        <v>46161</v>
      </c>
      <c r="U157" s="596">
        <f t="shared" si="290"/>
        <v>46140</v>
      </c>
      <c r="V157" s="596"/>
      <c r="W157" s="596">
        <f t="shared" si="291"/>
        <v>46139.25</v>
      </c>
      <c r="X157" s="599">
        <f t="shared" si="6"/>
        <v>46142</v>
      </c>
      <c r="Y157" s="594"/>
      <c r="Z157" s="600" t="str">
        <f>VLOOKUP(F157,'2) Tracker'!$A$3:$Q$505,16,FALSE)</f>
        <v>idling outside of Japan</v>
      </c>
      <c r="AA157" s="600" t="str">
        <f>VLOOKUP(F157,'2) Tracker'!$A$3:$R$505,18,FALSE)</f>
        <v>E1 07-08 Mar Nederland</v>
      </c>
      <c r="AB157" s="600">
        <f>VLOOKUP(F157,'2) Tracker'!$A$3:$Q$505,17,FALSE)</f>
        <v>0</v>
      </c>
      <c r="AC157" s="601"/>
      <c r="AD157" s="601">
        <f>VLOOKUP(F157,'2) Tracker'!$A$2:$BO$981,37,FALSE)</f>
        <v>46162</v>
      </c>
      <c r="AE157" s="601">
        <f>VLOOKUP(F157,'2) Tracker'!$A$2:$BO$981,40,FALSE)</f>
        <v>46173</v>
      </c>
      <c r="AF157" s="601" t="str">
        <f>VLOOKUP(F157,'2) Tracker'!$A$2:$BO$981,67,FALSE)</f>
        <v/>
      </c>
      <c r="AG157" s="601">
        <f>VLOOKUP(F157,'2) Tracker'!$A$2:$BO$981,34,FALSE)</f>
        <v>46149</v>
      </c>
      <c r="AH157" s="601" t="str">
        <f>VLOOKUP(F157,'2) Tracker'!$A$2:$BN$981,66,FALSE)</f>
        <v/>
      </c>
      <c r="AI157" s="601">
        <f>VLOOKUP(F157,'2) Tracker'!$A$2:$BO$981,56,FALSE)</f>
        <v>46140</v>
      </c>
      <c r="AJ157" s="601">
        <f>VLOOKUP(F157,'2) Tracker'!$A$2:$BO$981,52,FALSE)</f>
        <v>46139.25</v>
      </c>
      <c r="AK157" s="601">
        <f>VLOOKUP(F157,'2) Tracker'!$A$2:$AQ$981,43,FALSE)</f>
        <v>46161</v>
      </c>
      <c r="AL157" s="601">
        <f>VLOOKUP(F157,'2) Tracker'!$A$2:$BH$981,46,FALSE())</f>
        <v>46167</v>
      </c>
      <c r="AM157" s="601">
        <f>VLOOKUP(F157,'2) Tracker'!$A$2:$BO$981,65,FALSE())</f>
        <v>46152</v>
      </c>
      <c r="AN157" s="601">
        <f>VLOOKUP(F157,'2) Tracker'!$A$2:$BK$981,63,FALSE())</f>
        <v>46177</v>
      </c>
      <c r="AO157" s="601">
        <f>VLOOKUP(F157,'2) Tracker'!$A$2:$BF$981,58,FALSE())</f>
        <v>46142</v>
      </c>
      <c r="AP157" s="46"/>
      <c r="AQ157" s="46"/>
      <c r="AR157" s="46"/>
      <c r="AS157" s="46"/>
      <c r="AT157" s="46"/>
      <c r="AU157" s="46"/>
      <c r="AV157" s="46"/>
      <c r="AW157" s="46"/>
      <c r="AX157" s="46"/>
      <c r="AY157" s="46"/>
      <c r="AZ157" s="563"/>
      <c r="BA157" s="604" t="e">
        <f>VLOOKUP(AZ157,#REF!,2, FALSE)</f>
        <v>#REF!</v>
      </c>
      <c r="BB157" s="605" t="e">
        <f>VLOOKUP(AZ157,'1) Kpler'!$E$2:$F$500,2,FALSE)</f>
        <v>#N/A</v>
      </c>
      <c r="BC157" s="569"/>
      <c r="BD157" s="563"/>
      <c r="BE157" s="46"/>
      <c r="BF157" s="46"/>
      <c r="BG157" s="563"/>
      <c r="BH157" s="563"/>
      <c r="BI157" s="563"/>
      <c r="BJ157" s="563"/>
    </row>
    <row r="158" spans="2:62" x14ac:dyDescent="0.25">
      <c r="B158" s="589"/>
      <c r="C158" s="589"/>
      <c r="D158" s="563"/>
      <c r="E158" s="563"/>
      <c r="F158" s="594" t="s">
        <v>239</v>
      </c>
      <c r="G158" s="563">
        <v>2026</v>
      </c>
      <c r="H158" s="642">
        <v>88000</v>
      </c>
      <c r="I158" s="641" t="str">
        <f>VLOOKUP(F158,'2) Tracker'!$A$2:$BO$361,9,FALSE)</f>
        <v>Total</v>
      </c>
      <c r="J158" s="594" t="str">
        <f>VLOOKUP(F158,'2) Tracker'!$A$2:$BO$361,12,FALSE)</f>
        <v>East China</v>
      </c>
      <c r="K158" s="596">
        <f t="shared" ref="K158:K332" si="305">AD158</f>
        <v>46162</v>
      </c>
      <c r="L158" s="639"/>
      <c r="N158" s="596">
        <f t="shared" ref="N158:O158" si="306">AG158</f>
        <v>46147</v>
      </c>
      <c r="O158" s="597" t="str">
        <f t="shared" si="306"/>
        <v/>
      </c>
      <c r="P158" s="598" t="str">
        <f>IFERROR(IF(VLOOKUP(F158,'Voyage days'!$M$808:$N$819,2,FALSE),"GOA",""),"")</f>
        <v/>
      </c>
      <c r="Q158" s="596">
        <f t="shared" si="287"/>
        <v>46149</v>
      </c>
      <c r="R158" s="595">
        <f t="shared" si="289"/>
        <v>46174</v>
      </c>
      <c r="S158" s="595">
        <f t="shared" si="2"/>
        <v>46165</v>
      </c>
      <c r="T158" s="596">
        <f t="shared" si="3"/>
        <v>46158</v>
      </c>
      <c r="U158" s="595">
        <f t="shared" si="290"/>
        <v>46137</v>
      </c>
      <c r="V158" s="616"/>
      <c r="W158" s="616">
        <f t="shared" si="291"/>
        <v>46137.25</v>
      </c>
      <c r="X158" s="599">
        <f t="shared" si="6"/>
        <v>46143</v>
      </c>
      <c r="Y158" s="594" t="s">
        <v>1616</v>
      </c>
      <c r="Z158" s="600" t="str">
        <f>VLOOKUP(F158,'2) Tracker'!$A$3:$Q$505,16,FALSE)</f>
        <v>ETA Jiangyin 15 Apr</v>
      </c>
      <c r="AA158" s="600" t="str">
        <f>VLOOKUP(F158,'2) Tracker'!$A$3:$R$505,18,FALSE)</f>
        <v>Total 11 Mar Nederland</v>
      </c>
      <c r="AB158" s="600">
        <f>VLOOKUP(F158,'2) Tracker'!$A$3:$Q$505,17,FALSE)</f>
        <v>0</v>
      </c>
      <c r="AC158" s="601"/>
      <c r="AD158" s="601">
        <f>VLOOKUP(F158,'2) Tracker'!$A$2:$BO$981,37,FALSE)</f>
        <v>46162</v>
      </c>
      <c r="AE158" s="601">
        <f>VLOOKUP(F158,'2) Tracker'!$A$2:$BO$981,40,FALSE)</f>
        <v>46174</v>
      </c>
      <c r="AF158" s="601" t="str">
        <f>VLOOKUP(F158,'2) Tracker'!$A$2:$BO$981,67,FALSE)</f>
        <v/>
      </c>
      <c r="AG158" s="601">
        <f>VLOOKUP(F158,'2) Tracker'!$A$2:$BO$981,34,FALSE)</f>
        <v>46147</v>
      </c>
      <c r="AH158" s="601" t="str">
        <f>VLOOKUP(F158,'2) Tracker'!$A$2:$BN$981,66,FALSE)</f>
        <v/>
      </c>
      <c r="AI158" s="601">
        <f>VLOOKUP(F158,'2) Tracker'!$A$2:$BO$981,56,FALSE)</f>
        <v>46137</v>
      </c>
      <c r="AJ158" s="601">
        <f>VLOOKUP(F158,'2) Tracker'!$A$2:$BO$981,52,FALSE)</f>
        <v>46137.25</v>
      </c>
      <c r="AK158" s="601">
        <f>VLOOKUP(F158,'2) Tracker'!$A$2:$AQ$981,43,FALSE)</f>
        <v>46158</v>
      </c>
      <c r="AL158" s="601">
        <f>VLOOKUP(F158,'2) Tracker'!$A$2:$BH$981,46,FALSE())</f>
        <v>46165</v>
      </c>
      <c r="AM158" s="601">
        <f>VLOOKUP(F158,'2) Tracker'!$A$2:$BO$981,65,FALSE())</f>
        <v>46149</v>
      </c>
      <c r="AN158" s="601">
        <f>VLOOKUP(F158,'2) Tracker'!$A$2:$BK$981,63,FALSE())</f>
        <v>46174</v>
      </c>
      <c r="AO158" s="601">
        <f>VLOOKUP(F158,'2) Tracker'!$A$2:$BF$981,58,FALSE())</f>
        <v>46143</v>
      </c>
      <c r="AP158" s="46"/>
      <c r="AQ158" s="46"/>
      <c r="AR158" s="46"/>
      <c r="AS158" s="46"/>
      <c r="AT158" s="46"/>
      <c r="AU158" s="46"/>
      <c r="AV158" s="46"/>
      <c r="AW158" s="46"/>
      <c r="AX158" s="46"/>
      <c r="AY158" s="46"/>
      <c r="AZ158" s="563"/>
      <c r="BA158" s="604" t="e">
        <f>VLOOKUP(AZ158,#REF!,2, FALSE)</f>
        <v>#REF!</v>
      </c>
      <c r="BB158" s="605" t="e">
        <f>VLOOKUP(AZ158,'1) Kpler'!$E$2:$F$500,2,FALSE)</f>
        <v>#N/A</v>
      </c>
      <c r="BC158" s="569"/>
      <c r="BD158" s="563"/>
      <c r="BE158" s="46"/>
      <c r="BF158" s="46"/>
      <c r="BG158" s="563"/>
      <c r="BH158" s="563"/>
      <c r="BI158" s="563"/>
      <c r="BJ158" s="563"/>
    </row>
    <row r="159" spans="2:62" x14ac:dyDescent="0.25">
      <c r="B159" s="589">
        <f>VLOOKUP(F159,'2) Tracker'!$A$3:$O$411,5,FALSE)</f>
        <v>0</v>
      </c>
      <c r="C159" s="589">
        <f>VLOOKUP(F159,'2) Tracker'!$A$3:$O$411,4,FALSE)</f>
        <v>0</v>
      </c>
      <c r="D159" s="563"/>
      <c r="E159" s="563">
        <f>VLOOKUP(F159,'2) Tracker'!$A$3:$O$407,15,FALSE)</f>
        <v>0</v>
      </c>
      <c r="F159" s="604" t="s">
        <v>267</v>
      </c>
      <c r="G159" s="615">
        <f>VLOOKUP(F159,'2) Tracker'!$A$2:$BO$361,2,FALSE)</f>
        <v>2014</v>
      </c>
      <c r="H159" s="592">
        <f>VLOOKUP(F159,'2) Tracker'!$A$2:$BO$361,3,FALSE)</f>
        <v>82400</v>
      </c>
      <c r="I159" s="600" t="str">
        <f>VLOOKUP(F159,'2) Tracker'!$A$2:$BO$361,9,FALSE)</f>
        <v>Gyxis</v>
      </c>
      <c r="J159" s="594" t="str">
        <f>VLOOKUP(F159,'2) Tracker'!$A$2:$BO$361,12,FALSE)</f>
        <v>loads USG</v>
      </c>
      <c r="K159" s="596">
        <f t="shared" si="305"/>
        <v>46163</v>
      </c>
      <c r="L159" s="596">
        <f t="shared" ref="L159:O159" si="307">AE159</f>
        <v>46163</v>
      </c>
      <c r="M159" s="596">
        <f t="shared" si="307"/>
        <v>46195</v>
      </c>
      <c r="N159" s="596" t="str">
        <f t="shared" si="307"/>
        <v/>
      </c>
      <c r="O159" s="597" t="str">
        <f t="shared" si="307"/>
        <v/>
      </c>
      <c r="P159" s="598" t="str">
        <f>IFERROR(IF(VLOOKUP(F159,'Voyage days'!$M$808:$N$819,2,FALSE),"GOA",""),"")</f>
        <v/>
      </c>
      <c r="Q159" s="596" t="str">
        <f t="shared" si="287"/>
        <v/>
      </c>
      <c r="R159" s="596" t="str">
        <f t="shared" si="289"/>
        <v/>
      </c>
      <c r="S159" s="595">
        <f t="shared" si="2"/>
        <v>46183</v>
      </c>
      <c r="T159" s="596" t="str">
        <f t="shared" si="3"/>
        <v/>
      </c>
      <c r="U159" s="596" t="str">
        <f t="shared" si="290"/>
        <v/>
      </c>
      <c r="V159" s="596"/>
      <c r="W159" s="596" t="str">
        <f t="shared" si="291"/>
        <v/>
      </c>
      <c r="X159" s="599" t="str">
        <f t="shared" si="6"/>
        <v/>
      </c>
      <c r="Y159" s="611" t="s">
        <v>1024</v>
      </c>
      <c r="Z159" s="600" t="str">
        <f>VLOOKUP(F159,'2) Tracker'!$A$3:$Q$505,16,FALSE)</f>
        <v>ETA 1st port Senboku 21 May</v>
      </c>
      <c r="AA159" s="600" t="str">
        <f>VLOOKUP(F159,'2) Tracker'!$A$3:$R$505,18,FALSE)</f>
        <v>BGN 21-22 May USG</v>
      </c>
      <c r="AB159" s="600">
        <f>VLOOKUP(F159,'2) Tracker'!$A$3:$Q$505,17,FALSE)</f>
        <v>0</v>
      </c>
      <c r="AC159" s="601"/>
      <c r="AD159" s="601">
        <f>VLOOKUP(F159,'2) Tracker'!$A$2:$BO$981,37,FALSE)</f>
        <v>46163</v>
      </c>
      <c r="AE159" s="601">
        <f>VLOOKUP(F159,'2) Tracker'!$A$2:$BO$981,40,FALSE)</f>
        <v>46163</v>
      </c>
      <c r="AF159" s="601">
        <f>VLOOKUP(F159,'2) Tracker'!$A$2:$BO$981,67,FALSE)</f>
        <v>46195</v>
      </c>
      <c r="AG159" s="601" t="str">
        <f>VLOOKUP(F159,'2) Tracker'!$A$2:$BO$981,34,FALSE)</f>
        <v/>
      </c>
      <c r="AH159" s="601" t="str">
        <f>VLOOKUP(F159,'2) Tracker'!$A$2:$BN$981,66,FALSE)</f>
        <v/>
      </c>
      <c r="AI159" s="601" t="str">
        <f>VLOOKUP(F159,'2) Tracker'!$A$2:$BO$981,56,FALSE)</f>
        <v/>
      </c>
      <c r="AJ159" s="601" t="str">
        <f>VLOOKUP(F159,'2) Tracker'!$A$2:$BO$981,52,FALSE)</f>
        <v/>
      </c>
      <c r="AK159" s="601" t="str">
        <f>VLOOKUP(F159,'2) Tracker'!$A$2:$AQ$981,43,FALSE)</f>
        <v/>
      </c>
      <c r="AL159" s="601">
        <f>VLOOKUP(F159,'2) Tracker'!$A$2:$BH$981,46,FALSE())</f>
        <v>46183</v>
      </c>
      <c r="AM159" s="601" t="str">
        <f>VLOOKUP(F159,'2) Tracker'!$A$2:$BO$981,65,FALSE())</f>
        <v/>
      </c>
      <c r="AN159" s="601" t="str">
        <f>VLOOKUP(F159,'2) Tracker'!$A$2:$BK$981,63,FALSE())</f>
        <v/>
      </c>
      <c r="AO159" s="601" t="str">
        <f>VLOOKUP(F159,'2) Tracker'!$A$2:$BF$981,58,FALSE())</f>
        <v/>
      </c>
      <c r="AP159" s="46"/>
      <c r="AQ159" s="46"/>
      <c r="AR159" s="46"/>
      <c r="AS159" s="46"/>
      <c r="AT159" s="46"/>
      <c r="AU159" s="46"/>
      <c r="AV159" s="625" t="s">
        <v>1564</v>
      </c>
      <c r="AW159" s="46"/>
      <c r="AX159" s="46"/>
      <c r="AY159" s="46"/>
      <c r="AZ159" s="605"/>
      <c r="BA159" s="604" t="e">
        <f>VLOOKUP(AZ159,#REF!,2, FALSE)</f>
        <v>#REF!</v>
      </c>
      <c r="BB159" s="605" t="e">
        <f>VLOOKUP(AZ159,'1) Kpler'!$E$2:$F$500,2,FALSE)</f>
        <v>#N/A</v>
      </c>
      <c r="BC159" s="604" t="s">
        <v>1617</v>
      </c>
      <c r="BD159" s="46"/>
      <c r="BE159" s="46"/>
      <c r="BF159" s="46"/>
      <c r="BG159" s="618" t="s">
        <v>1518</v>
      </c>
      <c r="BH159" s="604" t="s">
        <v>1618</v>
      </c>
      <c r="BI159" s="605"/>
      <c r="BJ159" s="605"/>
    </row>
    <row r="160" spans="2:62" x14ac:dyDescent="0.25">
      <c r="B160" s="589" t="str">
        <f>VLOOKUP(F160,'2) Tracker'!$A$3:$O$411,5,FALSE)</f>
        <v>C</v>
      </c>
      <c r="C160" s="589">
        <f>VLOOKUP(F160,'2) Tracker'!$A$3:$O$411,4,FALSE)</f>
        <v>0</v>
      </c>
      <c r="D160" s="563"/>
      <c r="E160" s="563">
        <f>VLOOKUP(F160,'2) Tracker'!$A$3:$O$407,15,FALSE)</f>
        <v>0</v>
      </c>
      <c r="F160" s="604" t="s">
        <v>480</v>
      </c>
      <c r="G160" s="591">
        <f>VLOOKUP(F160,'2) Tracker'!$A$2:$BO$361,2,FALSE)</f>
        <v>2024</v>
      </c>
      <c r="H160" s="592">
        <f>VLOOKUP(F160,'2) Tracker'!$A$2:$BO$361,3,FALSE)</f>
        <v>93000</v>
      </c>
      <c r="I160" s="600" t="str">
        <f>VLOOKUP(F160,'2) Tracker'!$A$2:$BO$361,9,FALSE)</f>
        <v>OE</v>
      </c>
      <c r="J160" s="594" t="str">
        <f>VLOOKUP(F160,'2) Tracker'!$A$2:$BO$361,12,FALSE)</f>
        <v>loads USG</v>
      </c>
      <c r="K160" s="596">
        <f t="shared" si="305"/>
        <v>46163</v>
      </c>
      <c r="L160" s="596">
        <f t="shared" ref="L160:O160" si="308">AE160</f>
        <v>46163</v>
      </c>
      <c r="M160" s="596">
        <f t="shared" si="308"/>
        <v>46195</v>
      </c>
      <c r="N160" s="596" t="str">
        <f t="shared" si="308"/>
        <v/>
      </c>
      <c r="O160" s="597" t="str">
        <f t="shared" si="308"/>
        <v/>
      </c>
      <c r="P160" s="598" t="str">
        <f>IFERROR(IF(VLOOKUP(F160,'Voyage days'!$M$808:$N$819,2,FALSE),"GOA",""),"")</f>
        <v/>
      </c>
      <c r="Q160" s="596" t="str">
        <f t="shared" si="287"/>
        <v/>
      </c>
      <c r="R160" s="596" t="str">
        <f t="shared" si="289"/>
        <v/>
      </c>
      <c r="S160" s="595">
        <f t="shared" si="2"/>
        <v>46183</v>
      </c>
      <c r="T160" s="596" t="str">
        <f t="shared" si="3"/>
        <v/>
      </c>
      <c r="U160" s="596" t="str">
        <f t="shared" si="290"/>
        <v/>
      </c>
      <c r="V160" s="596"/>
      <c r="W160" s="596" t="str">
        <f t="shared" si="291"/>
        <v/>
      </c>
      <c r="X160" s="599" t="str">
        <f t="shared" si="6"/>
        <v/>
      </c>
      <c r="Y160" s="594"/>
      <c r="Z160" s="600" t="str">
        <f>VLOOKUP(F160,'2) Tracker'!$A$3:$Q$505,16,FALSE)</f>
        <v>ETA USG 21 May</v>
      </c>
      <c r="AA160" s="600" t="str">
        <f>VLOOKUP(F160,'2) Tracker'!$A$3:$R$505,18,FALSE)</f>
        <v>OE 21-22 May USG (own FOB)</v>
      </c>
      <c r="AB160" s="600">
        <f>VLOOKUP(F160,'2) Tracker'!$A$3:$Q$505,17,FALSE)</f>
        <v>0</v>
      </c>
      <c r="AC160" s="601"/>
      <c r="AD160" s="601">
        <f>VLOOKUP(F160,'2) Tracker'!$A$2:$BO$981,37,FALSE)</f>
        <v>46163</v>
      </c>
      <c r="AE160" s="601">
        <f>VLOOKUP(F160,'2) Tracker'!$A$2:$BO$981,40,FALSE)</f>
        <v>46163</v>
      </c>
      <c r="AF160" s="601">
        <f>VLOOKUP(F160,'2) Tracker'!$A$2:$BO$981,67,FALSE)</f>
        <v>46195</v>
      </c>
      <c r="AG160" s="601" t="str">
        <f>VLOOKUP(F160,'2) Tracker'!$A$2:$BO$981,34,FALSE)</f>
        <v/>
      </c>
      <c r="AH160" s="601" t="str">
        <f>VLOOKUP(F160,'2) Tracker'!$A$2:$BN$981,66,FALSE)</f>
        <v/>
      </c>
      <c r="AI160" s="601" t="str">
        <f>VLOOKUP(F160,'2) Tracker'!$A$2:$BO$981,56,FALSE)</f>
        <v/>
      </c>
      <c r="AJ160" s="601" t="str">
        <f>VLOOKUP(F160,'2) Tracker'!$A$2:$BO$981,52,FALSE)</f>
        <v/>
      </c>
      <c r="AK160" s="601" t="str">
        <f>VLOOKUP(F160,'2) Tracker'!$A$2:$AQ$981,43,FALSE)</f>
        <v/>
      </c>
      <c r="AL160" s="601">
        <f>VLOOKUP(F160,'2) Tracker'!$A$2:$BH$981,46,FALSE())</f>
        <v>46183</v>
      </c>
      <c r="AM160" s="601" t="str">
        <f>VLOOKUP(F160,'2) Tracker'!$A$2:$BO$981,65,FALSE())</f>
        <v/>
      </c>
      <c r="AN160" s="601" t="str">
        <f>VLOOKUP(F160,'2) Tracker'!$A$2:$BK$981,63,FALSE())</f>
        <v/>
      </c>
      <c r="AO160" s="601" t="str">
        <f>VLOOKUP(F160,'2) Tracker'!$A$2:$BF$981,58,FALSE())</f>
        <v/>
      </c>
      <c r="AP160" s="46"/>
      <c r="AQ160" s="46"/>
      <c r="AR160" s="46"/>
      <c r="AS160" s="46"/>
      <c r="AT160" s="46"/>
      <c r="AU160" s="46"/>
      <c r="AV160" s="46"/>
      <c r="AW160" s="46"/>
      <c r="AX160" s="46"/>
      <c r="AY160" s="46"/>
      <c r="AZ160" s="605"/>
      <c r="BA160" s="604" t="e">
        <f>VLOOKUP(AZ160,#REF!,2, FALSE)</f>
        <v>#REF!</v>
      </c>
      <c r="BB160" s="605" t="e">
        <f>VLOOKUP(AZ160,'1) Kpler'!$E$2:$F$500,2,FALSE)</f>
        <v>#N/A</v>
      </c>
      <c r="BC160" s="604"/>
      <c r="BD160" s="605"/>
      <c r="BE160" s="46"/>
      <c r="BF160" s="46"/>
      <c r="BG160" s="605"/>
      <c r="BH160" s="605"/>
      <c r="BI160" s="605"/>
      <c r="BJ160" s="605"/>
    </row>
    <row r="161" spans="2:62" x14ac:dyDescent="0.25">
      <c r="B161" s="589">
        <f>VLOOKUP(F161,'2) Tracker'!$A$3:$O$411,5,FALSE)</f>
        <v>0</v>
      </c>
      <c r="C161" s="589">
        <f>VLOOKUP(F161,'2) Tracker'!$A$3:$O$411,4,FALSE)</f>
        <v>0</v>
      </c>
      <c r="D161" s="563"/>
      <c r="E161" s="563">
        <f>VLOOKUP(F161,'2) Tracker'!$A$3:$O$407,15,FALSE)</f>
        <v>0</v>
      </c>
      <c r="F161" s="604" t="s">
        <v>216</v>
      </c>
      <c r="G161" s="607">
        <f>VLOOKUP(F161,'2) Tracker'!$A$2:$BO$361,2,FALSE)</f>
        <v>42938</v>
      </c>
      <c r="H161" s="592">
        <f>VLOOKUP(F161,'2) Tracker'!$A$2:$BO$361,3,FALSE)</f>
        <v>82200</v>
      </c>
      <c r="I161" s="600" t="str">
        <f>VLOOKUP(F161,'2) Tracker'!$A$2:$BO$361,9,FALSE)</f>
        <v>Astomos &gt; AGT</v>
      </c>
      <c r="J161" s="594" t="str">
        <f>VLOOKUP(F161,'2) Tracker'!$A$2:$BO$361,12,FALSE)</f>
        <v>loads USG</v>
      </c>
      <c r="K161" s="595">
        <f t="shared" si="305"/>
        <v>46164</v>
      </c>
      <c r="L161" s="595">
        <f t="shared" ref="L161:O161" si="309">AE161</f>
        <v>46164</v>
      </c>
      <c r="M161" s="596">
        <f t="shared" si="309"/>
        <v>46196</v>
      </c>
      <c r="N161" s="597" t="str">
        <f t="shared" si="309"/>
        <v/>
      </c>
      <c r="O161" s="597" t="str">
        <f t="shared" si="309"/>
        <v/>
      </c>
      <c r="P161" s="598" t="str">
        <f>IFERROR(IF(VLOOKUP(F161,'Voyage days'!$M$808:$N$819,2,FALSE),"GOA",""),"")</f>
        <v/>
      </c>
      <c r="Q161" s="596" t="str">
        <f t="shared" si="287"/>
        <v/>
      </c>
      <c r="R161" s="595" t="str">
        <f t="shared" si="289"/>
        <v/>
      </c>
      <c r="S161" s="595">
        <f t="shared" si="2"/>
        <v>46184</v>
      </c>
      <c r="T161" s="596" t="str">
        <f t="shared" si="3"/>
        <v/>
      </c>
      <c r="U161" s="595" t="str">
        <f t="shared" si="290"/>
        <v/>
      </c>
      <c r="V161" s="596"/>
      <c r="W161" s="596" t="str">
        <f t="shared" si="291"/>
        <v/>
      </c>
      <c r="X161" s="599" t="str">
        <f t="shared" si="6"/>
        <v/>
      </c>
      <c r="Y161" s="606"/>
      <c r="Z161" s="600" t="str">
        <f>VLOOKUP(F161,'2) Tracker'!$A$3:$Q$505,16,FALSE)</f>
        <v>ETA Singapore 18 Apr</v>
      </c>
      <c r="AA161" s="600" t="str">
        <f>VLOOKUP(F161,'2) Tracker'!$A$3:$R$505,18,FALSE)</f>
        <v>AGT 22-23 May USG</v>
      </c>
      <c r="AB161" s="600">
        <f>VLOOKUP(F161,'2) Tracker'!$A$3:$Q$505,17,FALSE)</f>
        <v>0</v>
      </c>
      <c r="AC161" s="601"/>
      <c r="AD161" s="601">
        <f>VLOOKUP(F161,'2) Tracker'!$A$2:$BO$981,37,FALSE)</f>
        <v>46164</v>
      </c>
      <c r="AE161" s="601">
        <f>VLOOKUP(F161,'2) Tracker'!$A$2:$BO$981,40,FALSE)</f>
        <v>46164</v>
      </c>
      <c r="AF161" s="601">
        <f>VLOOKUP(F161,'2) Tracker'!$A$2:$BO$981,67,FALSE)</f>
        <v>46196</v>
      </c>
      <c r="AG161" s="601" t="str">
        <f>VLOOKUP(F161,'2) Tracker'!$A$2:$BO$981,34,FALSE)</f>
        <v/>
      </c>
      <c r="AH161" s="601" t="str">
        <f>VLOOKUP(F161,'2) Tracker'!$A$2:$BN$981,66,FALSE)</f>
        <v/>
      </c>
      <c r="AI161" s="601" t="str">
        <f>VLOOKUP(F161,'2) Tracker'!$A$2:$BO$981,56,FALSE)</f>
        <v/>
      </c>
      <c r="AJ161" s="601" t="str">
        <f>VLOOKUP(F161,'2) Tracker'!$A$2:$BO$981,52,FALSE)</f>
        <v/>
      </c>
      <c r="AK161" s="601" t="str">
        <f>VLOOKUP(F161,'2) Tracker'!$A$2:$AQ$981,43,FALSE)</f>
        <v/>
      </c>
      <c r="AL161" s="601">
        <f>VLOOKUP(F161,'2) Tracker'!$A$2:$BH$981,46,FALSE())</f>
        <v>46184</v>
      </c>
      <c r="AM161" s="601" t="str">
        <f>VLOOKUP(F161,'2) Tracker'!$A$2:$BO$981,65,FALSE())</f>
        <v/>
      </c>
      <c r="AN161" s="601" t="str">
        <f>VLOOKUP(F161,'2) Tracker'!$A$2:$BK$981,63,FALSE())</f>
        <v/>
      </c>
      <c r="AO161" s="601" t="str">
        <f>VLOOKUP(F161,'2) Tracker'!$A$2:$BF$981,58,FALSE())</f>
        <v/>
      </c>
      <c r="AP161" s="643"/>
      <c r="AQ161" s="643"/>
      <c r="AR161" s="46"/>
      <c r="AS161" s="46"/>
      <c r="AT161" s="46"/>
      <c r="AU161" s="46"/>
      <c r="AV161" s="46"/>
      <c r="AW161" s="46"/>
      <c r="AX161" s="46"/>
      <c r="AY161" s="46"/>
      <c r="AZ161" s="563"/>
      <c r="BA161" s="604" t="e">
        <f>VLOOKUP(AZ161,#REF!,2, FALSE)</f>
        <v>#REF!</v>
      </c>
      <c r="BB161" s="605" t="e">
        <f>VLOOKUP(AZ161,'1) Kpler'!$E$2:$F$500,2,FALSE)</f>
        <v>#N/A</v>
      </c>
      <c r="BC161" s="569"/>
      <c r="BD161" s="563"/>
      <c r="BE161" s="46"/>
      <c r="BF161" s="46"/>
      <c r="BG161" s="563"/>
      <c r="BH161" s="563"/>
      <c r="BI161" s="563"/>
      <c r="BJ161" s="563"/>
    </row>
    <row r="162" spans="2:62" x14ac:dyDescent="0.25">
      <c r="B162" s="589" t="str">
        <f>VLOOKUP(F162,'2) Tracker'!$A$3:$O$411,5,FALSE)</f>
        <v>C</v>
      </c>
      <c r="C162" s="589">
        <f>VLOOKUP(F162,'2) Tracker'!$A$3:$O$411,4,FALSE)</f>
        <v>0</v>
      </c>
      <c r="D162" s="563"/>
      <c r="E162" s="563">
        <f>VLOOKUP(F162,'2) Tracker'!$A$3:$O$407,15,FALSE)</f>
        <v>0</v>
      </c>
      <c r="F162" s="604" t="s">
        <v>302</v>
      </c>
      <c r="G162" s="607">
        <f>VLOOKUP(F162,'2) Tracker'!$A$2:$BO$361,2,FALSE)</f>
        <v>43084</v>
      </c>
      <c r="H162" s="592">
        <f>VLOOKUP(F162,'2) Tracker'!$A$2:$BO$361,3,FALSE)</f>
        <v>84000</v>
      </c>
      <c r="I162" s="600" t="str">
        <f>VLOOKUP(F162,'2) Tracker'!$A$2:$BO$361,9,FALSE)</f>
        <v>Satellite</v>
      </c>
      <c r="J162" s="594" t="str">
        <f>VLOOKUP(F162,'2) Tracker'!$A$2:$BO$361,12,FALSE)</f>
        <v>loads USG</v>
      </c>
      <c r="K162" s="596">
        <f t="shared" si="305"/>
        <v>46164</v>
      </c>
      <c r="L162" s="596">
        <f t="shared" ref="L162:O162" si="310">AE162</f>
        <v>46164</v>
      </c>
      <c r="M162" s="596">
        <f t="shared" si="310"/>
        <v>46196</v>
      </c>
      <c r="N162" s="596" t="str">
        <f t="shared" si="310"/>
        <v/>
      </c>
      <c r="O162" s="597" t="str">
        <f t="shared" si="310"/>
        <v/>
      </c>
      <c r="P162" s="598" t="str">
        <f>IFERROR(IF(VLOOKUP(F162,'Voyage days'!$M$808:$N$819,2,FALSE),"GOA",""),"")</f>
        <v/>
      </c>
      <c r="Q162" s="596" t="str">
        <f t="shared" si="287"/>
        <v/>
      </c>
      <c r="R162" s="596" t="str">
        <f t="shared" si="289"/>
        <v/>
      </c>
      <c r="S162" s="595">
        <f t="shared" si="2"/>
        <v>46184</v>
      </c>
      <c r="T162" s="596" t="str">
        <f t="shared" si="3"/>
        <v/>
      </c>
      <c r="U162" s="596" t="str">
        <f t="shared" si="290"/>
        <v/>
      </c>
      <c r="V162" s="570" t="s">
        <v>1577</v>
      </c>
      <c r="W162" s="596" t="str">
        <f t="shared" si="291"/>
        <v/>
      </c>
      <c r="X162" s="599" t="str">
        <f t="shared" si="6"/>
        <v/>
      </c>
      <c r="Y162" s="611" t="s">
        <v>1183</v>
      </c>
      <c r="Z162" s="600" t="str">
        <f>VLOOKUP(F162,'2) Tracker'!$A$3:$Q$505,16,FALSE)</f>
        <v>ETA USG 20 May via Cape</v>
      </c>
      <c r="AA162" s="600" t="str">
        <f>VLOOKUP(F162,'2) Tracker'!$A$3:$R$505,18,FALSE)</f>
        <v>ATC 22-23 May USG</v>
      </c>
      <c r="AB162" s="600">
        <f>VLOOKUP(F162,'2) Tracker'!$A$3:$Q$505,17,FALSE)</f>
        <v>0</v>
      </c>
      <c r="AC162" s="601"/>
      <c r="AD162" s="601">
        <f>VLOOKUP(F162,'2) Tracker'!$A$2:$BO$981,37,FALSE)</f>
        <v>46164</v>
      </c>
      <c r="AE162" s="601">
        <f>VLOOKUP(F162,'2) Tracker'!$A$2:$BO$981,40,FALSE)</f>
        <v>46164</v>
      </c>
      <c r="AF162" s="601">
        <f>VLOOKUP(F162,'2) Tracker'!$A$2:$BO$981,67,FALSE)</f>
        <v>46196</v>
      </c>
      <c r="AG162" s="601" t="str">
        <f>VLOOKUP(F162,'2) Tracker'!$A$2:$BO$981,34,FALSE)</f>
        <v/>
      </c>
      <c r="AH162" s="601" t="str">
        <f>VLOOKUP(F162,'2) Tracker'!$A$2:$BN$981,66,FALSE)</f>
        <v/>
      </c>
      <c r="AI162" s="601" t="str">
        <f>VLOOKUP(F162,'2) Tracker'!$A$2:$BO$981,56,FALSE)</f>
        <v/>
      </c>
      <c r="AJ162" s="601" t="str">
        <f>VLOOKUP(F162,'2) Tracker'!$A$2:$BO$981,52,FALSE)</f>
        <v/>
      </c>
      <c r="AK162" s="601" t="str">
        <f>VLOOKUP(F162,'2) Tracker'!$A$2:$AQ$981,43,FALSE)</f>
        <v/>
      </c>
      <c r="AL162" s="601">
        <f>VLOOKUP(F162,'2) Tracker'!$A$2:$BH$981,46,FALSE())</f>
        <v>46184</v>
      </c>
      <c r="AM162" s="601" t="str">
        <f>VLOOKUP(F162,'2) Tracker'!$A$2:$BO$981,65,FALSE())</f>
        <v/>
      </c>
      <c r="AN162" s="601" t="str">
        <f>VLOOKUP(F162,'2) Tracker'!$A$2:$BK$981,63,FALSE())</f>
        <v/>
      </c>
      <c r="AO162" s="601" t="str">
        <f>VLOOKUP(F162,'2) Tracker'!$A$2:$BF$981,58,FALSE())</f>
        <v/>
      </c>
      <c r="AP162" s="46"/>
      <c r="AQ162" s="46"/>
      <c r="AR162" s="46"/>
      <c r="AS162" s="46"/>
      <c r="AT162" s="46"/>
      <c r="AU162" s="46"/>
      <c r="AV162" s="46"/>
      <c r="AW162" s="46"/>
      <c r="AX162" s="46"/>
      <c r="AY162" s="46"/>
      <c r="AZ162" s="563"/>
      <c r="BA162" s="604" t="e">
        <f>VLOOKUP(AZ162,#REF!,2, FALSE)</f>
        <v>#REF!</v>
      </c>
      <c r="BB162" s="605" t="e">
        <f>VLOOKUP(AZ162,'1) Kpler'!$E$2:$F$500,2,FALSE)</f>
        <v>#N/A</v>
      </c>
      <c r="BC162" s="569"/>
      <c r="BD162" s="563"/>
      <c r="BE162" s="46"/>
      <c r="BF162" s="46"/>
      <c r="BG162" s="563"/>
      <c r="BH162" s="563"/>
      <c r="BI162" s="563"/>
      <c r="BJ162" s="563"/>
    </row>
    <row r="163" spans="2:62" x14ac:dyDescent="0.25">
      <c r="B163" s="589" t="str">
        <f>VLOOKUP(F163,'2) Tracker'!$A$3:$O$411,5,FALSE)</f>
        <v>C</v>
      </c>
      <c r="C163" s="589">
        <f>VLOOKUP(F163,'2) Tracker'!$A$3:$O$411,4,FALSE)</f>
        <v>0</v>
      </c>
      <c r="D163" s="563"/>
      <c r="E163" s="563">
        <f>VLOOKUP(F163,'2) Tracker'!$A$3:$O$407,15,FALSE)</f>
        <v>0</v>
      </c>
      <c r="F163" s="608" t="s">
        <v>394</v>
      </c>
      <c r="G163" s="591">
        <f>VLOOKUP(F163,'2) Tracker'!$A$2:$BO$361,2,FALSE)</f>
        <v>2023</v>
      </c>
      <c r="H163" s="592">
        <f>VLOOKUP(F163,'2) Tracker'!$A$2:$BO$361,3,FALSE)</f>
        <v>91000</v>
      </c>
      <c r="I163" s="593" t="str">
        <f>VLOOKUP(F163,'2) Tracker'!$A$2:$BO$361,9,FALSE)</f>
        <v>BGN</v>
      </c>
      <c r="J163" s="594" t="str">
        <f>VLOOKUP(F163,'2) Tracker'!$A$2:$BO$361,12,FALSE)</f>
        <v>Eu</v>
      </c>
      <c r="K163" s="595">
        <f t="shared" si="305"/>
        <v>46164</v>
      </c>
      <c r="L163" s="595">
        <f t="shared" ref="L163:O163" si="311">AE163</f>
        <v>46165</v>
      </c>
      <c r="M163" s="596" t="str">
        <f t="shared" si="311"/>
        <v/>
      </c>
      <c r="N163" s="596" t="str">
        <f t="shared" si="311"/>
        <v/>
      </c>
      <c r="O163" s="597" t="str">
        <f t="shared" si="311"/>
        <v/>
      </c>
      <c r="P163" s="598" t="str">
        <f>IFERROR(IF(VLOOKUP(F163,'Voyage days'!$M$808:$N$819,2,FALSE),"GOA",""),"")</f>
        <v/>
      </c>
      <c r="Q163" s="596">
        <f t="shared" si="287"/>
        <v>46151</v>
      </c>
      <c r="R163" s="595">
        <f t="shared" si="289"/>
        <v>46164</v>
      </c>
      <c r="S163" s="595">
        <f t="shared" si="2"/>
        <v>46152</v>
      </c>
      <c r="T163" s="596">
        <f t="shared" si="3"/>
        <v>46161</v>
      </c>
      <c r="U163" s="595" t="str">
        <f t="shared" si="290"/>
        <v/>
      </c>
      <c r="V163" s="595"/>
      <c r="W163" s="595" t="str">
        <f t="shared" si="291"/>
        <v/>
      </c>
      <c r="X163" s="599" t="str">
        <f t="shared" si="6"/>
        <v/>
      </c>
      <c r="Y163" s="594"/>
      <c r="Z163" s="600" t="str">
        <f>VLOOKUP(F163,'2) Tracker'!$A$3:$Q$505,16,FALSE)</f>
        <v>ETA Horizon 8 May</v>
      </c>
      <c r="AA163" s="600" t="str">
        <f>VLOOKUP(F163,'2) Tracker'!$A$3:$R$505,18,FALSE)</f>
        <v>BGN 07-08 Apr USG</v>
      </c>
      <c r="AB163" s="600">
        <f>VLOOKUP(F163,'2) Tracker'!$A$3:$Q$505,17,FALSE)</f>
        <v>0</v>
      </c>
      <c r="AC163" s="601"/>
      <c r="AD163" s="601">
        <f>VLOOKUP(F163,'2) Tracker'!$A$2:$BO$981,37,FALSE)</f>
        <v>46164</v>
      </c>
      <c r="AE163" s="601">
        <f>VLOOKUP(F163,'2) Tracker'!$A$2:$BO$981,40,FALSE)</f>
        <v>46165</v>
      </c>
      <c r="AF163" s="601" t="str">
        <f>VLOOKUP(F163,'2) Tracker'!$A$2:$BO$981,67,FALSE)</f>
        <v/>
      </c>
      <c r="AG163" s="601" t="str">
        <f>VLOOKUP(F163,'2) Tracker'!$A$2:$BO$981,34,FALSE)</f>
        <v/>
      </c>
      <c r="AH163" s="601" t="str">
        <f>VLOOKUP(F163,'2) Tracker'!$A$2:$BN$981,66,FALSE)</f>
        <v/>
      </c>
      <c r="AI163" s="601" t="str">
        <f>VLOOKUP(F163,'2) Tracker'!$A$2:$BO$981,56,FALSE)</f>
        <v/>
      </c>
      <c r="AJ163" s="601" t="str">
        <f>VLOOKUP(F163,'2) Tracker'!$A$2:$BO$981,52,FALSE)</f>
        <v/>
      </c>
      <c r="AK163" s="601">
        <f>VLOOKUP(F163,'2) Tracker'!$A$2:$AQ$981,43,FALSE)</f>
        <v>46161</v>
      </c>
      <c r="AL163" s="601">
        <f>VLOOKUP(F163,'2) Tracker'!$A$2:$BH$981,46,FALSE())</f>
        <v>46152</v>
      </c>
      <c r="AM163" s="601">
        <f>VLOOKUP(F163,'2) Tracker'!$A$2:$BO$981,65,FALSE())</f>
        <v>46151</v>
      </c>
      <c r="AN163" s="601">
        <f>VLOOKUP(F163,'2) Tracker'!$A$2:$BK$981,63,FALSE())</f>
        <v>46164</v>
      </c>
      <c r="AO163" s="601" t="str">
        <f>VLOOKUP(F163,'2) Tracker'!$A$2:$BF$981,58,FALSE())</f>
        <v/>
      </c>
      <c r="AP163" s="46"/>
      <c r="AQ163" s="46"/>
      <c r="AR163" s="46"/>
      <c r="AS163" s="46"/>
      <c r="AT163" s="46"/>
      <c r="AU163" s="46"/>
      <c r="AV163" s="46"/>
      <c r="AW163" s="46"/>
      <c r="AX163" s="46"/>
      <c r="AY163" s="46"/>
      <c r="AZ163" s="605"/>
      <c r="BA163" s="604" t="e">
        <f>VLOOKUP(AZ163,#REF!,2, FALSE)</f>
        <v>#REF!</v>
      </c>
      <c r="BB163" s="605" t="e">
        <f>VLOOKUP(AZ163,'1) Kpler'!$E$2:$F$500,2,FALSE)</f>
        <v>#N/A</v>
      </c>
      <c r="BC163" s="604"/>
      <c r="BD163" s="605"/>
      <c r="BE163" s="46"/>
      <c r="BF163" s="46"/>
      <c r="BG163" s="605"/>
      <c r="BH163" s="605"/>
      <c r="BI163" s="605"/>
      <c r="BJ163" s="605"/>
    </row>
    <row r="164" spans="2:62" x14ac:dyDescent="0.25">
      <c r="B164" s="589">
        <f>VLOOKUP(F164,'2) Tracker'!$A$3:$O$411,5,FALSE)</f>
        <v>0</v>
      </c>
      <c r="C164" s="589">
        <f>VLOOKUP(F164,'2) Tracker'!$A$3:$O$411,4,FALSE)</f>
        <v>0</v>
      </c>
      <c r="D164" s="563"/>
      <c r="E164" s="563">
        <f>VLOOKUP(F164,'2) Tracker'!$A$3:$O$407,15,FALSE)</f>
        <v>0</v>
      </c>
      <c r="F164" s="604" t="s">
        <v>465</v>
      </c>
      <c r="G164" s="591">
        <f>VLOOKUP(F164,'2) Tracker'!$A$2:$BO$361,2,FALSE)</f>
        <v>2024</v>
      </c>
      <c r="H164" s="592">
        <f>VLOOKUP(F164,'2) Tracker'!$A$2:$BO$361,3,FALSE)</f>
        <v>86700</v>
      </c>
      <c r="I164" s="594" t="str">
        <f>VLOOKUP(F164,'2) Tracker'!$A$2:$BO$361,9,FALSE)</f>
        <v>Astomos</v>
      </c>
      <c r="J164" s="594" t="str">
        <f>VLOOKUP(F164,'2) Tracker'!$A$2:$BO$361,12,FALSE)</f>
        <v>Japan</v>
      </c>
      <c r="K164" s="596">
        <f t="shared" si="305"/>
        <v>46164</v>
      </c>
      <c r="L164" s="596">
        <f t="shared" ref="L164:O164" si="312">AE164</f>
        <v>46175</v>
      </c>
      <c r="M164" s="596" t="str">
        <f t="shared" si="312"/>
        <v/>
      </c>
      <c r="N164" s="596">
        <f t="shared" si="312"/>
        <v>46151</v>
      </c>
      <c r="O164" s="597" t="str">
        <f t="shared" si="312"/>
        <v/>
      </c>
      <c r="P164" s="598" t="str">
        <f>IFERROR(IF(VLOOKUP(F164,'Voyage days'!$M$808:$N$819,2,FALSE),"GOA",""),"")</f>
        <v/>
      </c>
      <c r="Q164" s="596">
        <f t="shared" si="287"/>
        <v>46154</v>
      </c>
      <c r="R164" s="595">
        <f t="shared" si="289"/>
        <v>46179</v>
      </c>
      <c r="S164" s="595">
        <f t="shared" si="2"/>
        <v>46169</v>
      </c>
      <c r="T164" s="596">
        <f t="shared" si="3"/>
        <v>46163</v>
      </c>
      <c r="U164" s="595">
        <f t="shared" si="290"/>
        <v>46142</v>
      </c>
      <c r="V164" s="596"/>
      <c r="W164" s="596">
        <f t="shared" si="291"/>
        <v>46141.25</v>
      </c>
      <c r="X164" s="599">
        <f t="shared" si="6"/>
        <v>46144</v>
      </c>
      <c r="Y164" s="594"/>
      <c r="Z164" s="600" t="str">
        <f>VLOOKUP(F164,'2) Tracker'!$A$3:$Q$505,16,FALSE)</f>
        <v>@ 2nd berth Sakai 16 Apr</v>
      </c>
      <c r="AA164" s="600" t="str">
        <f>VLOOKUP(F164,'2) Tracker'!$A$3:$R$505,18,FALSE)</f>
        <v>Astomos 25-26 Mar Dampier</v>
      </c>
      <c r="AB164" s="600">
        <f>VLOOKUP(F164,'2) Tracker'!$A$3:$Q$505,17,FALSE)</f>
        <v>0</v>
      </c>
      <c r="AC164" s="601"/>
      <c r="AD164" s="601">
        <f>VLOOKUP(F164,'2) Tracker'!$A$2:$BO$981,37,FALSE)</f>
        <v>46164</v>
      </c>
      <c r="AE164" s="601">
        <f>VLOOKUP(F164,'2) Tracker'!$A$2:$BO$981,40,FALSE)</f>
        <v>46175</v>
      </c>
      <c r="AF164" s="601" t="str">
        <f>VLOOKUP(F164,'2) Tracker'!$A$2:$BO$981,67,FALSE)</f>
        <v/>
      </c>
      <c r="AG164" s="601">
        <f>VLOOKUP(F164,'2) Tracker'!$A$2:$BO$981,34,FALSE)</f>
        <v>46151</v>
      </c>
      <c r="AH164" s="601" t="str">
        <f>VLOOKUP(F164,'2) Tracker'!$A$2:$BN$981,66,FALSE)</f>
        <v/>
      </c>
      <c r="AI164" s="601">
        <f>VLOOKUP(F164,'2) Tracker'!$A$2:$BO$981,56,FALSE)</f>
        <v>46142</v>
      </c>
      <c r="AJ164" s="601">
        <f>VLOOKUP(F164,'2) Tracker'!$A$2:$BO$981,52,FALSE)</f>
        <v>46141.25</v>
      </c>
      <c r="AK164" s="601">
        <f>VLOOKUP(F164,'2) Tracker'!$A$2:$AQ$981,43,FALSE)</f>
        <v>46163</v>
      </c>
      <c r="AL164" s="601">
        <f>VLOOKUP(F164,'2) Tracker'!$A$2:$BH$981,46,FALSE())</f>
        <v>46169</v>
      </c>
      <c r="AM164" s="601">
        <f>VLOOKUP(F164,'2) Tracker'!$A$2:$BO$981,65,FALSE())</f>
        <v>46154</v>
      </c>
      <c r="AN164" s="601">
        <f>VLOOKUP(F164,'2) Tracker'!$A$2:$BK$981,63,FALSE())</f>
        <v>46179</v>
      </c>
      <c r="AO164" s="601">
        <f>VLOOKUP(F164,'2) Tracker'!$A$2:$BF$981,58,FALSE())</f>
        <v>46144</v>
      </c>
      <c r="AP164" s="46"/>
      <c r="AQ164" s="46"/>
      <c r="AR164" s="46"/>
      <c r="AS164" s="46"/>
      <c r="AT164" s="46"/>
      <c r="AU164" s="46"/>
      <c r="AV164" s="46"/>
      <c r="AW164" s="46"/>
      <c r="AX164" s="46"/>
      <c r="AY164" s="46"/>
      <c r="AZ164" s="563"/>
      <c r="BA164" s="604" t="e">
        <f>VLOOKUP(AZ164,#REF!,2, FALSE)</f>
        <v>#REF!</v>
      </c>
      <c r="BB164" s="605" t="e">
        <f>VLOOKUP(AZ164,'1) Kpler'!$E$2:$F$500,2,FALSE)</f>
        <v>#N/A</v>
      </c>
      <c r="BC164" s="569"/>
      <c r="BD164" s="563"/>
      <c r="BE164" s="46"/>
      <c r="BF164" s="46"/>
      <c r="BG164" s="563"/>
      <c r="BH164" s="563"/>
      <c r="BI164" s="563"/>
      <c r="BJ164" s="563"/>
    </row>
    <row r="165" spans="2:62" x14ac:dyDescent="0.25">
      <c r="B165" s="589">
        <f>VLOOKUP(F165,'2) Tracker'!$A$3:$O$411,5,FALSE)</f>
        <v>0</v>
      </c>
      <c r="C165" s="589">
        <f>VLOOKUP(F165,'2) Tracker'!$A$3:$O$411,4,FALSE)</f>
        <v>0</v>
      </c>
      <c r="D165" s="563"/>
      <c r="E165" s="563" t="str">
        <f>VLOOKUP(F165,'2) Tracker'!$A$3:$O$407,15,FALSE)</f>
        <v>R?</v>
      </c>
      <c r="F165" s="608" t="s">
        <v>803</v>
      </c>
      <c r="G165" s="607">
        <f>VLOOKUP(F165,'2) Tracker'!$A$2:$BO$361,2,FALSE)</f>
        <v>42551</v>
      </c>
      <c r="H165" s="592">
        <f>VLOOKUP(F165,'2) Tracker'!$A$2:$BO$361,3,FALSE)</f>
        <v>84143</v>
      </c>
      <c r="I165" s="593" t="str">
        <f>VLOOKUP(F165,'2) Tracker'!$A$2:$BO$361,9,FALSE)</f>
        <v>BASF</v>
      </c>
      <c r="J165" s="594" t="str">
        <f>VLOOKUP(F165,'2) Tracker'!$A$2:$BO$361,12,FALSE)</f>
        <v>East China</v>
      </c>
      <c r="K165" s="596">
        <f t="shared" si="305"/>
        <v>46164</v>
      </c>
      <c r="L165" s="596">
        <f t="shared" ref="L165:O165" si="313">AE165</f>
        <v>46176</v>
      </c>
      <c r="M165" s="596" t="str">
        <f t="shared" si="313"/>
        <v/>
      </c>
      <c r="N165" s="596">
        <f t="shared" si="313"/>
        <v>46149</v>
      </c>
      <c r="O165" s="597" t="str">
        <f t="shared" si="313"/>
        <v/>
      </c>
      <c r="P165" s="598" t="str">
        <f>IFERROR(IF(VLOOKUP(F165,'Voyage days'!$M$808:$N$819,2,FALSE),"GOA",""),"")</f>
        <v/>
      </c>
      <c r="Q165" s="596">
        <f t="shared" si="287"/>
        <v>46151</v>
      </c>
      <c r="R165" s="596">
        <f t="shared" si="289"/>
        <v>46176</v>
      </c>
      <c r="S165" s="595">
        <f t="shared" si="2"/>
        <v>46167</v>
      </c>
      <c r="T165" s="595">
        <f t="shared" si="3"/>
        <v>46160</v>
      </c>
      <c r="U165" s="596">
        <f t="shared" si="290"/>
        <v>46139</v>
      </c>
      <c r="V165" s="596"/>
      <c r="W165" s="596">
        <f t="shared" si="291"/>
        <v>46139.25</v>
      </c>
      <c r="X165" s="599">
        <f t="shared" si="6"/>
        <v>46145</v>
      </c>
      <c r="Y165" s="606" t="s">
        <v>1558</v>
      </c>
      <c r="Z165" s="600" t="str">
        <f>VLOOKUP(F165,'2) Tracker'!$A$3:$Q$505,16,FALSE)</f>
        <v>ETA Jinshan 16 Apr</v>
      </c>
      <c r="AA165" s="600" t="str">
        <f>VLOOKUP(F165,'2) Tracker'!$A$3:$R$505,18,FALSE)</f>
        <v>BASF 21-22 Feb Freeport</v>
      </c>
      <c r="AB165" s="600">
        <f>VLOOKUP(F165,'2) Tracker'!$A$3:$Q$505,17,FALSE)</f>
        <v>0</v>
      </c>
      <c r="AC165" s="601"/>
      <c r="AD165" s="601">
        <f>VLOOKUP(F165,'2) Tracker'!$A$2:$BO$981,37,FALSE)</f>
        <v>46164</v>
      </c>
      <c r="AE165" s="601">
        <f>VLOOKUP(F165,'2) Tracker'!$A$2:$BO$981,40,FALSE)</f>
        <v>46176</v>
      </c>
      <c r="AF165" s="601" t="str">
        <f>VLOOKUP(F165,'2) Tracker'!$A$2:$BO$981,67,FALSE)</f>
        <v/>
      </c>
      <c r="AG165" s="601">
        <f>VLOOKUP(F165,'2) Tracker'!$A$2:$BO$981,34,FALSE)</f>
        <v>46149</v>
      </c>
      <c r="AH165" s="601" t="str">
        <f>VLOOKUP(F165,'2) Tracker'!$A$2:$BN$981,66,FALSE)</f>
        <v/>
      </c>
      <c r="AI165" s="601">
        <f>VLOOKUP(F165,'2) Tracker'!$A$2:$BO$981,56,FALSE)</f>
        <v>46139</v>
      </c>
      <c r="AJ165" s="601">
        <f>VLOOKUP(F165,'2) Tracker'!$A$2:$BO$981,52,FALSE)</f>
        <v>46139.25</v>
      </c>
      <c r="AK165" s="601">
        <f>VLOOKUP(F165,'2) Tracker'!$A$2:$AQ$981,43,FALSE)</f>
        <v>46160</v>
      </c>
      <c r="AL165" s="601">
        <f>VLOOKUP(F165,'2) Tracker'!$A$2:$BH$981,46,FALSE())</f>
        <v>46167</v>
      </c>
      <c r="AM165" s="601">
        <f>VLOOKUP(F165,'2) Tracker'!$A$2:$BO$981,65,FALSE())</f>
        <v>46151</v>
      </c>
      <c r="AN165" s="601">
        <f>VLOOKUP(F165,'2) Tracker'!$A$2:$BK$981,63,FALSE())</f>
        <v>46176</v>
      </c>
      <c r="AO165" s="601">
        <f>VLOOKUP(F165,'2) Tracker'!$A$2:$BF$981,58,FALSE())</f>
        <v>46145</v>
      </c>
      <c r="AP165" s="46"/>
      <c r="AQ165" s="46"/>
      <c r="AR165" s="46"/>
      <c r="AS165" s="46"/>
      <c r="AT165" s="46"/>
      <c r="AU165" s="46"/>
      <c r="AV165" s="46"/>
      <c r="AW165" s="46"/>
      <c r="AX165" s="46"/>
      <c r="AY165" s="46"/>
      <c r="AZ165" s="563"/>
      <c r="BA165" s="604" t="e">
        <f>VLOOKUP(AZ165,#REF!,2, FALSE)</f>
        <v>#REF!</v>
      </c>
      <c r="BB165" s="605" t="e">
        <f>VLOOKUP(AZ165,'1) Kpler'!$E$2:$F$500,2,FALSE)</f>
        <v>#N/A</v>
      </c>
      <c r="BC165" s="569"/>
      <c r="BD165" s="563"/>
      <c r="BE165" s="46"/>
      <c r="BF165" s="46"/>
      <c r="BG165" s="563"/>
      <c r="BH165" s="563"/>
      <c r="BI165" s="563"/>
      <c r="BJ165" s="563"/>
    </row>
    <row r="166" spans="2:62" x14ac:dyDescent="0.25">
      <c r="B166" s="589">
        <f>VLOOKUP(F166,'2) Tracker'!$A$3:$O$411,5,FALSE)</f>
        <v>0</v>
      </c>
      <c r="C166" s="589">
        <f>VLOOKUP(F166,'2) Tracker'!$A$3:$O$411,4,FALSE)</f>
        <v>0</v>
      </c>
      <c r="D166" s="563"/>
      <c r="E166" s="563">
        <f>VLOOKUP(F166,'2) Tracker'!$A$3:$O$407,15,FALSE)</f>
        <v>0</v>
      </c>
      <c r="F166" s="569" t="s">
        <v>230</v>
      </c>
      <c r="G166" s="607">
        <f>VLOOKUP(F166,'2) Tracker'!$A$2:$BO$361,2,FALSE)</f>
        <v>40848</v>
      </c>
      <c r="H166" s="592">
        <f>VLOOKUP(F166,'2) Tracker'!$A$2:$BO$361,3,FALSE)</f>
        <v>78599.89</v>
      </c>
      <c r="I166" s="594" t="str">
        <f>VLOOKUP(F166,'2) Tracker'!$A$2:$BO$361,9,FALSE)</f>
        <v>SwissChemGas</v>
      </c>
      <c r="J166" s="594" t="str">
        <f>VLOOKUP(F166,'2) Tracker'!$A$2:$BO$361,12,FALSE)</f>
        <v>Singapore ballast</v>
      </c>
      <c r="K166" s="596">
        <f t="shared" si="305"/>
        <v>46165</v>
      </c>
      <c r="L166" s="596">
        <f t="shared" ref="L166:O166" si="314">AE166</f>
        <v>46166</v>
      </c>
      <c r="M166" s="596" t="str">
        <f t="shared" si="314"/>
        <v/>
      </c>
      <c r="N166" s="596">
        <f t="shared" si="314"/>
        <v>46142</v>
      </c>
      <c r="O166" s="597" t="str">
        <f t="shared" si="314"/>
        <v/>
      </c>
      <c r="P166" s="598" t="str">
        <f>IFERROR(IF(VLOOKUP(F166,'Voyage days'!$M$808:$N$819,2,FALSE),"GOA",""),"")</f>
        <v/>
      </c>
      <c r="Q166" s="596">
        <f t="shared" si="287"/>
        <v>46146</v>
      </c>
      <c r="R166" s="596">
        <f t="shared" si="289"/>
        <v>46169</v>
      </c>
      <c r="S166" s="595">
        <f t="shared" si="2"/>
        <v>46160</v>
      </c>
      <c r="T166" s="596">
        <f t="shared" si="3"/>
        <v>46152</v>
      </c>
      <c r="U166" s="596">
        <f t="shared" si="290"/>
        <v>46133</v>
      </c>
      <c r="V166" s="596"/>
      <c r="W166" s="596">
        <f t="shared" si="291"/>
        <v>46137.25</v>
      </c>
      <c r="X166" s="599" t="str">
        <f t="shared" si="6"/>
        <v/>
      </c>
      <c r="Y166" s="606" t="s">
        <v>1619</v>
      </c>
      <c r="Z166" s="600" t="str">
        <f>VLOOKUP(F166,'2) Tracker'!$A$3:$Q$505,16,FALSE)</f>
        <v>ETA Singapore 20 Apr</v>
      </c>
      <c r="AA166" s="600" t="str">
        <f>VLOOKUP(F166,'2) Tracker'!$A$3:$R$505,18,FALSE)</f>
        <v>Marathon 25-26 Feb Freeport</v>
      </c>
      <c r="AB166" s="600" t="str">
        <f>VLOOKUP(F166,'2) Tracker'!$A$3:$Q$505,17,FALSE)</f>
        <v xml:space="preserve">Swiss to BWPS 16-17 to Marathon </v>
      </c>
      <c r="AC166" s="601"/>
      <c r="AD166" s="601">
        <f>VLOOKUP(F166,'2) Tracker'!$A$2:$BO$981,37,FALSE)</f>
        <v>46165</v>
      </c>
      <c r="AE166" s="601">
        <f>VLOOKUP(F166,'2) Tracker'!$A$2:$BO$981,40,FALSE)</f>
        <v>46166</v>
      </c>
      <c r="AF166" s="601" t="str">
        <f>VLOOKUP(F166,'2) Tracker'!$A$2:$BO$981,67,FALSE)</f>
        <v/>
      </c>
      <c r="AG166" s="601">
        <f>VLOOKUP(F166,'2) Tracker'!$A$2:$BO$981,34,FALSE)</f>
        <v>46142</v>
      </c>
      <c r="AH166" s="601" t="str">
        <f>VLOOKUP(F166,'2) Tracker'!$A$2:$BN$981,66,FALSE)</f>
        <v/>
      </c>
      <c r="AI166" s="601">
        <f>VLOOKUP(F166,'2) Tracker'!$A$2:$BO$981,56,FALSE)</f>
        <v>46133</v>
      </c>
      <c r="AJ166" s="601">
        <f>VLOOKUP(F166,'2) Tracker'!$A$2:$BO$981,52,FALSE)</f>
        <v>46137.25</v>
      </c>
      <c r="AK166" s="601">
        <f>VLOOKUP(F166,'2) Tracker'!$A$2:$AQ$981,43,FALSE)</f>
        <v>46152</v>
      </c>
      <c r="AL166" s="601">
        <f>VLOOKUP(F166,'2) Tracker'!$A$2:$BH$981,46,FALSE())</f>
        <v>46160</v>
      </c>
      <c r="AM166" s="601">
        <f>VLOOKUP(F166,'2) Tracker'!$A$2:$BO$981,65,FALSE())</f>
        <v>46146</v>
      </c>
      <c r="AN166" s="601">
        <f>VLOOKUP(F166,'2) Tracker'!$A$2:$BK$981,63,FALSE())</f>
        <v>46169</v>
      </c>
      <c r="AO166" s="601" t="str">
        <f>VLOOKUP(F166,'2) Tracker'!$A$2:$BF$981,58,FALSE())</f>
        <v/>
      </c>
      <c r="AP166" s="46"/>
      <c r="AQ166" s="46"/>
      <c r="AR166" s="46"/>
      <c r="AS166" s="46"/>
      <c r="AT166" s="46"/>
      <c r="AU166" s="46"/>
      <c r="AV166" s="46"/>
      <c r="AW166" s="46"/>
      <c r="AX166" s="46"/>
      <c r="AY166" s="46"/>
      <c r="AZ166" s="605"/>
      <c r="BA166" s="604" t="e">
        <f>VLOOKUP(AZ166,#REF!,2, FALSE)</f>
        <v>#REF!</v>
      </c>
      <c r="BB166" s="605" t="e">
        <f>VLOOKUP(AZ166,'1) Kpler'!$E$2:$F$500,2,FALSE)</f>
        <v>#N/A</v>
      </c>
      <c r="BC166" s="604"/>
      <c r="BD166" s="605"/>
      <c r="BE166" s="46"/>
      <c r="BF166" s="46"/>
      <c r="BG166" s="605"/>
      <c r="BH166" s="605"/>
      <c r="BI166" s="605"/>
      <c r="BJ166" s="605"/>
    </row>
    <row r="167" spans="2:62" x14ac:dyDescent="0.25">
      <c r="B167" s="589">
        <f>VLOOKUP(F167,'2) Tracker'!$A$3:$O$411,5,FALSE)</f>
        <v>0</v>
      </c>
      <c r="C167" s="589">
        <f>VLOOKUP(F167,'2) Tracker'!$A$3:$O$411,4,FALSE)</f>
        <v>0</v>
      </c>
      <c r="D167" s="563" t="s">
        <v>1569</v>
      </c>
      <c r="E167" s="563">
        <f>VLOOKUP(F167,'2) Tracker'!$A$3:$O$407,15,FALSE)</f>
        <v>0</v>
      </c>
      <c r="F167" s="590" t="s">
        <v>354</v>
      </c>
      <c r="G167" s="591">
        <f>VLOOKUP(F167,'2) Tracker'!$A$2:$BO$361,2,FALSE)</f>
        <v>2023</v>
      </c>
      <c r="H167" s="592">
        <f>VLOOKUP(F167,'2) Tracker'!$A$2:$BO$361,3,FALSE)</f>
        <v>86000</v>
      </c>
      <c r="I167" s="600" t="str">
        <f>VLOOKUP(F167,'2) Tracker'!$A$2:$BO$361,9,FALSE)</f>
        <v>Eneos</v>
      </c>
      <c r="J167" s="594" t="str">
        <f>VLOOKUP(F167,'2) Tracker'!$A$2:$BO$361,12,FALSE)</f>
        <v>loads USG</v>
      </c>
      <c r="K167" s="596">
        <f t="shared" si="305"/>
        <v>46165</v>
      </c>
      <c r="L167" s="596">
        <f t="shared" ref="L167:O167" si="315">AE167</f>
        <v>46165</v>
      </c>
      <c r="M167" s="596">
        <f t="shared" si="315"/>
        <v>46197</v>
      </c>
      <c r="N167" s="596" t="str">
        <f t="shared" si="315"/>
        <v/>
      </c>
      <c r="O167" s="597" t="str">
        <f t="shared" si="315"/>
        <v/>
      </c>
      <c r="P167" s="598" t="str">
        <f>IFERROR(IF(VLOOKUP(F167,'Voyage days'!$M$808:$N$819,2,FALSE),"GOA",""),"")</f>
        <v/>
      </c>
      <c r="Q167" s="596" t="str">
        <f t="shared" si="287"/>
        <v/>
      </c>
      <c r="R167" s="596" t="str">
        <f t="shared" si="289"/>
        <v/>
      </c>
      <c r="S167" s="595">
        <f t="shared" si="2"/>
        <v>46185</v>
      </c>
      <c r="T167" s="596" t="str">
        <f t="shared" si="3"/>
        <v/>
      </c>
      <c r="U167" s="596" t="str">
        <f t="shared" si="290"/>
        <v/>
      </c>
      <c r="V167" s="596"/>
      <c r="W167" s="596" t="str">
        <f t="shared" si="291"/>
        <v/>
      </c>
      <c r="X167" s="599" t="str">
        <f t="shared" si="6"/>
        <v/>
      </c>
      <c r="Y167" s="611" t="s">
        <v>1620</v>
      </c>
      <c r="Z167" s="600" t="str">
        <f>VLOOKUP(F167,'2) Tracker'!$A$3:$Q$505,16,FALSE)</f>
        <v>ETA Daesan 16 Apr</v>
      </c>
      <c r="AA167" s="600" t="str">
        <f>VLOOKUP(F167,'2) Tracker'!$A$3:$R$505,18,FALSE)</f>
        <v>Eneos 23-25 May USG</v>
      </c>
      <c r="AB167" s="600">
        <f>VLOOKUP(F167,'2) Tracker'!$A$3:$Q$505,17,FALSE)</f>
        <v>0</v>
      </c>
      <c r="AC167" s="601"/>
      <c r="AD167" s="601">
        <f>VLOOKUP(F167,'2) Tracker'!$A$2:$BO$981,37,FALSE)</f>
        <v>46165</v>
      </c>
      <c r="AE167" s="601">
        <f>VLOOKUP(F167,'2) Tracker'!$A$2:$BO$981,40,FALSE)</f>
        <v>46165</v>
      </c>
      <c r="AF167" s="601">
        <f>VLOOKUP(F167,'2) Tracker'!$A$2:$BO$981,67,FALSE)</f>
        <v>46197</v>
      </c>
      <c r="AG167" s="601" t="str">
        <f>VLOOKUP(F167,'2) Tracker'!$A$2:$BO$981,34,FALSE)</f>
        <v/>
      </c>
      <c r="AH167" s="601" t="str">
        <f>VLOOKUP(F167,'2) Tracker'!$A$2:$BN$981,66,FALSE)</f>
        <v/>
      </c>
      <c r="AI167" s="601" t="str">
        <f>VLOOKUP(F167,'2) Tracker'!$A$2:$BO$981,56,FALSE)</f>
        <v/>
      </c>
      <c r="AJ167" s="601" t="str">
        <f>VLOOKUP(F167,'2) Tracker'!$A$2:$BO$981,52,FALSE)</f>
        <v/>
      </c>
      <c r="AK167" s="601" t="str">
        <f>VLOOKUP(F167,'2) Tracker'!$A$2:$AQ$981,43,FALSE)</f>
        <v/>
      </c>
      <c r="AL167" s="601">
        <f>VLOOKUP(F167,'2) Tracker'!$A$2:$BH$981,46,FALSE())</f>
        <v>46185</v>
      </c>
      <c r="AM167" s="601" t="str">
        <f>VLOOKUP(F167,'2) Tracker'!$A$2:$BO$981,65,FALSE())</f>
        <v/>
      </c>
      <c r="AN167" s="601" t="str">
        <f>VLOOKUP(F167,'2) Tracker'!$A$2:$BK$981,63,FALSE())</f>
        <v/>
      </c>
      <c r="AO167" s="601" t="str">
        <f>VLOOKUP(F167,'2) Tracker'!$A$2:$BF$981,58,FALSE())</f>
        <v/>
      </c>
      <c r="AP167" s="46"/>
      <c r="AQ167" s="46"/>
      <c r="AR167" s="46"/>
      <c r="AS167" s="46"/>
      <c r="AT167" s="46"/>
      <c r="AU167" s="46"/>
      <c r="AV167" s="46"/>
      <c r="AW167" s="46"/>
      <c r="AX167" s="46"/>
      <c r="AY167" s="46"/>
      <c r="AZ167" s="605"/>
      <c r="BA167" s="604" t="e">
        <f>VLOOKUP(AZ167,#REF!,2, FALSE)</f>
        <v>#REF!</v>
      </c>
      <c r="BB167" s="605" t="e">
        <f>VLOOKUP(AZ167,'1) Kpler'!$E$2:$F$500,2,FALSE)</f>
        <v>#N/A</v>
      </c>
      <c r="BC167" s="604"/>
      <c r="BD167" s="605"/>
      <c r="BE167" s="46"/>
      <c r="BF167" s="46"/>
      <c r="BG167" s="605"/>
      <c r="BH167" s="605"/>
      <c r="BI167" s="605"/>
      <c r="BJ167" s="605"/>
    </row>
    <row r="168" spans="2:62" x14ac:dyDescent="0.25">
      <c r="B168" s="589">
        <f>VLOOKUP(F168,'2) Tracker'!$A$3:$O$411,5,FALSE)</f>
        <v>0</v>
      </c>
      <c r="C168" s="589">
        <f>VLOOKUP(F168,'2) Tracker'!$A$3:$O$411,4,FALSE)</f>
        <v>0</v>
      </c>
      <c r="D168" s="563"/>
      <c r="E168" s="563">
        <f>VLOOKUP(F168,'2) Tracker'!$A$3:$O$407,15,FALSE)</f>
        <v>0</v>
      </c>
      <c r="F168" s="604" t="s">
        <v>1199</v>
      </c>
      <c r="G168" s="607">
        <f>VLOOKUP(F168,'2) Tracker'!$A$2:$BO$361,2,FALSE)</f>
        <v>40512</v>
      </c>
      <c r="H168" s="592">
        <f>VLOOKUP(F168,'2) Tracker'!$A$2:$BO$361,3,FALSE)</f>
        <v>83299</v>
      </c>
      <c r="I168" s="600" t="str">
        <f>VLOOKUP(F168,'2) Tracker'!$A$2:$BO$361,9,FALSE)</f>
        <v>SK Gas</v>
      </c>
      <c r="J168" s="594" t="str">
        <f>VLOOKUP(F168,'2) Tracker'!$A$2:$BO$361,12,FALSE)</f>
        <v>Balboa</v>
      </c>
      <c r="K168" s="595">
        <f t="shared" si="305"/>
        <v>46165</v>
      </c>
      <c r="L168" s="595" t="str">
        <f t="shared" ref="L168:O168" si="316">AE168</f>
        <v/>
      </c>
      <c r="M168" s="596" t="str">
        <f t="shared" si="316"/>
        <v/>
      </c>
      <c r="N168" s="596" t="str">
        <f t="shared" si="316"/>
        <v/>
      </c>
      <c r="O168" s="597" t="str">
        <f t="shared" si="316"/>
        <v/>
      </c>
      <c r="P168" s="598" t="str">
        <f>IFERROR(IF(VLOOKUP(F168,'Voyage days'!$M$808:$N$819,2,FALSE),"GOA",""),"")</f>
        <v/>
      </c>
      <c r="Q168" s="596" t="str">
        <f t="shared" si="287"/>
        <v/>
      </c>
      <c r="R168" s="595" t="str">
        <f t="shared" si="289"/>
        <v/>
      </c>
      <c r="S168" s="595" t="str">
        <f t="shared" si="2"/>
        <v/>
      </c>
      <c r="T168" s="596" t="str">
        <f t="shared" si="3"/>
        <v/>
      </c>
      <c r="U168" s="595" t="str">
        <f t="shared" si="290"/>
        <v/>
      </c>
      <c r="V168" s="595"/>
      <c r="W168" s="595" t="str">
        <f t="shared" si="291"/>
        <v/>
      </c>
      <c r="X168" s="599" t="str">
        <f t="shared" si="6"/>
        <v/>
      </c>
      <c r="Y168" s="606"/>
      <c r="Z168" s="600" t="str">
        <f>VLOOKUP(F168,'2) Tracker'!$A$3:$Q$505,16,FALSE)</f>
        <v>ETA Balboa 14 May</v>
      </c>
      <c r="AA168" s="600" t="str">
        <f>VLOOKUP(F168,'2) Tracker'!$A$3:$R$505,18,FALSE)</f>
        <v>SK Gas 18 Feb Enterprise</v>
      </c>
      <c r="AB168" s="600">
        <f>VLOOKUP(F168,'2) Tracker'!$A$3:$Q$505,17,FALSE)</f>
        <v>0</v>
      </c>
      <c r="AC168" s="601"/>
      <c r="AD168" s="601">
        <f>VLOOKUP(F168,'2) Tracker'!$A$2:$BO$981,37,FALSE)</f>
        <v>46165</v>
      </c>
      <c r="AE168" s="601" t="str">
        <f>VLOOKUP(F168,'2) Tracker'!$A$2:$BO$981,40,FALSE)</f>
        <v/>
      </c>
      <c r="AF168" s="601" t="str">
        <f>VLOOKUP(F168,'2) Tracker'!$A$2:$BO$981,67,FALSE)</f>
        <v/>
      </c>
      <c r="AG168" s="601" t="str">
        <f>VLOOKUP(F168,'2) Tracker'!$A$2:$BO$981,34,FALSE)</f>
        <v/>
      </c>
      <c r="AH168" s="601" t="str">
        <f>VLOOKUP(F168,'2) Tracker'!$A$2:$BN$981,66,FALSE)</f>
        <v/>
      </c>
      <c r="AI168" s="601" t="str">
        <f>VLOOKUP(F168,'2) Tracker'!$A$2:$BO$981,56,FALSE)</f>
        <v/>
      </c>
      <c r="AJ168" s="601" t="str">
        <f>VLOOKUP(F168,'2) Tracker'!$A$2:$BO$981,52,FALSE)</f>
        <v/>
      </c>
      <c r="AK168" s="601" t="str">
        <f>VLOOKUP(F168,'2) Tracker'!$A$2:$AQ$981,43,FALSE)</f>
        <v/>
      </c>
      <c r="AL168" s="601" t="str">
        <f>VLOOKUP(F168,'2) Tracker'!$A$2:$BH$981,46,FALSE())</f>
        <v/>
      </c>
      <c r="AM168" s="601" t="str">
        <f>VLOOKUP(F168,'2) Tracker'!$A$2:$BO$981,65,FALSE())</f>
        <v/>
      </c>
      <c r="AN168" s="601" t="str">
        <f>VLOOKUP(F168,'2) Tracker'!$A$2:$BK$981,63,FALSE())</f>
        <v/>
      </c>
      <c r="AO168" s="601" t="str">
        <f>VLOOKUP(F168,'2) Tracker'!$A$2:$BF$981,58,FALSE())</f>
        <v/>
      </c>
      <c r="AP168" s="46"/>
      <c r="AQ168" s="46"/>
      <c r="AR168" s="46"/>
      <c r="AS168" s="46"/>
      <c r="AT168" s="46"/>
      <c r="AU168" s="46"/>
      <c r="AV168" s="46"/>
      <c r="AW168" s="46"/>
      <c r="AX168" s="46"/>
      <c r="AY168" s="46"/>
      <c r="AZ168" s="605"/>
      <c r="BA168" s="604" t="e">
        <f>VLOOKUP(AZ168,#REF!,2, FALSE)</f>
        <v>#REF!</v>
      </c>
      <c r="BB168" s="605" t="e">
        <f>VLOOKUP(AZ168,'1) Kpler'!$E$2:$F$500,2,FALSE)</f>
        <v>#N/A</v>
      </c>
      <c r="BC168" s="604"/>
      <c r="BD168" s="605"/>
      <c r="BE168" s="46"/>
      <c r="BF168" s="46"/>
      <c r="BG168" s="605"/>
      <c r="BH168" s="605"/>
      <c r="BI168" s="605"/>
      <c r="BJ168" s="605"/>
    </row>
    <row r="169" spans="2:62" x14ac:dyDescent="0.25">
      <c r="B169" s="589">
        <f>VLOOKUP(F169,'2) Tracker'!$A$3:$O$411,5,FALSE)</f>
        <v>0</v>
      </c>
      <c r="C169" s="589">
        <f>VLOOKUP(F169,'2) Tracker'!$A$3:$O$411,4,FALSE)</f>
        <v>0</v>
      </c>
      <c r="D169" s="563"/>
      <c r="E169" s="563">
        <f>VLOOKUP(F169,'2) Tracker'!$A$3:$O$407,15,FALSE)</f>
        <v>0</v>
      </c>
      <c r="F169" s="569" t="s">
        <v>1380</v>
      </c>
      <c r="G169" s="591">
        <f>VLOOKUP(F169,'2) Tracker'!$A$2:$BO$361,2,FALSE)</f>
        <v>2023</v>
      </c>
      <c r="H169" s="592">
        <f>VLOOKUP(F169,'2) Tracker'!$A$2:$BO$361,3,FALSE)</f>
        <v>91000</v>
      </c>
      <c r="I169" s="600" t="str">
        <f>VLOOKUP(F169,'2) Tracker'!$A$2:$BO$361,9,FALSE)</f>
        <v>BW</v>
      </c>
      <c r="J169" s="594" t="str">
        <f>VLOOKUP(F169,'2) Tracker'!$A$2:$BO$361,12,FALSE)</f>
        <v>loads USG</v>
      </c>
      <c r="K169" s="596">
        <f t="shared" si="305"/>
        <v>46166</v>
      </c>
      <c r="L169" s="596">
        <f t="shared" ref="L169:O169" si="317">AE169</f>
        <v>46166</v>
      </c>
      <c r="M169" s="596">
        <f t="shared" si="317"/>
        <v>46198</v>
      </c>
      <c r="N169" s="596" t="str">
        <f t="shared" si="317"/>
        <v/>
      </c>
      <c r="O169" s="597" t="str">
        <f t="shared" si="317"/>
        <v/>
      </c>
      <c r="P169" s="598" t="str">
        <f>IFERROR(IF(VLOOKUP(F169,'Voyage days'!$M$808:$N$819,2,FALSE),"GOA",""),"")</f>
        <v/>
      </c>
      <c r="Q169" s="596" t="str">
        <f t="shared" si="287"/>
        <v/>
      </c>
      <c r="R169" s="596" t="str">
        <f t="shared" si="289"/>
        <v/>
      </c>
      <c r="S169" s="595">
        <f t="shared" si="2"/>
        <v>46186</v>
      </c>
      <c r="T169" s="596" t="str">
        <f t="shared" si="3"/>
        <v/>
      </c>
      <c r="U169" s="596" t="str">
        <f t="shared" si="290"/>
        <v/>
      </c>
      <c r="V169" s="596"/>
      <c r="W169" s="596" t="str">
        <f t="shared" si="291"/>
        <v/>
      </c>
      <c r="X169" s="599" t="str">
        <f t="shared" si="6"/>
        <v/>
      </c>
      <c r="Y169" s="611" t="s">
        <v>1382</v>
      </c>
      <c r="Z169" s="600" t="str">
        <f>VLOOKUP(F169,'2) Tracker'!$A$3:$Q$505,16,FALSE)</f>
        <v>ETA 3rd port Kashima 20 Apr</v>
      </c>
      <c r="AA169" s="600" t="str">
        <f>VLOOKUP(F169,'2) Tracker'!$A$3:$R$505,18,FALSE)</f>
        <v>P66 24-25 May USG</v>
      </c>
      <c r="AB169" s="600">
        <f>VLOOKUP(F169,'2) Tracker'!$A$3:$Q$505,17,FALSE)</f>
        <v>0</v>
      </c>
      <c r="AC169" s="601"/>
      <c r="AD169" s="601">
        <f>VLOOKUP(F169,'2) Tracker'!$A$2:$BO$981,37,FALSE)</f>
        <v>46166</v>
      </c>
      <c r="AE169" s="601">
        <f>VLOOKUP(F169,'2) Tracker'!$A$2:$BO$981,40,FALSE)</f>
        <v>46166</v>
      </c>
      <c r="AF169" s="601">
        <f>VLOOKUP(F169,'2) Tracker'!$A$2:$BO$981,67,FALSE)</f>
        <v>46198</v>
      </c>
      <c r="AG169" s="601" t="str">
        <f>VLOOKUP(F169,'2) Tracker'!$A$2:$BO$981,34,FALSE)</f>
        <v/>
      </c>
      <c r="AH169" s="601" t="str">
        <f>VLOOKUP(F169,'2) Tracker'!$A$2:$BN$981,66,FALSE)</f>
        <v/>
      </c>
      <c r="AI169" s="601" t="str">
        <f>VLOOKUP(F169,'2) Tracker'!$A$2:$BO$981,56,FALSE)</f>
        <v/>
      </c>
      <c r="AJ169" s="601" t="str">
        <f>VLOOKUP(F169,'2) Tracker'!$A$2:$BO$981,52,FALSE)</f>
        <v/>
      </c>
      <c r="AK169" s="601" t="str">
        <f>VLOOKUP(F169,'2) Tracker'!$A$2:$AQ$981,43,FALSE)</f>
        <v/>
      </c>
      <c r="AL169" s="601">
        <f>VLOOKUP(F169,'2) Tracker'!$A$2:$BH$981,46,FALSE())</f>
        <v>46186</v>
      </c>
      <c r="AM169" s="601" t="str">
        <f>VLOOKUP(F169,'2) Tracker'!$A$2:$BO$981,65,FALSE())</f>
        <v/>
      </c>
      <c r="AN169" s="601" t="str">
        <f>VLOOKUP(F169,'2) Tracker'!$A$2:$BK$981,63,FALSE())</f>
        <v/>
      </c>
      <c r="AO169" s="601" t="str">
        <f>VLOOKUP(F169,'2) Tracker'!$A$2:$BF$981,58,FALSE())</f>
        <v/>
      </c>
      <c r="AP169" s="46"/>
      <c r="AQ169" s="46"/>
      <c r="AR169" s="46"/>
      <c r="AS169" s="46"/>
      <c r="AT169" s="46"/>
      <c r="AU169" s="46"/>
      <c r="AV169" s="46"/>
      <c r="AW169" s="46"/>
      <c r="AX169" s="46"/>
      <c r="AY169" s="46"/>
      <c r="AZ169" s="591"/>
      <c r="BA169" s="604" t="e">
        <f>VLOOKUP(AZ169,#REF!,2, FALSE)</f>
        <v>#REF!</v>
      </c>
      <c r="BB169" s="605" t="e">
        <f>VLOOKUP(AZ169,'1) Kpler'!$E$2:$F$500,2,FALSE)</f>
        <v>#N/A</v>
      </c>
      <c r="BC169" s="594"/>
      <c r="BD169" s="563"/>
      <c r="BE169" s="46"/>
      <c r="BF169" s="46"/>
      <c r="BG169" s="563"/>
      <c r="BH169" s="563"/>
      <c r="BI169" s="563"/>
      <c r="BJ169" s="563"/>
    </row>
    <row r="170" spans="2:62" x14ac:dyDescent="0.25">
      <c r="B170" s="589">
        <f>VLOOKUP(F170,'2) Tracker'!$A$3:$O$411,5,FALSE)</f>
        <v>0</v>
      </c>
      <c r="C170" s="589" t="str">
        <f>VLOOKUP(F170,'2) Tracker'!$A$3:$O$411,4,FALSE)</f>
        <v>US</v>
      </c>
      <c r="D170" s="563"/>
      <c r="E170" s="563">
        <f>VLOOKUP(F170,'2) Tracker'!$A$3:$O$407,15,FALSE)</f>
        <v>0</v>
      </c>
      <c r="F170" s="569" t="s">
        <v>161</v>
      </c>
      <c r="G170" s="607">
        <f>VLOOKUP(F170,'2) Tracker'!$A$2:$BO$361,2,FALSE)</f>
        <v>42425</v>
      </c>
      <c r="H170" s="592">
        <f>VLOOKUP(F170,'2) Tracker'!$A$2:$BO$361,3,FALSE)</f>
        <v>84000</v>
      </c>
      <c r="I170" s="594" t="str">
        <f>VLOOKUP(F170,'2) Tracker'!$A$2:$BO$361,9,FALSE)</f>
        <v>Helios</v>
      </c>
      <c r="J170" s="594" t="str">
        <f>VLOOKUP(F170,'2) Tracker'!$A$2:$BO$361,12,FALSE)</f>
        <v>loads USG</v>
      </c>
      <c r="K170" s="596">
        <f t="shared" si="305"/>
        <v>46166</v>
      </c>
      <c r="L170" s="596">
        <f t="shared" ref="L170:O170" si="318">AE170</f>
        <v>46166</v>
      </c>
      <c r="M170" s="596">
        <f t="shared" si="318"/>
        <v>46198</v>
      </c>
      <c r="N170" s="596" t="str">
        <f t="shared" si="318"/>
        <v/>
      </c>
      <c r="O170" s="597" t="str">
        <f t="shared" si="318"/>
        <v/>
      </c>
      <c r="P170" s="598" t="str">
        <f>IFERROR(IF(VLOOKUP(F170,'Voyage days'!$M$808:$N$819,2,FALSE),"GOA",""),"")</f>
        <v/>
      </c>
      <c r="Q170" s="596" t="str">
        <f t="shared" si="287"/>
        <v/>
      </c>
      <c r="R170" s="596" t="str">
        <f t="shared" si="289"/>
        <v/>
      </c>
      <c r="S170" s="595">
        <f t="shared" si="2"/>
        <v>46186</v>
      </c>
      <c r="T170" s="596" t="str">
        <f t="shared" si="3"/>
        <v/>
      </c>
      <c r="U170" s="596" t="str">
        <f t="shared" si="290"/>
        <v/>
      </c>
      <c r="V170" s="570" t="s">
        <v>1577</v>
      </c>
      <c r="W170" s="596" t="str">
        <f t="shared" si="291"/>
        <v/>
      </c>
      <c r="X170" s="599" t="str">
        <f t="shared" si="6"/>
        <v/>
      </c>
      <c r="Y170" s="611" t="s">
        <v>1621</v>
      </c>
      <c r="Z170" s="600" t="str">
        <f>VLOOKUP(F170,'2) Tracker'!$A$3:$Q$505,16,FALSE)</f>
        <v>@ 1st port Ulsan 19 Apr</v>
      </c>
      <c r="AA170" s="600" t="str">
        <f>VLOOKUP(F170,'2) Tracker'!$A$3:$R$505,18,FALSE)</f>
        <v>Axpo 27-28 May USG</v>
      </c>
      <c r="AB170" s="600">
        <f>VLOOKUP(F170,'2) Tracker'!$A$3:$Q$505,17,FALSE)</f>
        <v>0</v>
      </c>
      <c r="AC170" s="601"/>
      <c r="AD170" s="601">
        <f>VLOOKUP(F170,'2) Tracker'!$A$2:$BO$981,37,FALSE)</f>
        <v>46166</v>
      </c>
      <c r="AE170" s="601">
        <f>VLOOKUP(F170,'2) Tracker'!$A$2:$BO$981,40,FALSE)</f>
        <v>46166</v>
      </c>
      <c r="AF170" s="601">
        <f>VLOOKUP(F170,'2) Tracker'!$A$2:$BO$981,67,FALSE)</f>
        <v>46198</v>
      </c>
      <c r="AG170" s="601" t="str">
        <f>VLOOKUP(F170,'2) Tracker'!$A$2:$BO$981,34,FALSE)</f>
        <v/>
      </c>
      <c r="AH170" s="601" t="str">
        <f>VLOOKUP(F170,'2) Tracker'!$A$2:$BN$981,66,FALSE)</f>
        <v/>
      </c>
      <c r="AI170" s="601" t="str">
        <f>VLOOKUP(F170,'2) Tracker'!$A$2:$BO$981,56,FALSE)</f>
        <v/>
      </c>
      <c r="AJ170" s="601" t="str">
        <f>VLOOKUP(F170,'2) Tracker'!$A$2:$BO$981,52,FALSE)</f>
        <v/>
      </c>
      <c r="AK170" s="601" t="str">
        <f>VLOOKUP(F170,'2) Tracker'!$A$2:$AQ$981,43,FALSE)</f>
        <v/>
      </c>
      <c r="AL170" s="601">
        <f>VLOOKUP(F170,'2) Tracker'!$A$2:$BH$981,46,FALSE())</f>
        <v>46186</v>
      </c>
      <c r="AM170" s="601" t="str">
        <f>VLOOKUP(F170,'2) Tracker'!$A$2:$BO$981,65,FALSE())</f>
        <v/>
      </c>
      <c r="AN170" s="601" t="str">
        <f>VLOOKUP(F170,'2) Tracker'!$A$2:$BK$981,63,FALSE())</f>
        <v/>
      </c>
      <c r="AO170" s="601" t="str">
        <f>VLOOKUP(F170,'2) Tracker'!$A$2:$BF$981,58,FALSE())</f>
        <v/>
      </c>
      <c r="AP170" s="46"/>
      <c r="AQ170" s="46"/>
      <c r="AR170" s="46"/>
      <c r="AS170" s="46"/>
      <c r="AT170" s="46"/>
      <c r="AU170" s="46"/>
      <c r="AV170" s="46"/>
      <c r="AW170" s="46"/>
      <c r="AX170" s="46"/>
      <c r="AY170" s="46"/>
      <c r="AZ170" s="605"/>
      <c r="BA170" s="604" t="e">
        <f>VLOOKUP(AZ170,#REF!,2, FALSE)</f>
        <v>#REF!</v>
      </c>
      <c r="BB170" s="605" t="e">
        <f>VLOOKUP(AZ170,'1) Kpler'!$E$2:$F$500,2,FALSE)</f>
        <v>#N/A</v>
      </c>
      <c r="BC170" s="604"/>
      <c r="BD170" s="605"/>
      <c r="BE170" s="46"/>
      <c r="BF170" s="46"/>
      <c r="BG170" s="605"/>
      <c r="BH170" s="605"/>
      <c r="BI170" s="605"/>
      <c r="BJ170" s="605"/>
    </row>
    <row r="171" spans="2:62" x14ac:dyDescent="0.25">
      <c r="B171" s="589">
        <f>VLOOKUP(F171,'2) Tracker'!$A$3:$O$411,5,FALSE)</f>
        <v>0</v>
      </c>
      <c r="C171" s="589" t="str">
        <f>VLOOKUP(F171,'2) Tracker'!$A$3:$O$411,4,FALSE)</f>
        <v>US</v>
      </c>
      <c r="D171" s="563"/>
      <c r="E171" s="563">
        <f>VLOOKUP(F171,'2) Tracker'!$A$3:$O$407,15,FALSE)</f>
        <v>0</v>
      </c>
      <c r="F171" s="604" t="s">
        <v>431</v>
      </c>
      <c r="G171" s="607">
        <f>VLOOKUP(F171,'2) Tracker'!$A$2:$BO$361,2,FALSE)</f>
        <v>42326</v>
      </c>
      <c r="H171" s="592">
        <f>VLOOKUP(F171,'2) Tracker'!$A$2:$BO$361,3,FALSE)</f>
        <v>84000</v>
      </c>
      <c r="I171" s="600" t="str">
        <f>VLOOKUP(F171,'2) Tracker'!$A$2:$BO$361,9,FALSE)</f>
        <v>Exxon</v>
      </c>
      <c r="J171" s="594" t="str">
        <f>VLOOKUP(F171,'2) Tracker'!$A$2:$BO$361,12,FALSE)</f>
        <v>loads USG</v>
      </c>
      <c r="K171" s="595">
        <f t="shared" si="305"/>
        <v>46166</v>
      </c>
      <c r="L171" s="595">
        <f t="shared" ref="L171:O171" si="319">AE171</f>
        <v>46166</v>
      </c>
      <c r="M171" s="596">
        <f t="shared" si="319"/>
        <v>46198</v>
      </c>
      <c r="N171" s="597" t="str">
        <f t="shared" si="319"/>
        <v/>
      </c>
      <c r="O171" s="597" t="str">
        <f t="shared" si="319"/>
        <v/>
      </c>
      <c r="P171" s="598" t="str">
        <f>IFERROR(IF(VLOOKUP(F171,'Voyage days'!$M$808:$N$819,2,FALSE),"GOA",""),"")</f>
        <v/>
      </c>
      <c r="Q171" s="596" t="str">
        <f t="shared" si="287"/>
        <v/>
      </c>
      <c r="R171" s="596" t="str">
        <f t="shared" si="289"/>
        <v/>
      </c>
      <c r="S171" s="595">
        <f t="shared" si="2"/>
        <v>46186</v>
      </c>
      <c r="T171" s="596" t="str">
        <f t="shared" si="3"/>
        <v/>
      </c>
      <c r="U171" s="596" t="str">
        <f t="shared" si="290"/>
        <v/>
      </c>
      <c r="V171" s="596"/>
      <c r="W171" s="596" t="str">
        <f t="shared" si="291"/>
        <v/>
      </c>
      <c r="X171" s="599" t="str">
        <f t="shared" si="6"/>
        <v/>
      </c>
      <c r="Y171" s="606" t="s">
        <v>1558</v>
      </c>
      <c r="Z171" s="600" t="str">
        <f>VLOOKUP(F171,'2) Tracker'!$A$3:$Q$505,16,FALSE)</f>
        <v>ETA USG 24 May</v>
      </c>
      <c r="AA171" s="600" t="str">
        <f>VLOOKUP(F171,'2) Tracker'!$A$3:$R$505,18,FALSE)</f>
        <v>Pertamina 27-28 Feb Freeport</v>
      </c>
      <c r="AB171" s="600">
        <f>VLOOKUP(F171,'2) Tracker'!$A$3:$Q$505,17,FALSE)</f>
        <v>0</v>
      </c>
      <c r="AC171" s="601"/>
      <c r="AD171" s="601">
        <f>VLOOKUP(F171,'2) Tracker'!$A$2:$BO$981,37,FALSE)</f>
        <v>46166</v>
      </c>
      <c r="AE171" s="601">
        <f>VLOOKUP(F171,'2) Tracker'!$A$2:$BO$981,40,FALSE)</f>
        <v>46166</v>
      </c>
      <c r="AF171" s="601">
        <f>VLOOKUP(F171,'2) Tracker'!$A$2:$BO$981,67,FALSE)</f>
        <v>46198</v>
      </c>
      <c r="AG171" s="601" t="str">
        <f>VLOOKUP(F171,'2) Tracker'!$A$2:$BO$981,34,FALSE)</f>
        <v/>
      </c>
      <c r="AH171" s="601" t="str">
        <f>VLOOKUP(F171,'2) Tracker'!$A$2:$BN$981,66,FALSE)</f>
        <v/>
      </c>
      <c r="AI171" s="601" t="str">
        <f>VLOOKUP(F171,'2) Tracker'!$A$2:$BO$981,56,FALSE)</f>
        <v/>
      </c>
      <c r="AJ171" s="601" t="str">
        <f>VLOOKUP(F171,'2) Tracker'!$A$2:$BO$981,52,FALSE)</f>
        <v/>
      </c>
      <c r="AK171" s="601" t="str">
        <f>VLOOKUP(F171,'2) Tracker'!$A$2:$AQ$981,43,FALSE)</f>
        <v/>
      </c>
      <c r="AL171" s="601">
        <f>VLOOKUP(F171,'2) Tracker'!$A$2:$BH$981,46,FALSE())</f>
        <v>46186</v>
      </c>
      <c r="AM171" s="601" t="str">
        <f>VLOOKUP(F171,'2) Tracker'!$A$2:$BO$981,65,FALSE())</f>
        <v/>
      </c>
      <c r="AN171" s="601" t="str">
        <f>VLOOKUP(F171,'2) Tracker'!$A$2:$BK$981,63,FALSE())</f>
        <v/>
      </c>
      <c r="AO171" s="601" t="str">
        <f>VLOOKUP(F171,'2) Tracker'!$A$2:$BF$981,58,FALSE())</f>
        <v/>
      </c>
      <c r="AP171" s="46"/>
      <c r="AQ171" s="46"/>
      <c r="AR171" s="46"/>
      <c r="AS171" s="46"/>
      <c r="AT171" s="46"/>
      <c r="AU171" s="46"/>
      <c r="AV171" s="46"/>
      <c r="AW171" s="46"/>
      <c r="AX171" s="46"/>
      <c r="AY171" s="46"/>
      <c r="AZ171" s="563"/>
      <c r="BA171" s="604" t="e">
        <f>VLOOKUP(AZ171,#REF!,2, FALSE)</f>
        <v>#REF!</v>
      </c>
      <c r="BB171" s="605" t="e">
        <f>VLOOKUP(AZ171,'1) Kpler'!$E$2:$F$500,2,FALSE)</f>
        <v>#N/A</v>
      </c>
      <c r="BC171" s="569"/>
      <c r="BD171" s="563"/>
      <c r="BE171" s="46"/>
      <c r="BF171" s="46"/>
      <c r="BG171" s="563"/>
      <c r="BH171" s="563"/>
      <c r="BI171" s="563"/>
      <c r="BJ171" s="563"/>
    </row>
    <row r="172" spans="2:62" x14ac:dyDescent="0.25">
      <c r="B172" s="589">
        <f>VLOOKUP(F172,'2) Tracker'!$A$3:$O$411,5,FALSE)</f>
        <v>0</v>
      </c>
      <c r="C172" s="589">
        <f>VLOOKUP(F172,'2) Tracker'!$A$3:$O$411,4,FALSE)</f>
        <v>0</v>
      </c>
      <c r="D172" s="563"/>
      <c r="E172" s="563">
        <f>VLOOKUP(F172,'2) Tracker'!$A$3:$O$407,15,FALSE)</f>
        <v>0</v>
      </c>
      <c r="F172" s="561" t="s">
        <v>339</v>
      </c>
      <c r="G172" s="615">
        <f>VLOOKUP(F172,'2) Tracker'!$A$2:$BO$361,2,FALSE)</f>
        <v>2017</v>
      </c>
      <c r="H172" s="592">
        <f>VLOOKUP(F172,'2) Tracker'!$A$2:$BO$361,3,FALSE)</f>
        <v>84000</v>
      </c>
      <c r="I172" s="600" t="str">
        <f>VLOOKUP(F172,'2) Tracker'!$A$2:$BO$361,9,FALSE)</f>
        <v>Gyxis</v>
      </c>
      <c r="J172" s="594" t="str">
        <f>VLOOKUP(F172,'2) Tracker'!$A$2:$BO$361,12,FALSE)</f>
        <v>Korea</v>
      </c>
      <c r="K172" s="596">
        <f t="shared" si="305"/>
        <v>46166</v>
      </c>
      <c r="L172" s="596">
        <f t="shared" ref="L172:O172" si="320">AE172</f>
        <v>46174</v>
      </c>
      <c r="M172" s="596" t="str">
        <f t="shared" si="320"/>
        <v/>
      </c>
      <c r="N172" s="596">
        <f t="shared" si="320"/>
        <v>46151</v>
      </c>
      <c r="O172" s="597" t="str">
        <f t="shared" si="320"/>
        <v/>
      </c>
      <c r="P172" s="598" t="str">
        <f>IFERROR(IF(VLOOKUP(F172,'Voyage days'!$M$808:$N$819,2,FALSE),"GOA",""),"")</f>
        <v/>
      </c>
      <c r="Q172" s="596">
        <f t="shared" si="287"/>
        <v>46153</v>
      </c>
      <c r="R172" s="596">
        <f t="shared" si="289"/>
        <v>46178</v>
      </c>
      <c r="S172" s="595">
        <f t="shared" si="2"/>
        <v>46168</v>
      </c>
      <c r="T172" s="596">
        <f t="shared" si="3"/>
        <v>46162</v>
      </c>
      <c r="U172" s="596">
        <f t="shared" si="290"/>
        <v>46141</v>
      </c>
      <c r="V172" s="596"/>
      <c r="W172" s="596">
        <f t="shared" si="291"/>
        <v>46141</v>
      </c>
      <c r="X172" s="599">
        <f t="shared" si="6"/>
        <v>46144</v>
      </c>
      <c r="Y172" s="594"/>
      <c r="Z172" s="600" t="str">
        <f>VLOOKUP(F172,'2) Tracker'!$A$3:$Q$505,16,FALSE)</f>
        <v>ETA 1st port Oita 16 Apr</v>
      </c>
      <c r="AA172" s="600" t="str">
        <f>VLOOKUP(F172,'2) Tracker'!$A$3:$R$505,18,FALSE)</f>
        <v>PetroChina 13-14 Mar Enterprise</v>
      </c>
      <c r="AB172" s="600" t="str">
        <f>VLOOKUP(F172,'2) Tracker'!$A$3:$Q$505,17,FALSE)</f>
        <v>Internally Programmed 24-25 May</v>
      </c>
      <c r="AC172" s="601"/>
      <c r="AD172" s="601">
        <f>VLOOKUP(F172,'2) Tracker'!$A$2:$BO$981,37,FALSE)</f>
        <v>46166</v>
      </c>
      <c r="AE172" s="601">
        <f>VLOOKUP(F172,'2) Tracker'!$A$2:$BO$981,40,FALSE)</f>
        <v>46174</v>
      </c>
      <c r="AF172" s="601" t="str">
        <f>VLOOKUP(F172,'2) Tracker'!$A$2:$BO$981,67,FALSE)</f>
        <v/>
      </c>
      <c r="AG172" s="601">
        <f>VLOOKUP(F172,'2) Tracker'!$A$2:$BO$981,34,FALSE)</f>
        <v>46151</v>
      </c>
      <c r="AH172" s="601" t="str">
        <f>VLOOKUP(F172,'2) Tracker'!$A$2:$BN$981,66,FALSE)</f>
        <v/>
      </c>
      <c r="AI172" s="601">
        <f>VLOOKUP(F172,'2) Tracker'!$A$2:$BO$981,56,FALSE)</f>
        <v>46141</v>
      </c>
      <c r="AJ172" s="601">
        <f>VLOOKUP(F172,'2) Tracker'!$A$2:$BO$981,52,FALSE)</f>
        <v>46141</v>
      </c>
      <c r="AK172" s="601">
        <f>VLOOKUP(F172,'2) Tracker'!$A$2:$AQ$981,43,FALSE)</f>
        <v>46162</v>
      </c>
      <c r="AL172" s="601">
        <f>VLOOKUP(F172,'2) Tracker'!$A$2:$BH$981,46,FALSE())</f>
        <v>46168</v>
      </c>
      <c r="AM172" s="601">
        <f>VLOOKUP(F172,'2) Tracker'!$A$2:$BO$981,65,FALSE())</f>
        <v>46153</v>
      </c>
      <c r="AN172" s="601">
        <f>VLOOKUP(F172,'2) Tracker'!$A$2:$BK$981,63,FALSE())</f>
        <v>46178</v>
      </c>
      <c r="AO172" s="601">
        <f>VLOOKUP(F172,'2) Tracker'!$A$2:$BF$981,58,FALSE())</f>
        <v>46144</v>
      </c>
      <c r="AP172" s="46"/>
      <c r="AQ172" s="46"/>
      <c r="AR172" s="46"/>
      <c r="AS172" s="46"/>
      <c r="AT172" s="46"/>
      <c r="AU172" s="46"/>
      <c r="AV172" s="46"/>
      <c r="AW172" s="46"/>
      <c r="AX172" s="46"/>
      <c r="AY172" s="46"/>
      <c r="AZ172" s="605"/>
      <c r="BA172" s="604" t="e">
        <f>VLOOKUP(AZ172,#REF!,2, FALSE)</f>
        <v>#REF!</v>
      </c>
      <c r="BB172" s="605" t="e">
        <f>VLOOKUP(AZ172,'1) Kpler'!$E$2:$F$500,2,FALSE)</f>
        <v>#N/A</v>
      </c>
      <c r="BC172" s="604"/>
      <c r="BD172" s="605"/>
      <c r="BE172" s="46"/>
      <c r="BF172" s="46"/>
      <c r="BG172" s="605"/>
      <c r="BH172" s="605"/>
      <c r="BI172" s="605"/>
      <c r="BJ172" s="605"/>
    </row>
    <row r="173" spans="2:62" x14ac:dyDescent="0.25">
      <c r="B173" s="589">
        <f>VLOOKUP(F173,'2) Tracker'!$A$3:$O$411,5,FALSE)</f>
        <v>0</v>
      </c>
      <c r="C173" s="589">
        <f>VLOOKUP(F173,'2) Tracker'!$A$3:$O$411,4,FALSE)</f>
        <v>0</v>
      </c>
      <c r="D173" s="563"/>
      <c r="E173" s="563" t="str">
        <f>VLOOKUP(F173,'2) Tracker'!$A$3:$O$407,15,FALSE)</f>
        <v xml:space="preserve"> </v>
      </c>
      <c r="F173" s="608" t="s">
        <v>550</v>
      </c>
      <c r="G173" s="617">
        <f>VLOOKUP(F173,'2) Tracker'!$A$2:$BO$361,2,FALSE)</f>
        <v>37530</v>
      </c>
      <c r="H173" s="592">
        <f>VLOOKUP(F173,'2) Tracker'!$A$2:$BO$361,3,FALSE)</f>
        <v>82200</v>
      </c>
      <c r="I173" s="593" t="str">
        <f>VLOOKUP(F173,'2) Tracker'!$A$2:$BO$361,9,FALSE)</f>
        <v>Pertamina</v>
      </c>
      <c r="J173" s="594" t="str">
        <f>VLOOKUP(F173,'2) Tracker'!$A$2:$BO$361,12,FALSE)</f>
        <v>Indo</v>
      </c>
      <c r="K173" s="596">
        <f t="shared" si="305"/>
        <v>46167</v>
      </c>
      <c r="L173" s="596">
        <f t="shared" ref="L173:O173" si="321">AE173</f>
        <v>46166</v>
      </c>
      <c r="M173" s="596" t="str">
        <f t="shared" si="321"/>
        <v/>
      </c>
      <c r="N173" s="596">
        <f t="shared" si="321"/>
        <v>46140</v>
      </c>
      <c r="O173" s="597" t="str">
        <f t="shared" si="321"/>
        <v/>
      </c>
      <c r="P173" s="598" t="str">
        <f>IFERROR(IF(VLOOKUP(F173,'Voyage days'!$M$808:$N$819,2,FALSE),"GOA",""),"")</f>
        <v/>
      </c>
      <c r="Q173" s="596">
        <f t="shared" si="287"/>
        <v>46143</v>
      </c>
      <c r="R173" s="596">
        <f t="shared" si="289"/>
        <v>46166</v>
      </c>
      <c r="S173" s="595">
        <f t="shared" si="2"/>
        <v>46158</v>
      </c>
      <c r="T173" s="595">
        <f t="shared" si="3"/>
        <v>46149</v>
      </c>
      <c r="U173" s="596">
        <f t="shared" si="290"/>
        <v>46133</v>
      </c>
      <c r="V173" s="570" t="s">
        <v>1577</v>
      </c>
      <c r="W173" s="596">
        <f t="shared" si="291"/>
        <v>46133</v>
      </c>
      <c r="X173" s="599" t="str">
        <f t="shared" si="6"/>
        <v/>
      </c>
      <c r="Y173" s="594"/>
      <c r="Z173" s="600" t="str">
        <f>VLOOKUP(F173,'2) Tracker'!$A$3:$Q$505,16,FALSE)</f>
        <v>Drifting off Kalbut 18 Feb</v>
      </c>
      <c r="AA173" s="600" t="str">
        <f>VLOOKUP(F173,'2) Tracker'!$A$3:$R$505,18,FALSE)</f>
        <v>Perta 24-25 Oct Freeport</v>
      </c>
      <c r="AB173" s="600">
        <f>VLOOKUP(F173,'2) Tracker'!$A$3:$Q$505,17,FALSE)</f>
        <v>0</v>
      </c>
      <c r="AC173" s="601"/>
      <c r="AD173" s="601">
        <f>VLOOKUP(F173,'2) Tracker'!$A$2:$BO$981,37,FALSE)</f>
        <v>46167</v>
      </c>
      <c r="AE173" s="601">
        <f>VLOOKUP(F173,'2) Tracker'!$A$2:$BO$981,40,FALSE)</f>
        <v>46166</v>
      </c>
      <c r="AF173" s="601" t="str">
        <f>VLOOKUP(F173,'2) Tracker'!$A$2:$BO$981,67,FALSE)</f>
        <v/>
      </c>
      <c r="AG173" s="601">
        <f>VLOOKUP(F173,'2) Tracker'!$A$2:$BO$981,34,FALSE)</f>
        <v>46140</v>
      </c>
      <c r="AH173" s="601" t="str">
        <f>VLOOKUP(F173,'2) Tracker'!$A$2:$BN$981,66,FALSE)</f>
        <v/>
      </c>
      <c r="AI173" s="601">
        <f>VLOOKUP(F173,'2) Tracker'!$A$2:$BO$981,56,FALSE)</f>
        <v>46133</v>
      </c>
      <c r="AJ173" s="601">
        <f>VLOOKUP(F173,'2) Tracker'!$A$2:$BO$981,52,FALSE)</f>
        <v>46133</v>
      </c>
      <c r="AK173" s="601">
        <f>VLOOKUP(F173,'2) Tracker'!$A$2:$AQ$981,43,FALSE)</f>
        <v>46149</v>
      </c>
      <c r="AL173" s="601">
        <f>VLOOKUP(F173,'2) Tracker'!$A$2:$BH$981,46,FALSE())</f>
        <v>46158</v>
      </c>
      <c r="AM173" s="601">
        <f>VLOOKUP(F173,'2) Tracker'!$A$2:$BO$981,65,FALSE())</f>
        <v>46143</v>
      </c>
      <c r="AN173" s="601">
        <f>VLOOKUP(F173,'2) Tracker'!$A$2:$BK$981,63,FALSE())</f>
        <v>46166</v>
      </c>
      <c r="AO173" s="601" t="str">
        <f>VLOOKUP(F173,'2) Tracker'!$A$2:$BF$981,58,FALSE())</f>
        <v/>
      </c>
      <c r="AP173" s="46"/>
      <c r="AQ173" s="46"/>
      <c r="AR173" s="46"/>
      <c r="AS173" s="46"/>
      <c r="AT173" s="46"/>
      <c r="AU173" s="46"/>
      <c r="AV173" s="46"/>
      <c r="AW173" s="46"/>
      <c r="AX173" s="46"/>
      <c r="AY173" s="46"/>
      <c r="AZ173" s="605"/>
      <c r="BA173" s="604" t="e">
        <f>VLOOKUP(AZ173,#REF!,2, FALSE)</f>
        <v>#REF!</v>
      </c>
      <c r="BB173" s="605" t="e">
        <f>VLOOKUP(AZ173,'1) Kpler'!$E$2:$F$500,2,FALSE)</f>
        <v>#N/A</v>
      </c>
      <c r="BC173" s="604"/>
      <c r="BD173" s="605"/>
      <c r="BE173" s="46"/>
      <c r="BF173" s="46"/>
      <c r="BG173" s="605"/>
      <c r="BH173" s="605"/>
      <c r="BI173" s="605"/>
      <c r="BJ173" s="605"/>
    </row>
    <row r="174" spans="2:62" x14ac:dyDescent="0.25">
      <c r="B174" s="589">
        <f>VLOOKUP(F174,'2) Tracker'!$A$3:$O$411,5,FALSE)</f>
        <v>0</v>
      </c>
      <c r="C174" s="589">
        <f>VLOOKUP(F174,'2) Tracker'!$A$3:$O$411,4,FALSE)</f>
        <v>0</v>
      </c>
      <c r="D174" s="563"/>
      <c r="E174" s="563" t="str">
        <f>VLOOKUP(F174,'2) Tracker'!$A$3:$O$407,15,FALSE)</f>
        <v>eu</v>
      </c>
      <c r="F174" s="608" t="s">
        <v>285</v>
      </c>
      <c r="G174" s="591">
        <f>VLOOKUP(F174,'2) Tracker'!$A$2:$BO$361,2,FALSE)</f>
        <v>2021</v>
      </c>
      <c r="H174" s="592">
        <f>VLOOKUP(F174,'2) Tracker'!$A$2:$BO$361,3,FALSE)</f>
        <v>84000</v>
      </c>
      <c r="I174" s="593" t="str">
        <f>VLOOKUP(F174,'2) Tracker'!$A$2:$BO$361,9,FALSE)</f>
        <v>BGN</v>
      </c>
      <c r="J174" s="594" t="str">
        <f>VLOOKUP(F174,'2) Tracker'!$A$2:$BO$361,12,FALSE)</f>
        <v>Suez</v>
      </c>
      <c r="K174" s="595">
        <f t="shared" si="305"/>
        <v>46167</v>
      </c>
      <c r="L174" s="595">
        <f t="shared" ref="L174:O174" si="322">AE174</f>
        <v>46170</v>
      </c>
      <c r="M174" s="596" t="str">
        <f t="shared" si="322"/>
        <v/>
      </c>
      <c r="N174" s="596">
        <f t="shared" si="322"/>
        <v>46158</v>
      </c>
      <c r="O174" s="597" t="str">
        <f t="shared" si="322"/>
        <v/>
      </c>
      <c r="P174" s="598" t="str">
        <f>IFERROR(IF(VLOOKUP(F174,'Voyage days'!$M$808:$N$819,2,FALSE),"GOA",""),"")</f>
        <v/>
      </c>
      <c r="Q174" s="596">
        <f t="shared" si="287"/>
        <v>46150</v>
      </c>
      <c r="R174" s="595">
        <f t="shared" si="289"/>
        <v>46150.5</v>
      </c>
      <c r="S174" s="595">
        <f t="shared" si="2"/>
        <v>46157</v>
      </c>
      <c r="T174" s="596">
        <f t="shared" si="3"/>
        <v>46164</v>
      </c>
      <c r="U174" s="595" t="str">
        <f t="shared" si="290"/>
        <v/>
      </c>
      <c r="V174" s="596"/>
      <c r="W174" s="596" t="str">
        <f t="shared" si="291"/>
        <v/>
      </c>
      <c r="X174" s="599" t="str">
        <f t="shared" si="6"/>
        <v/>
      </c>
      <c r="Y174" s="594"/>
      <c r="Z174" s="600" t="str">
        <f>VLOOKUP(F174,'2) Tracker'!$A$3:$Q$505,16,FALSE)</f>
        <v>ETA Port Said 30 Apr</v>
      </c>
      <c r="AA174" s="600" t="str">
        <f>VLOOKUP(F174,'2) Tracker'!$A$3:$R$505,18,FALSE)</f>
        <v>BGN 08-09 Apr Nederland</v>
      </c>
      <c r="AB174" s="600">
        <f>VLOOKUP(F174,'2) Tracker'!$A$3:$Q$505,17,FALSE)</f>
        <v>0</v>
      </c>
      <c r="AC174" s="601"/>
      <c r="AD174" s="601">
        <f>VLOOKUP(F174,'2) Tracker'!$A$2:$BO$981,37,FALSE)</f>
        <v>46167</v>
      </c>
      <c r="AE174" s="601">
        <f>VLOOKUP(F174,'2) Tracker'!$A$2:$BO$981,40,FALSE)</f>
        <v>46170</v>
      </c>
      <c r="AF174" s="601" t="str">
        <f>VLOOKUP(F174,'2) Tracker'!$A$2:$BO$981,67,FALSE)</f>
        <v/>
      </c>
      <c r="AG174" s="601">
        <f>VLOOKUP(F174,'2) Tracker'!$A$2:$BO$981,34,FALSE)</f>
        <v>46158</v>
      </c>
      <c r="AH174" s="601" t="str">
        <f>VLOOKUP(F174,'2) Tracker'!$A$2:$BN$981,66,FALSE)</f>
        <v/>
      </c>
      <c r="AI174" s="601" t="str">
        <f>VLOOKUP(F174,'2) Tracker'!$A$2:$BO$981,56,FALSE)</f>
        <v/>
      </c>
      <c r="AJ174" s="601" t="str">
        <f>VLOOKUP(F174,'2) Tracker'!$A$2:$BO$981,52,FALSE)</f>
        <v/>
      </c>
      <c r="AK174" s="601">
        <f>VLOOKUP(F174,'2) Tracker'!$A$2:$AQ$981,43,FALSE)</f>
        <v>46164</v>
      </c>
      <c r="AL174" s="601">
        <f>VLOOKUP(F174,'2) Tracker'!$A$2:$BH$981,46,FALSE())</f>
        <v>46157</v>
      </c>
      <c r="AM174" s="601">
        <f>VLOOKUP(F174,'2) Tracker'!$A$2:$BO$981,65,FALSE())</f>
        <v>46150</v>
      </c>
      <c r="AN174" s="601">
        <f>VLOOKUP(F174,'2) Tracker'!$A$2:$BK$981,63,FALSE())</f>
        <v>46150.5</v>
      </c>
      <c r="AO174" s="601" t="str">
        <f>VLOOKUP(F174,'2) Tracker'!$A$2:$BF$981,58,FALSE())</f>
        <v/>
      </c>
      <c r="AP174" s="46"/>
      <c r="AQ174" s="46"/>
      <c r="AR174" s="46"/>
      <c r="AS174" s="46"/>
      <c r="AT174" s="46"/>
      <c r="AU174" s="46"/>
      <c r="AV174" s="46"/>
      <c r="AW174" s="46"/>
      <c r="AX174" s="46"/>
      <c r="AY174" s="46"/>
      <c r="AZ174" s="563"/>
      <c r="BA174" s="604" t="e">
        <f>VLOOKUP(AZ174,#REF!,2, FALSE)</f>
        <v>#REF!</v>
      </c>
      <c r="BB174" s="605" t="e">
        <f>VLOOKUP(AZ174,'1) Kpler'!$E$2:$F$500,2,FALSE)</f>
        <v>#N/A</v>
      </c>
      <c r="BC174" s="569"/>
      <c r="BD174" s="563"/>
      <c r="BE174" s="46"/>
      <c r="BF174" s="46"/>
      <c r="BG174" s="563"/>
      <c r="BH174" s="563"/>
      <c r="BI174" s="563"/>
      <c r="BJ174" s="563"/>
    </row>
    <row r="175" spans="2:62" x14ac:dyDescent="0.25">
      <c r="B175" s="589">
        <f>VLOOKUP(F175,'2) Tracker'!$A$3:$O$411,5,FALSE)</f>
        <v>0</v>
      </c>
      <c r="C175" s="589">
        <f>VLOOKUP(F175,'2) Tracker'!$A$3:$O$411,4,FALSE)</f>
        <v>0</v>
      </c>
      <c r="D175" s="563"/>
      <c r="E175" s="563">
        <f>VLOOKUP(F175,'2) Tracker'!$A$3:$O$407,15,FALSE)</f>
        <v>0</v>
      </c>
      <c r="F175" s="594" t="s">
        <v>472</v>
      </c>
      <c r="G175" s="607">
        <f>VLOOKUP(F175,'2) Tracker'!$A$2:$BO$361,2,FALSE)</f>
        <v>39783</v>
      </c>
      <c r="H175" s="592">
        <f>VLOOKUP(F175,'2) Tracker'!$A$2:$BO$361,3,FALSE)</f>
        <v>78000</v>
      </c>
      <c r="I175" s="600" t="str">
        <f>VLOOKUP(F175,'2) Tracker'!$A$2:$BO$361,9,FALSE)</f>
        <v>Exxon</v>
      </c>
      <c r="J175" s="594" t="str">
        <f>VLOOKUP(F175,'2) Tracker'!$A$2:$BO$361,12,FALSE)</f>
        <v>loads USG</v>
      </c>
      <c r="K175" s="595">
        <f t="shared" si="305"/>
        <v>46168</v>
      </c>
      <c r="L175" s="595">
        <f t="shared" ref="L175:O175" si="323">AE175</f>
        <v>46168</v>
      </c>
      <c r="M175" s="596">
        <f t="shared" si="323"/>
        <v>46200</v>
      </c>
      <c r="N175" s="596" t="str">
        <f t="shared" si="323"/>
        <v/>
      </c>
      <c r="O175" s="597" t="str">
        <f t="shared" si="323"/>
        <v/>
      </c>
      <c r="P175" s="598" t="str">
        <f>IFERROR(IF(VLOOKUP(F175,'Voyage days'!$M$808:$N$819,2,FALSE),"GOA",""),"")</f>
        <v/>
      </c>
      <c r="Q175" s="596" t="str">
        <f t="shared" si="287"/>
        <v/>
      </c>
      <c r="R175" s="595" t="str">
        <f t="shared" si="289"/>
        <v/>
      </c>
      <c r="S175" s="595">
        <f t="shared" si="2"/>
        <v>46188</v>
      </c>
      <c r="T175" s="596" t="str">
        <f t="shared" si="3"/>
        <v/>
      </c>
      <c r="U175" s="595" t="str">
        <f t="shared" si="290"/>
        <v/>
      </c>
      <c r="V175" s="570" t="s">
        <v>1577</v>
      </c>
      <c r="W175" s="596" t="str">
        <f t="shared" si="291"/>
        <v/>
      </c>
      <c r="X175" s="599" t="str">
        <f t="shared" si="6"/>
        <v/>
      </c>
      <c r="Y175" s="594"/>
      <c r="Z175" s="600" t="str">
        <f>VLOOKUP(F175,'2) Tracker'!$A$3:$Q$505,16,FALSE)</f>
        <v>ETA Singapore 13 Apr</v>
      </c>
      <c r="AA175" s="600" t="str">
        <f>VLOOKUP(F175,'2) Tracker'!$A$3:$R$505,18,FALSE)</f>
        <v>Marathon 26-27 May USG</v>
      </c>
      <c r="AB175" s="600">
        <f>VLOOKUP(F175,'2) Tracker'!$A$3:$Q$505,17,FALSE)</f>
        <v>0</v>
      </c>
      <c r="AC175" s="601"/>
      <c r="AD175" s="601">
        <f>VLOOKUP(F175,'2) Tracker'!$A$2:$BO$981,37,FALSE)</f>
        <v>46168</v>
      </c>
      <c r="AE175" s="601">
        <f>VLOOKUP(F175,'2) Tracker'!$A$2:$BO$981,40,FALSE)</f>
        <v>46168</v>
      </c>
      <c r="AF175" s="601">
        <f>VLOOKUP(F175,'2) Tracker'!$A$2:$BO$981,67,FALSE)</f>
        <v>46200</v>
      </c>
      <c r="AG175" s="601" t="str">
        <f>VLOOKUP(F175,'2) Tracker'!$A$2:$BO$981,34,FALSE)</f>
        <v/>
      </c>
      <c r="AH175" s="601" t="str">
        <f>VLOOKUP(F175,'2) Tracker'!$A$2:$BN$981,66,FALSE)</f>
        <v/>
      </c>
      <c r="AI175" s="601" t="str">
        <f>VLOOKUP(F175,'2) Tracker'!$A$2:$BO$981,56,FALSE)</f>
        <v/>
      </c>
      <c r="AJ175" s="601" t="str">
        <f>VLOOKUP(F175,'2) Tracker'!$A$2:$BO$981,52,FALSE)</f>
        <v/>
      </c>
      <c r="AK175" s="601" t="str">
        <f>VLOOKUP(F175,'2) Tracker'!$A$2:$AQ$981,43,FALSE)</f>
        <v/>
      </c>
      <c r="AL175" s="601">
        <f>VLOOKUP(F175,'2) Tracker'!$A$2:$BH$981,46,FALSE())</f>
        <v>46188</v>
      </c>
      <c r="AM175" s="601" t="str">
        <f>VLOOKUP(F175,'2) Tracker'!$A$2:$BO$981,65,FALSE())</f>
        <v/>
      </c>
      <c r="AN175" s="601" t="str">
        <f>VLOOKUP(F175,'2) Tracker'!$A$2:$BK$981,63,FALSE())</f>
        <v/>
      </c>
      <c r="AO175" s="601" t="str">
        <f>VLOOKUP(F175,'2) Tracker'!$A$2:$BF$981,58,FALSE())</f>
        <v/>
      </c>
      <c r="AP175" s="46"/>
      <c r="AQ175" s="46"/>
      <c r="AR175" s="46"/>
      <c r="AS175" s="46"/>
      <c r="AT175" s="46"/>
      <c r="AU175" s="46"/>
      <c r="AV175" s="46"/>
      <c r="AW175" s="46"/>
      <c r="AX175" s="46"/>
      <c r="AY175" s="46"/>
      <c r="AZ175" s="605"/>
      <c r="BA175" s="604" t="e">
        <f>VLOOKUP(AZ175,#REF!,2, FALSE)</f>
        <v>#REF!</v>
      </c>
      <c r="BB175" s="605" t="e">
        <f>VLOOKUP(AZ175,'1) Kpler'!$E$2:$F$500,2,FALSE)</f>
        <v>#N/A</v>
      </c>
      <c r="BC175" s="604" t="s">
        <v>1622</v>
      </c>
      <c r="BD175" s="605"/>
      <c r="BE175" s="46"/>
      <c r="BF175" s="46"/>
      <c r="BG175" s="605"/>
      <c r="BH175" s="605"/>
      <c r="BI175" s="605"/>
      <c r="BJ175" s="605"/>
    </row>
    <row r="176" spans="2:62" x14ac:dyDescent="0.25">
      <c r="B176" s="589" t="str">
        <f>VLOOKUP(F176,'2) Tracker'!$A$3:$O$411,5,FALSE)</f>
        <v>C</v>
      </c>
      <c r="C176" s="589" t="str">
        <f>VLOOKUP(F176,'2) Tracker'!$A$3:$O$411,4,FALSE)</f>
        <v>US</v>
      </c>
      <c r="D176" s="563"/>
      <c r="E176" s="563">
        <f>VLOOKUP(F176,'2) Tracker'!$A$3:$O$407,15,FALSE)</f>
        <v>0</v>
      </c>
      <c r="F176" s="604" t="s">
        <v>99</v>
      </c>
      <c r="G176" s="591">
        <f>VLOOKUP(F176,'2) Tracker'!$A$2:$BO$361,2,FALSE)</f>
        <v>2023</v>
      </c>
      <c r="H176" s="592">
        <f>VLOOKUP(F176,'2) Tracker'!$A$2:$BO$361,3,FALSE)</f>
        <v>91000</v>
      </c>
      <c r="I176" s="600" t="str">
        <f>VLOOKUP(F176,'2) Tracker'!$A$2:$BO$361,9,FALSE)</f>
        <v>Neptune</v>
      </c>
      <c r="J176" s="594" t="str">
        <f>VLOOKUP(F176,'2) Tracker'!$A$2:$BO$361,12,FALSE)</f>
        <v>loads USG</v>
      </c>
      <c r="K176" s="595">
        <f t="shared" si="305"/>
        <v>46168</v>
      </c>
      <c r="L176" s="595">
        <f t="shared" ref="L176:O176" si="324">AE176</f>
        <v>46168</v>
      </c>
      <c r="M176" s="596">
        <f t="shared" si="324"/>
        <v>46200</v>
      </c>
      <c r="N176" s="596" t="str">
        <f t="shared" si="324"/>
        <v/>
      </c>
      <c r="O176" s="597" t="str">
        <f t="shared" si="324"/>
        <v/>
      </c>
      <c r="P176" s="598" t="str">
        <f>IFERROR(IF(VLOOKUP(F176,'Voyage days'!$M$808:$N$819,2,FALSE),"GOA",""),"")</f>
        <v/>
      </c>
      <c r="Q176" s="596" t="str">
        <f t="shared" si="287"/>
        <v/>
      </c>
      <c r="R176" s="595" t="str">
        <f t="shared" si="289"/>
        <v/>
      </c>
      <c r="S176" s="595">
        <f t="shared" si="2"/>
        <v>46188</v>
      </c>
      <c r="T176" s="596" t="str">
        <f t="shared" si="3"/>
        <v/>
      </c>
      <c r="U176" s="595" t="str">
        <f t="shared" si="290"/>
        <v/>
      </c>
      <c r="V176" s="596"/>
      <c r="W176" s="596" t="str">
        <f t="shared" si="291"/>
        <v/>
      </c>
      <c r="X176" s="599" t="str">
        <f t="shared" si="6"/>
        <v/>
      </c>
      <c r="Y176" s="611" t="s">
        <v>1520</v>
      </c>
      <c r="Z176" s="600" t="str">
        <f>VLOOKUP(F176,'2) Tracker'!$A$3:$Q$505,16,FALSE)</f>
        <v>ETA Singapore 21 Apr</v>
      </c>
      <c r="AA176" s="600" t="str">
        <f>VLOOKUP(F176,'2) Tracker'!$A$3:$R$505,18,FALSE)</f>
        <v>Geogas 26-27 May USG</v>
      </c>
      <c r="AB176" s="600">
        <f>VLOOKUP(F176,'2) Tracker'!$A$3:$Q$505,17,FALSE)</f>
        <v>0</v>
      </c>
      <c r="AC176" s="601"/>
      <c r="AD176" s="601">
        <f>VLOOKUP(F176,'2) Tracker'!$A$2:$BO$981,37,FALSE)</f>
        <v>46168</v>
      </c>
      <c r="AE176" s="601">
        <f>VLOOKUP(F176,'2) Tracker'!$A$2:$BO$981,40,FALSE)</f>
        <v>46168</v>
      </c>
      <c r="AF176" s="601">
        <f>VLOOKUP(F176,'2) Tracker'!$A$2:$BO$981,67,FALSE)</f>
        <v>46200</v>
      </c>
      <c r="AG176" s="601" t="str">
        <f>VLOOKUP(F176,'2) Tracker'!$A$2:$BO$981,34,FALSE)</f>
        <v/>
      </c>
      <c r="AH176" s="601" t="str">
        <f>VLOOKUP(F176,'2) Tracker'!$A$2:$BN$981,66,FALSE)</f>
        <v/>
      </c>
      <c r="AI176" s="601" t="str">
        <f>VLOOKUP(F176,'2) Tracker'!$A$2:$BO$981,56,FALSE)</f>
        <v/>
      </c>
      <c r="AJ176" s="601" t="str">
        <f>VLOOKUP(F176,'2) Tracker'!$A$2:$BO$981,52,FALSE)</f>
        <v/>
      </c>
      <c r="AK176" s="601" t="str">
        <f>VLOOKUP(F176,'2) Tracker'!$A$2:$AQ$981,43,FALSE)</f>
        <v/>
      </c>
      <c r="AL176" s="601">
        <f>VLOOKUP(F176,'2) Tracker'!$A$2:$BH$981,46,FALSE())</f>
        <v>46188</v>
      </c>
      <c r="AM176" s="601" t="str">
        <f>VLOOKUP(F176,'2) Tracker'!$A$2:$BO$981,65,FALSE())</f>
        <v/>
      </c>
      <c r="AN176" s="601" t="str">
        <f>VLOOKUP(F176,'2) Tracker'!$A$2:$BK$981,63,FALSE())</f>
        <v/>
      </c>
      <c r="AO176" s="601" t="str">
        <f>VLOOKUP(F176,'2) Tracker'!$A$2:$BF$981,58,FALSE())</f>
        <v/>
      </c>
      <c r="AP176" s="46"/>
      <c r="AQ176" s="46"/>
      <c r="AR176" s="46"/>
      <c r="AS176" s="46"/>
      <c r="AT176" s="46"/>
      <c r="AU176" s="46"/>
      <c r="AV176" s="46"/>
      <c r="AW176" s="46"/>
      <c r="AX176" s="46"/>
      <c r="AY176" s="46"/>
      <c r="AZ176" s="563"/>
      <c r="BA176" s="604" t="e">
        <f>VLOOKUP(AZ176,#REF!,2, FALSE)</f>
        <v>#REF!</v>
      </c>
      <c r="BB176" s="605" t="e">
        <f>VLOOKUP(AZ176,'1) Kpler'!$E$2:$F$500,2,FALSE)</f>
        <v>#N/A</v>
      </c>
      <c r="BC176" s="569"/>
      <c r="BD176" s="563"/>
      <c r="BE176" s="46"/>
      <c r="BF176" s="46"/>
      <c r="BG176" s="563"/>
      <c r="BH176" s="563"/>
      <c r="BI176" s="563"/>
      <c r="BJ176" s="563"/>
    </row>
    <row r="177" spans="2:62" x14ac:dyDescent="0.25">
      <c r="B177" s="589" t="str">
        <f>VLOOKUP(F177,'2) Tracker'!$A$3:$O$411,5,FALSE)</f>
        <v>C</v>
      </c>
      <c r="C177" s="589">
        <f>VLOOKUP(F177,'2) Tracker'!$A$3:$O$411,4,FALSE)</f>
        <v>0</v>
      </c>
      <c r="D177" s="563"/>
      <c r="E177" s="563">
        <f>VLOOKUP(F177,'2) Tracker'!$A$3:$O$407,15,FALSE)</f>
        <v>0</v>
      </c>
      <c r="F177" s="604" t="s">
        <v>93</v>
      </c>
      <c r="G177" s="591">
        <f>VLOOKUP(F177,'2) Tracker'!$A$2:$BO$361,2,FALSE)</f>
        <v>2006</v>
      </c>
      <c r="H177" s="592">
        <f>VLOOKUP(F177,'2) Tracker'!$A$2:$BO$361,3,FALSE)</f>
        <v>82252</v>
      </c>
      <c r="I177" s="594" t="str">
        <f>VLOOKUP(F177,'2) Tracker'!$A$2:$BO$361,9,FALSE)</f>
        <v>BW</v>
      </c>
      <c r="J177" s="594" t="str">
        <f>VLOOKUP(F177,'2) Tracker'!$A$2:$BO$361,12,FALSE)</f>
        <v>loads USG</v>
      </c>
      <c r="K177" s="596">
        <f t="shared" si="305"/>
        <v>46168</v>
      </c>
      <c r="L177" s="595">
        <f t="shared" ref="L177:O177" si="325">AE177</f>
        <v>46168</v>
      </c>
      <c r="M177" s="596">
        <f t="shared" si="325"/>
        <v>46200</v>
      </c>
      <c r="N177" s="596" t="str">
        <f t="shared" si="325"/>
        <v/>
      </c>
      <c r="O177" s="597" t="str">
        <f t="shared" si="325"/>
        <v/>
      </c>
      <c r="P177" s="598" t="str">
        <f>IFERROR(IF(VLOOKUP(F177,'Voyage days'!$M$808:$N$819,2,FALSE),"GOA",""),"")</f>
        <v/>
      </c>
      <c r="Q177" s="596" t="str">
        <f t="shared" si="287"/>
        <v/>
      </c>
      <c r="R177" s="596" t="str">
        <f t="shared" si="289"/>
        <v/>
      </c>
      <c r="S177" s="595">
        <f t="shared" si="2"/>
        <v>46188</v>
      </c>
      <c r="T177" s="595" t="str">
        <f t="shared" si="3"/>
        <v/>
      </c>
      <c r="U177" s="596" t="str">
        <f t="shared" si="290"/>
        <v/>
      </c>
      <c r="V177" s="570" t="s">
        <v>1577</v>
      </c>
      <c r="W177" s="596" t="str">
        <f t="shared" si="291"/>
        <v/>
      </c>
      <c r="X177" s="599" t="str">
        <f t="shared" si="6"/>
        <v/>
      </c>
      <c r="Y177" s="606"/>
      <c r="Z177" s="600" t="str">
        <f>VLOOKUP(F177,'2) Tracker'!$A$3:$Q$505,16,FALSE)</f>
        <v>ETA Port Elizabeth 23 Apr</v>
      </c>
      <c r="AA177" s="600" t="str">
        <f>VLOOKUP(F177,'2) Tracker'!$A$3:$R$505,18,FALSE)</f>
        <v>Wanhua 26-27 May USG</v>
      </c>
      <c r="AB177" s="600">
        <f>VLOOKUP(F177,'2) Tracker'!$A$3:$Q$505,17,FALSE)</f>
        <v>0</v>
      </c>
      <c r="AC177" s="601"/>
      <c r="AD177" s="601">
        <f>VLOOKUP(F177,'2) Tracker'!$A$2:$BO$981,37,FALSE)</f>
        <v>46168</v>
      </c>
      <c r="AE177" s="601">
        <f>VLOOKUP(F177,'2) Tracker'!$A$2:$BO$981,40,FALSE)</f>
        <v>46168</v>
      </c>
      <c r="AF177" s="601">
        <f>VLOOKUP(F177,'2) Tracker'!$A$2:$BO$981,67,FALSE)</f>
        <v>46200</v>
      </c>
      <c r="AG177" s="601" t="str">
        <f>VLOOKUP(F177,'2) Tracker'!$A$2:$BO$981,34,FALSE)</f>
        <v/>
      </c>
      <c r="AH177" s="601" t="str">
        <f>VLOOKUP(F177,'2) Tracker'!$A$2:$BN$981,66,FALSE)</f>
        <v/>
      </c>
      <c r="AI177" s="601" t="str">
        <f>VLOOKUP(F177,'2) Tracker'!$A$2:$BO$981,56,FALSE)</f>
        <v/>
      </c>
      <c r="AJ177" s="601" t="str">
        <f>VLOOKUP(F177,'2) Tracker'!$A$2:$BO$981,52,FALSE)</f>
        <v/>
      </c>
      <c r="AK177" s="601" t="str">
        <f>VLOOKUP(F177,'2) Tracker'!$A$2:$AQ$981,43,FALSE)</f>
        <v/>
      </c>
      <c r="AL177" s="601">
        <f>VLOOKUP(F177,'2) Tracker'!$A$2:$BH$981,46,FALSE())</f>
        <v>46188</v>
      </c>
      <c r="AM177" s="601" t="str">
        <f>VLOOKUP(F177,'2) Tracker'!$A$2:$BO$981,65,FALSE())</f>
        <v/>
      </c>
      <c r="AN177" s="601" t="str">
        <f>VLOOKUP(F177,'2) Tracker'!$A$2:$BK$981,63,FALSE())</f>
        <v/>
      </c>
      <c r="AO177" s="601" t="str">
        <f>VLOOKUP(F177,'2) Tracker'!$A$2:$BF$981,58,FALSE())</f>
        <v/>
      </c>
      <c r="AP177" s="46"/>
      <c r="AQ177" s="46"/>
      <c r="AR177" s="46"/>
      <c r="AS177" s="46"/>
      <c r="AT177" s="46"/>
      <c r="AU177" s="46"/>
      <c r="AV177" s="46"/>
      <c r="AW177" s="46"/>
      <c r="AX177" s="46"/>
      <c r="AY177" s="46"/>
      <c r="AZ177" s="605"/>
      <c r="BA177" s="604" t="e">
        <f>VLOOKUP(AZ177,#REF!,2, FALSE)</f>
        <v>#REF!</v>
      </c>
      <c r="BB177" s="605" t="e">
        <f>VLOOKUP(AZ177,'1) Kpler'!$E$2:$F$500,2,FALSE)</f>
        <v>#N/A</v>
      </c>
      <c r="BC177" s="604"/>
      <c r="BD177" s="605"/>
      <c r="BE177" s="46"/>
      <c r="BF177" s="46"/>
      <c r="BG177" s="605"/>
      <c r="BH177" s="605"/>
      <c r="BI177" s="605"/>
      <c r="BJ177" s="605"/>
    </row>
    <row r="178" spans="2:62" x14ac:dyDescent="0.25">
      <c r="B178" s="589">
        <f>VLOOKUP(F178,'2) Tracker'!$A$3:$O$411,5,FALSE)</f>
        <v>0</v>
      </c>
      <c r="C178" s="589">
        <f>VLOOKUP(F178,'2) Tracker'!$A$3:$O$411,4,FALSE)</f>
        <v>0</v>
      </c>
      <c r="D178" s="563"/>
      <c r="E178" s="563">
        <f>VLOOKUP(F178,'2) Tracker'!$A$3:$O$407,15,FALSE)</f>
        <v>0</v>
      </c>
      <c r="F178" s="569" t="s">
        <v>25</v>
      </c>
      <c r="G178" s="591">
        <f>VLOOKUP(F178,'2) Tracker'!$A$2:$BO$361,2,FALSE)</f>
        <v>2008</v>
      </c>
      <c r="H178" s="592">
        <f>VLOOKUP(F178,'2) Tracker'!$A$2:$BO$361,3,FALSE)</f>
        <v>84000</v>
      </c>
      <c r="I178" s="594" t="str">
        <f>VLOOKUP(F178,'2) Tracker'!$A$2:$BO$361,9,FALSE)</f>
        <v>AGT&gt;ATL 60-90days</v>
      </c>
      <c r="J178" s="594" t="str">
        <f>VLOOKUP(F178,'2) Tracker'!$A$2:$BO$361,12,FALSE)</f>
        <v>South China</v>
      </c>
      <c r="K178" s="596">
        <f t="shared" si="305"/>
        <v>46168</v>
      </c>
      <c r="L178" s="596">
        <f t="shared" ref="L178:O178" si="326">AE178</f>
        <v>46174</v>
      </c>
      <c r="M178" s="596" t="str">
        <f t="shared" si="326"/>
        <v/>
      </c>
      <c r="N178" s="596">
        <f t="shared" si="326"/>
        <v>46147</v>
      </c>
      <c r="O178" s="597" t="str">
        <f t="shared" si="326"/>
        <v/>
      </c>
      <c r="P178" s="633" t="s">
        <v>1567</v>
      </c>
      <c r="Q178" s="597">
        <f t="shared" si="287"/>
        <v>46150</v>
      </c>
      <c r="R178" s="595">
        <f t="shared" si="289"/>
        <v>46174</v>
      </c>
      <c r="S178" s="595">
        <f t="shared" si="2"/>
        <v>46165</v>
      </c>
      <c r="T178" s="596">
        <f t="shared" si="3"/>
        <v>46158</v>
      </c>
      <c r="U178" s="595">
        <f t="shared" si="290"/>
        <v>46137</v>
      </c>
      <c r="V178" s="596"/>
      <c r="W178" s="596">
        <f t="shared" si="291"/>
        <v>46138.75</v>
      </c>
      <c r="X178" s="599" t="str">
        <f t="shared" si="6"/>
        <v/>
      </c>
      <c r="Y178" s="614"/>
      <c r="Z178" s="600" t="str">
        <f>VLOOKUP(F178,'2) Tracker'!$A$3:$Q$505,16,FALSE)</f>
        <v>ATC short TC, ETA South China 18 Apr</v>
      </c>
      <c r="AA178" s="600" t="str">
        <f>VLOOKUP(F178,'2) Tracker'!$A$3:$R$505,18,FALSE)</f>
        <v>ATC End Mar Yanbu (short TC)</v>
      </c>
      <c r="AB178" s="600">
        <f>VLOOKUP(F178,'2) Tracker'!$A$3:$Q$505,17,FALSE)</f>
        <v>0</v>
      </c>
      <c r="AC178" s="601"/>
      <c r="AD178" s="601">
        <f>VLOOKUP(F178,'2) Tracker'!$A$2:$BO$981,37,FALSE)</f>
        <v>46168</v>
      </c>
      <c r="AE178" s="601">
        <f>VLOOKUP(F178,'2) Tracker'!$A$2:$BO$981,40,FALSE)</f>
        <v>46174</v>
      </c>
      <c r="AF178" s="601" t="str">
        <f>VLOOKUP(F178,'2) Tracker'!$A$2:$BO$981,67,FALSE)</f>
        <v/>
      </c>
      <c r="AG178" s="601">
        <f>VLOOKUP(F178,'2) Tracker'!$A$2:$BO$981,34,FALSE)</f>
        <v>46147</v>
      </c>
      <c r="AH178" s="601" t="str">
        <f>VLOOKUP(F178,'2) Tracker'!$A$2:$BN$981,66,FALSE)</f>
        <v/>
      </c>
      <c r="AI178" s="601">
        <f>VLOOKUP(F178,'2) Tracker'!$A$2:$BO$981,56,FALSE)</f>
        <v>46137</v>
      </c>
      <c r="AJ178" s="601">
        <f>VLOOKUP(F178,'2) Tracker'!$A$2:$BO$981,52,FALSE)</f>
        <v>46138.75</v>
      </c>
      <c r="AK178" s="601">
        <f>VLOOKUP(F178,'2) Tracker'!$A$2:$AQ$981,43,FALSE)</f>
        <v>46158</v>
      </c>
      <c r="AL178" s="601">
        <f>VLOOKUP(F178,'2) Tracker'!$A$2:$BH$981,46,FALSE())</f>
        <v>46165</v>
      </c>
      <c r="AM178" s="601">
        <f>VLOOKUP(F178,'2) Tracker'!$A$2:$BO$981,65,FALSE())</f>
        <v>46150</v>
      </c>
      <c r="AN178" s="601">
        <f>VLOOKUP(F178,'2) Tracker'!$A$2:$BK$981,63,FALSE())</f>
        <v>46174</v>
      </c>
      <c r="AO178" s="601" t="str">
        <f>VLOOKUP(F178,'2) Tracker'!$A$2:$BF$981,58,FALSE())</f>
        <v/>
      </c>
      <c r="AP178" s="46"/>
      <c r="AQ178" s="46"/>
      <c r="AR178" s="46"/>
      <c r="AS178" s="46"/>
      <c r="AT178" s="46"/>
      <c r="AU178" s="46"/>
      <c r="AV178" s="625" t="s">
        <v>1564</v>
      </c>
      <c r="AW178" s="46"/>
      <c r="AX178" s="46"/>
      <c r="AY178" s="46"/>
      <c r="AZ178" s="605"/>
      <c r="BA178" s="604" t="e">
        <f>VLOOKUP(AZ178,#REF!,2, FALSE)</f>
        <v>#REF!</v>
      </c>
      <c r="BB178" s="605" t="e">
        <f>VLOOKUP(AZ178,'1) Kpler'!$E$2:$F$500,2,FALSE)</f>
        <v>#N/A</v>
      </c>
      <c r="BC178" s="604" t="s">
        <v>1588</v>
      </c>
      <c r="BD178" s="605"/>
      <c r="BE178" s="46"/>
      <c r="BF178" s="46"/>
      <c r="BG178" s="605"/>
      <c r="BH178" s="605"/>
      <c r="BI178" s="605"/>
      <c r="BJ178" s="605"/>
    </row>
    <row r="179" spans="2:62" x14ac:dyDescent="0.25">
      <c r="B179" s="638"/>
      <c r="C179" s="589">
        <f>VLOOKUP(F179,'2) Tracker'!$A$3:$O$411,4,FALSE)</f>
        <v>0</v>
      </c>
      <c r="D179" s="563"/>
      <c r="E179" s="563">
        <f>VLOOKUP(F179,'2) Tracker'!$A$3:$O$407,15,FALSE)</f>
        <v>0</v>
      </c>
      <c r="F179" s="604" t="s">
        <v>528</v>
      </c>
      <c r="G179" s="607">
        <f>VLOOKUP(F179,'2) Tracker'!$A$2:$BO$361,2,FALSE)</f>
        <v>42937</v>
      </c>
      <c r="H179" s="592">
        <f>VLOOKUP(F179,'2) Tracker'!$A$2:$BO$361,3,FALSE)</f>
        <v>84000</v>
      </c>
      <c r="I179" s="594" t="str">
        <f>VLOOKUP(F179,'2) Tracker'!$A$2:$BO$361,9,FALSE)</f>
        <v>Wanhua</v>
      </c>
      <c r="J179" s="594" t="str">
        <f>VLOOKUP(F179,'2) Tracker'!$A$2:$BO$361,12,FALSE)</f>
        <v>North China</v>
      </c>
      <c r="K179" s="596">
        <f t="shared" si="305"/>
        <v>46168</v>
      </c>
      <c r="L179" s="596">
        <f t="shared" ref="L179:O179" si="327">AE179</f>
        <v>46178</v>
      </c>
      <c r="M179" s="596" t="str">
        <f t="shared" si="327"/>
        <v/>
      </c>
      <c r="N179" s="596">
        <f t="shared" si="327"/>
        <v>46154</v>
      </c>
      <c r="O179" s="597" t="str">
        <f t="shared" si="327"/>
        <v/>
      </c>
      <c r="P179" s="598" t="str">
        <f>IFERROR(IF(VLOOKUP(F179,'Voyage days'!$M$808:$N$821,2,FALSE),"GOA",""),"")</f>
        <v/>
      </c>
      <c r="Q179" s="597">
        <f t="shared" si="287"/>
        <v>46157</v>
      </c>
      <c r="R179" s="595">
        <f t="shared" si="289"/>
        <v>46182</v>
      </c>
      <c r="S179" s="595">
        <f t="shared" si="2"/>
        <v>46171</v>
      </c>
      <c r="T179" s="595">
        <f t="shared" si="3"/>
        <v>46165</v>
      </c>
      <c r="U179" s="595">
        <f t="shared" si="290"/>
        <v>46145</v>
      </c>
      <c r="V179" s="570" t="s">
        <v>1577</v>
      </c>
      <c r="W179" s="596">
        <f t="shared" si="291"/>
        <v>46145</v>
      </c>
      <c r="X179" s="599">
        <f t="shared" si="6"/>
        <v>46149</v>
      </c>
      <c r="Y179" s="614"/>
      <c r="Z179" s="600" t="str">
        <f>VLOOKUP(F179,'2) Tracker'!$A$3:$Q$505,16,FALSE)</f>
        <v>ETA 1st port Yantai 20 Apr</v>
      </c>
      <c r="AA179" s="600" t="str">
        <f>VLOOKUP(F179,'2) Tracker'!$A$3:$R$505,18,FALSE)</f>
        <v>Wanhua 06 Mar Bethioua</v>
      </c>
      <c r="AB179" s="600">
        <f>VLOOKUP(F179,'2) Tracker'!$A$3:$Q$505,17,FALSE)</f>
        <v>0</v>
      </c>
      <c r="AC179" s="601"/>
      <c r="AD179" s="601">
        <f>VLOOKUP(F179,'2) Tracker'!$A$2:$BO$981,37,FALSE)</f>
        <v>46168</v>
      </c>
      <c r="AE179" s="601">
        <f>VLOOKUP(F179,'2) Tracker'!$A$2:$BO$981,40,FALSE)</f>
        <v>46178</v>
      </c>
      <c r="AF179" s="601" t="str">
        <f>VLOOKUP(F179,'2) Tracker'!$A$2:$BO$981,67,FALSE)</f>
        <v/>
      </c>
      <c r="AG179" s="601">
        <f>VLOOKUP(F179,'2) Tracker'!$A$2:$BO$981,34,FALSE)</f>
        <v>46154</v>
      </c>
      <c r="AH179" s="601" t="str">
        <f>VLOOKUP(F179,'2) Tracker'!$A$2:$BN$981,66,FALSE)</f>
        <v/>
      </c>
      <c r="AI179" s="601">
        <f>VLOOKUP(F179,'2) Tracker'!$A$2:$BO$981,56,FALSE)</f>
        <v>46145</v>
      </c>
      <c r="AJ179" s="601">
        <f>VLOOKUP(F179,'2) Tracker'!$A$2:$BO$981,52,FALSE)</f>
        <v>46145</v>
      </c>
      <c r="AK179" s="601">
        <f>VLOOKUP(F179,'2) Tracker'!$A$2:$AQ$981,43,FALSE)</f>
        <v>46165</v>
      </c>
      <c r="AL179" s="601">
        <f>VLOOKUP(F179,'2) Tracker'!$A$2:$BH$981,46,FALSE())</f>
        <v>46171</v>
      </c>
      <c r="AM179" s="601">
        <f>VLOOKUP(F179,'2) Tracker'!$A$2:$BO$981,65,FALSE())</f>
        <v>46157</v>
      </c>
      <c r="AN179" s="601">
        <f>VLOOKUP(F179,'2) Tracker'!$A$2:$BK$981,63,FALSE())</f>
        <v>46182</v>
      </c>
      <c r="AO179" s="601">
        <f>VLOOKUP(F179,'2) Tracker'!$A$2:$BF$981,58,FALSE())</f>
        <v>46149</v>
      </c>
      <c r="AP179" s="46"/>
      <c r="AQ179" s="46"/>
      <c r="AR179" s="46"/>
      <c r="AS179" s="46"/>
      <c r="AT179" s="46"/>
      <c r="AU179" s="46"/>
      <c r="AV179" s="46"/>
      <c r="AW179" s="46"/>
      <c r="AX179" s="46"/>
      <c r="AY179" s="46"/>
      <c r="AZ179" s="605"/>
      <c r="BA179" s="604" t="e">
        <f>VLOOKUP(AZ179,#REF!,2, FALSE)</f>
        <v>#REF!</v>
      </c>
      <c r="BB179" s="605" t="e">
        <f>VLOOKUP(AZ179,'1) Kpler'!$E$2:$F$500,2,FALSE)</f>
        <v>#N/A</v>
      </c>
      <c r="BC179" s="604"/>
      <c r="BD179" s="605"/>
      <c r="BE179" s="46"/>
      <c r="BF179" s="46"/>
      <c r="BG179" s="605"/>
      <c r="BH179" s="605"/>
      <c r="BI179" s="605"/>
      <c r="BJ179" s="605"/>
    </row>
    <row r="180" spans="2:62" x14ac:dyDescent="0.25">
      <c r="B180" s="589" t="str">
        <f>VLOOKUP(F180,'2) Tracker'!$A$3:$O$411,5,FALSE)</f>
        <v>C</v>
      </c>
      <c r="C180" s="589">
        <f>VLOOKUP(F180,'2) Tracker'!$A$3:$O$411,4,FALSE)</f>
        <v>0</v>
      </c>
      <c r="D180" s="563"/>
      <c r="E180" s="563">
        <f>VLOOKUP(F180,'2) Tracker'!$A$3:$O$407,15,FALSE)</f>
        <v>0</v>
      </c>
      <c r="F180" s="604" t="s">
        <v>525</v>
      </c>
      <c r="G180" s="607">
        <f>VLOOKUP(F180,'2) Tracker'!$A$2:$BO$361,2,FALSE)</f>
        <v>42887</v>
      </c>
      <c r="H180" s="592">
        <f>VLOOKUP(F180,'2) Tracker'!$A$2:$BO$361,3,FALSE)</f>
        <v>84000</v>
      </c>
      <c r="I180" s="600" t="str">
        <f>VLOOKUP(F180,'2) Tracker'!$A$2:$BO$361,9,FALSE)</f>
        <v>Shell</v>
      </c>
      <c r="J180" s="594" t="str">
        <f>VLOOKUP(F180,'2) Tracker'!$A$2:$BO$361,12,FALSE)</f>
        <v>loads USG</v>
      </c>
      <c r="K180" s="595">
        <f t="shared" si="305"/>
        <v>46169</v>
      </c>
      <c r="L180" s="595">
        <f t="shared" ref="L180:O180" si="328">AE180</f>
        <v>46169</v>
      </c>
      <c r="M180" s="596">
        <f t="shared" si="328"/>
        <v>46201</v>
      </c>
      <c r="N180" s="596" t="str">
        <f t="shared" si="328"/>
        <v/>
      </c>
      <c r="O180" s="597" t="str">
        <f t="shared" si="328"/>
        <v/>
      </c>
      <c r="P180" s="598" t="str">
        <f>IFERROR(IF(VLOOKUP(F180,'Voyage days'!$M$808:$N$819,2,FALSE),"GOA",""),"")</f>
        <v/>
      </c>
      <c r="Q180" s="596" t="str">
        <f t="shared" si="287"/>
        <v/>
      </c>
      <c r="R180" s="596" t="str">
        <f t="shared" si="289"/>
        <v/>
      </c>
      <c r="S180" s="595">
        <f t="shared" si="2"/>
        <v>46189</v>
      </c>
      <c r="T180" s="596" t="str">
        <f t="shared" si="3"/>
        <v/>
      </c>
      <c r="U180" s="596" t="str">
        <f t="shared" si="290"/>
        <v/>
      </c>
      <c r="V180" s="570" t="s">
        <v>1577</v>
      </c>
      <c r="W180" s="596" t="str">
        <f t="shared" si="291"/>
        <v/>
      </c>
      <c r="X180" s="599" t="str">
        <f t="shared" si="6"/>
        <v/>
      </c>
      <c r="Y180" s="611" t="s">
        <v>1188</v>
      </c>
      <c r="Z180" s="600" t="str">
        <f>VLOOKUP(F180,'2) Tracker'!$A$3:$Q$505,16,FALSE)</f>
        <v>@ Dongguan 11 Apr</v>
      </c>
      <c r="AA180" s="600" t="str">
        <f>VLOOKUP(F180,'2) Tracker'!$A$3:$R$505,18,FALSE)</f>
        <v>Petredec 27-28 May USG</v>
      </c>
      <c r="AB180" s="600">
        <f>VLOOKUP(F180,'2) Tracker'!$A$3:$Q$505,17,FALSE)</f>
        <v>0</v>
      </c>
      <c r="AC180" s="601"/>
      <c r="AD180" s="601">
        <f>VLOOKUP(F180,'2) Tracker'!$A$2:$BO$981,37,FALSE)</f>
        <v>46169</v>
      </c>
      <c r="AE180" s="601">
        <f>VLOOKUP(F180,'2) Tracker'!$A$2:$BO$981,40,FALSE)</f>
        <v>46169</v>
      </c>
      <c r="AF180" s="601">
        <f>VLOOKUP(F180,'2) Tracker'!$A$2:$BO$981,67,FALSE)</f>
        <v>46201</v>
      </c>
      <c r="AG180" s="601" t="str">
        <f>VLOOKUP(F180,'2) Tracker'!$A$2:$BO$981,34,FALSE)</f>
        <v/>
      </c>
      <c r="AH180" s="601" t="str">
        <f>VLOOKUP(F180,'2) Tracker'!$A$2:$BN$981,66,FALSE)</f>
        <v/>
      </c>
      <c r="AI180" s="601" t="str">
        <f>VLOOKUP(F180,'2) Tracker'!$A$2:$BO$981,56,FALSE)</f>
        <v/>
      </c>
      <c r="AJ180" s="601" t="str">
        <f>VLOOKUP(F180,'2) Tracker'!$A$2:$BO$981,52,FALSE)</f>
        <v/>
      </c>
      <c r="AK180" s="601" t="str">
        <f>VLOOKUP(F180,'2) Tracker'!$A$2:$AQ$981,43,FALSE)</f>
        <v/>
      </c>
      <c r="AL180" s="601">
        <f>VLOOKUP(F180,'2) Tracker'!$A$2:$BH$981,46,FALSE())</f>
        <v>46189</v>
      </c>
      <c r="AM180" s="601" t="str">
        <f>VLOOKUP(F180,'2) Tracker'!$A$2:$BO$981,65,FALSE())</f>
        <v/>
      </c>
      <c r="AN180" s="601" t="str">
        <f>VLOOKUP(F180,'2) Tracker'!$A$2:$BK$981,63,FALSE())</f>
        <v/>
      </c>
      <c r="AO180" s="601" t="str">
        <f>VLOOKUP(F180,'2) Tracker'!$A$2:$BF$981,58,FALSE())</f>
        <v/>
      </c>
      <c r="AP180" s="46"/>
      <c r="AQ180" s="46"/>
      <c r="AR180" s="46"/>
      <c r="AS180" s="46"/>
      <c r="AT180" s="46"/>
      <c r="AU180" s="46"/>
      <c r="AV180" s="46"/>
      <c r="AW180" s="46"/>
      <c r="AX180" s="46"/>
      <c r="AY180" s="46"/>
      <c r="AZ180" s="605"/>
      <c r="BA180" s="604" t="e">
        <f>VLOOKUP(AZ180,#REF!,2, FALSE)</f>
        <v>#REF!</v>
      </c>
      <c r="BB180" s="605" t="e">
        <f>VLOOKUP(AZ180,'1) Kpler'!$E$2:$F$500,2,FALSE)</f>
        <v>#N/A</v>
      </c>
      <c r="BC180" s="604"/>
      <c r="BD180" s="605"/>
      <c r="BE180" s="46"/>
      <c r="BF180" s="46"/>
      <c r="BG180" s="605"/>
      <c r="BH180" s="605"/>
      <c r="BI180" s="605"/>
      <c r="BJ180" s="605"/>
    </row>
    <row r="181" spans="2:62" x14ac:dyDescent="0.25">
      <c r="B181" s="589">
        <f>VLOOKUP(F181,'2) Tracker'!$A$3:$O$411,5,FALSE)</f>
        <v>0</v>
      </c>
      <c r="C181" s="589">
        <f>VLOOKUP(F181,'2) Tracker'!$A$3:$O$411,4,FALSE)</f>
        <v>0</v>
      </c>
      <c r="D181" s="563"/>
      <c r="E181" s="563">
        <f>VLOOKUP(F181,'2) Tracker'!$A$3:$O$407,15,FALSE)</f>
        <v>0</v>
      </c>
      <c r="F181" s="604" t="s">
        <v>370</v>
      </c>
      <c r="G181" s="591">
        <f>VLOOKUP(F181,'2) Tracker'!$A$2:$BO$361,2,FALSE)</f>
        <v>2023</v>
      </c>
      <c r="H181" s="592">
        <f>VLOOKUP(F181,'2) Tracker'!$A$2:$BO$361,3,FALSE)</f>
        <v>93000</v>
      </c>
      <c r="I181" s="600" t="str">
        <f>VLOOKUP(F181,'2) Tracker'!$A$2:$BO$361,9,FALSE)</f>
        <v>Petredec</v>
      </c>
      <c r="J181" s="594" t="str">
        <f>VLOOKUP(F181,'2) Tracker'!$A$2:$BO$361,12,FALSE)</f>
        <v>Japan</v>
      </c>
      <c r="K181" s="596">
        <f t="shared" si="305"/>
        <v>46169</v>
      </c>
      <c r="L181" s="596">
        <f t="shared" ref="L181:O181" si="329">AE181</f>
        <v>46180</v>
      </c>
      <c r="M181" s="596" t="str">
        <f t="shared" si="329"/>
        <v/>
      </c>
      <c r="N181" s="596">
        <f t="shared" si="329"/>
        <v>46156</v>
      </c>
      <c r="O181" s="597" t="str">
        <f t="shared" si="329"/>
        <v/>
      </c>
      <c r="P181" s="598" t="str">
        <f>IFERROR(IF(VLOOKUP(F181,'Voyage days'!$M$808:$N$819,2,FALSE),"GOA",""),"")</f>
        <v/>
      </c>
      <c r="Q181" s="596">
        <f t="shared" si="287"/>
        <v>46159</v>
      </c>
      <c r="R181" s="596">
        <f t="shared" si="289"/>
        <v>46184</v>
      </c>
      <c r="S181" s="595">
        <f t="shared" si="2"/>
        <v>46174</v>
      </c>
      <c r="T181" s="596">
        <f t="shared" si="3"/>
        <v>46168</v>
      </c>
      <c r="U181" s="596">
        <f t="shared" si="290"/>
        <v>46147</v>
      </c>
      <c r="V181" s="596"/>
      <c r="W181" s="596">
        <f t="shared" si="291"/>
        <v>46146.25</v>
      </c>
      <c r="X181" s="599">
        <f t="shared" si="6"/>
        <v>46149</v>
      </c>
      <c r="Y181" s="594" t="s">
        <v>1623</v>
      </c>
      <c r="Z181" s="600" t="str">
        <f>VLOOKUP(F181,'2) Tracker'!$A$3:$Q$505,16,FALSE)</f>
        <v>ETA 1st port Oita 20 Apr</v>
      </c>
      <c r="AA181" s="600" t="str">
        <f>VLOOKUP(F181,'2) Tracker'!$A$3:$R$505,18,FALSE)</f>
        <v>Petredec 12 Mar Targa</v>
      </c>
      <c r="AB181" s="600">
        <f>VLOOKUP(F181,'2) Tracker'!$A$3:$Q$505,17,FALSE)</f>
        <v>0</v>
      </c>
      <c r="AC181" s="601"/>
      <c r="AD181" s="601">
        <f>VLOOKUP(F181,'2) Tracker'!$A$2:$BO$981,37,FALSE)</f>
        <v>46169</v>
      </c>
      <c r="AE181" s="601">
        <f>VLOOKUP(F181,'2) Tracker'!$A$2:$BO$981,40,FALSE)</f>
        <v>46180</v>
      </c>
      <c r="AF181" s="601" t="str">
        <f>VLOOKUP(F181,'2) Tracker'!$A$2:$BO$981,67,FALSE)</f>
        <v/>
      </c>
      <c r="AG181" s="601">
        <f>VLOOKUP(F181,'2) Tracker'!$A$2:$BO$981,34,FALSE)</f>
        <v>46156</v>
      </c>
      <c r="AH181" s="601" t="str">
        <f>VLOOKUP(F181,'2) Tracker'!$A$2:$BN$981,66,FALSE)</f>
        <v/>
      </c>
      <c r="AI181" s="601">
        <f>VLOOKUP(F181,'2) Tracker'!$A$2:$BO$981,56,FALSE)</f>
        <v>46147</v>
      </c>
      <c r="AJ181" s="601">
        <f>VLOOKUP(F181,'2) Tracker'!$A$2:$BO$981,52,FALSE)</f>
        <v>46146.25</v>
      </c>
      <c r="AK181" s="601">
        <f>VLOOKUP(F181,'2) Tracker'!$A$2:$AQ$981,43,FALSE)</f>
        <v>46168</v>
      </c>
      <c r="AL181" s="601">
        <f>VLOOKUP(F181,'2) Tracker'!$A$2:$BH$981,46,FALSE())</f>
        <v>46174</v>
      </c>
      <c r="AM181" s="601">
        <f>VLOOKUP(F181,'2) Tracker'!$A$2:$BO$981,65,FALSE())</f>
        <v>46159</v>
      </c>
      <c r="AN181" s="601">
        <f>VLOOKUP(F181,'2) Tracker'!$A$2:$BK$981,63,FALSE())</f>
        <v>46184</v>
      </c>
      <c r="AO181" s="601">
        <f>VLOOKUP(F181,'2) Tracker'!$A$2:$BF$981,58,FALSE())</f>
        <v>46149</v>
      </c>
      <c r="AP181" s="46"/>
      <c r="AQ181" s="46"/>
      <c r="AR181" s="46"/>
      <c r="AS181" s="46"/>
      <c r="AT181" s="46"/>
      <c r="AU181" s="46"/>
      <c r="AV181" s="46"/>
      <c r="AW181" s="46"/>
      <c r="AX181" s="46"/>
      <c r="AY181" s="46"/>
      <c r="AZ181" s="563"/>
      <c r="BA181" s="604" t="e">
        <f>VLOOKUP(AZ181,#REF!,2, FALSE)</f>
        <v>#REF!</v>
      </c>
      <c r="BB181" s="605" t="e">
        <f>VLOOKUP(AZ181,'1) Kpler'!$E$2:$F$500,2,FALSE)</f>
        <v>#N/A</v>
      </c>
      <c r="BC181" s="569"/>
      <c r="BD181" s="563"/>
      <c r="BE181" s="46"/>
      <c r="BF181" s="46"/>
      <c r="BG181" s="563"/>
      <c r="BH181" s="563"/>
      <c r="BI181" s="563"/>
      <c r="BJ181" s="563"/>
    </row>
    <row r="182" spans="2:62" x14ac:dyDescent="0.25">
      <c r="B182" s="589">
        <f>VLOOKUP(F182,'2) Tracker'!$A$3:$O$411,5,FALSE)</f>
        <v>0</v>
      </c>
      <c r="C182" s="589">
        <f>VLOOKUP(F182,'2) Tracker'!$A$3:$O$411,4,FALSE)</f>
        <v>0</v>
      </c>
      <c r="D182" s="563"/>
      <c r="E182" s="563">
        <f>VLOOKUP(F182,'2) Tracker'!$A$3:$O$407,15,FALSE)</f>
        <v>0</v>
      </c>
      <c r="F182" s="608" t="s">
        <v>492</v>
      </c>
      <c r="G182" s="591">
        <f>VLOOKUP(F182,'2) Tracker'!$A$2:$BO$361,2,FALSE)</f>
        <v>2023</v>
      </c>
      <c r="H182" s="592">
        <f>VLOOKUP(F182,'2) Tracker'!$A$2:$BO$361,3,FALSE)</f>
        <v>91000</v>
      </c>
      <c r="I182" s="593" t="str">
        <f>VLOOKUP(F182,'2) Tracker'!$A$2:$BO$361,9,FALSE)</f>
        <v>Gunvor</v>
      </c>
      <c r="J182" s="594" t="str">
        <f>VLOOKUP(F182,'2) Tracker'!$A$2:$BO$361,12,FALSE)</f>
        <v>Taiwan</v>
      </c>
      <c r="K182" s="596">
        <f t="shared" si="305"/>
        <v>46169</v>
      </c>
      <c r="L182" s="596">
        <f t="shared" ref="L182:O182" si="330">AE182</f>
        <v>46178</v>
      </c>
      <c r="M182" s="596" t="str">
        <f t="shared" si="330"/>
        <v/>
      </c>
      <c r="N182" s="596">
        <f t="shared" si="330"/>
        <v>46150</v>
      </c>
      <c r="O182" s="597" t="str">
        <f t="shared" si="330"/>
        <v/>
      </c>
      <c r="P182" s="598" t="str">
        <f>IFERROR(IF(VLOOKUP(F182,'Voyage days'!$M$808:$N$819,2,FALSE),"GOA",""),"")</f>
        <v/>
      </c>
      <c r="Q182" s="596">
        <f t="shared" si="287"/>
        <v>46152</v>
      </c>
      <c r="R182" s="595">
        <f t="shared" si="289"/>
        <v>46178</v>
      </c>
      <c r="S182" s="595">
        <f t="shared" si="2"/>
        <v>46168</v>
      </c>
      <c r="T182" s="596">
        <f t="shared" si="3"/>
        <v>46162</v>
      </c>
      <c r="U182" s="595">
        <f t="shared" si="290"/>
        <v>46141</v>
      </c>
      <c r="V182" s="596"/>
      <c r="W182" s="596">
        <f t="shared" si="291"/>
        <v>46141</v>
      </c>
      <c r="X182" s="599">
        <f t="shared" si="6"/>
        <v>46148</v>
      </c>
      <c r="Y182" s="594"/>
      <c r="Z182" s="600" t="str">
        <f>VLOOKUP(F182,'2) Tracker'!$A$3:$Q$505,16,FALSE)</f>
        <v>ETA 1st port Mailiao 20 Apr</v>
      </c>
      <c r="AA182" s="600" t="str">
        <f>VLOOKUP(F182,'2) Tracker'!$A$3:$R$505,18,FALSE)</f>
        <v>Gunvor 16 Mar Enterprise</v>
      </c>
      <c r="AB182" s="600">
        <f>VLOOKUP(F182,'2) Tracker'!$A$3:$Q$505,17,FALSE)</f>
        <v>0</v>
      </c>
      <c r="AC182" s="601"/>
      <c r="AD182" s="601">
        <f>VLOOKUP(F182,'2) Tracker'!$A$2:$BO$981,37,FALSE)</f>
        <v>46169</v>
      </c>
      <c r="AE182" s="601">
        <f>VLOOKUP(F182,'2) Tracker'!$A$2:$BO$981,40,FALSE)</f>
        <v>46178</v>
      </c>
      <c r="AF182" s="601" t="str">
        <f>VLOOKUP(F182,'2) Tracker'!$A$2:$BO$981,67,FALSE)</f>
        <v/>
      </c>
      <c r="AG182" s="601">
        <f>VLOOKUP(F182,'2) Tracker'!$A$2:$BO$981,34,FALSE)</f>
        <v>46150</v>
      </c>
      <c r="AH182" s="601" t="str">
        <f>VLOOKUP(F182,'2) Tracker'!$A$2:$BN$981,66,FALSE)</f>
        <v/>
      </c>
      <c r="AI182" s="601">
        <f>VLOOKUP(F182,'2) Tracker'!$A$2:$BO$981,56,FALSE)</f>
        <v>46141</v>
      </c>
      <c r="AJ182" s="601">
        <f>VLOOKUP(F182,'2) Tracker'!$A$2:$BO$981,52,FALSE)</f>
        <v>46141</v>
      </c>
      <c r="AK182" s="601">
        <f>VLOOKUP(F182,'2) Tracker'!$A$2:$AQ$981,43,FALSE)</f>
        <v>46162</v>
      </c>
      <c r="AL182" s="601">
        <f>VLOOKUP(F182,'2) Tracker'!$A$2:$BH$981,46,FALSE())</f>
        <v>46168</v>
      </c>
      <c r="AM182" s="601">
        <f>VLOOKUP(F182,'2) Tracker'!$A$2:$BO$981,65,FALSE())</f>
        <v>46152</v>
      </c>
      <c r="AN182" s="601">
        <f>VLOOKUP(F182,'2) Tracker'!$A$2:$BK$981,63,FALSE())</f>
        <v>46178</v>
      </c>
      <c r="AO182" s="601">
        <f>VLOOKUP(F182,'2) Tracker'!$A$2:$BF$981,58,FALSE())</f>
        <v>46148</v>
      </c>
      <c r="AP182" s="46"/>
      <c r="AQ182" s="46"/>
      <c r="AR182" s="46"/>
      <c r="AS182" s="46"/>
      <c r="AT182" s="46"/>
      <c r="AU182" s="46"/>
      <c r="AV182" s="46"/>
      <c r="AW182" s="46"/>
      <c r="AX182" s="46"/>
      <c r="AY182" s="46"/>
      <c r="AZ182" s="563"/>
      <c r="BA182" s="604" t="e">
        <f>VLOOKUP(AZ182,#REF!,2, FALSE)</f>
        <v>#REF!</v>
      </c>
      <c r="BB182" s="605" t="e">
        <f>VLOOKUP(AZ182,'1) Kpler'!$E$2:$F$500,2,FALSE)</f>
        <v>#N/A</v>
      </c>
      <c r="BC182" s="569"/>
      <c r="BD182" s="563"/>
      <c r="BE182" s="46"/>
      <c r="BF182" s="46"/>
      <c r="BG182" s="563"/>
      <c r="BH182" s="563"/>
      <c r="BI182" s="563"/>
      <c r="BJ182" s="563"/>
    </row>
    <row r="183" spans="2:62" x14ac:dyDescent="0.25">
      <c r="B183" s="589">
        <f>VLOOKUP(F183,'2) Tracker'!$A$3:$O$411,5,FALSE)</f>
        <v>0</v>
      </c>
      <c r="C183" s="589">
        <f>VLOOKUP(F183,'2) Tracker'!$A$3:$O$411,4,FALSE)</f>
        <v>0</v>
      </c>
      <c r="D183" s="563"/>
      <c r="E183" s="563">
        <f>VLOOKUP(F183,'2) Tracker'!$A$3:$O$407,15,FALSE)</f>
        <v>0</v>
      </c>
      <c r="F183" s="608" t="s">
        <v>97</v>
      </c>
      <c r="G183" s="591">
        <f>VLOOKUP(F183,'2) Tracker'!$A$2:$BO$361,2,FALSE)</f>
        <v>2024</v>
      </c>
      <c r="H183" s="592">
        <f>VLOOKUP(F183,'2) Tracker'!$A$2:$BO$361,3,FALSE)</f>
        <v>91000</v>
      </c>
      <c r="I183" s="593" t="str">
        <f>VLOOKUP(F183,'2) Tracker'!$A$2:$BO$361,9,FALSE)</f>
        <v>AltaGas</v>
      </c>
      <c r="J183" s="594" t="str">
        <f>VLOOKUP(F183,'2) Tracker'!$A$2:$BO$361,12,FALSE)</f>
        <v>East China</v>
      </c>
      <c r="K183" s="596">
        <f t="shared" si="305"/>
        <v>46169</v>
      </c>
      <c r="L183" s="596">
        <f t="shared" ref="L183:O183" si="331">AE183</f>
        <v>46181</v>
      </c>
      <c r="M183" s="596" t="str">
        <f t="shared" si="331"/>
        <v/>
      </c>
      <c r="N183" s="596">
        <f t="shared" si="331"/>
        <v>46154</v>
      </c>
      <c r="O183" s="597" t="str">
        <f t="shared" si="331"/>
        <v/>
      </c>
      <c r="P183" s="598" t="str">
        <f>IFERROR(IF(VLOOKUP(F183,'Voyage days'!$M$808:$N$819,2,FALSE),"GOA",""),"")</f>
        <v/>
      </c>
      <c r="Q183" s="596">
        <f t="shared" si="287"/>
        <v>46156</v>
      </c>
      <c r="R183" s="596">
        <f t="shared" si="289"/>
        <v>46181</v>
      </c>
      <c r="S183" s="595">
        <f t="shared" si="2"/>
        <v>46172</v>
      </c>
      <c r="T183" s="596">
        <f t="shared" si="3"/>
        <v>46165</v>
      </c>
      <c r="U183" s="596">
        <f t="shared" si="290"/>
        <v>46144</v>
      </c>
      <c r="V183" s="596"/>
      <c r="W183" s="596">
        <f t="shared" si="291"/>
        <v>46144.25</v>
      </c>
      <c r="X183" s="599">
        <f t="shared" si="6"/>
        <v>46150</v>
      </c>
      <c r="Y183" s="594"/>
      <c r="Z183" s="600" t="str">
        <f>VLOOKUP(F183,'2) Tracker'!$A$3:$Q$505,16,FALSE)</f>
        <v>ETA Wenzhou 20 Apr</v>
      </c>
      <c r="AA183" s="600" t="str">
        <f>VLOOKUP(F183,'2) Tracker'!$A$3:$R$505,18,FALSE)</f>
        <v>Altagas 05 Apr RIPET</v>
      </c>
      <c r="AB183" s="600">
        <f>VLOOKUP(F183,'2) Tracker'!$A$3:$Q$505,17,FALSE)</f>
        <v>0</v>
      </c>
      <c r="AC183" s="601"/>
      <c r="AD183" s="601">
        <f>VLOOKUP(F183,'2) Tracker'!$A$2:$BO$981,37,FALSE)</f>
        <v>46169</v>
      </c>
      <c r="AE183" s="601">
        <f>VLOOKUP(F183,'2) Tracker'!$A$2:$BO$981,40,FALSE)</f>
        <v>46181</v>
      </c>
      <c r="AF183" s="601" t="str">
        <f>VLOOKUP(F183,'2) Tracker'!$A$2:$BO$981,67,FALSE)</f>
        <v/>
      </c>
      <c r="AG183" s="601">
        <f>VLOOKUP(F183,'2) Tracker'!$A$2:$BO$981,34,FALSE)</f>
        <v>46154</v>
      </c>
      <c r="AH183" s="601" t="str">
        <f>VLOOKUP(F183,'2) Tracker'!$A$2:$BN$981,66,FALSE)</f>
        <v/>
      </c>
      <c r="AI183" s="601">
        <f>VLOOKUP(F183,'2) Tracker'!$A$2:$BO$981,56,FALSE)</f>
        <v>46144</v>
      </c>
      <c r="AJ183" s="601">
        <f>VLOOKUP(F183,'2) Tracker'!$A$2:$BO$981,52,FALSE)</f>
        <v>46144.25</v>
      </c>
      <c r="AK183" s="601">
        <f>VLOOKUP(F183,'2) Tracker'!$A$2:$AQ$981,43,FALSE)</f>
        <v>46165</v>
      </c>
      <c r="AL183" s="601">
        <f>VLOOKUP(F183,'2) Tracker'!$A$2:$BH$981,46,FALSE())</f>
        <v>46172</v>
      </c>
      <c r="AM183" s="601">
        <f>VLOOKUP(F183,'2) Tracker'!$A$2:$BO$981,65,FALSE())</f>
        <v>46156</v>
      </c>
      <c r="AN183" s="601">
        <f>VLOOKUP(F183,'2) Tracker'!$A$2:$BK$981,63,FALSE())</f>
        <v>46181</v>
      </c>
      <c r="AO183" s="601">
        <f>VLOOKUP(F183,'2) Tracker'!$A$2:$BF$981,58,FALSE())</f>
        <v>46150</v>
      </c>
      <c r="AP183" s="46"/>
      <c r="AQ183" s="46"/>
      <c r="AR183" s="46"/>
      <c r="AS183" s="46"/>
      <c r="AT183" s="46"/>
      <c r="AU183" s="46"/>
      <c r="AV183" s="46"/>
      <c r="AW183" s="46"/>
      <c r="AX183" s="46"/>
      <c r="AY183" s="46"/>
      <c r="AZ183" s="563"/>
      <c r="BA183" s="604" t="e">
        <f>VLOOKUP(AZ183,#REF!,2, FALSE)</f>
        <v>#REF!</v>
      </c>
      <c r="BB183" s="605" t="e">
        <f>VLOOKUP(AZ183,'1) Kpler'!$E$2:$F$500,2,FALSE)</f>
        <v>#N/A</v>
      </c>
      <c r="BC183" s="569"/>
      <c r="BD183" s="563"/>
      <c r="BE183" s="46"/>
      <c r="BF183" s="46"/>
      <c r="BG183" s="563"/>
      <c r="BH183" s="563"/>
      <c r="BI183" s="563"/>
      <c r="BJ183" s="563"/>
    </row>
    <row r="184" spans="2:62" x14ac:dyDescent="0.25">
      <c r="B184" s="589">
        <f>VLOOKUP(F184,'2) Tracker'!$A$3:$O$411,5,FALSE)</f>
        <v>0</v>
      </c>
      <c r="C184" s="589" t="str">
        <f>VLOOKUP(F184,'2) Tracker'!$A$3:$O$411,4,FALSE)</f>
        <v>US</v>
      </c>
      <c r="D184" s="563" t="s">
        <v>1569</v>
      </c>
      <c r="E184" s="563">
        <f>VLOOKUP(F184,'2) Tracker'!$A$3:$O$407,15,FALSE)</f>
        <v>0</v>
      </c>
      <c r="F184" s="590" t="s">
        <v>253</v>
      </c>
      <c r="G184" s="591">
        <f>VLOOKUP(F184,'2) Tracker'!$A$2:$BO$361,2,FALSE)</f>
        <v>2020</v>
      </c>
      <c r="H184" s="592">
        <f>VLOOKUP(F184,'2) Tracker'!$A$2:$BO$361,3,FALSE)</f>
        <v>80000</v>
      </c>
      <c r="I184" s="594" t="str">
        <f>VLOOKUP(F184,'2) Tracker'!$A$2:$BO$361,9,FALSE)</f>
        <v>Helios</v>
      </c>
      <c r="J184" s="594" t="str">
        <f>VLOOKUP(F184,'2) Tracker'!$A$2:$BO$361,12,FALSE)</f>
        <v>loads USG</v>
      </c>
      <c r="K184" s="595">
        <f t="shared" si="305"/>
        <v>46170</v>
      </c>
      <c r="L184" s="595">
        <f t="shared" ref="L184:O184" si="332">AE184</f>
        <v>46170</v>
      </c>
      <c r="M184" s="596">
        <f t="shared" si="332"/>
        <v>46202</v>
      </c>
      <c r="N184" s="596" t="str">
        <f t="shared" si="332"/>
        <v/>
      </c>
      <c r="O184" s="597" t="str">
        <f t="shared" si="332"/>
        <v/>
      </c>
      <c r="P184" s="598" t="str">
        <f>IFERROR(IF(VLOOKUP(F184,'Voyage days'!$M$808:$N$819,2,FALSE),"GOA",""),"")</f>
        <v/>
      </c>
      <c r="Q184" s="596" t="str">
        <f t="shared" si="287"/>
        <v/>
      </c>
      <c r="R184" s="595" t="str">
        <f t="shared" si="289"/>
        <v/>
      </c>
      <c r="S184" s="595">
        <f t="shared" si="2"/>
        <v>46190</v>
      </c>
      <c r="T184" s="596" t="str">
        <f t="shared" si="3"/>
        <v/>
      </c>
      <c r="U184" s="595" t="str">
        <f t="shared" si="290"/>
        <v/>
      </c>
      <c r="V184" s="596"/>
      <c r="W184" s="596" t="str">
        <f t="shared" si="291"/>
        <v/>
      </c>
      <c r="X184" s="599" t="str">
        <f t="shared" si="6"/>
        <v/>
      </c>
      <c r="Y184" s="611" t="s">
        <v>1510</v>
      </c>
      <c r="Z184" s="600" t="str">
        <f>VLOOKUP(F184,'2) Tracker'!$A$3:$Q$505,16,FALSE)</f>
        <v>ETA 1st port Sakai 26 Apr</v>
      </c>
      <c r="AA184" s="600" t="str">
        <f>VLOOKUP(F184,'2) Tracker'!$A$3:$R$505,18,FALSE)</f>
        <v>Equinor 28-29 May USG</v>
      </c>
      <c r="AB184" s="600">
        <f>VLOOKUP(F184,'2) Tracker'!$A$3:$Q$505,17,FALSE)</f>
        <v>0</v>
      </c>
      <c r="AC184" s="601"/>
      <c r="AD184" s="601">
        <f>VLOOKUP(F184,'2) Tracker'!$A$2:$BO$981,37,FALSE)</f>
        <v>46170</v>
      </c>
      <c r="AE184" s="601">
        <f>VLOOKUP(F184,'2) Tracker'!$A$2:$BO$981,40,FALSE)</f>
        <v>46170</v>
      </c>
      <c r="AF184" s="601">
        <f>VLOOKUP(F184,'2) Tracker'!$A$2:$BO$981,67,FALSE)</f>
        <v>46202</v>
      </c>
      <c r="AG184" s="601" t="str">
        <f>VLOOKUP(F184,'2) Tracker'!$A$2:$BO$981,34,FALSE)</f>
        <v/>
      </c>
      <c r="AH184" s="601" t="str">
        <f>VLOOKUP(F184,'2) Tracker'!$A$2:$BN$981,66,FALSE)</f>
        <v/>
      </c>
      <c r="AI184" s="601" t="str">
        <f>VLOOKUP(F184,'2) Tracker'!$A$2:$BO$981,56,FALSE)</f>
        <v/>
      </c>
      <c r="AJ184" s="601" t="str">
        <f>VLOOKUP(F184,'2) Tracker'!$A$2:$BO$981,52,FALSE)</f>
        <v/>
      </c>
      <c r="AK184" s="601" t="str">
        <f>VLOOKUP(F184,'2) Tracker'!$A$2:$AQ$981,43,FALSE)</f>
        <v/>
      </c>
      <c r="AL184" s="601">
        <f>VLOOKUP(F184,'2) Tracker'!$A$2:$BH$981,46,FALSE())</f>
        <v>46190</v>
      </c>
      <c r="AM184" s="601" t="str">
        <f>VLOOKUP(F184,'2) Tracker'!$A$2:$BO$981,65,FALSE())</f>
        <v/>
      </c>
      <c r="AN184" s="601" t="str">
        <f>VLOOKUP(F184,'2) Tracker'!$A$2:$BK$981,63,FALSE())</f>
        <v/>
      </c>
      <c r="AO184" s="601" t="str">
        <f>VLOOKUP(F184,'2) Tracker'!$A$2:$BF$981,58,FALSE())</f>
        <v/>
      </c>
      <c r="AP184" s="46"/>
      <c r="AQ184" s="46"/>
      <c r="AR184" s="46"/>
      <c r="AS184" s="46"/>
      <c r="AT184" s="46"/>
      <c r="AU184" s="46"/>
      <c r="AV184" s="46"/>
      <c r="AW184" s="46"/>
      <c r="AX184" s="46"/>
      <c r="AY184" s="46"/>
      <c r="AZ184" s="605"/>
      <c r="BA184" s="604" t="e">
        <f>VLOOKUP(AZ184,#REF!,2, FALSE)</f>
        <v>#REF!</v>
      </c>
      <c r="BB184" s="605" t="e">
        <f>VLOOKUP(AZ184,'1) Kpler'!$E$2:$F$500,2,FALSE)</f>
        <v>#N/A</v>
      </c>
      <c r="BC184" s="604"/>
      <c r="BD184" s="605"/>
      <c r="BE184" s="46"/>
      <c r="BF184" s="46"/>
      <c r="BG184" s="605"/>
      <c r="BH184" s="605"/>
      <c r="BI184" s="605"/>
      <c r="BJ184" s="605"/>
    </row>
    <row r="185" spans="2:62" x14ac:dyDescent="0.25">
      <c r="B185" s="589">
        <f>VLOOKUP(F185,'2) Tracker'!$A$3:$O$411,5,FALSE)</f>
        <v>0</v>
      </c>
      <c r="C185" s="589">
        <f>VLOOKUP(F185,'2) Tracker'!$A$3:$O$411,4,FALSE)</f>
        <v>0</v>
      </c>
      <c r="D185" s="563"/>
      <c r="E185" s="563">
        <f>VLOOKUP(F185,'2) Tracker'!$A$3:$O$407,15,FALSE)</f>
        <v>0</v>
      </c>
      <c r="F185" s="604" t="s">
        <v>541</v>
      </c>
      <c r="G185" s="591">
        <f>VLOOKUP(F185,'2) Tracker'!$A$2:$BO$361,2,FALSE)</f>
        <v>2024</v>
      </c>
      <c r="H185" s="592">
        <f>VLOOKUP(F185,'2) Tracker'!$A$2:$BO$361,3,FALSE)</f>
        <v>91000</v>
      </c>
      <c r="I185" s="594" t="str">
        <f>VLOOKUP(F185,'2) Tracker'!$A$2:$BO$361,9,FALSE)</f>
        <v>SwissChemGas</v>
      </c>
      <c r="J185" s="594" t="str">
        <f>VLOOKUP(F185,'2) Tracker'!$A$2:$BO$361,12,FALSE)</f>
        <v>Malaysia laden</v>
      </c>
      <c r="K185" s="595">
        <f t="shared" si="305"/>
        <v>46170</v>
      </c>
      <c r="L185" s="595">
        <f t="shared" ref="L185:O185" si="333">AE185</f>
        <v>46171</v>
      </c>
      <c r="M185" s="596" t="str">
        <f t="shared" si="333"/>
        <v/>
      </c>
      <c r="N185" s="596">
        <f t="shared" si="333"/>
        <v>46147</v>
      </c>
      <c r="O185" s="597" t="str">
        <f t="shared" si="333"/>
        <v/>
      </c>
      <c r="P185" s="598" t="str">
        <f>IFERROR(IF(VLOOKUP(F185,'Voyage days'!$M$808:$N$819,2,FALSE),"GOA",""),"")</f>
        <v/>
      </c>
      <c r="Q185" s="596">
        <f t="shared" si="287"/>
        <v>46150</v>
      </c>
      <c r="R185" s="595">
        <f t="shared" si="289"/>
        <v>46175</v>
      </c>
      <c r="S185" s="595">
        <f t="shared" si="2"/>
        <v>46165</v>
      </c>
      <c r="T185" s="596">
        <f t="shared" si="3"/>
        <v>46157</v>
      </c>
      <c r="U185" s="595">
        <f t="shared" si="290"/>
        <v>46138</v>
      </c>
      <c r="V185" s="595"/>
      <c r="W185" s="595">
        <f t="shared" si="291"/>
        <v>46142</v>
      </c>
      <c r="X185" s="599" t="str">
        <f t="shared" si="6"/>
        <v/>
      </c>
      <c r="Y185" s="594"/>
      <c r="Z185" s="600" t="str">
        <f>VLOOKUP(F185,'2) Tracker'!$A$3:$Q$505,16,FALSE)</f>
        <v>ETA Port Klang 19 Apr</v>
      </c>
      <c r="AA185" s="600" t="str">
        <f>VLOOKUP(F185,'2) Tracker'!$A$3:$R$505,18,FALSE)</f>
        <v>SwissChemGas 07 Mar Enterprise</v>
      </c>
      <c r="AB185" s="600">
        <f>VLOOKUP(F185,'2) Tracker'!$A$3:$Q$505,17,FALSE)</f>
        <v>0</v>
      </c>
      <c r="AC185" s="601"/>
      <c r="AD185" s="601">
        <f>VLOOKUP(F185,'2) Tracker'!$A$2:$BO$981,37,FALSE)</f>
        <v>46170</v>
      </c>
      <c r="AE185" s="601">
        <f>VLOOKUP(F185,'2) Tracker'!$A$2:$BO$981,40,FALSE)</f>
        <v>46171</v>
      </c>
      <c r="AF185" s="601" t="str">
        <f>VLOOKUP(F185,'2) Tracker'!$A$2:$BO$981,67,FALSE)</f>
        <v/>
      </c>
      <c r="AG185" s="601">
        <f>VLOOKUP(F185,'2) Tracker'!$A$2:$BO$981,34,FALSE)</f>
        <v>46147</v>
      </c>
      <c r="AH185" s="601" t="str">
        <f>VLOOKUP(F185,'2) Tracker'!$A$2:$BN$981,66,FALSE)</f>
        <v/>
      </c>
      <c r="AI185" s="601">
        <f>VLOOKUP(F185,'2) Tracker'!$A$2:$BO$981,56,FALSE)</f>
        <v>46138</v>
      </c>
      <c r="AJ185" s="601">
        <f>VLOOKUP(F185,'2) Tracker'!$A$2:$BO$981,52,FALSE)</f>
        <v>46142</v>
      </c>
      <c r="AK185" s="601">
        <f>VLOOKUP(F185,'2) Tracker'!$A$2:$AQ$981,43,FALSE)</f>
        <v>46157</v>
      </c>
      <c r="AL185" s="601">
        <f>VLOOKUP(F185,'2) Tracker'!$A$2:$BH$981,46,FALSE())</f>
        <v>46165</v>
      </c>
      <c r="AM185" s="601">
        <f>VLOOKUP(F185,'2) Tracker'!$A$2:$BO$981,65,FALSE())</f>
        <v>46150</v>
      </c>
      <c r="AN185" s="601">
        <f>VLOOKUP(F185,'2) Tracker'!$A$2:$BK$981,63,FALSE())</f>
        <v>46175</v>
      </c>
      <c r="AO185" s="601" t="str">
        <f>VLOOKUP(F185,'2) Tracker'!$A$2:$BF$981,58,FALSE())</f>
        <v/>
      </c>
      <c r="AP185" s="46"/>
      <c r="AQ185" s="46"/>
      <c r="AR185" s="46"/>
      <c r="AS185" s="46"/>
      <c r="AT185" s="46"/>
      <c r="AU185" s="46"/>
      <c r="AV185" s="46"/>
      <c r="AW185" s="46"/>
      <c r="AX185" s="46"/>
      <c r="AY185" s="46"/>
      <c r="AZ185" s="605"/>
      <c r="BA185" s="604" t="e">
        <f>VLOOKUP(AZ185,#REF!,2, FALSE)</f>
        <v>#REF!</v>
      </c>
      <c r="BB185" s="605" t="e">
        <f>VLOOKUP(AZ185,'1) Kpler'!$E$2:$F$500,2,FALSE)</f>
        <v>#N/A</v>
      </c>
      <c r="BC185" s="604"/>
      <c r="BD185" s="605"/>
      <c r="BE185" s="46"/>
      <c r="BF185" s="46"/>
      <c r="BG185" s="605"/>
      <c r="BH185" s="605"/>
      <c r="BI185" s="605"/>
      <c r="BJ185" s="605"/>
    </row>
    <row r="186" spans="2:62" x14ac:dyDescent="0.25">
      <c r="B186" s="589">
        <f>VLOOKUP(F186,'2) Tracker'!$A$3:$O$411,5,FALSE)</f>
        <v>0</v>
      </c>
      <c r="C186" s="589">
        <f>VLOOKUP(F186,'2) Tracker'!$A$3:$O$411,4,FALSE)</f>
        <v>0</v>
      </c>
      <c r="D186" s="563"/>
      <c r="E186" s="563" t="str">
        <f>VLOOKUP(F186,'2) Tracker'!$A$3:$O$407,15,FALSE)</f>
        <v xml:space="preserve"> </v>
      </c>
      <c r="F186" s="608" t="s">
        <v>473</v>
      </c>
      <c r="G186" s="591">
        <f>VLOOKUP(F186,'2) Tracker'!$A$2:$BO$361,2,FALSE)</f>
        <v>2023</v>
      </c>
      <c r="H186" s="592">
        <f>VLOOKUP(F186,'2) Tracker'!$A$2:$BO$361,3,FALSE)</f>
        <v>86000</v>
      </c>
      <c r="I186" s="593" t="str">
        <f>VLOOKUP(F186,'2) Tracker'!$A$2:$BO$361,9,FALSE)</f>
        <v>BGN</v>
      </c>
      <c r="J186" s="594" t="str">
        <f>VLOOKUP(F186,'2) Tracker'!$A$2:$BO$361,12,FALSE)</f>
        <v>Suez</v>
      </c>
      <c r="K186" s="596">
        <f t="shared" si="305"/>
        <v>46170</v>
      </c>
      <c r="L186" s="596">
        <f t="shared" ref="L186:O186" si="334">AE186</f>
        <v>46173</v>
      </c>
      <c r="M186" s="596" t="str">
        <f t="shared" si="334"/>
        <v/>
      </c>
      <c r="N186" s="596">
        <f t="shared" si="334"/>
        <v>46161</v>
      </c>
      <c r="O186" s="597" t="str">
        <f t="shared" si="334"/>
        <v/>
      </c>
      <c r="P186" s="598" t="str">
        <f>IFERROR(IF(VLOOKUP(F186,'Voyage days'!$M$808:$N$819,2,FALSE),"GOA",""),"")</f>
        <v/>
      </c>
      <c r="Q186" s="596">
        <f t="shared" si="287"/>
        <v>46154</v>
      </c>
      <c r="R186" s="596">
        <f t="shared" si="289"/>
        <v>46153.5</v>
      </c>
      <c r="S186" s="595">
        <f t="shared" si="2"/>
        <v>46160</v>
      </c>
      <c r="T186" s="596">
        <f t="shared" si="3"/>
        <v>46167</v>
      </c>
      <c r="U186" s="596" t="str">
        <f t="shared" si="290"/>
        <v/>
      </c>
      <c r="V186" s="596"/>
      <c r="W186" s="596" t="str">
        <f t="shared" si="291"/>
        <v/>
      </c>
      <c r="X186" s="599" t="str">
        <f t="shared" si="6"/>
        <v/>
      </c>
      <c r="Y186" s="594"/>
      <c r="Z186" s="600" t="str">
        <f>VLOOKUP(F186,'2) Tracker'!$A$3:$Q$505,16,FALSE)</f>
        <v>ETA Suez 3 May</v>
      </c>
      <c r="AA186" s="600" t="str">
        <f>VLOOKUP(F186,'2) Tracker'!$A$3:$R$505,18,FALSE)</f>
        <v>BGN 02-03 Apr Nederland</v>
      </c>
      <c r="AB186" s="600">
        <f>VLOOKUP(F186,'2) Tracker'!$A$3:$Q$505,17,FALSE)</f>
        <v>0</v>
      </c>
      <c r="AC186" s="601"/>
      <c r="AD186" s="601">
        <f>VLOOKUP(F186,'2) Tracker'!$A$2:$BO$981,37,FALSE)</f>
        <v>46170</v>
      </c>
      <c r="AE186" s="601">
        <f>VLOOKUP(F186,'2) Tracker'!$A$2:$BO$981,40,FALSE)</f>
        <v>46173</v>
      </c>
      <c r="AF186" s="601" t="str">
        <f>VLOOKUP(F186,'2) Tracker'!$A$2:$BO$981,67,FALSE)</f>
        <v/>
      </c>
      <c r="AG186" s="601">
        <f>VLOOKUP(F186,'2) Tracker'!$A$2:$BO$981,34,FALSE)</f>
        <v>46161</v>
      </c>
      <c r="AH186" s="601" t="str">
        <f>VLOOKUP(F186,'2) Tracker'!$A$2:$BN$981,66,FALSE)</f>
        <v/>
      </c>
      <c r="AI186" s="601" t="str">
        <f>VLOOKUP(F186,'2) Tracker'!$A$2:$BO$981,56,FALSE)</f>
        <v/>
      </c>
      <c r="AJ186" s="601" t="str">
        <f>VLOOKUP(F186,'2) Tracker'!$A$2:$BO$981,52,FALSE)</f>
        <v/>
      </c>
      <c r="AK186" s="601">
        <f>VLOOKUP(F186,'2) Tracker'!$A$2:$AQ$981,43,FALSE)</f>
        <v>46167</v>
      </c>
      <c r="AL186" s="601">
        <f>VLOOKUP(F186,'2) Tracker'!$A$2:$BH$981,46,FALSE())</f>
        <v>46160</v>
      </c>
      <c r="AM186" s="601">
        <f>VLOOKUP(F186,'2) Tracker'!$A$2:$BO$981,65,FALSE())</f>
        <v>46154</v>
      </c>
      <c r="AN186" s="601">
        <f>VLOOKUP(F186,'2) Tracker'!$A$2:$BK$981,63,FALSE())</f>
        <v>46153.5</v>
      </c>
      <c r="AO186" s="601" t="str">
        <f>VLOOKUP(F186,'2) Tracker'!$A$2:$BF$981,58,FALSE())</f>
        <v/>
      </c>
      <c r="AP186" s="46"/>
      <c r="AQ186" s="46"/>
      <c r="AR186" s="46"/>
      <c r="AS186" s="46"/>
      <c r="AT186" s="46"/>
      <c r="AU186" s="46"/>
      <c r="AV186" s="46"/>
      <c r="AW186" s="46"/>
      <c r="AX186" s="46"/>
      <c r="AY186" s="46"/>
      <c r="AZ186" s="563"/>
      <c r="BA186" s="569"/>
      <c r="BB186" s="563"/>
      <c r="BC186" s="569"/>
      <c r="BD186" s="563"/>
      <c r="BE186" s="46"/>
      <c r="BF186" s="46"/>
      <c r="BG186" s="563"/>
      <c r="BH186" s="563"/>
      <c r="BI186" s="563"/>
      <c r="BJ186" s="563"/>
    </row>
    <row r="187" spans="2:62" x14ac:dyDescent="0.25">
      <c r="B187" s="589">
        <f>VLOOKUP(F187,'2) Tracker'!$A$3:$O$411,5,FALSE)</f>
        <v>0</v>
      </c>
      <c r="C187" s="589">
        <f>VLOOKUP(F187,'2) Tracker'!$A$3:$O$411,4,FALSE)</f>
        <v>0</v>
      </c>
      <c r="D187" s="563"/>
      <c r="E187" s="563">
        <f>VLOOKUP(F187,'2) Tracker'!$A$3:$O$407,15,FALSE)</f>
        <v>0</v>
      </c>
      <c r="F187" s="604" t="s">
        <v>232</v>
      </c>
      <c r="G187" s="591">
        <f>VLOOKUP(F187,'2) Tracker'!$A$2:$BO$361,2,FALSE)</f>
        <v>2021</v>
      </c>
      <c r="H187" s="592">
        <f>VLOOKUP(F187,'2) Tracker'!$A$2:$BO$361,3,FALSE)</f>
        <v>84000</v>
      </c>
      <c r="I187" s="600" t="str">
        <f>VLOOKUP(F187,'2) Tracker'!$A$2:$BO$361,9,FALSE)</f>
        <v>Gyxis</v>
      </c>
      <c r="J187" s="594" t="str">
        <f>VLOOKUP(F187,'2) Tracker'!$A$2:$BO$361,12,FALSE)</f>
        <v>Japan</v>
      </c>
      <c r="K187" s="596">
        <f t="shared" si="305"/>
        <v>46170</v>
      </c>
      <c r="L187" s="596">
        <f t="shared" ref="L187:O187" si="335">AE187</f>
        <v>46181</v>
      </c>
      <c r="M187" s="596" t="str">
        <f t="shared" si="335"/>
        <v/>
      </c>
      <c r="N187" s="596">
        <f t="shared" si="335"/>
        <v>46157</v>
      </c>
      <c r="O187" s="597" t="str">
        <f t="shared" si="335"/>
        <v/>
      </c>
      <c r="P187" s="598" t="str">
        <f>IFERROR(IF(VLOOKUP(F187,'Voyage days'!$M$808:$N$819,2,FALSE),"GOA",""),"")</f>
        <v/>
      </c>
      <c r="Q187" s="596">
        <f t="shared" si="287"/>
        <v>46160</v>
      </c>
      <c r="R187" s="596">
        <f t="shared" si="289"/>
        <v>46185</v>
      </c>
      <c r="S187" s="595">
        <f t="shared" si="2"/>
        <v>46175</v>
      </c>
      <c r="T187" s="596">
        <f t="shared" si="3"/>
        <v>46169</v>
      </c>
      <c r="U187" s="596">
        <f t="shared" si="290"/>
        <v>46148</v>
      </c>
      <c r="V187" s="596"/>
      <c r="W187" s="596">
        <f t="shared" si="291"/>
        <v>46147.25</v>
      </c>
      <c r="X187" s="599">
        <f t="shared" si="6"/>
        <v>46150</v>
      </c>
      <c r="Y187" s="606" t="s">
        <v>1558</v>
      </c>
      <c r="Z187" s="600" t="str">
        <f>VLOOKUP(F187,'2) Tracker'!$A$3:$Q$505,16,FALSE)</f>
        <v>ETA 1st port Chiba 19 Apr</v>
      </c>
      <c r="AA187" s="600" t="str">
        <f>VLOOKUP(F187,'2) Tracker'!$A$3:$R$505,18,FALSE)</f>
        <v>Sinochem 17-18 Mar Nederland</v>
      </c>
      <c r="AB187" s="600">
        <f>VLOOKUP(F187,'2) Tracker'!$A$3:$Q$505,17,FALSE)</f>
        <v>0</v>
      </c>
      <c r="AC187" s="601"/>
      <c r="AD187" s="601">
        <f>VLOOKUP(F187,'2) Tracker'!$A$2:$BO$981,37,FALSE)</f>
        <v>46170</v>
      </c>
      <c r="AE187" s="601">
        <f>VLOOKUP(F187,'2) Tracker'!$A$2:$BO$981,40,FALSE)</f>
        <v>46181</v>
      </c>
      <c r="AF187" s="601" t="str">
        <f>VLOOKUP(F187,'2) Tracker'!$A$2:$BO$981,67,FALSE)</f>
        <v/>
      </c>
      <c r="AG187" s="601">
        <f>VLOOKUP(F187,'2) Tracker'!$A$2:$BO$981,34,FALSE)</f>
        <v>46157</v>
      </c>
      <c r="AH187" s="601" t="str">
        <f>VLOOKUP(F187,'2) Tracker'!$A$2:$BN$981,66,FALSE)</f>
        <v/>
      </c>
      <c r="AI187" s="601">
        <f>VLOOKUP(F187,'2) Tracker'!$A$2:$BO$981,56,FALSE)</f>
        <v>46148</v>
      </c>
      <c r="AJ187" s="601">
        <f>VLOOKUP(F187,'2) Tracker'!$A$2:$BO$981,52,FALSE)</f>
        <v>46147.25</v>
      </c>
      <c r="AK187" s="601">
        <f>VLOOKUP(F187,'2) Tracker'!$A$2:$AQ$981,43,FALSE)</f>
        <v>46169</v>
      </c>
      <c r="AL187" s="601">
        <f>VLOOKUP(F187,'2) Tracker'!$A$2:$BH$981,46,FALSE())</f>
        <v>46175</v>
      </c>
      <c r="AM187" s="601">
        <f>VLOOKUP(F187,'2) Tracker'!$A$2:$BO$981,65,FALSE())</f>
        <v>46160</v>
      </c>
      <c r="AN187" s="601">
        <f>VLOOKUP(F187,'2) Tracker'!$A$2:$BK$981,63,FALSE())</f>
        <v>46185</v>
      </c>
      <c r="AO187" s="601">
        <f>VLOOKUP(F187,'2) Tracker'!$A$2:$BF$981,58,FALSE())</f>
        <v>46150</v>
      </c>
      <c r="AP187" s="46"/>
      <c r="AQ187" s="46"/>
      <c r="AR187" s="46"/>
      <c r="AS187" s="46"/>
      <c r="AT187" s="46"/>
      <c r="AU187" s="46"/>
      <c r="AV187" s="46"/>
      <c r="AW187" s="46"/>
      <c r="AX187" s="46"/>
      <c r="AY187" s="46"/>
      <c r="AZ187" s="605"/>
      <c r="BA187" s="604" t="e">
        <f>VLOOKUP(AZ187,#REF!,2, FALSE)</f>
        <v>#REF!</v>
      </c>
      <c r="BB187" s="605" t="e">
        <f>VLOOKUP(AZ187,'1) Kpler'!$E$2:$F$500,2,FALSE)</f>
        <v>#N/A</v>
      </c>
      <c r="BC187" s="604"/>
      <c r="BD187" s="605"/>
      <c r="BE187" s="46"/>
      <c r="BF187" s="46"/>
      <c r="BG187" s="605"/>
      <c r="BH187" s="605"/>
      <c r="BI187" s="605"/>
      <c r="BJ187" s="605"/>
    </row>
    <row r="188" spans="2:62" x14ac:dyDescent="0.25">
      <c r="B188" s="589">
        <f>VLOOKUP(F188,'2) Tracker'!$A$3:$O$411,5,FALSE)</f>
        <v>0</v>
      </c>
      <c r="C188" s="638"/>
      <c r="D188" s="563"/>
      <c r="E188" s="563">
        <f>VLOOKUP(F188,'2) Tracker'!$A$3:$O$407,15,FALSE)</f>
        <v>0</v>
      </c>
      <c r="F188" s="561" t="s">
        <v>623</v>
      </c>
      <c r="G188" s="591">
        <f>VLOOKUP(F188,'2) Tracker'!$A$2:$BO$361,2,FALSE)</f>
        <v>2020</v>
      </c>
      <c r="H188" s="592">
        <f>VLOOKUP(F188,'2) Tracker'!$A$2:$BO$361,3,FALSE)</f>
        <v>84000</v>
      </c>
      <c r="I188" s="600" t="str">
        <f>VLOOKUP(F188,'2) Tracker'!$A$2:$BO$361,9,FALSE)</f>
        <v>Mercuria</v>
      </c>
      <c r="J188" s="594" t="str">
        <f>VLOOKUP(F188,'2) Tracker'!$A$2:$BO$361,12,FALSE)</f>
        <v>Taiwan</v>
      </c>
      <c r="K188" s="596">
        <f t="shared" si="305"/>
        <v>46170</v>
      </c>
      <c r="L188" s="596">
        <f t="shared" ref="L188:O188" si="336">AE188</f>
        <v>46179</v>
      </c>
      <c r="M188" s="596" t="str">
        <f t="shared" si="336"/>
        <v/>
      </c>
      <c r="N188" s="597">
        <f t="shared" si="336"/>
        <v>46151</v>
      </c>
      <c r="O188" s="597" t="str">
        <f t="shared" si="336"/>
        <v/>
      </c>
      <c r="P188" s="598" t="str">
        <f>IFERROR(IF(VLOOKUP(F188,'Voyage days'!$M$808:$N$819,2,FALSE),"GOA",""),"")</f>
        <v/>
      </c>
      <c r="Q188" s="596">
        <f t="shared" si="287"/>
        <v>46154</v>
      </c>
      <c r="R188" s="596">
        <f t="shared" si="289"/>
        <v>46179</v>
      </c>
      <c r="S188" s="595">
        <f t="shared" si="2"/>
        <v>46169</v>
      </c>
      <c r="T188" s="596">
        <f t="shared" si="3"/>
        <v>46163</v>
      </c>
      <c r="U188" s="596">
        <f t="shared" si="290"/>
        <v>46143</v>
      </c>
      <c r="V188" s="596"/>
      <c r="W188" s="596">
        <f t="shared" si="291"/>
        <v>46142</v>
      </c>
      <c r="X188" s="599">
        <f t="shared" si="6"/>
        <v>46149</v>
      </c>
      <c r="Y188" s="594"/>
      <c r="Z188" s="600" t="str">
        <f>VLOOKUP(F188,'2) Tracker'!$A$3:$Q$505,16,FALSE)</f>
        <v>ex DD, ETA 1st port Kaohsiung 21 Apr</v>
      </c>
      <c r="AA188" s="600" t="str">
        <f>VLOOKUP(F188,'2) Tracker'!$A$3:$R$505,18,FALSE)</f>
        <v>BP 14-15 Mar Nederland</v>
      </c>
      <c r="AB188" s="600">
        <f>VLOOKUP(F188,'2) Tracker'!$A$3:$Q$505,17,FALSE)</f>
        <v>0</v>
      </c>
      <c r="AC188" s="601"/>
      <c r="AD188" s="601">
        <f>VLOOKUP(F188,'2) Tracker'!$A$2:$BO$981,37,FALSE)</f>
        <v>46170</v>
      </c>
      <c r="AE188" s="601">
        <f>VLOOKUP(F188,'2) Tracker'!$A$2:$BO$981,40,FALSE)</f>
        <v>46179</v>
      </c>
      <c r="AF188" s="601" t="str">
        <f>VLOOKUP(F188,'2) Tracker'!$A$2:$BO$981,67,FALSE)</f>
        <v/>
      </c>
      <c r="AG188" s="601">
        <f>VLOOKUP(F188,'2) Tracker'!$A$2:$BO$981,34,FALSE)</f>
        <v>46151</v>
      </c>
      <c r="AH188" s="601" t="str">
        <f>VLOOKUP(F188,'2) Tracker'!$A$2:$BN$981,66,FALSE)</f>
        <v/>
      </c>
      <c r="AI188" s="601">
        <f>VLOOKUP(F188,'2) Tracker'!$A$2:$BO$981,56,FALSE)</f>
        <v>46143</v>
      </c>
      <c r="AJ188" s="601">
        <f>VLOOKUP(F188,'2) Tracker'!$A$2:$BO$981,52,FALSE)</f>
        <v>46142</v>
      </c>
      <c r="AK188" s="601">
        <f>VLOOKUP(F188,'2) Tracker'!$A$2:$AQ$981,43,FALSE)</f>
        <v>46163</v>
      </c>
      <c r="AL188" s="601">
        <f>VLOOKUP(F188,'2) Tracker'!$A$2:$BH$981,46,FALSE())</f>
        <v>46169</v>
      </c>
      <c r="AM188" s="601">
        <f>VLOOKUP(F188,'2) Tracker'!$A$2:$BO$981,65,FALSE())</f>
        <v>46154</v>
      </c>
      <c r="AN188" s="601">
        <f>VLOOKUP(F188,'2) Tracker'!$A$2:$BK$981,63,FALSE())</f>
        <v>46179</v>
      </c>
      <c r="AO188" s="601">
        <f>VLOOKUP(F188,'2) Tracker'!$A$2:$BF$981,58,FALSE())</f>
        <v>46149</v>
      </c>
      <c r="AP188" s="46"/>
      <c r="AQ188" s="46"/>
      <c r="AR188" s="46"/>
      <c r="AS188" s="46"/>
      <c r="AT188" s="46"/>
      <c r="AU188" s="46"/>
      <c r="AV188" s="46"/>
      <c r="AW188" s="46"/>
      <c r="AX188" s="46"/>
      <c r="AY188" s="46"/>
      <c r="AZ188" s="605"/>
      <c r="BA188" s="604" t="e">
        <f>VLOOKUP(AZ188,#REF!,2, FALSE)</f>
        <v>#REF!</v>
      </c>
      <c r="BB188" s="605" t="e">
        <f>VLOOKUP(AZ188,'1) Kpler'!$E$2:$F$500,2,FALSE)</f>
        <v>#N/A</v>
      </c>
      <c r="BC188" s="604"/>
      <c r="BD188" s="605"/>
      <c r="BE188" s="46"/>
      <c r="BF188" s="46"/>
      <c r="BG188" s="605"/>
      <c r="BH188" s="605"/>
      <c r="BI188" s="605"/>
      <c r="BJ188" s="605"/>
    </row>
    <row r="189" spans="2:62" x14ac:dyDescent="0.25">
      <c r="B189" s="589">
        <f>VLOOKUP(F189,'2) Tracker'!$A$3:$O$411,5,FALSE)</f>
        <v>0</v>
      </c>
      <c r="C189" s="589">
        <f>VLOOKUP(F189,'2) Tracker'!$A$3:$O$411,4,FALSE)</f>
        <v>0</v>
      </c>
      <c r="D189" s="563"/>
      <c r="E189" s="563">
        <f>VLOOKUP(F189,'2) Tracker'!$A$3:$O$407,15,FALSE)</f>
        <v>0</v>
      </c>
      <c r="F189" s="561" t="s">
        <v>349</v>
      </c>
      <c r="G189" s="615">
        <f>VLOOKUP(F189,'2) Tracker'!$A$2:$BO$361,2,FALSE)</f>
        <v>2018</v>
      </c>
      <c r="H189" s="592">
        <f>VLOOKUP(F189,'2) Tracker'!$A$2:$BO$361,3,FALSE)</f>
        <v>82200</v>
      </c>
      <c r="I189" s="594" t="str">
        <f>VLOOKUP(F189,'2) Tracker'!$A$2:$BO$361,9,FALSE)</f>
        <v>Gyxis</v>
      </c>
      <c r="J189" s="594" t="str">
        <f>VLOOKUP(F189,'2) Tracker'!$A$2:$BO$361,12,FALSE)</f>
        <v>Japan</v>
      </c>
      <c r="K189" s="595">
        <f t="shared" si="305"/>
        <v>46170</v>
      </c>
      <c r="L189" s="596">
        <f t="shared" ref="L189:O189" si="337">AE189</f>
        <v>46181</v>
      </c>
      <c r="M189" s="596" t="str">
        <f t="shared" si="337"/>
        <v/>
      </c>
      <c r="N189" s="596">
        <f t="shared" si="337"/>
        <v>46157</v>
      </c>
      <c r="O189" s="597" t="str">
        <f t="shared" si="337"/>
        <v/>
      </c>
      <c r="P189" s="598" t="str">
        <f>IFERROR(IF(VLOOKUP(F189,'Voyage days'!$M$808:$N$819,2,FALSE),"GOA",""),"")</f>
        <v/>
      </c>
      <c r="Q189" s="596">
        <f t="shared" si="287"/>
        <v>46160</v>
      </c>
      <c r="R189" s="596">
        <f t="shared" si="289"/>
        <v>46185</v>
      </c>
      <c r="S189" s="595">
        <f t="shared" si="2"/>
        <v>46175</v>
      </c>
      <c r="T189" s="596">
        <f t="shared" si="3"/>
        <v>46169</v>
      </c>
      <c r="U189" s="596">
        <f t="shared" si="290"/>
        <v>46148</v>
      </c>
      <c r="V189" s="570" t="s">
        <v>1577</v>
      </c>
      <c r="W189" s="596">
        <f t="shared" si="291"/>
        <v>46147.25</v>
      </c>
      <c r="X189" s="599">
        <f t="shared" si="6"/>
        <v>46150</v>
      </c>
      <c r="Y189" s="594"/>
      <c r="Z189" s="600" t="str">
        <f>VLOOKUP(F189,'2) Tracker'!$A$3:$Q$505,16,FALSE)</f>
        <v>ETA 1st port Nagoya 20 Apr</v>
      </c>
      <c r="AA189" s="600" t="str">
        <f>VLOOKUP(F189,'2) Tracker'!$A$3:$R$505,18,FALSE)</f>
        <v>MB Energy 16-17 Mar Enterprise</v>
      </c>
      <c r="AB189" s="600">
        <f>VLOOKUP(F189,'2) Tracker'!$A$3:$Q$505,17,FALSE)</f>
        <v>0</v>
      </c>
      <c r="AC189" s="601"/>
      <c r="AD189" s="601">
        <f>VLOOKUP(F189,'2) Tracker'!$A$2:$BO$981,37,FALSE)</f>
        <v>46170</v>
      </c>
      <c r="AE189" s="601">
        <f>VLOOKUP(F189,'2) Tracker'!$A$2:$BO$981,40,FALSE)</f>
        <v>46181</v>
      </c>
      <c r="AF189" s="601" t="str">
        <f>VLOOKUP(F189,'2) Tracker'!$A$2:$BO$981,67,FALSE)</f>
        <v/>
      </c>
      <c r="AG189" s="601">
        <f>VLOOKUP(F189,'2) Tracker'!$A$2:$BO$981,34,FALSE)</f>
        <v>46157</v>
      </c>
      <c r="AH189" s="601" t="str">
        <f>VLOOKUP(F189,'2) Tracker'!$A$2:$BN$981,66,FALSE)</f>
        <v/>
      </c>
      <c r="AI189" s="601">
        <f>VLOOKUP(F189,'2) Tracker'!$A$2:$BO$981,56,FALSE)</f>
        <v>46148</v>
      </c>
      <c r="AJ189" s="601">
        <f>VLOOKUP(F189,'2) Tracker'!$A$2:$BO$981,52,FALSE)</f>
        <v>46147.25</v>
      </c>
      <c r="AK189" s="601">
        <f>VLOOKUP(F189,'2) Tracker'!$A$2:$AQ$981,43,FALSE)</f>
        <v>46169</v>
      </c>
      <c r="AL189" s="601">
        <f>VLOOKUP(F189,'2) Tracker'!$A$2:$BH$981,46,FALSE())</f>
        <v>46175</v>
      </c>
      <c r="AM189" s="601">
        <f>VLOOKUP(F189,'2) Tracker'!$A$2:$BO$981,65,FALSE())</f>
        <v>46160</v>
      </c>
      <c r="AN189" s="601">
        <f>VLOOKUP(F189,'2) Tracker'!$A$2:$BK$981,63,FALSE())</f>
        <v>46185</v>
      </c>
      <c r="AO189" s="601">
        <f>VLOOKUP(F189,'2) Tracker'!$A$2:$BF$981,58,FALSE())</f>
        <v>46150</v>
      </c>
      <c r="AP189" s="46"/>
      <c r="AQ189" s="46"/>
      <c r="AR189" s="46"/>
      <c r="AS189" s="46"/>
      <c r="AT189" s="46"/>
      <c r="AU189" s="46"/>
      <c r="AV189" s="46"/>
      <c r="AW189" s="46"/>
      <c r="AX189" s="46"/>
      <c r="AY189" s="46"/>
      <c r="AZ189" s="605"/>
      <c r="BA189" s="604" t="e">
        <f>VLOOKUP(AZ189,#REF!,2, FALSE)</f>
        <v>#REF!</v>
      </c>
      <c r="BB189" s="605" t="e">
        <f>VLOOKUP(AZ189,'1) Kpler'!$E$2:$F$500,2,FALSE)</f>
        <v>#N/A</v>
      </c>
      <c r="BC189" s="604"/>
      <c r="BD189" s="605"/>
      <c r="BE189" s="46"/>
      <c r="BF189" s="46"/>
      <c r="BG189" s="605"/>
      <c r="BH189" s="605"/>
      <c r="BI189" s="605"/>
      <c r="BJ189" s="46"/>
    </row>
    <row r="190" spans="2:62" x14ac:dyDescent="0.25">
      <c r="B190" s="589">
        <f>VLOOKUP(F190,'2) Tracker'!$A$3:$O$411,5,FALSE)</f>
        <v>0</v>
      </c>
      <c r="C190" s="589">
        <f>VLOOKUP(F190,'2) Tracker'!$A$3:$O$411,4,FALSE)</f>
        <v>0</v>
      </c>
      <c r="D190" s="563"/>
      <c r="E190" s="563">
        <f>VLOOKUP(F190,'2) Tracker'!$A$3:$O$407,15,FALSE)</f>
        <v>0</v>
      </c>
      <c r="F190" s="604" t="s">
        <v>460</v>
      </c>
      <c r="G190" s="607">
        <f>VLOOKUP(F190,'2) Tracker'!$A$2:$BO$361,2,FALSE)</f>
        <v>42370</v>
      </c>
      <c r="H190" s="592">
        <f>VLOOKUP(F190,'2) Tracker'!$A$2:$BO$361,3,FALSE)</f>
        <v>83000</v>
      </c>
      <c r="I190" s="600" t="str">
        <f>VLOOKUP(F190,'2) Tracker'!$A$2:$BO$361,9,FALSE)</f>
        <v>Astomos</v>
      </c>
      <c r="J190" s="594" t="str">
        <f>VLOOKUP(F190,'2) Tracker'!$A$2:$BO$361,12,FALSE)</f>
        <v>Japan</v>
      </c>
      <c r="K190" s="596">
        <f t="shared" si="305"/>
        <v>46170</v>
      </c>
      <c r="L190" s="596">
        <f t="shared" ref="L190:O190" si="338">AE190</f>
        <v>46181</v>
      </c>
      <c r="M190" s="596" t="str">
        <f t="shared" si="338"/>
        <v/>
      </c>
      <c r="N190" s="596">
        <f t="shared" si="338"/>
        <v>46157</v>
      </c>
      <c r="O190" s="597" t="str">
        <f t="shared" si="338"/>
        <v/>
      </c>
      <c r="P190" s="598" t="str">
        <f>IFERROR(IF(VLOOKUP(F190,'Voyage days'!$M$808:$N$819,2,FALSE),"GOA",""),"")</f>
        <v/>
      </c>
      <c r="Q190" s="596">
        <f t="shared" si="287"/>
        <v>46160</v>
      </c>
      <c r="R190" s="596">
        <f t="shared" si="289"/>
        <v>46185</v>
      </c>
      <c r="S190" s="595">
        <f t="shared" si="2"/>
        <v>46175</v>
      </c>
      <c r="T190" s="596">
        <f t="shared" si="3"/>
        <v>46169</v>
      </c>
      <c r="U190" s="596">
        <f t="shared" si="290"/>
        <v>46148</v>
      </c>
      <c r="V190" s="596"/>
      <c r="W190" s="596">
        <f t="shared" si="291"/>
        <v>46147.25</v>
      </c>
      <c r="X190" s="599">
        <f t="shared" si="6"/>
        <v>46150</v>
      </c>
      <c r="Y190" s="594"/>
      <c r="Z190" s="600" t="str">
        <f>VLOOKUP(F190,'2) Tracker'!$A$3:$Q$505,16,FALSE)</f>
        <v>ETA 1st port Sodegaura 21 Apr</v>
      </c>
      <c r="AA190" s="600" t="str">
        <f>VLOOKUP(F190,'2) Tracker'!$A$3:$R$505,18,FALSE)</f>
        <v>Astomos 18-19 Mar Enterprise</v>
      </c>
      <c r="AB190" s="600">
        <f>VLOOKUP(F190,'2) Tracker'!$A$3:$Q$505,15,FALSE)</f>
        <v>0</v>
      </c>
      <c r="AC190" s="601"/>
      <c r="AD190" s="601">
        <f>VLOOKUP(F190,'2) Tracker'!$A$2:$BO$981,37,FALSE)</f>
        <v>46170</v>
      </c>
      <c r="AE190" s="601">
        <f>VLOOKUP(F190,'2) Tracker'!$A$2:$BO$981,40,FALSE)</f>
        <v>46181</v>
      </c>
      <c r="AF190" s="601" t="str">
        <f>VLOOKUP(F190,'2) Tracker'!$A$2:$BO$981,67,FALSE)</f>
        <v/>
      </c>
      <c r="AG190" s="601">
        <f>VLOOKUP(F190,'2) Tracker'!$A$2:$BO$981,34,FALSE)</f>
        <v>46157</v>
      </c>
      <c r="AH190" s="601" t="str">
        <f>VLOOKUP(F190,'2) Tracker'!$A$2:$BN$981,66,FALSE)</f>
        <v/>
      </c>
      <c r="AI190" s="601">
        <f>VLOOKUP(F190,'2) Tracker'!$A$2:$BO$981,56,FALSE)</f>
        <v>46148</v>
      </c>
      <c r="AJ190" s="601">
        <f>VLOOKUP(F190,'2) Tracker'!$A$2:$BO$981,52,FALSE)</f>
        <v>46147.25</v>
      </c>
      <c r="AK190" s="601">
        <f>VLOOKUP(F190,'2) Tracker'!$A$2:$AQ$981,43,FALSE)</f>
        <v>46169</v>
      </c>
      <c r="AL190" s="601">
        <f>VLOOKUP(F190,'2) Tracker'!$A$2:$BH$981,46,FALSE())</f>
        <v>46175</v>
      </c>
      <c r="AM190" s="601">
        <f>VLOOKUP(F190,'2) Tracker'!$A$2:$BO$981,65,FALSE())</f>
        <v>46160</v>
      </c>
      <c r="AN190" s="601">
        <f>VLOOKUP(F190,'2) Tracker'!$A$2:$BK$981,63,FALSE())</f>
        <v>46185</v>
      </c>
      <c r="AO190" s="601">
        <f>VLOOKUP(F190,'2) Tracker'!$A$2:$BF$981,58,FALSE())</f>
        <v>46150</v>
      </c>
      <c r="AP190" s="46"/>
      <c r="AQ190" s="46"/>
      <c r="AR190" s="46"/>
      <c r="AS190" s="46"/>
      <c r="AT190" s="46"/>
      <c r="AU190" s="46"/>
      <c r="AV190" s="46"/>
      <c r="AW190" s="46"/>
      <c r="AX190" s="46"/>
      <c r="AY190" s="46"/>
      <c r="AZ190" s="563"/>
      <c r="BA190" s="604" t="e">
        <f>VLOOKUP(AZ190,#REF!,2, FALSE)</f>
        <v>#REF!</v>
      </c>
      <c r="BB190" s="605" t="e">
        <f>VLOOKUP(AZ190,'1) Kpler'!$E$2:$F$500,2,FALSE)</f>
        <v>#N/A</v>
      </c>
      <c r="BC190" s="569"/>
      <c r="BD190" s="563"/>
      <c r="BE190" s="46"/>
      <c r="BF190" s="46"/>
      <c r="BG190" s="563"/>
      <c r="BH190" s="563"/>
      <c r="BI190" s="563"/>
      <c r="BJ190" s="563"/>
    </row>
    <row r="191" spans="2:62" x14ac:dyDescent="0.25">
      <c r="B191" s="589">
        <f>VLOOKUP(F191,'2) Tracker'!$A$3:$O$411,5,FALSE)</f>
        <v>0</v>
      </c>
      <c r="C191" s="589">
        <f>VLOOKUP(F191,'2) Tracker'!$A$3:$O$411,4,FALSE)</f>
        <v>0</v>
      </c>
      <c r="D191" s="563"/>
      <c r="E191" s="563"/>
      <c r="F191" s="569" t="s">
        <v>490</v>
      </c>
      <c r="G191" s="563">
        <v>2025</v>
      </c>
      <c r="H191" s="642">
        <v>86665</v>
      </c>
      <c r="I191" s="600" t="str">
        <f>VLOOKUP(F191,'2) Tracker'!$A$2:$BO$361,9,FALSE)</f>
        <v>BGN</v>
      </c>
      <c r="J191" s="594" t="str">
        <f>VLOOKUP(F191,'2) Tracker'!$A$2:$BO$361,12,FALSE)</f>
        <v>Suez</v>
      </c>
      <c r="K191" s="596">
        <f t="shared" si="305"/>
        <v>46170</v>
      </c>
      <c r="L191" s="639"/>
      <c r="N191" s="596">
        <f t="shared" ref="N191:O191" si="339">AG191</f>
        <v>46161</v>
      </c>
      <c r="O191" s="597" t="str">
        <f t="shared" si="339"/>
        <v/>
      </c>
      <c r="P191" s="598" t="str">
        <f>IFERROR(IF(VLOOKUP(F191,'Voyage days'!$M$808:$N$819,2,FALSE),"GOA",""),"")</f>
        <v/>
      </c>
      <c r="Q191" s="596">
        <f t="shared" si="287"/>
        <v>46153</v>
      </c>
      <c r="R191" s="595">
        <f t="shared" si="289"/>
        <v>46153.5</v>
      </c>
      <c r="S191" s="595">
        <f t="shared" si="2"/>
        <v>46160</v>
      </c>
      <c r="T191" s="595">
        <f t="shared" si="3"/>
        <v>46167</v>
      </c>
      <c r="U191" s="595" t="str">
        <f t="shared" si="290"/>
        <v/>
      </c>
      <c r="V191" s="616"/>
      <c r="W191" s="616" t="str">
        <f t="shared" si="291"/>
        <v/>
      </c>
      <c r="X191" s="599" t="str">
        <f t="shared" si="6"/>
        <v/>
      </c>
      <c r="Y191" s="594"/>
      <c r="Z191" s="600" t="str">
        <f>VLOOKUP(F191,'2) Tracker'!$A$3:$Q$505,16,FALSE)</f>
        <v>Heading towards Eygpt 20 Apr</v>
      </c>
      <c r="AA191" s="600" t="str">
        <f>VLOOKUP(F191,'2) Tracker'!$A$3:$R$505,18,FALSE)</f>
        <v>BGN 25-26 Mar USG</v>
      </c>
      <c r="AB191" s="600">
        <f>VLOOKUP(F191,'2) Tracker'!$A$3:$Q$505,17,FALSE)</f>
        <v>0</v>
      </c>
      <c r="AC191" s="601"/>
      <c r="AD191" s="601">
        <f>VLOOKUP(F191,'2) Tracker'!$A$2:$BO$981,37,FALSE)</f>
        <v>46170</v>
      </c>
      <c r="AE191" s="601">
        <f>VLOOKUP(F191,'2) Tracker'!$A$2:$BO$981,40,FALSE)</f>
        <v>46173</v>
      </c>
      <c r="AF191" s="601" t="str">
        <f>VLOOKUP(F191,'2) Tracker'!$A$2:$BO$981,67,FALSE)</f>
        <v/>
      </c>
      <c r="AG191" s="601">
        <f>VLOOKUP(F191,'2) Tracker'!$A$2:$BO$981,34,FALSE)</f>
        <v>46161</v>
      </c>
      <c r="AH191" s="601" t="str">
        <f>VLOOKUP(F191,'2) Tracker'!$A$2:$BN$981,66,FALSE)</f>
        <v/>
      </c>
      <c r="AI191" s="601" t="str">
        <f>VLOOKUP(F191,'2) Tracker'!$A$2:$BO$981,56,FALSE)</f>
        <v/>
      </c>
      <c r="AJ191" s="601" t="str">
        <f>VLOOKUP(F191,'2) Tracker'!$A$2:$BO$981,52,FALSE)</f>
        <v/>
      </c>
      <c r="AK191" s="601">
        <f>VLOOKUP(F191,'2) Tracker'!$A$2:$AQ$981,43,FALSE)</f>
        <v>46167</v>
      </c>
      <c r="AL191" s="601">
        <f>VLOOKUP(F191,'2) Tracker'!$A$2:$BH$981,46,FALSE())</f>
        <v>46160</v>
      </c>
      <c r="AM191" s="601">
        <f>VLOOKUP(F191,'2) Tracker'!$A$2:$BO$981,65,FALSE())</f>
        <v>46153</v>
      </c>
      <c r="AN191" s="601">
        <f>VLOOKUP(F191,'2) Tracker'!$A$2:$BK$981,63,FALSE())</f>
        <v>46153.5</v>
      </c>
      <c r="AO191" s="601" t="str">
        <f>VLOOKUP(F191,'2) Tracker'!$A$2:$BF$981,58,FALSE())</f>
        <v/>
      </c>
      <c r="AP191" s="46"/>
      <c r="AQ191" s="46"/>
      <c r="AR191" s="46"/>
      <c r="AS191" s="46"/>
      <c r="AT191" s="46"/>
      <c r="AU191" s="46"/>
      <c r="AV191" s="46"/>
      <c r="AW191" s="46"/>
      <c r="AX191" s="46"/>
      <c r="AY191" s="46"/>
      <c r="AZ191" s="605"/>
      <c r="BA191" s="604" t="e">
        <f>VLOOKUP(AZ191,#REF!,2, FALSE)</f>
        <v>#REF!</v>
      </c>
      <c r="BB191" s="605" t="e">
        <f>VLOOKUP(AZ191,'1) Kpler'!$E$2:$F$500,2,FALSE)</f>
        <v>#N/A</v>
      </c>
      <c r="BC191" s="604"/>
      <c r="BD191" s="605"/>
      <c r="BE191" s="46"/>
      <c r="BF191" s="46"/>
      <c r="BG191" s="605"/>
      <c r="BH191" s="605"/>
      <c r="BI191" s="605"/>
      <c r="BJ191" s="605"/>
    </row>
    <row r="192" spans="2:62" x14ac:dyDescent="0.25">
      <c r="B192" s="589"/>
      <c r="C192" s="589">
        <f>VLOOKUP(F192,'2) Tracker'!$A$3:$O$411,4,FALSE)</f>
        <v>0</v>
      </c>
      <c r="D192" s="563"/>
      <c r="E192" s="563" t="str">
        <f>VLOOKUP(F192,'2) Tracker'!$A$3:$O$407,15,FALSE)</f>
        <v>O?</v>
      </c>
      <c r="F192" s="604" t="s">
        <v>515</v>
      </c>
      <c r="G192" s="644">
        <v>42248</v>
      </c>
      <c r="H192" s="645">
        <v>84000</v>
      </c>
      <c r="I192" s="600" t="str">
        <f>VLOOKUP(F192,'2) Tracker'!$A$2:$BO$361,9,FALSE)</f>
        <v>Pacific Gas</v>
      </c>
      <c r="J192" s="594" t="str">
        <f>VLOOKUP(F192,'2) Tracker'!$A$2:$BO$361,12,FALSE)</f>
        <v>Philippines</v>
      </c>
      <c r="K192" s="596">
        <f t="shared" si="305"/>
        <v>46170</v>
      </c>
      <c r="L192" s="639"/>
      <c r="N192" s="596">
        <f t="shared" ref="N192:O192" si="340">AG192</f>
        <v>46149</v>
      </c>
      <c r="O192" s="597" t="str">
        <f t="shared" si="340"/>
        <v/>
      </c>
      <c r="P192" s="598" t="str">
        <f>IFERROR(IF(VLOOKUP(F192,'Voyage days'!$M$808:$N$819,2,FALSE),"GOA",""),"")</f>
        <v/>
      </c>
      <c r="Q192" s="596">
        <f t="shared" si="287"/>
        <v>46151</v>
      </c>
      <c r="R192" s="595">
        <f t="shared" si="289"/>
        <v>46176</v>
      </c>
      <c r="S192" s="595">
        <f t="shared" si="2"/>
        <v>46166</v>
      </c>
      <c r="T192" s="596">
        <f t="shared" si="3"/>
        <v>46160</v>
      </c>
      <c r="U192" s="595">
        <f t="shared" si="290"/>
        <v>46139</v>
      </c>
      <c r="V192" s="616"/>
      <c r="W192" s="616">
        <f t="shared" si="291"/>
        <v>46139.25</v>
      </c>
      <c r="X192" s="599">
        <f t="shared" si="6"/>
        <v>46149</v>
      </c>
      <c r="Y192" s="611" t="s">
        <v>1624</v>
      </c>
      <c r="Z192" s="600" t="str">
        <f>VLOOKUP(F192,'2) Tracker'!$A$3:$Q$505,16,FALSE)</f>
        <v>@ Batangas 18 Apr, 4 ports Phils discharge</v>
      </c>
      <c r="AA192" s="600" t="str">
        <f>VLOOKUP(F192,'2) Tracker'!$A$3:$R$505,18,FALSE)</f>
        <v>ATC 28 Mar Yanbu</v>
      </c>
      <c r="AB192" s="600">
        <f>VLOOKUP(F192,'2) Tracker'!$A$3:$Q$505,17,FALSE)</f>
        <v>0</v>
      </c>
      <c r="AC192" s="601"/>
      <c r="AD192" s="601">
        <f>VLOOKUP(F192,'2) Tracker'!$A$2:$BO$981,37,FALSE)</f>
        <v>46170</v>
      </c>
      <c r="AE192" s="601">
        <f>VLOOKUP(F192,'2) Tracker'!$A$2:$BO$981,40,FALSE)</f>
        <v>46172</v>
      </c>
      <c r="AF192" s="601" t="str">
        <f>VLOOKUP(F192,'2) Tracker'!$A$2:$BO$981,67,FALSE)</f>
        <v/>
      </c>
      <c r="AG192" s="601">
        <f>VLOOKUP(F192,'2) Tracker'!$A$2:$BO$981,34,FALSE)</f>
        <v>46149</v>
      </c>
      <c r="AH192" s="601" t="str">
        <f>VLOOKUP(F192,'2) Tracker'!$A$2:$BN$981,66,FALSE)</f>
        <v/>
      </c>
      <c r="AI192" s="601">
        <f>VLOOKUP(F192,'2) Tracker'!$A$2:$BO$981,56,FALSE)</f>
        <v>46139</v>
      </c>
      <c r="AJ192" s="601">
        <f>VLOOKUP(F192,'2) Tracker'!$A$2:$BO$981,52,FALSE)</f>
        <v>46139.25</v>
      </c>
      <c r="AK192" s="601">
        <f>VLOOKUP(F192,'2) Tracker'!$A$2:$AQ$981,43,FALSE)</f>
        <v>46160</v>
      </c>
      <c r="AL192" s="601">
        <f>VLOOKUP(F192,'2) Tracker'!$A$2:$BH$981,46,FALSE())</f>
        <v>46166</v>
      </c>
      <c r="AM192" s="601">
        <f>VLOOKUP(F192,'2) Tracker'!$A$2:$BO$981,65,FALSE())</f>
        <v>46151</v>
      </c>
      <c r="AN192" s="601">
        <f>VLOOKUP(F192,'2) Tracker'!$A$2:$BK$981,63,FALSE())</f>
        <v>46176</v>
      </c>
      <c r="AO192" s="601">
        <f>VLOOKUP(F192,'2) Tracker'!$A$2:$BF$981,58,FALSE())</f>
        <v>46149</v>
      </c>
      <c r="AP192" s="46"/>
      <c r="AQ192" s="46"/>
      <c r="AR192" s="46"/>
      <c r="AS192" s="46"/>
      <c r="AT192" s="46"/>
      <c r="AU192" s="46"/>
      <c r="AV192" s="46"/>
      <c r="AW192" s="46"/>
      <c r="AX192" s="46"/>
      <c r="AY192" s="46"/>
      <c r="AZ192" s="605"/>
      <c r="BA192" s="604" t="e">
        <f>VLOOKUP(AZ192,#REF!,2, FALSE)</f>
        <v>#REF!</v>
      </c>
      <c r="BB192" s="605" t="e">
        <f>VLOOKUP(AZ192,'1) Kpler'!$E$2:$F$500,2,FALSE)</f>
        <v>#N/A</v>
      </c>
      <c r="BC192" s="604"/>
      <c r="BD192" s="605"/>
      <c r="BE192" s="46"/>
      <c r="BF192" s="46"/>
      <c r="BG192" s="605"/>
      <c r="BH192" s="605"/>
      <c r="BI192" s="605"/>
      <c r="BJ192" s="605"/>
    </row>
    <row r="193" spans="2:62" x14ac:dyDescent="0.25">
      <c r="B193" s="589"/>
      <c r="C193" s="589">
        <f>VLOOKUP(F193,'2) Tracker'!$A$3:$O$411,4,FALSE)</f>
        <v>0</v>
      </c>
      <c r="D193" s="563"/>
      <c r="E193" s="563">
        <f>VLOOKUP(F193,'2) Tracker'!$A$3:$O$407,15,FALSE)</f>
        <v>0</v>
      </c>
      <c r="F193" s="604" t="s">
        <v>314</v>
      </c>
      <c r="G193" s="607">
        <f>VLOOKUP(F193,'2) Tracker'!$A$2:$BO$361,2,FALSE)</f>
        <v>38687</v>
      </c>
      <c r="H193" s="592">
        <f>VLOOKUP(F193,'2) Tracker'!$A$2:$BO$361,3,FALSE)</f>
        <v>78913</v>
      </c>
      <c r="I193" s="594" t="str">
        <f>VLOOKUP(F193,'2) Tracker'!$A$2:$BO$361,9,FALSE)</f>
        <v>Phecda Leading Shipping Limited</v>
      </c>
      <c r="J193" s="594" t="str">
        <f>VLOOKUP(F193,'2) Tracker'!$A$2:$BO$361,12,FALSE)</f>
        <v>loads USG</v>
      </c>
      <c r="K193" s="596">
        <f t="shared" si="305"/>
        <v>46171</v>
      </c>
      <c r="L193" s="596">
        <f t="shared" ref="L193:O193" si="341">AE193</f>
        <v>46171</v>
      </c>
      <c r="M193" s="596">
        <f t="shared" si="341"/>
        <v>46203</v>
      </c>
      <c r="N193" s="597" t="str">
        <f t="shared" si="341"/>
        <v/>
      </c>
      <c r="O193" s="597" t="str">
        <f t="shared" si="341"/>
        <v/>
      </c>
      <c r="P193" s="598" t="str">
        <f>IFERROR(IF(VLOOKUP(F193,'Voyage days'!$M$808:$N$819,2,FALSE),"GOA",""),"")</f>
        <v/>
      </c>
      <c r="Q193" s="597" t="str">
        <f t="shared" si="287"/>
        <v/>
      </c>
      <c r="R193" s="596" t="str">
        <f t="shared" si="289"/>
        <v/>
      </c>
      <c r="S193" s="595">
        <f t="shared" si="2"/>
        <v>46191</v>
      </c>
      <c r="T193" s="595" t="str">
        <f t="shared" si="3"/>
        <v/>
      </c>
      <c r="U193" s="596" t="str">
        <f t="shared" si="290"/>
        <v/>
      </c>
      <c r="V193" s="596"/>
      <c r="W193" s="596" t="str">
        <f t="shared" si="291"/>
        <v/>
      </c>
      <c r="X193" s="599" t="str">
        <f t="shared" si="6"/>
        <v/>
      </c>
      <c r="Y193" s="611" t="s">
        <v>1625</v>
      </c>
      <c r="Z193" s="600" t="str">
        <f>VLOOKUP(F193,'2) Tracker'!$A$3:$Q$505,16,FALSE)</f>
        <v>ex DD,  ETA USG 25 May via Cape</v>
      </c>
      <c r="AA193" s="600" t="str">
        <f>VLOOKUP(F193,'2) Tracker'!$A$3:$R$505,18,FALSE)</f>
        <v>SwissChemGas End May USG</v>
      </c>
      <c r="AB193" s="600">
        <f>VLOOKUP(F193,'2) Tracker'!$A$3:$Q$505,17,FALSE)</f>
        <v>0</v>
      </c>
      <c r="AC193" s="601"/>
      <c r="AD193" s="601">
        <f>VLOOKUP(F193,'2) Tracker'!$A$2:$BO$981,37,FALSE)</f>
        <v>46171</v>
      </c>
      <c r="AE193" s="601">
        <f>VLOOKUP(F193,'2) Tracker'!$A$2:$BO$981,40,FALSE)</f>
        <v>46171</v>
      </c>
      <c r="AF193" s="601">
        <f>VLOOKUP(F193,'2) Tracker'!$A$2:$BO$981,67,FALSE)</f>
        <v>46203</v>
      </c>
      <c r="AG193" s="601" t="str">
        <f>VLOOKUP(F193,'2) Tracker'!$A$2:$BO$981,34,FALSE)</f>
        <v/>
      </c>
      <c r="AH193" s="601" t="str">
        <f>VLOOKUP(F193,'2) Tracker'!$A$2:$BN$981,66,FALSE)</f>
        <v/>
      </c>
      <c r="AI193" s="620" t="str">
        <f>VLOOKUP(F193,'2) Tracker'!$A$2:$BO$981,56,FALSE)</f>
        <v/>
      </c>
      <c r="AJ193" s="601" t="str">
        <f>VLOOKUP(F193,'2) Tracker'!$A$2:$BO$981,52,FALSE)</f>
        <v/>
      </c>
      <c r="AK193" s="601" t="str">
        <f>VLOOKUP(F193,'2) Tracker'!$A$2:$AQ$981,43,FALSE)</f>
        <v/>
      </c>
      <c r="AL193" s="601">
        <f>VLOOKUP(F193,'2) Tracker'!$A$2:$BH$981,46,FALSE())</f>
        <v>46191</v>
      </c>
      <c r="AM193" s="601" t="str">
        <f>VLOOKUP(F193,'2) Tracker'!$A$2:$BO$981,65,FALSE())</f>
        <v/>
      </c>
      <c r="AN193" s="601" t="str">
        <f>VLOOKUP(F193,'2) Tracker'!$A$2:$BK$981,63,FALSE())</f>
        <v/>
      </c>
      <c r="AO193" s="601" t="str">
        <f>VLOOKUP(F193,'2) Tracker'!$A$2:$BF$981,58,FALSE())</f>
        <v/>
      </c>
      <c r="AP193" s="46"/>
      <c r="AQ193" s="46"/>
      <c r="AR193" s="46"/>
      <c r="AS193" s="46"/>
      <c r="AT193" s="46"/>
      <c r="AU193" s="46"/>
      <c r="AV193" s="46"/>
      <c r="AW193" s="46"/>
      <c r="AX193" s="46"/>
      <c r="AY193" s="46"/>
      <c r="AZ193" s="563"/>
      <c r="BA193" s="604" t="e">
        <f>VLOOKUP(AZ193,#REF!,2, FALSE)</f>
        <v>#REF!</v>
      </c>
      <c r="BB193" s="605" t="e">
        <f>VLOOKUP(AZ193,'1) Kpler'!$E$2:$F$500,2,FALSE)</f>
        <v>#N/A</v>
      </c>
      <c r="BC193" s="569"/>
      <c r="BD193" s="563"/>
      <c r="BE193" s="46"/>
      <c r="BF193" s="46"/>
      <c r="BG193" s="563"/>
      <c r="BH193" s="563"/>
      <c r="BI193" s="563"/>
      <c r="BJ193" s="563"/>
    </row>
    <row r="194" spans="2:62" x14ac:dyDescent="0.25">
      <c r="B194" s="589">
        <f>VLOOKUP(F194,'2) Tracker'!$A$3:$O$411,5,FALSE)</f>
        <v>0</v>
      </c>
      <c r="C194" s="589" t="str">
        <f>VLOOKUP(F194,'2) Tracker'!$A$3:$O$411,4,FALSE)</f>
        <v>US</v>
      </c>
      <c r="D194" s="563" t="s">
        <v>1569</v>
      </c>
      <c r="E194" s="563">
        <f>VLOOKUP(F194,'2) Tracker'!$A$3:$O$407,15,FALSE)</f>
        <v>0</v>
      </c>
      <c r="F194" s="590" t="s">
        <v>634</v>
      </c>
      <c r="G194" s="591">
        <f>VLOOKUP(F194,'2) Tracker'!$A$2:$BO$361,2,FALSE)</f>
        <v>2021</v>
      </c>
      <c r="H194" s="592">
        <f>VLOOKUP(F194,'2) Tracker'!$A$2:$BO$361,3,FALSE)</f>
        <v>84000</v>
      </c>
      <c r="I194" s="593" t="str">
        <f>VLOOKUP(F194,'2) Tracker'!$A$2:$BO$361,9,FALSE)</f>
        <v>Chevron</v>
      </c>
      <c r="J194" s="594" t="str">
        <f>VLOOKUP(F194,'2) Tracker'!$A$2:$BO$361,12,FALSE)</f>
        <v>Singapore laden</v>
      </c>
      <c r="K194" s="596">
        <f t="shared" si="305"/>
        <v>46171</v>
      </c>
      <c r="L194" s="596">
        <f t="shared" ref="L194:O194" si="342">AE194</f>
        <v>46172</v>
      </c>
      <c r="M194" s="596" t="str">
        <f t="shared" si="342"/>
        <v/>
      </c>
      <c r="N194" s="596">
        <f t="shared" si="342"/>
        <v>46148</v>
      </c>
      <c r="O194" s="597" t="str">
        <f t="shared" si="342"/>
        <v/>
      </c>
      <c r="P194" s="598" t="str">
        <f>IFERROR(IF(VLOOKUP(F194,'Voyage days'!$M$808:$N$819,2,FALSE),"GOA",""),"")</f>
        <v/>
      </c>
      <c r="Q194" s="596">
        <f t="shared" si="287"/>
        <v>46153</v>
      </c>
      <c r="R194" s="596">
        <f t="shared" si="289"/>
        <v>46176</v>
      </c>
      <c r="S194" s="595">
        <f t="shared" si="2"/>
        <v>46166</v>
      </c>
      <c r="T194" s="596">
        <f t="shared" si="3"/>
        <v>46158</v>
      </c>
      <c r="U194" s="596">
        <f t="shared" si="290"/>
        <v>46141</v>
      </c>
      <c r="V194" s="596"/>
      <c r="W194" s="596">
        <f t="shared" si="291"/>
        <v>46143</v>
      </c>
      <c r="X194" s="599" t="str">
        <f t="shared" si="6"/>
        <v/>
      </c>
      <c r="Y194" s="614"/>
      <c r="Z194" s="600" t="str">
        <f>VLOOKUP(F194,'2) Tracker'!$A$3:$Q$505,16,FALSE)</f>
        <v>ETA Singapore 21 Apr</v>
      </c>
      <c r="AA194" s="600" t="str">
        <f>VLOOKUP(F194,'2) Tracker'!$A$3:$R$505,18,FALSE)</f>
        <v>Chevron 07-08 Mar Escravos+Soyo</v>
      </c>
      <c r="AB194" s="600">
        <f>VLOOKUP(F194,'2) Tracker'!$A$3:$Q$505,17,FALSE)</f>
        <v>0</v>
      </c>
      <c r="AC194" s="601"/>
      <c r="AD194" s="601">
        <f>VLOOKUP(F194,'2) Tracker'!$A$2:$BO$981,37,FALSE)</f>
        <v>46171</v>
      </c>
      <c r="AE194" s="601">
        <f>VLOOKUP(F194,'2) Tracker'!$A$2:$BO$981,40,FALSE)</f>
        <v>46172</v>
      </c>
      <c r="AF194" s="601" t="str">
        <f>VLOOKUP(F194,'2) Tracker'!$A$2:$BO$981,67,FALSE)</f>
        <v/>
      </c>
      <c r="AG194" s="601">
        <f>VLOOKUP(F194,'2) Tracker'!$A$2:$BO$981,34,FALSE)</f>
        <v>46148</v>
      </c>
      <c r="AH194" s="601" t="str">
        <f>VLOOKUP(F194,'2) Tracker'!$A$2:$BN$981,66,FALSE)</f>
        <v/>
      </c>
      <c r="AI194" s="601">
        <f>VLOOKUP(F194,'2) Tracker'!$A$2:$BO$981,56,FALSE)</f>
        <v>46141</v>
      </c>
      <c r="AJ194" s="601">
        <f>VLOOKUP(F194,'2) Tracker'!$A$2:$BO$981,52,FALSE)</f>
        <v>46143</v>
      </c>
      <c r="AK194" s="601">
        <f>VLOOKUP(F194,'2) Tracker'!$A$2:$AQ$981,43,FALSE)</f>
        <v>46158</v>
      </c>
      <c r="AL194" s="601">
        <f>VLOOKUP(F194,'2) Tracker'!$A$2:$BH$981,46,FALSE())</f>
        <v>46166</v>
      </c>
      <c r="AM194" s="601">
        <f>VLOOKUP(F194,'2) Tracker'!$A$2:$BO$981,65,FALSE())</f>
        <v>46153</v>
      </c>
      <c r="AN194" s="601">
        <f>VLOOKUP(F194,'2) Tracker'!$A$2:$BK$981,63,FALSE())</f>
        <v>46176</v>
      </c>
      <c r="AO194" s="601" t="str">
        <f>VLOOKUP(F194,'2) Tracker'!$A$2:$BF$981,58,FALSE())</f>
        <v/>
      </c>
      <c r="AP194" s="46"/>
      <c r="AQ194" s="46"/>
      <c r="AR194" s="46"/>
      <c r="AS194" s="46" t="s">
        <v>1466</v>
      </c>
      <c r="AT194" s="46"/>
      <c r="AU194" s="46"/>
      <c r="AV194" s="46"/>
      <c r="AW194" s="46"/>
      <c r="AX194" s="46"/>
      <c r="AY194" s="46"/>
      <c r="AZ194" s="605"/>
      <c r="BA194" s="604" t="e">
        <f>VLOOKUP(AZ194,#REF!,2, FALSE)</f>
        <v>#REF!</v>
      </c>
      <c r="BB194" s="605" t="e">
        <f>VLOOKUP(AZ194,'1) Kpler'!$E$2:$F$500,2,FALSE)</f>
        <v>#N/A</v>
      </c>
      <c r="BC194" s="604"/>
      <c r="BD194" s="605"/>
      <c r="BE194" s="46"/>
      <c r="BF194" s="46"/>
      <c r="BG194" s="605"/>
      <c r="BH194" s="605"/>
      <c r="BI194" s="605"/>
      <c r="BJ194" s="605"/>
    </row>
    <row r="195" spans="2:62" x14ac:dyDescent="0.25">
      <c r="B195" s="589">
        <f>VLOOKUP(F195,'2) Tracker'!$A$3:$O$411,5,FALSE)</f>
        <v>0</v>
      </c>
      <c r="C195" s="589">
        <f>VLOOKUP(F195,'2) Tracker'!$A$3:$O$411,4,FALSE)</f>
        <v>0</v>
      </c>
      <c r="D195" s="563"/>
      <c r="E195" s="563" t="str">
        <f>VLOOKUP(F195,'2) Tracker'!$A$3:$O$407,15,FALSE)</f>
        <v>R</v>
      </c>
      <c r="F195" s="561" t="s">
        <v>585</v>
      </c>
      <c r="G195" s="607">
        <f>VLOOKUP(F195,'2) Tracker'!$A$2:$BO$361,2,FALSE)</f>
        <v>42485</v>
      </c>
      <c r="H195" s="592">
        <f>VLOOKUP(F195,'2) Tracker'!$A$2:$BO$361,3,FALSE)</f>
        <v>84000</v>
      </c>
      <c r="I195" s="594" t="str">
        <f>VLOOKUP(F195,'2) Tracker'!$A$2:$BO$361,9,FALSE)</f>
        <v>Itochu</v>
      </c>
      <c r="J195" s="594" t="str">
        <f>VLOOKUP(F195,'2) Tracker'!$A$2:$BO$361,12,FALSE)</f>
        <v>Korea</v>
      </c>
      <c r="K195" s="596">
        <f t="shared" si="305"/>
        <v>46171</v>
      </c>
      <c r="L195" s="596">
        <f t="shared" ref="L195:O195" si="343">AE195</f>
        <v>46179</v>
      </c>
      <c r="M195" s="596" t="str">
        <f t="shared" si="343"/>
        <v/>
      </c>
      <c r="N195" s="596">
        <f t="shared" si="343"/>
        <v>46156</v>
      </c>
      <c r="O195" s="597" t="str">
        <f t="shared" si="343"/>
        <v/>
      </c>
      <c r="P195" s="598" t="str">
        <f>IFERROR(IF(VLOOKUP(F195,'Voyage days'!$M$808:$N$819,2,FALSE),"GOA",""),"")</f>
        <v/>
      </c>
      <c r="Q195" s="596">
        <f t="shared" si="287"/>
        <v>46156</v>
      </c>
      <c r="R195" s="596">
        <f t="shared" si="289"/>
        <v>46183</v>
      </c>
      <c r="S195" s="595">
        <f t="shared" si="2"/>
        <v>46173</v>
      </c>
      <c r="T195" s="596">
        <f t="shared" si="3"/>
        <v>46167</v>
      </c>
      <c r="U195" s="596">
        <f t="shared" si="290"/>
        <v>46144</v>
      </c>
      <c r="V195" s="596"/>
      <c r="W195" s="596">
        <f t="shared" si="291"/>
        <v>46146</v>
      </c>
      <c r="X195" s="599">
        <f t="shared" si="6"/>
        <v>46149</v>
      </c>
      <c r="Y195" s="614" t="s">
        <v>1626</v>
      </c>
      <c r="Z195" s="600" t="str">
        <f>VLOOKUP(F195,'2) Tracker'!$A$3:$Q$505,16,FALSE)</f>
        <v>ex-DD / taking coolant in korea - ETA USG 06-08 Jun</v>
      </c>
      <c r="AA195" s="600" t="str">
        <f>VLOOKUP(F195,'2) Tracker'!$A$3:$R$505,18,FALSE)</f>
        <v>Itochu 17-18 Jan Nederland</v>
      </c>
      <c r="AB195" s="600">
        <f>VLOOKUP(F195,'2) Tracker'!$A$3:$Q$505,17,FALSE)</f>
        <v>0</v>
      </c>
      <c r="AC195" s="601"/>
      <c r="AD195" s="601">
        <f>VLOOKUP(F195,'2) Tracker'!$A$2:$BO$981,37,FALSE)</f>
        <v>46171</v>
      </c>
      <c r="AE195" s="601">
        <f>VLOOKUP(F195,'2) Tracker'!$A$2:$BO$981,40,FALSE)</f>
        <v>46179</v>
      </c>
      <c r="AF195" s="601" t="str">
        <f>VLOOKUP(F195,'2) Tracker'!$A$2:$BO$981,67,FALSE)</f>
        <v/>
      </c>
      <c r="AG195" s="601">
        <f>VLOOKUP(F195,'2) Tracker'!$A$2:$BO$981,34,FALSE)</f>
        <v>46156</v>
      </c>
      <c r="AH195" s="601" t="str">
        <f>VLOOKUP(F195,'2) Tracker'!$A$2:$BN$981,66,FALSE)</f>
        <v/>
      </c>
      <c r="AI195" s="620">
        <f>VLOOKUP(F195,'2) Tracker'!$A$2:$BO$981,56,FALSE)</f>
        <v>46144</v>
      </c>
      <c r="AJ195" s="620">
        <f>VLOOKUP(F195,'2) Tracker'!$A$2:$BO$981,52,FALSE)</f>
        <v>46146</v>
      </c>
      <c r="AK195" s="620">
        <f>VLOOKUP(F195,'2) Tracker'!$A$2:$AQ$981,43,FALSE)</f>
        <v>46167</v>
      </c>
      <c r="AL195" s="621">
        <f>VLOOKUP(F195,'2) Tracker'!$A$2:$BH$981,46,FALSE())</f>
        <v>46173</v>
      </c>
      <c r="AM195" s="621">
        <f>VLOOKUP(F195,'2) Tracker'!$A$2:$BO$981,65,FALSE())</f>
        <v>46156</v>
      </c>
      <c r="AN195" s="621">
        <f>VLOOKUP(F195,'2) Tracker'!$A$2:$BK$981,63,FALSE())</f>
        <v>46183</v>
      </c>
      <c r="AO195" s="621">
        <f>VLOOKUP(F195,'2) Tracker'!$A$2:$BF$981,58,FALSE())</f>
        <v>46149</v>
      </c>
      <c r="AP195" s="46"/>
      <c r="AQ195" s="46"/>
      <c r="AR195" s="46"/>
      <c r="AS195" s="46"/>
      <c r="AT195" s="46"/>
      <c r="AU195" s="46"/>
      <c r="AV195" s="46"/>
      <c r="AW195" s="46"/>
      <c r="AX195" s="46"/>
      <c r="AY195" s="46"/>
      <c r="AZ195" s="563"/>
      <c r="BA195" s="604" t="e">
        <f>VLOOKUP(AZ195,#REF!,2, FALSE)</f>
        <v>#REF!</v>
      </c>
      <c r="BB195" s="605" t="e">
        <f>VLOOKUP(AZ195,'1) Kpler'!$E$2:$F$500,2,FALSE)</f>
        <v>#N/A</v>
      </c>
      <c r="BC195" s="569"/>
      <c r="BD195" s="563"/>
      <c r="BE195" s="46"/>
      <c r="BF195" s="46"/>
      <c r="BG195" s="563"/>
      <c r="BH195" s="563"/>
      <c r="BI195" s="563"/>
      <c r="BJ195" s="563"/>
    </row>
    <row r="196" spans="2:62" x14ac:dyDescent="0.25">
      <c r="B196" s="589"/>
      <c r="C196" s="589"/>
      <c r="D196" s="563"/>
      <c r="E196" s="563"/>
      <c r="F196" s="608" t="s">
        <v>471</v>
      </c>
      <c r="G196" s="563">
        <v>2026</v>
      </c>
      <c r="H196" s="642">
        <v>86700</v>
      </c>
      <c r="I196" s="593" t="str">
        <f>VLOOKUP(F196,'2) Tracker'!$A$2:$BO$361,9,FALSE)</f>
        <v>BGN</v>
      </c>
      <c r="J196" s="594" t="str">
        <f>VLOOKUP(F196,'2) Tracker'!$A$2:$BO$361,12,FALSE)</f>
        <v>Indo</v>
      </c>
      <c r="K196" s="596">
        <f t="shared" si="305"/>
        <v>46171</v>
      </c>
      <c r="L196" s="639"/>
      <c r="N196" s="596">
        <f t="shared" ref="N196:O196" si="344">AG196</f>
        <v>46144</v>
      </c>
      <c r="O196" s="597" t="str">
        <f t="shared" si="344"/>
        <v/>
      </c>
      <c r="P196" s="598" t="str">
        <f>IFERROR(IF(VLOOKUP(F196,'Voyage days'!$M$808:$N$819,2,FALSE),"GOA",""),"")</f>
        <v/>
      </c>
      <c r="Q196" s="596">
        <f t="shared" si="287"/>
        <v>46147</v>
      </c>
      <c r="R196" s="595">
        <f t="shared" si="289"/>
        <v>46170</v>
      </c>
      <c r="S196" s="595">
        <f t="shared" si="2"/>
        <v>46162</v>
      </c>
      <c r="T196" s="596">
        <f t="shared" si="3"/>
        <v>46153</v>
      </c>
      <c r="U196" s="595">
        <f t="shared" si="290"/>
        <v>46137</v>
      </c>
      <c r="V196" s="616"/>
      <c r="W196" s="616">
        <f t="shared" si="291"/>
        <v>46137</v>
      </c>
      <c r="X196" s="599" t="str">
        <f t="shared" si="6"/>
        <v/>
      </c>
      <c r="Y196" s="594"/>
      <c r="Z196" s="600" t="str">
        <f>VLOOKUP(F196,'2) Tracker'!$A$3:$Q$505,16,FALSE)</f>
        <v>ETA indo 20 Apr</v>
      </c>
      <c r="AA196" s="600" t="str">
        <f>VLOOKUP(F196,'2) Tracker'!$A$3:$R$505,18,FALSE)</f>
        <v>BGN 22-23 Mar Nederland</v>
      </c>
      <c r="AB196" s="600">
        <f>VLOOKUP(F196,'2) Tracker'!$A$3:$Q$505,17,FALSE)</f>
        <v>0</v>
      </c>
      <c r="AC196" s="601"/>
      <c r="AD196" s="601">
        <f>VLOOKUP(F196,'2) Tracker'!$A$2:$BO$981,37,FALSE)</f>
        <v>46171</v>
      </c>
      <c r="AE196" s="601">
        <f>VLOOKUP(F196,'2) Tracker'!$A$2:$BO$981,40,FALSE)</f>
        <v>46170</v>
      </c>
      <c r="AF196" s="601" t="str">
        <f>VLOOKUP(F196,'2) Tracker'!$A$2:$BO$981,67,FALSE)</f>
        <v/>
      </c>
      <c r="AG196" s="601">
        <f>VLOOKUP(F196,'2) Tracker'!$A$2:$BO$981,34,FALSE)</f>
        <v>46144</v>
      </c>
      <c r="AH196" s="601" t="str">
        <f>VLOOKUP(F196,'2) Tracker'!$A$2:$BN$981,66,FALSE)</f>
        <v/>
      </c>
      <c r="AI196" s="601">
        <f>VLOOKUP(F196,'2) Tracker'!$A$2:$BO$981,56,FALSE)</f>
        <v>46137</v>
      </c>
      <c r="AJ196" s="601">
        <f>VLOOKUP(F196,'2) Tracker'!$A$2:$BO$981,52,FALSE)</f>
        <v>46137</v>
      </c>
      <c r="AK196" s="601">
        <f>VLOOKUP(F196,'2) Tracker'!$A$2:$AQ$981,43,FALSE)</f>
        <v>46153</v>
      </c>
      <c r="AL196" s="601">
        <f>VLOOKUP(F196,'2) Tracker'!$A$2:$BH$981,46,FALSE())</f>
        <v>46162</v>
      </c>
      <c r="AM196" s="601">
        <f>VLOOKUP(F196,'2) Tracker'!$A$2:$BO$981,65,FALSE())</f>
        <v>46147</v>
      </c>
      <c r="AN196" s="601">
        <f>VLOOKUP(F196,'2) Tracker'!$A$2:$BK$981,63,FALSE())</f>
        <v>46170</v>
      </c>
      <c r="AO196" s="601" t="str">
        <f>VLOOKUP(F196,'2) Tracker'!$A$2:$BF$981,58,FALSE())</f>
        <v/>
      </c>
      <c r="AP196" s="46"/>
      <c r="AQ196" s="46"/>
      <c r="AR196" s="46"/>
      <c r="AS196" s="46"/>
      <c r="AT196" s="46"/>
      <c r="AU196" s="46"/>
      <c r="AV196" s="46"/>
      <c r="AW196" s="46"/>
      <c r="AX196" s="46"/>
      <c r="AY196" s="46"/>
      <c r="AZ196" s="605"/>
      <c r="BA196" s="604" t="e">
        <f>VLOOKUP(AZ196,#REF!,2, FALSE)</f>
        <v>#REF!</v>
      </c>
      <c r="BB196" s="605" t="e">
        <f>VLOOKUP(AZ196,'1) Kpler'!$E$2:$F$500,2,FALSE)</f>
        <v>#N/A</v>
      </c>
      <c r="BC196" s="604"/>
      <c r="BD196" s="605"/>
      <c r="BE196" s="46"/>
      <c r="BF196" s="46"/>
      <c r="BG196" s="605"/>
      <c r="BH196" s="605"/>
      <c r="BI196" s="605"/>
      <c r="BJ196" s="605"/>
    </row>
    <row r="197" spans="2:62" x14ac:dyDescent="0.25">
      <c r="B197" s="589">
        <f>VLOOKUP(F197,'2) Tracker'!$A$3:$O$411,5,FALSE)</f>
        <v>0</v>
      </c>
      <c r="C197" s="589" t="str">
        <f>VLOOKUP(F197,'2) Tracker'!$A$3:$O$411,4,FALSE)</f>
        <v>US</v>
      </c>
      <c r="D197" s="563"/>
      <c r="E197" s="563">
        <f>VLOOKUP(F197,'2) Tracker'!$A$3:$O$407,15,FALSE)</f>
        <v>0</v>
      </c>
      <c r="F197" s="569" t="s">
        <v>196</v>
      </c>
      <c r="G197" s="607">
        <f>VLOOKUP(F197,'2) Tracker'!$A$2:$BO$361,2,FALSE)</f>
        <v>42277</v>
      </c>
      <c r="H197" s="592">
        <f>VLOOKUP(F197,'2) Tracker'!$A$2:$BO$361,3,FALSE)</f>
        <v>84000</v>
      </c>
      <c r="I197" s="594" t="str">
        <f>VLOOKUP(F197,'2) Tracker'!$A$2:$BO$361,9,FALSE)</f>
        <v>Helios</v>
      </c>
      <c r="J197" s="594" t="str">
        <f>VLOOKUP(F197,'2) Tracker'!$A$2:$BO$361,12,FALSE)</f>
        <v>loads USG</v>
      </c>
      <c r="K197" s="596">
        <f t="shared" si="305"/>
        <v>46172</v>
      </c>
      <c r="L197" s="596">
        <f t="shared" ref="L197:O197" si="345">AE197</f>
        <v>46172</v>
      </c>
      <c r="M197" s="596">
        <f t="shared" si="345"/>
        <v>46204</v>
      </c>
      <c r="N197" s="596" t="str">
        <f t="shared" si="345"/>
        <v/>
      </c>
      <c r="O197" s="597" t="str">
        <f t="shared" si="345"/>
        <v/>
      </c>
      <c r="P197" s="598" t="str">
        <f>IFERROR(IF(VLOOKUP(F197,'Voyage days'!$M$808:$N$819,2,FALSE),"GOA",""),"")</f>
        <v/>
      </c>
      <c r="Q197" s="596" t="str">
        <f t="shared" si="287"/>
        <v/>
      </c>
      <c r="R197" s="596" t="str">
        <f t="shared" si="289"/>
        <v/>
      </c>
      <c r="S197" s="595">
        <f t="shared" si="2"/>
        <v>46192</v>
      </c>
      <c r="T197" s="596" t="str">
        <f t="shared" si="3"/>
        <v/>
      </c>
      <c r="U197" s="596" t="str">
        <f t="shared" si="290"/>
        <v/>
      </c>
      <c r="V197" s="596"/>
      <c r="W197" s="596" t="str">
        <f t="shared" si="291"/>
        <v/>
      </c>
      <c r="X197" s="599" t="str">
        <f t="shared" si="6"/>
        <v/>
      </c>
      <c r="Y197" s="611" t="s">
        <v>1627</v>
      </c>
      <c r="Z197" s="600" t="str">
        <f>VLOOKUP(F197,'2) Tracker'!$A$3:$Q$505,16,FALSE)</f>
        <v>ETA 1st port Sendai 22 Apr</v>
      </c>
      <c r="AA197" s="600" t="str">
        <f>VLOOKUP(F197,'2) Tracker'!$A$3:$R$505,18,FALSE)</f>
        <v>Axpo 30-31 May USG</v>
      </c>
      <c r="AB197" s="600">
        <f>VLOOKUP(F197,'2) Tracker'!$A$3:$Q$505,17,FALSE)</f>
        <v>0</v>
      </c>
      <c r="AC197" s="601"/>
      <c r="AD197" s="601">
        <f>VLOOKUP(F197,'2) Tracker'!$A$2:$BO$981,37,FALSE)</f>
        <v>46172</v>
      </c>
      <c r="AE197" s="601">
        <f>VLOOKUP(F197,'2) Tracker'!$A$2:$BO$981,40,FALSE)</f>
        <v>46172</v>
      </c>
      <c r="AF197" s="601">
        <f>VLOOKUP(F197,'2) Tracker'!$A$2:$BO$981,67,FALSE)</f>
        <v>46204</v>
      </c>
      <c r="AG197" s="601" t="str">
        <f>VLOOKUP(F197,'2) Tracker'!$A$2:$BO$981,34,FALSE)</f>
        <v/>
      </c>
      <c r="AH197" s="601" t="str">
        <f>VLOOKUP(F197,'2) Tracker'!$A$2:$BN$981,66,FALSE)</f>
        <v/>
      </c>
      <c r="AI197" s="601" t="str">
        <f>VLOOKUP(F197,'2) Tracker'!$A$2:$BO$981,56,FALSE)</f>
        <v/>
      </c>
      <c r="AJ197" s="601" t="str">
        <f>VLOOKUP(F197,'2) Tracker'!$A$2:$BO$981,52,FALSE)</f>
        <v/>
      </c>
      <c r="AK197" s="601" t="str">
        <f>VLOOKUP(F197,'2) Tracker'!$A$2:$AQ$981,43,FALSE)</f>
        <v/>
      </c>
      <c r="AL197" s="601">
        <f>VLOOKUP(F197,'2) Tracker'!$A$2:$BH$981,46,FALSE())</f>
        <v>46192</v>
      </c>
      <c r="AM197" s="601" t="str">
        <f>VLOOKUP(F197,'2) Tracker'!$A$2:$BO$981,65,FALSE())</f>
        <v/>
      </c>
      <c r="AN197" s="601" t="str">
        <f>VLOOKUP(F197,'2) Tracker'!$A$2:$BK$981,63,FALSE())</f>
        <v/>
      </c>
      <c r="AO197" s="601" t="str">
        <f>VLOOKUP(F197,'2) Tracker'!$A$2:$BF$981,58,FALSE())</f>
        <v/>
      </c>
      <c r="AP197" s="46"/>
      <c r="AQ197" s="46"/>
      <c r="AR197" s="46"/>
      <c r="AS197" s="46"/>
      <c r="AT197" s="46"/>
      <c r="AU197" s="46"/>
      <c r="AV197" s="46"/>
      <c r="AW197" s="46"/>
      <c r="AX197" s="46"/>
      <c r="AY197" s="46"/>
      <c r="AZ197" s="605"/>
      <c r="BA197" s="604" t="e">
        <f>VLOOKUP(AZ197,#REF!,2, FALSE)</f>
        <v>#REF!</v>
      </c>
      <c r="BB197" s="605" t="e">
        <f>VLOOKUP(AZ197,'1) Kpler'!$E$2:$F$500,2,FALSE)</f>
        <v>#N/A</v>
      </c>
      <c r="BC197" s="604"/>
      <c r="BD197" s="605"/>
      <c r="BE197" s="46"/>
      <c r="BF197" s="46"/>
      <c r="BG197" s="605"/>
      <c r="BH197" s="605"/>
      <c r="BI197" s="605"/>
      <c r="BJ197" s="605"/>
    </row>
    <row r="198" spans="2:62" x14ac:dyDescent="0.25">
      <c r="B198" s="589">
        <f>VLOOKUP(F198,'2) Tracker'!$A$3:$O$411,5,FALSE)</f>
        <v>0</v>
      </c>
      <c r="C198" s="589">
        <f>VLOOKUP(F198,'2) Tracker'!$A$3:$O$411,4,FALSE)</f>
        <v>0</v>
      </c>
      <c r="D198" s="563"/>
      <c r="E198" s="563" t="str">
        <f>VLOOKUP(F198,'2) Tracker'!$A$3:$O$407,15,FALSE)</f>
        <v>R</v>
      </c>
      <c r="F198" s="646" t="s">
        <v>632</v>
      </c>
      <c r="G198" s="607">
        <f>VLOOKUP(F198,'2) Tracker'!$A$2:$BO$361,2,FALSE)</f>
        <v>39845</v>
      </c>
      <c r="H198" s="592">
        <f>VLOOKUP(F198,'2) Tracker'!$A$2:$BO$361,3,FALSE)</f>
        <v>82000</v>
      </c>
      <c r="I198" s="594" t="str">
        <f>VLOOKUP(F198,'2) Tracker'!$A$2:$BO$361,9,FALSE)</f>
        <v>SHV</v>
      </c>
      <c r="J198" s="594" t="str">
        <f>VLOOKUP(F198,'2) Tracker'!$A$2:$BO$361,12,FALSE)</f>
        <v>Malaysia laden</v>
      </c>
      <c r="K198" s="596">
        <f t="shared" si="305"/>
        <v>46172</v>
      </c>
      <c r="L198" s="596">
        <f t="shared" ref="L198:O198" si="346">AE198</f>
        <v>46173</v>
      </c>
      <c r="M198" s="596" t="str">
        <f t="shared" si="346"/>
        <v/>
      </c>
      <c r="N198" s="596">
        <f t="shared" si="346"/>
        <v>46149</v>
      </c>
      <c r="O198" s="597" t="str">
        <f t="shared" si="346"/>
        <v/>
      </c>
      <c r="P198" s="598" t="str">
        <f>IFERROR(IF(VLOOKUP(F198,'Voyage days'!$M$808:$N$819,2,FALSE),"GOA",""),"")</f>
        <v/>
      </c>
      <c r="Q198" s="596">
        <f t="shared" si="287"/>
        <v>46152</v>
      </c>
      <c r="R198" s="596">
        <f t="shared" si="289"/>
        <v>46177</v>
      </c>
      <c r="S198" s="595">
        <f t="shared" si="2"/>
        <v>46167</v>
      </c>
      <c r="T198" s="596">
        <f t="shared" si="3"/>
        <v>46159</v>
      </c>
      <c r="U198" s="596">
        <f t="shared" si="290"/>
        <v>46140</v>
      </c>
      <c r="V198" s="596"/>
      <c r="W198" s="596">
        <f t="shared" si="291"/>
        <v>46144</v>
      </c>
      <c r="X198" s="599" t="str">
        <f t="shared" si="6"/>
        <v/>
      </c>
      <c r="Y198" s="614" t="s">
        <v>1628</v>
      </c>
      <c r="Z198" s="600" t="str">
        <f>VLOOKUP(F198,'2) Tracker'!$A$3:$Q$505,16,FALSE)</f>
        <v>@ Tentative ETD 22 Apr Port Klang, Proxy USG 27-29 May</v>
      </c>
      <c r="AA198" s="600" t="str">
        <f>VLOOKUP(F198,'2) Tracker'!$A$3:$R$505,18,FALSE)</f>
        <v>OQ 30-31 Mar Salalah</v>
      </c>
      <c r="AB198" s="600">
        <f>VLOOKUP(F198,'2) Tracker'!$A$3:$Q$505,17,FALSE)</f>
        <v>0</v>
      </c>
      <c r="AC198" s="601"/>
      <c r="AD198" s="601">
        <f>VLOOKUP(F198,'2) Tracker'!$A$2:$BO$981,37,FALSE)</f>
        <v>46172</v>
      </c>
      <c r="AE198" s="601">
        <f>VLOOKUP(F198,'2) Tracker'!$A$2:$BO$981,40,FALSE)</f>
        <v>46173</v>
      </c>
      <c r="AF198" s="601" t="str">
        <f>VLOOKUP(F198,'2) Tracker'!$A$2:$BO$981,67,FALSE)</f>
        <v/>
      </c>
      <c r="AG198" s="601">
        <f>VLOOKUP(F198,'2) Tracker'!$A$2:$BO$981,34,FALSE)</f>
        <v>46149</v>
      </c>
      <c r="AH198" s="601" t="str">
        <f>VLOOKUP(F198,'2) Tracker'!$A$2:$BN$981,66,FALSE)</f>
        <v/>
      </c>
      <c r="AI198" s="601">
        <f>VLOOKUP(F198,'2) Tracker'!$A$2:$BO$981,56,FALSE)</f>
        <v>46140</v>
      </c>
      <c r="AJ198" s="601">
        <f>VLOOKUP(F198,'2) Tracker'!$A$2:$BO$981,52,FALSE)</f>
        <v>46144</v>
      </c>
      <c r="AK198" s="601">
        <f>VLOOKUP(F198,'2) Tracker'!$A$2:$AQ$981,43,FALSE)</f>
        <v>46159</v>
      </c>
      <c r="AL198" s="601">
        <f>VLOOKUP(F198,'2) Tracker'!$A$2:$BH$981,46,FALSE())</f>
        <v>46167</v>
      </c>
      <c r="AM198" s="601">
        <f>VLOOKUP(F198,'2) Tracker'!$A$2:$BO$981,65,FALSE())</f>
        <v>46152</v>
      </c>
      <c r="AN198" s="601">
        <f>VLOOKUP(F198,'2) Tracker'!$A$2:$BK$981,63,FALSE())</f>
        <v>46177</v>
      </c>
      <c r="AO198" s="601" t="str">
        <f>VLOOKUP(F198,'2) Tracker'!$A$2:$BF$981,58,FALSE())</f>
        <v/>
      </c>
      <c r="AP198" s="46"/>
      <c r="AQ198" s="46"/>
      <c r="AR198" s="46"/>
      <c r="AS198" s="46"/>
      <c r="AT198" s="46"/>
      <c r="AU198" s="46"/>
      <c r="AV198" s="46"/>
      <c r="AW198" s="46"/>
      <c r="AX198" s="46"/>
      <c r="AY198" s="46"/>
      <c r="AZ198" s="605"/>
      <c r="BA198" s="604" t="e">
        <f>VLOOKUP(AZ198,#REF!,2, FALSE)</f>
        <v>#REF!</v>
      </c>
      <c r="BB198" s="605" t="e">
        <f>VLOOKUP(AZ198,'1) Kpler'!$E$2:$F$500,2,FALSE)</f>
        <v>#N/A</v>
      </c>
      <c r="BC198" s="604"/>
      <c r="BD198" s="605"/>
      <c r="BE198" s="46"/>
      <c r="BF198" s="46"/>
      <c r="BG198" s="605"/>
      <c r="BH198" s="605"/>
      <c r="BI198" s="605"/>
      <c r="BJ198" s="605"/>
    </row>
    <row r="199" spans="2:62" x14ac:dyDescent="0.25">
      <c r="B199" s="589">
        <f>VLOOKUP(F199,'2) Tracker'!$A$3:$O$411,5,FALSE)</f>
        <v>0</v>
      </c>
      <c r="C199" s="589">
        <f>VLOOKUP(F199,'2) Tracker'!$A$3:$O$411,4,FALSE)</f>
        <v>0</v>
      </c>
      <c r="D199" s="563" t="s">
        <v>1569</v>
      </c>
      <c r="E199" s="563">
        <f>VLOOKUP(F199,'2) Tracker'!$A$3:$O$407,15,FALSE)</f>
        <v>0</v>
      </c>
      <c r="F199" s="590" t="s">
        <v>298</v>
      </c>
      <c r="G199" s="591">
        <f>VLOOKUP(F199,'2) Tracker'!$A$2:$BO$361,2,FALSE)</f>
        <v>2021</v>
      </c>
      <c r="H199" s="592">
        <f>VLOOKUP(F199,'2) Tracker'!$A$2:$BO$361,3,FALSE)</f>
        <v>80421</v>
      </c>
      <c r="I199" s="600" t="str">
        <f>VLOOKUP(F199,'2) Tracker'!$A$2:$BO$361,9,FALSE)</f>
        <v>BWPS</v>
      </c>
      <c r="J199" s="594" t="str">
        <f>VLOOKUP(F199,'2) Tracker'!$A$2:$BO$361,12,FALSE)</f>
        <v>Vietnam</v>
      </c>
      <c r="K199" s="595">
        <f t="shared" si="305"/>
        <v>46172</v>
      </c>
      <c r="L199" s="595">
        <f t="shared" ref="L199:O199" si="347">AE199</f>
        <v>46175</v>
      </c>
      <c r="M199" s="596" t="str">
        <f t="shared" si="347"/>
        <v/>
      </c>
      <c r="N199" s="597">
        <f t="shared" si="347"/>
        <v>46149</v>
      </c>
      <c r="O199" s="597" t="str">
        <f t="shared" si="347"/>
        <v/>
      </c>
      <c r="P199" s="598" t="str">
        <f>IFERROR(IF(VLOOKUP(F199,'Voyage days'!$M$808:$N$819,2,FALSE),"GOA",""),"")</f>
        <v/>
      </c>
      <c r="Q199" s="596">
        <f t="shared" si="287"/>
        <v>46151</v>
      </c>
      <c r="R199" s="595">
        <f t="shared" si="289"/>
        <v>46176</v>
      </c>
      <c r="S199" s="595">
        <f t="shared" si="2"/>
        <v>46166</v>
      </c>
      <c r="T199" s="596">
        <f t="shared" si="3"/>
        <v>46160</v>
      </c>
      <c r="U199" s="595">
        <f t="shared" si="290"/>
        <v>46139</v>
      </c>
      <c r="V199" s="596"/>
      <c r="W199" s="596">
        <f t="shared" si="291"/>
        <v>46142.25</v>
      </c>
      <c r="X199" s="599" t="str">
        <f t="shared" si="6"/>
        <v/>
      </c>
      <c r="Y199" s="606" t="s">
        <v>1558</v>
      </c>
      <c r="Z199" s="600" t="str">
        <f>VLOOKUP(F199,'2) Tracker'!$A$3:$Q$505,16,FALSE)</f>
        <v>ETA Vung Tau 21 Apr</v>
      </c>
      <c r="AA199" s="600" t="str">
        <f>VLOOKUP(F199,'2) Tracker'!$A$3:$R$505,18,FALSE)</f>
        <v>BWPS 15-16 Mar Targa</v>
      </c>
      <c r="AB199" s="600">
        <f>VLOOKUP(F199,'2) Tracker'!$A$3:$Q$505,17,FALSE)</f>
        <v>0</v>
      </c>
      <c r="AC199" s="601"/>
      <c r="AD199" s="601">
        <f>VLOOKUP(F199,'2) Tracker'!$A$2:$BO$981,37,FALSE)</f>
        <v>46172</v>
      </c>
      <c r="AE199" s="601">
        <f>VLOOKUP(F199,'2) Tracker'!$A$2:$BO$981,40,FALSE)</f>
        <v>46175</v>
      </c>
      <c r="AF199" s="601" t="str">
        <f>VLOOKUP(F199,'2) Tracker'!$A$2:$BO$981,67,FALSE)</f>
        <v/>
      </c>
      <c r="AG199" s="601">
        <f>VLOOKUP(F199,'2) Tracker'!$A$2:$BO$981,34,FALSE)</f>
        <v>46149</v>
      </c>
      <c r="AH199" s="601" t="str">
        <f>VLOOKUP(F199,'2) Tracker'!$A$2:$BN$981,66,FALSE)</f>
        <v/>
      </c>
      <c r="AI199" s="601">
        <f>VLOOKUP(F199,'2) Tracker'!$A$2:$BO$981,56,FALSE)</f>
        <v>46139</v>
      </c>
      <c r="AJ199" s="601">
        <f>VLOOKUP(F199,'2) Tracker'!$A$2:$BO$981,52,FALSE)</f>
        <v>46142.25</v>
      </c>
      <c r="AK199" s="601">
        <f>VLOOKUP(F199,'2) Tracker'!$A$2:$AQ$981,43,FALSE)</f>
        <v>46160</v>
      </c>
      <c r="AL199" s="601">
        <f>VLOOKUP(F199,'2) Tracker'!$A$2:$BH$981,46,FALSE())</f>
        <v>46166</v>
      </c>
      <c r="AM199" s="601">
        <f>VLOOKUP(F199,'2) Tracker'!$A$2:$BO$981,65,FALSE())</f>
        <v>46151</v>
      </c>
      <c r="AN199" s="601">
        <f>VLOOKUP(F199,'2) Tracker'!$A$2:$BK$981,63,FALSE())</f>
        <v>46176</v>
      </c>
      <c r="AO199" s="601" t="str">
        <f>VLOOKUP(F199,'2) Tracker'!$A$2:$BF$981,58,FALSE())</f>
        <v/>
      </c>
      <c r="AP199" s="46"/>
      <c r="AQ199" s="46"/>
      <c r="AR199" s="46"/>
      <c r="AS199" s="46"/>
      <c r="AT199" s="46"/>
      <c r="AU199" s="46"/>
      <c r="AV199" s="46"/>
      <c r="AW199" s="46"/>
      <c r="AX199" s="46"/>
      <c r="AY199" s="46"/>
      <c r="AZ199" s="605"/>
      <c r="BA199" s="604" t="e">
        <f>VLOOKUP(AZ199,#REF!,2, FALSE)</f>
        <v>#REF!</v>
      </c>
      <c r="BB199" s="605" t="e">
        <f>VLOOKUP(AZ199,'1) Kpler'!$E$2:$F$500,2,FALSE)</f>
        <v>#N/A</v>
      </c>
      <c r="BC199" s="604"/>
      <c r="BD199" s="605"/>
      <c r="BE199" s="46"/>
      <c r="BF199" s="46"/>
      <c r="BG199" s="605"/>
      <c r="BH199" s="605"/>
      <c r="BI199" s="605"/>
      <c r="BJ199" s="605"/>
    </row>
    <row r="200" spans="2:62" x14ac:dyDescent="0.25">
      <c r="B200" s="589" t="str">
        <f>VLOOKUP(F200,'2) Tracker'!$A$3:$O$411,5,FALSE)</f>
        <v>C</v>
      </c>
      <c r="C200" s="589">
        <f>VLOOKUP(F200,'2) Tracker'!$A$3:$O$411,4,FALSE)</f>
        <v>0</v>
      </c>
      <c r="D200" s="563"/>
      <c r="E200" s="563">
        <f>VLOOKUP(F200,'2) Tracker'!$A$3:$O$407,15,FALSE)</f>
        <v>0</v>
      </c>
      <c r="F200" s="561" t="s">
        <v>324</v>
      </c>
      <c r="G200" s="591">
        <f>VLOOKUP(F200,'2) Tracker'!$A$2:$BO$361,2,FALSE)</f>
        <v>2016</v>
      </c>
      <c r="H200" s="592">
        <f>VLOOKUP(F200,'2) Tracker'!$A$2:$BO$361,3,FALSE)</f>
        <v>83000</v>
      </c>
      <c r="I200" s="600" t="str">
        <f>VLOOKUP(F200,'2) Tracker'!$A$2:$BO$361,9,FALSE)</f>
        <v>Mercuria</v>
      </c>
      <c r="J200" s="594" t="str">
        <f>VLOOKUP(F200,'2) Tracker'!$A$2:$BO$361,12,FALSE)</f>
        <v>Japan</v>
      </c>
      <c r="K200" s="596">
        <f t="shared" si="305"/>
        <v>46172</v>
      </c>
      <c r="L200" s="596">
        <f t="shared" ref="L200:O200" si="348">AE200</f>
        <v>46183</v>
      </c>
      <c r="M200" s="596" t="str">
        <f t="shared" si="348"/>
        <v/>
      </c>
      <c r="N200" s="596">
        <f t="shared" si="348"/>
        <v>46159</v>
      </c>
      <c r="O200" s="597" t="str">
        <f t="shared" si="348"/>
        <v/>
      </c>
      <c r="P200" s="598" t="str">
        <f>IFERROR(IF(VLOOKUP(F200,'Voyage days'!$M$808:$N$819,2,FALSE),"GOA",""),"")</f>
        <v/>
      </c>
      <c r="Q200" s="596">
        <f t="shared" si="287"/>
        <v>46162</v>
      </c>
      <c r="R200" s="596">
        <f t="shared" si="289"/>
        <v>46187</v>
      </c>
      <c r="S200" s="595">
        <f t="shared" si="2"/>
        <v>46177</v>
      </c>
      <c r="T200" s="596">
        <f t="shared" si="3"/>
        <v>46171</v>
      </c>
      <c r="U200" s="596">
        <f t="shared" si="290"/>
        <v>46150</v>
      </c>
      <c r="V200" s="596"/>
      <c r="W200" s="596">
        <f t="shared" si="291"/>
        <v>46149.25</v>
      </c>
      <c r="X200" s="599">
        <f t="shared" si="6"/>
        <v>46152</v>
      </c>
      <c r="Y200" s="606"/>
      <c r="Z200" s="600" t="str">
        <f>VLOOKUP(F200,'2) Tracker'!$A$3:$Q$505,16,FALSE)</f>
        <v>ETA 1st port Chiba 20 Apr</v>
      </c>
      <c r="AA200" s="600" t="str">
        <f>VLOOKUP(F200,'2) Tracker'!$A$3:$R$505,18,FALSE)</f>
        <v>Mercuria 18-19 Mar Nederland</v>
      </c>
      <c r="AB200" s="600">
        <f>VLOOKUP(F200,'2) Tracker'!$A$3:$Q$505,17,FALSE)</f>
        <v>0</v>
      </c>
      <c r="AC200" s="601"/>
      <c r="AD200" s="601">
        <f>VLOOKUP(F200,'2) Tracker'!$A$2:$BO$981,37,FALSE)</f>
        <v>46172</v>
      </c>
      <c r="AE200" s="601">
        <f>VLOOKUP(F200,'2) Tracker'!$A$2:$BO$981,40,FALSE)</f>
        <v>46183</v>
      </c>
      <c r="AF200" s="601" t="str">
        <f>VLOOKUP(F200,'2) Tracker'!$A$2:$BO$981,67,FALSE)</f>
        <v/>
      </c>
      <c r="AG200" s="601">
        <f>VLOOKUP(F200,'2) Tracker'!$A$2:$BO$981,34,FALSE)</f>
        <v>46159</v>
      </c>
      <c r="AH200" s="601" t="str">
        <f>VLOOKUP(F200,'2) Tracker'!$A$2:$BN$981,66,FALSE)</f>
        <v/>
      </c>
      <c r="AI200" s="601">
        <f>VLOOKUP(F200,'2) Tracker'!$A$2:$BO$981,56,FALSE)</f>
        <v>46150</v>
      </c>
      <c r="AJ200" s="601">
        <f>VLOOKUP(F200,'2) Tracker'!$A$2:$BO$981,52,FALSE)</f>
        <v>46149.25</v>
      </c>
      <c r="AK200" s="601">
        <f>VLOOKUP(F200,'2) Tracker'!$A$2:$AQ$981,43,FALSE)</f>
        <v>46171</v>
      </c>
      <c r="AL200" s="601">
        <f>VLOOKUP(F200,'2) Tracker'!$A$2:$BH$981,46,FALSE())</f>
        <v>46177</v>
      </c>
      <c r="AM200" s="601">
        <f>VLOOKUP(F200,'2) Tracker'!$A$2:$BO$981,65,FALSE())</f>
        <v>46162</v>
      </c>
      <c r="AN200" s="601">
        <f>VLOOKUP(F200,'2) Tracker'!$A$2:$BK$981,63,FALSE())</f>
        <v>46187</v>
      </c>
      <c r="AO200" s="601">
        <f>VLOOKUP(F200,'2) Tracker'!$A$2:$BF$981,58,FALSE())</f>
        <v>46152</v>
      </c>
      <c r="AP200" s="46"/>
      <c r="AQ200" s="46"/>
      <c r="AR200" s="46"/>
      <c r="AS200" s="46"/>
      <c r="AT200" s="46"/>
      <c r="AU200" s="46"/>
      <c r="AV200" s="46"/>
      <c r="AW200" s="46"/>
      <c r="AX200" s="46"/>
      <c r="AY200" s="46"/>
      <c r="AZ200" s="563"/>
      <c r="BA200" s="604" t="e">
        <f>VLOOKUP(AZ200,#REF!,2, FALSE)</f>
        <v>#REF!</v>
      </c>
      <c r="BB200" s="605" t="e">
        <f>VLOOKUP(AZ200,'1) Kpler'!$E$2:$F$500,2,FALSE)</f>
        <v>#N/A</v>
      </c>
      <c r="BC200" s="569"/>
      <c r="BD200" s="563"/>
      <c r="BE200" s="46"/>
      <c r="BF200" s="46"/>
      <c r="BG200" s="563"/>
      <c r="BH200" s="563"/>
      <c r="BI200" s="563"/>
      <c r="BJ200" s="563"/>
    </row>
    <row r="201" spans="2:62" x14ac:dyDescent="0.25">
      <c r="B201" s="589">
        <f>VLOOKUP(F201,'2) Tracker'!$A$3:$O$411,5,FALSE)</f>
        <v>0</v>
      </c>
      <c r="C201" s="589">
        <f>VLOOKUP(F201,'2) Tracker'!$A$3:$O$411,4,FALSE)</f>
        <v>0</v>
      </c>
      <c r="D201" s="563"/>
      <c r="E201" s="563">
        <f>VLOOKUP(F201,'2) Tracker'!$A$3:$O$407,15,FALSE)</f>
        <v>0</v>
      </c>
      <c r="F201" s="569" t="s">
        <v>366</v>
      </c>
      <c r="G201" s="626">
        <f>VLOOKUP(F201,'2) Tracker'!$A$2:$BO$361,2,FALSE)</f>
        <v>2023</v>
      </c>
      <c r="H201" s="592">
        <f>VLOOKUP(F201,'2) Tracker'!$A$2:$BO$361,3,FALSE)</f>
        <v>86000</v>
      </c>
      <c r="I201" s="600" t="str">
        <f>VLOOKUP(F201,'2) Tracker'!$A$2:$BO$361,9,FALSE)</f>
        <v>Trafigura</v>
      </c>
      <c r="J201" s="594" t="str">
        <f>VLOOKUP(F201,'2) Tracker'!$A$2:$BO$361,12,FALSE)</f>
        <v>East China</v>
      </c>
      <c r="K201" s="595">
        <f t="shared" si="305"/>
        <v>46172</v>
      </c>
      <c r="L201" s="595">
        <f t="shared" ref="L201:O201" si="349">AE201</f>
        <v>46184</v>
      </c>
      <c r="M201" s="596" t="str">
        <f t="shared" si="349"/>
        <v/>
      </c>
      <c r="N201" s="596">
        <f t="shared" si="349"/>
        <v>46157</v>
      </c>
      <c r="O201" s="597" t="str">
        <f t="shared" si="349"/>
        <v/>
      </c>
      <c r="P201" s="598" t="str">
        <f>IFERROR(IF(VLOOKUP(F201,'Voyage days'!$M$808:$N$819,2,FALSE),"GOA",""),"")</f>
        <v/>
      </c>
      <c r="Q201" s="596">
        <f t="shared" si="287"/>
        <v>46160</v>
      </c>
      <c r="R201" s="596">
        <f t="shared" si="289"/>
        <v>46184</v>
      </c>
      <c r="S201" s="595">
        <f t="shared" si="2"/>
        <v>46175</v>
      </c>
      <c r="T201" s="596">
        <f t="shared" si="3"/>
        <v>46168</v>
      </c>
      <c r="U201" s="596">
        <f t="shared" si="290"/>
        <v>46148</v>
      </c>
      <c r="V201" s="596"/>
      <c r="W201" s="596">
        <f t="shared" si="291"/>
        <v>46147.25</v>
      </c>
      <c r="X201" s="599">
        <f t="shared" si="6"/>
        <v>46153</v>
      </c>
      <c r="Y201" s="606" t="s">
        <v>1611</v>
      </c>
      <c r="Z201" s="600" t="str">
        <f>VLOOKUP(F201,'2) Tracker'!$A$3:$Q$505,16,FALSE)</f>
        <v>ETA 1st port Ningbo 24 Apr</v>
      </c>
      <c r="AA201" s="600" t="str">
        <f>VLOOKUP(F201,'2) Tracker'!$A$3:$R$505,18,FALSE)</f>
        <v>Trafigura 22 Mar Enterprise</v>
      </c>
      <c r="AB201" s="600">
        <f>VLOOKUP(F201,'2) Tracker'!$A$3:$Q$505,17,FALSE)</f>
        <v>0</v>
      </c>
      <c r="AC201" s="601"/>
      <c r="AD201" s="601">
        <f>VLOOKUP(F201,'2) Tracker'!$A$2:$BO$981,37,FALSE)</f>
        <v>46172</v>
      </c>
      <c r="AE201" s="601">
        <f>VLOOKUP(F201,'2) Tracker'!$A$2:$BO$981,40,FALSE)</f>
        <v>46184</v>
      </c>
      <c r="AF201" s="601" t="str">
        <f>VLOOKUP(F201,'2) Tracker'!$A$2:$BO$981,67,FALSE)</f>
        <v/>
      </c>
      <c r="AG201" s="601">
        <f>VLOOKUP(F201,'2) Tracker'!$A$2:$BO$981,34,FALSE)</f>
        <v>46157</v>
      </c>
      <c r="AH201" s="601" t="str">
        <f>VLOOKUP(F201,'2) Tracker'!$A$2:$BN$981,66,FALSE)</f>
        <v/>
      </c>
      <c r="AI201" s="601">
        <f>VLOOKUP(F201,'2) Tracker'!$A$2:$BO$981,56,FALSE)</f>
        <v>46148</v>
      </c>
      <c r="AJ201" s="601">
        <f>VLOOKUP(F201,'2) Tracker'!$A$2:$BO$981,52,FALSE)</f>
        <v>46147.25</v>
      </c>
      <c r="AK201" s="601">
        <f>VLOOKUP(F201,'2) Tracker'!$A$2:$AQ$981,43,FALSE)</f>
        <v>46168</v>
      </c>
      <c r="AL201" s="601">
        <f>VLOOKUP(F201,'2) Tracker'!$A$2:$BH$981,46,FALSE())</f>
        <v>46175</v>
      </c>
      <c r="AM201" s="601">
        <f>VLOOKUP(F201,'2) Tracker'!$A$2:$BO$981,65,FALSE())</f>
        <v>46160</v>
      </c>
      <c r="AN201" s="601">
        <f>VLOOKUP(F201,'2) Tracker'!$A$2:$BK$981,63,FALSE())</f>
        <v>46184</v>
      </c>
      <c r="AO201" s="601">
        <f>VLOOKUP(F201,'2) Tracker'!$A$2:$BF$981,58,FALSE())</f>
        <v>46153</v>
      </c>
      <c r="AP201" s="46"/>
      <c r="AQ201" s="46"/>
      <c r="AR201" s="46"/>
      <c r="AS201" s="46"/>
      <c r="AT201" s="46"/>
      <c r="AU201" s="46"/>
      <c r="AV201" s="46"/>
      <c r="AW201" s="46"/>
      <c r="AX201" s="46"/>
      <c r="AY201" s="46"/>
      <c r="AZ201" s="591"/>
      <c r="BA201" s="604" t="e">
        <f>VLOOKUP(AZ201,#REF!,2, FALSE)</f>
        <v>#REF!</v>
      </c>
      <c r="BB201" s="605" t="e">
        <f>VLOOKUP(AZ201,'1) Kpler'!$E$2:$F$500,2,FALSE)</f>
        <v>#N/A</v>
      </c>
      <c r="BC201" s="594"/>
      <c r="BD201" s="605"/>
      <c r="BE201" s="46"/>
      <c r="BF201" s="46"/>
      <c r="BG201" s="605"/>
      <c r="BH201" s="605"/>
      <c r="BI201" s="605"/>
      <c r="BJ201" s="605"/>
    </row>
    <row r="202" spans="2:62" x14ac:dyDescent="0.25">
      <c r="B202" s="589">
        <f>VLOOKUP(F202,'2) Tracker'!$A$3:$O$411,5,FALSE)</f>
        <v>0</v>
      </c>
      <c r="C202" s="589">
        <f>VLOOKUP(F202,'2) Tracker'!$A$3:$O$411,4,FALSE)</f>
        <v>0</v>
      </c>
      <c r="D202" s="563"/>
      <c r="E202" s="563"/>
      <c r="F202" s="604" t="s">
        <v>499</v>
      </c>
      <c r="G202" s="647">
        <v>2025</v>
      </c>
      <c r="H202" s="645">
        <v>87965</v>
      </c>
      <c r="I202" s="600" t="str">
        <f>VLOOKUP(F202,'2) Tracker'!$A$2:$BO$361,9,FALSE)</f>
        <v>BGN</v>
      </c>
      <c r="J202" s="594" t="str">
        <f>VLOOKUP(F202,'2) Tracker'!$A$2:$BO$361,12,FALSE)</f>
        <v>Vietnam</v>
      </c>
      <c r="K202" s="596">
        <f t="shared" si="305"/>
        <v>46172</v>
      </c>
      <c r="L202" s="639"/>
      <c r="N202" s="596">
        <f t="shared" ref="N202:O202" si="350">AG202</f>
        <v>46149</v>
      </c>
      <c r="O202" s="597" t="str">
        <f t="shared" si="350"/>
        <v/>
      </c>
      <c r="P202" s="598" t="str">
        <f>IFERROR(IF(VLOOKUP(F202,'Voyage days'!$M$808:$N$819,2,FALSE),"GOA",""),"")</f>
        <v/>
      </c>
      <c r="Q202" s="596">
        <f t="shared" si="287"/>
        <v>46151</v>
      </c>
      <c r="R202" s="595">
        <f t="shared" si="289"/>
        <v>46176</v>
      </c>
      <c r="S202" s="595">
        <f t="shared" si="2"/>
        <v>46166</v>
      </c>
      <c r="T202" s="596">
        <f t="shared" si="3"/>
        <v>46160</v>
      </c>
      <c r="U202" s="595">
        <f t="shared" si="290"/>
        <v>46139</v>
      </c>
      <c r="V202" s="616"/>
      <c r="W202" s="616">
        <f t="shared" si="291"/>
        <v>46142.25</v>
      </c>
      <c r="X202" s="599" t="str">
        <f t="shared" si="6"/>
        <v/>
      </c>
      <c r="Y202" s="594"/>
      <c r="Z202" s="600" t="str">
        <f>VLOOKUP(F202,'2) Tracker'!$A$3:$Q$505,16,FALSE)</f>
        <v>ETA Vung Tau 21 Apr</v>
      </c>
      <c r="AA202" s="600" t="str">
        <f>VLOOKUP(F202,'2) Tracker'!$A$3:$R$505,18,FALSE)</f>
        <v>BGN 10-11 Mar Enterprise</v>
      </c>
      <c r="AB202" s="600">
        <f>VLOOKUP(F202,'2) Tracker'!$A$3:$Q$505,17,FALSE)</f>
        <v>0</v>
      </c>
      <c r="AC202" s="601"/>
      <c r="AD202" s="601">
        <f>VLOOKUP(F202,'2) Tracker'!$A$2:$BO$981,37,FALSE)</f>
        <v>46172</v>
      </c>
      <c r="AE202" s="601">
        <f>VLOOKUP(F202,'2) Tracker'!$A$2:$BO$981,40,FALSE)</f>
        <v>46175</v>
      </c>
      <c r="AF202" s="601" t="str">
        <f>VLOOKUP(F202,'2) Tracker'!$A$2:$BO$981,67,FALSE)</f>
        <v/>
      </c>
      <c r="AG202" s="601">
        <f>VLOOKUP(F202,'2) Tracker'!$A$2:$BO$981,34,FALSE)</f>
        <v>46149</v>
      </c>
      <c r="AH202" s="601" t="str">
        <f>VLOOKUP(F202,'2) Tracker'!$A$2:$BN$981,66,FALSE)</f>
        <v/>
      </c>
      <c r="AI202" s="601">
        <f>VLOOKUP(F202,'2) Tracker'!$A$2:$BO$981,56,FALSE)</f>
        <v>46139</v>
      </c>
      <c r="AJ202" s="601">
        <f>VLOOKUP(F202,'2) Tracker'!$A$2:$BO$981,52,FALSE)</f>
        <v>46142.25</v>
      </c>
      <c r="AK202" s="601">
        <f>VLOOKUP(F202,'2) Tracker'!$A$2:$AQ$981,43,FALSE)</f>
        <v>46160</v>
      </c>
      <c r="AL202" s="601">
        <f>VLOOKUP(F202,'2) Tracker'!$A$2:$BH$981,46,FALSE())</f>
        <v>46166</v>
      </c>
      <c r="AM202" s="601">
        <f>VLOOKUP(F202,'2) Tracker'!$A$2:$BO$981,65,FALSE())</f>
        <v>46151</v>
      </c>
      <c r="AN202" s="601">
        <f>VLOOKUP(F202,'2) Tracker'!$A$2:$BK$981,63,FALSE())</f>
        <v>46176</v>
      </c>
      <c r="AO202" s="601" t="str">
        <f>VLOOKUP(F202,'2) Tracker'!$A$2:$BF$981,58,FALSE())</f>
        <v/>
      </c>
      <c r="AP202" s="46"/>
      <c r="AQ202" s="46"/>
      <c r="AR202" s="46"/>
      <c r="AS202" s="46"/>
      <c r="AT202" s="46"/>
      <c r="AU202" s="46"/>
      <c r="AV202" s="46"/>
      <c r="AW202" s="46"/>
      <c r="AX202" s="46"/>
      <c r="AY202" s="46"/>
      <c r="AZ202" s="563"/>
      <c r="BA202" s="604" t="e">
        <f>VLOOKUP(AZ202,#REF!,2, FALSE)</f>
        <v>#REF!</v>
      </c>
      <c r="BB202" s="605" t="e">
        <f>VLOOKUP(AZ202,'1) Kpler'!$E$2:$F$500,2,FALSE)</f>
        <v>#N/A</v>
      </c>
      <c r="BC202" s="569"/>
      <c r="BD202" s="563"/>
      <c r="BE202" s="46"/>
      <c r="BF202" s="46"/>
      <c r="BG202" s="563"/>
      <c r="BH202" s="563"/>
      <c r="BI202" s="563"/>
      <c r="BJ202" s="563"/>
    </row>
    <row r="203" spans="2:62" x14ac:dyDescent="0.25">
      <c r="B203" s="589" t="str">
        <f>VLOOKUP(F203,'2) Tracker'!$A$3:$O$411,5,FALSE)</f>
        <v>C</v>
      </c>
      <c r="C203" s="589">
        <f>VLOOKUP(F203,'2) Tracker'!$A$3:$O$411,4,FALSE)</f>
        <v>0</v>
      </c>
      <c r="D203" s="563"/>
      <c r="E203" s="563">
        <f>VLOOKUP(F203,'2) Tracker'!$A$3:$O$407,15,FALSE)</f>
        <v>0</v>
      </c>
      <c r="F203" s="604" t="s">
        <v>336</v>
      </c>
      <c r="G203" s="591">
        <f>VLOOKUP(F203,'2) Tracker'!$A$2:$BO$361,2,FALSE)</f>
        <v>2021</v>
      </c>
      <c r="H203" s="592">
        <f>VLOOKUP(F203,'2) Tracker'!$A$2:$BO$361,3,FALSE)</f>
        <v>86000</v>
      </c>
      <c r="I203" s="640" t="str">
        <f>VLOOKUP(F203,'2) Tracker'!$A$2:$BO$361,9,FALSE)</f>
        <v>Sinogas&gt;BASF</v>
      </c>
      <c r="J203" s="594" t="str">
        <f>VLOOKUP(F203,'2) Tracker'!$A$2:$BO$361,12,FALSE)</f>
        <v>South China</v>
      </c>
      <c r="K203" s="595">
        <f t="shared" si="305"/>
        <v>46173</v>
      </c>
      <c r="L203" s="595">
        <f t="shared" ref="L203:O203" si="351">AE203</f>
        <v>46179</v>
      </c>
      <c r="M203" s="596" t="str">
        <f t="shared" si="351"/>
        <v/>
      </c>
      <c r="N203" s="596">
        <f t="shared" si="351"/>
        <v>46152</v>
      </c>
      <c r="O203" s="597" t="str">
        <f t="shared" si="351"/>
        <v/>
      </c>
      <c r="P203" s="598" t="str">
        <f>IFERROR(IF(VLOOKUP(F203,'Voyage days'!$M$808:$N$819,2,FALSE),"GOA",""),"")</f>
        <v/>
      </c>
      <c r="Q203" s="596">
        <f t="shared" si="287"/>
        <v>46155</v>
      </c>
      <c r="R203" s="595">
        <f t="shared" si="289"/>
        <v>46179</v>
      </c>
      <c r="S203" s="595">
        <f t="shared" si="2"/>
        <v>46170</v>
      </c>
      <c r="T203" s="596">
        <f t="shared" si="3"/>
        <v>46163</v>
      </c>
      <c r="U203" s="595">
        <f t="shared" si="290"/>
        <v>46142</v>
      </c>
      <c r="V203" s="596"/>
      <c r="W203" s="596">
        <f t="shared" si="291"/>
        <v>46143.75</v>
      </c>
      <c r="X203" s="599" t="str">
        <f t="shared" si="6"/>
        <v/>
      </c>
      <c r="Y203" s="594"/>
      <c r="Z203" s="600" t="str">
        <f>VLOOKUP(F203,'2) Tracker'!$A$3:$Q$505,16,FALSE)</f>
        <v>ETA Guangzhou 25 Apr</v>
      </c>
      <c r="AA203" s="600" t="str">
        <f>VLOOKUP(F203,'2) Tracker'!$A$3:$R$505,18,FALSE)</f>
        <v>Altagas 19 Mar Ferndale</v>
      </c>
      <c r="AB203" s="600">
        <f>VLOOKUP(F203,'2) Tracker'!$A$3:$Q$505,17,FALSE)</f>
        <v>0</v>
      </c>
      <c r="AC203" s="601"/>
      <c r="AD203" s="601">
        <f>VLOOKUP(F203,'2) Tracker'!$A$2:$BO$981,37,FALSE)</f>
        <v>46173</v>
      </c>
      <c r="AE203" s="601">
        <f>VLOOKUP(F203,'2) Tracker'!$A$2:$BO$981,40,FALSE)</f>
        <v>46179</v>
      </c>
      <c r="AF203" s="601" t="str">
        <f>VLOOKUP(F203,'2) Tracker'!$A$2:$BO$981,67,FALSE)</f>
        <v/>
      </c>
      <c r="AG203" s="601">
        <f>VLOOKUP(F203,'2) Tracker'!$A$2:$BO$981,34,FALSE)</f>
        <v>46152</v>
      </c>
      <c r="AH203" s="601" t="str">
        <f>VLOOKUP(F203,'2) Tracker'!$A$2:$BN$981,66,FALSE)</f>
        <v/>
      </c>
      <c r="AI203" s="601">
        <f>VLOOKUP(F203,'2) Tracker'!$A$2:$BO$981,56,FALSE)</f>
        <v>46142</v>
      </c>
      <c r="AJ203" s="601">
        <f>VLOOKUP(F203,'2) Tracker'!$A$2:$BO$981,52,FALSE)</f>
        <v>46143.75</v>
      </c>
      <c r="AK203" s="601">
        <f>VLOOKUP(F203,'2) Tracker'!$A$2:$AQ$981,43,FALSE)</f>
        <v>46163</v>
      </c>
      <c r="AL203" s="601">
        <f>VLOOKUP(F203,'2) Tracker'!$A$2:$BH$981,46,FALSE())</f>
        <v>46170</v>
      </c>
      <c r="AM203" s="601">
        <f>VLOOKUP(F203,'2) Tracker'!$A$2:$BO$981,65,FALSE())</f>
        <v>46155</v>
      </c>
      <c r="AN203" s="601">
        <f>VLOOKUP(F203,'2) Tracker'!$A$2:$BK$981,63,FALSE())</f>
        <v>46179</v>
      </c>
      <c r="AO203" s="601" t="str">
        <f>VLOOKUP(F203,'2) Tracker'!$A$2:$BF$981,58,FALSE())</f>
        <v/>
      </c>
      <c r="AP203" s="46"/>
      <c r="AQ203" s="46"/>
      <c r="AR203" s="46"/>
      <c r="AS203" s="46"/>
      <c r="AT203" s="46"/>
      <c r="AU203" s="46"/>
      <c r="AV203" s="46"/>
      <c r="AW203" s="46"/>
      <c r="AX203" s="46"/>
      <c r="AY203" s="46"/>
      <c r="AZ203" s="563"/>
      <c r="BA203" s="604" t="e">
        <f>VLOOKUP(AZ203,#REF!,2, FALSE)</f>
        <v>#REF!</v>
      </c>
      <c r="BB203" s="605" t="e">
        <f>VLOOKUP(AZ203,'1) Kpler'!$E$2:$F$500,2,FALSE)</f>
        <v>#N/A</v>
      </c>
      <c r="BC203" s="569"/>
      <c r="BD203" s="563"/>
      <c r="BE203" s="46"/>
      <c r="BF203" s="46"/>
      <c r="BG203" s="563"/>
      <c r="BH203" s="563"/>
      <c r="BI203" s="563"/>
      <c r="BJ203" s="563"/>
    </row>
    <row r="204" spans="2:62" x14ac:dyDescent="0.25">
      <c r="B204" s="589">
        <f>VLOOKUP(F204,'2) Tracker'!$A$3:$O$411,5,FALSE)</f>
        <v>0</v>
      </c>
      <c r="C204" s="589">
        <f>VLOOKUP(F204,'2) Tracker'!$A$3:$O$411,4,FALSE)</f>
        <v>0</v>
      </c>
      <c r="D204" s="563"/>
      <c r="E204" s="563" t="str">
        <f>VLOOKUP(F204,'2) Tracker'!$A$3:$O$407,15,FALSE)</f>
        <v>R</v>
      </c>
      <c r="F204" s="561" t="s">
        <v>340</v>
      </c>
      <c r="G204" s="591">
        <f>VLOOKUP(F204,'2) Tracker'!$A$2:$BO$361,2,FALSE)</f>
        <v>2017</v>
      </c>
      <c r="H204" s="592">
        <f>VLOOKUP(F204,'2) Tracker'!$A$2:$BO$361,3,FALSE)</f>
        <v>84000</v>
      </c>
      <c r="I204" s="600" t="str">
        <f>VLOOKUP(F204,'2) Tracker'!$A$2:$BO$361,9,FALSE)</f>
        <v>BB Energy</v>
      </c>
      <c r="J204" s="594" t="str">
        <f>VLOOKUP(F204,'2) Tracker'!$A$2:$BO$361,12,FALSE)</f>
        <v>Indo</v>
      </c>
      <c r="K204" s="596">
        <f t="shared" si="305"/>
        <v>46173</v>
      </c>
      <c r="L204" s="596">
        <f t="shared" ref="L204:O204" si="352">AE204</f>
        <v>46172</v>
      </c>
      <c r="M204" s="596" t="str">
        <f t="shared" si="352"/>
        <v/>
      </c>
      <c r="N204" s="596">
        <f t="shared" si="352"/>
        <v>46146</v>
      </c>
      <c r="O204" s="597" t="str">
        <f t="shared" si="352"/>
        <v/>
      </c>
      <c r="P204" s="598" t="str">
        <f>IFERROR(IF(VLOOKUP(F204,'Voyage days'!$M$808:$N$819,2,FALSE),"GOA",""),"")</f>
        <v/>
      </c>
      <c r="Q204" s="596">
        <f t="shared" si="287"/>
        <v>46149</v>
      </c>
      <c r="R204" s="596">
        <f t="shared" si="289"/>
        <v>46172</v>
      </c>
      <c r="S204" s="595">
        <f t="shared" si="2"/>
        <v>46164</v>
      </c>
      <c r="T204" s="596">
        <f t="shared" si="3"/>
        <v>46155</v>
      </c>
      <c r="U204" s="596">
        <f t="shared" si="290"/>
        <v>46139</v>
      </c>
      <c r="V204" s="570" t="s">
        <v>1577</v>
      </c>
      <c r="W204" s="596">
        <f t="shared" si="291"/>
        <v>46139</v>
      </c>
      <c r="X204" s="599" t="str">
        <f t="shared" si="6"/>
        <v/>
      </c>
      <c r="Y204" s="614" t="s">
        <v>1628</v>
      </c>
      <c r="Z204" s="600" t="str">
        <f>VLOOKUP(F204,'2) Tracker'!$A$3:$Q$505,16,FALSE)</f>
        <v>ETA Darwin 12-13 Apr / heard on subs with inpex</v>
      </c>
      <c r="AA204" s="600" t="str">
        <f>VLOOKUP(F204,'2) Tracker'!$A$3:$R$505,18,FALSE)</f>
        <v>Total 10-11 Apr Darwin</v>
      </c>
      <c r="AB204" s="600">
        <f>VLOOKUP(F204,'2) Tracker'!$A$3:$Q$505,17,FALSE)</f>
        <v>0</v>
      </c>
      <c r="AC204" s="601"/>
      <c r="AD204" s="601">
        <f>VLOOKUP(F204,'2) Tracker'!$A$2:$BO$981,37,FALSE)</f>
        <v>46173</v>
      </c>
      <c r="AE204" s="601">
        <f>VLOOKUP(F204,'2) Tracker'!$A$2:$BO$981,40,FALSE)</f>
        <v>46172</v>
      </c>
      <c r="AF204" s="601" t="str">
        <f>VLOOKUP(F204,'2) Tracker'!$A$2:$BO$981,67,FALSE)</f>
        <v/>
      </c>
      <c r="AG204" s="601">
        <f>VLOOKUP(F204,'2) Tracker'!$A$2:$BO$981,34,FALSE)</f>
        <v>46146</v>
      </c>
      <c r="AH204" s="601" t="str">
        <f>VLOOKUP(F204,'2) Tracker'!$A$2:$BN$981,66,FALSE)</f>
        <v/>
      </c>
      <c r="AI204" s="601">
        <f>VLOOKUP(F204,'2) Tracker'!$A$2:$BO$981,56,FALSE)</f>
        <v>46139</v>
      </c>
      <c r="AJ204" s="601">
        <f>VLOOKUP(F204,'2) Tracker'!$A$2:$BO$981,52,FALSE)</f>
        <v>46139</v>
      </c>
      <c r="AK204" s="601">
        <f>VLOOKUP(F204,'2) Tracker'!$A$2:$AQ$981,43,FALSE)</f>
        <v>46155</v>
      </c>
      <c r="AL204" s="601">
        <f>VLOOKUP(F204,'2) Tracker'!$A$2:$BH$981,46,FALSE())</f>
        <v>46164</v>
      </c>
      <c r="AM204" s="601">
        <f>VLOOKUP(F204,'2) Tracker'!$A$2:$BO$981,65,FALSE())</f>
        <v>46149</v>
      </c>
      <c r="AN204" s="601">
        <f>VLOOKUP(F204,'2) Tracker'!$A$2:$BK$981,63,FALSE())</f>
        <v>46172</v>
      </c>
      <c r="AO204" s="601" t="str">
        <f>VLOOKUP(F204,'2) Tracker'!$A$2:$BF$981,58,FALSE())</f>
        <v/>
      </c>
      <c r="AP204" s="46"/>
      <c r="AQ204" s="46"/>
      <c r="AR204" s="46"/>
      <c r="AS204" s="46"/>
      <c r="AT204" s="46"/>
      <c r="AU204" s="46"/>
      <c r="AV204" s="46"/>
      <c r="AW204" s="46"/>
      <c r="AX204" s="46"/>
      <c r="AY204" s="46"/>
      <c r="AZ204" s="605"/>
      <c r="BA204" s="604" t="e">
        <f>VLOOKUP(AZ204,#REF!,2, FALSE)</f>
        <v>#REF!</v>
      </c>
      <c r="BB204" s="605" t="e">
        <f>VLOOKUP(AZ204,'1) Kpler'!$E$2:$F$500,2,FALSE)</f>
        <v>#N/A</v>
      </c>
      <c r="BC204" s="604"/>
      <c r="BD204" s="605"/>
      <c r="BE204" s="46"/>
      <c r="BF204" s="46"/>
      <c r="BG204" s="605"/>
      <c r="BH204" s="605"/>
      <c r="BI204" s="605"/>
      <c r="BJ204" s="605"/>
    </row>
    <row r="205" spans="2:62" x14ac:dyDescent="0.25">
      <c r="B205" s="589">
        <f>VLOOKUP(F205,'2) Tracker'!$A$3:$O$411,5,FALSE)</f>
        <v>0</v>
      </c>
      <c r="C205" s="589">
        <f>VLOOKUP(F205,'2) Tracker'!$A$3:$O$411,4,FALSE)</f>
        <v>0</v>
      </c>
      <c r="D205" s="563"/>
      <c r="E205" s="563">
        <f>VLOOKUP(F205,'2) Tracker'!$A$3:$O$407,15,FALSE)</f>
        <v>0</v>
      </c>
      <c r="F205" s="604" t="s">
        <v>258</v>
      </c>
      <c r="G205" s="607">
        <f>VLOOKUP(F205,'2) Tracker'!$A$2:$BO$361,2,FALSE)</f>
        <v>41450</v>
      </c>
      <c r="H205" s="592">
        <f>VLOOKUP(F205,'2) Tracker'!$A$2:$BO$361,3,FALSE)</f>
        <v>82000</v>
      </c>
      <c r="I205" s="600" t="str">
        <f>VLOOKUP(F205,'2) Tracker'!$A$2:$BO$361,9,FALSE)</f>
        <v>SK Gas</v>
      </c>
      <c r="J205" s="594" t="str">
        <f>VLOOKUP(F205,'2) Tracker'!$A$2:$BO$361,12,FALSE)</f>
        <v>Korea</v>
      </c>
      <c r="K205" s="595">
        <f t="shared" si="305"/>
        <v>46174</v>
      </c>
      <c r="L205" s="595">
        <f t="shared" ref="L205:O205" si="353">AE205</f>
        <v>46182</v>
      </c>
      <c r="M205" s="596" t="str">
        <f t="shared" si="353"/>
        <v/>
      </c>
      <c r="N205" s="596">
        <f t="shared" si="353"/>
        <v>46159</v>
      </c>
      <c r="O205" s="597" t="str">
        <f t="shared" si="353"/>
        <v/>
      </c>
      <c r="P205" s="598" t="str">
        <f>IFERROR(IF(VLOOKUP(F205,'Voyage days'!$M$808:$N$819,2,FALSE),"GOA",""),"")</f>
        <v/>
      </c>
      <c r="Q205" s="596">
        <f t="shared" si="287"/>
        <v>46161</v>
      </c>
      <c r="R205" s="595">
        <f t="shared" si="289"/>
        <v>46186</v>
      </c>
      <c r="S205" s="595">
        <f t="shared" si="2"/>
        <v>46176</v>
      </c>
      <c r="T205" s="596">
        <f t="shared" si="3"/>
        <v>46170</v>
      </c>
      <c r="U205" s="595">
        <f t="shared" si="290"/>
        <v>46149</v>
      </c>
      <c r="V205" s="596"/>
      <c r="W205" s="596">
        <f t="shared" si="291"/>
        <v>46149</v>
      </c>
      <c r="X205" s="599">
        <f t="shared" si="6"/>
        <v>46152</v>
      </c>
      <c r="Y205" s="594"/>
      <c r="Z205" s="600" t="str">
        <f>VLOOKUP(F205,'2) Tracker'!$A$3:$Q$505,16,FALSE)</f>
        <v>ETA 1st port Ulsan 25 Apr</v>
      </c>
      <c r="AA205" s="600" t="str">
        <f>VLOOKUP(F205,'2) Tracker'!$A$3:$R$505,18,FALSE)</f>
        <v>SK Gas 17 Mar Enterprise</v>
      </c>
      <c r="AB205" s="600">
        <f>VLOOKUP(F205,'2) Tracker'!$A$3:$Q$505,17,FALSE)</f>
        <v>0</v>
      </c>
      <c r="AC205" s="601"/>
      <c r="AD205" s="601">
        <f>VLOOKUP(F205,'2) Tracker'!$A$2:$BO$981,37,FALSE)</f>
        <v>46174</v>
      </c>
      <c r="AE205" s="601">
        <f>VLOOKUP(F205,'2) Tracker'!$A$2:$BO$981,40,FALSE)</f>
        <v>46182</v>
      </c>
      <c r="AF205" s="601" t="str">
        <f>VLOOKUP(F205,'2) Tracker'!$A$2:$BO$981,67,FALSE)</f>
        <v/>
      </c>
      <c r="AG205" s="601">
        <f>VLOOKUP(F205,'2) Tracker'!$A$2:$BO$981,34,FALSE)</f>
        <v>46159</v>
      </c>
      <c r="AH205" s="601" t="str">
        <f>VLOOKUP(F205,'2) Tracker'!$A$2:$BN$981,66,FALSE)</f>
        <v/>
      </c>
      <c r="AI205" s="601">
        <f>VLOOKUP(F205,'2) Tracker'!$A$2:$BO$981,56,FALSE)</f>
        <v>46149</v>
      </c>
      <c r="AJ205" s="601">
        <f>VLOOKUP(F205,'2) Tracker'!$A$2:$BO$981,52,FALSE)</f>
        <v>46149</v>
      </c>
      <c r="AK205" s="601">
        <f>VLOOKUP(F205,'2) Tracker'!$A$2:$AQ$981,43,FALSE)</f>
        <v>46170</v>
      </c>
      <c r="AL205" s="601">
        <f>VLOOKUP(F205,'2) Tracker'!$A$2:$BH$981,46,FALSE())</f>
        <v>46176</v>
      </c>
      <c r="AM205" s="601">
        <f>VLOOKUP(F205,'2) Tracker'!$A$2:$BO$981,65,FALSE())</f>
        <v>46161</v>
      </c>
      <c r="AN205" s="601">
        <f>VLOOKUP(F205,'2) Tracker'!$A$2:$BK$981,63,FALSE())</f>
        <v>46186</v>
      </c>
      <c r="AO205" s="601">
        <f>VLOOKUP(F205,'2) Tracker'!$A$2:$BF$981,58,FALSE())</f>
        <v>46152</v>
      </c>
      <c r="AP205" s="46"/>
      <c r="AQ205" s="46"/>
      <c r="AR205" s="46"/>
      <c r="AS205" s="46"/>
      <c r="AT205" s="46"/>
      <c r="AU205" s="46"/>
      <c r="AV205" s="46"/>
      <c r="AW205" s="46"/>
      <c r="AX205" s="46"/>
      <c r="AY205" s="46"/>
      <c r="AZ205" s="563"/>
      <c r="BA205" s="604" t="e">
        <f>VLOOKUP(AZ205,#REF!,2, FALSE)</f>
        <v>#REF!</v>
      </c>
      <c r="BB205" s="605" t="e">
        <f>VLOOKUP(AZ205,'1) Kpler'!$E$2:$F$500,2,FALSE)</f>
        <v>#N/A</v>
      </c>
      <c r="BC205" s="569"/>
      <c r="BD205" s="563"/>
      <c r="BE205" s="46"/>
      <c r="BF205" s="46"/>
      <c r="BG205" s="563"/>
      <c r="BH205" s="563"/>
      <c r="BI205" s="563"/>
      <c r="BJ205" s="563"/>
    </row>
    <row r="206" spans="2:62" x14ac:dyDescent="0.25">
      <c r="B206" s="589">
        <f>VLOOKUP(F206,'2) Tracker'!$A$3:$O$411,5,FALSE)</f>
        <v>0</v>
      </c>
      <c r="C206" s="589" t="str">
        <f>VLOOKUP(F206,'2) Tracker'!$A$3:$O$411,4,FALSE)</f>
        <v>US</v>
      </c>
      <c r="D206" s="563"/>
      <c r="E206" s="563">
        <f>VLOOKUP(F206,'2) Tracker'!$A$3:$O$407,15,FALSE)</f>
        <v>0</v>
      </c>
      <c r="F206" s="569" t="s">
        <v>189</v>
      </c>
      <c r="G206" s="607">
        <f>VLOOKUP(F206,'2) Tracker'!$A$2:$BO$361,2,FALSE)</f>
        <v>42181</v>
      </c>
      <c r="H206" s="592">
        <f>VLOOKUP(F206,'2) Tracker'!$A$2:$BO$361,3,FALSE)</f>
        <v>84000</v>
      </c>
      <c r="I206" s="594" t="str">
        <f>VLOOKUP(F206,'2) Tracker'!$A$2:$BO$361,9,FALSE)</f>
        <v>Helios &gt; Sold to HK company</v>
      </c>
      <c r="J206" s="594" t="str">
        <f>VLOOKUP(F206,'2) Tracker'!$A$2:$BO$361,12,FALSE)</f>
        <v>Korea</v>
      </c>
      <c r="K206" s="596">
        <f t="shared" si="305"/>
        <v>46174</v>
      </c>
      <c r="L206" s="596">
        <f t="shared" ref="L206:O206" si="354">AE206</f>
        <v>46182</v>
      </c>
      <c r="M206" s="596" t="str">
        <f t="shared" si="354"/>
        <v/>
      </c>
      <c r="N206" s="596">
        <f t="shared" si="354"/>
        <v>46159</v>
      </c>
      <c r="O206" s="597" t="str">
        <f t="shared" si="354"/>
        <v/>
      </c>
      <c r="P206" s="598" t="str">
        <f>IFERROR(IF(VLOOKUP(F206,'Voyage days'!$M$808:$N$819,2,FALSE),"GOA",""),"")</f>
        <v/>
      </c>
      <c r="Q206" s="596">
        <f t="shared" si="287"/>
        <v>46161</v>
      </c>
      <c r="R206" s="595">
        <f t="shared" si="289"/>
        <v>46186</v>
      </c>
      <c r="S206" s="595">
        <f t="shared" si="2"/>
        <v>46176</v>
      </c>
      <c r="T206" s="595">
        <f t="shared" si="3"/>
        <v>46170</v>
      </c>
      <c r="U206" s="595">
        <f t="shared" si="290"/>
        <v>46149</v>
      </c>
      <c r="V206" s="595"/>
      <c r="W206" s="595">
        <f t="shared" si="291"/>
        <v>46149</v>
      </c>
      <c r="X206" s="599">
        <f t="shared" si="6"/>
        <v>46152</v>
      </c>
      <c r="Y206" s="614"/>
      <c r="Z206" s="600" t="str">
        <f>VLOOKUP(F206,'2) Tracker'!$A$3:$Q$505,16,FALSE)</f>
        <v>ETA 1st port Daesan 25 Apr</v>
      </c>
      <c r="AA206" s="600" t="str">
        <f>VLOOKUP(F206,'2) Tracker'!$A$3:$R$505,18,FALSE)</f>
        <v>? 23 Mar Nederland</v>
      </c>
      <c r="AB206" s="600">
        <f>VLOOKUP(F206,'2) Tracker'!$A$3:$Q$505,17,FALSE)</f>
        <v>0</v>
      </c>
      <c r="AC206" s="601"/>
      <c r="AD206" s="601">
        <f>VLOOKUP(F206,'2) Tracker'!$A$2:$BO$981,37,FALSE)</f>
        <v>46174</v>
      </c>
      <c r="AE206" s="601">
        <f>VLOOKUP(F206,'2) Tracker'!$A$2:$BO$981,40,FALSE)</f>
        <v>46182</v>
      </c>
      <c r="AF206" s="601" t="str">
        <f>VLOOKUP(F206,'2) Tracker'!$A$2:$BO$981,67,FALSE)</f>
        <v/>
      </c>
      <c r="AG206" s="601">
        <f>VLOOKUP(F206,'2) Tracker'!$A$2:$BO$981,34,FALSE)</f>
        <v>46159</v>
      </c>
      <c r="AH206" s="601" t="str">
        <f>VLOOKUP(F206,'2) Tracker'!$A$2:$BN$981,66,FALSE)</f>
        <v/>
      </c>
      <c r="AI206" s="601">
        <f>VLOOKUP(F206,'2) Tracker'!$A$2:$BO$981,56,FALSE)</f>
        <v>46149</v>
      </c>
      <c r="AJ206" s="601">
        <f>VLOOKUP(F206,'2) Tracker'!$A$2:$BO$981,52,FALSE)</f>
        <v>46149</v>
      </c>
      <c r="AK206" s="601">
        <f>VLOOKUP(F206,'2) Tracker'!$A$2:$AQ$981,43,FALSE)</f>
        <v>46170</v>
      </c>
      <c r="AL206" s="601">
        <f>VLOOKUP(F206,'2) Tracker'!$A$2:$BH$981,46,FALSE())</f>
        <v>46176</v>
      </c>
      <c r="AM206" s="601">
        <f>VLOOKUP(F206,'2) Tracker'!$A$2:$BO$981,65,FALSE())</f>
        <v>46161</v>
      </c>
      <c r="AN206" s="601">
        <f>VLOOKUP(F206,'2) Tracker'!$A$2:$BK$981,63,FALSE())</f>
        <v>46186</v>
      </c>
      <c r="AO206" s="601">
        <f>VLOOKUP(F206,'2) Tracker'!$A$2:$BF$981,58,FALSE())</f>
        <v>46152</v>
      </c>
      <c r="AP206" s="46"/>
      <c r="AQ206" s="46"/>
      <c r="AR206" s="46"/>
      <c r="AS206" s="46"/>
      <c r="AT206" s="46"/>
      <c r="AU206" s="46"/>
      <c r="AV206" s="46"/>
      <c r="AW206" s="46"/>
      <c r="AX206" s="46"/>
      <c r="AY206" s="46"/>
      <c r="AZ206" s="563"/>
      <c r="BA206" s="604" t="e">
        <f>VLOOKUP(AZ206,#REF!,2, FALSE)</f>
        <v>#REF!</v>
      </c>
      <c r="BB206" s="605" t="e">
        <f>VLOOKUP(AZ206,'1) Kpler'!$E$2:$F$500,2,FALSE)</f>
        <v>#N/A</v>
      </c>
      <c r="BC206" s="569"/>
      <c r="BD206" s="563"/>
      <c r="BE206" s="46"/>
      <c r="BF206" s="46"/>
      <c r="BG206" s="563"/>
      <c r="BH206" s="563"/>
      <c r="BI206" s="563"/>
      <c r="BJ206" s="563"/>
    </row>
    <row r="207" spans="2:62" x14ac:dyDescent="0.25">
      <c r="B207" s="589">
        <f>VLOOKUP(F207,'2) Tracker'!$A$3:$O$411,5,FALSE)</f>
        <v>0</v>
      </c>
      <c r="C207" s="589">
        <f>VLOOKUP(F207,'2) Tracker'!$A$3:$O$411,4,FALSE)</f>
        <v>0</v>
      </c>
      <c r="D207" s="563"/>
      <c r="E207" s="563" t="str">
        <f>VLOOKUP(F207,'2) Tracker'!$A$3:$O$407,15,FALSE)</f>
        <v>O</v>
      </c>
      <c r="F207" s="604" t="s">
        <v>1406</v>
      </c>
      <c r="G207" s="607">
        <f>VLOOKUP(F207,'2) Tracker'!$A$2:$BO$361,2,FALSE)</f>
        <v>42247</v>
      </c>
      <c r="H207" s="592">
        <f>VLOOKUP(F207,'2) Tracker'!$A$2:$BO$361,3,FALSE)</f>
        <v>84000</v>
      </c>
      <c r="I207" s="594" t="str">
        <f>VLOOKUP(F207,'2) Tracker'!$A$2:$BO$361,9,FALSE)</f>
        <v>BW</v>
      </c>
      <c r="J207" s="594" t="str">
        <f>VLOOKUP(F207,'2) Tracker'!$A$2:$BO$361,12,FALSE)</f>
        <v>East China</v>
      </c>
      <c r="K207" s="596">
        <f t="shared" si="305"/>
        <v>46174</v>
      </c>
      <c r="L207" s="596">
        <f t="shared" ref="L207:O207" si="355">AE207</f>
        <v>46186</v>
      </c>
      <c r="M207" s="596" t="str">
        <f t="shared" si="355"/>
        <v/>
      </c>
      <c r="N207" s="596">
        <f t="shared" si="355"/>
        <v>46159</v>
      </c>
      <c r="O207" s="597" t="str">
        <f t="shared" si="355"/>
        <v/>
      </c>
      <c r="P207" s="598" t="str">
        <f>IFERROR(IF(VLOOKUP(F207,'Voyage days'!$M$808:$N$819,2,FALSE),"GOA",""),"")</f>
        <v/>
      </c>
      <c r="Q207" s="596">
        <f t="shared" si="287"/>
        <v>46161</v>
      </c>
      <c r="R207" s="596">
        <f t="shared" si="289"/>
        <v>46186</v>
      </c>
      <c r="S207" s="595">
        <f t="shared" si="2"/>
        <v>46177</v>
      </c>
      <c r="T207" s="596">
        <f t="shared" si="3"/>
        <v>46170</v>
      </c>
      <c r="U207" s="596">
        <f t="shared" si="290"/>
        <v>46149</v>
      </c>
      <c r="V207" s="596"/>
      <c r="W207" s="596">
        <f t="shared" si="291"/>
        <v>46149.25</v>
      </c>
      <c r="X207" s="599">
        <f t="shared" si="6"/>
        <v>46155</v>
      </c>
      <c r="Y207" s="614" t="s">
        <v>1614</v>
      </c>
      <c r="Z207" s="600" t="str">
        <f>VLOOKUP(F207,'2) Tracker'!$A$3:$Q$505,16,FALSE)</f>
        <v>ETA Lianyungang 27 Apr</v>
      </c>
      <c r="AA207" s="600" t="str">
        <f>VLOOKUP(F207,'2) Tracker'!$A$3:$R$505,18,FALSE)</f>
        <v>Altagas 09-10 Apr RIPET</v>
      </c>
      <c r="AB207" s="600">
        <f>VLOOKUP(F207,'2) Tracker'!$A$3:$Q$505,17,FALSE)</f>
        <v>0</v>
      </c>
      <c r="AC207" s="601"/>
      <c r="AD207" s="601">
        <f>VLOOKUP(F207,'2) Tracker'!$A$2:$BO$981,37,FALSE)</f>
        <v>46174</v>
      </c>
      <c r="AE207" s="601">
        <f>VLOOKUP(F207,'2) Tracker'!$A$2:$BO$981,40,FALSE)</f>
        <v>46186</v>
      </c>
      <c r="AF207" s="601" t="str">
        <f>VLOOKUP(F207,'2) Tracker'!$A$2:$BO$981,67,FALSE)</f>
        <v/>
      </c>
      <c r="AG207" s="601">
        <f>VLOOKUP(F207,'2) Tracker'!$A$2:$BO$981,34,FALSE)</f>
        <v>46159</v>
      </c>
      <c r="AH207" s="601" t="str">
        <f>VLOOKUP(F207,'2) Tracker'!$A$2:$BN$981,66,FALSE)</f>
        <v/>
      </c>
      <c r="AI207" s="601">
        <f>VLOOKUP(F207,'2) Tracker'!$A$2:$BO$981,56,FALSE)</f>
        <v>46149</v>
      </c>
      <c r="AJ207" s="601">
        <f>VLOOKUP(F207,'2) Tracker'!$A$2:$BO$981,52,FALSE)</f>
        <v>46149.25</v>
      </c>
      <c r="AK207" s="601">
        <f>VLOOKUP(F207,'2) Tracker'!$A$2:$AQ$981,43,FALSE)</f>
        <v>46170</v>
      </c>
      <c r="AL207" s="601">
        <f>VLOOKUP(F207,'2) Tracker'!$A$2:$BH$981,46,FALSE())</f>
        <v>46177</v>
      </c>
      <c r="AM207" s="601">
        <f>VLOOKUP(F207,'2) Tracker'!$A$2:$BO$981,65,FALSE())</f>
        <v>46161</v>
      </c>
      <c r="AN207" s="601">
        <f>VLOOKUP(F207,'2) Tracker'!$A$2:$BK$981,63,FALSE())</f>
        <v>46186</v>
      </c>
      <c r="AO207" s="601">
        <f>VLOOKUP(F207,'2) Tracker'!$A$2:$BF$981,58,FALSE())</f>
        <v>46155</v>
      </c>
      <c r="AP207" s="46"/>
      <c r="AQ207" s="46"/>
      <c r="AR207" s="46"/>
      <c r="AS207" s="46"/>
      <c r="AT207" s="46"/>
      <c r="AU207" s="46"/>
      <c r="AV207" s="46"/>
      <c r="AW207" s="46"/>
      <c r="AX207" s="46"/>
      <c r="AY207" s="46"/>
      <c r="AZ207" s="605"/>
      <c r="BA207" s="604" t="e">
        <f>VLOOKUP(AZ207,#REF!,2, FALSE)</f>
        <v>#REF!</v>
      </c>
      <c r="BB207" s="605" t="e">
        <f>VLOOKUP(AZ207,'1) Kpler'!$E$2:$F$500,2,FALSE)</f>
        <v>#N/A</v>
      </c>
      <c r="BC207" s="604"/>
      <c r="BD207" s="605"/>
      <c r="BE207" s="46"/>
      <c r="BF207" s="46"/>
      <c r="BG207" s="605"/>
      <c r="BH207" s="605"/>
      <c r="BI207" s="605"/>
      <c r="BJ207" s="605"/>
    </row>
    <row r="208" spans="2:62" x14ac:dyDescent="0.25">
      <c r="B208" s="589">
        <f>VLOOKUP(F208,'2) Tracker'!$A$3:$O$411,5,FALSE)</f>
        <v>0</v>
      </c>
      <c r="C208" s="589">
        <f>VLOOKUP(F208,'2) Tracker'!$A$3:$O$411,4,FALSE)</f>
        <v>0</v>
      </c>
      <c r="D208" s="563"/>
      <c r="E208" s="563">
        <f>VLOOKUP(F208,'2) Tracker'!$A$3:$O$407,15,FALSE)</f>
        <v>0</v>
      </c>
      <c r="F208" s="604" t="s">
        <v>506</v>
      </c>
      <c r="G208" s="607">
        <f>VLOOKUP(F208,'2) Tracker'!$A$2:$BO$361,2,FALSE)</f>
        <v>42249</v>
      </c>
      <c r="H208" s="592">
        <f>VLOOKUP(F208,'2) Tracker'!$A$2:$BO$361,3,FALSE)</f>
        <v>84000</v>
      </c>
      <c r="I208" s="594" t="str">
        <f>VLOOKUP(F208,'2) Tracker'!$A$2:$BO$361,9,FALSE)</f>
        <v>Shell</v>
      </c>
      <c r="J208" s="594" t="str">
        <f>VLOOKUP(F208,'2) Tracker'!$A$2:$BO$361,12,FALSE)</f>
        <v>North China</v>
      </c>
      <c r="K208" s="596">
        <f t="shared" si="305"/>
        <v>46176</v>
      </c>
      <c r="L208" s="596">
        <f t="shared" ref="L208:O208" si="356">AE208</f>
        <v>46186</v>
      </c>
      <c r="M208" s="596" t="str">
        <f t="shared" si="356"/>
        <v/>
      </c>
      <c r="N208" s="596">
        <f t="shared" si="356"/>
        <v>46162</v>
      </c>
      <c r="O208" s="597" t="str">
        <f t="shared" si="356"/>
        <v/>
      </c>
      <c r="P208" s="598" t="str">
        <f>IFERROR(IF(VLOOKUP(F208,'Voyage days'!$M$808:$N$819,2,FALSE),"GOA",""),"")</f>
        <v/>
      </c>
      <c r="Q208" s="596">
        <f t="shared" si="287"/>
        <v>46165</v>
      </c>
      <c r="R208" s="595">
        <f t="shared" si="289"/>
        <v>46190</v>
      </c>
      <c r="S208" s="595">
        <f t="shared" si="2"/>
        <v>46179</v>
      </c>
      <c r="T208" s="596">
        <f t="shared" si="3"/>
        <v>46173</v>
      </c>
      <c r="U208" s="595">
        <f t="shared" si="290"/>
        <v>46153</v>
      </c>
      <c r="V208" s="596"/>
      <c r="W208" s="596">
        <f t="shared" si="291"/>
        <v>46153</v>
      </c>
      <c r="X208" s="599">
        <f t="shared" si="6"/>
        <v>46157</v>
      </c>
      <c r="Y208" s="594"/>
      <c r="Z208" s="600" t="str">
        <f>VLOOKUP(F208,'2) Tracker'!$A$3:$Q$505,16,FALSE)</f>
        <v>ETA North China 29 Apr</v>
      </c>
      <c r="AA208" s="600" t="str">
        <f>VLOOKUP(F208,'2) Tracker'!$A$3:$R$505,18,FALSE)</f>
        <v>Shell 14-15 Apr Prelude</v>
      </c>
      <c r="AB208" s="600">
        <f>VLOOKUP(F208,'2) Tracker'!$A$3:$Q$505,17,FALSE)</f>
        <v>0</v>
      </c>
      <c r="AC208" s="601"/>
      <c r="AD208" s="601">
        <f>VLOOKUP(F208,'2) Tracker'!$A$2:$BO$981,37,FALSE)</f>
        <v>46176</v>
      </c>
      <c r="AE208" s="601">
        <f>VLOOKUP(F208,'2) Tracker'!$A$2:$BO$981,40,FALSE)</f>
        <v>46186</v>
      </c>
      <c r="AF208" s="601" t="str">
        <f>VLOOKUP(F208,'2) Tracker'!$A$2:$BO$981,67,FALSE)</f>
        <v/>
      </c>
      <c r="AG208" s="601">
        <f>VLOOKUP(F208,'2) Tracker'!$A$2:$BO$981,34,FALSE)</f>
        <v>46162</v>
      </c>
      <c r="AH208" s="601" t="str">
        <f>VLOOKUP(F208,'2) Tracker'!$A$2:$BN$981,66,FALSE)</f>
        <v/>
      </c>
      <c r="AI208" s="601">
        <f>VLOOKUP(F208,'2) Tracker'!$A$2:$BO$981,56,FALSE)</f>
        <v>46153</v>
      </c>
      <c r="AJ208" s="601">
        <f>VLOOKUP(F208,'2) Tracker'!$A$2:$BO$981,52,FALSE)</f>
        <v>46153</v>
      </c>
      <c r="AK208" s="601">
        <f>VLOOKUP(F208,'2) Tracker'!$A$2:$AQ$981,43,FALSE)</f>
        <v>46173</v>
      </c>
      <c r="AL208" s="601">
        <f>VLOOKUP(F208,'2) Tracker'!$A$2:$BH$981,46,FALSE())</f>
        <v>46179</v>
      </c>
      <c r="AM208" s="601">
        <f>VLOOKUP(F208,'2) Tracker'!$A$2:$BO$981,65,FALSE())</f>
        <v>46165</v>
      </c>
      <c r="AN208" s="601">
        <f>VLOOKUP(F208,'2) Tracker'!$A$2:$BK$981,63,FALSE())</f>
        <v>46190</v>
      </c>
      <c r="AO208" s="601">
        <f>VLOOKUP(F208,'2) Tracker'!$A$2:$BF$981,58,FALSE())</f>
        <v>46157</v>
      </c>
      <c r="AP208" s="46"/>
      <c r="AQ208" s="46"/>
      <c r="AR208" s="46"/>
      <c r="AS208" s="46"/>
      <c r="AT208" s="46"/>
      <c r="AU208" s="46"/>
      <c r="AV208" s="46"/>
      <c r="AW208" s="46"/>
      <c r="AX208" s="46"/>
      <c r="AY208" s="46"/>
      <c r="AZ208" s="605"/>
      <c r="BA208" s="604" t="e">
        <f>VLOOKUP(AZ208,#REF!,2, FALSE)</f>
        <v>#REF!</v>
      </c>
      <c r="BB208" s="605" t="e">
        <f>VLOOKUP(AZ208,'1) Kpler'!$E$2:$F$500,2,FALSE)</f>
        <v>#N/A</v>
      </c>
      <c r="BC208" s="604"/>
      <c r="BD208" s="605"/>
      <c r="BE208" s="46"/>
      <c r="BF208" s="46"/>
      <c r="BG208" s="605"/>
      <c r="BH208" s="605"/>
      <c r="BI208" s="605"/>
      <c r="BJ208" s="605"/>
    </row>
    <row r="209" spans="2:62" x14ac:dyDescent="0.25">
      <c r="B209" s="589">
        <f>VLOOKUP(F209,'2) Tracker'!$A$3:$O$411,5,FALSE)</f>
        <v>0</v>
      </c>
      <c r="C209" s="589">
        <f>VLOOKUP(F209,'2) Tracker'!$A$3:$O$411,4,FALSE)</f>
        <v>0</v>
      </c>
      <c r="D209" s="563"/>
      <c r="E209" s="563">
        <f>VLOOKUP(F209,'2) Tracker'!$A$3:$O$407,15,FALSE)</f>
        <v>0</v>
      </c>
      <c r="F209" s="604" t="s">
        <v>341</v>
      </c>
      <c r="G209" s="607">
        <f>VLOOKUP(F209,'2) Tracker'!$A$2:$BO$361,2,FALSE)</f>
        <v>43009</v>
      </c>
      <c r="H209" s="592">
        <f>VLOOKUP(F209,'2) Tracker'!$A$2:$BO$361,3,FALSE)</f>
        <v>84000</v>
      </c>
      <c r="I209" s="594" t="str">
        <f>VLOOKUP(F209,'2) Tracker'!$A$2:$BO$361,9,FALSE)</f>
        <v>SK Gas</v>
      </c>
      <c r="J209" s="594" t="str">
        <f>VLOOKUP(F209,'2) Tracker'!$A$2:$BO$361,12,FALSE)</f>
        <v>Singapore laden</v>
      </c>
      <c r="K209" s="596">
        <f t="shared" si="305"/>
        <v>46176</v>
      </c>
      <c r="L209" s="596">
        <f t="shared" ref="L209:O209" si="357">AE209</f>
        <v>46177</v>
      </c>
      <c r="M209" s="596" t="str">
        <f t="shared" si="357"/>
        <v/>
      </c>
      <c r="N209" s="596">
        <f t="shared" si="357"/>
        <v>46153</v>
      </c>
      <c r="O209" s="597" t="str">
        <f t="shared" si="357"/>
        <v/>
      </c>
      <c r="P209" s="598" t="str">
        <f>IFERROR(IF(VLOOKUP(F209,'Voyage days'!$M$808:$N$819,2,FALSE),"GOA",""),"")</f>
        <v/>
      </c>
      <c r="Q209" s="596">
        <f t="shared" si="287"/>
        <v>46158</v>
      </c>
      <c r="R209" s="596">
        <f t="shared" si="289"/>
        <v>46181</v>
      </c>
      <c r="S209" s="595">
        <f t="shared" si="2"/>
        <v>46171</v>
      </c>
      <c r="T209" s="596">
        <f t="shared" si="3"/>
        <v>46163</v>
      </c>
      <c r="U209" s="596">
        <f t="shared" si="290"/>
        <v>46146</v>
      </c>
      <c r="V209" s="596"/>
      <c r="W209" s="596">
        <f t="shared" si="291"/>
        <v>46148</v>
      </c>
      <c r="X209" s="599" t="str">
        <f t="shared" si="6"/>
        <v/>
      </c>
      <c r="Y209" s="594"/>
      <c r="Z209" s="600" t="str">
        <f>VLOOKUP(F209,'2) Tracker'!$A$3:$Q$505,16,FALSE)</f>
        <v>ETA Singapore 26 Apr, pending disport</v>
      </c>
      <c r="AA209" s="600" t="str">
        <f>VLOOKUP(F209,'2) Tracker'!$A$3:$R$505,18,FALSE)</f>
        <v>Exxon 12-13 Mar Targa</v>
      </c>
      <c r="AB209" s="600">
        <f>VLOOKUP(F209,'2) Tracker'!$A$3:$Q$505,17,FALSE)</f>
        <v>0</v>
      </c>
      <c r="AC209" s="601"/>
      <c r="AD209" s="601">
        <f>VLOOKUP(F209,'2) Tracker'!$A$2:$BO$981,37,FALSE)</f>
        <v>46176</v>
      </c>
      <c r="AE209" s="601">
        <f>VLOOKUP(F209,'2) Tracker'!$A$2:$BO$981,40,FALSE)</f>
        <v>46177</v>
      </c>
      <c r="AF209" s="601" t="str">
        <f>VLOOKUP(F209,'2) Tracker'!$A$2:$BO$981,67,FALSE)</f>
        <v/>
      </c>
      <c r="AG209" s="601">
        <f>VLOOKUP(F209,'2) Tracker'!$A$2:$BO$981,34,FALSE)</f>
        <v>46153</v>
      </c>
      <c r="AH209" s="601" t="str">
        <f>VLOOKUP(F209,'2) Tracker'!$A$2:$BN$981,66,FALSE)</f>
        <v/>
      </c>
      <c r="AI209" s="601">
        <f>VLOOKUP(F209,'2) Tracker'!$A$2:$BO$981,56,FALSE)</f>
        <v>46146</v>
      </c>
      <c r="AJ209" s="601">
        <f>VLOOKUP(F209,'2) Tracker'!$A$2:$BO$981,52,FALSE)</f>
        <v>46148</v>
      </c>
      <c r="AK209" s="601">
        <f>VLOOKUP(F209,'2) Tracker'!$A$2:$AQ$981,43,FALSE)</f>
        <v>46163</v>
      </c>
      <c r="AL209" s="601">
        <f>VLOOKUP(F209,'2) Tracker'!$A$2:$BH$981,46,FALSE())</f>
        <v>46171</v>
      </c>
      <c r="AM209" s="601">
        <f>VLOOKUP(F209,'2) Tracker'!$A$2:$BO$981,65,FALSE())</f>
        <v>46158</v>
      </c>
      <c r="AN209" s="601">
        <f>VLOOKUP(F209,'2) Tracker'!$A$2:$BK$981,63,FALSE())</f>
        <v>46181</v>
      </c>
      <c r="AO209" s="601" t="str">
        <f>VLOOKUP(F209,'2) Tracker'!$A$2:$BF$981,58,FALSE())</f>
        <v/>
      </c>
      <c r="AP209" s="46"/>
      <c r="AQ209" s="46"/>
      <c r="AR209" s="46"/>
      <c r="AS209" s="46"/>
      <c r="AT209" s="46"/>
      <c r="AU209" s="46"/>
      <c r="AV209" s="46"/>
      <c r="AW209" s="46"/>
      <c r="AX209" s="46"/>
      <c r="AY209" s="46"/>
      <c r="AZ209" s="563"/>
      <c r="BA209" s="569"/>
      <c r="BB209" s="563"/>
      <c r="BC209" s="569"/>
      <c r="BD209" s="563"/>
      <c r="BE209" s="46"/>
      <c r="BF209" s="46"/>
      <c r="BG209" s="563"/>
      <c r="BH209" s="563"/>
      <c r="BI209" s="563"/>
      <c r="BJ209" s="563"/>
    </row>
    <row r="210" spans="2:62" x14ac:dyDescent="0.25">
      <c r="B210" s="589">
        <f>VLOOKUP(F210,'2) Tracker'!$A$3:$O$411,5,FALSE)</f>
        <v>0</v>
      </c>
      <c r="C210" s="589" t="str">
        <f>VLOOKUP(F210,'2) Tracker'!$A$3:$O$411,4,FALSE)</f>
        <v>US</v>
      </c>
      <c r="D210" s="563"/>
      <c r="E210" s="563">
        <f>VLOOKUP(F210,'2) Tracker'!$A$3:$O$407,15,FALSE)</f>
        <v>0</v>
      </c>
      <c r="F210" s="604" t="s">
        <v>199</v>
      </c>
      <c r="G210" s="607">
        <f>VLOOKUP(F210,'2) Tracker'!$A$2:$BO$361,2,FALSE)</f>
        <v>42208</v>
      </c>
      <c r="H210" s="592">
        <f>VLOOKUP(F210,'2) Tracker'!$A$2:$BO$361,3,FALSE)</f>
        <v>84000</v>
      </c>
      <c r="I210" s="594" t="str">
        <f>VLOOKUP(F210,'2) Tracker'!$A$2:$BO$361,9,FALSE)</f>
        <v>Helios</v>
      </c>
      <c r="J210" s="594" t="str">
        <f>VLOOKUP(F210,'2) Tracker'!$A$2:$BO$361,12,FALSE)</f>
        <v>Japan</v>
      </c>
      <c r="K210" s="596">
        <f t="shared" si="305"/>
        <v>46176</v>
      </c>
      <c r="L210" s="596">
        <f t="shared" ref="L210:O210" si="358">AE210</f>
        <v>46187</v>
      </c>
      <c r="M210" s="596" t="str">
        <f t="shared" si="358"/>
        <v/>
      </c>
      <c r="N210" s="596">
        <f t="shared" si="358"/>
        <v>46163</v>
      </c>
      <c r="O210" s="597" t="str">
        <f t="shared" si="358"/>
        <v/>
      </c>
      <c r="P210" s="598" t="str">
        <f>IFERROR(IF(VLOOKUP(F210,'Voyage days'!$M$808:$N$819,2,FALSE),"GOA",""),"")</f>
        <v/>
      </c>
      <c r="Q210" s="596">
        <f t="shared" si="287"/>
        <v>46166</v>
      </c>
      <c r="R210" s="596">
        <f t="shared" si="289"/>
        <v>46191</v>
      </c>
      <c r="S210" s="595">
        <f t="shared" si="2"/>
        <v>46181</v>
      </c>
      <c r="T210" s="596">
        <f t="shared" si="3"/>
        <v>46175</v>
      </c>
      <c r="U210" s="596">
        <f t="shared" si="290"/>
        <v>46154</v>
      </c>
      <c r="V210" s="616"/>
      <c r="W210" s="616">
        <f t="shared" si="291"/>
        <v>46153.25</v>
      </c>
      <c r="X210" s="599">
        <f t="shared" si="6"/>
        <v>46156</v>
      </c>
      <c r="Z210" s="600" t="str">
        <f>VLOOKUP(F210,'2) Tracker'!$A$3:$Q$505,16,FALSE)</f>
        <v>ETA 1st port Chiba 28 Apr</v>
      </c>
      <c r="AA210" s="600" t="str">
        <f>VLOOKUP(F210,'2) Tracker'!$A$3:$R$505,18,FALSE)</f>
        <v>Equinor 18-19 Mar Enterprise</v>
      </c>
      <c r="AB210" s="600">
        <f>VLOOKUP(F210,'2) Tracker'!$A$3:$Q$505,17,FALSE)</f>
        <v>0</v>
      </c>
      <c r="AC210" s="601"/>
      <c r="AD210" s="601">
        <f>VLOOKUP(F210,'2) Tracker'!$A$2:$BO$981,37,FALSE)</f>
        <v>46176</v>
      </c>
      <c r="AE210" s="601">
        <f>VLOOKUP(F210,'2) Tracker'!$A$2:$BO$981,40,FALSE)</f>
        <v>46187</v>
      </c>
      <c r="AF210" s="601" t="str">
        <f>VLOOKUP(F210,'2) Tracker'!$A$2:$BO$981,67,FALSE)</f>
        <v/>
      </c>
      <c r="AG210" s="601">
        <f>VLOOKUP(F210,'2) Tracker'!$A$2:$BO$981,34,FALSE)</f>
        <v>46163</v>
      </c>
      <c r="AH210" s="601" t="str">
        <f>VLOOKUP(F210,'2) Tracker'!$A$2:$BN$981,66,FALSE)</f>
        <v/>
      </c>
      <c r="AI210" s="601">
        <f>VLOOKUP(F210,'2) Tracker'!$A$2:$BO$981,56,FALSE)</f>
        <v>46154</v>
      </c>
      <c r="AJ210" s="601">
        <f>VLOOKUP(F210,'2) Tracker'!$A$2:$BO$981,52,FALSE)</f>
        <v>46153.25</v>
      </c>
      <c r="AK210" s="601">
        <f>VLOOKUP(F210,'2) Tracker'!$A$2:$AQ$981,43,FALSE)</f>
        <v>46175</v>
      </c>
      <c r="AL210" s="601">
        <f>VLOOKUP(F210,'2) Tracker'!$A$2:$BH$981,46,FALSE())</f>
        <v>46181</v>
      </c>
      <c r="AM210" s="601">
        <f>VLOOKUP(F210,'2) Tracker'!$A$2:$BO$981,65,FALSE())</f>
        <v>46166</v>
      </c>
      <c r="AN210" s="601">
        <f>VLOOKUP(F210,'2) Tracker'!$A$2:$BK$981,63,FALSE())</f>
        <v>46191</v>
      </c>
      <c r="AO210" s="601">
        <f>VLOOKUP(F210,'2) Tracker'!$A$2:$BF$981,58,FALSE())</f>
        <v>46156</v>
      </c>
      <c r="AP210" s="46"/>
      <c r="AQ210" s="46"/>
      <c r="AR210" s="46"/>
      <c r="AS210" s="46" t="s">
        <v>1629</v>
      </c>
      <c r="AT210" s="46"/>
      <c r="AU210" s="46"/>
      <c r="AV210" s="46"/>
      <c r="AW210" s="46"/>
      <c r="AX210" s="46"/>
      <c r="AY210" s="46"/>
      <c r="AZ210" s="605"/>
      <c r="BA210" s="604" t="e">
        <f>VLOOKUP(AZ210,#REF!,2, FALSE)</f>
        <v>#REF!</v>
      </c>
      <c r="BB210" s="605" t="e">
        <f>VLOOKUP(AZ210,'1) Kpler'!$E$2:$F$500,2,FALSE)</f>
        <v>#N/A</v>
      </c>
      <c r="BC210" s="604"/>
      <c r="BD210" s="605"/>
      <c r="BE210" s="46"/>
      <c r="BF210" s="46"/>
      <c r="BG210" s="605"/>
      <c r="BH210" s="605"/>
      <c r="BI210" s="605"/>
      <c r="BJ210" s="605"/>
    </row>
    <row r="211" spans="2:62" x14ac:dyDescent="0.25">
      <c r="B211" s="589">
        <f>VLOOKUP(F211,'2) Tracker'!$A$3:$O$411,5,FALSE)</f>
        <v>0</v>
      </c>
      <c r="C211" s="589" t="str">
        <f>VLOOKUP(F211,'2) Tracker'!$A$3:$O$411,4,FALSE)</f>
        <v>US</v>
      </c>
      <c r="D211" s="563"/>
      <c r="E211" s="563">
        <f>VLOOKUP(F211,'2) Tracker'!$A$3:$O$407,15,FALSE)</f>
        <v>0</v>
      </c>
      <c r="F211" s="604" t="s">
        <v>193</v>
      </c>
      <c r="G211" s="607">
        <f>VLOOKUP(F211,'2) Tracker'!$A$2:$BO$361,2,FALSE)</f>
        <v>42248</v>
      </c>
      <c r="H211" s="592">
        <f>VLOOKUP(F211,'2) Tracker'!$A$2:$BO$361,3,FALSE)</f>
        <v>84000</v>
      </c>
      <c r="I211" s="594" t="str">
        <f>VLOOKUP(F211,'2) Tracker'!$A$2:$BO$361,9,FALSE)</f>
        <v>Satellite</v>
      </c>
      <c r="J211" s="594" t="str">
        <f>VLOOKUP(F211,'2) Tracker'!$A$2:$BO$361,12,FALSE)</f>
        <v>Japan</v>
      </c>
      <c r="K211" s="595">
        <f t="shared" si="305"/>
        <v>46176</v>
      </c>
      <c r="L211" s="595">
        <f t="shared" ref="L211:O211" si="359">AE211</f>
        <v>46187</v>
      </c>
      <c r="M211" s="596" t="str">
        <f t="shared" si="359"/>
        <v/>
      </c>
      <c r="N211" s="596">
        <f t="shared" si="359"/>
        <v>46163</v>
      </c>
      <c r="O211" s="597" t="str">
        <f t="shared" si="359"/>
        <v/>
      </c>
      <c r="P211" s="598" t="str">
        <f>IFERROR(IF(VLOOKUP(F211,'Voyage days'!$M$808:$N$819,2,FALSE),"GOA",""),"")</f>
        <v/>
      </c>
      <c r="Q211" s="596">
        <f t="shared" si="287"/>
        <v>46167</v>
      </c>
      <c r="R211" s="595">
        <f t="shared" si="289"/>
        <v>46191</v>
      </c>
      <c r="S211" s="595">
        <f t="shared" si="2"/>
        <v>46181</v>
      </c>
      <c r="T211" s="596">
        <f t="shared" si="3"/>
        <v>46175</v>
      </c>
      <c r="U211" s="595">
        <f t="shared" si="290"/>
        <v>46155</v>
      </c>
      <c r="V211" s="570" t="s">
        <v>1577</v>
      </c>
      <c r="W211" s="596">
        <f t="shared" si="291"/>
        <v>46153.25</v>
      </c>
      <c r="X211" s="599">
        <f t="shared" si="6"/>
        <v>46156</v>
      </c>
      <c r="Y211" s="614"/>
      <c r="Z211" s="600" t="str">
        <f>VLOOKUP(F211,'2) Tracker'!$A$3:$Q$505,16,FALSE)</f>
        <v>ETA 1st port Chiba 27 Apr</v>
      </c>
      <c r="AA211" s="600" t="str">
        <f>VLOOKUP(F211,'2) Tracker'!$A$3:$R$505,18,FALSE)</f>
        <v>Exxon 24-25 Mar Nederland</v>
      </c>
      <c r="AB211" s="600"/>
      <c r="AC211" s="601"/>
      <c r="AD211" s="601">
        <f>VLOOKUP(F211,'2) Tracker'!$A$2:$BO$981,37,FALSE)</f>
        <v>46176</v>
      </c>
      <c r="AE211" s="601">
        <f>VLOOKUP(F211,'2) Tracker'!$A$2:$BO$981,40,FALSE)</f>
        <v>46187</v>
      </c>
      <c r="AF211" s="601" t="str">
        <f>VLOOKUP(F211,'2) Tracker'!$A$2:$BO$981,67,FALSE)</f>
        <v/>
      </c>
      <c r="AG211" s="601">
        <f>VLOOKUP(F211,'2) Tracker'!$A$2:$BO$981,34,FALSE)</f>
        <v>46163</v>
      </c>
      <c r="AH211" s="601" t="str">
        <f>VLOOKUP(F211,'2) Tracker'!$A$2:$BN$981,66,FALSE)</f>
        <v/>
      </c>
      <c r="AI211" s="601">
        <f>VLOOKUP(F211,'2) Tracker'!$A$2:$BO$981,56,FALSE)</f>
        <v>46155</v>
      </c>
      <c r="AJ211" s="601">
        <f>VLOOKUP(F211,'2) Tracker'!$A$2:$BO$981,52,FALSE)</f>
        <v>46153.25</v>
      </c>
      <c r="AK211" s="601">
        <f>VLOOKUP(F211,'2) Tracker'!$A$2:$AQ$981,43,FALSE)</f>
        <v>46175</v>
      </c>
      <c r="AL211" s="601">
        <f>VLOOKUP(F211,'2) Tracker'!$A$2:$BH$981,46,FALSE())</f>
        <v>46181</v>
      </c>
      <c r="AM211" s="601">
        <f>VLOOKUP(F211,'2) Tracker'!$A$2:$BO$981,65,FALSE())</f>
        <v>46167</v>
      </c>
      <c r="AN211" s="601">
        <f>VLOOKUP(F211,'2) Tracker'!$A$2:$BK$981,63,FALSE())</f>
        <v>46191</v>
      </c>
      <c r="AO211" s="601">
        <f>VLOOKUP(F211,'2) Tracker'!$A$2:$BF$981,58,FALSE())</f>
        <v>46156</v>
      </c>
      <c r="AP211" s="46"/>
      <c r="AQ211" s="46"/>
      <c r="AR211" s="46"/>
      <c r="AS211" s="46"/>
      <c r="AT211" s="46" t="s">
        <v>1630</v>
      </c>
      <c r="AU211" s="46"/>
      <c r="AV211" s="46"/>
      <c r="AW211" s="46"/>
      <c r="AX211" s="46"/>
      <c r="AY211" s="46"/>
      <c r="AZ211" s="605"/>
      <c r="BA211" s="604" t="e">
        <f>VLOOKUP(AZ211,#REF!,2, FALSE)</f>
        <v>#REF!</v>
      </c>
      <c r="BB211" s="605" t="e">
        <f>VLOOKUP(AZ211,'1) Kpler'!$E$2:$F$500,2,FALSE)</f>
        <v>#N/A</v>
      </c>
      <c r="BC211" s="604"/>
      <c r="BD211" s="605"/>
      <c r="BE211" s="46"/>
      <c r="BF211" s="46"/>
      <c r="BG211" s="605"/>
      <c r="BH211" s="605"/>
      <c r="BI211" s="605"/>
      <c r="BJ211" s="605"/>
    </row>
    <row r="212" spans="2:62" x14ac:dyDescent="0.25">
      <c r="B212" s="589" t="str">
        <f>VLOOKUP(F212,'2) Tracker'!$A$3:$O$411,5,FALSE)</f>
        <v>C</v>
      </c>
      <c r="C212" s="589">
        <f>VLOOKUP(F212,'2) Tracker'!$A$3:$O$411,4,FALSE)</f>
        <v>0</v>
      </c>
      <c r="D212" s="563"/>
      <c r="E212" s="563" t="str">
        <f>VLOOKUP(F212,'2) Tracker'!$A$3:$O$407,15,FALSE)</f>
        <v>R</v>
      </c>
      <c r="F212" s="561" t="s">
        <v>166</v>
      </c>
      <c r="G212" s="607">
        <f>VLOOKUP(F212,'2) Tracker'!$A$2:$BO$361,2,FALSE)</f>
        <v>42377</v>
      </c>
      <c r="H212" s="592">
        <f>VLOOKUP(F212,'2) Tracker'!$A$2:$BO$361,3,FALSE)</f>
        <v>83000</v>
      </c>
      <c r="I212" s="594" t="str">
        <f>VLOOKUP(F212,'2) Tracker'!$A$2:$BO$361,9,FALSE)</f>
        <v>Sinochem Intl</v>
      </c>
      <c r="J212" s="594" t="str">
        <f>VLOOKUP(F212,'2) Tracker'!$A$2:$BO$361,12,FALSE)</f>
        <v>Japan</v>
      </c>
      <c r="K212" s="596">
        <f t="shared" si="305"/>
        <v>46176</v>
      </c>
      <c r="L212" s="595">
        <f t="shared" ref="L212:O212" si="360">AE212</f>
        <v>46187</v>
      </c>
      <c r="M212" s="596" t="str">
        <f t="shared" si="360"/>
        <v/>
      </c>
      <c r="N212" s="596">
        <f t="shared" si="360"/>
        <v>46163</v>
      </c>
      <c r="O212" s="597" t="str">
        <f t="shared" si="360"/>
        <v/>
      </c>
      <c r="P212" s="598" t="str">
        <f>IFERROR(IF(VLOOKUP(F212,'Voyage days'!$M$808:$N$819,2,FALSE),"GOA",""),"")</f>
        <v/>
      </c>
      <c r="Q212" s="596">
        <f t="shared" si="287"/>
        <v>46167</v>
      </c>
      <c r="R212" s="595">
        <f t="shared" si="289"/>
        <v>46191</v>
      </c>
      <c r="S212" s="595">
        <f t="shared" si="2"/>
        <v>46181</v>
      </c>
      <c r="T212" s="596">
        <f t="shared" si="3"/>
        <v>46175</v>
      </c>
      <c r="U212" s="595">
        <f t="shared" si="290"/>
        <v>46155</v>
      </c>
      <c r="V212" s="596"/>
      <c r="W212" s="596">
        <f t="shared" si="291"/>
        <v>46153.25</v>
      </c>
      <c r="X212" s="599">
        <f t="shared" si="6"/>
        <v>46156</v>
      </c>
      <c r="Y212" s="614" t="s">
        <v>1628</v>
      </c>
      <c r="Z212" s="600" t="str">
        <f>VLOOKUP(F212,'2) Tracker'!$A$3:$Q$505,16,FALSE)</f>
        <v>Kpler WRONG</v>
      </c>
      <c r="AA212" s="600" t="str">
        <f>VLOOKUP(F212,'2) Tracker'!$A$3:$R$505,18,FALSE)</f>
        <v>Gyxis 23-24 Mar Freeport</v>
      </c>
      <c r="AB212" s="600">
        <f>VLOOKUP(F212,'2) Tracker'!$A$3:$Q$505,17,FALSE)</f>
        <v>0</v>
      </c>
      <c r="AC212" s="601"/>
      <c r="AD212" s="601">
        <f>VLOOKUP(F212,'2) Tracker'!$A$2:$BO$981,37,FALSE)</f>
        <v>46176</v>
      </c>
      <c r="AE212" s="601">
        <f>VLOOKUP(F212,'2) Tracker'!$A$2:$BO$981,40,FALSE)</f>
        <v>46187</v>
      </c>
      <c r="AF212" s="601" t="str">
        <f>VLOOKUP(F212,'2) Tracker'!$A$2:$BO$981,67,FALSE)</f>
        <v/>
      </c>
      <c r="AG212" s="601">
        <f>VLOOKUP(F212,'2) Tracker'!$A$2:$BO$981,34,FALSE)</f>
        <v>46163</v>
      </c>
      <c r="AH212" s="601" t="str">
        <f>VLOOKUP(F212,'2) Tracker'!$A$2:$BN$981,66,FALSE)</f>
        <v/>
      </c>
      <c r="AI212" s="601">
        <f>VLOOKUP(F212,'2) Tracker'!$A$2:$BO$981,56,FALSE)</f>
        <v>46155</v>
      </c>
      <c r="AJ212" s="601">
        <f>VLOOKUP(F212,'2) Tracker'!$A$2:$BO$981,52,FALSE)</f>
        <v>46153.25</v>
      </c>
      <c r="AK212" s="601">
        <f>VLOOKUP(F212,'2) Tracker'!$A$2:$AQ$981,43,FALSE)</f>
        <v>46175</v>
      </c>
      <c r="AL212" s="601">
        <f>VLOOKUP(F212,'2) Tracker'!$A$2:$BH$981,46,FALSE())</f>
        <v>46181</v>
      </c>
      <c r="AM212" s="601">
        <f>VLOOKUP(F212,'2) Tracker'!$A$2:$BO$981,65,FALSE())</f>
        <v>46167</v>
      </c>
      <c r="AN212" s="601">
        <f>VLOOKUP(F212,'2) Tracker'!$A$2:$BK$981,63,FALSE())</f>
        <v>46191</v>
      </c>
      <c r="AO212" s="601">
        <f>VLOOKUP(F212,'2) Tracker'!$A$2:$BF$981,58,FALSE())</f>
        <v>46156</v>
      </c>
      <c r="AP212" s="46"/>
      <c r="AQ212" s="46"/>
      <c r="AR212" s="46"/>
      <c r="AS212" s="46"/>
      <c r="AT212" s="46"/>
      <c r="AU212" s="46"/>
      <c r="AV212" s="46"/>
      <c r="AW212" s="46"/>
      <c r="AX212" s="46"/>
      <c r="AY212" s="46"/>
      <c r="AZ212" s="563"/>
      <c r="BA212" s="604" t="e">
        <f>VLOOKUP(AZ212,#REF!,2, FALSE)</f>
        <v>#REF!</v>
      </c>
      <c r="BB212" s="605" t="e">
        <f>VLOOKUP(AZ212,'1) Kpler'!$E$2:$F$500,2,FALSE)</f>
        <v>#N/A</v>
      </c>
      <c r="BC212" s="569"/>
      <c r="BD212" s="563"/>
      <c r="BE212" s="46"/>
      <c r="BF212" s="46"/>
      <c r="BG212" s="563"/>
      <c r="BH212" s="563"/>
      <c r="BI212" s="563"/>
      <c r="BJ212" s="563"/>
    </row>
    <row r="213" spans="2:62" x14ac:dyDescent="0.25">
      <c r="B213" s="589">
        <f>VLOOKUP(F213,'2) Tracker'!$A$3:$O$411,5,FALSE)</f>
        <v>0</v>
      </c>
      <c r="C213" s="589">
        <f>VLOOKUP(F213,'2) Tracker'!$A$3:$O$411,4,FALSE)</f>
        <v>0</v>
      </c>
      <c r="D213" s="563"/>
      <c r="E213" s="563">
        <f>VLOOKUP(F213,'2) Tracker'!$A$3:$O$407,15,FALSE)</f>
        <v>0</v>
      </c>
      <c r="F213" s="608" t="s">
        <v>816</v>
      </c>
      <c r="G213" s="591">
        <f>VLOOKUP(F213,'2) Tracker'!$A$2:$BO$361,2,FALSE)</f>
        <v>2020</v>
      </c>
      <c r="H213" s="592">
        <f>VLOOKUP(F213,'2) Tracker'!$A$2:$BO$361,3,FALSE)</f>
        <v>83000</v>
      </c>
      <c r="I213" s="593" t="str">
        <f>VLOOKUP(F213,'2) Tracker'!$A$2:$BO$361,9,FALSE)</f>
        <v>BGN</v>
      </c>
      <c r="J213" s="594" t="str">
        <f>VLOOKUP(F213,'2) Tracker'!$A$2:$BO$361,12,FALSE)</f>
        <v>Indo</v>
      </c>
      <c r="K213" s="596">
        <f t="shared" si="305"/>
        <v>46177</v>
      </c>
      <c r="L213" s="596">
        <f t="shared" ref="L213:O213" si="361">AE213</f>
        <v>46176</v>
      </c>
      <c r="M213" s="596" t="str">
        <f t="shared" si="361"/>
        <v/>
      </c>
      <c r="N213" s="596">
        <f t="shared" si="361"/>
        <v>46150</v>
      </c>
      <c r="O213" s="597" t="str">
        <f t="shared" si="361"/>
        <v/>
      </c>
      <c r="P213" s="598" t="str">
        <f>IFERROR(IF(VLOOKUP(F213,'Voyage days'!$M$808:$N$819,2,FALSE),"GOA",""),"")</f>
        <v/>
      </c>
      <c r="Q213" s="596">
        <f t="shared" si="287"/>
        <v>46153</v>
      </c>
      <c r="R213" s="596">
        <f t="shared" si="289"/>
        <v>46176</v>
      </c>
      <c r="S213" s="595">
        <f t="shared" si="2"/>
        <v>46168</v>
      </c>
      <c r="T213" s="596">
        <f t="shared" si="3"/>
        <v>46159</v>
      </c>
      <c r="U213" s="596">
        <f t="shared" si="290"/>
        <v>46143</v>
      </c>
      <c r="V213" s="596"/>
      <c r="W213" s="596">
        <f t="shared" si="291"/>
        <v>46143</v>
      </c>
      <c r="X213" s="599" t="str">
        <f t="shared" si="6"/>
        <v/>
      </c>
      <c r="Y213" s="594"/>
      <c r="Z213" s="600" t="str">
        <f>VLOOKUP(F213,'2) Tracker'!$A$3:$Q$505,16,FALSE)</f>
        <v>ETA Merak 23 Apr</v>
      </c>
      <c r="AA213" s="600" t="str">
        <f>VLOOKUP(F213,'2) Tracker'!$A$3:$R$505,18,FALSE)</f>
        <v>BGN 10-11 Mar Freeport</v>
      </c>
      <c r="AB213" s="600">
        <f>VLOOKUP(F213,'2) Tracker'!$A$3:$Q$505,17,FALSE)</f>
        <v>0</v>
      </c>
      <c r="AC213" s="601"/>
      <c r="AD213" s="601">
        <f>VLOOKUP(F213,'2) Tracker'!$A$2:$BO$981,37,FALSE)</f>
        <v>46177</v>
      </c>
      <c r="AE213" s="601">
        <f>VLOOKUP(F213,'2) Tracker'!$A$2:$BO$981,40,FALSE)</f>
        <v>46176</v>
      </c>
      <c r="AF213" s="601" t="str">
        <f>VLOOKUP(F213,'2) Tracker'!$A$2:$BO$981,67,FALSE)</f>
        <v/>
      </c>
      <c r="AG213" s="601">
        <f>VLOOKUP(F213,'2) Tracker'!$A$2:$BO$981,34,FALSE)</f>
        <v>46150</v>
      </c>
      <c r="AH213" s="601" t="str">
        <f>VLOOKUP(F213,'2) Tracker'!$A$2:$BN$981,66,FALSE)</f>
        <v/>
      </c>
      <c r="AI213" s="601">
        <f>VLOOKUP(F213,'2) Tracker'!$A$2:$BO$981,56,FALSE)</f>
        <v>46143</v>
      </c>
      <c r="AJ213" s="601">
        <f>VLOOKUP(F213,'2) Tracker'!$A$2:$BO$981,52,FALSE)</f>
        <v>46143</v>
      </c>
      <c r="AK213" s="601">
        <f>VLOOKUP(F213,'2) Tracker'!$A$2:$AQ$981,43,FALSE)</f>
        <v>46159</v>
      </c>
      <c r="AL213" s="601">
        <f>VLOOKUP(F213,'2) Tracker'!$A$2:$BH$981,46,FALSE())</f>
        <v>46168</v>
      </c>
      <c r="AM213" s="601">
        <f>VLOOKUP(F213,'2) Tracker'!$A$2:$BO$981,65,FALSE())</f>
        <v>46153</v>
      </c>
      <c r="AN213" s="601">
        <f>VLOOKUP(F213,'2) Tracker'!$A$2:$BK$981,63,FALSE())</f>
        <v>46176</v>
      </c>
      <c r="AO213" s="601" t="str">
        <f>VLOOKUP(F213,'2) Tracker'!$A$2:$BF$981,58,FALSE())</f>
        <v/>
      </c>
      <c r="AP213" s="46"/>
      <c r="AQ213" s="46"/>
      <c r="AR213" s="46"/>
      <c r="AS213" s="46"/>
      <c r="AT213" s="46"/>
      <c r="AU213" s="46"/>
      <c r="AV213" s="46"/>
      <c r="AW213" s="46"/>
      <c r="AX213" s="46"/>
      <c r="AY213" s="46"/>
      <c r="AZ213" s="563"/>
      <c r="BA213" s="604" t="e">
        <f>VLOOKUP(AZ213,#REF!,2, FALSE)</f>
        <v>#REF!</v>
      </c>
      <c r="BB213" s="605" t="e">
        <f>VLOOKUP(AZ213,'1) Kpler'!$E$2:$F$500,2,FALSE)</f>
        <v>#N/A</v>
      </c>
      <c r="BC213" s="569"/>
      <c r="BD213" s="563"/>
      <c r="BE213" s="46"/>
      <c r="BF213" s="46"/>
      <c r="BG213" s="563"/>
      <c r="BH213" s="563"/>
      <c r="BI213" s="563"/>
      <c r="BJ213" s="563"/>
    </row>
    <row r="214" spans="2:62" x14ac:dyDescent="0.25">
      <c r="B214" s="589">
        <f>VLOOKUP(F214,'2) Tracker'!$A$3:$O$411,5,FALSE)</f>
        <v>0</v>
      </c>
      <c r="C214" s="589">
        <f>VLOOKUP(F214,'2) Tracker'!$A$3:$O$411,4,FALSE)</f>
        <v>0</v>
      </c>
      <c r="D214" s="563"/>
      <c r="E214" s="563">
        <f>VLOOKUP(F214,'2) Tracker'!$A$3:$O$407,15,FALSE)</f>
        <v>0</v>
      </c>
      <c r="F214" s="604" t="s">
        <v>260</v>
      </c>
      <c r="G214" s="607">
        <f>VLOOKUP(F214,'2) Tracker'!$A$2:$BO$361,2,FALSE)</f>
        <v>41353</v>
      </c>
      <c r="H214" s="592">
        <f>VLOOKUP(F214,'2) Tracker'!$A$2:$BO$361,3,FALSE)</f>
        <v>82000</v>
      </c>
      <c r="I214" s="600" t="str">
        <f>VLOOKUP(F214,'2) Tracker'!$A$2:$BO$361,9,FALSE)</f>
        <v>SK Gas</v>
      </c>
      <c r="J214" s="594" t="str">
        <f>VLOOKUP(F214,'2) Tracker'!$A$2:$BO$361,12,FALSE)</f>
        <v>Singapore laden</v>
      </c>
      <c r="K214" s="595">
        <f t="shared" si="305"/>
        <v>46177</v>
      </c>
      <c r="L214" s="595">
        <f t="shared" ref="L214:O214" si="362">AE214</f>
        <v>46178</v>
      </c>
      <c r="M214" s="596" t="str">
        <f t="shared" si="362"/>
        <v/>
      </c>
      <c r="N214" s="596">
        <f t="shared" si="362"/>
        <v>46154</v>
      </c>
      <c r="O214" s="597" t="str">
        <f t="shared" si="362"/>
        <v/>
      </c>
      <c r="P214" s="598" t="str">
        <f>IFERROR(IF(VLOOKUP(F214,'Voyage days'!$M$808:$N$819,2,FALSE),"GOA",""),"")</f>
        <v/>
      </c>
      <c r="Q214" s="596">
        <f t="shared" si="287"/>
        <v>46159</v>
      </c>
      <c r="R214" s="595">
        <f t="shared" si="289"/>
        <v>46182</v>
      </c>
      <c r="S214" s="595">
        <f t="shared" si="2"/>
        <v>46172</v>
      </c>
      <c r="T214" s="596">
        <f t="shared" si="3"/>
        <v>46164</v>
      </c>
      <c r="U214" s="595">
        <f t="shared" si="290"/>
        <v>46147</v>
      </c>
      <c r="V214" s="570" t="s">
        <v>1577</v>
      </c>
      <c r="W214" s="596">
        <f t="shared" si="291"/>
        <v>46149</v>
      </c>
      <c r="X214" s="599" t="str">
        <f t="shared" si="6"/>
        <v/>
      </c>
      <c r="Y214" s="594"/>
      <c r="Z214" s="600" t="str">
        <f>VLOOKUP(F214,'2) Tracker'!$A$3:$Q$505,16,FALSE)</f>
        <v>ETA Singapore 27 Apr, pending disport</v>
      </c>
      <c r="AA214" s="600" t="str">
        <f>VLOOKUP(F214,'2) Tracker'!$A$3:$R$505,18,FALSE)</f>
        <v>BASF 07-08 Mar Freeport - FC C4</v>
      </c>
      <c r="AB214" s="600">
        <f>VLOOKUP(F214,'2) Tracker'!$A$3:$Q$505,17,FALSE)</f>
        <v>0</v>
      </c>
      <c r="AC214" s="601"/>
      <c r="AD214" s="601">
        <f>VLOOKUP(F214,'2) Tracker'!$A$2:$BO$981,37,FALSE)</f>
        <v>46177</v>
      </c>
      <c r="AE214" s="601">
        <f>VLOOKUP(F214,'2) Tracker'!$A$2:$BO$981,40,FALSE)</f>
        <v>46178</v>
      </c>
      <c r="AF214" s="601" t="str">
        <f>VLOOKUP(F214,'2) Tracker'!$A$2:$BO$981,67,FALSE)</f>
        <v/>
      </c>
      <c r="AG214" s="601">
        <f>VLOOKUP(F214,'2) Tracker'!$A$2:$BO$981,34,FALSE)</f>
        <v>46154</v>
      </c>
      <c r="AH214" s="601" t="str">
        <f>VLOOKUP(F214,'2) Tracker'!$A$2:$BN$981,66,FALSE)</f>
        <v/>
      </c>
      <c r="AI214" s="601">
        <f>VLOOKUP(F214,'2) Tracker'!$A$2:$BO$981,56,FALSE)</f>
        <v>46147</v>
      </c>
      <c r="AJ214" s="601">
        <f>VLOOKUP(F214,'2) Tracker'!$A$2:$BO$981,52,FALSE)</f>
        <v>46149</v>
      </c>
      <c r="AK214" s="601">
        <f>VLOOKUP(F214,'2) Tracker'!$A$2:$AQ$981,43,FALSE)</f>
        <v>46164</v>
      </c>
      <c r="AL214" s="601">
        <f>VLOOKUP(F214,'2) Tracker'!$A$2:$BH$981,46,FALSE())</f>
        <v>46172</v>
      </c>
      <c r="AM214" s="601">
        <f>VLOOKUP(F214,'2) Tracker'!$A$2:$BO$981,65,FALSE())</f>
        <v>46159</v>
      </c>
      <c r="AN214" s="601">
        <f>VLOOKUP(F214,'2) Tracker'!$A$2:$BK$981,63,FALSE())</f>
        <v>46182</v>
      </c>
      <c r="AO214" s="601" t="str">
        <f>VLOOKUP(F214,'2) Tracker'!$A$2:$BF$981,58,FALSE())</f>
        <v/>
      </c>
      <c r="AP214" s="46"/>
      <c r="AQ214" s="46"/>
      <c r="AR214" s="46"/>
      <c r="AS214" s="46"/>
      <c r="AT214" s="46"/>
      <c r="AU214" s="46"/>
      <c r="AV214" s="46"/>
      <c r="AW214" s="46"/>
      <c r="AX214" s="46"/>
      <c r="AY214" s="46"/>
      <c r="AZ214" s="563"/>
      <c r="BA214" s="604" t="e">
        <f>VLOOKUP(AZ214,#REF!,2, FALSE)</f>
        <v>#REF!</v>
      </c>
      <c r="BB214" s="605" t="e">
        <f>VLOOKUP(AZ214,'1) Kpler'!$E$2:$F$500,2,FALSE)</f>
        <v>#N/A</v>
      </c>
      <c r="BC214" s="569"/>
      <c r="BD214" s="563"/>
      <c r="BE214" s="46"/>
      <c r="BF214" s="46"/>
      <c r="BG214" s="563"/>
      <c r="BH214" s="563"/>
      <c r="BI214" s="563"/>
      <c r="BJ214" s="563"/>
    </row>
    <row r="215" spans="2:62" x14ac:dyDescent="0.25">
      <c r="B215" s="589">
        <f>VLOOKUP(F215,'2) Tracker'!$A$3:$O$411,5,FALSE)</f>
        <v>0</v>
      </c>
      <c r="C215" s="589" t="str">
        <f>VLOOKUP(F215,'2) Tracker'!$A$3:$O$411,4,FALSE)</f>
        <v>US</v>
      </c>
      <c r="D215" s="563"/>
      <c r="E215" s="563">
        <f>VLOOKUP(F215,'2) Tracker'!$A$3:$O$407,15,FALSE)</f>
        <v>0</v>
      </c>
      <c r="F215" s="569" t="s">
        <v>1466</v>
      </c>
      <c r="G215" s="607">
        <f>VLOOKUP(F215,'2) Tracker'!$A$2:$BO$361,2,FALSE)</f>
        <v>39931</v>
      </c>
      <c r="H215" s="592">
        <f>VLOOKUP(F215,'2) Tracker'!$A$2:$BO$361,3,FALSE)</f>
        <v>83271</v>
      </c>
      <c r="I215" s="648" t="str">
        <f>VLOOKUP(F215,'2) Tracker'!$A$2:$BO$361,9,FALSE)</f>
        <v>Helios</v>
      </c>
      <c r="J215" s="594" t="str">
        <f>VLOOKUP(F215,'2) Tracker'!$A$2:$BO$361,12,FALSE)</f>
        <v>Korea</v>
      </c>
      <c r="K215" s="596">
        <f t="shared" si="305"/>
        <v>46177</v>
      </c>
      <c r="L215" s="596">
        <f t="shared" ref="L215:O215" si="363">AE215</f>
        <v>46185</v>
      </c>
      <c r="M215" s="596" t="str">
        <f t="shared" si="363"/>
        <v/>
      </c>
      <c r="N215" s="596">
        <f t="shared" si="363"/>
        <v>46162</v>
      </c>
      <c r="O215" s="597" t="str">
        <f t="shared" si="363"/>
        <v/>
      </c>
      <c r="P215" s="598" t="str">
        <f>IFERROR(IF(VLOOKUP(F215,'Voyage days'!$M$808:$N$819,2,FALSE),"GOA",""),"")</f>
        <v/>
      </c>
      <c r="Q215" s="596">
        <f t="shared" si="287"/>
        <v>46165</v>
      </c>
      <c r="R215" s="596">
        <f t="shared" si="289"/>
        <v>46189</v>
      </c>
      <c r="S215" s="595">
        <f t="shared" si="2"/>
        <v>46179</v>
      </c>
      <c r="T215" s="595">
        <f t="shared" si="3"/>
        <v>46173</v>
      </c>
      <c r="U215" s="596">
        <f t="shared" si="290"/>
        <v>46153</v>
      </c>
      <c r="V215" s="596"/>
      <c r="W215" s="596">
        <f t="shared" si="291"/>
        <v>46152</v>
      </c>
      <c r="X215" s="599">
        <f t="shared" si="6"/>
        <v>46155</v>
      </c>
      <c r="Y215" s="606" t="s">
        <v>1631</v>
      </c>
      <c r="Z215" s="600" t="str">
        <f>VLOOKUP(F215,'2) Tracker'!$A$3:$Q$505,16,FALSE)</f>
        <v>ETA Korea 27 Apr</v>
      </c>
      <c r="AA215" s="600" t="str">
        <f>VLOOKUP(F215,'2) Tracker'!$A$3:$R$505,18,FALSE)</f>
        <v>Altagas 01-02 Apr Ferndale</v>
      </c>
      <c r="AB215" s="600">
        <f>VLOOKUP(F215,'2) Tracker'!$A$3:$Q$505,17,FALSE)</f>
        <v>0</v>
      </c>
      <c r="AC215" s="601"/>
      <c r="AD215" s="601">
        <f>VLOOKUP(F215,'2) Tracker'!$A$2:$BO$981,37,FALSE)</f>
        <v>46177</v>
      </c>
      <c r="AE215" s="601">
        <f>VLOOKUP(F215,'2) Tracker'!$A$2:$BO$981,40,FALSE)</f>
        <v>46185</v>
      </c>
      <c r="AF215" s="601" t="str">
        <f>VLOOKUP(F215,'2) Tracker'!$A$2:$BO$981,67,FALSE)</f>
        <v/>
      </c>
      <c r="AG215" s="601">
        <f>VLOOKUP(F215,'2) Tracker'!$A$2:$BO$981,34,FALSE)</f>
        <v>46162</v>
      </c>
      <c r="AH215" s="601" t="str">
        <f>VLOOKUP(F215,'2) Tracker'!$A$2:$BN$981,66,FALSE)</f>
        <v/>
      </c>
      <c r="AI215" s="601">
        <f>VLOOKUP(F215,'2) Tracker'!$A$2:$BO$981,56,FALSE)</f>
        <v>46153</v>
      </c>
      <c r="AJ215" s="601">
        <f>VLOOKUP(F215,'2) Tracker'!$A$2:$BO$981,52,FALSE)</f>
        <v>46152</v>
      </c>
      <c r="AK215" s="601">
        <f>VLOOKUP(F215,'2) Tracker'!$A$2:$AQ$981,43,FALSE)</f>
        <v>46173</v>
      </c>
      <c r="AL215" s="601">
        <f>VLOOKUP(F215,'2) Tracker'!$A$2:$BH$981,46,FALSE())</f>
        <v>46179</v>
      </c>
      <c r="AM215" s="601">
        <f>VLOOKUP(F215,'2) Tracker'!$A$2:$BO$981,65,FALSE())</f>
        <v>46165</v>
      </c>
      <c r="AN215" s="601">
        <f>VLOOKUP(F215,'2) Tracker'!$A$2:$BK$981,63,FALSE())</f>
        <v>46189</v>
      </c>
      <c r="AO215" s="601">
        <f>VLOOKUP(F215,'2) Tracker'!$A$2:$BF$981,58,FALSE())</f>
        <v>46155</v>
      </c>
      <c r="AP215" s="46"/>
      <c r="AQ215" s="46"/>
      <c r="AR215" s="46"/>
      <c r="AS215" s="46"/>
      <c r="AT215" s="46"/>
      <c r="AU215" s="46"/>
      <c r="AV215" s="46"/>
      <c r="AW215" s="46"/>
      <c r="AX215" s="46"/>
      <c r="AY215" s="46"/>
      <c r="AZ215" s="605"/>
      <c r="BA215" s="604" t="e">
        <f>VLOOKUP(AZ215,#REF!,2, FALSE)</f>
        <v>#REF!</v>
      </c>
      <c r="BB215" s="605" t="e">
        <f>VLOOKUP(AZ215,'1) Kpler'!$E$2:$F$500,2,FALSE)</f>
        <v>#N/A</v>
      </c>
      <c r="BC215" s="604"/>
      <c r="BD215" s="605"/>
      <c r="BE215" s="46"/>
      <c r="BF215" s="46"/>
      <c r="BG215" s="605"/>
      <c r="BH215" s="605"/>
      <c r="BI215" s="605"/>
      <c r="BJ215" s="605"/>
    </row>
    <row r="216" spans="2:62" x14ac:dyDescent="0.25">
      <c r="B216" s="589">
        <f>VLOOKUP(F216,'2) Tracker'!$A$3:$O$411,5,FALSE)</f>
        <v>0</v>
      </c>
      <c r="C216" s="589" t="str">
        <f>VLOOKUP(F216,'2) Tracker'!$A$3:$O$411,4,FALSE)</f>
        <v>US</v>
      </c>
      <c r="D216" s="563" t="s">
        <v>1569</v>
      </c>
      <c r="E216" s="563">
        <f>VLOOKUP(F216,'2) Tracker'!$A$3:$O$407,15,FALSE)</f>
        <v>0</v>
      </c>
      <c r="F216" s="625" t="s">
        <v>453</v>
      </c>
      <c r="G216" s="591">
        <f>VLOOKUP(F216,'2) Tracker'!$A$2:$BO$361,2,FALSE)</f>
        <v>2024</v>
      </c>
      <c r="H216" s="592">
        <f>VLOOKUP(F216,'2) Tracker'!$A$2:$BO$361,3,FALSE)</f>
        <v>88000</v>
      </c>
      <c r="I216" s="593" t="str">
        <f>VLOOKUP(F216,'2) Tracker'!$A$2:$BO$361,9,FALSE)</f>
        <v>Chevron</v>
      </c>
      <c r="J216" s="594" t="str">
        <f>VLOOKUP(F216,'2) Tracker'!$A$2:$BO$361,12,FALSE)</f>
        <v>Japan</v>
      </c>
      <c r="K216" s="595">
        <f t="shared" si="305"/>
        <v>46177</v>
      </c>
      <c r="L216" s="595">
        <f t="shared" ref="L216:O216" si="364">AE216</f>
        <v>46188</v>
      </c>
      <c r="M216" s="596" t="str">
        <f t="shared" si="364"/>
        <v/>
      </c>
      <c r="N216" s="596">
        <f t="shared" si="364"/>
        <v>46164</v>
      </c>
      <c r="O216" s="597" t="str">
        <f t="shared" si="364"/>
        <v/>
      </c>
      <c r="P216" s="598" t="str">
        <f>IFERROR(IF(VLOOKUP(F216,'Voyage days'!$M$808:$N$819,2,FALSE),"GOA",""),"")</f>
        <v/>
      </c>
      <c r="Q216" s="596">
        <f t="shared" si="287"/>
        <v>46167</v>
      </c>
      <c r="R216" s="595">
        <f t="shared" si="289"/>
        <v>46192</v>
      </c>
      <c r="S216" s="595">
        <f t="shared" si="2"/>
        <v>46182</v>
      </c>
      <c r="T216" s="596">
        <f t="shared" si="3"/>
        <v>46176</v>
      </c>
      <c r="U216" s="595">
        <f t="shared" si="290"/>
        <v>46155</v>
      </c>
      <c r="V216" s="596"/>
      <c r="W216" s="596">
        <f t="shared" si="291"/>
        <v>46154.25</v>
      </c>
      <c r="X216" s="599">
        <f t="shared" si="6"/>
        <v>46157</v>
      </c>
      <c r="Y216" s="606" t="s">
        <v>1632</v>
      </c>
      <c r="Z216" s="600" t="str">
        <f>VLOOKUP(F216,'2) Tracker'!$A$3:$Q$505,16,FALSE)</f>
        <v>ETA 1st port Chiba 28 Apr</v>
      </c>
      <c r="AA216" s="600" t="str">
        <f>VLOOKUP(F216,'2) Tracker'!$A$3:$R$505,18,FALSE)</f>
        <v>Chevron 25-26 Mar Targa</v>
      </c>
      <c r="AB216" s="600">
        <f>VLOOKUP(F216,'2) Tracker'!$A$3:$Q$505,17,FALSE)</f>
        <v>0</v>
      </c>
      <c r="AC216" s="601"/>
      <c r="AD216" s="601">
        <f>VLOOKUP(F216,'2) Tracker'!$A$2:$BO$981,37,FALSE)</f>
        <v>46177</v>
      </c>
      <c r="AE216" s="601">
        <f>VLOOKUP(F216,'2) Tracker'!$A$2:$BO$981,40,FALSE)</f>
        <v>46188</v>
      </c>
      <c r="AF216" s="601" t="str">
        <f>VLOOKUP(F216,'2) Tracker'!$A$2:$BO$981,67,FALSE)</f>
        <v/>
      </c>
      <c r="AG216" s="601">
        <f>VLOOKUP(F216,'2) Tracker'!$A$2:$BO$981,34,FALSE)</f>
        <v>46164</v>
      </c>
      <c r="AH216" s="601" t="str">
        <f>VLOOKUP(F216,'2) Tracker'!$A$2:$BN$981,66,FALSE)</f>
        <v/>
      </c>
      <c r="AI216" s="601">
        <f>VLOOKUP(F216,'2) Tracker'!$A$2:$BO$981,56,FALSE)</f>
        <v>46155</v>
      </c>
      <c r="AJ216" s="601">
        <f>VLOOKUP(F216,'2) Tracker'!$A$2:$BO$981,52,FALSE)</f>
        <v>46154.25</v>
      </c>
      <c r="AK216" s="601">
        <f>VLOOKUP(F216,'2) Tracker'!$A$2:$AQ$981,43,FALSE)</f>
        <v>46176</v>
      </c>
      <c r="AL216" s="601">
        <f>VLOOKUP(F216,'2) Tracker'!$A$2:$BH$981,46,FALSE())</f>
        <v>46182</v>
      </c>
      <c r="AM216" s="601">
        <f>VLOOKUP(F216,'2) Tracker'!$A$2:$BO$981,65,FALSE())</f>
        <v>46167</v>
      </c>
      <c r="AN216" s="601">
        <f>VLOOKUP(F216,'2) Tracker'!$A$2:$BK$981,63,FALSE())</f>
        <v>46192</v>
      </c>
      <c r="AO216" s="601">
        <f>VLOOKUP(F216,'2) Tracker'!$A$2:$BF$981,58,FALSE())</f>
        <v>46157</v>
      </c>
      <c r="AP216" s="46"/>
      <c r="AQ216" s="46"/>
      <c r="AR216" s="46"/>
      <c r="AS216" s="46"/>
      <c r="AT216" s="46"/>
      <c r="AU216" s="46"/>
      <c r="AV216" s="46"/>
      <c r="AW216" s="46"/>
      <c r="AX216" s="46"/>
      <c r="AY216" s="46"/>
      <c r="AZ216" s="563"/>
      <c r="BA216" s="604" t="e">
        <f>VLOOKUP(AZ216,#REF!,2, FALSE)</f>
        <v>#REF!</v>
      </c>
      <c r="BB216" s="605" t="e">
        <f>VLOOKUP(AZ216,'1) Kpler'!$E$2:$F$500,2,FALSE)</f>
        <v>#N/A</v>
      </c>
      <c r="BC216" s="569"/>
      <c r="BD216" s="563"/>
      <c r="BE216" s="46"/>
      <c r="BF216" s="46"/>
      <c r="BG216" s="563"/>
      <c r="BH216" s="563"/>
      <c r="BI216" s="563"/>
      <c r="BJ216" s="563"/>
    </row>
    <row r="217" spans="2:62" x14ac:dyDescent="0.25">
      <c r="B217" s="589">
        <f>VLOOKUP(F217,'2) Tracker'!$A$3:$O$411,5,FALSE)</f>
        <v>0</v>
      </c>
      <c r="C217" s="589">
        <f>VLOOKUP(F217,'2) Tracker'!$A$3:$O$411,4,FALSE)</f>
        <v>0</v>
      </c>
      <c r="D217" s="563"/>
      <c r="E217" s="563">
        <f>VLOOKUP(F217,'2) Tracker'!$A$3:$O$407,15,FALSE)</f>
        <v>0</v>
      </c>
      <c r="F217" s="604" t="s">
        <v>79</v>
      </c>
      <c r="G217" s="591">
        <f>VLOOKUP(F217,'2) Tracker'!$A$2:$BO$361,2,FALSE)</f>
        <v>2023</v>
      </c>
      <c r="H217" s="592">
        <f>VLOOKUP(F217,'2) Tracker'!$A$2:$BO$361,3,FALSE)</f>
        <v>86700</v>
      </c>
      <c r="I217" s="600" t="str">
        <f>VLOOKUP(F217,'2) Tracker'!$A$2:$BO$361,9,FALSE)</f>
        <v>Gyxis</v>
      </c>
      <c r="J217" s="594" t="str">
        <f>VLOOKUP(F217,'2) Tracker'!$A$2:$BO$361,12,FALSE)</f>
        <v>Far East</v>
      </c>
      <c r="K217" s="596">
        <f t="shared" si="305"/>
        <v>46177</v>
      </c>
      <c r="L217" s="595">
        <f t="shared" ref="L217:M217" si="365">AE216</f>
        <v>46188</v>
      </c>
      <c r="M217" s="596" t="str">
        <f t="shared" si="365"/>
        <v/>
      </c>
      <c r="N217" s="596">
        <f t="shared" ref="N217:O217" si="366">AG217</f>
        <v>46165</v>
      </c>
      <c r="O217" s="597" t="str">
        <f t="shared" si="366"/>
        <v/>
      </c>
      <c r="P217" s="598" t="str">
        <f>IFERROR(IF(VLOOKUP(F217,'Voyage days'!$M$808:$N$819,2,FALSE),"GOA",""),"")</f>
        <v/>
      </c>
      <c r="Q217" s="596">
        <f t="shared" si="287"/>
        <v>46168</v>
      </c>
      <c r="R217" s="596">
        <f t="shared" si="289"/>
        <v>46193</v>
      </c>
      <c r="S217" s="595">
        <f t="shared" si="2"/>
        <v>46183</v>
      </c>
      <c r="T217" s="596">
        <f t="shared" si="3"/>
        <v>46177</v>
      </c>
      <c r="U217" s="596">
        <f t="shared" si="290"/>
        <v>46156</v>
      </c>
      <c r="V217" s="596"/>
      <c r="W217" s="596">
        <f t="shared" si="291"/>
        <v>46155.25</v>
      </c>
      <c r="X217" s="599">
        <f t="shared" si="6"/>
        <v>46158</v>
      </c>
      <c r="Y217" s="594"/>
      <c r="Z217" s="600" t="str">
        <f>VLOOKUP(F217,'2) Tracker'!$A$3:$Q$505,16,FALSE)</f>
        <v>ex DD, ETA RIPET 22 Apr</v>
      </c>
      <c r="AA217" s="600" t="str">
        <f>VLOOKUP(F217,'2) Tracker'!$A$3:$R$505,18,FALSE)</f>
        <v>Gyxis 03-04 Feb Enterprise</v>
      </c>
      <c r="AB217" s="600">
        <f>VLOOKUP(F217,'2) Tracker'!$A$3:$Q$505,17,FALSE)</f>
        <v>0</v>
      </c>
      <c r="AC217" s="601"/>
      <c r="AD217" s="601">
        <f>VLOOKUP(F217,'2) Tracker'!$A$2:$BO$981,37,FALSE)</f>
        <v>46177</v>
      </c>
      <c r="AE217" s="601">
        <f>VLOOKUP(F217,'2) Tracker'!$A$2:$BO$981,40,FALSE)</f>
        <v>46185</v>
      </c>
      <c r="AF217" s="601" t="str">
        <f>VLOOKUP(F217,'2) Tracker'!$A$2:$BO$981,67,FALSE)</f>
        <v/>
      </c>
      <c r="AG217" s="601">
        <f>VLOOKUP(F217,'2) Tracker'!$A$2:$BO$981,34,FALSE)</f>
        <v>46165</v>
      </c>
      <c r="AH217" s="601" t="str">
        <f>VLOOKUP(F217,'2) Tracker'!$A$2:$BN$981,66,FALSE)</f>
        <v/>
      </c>
      <c r="AI217" s="601">
        <f>VLOOKUP(F217,'2) Tracker'!$A$2:$BO$981,56,FALSE)</f>
        <v>46156</v>
      </c>
      <c r="AJ217" s="601">
        <f>VLOOKUP(F217,'2) Tracker'!$A$2:$BO$981,52,FALSE)</f>
        <v>46155.25</v>
      </c>
      <c r="AK217" s="601">
        <f>VLOOKUP(F217,'2) Tracker'!$A$2:$AQ$981,43,FALSE)</f>
        <v>46177</v>
      </c>
      <c r="AL217" s="601">
        <f>VLOOKUP(F217,'2) Tracker'!$A$2:$BH$981,46,FALSE())</f>
        <v>46183</v>
      </c>
      <c r="AM217" s="601">
        <f>VLOOKUP(F217,'2) Tracker'!$A$2:$BO$981,65,FALSE())</f>
        <v>46168</v>
      </c>
      <c r="AN217" s="601">
        <f>VLOOKUP(F217,'2) Tracker'!$A$2:$BK$981,63,FALSE())</f>
        <v>46193</v>
      </c>
      <c r="AO217" s="601">
        <f>VLOOKUP(F217,'2) Tracker'!$A$2:$BF$981,58,FALSE())</f>
        <v>46158</v>
      </c>
      <c r="AP217" s="46"/>
      <c r="AQ217" s="46"/>
      <c r="AR217" s="46"/>
      <c r="AS217" s="46"/>
      <c r="AT217" s="46"/>
      <c r="AU217" s="46"/>
      <c r="AV217" s="46"/>
      <c r="AW217" s="46"/>
      <c r="AX217" s="46"/>
      <c r="AY217" s="46"/>
      <c r="AZ217" s="605"/>
      <c r="BA217" s="604" t="e">
        <f>VLOOKUP(AZ217,#REF!,2, FALSE)</f>
        <v>#REF!</v>
      </c>
      <c r="BB217" s="605" t="e">
        <f>VLOOKUP(AZ217,'1) Kpler'!$E$2:$F$500,2,FALSE)</f>
        <v>#N/A</v>
      </c>
      <c r="BC217" s="604" t="s">
        <v>1633</v>
      </c>
      <c r="BD217" s="605"/>
      <c r="BE217" s="46"/>
      <c r="BF217" s="46"/>
      <c r="BG217" s="605"/>
      <c r="BH217" s="605"/>
      <c r="BI217" s="605"/>
      <c r="BJ217" s="605"/>
    </row>
    <row r="218" spans="2:62" hidden="1" x14ac:dyDescent="0.25">
      <c r="B218" s="589">
        <f>VLOOKUP(F218,'2) Tracker'!$A$3:$O$411,5,FALSE)</f>
        <v>0</v>
      </c>
      <c r="C218" s="589">
        <f>VLOOKUP(F218,'2) Tracker'!$A$3:$O$411,4,FALSE)</f>
        <v>0</v>
      </c>
      <c r="D218" s="563"/>
      <c r="E218" s="563">
        <f>VLOOKUP(F218,'2) Tracker'!$A$3:$O$407,15,FALSE)</f>
        <v>0</v>
      </c>
      <c r="F218" s="608" t="s">
        <v>277</v>
      </c>
      <c r="G218" s="607">
        <f>VLOOKUP(F218,'2) Tracker'!$A$2:$BO$361,2,FALSE)</f>
        <v>39546</v>
      </c>
      <c r="H218" s="592">
        <f>VLOOKUP(F218,'2) Tracker'!$A$2:$BO$361,3,FALSE)</f>
        <v>83783</v>
      </c>
      <c r="I218" s="593" t="str">
        <f>VLOOKUP(F218,'2) Tracker'!$A$2:$BO$361,9,FALSE)</f>
        <v>Pertamina</v>
      </c>
      <c r="J218" s="594" t="str">
        <f>VLOOKUP(F218,'2) Tracker'!$A$2:$BO$361,12,FALSE)</f>
        <v>Indo</v>
      </c>
      <c r="K218" s="595">
        <f t="shared" si="305"/>
        <v>46176</v>
      </c>
      <c r="L218" s="595">
        <f t="shared" ref="L218:O218" si="367">AE218</f>
        <v>46175</v>
      </c>
      <c r="M218" s="596" t="str">
        <f t="shared" si="367"/>
        <v/>
      </c>
      <c r="N218" s="597">
        <f t="shared" si="367"/>
        <v>46149</v>
      </c>
      <c r="O218" s="597" t="str">
        <f t="shared" si="367"/>
        <v/>
      </c>
      <c r="P218" s="598" t="str">
        <f>IFERROR(IF(VLOOKUP(F218,'Voyage days'!$M$808:$N$819,2,FALSE),"GOA",""),"")</f>
        <v/>
      </c>
      <c r="Q218" s="596">
        <f t="shared" si="287"/>
        <v>46152</v>
      </c>
      <c r="R218" s="595">
        <f t="shared" si="289"/>
        <v>46175</v>
      </c>
      <c r="S218" s="595">
        <f t="shared" si="2"/>
        <v>46167</v>
      </c>
      <c r="T218" s="596">
        <f t="shared" si="3"/>
        <v>46158</v>
      </c>
      <c r="U218" s="595">
        <f t="shared" si="290"/>
        <v>46142</v>
      </c>
      <c r="V218" s="570" t="s">
        <v>1577</v>
      </c>
      <c r="W218" s="596">
        <f t="shared" si="291"/>
        <v>46142</v>
      </c>
      <c r="X218" s="599" t="str">
        <f t="shared" si="6"/>
        <v/>
      </c>
      <c r="Y218" s="614"/>
      <c r="Z218" s="600" t="str">
        <f>VLOOKUP(F218,'2) Tracker'!$A$3:$Q$505,16,FALSE)</f>
        <v>ETA Balikpapan 22 Apr</v>
      </c>
      <c r="AA218" s="600" t="str">
        <f>VLOOKUP(F218,'2) Tracker'!$A$3:$R$505,18,FALSE)</f>
        <v>Perta 02-03 Mar Freeport</v>
      </c>
      <c r="AB218" s="600">
        <f>VLOOKUP(F218,'2) Tracker'!$A$3:$Q$505,17,FALSE)</f>
        <v>0</v>
      </c>
      <c r="AC218" s="601"/>
      <c r="AD218" s="601">
        <f>VLOOKUP(F218,'2) Tracker'!$A$2:$BO$981,37,FALSE)</f>
        <v>46176</v>
      </c>
      <c r="AE218" s="601">
        <f>VLOOKUP(F218,'2) Tracker'!$A$2:$BO$981,40,FALSE)</f>
        <v>46175</v>
      </c>
      <c r="AF218" s="601" t="str">
        <f>VLOOKUP(F218,'2) Tracker'!$A$2:$BO$981,67,FALSE)</f>
        <v/>
      </c>
      <c r="AG218" s="601">
        <f>VLOOKUP(F218,'2) Tracker'!$A$2:$BO$981,34,FALSE)</f>
        <v>46149</v>
      </c>
      <c r="AH218" s="601" t="str">
        <f>VLOOKUP(F218,'2) Tracker'!$A$2:$BN$981,66,FALSE)</f>
        <v/>
      </c>
      <c r="AI218" s="601">
        <f>VLOOKUP(F218,'2) Tracker'!$A$2:$BO$981,56,FALSE)</f>
        <v>46142</v>
      </c>
      <c r="AJ218" s="601">
        <f>VLOOKUP(F218,'2) Tracker'!$A$2:$BO$981,52,FALSE)</f>
        <v>46142</v>
      </c>
      <c r="AK218" s="601">
        <f>VLOOKUP(F218,'2) Tracker'!$A$2:$AQ$981,43,FALSE)</f>
        <v>46158</v>
      </c>
      <c r="AL218" s="601">
        <f>VLOOKUP(F218,'2) Tracker'!$A$2:$BH$981,46,FALSE())</f>
        <v>46167</v>
      </c>
      <c r="AM218" s="601">
        <f>VLOOKUP(F218,'2) Tracker'!$A$2:$BO$981,65,FALSE())</f>
        <v>46152</v>
      </c>
      <c r="AN218" s="601">
        <f>VLOOKUP(F218,'2) Tracker'!$A$2:$BK$981,63,FALSE())</f>
        <v>46175</v>
      </c>
      <c r="AO218" s="601" t="str">
        <f>VLOOKUP(F218,'2) Tracker'!$A$2:$BF$981,58,FALSE())</f>
        <v/>
      </c>
      <c r="AP218" s="46"/>
      <c r="AQ218" s="46"/>
      <c r="AR218" s="46"/>
      <c r="AS218" s="46"/>
      <c r="AT218" s="46"/>
      <c r="AU218" s="46"/>
      <c r="AV218" s="46"/>
      <c r="AW218" s="46"/>
      <c r="AX218" s="46"/>
      <c r="AY218" s="46"/>
      <c r="AZ218" s="605"/>
      <c r="BA218" s="604" t="e">
        <f>VLOOKUP(AZ218,#REF!,2, FALSE)</f>
        <v>#REF!</v>
      </c>
      <c r="BB218" s="605" t="e">
        <f>VLOOKUP(AZ218,'1) Kpler'!$E$2:$F$500,2,FALSE)</f>
        <v>#N/A</v>
      </c>
      <c r="BC218" s="604"/>
      <c r="BD218" s="605"/>
      <c r="BE218" s="46"/>
      <c r="BF218" s="46"/>
      <c r="BG218" s="605"/>
      <c r="BH218" s="605"/>
      <c r="BI218" s="605"/>
      <c r="BJ218" s="605"/>
    </row>
    <row r="219" spans="2:62" x14ac:dyDescent="0.25">
      <c r="B219" s="589">
        <f>VLOOKUP(F219,'2) Tracker'!$A$3:$O$411,5,FALSE)</f>
        <v>0</v>
      </c>
      <c r="C219" s="589">
        <f>VLOOKUP(F219,'2) Tracker'!$A$3:$O$411,4,FALSE)</f>
        <v>0</v>
      </c>
      <c r="D219" s="563"/>
      <c r="E219" s="563">
        <f>VLOOKUP(F219,'2) Tracker'!$A$3:$O$407,15,FALSE)</f>
        <v>0</v>
      </c>
      <c r="F219" s="604" t="s">
        <v>484</v>
      </c>
      <c r="G219" s="607">
        <f>VLOOKUP(F219,'2) Tracker'!$A$2:$BO$361,2,FALSE)</f>
        <v>43556</v>
      </c>
      <c r="H219" s="592">
        <f>VLOOKUP(F219,'2) Tracker'!$A$2:$BO$361,3,FALSE)</f>
        <v>82200</v>
      </c>
      <c r="I219" s="600" t="str">
        <f>VLOOKUP(F219,'2) Tracker'!$A$2:$BO$361,9,FALSE)</f>
        <v>AGT</v>
      </c>
      <c r="J219" s="594" t="str">
        <f>VLOOKUP(F219,'2) Tracker'!$A$2:$BO$361,12,FALSE)</f>
        <v>Korea</v>
      </c>
      <c r="K219" s="596">
        <f t="shared" si="305"/>
        <v>46178</v>
      </c>
      <c r="L219" s="596">
        <f t="shared" ref="L219:O219" si="368">AE219</f>
        <v>46186</v>
      </c>
      <c r="M219" s="596" t="str">
        <f t="shared" si="368"/>
        <v/>
      </c>
      <c r="N219" s="596">
        <f t="shared" si="368"/>
        <v>46163</v>
      </c>
      <c r="O219" s="597" t="str">
        <f t="shared" si="368"/>
        <v/>
      </c>
      <c r="P219" s="598" t="str">
        <f>IFERROR(IF(VLOOKUP(F219,'Voyage days'!$M$808:$N$819,2,FALSE),"GOA",""),"")</f>
        <v/>
      </c>
      <c r="Q219" s="596">
        <f t="shared" si="287"/>
        <v>46165</v>
      </c>
      <c r="R219" s="596">
        <f t="shared" si="289"/>
        <v>46190</v>
      </c>
      <c r="S219" s="595">
        <f t="shared" si="2"/>
        <v>46180</v>
      </c>
      <c r="T219" s="596">
        <f t="shared" si="3"/>
        <v>46174</v>
      </c>
      <c r="U219" s="596">
        <f t="shared" si="290"/>
        <v>46153</v>
      </c>
      <c r="V219" s="570" t="s">
        <v>1577</v>
      </c>
      <c r="W219" s="596">
        <f t="shared" si="291"/>
        <v>46153</v>
      </c>
      <c r="X219" s="599">
        <f t="shared" si="6"/>
        <v>46156</v>
      </c>
      <c r="Z219" s="600" t="str">
        <f>VLOOKUP(F219,'2) Tracker'!$A$3:$Q$505,16,FALSE)</f>
        <v>ETA 1st port Ulsan 1 May</v>
      </c>
      <c r="AA219" s="600" t="str">
        <f>VLOOKUP(F219,'2) Tracker'!$A$3:$R$505,18,FALSE)</f>
        <v>AGT 26 Mar Enterprise</v>
      </c>
      <c r="AB219" s="600">
        <f>VLOOKUP(F219,'2) Tracker'!$A$3:$Q$505,17,FALSE)</f>
        <v>0</v>
      </c>
      <c r="AC219" s="601"/>
      <c r="AD219" s="601">
        <f>VLOOKUP(F219,'2) Tracker'!$A$2:$BO$981,37,FALSE)</f>
        <v>46178</v>
      </c>
      <c r="AE219" s="601">
        <f>VLOOKUP(F219,'2) Tracker'!$A$2:$BO$981,40,FALSE)</f>
        <v>46186</v>
      </c>
      <c r="AF219" s="601" t="str">
        <f>VLOOKUP(F219,'2) Tracker'!$A$2:$BO$981,67,FALSE)</f>
        <v/>
      </c>
      <c r="AG219" s="601">
        <f>VLOOKUP(F219,'2) Tracker'!$A$2:$BO$981,34,FALSE)</f>
        <v>46163</v>
      </c>
      <c r="AH219" s="601" t="str">
        <f>VLOOKUP(F219,'2) Tracker'!$A$2:$BN$981,66,FALSE)</f>
        <v/>
      </c>
      <c r="AI219" s="601">
        <f>VLOOKUP(F219,'2) Tracker'!$A$2:$BO$981,56,FALSE)</f>
        <v>46153</v>
      </c>
      <c r="AJ219" s="601">
        <f>VLOOKUP(F219,'2) Tracker'!$A$2:$BO$981,52,FALSE)</f>
        <v>46153</v>
      </c>
      <c r="AK219" s="601">
        <f>VLOOKUP(F219,'2) Tracker'!$A$2:$AQ$981,43,FALSE)</f>
        <v>46174</v>
      </c>
      <c r="AL219" s="601">
        <f>VLOOKUP(F219,'2) Tracker'!$A$2:$BH$981,46,FALSE())</f>
        <v>46180</v>
      </c>
      <c r="AM219" s="601">
        <f>VLOOKUP(F219,'2) Tracker'!$A$2:$BO$981,65,FALSE())</f>
        <v>46165</v>
      </c>
      <c r="AN219" s="601">
        <f>VLOOKUP(F219,'2) Tracker'!$A$2:$BK$981,63,FALSE())</f>
        <v>46190</v>
      </c>
      <c r="AO219" s="601">
        <f>VLOOKUP(F219,'2) Tracker'!$A$2:$BF$981,58,FALSE())</f>
        <v>46156</v>
      </c>
      <c r="AP219" s="46"/>
      <c r="AQ219" s="46"/>
      <c r="AR219" s="46"/>
      <c r="AS219" s="46"/>
      <c r="AT219" s="46"/>
      <c r="AU219" s="46"/>
      <c r="AV219" s="46"/>
      <c r="AW219" s="46"/>
      <c r="AX219" s="46"/>
      <c r="AY219" s="46"/>
      <c r="AZ219" s="605"/>
      <c r="BA219" s="604"/>
      <c r="BB219" s="605"/>
      <c r="BC219" s="604"/>
      <c r="BD219" s="605"/>
      <c r="BE219" s="46"/>
      <c r="BF219" s="46"/>
      <c r="BG219" s="605"/>
      <c r="BH219" s="605"/>
      <c r="BI219" s="605"/>
      <c r="BJ219" s="605"/>
    </row>
    <row r="220" spans="2:62" x14ac:dyDescent="0.25">
      <c r="B220" s="589">
        <f>VLOOKUP(F220,'2) Tracker'!$A$3:$O$411,5,FALSE)</f>
        <v>0</v>
      </c>
      <c r="C220" s="589">
        <f>VLOOKUP(F220,'2) Tracker'!$A$3:$O$411,4,FALSE)</f>
        <v>0</v>
      </c>
      <c r="D220" s="563" t="s">
        <v>1569</v>
      </c>
      <c r="E220" s="563">
        <f>VLOOKUP(F220,'2) Tracker'!$A$3:$O$407,15,FALSE)</f>
        <v>0</v>
      </c>
      <c r="F220" s="590" t="s">
        <v>470</v>
      </c>
      <c r="G220" s="626">
        <f>VLOOKUP(F220,'2) Tracker'!$A$2:$BO$361,2,FALSE)</f>
        <v>2023</v>
      </c>
      <c r="H220" s="592">
        <f>VLOOKUP(F220,'2) Tracker'!$A$2:$BO$361,3,FALSE)</f>
        <v>86000</v>
      </c>
      <c r="I220" s="600" t="str">
        <f>VLOOKUP(F220,'2) Tracker'!$A$2:$BO$361,9,FALSE)</f>
        <v>Trafigura</v>
      </c>
      <c r="J220" s="594" t="str">
        <f>VLOOKUP(F220,'2) Tracker'!$A$2:$BO$361,12,FALSE)</f>
        <v>Japan</v>
      </c>
      <c r="K220" s="596">
        <f t="shared" si="305"/>
        <v>46178</v>
      </c>
      <c r="L220" s="596">
        <f t="shared" ref="L220:O220" si="369">AE220</f>
        <v>46189</v>
      </c>
      <c r="M220" s="596" t="str">
        <f t="shared" si="369"/>
        <v/>
      </c>
      <c r="N220" s="596">
        <f t="shared" si="369"/>
        <v>46165</v>
      </c>
      <c r="O220" s="597" t="str">
        <f t="shared" si="369"/>
        <v/>
      </c>
      <c r="P220" s="598" t="str">
        <f>IFERROR(IF(VLOOKUP(F220,'Voyage days'!$M$808:$N$819,2,FALSE),"GOA",""),"")</f>
        <v/>
      </c>
      <c r="Q220" s="596">
        <f t="shared" si="287"/>
        <v>46168</v>
      </c>
      <c r="R220" s="595">
        <f t="shared" si="289"/>
        <v>46193</v>
      </c>
      <c r="S220" s="595">
        <f t="shared" si="2"/>
        <v>46183</v>
      </c>
      <c r="T220" s="596">
        <f t="shared" si="3"/>
        <v>46177</v>
      </c>
      <c r="U220" s="595">
        <f t="shared" si="290"/>
        <v>46156</v>
      </c>
      <c r="V220" s="595"/>
      <c r="W220" s="595">
        <f t="shared" si="291"/>
        <v>46155.25</v>
      </c>
      <c r="X220" s="599">
        <f t="shared" si="6"/>
        <v>46158</v>
      </c>
      <c r="Y220" s="606" t="s">
        <v>1611</v>
      </c>
      <c r="Z220" s="600" t="str">
        <f>VLOOKUP(F220,'2) Tracker'!$A$3:$Q$505,16,FALSE)</f>
        <v>ETA 1st port Chiba 29 Apr</v>
      </c>
      <c r="AA220" s="600" t="str">
        <f>VLOOKUP(F220,'2) Tracker'!$A$3:$R$505,18,FALSE)</f>
        <v>Trafigura 27 Mar Enterprise</v>
      </c>
      <c r="AB220" s="600">
        <f>VLOOKUP(F220,'2) Tracker'!$A$3:$Q$505,17,FALSE)</f>
        <v>0</v>
      </c>
      <c r="AC220" s="601"/>
      <c r="AD220" s="601">
        <f>VLOOKUP(F220,'2) Tracker'!$A$2:$BO$981,37,FALSE)</f>
        <v>46178</v>
      </c>
      <c r="AE220" s="601">
        <f>VLOOKUP(F220,'2) Tracker'!$A$2:$BO$981,40,FALSE)</f>
        <v>46189</v>
      </c>
      <c r="AF220" s="601" t="str">
        <f>VLOOKUP(F220,'2) Tracker'!$A$2:$BO$981,67,FALSE)</f>
        <v/>
      </c>
      <c r="AG220" s="601">
        <f>VLOOKUP(F220,'2) Tracker'!$A$2:$BO$981,34,FALSE)</f>
        <v>46165</v>
      </c>
      <c r="AH220" s="601" t="str">
        <f>VLOOKUP(F220,'2) Tracker'!$A$2:$BN$981,66,FALSE)</f>
        <v/>
      </c>
      <c r="AI220" s="601">
        <f>VLOOKUP(F220,'2) Tracker'!$A$2:$BO$981,56,FALSE)</f>
        <v>46156</v>
      </c>
      <c r="AJ220" s="601">
        <f>VLOOKUP(F220,'2) Tracker'!$A$2:$BO$981,52,FALSE)</f>
        <v>46155.25</v>
      </c>
      <c r="AK220" s="601">
        <f>VLOOKUP(F220,'2) Tracker'!$A$2:$AQ$981,43,FALSE)</f>
        <v>46177</v>
      </c>
      <c r="AL220" s="601">
        <f>VLOOKUP(F220,'2) Tracker'!$A$2:$BH$981,46,FALSE())</f>
        <v>46183</v>
      </c>
      <c r="AM220" s="601">
        <f>VLOOKUP(F220,'2) Tracker'!$A$2:$BO$981,65,FALSE())</f>
        <v>46168</v>
      </c>
      <c r="AN220" s="601">
        <f>VLOOKUP(F220,'2) Tracker'!$A$2:$BK$981,63,FALSE())</f>
        <v>46193</v>
      </c>
      <c r="AO220" s="601">
        <f>VLOOKUP(F220,'2) Tracker'!$A$2:$BF$981,58,FALSE())</f>
        <v>46158</v>
      </c>
      <c r="AP220" s="46"/>
      <c r="AQ220" s="46"/>
      <c r="AR220" s="46"/>
      <c r="AS220" s="46"/>
      <c r="AT220" s="46"/>
      <c r="AU220" s="46"/>
      <c r="AV220" s="46"/>
      <c r="AW220" s="46"/>
      <c r="AX220" s="46"/>
      <c r="AY220" s="46"/>
      <c r="AZ220" s="605"/>
      <c r="BA220" s="604" t="e">
        <f>VLOOKUP(AZ220,#REF!,2, FALSE)</f>
        <v>#REF!</v>
      </c>
      <c r="BB220" s="605" t="e">
        <f>VLOOKUP(AZ220,'1) Kpler'!$E$2:$F$500,2,FALSE)</f>
        <v>#N/A</v>
      </c>
      <c r="BC220" s="604"/>
      <c r="BD220" s="605"/>
      <c r="BE220" s="46"/>
      <c r="BF220" s="46"/>
      <c r="BG220" s="605"/>
      <c r="BH220" s="605"/>
      <c r="BI220" s="605"/>
      <c r="BJ220" s="605"/>
    </row>
    <row r="221" spans="2:62" x14ac:dyDescent="0.25">
      <c r="B221" s="638"/>
      <c r="C221" s="589" t="str">
        <f>VLOOKUP(F221,'2) Tracker'!$A$3:$O$411,4,FALSE)</f>
        <v>US</v>
      </c>
      <c r="D221" s="563" t="s">
        <v>1569</v>
      </c>
      <c r="E221" s="563" t="str">
        <f>VLOOKUP(F221,'2) Tracker'!$A$3:$O$407,15,FALSE)</f>
        <v>O</v>
      </c>
      <c r="F221" s="590" t="s">
        <v>1514</v>
      </c>
      <c r="G221" s="591">
        <f>VLOOKUP(F221,'2) Tracker'!$A$2:$BO$361,2,FALSE)</f>
        <v>2023</v>
      </c>
      <c r="H221" s="592">
        <f>VLOOKUP(F221,'2) Tracker'!$A$2:$BO$361,3,FALSE)</f>
        <v>86000</v>
      </c>
      <c r="I221" s="594" t="str">
        <f>VLOOKUP(F221,'2) Tracker'!$A$2:$BO$361,9,FALSE)</f>
        <v>Helios</v>
      </c>
      <c r="J221" s="594" t="str">
        <f>VLOOKUP(F221,'2) Tracker'!$A$2:$BO$361,12,FALSE)</f>
        <v>East China</v>
      </c>
      <c r="K221" s="596">
        <f t="shared" si="305"/>
        <v>46178</v>
      </c>
      <c r="L221" s="596">
        <f t="shared" ref="L221:M221" si="370">AE221</f>
        <v>46190</v>
      </c>
      <c r="M221" s="596" t="str">
        <f t="shared" si="370"/>
        <v/>
      </c>
      <c r="N221" s="563" t="s">
        <v>71</v>
      </c>
      <c r="O221" s="597" t="str">
        <f>AH221</f>
        <v/>
      </c>
      <c r="P221" s="598" t="str">
        <f>IFERROR(IF(VLOOKUP(F221,'Voyage days'!$M$808:$N$819,2,FALSE),"GOA",""),"")</f>
        <v/>
      </c>
      <c r="Q221" s="596">
        <f t="shared" si="287"/>
        <v>46166</v>
      </c>
      <c r="R221" s="596">
        <f t="shared" si="289"/>
        <v>46190</v>
      </c>
      <c r="S221" s="595">
        <f t="shared" si="2"/>
        <v>46181</v>
      </c>
      <c r="T221" s="596">
        <f t="shared" si="3"/>
        <v>46174</v>
      </c>
      <c r="U221" s="596">
        <f t="shared" si="290"/>
        <v>46154</v>
      </c>
      <c r="V221" s="596"/>
      <c r="W221" s="596">
        <f t="shared" si="291"/>
        <v>46153.25</v>
      </c>
      <c r="X221" s="599">
        <f t="shared" si="6"/>
        <v>46159</v>
      </c>
      <c r="Y221" s="614" t="s">
        <v>1614</v>
      </c>
      <c r="Z221" s="600" t="str">
        <f>VLOOKUP(F221,'2) Tracker'!$A$3:$Q$505,16,FALSE)</f>
        <v>ETA Ningbo 30 Apr</v>
      </c>
      <c r="AA221" s="600" t="str">
        <f>VLOOKUP(F221,'2) Tracker'!$A$3:$R$505,18,FALSE)</f>
        <v>Equinor? 24-25 Mar Targa</v>
      </c>
      <c r="AB221" s="600">
        <f>VLOOKUP(F221,'2) Tracker'!$A$3:$Q$505,17,FALSE)</f>
        <v>0</v>
      </c>
      <c r="AC221" s="601"/>
      <c r="AD221" s="601">
        <f>VLOOKUP(F221,'2) Tracker'!$A$2:$BO$981,37,FALSE)</f>
        <v>46178</v>
      </c>
      <c r="AE221" s="601">
        <f>VLOOKUP(F221,'2) Tracker'!$A$2:$BO$981,40,FALSE)</f>
        <v>46190</v>
      </c>
      <c r="AF221" s="601" t="str">
        <f>VLOOKUP(F221,'2) Tracker'!$A$2:$BO$981,67,FALSE)</f>
        <v/>
      </c>
      <c r="AG221" s="601">
        <f>VLOOKUP(F221,'2) Tracker'!$A$2:$BO$981,34,FALSE)</f>
        <v>46163</v>
      </c>
      <c r="AH221" s="601" t="str">
        <f>VLOOKUP(F221,'2) Tracker'!$A$2:$BN$981,66,FALSE)</f>
        <v/>
      </c>
      <c r="AI221" s="620">
        <f>VLOOKUP(F221,'2) Tracker'!$A$2:$BO$981,56,FALSE)</f>
        <v>46154</v>
      </c>
      <c r="AJ221" s="601">
        <f>VLOOKUP(F221,'2) Tracker'!$A$2:$BO$981,52,FALSE)</f>
        <v>46153.25</v>
      </c>
      <c r="AK221" s="601">
        <f>VLOOKUP(F221,'2) Tracker'!$A$2:$AQ$981,43,FALSE)</f>
        <v>46174</v>
      </c>
      <c r="AL221" s="601">
        <f>VLOOKUP(F221,'2) Tracker'!$A$2:$BH$981,46,FALSE())</f>
        <v>46181</v>
      </c>
      <c r="AM221" s="621">
        <f>VLOOKUP(F221,'2) Tracker'!$A$2:$BO$981,65,FALSE())</f>
        <v>46166</v>
      </c>
      <c r="AN221" s="621">
        <f>VLOOKUP(F221,'2) Tracker'!$A$2:$BK$981,63,FALSE())</f>
        <v>46190</v>
      </c>
      <c r="AO221" s="621">
        <f>VLOOKUP(F221,'2) Tracker'!$A$2:$BF$981,58,FALSE())</f>
        <v>46159</v>
      </c>
      <c r="AP221" s="46"/>
      <c r="AQ221" s="46"/>
      <c r="AR221" s="46"/>
      <c r="AS221" s="46"/>
      <c r="AT221" s="46"/>
      <c r="AU221" s="46"/>
      <c r="AV221" s="46"/>
      <c r="AW221" s="46"/>
      <c r="AX221" s="46"/>
      <c r="AY221" s="46"/>
      <c r="AZ221" s="563"/>
      <c r="BA221" s="604" t="e">
        <f>VLOOKUP(AZ221,#REF!,2, FALSE)</f>
        <v>#REF!</v>
      </c>
      <c r="BB221" s="605" t="e">
        <f>VLOOKUP(AZ221,'1) Kpler'!$E$2:$F$500,2,FALSE)</f>
        <v>#N/A</v>
      </c>
      <c r="BC221" s="569"/>
      <c r="BD221" s="563"/>
      <c r="BE221" s="46"/>
      <c r="BF221" s="46"/>
      <c r="BG221" s="563"/>
      <c r="BH221" s="563"/>
      <c r="BI221" s="563"/>
      <c r="BJ221" s="563"/>
    </row>
    <row r="222" spans="2:62" x14ac:dyDescent="0.25">
      <c r="B222" s="589">
        <f>VLOOKUP(F222,'2) Tracker'!$A$3:$O$411,5,FALSE)</f>
        <v>0</v>
      </c>
      <c r="C222" s="589">
        <f>VLOOKUP(F222,'2) Tracker'!$A$3:$O$411,4,FALSE)</f>
        <v>0</v>
      </c>
      <c r="D222" s="563"/>
      <c r="E222" s="563">
        <f>VLOOKUP(F222,'2) Tracker'!$A$3:$O$407,15,FALSE)</f>
        <v>0</v>
      </c>
      <c r="F222" s="608" t="s">
        <v>434</v>
      </c>
      <c r="G222" s="591">
        <f>VLOOKUP(F222,'2) Tracker'!$A$2:$BO$361,2,FALSE)</f>
        <v>2022</v>
      </c>
      <c r="H222" s="592">
        <f>VLOOKUP(F222,'2) Tracker'!$A$2:$BO$361,3,FALSE)</f>
        <v>90000</v>
      </c>
      <c r="I222" s="593" t="str">
        <f>VLOOKUP(F222,'2) Tracker'!$A$2:$BO$361,9,FALSE)</f>
        <v>Geogas</v>
      </c>
      <c r="J222" s="594" t="str">
        <f>VLOOKUP(F222,'2) Tracker'!$A$2:$BO$361,12,FALSE)</f>
        <v>Tanzania</v>
      </c>
      <c r="K222" s="596">
        <f t="shared" si="305"/>
        <v>46179</v>
      </c>
      <c r="L222" s="596">
        <f t="shared" ref="L222:O222" si="371">AE222</f>
        <v>46159</v>
      </c>
      <c r="M222" s="596" t="str">
        <f t="shared" si="371"/>
        <v/>
      </c>
      <c r="N222" s="596">
        <f t="shared" si="371"/>
        <v>46141</v>
      </c>
      <c r="O222" s="597" t="str">
        <f t="shared" si="371"/>
        <v/>
      </c>
      <c r="P222" s="598" t="str">
        <f>IFERROR(IF(VLOOKUP(F222,'Voyage days'!$M$808:$N$819,2,FALSE),"GOA",""),"")</f>
        <v/>
      </c>
      <c r="Q222" s="596">
        <f t="shared" si="287"/>
        <v>46147</v>
      </c>
      <c r="R222" s="596">
        <f t="shared" si="289"/>
        <v>46132</v>
      </c>
      <c r="S222" s="595">
        <f t="shared" si="2"/>
        <v>46147</v>
      </c>
      <c r="T222" s="596">
        <f t="shared" si="3"/>
        <v>46146</v>
      </c>
      <c r="U222" s="596">
        <f t="shared" si="290"/>
        <v>46145</v>
      </c>
      <c r="V222" s="596"/>
      <c r="W222" s="596">
        <f t="shared" si="291"/>
        <v>46147</v>
      </c>
      <c r="X222" s="599" t="str">
        <f t="shared" si="6"/>
        <v/>
      </c>
      <c r="Y222" s="594"/>
      <c r="Z222" s="600" t="str">
        <f>VLOOKUP(F222,'2) Tracker'!$A$3:$Q$505,16,FALSE)</f>
        <v>shuttle/STS ship East Africa 05 Feb</v>
      </c>
      <c r="AA222" s="600" t="str">
        <f>VLOOKUP(F222,'2) Tracker'!$A$3:$R$505,18,FALSE)</f>
        <v>Geogas 29 Mar STS Bumbwini</v>
      </c>
      <c r="AB222" s="600">
        <f>VLOOKUP(F222,'2) Tracker'!$A$3:$Q$505,17,FALSE)</f>
        <v>0</v>
      </c>
      <c r="AC222" s="601"/>
      <c r="AD222" s="601">
        <f>VLOOKUP(F222,'2) Tracker'!$A$2:$BO$981,37,FALSE)</f>
        <v>46179</v>
      </c>
      <c r="AE222" s="601">
        <f>VLOOKUP(F222,'2) Tracker'!$A$2:$BO$981,40,FALSE)</f>
        <v>46159</v>
      </c>
      <c r="AF222" s="601" t="str">
        <f>VLOOKUP(F222,'2) Tracker'!$A$2:$BO$981,67,FALSE)</f>
        <v/>
      </c>
      <c r="AG222" s="601">
        <f>VLOOKUP(F222,'2) Tracker'!$A$2:$BO$981,34,FALSE)</f>
        <v>46141</v>
      </c>
      <c r="AH222" s="601" t="str">
        <f>VLOOKUP(F222,'2) Tracker'!$A$2:$BN$981,66,FALSE)</f>
        <v/>
      </c>
      <c r="AI222" s="601">
        <f>VLOOKUP(F222,'2) Tracker'!$A$2:$BO$981,56,FALSE)</f>
        <v>46145</v>
      </c>
      <c r="AJ222" s="601">
        <f>VLOOKUP(F222,'2) Tracker'!$A$2:$BO$981,52,FALSE)</f>
        <v>46147</v>
      </c>
      <c r="AK222" s="601">
        <f>VLOOKUP(F222,'2) Tracker'!$A$2:$AQ$981,43,FALSE)</f>
        <v>46146</v>
      </c>
      <c r="AL222" s="601">
        <f>VLOOKUP(F222,'2) Tracker'!$A$2:$BH$981,46,FALSE())</f>
        <v>46147</v>
      </c>
      <c r="AM222" s="601">
        <f>VLOOKUP(F222,'2) Tracker'!$A$2:$BO$981,65,FALSE())</f>
        <v>46147</v>
      </c>
      <c r="AN222" s="601">
        <f>VLOOKUP(F222,'2) Tracker'!$A$2:$BK$981,63,FALSE())</f>
        <v>46132</v>
      </c>
      <c r="AO222" s="601" t="str">
        <f>VLOOKUP(F222,'2) Tracker'!$A$2:$BF$981,58,FALSE())</f>
        <v/>
      </c>
      <c r="AP222" s="46"/>
      <c r="AQ222" s="46"/>
      <c r="AR222" s="46"/>
      <c r="AS222" s="46"/>
      <c r="AT222" s="46"/>
      <c r="AU222" s="46"/>
      <c r="AV222" s="46"/>
      <c r="AW222" s="46"/>
      <c r="AX222" s="46"/>
      <c r="AY222" s="46"/>
      <c r="AZ222" s="563"/>
      <c r="BA222" s="604" t="e">
        <f>VLOOKUP(AZ222,#REF!,2, FALSE)</f>
        <v>#REF!</v>
      </c>
      <c r="BB222" s="605" t="e">
        <f>VLOOKUP(AZ222,'1) Kpler'!$E$2:$F$500,2,FALSE)</f>
        <v>#N/A</v>
      </c>
      <c r="BC222" s="569"/>
      <c r="BD222" s="563"/>
      <c r="BE222" s="46"/>
      <c r="BF222" s="46"/>
      <c r="BG222" s="563"/>
      <c r="BH222" s="563"/>
      <c r="BI222" s="563"/>
      <c r="BJ222" s="563"/>
    </row>
    <row r="223" spans="2:62" x14ac:dyDescent="0.25">
      <c r="B223" s="589">
        <f>VLOOKUP(F223,'2) Tracker'!$A$3:$O$411,5,FALSE)</f>
        <v>0</v>
      </c>
      <c r="C223" s="589" t="str">
        <f>VLOOKUP(F223,'2) Tracker'!$A$3:$O$411,4,FALSE)</f>
        <v>US</v>
      </c>
      <c r="D223" s="563"/>
      <c r="E223" s="563">
        <f>VLOOKUP(F223,'2) Tracker'!$A$3:$O$407,15,FALSE)</f>
        <v>0</v>
      </c>
      <c r="F223" s="561" t="s">
        <v>435</v>
      </c>
      <c r="G223" s="607">
        <f>VLOOKUP(F223,'2) Tracker'!$A$2:$BO$361,2,FALSE)</f>
        <v>40422</v>
      </c>
      <c r="H223" s="592">
        <f>VLOOKUP(F223,'2) Tracker'!$A$2:$BO$361,3,FALSE)</f>
        <v>80199</v>
      </c>
      <c r="I223" s="594" t="str">
        <f>VLOOKUP(F223,'2) Tracker'!$A$2:$BO$361,9,FALSE)</f>
        <v>Exxon</v>
      </c>
      <c r="J223" s="594" t="str">
        <f>VLOOKUP(F223,'2) Tracker'!$A$2:$BO$361,12,FALSE)</f>
        <v>Vietnam</v>
      </c>
      <c r="K223" s="595">
        <f t="shared" si="305"/>
        <v>46179</v>
      </c>
      <c r="L223" s="595">
        <f t="shared" ref="L223:O223" si="372">AE223</f>
        <v>46182</v>
      </c>
      <c r="M223" s="596" t="str">
        <f t="shared" si="372"/>
        <v/>
      </c>
      <c r="N223" s="596">
        <f t="shared" si="372"/>
        <v>46156</v>
      </c>
      <c r="O223" s="597" t="str">
        <f t="shared" si="372"/>
        <v/>
      </c>
      <c r="P223" s="598" t="str">
        <f>IFERROR(IF(VLOOKUP(F223,'Voyage days'!$M$808:$N$821,2,FALSE),"GOA",""),"")</f>
        <v/>
      </c>
      <c r="Q223" s="596">
        <f t="shared" si="287"/>
        <v>46158</v>
      </c>
      <c r="R223" s="595">
        <f t="shared" si="289"/>
        <v>46183</v>
      </c>
      <c r="S223" s="595">
        <f t="shared" si="2"/>
        <v>46173</v>
      </c>
      <c r="T223" s="595">
        <f t="shared" si="3"/>
        <v>46167</v>
      </c>
      <c r="U223" s="595">
        <f t="shared" si="290"/>
        <v>46146</v>
      </c>
      <c r="V223" s="595"/>
      <c r="W223" s="595">
        <f t="shared" si="291"/>
        <v>46149.25</v>
      </c>
      <c r="X223" s="599" t="str">
        <f t="shared" si="6"/>
        <v/>
      </c>
      <c r="Y223" s="594" t="s">
        <v>1634</v>
      </c>
      <c r="Z223" s="600" t="str">
        <f>VLOOKUP(F223,'2) Tracker'!$A$3:$Q$505,16,FALSE)</f>
        <v>ETA Vung Tau 28 Apr</v>
      </c>
      <c r="AA223" s="600" t="str">
        <f>VLOOKUP(F223,'2) Tracker'!$A$3:$R$505,18,FALSE)</f>
        <v>ATC 16-17 Mar Targa</v>
      </c>
      <c r="AB223" s="600">
        <f>VLOOKUP(F223,'2) Tracker'!$A$3:$Q$505,17,FALSE)</f>
        <v>0</v>
      </c>
      <c r="AC223" s="601"/>
      <c r="AD223" s="601">
        <f>VLOOKUP(F223,'2) Tracker'!$A$2:$BO$981,37,FALSE)</f>
        <v>46179</v>
      </c>
      <c r="AE223" s="601">
        <f>VLOOKUP(F223,'2) Tracker'!$A$2:$BO$981,40,FALSE)</f>
        <v>46182</v>
      </c>
      <c r="AF223" s="601" t="str">
        <f>VLOOKUP(F223,'2) Tracker'!$A$2:$BO$981,67,FALSE)</f>
        <v/>
      </c>
      <c r="AG223" s="601">
        <f>VLOOKUP(F223,'2) Tracker'!$A$2:$BO$981,34,FALSE)</f>
        <v>46156</v>
      </c>
      <c r="AH223" s="601" t="str">
        <f>VLOOKUP(F223,'2) Tracker'!$A$2:$BN$981,66,FALSE)</f>
        <v/>
      </c>
      <c r="AI223" s="601">
        <f>VLOOKUP(F223,'2) Tracker'!$A$2:$BO$981,56,FALSE)</f>
        <v>46146</v>
      </c>
      <c r="AJ223" s="601">
        <f>VLOOKUP(F223,'2) Tracker'!$A$2:$BO$981,52,FALSE)</f>
        <v>46149.25</v>
      </c>
      <c r="AK223" s="601">
        <f>VLOOKUP(F223,'2) Tracker'!$A$2:$AQ$981,43,FALSE)</f>
        <v>46167</v>
      </c>
      <c r="AL223" s="601">
        <f>VLOOKUP(F223,'2) Tracker'!$A$2:$BH$981,46,FALSE())</f>
        <v>46173</v>
      </c>
      <c r="AM223" s="601">
        <f>VLOOKUP(F223,'2) Tracker'!$A$2:$BO$981,65,FALSE())</f>
        <v>46158</v>
      </c>
      <c r="AN223" s="601">
        <f>VLOOKUP(F223,'2) Tracker'!$A$2:$BK$981,63,FALSE())</f>
        <v>46183</v>
      </c>
      <c r="AO223" s="601" t="str">
        <f>VLOOKUP(F223,'2) Tracker'!$A$2:$BF$981,58,FALSE())</f>
        <v/>
      </c>
      <c r="AP223" s="46"/>
      <c r="AQ223" s="46"/>
      <c r="AR223" s="46"/>
      <c r="AS223" s="46"/>
      <c r="AT223" s="46"/>
      <c r="AU223" s="46"/>
      <c r="AV223" s="46"/>
      <c r="AW223" s="46"/>
      <c r="AX223" s="46"/>
      <c r="AY223" s="46"/>
      <c r="AZ223" s="605"/>
      <c r="BA223" s="604" t="e">
        <f>VLOOKUP(AZ223,#REF!,2, FALSE)</f>
        <v>#REF!</v>
      </c>
      <c r="BB223" s="605" t="e">
        <f>VLOOKUP(AZ223,'1) Kpler'!$E$2:$F$500,2,FALSE)</f>
        <v>#N/A</v>
      </c>
      <c r="BC223" s="604"/>
      <c r="BD223" s="605"/>
      <c r="BE223" s="46"/>
      <c r="BF223" s="46"/>
      <c r="BG223" s="605"/>
      <c r="BH223" s="605"/>
      <c r="BI223" s="605"/>
      <c r="BJ223" s="605"/>
    </row>
    <row r="224" spans="2:62" x14ac:dyDescent="0.25">
      <c r="B224" s="589">
        <f>VLOOKUP(F224,'2) Tracker'!$A$3:$O$411,5,FALSE)</f>
        <v>0</v>
      </c>
      <c r="C224" s="589">
        <f>VLOOKUP(F224,'2) Tracker'!$A$3:$O$411,4,FALSE)</f>
        <v>0</v>
      </c>
      <c r="D224" s="563"/>
      <c r="E224" s="596">
        <f>VLOOKUP(F224,'2) Tracker'!$A$3:$O$407,15,FALSE)</f>
        <v>0</v>
      </c>
      <c r="F224" s="604" t="s">
        <v>468</v>
      </c>
      <c r="G224" s="591">
        <f>VLOOKUP(F224,'2) Tracker'!$A$2:$BO$361,2,FALSE)</f>
        <v>2019</v>
      </c>
      <c r="H224" s="592">
        <f>VLOOKUP(F224,'2) Tracker'!$A$2:$BO$361,3,FALSE)</f>
        <v>83000</v>
      </c>
      <c r="I224" s="600" t="str">
        <f>VLOOKUP(F224,'2) Tracker'!$A$2:$BO$361,9,FALSE)</f>
        <v>Astomos</v>
      </c>
      <c r="J224" s="594" t="str">
        <f>VLOOKUP(F224,'2) Tracker'!$A$2:$BO$361,12,FALSE)</f>
        <v>East China</v>
      </c>
      <c r="K224" s="596">
        <f t="shared" si="305"/>
        <v>46179</v>
      </c>
      <c r="L224" s="596">
        <f t="shared" ref="L224:O224" si="373">AE224</f>
        <v>46191</v>
      </c>
      <c r="M224" s="596" t="str">
        <f t="shared" si="373"/>
        <v/>
      </c>
      <c r="N224" s="596">
        <f t="shared" si="373"/>
        <v>46164</v>
      </c>
      <c r="O224" s="597" t="str">
        <f t="shared" si="373"/>
        <v/>
      </c>
      <c r="P224" s="598" t="str">
        <f>IFERROR(IF(VLOOKUP(F224,'Voyage days'!$M$808:$N$819,2,FALSE),"GOA",""),"")</f>
        <v/>
      </c>
      <c r="Q224" s="596">
        <f t="shared" si="287"/>
        <v>46169</v>
      </c>
      <c r="R224" s="596">
        <f t="shared" si="289"/>
        <v>46191</v>
      </c>
      <c r="S224" s="595">
        <f t="shared" si="2"/>
        <v>46182</v>
      </c>
      <c r="T224" s="596">
        <f t="shared" si="3"/>
        <v>46175</v>
      </c>
      <c r="U224" s="596">
        <f t="shared" si="290"/>
        <v>46157</v>
      </c>
      <c r="V224" s="570" t="s">
        <v>1577</v>
      </c>
      <c r="W224" s="596">
        <f t="shared" si="291"/>
        <v>46154.25</v>
      </c>
      <c r="X224" s="599">
        <f t="shared" si="6"/>
        <v>46160</v>
      </c>
      <c r="Y224" s="594"/>
      <c r="Z224" s="600" t="str">
        <f>VLOOKUP(F224,'2) Tracker'!$A$3:$Q$505,16,FALSE)</f>
        <v>ETA Taixing 2 May</v>
      </c>
      <c r="AA224" s="600" t="str">
        <f>VLOOKUP(F224,'2) Tracker'!$A$3:$R$505,18,FALSE)</f>
        <v>Astomos 15-16 Apr RIPET</v>
      </c>
      <c r="AB224" s="600">
        <f>VLOOKUP(F224,'2) Tracker'!$A$3:$Q$505,17,FALSE)</f>
        <v>0</v>
      </c>
      <c r="AC224" s="601"/>
      <c r="AD224" s="601">
        <f>VLOOKUP(F224,'2) Tracker'!$A$2:$BO$981,37,FALSE)</f>
        <v>46179</v>
      </c>
      <c r="AE224" s="601">
        <f>VLOOKUP(F224,'2) Tracker'!$A$2:$BO$981,40,FALSE)</f>
        <v>46191</v>
      </c>
      <c r="AF224" s="601" t="str">
        <f>VLOOKUP(F224,'2) Tracker'!$A$2:$BO$981,67,FALSE)</f>
        <v/>
      </c>
      <c r="AG224" s="601">
        <f>VLOOKUP(F224,'2) Tracker'!$A$2:$BO$981,34,FALSE)</f>
        <v>46164</v>
      </c>
      <c r="AH224" s="601" t="str">
        <f>VLOOKUP(F224,'2) Tracker'!$A$2:$BN$981,66,FALSE)</f>
        <v/>
      </c>
      <c r="AI224" s="601">
        <f>VLOOKUP(F224,'2) Tracker'!$A$2:$BO$981,56,FALSE)</f>
        <v>46157</v>
      </c>
      <c r="AJ224" s="601">
        <f>VLOOKUP(F224,'2) Tracker'!$A$2:$BO$981,52,FALSE)</f>
        <v>46154.25</v>
      </c>
      <c r="AK224" s="601">
        <f>VLOOKUP(F224,'2) Tracker'!$A$2:$AQ$981,43,FALSE)</f>
        <v>46175</v>
      </c>
      <c r="AL224" s="601">
        <f>VLOOKUP(F224,'2) Tracker'!$A$2:$BH$981,46,FALSE())</f>
        <v>46182</v>
      </c>
      <c r="AM224" s="601">
        <f>VLOOKUP(F224,'2) Tracker'!$A$2:$BO$981,65,FALSE())</f>
        <v>46169</v>
      </c>
      <c r="AN224" s="601">
        <f>VLOOKUP(F224,'2) Tracker'!$A$2:$BK$981,63,FALSE())</f>
        <v>46191</v>
      </c>
      <c r="AO224" s="601">
        <f>VLOOKUP(F224,'2) Tracker'!$A$2:$BF$981,58,FALSE())</f>
        <v>46160</v>
      </c>
      <c r="AP224" s="46"/>
      <c r="AQ224" s="46"/>
      <c r="AR224" s="46"/>
      <c r="AS224" s="46"/>
      <c r="AT224" s="46"/>
      <c r="AU224" s="46"/>
      <c r="AV224" s="46"/>
      <c r="AW224" s="46"/>
      <c r="AX224" s="46"/>
      <c r="AY224" s="46"/>
      <c r="AZ224" s="563"/>
      <c r="BA224" s="604" t="e">
        <f>VLOOKUP(AZ224,#REF!,2, FALSE)</f>
        <v>#REF!</v>
      </c>
      <c r="BB224" s="605" t="e">
        <f>VLOOKUP(AZ224,'1) Kpler'!$E$2:$F$500,2,FALSE)</f>
        <v>#N/A</v>
      </c>
      <c r="BC224" s="569"/>
      <c r="BD224" s="563"/>
      <c r="BE224" s="46"/>
      <c r="BF224" s="46"/>
      <c r="BG224" s="563"/>
      <c r="BH224" s="563"/>
      <c r="BI224" s="563"/>
      <c r="BJ224" s="563"/>
    </row>
    <row r="225" spans="2:62" x14ac:dyDescent="0.25">
      <c r="B225" s="589">
        <f>VLOOKUP(F225,'2) Tracker'!$A$3:$O$411,5,FALSE)</f>
        <v>0</v>
      </c>
      <c r="C225" s="589">
        <f>VLOOKUP(F225,'2) Tracker'!$A$3:$O$411,4,FALSE)</f>
        <v>0</v>
      </c>
      <c r="D225" s="563"/>
      <c r="E225" s="563">
        <f>VLOOKUP(F225,'2) Tracker'!$A$3:$O$407,15,FALSE)</f>
        <v>0</v>
      </c>
      <c r="F225" s="561" t="s">
        <v>638</v>
      </c>
      <c r="G225" s="615">
        <f>VLOOKUP(F225,'2) Tracker'!$A$2:$BO$361,2,FALSE)</f>
        <v>2008</v>
      </c>
      <c r="H225" s="592">
        <f>VLOOKUP(F225,'2) Tracker'!$A$2:$BO$361,3,FALSE)</f>
        <v>78500</v>
      </c>
      <c r="I225" s="594" t="str">
        <f>VLOOKUP(F225,'2) Tracker'!$A$2:$BO$361,9,FALSE)</f>
        <v>Trafigura</v>
      </c>
      <c r="J225" s="594" t="str">
        <f>VLOOKUP(F225,'2) Tracker'!$A$2:$BO$361,12,FALSE)</f>
        <v>Singapore laden</v>
      </c>
      <c r="K225" s="596">
        <f t="shared" si="305"/>
        <v>46180</v>
      </c>
      <c r="L225" s="596">
        <f t="shared" ref="L225:O225" si="374">AE225</f>
        <v>46181</v>
      </c>
      <c r="M225" s="596" t="str">
        <f t="shared" si="374"/>
        <v/>
      </c>
      <c r="N225" s="596">
        <f t="shared" si="374"/>
        <v>46157</v>
      </c>
      <c r="O225" s="597" t="str">
        <f t="shared" si="374"/>
        <v/>
      </c>
      <c r="P225" s="598" t="str">
        <f>IFERROR(IF(VLOOKUP(F225,'Voyage days'!$M$808:$N$819,2,FALSE),"GOA",""),"")</f>
        <v/>
      </c>
      <c r="Q225" s="596">
        <f t="shared" si="287"/>
        <v>46162</v>
      </c>
      <c r="R225" s="596">
        <f t="shared" si="289"/>
        <v>46185</v>
      </c>
      <c r="S225" s="595">
        <f t="shared" si="2"/>
        <v>46175</v>
      </c>
      <c r="T225" s="596">
        <f t="shared" si="3"/>
        <v>46167</v>
      </c>
      <c r="U225" s="596">
        <f t="shared" si="290"/>
        <v>46150</v>
      </c>
      <c r="V225" s="596"/>
      <c r="W225" s="596">
        <f t="shared" si="291"/>
        <v>46152</v>
      </c>
      <c r="X225" s="599" t="str">
        <f t="shared" si="6"/>
        <v/>
      </c>
      <c r="Y225" s="594" t="s">
        <v>1634</v>
      </c>
      <c r="Z225" s="600" t="str">
        <f>VLOOKUP(F225,'2) Tracker'!$A$3:$Q$505,16,FALSE)</f>
        <v>ETA Singapore 30 Apr</v>
      </c>
      <c r="AA225" s="600" t="str">
        <f>VLOOKUP(F225,'2) Tracker'!$A$3:$R$505,18,FALSE)</f>
        <v>Vitol 01-03 Apr Bonny</v>
      </c>
      <c r="AB225" s="600">
        <f>VLOOKUP(F225,'2) Tracker'!$A$3:$Q$505,17,FALSE)</f>
        <v>0</v>
      </c>
      <c r="AC225" s="601"/>
      <c r="AD225" s="601">
        <f>VLOOKUP(F225,'2) Tracker'!$A$2:$BO$981,37,FALSE)</f>
        <v>46180</v>
      </c>
      <c r="AE225" s="601">
        <f>VLOOKUP(F225,'2) Tracker'!$A$2:$BO$981,40,FALSE)</f>
        <v>46181</v>
      </c>
      <c r="AF225" s="601" t="str">
        <f>VLOOKUP(F225,'2) Tracker'!$A$2:$BO$981,67,FALSE)</f>
        <v/>
      </c>
      <c r="AG225" s="601">
        <f>VLOOKUP(F225,'2) Tracker'!$A$2:$BO$981,34,FALSE)</f>
        <v>46157</v>
      </c>
      <c r="AH225" s="601" t="str">
        <f>VLOOKUP(F225,'2) Tracker'!$A$2:$BN$981,66,FALSE)</f>
        <v/>
      </c>
      <c r="AI225" s="601">
        <f>VLOOKUP(F225,'2) Tracker'!$A$2:$BO$981,56,FALSE)</f>
        <v>46150</v>
      </c>
      <c r="AJ225" s="601">
        <f>VLOOKUP(F225,'2) Tracker'!$A$2:$BO$981,52,FALSE)</f>
        <v>46152</v>
      </c>
      <c r="AK225" s="601">
        <f>VLOOKUP(F225,'2) Tracker'!$A$2:$AQ$981,43,FALSE)</f>
        <v>46167</v>
      </c>
      <c r="AL225" s="601">
        <f>VLOOKUP(F225,'2) Tracker'!$A$2:$BH$981,46,FALSE())</f>
        <v>46175</v>
      </c>
      <c r="AM225" s="601">
        <f>VLOOKUP(F225,'2) Tracker'!$A$2:$BO$981,65,FALSE())</f>
        <v>46162</v>
      </c>
      <c r="AN225" s="601">
        <f>VLOOKUP(F225,'2) Tracker'!$A$2:$BK$981,63,FALSE())</f>
        <v>46185</v>
      </c>
      <c r="AO225" s="601" t="str">
        <f>VLOOKUP(F225,'2) Tracker'!$A$2:$BF$981,58,FALSE())</f>
        <v/>
      </c>
      <c r="AP225" s="46"/>
      <c r="AQ225" s="46"/>
      <c r="AR225" s="46"/>
      <c r="AS225" s="46"/>
      <c r="AT225" s="46"/>
      <c r="AU225" s="46"/>
      <c r="AV225" s="46"/>
      <c r="AW225" s="46"/>
      <c r="AX225" s="46"/>
      <c r="AY225" s="46"/>
      <c r="AZ225" s="563"/>
      <c r="BA225" s="604" t="e">
        <f>VLOOKUP(AZ225,#REF!,2, FALSE)</f>
        <v>#REF!</v>
      </c>
      <c r="BB225" s="605" t="e">
        <f>VLOOKUP(AZ225,'1) Kpler'!$E$2:$F$500,2,FALSE)</f>
        <v>#N/A</v>
      </c>
      <c r="BC225" s="569"/>
      <c r="BD225" s="563"/>
      <c r="BE225" s="46"/>
      <c r="BF225" s="46"/>
      <c r="BG225" s="563"/>
      <c r="BH225" s="563"/>
      <c r="BI225" s="563"/>
      <c r="BJ225" s="563"/>
    </row>
    <row r="226" spans="2:62" x14ac:dyDescent="0.25">
      <c r="B226" s="589">
        <f>VLOOKUP(F226,'2) Tracker'!$A$3:$O$411,5,FALSE)</f>
        <v>0</v>
      </c>
      <c r="C226" s="589">
        <f>VLOOKUP(F226,'2) Tracker'!$A$3:$O$411,4,FALSE)</f>
        <v>0</v>
      </c>
      <c r="D226" s="563"/>
      <c r="E226" s="563">
        <f>VLOOKUP(F226,'2) Tracker'!$A$3:$O$407,15,FALSE)</f>
        <v>0</v>
      </c>
      <c r="F226" s="608" t="s">
        <v>213</v>
      </c>
      <c r="G226" s="591">
        <f>VLOOKUP(F226,'2) Tracker'!$A$2:$BO$361,2,FALSE)</f>
        <v>2022</v>
      </c>
      <c r="H226" s="592">
        <f>VLOOKUP(F226,'2) Tracker'!$A$2:$BO$361,3,FALSE)</f>
        <v>84000</v>
      </c>
      <c r="I226" s="593" t="str">
        <f>VLOOKUP(F226,'2) Tracker'!$A$2:$BO$361,9,FALSE)</f>
        <v>BGN</v>
      </c>
      <c r="J226" s="594" t="str">
        <f>VLOOKUP(F226,'2) Tracker'!$A$2:$BO$361,12,FALSE)</f>
        <v>Port Louis laden</v>
      </c>
      <c r="K226" s="596">
        <f t="shared" si="305"/>
        <v>46180</v>
      </c>
      <c r="L226" s="596">
        <f t="shared" ref="L226:O226" si="375">AE226</f>
        <v>46188</v>
      </c>
      <c r="M226" s="596" t="str">
        <f t="shared" si="375"/>
        <v/>
      </c>
      <c r="N226" s="596">
        <f t="shared" si="375"/>
        <v>46160</v>
      </c>
      <c r="O226" s="597" t="str">
        <f t="shared" si="375"/>
        <v/>
      </c>
      <c r="P226" s="598" t="str">
        <f>IFERROR(IF(VLOOKUP(F226,'Voyage days'!$M$808:$N$819,2,FALSE),"GOA",""),"")</f>
        <v/>
      </c>
      <c r="Q226" s="596">
        <f t="shared" si="287"/>
        <v>46135</v>
      </c>
      <c r="R226" s="596">
        <f t="shared" si="289"/>
        <v>46187</v>
      </c>
      <c r="S226" s="595">
        <f t="shared" si="2"/>
        <v>46179</v>
      </c>
      <c r="T226" s="596">
        <f t="shared" si="3"/>
        <v>46171</v>
      </c>
      <c r="U226" s="596">
        <f t="shared" si="290"/>
        <v>46152</v>
      </c>
      <c r="V226" s="596"/>
      <c r="W226" s="596">
        <f t="shared" si="291"/>
        <v>46154</v>
      </c>
      <c r="X226" s="599" t="str">
        <f t="shared" si="6"/>
        <v/>
      </c>
      <c r="Y226" s="594"/>
      <c r="Z226" s="600" t="str">
        <f>VLOOKUP(F226,'2) Tracker'!$A$3:$Q$505,16,FALSE)</f>
        <v>Pendung firm disport</v>
      </c>
      <c r="AA226" s="600" t="str">
        <f>VLOOKUP(F226,'2) Tracker'!$A$3:$R$505,18,FALSE)</f>
        <v>BGN 17-18 Mar Nederland</v>
      </c>
      <c r="AB226" s="600">
        <f>VLOOKUP(F226,'2) Tracker'!$A$3:$Q$505,17,FALSE)</f>
        <v>0</v>
      </c>
      <c r="AC226" s="601"/>
      <c r="AD226" s="601">
        <f>VLOOKUP(F226,'2) Tracker'!$A$2:$BO$981,37,FALSE)</f>
        <v>46180</v>
      </c>
      <c r="AE226" s="601">
        <f>VLOOKUP(F226,'2) Tracker'!$A$2:$BO$981,40,FALSE)</f>
        <v>46188</v>
      </c>
      <c r="AF226" s="601" t="str">
        <f>VLOOKUP(F226,'2) Tracker'!$A$2:$BO$981,67,FALSE)</f>
        <v/>
      </c>
      <c r="AG226" s="601">
        <f>VLOOKUP(F226,'2) Tracker'!$A$2:$BO$981,34,FALSE)</f>
        <v>46160</v>
      </c>
      <c r="AH226" s="601" t="str">
        <f>VLOOKUP(F226,'2) Tracker'!$A$2:$BN$981,66,FALSE)</f>
        <v/>
      </c>
      <c r="AI226" s="601">
        <f>VLOOKUP(F226,'2) Tracker'!$A$2:$BO$981,56,FALSE)</f>
        <v>46152</v>
      </c>
      <c r="AJ226" s="601">
        <f>VLOOKUP(F226,'2) Tracker'!$A$2:$BO$981,52,FALSE)</f>
        <v>46154</v>
      </c>
      <c r="AK226" s="601">
        <f>VLOOKUP(F226,'2) Tracker'!$A$2:$AQ$981,43,FALSE)</f>
        <v>46171</v>
      </c>
      <c r="AL226" s="601">
        <f>VLOOKUP(F226,'2) Tracker'!$A$2:$BH$981,46,FALSE())</f>
        <v>46179</v>
      </c>
      <c r="AM226" s="601">
        <f>VLOOKUP(F226,'2) Tracker'!$A$2:$BO$981,65,FALSE())</f>
        <v>46135</v>
      </c>
      <c r="AN226" s="601">
        <f>VLOOKUP(F226,'2) Tracker'!$A$2:$BK$981,63,FALSE())</f>
        <v>46187</v>
      </c>
      <c r="AO226" s="601" t="str">
        <f>VLOOKUP(F226,'2) Tracker'!$A$2:$BF$981,58,FALSE())</f>
        <v/>
      </c>
      <c r="AP226" s="46"/>
      <c r="AQ226" s="46"/>
      <c r="AR226" s="46"/>
      <c r="AS226" s="46"/>
      <c r="AT226" s="46"/>
      <c r="AU226" s="46"/>
      <c r="AV226" s="46"/>
      <c r="AW226" s="46"/>
      <c r="AX226" s="46"/>
      <c r="AY226" s="46"/>
      <c r="AZ226" s="563"/>
      <c r="BA226" s="604" t="e">
        <f>VLOOKUP(AZ226,#REF!,2, FALSE)</f>
        <v>#REF!</v>
      </c>
      <c r="BB226" s="605" t="e">
        <f>VLOOKUP(AZ226,'1) Kpler'!$E$2:$F$500,2,FALSE)</f>
        <v>#N/A</v>
      </c>
      <c r="BC226" s="569"/>
      <c r="BD226" s="563"/>
      <c r="BE226" s="46"/>
      <c r="BF226" s="46"/>
      <c r="BG226" s="563"/>
      <c r="BH226" s="563"/>
      <c r="BI226" s="563"/>
      <c r="BJ226" s="563"/>
    </row>
    <row r="227" spans="2:62" x14ac:dyDescent="0.25">
      <c r="B227" s="589">
        <f>VLOOKUP(F227,'2) Tracker'!$A$3:$O$411,5,FALSE)</f>
        <v>0</v>
      </c>
      <c r="C227" s="589">
        <f>VLOOKUP(F227,'2) Tracker'!$A$3:$O$411,4,FALSE)</f>
        <v>0</v>
      </c>
      <c r="D227" s="563"/>
      <c r="E227" s="563">
        <f>VLOOKUP(F227,'2) Tracker'!$A$3:$O$407,15,FALSE)</f>
        <v>0</v>
      </c>
      <c r="F227" s="604" t="s">
        <v>1390</v>
      </c>
      <c r="G227" s="607">
        <f>VLOOKUP(F227,'2) Tracker'!$A$2:$BO$361,2,FALSE)</f>
        <v>42103</v>
      </c>
      <c r="H227" s="592">
        <f>VLOOKUP(F227,'2) Tracker'!$A$2:$BO$361,3,FALSE)</f>
        <v>83000</v>
      </c>
      <c r="I227" s="594" t="str">
        <f>VLOOKUP(F227,'2) Tracker'!$A$2:$BO$361,9,FALSE)</f>
        <v>BW</v>
      </c>
      <c r="J227" s="594" t="str">
        <f>VLOOKUP(F227,'2) Tracker'!$A$2:$BO$361,12,FALSE)</f>
        <v>Indo</v>
      </c>
      <c r="K227" s="596">
        <f t="shared" si="305"/>
        <v>46181</v>
      </c>
      <c r="L227" s="596">
        <f t="shared" ref="L227:O227" si="376">AE227</f>
        <v>46180</v>
      </c>
      <c r="M227" s="596" t="str">
        <f t="shared" si="376"/>
        <v/>
      </c>
      <c r="N227" s="596">
        <f t="shared" si="376"/>
        <v>46154</v>
      </c>
      <c r="O227" s="597" t="str">
        <f t="shared" si="376"/>
        <v/>
      </c>
      <c r="P227" s="598" t="str">
        <f>IFERROR(IF(VLOOKUP(F227,'Voyage days'!$M$808:$N$819,2,FALSE),"GOA",""),"")</f>
        <v/>
      </c>
      <c r="Q227" s="596">
        <f t="shared" si="287"/>
        <v>46157</v>
      </c>
      <c r="R227" s="596">
        <f t="shared" si="289"/>
        <v>46180</v>
      </c>
      <c r="S227" s="595">
        <f t="shared" si="2"/>
        <v>46172</v>
      </c>
      <c r="T227" s="596">
        <f t="shared" si="3"/>
        <v>46163</v>
      </c>
      <c r="U227" s="596">
        <f t="shared" si="290"/>
        <v>46147</v>
      </c>
      <c r="V227" s="596"/>
      <c r="W227" s="596">
        <f t="shared" si="291"/>
        <v>46147</v>
      </c>
      <c r="X227" s="599" t="str">
        <f t="shared" si="6"/>
        <v/>
      </c>
      <c r="Y227" s="594"/>
      <c r="Z227" s="600" t="str">
        <f>VLOOKUP(F227,'2) Tracker'!$A$3:$Q$505,16,FALSE)</f>
        <v>ETA Kalbur 27 Apr</v>
      </c>
      <c r="AA227" s="600" t="str">
        <f>VLOOKUP(F227,'2) Tracker'!$A$3:$R$505,18,FALSE)</f>
        <v>BGN 14-15 Mar Nederland</v>
      </c>
      <c r="AB227" s="600">
        <f>VLOOKUP(F227,'2) Tracker'!$A$3:$Q$505,17,FALSE)</f>
        <v>0</v>
      </c>
      <c r="AC227" s="601"/>
      <c r="AD227" s="601">
        <f>VLOOKUP(F227,'2) Tracker'!$A$2:$BO$981,37,FALSE)</f>
        <v>46181</v>
      </c>
      <c r="AE227" s="601">
        <f>VLOOKUP(F227,'2) Tracker'!$A$2:$BO$981,40,FALSE)</f>
        <v>46180</v>
      </c>
      <c r="AF227" s="601" t="str">
        <f>VLOOKUP(F227,'2) Tracker'!$A$2:$BO$981,67,FALSE)</f>
        <v/>
      </c>
      <c r="AG227" s="601">
        <f>VLOOKUP(F227,'2) Tracker'!$A$2:$BO$981,34,FALSE)</f>
        <v>46154</v>
      </c>
      <c r="AH227" s="601" t="str">
        <f>VLOOKUP(F227,'2) Tracker'!$A$2:$BN$981,66,FALSE)</f>
        <v/>
      </c>
      <c r="AI227" s="601">
        <f>VLOOKUP(F227,'2) Tracker'!$A$2:$BO$981,56,FALSE)</f>
        <v>46147</v>
      </c>
      <c r="AJ227" s="601">
        <f>VLOOKUP(F227,'2) Tracker'!$A$2:$BO$981,52,FALSE)</f>
        <v>46147</v>
      </c>
      <c r="AK227" s="601">
        <f>VLOOKUP(F227,'2) Tracker'!$A$2:$AQ$981,43,FALSE)</f>
        <v>46163</v>
      </c>
      <c r="AL227" s="601">
        <f>VLOOKUP(F227,'2) Tracker'!$A$2:$BH$981,46,FALSE())</f>
        <v>46172</v>
      </c>
      <c r="AM227" s="601">
        <f>VLOOKUP(F227,'2) Tracker'!$A$2:$BO$981,65,FALSE())</f>
        <v>46157</v>
      </c>
      <c r="AN227" s="601">
        <f>VLOOKUP(F227,'2) Tracker'!$A$2:$BK$981,63,FALSE())</f>
        <v>46180</v>
      </c>
      <c r="AO227" s="601" t="str">
        <f>VLOOKUP(F227,'2) Tracker'!$A$2:$BF$981,58,FALSE())</f>
        <v/>
      </c>
      <c r="AP227" s="46"/>
      <c r="AQ227" s="46"/>
      <c r="AR227" s="46"/>
      <c r="AS227" s="46"/>
      <c r="AT227" s="46"/>
      <c r="AU227" s="46"/>
      <c r="AV227" s="46"/>
      <c r="AW227" s="46"/>
      <c r="AX227" s="46"/>
      <c r="AY227" s="46"/>
      <c r="AZ227" s="563"/>
      <c r="BA227" s="604" t="e">
        <f>VLOOKUP(AZ227,#REF!,2, FALSE)</f>
        <v>#REF!</v>
      </c>
      <c r="BB227" s="605" t="e">
        <f>VLOOKUP(AZ227,'1) Kpler'!$E$2:$F$500,2,FALSE)</f>
        <v>#N/A</v>
      </c>
      <c r="BC227" s="569"/>
      <c r="BD227" s="563"/>
      <c r="BE227" s="46"/>
      <c r="BF227" s="46"/>
      <c r="BG227" s="563"/>
      <c r="BH227" s="563"/>
      <c r="BI227" s="563"/>
      <c r="BJ227" s="563"/>
    </row>
    <row r="228" spans="2:62" x14ac:dyDescent="0.25">
      <c r="B228" s="589" t="str">
        <f>VLOOKUP(F228,'2) Tracker'!$A$3:$O$411,5,FALSE)</f>
        <v>C</v>
      </c>
      <c r="C228" s="589">
        <f>VLOOKUP(F228,'2) Tracker'!$A$3:$O$411,4,FALSE)</f>
        <v>0</v>
      </c>
      <c r="D228" s="563"/>
      <c r="E228" s="563" t="str">
        <f>VLOOKUP(F228,'2) Tracker'!$A$3:$O$407,15,FALSE)</f>
        <v>R?</v>
      </c>
      <c r="F228" s="561" t="s">
        <v>90</v>
      </c>
      <c r="G228" s="591">
        <f>VLOOKUP(F228,'2) Tracker'!$A$2:$BO$361,2,FALSE)</f>
        <v>2021</v>
      </c>
      <c r="H228" s="592">
        <f>VLOOKUP(F228,'2) Tracker'!$A$2:$BO$361,3,FALSE)</f>
        <v>91000</v>
      </c>
      <c r="I228" s="600" t="str">
        <f>VLOOKUP(F228,'2) Tracker'!$A$2:$BO$361,9,FALSE)</f>
        <v>Trafigura</v>
      </c>
      <c r="J228" s="594" t="str">
        <f>VLOOKUP(F228,'2) Tracker'!$A$2:$BO$361,12,FALSE)</f>
        <v>South China</v>
      </c>
      <c r="K228" s="595">
        <f t="shared" si="305"/>
        <v>46181</v>
      </c>
      <c r="L228" s="595">
        <f t="shared" ref="L228:O228" si="377">AE228</f>
        <v>46187</v>
      </c>
      <c r="M228" s="596" t="str">
        <f t="shared" si="377"/>
        <v/>
      </c>
      <c r="N228" s="597">
        <f t="shared" si="377"/>
        <v>46160</v>
      </c>
      <c r="O228" s="597" t="str">
        <f t="shared" si="377"/>
        <v/>
      </c>
      <c r="P228" s="598" t="str">
        <f>IFERROR(IF(VLOOKUP(F228,'Voyage days'!$M$808:$N$819,2,FALSE),"GOA",""),"")</f>
        <v/>
      </c>
      <c r="Q228" s="596">
        <f t="shared" si="287"/>
        <v>46164</v>
      </c>
      <c r="R228" s="595">
        <f t="shared" si="289"/>
        <v>46187</v>
      </c>
      <c r="S228" s="595">
        <f t="shared" si="2"/>
        <v>46178</v>
      </c>
      <c r="T228" s="596">
        <f t="shared" si="3"/>
        <v>46171</v>
      </c>
      <c r="U228" s="595">
        <f t="shared" si="290"/>
        <v>46151</v>
      </c>
      <c r="V228" s="596"/>
      <c r="W228" s="596">
        <f t="shared" si="291"/>
        <v>46151.75</v>
      </c>
      <c r="X228" s="599" t="str">
        <f t="shared" si="6"/>
        <v/>
      </c>
      <c r="Y228" s="594" t="s">
        <v>1635</v>
      </c>
      <c r="Z228" s="600" t="str">
        <f>VLOOKUP(F228,'2) Tracker'!$A$3:$Q$505,16,FALSE)</f>
        <v xml:space="preserve">ETA Chiba 26 Apr (no firm order yet) </v>
      </c>
      <c r="AA228" s="600" t="str">
        <f>VLOOKUP(F228,'2) Tracker'!$A$3:$R$505,18,FALSE)</f>
        <v>BWPS 19-20 Mar Enterprise</v>
      </c>
      <c r="AB228" s="600">
        <f>VLOOKUP(F228,'2) Tracker'!$A$3:$Q$505,17,FALSE)</f>
        <v>0</v>
      </c>
      <c r="AC228" s="601"/>
      <c r="AD228" s="601">
        <f>VLOOKUP(F228,'2) Tracker'!$A$2:$BO$981,37,FALSE)</f>
        <v>46181</v>
      </c>
      <c r="AE228" s="601">
        <f>VLOOKUP(F228,'2) Tracker'!$A$2:$BO$981,40,FALSE)</f>
        <v>46187</v>
      </c>
      <c r="AF228" s="601" t="str">
        <f>VLOOKUP(F228,'2) Tracker'!$A$2:$BO$981,67,FALSE)</f>
        <v/>
      </c>
      <c r="AG228" s="601">
        <f>VLOOKUP(F228,'2) Tracker'!$A$2:$BO$981,34,FALSE)</f>
        <v>46160</v>
      </c>
      <c r="AH228" s="601" t="str">
        <f>VLOOKUP(F228,'2) Tracker'!$A$2:$BN$981,66,FALSE)</f>
        <v/>
      </c>
      <c r="AI228" s="601">
        <f>VLOOKUP(F228,'2) Tracker'!$A$2:$BO$981,56,FALSE)</f>
        <v>46151</v>
      </c>
      <c r="AJ228" s="601">
        <f>VLOOKUP(F228,'2) Tracker'!$A$2:$BO$981,52,FALSE)</f>
        <v>46151.75</v>
      </c>
      <c r="AK228" s="601">
        <f>VLOOKUP(F228,'2) Tracker'!$A$2:$AQ$981,43,FALSE)</f>
        <v>46171</v>
      </c>
      <c r="AL228" s="601">
        <f>VLOOKUP(F228,'2) Tracker'!$A$2:$BH$981,46,FALSE())</f>
        <v>46178</v>
      </c>
      <c r="AM228" s="601">
        <f>VLOOKUP(F228,'2) Tracker'!$A$2:$BO$981,65,FALSE())</f>
        <v>46164</v>
      </c>
      <c r="AN228" s="601">
        <f>VLOOKUP(F228,'2) Tracker'!$A$2:$BK$981,63,FALSE())</f>
        <v>46187</v>
      </c>
      <c r="AO228" s="601" t="str">
        <f>VLOOKUP(F228,'2) Tracker'!$A$2:$BF$981,58,FALSE())</f>
        <v/>
      </c>
      <c r="AP228" s="46"/>
      <c r="AQ228" s="46"/>
      <c r="AR228" s="46"/>
      <c r="AS228" s="46"/>
      <c r="AT228" s="46"/>
      <c r="AU228" s="46"/>
      <c r="AV228" s="46"/>
      <c r="AW228" s="46"/>
      <c r="AX228" s="46"/>
      <c r="AY228" s="46"/>
      <c r="AZ228" s="605"/>
      <c r="BA228" s="604" t="e">
        <f>VLOOKUP(AZ228,#REF!,2, FALSE)</f>
        <v>#REF!</v>
      </c>
      <c r="BB228" s="605" t="e">
        <f>VLOOKUP(AZ228,'1) Kpler'!$E$2:$F$500,2,FALSE)</f>
        <v>#N/A</v>
      </c>
      <c r="BC228" s="604"/>
      <c r="BD228" s="605"/>
      <c r="BE228" s="46"/>
      <c r="BF228" s="46"/>
      <c r="BG228" s="605"/>
      <c r="BH228" s="605"/>
      <c r="BI228" s="605"/>
      <c r="BJ228" s="605"/>
    </row>
    <row r="229" spans="2:62" x14ac:dyDescent="0.25">
      <c r="B229" s="589">
        <f>VLOOKUP(F229,'2) Tracker'!$A$3:$O$411,5,FALSE)</f>
        <v>0</v>
      </c>
      <c r="C229" s="589">
        <f>VLOOKUP(F229,'2) Tracker'!$A$3:$O$411,4,FALSE)</f>
        <v>0</v>
      </c>
      <c r="D229" s="563"/>
      <c r="E229" s="563">
        <f>VLOOKUP(F229,'2) Tracker'!$A$3:$O$407,15,FALSE)</f>
        <v>0</v>
      </c>
      <c r="F229" s="594" t="s">
        <v>264</v>
      </c>
      <c r="G229" s="591">
        <f>VLOOKUP(F229,'2) Tracker'!$A$2:$BO$361,2,FALSE)</f>
        <v>2018</v>
      </c>
      <c r="H229" s="592">
        <f>VLOOKUP(F229,'2) Tracker'!$A$2:$BO$361,3,FALSE)</f>
        <v>84000</v>
      </c>
      <c r="I229" s="600" t="str">
        <f>VLOOKUP(F229,'2) Tracker'!$A$2:$BO$361,9,FALSE)</f>
        <v>SK Gas</v>
      </c>
      <c r="J229" s="594" t="str">
        <f>VLOOKUP(F229,'2) Tracker'!$A$2:$BO$361,12,FALSE)</f>
        <v>Korea</v>
      </c>
      <c r="K229" s="596">
        <f t="shared" si="305"/>
        <v>46181</v>
      </c>
      <c r="L229" s="596">
        <f t="shared" ref="L229:O229" si="378">AE229</f>
        <v>46189</v>
      </c>
      <c r="M229" s="596" t="str">
        <f t="shared" si="378"/>
        <v/>
      </c>
      <c r="N229" s="596">
        <f t="shared" si="378"/>
        <v>46166</v>
      </c>
      <c r="O229" s="597" t="str">
        <f t="shared" si="378"/>
        <v/>
      </c>
      <c r="P229" s="598" t="str">
        <f>IFERROR(IF(VLOOKUP(F229,'Voyage days'!$M$808:$N$819,2,FALSE),"GOA",""),"")</f>
        <v/>
      </c>
      <c r="Q229" s="596">
        <f t="shared" si="287"/>
        <v>46170</v>
      </c>
      <c r="R229" s="596">
        <f t="shared" si="289"/>
        <v>46193</v>
      </c>
      <c r="S229" s="595">
        <f t="shared" si="2"/>
        <v>46183</v>
      </c>
      <c r="T229" s="596">
        <f t="shared" si="3"/>
        <v>46177</v>
      </c>
      <c r="U229" s="596">
        <f t="shared" si="290"/>
        <v>46158</v>
      </c>
      <c r="V229" s="596"/>
      <c r="W229" s="596">
        <f t="shared" si="291"/>
        <v>46156</v>
      </c>
      <c r="X229" s="599">
        <f t="shared" si="6"/>
        <v>46159</v>
      </c>
      <c r="Y229" s="594"/>
      <c r="Z229" s="600" t="str">
        <f>VLOOKUP(F229,'2) Tracker'!$A$3:$Q$505,16,FALSE)</f>
        <v>ETA 1st port Pyeongtaek 03 May</v>
      </c>
      <c r="AA229" s="600" t="str">
        <f>VLOOKUP(F229,'2) Tracker'!$A$3:$R$505,18,FALSE)</f>
        <v>SK Gas 29 Mar Enterprise</v>
      </c>
      <c r="AB229" s="600">
        <f>VLOOKUP(F229,'2) Tracker'!$A$3:$Q$505,17,FALSE)</f>
        <v>0</v>
      </c>
      <c r="AC229" s="601"/>
      <c r="AD229" s="601">
        <f>VLOOKUP(F229,'2) Tracker'!$A$2:$BO$981,37,FALSE)</f>
        <v>46181</v>
      </c>
      <c r="AE229" s="601">
        <f>VLOOKUP(F229,'2) Tracker'!$A$2:$BO$981,40,FALSE)</f>
        <v>46189</v>
      </c>
      <c r="AF229" s="601" t="str">
        <f>VLOOKUP(F229,'2) Tracker'!$A$2:$BO$981,67,FALSE)</f>
        <v/>
      </c>
      <c r="AG229" s="601">
        <f>VLOOKUP(F229,'2) Tracker'!$A$2:$BO$981,34,FALSE)</f>
        <v>46166</v>
      </c>
      <c r="AH229" s="601" t="str">
        <f>VLOOKUP(F229,'2) Tracker'!$A$2:$BN$981,66,FALSE)</f>
        <v/>
      </c>
      <c r="AI229" s="601">
        <f>VLOOKUP(F229,'2) Tracker'!$A$2:$BO$981,56,FALSE)</f>
        <v>46158</v>
      </c>
      <c r="AJ229" s="601">
        <f>VLOOKUP(F229,'2) Tracker'!$A$2:$BO$981,52,FALSE)</f>
        <v>46156</v>
      </c>
      <c r="AK229" s="601">
        <f>VLOOKUP(F229,'2) Tracker'!$A$2:$AQ$981,43,FALSE)</f>
        <v>46177</v>
      </c>
      <c r="AL229" s="601">
        <f>VLOOKUP(F229,'2) Tracker'!$A$2:$BH$981,46,FALSE())</f>
        <v>46183</v>
      </c>
      <c r="AM229" s="601">
        <f>VLOOKUP(F229,'2) Tracker'!$A$2:$BO$981,65,FALSE())</f>
        <v>46170</v>
      </c>
      <c r="AN229" s="601">
        <f>VLOOKUP(F229,'2) Tracker'!$A$2:$BK$981,63,FALSE())</f>
        <v>46193</v>
      </c>
      <c r="AO229" s="601">
        <f>VLOOKUP(F229,'2) Tracker'!$A$2:$BF$981,58,FALSE())</f>
        <v>46159</v>
      </c>
      <c r="AP229" s="46"/>
      <c r="AQ229" s="46"/>
      <c r="AR229" s="46"/>
      <c r="AS229" s="46"/>
      <c r="AT229" s="46"/>
      <c r="AU229" s="46"/>
      <c r="AV229" s="46"/>
      <c r="AW229" s="46"/>
      <c r="AX229" s="46"/>
      <c r="AY229" s="46"/>
      <c r="AZ229" s="563"/>
      <c r="BA229" s="604" t="e">
        <f>VLOOKUP(AZ229,#REF!,2, FALSE)</f>
        <v>#REF!</v>
      </c>
      <c r="BB229" s="605" t="e">
        <f>VLOOKUP(AZ229,'1) Kpler'!$E$2:$F$500,2,FALSE)</f>
        <v>#N/A</v>
      </c>
      <c r="BC229" s="569"/>
      <c r="BD229" s="563"/>
      <c r="BE229" s="46"/>
      <c r="BF229" s="46"/>
      <c r="BG229" s="563"/>
      <c r="BH229" s="563"/>
      <c r="BI229" s="563"/>
      <c r="BJ229" s="563"/>
    </row>
    <row r="230" spans="2:62" x14ac:dyDescent="0.25">
      <c r="B230" s="589">
        <f>VLOOKUP(F230,'2) Tracker'!$A$3:$O$411,5,FALSE)</f>
        <v>0</v>
      </c>
      <c r="C230" s="589">
        <f>VLOOKUP(F230,'2) Tracker'!$A$3:$O$411,4,FALSE)</f>
        <v>0</v>
      </c>
      <c r="D230" s="563"/>
      <c r="E230" s="563">
        <f>VLOOKUP(F230,'2) Tracker'!$A$3:$O$407,15,FALSE)</f>
        <v>0</v>
      </c>
      <c r="F230" s="608" t="s">
        <v>252</v>
      </c>
      <c r="G230" s="607">
        <f>VLOOKUP(F230,'2) Tracker'!$A$2:$BO$361,2,FALSE)</f>
        <v>43570</v>
      </c>
      <c r="H230" s="592">
        <f>VLOOKUP(F230,'2) Tracker'!$A$2:$BO$361,3,FALSE)</f>
        <v>83000</v>
      </c>
      <c r="I230" s="593" t="str">
        <f>VLOOKUP(F230,'2) Tracker'!$A$2:$BO$361,9,FALSE)</f>
        <v>BGN</v>
      </c>
      <c r="J230" s="594" t="str">
        <f>VLOOKUP(F230,'2) Tracker'!$A$2:$BO$361,12,FALSE)</f>
        <v>Far East</v>
      </c>
      <c r="K230" s="595">
        <f t="shared" si="305"/>
        <v>46181</v>
      </c>
      <c r="L230" s="595">
        <f t="shared" ref="L230:O230" si="379">AE230</f>
        <v>46189</v>
      </c>
      <c r="M230" s="596" t="str">
        <f t="shared" si="379"/>
        <v/>
      </c>
      <c r="N230" s="596">
        <f t="shared" si="379"/>
        <v>46169</v>
      </c>
      <c r="O230" s="597" t="str">
        <f t="shared" si="379"/>
        <v/>
      </c>
      <c r="P230" s="598" t="str">
        <f>IFERROR(IF(VLOOKUP(F230,'Voyage days'!$M$808:$N$819,2,FALSE),"GOA",""),"")</f>
        <v/>
      </c>
      <c r="Q230" s="596">
        <f t="shared" si="287"/>
        <v>46172</v>
      </c>
      <c r="R230" s="595">
        <f t="shared" si="289"/>
        <v>46197</v>
      </c>
      <c r="S230" s="595">
        <f t="shared" si="2"/>
        <v>46187</v>
      </c>
      <c r="T230" s="596">
        <f t="shared" si="3"/>
        <v>46181</v>
      </c>
      <c r="U230" s="595">
        <f t="shared" si="290"/>
        <v>46160</v>
      </c>
      <c r="V230" s="570" t="s">
        <v>1577</v>
      </c>
      <c r="W230" s="595">
        <f t="shared" si="291"/>
        <v>46159.25</v>
      </c>
      <c r="X230" s="599">
        <f t="shared" si="6"/>
        <v>46162</v>
      </c>
      <c r="Y230" s="594"/>
      <c r="Z230" s="600" t="str">
        <f>VLOOKUP(F230,'2) Tracker'!$A$3:$Q$505,16,FALSE)</f>
        <v>Ex Nederland 06 Apr</v>
      </c>
      <c r="AA230" s="600" t="str">
        <f>VLOOKUP(F230,'2) Tracker'!$A$3:$R$505,18,FALSE)</f>
        <v>BGN 21-22 Mar Nederland</v>
      </c>
      <c r="AB230" s="600">
        <f>VLOOKUP(F230,'2) Tracker'!$A$3:$Q$505,17,FALSE)</f>
        <v>0</v>
      </c>
      <c r="AC230" s="601"/>
      <c r="AD230" s="601">
        <f>VLOOKUP(F230,'2) Tracker'!$A$2:$BO$981,37,FALSE)</f>
        <v>46181</v>
      </c>
      <c r="AE230" s="601">
        <f>VLOOKUP(F230,'2) Tracker'!$A$2:$BO$981,40,FALSE)</f>
        <v>46189</v>
      </c>
      <c r="AF230" s="601" t="str">
        <f>VLOOKUP(F230,'2) Tracker'!$A$2:$BO$981,67,FALSE)</f>
        <v/>
      </c>
      <c r="AG230" s="601">
        <f>VLOOKUP(F230,'2) Tracker'!$A$2:$BO$981,34,FALSE)</f>
        <v>46169</v>
      </c>
      <c r="AH230" s="601" t="str">
        <f>VLOOKUP(F230,'2) Tracker'!$A$2:$BN$981,66,FALSE)</f>
        <v/>
      </c>
      <c r="AI230" s="601">
        <f>VLOOKUP(F230,'2) Tracker'!$A$2:$BO$981,56,FALSE)</f>
        <v>46160</v>
      </c>
      <c r="AJ230" s="601">
        <f>VLOOKUP(F230,'2) Tracker'!$A$2:$BO$981,52,FALSE)</f>
        <v>46159.25</v>
      </c>
      <c r="AK230" s="601">
        <f>VLOOKUP(F230,'2) Tracker'!$A$2:$AQ$981,43,FALSE)</f>
        <v>46181</v>
      </c>
      <c r="AL230" s="601">
        <f>VLOOKUP(F230,'2) Tracker'!$A$2:$BH$981,46,FALSE())</f>
        <v>46187</v>
      </c>
      <c r="AM230" s="601">
        <f>VLOOKUP(F230,'2) Tracker'!$A$2:$BO$981,65,FALSE())</f>
        <v>46172</v>
      </c>
      <c r="AN230" s="601">
        <f>VLOOKUP(F230,'2) Tracker'!$A$2:$BK$981,63,FALSE())</f>
        <v>46197</v>
      </c>
      <c r="AO230" s="601">
        <f>VLOOKUP(F230,'2) Tracker'!$A$2:$BF$981,58,FALSE())</f>
        <v>46162</v>
      </c>
      <c r="AP230" s="46"/>
      <c r="AQ230" s="46"/>
      <c r="AR230" s="46"/>
      <c r="AS230" s="46"/>
      <c r="AT230" s="46"/>
      <c r="AU230" s="46"/>
      <c r="AV230" s="46"/>
      <c r="AW230" s="46"/>
      <c r="AX230" s="46"/>
      <c r="AY230" s="46"/>
      <c r="AZ230" s="563"/>
      <c r="BA230" s="604" t="e">
        <f>VLOOKUP(AZ230,#REF!,2, FALSE)</f>
        <v>#REF!</v>
      </c>
      <c r="BB230" s="605" t="e">
        <f>VLOOKUP(AZ230,'1) Kpler'!$E$2:$F$500,2,FALSE)</f>
        <v>#N/A</v>
      </c>
      <c r="BC230" s="569"/>
      <c r="BD230" s="563"/>
      <c r="BE230" s="46"/>
      <c r="BF230" s="46"/>
      <c r="BG230" s="563"/>
      <c r="BH230" s="563"/>
      <c r="BI230" s="563"/>
      <c r="BJ230" s="563"/>
    </row>
    <row r="231" spans="2:62" x14ac:dyDescent="0.25">
      <c r="B231" s="589">
        <f>VLOOKUP(F231,'2) Tracker'!$A$3:$O$411,5,FALSE)</f>
        <v>0</v>
      </c>
      <c r="C231" s="589">
        <f>VLOOKUP(F231,'2) Tracker'!$A$3:$O$411,4,FALSE)</f>
        <v>0</v>
      </c>
      <c r="D231" s="563"/>
      <c r="E231" s="563">
        <f>VLOOKUP(F231,'2) Tracker'!$A$3:$O$407,15,FALSE)</f>
        <v>0</v>
      </c>
      <c r="F231" s="604" t="s">
        <v>350</v>
      </c>
      <c r="G231" s="591">
        <f>VLOOKUP(F231,'2) Tracker'!$A$2:$BO$361,2,FALSE)</f>
        <v>2013</v>
      </c>
      <c r="H231" s="592">
        <f>VLOOKUP(F231,'2) Tracker'!$A$2:$BO$361,3,FALSE)</f>
        <v>82000</v>
      </c>
      <c r="I231" s="594" t="str">
        <f>VLOOKUP(F231,'2) Tracker'!$A$2:$BO$361,9,FALSE)</f>
        <v>Mercuria</v>
      </c>
      <c r="J231" s="594" t="str">
        <f>VLOOKUP(F231,'2) Tracker'!$A$2:$BO$361,12,FALSE)</f>
        <v>Korea</v>
      </c>
      <c r="K231" s="595">
        <f t="shared" si="305"/>
        <v>46182</v>
      </c>
      <c r="L231" s="595">
        <f t="shared" ref="L231:O231" si="380">AE231</f>
        <v>46190</v>
      </c>
      <c r="M231" s="596" t="str">
        <f t="shared" si="380"/>
        <v/>
      </c>
      <c r="N231" s="596">
        <f t="shared" si="380"/>
        <v>46167</v>
      </c>
      <c r="O231" s="597" t="str">
        <f t="shared" si="380"/>
        <v/>
      </c>
      <c r="P231" s="598" t="str">
        <f>IFERROR(IF(VLOOKUP(F231,'Voyage days'!$M$808:$N$819,2,FALSE),"GOA",""),"")</f>
        <v/>
      </c>
      <c r="Q231" s="596">
        <f t="shared" si="287"/>
        <v>46169</v>
      </c>
      <c r="R231" s="595">
        <f t="shared" si="289"/>
        <v>46194</v>
      </c>
      <c r="S231" s="595">
        <f t="shared" si="2"/>
        <v>46184</v>
      </c>
      <c r="T231" s="596">
        <f t="shared" si="3"/>
        <v>46178</v>
      </c>
      <c r="U231" s="595">
        <f t="shared" si="290"/>
        <v>46157</v>
      </c>
      <c r="V231" s="595"/>
      <c r="W231" s="595">
        <f t="shared" si="291"/>
        <v>46157</v>
      </c>
      <c r="X231" s="599">
        <f t="shared" si="6"/>
        <v>46160</v>
      </c>
      <c r="Y231" s="594"/>
      <c r="Z231" s="600" t="str">
        <f>VLOOKUP(F231,'2) Tracker'!$A$3:$Q$505,16,FALSE)</f>
        <v>ETA Daesan 3 May</v>
      </c>
      <c r="AA231" s="600" t="str">
        <f>VLOOKUP(F231,'2) Tracker'!$A$3:$R$505,18,FALSE)</f>
        <v>Mercuria 26 Mar Nederland</v>
      </c>
      <c r="AB231" s="600">
        <f>VLOOKUP(F231,'2) Tracker'!$A$3:$Q$505,17,FALSE)</f>
        <v>0</v>
      </c>
      <c r="AC231" s="601"/>
      <c r="AD231" s="601">
        <f>VLOOKUP(F231,'2) Tracker'!$A$2:$BO$981,37,FALSE)</f>
        <v>46182</v>
      </c>
      <c r="AE231" s="601">
        <f>VLOOKUP(F231,'2) Tracker'!$A$2:$BO$981,40,FALSE)</f>
        <v>46190</v>
      </c>
      <c r="AF231" s="601" t="str">
        <f>VLOOKUP(F231,'2) Tracker'!$A$2:$BO$981,67,FALSE)</f>
        <v/>
      </c>
      <c r="AG231" s="601">
        <f>VLOOKUP(F231,'2) Tracker'!$A$2:$BO$981,34,FALSE)</f>
        <v>46167</v>
      </c>
      <c r="AH231" s="601" t="str">
        <f>VLOOKUP(F231,'2) Tracker'!$A$2:$BN$981,66,FALSE)</f>
        <v/>
      </c>
      <c r="AI231" s="601">
        <f>VLOOKUP(F231,'2) Tracker'!$A$2:$BO$981,56,FALSE)</f>
        <v>46157</v>
      </c>
      <c r="AJ231" s="601">
        <f>VLOOKUP(F231,'2) Tracker'!$A$2:$BO$981,52,FALSE)</f>
        <v>46157</v>
      </c>
      <c r="AK231" s="601">
        <f>VLOOKUP(F231,'2) Tracker'!$A$2:$AQ$981,43,FALSE)</f>
        <v>46178</v>
      </c>
      <c r="AL231" s="601">
        <f>VLOOKUP(F231,'2) Tracker'!$A$2:$BH$981,46,FALSE())</f>
        <v>46184</v>
      </c>
      <c r="AM231" s="601">
        <f>VLOOKUP(F231,'2) Tracker'!$A$2:$BO$981,65,FALSE())</f>
        <v>46169</v>
      </c>
      <c r="AN231" s="601">
        <f>VLOOKUP(F231,'2) Tracker'!$A$2:$BK$981,63,FALSE())</f>
        <v>46194</v>
      </c>
      <c r="AO231" s="601">
        <f>VLOOKUP(F231,'2) Tracker'!$A$2:$BF$981,58,FALSE())</f>
        <v>46160</v>
      </c>
      <c r="AP231" s="46"/>
      <c r="AQ231" s="46"/>
      <c r="AR231" s="46"/>
      <c r="AS231" s="46"/>
      <c r="AT231" s="46"/>
      <c r="AU231" s="46"/>
      <c r="AV231" s="46"/>
      <c r="AW231" s="46"/>
      <c r="AX231" s="46"/>
      <c r="AY231" s="46"/>
      <c r="AZ231" s="563"/>
      <c r="BA231" s="604" t="e">
        <f>VLOOKUP(AZ231,#REF!,2, FALSE)</f>
        <v>#REF!</v>
      </c>
      <c r="BB231" s="605" t="e">
        <f>VLOOKUP(AZ231,'1) Kpler'!$E$2:$F$500,2,FALSE)</f>
        <v>#N/A</v>
      </c>
      <c r="BC231" s="569"/>
      <c r="BD231" s="563"/>
      <c r="BE231" s="46"/>
      <c r="BF231" s="46"/>
      <c r="BG231" s="563"/>
      <c r="BH231" s="563"/>
      <c r="BI231" s="563"/>
      <c r="BJ231" s="563"/>
    </row>
    <row r="232" spans="2:62" x14ac:dyDescent="0.25">
      <c r="B232" s="589" t="str">
        <f>VLOOKUP(F232,'2) Tracker'!$A$3:$O$411,5,FALSE)</f>
        <v>C</v>
      </c>
      <c r="C232" s="589">
        <f>VLOOKUP(F232,'2) Tracker'!$A$3:$O$411,4,FALSE)</f>
        <v>0</v>
      </c>
      <c r="D232" s="563"/>
      <c r="E232" s="563">
        <f>VLOOKUP(F232,'2) Tracker'!$A$3:$O$407,15,FALSE)</f>
        <v>0</v>
      </c>
      <c r="F232" s="561" t="s">
        <v>523</v>
      </c>
      <c r="G232" s="607">
        <f>VLOOKUP(F232,'2) Tracker'!$A$2:$BO$361,2,FALSE)</f>
        <v>42583</v>
      </c>
      <c r="H232" s="592">
        <f>VLOOKUP(F232,'2) Tracker'!$A$2:$BO$361,3,FALSE)</f>
        <v>84000</v>
      </c>
      <c r="I232" s="594" t="str">
        <f>VLOOKUP(F232,'2) Tracker'!$A$2:$BO$361,9,FALSE)</f>
        <v>Shell</v>
      </c>
      <c r="J232" s="594" t="str">
        <f>VLOOKUP(F232,'2) Tracker'!$A$2:$BO$361,12,FALSE)</f>
        <v>Korea</v>
      </c>
      <c r="K232" s="596">
        <f t="shared" si="305"/>
        <v>46182</v>
      </c>
      <c r="L232" s="596">
        <f t="shared" ref="L232:O232" si="381">AE232</f>
        <v>46190</v>
      </c>
      <c r="M232" s="596" t="str">
        <f t="shared" si="381"/>
        <v/>
      </c>
      <c r="N232" s="596">
        <f t="shared" si="381"/>
        <v>46167</v>
      </c>
      <c r="O232" s="597" t="str">
        <f t="shared" si="381"/>
        <v/>
      </c>
      <c r="P232" s="598" t="str">
        <f>IFERROR(IF(VLOOKUP(F232,'Voyage days'!$M$808:$N$819,2,FALSE),"GOA",""),"")</f>
        <v/>
      </c>
      <c r="Q232" s="596">
        <f t="shared" si="287"/>
        <v>46169</v>
      </c>
      <c r="R232" s="596">
        <f t="shared" si="289"/>
        <v>46194</v>
      </c>
      <c r="S232" s="595">
        <f t="shared" si="2"/>
        <v>46184</v>
      </c>
      <c r="T232" s="596">
        <f t="shared" si="3"/>
        <v>46178</v>
      </c>
      <c r="U232" s="596">
        <f t="shared" si="290"/>
        <v>46157</v>
      </c>
      <c r="V232" s="596"/>
      <c r="W232" s="596">
        <f t="shared" si="291"/>
        <v>46157</v>
      </c>
      <c r="X232" s="599">
        <f t="shared" si="6"/>
        <v>46160</v>
      </c>
      <c r="Y232" s="594" t="s">
        <v>1635</v>
      </c>
      <c r="Z232" s="600" t="str">
        <f>VLOOKUP(F232,'2) Tracker'!$A$3:$Q$505,16,FALSE)</f>
        <v>ETA 1st port Ulsan 04 May</v>
      </c>
      <c r="AA232" s="600" t="str">
        <f>VLOOKUP(F232,'2) Tracker'!$A$3:$R$505,18,FALSE)</f>
        <v>ATC 29-30 Mar Nederland</v>
      </c>
      <c r="AB232" s="600">
        <f>VLOOKUP(F232,'2) Tracker'!$A$3:$Q$505,17,FALSE)</f>
        <v>0</v>
      </c>
      <c r="AC232" s="601"/>
      <c r="AD232" s="601">
        <f>VLOOKUP(F232,'2) Tracker'!$A$2:$BO$981,37,FALSE)</f>
        <v>46182</v>
      </c>
      <c r="AE232" s="601">
        <f>VLOOKUP(F232,'2) Tracker'!$A$2:$BO$981,40,FALSE)</f>
        <v>46190</v>
      </c>
      <c r="AF232" s="601" t="str">
        <f>VLOOKUP(F232,'2) Tracker'!$A$2:$BO$981,67,FALSE)</f>
        <v/>
      </c>
      <c r="AG232" s="601">
        <f>VLOOKUP(F232,'2) Tracker'!$A$2:$BO$981,34,FALSE)</f>
        <v>46167</v>
      </c>
      <c r="AH232" s="601" t="str">
        <f>VLOOKUP(F232,'2) Tracker'!$A$2:$BN$981,66,FALSE)</f>
        <v/>
      </c>
      <c r="AI232" s="601">
        <f>VLOOKUP(F232,'2) Tracker'!$A$2:$BO$981,56,FALSE)</f>
        <v>46157</v>
      </c>
      <c r="AJ232" s="601">
        <f>VLOOKUP(F232,'2) Tracker'!$A$2:$BO$981,52,FALSE)</f>
        <v>46157</v>
      </c>
      <c r="AK232" s="601">
        <f>VLOOKUP(F232,'2) Tracker'!$A$2:$AQ$981,43,FALSE)</f>
        <v>46178</v>
      </c>
      <c r="AL232" s="601">
        <f>VLOOKUP(F232,'2) Tracker'!$A$2:$BH$981,46,FALSE())</f>
        <v>46184</v>
      </c>
      <c r="AM232" s="601">
        <f>VLOOKUP(F232,'2) Tracker'!$A$2:$BO$981,65,FALSE())</f>
        <v>46169</v>
      </c>
      <c r="AN232" s="601">
        <f>VLOOKUP(F232,'2) Tracker'!$A$2:$BK$981,63,FALSE())</f>
        <v>46194</v>
      </c>
      <c r="AO232" s="601">
        <f>VLOOKUP(F232,'2) Tracker'!$A$2:$BF$981,58,FALSE())</f>
        <v>46160</v>
      </c>
      <c r="AP232" s="46"/>
      <c r="AQ232" s="46"/>
      <c r="AR232" s="46"/>
      <c r="AS232" s="46"/>
      <c r="AT232" s="46"/>
      <c r="AU232" s="46"/>
      <c r="AV232" s="46"/>
      <c r="AW232" s="46"/>
      <c r="AX232" s="46"/>
      <c r="AY232" s="46"/>
      <c r="AZ232" s="563"/>
      <c r="BA232" s="604" t="e">
        <f>VLOOKUP(AZ232,#REF!,2, FALSE)</f>
        <v>#REF!</v>
      </c>
      <c r="BB232" s="605" t="e">
        <f>VLOOKUP(AZ232,'1) Kpler'!$E$2:$F$500,2,FALSE)</f>
        <v>#N/A</v>
      </c>
      <c r="BC232" s="569"/>
      <c r="BD232" s="563"/>
      <c r="BE232" s="46"/>
      <c r="BF232" s="46"/>
      <c r="BG232" s="563"/>
      <c r="BH232" s="563"/>
      <c r="BI232" s="563"/>
      <c r="BJ232" s="563"/>
    </row>
    <row r="233" spans="2:62" hidden="1" x14ac:dyDescent="0.25">
      <c r="B233" s="589">
        <f>VLOOKUP(F233,'2) Tracker'!$A$3:$O$411,5,FALSE)</f>
        <v>0</v>
      </c>
      <c r="C233" s="589">
        <f>VLOOKUP(F233,'2) Tracker'!$A$3:$O$411,4,FALSE)</f>
        <v>0</v>
      </c>
      <c r="D233" s="563"/>
      <c r="E233" s="563">
        <f>VLOOKUP(F233,'2) Tracker'!$A$3:$O$407,15,FALSE)</f>
        <v>0</v>
      </c>
      <c r="F233" s="608" t="s">
        <v>297</v>
      </c>
      <c r="G233" s="607">
        <f>VLOOKUP(F233,'2) Tracker'!$A$2:$BO$361,2,FALSE)</f>
        <v>39692</v>
      </c>
      <c r="H233" s="592">
        <f>VLOOKUP(F233,'2) Tracker'!$A$2:$BO$361,3,FALSE)</f>
        <v>82791</v>
      </c>
      <c r="I233" s="593" t="str">
        <f>VLOOKUP(F233,'2) Tracker'!$A$2:$BO$361,9,FALSE)</f>
        <v>Pertamina</v>
      </c>
      <c r="J233" s="594" t="str">
        <f>VLOOKUP(F233,'2) Tracker'!$A$2:$BO$361,12,FALSE)</f>
        <v>Indo</v>
      </c>
      <c r="K233" s="595">
        <f t="shared" si="305"/>
        <v>46179</v>
      </c>
      <c r="L233" s="595">
        <f t="shared" ref="L233:O233" si="382">AE233</f>
        <v>46178</v>
      </c>
      <c r="M233" s="596" t="str">
        <f t="shared" si="382"/>
        <v/>
      </c>
      <c r="N233" s="597">
        <f t="shared" si="382"/>
        <v>46152</v>
      </c>
      <c r="O233" s="597" t="str">
        <f t="shared" si="382"/>
        <v/>
      </c>
      <c r="P233" s="598" t="str">
        <f>IFERROR(IF(VLOOKUP(F233,'Voyage days'!$M$808:$N$819,2,FALSE),"GOA",""),"")</f>
        <v/>
      </c>
      <c r="Q233" s="596">
        <f t="shared" si="287"/>
        <v>46155</v>
      </c>
      <c r="R233" s="595">
        <f t="shared" si="289"/>
        <v>46178</v>
      </c>
      <c r="S233" s="595">
        <f t="shared" si="2"/>
        <v>46170</v>
      </c>
      <c r="T233" s="595">
        <f t="shared" si="3"/>
        <v>46161</v>
      </c>
      <c r="U233" s="595">
        <f t="shared" si="290"/>
        <v>46145</v>
      </c>
      <c r="V233" s="596"/>
      <c r="W233" s="596">
        <f t="shared" si="291"/>
        <v>46145</v>
      </c>
      <c r="X233" s="599" t="str">
        <f t="shared" si="6"/>
        <v/>
      </c>
      <c r="Y233" s="594"/>
      <c r="Z233" s="600" t="str">
        <f>VLOOKUP(F233,'2) Tracker'!$A$3:$Q$505,16,FALSE)</f>
        <v>Floater ex Kalbut</v>
      </c>
      <c r="AA233" s="600" t="str">
        <f>VLOOKUP(F233,'2) Tracker'!$A$3:$R$505,18,FALSE)</f>
        <v>Floating Storage</v>
      </c>
      <c r="AB233" s="600">
        <f>VLOOKUP(F233,'2) Tracker'!$A$3:$Q$505,17,FALSE)</f>
        <v>0</v>
      </c>
      <c r="AC233" s="601"/>
      <c r="AD233" s="601">
        <f>VLOOKUP(F233,'2) Tracker'!$A$2:$BO$981,37,FALSE)</f>
        <v>46179</v>
      </c>
      <c r="AE233" s="601">
        <f>VLOOKUP(F233,'2) Tracker'!$A$2:$BO$981,40,FALSE)</f>
        <v>46178</v>
      </c>
      <c r="AF233" s="601" t="str">
        <f>VLOOKUP(F233,'2) Tracker'!$A$2:$BO$981,67,FALSE)</f>
        <v/>
      </c>
      <c r="AG233" s="601">
        <f>VLOOKUP(F233,'2) Tracker'!$A$2:$BO$981,34,FALSE)</f>
        <v>46152</v>
      </c>
      <c r="AH233" s="601" t="str">
        <f>VLOOKUP(F233,'2) Tracker'!$A$2:$BN$981,66,FALSE)</f>
        <v/>
      </c>
      <c r="AI233" s="601">
        <f>VLOOKUP(F233,'2) Tracker'!$A$2:$BO$981,56,FALSE)</f>
        <v>46145</v>
      </c>
      <c r="AJ233" s="601">
        <f>VLOOKUP(F233,'2) Tracker'!$A$2:$BO$981,52,FALSE)</f>
        <v>46145</v>
      </c>
      <c r="AK233" s="601">
        <f>VLOOKUP(F233,'2) Tracker'!$A$2:$AQ$981,43,FALSE)</f>
        <v>46161</v>
      </c>
      <c r="AL233" s="601">
        <f>VLOOKUP(F233,'2) Tracker'!$A$2:$BH$981,46,FALSE())</f>
        <v>46170</v>
      </c>
      <c r="AM233" s="601">
        <f>VLOOKUP(F233,'2) Tracker'!$A$2:$BO$981,65,FALSE())</f>
        <v>46155</v>
      </c>
      <c r="AN233" s="601">
        <f>VLOOKUP(F233,'2) Tracker'!$A$2:$BK$981,63,FALSE())</f>
        <v>46178</v>
      </c>
      <c r="AO233" s="601" t="str">
        <f>VLOOKUP(F233,'2) Tracker'!$A$2:$BF$981,58,FALSE())</f>
        <v/>
      </c>
      <c r="AP233" s="46"/>
      <c r="AQ233" s="46"/>
      <c r="AR233" s="46"/>
      <c r="AS233" s="46"/>
      <c r="AT233" s="46"/>
      <c r="AU233" s="46"/>
      <c r="AV233" s="46"/>
      <c r="AW233" s="46"/>
      <c r="AX233" s="46"/>
      <c r="AY233" s="46"/>
      <c r="AZ233" s="563"/>
      <c r="BA233" s="604" t="e">
        <f>VLOOKUP(AZ233,#REF!,2, FALSE)</f>
        <v>#REF!</v>
      </c>
      <c r="BB233" s="605" t="e">
        <f>VLOOKUP(AZ233,'1) Kpler'!$E$2:$F$500,2,FALSE)</f>
        <v>#N/A</v>
      </c>
      <c r="BC233" s="569"/>
      <c r="BD233" s="563"/>
      <c r="BE233" s="46"/>
      <c r="BF233" s="46"/>
      <c r="BG233" s="563"/>
      <c r="BH233" s="563"/>
      <c r="BI233" s="563"/>
      <c r="BJ233" s="563"/>
    </row>
    <row r="234" spans="2:62" hidden="1" x14ac:dyDescent="0.25">
      <c r="B234" s="589">
        <f>VLOOKUP(F234,'2) Tracker'!$A$3:$O$411,5,FALSE)</f>
        <v>0</v>
      </c>
      <c r="C234" s="589">
        <f>VLOOKUP(F234,'2) Tracker'!$A$3:$O$411,4,FALSE)</f>
        <v>0</v>
      </c>
      <c r="D234" s="563"/>
      <c r="E234" s="563">
        <f>VLOOKUP(F234,'2) Tracker'!$A$3:$O$407,15,FALSE)</f>
        <v>0</v>
      </c>
      <c r="F234" s="608" t="s">
        <v>287</v>
      </c>
      <c r="G234" s="607">
        <f>VLOOKUP(F234,'2) Tracker'!$A$2:$BO$361,2,FALSE)</f>
        <v>39600</v>
      </c>
      <c r="H234" s="592">
        <f>VLOOKUP(F234,'2) Tracker'!$A$2:$BO$361,3,FALSE)</f>
        <v>82000</v>
      </c>
      <c r="I234" s="593" t="str">
        <f>VLOOKUP(F234,'2) Tracker'!$A$2:$BO$361,9,FALSE)</f>
        <v>Pertamina</v>
      </c>
      <c r="J234" s="594" t="str">
        <f>VLOOKUP(F234,'2) Tracker'!$A$2:$BO$361,12,FALSE)</f>
        <v>Indo</v>
      </c>
      <c r="K234" s="595">
        <f t="shared" si="305"/>
        <v>46179</v>
      </c>
      <c r="L234" s="595">
        <f t="shared" ref="L234:O234" si="383">AE234</f>
        <v>46178</v>
      </c>
      <c r="M234" s="596" t="str">
        <f t="shared" si="383"/>
        <v/>
      </c>
      <c r="N234" s="597">
        <f t="shared" si="383"/>
        <v>46152</v>
      </c>
      <c r="O234" s="597" t="str">
        <f t="shared" si="383"/>
        <v/>
      </c>
      <c r="P234" s="598" t="str">
        <f>IFERROR(IF(VLOOKUP(F234,'Voyage days'!$M$808:$N$819,2,FALSE),"GOA",""),"")</f>
        <v/>
      </c>
      <c r="Q234" s="596">
        <f t="shared" si="287"/>
        <v>46155</v>
      </c>
      <c r="R234" s="595">
        <f t="shared" si="289"/>
        <v>46178</v>
      </c>
      <c r="S234" s="595">
        <f t="shared" si="2"/>
        <v>46170</v>
      </c>
      <c r="T234" s="595">
        <f t="shared" si="3"/>
        <v>46161</v>
      </c>
      <c r="U234" s="595">
        <f t="shared" si="290"/>
        <v>46145</v>
      </c>
      <c r="V234" s="596"/>
      <c r="W234" s="596">
        <f t="shared" si="291"/>
        <v>46145</v>
      </c>
      <c r="X234" s="599" t="str">
        <f t="shared" si="6"/>
        <v/>
      </c>
      <c r="Y234" s="594"/>
      <c r="Z234" s="600" t="str">
        <f>VLOOKUP(F234,'2) Tracker'!$A$3:$Q$505,16,FALSE)</f>
        <v>Floater ex Balikpapan</v>
      </c>
      <c r="AA234" s="600" t="str">
        <f>VLOOKUP(F234,'2) Tracker'!$A$3:$R$505,18,FALSE)</f>
        <v>Floating Storage</v>
      </c>
      <c r="AB234" s="600">
        <f>VLOOKUP(F234,'2) Tracker'!$A$3:$Q$505,17,FALSE)</f>
        <v>0</v>
      </c>
      <c r="AC234" s="601"/>
      <c r="AD234" s="601">
        <f>VLOOKUP(F234,'2) Tracker'!$A$2:$BO$981,37,FALSE)</f>
        <v>46179</v>
      </c>
      <c r="AE234" s="601">
        <f>VLOOKUP(F234,'2) Tracker'!$A$2:$BO$981,40,FALSE)</f>
        <v>46178</v>
      </c>
      <c r="AF234" s="601" t="str">
        <f>VLOOKUP(F234,'2) Tracker'!$A$2:$BO$981,67,FALSE)</f>
        <v/>
      </c>
      <c r="AG234" s="601">
        <f>VLOOKUP(F234,'2) Tracker'!$A$2:$BO$981,34,FALSE)</f>
        <v>46152</v>
      </c>
      <c r="AH234" s="601" t="str">
        <f>VLOOKUP(F234,'2) Tracker'!$A$2:$BN$981,66,FALSE)</f>
        <v/>
      </c>
      <c r="AI234" s="601">
        <f>VLOOKUP(F234,'2) Tracker'!$A$2:$BO$981,56,FALSE)</f>
        <v>46145</v>
      </c>
      <c r="AJ234" s="601">
        <f>VLOOKUP(F234,'2) Tracker'!$A$2:$BO$981,52,FALSE)</f>
        <v>46145</v>
      </c>
      <c r="AK234" s="601">
        <f>VLOOKUP(F234,'2) Tracker'!$A$2:$AQ$981,43,FALSE)</f>
        <v>46161</v>
      </c>
      <c r="AL234" s="601">
        <f>VLOOKUP(F234,'2) Tracker'!$A$2:$BH$981,46,FALSE())</f>
        <v>46170</v>
      </c>
      <c r="AM234" s="601">
        <f>VLOOKUP(F234,'2) Tracker'!$A$2:$BO$981,65,FALSE())</f>
        <v>46155</v>
      </c>
      <c r="AN234" s="601">
        <f>VLOOKUP(F234,'2) Tracker'!$A$2:$BK$981,63,FALSE())</f>
        <v>46178</v>
      </c>
      <c r="AO234" s="601" t="str">
        <f>VLOOKUP(F234,'2) Tracker'!$A$2:$BF$981,58,FALSE())</f>
        <v/>
      </c>
      <c r="AP234" s="46"/>
      <c r="AQ234" s="46"/>
      <c r="AR234" s="46"/>
      <c r="AS234" s="46"/>
      <c r="AT234" s="46"/>
      <c r="AU234" s="46"/>
      <c r="AV234" s="46"/>
      <c r="AW234" s="46"/>
      <c r="AX234" s="46"/>
      <c r="AY234" s="46"/>
      <c r="AZ234" s="563"/>
      <c r="BA234" s="604" t="e">
        <f>VLOOKUP(AZ234,#REF!,2, FALSE)</f>
        <v>#REF!</v>
      </c>
      <c r="BB234" s="605" t="e">
        <f>VLOOKUP(AZ234,'1) Kpler'!$E$2:$F$500,2,FALSE)</f>
        <v>#N/A</v>
      </c>
      <c r="BC234" s="569"/>
      <c r="BD234" s="563"/>
      <c r="BE234" s="46"/>
      <c r="BF234" s="46"/>
      <c r="BG234" s="563"/>
      <c r="BH234" s="563"/>
      <c r="BI234" s="563"/>
      <c r="BJ234" s="563"/>
    </row>
    <row r="235" spans="2:62" x14ac:dyDescent="0.25">
      <c r="B235" s="589">
        <f>VLOOKUP(F235,'2) Tracker'!$A$3:$O$411,5,FALSE)</f>
        <v>0</v>
      </c>
      <c r="C235" s="589">
        <f>VLOOKUP(F235,'2) Tracker'!$A$3:$O$411,4,FALSE)</f>
        <v>0</v>
      </c>
      <c r="D235" s="563"/>
      <c r="E235" s="563">
        <f>VLOOKUP(F235,'2) Tracker'!$A$3:$O$407,15,FALSE)</f>
        <v>0</v>
      </c>
      <c r="F235" s="569" t="s">
        <v>1387</v>
      </c>
      <c r="G235" s="607">
        <f>VLOOKUP(F235,'2) Tracker'!$A$2:$BO$361,2,FALSE)</f>
        <v>42489</v>
      </c>
      <c r="H235" s="592">
        <f>VLOOKUP(F235,'2) Tracker'!$A$2:$BO$361,3,FALSE)</f>
        <v>84114</v>
      </c>
      <c r="I235" s="594" t="str">
        <f>VLOOKUP(F235,'2) Tracker'!$A$2:$BO$361,9,FALSE)</f>
        <v>BW</v>
      </c>
      <c r="J235" s="594" t="str">
        <f>VLOOKUP(F235,'2) Tracker'!$A$2:$BO$361,12,FALSE)</f>
        <v>East China</v>
      </c>
      <c r="K235" s="596">
        <f t="shared" si="305"/>
        <v>46182</v>
      </c>
      <c r="L235" s="596">
        <f t="shared" ref="L235:O235" si="384">AE235</f>
        <v>46194</v>
      </c>
      <c r="M235" s="596" t="str">
        <f t="shared" si="384"/>
        <v/>
      </c>
      <c r="N235" s="597">
        <f t="shared" si="384"/>
        <v>46167</v>
      </c>
      <c r="O235" s="597" t="str">
        <f t="shared" si="384"/>
        <v/>
      </c>
      <c r="P235" s="598" t="str">
        <f>IFERROR(IF(VLOOKUP(F235,'Voyage days'!$M$808:$N$821,2,FALSE),"GOA",""),"")</f>
        <v/>
      </c>
      <c r="Q235" s="596">
        <f t="shared" si="287"/>
        <v>46170</v>
      </c>
      <c r="R235" s="596">
        <f t="shared" si="289"/>
        <v>46194</v>
      </c>
      <c r="S235" s="595">
        <f t="shared" si="2"/>
        <v>46185</v>
      </c>
      <c r="T235" s="596">
        <f t="shared" si="3"/>
        <v>46178</v>
      </c>
      <c r="U235" s="596">
        <f t="shared" si="290"/>
        <v>46158</v>
      </c>
      <c r="V235" s="570" t="s">
        <v>1577</v>
      </c>
      <c r="W235" s="596">
        <f t="shared" si="291"/>
        <v>46157.25</v>
      </c>
      <c r="X235" s="599">
        <f t="shared" si="6"/>
        <v>46163</v>
      </c>
      <c r="Y235" s="594"/>
      <c r="Z235" s="600" t="str">
        <f>VLOOKUP(F235,'2) Tracker'!$A$3:$Q$505,16,FALSE)</f>
        <v>@ Zhoushan 17 Apr, DD</v>
      </c>
      <c r="AA235" s="600" t="str">
        <f>VLOOKUP(F235,'2) Tracker'!$A$3:$R$505,18,FALSE)</f>
        <v>BASF COA 03-04 Mar Freeport</v>
      </c>
      <c r="AB235" s="600">
        <f>VLOOKUP(F235,'2) Tracker'!$A$3:$Q$505,17,FALSE)</f>
        <v>0</v>
      </c>
      <c r="AC235" s="601"/>
      <c r="AD235" s="601">
        <f>VLOOKUP(F235,'2) Tracker'!$A$2:$BO$981,37,FALSE)</f>
        <v>46182</v>
      </c>
      <c r="AE235" s="601">
        <f>VLOOKUP(F235,'2) Tracker'!$A$2:$BO$981,40,FALSE)</f>
        <v>46194</v>
      </c>
      <c r="AF235" s="601" t="str">
        <f>VLOOKUP(F235,'2) Tracker'!$A$2:$BO$981,67,FALSE)</f>
        <v/>
      </c>
      <c r="AG235" s="601">
        <f>VLOOKUP(F235,'2) Tracker'!$A$2:$BO$981,34,FALSE)</f>
        <v>46167</v>
      </c>
      <c r="AH235" s="601" t="str">
        <f>VLOOKUP(F235,'2) Tracker'!$A$2:$BN$981,66,FALSE)</f>
        <v/>
      </c>
      <c r="AI235" s="601">
        <f>VLOOKUP(F235,'2) Tracker'!$A$2:$BO$981,56,FALSE)</f>
        <v>46158</v>
      </c>
      <c r="AJ235" s="601">
        <f>VLOOKUP(F235,'2) Tracker'!$A$2:$BO$981,52,FALSE)</f>
        <v>46157.25</v>
      </c>
      <c r="AK235" s="601">
        <f>VLOOKUP(F235,'2) Tracker'!$A$2:$AQ$981,43,FALSE)</f>
        <v>46178</v>
      </c>
      <c r="AL235" s="601">
        <f>VLOOKUP(F235,'2) Tracker'!$A$2:$BH$981,46,FALSE())</f>
        <v>46185</v>
      </c>
      <c r="AM235" s="601">
        <f>VLOOKUP(F235,'2) Tracker'!$A$2:$BO$981,65,FALSE())</f>
        <v>46170</v>
      </c>
      <c r="AN235" s="601">
        <f>VLOOKUP(F235,'2) Tracker'!$A$2:$BK$981,63,FALSE())</f>
        <v>46194</v>
      </c>
      <c r="AO235" s="601">
        <f>VLOOKUP(F235,'2) Tracker'!$A$2:$BF$981,58,FALSE())</f>
        <v>46163</v>
      </c>
      <c r="AP235" s="46"/>
      <c r="AQ235" s="46"/>
      <c r="AR235" s="46"/>
      <c r="AS235" s="46"/>
      <c r="AT235" s="46"/>
      <c r="AU235" s="46"/>
      <c r="AV235" s="46"/>
      <c r="AW235" s="46"/>
      <c r="AX235" s="46"/>
      <c r="AY235" s="46"/>
      <c r="AZ235" s="563"/>
      <c r="BA235" s="604" t="e">
        <f>VLOOKUP(AZ235,#REF!,2, FALSE)</f>
        <v>#REF!</v>
      </c>
      <c r="BB235" s="605" t="e">
        <f>VLOOKUP(AZ235,'1) Kpler'!$E$2:$F$500,2,FALSE)</f>
        <v>#N/A</v>
      </c>
      <c r="BC235" s="569"/>
      <c r="BD235" s="563"/>
      <c r="BE235" s="46"/>
      <c r="BF235" s="46"/>
      <c r="BG235" s="563"/>
      <c r="BH235" s="563"/>
      <c r="BI235" s="563"/>
      <c r="BJ235" s="563"/>
    </row>
    <row r="236" spans="2:62" x14ac:dyDescent="0.25">
      <c r="B236" s="589">
        <f>VLOOKUP(F236,'2) Tracker'!$A$3:$O$411,5,FALSE)</f>
        <v>0</v>
      </c>
      <c r="C236" s="589">
        <f>VLOOKUP(F236,'2) Tracker'!$A$3:$O$411,4,FALSE)</f>
        <v>0</v>
      </c>
      <c r="D236" s="563"/>
      <c r="E236" s="563">
        <f>VLOOKUP(F236,'2) Tracker'!$A$3:$O$407,15,FALSE)</f>
        <v>0</v>
      </c>
      <c r="F236" s="604" t="s">
        <v>396</v>
      </c>
      <c r="G236" s="591">
        <f>VLOOKUP(F236,'2) Tracker'!$A$2:$BO$361,2,FALSE)</f>
        <v>2023</v>
      </c>
      <c r="H236" s="592">
        <f>VLOOKUP(F236,'2) Tracker'!$A$2:$BO$361,3,FALSE)</f>
        <v>93000</v>
      </c>
      <c r="I236" s="600" t="str">
        <f>VLOOKUP(F236,'2) Tracker'!$A$2:$BO$361,9,FALSE)</f>
        <v>Petredec</v>
      </c>
      <c r="J236" s="594" t="str">
        <f>VLOOKUP(F236,'2) Tracker'!$A$2:$BO$361,12,FALSE)</f>
        <v>East China</v>
      </c>
      <c r="K236" s="596">
        <f t="shared" si="305"/>
        <v>46182</v>
      </c>
      <c r="L236" s="596">
        <f t="shared" ref="L236:O236" si="385">AE236</f>
        <v>46194</v>
      </c>
      <c r="M236" s="596" t="str">
        <f t="shared" si="385"/>
        <v/>
      </c>
      <c r="N236" s="596">
        <f t="shared" si="385"/>
        <v>46167</v>
      </c>
      <c r="O236" s="597" t="str">
        <f t="shared" si="385"/>
        <v/>
      </c>
      <c r="P236" s="598" t="str">
        <f>IFERROR(IF(VLOOKUP(F236,'Voyage days'!$M$808:$N$819,2,FALSE),"GOA",""),"")</f>
        <v/>
      </c>
      <c r="Q236" s="596">
        <f t="shared" si="287"/>
        <v>46170</v>
      </c>
      <c r="R236" s="596">
        <f t="shared" si="289"/>
        <v>46194</v>
      </c>
      <c r="S236" s="595">
        <f t="shared" si="2"/>
        <v>46185</v>
      </c>
      <c r="T236" s="596">
        <f t="shared" si="3"/>
        <v>46178</v>
      </c>
      <c r="U236" s="596">
        <f t="shared" si="290"/>
        <v>46158</v>
      </c>
      <c r="V236" s="596"/>
      <c r="W236" s="596">
        <f t="shared" si="291"/>
        <v>46157.25</v>
      </c>
      <c r="X236" s="599">
        <f t="shared" si="6"/>
        <v>46163</v>
      </c>
      <c r="Y236" s="594"/>
      <c r="Z236" s="600" t="str">
        <f>VLOOKUP(F236,'2) Tracker'!$A$3:$Q$505,16,FALSE)</f>
        <v>ETA 1st port Jiangyin 04 May</v>
      </c>
      <c r="AA236" s="600" t="str">
        <f>VLOOKUP(F236,'2) Tracker'!$A$3:$R$505,18,FALSE)</f>
        <v>Petredec 28 Mar Targa</v>
      </c>
      <c r="AB236" s="600">
        <f>VLOOKUP(F236,'2) Tracker'!$A$3:$Q$505,17,FALSE)</f>
        <v>0</v>
      </c>
      <c r="AC236" s="601"/>
      <c r="AD236" s="601">
        <f>VLOOKUP(F236,'2) Tracker'!$A$2:$BO$981,37,FALSE)</f>
        <v>46182</v>
      </c>
      <c r="AE236" s="601">
        <f>VLOOKUP(F236,'2) Tracker'!$A$2:$BO$981,40,FALSE)</f>
        <v>46194</v>
      </c>
      <c r="AF236" s="601" t="str">
        <f>VLOOKUP(F236,'2) Tracker'!$A$2:$BO$981,67,FALSE)</f>
        <v/>
      </c>
      <c r="AG236" s="601">
        <f>VLOOKUP(F236,'2) Tracker'!$A$2:$BO$981,34,FALSE)</f>
        <v>46167</v>
      </c>
      <c r="AH236" s="601" t="str">
        <f>VLOOKUP(F236,'2) Tracker'!$A$2:$BN$981,66,FALSE)</f>
        <v/>
      </c>
      <c r="AI236" s="601">
        <f>VLOOKUP(F236,'2) Tracker'!$A$2:$BO$981,56,FALSE)</f>
        <v>46158</v>
      </c>
      <c r="AJ236" s="601">
        <f>VLOOKUP(F236,'2) Tracker'!$A$2:$BO$981,52,FALSE)</f>
        <v>46157.25</v>
      </c>
      <c r="AK236" s="601">
        <f>VLOOKUP(F236,'2) Tracker'!$A$2:$AQ$981,43,FALSE)</f>
        <v>46178</v>
      </c>
      <c r="AL236" s="601">
        <f>VLOOKUP(F236,'2) Tracker'!$A$2:$BH$981,46,FALSE())</f>
        <v>46185</v>
      </c>
      <c r="AM236" s="601">
        <f>VLOOKUP(F236,'2) Tracker'!$A$2:$BO$981,65,FALSE())</f>
        <v>46170</v>
      </c>
      <c r="AN236" s="601">
        <f>VLOOKUP(F236,'2) Tracker'!$A$2:$BK$981,63,FALSE())</f>
        <v>46194</v>
      </c>
      <c r="AO236" s="601">
        <f>VLOOKUP(F236,'2) Tracker'!$A$2:$BF$981,58,FALSE())</f>
        <v>46163</v>
      </c>
      <c r="AP236" s="46"/>
      <c r="AQ236" s="46"/>
      <c r="AR236" s="46"/>
      <c r="AS236" s="46"/>
      <c r="AT236" s="46"/>
      <c r="AU236" s="46"/>
      <c r="AV236" s="46"/>
      <c r="AW236" s="46"/>
      <c r="AX236" s="46"/>
      <c r="AY236" s="46"/>
      <c r="AZ236" s="563"/>
      <c r="BA236" s="604" t="e">
        <f>VLOOKUP(AZ236,#REF!,2, FALSE)</f>
        <v>#REF!</v>
      </c>
      <c r="BB236" s="605" t="e">
        <f>VLOOKUP(AZ236,'1) Kpler'!$E$2:$F$500,2,FALSE)</f>
        <v>#N/A</v>
      </c>
      <c r="BC236" s="569"/>
      <c r="BD236" s="563"/>
      <c r="BE236" s="46"/>
      <c r="BF236" s="46"/>
      <c r="BG236" s="563"/>
      <c r="BH236" s="563"/>
      <c r="BI236" s="563"/>
      <c r="BJ236" s="563"/>
    </row>
    <row r="237" spans="2:62" hidden="1" x14ac:dyDescent="0.25">
      <c r="B237" s="589">
        <f>VLOOKUP(F237,'2) Tracker'!$A$3:$O$411,5,FALSE)</f>
        <v>0</v>
      </c>
      <c r="C237" s="589">
        <f>VLOOKUP(F237,'2) Tracker'!$A$3:$O$411,4,FALSE)</f>
        <v>0</v>
      </c>
      <c r="D237" s="563"/>
      <c r="E237" s="563">
        <f>VLOOKUP(F237,'2) Tracker'!$A$3:$O$407,15,FALSE)</f>
        <v>0</v>
      </c>
      <c r="F237" s="608" t="s">
        <v>63</v>
      </c>
      <c r="G237" s="607">
        <f>VLOOKUP(F237,'2) Tracker'!$A$2:$BO$361,2,FALSE)</f>
        <v>42460</v>
      </c>
      <c r="H237" s="592">
        <f>VLOOKUP(F237,'2) Tracker'!$A$2:$BO$361,3,FALSE)</f>
        <v>83000</v>
      </c>
      <c r="I237" s="593" t="str">
        <f>VLOOKUP(F237,'2) Tracker'!$A$2:$BO$361,9,FALSE)</f>
        <v>AltaGas</v>
      </c>
      <c r="J237" s="594" t="str">
        <f>VLOOKUP(F237,'2) Tracker'!$A$2:$BO$361,12,FALSE)</f>
        <v>Far East</v>
      </c>
      <c r="K237" s="595">
        <f t="shared" si="305"/>
        <v>46180</v>
      </c>
      <c r="L237" s="595">
        <f t="shared" ref="L237:O237" si="386">AE237</f>
        <v>46188</v>
      </c>
      <c r="M237" s="596" t="str">
        <f t="shared" si="386"/>
        <v/>
      </c>
      <c r="N237" s="597">
        <f t="shared" si="386"/>
        <v>46168</v>
      </c>
      <c r="O237" s="597" t="str">
        <f t="shared" si="386"/>
        <v/>
      </c>
      <c r="P237" s="598" t="str">
        <f>IFERROR(IF(VLOOKUP(F237,'Voyage days'!$M$808:$N$819,2,FALSE),"GOA",""),"")</f>
        <v/>
      </c>
      <c r="Q237" s="596">
        <f t="shared" si="287"/>
        <v>46171</v>
      </c>
      <c r="R237" s="595">
        <f t="shared" si="289"/>
        <v>46196</v>
      </c>
      <c r="S237" s="595">
        <f t="shared" si="2"/>
        <v>46186</v>
      </c>
      <c r="T237" s="596">
        <f t="shared" si="3"/>
        <v>46180</v>
      </c>
      <c r="U237" s="595">
        <f t="shared" si="290"/>
        <v>46159</v>
      </c>
      <c r="V237" s="596"/>
      <c r="W237" s="596">
        <f t="shared" si="291"/>
        <v>46158.25</v>
      </c>
      <c r="X237" s="599">
        <f t="shared" si="6"/>
        <v>46161</v>
      </c>
      <c r="Y237" s="594"/>
      <c r="Z237" s="600" t="str">
        <f>VLOOKUP(F237,'2) Tracker'!$A$3:$Q$505,16,FALSE)</f>
        <v>ex DD, @ Ferndale 16 Apr, waiting to berth</v>
      </c>
      <c r="AA237" s="600" t="str">
        <f>VLOOKUP(F237,'2) Tracker'!$A$3:$R$505,18,FALSE)</f>
        <v>Altagas 18-19 Apr Ferndale</v>
      </c>
      <c r="AB237" s="600">
        <f>VLOOKUP(F237,'2) Tracker'!$A$3:$Q$505,17,FALSE)</f>
        <v>0</v>
      </c>
      <c r="AC237" s="601"/>
      <c r="AD237" s="601">
        <f>VLOOKUP(F237,'2) Tracker'!$A$2:$BO$981,37,FALSE)</f>
        <v>46180</v>
      </c>
      <c r="AE237" s="601">
        <f>VLOOKUP(F237,'2) Tracker'!$A$2:$BO$981,40,FALSE)</f>
        <v>46188</v>
      </c>
      <c r="AF237" s="601" t="str">
        <f>VLOOKUP(F237,'2) Tracker'!$A$2:$BO$981,67,FALSE)</f>
        <v/>
      </c>
      <c r="AG237" s="601">
        <f>VLOOKUP(F237,'2) Tracker'!$A$2:$BO$981,34,FALSE)</f>
        <v>46168</v>
      </c>
      <c r="AH237" s="601" t="str">
        <f>VLOOKUP(F237,'2) Tracker'!$A$2:$BN$981,66,FALSE)</f>
        <v/>
      </c>
      <c r="AI237" s="601">
        <f>VLOOKUP(F237,'2) Tracker'!$A$2:$BO$981,56,FALSE)</f>
        <v>46159</v>
      </c>
      <c r="AJ237" s="601">
        <f>VLOOKUP(F237,'2) Tracker'!$A$2:$BO$981,52,FALSE)</f>
        <v>46158.25</v>
      </c>
      <c r="AK237" s="601">
        <f>VLOOKUP(F237,'2) Tracker'!$A$2:$AQ$981,43,FALSE)</f>
        <v>46180</v>
      </c>
      <c r="AL237" s="601">
        <f>VLOOKUP(F237,'2) Tracker'!$A$2:$BH$981,46,FALSE())</f>
        <v>46186</v>
      </c>
      <c r="AM237" s="601">
        <f>VLOOKUP(F237,'2) Tracker'!$A$2:$BO$981,65,FALSE())</f>
        <v>46171</v>
      </c>
      <c r="AN237" s="601">
        <f>VLOOKUP(F237,'2) Tracker'!$A$2:$BK$981,63,FALSE())</f>
        <v>46196</v>
      </c>
      <c r="AO237" s="601">
        <f>VLOOKUP(F237,'2) Tracker'!$A$2:$BF$981,58,FALSE())</f>
        <v>46161</v>
      </c>
      <c r="AP237" s="46"/>
      <c r="AQ237" s="46"/>
      <c r="AR237" s="46"/>
      <c r="AS237" s="46"/>
      <c r="AT237" s="46"/>
      <c r="AU237" s="46"/>
      <c r="AV237" s="46"/>
      <c r="AW237" s="46"/>
      <c r="AX237" s="46"/>
      <c r="AY237" s="46"/>
      <c r="AZ237" s="605"/>
      <c r="BA237" s="604" t="e">
        <f>VLOOKUP(AZ237,#REF!,2, FALSE)</f>
        <v>#REF!</v>
      </c>
      <c r="BB237" s="605" t="e">
        <f>VLOOKUP(AZ237,'1) Kpler'!$E$2:$F$500,2,FALSE)</f>
        <v>#N/A</v>
      </c>
      <c r="BC237" s="604"/>
      <c r="BD237" s="605"/>
      <c r="BE237" s="46"/>
      <c r="BF237" s="46"/>
      <c r="BG237" s="605"/>
      <c r="BH237" s="605"/>
      <c r="BI237" s="605"/>
      <c r="BJ237" s="605"/>
    </row>
    <row r="238" spans="2:62" x14ac:dyDescent="0.25">
      <c r="B238" s="589">
        <f>VLOOKUP(F238,'2) Tracker'!$A$3:$O$411,5,FALSE)</f>
        <v>0</v>
      </c>
      <c r="C238" s="589">
        <f>VLOOKUP(F238,'2) Tracker'!$A$3:$O$411,4,FALSE)</f>
        <v>0</v>
      </c>
      <c r="D238" s="563"/>
      <c r="E238" s="563">
        <f>VLOOKUP(F238,'2) Tracker'!$A$3:$O$407,15,FALSE)</f>
        <v>0</v>
      </c>
      <c r="F238" s="561" t="s">
        <v>561</v>
      </c>
      <c r="G238" s="591">
        <f>VLOOKUP(F238,'2) Tracker'!$A$2:$BO$361,2,FALSE)</f>
        <v>2020</v>
      </c>
      <c r="H238" s="592">
        <f>VLOOKUP(F238,'2) Tracker'!$A$2:$BO$361,3,FALSE)</f>
        <v>84000</v>
      </c>
      <c r="I238" s="600" t="str">
        <f>VLOOKUP(F238,'2) Tracker'!$A$2:$BO$361,9,FALSE)</f>
        <v>Petredec</v>
      </c>
      <c r="J238" s="594" t="str">
        <f>VLOOKUP(F238,'2) Tracker'!$A$2:$BO$361,12,FALSE)</f>
        <v>Indo</v>
      </c>
      <c r="K238" s="595">
        <f t="shared" si="305"/>
        <v>46183</v>
      </c>
      <c r="L238" s="595">
        <f t="shared" ref="L238:O238" si="387">AE238</f>
        <v>46182</v>
      </c>
      <c r="M238" s="596" t="str">
        <f t="shared" si="387"/>
        <v/>
      </c>
      <c r="N238" s="596">
        <f t="shared" si="387"/>
        <v>46156</v>
      </c>
      <c r="O238" s="597" t="str">
        <f t="shared" si="387"/>
        <v/>
      </c>
      <c r="P238" s="598" t="str">
        <f>IFERROR(IF(VLOOKUP(F238,'Voyage days'!$M$808:$N$819,2,FALSE),"GOA",""),"")</f>
        <v/>
      </c>
      <c r="Q238" s="596">
        <f t="shared" si="287"/>
        <v>46159</v>
      </c>
      <c r="R238" s="596">
        <f t="shared" si="289"/>
        <v>46182</v>
      </c>
      <c r="S238" s="595">
        <f t="shared" si="2"/>
        <v>46174</v>
      </c>
      <c r="T238" s="596">
        <f t="shared" si="3"/>
        <v>46165</v>
      </c>
      <c r="U238" s="596">
        <f t="shared" si="290"/>
        <v>46149</v>
      </c>
      <c r="V238" s="596"/>
      <c r="W238" s="596">
        <f t="shared" si="291"/>
        <v>46149</v>
      </c>
      <c r="X238" s="599" t="str">
        <f t="shared" si="6"/>
        <v/>
      </c>
      <c r="Y238" s="594"/>
      <c r="Z238" s="600" t="str">
        <f>VLOOKUP(F238,'2) Tracker'!$A$3:$Q$505,16,FALSE)</f>
        <v>ETA Merak 29 Apr, Darwin candidate?</v>
      </c>
      <c r="AA238" s="600" t="str">
        <f>VLOOKUP(F238,'2) Tracker'!$A$3:$R$505,18,FALSE)</f>
        <v>Petredec 22 Mar Freeport</v>
      </c>
      <c r="AB238" s="600">
        <f>VLOOKUP(F238,'2) Tracker'!$A$3:$Q$505,17,FALSE)</f>
        <v>0</v>
      </c>
      <c r="AC238" s="601"/>
      <c r="AD238" s="601">
        <f>VLOOKUP(F238,'2) Tracker'!$A$2:$BO$981,37,FALSE)</f>
        <v>46183</v>
      </c>
      <c r="AE238" s="601">
        <f>VLOOKUP(F238,'2) Tracker'!$A$2:$BO$981,40,FALSE)</f>
        <v>46182</v>
      </c>
      <c r="AF238" s="601" t="str">
        <f>VLOOKUP(F238,'2) Tracker'!$A$2:$BO$981,67,FALSE)</f>
        <v/>
      </c>
      <c r="AG238" s="601">
        <f>VLOOKUP(F238,'2) Tracker'!$A$2:$BO$981,34,FALSE)</f>
        <v>46156</v>
      </c>
      <c r="AH238" s="601" t="str">
        <f>VLOOKUP(F238,'2) Tracker'!$A$2:$BN$981,66,FALSE)</f>
        <v/>
      </c>
      <c r="AI238" s="601">
        <f>VLOOKUP(F238,'2) Tracker'!$A$2:$BO$981,56,FALSE)</f>
        <v>46149</v>
      </c>
      <c r="AJ238" s="601">
        <f>VLOOKUP(F238,'2) Tracker'!$A$2:$BO$981,52,FALSE)</f>
        <v>46149</v>
      </c>
      <c r="AK238" s="601">
        <f>VLOOKUP(F238,'2) Tracker'!$A$2:$AQ$981,43,FALSE)</f>
        <v>46165</v>
      </c>
      <c r="AL238" s="601">
        <f>VLOOKUP(F238,'2) Tracker'!$A$2:$BH$981,46,FALSE())</f>
        <v>46174</v>
      </c>
      <c r="AM238" s="601">
        <f>VLOOKUP(F238,'2) Tracker'!$A$2:$BO$981,65,FALSE())</f>
        <v>46159</v>
      </c>
      <c r="AN238" s="601">
        <f>VLOOKUP(F238,'2) Tracker'!$A$2:$BK$981,63,FALSE())</f>
        <v>46182</v>
      </c>
      <c r="AO238" s="621" t="str">
        <f>VLOOKUP(F238,'2) Tracker'!$A$2:$BF$981,58,FALSE())</f>
        <v/>
      </c>
      <c r="AP238" s="46"/>
      <c r="AQ238" s="46"/>
      <c r="AR238" s="46"/>
      <c r="AS238" s="46"/>
      <c r="AT238" s="46"/>
      <c r="AU238" s="46"/>
      <c r="AV238" s="46"/>
      <c r="AW238" s="46"/>
      <c r="AX238" s="46"/>
      <c r="AY238" s="46"/>
      <c r="AZ238" s="563"/>
      <c r="BA238" s="604" t="e">
        <f>VLOOKUP(AZ238,#REF!,2, FALSE)</f>
        <v>#REF!</v>
      </c>
      <c r="BB238" s="605" t="e">
        <f>VLOOKUP(AZ238,'1) Kpler'!$E$2:$F$500,2,FALSE)</f>
        <v>#N/A</v>
      </c>
      <c r="BC238" s="569"/>
      <c r="BD238" s="563"/>
      <c r="BE238" s="46"/>
      <c r="BF238" s="46"/>
      <c r="BG238" s="563"/>
      <c r="BH238" s="563"/>
      <c r="BI238" s="563"/>
      <c r="BJ238" s="563"/>
    </row>
    <row r="239" spans="2:62" x14ac:dyDescent="0.25">
      <c r="B239" s="589">
        <f>VLOOKUP(F239,'2) Tracker'!$A$3:$O$411,5,FALSE)</f>
        <v>0</v>
      </c>
      <c r="C239" s="589">
        <f>VLOOKUP(F239,'2) Tracker'!$A$3:$O$411,4,FALSE)</f>
        <v>0</v>
      </c>
      <c r="D239" s="563"/>
      <c r="E239" s="563">
        <f>VLOOKUP(F239,'2) Tracker'!$A$3:$O$407,15,FALSE)</f>
        <v>0</v>
      </c>
      <c r="F239" s="604" t="s">
        <v>279</v>
      </c>
      <c r="G239" s="591">
        <v>2024</v>
      </c>
      <c r="H239" s="592">
        <f>VLOOKUP(F239,'2) Tracker'!$A$2:$BO$361,3,FALSE)</f>
        <v>86700</v>
      </c>
      <c r="I239" s="600" t="s">
        <v>714</v>
      </c>
      <c r="J239" s="594" t="str">
        <f>VLOOKUP(F239,'2) Tracker'!$A$2:$BO$361,12,FALSE)</f>
        <v>Japan</v>
      </c>
      <c r="K239" s="596">
        <f t="shared" si="305"/>
        <v>46183</v>
      </c>
      <c r="L239" s="596">
        <f t="shared" ref="L239:O239" si="388">AE239</f>
        <v>46194</v>
      </c>
      <c r="M239" s="596" t="str">
        <f t="shared" si="388"/>
        <v/>
      </c>
      <c r="N239" s="596">
        <f t="shared" si="388"/>
        <v>46170</v>
      </c>
      <c r="O239" s="597" t="str">
        <f t="shared" si="388"/>
        <v/>
      </c>
      <c r="P239" s="598" t="str">
        <f>IFERROR(IF(VLOOKUP(F239,'Voyage days'!$M$808:$N$819,2,FALSE),"GOA",""),"")</f>
        <v/>
      </c>
      <c r="Q239" s="596">
        <f t="shared" si="287"/>
        <v>46173</v>
      </c>
      <c r="R239" s="596">
        <f t="shared" si="289"/>
        <v>46198</v>
      </c>
      <c r="S239" s="595">
        <f t="shared" si="2"/>
        <v>46188</v>
      </c>
      <c r="T239" s="596">
        <f t="shared" si="3"/>
        <v>46182</v>
      </c>
      <c r="U239" s="596">
        <f t="shared" si="290"/>
        <v>46161</v>
      </c>
      <c r="V239" s="596"/>
      <c r="W239" s="596">
        <f t="shared" si="291"/>
        <v>46160.25</v>
      </c>
      <c r="X239" s="599">
        <f t="shared" si="6"/>
        <v>46163</v>
      </c>
      <c r="Y239" s="594"/>
      <c r="Z239" s="600" t="str">
        <f>VLOOKUP(F239,'2) Tracker'!$A$3:$Q$505,16,FALSE)</f>
        <v>ETA 1st port Nagoya 04 May</v>
      </c>
      <c r="AA239" s="600" t="str">
        <f>VLOOKUP(F239,'2) Tracker'!$A$3:$R$505,18,FALSE)</f>
        <v>Astomos 29-30 Mar Freeport</v>
      </c>
      <c r="AB239" s="600">
        <f>VLOOKUP(F239,'2) Tracker'!$A$3:$Q$505,17,FALSE)</f>
        <v>0</v>
      </c>
      <c r="AC239" s="601"/>
      <c r="AD239" s="601">
        <f>VLOOKUP(F239,'2) Tracker'!$A$2:$BO$981,37,FALSE)</f>
        <v>46183</v>
      </c>
      <c r="AE239" s="601">
        <f>VLOOKUP(F239,'2) Tracker'!$A$2:$BO$981,40,FALSE)</f>
        <v>46194</v>
      </c>
      <c r="AF239" s="601" t="str">
        <f>VLOOKUP(F239,'2) Tracker'!$A$2:$BO$981,67,FALSE)</f>
        <v/>
      </c>
      <c r="AG239" s="601">
        <f>VLOOKUP(F239,'2) Tracker'!$A$2:$BO$981,34,FALSE)</f>
        <v>46170</v>
      </c>
      <c r="AH239" s="601" t="str">
        <f>VLOOKUP(F239,'2) Tracker'!$A$2:$BN$981,66,FALSE)</f>
        <v/>
      </c>
      <c r="AI239" s="601">
        <f>VLOOKUP(F239,'2) Tracker'!$A$2:$BO$981,56,FALSE)</f>
        <v>46161</v>
      </c>
      <c r="AJ239" s="601">
        <f>VLOOKUP(F239,'2) Tracker'!$A$2:$BO$981,52,FALSE)</f>
        <v>46160.25</v>
      </c>
      <c r="AK239" s="601">
        <f>VLOOKUP(F239,'2) Tracker'!$A$2:$AQ$981,43,FALSE)</f>
        <v>46182</v>
      </c>
      <c r="AL239" s="601">
        <f>VLOOKUP(F239,'2) Tracker'!$A$2:$BH$981,46,FALSE())</f>
        <v>46188</v>
      </c>
      <c r="AM239" s="601">
        <f>VLOOKUP(F239,'2) Tracker'!$A$2:$BO$981,65,FALSE())</f>
        <v>46173</v>
      </c>
      <c r="AN239" s="601">
        <f>VLOOKUP(F239,'2) Tracker'!$A$2:$BK$981,63,FALSE())</f>
        <v>46198</v>
      </c>
      <c r="AO239" s="601">
        <f>VLOOKUP(F239,'2) Tracker'!$A$2:$BF$981,58,FALSE())</f>
        <v>46163</v>
      </c>
      <c r="AP239" s="46"/>
      <c r="AQ239" s="46"/>
      <c r="AR239" s="46"/>
      <c r="AS239" s="46"/>
      <c r="AT239" s="46"/>
      <c r="AU239" s="46"/>
      <c r="AV239" s="46"/>
      <c r="AW239" s="46"/>
      <c r="AX239" s="46"/>
      <c r="AY239" s="46"/>
      <c r="AZ239" s="563"/>
      <c r="BA239" s="604" t="e">
        <f>VLOOKUP(AZ239,#REF!,2, FALSE)</f>
        <v>#REF!</v>
      </c>
      <c r="BB239" s="605" t="e">
        <f>VLOOKUP(AZ239,'1) Kpler'!$E$2:$F$500,2,FALSE)</f>
        <v>#N/A</v>
      </c>
      <c r="BC239" s="569"/>
      <c r="BD239" s="563"/>
      <c r="BE239" s="46"/>
      <c r="BF239" s="46"/>
      <c r="BG239" s="563"/>
      <c r="BH239" s="563"/>
      <c r="BI239" s="563"/>
      <c r="BJ239" s="563"/>
    </row>
    <row r="240" spans="2:62" x14ac:dyDescent="0.25">
      <c r="B240" s="589">
        <f>VLOOKUP(F240,'2) Tracker'!$A$3:$O$411,5,FALSE)</f>
        <v>0</v>
      </c>
      <c r="C240" s="589">
        <f>VLOOKUP(F240,'2) Tracker'!$A$3:$O$411,4,FALSE)</f>
        <v>0</v>
      </c>
      <c r="D240" s="563" t="s">
        <v>1569</v>
      </c>
      <c r="E240" s="563" t="str">
        <f>VLOOKUP(F240,'2) Tracker'!$A$3:$O$407,15,FALSE)</f>
        <v>R</v>
      </c>
      <c r="F240" s="590" t="s">
        <v>593</v>
      </c>
      <c r="G240" s="591">
        <f>VLOOKUP(F240,'2) Tracker'!$A$2:$BO$361,2,FALSE)</f>
        <v>2024</v>
      </c>
      <c r="H240" s="592">
        <f>VLOOKUP(F240,'2) Tracker'!$A$2:$BO$361,3,FALSE)</f>
        <v>86000</v>
      </c>
      <c r="I240" s="594" t="str">
        <f>VLOOKUP(F240,'2) Tracker'!$A$2:$BO$361,9,FALSE)</f>
        <v>Trafigura</v>
      </c>
      <c r="J240" s="594" t="str">
        <f>VLOOKUP(F240,'2) Tracker'!$A$2:$BO$361,12,FALSE)</f>
        <v>Japan</v>
      </c>
      <c r="K240" s="596">
        <f t="shared" si="305"/>
        <v>46183</v>
      </c>
      <c r="L240" s="596">
        <f t="shared" ref="L240:O240" si="389">AE240</f>
        <v>46194</v>
      </c>
      <c r="M240" s="596" t="str">
        <f t="shared" si="389"/>
        <v/>
      </c>
      <c r="N240" s="596">
        <f t="shared" si="389"/>
        <v>46170</v>
      </c>
      <c r="O240" s="597" t="str">
        <f t="shared" si="389"/>
        <v/>
      </c>
      <c r="P240" s="598" t="str">
        <f>IFERROR(IF(VLOOKUP(F240,'Voyage days'!$M$808:$N$819,2,FALSE),"GOA",""),"")</f>
        <v/>
      </c>
      <c r="Q240" s="596">
        <f t="shared" si="287"/>
        <v>46173</v>
      </c>
      <c r="R240" s="596">
        <f t="shared" si="289"/>
        <v>46198</v>
      </c>
      <c r="S240" s="595">
        <f t="shared" si="2"/>
        <v>46188</v>
      </c>
      <c r="T240" s="596">
        <f t="shared" si="3"/>
        <v>46182</v>
      </c>
      <c r="U240" s="596">
        <f t="shared" si="290"/>
        <v>46161</v>
      </c>
      <c r="V240" s="596"/>
      <c r="W240" s="596">
        <f t="shared" si="291"/>
        <v>46160.25</v>
      </c>
      <c r="X240" s="599">
        <f t="shared" si="6"/>
        <v>46163</v>
      </c>
      <c r="Y240" s="614" t="s">
        <v>1628</v>
      </c>
      <c r="Z240" s="600" t="str">
        <f>VLOOKUP(F240,'2) Tracker'!$A$3:$Q$505,16,FALSE)</f>
        <v>ETA Cristobal 10 Apr, pending disport</v>
      </c>
      <c r="AA240" s="600" t="str">
        <f>VLOOKUP(F240,'2) Tracker'!$A$3:$R$505,18,FALSE)</f>
        <v>ATC 30-31 Mar Nederland</v>
      </c>
      <c r="AB240" s="600">
        <f>VLOOKUP(F240,'2) Tracker'!$A$3:$Q$505,17,FALSE)</f>
        <v>0</v>
      </c>
      <c r="AC240" s="601"/>
      <c r="AD240" s="601">
        <f>VLOOKUP(F240,'2) Tracker'!$A$2:$BO$981,37,FALSE)</f>
        <v>46183</v>
      </c>
      <c r="AE240" s="601">
        <f>VLOOKUP(F240,'2) Tracker'!$A$2:$BO$981,40,FALSE)</f>
        <v>46194</v>
      </c>
      <c r="AF240" s="601" t="str">
        <f>VLOOKUP(F240,'2) Tracker'!$A$2:$BO$981,67,FALSE)</f>
        <v/>
      </c>
      <c r="AG240" s="601">
        <f>VLOOKUP(F240,'2) Tracker'!$A$2:$BO$981,34,FALSE)</f>
        <v>46170</v>
      </c>
      <c r="AH240" s="601" t="str">
        <f>VLOOKUP(F240,'2) Tracker'!$A$2:$BN$981,66,FALSE)</f>
        <v/>
      </c>
      <c r="AI240" s="601">
        <f>VLOOKUP(F240,'2) Tracker'!$A$2:$BO$981,56,FALSE)</f>
        <v>46161</v>
      </c>
      <c r="AJ240" s="601">
        <f>VLOOKUP(F240,'2) Tracker'!$A$2:$BO$981,52,FALSE)</f>
        <v>46160.25</v>
      </c>
      <c r="AK240" s="601">
        <f>VLOOKUP(F240,'2) Tracker'!$A$2:$AQ$981,43,FALSE)</f>
        <v>46182</v>
      </c>
      <c r="AL240" s="601">
        <f>VLOOKUP(F240,'2) Tracker'!$A$2:$BH$981,46,FALSE())</f>
        <v>46188</v>
      </c>
      <c r="AM240" s="601">
        <f>VLOOKUP(F240,'2) Tracker'!$A$2:$BO$981,65,FALSE())</f>
        <v>46173</v>
      </c>
      <c r="AN240" s="601">
        <f>VLOOKUP(F240,'2) Tracker'!$A$2:$BK$981,63,FALSE())</f>
        <v>46198</v>
      </c>
      <c r="AO240" s="601">
        <f>VLOOKUP(F240,'2) Tracker'!$A$2:$BF$981,58,FALSE())</f>
        <v>46163</v>
      </c>
      <c r="AP240" s="46"/>
      <c r="AQ240" s="46"/>
      <c r="AR240" s="46"/>
      <c r="AS240" s="46"/>
      <c r="AT240" s="46"/>
      <c r="AU240" s="46"/>
      <c r="AV240" s="46"/>
      <c r="AW240" s="46"/>
      <c r="AX240" s="46"/>
      <c r="AY240" s="46"/>
      <c r="AZ240" s="563"/>
      <c r="BA240" s="604" t="e">
        <f>VLOOKUP(AZ240,#REF!,2, FALSE)</f>
        <v>#REF!</v>
      </c>
      <c r="BB240" s="605" t="e">
        <f>VLOOKUP(AZ240,'1) Kpler'!$E$2:$F$500,2,FALSE)</f>
        <v>#N/A</v>
      </c>
      <c r="BC240" s="569"/>
      <c r="BD240" s="563"/>
      <c r="BE240" s="46"/>
      <c r="BF240" s="46"/>
      <c r="BG240" s="563"/>
      <c r="BH240" s="563"/>
      <c r="BI240" s="563"/>
      <c r="BJ240" s="563"/>
    </row>
    <row r="241" spans="2:62" x14ac:dyDescent="0.25">
      <c r="B241" s="589">
        <f>VLOOKUP(F241,'2) Tracker'!$A$3:$O$411,5,FALSE)</f>
        <v>0</v>
      </c>
      <c r="C241" s="589">
        <f>VLOOKUP(F241,'2) Tracker'!$A$3:$O$411,4,FALSE)</f>
        <v>0</v>
      </c>
      <c r="D241" s="563"/>
      <c r="E241" s="563">
        <f>VLOOKUP(F241,'2) Tracker'!$A$3:$O$407,15,FALSE)</f>
        <v>0</v>
      </c>
      <c r="F241" s="594" t="s">
        <v>539</v>
      </c>
      <c r="G241" s="591">
        <f>VLOOKUP(F241,'2) Tracker'!$A$2:$BO$361,2,FALSE)</f>
        <v>2024</v>
      </c>
      <c r="H241" s="592">
        <f>VLOOKUP(F241,'2) Tracker'!$A$2:$BO$361,3,FALSE)</f>
        <v>91000</v>
      </c>
      <c r="I241" s="600" t="str">
        <f>VLOOKUP(F241,'2) Tracker'!$A$2:$BO$361,9,FALSE)</f>
        <v>SwissChemGas</v>
      </c>
      <c r="J241" s="594" t="str">
        <f>VLOOKUP(F241,'2) Tracker'!$A$2:$BO$361,12,FALSE)</f>
        <v>North China</v>
      </c>
      <c r="K241" s="595">
        <f t="shared" si="305"/>
        <v>46183</v>
      </c>
      <c r="L241" s="595">
        <f t="shared" ref="L241:O241" si="390">AE241</f>
        <v>46193</v>
      </c>
      <c r="M241" s="596" t="str">
        <f t="shared" si="390"/>
        <v/>
      </c>
      <c r="N241" s="596">
        <f t="shared" si="390"/>
        <v>46169</v>
      </c>
      <c r="O241" s="597" t="str">
        <f t="shared" si="390"/>
        <v/>
      </c>
      <c r="P241" s="598" t="str">
        <f>IFERROR(IF(VLOOKUP(F241,'Voyage days'!$M$808:$N$819,2,FALSE),"GOA",""),"")</f>
        <v/>
      </c>
      <c r="Q241" s="596">
        <f t="shared" si="287"/>
        <v>46172</v>
      </c>
      <c r="R241" s="595">
        <f t="shared" si="289"/>
        <v>46197</v>
      </c>
      <c r="S241" s="595">
        <f t="shared" si="2"/>
        <v>46186</v>
      </c>
      <c r="T241" s="595">
        <f t="shared" si="3"/>
        <v>46180</v>
      </c>
      <c r="U241" s="595">
        <f t="shared" si="290"/>
        <v>46160</v>
      </c>
      <c r="V241" s="595"/>
      <c r="W241" s="595">
        <f t="shared" si="291"/>
        <v>46160</v>
      </c>
      <c r="X241" s="599">
        <f t="shared" si="6"/>
        <v>46164</v>
      </c>
      <c r="Y241" s="594"/>
      <c r="Z241" s="600" t="str">
        <f>VLOOKUP(F241,'2) Tracker'!$A$3:$Q$505,16,FALSE)</f>
        <v>ETA 1st port Liaoning 05 May</v>
      </c>
      <c r="AA241" s="600" t="str">
        <f>VLOOKUP(F241,'2) Tracker'!$A$3:$R$505,18,FALSE)</f>
        <v>SwissChemGas 02 Apr Enterprise</v>
      </c>
      <c r="AB241" s="600">
        <f>VLOOKUP(F241,'2) Tracker'!$A$3:$Q$505,17,FALSE)</f>
        <v>0</v>
      </c>
      <c r="AC241" s="601"/>
      <c r="AD241" s="601">
        <f>VLOOKUP(F241,'2) Tracker'!$A$2:$BO$981,37,FALSE)</f>
        <v>46183</v>
      </c>
      <c r="AE241" s="601">
        <f>VLOOKUP(F241,'2) Tracker'!$A$2:$BO$981,40,FALSE)</f>
        <v>46193</v>
      </c>
      <c r="AF241" s="601" t="str">
        <f>VLOOKUP(F241,'2) Tracker'!$A$2:$BO$981,67,FALSE)</f>
        <v/>
      </c>
      <c r="AG241" s="601">
        <f>VLOOKUP(F241,'2) Tracker'!$A$2:$BO$981,34,FALSE)</f>
        <v>46169</v>
      </c>
      <c r="AH241" s="601" t="str">
        <f>VLOOKUP(F241,'2) Tracker'!$A$2:$BN$981,66,FALSE)</f>
        <v/>
      </c>
      <c r="AI241" s="601">
        <f>VLOOKUP(F241,'2) Tracker'!$A$2:$BO$981,56,FALSE)</f>
        <v>46160</v>
      </c>
      <c r="AJ241" s="601">
        <f>VLOOKUP(F241,'2) Tracker'!$A$2:$BO$981,52,FALSE)</f>
        <v>46160</v>
      </c>
      <c r="AK241" s="601">
        <f>VLOOKUP(F241,'2) Tracker'!$A$2:$AQ$981,43,FALSE)</f>
        <v>46180</v>
      </c>
      <c r="AL241" s="601">
        <f>VLOOKUP(F241,'2) Tracker'!$A$2:$BH$981,46,FALSE())</f>
        <v>46186</v>
      </c>
      <c r="AM241" s="601">
        <f>VLOOKUP(F241,'2) Tracker'!$A$2:$BO$981,65,FALSE())</f>
        <v>46172</v>
      </c>
      <c r="AN241" s="601">
        <f>VLOOKUP(F241,'2) Tracker'!$A$2:$BK$981,63,FALSE())</f>
        <v>46197</v>
      </c>
      <c r="AO241" s="601">
        <f>VLOOKUP(F241,'2) Tracker'!$A$2:$BF$981,58,FALSE())</f>
        <v>46164</v>
      </c>
      <c r="AP241" s="46"/>
      <c r="AQ241" s="46"/>
      <c r="AR241" s="46"/>
      <c r="AS241" s="46"/>
      <c r="AT241" s="46"/>
      <c r="AU241" s="46"/>
      <c r="AV241" s="46"/>
      <c r="AW241" s="46"/>
      <c r="AX241" s="46"/>
      <c r="AY241" s="46"/>
      <c r="AZ241" s="563"/>
      <c r="BA241" s="604" t="e">
        <f>VLOOKUP(AZ241,#REF!,2, FALSE)</f>
        <v>#REF!</v>
      </c>
      <c r="BB241" s="605" t="e">
        <f>VLOOKUP(AZ241,'1) Kpler'!$E$2:$F$500,2,FALSE)</f>
        <v>#N/A</v>
      </c>
      <c r="BC241" s="569"/>
      <c r="BD241" s="563"/>
      <c r="BE241" s="46"/>
      <c r="BF241" s="46"/>
      <c r="BG241" s="563"/>
      <c r="BH241" s="563"/>
      <c r="BI241" s="563"/>
      <c r="BJ241" s="563"/>
    </row>
    <row r="242" spans="2:62" x14ac:dyDescent="0.25">
      <c r="B242" s="589">
        <f>VLOOKUP(F242,'2) Tracker'!$A$3:$O$411,5,FALSE)</f>
        <v>0</v>
      </c>
      <c r="C242" s="589">
        <f>VLOOKUP(F242,'2) Tracker'!$A$3:$O$411,4,FALSE)</f>
        <v>0</v>
      </c>
      <c r="D242" s="563"/>
      <c r="E242" s="563">
        <f>VLOOKUP(F242,'2) Tracker'!$A$3:$O$407,15,FALSE)</f>
        <v>0</v>
      </c>
      <c r="F242" s="604" t="s">
        <v>1427</v>
      </c>
      <c r="G242" s="607">
        <f>VLOOKUP(F242,'2) Tracker'!$A$2:$BO$361,2,FALSE)</f>
        <v>42292</v>
      </c>
      <c r="H242" s="592">
        <f>VLOOKUP(F242,'2) Tracker'!$A$2:$BO$361,3,FALSE)</f>
        <v>84196</v>
      </c>
      <c r="I242" s="594" t="str">
        <f>VLOOKUP(F242,'2) Tracker'!$A$2:$BO$361,9,FALSE)</f>
        <v>BW</v>
      </c>
      <c r="J242" s="594" t="str">
        <f>VLOOKUP(F242,'2) Tracker'!$A$2:$BO$361,12,FALSE)</f>
        <v>Indo</v>
      </c>
      <c r="K242" s="595">
        <f t="shared" si="305"/>
        <v>46184</v>
      </c>
      <c r="L242" s="595">
        <f t="shared" ref="L242:O242" si="391">AE242</f>
        <v>46183</v>
      </c>
      <c r="M242" s="596" t="str">
        <f t="shared" si="391"/>
        <v/>
      </c>
      <c r="N242" s="596">
        <f t="shared" si="391"/>
        <v>46157</v>
      </c>
      <c r="O242" s="597" t="str">
        <f t="shared" si="391"/>
        <v/>
      </c>
      <c r="P242" s="598" t="str">
        <f>IFERROR(IF(VLOOKUP(F242,'Voyage days'!$M$808:$N$819,2,FALSE),"GOA",""),"")</f>
        <v/>
      </c>
      <c r="Q242" s="596">
        <f t="shared" si="287"/>
        <v>46160</v>
      </c>
      <c r="R242" s="595">
        <f t="shared" si="289"/>
        <v>46183</v>
      </c>
      <c r="S242" s="595">
        <f t="shared" si="2"/>
        <v>46175</v>
      </c>
      <c r="T242" s="596">
        <f t="shared" si="3"/>
        <v>46166</v>
      </c>
      <c r="U242" s="595">
        <f t="shared" si="290"/>
        <v>46150</v>
      </c>
      <c r="V242" s="596"/>
      <c r="W242" s="596">
        <f t="shared" si="291"/>
        <v>46150</v>
      </c>
      <c r="X242" s="599" t="str">
        <f t="shared" si="6"/>
        <v/>
      </c>
      <c r="Y242" s="614" t="s">
        <v>1614</v>
      </c>
      <c r="Z242" s="600" t="str">
        <f>VLOOKUP(F242,'2) Tracker'!$A$3:$Q$505,16,FALSE)</f>
        <v>ETA Kalbut 01 May, Darwin candidate?</v>
      </c>
      <c r="AA242" s="600" t="str">
        <f>VLOOKUP(F242,'2) Tracker'!$A$3:$R$505,18,FALSE)</f>
        <v>BGN 20-21 Mar Enterprise</v>
      </c>
      <c r="AB242" s="600">
        <f>VLOOKUP(F242,'2) Tracker'!$A$3:$Q$505,17,FALSE)</f>
        <v>0</v>
      </c>
      <c r="AC242" s="601"/>
      <c r="AD242" s="601">
        <f>VLOOKUP(F242,'2) Tracker'!$A$2:$BO$981,37,FALSE)</f>
        <v>46184</v>
      </c>
      <c r="AE242" s="601">
        <f>VLOOKUP(F242,'2) Tracker'!$A$2:$BO$981,40,FALSE)</f>
        <v>46183</v>
      </c>
      <c r="AF242" s="601" t="str">
        <f>VLOOKUP(F242,'2) Tracker'!$A$2:$BO$981,67,FALSE)</f>
        <v/>
      </c>
      <c r="AG242" s="601">
        <f>VLOOKUP(F242,'2) Tracker'!$A$2:$BO$981,34,FALSE)</f>
        <v>46157</v>
      </c>
      <c r="AH242" s="601" t="str">
        <f>VLOOKUP(F242,'2) Tracker'!$A$2:$BN$981,66,FALSE)</f>
        <v/>
      </c>
      <c r="AI242" s="601">
        <f>VLOOKUP(F242,'2) Tracker'!$A$2:$BO$981,56,FALSE)</f>
        <v>46150</v>
      </c>
      <c r="AJ242" s="601">
        <f>VLOOKUP(F242,'2) Tracker'!$A$2:$BO$981,52,FALSE)</f>
        <v>46150</v>
      </c>
      <c r="AK242" s="601">
        <f>VLOOKUP(F242,'2) Tracker'!$A$2:$AQ$981,43,FALSE)</f>
        <v>46166</v>
      </c>
      <c r="AL242" s="601">
        <f>VLOOKUP(F242,'2) Tracker'!$A$2:$BH$981,46,FALSE())</f>
        <v>46175</v>
      </c>
      <c r="AM242" s="601">
        <f>VLOOKUP(F242,'2) Tracker'!$A$2:$BO$981,65,FALSE())</f>
        <v>46160</v>
      </c>
      <c r="AN242" s="601">
        <f>VLOOKUP(F242,'2) Tracker'!$A$2:$BK$981,63,FALSE())</f>
        <v>46183</v>
      </c>
      <c r="AO242" s="601" t="str">
        <f>VLOOKUP(F242,'2) Tracker'!$A$2:$BF$981,58,FALSE())</f>
        <v/>
      </c>
      <c r="AP242" s="46"/>
      <c r="AQ242" s="46"/>
      <c r="AR242" s="46"/>
      <c r="AS242" s="46"/>
      <c r="AT242" s="46"/>
      <c r="AU242" s="46"/>
      <c r="AV242" s="46"/>
      <c r="AW242" s="46"/>
      <c r="AX242" s="46"/>
      <c r="AY242" s="46"/>
      <c r="AZ242" s="605"/>
      <c r="BA242" s="604" t="e">
        <f>VLOOKUP(AZ242,#REF!,2, FALSE)</f>
        <v>#REF!</v>
      </c>
      <c r="BB242" s="605" t="e">
        <f>VLOOKUP(AZ242,'1) Kpler'!$E$2:$F$500,2,FALSE)</f>
        <v>#N/A</v>
      </c>
      <c r="BC242" s="604"/>
      <c r="BD242" s="605"/>
      <c r="BE242" s="46"/>
      <c r="BF242" s="46"/>
      <c r="BG242" s="605"/>
      <c r="BH242" s="605"/>
      <c r="BI242" s="605"/>
      <c r="BJ242" s="605"/>
    </row>
    <row r="243" spans="2:62" x14ac:dyDescent="0.25">
      <c r="B243" s="589">
        <f>VLOOKUP(F243,'2) Tracker'!$A$3:$O$411,5,FALSE)</f>
        <v>0</v>
      </c>
      <c r="C243" s="589" t="str">
        <f>VLOOKUP(F243,'2) Tracker'!$A$3:$O$411,4,FALSE)</f>
        <v>US</v>
      </c>
      <c r="D243" s="563" t="s">
        <v>1569</v>
      </c>
      <c r="E243" s="563">
        <f>VLOOKUP(F243,'2) Tracker'!$A$3:$O$407,15,FALSE)</f>
        <v>0</v>
      </c>
      <c r="F243" s="590" t="s">
        <v>629</v>
      </c>
      <c r="G243" s="607">
        <f>VLOOKUP(F243,'2) Tracker'!$A$2:$BO$361,2,FALSE)</f>
        <v>43039</v>
      </c>
      <c r="H243" s="592">
        <f>VLOOKUP(F243,'2) Tracker'!$A$2:$BO$361,3,FALSE)</f>
        <v>78700</v>
      </c>
      <c r="I243" s="593" t="str">
        <f>VLOOKUP(F243,'2) Tracker'!$A$2:$BO$361,9,FALSE)</f>
        <v>Gunvor</v>
      </c>
      <c r="J243" s="594" t="str">
        <f>VLOOKUP(F243,'2) Tracker'!$A$2:$BO$361,12,FALSE)</f>
        <v>North China</v>
      </c>
      <c r="K243" s="596">
        <f t="shared" si="305"/>
        <v>46184</v>
      </c>
      <c r="L243" s="596">
        <f t="shared" ref="L243:O243" si="392">AE243</f>
        <v>46194</v>
      </c>
      <c r="M243" s="596" t="str">
        <f t="shared" si="392"/>
        <v/>
      </c>
      <c r="N243" s="597">
        <f t="shared" si="392"/>
        <v>46170</v>
      </c>
      <c r="O243" s="597" t="str">
        <f t="shared" si="392"/>
        <v/>
      </c>
      <c r="P243" s="598" t="str">
        <f>IFERROR(IF(VLOOKUP(F243,'Voyage days'!$M$808:$N$819,2,FALSE),"GOA",""),"")</f>
        <v/>
      </c>
      <c r="Q243" s="596">
        <f t="shared" si="287"/>
        <v>46173</v>
      </c>
      <c r="R243" s="596">
        <f t="shared" si="289"/>
        <v>46198</v>
      </c>
      <c r="S243" s="595">
        <f t="shared" si="2"/>
        <v>46187</v>
      </c>
      <c r="T243" s="596">
        <f t="shared" si="3"/>
        <v>46181</v>
      </c>
      <c r="U243" s="596">
        <f t="shared" si="290"/>
        <v>46161</v>
      </c>
      <c r="V243" s="596"/>
      <c r="W243" s="596">
        <f t="shared" si="291"/>
        <v>46161</v>
      </c>
      <c r="X243" s="599">
        <f t="shared" si="6"/>
        <v>46165</v>
      </c>
      <c r="Y243" s="594"/>
      <c r="Z243" s="600" t="str">
        <f>VLOOKUP(F243,'2) Tracker'!$A$3:$Q$505,16,FALSE)</f>
        <v>ETA 1st port Qingdao 06 May</v>
      </c>
      <c r="AA243" s="600" t="str">
        <f>VLOOKUP(F243,'2) Tracker'!$A$3:$R$505,18,FALSE)</f>
        <v>Gunvor 09-10 Feb Enterprise</v>
      </c>
      <c r="AB243" s="600">
        <f>VLOOKUP(F243,'2) Tracker'!$A$3:$Q$505,17,FALSE)</f>
        <v>0</v>
      </c>
      <c r="AC243" s="601"/>
      <c r="AD243" s="601">
        <f>VLOOKUP(F243,'2) Tracker'!$A$2:$BO$981,37,FALSE)</f>
        <v>46184</v>
      </c>
      <c r="AE243" s="601">
        <f>VLOOKUP(F243,'2) Tracker'!$A$2:$BO$981,40,FALSE)</f>
        <v>46194</v>
      </c>
      <c r="AF243" s="601" t="str">
        <f>VLOOKUP(F243,'2) Tracker'!$A$2:$BO$981,67,FALSE)</f>
        <v/>
      </c>
      <c r="AG243" s="601">
        <f>VLOOKUP(F243,'2) Tracker'!$A$2:$BO$981,34,FALSE)</f>
        <v>46170</v>
      </c>
      <c r="AH243" s="601" t="str">
        <f>VLOOKUP(F243,'2) Tracker'!$A$2:$BN$981,66,FALSE)</f>
        <v/>
      </c>
      <c r="AI243" s="601">
        <f>VLOOKUP(F243,'2) Tracker'!$A$2:$BO$981,56,FALSE)</f>
        <v>46161</v>
      </c>
      <c r="AJ243" s="601">
        <f>VLOOKUP(F243,'2) Tracker'!$A$2:$BO$981,52,FALSE)</f>
        <v>46161</v>
      </c>
      <c r="AK243" s="601">
        <f>VLOOKUP(F243,'2) Tracker'!$A$2:$AQ$981,43,FALSE)</f>
        <v>46181</v>
      </c>
      <c r="AL243" s="601">
        <f>VLOOKUP(F243,'2) Tracker'!$A$2:$BH$981,46,FALSE())</f>
        <v>46187</v>
      </c>
      <c r="AM243" s="601">
        <f>VLOOKUP(F243,'2) Tracker'!$A$2:$BO$981,65,FALSE())</f>
        <v>46173</v>
      </c>
      <c r="AN243" s="601">
        <f>VLOOKUP(F243,'2) Tracker'!$A$2:$BK$981,63,FALSE())</f>
        <v>46198</v>
      </c>
      <c r="AO243" s="601">
        <f>VLOOKUP(F243,'2) Tracker'!$A$2:$BF$981,58,FALSE())</f>
        <v>46165</v>
      </c>
      <c r="AP243" s="46"/>
      <c r="AQ243" s="46"/>
      <c r="AR243" s="46"/>
      <c r="AS243" s="46"/>
      <c r="AT243" s="46"/>
      <c r="AU243" s="46"/>
      <c r="AV243" s="46"/>
      <c r="AW243" s="46"/>
      <c r="AX243" s="46"/>
      <c r="AY243" s="46"/>
      <c r="AZ243" s="563"/>
      <c r="BA243" s="604" t="e">
        <f>VLOOKUP(AZ243,#REF!,2, FALSE)</f>
        <v>#REF!</v>
      </c>
      <c r="BB243" s="605" t="e">
        <f>VLOOKUP(AZ243,'1) Kpler'!$E$2:$F$500,2,FALSE)</f>
        <v>#N/A</v>
      </c>
      <c r="BC243" s="569"/>
      <c r="BD243" s="563"/>
      <c r="BE243" s="46"/>
      <c r="BF243" s="46"/>
      <c r="BG243" s="563"/>
      <c r="BH243" s="563"/>
      <c r="BI243" s="563"/>
      <c r="BJ243" s="563"/>
    </row>
    <row r="244" spans="2:62" x14ac:dyDescent="0.25">
      <c r="B244" s="589">
        <f>VLOOKUP(F244,'2) Tracker'!$A$3:$O$411,5,FALSE)</f>
        <v>0</v>
      </c>
      <c r="C244" s="589" t="str">
        <f>VLOOKUP(F244,'2) Tracker'!$A$3:$O$411,4,FALSE)</f>
        <v>US</v>
      </c>
      <c r="D244" s="563" t="s">
        <v>1569</v>
      </c>
      <c r="E244" s="563">
        <f>VLOOKUP(F244,'2) Tracker'!$A$3:$O$407,15,FALSE)</f>
        <v>0</v>
      </c>
      <c r="F244" s="590" t="s">
        <v>426</v>
      </c>
      <c r="G244" s="615">
        <f>VLOOKUP(F244,'2) Tracker'!$A$2:$BO$361,2,FALSE)</f>
        <v>2025</v>
      </c>
      <c r="H244" s="592">
        <f>VLOOKUP(F244,'2) Tracker'!$A$2:$BO$361,3,FALSE)</f>
        <v>88000</v>
      </c>
      <c r="I244" s="593" t="str">
        <f>VLOOKUP(F244,'2) Tracker'!$A$2:$BO$361,9,FALSE)</f>
        <v>Chevron</v>
      </c>
      <c r="J244" s="594" t="str">
        <f>VLOOKUP(F244,'2) Tracker'!$A$2:$BO$361,12,FALSE)</f>
        <v>North China</v>
      </c>
      <c r="K244" s="596">
        <f t="shared" si="305"/>
        <v>46184</v>
      </c>
      <c r="L244" s="596">
        <f t="shared" ref="L244:O244" si="393">AE244</f>
        <v>46194</v>
      </c>
      <c r="M244" s="596" t="str">
        <f t="shared" si="393"/>
        <v/>
      </c>
      <c r="N244" s="596">
        <f t="shared" si="393"/>
        <v>46170</v>
      </c>
      <c r="O244" s="597" t="str">
        <f t="shared" si="393"/>
        <v/>
      </c>
      <c r="P244" s="598" t="str">
        <f>IFERROR(IF(VLOOKUP(F244,'Voyage days'!$M$808:$N$819,2,FALSE),"GOA",""),"")</f>
        <v/>
      </c>
      <c r="Q244" s="596">
        <f t="shared" si="287"/>
        <v>46173</v>
      </c>
      <c r="R244" s="596">
        <f t="shared" si="289"/>
        <v>46198</v>
      </c>
      <c r="S244" s="595">
        <f t="shared" si="2"/>
        <v>46187</v>
      </c>
      <c r="T244" s="596">
        <f t="shared" si="3"/>
        <v>46181</v>
      </c>
      <c r="U244" s="596">
        <f t="shared" si="290"/>
        <v>46161</v>
      </c>
      <c r="V244" s="596"/>
      <c r="W244" s="596">
        <f t="shared" si="291"/>
        <v>46161</v>
      </c>
      <c r="X244" s="599">
        <f t="shared" si="6"/>
        <v>46165</v>
      </c>
      <c r="Y244" s="606" t="s">
        <v>1632</v>
      </c>
      <c r="Z244" s="600" t="str">
        <f>VLOOKUP(F244,'2) Tracker'!$A$3:$Q$505,16,FALSE)</f>
        <v>ETA North China 6 May</v>
      </c>
      <c r="AA244" s="600" t="str">
        <f>VLOOKUP(F244,'2) Tracker'!$A$3:$R$505,18,FALSE)</f>
        <v>Chevron 26-27 Mar Enterprise</v>
      </c>
      <c r="AB244" s="600">
        <f>VLOOKUP(F244,'2) Tracker'!$A$3:$Q$505,17,FALSE)</f>
        <v>0</v>
      </c>
      <c r="AC244" s="601"/>
      <c r="AD244" s="601">
        <f>VLOOKUP(F244,'2) Tracker'!$A$2:$BO$981,37,FALSE)</f>
        <v>46184</v>
      </c>
      <c r="AE244" s="601">
        <f>VLOOKUP(F244,'2) Tracker'!$A$2:$BO$981,40,FALSE)</f>
        <v>46194</v>
      </c>
      <c r="AF244" s="601" t="str">
        <f>VLOOKUP(F244,'2) Tracker'!$A$2:$BO$981,67,FALSE)</f>
        <v/>
      </c>
      <c r="AG244" s="601">
        <f>VLOOKUP(F244,'2) Tracker'!$A$2:$BO$981,34,FALSE)</f>
        <v>46170</v>
      </c>
      <c r="AH244" s="601" t="str">
        <f>VLOOKUP(F244,'2) Tracker'!$A$2:$BN$981,66,FALSE)</f>
        <v/>
      </c>
      <c r="AI244" s="601">
        <f>VLOOKUP(F244,'2) Tracker'!$A$2:$BO$981,56,FALSE)</f>
        <v>46161</v>
      </c>
      <c r="AJ244" s="601">
        <f>VLOOKUP(F244,'2) Tracker'!$A$2:$BO$981,52,FALSE)</f>
        <v>46161</v>
      </c>
      <c r="AK244" s="601">
        <f>VLOOKUP(F244,'2) Tracker'!$A$2:$AQ$981,43,FALSE)</f>
        <v>46181</v>
      </c>
      <c r="AL244" s="601">
        <f>VLOOKUP(F244,'2) Tracker'!$A$2:$BH$981,46,FALSE())</f>
        <v>46187</v>
      </c>
      <c r="AM244" s="601">
        <f>VLOOKUP(F244,'2) Tracker'!$A$2:$BO$981,65,FALSE())</f>
        <v>46173</v>
      </c>
      <c r="AN244" s="601">
        <f>VLOOKUP(F244,'2) Tracker'!$A$2:$BK$981,63,FALSE())</f>
        <v>46198</v>
      </c>
      <c r="AO244" s="601">
        <f>VLOOKUP(F244,'2) Tracker'!$A$2:$BF$981,58,FALSE())</f>
        <v>46165</v>
      </c>
      <c r="AP244" s="46"/>
      <c r="AQ244" s="46"/>
      <c r="AR244" s="46"/>
      <c r="AS244" s="46"/>
      <c r="AT244" s="46"/>
      <c r="AU244" s="46"/>
      <c r="AV244" s="46"/>
      <c r="AW244" s="46"/>
      <c r="AX244" s="46"/>
      <c r="AY244" s="46"/>
      <c r="AZ244" s="563"/>
      <c r="BA244" s="569"/>
      <c r="BB244" s="563"/>
      <c r="BC244" s="569"/>
      <c r="BD244" s="563"/>
      <c r="BE244" s="46"/>
      <c r="BF244" s="46"/>
      <c r="BG244" s="563"/>
      <c r="BH244" s="563"/>
      <c r="BI244" s="563"/>
      <c r="BJ244" s="563"/>
    </row>
    <row r="245" spans="2:62" x14ac:dyDescent="0.25">
      <c r="B245" s="589">
        <f>VLOOKUP(F245,'2) Tracker'!$A$3:$O$411,5,FALSE)</f>
        <v>0</v>
      </c>
      <c r="C245" s="589">
        <f>VLOOKUP(F245,'2) Tracker'!$A$3:$O$411,4,FALSE)</f>
        <v>0</v>
      </c>
      <c r="D245" s="563"/>
      <c r="E245" s="563">
        <f>VLOOKUP(F245,'2) Tracker'!$A$3:$O$407,15,FALSE)</f>
        <v>0</v>
      </c>
      <c r="F245" s="604" t="s">
        <v>1636</v>
      </c>
      <c r="G245" s="607">
        <f>VLOOKUP(F245,'2) Tracker'!$A$2:$BO$361,2,FALSE)</f>
        <v>42675</v>
      </c>
      <c r="H245" s="592">
        <f>VLOOKUP(F245,'2) Tracker'!$A$2:$BO$361,3,FALSE)</f>
        <v>82200</v>
      </c>
      <c r="I245" s="594" t="str">
        <f>VLOOKUP(F245,'2) Tracker'!$A$2:$BO$361,9,FALSE)</f>
        <v>Astomos</v>
      </c>
      <c r="J245" s="594" t="str">
        <f>VLOOKUP(F245,'2) Tracker'!$A$2:$BO$361,12,FALSE)</f>
        <v>Indo</v>
      </c>
      <c r="K245" s="596">
        <f t="shared" si="305"/>
        <v>46185</v>
      </c>
      <c r="L245" s="596">
        <f t="shared" ref="L245:O245" si="394">AE245</f>
        <v>46184</v>
      </c>
      <c r="M245" s="596" t="str">
        <f t="shared" si="394"/>
        <v/>
      </c>
      <c r="N245" s="596">
        <f t="shared" si="394"/>
        <v>46158</v>
      </c>
      <c r="O245" s="597" t="str">
        <f t="shared" si="394"/>
        <v/>
      </c>
      <c r="P245" s="598" t="str">
        <f>IFERROR(IF(VLOOKUP(F245,'Voyage days'!$M$808:$N$819,2,FALSE),"GOA",""),"")</f>
        <v/>
      </c>
      <c r="Q245" s="597">
        <f t="shared" si="287"/>
        <v>46161</v>
      </c>
      <c r="R245" s="596">
        <f t="shared" si="289"/>
        <v>46184</v>
      </c>
      <c r="S245" s="595">
        <f t="shared" si="2"/>
        <v>46176</v>
      </c>
      <c r="T245" s="596">
        <f t="shared" si="3"/>
        <v>46167</v>
      </c>
      <c r="U245" s="596">
        <f t="shared" si="290"/>
        <v>46151</v>
      </c>
      <c r="V245" s="570" t="s">
        <v>1577</v>
      </c>
      <c r="W245" s="596">
        <f t="shared" si="291"/>
        <v>46151</v>
      </c>
      <c r="X245" s="599" t="str">
        <f t="shared" si="6"/>
        <v/>
      </c>
      <c r="Y245" s="594"/>
      <c r="Z245" s="600" t="str">
        <f>VLOOKUP(F245,'2) Tracker'!$A$3:$Q$505,16,FALSE)</f>
        <v>ETA Indo 29 May</v>
      </c>
      <c r="AA245" s="600" t="str">
        <f>VLOOKUP(F245,'2) Tracker'!$A$3:$R$505,18,FALSE)</f>
        <v>MB Energy 11-12 Jan Enterprise</v>
      </c>
      <c r="AB245" s="600">
        <f>VLOOKUP(F245,'2) Tracker'!$A$3:$Q$505,17,FALSE)</f>
        <v>0</v>
      </c>
      <c r="AC245" s="601"/>
      <c r="AD245" s="601">
        <f>VLOOKUP(F245,'2) Tracker'!$A$2:$BO$981,37,FALSE)</f>
        <v>46185</v>
      </c>
      <c r="AE245" s="601">
        <f>VLOOKUP(F245,'2) Tracker'!$A$2:$BO$981,40,FALSE)</f>
        <v>46184</v>
      </c>
      <c r="AF245" s="601" t="str">
        <f>VLOOKUP(F245,'2) Tracker'!$A$2:$BO$981,67,FALSE)</f>
        <v/>
      </c>
      <c r="AG245" s="601">
        <f>VLOOKUP(F245,'2) Tracker'!$A$2:$BO$981,34,FALSE)</f>
        <v>46158</v>
      </c>
      <c r="AH245" s="601" t="str">
        <f>VLOOKUP(F245,'2) Tracker'!$A$2:$BN$981,66,FALSE)</f>
        <v/>
      </c>
      <c r="AI245" s="601">
        <f>VLOOKUP(F245,'2) Tracker'!$A$2:$BO$981,56,FALSE)</f>
        <v>46151</v>
      </c>
      <c r="AJ245" s="601">
        <f>VLOOKUP(F245,'2) Tracker'!$A$2:$BO$981,52,FALSE)</f>
        <v>46151</v>
      </c>
      <c r="AK245" s="601">
        <f>VLOOKUP(F245,'2) Tracker'!$A$2:$AQ$981,43,FALSE)</f>
        <v>46167</v>
      </c>
      <c r="AL245" s="601">
        <f>VLOOKUP(F245,'2) Tracker'!$A$2:$BH$981,46,FALSE())</f>
        <v>46176</v>
      </c>
      <c r="AM245" s="601">
        <f>VLOOKUP(F245,'2) Tracker'!$A$2:$BO$981,65,FALSE())</f>
        <v>46161</v>
      </c>
      <c r="AN245" s="601">
        <f>VLOOKUP(F245,'2) Tracker'!$A$2:$BK$981,63,FALSE())</f>
        <v>46184</v>
      </c>
      <c r="AO245" s="601" t="str">
        <f>VLOOKUP(F245,'2) Tracker'!$A$2:$BF$981,58,FALSE())</f>
        <v/>
      </c>
      <c r="AP245" s="46"/>
      <c r="AQ245" s="46"/>
      <c r="AR245" s="46"/>
      <c r="AS245" s="46"/>
      <c r="AT245" s="46"/>
      <c r="AU245" s="46"/>
      <c r="AV245" s="46"/>
      <c r="AW245" s="46"/>
      <c r="AX245" s="46"/>
      <c r="AY245" s="46"/>
      <c r="AZ245" s="563"/>
      <c r="BA245" s="604" t="e">
        <f>VLOOKUP(AZ245,#REF!,2, FALSE)</f>
        <v>#REF!</v>
      </c>
      <c r="BB245" s="605" t="e">
        <f>VLOOKUP(AZ245,'1) Kpler'!$E$2:$F$500,2,FALSE)</f>
        <v>#N/A</v>
      </c>
      <c r="BC245" s="569"/>
      <c r="BD245" s="563"/>
      <c r="BE245" s="46"/>
      <c r="BF245" s="46"/>
      <c r="BG245" s="563"/>
      <c r="BH245" s="563"/>
      <c r="BI245" s="563"/>
      <c r="BJ245" s="563"/>
    </row>
    <row r="246" spans="2:62" x14ac:dyDescent="0.25">
      <c r="B246" s="589">
        <f>VLOOKUP(F246,'2) Tracker'!$A$3:$O$411,5,FALSE)</f>
        <v>0</v>
      </c>
      <c r="C246" s="589" t="str">
        <f>VLOOKUP(F246,'2) Tracker'!$A$3:$O$411,4,FALSE)</f>
        <v>US</v>
      </c>
      <c r="D246" s="563" t="s">
        <v>1569</v>
      </c>
      <c r="E246" s="563">
        <f>VLOOKUP(F246,'2) Tracker'!$A$3:$O$407,15,FALSE)</f>
        <v>0</v>
      </c>
      <c r="F246" s="590" t="s">
        <v>171</v>
      </c>
      <c r="G246" s="607">
        <f>VLOOKUP(F246,'2) Tracker'!$A$2:$BO$361,2,FALSE)</f>
        <v>42886</v>
      </c>
      <c r="H246" s="649">
        <f>VLOOKUP(F246,'2) Tracker'!$A$2:$BO$361,3,FALSE)</f>
        <v>78700</v>
      </c>
      <c r="I246" s="600" t="str">
        <f>VLOOKUP(F246,'2) Tracker'!$A$2:$BO$361,9,FALSE)</f>
        <v>P66</v>
      </c>
      <c r="J246" s="594" t="str">
        <f>VLOOKUP(F246,'2) Tracker'!$A$2:$BO$361,12,FALSE)</f>
        <v>Korea</v>
      </c>
      <c r="K246" s="596">
        <f t="shared" si="305"/>
        <v>46185</v>
      </c>
      <c r="L246" s="596">
        <f t="shared" ref="L246:O246" si="395">AE246</f>
        <v>46193</v>
      </c>
      <c r="M246" s="596" t="str">
        <f t="shared" si="395"/>
        <v/>
      </c>
      <c r="N246" s="596">
        <f t="shared" si="395"/>
        <v>46170</v>
      </c>
      <c r="O246" s="597" t="str">
        <f t="shared" si="395"/>
        <v/>
      </c>
      <c r="P246" s="598" t="str">
        <f>IFERROR(IF(VLOOKUP(F246,'Voyage days'!$M$808:$N$819,2,FALSE),"GOA",""),"")</f>
        <v/>
      </c>
      <c r="Q246" s="596">
        <f t="shared" si="287"/>
        <v>46172</v>
      </c>
      <c r="R246" s="596">
        <f t="shared" si="289"/>
        <v>46197</v>
      </c>
      <c r="S246" s="595">
        <f t="shared" si="2"/>
        <v>46187</v>
      </c>
      <c r="T246" s="596">
        <f t="shared" si="3"/>
        <v>46181</v>
      </c>
      <c r="U246" s="596">
        <f t="shared" si="290"/>
        <v>46160</v>
      </c>
      <c r="V246" s="596"/>
      <c r="W246" s="596">
        <f t="shared" si="291"/>
        <v>46160</v>
      </c>
      <c r="X246" s="599">
        <f t="shared" si="6"/>
        <v>46163</v>
      </c>
      <c r="Y246" s="606"/>
      <c r="Z246" s="600" t="str">
        <f>VLOOKUP(F246,'2) Tracker'!$A$3:$Q$505,16,FALSE)</f>
        <v>ETA 1st port Daesan 06 May</v>
      </c>
      <c r="AA246" s="600" t="str">
        <f>VLOOKUP(F246,'2) Tracker'!$A$3:$R$505,18,FALSE)</f>
        <v>Vitol 28-29 Mar Nederland</v>
      </c>
      <c r="AB246" s="600">
        <f>VLOOKUP(F246,'2) Tracker'!$A$3:$Q$505,17,FALSE)</f>
        <v>0</v>
      </c>
      <c r="AC246" s="601"/>
      <c r="AD246" s="601">
        <f>VLOOKUP(F246,'2) Tracker'!$A$2:$BO$981,37,FALSE)</f>
        <v>46185</v>
      </c>
      <c r="AE246" s="601">
        <f>VLOOKUP(F246,'2) Tracker'!$A$2:$BO$981,40,FALSE)</f>
        <v>46193</v>
      </c>
      <c r="AF246" s="601" t="str">
        <f>VLOOKUP(F246,'2) Tracker'!$A$2:$BO$981,67,FALSE)</f>
        <v/>
      </c>
      <c r="AG246" s="601">
        <f>VLOOKUP(F246,'2) Tracker'!$A$2:$BO$981,34,FALSE)</f>
        <v>46170</v>
      </c>
      <c r="AH246" s="601" t="str">
        <f>VLOOKUP(F246,'2) Tracker'!$A$2:$BN$981,66,FALSE)</f>
        <v/>
      </c>
      <c r="AI246" s="601">
        <f>VLOOKUP(F246,'2) Tracker'!$A$2:$BO$981,56,FALSE)</f>
        <v>46160</v>
      </c>
      <c r="AJ246" s="601">
        <f>VLOOKUP(F246,'2) Tracker'!$A$2:$BO$981,52,FALSE)</f>
        <v>46160</v>
      </c>
      <c r="AK246" s="601">
        <f>VLOOKUP(F246,'2) Tracker'!$A$2:$AQ$981,43,FALSE)</f>
        <v>46181</v>
      </c>
      <c r="AL246" s="601">
        <f>VLOOKUP(F246,'2) Tracker'!$A$2:$BH$981,46,FALSE())</f>
        <v>46187</v>
      </c>
      <c r="AM246" s="601">
        <f>VLOOKUP(F246,'2) Tracker'!$A$2:$BO$981,65,FALSE())</f>
        <v>46172</v>
      </c>
      <c r="AN246" s="601">
        <f>VLOOKUP(F246,'2) Tracker'!$A$2:$BK$981,63,FALSE())</f>
        <v>46197</v>
      </c>
      <c r="AO246" s="601">
        <f>VLOOKUP(F246,'2) Tracker'!$A$2:$BF$981,58,FALSE())</f>
        <v>46163</v>
      </c>
      <c r="AP246" s="46"/>
      <c r="AQ246" s="46"/>
      <c r="AR246" s="46"/>
      <c r="AS246" s="46"/>
      <c r="AT246" s="46"/>
      <c r="AU246" s="46"/>
      <c r="AV246" s="46"/>
      <c r="AW246" s="46"/>
      <c r="AX246" s="46"/>
      <c r="AY246" s="46"/>
      <c r="AZ246" s="563"/>
      <c r="BA246" s="604" t="e">
        <f>VLOOKUP(AZ246,#REF!,2, FALSE)</f>
        <v>#REF!</v>
      </c>
      <c r="BB246" s="605" t="e">
        <f>VLOOKUP(AZ246,'1) Kpler'!$E$2:$F$500,2,FALSE)</f>
        <v>#N/A</v>
      </c>
      <c r="BC246" s="569"/>
      <c r="BD246" s="563"/>
      <c r="BE246" s="46"/>
      <c r="BF246" s="46"/>
      <c r="BG246" s="563"/>
      <c r="BH246" s="563"/>
      <c r="BI246" s="563"/>
      <c r="BJ246" s="563"/>
    </row>
    <row r="247" spans="2:62" x14ac:dyDescent="0.25">
      <c r="B247" s="589">
        <f>VLOOKUP(F247,'2) Tracker'!$A$3:$O$411,5,FALSE)</f>
        <v>0</v>
      </c>
      <c r="C247" s="589">
        <f>VLOOKUP(F247,'2) Tracker'!$A$3:$O$411,4,FALSE)</f>
        <v>0</v>
      </c>
      <c r="D247" s="563"/>
      <c r="E247" s="563">
        <f>VLOOKUP(F247,'2) Tracker'!$A$3:$O$407,15,FALSE)</f>
        <v>0</v>
      </c>
      <c r="F247" s="608" t="s">
        <v>96</v>
      </c>
      <c r="G247" s="591">
        <f>VLOOKUP(F247,'2) Tracker'!$A$2:$BO$361,2,FALSE)</f>
        <v>2023</v>
      </c>
      <c r="H247" s="592">
        <f>VLOOKUP(F247,'2) Tracker'!$A$2:$BO$361,3,FALSE)</f>
        <v>91000</v>
      </c>
      <c r="I247" s="593" t="str">
        <f>VLOOKUP(F247,'2) Tracker'!$A$2:$BO$361,9,FALSE)</f>
        <v>AltaGas</v>
      </c>
      <c r="J247" s="594" t="str">
        <f>VLOOKUP(F247,'2) Tracker'!$A$2:$BO$361,12,FALSE)</f>
        <v>Far East</v>
      </c>
      <c r="K247" s="596">
        <f t="shared" si="305"/>
        <v>46185</v>
      </c>
      <c r="L247" s="596">
        <f t="shared" ref="L247:O247" si="396">AE247</f>
        <v>46193</v>
      </c>
      <c r="M247" s="596" t="str">
        <f t="shared" si="396"/>
        <v/>
      </c>
      <c r="N247" s="596">
        <f t="shared" si="396"/>
        <v>46173</v>
      </c>
      <c r="O247" s="597" t="str">
        <f t="shared" si="396"/>
        <v/>
      </c>
      <c r="P247" s="598" t="str">
        <f>IFERROR(IF(VLOOKUP(F247,'Voyage days'!$M$808:$N$819,2,FALSE),"GOA",""),"")</f>
        <v/>
      </c>
      <c r="Q247" s="596">
        <f t="shared" si="287"/>
        <v>46176</v>
      </c>
      <c r="R247" s="595">
        <f t="shared" si="289"/>
        <v>46201</v>
      </c>
      <c r="S247" s="595">
        <f t="shared" si="2"/>
        <v>46191</v>
      </c>
      <c r="T247" s="596">
        <f t="shared" si="3"/>
        <v>46185</v>
      </c>
      <c r="U247" s="595">
        <f t="shared" si="290"/>
        <v>46164</v>
      </c>
      <c r="V247" s="596"/>
      <c r="W247" s="596">
        <f t="shared" si="291"/>
        <v>46163.25</v>
      </c>
      <c r="X247" s="599">
        <f t="shared" si="6"/>
        <v>46166</v>
      </c>
      <c r="Y247" s="594"/>
      <c r="Z247" s="600" t="str">
        <f>VLOOKUP(F247,'2) Tracker'!$A$3:$Q$505,16,FALSE)</f>
        <v>ETA Prince Rupert 23 Apr</v>
      </c>
      <c r="AA247" s="600" t="str">
        <f>VLOOKUP(F247,'2) Tracker'!$A$3:$R$505,18,FALSE)</f>
        <v>Altagas 23 Mar RIPET</v>
      </c>
      <c r="AB247" s="600">
        <f>VLOOKUP(F247,'2) Tracker'!$A$3:$Q$505,17,FALSE)</f>
        <v>0</v>
      </c>
      <c r="AC247" s="601"/>
      <c r="AD247" s="601">
        <f>VLOOKUP(F247,'2) Tracker'!$A$2:$BO$981,37,FALSE)</f>
        <v>46185</v>
      </c>
      <c r="AE247" s="601">
        <f>VLOOKUP(F247,'2) Tracker'!$A$2:$BO$981,40,FALSE)</f>
        <v>46193</v>
      </c>
      <c r="AF247" s="601" t="str">
        <f>VLOOKUP(F247,'2) Tracker'!$A$2:$BO$981,67,FALSE)</f>
        <v/>
      </c>
      <c r="AG247" s="601">
        <f>VLOOKUP(F247,'2) Tracker'!$A$2:$BO$981,34,FALSE)</f>
        <v>46173</v>
      </c>
      <c r="AH247" s="601" t="str">
        <f>VLOOKUP(F247,'2) Tracker'!$A$2:$BN$981,66,FALSE)</f>
        <v/>
      </c>
      <c r="AI247" s="601">
        <f>VLOOKUP(F247,'2) Tracker'!$A$2:$BO$981,56,FALSE)</f>
        <v>46164</v>
      </c>
      <c r="AJ247" s="601">
        <f>VLOOKUP(F247,'2) Tracker'!$A$2:$BO$981,52,FALSE)</f>
        <v>46163.25</v>
      </c>
      <c r="AK247" s="601">
        <f>VLOOKUP(F247,'2) Tracker'!$A$2:$AQ$981,43,FALSE)</f>
        <v>46185</v>
      </c>
      <c r="AL247" s="601">
        <f>VLOOKUP(F247,'2) Tracker'!$A$2:$BH$981,46,FALSE())</f>
        <v>46191</v>
      </c>
      <c r="AM247" s="601">
        <f>VLOOKUP(F247,'2) Tracker'!$A$2:$BO$981,65,FALSE())</f>
        <v>46176</v>
      </c>
      <c r="AN247" s="601">
        <f>VLOOKUP(F247,'2) Tracker'!$A$2:$BK$981,63,FALSE())</f>
        <v>46201</v>
      </c>
      <c r="AO247" s="601">
        <f>VLOOKUP(F247,'2) Tracker'!$A$2:$BF$981,58,FALSE())</f>
        <v>46166</v>
      </c>
      <c r="AP247" s="627"/>
      <c r="AQ247" s="627"/>
      <c r="AR247" s="46"/>
      <c r="AS247" s="46"/>
      <c r="AT247" s="46"/>
      <c r="AU247" s="46"/>
      <c r="AV247" s="46"/>
      <c r="AW247" s="46"/>
      <c r="AX247" s="46"/>
      <c r="AY247" s="46"/>
      <c r="AZ247" s="563"/>
      <c r="BA247" s="604" t="e">
        <f>VLOOKUP(AZ247,#REF!,2, FALSE)</f>
        <v>#REF!</v>
      </c>
      <c r="BB247" s="605" t="e">
        <f>VLOOKUP(AZ247,'1) Kpler'!$E$2:$F$500,2,FALSE)</f>
        <v>#N/A</v>
      </c>
      <c r="BC247" s="569"/>
      <c r="BD247" s="563"/>
      <c r="BE247" s="46"/>
      <c r="BF247" s="46"/>
      <c r="BG247" s="563"/>
      <c r="BH247" s="563"/>
      <c r="BI247" s="563"/>
      <c r="BJ247" s="563"/>
    </row>
    <row r="248" spans="2:62" x14ac:dyDescent="0.25">
      <c r="B248" s="589">
        <f>VLOOKUP(F248,'2) Tracker'!$A$3:$O$411,5,FALSE)</f>
        <v>0</v>
      </c>
      <c r="C248" s="589">
        <f>VLOOKUP(F248,'2) Tracker'!$A$3:$O$411,4,FALSE)</f>
        <v>0</v>
      </c>
      <c r="D248" s="563"/>
      <c r="E248" s="563">
        <f>VLOOKUP(F248,'2) Tracker'!$A$3:$O$407,15,FALSE)</f>
        <v>0</v>
      </c>
      <c r="F248" s="561" t="s">
        <v>255</v>
      </c>
      <c r="G248" s="591">
        <f>VLOOKUP(F248,'2) Tracker'!$A$2:$BO$361,2,FALSE)</f>
        <v>2020</v>
      </c>
      <c r="H248" s="592">
        <f>VLOOKUP(F248,'2) Tracker'!$A$2:$BO$361,3,FALSE)</f>
        <v>83000</v>
      </c>
      <c r="I248" s="600" t="str">
        <f>VLOOKUP(F248,'2) Tracker'!$A$2:$BO$361,9,FALSE)</f>
        <v>Itochu</v>
      </c>
      <c r="J248" s="594" t="str">
        <f>VLOOKUP(F248,'2) Tracker'!$A$2:$BO$361,12,FALSE)</f>
        <v>Indo</v>
      </c>
      <c r="K248" s="596">
        <f t="shared" si="305"/>
        <v>46186</v>
      </c>
      <c r="L248" s="596">
        <f t="shared" ref="L248:O248" si="397">AE248</f>
        <v>46185</v>
      </c>
      <c r="M248" s="596" t="str">
        <f t="shared" si="397"/>
        <v/>
      </c>
      <c r="N248" s="596">
        <f t="shared" si="397"/>
        <v>46159</v>
      </c>
      <c r="O248" s="597" t="str">
        <f t="shared" si="397"/>
        <v/>
      </c>
      <c r="P248" s="598" t="str">
        <f>IFERROR(IF(VLOOKUP(F248,'Voyage days'!$M$808:$N$819,2,FALSE),"GOA",""),"")</f>
        <v/>
      </c>
      <c r="Q248" s="596">
        <f t="shared" si="287"/>
        <v>46163</v>
      </c>
      <c r="R248" s="596">
        <f t="shared" si="289"/>
        <v>46185</v>
      </c>
      <c r="S248" s="595">
        <f t="shared" si="2"/>
        <v>46177</v>
      </c>
      <c r="T248" s="596">
        <f t="shared" si="3"/>
        <v>46168</v>
      </c>
      <c r="U248" s="596">
        <f t="shared" si="290"/>
        <v>46153</v>
      </c>
      <c r="V248" s="616"/>
      <c r="W248" s="616">
        <f t="shared" si="291"/>
        <v>46152</v>
      </c>
      <c r="X248" s="599" t="str">
        <f t="shared" si="6"/>
        <v/>
      </c>
      <c r="Y248" s="594"/>
      <c r="Z248" s="600" t="str">
        <f>VLOOKUP(F248,'2) Tracker'!$A$3:$Q$505,16,FALSE)</f>
        <v>ETA Kalbut 02 May, Darwin candidate?</v>
      </c>
      <c r="AA248" s="600" t="str">
        <f>VLOOKUP(F248,'2) Tracker'!$A$3:$R$505,18,FALSE)</f>
        <v>Itochu 17-18 Mar Nederland</v>
      </c>
      <c r="AB248" s="600">
        <f>VLOOKUP(F248,'2) Tracker'!$A$3:$Q$505,17,FALSE)</f>
        <v>0</v>
      </c>
      <c r="AC248" s="601"/>
      <c r="AD248" s="601">
        <f>VLOOKUP(F248,'2) Tracker'!$A$2:$BO$981,37,FALSE)</f>
        <v>46186</v>
      </c>
      <c r="AE248" s="601">
        <f>VLOOKUP(F248,'2) Tracker'!$A$2:$BO$981,40,FALSE)</f>
        <v>46185</v>
      </c>
      <c r="AF248" s="601" t="str">
        <f>VLOOKUP(F248,'2) Tracker'!$A$2:$BO$981,67,FALSE)</f>
        <v/>
      </c>
      <c r="AG248" s="601">
        <f>VLOOKUP(F248,'2) Tracker'!$A$2:$BO$981,34,FALSE)</f>
        <v>46159</v>
      </c>
      <c r="AH248" s="601" t="str">
        <f>VLOOKUP(F248,'2) Tracker'!$A$2:$BN$981,66,FALSE)</f>
        <v/>
      </c>
      <c r="AI248" s="601">
        <f>VLOOKUP(F248,'2) Tracker'!$A$2:$BO$981,56,FALSE)</f>
        <v>46153</v>
      </c>
      <c r="AJ248" s="601">
        <f>VLOOKUP(F248,'2) Tracker'!$A$2:$BO$981,52,FALSE)</f>
        <v>46152</v>
      </c>
      <c r="AK248" s="601">
        <f>VLOOKUP(F248,'2) Tracker'!$A$2:$AQ$981,43,FALSE)</f>
        <v>46168</v>
      </c>
      <c r="AL248" s="601">
        <f>VLOOKUP(F248,'2) Tracker'!$A$2:$BH$981,46,FALSE())</f>
        <v>46177</v>
      </c>
      <c r="AM248" s="601">
        <f>VLOOKUP(F248,'2) Tracker'!$A$2:$BO$981,65,FALSE())</f>
        <v>46163</v>
      </c>
      <c r="AN248" s="601">
        <f>VLOOKUP(F248,'2) Tracker'!$A$2:$BK$981,63,FALSE())</f>
        <v>46185</v>
      </c>
      <c r="AO248" s="601" t="str">
        <f>VLOOKUP(F248,'2) Tracker'!$A$2:$BF$981,58,FALSE())</f>
        <v/>
      </c>
      <c r="AP248" s="46"/>
      <c r="AQ248" s="46"/>
      <c r="AR248" s="46"/>
      <c r="AS248" s="46" t="s">
        <v>1637</v>
      </c>
      <c r="AT248" s="46"/>
      <c r="AU248" s="46"/>
      <c r="AV248" s="46"/>
      <c r="AW248" s="46"/>
      <c r="AX248" s="46"/>
      <c r="AY248" s="46"/>
      <c r="AZ248" s="605"/>
      <c r="BA248" s="604" t="e">
        <f>VLOOKUP(AZ248,#REF!,2, FALSE)</f>
        <v>#REF!</v>
      </c>
      <c r="BB248" s="605" t="e">
        <f>VLOOKUP(AZ248,'1) Kpler'!$E$2:$F$500,2,FALSE)</f>
        <v>#N/A</v>
      </c>
      <c r="BC248" s="604"/>
      <c r="BD248" s="605"/>
      <c r="BE248" s="46"/>
      <c r="BF248" s="46"/>
      <c r="BG248" s="605"/>
      <c r="BH248" s="605"/>
      <c r="BI248" s="605"/>
      <c r="BJ248" s="605"/>
    </row>
    <row r="249" spans="2:62" hidden="1" x14ac:dyDescent="0.25">
      <c r="B249" s="589">
        <f>VLOOKUP(F249,'2) Tracker'!$A$3:$O$411,5,FALSE)</f>
        <v>0</v>
      </c>
      <c r="C249" s="589">
        <f>VLOOKUP(F249,'2) Tracker'!$A$3:$O$411,4,FALSE)</f>
        <v>0</v>
      </c>
      <c r="D249" s="563"/>
      <c r="E249" s="563">
        <f>VLOOKUP(F249,'2) Tracker'!$A$3:$O$407,15,FALSE)</f>
        <v>0</v>
      </c>
      <c r="F249" s="604" t="s">
        <v>225</v>
      </c>
      <c r="G249" s="617">
        <f>VLOOKUP(F249,'2) Tracker'!$A$2:$BO$361,2,FALSE)</f>
        <v>36801</v>
      </c>
      <c r="H249" s="592">
        <f>VLOOKUP(F249,'2) Tracker'!$A$2:$BO$361,3,FALSE)</f>
        <v>84310</v>
      </c>
      <c r="I249" s="593" t="str">
        <f>VLOOKUP(F249,'2) Tracker'!$A$2:$BO$361,9,FALSE)</f>
        <v>Sonatrach</v>
      </c>
      <c r="J249" s="594" t="str">
        <f>VLOOKUP(F249,'2) Tracker'!$A$2:$BO$361,12,FALSE)</f>
        <v>Indo</v>
      </c>
      <c r="K249" s="595">
        <f t="shared" si="305"/>
        <v>46184</v>
      </c>
      <c r="L249" s="595">
        <f t="shared" ref="L249:O249" si="398">AE249</f>
        <v>46183</v>
      </c>
      <c r="M249" s="596" t="str">
        <f t="shared" si="398"/>
        <v/>
      </c>
      <c r="N249" s="596">
        <f t="shared" si="398"/>
        <v>46157</v>
      </c>
      <c r="O249" s="597" t="str">
        <f t="shared" si="398"/>
        <v/>
      </c>
      <c r="P249" s="598" t="str">
        <f>IFERROR(IF(VLOOKUP(F249,'Voyage days'!$M$808:$N$819,2,FALSE),"GOA",""),"")</f>
        <v/>
      </c>
      <c r="Q249" s="596">
        <f t="shared" si="287"/>
        <v>46160</v>
      </c>
      <c r="R249" s="595">
        <f t="shared" si="289"/>
        <v>46183</v>
      </c>
      <c r="S249" s="595">
        <f t="shared" si="2"/>
        <v>46175</v>
      </c>
      <c r="T249" s="596">
        <f t="shared" si="3"/>
        <v>46166</v>
      </c>
      <c r="U249" s="595">
        <f t="shared" si="290"/>
        <v>46150</v>
      </c>
      <c r="V249" s="595"/>
      <c r="W249" s="595">
        <f t="shared" si="291"/>
        <v>46150</v>
      </c>
      <c r="X249" s="599" t="str">
        <f t="shared" si="6"/>
        <v/>
      </c>
      <c r="Y249" s="594"/>
      <c r="Z249" s="600" t="str">
        <f>VLOOKUP(F249,'2) Tracker'!$A$3:$Q$505,16,FALSE)</f>
        <v>ETA Arun 30 Apr</v>
      </c>
      <c r="AA249" s="600" t="str">
        <f>VLOOKUP(F249,'2) Tracker'!$A$3:$R$505,18,FALSE)</f>
        <v>Sonatrach 23 Mar Bethioua</v>
      </c>
      <c r="AB249" s="600">
        <f>VLOOKUP(F249,'2) Tracker'!$A$3:$Q$505,17,FALSE)</f>
        <v>0</v>
      </c>
      <c r="AC249" s="601"/>
      <c r="AD249" s="601">
        <f>VLOOKUP(F249,'2) Tracker'!$A$2:$BO$981,37,FALSE)</f>
        <v>46184</v>
      </c>
      <c r="AE249" s="601">
        <f>VLOOKUP(F249,'2) Tracker'!$A$2:$BO$981,40,FALSE)</f>
        <v>46183</v>
      </c>
      <c r="AF249" s="601" t="str">
        <f>VLOOKUP(F249,'2) Tracker'!$A$2:$BO$981,67,FALSE)</f>
        <v/>
      </c>
      <c r="AG249" s="601">
        <f>VLOOKUP(F249,'2) Tracker'!$A$2:$BO$981,34,FALSE)</f>
        <v>46157</v>
      </c>
      <c r="AH249" s="601" t="str">
        <f>VLOOKUP(F249,'2) Tracker'!$A$2:$BN$981,66,FALSE)</f>
        <v/>
      </c>
      <c r="AI249" s="601">
        <f>VLOOKUP(F249,'2) Tracker'!$A$2:$BO$981,56,FALSE)</f>
        <v>46150</v>
      </c>
      <c r="AJ249" s="601">
        <f>VLOOKUP(F249,'2) Tracker'!$A$2:$BO$981,52,FALSE)</f>
        <v>46150</v>
      </c>
      <c r="AK249" s="601">
        <f>VLOOKUP(F249,'2) Tracker'!$A$2:$AQ$981,43,FALSE)</f>
        <v>46166</v>
      </c>
      <c r="AL249" s="601">
        <f>VLOOKUP(F249,'2) Tracker'!$A$2:$BH$981,46,FALSE())</f>
        <v>46175</v>
      </c>
      <c r="AM249" s="601">
        <f>VLOOKUP(F249,'2) Tracker'!$A$2:$BO$981,65,FALSE())</f>
        <v>46160</v>
      </c>
      <c r="AN249" s="601">
        <f>VLOOKUP(F249,'2) Tracker'!$A$2:$BK$981,63,FALSE())</f>
        <v>46183</v>
      </c>
      <c r="AO249" s="601" t="str">
        <f>VLOOKUP(F249,'2) Tracker'!$A$2:$BF$981,58,FALSE())</f>
        <v/>
      </c>
      <c r="AP249" s="46"/>
      <c r="AQ249" s="46"/>
      <c r="AR249" s="46"/>
      <c r="AS249" s="46"/>
      <c r="AT249" s="46"/>
      <c r="AU249" s="46"/>
      <c r="AV249" s="46"/>
      <c r="AW249" s="46"/>
      <c r="AX249" s="46"/>
      <c r="AY249" s="46"/>
      <c r="AZ249" s="605"/>
      <c r="BA249" s="604"/>
      <c r="BB249" s="605"/>
      <c r="BC249" s="604"/>
      <c r="BD249" s="605"/>
      <c r="BE249" s="46"/>
      <c r="BF249" s="46"/>
      <c r="BG249" s="605"/>
      <c r="BH249" s="605"/>
      <c r="BI249" s="605"/>
      <c r="BJ249" s="605"/>
    </row>
    <row r="250" spans="2:62" x14ac:dyDescent="0.25">
      <c r="B250" s="589">
        <f>VLOOKUP(F250,'2) Tracker'!$A$3:$O$411,5,FALSE)</f>
        <v>0</v>
      </c>
      <c r="C250" s="589">
        <f>VLOOKUP(F250,'2) Tracker'!$A$3:$O$411,4,FALSE)</f>
        <v>0</v>
      </c>
      <c r="D250" s="563"/>
      <c r="E250" s="563">
        <f>VLOOKUP(F250,'2) Tracker'!$A$3:$O$407,15,FALSE)</f>
        <v>0</v>
      </c>
      <c r="F250" s="608" t="s">
        <v>237</v>
      </c>
      <c r="G250" s="591">
        <f>VLOOKUP(F250,'2) Tracker'!$A$2:$BO$361,2,FALSE)</f>
        <v>2022</v>
      </c>
      <c r="H250" s="592">
        <f>VLOOKUP(F250,'2) Tracker'!$A$2:$BO$361,3,FALSE)</f>
        <v>91000</v>
      </c>
      <c r="I250" s="593" t="str">
        <f>VLOOKUP(F250,'2) Tracker'!$A$2:$BO$361,9,FALSE)</f>
        <v>Total</v>
      </c>
      <c r="J250" s="594" t="str">
        <f>VLOOKUP(F250,'2) Tracker'!$A$2:$BO$361,12,FALSE)</f>
        <v>Far East</v>
      </c>
      <c r="K250" s="596">
        <f t="shared" si="305"/>
        <v>46187</v>
      </c>
      <c r="L250" s="596">
        <f t="shared" ref="L250:O250" si="399">AE250</f>
        <v>46195</v>
      </c>
      <c r="M250" s="596" t="str">
        <f t="shared" si="399"/>
        <v/>
      </c>
      <c r="N250" s="596">
        <f t="shared" si="399"/>
        <v>46175</v>
      </c>
      <c r="O250" s="597" t="str">
        <f t="shared" si="399"/>
        <v/>
      </c>
      <c r="P250" s="598" t="str">
        <f>IFERROR(IF(VLOOKUP(F250,'Voyage days'!$M$808:$N$819,2,FALSE),"GOA",""),"")</f>
        <v/>
      </c>
      <c r="Q250" s="596">
        <f t="shared" si="287"/>
        <v>46178</v>
      </c>
      <c r="R250" s="596">
        <f t="shared" si="289"/>
        <v>46203</v>
      </c>
      <c r="S250" s="595">
        <f t="shared" si="2"/>
        <v>46193</v>
      </c>
      <c r="T250" s="596">
        <f t="shared" si="3"/>
        <v>46187</v>
      </c>
      <c r="U250" s="596">
        <f t="shared" si="290"/>
        <v>46166</v>
      </c>
      <c r="V250" s="596"/>
      <c r="W250" s="596">
        <f t="shared" si="291"/>
        <v>46165.25</v>
      </c>
      <c r="X250" s="599">
        <f t="shared" si="6"/>
        <v>46168</v>
      </c>
      <c r="Y250" s="594"/>
      <c r="Z250" s="600" t="str">
        <f>VLOOKUP(F250,'2) Tracker'!$A$3:$Q$505,16,FALSE)</f>
        <v>ETA Cristobal 13 Apr, heading Far East</v>
      </c>
      <c r="AA250" s="600" t="str">
        <f>VLOOKUP(F250,'2) Tracker'!$A$3:$R$505,18,FALSE)</f>
        <v>Total 06-07 Apr Freeport</v>
      </c>
      <c r="AB250" s="600">
        <f>VLOOKUP(F250,'2) Tracker'!$A$3:$Q$505,17,FALSE)</f>
        <v>0</v>
      </c>
      <c r="AC250" s="601"/>
      <c r="AD250" s="601">
        <f>VLOOKUP(F250,'2) Tracker'!$A$2:$BO$981,37,FALSE)</f>
        <v>46187</v>
      </c>
      <c r="AE250" s="601">
        <f>VLOOKUP(F250,'2) Tracker'!$A$2:$BO$981,40,FALSE)</f>
        <v>46195</v>
      </c>
      <c r="AF250" s="601" t="str">
        <f>VLOOKUP(F250,'2) Tracker'!$A$2:$BO$981,67,FALSE)</f>
        <v/>
      </c>
      <c r="AG250" s="601">
        <f>VLOOKUP(F250,'2) Tracker'!$A$2:$BO$981,34,FALSE)</f>
        <v>46175</v>
      </c>
      <c r="AH250" s="601" t="str">
        <f>VLOOKUP(F250,'2) Tracker'!$A$2:$BN$981,66,FALSE)</f>
        <v/>
      </c>
      <c r="AI250" s="601">
        <f>VLOOKUP(F250,'2) Tracker'!$A$2:$BO$981,56,FALSE)</f>
        <v>46166</v>
      </c>
      <c r="AJ250" s="601">
        <f>VLOOKUP(F250,'2) Tracker'!$A$2:$BO$981,52,FALSE)</f>
        <v>46165.25</v>
      </c>
      <c r="AK250" s="601">
        <f>VLOOKUP(F250,'2) Tracker'!$A$2:$AQ$981,43,FALSE)</f>
        <v>46187</v>
      </c>
      <c r="AL250" s="601">
        <f>VLOOKUP(F250,'2) Tracker'!$A$2:$BH$981,46,FALSE())</f>
        <v>46193</v>
      </c>
      <c r="AM250" s="601">
        <f>VLOOKUP(F250,'2) Tracker'!$A$2:$BO$981,65,FALSE())</f>
        <v>46178</v>
      </c>
      <c r="AN250" s="601">
        <f>VLOOKUP(F250,'2) Tracker'!$A$2:$BK$981,63,FALSE())</f>
        <v>46203</v>
      </c>
      <c r="AO250" s="601">
        <f>VLOOKUP(F250,'2) Tracker'!$A$2:$BF$981,58,FALSE())</f>
        <v>46168</v>
      </c>
      <c r="AP250" s="46"/>
      <c r="AQ250" s="46"/>
      <c r="AR250" s="46"/>
      <c r="AS250" s="46"/>
      <c r="AT250" s="46"/>
      <c r="AU250" s="46"/>
      <c r="AV250" s="46"/>
      <c r="AW250" s="46"/>
      <c r="AX250" s="46"/>
      <c r="AY250" s="46"/>
      <c r="AZ250" s="563"/>
      <c r="BA250" s="604" t="e">
        <f>VLOOKUP(AZ250,#REF!,2, FALSE)</f>
        <v>#REF!</v>
      </c>
      <c r="BB250" s="605" t="e">
        <f>VLOOKUP(AZ250,'1) Kpler'!$E$2:$F$500,2,FALSE)</f>
        <v>#N/A</v>
      </c>
      <c r="BC250" s="569"/>
      <c r="BD250" s="563"/>
      <c r="BE250" s="46"/>
      <c r="BF250" s="46"/>
      <c r="BG250" s="563"/>
      <c r="BH250" s="563"/>
      <c r="BI250" s="563"/>
      <c r="BJ250" s="563"/>
    </row>
    <row r="251" spans="2:62" x14ac:dyDescent="0.25">
      <c r="B251" s="589">
        <f>VLOOKUP(F251,'2) Tracker'!$A$3:$O$411,5,FALSE)</f>
        <v>0</v>
      </c>
      <c r="C251" s="589">
        <f>VLOOKUP(F251,'2) Tracker'!$A$3:$O$411,4,FALSE)</f>
        <v>0</v>
      </c>
      <c r="D251" s="563"/>
      <c r="E251" s="563">
        <f>VLOOKUP(F251,'2) Tracker'!$A$3:$O$407,15,FALSE)</f>
        <v>0</v>
      </c>
      <c r="F251" s="604" t="s">
        <v>1416</v>
      </c>
      <c r="G251" s="607">
        <f>VLOOKUP(F251,'2) Tracker'!$A$2:$BO$361,2,FALSE)</f>
        <v>42016</v>
      </c>
      <c r="H251" s="592">
        <f>VLOOKUP(F251,'2) Tracker'!$A$2:$BO$361,3,FALSE)</f>
        <v>83000</v>
      </c>
      <c r="I251" s="594" t="str">
        <f>VLOOKUP(F251,'2) Tracker'!$A$2:$BO$361,9,FALSE)</f>
        <v>BW</v>
      </c>
      <c r="J251" s="594" t="str">
        <f>VLOOKUP(F251,'2) Tracker'!$A$2:$BO$361,12,FALSE)</f>
        <v>Thailand</v>
      </c>
      <c r="K251" s="595">
        <f t="shared" si="305"/>
        <v>46188</v>
      </c>
      <c r="L251" s="595">
        <f t="shared" ref="L251:O251" si="400">AE251</f>
        <v>46194</v>
      </c>
      <c r="M251" s="596" t="str">
        <f t="shared" si="400"/>
        <v/>
      </c>
      <c r="N251" s="596">
        <f t="shared" si="400"/>
        <v>46167</v>
      </c>
      <c r="O251" s="597" t="str">
        <f t="shared" si="400"/>
        <v/>
      </c>
      <c r="P251" s="598" t="str">
        <f>IFERROR(IF(VLOOKUP(F251,'Voyage days'!$M$808:$N$819,2,FALSE),"GOA",""),"")</f>
        <v/>
      </c>
      <c r="Q251" s="596">
        <f t="shared" si="287"/>
        <v>46170</v>
      </c>
      <c r="R251" s="595">
        <f t="shared" si="289"/>
        <v>46195</v>
      </c>
      <c r="S251" s="595">
        <f t="shared" si="2"/>
        <v>46185</v>
      </c>
      <c r="T251" s="596">
        <f t="shared" si="3"/>
        <v>46176</v>
      </c>
      <c r="U251" s="595">
        <f t="shared" si="290"/>
        <v>46157</v>
      </c>
      <c r="V251" s="596"/>
      <c r="W251" s="596">
        <f t="shared" si="291"/>
        <v>46160.75</v>
      </c>
      <c r="X251" s="599" t="str">
        <f t="shared" si="6"/>
        <v/>
      </c>
      <c r="Y251" s="594"/>
      <c r="Z251" s="600" t="str">
        <f>VLOOKUP(F251,'2) Tracker'!$A$3:$Q$505,16,FALSE)</f>
        <v>ETA Sri Racha 10 May</v>
      </c>
      <c r="AA251" s="569" t="str">
        <f>'2) Tracker'!R259</f>
        <v>Wanhua 02-03 Apr Bethioua</v>
      </c>
      <c r="AB251" s="600">
        <f>VLOOKUP(F251,'2) Tracker'!$A$3:$Q$505,17,FALSE)</f>
        <v>0</v>
      </c>
      <c r="AC251" s="601"/>
      <c r="AD251" s="601">
        <f>VLOOKUP(F251,'2) Tracker'!$A$2:$BO$981,37,FALSE)</f>
        <v>46188</v>
      </c>
      <c r="AE251" s="601">
        <f>VLOOKUP(F251,'2) Tracker'!$A$2:$BO$981,40,FALSE)</f>
        <v>46194</v>
      </c>
      <c r="AF251" s="601" t="str">
        <f>VLOOKUP(F251,'2) Tracker'!$A$2:$BO$981,67,FALSE)</f>
        <v/>
      </c>
      <c r="AG251" s="601">
        <f>VLOOKUP(F251,'2) Tracker'!$A$2:$BO$981,34,FALSE)</f>
        <v>46167</v>
      </c>
      <c r="AH251" s="601" t="str">
        <f>VLOOKUP(F251,'2) Tracker'!$A$2:$BN$981,66,FALSE)</f>
        <v/>
      </c>
      <c r="AI251" s="601">
        <f>VLOOKUP(F251,'2) Tracker'!$A$2:$BO$981,56,FALSE)</f>
        <v>46157</v>
      </c>
      <c r="AJ251" s="601">
        <f>VLOOKUP(F251,'2) Tracker'!$A$2:$BO$981,52,FALSE)</f>
        <v>46160.75</v>
      </c>
      <c r="AK251" s="601">
        <f>VLOOKUP(F251,'2) Tracker'!$A$2:$AQ$981,43,FALSE)</f>
        <v>46176</v>
      </c>
      <c r="AL251" s="601">
        <f>VLOOKUP(F251,'2) Tracker'!$A$2:$BH$981,46,FALSE())</f>
        <v>46185</v>
      </c>
      <c r="AM251" s="601">
        <f>VLOOKUP(F251,'2) Tracker'!$A$2:$BO$981,65,FALSE())</f>
        <v>46170</v>
      </c>
      <c r="AN251" s="601">
        <f>VLOOKUP(F251,'2) Tracker'!$A$2:$BK$981,63,FALSE())</f>
        <v>46195</v>
      </c>
      <c r="AO251" s="601" t="str">
        <f>VLOOKUP(F251,'2) Tracker'!$A$2:$BF$981,58,FALSE())</f>
        <v/>
      </c>
      <c r="AP251" s="46"/>
      <c r="AQ251" s="46"/>
      <c r="AR251" s="46"/>
      <c r="AS251" s="46"/>
      <c r="AT251" s="46"/>
      <c r="AU251" s="46"/>
      <c r="AV251" s="46"/>
      <c r="AW251" s="46"/>
      <c r="AX251" s="46"/>
      <c r="AY251" s="46"/>
      <c r="AZ251" s="563"/>
      <c r="BA251" s="604" t="e">
        <f>VLOOKUP(AZ251,#REF!,2, FALSE)</f>
        <v>#REF!</v>
      </c>
      <c r="BB251" s="605" t="e">
        <f>VLOOKUP(AZ251,'1) Kpler'!$E$2:$F$500,2,FALSE)</f>
        <v>#N/A</v>
      </c>
      <c r="BC251" s="569"/>
      <c r="BD251" s="563"/>
      <c r="BE251" s="46"/>
      <c r="BF251" s="46"/>
      <c r="BG251" s="563"/>
      <c r="BH251" s="563"/>
      <c r="BI251" s="563"/>
      <c r="BJ251" s="563"/>
    </row>
    <row r="252" spans="2:62" x14ac:dyDescent="0.25">
      <c r="B252" s="589">
        <f>VLOOKUP(F252,'2) Tracker'!$A$3:$O$411,5,FALSE)</f>
        <v>0</v>
      </c>
      <c r="C252" s="589">
        <f>VLOOKUP(F252,'2) Tracker'!$A$3:$O$411,4,FALSE)</f>
        <v>0</v>
      </c>
      <c r="D252" s="563" t="s">
        <v>1569</v>
      </c>
      <c r="E252" s="563">
        <f>VLOOKUP(F252,'2) Tracker'!$A$3:$O$407,15,FALSE)</f>
        <v>0</v>
      </c>
      <c r="F252" s="590" t="s">
        <v>604</v>
      </c>
      <c r="G252" s="591">
        <f>VLOOKUP(F252,'2) Tracker'!$A$2:$BO$361,2,FALSE)</f>
        <v>2024</v>
      </c>
      <c r="H252" s="592">
        <f>VLOOKUP(F252,'2) Tracker'!$A$2:$BO$361,3,FALSE)</f>
        <v>86000</v>
      </c>
      <c r="I252" s="594" t="str">
        <f>VLOOKUP(F252,'2) Tracker'!$A$2:$BO$361,9,FALSE)</f>
        <v>Trafigura?</v>
      </c>
      <c r="J252" s="594" t="str">
        <f>VLOOKUP(F252,'2) Tracker'!$A$2:$BO$361,12,FALSE)</f>
        <v>Far East</v>
      </c>
      <c r="K252" s="595">
        <f t="shared" si="305"/>
        <v>46189</v>
      </c>
      <c r="L252" s="595">
        <f t="shared" ref="L252:O252" si="401">AE252</f>
        <v>46197</v>
      </c>
      <c r="M252" s="596" t="str">
        <f t="shared" si="401"/>
        <v/>
      </c>
      <c r="N252" s="596">
        <f t="shared" si="401"/>
        <v>46177</v>
      </c>
      <c r="O252" s="597" t="str">
        <f t="shared" si="401"/>
        <v/>
      </c>
      <c r="P252" s="598" t="str">
        <f>IFERROR(IF(VLOOKUP(F252,'Voyage days'!$M$808:$N$819,2,FALSE),"GOA",""),"")</f>
        <v/>
      </c>
      <c r="Q252" s="596">
        <f t="shared" si="287"/>
        <v>46180</v>
      </c>
      <c r="R252" s="595">
        <f t="shared" si="289"/>
        <v>46205</v>
      </c>
      <c r="S252" s="595">
        <f t="shared" si="2"/>
        <v>46195</v>
      </c>
      <c r="T252" s="596">
        <f t="shared" si="3"/>
        <v>46189</v>
      </c>
      <c r="U252" s="595">
        <f t="shared" si="290"/>
        <v>46168</v>
      </c>
      <c r="V252" s="596"/>
      <c r="W252" s="596">
        <f t="shared" si="291"/>
        <v>46167.25</v>
      </c>
      <c r="X252" s="599">
        <f t="shared" si="6"/>
        <v>46170</v>
      </c>
      <c r="Y252" s="606" t="s">
        <v>1611</v>
      </c>
      <c r="Z252" s="600" t="str">
        <f>VLOOKUP(F252,'2) Tracker'!$A$3:$Q$505,16,FALSE)</f>
        <v>ETA USG 12 Apr via Panama</v>
      </c>
      <c r="AA252" s="600" t="str">
        <f>VLOOKUP(F252,'2) Tracker'!$A$3:$R$505,18,FALSE)</f>
        <v>Trafigura 13-14 Apr USG</v>
      </c>
      <c r="AB252" s="600">
        <f>VLOOKUP(F252,'2) Tracker'!$A$3:$Q$505,17,FALSE)</f>
        <v>0</v>
      </c>
      <c r="AC252" s="601"/>
      <c r="AD252" s="601">
        <f>VLOOKUP(F252,'2) Tracker'!$A$2:$BO$981,37,FALSE)</f>
        <v>46189</v>
      </c>
      <c r="AE252" s="601">
        <f>VLOOKUP(F252,'2) Tracker'!$A$2:$BO$981,40,FALSE)</f>
        <v>46197</v>
      </c>
      <c r="AF252" s="601" t="str">
        <f>VLOOKUP(F252,'2) Tracker'!$A$2:$BO$981,67,FALSE)</f>
        <v/>
      </c>
      <c r="AG252" s="601">
        <f>VLOOKUP(F252,'2) Tracker'!$A$2:$BO$981,34,FALSE)</f>
        <v>46177</v>
      </c>
      <c r="AH252" s="601" t="str">
        <f>VLOOKUP(F252,'2) Tracker'!$A$2:$BN$981,66,FALSE)</f>
        <v/>
      </c>
      <c r="AI252" s="601">
        <f>VLOOKUP(F252,'2) Tracker'!$A$2:$BO$981,56,FALSE)</f>
        <v>46168</v>
      </c>
      <c r="AJ252" s="601">
        <f>VLOOKUP(F252,'2) Tracker'!$A$2:$BO$981,52,FALSE)</f>
        <v>46167.25</v>
      </c>
      <c r="AK252" s="601">
        <f>VLOOKUP(F252,'2) Tracker'!$A$2:$AQ$981,43,FALSE)</f>
        <v>46189</v>
      </c>
      <c r="AL252" s="601">
        <f>VLOOKUP(F252,'2) Tracker'!$A$2:$BH$981,46,FALSE())</f>
        <v>46195</v>
      </c>
      <c r="AM252" s="601">
        <f>VLOOKUP(F252,'2) Tracker'!$A$2:$BO$981,65,FALSE())</f>
        <v>46180</v>
      </c>
      <c r="AN252" s="601">
        <f>VLOOKUP(F252,'2) Tracker'!$A$2:$BK$981,63,FALSE())</f>
        <v>46205</v>
      </c>
      <c r="AO252" s="601">
        <f>VLOOKUP(F252,'2) Tracker'!$A$2:$BF$981,58,FALSE())</f>
        <v>46170</v>
      </c>
      <c r="AP252" s="46"/>
      <c r="AQ252" s="46"/>
      <c r="AR252" s="46"/>
      <c r="AS252" s="46"/>
      <c r="AT252" s="46"/>
      <c r="AU252" s="46"/>
      <c r="AV252" s="46"/>
      <c r="AW252" s="46"/>
      <c r="AX252" s="46"/>
      <c r="AY252" s="46"/>
      <c r="AZ252" s="563"/>
      <c r="BA252" s="604" t="e">
        <f>VLOOKUP(AZ252,#REF!,2, FALSE)</f>
        <v>#REF!</v>
      </c>
      <c r="BB252" s="605" t="e">
        <f>VLOOKUP(AZ252,'1) Kpler'!$E$2:$F$500,2,FALSE)</f>
        <v>#N/A</v>
      </c>
      <c r="BC252" s="569"/>
      <c r="BD252" s="563"/>
      <c r="BE252" s="46"/>
      <c r="BF252" s="46"/>
      <c r="BG252" s="563"/>
      <c r="BH252" s="563"/>
      <c r="BI252" s="563"/>
      <c r="BJ252" s="563"/>
    </row>
    <row r="253" spans="2:62" x14ac:dyDescent="0.25">
      <c r="B253" s="589">
        <f>VLOOKUP(F253,'2) Tracker'!$A$3:$O$411,5,FALSE)</f>
        <v>0</v>
      </c>
      <c r="C253" s="589">
        <f>VLOOKUP(F253,'2) Tracker'!$A$3:$O$411,4,FALSE)</f>
        <v>0</v>
      </c>
      <c r="D253" s="563"/>
      <c r="E253" s="563">
        <f>VLOOKUP(F253,'2) Tracker'!$A$3:$O$407,15,FALSE)</f>
        <v>0</v>
      </c>
      <c r="F253" s="604" t="s">
        <v>222</v>
      </c>
      <c r="G253" s="591">
        <f>VLOOKUP(F253,'2) Tracker'!$A$2:$BO$361,2,FALSE)</f>
        <v>2023</v>
      </c>
      <c r="H253" s="592">
        <f>VLOOKUP(F253,'2) Tracker'!$A$2:$BO$361,3,FALSE)</f>
        <v>91000</v>
      </c>
      <c r="I253" s="594" t="str">
        <f>VLOOKUP(F253,'2) Tracker'!$A$2:$BO$361,9,FALSE)</f>
        <v>SwissChemGas</v>
      </c>
      <c r="J253" s="594" t="str">
        <f>VLOOKUP(F253,'2) Tracker'!$A$2:$BO$361,12,FALSE)</f>
        <v>Japan</v>
      </c>
      <c r="K253" s="596">
        <f t="shared" si="305"/>
        <v>46189</v>
      </c>
      <c r="L253" s="596">
        <f t="shared" ref="L253:O253" si="402">AE253</f>
        <v>46200</v>
      </c>
      <c r="M253" s="596" t="str">
        <f t="shared" si="402"/>
        <v/>
      </c>
      <c r="N253" s="596">
        <f t="shared" si="402"/>
        <v>46176</v>
      </c>
      <c r="O253" s="597" t="str">
        <f t="shared" si="402"/>
        <v/>
      </c>
      <c r="P253" s="598" t="str">
        <f>IFERROR(IF(VLOOKUP(F253,'Voyage days'!$M$808:$N$819,2,FALSE),"GOA",""),"")</f>
        <v/>
      </c>
      <c r="Q253" s="596">
        <f t="shared" si="287"/>
        <v>46179</v>
      </c>
      <c r="R253" s="596">
        <f t="shared" si="289"/>
        <v>46204</v>
      </c>
      <c r="S253" s="595">
        <f t="shared" si="2"/>
        <v>46194</v>
      </c>
      <c r="T253" s="596">
        <f t="shared" si="3"/>
        <v>46188</v>
      </c>
      <c r="U253" s="596">
        <f t="shared" si="290"/>
        <v>46167</v>
      </c>
      <c r="V253" s="596"/>
      <c r="W253" s="596">
        <f t="shared" si="291"/>
        <v>46166.25</v>
      </c>
      <c r="X253" s="599">
        <f t="shared" si="6"/>
        <v>46169</v>
      </c>
      <c r="Y253" s="594"/>
      <c r="Z253" s="600" t="str">
        <f>VLOOKUP(F253,'2) Tracker'!$A$3:$Q$505,16,FALSE)</f>
        <v>ETA Chiba 10 May</v>
      </c>
      <c r="AA253" s="600" t="str">
        <f>VLOOKUP(F253,'2) Tracker'!$A$3:$R$505,18,FALSE)</f>
        <v>Gunvor 06-07 Apr Targa</v>
      </c>
      <c r="AB253" s="600">
        <f>VLOOKUP(F253,'2) Tracker'!$A$3:$Q$505,17,FALSE)</f>
        <v>0</v>
      </c>
      <c r="AC253" s="601"/>
      <c r="AD253" s="601">
        <f>VLOOKUP(F253,'2) Tracker'!$A$2:$BO$981,37,FALSE)</f>
        <v>46189</v>
      </c>
      <c r="AE253" s="601">
        <f>VLOOKUP(F253,'2) Tracker'!$A$2:$BO$981,40,FALSE)</f>
        <v>46200</v>
      </c>
      <c r="AF253" s="601" t="str">
        <f>VLOOKUP(F253,'2) Tracker'!$A$2:$BO$981,67,FALSE)</f>
        <v/>
      </c>
      <c r="AG253" s="601">
        <f>VLOOKUP(F253,'2) Tracker'!$A$2:$BO$981,34,FALSE)</f>
        <v>46176</v>
      </c>
      <c r="AH253" s="601" t="str">
        <f>VLOOKUP(F253,'2) Tracker'!$A$2:$BN$981,66,FALSE)</f>
        <v/>
      </c>
      <c r="AI253" s="620">
        <f>VLOOKUP(F253,'2) Tracker'!$A$2:$BO$981,56,FALSE)</f>
        <v>46167</v>
      </c>
      <c r="AJ253" s="601">
        <f>VLOOKUP(F253,'2) Tracker'!$A$2:$BO$981,52,FALSE)</f>
        <v>46166.25</v>
      </c>
      <c r="AK253" s="601">
        <f>VLOOKUP(F253,'2) Tracker'!$A$2:$AQ$981,43,FALSE)</f>
        <v>46188</v>
      </c>
      <c r="AL253" s="601">
        <f>VLOOKUP(F253,'2) Tracker'!$A$2:$BH$981,46,FALSE())</f>
        <v>46194</v>
      </c>
      <c r="AM253" s="601">
        <f>VLOOKUP(F253,'2) Tracker'!$A$2:$BO$981,65,FALSE())</f>
        <v>46179</v>
      </c>
      <c r="AN253" s="601">
        <f>VLOOKUP(F253,'2) Tracker'!$A$2:$BK$981,63,FALSE())</f>
        <v>46204</v>
      </c>
      <c r="AO253" s="601">
        <f>VLOOKUP(F253,'2) Tracker'!$A$2:$BF$981,58,FALSE())</f>
        <v>46169</v>
      </c>
      <c r="AP253" s="46"/>
      <c r="AQ253" s="46"/>
      <c r="AR253" s="46"/>
      <c r="AS253" s="46"/>
      <c r="AT253" s="46"/>
      <c r="AU253" s="46"/>
      <c r="AV253" s="46"/>
      <c r="AW253" s="46"/>
      <c r="AX253" s="46"/>
      <c r="AY253" s="46"/>
      <c r="AZ253" s="563"/>
      <c r="BA253" s="569"/>
      <c r="BB253" s="563"/>
      <c r="BC253" s="569"/>
      <c r="BD253" s="563"/>
      <c r="BE253" s="46"/>
      <c r="BF253" s="46"/>
      <c r="BG253" s="563"/>
      <c r="BH253" s="563"/>
      <c r="BI253" s="563"/>
      <c r="BJ253" s="563"/>
    </row>
    <row r="254" spans="2:62" x14ac:dyDescent="0.25">
      <c r="B254" s="589">
        <f>VLOOKUP(F254,'2) Tracker'!$A$3:$O$411,5,FALSE)</f>
        <v>0</v>
      </c>
      <c r="C254" s="589">
        <f>VLOOKUP(F254,'2) Tracker'!$A$3:$O$411,4,FALSE)</f>
        <v>0</v>
      </c>
      <c r="D254" s="563"/>
      <c r="E254" s="563">
        <f>VLOOKUP(F254,'2) Tracker'!$A$3:$O$407,15,FALSE)</f>
        <v>0</v>
      </c>
      <c r="F254" s="608" t="s">
        <v>246</v>
      </c>
      <c r="G254" s="591">
        <f>VLOOKUP(F254,'2) Tracker'!$A$2:$BO$361,2,FALSE)</f>
        <v>2021</v>
      </c>
      <c r="H254" s="592">
        <f>VLOOKUP(F254,'2) Tracker'!$A$2:$BO$361,3,FALSE)</f>
        <v>86000</v>
      </c>
      <c r="I254" s="593" t="str">
        <f>VLOOKUP(F254,'2) Tracker'!$A$2:$BO$361,9,FALSE)</f>
        <v>Equinor</v>
      </c>
      <c r="J254" s="594" t="str">
        <f>VLOOKUP(F254,'2) Tracker'!$A$2:$BO$361,12,FALSE)</f>
        <v>Far East</v>
      </c>
      <c r="K254" s="595">
        <f t="shared" si="305"/>
        <v>46189</v>
      </c>
      <c r="L254" s="595">
        <f t="shared" ref="L254:O254" si="403">AE254</f>
        <v>46197</v>
      </c>
      <c r="M254" s="596" t="str">
        <f t="shared" si="403"/>
        <v/>
      </c>
      <c r="N254" s="596">
        <f t="shared" si="403"/>
        <v>46177</v>
      </c>
      <c r="O254" s="597" t="str">
        <f t="shared" si="403"/>
        <v/>
      </c>
      <c r="P254" s="598" t="str">
        <f>IFERROR(IF(VLOOKUP(F254,'Voyage days'!$M$808:$N$819,2,FALSE),"GOA",""),"")</f>
        <v/>
      </c>
      <c r="Q254" s="596">
        <f t="shared" si="287"/>
        <v>46180</v>
      </c>
      <c r="R254" s="595">
        <f t="shared" si="289"/>
        <v>46205</v>
      </c>
      <c r="S254" s="595">
        <f t="shared" si="2"/>
        <v>46195</v>
      </c>
      <c r="T254" s="596">
        <f t="shared" si="3"/>
        <v>46189</v>
      </c>
      <c r="U254" s="595">
        <f t="shared" si="290"/>
        <v>46168</v>
      </c>
      <c r="V254" s="596"/>
      <c r="W254" s="596">
        <f t="shared" si="291"/>
        <v>46167.25</v>
      </c>
      <c r="X254" s="599">
        <f t="shared" si="6"/>
        <v>46170</v>
      </c>
      <c r="Y254" s="594"/>
      <c r="Z254" s="600" t="str">
        <f>VLOOKUP(F254,'2) Tracker'!$A$3:$Q$505,16,FALSE)</f>
        <v>@ Balboa 11 Apr, waiting to transit</v>
      </c>
      <c r="AA254" s="600" t="str">
        <f>VLOOKUP(F254,'2) Tracker'!$A$3:$R$505,18,FALSE)</f>
        <v>Equinor 16-20 Apr USG?</v>
      </c>
      <c r="AB254" s="600">
        <f>VLOOKUP(F254,'2) Tracker'!$A$3:$Q$505,17,FALSE)</f>
        <v>0</v>
      </c>
      <c r="AC254" s="601"/>
      <c r="AD254" s="601">
        <f>VLOOKUP(F254,'2) Tracker'!$A$2:$BO$981,37,FALSE)</f>
        <v>46189</v>
      </c>
      <c r="AE254" s="601">
        <f>VLOOKUP(F254,'2) Tracker'!$A$2:$BO$981,40,FALSE)</f>
        <v>46197</v>
      </c>
      <c r="AF254" s="601" t="str">
        <f>VLOOKUP(F254,'2) Tracker'!$A$2:$BO$981,67,FALSE)</f>
        <v/>
      </c>
      <c r="AG254" s="601">
        <f>VLOOKUP(F254,'2) Tracker'!$A$2:$BO$981,34,FALSE)</f>
        <v>46177</v>
      </c>
      <c r="AH254" s="601" t="str">
        <f>VLOOKUP(F254,'2) Tracker'!$A$2:$BN$981,66,FALSE)</f>
        <v/>
      </c>
      <c r="AI254" s="601">
        <f>VLOOKUP(F254,'2) Tracker'!$A$2:$BO$981,56,FALSE)</f>
        <v>46168</v>
      </c>
      <c r="AJ254" s="601">
        <f>VLOOKUP(F254,'2) Tracker'!$A$2:$BO$981,52,FALSE)</f>
        <v>46167.25</v>
      </c>
      <c r="AK254" s="601">
        <f>VLOOKUP(F254,'2) Tracker'!$A$2:$AQ$981,43,FALSE)</f>
        <v>46189</v>
      </c>
      <c r="AL254" s="601">
        <f>VLOOKUP(F254,'2) Tracker'!$A$2:$BH$981,46,FALSE())</f>
        <v>46195</v>
      </c>
      <c r="AM254" s="601">
        <f>VLOOKUP(F254,'2) Tracker'!$A$2:$BO$981,65,FALSE())</f>
        <v>46180</v>
      </c>
      <c r="AN254" s="601">
        <f>VLOOKUP(F254,'2) Tracker'!$A$2:$BK$981,63,FALSE())</f>
        <v>46205</v>
      </c>
      <c r="AO254" s="601">
        <f>VLOOKUP(F254,'2) Tracker'!$A$2:$BF$981,58,FALSE())</f>
        <v>46170</v>
      </c>
      <c r="AP254" s="46"/>
      <c r="AQ254" s="46"/>
      <c r="AR254" s="46"/>
      <c r="AS254" s="46"/>
      <c r="AT254" s="46"/>
      <c r="AU254" s="46"/>
      <c r="AV254" s="46"/>
      <c r="AW254" s="46"/>
      <c r="AX254" s="46"/>
      <c r="AY254" s="46"/>
      <c r="AZ254" s="563"/>
      <c r="BA254" s="604" t="e">
        <f>VLOOKUP(AZ254,#REF!,2, FALSE)</f>
        <v>#REF!</v>
      </c>
      <c r="BB254" s="605" t="e">
        <f>VLOOKUP(AZ254,'1) Kpler'!$E$2:$F$500,2,FALSE)</f>
        <v>#N/A</v>
      </c>
      <c r="BC254" s="569"/>
      <c r="BD254" s="563"/>
      <c r="BE254" s="46"/>
      <c r="BF254" s="46"/>
      <c r="BG254" s="563"/>
      <c r="BH254" s="563"/>
      <c r="BI254" s="563"/>
      <c r="BJ254" s="563"/>
    </row>
    <row r="255" spans="2:62" x14ac:dyDescent="0.25">
      <c r="B255" s="589"/>
      <c r="C255" s="589"/>
      <c r="D255" s="563"/>
      <c r="E255" s="563">
        <f>VLOOKUP(F255,'2) Tracker'!$A$3:$O$407,15,FALSE)</f>
        <v>0</v>
      </c>
      <c r="F255" s="604" t="s">
        <v>323</v>
      </c>
      <c r="G255" s="591">
        <f>VLOOKUP(F255,'2) Tracker'!$A$2:$BO$361,2,FALSE)</f>
        <v>2026</v>
      </c>
      <c r="H255" s="592">
        <f>VLOOKUP(F255,'2) Tracker'!$A$2:$BO$361,3,FALSE)</f>
        <v>90964</v>
      </c>
      <c r="I255" s="600" t="str">
        <f>VLOOKUP(F255,'2) Tracker'!$A$2:$BO$361,9,FALSE)</f>
        <v>SwissChemGas</v>
      </c>
      <c r="J255" s="594" t="str">
        <f>VLOOKUP(F255,'2) Tracker'!$A$2:$BO$361,12,FALSE)</f>
        <v>Far East</v>
      </c>
      <c r="K255" s="596">
        <f t="shared" si="305"/>
        <v>46190</v>
      </c>
      <c r="L255" s="596">
        <f t="shared" ref="L255:O255" si="404">AE255</f>
        <v>46198</v>
      </c>
      <c r="M255" s="596" t="str">
        <f t="shared" si="404"/>
        <v/>
      </c>
      <c r="N255" s="596">
        <f t="shared" si="404"/>
        <v>46178</v>
      </c>
      <c r="O255" s="597" t="str">
        <f t="shared" si="404"/>
        <v/>
      </c>
      <c r="P255" s="598" t="str">
        <f>IFERROR(IF(VLOOKUP(F255,'Voyage days'!$M$808:$N$819,2,FALSE),"GOA",""),"")</f>
        <v/>
      </c>
      <c r="Q255" s="596">
        <f t="shared" si="287"/>
        <v>46181</v>
      </c>
      <c r="R255" s="596">
        <f t="shared" si="289"/>
        <v>46206</v>
      </c>
      <c r="S255" s="595">
        <f t="shared" si="2"/>
        <v>46196</v>
      </c>
      <c r="T255" s="596">
        <f t="shared" si="3"/>
        <v>46190</v>
      </c>
      <c r="U255" s="596">
        <f t="shared" si="290"/>
        <v>46169</v>
      </c>
      <c r="V255" s="596"/>
      <c r="W255" s="596">
        <f t="shared" si="291"/>
        <v>46168.25</v>
      </c>
      <c r="X255" s="599">
        <f t="shared" si="6"/>
        <v>46171</v>
      </c>
      <c r="Y255" s="594"/>
      <c r="Z255" s="600" t="str">
        <f>VLOOKUP(F255,'2) Tracker'!$A$3:$Q$505,16,FALSE)</f>
        <v>ETA 18 May as proxy</v>
      </c>
      <c r="AA255" s="600" t="str">
        <f>VLOOKUP(F255,'2) Tracker'!$A$3:$R$505,18,FALSE)</f>
        <v>SwissChemGas 11-12 Apr Nederland</v>
      </c>
      <c r="AB255" s="600">
        <f>VLOOKUP(F255,'2) Tracker'!$A$3:$Q$505,17,FALSE)</f>
        <v>0</v>
      </c>
      <c r="AC255" s="601"/>
      <c r="AD255" s="601">
        <f>VLOOKUP(F255,'2) Tracker'!$A$2:$BO$981,37,FALSE)</f>
        <v>46190</v>
      </c>
      <c r="AE255" s="601">
        <f>VLOOKUP(F255,'2) Tracker'!$A$2:$BO$981,40,FALSE)</f>
        <v>46198</v>
      </c>
      <c r="AF255" s="601" t="str">
        <f>VLOOKUP(F255,'2) Tracker'!$A$2:$BO$981,67,FALSE)</f>
        <v/>
      </c>
      <c r="AG255" s="601">
        <f>VLOOKUP(F255,'2) Tracker'!$A$2:$BO$981,34,FALSE)</f>
        <v>46178</v>
      </c>
      <c r="AH255" s="601" t="str">
        <f>VLOOKUP(F255,'2) Tracker'!$A$2:$BN$981,66,FALSE)</f>
        <v/>
      </c>
      <c r="AI255" s="601">
        <f>VLOOKUP(F255,'2) Tracker'!$A$2:$BO$981,56,FALSE)</f>
        <v>46169</v>
      </c>
      <c r="AJ255" s="601">
        <f>VLOOKUP(F255,'2) Tracker'!$A$2:$BO$981,52,FALSE)</f>
        <v>46168.25</v>
      </c>
      <c r="AK255" s="601">
        <f>VLOOKUP(F255,'2) Tracker'!$A$2:$AQ$981,43,FALSE)</f>
        <v>46190</v>
      </c>
      <c r="AL255" s="601">
        <f>VLOOKUP(F255,'2) Tracker'!$A$2:$BH$981,46,FALSE())</f>
        <v>46196</v>
      </c>
      <c r="AM255" s="601">
        <f>VLOOKUP(F255,'2) Tracker'!$A$2:$BO$981,65,FALSE())</f>
        <v>46181</v>
      </c>
      <c r="AN255" s="601">
        <f>VLOOKUP(F255,'2) Tracker'!$A$2:$BK$981,63,FALSE())</f>
        <v>46206</v>
      </c>
      <c r="AO255" s="601">
        <f>VLOOKUP(F255,'2) Tracker'!$A$2:$BF$981,58,FALSE())</f>
        <v>46171</v>
      </c>
      <c r="AP255" s="46"/>
      <c r="AQ255" s="46"/>
      <c r="AR255" s="46"/>
      <c r="AS255" s="46"/>
      <c r="AT255" s="46"/>
      <c r="AU255" s="46"/>
      <c r="AV255" s="46"/>
      <c r="AW255" s="46"/>
      <c r="AX255" s="46"/>
      <c r="AY255" s="46"/>
      <c r="AZ255" s="563"/>
      <c r="BA255" s="604" t="e">
        <f>VLOOKUP(AZ255,#REF!,2, FALSE)</f>
        <v>#REF!</v>
      </c>
      <c r="BB255" s="605" t="e">
        <f>VLOOKUP(AZ255,'1) Kpler'!$E$2:$F$500,2,FALSE)</f>
        <v>#N/A</v>
      </c>
      <c r="BC255" s="569"/>
      <c r="BD255" s="563"/>
      <c r="BE255" s="46"/>
      <c r="BF255" s="46"/>
      <c r="BG255" s="563"/>
      <c r="BH255" s="563"/>
      <c r="BI255" s="563"/>
      <c r="BJ255" s="563"/>
    </row>
    <row r="256" spans="2:62" x14ac:dyDescent="0.25">
      <c r="B256" s="589">
        <f>VLOOKUP(F256,'2) Tracker'!$A$3:$O$411,5,FALSE)</f>
        <v>0</v>
      </c>
      <c r="C256" s="589">
        <f>VLOOKUP(F256,'2) Tracker'!$A$3:$O$411,4,FALSE)</f>
        <v>0</v>
      </c>
      <c r="D256" s="563"/>
      <c r="E256" s="563">
        <f>VLOOKUP(F256,'2) Tracker'!$A$3:$O$407,15,FALSE)</f>
        <v>0</v>
      </c>
      <c r="F256" s="604" t="s">
        <v>1420</v>
      </c>
      <c r="G256" s="607">
        <f>VLOOKUP(F256,'2) Tracker'!$A$2:$BO$361,2,FALSE)</f>
        <v>42016</v>
      </c>
      <c r="H256" s="592">
        <f>VLOOKUP(F256,'2) Tracker'!$A$2:$BO$361,3,FALSE)</f>
        <v>83000</v>
      </c>
      <c r="I256" s="594" t="str">
        <f>VLOOKUP(F256,'2) Tracker'!$A$2:$BO$361,9,FALSE)</f>
        <v>BW&gt;Geogas</v>
      </c>
      <c r="J256" s="594" t="str">
        <f>VLOOKUP(F256,'2) Tracker'!$A$2:$BO$361,12,FALSE)</f>
        <v>Tanzania</v>
      </c>
      <c r="K256" s="595">
        <f t="shared" si="305"/>
        <v>46190</v>
      </c>
      <c r="L256" s="595">
        <f t="shared" ref="L256:O256" si="405">AE256</f>
        <v>46170</v>
      </c>
      <c r="M256" s="596" t="str">
        <f t="shared" si="405"/>
        <v/>
      </c>
      <c r="N256" s="596">
        <f t="shared" si="405"/>
        <v>46152</v>
      </c>
      <c r="O256" s="597" t="str">
        <f t="shared" si="405"/>
        <v/>
      </c>
      <c r="P256" s="598" t="str">
        <f>IFERROR(IF(VLOOKUP(F256,'Voyage days'!$M$808:$N$819,2,FALSE),"GOA",""),"")</f>
        <v/>
      </c>
      <c r="Q256" s="596">
        <f t="shared" si="287"/>
        <v>46157</v>
      </c>
      <c r="R256" s="595">
        <f t="shared" si="289"/>
        <v>46143</v>
      </c>
      <c r="S256" s="595">
        <f t="shared" si="2"/>
        <v>46158</v>
      </c>
      <c r="T256" s="596">
        <f t="shared" si="3"/>
        <v>46157</v>
      </c>
      <c r="U256" s="595">
        <f t="shared" si="290"/>
        <v>46155</v>
      </c>
      <c r="V256" s="595"/>
      <c r="W256" s="595">
        <f t="shared" si="291"/>
        <v>46158</v>
      </c>
      <c r="X256" s="599" t="str">
        <f t="shared" si="6"/>
        <v/>
      </c>
      <c r="Y256" s="594"/>
      <c r="Z256" s="600" t="str">
        <f>VLOOKUP(F256,'2) Tracker'!$A$3:$Q$505,16,FALSE)</f>
        <v>ETA Zanzibar 26 Apr</v>
      </c>
      <c r="AA256" s="600" t="str">
        <f>VLOOKUP(F256,'2) Tracker'!$A$3:$R$505,18,FALSE)</f>
        <v>Geogas 25-26 Mar Enterprise</v>
      </c>
      <c r="AB256" s="600">
        <f>VLOOKUP(F256,'2) Tracker'!$A$3:$Q$505,17,FALSE)</f>
        <v>0</v>
      </c>
      <c r="AC256" s="601"/>
      <c r="AD256" s="601">
        <f>VLOOKUP(F256,'2) Tracker'!$A$2:$BO$981,37,FALSE)</f>
        <v>46190</v>
      </c>
      <c r="AE256" s="601">
        <f>VLOOKUP(F256,'2) Tracker'!$A$2:$BO$981,40,FALSE)</f>
        <v>46170</v>
      </c>
      <c r="AF256" s="601" t="str">
        <f>VLOOKUP(F256,'2) Tracker'!$A$2:$BO$981,67,FALSE)</f>
        <v/>
      </c>
      <c r="AG256" s="601">
        <f>VLOOKUP(F256,'2) Tracker'!$A$2:$BO$981,34,FALSE)</f>
        <v>46152</v>
      </c>
      <c r="AH256" s="601" t="str">
        <f>VLOOKUP(F256,'2) Tracker'!$A$2:$BN$981,66,FALSE)</f>
        <v/>
      </c>
      <c r="AI256" s="601">
        <f>VLOOKUP(F256,'2) Tracker'!$A$2:$BO$981,56,FALSE)</f>
        <v>46155</v>
      </c>
      <c r="AJ256" s="601">
        <f>VLOOKUP(F256,'2) Tracker'!$A$2:$BO$981,52,FALSE)</f>
        <v>46158</v>
      </c>
      <c r="AK256" s="601">
        <f>VLOOKUP(F256,'2) Tracker'!$A$2:$AQ$981,43,FALSE)</f>
        <v>46157</v>
      </c>
      <c r="AL256" s="601">
        <f>VLOOKUP(F256,'2) Tracker'!$A$2:$BH$981,46,FALSE())</f>
        <v>46158</v>
      </c>
      <c r="AM256" s="601">
        <f>VLOOKUP(F256,'2) Tracker'!$A$2:$BO$981,65,FALSE())</f>
        <v>46157</v>
      </c>
      <c r="AN256" s="601">
        <f>VLOOKUP(F256,'2) Tracker'!$A$2:$BK$981,63,FALSE())</f>
        <v>46143</v>
      </c>
      <c r="AO256" s="601" t="str">
        <f>VLOOKUP(F256,'2) Tracker'!$A$2:$BF$981,58,FALSE())</f>
        <v/>
      </c>
      <c r="AP256" s="46"/>
      <c r="AQ256" s="46"/>
      <c r="AR256" s="46"/>
      <c r="AS256" s="46"/>
      <c r="AT256" s="46"/>
      <c r="AU256" s="46"/>
      <c r="AV256" s="46"/>
      <c r="AW256" s="46"/>
      <c r="AX256" s="46"/>
      <c r="AY256" s="46"/>
      <c r="AZ256" s="563"/>
      <c r="BA256" s="604" t="e">
        <f>VLOOKUP(AZ256,#REF!,2, FALSE)</f>
        <v>#REF!</v>
      </c>
      <c r="BB256" s="605" t="e">
        <f>VLOOKUP(AZ256,'1) Kpler'!$E$2:$F$500,2,FALSE)</f>
        <v>#N/A</v>
      </c>
      <c r="BC256" s="569"/>
      <c r="BD256" s="563"/>
      <c r="BE256" s="46"/>
      <c r="BF256" s="46"/>
      <c r="BG256" s="563"/>
      <c r="BH256" s="563"/>
      <c r="BI256" s="563"/>
      <c r="BJ256" s="563"/>
    </row>
    <row r="257" spans="2:62" x14ac:dyDescent="0.25">
      <c r="B257" s="589">
        <f>VLOOKUP(F257,'2) Tracker'!$A$3:$O$411,5,FALSE)</f>
        <v>0</v>
      </c>
      <c r="C257" s="589" t="str">
        <f>VLOOKUP(F257,'2) Tracker'!$A$3:$O$411,4,FALSE)</f>
        <v>US</v>
      </c>
      <c r="D257" s="563"/>
      <c r="E257" s="563">
        <f>VLOOKUP(F257,'2) Tracker'!$A$3:$O$407,15,FALSE)</f>
        <v>0</v>
      </c>
      <c r="F257" s="561" t="s">
        <v>969</v>
      </c>
      <c r="G257" s="607">
        <f>VLOOKUP(F257,'2) Tracker'!$A$2:$BO$361,2,FALSE)</f>
        <v>42674</v>
      </c>
      <c r="H257" s="592">
        <f>VLOOKUP(F257,'2) Tracker'!$A$2:$BO$361,3,FALSE)</f>
        <v>84000</v>
      </c>
      <c r="I257" s="594" t="str">
        <f>VLOOKUP(F257,'2) Tracker'!$A$2:$BO$361,9,FALSE)</f>
        <v>Exxon</v>
      </c>
      <c r="J257" s="594" t="str">
        <f>VLOOKUP(F257,'2) Tracker'!$A$2:$BO$361,12,FALSE)</f>
        <v>Indo</v>
      </c>
      <c r="K257" s="595">
        <f t="shared" si="305"/>
        <v>46190</v>
      </c>
      <c r="L257" s="595">
        <f t="shared" ref="L257:O257" si="406">AE257</f>
        <v>46189</v>
      </c>
      <c r="M257" s="596" t="str">
        <f t="shared" si="406"/>
        <v/>
      </c>
      <c r="N257" s="596">
        <f t="shared" si="406"/>
        <v>46163</v>
      </c>
      <c r="O257" s="597" t="str">
        <f t="shared" si="406"/>
        <v/>
      </c>
      <c r="P257" s="598" t="str">
        <f>IFERROR(IF(VLOOKUP(F257,'Voyage days'!$M$808:$N$819,2,FALSE),"GOA",""),"")</f>
        <v/>
      </c>
      <c r="Q257" s="596">
        <f t="shared" si="287"/>
        <v>46166</v>
      </c>
      <c r="R257" s="595">
        <f t="shared" si="289"/>
        <v>46189</v>
      </c>
      <c r="S257" s="595">
        <f t="shared" si="2"/>
        <v>46181</v>
      </c>
      <c r="T257" s="596">
        <f t="shared" si="3"/>
        <v>46172</v>
      </c>
      <c r="U257" s="595">
        <f t="shared" si="290"/>
        <v>46156</v>
      </c>
      <c r="V257" s="570" t="s">
        <v>1577</v>
      </c>
      <c r="W257" s="595">
        <f t="shared" si="291"/>
        <v>46156</v>
      </c>
      <c r="X257" s="599" t="str">
        <f t="shared" si="6"/>
        <v/>
      </c>
      <c r="Y257" s="594"/>
      <c r="Z257" s="600" t="str">
        <f>VLOOKUP(F257,'2) Tracker'!$A$3:$Q$505,16,FALSE)</f>
        <v>ETA Kalbut 06 May, Darwin candidate?</v>
      </c>
      <c r="AA257" s="600" t="str">
        <f>VLOOKUP(F257,'2) Tracker'!$A$3:$R$505,18,FALSE)</f>
        <v>Pertamina 25-26 Mar Freeport</v>
      </c>
      <c r="AB257" s="600">
        <f>VLOOKUP(F257,'2) Tracker'!$A$3:$Q$505,17,FALSE)</f>
        <v>0</v>
      </c>
      <c r="AC257" s="601"/>
      <c r="AD257" s="601">
        <f>VLOOKUP(F257,'2) Tracker'!$A$2:$BO$981,37,FALSE)</f>
        <v>46190</v>
      </c>
      <c r="AE257" s="601">
        <f>VLOOKUP(F257,'2) Tracker'!$A$2:$BO$981,40,FALSE)</f>
        <v>46189</v>
      </c>
      <c r="AF257" s="601" t="str">
        <f>VLOOKUP(F257,'2) Tracker'!$A$2:$BO$981,67,FALSE)</f>
        <v/>
      </c>
      <c r="AG257" s="601">
        <f>VLOOKUP(F257,'2) Tracker'!$A$2:$BO$981,34,FALSE)</f>
        <v>46163</v>
      </c>
      <c r="AH257" s="601" t="str">
        <f>VLOOKUP(F257,'2) Tracker'!$A$2:$BN$981,66,FALSE)</f>
        <v/>
      </c>
      <c r="AI257" s="601">
        <f>VLOOKUP(F257,'2) Tracker'!$A$2:$BO$981,56,FALSE)</f>
        <v>46156</v>
      </c>
      <c r="AJ257" s="601">
        <f>VLOOKUP(F257,'2) Tracker'!$A$2:$BO$981,52,FALSE)</f>
        <v>46156</v>
      </c>
      <c r="AK257" s="601">
        <f>VLOOKUP(F257,'2) Tracker'!$A$2:$AQ$981,43,FALSE)</f>
        <v>46172</v>
      </c>
      <c r="AL257" s="601">
        <f>VLOOKUP(F257,'2) Tracker'!$A$2:$BH$981,46,FALSE())</f>
        <v>46181</v>
      </c>
      <c r="AM257" s="601">
        <f>VLOOKUP(F257,'2) Tracker'!$A$2:$BO$981,65,FALSE())</f>
        <v>46166</v>
      </c>
      <c r="AN257" s="601">
        <f>VLOOKUP(F257,'2) Tracker'!$A$2:$BK$981,63,FALSE())</f>
        <v>46189</v>
      </c>
      <c r="AO257" s="601" t="str">
        <f>VLOOKUP(F257,'2) Tracker'!$A$2:$BF$981,58,FALSE())</f>
        <v/>
      </c>
      <c r="AP257" s="46"/>
      <c r="AQ257" s="46"/>
      <c r="AR257" s="46"/>
      <c r="AS257" s="46"/>
      <c r="AT257" s="46"/>
      <c r="AU257" s="46"/>
      <c r="AV257" s="46"/>
      <c r="AW257" s="46"/>
      <c r="AX257" s="46"/>
      <c r="AY257" s="46"/>
      <c r="AZ257" s="563"/>
      <c r="BA257" s="604" t="s">
        <v>2912</v>
      </c>
      <c r="BB257" s="605" t="e">
        <f>VLOOKUP(AZ257,'1) Kpler'!$E$2:$F$500,2,FALSE)</f>
        <v>#N/A</v>
      </c>
      <c r="BC257" s="569"/>
      <c r="BD257" s="563"/>
      <c r="BE257" s="46"/>
      <c r="BF257" s="46"/>
      <c r="BG257" s="563"/>
      <c r="BH257" s="563"/>
      <c r="BI257" s="563"/>
      <c r="BJ257" s="563"/>
    </row>
    <row r="258" spans="2:62" x14ac:dyDescent="0.25">
      <c r="B258" s="589">
        <f>VLOOKUP(F258,'2) Tracker'!$A$3:$O$411,5,FALSE)</f>
        <v>0</v>
      </c>
      <c r="C258" s="589">
        <f>VLOOKUP(F258,'2) Tracker'!$A$3:$O$411,4,FALSE)</f>
        <v>0</v>
      </c>
      <c r="D258" s="563"/>
      <c r="E258" s="563">
        <f>VLOOKUP(F258,'2) Tracker'!$A$3:$O$407,15,FALSE)</f>
        <v>0</v>
      </c>
      <c r="F258" s="604" t="s">
        <v>1176</v>
      </c>
      <c r="G258" s="607">
        <f>VLOOKUP(F258,'2) Tracker'!$A$2:$BO$361,2,FALSE)</f>
        <v>42202</v>
      </c>
      <c r="H258" s="592">
        <f>VLOOKUP(F258,'2) Tracker'!$A$2:$BO$361,3,FALSE)</f>
        <v>83000</v>
      </c>
      <c r="I258" s="594" t="str">
        <f>VLOOKUP(F258,'2) Tracker'!$A$2:$BO$361,9,FALSE)</f>
        <v>Satellite</v>
      </c>
      <c r="J258" s="594" t="str">
        <f>VLOOKUP(F258,'2) Tracker'!$A$2:$BO$361,12,FALSE)</f>
        <v>Korea</v>
      </c>
      <c r="K258" s="596">
        <f t="shared" si="305"/>
        <v>46190</v>
      </c>
      <c r="L258" s="596">
        <f t="shared" ref="L258:O258" si="407">AE258</f>
        <v>46198</v>
      </c>
      <c r="M258" s="596" t="str">
        <f t="shared" si="407"/>
        <v/>
      </c>
      <c r="N258" s="596">
        <f t="shared" si="407"/>
        <v>46175</v>
      </c>
      <c r="O258" s="597" t="str">
        <f t="shared" si="407"/>
        <v/>
      </c>
      <c r="P258" s="598" t="str">
        <f>IFERROR(IF(VLOOKUP(F258,'Voyage days'!$M$808:$N$819,2,FALSE),"GOA",""),"")</f>
        <v/>
      </c>
      <c r="Q258" s="596">
        <f t="shared" si="287"/>
        <v>46177</v>
      </c>
      <c r="R258" s="596">
        <f t="shared" si="289"/>
        <v>46202</v>
      </c>
      <c r="S258" s="595">
        <f t="shared" si="2"/>
        <v>46192</v>
      </c>
      <c r="T258" s="596">
        <f t="shared" si="3"/>
        <v>46186</v>
      </c>
      <c r="U258" s="596">
        <f t="shared" si="290"/>
        <v>46165</v>
      </c>
      <c r="V258" s="596"/>
      <c r="W258" s="596">
        <f t="shared" si="291"/>
        <v>46165</v>
      </c>
      <c r="X258" s="599">
        <f t="shared" si="6"/>
        <v>46168</v>
      </c>
      <c r="Y258" s="614"/>
      <c r="Z258" s="600" t="str">
        <f>VLOOKUP(F258,'2) Tracker'!$A$3:$Q$505,16,FALSE)</f>
        <v>ETA 1st port Yeosu 11 May</v>
      </c>
      <c r="AA258" s="600" t="str">
        <f>VLOOKUP(F258,'2) Tracker'!$A$3:$R$505,18,FALSE)</f>
        <v>PC FOB -&gt; STL 04-05 Apr Nederland</v>
      </c>
      <c r="AB258" s="600" t="str">
        <f>VLOOKUP(F258,'2) Tracker'!$A$3:$Q$505,17,FALSE)</f>
        <v>1H June (2/2) ex-Ned, take back 4/0 (non targa)</v>
      </c>
      <c r="AC258" s="601"/>
      <c r="AD258" s="601">
        <f>VLOOKUP(F258,'2) Tracker'!$A$2:$BO$981,37,FALSE)</f>
        <v>46190</v>
      </c>
      <c r="AE258" s="601">
        <f>VLOOKUP(F258,'2) Tracker'!$A$2:$BO$981,40,FALSE)</f>
        <v>46198</v>
      </c>
      <c r="AF258" s="601" t="str">
        <f>VLOOKUP(F258,'2) Tracker'!$A$2:$BO$981,67,FALSE)</f>
        <v/>
      </c>
      <c r="AG258" s="601">
        <f>VLOOKUP(F258,'2) Tracker'!$A$2:$BO$981,34,FALSE)</f>
        <v>46175</v>
      </c>
      <c r="AH258" s="601" t="str">
        <f>VLOOKUP(F258,'2) Tracker'!$A$2:$BN$981,66,FALSE)</f>
        <v/>
      </c>
      <c r="AI258" s="601">
        <f>VLOOKUP(F258,'2) Tracker'!$A$2:$BO$981,56,FALSE)</f>
        <v>46165</v>
      </c>
      <c r="AJ258" s="601">
        <f>VLOOKUP(F258,'2) Tracker'!$A$2:$BO$981,52,FALSE)</f>
        <v>46165</v>
      </c>
      <c r="AK258" s="601">
        <f>VLOOKUP(F258,'2) Tracker'!$A$2:$AQ$981,43,FALSE)</f>
        <v>46186</v>
      </c>
      <c r="AL258" s="601">
        <f>VLOOKUP(F258,'2) Tracker'!$A$2:$BH$981,46,FALSE())</f>
        <v>46192</v>
      </c>
      <c r="AM258" s="601">
        <f>VLOOKUP(F258,'2) Tracker'!$A$2:$BO$981,65,FALSE())</f>
        <v>46177</v>
      </c>
      <c r="AN258" s="601">
        <f>VLOOKUP(F258,'2) Tracker'!$A$2:$BK$981,63,FALSE())</f>
        <v>46202</v>
      </c>
      <c r="AO258" s="601">
        <f>VLOOKUP(F258,'2) Tracker'!$A$2:$BF$981,58,FALSE())</f>
        <v>46168</v>
      </c>
      <c r="AP258" s="46"/>
      <c r="AQ258" s="46"/>
      <c r="AR258" s="46"/>
      <c r="AS258" s="46"/>
      <c r="AT258" s="46"/>
      <c r="AU258" s="46"/>
      <c r="AV258" s="46"/>
      <c r="AW258" s="46"/>
      <c r="AX258" s="46"/>
      <c r="AY258" s="46"/>
      <c r="AZ258" s="563"/>
      <c r="BA258" s="569"/>
      <c r="BB258" s="563"/>
      <c r="BC258" s="569"/>
      <c r="BD258" s="563"/>
      <c r="BE258" s="46"/>
      <c r="BF258" s="46"/>
      <c r="BG258" s="563"/>
      <c r="BH258" s="563"/>
      <c r="BI258" s="563"/>
      <c r="BJ258" s="563"/>
    </row>
    <row r="259" spans="2:62" x14ac:dyDescent="0.25">
      <c r="B259" s="589" t="str">
        <f>VLOOKUP(F259,'2) Tracker'!$A$3:$O$411,5,FALSE)</f>
        <v>C</v>
      </c>
      <c r="C259" s="589">
        <f>VLOOKUP(F259,'2) Tracker'!$A$3:$O$411,4,FALSE)</f>
        <v>0</v>
      </c>
      <c r="D259" s="563"/>
      <c r="E259" s="563">
        <f>VLOOKUP(F259,'2) Tracker'!$A$3:$O$407,15,FALSE)</f>
        <v>0</v>
      </c>
      <c r="F259" s="561" t="s">
        <v>530</v>
      </c>
      <c r="G259" s="607">
        <f>VLOOKUP(F259,'2) Tracker'!$A$2:$BO$361,2,FALSE)</f>
        <v>42439</v>
      </c>
      <c r="H259" s="592">
        <f>VLOOKUP(F259,'2) Tracker'!$A$2:$BO$361,3,FALSE)</f>
        <v>84000</v>
      </c>
      <c r="I259" s="600" t="str">
        <f>VLOOKUP(F259,'2) Tracker'!$A$2:$BO$361,9,FALSE)</f>
        <v>OE</v>
      </c>
      <c r="J259" s="594" t="str">
        <f>VLOOKUP(F259,'2) Tracker'!$A$2:$BO$361,12,FALSE)</f>
        <v>Port Louis laden</v>
      </c>
      <c r="K259" s="595">
        <f t="shared" si="305"/>
        <v>46190</v>
      </c>
      <c r="L259" s="595">
        <f t="shared" ref="L259:O259" si="408">AE259</f>
        <v>46198</v>
      </c>
      <c r="M259" s="596" t="str">
        <f t="shared" si="408"/>
        <v/>
      </c>
      <c r="N259" s="596">
        <f t="shared" si="408"/>
        <v>46170</v>
      </c>
      <c r="O259" s="597" t="str">
        <f t="shared" si="408"/>
        <v/>
      </c>
      <c r="P259" s="598" t="str">
        <f>IFERROR(IF(VLOOKUP(F259,'Voyage days'!$M$808:$N$819,2,FALSE),"GOA",""),"")</f>
        <v/>
      </c>
      <c r="Q259" s="596">
        <f t="shared" si="287"/>
        <v>46145</v>
      </c>
      <c r="R259" s="596">
        <f t="shared" si="289"/>
        <v>46197</v>
      </c>
      <c r="S259" s="595">
        <f t="shared" ref="S259:S344" si="409">AL259</f>
        <v>46189</v>
      </c>
      <c r="T259" s="596">
        <f t="shared" ref="T259:T344" si="410">AK259</f>
        <v>46181</v>
      </c>
      <c r="U259" s="596">
        <f t="shared" si="290"/>
        <v>46162</v>
      </c>
      <c r="V259" s="596"/>
      <c r="W259" s="596">
        <f t="shared" si="291"/>
        <v>46164</v>
      </c>
      <c r="X259" s="599" t="str">
        <f t="shared" ref="X259:X344" si="411">AO259</f>
        <v/>
      </c>
      <c r="Y259" s="614"/>
      <c r="Z259" s="600" t="str">
        <f>VLOOKUP(F259,'2) Tracker'!$A$3:$Q$505,16,FALSE)</f>
        <v>via Cape, pending disport</v>
      </c>
      <c r="AA259" s="600" t="str">
        <f>VLOOKUP(F259,'2) Tracker'!$A$3:$R$505,18,FALSE)</f>
        <v>OE 31 Mar Enterprise</v>
      </c>
      <c r="AB259" s="600">
        <f>VLOOKUP(F259,'2) Tracker'!$A$3:$Q$505,17,FALSE)</f>
        <v>0</v>
      </c>
      <c r="AC259" s="601"/>
      <c r="AD259" s="601">
        <f>VLOOKUP(F259,'2) Tracker'!$A$2:$BO$981,37,FALSE)</f>
        <v>46190</v>
      </c>
      <c r="AE259" s="601">
        <f>VLOOKUP(F259,'2) Tracker'!$A$2:$BO$981,40,FALSE)</f>
        <v>46198</v>
      </c>
      <c r="AF259" s="601" t="str">
        <f>VLOOKUP(F259,'2) Tracker'!$A$2:$BO$981,67,FALSE)</f>
        <v/>
      </c>
      <c r="AG259" s="601">
        <f>VLOOKUP(F259,'2) Tracker'!$A$2:$BO$981,34,FALSE)</f>
        <v>46170</v>
      </c>
      <c r="AH259" s="601" t="str">
        <f>VLOOKUP(F259,'2) Tracker'!$A$2:$BN$981,66,FALSE)</f>
        <v/>
      </c>
      <c r="AI259" s="601">
        <f>VLOOKUP(F259,'2) Tracker'!$A$2:$BO$981,56,FALSE)</f>
        <v>46162</v>
      </c>
      <c r="AJ259" s="601">
        <f>VLOOKUP(F259,'2) Tracker'!$A$2:$BO$981,52,FALSE)</f>
        <v>46164</v>
      </c>
      <c r="AK259" s="601">
        <f>VLOOKUP(F259,'2) Tracker'!$A$2:$AQ$981,43,FALSE)</f>
        <v>46181</v>
      </c>
      <c r="AL259" s="601">
        <f>VLOOKUP(F259,'2) Tracker'!$A$2:$BH$981,46,FALSE())</f>
        <v>46189</v>
      </c>
      <c r="AM259" s="601">
        <f>VLOOKUP(F259,'2) Tracker'!$A$2:$BO$981,65,FALSE())</f>
        <v>46145</v>
      </c>
      <c r="AN259" s="601">
        <f>VLOOKUP(F259,'2) Tracker'!$A$2:$BK$981,63,FALSE())</f>
        <v>46197</v>
      </c>
      <c r="AO259" s="601" t="str">
        <f>VLOOKUP(F259,'2) Tracker'!$A$2:$BF$981,58,FALSE())</f>
        <v/>
      </c>
      <c r="AP259" s="46"/>
      <c r="AQ259" s="46"/>
      <c r="AR259" s="46"/>
      <c r="AS259" s="46"/>
      <c r="AT259" s="46"/>
      <c r="AU259" s="46"/>
      <c r="AV259" s="46"/>
      <c r="AW259" s="46"/>
      <c r="AX259" s="46"/>
      <c r="AY259" s="46"/>
      <c r="AZ259" s="563"/>
      <c r="BA259" s="604" t="e">
        <f>VLOOKUP(AZ259,#REF!,2, FALSE)</f>
        <v>#REF!</v>
      </c>
      <c r="BB259" s="605" t="e">
        <f>VLOOKUP(AZ259,'1) Kpler'!$E$2:$F$500,2,FALSE)</f>
        <v>#N/A</v>
      </c>
      <c r="BC259" s="569"/>
      <c r="BD259" s="563"/>
      <c r="BE259" s="46"/>
      <c r="BF259" s="46"/>
      <c r="BG259" s="605"/>
      <c r="BH259" s="563"/>
      <c r="BI259" s="563"/>
      <c r="BJ259" s="563"/>
    </row>
    <row r="260" spans="2:62" x14ac:dyDescent="0.25">
      <c r="B260" s="589" t="str">
        <f>VLOOKUP(F260,'2) Tracker'!$A$3:$O$411,5,FALSE)</f>
        <v>C</v>
      </c>
      <c r="C260" s="589">
        <f>VLOOKUP(F260,'2) Tracker'!$A$3:$O$411,4,FALSE)</f>
        <v>0</v>
      </c>
      <c r="D260" s="563" t="s">
        <v>1569</v>
      </c>
      <c r="E260" s="563">
        <f>VLOOKUP(F260,'2) Tracker'!$A$3:$O$407,15,FALSE)</f>
        <v>0</v>
      </c>
      <c r="F260" s="590" t="s">
        <v>924</v>
      </c>
      <c r="G260" s="591">
        <f>VLOOKUP(F260,'2) Tracker'!$A$2:$BO$361,2,FALSE)</f>
        <v>2023</v>
      </c>
      <c r="H260" s="592">
        <f>VLOOKUP(F260,'2) Tracker'!$A$2:$BO$361,3,FALSE)</f>
        <v>86000</v>
      </c>
      <c r="I260" s="600" t="str">
        <f>VLOOKUP(F260,'2) Tracker'!$A$2:$BO$361,9,FALSE)</f>
        <v>E1</v>
      </c>
      <c r="J260" s="594" t="str">
        <f>VLOOKUP(F260,'2) Tracker'!$A$2:$BO$361,12,FALSE)</f>
        <v>Japan</v>
      </c>
      <c r="K260" s="596">
        <f t="shared" si="305"/>
        <v>46190</v>
      </c>
      <c r="L260" s="596">
        <f t="shared" ref="L260:O260" si="412">AE260</f>
        <v>46201</v>
      </c>
      <c r="M260" s="596" t="str">
        <f t="shared" si="412"/>
        <v/>
      </c>
      <c r="N260" s="596">
        <f t="shared" si="412"/>
        <v>46177</v>
      </c>
      <c r="O260" s="597" t="str">
        <f t="shared" si="412"/>
        <v/>
      </c>
      <c r="P260" s="598" t="str">
        <f>IFERROR(IF(VLOOKUP(F260,'Voyage days'!$M$808:$N$819,2,FALSE),"GOA",""),"")</f>
        <v/>
      </c>
      <c r="Q260" s="596">
        <f t="shared" si="287"/>
        <v>46180</v>
      </c>
      <c r="R260" s="596">
        <f t="shared" si="289"/>
        <v>46205</v>
      </c>
      <c r="S260" s="595">
        <f t="shared" si="409"/>
        <v>46195</v>
      </c>
      <c r="T260" s="596">
        <f t="shared" si="410"/>
        <v>46189</v>
      </c>
      <c r="U260" s="596">
        <f t="shared" si="290"/>
        <v>46168</v>
      </c>
      <c r="V260" s="596"/>
      <c r="W260" s="596">
        <f t="shared" si="291"/>
        <v>46167.25</v>
      </c>
      <c r="X260" s="599">
        <f t="shared" si="411"/>
        <v>46170</v>
      </c>
      <c r="Y260" s="594"/>
      <c r="Z260" s="600" t="str">
        <f>VLOOKUP(F260,'2) Tracker'!$A$3:$Q$505,16,FALSE)</f>
        <v>ETA Cristobal 17 Apr, pending disport</v>
      </c>
      <c r="AA260" s="600" t="str">
        <f>VLOOKUP(F260,'2) Tracker'!$A$3:$R$505,18,FALSE)</f>
        <v>E1 11-12 Apr Nederland</v>
      </c>
      <c r="AB260" s="600">
        <f>VLOOKUP(F260,'2) Tracker'!$A$3:$Q$505,17,FALSE)</f>
        <v>0</v>
      </c>
      <c r="AC260" s="601"/>
      <c r="AD260" s="601">
        <f>VLOOKUP(F260,'2) Tracker'!$A$2:$BO$981,37,FALSE)</f>
        <v>46190</v>
      </c>
      <c r="AE260" s="601">
        <f>VLOOKUP(F260,'2) Tracker'!$A$2:$BO$981,40,FALSE)</f>
        <v>46201</v>
      </c>
      <c r="AF260" s="601" t="str">
        <f>VLOOKUP(F260,'2) Tracker'!$A$2:$BO$981,67,FALSE)</f>
        <v/>
      </c>
      <c r="AG260" s="601">
        <f>VLOOKUP(F260,'2) Tracker'!$A$2:$BO$981,34,FALSE)</f>
        <v>46177</v>
      </c>
      <c r="AH260" s="601" t="str">
        <f>VLOOKUP(F260,'2) Tracker'!$A$2:$BN$981,66,FALSE)</f>
        <v/>
      </c>
      <c r="AI260" s="601">
        <f>VLOOKUP(F260,'2) Tracker'!$A$2:$BO$981,56,FALSE)</f>
        <v>46168</v>
      </c>
      <c r="AJ260" s="601">
        <f>VLOOKUP(F260,'2) Tracker'!$A$2:$BO$981,52,FALSE)</f>
        <v>46167.25</v>
      </c>
      <c r="AK260" s="601">
        <f>VLOOKUP(F260,'2) Tracker'!$A$2:$AQ$981,43,FALSE)</f>
        <v>46189</v>
      </c>
      <c r="AL260" s="601">
        <f>VLOOKUP(F260,'2) Tracker'!$A$2:$BH$981,46,FALSE())</f>
        <v>46195</v>
      </c>
      <c r="AM260" s="601">
        <f>VLOOKUP(F260,'2) Tracker'!$A$2:$BO$981,65,FALSE())</f>
        <v>46180</v>
      </c>
      <c r="AN260" s="601">
        <f>VLOOKUP(F260,'2) Tracker'!$A$2:$BK$981,63,FALSE())</f>
        <v>46205</v>
      </c>
      <c r="AO260" s="601">
        <f>VLOOKUP(F260,'2) Tracker'!$A$2:$BF$981,58,FALSE())</f>
        <v>46170</v>
      </c>
      <c r="AP260" s="46"/>
      <c r="AQ260" s="46"/>
      <c r="AR260" s="46"/>
      <c r="AS260" s="46"/>
      <c r="AT260" s="46"/>
      <c r="AU260" s="46"/>
      <c r="AV260" s="46"/>
      <c r="AW260" s="46"/>
      <c r="AX260" s="46"/>
      <c r="AY260" s="46"/>
      <c r="AZ260" s="563"/>
      <c r="BA260" s="604" t="s">
        <v>2912</v>
      </c>
      <c r="BB260" s="605" t="e">
        <f>VLOOKUP(AZ260,'1) Kpler'!$E$2:$F$500,2,FALSE)</f>
        <v>#N/A</v>
      </c>
      <c r="BC260" s="569"/>
      <c r="BD260" s="563"/>
      <c r="BE260" s="46"/>
      <c r="BF260" s="46"/>
      <c r="BG260" s="563"/>
      <c r="BH260" s="563"/>
      <c r="BI260" s="563"/>
      <c r="BJ260" s="563"/>
    </row>
    <row r="261" spans="2:62" x14ac:dyDescent="0.25">
      <c r="B261" s="589"/>
      <c r="C261" s="589">
        <f>VLOOKUP(F261,'2) Tracker'!$A$3:$O$411,4,FALSE)</f>
        <v>0</v>
      </c>
      <c r="D261" s="563"/>
      <c r="E261" s="563">
        <f>VLOOKUP(F261,'2) Tracker'!$A$3:$O$407,15,FALSE)</f>
        <v>0</v>
      </c>
      <c r="F261" s="604" t="s">
        <v>782</v>
      </c>
      <c r="G261" s="607">
        <f>VLOOKUP(F261,'2) Tracker'!$A$2:$BO$361,2,FALSE)</f>
        <v>42479</v>
      </c>
      <c r="H261" s="592">
        <f>VLOOKUP(F261,'2) Tracker'!$A$2:$BO$361,3,FALSE)</f>
        <v>84113</v>
      </c>
      <c r="I261" s="594" t="str">
        <f>VLOOKUP(F261,'2) Tracker'!$A$2:$BO$361,9,FALSE)</f>
        <v>BW &gt; ATC</v>
      </c>
      <c r="J261" s="594" t="str">
        <f>VLOOKUP(F261,'2) Tracker'!$A$2:$BO$361,12,FALSE)</f>
        <v>Far East</v>
      </c>
      <c r="K261" s="596">
        <f t="shared" si="305"/>
        <v>46191</v>
      </c>
      <c r="L261" s="596">
        <f t="shared" ref="L261:O261" si="413">AE261</f>
        <v>46199</v>
      </c>
      <c r="M261" s="596" t="str">
        <f t="shared" si="413"/>
        <v/>
      </c>
      <c r="N261" s="596">
        <f t="shared" si="413"/>
        <v>46179</v>
      </c>
      <c r="O261" s="597" t="str">
        <f t="shared" si="413"/>
        <v/>
      </c>
      <c r="P261" s="598" t="str">
        <f>IFERROR(IF(VLOOKUP(F261,'Voyage days'!$M$808:$N$819,2,FALSE),"GOA",""),"")</f>
        <v/>
      </c>
      <c r="Q261" s="596">
        <f t="shared" si="287"/>
        <v>46182</v>
      </c>
      <c r="R261" s="596">
        <f t="shared" si="289"/>
        <v>46207</v>
      </c>
      <c r="S261" s="595">
        <f t="shared" si="409"/>
        <v>46197</v>
      </c>
      <c r="T261" s="596">
        <f t="shared" si="410"/>
        <v>46191</v>
      </c>
      <c r="U261" s="596">
        <f t="shared" si="290"/>
        <v>46170</v>
      </c>
      <c r="V261" s="596"/>
      <c r="W261" s="596">
        <f t="shared" si="291"/>
        <v>46169.25</v>
      </c>
      <c r="X261" s="599">
        <f t="shared" si="411"/>
        <v>46172</v>
      </c>
      <c r="Y261" s="614"/>
      <c r="Z261" s="600" t="str">
        <f>VLOOKUP(F261,'2) Tracker'!$A$3:$Q$505,16,FALSE)</f>
        <v>@ Enterprise 15 Apr, pending firm disport</v>
      </c>
      <c r="AA261" s="600" t="str">
        <f>VLOOKUP(F261,'2) Tracker'!$A$3:$R$505,18,FALSE)</f>
        <v>ATC 15-16 Apr Enterprise</v>
      </c>
      <c r="AB261" s="600">
        <f>VLOOKUP(F261,'2) Tracker'!$A$3:$Q$505,17,FALSE)</f>
        <v>0</v>
      </c>
      <c r="AC261" s="601"/>
      <c r="AD261" s="601">
        <f>VLOOKUP(F261,'2) Tracker'!$A$2:$BO$981,37,FALSE)</f>
        <v>46191</v>
      </c>
      <c r="AE261" s="601">
        <f>VLOOKUP(F261,'2) Tracker'!$A$2:$BO$981,40,FALSE)</f>
        <v>46199</v>
      </c>
      <c r="AF261" s="601" t="str">
        <f>VLOOKUP(F261,'2) Tracker'!$A$2:$BO$981,67,FALSE)</f>
        <v/>
      </c>
      <c r="AG261" s="601">
        <f>VLOOKUP(F261,'2) Tracker'!$A$2:$BO$981,34,FALSE)</f>
        <v>46179</v>
      </c>
      <c r="AH261" s="601" t="str">
        <f>VLOOKUP(F261,'2) Tracker'!$A$2:$BN$981,66,FALSE)</f>
        <v/>
      </c>
      <c r="AI261" s="601">
        <f>VLOOKUP(F261,'2) Tracker'!$A$2:$BO$981,56,FALSE)</f>
        <v>46170</v>
      </c>
      <c r="AJ261" s="601">
        <f>VLOOKUP(F261,'2) Tracker'!$A$2:$BO$981,52,FALSE)</f>
        <v>46169.25</v>
      </c>
      <c r="AK261" s="601">
        <f>VLOOKUP(F261,'2) Tracker'!$A$2:$AQ$981,43,FALSE)</f>
        <v>46191</v>
      </c>
      <c r="AL261" s="601">
        <f>VLOOKUP(F261,'2) Tracker'!$A$2:$BH$981,46,FALSE())</f>
        <v>46197</v>
      </c>
      <c r="AM261" s="601">
        <f>VLOOKUP(F261,'2) Tracker'!$A$2:$BO$981,65,FALSE())</f>
        <v>46182</v>
      </c>
      <c r="AN261" s="601">
        <f>VLOOKUP(F261,'2) Tracker'!$A$2:$BK$981,63,FALSE())</f>
        <v>46207</v>
      </c>
      <c r="AO261" s="601">
        <f>VLOOKUP(F261,'2) Tracker'!$A$2:$BF$981,58,FALSE())</f>
        <v>46172</v>
      </c>
      <c r="AP261" s="46"/>
      <c r="AQ261" s="46"/>
      <c r="AR261" s="46"/>
      <c r="AS261" s="46"/>
      <c r="AT261" s="46"/>
      <c r="AU261" s="46"/>
      <c r="AV261" s="46"/>
      <c r="AW261" s="46"/>
      <c r="AX261" s="46"/>
      <c r="AY261" s="46"/>
      <c r="AZ261" s="563"/>
      <c r="BA261" s="604" t="e">
        <f>VLOOKUP(AZ261,#REF!,2, FALSE)</f>
        <v>#REF!</v>
      </c>
      <c r="BB261" s="605" t="e">
        <f>VLOOKUP(AZ261,'1) Kpler'!$E$2:$F$500,2,FALSE)</f>
        <v>#N/A</v>
      </c>
      <c r="BC261" s="569"/>
      <c r="BD261" s="563"/>
      <c r="BE261" s="46"/>
      <c r="BF261" s="46"/>
      <c r="BG261" s="563"/>
      <c r="BH261" s="563"/>
      <c r="BI261" s="563"/>
      <c r="BJ261" s="563"/>
    </row>
    <row r="262" spans="2:62" x14ac:dyDescent="0.25">
      <c r="B262" s="589">
        <f>VLOOKUP(F262,'2) Tracker'!$A$3:$O$411,5,FALSE)</f>
        <v>0</v>
      </c>
      <c r="C262" s="589">
        <f>VLOOKUP(F262,'2) Tracker'!$A$3:$O$411,4,FALSE)</f>
        <v>0</v>
      </c>
      <c r="D262" s="563" t="s">
        <v>1569</v>
      </c>
      <c r="E262" s="563">
        <f>VLOOKUP(F262,'2) Tracker'!$A$3:$O$407,15,FALSE)</f>
        <v>0</v>
      </c>
      <c r="F262" s="590" t="s">
        <v>597</v>
      </c>
      <c r="G262" s="617">
        <f>VLOOKUP(F262,'2) Tracker'!$A$2:$BO$361,2,FALSE)</f>
        <v>38139</v>
      </c>
      <c r="H262" s="592">
        <f>VLOOKUP(F262,'2) Tracker'!$A$2:$BO$361,3,FALSE)</f>
        <v>78918</v>
      </c>
      <c r="I262" s="600" t="str">
        <f>VLOOKUP(F262,'2) Tracker'!$A$2:$BO$361,9,FALSE)</f>
        <v>Eneos</v>
      </c>
      <c r="J262" s="594" t="str">
        <f>VLOOKUP(F262,'2) Tracker'!$A$2:$BO$361,12,FALSE)</f>
        <v>Japan</v>
      </c>
      <c r="K262" s="596">
        <f t="shared" si="305"/>
        <v>46191</v>
      </c>
      <c r="L262" s="596">
        <f t="shared" ref="L262:O262" si="414">AE262</f>
        <v>46202</v>
      </c>
      <c r="M262" s="596" t="str">
        <f t="shared" si="414"/>
        <v/>
      </c>
      <c r="N262" s="596">
        <f t="shared" si="414"/>
        <v>46178</v>
      </c>
      <c r="O262" s="597" t="str">
        <f t="shared" si="414"/>
        <v/>
      </c>
      <c r="P262" s="598" t="str">
        <f>IFERROR(IF(VLOOKUP(F262,'Voyage days'!$M$808:$N$819,2,FALSE),"GOA",""),"")</f>
        <v/>
      </c>
      <c r="Q262" s="596">
        <f t="shared" si="287"/>
        <v>46182</v>
      </c>
      <c r="R262" s="596">
        <f t="shared" si="289"/>
        <v>46206</v>
      </c>
      <c r="S262" s="595">
        <f t="shared" si="409"/>
        <v>46196</v>
      </c>
      <c r="T262" s="595">
        <f t="shared" si="410"/>
        <v>46190</v>
      </c>
      <c r="U262" s="596">
        <f t="shared" si="290"/>
        <v>46170</v>
      </c>
      <c r="V262" s="596"/>
      <c r="W262" s="596">
        <f t="shared" si="291"/>
        <v>46168.25</v>
      </c>
      <c r="X262" s="599">
        <f t="shared" si="411"/>
        <v>46171</v>
      </c>
      <c r="Y262" s="594"/>
      <c r="Z262" s="600" t="str">
        <f>VLOOKUP(F262,'2) Tracker'!$A$3:$Q$505,16,FALSE)</f>
        <v>ETA Cristobal 13 Apr, pending disport</v>
      </c>
      <c r="AA262" s="600" t="str">
        <f>VLOOKUP(F262,'2) Tracker'!$A$3:$R$505,18,FALSE)</f>
        <v>Eneos 03-04 Apr Targa</v>
      </c>
      <c r="AB262" s="600">
        <f>VLOOKUP(F262,'2) Tracker'!$A$3:$Q$505,17,FALSE)</f>
        <v>0</v>
      </c>
      <c r="AC262" s="601"/>
      <c r="AD262" s="601">
        <f>VLOOKUP(F262,'2) Tracker'!$A$2:$BO$981,37,FALSE)</f>
        <v>46191</v>
      </c>
      <c r="AE262" s="601">
        <f>VLOOKUP(F262,'2) Tracker'!$A$2:$BO$981,40,FALSE)</f>
        <v>46202</v>
      </c>
      <c r="AF262" s="601" t="str">
        <f>VLOOKUP(F262,'2) Tracker'!$A$2:$BO$981,67,FALSE)</f>
        <v/>
      </c>
      <c r="AG262" s="601">
        <f>VLOOKUP(F262,'2) Tracker'!$A$2:$BO$981,34,FALSE)</f>
        <v>46178</v>
      </c>
      <c r="AH262" s="601" t="str">
        <f>VLOOKUP(F262,'2) Tracker'!$A$2:$BN$981,66,FALSE)</f>
        <v/>
      </c>
      <c r="AI262" s="601">
        <f>VLOOKUP(F262,'2) Tracker'!$A$2:$BO$981,56,FALSE)</f>
        <v>46170</v>
      </c>
      <c r="AJ262" s="601">
        <f>VLOOKUP(F262,'2) Tracker'!$A$2:$BO$981,52,FALSE)</f>
        <v>46168.25</v>
      </c>
      <c r="AK262" s="601">
        <f>VLOOKUP(F262,'2) Tracker'!$A$2:$AQ$981,43,FALSE)</f>
        <v>46190</v>
      </c>
      <c r="AL262" s="601">
        <f>VLOOKUP(F262,'2) Tracker'!$A$2:$BH$981,46,FALSE())</f>
        <v>46196</v>
      </c>
      <c r="AM262" s="601">
        <f>VLOOKUP(F262,'2) Tracker'!$A$2:$BO$981,65,FALSE())</f>
        <v>46182</v>
      </c>
      <c r="AN262" s="601">
        <f>VLOOKUP(F262,'2) Tracker'!$A$2:$BK$981,63,FALSE())</f>
        <v>46206</v>
      </c>
      <c r="AO262" s="601">
        <f>VLOOKUP(F262,'2) Tracker'!$A$2:$BF$981,58,FALSE())</f>
        <v>46171</v>
      </c>
      <c r="AP262" s="46"/>
      <c r="AQ262" s="46"/>
      <c r="AR262" s="46"/>
      <c r="AS262" s="46"/>
      <c r="AT262" s="46"/>
      <c r="AU262" s="46"/>
      <c r="AV262" s="46"/>
      <c r="AW262" s="46"/>
      <c r="AX262" s="46"/>
      <c r="AY262" s="46"/>
      <c r="AZ262" s="605"/>
      <c r="BA262" s="604" t="e">
        <f>VLOOKUP(AZ262,#REF!,2, FALSE)</f>
        <v>#REF!</v>
      </c>
      <c r="BB262" s="605" t="e">
        <f>VLOOKUP(AZ262,'1) Kpler'!$E$2:$F$500,2,FALSE)</f>
        <v>#N/A</v>
      </c>
      <c r="BC262" s="604"/>
      <c r="BD262" s="605"/>
      <c r="BE262" s="46"/>
      <c r="BF262" s="46"/>
      <c r="BG262" s="605"/>
      <c r="BH262" s="605"/>
      <c r="BI262" s="605"/>
      <c r="BJ262" s="605"/>
    </row>
    <row r="263" spans="2:62" x14ac:dyDescent="0.25">
      <c r="B263" s="589">
        <f>VLOOKUP(F263,'2) Tracker'!$A$3:$O$411,5,FALSE)</f>
        <v>0</v>
      </c>
      <c r="C263" s="589">
        <f>VLOOKUP(F263,'2) Tracker'!$A$3:$O$411,4,FALSE)</f>
        <v>0</v>
      </c>
      <c r="D263" s="563"/>
      <c r="E263" s="563">
        <f>VLOOKUP(F263,'2) Tracker'!$A$3:$O$407,15,FALSE)</f>
        <v>0</v>
      </c>
      <c r="F263" s="604" t="s">
        <v>1446</v>
      </c>
      <c r="G263" s="607">
        <f>VLOOKUP(F263,'2) Tracker'!$A$2:$BO$361,2,FALSE)</f>
        <v>42501</v>
      </c>
      <c r="H263" s="592">
        <f>VLOOKUP(F263,'2) Tracker'!$A$2:$BO$361,3,FALSE)</f>
        <v>84134</v>
      </c>
      <c r="I263" s="594" t="str">
        <f>VLOOKUP(F263,'2) Tracker'!$A$2:$BO$361,9,FALSE)</f>
        <v>ATC &gt; BW?</v>
      </c>
      <c r="J263" s="594" t="str">
        <f>VLOOKUP(F263,'2) Tracker'!$A$2:$BO$361,12,FALSE)</f>
        <v>Far East</v>
      </c>
      <c r="K263" s="595">
        <f t="shared" si="305"/>
        <v>46192</v>
      </c>
      <c r="L263" s="595">
        <f t="shared" ref="L263:O263" si="415">AE263</f>
        <v>46200</v>
      </c>
      <c r="M263" s="596" t="str">
        <f t="shared" si="415"/>
        <v/>
      </c>
      <c r="N263" s="596">
        <f t="shared" si="415"/>
        <v>46180</v>
      </c>
      <c r="O263" s="597" t="str">
        <f t="shared" si="415"/>
        <v/>
      </c>
      <c r="P263" s="598" t="str">
        <f>IFERROR(IF(VLOOKUP(F263,'Voyage days'!$M$808:$N$819,2,FALSE),"GOA",""),"")</f>
        <v/>
      </c>
      <c r="Q263" s="596">
        <f t="shared" si="287"/>
        <v>46183</v>
      </c>
      <c r="R263" s="595">
        <f t="shared" si="289"/>
        <v>46208</v>
      </c>
      <c r="S263" s="595">
        <f t="shared" si="409"/>
        <v>46198</v>
      </c>
      <c r="T263" s="596">
        <f t="shared" si="410"/>
        <v>46192</v>
      </c>
      <c r="U263" s="595">
        <f t="shared" si="290"/>
        <v>46171</v>
      </c>
      <c r="V263" s="596"/>
      <c r="W263" s="596">
        <f t="shared" si="291"/>
        <v>46170.25</v>
      </c>
      <c r="X263" s="599">
        <f t="shared" si="411"/>
        <v>46173</v>
      </c>
      <c r="Y263" s="594"/>
      <c r="Z263" s="600" t="str">
        <f>VLOOKUP(F263,'2) Tracker'!$A$3:$Q$505,16,FALSE)</f>
        <v>ETA Ferndale 28 Apr</v>
      </c>
      <c r="AA263" s="600" t="str">
        <f>VLOOKUP(F263,'2) Tracker'!$A$3:$R$505,18,FALSE)</f>
        <v>Altagas 29-30 Apr</v>
      </c>
      <c r="AB263" s="600">
        <f>VLOOKUP(F263,'2) Tracker'!$A$3:$Q$505,17,FALSE)</f>
        <v>0</v>
      </c>
      <c r="AC263" s="601"/>
      <c r="AD263" s="601">
        <f>VLOOKUP(F263,'2) Tracker'!$A$2:$BO$981,37,FALSE)</f>
        <v>46192</v>
      </c>
      <c r="AE263" s="601">
        <f>VLOOKUP(F263,'2) Tracker'!$A$2:$BO$981,40,FALSE)</f>
        <v>46200</v>
      </c>
      <c r="AF263" s="601" t="str">
        <f>VLOOKUP(F263,'2) Tracker'!$A$2:$BO$981,67,FALSE)</f>
        <v/>
      </c>
      <c r="AG263" s="601">
        <f>VLOOKUP(F263,'2) Tracker'!$A$2:$BO$981,34,FALSE)</f>
        <v>46180</v>
      </c>
      <c r="AH263" s="601" t="str">
        <f>VLOOKUP(F263,'2) Tracker'!$A$2:$BN$981,66,FALSE)</f>
        <v/>
      </c>
      <c r="AI263" s="601">
        <f>VLOOKUP(F263,'2) Tracker'!$A$2:$BO$981,56,FALSE)</f>
        <v>46171</v>
      </c>
      <c r="AJ263" s="601">
        <f>VLOOKUP(F263,'2) Tracker'!$A$2:$BO$981,52,FALSE)</f>
        <v>46170.25</v>
      </c>
      <c r="AK263" s="601">
        <f>VLOOKUP(F263,'2) Tracker'!$A$2:$AQ$981,43,FALSE)</f>
        <v>46192</v>
      </c>
      <c r="AL263" s="601">
        <f>VLOOKUP(F263,'2) Tracker'!$A$2:$BH$981,46,FALSE())</f>
        <v>46198</v>
      </c>
      <c r="AM263" s="601">
        <f>VLOOKUP(F263,'2) Tracker'!$A$2:$BO$981,65,FALSE())</f>
        <v>46183</v>
      </c>
      <c r="AN263" s="601">
        <f>VLOOKUP(F263,'2) Tracker'!$A$2:$BK$981,63,FALSE())</f>
        <v>46208</v>
      </c>
      <c r="AO263" s="601">
        <f>VLOOKUP(F263,'2) Tracker'!$A$2:$BF$981,58,FALSE())</f>
        <v>46173</v>
      </c>
      <c r="AP263" s="46"/>
      <c r="AQ263" s="46"/>
      <c r="AR263" s="46"/>
      <c r="AS263" s="46"/>
      <c r="AT263" s="46"/>
      <c r="AU263" s="46"/>
      <c r="AV263" s="46"/>
      <c r="AW263" s="46"/>
      <c r="AX263" s="46"/>
      <c r="AY263" s="46"/>
      <c r="AZ263" s="563"/>
      <c r="BA263" s="569"/>
      <c r="BB263" s="563"/>
      <c r="BC263" s="569"/>
      <c r="BD263" s="563"/>
      <c r="BE263" s="46"/>
      <c r="BF263" s="46"/>
      <c r="BG263" s="563"/>
      <c r="BH263" s="563"/>
      <c r="BI263" s="563"/>
      <c r="BJ263" s="563"/>
    </row>
    <row r="264" spans="2:62" x14ac:dyDescent="0.25">
      <c r="B264" s="589" t="str">
        <f>VLOOKUP(F264,'2) Tracker'!$A$3:$O$411,5,FALSE)</f>
        <v>C</v>
      </c>
      <c r="C264" s="589">
        <f>VLOOKUP(F264,'2) Tracker'!$A$3:$O$411,4,FALSE)</f>
        <v>0</v>
      </c>
      <c r="D264" s="563"/>
      <c r="E264" s="563">
        <f>VLOOKUP(F264,'2) Tracker'!$A$3:$O$407,15,FALSE)</f>
        <v>0</v>
      </c>
      <c r="F264" s="604" t="s">
        <v>337</v>
      </c>
      <c r="G264" s="591">
        <f>VLOOKUP(F264,'2) Tracker'!$A$2:$BO$361,2,FALSE)</f>
        <v>2021</v>
      </c>
      <c r="H264" s="592">
        <f>VLOOKUP(F264,'2) Tracker'!$A$2:$BO$361,3,FALSE)</f>
        <v>86000</v>
      </c>
      <c r="I264" s="594" t="str">
        <f>VLOOKUP(F264,'2) Tracker'!$A$2:$BO$361,9,FALSE)</f>
        <v>Wanhua</v>
      </c>
      <c r="J264" s="594" t="str">
        <f>VLOOKUP(F264,'2) Tracker'!$A$2:$BO$361,12,FALSE)</f>
        <v>North China</v>
      </c>
      <c r="K264" s="596">
        <f t="shared" si="305"/>
        <v>46192</v>
      </c>
      <c r="L264" s="596">
        <f t="shared" ref="L264:O264" si="416">AE264</f>
        <v>46202</v>
      </c>
      <c r="M264" s="596" t="str">
        <f t="shared" si="416"/>
        <v/>
      </c>
      <c r="N264" s="596">
        <f t="shared" si="416"/>
        <v>46178</v>
      </c>
      <c r="O264" s="597" t="str">
        <f t="shared" si="416"/>
        <v/>
      </c>
      <c r="P264" s="598" t="str">
        <f>IFERROR(IF(VLOOKUP(F264,'Voyage days'!$M$808:$N$819,2,FALSE),"GOA",""),"")</f>
        <v/>
      </c>
      <c r="Q264" s="597">
        <f t="shared" si="287"/>
        <v>46181</v>
      </c>
      <c r="R264" s="595">
        <f t="shared" si="289"/>
        <v>46206</v>
      </c>
      <c r="S264" s="595">
        <f t="shared" si="409"/>
        <v>46195</v>
      </c>
      <c r="T264" s="596">
        <f t="shared" si="410"/>
        <v>46189</v>
      </c>
      <c r="U264" s="595">
        <f t="shared" si="290"/>
        <v>46169</v>
      </c>
      <c r="V264" s="596"/>
      <c r="W264" s="596">
        <f t="shared" si="291"/>
        <v>46169</v>
      </c>
      <c r="X264" s="599">
        <f t="shared" si="411"/>
        <v>46173</v>
      </c>
      <c r="Y264" s="594"/>
      <c r="Z264" s="600" t="str">
        <f>VLOOKUP(F264,'2) Tracker'!$A$3:$Q$505,16,FALSE)</f>
        <v>ETA 1st port Yantai 12 May</v>
      </c>
      <c r="AA264" s="600" t="str">
        <f>VLOOKUP(F264,'2) Tracker'!$A$3:$R$505,18,FALSE)</f>
        <v>Wanhua 01-02 Apr Nederland</v>
      </c>
      <c r="AB264" s="600">
        <f>VLOOKUP(F264,'2) Tracker'!$A$3:$Q$505,17,FALSE)</f>
        <v>0</v>
      </c>
      <c r="AC264" s="601"/>
      <c r="AD264" s="601">
        <f>VLOOKUP(F264,'2) Tracker'!$A$2:$BO$981,37,FALSE)</f>
        <v>46192</v>
      </c>
      <c r="AE264" s="601">
        <f>VLOOKUP(F264,'2) Tracker'!$A$2:$BO$981,40,FALSE)</f>
        <v>46202</v>
      </c>
      <c r="AF264" s="601" t="str">
        <f>VLOOKUP(F264,'2) Tracker'!$A$2:$BO$981,67,FALSE)</f>
        <v/>
      </c>
      <c r="AG264" s="601">
        <f>VLOOKUP(F264,'2) Tracker'!$A$2:$BO$981,34,FALSE)</f>
        <v>46178</v>
      </c>
      <c r="AH264" s="601" t="str">
        <f>VLOOKUP(F264,'2) Tracker'!$A$2:$BN$981,66,FALSE)</f>
        <v/>
      </c>
      <c r="AI264" s="601">
        <f>VLOOKUP(F264,'2) Tracker'!$A$2:$BO$981,56,FALSE)</f>
        <v>46169</v>
      </c>
      <c r="AJ264" s="601">
        <f>VLOOKUP(F264,'2) Tracker'!$A$2:$BO$981,52,FALSE)</f>
        <v>46169</v>
      </c>
      <c r="AK264" s="601">
        <f>VLOOKUP(F264,'2) Tracker'!$A$2:$AQ$981,43,FALSE)</f>
        <v>46189</v>
      </c>
      <c r="AL264" s="601">
        <f>VLOOKUP(F264,'2) Tracker'!$A$2:$BH$981,46,FALSE())</f>
        <v>46195</v>
      </c>
      <c r="AM264" s="601">
        <f>VLOOKUP(F264,'2) Tracker'!$A$2:$BO$981,65,FALSE())</f>
        <v>46181</v>
      </c>
      <c r="AN264" s="601">
        <f>VLOOKUP(F264,'2) Tracker'!$A$2:$BK$981,63,FALSE())</f>
        <v>46206</v>
      </c>
      <c r="AO264" s="601">
        <f>VLOOKUP(F264,'2) Tracker'!$A$2:$BF$981,58,FALSE())</f>
        <v>46173</v>
      </c>
      <c r="AP264" s="46"/>
      <c r="AQ264" s="46"/>
      <c r="AR264" s="46"/>
      <c r="AS264" s="46"/>
      <c r="AT264" s="46"/>
      <c r="AU264" s="46"/>
      <c r="AV264" s="46"/>
      <c r="AW264" s="46"/>
      <c r="AX264" s="46"/>
      <c r="AY264" s="46"/>
      <c r="AZ264" s="605"/>
      <c r="BA264" s="604" t="e">
        <f>VLOOKUP(AZ264,#REF!,2, FALSE)</f>
        <v>#REF!</v>
      </c>
      <c r="BB264" s="605" t="e">
        <f>VLOOKUP(AZ264,'1) Kpler'!$E$2:$F$500,2,FALSE)</f>
        <v>#N/A</v>
      </c>
      <c r="BC264" s="604"/>
      <c r="BD264" s="605"/>
      <c r="BE264" s="46"/>
      <c r="BF264" s="46"/>
      <c r="BG264" s="605"/>
      <c r="BH264" s="605"/>
      <c r="BI264" s="605"/>
      <c r="BJ264" s="605"/>
    </row>
    <row r="265" spans="2:62" x14ac:dyDescent="0.25">
      <c r="B265" s="589">
        <f>VLOOKUP(F265,'2) Tracker'!$A$3:$O$411,5,FALSE)</f>
        <v>0</v>
      </c>
      <c r="C265" s="589">
        <f>VLOOKUP(F265,'2) Tracker'!$A$3:$O$411,4,FALSE)</f>
        <v>0</v>
      </c>
      <c r="D265" s="563"/>
      <c r="E265" s="563">
        <f>VLOOKUP(F265,'2) Tracker'!$A$3:$O$407,15,FALSE)</f>
        <v>0</v>
      </c>
      <c r="F265" s="561" t="s">
        <v>186</v>
      </c>
      <c r="G265" s="607">
        <f>VLOOKUP(F265,'2) Tracker'!$A$2:$BO$361,2,FALSE)</f>
        <v>43616</v>
      </c>
      <c r="H265" s="592">
        <f>VLOOKUP(F265,'2) Tracker'!$A$2:$BO$361,3,FALSE)</f>
        <v>84200</v>
      </c>
      <c r="I265" s="594" t="str">
        <f>VLOOKUP(F265,'2) Tracker'!$A$2:$BO$361,9,FALSE)</f>
        <v>Vitol</v>
      </c>
      <c r="J265" s="594" t="str">
        <f>VLOOKUP(F265,'2) Tracker'!$A$2:$BO$361,12,FALSE)</f>
        <v>South China</v>
      </c>
      <c r="K265" s="596">
        <f t="shared" si="305"/>
        <v>46193</v>
      </c>
      <c r="L265" s="596">
        <f t="shared" ref="L265:O265" si="417">AE265</f>
        <v>46199</v>
      </c>
      <c r="M265" s="596" t="str">
        <f t="shared" si="417"/>
        <v/>
      </c>
      <c r="N265" s="596">
        <f t="shared" si="417"/>
        <v>46172</v>
      </c>
      <c r="O265" s="597" t="str">
        <f t="shared" si="417"/>
        <v/>
      </c>
      <c r="P265" s="598" t="str">
        <f>IFERROR(IF(VLOOKUP(F265,'Voyage days'!$M$808:$N$819,2,FALSE),"GOA",""),"")</f>
        <v/>
      </c>
      <c r="Q265" s="596">
        <f t="shared" si="287"/>
        <v>46175</v>
      </c>
      <c r="R265" s="596">
        <f t="shared" si="289"/>
        <v>46199</v>
      </c>
      <c r="S265" s="595">
        <f t="shared" si="409"/>
        <v>46190</v>
      </c>
      <c r="T265" s="596">
        <f t="shared" si="410"/>
        <v>46183</v>
      </c>
      <c r="U265" s="596">
        <f t="shared" si="290"/>
        <v>46162</v>
      </c>
      <c r="V265" s="596"/>
      <c r="W265" s="596">
        <f t="shared" si="291"/>
        <v>46163.75</v>
      </c>
      <c r="X265" s="599" t="str">
        <f t="shared" si="411"/>
        <v/>
      </c>
      <c r="Y265" s="594"/>
      <c r="Z265" s="600" t="str">
        <f>VLOOKUP(F265,'2) Tracker'!$A$3:$Q$505,16,FALSE)</f>
        <v>ETA 1st port Zhanjiang 13 May via Cape</v>
      </c>
      <c r="AA265" s="600" t="str">
        <f>VLOOKUP(F265,'2) Tracker'!$A$3:$R$505,18,FALSE)</f>
        <v>Vitol 31 Mar Targa</v>
      </c>
      <c r="AB265" s="600">
        <f>VLOOKUP(F265,'2) Tracker'!$A$3:$Q$505,17,FALSE)</f>
        <v>0</v>
      </c>
      <c r="AC265" s="601"/>
      <c r="AD265" s="601">
        <f>VLOOKUP(F265,'2) Tracker'!$A$2:$BO$981,37,FALSE)</f>
        <v>46193</v>
      </c>
      <c r="AE265" s="601">
        <f>VLOOKUP(F265,'2) Tracker'!$A$2:$BO$981,40,FALSE)</f>
        <v>46199</v>
      </c>
      <c r="AF265" s="601" t="str">
        <f>VLOOKUP(F265,'2) Tracker'!$A$2:$BO$981,67,FALSE)</f>
        <v/>
      </c>
      <c r="AG265" s="601">
        <f>VLOOKUP(F265,'2) Tracker'!$A$2:$BO$981,34,FALSE)</f>
        <v>46172</v>
      </c>
      <c r="AH265" s="601" t="str">
        <f>VLOOKUP(F265,'2) Tracker'!$A$2:$BN$981,66,FALSE)</f>
        <v/>
      </c>
      <c r="AI265" s="601">
        <f>VLOOKUP(F265,'2) Tracker'!$A$2:$BO$981,56,FALSE)</f>
        <v>46162</v>
      </c>
      <c r="AJ265" s="601">
        <f>VLOOKUP(F265,'2) Tracker'!$A$2:$BO$981,52,FALSE)</f>
        <v>46163.75</v>
      </c>
      <c r="AK265" s="601">
        <f>VLOOKUP(F265,'2) Tracker'!$A$2:$AQ$981,43,FALSE)</f>
        <v>46183</v>
      </c>
      <c r="AL265" s="601">
        <f>VLOOKUP(F265,'2) Tracker'!$A$2:$BH$981,46,FALSE())</f>
        <v>46190</v>
      </c>
      <c r="AM265" s="601">
        <f>VLOOKUP(F265,'2) Tracker'!$A$2:$BO$981,65,FALSE())</f>
        <v>46175</v>
      </c>
      <c r="AN265" s="601">
        <f>VLOOKUP(F265,'2) Tracker'!$A$2:$BK$981,63,FALSE())</f>
        <v>46199</v>
      </c>
      <c r="AO265" s="601" t="str">
        <f>VLOOKUP(F265,'2) Tracker'!$A$2:$BF$981,58,FALSE())</f>
        <v/>
      </c>
      <c r="AP265" s="46"/>
      <c r="AQ265" s="46"/>
      <c r="AR265" s="46"/>
      <c r="AS265" s="46"/>
      <c r="AT265" s="46"/>
      <c r="AU265" s="46"/>
      <c r="AV265" s="46"/>
      <c r="AW265" s="46"/>
      <c r="AX265" s="46"/>
      <c r="AY265" s="46"/>
      <c r="AZ265" s="563"/>
      <c r="BA265" s="604" t="e">
        <f>VLOOKUP(AZ265,#REF!,2, FALSE)</f>
        <v>#REF!</v>
      </c>
      <c r="BB265" s="605" t="e">
        <f>VLOOKUP(AZ265,'1) Kpler'!$E$2:$F$500,2,FALSE)</f>
        <v>#N/A</v>
      </c>
      <c r="BC265" s="569"/>
      <c r="BD265" s="563"/>
      <c r="BE265" s="46"/>
      <c r="BF265" s="46"/>
      <c r="BG265" s="563"/>
      <c r="BH265" s="563"/>
      <c r="BI265" s="563"/>
      <c r="BJ265" s="563"/>
    </row>
    <row r="266" spans="2:62" x14ac:dyDescent="0.25">
      <c r="B266" s="589">
        <f>VLOOKUP(F266,'2) Tracker'!$A$3:$O$411,5,FALSE)</f>
        <v>0</v>
      </c>
      <c r="C266" s="589" t="str">
        <f>VLOOKUP(F266,'2) Tracker'!$A$3:$O$411,4,FALSE)</f>
        <v>US</v>
      </c>
      <c r="D266" s="563"/>
      <c r="E266" s="563">
        <f>VLOOKUP(F266,'2) Tracker'!$A$3:$O$407,15,FALSE)</f>
        <v>0</v>
      </c>
      <c r="F266" s="604" t="s">
        <v>211</v>
      </c>
      <c r="G266" s="591">
        <f>VLOOKUP(F266,'2) Tracker'!$A$2:$BO$361,2,FALSE)</f>
        <v>2021</v>
      </c>
      <c r="H266" s="592">
        <f>VLOOKUP(F266,'2) Tracker'!$A$2:$BO$361,3,FALSE)</f>
        <v>84000</v>
      </c>
      <c r="I266" s="600" t="str">
        <f>VLOOKUP(F266,'2) Tracker'!$A$2:$BO$361,9,FALSE)</f>
        <v>Helios</v>
      </c>
      <c r="J266" s="594" t="str">
        <f>VLOOKUP(F266,'2) Tracker'!$A$2:$BO$361,12,FALSE)</f>
        <v>Far East</v>
      </c>
      <c r="K266" s="596">
        <f t="shared" si="305"/>
        <v>46193</v>
      </c>
      <c r="L266" s="596">
        <f t="shared" ref="L266:O266" si="418">AE266</f>
        <v>46201</v>
      </c>
      <c r="M266" s="596" t="str">
        <f t="shared" si="418"/>
        <v/>
      </c>
      <c r="N266" s="596">
        <f t="shared" si="418"/>
        <v>46181</v>
      </c>
      <c r="O266" s="597" t="str">
        <f t="shared" si="418"/>
        <v/>
      </c>
      <c r="P266" s="598" t="str">
        <f>IFERROR(IF(VLOOKUP(F266,'Voyage days'!$M$808:$N$819,2,FALSE),"GOA",""),"")</f>
        <v/>
      </c>
      <c r="Q266" s="596">
        <f t="shared" si="287"/>
        <v>46184</v>
      </c>
      <c r="R266" s="596">
        <f t="shared" si="289"/>
        <v>46209</v>
      </c>
      <c r="S266" s="595">
        <f t="shared" si="409"/>
        <v>46199</v>
      </c>
      <c r="T266" s="596">
        <f t="shared" si="410"/>
        <v>46193</v>
      </c>
      <c r="U266" s="596">
        <f t="shared" si="290"/>
        <v>46172</v>
      </c>
      <c r="V266" s="570" t="s">
        <v>1577</v>
      </c>
      <c r="W266" s="596">
        <f t="shared" si="291"/>
        <v>46171.25</v>
      </c>
      <c r="X266" s="599">
        <f t="shared" si="411"/>
        <v>46174</v>
      </c>
      <c r="Y266" s="594"/>
      <c r="Z266" s="600" t="str">
        <f>VLOOKUP(F266,'2) Tracker'!$A$3:$Q$505,16,FALSE)</f>
        <v>ETA RIPET 01 May</v>
      </c>
      <c r="AA266" s="600" t="str">
        <f>VLOOKUP(F266,'2) Tracker'!$A$3:$R$505,18,FALSE)</f>
        <v>Altagas 01-02 May RIPET</v>
      </c>
      <c r="AB266" s="600">
        <f>VLOOKUP(F266,'2) Tracker'!$A$3:$Q$505,17,FALSE)</f>
        <v>0</v>
      </c>
      <c r="AC266" s="601"/>
      <c r="AD266" s="601">
        <f>VLOOKUP(F266,'2) Tracker'!$A$2:$BO$981,37,FALSE)</f>
        <v>46193</v>
      </c>
      <c r="AE266" s="601">
        <f>VLOOKUP(F266,'2) Tracker'!$A$2:$BO$981,40,FALSE)</f>
        <v>46201</v>
      </c>
      <c r="AF266" s="601" t="str">
        <f>VLOOKUP(F266,'2) Tracker'!$A$2:$BO$981,67,FALSE)</f>
        <v/>
      </c>
      <c r="AG266" s="601">
        <f>VLOOKUP(F266,'2) Tracker'!$A$2:$BO$981,34,FALSE)</f>
        <v>46181</v>
      </c>
      <c r="AH266" s="601" t="str">
        <f>VLOOKUP(F266,'2) Tracker'!$A$2:$BN$981,66,FALSE)</f>
        <v/>
      </c>
      <c r="AI266" s="601">
        <f>VLOOKUP(F266,'2) Tracker'!$A$2:$BO$981,56,FALSE)</f>
        <v>46172</v>
      </c>
      <c r="AJ266" s="601">
        <f>VLOOKUP(F266,'2) Tracker'!$A$2:$BO$981,52,FALSE)</f>
        <v>46171.25</v>
      </c>
      <c r="AK266" s="601">
        <f>VLOOKUP(F266,'2) Tracker'!$A$2:$AQ$981,43,FALSE)</f>
        <v>46193</v>
      </c>
      <c r="AL266" s="601">
        <f>VLOOKUP(F266,'2) Tracker'!$A$2:$BH$981,46,FALSE())</f>
        <v>46199</v>
      </c>
      <c r="AM266" s="601">
        <f>VLOOKUP(F266,'2) Tracker'!$A$2:$BO$981,65,FALSE())</f>
        <v>46184</v>
      </c>
      <c r="AN266" s="601">
        <f>VLOOKUP(F266,'2) Tracker'!$A$2:$BK$981,63,FALSE())</f>
        <v>46209</v>
      </c>
      <c r="AO266" s="601">
        <f>VLOOKUP(F266,'2) Tracker'!$A$2:$BF$981,58,FALSE())</f>
        <v>46174</v>
      </c>
      <c r="AP266" s="46"/>
      <c r="AQ266" s="46"/>
      <c r="AR266" s="46"/>
      <c r="AS266" s="46"/>
      <c r="AT266" s="46"/>
      <c r="AU266" s="46"/>
      <c r="AV266" s="46"/>
      <c r="AW266" s="46"/>
      <c r="AX266" s="46"/>
      <c r="AY266" s="46"/>
      <c r="AZ266" s="563"/>
      <c r="BA266" s="604" t="s">
        <v>2912</v>
      </c>
      <c r="BB266" s="605" t="e">
        <f>VLOOKUP(AZ266,'1) Kpler'!$E$2:$F$500,2,FALSE)</f>
        <v>#N/A</v>
      </c>
      <c r="BC266" s="569"/>
      <c r="BD266" s="563"/>
      <c r="BE266" s="46"/>
      <c r="BF266" s="46"/>
      <c r="BG266" s="563"/>
      <c r="BH266" s="563"/>
      <c r="BI266" s="563"/>
      <c r="BJ266" s="563"/>
    </row>
    <row r="267" spans="2:62" x14ac:dyDescent="0.25">
      <c r="B267" s="589">
        <f>VLOOKUP(F267,'2) Tracker'!$A$3:$O$411,5,FALSE)</f>
        <v>0</v>
      </c>
      <c r="C267" s="589">
        <f>VLOOKUP(F267,'2) Tracker'!$A$3:$O$411,4,FALSE)</f>
        <v>0</v>
      </c>
      <c r="D267" s="563"/>
      <c r="E267" s="563">
        <f>VLOOKUP(F267,'2) Tracker'!$A$3:$O$407,15,FALSE)</f>
        <v>0</v>
      </c>
      <c r="F267" s="608" t="s">
        <v>591</v>
      </c>
      <c r="G267" s="615" t="str">
        <f>VLOOKUP(F267,'2) Tracker'!$A$2:$BO$361,2,FALSE)</f>
        <v>2016</v>
      </c>
      <c r="H267" s="592">
        <f>VLOOKUP(F267,'2) Tracker'!$A$2:$BO$361,3,FALSE)</f>
        <v>84000</v>
      </c>
      <c r="I267" s="593" t="str">
        <f>VLOOKUP(F267,'2) Tracker'!$A$2:$BO$361,9,FALSE)</f>
        <v>Petrobras &gt; Petredec</v>
      </c>
      <c r="J267" s="594" t="str">
        <f>VLOOKUP(F267,'2) Tracker'!$A$2:$BO$361,12,FALSE)</f>
        <v>South China</v>
      </c>
      <c r="K267" s="596">
        <f t="shared" si="305"/>
        <v>46194</v>
      </c>
      <c r="L267" s="596">
        <f t="shared" ref="L267:O267" si="419">AE267</f>
        <v>46200</v>
      </c>
      <c r="M267" s="596" t="str">
        <f t="shared" si="419"/>
        <v/>
      </c>
      <c r="N267" s="596">
        <f t="shared" si="419"/>
        <v>46173</v>
      </c>
      <c r="O267" s="597" t="str">
        <f t="shared" si="419"/>
        <v/>
      </c>
      <c r="P267" s="598" t="str">
        <f>IFERROR(IF(VLOOKUP(F267,'Voyage days'!$M$808:$N$819,2,FALSE),"GOA",""),"")</f>
        <v/>
      </c>
      <c r="Q267" s="596">
        <f t="shared" si="287"/>
        <v>46176</v>
      </c>
      <c r="R267" s="596">
        <f t="shared" si="289"/>
        <v>46200</v>
      </c>
      <c r="S267" s="595">
        <f t="shared" si="409"/>
        <v>46191</v>
      </c>
      <c r="T267" s="596">
        <f t="shared" si="410"/>
        <v>46184</v>
      </c>
      <c r="U267" s="596">
        <f t="shared" si="290"/>
        <v>46163</v>
      </c>
      <c r="V267" s="570" t="s">
        <v>1577</v>
      </c>
      <c r="W267" s="596">
        <f t="shared" si="291"/>
        <v>46164.75</v>
      </c>
      <c r="X267" s="599" t="str">
        <f t="shared" si="411"/>
        <v/>
      </c>
      <c r="Y267" s="594"/>
      <c r="Z267" s="600" t="str">
        <f>VLOOKUP(F267,'2) Tracker'!$A$3:$Q$505,16,FALSE)</f>
        <v>ETA South china 12 May</v>
      </c>
      <c r="AA267" s="600" t="str">
        <f>VLOOKUP(F267,'2) Tracker'!$A$3:$R$505,18,FALSE)</f>
        <v>Petredec 01 Apr Freeport</v>
      </c>
      <c r="AB267" s="600">
        <f>VLOOKUP(F267,'2) Tracker'!$A$3:$Q$505,17,FALSE)</f>
        <v>0</v>
      </c>
      <c r="AC267" s="601"/>
      <c r="AD267" s="601">
        <f>VLOOKUP(F267,'2) Tracker'!$A$2:$BO$981,37,FALSE)</f>
        <v>46194</v>
      </c>
      <c r="AE267" s="601">
        <f>VLOOKUP(F267,'2) Tracker'!$A$2:$BO$981,40,FALSE)</f>
        <v>46200</v>
      </c>
      <c r="AF267" s="601" t="str">
        <f>VLOOKUP(F267,'2) Tracker'!$A$2:$BO$981,67,FALSE)</f>
        <v/>
      </c>
      <c r="AG267" s="601">
        <f>VLOOKUP(F267,'2) Tracker'!$A$2:$BO$981,34,FALSE)</f>
        <v>46173</v>
      </c>
      <c r="AH267" s="601" t="str">
        <f>VLOOKUP(F267,'2) Tracker'!$A$2:$BN$981,66,FALSE)</f>
        <v/>
      </c>
      <c r="AI267" s="620">
        <f>VLOOKUP(F267,'2) Tracker'!$A$2:$BO$981,56,FALSE)</f>
        <v>46163</v>
      </c>
      <c r="AJ267" s="620">
        <f>VLOOKUP(F267,'2) Tracker'!$A$2:$BO$981,52,FALSE)</f>
        <v>46164.75</v>
      </c>
      <c r="AK267" s="620">
        <f>VLOOKUP(F267,'2) Tracker'!$A$2:$AQ$981,43,FALSE)</f>
        <v>46184</v>
      </c>
      <c r="AL267" s="621">
        <f>VLOOKUP(F267,'2) Tracker'!$A$2:$BH$981,46,FALSE())</f>
        <v>46191</v>
      </c>
      <c r="AM267" s="621">
        <f>VLOOKUP(F267,'2) Tracker'!$A$2:$BO$981,65,FALSE())</f>
        <v>46176</v>
      </c>
      <c r="AN267" s="621">
        <f>VLOOKUP(F267,'2) Tracker'!$A$2:$BK$981,63,FALSE())</f>
        <v>46200</v>
      </c>
      <c r="AO267" s="621" t="str">
        <f>VLOOKUP(F267,'2) Tracker'!$A$2:$BF$981,58,FALSE())</f>
        <v/>
      </c>
      <c r="AP267" s="46"/>
      <c r="AQ267" s="46"/>
      <c r="AR267" s="46"/>
      <c r="AS267" s="46"/>
      <c r="AT267" s="46"/>
      <c r="AU267" s="46"/>
      <c r="AV267" s="46"/>
      <c r="AW267" s="46"/>
      <c r="AX267" s="46"/>
      <c r="AY267" s="46"/>
      <c r="AZ267" s="563"/>
      <c r="BA267" s="604" t="e">
        <f>VLOOKUP(AZ267,#REF!,2, FALSE)</f>
        <v>#REF!</v>
      </c>
      <c r="BB267" s="605" t="e">
        <f>VLOOKUP(AZ267,'1) Kpler'!$E$2:$F$500,2,FALSE)</f>
        <v>#N/A</v>
      </c>
      <c r="BC267" s="569"/>
      <c r="BD267" s="563"/>
      <c r="BE267" s="46"/>
      <c r="BF267" s="46"/>
      <c r="BG267" s="563"/>
      <c r="BH267" s="563"/>
      <c r="BI267" s="563"/>
      <c r="BJ267" s="563"/>
    </row>
    <row r="268" spans="2:62" x14ac:dyDescent="0.25">
      <c r="B268" s="589">
        <f>VLOOKUP(F268,'2) Tracker'!$A$3:$O$411,5,FALSE)</f>
        <v>0</v>
      </c>
      <c r="C268" s="589">
        <f>VLOOKUP(F268,'2) Tracker'!$A$3:$O$411,4,FALSE)</f>
        <v>0</v>
      </c>
      <c r="D268" s="563"/>
      <c r="E268" s="563">
        <f>VLOOKUP(F268,'2) Tracker'!$A$3:$O$407,15,FALSE)</f>
        <v>0</v>
      </c>
      <c r="F268" s="604" t="s">
        <v>762</v>
      </c>
      <c r="G268" s="591">
        <f>VLOOKUP(F268,'2) Tracker'!$A$2:$BO$361,2,FALSE)</f>
        <v>2019</v>
      </c>
      <c r="H268" s="592">
        <f>VLOOKUP(F268,'2) Tracker'!$A$2:$BO$361,3,FALSE)</f>
        <v>83325</v>
      </c>
      <c r="I268" s="594" t="str">
        <f>VLOOKUP(F268,'2) Tracker'!$A$2:$BO$361,9,FALSE)</f>
        <v>AGT</v>
      </c>
      <c r="J268" s="594" t="str">
        <f>VLOOKUP(F268,'2) Tracker'!$A$2:$BO$361,12,FALSE)</f>
        <v>Far East</v>
      </c>
      <c r="K268" s="595">
        <f t="shared" si="305"/>
        <v>46194</v>
      </c>
      <c r="L268" s="595">
        <f t="shared" ref="L268:O268" si="420">AE268</f>
        <v>46202</v>
      </c>
      <c r="M268" s="596" t="str">
        <f t="shared" si="420"/>
        <v/>
      </c>
      <c r="N268" s="597">
        <f t="shared" si="420"/>
        <v>46182</v>
      </c>
      <c r="O268" s="597" t="str">
        <f t="shared" si="420"/>
        <v/>
      </c>
      <c r="P268" s="598" t="str">
        <f>IFERROR(IF(VLOOKUP(F268,'Voyage days'!$M$808:$N$819,2,FALSE),"GOA",""),"")</f>
        <v/>
      </c>
      <c r="Q268" s="596">
        <f t="shared" si="287"/>
        <v>46185</v>
      </c>
      <c r="R268" s="596">
        <f t="shared" si="289"/>
        <v>46210</v>
      </c>
      <c r="S268" s="595">
        <f t="shared" si="409"/>
        <v>46200</v>
      </c>
      <c r="T268" s="596">
        <f t="shared" si="410"/>
        <v>46194</v>
      </c>
      <c r="U268" s="596">
        <f t="shared" si="290"/>
        <v>46173</v>
      </c>
      <c r="V268" s="596"/>
      <c r="W268" s="596">
        <f t="shared" si="291"/>
        <v>46172.25</v>
      </c>
      <c r="X268" s="599">
        <f t="shared" si="411"/>
        <v>46175</v>
      </c>
      <c r="Y268" s="594"/>
      <c r="Z268" s="600" t="str">
        <f>VLOOKUP(F268,'2) Tracker'!$A$3:$Q$505,16,FALSE)</f>
        <v>ETA Cristobal 19 Apr, pending disport</v>
      </c>
      <c r="AA268" s="600" t="str">
        <f>VLOOKUP(F268,'2) Tracker'!$A$3:$R$505,18,FALSE)</f>
        <v>Wanhua 13-14 Apr Nederland</v>
      </c>
      <c r="AB268" s="600">
        <f>VLOOKUP(F268,'2) Tracker'!$A$3:$Q$505,17,FALSE)</f>
        <v>0</v>
      </c>
      <c r="AC268" s="601"/>
      <c r="AD268" s="601">
        <f>VLOOKUP(F268,'2) Tracker'!$A$2:$BO$981,37,FALSE)</f>
        <v>46194</v>
      </c>
      <c r="AE268" s="601">
        <f>VLOOKUP(F268,'2) Tracker'!$A$2:$BO$981,40,FALSE)</f>
        <v>46202</v>
      </c>
      <c r="AF268" s="601" t="str">
        <f>VLOOKUP(F268,'2) Tracker'!$A$2:$BO$981,67,FALSE)</f>
        <v/>
      </c>
      <c r="AG268" s="601">
        <f>VLOOKUP(F268,'2) Tracker'!$A$2:$BO$981,34,FALSE)</f>
        <v>46182</v>
      </c>
      <c r="AH268" s="601" t="str">
        <f>VLOOKUP(F268,'2) Tracker'!$A$2:$BN$981,66,FALSE)</f>
        <v/>
      </c>
      <c r="AI268" s="601">
        <f>VLOOKUP(F268,'2) Tracker'!$A$2:$BO$981,56,FALSE)</f>
        <v>46173</v>
      </c>
      <c r="AJ268" s="601">
        <f>VLOOKUP(F268,'2) Tracker'!$A$2:$BO$981,52,FALSE)</f>
        <v>46172.25</v>
      </c>
      <c r="AK268" s="601">
        <f>VLOOKUP(F268,'2) Tracker'!$A$2:$AQ$981,43,FALSE)</f>
        <v>46194</v>
      </c>
      <c r="AL268" s="601">
        <f>VLOOKUP(F268,'2) Tracker'!$A$2:$BH$981,46,FALSE())</f>
        <v>46200</v>
      </c>
      <c r="AM268" s="601">
        <f>VLOOKUP(F268,'2) Tracker'!$A$2:$BO$981,65,FALSE())</f>
        <v>46185</v>
      </c>
      <c r="AN268" s="601">
        <f>VLOOKUP(F268,'2) Tracker'!$A$2:$BK$981,63,FALSE())</f>
        <v>46210</v>
      </c>
      <c r="AO268" s="601">
        <f>VLOOKUP(F268,'2) Tracker'!$A$2:$BF$981,58,FALSE())</f>
        <v>46175</v>
      </c>
      <c r="AP268" s="46"/>
      <c r="AQ268" s="46"/>
      <c r="AR268" s="46"/>
      <c r="AS268" s="46"/>
      <c r="AT268" s="46"/>
      <c r="AU268" s="46"/>
      <c r="AV268" s="46"/>
      <c r="AW268" s="46"/>
      <c r="AX268" s="46"/>
      <c r="AY268" s="46"/>
      <c r="AZ268" s="563"/>
      <c r="BA268" s="604" t="e">
        <f>VLOOKUP(AZ268,#REF!,2, FALSE)</f>
        <v>#REF!</v>
      </c>
      <c r="BB268" s="605" t="e">
        <f>VLOOKUP(AZ268,'1) Kpler'!$E$2:$F$500,2,FALSE)</f>
        <v>#N/A</v>
      </c>
      <c r="BC268" s="569"/>
      <c r="BD268" s="563"/>
      <c r="BE268" s="46"/>
      <c r="BF268" s="46"/>
      <c r="BG268" s="563"/>
      <c r="BH268" s="563"/>
      <c r="BI268" s="563"/>
      <c r="BJ268" s="563"/>
    </row>
    <row r="269" spans="2:62" x14ac:dyDescent="0.25">
      <c r="B269" s="589" t="str">
        <f>VLOOKUP(F269,'2) Tracker'!$A$3:$O$411,5,FALSE)</f>
        <v>C</v>
      </c>
      <c r="C269" s="589">
        <f>VLOOKUP(F269,'2) Tracker'!$A$3:$O$411,4,FALSE)</f>
        <v>0</v>
      </c>
      <c r="D269" s="563"/>
      <c r="E269" s="563">
        <f>VLOOKUP(F269,'2) Tracker'!$A$3:$O$407,15,FALSE)</f>
        <v>0</v>
      </c>
      <c r="F269" s="604" t="s">
        <v>526</v>
      </c>
      <c r="G269" s="607">
        <f>VLOOKUP(F269,'2) Tracker'!$A$2:$BO$361,2,FALSE)</f>
        <v>42538</v>
      </c>
      <c r="H269" s="592">
        <f>VLOOKUP(F269,'2) Tracker'!$A$2:$BO$361,3,FALSE)</f>
        <v>84000</v>
      </c>
      <c r="I269" s="600" t="str">
        <f>VLOOKUP(F269,'2) Tracker'!$A$2:$BO$361,9,FALSE)</f>
        <v>OE</v>
      </c>
      <c r="J269" s="594" t="str">
        <f>VLOOKUP(F269,'2) Tracker'!$A$2:$BO$361,12,FALSE)</f>
        <v>Singapore laden</v>
      </c>
      <c r="K269" s="596">
        <f t="shared" si="305"/>
        <v>46195</v>
      </c>
      <c r="L269" s="596">
        <f t="shared" ref="L269:O269" si="421">AE269</f>
        <v>46196</v>
      </c>
      <c r="M269" s="596" t="str">
        <f t="shared" si="421"/>
        <v/>
      </c>
      <c r="N269" s="596">
        <f t="shared" si="421"/>
        <v>46172</v>
      </c>
      <c r="O269" s="597" t="str">
        <f t="shared" si="421"/>
        <v/>
      </c>
      <c r="P269" s="598" t="str">
        <f>IFERROR(IF(VLOOKUP(F269,'Voyage days'!$M$808:$N$819,2,FALSE),"GOA",""),"")</f>
        <v/>
      </c>
      <c r="Q269" s="596">
        <f t="shared" si="287"/>
        <v>46177</v>
      </c>
      <c r="R269" s="596">
        <f t="shared" si="289"/>
        <v>46200</v>
      </c>
      <c r="S269" s="595">
        <f t="shared" si="409"/>
        <v>46190</v>
      </c>
      <c r="T269" s="596">
        <f t="shared" si="410"/>
        <v>46182</v>
      </c>
      <c r="U269" s="596">
        <f t="shared" si="290"/>
        <v>46165</v>
      </c>
      <c r="V269" s="596"/>
      <c r="W269" s="596">
        <f t="shared" si="291"/>
        <v>46167</v>
      </c>
      <c r="X269" s="599" t="str">
        <f t="shared" si="411"/>
        <v/>
      </c>
      <c r="Y269" s="594"/>
      <c r="Z269" s="600" t="str">
        <f>VLOOKUP(F269,'2) Tracker'!$A$3:$Q$505,16,FALSE)</f>
        <v>via Cape, ETA Singapore 15 May</v>
      </c>
      <c r="AA269" s="600" t="str">
        <f>VLOOKUP(F269,'2) Tracker'!$A$3:$R$505,18,FALSE)</f>
        <v>OE 03 Apr Enterprise</v>
      </c>
      <c r="AB269" s="600">
        <f>VLOOKUP(F269,'2) Tracker'!$A$3:$Q$505,17,FALSE)</f>
        <v>0</v>
      </c>
      <c r="AC269" s="601"/>
      <c r="AD269" s="601">
        <f>VLOOKUP(F269,'2) Tracker'!$A$2:$BO$981,37,FALSE)</f>
        <v>46195</v>
      </c>
      <c r="AE269" s="601">
        <f>VLOOKUP(F269,'2) Tracker'!$A$2:$BO$981,40,FALSE)</f>
        <v>46196</v>
      </c>
      <c r="AF269" s="601" t="str">
        <f>VLOOKUP(F269,'2) Tracker'!$A$2:$BO$981,67,FALSE)</f>
        <v/>
      </c>
      <c r="AG269" s="601">
        <f>VLOOKUP(F269,'2) Tracker'!$A$2:$BO$981,34,FALSE)</f>
        <v>46172</v>
      </c>
      <c r="AH269" s="601" t="str">
        <f>VLOOKUP(F269,'2) Tracker'!$A$2:$BN$981,66,FALSE)</f>
        <v/>
      </c>
      <c r="AI269" s="601">
        <f>VLOOKUP(F269,'2) Tracker'!$A$2:$BO$981,56,FALSE)</f>
        <v>46165</v>
      </c>
      <c r="AJ269" s="601">
        <f>VLOOKUP(F269,'2) Tracker'!$A$2:$BO$981,52,FALSE)</f>
        <v>46167</v>
      </c>
      <c r="AK269" s="601">
        <f>VLOOKUP(F269,'2) Tracker'!$A$2:$AQ$981,43,FALSE)</f>
        <v>46182</v>
      </c>
      <c r="AL269" s="601">
        <f>VLOOKUP(F269,'2) Tracker'!$A$2:$BH$981,46,FALSE())</f>
        <v>46190</v>
      </c>
      <c r="AM269" s="601">
        <f>VLOOKUP(F269,'2) Tracker'!$A$2:$BO$981,65,FALSE())</f>
        <v>46177</v>
      </c>
      <c r="AN269" s="601">
        <f>VLOOKUP(F269,'2) Tracker'!$A$2:$BK$981,63,FALSE())</f>
        <v>46200</v>
      </c>
      <c r="AO269" s="601" t="str">
        <f>VLOOKUP(F269,'2) Tracker'!$A$2:$BF$981,58,FALSE())</f>
        <v/>
      </c>
      <c r="AP269" s="46"/>
      <c r="AQ269" s="46"/>
      <c r="AR269" s="46"/>
      <c r="AS269" s="46"/>
      <c r="AT269" s="46"/>
      <c r="AU269" s="46"/>
      <c r="AV269" s="46"/>
      <c r="AW269" s="46"/>
      <c r="AX269" s="46"/>
      <c r="AY269" s="46"/>
      <c r="AZ269" s="563"/>
      <c r="BA269" s="569"/>
      <c r="BB269" s="563"/>
      <c r="BC269" s="569"/>
      <c r="BD269" s="563"/>
      <c r="BE269" s="46"/>
      <c r="BF269" s="46"/>
      <c r="BG269" s="563"/>
      <c r="BH269" s="563"/>
      <c r="BI269" s="563"/>
      <c r="BJ269" s="563"/>
    </row>
    <row r="270" spans="2:62" x14ac:dyDescent="0.25">
      <c r="B270" s="589">
        <f>VLOOKUP(F270,'2) Tracker'!$A$3:$O$411,5,FALSE)</f>
        <v>0</v>
      </c>
      <c r="C270" s="589">
        <f>VLOOKUP(F270,'2) Tracker'!$A$3:$O$411,4,FALSE)</f>
        <v>0</v>
      </c>
      <c r="D270" s="563" t="s">
        <v>1569</v>
      </c>
      <c r="E270" s="563">
        <f>VLOOKUP(F270,'2) Tracker'!$A$3:$O$407,15,FALSE)</f>
        <v>0</v>
      </c>
      <c r="F270" s="625" t="s">
        <v>356</v>
      </c>
      <c r="G270" s="591">
        <f>VLOOKUP(F270,'2) Tracker'!$A$2:$BO$361,2,FALSE)</f>
        <v>2021</v>
      </c>
      <c r="H270" s="592">
        <f>VLOOKUP(F270,'2) Tracker'!$A$2:$BO$361,3,FALSE)</f>
        <v>84000</v>
      </c>
      <c r="I270" s="600" t="str">
        <f>VLOOKUP(F270,'2) Tracker'!$A$2:$BO$361,9,FALSE)</f>
        <v>Eneos</v>
      </c>
      <c r="J270" s="594" t="str">
        <f>VLOOKUP(F270,'2) Tracker'!$A$2:$BO$361,12,FALSE)</f>
        <v>Far East</v>
      </c>
      <c r="K270" s="596">
        <f t="shared" si="305"/>
        <v>46195</v>
      </c>
      <c r="L270" s="596">
        <f t="shared" ref="L270:O270" si="422">AE270</f>
        <v>46203</v>
      </c>
      <c r="M270" s="596" t="str">
        <f t="shared" si="422"/>
        <v/>
      </c>
      <c r="N270" s="596">
        <f t="shared" si="422"/>
        <v>46183</v>
      </c>
      <c r="O270" s="597" t="str">
        <f t="shared" si="422"/>
        <v/>
      </c>
      <c r="P270" s="598" t="str">
        <f>IFERROR(IF(VLOOKUP(F270,'Voyage days'!$M$808:$N$819,2,FALSE),"GOA",""),"")</f>
        <v/>
      </c>
      <c r="Q270" s="596">
        <f t="shared" si="287"/>
        <v>46189</v>
      </c>
      <c r="R270" s="596">
        <f t="shared" si="289"/>
        <v>46211</v>
      </c>
      <c r="S270" s="595">
        <f t="shared" si="409"/>
        <v>46201</v>
      </c>
      <c r="T270" s="596">
        <f t="shared" si="410"/>
        <v>46195</v>
      </c>
      <c r="U270" s="596">
        <f t="shared" si="290"/>
        <v>46177</v>
      </c>
      <c r="V270" s="596"/>
      <c r="W270" s="596">
        <f t="shared" si="291"/>
        <v>46173.25</v>
      </c>
      <c r="X270" s="599">
        <f t="shared" si="411"/>
        <v>46176</v>
      </c>
      <c r="Y270" s="594"/>
      <c r="Z270" s="600" t="str">
        <f>VLOOKUP(F270,'2) Tracker'!$A$3:$Q$505,16,FALSE)</f>
        <v>pending disport</v>
      </c>
      <c r="AA270" s="600" t="str">
        <f>VLOOKUP(F270,'2) Tracker'!$A$3:$R$505,18,FALSE)</f>
        <v>Eneos 14-15 Apr Nederland</v>
      </c>
      <c r="AB270" s="600">
        <f>VLOOKUP(F270,'2) Tracker'!$A$3:$Q$505,17,FALSE)</f>
        <v>0</v>
      </c>
      <c r="AC270" s="601"/>
      <c r="AD270" s="601">
        <f>VLOOKUP(F270,'2) Tracker'!$A$2:$BO$981,37,FALSE)</f>
        <v>46195</v>
      </c>
      <c r="AE270" s="601">
        <f>VLOOKUP(F270,'2) Tracker'!$A$2:$BO$981,40,FALSE)</f>
        <v>46203</v>
      </c>
      <c r="AF270" s="601" t="str">
        <f>VLOOKUP(F270,'2) Tracker'!$A$2:$BO$981,67,FALSE)</f>
        <v/>
      </c>
      <c r="AG270" s="601">
        <f>VLOOKUP(F270,'2) Tracker'!$A$2:$BO$981,34,FALSE)</f>
        <v>46183</v>
      </c>
      <c r="AH270" s="601" t="str">
        <f>VLOOKUP(F270,'2) Tracker'!$A$2:$BN$981,66,FALSE)</f>
        <v/>
      </c>
      <c r="AI270" s="601">
        <f>VLOOKUP(F270,'2) Tracker'!$A$2:$BO$981,56,FALSE)</f>
        <v>46177</v>
      </c>
      <c r="AJ270" s="601">
        <f>VLOOKUP(F270,'2) Tracker'!$A$2:$BO$981,52,FALSE)</f>
        <v>46173.25</v>
      </c>
      <c r="AK270" s="601">
        <f>VLOOKUP(F270,'2) Tracker'!$A$2:$AQ$981,43,FALSE)</f>
        <v>46195</v>
      </c>
      <c r="AL270" s="601">
        <f>VLOOKUP(F270,'2) Tracker'!$A$2:$BH$981,46,FALSE())</f>
        <v>46201</v>
      </c>
      <c r="AM270" s="601">
        <f>VLOOKUP(F270,'2) Tracker'!$A$2:$BO$981,65,FALSE())</f>
        <v>46189</v>
      </c>
      <c r="AN270" s="601">
        <f>VLOOKUP(F270,'2) Tracker'!$A$2:$BK$981,63,FALSE())</f>
        <v>46211</v>
      </c>
      <c r="AO270" s="601">
        <f>VLOOKUP(F270,'2) Tracker'!$A$2:$BF$981,58,FALSE())</f>
        <v>46176</v>
      </c>
      <c r="AP270" s="46"/>
      <c r="AQ270" s="46"/>
      <c r="AR270" s="46"/>
      <c r="AS270" s="46"/>
      <c r="AT270" s="46"/>
      <c r="AU270" s="46"/>
      <c r="AV270" s="46"/>
      <c r="AW270" s="46"/>
      <c r="AX270" s="46"/>
      <c r="AY270" s="46"/>
      <c r="AZ270" s="563"/>
      <c r="BA270" s="604" t="e">
        <f>VLOOKUP(AZ270,#REF!,2, FALSE)</f>
        <v>#REF!</v>
      </c>
      <c r="BB270" s="605" t="e">
        <f>VLOOKUP(AZ270,'1) Kpler'!$E$2:$F$500,2,FALSE)</f>
        <v>#N/A</v>
      </c>
      <c r="BC270" s="569"/>
      <c r="BD270" s="563"/>
      <c r="BE270" s="46"/>
      <c r="BF270" s="46"/>
      <c r="BG270" s="563"/>
      <c r="BH270" s="563"/>
      <c r="BI270" s="563"/>
      <c r="BJ270" s="563"/>
    </row>
    <row r="271" spans="2:62" x14ac:dyDescent="0.25">
      <c r="B271" s="589">
        <f>VLOOKUP(F271,'2) Tracker'!$A$3:$O$411,5,FALSE)</f>
        <v>0</v>
      </c>
      <c r="C271" s="589">
        <f>VLOOKUP(F271,'2) Tracker'!$A$3:$O$411,4,FALSE)</f>
        <v>0</v>
      </c>
      <c r="D271" s="563"/>
      <c r="E271" s="563">
        <f>VLOOKUP(F271,'2) Tracker'!$A$3:$O$407,15,FALSE)</f>
        <v>0</v>
      </c>
      <c r="F271" s="604" t="s">
        <v>263</v>
      </c>
      <c r="G271" s="607">
        <f>VLOOKUP(F271,'2) Tracker'!$A$2:$BO$361,2,FALSE)</f>
        <v>41527</v>
      </c>
      <c r="H271" s="592">
        <f>VLOOKUP(F271,'2) Tracker'!$A$2:$BO$361,3,FALSE)</f>
        <v>82000</v>
      </c>
      <c r="I271" s="600" t="str">
        <f>VLOOKUP(F271,'2) Tracker'!$A$2:$BO$361,9,FALSE)</f>
        <v>SK Gas</v>
      </c>
      <c r="J271" s="594" t="str">
        <f>VLOOKUP(F271,'2) Tracker'!$A$2:$BO$361,12,FALSE)</f>
        <v>Korea</v>
      </c>
      <c r="K271" s="596">
        <f t="shared" si="305"/>
        <v>46196</v>
      </c>
      <c r="L271" s="596">
        <f t="shared" ref="L271:O271" si="423">AE271</f>
        <v>46204</v>
      </c>
      <c r="M271" s="596" t="str">
        <f t="shared" si="423"/>
        <v/>
      </c>
      <c r="N271" s="596">
        <f t="shared" si="423"/>
        <v>46181</v>
      </c>
      <c r="O271" s="597" t="str">
        <f t="shared" si="423"/>
        <v/>
      </c>
      <c r="P271" s="598" t="str">
        <f>IFERROR(IF(VLOOKUP(F271,'Voyage days'!$M$808:$N$819,2,FALSE),"GOA",""),"")</f>
        <v/>
      </c>
      <c r="Q271" s="596">
        <f t="shared" si="287"/>
        <v>46183</v>
      </c>
      <c r="R271" s="596">
        <f t="shared" si="289"/>
        <v>46208</v>
      </c>
      <c r="S271" s="595">
        <f t="shared" si="409"/>
        <v>46198</v>
      </c>
      <c r="T271" s="596">
        <f t="shared" si="410"/>
        <v>46192</v>
      </c>
      <c r="U271" s="596">
        <f t="shared" si="290"/>
        <v>46171</v>
      </c>
      <c r="V271" s="570" t="s">
        <v>1577</v>
      </c>
      <c r="W271" s="596">
        <f t="shared" si="291"/>
        <v>46171</v>
      </c>
      <c r="X271" s="599">
        <f t="shared" si="411"/>
        <v>46174</v>
      </c>
      <c r="Y271" s="594"/>
      <c r="Z271" s="600" t="str">
        <f>VLOOKUP(F271,'2) Tracker'!$A$3:$Q$505,16,FALSE)</f>
        <v>ETA Ulsan 21 May</v>
      </c>
      <c r="AA271" s="600" t="str">
        <f>VLOOKUP(F271,'2) Tracker'!$A$3:$R$505,18,FALSE)</f>
        <v>SK Gas 06-07 Apr Enterprise</v>
      </c>
      <c r="AB271" s="600">
        <f>VLOOKUP(F271,'2) Tracker'!$A$3:$Q$505,17,FALSE)</f>
        <v>0</v>
      </c>
      <c r="AC271" s="601"/>
      <c r="AD271" s="601">
        <f>VLOOKUP(F271,'2) Tracker'!$A$2:$BO$981,37,FALSE)</f>
        <v>46196</v>
      </c>
      <c r="AE271" s="601">
        <f>VLOOKUP(F271,'2) Tracker'!$A$2:$BO$981,40,FALSE)</f>
        <v>46204</v>
      </c>
      <c r="AF271" s="601" t="str">
        <f>VLOOKUP(F271,'2) Tracker'!$A$2:$BO$981,67,FALSE)</f>
        <v/>
      </c>
      <c r="AG271" s="601">
        <f>VLOOKUP(F271,'2) Tracker'!$A$2:$BO$981,34,FALSE)</f>
        <v>46181</v>
      </c>
      <c r="AH271" s="601" t="str">
        <f>VLOOKUP(F271,'2) Tracker'!$A$2:$BN$981,66,FALSE)</f>
        <v/>
      </c>
      <c r="AI271" s="620">
        <f>VLOOKUP(F271,'2) Tracker'!$A$2:$BO$981,56,FALSE)</f>
        <v>46171</v>
      </c>
      <c r="AJ271" s="601">
        <f>VLOOKUP(F271,'2) Tracker'!$A$2:$BO$981,52,FALSE)</f>
        <v>46171</v>
      </c>
      <c r="AK271" s="601">
        <f>VLOOKUP(F271,'2) Tracker'!$A$2:$AQ$981,43,FALSE)</f>
        <v>46192</v>
      </c>
      <c r="AL271" s="601">
        <f>VLOOKUP(F271,'2) Tracker'!$A$2:$BH$981,46,FALSE())</f>
        <v>46198</v>
      </c>
      <c r="AM271" s="601">
        <f>VLOOKUP(F271,'2) Tracker'!$A$2:$BO$981,65,FALSE())</f>
        <v>46183</v>
      </c>
      <c r="AN271" s="601">
        <f>VLOOKUP(F271,'2) Tracker'!$A$2:$BK$981,63,FALSE())</f>
        <v>46208</v>
      </c>
      <c r="AO271" s="601">
        <f>VLOOKUP(F271,'2) Tracker'!$A$2:$BF$981,58,FALSE())</f>
        <v>46174</v>
      </c>
      <c r="AP271" s="46"/>
      <c r="AQ271" s="46"/>
      <c r="AR271" s="627"/>
      <c r="AS271" s="627"/>
      <c r="AT271" s="627"/>
      <c r="AU271" s="627"/>
      <c r="AV271" s="627" t="s">
        <v>1638</v>
      </c>
      <c r="AW271" s="627"/>
      <c r="AX271" s="46" t="s">
        <v>24</v>
      </c>
      <c r="AY271" s="46">
        <f>COUNTA(F268:F769)</f>
        <v>85</v>
      </c>
      <c r="AZ271" s="605" t="s">
        <v>1639</v>
      </c>
      <c r="BA271" s="604"/>
      <c r="BB271" s="604"/>
      <c r="BC271" s="604"/>
      <c r="BD271" s="605"/>
      <c r="BE271" s="627"/>
      <c r="BF271" s="627" t="s">
        <v>1054</v>
      </c>
      <c r="BG271" s="618" t="s">
        <v>1216</v>
      </c>
      <c r="BH271" s="604" t="s">
        <v>1640</v>
      </c>
      <c r="BI271" s="605"/>
      <c r="BJ271" s="605"/>
    </row>
    <row r="272" spans="2:62" x14ac:dyDescent="0.25">
      <c r="B272" s="589" t="str">
        <f>VLOOKUP(F272,'2) Tracker'!$A$3:$O$411,5,FALSE)</f>
        <v>C</v>
      </c>
      <c r="C272" s="589">
        <f>VLOOKUP(F272,'2) Tracker'!$A$3:$O$411,4,FALSE)</f>
        <v>0</v>
      </c>
      <c r="D272" s="563" t="s">
        <v>0</v>
      </c>
      <c r="E272" s="563">
        <f>VLOOKUP(F272,'2) Tracker'!$A$3:$O$407,15,FALSE)</f>
        <v>0</v>
      </c>
      <c r="F272" s="604" t="s">
        <v>335</v>
      </c>
      <c r="G272" s="591">
        <f>VLOOKUP(F272,'2) Tracker'!$A$2:$BO$361,2,FALSE)</f>
        <v>2024</v>
      </c>
      <c r="H272" s="592">
        <f>VLOOKUP(F272,'2) Tracker'!$A$2:$BO$361,3,FALSE)</f>
        <v>93000</v>
      </c>
      <c r="I272" s="600" t="str">
        <f>VLOOKUP(F272,'2) Tracker'!$A$2:$BO$361,9,FALSE)</f>
        <v>Sinogas</v>
      </c>
      <c r="J272" s="594" t="str">
        <f>VLOOKUP(F272,'2) Tracker'!$A$2:$BO$361,12,FALSE)</f>
        <v>Vietnam</v>
      </c>
      <c r="K272" s="596">
        <f t="shared" si="305"/>
        <v>46196</v>
      </c>
      <c r="L272" s="596">
        <f t="shared" ref="L272:O272" si="424">AE272</f>
        <v>46199</v>
      </c>
      <c r="M272" s="596" t="str">
        <f t="shared" si="424"/>
        <v/>
      </c>
      <c r="N272" s="596">
        <f t="shared" si="424"/>
        <v>46173</v>
      </c>
      <c r="O272" s="597" t="str">
        <f t="shared" si="424"/>
        <v/>
      </c>
      <c r="P272" s="622" t="str">
        <f>IFERROR(IF(VLOOKUP(F272,'Voyage days'!$M$808:$N$828,2,FALSE),"GOA",""),"")</f>
        <v>GOA</v>
      </c>
      <c r="Q272" s="623">
        <f t="shared" si="287"/>
        <v>46175</v>
      </c>
      <c r="R272" s="595">
        <f t="shared" si="289"/>
        <v>46200</v>
      </c>
      <c r="S272" s="595">
        <f t="shared" si="409"/>
        <v>46190</v>
      </c>
      <c r="T272" s="596">
        <f t="shared" si="410"/>
        <v>46184</v>
      </c>
      <c r="U272" s="595">
        <f t="shared" si="290"/>
        <v>46163</v>
      </c>
      <c r="V272" s="596"/>
      <c r="W272" s="596">
        <f t="shared" si="291"/>
        <v>46166.25</v>
      </c>
      <c r="X272" s="599" t="str">
        <f t="shared" si="411"/>
        <v/>
      </c>
      <c r="Y272" s="594"/>
      <c r="Z272" s="600" t="str">
        <f>VLOOKUP(F272,'2) Tracker'!$A$3:$Q$505,16,FALSE)</f>
        <v>ETA Vung Tau 16 May</v>
      </c>
      <c r="AA272" s="600" t="str">
        <f>VLOOKUP(F272,'2) Tracker'!$A$3:$R$505,18,FALSE)</f>
        <v>BWPS 01-02 Apr Enterprise</v>
      </c>
      <c r="AB272" s="600">
        <f>VLOOKUP(F272,'2) Tracker'!$A$3:$Q$505,17,FALSE)</f>
        <v>0</v>
      </c>
      <c r="AC272" s="601"/>
      <c r="AD272" s="601">
        <f>VLOOKUP(F272,'2) Tracker'!$A$2:$BO$981,37,FALSE)</f>
        <v>46196</v>
      </c>
      <c r="AE272" s="601">
        <f>VLOOKUP(F272,'2) Tracker'!$A$2:$BO$981,40,FALSE)</f>
        <v>46199</v>
      </c>
      <c r="AF272" s="601" t="str">
        <f>VLOOKUP(F272,'2) Tracker'!$A$2:$BO$981,67,FALSE)</f>
        <v/>
      </c>
      <c r="AG272" s="601">
        <f>VLOOKUP(F272,'2) Tracker'!$A$2:$BO$981,34,FALSE)</f>
        <v>46173</v>
      </c>
      <c r="AH272" s="601" t="str">
        <f>VLOOKUP(F272,'2) Tracker'!$A$2:$BN$981,66,FALSE)</f>
        <v/>
      </c>
      <c r="AI272" s="601">
        <f>VLOOKUP(F272,'2) Tracker'!$A$2:$BO$981,56,FALSE)</f>
        <v>46163</v>
      </c>
      <c r="AJ272" s="601">
        <f>VLOOKUP(F272,'2) Tracker'!$A$2:$BO$981,52,FALSE)</f>
        <v>46166.25</v>
      </c>
      <c r="AK272" s="601">
        <f>VLOOKUP(F272,'2) Tracker'!$A$2:$AQ$981,43,FALSE)</f>
        <v>46184</v>
      </c>
      <c r="AL272" s="601">
        <f>VLOOKUP(F272,'2) Tracker'!$A$2:$BH$981,46,FALSE())</f>
        <v>46190</v>
      </c>
      <c r="AM272" s="601">
        <f>VLOOKUP(F272,'2) Tracker'!$A$2:$BO$981,65,FALSE())</f>
        <v>46175</v>
      </c>
      <c r="AN272" s="601">
        <f>VLOOKUP(F272,'2) Tracker'!$A$2:$BK$981,63,FALSE())</f>
        <v>46200</v>
      </c>
      <c r="AO272" s="601" t="str">
        <f>VLOOKUP(F272,'2) Tracker'!$A$2:$BF$981,58,FALSE())</f>
        <v/>
      </c>
      <c r="AP272" s="46"/>
      <c r="AQ272" s="46"/>
      <c r="AR272" s="46"/>
      <c r="AS272" s="46"/>
      <c r="AT272" s="46"/>
      <c r="AU272" s="46"/>
      <c r="AV272" s="46"/>
      <c r="AW272" s="46"/>
      <c r="AX272" s="46"/>
      <c r="AY272" s="46"/>
      <c r="AZ272" s="563"/>
      <c r="BA272" s="604" t="e">
        <f>VLOOKUP(AZ272,#REF!,2, FALSE)</f>
        <v>#REF!</v>
      </c>
      <c r="BB272" s="605" t="e">
        <f>VLOOKUP(AZ272,'1) Kpler'!$E$2:$F$500,2,FALSE)</f>
        <v>#N/A</v>
      </c>
      <c r="BC272" s="569"/>
      <c r="BD272" s="563"/>
      <c r="BE272" s="46"/>
      <c r="BF272" s="46"/>
      <c r="BG272" s="563"/>
      <c r="BH272" s="563"/>
      <c r="BI272" s="563"/>
      <c r="BJ272" s="563"/>
    </row>
    <row r="273" spans="2:62" x14ac:dyDescent="0.25">
      <c r="B273" s="589">
        <f>VLOOKUP(F273,'2) Tracker'!$A$3:$O$411,5,FALSE)</f>
        <v>0</v>
      </c>
      <c r="C273" s="589">
        <f>VLOOKUP(F273,'2) Tracker'!$A$3:$O$411,4,FALSE)</f>
        <v>0</v>
      </c>
      <c r="D273" s="563"/>
      <c r="E273" s="563">
        <f>VLOOKUP(F273,'2) Tracker'!$A$3:$O$407,15,FALSE)</f>
        <v>0</v>
      </c>
      <c r="F273" s="608" t="s">
        <v>247</v>
      </c>
      <c r="G273" s="591">
        <f>VLOOKUP(F273,'2) Tracker'!$A$2:$BO$361,2,FALSE)</f>
        <v>2021</v>
      </c>
      <c r="H273" s="592">
        <f>VLOOKUP(F273,'2) Tracker'!$A$2:$BO$361,3,FALSE)</f>
        <v>86000</v>
      </c>
      <c r="I273" s="593" t="str">
        <f>VLOOKUP(F273,'2) Tracker'!$A$2:$BO$361,9,FALSE)</f>
        <v>Equinor</v>
      </c>
      <c r="J273" s="594" t="str">
        <f>VLOOKUP(F273,'2) Tracker'!$A$2:$BO$361,12,FALSE)</f>
        <v>Port Louis laden</v>
      </c>
      <c r="K273" s="596">
        <f t="shared" si="305"/>
        <v>46196</v>
      </c>
      <c r="L273" s="596">
        <f t="shared" ref="L273:O273" si="425">AE273</f>
        <v>46204</v>
      </c>
      <c r="M273" s="596" t="str">
        <f t="shared" si="425"/>
        <v/>
      </c>
      <c r="N273" s="596">
        <f t="shared" si="425"/>
        <v>46176</v>
      </c>
      <c r="O273" s="597" t="str">
        <f t="shared" si="425"/>
        <v/>
      </c>
      <c r="P273" s="598" t="str">
        <f>IFERROR(IF(VLOOKUP(F273,'Voyage days'!$M$808:$N$819,2,FALSE),"GOA",""),"")</f>
        <v/>
      </c>
      <c r="Q273" s="596">
        <f t="shared" si="287"/>
        <v>46151</v>
      </c>
      <c r="R273" s="596">
        <f t="shared" si="289"/>
        <v>46203</v>
      </c>
      <c r="S273" s="595">
        <f t="shared" si="409"/>
        <v>46195</v>
      </c>
      <c r="T273" s="596">
        <f t="shared" si="410"/>
        <v>46187</v>
      </c>
      <c r="U273" s="596">
        <f t="shared" si="290"/>
        <v>46168</v>
      </c>
      <c r="V273" s="596"/>
      <c r="W273" s="596">
        <f t="shared" si="291"/>
        <v>46170</v>
      </c>
      <c r="X273" s="599" t="str">
        <f t="shared" si="411"/>
        <v/>
      </c>
      <c r="Y273" s="594"/>
      <c r="Z273" s="600" t="str">
        <f>VLOOKUP(F273,'2) Tracker'!$A$3:$Q$505,16,FALSE)</f>
        <v>ETA Cristobal 14 Apr</v>
      </c>
      <c r="AA273" s="600" t="str">
        <f>VLOOKUP(F273,'2) Tracker'!$A$3:$R$505,18,FALSE)</f>
        <v>Equinor 07-08 Apr Targa</v>
      </c>
      <c r="AB273" s="600">
        <f>VLOOKUP(F273,'2) Tracker'!$A$3:$Q$505,17,FALSE)</f>
        <v>0</v>
      </c>
      <c r="AC273" s="601"/>
      <c r="AD273" s="601">
        <f>VLOOKUP(F273,'2) Tracker'!$A$2:$BO$981,37,FALSE)</f>
        <v>46196</v>
      </c>
      <c r="AE273" s="601">
        <f>VLOOKUP(F273,'2) Tracker'!$A$2:$BO$981,40,FALSE)</f>
        <v>46204</v>
      </c>
      <c r="AF273" s="601" t="str">
        <f>VLOOKUP(F273,'2) Tracker'!$A$2:$BO$981,67,FALSE)</f>
        <v/>
      </c>
      <c r="AG273" s="601">
        <f>VLOOKUP(F273,'2) Tracker'!$A$2:$BO$981,34,FALSE)</f>
        <v>46176</v>
      </c>
      <c r="AH273" s="601" t="str">
        <f>VLOOKUP(F273,'2) Tracker'!$A$2:$BN$981,66,FALSE)</f>
        <v/>
      </c>
      <c r="AI273" s="601">
        <f>VLOOKUP(F273,'2) Tracker'!$A$2:$BO$981,56,FALSE)</f>
        <v>46168</v>
      </c>
      <c r="AJ273" s="601">
        <f>VLOOKUP(F273,'2) Tracker'!$A$2:$BO$981,52,FALSE)</f>
        <v>46170</v>
      </c>
      <c r="AK273" s="601">
        <f>VLOOKUP(F273,'2) Tracker'!$A$2:$AQ$981,43,FALSE)</f>
        <v>46187</v>
      </c>
      <c r="AL273" s="601">
        <f>VLOOKUP(F273,'2) Tracker'!$A$2:$BH$981,46,FALSE())</f>
        <v>46195</v>
      </c>
      <c r="AM273" s="601">
        <f>VLOOKUP(F273,'2) Tracker'!$A$2:$BO$981,65,FALSE())</f>
        <v>46151</v>
      </c>
      <c r="AN273" s="601">
        <f>VLOOKUP(F273,'2) Tracker'!$A$2:$BK$981,63,FALSE())</f>
        <v>46203</v>
      </c>
      <c r="AO273" s="601" t="str">
        <f>VLOOKUP(F273,'2) Tracker'!$A$2:$BF$981,58,FALSE())</f>
        <v/>
      </c>
      <c r="AP273" s="46"/>
      <c r="AQ273" s="46"/>
      <c r="AR273" s="46"/>
      <c r="AS273" s="46"/>
      <c r="AT273" s="46"/>
      <c r="AU273" s="46"/>
      <c r="AV273" s="46"/>
      <c r="AW273" s="46"/>
      <c r="AX273" s="46"/>
      <c r="AY273" s="46"/>
      <c r="AZ273" s="563"/>
      <c r="BA273" s="604" t="e">
        <f>VLOOKUP(AZ273,#REF!,2, FALSE)</f>
        <v>#REF!</v>
      </c>
      <c r="BB273" s="605" t="e">
        <f>VLOOKUP(AZ273,'1) Kpler'!$E$2:$F$500,2,FALSE)</f>
        <v>#N/A</v>
      </c>
      <c r="BC273" s="569"/>
      <c r="BD273" s="563"/>
      <c r="BE273" s="46"/>
      <c r="BF273" s="46"/>
      <c r="BG273" s="563"/>
      <c r="BH273" s="563"/>
      <c r="BI273" s="563"/>
      <c r="BJ273" s="563"/>
    </row>
    <row r="274" spans="2:62" x14ac:dyDescent="0.25">
      <c r="B274" s="589">
        <f>VLOOKUP(F274,'2) Tracker'!$A$3:$O$411,5,FALSE)</f>
        <v>0</v>
      </c>
      <c r="C274" s="589"/>
      <c r="D274" s="563"/>
      <c r="E274" s="563" t="str">
        <f>VLOOKUP(F274,'2) Tracker'!$A$3:$O$407,15,FALSE)</f>
        <v>R?</v>
      </c>
      <c r="F274" s="604" t="s">
        <v>398</v>
      </c>
      <c r="G274" s="591">
        <f>VLOOKUP(F274,'2) Tracker'!$A$2:$BO$361,2,FALSE)</f>
        <v>2023</v>
      </c>
      <c r="H274" s="592">
        <f>VLOOKUP(F274,'2) Tracker'!$A$2:$BO$361,3,FALSE)</f>
        <v>93000</v>
      </c>
      <c r="I274" s="600" t="str">
        <f>VLOOKUP(F274,'2) Tracker'!$A$2:$BO$361,9,FALSE)</f>
        <v>Petredec</v>
      </c>
      <c r="J274" s="594" t="str">
        <f>VLOOKUP(F274,'2) Tracker'!$A$2:$BO$361,12,FALSE)</f>
        <v>WCI</v>
      </c>
      <c r="K274" s="596">
        <f t="shared" si="305"/>
        <v>46196</v>
      </c>
      <c r="L274" s="596">
        <f t="shared" ref="L274:O274" si="426">AE274</f>
        <v>46206</v>
      </c>
      <c r="M274" s="596" t="str">
        <f t="shared" si="426"/>
        <v/>
      </c>
      <c r="N274" s="596">
        <f t="shared" si="426"/>
        <v>46182</v>
      </c>
      <c r="O274" s="597" t="str">
        <f t="shared" si="426"/>
        <v/>
      </c>
      <c r="P274" s="598" t="str">
        <f>IFERROR(IF(VLOOKUP(F274,'Voyage days'!$M$808:$N$819,2,FALSE),"GOA",""),"")</f>
        <v/>
      </c>
      <c r="Q274" s="596">
        <f t="shared" si="287"/>
        <v>46185</v>
      </c>
      <c r="R274" s="596">
        <f t="shared" si="289"/>
        <v>46210</v>
      </c>
      <c r="S274" s="595">
        <f t="shared" si="409"/>
        <v>46199</v>
      </c>
      <c r="T274" s="596">
        <f t="shared" si="410"/>
        <v>46193</v>
      </c>
      <c r="U274" s="596">
        <f t="shared" si="290"/>
        <v>46172</v>
      </c>
      <c r="V274" s="596"/>
      <c r="W274" s="596">
        <f t="shared" si="291"/>
        <v>46173</v>
      </c>
      <c r="X274" s="599">
        <f t="shared" si="411"/>
        <v>46177</v>
      </c>
      <c r="Y274" s="650"/>
      <c r="Z274" s="600" t="str">
        <f>VLOOKUP(F274,'2) Tracker'!$A$3:$Q$505,16,FALSE)</f>
        <v>ETA 2nd port Haldia 19 Apr, ETA 28-29 May - sub disport</v>
      </c>
      <c r="AA274" s="600" t="str">
        <f>VLOOKUP(F274,'2) Tracker'!$A$3:$R$505,18,FALSE)</f>
        <v>Petredec 03 Mar Targa</v>
      </c>
      <c r="AB274" s="600">
        <f>VLOOKUP(F274,'2) Tracker'!$A$3:$Q$505,17,FALSE)</f>
        <v>0</v>
      </c>
      <c r="AC274" s="569"/>
      <c r="AD274" s="601">
        <f>'2) Tracker'!AK259</f>
        <v>46196</v>
      </c>
      <c r="AE274" s="601">
        <f>'2) Tracker'!AN259</f>
        <v>46206</v>
      </c>
      <c r="AF274" s="601" t="str">
        <f>VLOOKUP(F274,'2) Tracker'!$A$2:$BO$981,67,FALSE)</f>
        <v/>
      </c>
      <c r="AG274" s="601">
        <f>'2) Tracker'!AH259</f>
        <v>46182</v>
      </c>
      <c r="AH274" s="601" t="str">
        <f>VLOOKUP(F274,'2) Tracker'!$A$2:$BN$981,66,FALSE)</f>
        <v/>
      </c>
      <c r="AI274" s="601">
        <f>'2) Tracker'!BC259</f>
        <v>46172</v>
      </c>
      <c r="AJ274" s="601">
        <f>'2) Tracker'!AZ259</f>
        <v>46173</v>
      </c>
      <c r="AK274" s="601">
        <f>'2) Tracker'!AQ259</f>
        <v>46193</v>
      </c>
      <c r="AL274" s="601">
        <f>'2) Tracker'!AT259</f>
        <v>46199</v>
      </c>
      <c r="AM274" s="601">
        <f>'2) Tracker'!BM259</f>
        <v>46185</v>
      </c>
      <c r="AN274" s="601">
        <f>'2) Tracker'!BK259</f>
        <v>46210</v>
      </c>
      <c r="AO274" s="601">
        <f>'2) Tracker'!BF259</f>
        <v>46177</v>
      </c>
      <c r="AP274" s="46"/>
      <c r="AQ274" s="46"/>
      <c r="AR274" s="46"/>
      <c r="AS274" s="46"/>
      <c r="AT274" s="46"/>
      <c r="AU274" s="46"/>
      <c r="AV274" s="46"/>
      <c r="AW274" s="46"/>
      <c r="AX274" s="46"/>
      <c r="AY274" s="46"/>
      <c r="AZ274" s="563"/>
      <c r="BA274" s="569"/>
      <c r="BB274" s="563"/>
      <c r="BC274" s="569"/>
      <c r="BD274" s="563"/>
      <c r="BE274" s="46"/>
      <c r="BF274" s="46"/>
      <c r="BG274" s="563"/>
      <c r="BH274" s="563"/>
      <c r="BI274" s="563"/>
      <c r="BJ274" s="563"/>
    </row>
    <row r="275" spans="2:62" x14ac:dyDescent="0.25">
      <c r="B275" s="589" t="str">
        <f>VLOOKUP(F275,'2) Tracker'!$A$3:$O$411,5,FALSE)</f>
        <v>C</v>
      </c>
      <c r="C275" s="589">
        <f>VLOOKUP(F275,'2) Tracker'!$A$3:$O$411,4,FALSE)</f>
        <v>0</v>
      </c>
      <c r="D275" s="563"/>
      <c r="E275" s="563"/>
      <c r="F275" s="604" t="s">
        <v>292</v>
      </c>
      <c r="G275" s="563">
        <f>'2) Tracker'!B259</f>
        <v>2022</v>
      </c>
      <c r="H275" s="642">
        <f>'2) Tracker'!C259</f>
        <v>86000</v>
      </c>
      <c r="I275" s="600" t="str">
        <f>'2) Tracker'!I259</f>
        <v>Wanhua</v>
      </c>
      <c r="J275" s="594" t="str">
        <f>VLOOKUP(F275,'2) Tracker'!$A$2:$BO$361,12,FALSE)</f>
        <v>North China</v>
      </c>
      <c r="K275" s="595">
        <f t="shared" si="305"/>
        <v>46196</v>
      </c>
      <c r="L275" s="595">
        <f t="shared" ref="L275:O275" si="427">AE275</f>
        <v>46206</v>
      </c>
      <c r="M275" s="596" t="str">
        <f t="shared" si="427"/>
        <v/>
      </c>
      <c r="N275" s="596">
        <f t="shared" si="427"/>
        <v>46182</v>
      </c>
      <c r="O275" s="597" t="str">
        <f t="shared" si="427"/>
        <v/>
      </c>
      <c r="P275" s="598" t="str">
        <f>IFERROR(IF(VLOOKUP(F275,'Voyage days'!$M$808:$N$819,2,FALSE),"GOA",""),"")</f>
        <v/>
      </c>
      <c r="Q275" s="596">
        <f t="shared" si="287"/>
        <v>46185</v>
      </c>
      <c r="R275" s="595">
        <f t="shared" si="289"/>
        <v>46210</v>
      </c>
      <c r="S275" s="595">
        <f t="shared" si="409"/>
        <v>46199</v>
      </c>
      <c r="T275" s="596">
        <f t="shared" si="410"/>
        <v>46193</v>
      </c>
      <c r="U275" s="595">
        <f t="shared" si="290"/>
        <v>46173</v>
      </c>
      <c r="V275" s="570" t="s">
        <v>1577</v>
      </c>
      <c r="W275" s="596">
        <f t="shared" si="291"/>
        <v>46173</v>
      </c>
      <c r="X275" s="599">
        <f t="shared" si="411"/>
        <v>46177</v>
      </c>
      <c r="Y275" s="614"/>
      <c r="Z275" s="600" t="str">
        <f>VLOOKUP(F275,'2) Tracker'!$A$3:$Q$505,16,FALSE)</f>
        <v>ETA Yantai 19 May</v>
      </c>
      <c r="AA275" s="600" t="str">
        <f>VLOOKUP(F275,'2) Tracker'!$A$3:$R$505,18,FALSE)</f>
        <v>Wanhua 02-03 Apr Bethioua</v>
      </c>
      <c r="AB275" s="600">
        <f>VLOOKUP(F275,'2) Tracker'!$A$3:$Q$505,17,FALSE)</f>
        <v>0</v>
      </c>
      <c r="AC275" s="601"/>
      <c r="AD275" s="601">
        <f>VLOOKUP(F275,'2) Tracker'!$A$2:$BO$981,37,FALSE)</f>
        <v>46196</v>
      </c>
      <c r="AE275" s="601">
        <f>VLOOKUP(F275,'2) Tracker'!$A$2:$BO$981,40,FALSE)</f>
        <v>46206</v>
      </c>
      <c r="AF275" s="601" t="str">
        <f>VLOOKUP(F275,'2) Tracker'!$A$2:$BO$981,67,FALSE)</f>
        <v/>
      </c>
      <c r="AG275" s="601">
        <f>VLOOKUP(F275,'2) Tracker'!$A$2:$BO$981,34,FALSE)</f>
        <v>46182</v>
      </c>
      <c r="AH275" s="601" t="str">
        <f>VLOOKUP(F275,'2) Tracker'!$A$2:$BN$981,66,FALSE)</f>
        <v/>
      </c>
      <c r="AI275" s="601">
        <f>VLOOKUP(F275,'2) Tracker'!$A$2:$BO$981,56,FALSE)</f>
        <v>46173</v>
      </c>
      <c r="AJ275" s="601">
        <f>VLOOKUP(F275,'2) Tracker'!$A$2:$BO$981,52,FALSE)</f>
        <v>46173</v>
      </c>
      <c r="AK275" s="601">
        <f>VLOOKUP(F275,'2) Tracker'!$A$2:$AQ$981,43,FALSE)</f>
        <v>46193</v>
      </c>
      <c r="AL275" s="601">
        <f>VLOOKUP(F275,'2) Tracker'!$A$2:$BH$981,46,FALSE())</f>
        <v>46199</v>
      </c>
      <c r="AM275" s="601">
        <f>VLOOKUP(F275,'2) Tracker'!$A$2:$BO$981,65,FALSE())</f>
        <v>46185</v>
      </c>
      <c r="AN275" s="601">
        <f>VLOOKUP(F275,'2) Tracker'!$A$2:$BK$981,63,FALSE())</f>
        <v>46210</v>
      </c>
      <c r="AO275" s="601">
        <f>VLOOKUP(F275,'2) Tracker'!$A$2:$BF$981,58,FALSE())</f>
        <v>46177</v>
      </c>
      <c r="AP275" s="46"/>
      <c r="AQ275" s="46"/>
      <c r="AR275" s="46"/>
      <c r="AS275" s="46"/>
      <c r="AT275" s="46"/>
      <c r="AU275" s="46"/>
      <c r="AV275" s="46"/>
      <c r="AW275" s="46"/>
      <c r="AX275" s="46"/>
      <c r="AY275" s="46"/>
      <c r="AZ275" s="563"/>
      <c r="BA275" s="604" t="e">
        <f>VLOOKUP(AZ275,#REF!,2, FALSE)</f>
        <v>#REF!</v>
      </c>
      <c r="BB275" s="605" t="e">
        <f>VLOOKUP(AZ275,'1) Kpler'!$E$2:$F$500,2,FALSE)</f>
        <v>#N/A</v>
      </c>
      <c r="BC275" s="569"/>
      <c r="BD275" s="563"/>
      <c r="BE275" s="46"/>
      <c r="BF275" s="46"/>
      <c r="BG275" s="563"/>
      <c r="BH275" s="563"/>
      <c r="BI275" s="563"/>
      <c r="BJ275" s="563"/>
    </row>
    <row r="276" spans="2:62" x14ac:dyDescent="0.25">
      <c r="B276" s="589">
        <f>VLOOKUP(F276,'2) Tracker'!$A$3:$O$411,5,FALSE)</f>
        <v>0</v>
      </c>
      <c r="C276" s="589" t="str">
        <f>VLOOKUP(F276,'2) Tracker'!$A$3:$O$411,4,FALSE)</f>
        <v>US</v>
      </c>
      <c r="D276" s="563"/>
      <c r="E276" s="563">
        <f>VLOOKUP(F276,'2) Tracker'!$A$3:$O$407,15,FALSE)</f>
        <v>0</v>
      </c>
      <c r="F276" s="569" t="s">
        <v>203</v>
      </c>
      <c r="G276" s="607">
        <f>VLOOKUP(F276,'2) Tracker'!$A$2:$BO$361,2,FALSE)</f>
        <v>42006</v>
      </c>
      <c r="H276" s="592">
        <f>VLOOKUP(F276,'2) Tracker'!$A$2:$BO$361,3,FALSE)</f>
        <v>84000</v>
      </c>
      <c r="I276" s="594" t="str">
        <f>VLOOKUP(F276,'2) Tracker'!$A$2:$BO$361,9,FALSE)</f>
        <v>Helios</v>
      </c>
      <c r="J276" s="594" t="str">
        <f>VLOOKUP(F276,'2) Tracker'!$A$2:$BO$361,12,FALSE)</f>
        <v>East China</v>
      </c>
      <c r="K276" s="596">
        <f t="shared" si="305"/>
        <v>46196</v>
      </c>
      <c r="L276" s="596">
        <f t="shared" ref="L276:O276" si="428">AE276</f>
        <v>46208</v>
      </c>
      <c r="M276" s="596" t="str">
        <f t="shared" si="428"/>
        <v/>
      </c>
      <c r="N276" s="597">
        <f t="shared" si="428"/>
        <v>46181</v>
      </c>
      <c r="O276" s="597" t="str">
        <f t="shared" si="428"/>
        <v/>
      </c>
      <c r="P276" s="598" t="str">
        <f>IFERROR(IF(VLOOKUP(F276,'Voyage days'!$M$808:$N$819,2,FALSE),"GOA",""),"")</f>
        <v/>
      </c>
      <c r="Q276" s="596">
        <f t="shared" si="287"/>
        <v>46184</v>
      </c>
      <c r="R276" s="596">
        <f t="shared" si="289"/>
        <v>46208</v>
      </c>
      <c r="S276" s="595">
        <f t="shared" si="409"/>
        <v>46199</v>
      </c>
      <c r="T276" s="596">
        <f t="shared" si="410"/>
        <v>46192</v>
      </c>
      <c r="U276" s="596">
        <f t="shared" si="290"/>
        <v>46172</v>
      </c>
      <c r="V276" s="596"/>
      <c r="W276" s="596">
        <f t="shared" si="291"/>
        <v>46171.25</v>
      </c>
      <c r="X276" s="599">
        <f t="shared" si="411"/>
        <v>46177</v>
      </c>
      <c r="Y276" s="614"/>
      <c r="Z276" s="600" t="str">
        <f>VLOOKUP(F276,'2) Tracker'!$A$3:$Q$505,16,FALSE)</f>
        <v>ETA Ningbo 18 Apr via Cape</v>
      </c>
      <c r="AA276" s="600" t="str">
        <f>VLOOKUP(F276,'2) Tracker'!$A$3:$R$505,18,FALSE)</f>
        <v>ATC 05-06 Apr Enterprise</v>
      </c>
      <c r="AB276" s="600">
        <f>VLOOKUP(F276,'2) Tracker'!$A$3:$Q$505,17,FALSE)</f>
        <v>0</v>
      </c>
      <c r="AC276" s="601"/>
      <c r="AD276" s="601">
        <f>VLOOKUP(F276,'2) Tracker'!$A$2:$BO$981,37,FALSE)</f>
        <v>46196</v>
      </c>
      <c r="AE276" s="601">
        <f>VLOOKUP(F276,'2) Tracker'!$A$2:$BO$981,40,FALSE)</f>
        <v>46208</v>
      </c>
      <c r="AF276" s="601" t="str">
        <f>VLOOKUP(F276,'2) Tracker'!$A$2:$BO$981,67,FALSE)</f>
        <v/>
      </c>
      <c r="AG276" s="601">
        <f>VLOOKUP(F276,'2) Tracker'!$A$2:$BO$981,34,FALSE)</f>
        <v>46181</v>
      </c>
      <c r="AH276" s="601" t="str">
        <f>VLOOKUP(F276,'2) Tracker'!$A$2:$BN$981,66,FALSE)</f>
        <v/>
      </c>
      <c r="AI276" s="601">
        <f>VLOOKUP(F276,'2) Tracker'!$A$2:$BO$981,56,FALSE)</f>
        <v>46172</v>
      </c>
      <c r="AJ276" s="601">
        <f>VLOOKUP(F276,'2) Tracker'!$A$2:$BO$981,52,FALSE)</f>
        <v>46171.25</v>
      </c>
      <c r="AK276" s="601">
        <f>VLOOKUP(F276,'2) Tracker'!$A$2:$AQ$981,43,FALSE)</f>
        <v>46192</v>
      </c>
      <c r="AL276" s="601">
        <f>VLOOKUP(F276,'2) Tracker'!$A$2:$BH$981,46,FALSE())</f>
        <v>46199</v>
      </c>
      <c r="AM276" s="601">
        <f>VLOOKUP(F276,'2) Tracker'!$A$2:$BO$981,65,FALSE())</f>
        <v>46184</v>
      </c>
      <c r="AN276" s="601">
        <f>VLOOKUP(F276,'2) Tracker'!$A$2:$BK$981,63,FALSE())</f>
        <v>46208</v>
      </c>
      <c r="AO276" s="601">
        <f>VLOOKUP(F276,'2) Tracker'!$A$2:$BF$981,58,FALSE())</f>
        <v>46177</v>
      </c>
      <c r="AP276" s="46"/>
      <c r="AQ276" s="46"/>
      <c r="AR276" s="46"/>
      <c r="AS276" s="46"/>
      <c r="AT276" s="46"/>
      <c r="AU276" s="46"/>
      <c r="AV276" s="46"/>
      <c r="AW276" s="46"/>
      <c r="AX276" s="46"/>
      <c r="AY276" s="46"/>
      <c r="AZ276" s="563"/>
      <c r="BA276" s="569"/>
      <c r="BB276" s="563"/>
      <c r="BC276" s="569"/>
      <c r="BD276" s="563"/>
      <c r="BE276" s="46"/>
      <c r="BF276" s="46"/>
      <c r="BG276" s="563"/>
      <c r="BH276" s="563"/>
      <c r="BI276" s="563"/>
      <c r="BJ276" s="563"/>
    </row>
    <row r="277" spans="2:62" x14ac:dyDescent="0.25">
      <c r="B277" s="589">
        <f>VLOOKUP(F277,'2) Tracker'!$A$3:$O$411,5,FALSE)</f>
        <v>0</v>
      </c>
      <c r="C277" s="589">
        <f>VLOOKUP(F277,'2) Tracker'!$A$3:$O$411,4,FALSE)</f>
        <v>0</v>
      </c>
      <c r="D277" s="563"/>
      <c r="E277" s="563">
        <f>VLOOKUP(F277,'2) Tracker'!$A$3:$O$407,15,FALSE)</f>
        <v>0</v>
      </c>
      <c r="F277" s="569" t="s">
        <v>461</v>
      </c>
      <c r="G277" s="591">
        <f>VLOOKUP(F277,'2) Tracker'!$A$2:$BO$361,2,FALSE)</f>
        <v>2022</v>
      </c>
      <c r="H277" s="592">
        <f>VLOOKUP(F277,'2) Tracker'!$A$2:$BO$361,3,FALSE)</f>
        <v>91000</v>
      </c>
      <c r="I277" s="600" t="str">
        <f>VLOOKUP(F277,'2) Tracker'!$A$2:$BO$361,9,FALSE)</f>
        <v>Trafigura</v>
      </c>
      <c r="J277" s="594" t="str">
        <f>VLOOKUP(F277,'2) Tracker'!$A$2:$BO$361,12,FALSE)</f>
        <v>Port Louis laden</v>
      </c>
      <c r="K277" s="596">
        <f t="shared" si="305"/>
        <v>46197</v>
      </c>
      <c r="L277" s="596">
        <f t="shared" ref="L277:O277" si="429">AE277</f>
        <v>46205</v>
      </c>
      <c r="M277" s="596" t="str">
        <f t="shared" si="429"/>
        <v/>
      </c>
      <c r="N277" s="596">
        <f t="shared" si="429"/>
        <v>46177</v>
      </c>
      <c r="O277" s="597" t="str">
        <f t="shared" si="429"/>
        <v/>
      </c>
      <c r="P277" s="598" t="str">
        <f>IFERROR(IF(VLOOKUP(F277,'Voyage days'!$M$808:$N$819,2,FALSE),"GOA",""),"")</f>
        <v/>
      </c>
      <c r="Q277" s="596">
        <f t="shared" si="287"/>
        <v>46152</v>
      </c>
      <c r="R277" s="596">
        <f t="shared" si="289"/>
        <v>46204</v>
      </c>
      <c r="S277" s="595">
        <f t="shared" si="409"/>
        <v>46196</v>
      </c>
      <c r="T277" s="596">
        <f t="shared" si="410"/>
        <v>46188</v>
      </c>
      <c r="U277" s="596">
        <f t="shared" si="290"/>
        <v>46169</v>
      </c>
      <c r="V277" s="596"/>
      <c r="W277" s="596">
        <f t="shared" si="291"/>
        <v>46171</v>
      </c>
      <c r="X277" s="599" t="str">
        <f t="shared" si="411"/>
        <v/>
      </c>
      <c r="Y277" s="594"/>
      <c r="Z277" s="600" t="str">
        <f>VLOOKUP(F277,'2) Tracker'!$A$3:$Q$505,16,FALSE)</f>
        <v>ETA Port Louis 09 May</v>
      </c>
      <c r="AA277" s="600" t="str">
        <f>VLOOKUP(F277,'2) Tracker'!$A$3:$R$505,18,FALSE)</f>
        <v>Trafigura 09-10 Apr Enterprise</v>
      </c>
      <c r="AB277" s="600">
        <f>VLOOKUP(F277,'2) Tracker'!$A$3:$Q$505,17,FALSE)</f>
        <v>0</v>
      </c>
      <c r="AC277" s="601"/>
      <c r="AD277" s="601">
        <f>VLOOKUP(F277,'2) Tracker'!$A$2:$BO$981,37,FALSE)</f>
        <v>46197</v>
      </c>
      <c r="AE277" s="601">
        <f>VLOOKUP(F277,'2) Tracker'!$A$2:$BO$981,40,FALSE)</f>
        <v>46205</v>
      </c>
      <c r="AF277" s="601" t="str">
        <f>VLOOKUP(F277,'2) Tracker'!$A$2:$BO$981,67,FALSE)</f>
        <v/>
      </c>
      <c r="AG277" s="601">
        <f>VLOOKUP(F277,'2) Tracker'!$A$2:$BO$981,34,FALSE)</f>
        <v>46177</v>
      </c>
      <c r="AH277" s="601" t="str">
        <f>VLOOKUP(F277,'2) Tracker'!$A$2:$BN$981,66,FALSE)</f>
        <v/>
      </c>
      <c r="AI277" s="601">
        <f>VLOOKUP(F277,'2) Tracker'!$A$2:$BO$981,56,FALSE)</f>
        <v>46169</v>
      </c>
      <c r="AJ277" s="601">
        <f>VLOOKUP(F277,'2) Tracker'!$A$2:$BO$981,52,FALSE)</f>
        <v>46171</v>
      </c>
      <c r="AK277" s="601">
        <f>VLOOKUP(F277,'2) Tracker'!$A$2:$AQ$981,43,FALSE)</f>
        <v>46188</v>
      </c>
      <c r="AL277" s="601">
        <f>VLOOKUP(F277,'2) Tracker'!$A$2:$BH$981,46,FALSE())</f>
        <v>46196</v>
      </c>
      <c r="AM277" s="601">
        <f>VLOOKUP(F277,'2) Tracker'!$A$2:$BO$981,65,FALSE())</f>
        <v>46152</v>
      </c>
      <c r="AN277" s="601">
        <f>VLOOKUP(F277,'2) Tracker'!$A$2:$BK$981,63,FALSE())</f>
        <v>46204</v>
      </c>
      <c r="AO277" s="601" t="str">
        <f>VLOOKUP(F277,'2) Tracker'!$A$2:$BF$981,58,FALSE())</f>
        <v/>
      </c>
      <c r="AP277" s="46"/>
      <c r="AQ277" s="46"/>
      <c r="AR277" s="46"/>
      <c r="AS277" s="46"/>
      <c r="AT277" s="46"/>
      <c r="AU277" s="46"/>
      <c r="AV277" s="46"/>
      <c r="AW277" s="46"/>
      <c r="AX277" s="46"/>
      <c r="AY277" s="46"/>
      <c r="AZ277" s="563"/>
      <c r="BA277" s="569"/>
      <c r="BB277" s="563"/>
      <c r="BC277" s="569"/>
      <c r="BD277" s="563"/>
      <c r="BE277" s="46"/>
      <c r="BF277" s="46"/>
      <c r="BG277" s="563"/>
      <c r="BH277" s="563"/>
      <c r="BI277" s="563"/>
      <c r="BJ277" s="563"/>
    </row>
    <row r="278" spans="2:62" x14ac:dyDescent="0.25">
      <c r="B278" s="589">
        <f>VLOOKUP(F278,'2) Tracker'!$A$3:$O$411,5,FALSE)</f>
        <v>0</v>
      </c>
      <c r="C278" s="589"/>
      <c r="D278" s="563"/>
      <c r="E278" s="563">
        <f>VLOOKUP(F278,'2) Tracker'!$A$3:$O$407,15,FALSE)</f>
        <v>0</v>
      </c>
      <c r="F278" s="604" t="s">
        <v>563</v>
      </c>
      <c r="G278" s="617">
        <f>VLOOKUP(F278,'2) Tracker'!$A$2:$BO$361,2,FALSE)</f>
        <v>36465</v>
      </c>
      <c r="H278" s="592">
        <f>VLOOKUP(F278,'2) Tracker'!$A$2:$BO$361,3,FALSE)</f>
        <v>84000</v>
      </c>
      <c r="I278" s="593" t="str">
        <f>VLOOKUP(F278,'2) Tracker'!$A$2:$BO$361,9,FALSE)</f>
        <v>Sonatrach</v>
      </c>
      <c r="J278" s="594" t="str">
        <f>VLOOKUP(F278,'2) Tracker'!$A$2:$BO$361,12,FALSE)</f>
        <v>Indo</v>
      </c>
      <c r="K278" s="596">
        <f t="shared" si="305"/>
        <v>46198</v>
      </c>
      <c r="L278" s="596">
        <f t="shared" ref="L278:O278" si="430">AE278</f>
        <v>46197</v>
      </c>
      <c r="M278" s="596" t="str">
        <f t="shared" si="430"/>
        <v/>
      </c>
      <c r="N278" s="596">
        <f t="shared" si="430"/>
        <v>46171</v>
      </c>
      <c r="O278" s="597" t="str">
        <f t="shared" si="430"/>
        <v/>
      </c>
      <c r="P278" s="598" t="str">
        <f>IFERROR(IF(VLOOKUP(F278,'Voyage days'!$M$808:$N$819,2,FALSE),"GOA",""),"")</f>
        <v/>
      </c>
      <c r="Q278" s="596">
        <f t="shared" si="287"/>
        <v>46174</v>
      </c>
      <c r="R278" s="596">
        <f t="shared" si="289"/>
        <v>46197</v>
      </c>
      <c r="S278" s="595">
        <f t="shared" si="409"/>
        <v>46189</v>
      </c>
      <c r="T278" s="596">
        <f t="shared" si="410"/>
        <v>46180</v>
      </c>
      <c r="U278" s="596">
        <f t="shared" si="290"/>
        <v>46164</v>
      </c>
      <c r="V278" s="596"/>
      <c r="W278" s="596">
        <f t="shared" si="291"/>
        <v>46164</v>
      </c>
      <c r="X278" s="599" t="str">
        <f t="shared" si="411"/>
        <v/>
      </c>
      <c r="Y278" s="594"/>
      <c r="Z278" s="600" t="str">
        <f>VLOOKUP(F278,'2) Tracker'!$A$3:$Q$505,16,FALSE)</f>
        <v>ETA Merak 14 May</v>
      </c>
      <c r="AA278" s="600" t="str">
        <f>VLOOKUP(F278,'2) Tracker'!$A$3:$R$505,18,FALSE)</f>
        <v>Sonatrach 07 Apr Bethioua</v>
      </c>
      <c r="AB278" s="600">
        <f>VLOOKUP(F278,'2) Tracker'!$A$3:$Q$505,17,FALSE)</f>
        <v>0</v>
      </c>
      <c r="AC278" s="601"/>
      <c r="AD278" s="601">
        <f>VLOOKUP(F278,'2) Tracker'!$A$2:$BO$981,37,FALSE)</f>
        <v>46198</v>
      </c>
      <c r="AE278" s="601">
        <f>VLOOKUP(F278,'2) Tracker'!$A$2:$BO$981,40,FALSE)</f>
        <v>46197</v>
      </c>
      <c r="AF278" s="601" t="str">
        <f>VLOOKUP(F278,'2) Tracker'!$A$2:$BO$981,67,FALSE)</f>
        <v/>
      </c>
      <c r="AG278" s="601">
        <f>VLOOKUP(F278,'2) Tracker'!$A$2:$BO$981,34,FALSE)</f>
        <v>46171</v>
      </c>
      <c r="AH278" s="601" t="str">
        <f>VLOOKUP(F278,'2) Tracker'!$A$2:$BN$981,66,FALSE)</f>
        <v/>
      </c>
      <c r="AI278" s="601">
        <f>VLOOKUP(F278,'2) Tracker'!$A$2:$BO$981,56,FALSE)</f>
        <v>46164</v>
      </c>
      <c r="AJ278" s="601">
        <f>VLOOKUP(F278,'2) Tracker'!$A$2:$BO$981,52,FALSE)</f>
        <v>46164</v>
      </c>
      <c r="AK278" s="601">
        <f>VLOOKUP(F278,'2) Tracker'!$A$2:$AQ$981,43,FALSE)</f>
        <v>46180</v>
      </c>
      <c r="AL278" s="601">
        <f>VLOOKUP(F278,'2) Tracker'!$A$2:$BH$981,46,FALSE())</f>
        <v>46189</v>
      </c>
      <c r="AM278" s="601">
        <f>VLOOKUP(F278,'2) Tracker'!$A$2:$BO$981,65,FALSE())</f>
        <v>46174</v>
      </c>
      <c r="AN278" s="601">
        <f>VLOOKUP(F278,'2) Tracker'!$A$2:$BK$981,63,FALSE())</f>
        <v>46197</v>
      </c>
      <c r="AO278" s="601" t="str">
        <f>VLOOKUP(F278,'2) Tracker'!$A$2:$BF$981,58,FALSE())</f>
        <v/>
      </c>
      <c r="AP278" s="46"/>
      <c r="AQ278" s="46"/>
      <c r="AR278" s="46"/>
      <c r="AS278" s="46"/>
      <c r="AT278" s="46"/>
      <c r="AU278" s="46"/>
      <c r="AV278" s="46"/>
      <c r="AW278" s="46"/>
      <c r="AX278" s="46"/>
      <c r="AY278" s="46"/>
      <c r="AZ278" s="605"/>
      <c r="BA278" s="604" t="e">
        <f>VLOOKUP(AZ278,#REF!,2, FALSE)</f>
        <v>#REF!</v>
      </c>
      <c r="BB278" s="605" t="e">
        <f>VLOOKUP(AZ278,'1) Kpler'!$E$2:$F$500,2,FALSE)</f>
        <v>#N/A</v>
      </c>
      <c r="BC278" s="604"/>
      <c r="BD278" s="605"/>
      <c r="BE278" s="46"/>
      <c r="BF278" s="46"/>
      <c r="BG278" s="605"/>
      <c r="BH278" s="605"/>
      <c r="BI278" s="605"/>
      <c r="BJ278" s="605"/>
    </row>
    <row r="279" spans="2:62" x14ac:dyDescent="0.25">
      <c r="B279" s="589"/>
      <c r="C279" s="589">
        <f>VLOOKUP(F279,'2) Tracker'!$A$3:$O$411,4,FALSE)</f>
        <v>0</v>
      </c>
      <c r="D279" s="563"/>
      <c r="E279" s="563">
        <f>VLOOKUP(F279,'2) Tracker'!$A$3:$O$407,15,FALSE)</f>
        <v>0</v>
      </c>
      <c r="F279" s="604" t="s">
        <v>596</v>
      </c>
      <c r="G279" s="615">
        <f>VLOOKUP(F279,'2) Tracker'!$A$2:$BO$361,2,FALSE)</f>
        <v>2008</v>
      </c>
      <c r="H279" s="592">
        <f>VLOOKUP(F279,'2) Tracker'!$A$2:$BO$361,3,FALSE)</f>
        <v>80100</v>
      </c>
      <c r="I279" s="600" t="str">
        <f>VLOOKUP(F279,'2) Tracker'!$A$2:$BO$361,9,FALSE)</f>
        <v>Gyxis</v>
      </c>
      <c r="J279" s="594" t="str">
        <f>VLOOKUP(F279,'2) Tracker'!$A$2:$BO$361,12,FALSE)</f>
        <v>Indo</v>
      </c>
      <c r="K279" s="596">
        <f t="shared" si="305"/>
        <v>46199</v>
      </c>
      <c r="L279" s="596">
        <f t="shared" ref="L279:O279" si="431">AE279</f>
        <v>46198</v>
      </c>
      <c r="M279" s="596" t="str">
        <f t="shared" si="431"/>
        <v/>
      </c>
      <c r="N279" s="596">
        <f t="shared" si="431"/>
        <v>46172</v>
      </c>
      <c r="O279" s="597" t="str">
        <f t="shared" si="431"/>
        <v/>
      </c>
      <c r="P279" s="598" t="str">
        <f>IFERROR(IF(VLOOKUP(F279,'Voyage days'!$M$808:$N$819,2,FALSE),"GOA",""),"")</f>
        <v/>
      </c>
      <c r="Q279" s="596">
        <f t="shared" si="287"/>
        <v>46175</v>
      </c>
      <c r="R279" s="596">
        <f t="shared" si="289"/>
        <v>46198</v>
      </c>
      <c r="S279" s="595">
        <f t="shared" si="409"/>
        <v>46190</v>
      </c>
      <c r="T279" s="596">
        <f t="shared" si="410"/>
        <v>46181</v>
      </c>
      <c r="U279" s="596">
        <f t="shared" si="290"/>
        <v>46165</v>
      </c>
      <c r="V279" s="596"/>
      <c r="W279" s="596">
        <f t="shared" si="291"/>
        <v>46165</v>
      </c>
      <c r="X279" s="599" t="str">
        <f t="shared" si="411"/>
        <v/>
      </c>
      <c r="Y279" s="594"/>
      <c r="Z279" s="600" t="str">
        <f>VLOOKUP(F279,'2) Tracker'!$A$3:$Q$505,16,FALSE)</f>
        <v>ETA Merak 17 May, Darwin candidate?</v>
      </c>
      <c r="AA279" s="600" t="str">
        <f>VLOOKUP(F279,'2) Tracker'!$A$3:$R$505,18,FALSE)</f>
        <v>BGN 03-04 Apr Nederland</v>
      </c>
      <c r="AB279" s="600">
        <f>VLOOKUP(F279,'2) Tracker'!$A$3:$Q$505,17,FALSE)</f>
        <v>0</v>
      </c>
      <c r="AC279" s="601"/>
      <c r="AD279" s="601">
        <f>VLOOKUP(F279,'2) Tracker'!$A$2:$BO$981,37,FALSE)</f>
        <v>46199</v>
      </c>
      <c r="AE279" s="601">
        <f>VLOOKUP(F279,'2) Tracker'!$A$2:$BO$981,40,FALSE)</f>
        <v>46198</v>
      </c>
      <c r="AF279" s="601" t="str">
        <f>VLOOKUP(F279,'2) Tracker'!$A$2:$BO$981,67,FALSE)</f>
        <v/>
      </c>
      <c r="AG279" s="601">
        <f>VLOOKUP(F279,'2) Tracker'!$A$2:$BO$981,34,FALSE)</f>
        <v>46172</v>
      </c>
      <c r="AH279" s="601" t="str">
        <f>VLOOKUP(F279,'2) Tracker'!$A$2:$BN$981,66,FALSE)</f>
        <v/>
      </c>
      <c r="AI279" s="601">
        <f>VLOOKUP(F279,'2) Tracker'!$A$2:$BO$981,56,FALSE)</f>
        <v>46165</v>
      </c>
      <c r="AJ279" s="601">
        <f>VLOOKUP(F279,'2) Tracker'!$A$2:$BO$981,52,FALSE)</f>
        <v>46165</v>
      </c>
      <c r="AK279" s="601">
        <f>VLOOKUP(F279,'2) Tracker'!$A$2:$AQ$981,43,FALSE)</f>
        <v>46181</v>
      </c>
      <c r="AL279" s="601">
        <f>VLOOKUP(F279,'2) Tracker'!$A$2:$BH$981,46,FALSE())</f>
        <v>46190</v>
      </c>
      <c r="AM279" s="601">
        <f>VLOOKUP(F279,'2) Tracker'!$A$2:$BO$981,65,FALSE())</f>
        <v>46175</v>
      </c>
      <c r="AN279" s="601">
        <f>VLOOKUP(F279,'2) Tracker'!$A$2:$BK$981,63,FALSE())</f>
        <v>46198</v>
      </c>
      <c r="AO279" s="601" t="str">
        <f>VLOOKUP(F279,'2) Tracker'!$A$2:$BF$981,58,FALSE())</f>
        <v/>
      </c>
      <c r="AP279" s="46"/>
      <c r="AQ279" s="46"/>
      <c r="AR279" s="46"/>
      <c r="AS279" s="46"/>
      <c r="AT279" s="46"/>
      <c r="AU279" s="46"/>
      <c r="AV279" s="46"/>
      <c r="AW279" s="46"/>
      <c r="AX279" s="46"/>
      <c r="AY279" s="46"/>
      <c r="AZ279" s="563"/>
      <c r="BA279" s="604" t="e">
        <f>VLOOKUP(AZ279,#REF!,2, FALSE)</f>
        <v>#REF!</v>
      </c>
      <c r="BB279" s="605" t="e">
        <f>VLOOKUP(AZ279,'1) Kpler'!$E$2:$F$500,2,FALSE)</f>
        <v>#N/A</v>
      </c>
      <c r="BC279" s="569"/>
      <c r="BD279" s="563"/>
      <c r="BE279" s="46"/>
      <c r="BF279" s="46"/>
      <c r="BG279" s="563"/>
      <c r="BH279" s="563"/>
      <c r="BI279" s="563"/>
      <c r="BJ279" s="563"/>
    </row>
    <row r="280" spans="2:62" x14ac:dyDescent="0.25">
      <c r="B280" s="589" t="str">
        <f>VLOOKUP(F280,'2) Tracker'!$A$3:$O$411,5,FALSE)</f>
        <v>C</v>
      </c>
      <c r="C280" s="589">
        <f>VLOOKUP(F280,'2) Tracker'!$A$3:$O$411,4,FALSE)</f>
        <v>0</v>
      </c>
      <c r="D280" s="563"/>
      <c r="E280" s="563">
        <f>VLOOKUP(F280,'2) Tracker'!$A$3:$O$407,15,FALSE)</f>
        <v>0</v>
      </c>
      <c r="F280" s="604" t="s">
        <v>1393</v>
      </c>
      <c r="G280" s="591">
        <f>VLOOKUP(F280,'2) Tracker'!$A$2:$BO$361,2,FALSE)</f>
        <v>2022</v>
      </c>
      <c r="H280" s="592">
        <f>VLOOKUP(F280,'2) Tracker'!$A$2:$BO$361,3,FALSE)</f>
        <v>91000</v>
      </c>
      <c r="I280" s="600" t="str">
        <f>VLOOKUP(F280,'2) Tracker'!$A$2:$BO$361,9,FALSE)</f>
        <v>BW</v>
      </c>
      <c r="J280" s="594" t="str">
        <f>VLOOKUP(F280,'2) Tracker'!$A$2:$BO$361,12,FALSE)</f>
        <v>Far East</v>
      </c>
      <c r="K280" s="595">
        <f t="shared" si="305"/>
        <v>46199</v>
      </c>
      <c r="L280" s="595">
        <f t="shared" ref="L280:O280" si="432">AE280</f>
        <v>46207</v>
      </c>
      <c r="M280" s="596" t="str">
        <f t="shared" si="432"/>
        <v/>
      </c>
      <c r="N280" s="596">
        <f t="shared" si="432"/>
        <v>46187</v>
      </c>
      <c r="O280" s="597" t="str">
        <f t="shared" si="432"/>
        <v/>
      </c>
      <c r="P280" s="598" t="str">
        <f>IFERROR(IF(VLOOKUP(F280,'Voyage days'!$M$808:$N$819,2,FALSE),"GOA",""),"")</f>
        <v/>
      </c>
      <c r="Q280" s="596">
        <f t="shared" si="287"/>
        <v>46192</v>
      </c>
      <c r="R280" s="595">
        <f t="shared" si="289"/>
        <v>46215</v>
      </c>
      <c r="S280" s="595">
        <f t="shared" si="409"/>
        <v>46205</v>
      </c>
      <c r="T280" s="596">
        <f t="shared" si="410"/>
        <v>46199</v>
      </c>
      <c r="U280" s="595">
        <f t="shared" si="290"/>
        <v>46180</v>
      </c>
      <c r="V280" s="596"/>
      <c r="W280" s="596">
        <f t="shared" si="291"/>
        <v>46177.25</v>
      </c>
      <c r="X280" s="599">
        <f t="shared" si="411"/>
        <v>46180</v>
      </c>
      <c r="Y280" s="614"/>
      <c r="Z280" s="600" t="str">
        <f>VLOOKUP(F280,'2) Tracker'!$A$3:$Q$505,16,FALSE)</f>
        <v>ETA Ferndale 06 May</v>
      </c>
      <c r="AA280" s="600" t="str">
        <f>VLOOKUP(F280,'2) Tracker'!$A$3:$R$505,18,FALSE)</f>
        <v>Altagas COA 06-07 May Ferndale</v>
      </c>
      <c r="AB280" s="600">
        <f>VLOOKUP(F280,'2) Tracker'!$A$3:$Q$505,17,FALSE)</f>
        <v>0</v>
      </c>
      <c r="AC280" s="601"/>
      <c r="AD280" s="601">
        <f>VLOOKUP(F280,'2) Tracker'!$A$2:$BO$981,37,FALSE)</f>
        <v>46199</v>
      </c>
      <c r="AE280" s="601">
        <f>VLOOKUP(F280,'2) Tracker'!$A$2:$BO$981,40,FALSE)</f>
        <v>46207</v>
      </c>
      <c r="AF280" s="601" t="str">
        <f>VLOOKUP(F280,'2) Tracker'!$A$2:$BO$981,67,FALSE)</f>
        <v/>
      </c>
      <c r="AG280" s="601">
        <f>VLOOKUP(F280,'2) Tracker'!$A$2:$BO$981,34,FALSE)</f>
        <v>46187</v>
      </c>
      <c r="AH280" s="601" t="str">
        <f>VLOOKUP(F280,'2) Tracker'!$A$2:$BN$981,66,FALSE)</f>
        <v/>
      </c>
      <c r="AI280" s="601">
        <f>VLOOKUP(F280,'2) Tracker'!$A$2:$BO$981,56,FALSE)</f>
        <v>46180</v>
      </c>
      <c r="AJ280" s="601">
        <f>VLOOKUP(F280,'2) Tracker'!$A$2:$BO$981,52,FALSE)</f>
        <v>46177.25</v>
      </c>
      <c r="AK280" s="601">
        <f>VLOOKUP(F280,'2) Tracker'!$A$2:$AQ$981,43,FALSE)</f>
        <v>46199</v>
      </c>
      <c r="AL280" s="601">
        <f>VLOOKUP(F280,'2) Tracker'!$A$2:$BH$981,46,FALSE())</f>
        <v>46205</v>
      </c>
      <c r="AM280" s="601">
        <f>VLOOKUP(F280,'2) Tracker'!$A$2:$BO$981,65,FALSE())</f>
        <v>46192</v>
      </c>
      <c r="AN280" s="601">
        <f>VLOOKUP(F280,'2) Tracker'!$A$2:$BK$981,63,FALSE())</f>
        <v>46215</v>
      </c>
      <c r="AO280" s="601">
        <f>VLOOKUP(F280,'2) Tracker'!$A$2:$BF$981,58,FALSE())</f>
        <v>46180</v>
      </c>
      <c r="AP280" s="46"/>
      <c r="AQ280" s="46"/>
      <c r="AR280" s="46"/>
      <c r="AS280" s="46"/>
      <c r="AT280" s="46"/>
      <c r="AU280" s="46"/>
      <c r="AV280" s="46"/>
      <c r="AW280" s="46"/>
      <c r="AX280" s="46"/>
      <c r="AY280" s="46"/>
      <c r="AZ280" s="563"/>
      <c r="BA280" s="604" t="e">
        <f>VLOOKUP(AZ280,#REF!,2, FALSE)</f>
        <v>#REF!</v>
      </c>
      <c r="BB280" s="605" t="e">
        <f>VLOOKUP(AZ280,'1) Kpler'!$E$2:$F$500,2,FALSE)</f>
        <v>#N/A</v>
      </c>
      <c r="BC280" s="569"/>
      <c r="BD280" s="563"/>
      <c r="BE280" s="46"/>
      <c r="BF280" s="46"/>
      <c r="BG280" s="563"/>
      <c r="BH280" s="563"/>
      <c r="BI280" s="563"/>
      <c r="BJ280" s="563"/>
    </row>
    <row r="281" spans="2:62" x14ac:dyDescent="0.25">
      <c r="B281" s="589" t="str">
        <f>VLOOKUP(F281,'2) Tracker'!$A$3:$O$411,5,FALSE)</f>
        <v>C</v>
      </c>
      <c r="C281" s="589">
        <f>VLOOKUP(F281,'2) Tracker'!$A$3:$O$411,4,FALSE)</f>
        <v>0</v>
      </c>
      <c r="D281" s="563"/>
      <c r="E281" s="563">
        <f>VLOOKUP(F281,'2) Tracker'!$A$3:$O$407,15,FALSE)</f>
        <v>0</v>
      </c>
      <c r="F281" s="604" t="s">
        <v>284</v>
      </c>
      <c r="G281" s="607">
        <f>VLOOKUP(F281,'2) Tracker'!$A$2:$BO$361,2,FALSE)</f>
        <v>41645</v>
      </c>
      <c r="H281" s="592">
        <f>VLOOKUP(F281,'2) Tracker'!$A$2:$BO$361,3,FALSE)</f>
        <v>84000</v>
      </c>
      <c r="I281" s="600" t="str">
        <f>VLOOKUP(F281,'2) Tracker'!$A$2:$BO$361,9,FALSE)</f>
        <v>E1</v>
      </c>
      <c r="J281" s="594" t="str">
        <f>VLOOKUP(F281,'2) Tracker'!$A$2:$BO$361,12,FALSE)</f>
        <v>Indo</v>
      </c>
      <c r="K281" s="596">
        <f t="shared" si="305"/>
        <v>46200</v>
      </c>
      <c r="L281" s="595">
        <f t="shared" ref="L281:O281" si="433">AE281</f>
        <v>46199</v>
      </c>
      <c r="M281" s="596" t="str">
        <f t="shared" si="433"/>
        <v/>
      </c>
      <c r="N281" s="596">
        <f t="shared" si="433"/>
        <v>46173</v>
      </c>
      <c r="O281" s="597" t="str">
        <f t="shared" si="433"/>
        <v/>
      </c>
      <c r="P281" s="598" t="str">
        <f>IFERROR(IF(VLOOKUP(F281,'Voyage days'!$M$808:$N$819,2,FALSE),"GOA",""),"")</f>
        <v/>
      </c>
      <c r="Q281" s="596">
        <f t="shared" si="287"/>
        <v>46176</v>
      </c>
      <c r="R281" s="595">
        <f t="shared" si="289"/>
        <v>46199</v>
      </c>
      <c r="S281" s="595">
        <f t="shared" si="409"/>
        <v>46191</v>
      </c>
      <c r="T281" s="596">
        <f t="shared" si="410"/>
        <v>46182</v>
      </c>
      <c r="U281" s="595">
        <f t="shared" si="290"/>
        <v>46166</v>
      </c>
      <c r="V281" s="596"/>
      <c r="W281" s="596">
        <f t="shared" si="291"/>
        <v>46166</v>
      </c>
      <c r="X281" s="599" t="str">
        <f t="shared" si="411"/>
        <v/>
      </c>
      <c r="Y281" s="594"/>
      <c r="Z281" s="600" t="str">
        <f>VLOOKUP(F281,'2) Tracker'!$A$3:$Q$505,16,FALSE)</f>
        <v>ETA Tg Sekong 16 May</v>
      </c>
      <c r="AA281" s="600" t="str">
        <f>VLOOKUP(F281,'2) Tracker'!$A$3:$R$505,18,FALSE)</f>
        <v>BGN 05-06 Apr Freeport</v>
      </c>
      <c r="AB281" s="600">
        <f>VLOOKUP(F281,'2) Tracker'!$A$3:$Q$505,17,FALSE)</f>
        <v>0</v>
      </c>
      <c r="AC281" s="601"/>
      <c r="AD281" s="601">
        <f>VLOOKUP(F281,'2) Tracker'!$A$2:$BO$981,37,FALSE)</f>
        <v>46200</v>
      </c>
      <c r="AE281" s="601">
        <f>VLOOKUP(F281,'2) Tracker'!$A$2:$BO$981,40,FALSE)</f>
        <v>46199</v>
      </c>
      <c r="AF281" s="601" t="str">
        <f>VLOOKUP(F281,'2) Tracker'!$A$2:$BO$981,67,FALSE)</f>
        <v/>
      </c>
      <c r="AG281" s="601">
        <f>VLOOKUP(F281,'2) Tracker'!$A$2:$BO$981,34,FALSE)</f>
        <v>46173</v>
      </c>
      <c r="AH281" s="601" t="str">
        <f>VLOOKUP(F281,'2) Tracker'!$A$2:$BN$981,66,FALSE)</f>
        <v/>
      </c>
      <c r="AI281" s="601">
        <f>VLOOKUP(F281,'2) Tracker'!$A$2:$BO$981,56,FALSE)</f>
        <v>46166</v>
      </c>
      <c r="AJ281" s="601">
        <f>VLOOKUP(F281,'2) Tracker'!$A$2:$BO$981,52,FALSE)</f>
        <v>46166</v>
      </c>
      <c r="AK281" s="601">
        <f>VLOOKUP(F281,'2) Tracker'!$A$2:$AQ$981,43,FALSE)</f>
        <v>46182</v>
      </c>
      <c r="AL281" s="601">
        <f>VLOOKUP(F281,'2) Tracker'!$A$2:$BH$981,46,FALSE())</f>
        <v>46191</v>
      </c>
      <c r="AM281" s="601">
        <f>VLOOKUP(F281,'2) Tracker'!$A$2:$BO$981,65,FALSE())</f>
        <v>46176</v>
      </c>
      <c r="AN281" s="601">
        <f>VLOOKUP(F281,'2) Tracker'!$A$2:$BK$981,63,FALSE())</f>
        <v>46199</v>
      </c>
      <c r="AO281" s="601" t="str">
        <f>VLOOKUP(F281,'2) Tracker'!$A$2:$BF$981,58,FALSE())</f>
        <v/>
      </c>
      <c r="AP281" s="46"/>
      <c r="AQ281" s="46"/>
      <c r="AR281" s="46"/>
      <c r="AS281" s="46"/>
      <c r="AT281" s="46"/>
      <c r="AU281" s="46"/>
      <c r="AV281" s="46"/>
      <c r="AW281" s="46"/>
      <c r="AX281" s="46"/>
      <c r="AY281" s="46"/>
      <c r="AZ281" s="563"/>
      <c r="BA281" s="569"/>
      <c r="BB281" s="563"/>
      <c r="BC281" s="569"/>
      <c r="BD281" s="563"/>
      <c r="BE281" s="46"/>
      <c r="BF281" s="46"/>
      <c r="BG281" s="563"/>
      <c r="BH281" s="563"/>
      <c r="BI281" s="563"/>
      <c r="BJ281" s="563"/>
    </row>
    <row r="282" spans="2:62" x14ac:dyDescent="0.25">
      <c r="B282" s="589" t="str">
        <f>VLOOKUP(F282,'2) Tracker'!$A$3:$O$411,5,FALSE)</f>
        <v>C</v>
      </c>
      <c r="C282" s="589">
        <f>VLOOKUP(F282,'2) Tracker'!$A$3:$O$411,4,FALSE)</f>
        <v>0</v>
      </c>
      <c r="D282" s="563"/>
      <c r="E282" s="563">
        <f>VLOOKUP(F282,'2) Tracker'!$A$3:$O$407,15,FALSE)</f>
        <v>0</v>
      </c>
      <c r="F282" s="569" t="s">
        <v>521</v>
      </c>
      <c r="G282" s="607">
        <f>VLOOKUP(F282,'2) Tracker'!$A$2:$BO$361,2,FALSE)</f>
        <v>42979</v>
      </c>
      <c r="H282" s="592">
        <f>VLOOKUP(F282,'2) Tracker'!$A$2:$BO$361,3,FALSE)</f>
        <v>84099</v>
      </c>
      <c r="I282" s="594" t="str">
        <f>VLOOKUP(F282,'2) Tracker'!$A$2:$BO$361,9,FALSE)</f>
        <v>BW</v>
      </c>
      <c r="J282" s="594" t="str">
        <f>VLOOKUP(F282,'2) Tracker'!$A$2:$BO$361,12,FALSE)</f>
        <v>Singapore laden</v>
      </c>
      <c r="K282" s="596">
        <f t="shared" si="305"/>
        <v>46200</v>
      </c>
      <c r="L282" s="596">
        <f t="shared" ref="L282:O282" si="434">AE282</f>
        <v>46201</v>
      </c>
      <c r="M282" s="596" t="str">
        <f t="shared" si="434"/>
        <v/>
      </c>
      <c r="N282" s="596">
        <f t="shared" si="434"/>
        <v>46177</v>
      </c>
      <c r="O282" s="597" t="str">
        <f t="shared" si="434"/>
        <v/>
      </c>
      <c r="P282" s="598" t="str">
        <f>IFERROR(IF(VLOOKUP(F282,'Voyage days'!$M$808:$N$819,2,FALSE),"GOA",""),"")</f>
        <v/>
      </c>
      <c r="Q282" s="596">
        <f t="shared" si="287"/>
        <v>46182</v>
      </c>
      <c r="R282" s="596">
        <f t="shared" si="289"/>
        <v>46205</v>
      </c>
      <c r="S282" s="595">
        <f t="shared" si="409"/>
        <v>46195</v>
      </c>
      <c r="T282" s="596">
        <f t="shared" si="410"/>
        <v>46187</v>
      </c>
      <c r="U282" s="596">
        <f t="shared" si="290"/>
        <v>46170</v>
      </c>
      <c r="V282" s="596"/>
      <c r="W282" s="596">
        <f t="shared" si="291"/>
        <v>46172</v>
      </c>
      <c r="X282" s="599" t="str">
        <f t="shared" si="411"/>
        <v/>
      </c>
      <c r="Y282" s="594"/>
      <c r="Z282" s="600" t="str">
        <f>VLOOKUP(F282,'2) Tracker'!$A$3:$Q$505,16,FALSE)</f>
        <v>ETA Singapore 20 May</v>
      </c>
      <c r="AA282" s="600" t="str">
        <f>VLOOKUP(F282,'2) Tracker'!$A$3:$R$505,18,FALSE)</f>
        <v>Vitol 11-12 Apr Enterprise</v>
      </c>
      <c r="AB282" s="600">
        <f>VLOOKUP(F282,'2) Tracker'!$A$3:$Q$505,17,FALSE)</f>
        <v>0</v>
      </c>
      <c r="AC282" s="601"/>
      <c r="AD282" s="601">
        <f>VLOOKUP(F282,'2) Tracker'!$A$2:$BO$981,37,FALSE)</f>
        <v>46200</v>
      </c>
      <c r="AE282" s="601">
        <f>VLOOKUP(F282,'2) Tracker'!$A$2:$BO$981,40,FALSE)</f>
        <v>46201</v>
      </c>
      <c r="AF282" s="601" t="str">
        <f>VLOOKUP(F282,'2) Tracker'!$A$2:$BO$981,67,FALSE)</f>
        <v/>
      </c>
      <c r="AG282" s="601">
        <f>VLOOKUP(F282,'2) Tracker'!$A$2:$BO$981,34,FALSE)</f>
        <v>46177</v>
      </c>
      <c r="AH282" s="601" t="str">
        <f>VLOOKUP(F282,'2) Tracker'!$A$2:$BN$981,66,FALSE)</f>
        <v/>
      </c>
      <c r="AI282" s="601">
        <f>VLOOKUP(F282,'2) Tracker'!$A$2:$BO$981,56,FALSE)</f>
        <v>46170</v>
      </c>
      <c r="AJ282" s="601">
        <f>VLOOKUP(F282,'2) Tracker'!$A$2:$BO$981,52,FALSE)</f>
        <v>46172</v>
      </c>
      <c r="AK282" s="601">
        <f>VLOOKUP(F282,'2) Tracker'!$A$2:$AQ$981,43,FALSE)</f>
        <v>46187</v>
      </c>
      <c r="AL282" s="601">
        <f>VLOOKUP(F282,'2) Tracker'!$A$2:$BH$981,46,FALSE())</f>
        <v>46195</v>
      </c>
      <c r="AM282" s="601">
        <f>VLOOKUP(F282,'2) Tracker'!$A$2:$BO$981,65,FALSE())</f>
        <v>46182</v>
      </c>
      <c r="AN282" s="601">
        <f>VLOOKUP(F282,'2) Tracker'!$A$2:$BK$981,63,FALSE())</f>
        <v>46205</v>
      </c>
      <c r="AO282" s="601" t="str">
        <f>VLOOKUP(F282,'2) Tracker'!$A$2:$BF$981,58,FALSE())</f>
        <v/>
      </c>
      <c r="AP282" s="46"/>
      <c r="AQ282" s="46"/>
      <c r="AR282" s="46"/>
      <c r="AS282" s="46"/>
      <c r="AT282" s="46"/>
      <c r="AU282" s="46"/>
      <c r="AV282" s="46"/>
      <c r="AW282" s="46"/>
      <c r="AX282" s="46"/>
      <c r="AY282" s="46"/>
      <c r="AZ282" s="563"/>
      <c r="BA282" s="569"/>
      <c r="BB282" s="563"/>
      <c r="BC282" s="569"/>
      <c r="BD282" s="563"/>
      <c r="BE282" s="46"/>
      <c r="BF282" s="46"/>
      <c r="BG282" s="563"/>
      <c r="BH282" s="563"/>
      <c r="BI282" s="563"/>
      <c r="BJ282" s="563"/>
    </row>
    <row r="283" spans="2:62" x14ac:dyDescent="0.25">
      <c r="B283" s="589" t="str">
        <f>VLOOKUP(F283,'2) Tracker'!$A$3:$O$411,5,FALSE)</f>
        <v>C</v>
      </c>
      <c r="C283" s="589">
        <f>VLOOKUP(F283,'2) Tracker'!$A$3:$O$411,4,FALSE)</f>
        <v>0</v>
      </c>
      <c r="D283" s="563"/>
      <c r="E283" s="563">
        <f>VLOOKUP(F283,'2) Tracker'!$A$3:$O$407,15,FALSE)</f>
        <v>0</v>
      </c>
      <c r="F283" s="604" t="s">
        <v>310</v>
      </c>
      <c r="G283" s="591">
        <f>VLOOKUP(F283,'2) Tracker'!$A$2:$BO$361,2,FALSE)</f>
        <v>2016</v>
      </c>
      <c r="H283" s="592">
        <f>VLOOKUP(F283,'2) Tracker'!$A$2:$BO$361,3,FALSE)</f>
        <v>83000</v>
      </c>
      <c r="I283" s="600" t="str">
        <f>VLOOKUP(F283,'2) Tracker'!$A$2:$BO$361,9,FALSE)</f>
        <v>Sinogas</v>
      </c>
      <c r="J283" s="594" t="str">
        <f>VLOOKUP(F283,'2) Tracker'!$A$2:$BO$361,12,FALSE)</f>
        <v>Vietnam</v>
      </c>
      <c r="K283" s="596">
        <f t="shared" si="305"/>
        <v>46200</v>
      </c>
      <c r="L283" s="596">
        <f t="shared" ref="L283:O283" si="435">AE283</f>
        <v>46203</v>
      </c>
      <c r="M283" s="596" t="str">
        <f t="shared" si="435"/>
        <v/>
      </c>
      <c r="N283" s="597">
        <f t="shared" si="435"/>
        <v>46177</v>
      </c>
      <c r="O283" s="597" t="str">
        <f t="shared" si="435"/>
        <v/>
      </c>
      <c r="P283" s="622" t="str">
        <f>IFERROR(IF(VLOOKUP(F283,'Voyage days'!$M$808:$N$828,2,FALSE),"GOA",""),"")</f>
        <v>GOA</v>
      </c>
      <c r="Q283" s="623">
        <f t="shared" si="287"/>
        <v>46179</v>
      </c>
      <c r="R283" s="596">
        <f t="shared" si="289"/>
        <v>46204</v>
      </c>
      <c r="S283" s="595">
        <f t="shared" si="409"/>
        <v>46194</v>
      </c>
      <c r="T283" s="596">
        <f t="shared" si="410"/>
        <v>46188</v>
      </c>
      <c r="U283" s="596">
        <f t="shared" si="290"/>
        <v>46167</v>
      </c>
      <c r="V283" s="596"/>
      <c r="W283" s="596">
        <f t="shared" si="291"/>
        <v>46170.25</v>
      </c>
      <c r="X283" s="599" t="str">
        <f t="shared" si="411"/>
        <v/>
      </c>
      <c r="Y283" s="614"/>
      <c r="Z283" s="600" t="str">
        <f>VLOOKUP(F283,'2) Tracker'!$A$3:$Q$505,16,FALSE)</f>
        <v>ETA Vung Tau 20 May</v>
      </c>
      <c r="AA283" s="600" t="str">
        <f>VLOOKUP(F283,'2) Tracker'!$A$3:$R$505,18,FALSE)</f>
        <v>BP 07-08 Apr Nederland</v>
      </c>
      <c r="AB283" s="600">
        <f>VLOOKUP(F283,'2) Tracker'!$A$3:$Q$505,17,FALSE)</f>
        <v>0</v>
      </c>
      <c r="AC283" s="601"/>
      <c r="AD283" s="601">
        <f>VLOOKUP(F283,'2) Tracker'!$A$2:$BO$981,37,FALSE)</f>
        <v>46200</v>
      </c>
      <c r="AE283" s="601">
        <f>VLOOKUP(F283,'2) Tracker'!$A$2:$BO$981,40,FALSE)</f>
        <v>46203</v>
      </c>
      <c r="AF283" s="601" t="str">
        <f>VLOOKUP(F283,'2) Tracker'!$A$2:$BO$981,67,FALSE)</f>
        <v/>
      </c>
      <c r="AG283" s="601">
        <f>VLOOKUP(F283,'2) Tracker'!$A$2:$BO$981,34,FALSE)</f>
        <v>46177</v>
      </c>
      <c r="AH283" s="601" t="str">
        <f>VLOOKUP(F283,'2) Tracker'!$A$2:$BN$981,66,FALSE)</f>
        <v/>
      </c>
      <c r="AI283" s="601">
        <f>VLOOKUP(F283,'2) Tracker'!$A$2:$BO$981,56,FALSE)</f>
        <v>46167</v>
      </c>
      <c r="AJ283" s="601">
        <f>VLOOKUP(F283,'2) Tracker'!$A$2:$BO$981,52,FALSE)</f>
        <v>46170.25</v>
      </c>
      <c r="AK283" s="601">
        <f>VLOOKUP(F283,'2) Tracker'!$A$2:$AQ$981,43,FALSE)</f>
        <v>46188</v>
      </c>
      <c r="AL283" s="601">
        <f>VLOOKUP(F283,'2) Tracker'!$A$2:$BH$981,46,FALSE())</f>
        <v>46194</v>
      </c>
      <c r="AM283" s="601">
        <f>VLOOKUP(F283,'2) Tracker'!$A$2:$BO$981,65,FALSE())</f>
        <v>46179</v>
      </c>
      <c r="AN283" s="601">
        <f>VLOOKUP(F283,'2) Tracker'!$A$2:$BK$981,63,FALSE())</f>
        <v>46204</v>
      </c>
      <c r="AO283" s="601" t="str">
        <f>VLOOKUP(F283,'2) Tracker'!$A$2:$BF$981,58,FALSE())</f>
        <v/>
      </c>
      <c r="AP283" s="46"/>
      <c r="AQ283" s="46"/>
      <c r="AR283" s="46"/>
      <c r="AS283" s="46"/>
      <c r="AT283" s="46"/>
      <c r="AU283" s="46"/>
      <c r="AV283" s="46"/>
      <c r="AW283" s="46"/>
      <c r="AX283" s="46"/>
      <c r="AY283" s="46"/>
      <c r="AZ283" s="605"/>
      <c r="BA283" s="604"/>
      <c r="BB283" s="605"/>
      <c r="BC283" s="604"/>
      <c r="BD283" s="605"/>
      <c r="BE283" s="46"/>
      <c r="BF283" s="46"/>
      <c r="BG283" s="605"/>
      <c r="BH283" s="605"/>
      <c r="BI283" s="605"/>
      <c r="BJ283" s="605"/>
    </row>
    <row r="284" spans="2:62" x14ac:dyDescent="0.25">
      <c r="B284" s="589">
        <f>VLOOKUP(F284,'2) Tracker'!$A$3:$O$411,5,FALSE)</f>
        <v>0</v>
      </c>
      <c r="C284" s="589">
        <f>VLOOKUP(F284,'2) Tracker'!$A$3:$O$411,4,FALSE)</f>
        <v>0</v>
      </c>
      <c r="D284" s="563"/>
      <c r="E284" s="563">
        <f>VLOOKUP(F284,'2) Tracker'!$A$3:$O$407,15,FALSE)</f>
        <v>0</v>
      </c>
      <c r="F284" s="608" t="s">
        <v>218</v>
      </c>
      <c r="G284" s="607">
        <f>VLOOKUP(F284,'2) Tracker'!$A$2:$BO$361,2,FALSE)</f>
        <v>41579</v>
      </c>
      <c r="H284" s="592">
        <f>VLOOKUP(F284,'2) Tracker'!$A$2:$BO$361,3,FALSE)</f>
        <v>82200</v>
      </c>
      <c r="I284" s="593" t="str">
        <f>VLOOKUP(F284,'2) Tracker'!$A$2:$BO$361,9,FALSE)</f>
        <v>Equinor</v>
      </c>
      <c r="J284" s="594" t="str">
        <f>VLOOKUP(F284,'2) Tracker'!$A$2:$BO$361,12,FALSE)</f>
        <v>Port Louis laden</v>
      </c>
      <c r="K284" s="596">
        <f t="shared" si="305"/>
        <v>46201</v>
      </c>
      <c r="L284" s="596">
        <f t="shared" ref="L284:O284" si="436">AE284</f>
        <v>46209</v>
      </c>
      <c r="M284" s="596" t="str">
        <f t="shared" si="436"/>
        <v/>
      </c>
      <c r="N284" s="596">
        <f t="shared" si="436"/>
        <v>46181</v>
      </c>
      <c r="O284" s="597" t="str">
        <f t="shared" si="436"/>
        <v/>
      </c>
      <c r="P284" s="598" t="str">
        <f>IFERROR(IF(VLOOKUP(F284,'Voyage days'!$M$808:$N$819,2,FALSE),"GOA",""),"")</f>
        <v/>
      </c>
      <c r="Q284" s="596">
        <f t="shared" si="287"/>
        <v>46156</v>
      </c>
      <c r="R284" s="596">
        <f t="shared" si="289"/>
        <v>46208</v>
      </c>
      <c r="S284" s="595">
        <f t="shared" si="409"/>
        <v>46200</v>
      </c>
      <c r="T284" s="596">
        <f t="shared" si="410"/>
        <v>46192</v>
      </c>
      <c r="U284" s="596">
        <f t="shared" si="290"/>
        <v>46173</v>
      </c>
      <c r="V284" s="596"/>
      <c r="W284" s="596">
        <f t="shared" si="291"/>
        <v>46175</v>
      </c>
      <c r="X284" s="599" t="str">
        <f t="shared" si="411"/>
        <v/>
      </c>
      <c r="Y284" s="594"/>
      <c r="Z284" s="600" t="str">
        <f>VLOOKUP(F284,'2) Tracker'!$A$3:$Q$505,16,FALSE)</f>
        <v>@ ETA Port Louis 13 may</v>
      </c>
      <c r="AA284" s="600" t="str">
        <f>VLOOKUP(F284,'2) Tracker'!$A$3:$R$505,18,FALSE)</f>
        <v>Equinor 12-13 Apr Enterprise</v>
      </c>
      <c r="AB284" s="600">
        <f>VLOOKUP(F284,'2) Tracker'!$A$3:$Q$505,17,FALSE)</f>
        <v>0</v>
      </c>
      <c r="AC284" s="601"/>
      <c r="AD284" s="601">
        <f>VLOOKUP(F284,'2) Tracker'!$A$2:$BO$981,37,FALSE)</f>
        <v>46201</v>
      </c>
      <c r="AE284" s="601">
        <f>VLOOKUP(F284,'2) Tracker'!$A$2:$BO$981,40,FALSE)</f>
        <v>46209</v>
      </c>
      <c r="AF284" s="601" t="str">
        <f>VLOOKUP(F284,'2) Tracker'!$A$2:$BO$981,67,FALSE)</f>
        <v/>
      </c>
      <c r="AG284" s="601">
        <f>VLOOKUP(F284,'2) Tracker'!$A$2:$BO$981,34,FALSE)</f>
        <v>46181</v>
      </c>
      <c r="AH284" s="601" t="str">
        <f>VLOOKUP(F284,'2) Tracker'!$A$2:$BN$981,66,FALSE)</f>
        <v/>
      </c>
      <c r="AI284" s="601">
        <f>VLOOKUP(F284,'2) Tracker'!$A$2:$BO$981,56,FALSE)</f>
        <v>46173</v>
      </c>
      <c r="AJ284" s="601">
        <f>VLOOKUP(F284,'2) Tracker'!$A$2:$BO$981,52,FALSE)</f>
        <v>46175</v>
      </c>
      <c r="AK284" s="601">
        <f>VLOOKUP(F284,'2) Tracker'!$A$2:$AQ$981,43,FALSE)</f>
        <v>46192</v>
      </c>
      <c r="AL284" s="601">
        <f>VLOOKUP(F284,'2) Tracker'!$A$2:$BH$981,46,FALSE())</f>
        <v>46200</v>
      </c>
      <c r="AM284" s="601">
        <f>VLOOKUP(F284,'2) Tracker'!$A$2:$BO$981,65,FALSE())</f>
        <v>46156</v>
      </c>
      <c r="AN284" s="601">
        <f>VLOOKUP(F284,'2) Tracker'!$A$2:$BK$981,63,FALSE())</f>
        <v>46208</v>
      </c>
      <c r="AO284" s="601" t="str">
        <f>VLOOKUP(F284,'2) Tracker'!$A$2:$BF$981,58,FALSE())</f>
        <v/>
      </c>
      <c r="AP284" s="46"/>
      <c r="AQ284" s="46"/>
      <c r="AR284" s="46"/>
      <c r="AS284" s="46"/>
      <c r="AT284" s="46"/>
      <c r="AU284" s="46"/>
      <c r="AV284" s="46"/>
      <c r="AW284" s="46"/>
      <c r="AX284" s="46"/>
      <c r="AY284" s="46"/>
      <c r="AZ284" s="563"/>
      <c r="BA284" s="569"/>
      <c r="BB284" s="563"/>
      <c r="BC284" s="569"/>
      <c r="BD284" s="563"/>
      <c r="BE284" s="46"/>
      <c r="BF284" s="46"/>
      <c r="BG284" s="563"/>
      <c r="BH284" s="563"/>
      <c r="BI284" s="563"/>
      <c r="BJ284" s="563"/>
    </row>
    <row r="285" spans="2:62" x14ac:dyDescent="0.25">
      <c r="B285" s="589">
        <f>VLOOKUP(F285,'2) Tracker'!$A$3:$O$411,5,FALSE)</f>
        <v>0</v>
      </c>
      <c r="C285" s="589">
        <f>VLOOKUP(F285,'2) Tracker'!$A$3:$O$411,4,FALSE)</f>
        <v>0</v>
      </c>
      <c r="D285" s="563"/>
      <c r="E285" s="563">
        <f>VLOOKUP(F285,'2) Tracker'!$A$3:$O$407,15,FALSE)</f>
        <v>0</v>
      </c>
      <c r="F285" s="604" t="s">
        <v>243</v>
      </c>
      <c r="G285" s="591">
        <f>VLOOKUP(F285,'2) Tracker'!$A$2:$BO$361,2,FALSE)</f>
        <v>2020</v>
      </c>
      <c r="H285" s="592">
        <f>VLOOKUP(F285,'2) Tracker'!$A$2:$BO$361,3,FALSE)</f>
        <v>83000</v>
      </c>
      <c r="I285" s="600" t="str">
        <f>VLOOKUP(F285,'2) Tracker'!$A$2:$BO$361,9,FALSE)</f>
        <v>Mercuria</v>
      </c>
      <c r="J285" s="594" t="str">
        <f>VLOOKUP(F285,'2) Tracker'!$A$2:$BO$361,12,FALSE)</f>
        <v>Far East</v>
      </c>
      <c r="K285" s="595">
        <f t="shared" si="305"/>
        <v>46202</v>
      </c>
      <c r="L285" s="595">
        <f t="shared" ref="L285:O285" si="437">AE285</f>
        <v>46210</v>
      </c>
      <c r="M285" s="596" t="str">
        <f t="shared" si="437"/>
        <v/>
      </c>
      <c r="N285" s="596">
        <f t="shared" si="437"/>
        <v>46190</v>
      </c>
      <c r="O285" s="597" t="str">
        <f t="shared" si="437"/>
        <v/>
      </c>
      <c r="P285" s="598" t="str">
        <f>IFERROR(IF(VLOOKUP(F285,'Voyage days'!$M$808:$N$819,2,FALSE),"GOA",""),"")</f>
        <v/>
      </c>
      <c r="Q285" s="596">
        <f t="shared" si="287"/>
        <v>46194</v>
      </c>
      <c r="R285" s="595">
        <f t="shared" si="289"/>
        <v>46218</v>
      </c>
      <c r="S285" s="595">
        <f t="shared" si="409"/>
        <v>46208</v>
      </c>
      <c r="T285" s="596">
        <f t="shared" si="410"/>
        <v>46202</v>
      </c>
      <c r="U285" s="595">
        <f t="shared" si="290"/>
        <v>46182</v>
      </c>
      <c r="V285" s="616"/>
      <c r="W285" s="616">
        <f t="shared" si="291"/>
        <v>46180.25</v>
      </c>
      <c r="X285" s="599">
        <f t="shared" si="411"/>
        <v>46183</v>
      </c>
      <c r="Y285" s="594"/>
      <c r="Z285" s="600" t="str">
        <f>VLOOKUP(F285,'2) Tracker'!$A$3:$Q$505,16,FALSE)</f>
        <v>ETA Eastern Asia 30 May</v>
      </c>
      <c r="AA285" s="600" t="str">
        <f>VLOOKUP(F285,'2) Tracker'!$A$3:$R$505,18,FALSE)</f>
        <v>Eneos 21-22 Apr Nederland</v>
      </c>
      <c r="AB285" s="600">
        <f>VLOOKUP(F285,'2) Tracker'!$A$3:$Q$505,17,FALSE)</f>
        <v>0</v>
      </c>
      <c r="AC285" s="601"/>
      <c r="AD285" s="601">
        <f>VLOOKUP(F285,'2) Tracker'!$A$2:$BO$981,37,FALSE)</f>
        <v>46202</v>
      </c>
      <c r="AE285" s="601">
        <f>VLOOKUP(F285,'2) Tracker'!$A$2:$BO$981,40,FALSE)</f>
        <v>46210</v>
      </c>
      <c r="AF285" s="601" t="str">
        <f>VLOOKUP(F285,'2) Tracker'!$A$2:$BO$981,67,FALSE)</f>
        <v/>
      </c>
      <c r="AG285" s="601">
        <f>VLOOKUP(F285,'2) Tracker'!$A$2:$BO$981,34,FALSE)</f>
        <v>46190</v>
      </c>
      <c r="AH285" s="601" t="str">
        <f>VLOOKUP(F285,'2) Tracker'!$A$2:$BN$981,66,FALSE)</f>
        <v/>
      </c>
      <c r="AI285" s="601">
        <f>VLOOKUP(F285,'2) Tracker'!$A$2:$BO$981,56,FALSE)</f>
        <v>46182</v>
      </c>
      <c r="AJ285" s="601">
        <f>VLOOKUP(F285,'2) Tracker'!$A$2:$BO$981,52,FALSE)</f>
        <v>46180.25</v>
      </c>
      <c r="AK285" s="601">
        <f>VLOOKUP(F285,'2) Tracker'!$A$2:$AQ$981,43,FALSE)</f>
        <v>46202</v>
      </c>
      <c r="AL285" s="601">
        <f>VLOOKUP(F285,'2) Tracker'!$A$2:$BH$981,46,FALSE())</f>
        <v>46208</v>
      </c>
      <c r="AM285" s="601">
        <f>VLOOKUP(F285,'2) Tracker'!$A$2:$BO$981,65,FALSE())</f>
        <v>46194</v>
      </c>
      <c r="AN285" s="601">
        <f>VLOOKUP(F285,'2) Tracker'!$A$2:$BK$981,63,FALSE())</f>
        <v>46218</v>
      </c>
      <c r="AO285" s="601">
        <f>VLOOKUP(F285,'2) Tracker'!$A$2:$BF$981,58,FALSE())</f>
        <v>46183</v>
      </c>
      <c r="AP285" s="46"/>
      <c r="AQ285" s="46"/>
      <c r="AR285" s="46"/>
      <c r="AS285" s="46"/>
      <c r="AT285" s="46"/>
      <c r="AU285" s="46"/>
      <c r="AV285" s="46"/>
      <c r="AW285" s="46"/>
      <c r="AX285" s="46"/>
      <c r="AY285" s="46"/>
      <c r="AZ285" s="563"/>
      <c r="BA285" s="569"/>
      <c r="BB285" s="563"/>
      <c r="BC285" s="569"/>
      <c r="BD285" s="563"/>
      <c r="BE285" s="46"/>
      <c r="BF285" s="46"/>
      <c r="BG285" s="563"/>
      <c r="BH285" s="563"/>
      <c r="BI285" s="563"/>
      <c r="BJ285" s="563"/>
    </row>
    <row r="286" spans="2:62" x14ac:dyDescent="0.25">
      <c r="B286" s="589">
        <f>VLOOKUP(F286,'2) Tracker'!$A$3:$O$411,5,FALSE)</f>
        <v>0</v>
      </c>
      <c r="C286" s="589">
        <f>VLOOKUP(F286,'2) Tracker'!$A$3:$O$411,4,FALSE)</f>
        <v>0</v>
      </c>
      <c r="D286" s="563"/>
      <c r="E286" s="563">
        <f>VLOOKUP(F286,'2) Tracker'!$A$3:$O$407,15,FALSE)</f>
        <v>0</v>
      </c>
      <c r="F286" s="604" t="s">
        <v>620</v>
      </c>
      <c r="G286" s="607">
        <f>VLOOKUP(F286,'2) Tracker'!$A$2:$BO$361,2,FALSE)</f>
        <v>39630</v>
      </c>
      <c r="H286" s="592">
        <f>VLOOKUP(F286,'2) Tracker'!$A$2:$BO$361,3,FALSE)</f>
        <v>82182</v>
      </c>
      <c r="I286" s="600" t="str">
        <f>VLOOKUP(F286,'2) Tracker'!$A$2:$BO$361,9,FALSE)</f>
        <v>Neptune</v>
      </c>
      <c r="J286" s="594" t="str">
        <f>VLOOKUP(F286,'2) Tracker'!$A$2:$BO$361,12,FALSE)</f>
        <v>Indo</v>
      </c>
      <c r="K286" s="596">
        <f t="shared" si="305"/>
        <v>46202</v>
      </c>
      <c r="L286" s="596">
        <f t="shared" ref="L286:O286" si="438">AE286</f>
        <v>46201</v>
      </c>
      <c r="M286" s="596" t="str">
        <f t="shared" si="438"/>
        <v/>
      </c>
      <c r="N286" s="597">
        <f t="shared" si="438"/>
        <v>46175</v>
      </c>
      <c r="O286" s="597" t="str">
        <f t="shared" si="438"/>
        <v/>
      </c>
      <c r="P286" s="598" t="str">
        <f>IFERROR(IF(VLOOKUP(F286,'Voyage days'!$M$808:$N$819,2,FALSE),"GOA",""),"")</f>
        <v/>
      </c>
      <c r="Q286" s="596">
        <f t="shared" si="287"/>
        <v>46178</v>
      </c>
      <c r="R286" s="595">
        <f t="shared" si="289"/>
        <v>46201</v>
      </c>
      <c r="S286" s="595">
        <f t="shared" si="409"/>
        <v>46193</v>
      </c>
      <c r="T286" s="596">
        <f t="shared" si="410"/>
        <v>46184</v>
      </c>
      <c r="U286" s="595">
        <f t="shared" si="290"/>
        <v>46168</v>
      </c>
      <c r="V286" s="596"/>
      <c r="W286" s="596">
        <f t="shared" si="291"/>
        <v>46168</v>
      </c>
      <c r="X286" s="599" t="str">
        <f t="shared" si="411"/>
        <v/>
      </c>
      <c r="Y286" s="594"/>
      <c r="Z286" s="600" t="str">
        <f>VLOOKUP(F286,'2) Tracker'!$A$3:$Q$505,16,FALSE)</f>
        <v>ETA Tg Sekong 19 May</v>
      </c>
      <c r="AA286" s="600" t="str">
        <f>VLOOKUP(F286,'2) Tracker'!$A$3:$R$505,18,FALSE)</f>
        <v>Pertamina 08-09 Apr Freeport</v>
      </c>
      <c r="AB286" s="600">
        <f>VLOOKUP(F286,'2) Tracker'!$A$3:$Q$505,17,FALSE)</f>
        <v>0</v>
      </c>
      <c r="AC286" s="601"/>
      <c r="AD286" s="601">
        <f>VLOOKUP(F286,'2) Tracker'!$A$2:$BO$981,37,FALSE)</f>
        <v>46202</v>
      </c>
      <c r="AE286" s="601">
        <f>VLOOKUP(F286,'2) Tracker'!$A$2:$BO$981,40,FALSE)</f>
        <v>46201</v>
      </c>
      <c r="AF286" s="601" t="str">
        <f>VLOOKUP(F286,'2) Tracker'!$A$2:$BO$981,67,FALSE)</f>
        <v/>
      </c>
      <c r="AG286" s="601">
        <f>VLOOKUP(F286,'2) Tracker'!$A$2:$BO$981,34,FALSE)</f>
        <v>46175</v>
      </c>
      <c r="AH286" s="601" t="str">
        <f>VLOOKUP(F286,'2) Tracker'!$A$2:$BN$981,66,FALSE)</f>
        <v/>
      </c>
      <c r="AI286" s="601">
        <f>VLOOKUP(F286,'2) Tracker'!$A$2:$BO$981,56,FALSE)</f>
        <v>46168</v>
      </c>
      <c r="AJ286" s="601">
        <f>VLOOKUP(F286,'2) Tracker'!$A$2:$BO$981,52,FALSE)</f>
        <v>46168</v>
      </c>
      <c r="AK286" s="601">
        <f>VLOOKUP(F286,'2) Tracker'!$A$2:$AQ$981,43,FALSE)</f>
        <v>46184</v>
      </c>
      <c r="AL286" s="601">
        <f>VLOOKUP(F286,'2) Tracker'!$A$2:$BH$981,46,FALSE())</f>
        <v>46193</v>
      </c>
      <c r="AM286" s="601">
        <f>VLOOKUP(F286,'2) Tracker'!$A$2:$BO$981,65,FALSE())</f>
        <v>46178</v>
      </c>
      <c r="AN286" s="601">
        <f>VLOOKUP(F286,'2) Tracker'!$A$2:$BK$981,63,FALSE())</f>
        <v>46201</v>
      </c>
      <c r="AO286" s="601" t="str">
        <f>VLOOKUP(F286,'2) Tracker'!$A$2:$BF$981,58,FALSE())</f>
        <v/>
      </c>
      <c r="AP286" s="46"/>
      <c r="AQ286" s="46"/>
      <c r="AR286" s="46"/>
      <c r="AS286" s="46"/>
      <c r="AT286" s="46"/>
      <c r="AU286" s="46"/>
      <c r="AV286" s="46"/>
      <c r="AW286" s="46"/>
      <c r="AX286" s="46"/>
      <c r="AY286" s="46"/>
      <c r="AZ286" s="563"/>
      <c r="BA286" s="604" t="e">
        <f>VLOOKUP(AZ286,#REF!,2, FALSE)</f>
        <v>#REF!</v>
      </c>
      <c r="BB286" s="605" t="e">
        <f>VLOOKUP(AZ286,'1) Kpler'!$E$2:$F$500,2,FALSE)</f>
        <v>#N/A</v>
      </c>
      <c r="BC286" s="569"/>
      <c r="BD286" s="563"/>
      <c r="BE286" s="46"/>
      <c r="BF286" s="46"/>
      <c r="BG286" s="563"/>
      <c r="BH286" s="563"/>
      <c r="BI286" s="563"/>
      <c r="BJ286" s="563"/>
    </row>
    <row r="287" spans="2:62" x14ac:dyDescent="0.25">
      <c r="B287" s="589">
        <f>VLOOKUP(F287,'2) Tracker'!$A$3:$O$411,5,FALSE)</f>
        <v>0</v>
      </c>
      <c r="C287" s="589">
        <f>VLOOKUP(F287,'2) Tracker'!$A$3:$O$411,4,FALSE)</f>
        <v>0</v>
      </c>
      <c r="D287" s="563"/>
      <c r="E287" s="563">
        <f>VLOOKUP(F287,'2) Tracker'!$A$3:$O$407,15,FALSE)</f>
        <v>0</v>
      </c>
      <c r="F287" s="604" t="s">
        <v>639</v>
      </c>
      <c r="G287" s="607">
        <f>VLOOKUP(F287,'2) Tracker'!$A$2:$BO$361,2,FALSE)</f>
        <v>40040</v>
      </c>
      <c r="H287" s="592">
        <f>VLOOKUP(F287,'2) Tracker'!$A$2:$BO$361,3,FALSE)</f>
        <v>78000</v>
      </c>
      <c r="I287" s="594" t="str">
        <f>VLOOKUP(F287,'2) Tracker'!$A$2:$BO$361,9,FALSE)</f>
        <v>Vitol</v>
      </c>
      <c r="J287" s="594" t="str">
        <f>VLOOKUP(F287,'2) Tracker'!$A$2:$BO$361,12,FALSE)</f>
        <v>Indo</v>
      </c>
      <c r="K287" s="596">
        <f t="shared" si="305"/>
        <v>46204</v>
      </c>
      <c r="L287" s="596">
        <f t="shared" ref="L287:O287" si="439">AE287</f>
        <v>46203</v>
      </c>
      <c r="M287" s="596" t="str">
        <f t="shared" si="439"/>
        <v/>
      </c>
      <c r="N287" s="596">
        <f t="shared" si="439"/>
        <v>46177</v>
      </c>
      <c r="O287" s="597" t="str">
        <f t="shared" si="439"/>
        <v/>
      </c>
      <c r="P287" s="598" t="str">
        <f>IFERROR(IF(VLOOKUP(F287,'Voyage days'!$M$808:$N$819,2,FALSE),"GOA",""),"")</f>
        <v/>
      </c>
      <c r="Q287" s="596">
        <f t="shared" si="287"/>
        <v>46180</v>
      </c>
      <c r="R287" s="596">
        <f t="shared" si="289"/>
        <v>46203</v>
      </c>
      <c r="S287" s="595">
        <f t="shared" si="409"/>
        <v>46195</v>
      </c>
      <c r="T287" s="596">
        <f t="shared" si="410"/>
        <v>46186</v>
      </c>
      <c r="U287" s="596">
        <f t="shared" si="290"/>
        <v>46170</v>
      </c>
      <c r="V287" s="570" t="s">
        <v>1577</v>
      </c>
      <c r="W287" s="596">
        <f t="shared" si="291"/>
        <v>46170</v>
      </c>
      <c r="X287" s="599" t="str">
        <f t="shared" si="411"/>
        <v/>
      </c>
      <c r="Y287" s="651"/>
      <c r="Z287" s="600" t="str">
        <f>VLOOKUP(F287,'2) Tracker'!$A$3:$Q$505,16,FALSE)</f>
        <v>ETA Merak 20 May</v>
      </c>
      <c r="AA287" s="600" t="str">
        <f>VLOOKUP(F287,'2) Tracker'!$A$3:$R$505,18,FALSE)</f>
        <v>Vitol 07-08 Apr Nederland</v>
      </c>
      <c r="AB287" s="600">
        <f>VLOOKUP(F287,'2) Tracker'!$A$3:$Q$505,17,FALSE)</f>
        <v>0</v>
      </c>
      <c r="AC287" s="601"/>
      <c r="AD287" s="601">
        <f>VLOOKUP(F287,'2) Tracker'!$A$2:$BO$981,37,FALSE)</f>
        <v>46204</v>
      </c>
      <c r="AE287" s="601">
        <f>VLOOKUP(F287,'2) Tracker'!$A$2:$BO$981,40,FALSE)</f>
        <v>46203</v>
      </c>
      <c r="AF287" s="601" t="str">
        <f>VLOOKUP(F287,'2) Tracker'!$A$2:$BO$981,67,FALSE)</f>
        <v/>
      </c>
      <c r="AG287" s="601">
        <f>VLOOKUP(F287,'2) Tracker'!$A$2:$BO$981,34,FALSE)</f>
        <v>46177</v>
      </c>
      <c r="AH287" s="601" t="str">
        <f>VLOOKUP(F287,'2) Tracker'!$A$2:$BN$981,66,FALSE)</f>
        <v/>
      </c>
      <c r="AI287" s="601">
        <f>VLOOKUP(F287,'2) Tracker'!$A$2:$BO$981,56,FALSE)</f>
        <v>46170</v>
      </c>
      <c r="AJ287" s="601">
        <f>VLOOKUP(F287,'2) Tracker'!$A$2:$BO$981,52,FALSE)</f>
        <v>46170</v>
      </c>
      <c r="AK287" s="601">
        <f>VLOOKUP(F287,'2) Tracker'!$A$2:$AQ$981,43,FALSE)</f>
        <v>46186</v>
      </c>
      <c r="AL287" s="601">
        <f>VLOOKUP(F287,'2) Tracker'!$A$2:$BH$981,46,FALSE())</f>
        <v>46195</v>
      </c>
      <c r="AM287" s="601">
        <f>VLOOKUP(F287,'2) Tracker'!$A$2:$BO$981,65,FALSE())</f>
        <v>46180</v>
      </c>
      <c r="AN287" s="601">
        <f>VLOOKUP(F287,'2) Tracker'!$A$2:$BK$981,63,FALSE())</f>
        <v>46203</v>
      </c>
      <c r="AO287" s="601" t="str">
        <f>VLOOKUP(F287,'2) Tracker'!$A$2:$BF$981,58,FALSE())</f>
        <v/>
      </c>
      <c r="AP287" s="46"/>
      <c r="AQ287" s="46"/>
      <c r="AR287" s="46"/>
      <c r="AS287" s="46"/>
      <c r="AT287" s="46"/>
      <c r="AU287" s="46"/>
      <c r="AV287" s="46"/>
      <c r="AW287" s="46"/>
      <c r="AX287" s="46"/>
      <c r="AY287" s="46"/>
      <c r="AZ287" s="563"/>
      <c r="BA287" s="569"/>
      <c r="BB287" s="563"/>
      <c r="BC287" s="569"/>
      <c r="BD287" s="563"/>
      <c r="BE287" s="46"/>
      <c r="BF287" s="46"/>
      <c r="BG287" s="563"/>
      <c r="BH287" s="563"/>
      <c r="BI287" s="563"/>
      <c r="BJ287" s="563"/>
    </row>
    <row r="288" spans="2:62" x14ac:dyDescent="0.25">
      <c r="B288" s="589">
        <f>VLOOKUP(F288,'2) Tracker'!$A$3:$O$411,5,FALSE)</f>
        <v>0</v>
      </c>
      <c r="C288" s="589">
        <f>VLOOKUP(F288,'2) Tracker'!$A$3:$O$411,4,FALSE)</f>
        <v>0</v>
      </c>
      <c r="D288" s="563"/>
      <c r="E288" s="563">
        <f>VLOOKUP(F288,'2) Tracker'!$A$3:$O$407,15,FALSE)</f>
        <v>0</v>
      </c>
      <c r="F288" s="604" t="s">
        <v>463</v>
      </c>
      <c r="G288" s="617">
        <f>VLOOKUP(F288,'2) Tracker'!$A$2:$BO$361,2,FALSE)</f>
        <v>37981</v>
      </c>
      <c r="H288" s="592">
        <f>VLOOKUP(F288,'2) Tracker'!$A$2:$BO$361,3,FALSE)</f>
        <v>78908</v>
      </c>
      <c r="I288" s="600" t="str">
        <f>VLOOKUP(F288,'2) Tracker'!$A$2:$BO$361,9,FALSE)</f>
        <v>Astomos</v>
      </c>
      <c r="J288" s="594" t="str">
        <f>VLOOKUP(F288,'2) Tracker'!$A$2:$BO$361,12,FALSE)</f>
        <v>Indo</v>
      </c>
      <c r="K288" s="596">
        <f t="shared" si="305"/>
        <v>46208</v>
      </c>
      <c r="L288" s="596">
        <f t="shared" ref="L288:O288" si="440">AE288</f>
        <v>46207</v>
      </c>
      <c r="M288" s="596" t="str">
        <f t="shared" si="440"/>
        <v/>
      </c>
      <c r="N288" s="596">
        <f t="shared" si="440"/>
        <v>46181</v>
      </c>
      <c r="O288" s="597" t="str">
        <f t="shared" si="440"/>
        <v/>
      </c>
      <c r="P288" s="598" t="str">
        <f>IFERROR(IF(VLOOKUP(F288,'Voyage days'!$M$808:$N$819,2,FALSE),"GOA",""),"")</f>
        <v/>
      </c>
      <c r="Q288" s="596">
        <f t="shared" si="287"/>
        <v>46184</v>
      </c>
      <c r="R288" s="595">
        <f t="shared" si="289"/>
        <v>46207</v>
      </c>
      <c r="S288" s="595">
        <f t="shared" si="409"/>
        <v>46199</v>
      </c>
      <c r="T288" s="596">
        <f t="shared" si="410"/>
        <v>46190</v>
      </c>
      <c r="U288" s="595">
        <f t="shared" si="290"/>
        <v>46174</v>
      </c>
      <c r="V288" s="570" t="s">
        <v>1577</v>
      </c>
      <c r="W288" s="596">
        <f t="shared" si="291"/>
        <v>46174</v>
      </c>
      <c r="X288" s="599" t="str">
        <f t="shared" si="411"/>
        <v/>
      </c>
      <c r="Y288" s="594"/>
      <c r="Z288" s="600" t="str">
        <f>VLOOKUP(F288,'2) Tracker'!$A$3:$Q$505,16,FALSE)</f>
        <v>ETA Blang Lancang 24 May</v>
      </c>
      <c r="AA288" s="600" t="str">
        <f>VLOOKUP(F288,'2) Tracker'!$A$3:$R$505,18,FALSE)</f>
        <v>Astomos 09-10 Apr Nederland</v>
      </c>
      <c r="AB288" s="600">
        <f>VLOOKUP(F288,'2) Tracker'!$A$3:$Q$505,17,FALSE)</f>
        <v>0</v>
      </c>
      <c r="AC288" s="601"/>
      <c r="AD288" s="601">
        <f>VLOOKUP(F288,'2) Tracker'!$A$2:$BO$981,37,FALSE)</f>
        <v>46208</v>
      </c>
      <c r="AE288" s="601">
        <f>VLOOKUP(F288,'2) Tracker'!$A$2:$BO$981,40,FALSE)</f>
        <v>46207</v>
      </c>
      <c r="AF288" s="601" t="str">
        <f>VLOOKUP(F288,'2) Tracker'!$A$2:$BO$981,67,FALSE)</f>
        <v/>
      </c>
      <c r="AG288" s="601">
        <f>VLOOKUP(F288,'2) Tracker'!$A$2:$BO$981,34,FALSE)</f>
        <v>46181</v>
      </c>
      <c r="AH288" s="601" t="str">
        <f>VLOOKUP(F288,'2) Tracker'!$A$2:$BN$981,66,FALSE)</f>
        <v/>
      </c>
      <c r="AI288" s="601">
        <f>VLOOKUP(F288,'2) Tracker'!$A$2:$BO$981,56,FALSE)</f>
        <v>46174</v>
      </c>
      <c r="AJ288" s="601">
        <f>VLOOKUP(F288,'2) Tracker'!$A$2:$BO$981,52,FALSE)</f>
        <v>46174</v>
      </c>
      <c r="AK288" s="601">
        <f>VLOOKUP(F288,'2) Tracker'!$A$2:$AQ$981,43,FALSE)</f>
        <v>46190</v>
      </c>
      <c r="AL288" s="601">
        <f>VLOOKUP(F288,'2) Tracker'!$A$2:$BH$981,46,FALSE())</f>
        <v>46199</v>
      </c>
      <c r="AM288" s="601">
        <f>VLOOKUP(F288,'2) Tracker'!$A$2:$BO$981,65,FALSE())</f>
        <v>46184</v>
      </c>
      <c r="AN288" s="601">
        <f>VLOOKUP(F288,'2) Tracker'!$A$2:$BK$981,63,FALSE())</f>
        <v>46207</v>
      </c>
      <c r="AO288" s="601" t="str">
        <f>VLOOKUP(F288,'2) Tracker'!$A$2:$BF$981,58,FALSE())</f>
        <v/>
      </c>
      <c r="AP288" s="46"/>
      <c r="AQ288" s="46"/>
      <c r="AR288" s="46"/>
      <c r="AS288" s="46"/>
      <c r="AT288" s="46"/>
      <c r="AU288" s="46"/>
      <c r="AV288" s="46"/>
      <c r="AW288" s="46"/>
      <c r="AX288" s="46"/>
      <c r="AY288" s="46"/>
      <c r="AZ288" s="563"/>
      <c r="BA288" s="569"/>
      <c r="BB288" s="563"/>
      <c r="BC288" s="569"/>
      <c r="BD288" s="563"/>
      <c r="BE288" s="46"/>
      <c r="BF288" s="46"/>
      <c r="BG288" s="563"/>
      <c r="BH288" s="563"/>
      <c r="BI288" s="563"/>
      <c r="BJ288" s="563"/>
    </row>
    <row r="289" spans="2:62" x14ac:dyDescent="0.25">
      <c r="B289" s="589" t="str">
        <f>VLOOKUP(F289,'2) Tracker'!$A$3:$O$411,5,FALSE)</f>
        <v>C</v>
      </c>
      <c r="C289" s="589">
        <f>VLOOKUP(F289,'2) Tracker'!$A$3:$O$411,4,FALSE)</f>
        <v>0</v>
      </c>
      <c r="D289" s="563" t="s">
        <v>1569</v>
      </c>
      <c r="E289" s="563">
        <f>VLOOKUP(F289,'2) Tracker'!$A$3:$O$407,15,FALSE)</f>
        <v>0</v>
      </c>
      <c r="F289" s="590" t="s">
        <v>201</v>
      </c>
      <c r="G289" s="591">
        <v>2025</v>
      </c>
      <c r="H289" s="592">
        <f>VLOOKUP(F289,'2) Tracker'!$A$2:$BO$361,3,FALSE)</f>
        <v>88000</v>
      </c>
      <c r="I289" s="594" t="s">
        <v>758</v>
      </c>
      <c r="J289" s="594" t="str">
        <f>VLOOKUP(F289,'2) Tracker'!$A$2:$BO$361,12,FALSE)</f>
        <v>South China</v>
      </c>
      <c r="K289" s="596">
        <f t="shared" si="305"/>
        <v>46210</v>
      </c>
      <c r="L289" s="596">
        <f t="shared" ref="L289:O289" si="441">AE289</f>
        <v>46216</v>
      </c>
      <c r="M289" s="596" t="str">
        <f t="shared" si="441"/>
        <v/>
      </c>
      <c r="N289" s="596">
        <f t="shared" si="441"/>
        <v>46189</v>
      </c>
      <c r="O289" s="597" t="str">
        <f t="shared" si="441"/>
        <v/>
      </c>
      <c r="P289" s="598" t="str">
        <f>IFERROR(IF(VLOOKUP(F289,'Voyage days'!$M$808:$N$819,2,FALSE),"GOA",""),"")</f>
        <v/>
      </c>
      <c r="Q289" s="597">
        <f t="shared" si="287"/>
        <v>46192</v>
      </c>
      <c r="R289" s="596">
        <f t="shared" si="289"/>
        <v>46216</v>
      </c>
      <c r="S289" s="595">
        <f t="shared" si="409"/>
        <v>46207</v>
      </c>
      <c r="T289" s="596">
        <f t="shared" si="410"/>
        <v>46200</v>
      </c>
      <c r="U289" s="596">
        <f t="shared" si="290"/>
        <v>46179</v>
      </c>
      <c r="V289" s="616"/>
      <c r="W289" s="616">
        <f t="shared" si="291"/>
        <v>46180.75</v>
      </c>
      <c r="X289" s="599" t="str">
        <f t="shared" si="411"/>
        <v/>
      </c>
      <c r="Y289" s="594"/>
      <c r="Z289" s="600" t="str">
        <f>VLOOKUP(F289,'2) Tracker'!$A$3:$Q$505,16,FALSE)</f>
        <v>ETA South China 26 May</v>
      </c>
      <c r="AA289" s="600" t="str">
        <f>VLOOKUP(F289,'2) Tracker'!$A$3:$R$505,18,FALSE)</f>
        <v>BASF 15-16 Apr Freeport</v>
      </c>
      <c r="AB289" s="600">
        <f>VLOOKUP(F289,'2) Tracker'!$A$3:$Q$505,17,FALSE)</f>
        <v>0</v>
      </c>
      <c r="AC289" s="601"/>
      <c r="AD289" s="601">
        <f>VLOOKUP(F289,'2) Tracker'!$A$2:$BO$981,37,FALSE)</f>
        <v>46210</v>
      </c>
      <c r="AE289" s="601">
        <f>VLOOKUP(F289,'2) Tracker'!$A$2:$BO$981,40,FALSE)</f>
        <v>46216</v>
      </c>
      <c r="AF289" s="601" t="str">
        <f>VLOOKUP(F289,'2) Tracker'!$A$2:$BO$981,67,FALSE)</f>
        <v/>
      </c>
      <c r="AG289" s="601">
        <f>VLOOKUP(F289,'2) Tracker'!$A$2:$BO$981,34,FALSE)</f>
        <v>46189</v>
      </c>
      <c r="AH289" s="601" t="str">
        <f>VLOOKUP(F289,'2) Tracker'!$A$2:$BN$981,66,FALSE)</f>
        <v/>
      </c>
      <c r="AI289" s="601">
        <f>VLOOKUP(F289,'2) Tracker'!$A$2:$BO$981,56,FALSE)</f>
        <v>46179</v>
      </c>
      <c r="AJ289" s="601">
        <f>VLOOKUP(F289,'2) Tracker'!$A$2:$BO$981,52,FALSE)</f>
        <v>46180.75</v>
      </c>
      <c r="AK289" s="601">
        <f>VLOOKUP(F289,'2) Tracker'!$A$2:$AQ$981,43,FALSE)</f>
        <v>46200</v>
      </c>
      <c r="AL289" s="601">
        <f>VLOOKUP(F289,'2) Tracker'!$A$2:$BH$981,46,FALSE())</f>
        <v>46207</v>
      </c>
      <c r="AM289" s="601">
        <f>VLOOKUP(F289,'2) Tracker'!$A$2:$BO$981,65,FALSE())</f>
        <v>46192</v>
      </c>
      <c r="AN289" s="601">
        <f>VLOOKUP(F289,'2) Tracker'!$A$2:$BK$981,63,FALSE())</f>
        <v>46216</v>
      </c>
      <c r="AO289" s="601" t="str">
        <f>VLOOKUP(F289,'2) Tracker'!$A$2:$BF$981,58,FALSE())</f>
        <v/>
      </c>
      <c r="AP289" s="46"/>
      <c r="AQ289" s="46"/>
      <c r="AR289" s="46"/>
      <c r="AS289" s="46"/>
      <c r="AT289" s="46"/>
      <c r="AU289" s="46"/>
      <c r="AV289" s="46"/>
      <c r="AW289" s="46"/>
      <c r="AX289" s="46"/>
      <c r="AY289" s="46"/>
      <c r="AZ289" s="563"/>
      <c r="BA289" s="569"/>
      <c r="BB289" s="563"/>
      <c r="BC289" s="569"/>
      <c r="BD289" s="563"/>
      <c r="BE289" s="46"/>
      <c r="BF289" s="46"/>
      <c r="BG289" s="563"/>
      <c r="BH289" s="563"/>
      <c r="BI289" s="563"/>
      <c r="BJ289" s="563"/>
    </row>
    <row r="290" spans="2:62" x14ac:dyDescent="0.25">
      <c r="B290" s="589">
        <f>VLOOKUP(F290,'2) Tracker'!$A$3:$O$411,5,FALSE)</f>
        <v>0</v>
      </c>
      <c r="C290" s="589">
        <f>VLOOKUP(F290,'2) Tracker'!$A$3:$O$411,4,FALSE)</f>
        <v>0</v>
      </c>
      <c r="D290" s="563"/>
      <c r="E290" s="563">
        <f>VLOOKUP(F290,'2) Tracker'!$A$3:$O$407,15,FALSE)</f>
        <v>0</v>
      </c>
      <c r="F290" s="608" t="s">
        <v>536</v>
      </c>
      <c r="G290" s="607">
        <f>VLOOKUP(F290,'2) Tracker'!$A$2:$BO$361,2,FALSE)</f>
        <v>41773</v>
      </c>
      <c r="H290" s="592">
        <f>VLOOKUP(F290,'2) Tracker'!$A$2:$BO$361,3,FALSE)</f>
        <v>84000</v>
      </c>
      <c r="I290" s="593" t="str">
        <f>VLOOKUP(F290,'2) Tracker'!$A$2:$BO$361,9,FALSE)</f>
        <v>Pertamina</v>
      </c>
      <c r="J290" s="594" t="str">
        <f>VLOOKUP(F290,'2) Tracker'!$A$2:$BO$361,12,FALSE)</f>
        <v>Indo</v>
      </c>
      <c r="K290" s="595">
        <f t="shared" si="305"/>
        <v>46212</v>
      </c>
      <c r="L290" s="595">
        <f t="shared" ref="L290:O290" si="442">AE290</f>
        <v>46211</v>
      </c>
      <c r="M290" s="596" t="str">
        <f t="shared" si="442"/>
        <v/>
      </c>
      <c r="N290" s="596">
        <f t="shared" si="442"/>
        <v>46185</v>
      </c>
      <c r="O290" s="597" t="str">
        <f t="shared" si="442"/>
        <v/>
      </c>
      <c r="P290" s="598" t="str">
        <f>IFERROR(IF(VLOOKUP(F290,'Voyage days'!$M$808:$N$819,2,FALSE),"GOA",""),"")</f>
        <v/>
      </c>
      <c r="Q290" s="596">
        <f t="shared" si="287"/>
        <v>46187</v>
      </c>
      <c r="R290" s="595">
        <f t="shared" si="289"/>
        <v>46211</v>
      </c>
      <c r="S290" s="595">
        <f t="shared" si="409"/>
        <v>46203</v>
      </c>
      <c r="T290" s="595">
        <f t="shared" si="410"/>
        <v>46194</v>
      </c>
      <c r="U290" s="595">
        <f t="shared" si="290"/>
        <v>46177</v>
      </c>
      <c r="V290" s="596"/>
      <c r="W290" s="596">
        <f t="shared" si="291"/>
        <v>46178</v>
      </c>
      <c r="X290" s="599" t="str">
        <f t="shared" si="411"/>
        <v/>
      </c>
      <c r="Y290" s="594"/>
      <c r="Z290" s="600" t="str">
        <f>VLOOKUP(F290,'2) Tracker'!$A$3:$Q$505,16,FALSE)</f>
        <v>ETA Freeport 17 Apr</v>
      </c>
      <c r="AA290" s="600" t="str">
        <f>VLOOKUP(F290,'2) Tracker'!$A$3:$R$505,18,FALSE)</f>
        <v>Perta 18-19 Apr Freeport</v>
      </c>
      <c r="AB290" s="600">
        <f>VLOOKUP(F290,'2) Tracker'!$A$3:$Q$505,17,FALSE)</f>
        <v>0</v>
      </c>
      <c r="AC290" s="601"/>
      <c r="AD290" s="601">
        <f>VLOOKUP(F290,'2) Tracker'!$A$2:$BO$981,37,FALSE)</f>
        <v>46212</v>
      </c>
      <c r="AE290" s="601">
        <f>VLOOKUP(F290,'2) Tracker'!$A$2:$BO$981,40,FALSE)</f>
        <v>46211</v>
      </c>
      <c r="AF290" s="601" t="str">
        <f>VLOOKUP(F290,'2) Tracker'!$A$2:$BO$981,67,FALSE)</f>
        <v/>
      </c>
      <c r="AG290" s="601">
        <f>VLOOKUP(F290,'2) Tracker'!$A$2:$BO$981,34,FALSE)</f>
        <v>46185</v>
      </c>
      <c r="AH290" s="601" t="str">
        <f>VLOOKUP(F290,'2) Tracker'!$A$2:$BN$981,66,FALSE)</f>
        <v/>
      </c>
      <c r="AI290" s="601">
        <f>VLOOKUP(F290,'2) Tracker'!$A$2:$BO$981,56,FALSE)</f>
        <v>46177</v>
      </c>
      <c r="AJ290" s="601">
        <f>VLOOKUP(F290,'2) Tracker'!$A$2:$BO$981,52,FALSE)</f>
        <v>46178</v>
      </c>
      <c r="AK290" s="601">
        <f>VLOOKUP(F290,'2) Tracker'!$A$2:$AQ$981,43,FALSE)</f>
        <v>46194</v>
      </c>
      <c r="AL290" s="601">
        <f>VLOOKUP(F290,'2) Tracker'!$A$2:$BH$981,46,FALSE())</f>
        <v>46203</v>
      </c>
      <c r="AM290" s="601">
        <f>VLOOKUP(F290,'2) Tracker'!$A$2:$BO$981,65,FALSE())</f>
        <v>46187</v>
      </c>
      <c r="AN290" s="601">
        <f>VLOOKUP(F290,'2) Tracker'!$A$2:$BK$981,63,FALSE())</f>
        <v>46211</v>
      </c>
      <c r="AO290" s="601" t="str">
        <f>VLOOKUP(F290,'2) Tracker'!$A$2:$BF$981,58,FALSE())</f>
        <v/>
      </c>
      <c r="AP290" s="46"/>
      <c r="AQ290" s="46"/>
      <c r="AR290" s="643"/>
      <c r="AS290" s="643"/>
      <c r="AT290" s="643"/>
      <c r="AU290" s="643"/>
      <c r="AV290" s="643"/>
      <c r="AW290" s="643"/>
      <c r="AX290" s="643"/>
      <c r="AY290" s="643"/>
      <c r="AZ290" s="652"/>
      <c r="BA290" s="653"/>
      <c r="BB290" s="652"/>
      <c r="BC290" s="652" t="s">
        <v>1641</v>
      </c>
      <c r="BD290" s="654" t="s">
        <v>1642</v>
      </c>
      <c r="BE290" s="643"/>
      <c r="BF290" s="643" t="s">
        <v>1643</v>
      </c>
      <c r="BG290" s="655" t="s">
        <v>1644</v>
      </c>
      <c r="BH290" s="604" t="s">
        <v>1645</v>
      </c>
      <c r="BI290" s="605"/>
      <c r="BJ290" s="605"/>
    </row>
    <row r="291" spans="2:62" x14ac:dyDescent="0.25">
      <c r="B291" s="589">
        <f>VLOOKUP(F291,'2) Tracker'!$A$3:$O$411,5,FALSE)</f>
        <v>0</v>
      </c>
      <c r="C291" s="589">
        <f>VLOOKUP(F291,'2) Tracker'!$A$3:$O$411,4,FALSE)</f>
        <v>0</v>
      </c>
      <c r="D291" s="563"/>
      <c r="E291" s="563">
        <f>VLOOKUP(F291,'2) Tracker'!$A$3:$O$407,15,FALSE)</f>
        <v>0</v>
      </c>
      <c r="F291" s="608" t="s">
        <v>69</v>
      </c>
      <c r="G291" s="607">
        <f>VLOOKUP(F291,'2) Tracker'!$A$2:$BO$361,2,FALSE)</f>
        <v>39814</v>
      </c>
      <c r="H291" s="649">
        <f>VLOOKUP(F291,'2) Tracker'!$A$2:$BO$361,3,FALSE)</f>
        <v>75000</v>
      </c>
      <c r="I291" s="593" t="str">
        <f>VLOOKUP(F291,'2) Tracker'!$A$2:$BO$361,9,FALSE)</f>
        <v>Geogas</v>
      </c>
      <c r="J291" s="594" t="str">
        <f>VLOOKUP(F291,'2) Tracker'!$A$2:$BO$361,12,FALSE)</f>
        <v>Tanzania</v>
      </c>
      <c r="K291" s="595">
        <f t="shared" si="305"/>
        <v>46214</v>
      </c>
      <c r="L291" s="595">
        <f t="shared" ref="L291:O291" si="443">AE291</f>
        <v>46194</v>
      </c>
      <c r="M291" s="596" t="str">
        <f t="shared" si="443"/>
        <v/>
      </c>
      <c r="N291" s="596">
        <f t="shared" si="443"/>
        <v>46176</v>
      </c>
      <c r="O291" s="597" t="str">
        <f t="shared" si="443"/>
        <v/>
      </c>
      <c r="P291" s="598" t="str">
        <f>IFERROR(IF(VLOOKUP(F291,'Voyage days'!$M$808:$N$819,2,FALSE),"GOA",""),"")</f>
        <v/>
      </c>
      <c r="Q291" s="596">
        <f t="shared" si="287"/>
        <v>46181</v>
      </c>
      <c r="R291" s="596">
        <f t="shared" si="289"/>
        <v>46167</v>
      </c>
      <c r="S291" s="595">
        <f t="shared" si="409"/>
        <v>46182</v>
      </c>
      <c r="T291" s="595">
        <f t="shared" si="410"/>
        <v>46181</v>
      </c>
      <c r="U291" s="596">
        <f t="shared" si="290"/>
        <v>46179</v>
      </c>
      <c r="V291" s="596"/>
      <c r="W291" s="596">
        <f t="shared" si="291"/>
        <v>46182</v>
      </c>
      <c r="X291" s="599" t="str">
        <f t="shared" si="411"/>
        <v/>
      </c>
      <c r="Y291" s="594"/>
      <c r="Z291" s="600" t="str">
        <f>VLOOKUP(F291,'2) Tracker'!$A$3:$Q$505,16,FALSE)</f>
        <v>Ex San Pedro de Macoris 11 Apr, ETA USG 17 Apr</v>
      </c>
      <c r="AA291" s="600" t="str">
        <f>VLOOKUP(F291,'2) Tracker'!$A$3:$R$505,18,FALSE)</f>
        <v>Geogas 27-28 Mar Freeport</v>
      </c>
      <c r="AB291" s="600">
        <f>VLOOKUP(F291,'2) Tracker'!$A$3:$Q$505,17,FALSE)</f>
        <v>0</v>
      </c>
      <c r="AC291" s="601"/>
      <c r="AD291" s="601">
        <f>VLOOKUP(F291,'2) Tracker'!$A$2:$BO$981,37,FALSE)</f>
        <v>46214</v>
      </c>
      <c r="AE291" s="601">
        <f>VLOOKUP(F291,'2) Tracker'!$A$2:$BO$981,40,FALSE)</f>
        <v>46194</v>
      </c>
      <c r="AF291" s="601" t="str">
        <f>VLOOKUP(F291,'2) Tracker'!$A$2:$BO$981,67,FALSE)</f>
        <v/>
      </c>
      <c r="AG291" s="601">
        <f>VLOOKUP(F291,'2) Tracker'!$A$2:$BO$981,34,FALSE)</f>
        <v>46176</v>
      </c>
      <c r="AH291" s="601" t="str">
        <f>VLOOKUP(F291,'2) Tracker'!$A$2:$BN$981,66,FALSE)</f>
        <v/>
      </c>
      <c r="AI291" s="601">
        <f>VLOOKUP(F291,'2) Tracker'!$A$2:$BO$981,56,FALSE)</f>
        <v>46179</v>
      </c>
      <c r="AJ291" s="601">
        <f>VLOOKUP(F291,'2) Tracker'!$A$2:$BO$981,52,FALSE)</f>
        <v>46182</v>
      </c>
      <c r="AK291" s="601">
        <f>VLOOKUP(F291,'2) Tracker'!$A$2:$AQ$981,43,FALSE)</f>
        <v>46181</v>
      </c>
      <c r="AL291" s="601">
        <f>VLOOKUP(F291,'2) Tracker'!$A$2:$BH$981,46,FALSE())</f>
        <v>46182</v>
      </c>
      <c r="AM291" s="601">
        <f>VLOOKUP(F291,'2) Tracker'!$A$2:$BO$981,65,FALSE())</f>
        <v>46181</v>
      </c>
      <c r="AN291" s="601">
        <f>VLOOKUP(F291,'2) Tracker'!$A$2:$BK$981,63,FALSE())</f>
        <v>46167</v>
      </c>
      <c r="AO291" s="601" t="str">
        <f>VLOOKUP(F291,'2) Tracker'!$A$2:$BF$981,58,FALSE())</f>
        <v/>
      </c>
      <c r="AP291" s="46"/>
      <c r="AQ291" s="46"/>
      <c r="AR291" s="46"/>
      <c r="AS291" s="46"/>
      <c r="AT291" s="46"/>
      <c r="AU291" s="46"/>
      <c r="AV291" s="46"/>
      <c r="AW291" s="46"/>
      <c r="AX291" s="46"/>
      <c r="AY291" s="46"/>
      <c r="AZ291" s="563"/>
      <c r="BA291" s="604" t="e">
        <f>VLOOKUP(AZ291,#REF!,2, FALSE)</f>
        <v>#REF!</v>
      </c>
      <c r="BB291" s="605" t="e">
        <f>VLOOKUP(AZ291,'1) Kpler'!$E$2:$F$500,2,FALSE)</f>
        <v>#N/A</v>
      </c>
      <c r="BC291" s="569"/>
      <c r="BD291" s="563"/>
      <c r="BE291" s="46"/>
      <c r="BF291" s="46"/>
      <c r="BG291" s="563"/>
      <c r="BH291" s="563"/>
      <c r="BI291" s="563"/>
      <c r="BJ291" s="563"/>
    </row>
    <row r="292" spans="2:62" x14ac:dyDescent="0.25">
      <c r="B292" s="589">
        <f>VLOOKUP(F292,'2) Tracker'!$A$3:$O$411,5,FALSE)</f>
        <v>0</v>
      </c>
      <c r="C292" s="589">
        <f>VLOOKUP(F292,'2) Tracker'!$A$3:$O$411,4,FALSE)</f>
        <v>0</v>
      </c>
      <c r="D292" s="563"/>
      <c r="E292" s="563">
        <f>VLOOKUP(F292,'2) Tracker'!$A$3:$O$407,15,FALSE)</f>
        <v>0</v>
      </c>
      <c r="F292" s="608" t="s">
        <v>630</v>
      </c>
      <c r="G292" s="607">
        <f>VLOOKUP(F292,'2) Tracker'!$A$2:$BO$361,2,FALSE)</f>
        <v>39539</v>
      </c>
      <c r="H292" s="592">
        <f>VLOOKUP(F292,'2) Tracker'!$A$2:$BO$361,3,FALSE)</f>
        <v>82500</v>
      </c>
      <c r="I292" s="593" t="str">
        <f>VLOOKUP(F292,'2) Tracker'!$A$2:$BO$361,9,FALSE)</f>
        <v>Pertamina</v>
      </c>
      <c r="J292" s="594" t="str">
        <f>VLOOKUP(F292,'2) Tracker'!$A$2:$BO$361,12,FALSE)</f>
        <v>Indo</v>
      </c>
      <c r="K292" s="596">
        <f t="shared" si="305"/>
        <v>46231</v>
      </c>
      <c r="L292" s="596">
        <f t="shared" ref="L292:O292" si="444">AE292</f>
        <v>46230</v>
      </c>
      <c r="M292" s="596" t="str">
        <f t="shared" si="444"/>
        <v/>
      </c>
      <c r="N292" s="596">
        <f t="shared" si="444"/>
        <v>46204</v>
      </c>
      <c r="O292" s="597" t="str">
        <f t="shared" si="444"/>
        <v/>
      </c>
      <c r="P292" s="598" t="str">
        <f>IFERROR(IF(VLOOKUP(F292,'Voyage days'!$M$808:$N$819,2,FALSE),"GOA",""),"")</f>
        <v/>
      </c>
      <c r="Q292" s="596">
        <f t="shared" si="287"/>
        <v>46207</v>
      </c>
      <c r="R292" s="596">
        <f t="shared" si="289"/>
        <v>46230</v>
      </c>
      <c r="S292" s="595">
        <f t="shared" si="409"/>
        <v>46222</v>
      </c>
      <c r="T292" s="596">
        <f t="shared" si="410"/>
        <v>46213</v>
      </c>
      <c r="U292" s="596">
        <f t="shared" si="290"/>
        <v>46197</v>
      </c>
      <c r="V292" s="596"/>
      <c r="W292" s="596">
        <f t="shared" si="291"/>
        <v>46197</v>
      </c>
      <c r="X292" s="599" t="str">
        <f t="shared" si="411"/>
        <v/>
      </c>
      <c r="Y292" s="594"/>
      <c r="Z292" s="600" t="str">
        <f>VLOOKUP(F292,'2) Tracker'!$A$3:$Q$505,16,FALSE)</f>
        <v>ETA Freeport 10 May</v>
      </c>
      <c r="AA292" s="600" t="str">
        <f>VLOOKUP(F292,'2) Tracker'!$A$3:$R$505,18,FALSE)</f>
        <v>Perta 11-12 May Freeport</v>
      </c>
      <c r="AB292" s="600">
        <f>VLOOKUP(F292,'2) Tracker'!$A$3:$Q$505,17,FALSE)</f>
        <v>0</v>
      </c>
      <c r="AC292" s="601"/>
      <c r="AD292" s="601">
        <f>VLOOKUP(F292,'2) Tracker'!$A$2:$BO$981,37,FALSE)</f>
        <v>46231</v>
      </c>
      <c r="AE292" s="601">
        <f>VLOOKUP(F292,'2) Tracker'!$A$2:$BO$981,40,FALSE)</f>
        <v>46230</v>
      </c>
      <c r="AF292" s="601" t="str">
        <f>VLOOKUP(F292,'2) Tracker'!$A$2:$BO$981,67,FALSE)</f>
        <v/>
      </c>
      <c r="AG292" s="601">
        <f>VLOOKUP(F292,'2) Tracker'!$A$2:$BO$981,34,FALSE)</f>
        <v>46204</v>
      </c>
      <c r="AH292" s="601" t="str">
        <f>VLOOKUP(F292,'2) Tracker'!$A$2:$BN$981,66,FALSE)</f>
        <v/>
      </c>
      <c r="AI292" s="601">
        <f>VLOOKUP(F292,'2) Tracker'!$A$2:$BO$981,56,FALSE)</f>
        <v>46197</v>
      </c>
      <c r="AJ292" s="601">
        <f>VLOOKUP(F292,'2) Tracker'!$A$2:$BO$981,52,FALSE)</f>
        <v>46197</v>
      </c>
      <c r="AK292" s="601">
        <f>VLOOKUP(F292,'2) Tracker'!$A$2:$AQ$981,43,FALSE)</f>
        <v>46213</v>
      </c>
      <c r="AL292" s="601">
        <f>VLOOKUP(F292,'2) Tracker'!$A$2:$BH$981,46,FALSE())</f>
        <v>46222</v>
      </c>
      <c r="AM292" s="601">
        <f>VLOOKUP(F292,'2) Tracker'!$A$2:$BO$981,65,FALSE())</f>
        <v>46207</v>
      </c>
      <c r="AN292" s="601">
        <f>VLOOKUP(F292,'2) Tracker'!$A$2:$BK$981,63,FALSE())</f>
        <v>46230</v>
      </c>
      <c r="AO292" s="601" t="str">
        <f>VLOOKUP(F292,'2) Tracker'!$A$2:$BF$981,58,FALSE())</f>
        <v/>
      </c>
      <c r="AP292" s="46"/>
      <c r="AQ292" s="46"/>
      <c r="AR292" s="46"/>
      <c r="AS292" s="46"/>
      <c r="AT292" s="46"/>
      <c r="AU292" s="46"/>
      <c r="AV292" s="46"/>
      <c r="AW292" s="46"/>
      <c r="AX292" s="46"/>
      <c r="AY292" s="46"/>
      <c r="AZ292" s="563"/>
      <c r="BA292" s="569"/>
      <c r="BB292" s="563"/>
      <c r="BC292" s="569"/>
      <c r="BD292" s="563"/>
      <c r="BE292" s="46"/>
      <c r="BF292" s="46"/>
      <c r="BG292" s="563"/>
      <c r="BH292" s="563"/>
      <c r="BI292" s="563"/>
      <c r="BJ292" s="563"/>
    </row>
    <row r="293" spans="2:62" x14ac:dyDescent="0.25">
      <c r="B293" s="589">
        <f>VLOOKUP(F293,'2) Tracker'!$A$3:$O$411,5,FALSE)</f>
        <v>0</v>
      </c>
      <c r="C293" s="589">
        <f>VLOOKUP(F293,'2) Tracker'!$A$3:$O$411,4,FALSE)</f>
        <v>0</v>
      </c>
      <c r="D293" s="563"/>
      <c r="E293" s="563">
        <f>VLOOKUP(F293,'2) Tracker'!$A$3:$O$407,15,FALSE)</f>
        <v>0</v>
      </c>
      <c r="F293" s="608" t="s">
        <v>535</v>
      </c>
      <c r="G293" s="607">
        <f>VLOOKUP(F293,'2) Tracker'!$A$2:$BO$361,2,FALSE)</f>
        <v>41518</v>
      </c>
      <c r="H293" s="592">
        <f>VLOOKUP(F293,'2) Tracker'!$A$2:$BO$361,3,FALSE)</f>
        <v>84000</v>
      </c>
      <c r="I293" s="593" t="str">
        <f>VLOOKUP(F293,'2) Tracker'!$A$2:$BO$361,9,FALSE)</f>
        <v>Pertamina</v>
      </c>
      <c r="J293" s="594" t="str">
        <f>VLOOKUP(F293,'2) Tracker'!$A$2:$BO$361,12,FALSE)</f>
        <v>Indo</v>
      </c>
      <c r="K293" s="595">
        <f t="shared" si="305"/>
        <v>46241</v>
      </c>
      <c r="L293" s="595">
        <f t="shared" ref="L293:O293" si="445">AE293</f>
        <v>46240</v>
      </c>
      <c r="M293" s="596" t="str">
        <f t="shared" si="445"/>
        <v/>
      </c>
      <c r="N293" s="596">
        <f t="shared" si="445"/>
        <v>46214</v>
      </c>
      <c r="O293" s="597" t="str">
        <f t="shared" si="445"/>
        <v/>
      </c>
      <c r="P293" s="598" t="str">
        <f>IFERROR(IF(VLOOKUP(F293,'Voyage days'!$M$808:$N$819,2,FALSE),"GOA",""),"")</f>
        <v/>
      </c>
      <c r="Q293" s="596">
        <f t="shared" si="287"/>
        <v>46217</v>
      </c>
      <c r="R293" s="595">
        <f t="shared" si="289"/>
        <v>46240</v>
      </c>
      <c r="S293" s="595">
        <f t="shared" si="409"/>
        <v>46232</v>
      </c>
      <c r="T293" s="596">
        <f t="shared" si="410"/>
        <v>46223</v>
      </c>
      <c r="U293" s="595">
        <f t="shared" si="290"/>
        <v>46207</v>
      </c>
      <c r="V293" s="596"/>
      <c r="W293" s="596">
        <f t="shared" si="291"/>
        <v>46207</v>
      </c>
      <c r="X293" s="599" t="str">
        <f t="shared" si="411"/>
        <v/>
      </c>
      <c r="Y293" s="594"/>
      <c r="Z293" s="600" t="str">
        <f>VLOOKUP(F293,'2) Tracker'!$A$3:$Q$505,16,FALSE)</f>
        <v>ETA Freeport 20 May</v>
      </c>
      <c r="AA293" s="600" t="str">
        <f>VLOOKUP(F293,'2) Tracker'!$A$3:$R$505,18,FALSE)</f>
        <v>Perta 21-22 May Freeport</v>
      </c>
      <c r="AB293" s="600">
        <f>VLOOKUP(F293,'2) Tracker'!$A$3:$Q$505,17,FALSE)</f>
        <v>0</v>
      </c>
      <c r="AC293" s="601"/>
      <c r="AD293" s="601">
        <f>VLOOKUP(F293,'2) Tracker'!$A$2:$BO$981,37,FALSE)</f>
        <v>46241</v>
      </c>
      <c r="AE293" s="601">
        <f>VLOOKUP(F293,'2) Tracker'!$A$2:$BO$981,40,FALSE)</f>
        <v>46240</v>
      </c>
      <c r="AF293" s="601" t="str">
        <f>VLOOKUP(F293,'2) Tracker'!$A$2:$BO$981,67,FALSE)</f>
        <v/>
      </c>
      <c r="AG293" s="601">
        <f>VLOOKUP(F293,'2) Tracker'!$A$2:$BO$981,34,FALSE)</f>
        <v>46214</v>
      </c>
      <c r="AH293" s="601" t="str">
        <f>VLOOKUP(F293,'2) Tracker'!$A$2:$BN$981,66,FALSE)</f>
        <v/>
      </c>
      <c r="AI293" s="601">
        <f>VLOOKUP(F293,'2) Tracker'!$A$2:$BO$981,56,FALSE)</f>
        <v>46207</v>
      </c>
      <c r="AJ293" s="601">
        <f>VLOOKUP(F293,'2) Tracker'!$A$2:$BO$981,52,FALSE)</f>
        <v>46207</v>
      </c>
      <c r="AK293" s="601">
        <f>VLOOKUP(F293,'2) Tracker'!$A$2:$AQ$981,43,FALSE)</f>
        <v>46223</v>
      </c>
      <c r="AL293" s="601">
        <f>VLOOKUP(F293,'2) Tracker'!$A$2:$BH$981,46,FALSE())</f>
        <v>46232</v>
      </c>
      <c r="AM293" s="601">
        <f>VLOOKUP(F293,'2) Tracker'!$A$2:$BO$981,65,FALSE())</f>
        <v>46217</v>
      </c>
      <c r="AN293" s="601">
        <f>VLOOKUP(F293,'2) Tracker'!$A$2:$BK$981,63,FALSE())</f>
        <v>46240</v>
      </c>
      <c r="AO293" s="601" t="str">
        <f>VLOOKUP(F293,'2) Tracker'!$A$2:$BF$981,58,FALSE())</f>
        <v/>
      </c>
      <c r="AP293" s="46"/>
      <c r="AQ293" s="46"/>
      <c r="AR293" s="46"/>
      <c r="AS293" s="46"/>
      <c r="AT293" s="46"/>
      <c r="AU293" s="46"/>
      <c r="AV293" s="46"/>
      <c r="AW293" s="46"/>
      <c r="AX293" s="46"/>
      <c r="AY293" s="46"/>
      <c r="AZ293" s="605"/>
      <c r="BA293" s="604" t="e">
        <f>VLOOKUP(AZ293,#REF!,2, FALSE)</f>
        <v>#REF!</v>
      </c>
      <c r="BB293" s="605" t="e">
        <f>VLOOKUP(AZ293,'1) Kpler'!$E$2:$F$500,2,FALSE)</f>
        <v>#N/A</v>
      </c>
      <c r="BC293" s="604"/>
      <c r="BD293" s="605"/>
      <c r="BE293" s="46"/>
      <c r="BF293" s="46"/>
      <c r="BG293" s="605"/>
      <c r="BH293" s="605"/>
      <c r="BI293" s="605"/>
      <c r="BJ293" s="605"/>
    </row>
    <row r="294" spans="2:62" x14ac:dyDescent="0.25">
      <c r="B294" s="589">
        <f>VLOOKUP(F294,'2) Tracker'!$A$3:$O$411,5,FALSE)</f>
        <v>0</v>
      </c>
      <c r="C294" s="589" t="str">
        <f>VLOOKUP(F294,'2) Tracker'!$A$3:$O$411,4,FALSE)</f>
        <v>US</v>
      </c>
      <c r="D294" s="563"/>
      <c r="E294" s="563">
        <f>VLOOKUP(F294,'2) Tracker'!$A$3:$O$407,15,FALSE)</f>
        <v>0</v>
      </c>
      <c r="F294" s="608" t="s">
        <v>626</v>
      </c>
      <c r="G294" s="591">
        <f>VLOOKUP(F294,'2) Tracker'!$A$2:$BO$361,2,FALSE)</f>
        <v>2020</v>
      </c>
      <c r="H294" s="592">
        <f>VLOOKUP(F294,'2) Tracker'!$A$2:$BO$361,3,FALSE)</f>
        <v>84000</v>
      </c>
      <c r="I294" s="593" t="str">
        <f>VLOOKUP(F294,'2) Tracker'!$A$2:$BO$361,9,FALSE)</f>
        <v>ATC &gt; Mercuria</v>
      </c>
      <c r="J294" s="594" t="str">
        <f>VLOOKUP(F294,'2) Tracker'!$A$2:$BO$361,12,FALSE)</f>
        <v>ECI</v>
      </c>
      <c r="K294" s="595" t="str">
        <f t="shared" si="305"/>
        <v/>
      </c>
      <c r="L294" s="595">
        <f t="shared" ref="L294:O294" si="446">AE294</f>
        <v>46203</v>
      </c>
      <c r="M294" s="596" t="str">
        <f t="shared" si="446"/>
        <v/>
      </c>
      <c r="N294" s="596">
        <f t="shared" si="446"/>
        <v>46176</v>
      </c>
      <c r="O294" s="597" t="str">
        <f t="shared" si="446"/>
        <v/>
      </c>
      <c r="P294" s="598" t="str">
        <f>IFERROR(IF(VLOOKUP(F294,'Voyage days'!$M$808:$N$819,2,FALSE),"GOA",""),"")</f>
        <v/>
      </c>
      <c r="Q294" s="596">
        <f t="shared" si="287"/>
        <v>46180</v>
      </c>
      <c r="R294" s="596">
        <f t="shared" si="289"/>
        <v>46205</v>
      </c>
      <c r="S294" s="595">
        <f t="shared" si="409"/>
        <v>46195</v>
      </c>
      <c r="T294" s="596">
        <f t="shared" si="410"/>
        <v>46188</v>
      </c>
      <c r="U294" s="596">
        <f t="shared" si="290"/>
        <v>46173</v>
      </c>
      <c r="V294" s="596"/>
      <c r="W294" s="596" t="str">
        <f t="shared" si="291"/>
        <v/>
      </c>
      <c r="X294" s="599" t="str">
        <f t="shared" si="411"/>
        <v/>
      </c>
      <c r="Y294" s="606"/>
      <c r="Z294" s="600" t="str">
        <f>VLOOKUP(F294,'2) Tracker'!$A$3:$Q$505,16,FALSE)</f>
        <v>ex DD, @ Targa 13 Apr, pending firm disport</v>
      </c>
      <c r="AA294" s="600" t="str">
        <f>VLOOKUP(F294,'2) Tracker'!$A$3:$R$505,18,FALSE)</f>
        <v>Chevron 12-13 Apr USG</v>
      </c>
      <c r="AB294" s="600">
        <f>VLOOKUP(F294,'2) Tracker'!$A$3:$Q$505,17,FALSE)</f>
        <v>0</v>
      </c>
      <c r="AC294" s="601"/>
      <c r="AD294" s="601" t="str">
        <f>VLOOKUP(F294,'2) Tracker'!$A$2:$BO$981,37,FALSE)</f>
        <v/>
      </c>
      <c r="AE294" s="601">
        <f>VLOOKUP(F294,'2) Tracker'!$A$2:$BO$981,40,FALSE)</f>
        <v>46203</v>
      </c>
      <c r="AF294" s="601" t="str">
        <f>VLOOKUP(F294,'2) Tracker'!$A$2:$BO$981,67,FALSE)</f>
        <v/>
      </c>
      <c r="AG294" s="601">
        <f>VLOOKUP(F294,'2) Tracker'!$A$2:$BO$981,34,FALSE)</f>
        <v>46176</v>
      </c>
      <c r="AH294" s="601" t="str">
        <f>VLOOKUP(F294,'2) Tracker'!$A$2:$BN$981,66,FALSE)</f>
        <v/>
      </c>
      <c r="AI294" s="601">
        <f>VLOOKUP(F294,'2) Tracker'!$A$2:$BO$981,56,FALSE)</f>
        <v>46173</v>
      </c>
      <c r="AJ294" s="601" t="str">
        <f>VLOOKUP(F294,'2) Tracker'!$A$2:$BO$981,52,FALSE)</f>
        <v/>
      </c>
      <c r="AK294" s="601">
        <f>VLOOKUP(F294,'2) Tracker'!$A$2:$AQ$981,43,FALSE)</f>
        <v>46188</v>
      </c>
      <c r="AL294" s="601">
        <f>VLOOKUP(F294,'2) Tracker'!$A$2:$BH$981,46,FALSE())</f>
        <v>46195</v>
      </c>
      <c r="AM294" s="601">
        <f>VLOOKUP(F294,'2) Tracker'!$A$2:$BO$981,65,FALSE())</f>
        <v>46180</v>
      </c>
      <c r="AN294" s="601">
        <f>VLOOKUP(F294,'2) Tracker'!$A$2:$BK$981,63,FALSE())</f>
        <v>46205</v>
      </c>
      <c r="AO294" s="601" t="str">
        <f>VLOOKUP(F294,'2) Tracker'!$A$2:$BF$981,58,FALSE())</f>
        <v/>
      </c>
      <c r="AP294" s="630"/>
      <c r="AQ294" s="630"/>
      <c r="AR294" s="627"/>
      <c r="AS294" s="627"/>
      <c r="AT294" s="627"/>
      <c r="AU294" s="627"/>
      <c r="AV294" s="627"/>
      <c r="AW294" s="627"/>
      <c r="AX294" s="656" t="s">
        <v>1646</v>
      </c>
      <c r="AY294" s="657"/>
      <c r="AZ294" s="658" t="s">
        <v>1647</v>
      </c>
      <c r="BA294" s="594"/>
      <c r="BB294" s="591"/>
      <c r="BC294" s="591" t="str">
        <f ca="1">IFERROR(__xludf.DUMMYFUNCTION("FILTER('2) Tracker'!A7:A482, ISNA(MATCH(TRIM(LOWER(CLEAN('2) Tracker'!A7:A482))), TRIM(LOWER(CLEAN($F$4:$F$455))), 0)))"),"NV Aquamarine")</f>
        <v>NV Aquamarine</v>
      </c>
      <c r="BD294" s="659" t="str">
        <f ca="1">IFERROR(__xludf.DUMMYFUNCTION("UNIQUE(FILTER(F:F, COUNTIF(F:F, F:F) &gt; 1))"),"Rarely relet")</f>
        <v>Rarely relet</v>
      </c>
      <c r="BE294" s="627"/>
      <c r="BF294" s="627" t="s">
        <v>1127</v>
      </c>
      <c r="BG294" s="618" t="s">
        <v>1372</v>
      </c>
      <c r="BH294" s="604" t="s">
        <v>813</v>
      </c>
      <c r="BI294" s="605"/>
      <c r="BJ294" s="605"/>
    </row>
    <row r="295" spans="2:62" x14ac:dyDescent="0.25">
      <c r="B295" s="589">
        <f>VLOOKUP(F295,'2) Tracker'!$A$3:$O$411,5,FALSE)</f>
        <v>0</v>
      </c>
      <c r="C295" s="589">
        <f>VLOOKUP(F295,'2) Tracker'!$A$3:$O$411,4,FALSE)</f>
        <v>0</v>
      </c>
      <c r="D295" s="563"/>
      <c r="E295" s="563">
        <f>VLOOKUP(F295,'2) Tracker'!$A$3:$O$407,15,FALSE)</f>
        <v>0</v>
      </c>
      <c r="F295" s="604" t="s">
        <v>357</v>
      </c>
      <c r="G295" s="591">
        <f>VLOOKUP(F295,'2) Tracker'!$A$2:$BO$361,2,FALSE)</f>
        <v>2020</v>
      </c>
      <c r="H295" s="592">
        <f>VLOOKUP(F295,'2) Tracker'!$A$2:$BO$361,3,FALSE)</f>
        <v>84000</v>
      </c>
      <c r="I295" s="594" t="str">
        <f>VLOOKUP(F295,'2) Tracker'!$A$2:$BO$361,9,FALSE)</f>
        <v>Mercuria</v>
      </c>
      <c r="J295" s="594" t="str">
        <f>VLOOKUP(F295,'2) Tracker'!$A$2:$BO$361,12,FALSE)</f>
        <v>Cayman</v>
      </c>
      <c r="K295" s="596" t="str">
        <f t="shared" si="305"/>
        <v/>
      </c>
      <c r="L295" s="596">
        <f t="shared" ref="L295:O295" si="447">AE295</f>
        <v>46143</v>
      </c>
      <c r="M295" s="596" t="str">
        <f t="shared" si="447"/>
        <v/>
      </c>
      <c r="N295" s="596" t="str">
        <f t="shared" si="447"/>
        <v/>
      </c>
      <c r="O295" s="597" t="str">
        <f t="shared" si="447"/>
        <v/>
      </c>
      <c r="P295" s="598" t="str">
        <f>IFERROR(IF(VLOOKUP(F295,'Voyage days'!$M$808:$N$819,2,FALSE),"GOA",""),"")</f>
        <v/>
      </c>
      <c r="Q295" s="596">
        <f t="shared" si="287"/>
        <v>46142</v>
      </c>
      <c r="R295" s="595">
        <f t="shared" si="289"/>
        <v>46159</v>
      </c>
      <c r="S295" s="595">
        <f t="shared" si="409"/>
        <v>46152</v>
      </c>
      <c r="T295" s="596" t="str">
        <f t="shared" si="410"/>
        <v/>
      </c>
      <c r="U295" s="595" t="str">
        <f t="shared" si="290"/>
        <v/>
      </c>
      <c r="V295" s="595"/>
      <c r="W295" s="595" t="str">
        <f t="shared" si="291"/>
        <v/>
      </c>
      <c r="X295" s="599" t="str">
        <f t="shared" si="411"/>
        <v/>
      </c>
      <c r="Y295" s="594"/>
      <c r="Z295" s="600" t="str">
        <f>VLOOKUP(F295,'2) Tracker'!$A$3:$Q$505,16,FALSE)</f>
        <v>ETA St Eustatius 25 Apr bunkers?, ETA USG 01 May</v>
      </c>
      <c r="AA295" s="600" t="str">
        <f>VLOOKUP(F295,'2) Tracker'!$A$3:$R$505,18,FALSE)</f>
        <v>Mercuria (Repsol FOB) 10-11 Feb USG</v>
      </c>
      <c r="AB295" s="600">
        <f>VLOOKUP(F295,'2) Tracker'!$A$3:$Q$505,17,FALSE)</f>
        <v>0</v>
      </c>
      <c r="AC295" s="601"/>
      <c r="AD295" s="601" t="str">
        <f>VLOOKUP(F295,'2) Tracker'!$A$2:$BO$981,37,FALSE)</f>
        <v/>
      </c>
      <c r="AE295" s="601">
        <f>VLOOKUP(F295,'2) Tracker'!$A$2:$BO$981,40,FALSE)</f>
        <v>46143</v>
      </c>
      <c r="AF295" s="601" t="str">
        <f>VLOOKUP(F295,'2) Tracker'!$A$2:$BO$981,67,FALSE)</f>
        <v/>
      </c>
      <c r="AG295" s="601" t="str">
        <f>VLOOKUP(F295,'2) Tracker'!$A$2:$BO$981,34,FALSE)</f>
        <v/>
      </c>
      <c r="AH295" s="601" t="str">
        <f>VLOOKUP(F295,'2) Tracker'!$A$2:$BN$981,66,FALSE)</f>
        <v/>
      </c>
      <c r="AI295" s="601" t="str">
        <f>VLOOKUP(F295,'2) Tracker'!$A$2:$BO$981,56,FALSE)</f>
        <v/>
      </c>
      <c r="AJ295" s="601" t="str">
        <f>VLOOKUP(F295,'2) Tracker'!$A$2:$BO$981,52,FALSE)</f>
        <v/>
      </c>
      <c r="AK295" s="601" t="str">
        <f>VLOOKUP(F295,'2) Tracker'!$A$2:$AQ$981,43,FALSE)</f>
        <v/>
      </c>
      <c r="AL295" s="601">
        <f>VLOOKUP(F295,'2) Tracker'!$A$2:$BH$981,46,FALSE())</f>
        <v>46152</v>
      </c>
      <c r="AM295" s="601">
        <f>VLOOKUP(F295,'2) Tracker'!$A$2:$BO$981,65,FALSE())</f>
        <v>46142</v>
      </c>
      <c r="AN295" s="601">
        <f>VLOOKUP(F295,'2) Tracker'!$A$2:$BK$981,63,FALSE())</f>
        <v>46159</v>
      </c>
      <c r="AO295" s="601" t="str">
        <f>VLOOKUP(F295,'2) Tracker'!$A$2:$BF$981,58,FALSE())</f>
        <v/>
      </c>
      <c r="AP295" s="46"/>
      <c r="AQ295" s="46"/>
      <c r="AR295" s="46"/>
      <c r="AS295" s="46"/>
      <c r="AT295" s="46"/>
      <c r="AU295" s="46"/>
      <c r="AV295" s="46"/>
      <c r="AW295" s="46"/>
      <c r="AX295" s="46"/>
      <c r="AY295" s="46"/>
      <c r="AZ295" s="605"/>
      <c r="BA295" s="604" t="e">
        <f>VLOOKUP(AZ295,#REF!,2, FALSE)</f>
        <v>#REF!</v>
      </c>
      <c r="BB295" s="605" t="e">
        <f>VLOOKUP(AZ295,'1) Kpler'!$E$2:$F$500,2,FALSE)</f>
        <v>#N/A</v>
      </c>
      <c r="BC295" s="604"/>
      <c r="BD295" s="605" t="str">
        <f ca="1">IFERROR(__xludf.DUMMYFUNCTION("""COMPUTED_VALUE"""),"Panamax")</f>
        <v>Panamax</v>
      </c>
      <c r="BE295" s="46"/>
      <c r="BF295" s="46"/>
      <c r="BG295" s="605"/>
      <c r="BH295" s="605"/>
      <c r="BI295" s="605"/>
      <c r="BJ295" s="605"/>
    </row>
    <row r="296" spans="2:62" x14ac:dyDescent="0.25">
      <c r="B296" s="589" t="str">
        <f>VLOOKUP(F296,'2) Tracker'!$A$3:$O$411,5,FALSE)</f>
        <v>C</v>
      </c>
      <c r="C296" s="589">
        <f>VLOOKUP(F296,'2) Tracker'!$A$3:$O$411,4,FALSE)</f>
        <v>0</v>
      </c>
      <c r="D296" s="563"/>
      <c r="E296" s="563" t="str">
        <f>VLOOKUP(F296,'2) Tracker'!$A$3:$O$407,15,FALSE)</f>
        <v>R?</v>
      </c>
      <c r="F296" s="561" t="s">
        <v>92</v>
      </c>
      <c r="G296" s="591">
        <f>VLOOKUP(F296,'2) Tracker'!$A$2:$BO$361,2,FALSE)</f>
        <v>2006</v>
      </c>
      <c r="H296" s="592">
        <f>VLOOKUP(F296,'2) Tracker'!$A$2:$BO$361,3,FALSE)</f>
        <v>82244</v>
      </c>
      <c r="I296" s="594" t="str">
        <f>VLOOKUP(F296,'2) Tracker'!$A$2:$BO$361,9,FALSE)</f>
        <v>AGT</v>
      </c>
      <c r="J296" s="594" t="str">
        <f>VLOOKUP(F296,'2) Tracker'!$A$2:$BO$361,12,FALSE)</f>
        <v>Port Louis ballast</v>
      </c>
      <c r="K296" s="596" t="str">
        <f t="shared" si="305"/>
        <v/>
      </c>
      <c r="L296" s="596">
        <f t="shared" ref="L296:O296" si="448">AE296</f>
        <v>46144</v>
      </c>
      <c r="M296" s="596" t="str">
        <f t="shared" si="448"/>
        <v/>
      </c>
      <c r="N296" s="596" t="str">
        <f t="shared" si="448"/>
        <v/>
      </c>
      <c r="O296" s="597" t="str">
        <f t="shared" si="448"/>
        <v/>
      </c>
      <c r="P296" s="598" t="str">
        <f>IFERROR(IF(VLOOKUP(F296,'Voyage days'!$M$808:$N$819,2,FALSE),"GOA",""),"")</f>
        <v/>
      </c>
      <c r="Q296" s="596">
        <f t="shared" si="287"/>
        <v>46119</v>
      </c>
      <c r="R296" s="595">
        <f t="shared" si="289"/>
        <v>46145</v>
      </c>
      <c r="S296" s="595">
        <f t="shared" si="409"/>
        <v>46140</v>
      </c>
      <c r="T296" s="596">
        <f t="shared" si="410"/>
        <v>46131</v>
      </c>
      <c r="U296" s="595" t="str">
        <f t="shared" si="290"/>
        <v/>
      </c>
      <c r="V296" s="595"/>
      <c r="W296" s="595" t="str">
        <f t="shared" si="291"/>
        <v/>
      </c>
      <c r="X296" s="599" t="str">
        <f t="shared" si="411"/>
        <v/>
      </c>
      <c r="Y296" s="594"/>
      <c r="Z296" s="600" t="str">
        <f>VLOOKUP(F296,'2) Tracker'!$A$3:$Q$505,16,FALSE)</f>
        <v>sailed 27 Mar, ETA USG 02 May via Cape</v>
      </c>
      <c r="AA296" s="600" t="str">
        <f>VLOOKUP(F296,'2) Tracker'!$A$3:$R$505,18,FALSE)</f>
        <v>AGT 25 Feb Ruwais</v>
      </c>
      <c r="AB296" s="600">
        <f>VLOOKUP(F296,'2) Tracker'!$A$3:$Q$505,17,FALSE)</f>
        <v>0</v>
      </c>
      <c r="AC296" s="601"/>
      <c r="AD296" s="601" t="str">
        <f>VLOOKUP(F296,'2) Tracker'!$A$2:$BO$981,37,FALSE)</f>
        <v/>
      </c>
      <c r="AE296" s="601">
        <f>VLOOKUP(F296,'2) Tracker'!$A$2:$BO$981,40,FALSE)</f>
        <v>46144</v>
      </c>
      <c r="AF296" s="601" t="str">
        <f>VLOOKUP(F296,'2) Tracker'!$A$2:$BO$981,67,FALSE)</f>
        <v/>
      </c>
      <c r="AG296" s="601" t="str">
        <f>VLOOKUP(F296,'2) Tracker'!$A$2:$BO$981,34,FALSE)</f>
        <v/>
      </c>
      <c r="AH296" s="601" t="str">
        <f>VLOOKUP(F296,'2) Tracker'!$A$2:$BN$981,66,FALSE)</f>
        <v/>
      </c>
      <c r="AI296" s="601" t="str">
        <f>VLOOKUP(F296,'2) Tracker'!$A$2:$BO$981,56,FALSE)</f>
        <v/>
      </c>
      <c r="AJ296" s="601" t="str">
        <f>VLOOKUP(F296,'2) Tracker'!$A$2:$BO$981,52,FALSE)</f>
        <v/>
      </c>
      <c r="AK296" s="601">
        <f>VLOOKUP(F296,'2) Tracker'!$A$2:$AQ$981,43,FALSE)</f>
        <v>46131</v>
      </c>
      <c r="AL296" s="601">
        <f>VLOOKUP(F296,'2) Tracker'!$A$2:$BH$981,46,FALSE())</f>
        <v>46140</v>
      </c>
      <c r="AM296" s="601">
        <f>VLOOKUP(F296,'2) Tracker'!$A$2:$BO$981,65,FALSE())</f>
        <v>46119</v>
      </c>
      <c r="AN296" s="601">
        <f>VLOOKUP(F296,'2) Tracker'!$A$2:$BK$981,63,FALSE())</f>
        <v>46145</v>
      </c>
      <c r="AO296" s="601" t="str">
        <f>VLOOKUP(F296,'2) Tracker'!$A$2:$BF$981,58,FALSE())</f>
        <v/>
      </c>
      <c r="AP296" s="46"/>
      <c r="AQ296" s="46"/>
      <c r="AR296" s="46"/>
      <c r="AS296" s="46"/>
      <c r="AT296" s="46"/>
      <c r="AU296" s="46"/>
      <c r="AV296" s="46"/>
      <c r="AW296" s="46"/>
      <c r="AX296" s="46"/>
      <c r="AY296" s="46"/>
      <c r="AZ296" s="563"/>
      <c r="BA296" s="604" t="e">
        <f>VLOOKUP(AZ296,#REF!,2, FALSE)</f>
        <v>#REF!</v>
      </c>
      <c r="BB296" s="605" t="e">
        <f>VLOOKUP(AZ296,'1) Kpler'!$E$2:$F$500,2,FALSE)</f>
        <v>#N/A</v>
      </c>
      <c r="BC296" s="569"/>
      <c r="BD296" s="563"/>
      <c r="BE296" s="46"/>
      <c r="BF296" s="46"/>
      <c r="BG296" s="563"/>
      <c r="BH296" s="563"/>
      <c r="BI296" s="563"/>
      <c r="BJ296" s="563"/>
    </row>
    <row r="297" spans="2:62" x14ac:dyDescent="0.25">
      <c r="B297" s="589">
        <f>VLOOKUP(F297,'2) Tracker'!$A$3:$O$411,5,FALSE)</f>
        <v>0</v>
      </c>
      <c r="C297" s="589">
        <f>VLOOKUP(F297,'2) Tracker'!$A$3:$O$411,4,FALSE)</f>
        <v>0</v>
      </c>
      <c r="D297" s="563"/>
      <c r="E297" s="563" t="str">
        <f>VLOOKUP(F297,'2) Tracker'!$A$3:$O$407,15,FALSE)</f>
        <v>R?</v>
      </c>
      <c r="F297" s="604" t="s">
        <v>383</v>
      </c>
      <c r="G297" s="591">
        <f>VLOOKUP(F297,'2) Tracker'!$A$2:$BO$361,2,FALSE)</f>
        <v>2024</v>
      </c>
      <c r="H297" s="592">
        <f>VLOOKUP(F297,'2) Tracker'!$A$2:$BO$361,3,FALSE)</f>
        <v>93000</v>
      </c>
      <c r="I297" s="600" t="str">
        <f>VLOOKUP(F297,'2) Tracker'!$A$2:$BO$361,9,FALSE)</f>
        <v>Petredec</v>
      </c>
      <c r="J297" s="594" t="str">
        <f>VLOOKUP(F297,'2) Tracker'!$A$2:$BO$361,12,FALSE)</f>
        <v>Cape ballast</v>
      </c>
      <c r="K297" s="595" t="str">
        <f t="shared" si="305"/>
        <v/>
      </c>
      <c r="L297" s="595">
        <f t="shared" ref="L297:O297" si="449">AE297</f>
        <v>46156</v>
      </c>
      <c r="M297" s="596" t="str">
        <f t="shared" si="449"/>
        <v/>
      </c>
      <c r="N297" s="596" t="str">
        <f t="shared" si="449"/>
        <v/>
      </c>
      <c r="O297" s="597" t="str">
        <f t="shared" si="449"/>
        <v/>
      </c>
      <c r="P297" s="598" t="str">
        <f>IFERROR(IF(VLOOKUP(F297,'Voyage days'!$M$808:$N$819,2,FALSE),"GOA",""),"")</f>
        <v/>
      </c>
      <c r="Q297" s="596">
        <f t="shared" si="287"/>
        <v>46137</v>
      </c>
      <c r="R297" s="595">
        <f t="shared" si="289"/>
        <v>46158</v>
      </c>
      <c r="S297" s="595">
        <f t="shared" si="409"/>
        <v>46151</v>
      </c>
      <c r="T297" s="596">
        <f t="shared" si="410"/>
        <v>46145</v>
      </c>
      <c r="U297" s="595">
        <f t="shared" si="290"/>
        <v>46153</v>
      </c>
      <c r="V297" s="596"/>
      <c r="W297" s="596" t="str">
        <f t="shared" si="291"/>
        <v/>
      </c>
      <c r="X297" s="599" t="str">
        <f t="shared" si="411"/>
        <v/>
      </c>
      <c r="Y297" s="606"/>
      <c r="Z297" s="612"/>
      <c r="AA297" s="600" t="str">
        <f>VLOOKUP(F297,'2) Tracker'!$A$3:$R$505,18,FALSE)</f>
        <v>Petredec 22 Feb Targa</v>
      </c>
      <c r="AB297" s="600">
        <f>VLOOKUP(F297,'2) Tracker'!$A$3:$Q$505,17,FALSE)</f>
        <v>0</v>
      </c>
      <c r="AC297" s="601"/>
      <c r="AD297" s="601" t="str">
        <f>VLOOKUP(F297,'2) Tracker'!$A$2:$BO$981,37,FALSE)</f>
        <v/>
      </c>
      <c r="AE297" s="601">
        <f>VLOOKUP(F297,'2) Tracker'!$A$2:$BO$981,40,FALSE)</f>
        <v>46156</v>
      </c>
      <c r="AF297" s="601" t="str">
        <f>VLOOKUP(F297,'2) Tracker'!$A$2:$BO$981,67,FALSE)</f>
        <v/>
      </c>
      <c r="AG297" s="601" t="str">
        <f>VLOOKUP(F297,'2) Tracker'!$A$2:$BO$981,34,FALSE)</f>
        <v/>
      </c>
      <c r="AH297" s="601" t="str">
        <f>VLOOKUP(F297,'2) Tracker'!$A$2:$BN$981,66,FALSE)</f>
        <v/>
      </c>
      <c r="AI297" s="601">
        <f>VLOOKUP(F297,'2) Tracker'!$A$2:$BO$981,56,FALSE)</f>
        <v>46153</v>
      </c>
      <c r="AJ297" s="601" t="str">
        <f>VLOOKUP(F297,'2) Tracker'!$A$2:$BO$981,52,FALSE)</f>
        <v/>
      </c>
      <c r="AK297" s="601">
        <f>VLOOKUP(F297,'2) Tracker'!$A$2:$AQ$981,43,FALSE)</f>
        <v>46145</v>
      </c>
      <c r="AL297" s="601">
        <f>VLOOKUP(F297,'2) Tracker'!$A$2:$BH$981,46,FALSE())</f>
        <v>46151</v>
      </c>
      <c r="AM297" s="601">
        <f>VLOOKUP(F297,'2) Tracker'!$A$2:$BO$981,65,FALSE())</f>
        <v>46137</v>
      </c>
      <c r="AN297" s="601">
        <f>VLOOKUP(F297,'2) Tracker'!$A$2:$BK$981,63,FALSE())</f>
        <v>46158</v>
      </c>
      <c r="AO297" s="601" t="str">
        <f>VLOOKUP(F297,'2) Tracker'!$A$2:$BF$981,58,FALSE())</f>
        <v/>
      </c>
      <c r="AP297" s="46"/>
      <c r="AQ297" s="46"/>
      <c r="AR297" s="627"/>
      <c r="AS297" s="627"/>
      <c r="AT297" s="627"/>
      <c r="AU297" s="627"/>
      <c r="AV297" s="660" t="s">
        <v>1648</v>
      </c>
      <c r="AW297" s="627"/>
      <c r="AX297" s="46" t="s">
        <v>18</v>
      </c>
      <c r="AY297" s="46">
        <f>COUNTA('2) Tracker'!A3:A511)</f>
        <v>342</v>
      </c>
      <c r="AZ297" s="605"/>
      <c r="BA297" s="604"/>
      <c r="BB297" s="605"/>
      <c r="BC297" s="605"/>
      <c r="BD297" s="605"/>
      <c r="BE297" s="627"/>
      <c r="BF297" s="627" t="s">
        <v>714</v>
      </c>
      <c r="BG297" s="618" t="s">
        <v>1649</v>
      </c>
      <c r="BH297" s="604" t="s">
        <v>869</v>
      </c>
      <c r="BI297" s="605"/>
      <c r="BJ297" s="605"/>
    </row>
    <row r="298" spans="2:62" x14ac:dyDescent="0.25">
      <c r="B298" s="589">
        <f>VLOOKUP(F298,'2) Tracker'!$A$3:$O$411,5,FALSE)</f>
        <v>0</v>
      </c>
      <c r="C298" s="589"/>
      <c r="D298" s="563"/>
      <c r="E298" s="563">
        <f>VLOOKUP(F298,'2) Tracker'!$A$3:$O$407,15,FALSE)</f>
        <v>0</v>
      </c>
      <c r="F298" s="561" t="s">
        <v>543</v>
      </c>
      <c r="G298" s="591">
        <f>VLOOKUP(F298,'2) Tracker'!$A$2:$BO$361,2,FALSE)</f>
        <v>2020</v>
      </c>
      <c r="H298" s="592">
        <f>VLOOKUP(F298,'2) Tracker'!$A$2:$BO$361,3,FALSE)</f>
        <v>82416</v>
      </c>
      <c r="I298" s="600" t="str">
        <f>VLOOKUP(F298,'2) Tracker'!$A$2:$BO$361,9,FALSE)</f>
        <v>JGE</v>
      </c>
      <c r="J298" s="594" t="str">
        <f>VLOOKUP(F298,'2) Tracker'!$A$2:$BO$361,12,FALSE)</f>
        <v>Cape ballast</v>
      </c>
      <c r="K298" s="596" t="str">
        <f t="shared" si="305"/>
        <v/>
      </c>
      <c r="L298" s="596">
        <f t="shared" ref="L298:O298" si="450">AE298</f>
        <v>46153</v>
      </c>
      <c r="M298" s="596" t="str">
        <f t="shared" si="450"/>
        <v/>
      </c>
      <c r="N298" s="596" t="str">
        <f t="shared" si="450"/>
        <v/>
      </c>
      <c r="O298" s="597" t="str">
        <f t="shared" si="450"/>
        <v/>
      </c>
      <c r="P298" s="598" t="str">
        <f>IFERROR(IF(VLOOKUP(F298,'Voyage days'!$M$808:$N$819,2,FALSE),"GOA",""),"")</f>
        <v/>
      </c>
      <c r="Q298" s="596">
        <f t="shared" si="287"/>
        <v>46133</v>
      </c>
      <c r="R298" s="596">
        <f t="shared" si="289"/>
        <v>46155</v>
      </c>
      <c r="S298" s="595">
        <f t="shared" si="409"/>
        <v>46148</v>
      </c>
      <c r="T298" s="596">
        <f t="shared" si="410"/>
        <v>46142</v>
      </c>
      <c r="U298" s="596">
        <f t="shared" si="290"/>
        <v>46149</v>
      </c>
      <c r="V298" s="570" t="s">
        <v>1577</v>
      </c>
      <c r="W298" s="596" t="str">
        <f t="shared" si="291"/>
        <v/>
      </c>
      <c r="X298" s="599" t="str">
        <f t="shared" si="411"/>
        <v/>
      </c>
      <c r="Y298" s="594"/>
      <c r="Z298" s="600" t="str">
        <f>VLOOKUP(F298,'2) Tracker'!$A$3:$Q$505,16,FALSE)</f>
        <v>ETA USG 11 May via Cape</v>
      </c>
      <c r="AA298" s="600" t="str">
        <f>VLOOKUP(F298,'2) Tracker'!$A$3:$R$505,18,FALSE)</f>
        <v>ATC 10-11 Feb Targa</v>
      </c>
      <c r="AB298" s="600">
        <f>VLOOKUP(F298,'2) Tracker'!$A$3:$Q$505,17,FALSE)</f>
        <v>0</v>
      </c>
      <c r="AC298" s="601"/>
      <c r="AD298" s="601" t="str">
        <f>VLOOKUP(F298,'2) Tracker'!$A$2:$BO$981,37,FALSE)</f>
        <v/>
      </c>
      <c r="AE298" s="601">
        <f>VLOOKUP(F298,'2) Tracker'!$A$2:$BO$981,40,FALSE)</f>
        <v>46153</v>
      </c>
      <c r="AF298" s="601" t="str">
        <f>VLOOKUP(F298,'2) Tracker'!$A$2:$BO$981,67,FALSE)</f>
        <v/>
      </c>
      <c r="AG298" s="601" t="str">
        <f>VLOOKUP(F298,'2) Tracker'!$A$2:$BO$981,34,FALSE)</f>
        <v/>
      </c>
      <c r="AH298" s="601" t="str">
        <f>VLOOKUP(F298,'2) Tracker'!$A$2:$BN$981,66,FALSE)</f>
        <v/>
      </c>
      <c r="AI298" s="601">
        <f>VLOOKUP(F298,'2) Tracker'!$A$2:$BO$981,56,FALSE)</f>
        <v>46149</v>
      </c>
      <c r="AJ298" s="601" t="str">
        <f>VLOOKUP(F298,'2) Tracker'!$A$2:$BO$981,52,FALSE)</f>
        <v/>
      </c>
      <c r="AK298" s="601">
        <f>VLOOKUP(F298,'2) Tracker'!$A$2:$AQ$981,43,FALSE)</f>
        <v>46142</v>
      </c>
      <c r="AL298" s="601">
        <f>VLOOKUP(F298,'2) Tracker'!$A$2:$BH$981,46,FALSE())</f>
        <v>46148</v>
      </c>
      <c r="AM298" s="601">
        <f>VLOOKUP(F298,'2) Tracker'!$A$2:$BO$981,65,FALSE())</f>
        <v>46133</v>
      </c>
      <c r="AN298" s="601">
        <f>VLOOKUP(F298,'2) Tracker'!$A$2:$BK$981,63,FALSE())</f>
        <v>46155</v>
      </c>
      <c r="AO298" s="601" t="str">
        <f>VLOOKUP(F298,'2) Tracker'!$A$2:$BF$981,58,FALSE())</f>
        <v/>
      </c>
      <c r="AP298" s="46"/>
      <c r="AQ298" s="46"/>
      <c r="AR298" s="46"/>
      <c r="AS298" s="46"/>
      <c r="AT298" s="46"/>
      <c r="AU298" s="46"/>
      <c r="AV298" s="661" t="s">
        <v>1650</v>
      </c>
      <c r="AW298" s="46"/>
      <c r="AX298" s="46"/>
      <c r="AY298" s="46"/>
      <c r="AZ298" s="605"/>
      <c r="BA298" s="604" t="e">
        <f>VLOOKUP(AZ298,#REF!,2, FALSE)</f>
        <v>#REF!</v>
      </c>
      <c r="BB298" s="605" t="e">
        <f>VLOOKUP(AZ298,'1) Kpler'!$E$2:$F$500,2,FALSE)</f>
        <v>#N/A</v>
      </c>
      <c r="BC298" s="662" t="s">
        <v>1651</v>
      </c>
      <c r="BD298" s="605"/>
      <c r="BE298" s="46"/>
      <c r="BF298" s="46"/>
      <c r="BG298" s="618" t="s">
        <v>1652</v>
      </c>
      <c r="BH298" s="604" t="s">
        <v>1224</v>
      </c>
      <c r="BI298" s="605"/>
      <c r="BJ298" s="605"/>
    </row>
    <row r="299" spans="2:62" x14ac:dyDescent="0.25">
      <c r="B299" s="589">
        <f>VLOOKUP(F299,'2) Tracker'!$A$3:$O$411,5,FALSE)</f>
        <v>0</v>
      </c>
      <c r="C299" s="589">
        <f>VLOOKUP(F299,'2) Tracker'!$A$3:$O$411,4,FALSE)</f>
        <v>0</v>
      </c>
      <c r="D299" s="563"/>
      <c r="E299" s="563">
        <f>VLOOKUP(F299,'2) Tracker'!$A$3:$O$407,15,FALSE)</f>
        <v>0</v>
      </c>
      <c r="F299" s="608" t="s">
        <v>376</v>
      </c>
      <c r="G299" s="607">
        <f>VLOOKUP(F299,'2) Tracker'!$A$2:$BO$361,2,FALSE)</f>
        <v>42377</v>
      </c>
      <c r="H299" s="592">
        <f>VLOOKUP(F299,'2) Tracker'!$A$2:$BO$361,3,FALSE)</f>
        <v>84000</v>
      </c>
      <c r="I299" s="593" t="str">
        <f>VLOOKUP(F299,'2) Tracker'!$A$2:$BO$361,9,FALSE)</f>
        <v>Total</v>
      </c>
      <c r="J299" s="594" t="str">
        <f>VLOOKUP(F299,'2) Tracker'!$A$2:$BO$361,12,FALSE)</f>
        <v>Cape ballast</v>
      </c>
      <c r="K299" s="595" t="str">
        <f t="shared" si="305"/>
        <v/>
      </c>
      <c r="L299" s="595">
        <f t="shared" ref="L299:O299" si="451">AE299</f>
        <v>46153</v>
      </c>
      <c r="M299" s="596" t="str">
        <f t="shared" si="451"/>
        <v/>
      </c>
      <c r="N299" s="597" t="str">
        <f t="shared" si="451"/>
        <v/>
      </c>
      <c r="O299" s="597" t="str">
        <f t="shared" si="451"/>
        <v/>
      </c>
      <c r="P299" s="598" t="str">
        <f>IFERROR(IF(VLOOKUP(F299,'Voyage days'!$M$808:$N$819,2,FALSE),"GOA",""),"")</f>
        <v/>
      </c>
      <c r="Q299" s="596">
        <f t="shared" si="287"/>
        <v>46133</v>
      </c>
      <c r="R299" s="595">
        <f t="shared" si="289"/>
        <v>46155</v>
      </c>
      <c r="S299" s="595">
        <f t="shared" si="409"/>
        <v>46148</v>
      </c>
      <c r="T299" s="596">
        <f t="shared" si="410"/>
        <v>46142</v>
      </c>
      <c r="U299" s="595">
        <f t="shared" si="290"/>
        <v>46149</v>
      </c>
      <c r="V299" s="596"/>
      <c r="W299" s="596" t="str">
        <f t="shared" si="291"/>
        <v/>
      </c>
      <c r="X299" s="599" t="str">
        <f t="shared" si="411"/>
        <v/>
      </c>
      <c r="Y299" s="606"/>
      <c r="Z299" s="600" t="str">
        <f>VLOOKUP(F299,'2) Tracker'!$A$3:$Q$505,16,FALSE)</f>
        <v>ETA Nederland 10 May via Cape</v>
      </c>
      <c r="AA299" s="600" t="str">
        <f>VLOOKUP(F299,'2) Tracker'!$A$3:$R$505,18,FALSE)</f>
        <v>Total 10-11 May Nederland</v>
      </c>
      <c r="AB299" s="600">
        <f>VLOOKUP(F299,'2) Tracker'!$A$3:$Q$505,17,FALSE)</f>
        <v>0</v>
      </c>
      <c r="AC299" s="601"/>
      <c r="AD299" s="601" t="str">
        <f>VLOOKUP(F299,'2) Tracker'!$A$2:$BO$981,37,FALSE)</f>
        <v/>
      </c>
      <c r="AE299" s="601">
        <f>VLOOKUP(F299,'2) Tracker'!$A$2:$BO$981,40,FALSE)</f>
        <v>46153</v>
      </c>
      <c r="AF299" s="601" t="str">
        <f>VLOOKUP(F299,'2) Tracker'!$A$2:$BO$981,67,FALSE)</f>
        <v/>
      </c>
      <c r="AG299" s="601" t="str">
        <f>VLOOKUP(F299,'2) Tracker'!$A$2:$BO$981,34,FALSE)</f>
        <v/>
      </c>
      <c r="AH299" s="601" t="str">
        <f>VLOOKUP(F299,'2) Tracker'!$A$2:$BN$981,66,FALSE)</f>
        <v/>
      </c>
      <c r="AI299" s="601">
        <f>VLOOKUP(F299,'2) Tracker'!$A$2:$BO$981,56,FALSE)</f>
        <v>46149</v>
      </c>
      <c r="AJ299" s="601" t="str">
        <f>VLOOKUP(F299,'2) Tracker'!$A$2:$BO$981,52,FALSE)</f>
        <v/>
      </c>
      <c r="AK299" s="601">
        <f>VLOOKUP(F299,'2) Tracker'!$A$2:$AQ$981,43,FALSE)</f>
        <v>46142</v>
      </c>
      <c r="AL299" s="601">
        <f>VLOOKUP(F299,'2) Tracker'!$A$2:$BH$981,46,FALSE())</f>
        <v>46148</v>
      </c>
      <c r="AM299" s="601">
        <f>VLOOKUP(F299,'2) Tracker'!$A$2:$BO$981,65,FALSE())</f>
        <v>46133</v>
      </c>
      <c r="AN299" s="601">
        <f>VLOOKUP(F299,'2) Tracker'!$A$2:$BK$981,63,FALSE())</f>
        <v>46155</v>
      </c>
      <c r="AO299" s="601" t="str">
        <f>VLOOKUP(F299,'2) Tracker'!$A$2:$BF$981,58,FALSE())</f>
        <v/>
      </c>
      <c r="AP299" s="46"/>
      <c r="AQ299" s="46"/>
      <c r="AR299" s="46"/>
      <c r="AS299" s="46"/>
      <c r="AT299" s="46"/>
      <c r="AU299" s="46"/>
      <c r="AV299" s="46"/>
      <c r="AW299" s="46"/>
      <c r="AX299" s="46"/>
      <c r="AY299" s="46"/>
      <c r="AZ299" s="563"/>
      <c r="BA299" s="569"/>
      <c r="BB299" s="563"/>
      <c r="BC299" s="569"/>
      <c r="BD299" s="563"/>
      <c r="BE299" s="46"/>
      <c r="BF299" s="46"/>
      <c r="BG299" s="563"/>
      <c r="BH299" s="563"/>
      <c r="BI299" s="563"/>
      <c r="BJ299" s="563"/>
    </row>
    <row r="300" spans="2:62" x14ac:dyDescent="0.25">
      <c r="B300" s="589">
        <f>VLOOKUP(F300,'2) Tracker'!$A$3:$O$411,5,FALSE)</f>
        <v>0</v>
      </c>
      <c r="C300" s="589">
        <f>VLOOKUP(F300,'2) Tracker'!$A$3:$O$411,4,FALSE)</f>
        <v>0</v>
      </c>
      <c r="D300" s="563"/>
      <c r="E300" s="563">
        <f>VLOOKUP(F300,'2) Tracker'!$A$3:$O$407,15,FALSE)</f>
        <v>0</v>
      </c>
      <c r="F300" s="608" t="s">
        <v>303</v>
      </c>
      <c r="G300" s="591">
        <f>VLOOKUP(F300,'2) Tracker'!$A$2:$BO$361,2,FALSE)</f>
        <v>2021</v>
      </c>
      <c r="H300" s="592">
        <f>VLOOKUP(F300,'2) Tracker'!$A$2:$BO$361,3,FALSE)</f>
        <v>84000</v>
      </c>
      <c r="I300" s="593" t="str">
        <f>VLOOKUP(F300,'2) Tracker'!$A$2:$BO$361,9,FALSE)</f>
        <v>BGN</v>
      </c>
      <c r="J300" s="594" t="str">
        <f>VLOOKUP(F300,'2) Tracker'!$A$2:$BO$361,12,FALSE)</f>
        <v>Port Louis ballast</v>
      </c>
      <c r="K300" s="596" t="str">
        <f t="shared" si="305"/>
        <v/>
      </c>
      <c r="L300" s="596">
        <f t="shared" ref="L300:O300" si="452">AE300</f>
        <v>46158</v>
      </c>
      <c r="M300" s="596" t="str">
        <f t="shared" si="452"/>
        <v/>
      </c>
      <c r="N300" s="597" t="str">
        <f t="shared" si="452"/>
        <v/>
      </c>
      <c r="O300" s="597" t="str">
        <f t="shared" si="452"/>
        <v/>
      </c>
      <c r="P300" s="598" t="str">
        <f>IFERROR(IF(VLOOKUP(F300,'Voyage days'!$M$808:$N$819,2,FALSE),"GOA",""),"")</f>
        <v/>
      </c>
      <c r="Q300" s="596">
        <f t="shared" si="287"/>
        <v>46133</v>
      </c>
      <c r="R300" s="596">
        <f t="shared" si="289"/>
        <v>46159</v>
      </c>
      <c r="S300" s="595">
        <f t="shared" si="409"/>
        <v>46154</v>
      </c>
      <c r="T300" s="596">
        <f t="shared" si="410"/>
        <v>46145</v>
      </c>
      <c r="U300" s="596" t="str">
        <f t="shared" si="290"/>
        <v/>
      </c>
      <c r="V300" s="596"/>
      <c r="W300" s="596" t="str">
        <f t="shared" si="291"/>
        <v/>
      </c>
      <c r="X300" s="599" t="str">
        <f t="shared" si="411"/>
        <v/>
      </c>
      <c r="Y300" s="594"/>
      <c r="Z300" s="600" t="str">
        <f>VLOOKUP(F300,'2) Tracker'!$A$3:$Q$505,16,FALSE)</f>
        <v>ETD Balikpapan 13 Apr, heading back to USG?</v>
      </c>
      <c r="AA300" s="600" t="str">
        <f>VLOOKUP(F300,'2) Tracker'!$A$3:$R$505,18,FALSE)</f>
        <v>BGN 15-17 Feb USG (delay)</v>
      </c>
      <c r="AB300" s="600">
        <f>VLOOKUP(F300,'2) Tracker'!$A$3:$Q$505,17,FALSE)</f>
        <v>0</v>
      </c>
      <c r="AC300" s="601"/>
      <c r="AD300" s="601" t="str">
        <f>VLOOKUP(F300,'2) Tracker'!$A$2:$BO$981,37,FALSE)</f>
        <v/>
      </c>
      <c r="AE300" s="601">
        <f>VLOOKUP(F300,'2) Tracker'!$A$2:$BO$981,40,FALSE)</f>
        <v>46158</v>
      </c>
      <c r="AF300" s="601" t="str">
        <f>VLOOKUP(F300,'2) Tracker'!$A$2:$BO$981,67,FALSE)</f>
        <v/>
      </c>
      <c r="AG300" s="601" t="str">
        <f>VLOOKUP(F300,'2) Tracker'!$A$2:$BO$981,34,FALSE)</f>
        <v/>
      </c>
      <c r="AH300" s="601" t="str">
        <f>VLOOKUP(F300,'2) Tracker'!$A$2:$BN$981,66,FALSE)</f>
        <v/>
      </c>
      <c r="AI300" s="601" t="str">
        <f>VLOOKUP(F300,'2) Tracker'!$A$2:$BO$981,56,FALSE)</f>
        <v/>
      </c>
      <c r="AJ300" s="601" t="str">
        <f>VLOOKUP(F300,'2) Tracker'!$A$2:$BO$981,52,FALSE)</f>
        <v/>
      </c>
      <c r="AK300" s="601">
        <f>VLOOKUP(F300,'2) Tracker'!$A$2:$AQ$981,43,FALSE)</f>
        <v>46145</v>
      </c>
      <c r="AL300" s="601">
        <f>VLOOKUP(F300,'2) Tracker'!$A$2:$BH$981,46,FALSE())</f>
        <v>46154</v>
      </c>
      <c r="AM300" s="601">
        <f>VLOOKUP(F300,'2) Tracker'!$A$2:$BO$981,65,FALSE())</f>
        <v>46133</v>
      </c>
      <c r="AN300" s="601">
        <f>VLOOKUP(F300,'2) Tracker'!$A$2:$BK$981,63,FALSE())</f>
        <v>46159</v>
      </c>
      <c r="AO300" s="601" t="str">
        <f>VLOOKUP(F300,'2) Tracker'!$A$2:$BF$981,58,FALSE())</f>
        <v/>
      </c>
      <c r="AP300" s="46"/>
      <c r="AQ300" s="46"/>
      <c r="AR300" s="46"/>
      <c r="AS300" s="46"/>
      <c r="AT300" s="46"/>
      <c r="AU300" s="46"/>
      <c r="AV300" s="46"/>
      <c r="AW300" s="46"/>
      <c r="AX300" s="46"/>
      <c r="AY300" s="46"/>
      <c r="AZ300" s="563"/>
      <c r="BA300" s="604" t="e">
        <f>VLOOKUP(AZ300,#REF!,2, FALSE)</f>
        <v>#REF!</v>
      </c>
      <c r="BB300" s="605" t="e">
        <f>VLOOKUP(AZ300,'1) Kpler'!$E$2:$F$500,2,FALSE)</f>
        <v>#N/A</v>
      </c>
      <c r="BC300" s="569"/>
      <c r="BD300" s="563"/>
      <c r="BE300" s="46"/>
      <c r="BF300" s="46"/>
      <c r="BG300" s="563"/>
      <c r="BH300" s="563"/>
      <c r="BI300" s="563"/>
      <c r="BJ300" s="563"/>
    </row>
    <row r="301" spans="2:62" x14ac:dyDescent="0.25">
      <c r="B301" s="589">
        <f>VLOOKUP(F301,'2) Tracker'!$A$3:$O$411,5,FALSE)</f>
        <v>0</v>
      </c>
      <c r="C301" s="589">
        <f>VLOOKUP(F301,'2) Tracker'!$A$3:$O$411,4,FALSE)</f>
        <v>0</v>
      </c>
      <c r="D301" s="563"/>
      <c r="E301" s="563">
        <f>VLOOKUP(F301,'2) Tracker'!$A$3:$O$407,15,FALSE)</f>
        <v>0</v>
      </c>
      <c r="F301" s="608" t="s">
        <v>300</v>
      </c>
      <c r="G301" s="591">
        <f>VLOOKUP(F301,'2) Tracker'!$A$2:$BO$361,2,FALSE)</f>
        <v>2021</v>
      </c>
      <c r="H301" s="592">
        <f>VLOOKUP(F301,'2) Tracker'!$A$2:$BO$361,3,FALSE)</f>
        <v>84000</v>
      </c>
      <c r="I301" s="593" t="str">
        <f>VLOOKUP(F301,'2) Tracker'!$A$2:$BO$361,9,FALSE)</f>
        <v>BGN</v>
      </c>
      <c r="J301" s="594" t="str">
        <f>VLOOKUP(F301,'2) Tracker'!$A$2:$BO$361,12,FALSE)</f>
        <v>Port Louis ballast</v>
      </c>
      <c r="K301" s="595" t="str">
        <f t="shared" si="305"/>
        <v/>
      </c>
      <c r="L301" s="595">
        <f t="shared" ref="L301:O301" si="453">AE301</f>
        <v>46159</v>
      </c>
      <c r="M301" s="596" t="str">
        <f t="shared" si="453"/>
        <v/>
      </c>
      <c r="N301" s="596" t="str">
        <f t="shared" si="453"/>
        <v/>
      </c>
      <c r="O301" s="597" t="str">
        <f t="shared" si="453"/>
        <v/>
      </c>
      <c r="P301" s="598" t="str">
        <f>IFERROR(IF(VLOOKUP(F301,'Voyage days'!$M$808:$N$819,2,FALSE),"GOA",""),"")</f>
        <v/>
      </c>
      <c r="Q301" s="596">
        <f t="shared" si="287"/>
        <v>46134</v>
      </c>
      <c r="R301" s="596">
        <f t="shared" si="289"/>
        <v>46160</v>
      </c>
      <c r="S301" s="595">
        <f t="shared" si="409"/>
        <v>46155</v>
      </c>
      <c r="T301" s="596">
        <f t="shared" si="410"/>
        <v>46146</v>
      </c>
      <c r="U301" s="596" t="str">
        <f t="shared" si="290"/>
        <v/>
      </c>
      <c r="V301" s="596"/>
      <c r="W301" s="596" t="str">
        <f t="shared" si="291"/>
        <v/>
      </c>
      <c r="X301" s="599" t="str">
        <f t="shared" si="411"/>
        <v/>
      </c>
      <c r="Y301" s="594"/>
      <c r="Z301" s="600" t="str">
        <f>VLOOKUP(F301,'2) Tracker'!$A$3:$Q$505,16,FALSE)</f>
        <v>ex DD, Ex Port Klang 07 Apr coolant</v>
      </c>
      <c r="AA301" s="600" t="str">
        <f>VLOOKUP(F301,'2) Tracker'!$A$3:$R$505,18,FALSE)</f>
        <v>BGN 19-20 Jan Nederland (delay)?</v>
      </c>
      <c r="AB301" s="600">
        <f>VLOOKUP(F301,'2) Tracker'!$A$3:$Q$505,17,FALSE)</f>
        <v>0</v>
      </c>
      <c r="AC301" s="601"/>
      <c r="AD301" s="601" t="str">
        <f>VLOOKUP(F301,'2) Tracker'!$A$2:$BO$981,37,FALSE)</f>
        <v/>
      </c>
      <c r="AE301" s="601">
        <f>VLOOKUP(F301,'2) Tracker'!$A$2:$BO$981,40,FALSE)</f>
        <v>46159</v>
      </c>
      <c r="AF301" s="601" t="str">
        <f>VLOOKUP(F301,'2) Tracker'!$A$2:$BO$981,67,FALSE)</f>
        <v/>
      </c>
      <c r="AG301" s="601" t="str">
        <f>VLOOKUP(F301,'2) Tracker'!$A$2:$BO$981,34,FALSE)</f>
        <v/>
      </c>
      <c r="AH301" s="601" t="str">
        <f>VLOOKUP(F301,'2) Tracker'!$A$2:$BN$981,66,FALSE)</f>
        <v/>
      </c>
      <c r="AI301" s="601" t="str">
        <f>VLOOKUP(F301,'2) Tracker'!$A$2:$BO$981,56,FALSE)</f>
        <v/>
      </c>
      <c r="AJ301" s="601" t="str">
        <f>VLOOKUP(F301,'2) Tracker'!$A$2:$BO$981,52,FALSE)</f>
        <v/>
      </c>
      <c r="AK301" s="601">
        <f>VLOOKUP(F301,'2) Tracker'!$A$2:$AQ$981,43,FALSE)</f>
        <v>46146</v>
      </c>
      <c r="AL301" s="601">
        <f>VLOOKUP(F301,'2) Tracker'!$A$2:$BH$981,46,FALSE())</f>
        <v>46155</v>
      </c>
      <c r="AM301" s="601">
        <f>VLOOKUP(F301,'2) Tracker'!$A$2:$BO$981,65,FALSE())</f>
        <v>46134</v>
      </c>
      <c r="AN301" s="601">
        <f>VLOOKUP(F301,'2) Tracker'!$A$2:$BK$981,63,FALSE())</f>
        <v>46160</v>
      </c>
      <c r="AO301" s="601" t="str">
        <f>VLOOKUP(F301,'2) Tracker'!$A$2:$BF$981,58,FALSE())</f>
        <v/>
      </c>
      <c r="AP301" s="46"/>
      <c r="AQ301" s="46"/>
      <c r="AR301" s="46"/>
      <c r="AS301" s="46"/>
      <c r="AT301" s="46"/>
      <c r="AU301" s="46"/>
      <c r="AV301" s="46"/>
      <c r="AW301" s="46"/>
      <c r="AX301" s="46"/>
      <c r="AY301" s="46"/>
      <c r="AZ301" s="563"/>
      <c r="BA301" s="569"/>
      <c r="BB301" s="563"/>
      <c r="BC301" s="569"/>
      <c r="BD301" s="563"/>
      <c r="BE301" s="46"/>
      <c r="BF301" s="46"/>
      <c r="BG301" s="563"/>
      <c r="BH301" s="563"/>
      <c r="BI301" s="563"/>
      <c r="BJ301" s="563"/>
    </row>
    <row r="302" spans="2:62" x14ac:dyDescent="0.25">
      <c r="B302" s="589"/>
      <c r="C302" s="589"/>
      <c r="D302" s="563"/>
      <c r="E302" s="563" t="str">
        <f>VLOOKUP(F302,'2) Tracker'!$A$3:$O$407,15,FALSE)</f>
        <v>O</v>
      </c>
      <c r="F302" s="604" t="s">
        <v>1438</v>
      </c>
      <c r="G302" s="591">
        <v>2011</v>
      </c>
      <c r="H302" s="592">
        <v>80000</v>
      </c>
      <c r="I302" s="600" t="str">
        <f>VLOOKUP(F302,'2) Tracker'!$A$2:$BO$361,9,FALSE)</f>
        <v>BW</v>
      </c>
      <c r="J302" s="594" t="str">
        <f>VLOOKUP(F302,'2) Tracker'!$A$2:$BO$361,12,FALSE)</f>
        <v>Galle</v>
      </c>
      <c r="K302" s="596" t="str">
        <f t="shared" si="305"/>
        <v/>
      </c>
      <c r="L302" s="596">
        <f t="shared" ref="L302:O302" si="454">AE302</f>
        <v>46163</v>
      </c>
      <c r="M302" s="596" t="str">
        <f t="shared" si="454"/>
        <v/>
      </c>
      <c r="N302" s="596">
        <f t="shared" si="454"/>
        <v>46137</v>
      </c>
      <c r="O302" s="597" t="str">
        <f t="shared" si="454"/>
        <v/>
      </c>
      <c r="P302" s="598" t="str">
        <f>IFERROR(IF(VLOOKUP(F302,'Voyage days'!$M$808:$N$819,2,FALSE),"GOA",""),"")</f>
        <v/>
      </c>
      <c r="Q302" s="596">
        <f t="shared" si="287"/>
        <v>46141</v>
      </c>
      <c r="R302" s="596">
        <f t="shared" si="289"/>
        <v>46175</v>
      </c>
      <c r="S302" s="595">
        <f t="shared" si="409"/>
        <v>46158</v>
      </c>
      <c r="T302" s="596">
        <f t="shared" si="410"/>
        <v>46150</v>
      </c>
      <c r="U302" s="596">
        <f t="shared" si="290"/>
        <v>46139</v>
      </c>
      <c r="V302" s="570" t="s">
        <v>1577</v>
      </c>
      <c r="W302" s="596" t="str">
        <f t="shared" si="291"/>
        <v/>
      </c>
      <c r="X302" s="599" t="str">
        <f t="shared" si="411"/>
        <v/>
      </c>
      <c r="Y302" s="594"/>
      <c r="Z302" s="600" t="str">
        <f>VLOOKUP(F302,'2) Tracker'!$A$3:$Q$505,16,FALSE)</f>
        <v>ex DD, Redel from IOC - will trade spot after DD</v>
      </c>
      <c r="AA302" s="600" t="s">
        <v>1653</v>
      </c>
      <c r="AB302" s="600">
        <f>VLOOKUP(F302,'2) Tracker'!$A$3:$Q$505,17,FALSE)</f>
        <v>0</v>
      </c>
      <c r="AC302" s="601"/>
      <c r="AD302" s="601" t="str">
        <f>VLOOKUP(F302,'2) Tracker'!$A$2:$BO$981,37,FALSE)</f>
        <v/>
      </c>
      <c r="AE302" s="601">
        <f>VLOOKUP(F302,'2) Tracker'!$A$2:$BO$981,40,FALSE)</f>
        <v>46163</v>
      </c>
      <c r="AF302" s="601" t="str">
        <f>VLOOKUP(F302,'2) Tracker'!$A$2:$BO$981,67,FALSE)</f>
        <v/>
      </c>
      <c r="AG302" s="601">
        <f>VLOOKUP(F302,'2) Tracker'!$A$2:$BO$981,34,FALSE)</f>
        <v>46137</v>
      </c>
      <c r="AH302" s="601" t="str">
        <f>VLOOKUP(F302,'2) Tracker'!$A$2:$BN$981,66,FALSE)</f>
        <v/>
      </c>
      <c r="AI302" s="601">
        <f>VLOOKUP(F302,'2) Tracker'!$A$2:$BO$981,56,FALSE)</f>
        <v>46139</v>
      </c>
      <c r="AJ302" s="601" t="str">
        <f>VLOOKUP(F302,'2) Tracker'!$A$2:$BO$981,52,FALSE)</f>
        <v/>
      </c>
      <c r="AK302" s="601">
        <f>VLOOKUP(F302,'2) Tracker'!$A$2:$AQ$981,43,FALSE)</f>
        <v>46150</v>
      </c>
      <c r="AL302" s="601">
        <f>VLOOKUP(F302,'2) Tracker'!$A$2:$BH$981,46,FALSE())</f>
        <v>46158</v>
      </c>
      <c r="AM302" s="601">
        <f>VLOOKUP(F302,'2) Tracker'!$A$2:$BO$981,65,FALSE())</f>
        <v>46141</v>
      </c>
      <c r="AN302" s="601">
        <f>VLOOKUP(F302,'2) Tracker'!$A$2:$BK$981,63,FALSE())</f>
        <v>46175</v>
      </c>
      <c r="AO302" s="601" t="str">
        <f>VLOOKUP(F302,'2) Tracker'!$A$2:$BF$981,58,FALSE())</f>
        <v/>
      </c>
      <c r="AP302" s="46"/>
      <c r="AQ302" s="46"/>
      <c r="AR302" s="46"/>
      <c r="AS302" s="46"/>
      <c r="AT302" s="46"/>
      <c r="AU302" s="46"/>
      <c r="AV302" s="46"/>
      <c r="AW302" s="46"/>
      <c r="AX302" s="46"/>
      <c r="AY302" s="46"/>
      <c r="AZ302" s="563"/>
      <c r="BA302" s="604" t="e">
        <f>VLOOKUP(AZ302,#REF!,2, FALSE)</f>
        <v>#REF!</v>
      </c>
      <c r="BB302" s="605" t="e">
        <f>VLOOKUP(AZ302,'1) Kpler'!$E$2:$F$500,2,FALSE)</f>
        <v>#N/A</v>
      </c>
      <c r="BC302" s="569"/>
      <c r="BD302" s="563"/>
      <c r="BE302" s="46"/>
      <c r="BF302" s="46"/>
      <c r="BG302" s="563"/>
      <c r="BH302" s="563"/>
      <c r="BI302" s="563"/>
      <c r="BJ302" s="563"/>
    </row>
    <row r="303" spans="2:62" x14ac:dyDescent="0.25">
      <c r="B303" s="589">
        <f>VLOOKUP(F303,'2) Tracker'!$A$3:$O$411,5,FALSE)</f>
        <v>0</v>
      </c>
      <c r="C303" s="589">
        <f>VLOOKUP(F303,'2) Tracker'!$A$3:$O$411,4,FALSE)</f>
        <v>0</v>
      </c>
      <c r="D303" s="563"/>
      <c r="E303" s="563">
        <f>VLOOKUP(F303,'2) Tracker'!$A$3:$O$407,15,FALSE)</f>
        <v>0</v>
      </c>
      <c r="F303" s="608" t="s">
        <v>250</v>
      </c>
      <c r="G303" s="591">
        <f>VLOOKUP(F303,'2) Tracker'!$A$2:$BO$361,2,FALSE)</f>
        <v>2022</v>
      </c>
      <c r="H303" s="592">
        <f>VLOOKUP(F303,'2) Tracker'!$A$2:$BO$361,3,FALSE)</f>
        <v>90000</v>
      </c>
      <c r="I303" s="593" t="str">
        <f>VLOOKUP(F303,'2) Tracker'!$A$2:$BO$361,9,FALSE)</f>
        <v>Geogas</v>
      </c>
      <c r="J303" s="594" t="str">
        <f>VLOOKUP(F303,'2) Tracker'!$A$2:$BO$361,12,FALSE)</f>
        <v>Galle</v>
      </c>
      <c r="K303" s="596" t="str">
        <f t="shared" si="305"/>
        <v/>
      </c>
      <c r="L303" s="596">
        <f t="shared" ref="L303:O303" si="455">AE303</f>
        <v>46167</v>
      </c>
      <c r="M303" s="596" t="str">
        <f t="shared" si="455"/>
        <v/>
      </c>
      <c r="N303" s="596">
        <f t="shared" si="455"/>
        <v>46141</v>
      </c>
      <c r="O303" s="597" t="str">
        <f t="shared" si="455"/>
        <v/>
      </c>
      <c r="P303" s="598" t="str">
        <f>IFERROR(IF(VLOOKUP(F303,'Voyage days'!$M$808:$N$819,2,FALSE),"GOA",""),"")</f>
        <v/>
      </c>
      <c r="Q303" s="596">
        <f t="shared" si="287"/>
        <v>46145</v>
      </c>
      <c r="R303" s="596">
        <f t="shared" si="289"/>
        <v>46179</v>
      </c>
      <c r="S303" s="595">
        <f t="shared" si="409"/>
        <v>46162</v>
      </c>
      <c r="T303" s="596">
        <f t="shared" si="410"/>
        <v>46154</v>
      </c>
      <c r="U303" s="596">
        <f t="shared" si="290"/>
        <v>46143</v>
      </c>
      <c r="V303" s="596"/>
      <c r="W303" s="596" t="str">
        <f t="shared" si="291"/>
        <v/>
      </c>
      <c r="X303" s="599" t="str">
        <f t="shared" si="411"/>
        <v/>
      </c>
      <c r="Y303" s="594"/>
      <c r="Z303" s="600" t="str">
        <f>VLOOKUP(F303,'2) Tracker'!$A$3:$Q$505,16,FALSE)</f>
        <v>ETA Male 21 Apr, for STS ops</v>
      </c>
      <c r="AA303" s="600" t="str">
        <f>VLOOKUP(F303,'2) Tracker'!$A$3:$R$505,18,FALSE)</f>
        <v>Geogas 16 Mar Enterprise</v>
      </c>
      <c r="AB303" s="600">
        <f>VLOOKUP(F303,'2) Tracker'!$A$3:$Q$505,17,FALSE)</f>
        <v>0</v>
      </c>
      <c r="AC303" s="601"/>
      <c r="AD303" s="601" t="str">
        <f>VLOOKUP(F303,'2) Tracker'!$A$2:$BO$981,37,FALSE)</f>
        <v/>
      </c>
      <c r="AE303" s="601">
        <f>VLOOKUP(F303,'2) Tracker'!$A$2:$BO$981,40,FALSE)</f>
        <v>46167</v>
      </c>
      <c r="AF303" s="601" t="str">
        <f>VLOOKUP(F303,'2) Tracker'!$A$2:$BO$981,67,FALSE)</f>
        <v/>
      </c>
      <c r="AG303" s="601">
        <f>VLOOKUP(F303,'2) Tracker'!$A$2:$BO$981,34,FALSE)</f>
        <v>46141</v>
      </c>
      <c r="AH303" s="601" t="str">
        <f>VLOOKUP(F303,'2) Tracker'!$A$2:$BN$981,66,FALSE)</f>
        <v/>
      </c>
      <c r="AI303" s="601">
        <f>VLOOKUP(F303,'2) Tracker'!$A$2:$BO$981,56,FALSE)</f>
        <v>46143</v>
      </c>
      <c r="AJ303" s="601" t="str">
        <f>VLOOKUP(F303,'2) Tracker'!$A$2:$BO$981,52,FALSE)</f>
        <v/>
      </c>
      <c r="AK303" s="601">
        <f>VLOOKUP(F303,'2) Tracker'!$A$2:$AQ$981,43,FALSE)</f>
        <v>46154</v>
      </c>
      <c r="AL303" s="601">
        <f>VLOOKUP(F303,'2) Tracker'!$A$2:$BH$981,46,FALSE())</f>
        <v>46162</v>
      </c>
      <c r="AM303" s="601">
        <f>VLOOKUP(F303,'2) Tracker'!$A$2:$BO$981,65,FALSE())</f>
        <v>46145</v>
      </c>
      <c r="AN303" s="601">
        <f>VLOOKUP(F303,'2) Tracker'!$A$2:$BK$981,63,FALSE())</f>
        <v>46179</v>
      </c>
      <c r="AO303" s="601" t="str">
        <f>VLOOKUP(F303,'2) Tracker'!$A$2:$BF$981,58,FALSE())</f>
        <v/>
      </c>
      <c r="AP303" s="627"/>
      <c r="AQ303" s="627"/>
      <c r="AR303" s="46"/>
      <c r="AS303" s="46"/>
      <c r="AT303" s="46"/>
      <c r="AU303" s="46"/>
      <c r="AV303" s="46"/>
      <c r="AW303" s="46"/>
      <c r="AX303" s="46"/>
      <c r="AY303" s="46"/>
      <c r="AZ303" s="563"/>
      <c r="BA303" s="604" t="e">
        <f>VLOOKUP(AZ303,#REF!,2, FALSE)</f>
        <v>#REF!</v>
      </c>
      <c r="BB303" s="605" t="e">
        <f>VLOOKUP(AZ303,'1) Kpler'!$E$2:$F$500,2,FALSE)</f>
        <v>#N/A</v>
      </c>
      <c r="BC303" s="569"/>
      <c r="BD303" s="563"/>
      <c r="BE303" s="46"/>
      <c r="BF303" s="46"/>
      <c r="BG303" s="563"/>
      <c r="BH303" s="563"/>
      <c r="BI303" s="563"/>
      <c r="BJ303" s="563"/>
    </row>
    <row r="304" spans="2:62" x14ac:dyDescent="0.25">
      <c r="B304" s="589">
        <f>VLOOKUP(F304,'2) Tracker'!$A$3:$O$411,5,FALSE)</f>
        <v>0</v>
      </c>
      <c r="C304" s="589" t="s">
        <v>651</v>
      </c>
      <c r="D304" s="563"/>
      <c r="E304" s="563">
        <f>VLOOKUP(F304,'2) Tracker'!$A$3:$O$407,15,FALSE)</f>
        <v>0</v>
      </c>
      <c r="F304" s="569" t="s">
        <v>102</v>
      </c>
      <c r="G304" s="647">
        <v>2003</v>
      </c>
      <c r="H304" s="592">
        <f>VLOOKUP(F304,'2) Tracker'!$A$2:$BO$361,3,FALSE)</f>
        <v>82557</v>
      </c>
      <c r="I304" s="594" t="str">
        <f>VLOOKUP(F304,'2) Tracker'!$A$2:$BO$361,9,FALSE)</f>
        <v>Wellbred</v>
      </c>
      <c r="J304" s="594" t="str">
        <f>VLOOKUP(F304,'2) Tracker'!$A$2:$BO$361,12,FALSE)</f>
        <v>WCI</v>
      </c>
      <c r="K304" s="596" t="str">
        <f t="shared" si="305"/>
        <v/>
      </c>
      <c r="L304" s="596">
        <f t="shared" ref="L304:O304" si="456">AE304</f>
        <v>46169</v>
      </c>
      <c r="M304" s="596" t="str">
        <f t="shared" si="456"/>
        <v/>
      </c>
      <c r="N304" s="596">
        <f t="shared" si="456"/>
        <v>46142</v>
      </c>
      <c r="O304" s="597" t="str">
        <f t="shared" si="456"/>
        <v/>
      </c>
      <c r="P304" s="598" t="str">
        <f>IFERROR(IF(VLOOKUP(F304,'Voyage days'!$M$808:$N$819,2,FALSE),"GOA",""),"")</f>
        <v/>
      </c>
      <c r="Q304" s="596">
        <f t="shared" si="287"/>
        <v>46145</v>
      </c>
      <c r="R304" s="596">
        <f t="shared" si="289"/>
        <v>46172</v>
      </c>
      <c r="S304" s="595">
        <f t="shared" si="409"/>
        <v>46150</v>
      </c>
      <c r="T304" s="596">
        <f t="shared" si="410"/>
        <v>46156</v>
      </c>
      <c r="U304" s="596" t="str">
        <f t="shared" si="290"/>
        <v/>
      </c>
      <c r="V304" s="570" t="s">
        <v>1577</v>
      </c>
      <c r="W304" s="596" t="str">
        <f t="shared" si="291"/>
        <v/>
      </c>
      <c r="X304" s="599" t="str">
        <f t="shared" si="411"/>
        <v/>
      </c>
      <c r="Y304" s="594"/>
      <c r="Z304" s="600" t="str">
        <f>VLOOKUP(F304,'2) Tracker'!$A$3:$Q$505,16,FALSE)</f>
        <v>drifting Arabian Sea 11 Mar</v>
      </c>
      <c r="AA304" s="600" t="str">
        <f>VLOOKUP(F304,'2) Tracker'!$A$3:$R$505,18,FALSE)</f>
        <v>Flaked by charterer to load Iraq</v>
      </c>
      <c r="AB304" s="600">
        <f>VLOOKUP(F304,'2) Tracker'!$A$3:$Q$505,17,FALSE)</f>
        <v>0</v>
      </c>
      <c r="AC304" s="601"/>
      <c r="AD304" s="601" t="str">
        <f>VLOOKUP(F304,'2) Tracker'!$A$2:$BO$981,37,FALSE)</f>
        <v/>
      </c>
      <c r="AE304" s="601">
        <f>VLOOKUP(F304,'2) Tracker'!$A$2:$BO$981,40,FALSE)</f>
        <v>46169</v>
      </c>
      <c r="AF304" s="601" t="str">
        <f>VLOOKUP(F304,'2) Tracker'!$A$2:$BO$981,67,FALSE)</f>
        <v/>
      </c>
      <c r="AG304" s="601">
        <f>VLOOKUP(F304,'2) Tracker'!$A$2:$BO$981,34,FALSE)</f>
        <v>46142</v>
      </c>
      <c r="AH304" s="601" t="str">
        <f>VLOOKUP(F304,'2) Tracker'!$A$2:$BN$981,66,FALSE)</f>
        <v/>
      </c>
      <c r="AI304" s="601" t="str">
        <f>VLOOKUP(F304,'2) Tracker'!$A$2:$BO$981,56,FALSE)</f>
        <v/>
      </c>
      <c r="AJ304" s="601" t="str">
        <f>VLOOKUP(F304,'2) Tracker'!$A$2:$BO$981,52,FALSE)</f>
        <v/>
      </c>
      <c r="AK304" s="601">
        <f>VLOOKUP(F304,'2) Tracker'!$A$2:$AQ$981,43,FALSE)</f>
        <v>46156</v>
      </c>
      <c r="AL304" s="601">
        <f>VLOOKUP(F304,'2) Tracker'!$A$2:$BH$981,46,FALSE())</f>
        <v>46150</v>
      </c>
      <c r="AM304" s="601">
        <f>VLOOKUP(F304,'2) Tracker'!$A$2:$BO$981,65,FALSE())</f>
        <v>46145</v>
      </c>
      <c r="AN304" s="601">
        <f>VLOOKUP(F304,'2) Tracker'!$A$2:$BK$981,63,FALSE())</f>
        <v>46172</v>
      </c>
      <c r="AO304" s="601" t="str">
        <f>VLOOKUP(F304,'2) Tracker'!$A$2:$BF$981,58,FALSE())</f>
        <v/>
      </c>
      <c r="AP304" s="46"/>
      <c r="AQ304" s="46"/>
      <c r="AR304" s="46"/>
      <c r="AS304" s="46"/>
      <c r="AT304" s="46"/>
      <c r="AU304" s="46"/>
      <c r="AV304" s="46"/>
      <c r="AW304" s="46"/>
      <c r="AX304" s="46"/>
      <c r="AY304" s="46"/>
      <c r="AZ304" s="563"/>
      <c r="BA304" s="604" t="e">
        <f>VLOOKUP(AZ304,#REF!,2, FALSE)</f>
        <v>#REF!</v>
      </c>
      <c r="BB304" s="605" t="e">
        <f>VLOOKUP(AZ304,'1) Kpler'!$E$2:$F$500,2,FALSE)</f>
        <v>#N/A</v>
      </c>
      <c r="BC304" s="569"/>
      <c r="BD304" s="563"/>
      <c r="BE304" s="46"/>
      <c r="BF304" s="46"/>
      <c r="BG304" s="563"/>
      <c r="BH304" s="563"/>
      <c r="BI304" s="563"/>
      <c r="BJ304" s="563"/>
    </row>
    <row r="305" spans="2:62" x14ac:dyDescent="0.25">
      <c r="B305" s="589" t="str">
        <f>VLOOKUP(F305,'2) Tracker'!$A$3:$O$411,5,FALSE)</f>
        <v>C</v>
      </c>
      <c r="C305" s="589">
        <f>VLOOKUP(F305,'2) Tracker'!$A$3:$O$411,4,FALSE)</f>
        <v>0</v>
      </c>
      <c r="D305" s="563"/>
      <c r="E305" s="563">
        <f>VLOOKUP(F305,'2) Tracker'!$A$3:$O$407,15,FALSE)</f>
        <v>0</v>
      </c>
      <c r="F305" s="608" t="s">
        <v>1266</v>
      </c>
      <c r="G305" s="591">
        <f>VLOOKUP(F305,'2) Tracker'!$A$2:$BO$361,2,FALSE)</f>
        <v>2022</v>
      </c>
      <c r="H305" s="592">
        <f>VLOOKUP(F305,'2) Tracker'!$A$2:$BO$361,3,FALSE)</f>
        <v>91000</v>
      </c>
      <c r="I305" s="593" t="str">
        <f>VLOOKUP(F305,'2) Tracker'!$A$2:$BO$361,9,FALSE)</f>
        <v>Total</v>
      </c>
      <c r="J305" s="594" t="str">
        <f>VLOOKUP(F305,'2) Tracker'!$A$2:$BO$361,12,FALSE)</f>
        <v>WCI</v>
      </c>
      <c r="K305" s="596" t="str">
        <f t="shared" si="305"/>
        <v/>
      </c>
      <c r="L305" s="596">
        <f t="shared" ref="L305:O305" si="457">AE305</f>
        <v>46170</v>
      </c>
      <c r="M305" s="596" t="str">
        <f t="shared" si="457"/>
        <v/>
      </c>
      <c r="N305" s="596">
        <f t="shared" si="457"/>
        <v>46143</v>
      </c>
      <c r="O305" s="597" t="str">
        <f t="shared" si="457"/>
        <v/>
      </c>
      <c r="P305" s="598" t="str">
        <f>IFERROR(IF(VLOOKUP(F305,'Voyage days'!$M$808:$N$819,2,FALSE),"GOA",""),"")</f>
        <v/>
      </c>
      <c r="Q305" s="596">
        <f t="shared" si="287"/>
        <v>46146</v>
      </c>
      <c r="R305" s="596">
        <f t="shared" si="289"/>
        <v>46173</v>
      </c>
      <c r="S305" s="595">
        <f t="shared" si="409"/>
        <v>46151</v>
      </c>
      <c r="T305" s="596">
        <f t="shared" si="410"/>
        <v>46157</v>
      </c>
      <c r="U305" s="596" t="str">
        <f t="shared" si="290"/>
        <v/>
      </c>
      <c r="V305" s="596"/>
      <c r="W305" s="596" t="str">
        <f t="shared" si="291"/>
        <v/>
      </c>
      <c r="X305" s="599" t="str">
        <f t="shared" si="411"/>
        <v/>
      </c>
      <c r="Y305" s="594"/>
      <c r="Z305" s="600" t="str">
        <f>VLOOKUP(F305,'2) Tracker'!$A$3:$Q$505,16,FALSE)</f>
        <v>ETA Mangalore 21 Apr</v>
      </c>
      <c r="AA305" s="600" t="str">
        <f>VLOOKUP(F305,'2) Tracker'!$A$3:$R$505,18,FALSE)</f>
        <v>Total 14 Mar Freeport</v>
      </c>
      <c r="AB305" s="600">
        <f>VLOOKUP(F305,'2) Tracker'!$A$3:$Q$505,17,FALSE)</f>
        <v>0</v>
      </c>
      <c r="AC305" s="601"/>
      <c r="AD305" s="601" t="str">
        <f>VLOOKUP(F305,'2) Tracker'!$A$2:$BO$981,37,FALSE)</f>
        <v/>
      </c>
      <c r="AE305" s="601">
        <f>VLOOKUP(F305,'2) Tracker'!$A$2:$BO$981,40,FALSE)</f>
        <v>46170</v>
      </c>
      <c r="AF305" s="601" t="str">
        <f>VLOOKUP(F305,'2) Tracker'!$A$2:$BO$981,67,FALSE)</f>
        <v/>
      </c>
      <c r="AG305" s="601">
        <f>VLOOKUP(F305,'2) Tracker'!$A$2:$BO$981,34,FALSE)</f>
        <v>46143</v>
      </c>
      <c r="AH305" s="601" t="str">
        <f>VLOOKUP(F305,'2) Tracker'!$A$2:$BN$981,66,FALSE)</f>
        <v/>
      </c>
      <c r="AI305" s="601" t="str">
        <f>VLOOKUP(F305,'2) Tracker'!$A$2:$BO$981,56,FALSE)</f>
        <v/>
      </c>
      <c r="AJ305" s="601" t="str">
        <f>VLOOKUP(F305,'2) Tracker'!$A$2:$BO$981,52,FALSE)</f>
        <v/>
      </c>
      <c r="AK305" s="601">
        <f>VLOOKUP(F305,'2) Tracker'!$A$2:$AQ$981,43,FALSE)</f>
        <v>46157</v>
      </c>
      <c r="AL305" s="601">
        <f>VLOOKUP(F305,'2) Tracker'!$A$2:$BH$981,46,FALSE())</f>
        <v>46151</v>
      </c>
      <c r="AM305" s="601">
        <f>VLOOKUP(F305,'2) Tracker'!$A$2:$BO$981,65,FALSE())</f>
        <v>46146</v>
      </c>
      <c r="AN305" s="601">
        <f>VLOOKUP(F305,'2) Tracker'!$A$2:$BK$981,63,FALSE())</f>
        <v>46173</v>
      </c>
      <c r="AO305" s="601" t="str">
        <f>VLOOKUP(F305,'2) Tracker'!$A$2:$BF$981,58,FALSE())</f>
        <v/>
      </c>
      <c r="AP305" s="46"/>
      <c r="AQ305" s="46"/>
      <c r="AR305" s="46"/>
      <c r="AS305" s="46"/>
      <c r="AT305" s="46"/>
      <c r="AU305" s="46"/>
      <c r="AV305" s="46"/>
      <c r="AW305" s="46"/>
      <c r="AX305" s="46"/>
      <c r="AY305" s="46"/>
      <c r="AZ305" s="563"/>
      <c r="BA305" s="604" t="e">
        <f>VLOOKUP(AZ305,#REF!,2, FALSE)</f>
        <v>#REF!</v>
      </c>
      <c r="BB305" s="605" t="e">
        <f>VLOOKUP(AZ305,'1) Kpler'!$E$2:$F$500,2,FALSE)</f>
        <v>#N/A</v>
      </c>
      <c r="BC305" s="569"/>
      <c r="BD305" s="563"/>
      <c r="BE305" s="46"/>
      <c r="BF305" s="46"/>
      <c r="BG305" s="563"/>
      <c r="BH305" s="563"/>
      <c r="BI305" s="563"/>
      <c r="BJ305" s="563"/>
    </row>
    <row r="306" spans="2:62" x14ac:dyDescent="0.25">
      <c r="B306" s="589"/>
      <c r="C306" s="589"/>
      <c r="D306" s="563"/>
      <c r="E306" s="563"/>
      <c r="F306" s="604" t="s">
        <v>1396</v>
      </c>
      <c r="G306" s="591">
        <f>VLOOKUP(F306,'2) Tracker'!$A$2:$BO$361,2,FALSE)</f>
        <v>2007</v>
      </c>
      <c r="H306" s="592">
        <f>VLOOKUP(F306,'2) Tracker'!$A$2:$BO$361,3,FALSE)</f>
        <v>82000</v>
      </c>
      <c r="I306" s="600" t="str">
        <f>VLOOKUP(F306,'2) Tracker'!$A$2:$BO$361,9,FALSE)</f>
        <v>BW</v>
      </c>
      <c r="J306" s="594" t="str">
        <f>VLOOKUP(F306,'2) Tracker'!$A$2:$BO$361,12,FALSE)</f>
        <v>ECI</v>
      </c>
      <c r="K306" s="596" t="str">
        <f t="shared" si="305"/>
        <v/>
      </c>
      <c r="L306" s="596">
        <f t="shared" ref="L306:O306" si="458">AE306</f>
        <v>46171</v>
      </c>
      <c r="M306" s="596" t="str">
        <f t="shared" si="458"/>
        <v/>
      </c>
      <c r="N306" s="596">
        <f t="shared" si="458"/>
        <v>46144</v>
      </c>
      <c r="O306" s="597" t="str">
        <f t="shared" si="458"/>
        <v/>
      </c>
      <c r="P306" s="598" t="str">
        <f>IFERROR(IF(VLOOKUP(F306,'Voyage days'!$M$808:$N$819,2,FALSE),"GOA",""),"")</f>
        <v/>
      </c>
      <c r="Q306" s="596">
        <f t="shared" si="287"/>
        <v>46148</v>
      </c>
      <c r="R306" s="596">
        <f t="shared" si="289"/>
        <v>46173</v>
      </c>
      <c r="S306" s="595">
        <f t="shared" si="409"/>
        <v>46163</v>
      </c>
      <c r="T306" s="596">
        <f t="shared" si="410"/>
        <v>46156</v>
      </c>
      <c r="U306" s="596">
        <f t="shared" si="290"/>
        <v>46141</v>
      </c>
      <c r="V306" s="596"/>
      <c r="W306" s="596" t="str">
        <f t="shared" si="291"/>
        <v/>
      </c>
      <c r="X306" s="599" t="str">
        <f t="shared" si="411"/>
        <v/>
      </c>
      <c r="Y306" s="614" t="s">
        <v>1614</v>
      </c>
      <c r="Z306" s="600" t="str">
        <f>VLOOKUP(F306,'2) Tracker'!$A$3:$Q$505,16,FALSE)</f>
        <v>@ Haldia 18 April / ETA USG 29-31 May</v>
      </c>
      <c r="AA306" s="600" t="str">
        <f>VLOOKUP(F306,'2) Tracker'!$A$3:$R$505,18,FALSE)</f>
        <v>HPCL 02 Mar Ras Laffan</v>
      </c>
      <c r="AB306" s="600">
        <f>VLOOKUP(F306,'2) Tracker'!$A$3:$Q$505,17,FALSE)</f>
        <v>0</v>
      </c>
      <c r="AC306" s="601"/>
      <c r="AD306" s="601" t="str">
        <f>VLOOKUP(F306,'2) Tracker'!$A$2:$BO$981,37,FALSE)</f>
        <v/>
      </c>
      <c r="AE306" s="601">
        <f>VLOOKUP(F306,'2) Tracker'!$A$2:$BO$981,40,FALSE)</f>
        <v>46171</v>
      </c>
      <c r="AF306" s="601" t="str">
        <f>VLOOKUP(F306,'2) Tracker'!$A$2:$BO$981,67,FALSE)</f>
        <v/>
      </c>
      <c r="AG306" s="601">
        <f>VLOOKUP(F306,'2) Tracker'!$A$2:$BO$981,34,FALSE)</f>
        <v>46144</v>
      </c>
      <c r="AH306" s="601" t="str">
        <f>VLOOKUP(F306,'2) Tracker'!$A$2:$BN$981,66,FALSE)</f>
        <v/>
      </c>
      <c r="AI306" s="601">
        <f>VLOOKUP(F306,'2) Tracker'!$A$2:$BO$981,56,FALSE)</f>
        <v>46141</v>
      </c>
      <c r="AJ306" s="601" t="str">
        <f>VLOOKUP(F306,'2) Tracker'!$A$2:$BO$981,52,FALSE)</f>
        <v/>
      </c>
      <c r="AK306" s="601">
        <f>VLOOKUP(F306,'2) Tracker'!$A$2:$AQ$981,43,FALSE)</f>
        <v>46156</v>
      </c>
      <c r="AL306" s="601">
        <f>VLOOKUP(F306,'2) Tracker'!$A$2:$BH$981,46,FALSE())</f>
        <v>46163</v>
      </c>
      <c r="AM306" s="601">
        <f>VLOOKUP(F306,'2) Tracker'!$A$2:$BO$981,65,FALSE())</f>
        <v>46148</v>
      </c>
      <c r="AN306" s="601">
        <f>VLOOKUP(F306,'2) Tracker'!$A$2:$BK$981,63,FALSE())</f>
        <v>46173</v>
      </c>
      <c r="AO306" s="601" t="str">
        <f>VLOOKUP(F306,'2) Tracker'!$A$2:$BF$981,58,FALSE())</f>
        <v/>
      </c>
      <c r="AP306" s="46"/>
      <c r="AQ306" s="46"/>
      <c r="AR306" s="46"/>
      <c r="AS306" s="46"/>
      <c r="AT306" s="46"/>
      <c r="AU306" s="46"/>
      <c r="AV306" s="663" t="s">
        <v>1654</v>
      </c>
      <c r="AW306" s="46"/>
      <c r="AX306" s="46"/>
      <c r="AY306" s="46"/>
      <c r="AZ306" s="605"/>
      <c r="BA306" s="604" t="e">
        <f>VLOOKUP(AZ306,#REF!,2, FALSE)</f>
        <v>#REF!</v>
      </c>
      <c r="BB306" s="605" t="e">
        <f>VLOOKUP(AZ306,'1) Kpler'!$E$2:$F$500,2,FALSE)</f>
        <v>#N/A</v>
      </c>
      <c r="BC306" s="662" t="s">
        <v>1655</v>
      </c>
      <c r="BD306" s="605"/>
      <c r="BE306" s="46"/>
      <c r="BF306" s="46"/>
      <c r="BG306" s="618" t="s">
        <v>1656</v>
      </c>
      <c r="BH306" s="604" t="s">
        <v>1113</v>
      </c>
      <c r="BI306" s="605"/>
      <c r="BJ306" s="605"/>
    </row>
    <row r="307" spans="2:62" x14ac:dyDescent="0.25">
      <c r="B307" s="589">
        <f>VLOOKUP(F307,'2) Tracker'!$A$3:$O$411,5,FALSE)</f>
        <v>0</v>
      </c>
      <c r="C307" s="589">
        <f>VLOOKUP(F307,'2) Tracker'!$A$3:$O$411,4,FALSE)</f>
        <v>0</v>
      </c>
      <c r="D307" s="563"/>
      <c r="E307" s="563">
        <f>VLOOKUP(F307,'2) Tracker'!$A$3:$O$407,15,FALSE)</f>
        <v>0</v>
      </c>
      <c r="F307" s="604" t="s">
        <v>224</v>
      </c>
      <c r="G307" s="607">
        <f>VLOOKUP(F307,'2) Tracker'!$A$2:$BO$361,2,FALSE)</f>
        <v>42396</v>
      </c>
      <c r="H307" s="592">
        <f>VLOOKUP(F307,'2) Tracker'!$A$2:$BO$361,3,FALSE)</f>
        <v>84000</v>
      </c>
      <c r="I307" s="594" t="str">
        <f>VLOOKUP(F307,'2) Tracker'!$A$2:$BO$361,9,FALSE)</f>
        <v>Wanhua</v>
      </c>
      <c r="J307" s="594" t="str">
        <f>VLOOKUP(F307,'2) Tracker'!$A$2:$BO$361,12,FALSE)</f>
        <v>ECI</v>
      </c>
      <c r="K307" s="595" t="str">
        <f t="shared" si="305"/>
        <v/>
      </c>
      <c r="L307" s="595">
        <f t="shared" ref="L307:O307" si="459">AE307</f>
        <v>46172</v>
      </c>
      <c r="M307" s="596" t="str">
        <f t="shared" si="459"/>
        <v/>
      </c>
      <c r="N307" s="596">
        <f t="shared" si="459"/>
        <v>46145</v>
      </c>
      <c r="O307" s="597" t="str">
        <f t="shared" si="459"/>
        <v/>
      </c>
      <c r="P307" s="598" t="str">
        <f>IFERROR(IF(VLOOKUP(F307,'Voyage days'!$M$808:$N$819,2,FALSE),"GOA",""),"")</f>
        <v>GOA</v>
      </c>
      <c r="Q307" s="597">
        <f t="shared" si="287"/>
        <v>46149</v>
      </c>
      <c r="R307" s="595">
        <f t="shared" si="289"/>
        <v>46174</v>
      </c>
      <c r="S307" s="595">
        <f t="shared" si="409"/>
        <v>46164</v>
      </c>
      <c r="T307" s="596">
        <f t="shared" si="410"/>
        <v>46157</v>
      </c>
      <c r="U307" s="595">
        <f t="shared" si="290"/>
        <v>46142</v>
      </c>
      <c r="V307" s="596"/>
      <c r="W307" s="596" t="str">
        <f t="shared" si="291"/>
        <v/>
      </c>
      <c r="X307" s="599" t="str">
        <f t="shared" si="411"/>
        <v/>
      </c>
      <c r="Y307" s="594"/>
      <c r="Z307" s="600" t="str">
        <f>VLOOKUP(F307,'2) Tracker'!$A$3:$Q$505,16,FALSE)</f>
        <v>ETA Ennore 20 Apr</v>
      </c>
      <c r="AA307" s="600" t="str">
        <f>VLOOKUP(F307,'2) Tracker'!$A$3:$R$505,18,FALSE)</f>
        <v>Wanhua 06-07 Apr Yanbu</v>
      </c>
      <c r="AB307" s="600">
        <f>VLOOKUP(F307,'2) Tracker'!$A$3:$Q$505,17,FALSE)</f>
        <v>0</v>
      </c>
      <c r="AC307" s="601"/>
      <c r="AD307" s="601" t="str">
        <f>VLOOKUP(F307,'2) Tracker'!$A$2:$BO$981,37,FALSE)</f>
        <v/>
      </c>
      <c r="AE307" s="601">
        <f>VLOOKUP(F307,'2) Tracker'!$A$2:$BO$981,40,FALSE)</f>
        <v>46172</v>
      </c>
      <c r="AF307" s="601" t="str">
        <f>VLOOKUP(F307,'2) Tracker'!$A$2:$BO$981,67,FALSE)</f>
        <v/>
      </c>
      <c r="AG307" s="601">
        <f>VLOOKUP(F307,'2) Tracker'!$A$2:$BO$981,34,FALSE)</f>
        <v>46145</v>
      </c>
      <c r="AH307" s="601" t="str">
        <f>VLOOKUP(F307,'2) Tracker'!$A$2:$BN$981,66,FALSE)</f>
        <v/>
      </c>
      <c r="AI307" s="601">
        <f>VLOOKUP(F307,'2) Tracker'!$A$2:$BO$981,56,FALSE)</f>
        <v>46142</v>
      </c>
      <c r="AJ307" s="601" t="str">
        <f>VLOOKUP(F307,'2) Tracker'!$A$2:$BO$981,52,FALSE)</f>
        <v/>
      </c>
      <c r="AK307" s="601">
        <f>VLOOKUP(F307,'2) Tracker'!$A$2:$AQ$981,43,FALSE)</f>
        <v>46157</v>
      </c>
      <c r="AL307" s="601">
        <f>VLOOKUP(F307,'2) Tracker'!$A$2:$BH$981,46,FALSE())</f>
        <v>46164</v>
      </c>
      <c r="AM307" s="601">
        <f>VLOOKUP(F307,'2) Tracker'!$A$2:$BO$981,65,FALSE())</f>
        <v>46149</v>
      </c>
      <c r="AN307" s="601">
        <f>VLOOKUP(F307,'2) Tracker'!$A$2:$BK$981,63,FALSE())</f>
        <v>46174</v>
      </c>
      <c r="AO307" s="601" t="str">
        <f>VLOOKUP(F307,'2) Tracker'!$A$2:$BF$981,58,FALSE())</f>
        <v/>
      </c>
      <c r="AP307" s="46"/>
      <c r="AQ307" s="46"/>
      <c r="AR307" s="46"/>
      <c r="AS307" s="46"/>
      <c r="AT307" s="46"/>
      <c r="AU307" s="46"/>
      <c r="AV307" s="46"/>
      <c r="AW307" s="46"/>
      <c r="AX307" s="46"/>
      <c r="AY307" s="46"/>
      <c r="AZ307" s="563"/>
      <c r="BA307" s="604" t="e">
        <f>VLOOKUP(AZ307,#REF!,2, FALSE)</f>
        <v>#REF!</v>
      </c>
      <c r="BB307" s="605" t="e">
        <f>VLOOKUP(AZ307,'1) Kpler'!$E$2:$F$500,2,FALSE)</f>
        <v>#N/A</v>
      </c>
      <c r="BC307" s="569"/>
      <c r="BD307" s="563"/>
      <c r="BE307" s="46"/>
      <c r="BF307" s="46"/>
      <c r="BG307" s="563"/>
      <c r="BH307" s="563"/>
      <c r="BI307" s="563"/>
      <c r="BJ307" s="563"/>
    </row>
    <row r="308" spans="2:62" x14ac:dyDescent="0.25">
      <c r="B308" s="589" t="str">
        <f>VLOOKUP(F308,'2) Tracker'!$A$3:$O$411,5,FALSE)</f>
        <v>C</v>
      </c>
      <c r="C308" s="589">
        <f>VLOOKUP(F308,'2) Tracker'!$A$3:$O$411,4,FALSE)</f>
        <v>0</v>
      </c>
      <c r="D308" s="563"/>
      <c r="E308" s="563" t="str">
        <f>VLOOKUP(F308,'2) Tracker'!$A$3:$O$407,15,FALSE)</f>
        <v>O</v>
      </c>
      <c r="F308" s="604" t="s">
        <v>429</v>
      </c>
      <c r="G308" s="607">
        <f>VLOOKUP(F308,'2) Tracker'!$A$2:$BO$361,2,FALSE)</f>
        <v>2002</v>
      </c>
      <c r="H308" s="592">
        <f>VLOOKUP(F308,'2) Tracker'!$A$2:$BO$361,3,FALSE)</f>
        <v>79514</v>
      </c>
      <c r="I308" s="600" t="str">
        <f>VLOOKUP(F308,'2) Tracker'!$A$2:$BO$361,9,FALSE)</f>
        <v>Great Eastern (GESCO)</v>
      </c>
      <c r="J308" s="594" t="str">
        <f>VLOOKUP(F308,'2) Tracker'!$A$2:$BO$361,12,FALSE)</f>
        <v>WCI</v>
      </c>
      <c r="K308" s="595" t="str">
        <f t="shared" si="305"/>
        <v/>
      </c>
      <c r="L308" s="595">
        <f t="shared" ref="L308:O308" si="460">AE308</f>
        <v>46174</v>
      </c>
      <c r="M308" s="596" t="str">
        <f t="shared" si="460"/>
        <v/>
      </c>
      <c r="N308" s="596">
        <f t="shared" si="460"/>
        <v>46147</v>
      </c>
      <c r="O308" s="597" t="str">
        <f t="shared" si="460"/>
        <v/>
      </c>
      <c r="P308" s="598" t="str">
        <f>IFERROR(IF(VLOOKUP(F308,'Voyage days'!$M$808:$N$821,2,FALSE),"GOA",""),"")</f>
        <v/>
      </c>
      <c r="Q308" s="597">
        <f t="shared" si="287"/>
        <v>46150</v>
      </c>
      <c r="R308" s="596">
        <f t="shared" si="289"/>
        <v>46177</v>
      </c>
      <c r="S308" s="595">
        <f t="shared" si="409"/>
        <v>46155</v>
      </c>
      <c r="T308" s="596">
        <f t="shared" si="410"/>
        <v>46161</v>
      </c>
      <c r="U308" s="596" t="str">
        <f t="shared" si="290"/>
        <v/>
      </c>
      <c r="V308" s="596"/>
      <c r="W308" s="596" t="str">
        <f t="shared" si="291"/>
        <v/>
      </c>
      <c r="X308" s="599" t="str">
        <f t="shared" si="411"/>
        <v/>
      </c>
      <c r="Y308" s="606" t="s">
        <v>1657</v>
      </c>
      <c r="Z308" s="600" t="str">
        <f>VLOOKUP(F308,'2) Tracker'!$A$3:$Q$505,16,FALSE)</f>
        <v>drifting off Mumbai 16 Apr / ETA 01-02 Jun USG</v>
      </c>
      <c r="AA308" s="600" t="str">
        <f>VLOOKUP(F308,'2) Tracker'!$A$3:$R$505,18,FALSE)</f>
        <v>IOC 27-28 Feb MAA</v>
      </c>
      <c r="AB308" s="600">
        <f>VLOOKUP(F308,'2) Tracker'!$A$3:$Q$505,17,FALSE)</f>
        <v>0</v>
      </c>
      <c r="AC308" s="601"/>
      <c r="AD308" s="601" t="str">
        <f>VLOOKUP(F308,'2) Tracker'!$A$2:$BO$981,37,FALSE)</f>
        <v/>
      </c>
      <c r="AE308" s="601">
        <f>VLOOKUP(F308,'2) Tracker'!$A$2:$BO$981,40,FALSE)</f>
        <v>46174</v>
      </c>
      <c r="AF308" s="601" t="str">
        <f>VLOOKUP(F308,'2) Tracker'!$A$2:$BO$981,67,FALSE)</f>
        <v/>
      </c>
      <c r="AG308" s="601">
        <f>VLOOKUP(F308,'2) Tracker'!$A$2:$BO$981,34,FALSE)</f>
        <v>46147</v>
      </c>
      <c r="AH308" s="601" t="str">
        <f>VLOOKUP(F308,'2) Tracker'!$A$2:$BN$981,66,FALSE)</f>
        <v/>
      </c>
      <c r="AI308" s="601" t="str">
        <f>VLOOKUP(F308,'2) Tracker'!$A$2:$BO$981,56,FALSE)</f>
        <v/>
      </c>
      <c r="AJ308" s="601" t="str">
        <f>VLOOKUP(F308,'2) Tracker'!$A$2:$BO$981,52,FALSE)</f>
        <v/>
      </c>
      <c r="AK308" s="601">
        <f>VLOOKUP(F308,'2) Tracker'!$A$2:$AQ$981,43,FALSE)</f>
        <v>46161</v>
      </c>
      <c r="AL308" s="601">
        <f>VLOOKUP(F308,'2) Tracker'!$A$2:$BH$981,46,FALSE())</f>
        <v>46155</v>
      </c>
      <c r="AM308" s="601">
        <f>VLOOKUP(F308,'2) Tracker'!$A$2:$BO$981,65,FALSE())</f>
        <v>46150</v>
      </c>
      <c r="AN308" s="601">
        <f>VLOOKUP(F308,'2) Tracker'!$A$2:$BK$981,63,FALSE())</f>
        <v>46177</v>
      </c>
      <c r="AO308" s="601" t="str">
        <f>VLOOKUP(F308,'2) Tracker'!$A$2:$BF$981,58,FALSE())</f>
        <v/>
      </c>
      <c r="AP308" s="46"/>
      <c r="AQ308" s="46"/>
      <c r="AR308" s="46"/>
      <c r="AS308" s="46"/>
      <c r="AT308" s="46"/>
      <c r="AU308" s="46"/>
      <c r="AV308" s="46"/>
      <c r="AW308" s="46"/>
      <c r="AX308" s="46"/>
      <c r="AY308" s="46"/>
      <c r="AZ308" s="563"/>
      <c r="BA308" s="604" t="e">
        <f>VLOOKUP(AZ308,#REF!,2, FALSE)</f>
        <v>#REF!</v>
      </c>
      <c r="BB308" s="605" t="e">
        <f>VLOOKUP(AZ308,'1) Kpler'!$E$2:$F$500,2,FALSE)</f>
        <v>#N/A</v>
      </c>
      <c r="BC308" s="569"/>
      <c r="BD308" s="563"/>
      <c r="BE308" s="46"/>
      <c r="BF308" s="46"/>
      <c r="BG308" s="563"/>
      <c r="BH308" s="563"/>
      <c r="BI308" s="563"/>
      <c r="BJ308" s="563"/>
    </row>
    <row r="309" spans="2:62" x14ac:dyDescent="0.25">
      <c r="B309" s="589" t="str">
        <f>VLOOKUP(F309,'2) Tracker'!$A$3:$O$411,5,FALSE)</f>
        <v>C</v>
      </c>
      <c r="C309" s="589" t="str">
        <f>VLOOKUP(F309,'2) Tracker'!$A$3:$O$411,4,FALSE)</f>
        <v>US</v>
      </c>
      <c r="D309" s="563" t="s">
        <v>1569</v>
      </c>
      <c r="E309" s="563">
        <f>VLOOKUP(F309,'2) Tracker'!$A$3:$O$407,15,FALSE)</f>
        <v>0</v>
      </c>
      <c r="F309" s="590" t="s">
        <v>1511</v>
      </c>
      <c r="G309" s="591">
        <f>VLOOKUP(F309,'2) Tracker'!$A$2:$BO$361,2,FALSE)</f>
        <v>2023</v>
      </c>
      <c r="H309" s="592">
        <f>VLOOKUP(F309,'2) Tracker'!$A$2:$BO$361,3,FALSE)</f>
        <v>86000</v>
      </c>
      <c r="I309" s="594" t="str">
        <f>VLOOKUP(F309,'2) Tracker'!$A$2:$BO$361,9,FALSE)</f>
        <v>Helios</v>
      </c>
      <c r="J309" s="594" t="str">
        <f>VLOOKUP(F309,'2) Tracker'!$A$2:$BO$361,12,FALSE)</f>
        <v>Richards Bay</v>
      </c>
      <c r="K309" s="596" t="str">
        <f t="shared" si="305"/>
        <v/>
      </c>
      <c r="L309" s="596">
        <f t="shared" ref="L309:O309" si="461">AE309</f>
        <v>46175</v>
      </c>
      <c r="M309" s="596" t="str">
        <f t="shared" si="461"/>
        <v/>
      </c>
      <c r="N309" s="597" t="str">
        <f t="shared" si="461"/>
        <v/>
      </c>
      <c r="O309" s="597" t="str">
        <f t="shared" si="461"/>
        <v/>
      </c>
      <c r="P309" s="598" t="str">
        <f>IFERROR(IF(VLOOKUP(F309,'Voyage days'!$M$808:$N$819,2,FALSE),"GOA",""),"")</f>
        <v/>
      </c>
      <c r="Q309" s="596">
        <f t="shared" si="287"/>
        <v>46154</v>
      </c>
      <c r="R309" s="596">
        <f t="shared" si="289"/>
        <v>46177</v>
      </c>
      <c r="S309" s="595">
        <f t="shared" si="409"/>
        <v>46170</v>
      </c>
      <c r="T309" s="596">
        <f t="shared" si="410"/>
        <v>46162</v>
      </c>
      <c r="U309" s="596">
        <f t="shared" si="290"/>
        <v>46167</v>
      </c>
      <c r="V309" s="596"/>
      <c r="W309" s="596" t="str">
        <f t="shared" si="291"/>
        <v/>
      </c>
      <c r="X309" s="599" t="str">
        <f t="shared" si="411"/>
        <v/>
      </c>
      <c r="Y309" s="606"/>
      <c r="Z309" s="600" t="str">
        <f>VLOOKUP(F309,'2) Tracker'!$A$3:$Q$505,16,FALSE)</f>
        <v>ETA Richards Bay 11 May</v>
      </c>
      <c r="AA309" s="600" t="str">
        <f>VLOOKUP(F309,'2) Tracker'!$A$3:$R$505,18,FALSE)</f>
        <v>Petredec 07-08 Apr Targa</v>
      </c>
      <c r="AB309" s="600">
        <f>VLOOKUP(F309,'2) Tracker'!$A$3:$Q$505,17,FALSE)</f>
        <v>0</v>
      </c>
      <c r="AC309" s="601"/>
      <c r="AD309" s="601" t="str">
        <f>VLOOKUP(F309,'2) Tracker'!$A$2:$BO$981,37,FALSE)</f>
        <v/>
      </c>
      <c r="AE309" s="601">
        <f>VLOOKUP(F309,'2) Tracker'!$A$2:$BO$981,40,FALSE)</f>
        <v>46175</v>
      </c>
      <c r="AF309" s="601" t="str">
        <f>VLOOKUP(F309,'2) Tracker'!$A$2:$BO$981,67,FALSE)</f>
        <v/>
      </c>
      <c r="AG309" s="601" t="str">
        <f>VLOOKUP(F309,'2) Tracker'!$A$2:$BO$981,34,FALSE)</f>
        <v/>
      </c>
      <c r="AH309" s="601" t="str">
        <f>VLOOKUP(F309,'2) Tracker'!$A$2:$BN$981,66,FALSE)</f>
        <v/>
      </c>
      <c r="AI309" s="601">
        <f>VLOOKUP(F309,'2) Tracker'!$A$2:$BO$981,56,FALSE)</f>
        <v>46167</v>
      </c>
      <c r="AJ309" s="601" t="str">
        <f>VLOOKUP(F309,'2) Tracker'!$A$2:$BO$981,52,FALSE)</f>
        <v/>
      </c>
      <c r="AK309" s="601">
        <f>VLOOKUP(F309,'2) Tracker'!$A$2:$AQ$981,43,FALSE)</f>
        <v>46162</v>
      </c>
      <c r="AL309" s="601">
        <f>VLOOKUP(F309,'2) Tracker'!$A$2:$BH$981,46,FALSE())</f>
        <v>46170</v>
      </c>
      <c r="AM309" s="601">
        <f>VLOOKUP(F309,'2) Tracker'!$A$2:$BO$981,65,FALSE())</f>
        <v>46154</v>
      </c>
      <c r="AN309" s="601">
        <f>VLOOKUP(F309,'2) Tracker'!$A$2:$BK$981,63,FALSE())</f>
        <v>46177</v>
      </c>
      <c r="AO309" s="601" t="str">
        <f>VLOOKUP(F309,'2) Tracker'!$A$2:$BF$981,58,FALSE())</f>
        <v/>
      </c>
      <c r="AP309" s="46"/>
      <c r="AQ309" s="46"/>
      <c r="AR309" s="46"/>
      <c r="AS309" s="46"/>
      <c r="AT309" s="46"/>
      <c r="AU309" s="46"/>
      <c r="AV309" s="46"/>
      <c r="AW309" s="46"/>
      <c r="AX309" s="46"/>
      <c r="AY309" s="46"/>
      <c r="AZ309" s="605"/>
      <c r="BA309" s="604" t="e">
        <f>VLOOKUP(AZ309,#REF!,2, FALSE)</f>
        <v>#REF!</v>
      </c>
      <c r="BB309" s="605" t="e">
        <f>VLOOKUP(AZ309,'1) Kpler'!$E$2:$F$500,2,FALSE)</f>
        <v>#N/A</v>
      </c>
      <c r="BC309" s="604"/>
      <c r="BD309" s="605"/>
      <c r="BE309" s="46"/>
      <c r="BF309" s="46"/>
      <c r="BG309" s="605"/>
      <c r="BH309" s="605"/>
      <c r="BI309" s="605"/>
      <c r="BJ309" s="605"/>
    </row>
    <row r="310" spans="2:62" x14ac:dyDescent="0.25">
      <c r="B310" s="589">
        <f>VLOOKUP(F310,'2) Tracker'!$A$3:$O$411,5,FALSE)</f>
        <v>0</v>
      </c>
      <c r="C310" s="589">
        <f>VLOOKUP(F310,'2) Tracker'!$A$3:$O$411,4,FALSE)</f>
        <v>0</v>
      </c>
      <c r="D310" s="563"/>
      <c r="E310" s="563">
        <f>VLOOKUP(F310,'2) Tracker'!$A$3:$O$407,15,FALSE)</f>
        <v>0</v>
      </c>
      <c r="F310" s="604" t="s">
        <v>1413</v>
      </c>
      <c r="G310" s="607">
        <f>VLOOKUP(F310,'2) Tracker'!$A$2:$BO$361,2,FALSE)</f>
        <v>42667</v>
      </c>
      <c r="H310" s="592">
        <f>VLOOKUP(F310,'2) Tracker'!$A$2:$BO$361,3,FALSE)</f>
        <v>84171</v>
      </c>
      <c r="I310" s="594" t="str">
        <f>VLOOKUP(F310,'2) Tracker'!$A$2:$BO$361,9,FALSE)</f>
        <v>BW</v>
      </c>
      <c r="J310" s="594" t="str">
        <f>VLOOKUP(F310,'2) Tracker'!$A$2:$BO$361,12,FALSE)</f>
        <v>ECI</v>
      </c>
      <c r="K310" s="595" t="str">
        <f t="shared" si="305"/>
        <v/>
      </c>
      <c r="L310" s="595">
        <f t="shared" ref="L310:O310" si="462">AE310</f>
        <v>46177</v>
      </c>
      <c r="M310" s="596" t="str">
        <f t="shared" si="462"/>
        <v/>
      </c>
      <c r="N310" s="597">
        <f t="shared" si="462"/>
        <v>46150</v>
      </c>
      <c r="O310" s="597" t="str">
        <f t="shared" si="462"/>
        <v/>
      </c>
      <c r="P310" s="598" t="str">
        <f>IFERROR(IF(VLOOKUP(F310,'Voyage days'!$M$808:$N$819,2,FALSE),"GOA",""),"")</f>
        <v/>
      </c>
      <c r="Q310" s="596">
        <f t="shared" si="287"/>
        <v>46154</v>
      </c>
      <c r="R310" s="595">
        <f t="shared" si="289"/>
        <v>46179</v>
      </c>
      <c r="S310" s="595">
        <f t="shared" si="409"/>
        <v>46169</v>
      </c>
      <c r="T310" s="596">
        <f t="shared" si="410"/>
        <v>46162</v>
      </c>
      <c r="U310" s="595">
        <f t="shared" si="290"/>
        <v>46147</v>
      </c>
      <c r="V310" s="596"/>
      <c r="W310" s="596" t="str">
        <f t="shared" si="291"/>
        <v/>
      </c>
      <c r="X310" s="599" t="str">
        <f t="shared" si="411"/>
        <v/>
      </c>
      <c r="Y310" s="594"/>
      <c r="Z310" s="600" t="str">
        <f>VLOOKUP(F310,'2) Tracker'!$A$3:$Q$505,16,FALSE)</f>
        <v>ETA Ennore 24 Apr</v>
      </c>
      <c r="AA310" s="600" t="str">
        <f>VLOOKUP(F310,'2) Tracker'!$A$3:$R$505,18,FALSE)</f>
        <v>BGN 21-22 Mar Freeport</v>
      </c>
      <c r="AB310" s="600">
        <f>VLOOKUP(F310,'2) Tracker'!$A$3:$Q$505,17,FALSE)</f>
        <v>0</v>
      </c>
      <c r="AC310" s="601"/>
      <c r="AD310" s="601" t="str">
        <f>VLOOKUP(F310,'2) Tracker'!$A$2:$BO$981,37,FALSE)</f>
        <v/>
      </c>
      <c r="AE310" s="601">
        <f>VLOOKUP(F310,'2) Tracker'!$A$2:$BO$981,40,FALSE)</f>
        <v>46177</v>
      </c>
      <c r="AF310" s="601" t="str">
        <f>VLOOKUP(F310,'2) Tracker'!$A$2:$BO$981,67,FALSE)</f>
        <v/>
      </c>
      <c r="AG310" s="601">
        <f>VLOOKUP(F310,'2) Tracker'!$A$2:$BO$981,34,FALSE)</f>
        <v>46150</v>
      </c>
      <c r="AH310" s="601" t="str">
        <f>VLOOKUP(F310,'2) Tracker'!$A$2:$BN$981,66,FALSE)</f>
        <v/>
      </c>
      <c r="AI310" s="601">
        <f>VLOOKUP(F310,'2) Tracker'!$A$2:$BO$981,56,FALSE)</f>
        <v>46147</v>
      </c>
      <c r="AJ310" s="601" t="str">
        <f>VLOOKUP(F310,'2) Tracker'!$A$2:$BO$981,52,FALSE)</f>
        <v/>
      </c>
      <c r="AK310" s="601">
        <f>VLOOKUP(F310,'2) Tracker'!$A$2:$AQ$981,43,FALSE)</f>
        <v>46162</v>
      </c>
      <c r="AL310" s="601">
        <f>VLOOKUP(F310,'2) Tracker'!$A$2:$BH$981,46,FALSE())</f>
        <v>46169</v>
      </c>
      <c r="AM310" s="601">
        <f>VLOOKUP(F310,'2) Tracker'!$A$2:$BO$981,65,FALSE())</f>
        <v>46154</v>
      </c>
      <c r="AN310" s="601">
        <f>VLOOKUP(F310,'2) Tracker'!$A$2:$BK$981,63,FALSE())</f>
        <v>46179</v>
      </c>
      <c r="AO310" s="601" t="str">
        <f>VLOOKUP(F310,'2) Tracker'!$A$2:$BF$981,58,FALSE())</f>
        <v/>
      </c>
      <c r="AP310" s="46"/>
      <c r="AQ310" s="46"/>
      <c r="AR310" s="46"/>
      <c r="AS310" s="46"/>
      <c r="AT310" s="46"/>
      <c r="AU310" s="46"/>
      <c r="AV310" s="46"/>
      <c r="AW310" s="46"/>
      <c r="AX310" s="46"/>
      <c r="AY310" s="46"/>
      <c r="AZ310" s="605"/>
      <c r="BA310" s="604" t="e">
        <f>VLOOKUP(AZ310,#REF!,2, FALSE)</f>
        <v>#REF!</v>
      </c>
      <c r="BB310" s="605" t="e">
        <f>VLOOKUP(AZ310,'1) Kpler'!$E$2:$F$500,2,FALSE)</f>
        <v>#N/A</v>
      </c>
      <c r="BC310" s="604"/>
      <c r="BD310" s="605"/>
      <c r="BE310" s="46"/>
      <c r="BF310" s="46"/>
      <c r="BG310" s="605"/>
      <c r="BH310" s="605"/>
      <c r="BI310" s="605"/>
      <c r="BJ310" s="605"/>
    </row>
    <row r="311" spans="2:62" x14ac:dyDescent="0.25">
      <c r="B311" s="589">
        <f>VLOOKUP(F311,'2) Tracker'!$A$3:$O$411,5,FALSE)</f>
        <v>0</v>
      </c>
      <c r="C311" s="589"/>
      <c r="D311" s="563"/>
      <c r="E311" s="563" t="str">
        <f>VLOOKUP(F311,'2) Tracker'!$A$3:$O$407,15,FALSE)</f>
        <v>R?</v>
      </c>
      <c r="F311" s="561" t="s">
        <v>562</v>
      </c>
      <c r="G311" s="591">
        <f>VLOOKUP(F311,'2) Tracker'!$A$2:$BO$361,2,FALSE)</f>
        <v>2020</v>
      </c>
      <c r="H311" s="592">
        <f>VLOOKUP(F311,'2) Tracker'!$A$2:$BO$361,3,FALSE)</f>
        <v>84000</v>
      </c>
      <c r="I311" s="594" t="str">
        <f>VLOOKUP(F311,'2) Tracker'!$A$2:$BO$361,9,FALSE)</f>
        <v>Petredec</v>
      </c>
      <c r="J311" s="594" t="str">
        <f>VLOOKUP(F311,'2) Tracker'!$A$2:$BO$361,12,FALSE)</f>
        <v>ECI</v>
      </c>
      <c r="K311" s="596" t="str">
        <f t="shared" si="305"/>
        <v/>
      </c>
      <c r="L311" s="595">
        <f t="shared" ref="L311:O311" si="463">AE311</f>
        <v>46177</v>
      </c>
      <c r="M311" s="596" t="str">
        <f t="shared" si="463"/>
        <v/>
      </c>
      <c r="N311" s="596">
        <f t="shared" si="463"/>
        <v>46150</v>
      </c>
      <c r="O311" s="597" t="str">
        <f t="shared" si="463"/>
        <v/>
      </c>
      <c r="P311" s="598" t="str">
        <f>IFERROR(IF(VLOOKUP(F311,'Voyage days'!$M$808:$N$819,2,FALSE),"GOA",""),"")</f>
        <v/>
      </c>
      <c r="Q311" s="596">
        <f t="shared" si="287"/>
        <v>46155</v>
      </c>
      <c r="R311" s="595">
        <f t="shared" si="289"/>
        <v>46179</v>
      </c>
      <c r="S311" s="595">
        <f t="shared" si="409"/>
        <v>46169</v>
      </c>
      <c r="T311" s="596">
        <f t="shared" si="410"/>
        <v>46162</v>
      </c>
      <c r="U311" s="595">
        <f t="shared" si="290"/>
        <v>46148</v>
      </c>
      <c r="V311" s="596"/>
      <c r="W311" s="596" t="str">
        <f t="shared" si="291"/>
        <v/>
      </c>
      <c r="X311" s="599" t="str">
        <f t="shared" si="411"/>
        <v/>
      </c>
      <c r="Y311" s="614" t="s">
        <v>1628</v>
      </c>
      <c r="Z311" s="600" t="str">
        <f>VLOOKUP(F311,'2) Tracker'!$A$3:$Q$505,16,FALSE)</f>
        <v>pending disport, likely India as per Nick ETA USG 04-06 Jun</v>
      </c>
      <c r="AA311" s="600" t="str">
        <f>VLOOKUP(F311,'2) Tracker'!$A$3:$R$505,18,FALSE)</f>
        <v>Chevron 13-14 Mar Enterprise</v>
      </c>
      <c r="AB311" s="600">
        <f>VLOOKUP(F311,'2) Tracker'!$A$3:$Q$505,17,FALSE)</f>
        <v>0</v>
      </c>
      <c r="AC311" s="601"/>
      <c r="AD311" s="601" t="str">
        <f>VLOOKUP(F311,'2) Tracker'!$A$2:$BO$981,37,FALSE)</f>
        <v/>
      </c>
      <c r="AE311" s="601">
        <f>VLOOKUP(F311,'2) Tracker'!$A$2:$BO$981,40,FALSE)</f>
        <v>46177</v>
      </c>
      <c r="AF311" s="601" t="str">
        <f>VLOOKUP(F311,'2) Tracker'!$A$2:$BO$981,67,FALSE)</f>
        <v/>
      </c>
      <c r="AG311" s="601">
        <f>VLOOKUP(F311,'2) Tracker'!$A$2:$BO$981,34,FALSE)</f>
        <v>46150</v>
      </c>
      <c r="AH311" s="601" t="str">
        <f>VLOOKUP(F311,'2) Tracker'!$A$2:$BN$981,66,FALSE)</f>
        <v/>
      </c>
      <c r="AI311" s="601">
        <f>VLOOKUP(F311,'2) Tracker'!$A$2:$BO$981,56,FALSE)</f>
        <v>46148</v>
      </c>
      <c r="AJ311" s="601" t="str">
        <f>VLOOKUP(F311,'2) Tracker'!$A$2:$BO$981,52,FALSE)</f>
        <v/>
      </c>
      <c r="AK311" s="601">
        <f>VLOOKUP(F311,'2) Tracker'!$A$2:$AQ$981,43,FALSE)</f>
        <v>46162</v>
      </c>
      <c r="AL311" s="601">
        <f>VLOOKUP(F311,'2) Tracker'!$A$2:$BH$981,46,FALSE())</f>
        <v>46169</v>
      </c>
      <c r="AM311" s="601">
        <f>VLOOKUP(F311,'2) Tracker'!$A$2:$BO$981,65,FALSE())</f>
        <v>46155</v>
      </c>
      <c r="AN311" s="601">
        <f>VLOOKUP(F311,'2) Tracker'!$A$2:$BK$981,63,FALSE())</f>
        <v>46179</v>
      </c>
      <c r="AO311" s="601" t="str">
        <f>VLOOKUP(F311,'2) Tracker'!$A$2:$BF$981,58,FALSE())</f>
        <v/>
      </c>
      <c r="AP311" s="46"/>
      <c r="AQ311" s="46"/>
      <c r="AR311" s="46"/>
      <c r="AS311" s="46"/>
      <c r="AT311" s="46"/>
      <c r="AU311" s="46"/>
      <c r="AV311" s="46"/>
      <c r="AW311" s="46"/>
      <c r="AX311" s="46"/>
      <c r="AY311" s="46"/>
      <c r="AZ311" s="605"/>
      <c r="BA311" s="604" t="e">
        <f>VLOOKUP(AZ311,#REF!,2, FALSE)</f>
        <v>#REF!</v>
      </c>
      <c r="BB311" s="605" t="e">
        <f>VLOOKUP(AZ311,'1) Kpler'!$E$2:$F$500,2,FALSE)</f>
        <v>#N/A</v>
      </c>
      <c r="BC311" s="604"/>
      <c r="BD311" s="605"/>
      <c r="BE311" s="46"/>
      <c r="BF311" s="46"/>
      <c r="BG311" s="605"/>
      <c r="BH311" s="605"/>
      <c r="BI311" s="605"/>
      <c r="BJ311" s="605"/>
    </row>
    <row r="312" spans="2:62" x14ac:dyDescent="0.25">
      <c r="B312" s="589">
        <f>VLOOKUP(F312,'2) Tracker'!$A$3:$O$411,5,FALSE)</f>
        <v>0</v>
      </c>
      <c r="C312" s="589">
        <f>VLOOKUP(F312,'2) Tracker'!$A$3:$O$411,4,FALSE)</f>
        <v>0</v>
      </c>
      <c r="D312" s="563"/>
      <c r="E312" s="563">
        <f>VLOOKUP(F312,'2) Tracker'!$A$3:$O$407,15,FALSE)</f>
        <v>0</v>
      </c>
      <c r="F312" s="608" t="s">
        <v>538</v>
      </c>
      <c r="G312" s="591">
        <f>VLOOKUP(F312,'2) Tracker'!$A$2:$BO$361,2,FALSE)</f>
        <v>2024</v>
      </c>
      <c r="H312" s="592">
        <f>VLOOKUP(F312,'2) Tracker'!$A$2:$BO$361,3,FALSE)</f>
        <v>91000</v>
      </c>
      <c r="I312" s="593" t="str">
        <f>VLOOKUP(F312,'2) Tracker'!$A$2:$BO$361,9,FALSE)</f>
        <v>BGN</v>
      </c>
      <c r="J312" s="594" t="str">
        <f>VLOOKUP(F312,'2) Tracker'!$A$2:$BO$361,12,FALSE)</f>
        <v>ECI</v>
      </c>
      <c r="K312" s="596" t="str">
        <f t="shared" si="305"/>
        <v/>
      </c>
      <c r="L312" s="595">
        <f t="shared" ref="L312:O312" si="464">AE312</f>
        <v>46177</v>
      </c>
      <c r="M312" s="596" t="str">
        <f t="shared" si="464"/>
        <v/>
      </c>
      <c r="N312" s="596">
        <f t="shared" si="464"/>
        <v>46150</v>
      </c>
      <c r="O312" s="597" t="str">
        <f t="shared" si="464"/>
        <v/>
      </c>
      <c r="P312" s="598" t="str">
        <f>IFERROR(IF(VLOOKUP(F312,'Voyage days'!$M$808:$N$819,2,FALSE),"GOA",""),"")</f>
        <v/>
      </c>
      <c r="Q312" s="596">
        <f t="shared" si="287"/>
        <v>46154</v>
      </c>
      <c r="R312" s="596">
        <f t="shared" si="289"/>
        <v>46179</v>
      </c>
      <c r="S312" s="595">
        <f t="shared" si="409"/>
        <v>46169</v>
      </c>
      <c r="T312" s="596">
        <f t="shared" si="410"/>
        <v>46162</v>
      </c>
      <c r="U312" s="596">
        <f t="shared" si="290"/>
        <v>46147</v>
      </c>
      <c r="V312" s="596"/>
      <c r="W312" s="596" t="str">
        <f t="shared" si="291"/>
        <v/>
      </c>
      <c r="X312" s="599" t="str">
        <f t="shared" si="411"/>
        <v/>
      </c>
      <c r="Y312" s="594"/>
      <c r="Z312" s="600" t="str">
        <f>VLOOKUP(F312,'2) Tracker'!$A$3:$Q$505,16,FALSE)</f>
        <v>ETA Port Louis 13 Apr / heading ECI</v>
      </c>
      <c r="AA312" s="600" t="str">
        <f>VLOOKUP(F312,'2) Tracker'!$A$3:$R$505,18,FALSE)</f>
        <v>BGN 13-14 Mar Nederland?</v>
      </c>
      <c r="AB312" s="600">
        <f>VLOOKUP(F312,'2) Tracker'!$A$3:$Q$505,17,FALSE)</f>
        <v>0</v>
      </c>
      <c r="AC312" s="601"/>
      <c r="AD312" s="601" t="str">
        <f>VLOOKUP(F312,'2) Tracker'!$A$2:$BO$981,37,FALSE)</f>
        <v/>
      </c>
      <c r="AE312" s="601">
        <f>VLOOKUP(F312,'2) Tracker'!$A$2:$BO$981,40,FALSE)</f>
        <v>46177</v>
      </c>
      <c r="AF312" s="601" t="str">
        <f>VLOOKUP(F312,'2) Tracker'!$A$2:$BO$981,67,FALSE)</f>
        <v/>
      </c>
      <c r="AG312" s="601">
        <f>VLOOKUP(F312,'2) Tracker'!$A$2:$BO$981,34,FALSE)</f>
        <v>46150</v>
      </c>
      <c r="AH312" s="601" t="str">
        <f>VLOOKUP(F312,'2) Tracker'!$A$2:$BN$981,66,FALSE)</f>
        <v/>
      </c>
      <c r="AI312" s="601">
        <f>VLOOKUP(F312,'2) Tracker'!$A$2:$BO$981,56,FALSE)</f>
        <v>46147</v>
      </c>
      <c r="AJ312" s="601" t="str">
        <f>VLOOKUP(F312,'2) Tracker'!$A$2:$BO$981,52,FALSE)</f>
        <v/>
      </c>
      <c r="AK312" s="601">
        <f>VLOOKUP(F312,'2) Tracker'!$A$2:$AQ$981,43,FALSE)</f>
        <v>46162</v>
      </c>
      <c r="AL312" s="601">
        <f>VLOOKUP(F312,'2) Tracker'!$A$2:$BH$981,46,FALSE())</f>
        <v>46169</v>
      </c>
      <c r="AM312" s="601">
        <f>VLOOKUP(F312,'2) Tracker'!$A$2:$BO$981,65,FALSE())</f>
        <v>46154</v>
      </c>
      <c r="AN312" s="601">
        <f>VLOOKUP(F312,'2) Tracker'!$A$2:$BK$981,63,FALSE())</f>
        <v>46179</v>
      </c>
      <c r="AO312" s="601" t="str">
        <f>VLOOKUP(F312,'2) Tracker'!$A$2:$BF$981,58,FALSE())</f>
        <v/>
      </c>
      <c r="AP312" s="46"/>
      <c r="AQ312" s="46"/>
      <c r="AR312" s="46"/>
      <c r="AS312" s="46"/>
      <c r="AT312" s="46"/>
      <c r="AU312" s="46"/>
      <c r="AV312" s="46"/>
      <c r="AW312" s="46"/>
      <c r="AX312" s="46"/>
      <c r="AY312" s="46"/>
      <c r="AZ312" s="564"/>
      <c r="BA312" s="604" t="e">
        <f>VLOOKUP(AZ312,#REF!,2, FALSE)</f>
        <v>#REF!</v>
      </c>
      <c r="BB312" s="605" t="e">
        <f>VLOOKUP(AZ312,'1) Kpler'!$E$2:$F$500,2,FALSE)</f>
        <v>#N/A</v>
      </c>
      <c r="BC312" s="662"/>
      <c r="BD312" s="605"/>
      <c r="BE312" s="46"/>
      <c r="BF312" s="46"/>
      <c r="BG312" s="605"/>
      <c r="BH312" s="46"/>
      <c r="BI312" s="605"/>
      <c r="BJ312" s="605"/>
    </row>
    <row r="313" spans="2:62" x14ac:dyDescent="0.25">
      <c r="B313" s="589">
        <f>VLOOKUP(F313,'2) Tracker'!$A$3:$O$411,5,FALSE)</f>
        <v>0</v>
      </c>
      <c r="C313" s="589">
        <f>VLOOKUP(F313,'2) Tracker'!$A$3:$O$411,4,FALSE)</f>
        <v>0</v>
      </c>
      <c r="D313" s="563"/>
      <c r="E313" s="563">
        <f>VLOOKUP(F313,'2) Tracker'!$A$3:$O$407,15,FALSE)</f>
        <v>0</v>
      </c>
      <c r="F313" s="561" t="s">
        <v>462</v>
      </c>
      <c r="G313" s="591">
        <f>VLOOKUP(F313,'2) Tracker'!$A$2:$BO$361,2,FALSE)</f>
        <v>2016</v>
      </c>
      <c r="H313" s="592">
        <f>VLOOKUP(F313,'2) Tracker'!$A$2:$BO$361,3,FALSE)</f>
        <v>83000</v>
      </c>
      <c r="I313" s="600" t="str">
        <f>VLOOKUP(F313,'2) Tracker'!$A$2:$BO$361,9,FALSE)</f>
        <v>Trafigura</v>
      </c>
      <c r="J313" s="594" t="str">
        <f>VLOOKUP(F313,'2) Tracker'!$A$2:$BO$361,12,FALSE)</f>
        <v>WCI</v>
      </c>
      <c r="K313" s="596" t="str">
        <f t="shared" si="305"/>
        <v/>
      </c>
      <c r="L313" s="596">
        <f t="shared" ref="L313:O313" si="465">AE313</f>
        <v>46171</v>
      </c>
      <c r="M313" s="596" t="str">
        <f t="shared" si="465"/>
        <v/>
      </c>
      <c r="N313" s="596">
        <f t="shared" si="465"/>
        <v>46144</v>
      </c>
      <c r="O313" s="597" t="str">
        <f t="shared" si="465"/>
        <v/>
      </c>
      <c r="P313" s="598" t="str">
        <f>IFERROR(IF(VLOOKUP(F313,'Voyage days'!$M$808:$N$819,2,FALSE),"GOA",""),"")</f>
        <v/>
      </c>
      <c r="Q313" s="596">
        <f t="shared" si="287"/>
        <v>46147</v>
      </c>
      <c r="R313" s="595">
        <f t="shared" si="289"/>
        <v>46174</v>
      </c>
      <c r="S313" s="595">
        <f t="shared" si="409"/>
        <v>46152</v>
      </c>
      <c r="T313" s="596">
        <f t="shared" si="410"/>
        <v>46158</v>
      </c>
      <c r="U313" s="595" t="str">
        <f t="shared" si="290"/>
        <v/>
      </c>
      <c r="V313" s="595"/>
      <c r="W313" s="595" t="str">
        <f t="shared" si="291"/>
        <v/>
      </c>
      <c r="X313" s="599" t="str">
        <f t="shared" si="411"/>
        <v/>
      </c>
      <c r="Y313" s="594" t="s">
        <v>1634</v>
      </c>
      <c r="Z313" s="600" t="str">
        <f>VLOOKUP(F313,'2) Tracker'!$A$3:$Q$505,16,FALSE)</f>
        <v>ETA Mangalore 20 Apr</v>
      </c>
      <c r="AA313" s="600" t="str">
        <f>VLOOKUP(F313,'2) Tracker'!$A$3:$R$505,18,FALSE)</f>
        <v>P66 07-08 Mar Enterprise</v>
      </c>
      <c r="AB313" s="600">
        <f>VLOOKUP(F313,'2) Tracker'!$A$3:$Q$505,17,FALSE)</f>
        <v>0</v>
      </c>
      <c r="AC313" s="601"/>
      <c r="AD313" s="601" t="str">
        <f>VLOOKUP(F313,'2) Tracker'!$A$2:$BO$981,37,FALSE)</f>
        <v/>
      </c>
      <c r="AE313" s="601">
        <f>VLOOKUP(F313,'2) Tracker'!$A$2:$BO$981,40,FALSE)</f>
        <v>46171</v>
      </c>
      <c r="AF313" s="601" t="str">
        <f>VLOOKUP(F313,'2) Tracker'!$A$2:$BO$981,67,FALSE)</f>
        <v/>
      </c>
      <c r="AG313" s="601">
        <f>VLOOKUP(F313,'2) Tracker'!$A$2:$BO$981,34,FALSE)</f>
        <v>46144</v>
      </c>
      <c r="AH313" s="601" t="str">
        <f>VLOOKUP(F313,'2) Tracker'!$A$2:$BN$981,66,FALSE)</f>
        <v/>
      </c>
      <c r="AI313" s="601" t="str">
        <f>VLOOKUP(F313,'2) Tracker'!$A$2:$BO$981,56,FALSE)</f>
        <v/>
      </c>
      <c r="AJ313" s="601" t="str">
        <f>VLOOKUP(F313,'2) Tracker'!$A$2:$BO$981,52,FALSE)</f>
        <v/>
      </c>
      <c r="AK313" s="601">
        <f>VLOOKUP(F313,'2) Tracker'!$A$2:$AQ$981,43,FALSE)</f>
        <v>46158</v>
      </c>
      <c r="AL313" s="601">
        <f>VLOOKUP(F313,'2) Tracker'!$A$2:$BH$981,46,FALSE())</f>
        <v>46152</v>
      </c>
      <c r="AM313" s="601">
        <f>VLOOKUP(F313,'2) Tracker'!$A$2:$BO$981,65,FALSE())</f>
        <v>46147</v>
      </c>
      <c r="AN313" s="601">
        <f>VLOOKUP(F313,'2) Tracker'!$A$2:$BK$981,63,FALSE())</f>
        <v>46174</v>
      </c>
      <c r="AO313" s="601" t="str">
        <f>VLOOKUP(F313,'2) Tracker'!$A$2:$BF$981,58,FALSE())</f>
        <v/>
      </c>
      <c r="AP313" s="46"/>
      <c r="AQ313" s="46"/>
      <c r="AR313" s="46"/>
      <c r="AS313" s="46"/>
      <c r="AT313" s="46"/>
      <c r="AU313" s="46"/>
      <c r="AV313" s="46"/>
      <c r="AW313" s="46"/>
      <c r="AX313" s="46"/>
      <c r="AY313" s="46"/>
      <c r="AZ313" s="605"/>
      <c r="BA313" s="604" t="e">
        <f>VLOOKUP(AZ313,#REF!,2, FALSE)</f>
        <v>#REF!</v>
      </c>
      <c r="BB313" s="605" t="e">
        <f>VLOOKUP(AZ313,'1) Kpler'!$E$2:$F$500,2,FALSE)</f>
        <v>#N/A</v>
      </c>
      <c r="BC313" s="604"/>
      <c r="BD313" s="605"/>
      <c r="BE313" s="46"/>
      <c r="BF313" s="46"/>
      <c r="BG313" s="664" t="s">
        <v>1658</v>
      </c>
      <c r="BH313" s="46"/>
      <c r="BI313" s="605"/>
      <c r="BJ313" s="605"/>
    </row>
    <row r="314" spans="2:62" x14ac:dyDescent="0.25">
      <c r="B314" s="589" t="str">
        <f>VLOOKUP(F314,'2) Tracker'!$A$3:$O$411,5,FALSE)</f>
        <v>C</v>
      </c>
      <c r="C314" s="589">
        <f>VLOOKUP(F314,'2) Tracker'!$A$3:$O$411,4,FALSE)</f>
        <v>0</v>
      </c>
      <c r="D314" s="563"/>
      <c r="E314" s="563" t="str">
        <f>VLOOKUP(F314,'2) Tracker'!$A$3:$O$407,15,FALSE)</f>
        <v>O</v>
      </c>
      <c r="F314" s="604" t="s">
        <v>327</v>
      </c>
      <c r="G314" s="591">
        <f>VLOOKUP(F314,'2) Tracker'!$A$2:$BO$361,2,FALSE)</f>
        <v>2018</v>
      </c>
      <c r="H314" s="592">
        <f>VLOOKUP(F314,'2) Tracker'!$A$2:$BO$361,3,FALSE)</f>
        <v>84000</v>
      </c>
      <c r="I314" s="600" t="str">
        <f>VLOOKUP(F314,'2) Tracker'!$A$2:$BO$361,9,FALSE)</f>
        <v>Sinogas</v>
      </c>
      <c r="J314" s="594" t="str">
        <f>VLOOKUP(F314,'2) Tracker'!$A$2:$BO$361,12,FALSE)</f>
        <v>ECI</v>
      </c>
      <c r="K314" s="595" t="str">
        <f t="shared" si="305"/>
        <v/>
      </c>
      <c r="L314" s="595">
        <f t="shared" ref="L314:O314" si="466">AE314</f>
        <v>46183</v>
      </c>
      <c r="M314" s="596" t="str">
        <f t="shared" si="466"/>
        <v/>
      </c>
      <c r="N314" s="596">
        <f t="shared" si="466"/>
        <v>46156</v>
      </c>
      <c r="O314" s="597" t="str">
        <f t="shared" si="466"/>
        <v/>
      </c>
      <c r="P314" s="622" t="str">
        <f>IFERROR(IF(VLOOKUP(F314,'Voyage days'!$M$808:$N$828,2,FALSE),"GOA",""),"")</f>
        <v>GOA</v>
      </c>
      <c r="Q314" s="623">
        <f t="shared" si="287"/>
        <v>46161</v>
      </c>
      <c r="R314" s="596">
        <f t="shared" si="289"/>
        <v>46185</v>
      </c>
      <c r="S314" s="595">
        <f t="shared" si="409"/>
        <v>46175</v>
      </c>
      <c r="T314" s="596">
        <f t="shared" si="410"/>
        <v>46168</v>
      </c>
      <c r="U314" s="596">
        <f t="shared" si="290"/>
        <v>46154</v>
      </c>
      <c r="V314" s="596"/>
      <c r="W314" s="596" t="str">
        <f t="shared" si="291"/>
        <v/>
      </c>
      <c r="X314" s="599" t="str">
        <f t="shared" si="411"/>
        <v/>
      </c>
      <c r="Y314" s="614" t="s">
        <v>1614</v>
      </c>
      <c r="Z314" s="600" t="str">
        <f>VLOOKUP(F314,'2) Tracker'!$A$3:$Q$505,16,FALSE)</f>
        <v>ETA Ennore Port 29 Apr, ETA USG 10-12 Jun via Cape</v>
      </c>
      <c r="AA314" s="600" t="str">
        <f>VLOOKUP(F314,'2) Tracker'!$A$3:$R$505,18,FALSE)</f>
        <v>Total 18-19 Mar Nederland</v>
      </c>
      <c r="AB314" s="600">
        <f>VLOOKUP(F314,'2) Tracker'!$A$3:$Q$505,17,FALSE)</f>
        <v>0</v>
      </c>
      <c r="AC314" s="601"/>
      <c r="AD314" s="601" t="str">
        <f>VLOOKUP(F314,'2) Tracker'!$A$2:$BO$981,37,FALSE)</f>
        <v/>
      </c>
      <c r="AE314" s="601">
        <f>VLOOKUP(F314,'2) Tracker'!$A$2:$BO$981,40,FALSE)</f>
        <v>46183</v>
      </c>
      <c r="AF314" s="601" t="str">
        <f>VLOOKUP(F314,'2) Tracker'!$A$2:$BO$981,67,FALSE)</f>
        <v/>
      </c>
      <c r="AG314" s="601">
        <f>VLOOKUP(F314,'2) Tracker'!$A$2:$BO$981,34,FALSE)</f>
        <v>46156</v>
      </c>
      <c r="AH314" s="601" t="str">
        <f>VLOOKUP(F314,'2) Tracker'!$A$2:$BN$981,66,FALSE)</f>
        <v/>
      </c>
      <c r="AI314" s="601">
        <f>VLOOKUP(F314,'2) Tracker'!$A$2:$BO$981,56,FALSE)</f>
        <v>46154</v>
      </c>
      <c r="AJ314" s="601" t="str">
        <f>VLOOKUP(F314,'2) Tracker'!$A$2:$BO$981,52,FALSE)</f>
        <v/>
      </c>
      <c r="AK314" s="601">
        <f>VLOOKUP(F314,'2) Tracker'!$A$2:$AQ$981,43,FALSE)</f>
        <v>46168</v>
      </c>
      <c r="AL314" s="601">
        <f>VLOOKUP(F314,'2) Tracker'!$A$2:$BH$981,46,FALSE())</f>
        <v>46175</v>
      </c>
      <c r="AM314" s="601">
        <f>VLOOKUP(F314,'2) Tracker'!$A$2:$BO$981,65,FALSE())</f>
        <v>46161</v>
      </c>
      <c r="AN314" s="601">
        <f>VLOOKUP(F314,'2) Tracker'!$A$2:$BK$981,63,FALSE())</f>
        <v>46185</v>
      </c>
      <c r="AO314" s="601" t="str">
        <f>VLOOKUP(F314,'2) Tracker'!$A$2:$BF$981,58,FALSE())</f>
        <v/>
      </c>
      <c r="AP314" s="46"/>
      <c r="AQ314" s="46"/>
      <c r="AR314" s="46"/>
      <c r="AS314" s="46"/>
      <c r="AT314" s="46"/>
      <c r="AU314" s="46"/>
      <c r="AV314" s="46"/>
      <c r="AW314" s="46"/>
      <c r="AX314" s="46"/>
      <c r="AY314" s="46"/>
      <c r="AZ314" s="605"/>
      <c r="BA314" s="604" t="e">
        <f>VLOOKUP(AZ314,#REF!,2, FALSE)</f>
        <v>#REF!</v>
      </c>
      <c r="BB314" s="605" t="e">
        <f>VLOOKUP(AZ314,'1) Kpler'!$E$2:$F$500,2,FALSE)</f>
        <v>#N/A</v>
      </c>
      <c r="BC314" s="604"/>
      <c r="BD314" s="605"/>
      <c r="BE314" s="46"/>
      <c r="BF314" s="46"/>
      <c r="BG314" s="605"/>
      <c r="BH314" s="605"/>
      <c r="BI314" s="605"/>
      <c r="BJ314" s="605"/>
    </row>
    <row r="315" spans="2:62" x14ac:dyDescent="0.25">
      <c r="B315" s="589">
        <f>VLOOKUP(F315,'2) Tracker'!$A$3:$O$411,5,FALSE)</f>
        <v>0</v>
      </c>
      <c r="C315" s="638"/>
      <c r="D315" s="563"/>
      <c r="E315" s="563">
        <f>VLOOKUP(F315,'2) Tracker'!$A$3:$O$407,15,FALSE)</f>
        <v>0</v>
      </c>
      <c r="F315" s="604" t="s">
        <v>288</v>
      </c>
      <c r="G315" s="591">
        <f>VLOOKUP(F315,'2) Tracker'!$A$2:$BO$361,2,FALSE)</f>
        <v>2020</v>
      </c>
      <c r="H315" s="592">
        <f>VLOOKUP(F315,'2) Tracker'!$A$2:$BO$361,3,FALSE)</f>
        <v>84000</v>
      </c>
      <c r="I315" s="594" t="str">
        <f>VLOOKUP(F315,'2) Tracker'!$A$2:$BO$361,9,FALSE)</f>
        <v>Mercuria</v>
      </c>
      <c r="J315" s="594" t="str">
        <f>VLOOKUP(F315,'2) Tracker'!$A$2:$BO$361,12,FALSE)</f>
        <v>Cape laden</v>
      </c>
      <c r="K315" s="596" t="str">
        <f t="shared" si="305"/>
        <v/>
      </c>
      <c r="L315" s="596" t="str">
        <f t="shared" ref="L315:O315" si="467">AE315</f>
        <v/>
      </c>
      <c r="M315" s="596" t="str">
        <f t="shared" si="467"/>
        <v/>
      </c>
      <c r="N315" s="596">
        <f t="shared" si="467"/>
        <v>46168</v>
      </c>
      <c r="O315" s="597" t="str">
        <f t="shared" si="467"/>
        <v/>
      </c>
      <c r="P315" s="598" t="str">
        <f>IFERROR(IF(VLOOKUP(F315,'Voyage days'!$M$808:$N$819,2,FALSE),"GOA",""),"")</f>
        <v/>
      </c>
      <c r="Q315" s="596">
        <f t="shared" si="287"/>
        <v>46138</v>
      </c>
      <c r="R315" s="595">
        <f t="shared" si="289"/>
        <v>46137</v>
      </c>
      <c r="S315" s="595" t="str">
        <f t="shared" si="409"/>
        <v/>
      </c>
      <c r="T315" s="596" t="str">
        <f t="shared" si="410"/>
        <v/>
      </c>
      <c r="U315" s="595">
        <f t="shared" si="290"/>
        <v>46161</v>
      </c>
      <c r="V315" s="595"/>
      <c r="W315" s="595">
        <f t="shared" si="291"/>
        <v>46157</v>
      </c>
      <c r="X315" s="599" t="str">
        <f t="shared" si="411"/>
        <v/>
      </c>
      <c r="Y315" s="594"/>
      <c r="Z315" s="600" t="str">
        <f>VLOOKUP(F315,'2) Tracker'!$A$3:$Q$505,16,FALSE)</f>
        <v>ETA Singapore 09 May, pending disport</v>
      </c>
      <c r="AA315" s="600" t="str">
        <f>VLOOKUP(F315,'2) Tracker'!$A$3:$R$505,18,FALSE)</f>
        <v>Ineos 04-05 Apr MH</v>
      </c>
      <c r="AB315" s="600">
        <f>VLOOKUP(F315,'2) Tracker'!$A$3:$Q$505,17,FALSE)</f>
        <v>0</v>
      </c>
      <c r="AC315" s="601"/>
      <c r="AD315" s="601" t="str">
        <f>VLOOKUP(F315,'2) Tracker'!$A$2:$BO$981,37,FALSE)</f>
        <v/>
      </c>
      <c r="AE315" s="601" t="str">
        <f>VLOOKUP(F315,'2) Tracker'!$A$2:$BO$981,40,FALSE)</f>
        <v/>
      </c>
      <c r="AF315" s="601" t="str">
        <f>VLOOKUP(F315,'2) Tracker'!$A$2:$BO$981,67,FALSE)</f>
        <v/>
      </c>
      <c r="AG315" s="601">
        <f>VLOOKUP(F315,'2) Tracker'!$A$2:$BO$981,34,FALSE)</f>
        <v>46168</v>
      </c>
      <c r="AH315" s="601" t="str">
        <f>VLOOKUP(F315,'2) Tracker'!$A$2:$BN$981,66,FALSE)</f>
        <v/>
      </c>
      <c r="AI315" s="601">
        <f>VLOOKUP(F315,'2) Tracker'!$A$2:$BO$981,56,FALSE)</f>
        <v>46161</v>
      </c>
      <c r="AJ315" s="601">
        <f>VLOOKUP(F315,'2) Tracker'!$A$2:$BO$981,52,FALSE)</f>
        <v>46157</v>
      </c>
      <c r="AK315" s="601" t="str">
        <f>VLOOKUP(F315,'2) Tracker'!$A$2:$AQ$981,43,FALSE)</f>
        <v/>
      </c>
      <c r="AL315" s="601" t="str">
        <f>VLOOKUP(F315,'2) Tracker'!$A$2:$BH$981,46,FALSE())</f>
        <v/>
      </c>
      <c r="AM315" s="601">
        <f>VLOOKUP(F315,'2) Tracker'!$A$2:$BO$981,65,FALSE())</f>
        <v>46138</v>
      </c>
      <c r="AN315" s="601">
        <f>VLOOKUP(F315,'2) Tracker'!$A$2:$BK$981,63,FALSE())</f>
        <v>46137</v>
      </c>
      <c r="AO315" s="601" t="str">
        <f>VLOOKUP(F315,'2) Tracker'!$A$2:$BF$981,58,FALSE())</f>
        <v/>
      </c>
      <c r="AP315" s="46"/>
      <c r="AQ315" s="46"/>
      <c r="AR315" s="46"/>
      <c r="AS315" s="46"/>
      <c r="AT315" s="46"/>
      <c r="AU315" s="46"/>
      <c r="AV315" s="46"/>
      <c r="AW315" s="46"/>
      <c r="AX315" s="46"/>
      <c r="AY315" s="46"/>
      <c r="AZ315" s="605"/>
      <c r="BA315" s="604" t="e">
        <f>VLOOKUP(AZ315,#REF!,2, FALSE)</f>
        <v>#REF!</v>
      </c>
      <c r="BB315" s="605" t="e">
        <f>VLOOKUP(AZ315,'1) Kpler'!$E$2:$F$500,2,FALSE)</f>
        <v>#N/A</v>
      </c>
      <c r="BC315" s="604"/>
      <c r="BD315" s="605"/>
      <c r="BE315" s="46"/>
      <c r="BF315" s="46"/>
      <c r="BG315" s="605"/>
      <c r="BH315" s="605"/>
      <c r="BI315" s="605"/>
      <c r="BJ315" s="605"/>
    </row>
    <row r="316" spans="2:62" x14ac:dyDescent="0.25">
      <c r="B316" s="589">
        <f>VLOOKUP(F316,'2) Tracker'!$A$3:$O$411,5,FALSE)</f>
        <v>0</v>
      </c>
      <c r="C316" s="589">
        <f>VLOOKUP(F316,'2) Tracker'!$A$3:$O$411,4,FALSE)</f>
        <v>0</v>
      </c>
      <c r="D316" s="563"/>
      <c r="E316" s="563">
        <f>VLOOKUP(F316,'2) Tracker'!$A$3:$O$407,15,FALSE)</f>
        <v>0</v>
      </c>
      <c r="F316" s="604" t="s">
        <v>367</v>
      </c>
      <c r="G316" s="591">
        <f>VLOOKUP(F316,'2) Tracker'!$A$2:$BO$361,2,FALSE)</f>
        <v>2024</v>
      </c>
      <c r="H316" s="592">
        <f>VLOOKUP(F316,'2) Tracker'!$A$2:$BO$361,3,FALSE)</f>
        <v>93000</v>
      </c>
      <c r="I316" s="600" t="str">
        <f>VLOOKUP(F316,'2) Tracker'!$A$2:$BO$361,9,FALSE)</f>
        <v>Petredec</v>
      </c>
      <c r="J316" s="594" t="str">
        <f>VLOOKUP(F316,'2) Tracker'!$A$2:$BO$361,12,FALSE)</f>
        <v>WCI</v>
      </c>
      <c r="K316" s="596" t="str">
        <f t="shared" si="305"/>
        <v/>
      </c>
      <c r="L316" s="596">
        <f t="shared" ref="L316:O316" si="468">AE316</f>
        <v>46195</v>
      </c>
      <c r="M316" s="596" t="str">
        <f t="shared" si="468"/>
        <v/>
      </c>
      <c r="N316" s="596">
        <f t="shared" si="468"/>
        <v>46168</v>
      </c>
      <c r="O316" s="597" t="str">
        <f t="shared" si="468"/>
        <v/>
      </c>
      <c r="P316" s="598" t="str">
        <f>IFERROR(IF(VLOOKUP(F316,'Voyage days'!$M$808:$N$819,2,FALSE),"GOA",""),"")</f>
        <v/>
      </c>
      <c r="Q316" s="596">
        <f t="shared" si="287"/>
        <v>46171</v>
      </c>
      <c r="R316" s="596">
        <f t="shared" si="289"/>
        <v>46198</v>
      </c>
      <c r="S316" s="595">
        <f t="shared" si="409"/>
        <v>46176</v>
      </c>
      <c r="T316" s="596">
        <f t="shared" si="410"/>
        <v>46182</v>
      </c>
      <c r="U316" s="596" t="str">
        <f t="shared" si="290"/>
        <v/>
      </c>
      <c r="V316" s="596"/>
      <c r="W316" s="596" t="str">
        <f t="shared" si="291"/>
        <v/>
      </c>
      <c r="X316" s="599" t="str">
        <f t="shared" si="411"/>
        <v/>
      </c>
      <c r="Y316" s="594"/>
      <c r="Z316" s="600" t="str">
        <f>VLOOKUP(F316,'2) Tracker'!$A$3:$Q$505,16,FALSE)</f>
        <v>ETA Mangalore 16 May</v>
      </c>
      <c r="AA316" s="600" t="str">
        <f>VLOOKUP(F316,'2) Tracker'!$A$3:$R$505,18,FALSE)</f>
        <v>Petredec 07-08 Apr USG</v>
      </c>
      <c r="AB316" s="600">
        <f>VLOOKUP(F316,'2) Tracker'!$A$3:$Q$505,17,FALSE)</f>
        <v>0</v>
      </c>
      <c r="AC316" s="601"/>
      <c r="AD316" s="601" t="str">
        <f>VLOOKUP(F316,'2) Tracker'!$A$2:$BO$981,37,FALSE)</f>
        <v/>
      </c>
      <c r="AE316" s="601">
        <f>VLOOKUP(F316,'2) Tracker'!$A$2:$BO$981,40,FALSE)</f>
        <v>46195</v>
      </c>
      <c r="AF316" s="601" t="str">
        <f>VLOOKUP(F316,'2) Tracker'!$A$2:$BO$981,67,FALSE)</f>
        <v/>
      </c>
      <c r="AG316" s="601">
        <f>VLOOKUP(F316,'2) Tracker'!$A$2:$BO$981,34,FALSE)</f>
        <v>46168</v>
      </c>
      <c r="AH316" s="601" t="str">
        <f>VLOOKUP(F316,'2) Tracker'!$A$2:$BN$981,66,FALSE)</f>
        <v/>
      </c>
      <c r="AI316" s="601" t="str">
        <f>VLOOKUP(F316,'2) Tracker'!$A$2:$BO$981,56,FALSE)</f>
        <v/>
      </c>
      <c r="AJ316" s="601" t="str">
        <f>VLOOKUP(F316,'2) Tracker'!$A$2:$BO$981,52,FALSE)</f>
        <v/>
      </c>
      <c r="AK316" s="601">
        <f>VLOOKUP(F316,'2) Tracker'!$A$2:$AQ$981,43,FALSE)</f>
        <v>46182</v>
      </c>
      <c r="AL316" s="601">
        <f>VLOOKUP(F316,'2) Tracker'!$A$2:$BH$981,46,FALSE())</f>
        <v>46176</v>
      </c>
      <c r="AM316" s="601">
        <f>VLOOKUP(F316,'2) Tracker'!$A$2:$BO$981,65,FALSE())</f>
        <v>46171</v>
      </c>
      <c r="AN316" s="601">
        <f>VLOOKUP(F316,'2) Tracker'!$A$2:$BK$981,63,FALSE())</f>
        <v>46198</v>
      </c>
      <c r="AO316" s="601" t="str">
        <f>VLOOKUP(F316,'2) Tracker'!$A$2:$BF$981,58,FALSE())</f>
        <v/>
      </c>
      <c r="AP316" s="46"/>
      <c r="AQ316" s="46"/>
      <c r="AR316" s="46"/>
      <c r="AS316" s="46"/>
      <c r="AT316" s="46"/>
      <c r="AU316" s="46"/>
      <c r="AV316" s="46"/>
      <c r="AW316" s="46"/>
      <c r="AX316" s="46"/>
      <c r="AY316" s="46"/>
      <c r="AZ316" s="605"/>
      <c r="BA316" s="604" t="e">
        <f>VLOOKUP(AZ316,#REF!,2, FALSE)</f>
        <v>#REF!</v>
      </c>
      <c r="BB316" s="605" t="e">
        <f>VLOOKUP(AZ316,'1) Kpler'!$E$2:$F$500,2,FALSE)</f>
        <v>#N/A</v>
      </c>
      <c r="BC316" s="604"/>
      <c r="BD316" s="605"/>
      <c r="BE316" s="46"/>
      <c r="BF316" s="46"/>
      <c r="BG316" s="605"/>
      <c r="BH316" s="605"/>
      <c r="BI316" s="605"/>
      <c r="BJ316" s="605"/>
    </row>
    <row r="317" spans="2:62" x14ac:dyDescent="0.25">
      <c r="B317" s="589">
        <f>VLOOKUP(F317,'2) Tracker'!$A$3:$O$411,5,FALSE)</f>
        <v>0</v>
      </c>
      <c r="C317" s="589">
        <f>VLOOKUP(F317,'2) Tracker'!$A$3:$O$411,4,FALSE)</f>
        <v>0</v>
      </c>
      <c r="D317" s="563"/>
      <c r="E317" s="563">
        <f>VLOOKUP(F317,'2) Tracker'!$A$3:$O$407,15,FALSE)</f>
        <v>0</v>
      </c>
      <c r="F317" s="604" t="s">
        <v>537</v>
      </c>
      <c r="G317" s="591">
        <f>VLOOKUP(F317,'2) Tracker'!$A$2:$BO$361,2,FALSE)</f>
        <v>2021</v>
      </c>
      <c r="H317" s="592">
        <f>VLOOKUP(F317,'2) Tracker'!$A$2:$BO$361,3,FALSE)</f>
        <v>90000</v>
      </c>
      <c r="I317" s="600" t="str">
        <f>VLOOKUP(F317,'2) Tracker'!$A$2:$BO$361,9,FALSE)</f>
        <v>Trafigura</v>
      </c>
      <c r="J317" s="594" t="str">
        <f>VLOOKUP(F317,'2) Tracker'!$A$2:$BO$361,12,FALSE)</f>
        <v>WCI</v>
      </c>
      <c r="K317" s="595" t="str">
        <f t="shared" si="305"/>
        <v/>
      </c>
      <c r="L317" s="595">
        <f t="shared" ref="L317:O317" si="469">AE317</f>
        <v>46184</v>
      </c>
      <c r="M317" s="596" t="str">
        <f t="shared" si="469"/>
        <v/>
      </c>
      <c r="N317" s="596">
        <f t="shared" si="469"/>
        <v>46157</v>
      </c>
      <c r="O317" s="597" t="str">
        <f t="shared" si="469"/>
        <v/>
      </c>
      <c r="P317" s="598" t="str">
        <f>IFERROR(IF(VLOOKUP(F317,'Voyage days'!$M$808:$N$819,2,FALSE),"GOA",""),"")</f>
        <v/>
      </c>
      <c r="Q317" s="596">
        <f t="shared" si="287"/>
        <v>46160</v>
      </c>
      <c r="R317" s="596">
        <f t="shared" si="289"/>
        <v>46187</v>
      </c>
      <c r="S317" s="595">
        <f t="shared" si="409"/>
        <v>46165</v>
      </c>
      <c r="T317" s="595">
        <f t="shared" si="410"/>
        <v>46171</v>
      </c>
      <c r="U317" s="596" t="str">
        <f t="shared" si="290"/>
        <v/>
      </c>
      <c r="V317" s="596"/>
      <c r="W317" s="596" t="str">
        <f t="shared" si="291"/>
        <v/>
      </c>
      <c r="X317" s="599" t="str">
        <f t="shared" si="411"/>
        <v/>
      </c>
      <c r="Y317" s="594"/>
      <c r="Z317" s="600" t="str">
        <f>VLOOKUP(F317,'2) Tracker'!$A$3:$Q$505,16,FALSE)</f>
        <v>ETA Mangalore 05 May</v>
      </c>
      <c r="AA317" s="600" t="str">
        <f>VLOOKUP(F317,'2) Tracker'!$A$3:$R$505,18,FALSE)</f>
        <v>Trafigura 29 Mar Enterprise</v>
      </c>
      <c r="AB317" s="600">
        <f>VLOOKUP(F317,'2) Tracker'!$A$3:$Q$505,17,FALSE)</f>
        <v>0</v>
      </c>
      <c r="AC317" s="601"/>
      <c r="AD317" s="601" t="str">
        <f>VLOOKUP(F317,'2) Tracker'!$A$2:$BO$981,37,FALSE)</f>
        <v/>
      </c>
      <c r="AE317" s="601">
        <f>VLOOKUP(F317,'2) Tracker'!$A$2:$BO$981,40,FALSE)</f>
        <v>46184</v>
      </c>
      <c r="AF317" s="601" t="str">
        <f>VLOOKUP(F317,'2) Tracker'!$A$2:$BO$981,67,FALSE)</f>
        <v/>
      </c>
      <c r="AG317" s="601">
        <f>VLOOKUP(F317,'2) Tracker'!$A$2:$BO$981,34,FALSE)</f>
        <v>46157</v>
      </c>
      <c r="AH317" s="601" t="str">
        <f>VLOOKUP(F317,'2) Tracker'!$A$2:$BN$981,66,FALSE)</f>
        <v/>
      </c>
      <c r="AI317" s="601" t="str">
        <f>VLOOKUP(F317,'2) Tracker'!$A$2:$BO$981,56,FALSE)</f>
        <v/>
      </c>
      <c r="AJ317" s="601" t="str">
        <f>VLOOKUP(F317,'2) Tracker'!$A$2:$BO$981,52,FALSE)</f>
        <v/>
      </c>
      <c r="AK317" s="601">
        <f>VLOOKUP(F317,'2) Tracker'!$A$2:$AQ$981,43,FALSE)</f>
        <v>46171</v>
      </c>
      <c r="AL317" s="601">
        <f>VLOOKUP(F317,'2) Tracker'!$A$2:$BH$981,46,FALSE())</f>
        <v>46165</v>
      </c>
      <c r="AM317" s="601">
        <f>VLOOKUP(F317,'2) Tracker'!$A$2:$BO$981,65,FALSE())</f>
        <v>46160</v>
      </c>
      <c r="AN317" s="601">
        <f>VLOOKUP(F317,'2) Tracker'!$A$2:$BK$981,63,FALSE())</f>
        <v>46187</v>
      </c>
      <c r="AO317" s="601" t="str">
        <f>VLOOKUP(F317,'2) Tracker'!$A$2:$BF$981,58,FALSE())</f>
        <v/>
      </c>
      <c r="AP317" s="46"/>
      <c r="AQ317" s="46"/>
      <c r="AR317" s="46"/>
      <c r="AS317" s="46"/>
      <c r="AT317" s="46"/>
      <c r="AU317" s="46"/>
      <c r="AV317" s="46"/>
      <c r="AW317" s="46"/>
      <c r="AX317" s="46"/>
      <c r="AY317" s="46"/>
      <c r="AZ317" s="605"/>
      <c r="BA317" s="604" t="e">
        <f>VLOOKUP(AZ317,#REF!,2, FALSE)</f>
        <v>#REF!</v>
      </c>
      <c r="BB317" s="605" t="e">
        <f>VLOOKUP(AZ317,'1) Kpler'!$E$2:$F$500,2,FALSE)</f>
        <v>#N/A</v>
      </c>
      <c r="BC317" s="604"/>
      <c r="BD317" s="605"/>
      <c r="BE317" s="46"/>
      <c r="BF317" s="46"/>
      <c r="BG317" s="605"/>
      <c r="BH317" s="605"/>
      <c r="BI317" s="605"/>
      <c r="BJ317" s="605"/>
    </row>
    <row r="318" spans="2:62" x14ac:dyDescent="0.25">
      <c r="B318" s="589">
        <f>VLOOKUP(F318,'2) Tracker'!$A$3:$O$411,5,FALSE)</f>
        <v>0</v>
      </c>
      <c r="C318" s="589">
        <f>VLOOKUP(F318,'2) Tracker'!$A$3:$O$411,4,FALSE)</f>
        <v>0</v>
      </c>
      <c r="D318" s="563"/>
      <c r="E318" s="563">
        <f>VLOOKUP(F318,'2) Tracker'!$A$3:$O$407,15,FALSE)</f>
        <v>0</v>
      </c>
      <c r="F318" s="604" t="s">
        <v>212</v>
      </c>
      <c r="G318" s="591">
        <f>VLOOKUP(F318,'2) Tracker'!$A$2:$BO$361,2,FALSE)</f>
        <v>2025</v>
      </c>
      <c r="H318" s="592">
        <f>VLOOKUP(F318,'2) Tracker'!$A$2:$BO$361,3,FALSE)</f>
        <v>86700</v>
      </c>
      <c r="I318" s="594" t="str">
        <f>VLOOKUP(F318,'2) Tracker'!$A$2:$BO$361,9,FALSE)</f>
        <v>Trafigura</v>
      </c>
      <c r="J318" s="594" t="str">
        <f>VLOOKUP(F318,'2) Tracker'!$A$2:$BO$361,12,FALSE)</f>
        <v>ECI</v>
      </c>
      <c r="K318" s="595" t="str">
        <f t="shared" si="305"/>
        <v/>
      </c>
      <c r="L318" s="595">
        <f t="shared" ref="L318:O318" si="470">AE318</f>
        <v>46198</v>
      </c>
      <c r="M318" s="596" t="str">
        <f t="shared" si="470"/>
        <v/>
      </c>
      <c r="N318" s="596">
        <f t="shared" si="470"/>
        <v>46171</v>
      </c>
      <c r="O318" s="597" t="str">
        <f t="shared" si="470"/>
        <v/>
      </c>
      <c r="P318" s="598" t="str">
        <f>IFERROR(IF(VLOOKUP(F318,'Voyage days'!$M$808:$N$819,2,FALSE),"GOA",""),"")</f>
        <v/>
      </c>
      <c r="Q318" s="596">
        <f t="shared" si="287"/>
        <v>46175</v>
      </c>
      <c r="R318" s="595">
        <f t="shared" si="289"/>
        <v>46200</v>
      </c>
      <c r="S318" s="595">
        <f t="shared" si="409"/>
        <v>46190</v>
      </c>
      <c r="T318" s="596">
        <f t="shared" si="410"/>
        <v>46183</v>
      </c>
      <c r="U318" s="595">
        <f t="shared" si="290"/>
        <v>46168</v>
      </c>
      <c r="V318" s="595"/>
      <c r="W318" s="595" t="str">
        <f t="shared" si="291"/>
        <v/>
      </c>
      <c r="X318" s="599" t="str">
        <f t="shared" si="411"/>
        <v/>
      </c>
      <c r="Y318" s="594"/>
      <c r="Z318" s="600" t="str">
        <f>VLOOKUP(F318,'2) Tracker'!$A$3:$Q$505,16,FALSE)</f>
        <v>ETA Ennore 15 May</v>
      </c>
      <c r="AA318" s="600" t="str">
        <f>VLOOKUP(F318,'2) Tracker'!$A$3:$R$505,18,FALSE)</f>
        <v>BWPS 06-07 Apr USG</v>
      </c>
      <c r="AB318" s="600">
        <f>VLOOKUP(F318,'2) Tracker'!$A$3:$Q$505,17,FALSE)</f>
        <v>0</v>
      </c>
      <c r="AC318" s="601"/>
      <c r="AD318" s="601" t="str">
        <f>VLOOKUP(F318,'2) Tracker'!$A$2:$BO$981,37,FALSE)</f>
        <v/>
      </c>
      <c r="AE318" s="601">
        <f>VLOOKUP(F318,'2) Tracker'!$A$2:$BO$981,40,FALSE)</f>
        <v>46198</v>
      </c>
      <c r="AF318" s="601" t="str">
        <f>VLOOKUP(F318,'2) Tracker'!$A$2:$BO$981,67,FALSE)</f>
        <v/>
      </c>
      <c r="AG318" s="601">
        <f>VLOOKUP(F318,'2) Tracker'!$A$2:$BO$981,34,FALSE)</f>
        <v>46171</v>
      </c>
      <c r="AH318" s="601" t="str">
        <f>VLOOKUP(F318,'2) Tracker'!$A$2:$BN$981,66,FALSE)</f>
        <v/>
      </c>
      <c r="AI318" s="601">
        <f>VLOOKUP(F318,'2) Tracker'!$A$2:$BO$981,56,FALSE)</f>
        <v>46168</v>
      </c>
      <c r="AJ318" s="601" t="str">
        <f>VLOOKUP(F318,'2) Tracker'!$A$2:$BO$981,52,FALSE)</f>
        <v/>
      </c>
      <c r="AK318" s="601">
        <f>VLOOKUP(F318,'2) Tracker'!$A$2:$AQ$981,43,FALSE)</f>
        <v>46183</v>
      </c>
      <c r="AL318" s="601">
        <f>VLOOKUP(F318,'2) Tracker'!$A$2:$BH$981,46,FALSE())</f>
        <v>46190</v>
      </c>
      <c r="AM318" s="601">
        <f>VLOOKUP(F318,'2) Tracker'!$A$2:$BO$981,65,FALSE())</f>
        <v>46175</v>
      </c>
      <c r="AN318" s="601">
        <f>VLOOKUP(F318,'2) Tracker'!$A$2:$BK$981,63,FALSE())</f>
        <v>46200</v>
      </c>
      <c r="AO318" s="601" t="str">
        <f>VLOOKUP(F318,'2) Tracker'!$A$2:$BF$981,58,FALSE())</f>
        <v/>
      </c>
      <c r="AP318" s="46"/>
      <c r="AQ318" s="46"/>
      <c r="AR318" s="46"/>
      <c r="AS318" s="46"/>
      <c r="AT318" s="46"/>
      <c r="AU318" s="46"/>
      <c r="AV318" s="46"/>
      <c r="AW318" s="46"/>
      <c r="AX318" s="46"/>
      <c r="AY318" s="46"/>
      <c r="AZ318" s="605"/>
      <c r="BA318" s="604" t="e">
        <f>VLOOKUP(AZ318,#REF!,2, FALSE)</f>
        <v>#REF!</v>
      </c>
      <c r="BB318" s="605" t="e">
        <f>VLOOKUP(AZ318,'1) Kpler'!$E$2:$F$500,2,FALSE)</f>
        <v>#N/A</v>
      </c>
      <c r="BC318" s="604"/>
      <c r="BD318" s="605"/>
      <c r="BE318" s="46"/>
      <c r="BF318" s="46"/>
      <c r="BG318" s="605"/>
      <c r="BH318" s="605"/>
      <c r="BI318" s="605"/>
      <c r="BJ318" s="605"/>
    </row>
    <row r="319" spans="2:62" x14ac:dyDescent="0.25">
      <c r="B319" s="589">
        <f>VLOOKUP(F319,'2) Tracker'!$A$3:$O$411,5,FALSE)</f>
        <v>0</v>
      </c>
      <c r="C319" s="589">
        <f>VLOOKUP(F319,'2) Tracker'!$A$3:$O$411,4,FALSE)</f>
        <v>0</v>
      </c>
      <c r="D319" s="563"/>
      <c r="E319" s="563">
        <f>VLOOKUP(F319,'2) Tracker'!$A$3:$O$407,15,FALSE)</f>
        <v>0</v>
      </c>
      <c r="F319" s="604" t="s">
        <v>436</v>
      </c>
      <c r="G319" s="607">
        <f>VLOOKUP(F319,'2) Tracker'!$A$2:$BO$361,2,FALSE)</f>
        <v>42644</v>
      </c>
      <c r="H319" s="592">
        <f>VLOOKUP(F319,'2) Tracker'!$A$2:$BO$361,3,FALSE)</f>
        <v>84000</v>
      </c>
      <c r="I319" s="600" t="str">
        <f>VLOOKUP(F319,'2) Tracker'!$A$2:$BO$361,9,FALSE)</f>
        <v>OE</v>
      </c>
      <c r="J319" s="594" t="str">
        <f>VLOOKUP(F319,'2) Tracker'!$A$2:$BO$361,12,FALSE)</f>
        <v>ECI</v>
      </c>
      <c r="K319" s="595" t="str">
        <f t="shared" si="305"/>
        <v/>
      </c>
      <c r="L319" s="595">
        <f t="shared" ref="L319:O319" si="471">AE319</f>
        <v>46208</v>
      </c>
      <c r="M319" s="596" t="str">
        <f t="shared" si="471"/>
        <v/>
      </c>
      <c r="N319" s="596">
        <f t="shared" si="471"/>
        <v>46181</v>
      </c>
      <c r="O319" s="597" t="str">
        <f t="shared" si="471"/>
        <v/>
      </c>
      <c r="P319" s="598" t="str">
        <f>IFERROR(IF(VLOOKUP(F319,'Voyage days'!$M$808:$N$821,2,FALSE),"GOA",""),"")</f>
        <v/>
      </c>
      <c r="Q319" s="596">
        <f t="shared" si="287"/>
        <v>46185</v>
      </c>
      <c r="R319" s="595">
        <f t="shared" si="289"/>
        <v>46210</v>
      </c>
      <c r="S319" s="595">
        <f t="shared" si="409"/>
        <v>46200</v>
      </c>
      <c r="T319" s="596">
        <f t="shared" si="410"/>
        <v>46193</v>
      </c>
      <c r="U319" s="595">
        <f t="shared" si="290"/>
        <v>46178</v>
      </c>
      <c r="V319" s="596"/>
      <c r="W319" s="596" t="str">
        <f t="shared" si="291"/>
        <v/>
      </c>
      <c r="X319" s="599" t="str">
        <f t="shared" si="411"/>
        <v/>
      </c>
      <c r="Y319" s="594" t="s">
        <v>1635</v>
      </c>
      <c r="Z319" s="665" t="str">
        <f>VLOOKUP(F319,'2) Tracker'!$A$3:$Q$505,16,FALSE)</f>
        <v>ETA Galle 22 May</v>
      </c>
      <c r="AA319" s="600" t="str">
        <f>VLOOKUP(F319,'2) Tracker'!$A$3:$R$505,18,FALSE)</f>
        <v>BGN 09-10 Apr Nederland</v>
      </c>
      <c r="AB319" s="600">
        <f>VLOOKUP(F319,'2) Tracker'!$A$3:$Q$505,17,FALSE)</f>
        <v>0</v>
      </c>
      <c r="AC319" s="601"/>
      <c r="AD319" s="601" t="str">
        <f>VLOOKUP(F319,'2) Tracker'!$A$2:$BO$981,37,FALSE)</f>
        <v/>
      </c>
      <c r="AE319" s="601">
        <f>VLOOKUP(F319,'2) Tracker'!$A$2:$BO$981,40,FALSE)</f>
        <v>46208</v>
      </c>
      <c r="AF319" s="601" t="str">
        <f>VLOOKUP(F319,'2) Tracker'!$A$2:$BO$981,67,FALSE)</f>
        <v/>
      </c>
      <c r="AG319" s="601">
        <f>VLOOKUP(F319,'2) Tracker'!$A$2:$BO$981,34,FALSE)</f>
        <v>46181</v>
      </c>
      <c r="AH319" s="601" t="str">
        <f>VLOOKUP(F319,'2) Tracker'!$A$2:$BN$981,66,FALSE)</f>
        <v/>
      </c>
      <c r="AI319" s="601">
        <f>VLOOKUP(F319,'2) Tracker'!$A$2:$BO$981,56,FALSE)</f>
        <v>46178</v>
      </c>
      <c r="AJ319" s="601" t="str">
        <f>VLOOKUP(F319,'2) Tracker'!$A$2:$BO$981,52,FALSE)</f>
        <v/>
      </c>
      <c r="AK319" s="601">
        <f>VLOOKUP(F319,'2) Tracker'!$A$2:$AQ$981,43,FALSE)</f>
        <v>46193</v>
      </c>
      <c r="AL319" s="601">
        <f>VLOOKUP(F319,'2) Tracker'!$A$2:$BH$981,46,FALSE())</f>
        <v>46200</v>
      </c>
      <c r="AM319" s="601">
        <f>VLOOKUP(F319,'2) Tracker'!$A$2:$BO$981,65,FALSE())</f>
        <v>46185</v>
      </c>
      <c r="AN319" s="601">
        <f>VLOOKUP(F319,'2) Tracker'!$A$2:$BK$981,63,FALSE())</f>
        <v>46210</v>
      </c>
      <c r="AO319" s="601" t="str">
        <f>VLOOKUP(F319,'2) Tracker'!$A$2:$BF$981,58,FALSE())</f>
        <v/>
      </c>
      <c r="AP319" s="46"/>
      <c r="AQ319" s="46"/>
      <c r="AR319" s="46"/>
      <c r="AS319" s="46"/>
      <c r="AT319" s="46"/>
      <c r="AU319" s="46"/>
      <c r="AV319" s="46"/>
      <c r="AW319" s="46"/>
      <c r="AX319" s="46"/>
      <c r="AY319" s="46"/>
      <c r="AZ319" s="605"/>
      <c r="BA319" s="604" t="e">
        <f>VLOOKUP(AZ319,#REF!,2, FALSE)</f>
        <v>#REF!</v>
      </c>
      <c r="BB319" s="605" t="e">
        <f>VLOOKUP(AZ319,'1) Kpler'!$E$2:$F$500,2,FALSE)</f>
        <v>#N/A</v>
      </c>
      <c r="BC319" s="604"/>
      <c r="BD319" s="605"/>
      <c r="BE319" s="46"/>
      <c r="BF319" s="46"/>
      <c r="BG319" s="605"/>
      <c r="BH319" s="605"/>
      <c r="BI319" s="605"/>
      <c r="BJ319" s="605"/>
    </row>
    <row r="320" spans="2:62" x14ac:dyDescent="0.25">
      <c r="B320" s="589">
        <f>VLOOKUP(F320,'2) Tracker'!$A$3:$O$411,5,FALSE)</f>
        <v>0</v>
      </c>
      <c r="C320" s="638"/>
      <c r="D320" s="563"/>
      <c r="E320" s="563">
        <f>VLOOKUP(F320,'2) Tracker'!$A$3:$O$407,15,FALSE)</f>
        <v>0</v>
      </c>
      <c r="F320" s="608" t="s">
        <v>180</v>
      </c>
      <c r="G320" s="607">
        <f>VLOOKUP(F320,'2) Tracker'!$A$2:$BO$361,2,FALSE)</f>
        <v>41635</v>
      </c>
      <c r="H320" s="592">
        <f>VLOOKUP(F320,'2) Tracker'!$A$2:$BO$361,3,FALSE)</f>
        <v>84000</v>
      </c>
      <c r="I320" s="593" t="str">
        <f>VLOOKUP(F320,'2) Tracker'!$A$2:$BO$361,9,FALSE)</f>
        <v>Equinor</v>
      </c>
      <c r="J320" s="594" t="str">
        <f>VLOOKUP(F320,'2) Tracker'!$A$2:$BO$361,12,FALSE)</f>
        <v>Ocoa</v>
      </c>
      <c r="K320" s="596" t="str">
        <f t="shared" si="305"/>
        <v/>
      </c>
      <c r="L320" s="596" t="str">
        <f t="shared" ref="L320:O320" si="472">AE320</f>
        <v/>
      </c>
      <c r="M320" s="596" t="str">
        <f t="shared" si="472"/>
        <v/>
      </c>
      <c r="N320" s="596" t="str">
        <f t="shared" si="472"/>
        <v/>
      </c>
      <c r="O320" s="597" t="str">
        <f t="shared" si="472"/>
        <v/>
      </c>
      <c r="P320" s="598" t="str">
        <f>IFERROR(IF(VLOOKUP(F320,'Voyage days'!$M$808:$N$819,2,FALSE),"GOA",""),"")</f>
        <v/>
      </c>
      <c r="Q320" s="596">
        <f t="shared" si="287"/>
        <v>46138</v>
      </c>
      <c r="R320" s="596">
        <f t="shared" si="289"/>
        <v>46154</v>
      </c>
      <c r="S320" s="595" t="str">
        <f t="shared" si="409"/>
        <v/>
      </c>
      <c r="T320" s="596" t="str">
        <f t="shared" si="410"/>
        <v/>
      </c>
      <c r="U320" s="596" t="str">
        <f t="shared" si="290"/>
        <v/>
      </c>
      <c r="V320" s="596"/>
      <c r="W320" s="596" t="str">
        <f t="shared" si="291"/>
        <v/>
      </c>
      <c r="X320" s="599" t="str">
        <f t="shared" si="411"/>
        <v/>
      </c>
      <c r="Y320" s="594"/>
      <c r="Z320" s="600" t="str">
        <f>VLOOKUP(F320,'2) Tracker'!$A$3:$Q$505,16,FALSE)</f>
        <v>ETA Ocoa 25 Apr</v>
      </c>
      <c r="AA320" s="600" t="str">
        <f>VLOOKUP(F320,'2) Tracker'!$A$3:$R$505,18,FALSE)</f>
        <v>Equinor 23-24 Dec Enterprise</v>
      </c>
      <c r="AB320" s="600">
        <f>VLOOKUP(F320,'2) Tracker'!$A$3:$Q$505,17,FALSE)</f>
        <v>0</v>
      </c>
      <c r="AC320" s="601"/>
      <c r="AD320" s="601" t="str">
        <f>VLOOKUP(F320,'2) Tracker'!$A$2:$BO$981,37,FALSE)</f>
        <v/>
      </c>
      <c r="AE320" s="601" t="str">
        <f>VLOOKUP(F320,'2) Tracker'!$A$2:$BO$981,40,FALSE)</f>
        <v/>
      </c>
      <c r="AF320" s="601" t="str">
        <f>VLOOKUP(F320,'2) Tracker'!$A$2:$BO$981,67,FALSE)</f>
        <v/>
      </c>
      <c r="AG320" s="601" t="str">
        <f>VLOOKUP(F320,'2) Tracker'!$A$2:$BO$981,34,FALSE)</f>
        <v/>
      </c>
      <c r="AH320" s="601" t="str">
        <f>VLOOKUP(F320,'2) Tracker'!$A$2:$BN$981,66,FALSE)</f>
        <v/>
      </c>
      <c r="AI320" s="601" t="str">
        <f>VLOOKUP(F320,'2) Tracker'!$A$2:$BO$981,56,FALSE)</f>
        <v/>
      </c>
      <c r="AJ320" s="601" t="str">
        <f>VLOOKUP(F320,'2) Tracker'!$A$2:$BO$981,52,FALSE)</f>
        <v/>
      </c>
      <c r="AK320" s="601" t="str">
        <f>VLOOKUP(F320,'2) Tracker'!$A$2:$AQ$981,43,FALSE)</f>
        <v/>
      </c>
      <c r="AL320" s="601" t="str">
        <f>VLOOKUP(F320,'2) Tracker'!$A$2:$BH$981,46,FALSE())</f>
        <v/>
      </c>
      <c r="AM320" s="601">
        <f>VLOOKUP(F320,'2) Tracker'!$A$2:$BO$981,65,FALSE())</f>
        <v>46138</v>
      </c>
      <c r="AN320" s="601">
        <f>VLOOKUP(F320,'2) Tracker'!$A$2:$BK$981,63,FALSE())</f>
        <v>46154</v>
      </c>
      <c r="AO320" s="601" t="str">
        <f>VLOOKUP(F320,'2) Tracker'!$A$2:$BF$981,58,FALSE())</f>
        <v/>
      </c>
      <c r="AP320" s="46"/>
      <c r="AQ320" s="46"/>
      <c r="AR320" s="46"/>
      <c r="AS320" s="46"/>
      <c r="AT320" s="46"/>
      <c r="AU320" s="46"/>
      <c r="AV320" s="46"/>
      <c r="AW320" s="46"/>
      <c r="AX320" s="46"/>
      <c r="AY320" s="46"/>
      <c r="AZ320" s="605"/>
      <c r="BA320" s="604" t="e">
        <f>VLOOKUP(AZ320,#REF!,2, FALSE)</f>
        <v>#REF!</v>
      </c>
      <c r="BB320" s="605" t="e">
        <f>VLOOKUP(AZ320,'1) Kpler'!$E$2:$F$500,2,FALSE)</f>
        <v>#N/A</v>
      </c>
      <c r="BC320" s="604"/>
      <c r="BD320" s="605"/>
      <c r="BE320" s="46"/>
      <c r="BF320" s="46"/>
      <c r="BG320" s="605"/>
      <c r="BH320" s="605"/>
      <c r="BI320" s="605"/>
      <c r="BJ320" s="605"/>
    </row>
    <row r="321" spans="2:62" x14ac:dyDescent="0.25">
      <c r="B321" s="589">
        <f>VLOOKUP(F321,'2) Tracker'!$A$3:$O$411,5,FALSE)</f>
        <v>0</v>
      </c>
      <c r="C321" s="589">
        <f>VLOOKUP(F321,'2) Tracker'!$A$3:$O$411,4,FALSE)</f>
        <v>0</v>
      </c>
      <c r="D321" s="563"/>
      <c r="E321" s="563">
        <f>VLOOKUP(F321,'2) Tracker'!$A$3:$O$407,15,FALSE)</f>
        <v>0</v>
      </c>
      <c r="F321" s="604" t="s">
        <v>272</v>
      </c>
      <c r="G321" s="591">
        <f>VLOOKUP(F321,'2) Tracker'!$A$2:$BO$361,2,FALSE)</f>
        <v>2019</v>
      </c>
      <c r="H321" s="592">
        <f>VLOOKUP(F321,'2) Tracker'!$A$2:$BO$361,3,FALSE)</f>
        <v>84000</v>
      </c>
      <c r="I321" s="594" t="str">
        <f>VLOOKUP(F321,'2) Tracker'!$A$2:$BO$361,9,FALSE)</f>
        <v>Neptune</v>
      </c>
      <c r="J321" s="594" t="str">
        <f>VLOOKUP(F321,'2) Tracker'!$A$2:$BO$361,12,FALSE)</f>
        <v>loads AG</v>
      </c>
      <c r="K321" s="595" t="str">
        <f t="shared" si="305"/>
        <v/>
      </c>
      <c r="L321" s="595" t="str">
        <f t="shared" ref="L321:O321" si="473">AE321</f>
        <v/>
      </c>
      <c r="M321" s="596" t="str">
        <f t="shared" si="473"/>
        <v/>
      </c>
      <c r="N321" s="596">
        <f t="shared" si="473"/>
        <v>46136</v>
      </c>
      <c r="O321" s="597">
        <f t="shared" si="473"/>
        <v>46161</v>
      </c>
      <c r="P321" s="598" t="str">
        <f>IFERROR(IF(VLOOKUP(F321,'Voyage days'!$M$808:$N$819,2,FALSE),"GOA",""),"")</f>
        <v>GOA</v>
      </c>
      <c r="Q321" s="597">
        <f t="shared" si="287"/>
        <v>46140</v>
      </c>
      <c r="R321" s="595">
        <f t="shared" si="289"/>
        <v>46136</v>
      </c>
      <c r="S321" s="595" t="str">
        <f t="shared" si="409"/>
        <v/>
      </c>
      <c r="T321" s="596" t="str">
        <f t="shared" si="410"/>
        <v/>
      </c>
      <c r="U321" s="595" t="str">
        <f t="shared" si="290"/>
        <v/>
      </c>
      <c r="V321" s="596"/>
      <c r="W321" s="596">
        <f t="shared" si="291"/>
        <v>46155</v>
      </c>
      <c r="X321" s="599" t="str">
        <f t="shared" si="411"/>
        <v/>
      </c>
      <c r="Y321" s="606"/>
      <c r="Z321" s="600" t="str">
        <f>VLOOKUP(F321,'2) Tracker'!$A$3:$Q$505,16,FALSE)</f>
        <v>ETA Yanbu 24 Apr</v>
      </c>
      <c r="AA321" s="600" t="str">
        <f>VLOOKUP(F321,'2) Tracker'!$A$3:$R$505,18,FALSE)</f>
        <v>ATC 01-02 Mar Yanbu</v>
      </c>
      <c r="AB321" s="600">
        <f>VLOOKUP(F321,'2) Tracker'!$A$3:$Q$505,17,FALSE)</f>
        <v>0</v>
      </c>
      <c r="AC321" s="601"/>
      <c r="AD321" s="601" t="str">
        <f>VLOOKUP(F321,'2) Tracker'!$A$2:$BO$981,37,FALSE)</f>
        <v/>
      </c>
      <c r="AE321" s="601" t="str">
        <f>VLOOKUP(F321,'2) Tracker'!$A$2:$BO$981,40,FALSE)</f>
        <v/>
      </c>
      <c r="AF321" s="601" t="str">
        <f>VLOOKUP(F321,'2) Tracker'!$A$2:$BO$981,67,FALSE)</f>
        <v/>
      </c>
      <c r="AG321" s="601">
        <f>VLOOKUP(F321,'2) Tracker'!$A$2:$BO$981,34,FALSE)</f>
        <v>46136</v>
      </c>
      <c r="AH321" s="601">
        <f>VLOOKUP(F321,'2) Tracker'!$A$2:$BN$981,66,FALSE)</f>
        <v>46161</v>
      </c>
      <c r="AI321" s="601" t="str">
        <f>VLOOKUP(F321,'2) Tracker'!$A$2:$BO$981,56,FALSE)</f>
        <v/>
      </c>
      <c r="AJ321" s="601">
        <f>VLOOKUP(F321,'2) Tracker'!$A$2:$BO$981,52,FALSE)</f>
        <v>46155</v>
      </c>
      <c r="AK321" s="601" t="str">
        <f>VLOOKUP(F321,'2) Tracker'!$A$2:$AQ$981,43,FALSE)</f>
        <v/>
      </c>
      <c r="AL321" s="601" t="str">
        <f>VLOOKUP(F321,'2) Tracker'!$A$2:$BH$981,46,FALSE())</f>
        <v/>
      </c>
      <c r="AM321" s="601">
        <f>VLOOKUP(F321,'2) Tracker'!$A$2:$BO$981,65,FALSE())</f>
        <v>46140</v>
      </c>
      <c r="AN321" s="601">
        <f>VLOOKUP(F321,'2) Tracker'!$A$2:$BK$981,63,FALSE())</f>
        <v>46136</v>
      </c>
      <c r="AO321" s="601" t="str">
        <f>VLOOKUP(F321,'2) Tracker'!$A$2:$BF$981,58,FALSE())</f>
        <v/>
      </c>
      <c r="AP321" s="46"/>
      <c r="AQ321" s="46"/>
      <c r="AR321" s="46"/>
      <c r="AS321" s="46"/>
      <c r="AT321" s="46"/>
      <c r="AU321" s="46"/>
      <c r="AV321" s="46"/>
      <c r="AW321" s="46"/>
      <c r="AX321" s="46"/>
      <c r="AY321" s="46"/>
      <c r="AZ321" s="563"/>
      <c r="BA321" s="604" t="e">
        <f>VLOOKUP(AZ321,#REF!,2, FALSE)</f>
        <v>#REF!</v>
      </c>
      <c r="BB321" s="605" t="e">
        <f>VLOOKUP(AZ321,'1) Kpler'!$E$2:$F$500,2,FALSE)</f>
        <v>#N/A</v>
      </c>
      <c r="BC321" s="569"/>
      <c r="BD321" s="563"/>
      <c r="BE321" s="46"/>
      <c r="BF321" s="46"/>
      <c r="BG321" s="563"/>
      <c r="BH321" s="563"/>
      <c r="BI321" s="563"/>
      <c r="BJ321" s="563"/>
    </row>
    <row r="322" spans="2:62" x14ac:dyDescent="0.25">
      <c r="B322" s="589">
        <f>VLOOKUP(F322,'2) Tracker'!$A$3:$O$411,5,FALSE)</f>
        <v>0</v>
      </c>
      <c r="C322" s="589" t="str">
        <f>VLOOKUP(F322,'2) Tracker'!$A$3:$O$411,4,FALSE)</f>
        <v>US</v>
      </c>
      <c r="D322" s="563"/>
      <c r="E322" s="563">
        <f>VLOOKUP(F322,'2) Tracker'!$A$3:$O$407,15,FALSE)</f>
        <v>0</v>
      </c>
      <c r="F322" s="608" t="s">
        <v>377</v>
      </c>
      <c r="G322" s="607">
        <f>VLOOKUP(F322,'2) Tracker'!$A$2:$BO$361,2,FALSE)</f>
        <v>42291</v>
      </c>
      <c r="H322" s="592">
        <f>VLOOKUP(F322,'2) Tracker'!$A$2:$BO$361,3,FALSE)</f>
        <v>84000</v>
      </c>
      <c r="I322" s="593" t="str">
        <f>VLOOKUP(F322,'2) Tracker'!$A$2:$BO$361,9,FALSE)</f>
        <v>Chevron</v>
      </c>
      <c r="J322" s="594" t="str">
        <f>VLOOKUP(F322,'2) Tracker'!$A$2:$BO$361,12,FALSE)</f>
        <v>loads WAF</v>
      </c>
      <c r="K322" s="595" t="str">
        <f t="shared" si="305"/>
        <v/>
      </c>
      <c r="L322" s="595" t="str">
        <f t="shared" ref="L322:O322" si="474">AE322</f>
        <v/>
      </c>
      <c r="M322" s="596" t="str">
        <f t="shared" si="474"/>
        <v/>
      </c>
      <c r="N322" s="596" t="str">
        <f t="shared" si="474"/>
        <v/>
      </c>
      <c r="O322" s="597" t="str">
        <f t="shared" si="474"/>
        <v/>
      </c>
      <c r="P322" s="598" t="str">
        <f>IFERROR(IF(VLOOKUP(F322,'Voyage days'!$M$808:$N$821,2,FALSE),"GOA",""),"")</f>
        <v/>
      </c>
      <c r="Q322" s="596" t="str">
        <f t="shared" si="287"/>
        <v/>
      </c>
      <c r="R322" s="595" t="str">
        <f t="shared" si="289"/>
        <v/>
      </c>
      <c r="S322" s="595" t="str">
        <f t="shared" si="409"/>
        <v/>
      </c>
      <c r="T322" s="596">
        <f t="shared" si="410"/>
        <v>46153</v>
      </c>
      <c r="U322" s="595" t="str">
        <f t="shared" si="290"/>
        <v/>
      </c>
      <c r="V322" s="570" t="s">
        <v>1577</v>
      </c>
      <c r="W322" s="596" t="str">
        <f t="shared" si="291"/>
        <v/>
      </c>
      <c r="X322" s="599" t="str">
        <f t="shared" si="411"/>
        <v/>
      </c>
      <c r="Y322" s="594"/>
      <c r="Z322" s="600" t="str">
        <f>VLOOKUP(F322,'2) Tracker'!$A$3:$Q$505,16,FALSE)</f>
        <v>Ex SG 17 Apr, ETA WAF 11 May</v>
      </c>
      <c r="AA322" s="600" t="str">
        <f>VLOOKUP(F322,'2) Tracker'!$A$3:$R$505,18,FALSE)</f>
        <v>Chevron 22-23 Feb Escravos</v>
      </c>
      <c r="AB322" s="600">
        <f>VLOOKUP(F322,'2) Tracker'!$A$3:$Q$505,17,FALSE)</f>
        <v>0</v>
      </c>
      <c r="AC322" s="601"/>
      <c r="AD322" s="601" t="str">
        <f>VLOOKUP(F322,'2) Tracker'!$A$2:$BO$981,37,FALSE)</f>
        <v/>
      </c>
      <c r="AE322" s="601" t="str">
        <f>VLOOKUP(F322,'2) Tracker'!$A$2:$BO$981,40,FALSE)</f>
        <v/>
      </c>
      <c r="AF322" s="601" t="str">
        <f>VLOOKUP(F322,'2) Tracker'!$A$2:$BO$981,67,FALSE)</f>
        <v/>
      </c>
      <c r="AG322" s="601" t="str">
        <f>VLOOKUP(F322,'2) Tracker'!$A$2:$BO$981,34,FALSE)</f>
        <v/>
      </c>
      <c r="AH322" s="601" t="str">
        <f>VLOOKUP(F322,'2) Tracker'!$A$2:$BN$981,66,FALSE)</f>
        <v/>
      </c>
      <c r="AI322" s="601" t="str">
        <f>VLOOKUP(F322,'2) Tracker'!$A$2:$BO$981,56,FALSE)</f>
        <v/>
      </c>
      <c r="AJ322" s="601" t="str">
        <f>VLOOKUP(F322,'2) Tracker'!$A$2:$BO$981,52,FALSE)</f>
        <v/>
      </c>
      <c r="AK322" s="601">
        <f>VLOOKUP(F322,'2) Tracker'!$A$2:$AQ$981,43,FALSE)</f>
        <v>46153</v>
      </c>
      <c r="AL322" s="601" t="str">
        <f>VLOOKUP(F322,'2) Tracker'!$A$2:$BH$981,46,FALSE())</f>
        <v/>
      </c>
      <c r="AM322" s="601" t="str">
        <f>VLOOKUP(F322,'2) Tracker'!$A$2:$BO$981,65,FALSE())</f>
        <v/>
      </c>
      <c r="AN322" s="601" t="str">
        <f>VLOOKUP(F322,'2) Tracker'!$A$2:$BK$981,63,FALSE())</f>
        <v/>
      </c>
      <c r="AO322" s="601" t="str">
        <f>VLOOKUP(F322,'2) Tracker'!$A$2:$BF$981,58,FALSE())</f>
        <v/>
      </c>
      <c r="AP322" s="46"/>
      <c r="AQ322" s="46"/>
      <c r="AR322" s="46"/>
      <c r="AS322" s="46"/>
      <c r="AT322" s="46"/>
      <c r="AU322" s="46"/>
      <c r="AV322" s="46"/>
      <c r="AW322" s="46"/>
      <c r="AX322" s="46"/>
      <c r="AY322" s="46"/>
      <c r="AZ322" s="563"/>
      <c r="BA322" s="604" t="e">
        <f>VLOOKUP(AZ322,#REF!,2, FALSE)</f>
        <v>#REF!</v>
      </c>
      <c r="BB322" s="605" t="e">
        <f>VLOOKUP(AZ322,'1) Kpler'!$E$2:$F$500,2,FALSE)</f>
        <v>#N/A</v>
      </c>
      <c r="BC322" s="569"/>
      <c r="BD322" s="563"/>
      <c r="BE322" s="46"/>
      <c r="BF322" s="46"/>
      <c r="BG322" s="563"/>
      <c r="BH322" s="563"/>
      <c r="BI322" s="563"/>
      <c r="BJ322" s="563"/>
    </row>
    <row r="323" spans="2:62" x14ac:dyDescent="0.25">
      <c r="B323" s="589">
        <f>VLOOKUP(F323,'2) Tracker'!$A$3:$O$411,5,FALSE)</f>
        <v>0</v>
      </c>
      <c r="C323" s="589">
        <f>VLOOKUP(F323,'2) Tracker'!$A$3:$O$411,4,FALSE)</f>
        <v>0</v>
      </c>
      <c r="D323" s="563"/>
      <c r="E323" s="563">
        <f>VLOOKUP(F323,'2) Tracker'!$A$3:$O$407,15,FALSE)</f>
        <v>0</v>
      </c>
      <c r="F323" s="604" t="s">
        <v>610</v>
      </c>
      <c r="G323" s="615">
        <f>VLOOKUP(F323,'2) Tracker'!$A$2:$BO$361,2,FALSE)</f>
        <v>2013</v>
      </c>
      <c r="H323" s="592">
        <f>VLOOKUP(F323,'2) Tracker'!$A$2:$BO$361,3,FALSE)</f>
        <v>82000</v>
      </c>
      <c r="I323" s="594" t="str">
        <f>VLOOKUP(F323,'2) Tracker'!$A$2:$BO$361,9,FALSE)</f>
        <v>BB Energy</v>
      </c>
      <c r="J323" s="594" t="str">
        <f>VLOOKUP(F323,'2) Tracker'!$A$2:$BO$361,12,FALSE)</f>
        <v>loads WAF</v>
      </c>
      <c r="K323" s="596" t="str">
        <f t="shared" si="305"/>
        <v/>
      </c>
      <c r="L323" s="596" t="str">
        <f t="shared" ref="L323:O323" si="475">AE323</f>
        <v/>
      </c>
      <c r="M323" s="596" t="str">
        <f t="shared" si="475"/>
        <v/>
      </c>
      <c r="N323" s="596" t="str">
        <f t="shared" si="475"/>
        <v/>
      </c>
      <c r="O323" s="597" t="str">
        <f t="shared" si="475"/>
        <v/>
      </c>
      <c r="P323" s="598" t="str">
        <f>IFERROR(IF(VLOOKUP(F323,'Voyage days'!$M$808:$N$819,2,FALSE),"GOA",""),"")</f>
        <v/>
      </c>
      <c r="Q323" s="596" t="str">
        <f t="shared" si="287"/>
        <v/>
      </c>
      <c r="R323" s="596" t="str">
        <f t="shared" si="289"/>
        <v/>
      </c>
      <c r="S323" s="595" t="str">
        <f t="shared" si="409"/>
        <v/>
      </c>
      <c r="T323" s="596">
        <f t="shared" si="410"/>
        <v>46134</v>
      </c>
      <c r="U323" s="596" t="str">
        <f t="shared" si="290"/>
        <v/>
      </c>
      <c r="V323" s="616"/>
      <c r="W323" s="616" t="str">
        <f t="shared" si="291"/>
        <v/>
      </c>
      <c r="X323" s="599" t="str">
        <f t="shared" si="411"/>
        <v/>
      </c>
      <c r="Y323" s="666"/>
      <c r="Z323" s="600" t="str">
        <f>VLOOKUP(F323,'2) Tracker'!$A$3:$Q$505,16,FALSE)</f>
        <v>ETA Soyo 22 Apr, ex Singapore 31 Mar</v>
      </c>
      <c r="AA323" s="600" t="str">
        <f>VLOOKUP(F323,'2) Tracker'!$A$3:$R$505,18,FALSE)</f>
        <v>Total 21-25 Apr Soyo</v>
      </c>
      <c r="AB323" s="600">
        <f>VLOOKUP(F323,'2) Tracker'!$A$3:$Q$505,17,FALSE)</f>
        <v>0</v>
      </c>
      <c r="AC323" s="601"/>
      <c r="AD323" s="601" t="str">
        <f>VLOOKUP(F323,'2) Tracker'!$A$2:$BO$981,37,FALSE)</f>
        <v/>
      </c>
      <c r="AE323" s="601" t="str">
        <f>VLOOKUP(F323,'2) Tracker'!$A$2:$BO$981,40,FALSE)</f>
        <v/>
      </c>
      <c r="AF323" s="601" t="str">
        <f>VLOOKUP(F323,'2) Tracker'!$A$2:$BO$981,67,FALSE)</f>
        <v/>
      </c>
      <c r="AG323" s="601" t="str">
        <f>VLOOKUP(F323,'2) Tracker'!$A$2:$BO$981,34,FALSE)</f>
        <v/>
      </c>
      <c r="AH323" s="601" t="str">
        <f>VLOOKUP(F323,'2) Tracker'!$A$2:$BN$981,66,FALSE)</f>
        <v/>
      </c>
      <c r="AI323" s="601" t="str">
        <f>VLOOKUP(F323,'2) Tracker'!$A$2:$BO$981,56,FALSE)</f>
        <v/>
      </c>
      <c r="AJ323" s="601" t="str">
        <f>VLOOKUP(F323,'2) Tracker'!$A$2:$BO$981,52,FALSE)</f>
        <v/>
      </c>
      <c r="AK323" s="601">
        <f>VLOOKUP(F323,'2) Tracker'!$A$2:$AQ$981,43,FALSE)</f>
        <v>46134</v>
      </c>
      <c r="AL323" s="601" t="str">
        <f>VLOOKUP(F323,'2) Tracker'!$A$2:$BH$981,46,FALSE())</f>
        <v/>
      </c>
      <c r="AM323" s="601" t="str">
        <f>VLOOKUP(F323,'2) Tracker'!$A$2:$BO$981,65,FALSE())</f>
        <v/>
      </c>
      <c r="AN323" s="601" t="str">
        <f>VLOOKUP(F323,'2) Tracker'!$A$2:$BK$981,63,FALSE())</f>
        <v/>
      </c>
      <c r="AO323" s="601" t="str">
        <f>VLOOKUP(F323,'2) Tracker'!$A$2:$BF$981,58,FALSE())</f>
        <v/>
      </c>
      <c r="AP323" s="46"/>
      <c r="AQ323" s="46"/>
      <c r="AR323" s="46"/>
      <c r="AS323" s="46"/>
      <c r="AT323" s="46"/>
      <c r="AU323" s="46"/>
      <c r="AV323" s="46"/>
      <c r="AW323" s="46"/>
      <c r="AX323" s="46"/>
      <c r="AY323" s="46"/>
      <c r="AZ323" s="563"/>
      <c r="BA323" s="569"/>
      <c r="BB323" s="563"/>
      <c r="BC323" s="569"/>
      <c r="BD323" s="563"/>
      <c r="BE323" s="46"/>
      <c r="BF323" s="46"/>
      <c r="BG323" s="563"/>
      <c r="BH323" s="563"/>
      <c r="BI323" s="563"/>
      <c r="BJ323" s="563"/>
    </row>
    <row r="324" spans="2:62" x14ac:dyDescent="0.25">
      <c r="B324" s="589">
        <f>VLOOKUP(F324,'2) Tracker'!$A$3:$O$411,5,FALSE)</f>
        <v>0</v>
      </c>
      <c r="C324" s="589">
        <f>VLOOKUP(F324,'2) Tracker'!$A$3:$O$411,4,FALSE)</f>
        <v>0</v>
      </c>
      <c r="D324" s="563"/>
      <c r="E324" s="563">
        <f>VLOOKUP(F324,'2) Tracker'!$A$3:$O$407,15,FALSE)</f>
        <v>0</v>
      </c>
      <c r="F324" s="608" t="s">
        <v>532</v>
      </c>
      <c r="G324" s="591">
        <f>VLOOKUP(F324,'2) Tracker'!$A$2:$BO$361,2,FALSE)</f>
        <v>2022</v>
      </c>
      <c r="H324" s="592">
        <f>VLOOKUP(F324,'2) Tracker'!$A$2:$BO$361,3,FALSE)</f>
        <v>90000</v>
      </c>
      <c r="I324" s="593" t="str">
        <f>VLOOKUP(F324,'2) Tracker'!$A$2:$BO$361,9,FALSE)</f>
        <v>Sonangol</v>
      </c>
      <c r="J324" s="594" t="str">
        <f>VLOOKUP(F324,'2) Tracker'!$A$2:$BO$361,12,FALSE)</f>
        <v>WAF</v>
      </c>
      <c r="K324" s="596" t="str">
        <f t="shared" si="305"/>
        <v/>
      </c>
      <c r="L324" s="595" t="str">
        <f t="shared" ref="L324:O324" si="476">AE324</f>
        <v/>
      </c>
      <c r="M324" s="596" t="str">
        <f t="shared" si="476"/>
        <v/>
      </c>
      <c r="N324" s="596">
        <f t="shared" si="476"/>
        <v>46165</v>
      </c>
      <c r="O324" s="597" t="str">
        <f t="shared" si="476"/>
        <v/>
      </c>
      <c r="P324" s="598" t="str">
        <f>IFERROR(IF(VLOOKUP(F324,'Voyage days'!$M$808:$N$819,2,FALSE),"GOA",""),"")</f>
        <v/>
      </c>
      <c r="Q324" s="596" t="str">
        <f t="shared" si="287"/>
        <v/>
      </c>
      <c r="R324" s="596" t="str">
        <f t="shared" si="289"/>
        <v/>
      </c>
      <c r="S324" s="595">
        <f t="shared" si="409"/>
        <v>46151</v>
      </c>
      <c r="T324" s="596">
        <f t="shared" si="410"/>
        <v>46141</v>
      </c>
      <c r="U324" s="596" t="str">
        <f t="shared" si="290"/>
        <v/>
      </c>
      <c r="V324" s="596"/>
      <c r="W324" s="596" t="str">
        <f t="shared" si="291"/>
        <v/>
      </c>
      <c r="X324" s="599" t="str">
        <f t="shared" si="411"/>
        <v/>
      </c>
      <c r="Y324" s="606" t="s">
        <v>1659</v>
      </c>
      <c r="Z324" s="600" t="str">
        <f>VLOOKUP(F324,'2) Tracker'!$A$3:$Q$505,16,FALSE)</f>
        <v>Floater ex WAF / Luanda</v>
      </c>
      <c r="AA324" s="600" t="str">
        <f>VLOOKUP(F324,'2) Tracker'!$A$3:$R$505,18,FALSE)</f>
        <v>Sonangol Soyo+Sanha 26 Mar</v>
      </c>
      <c r="AB324" s="600">
        <f>VLOOKUP(F324,'2) Tracker'!$A$3:$Q$505,17,FALSE)</f>
        <v>0</v>
      </c>
      <c r="AC324" s="601"/>
      <c r="AD324" s="601" t="str">
        <f>VLOOKUP(F324,'2) Tracker'!$A$2:$BO$981,37,FALSE)</f>
        <v/>
      </c>
      <c r="AE324" s="601" t="str">
        <f>VLOOKUP(F324,'2) Tracker'!$A$2:$BO$981,40,FALSE)</f>
        <v/>
      </c>
      <c r="AF324" s="601" t="str">
        <f>VLOOKUP(F324,'2) Tracker'!$A$2:$BO$981,67,FALSE)</f>
        <v/>
      </c>
      <c r="AG324" s="601">
        <f>VLOOKUP(F324,'2) Tracker'!$A$2:$BO$981,34,FALSE)</f>
        <v>46165</v>
      </c>
      <c r="AH324" s="601" t="str">
        <f>VLOOKUP(F324,'2) Tracker'!$A$2:$BN$981,66,FALSE)</f>
        <v/>
      </c>
      <c r="AI324" s="601" t="str">
        <f>VLOOKUP(F324,'2) Tracker'!$A$2:$BO$981,56,FALSE)</f>
        <v/>
      </c>
      <c r="AJ324" s="601" t="str">
        <f>VLOOKUP(F324,'2) Tracker'!$A$2:$BO$981,52,FALSE)</f>
        <v/>
      </c>
      <c r="AK324" s="601">
        <f>VLOOKUP(F324,'2) Tracker'!$A$2:$AQ$981,43,FALSE)</f>
        <v>46141</v>
      </c>
      <c r="AL324" s="601">
        <f>VLOOKUP(F324,'2) Tracker'!$A$2:$BH$981,46,FALSE())</f>
        <v>46151</v>
      </c>
      <c r="AM324" s="601" t="str">
        <f>VLOOKUP(F324,'2) Tracker'!$A$2:$BO$981,65,FALSE())</f>
        <v/>
      </c>
      <c r="AN324" s="601" t="str">
        <f>VLOOKUP(F324,'2) Tracker'!$A$2:$BK$981,63,FALSE())</f>
        <v/>
      </c>
      <c r="AO324" s="601" t="str">
        <f>VLOOKUP(F324,'2) Tracker'!$A$2:$BF$981,58,FALSE())</f>
        <v/>
      </c>
      <c r="AP324" s="46"/>
      <c r="AQ324" s="46"/>
      <c r="AR324" s="46"/>
      <c r="AS324" s="46"/>
      <c r="AT324" s="46"/>
      <c r="AU324" s="46"/>
      <c r="AV324" s="46"/>
      <c r="AW324" s="46"/>
      <c r="AX324" s="46"/>
      <c r="AY324" s="46"/>
      <c r="AZ324" s="605"/>
      <c r="BA324" s="604" t="e">
        <f>VLOOKUP(AZ324,#REF!,2, FALSE)</f>
        <v>#REF!</v>
      </c>
      <c r="BB324" s="605" t="e">
        <f>VLOOKUP(AZ324,'1) Kpler'!$E$2:$F$500,2,FALSE)</f>
        <v>#N/A</v>
      </c>
      <c r="BC324" s="604"/>
      <c r="BD324" s="605"/>
      <c r="BE324" s="46"/>
      <c r="BF324" s="46"/>
      <c r="BG324" s="605"/>
      <c r="BH324" s="605"/>
      <c r="BI324" s="605"/>
      <c r="BJ324" s="605"/>
    </row>
    <row r="325" spans="2:62" x14ac:dyDescent="0.25">
      <c r="B325" s="589">
        <f>VLOOKUP(F325,'2) Tracker'!$A$3:$O$411,5,FALSE)</f>
        <v>0</v>
      </c>
      <c r="C325" s="589">
        <f>VLOOKUP(F325,'2) Tracker'!$A$3:$O$411,4,FALSE)</f>
        <v>0</v>
      </c>
      <c r="D325" s="563"/>
      <c r="E325" s="563">
        <f>VLOOKUP(F325,'2) Tracker'!$A$3:$O$407,15,FALSE)</f>
        <v>0</v>
      </c>
      <c r="F325" s="604" t="s">
        <v>32</v>
      </c>
      <c r="G325" s="591">
        <f>VLOOKUP(F325,'2) Tracker'!$A$2:$BO$361,2,FALSE)</f>
        <v>2022</v>
      </c>
      <c r="H325" s="592">
        <f>VLOOKUP(F325,'2) Tracker'!$A$2:$BO$361,3,FALSE)</f>
        <v>86000</v>
      </c>
      <c r="I325" s="594" t="str">
        <f>VLOOKUP(F325,'2) Tracker'!$A$2:$BO$361,9,FALSE)</f>
        <v>Wanhua</v>
      </c>
      <c r="J325" s="594" t="str">
        <f>VLOOKUP(F325,'2) Tracker'!$A$2:$BO$361,12,FALSE)</f>
        <v>AG</v>
      </c>
      <c r="K325" s="596" t="str">
        <f t="shared" si="305"/>
        <v/>
      </c>
      <c r="L325" s="596" t="str">
        <f t="shared" ref="L325:O325" si="477">AE325</f>
        <v/>
      </c>
      <c r="M325" s="596" t="str">
        <f t="shared" si="477"/>
        <v/>
      </c>
      <c r="N325" s="597" t="str">
        <f t="shared" si="477"/>
        <v/>
      </c>
      <c r="O325" s="597" t="str">
        <f t="shared" si="477"/>
        <v/>
      </c>
      <c r="P325" s="598" t="str">
        <f>IFERROR(IF(VLOOKUP(F325,'Voyage days'!$M$808:$N$819,2,FALSE),"GOA",""),"")</f>
        <v>GOA</v>
      </c>
      <c r="Q325" s="597" t="str">
        <f t="shared" si="287"/>
        <v/>
      </c>
      <c r="R325" s="596" t="str">
        <f t="shared" si="289"/>
        <v/>
      </c>
      <c r="S325" s="595">
        <f t="shared" si="409"/>
        <v>46150</v>
      </c>
      <c r="T325" s="596" t="str">
        <f t="shared" si="410"/>
        <v/>
      </c>
      <c r="U325" s="596" t="str">
        <f t="shared" si="290"/>
        <v/>
      </c>
      <c r="V325" s="596"/>
      <c r="W325" s="596" t="str">
        <f t="shared" si="291"/>
        <v/>
      </c>
      <c r="X325" s="599" t="str">
        <f t="shared" si="411"/>
        <v/>
      </c>
      <c r="Y325" s="594"/>
      <c r="Z325" s="600" t="str">
        <f>VLOOKUP(F325,'2) Tracker'!$A$3:$Q$505,16,FALSE)</f>
        <v>@ Dubai Anchorage 28 Feb laden</v>
      </c>
      <c r="AA325" s="600" t="str">
        <f>VLOOKUP(F325,'2) Tracker'!$A$3:$R$505,18,FALSE)</f>
        <v>Wanhua 18 Feb Yanbu</v>
      </c>
      <c r="AB325" s="600">
        <f>VLOOKUP(F325,'2) Tracker'!$A$3:$Q$505,17,FALSE)</f>
        <v>0</v>
      </c>
      <c r="AC325" s="601"/>
      <c r="AD325" s="601" t="str">
        <f>VLOOKUP(F325,'2) Tracker'!$A$2:$BO$981,37,FALSE)</f>
        <v/>
      </c>
      <c r="AE325" s="601" t="str">
        <f>VLOOKUP(F325,'2) Tracker'!$A$2:$BO$981,40,FALSE)</f>
        <v/>
      </c>
      <c r="AF325" s="601" t="str">
        <f>VLOOKUP(F325,'2) Tracker'!$A$2:$BO$981,67,FALSE)</f>
        <v/>
      </c>
      <c r="AG325" s="601" t="str">
        <f>VLOOKUP(F325,'2) Tracker'!$A$2:$BO$981,34,FALSE)</f>
        <v/>
      </c>
      <c r="AH325" s="601" t="str">
        <f>VLOOKUP(F325,'2) Tracker'!$A$2:$BN$981,66,FALSE)</f>
        <v/>
      </c>
      <c r="AI325" s="601" t="str">
        <f>VLOOKUP(F325,'2) Tracker'!$A$2:$BO$981,56,FALSE)</f>
        <v/>
      </c>
      <c r="AJ325" s="601" t="str">
        <f>VLOOKUP(F325,'2) Tracker'!$A$2:$BO$981,52,FALSE)</f>
        <v/>
      </c>
      <c r="AK325" s="601" t="str">
        <f>VLOOKUP(F325,'2) Tracker'!$A$2:$AQ$981,43,FALSE)</f>
        <v/>
      </c>
      <c r="AL325" s="601">
        <f>VLOOKUP(F325,'2) Tracker'!$A$2:$BH$981,46,FALSE())</f>
        <v>46150</v>
      </c>
      <c r="AM325" s="601" t="str">
        <f>VLOOKUP(F325,'2) Tracker'!$A$2:$BO$981,65,FALSE())</f>
        <v/>
      </c>
      <c r="AN325" s="601" t="str">
        <f>VLOOKUP(F325,'2) Tracker'!$A$2:$BK$981,63,FALSE())</f>
        <v/>
      </c>
      <c r="AO325" s="601" t="str">
        <f>VLOOKUP(F325,'2) Tracker'!$A$2:$BF$981,58,FALSE())</f>
        <v/>
      </c>
      <c r="AP325" s="46"/>
      <c r="AQ325" s="46"/>
      <c r="AR325" s="46"/>
      <c r="AS325" s="46"/>
      <c r="AT325" s="46"/>
      <c r="AU325" s="46"/>
      <c r="AV325" s="46"/>
      <c r="AW325" s="46"/>
      <c r="AX325" s="46"/>
      <c r="AY325" s="46"/>
      <c r="AZ325" s="563"/>
      <c r="BA325" s="604" t="e">
        <f>VLOOKUP(AZ325,#REF!,2, FALSE)</f>
        <v>#REF!</v>
      </c>
      <c r="BB325" s="605" t="e">
        <f>VLOOKUP(AZ325,'1) Kpler'!$E$2:$F$500,2,FALSE)</f>
        <v>#N/A</v>
      </c>
      <c r="BC325" s="569"/>
      <c r="BD325" s="563"/>
      <c r="BE325" s="46"/>
      <c r="BF325" s="46"/>
      <c r="BG325" s="563"/>
      <c r="BH325" s="563"/>
      <c r="BI325" s="563"/>
      <c r="BJ325" s="563"/>
    </row>
    <row r="326" spans="2:62" x14ac:dyDescent="0.25">
      <c r="B326" s="589">
        <f>VLOOKUP(F326,'2) Tracker'!$A$3:$O$411,5,FALSE)</f>
        <v>0</v>
      </c>
      <c r="C326" s="589">
        <f>VLOOKUP(F326,'2) Tracker'!$A$3:$O$411,4,FALSE)</f>
        <v>0</v>
      </c>
      <c r="D326" s="563"/>
      <c r="E326" s="563">
        <f>VLOOKUP(F326,'2) Tracker'!$A$3:$O$407,15,FALSE)</f>
        <v>0</v>
      </c>
      <c r="F326" s="594" t="s">
        <v>334</v>
      </c>
      <c r="G326" s="591">
        <f>VLOOKUP(F326,'2) Tracker'!$A$2:$BO$361,2,FALSE)</f>
        <v>2020</v>
      </c>
      <c r="H326" s="592">
        <f>VLOOKUP(F326,'2) Tracker'!$A$2:$BO$361,3,FALSE)</f>
        <v>84000</v>
      </c>
      <c r="I326" s="594" t="str">
        <f>VLOOKUP(F326,'2) Tracker'!$A$2:$BO$361,9,FALSE)</f>
        <v>Neptune</v>
      </c>
      <c r="J326" s="594" t="str">
        <f>VLOOKUP(F326,'2) Tracker'!$A$2:$BO$361,12,FALSE)</f>
        <v>AG</v>
      </c>
      <c r="K326" s="596" t="str">
        <f t="shared" si="305"/>
        <v/>
      </c>
      <c r="L326" s="596" t="str">
        <f t="shared" ref="L326:O326" si="478">AE326</f>
        <v/>
      </c>
      <c r="M326" s="596" t="str">
        <f t="shared" si="478"/>
        <v/>
      </c>
      <c r="N326" s="597" t="str">
        <f t="shared" si="478"/>
        <v/>
      </c>
      <c r="O326" s="597" t="str">
        <f t="shared" si="478"/>
        <v/>
      </c>
      <c r="P326" s="598" t="str">
        <f>IFERROR(IF(VLOOKUP(F326,'Voyage days'!$M$808:$N$819,2,FALSE),"GOA",""),"")</f>
        <v>GOA</v>
      </c>
      <c r="Q326" s="597" t="str">
        <f t="shared" si="287"/>
        <v/>
      </c>
      <c r="R326" s="596" t="str">
        <f t="shared" si="289"/>
        <v/>
      </c>
      <c r="S326" s="595">
        <f t="shared" si="409"/>
        <v>46150</v>
      </c>
      <c r="T326" s="596" t="str">
        <f t="shared" si="410"/>
        <v/>
      </c>
      <c r="U326" s="596" t="str">
        <f t="shared" si="290"/>
        <v/>
      </c>
      <c r="V326" s="596"/>
      <c r="W326" s="596" t="str">
        <f t="shared" si="291"/>
        <v/>
      </c>
      <c r="X326" s="599" t="str">
        <f t="shared" si="411"/>
        <v/>
      </c>
      <c r="Y326" s="606" t="s">
        <v>1660</v>
      </c>
      <c r="Z326" s="600" t="str">
        <f>VLOOKUP(F326,'2) Tracker'!$A$3:$Q$505,16,FALSE)</f>
        <v>ON HOLD FOR KPC, drifting off Sohar since 10 Apr</v>
      </c>
      <c r="AA326" s="600" t="str">
        <f>VLOOKUP(F326,'2) Tracker'!$A$3:$R$505,18,FALSE)</f>
        <v>E1 02-03 Feb MAA</v>
      </c>
      <c r="AB326" s="600">
        <f>VLOOKUP(F326,'2) Tracker'!$A$3:$Q$505,17,FALSE)</f>
        <v>0</v>
      </c>
      <c r="AC326" s="601"/>
      <c r="AD326" s="601" t="str">
        <f>VLOOKUP(F326,'2) Tracker'!$A$2:$BO$981,37,FALSE)</f>
        <v/>
      </c>
      <c r="AE326" s="601" t="str">
        <f>VLOOKUP(F326,'2) Tracker'!$A$2:$BO$981,40,FALSE)</f>
        <v/>
      </c>
      <c r="AF326" s="601" t="str">
        <f>VLOOKUP(F326,'2) Tracker'!$A$2:$BO$981,67,FALSE)</f>
        <v/>
      </c>
      <c r="AG326" s="601" t="str">
        <f>VLOOKUP(F326,'2) Tracker'!$A$2:$BO$981,34,FALSE)</f>
        <v/>
      </c>
      <c r="AH326" s="601" t="str">
        <f>VLOOKUP(F326,'2) Tracker'!$A$2:$BN$981,66,FALSE)</f>
        <v/>
      </c>
      <c r="AI326" s="601" t="str">
        <f>VLOOKUP(F326,'2) Tracker'!$A$2:$BO$981,56,FALSE)</f>
        <v/>
      </c>
      <c r="AJ326" s="601" t="str">
        <f>VLOOKUP(F326,'2) Tracker'!$A$2:$BO$981,52,FALSE)</f>
        <v/>
      </c>
      <c r="AK326" s="601" t="str">
        <f>VLOOKUP(F326,'2) Tracker'!$A$2:$AQ$981,43,FALSE)</f>
        <v/>
      </c>
      <c r="AL326" s="601">
        <f>VLOOKUP(F326,'2) Tracker'!$A$2:$BH$981,46,FALSE())</f>
        <v>46150</v>
      </c>
      <c r="AM326" s="601" t="str">
        <f>VLOOKUP(F326,'2) Tracker'!$A$2:$BO$981,65,FALSE())</f>
        <v/>
      </c>
      <c r="AN326" s="601" t="str">
        <f>VLOOKUP(F326,'2) Tracker'!$A$2:$BK$981,63,FALSE())</f>
        <v/>
      </c>
      <c r="AO326" s="601" t="str">
        <f>VLOOKUP(F326,'2) Tracker'!$A$2:$BF$981,58,FALSE())</f>
        <v/>
      </c>
      <c r="AP326" s="46"/>
      <c r="AQ326" s="46"/>
      <c r="AR326" s="46"/>
      <c r="AS326" s="46"/>
      <c r="AT326" s="46"/>
      <c r="AU326" s="46"/>
      <c r="AV326" s="46"/>
      <c r="AW326" s="46"/>
      <c r="AX326" s="46"/>
      <c r="AY326" s="46"/>
      <c r="AZ326" s="563"/>
      <c r="BA326" s="604" t="e">
        <f>VLOOKUP(AZ326,#REF!,2, FALSE)</f>
        <v>#REF!</v>
      </c>
      <c r="BB326" s="605" t="e">
        <f>VLOOKUP(AZ326,'1) Kpler'!$E$2:$F$500,2,FALSE)</f>
        <v>#N/A</v>
      </c>
      <c r="BC326" s="569"/>
      <c r="BD326" s="563"/>
      <c r="BE326" s="46"/>
      <c r="BF326" s="46"/>
      <c r="BG326" s="563"/>
      <c r="BH326" s="563"/>
      <c r="BI326" s="563"/>
      <c r="BJ326" s="563"/>
    </row>
    <row r="327" spans="2:62" ht="15.75" customHeight="1" x14ac:dyDescent="0.25">
      <c r="B327" s="589">
        <f>VLOOKUP(F327,'2) Tracker'!$A$3:$O$411,5,FALSE)</f>
        <v>0</v>
      </c>
      <c r="C327" s="589">
        <f>VLOOKUP(F327,'2) Tracker'!$A$3:$O$411,4,FALSE)</f>
        <v>0</v>
      </c>
      <c r="D327" s="563"/>
      <c r="E327" s="563">
        <f>VLOOKUP(F327,'2) Tracker'!$A$3:$O$407,15,FALSE)</f>
        <v>0</v>
      </c>
      <c r="F327" s="604" t="s">
        <v>589</v>
      </c>
      <c r="G327" s="607">
        <f>VLOOKUP(F327,'2) Tracker'!$A$2:$BO$361,2,FALSE)</f>
        <v>42436</v>
      </c>
      <c r="H327" s="592">
        <f>VLOOKUP(F327,'2) Tracker'!$A$2:$BO$361,3,FALSE)</f>
        <v>84000</v>
      </c>
      <c r="I327" s="600" t="str">
        <f>VLOOKUP(F327,'2) Tracker'!$A$2:$BO$361,9,FALSE)</f>
        <v>OE</v>
      </c>
      <c r="J327" s="594" t="str">
        <f>VLOOKUP(F327,'2) Tracker'!$A$2:$BO$361,12,FALSE)</f>
        <v>AG</v>
      </c>
      <c r="K327" s="596" t="str">
        <f t="shared" si="305"/>
        <v/>
      </c>
      <c r="L327" s="596" t="str">
        <f t="shared" ref="L327:O327" si="479">AE327</f>
        <v/>
      </c>
      <c r="M327" s="596" t="str">
        <f t="shared" si="479"/>
        <v/>
      </c>
      <c r="N327" s="596" t="str">
        <f t="shared" si="479"/>
        <v/>
      </c>
      <c r="O327" s="597" t="str">
        <f t="shared" si="479"/>
        <v/>
      </c>
      <c r="P327" s="598" t="str">
        <f>IFERROR(IF(VLOOKUP(F327,'Voyage days'!$M$808:$N$819,2,FALSE),"GOA",""),"")</f>
        <v/>
      </c>
      <c r="Q327" s="596" t="str">
        <f t="shared" si="287"/>
        <v/>
      </c>
      <c r="R327" s="596" t="str">
        <f t="shared" si="289"/>
        <v/>
      </c>
      <c r="S327" s="595">
        <f t="shared" si="409"/>
        <v>46145</v>
      </c>
      <c r="T327" s="596" t="str">
        <f t="shared" si="410"/>
        <v/>
      </c>
      <c r="U327" s="596" t="str">
        <f t="shared" si="290"/>
        <v/>
      </c>
      <c r="V327" s="596"/>
      <c r="W327" s="596" t="str">
        <f t="shared" si="291"/>
        <v/>
      </c>
      <c r="X327" s="599" t="str">
        <f t="shared" si="411"/>
        <v/>
      </c>
      <c r="Y327" s="611" t="s">
        <v>1661</v>
      </c>
      <c r="Z327" s="600" t="str">
        <f>VLOOKUP(F327,'2) Tracker'!$A$3:$Q$505,16,FALSE)</f>
        <v>@ Doha anchorage (laden) 19 Mar - still in SoH</v>
      </c>
      <c r="AA327" s="600" t="str">
        <f>VLOOKUP(F327,'2) Tracker'!$A$3:$R$505,18,FALSE)</f>
        <v>OE 28-29 Feb Mesaieed</v>
      </c>
      <c r="AB327" s="600">
        <f>VLOOKUP(F327,'2) Tracker'!$A$3:$Q$505,17,FALSE)</f>
        <v>0</v>
      </c>
      <c r="AC327" s="601"/>
      <c r="AD327" s="601" t="str">
        <f>VLOOKUP(F327,'2) Tracker'!$A$2:$BO$981,37,FALSE)</f>
        <v/>
      </c>
      <c r="AE327" s="601" t="str">
        <f>VLOOKUP(F327,'2) Tracker'!$A$2:$BO$981,40,FALSE)</f>
        <v/>
      </c>
      <c r="AF327" s="601" t="str">
        <f>VLOOKUP(F327,'2) Tracker'!$A$2:$BO$981,67,FALSE)</f>
        <v/>
      </c>
      <c r="AG327" s="601" t="str">
        <f>VLOOKUP(F327,'2) Tracker'!$A$2:$BO$981,34,FALSE)</f>
        <v/>
      </c>
      <c r="AH327" s="601" t="str">
        <f>VLOOKUP(F327,'2) Tracker'!$A$2:$BN$981,66,FALSE)</f>
        <v/>
      </c>
      <c r="AI327" s="601" t="str">
        <f>VLOOKUP(F327,'2) Tracker'!$A$2:$BO$981,56,FALSE)</f>
        <v/>
      </c>
      <c r="AJ327" s="601" t="str">
        <f>VLOOKUP(F327,'2) Tracker'!$A$2:$BO$981,52,FALSE)</f>
        <v/>
      </c>
      <c r="AK327" s="601" t="str">
        <f>VLOOKUP(F327,'2) Tracker'!$A$2:$AQ$981,43,FALSE)</f>
        <v/>
      </c>
      <c r="AL327" s="601">
        <f>VLOOKUP(F327,'2) Tracker'!$A$2:$BH$981,46,FALSE())</f>
        <v>46145</v>
      </c>
      <c r="AM327" s="601" t="str">
        <f>VLOOKUP(F327,'2) Tracker'!$A$2:$BO$981,65,FALSE())</f>
        <v/>
      </c>
      <c r="AN327" s="601" t="str">
        <f>VLOOKUP(F327,'2) Tracker'!$A$2:$BK$981,63,FALSE())</f>
        <v/>
      </c>
      <c r="AO327" s="601" t="str">
        <f>VLOOKUP(F327,'2) Tracker'!$A$2:$BF$981,58,FALSE())</f>
        <v/>
      </c>
      <c r="AP327" s="46"/>
      <c r="AQ327" s="46"/>
      <c r="AR327" s="46"/>
      <c r="AS327" s="46"/>
      <c r="AT327" s="46"/>
      <c r="AU327" s="46"/>
      <c r="AV327" s="46"/>
      <c r="AW327" s="46"/>
      <c r="AX327" s="46"/>
      <c r="AY327" s="46"/>
      <c r="AZ327" s="563"/>
      <c r="BA327" s="604" t="e">
        <f>VLOOKUP(AZ327,#REF!,2, FALSE)</f>
        <v>#REF!</v>
      </c>
      <c r="BB327" s="605" t="e">
        <f>VLOOKUP(AZ327,'1) Kpler'!$E$2:$F$500,2,FALSE)</f>
        <v>#N/A</v>
      </c>
      <c r="BC327" s="569"/>
      <c r="BD327" s="563"/>
      <c r="BE327" s="46"/>
      <c r="BF327" s="46"/>
      <c r="BG327" s="563"/>
      <c r="BH327" s="563"/>
      <c r="BI327" s="563"/>
      <c r="BJ327" s="563"/>
    </row>
    <row r="328" spans="2:62" x14ac:dyDescent="0.25">
      <c r="B328" s="638"/>
      <c r="C328" s="589"/>
      <c r="D328" s="563"/>
      <c r="E328" s="563">
        <f>VLOOKUP(F328,'2) Tracker'!$A$3:$O$407,15,FALSE)</f>
        <v>0</v>
      </c>
      <c r="F328" s="608" t="s">
        <v>365</v>
      </c>
      <c r="G328" s="607">
        <f>VLOOKUP(F328,'2) Tracker'!$A$2:$BO$361,2,FALSE)</f>
        <v>39479</v>
      </c>
      <c r="H328" s="592">
        <f>VLOOKUP(F328,'2) Tracker'!$A$2:$BO$361,3,FALSE)</f>
        <v>82383</v>
      </c>
      <c r="I328" s="593" t="str">
        <f>VLOOKUP(F328,'2) Tracker'!$A$2:$BO$361,9,FALSE)</f>
        <v>BGN &gt; ???</v>
      </c>
      <c r="J328" s="594" t="str">
        <f>VLOOKUP(F328,'2) Tracker'!$A$2:$BO$361,12,FALSE)</f>
        <v>AG</v>
      </c>
      <c r="K328" s="596" t="str">
        <f t="shared" si="305"/>
        <v/>
      </c>
      <c r="L328" s="595" t="str">
        <f t="shared" ref="L328:O328" si="480">AE328</f>
        <v/>
      </c>
      <c r="M328" s="596" t="str">
        <f t="shared" si="480"/>
        <v/>
      </c>
      <c r="N328" s="596" t="str">
        <f t="shared" si="480"/>
        <v/>
      </c>
      <c r="O328" s="597" t="str">
        <f t="shared" si="480"/>
        <v/>
      </c>
      <c r="P328" s="598" t="str">
        <f>IFERROR(IF(VLOOKUP(F328,'Voyage days'!$M$808:$N$819,2,FALSE),"GOA",""),"")</f>
        <v/>
      </c>
      <c r="Q328" s="596" t="str">
        <f t="shared" si="287"/>
        <v/>
      </c>
      <c r="R328" s="596" t="str">
        <f t="shared" si="289"/>
        <v/>
      </c>
      <c r="S328" s="595">
        <f t="shared" si="409"/>
        <v>46150</v>
      </c>
      <c r="T328" s="596" t="str">
        <f t="shared" si="410"/>
        <v/>
      </c>
      <c r="U328" s="596" t="str">
        <f t="shared" si="290"/>
        <v/>
      </c>
      <c r="V328" s="596"/>
      <c r="W328" s="596" t="str">
        <f t="shared" si="291"/>
        <v/>
      </c>
      <c r="X328" s="599" t="str">
        <f t="shared" si="411"/>
        <v/>
      </c>
      <c r="Y328" s="594"/>
      <c r="Z328" s="600" t="str">
        <f>VLOOKUP(F328,'2) Tracker'!$A$3:$Q$505,16,FALSE)</f>
        <v>@ Khalid Port 17 Apr</v>
      </c>
      <c r="AA328" s="600">
        <f>VLOOKUP(F328,'2) Tracker'!$A$3:$R$505,18,FALSE)</f>
        <v>0</v>
      </c>
      <c r="AB328" s="600">
        <f>VLOOKUP(F328,'2) Tracker'!$A$3:$Q$505,17,FALSE)</f>
        <v>0</v>
      </c>
      <c r="AC328" s="601"/>
      <c r="AD328" s="601" t="str">
        <f>VLOOKUP(F328,'2) Tracker'!$A$2:$BO$981,37,FALSE)</f>
        <v/>
      </c>
      <c r="AE328" s="601" t="str">
        <f>VLOOKUP(F328,'2) Tracker'!$A$2:$BO$981,40,FALSE)</f>
        <v/>
      </c>
      <c r="AF328" s="601" t="str">
        <f>VLOOKUP(F328,'2) Tracker'!$A$2:$BO$981,67,FALSE)</f>
        <v/>
      </c>
      <c r="AG328" s="601" t="str">
        <f>VLOOKUP(F328,'2) Tracker'!$A$2:$BO$981,34,FALSE)</f>
        <v/>
      </c>
      <c r="AH328" s="601" t="str">
        <f>VLOOKUP(F328,'2) Tracker'!$A$2:$BN$981,66,FALSE)</f>
        <v/>
      </c>
      <c r="AI328" s="601" t="str">
        <f>VLOOKUP(F328,'2) Tracker'!$A$2:$BO$981,56,FALSE)</f>
        <v/>
      </c>
      <c r="AJ328" s="601" t="str">
        <f>VLOOKUP(F328,'2) Tracker'!$A$2:$BO$981,52,FALSE)</f>
        <v/>
      </c>
      <c r="AK328" s="601" t="str">
        <f>VLOOKUP(F328,'2) Tracker'!$A$2:$AQ$981,43,FALSE)</f>
        <v/>
      </c>
      <c r="AL328" s="601">
        <f>VLOOKUP(F328,'2) Tracker'!$A$2:$BH$981,46,FALSE())</f>
        <v>46150</v>
      </c>
      <c r="AM328" s="601" t="str">
        <f>VLOOKUP(F328,'2) Tracker'!$A$2:$BO$981,65,FALSE())</f>
        <v/>
      </c>
      <c r="AN328" s="601" t="str">
        <f>VLOOKUP(F328,'2) Tracker'!$A$2:$BK$981,63,FALSE())</f>
        <v/>
      </c>
      <c r="AO328" s="601" t="str">
        <f>VLOOKUP(F328,'2) Tracker'!$A$2:$BF$981,58,FALSE())</f>
        <v/>
      </c>
      <c r="AP328" s="46"/>
      <c r="AQ328" s="46"/>
      <c r="AR328" s="46"/>
      <c r="AS328" s="46"/>
      <c r="AT328" s="46"/>
      <c r="AU328" s="46"/>
      <c r="AV328" s="46"/>
      <c r="AW328" s="46"/>
      <c r="AX328" s="46"/>
      <c r="AY328" s="46"/>
      <c r="AZ328" s="605"/>
      <c r="BA328" s="604" t="e">
        <f>VLOOKUP(AZ328,#REF!,2, FALSE)</f>
        <v>#REF!</v>
      </c>
      <c r="BB328" s="605" t="e">
        <f>VLOOKUP(AZ328,'1) Kpler'!$E$2:$F$500,2,FALSE)</f>
        <v>#N/A</v>
      </c>
      <c r="BC328" s="604"/>
      <c r="BD328" s="605"/>
      <c r="BE328" s="46"/>
      <c r="BF328" s="46"/>
      <c r="BG328" s="605"/>
      <c r="BH328" s="605"/>
      <c r="BI328" s="605"/>
      <c r="BJ328" s="605"/>
    </row>
    <row r="329" spans="2:62" x14ac:dyDescent="0.25">
      <c r="B329" s="589">
        <f>VLOOKUP(F329,'2) Tracker'!$A$3:$O$411,5,FALSE)</f>
        <v>0</v>
      </c>
      <c r="C329" s="589">
        <f>VLOOKUP(F329,'2) Tracker'!$A$3:$O$411,4,FALSE)</f>
        <v>0</v>
      </c>
      <c r="D329" s="563"/>
      <c r="E329" s="563">
        <f>VLOOKUP(F329,'2) Tracker'!$A$3:$O$407,15,FALSE)</f>
        <v>0</v>
      </c>
      <c r="F329" s="604" t="s">
        <v>344</v>
      </c>
      <c r="G329" s="607">
        <f>VLOOKUP(F329,'2) Tracker'!$A$2:$BO$361,2,FALSE)</f>
        <v>43110</v>
      </c>
      <c r="H329" s="592">
        <f>VLOOKUP(F329,'2) Tracker'!$A$2:$BO$361,3,FALSE)</f>
        <v>83000</v>
      </c>
      <c r="I329" s="600" t="str">
        <f>VLOOKUP(F329,'2) Tracker'!$A$2:$BO$361,9,FALSE)</f>
        <v xml:space="preserve">Naftomar </v>
      </c>
      <c r="J329" s="594" t="str">
        <f>VLOOKUP(F329,'2) Tracker'!$A$2:$BO$361,12,FALSE)</f>
        <v>AG</v>
      </c>
      <c r="K329" s="595" t="str">
        <f t="shared" si="305"/>
        <v/>
      </c>
      <c r="L329" s="595" t="str">
        <f t="shared" ref="L329:O329" si="481">AE329</f>
        <v/>
      </c>
      <c r="M329" s="596" t="str">
        <f t="shared" si="481"/>
        <v/>
      </c>
      <c r="N329" s="596" t="str">
        <f t="shared" si="481"/>
        <v/>
      </c>
      <c r="O329" s="597" t="str">
        <f t="shared" si="481"/>
        <v/>
      </c>
      <c r="P329" s="598" t="str">
        <f>IFERROR(IF(VLOOKUP(F329,'Voyage days'!$M$808:$N$821,2,FALSE),"GOA",""),"")</f>
        <v>GOA</v>
      </c>
      <c r="Q329" s="597" t="str">
        <f t="shared" si="287"/>
        <v/>
      </c>
      <c r="R329" s="596" t="str">
        <f t="shared" si="289"/>
        <v/>
      </c>
      <c r="S329" s="595">
        <f t="shared" si="409"/>
        <v>46145</v>
      </c>
      <c r="T329" s="596" t="str">
        <f t="shared" si="410"/>
        <v/>
      </c>
      <c r="U329" s="596" t="str">
        <f t="shared" si="290"/>
        <v/>
      </c>
      <c r="V329" s="596"/>
      <c r="W329" s="596" t="str">
        <f t="shared" si="291"/>
        <v/>
      </c>
      <c r="X329" s="599" t="str">
        <f t="shared" si="411"/>
        <v/>
      </c>
      <c r="Y329" s="594"/>
      <c r="Z329" s="600" t="str">
        <f>VLOOKUP(F329,'2) Tracker'!$A$3:$Q$505,16,FALSE)</f>
        <v>drifting off Sharjah 06 Mar (laden) - still in SoH</v>
      </c>
      <c r="AA329" s="600" t="str">
        <f>VLOOKUP(F329,'2) Tracker'!$A$3:$R$505,18,FALSE)</f>
        <v>Equinor 01-02 Mar MAA</v>
      </c>
      <c r="AB329" s="600">
        <f>VLOOKUP(F329,'2) Tracker'!$A$3:$Q$505,17,FALSE)</f>
        <v>0</v>
      </c>
      <c r="AC329" s="601"/>
      <c r="AD329" s="601" t="str">
        <f>VLOOKUP(F329,'2) Tracker'!$A$2:$BO$981,37,FALSE)</f>
        <v/>
      </c>
      <c r="AE329" s="601" t="str">
        <f>VLOOKUP(F329,'2) Tracker'!$A$2:$BO$981,40,FALSE)</f>
        <v/>
      </c>
      <c r="AF329" s="601" t="str">
        <f>VLOOKUP(F329,'2) Tracker'!$A$2:$BO$981,67,FALSE)</f>
        <v/>
      </c>
      <c r="AG329" s="601" t="str">
        <f>VLOOKUP(F329,'2) Tracker'!$A$2:$BO$981,34,FALSE)</f>
        <v/>
      </c>
      <c r="AH329" s="601" t="str">
        <f>VLOOKUP(F329,'2) Tracker'!$A$2:$BN$981,66,FALSE)</f>
        <v/>
      </c>
      <c r="AI329" s="601" t="str">
        <f>VLOOKUP(F329,'2) Tracker'!$A$2:$BO$981,56,FALSE)</f>
        <v/>
      </c>
      <c r="AJ329" s="601" t="str">
        <f>VLOOKUP(F329,'2) Tracker'!$A$2:$BO$981,52,FALSE)</f>
        <v/>
      </c>
      <c r="AK329" s="601" t="str">
        <f>VLOOKUP(F329,'2) Tracker'!$A$2:$AQ$981,43,FALSE)</f>
        <v/>
      </c>
      <c r="AL329" s="601">
        <f>VLOOKUP(F329,'2) Tracker'!$A$2:$BH$981,46,FALSE())</f>
        <v>46145</v>
      </c>
      <c r="AM329" s="601" t="str">
        <f>VLOOKUP(F329,'2) Tracker'!$A$2:$BO$981,65,FALSE())</f>
        <v/>
      </c>
      <c r="AN329" s="601" t="str">
        <f>VLOOKUP(F329,'2) Tracker'!$A$2:$BK$981,63,FALSE())</f>
        <v/>
      </c>
      <c r="AO329" s="601" t="str">
        <f>VLOOKUP(F329,'2) Tracker'!$A$2:$BF$981,58,FALSE())</f>
        <v/>
      </c>
      <c r="AP329" s="46"/>
      <c r="AQ329" s="46"/>
      <c r="AR329" s="46"/>
      <c r="AS329" s="46"/>
      <c r="AT329" s="46"/>
      <c r="AU329" s="46"/>
      <c r="AV329" s="46"/>
      <c r="AW329" s="46"/>
      <c r="AX329" s="46"/>
      <c r="AY329" s="46"/>
      <c r="AZ329" s="563"/>
      <c r="BA329" s="604" t="e">
        <f>VLOOKUP(AZ329,#REF!,2, FALSE)</f>
        <v>#REF!</v>
      </c>
      <c r="BB329" s="605" t="e">
        <f>VLOOKUP(AZ329,'1) Kpler'!$E$2:$F$500,2,FALSE)</f>
        <v>#N/A</v>
      </c>
      <c r="BC329" s="569"/>
      <c r="BD329" s="563"/>
      <c r="BE329" s="46"/>
      <c r="BF329" s="46"/>
      <c r="BG329" s="563"/>
      <c r="BH329" s="563"/>
      <c r="BI329" s="563"/>
      <c r="BJ329" s="563"/>
    </row>
    <row r="330" spans="2:62" x14ac:dyDescent="0.25">
      <c r="B330" s="589">
        <f>VLOOKUP(F330,'2) Tracker'!$A$3:$O$411,5,FALSE)</f>
        <v>0</v>
      </c>
      <c r="C330" s="638"/>
      <c r="D330" s="563"/>
      <c r="E330" s="563">
        <f>VLOOKUP(F330,'2) Tracker'!$A$3:$O$407,15,FALSE)</f>
        <v>0</v>
      </c>
      <c r="F330" s="667" t="s">
        <v>270</v>
      </c>
      <c r="G330" s="591">
        <f>VLOOKUP(F330,'2) Tracker'!$A$2:$BO$361,2,FALSE)</f>
        <v>2020</v>
      </c>
      <c r="H330" s="592">
        <f>VLOOKUP(F330,'2) Tracker'!$A$2:$BO$361,3,FALSE)</f>
        <v>84000</v>
      </c>
      <c r="I330" s="594" t="str">
        <f>VLOOKUP(F330,'2) Tracker'!$A$2:$BO$361,9,FALSE)</f>
        <v>Neptune</v>
      </c>
      <c r="J330" s="594" t="str">
        <f>VLOOKUP(F330,'2) Tracker'!$A$2:$BO$361,12,FALSE)</f>
        <v>AG</v>
      </c>
      <c r="K330" s="596" t="str">
        <f t="shared" si="305"/>
        <v/>
      </c>
      <c r="L330" s="595" t="str">
        <f t="shared" ref="L330:O330" si="482">AE330</f>
        <v/>
      </c>
      <c r="M330" s="596" t="str">
        <f t="shared" si="482"/>
        <v/>
      </c>
      <c r="N330" s="596" t="str">
        <f t="shared" si="482"/>
        <v/>
      </c>
      <c r="O330" s="597" t="str">
        <f t="shared" si="482"/>
        <v/>
      </c>
      <c r="P330" s="598" t="str">
        <f>IFERROR(IF(VLOOKUP(F330,'Voyage days'!$M$808:$N$819,2,FALSE),"GOA",""),"")</f>
        <v>GOA</v>
      </c>
      <c r="Q330" s="597" t="str">
        <f t="shared" si="287"/>
        <v/>
      </c>
      <c r="R330" s="596" t="str">
        <f t="shared" si="289"/>
        <v/>
      </c>
      <c r="S330" s="595">
        <f t="shared" si="409"/>
        <v>46150</v>
      </c>
      <c r="T330" s="596" t="str">
        <f t="shared" si="410"/>
        <v/>
      </c>
      <c r="U330" s="596" t="str">
        <f t="shared" si="290"/>
        <v/>
      </c>
      <c r="V330" s="570" t="s">
        <v>1577</v>
      </c>
      <c r="W330" s="596" t="str">
        <f t="shared" si="291"/>
        <v/>
      </c>
      <c r="X330" s="599" t="str">
        <f t="shared" si="411"/>
        <v/>
      </c>
      <c r="Y330" s="594"/>
      <c r="Z330" s="600" t="str">
        <f>VLOOKUP(F330,'2) Tracker'!$A$3:$Q$505,16,FALSE)</f>
        <v>drifting off Sohar since 07 Mar</v>
      </c>
      <c r="AA330" s="600" t="str">
        <f>VLOOKUP(F330,'2) Tracker'!$A$3:$R$505,18,FALSE)</f>
        <v>COA 06-07 Mar AG</v>
      </c>
      <c r="AB330" s="600">
        <f>VLOOKUP(F330,'2) Tracker'!$A$3:$Q$505,17,FALSE)</f>
        <v>0</v>
      </c>
      <c r="AC330" s="601"/>
      <c r="AD330" s="601" t="str">
        <f>VLOOKUP(F330,'2) Tracker'!$A$2:$BO$981,37,FALSE)</f>
        <v/>
      </c>
      <c r="AE330" s="601" t="str">
        <f>VLOOKUP(F330,'2) Tracker'!$A$2:$BO$981,40,FALSE)</f>
        <v/>
      </c>
      <c r="AF330" s="601" t="str">
        <f>VLOOKUP(F330,'2) Tracker'!$A$2:$BO$981,67,FALSE)</f>
        <v/>
      </c>
      <c r="AG330" s="601" t="str">
        <f>VLOOKUP(F330,'2) Tracker'!$A$2:$BO$981,34,FALSE)</f>
        <v/>
      </c>
      <c r="AH330" s="601" t="str">
        <f>VLOOKUP(F330,'2) Tracker'!$A$2:$BN$981,66,FALSE)</f>
        <v/>
      </c>
      <c r="AI330" s="601" t="str">
        <f>VLOOKUP(F330,'2) Tracker'!$A$2:$BO$981,56,FALSE)</f>
        <v/>
      </c>
      <c r="AJ330" s="601" t="str">
        <f>VLOOKUP(F330,'2) Tracker'!$A$2:$BO$981,52,FALSE)</f>
        <v/>
      </c>
      <c r="AK330" s="601" t="str">
        <f>VLOOKUP(F330,'2) Tracker'!$A$2:$AQ$981,43,FALSE)</f>
        <v/>
      </c>
      <c r="AL330" s="601">
        <f>VLOOKUP(F330,'2) Tracker'!$A$2:$BH$981,46,FALSE())</f>
        <v>46150</v>
      </c>
      <c r="AM330" s="601" t="str">
        <f>VLOOKUP(F330,'2) Tracker'!$A$2:$BO$981,65,FALSE())</f>
        <v/>
      </c>
      <c r="AN330" s="601" t="str">
        <f>VLOOKUP(F330,'2) Tracker'!$A$2:$BK$981,63,FALSE())</f>
        <v/>
      </c>
      <c r="AO330" s="601" t="str">
        <f>VLOOKUP(F330,'2) Tracker'!$A$2:$BF$981,58,FALSE())</f>
        <v/>
      </c>
      <c r="AP330" s="46"/>
      <c r="AQ330" s="46"/>
      <c r="AR330" s="46"/>
      <c r="AS330" s="46"/>
      <c r="AT330" s="46"/>
      <c r="AU330" s="46"/>
      <c r="AV330" s="46"/>
      <c r="AW330" s="46"/>
      <c r="AX330" s="46"/>
      <c r="AY330" s="46"/>
      <c r="AZ330" s="605"/>
      <c r="BA330" s="604" t="e">
        <f>VLOOKUP(AZ330,#REF!,2, FALSE)</f>
        <v>#REF!</v>
      </c>
      <c r="BB330" s="605" t="e">
        <f>VLOOKUP(AZ330,'1) Kpler'!$E$2:$F$500,2,FALSE)</f>
        <v>#N/A</v>
      </c>
      <c r="BC330" s="604"/>
      <c r="BD330" s="605"/>
      <c r="BE330" s="46"/>
      <c r="BF330" s="46"/>
      <c r="BG330" s="664" t="s">
        <v>1377</v>
      </c>
      <c r="BH330" s="604" t="s">
        <v>1263</v>
      </c>
      <c r="BI330" s="605"/>
      <c r="BJ330" s="605"/>
    </row>
    <row r="331" spans="2:62" x14ac:dyDescent="0.25">
      <c r="B331" s="589">
        <f>VLOOKUP(F331,'2) Tracker'!$A$3:$O$411,5,FALSE)</f>
        <v>0</v>
      </c>
      <c r="C331" s="589">
        <f>VLOOKUP(F331,'2) Tracker'!$A$3:$O$411,4,FALSE)</f>
        <v>0</v>
      </c>
      <c r="D331" s="563"/>
      <c r="E331" s="563" t="str">
        <f>VLOOKUP(F331,'2) Tracker'!$A$3:$O$407,15,FALSE)</f>
        <v>O?</v>
      </c>
      <c r="F331" s="604" t="s">
        <v>274</v>
      </c>
      <c r="G331" s="615" t="str">
        <f>VLOOKUP(F331,'2) Tracker'!$A$2:$BO$361,2,FALSE)</f>
        <v>2007</v>
      </c>
      <c r="H331" s="592">
        <f>VLOOKUP(F331,'2) Tracker'!$A$2:$BO$361,3,FALSE)</f>
        <v>82000</v>
      </c>
      <c r="I331" s="600" t="str">
        <f>VLOOKUP(F331,'2) Tracker'!$A$2:$BO$361,9,FALSE)</f>
        <v>Neptune</v>
      </c>
      <c r="J331" s="594" t="str">
        <f>VLOOKUP(F331,'2) Tracker'!$A$2:$BO$361,12,FALSE)</f>
        <v>AG</v>
      </c>
      <c r="K331" s="595" t="str">
        <f t="shared" si="305"/>
        <v/>
      </c>
      <c r="L331" s="595" t="str">
        <f t="shared" ref="L331:O331" si="483">AE331</f>
        <v/>
      </c>
      <c r="M331" s="596" t="str">
        <f t="shared" si="483"/>
        <v/>
      </c>
      <c r="N331" s="596" t="str">
        <f t="shared" si="483"/>
        <v/>
      </c>
      <c r="O331" s="597" t="str">
        <f t="shared" si="483"/>
        <v/>
      </c>
      <c r="P331" s="633" t="s">
        <v>1567</v>
      </c>
      <c r="Q331" s="597" t="str">
        <f t="shared" si="287"/>
        <v/>
      </c>
      <c r="R331" s="595" t="str">
        <f t="shared" si="289"/>
        <v/>
      </c>
      <c r="S331" s="595">
        <f t="shared" si="409"/>
        <v>46150</v>
      </c>
      <c r="T331" s="596" t="str">
        <f t="shared" si="410"/>
        <v/>
      </c>
      <c r="U331" s="595" t="str">
        <f t="shared" si="290"/>
        <v/>
      </c>
      <c r="V331" s="596"/>
      <c r="W331" s="596" t="str">
        <f t="shared" si="291"/>
        <v/>
      </c>
      <c r="X331" s="599" t="str">
        <f t="shared" si="411"/>
        <v/>
      </c>
      <c r="Y331" s="606" t="s">
        <v>1660</v>
      </c>
      <c r="Z331" s="600" t="str">
        <f>VLOOKUP(F331,'2) Tracker'!$A$3:$Q$505,16,FALSE)</f>
        <v>drifting off Sohar since 11 Apr</v>
      </c>
      <c r="AA331" s="600" t="str">
        <f>VLOOKUP(F331,'2) Tracker'!$A$3:$R$505,18,FALSE)</f>
        <v>BGN 09-10 Feb Ras Laffan</v>
      </c>
      <c r="AB331" s="600">
        <f>VLOOKUP(F331,'2) Tracker'!$A$3:$Q$505,17,FALSE)</f>
        <v>0</v>
      </c>
      <c r="AC331" s="601"/>
      <c r="AD331" s="601" t="str">
        <f>VLOOKUP(F331,'2) Tracker'!$A$2:$BO$981,37,FALSE)</f>
        <v/>
      </c>
      <c r="AE331" s="601" t="str">
        <f>VLOOKUP(F331,'2) Tracker'!$A$2:$BO$981,40,FALSE)</f>
        <v/>
      </c>
      <c r="AF331" s="601" t="str">
        <f>VLOOKUP(F331,'2) Tracker'!$A$2:$BO$981,67,FALSE)</f>
        <v/>
      </c>
      <c r="AG331" s="601" t="str">
        <f>VLOOKUP(F331,'2) Tracker'!$A$2:$BO$981,34,FALSE)</f>
        <v/>
      </c>
      <c r="AH331" s="601" t="str">
        <f>VLOOKUP(F331,'2) Tracker'!$A$2:$BN$981,66,FALSE)</f>
        <v/>
      </c>
      <c r="AI331" s="601" t="str">
        <f>VLOOKUP(F331,'2) Tracker'!$A$2:$BO$981,56,FALSE)</f>
        <v/>
      </c>
      <c r="AJ331" s="601" t="str">
        <f>VLOOKUP(F331,'2) Tracker'!$A$2:$BO$981,52,FALSE)</f>
        <v/>
      </c>
      <c r="AK331" s="601" t="str">
        <f>VLOOKUP(F331,'2) Tracker'!$A$2:$AQ$981,43,FALSE)</f>
        <v/>
      </c>
      <c r="AL331" s="601">
        <f>VLOOKUP(F331,'2) Tracker'!$A$2:$BH$981,46,FALSE())</f>
        <v>46150</v>
      </c>
      <c r="AM331" s="601" t="str">
        <f>VLOOKUP(F331,'2) Tracker'!$A$2:$BO$981,65,FALSE())</f>
        <v/>
      </c>
      <c r="AN331" s="601" t="str">
        <f>VLOOKUP(F331,'2) Tracker'!$A$2:$BK$981,63,FALSE())</f>
        <v/>
      </c>
      <c r="AO331" s="601" t="str">
        <f>VLOOKUP(F331,'2) Tracker'!$A$2:$BF$981,58,FALSE())</f>
        <v/>
      </c>
      <c r="AP331" s="46"/>
      <c r="AQ331" s="46"/>
      <c r="AR331" s="46"/>
      <c r="AS331" s="46"/>
      <c r="AT331" s="46"/>
      <c r="AU331" s="46"/>
      <c r="AV331" s="668" t="s">
        <v>1662</v>
      </c>
      <c r="AW331" s="46"/>
      <c r="AX331" s="20" t="str">
        <f ca="1">IFERROR(__xludf.DUMMYFUNCTION("filter('2) Tracker'!$A3:$A$412,not(countif($F$4:$F$407,'2) Tracker'!$A$3:$A$412)))"),"#REF!")</f>
        <v>#REF!</v>
      </c>
      <c r="AY331" s="20" t="str">
        <f ca="1">IFERROR(__xludf.DUMMYFUNCTION("filter($F$4:$F$408,not(countif('2) Tracker'!$A$3:$A$412,$F$4:$F$408)))"),"#REF!")</f>
        <v>#REF!</v>
      </c>
      <c r="AZ331" s="669" t="str">
        <f ca="1">IFERROR(__xludf.DUMMYFUNCTION("filter('1) Kpler'!$E$2:$E$600,not(countif('2) Tracker'!$A$3:$A$506,'1) Kpler'!$E$2:$E$600)))"),"#REF!")</f>
        <v>#REF!</v>
      </c>
      <c r="BA331" s="604" t="e">
        <f ca="1">VLOOKUP(AZ331,#REF!,2, FALSE)</f>
        <v>#REF!</v>
      </c>
      <c r="BB331" s="605" t="e">
        <f ca="1">VLOOKUP(AZ331,'1) Kpler'!$E$2:$F$500,2,FALSE)</f>
        <v>#N/A</v>
      </c>
      <c r="BC331" s="662" t="s">
        <v>1663</v>
      </c>
      <c r="BD331" s="605"/>
      <c r="BE331" s="46"/>
      <c r="BF331" s="46"/>
      <c r="BG331" s="618" t="s">
        <v>1664</v>
      </c>
      <c r="BH331" s="604" t="s">
        <v>989</v>
      </c>
      <c r="BI331" s="605"/>
      <c r="BJ331" s="605"/>
    </row>
    <row r="332" spans="2:62" x14ac:dyDescent="0.25">
      <c r="B332" s="589">
        <f>VLOOKUP(F332,'2) Tracker'!$A$3:$O$411,5,FALSE)</f>
        <v>0</v>
      </c>
      <c r="C332" s="589">
        <f>VLOOKUP(F332,'2) Tracker'!$A$3:$O$411,4,FALSE)</f>
        <v>0</v>
      </c>
      <c r="D332" s="563"/>
      <c r="E332" s="563" t="str">
        <f>VLOOKUP(F332,'2) Tracker'!$A$3:$O$407,15,FALSE)</f>
        <v>O?</v>
      </c>
      <c r="F332" s="604" t="s">
        <v>1665</v>
      </c>
      <c r="G332" s="615">
        <f>VLOOKUP(F332,'2) Tracker'!$A$2:$BO$361,2,FALSE)</f>
        <v>2007</v>
      </c>
      <c r="H332" s="592">
        <f>VLOOKUP(F332,'2) Tracker'!$A$2:$BO$361,3,FALSE)</f>
        <v>82000</v>
      </c>
      <c r="I332" s="600" t="str">
        <f>VLOOKUP(F332,'2) Tracker'!$A$2:$BO$361,9,FALSE)</f>
        <v>Neptune</v>
      </c>
      <c r="J332" s="594" t="str">
        <f>VLOOKUP(F332,'2) Tracker'!$A$2:$BO$361,12,FALSE)</f>
        <v>AG</v>
      </c>
      <c r="K332" s="596" t="str">
        <f t="shared" si="305"/>
        <v/>
      </c>
      <c r="L332" s="596" t="str">
        <f t="shared" ref="L332:O332" si="484">AE332</f>
        <v/>
      </c>
      <c r="M332" s="596" t="str">
        <f t="shared" si="484"/>
        <v/>
      </c>
      <c r="N332" s="596" t="str">
        <f t="shared" si="484"/>
        <v/>
      </c>
      <c r="O332" s="597" t="str">
        <f t="shared" si="484"/>
        <v/>
      </c>
      <c r="P332" s="598" t="str">
        <f>IFERROR(IF(VLOOKUP(F332,'Voyage days'!$M$808:$N$819,2,FALSE),"GOA",""),"")</f>
        <v>GOA</v>
      </c>
      <c r="Q332" s="597" t="str">
        <f t="shared" si="287"/>
        <v/>
      </c>
      <c r="R332" s="596" t="str">
        <f t="shared" si="289"/>
        <v/>
      </c>
      <c r="S332" s="595">
        <f t="shared" si="409"/>
        <v>46150</v>
      </c>
      <c r="T332" s="596" t="str">
        <f t="shared" si="410"/>
        <v/>
      </c>
      <c r="U332" s="596" t="str">
        <f t="shared" si="290"/>
        <v/>
      </c>
      <c r="V332" s="596"/>
      <c r="W332" s="596" t="str">
        <f t="shared" si="291"/>
        <v/>
      </c>
      <c r="X332" s="599" t="str">
        <f t="shared" si="411"/>
        <v/>
      </c>
      <c r="Y332" s="614"/>
      <c r="Z332" s="600" t="str">
        <f>VLOOKUP(F332,'2) Tracker'!$A$3:$Q$505,16,FALSE)</f>
        <v>drifting off Fujairah 19 Apr</v>
      </c>
      <c r="AA332" s="600" t="str">
        <f>VLOOKUP(F332,'2) Tracker'!$A$3:$R$505,18,FALSE)</f>
        <v>KPC 21-22 Feb MAA</v>
      </c>
      <c r="AB332" s="600">
        <f>VLOOKUP(F332,'2) Tracker'!$A$3:$Q$505,17,FALSE)</f>
        <v>0</v>
      </c>
      <c r="AC332" s="601"/>
      <c r="AD332" s="601" t="str">
        <f>VLOOKUP(F332,'2) Tracker'!$A$2:$BO$981,37,FALSE)</f>
        <v/>
      </c>
      <c r="AE332" s="601" t="str">
        <f>VLOOKUP(F332,'2) Tracker'!$A$2:$BO$981,40,FALSE)</f>
        <v/>
      </c>
      <c r="AF332" s="601" t="str">
        <f>VLOOKUP(F332,'2) Tracker'!$A$2:$BO$981,67,FALSE)</f>
        <v/>
      </c>
      <c r="AG332" s="601" t="str">
        <f>VLOOKUP(F332,'2) Tracker'!$A$2:$BO$981,34,FALSE)</f>
        <v/>
      </c>
      <c r="AH332" s="601" t="str">
        <f>VLOOKUP(F332,'2) Tracker'!$A$2:$BN$981,66,FALSE)</f>
        <v/>
      </c>
      <c r="AI332" s="601" t="str">
        <f>VLOOKUP(F332,'2) Tracker'!$A$2:$BO$981,56,FALSE)</f>
        <v/>
      </c>
      <c r="AJ332" s="601" t="str">
        <f>VLOOKUP(F332,'2) Tracker'!$A$2:$BO$981,52,FALSE)</f>
        <v/>
      </c>
      <c r="AK332" s="601" t="str">
        <f>VLOOKUP(F332,'2) Tracker'!$A$2:$AQ$981,43,FALSE)</f>
        <v/>
      </c>
      <c r="AL332" s="601">
        <f>VLOOKUP(F332,'2) Tracker'!$A$2:$BH$981,46,FALSE())</f>
        <v>46150</v>
      </c>
      <c r="AM332" s="601" t="str">
        <f>VLOOKUP(F332,'2) Tracker'!$A$2:$BO$981,65,FALSE())</f>
        <v/>
      </c>
      <c r="AN332" s="601" t="str">
        <f>VLOOKUP(F332,'2) Tracker'!$A$2:$BK$981,63,FALSE())</f>
        <v/>
      </c>
      <c r="AO332" s="601" t="str">
        <f>VLOOKUP(F332,'2) Tracker'!$A$2:$BF$981,58,FALSE())</f>
        <v/>
      </c>
      <c r="AP332" s="46"/>
      <c r="AQ332" s="46"/>
      <c r="AR332" s="46"/>
      <c r="AS332" s="46"/>
      <c r="AT332" s="46"/>
      <c r="AU332" s="46"/>
      <c r="AV332" s="46"/>
      <c r="AW332" s="46"/>
      <c r="AX332" s="46"/>
      <c r="AY332" s="46"/>
      <c r="AZ332" s="605"/>
      <c r="BA332" s="604" t="e">
        <f>VLOOKUP(AZ332,#REF!,2, FALSE)</f>
        <v>#REF!</v>
      </c>
      <c r="BB332" s="605" t="e">
        <f>VLOOKUP(AZ332,'1) Kpler'!$E$2:$F$500,2,FALSE)</f>
        <v>#N/A</v>
      </c>
      <c r="BC332" s="604"/>
      <c r="BD332" s="605"/>
      <c r="BE332" s="46"/>
      <c r="BF332" s="46"/>
      <c r="BG332" s="664" t="s">
        <v>1377</v>
      </c>
      <c r="BH332" s="604" t="s">
        <v>1263</v>
      </c>
      <c r="BI332" s="605"/>
      <c r="BJ332" s="605"/>
    </row>
    <row r="333" spans="2:62" x14ac:dyDescent="0.25">
      <c r="B333" s="589" t="str">
        <f>VLOOKUP(F333,'2) Tracker'!$A$3:$O$411,5,FALSE)</f>
        <v>S</v>
      </c>
      <c r="C333" s="589" t="str">
        <f>VLOOKUP(F333,'2) Tracker'!$A$3:$O$411,4,FALSE)</f>
        <v>IOC</v>
      </c>
      <c r="D333" s="563"/>
      <c r="E333" s="563">
        <f>VLOOKUP(F333,'2) Tracker'!$A$3:$O$407,15,FALSE)</f>
        <v>0</v>
      </c>
      <c r="F333" s="569" t="s">
        <v>516</v>
      </c>
      <c r="G333" s="591">
        <f>VLOOKUP(F333,'2) Tracker'!$A$2:$BO$361,2,FALSE)</f>
        <v>2008</v>
      </c>
      <c r="H333" s="592">
        <f>VLOOKUP(F333,'2) Tracker'!$A$2:$BO$361,3,FALSE)</f>
        <v>82200</v>
      </c>
      <c r="I333" s="600" t="str">
        <f>VLOOKUP(F333,'2) Tracker'!$A$2:$BO$361,9,FALSE)</f>
        <v>SwissChemGas&gt;ATL</v>
      </c>
      <c r="J333" s="594" t="str">
        <f>VLOOKUP(F333,'2) Tracker'!$A$2:$BO$361,12,FALSE)</f>
        <v>loads AG</v>
      </c>
      <c r="K333" s="595" t="str">
        <f t="shared" ref="K333:L333" si="485">AD334</f>
        <v/>
      </c>
      <c r="L333" s="595">
        <f t="shared" si="485"/>
        <v>46174</v>
      </c>
      <c r="M333" s="596" t="str">
        <f t="shared" ref="M333:N333" si="486">AF333</f>
        <v/>
      </c>
      <c r="N333" s="596">
        <f t="shared" si="486"/>
        <v>46134</v>
      </c>
      <c r="P333" s="598" t="str">
        <f>IFERROR(IF(VLOOKUP(F333,'Voyage days'!$M$808:$N$824,2,FALSE),"GOA",""),"")</f>
        <v>GOA</v>
      </c>
      <c r="Q333" s="597">
        <f t="shared" si="287"/>
        <v>46138</v>
      </c>
      <c r="R333" s="596">
        <f t="shared" si="289"/>
        <v>46134</v>
      </c>
      <c r="S333" s="595" t="str">
        <f t="shared" si="409"/>
        <v/>
      </c>
      <c r="T333" s="595" t="str">
        <f t="shared" si="410"/>
        <v/>
      </c>
      <c r="U333" s="596" t="str">
        <f t="shared" si="290"/>
        <v/>
      </c>
      <c r="V333" s="596"/>
      <c r="W333" s="596">
        <f t="shared" si="291"/>
        <v>46153</v>
      </c>
      <c r="X333" s="599" t="str">
        <f t="shared" si="411"/>
        <v/>
      </c>
      <c r="Y333" s="594"/>
      <c r="Z333" s="600" t="str">
        <f>VLOOKUP(F333,'2) Tracker'!$A$3:$Q$505,16,FALSE)</f>
        <v>Ex Trincomalee 12 Apr</v>
      </c>
      <c r="AA333" s="600" t="str">
        <f>VLOOKUP(F333,'2) Tracker'!$A$3:$R$505,18,FALSE)</f>
        <v>ATC 19 Mar Yanbu</v>
      </c>
      <c r="AB333" s="600">
        <f>VLOOKUP(F333,'2) Tracker'!$A$3:$Q$505,17,FALSE)</f>
        <v>0</v>
      </c>
      <c r="AC333" s="601"/>
      <c r="AD333" s="601" t="str">
        <f>VLOOKUP(F333,'2) Tracker'!$A$2:$BO$981,37,FALSE)</f>
        <v/>
      </c>
      <c r="AE333" s="601" t="str">
        <f>VLOOKUP(F333,'2) Tracker'!$A$2:$BO$981,40,FALSE)</f>
        <v/>
      </c>
      <c r="AF333" s="601" t="str">
        <f>VLOOKUP(F333,'2) Tracker'!$A$2:$BO$981,67,FALSE)</f>
        <v/>
      </c>
      <c r="AG333" s="601">
        <f>VLOOKUP(F333,'2) Tracker'!$A$2:$BO$981,34,FALSE)</f>
        <v>46134</v>
      </c>
      <c r="AH333" s="601">
        <f>VLOOKUP(F333,'2) Tracker'!$A$2:$BN$981,66,FALSE)</f>
        <v>46159</v>
      </c>
      <c r="AI333" s="601" t="str">
        <f>VLOOKUP(F333,'2) Tracker'!$A$2:$BO$981,56,FALSE)</f>
        <v/>
      </c>
      <c r="AJ333" s="601">
        <f>VLOOKUP(F333,'2) Tracker'!$A$2:$BO$981,52,FALSE)</f>
        <v>46153</v>
      </c>
      <c r="AK333" s="601" t="str">
        <f>VLOOKUP(F333,'2) Tracker'!$A$2:$AQ$981,43,FALSE)</f>
        <v/>
      </c>
      <c r="AL333" s="601" t="str">
        <f>VLOOKUP(F333,'2) Tracker'!$A$2:$BH$981,46,FALSE())</f>
        <v/>
      </c>
      <c r="AM333" s="601">
        <f>VLOOKUP(F333,'2) Tracker'!$A$2:$BO$981,65,FALSE())</f>
        <v>46138</v>
      </c>
      <c r="AN333" s="601">
        <f>VLOOKUP(F333,'2) Tracker'!$A$2:$BK$981,63,FALSE())</f>
        <v>46134</v>
      </c>
      <c r="AO333" s="601" t="str">
        <f>VLOOKUP(F333,'2) Tracker'!$A$2:$BF$981,58,FALSE())</f>
        <v/>
      </c>
      <c r="AP333" s="46"/>
      <c r="AQ333" s="46"/>
      <c r="AR333" s="46"/>
      <c r="AS333" s="46"/>
      <c r="AT333" s="46"/>
      <c r="AU333" s="46"/>
      <c r="AV333" s="668" t="s">
        <v>1662</v>
      </c>
      <c r="AW333" s="46"/>
      <c r="AX333" s="20" t="str">
        <f ca="1">IFERROR(__xludf.DUMMYFUNCTION("filter('2) Tracker'!$A6:$A$412,not(countif($F$4:$F$407,'2) Tracker'!$A$3:$A$412)))"),"#N/A")</f>
        <v>#N/A</v>
      </c>
      <c r="AY333" s="20" t="str">
        <f ca="1">IFERROR(__xludf.DUMMYFUNCTION("filter($F$4:$F$408,not(countif('2) Tracker'!$A$3:$A$412,$F$4:$F$408)))"),"#REF!")</f>
        <v>#REF!</v>
      </c>
      <c r="AZ333" s="669" t="str">
        <f ca="1">IFERROR(__xludf.DUMMYFUNCTION("filter('1) Kpler'!$E$2:$E$600,not(countif('2) Tracker'!$A$3:$A$506,'1) Kpler'!$E$2:$E$600)))"),"Apollo Ocean")</f>
        <v>Apollo Ocean</v>
      </c>
      <c r="BA333" s="634" t="e">
        <f ca="1">VLOOKUP(AZ333,#REF!,2, FALSE)</f>
        <v>#REF!</v>
      </c>
      <c r="BB333" s="670">
        <f ca="1">VLOOKUP(AZ333,'1) Kpler'!$E$2:$F$500,2,FALSE)</f>
        <v>78907</v>
      </c>
      <c r="BC333" s="662" t="s">
        <v>1663</v>
      </c>
      <c r="BD333" s="605"/>
      <c r="BE333" s="46"/>
      <c r="BF333" s="46"/>
      <c r="BG333" s="618" t="s">
        <v>1664</v>
      </c>
      <c r="BH333" s="604" t="s">
        <v>989</v>
      </c>
      <c r="BI333" s="605"/>
      <c r="BJ333" s="605"/>
    </row>
    <row r="334" spans="2:62" x14ac:dyDescent="0.25">
      <c r="B334" s="589">
        <f>VLOOKUP(F334,'2) Tracker'!$A$3:$O$411,5,FALSE)</f>
        <v>0</v>
      </c>
      <c r="C334" s="589">
        <f>VLOOKUP(F334,'2) Tracker'!$A$3:$O$411,4,FALSE)</f>
        <v>0</v>
      </c>
      <c r="D334" s="563"/>
      <c r="E334" s="563" t="str">
        <f>VLOOKUP(F334,'2) Tracker'!$A$3:$O$407,15,FALSE)</f>
        <v>R?</v>
      </c>
      <c r="F334" s="594" t="s">
        <v>481</v>
      </c>
      <c r="G334" s="607">
        <f>VLOOKUP(F334,'2) Tracker'!$A$2:$BO$361,2,FALSE)</f>
        <v>42197</v>
      </c>
      <c r="H334" s="592">
        <f>VLOOKUP(F334,'2) Tracker'!$A$2:$BO$361,3,FALSE)</f>
        <v>84000</v>
      </c>
      <c r="I334" s="594" t="str">
        <f>VLOOKUP(F334,'2) Tracker'!$A$2:$BO$361,9,FALSE)</f>
        <v>Naftomar&gt; ATL</v>
      </c>
      <c r="J334" s="594" t="str">
        <f>VLOOKUP(F334,'2) Tracker'!$A$2:$BO$361,12,FALSE)</f>
        <v>WCI</v>
      </c>
      <c r="K334" s="595" t="str">
        <f t="shared" ref="K334:O334" si="487">AD334</f>
        <v/>
      </c>
      <c r="L334" s="595">
        <f t="shared" si="487"/>
        <v>46174</v>
      </c>
      <c r="M334" s="596" t="str">
        <f t="shared" si="487"/>
        <v/>
      </c>
      <c r="N334" s="596">
        <f t="shared" si="487"/>
        <v>46147</v>
      </c>
      <c r="O334" s="597" t="str">
        <f t="shared" si="487"/>
        <v/>
      </c>
      <c r="P334" s="598" t="str">
        <f>IFERROR(IF(VLOOKUP(F334,'Voyage days'!$M$808:$N$821,2,FALSE),"GOA",""),"")</f>
        <v>GOA</v>
      </c>
      <c r="Q334" s="597">
        <f t="shared" si="287"/>
        <v>46150</v>
      </c>
      <c r="R334" s="595">
        <f t="shared" si="289"/>
        <v>46177</v>
      </c>
      <c r="S334" s="595">
        <f t="shared" si="409"/>
        <v>46155</v>
      </c>
      <c r="T334" s="596">
        <f t="shared" si="410"/>
        <v>46161</v>
      </c>
      <c r="U334" s="595" t="str">
        <f t="shared" si="290"/>
        <v/>
      </c>
      <c r="V334" s="616"/>
      <c r="W334" s="616" t="str">
        <f t="shared" si="291"/>
        <v/>
      </c>
      <c r="X334" s="599" t="str">
        <f t="shared" si="411"/>
        <v/>
      </c>
      <c r="Y334" s="594"/>
      <c r="Z334" s="600" t="str">
        <f>VLOOKUP(F334,'2) Tracker'!$A$3:$Q$505,16,FALSE)</f>
        <v>drifting off Yanbu 10 Apr, waiting to berth</v>
      </c>
      <c r="AA334" s="600" t="str">
        <f>VLOOKUP(F334,'2) Tracker'!$A$3:$R$505,18,FALSE)</f>
        <v>ATC 10 Apr Yanbu (short TC)</v>
      </c>
      <c r="AB334" s="600">
        <f>VLOOKUP(F334,'2) Tracker'!$A$3:$Q$505,17,FALSE)</f>
        <v>0</v>
      </c>
      <c r="AC334" s="601"/>
      <c r="AD334" s="601" t="str">
        <f>VLOOKUP(F334,'2) Tracker'!$A$2:$BO$981,37,FALSE)</f>
        <v/>
      </c>
      <c r="AE334" s="601">
        <f>VLOOKUP(F334,'2) Tracker'!$A$2:$BO$981,40,FALSE)</f>
        <v>46174</v>
      </c>
      <c r="AF334" s="601" t="str">
        <f>VLOOKUP(F334,'2) Tracker'!$A$2:$BO$981,67,FALSE)</f>
        <v/>
      </c>
      <c r="AG334" s="601">
        <f>VLOOKUP(F334,'2) Tracker'!$A$2:$BO$981,34,FALSE)</f>
        <v>46147</v>
      </c>
      <c r="AH334" s="601" t="str">
        <f>VLOOKUP(F334,'2) Tracker'!$A$2:$BN$981,66,FALSE)</f>
        <v/>
      </c>
      <c r="AI334" s="601" t="str">
        <f>VLOOKUP(F334,'2) Tracker'!$A$2:$BO$981,56,FALSE)</f>
        <v/>
      </c>
      <c r="AJ334" s="601" t="str">
        <f>VLOOKUP(F334,'2) Tracker'!$A$2:$BO$981,52,FALSE)</f>
        <v/>
      </c>
      <c r="AK334" s="601">
        <f>VLOOKUP(F334,'2) Tracker'!$A$2:$AQ$981,43,FALSE)</f>
        <v>46161</v>
      </c>
      <c r="AL334" s="601">
        <f>VLOOKUP(F334,'2) Tracker'!$A$2:$BH$981,46,FALSE())</f>
        <v>46155</v>
      </c>
      <c r="AM334" s="601">
        <f>VLOOKUP(F334,'2) Tracker'!$A$2:$BO$981,65,FALSE())</f>
        <v>46150</v>
      </c>
      <c r="AN334" s="601">
        <f>VLOOKUP(F334,'2) Tracker'!$A$2:$BK$981,63,FALSE())</f>
        <v>46177</v>
      </c>
      <c r="AO334" s="601" t="str">
        <f>VLOOKUP(F334,'2) Tracker'!$A$2:$BF$981,58,FALSE())</f>
        <v/>
      </c>
      <c r="AP334" s="46"/>
      <c r="AQ334" s="46"/>
      <c r="AR334" s="46"/>
      <c r="AS334" s="46"/>
      <c r="AT334" s="46"/>
      <c r="AU334" s="46"/>
      <c r="AV334" s="46"/>
      <c r="AW334" s="46"/>
      <c r="AX334" s="46"/>
      <c r="AY334" s="46"/>
      <c r="AZ334" s="605" t="str">
        <f ca="1">IFERROR(__xludf.DUMMYFUNCTION("""COMPUTED_VALUE"""),"Argonaftis")</f>
        <v>Argonaftis</v>
      </c>
      <c r="BA334" s="604" t="e">
        <f ca="1">VLOOKUP(AZ334,#REF!,2, FALSE)</f>
        <v>#REF!</v>
      </c>
      <c r="BB334" s="670">
        <f ca="1">VLOOKUP(AZ334,'1) Kpler'!$E$2:$F$500,2,FALSE)</f>
        <v>93000</v>
      </c>
      <c r="BC334" s="604"/>
      <c r="BD334" s="605"/>
      <c r="BE334" s="46"/>
      <c r="BF334" s="46"/>
      <c r="BG334" s="605"/>
      <c r="BH334" s="605"/>
      <c r="BI334" s="605"/>
      <c r="BJ334" s="605"/>
    </row>
    <row r="335" spans="2:62" x14ac:dyDescent="0.25">
      <c r="B335" s="589"/>
      <c r="C335" s="589">
        <f>VLOOKUP(F335,'2) Tracker'!$A$3:$O$411,4,FALSE)</f>
        <v>0</v>
      </c>
      <c r="D335" s="563"/>
      <c r="E335" s="563">
        <f>VLOOKUP(F335,'2) Tracker'!$A$3:$O$407,15,FALSE)</f>
        <v>0</v>
      </c>
      <c r="F335" s="604" t="s">
        <v>88</v>
      </c>
      <c r="G335" s="591">
        <f>VLOOKUP(F335,'2) Tracker'!$A$2:$BO$361,2,FALSE)</f>
        <v>2023</v>
      </c>
      <c r="H335" s="592">
        <f>VLOOKUP(F335,'2) Tracker'!$A$2:$BO$361,3,FALSE)</f>
        <v>86000</v>
      </c>
      <c r="I335" s="594" t="str">
        <f>VLOOKUP(F335,'2) Tracker'!$A$2:$BO$361,9,FALSE)</f>
        <v>Wanhua</v>
      </c>
      <c r="J335" s="594" t="str">
        <f>VLOOKUP(F335,'2) Tracker'!$A$2:$BO$361,12,FALSE)</f>
        <v>loads AG</v>
      </c>
      <c r="K335" s="596" t="str">
        <f t="shared" ref="K335:O335" si="488">AD335</f>
        <v/>
      </c>
      <c r="L335" s="596" t="str">
        <f t="shared" si="488"/>
        <v/>
      </c>
      <c r="M335" s="596" t="str">
        <f t="shared" si="488"/>
        <v/>
      </c>
      <c r="N335" s="597">
        <f t="shared" si="488"/>
        <v>46132</v>
      </c>
      <c r="O335" s="597">
        <f t="shared" si="488"/>
        <v>46157</v>
      </c>
      <c r="P335" s="598" t="str">
        <f>IFERROR(IF(VLOOKUP(F335,'Voyage days'!$M$808:$N$819,2,FALSE),"GOA",""),"")</f>
        <v>GOA</v>
      </c>
      <c r="Q335" s="597">
        <f t="shared" si="287"/>
        <v>46136</v>
      </c>
      <c r="R335" s="596">
        <f t="shared" si="289"/>
        <v>46132</v>
      </c>
      <c r="S335" s="595" t="str">
        <f t="shared" si="409"/>
        <v/>
      </c>
      <c r="T335" s="595" t="str">
        <f t="shared" si="410"/>
        <v/>
      </c>
      <c r="U335" s="596" t="str">
        <f t="shared" si="290"/>
        <v/>
      </c>
      <c r="V335" s="596"/>
      <c r="W335" s="596">
        <f t="shared" si="291"/>
        <v>46151</v>
      </c>
      <c r="X335" s="599" t="str">
        <f t="shared" si="411"/>
        <v/>
      </c>
      <c r="Y335" s="594"/>
      <c r="Z335" s="600" t="str">
        <f>VLOOKUP(F335,'2) Tracker'!$A$3:$Q$505,16,FALSE)</f>
        <v>ATC 90 day TC, @ Ras Laffan anchorage 01 Apr</v>
      </c>
      <c r="AA335" s="600" t="str">
        <f>VLOOKUP(F335,'2) Tracker'!$A$3:$R$505,18,FALSE)</f>
        <v>ATC 20-21 Feb Ras Tanura</v>
      </c>
      <c r="AB335" s="600">
        <f>VLOOKUP(F335,'2) Tracker'!$A$3:$Q$505,17,FALSE)</f>
        <v>0</v>
      </c>
      <c r="AC335" s="601"/>
      <c r="AD335" s="601" t="str">
        <f>VLOOKUP(F335,'2) Tracker'!$A$2:$BO$981,37,FALSE)</f>
        <v/>
      </c>
      <c r="AE335" s="601" t="str">
        <f>VLOOKUP(F335,'2) Tracker'!$A$2:$BO$981,40,FALSE)</f>
        <v/>
      </c>
      <c r="AF335" s="601" t="str">
        <f>VLOOKUP(F335,'2) Tracker'!$A$2:$BO$981,67,FALSE)</f>
        <v/>
      </c>
      <c r="AG335" s="601">
        <f>VLOOKUP(F335,'2) Tracker'!$A$2:$BO$981,34,FALSE)</f>
        <v>46132</v>
      </c>
      <c r="AH335" s="601">
        <f>VLOOKUP(F335,'2) Tracker'!$A$2:$BN$981,66,FALSE)</f>
        <v>46157</v>
      </c>
      <c r="AI335" s="620" t="str">
        <f>VLOOKUP(F335,'2) Tracker'!$A$2:$BO$981,56,FALSE)</f>
        <v/>
      </c>
      <c r="AJ335" s="601">
        <f>VLOOKUP(F335,'2) Tracker'!$A$2:$BO$981,52,FALSE)</f>
        <v>46151</v>
      </c>
      <c r="AK335" s="601" t="str">
        <f>VLOOKUP(F335,'2) Tracker'!$A$2:$AQ$981,43,FALSE)</f>
        <v/>
      </c>
      <c r="AL335" s="601" t="str">
        <f>VLOOKUP(F335,'2) Tracker'!$A$2:$BH$981,46,FALSE())</f>
        <v/>
      </c>
      <c r="AM335" s="601">
        <f>VLOOKUP(F335,'2) Tracker'!$A$2:$BO$981,65,FALSE())</f>
        <v>46136</v>
      </c>
      <c r="AN335" s="601">
        <f>VLOOKUP(F335,'2) Tracker'!$A$2:$BK$981,63,FALSE())</f>
        <v>46132</v>
      </c>
      <c r="AO335" s="601" t="str">
        <f>VLOOKUP(F335,'2) Tracker'!$A$2:$BF$981,58,FALSE())</f>
        <v/>
      </c>
      <c r="AP335" s="46"/>
      <c r="AQ335" s="46"/>
      <c r="AR335" s="627"/>
      <c r="AS335" s="627"/>
      <c r="AT335" s="627"/>
      <c r="AU335" s="627"/>
      <c r="AV335" s="46" t="s">
        <v>1666</v>
      </c>
      <c r="AW335" s="627"/>
      <c r="AX335" s="627" t="s">
        <v>1667</v>
      </c>
      <c r="AY335" s="627" t="e">
        <f ca="1">AY331-AY334</f>
        <v>#VALUE!</v>
      </c>
      <c r="AZ335" s="605" t="str">
        <f ca="1">IFERROR(__xludf.DUMMYFUNCTION("""COMPUTED_VALUE"""),"Aristaios")</f>
        <v>Aristaios</v>
      </c>
      <c r="BA335" s="604"/>
      <c r="BB335" s="46"/>
      <c r="BC335" s="604"/>
      <c r="BD335" s="605"/>
      <c r="BE335" s="627"/>
      <c r="BF335" s="627" t="s">
        <v>1200</v>
      </c>
      <c r="BG335" s="618" t="s">
        <v>1360</v>
      </c>
      <c r="BH335" s="604" t="s">
        <v>941</v>
      </c>
      <c r="BI335" s="605"/>
      <c r="BJ335" s="605"/>
    </row>
    <row r="336" spans="2:62" x14ac:dyDescent="0.25">
      <c r="B336" s="563">
        <f>VLOOKUP(F336,'2) Tracker'!$A$3:$O$411,5,FALSE)</f>
        <v>0</v>
      </c>
      <c r="C336" s="671">
        <f>VLOOKUP(F336,'2) Tracker'!$A$3:$O$411,4,FALSE)</f>
        <v>0</v>
      </c>
      <c r="D336" s="563"/>
      <c r="E336" s="563">
        <f>VLOOKUP(F336,'2) Tracker'!$A$3:$O$407,15,FALSE)</f>
        <v>0</v>
      </c>
      <c r="F336" s="604" t="s">
        <v>555</v>
      </c>
      <c r="G336" s="591">
        <f>VLOOKUP(F336,'2) Tracker'!$A$2:$BO$361,2,FALSE)</f>
        <v>2022</v>
      </c>
      <c r="H336" s="592">
        <f>VLOOKUP(F336,'2) Tracker'!$A$2:$BO$361,3,FALSE)</f>
        <v>86000</v>
      </c>
      <c r="I336" s="594" t="str">
        <f>VLOOKUP(F336,'2) Tracker'!$A$2:$BO$361,9,FALSE)</f>
        <v>Wanhua</v>
      </c>
      <c r="J336" s="594" t="str">
        <f>VLOOKUP(F336,'2) Tracker'!$A$2:$BO$361,12,FALSE)</f>
        <v>loads AG</v>
      </c>
      <c r="K336" s="595" t="str">
        <f t="shared" ref="K336:O336" si="489">AD336</f>
        <v/>
      </c>
      <c r="L336" s="595" t="str">
        <f t="shared" si="489"/>
        <v/>
      </c>
      <c r="M336" s="596" t="str">
        <f t="shared" si="489"/>
        <v/>
      </c>
      <c r="N336" s="596">
        <f t="shared" si="489"/>
        <v>46133</v>
      </c>
      <c r="O336" s="597">
        <f t="shared" si="489"/>
        <v>46158</v>
      </c>
      <c r="P336" s="598" t="str">
        <f>IFERROR(IF(VLOOKUP(F336,'Voyage days'!$M$808:$N$819,2,FALSE),"GOA",""),"")</f>
        <v>GOA</v>
      </c>
      <c r="Q336" s="597">
        <f t="shared" si="287"/>
        <v>46137</v>
      </c>
      <c r="R336" s="596">
        <f t="shared" si="289"/>
        <v>46133</v>
      </c>
      <c r="S336" s="595" t="str">
        <f t="shared" si="409"/>
        <v/>
      </c>
      <c r="T336" s="596" t="str">
        <f t="shared" si="410"/>
        <v/>
      </c>
      <c r="U336" s="596" t="str">
        <f t="shared" si="290"/>
        <v/>
      </c>
      <c r="V336" s="596"/>
      <c r="W336" s="596">
        <f t="shared" si="291"/>
        <v>46152</v>
      </c>
      <c r="X336" s="599" t="str">
        <f t="shared" si="411"/>
        <v/>
      </c>
      <c r="Y336" s="614"/>
      <c r="Z336" s="600" t="str">
        <f>VLOOKUP(F336,'2) Tracker'!$A$3:$Q$505,16,FALSE)</f>
        <v>Arabian Sea 02 Apr, WCI as proxy, gave vsl to ADNOC (Charterer)</v>
      </c>
      <c r="AA336" s="600" t="str">
        <f>VLOOKUP(F336,'2) Tracker'!$A$3:$R$505,18,FALSE)</f>
        <v>Wanhua 09 Feb Bethioua</v>
      </c>
      <c r="AB336" s="600">
        <f>VLOOKUP(F336,'2) Tracker'!$A$3:$Q$505,17,FALSE)</f>
        <v>0</v>
      </c>
      <c r="AC336" s="601"/>
      <c r="AD336" s="601" t="str">
        <f>VLOOKUP(F336,'2) Tracker'!$A$2:$BO$981,37,FALSE)</f>
        <v/>
      </c>
      <c r="AE336" s="601" t="str">
        <f>VLOOKUP(F336,'2) Tracker'!$A$2:$BO$981,40,FALSE)</f>
        <v/>
      </c>
      <c r="AF336" s="601" t="str">
        <f>VLOOKUP(F336,'2) Tracker'!$A$2:$BO$981,67,FALSE)</f>
        <v/>
      </c>
      <c r="AG336" s="601">
        <f>VLOOKUP(F336,'2) Tracker'!$A$2:$BO$981,34,FALSE)</f>
        <v>46133</v>
      </c>
      <c r="AH336" s="601">
        <f>VLOOKUP(F336,'2) Tracker'!$A$2:$BN$981,66,FALSE)</f>
        <v>46158</v>
      </c>
      <c r="AI336" s="601" t="str">
        <f>VLOOKUP(F336,'2) Tracker'!$A$2:$BO$981,56,FALSE)</f>
        <v/>
      </c>
      <c r="AJ336" s="601">
        <f>VLOOKUP(F336,'2) Tracker'!$A$2:$BO$981,52,FALSE)</f>
        <v>46152</v>
      </c>
      <c r="AK336" s="601" t="str">
        <f>VLOOKUP(F336,'2) Tracker'!$A$2:$AQ$981,43,FALSE)</f>
        <v/>
      </c>
      <c r="AL336" s="601" t="str">
        <f>VLOOKUP(F336,'2) Tracker'!$A$2:$BH$981,46,FALSE())</f>
        <v/>
      </c>
      <c r="AM336" s="601">
        <f>VLOOKUP(F336,'2) Tracker'!$A$2:$BO$981,65,FALSE())</f>
        <v>46137</v>
      </c>
      <c r="AN336" s="601">
        <f>VLOOKUP(F336,'2) Tracker'!$A$2:$BK$981,63,FALSE())</f>
        <v>46133</v>
      </c>
      <c r="AO336" s="601" t="str">
        <f>VLOOKUP(F336,'2) Tracker'!$A$2:$BF$981,58,FALSE())</f>
        <v/>
      </c>
      <c r="AP336" s="46"/>
      <c r="AQ336" s="46"/>
      <c r="AR336" s="46"/>
      <c r="AS336" s="46"/>
      <c r="AT336" s="46"/>
      <c r="AU336" s="46"/>
      <c r="AV336" s="46"/>
      <c r="AW336" s="46"/>
      <c r="AX336" s="46"/>
      <c r="AY336" s="46"/>
      <c r="AZ336" s="563" t="str">
        <f ca="1">IFERROR(__xludf.DUMMYFUNCTION("""COMPUTED_VALUE"""),"Astra")</f>
        <v>Astra</v>
      </c>
      <c r="BA336" s="569"/>
      <c r="BB336" s="563"/>
      <c r="BC336" s="569"/>
      <c r="BD336" s="563"/>
      <c r="BE336" s="46"/>
      <c r="BF336" s="46"/>
      <c r="BG336" s="563"/>
      <c r="BH336" s="563"/>
      <c r="BI336" s="563"/>
      <c r="BJ336" s="563"/>
    </row>
    <row r="337" spans="2:62" x14ac:dyDescent="0.25">
      <c r="B337" s="563" t="str">
        <f>VLOOKUP(F337,'2) Tracker'!$A$3:$O$411,5,FALSE)</f>
        <v>C</v>
      </c>
      <c r="C337" s="671">
        <f>VLOOKUP(F337,'2) Tracker'!$A$3:$O$411,4,FALSE)</f>
        <v>0</v>
      </c>
      <c r="D337" s="563"/>
      <c r="E337" s="563">
        <f>VLOOKUP(F337,'2) Tracker'!$A$3:$O$407,15,FALSE)</f>
        <v>0</v>
      </c>
      <c r="F337" s="604" t="s">
        <v>282</v>
      </c>
      <c r="G337" s="591">
        <f>VLOOKUP(F337,'2) Tracker'!$A$2:$BO$361,2,FALSE)</f>
        <v>2024</v>
      </c>
      <c r="H337" s="592">
        <f>VLOOKUP(F337,'2) Tracker'!$A$2:$BO$361,3,FALSE)</f>
        <v>93000</v>
      </c>
      <c r="I337" s="600" t="str">
        <f>VLOOKUP(F337,'2) Tracker'!$A$2:$BO$361,9,FALSE)</f>
        <v>Sinogas</v>
      </c>
      <c r="J337" s="594" t="str">
        <f>VLOOKUP(F337,'2) Tracker'!$A$2:$BO$361,12,FALSE)</f>
        <v>loads AG</v>
      </c>
      <c r="K337" s="596" t="str">
        <f t="shared" ref="K337:O337" si="490">AD337</f>
        <v/>
      </c>
      <c r="L337" s="596" t="str">
        <f t="shared" si="490"/>
        <v/>
      </c>
      <c r="M337" s="596" t="str">
        <f t="shared" si="490"/>
        <v/>
      </c>
      <c r="N337" s="596">
        <f t="shared" si="490"/>
        <v>46146</v>
      </c>
      <c r="O337" s="597">
        <f t="shared" si="490"/>
        <v>46171</v>
      </c>
      <c r="P337" s="622" t="str">
        <f>IFERROR(IF(VLOOKUP(F337,'Voyage days'!$M$808:$N$828,2,FALSE),"GOA",""),"")</f>
        <v>GOA</v>
      </c>
      <c r="Q337" s="623">
        <f t="shared" si="287"/>
        <v>46150</v>
      </c>
      <c r="R337" s="596">
        <f t="shared" si="289"/>
        <v>46146</v>
      </c>
      <c r="S337" s="595" t="str">
        <f t="shared" si="409"/>
        <v/>
      </c>
      <c r="T337" s="596" t="str">
        <f t="shared" si="410"/>
        <v/>
      </c>
      <c r="U337" s="596" t="str">
        <f t="shared" si="290"/>
        <v/>
      </c>
      <c r="V337" s="596"/>
      <c r="W337" s="596">
        <f t="shared" si="291"/>
        <v>46165</v>
      </c>
      <c r="X337" s="599" t="str">
        <f t="shared" si="411"/>
        <v/>
      </c>
      <c r="Y337" s="614"/>
      <c r="Z337" s="600" t="str">
        <f>VLOOKUP(F337,'2) Tracker'!$A$3:$Q$505,16,FALSE)</f>
        <v>ETA Singapore 20 Apr</v>
      </c>
      <c r="AA337" s="600" t="str">
        <f>VLOOKUP(F337,'2) Tracker'!$A$3:$R$505,18,FALSE)</f>
        <v>ATC 04-05 May Yanbu</v>
      </c>
      <c r="AB337" s="600">
        <f>VLOOKUP(F337,'2) Tracker'!$A$3:$Q$505,17,FALSE)</f>
        <v>0</v>
      </c>
      <c r="AC337" s="601"/>
      <c r="AD337" s="601" t="str">
        <f>VLOOKUP(F337,'2) Tracker'!$A$2:$BO$981,37,FALSE)</f>
        <v/>
      </c>
      <c r="AE337" s="601" t="str">
        <f>VLOOKUP(F337,'2) Tracker'!$A$2:$BO$981,40,FALSE)</f>
        <v/>
      </c>
      <c r="AF337" s="601" t="str">
        <f>VLOOKUP(F337,'2) Tracker'!$A$2:$BO$981,67,FALSE)</f>
        <v/>
      </c>
      <c r="AG337" s="601">
        <f>VLOOKUP(F337,'2) Tracker'!$A$2:$BO$981,34,FALSE)</f>
        <v>46146</v>
      </c>
      <c r="AH337" s="601">
        <f>VLOOKUP(F337,'2) Tracker'!$A$2:$BN$981,66,FALSE)</f>
        <v>46171</v>
      </c>
      <c r="AI337" s="601" t="str">
        <f>VLOOKUP(F337,'2) Tracker'!$A$2:$BO$981,56,FALSE)</f>
        <v/>
      </c>
      <c r="AJ337" s="601">
        <f>VLOOKUP(F337,'2) Tracker'!$A$2:$BO$981,52,FALSE)</f>
        <v>46165</v>
      </c>
      <c r="AK337" s="601" t="str">
        <f>VLOOKUP(F337,'2) Tracker'!$A$2:$AQ$981,43,FALSE)</f>
        <v/>
      </c>
      <c r="AL337" s="601" t="str">
        <f>VLOOKUP(F337,'2) Tracker'!$A$2:$BH$981,46,FALSE())</f>
        <v/>
      </c>
      <c r="AM337" s="601">
        <f>VLOOKUP(F337,'2) Tracker'!$A$2:$BO$981,65,FALSE())</f>
        <v>46150</v>
      </c>
      <c r="AN337" s="601">
        <f>VLOOKUP(F337,'2) Tracker'!$A$2:$BK$981,63,FALSE())</f>
        <v>46146</v>
      </c>
      <c r="AO337" s="601" t="str">
        <f>VLOOKUP(F337,'2) Tracker'!$A$2:$BF$981,58,FALSE())</f>
        <v/>
      </c>
      <c r="AP337" s="46"/>
      <c r="AQ337" s="46"/>
      <c r="AR337" s="46"/>
      <c r="AS337" s="46"/>
      <c r="AT337" s="46"/>
      <c r="AU337" s="46"/>
      <c r="AV337" s="46"/>
      <c r="AW337" s="46"/>
      <c r="AX337" s="46"/>
      <c r="AY337" s="46"/>
      <c r="AZ337" s="563" t="str">
        <f ca="1">IFERROR(__xludf.DUMMYFUNCTION("""COMPUTED_VALUE"""),"Astram")</f>
        <v>Astram</v>
      </c>
      <c r="BA337" s="569"/>
      <c r="BB337" s="563"/>
      <c r="BC337" s="569"/>
      <c r="BD337" s="563"/>
      <c r="BE337" s="46"/>
      <c r="BF337" s="46"/>
      <c r="BG337" s="563"/>
      <c r="BH337" s="563"/>
      <c r="BI337" s="563"/>
      <c r="BJ337" s="563"/>
    </row>
    <row r="338" spans="2:62" x14ac:dyDescent="0.25">
      <c r="B338" s="563">
        <f>VLOOKUP(F338,'2) Tracker'!$A$3:$O$411,5,FALSE)</f>
        <v>0</v>
      </c>
      <c r="C338" s="671">
        <f>VLOOKUP(F338,'2) Tracker'!$A$3:$O$411,4,FALSE)</f>
        <v>0</v>
      </c>
      <c r="D338" s="563"/>
      <c r="E338" s="563"/>
      <c r="F338" s="594" t="s">
        <v>514</v>
      </c>
      <c r="G338" s="563">
        <v>2007</v>
      </c>
      <c r="H338" s="563">
        <v>84597</v>
      </c>
      <c r="I338" s="600" t="str">
        <f>VLOOKUP(F338,'2) Tracker'!$A$2:$BO$361,9,FALSE)</f>
        <v>NV Trans</v>
      </c>
      <c r="J338" s="594" t="str">
        <f>VLOOKUP(F338,'2) Tracker'!$A$2:$BO$361,12,FALSE)</f>
        <v>loads AG</v>
      </c>
      <c r="K338" s="596" t="str">
        <f t="shared" ref="K338:K339" si="491">AD338</f>
        <v/>
      </c>
      <c r="L338" s="639"/>
      <c r="N338" s="596">
        <f t="shared" ref="N338:O338" si="492">AG338</f>
        <v>46133</v>
      </c>
      <c r="O338" s="597">
        <f t="shared" si="492"/>
        <v>46158</v>
      </c>
      <c r="P338" s="598" t="str">
        <f>IFERROR(IF(VLOOKUP(F338,'Voyage days'!$M$808:$N$819,2,FALSE),"GOA",""),"")</f>
        <v/>
      </c>
      <c r="Q338" s="596">
        <f t="shared" si="287"/>
        <v>46137</v>
      </c>
      <c r="R338" s="595">
        <f t="shared" si="289"/>
        <v>46133</v>
      </c>
      <c r="S338" s="595" t="str">
        <f t="shared" si="409"/>
        <v/>
      </c>
      <c r="T338" s="596" t="str">
        <f t="shared" si="410"/>
        <v/>
      </c>
      <c r="U338" s="595" t="str">
        <f t="shared" si="290"/>
        <v/>
      </c>
      <c r="V338" s="616"/>
      <c r="W338" s="616">
        <f t="shared" si="291"/>
        <v>46152</v>
      </c>
      <c r="X338" s="599" t="str">
        <f t="shared" si="411"/>
        <v/>
      </c>
      <c r="Y338" s="611" t="s">
        <v>1668</v>
      </c>
      <c r="Z338" s="600" t="str">
        <f>VLOOKUP(F338,'2) Tracker'!$A$3:$Q$505,16,FALSE)</f>
        <v>Drifting off Abu Dhabi 18 Apr</v>
      </c>
      <c r="AA338" s="600" t="str">
        <f>VLOOKUP(F338,'2) Tracker'!$A$3:$R$505,18,FALSE)</f>
        <v>AGT 21 Apr Ruwais</v>
      </c>
      <c r="AB338" s="600">
        <f>VLOOKUP(F338,'2) Tracker'!$A$3:$Q$505,17,FALSE)</f>
        <v>0</v>
      </c>
      <c r="AC338" s="601"/>
      <c r="AD338" s="601" t="str">
        <f>VLOOKUP(F338,'2) Tracker'!$A$2:$BO$981,37,FALSE)</f>
        <v/>
      </c>
      <c r="AE338" s="601" t="str">
        <f>VLOOKUP(F338,'2) Tracker'!$A$2:$BO$981,40,FALSE)</f>
        <v/>
      </c>
      <c r="AF338" s="601" t="str">
        <f>VLOOKUP(F338,'2) Tracker'!$A$2:$BO$981,67,FALSE)</f>
        <v/>
      </c>
      <c r="AG338" s="601">
        <f>VLOOKUP(F338,'2) Tracker'!$A$2:$BO$981,34,FALSE)</f>
        <v>46133</v>
      </c>
      <c r="AH338" s="601">
        <f>VLOOKUP(F338,'2) Tracker'!$A$2:$BN$981,66,FALSE)</f>
        <v>46158</v>
      </c>
      <c r="AI338" s="601" t="str">
        <f>VLOOKUP(F338,'2) Tracker'!$A$2:$BO$981,56,FALSE)</f>
        <v/>
      </c>
      <c r="AJ338" s="601">
        <f>VLOOKUP(F338,'2) Tracker'!$A$2:$BO$981,52,FALSE)</f>
        <v>46152</v>
      </c>
      <c r="AK338" s="601" t="str">
        <f>VLOOKUP(F338,'2) Tracker'!$A$2:$AQ$981,43,FALSE)</f>
        <v/>
      </c>
      <c r="AL338" s="601" t="str">
        <f>VLOOKUP(F338,'2) Tracker'!$A$2:$BH$981,46,FALSE())</f>
        <v/>
      </c>
      <c r="AM338" s="601">
        <f>VLOOKUP(F338,'2) Tracker'!$A$2:$BO$981,65,FALSE())</f>
        <v>46137</v>
      </c>
      <c r="AN338" s="601">
        <f>VLOOKUP(F338,'2) Tracker'!$A$2:$BK$981,63,FALSE())</f>
        <v>46133</v>
      </c>
      <c r="AO338" s="601" t="str">
        <f>VLOOKUP(F338,'2) Tracker'!$A$2:$BF$981,58,FALSE())</f>
        <v/>
      </c>
      <c r="AP338" s="46"/>
      <c r="AQ338" s="46"/>
      <c r="AR338" s="46"/>
      <c r="AS338" s="46"/>
      <c r="AT338" s="46"/>
      <c r="AU338" s="46"/>
      <c r="AV338" s="46"/>
      <c r="AW338" s="46"/>
      <c r="AX338" s="46"/>
      <c r="AY338" s="46"/>
      <c r="AZ338" s="605" t="str">
        <f ca="1">IFERROR(__xludf.DUMMYFUNCTION("""COMPUTED_VALUE"""),"Aura")</f>
        <v>Aura</v>
      </c>
      <c r="BA338" s="604" t="e">
        <f ca="1">VLOOKUP(AZ338,#REF!,2, FALSE)</f>
        <v>#REF!</v>
      </c>
      <c r="BB338" s="670">
        <f ca="1">VLOOKUP(AZ338,'1) Kpler'!$E$2:$F$500,2,FALSE)</f>
        <v>80138</v>
      </c>
      <c r="BC338" s="604" t="s">
        <v>1669</v>
      </c>
      <c r="BD338" s="605"/>
      <c r="BE338" s="46"/>
      <c r="BF338" s="46"/>
      <c r="BG338" s="618" t="s">
        <v>1670</v>
      </c>
      <c r="BH338" s="604" t="s">
        <v>1671</v>
      </c>
      <c r="BI338" s="605"/>
      <c r="BJ338" s="605"/>
    </row>
    <row r="339" spans="2:62" x14ac:dyDescent="0.25">
      <c r="B339" s="563">
        <f>VLOOKUP(F339,'2) Tracker'!$A$3:$O$411,5,FALSE)</f>
        <v>0</v>
      </c>
      <c r="C339" s="671">
        <f>VLOOKUP(F339,'2) Tracker'!$A$3:$O$411,4,FALSE)</f>
        <v>0</v>
      </c>
      <c r="D339" s="563" t="s">
        <v>1569</v>
      </c>
      <c r="E339" s="563"/>
      <c r="F339" s="590" t="s">
        <v>380</v>
      </c>
      <c r="G339" s="563">
        <v>2025</v>
      </c>
      <c r="H339" s="642">
        <v>88000</v>
      </c>
      <c r="I339" s="593" t="str">
        <f>VLOOKUP(F339,'2) Tracker'!$A$2:$BO$361,9,FALSE)</f>
        <v>Chevron</v>
      </c>
      <c r="J339" s="594" t="str">
        <f>VLOOKUP(F339,'2) Tracker'!$A$2:$BO$361,12,FALSE)</f>
        <v>loads USG</v>
      </c>
      <c r="K339" s="596" t="str">
        <f t="shared" si="491"/>
        <v/>
      </c>
      <c r="L339" s="639"/>
      <c r="N339" s="596" t="str">
        <f t="shared" ref="N339:O339" si="493">AG339</f>
        <v/>
      </c>
      <c r="O339" s="597" t="str">
        <f t="shared" si="493"/>
        <v/>
      </c>
      <c r="P339" s="598" t="str">
        <f>IFERROR(IF(VLOOKUP(F339,'Voyage days'!$M$808:$N$819,2,FALSE),"GOA",""),"")</f>
        <v/>
      </c>
      <c r="Q339" s="596" t="str">
        <f t="shared" si="287"/>
        <v/>
      </c>
      <c r="R339" s="595" t="str">
        <f t="shared" si="289"/>
        <v/>
      </c>
      <c r="S339" s="595" t="str">
        <f t="shared" si="409"/>
        <v/>
      </c>
      <c r="T339" s="596" t="str">
        <f t="shared" si="410"/>
        <v/>
      </c>
      <c r="U339" s="595" t="str">
        <f t="shared" si="290"/>
        <v/>
      </c>
      <c r="V339" s="616"/>
      <c r="W339" s="616" t="str">
        <f t="shared" si="291"/>
        <v/>
      </c>
      <c r="X339" s="599" t="str">
        <f t="shared" si="411"/>
        <v/>
      </c>
      <c r="Y339" s="594"/>
      <c r="Z339" s="600" t="str">
        <f>VLOOKUP(F339,'2) Tracker'!$A$3:$Q$505,16,FALSE)</f>
        <v>drifing USG 02 Apr</v>
      </c>
      <c r="AA339" s="600" t="str">
        <f>VLOOKUP(F339,'2) Tracker'!$A$3:$R$505,18,FALSE)</f>
        <v>Chevron 18-19 Apr USG?</v>
      </c>
      <c r="AB339" s="600">
        <f>VLOOKUP(F339,'2) Tracker'!$A$3:$Q$505,17,FALSE)</f>
        <v>0</v>
      </c>
      <c r="AC339" s="601"/>
      <c r="AD339" s="601" t="str">
        <f>VLOOKUP(F339,'2) Tracker'!$A$2:$BO$981,37,FALSE)</f>
        <v/>
      </c>
      <c r="AE339" s="601" t="str">
        <f>VLOOKUP(F339,'2) Tracker'!$A$2:$BO$981,40,FALSE)</f>
        <v/>
      </c>
      <c r="AF339" s="601" t="str">
        <f>VLOOKUP(F339,'2) Tracker'!$A$2:$BO$981,67,FALSE)</f>
        <v/>
      </c>
      <c r="AG339" s="601" t="str">
        <f>VLOOKUP(F339,'2) Tracker'!$A$2:$BO$981,34,FALSE)</f>
        <v/>
      </c>
      <c r="AH339" s="601" t="str">
        <f>VLOOKUP(F339,'2) Tracker'!$A$2:$BN$981,66,FALSE)</f>
        <v/>
      </c>
      <c r="AI339" s="601" t="str">
        <f>VLOOKUP(F339,'2) Tracker'!$A$2:$BO$981,56,FALSE)</f>
        <v/>
      </c>
      <c r="AJ339" s="601" t="str">
        <f>VLOOKUP(F339,'2) Tracker'!$A$2:$BO$981,52,FALSE)</f>
        <v/>
      </c>
      <c r="AK339" s="601" t="str">
        <f>VLOOKUP(F339,'2) Tracker'!$A$2:$AQ$981,43,FALSE)</f>
        <v/>
      </c>
      <c r="AL339" s="601" t="str">
        <f>VLOOKUP(F339,'2) Tracker'!$A$2:$BH$981,46,FALSE())</f>
        <v/>
      </c>
      <c r="AM339" s="601" t="str">
        <f>VLOOKUP(F339,'2) Tracker'!$A$2:$BO$981,65,FALSE())</f>
        <v/>
      </c>
      <c r="AN339" s="601" t="str">
        <f>VLOOKUP(F339,'2) Tracker'!$A$2:$BK$981,63,FALSE())</f>
        <v/>
      </c>
      <c r="AO339" s="601" t="str">
        <f>VLOOKUP(F339,'2) Tracker'!$A$2:$BF$981,58,FALSE())</f>
        <v/>
      </c>
      <c r="AP339" s="46"/>
      <c r="AQ339" s="46"/>
      <c r="AR339" s="46"/>
      <c r="AS339" s="46"/>
      <c r="AT339" s="46"/>
      <c r="AU339" s="46"/>
      <c r="AV339" s="560" t="s">
        <v>1558</v>
      </c>
      <c r="AW339" s="46"/>
      <c r="AX339" s="46"/>
      <c r="AY339" s="46"/>
      <c r="AZ339" s="605" t="str">
        <f ca="1">IFERROR(__xludf.DUMMYFUNCTION("""COMPUTED_VALUE"""),"Aurora")</f>
        <v>Aurora</v>
      </c>
      <c r="BA339" s="604" t="e">
        <f ca="1">VLOOKUP(AZ339,#REF!,2, FALSE)</f>
        <v>#REF!</v>
      </c>
      <c r="BB339" s="670">
        <f ca="1">VLOOKUP(AZ339,'1) Kpler'!$E$2:$F$500,2,FALSE)</f>
        <v>78462</v>
      </c>
      <c r="BC339" s="604" t="s">
        <v>1588</v>
      </c>
      <c r="BD339" s="605"/>
      <c r="BE339" s="46"/>
      <c r="BF339" s="46"/>
      <c r="BG339" s="605"/>
      <c r="BH339" s="605"/>
      <c r="BI339" s="605"/>
      <c r="BJ339" s="605"/>
    </row>
    <row r="340" spans="2:62" x14ac:dyDescent="0.25">
      <c r="B340" s="563"/>
      <c r="C340" s="671"/>
      <c r="D340" s="563" t="s">
        <v>1569</v>
      </c>
      <c r="E340" s="563"/>
      <c r="F340" s="569" t="s">
        <v>185</v>
      </c>
      <c r="G340" s="591">
        <v>2026</v>
      </c>
      <c r="H340" s="592">
        <v>80550</v>
      </c>
      <c r="I340" s="600" t="str">
        <f>VLOOKUP(F340,'2) Tracker'!$A$2:$BO$361,9,FALSE)</f>
        <v>Vitol</v>
      </c>
      <c r="J340" s="594" t="str">
        <f>VLOOKUP(F340,'2) Tracker'!$A$2:$BO$361,12,FALSE)</f>
        <v>Mohammedia</v>
      </c>
      <c r="K340" s="596"/>
      <c r="L340" s="596"/>
      <c r="M340" s="596"/>
      <c r="N340" s="596" t="str">
        <f t="shared" ref="N340:O340" si="494">AG340</f>
        <v/>
      </c>
      <c r="O340" s="597" t="str">
        <f t="shared" si="494"/>
        <v/>
      </c>
      <c r="P340" s="598" t="str">
        <f>IFERROR(IF(VLOOKUP(F333,'Voyage days'!$M$808:$N$819,2,FALSE),"GOA",""),"")</f>
        <v/>
      </c>
      <c r="Q340" s="597">
        <f t="shared" si="287"/>
        <v>46140</v>
      </c>
      <c r="R340" s="596">
        <f t="shared" si="289"/>
        <v>46147</v>
      </c>
      <c r="S340" s="595">
        <f t="shared" si="409"/>
        <v>46140</v>
      </c>
      <c r="T340" s="595">
        <f t="shared" si="410"/>
        <v>46148</v>
      </c>
      <c r="U340" s="596" t="str">
        <f t="shared" si="290"/>
        <v/>
      </c>
      <c r="V340" s="596"/>
      <c r="W340" s="596" t="str">
        <f t="shared" si="291"/>
        <v/>
      </c>
      <c r="X340" s="599" t="str">
        <f t="shared" si="411"/>
        <v/>
      </c>
      <c r="Y340" s="594"/>
      <c r="Z340" s="600" t="str">
        <f>VLOOKUP(F340,'2) Tracker'!$A$3:$Q$505,16,FALSE)</f>
        <v>ETA Mohammedia 22 Apr</v>
      </c>
      <c r="AA340" s="600" t="str">
        <f>VLOOKUP(F340,'2) Tracker'!$A$3:$R$505,18,FALSE)</f>
        <v>Vitol 05 Apr Enterprise</v>
      </c>
      <c r="AB340" s="600">
        <f>VLOOKUP(F340,'2) Tracker'!$A$3:$Q$505,17,FALSE)</f>
        <v>0</v>
      </c>
      <c r="AC340" s="601"/>
      <c r="AD340" s="601">
        <f>VLOOKUP(F340,'2) Tracker'!$A$2:$BO$981,37,FALSE)</f>
        <v>46152</v>
      </c>
      <c r="AE340" s="601">
        <f>VLOOKUP(F340,'2) Tracker'!$A$2:$BO$981,40,FALSE)</f>
        <v>46153</v>
      </c>
      <c r="AF340" s="601" t="str">
        <f>VLOOKUP(F340,'2) Tracker'!$A$2:$BO$981,67,FALSE)</f>
        <v/>
      </c>
      <c r="AG340" s="601" t="str">
        <f>VLOOKUP(F340,'2) Tracker'!$A$2:$BO$981,34,FALSE)</f>
        <v/>
      </c>
      <c r="AH340" s="601" t="str">
        <f>VLOOKUP(F340,'2) Tracker'!$A$2:$BN$981,66,FALSE)</f>
        <v/>
      </c>
      <c r="AI340" s="601" t="str">
        <f>VLOOKUP(F340,'2) Tracker'!$A$2:$BO$981,56,FALSE)</f>
        <v/>
      </c>
      <c r="AJ340" s="601" t="str">
        <f>VLOOKUP(F340,'2) Tracker'!$A$2:$BO$981,52,FALSE)</f>
        <v/>
      </c>
      <c r="AK340" s="601">
        <f>VLOOKUP(F340,'2) Tracker'!$A$2:$AQ$981,43,FALSE)</f>
        <v>46148</v>
      </c>
      <c r="AL340" s="601">
        <f>VLOOKUP(F340,'2) Tracker'!$A$2:$BH$981,46,FALSE())</f>
        <v>46140</v>
      </c>
      <c r="AM340" s="601">
        <f>VLOOKUP(F340,'2) Tracker'!$A$2:$BO$981,65,FALSE())</f>
        <v>46140</v>
      </c>
      <c r="AN340" s="601">
        <f>VLOOKUP(F340,'2) Tracker'!$A$2:$BK$981,63,FALSE())</f>
        <v>46147</v>
      </c>
      <c r="AO340" s="601" t="str">
        <f>VLOOKUP(F340,'2) Tracker'!$A$2:$BF$981,58,FALSE())</f>
        <v/>
      </c>
      <c r="AP340" s="46"/>
      <c r="AQ340" s="46"/>
      <c r="AR340" s="46"/>
      <c r="AS340" s="46"/>
      <c r="AT340" s="46"/>
      <c r="AU340" s="46"/>
      <c r="AV340" s="46"/>
      <c r="AW340" s="46"/>
      <c r="AX340" s="46"/>
      <c r="AY340" s="46"/>
      <c r="AZ340" s="605" t="str">
        <f ca="1">IFERROR(__xludf.DUMMYFUNCTION("""COMPUTED_VALUE"""),"Axon I")</f>
        <v>Axon I</v>
      </c>
      <c r="BA340" s="604"/>
      <c r="BB340" s="605"/>
      <c r="BC340" s="604"/>
      <c r="BD340" s="605"/>
      <c r="BE340" s="46"/>
      <c r="BF340" s="46"/>
      <c r="BG340" s="605"/>
      <c r="BH340" s="605"/>
      <c r="BI340" s="605"/>
      <c r="BJ340" s="605"/>
    </row>
    <row r="341" spans="2:62" x14ac:dyDescent="0.25">
      <c r="B341" s="563" t="str">
        <f>VLOOKUP(F341,'2) Tracker'!$A$3:$O$411,5,FALSE)</f>
        <v>S</v>
      </c>
      <c r="C341" s="671" t="str">
        <f>VLOOKUP(F341,'2) Tracker'!$A$3:$O$411,4,FALSE)</f>
        <v>HPCL</v>
      </c>
      <c r="D341" s="563"/>
      <c r="E341" s="563"/>
      <c r="F341" s="604" t="s">
        <v>1409</v>
      </c>
      <c r="G341" s="607">
        <v>39448</v>
      </c>
      <c r="H341" s="592">
        <v>84601</v>
      </c>
      <c r="I341" s="600" t="str">
        <f>VLOOKUP(F341,'2) Tracker'!$A$2:$BO$361,9,FALSE)</f>
        <v>BW</v>
      </c>
      <c r="J341" s="594" t="str">
        <f>VLOOKUP(F341,'2) Tracker'!$A$2:$BO$361,12,FALSE)</f>
        <v>loads AG</v>
      </c>
      <c r="K341" s="596"/>
      <c r="L341" s="596"/>
      <c r="M341" s="596"/>
      <c r="N341" s="596">
        <f t="shared" ref="N341:O341" si="495">AG341</f>
        <v>46123</v>
      </c>
      <c r="O341" s="597">
        <f t="shared" si="495"/>
        <v>46148</v>
      </c>
      <c r="P341" s="598" t="str">
        <f>IFERROR(IF(VLOOKUP(F339,'Voyage days'!$M$808:$N$819,2,FALSE),"GOA",""),"")</f>
        <v/>
      </c>
      <c r="Q341" s="596">
        <f t="shared" si="287"/>
        <v>46126</v>
      </c>
      <c r="R341" s="596">
        <f t="shared" si="289"/>
        <v>46123</v>
      </c>
      <c r="S341" s="595" t="str">
        <f t="shared" si="409"/>
        <v/>
      </c>
      <c r="T341" s="595" t="str">
        <f t="shared" si="410"/>
        <v/>
      </c>
      <c r="U341" s="596" t="str">
        <f t="shared" si="290"/>
        <v/>
      </c>
      <c r="V341" s="596"/>
      <c r="W341" s="596">
        <f t="shared" si="291"/>
        <v>46142</v>
      </c>
      <c r="X341" s="599" t="str">
        <f t="shared" si="411"/>
        <v/>
      </c>
      <c r="Y341" s="614" t="s">
        <v>1672</v>
      </c>
      <c r="Z341" s="600" t="str">
        <f>VLOOKUP(F341,'2) Tracker'!$A$3:$Q$505,16,FALSE)</f>
        <v>drifting near Sharjah 19 Apr</v>
      </c>
      <c r="AA341" s="600" t="str">
        <f>VLOOKUP(F341,'2) Tracker'!$A$3:$R$505,18,FALSE)</f>
        <v>QE short TC 01 Apr onwards</v>
      </c>
      <c r="AB341" s="600">
        <f>VLOOKUP(F341,'2) Tracker'!$A$3:$Q$505,17,FALSE)</f>
        <v>0</v>
      </c>
      <c r="AC341" s="601"/>
      <c r="AD341" s="601" t="str">
        <f>VLOOKUP(F341,'2) Tracker'!$A$2:$BO$981,37,FALSE)</f>
        <v/>
      </c>
      <c r="AE341" s="601" t="str">
        <f>VLOOKUP(F341,'2) Tracker'!$A$2:$BO$981,40,FALSE)</f>
        <v/>
      </c>
      <c r="AF341" s="601" t="str">
        <f>VLOOKUP(F341,'2) Tracker'!$A$2:$BO$981,67,FALSE)</f>
        <v/>
      </c>
      <c r="AG341" s="601">
        <f>VLOOKUP(F341,'2) Tracker'!$A$2:$BO$981,34,FALSE)</f>
        <v>46123</v>
      </c>
      <c r="AH341" s="601">
        <f>VLOOKUP(F341,'2) Tracker'!$A$2:$BN$981,66,FALSE)</f>
        <v>46148</v>
      </c>
      <c r="AI341" s="601" t="str">
        <f>VLOOKUP(F341,'2) Tracker'!$A$2:$BO$981,56,FALSE)</f>
        <v/>
      </c>
      <c r="AJ341" s="601">
        <f>VLOOKUP(F341,'2) Tracker'!$A$2:$BO$981,52,FALSE)</f>
        <v>46142</v>
      </c>
      <c r="AK341" s="601" t="str">
        <f>VLOOKUP(F341,'2) Tracker'!$A$2:$AQ$981,43,FALSE)</f>
        <v/>
      </c>
      <c r="AL341" s="601" t="str">
        <f>VLOOKUP(F341,'2) Tracker'!$A$2:$BH$981,46,FALSE())</f>
        <v/>
      </c>
      <c r="AM341" s="601">
        <f>VLOOKUP(F341,'2) Tracker'!$A$2:$BO$981,65,FALSE())</f>
        <v>46126</v>
      </c>
      <c r="AN341" s="601">
        <f>VLOOKUP(F341,'2) Tracker'!$A$2:$BK$981,63,FALSE())</f>
        <v>46123</v>
      </c>
      <c r="AO341" s="601" t="str">
        <f>VLOOKUP(F341,'2) Tracker'!$A$2:$BF$981,58,FALSE())</f>
        <v/>
      </c>
      <c r="AP341" s="46"/>
      <c r="AQ341" s="46"/>
      <c r="AR341" s="46"/>
      <c r="AS341" s="46"/>
      <c r="AT341" s="46"/>
      <c r="AU341" s="46"/>
      <c r="AV341" s="46"/>
      <c r="AW341" s="46"/>
      <c r="AX341" s="46"/>
      <c r="AY341" s="46"/>
      <c r="AZ341" s="605" t="str">
        <f ca="1">IFERROR(__xludf.DUMMYFUNCTION("""COMPUTED_VALUE"""),"Banian")</f>
        <v>Banian</v>
      </c>
      <c r="BA341" s="604"/>
      <c r="BB341" s="605"/>
      <c r="BC341" s="604"/>
      <c r="BD341" s="605"/>
      <c r="BE341" s="46"/>
      <c r="BF341" s="46"/>
      <c r="BG341" s="605"/>
      <c r="BH341" s="605"/>
      <c r="BI341" s="605"/>
      <c r="BJ341" s="605"/>
    </row>
    <row r="342" spans="2:62" x14ac:dyDescent="0.25">
      <c r="B342" s="563"/>
      <c r="C342" s="671"/>
      <c r="D342" s="563"/>
      <c r="E342" s="563"/>
      <c r="F342" s="569" t="s">
        <v>78</v>
      </c>
      <c r="G342" s="591">
        <v>2026</v>
      </c>
      <c r="H342" s="592">
        <v>86665</v>
      </c>
      <c r="I342" s="600" t="str">
        <f>VLOOKUP(F342,'2) Tracker'!$A$2:$BO$361,9,FALSE)</f>
        <v>AltaGas</v>
      </c>
      <c r="J342" s="594">
        <f>VLOOKUP(F342,'2) Tracker'!$A$2:$BO$361,12,FALSE)</f>
        <v>0</v>
      </c>
      <c r="K342" s="596"/>
      <c r="L342" s="596"/>
      <c r="M342" s="596"/>
      <c r="N342" s="596" t="str">
        <f t="shared" ref="N342:O342" si="496">AG342</f>
        <v/>
      </c>
      <c r="O342" s="597" t="str">
        <f t="shared" si="496"/>
        <v/>
      </c>
      <c r="P342" s="598" t="str">
        <f>IFERROR(IF(VLOOKUP(F335,'Voyage days'!$M$808:$N$819,2,FALSE),"GOA",""),"")</f>
        <v>GOA</v>
      </c>
      <c r="Q342" s="597" t="str">
        <f t="shared" si="287"/>
        <v/>
      </c>
      <c r="R342" s="596" t="str">
        <f t="shared" si="289"/>
        <v/>
      </c>
      <c r="S342" s="595" t="str">
        <f t="shared" si="409"/>
        <v/>
      </c>
      <c r="T342" s="595" t="str">
        <f t="shared" si="410"/>
        <v/>
      </c>
      <c r="U342" s="596" t="str">
        <f t="shared" si="290"/>
        <v/>
      </c>
      <c r="V342" s="596"/>
      <c r="W342" s="596" t="str">
        <f t="shared" si="291"/>
        <v/>
      </c>
      <c r="X342" s="599" t="str">
        <f t="shared" si="411"/>
        <v/>
      </c>
      <c r="Y342" s="594"/>
      <c r="Z342" s="600" t="str">
        <f>VLOOKUP(F342,'2) Tracker'!$A$3:$Q$505,16,FALSE)</f>
        <v>New Build @ Japan</v>
      </c>
      <c r="AA342" s="600">
        <f>VLOOKUP(F342,'2) Tracker'!$A$3:$R$505,18,FALSE)</f>
        <v>0</v>
      </c>
      <c r="AB342" s="600">
        <f>VLOOKUP(F342,'2) Tracker'!$A$3:$Q$505,17,FALSE)</f>
        <v>0</v>
      </c>
      <c r="AC342" s="601"/>
      <c r="AD342" s="601" t="str">
        <f>VLOOKUP(F342,'2) Tracker'!$A$2:$BO$981,37,FALSE)</f>
        <v/>
      </c>
      <c r="AE342" s="601" t="str">
        <f>VLOOKUP(F342,'2) Tracker'!$A$2:$BO$981,40,FALSE)</f>
        <v/>
      </c>
      <c r="AF342" s="601" t="str">
        <f>VLOOKUP(F342,'2) Tracker'!$A$2:$BO$981,67,FALSE)</f>
        <v/>
      </c>
      <c r="AG342" s="601" t="str">
        <f>VLOOKUP(F342,'2) Tracker'!$A$2:$BO$981,34,FALSE)</f>
        <v/>
      </c>
      <c r="AH342" s="601" t="str">
        <f>VLOOKUP(F342,'2) Tracker'!$A$2:$BN$981,66,FALSE)</f>
        <v/>
      </c>
      <c r="AI342" s="601" t="str">
        <f>VLOOKUP(F342,'2) Tracker'!$A$2:$BO$981,56,FALSE)</f>
        <v/>
      </c>
      <c r="AJ342" s="601" t="str">
        <f>VLOOKUP(F342,'2) Tracker'!$A$2:$BO$981,52,FALSE)</f>
        <v/>
      </c>
      <c r="AK342" s="601" t="str">
        <f>VLOOKUP(F342,'2) Tracker'!$A$2:$AQ$981,43,FALSE)</f>
        <v/>
      </c>
      <c r="AL342" s="601" t="str">
        <f>VLOOKUP(F342,'2) Tracker'!$A$2:$BH$981,46,FALSE())</f>
        <v/>
      </c>
      <c r="AM342" s="601" t="str">
        <f>VLOOKUP(F342,'2) Tracker'!$A$2:$BO$981,65,FALSE())</f>
        <v/>
      </c>
      <c r="AN342" s="601" t="str">
        <f>VLOOKUP(F342,'2) Tracker'!$A$2:$BK$981,63,FALSE())</f>
        <v/>
      </c>
      <c r="AO342" s="601" t="str">
        <f>VLOOKUP(F342,'2) Tracker'!$A$2:$BF$981,58,FALSE())</f>
        <v/>
      </c>
      <c r="AP342" s="46"/>
      <c r="AQ342" s="46"/>
      <c r="AR342" s="46"/>
      <c r="AS342" s="46"/>
      <c r="AT342" s="46"/>
      <c r="AU342" s="46"/>
      <c r="AV342" s="46"/>
      <c r="AW342" s="46"/>
      <c r="AX342" s="46"/>
      <c r="AY342" s="46"/>
      <c r="AZ342" s="605" t="str">
        <f ca="1">IFERROR(__xludf.DUMMYFUNCTION("""COMPUTED_VALUE"""),"Bao Yu")</f>
        <v>Bao Yu</v>
      </c>
      <c r="BA342" s="604"/>
      <c r="BB342" s="605"/>
      <c r="BC342" s="604"/>
      <c r="BD342" s="605"/>
      <c r="BE342" s="46"/>
      <c r="BF342" s="46"/>
      <c r="BG342" s="605"/>
      <c r="BH342" s="605"/>
      <c r="BI342" s="605"/>
      <c r="BJ342" s="605"/>
    </row>
    <row r="343" spans="2:62" x14ac:dyDescent="0.25">
      <c r="B343" s="563" t="e">
        <f>VLOOKUP(#REF!,'2) Tracker'!$A$3:$O$411,5,FALSE)</f>
        <v>#REF!</v>
      </c>
      <c r="C343" s="671" t="e">
        <f>VLOOKUP(#REF!,'2) Tracker'!$A$3:$O$411,4,FALSE)</f>
        <v>#REF!</v>
      </c>
      <c r="D343" s="563"/>
      <c r="E343" s="563"/>
      <c r="F343" s="604" t="s">
        <v>346</v>
      </c>
      <c r="G343" s="591">
        <f>VLOOKUP(F343,'2) Tracker'!$A$2:$BO$361,2,FALSE)</f>
        <v>2026</v>
      </c>
      <c r="H343" s="592">
        <f>VLOOKUP(F343,'2) Tracker'!$A$2:$BO$361,3,FALSE)</f>
        <v>93000</v>
      </c>
      <c r="I343" s="600" t="str">
        <f>VLOOKUP(F343,'2) Tracker'!$A$2:$BO$361,9,FALSE)</f>
        <v xml:space="preserve">Naftomar&gt; </v>
      </c>
      <c r="J343" s="594" t="str">
        <f>VLOOKUP(F343,'2) Tracker'!$A$2:$BO$361,12,FALSE)</f>
        <v>Cape laden</v>
      </c>
      <c r="K343" s="596">
        <f t="shared" ref="K343:O343" si="497">AD343</f>
        <v>0</v>
      </c>
      <c r="L343" s="596">
        <f t="shared" si="497"/>
        <v>0</v>
      </c>
      <c r="M343" s="596">
        <f t="shared" si="497"/>
        <v>0</v>
      </c>
      <c r="N343" s="596">
        <f t="shared" si="497"/>
        <v>0</v>
      </c>
      <c r="O343" s="597">
        <f t="shared" si="497"/>
        <v>0</v>
      </c>
      <c r="P343" s="598" t="str">
        <f>IFERROR(IF(VLOOKUP(F343,'Voyage days'!$M$808:$N$819,2,FALSE),"GOA",""),"")</f>
        <v/>
      </c>
      <c r="Q343" s="596">
        <f t="shared" si="287"/>
        <v>0</v>
      </c>
      <c r="R343" s="596">
        <f t="shared" si="289"/>
        <v>0</v>
      </c>
      <c r="S343" s="595">
        <f t="shared" si="409"/>
        <v>0</v>
      </c>
      <c r="T343" s="596">
        <f t="shared" si="410"/>
        <v>0</v>
      </c>
      <c r="U343" s="596">
        <f t="shared" si="290"/>
        <v>0</v>
      </c>
      <c r="V343" s="596"/>
      <c r="W343" s="596">
        <f t="shared" si="291"/>
        <v>0</v>
      </c>
      <c r="X343" s="599">
        <f t="shared" si="411"/>
        <v>0</v>
      </c>
      <c r="Y343" s="594"/>
      <c r="Z343" s="600" t="str">
        <f>VLOOKUP(F343,'2) Tracker'!$A$3:$Q$505,16,FALSE)</f>
        <v>ETA Cape Town 02 May, for orders</v>
      </c>
      <c r="AA343" s="600" t="str">
        <f>VLOOKUP(F343,'2) Tracker'!$A$3:$R$505,18,FALSE)</f>
        <v>? 07 Apr Enterprise</v>
      </c>
      <c r="AB343" s="600">
        <f>VLOOKUP(F343,'2) Tracker'!$A$3:$Q$505,17,FALSE)</f>
        <v>0</v>
      </c>
      <c r="AC343" s="601"/>
      <c r="AD343" s="601">
        <f>VLOOKUP(F343,'2) Tracker'!$A$2:$BO$981,37,FALSE)</f>
        <v>0</v>
      </c>
      <c r="AE343" s="601">
        <f>VLOOKUP(F343,'2) Tracker'!$A$2:$BO$981,40,FALSE)</f>
        <v>0</v>
      </c>
      <c r="AF343" s="601">
        <f>VLOOKUP(F343,'2) Tracker'!$A$2:$BO$981,67,FALSE)</f>
        <v>0</v>
      </c>
      <c r="AG343" s="601">
        <f>VLOOKUP(F343,'2) Tracker'!$A$2:$BO$981,34,FALSE)</f>
        <v>0</v>
      </c>
      <c r="AH343" s="601">
        <f>VLOOKUP(F343,'2) Tracker'!$A$2:$BN$981,66,FALSE)</f>
        <v>0</v>
      </c>
      <c r="AI343" s="601">
        <f>VLOOKUP(F343,'2) Tracker'!$A$2:$BO$981,56,FALSE)</f>
        <v>0</v>
      </c>
      <c r="AJ343" s="601">
        <f>VLOOKUP(F343,'2) Tracker'!$A$2:$BO$981,52,FALSE)</f>
        <v>0</v>
      </c>
      <c r="AK343" s="601">
        <f>VLOOKUP(F343,'2) Tracker'!$A$2:$AQ$981,43,FALSE)</f>
        <v>0</v>
      </c>
      <c r="AL343" s="601">
        <f>VLOOKUP(F343,'2) Tracker'!$A$2:$BH$981,46,FALSE())</f>
        <v>0</v>
      </c>
      <c r="AM343" s="601">
        <f>VLOOKUP(F343,'2) Tracker'!$A$2:$BO$981,65,FALSE())</f>
        <v>0</v>
      </c>
      <c r="AN343" s="601">
        <f>VLOOKUP(F343,'2) Tracker'!$A$2:$BK$981,63,FALSE())</f>
        <v>0</v>
      </c>
      <c r="AO343" s="601">
        <f>VLOOKUP(F343,'2) Tracker'!$A$2:$BF$981,58,FALSE())</f>
        <v>0</v>
      </c>
      <c r="AP343" s="46"/>
      <c r="AQ343" s="46"/>
      <c r="AR343" s="46"/>
      <c r="AS343" s="46"/>
      <c r="AT343" s="46"/>
      <c r="AU343" s="46"/>
      <c r="AV343" s="46" t="s">
        <v>1673</v>
      </c>
      <c r="AW343" s="46"/>
      <c r="AX343" s="46"/>
      <c r="AY343" s="46"/>
      <c r="AZ343" s="605" t="str">
        <f ca="1">IFERROR(__xludf.DUMMYFUNCTION("""COMPUTED_VALUE"""),"Bw Birch")</f>
        <v>Bw Birch</v>
      </c>
      <c r="BA343" s="634" t="e">
        <f ca="1">VLOOKUP(AZ343,#REF!,2, FALSE)</f>
        <v>#REF!</v>
      </c>
      <c r="BB343" s="670">
        <f ca="1">VLOOKUP(AZ343,'1) Kpler'!$E$2:$F$500,2,FALSE)</f>
        <v>82291</v>
      </c>
      <c r="BC343" s="604" t="s">
        <v>1588</v>
      </c>
      <c r="BD343" s="605"/>
      <c r="BE343" s="46"/>
      <c r="BF343" s="46"/>
      <c r="BG343" s="605"/>
      <c r="BH343" s="605"/>
      <c r="BI343" s="605"/>
      <c r="BJ343" s="605"/>
    </row>
    <row r="344" spans="2:62" x14ac:dyDescent="0.25">
      <c r="B344" s="563"/>
      <c r="C344" s="671"/>
      <c r="D344" s="563"/>
      <c r="E344" s="563">
        <f>VLOOKUP(F343,'2) Tracker'!$A$3:$O$407,15,FALSE)</f>
        <v>0</v>
      </c>
      <c r="F344" s="590" t="s">
        <v>382</v>
      </c>
      <c r="G344" s="607">
        <f>VLOOKUP(F344,'2) Tracker'!$A$2:$BO$361,2,FALSE)</f>
        <v>42291</v>
      </c>
      <c r="H344" s="592">
        <f>VLOOKUP(F344,'2) Tracker'!$A$2:$BO$361,3,FALSE)</f>
        <v>80000</v>
      </c>
      <c r="I344" s="593" t="str">
        <f>VLOOKUP(F344,'2) Tracker'!$A$2:$BO$361,9,FALSE)</f>
        <v>Chevron</v>
      </c>
      <c r="J344" s="594" t="str">
        <f>VLOOKUP(F344,'2) Tracker'!$A$2:$BO$361,12,FALSE)</f>
        <v>loads USG</v>
      </c>
      <c r="K344" s="596">
        <f t="shared" ref="K344:O344" si="498">AD344</f>
        <v>0</v>
      </c>
      <c r="L344" s="596">
        <f t="shared" si="498"/>
        <v>0</v>
      </c>
      <c r="M344" s="596">
        <f t="shared" si="498"/>
        <v>0</v>
      </c>
      <c r="N344" s="597">
        <f t="shared" si="498"/>
        <v>0</v>
      </c>
      <c r="O344" s="597">
        <f t="shared" si="498"/>
        <v>0</v>
      </c>
      <c r="P344" s="598" t="str">
        <f>IFERROR(IF(VLOOKUP(F344,'Voyage days'!$M$808:$N$821,2,FALSE),"GOA",""),"")</f>
        <v/>
      </c>
      <c r="Q344" s="596">
        <f t="shared" si="287"/>
        <v>0</v>
      </c>
      <c r="R344" s="596">
        <f t="shared" si="289"/>
        <v>0</v>
      </c>
      <c r="S344" s="595">
        <f t="shared" si="409"/>
        <v>0</v>
      </c>
      <c r="T344" s="595">
        <f t="shared" si="410"/>
        <v>0</v>
      </c>
      <c r="U344" s="596">
        <f t="shared" si="290"/>
        <v>0</v>
      </c>
      <c r="V344" s="596"/>
      <c r="W344" s="596">
        <f t="shared" si="291"/>
        <v>0</v>
      </c>
      <c r="X344" s="599">
        <f t="shared" si="411"/>
        <v>0</v>
      </c>
      <c r="Y344" s="606"/>
      <c r="AP344" s="46"/>
      <c r="AQ344" s="46"/>
      <c r="AR344" s="46"/>
      <c r="AS344" s="46"/>
      <c r="AT344" s="46"/>
      <c r="AU344" s="46"/>
      <c r="AV344" s="46"/>
      <c r="AW344" s="46"/>
      <c r="AX344" s="46"/>
      <c r="AY344" s="46"/>
      <c r="AZ344" s="605" t="str">
        <f ca="1">IFERROR(__xludf.DUMMYFUNCTION("""COMPUTED_VALUE"""),"Bw Chinook")</f>
        <v>Bw Chinook</v>
      </c>
      <c r="BA344" s="604"/>
      <c r="BB344" s="605"/>
      <c r="BC344" s="604"/>
      <c r="BD344" s="605"/>
      <c r="BE344" s="46"/>
      <c r="BF344" s="46"/>
      <c r="BG344" s="605"/>
      <c r="BH344" s="605"/>
      <c r="BI344" s="605"/>
      <c r="BJ344" s="605"/>
    </row>
    <row r="345" spans="2:62" x14ac:dyDescent="0.25">
      <c r="B345" s="569"/>
      <c r="C345" s="671" t="str">
        <f>VLOOKUP(F344,'2) Tracker'!$A$3:$O$411,4,FALSE)</f>
        <v>US</v>
      </c>
      <c r="D345" s="563" t="s">
        <v>1569</v>
      </c>
      <c r="E345" s="563">
        <f>VLOOKUP(F344,'2) Tracker'!$A$3:$O$407,15,FALSE)</f>
        <v>0</v>
      </c>
      <c r="F345" s="569"/>
      <c r="G345" s="563"/>
      <c r="H345" s="563"/>
      <c r="I345" s="600"/>
      <c r="J345" s="569"/>
      <c r="K345" s="563"/>
      <c r="L345" s="563"/>
      <c r="M345" s="563"/>
      <c r="N345" s="563"/>
      <c r="O345" s="563"/>
      <c r="P345" s="563"/>
      <c r="Q345" s="563"/>
      <c r="R345" s="563"/>
      <c r="S345" s="563"/>
      <c r="T345" s="563"/>
      <c r="U345" s="563"/>
      <c r="V345" s="563"/>
      <c r="W345" s="563"/>
      <c r="X345" s="565"/>
      <c r="Y345" s="612"/>
      <c r="Z345" s="612"/>
      <c r="AA345" s="563"/>
      <c r="AB345" s="612"/>
      <c r="AC345" s="569"/>
      <c r="AD345" s="563"/>
      <c r="AE345" s="563"/>
      <c r="AF345" s="563"/>
      <c r="AG345" s="563"/>
      <c r="AH345" s="563"/>
      <c r="AI345" s="563"/>
      <c r="AJ345" s="605"/>
      <c r="AK345" s="563"/>
      <c r="AL345" s="563"/>
      <c r="AM345" s="563"/>
      <c r="AN345" s="563"/>
      <c r="AO345" s="563"/>
      <c r="AP345" s="46"/>
      <c r="AQ345" s="46"/>
      <c r="AR345" s="46"/>
      <c r="AS345" s="46"/>
      <c r="AT345" s="46"/>
      <c r="AU345" s="46"/>
      <c r="AV345" s="46"/>
      <c r="AW345" s="46"/>
      <c r="AX345" s="46"/>
      <c r="AY345" s="46"/>
      <c r="AZ345" s="563" t="str">
        <f ca="1">IFERROR(__xludf.DUMMYFUNCTION("""COMPUTED_VALUE"""),"Bw Oak")</f>
        <v>Bw Oak</v>
      </c>
      <c r="BA345" s="569"/>
      <c r="BB345" s="563"/>
      <c r="BC345" s="569"/>
      <c r="BD345" s="563"/>
      <c r="BE345" s="46"/>
      <c r="BF345" s="46"/>
      <c r="BG345" s="563"/>
      <c r="BH345" s="563"/>
      <c r="BI345" s="563"/>
      <c r="BJ345" s="563"/>
    </row>
    <row r="346" spans="2:62" x14ac:dyDescent="0.25">
      <c r="B346" s="569"/>
      <c r="C346" s="672"/>
      <c r="D346" s="563"/>
      <c r="E346" s="563"/>
      <c r="F346" s="569"/>
      <c r="G346" s="563"/>
      <c r="H346" s="563"/>
      <c r="I346" s="600"/>
      <c r="J346" s="569"/>
      <c r="K346" s="563"/>
      <c r="L346" s="563"/>
      <c r="M346" s="563"/>
      <c r="N346" s="563"/>
      <c r="O346" s="563"/>
      <c r="P346" s="563"/>
      <c r="Q346" s="563"/>
      <c r="R346" s="563"/>
      <c r="S346" s="563"/>
      <c r="T346" s="563"/>
      <c r="U346" s="563"/>
      <c r="V346" s="563"/>
      <c r="W346" s="563"/>
      <c r="X346" s="565"/>
      <c r="Y346" s="612"/>
      <c r="Z346" s="612"/>
      <c r="AA346" s="563"/>
      <c r="AB346" s="612"/>
      <c r="AC346" s="569"/>
      <c r="AD346" s="563"/>
      <c r="AE346" s="563"/>
      <c r="AF346" s="563"/>
      <c r="AG346" s="563"/>
      <c r="AH346" s="563"/>
      <c r="AI346" s="563"/>
      <c r="AJ346" s="605"/>
      <c r="AK346" s="563"/>
      <c r="AL346" s="563"/>
      <c r="AM346" s="563"/>
      <c r="AN346" s="563"/>
      <c r="AO346" s="563"/>
      <c r="AP346" s="46"/>
      <c r="AQ346" s="46"/>
      <c r="AR346" s="46"/>
      <c r="AS346" s="46"/>
      <c r="AT346" s="46"/>
      <c r="AU346" s="46"/>
      <c r="AV346" s="46"/>
      <c r="AW346" s="46"/>
      <c r="AX346" s="46"/>
      <c r="AY346" s="46"/>
      <c r="AZ346" s="563" t="str">
        <f ca="1">IFERROR(__xludf.DUMMYFUNCTION("""COMPUTED_VALUE"""),"Bw Tyr")</f>
        <v>Bw Tyr</v>
      </c>
      <c r="BA346" s="569"/>
      <c r="BB346" s="563"/>
      <c r="BC346" s="569"/>
      <c r="BD346" s="563"/>
      <c r="BE346" s="46"/>
      <c r="BF346" s="46"/>
      <c r="BG346" s="563"/>
      <c r="BH346" s="563"/>
      <c r="BI346" s="563"/>
      <c r="BJ346" s="563"/>
    </row>
    <row r="347" spans="2:62" x14ac:dyDescent="0.25">
      <c r="B347" s="569"/>
      <c r="C347" s="672"/>
      <c r="D347" s="563"/>
      <c r="E347" s="563"/>
      <c r="F347" s="569"/>
      <c r="G347" s="563"/>
      <c r="H347" s="563"/>
      <c r="I347" s="600"/>
      <c r="J347" s="569"/>
      <c r="K347" s="563"/>
      <c r="L347" s="563"/>
      <c r="M347" s="563"/>
      <c r="N347" s="563"/>
      <c r="O347" s="563"/>
      <c r="P347" s="673"/>
      <c r="Q347" s="563"/>
      <c r="R347" s="563"/>
      <c r="S347" s="563"/>
      <c r="T347" s="563"/>
      <c r="U347" s="563"/>
      <c r="V347" s="563"/>
      <c r="W347" s="563"/>
      <c r="X347" s="565"/>
      <c r="Y347" s="612"/>
      <c r="Z347" s="612"/>
      <c r="AA347" s="563"/>
      <c r="AB347" s="612"/>
      <c r="AC347" s="569"/>
      <c r="AD347" s="563"/>
      <c r="AE347" s="563"/>
      <c r="AF347" s="563"/>
      <c r="AG347" s="563"/>
      <c r="AH347" s="563"/>
      <c r="AI347" s="563"/>
      <c r="AJ347" s="605"/>
      <c r="AK347" s="563"/>
      <c r="AL347" s="563"/>
      <c r="AM347" s="563"/>
      <c r="AN347" s="563"/>
      <c r="AO347" s="563"/>
      <c r="AP347" s="46"/>
      <c r="AQ347" s="46"/>
      <c r="AR347" s="46"/>
      <c r="AS347" s="46"/>
      <c r="AT347" s="46"/>
      <c r="AU347" s="46"/>
      <c r="AV347" s="46"/>
      <c r="AW347" s="46"/>
      <c r="AX347" s="46"/>
      <c r="AY347" s="46"/>
      <c r="AZ347" s="563" t="str">
        <f ca="1">IFERROR(__xludf.DUMMYFUNCTION("""COMPUTED_VALUE"""),"Celeste")</f>
        <v>Celeste</v>
      </c>
      <c r="BA347" s="569"/>
      <c r="BB347" s="563"/>
      <c r="BC347" s="569"/>
      <c r="BD347" s="563"/>
      <c r="BE347" s="46"/>
      <c r="BF347" s="46"/>
      <c r="BG347" s="563"/>
      <c r="BH347" s="563"/>
      <c r="BI347" s="563"/>
      <c r="BJ347" s="563"/>
    </row>
    <row r="348" spans="2:62" x14ac:dyDescent="0.25">
      <c r="B348" s="569"/>
      <c r="C348" s="672"/>
      <c r="D348" s="563"/>
      <c r="E348" s="563"/>
      <c r="F348" s="569"/>
      <c r="G348" s="563"/>
      <c r="H348" s="563"/>
      <c r="I348" s="600"/>
      <c r="J348" s="569"/>
      <c r="K348" s="563"/>
      <c r="L348" s="563"/>
      <c r="M348" s="563"/>
      <c r="N348" s="563"/>
      <c r="O348" s="563"/>
      <c r="P348" s="673"/>
      <c r="Q348" s="563"/>
      <c r="R348" s="563"/>
      <c r="S348" s="563"/>
      <c r="T348" s="563"/>
      <c r="U348" s="563"/>
      <c r="V348" s="563"/>
      <c r="W348" s="563"/>
      <c r="X348" s="565"/>
      <c r="Y348" s="612"/>
      <c r="Z348" s="612"/>
      <c r="AA348" s="563"/>
      <c r="AB348" s="612"/>
      <c r="AC348" s="569"/>
      <c r="AD348" s="563"/>
      <c r="AE348" s="563"/>
      <c r="AF348" s="563"/>
      <c r="AG348" s="563"/>
      <c r="AH348" s="563"/>
      <c r="AI348" s="563"/>
      <c r="AJ348" s="605"/>
      <c r="AK348" s="563"/>
      <c r="AL348" s="563"/>
      <c r="AM348" s="563"/>
      <c r="AN348" s="563"/>
      <c r="AO348" s="563"/>
      <c r="AP348" s="46"/>
      <c r="AQ348" s="46"/>
      <c r="AR348" s="46"/>
      <c r="AS348" s="46"/>
      <c r="AT348" s="46"/>
      <c r="AU348" s="46"/>
      <c r="AV348" s="46"/>
      <c r="AW348" s="46"/>
      <c r="AX348" s="46"/>
      <c r="AY348" s="46"/>
      <c r="AZ348" s="563" t="str">
        <f ca="1">IFERROR(__xludf.DUMMYFUNCTION("""COMPUTED_VALUE"""),"Clipper Galiot")</f>
        <v>Clipper Galiot</v>
      </c>
      <c r="BA348" s="569"/>
      <c r="BB348" s="563"/>
      <c r="BC348" s="569"/>
      <c r="BD348" s="563"/>
      <c r="BE348" s="46"/>
      <c r="BF348" s="46"/>
      <c r="BG348" s="563"/>
      <c r="BH348" s="563"/>
      <c r="BI348" s="563"/>
      <c r="BJ348" s="563"/>
    </row>
    <row r="349" spans="2:62" x14ac:dyDescent="0.25">
      <c r="B349" s="569"/>
      <c r="C349" s="672"/>
      <c r="D349" s="563"/>
      <c r="E349" s="563"/>
      <c r="F349" s="569"/>
      <c r="G349" s="563"/>
      <c r="H349" s="563"/>
      <c r="I349" s="600"/>
      <c r="J349" s="569"/>
      <c r="K349" s="563"/>
      <c r="L349" s="563"/>
      <c r="M349" s="563"/>
      <c r="N349" s="563"/>
      <c r="O349" s="563"/>
      <c r="P349" s="563"/>
      <c r="Q349" s="563"/>
      <c r="R349" s="563"/>
      <c r="S349" s="563"/>
      <c r="T349" s="563"/>
      <c r="U349" s="563"/>
      <c r="V349" s="563"/>
      <c r="W349" s="563"/>
      <c r="X349" s="565"/>
      <c r="Y349" s="612"/>
      <c r="Z349" s="612"/>
      <c r="AA349" s="563"/>
      <c r="AB349" s="612"/>
      <c r="AC349" s="569"/>
      <c r="AD349" s="563"/>
      <c r="AE349" s="563"/>
      <c r="AF349" s="563"/>
      <c r="AG349" s="563"/>
      <c r="AH349" s="563"/>
      <c r="AI349" s="563"/>
      <c r="AJ349" s="605"/>
      <c r="AK349" s="563"/>
      <c r="AL349" s="563"/>
      <c r="AM349" s="563"/>
      <c r="AN349" s="563"/>
      <c r="AO349" s="563"/>
      <c r="AP349" s="46"/>
      <c r="AQ349" s="46"/>
      <c r="AR349" s="46"/>
      <c r="AS349" s="46"/>
      <c r="AT349" s="46"/>
      <c r="AU349" s="46"/>
      <c r="AV349" s="46"/>
      <c r="AW349" s="46"/>
      <c r="AX349" s="46"/>
      <c r="AY349" s="46"/>
      <c r="AZ349" s="563" t="str">
        <f ca="1">IFERROR(__xludf.DUMMYFUNCTION("""COMPUTED_VALUE"""),"Clipper Galleon")</f>
        <v>Clipper Galleon</v>
      </c>
      <c r="BA349" s="569"/>
      <c r="BB349" s="563"/>
      <c r="BC349" s="569"/>
      <c r="BD349" s="563"/>
      <c r="BE349" s="46"/>
      <c r="BF349" s="46"/>
      <c r="BG349" s="563"/>
      <c r="BH349" s="563"/>
      <c r="BI349" s="563"/>
      <c r="BJ349" s="563"/>
    </row>
    <row r="350" spans="2:62" x14ac:dyDescent="0.25">
      <c r="B350" s="569"/>
      <c r="C350" s="672"/>
      <c r="D350" s="563"/>
      <c r="E350" s="563"/>
      <c r="F350" s="569"/>
      <c r="G350" s="563"/>
      <c r="H350" s="563"/>
      <c r="I350" s="600"/>
      <c r="J350" s="569"/>
      <c r="K350" s="563"/>
      <c r="L350" s="563"/>
      <c r="M350" s="563"/>
      <c r="N350" s="563"/>
      <c r="O350" s="563"/>
      <c r="P350" s="563"/>
      <c r="Q350" s="563"/>
      <c r="R350" s="563"/>
      <c r="S350" s="563"/>
      <c r="T350" s="563"/>
      <c r="U350" s="563"/>
      <c r="V350" s="563"/>
      <c r="W350" s="563"/>
      <c r="X350" s="565"/>
      <c r="Y350" s="612"/>
      <c r="Z350" s="612"/>
      <c r="AA350" s="563"/>
      <c r="AB350" s="612"/>
      <c r="AC350" s="569"/>
      <c r="AD350" s="563"/>
      <c r="AE350" s="563"/>
      <c r="AF350" s="563"/>
      <c r="AG350" s="563"/>
      <c r="AH350" s="563"/>
      <c r="AI350" s="563"/>
      <c r="AJ350" s="605"/>
      <c r="AK350" s="563"/>
      <c r="AL350" s="563"/>
      <c r="AM350" s="563"/>
      <c r="AN350" s="563"/>
      <c r="AO350" s="563"/>
      <c r="AP350" s="46"/>
      <c r="AQ350" s="46"/>
      <c r="AR350" s="46"/>
      <c r="AS350" s="46"/>
      <c r="AT350" s="46"/>
      <c r="AU350" s="46"/>
      <c r="AV350" s="46"/>
      <c r="AW350" s="46"/>
      <c r="AX350" s="46"/>
      <c r="AY350" s="46"/>
      <c r="AZ350" s="563" t="str">
        <f ca="1">IFERROR(__xludf.DUMMYFUNCTION("""COMPUTED_VALUE"""),"Clipper Gannet")</f>
        <v>Clipper Gannet</v>
      </c>
      <c r="BA350" s="569"/>
      <c r="BB350" s="563"/>
      <c r="BC350" s="569"/>
      <c r="BD350" s="563"/>
      <c r="BE350" s="46"/>
      <c r="BF350" s="46"/>
      <c r="BG350" s="563"/>
      <c r="BH350" s="563"/>
      <c r="BI350" s="563"/>
      <c r="BJ350" s="563"/>
    </row>
    <row r="351" spans="2:62" x14ac:dyDescent="0.25">
      <c r="B351" s="569"/>
      <c r="C351" s="672"/>
      <c r="D351" s="563"/>
      <c r="E351" s="563"/>
      <c r="F351" s="569"/>
      <c r="G351" s="563"/>
      <c r="H351" s="563"/>
      <c r="I351" s="600"/>
      <c r="J351" s="569"/>
      <c r="K351" s="563"/>
      <c r="L351" s="563"/>
      <c r="M351" s="563"/>
      <c r="N351" s="563"/>
      <c r="O351" s="563"/>
      <c r="P351" s="563"/>
      <c r="Q351" s="563"/>
      <c r="R351" s="563"/>
      <c r="S351" s="563"/>
      <c r="T351" s="563"/>
      <c r="U351" s="563"/>
      <c r="V351" s="563"/>
      <c r="W351" s="563"/>
      <c r="X351" s="565"/>
      <c r="Y351" s="612"/>
      <c r="Z351" s="612"/>
      <c r="AA351" s="563"/>
      <c r="AB351" s="612"/>
      <c r="AC351" s="569"/>
      <c r="AD351" s="563"/>
      <c r="AE351" s="563"/>
      <c r="AF351" s="563"/>
      <c r="AG351" s="563"/>
      <c r="AH351" s="563"/>
      <c r="AI351" s="563"/>
      <c r="AJ351" s="605"/>
      <c r="AK351" s="563"/>
      <c r="AL351" s="563"/>
      <c r="AM351" s="563"/>
      <c r="AN351" s="563"/>
      <c r="AO351" s="563"/>
      <c r="AP351" s="46"/>
      <c r="AQ351" s="46"/>
      <c r="AR351" s="46"/>
      <c r="AS351" s="46"/>
      <c r="AT351" s="46"/>
      <c r="AU351" s="46"/>
      <c r="AV351" s="46"/>
      <c r="AW351" s="46"/>
      <c r="AX351" s="46"/>
      <c r="AY351" s="46"/>
      <c r="AZ351" s="563" t="str">
        <f ca="1">IFERROR(__xludf.DUMMYFUNCTION("""COMPUTED_VALUE"""),"Clipper Genesis")</f>
        <v>Clipper Genesis</v>
      </c>
      <c r="BA351" s="569"/>
      <c r="BB351" s="563"/>
      <c r="BC351" s="569"/>
      <c r="BD351" s="563"/>
      <c r="BE351" s="46"/>
      <c r="BF351" s="46"/>
      <c r="BG351" s="563"/>
      <c r="BH351" s="563"/>
      <c r="BI351" s="563"/>
      <c r="BJ351" s="563"/>
    </row>
    <row r="352" spans="2:62" x14ac:dyDescent="0.25">
      <c r="B352" s="569"/>
      <c r="C352" s="672"/>
      <c r="D352" s="563"/>
      <c r="E352" s="563"/>
      <c r="F352" s="569"/>
      <c r="G352" s="563"/>
      <c r="H352" s="563"/>
      <c r="I352" s="600"/>
      <c r="J352" s="569"/>
      <c r="K352" s="563"/>
      <c r="L352" s="563"/>
      <c r="M352" s="563"/>
      <c r="N352" s="563"/>
      <c r="O352" s="563"/>
      <c r="P352" s="563"/>
      <c r="Q352" s="563"/>
      <c r="R352" s="563"/>
      <c r="S352" s="563"/>
      <c r="T352" s="563"/>
      <c r="U352" s="563"/>
      <c r="V352" s="563"/>
      <c r="W352" s="563"/>
      <c r="X352" s="565"/>
      <c r="Y352" s="612"/>
      <c r="Z352" s="612"/>
      <c r="AA352" s="563"/>
      <c r="AB352" s="612"/>
      <c r="AC352" s="569"/>
      <c r="AD352" s="563"/>
      <c r="AE352" s="563"/>
      <c r="AF352" s="563"/>
      <c r="AG352" s="563"/>
      <c r="AH352" s="563"/>
      <c r="AI352" s="563"/>
      <c r="AJ352" s="605"/>
      <c r="AK352" s="563"/>
      <c r="AL352" s="563"/>
      <c r="AM352" s="563"/>
      <c r="AN352" s="563"/>
      <c r="AO352" s="563"/>
      <c r="AP352" s="46"/>
      <c r="AQ352" s="46"/>
      <c r="AR352" s="46"/>
      <c r="AS352" s="46"/>
      <c r="AT352" s="46"/>
      <c r="AU352" s="46"/>
      <c r="AV352" s="46"/>
      <c r="AW352" s="46"/>
      <c r="AX352" s="46"/>
      <c r="AY352" s="46"/>
      <c r="AZ352" s="563" t="str">
        <f ca="1">IFERROR(__xludf.DUMMYFUNCTION("""COMPUTED_VALUE"""),"Clipper Geneva")</f>
        <v>Clipper Geneva</v>
      </c>
      <c r="BA352" s="569"/>
      <c r="BB352" s="563"/>
      <c r="BC352" s="569"/>
      <c r="BD352" s="563"/>
      <c r="BE352" s="46"/>
      <c r="BF352" s="46"/>
      <c r="BG352" s="563"/>
      <c r="BH352" s="563"/>
      <c r="BI352" s="563"/>
      <c r="BJ352" s="563"/>
    </row>
    <row r="353" spans="2:62" x14ac:dyDescent="0.25">
      <c r="B353" s="569"/>
      <c r="C353" s="672"/>
      <c r="D353" s="563"/>
      <c r="E353" s="563"/>
      <c r="F353" s="569"/>
      <c r="G353" s="563"/>
      <c r="H353" s="563"/>
      <c r="I353" s="600"/>
      <c r="J353" s="569"/>
      <c r="K353" s="563"/>
      <c r="L353" s="563"/>
      <c r="M353" s="563"/>
      <c r="N353" s="563"/>
      <c r="O353" s="563"/>
      <c r="P353" s="563"/>
      <c r="Q353" s="563"/>
      <c r="R353" s="563"/>
      <c r="S353" s="563"/>
      <c r="T353" s="563"/>
      <c r="U353" s="563"/>
      <c r="V353" s="563"/>
      <c r="W353" s="563"/>
      <c r="X353" s="565"/>
      <c r="Y353" s="612"/>
      <c r="Z353" s="612"/>
      <c r="AA353" s="563"/>
      <c r="AB353" s="612"/>
      <c r="AC353" s="569"/>
      <c r="AD353" s="563"/>
      <c r="AE353" s="563"/>
      <c r="AF353" s="563"/>
      <c r="AG353" s="563"/>
      <c r="AH353" s="563"/>
      <c r="AI353" s="563"/>
      <c r="AJ353" s="605"/>
      <c r="AK353" s="563"/>
      <c r="AL353" s="563"/>
      <c r="AM353" s="563"/>
      <c r="AN353" s="563"/>
      <c r="AO353" s="563"/>
      <c r="AP353" s="46"/>
      <c r="AQ353" s="46"/>
      <c r="AR353" s="46"/>
      <c r="AS353" s="46"/>
      <c r="AT353" s="46"/>
      <c r="AU353" s="46"/>
      <c r="AV353" s="46"/>
      <c r="AW353" s="46"/>
      <c r="AX353" s="46"/>
      <c r="AY353" s="46"/>
      <c r="AZ353" s="563" t="str">
        <f ca="1">IFERROR(__xludf.DUMMYFUNCTION("""COMPUTED_VALUE"""),"Clipper Grace")</f>
        <v>Clipper Grace</v>
      </c>
      <c r="BA353" s="569"/>
      <c r="BB353" s="563"/>
      <c r="BC353" s="569"/>
      <c r="BD353" s="563"/>
      <c r="BE353" s="46"/>
      <c r="BF353" s="46"/>
      <c r="BG353" s="563"/>
      <c r="BH353" s="563"/>
      <c r="BI353" s="563"/>
      <c r="BJ353" s="563"/>
    </row>
    <row r="354" spans="2:62" x14ac:dyDescent="0.25">
      <c r="B354" s="569"/>
      <c r="C354" s="672"/>
      <c r="D354" s="563"/>
      <c r="E354" s="563"/>
      <c r="F354" s="569"/>
      <c r="G354" s="563"/>
      <c r="H354" s="563"/>
      <c r="I354" s="600"/>
      <c r="J354" s="569"/>
      <c r="K354" s="674"/>
      <c r="L354" s="563"/>
      <c r="M354" s="563"/>
      <c r="N354" s="563"/>
      <c r="O354" s="563"/>
      <c r="P354" s="563"/>
      <c r="Q354" s="563"/>
      <c r="R354" s="563"/>
      <c r="S354" s="563"/>
      <c r="T354" s="563"/>
      <c r="U354" s="563"/>
      <c r="V354" s="563"/>
      <c r="W354" s="563"/>
      <c r="X354" s="565"/>
      <c r="Y354" s="612"/>
      <c r="Z354" s="612"/>
      <c r="AA354" s="563"/>
      <c r="AB354" s="612"/>
      <c r="AC354" s="569"/>
      <c r="AD354" s="563"/>
      <c r="AE354" s="563"/>
      <c r="AF354" s="563"/>
      <c r="AG354" s="563"/>
      <c r="AH354" s="563"/>
      <c r="AI354" s="563"/>
      <c r="AJ354" s="605"/>
      <c r="AK354" s="563"/>
      <c r="AL354" s="563"/>
      <c r="AM354" s="563"/>
      <c r="AN354" s="563"/>
      <c r="AO354" s="563"/>
      <c r="AP354" s="46"/>
      <c r="AQ354" s="46"/>
      <c r="AR354" s="46"/>
      <c r="AS354" s="46"/>
      <c r="AT354" s="46"/>
      <c r="AU354" s="46"/>
      <c r="AV354" s="46"/>
      <c r="AW354" s="46"/>
      <c r="AX354" s="46"/>
      <c r="AY354" s="46"/>
      <c r="AZ354" s="563" t="str">
        <f ca="1">IFERROR(__xludf.DUMMYFUNCTION("""COMPUTED_VALUE"""),"Clipper Guardian")</f>
        <v>Clipper Guardian</v>
      </c>
      <c r="BA354" s="569"/>
      <c r="BB354" s="563"/>
      <c r="BC354" s="569"/>
      <c r="BD354" s="563"/>
      <c r="BE354" s="46"/>
      <c r="BF354" s="46"/>
      <c r="BG354" s="563"/>
      <c r="BH354" s="563"/>
      <c r="BI354" s="563"/>
      <c r="BJ354" s="563"/>
    </row>
    <row r="355" spans="2:62" x14ac:dyDescent="0.25">
      <c r="B355" s="569"/>
      <c r="C355" s="672"/>
      <c r="D355" s="563"/>
      <c r="E355" s="563"/>
      <c r="F355" s="569"/>
      <c r="G355" s="563"/>
      <c r="H355" s="563"/>
      <c r="I355" s="600"/>
      <c r="J355" s="569"/>
      <c r="K355" s="563"/>
      <c r="L355" s="563"/>
      <c r="M355" s="563"/>
      <c r="N355" s="563"/>
      <c r="O355" s="563"/>
      <c r="P355" s="563"/>
      <c r="Q355" s="563"/>
      <c r="R355" s="563"/>
      <c r="S355" s="563"/>
      <c r="T355" s="563"/>
      <c r="U355" s="563"/>
      <c r="V355" s="563"/>
      <c r="W355" s="563"/>
      <c r="X355" s="565"/>
      <c r="Y355" s="612"/>
      <c r="Z355" s="612"/>
      <c r="AA355" s="563"/>
      <c r="AB355" s="612"/>
      <c r="AC355" s="569"/>
      <c r="AD355" s="563"/>
      <c r="AE355" s="563"/>
      <c r="AF355" s="563"/>
      <c r="AG355" s="563"/>
      <c r="AH355" s="563"/>
      <c r="AI355" s="563"/>
      <c r="AJ355" s="605"/>
      <c r="AK355" s="563"/>
      <c r="AL355" s="563"/>
      <c r="AM355" s="563"/>
      <c r="AN355" s="563"/>
      <c r="AO355" s="563"/>
      <c r="AP355" s="46"/>
      <c r="AQ355" s="46"/>
      <c r="AR355" s="46"/>
      <c r="AS355" s="46"/>
      <c r="AT355" s="46"/>
      <c r="AU355" s="46"/>
      <c r="AV355" s="46"/>
      <c r="AW355" s="46"/>
      <c r="AX355" s="46"/>
      <c r="AY355" s="46"/>
      <c r="AZ355" s="563" t="str">
        <f ca="1">IFERROR(__xludf.DUMMYFUNCTION("""COMPUTED_VALUE"""),"Cosco Qidong N1348")</f>
        <v>Cosco Qidong N1348</v>
      </c>
      <c r="BA355" s="569"/>
      <c r="BB355" s="563"/>
      <c r="BC355" s="569"/>
      <c r="BD355" s="563"/>
      <c r="BE355" s="46"/>
      <c r="BF355" s="46"/>
      <c r="BG355" s="563"/>
      <c r="BH355" s="563"/>
      <c r="BI355" s="563"/>
      <c r="BJ355" s="563"/>
    </row>
    <row r="356" spans="2:62" x14ac:dyDescent="0.25">
      <c r="B356" s="569"/>
      <c r="C356" s="672"/>
      <c r="D356" s="563"/>
      <c r="E356" s="563"/>
      <c r="F356" s="569"/>
      <c r="G356" s="563"/>
      <c r="H356" s="563"/>
      <c r="I356" s="600"/>
      <c r="J356" s="569"/>
      <c r="K356" s="563"/>
      <c r="L356" s="563"/>
      <c r="M356" s="563"/>
      <c r="N356" s="563"/>
      <c r="O356" s="563"/>
      <c r="P356" s="563"/>
      <c r="Q356" s="563"/>
      <c r="R356" s="563"/>
      <c r="S356" s="563"/>
      <c r="T356" s="563"/>
      <c r="U356" s="563"/>
      <c r="V356" s="563"/>
      <c r="W356" s="563"/>
      <c r="X356" s="565"/>
      <c r="Y356" s="612"/>
      <c r="Z356" s="612"/>
      <c r="AA356" s="563"/>
      <c r="AB356" s="612"/>
      <c r="AC356" s="569"/>
      <c r="AD356" s="563"/>
      <c r="AE356" s="563"/>
      <c r="AF356" s="563"/>
      <c r="AG356" s="563"/>
      <c r="AH356" s="563"/>
      <c r="AI356" s="563"/>
      <c r="AJ356" s="605"/>
      <c r="AK356" s="563"/>
      <c r="AL356" s="563"/>
      <c r="AM356" s="563"/>
      <c r="AN356" s="563"/>
      <c r="AO356" s="563"/>
      <c r="AP356" s="46"/>
      <c r="AQ356" s="46"/>
      <c r="AR356" s="46"/>
      <c r="AS356" s="46"/>
      <c r="AT356" s="46"/>
      <c r="AU356" s="46"/>
      <c r="AV356" s="46"/>
      <c r="AW356" s="46"/>
      <c r="AX356" s="46"/>
      <c r="AY356" s="46"/>
      <c r="AZ356" s="563" t="str">
        <f ca="1">IFERROR(__xludf.DUMMYFUNCTION("""COMPUTED_VALUE"""),"Cosco Qidong N1349")</f>
        <v>Cosco Qidong N1349</v>
      </c>
      <c r="BA356" s="569"/>
      <c r="BB356" s="563"/>
      <c r="BC356" s="569"/>
      <c r="BD356" s="563"/>
      <c r="BE356" s="46"/>
      <c r="BF356" s="46"/>
      <c r="BG356" s="563"/>
      <c r="BH356" s="563"/>
      <c r="BI356" s="563"/>
      <c r="BJ356" s="563"/>
    </row>
    <row r="357" spans="2:62" x14ac:dyDescent="0.25">
      <c r="B357" s="569"/>
      <c r="C357" s="672"/>
      <c r="D357" s="563"/>
      <c r="E357" s="563"/>
      <c r="F357" s="569"/>
      <c r="G357" s="563"/>
      <c r="H357" s="563"/>
      <c r="I357" s="600"/>
      <c r="J357" s="569"/>
      <c r="K357" s="563"/>
      <c r="L357" s="563"/>
      <c r="M357" s="563"/>
      <c r="N357" s="563"/>
      <c r="O357" s="563"/>
      <c r="P357" s="563"/>
      <c r="Q357" s="563"/>
      <c r="R357" s="563"/>
      <c r="S357" s="563"/>
      <c r="T357" s="563"/>
      <c r="U357" s="563"/>
      <c r="V357" s="563"/>
      <c r="W357" s="563"/>
      <c r="X357" s="565"/>
      <c r="Y357" s="612"/>
      <c r="Z357" s="612"/>
      <c r="AA357" s="563"/>
      <c r="AB357" s="612"/>
      <c r="AC357" s="569"/>
      <c r="AD357" s="563"/>
      <c r="AE357" s="563"/>
      <c r="AF357" s="563"/>
      <c r="AG357" s="563"/>
      <c r="AH357" s="563"/>
      <c r="AI357" s="563"/>
      <c r="AJ357" s="605"/>
      <c r="AK357" s="563"/>
      <c r="AL357" s="563"/>
      <c r="AM357" s="563"/>
      <c r="AN357" s="563"/>
      <c r="AO357" s="563"/>
      <c r="AP357" s="46"/>
      <c r="AQ357" s="46"/>
      <c r="AR357" s="46"/>
      <c r="AS357" s="46"/>
      <c r="AT357" s="46"/>
      <c r="AU357" s="46"/>
      <c r="AV357" s="46"/>
      <c r="AW357" s="46"/>
      <c r="AX357" s="46"/>
      <c r="AY357" s="46"/>
      <c r="AZ357" s="563" t="str">
        <f ca="1">IFERROR(__xludf.DUMMYFUNCTION("""COMPUTED_VALUE"""),"Da Li")</f>
        <v>Da Li</v>
      </c>
      <c r="BA357" s="569"/>
      <c r="BB357" s="563"/>
      <c r="BC357" s="569"/>
      <c r="BD357" s="563"/>
      <c r="BE357" s="46"/>
      <c r="BF357" s="46"/>
      <c r="BG357" s="563"/>
      <c r="BH357" s="563"/>
      <c r="BI357" s="563"/>
      <c r="BJ357" s="563"/>
    </row>
    <row r="358" spans="2:62" x14ac:dyDescent="0.25">
      <c r="B358" s="569"/>
      <c r="C358" s="672"/>
      <c r="D358" s="563"/>
      <c r="E358" s="563"/>
      <c r="F358" s="569"/>
      <c r="G358" s="563"/>
      <c r="H358" s="563"/>
      <c r="I358" s="600"/>
      <c r="J358" s="569"/>
      <c r="K358" s="563"/>
      <c r="L358" s="563"/>
      <c r="M358" s="563"/>
      <c r="N358" s="563"/>
      <c r="O358" s="563"/>
      <c r="P358" s="563"/>
      <c r="Q358" s="563"/>
      <c r="R358" s="563"/>
      <c r="S358" s="563"/>
      <c r="T358" s="563"/>
      <c r="U358" s="563"/>
      <c r="V358" s="563"/>
      <c r="W358" s="563"/>
      <c r="X358" s="565"/>
      <c r="Y358" s="612"/>
      <c r="Z358" s="612"/>
      <c r="AA358" s="563"/>
      <c r="AB358" s="612"/>
      <c r="AC358" s="569"/>
      <c r="AD358" s="563"/>
      <c r="AE358" s="563"/>
      <c r="AF358" s="563"/>
      <c r="AG358" s="563"/>
      <c r="AH358" s="563"/>
      <c r="AI358" s="563"/>
      <c r="AJ358" s="605"/>
      <c r="AK358" s="563"/>
      <c r="AL358" s="563"/>
      <c r="AM358" s="563"/>
      <c r="AN358" s="563"/>
      <c r="AO358" s="563"/>
      <c r="AP358" s="46"/>
      <c r="AQ358" s="46"/>
      <c r="AR358" s="46"/>
      <c r="AS358" s="46"/>
      <c r="AT358" s="46"/>
      <c r="AU358" s="46"/>
      <c r="AV358" s="46"/>
      <c r="AW358" s="46"/>
      <c r="AX358" s="46"/>
      <c r="AY358" s="46"/>
      <c r="AZ358" s="563" t="str">
        <f ca="1">IFERROR(__xludf.DUMMYFUNCTION("""COMPUTED_VALUE"""),"Danisa")</f>
        <v>Danisa</v>
      </c>
      <c r="BA358" s="569"/>
      <c r="BB358" s="563"/>
      <c r="BC358" s="569"/>
      <c r="BD358" s="563"/>
      <c r="BE358" s="46"/>
      <c r="BF358" s="46"/>
      <c r="BG358" s="563"/>
      <c r="BH358" s="563"/>
      <c r="BI358" s="563"/>
      <c r="BJ358" s="563"/>
    </row>
    <row r="359" spans="2:62" x14ac:dyDescent="0.25">
      <c r="B359" s="569"/>
      <c r="C359" s="672"/>
      <c r="D359" s="563"/>
      <c r="E359" s="563"/>
      <c r="F359" s="569"/>
      <c r="G359" s="563"/>
      <c r="H359" s="563"/>
      <c r="I359" s="600"/>
      <c r="J359" s="569"/>
      <c r="K359" s="563"/>
      <c r="L359" s="563"/>
      <c r="M359" s="563"/>
      <c r="N359" s="563"/>
      <c r="O359" s="563"/>
      <c r="P359" s="563"/>
      <c r="Q359" s="563"/>
      <c r="R359" s="563"/>
      <c r="S359" s="563"/>
      <c r="T359" s="563"/>
      <c r="U359" s="563"/>
      <c r="V359" s="563"/>
      <c r="W359" s="563"/>
      <c r="X359" s="565"/>
      <c r="Y359" s="612"/>
      <c r="Z359" s="612"/>
      <c r="AA359" s="563"/>
      <c r="AB359" s="612"/>
      <c r="AC359" s="569"/>
      <c r="AD359" s="563"/>
      <c r="AE359" s="563"/>
      <c r="AF359" s="563"/>
      <c r="AG359" s="563"/>
      <c r="AH359" s="563"/>
      <c r="AI359" s="563"/>
      <c r="AJ359" s="605"/>
      <c r="AK359" s="563"/>
      <c r="AL359" s="563"/>
      <c r="AM359" s="563"/>
      <c r="AN359" s="563"/>
      <c r="AO359" s="563"/>
      <c r="AP359" s="46"/>
      <c r="AQ359" s="46"/>
      <c r="AR359" s="46"/>
      <c r="AS359" s="46"/>
      <c r="AT359" s="46"/>
      <c r="AU359" s="46"/>
      <c r="AV359" s="46"/>
      <c r="AW359" s="46"/>
      <c r="AX359" s="46"/>
      <c r="AY359" s="46"/>
      <c r="AZ359" s="563" t="str">
        <f ca="1">IFERROR(__xludf.DUMMYFUNCTION("""COMPUTED_VALUE"""),"Danuta I")</f>
        <v>Danuta I</v>
      </c>
      <c r="BA359" s="569"/>
      <c r="BB359" s="563"/>
      <c r="BC359" s="569"/>
      <c r="BD359" s="563"/>
      <c r="BE359" s="46"/>
      <c r="BF359" s="46"/>
      <c r="BG359" s="563"/>
      <c r="BH359" s="563"/>
      <c r="BI359" s="563"/>
      <c r="BJ359" s="563"/>
    </row>
    <row r="360" spans="2:62" x14ac:dyDescent="0.25">
      <c r="B360" s="569"/>
      <c r="C360" s="672"/>
      <c r="D360" s="563"/>
      <c r="E360" s="563"/>
      <c r="F360" s="569"/>
      <c r="G360" s="563"/>
      <c r="H360" s="563"/>
      <c r="I360" s="600"/>
      <c r="J360" s="569"/>
      <c r="K360" s="563"/>
      <c r="L360" s="563"/>
      <c r="M360" s="563"/>
      <c r="N360" s="563"/>
      <c r="O360" s="563"/>
      <c r="P360" s="563"/>
      <c r="Q360" s="563"/>
      <c r="R360" s="563"/>
      <c r="S360" s="563"/>
      <c r="T360" s="563"/>
      <c r="U360" s="563"/>
      <c r="V360" s="563"/>
      <c r="W360" s="563"/>
      <c r="X360" s="565"/>
      <c r="Y360" s="612"/>
      <c r="Z360" s="612"/>
      <c r="AA360" s="563"/>
      <c r="AB360" s="612"/>
      <c r="AC360" s="569"/>
      <c r="AD360" s="563"/>
      <c r="AE360" s="563"/>
      <c r="AF360" s="563"/>
      <c r="AG360" s="563"/>
      <c r="AH360" s="563"/>
      <c r="AI360" s="563"/>
      <c r="AJ360" s="605"/>
      <c r="AK360" s="563"/>
      <c r="AL360" s="563"/>
      <c r="AM360" s="563"/>
      <c r="AN360" s="563"/>
      <c r="AO360" s="563"/>
      <c r="AP360" s="46"/>
      <c r="AQ360" s="46"/>
      <c r="AR360" s="46"/>
      <c r="AS360" s="46"/>
      <c r="AT360" s="46"/>
      <c r="AU360" s="46"/>
      <c r="AV360" s="46"/>
      <c r="AW360" s="46"/>
      <c r="AX360" s="46"/>
      <c r="AY360" s="46"/>
      <c r="AZ360" s="563" t="str">
        <f ca="1">IFERROR(__xludf.DUMMYFUNCTION("""COMPUTED_VALUE"""),"Double In")</f>
        <v>Double In</v>
      </c>
      <c r="BA360" s="569"/>
      <c r="BB360" s="563"/>
      <c r="BC360" s="569"/>
      <c r="BD360" s="563"/>
      <c r="BE360" s="46"/>
      <c r="BF360" s="46"/>
      <c r="BG360" s="563"/>
      <c r="BH360" s="563"/>
      <c r="BI360" s="563"/>
      <c r="BJ360" s="563"/>
    </row>
    <row r="361" spans="2:62" x14ac:dyDescent="0.25">
      <c r="B361" s="569"/>
      <c r="C361" s="672"/>
      <c r="D361" s="563"/>
      <c r="E361" s="563"/>
      <c r="F361" s="569"/>
      <c r="G361" s="563"/>
      <c r="H361" s="563"/>
      <c r="I361" s="600"/>
      <c r="J361" s="569"/>
      <c r="K361" s="563"/>
      <c r="L361" s="563"/>
      <c r="M361" s="563"/>
      <c r="N361" s="563"/>
      <c r="O361" s="563"/>
      <c r="P361" s="563"/>
      <c r="Q361" s="563"/>
      <c r="R361" s="563"/>
      <c r="S361" s="563"/>
      <c r="T361" s="563"/>
      <c r="U361" s="563"/>
      <c r="V361" s="563"/>
      <c r="W361" s="563"/>
      <c r="X361" s="565"/>
      <c r="Y361" s="612"/>
      <c r="Z361" s="612"/>
      <c r="AA361" s="563"/>
      <c r="AB361" s="612"/>
      <c r="AC361" s="569"/>
      <c r="AD361" s="563"/>
      <c r="AE361" s="563"/>
      <c r="AF361" s="563"/>
      <c r="AG361" s="563"/>
      <c r="AH361" s="563"/>
      <c r="AI361" s="563"/>
      <c r="AJ361" s="605"/>
      <c r="AK361" s="563"/>
      <c r="AL361" s="563"/>
      <c r="AM361" s="563"/>
      <c r="AN361" s="563"/>
      <c r="AO361" s="563"/>
      <c r="AP361" s="46"/>
      <c r="AQ361" s="46"/>
      <c r="AR361" s="46"/>
      <c r="AS361" s="46"/>
      <c r="AT361" s="46"/>
      <c r="AU361" s="46"/>
      <c r="AV361" s="46"/>
      <c r="AW361" s="46"/>
      <c r="AX361" s="46"/>
      <c r="AY361" s="46"/>
      <c r="AZ361" s="563" t="str">
        <f ca="1">IFERROR(__xludf.DUMMYFUNCTION("""COMPUTED_VALUE"""),"Elly")</f>
        <v>Elly</v>
      </c>
      <c r="BA361" s="569"/>
      <c r="BB361" s="563"/>
      <c r="BC361" s="569"/>
      <c r="BD361" s="563"/>
      <c r="BE361" s="46"/>
      <c r="BF361" s="46"/>
      <c r="BG361" s="563"/>
      <c r="BH361" s="563"/>
      <c r="BI361" s="563"/>
      <c r="BJ361" s="563"/>
    </row>
    <row r="362" spans="2:62" x14ac:dyDescent="0.25">
      <c r="B362" s="569"/>
      <c r="C362" s="672"/>
      <c r="D362" s="563"/>
      <c r="E362" s="563"/>
      <c r="F362" s="569"/>
      <c r="G362" s="563"/>
      <c r="H362" s="563"/>
      <c r="I362" s="600"/>
      <c r="J362" s="569"/>
      <c r="K362" s="563"/>
      <c r="L362" s="563"/>
      <c r="M362" s="563"/>
      <c r="N362" s="563"/>
      <c r="O362" s="563"/>
      <c r="P362" s="563"/>
      <c r="Q362" s="563"/>
      <c r="R362" s="563"/>
      <c r="S362" s="563"/>
      <c r="T362" s="563"/>
      <c r="U362" s="563"/>
      <c r="V362" s="563"/>
      <c r="W362" s="563"/>
      <c r="X362" s="565"/>
      <c r="Y362" s="612"/>
      <c r="Z362" s="612"/>
      <c r="AA362" s="563"/>
      <c r="AB362" s="612"/>
      <c r="AC362" s="569"/>
      <c r="AD362" s="563"/>
      <c r="AE362" s="563"/>
      <c r="AF362" s="563"/>
      <c r="AG362" s="563"/>
      <c r="AH362" s="563"/>
      <c r="AI362" s="563"/>
      <c r="AJ362" s="605"/>
      <c r="AK362" s="563"/>
      <c r="AL362" s="563"/>
      <c r="AM362" s="563"/>
      <c r="AN362" s="563"/>
      <c r="AO362" s="563"/>
      <c r="AP362" s="46"/>
      <c r="AQ362" s="46"/>
      <c r="AR362" s="46"/>
      <c r="AS362" s="46"/>
      <c r="AT362" s="46"/>
      <c r="AU362" s="46"/>
      <c r="AV362" s="46"/>
      <c r="AW362" s="46"/>
      <c r="AX362" s="46"/>
      <c r="AY362" s="46"/>
      <c r="AZ362" s="563" t="str">
        <f ca="1">IFERROR(__xludf.DUMMYFUNCTION("""COMPUTED_VALUE"""),"Energia Soleil")</f>
        <v>Energia Soleil</v>
      </c>
      <c r="BA362" s="569"/>
      <c r="BB362" s="563"/>
      <c r="BC362" s="569"/>
      <c r="BD362" s="563"/>
      <c r="BE362" s="46"/>
      <c r="BF362" s="46"/>
      <c r="BG362" s="563"/>
      <c r="BH362" s="563"/>
      <c r="BI362" s="563"/>
      <c r="BJ362" s="563"/>
    </row>
    <row r="363" spans="2:62" x14ac:dyDescent="0.25">
      <c r="B363" s="569"/>
      <c r="C363" s="672"/>
      <c r="D363" s="563"/>
      <c r="E363" s="563"/>
      <c r="F363" s="569"/>
      <c r="G363" s="563"/>
      <c r="H363" s="563"/>
      <c r="I363" s="600"/>
      <c r="J363" s="569"/>
      <c r="K363" s="563"/>
      <c r="L363" s="563"/>
      <c r="M363" s="563"/>
      <c r="N363" s="563"/>
      <c r="O363" s="563"/>
      <c r="P363" s="563"/>
      <c r="Q363" s="563"/>
      <c r="R363" s="563"/>
      <c r="S363" s="563"/>
      <c r="T363" s="563"/>
      <c r="U363" s="563"/>
      <c r="V363" s="563"/>
      <c r="W363" s="563"/>
      <c r="X363" s="565"/>
      <c r="Y363" s="612"/>
      <c r="Z363" s="612"/>
      <c r="AA363" s="563"/>
      <c r="AB363" s="612"/>
      <c r="AC363" s="569"/>
      <c r="AD363" s="563"/>
      <c r="AE363" s="563"/>
      <c r="AF363" s="563"/>
      <c r="AG363" s="563"/>
      <c r="AH363" s="563"/>
      <c r="AI363" s="563"/>
      <c r="AJ363" s="605"/>
      <c r="AK363" s="563"/>
      <c r="AL363" s="563"/>
      <c r="AM363" s="563"/>
      <c r="AN363" s="563"/>
      <c r="AO363" s="563"/>
      <c r="AP363" s="46"/>
      <c r="AQ363" s="46"/>
      <c r="AR363" s="46"/>
      <c r="AS363" s="46"/>
      <c r="AT363" s="46"/>
      <c r="AU363" s="46"/>
      <c r="AV363" s="46"/>
      <c r="AW363" s="46"/>
      <c r="AX363" s="46"/>
      <c r="AY363" s="46"/>
      <c r="AZ363" s="563" t="str">
        <f ca="1">IFERROR(__xludf.DUMMYFUNCTION("""COMPUTED_VALUE"""),"Energy Guardian")</f>
        <v>Energy Guardian</v>
      </c>
      <c r="BA363" s="569"/>
      <c r="BB363" s="563"/>
      <c r="BC363" s="569"/>
      <c r="BD363" s="563"/>
      <c r="BE363" s="46"/>
      <c r="BF363" s="46"/>
      <c r="BG363" s="563"/>
      <c r="BH363" s="563"/>
      <c r="BI363" s="563"/>
      <c r="BJ363" s="563"/>
    </row>
    <row r="364" spans="2:62" x14ac:dyDescent="0.25">
      <c r="B364" s="569"/>
      <c r="C364" s="672"/>
      <c r="D364" s="563"/>
      <c r="E364" s="563"/>
      <c r="F364" s="569"/>
      <c r="G364" s="563"/>
      <c r="H364" s="563"/>
      <c r="I364" s="600"/>
      <c r="J364" s="569"/>
      <c r="K364" s="563"/>
      <c r="L364" s="563"/>
      <c r="M364" s="563"/>
      <c r="N364" s="563"/>
      <c r="O364" s="563"/>
      <c r="P364" s="563"/>
      <c r="Q364" s="563"/>
      <c r="R364" s="563"/>
      <c r="S364" s="563"/>
      <c r="T364" s="563"/>
      <c r="U364" s="563"/>
      <c r="V364" s="563"/>
      <c r="W364" s="563"/>
      <c r="X364" s="565"/>
      <c r="Y364" s="612"/>
      <c r="Z364" s="612"/>
      <c r="AA364" s="563"/>
      <c r="AB364" s="612"/>
      <c r="AC364" s="569"/>
      <c r="AD364" s="563"/>
      <c r="AE364" s="563"/>
      <c r="AF364" s="563"/>
      <c r="AG364" s="563"/>
      <c r="AH364" s="563"/>
      <c r="AI364" s="563"/>
      <c r="AJ364" s="605"/>
      <c r="AK364" s="563"/>
      <c r="AL364" s="563"/>
      <c r="AM364" s="563"/>
      <c r="AN364" s="563"/>
      <c r="AO364" s="563"/>
      <c r="AP364" s="46"/>
      <c r="AQ364" s="46"/>
      <c r="AR364" s="46"/>
      <c r="AS364" s="46"/>
      <c r="AT364" s="46"/>
      <c r="AU364" s="46"/>
      <c r="AV364" s="46"/>
      <c r="AW364" s="46"/>
      <c r="AX364" s="46"/>
      <c r="AY364" s="46"/>
      <c r="AZ364" s="563" t="str">
        <f ca="1">IFERROR(__xludf.DUMMYFUNCTION("""COMPUTED_VALUE"""),"Energy Pioneer")</f>
        <v>Energy Pioneer</v>
      </c>
      <c r="BA364" s="569"/>
      <c r="BB364" s="563"/>
      <c r="BC364" s="569"/>
      <c r="BD364" s="563"/>
      <c r="BE364" s="46"/>
      <c r="BF364" s="46"/>
      <c r="BG364" s="563"/>
      <c r="BH364" s="563"/>
      <c r="BI364" s="563"/>
      <c r="BJ364" s="563"/>
    </row>
    <row r="365" spans="2:62" x14ac:dyDescent="0.25">
      <c r="B365" s="569"/>
      <c r="C365" s="672"/>
      <c r="D365" s="563"/>
      <c r="E365" s="563"/>
      <c r="F365" s="569"/>
      <c r="G365" s="563"/>
      <c r="H365" s="563"/>
      <c r="I365" s="600"/>
      <c r="J365" s="569"/>
      <c r="K365" s="563"/>
      <c r="L365" s="563"/>
      <c r="M365" s="563"/>
      <c r="N365" s="563"/>
      <c r="O365" s="563"/>
      <c r="P365" s="563"/>
      <c r="Q365" s="563"/>
      <c r="R365" s="563"/>
      <c r="S365" s="563"/>
      <c r="T365" s="563"/>
      <c r="U365" s="563"/>
      <c r="V365" s="563"/>
      <c r="W365" s="563"/>
      <c r="X365" s="565"/>
      <c r="Y365" s="612"/>
      <c r="Z365" s="612"/>
      <c r="AA365" s="563"/>
      <c r="AB365" s="612"/>
      <c r="AC365" s="569"/>
      <c r="AD365" s="563"/>
      <c r="AE365" s="563"/>
      <c r="AF365" s="563"/>
      <c r="AG365" s="563"/>
      <c r="AH365" s="563"/>
      <c r="AI365" s="563"/>
      <c r="AJ365" s="605"/>
      <c r="AK365" s="563"/>
      <c r="AL365" s="563"/>
      <c r="AM365" s="563"/>
      <c r="AN365" s="563"/>
      <c r="AO365" s="563"/>
      <c r="AP365" s="46"/>
      <c r="AQ365" s="46"/>
      <c r="AR365" s="46"/>
      <c r="AS365" s="46"/>
      <c r="AT365" s="46"/>
      <c r="AU365" s="46"/>
      <c r="AV365" s="46"/>
      <c r="AW365" s="46"/>
      <c r="AX365" s="46"/>
      <c r="AY365" s="46"/>
      <c r="AZ365" s="563" t="str">
        <f ca="1">IFERROR(__xludf.DUMMYFUNCTION("""COMPUTED_VALUE"""),"Exonave")</f>
        <v>Exonave</v>
      </c>
      <c r="BA365" s="569"/>
      <c r="BB365" s="563"/>
      <c r="BC365" s="569"/>
      <c r="BD365" s="563"/>
      <c r="BE365" s="46"/>
      <c r="BF365" s="46"/>
      <c r="BG365" s="563"/>
      <c r="BH365" s="563"/>
      <c r="BI365" s="563"/>
      <c r="BJ365" s="563"/>
    </row>
    <row r="366" spans="2:62" x14ac:dyDescent="0.25">
      <c r="B366" s="569"/>
      <c r="C366" s="672"/>
      <c r="D366" s="563"/>
      <c r="E366" s="563"/>
      <c r="F366" s="569"/>
      <c r="G366" s="563"/>
      <c r="H366" s="563"/>
      <c r="I366" s="600"/>
      <c r="J366" s="569"/>
      <c r="K366" s="563"/>
      <c r="L366" s="563"/>
      <c r="M366" s="563"/>
      <c r="N366" s="563"/>
      <c r="O366" s="563"/>
      <c r="P366" s="563"/>
      <c r="Q366" s="563"/>
      <c r="R366" s="563"/>
      <c r="S366" s="563"/>
      <c r="T366" s="563"/>
      <c r="U366" s="563"/>
      <c r="V366" s="563"/>
      <c r="W366" s="563"/>
      <c r="X366" s="565"/>
      <c r="Y366" s="612"/>
      <c r="Z366" s="612"/>
      <c r="AA366" s="563"/>
      <c r="AB366" s="612"/>
      <c r="AC366" s="569"/>
      <c r="AD366" s="563"/>
      <c r="AE366" s="563"/>
      <c r="AF366" s="563"/>
      <c r="AG366" s="563"/>
      <c r="AH366" s="563"/>
      <c r="AI366" s="563"/>
      <c r="AJ366" s="605"/>
      <c r="AK366" s="563"/>
      <c r="AL366" s="563"/>
      <c r="AM366" s="563"/>
      <c r="AN366" s="563"/>
      <c r="AO366" s="563"/>
      <c r="AP366" s="46"/>
      <c r="AQ366" s="46"/>
      <c r="AR366" s="46"/>
      <c r="AS366" s="46"/>
      <c r="AT366" s="46"/>
      <c r="AU366" s="46"/>
      <c r="AV366" s="46"/>
      <c r="AW366" s="46"/>
      <c r="AX366" s="46"/>
      <c r="AY366" s="46"/>
      <c r="AZ366" s="563" t="str">
        <f ca="1">IFERROR(__xludf.DUMMYFUNCTION("""COMPUTED_VALUE"""),"Fas Gas")</f>
        <v>Fas Gas</v>
      </c>
      <c r="BA366" s="569"/>
      <c r="BB366" s="563"/>
      <c r="BC366" s="569"/>
      <c r="BD366" s="563"/>
      <c r="BE366" s="46"/>
      <c r="BF366" s="46"/>
      <c r="BG366" s="563"/>
      <c r="BH366" s="563"/>
      <c r="BI366" s="563"/>
      <c r="BJ366" s="563"/>
    </row>
    <row r="367" spans="2:62" x14ac:dyDescent="0.25">
      <c r="B367" s="569"/>
      <c r="C367" s="672"/>
      <c r="D367" s="563"/>
      <c r="E367" s="563"/>
      <c r="F367" s="569"/>
      <c r="G367" s="563"/>
      <c r="H367" s="563"/>
      <c r="I367" s="600"/>
      <c r="J367" s="569"/>
      <c r="K367" s="563"/>
      <c r="L367" s="563"/>
      <c r="M367" s="563"/>
      <c r="N367" s="563"/>
      <c r="O367" s="563"/>
      <c r="P367" s="563"/>
      <c r="Q367" s="563"/>
      <c r="R367" s="563"/>
      <c r="S367" s="563"/>
      <c r="T367" s="563"/>
      <c r="U367" s="563"/>
      <c r="V367" s="563"/>
      <c r="W367" s="563"/>
      <c r="X367" s="565"/>
      <c r="Y367" s="612"/>
      <c r="Z367" s="612"/>
      <c r="AA367" s="563"/>
      <c r="AB367" s="612"/>
      <c r="AC367" s="569"/>
      <c r="AD367" s="563"/>
      <c r="AE367" s="563"/>
      <c r="AF367" s="563"/>
      <c r="AG367" s="563"/>
      <c r="AH367" s="563"/>
      <c r="AI367" s="563"/>
      <c r="AJ367" s="605"/>
      <c r="AK367" s="563"/>
      <c r="AL367" s="563"/>
      <c r="AM367" s="563"/>
      <c r="AN367" s="563"/>
      <c r="AO367" s="563"/>
      <c r="AP367" s="46"/>
      <c r="AQ367" s="46"/>
      <c r="AR367" s="46"/>
      <c r="AS367" s="46"/>
      <c r="AT367" s="46"/>
      <c r="AU367" s="46"/>
      <c r="AV367" s="46"/>
      <c r="AW367" s="46"/>
      <c r="AX367" s="46"/>
      <c r="AY367" s="46"/>
      <c r="AZ367" s="563" t="str">
        <f ca="1">IFERROR(__xludf.DUMMYFUNCTION("""COMPUTED_VALUE"""),"Fogas")</f>
        <v>Fogas</v>
      </c>
      <c r="BA367" s="569"/>
      <c r="BB367" s="563"/>
      <c r="BC367" s="569"/>
      <c r="BD367" s="563"/>
      <c r="BE367" s="46"/>
      <c r="BF367" s="46"/>
      <c r="BG367" s="563"/>
      <c r="BH367" s="563"/>
      <c r="BI367" s="563"/>
      <c r="BJ367" s="563"/>
    </row>
    <row r="368" spans="2:62" x14ac:dyDescent="0.25">
      <c r="B368" s="569"/>
      <c r="C368" s="672"/>
      <c r="D368" s="563"/>
      <c r="E368" s="563"/>
      <c r="F368" s="569"/>
      <c r="G368" s="563"/>
      <c r="H368" s="563"/>
      <c r="I368" s="600"/>
      <c r="J368" s="569"/>
      <c r="K368" s="563"/>
      <c r="L368" s="563"/>
      <c r="M368" s="563"/>
      <c r="N368" s="563"/>
      <c r="O368" s="563"/>
      <c r="P368" s="563"/>
      <c r="Q368" s="563"/>
      <c r="R368" s="563"/>
      <c r="S368" s="563"/>
      <c r="T368" s="563"/>
      <c r="U368" s="563"/>
      <c r="V368" s="563"/>
      <c r="W368" s="563"/>
      <c r="X368" s="565"/>
      <c r="Y368" s="612"/>
      <c r="Z368" s="612"/>
      <c r="AA368" s="563"/>
      <c r="AB368" s="612"/>
      <c r="AC368" s="569"/>
      <c r="AD368" s="563"/>
      <c r="AE368" s="563"/>
      <c r="AF368" s="563"/>
      <c r="AG368" s="563"/>
      <c r="AH368" s="563"/>
      <c r="AI368" s="563"/>
      <c r="AJ368" s="605"/>
      <c r="AK368" s="563"/>
      <c r="AL368" s="563"/>
      <c r="AM368" s="563"/>
      <c r="AN368" s="563"/>
      <c r="AO368" s="563"/>
      <c r="AP368" s="46"/>
      <c r="AQ368" s="46"/>
      <c r="AR368" s="46"/>
      <c r="AS368" s="46"/>
      <c r="AT368" s="46"/>
      <c r="AU368" s="46"/>
      <c r="AV368" s="46"/>
      <c r="AW368" s="46"/>
      <c r="AX368" s="46"/>
      <c r="AY368" s="46"/>
      <c r="AZ368" s="563" t="str">
        <f ca="1">IFERROR(__xludf.DUMMYFUNCTION("""COMPUTED_VALUE"""),"Fotis")</f>
        <v>Fotis</v>
      </c>
      <c r="BA368" s="569"/>
      <c r="BB368" s="563"/>
      <c r="BC368" s="569"/>
      <c r="BD368" s="563"/>
      <c r="BE368" s="46"/>
      <c r="BF368" s="46"/>
      <c r="BG368" s="563"/>
      <c r="BH368" s="563"/>
      <c r="BI368" s="563"/>
      <c r="BJ368" s="563"/>
    </row>
    <row r="369" spans="2:62" x14ac:dyDescent="0.25">
      <c r="B369" s="569"/>
      <c r="C369" s="672"/>
      <c r="D369" s="563"/>
      <c r="E369" s="563"/>
      <c r="F369" s="569"/>
      <c r="G369" s="563"/>
      <c r="H369" s="563"/>
      <c r="I369" s="600"/>
      <c r="J369" s="569"/>
      <c r="K369" s="563"/>
      <c r="L369" s="563"/>
      <c r="M369" s="563"/>
      <c r="N369" s="563"/>
      <c r="O369" s="563"/>
      <c r="P369" s="563"/>
      <c r="Q369" s="563"/>
      <c r="R369" s="563"/>
      <c r="S369" s="563"/>
      <c r="T369" s="563"/>
      <c r="U369" s="563"/>
      <c r="V369" s="563"/>
      <c r="W369" s="563"/>
      <c r="X369" s="565"/>
      <c r="Y369" s="612"/>
      <c r="Z369" s="612"/>
      <c r="AA369" s="563"/>
      <c r="AB369" s="612"/>
      <c r="AC369" s="569"/>
      <c r="AD369" s="563"/>
      <c r="AE369" s="563"/>
      <c r="AF369" s="563"/>
      <c r="AG369" s="563"/>
      <c r="AH369" s="563"/>
      <c r="AI369" s="563"/>
      <c r="AJ369" s="605"/>
      <c r="AK369" s="563"/>
      <c r="AL369" s="563"/>
      <c r="AM369" s="563"/>
      <c r="AN369" s="563"/>
      <c r="AO369" s="563"/>
      <c r="AP369" s="46"/>
      <c r="AQ369" s="46"/>
      <c r="AR369" s="46"/>
      <c r="AS369" s="46"/>
      <c r="AT369" s="46"/>
      <c r="AU369" s="46"/>
      <c r="AV369" s="46"/>
      <c r="AW369" s="46"/>
      <c r="AX369" s="46"/>
      <c r="AY369" s="46"/>
      <c r="AZ369" s="563" t="str">
        <f ca="1">IFERROR(__xludf.DUMMYFUNCTION("""COMPUTED_VALUE"""),"Gafus")</f>
        <v>Gafus</v>
      </c>
      <c r="BA369" s="569"/>
      <c r="BB369" s="563"/>
      <c r="BC369" s="569"/>
      <c r="BD369" s="563"/>
      <c r="BE369" s="46"/>
      <c r="BF369" s="46"/>
      <c r="BG369" s="563"/>
      <c r="BH369" s="563"/>
      <c r="BI369" s="563"/>
      <c r="BJ369" s="563"/>
    </row>
    <row r="370" spans="2:62" x14ac:dyDescent="0.25">
      <c r="B370" s="569"/>
      <c r="C370" s="672"/>
      <c r="D370" s="563"/>
      <c r="E370" s="563"/>
      <c r="F370" s="569"/>
      <c r="G370" s="563"/>
      <c r="H370" s="563"/>
      <c r="I370" s="600"/>
      <c r="J370" s="569"/>
      <c r="K370" s="563"/>
      <c r="L370" s="563"/>
      <c r="M370" s="563"/>
      <c r="N370" s="563"/>
      <c r="O370" s="563"/>
      <c r="P370" s="563"/>
      <c r="Q370" s="563"/>
      <c r="R370" s="563"/>
      <c r="S370" s="563"/>
      <c r="T370" s="563"/>
      <c r="U370" s="563"/>
      <c r="V370" s="563"/>
      <c r="W370" s="563"/>
      <c r="X370" s="565"/>
      <c r="Y370" s="612"/>
      <c r="Z370" s="612"/>
      <c r="AA370" s="563"/>
      <c r="AB370" s="612"/>
      <c r="AC370" s="569"/>
      <c r="AD370" s="563"/>
      <c r="AE370" s="563"/>
      <c r="AF370" s="563"/>
      <c r="AG370" s="563"/>
      <c r="AH370" s="563"/>
      <c r="AI370" s="563"/>
      <c r="AJ370" s="605"/>
      <c r="AK370" s="563"/>
      <c r="AL370" s="563"/>
      <c r="AM370" s="563"/>
      <c r="AN370" s="563"/>
      <c r="AO370" s="563"/>
      <c r="AP370" s="46"/>
      <c r="AQ370" s="46"/>
      <c r="AR370" s="46"/>
      <c r="AS370" s="46"/>
      <c r="AT370" s="46"/>
      <c r="AU370" s="46"/>
      <c r="AV370" s="46"/>
      <c r="AW370" s="46"/>
      <c r="AX370" s="46"/>
      <c r="AY370" s="46"/>
      <c r="AZ370" s="563" t="str">
        <f ca="1">IFERROR(__xludf.DUMMYFUNCTION("""COMPUTED_VALUE"""),"Galvin")</f>
        <v>Galvin</v>
      </c>
      <c r="BA370" s="569"/>
      <c r="BB370" s="563"/>
      <c r="BC370" s="569"/>
      <c r="BD370" s="563"/>
      <c r="BE370" s="46"/>
      <c r="BF370" s="46"/>
      <c r="BG370" s="563"/>
      <c r="BH370" s="563"/>
      <c r="BI370" s="563"/>
      <c r="BJ370" s="563"/>
    </row>
    <row r="371" spans="2:62" x14ac:dyDescent="0.25">
      <c r="B371" s="569"/>
      <c r="C371" s="672"/>
      <c r="D371" s="563"/>
      <c r="E371" s="563"/>
      <c r="F371" s="569"/>
      <c r="G371" s="563"/>
      <c r="H371" s="563"/>
      <c r="I371" s="600"/>
      <c r="J371" s="569"/>
      <c r="K371" s="563"/>
      <c r="L371" s="563"/>
      <c r="M371" s="563"/>
      <c r="N371" s="563"/>
      <c r="O371" s="563"/>
      <c r="P371" s="563"/>
      <c r="Q371" s="563"/>
      <c r="R371" s="563"/>
      <c r="S371" s="563"/>
      <c r="T371" s="563"/>
      <c r="U371" s="563"/>
      <c r="V371" s="563"/>
      <c r="W371" s="563"/>
      <c r="X371" s="565"/>
      <c r="Y371" s="612"/>
      <c r="Z371" s="612"/>
      <c r="AA371" s="563"/>
      <c r="AB371" s="612"/>
      <c r="AC371" s="569"/>
      <c r="AD371" s="563"/>
      <c r="AE371" s="563"/>
      <c r="AF371" s="563"/>
      <c r="AG371" s="563"/>
      <c r="AH371" s="563"/>
      <c r="AI371" s="563"/>
      <c r="AJ371" s="605"/>
      <c r="AK371" s="563"/>
      <c r="AL371" s="563"/>
      <c r="AM371" s="563"/>
      <c r="AN371" s="563"/>
      <c r="AO371" s="563"/>
      <c r="AP371" s="46"/>
      <c r="AQ371" s="46"/>
      <c r="AR371" s="46"/>
      <c r="AS371" s="46"/>
      <c r="AT371" s="46"/>
      <c r="AU371" s="46"/>
      <c r="AV371" s="46"/>
      <c r="AW371" s="46"/>
      <c r="AX371" s="46"/>
      <c r="AY371" s="46"/>
      <c r="AZ371" s="563" t="str">
        <f ca="1">IFERROR(__xludf.DUMMYFUNCTION("""COMPUTED_VALUE"""),"Gardian")</f>
        <v>Gardian</v>
      </c>
      <c r="BA371" s="569"/>
      <c r="BB371" s="563"/>
      <c r="BC371" s="569"/>
      <c r="BD371" s="563"/>
      <c r="BE371" s="46"/>
      <c r="BF371" s="46"/>
      <c r="BG371" s="563"/>
      <c r="BH371" s="563"/>
      <c r="BI371" s="563"/>
      <c r="BJ371" s="563"/>
    </row>
    <row r="372" spans="2:62" x14ac:dyDescent="0.25">
      <c r="B372" s="569"/>
      <c r="C372" s="672"/>
      <c r="D372" s="563"/>
      <c r="E372" s="563"/>
      <c r="F372" s="569"/>
      <c r="G372" s="563"/>
      <c r="H372" s="563"/>
      <c r="I372" s="600"/>
      <c r="J372" s="569"/>
      <c r="K372" s="563"/>
      <c r="L372" s="563"/>
      <c r="M372" s="563"/>
      <c r="N372" s="563"/>
      <c r="O372" s="563"/>
      <c r="P372" s="563"/>
      <c r="Q372" s="563"/>
      <c r="R372" s="563"/>
      <c r="S372" s="563"/>
      <c r="T372" s="563"/>
      <c r="U372" s="563"/>
      <c r="V372" s="563"/>
      <c r="W372" s="563"/>
      <c r="X372" s="565"/>
      <c r="Y372" s="612"/>
      <c r="Z372" s="612"/>
      <c r="AA372" s="563"/>
      <c r="AB372" s="612"/>
      <c r="AC372" s="569"/>
      <c r="AD372" s="563"/>
      <c r="AE372" s="563"/>
      <c r="AF372" s="563"/>
      <c r="AG372" s="563"/>
      <c r="AH372" s="563"/>
      <c r="AI372" s="563"/>
      <c r="AJ372" s="605"/>
      <c r="AK372" s="563"/>
      <c r="AL372" s="563"/>
      <c r="AM372" s="563"/>
      <c r="AN372" s="563"/>
      <c r="AO372" s="563"/>
      <c r="AP372" s="46"/>
      <c r="AQ372" s="46"/>
      <c r="AR372" s="46"/>
      <c r="AS372" s="46"/>
      <c r="AT372" s="46"/>
      <c r="AU372" s="46"/>
      <c r="AV372" s="46"/>
      <c r="AW372" s="46"/>
      <c r="AX372" s="46"/>
      <c r="AY372" s="46"/>
      <c r="AZ372" s="563" t="str">
        <f ca="1">IFERROR(__xludf.DUMMYFUNCTION("""COMPUTED_VALUE"""),"Gas Altair")</f>
        <v>Gas Altair</v>
      </c>
      <c r="BA372" s="569"/>
      <c r="BB372" s="563"/>
      <c r="BC372" s="569"/>
      <c r="BD372" s="563"/>
      <c r="BE372" s="46"/>
      <c r="BF372" s="46"/>
      <c r="BG372" s="563"/>
      <c r="BH372" s="563"/>
      <c r="BI372" s="563"/>
      <c r="BJ372" s="563"/>
    </row>
    <row r="373" spans="2:62" x14ac:dyDescent="0.25">
      <c r="B373" s="569"/>
      <c r="C373" s="672"/>
      <c r="D373" s="563"/>
      <c r="E373" s="563"/>
      <c r="F373" s="569"/>
      <c r="G373" s="563"/>
      <c r="H373" s="563"/>
      <c r="I373" s="600"/>
      <c r="J373" s="569"/>
      <c r="K373" s="563"/>
      <c r="L373" s="563"/>
      <c r="M373" s="563"/>
      <c r="N373" s="563"/>
      <c r="O373" s="563"/>
      <c r="P373" s="563"/>
      <c r="Q373" s="563"/>
      <c r="R373" s="563"/>
      <c r="S373" s="563"/>
      <c r="T373" s="563"/>
      <c r="U373" s="563"/>
      <c r="V373" s="563"/>
      <c r="W373" s="563"/>
      <c r="X373" s="565"/>
      <c r="Y373" s="612"/>
      <c r="Z373" s="612"/>
      <c r="AA373" s="563"/>
      <c r="AB373" s="612"/>
      <c r="AC373" s="569"/>
      <c r="AD373" s="563"/>
      <c r="AE373" s="563"/>
      <c r="AF373" s="563"/>
      <c r="AG373" s="563"/>
      <c r="AH373" s="563"/>
      <c r="AI373" s="563"/>
      <c r="AJ373" s="605"/>
      <c r="AK373" s="563"/>
      <c r="AL373" s="563"/>
      <c r="AM373" s="563"/>
      <c r="AN373" s="563"/>
      <c r="AO373" s="563"/>
      <c r="AP373" s="46"/>
      <c r="AQ373" s="46"/>
      <c r="AR373" s="46"/>
      <c r="AS373" s="46"/>
      <c r="AT373" s="46"/>
      <c r="AU373" s="46"/>
      <c r="AV373" s="46"/>
      <c r="AW373" s="46"/>
      <c r="AX373" s="46"/>
      <c r="AY373" s="46"/>
      <c r="AZ373" s="563" t="str">
        <f ca="1">IFERROR(__xludf.DUMMYFUNCTION("""COMPUTED_VALUE"""),"Gas Concept")</f>
        <v>Gas Concept</v>
      </c>
      <c r="BA373" s="569"/>
      <c r="BB373" s="563"/>
      <c r="BC373" s="569"/>
      <c r="BD373" s="563"/>
      <c r="BE373" s="46"/>
      <c r="BF373" s="46"/>
      <c r="BG373" s="563"/>
      <c r="BH373" s="563"/>
      <c r="BI373" s="563"/>
      <c r="BJ373" s="563"/>
    </row>
    <row r="374" spans="2:62" x14ac:dyDescent="0.25">
      <c r="B374" s="569"/>
      <c r="C374" s="672"/>
      <c r="D374" s="563"/>
      <c r="E374" s="563"/>
      <c r="F374" s="675" t="s">
        <v>1557</v>
      </c>
      <c r="G374" s="563"/>
      <c r="H374" s="563"/>
      <c r="I374" s="600"/>
      <c r="J374" s="569"/>
      <c r="K374" s="563"/>
      <c r="L374" s="563"/>
      <c r="M374" s="563"/>
      <c r="N374" s="563"/>
      <c r="O374" s="563"/>
      <c r="P374" s="563"/>
      <c r="Q374" s="563"/>
      <c r="R374" s="563"/>
      <c r="S374" s="563"/>
      <c r="T374" s="563"/>
      <c r="U374" s="563"/>
      <c r="V374" s="563"/>
      <c r="W374" s="563"/>
      <c r="X374" s="565"/>
      <c r="Y374" s="612"/>
      <c r="Z374" s="612"/>
      <c r="AA374" s="563"/>
      <c r="AB374" s="612"/>
      <c r="AC374" s="569"/>
      <c r="AD374" s="563"/>
      <c r="AE374" s="563"/>
      <c r="AF374" s="563"/>
      <c r="AG374" s="563"/>
      <c r="AH374" s="563"/>
      <c r="AI374" s="563"/>
      <c r="AJ374" s="605"/>
      <c r="AK374" s="563"/>
      <c r="AL374" s="563"/>
      <c r="AM374" s="563"/>
      <c r="AN374" s="563"/>
      <c r="AO374" s="563"/>
      <c r="AP374" s="46"/>
      <c r="AQ374" s="46"/>
      <c r="AR374" s="46"/>
      <c r="AS374" s="46"/>
      <c r="AT374" s="46"/>
      <c r="AU374" s="46"/>
      <c r="AV374" s="46"/>
      <c r="AW374" s="46"/>
      <c r="AX374" s="46"/>
      <c r="AY374" s="46"/>
      <c r="AZ374" s="563" t="str">
        <f ca="1">IFERROR(__xludf.DUMMYFUNCTION("""COMPUTED_VALUE"""),"Gas Endurance")</f>
        <v>Gas Endurance</v>
      </c>
      <c r="BA374" s="569"/>
      <c r="BB374" s="563"/>
      <c r="BC374" s="569"/>
      <c r="BD374" s="563"/>
      <c r="BE374" s="46"/>
      <c r="BF374" s="46"/>
      <c r="BG374" s="563"/>
      <c r="BH374" s="563"/>
      <c r="BI374" s="563"/>
      <c r="BJ374" s="563"/>
    </row>
    <row r="375" spans="2:62" x14ac:dyDescent="0.25">
      <c r="B375" s="569"/>
      <c r="C375" s="672"/>
      <c r="D375" s="563"/>
      <c r="E375" s="563"/>
      <c r="F375" s="676" t="s">
        <v>1558</v>
      </c>
      <c r="G375" s="563"/>
      <c r="H375" s="563"/>
      <c r="I375" s="600"/>
      <c r="J375" s="569"/>
      <c r="K375" s="563"/>
      <c r="L375" s="563"/>
      <c r="M375" s="563"/>
      <c r="N375" s="563"/>
      <c r="O375" s="563"/>
      <c r="P375" s="563"/>
      <c r="Q375" s="563"/>
      <c r="R375" s="563"/>
      <c r="S375" s="563"/>
      <c r="T375" s="563"/>
      <c r="U375" s="563"/>
      <c r="V375" s="563"/>
      <c r="W375" s="563"/>
      <c r="X375" s="565"/>
      <c r="Y375" s="612"/>
      <c r="Z375" s="612"/>
      <c r="AA375" s="563"/>
      <c r="AB375" s="612"/>
      <c r="AC375" s="569"/>
      <c r="AD375" s="563"/>
      <c r="AE375" s="563"/>
      <c r="AF375" s="563"/>
      <c r="AG375" s="563"/>
      <c r="AH375" s="563"/>
      <c r="AI375" s="563"/>
      <c r="AJ375" s="605"/>
      <c r="AK375" s="563"/>
      <c r="AL375" s="563"/>
      <c r="AM375" s="563"/>
      <c r="AN375" s="563"/>
      <c r="AO375" s="563"/>
      <c r="AP375" s="46"/>
      <c r="AQ375" s="46"/>
      <c r="AR375" s="46"/>
      <c r="AS375" s="46"/>
      <c r="AT375" s="46"/>
      <c r="AU375" s="46"/>
      <c r="AV375" s="46"/>
      <c r="AW375" s="46"/>
      <c r="AX375" s="46"/>
      <c r="AY375" s="46"/>
      <c r="AZ375" s="563" t="str">
        <f ca="1">IFERROR(__xludf.DUMMYFUNCTION("""COMPUTED_VALUE"""),"Gas Lagoon")</f>
        <v>Gas Lagoon</v>
      </c>
      <c r="BA375" s="569"/>
      <c r="BB375" s="563"/>
      <c r="BC375" s="569"/>
      <c r="BD375" s="563"/>
      <c r="BE375" s="46"/>
      <c r="BF375" s="46"/>
      <c r="BG375" s="563"/>
      <c r="BH375" s="563"/>
      <c r="BI375" s="563"/>
      <c r="BJ375" s="563"/>
    </row>
    <row r="376" spans="2:62" x14ac:dyDescent="0.25">
      <c r="B376" s="569"/>
      <c r="C376" s="672"/>
      <c r="D376" s="563"/>
      <c r="E376" s="563"/>
      <c r="F376" s="677" t="s">
        <v>1559</v>
      </c>
      <c r="K376" s="563"/>
      <c r="L376" s="563"/>
      <c r="M376" s="563"/>
      <c r="N376" s="563"/>
      <c r="O376" s="563"/>
      <c r="P376" s="563"/>
      <c r="Q376" s="563"/>
      <c r="R376" s="563"/>
      <c r="S376" s="563"/>
      <c r="T376" s="563"/>
      <c r="U376" s="563"/>
      <c r="V376" s="563"/>
      <c r="W376" s="563"/>
      <c r="X376" s="565"/>
      <c r="Y376" s="612"/>
      <c r="Z376" s="612"/>
      <c r="AA376" s="563"/>
      <c r="AB376" s="612"/>
      <c r="AC376" s="569"/>
      <c r="AD376" s="563"/>
      <c r="AE376" s="563"/>
      <c r="AF376" s="563"/>
      <c r="AG376" s="563"/>
      <c r="AH376" s="563"/>
      <c r="AI376" s="563"/>
      <c r="AJ376" s="605"/>
      <c r="AK376" s="563"/>
      <c r="AL376" s="563"/>
      <c r="AM376" s="563"/>
      <c r="AN376" s="563"/>
      <c r="AO376" s="563"/>
      <c r="AP376" s="46"/>
      <c r="AQ376" s="46"/>
      <c r="AR376" s="46"/>
      <c r="AS376" s="46"/>
      <c r="AT376" s="46"/>
      <c r="AU376" s="46"/>
      <c r="AV376" s="46"/>
      <c r="AW376" s="46"/>
      <c r="AX376" s="46"/>
      <c r="AY376" s="46"/>
      <c r="AZ376" s="563" t="str">
        <f ca="1">IFERROR(__xludf.DUMMYFUNCTION("""COMPUTED_VALUE"""),"Gas Marakua")</f>
        <v>Gas Marakua</v>
      </c>
      <c r="BA376" s="569"/>
      <c r="BB376" s="563"/>
      <c r="BC376" s="569"/>
      <c r="BD376" s="563"/>
      <c r="BE376" s="46"/>
      <c r="BF376" s="46"/>
      <c r="BG376" s="563"/>
      <c r="BH376" s="563"/>
      <c r="BI376" s="563"/>
      <c r="BJ376" s="563"/>
    </row>
    <row r="377" spans="2:62" x14ac:dyDescent="0.25">
      <c r="B377" s="569"/>
      <c r="C377" s="672"/>
      <c r="D377" s="563"/>
      <c r="E377" s="563"/>
      <c r="F377" s="678" t="s">
        <v>1674</v>
      </c>
      <c r="J377" s="573"/>
      <c r="K377" s="563"/>
      <c r="L377" s="563"/>
      <c r="M377" s="563"/>
      <c r="N377" s="563"/>
      <c r="O377" s="563"/>
      <c r="P377" s="563"/>
      <c r="Q377" s="563"/>
      <c r="R377" s="563"/>
      <c r="S377" s="563"/>
      <c r="T377" s="563"/>
      <c r="U377" s="563"/>
      <c r="V377" s="563"/>
      <c r="W377" s="563"/>
      <c r="X377" s="565"/>
      <c r="Y377" s="612"/>
      <c r="Z377" s="612"/>
      <c r="AA377" s="563"/>
      <c r="AB377" s="612"/>
      <c r="AC377" s="569"/>
      <c r="AD377" s="563"/>
      <c r="AE377" s="563"/>
      <c r="AF377" s="563"/>
      <c r="AG377" s="563"/>
      <c r="AH377" s="563"/>
      <c r="AI377" s="563"/>
      <c r="AJ377" s="605"/>
      <c r="AK377" s="563"/>
      <c r="AL377" s="563"/>
      <c r="AM377" s="563"/>
      <c r="AN377" s="563"/>
      <c r="AO377" s="563"/>
      <c r="AP377" s="46"/>
      <c r="AQ377" s="46"/>
      <c r="AR377" s="46"/>
      <c r="AS377" s="46"/>
      <c r="AT377" s="46"/>
      <c r="AU377" s="46"/>
      <c r="AV377" s="46"/>
      <c r="AW377" s="46"/>
      <c r="AX377" s="46"/>
      <c r="AY377" s="46"/>
      <c r="AZ377" s="563" t="str">
        <f ca="1">IFERROR(__xludf.DUMMYFUNCTION("""COMPUTED_VALUE"""),"Gas Strength")</f>
        <v>Gas Strength</v>
      </c>
      <c r="BA377" s="569"/>
      <c r="BB377" s="563"/>
      <c r="BC377" s="569"/>
      <c r="BD377" s="563"/>
      <c r="BE377" s="46"/>
      <c r="BF377" s="46"/>
      <c r="BG377" s="563"/>
      <c r="BH377" s="563"/>
      <c r="BI377" s="563"/>
      <c r="BJ377" s="563"/>
    </row>
    <row r="378" spans="2:62" x14ac:dyDescent="0.25">
      <c r="B378" s="569"/>
      <c r="C378" s="672"/>
      <c r="D378" s="563"/>
      <c r="E378" s="563"/>
      <c r="F378" s="679" t="s">
        <v>1564</v>
      </c>
      <c r="H378" s="563"/>
      <c r="I378" s="600"/>
      <c r="J378" s="569"/>
      <c r="K378" s="563"/>
      <c r="L378" s="563"/>
      <c r="M378" s="563"/>
      <c r="N378" s="563"/>
      <c r="O378" s="563"/>
      <c r="P378" s="563"/>
      <c r="Q378" s="563"/>
      <c r="R378" s="563"/>
      <c r="S378" s="563"/>
      <c r="T378" s="563"/>
      <c r="U378" s="563"/>
      <c r="V378" s="563"/>
      <c r="W378" s="563"/>
      <c r="X378" s="565"/>
      <c r="Y378" s="612"/>
      <c r="Z378" s="612"/>
      <c r="AA378" s="563"/>
      <c r="AB378" s="612"/>
      <c r="AC378" s="569"/>
      <c r="AD378" s="563"/>
      <c r="AE378" s="563"/>
      <c r="AF378" s="563"/>
      <c r="AG378" s="563"/>
      <c r="AH378" s="563"/>
      <c r="AI378" s="563"/>
      <c r="AJ378" s="605"/>
      <c r="AK378" s="563"/>
      <c r="AL378" s="563"/>
      <c r="AM378" s="563"/>
      <c r="AN378" s="563"/>
      <c r="AO378" s="563"/>
      <c r="AP378" s="46"/>
      <c r="AQ378" s="46"/>
      <c r="AR378" s="46"/>
      <c r="AS378" s="46"/>
      <c r="AT378" s="46"/>
      <c r="AU378" s="46"/>
      <c r="AV378" s="46"/>
      <c r="AW378" s="46"/>
      <c r="AX378" s="46"/>
      <c r="AY378" s="46"/>
      <c r="AZ378" s="563" t="str">
        <f ca="1">IFERROR(__xludf.DUMMYFUNCTION("""COMPUTED_VALUE"""),"Gas Wanaka")</f>
        <v>Gas Wanaka</v>
      </c>
      <c r="BA378" s="569"/>
      <c r="BB378" s="563"/>
      <c r="BC378" s="569"/>
      <c r="BD378" s="563"/>
      <c r="BE378" s="46"/>
      <c r="BF378" s="46"/>
      <c r="BG378" s="563"/>
      <c r="BH378" s="563"/>
      <c r="BI378" s="563"/>
      <c r="BJ378" s="563"/>
    </row>
    <row r="379" spans="2:62" x14ac:dyDescent="0.25">
      <c r="B379" s="569"/>
      <c r="C379" s="672"/>
      <c r="D379" s="563"/>
      <c r="E379" s="563"/>
      <c r="F379" s="572" t="s">
        <v>1565</v>
      </c>
      <c r="H379" s="563"/>
      <c r="I379" s="600"/>
      <c r="J379" s="569"/>
      <c r="K379" s="563"/>
      <c r="L379" s="563"/>
      <c r="M379" s="563"/>
      <c r="N379" s="563"/>
      <c r="O379" s="563"/>
      <c r="P379" s="563"/>
      <c r="Q379" s="563"/>
      <c r="R379" s="563"/>
      <c r="S379" s="563"/>
      <c r="T379" s="563"/>
      <c r="U379" s="563"/>
      <c r="V379" s="563"/>
      <c r="W379" s="563"/>
      <c r="X379" s="565"/>
      <c r="Y379" s="612"/>
      <c r="Z379" s="612"/>
      <c r="AA379" s="563"/>
      <c r="AB379" s="612"/>
      <c r="AC379" s="569"/>
      <c r="AD379" s="563"/>
      <c r="AE379" s="563"/>
      <c r="AF379" s="563"/>
      <c r="AG379" s="563"/>
      <c r="AH379" s="563"/>
      <c r="AI379" s="563"/>
      <c r="AJ379" s="605"/>
      <c r="AK379" s="563"/>
      <c r="AL379" s="563"/>
      <c r="AM379" s="563"/>
      <c r="AN379" s="563"/>
      <c r="AO379" s="563"/>
      <c r="AP379" s="46"/>
      <c r="AQ379" s="46"/>
      <c r="AR379" s="46"/>
      <c r="AS379" s="46"/>
      <c r="AT379" s="46"/>
      <c r="AU379" s="46"/>
      <c r="AV379" s="46"/>
      <c r="AW379" s="46"/>
      <c r="AX379" s="46"/>
      <c r="AY379" s="46"/>
      <c r="AZ379" s="563" t="str">
        <f ca="1">IFERROR(__xludf.DUMMYFUNCTION("""COMPUTED_VALUE"""),"Gaz Gms")</f>
        <v>Gaz Gms</v>
      </c>
      <c r="BA379" s="569"/>
      <c r="BB379" s="563"/>
      <c r="BC379" s="569"/>
      <c r="BD379" s="563"/>
      <c r="BE379" s="46"/>
      <c r="BF379" s="46"/>
      <c r="BG379" s="563"/>
      <c r="BH379" s="563"/>
      <c r="BI379" s="563"/>
      <c r="BJ379" s="563"/>
    </row>
    <row r="380" spans="2:62" x14ac:dyDescent="0.25">
      <c r="B380" s="569"/>
      <c r="C380" s="672"/>
      <c r="D380" s="563"/>
      <c r="E380" s="563"/>
      <c r="G380" s="563"/>
      <c r="H380" s="563"/>
      <c r="I380" s="600"/>
      <c r="J380" s="569"/>
      <c r="K380" s="563"/>
      <c r="L380" s="563"/>
      <c r="M380" s="563"/>
      <c r="N380" s="563"/>
      <c r="O380" s="563"/>
      <c r="P380" s="563"/>
      <c r="Q380" s="563"/>
      <c r="R380" s="563"/>
      <c r="S380" s="563"/>
      <c r="T380" s="563"/>
      <c r="U380" s="563"/>
      <c r="V380" s="563"/>
      <c r="W380" s="563"/>
      <c r="X380" s="565"/>
      <c r="Y380" s="612"/>
      <c r="Z380" s="612"/>
      <c r="AA380" s="563"/>
      <c r="AB380" s="612"/>
      <c r="AC380" s="569"/>
      <c r="AD380" s="563"/>
      <c r="AE380" s="563"/>
      <c r="AF380" s="563"/>
      <c r="AG380" s="563"/>
      <c r="AH380" s="563"/>
      <c r="AI380" s="563"/>
      <c r="AJ380" s="680"/>
      <c r="AK380" s="563"/>
      <c r="AL380" s="563"/>
      <c r="AM380" s="563"/>
      <c r="AN380" s="563"/>
      <c r="AO380" s="563"/>
      <c r="AP380" s="46"/>
      <c r="AQ380" s="46"/>
      <c r="AR380" s="46"/>
      <c r="AS380" s="46"/>
      <c r="AT380" s="46"/>
      <c r="AU380" s="46"/>
      <c r="AV380" s="46"/>
      <c r="AW380" s="46"/>
      <c r="AX380" s="46"/>
      <c r="AY380" s="46"/>
      <c r="AZ380" s="563" t="str">
        <f ca="1">IFERROR(__xludf.DUMMYFUNCTION("""COMPUTED_VALUE"""),"Gaz Gotham")</f>
        <v>Gaz Gotham</v>
      </c>
      <c r="BA380" s="569"/>
      <c r="BB380" s="563"/>
      <c r="BC380" s="569"/>
      <c r="BD380" s="563"/>
      <c r="BE380" s="46"/>
      <c r="BF380" s="46"/>
      <c r="BG380" s="563"/>
      <c r="BH380" s="563"/>
      <c r="BI380" s="563"/>
      <c r="BJ380" s="563"/>
    </row>
    <row r="381" spans="2:62" x14ac:dyDescent="0.25">
      <c r="B381" s="569"/>
      <c r="C381" s="672"/>
      <c r="D381" s="563"/>
      <c r="E381" s="563"/>
      <c r="F381" s="681" t="s">
        <v>1675</v>
      </c>
      <c r="G381" s="563"/>
      <c r="H381" s="563"/>
      <c r="I381" s="600"/>
      <c r="J381" s="569"/>
      <c r="K381" s="563"/>
      <c r="L381" s="563"/>
      <c r="M381" s="563"/>
      <c r="N381" s="563"/>
      <c r="O381" s="563"/>
      <c r="P381" s="563"/>
      <c r="Q381" s="563"/>
      <c r="R381" s="563"/>
      <c r="S381" s="563"/>
      <c r="T381" s="563"/>
      <c r="U381" s="563"/>
      <c r="V381" s="563"/>
      <c r="W381" s="563"/>
      <c r="X381" s="565"/>
      <c r="Y381" s="612"/>
      <c r="Z381" s="612"/>
      <c r="AA381" s="563"/>
      <c r="AB381" s="612"/>
      <c r="AC381" s="569"/>
      <c r="AD381" s="563"/>
      <c r="AE381" s="563"/>
      <c r="AF381" s="563"/>
      <c r="AG381" s="563"/>
      <c r="AH381" s="563"/>
      <c r="AI381" s="563"/>
      <c r="AJ381" s="680"/>
      <c r="AK381" s="563"/>
      <c r="AL381" s="563"/>
      <c r="AM381" s="563"/>
      <c r="AN381" s="563"/>
      <c r="AO381" s="563"/>
      <c r="AP381" s="46"/>
      <c r="AQ381" s="46"/>
      <c r="AR381" s="46"/>
      <c r="AS381" s="46"/>
      <c r="AT381" s="46"/>
      <c r="AU381" s="46"/>
      <c r="AV381" s="46"/>
      <c r="AW381" s="46"/>
      <c r="AX381" s="46"/>
      <c r="AY381" s="46"/>
      <c r="AZ381" s="563" t="str">
        <f ca="1">IFERROR(__xludf.DUMMYFUNCTION("""COMPUTED_VALUE"""),"Gaz Pegasus")</f>
        <v>Gaz Pegasus</v>
      </c>
      <c r="BA381" s="569"/>
      <c r="BB381" s="563"/>
      <c r="BC381" s="569"/>
      <c r="BD381" s="563"/>
      <c r="BE381" s="46"/>
      <c r="BF381" s="46"/>
      <c r="BG381" s="563"/>
      <c r="BH381" s="563"/>
      <c r="BI381" s="563"/>
      <c r="BJ381" s="563"/>
    </row>
    <row r="382" spans="2:62" x14ac:dyDescent="0.25">
      <c r="B382" s="569"/>
      <c r="C382" s="672"/>
      <c r="D382" s="563"/>
      <c r="E382" s="563"/>
      <c r="F382" s="681" t="s">
        <v>1676</v>
      </c>
      <c r="G382" s="563"/>
      <c r="H382" s="563"/>
      <c r="I382" s="600"/>
      <c r="J382" s="569"/>
      <c r="K382" s="563"/>
      <c r="L382" s="563"/>
      <c r="M382" s="563"/>
      <c r="N382" s="563"/>
      <c r="O382" s="563"/>
      <c r="P382" s="563"/>
      <c r="Q382" s="563"/>
      <c r="R382" s="563"/>
      <c r="S382" s="563"/>
      <c r="T382" s="563"/>
      <c r="U382" s="563"/>
      <c r="V382" s="563"/>
      <c r="W382" s="563"/>
      <c r="X382" s="565"/>
      <c r="Y382" s="612"/>
      <c r="Z382" s="612"/>
      <c r="AA382" s="563"/>
      <c r="AB382" s="612"/>
      <c r="AC382" s="569"/>
      <c r="AD382" s="563"/>
      <c r="AE382" s="563"/>
      <c r="AF382" s="563"/>
      <c r="AG382" s="563"/>
      <c r="AH382" s="563"/>
      <c r="AI382" s="563"/>
      <c r="AJ382" s="680"/>
      <c r="AK382" s="563"/>
      <c r="AL382" s="563"/>
      <c r="AM382" s="563"/>
      <c r="AN382" s="563"/>
      <c r="AO382" s="563"/>
      <c r="AP382" s="46"/>
      <c r="AQ382" s="46"/>
      <c r="AR382" s="46"/>
      <c r="AS382" s="46"/>
      <c r="AT382" s="46"/>
      <c r="AU382" s="46"/>
      <c r="AV382" s="46"/>
      <c r="AW382" s="46"/>
      <c r="AX382" s="46"/>
      <c r="AY382" s="46"/>
      <c r="AZ382" s="563" t="str">
        <f ca="1">IFERROR(__xludf.DUMMYFUNCTION("""COMPUTED_VALUE"""),"Gaz Rose")</f>
        <v>Gaz Rose</v>
      </c>
      <c r="BA382" s="569"/>
      <c r="BB382" s="563"/>
      <c r="BC382" s="569"/>
      <c r="BD382" s="563"/>
      <c r="BE382" s="46"/>
      <c r="BF382" s="46"/>
      <c r="BG382" s="563"/>
      <c r="BH382" s="563"/>
      <c r="BI382" s="563"/>
      <c r="BJ382" s="563"/>
    </row>
    <row r="383" spans="2:62" x14ac:dyDescent="0.25">
      <c r="B383" s="569"/>
      <c r="C383" s="672"/>
      <c r="D383" s="563"/>
      <c r="E383" s="563"/>
      <c r="F383" s="569"/>
      <c r="G383" s="563"/>
      <c r="H383" s="563"/>
      <c r="I383" s="600"/>
      <c r="J383" s="569"/>
      <c r="K383" s="563"/>
      <c r="L383" s="563"/>
      <c r="M383" s="563"/>
      <c r="N383" s="563"/>
      <c r="O383" s="563"/>
      <c r="P383" s="563"/>
      <c r="Q383" s="563"/>
      <c r="R383" s="563"/>
      <c r="S383" s="563"/>
      <c r="T383" s="563"/>
      <c r="U383" s="563"/>
      <c r="V383" s="563"/>
      <c r="W383" s="563"/>
      <c r="X383" s="565"/>
      <c r="Y383" s="612"/>
      <c r="Z383" s="612"/>
      <c r="AA383" s="563"/>
      <c r="AB383" s="612"/>
      <c r="AC383" s="569"/>
      <c r="AD383" s="563"/>
      <c r="AE383" s="563"/>
      <c r="AF383" s="563"/>
      <c r="AG383" s="563"/>
      <c r="AH383" s="563"/>
      <c r="AI383" s="563"/>
      <c r="AJ383" s="680"/>
      <c r="AK383" s="563"/>
      <c r="AL383" s="563"/>
      <c r="AM383" s="563"/>
      <c r="AN383" s="563"/>
      <c r="AO383" s="563"/>
      <c r="AP383" s="46"/>
      <c r="AQ383" s="46"/>
      <c r="AR383" s="46"/>
      <c r="AS383" s="46"/>
      <c r="AT383" s="46"/>
      <c r="AU383" s="46"/>
      <c r="AV383" s="46"/>
      <c r="AW383" s="46"/>
      <c r="AX383" s="46"/>
      <c r="AY383" s="46"/>
      <c r="AZ383" s="563" t="str">
        <f ca="1">IFERROR(__xludf.DUMMYFUNCTION("""COMPUTED_VALUE"""),"Global Vivian")</f>
        <v>Global Vivian</v>
      </c>
      <c r="BA383" s="569"/>
      <c r="BB383" s="563"/>
      <c r="BC383" s="569"/>
      <c r="BD383" s="563"/>
      <c r="BE383" s="46"/>
      <c r="BF383" s="46"/>
      <c r="BG383" s="563"/>
      <c r="BH383" s="563"/>
      <c r="BI383" s="563"/>
      <c r="BJ383" s="563"/>
    </row>
    <row r="384" spans="2:62" x14ac:dyDescent="0.25">
      <c r="B384" s="569"/>
      <c r="C384" s="672"/>
      <c r="D384" s="563"/>
      <c r="E384" s="563"/>
      <c r="F384" s="569"/>
      <c r="G384" s="563"/>
      <c r="H384" s="563"/>
      <c r="I384" s="600"/>
      <c r="J384" s="569"/>
      <c r="K384" s="563"/>
      <c r="L384" s="563"/>
      <c r="M384" s="563"/>
      <c r="N384" s="563"/>
      <c r="O384" s="563"/>
      <c r="P384" s="563"/>
      <c r="Q384" s="563"/>
      <c r="R384" s="563"/>
      <c r="S384" s="563"/>
      <c r="T384" s="563"/>
      <c r="U384" s="563"/>
      <c r="V384" s="563"/>
      <c r="W384" s="563"/>
      <c r="X384" s="565"/>
      <c r="Y384" s="612"/>
      <c r="Z384" s="612"/>
      <c r="AA384" s="563"/>
      <c r="AB384" s="612"/>
      <c r="AC384" s="569"/>
      <c r="AD384" s="563"/>
      <c r="AE384" s="563"/>
      <c r="AF384" s="563"/>
      <c r="AG384" s="563"/>
      <c r="AH384" s="563"/>
      <c r="AI384" s="563"/>
      <c r="AJ384" s="680"/>
      <c r="AK384" s="563"/>
      <c r="AL384" s="563"/>
      <c r="AM384" s="563"/>
      <c r="AN384" s="563"/>
      <c r="AO384" s="563"/>
      <c r="AP384" s="46"/>
      <c r="AQ384" s="46"/>
      <c r="AR384" s="46"/>
      <c r="AS384" s="46"/>
      <c r="AT384" s="46"/>
      <c r="AU384" s="46"/>
      <c r="AV384" s="46"/>
      <c r="AW384" s="46"/>
      <c r="AX384" s="46"/>
      <c r="AY384" s="46"/>
      <c r="AZ384" s="563" t="str">
        <f ca="1">IFERROR(__xludf.DUMMYFUNCTION("""COMPUTED_VALUE"""),"Gong De Tian")</f>
        <v>Gong De Tian</v>
      </c>
      <c r="BA384" s="569"/>
      <c r="BB384" s="563"/>
      <c r="BC384" s="569"/>
      <c r="BD384" s="563"/>
      <c r="BE384" s="46"/>
      <c r="BF384" s="46"/>
      <c r="BG384" s="563"/>
      <c r="BH384" s="563"/>
      <c r="BI384" s="563"/>
      <c r="BJ384" s="563"/>
    </row>
    <row r="385" spans="2:62" x14ac:dyDescent="0.25">
      <c r="B385" s="569"/>
      <c r="C385" s="672"/>
      <c r="D385" s="563"/>
      <c r="E385" s="563"/>
      <c r="F385" s="569"/>
      <c r="G385" s="563"/>
      <c r="H385" s="563"/>
      <c r="I385" s="600"/>
      <c r="J385" s="569"/>
      <c r="K385" s="563"/>
      <c r="L385" s="563"/>
      <c r="M385" s="563"/>
      <c r="N385" s="563"/>
      <c r="O385" s="563"/>
      <c r="P385" s="563"/>
      <c r="Q385" s="563"/>
      <c r="R385" s="563"/>
      <c r="S385" s="563"/>
      <c r="T385" s="563"/>
      <c r="U385" s="563"/>
      <c r="V385" s="563"/>
      <c r="W385" s="563"/>
      <c r="X385" s="565"/>
      <c r="Y385" s="612"/>
      <c r="Z385" s="612"/>
      <c r="AA385" s="563"/>
      <c r="AB385" s="612"/>
      <c r="AC385" s="569"/>
      <c r="AD385" s="563"/>
      <c r="AE385" s="563"/>
      <c r="AF385" s="563"/>
      <c r="AG385" s="563"/>
      <c r="AH385" s="563"/>
      <c r="AI385" s="563"/>
      <c r="AJ385" s="680"/>
      <c r="AK385" s="563"/>
      <c r="AL385" s="563"/>
      <c r="AM385" s="563"/>
      <c r="AN385" s="563"/>
      <c r="AO385" s="563"/>
      <c r="AP385" s="46"/>
      <c r="AQ385" s="46"/>
      <c r="AR385" s="46"/>
      <c r="AS385" s="46"/>
      <c r="AT385" s="46"/>
      <c r="AU385" s="46"/>
      <c r="AV385" s="46"/>
      <c r="AW385" s="46"/>
      <c r="AX385" s="46"/>
      <c r="AY385" s="46"/>
      <c r="AZ385" s="563" t="str">
        <f ca="1">IFERROR(__xludf.DUMMYFUNCTION("""COMPUTED_VALUE"""),"Green Sachi")</f>
        <v>Green Sachi</v>
      </c>
      <c r="BA385" s="569"/>
      <c r="BB385" s="563"/>
      <c r="BC385" s="569"/>
      <c r="BD385" s="563"/>
      <c r="BE385" s="46"/>
      <c r="BF385" s="46"/>
      <c r="BG385" s="563"/>
      <c r="BH385" s="563"/>
      <c r="BI385" s="563"/>
      <c r="BJ385" s="563"/>
    </row>
    <row r="386" spans="2:62" x14ac:dyDescent="0.25">
      <c r="B386" s="569"/>
      <c r="C386" s="672"/>
      <c r="D386" s="563"/>
      <c r="E386" s="563"/>
      <c r="F386" s="569"/>
      <c r="G386" s="563"/>
      <c r="H386" s="563"/>
      <c r="I386" s="600"/>
      <c r="J386" s="569"/>
      <c r="K386" s="563"/>
      <c r="L386" s="563"/>
      <c r="M386" s="563"/>
      <c r="N386" s="563"/>
      <c r="O386" s="563"/>
      <c r="P386" s="563"/>
      <c r="Q386" s="563"/>
      <c r="R386" s="563"/>
      <c r="S386" s="563"/>
      <c r="T386" s="563"/>
      <c r="U386" s="563"/>
      <c r="V386" s="563"/>
      <c r="W386" s="563"/>
      <c r="X386" s="565"/>
      <c r="Y386" s="612"/>
      <c r="Z386" s="612"/>
      <c r="AA386" s="563"/>
      <c r="AB386" s="612"/>
      <c r="AC386" s="569"/>
      <c r="AD386" s="563"/>
      <c r="AE386" s="563"/>
      <c r="AF386" s="563"/>
      <c r="AG386" s="563"/>
      <c r="AH386" s="563"/>
      <c r="AI386" s="563"/>
      <c r="AJ386" s="680"/>
      <c r="AK386" s="563"/>
      <c r="AL386" s="563"/>
      <c r="AM386" s="563"/>
      <c r="AN386" s="563"/>
      <c r="AO386" s="563"/>
      <c r="AP386" s="46"/>
      <c r="AQ386" s="46"/>
      <c r="AR386" s="46"/>
      <c r="AS386" s="46"/>
      <c r="AT386" s="46"/>
      <c r="AU386" s="46"/>
      <c r="AV386" s="46"/>
      <c r="AW386" s="46"/>
      <c r="AX386" s="46"/>
      <c r="AY386" s="46"/>
      <c r="AZ386" s="563" t="str">
        <f ca="1">IFERROR(__xludf.DUMMYFUNCTION("""COMPUTED_VALUE"""),"Green Sanvi")</f>
        <v>Green Sanvi</v>
      </c>
      <c r="BA386" s="569"/>
      <c r="BB386" s="563"/>
      <c r="BC386" s="569"/>
      <c r="BD386" s="563"/>
      <c r="BE386" s="46"/>
      <c r="BF386" s="46"/>
      <c r="BG386" s="563"/>
      <c r="BH386" s="563"/>
      <c r="BI386" s="563"/>
      <c r="BJ386" s="563"/>
    </row>
    <row r="387" spans="2:62" x14ac:dyDescent="0.25">
      <c r="B387" s="569"/>
      <c r="C387" s="672"/>
      <c r="D387" s="563"/>
      <c r="E387" s="563"/>
      <c r="F387" s="569"/>
      <c r="G387" s="563"/>
      <c r="H387" s="563"/>
      <c r="I387" s="600"/>
      <c r="J387" s="569"/>
      <c r="K387" s="563"/>
      <c r="L387" s="563"/>
      <c r="M387" s="563"/>
      <c r="N387" s="563"/>
      <c r="O387" s="563"/>
      <c r="P387" s="563"/>
      <c r="Q387" s="563"/>
      <c r="R387" s="563"/>
      <c r="S387" s="563"/>
      <c r="T387" s="563"/>
      <c r="U387" s="563"/>
      <c r="V387" s="563"/>
      <c r="W387" s="563"/>
      <c r="X387" s="565"/>
      <c r="Y387" s="612"/>
      <c r="Z387" s="612"/>
      <c r="AA387" s="563"/>
      <c r="AB387" s="612"/>
      <c r="AC387" s="569"/>
      <c r="AD387" s="563"/>
      <c r="AE387" s="563"/>
      <c r="AF387" s="563"/>
      <c r="AG387" s="563"/>
      <c r="AH387" s="563"/>
      <c r="AI387" s="563"/>
      <c r="AJ387" s="680"/>
      <c r="AK387" s="563"/>
      <c r="AL387" s="563"/>
      <c r="AM387" s="563"/>
      <c r="AN387" s="563"/>
      <c r="AO387" s="563"/>
      <c r="AP387" s="46"/>
      <c r="AQ387" s="46"/>
      <c r="AR387" s="46"/>
      <c r="AS387" s="46"/>
      <c r="AT387" s="46"/>
      <c r="AU387" s="46"/>
      <c r="AV387" s="46"/>
      <c r="AW387" s="46"/>
      <c r="AX387" s="46"/>
      <c r="AY387" s="46"/>
      <c r="AZ387" s="563" t="str">
        <f ca="1">IFERROR(__xludf.DUMMYFUNCTION("""COMPUTED_VALUE"""),"Green Sarita")</f>
        <v>Green Sarita</v>
      </c>
      <c r="BA387" s="569"/>
      <c r="BB387" s="563"/>
      <c r="BC387" s="569"/>
      <c r="BD387" s="563"/>
      <c r="BE387" s="46"/>
      <c r="BF387" s="46"/>
      <c r="BG387" s="563"/>
      <c r="BH387" s="563"/>
      <c r="BI387" s="563"/>
      <c r="BJ387" s="563"/>
    </row>
    <row r="388" spans="2:62" x14ac:dyDescent="0.25">
      <c r="B388" s="569"/>
      <c r="C388" s="672"/>
      <c r="D388" s="563"/>
      <c r="E388" s="563"/>
      <c r="F388" s="569"/>
      <c r="G388" s="563"/>
      <c r="H388" s="563"/>
      <c r="I388" s="600"/>
      <c r="J388" s="569"/>
      <c r="K388" s="563"/>
      <c r="L388" s="563"/>
      <c r="M388" s="563"/>
      <c r="N388" s="563"/>
      <c r="O388" s="563"/>
      <c r="P388" s="563"/>
      <c r="Q388" s="563"/>
      <c r="R388" s="563"/>
      <c r="S388" s="563"/>
      <c r="T388" s="563"/>
      <c r="U388" s="563"/>
      <c r="V388" s="563"/>
      <c r="W388" s="563"/>
      <c r="X388" s="565"/>
      <c r="Y388" s="612"/>
      <c r="Z388" s="612"/>
      <c r="AA388" s="563"/>
      <c r="AB388" s="612"/>
      <c r="AC388" s="569"/>
      <c r="AD388" s="563"/>
      <c r="AE388" s="563"/>
      <c r="AF388" s="563"/>
      <c r="AG388" s="563"/>
      <c r="AH388" s="563"/>
      <c r="AI388" s="563"/>
      <c r="AJ388" s="680"/>
      <c r="AK388" s="563"/>
      <c r="AL388" s="563"/>
      <c r="AM388" s="563"/>
      <c r="AN388" s="563"/>
      <c r="AO388" s="563"/>
      <c r="AP388" s="46"/>
      <c r="AQ388" s="46"/>
      <c r="AR388" s="46"/>
      <c r="AS388" s="46"/>
      <c r="AT388" s="46"/>
      <c r="AU388" s="46"/>
      <c r="AV388" s="46"/>
      <c r="AW388" s="46"/>
      <c r="AX388" s="46"/>
      <c r="AY388" s="46"/>
      <c r="AZ388" s="563" t="str">
        <f ca="1">IFERROR(__xludf.DUMMYFUNCTION("""COMPUTED_VALUE"""),"Green Shakti")</f>
        <v>Green Shakti</v>
      </c>
      <c r="BA388" s="569"/>
      <c r="BB388" s="563"/>
      <c r="BC388" s="569"/>
      <c r="BD388" s="563"/>
      <c r="BE388" s="46"/>
      <c r="BF388" s="46"/>
      <c r="BG388" s="563"/>
      <c r="BH388" s="563"/>
      <c r="BI388" s="563"/>
      <c r="BJ388" s="563"/>
    </row>
    <row r="389" spans="2:62" x14ac:dyDescent="0.25">
      <c r="B389" s="569"/>
      <c r="C389" s="672"/>
      <c r="D389" s="563"/>
      <c r="E389" s="563"/>
      <c r="F389" s="569"/>
      <c r="G389" s="563"/>
      <c r="H389" s="563"/>
      <c r="I389" s="600"/>
      <c r="J389" s="569"/>
      <c r="K389" s="563"/>
      <c r="L389" s="563"/>
      <c r="M389" s="563"/>
      <c r="N389" s="563"/>
      <c r="O389" s="563"/>
      <c r="P389" s="563"/>
      <c r="Q389" s="563"/>
      <c r="R389" s="563"/>
      <c r="S389" s="563"/>
      <c r="T389" s="563"/>
      <c r="U389" s="563"/>
      <c r="V389" s="563"/>
      <c r="W389" s="563"/>
      <c r="X389" s="565"/>
      <c r="Y389" s="612"/>
      <c r="Z389" s="612"/>
      <c r="AA389" s="563"/>
      <c r="AB389" s="612"/>
      <c r="AC389" s="569"/>
      <c r="AD389" s="563"/>
      <c r="AE389" s="563"/>
      <c r="AF389" s="563"/>
      <c r="AG389" s="563"/>
      <c r="AH389" s="563"/>
      <c r="AI389" s="563"/>
      <c r="AJ389" s="680"/>
      <c r="AK389" s="563"/>
      <c r="AL389" s="563"/>
      <c r="AM389" s="563"/>
      <c r="AN389" s="563"/>
      <c r="AO389" s="563"/>
      <c r="AP389" s="46"/>
      <c r="AQ389" s="46"/>
      <c r="AR389" s="46"/>
      <c r="AS389" s="46"/>
      <c r="AT389" s="46"/>
      <c r="AU389" s="46"/>
      <c r="AV389" s="46"/>
      <c r="AW389" s="46"/>
      <c r="AX389" s="46"/>
      <c r="AY389" s="46"/>
      <c r="AZ389" s="563" t="str">
        <f ca="1">IFERROR(__xludf.DUMMYFUNCTION("""COMPUTED_VALUE"""),"Hanwha Ocean")</f>
        <v>Hanwha Ocean</v>
      </c>
      <c r="BA389" s="569"/>
      <c r="BB389" s="563"/>
      <c r="BC389" s="569"/>
      <c r="BD389" s="563"/>
      <c r="BE389" s="46"/>
      <c r="BF389" s="46"/>
      <c r="BG389" s="563"/>
      <c r="BH389" s="563"/>
      <c r="BI389" s="563"/>
      <c r="BJ389" s="563"/>
    </row>
    <row r="390" spans="2:62" x14ac:dyDescent="0.25">
      <c r="B390" s="569"/>
      <c r="C390" s="672"/>
      <c r="D390" s="563"/>
      <c r="E390" s="563"/>
      <c r="F390" s="569"/>
      <c r="G390" s="563"/>
      <c r="H390" s="563"/>
      <c r="I390" s="600"/>
      <c r="J390" s="569"/>
      <c r="K390" s="563"/>
      <c r="L390" s="563"/>
      <c r="M390" s="563"/>
      <c r="N390" s="563"/>
      <c r="O390" s="563"/>
      <c r="P390" s="563"/>
      <c r="Q390" s="563"/>
      <c r="R390" s="563"/>
      <c r="S390" s="563"/>
      <c r="T390" s="563"/>
      <c r="U390" s="563"/>
      <c r="V390" s="563"/>
      <c r="W390" s="563"/>
      <c r="X390" s="565"/>
      <c r="Y390" s="612"/>
      <c r="Z390" s="612"/>
      <c r="AA390" s="563"/>
      <c r="AB390" s="612"/>
      <c r="AC390" s="569"/>
      <c r="AD390" s="563"/>
      <c r="AE390" s="563"/>
      <c r="AF390" s="563"/>
      <c r="AG390" s="563"/>
      <c r="AH390" s="563"/>
      <c r="AI390" s="563"/>
      <c r="AJ390" s="680"/>
      <c r="AK390" s="563"/>
      <c r="AL390" s="563"/>
      <c r="AM390" s="563"/>
      <c r="AN390" s="563"/>
      <c r="AO390" s="563"/>
      <c r="AP390" s="46"/>
      <c r="AQ390" s="46"/>
      <c r="AR390" s="46"/>
      <c r="AS390" s="46"/>
      <c r="AT390" s="46"/>
      <c r="AU390" s="46"/>
      <c r="AV390" s="46"/>
      <c r="AW390" s="46"/>
      <c r="AX390" s="46"/>
      <c r="AY390" s="46"/>
      <c r="AZ390" s="563" t="str">
        <f ca="1">IFERROR(__xludf.DUMMYFUNCTION("""COMPUTED_VALUE"""),"Hanwha Ocean")</f>
        <v>Hanwha Ocean</v>
      </c>
      <c r="BA390" s="569"/>
      <c r="BB390" s="563"/>
      <c r="BC390" s="569"/>
      <c r="BD390" s="563"/>
      <c r="BE390" s="46"/>
      <c r="BF390" s="46"/>
      <c r="BG390" s="563"/>
      <c r="BH390" s="563"/>
      <c r="BI390" s="563"/>
      <c r="BJ390" s="563"/>
    </row>
    <row r="391" spans="2:62" x14ac:dyDescent="0.25">
      <c r="B391" s="569"/>
      <c r="C391" s="672"/>
      <c r="D391" s="563"/>
      <c r="E391" s="563"/>
      <c r="F391" s="569"/>
      <c r="G391" s="563"/>
      <c r="H391" s="563"/>
      <c r="I391" s="600"/>
      <c r="J391" s="569"/>
      <c r="K391" s="563"/>
      <c r="L391" s="563"/>
      <c r="M391" s="563"/>
      <c r="N391" s="563"/>
      <c r="O391" s="563"/>
      <c r="P391" s="563"/>
      <c r="Q391" s="563"/>
      <c r="R391" s="563"/>
      <c r="S391" s="563"/>
      <c r="T391" s="563"/>
      <c r="U391" s="563"/>
      <c r="V391" s="563"/>
      <c r="W391" s="563"/>
      <c r="X391" s="565"/>
      <c r="Y391" s="612"/>
      <c r="Z391" s="612"/>
      <c r="AA391" s="563"/>
      <c r="AB391" s="612"/>
      <c r="AC391" s="569"/>
      <c r="AD391" s="563"/>
      <c r="AE391" s="563"/>
      <c r="AF391" s="563"/>
      <c r="AG391" s="563"/>
      <c r="AH391" s="563"/>
      <c r="AI391" s="563"/>
      <c r="AJ391" s="680"/>
      <c r="AK391" s="563"/>
      <c r="AL391" s="563"/>
      <c r="AM391" s="563"/>
      <c r="AN391" s="563"/>
      <c r="AO391" s="563"/>
      <c r="AP391" s="46"/>
      <c r="AQ391" s="46"/>
      <c r="AR391" s="46"/>
      <c r="AS391" s="46"/>
      <c r="AT391" s="46"/>
      <c r="AU391" s="46"/>
      <c r="AV391" s="46"/>
      <c r="AW391" s="46"/>
      <c r="AX391" s="46"/>
      <c r="AY391" s="46"/>
      <c r="AZ391" s="563" t="str">
        <f ca="1">IFERROR(__xludf.DUMMYFUNCTION("""COMPUTED_VALUE"""),"Hanwha Ocean 2376")</f>
        <v>Hanwha Ocean 2376</v>
      </c>
      <c r="BA391" s="569"/>
      <c r="BB391" s="563"/>
      <c r="BC391" s="569"/>
      <c r="BD391" s="563"/>
      <c r="BE391" s="46"/>
      <c r="BF391" s="46"/>
      <c r="BG391" s="563"/>
      <c r="BH391" s="563"/>
      <c r="BI391" s="563"/>
      <c r="BJ391" s="563"/>
    </row>
    <row r="392" spans="2:62" x14ac:dyDescent="0.25">
      <c r="B392" s="569"/>
      <c r="C392" s="672"/>
      <c r="D392" s="563"/>
      <c r="E392" s="563"/>
      <c r="F392" s="569"/>
      <c r="G392" s="563"/>
      <c r="H392" s="563"/>
      <c r="I392" s="600"/>
      <c r="J392" s="569"/>
      <c r="K392" s="563"/>
      <c r="L392" s="563"/>
      <c r="M392" s="563"/>
      <c r="N392" s="563"/>
      <c r="O392" s="563"/>
      <c r="P392" s="563"/>
      <c r="Q392" s="563"/>
      <c r="R392" s="563"/>
      <c r="S392" s="563"/>
      <c r="T392" s="563"/>
      <c r="U392" s="563"/>
      <c r="V392" s="563"/>
      <c r="W392" s="563"/>
      <c r="X392" s="565"/>
      <c r="Y392" s="612"/>
      <c r="Z392" s="612"/>
      <c r="AA392" s="563"/>
      <c r="AB392" s="612"/>
      <c r="AC392" s="569"/>
      <c r="AD392" s="563"/>
      <c r="AE392" s="563"/>
      <c r="AF392" s="563"/>
      <c r="AG392" s="563"/>
      <c r="AH392" s="563"/>
      <c r="AI392" s="563"/>
      <c r="AJ392" s="680"/>
      <c r="AK392" s="563"/>
      <c r="AL392" s="563"/>
      <c r="AM392" s="563"/>
      <c r="AN392" s="563"/>
      <c r="AO392" s="563"/>
      <c r="AP392" s="46"/>
      <c r="AQ392" s="46"/>
      <c r="AR392" s="46"/>
      <c r="AS392" s="46"/>
      <c r="AT392" s="46"/>
      <c r="AU392" s="46"/>
      <c r="AV392" s="46"/>
      <c r="AW392" s="46"/>
      <c r="AX392" s="46"/>
      <c r="AY392" s="46"/>
      <c r="AZ392" s="563" t="str">
        <f ca="1">IFERROR(__xludf.DUMMYFUNCTION("""COMPUTED_VALUE"""),"Hd Hyundai Samho 8272")</f>
        <v>Hd Hyundai Samho 8272</v>
      </c>
      <c r="BA392" s="569"/>
      <c r="BB392" s="563"/>
      <c r="BC392" s="569"/>
      <c r="BD392" s="563"/>
      <c r="BE392" s="46"/>
      <c r="BF392" s="46"/>
      <c r="BG392" s="563"/>
      <c r="BH392" s="563"/>
      <c r="BI392" s="563"/>
      <c r="BJ392" s="563"/>
    </row>
    <row r="393" spans="2:62" x14ac:dyDescent="0.25">
      <c r="B393" s="569"/>
      <c r="C393" s="672"/>
      <c r="D393" s="563"/>
      <c r="E393" s="563"/>
      <c r="F393" s="569"/>
      <c r="G393" s="563"/>
      <c r="H393" s="563"/>
      <c r="I393" s="600"/>
      <c r="J393" s="569"/>
      <c r="K393" s="563"/>
      <c r="L393" s="563"/>
      <c r="M393" s="563"/>
      <c r="N393" s="563"/>
      <c r="O393" s="563"/>
      <c r="P393" s="563"/>
      <c r="Q393" s="563"/>
      <c r="R393" s="563"/>
      <c r="S393" s="563"/>
      <c r="T393" s="563"/>
      <c r="U393" s="563"/>
      <c r="V393" s="563"/>
      <c r="W393" s="563"/>
      <c r="X393" s="565"/>
      <c r="Y393" s="612"/>
      <c r="Z393" s="612"/>
      <c r="AA393" s="563"/>
      <c r="AB393" s="612"/>
      <c r="AC393" s="569"/>
      <c r="AD393" s="563"/>
      <c r="AE393" s="563"/>
      <c r="AF393" s="563"/>
      <c r="AG393" s="563"/>
      <c r="AH393" s="563"/>
      <c r="AI393" s="563"/>
      <c r="AJ393" s="680"/>
      <c r="AK393" s="563"/>
      <c r="AL393" s="563"/>
      <c r="AM393" s="563"/>
      <c r="AN393" s="563"/>
      <c r="AO393" s="563"/>
      <c r="AP393" s="46"/>
      <c r="AQ393" s="46"/>
      <c r="AR393" s="46"/>
      <c r="AS393" s="46"/>
      <c r="AT393" s="46"/>
      <c r="AU393" s="46"/>
      <c r="AV393" s="46"/>
      <c r="AW393" s="46"/>
      <c r="AX393" s="46"/>
      <c r="AY393" s="46"/>
      <c r="AZ393" s="563" t="str">
        <f ca="1">IFERROR(__xludf.DUMMYFUNCTION("""COMPUTED_VALUE"""),"Hd Hyundai Samho 8273")</f>
        <v>Hd Hyundai Samho 8273</v>
      </c>
      <c r="BA393" s="569"/>
      <c r="BB393" s="563"/>
      <c r="BC393" s="569"/>
      <c r="BD393" s="563"/>
      <c r="BE393" s="46"/>
      <c r="BF393" s="46"/>
      <c r="BG393" s="563"/>
      <c r="BH393" s="563"/>
      <c r="BI393" s="563"/>
      <c r="BJ393" s="563"/>
    </row>
    <row r="394" spans="2:62" x14ac:dyDescent="0.25">
      <c r="B394" s="569"/>
      <c r="C394" s="672"/>
      <c r="D394" s="563"/>
      <c r="E394" s="563"/>
      <c r="F394" s="569"/>
      <c r="G394" s="563"/>
      <c r="H394" s="563"/>
      <c r="I394" s="600"/>
      <c r="J394" s="569"/>
      <c r="K394" s="563"/>
      <c r="L394" s="563"/>
      <c r="M394" s="563"/>
      <c r="N394" s="563"/>
      <c r="O394" s="563"/>
      <c r="P394" s="563"/>
      <c r="Q394" s="563"/>
      <c r="R394" s="563"/>
      <c r="S394" s="563"/>
      <c r="T394" s="563"/>
      <c r="U394" s="563"/>
      <c r="V394" s="563"/>
      <c r="W394" s="563"/>
      <c r="X394" s="565"/>
      <c r="Y394" s="612"/>
      <c r="Z394" s="612"/>
      <c r="AA394" s="563"/>
      <c r="AB394" s="612"/>
      <c r="AC394" s="569"/>
      <c r="AD394" s="563"/>
      <c r="AE394" s="563"/>
      <c r="AF394" s="563"/>
      <c r="AG394" s="563"/>
      <c r="AH394" s="563"/>
      <c r="AI394" s="563"/>
      <c r="AJ394" s="680"/>
      <c r="AK394" s="563"/>
      <c r="AL394" s="563"/>
      <c r="AM394" s="563"/>
      <c r="AN394" s="563"/>
      <c r="AO394" s="563"/>
      <c r="AP394" s="46"/>
      <c r="AQ394" s="46"/>
      <c r="AR394" s="46"/>
      <c r="AS394" s="46"/>
      <c r="AT394" s="46"/>
      <c r="AU394" s="46"/>
      <c r="AV394" s="46"/>
      <c r="AW394" s="46"/>
      <c r="AX394" s="46"/>
      <c r="AY394" s="46"/>
      <c r="AZ394" s="563" t="str">
        <f ca="1">IFERROR(__xludf.DUMMYFUNCTION("""COMPUTED_VALUE"""),"Hh Glory")</f>
        <v>Hh Glory</v>
      </c>
      <c r="BA394" s="569"/>
      <c r="BB394" s="563"/>
      <c r="BC394" s="569"/>
      <c r="BD394" s="563"/>
      <c r="BE394" s="46"/>
      <c r="BF394" s="46"/>
      <c r="BG394" s="563"/>
      <c r="BH394" s="563"/>
      <c r="BI394" s="563"/>
      <c r="BJ394" s="563"/>
    </row>
    <row r="395" spans="2:62" x14ac:dyDescent="0.25">
      <c r="B395" s="569"/>
      <c r="C395" s="672"/>
      <c r="D395" s="563"/>
      <c r="E395" s="563"/>
      <c r="F395" s="569"/>
      <c r="G395" s="563"/>
      <c r="H395" s="563"/>
      <c r="I395" s="600"/>
      <c r="J395" s="569"/>
      <c r="K395" s="563"/>
      <c r="L395" s="563"/>
      <c r="M395" s="563"/>
      <c r="N395" s="563"/>
      <c r="O395" s="563"/>
      <c r="P395" s="563"/>
      <c r="Q395" s="563"/>
      <c r="R395" s="563"/>
      <c r="S395" s="563"/>
      <c r="T395" s="563"/>
      <c r="U395" s="563"/>
      <c r="V395" s="563"/>
      <c r="W395" s="563"/>
      <c r="X395" s="565"/>
      <c r="Y395" s="612"/>
      <c r="Z395" s="612"/>
      <c r="AA395" s="563"/>
      <c r="AB395" s="612"/>
      <c r="AC395" s="569"/>
      <c r="AD395" s="563"/>
      <c r="AE395" s="563"/>
      <c r="AF395" s="563"/>
      <c r="AG395" s="563"/>
      <c r="AH395" s="563"/>
      <c r="AI395" s="563"/>
      <c r="AJ395" s="680"/>
      <c r="AK395" s="563"/>
      <c r="AL395" s="563"/>
      <c r="AM395" s="563"/>
      <c r="AN395" s="563"/>
      <c r="AO395" s="563"/>
      <c r="AP395" s="46"/>
      <c r="AQ395" s="46"/>
      <c r="AR395" s="46"/>
      <c r="AS395" s="46"/>
      <c r="AT395" s="46"/>
      <c r="AU395" s="46"/>
      <c r="AV395" s="46"/>
      <c r="AW395" s="46"/>
      <c r="AX395" s="46"/>
      <c r="AY395" s="46"/>
      <c r="AZ395" s="563" t="str">
        <f ca="1">IFERROR(__xludf.DUMMYFUNCTION("""COMPUTED_VALUE"""),"Hisui")</f>
        <v>Hisui</v>
      </c>
      <c r="BA395" s="569"/>
      <c r="BB395" s="563"/>
      <c r="BC395" s="569"/>
      <c r="BD395" s="563"/>
      <c r="BE395" s="46"/>
      <c r="BF395" s="46"/>
      <c r="BG395" s="563"/>
      <c r="BH395" s="563"/>
      <c r="BI395" s="563"/>
      <c r="BJ395" s="563"/>
    </row>
    <row r="396" spans="2:62" x14ac:dyDescent="0.25">
      <c r="B396" s="569"/>
      <c r="C396" s="672"/>
      <c r="D396" s="563"/>
      <c r="E396" s="563"/>
      <c r="F396" s="569"/>
      <c r="G396" s="563"/>
      <c r="H396" s="563"/>
      <c r="I396" s="600"/>
      <c r="J396" s="569"/>
      <c r="K396" s="563"/>
      <c r="L396" s="563"/>
      <c r="M396" s="563"/>
      <c r="N396" s="563"/>
      <c r="O396" s="563"/>
      <c r="P396" s="563"/>
      <c r="Q396" s="563"/>
      <c r="R396" s="563"/>
      <c r="S396" s="563"/>
      <c r="T396" s="563"/>
      <c r="U396" s="563"/>
      <c r="V396" s="563"/>
      <c r="W396" s="563"/>
      <c r="X396" s="565"/>
      <c r="Y396" s="612"/>
      <c r="Z396" s="612"/>
      <c r="AA396" s="563"/>
      <c r="AB396" s="612"/>
      <c r="AC396" s="569"/>
      <c r="AD396" s="563"/>
      <c r="AE396" s="563"/>
      <c r="AF396" s="563"/>
      <c r="AG396" s="563"/>
      <c r="AH396" s="563"/>
      <c r="AI396" s="563"/>
      <c r="AJ396" s="680"/>
      <c r="AK396" s="563"/>
      <c r="AL396" s="563"/>
      <c r="AM396" s="563"/>
      <c r="AN396" s="563"/>
      <c r="AO396" s="563"/>
      <c r="AP396" s="46"/>
      <c r="AQ396" s="46"/>
      <c r="AR396" s="46"/>
      <c r="AS396" s="46"/>
      <c r="AT396" s="46"/>
      <c r="AU396" s="46"/>
      <c r="AV396" s="46"/>
      <c r="AW396" s="46"/>
      <c r="AX396" s="46"/>
      <c r="AY396" s="46"/>
      <c r="AZ396" s="563" t="str">
        <f ca="1">IFERROR(__xludf.DUMMYFUNCTION("""COMPUTED_VALUE"""),"Hyundai Samho 8246")</f>
        <v>Hyundai Samho 8246</v>
      </c>
      <c r="BA396" s="569"/>
      <c r="BB396" s="563"/>
      <c r="BC396" s="569"/>
      <c r="BD396" s="563"/>
      <c r="BE396" s="46"/>
      <c r="BF396" s="46"/>
      <c r="BG396" s="563"/>
      <c r="BH396" s="563"/>
      <c r="BI396" s="563"/>
      <c r="BJ396" s="563"/>
    </row>
    <row r="397" spans="2:62" x14ac:dyDescent="0.25">
      <c r="B397" s="569"/>
      <c r="C397" s="672"/>
      <c r="D397" s="563"/>
      <c r="E397" s="563"/>
      <c r="F397" s="569"/>
      <c r="G397" s="563"/>
      <c r="H397" s="563"/>
      <c r="I397" s="600"/>
      <c r="J397" s="569"/>
      <c r="K397" s="563"/>
      <c r="L397" s="563"/>
      <c r="M397" s="563"/>
      <c r="N397" s="563"/>
      <c r="O397" s="563"/>
      <c r="P397" s="563"/>
      <c r="Q397" s="563"/>
      <c r="R397" s="563"/>
      <c r="S397" s="563"/>
      <c r="T397" s="563"/>
      <c r="U397" s="563"/>
      <c r="V397" s="563"/>
      <c r="W397" s="563"/>
      <c r="X397" s="565"/>
      <c r="Y397" s="612"/>
      <c r="Z397" s="612"/>
      <c r="AA397" s="563"/>
      <c r="AB397" s="612"/>
      <c r="AC397" s="569"/>
      <c r="AD397" s="563"/>
      <c r="AE397" s="563"/>
      <c r="AF397" s="563"/>
      <c r="AG397" s="563"/>
      <c r="AH397" s="563"/>
      <c r="AI397" s="563"/>
      <c r="AJ397" s="680"/>
      <c r="AK397" s="563"/>
      <c r="AL397" s="563"/>
      <c r="AM397" s="563"/>
      <c r="AN397" s="563"/>
      <c r="AO397" s="563"/>
      <c r="AP397" s="46"/>
      <c r="AQ397" s="46"/>
      <c r="AR397" s="46"/>
      <c r="AS397" s="46"/>
      <c r="AT397" s="46"/>
      <c r="AU397" s="46"/>
      <c r="AV397" s="46"/>
      <c r="AW397" s="46"/>
      <c r="AX397" s="46"/>
      <c r="AY397" s="46"/>
      <c r="AZ397" s="563" t="str">
        <f ca="1">IFERROR(__xludf.DUMMYFUNCTION("""COMPUTED_VALUE"""),"Hyundai Samho 8247")</f>
        <v>Hyundai Samho 8247</v>
      </c>
      <c r="BA397" s="569"/>
      <c r="BB397" s="563"/>
      <c r="BC397" s="569"/>
      <c r="BD397" s="563"/>
      <c r="BE397" s="46"/>
      <c r="BF397" s="46"/>
      <c r="BG397" s="563"/>
      <c r="BH397" s="563"/>
      <c r="BI397" s="563"/>
      <c r="BJ397" s="563"/>
    </row>
    <row r="398" spans="2:62" x14ac:dyDescent="0.25">
      <c r="B398" s="569"/>
      <c r="C398" s="672"/>
      <c r="D398" s="563"/>
      <c r="E398" s="563"/>
      <c r="F398" s="569"/>
      <c r="G398" s="563"/>
      <c r="H398" s="563"/>
      <c r="I398" s="600"/>
      <c r="J398" s="569"/>
      <c r="K398" s="563"/>
      <c r="L398" s="563"/>
      <c r="M398" s="563"/>
      <c r="N398" s="563"/>
      <c r="O398" s="563"/>
      <c r="P398" s="563"/>
      <c r="Q398" s="563"/>
      <c r="R398" s="563"/>
      <c r="S398" s="563"/>
      <c r="T398" s="563"/>
      <c r="U398" s="563"/>
      <c r="V398" s="563"/>
      <c r="W398" s="563"/>
      <c r="X398" s="565"/>
      <c r="Y398" s="612"/>
      <c r="Z398" s="612"/>
      <c r="AA398" s="563"/>
      <c r="AB398" s="612"/>
      <c r="AC398" s="569"/>
      <c r="AD398" s="563"/>
      <c r="AE398" s="563"/>
      <c r="AF398" s="563"/>
      <c r="AG398" s="563"/>
      <c r="AH398" s="563"/>
      <c r="AI398" s="563"/>
      <c r="AJ398" s="680"/>
      <c r="AK398" s="563"/>
      <c r="AL398" s="563"/>
      <c r="AM398" s="563"/>
      <c r="AN398" s="563"/>
      <c r="AO398" s="563"/>
      <c r="AP398" s="46"/>
      <c r="AQ398" s="46"/>
      <c r="AR398" s="46"/>
      <c r="AS398" s="46"/>
      <c r="AT398" s="46"/>
      <c r="AU398" s="46"/>
      <c r="AV398" s="46"/>
      <c r="AW398" s="46"/>
      <c r="AX398" s="46"/>
      <c r="AY398" s="46"/>
      <c r="AZ398" s="563" t="str">
        <f ca="1">IFERROR(__xludf.DUMMYFUNCTION("""COMPUTED_VALUE"""),"Hyundai Samho 8248")</f>
        <v>Hyundai Samho 8248</v>
      </c>
      <c r="BA398" s="569"/>
      <c r="BB398" s="563"/>
      <c r="BC398" s="569"/>
      <c r="BD398" s="563"/>
      <c r="BE398" s="46"/>
      <c r="BF398" s="46"/>
      <c r="BG398" s="563"/>
      <c r="BH398" s="563"/>
      <c r="BI398" s="563"/>
      <c r="BJ398" s="563"/>
    </row>
    <row r="399" spans="2:62" x14ac:dyDescent="0.25">
      <c r="B399" s="569"/>
      <c r="C399" s="672"/>
      <c r="D399" s="563"/>
      <c r="E399" s="563"/>
      <c r="F399" s="569"/>
      <c r="G399" s="563"/>
      <c r="H399" s="563"/>
      <c r="I399" s="600"/>
      <c r="J399" s="569"/>
      <c r="K399" s="563"/>
      <c r="L399" s="563"/>
      <c r="M399" s="563"/>
      <c r="N399" s="563"/>
      <c r="O399" s="563"/>
      <c r="P399" s="563"/>
      <c r="Q399" s="563"/>
      <c r="R399" s="563"/>
      <c r="S399" s="563"/>
      <c r="T399" s="563"/>
      <c r="U399" s="563"/>
      <c r="V399" s="563"/>
      <c r="W399" s="563"/>
      <c r="X399" s="565"/>
      <c r="Y399" s="612"/>
      <c r="Z399" s="612"/>
      <c r="AA399" s="563"/>
      <c r="AB399" s="612"/>
      <c r="AC399" s="569"/>
      <c r="AD399" s="563"/>
      <c r="AE399" s="563"/>
      <c r="AF399" s="563"/>
      <c r="AG399" s="563"/>
      <c r="AH399" s="563"/>
      <c r="AI399" s="563"/>
      <c r="AJ399" s="680"/>
      <c r="AK399" s="563"/>
      <c r="AL399" s="563"/>
      <c r="AM399" s="563"/>
      <c r="AN399" s="563"/>
      <c r="AO399" s="563"/>
      <c r="AP399" s="46"/>
      <c r="AQ399" s="46"/>
      <c r="AR399" s="46"/>
      <c r="AS399" s="46"/>
      <c r="AT399" s="46"/>
      <c r="AU399" s="46"/>
      <c r="AV399" s="46"/>
      <c r="AW399" s="46"/>
      <c r="AX399" s="46"/>
      <c r="AY399" s="46"/>
      <c r="AZ399" s="563" t="str">
        <f ca="1">IFERROR(__xludf.DUMMYFUNCTION("""COMPUTED_VALUE"""),"Hyundai Samho 8249")</f>
        <v>Hyundai Samho 8249</v>
      </c>
      <c r="BA399" s="569"/>
      <c r="BB399" s="563"/>
      <c r="BC399" s="569"/>
      <c r="BD399" s="563"/>
      <c r="BE399" s="46"/>
      <c r="BF399" s="46"/>
      <c r="BG399" s="563"/>
      <c r="BH399" s="563"/>
      <c r="BI399" s="563"/>
      <c r="BJ399" s="563"/>
    </row>
    <row r="400" spans="2:62" x14ac:dyDescent="0.25">
      <c r="B400" s="569"/>
      <c r="C400" s="672"/>
      <c r="D400" s="563"/>
      <c r="E400" s="563"/>
      <c r="F400" s="569"/>
      <c r="G400" s="563"/>
      <c r="H400" s="563"/>
      <c r="I400" s="600"/>
      <c r="J400" s="569"/>
      <c r="K400" s="563"/>
      <c r="L400" s="563"/>
      <c r="M400" s="563"/>
      <c r="N400" s="563"/>
      <c r="O400" s="563"/>
      <c r="P400" s="563"/>
      <c r="Q400" s="563"/>
      <c r="R400" s="563"/>
      <c r="S400" s="563"/>
      <c r="T400" s="563"/>
      <c r="U400" s="563"/>
      <c r="V400" s="563"/>
      <c r="W400" s="563"/>
      <c r="X400" s="565"/>
      <c r="Y400" s="612"/>
      <c r="Z400" s="612"/>
      <c r="AA400" s="563"/>
      <c r="AB400" s="612"/>
      <c r="AC400" s="569"/>
      <c r="AD400" s="563"/>
      <c r="AE400" s="563"/>
      <c r="AF400" s="563"/>
      <c r="AG400" s="563"/>
      <c r="AH400" s="563"/>
      <c r="AI400" s="563"/>
      <c r="AJ400" s="680"/>
      <c r="AK400" s="563"/>
      <c r="AL400" s="563"/>
      <c r="AM400" s="563"/>
      <c r="AN400" s="563"/>
      <c r="AO400" s="563"/>
      <c r="AP400" s="46"/>
      <c r="AQ400" s="46"/>
      <c r="AR400" s="46"/>
      <c r="AS400" s="46"/>
      <c r="AT400" s="46"/>
      <c r="AU400" s="46"/>
      <c r="AV400" s="46"/>
      <c r="AW400" s="46"/>
      <c r="AX400" s="46"/>
      <c r="AY400" s="46"/>
      <c r="AZ400" s="563" t="str">
        <f ca="1">IFERROR(__xludf.DUMMYFUNCTION("""COMPUTED_VALUE"""),"Hyundai Samho 8264")</f>
        <v>Hyundai Samho 8264</v>
      </c>
      <c r="BA400" s="569"/>
      <c r="BB400" s="563"/>
      <c r="BC400" s="569"/>
      <c r="BD400" s="563"/>
      <c r="BE400" s="46"/>
      <c r="BF400" s="46"/>
      <c r="BG400" s="563"/>
      <c r="BH400" s="563"/>
      <c r="BI400" s="563"/>
      <c r="BJ400" s="563"/>
    </row>
    <row r="401" spans="2:62" x14ac:dyDescent="0.25">
      <c r="B401" s="569"/>
      <c r="C401" s="672"/>
      <c r="D401" s="563"/>
      <c r="E401" s="563"/>
      <c r="F401" s="569"/>
      <c r="G401" s="563"/>
      <c r="H401" s="563"/>
      <c r="I401" s="600"/>
      <c r="J401" s="569"/>
      <c r="K401" s="563"/>
      <c r="L401" s="563"/>
      <c r="M401" s="563"/>
      <c r="N401" s="563"/>
      <c r="O401" s="563"/>
      <c r="P401" s="563"/>
      <c r="Q401" s="563"/>
      <c r="R401" s="563"/>
      <c r="S401" s="563"/>
      <c r="T401" s="563"/>
      <c r="U401" s="563"/>
      <c r="V401" s="563"/>
      <c r="W401" s="563"/>
      <c r="X401" s="565"/>
      <c r="Y401" s="612"/>
      <c r="Z401" s="612"/>
      <c r="AA401" s="563"/>
      <c r="AB401" s="612"/>
      <c r="AC401" s="569"/>
      <c r="AD401" s="563"/>
      <c r="AE401" s="563"/>
      <c r="AF401" s="563"/>
      <c r="AG401" s="563"/>
      <c r="AH401" s="563"/>
      <c r="AI401" s="563"/>
      <c r="AJ401" s="680"/>
      <c r="AK401" s="563"/>
      <c r="AL401" s="563"/>
      <c r="AM401" s="563"/>
      <c r="AN401" s="563"/>
      <c r="AO401" s="563"/>
      <c r="AP401" s="46"/>
      <c r="AQ401" s="46"/>
      <c r="AR401" s="46"/>
      <c r="AS401" s="46"/>
      <c r="AT401" s="46"/>
      <c r="AU401" s="46"/>
      <c r="AV401" s="46"/>
      <c r="AW401" s="46"/>
      <c r="AX401" s="46"/>
      <c r="AY401" s="46"/>
      <c r="AZ401" s="563" t="str">
        <f ca="1">IFERROR(__xludf.DUMMYFUNCTION("""COMPUTED_VALUE"""),"Hyundai Samho 8265")</f>
        <v>Hyundai Samho 8265</v>
      </c>
      <c r="BA401" s="569"/>
      <c r="BB401" s="563"/>
      <c r="BC401" s="569"/>
      <c r="BD401" s="563"/>
      <c r="BE401" s="46"/>
      <c r="BF401" s="46"/>
      <c r="BG401" s="563"/>
      <c r="BH401" s="563"/>
      <c r="BI401" s="563"/>
      <c r="BJ401" s="563"/>
    </row>
    <row r="402" spans="2:62" x14ac:dyDescent="0.25">
      <c r="B402" s="569"/>
      <c r="C402" s="672"/>
      <c r="D402" s="563"/>
      <c r="E402" s="563"/>
      <c r="F402" s="569"/>
      <c r="G402" s="563"/>
      <c r="H402" s="563"/>
      <c r="I402" s="600"/>
      <c r="J402" s="569"/>
      <c r="K402" s="563"/>
      <c r="L402" s="563"/>
      <c r="M402" s="563"/>
      <c r="N402" s="563"/>
      <c r="O402" s="563"/>
      <c r="P402" s="563"/>
      <c r="Q402" s="563"/>
      <c r="R402" s="563"/>
      <c r="S402" s="563"/>
      <c r="T402" s="563"/>
      <c r="U402" s="563"/>
      <c r="V402" s="563"/>
      <c r="W402" s="563"/>
      <c r="X402" s="565"/>
      <c r="Y402" s="612"/>
      <c r="Z402" s="612"/>
      <c r="AA402" s="563"/>
      <c r="AB402" s="612"/>
      <c r="AC402" s="569"/>
      <c r="AD402" s="563"/>
      <c r="AE402" s="563"/>
      <c r="AF402" s="563"/>
      <c r="AG402" s="563"/>
      <c r="AH402" s="563"/>
      <c r="AI402" s="563"/>
      <c r="AJ402" s="680"/>
      <c r="AK402" s="563"/>
      <c r="AL402" s="563"/>
      <c r="AM402" s="563"/>
      <c r="AN402" s="563"/>
      <c r="AO402" s="563"/>
      <c r="AP402" s="46"/>
      <c r="AQ402" s="46"/>
      <c r="AR402" s="46"/>
      <c r="AS402" s="46"/>
      <c r="AT402" s="46"/>
      <c r="AU402" s="46"/>
      <c r="AV402" s="46"/>
      <c r="AW402" s="46"/>
      <c r="AX402" s="46"/>
      <c r="AY402" s="46"/>
      <c r="AZ402" s="563" t="str">
        <f ca="1">IFERROR(__xludf.DUMMYFUNCTION("""COMPUTED_VALUE"""),"Hyundai Samho 8266")</f>
        <v>Hyundai Samho 8266</v>
      </c>
      <c r="BA402" s="569"/>
      <c r="BB402" s="563"/>
      <c r="BC402" s="569"/>
      <c r="BD402" s="563"/>
      <c r="BE402" s="46"/>
      <c r="BF402" s="46"/>
      <c r="BG402" s="563"/>
      <c r="BH402" s="563"/>
      <c r="BI402" s="563"/>
      <c r="BJ402" s="563"/>
    </row>
    <row r="403" spans="2:62" x14ac:dyDescent="0.25">
      <c r="B403" s="569"/>
      <c r="C403" s="672"/>
      <c r="D403" s="563"/>
      <c r="E403" s="563"/>
      <c r="F403" s="569"/>
      <c r="G403" s="563"/>
      <c r="H403" s="563"/>
      <c r="I403" s="600"/>
      <c r="J403" s="569"/>
      <c r="K403" s="563"/>
      <c r="L403" s="563"/>
      <c r="M403" s="563"/>
      <c r="N403" s="563"/>
      <c r="O403" s="563"/>
      <c r="P403" s="563"/>
      <c r="Q403" s="563"/>
      <c r="R403" s="563"/>
      <c r="S403" s="563"/>
      <c r="T403" s="563"/>
      <c r="U403" s="563"/>
      <c r="V403" s="563"/>
      <c r="W403" s="563"/>
      <c r="X403" s="565"/>
      <c r="Y403" s="612"/>
      <c r="Z403" s="612"/>
      <c r="AA403" s="563"/>
      <c r="AB403" s="612"/>
      <c r="AC403" s="569"/>
      <c r="AD403" s="563"/>
      <c r="AE403" s="563"/>
      <c r="AF403" s="563"/>
      <c r="AG403" s="563"/>
      <c r="AH403" s="563"/>
      <c r="AI403" s="563"/>
      <c r="AJ403" s="680"/>
      <c r="AK403" s="563"/>
      <c r="AL403" s="563"/>
      <c r="AM403" s="563"/>
      <c r="AN403" s="563"/>
      <c r="AO403" s="563"/>
      <c r="AP403" s="46"/>
      <c r="AQ403" s="46"/>
      <c r="AR403" s="46"/>
      <c r="AS403" s="46"/>
      <c r="AT403" s="46"/>
      <c r="AU403" s="46"/>
      <c r="AV403" s="46"/>
      <c r="AW403" s="46"/>
      <c r="AX403" s="46"/>
      <c r="AY403" s="46"/>
      <c r="AZ403" s="563" t="str">
        <f ca="1">IFERROR(__xludf.DUMMYFUNCTION("""COMPUTED_VALUE"""),"Hyundai Samho 8267")</f>
        <v>Hyundai Samho 8267</v>
      </c>
      <c r="BA403" s="569"/>
      <c r="BB403" s="563"/>
      <c r="BC403" s="569"/>
      <c r="BD403" s="563"/>
      <c r="BE403" s="46"/>
      <c r="BF403" s="46"/>
      <c r="BG403" s="563"/>
      <c r="BH403" s="563"/>
      <c r="BI403" s="563"/>
      <c r="BJ403" s="563"/>
    </row>
    <row r="404" spans="2:62" x14ac:dyDescent="0.25">
      <c r="B404" s="569"/>
      <c r="C404" s="672"/>
      <c r="D404" s="563"/>
      <c r="E404" s="563"/>
      <c r="F404" s="569"/>
      <c r="G404" s="563"/>
      <c r="H404" s="563"/>
      <c r="I404" s="600"/>
      <c r="J404" s="569"/>
      <c r="K404" s="563"/>
      <c r="L404" s="563"/>
      <c r="M404" s="563"/>
      <c r="N404" s="563"/>
      <c r="O404" s="563"/>
      <c r="P404" s="563"/>
      <c r="Q404" s="563"/>
      <c r="R404" s="563"/>
      <c r="S404" s="563"/>
      <c r="T404" s="563"/>
      <c r="U404" s="563"/>
      <c r="V404" s="563"/>
      <c r="W404" s="563"/>
      <c r="X404" s="565"/>
      <c r="Y404" s="612"/>
      <c r="Z404" s="612"/>
      <c r="AA404" s="563"/>
      <c r="AB404" s="612"/>
      <c r="AC404" s="569"/>
      <c r="AD404" s="563"/>
      <c r="AE404" s="563"/>
      <c r="AF404" s="563"/>
      <c r="AG404" s="563"/>
      <c r="AH404" s="563"/>
      <c r="AI404" s="563"/>
      <c r="AJ404" s="680"/>
      <c r="AK404" s="563"/>
      <c r="AL404" s="563"/>
      <c r="AM404" s="563"/>
      <c r="AN404" s="563"/>
      <c r="AO404" s="563"/>
      <c r="AP404" s="46"/>
      <c r="AQ404" s="46"/>
      <c r="AR404" s="46"/>
      <c r="AS404" s="46"/>
      <c r="AT404" s="46"/>
      <c r="AU404" s="46"/>
      <c r="AV404" s="46"/>
      <c r="AW404" s="46"/>
      <c r="AX404" s="46"/>
      <c r="AY404" s="46"/>
      <c r="AZ404" s="563" t="str">
        <f ca="1">IFERROR(__xludf.DUMMYFUNCTION("""COMPUTED_VALUE"""),"Hyundai Samho 8268")</f>
        <v>Hyundai Samho 8268</v>
      </c>
      <c r="BA404" s="569"/>
      <c r="BB404" s="563"/>
      <c r="BC404" s="569"/>
      <c r="BD404" s="563"/>
      <c r="BE404" s="46"/>
      <c r="BF404" s="46"/>
      <c r="BG404" s="563"/>
      <c r="BH404" s="563"/>
      <c r="BI404" s="563"/>
      <c r="BJ404" s="563"/>
    </row>
    <row r="405" spans="2:62" x14ac:dyDescent="0.25">
      <c r="B405" s="569"/>
      <c r="C405" s="672"/>
      <c r="D405" s="563"/>
      <c r="E405" s="563"/>
      <c r="F405" s="569"/>
      <c r="G405" s="563"/>
      <c r="H405" s="563"/>
      <c r="I405" s="600"/>
      <c r="J405" s="569"/>
      <c r="K405" s="563"/>
      <c r="L405" s="563"/>
      <c r="M405" s="563"/>
      <c r="N405" s="563"/>
      <c r="O405" s="563"/>
      <c r="P405" s="563"/>
      <c r="Q405" s="563"/>
      <c r="R405" s="563"/>
      <c r="S405" s="563"/>
      <c r="T405" s="563"/>
      <c r="U405" s="563"/>
      <c r="V405" s="563"/>
      <c r="W405" s="563"/>
      <c r="X405" s="565"/>
      <c r="Y405" s="612"/>
      <c r="Z405" s="612"/>
      <c r="AA405" s="563"/>
      <c r="AB405" s="612"/>
      <c r="AC405" s="569"/>
      <c r="AD405" s="563"/>
      <c r="AE405" s="563"/>
      <c r="AF405" s="563"/>
      <c r="AG405" s="563"/>
      <c r="AH405" s="563"/>
      <c r="AI405" s="563"/>
      <c r="AJ405" s="680"/>
      <c r="AK405" s="563"/>
      <c r="AL405" s="563"/>
      <c r="AM405" s="563"/>
      <c r="AN405" s="563"/>
      <c r="AO405" s="563"/>
      <c r="AP405" s="46"/>
      <c r="AQ405" s="46"/>
      <c r="AR405" s="46"/>
      <c r="AS405" s="46"/>
      <c r="AT405" s="46"/>
      <c r="AU405" s="46"/>
      <c r="AV405" s="46"/>
      <c r="AW405" s="46"/>
      <c r="AX405" s="46"/>
      <c r="AY405" s="46"/>
      <c r="AZ405" s="563" t="str">
        <f ca="1">IFERROR(__xludf.DUMMYFUNCTION("""COMPUTED_VALUE"""),"Hyundai Samho 8269")</f>
        <v>Hyundai Samho 8269</v>
      </c>
      <c r="BA405" s="569"/>
      <c r="BB405" s="563"/>
      <c r="BC405" s="569"/>
      <c r="BD405" s="563"/>
      <c r="BE405" s="46"/>
      <c r="BF405" s="46"/>
      <c r="BG405" s="563"/>
      <c r="BH405" s="563"/>
      <c r="BI405" s="563"/>
      <c r="BJ405" s="563"/>
    </row>
    <row r="406" spans="2:62" x14ac:dyDescent="0.25">
      <c r="B406" s="569"/>
      <c r="C406" s="672"/>
      <c r="D406" s="563"/>
      <c r="E406" s="563"/>
      <c r="F406" s="569"/>
      <c r="G406" s="563"/>
      <c r="H406" s="563"/>
      <c r="I406" s="600"/>
      <c r="J406" s="569"/>
      <c r="K406" s="563"/>
      <c r="L406" s="563"/>
      <c r="M406" s="563"/>
      <c r="N406" s="563"/>
      <c r="O406" s="563"/>
      <c r="P406" s="563"/>
      <c r="Q406" s="563"/>
      <c r="R406" s="563"/>
      <c r="S406" s="563"/>
      <c r="T406" s="563"/>
      <c r="U406" s="563"/>
      <c r="V406" s="563"/>
      <c r="W406" s="563"/>
      <c r="X406" s="565"/>
      <c r="Y406" s="612"/>
      <c r="Z406" s="612"/>
      <c r="AA406" s="563"/>
      <c r="AB406" s="612"/>
      <c r="AC406" s="569"/>
      <c r="AD406" s="563"/>
      <c r="AE406" s="563"/>
      <c r="AF406" s="563"/>
      <c r="AG406" s="563"/>
      <c r="AH406" s="563"/>
      <c r="AI406" s="563"/>
      <c r="AJ406" s="680"/>
      <c r="AK406" s="563"/>
      <c r="AL406" s="563"/>
      <c r="AM406" s="563"/>
      <c r="AN406" s="563"/>
      <c r="AO406" s="563"/>
      <c r="AP406" s="46"/>
      <c r="AQ406" s="46"/>
      <c r="AR406" s="46"/>
      <c r="AS406" s="46"/>
      <c r="AT406" s="46"/>
      <c r="AU406" s="46"/>
      <c r="AV406" s="46"/>
      <c r="AW406" s="46"/>
      <c r="AX406" s="46"/>
      <c r="AY406" s="46"/>
      <c r="AZ406" s="563" t="str">
        <f ca="1">IFERROR(__xludf.DUMMYFUNCTION("""COMPUTED_VALUE"""),"Hyundai Samho 8270")</f>
        <v>Hyundai Samho 8270</v>
      </c>
      <c r="BA406" s="569"/>
      <c r="BB406" s="563"/>
      <c r="BC406" s="569"/>
      <c r="BD406" s="563"/>
      <c r="BE406" s="46"/>
      <c r="BF406" s="46"/>
      <c r="BG406" s="563"/>
      <c r="BH406" s="563"/>
      <c r="BI406" s="563"/>
      <c r="BJ406" s="563"/>
    </row>
    <row r="407" spans="2:62" x14ac:dyDescent="0.25">
      <c r="B407" s="569"/>
      <c r="C407" s="672"/>
      <c r="D407" s="563"/>
      <c r="E407" s="563"/>
      <c r="F407" s="569"/>
      <c r="G407" s="563"/>
      <c r="H407" s="563"/>
      <c r="I407" s="600"/>
      <c r="J407" s="569"/>
      <c r="K407" s="563"/>
      <c r="L407" s="563"/>
      <c r="M407" s="563"/>
      <c r="N407" s="563"/>
      <c r="O407" s="563"/>
      <c r="P407" s="563"/>
      <c r="Q407" s="563"/>
      <c r="R407" s="563"/>
      <c r="S407" s="563"/>
      <c r="T407" s="563"/>
      <c r="U407" s="563"/>
      <c r="V407" s="563"/>
      <c r="W407" s="563"/>
      <c r="X407" s="565"/>
      <c r="Y407" s="612"/>
      <c r="Z407" s="612"/>
      <c r="AA407" s="563"/>
      <c r="AB407" s="612"/>
      <c r="AC407" s="569"/>
      <c r="AD407" s="563"/>
      <c r="AE407" s="563"/>
      <c r="AF407" s="563"/>
      <c r="AG407" s="563"/>
      <c r="AH407" s="563"/>
      <c r="AI407" s="563"/>
      <c r="AJ407" s="680"/>
      <c r="AK407" s="563"/>
      <c r="AL407" s="563"/>
      <c r="AM407" s="563"/>
      <c r="AN407" s="563"/>
      <c r="AO407" s="563"/>
      <c r="AP407" s="46"/>
      <c r="AQ407" s="46"/>
      <c r="AR407" s="46"/>
      <c r="AS407" s="46"/>
      <c r="AT407" s="46"/>
      <c r="AU407" s="46"/>
      <c r="AV407" s="46"/>
      <c r="AW407" s="46"/>
      <c r="AX407" s="46"/>
      <c r="AY407" s="46"/>
      <c r="AZ407" s="563" t="str">
        <f ca="1">IFERROR(__xludf.DUMMYFUNCTION("""COMPUTED_VALUE"""),"Hyundai Samho 8271")</f>
        <v>Hyundai Samho 8271</v>
      </c>
      <c r="BA407" s="569"/>
      <c r="BB407" s="563"/>
      <c r="BC407" s="569"/>
      <c r="BD407" s="563"/>
      <c r="BE407" s="46"/>
      <c r="BF407" s="46"/>
      <c r="BG407" s="563"/>
      <c r="BH407" s="563"/>
      <c r="BI407" s="563"/>
      <c r="BJ407" s="563"/>
    </row>
    <row r="408" spans="2:62" x14ac:dyDescent="0.25">
      <c r="B408" s="569"/>
      <c r="C408" s="672"/>
      <c r="D408" s="563"/>
      <c r="E408" s="563"/>
      <c r="F408" s="569"/>
      <c r="G408" s="563"/>
      <c r="H408" s="563"/>
      <c r="I408" s="600"/>
      <c r="J408" s="569"/>
      <c r="K408" s="563"/>
      <c r="L408" s="563"/>
      <c r="M408" s="563"/>
      <c r="N408" s="563"/>
      <c r="O408" s="563"/>
      <c r="P408" s="563"/>
      <c r="Q408" s="563"/>
      <c r="R408" s="563"/>
      <c r="S408" s="563"/>
      <c r="T408" s="563"/>
      <c r="U408" s="563"/>
      <c r="V408" s="563"/>
      <c r="W408" s="563"/>
      <c r="X408" s="565"/>
      <c r="Y408" s="612"/>
      <c r="Z408" s="612"/>
      <c r="AA408" s="563"/>
      <c r="AB408" s="612"/>
      <c r="AC408" s="569"/>
      <c r="AD408" s="563"/>
      <c r="AE408" s="563"/>
      <c r="AF408" s="563"/>
      <c r="AG408" s="563"/>
      <c r="AH408" s="563"/>
      <c r="AI408" s="563"/>
      <c r="AJ408" s="680"/>
      <c r="AK408" s="563"/>
      <c r="AL408" s="563"/>
      <c r="AM408" s="563"/>
      <c r="AN408" s="563"/>
      <c r="AO408" s="563"/>
      <c r="AP408" s="46"/>
      <c r="AQ408" s="46"/>
      <c r="AR408" s="46"/>
      <c r="AS408" s="46"/>
      <c r="AT408" s="46"/>
      <c r="AU408" s="46"/>
      <c r="AV408" s="46"/>
      <c r="AW408" s="46"/>
      <c r="AX408" s="46"/>
      <c r="AY408" s="46"/>
      <c r="AZ408" s="563" t="str">
        <f ca="1">IFERROR(__xludf.DUMMYFUNCTION("""COMPUTED_VALUE"""),"Hyundai Ulsan 3498")</f>
        <v>Hyundai Ulsan 3498</v>
      </c>
      <c r="BA408" s="569"/>
      <c r="BB408" s="563"/>
      <c r="BC408" s="569"/>
      <c r="BD408" s="563"/>
      <c r="BE408" s="46"/>
      <c r="BF408" s="46"/>
      <c r="BG408" s="563"/>
      <c r="BH408" s="563"/>
      <c r="BI408" s="563"/>
      <c r="BJ408" s="563"/>
    </row>
    <row r="409" spans="2:62" x14ac:dyDescent="0.25">
      <c r="B409" s="569"/>
      <c r="C409" s="672"/>
      <c r="D409" s="563"/>
      <c r="E409" s="563"/>
      <c r="F409" s="569"/>
      <c r="G409" s="563"/>
      <c r="H409" s="563"/>
      <c r="I409" s="600"/>
      <c r="J409" s="569"/>
      <c r="K409" s="563"/>
      <c r="L409" s="563"/>
      <c r="M409" s="563"/>
      <c r="N409" s="563"/>
      <c r="O409" s="563"/>
      <c r="P409" s="563"/>
      <c r="Q409" s="563"/>
      <c r="R409" s="563"/>
      <c r="S409" s="563"/>
      <c r="T409" s="563"/>
      <c r="U409" s="563"/>
      <c r="V409" s="563"/>
      <c r="W409" s="563"/>
      <c r="X409" s="565"/>
      <c r="Y409" s="612"/>
      <c r="Z409" s="612"/>
      <c r="AA409" s="563"/>
      <c r="AB409" s="612"/>
      <c r="AC409" s="569"/>
      <c r="AD409" s="563"/>
      <c r="AE409" s="563"/>
      <c r="AF409" s="563"/>
      <c r="AG409" s="563"/>
      <c r="AH409" s="563"/>
      <c r="AI409" s="563"/>
      <c r="AJ409" s="680"/>
      <c r="AK409" s="563"/>
      <c r="AL409" s="563"/>
      <c r="AM409" s="563"/>
      <c r="AN409" s="563"/>
      <c r="AO409" s="563"/>
      <c r="AP409" s="46"/>
      <c r="AQ409" s="46"/>
      <c r="AR409" s="46"/>
      <c r="AS409" s="46"/>
      <c r="AT409" s="46"/>
      <c r="AU409" s="46"/>
      <c r="AV409" s="46"/>
      <c r="AW409" s="46"/>
      <c r="AX409" s="46"/>
      <c r="AY409" s="46"/>
      <c r="AZ409" s="563" t="str">
        <f ca="1">IFERROR(__xludf.DUMMYFUNCTION("""COMPUTED_VALUE"""),"Hyundai Ulsan 3499")</f>
        <v>Hyundai Ulsan 3499</v>
      </c>
      <c r="BA409" s="569"/>
      <c r="BB409" s="563"/>
      <c r="BC409" s="569"/>
      <c r="BD409" s="563"/>
      <c r="BE409" s="46"/>
      <c r="BF409" s="46"/>
      <c r="BG409" s="563"/>
      <c r="BH409" s="563"/>
      <c r="BI409" s="563"/>
      <c r="BJ409" s="563"/>
    </row>
    <row r="410" spans="2:62" x14ac:dyDescent="0.25">
      <c r="B410" s="569"/>
      <c r="C410" s="672"/>
      <c r="D410" s="563"/>
      <c r="E410" s="563"/>
      <c r="F410" s="569"/>
      <c r="G410" s="563"/>
      <c r="H410" s="563"/>
      <c r="I410" s="600"/>
      <c r="J410" s="569"/>
      <c r="K410" s="563"/>
      <c r="L410" s="563"/>
      <c r="M410" s="563"/>
      <c r="N410" s="563"/>
      <c r="O410" s="563"/>
      <c r="P410" s="563"/>
      <c r="Q410" s="563"/>
      <c r="R410" s="563"/>
      <c r="S410" s="563"/>
      <c r="T410" s="563"/>
      <c r="U410" s="563"/>
      <c r="V410" s="563"/>
      <c r="W410" s="563"/>
      <c r="X410" s="565"/>
      <c r="Y410" s="612"/>
      <c r="Z410" s="612"/>
      <c r="AA410" s="563"/>
      <c r="AB410" s="612"/>
      <c r="AC410" s="569"/>
      <c r="AD410" s="563"/>
      <c r="AE410" s="563"/>
      <c r="AF410" s="563"/>
      <c r="AG410" s="563"/>
      <c r="AH410" s="563"/>
      <c r="AI410" s="563"/>
      <c r="AJ410" s="680"/>
      <c r="AK410" s="563"/>
      <c r="AL410" s="563"/>
      <c r="AM410" s="563"/>
      <c r="AN410" s="563"/>
      <c r="AO410" s="563"/>
      <c r="AP410" s="46"/>
      <c r="AQ410" s="46"/>
      <c r="AR410" s="46"/>
      <c r="AS410" s="46"/>
      <c r="AT410" s="46"/>
      <c r="AU410" s="46"/>
      <c r="AV410" s="46"/>
      <c r="AW410" s="46"/>
      <c r="AX410" s="46"/>
      <c r="AY410" s="46"/>
      <c r="AZ410" s="563" t="str">
        <f ca="1">IFERROR(__xludf.DUMMYFUNCTION("""COMPUTED_VALUE"""),"Hyundai Ulsan 3500")</f>
        <v>Hyundai Ulsan 3500</v>
      </c>
      <c r="BA410" s="569"/>
      <c r="BB410" s="563"/>
      <c r="BC410" s="569"/>
      <c r="BD410" s="563"/>
      <c r="BE410" s="46"/>
      <c r="BF410" s="46"/>
      <c r="BG410" s="563"/>
      <c r="BH410" s="563"/>
      <c r="BI410" s="563"/>
      <c r="BJ410" s="563"/>
    </row>
    <row r="411" spans="2:62" x14ac:dyDescent="0.25">
      <c r="B411" s="569"/>
      <c r="C411" s="672"/>
      <c r="D411" s="563"/>
      <c r="E411" s="563"/>
      <c r="F411" s="569"/>
      <c r="G411" s="563"/>
      <c r="H411" s="563"/>
      <c r="I411" s="600"/>
      <c r="J411" s="569"/>
      <c r="K411" s="563"/>
      <c r="L411" s="563"/>
      <c r="M411" s="563"/>
      <c r="N411" s="563"/>
      <c r="O411" s="563"/>
      <c r="P411" s="563"/>
      <c r="Q411" s="563"/>
      <c r="R411" s="563"/>
      <c r="S411" s="563"/>
      <c r="T411" s="563"/>
      <c r="U411" s="563"/>
      <c r="V411" s="563"/>
      <c r="W411" s="563"/>
      <c r="X411" s="565"/>
      <c r="Y411" s="612">
        <v>4</v>
      </c>
      <c r="Z411" s="612"/>
      <c r="AA411" s="563"/>
      <c r="AB411" s="612"/>
      <c r="AC411" s="569"/>
      <c r="AD411" s="563"/>
      <c r="AE411" s="563"/>
      <c r="AF411" s="563"/>
      <c r="AG411" s="563"/>
      <c r="AH411" s="563"/>
      <c r="AI411" s="563"/>
      <c r="AJ411" s="680"/>
      <c r="AK411" s="563"/>
      <c r="AL411" s="563"/>
      <c r="AM411" s="563"/>
      <c r="AN411" s="563"/>
      <c r="AO411" s="563"/>
      <c r="AP411" s="46"/>
      <c r="AQ411" s="46"/>
      <c r="AR411" s="46"/>
      <c r="AS411" s="46"/>
      <c r="AT411" s="46"/>
      <c r="AU411" s="46"/>
      <c r="AV411" s="46"/>
      <c r="AW411" s="46"/>
      <c r="AX411" s="46"/>
      <c r="AY411" s="46"/>
      <c r="AZ411" s="563" t="str">
        <f ca="1">IFERROR(__xludf.DUMMYFUNCTION("""COMPUTED_VALUE"""),"Hyundai Ulsan 3503")</f>
        <v>Hyundai Ulsan 3503</v>
      </c>
      <c r="BA411" s="569"/>
      <c r="BB411" s="563"/>
      <c r="BC411" s="569"/>
      <c r="BD411" s="563"/>
      <c r="BE411" s="46"/>
      <c r="BF411" s="46"/>
      <c r="BG411" s="563"/>
      <c r="BH411" s="563"/>
      <c r="BI411" s="563"/>
      <c r="BJ411" s="563"/>
    </row>
    <row r="412" spans="2:62" x14ac:dyDescent="0.25">
      <c r="B412" s="569"/>
      <c r="C412" s="672"/>
      <c r="D412" s="563"/>
      <c r="E412" s="563"/>
      <c r="F412" s="569"/>
      <c r="G412" s="563"/>
      <c r="H412" s="563"/>
      <c r="I412" s="600"/>
      <c r="J412" s="569"/>
      <c r="K412" s="563"/>
      <c r="L412" s="563"/>
      <c r="M412" s="563"/>
      <c r="N412" s="563"/>
      <c r="O412" s="563"/>
      <c r="P412" s="563"/>
      <c r="Q412" s="563"/>
      <c r="R412" s="563"/>
      <c r="S412" s="563"/>
      <c r="T412" s="563"/>
      <c r="U412" s="563"/>
      <c r="V412" s="563"/>
      <c r="W412" s="563"/>
      <c r="X412" s="565"/>
      <c r="Y412" s="612"/>
      <c r="Z412" s="612"/>
      <c r="AA412" s="563"/>
      <c r="AB412" s="612"/>
      <c r="AC412" s="569"/>
      <c r="AD412" s="563"/>
      <c r="AE412" s="563"/>
      <c r="AF412" s="563"/>
      <c r="AG412" s="563"/>
      <c r="AH412" s="563"/>
      <c r="AI412" s="563"/>
      <c r="AJ412" s="680"/>
      <c r="AK412" s="563"/>
      <c r="AL412" s="563"/>
      <c r="AM412" s="563"/>
      <c r="AN412" s="563"/>
      <c r="AO412" s="563"/>
      <c r="AP412" s="46"/>
      <c r="AQ412" s="46"/>
      <c r="AR412" s="46"/>
      <c r="AS412" s="46"/>
      <c r="AT412" s="46"/>
      <c r="AU412" s="46"/>
      <c r="AV412" s="46"/>
      <c r="AW412" s="46"/>
      <c r="AX412" s="46"/>
      <c r="AY412" s="46"/>
      <c r="AZ412" s="563" t="str">
        <f ca="1">IFERROR(__xludf.DUMMYFUNCTION("""COMPUTED_VALUE"""),"Hyundai Ulsan 3504")</f>
        <v>Hyundai Ulsan 3504</v>
      </c>
      <c r="BA412" s="569"/>
      <c r="BB412" s="563"/>
      <c r="BC412" s="569"/>
      <c r="BD412" s="563"/>
      <c r="BE412" s="46"/>
      <c r="BF412" s="46"/>
      <c r="BG412" s="563"/>
      <c r="BH412" s="563"/>
      <c r="BI412" s="563"/>
      <c r="BJ412" s="563"/>
    </row>
    <row r="413" spans="2:62" x14ac:dyDescent="0.25">
      <c r="B413" s="569"/>
      <c r="C413" s="672"/>
      <c r="D413" s="563"/>
      <c r="E413" s="563"/>
      <c r="F413" s="569"/>
      <c r="G413" s="563"/>
      <c r="H413" s="563"/>
      <c r="I413" s="600"/>
      <c r="J413" s="569"/>
      <c r="K413" s="563"/>
      <c r="L413" s="563"/>
      <c r="M413" s="563"/>
      <c r="N413" s="563"/>
      <c r="O413" s="563"/>
      <c r="P413" s="563"/>
      <c r="Q413" s="563"/>
      <c r="R413" s="563"/>
      <c r="S413" s="563"/>
      <c r="T413" s="563"/>
      <c r="U413" s="563"/>
      <c r="V413" s="563"/>
      <c r="W413" s="563"/>
      <c r="X413" s="565"/>
      <c r="Y413" s="612"/>
      <c r="Z413" s="612"/>
      <c r="AA413" s="563"/>
      <c r="AB413" s="612"/>
      <c r="AC413" s="569"/>
      <c r="AD413" s="563"/>
      <c r="AE413" s="563"/>
      <c r="AF413" s="563"/>
      <c r="AG413" s="563"/>
      <c r="AH413" s="563"/>
      <c r="AI413" s="563"/>
      <c r="AJ413" s="680"/>
      <c r="AK413" s="563"/>
      <c r="AL413" s="563"/>
      <c r="AM413" s="563"/>
      <c r="AN413" s="563"/>
      <c r="AO413" s="563"/>
      <c r="AP413" s="46"/>
      <c r="AQ413" s="46"/>
      <c r="AR413" s="46"/>
      <c r="AS413" s="46"/>
      <c r="AT413" s="46"/>
      <c r="AU413" s="46"/>
      <c r="AV413" s="46"/>
      <c r="AW413" s="46"/>
      <c r="AX413" s="46"/>
      <c r="AY413" s="46"/>
      <c r="AZ413" s="563" t="str">
        <f ca="1">IFERROR(__xludf.DUMMYFUNCTION("""COMPUTED_VALUE"""),"Hyundai Ulsan 3505")</f>
        <v>Hyundai Ulsan 3505</v>
      </c>
      <c r="BA413" s="569"/>
      <c r="BB413" s="563"/>
      <c r="BC413" s="569"/>
      <c r="BD413" s="563"/>
      <c r="BE413" s="46"/>
      <c r="BF413" s="46"/>
      <c r="BG413" s="563"/>
      <c r="BH413" s="563"/>
      <c r="BI413" s="563"/>
      <c r="BJ413" s="563"/>
    </row>
    <row r="414" spans="2:62" x14ac:dyDescent="0.25">
      <c r="B414" s="569"/>
      <c r="C414" s="672"/>
      <c r="D414" s="563"/>
      <c r="E414" s="563"/>
      <c r="F414" s="569"/>
      <c r="G414" s="563"/>
      <c r="H414" s="563"/>
      <c r="I414" s="600"/>
      <c r="J414" s="569"/>
      <c r="K414" s="563"/>
      <c r="L414" s="563"/>
      <c r="M414" s="563"/>
      <c r="N414" s="563"/>
      <c r="O414" s="563"/>
      <c r="P414" s="563"/>
      <c r="Q414" s="563"/>
      <c r="R414" s="563"/>
      <c r="S414" s="563"/>
      <c r="T414" s="563"/>
      <c r="U414" s="563"/>
      <c r="V414" s="563"/>
      <c r="W414" s="563"/>
      <c r="X414" s="565"/>
      <c r="Y414" s="612"/>
      <c r="Z414" s="612"/>
      <c r="AA414" s="563"/>
      <c r="AB414" s="612"/>
      <c r="AC414" s="569"/>
      <c r="AD414" s="563"/>
      <c r="AE414" s="563"/>
      <c r="AF414" s="563"/>
      <c r="AG414" s="563"/>
      <c r="AH414" s="563"/>
      <c r="AI414" s="563"/>
      <c r="AJ414" s="680"/>
      <c r="AK414" s="563"/>
      <c r="AL414" s="563"/>
      <c r="AM414" s="563"/>
      <c r="AN414" s="563"/>
      <c r="AO414" s="563"/>
      <c r="AP414" s="46"/>
      <c r="AQ414" s="46"/>
      <c r="AR414" s="46"/>
      <c r="AS414" s="46"/>
      <c r="AT414" s="46"/>
      <c r="AU414" s="46"/>
      <c r="AV414" s="46"/>
      <c r="AW414" s="46"/>
      <c r="AX414" s="46"/>
      <c r="AY414" s="46"/>
      <c r="AZ414" s="563" t="str">
        <f ca="1">IFERROR(__xludf.DUMMYFUNCTION("""COMPUTED_VALUE"""),"Hyundai Ulsan 3506")</f>
        <v>Hyundai Ulsan 3506</v>
      </c>
      <c r="BA414" s="569"/>
      <c r="BB414" s="563"/>
      <c r="BC414" s="569"/>
      <c r="BD414" s="563"/>
      <c r="BE414" s="46"/>
      <c r="BF414" s="46"/>
      <c r="BG414" s="563"/>
      <c r="BH414" s="563"/>
      <c r="BI414" s="563"/>
      <c r="BJ414" s="563"/>
    </row>
    <row r="415" spans="2:62" x14ac:dyDescent="0.25">
      <c r="B415" s="569"/>
      <c r="C415" s="672"/>
      <c r="D415" s="563"/>
      <c r="E415" s="563"/>
      <c r="F415" s="569"/>
      <c r="G415" s="563"/>
      <c r="H415" s="563"/>
      <c r="I415" s="600"/>
      <c r="J415" s="569"/>
      <c r="K415" s="563"/>
      <c r="L415" s="563"/>
      <c r="M415" s="563"/>
      <c r="N415" s="563"/>
      <c r="O415" s="563"/>
      <c r="P415" s="563"/>
      <c r="Q415" s="563"/>
      <c r="R415" s="563"/>
      <c r="S415" s="563"/>
      <c r="T415" s="563"/>
      <c r="U415" s="563"/>
      <c r="V415" s="563"/>
      <c r="W415" s="563"/>
      <c r="X415" s="565"/>
      <c r="Y415" s="612"/>
      <c r="Z415" s="612"/>
      <c r="AA415" s="563"/>
      <c r="AB415" s="612"/>
      <c r="AC415" s="569"/>
      <c r="AD415" s="563"/>
      <c r="AE415" s="563"/>
      <c r="AF415" s="563"/>
      <c r="AG415" s="563"/>
      <c r="AH415" s="563"/>
      <c r="AI415" s="563"/>
      <c r="AJ415" s="680"/>
      <c r="AK415" s="563"/>
      <c r="AL415" s="563"/>
      <c r="AM415" s="563"/>
      <c r="AN415" s="563"/>
      <c r="AO415" s="563"/>
      <c r="AP415" s="46"/>
      <c r="AQ415" s="46"/>
      <c r="AR415" s="46"/>
      <c r="AS415" s="46"/>
      <c r="AT415" s="46"/>
      <c r="AU415" s="46"/>
      <c r="AV415" s="46"/>
      <c r="AW415" s="46"/>
      <c r="AX415" s="46"/>
      <c r="AY415" s="46"/>
      <c r="AZ415" s="563" t="str">
        <f ca="1">IFERROR(__xludf.DUMMYFUNCTION("""COMPUTED_VALUE"""),"Hyundai Ulsan 3510")</f>
        <v>Hyundai Ulsan 3510</v>
      </c>
      <c r="BA415" s="569"/>
      <c r="BB415" s="563"/>
      <c r="BC415" s="569"/>
      <c r="BD415" s="563"/>
      <c r="BE415" s="46"/>
      <c r="BF415" s="46"/>
      <c r="BG415" s="563"/>
      <c r="BH415" s="563"/>
      <c r="BI415" s="563"/>
      <c r="BJ415" s="563"/>
    </row>
    <row r="416" spans="2:62" x14ac:dyDescent="0.25">
      <c r="B416" s="569"/>
      <c r="C416" s="672"/>
      <c r="D416" s="563"/>
      <c r="E416" s="563"/>
      <c r="F416" s="569"/>
      <c r="G416" s="563"/>
      <c r="H416" s="563"/>
      <c r="I416" s="600"/>
      <c r="J416" s="569"/>
      <c r="K416" s="563"/>
      <c r="L416" s="563"/>
      <c r="M416" s="563"/>
      <c r="N416" s="563"/>
      <c r="O416" s="563"/>
      <c r="P416" s="563"/>
      <c r="Q416" s="563"/>
      <c r="R416" s="563"/>
      <c r="S416" s="563"/>
      <c r="T416" s="563"/>
      <c r="U416" s="563"/>
      <c r="V416" s="563"/>
      <c r="W416" s="563"/>
      <c r="X416" s="565"/>
      <c r="Y416" s="612"/>
      <c r="Z416" s="612"/>
      <c r="AA416" s="563"/>
      <c r="AB416" s="612"/>
      <c r="AC416" s="569"/>
      <c r="AD416" s="563"/>
      <c r="AE416" s="563"/>
      <c r="AF416" s="563"/>
      <c r="AG416" s="563"/>
      <c r="AH416" s="563"/>
      <c r="AI416" s="563"/>
      <c r="AJ416" s="680"/>
      <c r="AK416" s="563"/>
      <c r="AL416" s="563"/>
      <c r="AM416" s="563"/>
      <c r="AN416" s="563"/>
      <c r="AO416" s="563"/>
      <c r="AP416" s="46"/>
      <c r="AQ416" s="46"/>
      <c r="AR416" s="46"/>
      <c r="AS416" s="46"/>
      <c r="AT416" s="46"/>
      <c r="AU416" s="46"/>
      <c r="AV416" s="46"/>
      <c r="AW416" s="46"/>
      <c r="AX416" s="46"/>
      <c r="AY416" s="46"/>
      <c r="AZ416" s="563" t="str">
        <f ca="1">IFERROR(__xludf.DUMMYFUNCTION("""COMPUTED_VALUE"""),"Hyundai Ulsan 3513")</f>
        <v>Hyundai Ulsan 3513</v>
      </c>
      <c r="BA416" s="569"/>
      <c r="BB416" s="563"/>
      <c r="BC416" s="569"/>
      <c r="BD416" s="563"/>
      <c r="BE416" s="46"/>
      <c r="BF416" s="46"/>
      <c r="BG416" s="563"/>
      <c r="BH416" s="563"/>
      <c r="BI416" s="563"/>
      <c r="BJ416" s="563"/>
    </row>
    <row r="417" spans="2:62" x14ac:dyDescent="0.25">
      <c r="B417" s="569"/>
      <c r="C417" s="672"/>
      <c r="D417" s="563"/>
      <c r="E417" s="563"/>
      <c r="F417" s="569"/>
      <c r="G417" s="563"/>
      <c r="H417" s="563"/>
      <c r="I417" s="600"/>
      <c r="J417" s="569"/>
      <c r="K417" s="563"/>
      <c r="L417" s="563"/>
      <c r="M417" s="563"/>
      <c r="N417" s="563"/>
      <c r="O417" s="563"/>
      <c r="P417" s="563"/>
      <c r="Q417" s="563"/>
      <c r="R417" s="563"/>
      <c r="S417" s="563"/>
      <c r="T417" s="563"/>
      <c r="U417" s="563"/>
      <c r="V417" s="563"/>
      <c r="W417" s="563"/>
      <c r="X417" s="565"/>
      <c r="Y417" s="612"/>
      <c r="Z417" s="612"/>
      <c r="AA417" s="563"/>
      <c r="AB417" s="612"/>
      <c r="AC417" s="569"/>
      <c r="AD417" s="563"/>
      <c r="AE417" s="563"/>
      <c r="AF417" s="563"/>
      <c r="AG417" s="563"/>
      <c r="AH417" s="563"/>
      <c r="AI417" s="563"/>
      <c r="AJ417" s="680"/>
      <c r="AK417" s="563"/>
      <c r="AL417" s="563"/>
      <c r="AM417" s="563"/>
      <c r="AN417" s="563"/>
      <c r="AO417" s="563"/>
      <c r="AP417" s="46"/>
      <c r="AQ417" s="46"/>
      <c r="AR417" s="46"/>
      <c r="AS417" s="46"/>
      <c r="AT417" s="46"/>
      <c r="AU417" s="46"/>
      <c r="AV417" s="46"/>
      <c r="AW417" s="46"/>
      <c r="AX417" s="46"/>
      <c r="AY417" s="46"/>
      <c r="AZ417" s="563" t="str">
        <f ca="1">IFERROR(__xludf.DUMMYFUNCTION("""COMPUTED_VALUE"""),"Hyundai Ulsan 3516")</f>
        <v>Hyundai Ulsan 3516</v>
      </c>
      <c r="BA417" s="569"/>
      <c r="BB417" s="563"/>
      <c r="BC417" s="569"/>
      <c r="BD417" s="563"/>
      <c r="BE417" s="46"/>
      <c r="BF417" s="46"/>
      <c r="BG417" s="563"/>
      <c r="BH417" s="563"/>
      <c r="BI417" s="563"/>
      <c r="BJ417" s="563"/>
    </row>
    <row r="418" spans="2:62" x14ac:dyDescent="0.25">
      <c r="B418" s="569"/>
      <c r="C418" s="672"/>
      <c r="D418" s="563"/>
      <c r="E418" s="563"/>
      <c r="F418" s="569"/>
      <c r="G418" s="563"/>
      <c r="H418" s="563"/>
      <c r="I418" s="600"/>
      <c r="J418" s="569"/>
      <c r="K418" s="563"/>
      <c r="L418" s="563"/>
      <c r="M418" s="563"/>
      <c r="N418" s="563"/>
      <c r="O418" s="563"/>
      <c r="P418" s="563"/>
      <c r="Q418" s="563"/>
      <c r="R418" s="563"/>
      <c r="S418" s="563"/>
      <c r="T418" s="563"/>
      <c r="U418" s="563"/>
      <c r="V418" s="563"/>
      <c r="W418" s="563"/>
      <c r="X418" s="565"/>
      <c r="Y418" s="612"/>
      <c r="Z418" s="612"/>
      <c r="AA418" s="563"/>
      <c r="AB418" s="612"/>
      <c r="AC418" s="569"/>
      <c r="AD418" s="563"/>
      <c r="AE418" s="563"/>
      <c r="AF418" s="563"/>
      <c r="AG418" s="563"/>
      <c r="AH418" s="563"/>
      <c r="AI418" s="563"/>
      <c r="AJ418" s="680"/>
      <c r="AK418" s="563"/>
      <c r="AL418" s="563"/>
      <c r="AM418" s="563"/>
      <c r="AN418" s="563"/>
      <c r="AO418" s="563"/>
      <c r="AP418" s="46"/>
      <c r="AQ418" s="46"/>
      <c r="AR418" s="46"/>
      <c r="AS418" s="46"/>
      <c r="AT418" s="46"/>
      <c r="AU418" s="46"/>
      <c r="AV418" s="46"/>
      <c r="AW418" s="46"/>
      <c r="AX418" s="46"/>
      <c r="AY418" s="46"/>
      <c r="AZ418" s="563" t="str">
        <f ca="1">IFERROR(__xludf.DUMMYFUNCTION("""COMPUTED_VALUE"""),"Hyundai Ulsan 3517")</f>
        <v>Hyundai Ulsan 3517</v>
      </c>
      <c r="BA418" s="569"/>
      <c r="BB418" s="563"/>
      <c r="BC418" s="569"/>
      <c r="BD418" s="563"/>
      <c r="BE418" s="46"/>
      <c r="BF418" s="46"/>
      <c r="BG418" s="563"/>
      <c r="BH418" s="563"/>
      <c r="BI418" s="563"/>
      <c r="BJ418" s="563"/>
    </row>
    <row r="419" spans="2:62" x14ac:dyDescent="0.25">
      <c r="B419" s="569"/>
      <c r="C419" s="672"/>
      <c r="D419" s="563"/>
      <c r="E419" s="563"/>
      <c r="F419" s="569"/>
      <c r="G419" s="563"/>
      <c r="H419" s="563"/>
      <c r="I419" s="600"/>
      <c r="J419" s="569"/>
      <c r="K419" s="563"/>
      <c r="L419" s="563"/>
      <c r="M419" s="563"/>
      <c r="N419" s="563"/>
      <c r="O419" s="563"/>
      <c r="P419" s="563"/>
      <c r="Q419" s="563"/>
      <c r="R419" s="563"/>
      <c r="S419" s="563"/>
      <c r="T419" s="563"/>
      <c r="U419" s="563"/>
      <c r="V419" s="563"/>
      <c r="W419" s="563"/>
      <c r="X419" s="565"/>
      <c r="Y419" s="612"/>
      <c r="Z419" s="612"/>
      <c r="AA419" s="563"/>
      <c r="AB419" s="612"/>
      <c r="AC419" s="569"/>
      <c r="AD419" s="563"/>
      <c r="AE419" s="563"/>
      <c r="AF419" s="563"/>
      <c r="AG419" s="563"/>
      <c r="AH419" s="563"/>
      <c r="AI419" s="563"/>
      <c r="AJ419" s="680"/>
      <c r="AK419" s="563"/>
      <c r="AL419" s="563"/>
      <c r="AM419" s="563"/>
      <c r="AN419" s="563"/>
      <c r="AO419" s="563"/>
      <c r="AP419" s="46"/>
      <c r="AQ419" s="46"/>
      <c r="AR419" s="46"/>
      <c r="AS419" s="46"/>
      <c r="AT419" s="46"/>
      <c r="AU419" s="46"/>
      <c r="AV419" s="46"/>
      <c r="AW419" s="46"/>
      <c r="AX419" s="46"/>
      <c r="AY419" s="46"/>
      <c r="AZ419" s="563" t="str">
        <f ca="1">IFERROR(__xludf.DUMMYFUNCTION("""COMPUTED_VALUE"""),"Hyundai Ulsan 3518")</f>
        <v>Hyundai Ulsan 3518</v>
      </c>
      <c r="BA419" s="569"/>
      <c r="BB419" s="563"/>
      <c r="BC419" s="569"/>
      <c r="BD419" s="563"/>
      <c r="BE419" s="46"/>
      <c r="BF419" s="46"/>
      <c r="BG419" s="563"/>
      <c r="BH419" s="563"/>
      <c r="BI419" s="563"/>
      <c r="BJ419" s="563"/>
    </row>
    <row r="420" spans="2:62" x14ac:dyDescent="0.25">
      <c r="B420" s="569"/>
      <c r="C420" s="672"/>
      <c r="D420" s="563"/>
      <c r="E420" s="563"/>
      <c r="F420" s="569"/>
      <c r="G420" s="563"/>
      <c r="H420" s="563"/>
      <c r="I420" s="600"/>
      <c r="J420" s="569"/>
      <c r="K420" s="563"/>
      <c r="L420" s="563"/>
      <c r="M420" s="563"/>
      <c r="N420" s="563"/>
      <c r="O420" s="563"/>
      <c r="P420" s="563"/>
      <c r="Q420" s="563"/>
      <c r="R420" s="563"/>
      <c r="S420" s="563"/>
      <c r="T420" s="563"/>
      <c r="U420" s="563"/>
      <c r="V420" s="563"/>
      <c r="W420" s="563"/>
      <c r="X420" s="565"/>
      <c r="Y420" s="612"/>
      <c r="Z420" s="612"/>
      <c r="AA420" s="563"/>
      <c r="AB420" s="612"/>
      <c r="AC420" s="569"/>
      <c r="AD420" s="563"/>
      <c r="AE420" s="563"/>
      <c r="AF420" s="563"/>
      <c r="AG420" s="563"/>
      <c r="AH420" s="563"/>
      <c r="AI420" s="563"/>
      <c r="AJ420" s="680"/>
      <c r="AK420" s="563"/>
      <c r="AL420" s="563"/>
      <c r="AM420" s="563"/>
      <c r="AN420" s="563"/>
      <c r="AO420" s="563"/>
      <c r="AP420" s="46"/>
      <c r="AQ420" s="46"/>
      <c r="AR420" s="46"/>
      <c r="AS420" s="46"/>
      <c r="AT420" s="46"/>
      <c r="AU420" s="46"/>
      <c r="AV420" s="46"/>
      <c r="AW420" s="46"/>
      <c r="AX420" s="46"/>
      <c r="AY420" s="46"/>
      <c r="AZ420" s="563" t="str">
        <f ca="1">IFERROR(__xludf.DUMMYFUNCTION("""COMPUTED_VALUE"""),"Hyundai Ulsan 3531")</f>
        <v>Hyundai Ulsan 3531</v>
      </c>
      <c r="BA420" s="569"/>
      <c r="BB420" s="563"/>
      <c r="BC420" s="569"/>
      <c r="BD420" s="563"/>
      <c r="BE420" s="46"/>
      <c r="BF420" s="46"/>
      <c r="BG420" s="563"/>
      <c r="BH420" s="563"/>
      <c r="BI420" s="563"/>
      <c r="BJ420" s="563"/>
    </row>
    <row r="421" spans="2:62" x14ac:dyDescent="0.25">
      <c r="B421" s="569"/>
      <c r="C421" s="672"/>
      <c r="D421" s="563"/>
      <c r="E421" s="563"/>
      <c r="F421" s="569"/>
      <c r="G421" s="563"/>
      <c r="H421" s="563"/>
      <c r="I421" s="600"/>
      <c r="J421" s="569"/>
      <c r="K421" s="563"/>
      <c r="L421" s="563"/>
      <c r="M421" s="563"/>
      <c r="N421" s="563"/>
      <c r="O421" s="563"/>
      <c r="P421" s="563"/>
      <c r="Q421" s="563"/>
      <c r="R421" s="563"/>
      <c r="S421" s="563"/>
      <c r="T421" s="563"/>
      <c r="U421" s="563"/>
      <c r="V421" s="563"/>
      <c r="W421" s="563"/>
      <c r="X421" s="565"/>
      <c r="Y421" s="612"/>
      <c r="Z421" s="612"/>
      <c r="AA421" s="563"/>
      <c r="AB421" s="612"/>
      <c r="AC421" s="569"/>
      <c r="AD421" s="563"/>
      <c r="AE421" s="563"/>
      <c r="AF421" s="563"/>
      <c r="AG421" s="563"/>
      <c r="AH421" s="563"/>
      <c r="AI421" s="563"/>
      <c r="AJ421" s="680"/>
      <c r="AK421" s="563"/>
      <c r="AL421" s="563"/>
      <c r="AM421" s="563"/>
      <c r="AN421" s="563"/>
      <c r="AO421" s="563"/>
      <c r="AP421" s="46"/>
      <c r="AQ421" s="46"/>
      <c r="AR421" s="46"/>
      <c r="AS421" s="46"/>
      <c r="AT421" s="46"/>
      <c r="AU421" s="46"/>
      <c r="AV421" s="46"/>
      <c r="AW421" s="46"/>
      <c r="AX421" s="46"/>
      <c r="AY421" s="46"/>
      <c r="AZ421" s="563" t="str">
        <f ca="1">IFERROR(__xludf.DUMMYFUNCTION("""COMPUTED_VALUE"""),"Hyundai Ulsan 3532")</f>
        <v>Hyundai Ulsan 3532</v>
      </c>
      <c r="BA421" s="569"/>
      <c r="BB421" s="563"/>
      <c r="BC421" s="569"/>
      <c r="BD421" s="563"/>
      <c r="BE421" s="46"/>
      <c r="BF421" s="46"/>
      <c r="BG421" s="563"/>
      <c r="BH421" s="563"/>
      <c r="BI421" s="563"/>
      <c r="BJ421" s="563"/>
    </row>
    <row r="422" spans="2:62" x14ac:dyDescent="0.25">
      <c r="B422" s="569"/>
      <c r="C422" s="672"/>
      <c r="D422" s="563"/>
      <c r="E422" s="563"/>
      <c r="F422" s="569"/>
      <c r="G422" s="563"/>
      <c r="H422" s="563"/>
      <c r="I422" s="600"/>
      <c r="J422" s="569"/>
      <c r="K422" s="563"/>
      <c r="L422" s="563"/>
      <c r="M422" s="563"/>
      <c r="N422" s="563"/>
      <c r="O422" s="563"/>
      <c r="P422" s="563"/>
      <c r="Q422" s="563"/>
      <c r="R422" s="563"/>
      <c r="S422" s="563"/>
      <c r="T422" s="563"/>
      <c r="U422" s="563"/>
      <c r="V422" s="563"/>
      <c r="W422" s="563"/>
      <c r="X422" s="565"/>
      <c r="Y422" s="612"/>
      <c r="Z422" s="612"/>
      <c r="AA422" s="563"/>
      <c r="AB422" s="612"/>
      <c r="AC422" s="569"/>
      <c r="AD422" s="563"/>
      <c r="AE422" s="563"/>
      <c r="AF422" s="563"/>
      <c r="AG422" s="563"/>
      <c r="AH422" s="563"/>
      <c r="AI422" s="563"/>
      <c r="AJ422" s="680"/>
      <c r="AK422" s="563"/>
      <c r="AL422" s="563"/>
      <c r="AM422" s="563"/>
      <c r="AN422" s="563"/>
      <c r="AO422" s="563"/>
      <c r="AP422" s="46"/>
      <c r="AQ422" s="46"/>
      <c r="AR422" s="46"/>
      <c r="AS422" s="46"/>
      <c r="AT422" s="46"/>
      <c r="AU422" s="46"/>
      <c r="AV422" s="46"/>
      <c r="AW422" s="46"/>
      <c r="AX422" s="46"/>
      <c r="AY422" s="46"/>
      <c r="AZ422" s="563" t="str">
        <f ca="1">IFERROR(__xludf.DUMMYFUNCTION("""COMPUTED_VALUE"""),"Hyundai Ulsan 3542")</f>
        <v>Hyundai Ulsan 3542</v>
      </c>
      <c r="BA422" s="569"/>
      <c r="BB422" s="563"/>
      <c r="BC422" s="569"/>
      <c r="BD422" s="563"/>
      <c r="BE422" s="46"/>
      <c r="BF422" s="46"/>
      <c r="BG422" s="563"/>
      <c r="BH422" s="563"/>
      <c r="BI422" s="563"/>
      <c r="BJ422" s="563"/>
    </row>
    <row r="423" spans="2:62" x14ac:dyDescent="0.25">
      <c r="B423" s="569"/>
      <c r="C423" s="672"/>
      <c r="D423" s="563"/>
      <c r="E423" s="563"/>
      <c r="F423" s="569"/>
      <c r="G423" s="563"/>
      <c r="H423" s="563"/>
      <c r="I423" s="600"/>
      <c r="J423" s="569"/>
      <c r="K423" s="563"/>
      <c r="L423" s="563"/>
      <c r="M423" s="563"/>
      <c r="N423" s="563"/>
      <c r="O423" s="563"/>
      <c r="P423" s="563"/>
      <c r="Q423" s="563"/>
      <c r="R423" s="563"/>
      <c r="S423" s="563"/>
      <c r="T423" s="563"/>
      <c r="U423" s="563"/>
      <c r="V423" s="563"/>
      <c r="W423" s="563"/>
      <c r="X423" s="565"/>
      <c r="Y423" s="612"/>
      <c r="Z423" s="612"/>
      <c r="AA423" s="563"/>
      <c r="AB423" s="612"/>
      <c r="AC423" s="569"/>
      <c r="AD423" s="563"/>
      <c r="AE423" s="563"/>
      <c r="AF423" s="563"/>
      <c r="AG423" s="563"/>
      <c r="AH423" s="563"/>
      <c r="AI423" s="563"/>
      <c r="AJ423" s="680"/>
      <c r="AK423" s="563"/>
      <c r="AL423" s="563"/>
      <c r="AM423" s="563"/>
      <c r="AN423" s="563"/>
      <c r="AO423" s="563"/>
      <c r="AP423" s="46"/>
      <c r="AQ423" s="46"/>
      <c r="AR423" s="46"/>
      <c r="AS423" s="46"/>
      <c r="AT423" s="46"/>
      <c r="AU423" s="46"/>
      <c r="AV423" s="46"/>
      <c r="AW423" s="46"/>
      <c r="AX423" s="46"/>
      <c r="AY423" s="46"/>
      <c r="AZ423" s="563" t="str">
        <f ca="1">IFERROR(__xludf.DUMMYFUNCTION("""COMPUTED_VALUE"""),"Ivy Cove")</f>
        <v>Ivy Cove</v>
      </c>
      <c r="BA423" s="569"/>
      <c r="BB423" s="563"/>
      <c r="BC423" s="569"/>
      <c r="BD423" s="563"/>
      <c r="BE423" s="46"/>
      <c r="BF423" s="46"/>
      <c r="BG423" s="563"/>
      <c r="BH423" s="563"/>
      <c r="BI423" s="563"/>
      <c r="BJ423" s="563"/>
    </row>
    <row r="424" spans="2:62" x14ac:dyDescent="0.25">
      <c r="B424" s="569"/>
      <c r="C424" s="672"/>
      <c r="D424" s="563"/>
      <c r="E424" s="563"/>
      <c r="F424" s="569"/>
      <c r="G424" s="563"/>
      <c r="H424" s="563"/>
      <c r="I424" s="600"/>
      <c r="J424" s="569"/>
      <c r="K424" s="563"/>
      <c r="L424" s="563"/>
      <c r="M424" s="563"/>
      <c r="N424" s="563"/>
      <c r="O424" s="563"/>
      <c r="P424" s="563"/>
      <c r="Q424" s="563"/>
      <c r="R424" s="563"/>
      <c r="S424" s="563"/>
      <c r="T424" s="563"/>
      <c r="U424" s="563"/>
      <c r="V424" s="563"/>
      <c r="W424" s="563"/>
      <c r="X424" s="565"/>
      <c r="Y424" s="612"/>
      <c r="Z424" s="612"/>
      <c r="AA424" s="563"/>
      <c r="AB424" s="612"/>
      <c r="AC424" s="569"/>
      <c r="AD424" s="563"/>
      <c r="AE424" s="563"/>
      <c r="AF424" s="563"/>
      <c r="AG424" s="563"/>
      <c r="AH424" s="563"/>
      <c r="AI424" s="563"/>
      <c r="AJ424" s="680"/>
      <c r="AK424" s="563"/>
      <c r="AL424" s="563"/>
      <c r="AM424" s="563"/>
      <c r="AN424" s="563"/>
      <c r="AO424" s="563"/>
      <c r="AP424" s="46"/>
      <c r="AQ424" s="46"/>
      <c r="AR424" s="46"/>
      <c r="AS424" s="46"/>
      <c r="AT424" s="46"/>
      <c r="AU424" s="46"/>
      <c r="AV424" s="46"/>
      <c r="AW424" s="46"/>
      <c r="AX424" s="46"/>
      <c r="AY424" s="46"/>
      <c r="AZ424" s="563" t="str">
        <f ca="1">IFERROR(__xludf.DUMMYFUNCTION("""COMPUTED_VALUE"""),"Jag Viraat")</f>
        <v>Jag Viraat</v>
      </c>
      <c r="BA424" s="569"/>
      <c r="BB424" s="563"/>
      <c r="BC424" s="569"/>
      <c r="BD424" s="563"/>
      <c r="BE424" s="46"/>
      <c r="BF424" s="46"/>
      <c r="BG424" s="563"/>
      <c r="BH424" s="563"/>
      <c r="BI424" s="563"/>
      <c r="BJ424" s="563"/>
    </row>
    <row r="425" spans="2:62" x14ac:dyDescent="0.25">
      <c r="B425" s="569"/>
      <c r="C425" s="672"/>
      <c r="D425" s="563"/>
      <c r="E425" s="563"/>
      <c r="F425" s="569"/>
      <c r="G425" s="563"/>
      <c r="H425" s="563"/>
      <c r="I425" s="600"/>
      <c r="J425" s="569"/>
      <c r="K425" s="563"/>
      <c r="L425" s="563"/>
      <c r="M425" s="563"/>
      <c r="N425" s="563"/>
      <c r="O425" s="563"/>
      <c r="P425" s="563"/>
      <c r="Q425" s="563"/>
      <c r="R425" s="563"/>
      <c r="S425" s="563"/>
      <c r="T425" s="563"/>
      <c r="U425" s="563"/>
      <c r="V425" s="563"/>
      <c r="W425" s="563"/>
      <c r="X425" s="565"/>
      <c r="Y425" s="612"/>
      <c r="Z425" s="612"/>
      <c r="AA425" s="563"/>
      <c r="AB425" s="612"/>
      <c r="AC425" s="569"/>
      <c r="AD425" s="563"/>
      <c r="AE425" s="563"/>
      <c r="AF425" s="563"/>
      <c r="AG425" s="563"/>
      <c r="AH425" s="563"/>
      <c r="AI425" s="563"/>
      <c r="AJ425" s="680"/>
      <c r="AK425" s="563"/>
      <c r="AL425" s="563"/>
      <c r="AM425" s="563"/>
      <c r="AN425" s="563"/>
      <c r="AO425" s="563"/>
      <c r="AP425" s="46"/>
      <c r="AQ425" s="46"/>
      <c r="AR425" s="46"/>
      <c r="AS425" s="46"/>
      <c r="AT425" s="46"/>
      <c r="AU425" s="46"/>
      <c r="AV425" s="46"/>
      <c r="AW425" s="46"/>
      <c r="AX425" s="46"/>
      <c r="AY425" s="46"/>
      <c r="AZ425" s="563" t="str">
        <f ca="1">IFERROR(__xludf.DUMMYFUNCTION("""COMPUTED_VALUE"""),"Jiangnam H2841")</f>
        <v>Jiangnam H2841</v>
      </c>
      <c r="BA425" s="569"/>
      <c r="BB425" s="563"/>
      <c r="BC425" s="569"/>
      <c r="BD425" s="563"/>
      <c r="BE425" s="46"/>
      <c r="BF425" s="46"/>
      <c r="BG425" s="563"/>
      <c r="BH425" s="563"/>
      <c r="BI425" s="563"/>
      <c r="BJ425" s="563"/>
    </row>
    <row r="426" spans="2:62" x14ac:dyDescent="0.25">
      <c r="B426" s="569"/>
      <c r="C426" s="672"/>
      <c r="D426" s="563"/>
      <c r="E426" s="563"/>
      <c r="F426" s="569"/>
      <c r="G426" s="563"/>
      <c r="H426" s="563"/>
      <c r="I426" s="600"/>
      <c r="J426" s="569"/>
      <c r="K426" s="563"/>
      <c r="L426" s="563"/>
      <c r="M426" s="563"/>
      <c r="N426" s="563"/>
      <c r="O426" s="563"/>
      <c r="P426" s="563"/>
      <c r="Q426" s="563"/>
      <c r="R426" s="563"/>
      <c r="S426" s="563"/>
      <c r="T426" s="563"/>
      <c r="U426" s="563"/>
      <c r="V426" s="563"/>
      <c r="W426" s="563"/>
      <c r="X426" s="565"/>
      <c r="Y426" s="612"/>
      <c r="Z426" s="612"/>
      <c r="AA426" s="563"/>
      <c r="AB426" s="612"/>
      <c r="AC426" s="569"/>
      <c r="AD426" s="563"/>
      <c r="AE426" s="563"/>
      <c r="AF426" s="563"/>
      <c r="AG426" s="563"/>
      <c r="AH426" s="563"/>
      <c r="AI426" s="563"/>
      <c r="AJ426" s="680"/>
      <c r="AK426" s="563"/>
      <c r="AL426" s="563"/>
      <c r="AM426" s="563"/>
      <c r="AN426" s="563"/>
      <c r="AO426" s="563"/>
      <c r="AP426" s="46"/>
      <c r="AQ426" s="46"/>
      <c r="AR426" s="46"/>
      <c r="AS426" s="46"/>
      <c r="AT426" s="46"/>
      <c r="AU426" s="46"/>
      <c r="AV426" s="46"/>
      <c r="AW426" s="46"/>
      <c r="AX426" s="46"/>
      <c r="AY426" s="46"/>
      <c r="AZ426" s="563" t="str">
        <f ca="1">IFERROR(__xludf.DUMMYFUNCTION("""COMPUTED_VALUE"""),"Jiangnan H2750")</f>
        <v>Jiangnan H2750</v>
      </c>
      <c r="BA426" s="569"/>
      <c r="BB426" s="563"/>
      <c r="BC426" s="569"/>
      <c r="BD426" s="563"/>
      <c r="BE426" s="46"/>
      <c r="BF426" s="46"/>
      <c r="BG426" s="563"/>
      <c r="BH426" s="563"/>
      <c r="BI426" s="563"/>
      <c r="BJ426" s="563"/>
    </row>
    <row r="427" spans="2:62" x14ac:dyDescent="0.25">
      <c r="B427" s="569"/>
      <c r="C427" s="672"/>
      <c r="D427" s="563"/>
      <c r="E427" s="563"/>
      <c r="F427" s="569"/>
      <c r="G427" s="563"/>
      <c r="H427" s="563"/>
      <c r="I427" s="600"/>
      <c r="J427" s="569"/>
      <c r="K427" s="563"/>
      <c r="L427" s="563"/>
      <c r="M427" s="563"/>
      <c r="N427" s="563"/>
      <c r="O427" s="563"/>
      <c r="P427" s="563"/>
      <c r="Q427" s="563"/>
      <c r="R427" s="563"/>
      <c r="S427" s="563"/>
      <c r="T427" s="563"/>
      <c r="U427" s="563"/>
      <c r="V427" s="563"/>
      <c r="W427" s="563"/>
      <c r="X427" s="565"/>
      <c r="Y427" s="612"/>
      <c r="Z427" s="612"/>
      <c r="AA427" s="563"/>
      <c r="AB427" s="612"/>
      <c r="AC427" s="569"/>
      <c r="AD427" s="563"/>
      <c r="AE427" s="563"/>
      <c r="AF427" s="563"/>
      <c r="AG427" s="563"/>
      <c r="AH427" s="563"/>
      <c r="AI427" s="563"/>
      <c r="AJ427" s="680"/>
      <c r="AK427" s="563"/>
      <c r="AL427" s="563"/>
      <c r="AM427" s="563"/>
      <c r="AN427" s="563"/>
      <c r="AO427" s="563"/>
      <c r="AP427" s="46"/>
      <c r="AQ427" s="46"/>
      <c r="AR427" s="46"/>
      <c r="AS427" s="46"/>
      <c r="AT427" s="46"/>
      <c r="AU427" s="46"/>
      <c r="AV427" s="46"/>
      <c r="AW427" s="46"/>
      <c r="AX427" s="46"/>
      <c r="AY427" s="46"/>
      <c r="AZ427" s="563" t="str">
        <f ca="1">IFERROR(__xludf.DUMMYFUNCTION("""COMPUTED_VALUE"""),"Jiangnan H2754")</f>
        <v>Jiangnan H2754</v>
      </c>
      <c r="BA427" s="569"/>
      <c r="BB427" s="563"/>
      <c r="BC427" s="569"/>
      <c r="BD427" s="563"/>
      <c r="BE427" s="46"/>
      <c r="BF427" s="46"/>
      <c r="BG427" s="563"/>
      <c r="BH427" s="563"/>
      <c r="BI427" s="563"/>
      <c r="BJ427" s="563"/>
    </row>
    <row r="428" spans="2:62" x14ac:dyDescent="0.25">
      <c r="B428" s="569"/>
      <c r="C428" s="672"/>
      <c r="D428" s="563"/>
      <c r="E428" s="563"/>
      <c r="F428" s="569"/>
      <c r="G428" s="563"/>
      <c r="H428" s="563"/>
      <c r="I428" s="600"/>
      <c r="J428" s="569"/>
      <c r="K428" s="563"/>
      <c r="L428" s="563"/>
      <c r="M428" s="563"/>
      <c r="N428" s="563"/>
      <c r="O428" s="563"/>
      <c r="P428" s="563"/>
      <c r="Q428" s="563"/>
      <c r="R428" s="563"/>
      <c r="S428" s="563"/>
      <c r="T428" s="563"/>
      <c r="U428" s="563"/>
      <c r="V428" s="563"/>
      <c r="W428" s="563"/>
      <c r="X428" s="565"/>
      <c r="Y428" s="612"/>
      <c r="Z428" s="612"/>
      <c r="AA428" s="563"/>
      <c r="AB428" s="612"/>
      <c r="AC428" s="569"/>
      <c r="AD428" s="563"/>
      <c r="AE428" s="563"/>
      <c r="AF428" s="563"/>
      <c r="AG428" s="563"/>
      <c r="AH428" s="563"/>
      <c r="AI428" s="563"/>
      <c r="AJ428" s="680"/>
      <c r="AK428" s="563"/>
      <c r="AL428" s="563"/>
      <c r="AM428" s="563"/>
      <c r="AN428" s="563"/>
      <c r="AO428" s="563"/>
      <c r="AP428" s="46"/>
      <c r="AQ428" s="46"/>
      <c r="AR428" s="46"/>
      <c r="AS428" s="46"/>
      <c r="AT428" s="46"/>
      <c r="AU428" s="46"/>
      <c r="AV428" s="46"/>
      <c r="AW428" s="46"/>
      <c r="AX428" s="46"/>
      <c r="AY428" s="46"/>
      <c r="AZ428" s="563" t="str">
        <f ca="1">IFERROR(__xludf.DUMMYFUNCTION("""COMPUTED_VALUE"""),"Jiangnan H2755")</f>
        <v>Jiangnan H2755</v>
      </c>
      <c r="BA428" s="569"/>
      <c r="BB428" s="563"/>
      <c r="BC428" s="569"/>
      <c r="BD428" s="563"/>
      <c r="BE428" s="46"/>
      <c r="BF428" s="46"/>
      <c r="BG428" s="563"/>
      <c r="BH428" s="563"/>
      <c r="BI428" s="563"/>
      <c r="BJ428" s="563"/>
    </row>
    <row r="429" spans="2:62" x14ac:dyDescent="0.25">
      <c r="B429" s="569"/>
      <c r="C429" s="672"/>
      <c r="D429" s="563"/>
      <c r="E429" s="563"/>
      <c r="F429" s="569"/>
      <c r="G429" s="563"/>
      <c r="H429" s="563"/>
      <c r="I429" s="600"/>
      <c r="J429" s="569"/>
      <c r="K429" s="563"/>
      <c r="L429" s="563"/>
      <c r="M429" s="563"/>
      <c r="N429" s="563"/>
      <c r="O429" s="563"/>
      <c r="P429" s="563"/>
      <c r="Q429" s="563"/>
      <c r="R429" s="563"/>
      <c r="S429" s="563"/>
      <c r="T429" s="563"/>
      <c r="U429" s="563"/>
      <c r="V429" s="563"/>
      <c r="W429" s="563"/>
      <c r="X429" s="565"/>
      <c r="Y429" s="612"/>
      <c r="Z429" s="612"/>
      <c r="AA429" s="563"/>
      <c r="AB429" s="612"/>
      <c r="AC429" s="569"/>
      <c r="AD429" s="563"/>
      <c r="AE429" s="563"/>
      <c r="AF429" s="563"/>
      <c r="AG429" s="563"/>
      <c r="AH429" s="563"/>
      <c r="AI429" s="563"/>
      <c r="AJ429" s="680"/>
      <c r="AK429" s="563"/>
      <c r="AL429" s="563"/>
      <c r="AM429" s="563"/>
      <c r="AN429" s="563"/>
      <c r="AO429" s="563"/>
      <c r="AP429" s="46"/>
      <c r="AQ429" s="46"/>
      <c r="AR429" s="46"/>
      <c r="AS429" s="46"/>
      <c r="AT429" s="46"/>
      <c r="AU429" s="46"/>
      <c r="AV429" s="46"/>
      <c r="AW429" s="46"/>
      <c r="AX429" s="46"/>
      <c r="AY429" s="46"/>
      <c r="AZ429" s="563" t="str">
        <f ca="1">IFERROR(__xludf.DUMMYFUNCTION("""COMPUTED_VALUE"""),"Jiangnan H2840")</f>
        <v>Jiangnan H2840</v>
      </c>
      <c r="BA429" s="569"/>
      <c r="BB429" s="563"/>
      <c r="BC429" s="569"/>
      <c r="BD429" s="563"/>
      <c r="BE429" s="46"/>
      <c r="BF429" s="46"/>
      <c r="BG429" s="563"/>
      <c r="BH429" s="563"/>
      <c r="BI429" s="563"/>
      <c r="BJ429" s="563"/>
    </row>
    <row r="430" spans="2:62" x14ac:dyDescent="0.25">
      <c r="B430" s="569"/>
      <c r="C430" s="672"/>
      <c r="D430" s="563"/>
      <c r="E430" s="563"/>
      <c r="F430" s="569"/>
      <c r="G430" s="563"/>
      <c r="H430" s="563"/>
      <c r="I430" s="600"/>
      <c r="J430" s="569"/>
      <c r="K430" s="563"/>
      <c r="L430" s="563"/>
      <c r="M430" s="563"/>
      <c r="N430" s="563"/>
      <c r="O430" s="563"/>
      <c r="P430" s="563"/>
      <c r="Q430" s="563"/>
      <c r="R430" s="563"/>
      <c r="S430" s="563"/>
      <c r="T430" s="563"/>
      <c r="U430" s="563"/>
      <c r="V430" s="563"/>
      <c r="W430" s="563"/>
      <c r="X430" s="565"/>
      <c r="Y430" s="612"/>
      <c r="Z430" s="612"/>
      <c r="AA430" s="563"/>
      <c r="AB430" s="612"/>
      <c r="AC430" s="569"/>
      <c r="AD430" s="563"/>
      <c r="AE430" s="563"/>
      <c r="AF430" s="563"/>
      <c r="AG430" s="563"/>
      <c r="AH430" s="563"/>
      <c r="AI430" s="563"/>
      <c r="AJ430" s="680"/>
      <c r="AK430" s="563"/>
      <c r="AL430" s="563"/>
      <c r="AM430" s="563"/>
      <c r="AN430" s="563"/>
      <c r="AO430" s="563"/>
      <c r="AP430" s="46"/>
      <c r="AQ430" s="46"/>
      <c r="AR430" s="46"/>
      <c r="AS430" s="46"/>
      <c r="AT430" s="46"/>
      <c r="AU430" s="46"/>
      <c r="AV430" s="46"/>
      <c r="AW430" s="46"/>
      <c r="AX430" s="46"/>
      <c r="AY430" s="46"/>
      <c r="AZ430" s="563" t="str">
        <f ca="1">IFERROR(__xludf.DUMMYFUNCTION("""COMPUTED_VALUE"""),"Jiangsu Yangzi Xinfu Yzj2024-1715")</f>
        <v>Jiangsu Yangzi Xinfu Yzj2024-1715</v>
      </c>
      <c r="BA430" s="569"/>
      <c r="BB430" s="563"/>
      <c r="BC430" s="569"/>
      <c r="BD430" s="563"/>
      <c r="BE430" s="46"/>
      <c r="BF430" s="46"/>
      <c r="BG430" s="563"/>
      <c r="BH430" s="563"/>
      <c r="BI430" s="563"/>
      <c r="BJ430" s="563"/>
    </row>
    <row r="431" spans="2:62" x14ac:dyDescent="0.25">
      <c r="B431" s="569"/>
      <c r="C431" s="672"/>
      <c r="D431" s="563"/>
      <c r="E431" s="563"/>
      <c r="F431" s="569"/>
      <c r="G431" s="563"/>
      <c r="H431" s="563"/>
      <c r="I431" s="600"/>
      <c r="J431" s="569"/>
      <c r="K431" s="563"/>
      <c r="L431" s="563"/>
      <c r="M431" s="563"/>
      <c r="N431" s="563"/>
      <c r="O431" s="563"/>
      <c r="P431" s="563"/>
      <c r="Q431" s="563"/>
      <c r="R431" s="563"/>
      <c r="S431" s="563"/>
      <c r="T431" s="563"/>
      <c r="U431" s="563"/>
      <c r="V431" s="563"/>
      <c r="W431" s="563"/>
      <c r="X431" s="565"/>
      <c r="Y431" s="612"/>
      <c r="Z431" s="612"/>
      <c r="AA431" s="563"/>
      <c r="AB431" s="612"/>
      <c r="AC431" s="569"/>
      <c r="AD431" s="563"/>
      <c r="AE431" s="563"/>
      <c r="AF431" s="563"/>
      <c r="AG431" s="563"/>
      <c r="AH431" s="563"/>
      <c r="AI431" s="563"/>
      <c r="AJ431" s="680"/>
      <c r="AK431" s="563"/>
      <c r="AL431" s="563"/>
      <c r="AM431" s="563"/>
      <c r="AN431" s="563"/>
      <c r="AO431" s="563"/>
      <c r="AP431" s="46"/>
      <c r="AQ431" s="46"/>
      <c r="AR431" s="46"/>
      <c r="AS431" s="46"/>
      <c r="AT431" s="46"/>
      <c r="AU431" s="46"/>
      <c r="AV431" s="46"/>
      <c r="AW431" s="46"/>
      <c r="AX431" s="46"/>
      <c r="AY431" s="46"/>
      <c r="AZ431" s="563" t="str">
        <f ca="1">IFERROR(__xludf.DUMMYFUNCTION("""COMPUTED_VALUE"""),"Jiangsu Yangzi-Mitsui")</f>
        <v>Jiangsu Yangzi-Mitsui</v>
      </c>
      <c r="BA431" s="569"/>
      <c r="BB431" s="563"/>
      <c r="BC431" s="569"/>
      <c r="BD431" s="563"/>
      <c r="BE431" s="46"/>
      <c r="BF431" s="46"/>
      <c r="BG431" s="563"/>
      <c r="BH431" s="563"/>
      <c r="BI431" s="563"/>
      <c r="BJ431" s="563"/>
    </row>
    <row r="432" spans="2:62" x14ac:dyDescent="0.25">
      <c r="B432" s="569"/>
      <c r="C432" s="672"/>
      <c r="D432" s="563"/>
      <c r="E432" s="563"/>
      <c r="F432" s="569"/>
      <c r="G432" s="563"/>
      <c r="H432" s="563"/>
      <c r="I432" s="600"/>
      <c r="J432" s="569"/>
      <c r="K432" s="563"/>
      <c r="L432" s="563"/>
      <c r="M432" s="563"/>
      <c r="N432" s="563"/>
      <c r="O432" s="563"/>
      <c r="P432" s="563"/>
      <c r="Q432" s="563"/>
      <c r="R432" s="563"/>
      <c r="S432" s="563"/>
      <c r="T432" s="563"/>
      <c r="U432" s="563"/>
      <c r="V432" s="563"/>
      <c r="W432" s="563"/>
      <c r="X432" s="565"/>
      <c r="Y432" s="612"/>
      <c r="Z432" s="612"/>
      <c r="AA432" s="563"/>
      <c r="AB432" s="612"/>
      <c r="AC432" s="569"/>
      <c r="AD432" s="563"/>
      <c r="AE432" s="563"/>
      <c r="AF432" s="563"/>
      <c r="AG432" s="563"/>
      <c r="AH432" s="563"/>
      <c r="AI432" s="563"/>
      <c r="AJ432" s="680"/>
      <c r="AK432" s="563"/>
      <c r="AL432" s="563"/>
      <c r="AM432" s="563"/>
      <c r="AN432" s="563"/>
      <c r="AO432" s="563"/>
      <c r="AP432" s="46"/>
      <c r="AQ432" s="46"/>
      <c r="AR432" s="46"/>
      <c r="AS432" s="46"/>
      <c r="AT432" s="46"/>
      <c r="AU432" s="46"/>
      <c r="AV432" s="46"/>
      <c r="AW432" s="46"/>
      <c r="AX432" s="46"/>
      <c r="AY432" s="46"/>
      <c r="AZ432" s="563" t="str">
        <f ca="1">IFERROR(__xludf.DUMMYFUNCTION("""COMPUTED_VALUE"""),"Jiangsu Yangzi-Mitsui")</f>
        <v>Jiangsu Yangzi-Mitsui</v>
      </c>
      <c r="BA432" s="569"/>
      <c r="BB432" s="563"/>
      <c r="BC432" s="569"/>
      <c r="BD432" s="563"/>
      <c r="BE432" s="46"/>
      <c r="BF432" s="46"/>
      <c r="BG432" s="563"/>
      <c r="BH432" s="563"/>
      <c r="BI432" s="563"/>
      <c r="BJ432" s="563"/>
    </row>
    <row r="433" spans="2:62" x14ac:dyDescent="0.25">
      <c r="B433" s="569"/>
      <c r="C433" s="672"/>
      <c r="D433" s="563"/>
      <c r="E433" s="563"/>
      <c r="F433" s="569"/>
      <c r="G433" s="563"/>
      <c r="H433" s="563"/>
      <c r="I433" s="600"/>
      <c r="J433" s="569"/>
      <c r="K433" s="563"/>
      <c r="L433" s="563"/>
      <c r="M433" s="563"/>
      <c r="N433" s="563"/>
      <c r="O433" s="563"/>
      <c r="P433" s="563"/>
      <c r="Q433" s="563"/>
      <c r="R433" s="563"/>
      <c r="S433" s="563"/>
      <c r="T433" s="563"/>
      <c r="U433" s="563"/>
      <c r="V433" s="563"/>
      <c r="W433" s="563"/>
      <c r="X433" s="565"/>
      <c r="Y433" s="612"/>
      <c r="Z433" s="612"/>
      <c r="AA433" s="563"/>
      <c r="AB433" s="612"/>
      <c r="AC433" s="569"/>
      <c r="AD433" s="563"/>
      <c r="AE433" s="563"/>
      <c r="AF433" s="563"/>
      <c r="AG433" s="563"/>
      <c r="AH433" s="563"/>
      <c r="AI433" s="563"/>
      <c r="AJ433" s="680"/>
      <c r="AK433" s="563"/>
      <c r="AL433" s="563"/>
      <c r="AM433" s="563"/>
      <c r="AN433" s="563"/>
      <c r="AO433" s="563"/>
      <c r="AP433" s="46"/>
      <c r="AQ433" s="46"/>
      <c r="AR433" s="46"/>
      <c r="AS433" s="46"/>
      <c r="AT433" s="46"/>
      <c r="AU433" s="46"/>
      <c r="AV433" s="46"/>
      <c r="AW433" s="46"/>
      <c r="AX433" s="46"/>
      <c r="AY433" s="46"/>
      <c r="AZ433" s="563" t="str">
        <f ca="1">IFERROR(__xludf.DUMMYFUNCTION("""COMPUTED_VALUE"""),"Jiangsu Yangzi-Mitsui")</f>
        <v>Jiangsu Yangzi-Mitsui</v>
      </c>
      <c r="BA433" s="569"/>
      <c r="BB433" s="563"/>
      <c r="BC433" s="569"/>
      <c r="BD433" s="563"/>
      <c r="BE433" s="46"/>
      <c r="BF433" s="46"/>
      <c r="BG433" s="563"/>
      <c r="BH433" s="563"/>
      <c r="BI433" s="563"/>
      <c r="BJ433" s="563"/>
    </row>
    <row r="434" spans="2:62" x14ac:dyDescent="0.25">
      <c r="B434" s="569"/>
      <c r="C434" s="672"/>
      <c r="D434" s="563"/>
      <c r="E434" s="563"/>
      <c r="F434" s="569"/>
      <c r="G434" s="563"/>
      <c r="H434" s="563"/>
      <c r="I434" s="600"/>
      <c r="J434" s="569"/>
      <c r="K434" s="563"/>
      <c r="L434" s="563"/>
      <c r="M434" s="563"/>
      <c r="N434" s="563"/>
      <c r="O434" s="563"/>
      <c r="P434" s="563"/>
      <c r="Q434" s="563"/>
      <c r="R434" s="563"/>
      <c r="S434" s="563"/>
      <c r="T434" s="563"/>
      <c r="U434" s="563"/>
      <c r="V434" s="563"/>
      <c r="W434" s="563"/>
      <c r="X434" s="565"/>
      <c r="Y434" s="612"/>
      <c r="Z434" s="612"/>
      <c r="AA434" s="563"/>
      <c r="AB434" s="612"/>
      <c r="AC434" s="569"/>
      <c r="AD434" s="563"/>
      <c r="AE434" s="563"/>
      <c r="AF434" s="563"/>
      <c r="AG434" s="563"/>
      <c r="AH434" s="563"/>
      <c r="AI434" s="563"/>
      <c r="AJ434" s="680"/>
      <c r="AK434" s="563"/>
      <c r="AL434" s="563"/>
      <c r="AM434" s="563"/>
      <c r="AN434" s="563"/>
      <c r="AO434" s="563"/>
      <c r="AP434" s="46"/>
      <c r="AQ434" s="46"/>
      <c r="AR434" s="46"/>
      <c r="AS434" s="46"/>
      <c r="AT434" s="46"/>
      <c r="AU434" s="46"/>
      <c r="AV434" s="46"/>
      <c r="AW434" s="46"/>
      <c r="AX434" s="46"/>
      <c r="AY434" s="46"/>
      <c r="AZ434" s="563" t="str">
        <f ca="1">IFERROR(__xludf.DUMMYFUNCTION("""COMPUTED_VALUE"""),"Jiangsu Yangzi-Mitsui")</f>
        <v>Jiangsu Yangzi-Mitsui</v>
      </c>
      <c r="BA434" s="569"/>
      <c r="BB434" s="563"/>
      <c r="BC434" s="569"/>
      <c r="BD434" s="563"/>
      <c r="BE434" s="46"/>
      <c r="BF434" s="46"/>
      <c r="BG434" s="563"/>
      <c r="BH434" s="563"/>
      <c r="BI434" s="563"/>
      <c r="BJ434" s="563"/>
    </row>
    <row r="435" spans="2:62" x14ac:dyDescent="0.25">
      <c r="B435" s="569"/>
      <c r="C435" s="672"/>
      <c r="D435" s="563"/>
      <c r="E435" s="563"/>
      <c r="F435" s="569"/>
      <c r="G435" s="563"/>
      <c r="H435" s="563"/>
      <c r="I435" s="600"/>
      <c r="J435" s="569"/>
      <c r="K435" s="563"/>
      <c r="L435" s="563"/>
      <c r="M435" s="563"/>
      <c r="N435" s="563"/>
      <c r="O435" s="563"/>
      <c r="P435" s="563"/>
      <c r="Q435" s="563"/>
      <c r="R435" s="563"/>
      <c r="S435" s="563"/>
      <c r="T435" s="563"/>
      <c r="U435" s="563"/>
      <c r="V435" s="563"/>
      <c r="W435" s="563"/>
      <c r="X435" s="565"/>
      <c r="Y435" s="612"/>
      <c r="Z435" s="612"/>
      <c r="AA435" s="563"/>
      <c r="AB435" s="612"/>
      <c r="AC435" s="569"/>
      <c r="AD435" s="563"/>
      <c r="AE435" s="563"/>
      <c r="AF435" s="563"/>
      <c r="AG435" s="563"/>
      <c r="AH435" s="563"/>
      <c r="AI435" s="563"/>
      <c r="AJ435" s="680"/>
      <c r="AK435" s="563"/>
      <c r="AL435" s="563"/>
      <c r="AM435" s="563"/>
      <c r="AN435" s="563"/>
      <c r="AO435" s="563"/>
      <c r="AP435" s="46"/>
      <c r="AQ435" s="46"/>
      <c r="AR435" s="46"/>
      <c r="AS435" s="46"/>
      <c r="AT435" s="46"/>
      <c r="AU435" s="46"/>
      <c r="AV435" s="46"/>
      <c r="AW435" s="46"/>
      <c r="AX435" s="46"/>
      <c r="AY435" s="46"/>
      <c r="AZ435" s="563" t="str">
        <f ca="1">IFERROR(__xludf.DUMMYFUNCTION("""COMPUTED_VALUE"""),"Kalastin")</f>
        <v>Kalastin</v>
      </c>
      <c r="BA435" s="569"/>
      <c r="BB435" s="563"/>
      <c r="BC435" s="569"/>
      <c r="BD435" s="563"/>
      <c r="BE435" s="46"/>
      <c r="BF435" s="46"/>
      <c r="BG435" s="563"/>
      <c r="BH435" s="563"/>
      <c r="BI435" s="563"/>
      <c r="BJ435" s="563"/>
    </row>
    <row r="436" spans="2:62" x14ac:dyDescent="0.25">
      <c r="B436" s="569"/>
      <c r="C436" s="672"/>
      <c r="D436" s="563"/>
      <c r="E436" s="563"/>
      <c r="F436" s="569"/>
      <c r="G436" s="563"/>
      <c r="H436" s="563"/>
      <c r="I436" s="600"/>
      <c r="J436" s="569"/>
      <c r="K436" s="563"/>
      <c r="L436" s="563"/>
      <c r="M436" s="563"/>
      <c r="N436" s="563"/>
      <c r="O436" s="563"/>
      <c r="P436" s="563"/>
      <c r="Q436" s="563"/>
      <c r="R436" s="563"/>
      <c r="S436" s="563"/>
      <c r="T436" s="563"/>
      <c r="U436" s="563"/>
      <c r="V436" s="563"/>
      <c r="W436" s="563"/>
      <c r="X436" s="565"/>
      <c r="Y436" s="612"/>
      <c r="Z436" s="612"/>
      <c r="AA436" s="563"/>
      <c r="AB436" s="612"/>
      <c r="AC436" s="569"/>
      <c r="AD436" s="563"/>
      <c r="AE436" s="563"/>
      <c r="AF436" s="563"/>
      <c r="AG436" s="563"/>
      <c r="AH436" s="563"/>
      <c r="AI436" s="563"/>
      <c r="AJ436" s="680"/>
      <c r="AK436" s="563"/>
      <c r="AL436" s="563"/>
      <c r="AM436" s="563"/>
      <c r="AN436" s="563"/>
      <c r="AO436" s="563"/>
      <c r="AP436" s="46"/>
      <c r="AQ436" s="46"/>
      <c r="AR436" s="46"/>
      <c r="AS436" s="46"/>
      <c r="AT436" s="46"/>
      <c r="AU436" s="46"/>
      <c r="AV436" s="46"/>
      <c r="AW436" s="46"/>
      <c r="AX436" s="46"/>
      <c r="AY436" s="46"/>
      <c r="AZ436" s="563" t="str">
        <f ca="1">IFERROR(__xludf.DUMMYFUNCTION("""COMPUTED_VALUE"""),"Kawasaki Sakaide 1769")</f>
        <v>Kawasaki Sakaide 1769</v>
      </c>
      <c r="BA436" s="569"/>
      <c r="BB436" s="563"/>
      <c r="BC436" s="569"/>
      <c r="BD436" s="563"/>
      <c r="BE436" s="46"/>
      <c r="BF436" s="46"/>
      <c r="BG436" s="563"/>
      <c r="BH436" s="563"/>
      <c r="BI436" s="563"/>
      <c r="BJ436" s="563"/>
    </row>
    <row r="437" spans="2:62" x14ac:dyDescent="0.25">
      <c r="B437" s="569"/>
      <c r="C437" s="672"/>
      <c r="D437" s="563"/>
      <c r="E437" s="563"/>
      <c r="F437" s="569"/>
      <c r="G437" s="563"/>
      <c r="H437" s="563"/>
      <c r="I437" s="600"/>
      <c r="J437" s="569"/>
      <c r="K437" s="563"/>
      <c r="L437" s="563"/>
      <c r="M437" s="563"/>
      <c r="N437" s="563"/>
      <c r="O437" s="563"/>
      <c r="P437" s="563"/>
      <c r="Q437" s="563"/>
      <c r="R437" s="563"/>
      <c r="S437" s="563"/>
      <c r="T437" s="563"/>
      <c r="U437" s="563"/>
      <c r="V437" s="563"/>
      <c r="W437" s="563"/>
      <c r="X437" s="565"/>
      <c r="Y437" s="612"/>
      <c r="Z437" s="612"/>
      <c r="AA437" s="563"/>
      <c r="AB437" s="612"/>
      <c r="AC437" s="569"/>
      <c r="AD437" s="563"/>
      <c r="AE437" s="563"/>
      <c r="AF437" s="563"/>
      <c r="AG437" s="563"/>
      <c r="AH437" s="563"/>
      <c r="AI437" s="563"/>
      <c r="AJ437" s="680"/>
      <c r="AK437" s="563"/>
      <c r="AL437" s="563"/>
      <c r="AM437" s="563"/>
      <c r="AN437" s="563"/>
      <c r="AO437" s="563"/>
      <c r="AP437" s="46"/>
      <c r="AQ437" s="46"/>
      <c r="AR437" s="46"/>
      <c r="AS437" s="46"/>
      <c r="AT437" s="46"/>
      <c r="AU437" s="46"/>
      <c r="AV437" s="46"/>
      <c r="AW437" s="46"/>
      <c r="AX437" s="46"/>
      <c r="AY437" s="46"/>
      <c r="AZ437" s="563" t="str">
        <f ca="1">IFERROR(__xludf.DUMMYFUNCTION("""COMPUTED_VALUE"""),"Kawasaki Sakaide 1770")</f>
        <v>Kawasaki Sakaide 1770</v>
      </c>
      <c r="BA437" s="569"/>
      <c r="BB437" s="563"/>
      <c r="BC437" s="569"/>
      <c r="BD437" s="563"/>
      <c r="BE437" s="46"/>
      <c r="BF437" s="46"/>
      <c r="BG437" s="563"/>
      <c r="BH437" s="563"/>
      <c r="BI437" s="563"/>
      <c r="BJ437" s="563"/>
    </row>
    <row r="438" spans="2:62" x14ac:dyDescent="0.25">
      <c r="B438" s="569"/>
      <c r="C438" s="672"/>
      <c r="D438" s="563"/>
      <c r="E438" s="563"/>
      <c r="F438" s="569"/>
      <c r="G438" s="563"/>
      <c r="H438" s="563"/>
      <c r="I438" s="600"/>
      <c r="J438" s="569"/>
      <c r="K438" s="563"/>
      <c r="L438" s="563"/>
      <c r="M438" s="563"/>
      <c r="N438" s="563"/>
      <c r="O438" s="563"/>
      <c r="P438" s="563"/>
      <c r="Q438" s="563"/>
      <c r="R438" s="563"/>
      <c r="S438" s="563"/>
      <c r="T438" s="563"/>
      <c r="U438" s="563"/>
      <c r="V438" s="563"/>
      <c r="W438" s="563"/>
      <c r="X438" s="565"/>
      <c r="Y438" s="612"/>
      <c r="Z438" s="612"/>
      <c r="AA438" s="563"/>
      <c r="AB438" s="612"/>
      <c r="AC438" s="569"/>
      <c r="AD438" s="563"/>
      <c r="AE438" s="563"/>
      <c r="AF438" s="563"/>
      <c r="AG438" s="563"/>
      <c r="AH438" s="563"/>
      <c r="AI438" s="563"/>
      <c r="AJ438" s="680"/>
      <c r="AK438" s="563"/>
      <c r="AL438" s="563"/>
      <c r="AM438" s="563"/>
      <c r="AN438" s="563"/>
      <c r="AO438" s="563"/>
      <c r="AP438" s="46"/>
      <c r="AQ438" s="46"/>
      <c r="AR438" s="46"/>
      <c r="AS438" s="46"/>
      <c r="AT438" s="46"/>
      <c r="AU438" s="46"/>
      <c r="AV438" s="46"/>
      <c r="AW438" s="46"/>
      <c r="AX438" s="46"/>
      <c r="AY438" s="46"/>
      <c r="AZ438" s="563" t="str">
        <f ca="1">IFERROR(__xludf.DUMMYFUNCTION("""COMPUTED_VALUE"""),"Lilac Cove")</f>
        <v>Lilac Cove</v>
      </c>
      <c r="BA438" s="569"/>
      <c r="BB438" s="563"/>
      <c r="BC438" s="569"/>
      <c r="BD438" s="563"/>
      <c r="BE438" s="46"/>
      <c r="BF438" s="46"/>
      <c r="BG438" s="563"/>
      <c r="BH438" s="563"/>
      <c r="BI438" s="563"/>
      <c r="BJ438" s="563"/>
    </row>
    <row r="439" spans="2:62" x14ac:dyDescent="0.25">
      <c r="B439" s="569"/>
      <c r="C439" s="672"/>
      <c r="D439" s="563"/>
      <c r="E439" s="563"/>
      <c r="F439" s="569"/>
      <c r="G439" s="563"/>
      <c r="H439" s="563"/>
      <c r="I439" s="600"/>
      <c r="J439" s="569"/>
      <c r="K439" s="563"/>
      <c r="L439" s="563"/>
      <c r="M439" s="563"/>
      <c r="N439" s="563"/>
      <c r="O439" s="563"/>
      <c r="P439" s="563"/>
      <c r="Q439" s="563"/>
      <c r="R439" s="563"/>
      <c r="S439" s="563"/>
      <c r="T439" s="563"/>
      <c r="U439" s="563"/>
      <c r="V439" s="563"/>
      <c r="W439" s="563"/>
      <c r="X439" s="565"/>
      <c r="Y439" s="612"/>
      <c r="Z439" s="612"/>
      <c r="AA439" s="563"/>
      <c r="AB439" s="612"/>
      <c r="AC439" s="569"/>
      <c r="AD439" s="563"/>
      <c r="AE439" s="563"/>
      <c r="AF439" s="563"/>
      <c r="AG439" s="563"/>
      <c r="AH439" s="563"/>
      <c r="AI439" s="563"/>
      <c r="AJ439" s="680"/>
      <c r="AK439" s="563"/>
      <c r="AL439" s="563"/>
      <c r="AM439" s="563"/>
      <c r="AN439" s="563"/>
      <c r="AO439" s="563"/>
      <c r="AP439" s="46"/>
      <c r="AQ439" s="46"/>
      <c r="AR439" s="46"/>
      <c r="AS439" s="46"/>
      <c r="AT439" s="46"/>
      <c r="AU439" s="46"/>
      <c r="AV439" s="46"/>
      <c r="AW439" s="46"/>
      <c r="AX439" s="46"/>
      <c r="AY439" s="46"/>
      <c r="AZ439" s="563" t="str">
        <f ca="1">IFERROR(__xludf.DUMMYFUNCTION("""COMPUTED_VALUE"""),"Lumina Polaris")</f>
        <v>Lumina Polaris</v>
      </c>
      <c r="BA439" s="569"/>
      <c r="BB439" s="563"/>
      <c r="BC439" s="569"/>
      <c r="BD439" s="563"/>
      <c r="BE439" s="46"/>
      <c r="BF439" s="46"/>
      <c r="BG439" s="563"/>
      <c r="BH439" s="563"/>
      <c r="BI439" s="563"/>
      <c r="BJ439" s="563"/>
    </row>
    <row r="440" spans="2:62" x14ac:dyDescent="0.25">
      <c r="B440" s="569"/>
      <c r="C440" s="672"/>
      <c r="D440" s="563"/>
      <c r="E440" s="563"/>
      <c r="F440" s="569"/>
      <c r="G440" s="563"/>
      <c r="H440" s="563"/>
      <c r="I440" s="600"/>
      <c r="J440" s="569"/>
      <c r="K440" s="563"/>
      <c r="L440" s="563"/>
      <c r="M440" s="563"/>
      <c r="N440" s="563"/>
      <c r="O440" s="563"/>
      <c r="P440" s="563"/>
      <c r="Q440" s="563"/>
      <c r="R440" s="563"/>
      <c r="S440" s="563"/>
      <c r="T440" s="563"/>
      <c r="U440" s="563"/>
      <c r="V440" s="563"/>
      <c r="W440" s="563"/>
      <c r="X440" s="565"/>
      <c r="Y440" s="612"/>
      <c r="Z440" s="612"/>
      <c r="AA440" s="563"/>
      <c r="AB440" s="612"/>
      <c r="AC440" s="569"/>
      <c r="AD440" s="563"/>
      <c r="AE440" s="563"/>
      <c r="AF440" s="563"/>
      <c r="AG440" s="563"/>
      <c r="AH440" s="563"/>
      <c r="AI440" s="563"/>
      <c r="AJ440" s="680"/>
      <c r="AK440" s="563"/>
      <c r="AL440" s="563"/>
      <c r="AM440" s="563"/>
      <c r="AN440" s="563"/>
      <c r="AO440" s="563"/>
      <c r="AP440" s="46"/>
      <c r="AQ440" s="46"/>
      <c r="AR440" s="46"/>
      <c r="AS440" s="46"/>
      <c r="AT440" s="46"/>
      <c r="AU440" s="46"/>
      <c r="AV440" s="46"/>
      <c r="AW440" s="46"/>
      <c r="AX440" s="46"/>
      <c r="AY440" s="46"/>
      <c r="AZ440" s="563" t="str">
        <f ca="1">IFERROR(__xludf.DUMMYFUNCTION("""COMPUTED_VALUE"""),"Manasarovar")</f>
        <v>Manasarovar</v>
      </c>
      <c r="BA440" s="569"/>
      <c r="BB440" s="563"/>
      <c r="BC440" s="569"/>
      <c r="BD440" s="563"/>
      <c r="BE440" s="46"/>
      <c r="BF440" s="46"/>
      <c r="BG440" s="563"/>
      <c r="BH440" s="563"/>
      <c r="BI440" s="563"/>
      <c r="BJ440" s="563"/>
    </row>
    <row r="441" spans="2:62" x14ac:dyDescent="0.25">
      <c r="B441" s="569"/>
      <c r="C441" s="672"/>
      <c r="D441" s="563"/>
      <c r="E441" s="563"/>
      <c r="F441" s="569"/>
      <c r="G441" s="563"/>
      <c r="H441" s="563"/>
      <c r="I441" s="600"/>
      <c r="J441" s="569"/>
      <c r="K441" s="563"/>
      <c r="L441" s="563"/>
      <c r="M441" s="563"/>
      <c r="N441" s="563"/>
      <c r="O441" s="563"/>
      <c r="P441" s="563"/>
      <c r="Q441" s="563"/>
      <c r="R441" s="563"/>
      <c r="S441" s="563"/>
      <c r="T441" s="563"/>
      <c r="U441" s="563"/>
      <c r="V441" s="563"/>
      <c r="W441" s="563"/>
      <c r="X441" s="565"/>
      <c r="Y441" s="612"/>
      <c r="Z441" s="612"/>
      <c r="AA441" s="563"/>
      <c r="AB441" s="612"/>
      <c r="AC441" s="569"/>
      <c r="AD441" s="563"/>
      <c r="AE441" s="563"/>
      <c r="AF441" s="563"/>
      <c r="AG441" s="563"/>
      <c r="AH441" s="563"/>
      <c r="AI441" s="563"/>
      <c r="AJ441" s="680"/>
      <c r="AK441" s="563"/>
      <c r="AL441" s="563"/>
      <c r="AM441" s="563"/>
      <c r="AN441" s="563"/>
      <c r="AO441" s="563"/>
      <c r="AP441" s="46"/>
      <c r="AQ441" s="46"/>
      <c r="AR441" s="46"/>
      <c r="AS441" s="46"/>
      <c r="AT441" s="46"/>
      <c r="AU441" s="46"/>
      <c r="AV441" s="46"/>
      <c r="AW441" s="46"/>
      <c r="AX441" s="46"/>
      <c r="AY441" s="46"/>
      <c r="AZ441" s="563" t="str">
        <f ca="1">IFERROR(__xludf.DUMMYFUNCTION("""COMPUTED_VALUE"""),"Marser")</f>
        <v>Marser</v>
      </c>
      <c r="BA441" s="569"/>
      <c r="BB441" s="563"/>
      <c r="BC441" s="569"/>
      <c r="BD441" s="563"/>
      <c r="BE441" s="46"/>
      <c r="BF441" s="46"/>
      <c r="BG441" s="563"/>
      <c r="BH441" s="563"/>
      <c r="BI441" s="563"/>
      <c r="BJ441" s="563"/>
    </row>
    <row r="442" spans="2:62" x14ac:dyDescent="0.25">
      <c r="B442" s="569"/>
      <c r="C442" s="672"/>
      <c r="D442" s="563"/>
      <c r="E442" s="563"/>
      <c r="F442" s="569"/>
      <c r="G442" s="563"/>
      <c r="H442" s="563"/>
      <c r="I442" s="600"/>
      <c r="J442" s="569"/>
      <c r="K442" s="563"/>
      <c r="L442" s="563"/>
      <c r="M442" s="563"/>
      <c r="N442" s="563"/>
      <c r="O442" s="563"/>
      <c r="P442" s="563"/>
      <c r="Q442" s="563"/>
      <c r="R442" s="563"/>
      <c r="S442" s="563"/>
      <c r="T442" s="563"/>
      <c r="U442" s="563"/>
      <c r="V442" s="563"/>
      <c r="W442" s="563"/>
      <c r="X442" s="565"/>
      <c r="Y442" s="612"/>
      <c r="Z442" s="612"/>
      <c r="AA442" s="563"/>
      <c r="AB442" s="612"/>
      <c r="AC442" s="569"/>
      <c r="AD442" s="563"/>
      <c r="AE442" s="563"/>
      <c r="AF442" s="563"/>
      <c r="AG442" s="563"/>
      <c r="AH442" s="563"/>
      <c r="AI442" s="563"/>
      <c r="AJ442" s="680"/>
      <c r="AK442" s="563"/>
      <c r="AL442" s="563"/>
      <c r="AM442" s="563"/>
      <c r="AN442" s="563"/>
      <c r="AO442" s="563"/>
      <c r="AP442" s="46"/>
      <c r="AQ442" s="46"/>
      <c r="AR442" s="46"/>
      <c r="AS442" s="46"/>
      <c r="AT442" s="46"/>
      <c r="AU442" s="46"/>
      <c r="AV442" s="46"/>
      <c r="AW442" s="46"/>
      <c r="AX442" s="46"/>
      <c r="AY442" s="46"/>
      <c r="AZ442" s="563" t="str">
        <f ca="1">IFERROR(__xludf.DUMMYFUNCTION("""COMPUTED_VALUE"""),"Meda")</f>
        <v>Meda</v>
      </c>
      <c r="BA442" s="569"/>
      <c r="BB442" s="563"/>
      <c r="BC442" s="569"/>
      <c r="BD442" s="563"/>
      <c r="BE442" s="46"/>
      <c r="BF442" s="46"/>
      <c r="BG442" s="563"/>
      <c r="BH442" s="563"/>
      <c r="BI442" s="563"/>
      <c r="BJ442" s="563"/>
    </row>
    <row r="443" spans="2:62" x14ac:dyDescent="0.25">
      <c r="B443" s="569"/>
      <c r="C443" s="672"/>
      <c r="D443" s="563"/>
      <c r="E443" s="563"/>
      <c r="F443" s="569"/>
      <c r="G443" s="563"/>
      <c r="H443" s="563"/>
      <c r="I443" s="600"/>
      <c r="J443" s="569"/>
      <c r="K443" s="563"/>
      <c r="L443" s="563"/>
      <c r="M443" s="563"/>
      <c r="N443" s="563"/>
      <c r="O443" s="563"/>
      <c r="P443" s="563"/>
      <c r="Q443" s="563"/>
      <c r="R443" s="563"/>
      <c r="S443" s="563"/>
      <c r="T443" s="563"/>
      <c r="U443" s="563"/>
      <c r="V443" s="563"/>
      <c r="W443" s="563"/>
      <c r="X443" s="565"/>
      <c r="Y443" s="612"/>
      <c r="Z443" s="612"/>
      <c r="AA443" s="563"/>
      <c r="AB443" s="612"/>
      <c r="AC443" s="569"/>
      <c r="AD443" s="563"/>
      <c r="AE443" s="563"/>
      <c r="AF443" s="563"/>
      <c r="AG443" s="563"/>
      <c r="AH443" s="563"/>
      <c r="AI443" s="563"/>
      <c r="AJ443" s="680"/>
      <c r="AK443" s="563"/>
      <c r="AL443" s="563"/>
      <c r="AM443" s="563"/>
      <c r="AN443" s="563"/>
      <c r="AO443" s="563"/>
      <c r="AP443" s="46"/>
      <c r="AQ443" s="46"/>
      <c r="AR443" s="46"/>
      <c r="AS443" s="46"/>
      <c r="AT443" s="46"/>
      <c r="AU443" s="46"/>
      <c r="AV443" s="46"/>
      <c r="AW443" s="46"/>
      <c r="AX443" s="46"/>
      <c r="AY443" s="46"/>
      <c r="AZ443" s="563" t="str">
        <f ca="1">IFERROR(__xludf.DUMMYFUNCTION("""COMPUTED_VALUE"""),"Meera")</f>
        <v>Meera</v>
      </c>
      <c r="BA443" s="569"/>
      <c r="BB443" s="563"/>
      <c r="BC443" s="569"/>
      <c r="BD443" s="563"/>
      <c r="BE443" s="46"/>
      <c r="BF443" s="46"/>
      <c r="BG443" s="563"/>
      <c r="BH443" s="563"/>
      <c r="BI443" s="563"/>
      <c r="BJ443" s="563"/>
    </row>
    <row r="444" spans="2:62" x14ac:dyDescent="0.25">
      <c r="B444" s="569"/>
      <c r="C444" s="672"/>
      <c r="D444" s="563"/>
      <c r="E444" s="563"/>
      <c r="F444" s="569"/>
      <c r="G444" s="563"/>
      <c r="H444" s="563"/>
      <c r="I444" s="600"/>
      <c r="J444" s="569"/>
      <c r="K444" s="563"/>
      <c r="L444" s="563"/>
      <c r="M444" s="563"/>
      <c r="N444" s="563"/>
      <c r="O444" s="563"/>
      <c r="P444" s="563"/>
      <c r="Q444" s="563"/>
      <c r="R444" s="563"/>
      <c r="S444" s="563"/>
      <c r="T444" s="563"/>
      <c r="U444" s="563"/>
      <c r="V444" s="563"/>
      <c r="W444" s="563"/>
      <c r="X444" s="565"/>
      <c r="Y444" s="612"/>
      <c r="Z444" s="612"/>
      <c r="AA444" s="563"/>
      <c r="AB444" s="612"/>
      <c r="AC444" s="569"/>
      <c r="AD444" s="563"/>
      <c r="AE444" s="563"/>
      <c r="AF444" s="563"/>
      <c r="AG444" s="563"/>
      <c r="AH444" s="563"/>
      <c r="AI444" s="563"/>
      <c r="AJ444" s="680"/>
      <c r="AK444" s="563"/>
      <c r="AL444" s="563"/>
      <c r="AM444" s="563"/>
      <c r="AN444" s="563"/>
      <c r="AO444" s="563"/>
      <c r="AP444" s="46"/>
      <c r="AQ444" s="46"/>
      <c r="AR444" s="46"/>
      <c r="AS444" s="46"/>
      <c r="AT444" s="46"/>
      <c r="AU444" s="46"/>
      <c r="AV444" s="46"/>
      <c r="AW444" s="46"/>
      <c r="AX444" s="46"/>
      <c r="AY444" s="46"/>
      <c r="AZ444" s="563" t="str">
        <f ca="1">IFERROR(__xludf.DUMMYFUNCTION("""COMPUTED_VALUE"""),"Mighty Navigator")</f>
        <v>Mighty Navigator</v>
      </c>
      <c r="BA444" s="569"/>
      <c r="BB444" s="563"/>
      <c r="BC444" s="569"/>
      <c r="BD444" s="563"/>
      <c r="BE444" s="46"/>
      <c r="BF444" s="46"/>
      <c r="BG444" s="563"/>
      <c r="BH444" s="563"/>
      <c r="BI444" s="563"/>
      <c r="BJ444" s="563"/>
    </row>
    <row r="445" spans="2:62" x14ac:dyDescent="0.25">
      <c r="B445" s="569"/>
      <c r="C445" s="672"/>
      <c r="D445" s="563"/>
      <c r="E445" s="563"/>
      <c r="F445" s="569"/>
      <c r="G445" s="563"/>
      <c r="H445" s="563"/>
      <c r="I445" s="600"/>
      <c r="J445" s="569"/>
      <c r="K445" s="563"/>
      <c r="L445" s="563"/>
      <c r="M445" s="563"/>
      <c r="N445" s="563"/>
      <c r="O445" s="563"/>
      <c r="P445" s="563"/>
      <c r="Q445" s="563"/>
      <c r="R445" s="563"/>
      <c r="S445" s="563"/>
      <c r="T445" s="563"/>
      <c r="U445" s="563"/>
      <c r="V445" s="563"/>
      <c r="W445" s="563"/>
      <c r="X445" s="565"/>
      <c r="Y445" s="612"/>
      <c r="Z445" s="612"/>
      <c r="AA445" s="563"/>
      <c r="AB445" s="612"/>
      <c r="AC445" s="569"/>
      <c r="AD445" s="563"/>
      <c r="AE445" s="563"/>
      <c r="AF445" s="563"/>
      <c r="AG445" s="563"/>
      <c r="AH445" s="563"/>
      <c r="AI445" s="563"/>
      <c r="AJ445" s="680"/>
      <c r="AK445" s="563"/>
      <c r="AL445" s="563"/>
      <c r="AM445" s="563"/>
      <c r="AN445" s="563"/>
      <c r="AO445" s="563"/>
      <c r="AP445" s="46"/>
      <c r="AQ445" s="46"/>
      <c r="AR445" s="46"/>
      <c r="AS445" s="46"/>
      <c r="AT445" s="46"/>
      <c r="AU445" s="46"/>
      <c r="AV445" s="46"/>
      <c r="AW445" s="46"/>
      <c r="AX445" s="46"/>
      <c r="AY445" s="46"/>
      <c r="AZ445" s="563" t="str">
        <f ca="1">IFERROR(__xludf.DUMMYFUNCTION("""COMPUTED_VALUE"""),"Mile")</f>
        <v>Mile</v>
      </c>
      <c r="BA445" s="569"/>
      <c r="BB445" s="563"/>
      <c r="BC445" s="569"/>
      <c r="BD445" s="563"/>
      <c r="BE445" s="46"/>
      <c r="BF445" s="46"/>
      <c r="BG445" s="563"/>
      <c r="BH445" s="563"/>
      <c r="BI445" s="563"/>
      <c r="BJ445" s="563"/>
    </row>
    <row r="446" spans="2:62" x14ac:dyDescent="0.25">
      <c r="B446" s="569"/>
      <c r="C446" s="672"/>
      <c r="D446" s="563"/>
      <c r="E446" s="563"/>
      <c r="F446" s="569"/>
      <c r="G446" s="563"/>
      <c r="H446" s="563"/>
      <c r="I446" s="600"/>
      <c r="J446" s="569"/>
      <c r="K446" s="563"/>
      <c r="L446" s="563"/>
      <c r="M446" s="563"/>
      <c r="N446" s="563"/>
      <c r="O446" s="563"/>
      <c r="P446" s="563"/>
      <c r="Q446" s="563"/>
      <c r="R446" s="563"/>
      <c r="S446" s="563"/>
      <c r="T446" s="563"/>
      <c r="U446" s="563"/>
      <c r="V446" s="563"/>
      <c r="W446" s="563"/>
      <c r="X446" s="565"/>
      <c r="Y446" s="612"/>
      <c r="Z446" s="612"/>
      <c r="AA446" s="563"/>
      <c r="AB446" s="612"/>
      <c r="AC446" s="569"/>
      <c r="AD446" s="563"/>
      <c r="AE446" s="563"/>
      <c r="AF446" s="563"/>
      <c r="AG446" s="563"/>
      <c r="AH446" s="563"/>
      <c r="AI446" s="563"/>
      <c r="AJ446" s="680"/>
      <c r="AK446" s="563"/>
      <c r="AL446" s="563"/>
      <c r="AM446" s="563"/>
      <c r="AN446" s="563"/>
      <c r="AO446" s="563"/>
      <c r="AP446" s="46"/>
      <c r="AQ446" s="46"/>
      <c r="AR446" s="46"/>
      <c r="AS446" s="46"/>
      <c r="AT446" s="46"/>
      <c r="AU446" s="46"/>
      <c r="AV446" s="46"/>
      <c r="AW446" s="46"/>
      <c r="AX446" s="46"/>
      <c r="AY446" s="46"/>
      <c r="AZ446" s="563" t="str">
        <f ca="1">IFERROR(__xludf.DUMMYFUNCTION("""COMPUTED_VALUE"""),"Ming Long")</f>
        <v>Ming Long</v>
      </c>
      <c r="BA446" s="569"/>
      <c r="BB446" s="563"/>
      <c r="BC446" s="569"/>
      <c r="BD446" s="563"/>
      <c r="BE446" s="46"/>
      <c r="BF446" s="46"/>
      <c r="BG446" s="563"/>
      <c r="BH446" s="563"/>
      <c r="BI446" s="563"/>
      <c r="BJ446" s="563"/>
    </row>
    <row r="447" spans="2:62" x14ac:dyDescent="0.25">
      <c r="B447" s="569"/>
      <c r="C447" s="672"/>
      <c r="D447" s="563"/>
      <c r="E447" s="563"/>
      <c r="F447" s="569"/>
      <c r="G447" s="563"/>
      <c r="H447" s="563"/>
      <c r="I447" s="600"/>
      <c r="J447" s="569"/>
      <c r="K447" s="563"/>
      <c r="L447" s="563"/>
      <c r="M447" s="563"/>
      <c r="N447" s="563"/>
      <c r="O447" s="563"/>
      <c r="P447" s="563"/>
      <c r="Q447" s="563"/>
      <c r="R447" s="563"/>
      <c r="S447" s="563"/>
      <c r="T447" s="563"/>
      <c r="U447" s="563"/>
      <c r="V447" s="563"/>
      <c r="W447" s="563"/>
      <c r="X447" s="565"/>
      <c r="Y447" s="612"/>
      <c r="Z447" s="612"/>
      <c r="AA447" s="563"/>
      <c r="AB447" s="612"/>
      <c r="AC447" s="569"/>
      <c r="AD447" s="563"/>
      <c r="AE447" s="563"/>
      <c r="AF447" s="563"/>
      <c r="AG447" s="563"/>
      <c r="AH447" s="563"/>
      <c r="AI447" s="563"/>
      <c r="AJ447" s="680"/>
      <c r="AK447" s="563"/>
      <c r="AL447" s="563"/>
      <c r="AM447" s="563"/>
      <c r="AN447" s="563"/>
      <c r="AO447" s="563"/>
      <c r="AP447" s="46"/>
      <c r="AQ447" s="46"/>
      <c r="AR447" s="46"/>
      <c r="AS447" s="46"/>
      <c r="AT447" s="46"/>
      <c r="AU447" s="46"/>
      <c r="AV447" s="46"/>
      <c r="AW447" s="46"/>
      <c r="AX447" s="46"/>
      <c r="AY447" s="46"/>
      <c r="AZ447" s="563" t="str">
        <f ca="1">IFERROR(__xludf.DUMMYFUNCTION("""COMPUTED_VALUE"""),"Miura")</f>
        <v>Miura</v>
      </c>
      <c r="BA447" s="569"/>
      <c r="BB447" s="563"/>
      <c r="BC447" s="569"/>
      <c r="BD447" s="563"/>
      <c r="BE447" s="46"/>
      <c r="BF447" s="46"/>
      <c r="BG447" s="563"/>
      <c r="BH447" s="563"/>
      <c r="BI447" s="563"/>
      <c r="BJ447" s="563"/>
    </row>
    <row r="448" spans="2:62" x14ac:dyDescent="0.25">
      <c r="B448" s="569"/>
      <c r="C448" s="672"/>
      <c r="D448" s="563"/>
      <c r="E448" s="563"/>
      <c r="F448" s="569"/>
      <c r="G448" s="563"/>
      <c r="H448" s="563"/>
      <c r="I448" s="600"/>
      <c r="J448" s="569"/>
      <c r="K448" s="563"/>
      <c r="L448" s="563"/>
      <c r="M448" s="563"/>
      <c r="N448" s="563"/>
      <c r="O448" s="563"/>
      <c r="P448" s="563"/>
      <c r="Q448" s="563"/>
      <c r="R448" s="563"/>
      <c r="S448" s="563"/>
      <c r="T448" s="563"/>
      <c r="U448" s="563"/>
      <c r="V448" s="563"/>
      <c r="W448" s="563"/>
      <c r="X448" s="565"/>
      <c r="Y448" s="612"/>
      <c r="Z448" s="612"/>
      <c r="AA448" s="563"/>
      <c r="AB448" s="612"/>
      <c r="AC448" s="569"/>
      <c r="AD448" s="563"/>
      <c r="AE448" s="563"/>
      <c r="AF448" s="563"/>
      <c r="AG448" s="563"/>
      <c r="AH448" s="563"/>
      <c r="AI448" s="563"/>
      <c r="AJ448" s="680"/>
      <c r="AK448" s="563"/>
      <c r="AL448" s="563"/>
      <c r="AM448" s="563"/>
      <c r="AN448" s="563"/>
      <c r="AO448" s="563"/>
      <c r="AP448" s="46"/>
      <c r="AQ448" s="46"/>
      <c r="AR448" s="46"/>
      <c r="AS448" s="46"/>
      <c r="AT448" s="46"/>
      <c r="AU448" s="46"/>
      <c r="AV448" s="46"/>
      <c r="AW448" s="46"/>
      <c r="AX448" s="46"/>
      <c r="AY448" s="46"/>
      <c r="AZ448" s="563" t="str">
        <f ca="1">IFERROR(__xludf.DUMMYFUNCTION("""COMPUTED_VALUE"""),"Myra Gas")</f>
        <v>Myra Gas</v>
      </c>
      <c r="BA448" s="569"/>
      <c r="BB448" s="563"/>
      <c r="BC448" s="569"/>
      <c r="BD448" s="563"/>
      <c r="BE448" s="46"/>
      <c r="BF448" s="46"/>
      <c r="BG448" s="563"/>
      <c r="BH448" s="563"/>
      <c r="BI448" s="563"/>
      <c r="BJ448" s="563"/>
    </row>
    <row r="449" spans="2:62" x14ac:dyDescent="0.25">
      <c r="B449" s="569"/>
      <c r="C449" s="672"/>
      <c r="D449" s="563"/>
      <c r="E449" s="563"/>
      <c r="F449" s="569"/>
      <c r="G449" s="563"/>
      <c r="H449" s="563"/>
      <c r="I449" s="600"/>
      <c r="J449" s="569"/>
      <c r="K449" s="563"/>
      <c r="L449" s="563"/>
      <c r="M449" s="563"/>
      <c r="N449" s="563"/>
      <c r="O449" s="563"/>
      <c r="P449" s="563"/>
      <c r="Q449" s="563"/>
      <c r="R449" s="563"/>
      <c r="S449" s="563"/>
      <c r="T449" s="563"/>
      <c r="U449" s="563"/>
      <c r="V449" s="563"/>
      <c r="W449" s="563"/>
      <c r="X449" s="565"/>
      <c r="Y449" s="612"/>
      <c r="Z449" s="612"/>
      <c r="AA449" s="563"/>
      <c r="AB449" s="612"/>
      <c r="AC449" s="569"/>
      <c r="AD449" s="563"/>
      <c r="AE449" s="563"/>
      <c r="AF449" s="563"/>
      <c r="AG449" s="563"/>
      <c r="AH449" s="563"/>
      <c r="AI449" s="563"/>
      <c r="AJ449" s="680"/>
      <c r="AK449" s="563"/>
      <c r="AL449" s="563"/>
      <c r="AM449" s="563"/>
      <c r="AN449" s="563"/>
      <c r="AO449" s="563"/>
      <c r="AP449" s="46"/>
      <c r="AQ449" s="46"/>
      <c r="AR449" s="46"/>
      <c r="AS449" s="46"/>
      <c r="AT449" s="46"/>
      <c r="AU449" s="46"/>
      <c r="AV449" s="46"/>
      <c r="AW449" s="46"/>
      <c r="AX449" s="46"/>
      <c r="AY449" s="46"/>
      <c r="AZ449" s="563" t="str">
        <f ca="1">IFERROR(__xludf.DUMMYFUNCTION("""COMPUTED_VALUE"""),"Nanda Devi")</f>
        <v>Nanda Devi</v>
      </c>
      <c r="BA449" s="569"/>
      <c r="BB449" s="563"/>
      <c r="BC449" s="569"/>
      <c r="BD449" s="563"/>
      <c r="BE449" s="46"/>
      <c r="BF449" s="46"/>
      <c r="BG449" s="563"/>
      <c r="BH449" s="563"/>
      <c r="BI449" s="563"/>
      <c r="BJ449" s="563"/>
    </row>
    <row r="450" spans="2:62" x14ac:dyDescent="0.25">
      <c r="B450" s="569"/>
      <c r="C450" s="672"/>
      <c r="D450" s="563"/>
      <c r="E450" s="563"/>
      <c r="F450" s="569"/>
      <c r="G450" s="563"/>
      <c r="H450" s="563"/>
      <c r="I450" s="600"/>
      <c r="J450" s="569"/>
      <c r="K450" s="563"/>
      <c r="L450" s="563"/>
      <c r="M450" s="563"/>
      <c r="N450" s="563"/>
      <c r="O450" s="563"/>
      <c r="P450" s="563"/>
      <c r="Q450" s="563"/>
      <c r="R450" s="563"/>
      <c r="S450" s="563"/>
      <c r="T450" s="563"/>
      <c r="U450" s="563"/>
      <c r="V450" s="563"/>
      <c r="W450" s="563"/>
      <c r="X450" s="565"/>
      <c r="Y450" s="612"/>
      <c r="Z450" s="612"/>
      <c r="AA450" s="563"/>
      <c r="AB450" s="612"/>
      <c r="AC450" s="569"/>
      <c r="AD450" s="563"/>
      <c r="AE450" s="563"/>
      <c r="AF450" s="563"/>
      <c r="AG450" s="563"/>
      <c r="AH450" s="563"/>
      <c r="AI450" s="563"/>
      <c r="AJ450" s="680"/>
      <c r="AK450" s="563"/>
      <c r="AL450" s="563"/>
      <c r="AM450" s="563"/>
      <c r="AN450" s="563"/>
      <c r="AO450" s="563"/>
      <c r="AP450" s="46"/>
      <c r="AQ450" s="46"/>
      <c r="AR450" s="46"/>
      <c r="AS450" s="46"/>
      <c r="AT450" s="46"/>
      <c r="AU450" s="46"/>
      <c r="AV450" s="46"/>
      <c r="AW450" s="46"/>
      <c r="AX450" s="46"/>
      <c r="AY450" s="46"/>
      <c r="AZ450" s="563" t="str">
        <f ca="1">IFERROR(__xludf.DUMMYFUNCTION("""COMPUTED_VALUE"""),"Navixon")</f>
        <v>Navixon</v>
      </c>
      <c r="BA450" s="569"/>
      <c r="BB450" s="563"/>
      <c r="BC450" s="569"/>
      <c r="BD450" s="563"/>
      <c r="BE450" s="46"/>
      <c r="BF450" s="46"/>
      <c r="BG450" s="563"/>
      <c r="BH450" s="563"/>
      <c r="BI450" s="563"/>
      <c r="BJ450" s="563"/>
    </row>
    <row r="451" spans="2:62" x14ac:dyDescent="0.25">
      <c r="B451" s="569"/>
      <c r="C451" s="672"/>
      <c r="D451" s="563"/>
      <c r="E451" s="563"/>
      <c r="F451" s="569"/>
      <c r="G451" s="563"/>
      <c r="H451" s="563"/>
      <c r="I451" s="600"/>
      <c r="J451" s="569"/>
      <c r="K451" s="563"/>
      <c r="L451" s="563"/>
      <c r="M451" s="563"/>
      <c r="N451" s="563"/>
      <c r="O451" s="563"/>
      <c r="P451" s="563"/>
      <c r="Q451" s="563"/>
      <c r="R451" s="563"/>
      <c r="S451" s="563"/>
      <c r="T451" s="563"/>
      <c r="U451" s="563"/>
      <c r="V451" s="563"/>
      <c r="W451" s="563"/>
      <c r="X451" s="565"/>
      <c r="Y451" s="612"/>
      <c r="Z451" s="612"/>
      <c r="AA451" s="563"/>
      <c r="AB451" s="612"/>
      <c r="AC451" s="569"/>
      <c r="AD451" s="563"/>
      <c r="AE451" s="563"/>
      <c r="AF451" s="563"/>
      <c r="AG451" s="563"/>
      <c r="AH451" s="563"/>
      <c r="AI451" s="563"/>
      <c r="AJ451" s="680"/>
      <c r="AK451" s="563"/>
      <c r="AL451" s="563"/>
      <c r="AM451" s="563"/>
      <c r="AN451" s="563"/>
      <c r="AO451" s="563"/>
      <c r="AP451" s="46"/>
      <c r="AQ451" s="46"/>
      <c r="AR451" s="46"/>
      <c r="AS451" s="46"/>
      <c r="AT451" s="46"/>
      <c r="AU451" s="46"/>
      <c r="AV451" s="46"/>
      <c r="AW451" s="46"/>
      <c r="AX451" s="46"/>
      <c r="AY451" s="46"/>
      <c r="AZ451" s="563" t="str">
        <f ca="1">IFERROR(__xludf.DUMMYFUNCTION("""COMPUTED_VALUE"""),"Ocean Radiance")</f>
        <v>Ocean Radiance</v>
      </c>
      <c r="BA451" s="569"/>
      <c r="BB451" s="563"/>
      <c r="BC451" s="569"/>
      <c r="BD451" s="563"/>
      <c r="BE451" s="46"/>
      <c r="BF451" s="46"/>
      <c r="BG451" s="563"/>
      <c r="BH451" s="563"/>
      <c r="BI451" s="563"/>
      <c r="BJ451" s="563"/>
    </row>
    <row r="452" spans="2:62" x14ac:dyDescent="0.25">
      <c r="B452" s="569"/>
      <c r="C452" s="672"/>
      <c r="D452" s="563"/>
      <c r="E452" s="563"/>
      <c r="F452" s="569"/>
      <c r="G452" s="563"/>
      <c r="H452" s="563"/>
      <c r="I452" s="600"/>
      <c r="J452" s="569"/>
      <c r="K452" s="563"/>
      <c r="L452" s="563"/>
      <c r="M452" s="563"/>
      <c r="N452" s="563"/>
      <c r="O452" s="563"/>
      <c r="P452" s="563"/>
      <c r="Q452" s="563"/>
      <c r="R452" s="563"/>
      <c r="S452" s="563"/>
      <c r="T452" s="563"/>
      <c r="U452" s="563"/>
      <c r="V452" s="563"/>
      <c r="W452" s="563"/>
      <c r="X452" s="565"/>
      <c r="Y452" s="612"/>
      <c r="Z452" s="612"/>
      <c r="AA452" s="563"/>
      <c r="AB452" s="612"/>
      <c r="AC452" s="569"/>
      <c r="AD452" s="563"/>
      <c r="AE452" s="563"/>
      <c r="AF452" s="563"/>
      <c r="AG452" s="563"/>
      <c r="AH452" s="563"/>
      <c r="AI452" s="563"/>
      <c r="AJ452" s="680"/>
      <c r="AK452" s="563"/>
      <c r="AL452" s="563"/>
      <c r="AM452" s="563"/>
      <c r="AN452" s="563"/>
      <c r="AO452" s="563"/>
      <c r="AP452" s="46"/>
      <c r="AQ452" s="46"/>
      <c r="AR452" s="46"/>
      <c r="AS452" s="46"/>
      <c r="AT452" s="46"/>
      <c r="AU452" s="46"/>
      <c r="AV452" s="46"/>
      <c r="AW452" s="46"/>
      <c r="AX452" s="46"/>
      <c r="AY452" s="46"/>
      <c r="AZ452" s="563" t="str">
        <f ca="1">IFERROR(__xludf.DUMMYFUNCTION("""COMPUTED_VALUE"""),"Orchid Cove")</f>
        <v>Orchid Cove</v>
      </c>
      <c r="BA452" s="569"/>
      <c r="BB452" s="563"/>
      <c r="BC452" s="569"/>
      <c r="BD452" s="563"/>
      <c r="BE452" s="46"/>
      <c r="BF452" s="46"/>
      <c r="BG452" s="563"/>
      <c r="BH452" s="563"/>
      <c r="BI452" s="563"/>
      <c r="BJ452" s="563"/>
    </row>
    <row r="453" spans="2:62" x14ac:dyDescent="0.25">
      <c r="B453" s="569"/>
      <c r="C453" s="672"/>
      <c r="D453" s="563"/>
      <c r="E453" s="563"/>
      <c r="F453" s="569"/>
      <c r="G453" s="563"/>
      <c r="H453" s="563"/>
      <c r="I453" s="600"/>
      <c r="J453" s="569"/>
      <c r="K453" s="563"/>
      <c r="L453" s="563"/>
      <c r="M453" s="563"/>
      <c r="N453" s="563"/>
      <c r="O453" s="563"/>
      <c r="P453" s="563"/>
      <c r="Q453" s="563"/>
      <c r="R453" s="563"/>
      <c r="S453" s="563"/>
      <c r="T453" s="563"/>
      <c r="U453" s="563"/>
      <c r="V453" s="563"/>
      <c r="W453" s="563"/>
      <c r="X453" s="565"/>
      <c r="Y453" s="612"/>
      <c r="Z453" s="612"/>
      <c r="AA453" s="563"/>
      <c r="AB453" s="612"/>
      <c r="AC453" s="569"/>
      <c r="AD453" s="563"/>
      <c r="AE453" s="563"/>
      <c r="AF453" s="563"/>
      <c r="AG453" s="563"/>
      <c r="AH453" s="563"/>
      <c r="AI453" s="563"/>
      <c r="AJ453" s="680"/>
      <c r="AK453" s="563"/>
      <c r="AL453" s="563"/>
      <c r="AM453" s="563"/>
      <c r="AN453" s="563"/>
      <c r="AO453" s="563"/>
      <c r="AP453" s="46"/>
      <c r="AQ453" s="46"/>
      <c r="AR453" s="46"/>
      <c r="AS453" s="46"/>
      <c r="AT453" s="46"/>
      <c r="AU453" s="46"/>
      <c r="AV453" s="46"/>
      <c r="AW453" s="46"/>
      <c r="AX453" s="46"/>
      <c r="AY453" s="46"/>
      <c r="AZ453" s="563" t="str">
        <f ca="1">IFERROR(__xludf.DUMMYFUNCTION("""COMPUTED_VALUE"""),"Orlando 1")</f>
        <v>Orlando 1</v>
      </c>
      <c r="BA453" s="569"/>
      <c r="BB453" s="563"/>
      <c r="BC453" s="569"/>
      <c r="BD453" s="563"/>
      <c r="BE453" s="46"/>
      <c r="BF453" s="46"/>
      <c r="BG453" s="563"/>
      <c r="BH453" s="563"/>
      <c r="BI453" s="563"/>
      <c r="BJ453" s="563"/>
    </row>
    <row r="454" spans="2:62" x14ac:dyDescent="0.25">
      <c r="B454" s="569"/>
      <c r="C454" s="672"/>
      <c r="D454" s="563"/>
      <c r="E454" s="563"/>
      <c r="F454" s="569"/>
      <c r="G454" s="563"/>
      <c r="H454" s="563"/>
      <c r="I454" s="600"/>
      <c r="J454" s="569"/>
      <c r="K454" s="563"/>
      <c r="L454" s="563"/>
      <c r="M454" s="563"/>
      <c r="N454" s="563"/>
      <c r="O454" s="563"/>
      <c r="P454" s="563"/>
      <c r="Q454" s="563"/>
      <c r="R454" s="563"/>
      <c r="S454" s="563"/>
      <c r="T454" s="563"/>
      <c r="U454" s="563"/>
      <c r="V454" s="563"/>
      <c r="W454" s="563"/>
      <c r="X454" s="565"/>
      <c r="Y454" s="612"/>
      <c r="Z454" s="612"/>
      <c r="AA454" s="563"/>
      <c r="AB454" s="612"/>
      <c r="AC454" s="569"/>
      <c r="AD454" s="563"/>
      <c r="AE454" s="563"/>
      <c r="AF454" s="563"/>
      <c r="AG454" s="563"/>
      <c r="AH454" s="563"/>
      <c r="AI454" s="563"/>
      <c r="AJ454" s="680"/>
      <c r="AK454" s="563"/>
      <c r="AL454" s="563"/>
      <c r="AM454" s="563"/>
      <c r="AN454" s="563"/>
      <c r="AO454" s="563"/>
      <c r="AP454" s="46"/>
      <c r="AQ454" s="46"/>
      <c r="AR454" s="46"/>
      <c r="AS454" s="46"/>
      <c r="AT454" s="46"/>
      <c r="AU454" s="46"/>
      <c r="AV454" s="46"/>
      <c r="AW454" s="46"/>
      <c r="AX454" s="46"/>
      <c r="AY454" s="46"/>
      <c r="AZ454" s="563" t="str">
        <f ca="1">IFERROR(__xludf.DUMMYFUNCTION("""COMPUTED_VALUE"""),"Pawan Putra")</f>
        <v>Pawan Putra</v>
      </c>
      <c r="BA454" s="569"/>
      <c r="BB454" s="563"/>
      <c r="BC454" s="569"/>
      <c r="BD454" s="563"/>
      <c r="BE454" s="46"/>
      <c r="BF454" s="46"/>
      <c r="BG454" s="563"/>
      <c r="BH454" s="563"/>
      <c r="BI454" s="563"/>
      <c r="BJ454" s="563"/>
    </row>
    <row r="455" spans="2:62" x14ac:dyDescent="0.25">
      <c r="B455" s="569"/>
      <c r="C455" s="672"/>
      <c r="D455" s="563"/>
      <c r="E455" s="563"/>
      <c r="F455" s="569"/>
      <c r="G455" s="563"/>
      <c r="H455" s="563"/>
      <c r="I455" s="600"/>
      <c r="J455" s="569"/>
      <c r="K455" s="563"/>
      <c r="L455" s="563"/>
      <c r="M455" s="563"/>
      <c r="N455" s="563"/>
      <c r="O455" s="563"/>
      <c r="P455" s="563"/>
      <c r="Q455" s="563"/>
      <c r="R455" s="563"/>
      <c r="S455" s="563"/>
      <c r="T455" s="563"/>
      <c r="U455" s="563"/>
      <c r="V455" s="563"/>
      <c r="W455" s="563"/>
      <c r="X455" s="565"/>
      <c r="Y455" s="612"/>
      <c r="Z455" s="612"/>
      <c r="AA455" s="563"/>
      <c r="AB455" s="612"/>
      <c r="AC455" s="569"/>
      <c r="AD455" s="563"/>
      <c r="AE455" s="563"/>
      <c r="AF455" s="563"/>
      <c r="AG455" s="563"/>
      <c r="AH455" s="563"/>
      <c r="AI455" s="563"/>
      <c r="AJ455" s="680"/>
      <c r="AK455" s="563"/>
      <c r="AL455" s="563"/>
      <c r="AM455" s="563"/>
      <c r="AN455" s="563"/>
      <c r="AO455" s="563"/>
      <c r="AP455" s="46"/>
      <c r="AQ455" s="46"/>
      <c r="AR455" s="46"/>
      <c r="AS455" s="46"/>
      <c r="AT455" s="46"/>
      <c r="AU455" s="46"/>
      <c r="AV455" s="46"/>
      <c r="AW455" s="46"/>
      <c r="AX455" s="46"/>
      <c r="AY455" s="46"/>
      <c r="AZ455" s="563" t="str">
        <f ca="1">IFERROR(__xludf.DUMMYFUNCTION("""COMPUTED_VALUE"""),"Pinar Gas")</f>
        <v>Pinar Gas</v>
      </c>
      <c r="BA455" s="569"/>
      <c r="BB455" s="563"/>
      <c r="BC455" s="569"/>
      <c r="BD455" s="563"/>
      <c r="BE455" s="46"/>
      <c r="BF455" s="46"/>
      <c r="BG455" s="563"/>
      <c r="BH455" s="563"/>
      <c r="BI455" s="563"/>
      <c r="BJ455" s="563"/>
    </row>
    <row r="456" spans="2:62" x14ac:dyDescent="0.25">
      <c r="B456" s="569"/>
      <c r="C456" s="672"/>
      <c r="D456" s="563"/>
      <c r="E456" s="563"/>
      <c r="F456" s="569"/>
      <c r="G456" s="563"/>
      <c r="H456" s="563"/>
      <c r="I456" s="600"/>
      <c r="J456" s="569"/>
      <c r="K456" s="563"/>
      <c r="L456" s="563"/>
      <c r="M456" s="563"/>
      <c r="N456" s="563"/>
      <c r="O456" s="563"/>
      <c r="P456" s="563"/>
      <c r="Q456" s="563"/>
      <c r="R456" s="563"/>
      <c r="S456" s="563"/>
      <c r="T456" s="563"/>
      <c r="U456" s="563"/>
      <c r="V456" s="563"/>
      <c r="W456" s="563"/>
      <c r="X456" s="565"/>
      <c r="Y456" s="612"/>
      <c r="Z456" s="612"/>
      <c r="AA456" s="563"/>
      <c r="AB456" s="612"/>
      <c r="AC456" s="569"/>
      <c r="AD456" s="563"/>
      <c r="AE456" s="563"/>
      <c r="AF456" s="563"/>
      <c r="AG456" s="563"/>
      <c r="AH456" s="563"/>
      <c r="AI456" s="563"/>
      <c r="AJ456" s="680"/>
      <c r="AK456" s="563"/>
      <c r="AL456" s="563"/>
      <c r="AM456" s="563"/>
      <c r="AN456" s="563"/>
      <c r="AO456" s="563"/>
      <c r="AP456" s="46"/>
      <c r="AQ456" s="46"/>
      <c r="AR456" s="46"/>
      <c r="AS456" s="46"/>
      <c r="AT456" s="46"/>
      <c r="AU456" s="46"/>
      <c r="AV456" s="46"/>
      <c r="AW456" s="46"/>
      <c r="AX456" s="46"/>
      <c r="AY456" s="46"/>
      <c r="AZ456" s="563" t="str">
        <f ca="1">IFERROR(__xludf.DUMMYFUNCTION("""COMPUTED_VALUE"""),"Pine Gas")</f>
        <v>Pine Gas</v>
      </c>
      <c r="BA456" s="569"/>
      <c r="BB456" s="563"/>
      <c r="BC456" s="569"/>
      <c r="BD456" s="563"/>
      <c r="BE456" s="46"/>
      <c r="BF456" s="46"/>
      <c r="BG456" s="563"/>
      <c r="BH456" s="563"/>
      <c r="BI456" s="563"/>
      <c r="BJ456" s="563"/>
    </row>
    <row r="457" spans="2:62" x14ac:dyDescent="0.25">
      <c r="B457" s="569"/>
      <c r="C457" s="672"/>
      <c r="D457" s="563"/>
      <c r="E457" s="563"/>
      <c r="F457" s="569"/>
      <c r="G457" s="563"/>
      <c r="H457" s="563"/>
      <c r="I457" s="600"/>
      <c r="J457" s="569"/>
      <c r="K457" s="563"/>
      <c r="L457" s="563"/>
      <c r="M457" s="563"/>
      <c r="N457" s="563"/>
      <c r="O457" s="563"/>
      <c r="P457" s="563"/>
      <c r="Q457" s="563"/>
      <c r="R457" s="563"/>
      <c r="S457" s="563"/>
      <c r="T457" s="563"/>
      <c r="U457" s="563"/>
      <c r="V457" s="563"/>
      <c r="W457" s="563"/>
      <c r="X457" s="565"/>
      <c r="Y457" s="612"/>
      <c r="Z457" s="612"/>
      <c r="AA457" s="563"/>
      <c r="AB457" s="612"/>
      <c r="AC457" s="569"/>
      <c r="AD457" s="563"/>
      <c r="AE457" s="563"/>
      <c r="AF457" s="563"/>
      <c r="AG457" s="563"/>
      <c r="AH457" s="563"/>
      <c r="AI457" s="563"/>
      <c r="AJ457" s="680"/>
      <c r="AK457" s="563"/>
      <c r="AL457" s="563"/>
      <c r="AM457" s="563"/>
      <c r="AN457" s="563"/>
      <c r="AO457" s="563"/>
      <c r="AP457" s="46"/>
      <c r="AQ457" s="46"/>
      <c r="AR457" s="46"/>
      <c r="AS457" s="46"/>
      <c r="AT457" s="46"/>
      <c r="AU457" s="46"/>
      <c r="AV457" s="46"/>
      <c r="AW457" s="46"/>
      <c r="AX457" s="46"/>
      <c r="AY457" s="46"/>
      <c r="AZ457" s="563" t="str">
        <f ca="1">IFERROR(__xludf.DUMMYFUNCTION("""COMPUTED_VALUE"""),"Pyra")</f>
        <v>Pyra</v>
      </c>
      <c r="BA457" s="569"/>
      <c r="BB457" s="563"/>
      <c r="BC457" s="569"/>
      <c r="BD457" s="563"/>
      <c r="BE457" s="46"/>
      <c r="BF457" s="46"/>
      <c r="BG457" s="563"/>
      <c r="BH457" s="563"/>
      <c r="BI457" s="563"/>
      <c r="BJ457" s="563"/>
    </row>
    <row r="458" spans="2:62" x14ac:dyDescent="0.25">
      <c r="B458" s="569"/>
      <c r="C458" s="672"/>
      <c r="D458" s="563"/>
      <c r="E458" s="563"/>
      <c r="F458" s="569"/>
      <c r="G458" s="563"/>
      <c r="H458" s="563"/>
      <c r="I458" s="600"/>
      <c r="J458" s="569"/>
      <c r="K458" s="563"/>
      <c r="L458" s="563"/>
      <c r="M458" s="563"/>
      <c r="N458" s="563"/>
      <c r="O458" s="563"/>
      <c r="P458" s="563"/>
      <c r="Q458" s="563"/>
      <c r="R458" s="563"/>
      <c r="S458" s="563"/>
      <c r="T458" s="563"/>
      <c r="U458" s="563"/>
      <c r="V458" s="563"/>
      <c r="W458" s="563"/>
      <c r="X458" s="565"/>
      <c r="Y458" s="612"/>
      <c r="Z458" s="612"/>
      <c r="AA458" s="563"/>
      <c r="AB458" s="612"/>
      <c r="AC458" s="569"/>
      <c r="AD458" s="563"/>
      <c r="AE458" s="563"/>
      <c r="AF458" s="563"/>
      <c r="AG458" s="563"/>
      <c r="AH458" s="563"/>
      <c r="AI458" s="563"/>
      <c r="AJ458" s="680"/>
      <c r="AK458" s="563"/>
      <c r="AL458" s="563"/>
      <c r="AM458" s="563"/>
      <c r="AN458" s="563"/>
      <c r="AO458" s="563"/>
      <c r="AP458" s="46"/>
      <c r="AQ458" s="46"/>
      <c r="AR458" s="46"/>
      <c r="AS458" s="46"/>
      <c r="AT458" s="46"/>
      <c r="AU458" s="46"/>
      <c r="AV458" s="46"/>
      <c r="AW458" s="46"/>
      <c r="AX458" s="46"/>
      <c r="AY458" s="46"/>
      <c r="AZ458" s="563" t="str">
        <f ca="1">IFERROR(__xludf.DUMMYFUNCTION("""COMPUTED_VALUE"""),"Quantum Star")</f>
        <v>Quantum Star</v>
      </c>
      <c r="BA458" s="569"/>
      <c r="BB458" s="563"/>
      <c r="BC458" s="569"/>
      <c r="BD458" s="563"/>
      <c r="BE458" s="46"/>
      <c r="BF458" s="46"/>
      <c r="BG458" s="563"/>
      <c r="BH458" s="563"/>
      <c r="BI458" s="563"/>
      <c r="BJ458" s="563"/>
    </row>
    <row r="459" spans="2:62" x14ac:dyDescent="0.25">
      <c r="B459" s="569"/>
      <c r="C459" s="672"/>
      <c r="D459" s="563"/>
      <c r="E459" s="563"/>
      <c r="F459" s="569"/>
      <c r="G459" s="563"/>
      <c r="H459" s="563"/>
      <c r="I459" s="600"/>
      <c r="J459" s="569"/>
      <c r="K459" s="563"/>
      <c r="L459" s="563"/>
      <c r="M459" s="563"/>
      <c r="N459" s="563"/>
      <c r="O459" s="563"/>
      <c r="P459" s="563"/>
      <c r="Q459" s="563"/>
      <c r="R459" s="563"/>
      <c r="S459" s="563"/>
      <c r="T459" s="563"/>
      <c r="U459" s="563"/>
      <c r="V459" s="563"/>
      <c r="W459" s="563"/>
      <c r="X459" s="565"/>
      <c r="Y459" s="612"/>
      <c r="Z459" s="612"/>
      <c r="AA459" s="563"/>
      <c r="AB459" s="612"/>
      <c r="AC459" s="569"/>
      <c r="AD459" s="563"/>
      <c r="AE459" s="563"/>
      <c r="AF459" s="563"/>
      <c r="AG459" s="563"/>
      <c r="AH459" s="563"/>
      <c r="AI459" s="563"/>
      <c r="AJ459" s="680"/>
      <c r="AK459" s="563"/>
      <c r="AL459" s="563"/>
      <c r="AM459" s="563"/>
      <c r="AN459" s="563"/>
      <c r="AO459" s="563"/>
      <c r="AP459" s="46"/>
      <c r="AQ459" s="46"/>
      <c r="AR459" s="46"/>
      <c r="AS459" s="46"/>
      <c r="AT459" s="46"/>
      <c r="AU459" s="46"/>
      <c r="AV459" s="46"/>
      <c r="AW459" s="46"/>
      <c r="AX459" s="46"/>
      <c r="AY459" s="46"/>
      <c r="AZ459" s="563" t="str">
        <f ca="1">IFERROR(__xludf.DUMMYFUNCTION("""COMPUTED_VALUE"""),"Raine")</f>
        <v>Raine</v>
      </c>
      <c r="BA459" s="569"/>
      <c r="BB459" s="563"/>
      <c r="BC459" s="569"/>
      <c r="BD459" s="563"/>
      <c r="BE459" s="46"/>
      <c r="BF459" s="46"/>
      <c r="BG459" s="563"/>
      <c r="BH459" s="563"/>
      <c r="BI459" s="563"/>
      <c r="BJ459" s="563"/>
    </row>
    <row r="460" spans="2:62" x14ac:dyDescent="0.25">
      <c r="B460" s="569"/>
      <c r="C460" s="672"/>
      <c r="D460" s="563"/>
      <c r="E460" s="563"/>
      <c r="F460" s="569"/>
      <c r="G460" s="563"/>
      <c r="H460" s="563"/>
      <c r="I460" s="600"/>
      <c r="J460" s="569"/>
      <c r="K460" s="563"/>
      <c r="L460" s="563"/>
      <c r="M460" s="563"/>
      <c r="N460" s="563"/>
      <c r="O460" s="563"/>
      <c r="P460" s="563"/>
      <c r="Q460" s="563"/>
      <c r="R460" s="563"/>
      <c r="S460" s="563"/>
      <c r="T460" s="563"/>
      <c r="U460" s="563"/>
      <c r="V460" s="563"/>
      <c r="W460" s="563"/>
      <c r="X460" s="565"/>
      <c r="Y460" s="612"/>
      <c r="Z460" s="612"/>
      <c r="AA460" s="563"/>
      <c r="AB460" s="612"/>
      <c r="AC460" s="569"/>
      <c r="AD460" s="563"/>
      <c r="AE460" s="563"/>
      <c r="AF460" s="563"/>
      <c r="AG460" s="563"/>
      <c r="AH460" s="563"/>
      <c r="AI460" s="563"/>
      <c r="AJ460" s="680"/>
      <c r="AK460" s="563"/>
      <c r="AL460" s="563"/>
      <c r="AM460" s="563"/>
      <c r="AN460" s="563"/>
      <c r="AO460" s="563"/>
      <c r="AP460" s="46"/>
      <c r="AQ460" s="46"/>
      <c r="AR460" s="46"/>
      <c r="AS460" s="46"/>
      <c r="AT460" s="46"/>
      <c r="AU460" s="46"/>
      <c r="AV460" s="46"/>
      <c r="AW460" s="46"/>
      <c r="AX460" s="46"/>
      <c r="AY460" s="46"/>
      <c r="AZ460" s="563" t="str">
        <f ca="1">IFERROR(__xludf.DUMMYFUNCTION("""COMPUTED_VALUE"""),"Reimei")</f>
        <v>Reimei</v>
      </c>
      <c r="BA460" s="569"/>
      <c r="BB460" s="563"/>
      <c r="BC460" s="569"/>
      <c r="BD460" s="563"/>
      <c r="BE460" s="46"/>
      <c r="BF460" s="46"/>
      <c r="BG460" s="563"/>
      <c r="BH460" s="563"/>
      <c r="BI460" s="563"/>
      <c r="BJ460" s="563"/>
    </row>
    <row r="461" spans="2:62" x14ac:dyDescent="0.25">
      <c r="B461" s="569"/>
      <c r="C461" s="672"/>
      <c r="D461" s="563"/>
      <c r="E461" s="563"/>
      <c r="F461" s="569"/>
      <c r="G461" s="563"/>
      <c r="H461" s="563"/>
      <c r="I461" s="600"/>
      <c r="J461" s="569"/>
      <c r="K461" s="563"/>
      <c r="L461" s="563"/>
      <c r="M461" s="563"/>
      <c r="N461" s="563"/>
      <c r="O461" s="563"/>
      <c r="P461" s="563"/>
      <c r="Q461" s="563"/>
      <c r="R461" s="563"/>
      <c r="S461" s="563"/>
      <c r="T461" s="563"/>
      <c r="U461" s="563"/>
      <c r="V461" s="563"/>
      <c r="W461" s="563"/>
      <c r="X461" s="565"/>
      <c r="Y461" s="612"/>
      <c r="Z461" s="612"/>
      <c r="AA461" s="563"/>
      <c r="AB461" s="612"/>
      <c r="AC461" s="569"/>
      <c r="AD461" s="563"/>
      <c r="AE461" s="563"/>
      <c r="AF461" s="563"/>
      <c r="AG461" s="563"/>
      <c r="AH461" s="563"/>
      <c r="AI461" s="563"/>
      <c r="AJ461" s="680"/>
      <c r="AK461" s="563"/>
      <c r="AL461" s="563"/>
      <c r="AM461" s="563"/>
      <c r="AN461" s="563"/>
      <c r="AO461" s="563"/>
      <c r="AP461" s="46"/>
      <c r="AQ461" s="46"/>
      <c r="AR461" s="46"/>
      <c r="AS461" s="46"/>
      <c r="AT461" s="46"/>
      <c r="AU461" s="46"/>
      <c r="AV461" s="46"/>
      <c r="AW461" s="46"/>
      <c r="AX461" s="46"/>
      <c r="AY461" s="46"/>
      <c r="AZ461" s="563" t="str">
        <f ca="1">IFERROR(__xludf.DUMMYFUNCTION("""COMPUTED_VALUE"""),"Rong Hao")</f>
        <v>Rong Hao</v>
      </c>
      <c r="BA461" s="569"/>
      <c r="BB461" s="563"/>
      <c r="BC461" s="569"/>
      <c r="BD461" s="563"/>
      <c r="BE461" s="46"/>
      <c r="BF461" s="46"/>
      <c r="BG461" s="563"/>
      <c r="BH461" s="563"/>
      <c r="BI461" s="563"/>
      <c r="BJ461" s="563"/>
    </row>
    <row r="462" spans="2:62" x14ac:dyDescent="0.25">
      <c r="B462" s="569"/>
      <c r="C462" s="672"/>
      <c r="D462" s="563"/>
      <c r="E462" s="563"/>
      <c r="F462" s="569"/>
      <c r="G462" s="563"/>
      <c r="H462" s="563"/>
      <c r="I462" s="600"/>
      <c r="J462" s="569"/>
      <c r="K462" s="563"/>
      <c r="L462" s="563"/>
      <c r="M462" s="563"/>
      <c r="N462" s="563"/>
      <c r="O462" s="563"/>
      <c r="P462" s="563"/>
      <c r="Q462" s="563"/>
      <c r="R462" s="563"/>
      <c r="S462" s="563"/>
      <c r="T462" s="563"/>
      <c r="U462" s="563"/>
      <c r="V462" s="563"/>
      <c r="W462" s="563"/>
      <c r="X462" s="565"/>
      <c r="Y462" s="612"/>
      <c r="Z462" s="612"/>
      <c r="AA462" s="563"/>
      <c r="AB462" s="612"/>
      <c r="AC462" s="569"/>
      <c r="AD462" s="563"/>
      <c r="AE462" s="563"/>
      <c r="AF462" s="563"/>
      <c r="AG462" s="563"/>
      <c r="AH462" s="563"/>
      <c r="AI462" s="563"/>
      <c r="AJ462" s="680"/>
      <c r="AK462" s="563"/>
      <c r="AL462" s="563"/>
      <c r="AM462" s="563"/>
      <c r="AN462" s="563"/>
      <c r="AO462" s="563"/>
      <c r="AP462" s="46"/>
      <c r="AQ462" s="46"/>
      <c r="AR462" s="46"/>
      <c r="AS462" s="46"/>
      <c r="AT462" s="46"/>
      <c r="AU462" s="46"/>
      <c r="AV462" s="46"/>
      <c r="AW462" s="46"/>
      <c r="AX462" s="46"/>
      <c r="AY462" s="46"/>
      <c r="AZ462" s="563" t="str">
        <f ca="1">IFERROR(__xludf.DUMMYFUNCTION("""COMPUTED_VALUE"""),"Sahyadri")</f>
        <v>Sahyadri</v>
      </c>
      <c r="BA462" s="569"/>
      <c r="BB462" s="563"/>
      <c r="BC462" s="569"/>
      <c r="BD462" s="563"/>
      <c r="BE462" s="46"/>
      <c r="BF462" s="46"/>
      <c r="BG462" s="563"/>
      <c r="BH462" s="563"/>
      <c r="BI462" s="563"/>
      <c r="BJ462" s="563"/>
    </row>
    <row r="463" spans="2:62" x14ac:dyDescent="0.25">
      <c r="B463" s="569"/>
      <c r="C463" s="672"/>
      <c r="D463" s="563"/>
      <c r="E463" s="563"/>
      <c r="F463" s="569"/>
      <c r="G463" s="563"/>
      <c r="H463" s="563"/>
      <c r="I463" s="600"/>
      <c r="J463" s="569"/>
      <c r="K463" s="563"/>
      <c r="L463" s="563"/>
      <c r="M463" s="563"/>
      <c r="N463" s="563"/>
      <c r="O463" s="563"/>
      <c r="P463" s="563"/>
      <c r="Q463" s="563"/>
      <c r="R463" s="563"/>
      <c r="S463" s="563"/>
      <c r="T463" s="563"/>
      <c r="U463" s="563"/>
      <c r="V463" s="563"/>
      <c r="W463" s="563"/>
      <c r="X463" s="565"/>
      <c r="Y463" s="612"/>
      <c r="Z463" s="612"/>
      <c r="AA463" s="563"/>
      <c r="AB463" s="612"/>
      <c r="AC463" s="569"/>
      <c r="AD463" s="563"/>
      <c r="AE463" s="563"/>
      <c r="AF463" s="563"/>
      <c r="AG463" s="563"/>
      <c r="AH463" s="563"/>
      <c r="AI463" s="563"/>
      <c r="AJ463" s="680"/>
      <c r="AK463" s="563"/>
      <c r="AL463" s="563"/>
      <c r="AM463" s="563"/>
      <c r="AN463" s="563"/>
      <c r="AO463" s="563"/>
      <c r="AP463" s="46"/>
      <c r="AQ463" s="46"/>
      <c r="AR463" s="46"/>
      <c r="AS463" s="46"/>
      <c r="AT463" s="46"/>
      <c r="AU463" s="46"/>
      <c r="AV463" s="46"/>
      <c r="AW463" s="46"/>
      <c r="AX463" s="46"/>
      <c r="AY463" s="46"/>
      <c r="AZ463" s="563" t="str">
        <f ca="1">IFERROR(__xludf.DUMMYFUNCTION("""COMPUTED_VALUE"""),"Salute")</f>
        <v>Salute</v>
      </c>
      <c r="BA463" s="569"/>
      <c r="BB463" s="563"/>
      <c r="BC463" s="569"/>
      <c r="BD463" s="563"/>
      <c r="BE463" s="46"/>
      <c r="BF463" s="46"/>
      <c r="BG463" s="563"/>
      <c r="BH463" s="563"/>
      <c r="BI463" s="563"/>
      <c r="BJ463" s="563"/>
    </row>
    <row r="464" spans="2:62" x14ac:dyDescent="0.25">
      <c r="B464" s="569"/>
      <c r="C464" s="672"/>
      <c r="D464" s="563"/>
      <c r="E464" s="563"/>
      <c r="F464" s="569"/>
      <c r="G464" s="563"/>
      <c r="H464" s="563"/>
      <c r="I464" s="600"/>
      <c r="J464" s="569"/>
      <c r="K464" s="563"/>
      <c r="L464" s="563"/>
      <c r="M464" s="563"/>
      <c r="N464" s="563"/>
      <c r="O464" s="563"/>
      <c r="P464" s="563"/>
      <c r="Q464" s="563"/>
      <c r="R464" s="563"/>
      <c r="S464" s="563"/>
      <c r="T464" s="563"/>
      <c r="U464" s="563"/>
      <c r="V464" s="563"/>
      <c r="W464" s="563"/>
      <c r="X464" s="565"/>
      <c r="Y464" s="612"/>
      <c r="Z464" s="612"/>
      <c r="AA464" s="563"/>
      <c r="AB464" s="612"/>
      <c r="AC464" s="569"/>
      <c r="AD464" s="563"/>
      <c r="AE464" s="563"/>
      <c r="AF464" s="563"/>
      <c r="AG464" s="563"/>
      <c r="AH464" s="563"/>
      <c r="AI464" s="563"/>
      <c r="AJ464" s="680"/>
      <c r="AK464" s="563"/>
      <c r="AL464" s="563"/>
      <c r="AM464" s="563"/>
      <c r="AN464" s="563"/>
      <c r="AO464" s="563"/>
      <c r="AP464" s="46"/>
      <c r="AQ464" s="46"/>
      <c r="AR464" s="46"/>
      <c r="AS464" s="46"/>
      <c r="AT464" s="46"/>
      <c r="AU464" s="46"/>
      <c r="AV464" s="46"/>
      <c r="AW464" s="46"/>
      <c r="AX464" s="46"/>
      <c r="AY464" s="46"/>
      <c r="AZ464" s="563" t="str">
        <f ca="1">IFERROR(__xludf.DUMMYFUNCTION("""COMPUTED_VALUE"""),"Samsung 2689")</f>
        <v>Samsung 2689</v>
      </c>
      <c r="BA464" s="569"/>
      <c r="BB464" s="563"/>
      <c r="BC464" s="569"/>
      <c r="BD464" s="563"/>
      <c r="BE464" s="46"/>
      <c r="BF464" s="46"/>
      <c r="BG464" s="563"/>
      <c r="BH464" s="563"/>
      <c r="BI464" s="563"/>
      <c r="BJ464" s="563"/>
    </row>
    <row r="465" spans="2:62" x14ac:dyDescent="0.25">
      <c r="B465" s="569"/>
      <c r="C465" s="672"/>
      <c r="D465" s="563"/>
      <c r="E465" s="563"/>
      <c r="F465" s="569"/>
      <c r="G465" s="563"/>
      <c r="H465" s="563"/>
      <c r="I465" s="600"/>
      <c r="J465" s="569"/>
      <c r="K465" s="563"/>
      <c r="L465" s="563"/>
      <c r="M465" s="563"/>
      <c r="N465" s="563"/>
      <c r="O465" s="563"/>
      <c r="P465" s="563"/>
      <c r="Q465" s="563"/>
      <c r="R465" s="563"/>
      <c r="S465" s="563"/>
      <c r="T465" s="563"/>
      <c r="U465" s="563"/>
      <c r="V465" s="563"/>
      <c r="W465" s="563"/>
      <c r="X465" s="565"/>
      <c r="Y465" s="612"/>
      <c r="Z465" s="612"/>
      <c r="AA465" s="563"/>
      <c r="AB465" s="612"/>
      <c r="AC465" s="569"/>
      <c r="AD465" s="563"/>
      <c r="AE465" s="563"/>
      <c r="AF465" s="563"/>
      <c r="AG465" s="563"/>
      <c r="AH465" s="563"/>
      <c r="AI465" s="563"/>
      <c r="AJ465" s="680"/>
      <c r="AK465" s="563"/>
      <c r="AL465" s="563"/>
      <c r="AM465" s="563"/>
      <c r="AN465" s="563"/>
      <c r="AO465" s="563"/>
      <c r="AP465" s="46"/>
      <c r="AQ465" s="46"/>
      <c r="AR465" s="46"/>
      <c r="AS465" s="46"/>
      <c r="AT465" s="46"/>
      <c r="AU465" s="46"/>
      <c r="AV465" s="46"/>
      <c r="AW465" s="46"/>
      <c r="AX465" s="46"/>
      <c r="AY465" s="46"/>
      <c r="AZ465" s="563" t="str">
        <f ca="1">IFERROR(__xludf.DUMMYFUNCTION("""COMPUTED_VALUE"""),"Samsung 2690")</f>
        <v>Samsung 2690</v>
      </c>
      <c r="BA465" s="569"/>
      <c r="BB465" s="563"/>
      <c r="BC465" s="569"/>
      <c r="BD465" s="563"/>
      <c r="BE465" s="46"/>
      <c r="BF465" s="46"/>
      <c r="BG465" s="563"/>
      <c r="BH465" s="563"/>
      <c r="BI465" s="563"/>
      <c r="BJ465" s="563"/>
    </row>
    <row r="466" spans="2:62" x14ac:dyDescent="0.25">
      <c r="B466" s="569"/>
      <c r="C466" s="672"/>
      <c r="D466" s="563"/>
      <c r="E466" s="563"/>
      <c r="F466" s="569"/>
      <c r="G466" s="563"/>
      <c r="H466" s="563"/>
      <c r="I466" s="600"/>
      <c r="J466" s="569"/>
      <c r="K466" s="563"/>
      <c r="L466" s="563"/>
      <c r="M466" s="563"/>
      <c r="N466" s="563"/>
      <c r="O466" s="563"/>
      <c r="P466" s="563"/>
      <c r="Q466" s="563"/>
      <c r="R466" s="563"/>
      <c r="S466" s="563"/>
      <c r="T466" s="563"/>
      <c r="U466" s="563"/>
      <c r="V466" s="563"/>
      <c r="W466" s="563"/>
      <c r="X466" s="565"/>
      <c r="Y466" s="612"/>
      <c r="Z466" s="612"/>
      <c r="AA466" s="563"/>
      <c r="AB466" s="612"/>
      <c r="AC466" s="569"/>
      <c r="AD466" s="563"/>
      <c r="AE466" s="563"/>
      <c r="AF466" s="563"/>
      <c r="AG466" s="563"/>
      <c r="AH466" s="563"/>
      <c r="AI466" s="563"/>
      <c r="AJ466" s="680"/>
      <c r="AK466" s="563"/>
      <c r="AL466" s="563"/>
      <c r="AM466" s="563"/>
      <c r="AN466" s="563"/>
      <c r="AO466" s="563"/>
      <c r="AP466" s="46"/>
      <c r="AQ466" s="46"/>
      <c r="AR466" s="46"/>
      <c r="AS466" s="46"/>
      <c r="AT466" s="46"/>
      <c r="AU466" s="46"/>
      <c r="AV466" s="46"/>
      <c r="AW466" s="46"/>
      <c r="AX466" s="46"/>
      <c r="AY466" s="46"/>
      <c r="AZ466" s="563" t="str">
        <f ca="1">IFERROR(__xludf.DUMMYFUNCTION("""COMPUTED_VALUE"""),"Samsung 2691")</f>
        <v>Samsung 2691</v>
      </c>
      <c r="BA466" s="569"/>
      <c r="BB466" s="563"/>
      <c r="BC466" s="569"/>
      <c r="BD466" s="563"/>
      <c r="BE466" s="46"/>
      <c r="BF466" s="46"/>
      <c r="BG466" s="563"/>
      <c r="BH466" s="563"/>
      <c r="BI466" s="563"/>
      <c r="BJ466" s="563"/>
    </row>
    <row r="467" spans="2:62" x14ac:dyDescent="0.25">
      <c r="B467" s="569"/>
      <c r="C467" s="672"/>
      <c r="D467" s="563"/>
      <c r="E467" s="563"/>
      <c r="F467" s="569"/>
      <c r="G467" s="563"/>
      <c r="H467" s="563"/>
      <c r="I467" s="600"/>
      <c r="J467" s="569"/>
      <c r="K467" s="563"/>
      <c r="L467" s="563"/>
      <c r="M467" s="563"/>
      <c r="N467" s="563"/>
      <c r="O467" s="563"/>
      <c r="P467" s="563"/>
      <c r="Q467" s="563"/>
      <c r="R467" s="563"/>
      <c r="S467" s="563"/>
      <c r="T467" s="563"/>
      <c r="U467" s="563"/>
      <c r="V467" s="563"/>
      <c r="W467" s="563"/>
      <c r="X467" s="565"/>
      <c r="Y467" s="612"/>
      <c r="Z467" s="612"/>
      <c r="AA467" s="563"/>
      <c r="AB467" s="612"/>
      <c r="AC467" s="569"/>
      <c r="AD467" s="563"/>
      <c r="AE467" s="563"/>
      <c r="AF467" s="563"/>
      <c r="AG467" s="563"/>
      <c r="AH467" s="563"/>
      <c r="AI467" s="563"/>
      <c r="AJ467" s="680"/>
      <c r="AK467" s="563"/>
      <c r="AL467" s="563"/>
      <c r="AM467" s="563"/>
      <c r="AN467" s="563"/>
      <c r="AO467" s="563"/>
      <c r="AP467" s="46"/>
      <c r="AQ467" s="46"/>
      <c r="AR467" s="46"/>
      <c r="AS467" s="46"/>
      <c r="AT467" s="46"/>
      <c r="AU467" s="46"/>
      <c r="AV467" s="46"/>
      <c r="AW467" s="46"/>
      <c r="AX467" s="46"/>
      <c r="AY467" s="46"/>
      <c r="AZ467" s="563" t="str">
        <f ca="1">IFERROR(__xludf.DUMMYFUNCTION("""COMPUTED_VALUE"""),"Samsung 2692")</f>
        <v>Samsung 2692</v>
      </c>
      <c r="BA467" s="569"/>
      <c r="BB467" s="563"/>
      <c r="BC467" s="569"/>
      <c r="BD467" s="563"/>
      <c r="BE467" s="46"/>
      <c r="BF467" s="46"/>
      <c r="BG467" s="563"/>
      <c r="BH467" s="563"/>
      <c r="BI467" s="563"/>
      <c r="BJ467" s="563"/>
    </row>
    <row r="468" spans="2:62" x14ac:dyDescent="0.25">
      <c r="B468" s="569"/>
      <c r="C468" s="672"/>
      <c r="D468" s="563"/>
      <c r="E468" s="563"/>
      <c r="F468" s="569"/>
      <c r="G468" s="563"/>
      <c r="H468" s="563"/>
      <c r="I468" s="600"/>
      <c r="J468" s="569"/>
      <c r="K468" s="563"/>
      <c r="L468" s="563"/>
      <c r="M468" s="563"/>
      <c r="N468" s="563"/>
      <c r="O468" s="563"/>
      <c r="P468" s="563"/>
      <c r="Q468" s="563"/>
      <c r="R468" s="563"/>
      <c r="S468" s="563"/>
      <c r="T468" s="563"/>
      <c r="U468" s="563"/>
      <c r="V468" s="563"/>
      <c r="W468" s="563"/>
      <c r="X468" s="565"/>
      <c r="Y468" s="612"/>
      <c r="Z468" s="612"/>
      <c r="AA468" s="563"/>
      <c r="AB468" s="612"/>
      <c r="AC468" s="569"/>
      <c r="AD468" s="563"/>
      <c r="AE468" s="563"/>
      <c r="AF468" s="563"/>
      <c r="AG468" s="563"/>
      <c r="AH468" s="563"/>
      <c r="AI468" s="563"/>
      <c r="AJ468" s="680"/>
      <c r="AK468" s="563"/>
      <c r="AL468" s="563"/>
      <c r="AM468" s="563"/>
      <c r="AN468" s="563"/>
      <c r="AO468" s="563"/>
      <c r="AP468" s="46"/>
      <c r="AQ468" s="46"/>
      <c r="AR468" s="46"/>
      <c r="AS468" s="46"/>
      <c r="AT468" s="46"/>
      <c r="AU468" s="46"/>
      <c r="AV468" s="46"/>
      <c r="AW468" s="46"/>
      <c r="AX468" s="46"/>
      <c r="AY468" s="46"/>
      <c r="AZ468" s="563" t="str">
        <f ca="1">IFERROR(__xludf.DUMMYFUNCTION("""COMPUTED_VALUE"""),"Sarv Shakti")</f>
        <v>Sarv Shakti</v>
      </c>
      <c r="BA468" s="569"/>
      <c r="BB468" s="563"/>
      <c r="BC468" s="569"/>
      <c r="BD468" s="563"/>
      <c r="BE468" s="46"/>
      <c r="BF468" s="46"/>
      <c r="BG468" s="563"/>
      <c r="BH468" s="563"/>
      <c r="BI468" s="563"/>
      <c r="BJ468" s="563"/>
    </row>
    <row r="469" spans="2:62" x14ac:dyDescent="0.25">
      <c r="B469" s="569"/>
      <c r="C469" s="672"/>
      <c r="D469" s="563"/>
      <c r="E469" s="563"/>
      <c r="F469" s="569"/>
      <c r="G469" s="563"/>
      <c r="H469" s="563"/>
      <c r="I469" s="600"/>
      <c r="J469" s="569"/>
      <c r="K469" s="563"/>
      <c r="L469" s="563"/>
      <c r="M469" s="563"/>
      <c r="N469" s="563"/>
      <c r="O469" s="563"/>
      <c r="P469" s="563"/>
      <c r="Q469" s="563"/>
      <c r="R469" s="563"/>
      <c r="S469" s="563"/>
      <c r="T469" s="563"/>
      <c r="U469" s="563"/>
      <c r="V469" s="563"/>
      <c r="W469" s="563"/>
      <c r="X469" s="565"/>
      <c r="Y469" s="612"/>
      <c r="Z469" s="612"/>
      <c r="AA469" s="563"/>
      <c r="AB469" s="612"/>
      <c r="AC469" s="569"/>
      <c r="AD469" s="563"/>
      <c r="AE469" s="563"/>
      <c r="AF469" s="563"/>
      <c r="AG469" s="563"/>
      <c r="AH469" s="563"/>
      <c r="AI469" s="563"/>
      <c r="AJ469" s="680"/>
      <c r="AK469" s="563"/>
      <c r="AL469" s="563"/>
      <c r="AM469" s="563"/>
      <c r="AN469" s="563"/>
      <c r="AO469" s="563"/>
      <c r="AP469" s="46"/>
      <c r="AQ469" s="46"/>
      <c r="AR469" s="46"/>
      <c r="AS469" s="46"/>
      <c r="AT469" s="46"/>
      <c r="AU469" s="46"/>
      <c r="AV469" s="46"/>
      <c r="AW469" s="46"/>
      <c r="AX469" s="46"/>
      <c r="AY469" s="46"/>
      <c r="AZ469" s="563" t="str">
        <f ca="1">IFERROR(__xludf.DUMMYFUNCTION("""COMPUTED_VALUE"""),"Sea Opera")</f>
        <v>Sea Opera</v>
      </c>
      <c r="BA469" s="569"/>
      <c r="BB469" s="563"/>
      <c r="BC469" s="569"/>
      <c r="BD469" s="563"/>
      <c r="BE469" s="46"/>
      <c r="BF469" s="46"/>
      <c r="BG469" s="563"/>
      <c r="BH469" s="563"/>
      <c r="BI469" s="563"/>
      <c r="BJ469" s="563"/>
    </row>
    <row r="470" spans="2:62" x14ac:dyDescent="0.25">
      <c r="B470" s="569"/>
      <c r="C470" s="672"/>
      <c r="D470" s="563"/>
      <c r="E470" s="563"/>
      <c r="F470" s="569"/>
      <c r="G470" s="563"/>
      <c r="H470" s="563"/>
      <c r="I470" s="600"/>
      <c r="J470" s="569"/>
      <c r="K470" s="563"/>
      <c r="L470" s="563"/>
      <c r="M470" s="563"/>
      <c r="N470" s="563"/>
      <c r="O470" s="563"/>
      <c r="P470" s="563"/>
      <c r="Q470" s="563"/>
      <c r="R470" s="563"/>
      <c r="S470" s="563"/>
      <c r="T470" s="563"/>
      <c r="U470" s="563"/>
      <c r="V470" s="563"/>
      <c r="W470" s="563"/>
      <c r="X470" s="565"/>
      <c r="Y470" s="612"/>
      <c r="Z470" s="612"/>
      <c r="AA470" s="563"/>
      <c r="AB470" s="612"/>
      <c r="AC470" s="569"/>
      <c r="AD470" s="563"/>
      <c r="AE470" s="563"/>
      <c r="AF470" s="563"/>
      <c r="AG470" s="563"/>
      <c r="AH470" s="563"/>
      <c r="AI470" s="563"/>
      <c r="AJ470" s="680"/>
      <c r="AK470" s="563"/>
      <c r="AL470" s="563"/>
      <c r="AM470" s="563"/>
      <c r="AN470" s="563"/>
      <c r="AO470" s="563"/>
      <c r="AP470" s="46"/>
      <c r="AQ470" s="46"/>
      <c r="AR470" s="46"/>
      <c r="AS470" s="46"/>
      <c r="AT470" s="46"/>
      <c r="AU470" s="46"/>
      <c r="AV470" s="46"/>
      <c r="AW470" s="46"/>
      <c r="AX470" s="46"/>
      <c r="AY470" s="46"/>
      <c r="AZ470" s="563" t="str">
        <f ca="1">IFERROR(__xludf.DUMMYFUNCTION("""COMPUTED_VALUE"""),"Seabus")</f>
        <v>Seabus</v>
      </c>
      <c r="BA470" s="569"/>
      <c r="BB470" s="563"/>
      <c r="BC470" s="569"/>
      <c r="BD470" s="563"/>
      <c r="BE470" s="46"/>
      <c r="BF470" s="46"/>
      <c r="BG470" s="563"/>
      <c r="BH470" s="563"/>
      <c r="BI470" s="563"/>
      <c r="BJ470" s="563"/>
    </row>
    <row r="471" spans="2:62" x14ac:dyDescent="0.25">
      <c r="B471" s="569"/>
      <c r="C471" s="672"/>
      <c r="D471" s="563"/>
      <c r="E471" s="563"/>
      <c r="F471" s="569"/>
      <c r="G471" s="563"/>
      <c r="H471" s="563"/>
      <c r="I471" s="600"/>
      <c r="J471" s="569"/>
      <c r="K471" s="563"/>
      <c r="L471" s="563"/>
      <c r="M471" s="563"/>
      <c r="N471" s="563"/>
      <c r="O471" s="563"/>
      <c r="P471" s="563"/>
      <c r="Q471" s="563"/>
      <c r="R471" s="563"/>
      <c r="S471" s="563"/>
      <c r="T471" s="563"/>
      <c r="U471" s="563"/>
      <c r="V471" s="563"/>
      <c r="W471" s="563"/>
      <c r="X471" s="565"/>
      <c r="Y471" s="612"/>
      <c r="Z471" s="612"/>
      <c r="AA471" s="563"/>
      <c r="AB471" s="612"/>
      <c r="AC471" s="569"/>
      <c r="AD471" s="563"/>
      <c r="AE471" s="563"/>
      <c r="AF471" s="563"/>
      <c r="AG471" s="563"/>
      <c r="AH471" s="563"/>
      <c r="AI471" s="563"/>
      <c r="AJ471" s="680"/>
      <c r="AK471" s="563"/>
      <c r="AL471" s="563"/>
      <c r="AM471" s="563"/>
      <c r="AN471" s="563"/>
      <c r="AO471" s="563"/>
      <c r="AP471" s="46"/>
      <c r="AQ471" s="46"/>
      <c r="AR471" s="46"/>
      <c r="AS471" s="46"/>
      <c r="AT471" s="46"/>
      <c r="AU471" s="46"/>
      <c r="AV471" s="46"/>
      <c r="AW471" s="46"/>
      <c r="AX471" s="46"/>
      <c r="AY471" s="46"/>
      <c r="AZ471" s="563" t="str">
        <f ca="1">IFERROR(__xludf.DUMMYFUNCTION("""COMPUTED_VALUE"""),"Sequoia Cove")</f>
        <v>Sequoia Cove</v>
      </c>
      <c r="BA471" s="569"/>
      <c r="BB471" s="563"/>
      <c r="BC471" s="569"/>
      <c r="BD471" s="563"/>
      <c r="BE471" s="46"/>
      <c r="BF471" s="46"/>
      <c r="BG471" s="563"/>
      <c r="BH471" s="563"/>
      <c r="BI471" s="563"/>
      <c r="BJ471" s="563"/>
    </row>
    <row r="472" spans="2:62" x14ac:dyDescent="0.25">
      <c r="B472" s="569"/>
      <c r="C472" s="672"/>
      <c r="D472" s="563"/>
      <c r="E472" s="563"/>
      <c r="F472" s="569"/>
      <c r="G472" s="563"/>
      <c r="H472" s="563"/>
      <c r="I472" s="600"/>
      <c r="J472" s="569"/>
      <c r="K472" s="563"/>
      <c r="L472" s="563"/>
      <c r="M472" s="563"/>
      <c r="N472" s="563"/>
      <c r="O472" s="563"/>
      <c r="P472" s="563"/>
      <c r="Q472" s="563"/>
      <c r="R472" s="563"/>
      <c r="S472" s="563"/>
      <c r="T472" s="563"/>
      <c r="U472" s="563"/>
      <c r="V472" s="563"/>
      <c r="W472" s="563"/>
      <c r="X472" s="565"/>
      <c r="Y472" s="612"/>
      <c r="Z472" s="612"/>
      <c r="AA472" s="563"/>
      <c r="AB472" s="612"/>
      <c r="AC472" s="569"/>
      <c r="AD472" s="563"/>
      <c r="AE472" s="563"/>
      <c r="AF472" s="563"/>
      <c r="AG472" s="563"/>
      <c r="AH472" s="563"/>
      <c r="AI472" s="563"/>
      <c r="AJ472" s="680"/>
      <c r="AK472" s="563"/>
      <c r="AL472" s="563"/>
      <c r="AM472" s="563"/>
      <c r="AN472" s="563"/>
      <c r="AO472" s="563"/>
      <c r="AP472" s="46"/>
      <c r="AQ472" s="46"/>
      <c r="AR472" s="46"/>
      <c r="AS472" s="46"/>
      <c r="AT472" s="46"/>
      <c r="AU472" s="46"/>
      <c r="AV472" s="46"/>
      <c r="AW472" s="46"/>
      <c r="AX472" s="46"/>
      <c r="AY472" s="46"/>
      <c r="AZ472" s="563" t="str">
        <f ca="1">IFERROR(__xludf.DUMMYFUNCTION("""COMPUTED_VALUE"""),"Shivalik")</f>
        <v>Shivalik</v>
      </c>
      <c r="BA472" s="569"/>
      <c r="BB472" s="563"/>
      <c r="BC472" s="569"/>
      <c r="BD472" s="563"/>
      <c r="BE472" s="46"/>
      <c r="BF472" s="46"/>
      <c r="BG472" s="563"/>
      <c r="BH472" s="563"/>
      <c r="BI472" s="563"/>
      <c r="BJ472" s="563"/>
    </row>
    <row r="473" spans="2:62" x14ac:dyDescent="0.25">
      <c r="B473" s="569"/>
      <c r="C473" s="672"/>
      <c r="D473" s="563"/>
      <c r="E473" s="563"/>
      <c r="F473" s="569"/>
      <c r="G473" s="563"/>
      <c r="H473" s="563"/>
      <c r="I473" s="600"/>
      <c r="J473" s="569"/>
      <c r="K473" s="563"/>
      <c r="L473" s="563"/>
      <c r="M473" s="563"/>
      <c r="N473" s="563"/>
      <c r="O473" s="563"/>
      <c r="P473" s="563"/>
      <c r="Q473" s="563"/>
      <c r="R473" s="563"/>
      <c r="S473" s="563"/>
      <c r="T473" s="563"/>
      <c r="U473" s="563"/>
      <c r="V473" s="563"/>
      <c r="W473" s="563"/>
      <c r="X473" s="565"/>
      <c r="Y473" s="612"/>
      <c r="Z473" s="612"/>
      <c r="AA473" s="563"/>
      <c r="AB473" s="612"/>
      <c r="AC473" s="569"/>
      <c r="AD473" s="563"/>
      <c r="AE473" s="563"/>
      <c r="AF473" s="563"/>
      <c r="AG473" s="563"/>
      <c r="AH473" s="563"/>
      <c r="AI473" s="563"/>
      <c r="AJ473" s="680"/>
      <c r="AK473" s="563"/>
      <c r="AL473" s="563"/>
      <c r="AM473" s="563"/>
      <c r="AN473" s="563"/>
      <c r="AO473" s="563"/>
      <c r="AP473" s="46"/>
      <c r="AQ473" s="46"/>
      <c r="AR473" s="46"/>
      <c r="AS473" s="46"/>
      <c r="AT473" s="46"/>
      <c r="AU473" s="46"/>
      <c r="AV473" s="46"/>
      <c r="AW473" s="46"/>
      <c r="AX473" s="46"/>
      <c r="AY473" s="46"/>
      <c r="AZ473" s="563" t="str">
        <f ca="1">IFERROR(__xludf.DUMMYFUNCTION("""COMPUTED_VALUE"""),"Sia")</f>
        <v>Sia</v>
      </c>
      <c r="BA473" s="569"/>
      <c r="BB473" s="563"/>
      <c r="BC473" s="569"/>
      <c r="BD473" s="563"/>
      <c r="BE473" s="46"/>
      <c r="BF473" s="46"/>
      <c r="BG473" s="563"/>
      <c r="BH473" s="563"/>
      <c r="BI473" s="563"/>
      <c r="BJ473" s="563"/>
    </row>
    <row r="474" spans="2:62" x14ac:dyDescent="0.25">
      <c r="B474" s="569"/>
      <c r="C474" s="672"/>
      <c r="D474" s="563"/>
      <c r="E474" s="563"/>
      <c r="F474" s="569"/>
      <c r="G474" s="563"/>
      <c r="H474" s="563"/>
      <c r="I474" s="600"/>
      <c r="J474" s="569"/>
      <c r="K474" s="563"/>
      <c r="L474" s="563"/>
      <c r="M474" s="563"/>
      <c r="N474" s="563"/>
      <c r="O474" s="563"/>
      <c r="P474" s="563"/>
      <c r="Q474" s="563"/>
      <c r="R474" s="563"/>
      <c r="S474" s="563"/>
      <c r="T474" s="563"/>
      <c r="U474" s="563"/>
      <c r="V474" s="563"/>
      <c r="W474" s="563"/>
      <c r="X474" s="565"/>
      <c r="Y474" s="612"/>
      <c r="Z474" s="612"/>
      <c r="AA474" s="563"/>
      <c r="AB474" s="612"/>
      <c r="AC474" s="569"/>
      <c r="AD474" s="563"/>
      <c r="AE474" s="563"/>
      <c r="AF474" s="563"/>
      <c r="AG474" s="563"/>
      <c r="AH474" s="563"/>
      <c r="AI474" s="563"/>
      <c r="AJ474" s="680"/>
      <c r="AK474" s="563"/>
      <c r="AL474" s="563"/>
      <c r="AM474" s="563"/>
      <c r="AN474" s="563"/>
      <c r="AO474" s="563"/>
      <c r="AP474" s="46"/>
      <c r="AQ474" s="46"/>
      <c r="AR474" s="46"/>
      <c r="AS474" s="46"/>
      <c r="AT474" s="46"/>
      <c r="AU474" s="46"/>
      <c r="AV474" s="46"/>
      <c r="AW474" s="46"/>
      <c r="AX474" s="46"/>
      <c r="AY474" s="46"/>
      <c r="AZ474" s="563" t="str">
        <f ca="1">IFERROR(__xludf.DUMMYFUNCTION("""COMPUTED_VALUE"""),"Siona")</f>
        <v>Siona</v>
      </c>
      <c r="BA474" s="569"/>
      <c r="BB474" s="563"/>
      <c r="BC474" s="569"/>
      <c r="BD474" s="563"/>
      <c r="BE474" s="46"/>
      <c r="BF474" s="46"/>
      <c r="BG474" s="563"/>
      <c r="BH474" s="563"/>
      <c r="BI474" s="563"/>
      <c r="BJ474" s="563"/>
    </row>
    <row r="475" spans="2:62" x14ac:dyDescent="0.25">
      <c r="B475" s="569"/>
      <c r="C475" s="672"/>
      <c r="D475" s="563"/>
      <c r="E475" s="563"/>
      <c r="F475" s="569"/>
      <c r="G475" s="563"/>
      <c r="H475" s="563"/>
      <c r="I475" s="600"/>
      <c r="J475" s="569"/>
      <c r="K475" s="563"/>
      <c r="L475" s="563"/>
      <c r="M475" s="563"/>
      <c r="N475" s="563"/>
      <c r="O475" s="563"/>
      <c r="P475" s="563"/>
      <c r="Q475" s="563"/>
      <c r="R475" s="563"/>
      <c r="S475" s="563"/>
      <c r="T475" s="563"/>
      <c r="U475" s="563"/>
      <c r="V475" s="563"/>
      <c r="W475" s="563"/>
      <c r="X475" s="565"/>
      <c r="Y475" s="612"/>
      <c r="Z475" s="612"/>
      <c r="AA475" s="563"/>
      <c r="AB475" s="612"/>
      <c r="AC475" s="569"/>
      <c r="AD475" s="563"/>
      <c r="AE475" s="563"/>
      <c r="AF475" s="563"/>
      <c r="AG475" s="563"/>
      <c r="AH475" s="563"/>
      <c r="AI475" s="563"/>
      <c r="AJ475" s="680"/>
      <c r="AK475" s="563"/>
      <c r="AL475" s="563"/>
      <c r="AM475" s="563"/>
      <c r="AN475" s="563"/>
      <c r="AO475" s="563"/>
      <c r="AP475" s="46"/>
      <c r="AQ475" s="46"/>
      <c r="AR475" s="46"/>
      <c r="AS475" s="46"/>
      <c r="AT475" s="46"/>
      <c r="AU475" s="46"/>
      <c r="AV475" s="46"/>
      <c r="AW475" s="46"/>
      <c r="AX475" s="46"/>
      <c r="AY475" s="46"/>
      <c r="AZ475" s="563" t="str">
        <f ca="1">IFERROR(__xludf.DUMMYFUNCTION("""COMPUTED_VALUE"""),"Sogl")</f>
        <v>Sogl</v>
      </c>
      <c r="BA475" s="569"/>
      <c r="BB475" s="563"/>
      <c r="BC475" s="569"/>
      <c r="BD475" s="563"/>
      <c r="BE475" s="46"/>
      <c r="BF475" s="46"/>
      <c r="BG475" s="563"/>
      <c r="BH475" s="563"/>
      <c r="BI475" s="563"/>
      <c r="BJ475" s="563"/>
    </row>
    <row r="476" spans="2:62" x14ac:dyDescent="0.25">
      <c r="B476" s="569"/>
      <c r="C476" s="672"/>
      <c r="D476" s="563"/>
      <c r="E476" s="563"/>
      <c r="F476" s="569"/>
      <c r="G476" s="563"/>
      <c r="H476" s="563"/>
      <c r="I476" s="600"/>
      <c r="J476" s="569"/>
      <c r="K476" s="563"/>
      <c r="L476" s="563"/>
      <c r="M476" s="563"/>
      <c r="N476" s="563"/>
      <c r="O476" s="563"/>
      <c r="P476" s="563"/>
      <c r="Q476" s="563"/>
      <c r="R476" s="563"/>
      <c r="S476" s="563"/>
      <c r="T476" s="563"/>
      <c r="U476" s="563"/>
      <c r="V476" s="563"/>
      <c r="W476" s="563"/>
      <c r="X476" s="565"/>
      <c r="Y476" s="612"/>
      <c r="Z476" s="612"/>
      <c r="AA476" s="563"/>
      <c r="AB476" s="612"/>
      <c r="AC476" s="569"/>
      <c r="AD476" s="563"/>
      <c r="AE476" s="563"/>
      <c r="AF476" s="563"/>
      <c r="AG476" s="563"/>
      <c r="AH476" s="563"/>
      <c r="AI476" s="563"/>
      <c r="AJ476" s="680"/>
      <c r="AK476" s="563"/>
      <c r="AL476" s="563"/>
      <c r="AM476" s="563"/>
      <c r="AN476" s="563"/>
      <c r="AO476" s="563"/>
      <c r="AP476" s="46"/>
      <c r="AQ476" s="46"/>
      <c r="AR476" s="46"/>
      <c r="AS476" s="46"/>
      <c r="AT476" s="46"/>
      <c r="AU476" s="46"/>
      <c r="AV476" s="46"/>
      <c r="AW476" s="46"/>
      <c r="AX476" s="46"/>
      <c r="AY476" s="46"/>
      <c r="AZ476" s="563" t="str">
        <f ca="1">IFERROR(__xludf.DUMMYFUNCTION("""COMPUTED_VALUE"""),"Tara Gas")</f>
        <v>Tara Gas</v>
      </c>
      <c r="BA476" s="569"/>
      <c r="BB476" s="563"/>
      <c r="BC476" s="569"/>
      <c r="BD476" s="563"/>
      <c r="BE476" s="46"/>
      <c r="BF476" s="46"/>
      <c r="BG476" s="563"/>
      <c r="BH476" s="563"/>
      <c r="BI476" s="563"/>
      <c r="BJ476" s="563"/>
    </row>
    <row r="477" spans="2:62" x14ac:dyDescent="0.25">
      <c r="B477" s="569"/>
      <c r="C477" s="672"/>
      <c r="D477" s="563"/>
      <c r="E477" s="563"/>
      <c r="F477" s="569"/>
      <c r="G477" s="563"/>
      <c r="H477" s="563"/>
      <c r="I477" s="600"/>
      <c r="J477" s="569"/>
      <c r="K477" s="563"/>
      <c r="L477" s="563"/>
      <c r="M477" s="563"/>
      <c r="N477" s="563"/>
      <c r="O477" s="563"/>
      <c r="P477" s="563"/>
      <c r="Q477" s="563"/>
      <c r="R477" s="563"/>
      <c r="S477" s="563"/>
      <c r="T477" s="563"/>
      <c r="U477" s="563"/>
      <c r="V477" s="563"/>
      <c r="W477" s="563"/>
      <c r="X477" s="565"/>
      <c r="Y477" s="612"/>
      <c r="Z477" s="612"/>
      <c r="AA477" s="563"/>
      <c r="AB477" s="612"/>
      <c r="AC477" s="569"/>
      <c r="AD477" s="563"/>
      <c r="AE477" s="563"/>
      <c r="AF477" s="563"/>
      <c r="AG477" s="563"/>
      <c r="AH477" s="563"/>
      <c r="AI477" s="563"/>
      <c r="AJ477" s="680"/>
      <c r="AK477" s="563"/>
      <c r="AL477" s="563"/>
      <c r="AM477" s="563"/>
      <c r="AN477" s="563"/>
      <c r="AO477" s="563"/>
      <c r="AP477" s="46"/>
      <c r="AQ477" s="46"/>
      <c r="AR477" s="46"/>
      <c r="AS477" s="46"/>
      <c r="AT477" s="46"/>
      <c r="AU477" s="46"/>
      <c r="AV477" s="46"/>
      <c r="AW477" s="46"/>
      <c r="AX477" s="46"/>
      <c r="AY477" s="46"/>
      <c r="AZ477" s="563" t="str">
        <f ca="1">IFERROR(__xludf.DUMMYFUNCTION("""COMPUTED_VALUE"""),"Terra Clove")</f>
        <v>Terra Clove</v>
      </c>
      <c r="BA477" s="569"/>
      <c r="BB477" s="563"/>
      <c r="BC477" s="569"/>
      <c r="BD477" s="563"/>
      <c r="BE477" s="46"/>
      <c r="BF477" s="46"/>
      <c r="BG477" s="563"/>
      <c r="BH477" s="563"/>
      <c r="BI477" s="563"/>
      <c r="BJ477" s="563"/>
    </row>
    <row r="478" spans="2:62" x14ac:dyDescent="0.25">
      <c r="B478" s="569"/>
      <c r="C478" s="672"/>
      <c r="D478" s="563"/>
      <c r="E478" s="563"/>
      <c r="F478" s="569"/>
      <c r="G478" s="563"/>
      <c r="H478" s="563"/>
      <c r="I478" s="600"/>
      <c r="J478" s="569"/>
      <c r="K478" s="563"/>
      <c r="L478" s="563"/>
      <c r="M478" s="563"/>
      <c r="N478" s="563"/>
      <c r="O478" s="563"/>
      <c r="P478" s="563"/>
      <c r="Q478" s="563"/>
      <c r="R478" s="563"/>
      <c r="S478" s="563"/>
      <c r="T478" s="563"/>
      <c r="U478" s="563"/>
      <c r="V478" s="563"/>
      <c r="W478" s="563"/>
      <c r="X478" s="565"/>
      <c r="Y478" s="612"/>
      <c r="Z478" s="612"/>
      <c r="AA478" s="563"/>
      <c r="AB478" s="612"/>
      <c r="AC478" s="569"/>
      <c r="AD478" s="563"/>
      <c r="AE478" s="563"/>
      <c r="AF478" s="563"/>
      <c r="AG478" s="563"/>
      <c r="AH478" s="563"/>
      <c r="AI478" s="563"/>
      <c r="AJ478" s="680"/>
      <c r="AK478" s="563"/>
      <c r="AL478" s="563"/>
      <c r="AM478" s="563"/>
      <c r="AN478" s="563"/>
      <c r="AO478" s="563"/>
      <c r="AP478" s="46"/>
      <c r="AQ478" s="46"/>
      <c r="AR478" s="46"/>
      <c r="AS478" s="46"/>
      <c r="AT478" s="46"/>
      <c r="AU478" s="46"/>
      <c r="AV478" s="46"/>
      <c r="AW478" s="46"/>
      <c r="AX478" s="46"/>
      <c r="AY478" s="46"/>
      <c r="AZ478" s="563" t="str">
        <f ca="1">IFERROR(__xludf.DUMMYFUNCTION("""COMPUTED_VALUE"""),"Terra Moss")</f>
        <v>Terra Moss</v>
      </c>
      <c r="BA478" s="569"/>
      <c r="BB478" s="563"/>
      <c r="BC478" s="569"/>
      <c r="BD478" s="563"/>
      <c r="BE478" s="46"/>
      <c r="BF478" s="46"/>
      <c r="BG478" s="563"/>
      <c r="BH478" s="563"/>
      <c r="BI478" s="563"/>
      <c r="BJ478" s="563"/>
    </row>
    <row r="479" spans="2:62" x14ac:dyDescent="0.25">
      <c r="B479" s="569"/>
      <c r="C479" s="672"/>
      <c r="D479" s="563"/>
      <c r="E479" s="563"/>
      <c r="F479" s="569"/>
      <c r="G479" s="563"/>
      <c r="H479" s="563"/>
      <c r="I479" s="600"/>
      <c r="J479" s="569"/>
      <c r="K479" s="563"/>
      <c r="L479" s="563"/>
      <c r="M479" s="563"/>
      <c r="N479" s="563"/>
      <c r="O479" s="563"/>
      <c r="P479" s="563"/>
      <c r="Q479" s="563"/>
      <c r="R479" s="563"/>
      <c r="S479" s="563"/>
      <c r="T479" s="563"/>
      <c r="U479" s="563"/>
      <c r="V479" s="563"/>
      <c r="W479" s="563"/>
      <c r="X479" s="565"/>
      <c r="Y479" s="612"/>
      <c r="Z479" s="612"/>
      <c r="AA479" s="563"/>
      <c r="AB479" s="612"/>
      <c r="AC479" s="569"/>
      <c r="AD479" s="563"/>
      <c r="AE479" s="563"/>
      <c r="AF479" s="563"/>
      <c r="AG479" s="563"/>
      <c r="AH479" s="563"/>
      <c r="AI479" s="563"/>
      <c r="AJ479" s="680"/>
      <c r="AK479" s="563"/>
      <c r="AL479" s="563"/>
      <c r="AM479" s="563"/>
      <c r="AN479" s="563"/>
      <c r="AO479" s="563"/>
      <c r="AP479" s="46"/>
      <c r="AQ479" s="46"/>
      <c r="AR479" s="46"/>
      <c r="AS479" s="46"/>
      <c r="AT479" s="46"/>
      <c r="AU479" s="46"/>
      <c r="AV479" s="46"/>
      <c r="AW479" s="46"/>
      <c r="AX479" s="46"/>
      <c r="AY479" s="46"/>
      <c r="AZ479" s="563" t="str">
        <f ca="1">IFERROR(__xludf.DUMMYFUNCTION("""COMPUTED_VALUE"""),"Terra Rose")</f>
        <v>Terra Rose</v>
      </c>
      <c r="BA479" s="569"/>
      <c r="BB479" s="563"/>
      <c r="BC479" s="569"/>
      <c r="BD479" s="563"/>
      <c r="BE479" s="46"/>
      <c r="BF479" s="46"/>
      <c r="BG479" s="563"/>
      <c r="BH479" s="563"/>
      <c r="BI479" s="563"/>
      <c r="BJ479" s="563"/>
    </row>
    <row r="480" spans="2:62" x14ac:dyDescent="0.25">
      <c r="B480" s="569"/>
      <c r="C480" s="672"/>
      <c r="D480" s="563"/>
      <c r="E480" s="563"/>
      <c r="F480" s="569"/>
      <c r="G480" s="563"/>
      <c r="H480" s="563"/>
      <c r="I480" s="600"/>
      <c r="J480" s="569"/>
      <c r="K480" s="563"/>
      <c r="L480" s="563"/>
      <c r="M480" s="563"/>
      <c r="N480" s="563"/>
      <c r="O480" s="563"/>
      <c r="P480" s="563"/>
      <c r="Q480" s="563"/>
      <c r="R480" s="563"/>
      <c r="S480" s="563"/>
      <c r="T480" s="563"/>
      <c r="U480" s="563"/>
      <c r="V480" s="563"/>
      <c r="W480" s="563"/>
      <c r="X480" s="565"/>
      <c r="Y480" s="612"/>
      <c r="Z480" s="612"/>
      <c r="AA480" s="563"/>
      <c r="AB480" s="612"/>
      <c r="AC480" s="569"/>
      <c r="AD480" s="563"/>
      <c r="AE480" s="563"/>
      <c r="AF480" s="563"/>
      <c r="AG480" s="563"/>
      <c r="AH480" s="563"/>
      <c r="AI480" s="563"/>
      <c r="AJ480" s="680"/>
      <c r="AK480" s="563"/>
      <c r="AL480" s="563"/>
      <c r="AM480" s="563"/>
      <c r="AN480" s="563"/>
      <c r="AO480" s="563"/>
      <c r="AP480" s="46"/>
      <c r="AQ480" s="46"/>
      <c r="AR480" s="46"/>
      <c r="AS480" s="46"/>
      <c r="AT480" s="46"/>
      <c r="AU480" s="46"/>
      <c r="AV480" s="46"/>
      <c r="AW480" s="46"/>
      <c r="AX480" s="46"/>
      <c r="AY480" s="46"/>
      <c r="AZ480" s="563" t="str">
        <f ca="1">IFERROR(__xludf.DUMMYFUNCTION("""COMPUTED_VALUE"""),"Terra Sycamore")</f>
        <v>Terra Sycamore</v>
      </c>
      <c r="BA480" s="569"/>
      <c r="BB480" s="563"/>
      <c r="BC480" s="569"/>
      <c r="BD480" s="563"/>
      <c r="BE480" s="46"/>
      <c r="BF480" s="46"/>
      <c r="BG480" s="563"/>
      <c r="BH480" s="563"/>
      <c r="BI480" s="563"/>
      <c r="BJ480" s="563"/>
    </row>
    <row r="481" spans="2:62" x14ac:dyDescent="0.25">
      <c r="B481" s="569"/>
      <c r="C481" s="672"/>
      <c r="D481" s="563"/>
      <c r="E481" s="563"/>
      <c r="F481" s="569"/>
      <c r="G481" s="563"/>
      <c r="H481" s="563"/>
      <c r="I481" s="600"/>
      <c r="J481" s="569"/>
      <c r="K481" s="563"/>
      <c r="L481" s="563"/>
      <c r="M481" s="563"/>
      <c r="N481" s="563"/>
      <c r="O481" s="563"/>
      <c r="P481" s="563"/>
      <c r="Q481" s="563"/>
      <c r="R481" s="563"/>
      <c r="S481" s="563"/>
      <c r="T481" s="563"/>
      <c r="U481" s="563"/>
      <c r="V481" s="563"/>
      <c r="W481" s="563"/>
      <c r="X481" s="565"/>
      <c r="Y481" s="612"/>
      <c r="Z481" s="612"/>
      <c r="AA481" s="563"/>
      <c r="AB481" s="612"/>
      <c r="AC481" s="569"/>
      <c r="AD481" s="563"/>
      <c r="AE481" s="563"/>
      <c r="AF481" s="563"/>
      <c r="AG481" s="563"/>
      <c r="AH481" s="563"/>
      <c r="AI481" s="563"/>
      <c r="AJ481" s="680"/>
      <c r="AK481" s="563"/>
      <c r="AL481" s="563"/>
      <c r="AM481" s="563"/>
      <c r="AN481" s="563"/>
      <c r="AO481" s="563"/>
      <c r="AP481" s="46"/>
      <c r="AQ481" s="46"/>
      <c r="AR481" s="46"/>
      <c r="AS481" s="46"/>
      <c r="AT481" s="46"/>
      <c r="AU481" s="46"/>
      <c r="AV481" s="46"/>
      <c r="AW481" s="46"/>
      <c r="AX481" s="46"/>
      <c r="AY481" s="46"/>
      <c r="AZ481" s="563" t="str">
        <f ca="1">IFERROR(__xludf.DUMMYFUNCTION("""COMPUTED_VALUE"""),"The Gas Amelia")</f>
        <v>The Gas Amelia</v>
      </c>
      <c r="BA481" s="569"/>
      <c r="BB481" s="563"/>
      <c r="BC481" s="569"/>
      <c r="BD481" s="563"/>
      <c r="BE481" s="46"/>
      <c r="BF481" s="46"/>
      <c r="BG481" s="563"/>
      <c r="BH481" s="563"/>
      <c r="BI481" s="563"/>
      <c r="BJ481" s="563"/>
    </row>
    <row r="482" spans="2:62" x14ac:dyDescent="0.25">
      <c r="B482" s="569"/>
      <c r="C482" s="672"/>
      <c r="D482" s="563"/>
      <c r="E482" s="563"/>
      <c r="F482" s="569"/>
      <c r="G482" s="563"/>
      <c r="H482" s="563"/>
      <c r="I482" s="600"/>
      <c r="J482" s="569"/>
      <c r="K482" s="563"/>
      <c r="L482" s="563"/>
      <c r="M482" s="563"/>
      <c r="N482" s="563"/>
      <c r="O482" s="563"/>
      <c r="P482" s="563"/>
      <c r="Q482" s="563"/>
      <c r="R482" s="563"/>
      <c r="S482" s="563"/>
      <c r="T482" s="563"/>
      <c r="U482" s="563"/>
      <c r="V482" s="563"/>
      <c r="W482" s="563"/>
      <c r="X482" s="565"/>
      <c r="Y482" s="612"/>
      <c r="Z482" s="612"/>
      <c r="AA482" s="563"/>
      <c r="AB482" s="612"/>
      <c r="AC482" s="569"/>
      <c r="AD482" s="563"/>
      <c r="AE482" s="563"/>
      <c r="AF482" s="563"/>
      <c r="AG482" s="563"/>
      <c r="AH482" s="563"/>
      <c r="AI482" s="563"/>
      <c r="AJ482" s="680"/>
      <c r="AK482" s="563"/>
      <c r="AL482" s="563"/>
      <c r="AM482" s="563"/>
      <c r="AN482" s="563"/>
      <c r="AO482" s="563"/>
      <c r="AP482" s="46"/>
      <c r="AQ482" s="46"/>
      <c r="AR482" s="46"/>
      <c r="AS482" s="46"/>
      <c r="AT482" s="46"/>
      <c r="AU482" s="46"/>
      <c r="AV482" s="46"/>
      <c r="AW482" s="46"/>
      <c r="AX482" s="46"/>
      <c r="AY482" s="46"/>
      <c r="AZ482" s="563" t="str">
        <f ca="1">IFERROR(__xludf.DUMMYFUNCTION("""COMPUTED_VALUE"""),"Tulip")</f>
        <v>Tulip</v>
      </c>
      <c r="BA482" s="569"/>
      <c r="BB482" s="563"/>
      <c r="BC482" s="569"/>
      <c r="BD482" s="563"/>
      <c r="BE482" s="46"/>
      <c r="BF482" s="46"/>
      <c r="BG482" s="563"/>
      <c r="BH482" s="563"/>
      <c r="BI482" s="563"/>
      <c r="BJ482" s="563"/>
    </row>
    <row r="483" spans="2:62" x14ac:dyDescent="0.25">
      <c r="B483" s="569"/>
      <c r="C483" s="672"/>
      <c r="D483" s="563"/>
      <c r="E483" s="563"/>
      <c r="F483" s="569"/>
      <c r="G483" s="563"/>
      <c r="H483" s="563"/>
      <c r="I483" s="600"/>
      <c r="J483" s="569"/>
      <c r="K483" s="563"/>
      <c r="L483" s="563"/>
      <c r="M483" s="563"/>
      <c r="N483" s="563"/>
      <c r="O483" s="563"/>
      <c r="P483" s="563"/>
      <c r="Q483" s="563"/>
      <c r="R483" s="563"/>
      <c r="S483" s="563"/>
      <c r="T483" s="563"/>
      <c r="U483" s="563"/>
      <c r="V483" s="563"/>
      <c r="W483" s="563"/>
      <c r="X483" s="565"/>
      <c r="Y483" s="612"/>
      <c r="Z483" s="612"/>
      <c r="AA483" s="563"/>
      <c r="AB483" s="612"/>
      <c r="AC483" s="569"/>
      <c r="AD483" s="563"/>
      <c r="AE483" s="563"/>
      <c r="AF483" s="563"/>
      <c r="AG483" s="563"/>
      <c r="AH483" s="563"/>
      <c r="AI483" s="563"/>
      <c r="AJ483" s="680"/>
      <c r="AK483" s="563"/>
      <c r="AL483" s="563"/>
      <c r="AM483" s="563"/>
      <c r="AN483" s="563"/>
      <c r="AO483" s="563"/>
      <c r="AP483" s="46"/>
      <c r="AQ483" s="46"/>
      <c r="AR483" s="46"/>
      <c r="AS483" s="46"/>
      <c r="AT483" s="46"/>
      <c r="AU483" s="46"/>
      <c r="AV483" s="46"/>
      <c r="AW483" s="46"/>
      <c r="AX483" s="46"/>
      <c r="AY483" s="46"/>
      <c r="AZ483" s="563" t="str">
        <f ca="1">IFERROR(__xludf.DUMMYFUNCTION("""COMPUTED_VALUE"""),"Valano")</f>
        <v>Valano</v>
      </c>
      <c r="BA483" s="569"/>
      <c r="BB483" s="563"/>
      <c r="BC483" s="569"/>
      <c r="BD483" s="563"/>
      <c r="BE483" s="46"/>
      <c r="BF483" s="46"/>
      <c r="BG483" s="563"/>
      <c r="BH483" s="563"/>
      <c r="BI483" s="563"/>
      <c r="BJ483" s="563"/>
    </row>
    <row r="484" spans="2:62" x14ac:dyDescent="0.25">
      <c r="B484" s="569"/>
      <c r="C484" s="672"/>
      <c r="D484" s="563"/>
      <c r="E484" s="563"/>
      <c r="F484" s="569"/>
      <c r="G484" s="563"/>
      <c r="H484" s="563"/>
      <c r="I484" s="600"/>
      <c r="J484" s="569"/>
      <c r="K484" s="563"/>
      <c r="L484" s="563"/>
      <c r="M484" s="563"/>
      <c r="N484" s="563"/>
      <c r="O484" s="563"/>
      <c r="P484" s="563"/>
      <c r="Q484" s="563"/>
      <c r="R484" s="563"/>
      <c r="S484" s="563"/>
      <c r="T484" s="563"/>
      <c r="U484" s="563"/>
      <c r="V484" s="563"/>
      <c r="W484" s="563"/>
      <c r="X484" s="565"/>
      <c r="Y484" s="612"/>
      <c r="Z484" s="612"/>
      <c r="AA484" s="563"/>
      <c r="AB484" s="612"/>
      <c r="AC484" s="569"/>
      <c r="AD484" s="563"/>
      <c r="AE484" s="563"/>
      <c r="AF484" s="563"/>
      <c r="AG484" s="563"/>
      <c r="AH484" s="563"/>
      <c r="AI484" s="563"/>
      <c r="AJ484" s="680"/>
      <c r="AK484" s="563"/>
      <c r="AL484" s="563"/>
      <c r="AM484" s="563"/>
      <c r="AN484" s="563"/>
      <c r="AO484" s="563"/>
      <c r="AP484" s="46"/>
      <c r="AQ484" s="46"/>
      <c r="AR484" s="46"/>
      <c r="AS484" s="46"/>
      <c r="AT484" s="46"/>
      <c r="AU484" s="46"/>
      <c r="AV484" s="46"/>
      <c r="AW484" s="46"/>
      <c r="AX484" s="46"/>
      <c r="AY484" s="46"/>
      <c r="AZ484" s="563" t="str">
        <f ca="1">IFERROR(__xludf.DUMMYFUNCTION("""COMPUTED_VALUE"""),"Viet Dragon 68")</f>
        <v>Viet Dragon 68</v>
      </c>
      <c r="BA484" s="569"/>
      <c r="BB484" s="563"/>
      <c r="BC484" s="569"/>
      <c r="BD484" s="563"/>
      <c r="BE484" s="46"/>
      <c r="BF484" s="46"/>
      <c r="BG484" s="563"/>
      <c r="BH484" s="563"/>
      <c r="BI484" s="563"/>
      <c r="BJ484" s="563"/>
    </row>
    <row r="485" spans="2:62" x14ac:dyDescent="0.25">
      <c r="B485" s="569"/>
      <c r="C485" s="672"/>
      <c r="D485" s="563"/>
      <c r="E485" s="563"/>
      <c r="F485" s="569"/>
      <c r="G485" s="563"/>
      <c r="H485" s="563"/>
      <c r="I485" s="600"/>
      <c r="J485" s="569"/>
      <c r="K485" s="563"/>
      <c r="L485" s="563"/>
      <c r="M485" s="563"/>
      <c r="N485" s="563"/>
      <c r="O485" s="563"/>
      <c r="P485" s="563"/>
      <c r="Q485" s="563"/>
      <c r="R485" s="563"/>
      <c r="S485" s="563"/>
      <c r="T485" s="563"/>
      <c r="U485" s="563"/>
      <c r="V485" s="563"/>
      <c r="W485" s="563"/>
      <c r="X485" s="565"/>
      <c r="Y485" s="612"/>
      <c r="Z485" s="612"/>
      <c r="AA485" s="563"/>
      <c r="AB485" s="612"/>
      <c r="AC485" s="569"/>
      <c r="AD485" s="563"/>
      <c r="AE485" s="563"/>
      <c r="AF485" s="563"/>
      <c r="AG485" s="563"/>
      <c r="AH485" s="563"/>
      <c r="AI485" s="563"/>
      <c r="AJ485" s="680"/>
      <c r="AK485" s="563"/>
      <c r="AL485" s="563"/>
      <c r="AM485" s="563"/>
      <c r="AN485" s="563"/>
      <c r="AO485" s="563"/>
      <c r="AP485" s="46"/>
      <c r="AQ485" s="46"/>
      <c r="AR485" s="46"/>
      <c r="AS485" s="46"/>
      <c r="AT485" s="46"/>
      <c r="AU485" s="46"/>
      <c r="AV485" s="46"/>
      <c r="AW485" s="46"/>
      <c r="AX485" s="46"/>
      <c r="AY485" s="46"/>
      <c r="AZ485" s="563" t="str">
        <f ca="1">IFERROR(__xludf.DUMMYFUNCTION("""COMPUTED_VALUE"""),"Xavia")</f>
        <v>Xavia</v>
      </c>
      <c r="BA485" s="569"/>
      <c r="BB485" s="563"/>
      <c r="BC485" s="569"/>
      <c r="BD485" s="563"/>
      <c r="BE485" s="46"/>
      <c r="BF485" s="46"/>
      <c r="BG485" s="563"/>
      <c r="BH485" s="563"/>
      <c r="BI485" s="563"/>
      <c r="BJ485" s="563"/>
    </row>
    <row r="486" spans="2:62" x14ac:dyDescent="0.25">
      <c r="B486" s="569"/>
      <c r="C486" s="672"/>
      <c r="D486" s="563"/>
      <c r="E486" s="563"/>
      <c r="F486" s="569"/>
      <c r="G486" s="563"/>
      <c r="H486" s="563"/>
      <c r="I486" s="600"/>
      <c r="J486" s="569"/>
      <c r="K486" s="563"/>
      <c r="L486" s="563"/>
      <c r="M486" s="563"/>
      <c r="N486" s="563"/>
      <c r="O486" s="563"/>
      <c r="P486" s="563"/>
      <c r="Q486" s="563"/>
      <c r="R486" s="563"/>
      <c r="S486" s="563"/>
      <c r="T486" s="563"/>
      <c r="U486" s="563"/>
      <c r="V486" s="563"/>
      <c r="W486" s="563"/>
      <c r="X486" s="565"/>
      <c r="Y486" s="612"/>
      <c r="Z486" s="612"/>
      <c r="AA486" s="563"/>
      <c r="AB486" s="612"/>
      <c r="AC486" s="569"/>
      <c r="AD486" s="563"/>
      <c r="AE486" s="563"/>
      <c r="AF486" s="563"/>
      <c r="AG486" s="563"/>
      <c r="AH486" s="563"/>
      <c r="AI486" s="563"/>
      <c r="AJ486" s="680"/>
      <c r="AK486" s="563"/>
      <c r="AL486" s="563"/>
      <c r="AM486" s="563"/>
      <c r="AN486" s="563"/>
      <c r="AO486" s="563"/>
      <c r="AP486" s="46"/>
      <c r="AQ486" s="46"/>
      <c r="AR486" s="46"/>
      <c r="AS486" s="46"/>
      <c r="AT486" s="46"/>
      <c r="AU486" s="46"/>
      <c r="AV486" s="46"/>
      <c r="AW486" s="46"/>
      <c r="AX486" s="46"/>
      <c r="AY486" s="46"/>
      <c r="AZ486" s="563" t="str">
        <f ca="1">IFERROR(__xludf.DUMMYFUNCTION("""COMPUTED_VALUE"""),"Xi Wang Mu")</f>
        <v>Xi Wang Mu</v>
      </c>
      <c r="BA486" s="569"/>
      <c r="BB486" s="563"/>
      <c r="BC486" s="569"/>
      <c r="BD486" s="563"/>
      <c r="BE486" s="46"/>
      <c r="BF486" s="46"/>
      <c r="BG486" s="563"/>
      <c r="BH486" s="563"/>
      <c r="BI486" s="563"/>
      <c r="BJ486" s="563"/>
    </row>
    <row r="487" spans="2:62" x14ac:dyDescent="0.25">
      <c r="B487" s="569"/>
      <c r="C487" s="672"/>
      <c r="D487" s="563"/>
      <c r="E487" s="563"/>
      <c r="F487" s="569"/>
      <c r="G487" s="563"/>
      <c r="H487" s="563"/>
      <c r="I487" s="600"/>
      <c r="J487" s="569"/>
      <c r="K487" s="563"/>
      <c r="L487" s="563"/>
      <c r="M487" s="563"/>
      <c r="N487" s="563"/>
      <c r="O487" s="563"/>
      <c r="P487" s="563"/>
      <c r="Q487" s="563"/>
      <c r="R487" s="563"/>
      <c r="S487" s="563"/>
      <c r="T487" s="563"/>
      <c r="U487" s="563"/>
      <c r="V487" s="563"/>
      <c r="W487" s="563"/>
      <c r="X487" s="565"/>
      <c r="Y487" s="612"/>
      <c r="Z487" s="612"/>
      <c r="AA487" s="563"/>
      <c r="AB487" s="612"/>
      <c r="AC487" s="569"/>
      <c r="AD487" s="563"/>
      <c r="AE487" s="563"/>
      <c r="AF487" s="563"/>
      <c r="AG487" s="563"/>
      <c r="AH487" s="563"/>
      <c r="AI487" s="563"/>
      <c r="AJ487" s="680"/>
      <c r="AK487" s="563"/>
      <c r="AL487" s="563"/>
      <c r="AM487" s="563"/>
      <c r="AN487" s="563"/>
      <c r="AO487" s="563"/>
      <c r="AP487" s="46"/>
      <c r="AQ487" s="46"/>
      <c r="AR487" s="46"/>
      <c r="AS487" s="46"/>
      <c r="AT487" s="46"/>
      <c r="AU487" s="46"/>
      <c r="AV487" s="46"/>
      <c r="AW487" s="46"/>
      <c r="AX487" s="46"/>
      <c r="AY487" s="46"/>
      <c r="AZ487" s="563" t="str">
        <f ca="1">IFERROR(__xludf.DUMMYFUNCTION("""COMPUTED_VALUE"""),"Ziran")</f>
        <v>Ziran</v>
      </c>
      <c r="BA487" s="569"/>
      <c r="BB487" s="563"/>
      <c r="BC487" s="569"/>
      <c r="BD487" s="563"/>
      <c r="BE487" s="46"/>
      <c r="BF487" s="46"/>
      <c r="BG487" s="563"/>
      <c r="BH487" s="563"/>
      <c r="BI487" s="563"/>
      <c r="BJ487" s="563"/>
    </row>
    <row r="488" spans="2:62" x14ac:dyDescent="0.25">
      <c r="B488" s="569"/>
      <c r="C488" s="672"/>
      <c r="D488" s="563"/>
      <c r="E488" s="563"/>
      <c r="F488" s="569"/>
      <c r="G488" s="563"/>
      <c r="H488" s="563"/>
      <c r="I488" s="600"/>
      <c r="J488" s="569"/>
      <c r="K488" s="563"/>
      <c r="L488" s="563"/>
      <c r="M488" s="563"/>
      <c r="N488" s="563"/>
      <c r="O488" s="563"/>
      <c r="P488" s="563"/>
      <c r="Q488" s="563"/>
      <c r="R488" s="563"/>
      <c r="S488" s="563"/>
      <c r="T488" s="563"/>
      <c r="U488" s="563"/>
      <c r="V488" s="563"/>
      <c r="W488" s="563"/>
      <c r="X488" s="565"/>
      <c r="Y488" s="612"/>
      <c r="Z488" s="612"/>
      <c r="AA488" s="563"/>
      <c r="AB488" s="612"/>
      <c r="AC488" s="569"/>
      <c r="AD488" s="563"/>
      <c r="AE488" s="563"/>
      <c r="AF488" s="563"/>
      <c r="AG488" s="563"/>
      <c r="AH488" s="563"/>
      <c r="AI488" s="563"/>
      <c r="AJ488" s="680"/>
      <c r="AK488" s="563"/>
      <c r="AL488" s="563"/>
      <c r="AM488" s="563"/>
      <c r="AN488" s="563"/>
      <c r="AO488" s="563"/>
      <c r="AP488" s="46"/>
      <c r="AQ488" s="46"/>
      <c r="AR488" s="46"/>
      <c r="AS488" s="46"/>
      <c r="AT488" s="46"/>
      <c r="AU488" s="46"/>
      <c r="AV488" s="46"/>
      <c r="AW488" s="46"/>
      <c r="AX488" s="46"/>
      <c r="AY488" s="46"/>
      <c r="AZ488" s="563" t="str">
        <f ca="1">IFERROR(__xludf.DUMMYFUNCTION("""COMPUTED_VALUE"""),"Zixuan")</f>
        <v>Zixuan</v>
      </c>
      <c r="BA488" s="569"/>
      <c r="BB488" s="563"/>
      <c r="BC488" s="569"/>
      <c r="BD488" s="563"/>
      <c r="BE488" s="46"/>
      <c r="BF488" s="46"/>
      <c r="BG488" s="563"/>
      <c r="BH488" s="563"/>
      <c r="BI488" s="563"/>
      <c r="BJ488" s="563"/>
    </row>
    <row r="489" spans="2:62" x14ac:dyDescent="0.25">
      <c r="B489" s="569"/>
      <c r="C489" s="672"/>
      <c r="D489" s="563"/>
      <c r="E489" s="563"/>
      <c r="F489" s="569"/>
      <c r="G489" s="563"/>
      <c r="H489" s="563"/>
      <c r="I489" s="600"/>
      <c r="J489" s="569"/>
      <c r="K489" s="563"/>
      <c r="L489" s="563"/>
      <c r="M489" s="563"/>
      <c r="N489" s="563"/>
      <c r="O489" s="563"/>
      <c r="P489" s="563"/>
      <c r="Q489" s="563"/>
      <c r="R489" s="563"/>
      <c r="S489" s="563"/>
      <c r="T489" s="563"/>
      <c r="U489" s="563"/>
      <c r="V489" s="563"/>
      <c r="W489" s="563"/>
      <c r="X489" s="565"/>
      <c r="Y489" s="612"/>
      <c r="Z489" s="612"/>
      <c r="AA489" s="563"/>
      <c r="AB489" s="612"/>
      <c r="AC489" s="569"/>
      <c r="AD489" s="563"/>
      <c r="AE489" s="563"/>
      <c r="AF489" s="563"/>
      <c r="AG489" s="563"/>
      <c r="AH489" s="563"/>
      <c r="AI489" s="563"/>
      <c r="AJ489" s="680"/>
      <c r="AK489" s="563"/>
      <c r="AL489" s="563"/>
      <c r="AM489" s="563"/>
      <c r="AN489" s="563"/>
      <c r="AO489" s="563"/>
      <c r="AP489" s="46"/>
      <c r="AQ489" s="46"/>
      <c r="AR489" s="46"/>
      <c r="AS489" s="46"/>
      <c r="AT489" s="46"/>
      <c r="AU489" s="46"/>
      <c r="AV489" s="46"/>
      <c r="AW489" s="46"/>
      <c r="AX489" s="46"/>
      <c r="AY489" s="46"/>
      <c r="AZ489" s="563"/>
      <c r="BA489" s="569"/>
      <c r="BB489" s="563"/>
      <c r="BC489" s="569"/>
      <c r="BD489" s="563"/>
      <c r="BE489" s="46"/>
      <c r="BF489" s="46"/>
      <c r="BG489" s="563"/>
      <c r="BH489" s="563"/>
      <c r="BI489" s="563"/>
      <c r="BJ489" s="563"/>
    </row>
    <row r="490" spans="2:62" x14ac:dyDescent="0.25">
      <c r="B490" s="569"/>
      <c r="C490" s="672"/>
      <c r="D490" s="563"/>
      <c r="E490" s="563"/>
      <c r="F490" s="569"/>
      <c r="G490" s="563"/>
      <c r="H490" s="563"/>
      <c r="I490" s="600"/>
      <c r="J490" s="569"/>
      <c r="K490" s="563"/>
      <c r="L490" s="563"/>
      <c r="M490" s="563"/>
      <c r="N490" s="563"/>
      <c r="O490" s="563"/>
      <c r="P490" s="563"/>
      <c r="Q490" s="563"/>
      <c r="R490" s="563"/>
      <c r="S490" s="563"/>
      <c r="T490" s="563"/>
      <c r="U490" s="563"/>
      <c r="V490" s="563"/>
      <c r="W490" s="563"/>
      <c r="X490" s="565"/>
      <c r="Y490" s="612"/>
      <c r="Z490" s="612"/>
      <c r="AA490" s="563"/>
      <c r="AB490" s="612"/>
      <c r="AC490" s="569"/>
      <c r="AD490" s="563"/>
      <c r="AE490" s="563"/>
      <c r="AF490" s="563"/>
      <c r="AG490" s="563"/>
      <c r="AH490" s="563"/>
      <c r="AI490" s="563"/>
      <c r="AJ490" s="680"/>
      <c r="AK490" s="563"/>
      <c r="AL490" s="563"/>
      <c r="AM490" s="563"/>
      <c r="AN490" s="563"/>
      <c r="AO490" s="563"/>
      <c r="AP490" s="46"/>
      <c r="AQ490" s="46"/>
      <c r="AR490" s="46"/>
      <c r="AS490" s="46"/>
      <c r="AT490" s="46"/>
      <c r="AU490" s="46"/>
      <c r="AV490" s="46"/>
      <c r="AW490" s="46"/>
      <c r="AX490" s="46"/>
      <c r="AY490" s="46"/>
      <c r="AZ490" s="563"/>
      <c r="BA490" s="569"/>
      <c r="BB490" s="563"/>
      <c r="BC490" s="569"/>
      <c r="BD490" s="563"/>
      <c r="BE490" s="46"/>
      <c r="BF490" s="46"/>
      <c r="BG490" s="563"/>
      <c r="BH490" s="563"/>
      <c r="BI490" s="563"/>
      <c r="BJ490" s="563"/>
    </row>
    <row r="491" spans="2:62" x14ac:dyDescent="0.25">
      <c r="B491" s="569"/>
      <c r="C491" s="672"/>
      <c r="D491" s="563"/>
      <c r="E491" s="563"/>
      <c r="F491" s="569"/>
      <c r="G491" s="563"/>
      <c r="H491" s="563"/>
      <c r="I491" s="600"/>
      <c r="J491" s="569"/>
      <c r="K491" s="563"/>
      <c r="L491" s="563"/>
      <c r="M491" s="563"/>
      <c r="N491" s="563"/>
      <c r="O491" s="563"/>
      <c r="P491" s="563"/>
      <c r="Q491" s="563"/>
      <c r="R491" s="563"/>
      <c r="S491" s="563"/>
      <c r="T491" s="563"/>
      <c r="U491" s="563"/>
      <c r="V491" s="563"/>
      <c r="W491" s="563"/>
      <c r="X491" s="565"/>
      <c r="Y491" s="612"/>
      <c r="Z491" s="612"/>
      <c r="AA491" s="563"/>
      <c r="AB491" s="612"/>
      <c r="AC491" s="569"/>
      <c r="AD491" s="563"/>
      <c r="AE491" s="563"/>
      <c r="AF491" s="563"/>
      <c r="AG491" s="563"/>
      <c r="AH491" s="563"/>
      <c r="AI491" s="563"/>
      <c r="AJ491" s="680"/>
      <c r="AK491" s="563"/>
      <c r="AL491" s="563"/>
      <c r="AM491" s="563"/>
      <c r="AN491" s="563"/>
      <c r="AO491" s="563"/>
      <c r="AP491" s="46"/>
      <c r="AQ491" s="46"/>
      <c r="AR491" s="46"/>
      <c r="AS491" s="46"/>
      <c r="AT491" s="46"/>
      <c r="AU491" s="46"/>
      <c r="AV491" s="46"/>
      <c r="AW491" s="46"/>
      <c r="AX491" s="46"/>
      <c r="AY491" s="46"/>
      <c r="AZ491" s="563"/>
      <c r="BA491" s="569"/>
      <c r="BB491" s="563"/>
      <c r="BC491" s="569"/>
      <c r="BD491" s="563"/>
      <c r="BE491" s="46"/>
      <c r="BF491" s="46"/>
      <c r="BG491" s="563"/>
      <c r="BH491" s="563"/>
      <c r="BI491" s="563"/>
      <c r="BJ491" s="563"/>
    </row>
    <row r="492" spans="2:62" x14ac:dyDescent="0.25">
      <c r="B492" s="569"/>
      <c r="C492" s="672"/>
      <c r="D492" s="563"/>
      <c r="E492" s="563"/>
      <c r="F492" s="569"/>
      <c r="G492" s="563"/>
      <c r="H492" s="563"/>
      <c r="I492" s="600"/>
      <c r="J492" s="569"/>
      <c r="K492" s="563"/>
      <c r="L492" s="563"/>
      <c r="M492" s="563"/>
      <c r="N492" s="563"/>
      <c r="O492" s="563"/>
      <c r="P492" s="563"/>
      <c r="Q492" s="563"/>
      <c r="R492" s="563"/>
      <c r="S492" s="563"/>
      <c r="T492" s="563"/>
      <c r="U492" s="563"/>
      <c r="V492" s="563"/>
      <c r="W492" s="563"/>
      <c r="X492" s="565"/>
      <c r="Y492" s="612"/>
      <c r="Z492" s="612"/>
      <c r="AA492" s="563"/>
      <c r="AB492" s="612"/>
      <c r="AC492" s="569"/>
      <c r="AD492" s="563"/>
      <c r="AE492" s="563"/>
      <c r="AF492" s="563"/>
      <c r="AG492" s="563"/>
      <c r="AH492" s="563"/>
      <c r="AI492" s="563"/>
      <c r="AJ492" s="680"/>
      <c r="AK492" s="563"/>
      <c r="AL492" s="563"/>
      <c r="AM492" s="563"/>
      <c r="AN492" s="563"/>
      <c r="AO492" s="563"/>
      <c r="AP492" s="46"/>
      <c r="AQ492" s="46"/>
      <c r="AR492" s="46"/>
      <c r="AS492" s="46"/>
      <c r="AT492" s="46"/>
      <c r="AU492" s="46"/>
      <c r="AV492" s="46"/>
      <c r="AW492" s="46"/>
      <c r="AX492" s="46"/>
      <c r="AY492" s="46"/>
      <c r="AZ492" s="563"/>
      <c r="BA492" s="569"/>
      <c r="BB492" s="563"/>
      <c r="BC492" s="569"/>
      <c r="BD492" s="563"/>
      <c r="BE492" s="46"/>
      <c r="BF492" s="46"/>
      <c r="BG492" s="563"/>
      <c r="BH492" s="563"/>
      <c r="BI492" s="563"/>
      <c r="BJ492" s="563"/>
    </row>
    <row r="493" spans="2:62" x14ac:dyDescent="0.25">
      <c r="B493" s="569"/>
      <c r="C493" s="672"/>
      <c r="D493" s="563"/>
      <c r="E493" s="563"/>
      <c r="F493" s="569"/>
      <c r="G493" s="563"/>
      <c r="H493" s="563"/>
      <c r="I493" s="600"/>
      <c r="J493" s="569"/>
      <c r="K493" s="563"/>
      <c r="L493" s="563"/>
      <c r="M493" s="563"/>
      <c r="N493" s="563"/>
      <c r="O493" s="563"/>
      <c r="P493" s="563"/>
      <c r="Q493" s="563"/>
      <c r="R493" s="563"/>
      <c r="S493" s="563"/>
      <c r="T493" s="563"/>
      <c r="U493" s="563"/>
      <c r="V493" s="563"/>
      <c r="W493" s="563"/>
      <c r="X493" s="565"/>
      <c r="Y493" s="612"/>
      <c r="Z493" s="612"/>
      <c r="AA493" s="563"/>
      <c r="AB493" s="612"/>
      <c r="AC493" s="569"/>
      <c r="AD493" s="563"/>
      <c r="AE493" s="563"/>
      <c r="AF493" s="563"/>
      <c r="AG493" s="563"/>
      <c r="AH493" s="563"/>
      <c r="AI493" s="563"/>
      <c r="AJ493" s="680"/>
      <c r="AK493" s="563"/>
      <c r="AL493" s="563"/>
      <c r="AM493" s="563"/>
      <c r="AN493" s="563"/>
      <c r="AO493" s="563"/>
      <c r="AP493" s="46"/>
      <c r="AQ493" s="46"/>
      <c r="AR493" s="46"/>
      <c r="AS493" s="46"/>
      <c r="AT493" s="46"/>
      <c r="AU493" s="46"/>
      <c r="AV493" s="46"/>
      <c r="AW493" s="46"/>
      <c r="AX493" s="46"/>
      <c r="AY493" s="46"/>
      <c r="AZ493" s="563"/>
      <c r="BA493" s="569"/>
      <c r="BB493" s="563"/>
      <c r="BC493" s="569"/>
      <c r="BD493" s="563"/>
      <c r="BE493" s="46"/>
      <c r="BF493" s="46"/>
      <c r="BG493" s="563"/>
      <c r="BH493" s="563"/>
      <c r="BI493" s="563"/>
      <c r="BJ493" s="563"/>
    </row>
    <row r="494" spans="2:62" x14ac:dyDescent="0.25">
      <c r="B494" s="569"/>
      <c r="C494" s="672"/>
      <c r="D494" s="563"/>
      <c r="E494" s="563"/>
      <c r="F494" s="569"/>
      <c r="G494" s="563"/>
      <c r="H494" s="563"/>
      <c r="I494" s="600"/>
      <c r="J494" s="569"/>
      <c r="K494" s="563"/>
      <c r="L494" s="563"/>
      <c r="M494" s="563"/>
      <c r="N494" s="563"/>
      <c r="O494" s="563"/>
      <c r="P494" s="563"/>
      <c r="Q494" s="563"/>
      <c r="R494" s="563"/>
      <c r="S494" s="563"/>
      <c r="T494" s="563"/>
      <c r="U494" s="563"/>
      <c r="V494" s="563"/>
      <c r="W494" s="563"/>
      <c r="X494" s="565"/>
      <c r="Y494" s="612"/>
      <c r="Z494" s="612"/>
      <c r="AA494" s="563"/>
      <c r="AB494" s="612"/>
      <c r="AC494" s="569"/>
      <c r="AD494" s="563"/>
      <c r="AE494" s="563"/>
      <c r="AF494" s="563"/>
      <c r="AG494" s="563"/>
      <c r="AH494" s="563"/>
      <c r="AI494" s="563"/>
      <c r="AJ494" s="680"/>
      <c r="AK494" s="563"/>
      <c r="AL494" s="563"/>
      <c r="AM494" s="563"/>
      <c r="AN494" s="563"/>
      <c r="AO494" s="563"/>
      <c r="AP494" s="46"/>
      <c r="AQ494" s="46"/>
      <c r="AR494" s="46"/>
      <c r="AS494" s="46"/>
      <c r="AT494" s="46"/>
      <c r="AU494" s="46"/>
      <c r="AV494" s="46"/>
      <c r="AW494" s="46"/>
      <c r="AX494" s="46"/>
      <c r="AY494" s="46"/>
      <c r="AZ494" s="563"/>
      <c r="BA494" s="569"/>
      <c r="BB494" s="563"/>
      <c r="BC494" s="569"/>
      <c r="BD494" s="563"/>
      <c r="BE494" s="46"/>
      <c r="BF494" s="46"/>
      <c r="BG494" s="563"/>
      <c r="BH494" s="563"/>
      <c r="BI494" s="563"/>
      <c r="BJ494" s="563"/>
    </row>
    <row r="495" spans="2:62" x14ac:dyDescent="0.25">
      <c r="B495" s="569"/>
      <c r="C495" s="672"/>
      <c r="D495" s="563"/>
      <c r="E495" s="563"/>
      <c r="F495" s="569"/>
      <c r="G495" s="563"/>
      <c r="H495" s="563"/>
      <c r="I495" s="600"/>
      <c r="J495" s="569"/>
      <c r="K495" s="563"/>
      <c r="L495" s="563"/>
      <c r="M495" s="563"/>
      <c r="N495" s="563"/>
      <c r="O495" s="563"/>
      <c r="P495" s="563"/>
      <c r="Q495" s="563"/>
      <c r="R495" s="563"/>
      <c r="S495" s="563"/>
      <c r="T495" s="563"/>
      <c r="U495" s="563"/>
      <c r="V495" s="563"/>
      <c r="W495" s="563"/>
      <c r="X495" s="565"/>
      <c r="Y495" s="612"/>
      <c r="Z495" s="612"/>
      <c r="AA495" s="563"/>
      <c r="AB495" s="612"/>
      <c r="AC495" s="569"/>
      <c r="AD495" s="563"/>
      <c r="AE495" s="563"/>
      <c r="AF495" s="563"/>
      <c r="AG495" s="563"/>
      <c r="AH495" s="563"/>
      <c r="AI495" s="563"/>
      <c r="AJ495" s="680"/>
      <c r="AK495" s="563"/>
      <c r="AL495" s="563"/>
      <c r="AM495" s="563"/>
      <c r="AN495" s="563"/>
      <c r="AO495" s="563"/>
      <c r="AP495" s="46"/>
      <c r="AQ495" s="46"/>
      <c r="AR495" s="46"/>
      <c r="AS495" s="46"/>
      <c r="AT495" s="46"/>
      <c r="AU495" s="46"/>
      <c r="AV495" s="46"/>
      <c r="AW495" s="46"/>
      <c r="AX495" s="46"/>
      <c r="AY495" s="46"/>
      <c r="AZ495" s="563"/>
      <c r="BA495" s="569"/>
      <c r="BB495" s="563"/>
      <c r="BC495" s="569"/>
      <c r="BD495" s="563"/>
      <c r="BE495" s="46"/>
      <c r="BF495" s="46"/>
      <c r="BG495" s="563"/>
      <c r="BH495" s="563"/>
      <c r="BI495" s="563"/>
      <c r="BJ495" s="563"/>
    </row>
    <row r="496" spans="2:62" x14ac:dyDescent="0.25">
      <c r="B496" s="569"/>
      <c r="C496" s="672"/>
      <c r="D496" s="563"/>
      <c r="E496" s="563"/>
      <c r="F496" s="569"/>
      <c r="G496" s="563"/>
      <c r="H496" s="563"/>
      <c r="I496" s="600"/>
      <c r="J496" s="569"/>
      <c r="K496" s="563"/>
      <c r="L496" s="563"/>
      <c r="M496" s="563"/>
      <c r="N496" s="563"/>
      <c r="O496" s="563"/>
      <c r="P496" s="563"/>
      <c r="Q496" s="563"/>
      <c r="R496" s="563"/>
      <c r="S496" s="563"/>
      <c r="T496" s="563"/>
      <c r="U496" s="563"/>
      <c r="V496" s="563"/>
      <c r="W496" s="563"/>
      <c r="X496" s="565"/>
      <c r="Y496" s="612"/>
      <c r="Z496" s="612"/>
      <c r="AA496" s="563"/>
      <c r="AB496" s="612"/>
      <c r="AC496" s="569"/>
      <c r="AD496" s="563"/>
      <c r="AE496" s="563"/>
      <c r="AF496" s="563"/>
      <c r="AG496" s="563"/>
      <c r="AH496" s="563"/>
      <c r="AI496" s="563"/>
      <c r="AJ496" s="680"/>
      <c r="AK496" s="563"/>
      <c r="AL496" s="563"/>
      <c r="AM496" s="563"/>
      <c r="AN496" s="563"/>
      <c r="AO496" s="563"/>
      <c r="AP496" s="46"/>
      <c r="AQ496" s="46"/>
      <c r="AR496" s="46"/>
      <c r="AS496" s="46"/>
      <c r="AT496" s="46"/>
      <c r="AU496" s="46"/>
      <c r="AV496" s="46"/>
      <c r="AW496" s="46"/>
      <c r="AX496" s="46"/>
      <c r="AY496" s="46"/>
      <c r="AZ496" s="563"/>
      <c r="BA496" s="569"/>
      <c r="BB496" s="563"/>
      <c r="BC496" s="569"/>
      <c r="BD496" s="563"/>
      <c r="BE496" s="46"/>
      <c r="BF496" s="46"/>
      <c r="BG496" s="563"/>
      <c r="BH496" s="563"/>
      <c r="BI496" s="563"/>
      <c r="BJ496" s="563"/>
    </row>
    <row r="497" spans="2:62" x14ac:dyDescent="0.25">
      <c r="B497" s="569"/>
      <c r="C497" s="672"/>
      <c r="D497" s="563"/>
      <c r="E497" s="563"/>
      <c r="F497" s="569"/>
      <c r="G497" s="563"/>
      <c r="H497" s="563"/>
      <c r="I497" s="600"/>
      <c r="J497" s="569"/>
      <c r="K497" s="563"/>
      <c r="L497" s="563"/>
      <c r="M497" s="563"/>
      <c r="N497" s="563"/>
      <c r="O497" s="563"/>
      <c r="P497" s="563"/>
      <c r="Q497" s="563"/>
      <c r="R497" s="563"/>
      <c r="S497" s="563"/>
      <c r="T497" s="563"/>
      <c r="U497" s="563"/>
      <c r="V497" s="563"/>
      <c r="W497" s="563"/>
      <c r="X497" s="565"/>
      <c r="Y497" s="612"/>
      <c r="Z497" s="612"/>
      <c r="AA497" s="563"/>
      <c r="AB497" s="612"/>
      <c r="AC497" s="569"/>
      <c r="AD497" s="563"/>
      <c r="AE497" s="563"/>
      <c r="AF497" s="563"/>
      <c r="AG497" s="563"/>
      <c r="AH497" s="563"/>
      <c r="AI497" s="563"/>
      <c r="AJ497" s="680"/>
      <c r="AK497" s="563"/>
      <c r="AL497" s="563"/>
      <c r="AM497" s="563"/>
      <c r="AN497" s="563"/>
      <c r="AO497" s="563"/>
      <c r="AP497" s="46"/>
      <c r="AQ497" s="46"/>
      <c r="AR497" s="46"/>
      <c r="AS497" s="46"/>
      <c r="AT497" s="46"/>
      <c r="AU497" s="46"/>
      <c r="AV497" s="46"/>
      <c r="AW497" s="46"/>
      <c r="AX497" s="46"/>
      <c r="AY497" s="46"/>
      <c r="AZ497" s="563"/>
      <c r="BA497" s="569"/>
      <c r="BB497" s="563"/>
      <c r="BC497" s="569"/>
      <c r="BD497" s="563"/>
      <c r="BE497" s="46"/>
      <c r="BF497" s="46"/>
      <c r="BG497" s="563"/>
      <c r="BH497" s="563"/>
      <c r="BI497" s="563"/>
      <c r="BJ497" s="563"/>
    </row>
    <row r="498" spans="2:62" x14ac:dyDescent="0.25">
      <c r="B498" s="569"/>
      <c r="C498" s="672"/>
      <c r="D498" s="563"/>
      <c r="E498" s="563"/>
      <c r="F498" s="569"/>
      <c r="G498" s="563"/>
      <c r="H498" s="563"/>
      <c r="I498" s="600"/>
      <c r="J498" s="569"/>
      <c r="K498" s="563"/>
      <c r="L498" s="563"/>
      <c r="M498" s="563"/>
      <c r="N498" s="563"/>
      <c r="O498" s="563"/>
      <c r="P498" s="563"/>
      <c r="Q498" s="563"/>
      <c r="R498" s="563"/>
      <c r="S498" s="563"/>
      <c r="T498" s="563"/>
      <c r="U498" s="563"/>
      <c r="V498" s="563"/>
      <c r="W498" s="563"/>
      <c r="X498" s="565"/>
      <c r="Y498" s="612"/>
      <c r="Z498" s="612"/>
      <c r="AA498" s="563"/>
      <c r="AB498" s="612"/>
      <c r="AC498" s="569"/>
      <c r="AD498" s="563"/>
      <c r="AE498" s="563"/>
      <c r="AF498" s="563"/>
      <c r="AG498" s="563"/>
      <c r="AH498" s="563"/>
      <c r="AI498" s="563"/>
      <c r="AJ498" s="680"/>
      <c r="AK498" s="563"/>
      <c r="AL498" s="563"/>
      <c r="AM498" s="563"/>
      <c r="AN498" s="563"/>
      <c r="AO498" s="563"/>
      <c r="AP498" s="46"/>
      <c r="AQ498" s="46"/>
      <c r="AR498" s="46"/>
      <c r="AS498" s="46"/>
      <c r="AT498" s="46"/>
      <c r="AU498" s="46"/>
      <c r="AV498" s="46"/>
      <c r="AW498" s="46"/>
      <c r="AX498" s="46"/>
      <c r="AY498" s="46"/>
      <c r="AZ498" s="563"/>
      <c r="BA498" s="569"/>
      <c r="BB498" s="563"/>
      <c r="BC498" s="569"/>
      <c r="BD498" s="563"/>
      <c r="BE498" s="46"/>
      <c r="BF498" s="46"/>
      <c r="BG498" s="563"/>
      <c r="BH498" s="563"/>
      <c r="BI498" s="563"/>
      <c r="BJ498" s="563"/>
    </row>
    <row r="499" spans="2:62" x14ac:dyDescent="0.25">
      <c r="B499" s="569"/>
      <c r="C499" s="672"/>
      <c r="D499" s="563"/>
      <c r="E499" s="563"/>
      <c r="F499" s="569"/>
      <c r="G499" s="563"/>
      <c r="H499" s="563"/>
      <c r="I499" s="600"/>
      <c r="J499" s="569"/>
      <c r="K499" s="563"/>
      <c r="L499" s="563"/>
      <c r="M499" s="563"/>
      <c r="N499" s="563"/>
      <c r="O499" s="563"/>
      <c r="P499" s="563"/>
      <c r="Q499" s="563"/>
      <c r="R499" s="563"/>
      <c r="S499" s="563"/>
      <c r="T499" s="563"/>
      <c r="U499" s="563"/>
      <c r="V499" s="563"/>
      <c r="W499" s="563"/>
      <c r="X499" s="565"/>
      <c r="Y499" s="612"/>
      <c r="Z499" s="612"/>
      <c r="AA499" s="563"/>
      <c r="AB499" s="612"/>
      <c r="AC499" s="569"/>
      <c r="AD499" s="563"/>
      <c r="AE499" s="563"/>
      <c r="AF499" s="563"/>
      <c r="AG499" s="563"/>
      <c r="AH499" s="563"/>
      <c r="AI499" s="563"/>
      <c r="AJ499" s="680"/>
      <c r="AK499" s="563"/>
      <c r="AL499" s="563"/>
      <c r="AM499" s="563"/>
      <c r="AN499" s="563"/>
      <c r="AO499" s="563"/>
      <c r="AP499" s="46"/>
      <c r="AQ499" s="46"/>
      <c r="AR499" s="46"/>
      <c r="AS499" s="46"/>
      <c r="AT499" s="46"/>
      <c r="AU499" s="46"/>
      <c r="AV499" s="46"/>
      <c r="AW499" s="46"/>
      <c r="AX499" s="46"/>
      <c r="AY499" s="46"/>
      <c r="AZ499" s="563"/>
      <c r="BA499" s="569"/>
      <c r="BB499" s="563"/>
      <c r="BC499" s="569"/>
      <c r="BD499" s="563"/>
      <c r="BE499" s="46"/>
      <c r="BF499" s="46"/>
      <c r="BG499" s="563"/>
      <c r="BH499" s="563"/>
      <c r="BI499" s="563"/>
      <c r="BJ499" s="563"/>
    </row>
    <row r="500" spans="2:62" x14ac:dyDescent="0.25">
      <c r="B500" s="569"/>
      <c r="C500" s="672"/>
      <c r="D500" s="563"/>
      <c r="E500" s="563"/>
      <c r="F500" s="569"/>
      <c r="G500" s="563"/>
      <c r="H500" s="563"/>
      <c r="I500" s="600"/>
      <c r="J500" s="569"/>
      <c r="K500" s="563"/>
      <c r="L500" s="563"/>
      <c r="M500" s="563"/>
      <c r="N500" s="563"/>
      <c r="O500" s="563"/>
      <c r="P500" s="563"/>
      <c r="Q500" s="563"/>
      <c r="R500" s="563"/>
      <c r="S500" s="563"/>
      <c r="T500" s="563"/>
      <c r="U500" s="563"/>
      <c r="V500" s="563"/>
      <c r="W500" s="563"/>
      <c r="X500" s="565"/>
      <c r="Y500" s="612"/>
      <c r="Z500" s="612"/>
      <c r="AA500" s="563"/>
      <c r="AB500" s="612"/>
      <c r="AC500" s="569"/>
      <c r="AD500" s="563"/>
      <c r="AE500" s="563"/>
      <c r="AF500" s="563"/>
      <c r="AG500" s="563"/>
      <c r="AH500" s="563"/>
      <c r="AI500" s="563"/>
      <c r="AJ500" s="680"/>
      <c r="AK500" s="563"/>
      <c r="AL500" s="563"/>
      <c r="AM500" s="563"/>
      <c r="AN500" s="563"/>
      <c r="AO500" s="563"/>
      <c r="AP500" s="46"/>
      <c r="AQ500" s="46"/>
      <c r="AR500" s="46"/>
      <c r="AS500" s="46"/>
      <c r="AT500" s="46"/>
      <c r="AU500" s="46"/>
      <c r="AV500" s="46"/>
      <c r="AW500" s="46"/>
      <c r="AX500" s="46"/>
      <c r="AY500" s="46"/>
      <c r="AZ500" s="563"/>
      <c r="BA500" s="569"/>
      <c r="BB500" s="563"/>
      <c r="BC500" s="569"/>
      <c r="BD500" s="563"/>
      <c r="BE500" s="46"/>
      <c r="BF500" s="46"/>
      <c r="BG500" s="563"/>
      <c r="BH500" s="563"/>
      <c r="BI500" s="563"/>
      <c r="BJ500" s="563"/>
    </row>
    <row r="501" spans="2:62" x14ac:dyDescent="0.25">
      <c r="B501" s="569"/>
      <c r="C501" s="672"/>
      <c r="D501" s="563"/>
      <c r="E501" s="563"/>
      <c r="F501" s="569"/>
      <c r="G501" s="563"/>
      <c r="H501" s="563"/>
      <c r="I501" s="600"/>
      <c r="J501" s="569"/>
      <c r="K501" s="563"/>
      <c r="L501" s="563"/>
      <c r="M501" s="563"/>
      <c r="N501" s="563"/>
      <c r="O501" s="563"/>
      <c r="P501" s="563"/>
      <c r="Q501" s="563"/>
      <c r="R501" s="563"/>
      <c r="S501" s="563"/>
      <c r="T501" s="563"/>
      <c r="U501" s="563"/>
      <c r="V501" s="563"/>
      <c r="W501" s="563"/>
      <c r="X501" s="565"/>
      <c r="Y501" s="612"/>
      <c r="Z501" s="612"/>
      <c r="AA501" s="563"/>
      <c r="AB501" s="612"/>
      <c r="AC501" s="569"/>
      <c r="AD501" s="563"/>
      <c r="AE501" s="563"/>
      <c r="AF501" s="563"/>
      <c r="AG501" s="563"/>
      <c r="AH501" s="563"/>
      <c r="AI501" s="563"/>
      <c r="AJ501" s="680"/>
      <c r="AK501" s="563"/>
      <c r="AL501" s="563"/>
      <c r="AM501" s="563"/>
      <c r="AN501" s="563"/>
      <c r="AO501" s="563"/>
      <c r="AP501" s="46"/>
      <c r="AQ501" s="46"/>
      <c r="AR501" s="46"/>
      <c r="AS501" s="46"/>
      <c r="AT501" s="46"/>
      <c r="AU501" s="46"/>
      <c r="AV501" s="46"/>
      <c r="AW501" s="46"/>
      <c r="AX501" s="46"/>
      <c r="AY501" s="46"/>
      <c r="AZ501" s="563"/>
      <c r="BA501" s="569"/>
      <c r="BB501" s="563"/>
      <c r="BC501" s="569"/>
      <c r="BD501" s="563"/>
      <c r="BE501" s="46"/>
      <c r="BF501" s="46"/>
      <c r="BG501" s="563"/>
      <c r="BH501" s="563"/>
      <c r="BI501" s="563"/>
      <c r="BJ501" s="563"/>
    </row>
    <row r="502" spans="2:62" x14ac:dyDescent="0.25">
      <c r="B502" s="569"/>
      <c r="C502" s="672"/>
      <c r="D502" s="563"/>
      <c r="E502" s="563"/>
      <c r="F502" s="569"/>
      <c r="G502" s="563"/>
      <c r="H502" s="563"/>
      <c r="I502" s="600"/>
      <c r="J502" s="569"/>
      <c r="K502" s="563"/>
      <c r="L502" s="563"/>
      <c r="M502" s="563"/>
      <c r="N502" s="563"/>
      <c r="O502" s="563"/>
      <c r="P502" s="563"/>
      <c r="Q502" s="563"/>
      <c r="R502" s="563"/>
      <c r="S502" s="563"/>
      <c r="T502" s="563"/>
      <c r="U502" s="563"/>
      <c r="V502" s="563"/>
      <c r="W502" s="563"/>
      <c r="X502" s="565"/>
      <c r="Y502" s="612"/>
      <c r="Z502" s="612"/>
      <c r="AA502" s="563"/>
      <c r="AB502" s="612"/>
      <c r="AC502" s="569"/>
      <c r="AD502" s="563"/>
      <c r="AE502" s="563"/>
      <c r="AF502" s="563"/>
      <c r="AG502" s="563"/>
      <c r="AH502" s="563"/>
      <c r="AI502" s="563"/>
      <c r="AJ502" s="680"/>
      <c r="AK502" s="563"/>
      <c r="AL502" s="563"/>
      <c r="AM502" s="563"/>
      <c r="AN502" s="563"/>
      <c r="AO502" s="563"/>
      <c r="AP502" s="46"/>
      <c r="AQ502" s="46"/>
      <c r="AR502" s="46"/>
      <c r="AS502" s="46"/>
      <c r="AT502" s="46"/>
      <c r="AU502" s="46"/>
      <c r="AV502" s="46"/>
      <c r="AW502" s="46"/>
      <c r="AX502" s="46"/>
      <c r="AY502" s="46"/>
      <c r="AZ502" s="563"/>
      <c r="BA502" s="569"/>
      <c r="BB502" s="563"/>
      <c r="BC502" s="569"/>
      <c r="BD502" s="563"/>
      <c r="BE502" s="46"/>
      <c r="BF502" s="46"/>
      <c r="BG502" s="563"/>
      <c r="BH502" s="563"/>
      <c r="BI502" s="563"/>
      <c r="BJ502" s="563"/>
    </row>
    <row r="503" spans="2:62" x14ac:dyDescent="0.25">
      <c r="B503" s="569"/>
      <c r="C503" s="672"/>
      <c r="D503" s="563"/>
      <c r="E503" s="563"/>
      <c r="F503" s="569"/>
      <c r="G503" s="563"/>
      <c r="H503" s="563"/>
      <c r="I503" s="600"/>
      <c r="J503" s="569"/>
      <c r="K503" s="563"/>
      <c r="L503" s="563"/>
      <c r="M503" s="563"/>
      <c r="N503" s="563"/>
      <c r="O503" s="563"/>
      <c r="P503" s="563"/>
      <c r="Q503" s="563"/>
      <c r="R503" s="563"/>
      <c r="S503" s="563"/>
      <c r="T503" s="563"/>
      <c r="U503" s="563"/>
      <c r="V503" s="563"/>
      <c r="W503" s="563"/>
      <c r="X503" s="565"/>
      <c r="Y503" s="612"/>
      <c r="Z503" s="612"/>
      <c r="AA503" s="563"/>
      <c r="AB503" s="612"/>
      <c r="AC503" s="569"/>
      <c r="AD503" s="563"/>
      <c r="AE503" s="563"/>
      <c r="AF503" s="563"/>
      <c r="AG503" s="563"/>
      <c r="AH503" s="563"/>
      <c r="AI503" s="563"/>
      <c r="AJ503" s="680"/>
      <c r="AK503" s="563"/>
      <c r="AL503" s="563"/>
      <c r="AM503" s="563"/>
      <c r="AN503" s="563"/>
      <c r="AO503" s="563"/>
      <c r="AP503" s="46"/>
      <c r="AQ503" s="46"/>
      <c r="AR503" s="46"/>
      <c r="AS503" s="46"/>
      <c r="AT503" s="46"/>
      <c r="AU503" s="46"/>
      <c r="AV503" s="46"/>
      <c r="AW503" s="46"/>
      <c r="AX503" s="46"/>
      <c r="AY503" s="46"/>
      <c r="AZ503" s="563"/>
      <c r="BA503" s="569"/>
      <c r="BB503" s="563"/>
      <c r="BC503" s="569"/>
      <c r="BD503" s="563"/>
      <c r="BE503" s="46"/>
      <c r="BF503" s="46"/>
      <c r="BG503" s="563"/>
      <c r="BH503" s="563"/>
      <c r="BI503" s="563"/>
      <c r="BJ503" s="563"/>
    </row>
    <row r="504" spans="2:62" x14ac:dyDescent="0.25">
      <c r="B504" s="569"/>
      <c r="C504" s="672"/>
      <c r="D504" s="563"/>
      <c r="E504" s="563"/>
      <c r="F504" s="569"/>
      <c r="G504" s="563"/>
      <c r="H504" s="563"/>
      <c r="I504" s="600"/>
      <c r="J504" s="569"/>
      <c r="K504" s="563"/>
      <c r="L504" s="563"/>
      <c r="M504" s="563"/>
      <c r="N504" s="563"/>
      <c r="O504" s="563"/>
      <c r="P504" s="563"/>
      <c r="Q504" s="563"/>
      <c r="R504" s="563"/>
      <c r="S504" s="563"/>
      <c r="T504" s="563"/>
      <c r="U504" s="563"/>
      <c r="V504" s="563"/>
      <c r="W504" s="563"/>
      <c r="X504" s="565"/>
      <c r="Y504" s="612"/>
      <c r="Z504" s="612"/>
      <c r="AA504" s="563"/>
      <c r="AB504" s="612"/>
      <c r="AC504" s="569"/>
      <c r="AD504" s="563"/>
      <c r="AE504" s="563"/>
      <c r="AF504" s="563"/>
      <c r="AG504" s="563"/>
      <c r="AH504" s="563"/>
      <c r="AI504" s="563"/>
      <c r="AJ504" s="680"/>
      <c r="AK504" s="563"/>
      <c r="AL504" s="563"/>
      <c r="AM504" s="563"/>
      <c r="AN504" s="563"/>
      <c r="AO504" s="563"/>
      <c r="AP504" s="46"/>
      <c r="AQ504" s="46"/>
      <c r="AR504" s="46"/>
      <c r="AS504" s="46"/>
      <c r="AT504" s="46"/>
      <c r="AU504" s="46"/>
      <c r="AV504" s="46"/>
      <c r="AW504" s="46"/>
      <c r="AX504" s="46"/>
      <c r="AY504" s="46"/>
      <c r="AZ504" s="563"/>
      <c r="BA504" s="569"/>
      <c r="BB504" s="563"/>
      <c r="BC504" s="569"/>
      <c r="BD504" s="563"/>
      <c r="BE504" s="46"/>
      <c r="BF504" s="46"/>
      <c r="BG504" s="563"/>
      <c r="BH504" s="563"/>
      <c r="BI504" s="563"/>
      <c r="BJ504" s="563"/>
    </row>
    <row r="505" spans="2:62" x14ac:dyDescent="0.25">
      <c r="B505" s="569"/>
      <c r="C505" s="672"/>
      <c r="D505" s="563"/>
      <c r="E505" s="563"/>
      <c r="F505" s="569"/>
      <c r="G505" s="563"/>
      <c r="H505" s="563"/>
      <c r="I505" s="600"/>
      <c r="J505" s="569"/>
      <c r="K505" s="563"/>
      <c r="L505" s="563"/>
      <c r="M505" s="563"/>
      <c r="N505" s="563"/>
      <c r="O505" s="563"/>
      <c r="P505" s="563"/>
      <c r="Q505" s="563"/>
      <c r="R505" s="563"/>
      <c r="S505" s="563"/>
      <c r="T505" s="563"/>
      <c r="U505" s="563"/>
      <c r="V505" s="563"/>
      <c r="W505" s="563"/>
      <c r="X505" s="565"/>
      <c r="Y505" s="612"/>
      <c r="Z505" s="612"/>
      <c r="AA505" s="563"/>
      <c r="AB505" s="612"/>
      <c r="AC505" s="569"/>
      <c r="AD505" s="563"/>
      <c r="AE505" s="563"/>
      <c r="AF505" s="563"/>
      <c r="AG505" s="563"/>
      <c r="AH505" s="563"/>
      <c r="AI505" s="563"/>
      <c r="AJ505" s="680"/>
      <c r="AK505" s="563"/>
      <c r="AL505" s="563"/>
      <c r="AM505" s="563"/>
      <c r="AN505" s="563"/>
      <c r="AO505" s="563"/>
      <c r="AP505" s="46"/>
      <c r="AQ505" s="46"/>
      <c r="AR505" s="46"/>
      <c r="AS505" s="46"/>
      <c r="AT505" s="46"/>
      <c r="AU505" s="46"/>
      <c r="AV505" s="46"/>
      <c r="AW505" s="46"/>
      <c r="AX505" s="46"/>
      <c r="AY505" s="46"/>
      <c r="AZ505" s="563"/>
      <c r="BA505" s="569"/>
      <c r="BB505" s="563"/>
      <c r="BC505" s="569"/>
      <c r="BD505" s="563"/>
      <c r="BE505" s="46"/>
      <c r="BF505" s="46"/>
      <c r="BG505" s="563"/>
      <c r="BH505" s="563"/>
      <c r="BI505" s="563"/>
      <c r="BJ505" s="563"/>
    </row>
    <row r="506" spans="2:62" x14ac:dyDescent="0.25">
      <c r="B506" s="569"/>
      <c r="C506" s="672"/>
      <c r="D506" s="563"/>
      <c r="E506" s="563"/>
      <c r="F506" s="569"/>
      <c r="G506" s="563"/>
      <c r="H506" s="563"/>
      <c r="I506" s="600"/>
      <c r="J506" s="569"/>
      <c r="K506" s="563"/>
      <c r="L506" s="563"/>
      <c r="M506" s="563"/>
      <c r="N506" s="563"/>
      <c r="O506" s="563"/>
      <c r="P506" s="563"/>
      <c r="Q506" s="563"/>
      <c r="R506" s="563"/>
      <c r="S506" s="563"/>
      <c r="T506" s="563"/>
      <c r="U506" s="563"/>
      <c r="V506" s="563"/>
      <c r="W506" s="563"/>
      <c r="X506" s="565"/>
      <c r="Y506" s="612"/>
      <c r="Z506" s="612"/>
      <c r="AA506" s="563"/>
      <c r="AB506" s="612"/>
      <c r="AC506" s="569"/>
      <c r="AD506" s="563"/>
      <c r="AE506" s="563"/>
      <c r="AF506" s="563"/>
      <c r="AG506" s="563"/>
      <c r="AH506" s="563"/>
      <c r="AI506" s="563"/>
      <c r="AJ506" s="680"/>
      <c r="AK506" s="563"/>
      <c r="AL506" s="563"/>
      <c r="AM506" s="563"/>
      <c r="AN506" s="563"/>
      <c r="AO506" s="563"/>
      <c r="AP506" s="46"/>
      <c r="AQ506" s="46"/>
      <c r="AR506" s="46"/>
      <c r="AS506" s="46"/>
      <c r="AT506" s="46"/>
      <c r="AU506" s="46"/>
      <c r="AV506" s="46"/>
      <c r="AW506" s="46"/>
      <c r="AX506" s="46"/>
      <c r="AY506" s="46"/>
      <c r="AZ506" s="563"/>
      <c r="BA506" s="569"/>
      <c r="BB506" s="563"/>
      <c r="BC506" s="569"/>
      <c r="BD506" s="563"/>
      <c r="BE506" s="46"/>
      <c r="BF506" s="46"/>
      <c r="BG506" s="563"/>
      <c r="BH506" s="563"/>
      <c r="BI506" s="563"/>
      <c r="BJ506" s="563"/>
    </row>
    <row r="507" spans="2:62" x14ac:dyDescent="0.25">
      <c r="B507" s="569"/>
      <c r="C507" s="672"/>
      <c r="D507" s="563"/>
      <c r="E507" s="563"/>
      <c r="F507" s="569"/>
      <c r="G507" s="563"/>
      <c r="H507" s="563"/>
      <c r="I507" s="600"/>
      <c r="J507" s="569"/>
      <c r="K507" s="563"/>
      <c r="L507" s="563"/>
      <c r="M507" s="563"/>
      <c r="N507" s="563"/>
      <c r="O507" s="563"/>
      <c r="P507" s="563"/>
      <c r="Q507" s="563"/>
      <c r="R507" s="563"/>
      <c r="S507" s="563"/>
      <c r="T507" s="563"/>
      <c r="U507" s="563"/>
      <c r="V507" s="563"/>
      <c r="W507" s="563"/>
      <c r="X507" s="565"/>
      <c r="Y507" s="612"/>
      <c r="Z507" s="612"/>
      <c r="AA507" s="563"/>
      <c r="AB507" s="612"/>
      <c r="AC507" s="569"/>
      <c r="AD507" s="563"/>
      <c r="AE507" s="563"/>
      <c r="AF507" s="563"/>
      <c r="AG507" s="563"/>
      <c r="AH507" s="563"/>
      <c r="AI507" s="563"/>
      <c r="AJ507" s="680"/>
      <c r="AK507" s="563"/>
      <c r="AL507" s="563"/>
      <c r="AM507" s="563"/>
      <c r="AN507" s="563"/>
      <c r="AO507" s="563"/>
      <c r="AP507" s="46"/>
      <c r="AQ507" s="46"/>
      <c r="AR507" s="46"/>
      <c r="AS507" s="46"/>
      <c r="AT507" s="46"/>
      <c r="AU507" s="46"/>
      <c r="AV507" s="46"/>
      <c r="AW507" s="46"/>
      <c r="AX507" s="46"/>
      <c r="AY507" s="46"/>
      <c r="AZ507" s="563"/>
      <c r="BA507" s="569"/>
      <c r="BB507" s="563"/>
      <c r="BC507" s="569"/>
      <c r="BD507" s="563"/>
      <c r="BE507" s="46"/>
      <c r="BF507" s="46"/>
      <c r="BG507" s="563"/>
      <c r="BH507" s="563"/>
      <c r="BI507" s="563"/>
      <c r="BJ507" s="563"/>
    </row>
    <row r="508" spans="2:62" x14ac:dyDescent="0.25">
      <c r="B508" s="569"/>
      <c r="C508" s="672"/>
      <c r="D508" s="563"/>
      <c r="E508" s="563"/>
      <c r="F508" s="569"/>
      <c r="G508" s="563"/>
      <c r="H508" s="563"/>
      <c r="I508" s="600"/>
      <c r="J508" s="569"/>
      <c r="K508" s="563"/>
      <c r="L508" s="563"/>
      <c r="M508" s="563"/>
      <c r="N508" s="563"/>
      <c r="O508" s="563"/>
      <c r="P508" s="563"/>
      <c r="Q508" s="563"/>
      <c r="R508" s="563"/>
      <c r="S508" s="563"/>
      <c r="T508" s="563"/>
      <c r="U508" s="563"/>
      <c r="V508" s="563"/>
      <c r="W508" s="563"/>
      <c r="X508" s="565"/>
      <c r="Y508" s="612"/>
      <c r="Z508" s="612"/>
      <c r="AA508" s="563"/>
      <c r="AB508" s="612"/>
      <c r="AC508" s="569"/>
      <c r="AD508" s="563"/>
      <c r="AE508" s="563"/>
      <c r="AF508" s="563"/>
      <c r="AG508" s="563"/>
      <c r="AH508" s="563"/>
      <c r="AI508" s="563"/>
      <c r="AJ508" s="680"/>
      <c r="AK508" s="563"/>
      <c r="AL508" s="563"/>
      <c r="AM508" s="563"/>
      <c r="AN508" s="563"/>
      <c r="AO508" s="563"/>
      <c r="AP508" s="46"/>
      <c r="AQ508" s="46"/>
      <c r="AR508" s="46"/>
      <c r="AS508" s="46"/>
      <c r="AT508" s="46"/>
      <c r="AU508" s="46"/>
      <c r="AV508" s="46"/>
      <c r="AW508" s="46"/>
      <c r="AX508" s="46"/>
      <c r="AY508" s="46"/>
      <c r="AZ508" s="563"/>
      <c r="BA508" s="569"/>
      <c r="BB508" s="563"/>
      <c r="BC508" s="569"/>
      <c r="BD508" s="563"/>
      <c r="BE508" s="46"/>
      <c r="BF508" s="46"/>
      <c r="BG508" s="563"/>
      <c r="BH508" s="563"/>
      <c r="BI508" s="563"/>
      <c r="BJ508" s="563"/>
    </row>
    <row r="509" spans="2:62" x14ac:dyDescent="0.25">
      <c r="B509" s="569"/>
      <c r="C509" s="672"/>
      <c r="D509" s="563"/>
      <c r="E509" s="563"/>
      <c r="F509" s="569"/>
      <c r="G509" s="563"/>
      <c r="H509" s="563"/>
      <c r="I509" s="600"/>
      <c r="J509" s="569"/>
      <c r="K509" s="563"/>
      <c r="L509" s="563"/>
      <c r="M509" s="563"/>
      <c r="N509" s="563"/>
      <c r="O509" s="563"/>
      <c r="P509" s="563"/>
      <c r="Q509" s="563"/>
      <c r="R509" s="563"/>
      <c r="S509" s="563"/>
      <c r="T509" s="563"/>
      <c r="U509" s="563"/>
      <c r="V509" s="563"/>
      <c r="W509" s="563"/>
      <c r="X509" s="565"/>
      <c r="Y509" s="612"/>
      <c r="Z509" s="612"/>
      <c r="AA509" s="563"/>
      <c r="AB509" s="612"/>
      <c r="AC509" s="569"/>
      <c r="AD509" s="563"/>
      <c r="AE509" s="563"/>
      <c r="AF509" s="563"/>
      <c r="AG509" s="563"/>
      <c r="AH509" s="563"/>
      <c r="AI509" s="563"/>
      <c r="AJ509" s="680"/>
      <c r="AK509" s="563"/>
      <c r="AL509" s="563"/>
      <c r="AM509" s="563"/>
      <c r="AN509" s="563"/>
      <c r="AO509" s="563"/>
      <c r="AP509" s="46"/>
      <c r="AQ509" s="46"/>
      <c r="AR509" s="46"/>
      <c r="AS509" s="46"/>
      <c r="AT509" s="46"/>
      <c r="AU509" s="46"/>
      <c r="AV509" s="46"/>
      <c r="AW509" s="46"/>
      <c r="AX509" s="46"/>
      <c r="AY509" s="46"/>
      <c r="AZ509" s="563"/>
      <c r="BA509" s="569"/>
      <c r="BB509" s="563"/>
      <c r="BC509" s="569"/>
      <c r="BD509" s="563"/>
      <c r="BE509" s="46"/>
      <c r="BF509" s="46"/>
      <c r="BG509" s="563"/>
      <c r="BH509" s="563"/>
      <c r="BI509" s="563"/>
      <c r="BJ509" s="563"/>
    </row>
    <row r="510" spans="2:62" x14ac:dyDescent="0.25">
      <c r="B510" s="569"/>
      <c r="C510" s="672"/>
      <c r="D510" s="563"/>
      <c r="E510" s="563"/>
      <c r="F510" s="569"/>
      <c r="G510" s="563"/>
      <c r="H510" s="563"/>
      <c r="I510" s="600"/>
      <c r="J510" s="569"/>
      <c r="K510" s="563"/>
      <c r="L510" s="563"/>
      <c r="M510" s="563"/>
      <c r="N510" s="563"/>
      <c r="O510" s="563"/>
      <c r="P510" s="563"/>
      <c r="Q510" s="563"/>
      <c r="R510" s="563"/>
      <c r="S510" s="563"/>
      <c r="T510" s="563"/>
      <c r="U510" s="563"/>
      <c r="V510" s="563"/>
      <c r="W510" s="563"/>
      <c r="X510" s="565"/>
      <c r="Y510" s="612"/>
      <c r="Z510" s="612"/>
      <c r="AA510" s="563"/>
      <c r="AB510" s="612"/>
      <c r="AC510" s="569"/>
      <c r="AD510" s="563"/>
      <c r="AE510" s="563"/>
      <c r="AF510" s="563"/>
      <c r="AG510" s="563"/>
      <c r="AH510" s="563"/>
      <c r="AI510" s="563"/>
      <c r="AJ510" s="680"/>
      <c r="AK510" s="563"/>
      <c r="AL510" s="563"/>
      <c r="AM510" s="563"/>
      <c r="AN510" s="563"/>
      <c r="AO510" s="563"/>
      <c r="AP510" s="46"/>
      <c r="AQ510" s="46"/>
      <c r="AR510" s="46"/>
      <c r="AS510" s="46"/>
      <c r="AT510" s="46"/>
      <c r="AU510" s="46"/>
      <c r="AV510" s="46"/>
      <c r="AW510" s="46"/>
      <c r="AX510" s="46"/>
      <c r="AY510" s="46"/>
      <c r="AZ510" s="563"/>
      <c r="BA510" s="569"/>
      <c r="BB510" s="563"/>
      <c r="BC510" s="569"/>
      <c r="BD510" s="563"/>
      <c r="BE510" s="46"/>
      <c r="BF510" s="46"/>
      <c r="BG510" s="563"/>
      <c r="BH510" s="563"/>
      <c r="BI510" s="563"/>
      <c r="BJ510" s="563"/>
    </row>
    <row r="511" spans="2:62" x14ac:dyDescent="0.25">
      <c r="B511" s="569"/>
      <c r="C511" s="672"/>
      <c r="D511" s="563"/>
      <c r="E511" s="563"/>
      <c r="F511" s="569"/>
      <c r="G511" s="563"/>
      <c r="H511" s="563"/>
      <c r="I511" s="600"/>
      <c r="J511" s="569"/>
      <c r="K511" s="563"/>
      <c r="L511" s="563"/>
      <c r="M511" s="563"/>
      <c r="N511" s="563"/>
      <c r="O511" s="563"/>
      <c r="P511" s="563"/>
      <c r="Q511" s="563"/>
      <c r="R511" s="563"/>
      <c r="S511" s="563"/>
      <c r="T511" s="563"/>
      <c r="U511" s="563"/>
      <c r="V511" s="563"/>
      <c r="W511" s="563"/>
      <c r="X511" s="565"/>
      <c r="Y511" s="612"/>
      <c r="Z511" s="612"/>
      <c r="AA511" s="563"/>
      <c r="AB511" s="612"/>
      <c r="AC511" s="569"/>
      <c r="AD511" s="563"/>
      <c r="AE511" s="563"/>
      <c r="AF511" s="563"/>
      <c r="AG511" s="563"/>
      <c r="AH511" s="563"/>
      <c r="AI511" s="563"/>
      <c r="AJ511" s="680"/>
      <c r="AK511" s="563"/>
      <c r="AL511" s="563"/>
      <c r="AM511" s="563"/>
      <c r="AN511" s="563"/>
      <c r="AO511" s="563"/>
      <c r="AP511" s="46"/>
      <c r="AQ511" s="46"/>
      <c r="AR511" s="46"/>
      <c r="AS511" s="46"/>
      <c r="AT511" s="46"/>
      <c r="AU511" s="46"/>
      <c r="AV511" s="46"/>
      <c r="AW511" s="46"/>
      <c r="AX511" s="46"/>
      <c r="AY511" s="46"/>
      <c r="AZ511" s="563"/>
      <c r="BA511" s="569"/>
      <c r="BB511" s="563"/>
      <c r="BC511" s="569"/>
      <c r="BD511" s="563"/>
      <c r="BE511" s="46"/>
      <c r="BF511" s="46"/>
      <c r="BG511" s="563"/>
      <c r="BH511" s="563"/>
      <c r="BI511" s="563"/>
      <c r="BJ511" s="563"/>
    </row>
    <row r="512" spans="2:62" x14ac:dyDescent="0.25">
      <c r="B512" s="569"/>
      <c r="C512" s="672"/>
      <c r="D512" s="563"/>
      <c r="E512" s="563"/>
      <c r="F512" s="569"/>
      <c r="G512" s="563"/>
      <c r="H512" s="563"/>
      <c r="I512" s="600"/>
      <c r="J512" s="569"/>
      <c r="K512" s="563"/>
      <c r="L512" s="563"/>
      <c r="M512" s="563"/>
      <c r="N512" s="563"/>
      <c r="O512" s="563"/>
      <c r="P512" s="563"/>
      <c r="Q512" s="563"/>
      <c r="R512" s="563"/>
      <c r="S512" s="563"/>
      <c r="T512" s="563"/>
      <c r="U512" s="563"/>
      <c r="V512" s="563"/>
      <c r="W512" s="563"/>
      <c r="X512" s="565"/>
      <c r="Y512" s="612"/>
      <c r="Z512" s="612"/>
      <c r="AA512" s="563"/>
      <c r="AB512" s="612"/>
      <c r="AC512" s="569"/>
      <c r="AD512" s="563"/>
      <c r="AE512" s="563"/>
      <c r="AF512" s="563"/>
      <c r="AG512" s="563"/>
      <c r="AH512" s="563"/>
      <c r="AI512" s="563"/>
      <c r="AJ512" s="680"/>
      <c r="AK512" s="563"/>
      <c r="AL512" s="563"/>
      <c r="AM512" s="563"/>
      <c r="AN512" s="563"/>
      <c r="AO512" s="563"/>
      <c r="AP512" s="46"/>
      <c r="AQ512" s="46"/>
      <c r="AR512" s="46"/>
      <c r="AS512" s="46"/>
      <c r="AT512" s="46"/>
      <c r="AU512" s="46"/>
      <c r="AV512" s="46"/>
      <c r="AW512" s="46"/>
      <c r="AX512" s="46"/>
      <c r="AY512" s="46"/>
      <c r="AZ512" s="563"/>
      <c r="BA512" s="569"/>
      <c r="BB512" s="563"/>
      <c r="BC512" s="569"/>
      <c r="BD512" s="563"/>
      <c r="BE512" s="46"/>
      <c r="BF512" s="46"/>
      <c r="BG512" s="563"/>
      <c r="BH512" s="563"/>
      <c r="BI512" s="563"/>
      <c r="BJ512" s="563"/>
    </row>
    <row r="513" spans="2:62" x14ac:dyDescent="0.25">
      <c r="B513" s="569"/>
      <c r="C513" s="672"/>
      <c r="D513" s="563"/>
      <c r="E513" s="563"/>
      <c r="F513" s="569"/>
      <c r="G513" s="563"/>
      <c r="H513" s="563"/>
      <c r="I513" s="600"/>
      <c r="J513" s="569"/>
      <c r="K513" s="563"/>
      <c r="L513" s="563"/>
      <c r="M513" s="563"/>
      <c r="N513" s="563"/>
      <c r="O513" s="563"/>
      <c r="P513" s="563"/>
      <c r="Q513" s="563"/>
      <c r="R513" s="563"/>
      <c r="S513" s="563"/>
      <c r="T513" s="563"/>
      <c r="U513" s="563"/>
      <c r="V513" s="563"/>
      <c r="W513" s="563"/>
      <c r="X513" s="565"/>
      <c r="Y513" s="612"/>
      <c r="Z513" s="612"/>
      <c r="AA513" s="563"/>
      <c r="AB513" s="612"/>
      <c r="AC513" s="569"/>
      <c r="AD513" s="563"/>
      <c r="AE513" s="563"/>
      <c r="AF513" s="563"/>
      <c r="AG513" s="563"/>
      <c r="AH513" s="563"/>
      <c r="AI513" s="563"/>
      <c r="AJ513" s="680"/>
      <c r="AK513" s="563"/>
      <c r="AL513" s="563"/>
      <c r="AM513" s="563"/>
      <c r="AN513" s="563"/>
      <c r="AO513" s="563"/>
      <c r="AP513" s="46"/>
      <c r="AQ513" s="46"/>
      <c r="AR513" s="46"/>
      <c r="AS513" s="46"/>
      <c r="AT513" s="46"/>
      <c r="AU513" s="46"/>
      <c r="AV513" s="46"/>
      <c r="AW513" s="46"/>
      <c r="AX513" s="46"/>
      <c r="AY513" s="46"/>
      <c r="AZ513" s="563"/>
      <c r="BA513" s="569"/>
      <c r="BB513" s="563"/>
      <c r="BC513" s="569"/>
      <c r="BD513" s="563"/>
      <c r="BE513" s="46"/>
      <c r="BF513" s="46"/>
      <c r="BG513" s="563"/>
      <c r="BH513" s="563"/>
      <c r="BI513" s="563"/>
      <c r="BJ513" s="563"/>
    </row>
    <row r="514" spans="2:62" x14ac:dyDescent="0.25">
      <c r="B514" s="569"/>
      <c r="C514" s="672"/>
      <c r="D514" s="563"/>
      <c r="E514" s="563"/>
      <c r="F514" s="569"/>
      <c r="G514" s="563"/>
      <c r="H514" s="563"/>
      <c r="I514" s="600"/>
      <c r="J514" s="569"/>
      <c r="K514" s="563"/>
      <c r="L514" s="563"/>
      <c r="M514" s="563"/>
      <c r="N514" s="563"/>
      <c r="O514" s="563"/>
      <c r="P514" s="563"/>
      <c r="Q514" s="563"/>
      <c r="R514" s="563"/>
      <c r="S514" s="563"/>
      <c r="T514" s="563"/>
      <c r="U514" s="563"/>
      <c r="V514" s="563"/>
      <c r="W514" s="563"/>
      <c r="X514" s="565"/>
      <c r="Y514" s="612"/>
      <c r="Z514" s="612"/>
      <c r="AA514" s="563"/>
      <c r="AB514" s="612"/>
      <c r="AC514" s="569"/>
      <c r="AD514" s="563"/>
      <c r="AE514" s="563"/>
      <c r="AF514" s="563"/>
      <c r="AG514" s="563"/>
      <c r="AH514" s="563"/>
      <c r="AI514" s="563"/>
      <c r="AJ514" s="680"/>
      <c r="AK514" s="563"/>
      <c r="AL514" s="563"/>
      <c r="AM514" s="563"/>
      <c r="AN514" s="563"/>
      <c r="AO514" s="563"/>
      <c r="AP514" s="46"/>
      <c r="AQ514" s="46"/>
      <c r="AR514" s="46"/>
      <c r="AS514" s="46"/>
      <c r="AT514" s="46"/>
      <c r="AU514" s="46"/>
      <c r="AV514" s="46"/>
      <c r="AW514" s="46"/>
      <c r="AX514" s="46"/>
      <c r="AY514" s="46"/>
      <c r="AZ514" s="563"/>
      <c r="BA514" s="569"/>
      <c r="BB514" s="563"/>
      <c r="BC514" s="569"/>
      <c r="BD514" s="563"/>
      <c r="BE514" s="46"/>
      <c r="BF514" s="46"/>
      <c r="BG514" s="563"/>
      <c r="BH514" s="563"/>
      <c r="BI514" s="563"/>
      <c r="BJ514" s="563"/>
    </row>
    <row r="515" spans="2:62" x14ac:dyDescent="0.25">
      <c r="B515" s="569"/>
      <c r="C515" s="672"/>
      <c r="D515" s="563"/>
      <c r="E515" s="563"/>
      <c r="F515" s="569"/>
      <c r="G515" s="563"/>
      <c r="H515" s="563"/>
      <c r="I515" s="600"/>
      <c r="J515" s="569"/>
      <c r="K515" s="563"/>
      <c r="L515" s="563"/>
      <c r="M515" s="563"/>
      <c r="N515" s="563"/>
      <c r="O515" s="563"/>
      <c r="P515" s="563"/>
      <c r="Q515" s="563"/>
      <c r="R515" s="563"/>
      <c r="S515" s="563"/>
      <c r="T515" s="563"/>
      <c r="U515" s="563"/>
      <c r="V515" s="563"/>
      <c r="W515" s="563"/>
      <c r="X515" s="565"/>
      <c r="Y515" s="612"/>
      <c r="Z515" s="612"/>
      <c r="AA515" s="563"/>
      <c r="AB515" s="612"/>
      <c r="AC515" s="569"/>
      <c r="AD515" s="563"/>
      <c r="AE515" s="563"/>
      <c r="AF515" s="563"/>
      <c r="AG515" s="563"/>
      <c r="AH515" s="563"/>
      <c r="AI515" s="563"/>
      <c r="AJ515" s="680"/>
      <c r="AK515" s="563"/>
      <c r="AL515" s="563"/>
      <c r="AM515" s="563"/>
      <c r="AN515" s="563"/>
      <c r="AO515" s="563"/>
      <c r="AP515" s="46"/>
      <c r="AQ515" s="46"/>
      <c r="AR515" s="46"/>
      <c r="AS515" s="46"/>
      <c r="AT515" s="46"/>
      <c r="AU515" s="46"/>
      <c r="AV515" s="46"/>
      <c r="AW515" s="46"/>
      <c r="AX515" s="46"/>
      <c r="AY515" s="46"/>
      <c r="AZ515" s="563"/>
      <c r="BA515" s="569"/>
      <c r="BB515" s="563"/>
      <c r="BC515" s="569"/>
      <c r="BD515" s="563"/>
      <c r="BE515" s="46"/>
      <c r="BF515" s="46"/>
      <c r="BG515" s="563"/>
      <c r="BH515" s="563"/>
      <c r="BI515" s="563"/>
      <c r="BJ515" s="563"/>
    </row>
    <row r="516" spans="2:62" x14ac:dyDescent="0.25">
      <c r="B516" s="569"/>
      <c r="C516" s="672"/>
      <c r="D516" s="563"/>
      <c r="E516" s="563"/>
      <c r="F516" s="569"/>
      <c r="G516" s="563"/>
      <c r="H516" s="563"/>
      <c r="I516" s="600"/>
      <c r="J516" s="569"/>
      <c r="K516" s="563"/>
      <c r="L516" s="563"/>
      <c r="M516" s="563"/>
      <c r="N516" s="563"/>
      <c r="O516" s="563"/>
      <c r="P516" s="563"/>
      <c r="Q516" s="563"/>
      <c r="R516" s="563"/>
      <c r="S516" s="563"/>
      <c r="T516" s="563"/>
      <c r="U516" s="563"/>
      <c r="V516" s="563"/>
      <c r="W516" s="563"/>
      <c r="X516" s="565"/>
      <c r="Y516" s="612"/>
      <c r="Z516" s="612"/>
      <c r="AA516" s="563"/>
      <c r="AB516" s="612"/>
      <c r="AC516" s="569"/>
      <c r="AD516" s="563"/>
      <c r="AE516" s="563"/>
      <c r="AF516" s="563"/>
      <c r="AG516" s="563"/>
      <c r="AH516" s="563"/>
      <c r="AI516" s="563"/>
      <c r="AJ516" s="680"/>
      <c r="AK516" s="563"/>
      <c r="AL516" s="563"/>
      <c r="AM516" s="563"/>
      <c r="AN516" s="563"/>
      <c r="AO516" s="563"/>
      <c r="AP516" s="46"/>
      <c r="AQ516" s="46"/>
      <c r="AR516" s="46"/>
      <c r="AS516" s="46"/>
      <c r="AT516" s="46"/>
      <c r="AU516" s="46"/>
      <c r="AV516" s="46"/>
      <c r="AW516" s="46"/>
      <c r="AX516" s="46"/>
      <c r="AY516" s="46"/>
      <c r="AZ516" s="563"/>
      <c r="BA516" s="569"/>
      <c r="BB516" s="563"/>
      <c r="BC516" s="569"/>
      <c r="BD516" s="563"/>
      <c r="BE516" s="46"/>
      <c r="BF516" s="46"/>
      <c r="BG516" s="563"/>
      <c r="BH516" s="563"/>
      <c r="BI516" s="563"/>
      <c r="BJ516" s="563"/>
    </row>
    <row r="517" spans="2:62" x14ac:dyDescent="0.25">
      <c r="B517" s="569"/>
      <c r="C517" s="672"/>
      <c r="D517" s="563"/>
      <c r="E517" s="563"/>
      <c r="F517" s="569"/>
      <c r="G517" s="563"/>
      <c r="H517" s="563"/>
      <c r="I517" s="600"/>
      <c r="J517" s="569"/>
      <c r="K517" s="563"/>
      <c r="L517" s="563"/>
      <c r="M517" s="563"/>
      <c r="N517" s="563"/>
      <c r="O517" s="563"/>
      <c r="P517" s="563"/>
      <c r="Q517" s="563"/>
      <c r="R517" s="563"/>
      <c r="S517" s="563"/>
      <c r="T517" s="563"/>
      <c r="U517" s="563"/>
      <c r="V517" s="563"/>
      <c r="W517" s="563"/>
      <c r="X517" s="565"/>
      <c r="Y517" s="612"/>
      <c r="Z517" s="612"/>
      <c r="AA517" s="563"/>
      <c r="AB517" s="612"/>
      <c r="AC517" s="569"/>
      <c r="AD517" s="563"/>
      <c r="AE517" s="563"/>
      <c r="AF517" s="563"/>
      <c r="AG517" s="563"/>
      <c r="AH517" s="563"/>
      <c r="AI517" s="563"/>
      <c r="AJ517" s="680"/>
      <c r="AK517" s="563"/>
      <c r="AL517" s="563"/>
      <c r="AM517" s="563"/>
      <c r="AN517" s="563"/>
      <c r="AO517" s="563"/>
      <c r="AP517" s="46"/>
      <c r="AQ517" s="46"/>
      <c r="AR517" s="46"/>
      <c r="AS517" s="46"/>
      <c r="AT517" s="46"/>
      <c r="AU517" s="46"/>
      <c r="AV517" s="46"/>
      <c r="AW517" s="46"/>
      <c r="AX517" s="46"/>
      <c r="AY517" s="46"/>
      <c r="AZ517" s="563"/>
      <c r="BA517" s="569"/>
      <c r="BB517" s="563"/>
      <c r="BC517" s="569"/>
      <c r="BD517" s="563"/>
      <c r="BE517" s="46"/>
      <c r="BF517" s="46"/>
      <c r="BG517" s="563"/>
      <c r="BH517" s="563"/>
      <c r="BI517" s="563"/>
      <c r="BJ517" s="563"/>
    </row>
    <row r="518" spans="2:62" x14ac:dyDescent="0.25">
      <c r="B518" s="569"/>
      <c r="C518" s="672"/>
      <c r="D518" s="563"/>
      <c r="E518" s="563"/>
      <c r="F518" s="569"/>
      <c r="G518" s="563"/>
      <c r="H518" s="563"/>
      <c r="I518" s="600"/>
      <c r="J518" s="569"/>
      <c r="K518" s="563"/>
      <c r="L518" s="563"/>
      <c r="M518" s="563"/>
      <c r="N518" s="563"/>
      <c r="O518" s="563"/>
      <c r="P518" s="563"/>
      <c r="Q518" s="563"/>
      <c r="R518" s="563"/>
      <c r="S518" s="563"/>
      <c r="T518" s="563"/>
      <c r="U518" s="563"/>
      <c r="V518" s="563"/>
      <c r="W518" s="563"/>
      <c r="X518" s="565"/>
      <c r="Y518" s="612"/>
      <c r="Z518" s="612"/>
      <c r="AA518" s="563"/>
      <c r="AB518" s="612"/>
      <c r="AC518" s="569"/>
      <c r="AD518" s="563"/>
      <c r="AE518" s="563"/>
      <c r="AF518" s="563"/>
      <c r="AG518" s="563"/>
      <c r="AH518" s="563"/>
      <c r="AI518" s="563"/>
      <c r="AJ518" s="680"/>
      <c r="AK518" s="563"/>
      <c r="AL518" s="563"/>
      <c r="AM518" s="563"/>
      <c r="AN518" s="563"/>
      <c r="AO518" s="563"/>
      <c r="AP518" s="46"/>
      <c r="AQ518" s="46"/>
      <c r="AR518" s="46"/>
      <c r="AS518" s="46"/>
      <c r="AT518" s="46"/>
      <c r="AU518" s="46"/>
      <c r="AV518" s="46"/>
      <c r="AW518" s="46"/>
      <c r="AX518" s="46"/>
      <c r="AY518" s="46"/>
      <c r="AZ518" s="563"/>
      <c r="BA518" s="569"/>
      <c r="BB518" s="563"/>
      <c r="BC518" s="569"/>
      <c r="BD518" s="563"/>
      <c r="BE518" s="46"/>
      <c r="BF518" s="46"/>
      <c r="BG518" s="563"/>
      <c r="BH518" s="563"/>
      <c r="BI518" s="563"/>
      <c r="BJ518" s="563"/>
    </row>
    <row r="519" spans="2:62" x14ac:dyDescent="0.25">
      <c r="B519" s="569"/>
      <c r="C519" s="672"/>
      <c r="D519" s="563"/>
      <c r="E519" s="563"/>
      <c r="F519" s="569"/>
      <c r="G519" s="563"/>
      <c r="H519" s="563"/>
      <c r="I519" s="600"/>
      <c r="J519" s="569"/>
      <c r="K519" s="563"/>
      <c r="L519" s="563"/>
      <c r="M519" s="563"/>
      <c r="N519" s="563"/>
      <c r="O519" s="563"/>
      <c r="P519" s="563"/>
      <c r="Q519" s="563"/>
      <c r="R519" s="563"/>
      <c r="S519" s="563"/>
      <c r="T519" s="563"/>
      <c r="U519" s="563"/>
      <c r="V519" s="563"/>
      <c r="W519" s="563"/>
      <c r="X519" s="565"/>
      <c r="Y519" s="612"/>
      <c r="Z519" s="612"/>
      <c r="AA519" s="563"/>
      <c r="AB519" s="612"/>
      <c r="AC519" s="569"/>
      <c r="AD519" s="563"/>
      <c r="AE519" s="563"/>
      <c r="AF519" s="563"/>
      <c r="AG519" s="563"/>
      <c r="AH519" s="563"/>
      <c r="AI519" s="563"/>
      <c r="AJ519" s="680"/>
      <c r="AK519" s="563"/>
      <c r="AL519" s="563"/>
      <c r="AM519" s="563"/>
      <c r="AN519" s="563"/>
      <c r="AO519" s="563"/>
      <c r="AP519" s="46"/>
      <c r="AQ519" s="46"/>
      <c r="AR519" s="46"/>
      <c r="AS519" s="46"/>
      <c r="AT519" s="46"/>
      <c r="AU519" s="46"/>
      <c r="AV519" s="46"/>
      <c r="AW519" s="46"/>
      <c r="AX519" s="46"/>
      <c r="AY519" s="46"/>
      <c r="AZ519" s="563"/>
      <c r="BA519" s="569"/>
      <c r="BB519" s="563"/>
      <c r="BC519" s="569"/>
      <c r="BD519" s="563"/>
      <c r="BE519" s="46"/>
      <c r="BF519" s="46"/>
      <c r="BG519" s="563"/>
      <c r="BH519" s="563"/>
      <c r="BI519" s="563"/>
      <c r="BJ519" s="563"/>
    </row>
    <row r="520" spans="2:62" x14ac:dyDescent="0.25">
      <c r="B520" s="569"/>
      <c r="C520" s="672"/>
      <c r="D520" s="563"/>
      <c r="E520" s="563"/>
      <c r="F520" s="569"/>
      <c r="G520" s="563"/>
      <c r="H520" s="563"/>
      <c r="I520" s="600"/>
      <c r="J520" s="569"/>
      <c r="K520" s="563"/>
      <c r="L520" s="563"/>
      <c r="M520" s="563"/>
      <c r="N520" s="563"/>
      <c r="O520" s="563"/>
      <c r="P520" s="563"/>
      <c r="Q520" s="563"/>
      <c r="R520" s="563"/>
      <c r="S520" s="563"/>
      <c r="T520" s="563"/>
      <c r="U520" s="563"/>
      <c r="V520" s="563"/>
      <c r="W520" s="563"/>
      <c r="X520" s="565"/>
      <c r="Y520" s="612"/>
      <c r="Z520" s="612"/>
      <c r="AA520" s="563"/>
      <c r="AB520" s="612"/>
      <c r="AC520" s="569"/>
      <c r="AD520" s="563"/>
      <c r="AE520" s="563"/>
      <c r="AF520" s="563"/>
      <c r="AG520" s="563"/>
      <c r="AH520" s="563"/>
      <c r="AI520" s="563"/>
      <c r="AJ520" s="680"/>
      <c r="AK520" s="563"/>
      <c r="AL520" s="563"/>
      <c r="AM520" s="563"/>
      <c r="AN520" s="563"/>
      <c r="AO520" s="563"/>
      <c r="AP520" s="46"/>
      <c r="AQ520" s="46"/>
      <c r="AR520" s="46"/>
      <c r="AS520" s="46"/>
      <c r="AT520" s="46"/>
      <c r="AU520" s="46"/>
      <c r="AV520" s="46"/>
      <c r="AW520" s="46"/>
      <c r="AX520" s="46"/>
      <c r="AY520" s="46"/>
      <c r="AZ520" s="563"/>
      <c r="BA520" s="569"/>
      <c r="BB520" s="563"/>
      <c r="BC520" s="569"/>
      <c r="BD520" s="563"/>
      <c r="BE520" s="46"/>
      <c r="BF520" s="46"/>
      <c r="BG520" s="563"/>
      <c r="BH520" s="563"/>
      <c r="BI520" s="563"/>
      <c r="BJ520" s="563"/>
    </row>
    <row r="521" spans="2:62" x14ac:dyDescent="0.25">
      <c r="B521" s="569"/>
      <c r="C521" s="672"/>
      <c r="D521" s="563"/>
      <c r="E521" s="563"/>
      <c r="F521" s="569"/>
      <c r="G521" s="563"/>
      <c r="H521" s="563"/>
      <c r="I521" s="600"/>
      <c r="J521" s="569"/>
      <c r="K521" s="563"/>
      <c r="L521" s="563"/>
      <c r="M521" s="563"/>
      <c r="N521" s="563"/>
      <c r="O521" s="563"/>
      <c r="P521" s="563"/>
      <c r="Q521" s="563"/>
      <c r="R521" s="563"/>
      <c r="S521" s="563"/>
      <c r="T521" s="563"/>
      <c r="U521" s="563"/>
      <c r="V521" s="563"/>
      <c r="W521" s="563"/>
      <c r="X521" s="565"/>
      <c r="Y521" s="612"/>
      <c r="Z521" s="612"/>
      <c r="AA521" s="563"/>
      <c r="AB521" s="612"/>
      <c r="AC521" s="569"/>
      <c r="AD521" s="563"/>
      <c r="AE521" s="563"/>
      <c r="AF521" s="563"/>
      <c r="AG521" s="563"/>
      <c r="AH521" s="563"/>
      <c r="AI521" s="563"/>
      <c r="AJ521" s="680"/>
      <c r="AK521" s="563"/>
      <c r="AL521" s="563"/>
      <c r="AM521" s="563"/>
      <c r="AN521" s="563"/>
      <c r="AO521" s="563"/>
      <c r="AP521" s="46"/>
      <c r="AQ521" s="46"/>
      <c r="AR521" s="46"/>
      <c r="AS521" s="46"/>
      <c r="AT521" s="46"/>
      <c r="AU521" s="46"/>
      <c r="AV521" s="46"/>
      <c r="AW521" s="46"/>
      <c r="AX521" s="46"/>
      <c r="AY521" s="46"/>
      <c r="AZ521" s="563"/>
      <c r="BA521" s="569"/>
      <c r="BB521" s="563"/>
      <c r="BC521" s="569"/>
      <c r="BD521" s="563"/>
      <c r="BE521" s="46"/>
      <c r="BF521" s="46"/>
      <c r="BG521" s="563"/>
      <c r="BH521" s="563"/>
      <c r="BI521" s="563"/>
      <c r="BJ521" s="563"/>
    </row>
    <row r="522" spans="2:62" x14ac:dyDescent="0.25">
      <c r="B522" s="569"/>
      <c r="C522" s="672"/>
      <c r="D522" s="563"/>
      <c r="E522" s="563"/>
      <c r="F522" s="569"/>
      <c r="G522" s="563"/>
      <c r="H522" s="563"/>
      <c r="I522" s="600"/>
      <c r="J522" s="569"/>
      <c r="K522" s="563"/>
      <c r="L522" s="563"/>
      <c r="M522" s="563"/>
      <c r="N522" s="563"/>
      <c r="O522" s="563"/>
      <c r="P522" s="563"/>
      <c r="Q522" s="563"/>
      <c r="R522" s="563"/>
      <c r="S522" s="563"/>
      <c r="T522" s="563"/>
      <c r="U522" s="563"/>
      <c r="V522" s="563"/>
      <c r="W522" s="563"/>
      <c r="X522" s="565"/>
      <c r="Y522" s="612"/>
      <c r="Z522" s="612"/>
      <c r="AA522" s="563"/>
      <c r="AB522" s="612"/>
      <c r="AC522" s="569"/>
      <c r="AD522" s="563"/>
      <c r="AE522" s="563"/>
      <c r="AF522" s="563"/>
      <c r="AG522" s="563"/>
      <c r="AH522" s="563"/>
      <c r="AI522" s="563"/>
      <c r="AJ522" s="680"/>
      <c r="AK522" s="563"/>
      <c r="AL522" s="563"/>
      <c r="AM522" s="563"/>
      <c r="AN522" s="563"/>
      <c r="AO522" s="563"/>
      <c r="AP522" s="46"/>
      <c r="AQ522" s="46"/>
      <c r="AR522" s="46"/>
      <c r="AS522" s="46"/>
      <c r="AT522" s="46"/>
      <c r="AU522" s="46"/>
      <c r="AV522" s="46"/>
      <c r="AW522" s="46"/>
      <c r="AX522" s="46"/>
      <c r="AY522" s="46"/>
      <c r="AZ522" s="563"/>
      <c r="BA522" s="569"/>
      <c r="BB522" s="563"/>
      <c r="BC522" s="569"/>
      <c r="BD522" s="563"/>
      <c r="BE522" s="46"/>
      <c r="BF522" s="46"/>
      <c r="BG522" s="563"/>
      <c r="BH522" s="563"/>
      <c r="BI522" s="563"/>
      <c r="BJ522" s="563"/>
    </row>
    <row r="523" spans="2:62" x14ac:dyDescent="0.25">
      <c r="B523" s="569"/>
      <c r="C523" s="672"/>
      <c r="D523" s="563"/>
      <c r="E523" s="563"/>
      <c r="F523" s="569"/>
      <c r="G523" s="563"/>
      <c r="H523" s="563"/>
      <c r="I523" s="600"/>
      <c r="J523" s="569"/>
      <c r="K523" s="563"/>
      <c r="L523" s="563"/>
      <c r="M523" s="563"/>
      <c r="N523" s="563"/>
      <c r="O523" s="563"/>
      <c r="P523" s="563"/>
      <c r="Q523" s="563"/>
      <c r="R523" s="563"/>
      <c r="S523" s="563"/>
      <c r="T523" s="563"/>
      <c r="U523" s="563"/>
      <c r="V523" s="563"/>
      <c r="W523" s="563"/>
      <c r="X523" s="565"/>
      <c r="Y523" s="612"/>
      <c r="Z523" s="612"/>
      <c r="AA523" s="563"/>
      <c r="AB523" s="612"/>
      <c r="AC523" s="569"/>
      <c r="AD523" s="563"/>
      <c r="AE523" s="563"/>
      <c r="AF523" s="563"/>
      <c r="AG523" s="563"/>
      <c r="AH523" s="563"/>
      <c r="AI523" s="563"/>
      <c r="AJ523" s="680"/>
      <c r="AK523" s="563"/>
      <c r="AL523" s="563"/>
      <c r="AM523" s="563"/>
      <c r="AN523" s="563"/>
      <c r="AO523" s="563"/>
      <c r="AP523" s="46"/>
      <c r="AQ523" s="46"/>
      <c r="AR523" s="46"/>
      <c r="AS523" s="46"/>
      <c r="AT523" s="46"/>
      <c r="AU523" s="46"/>
      <c r="AV523" s="46"/>
      <c r="AW523" s="46"/>
      <c r="AX523" s="46"/>
      <c r="AY523" s="46"/>
      <c r="AZ523" s="563"/>
      <c r="BA523" s="569"/>
      <c r="BB523" s="563"/>
      <c r="BC523" s="569"/>
      <c r="BD523" s="563"/>
      <c r="BE523" s="46"/>
      <c r="BF523" s="46"/>
      <c r="BG523" s="563"/>
      <c r="BH523" s="563"/>
      <c r="BI523" s="563"/>
      <c r="BJ523" s="563"/>
    </row>
    <row r="524" spans="2:62" x14ac:dyDescent="0.25">
      <c r="B524" s="569"/>
      <c r="C524" s="672"/>
      <c r="D524" s="563"/>
      <c r="E524" s="563"/>
      <c r="F524" s="569"/>
      <c r="G524" s="563"/>
      <c r="H524" s="563"/>
      <c r="I524" s="600"/>
      <c r="J524" s="569"/>
      <c r="K524" s="563"/>
      <c r="L524" s="563"/>
      <c r="M524" s="563"/>
      <c r="N524" s="563"/>
      <c r="O524" s="563"/>
      <c r="P524" s="563"/>
      <c r="Q524" s="563"/>
      <c r="R524" s="563"/>
      <c r="S524" s="563"/>
      <c r="T524" s="563"/>
      <c r="U524" s="563"/>
      <c r="V524" s="563"/>
      <c r="W524" s="563"/>
      <c r="X524" s="565"/>
      <c r="Y524" s="612"/>
      <c r="Z524" s="612"/>
      <c r="AA524" s="563"/>
      <c r="AB524" s="612"/>
      <c r="AC524" s="569"/>
      <c r="AD524" s="563"/>
      <c r="AE524" s="563"/>
      <c r="AF524" s="563"/>
      <c r="AG524" s="563"/>
      <c r="AH524" s="563"/>
      <c r="AI524" s="563"/>
      <c r="AJ524" s="680"/>
      <c r="AK524" s="563"/>
      <c r="AL524" s="563"/>
      <c r="AM524" s="563"/>
      <c r="AN524" s="563"/>
      <c r="AO524" s="563"/>
      <c r="AP524" s="46"/>
      <c r="AQ524" s="46"/>
      <c r="AR524" s="46"/>
      <c r="AS524" s="46"/>
      <c r="AT524" s="46"/>
      <c r="AU524" s="46"/>
      <c r="AV524" s="46"/>
      <c r="AW524" s="46"/>
      <c r="AX524" s="46"/>
      <c r="AY524" s="46"/>
      <c r="AZ524" s="563"/>
      <c r="BA524" s="569"/>
      <c r="BB524" s="563"/>
      <c r="BC524" s="569"/>
      <c r="BD524" s="563"/>
      <c r="BE524" s="46"/>
      <c r="BF524" s="46"/>
      <c r="BG524" s="563"/>
      <c r="BH524" s="563"/>
      <c r="BI524" s="563"/>
      <c r="BJ524" s="563"/>
    </row>
    <row r="525" spans="2:62" x14ac:dyDescent="0.25">
      <c r="B525" s="569"/>
      <c r="C525" s="672"/>
      <c r="D525" s="563"/>
      <c r="E525" s="563"/>
      <c r="F525" s="569"/>
      <c r="G525" s="563"/>
      <c r="H525" s="563"/>
      <c r="I525" s="600"/>
      <c r="J525" s="569"/>
      <c r="K525" s="563"/>
      <c r="L525" s="563"/>
      <c r="M525" s="563"/>
      <c r="N525" s="563"/>
      <c r="O525" s="563"/>
      <c r="P525" s="563"/>
      <c r="Q525" s="563"/>
      <c r="R525" s="563"/>
      <c r="S525" s="563"/>
      <c r="T525" s="563"/>
      <c r="U525" s="563"/>
      <c r="V525" s="563"/>
      <c r="W525" s="563"/>
      <c r="X525" s="565"/>
      <c r="Y525" s="612"/>
      <c r="Z525" s="612"/>
      <c r="AA525" s="563"/>
      <c r="AB525" s="612"/>
      <c r="AC525" s="569"/>
      <c r="AD525" s="563"/>
      <c r="AE525" s="563"/>
      <c r="AF525" s="563"/>
      <c r="AG525" s="563"/>
      <c r="AH525" s="563"/>
      <c r="AI525" s="563"/>
      <c r="AJ525" s="680"/>
      <c r="AK525" s="563"/>
      <c r="AL525" s="563"/>
      <c r="AM525" s="563"/>
      <c r="AN525" s="563"/>
      <c r="AO525" s="563"/>
      <c r="AP525" s="46"/>
      <c r="AQ525" s="46"/>
      <c r="AR525" s="46"/>
      <c r="AS525" s="46"/>
      <c r="AT525" s="46"/>
      <c r="AU525" s="46"/>
      <c r="AV525" s="46"/>
      <c r="AW525" s="46"/>
      <c r="AX525" s="46"/>
      <c r="AY525" s="46"/>
      <c r="AZ525" s="563"/>
      <c r="BA525" s="569"/>
      <c r="BB525" s="563"/>
      <c r="BC525" s="569"/>
      <c r="BD525" s="563"/>
      <c r="BE525" s="46"/>
      <c r="BF525" s="46"/>
      <c r="BG525" s="563"/>
      <c r="BH525" s="563"/>
      <c r="BI525" s="563"/>
      <c r="BJ525" s="563"/>
    </row>
    <row r="526" spans="2:62" x14ac:dyDescent="0.25">
      <c r="B526" s="569"/>
      <c r="C526" s="672"/>
      <c r="D526" s="563"/>
      <c r="E526" s="563"/>
      <c r="F526" s="569"/>
      <c r="G526" s="563"/>
      <c r="H526" s="563"/>
      <c r="I526" s="600"/>
      <c r="J526" s="569"/>
      <c r="K526" s="563"/>
      <c r="L526" s="563"/>
      <c r="M526" s="563"/>
      <c r="N526" s="563"/>
      <c r="O526" s="563"/>
      <c r="P526" s="563"/>
      <c r="Q526" s="563"/>
      <c r="R526" s="563"/>
      <c r="S526" s="563"/>
      <c r="T526" s="563"/>
      <c r="U526" s="563"/>
      <c r="V526" s="563"/>
      <c r="W526" s="563"/>
      <c r="X526" s="565"/>
      <c r="Y526" s="612"/>
      <c r="Z526" s="612"/>
      <c r="AA526" s="563"/>
      <c r="AB526" s="612"/>
      <c r="AC526" s="569"/>
      <c r="AD526" s="563"/>
      <c r="AE526" s="563"/>
      <c r="AF526" s="563"/>
      <c r="AG526" s="563"/>
      <c r="AH526" s="563"/>
      <c r="AI526" s="563"/>
      <c r="AJ526" s="680"/>
      <c r="AK526" s="563"/>
      <c r="AL526" s="563"/>
      <c r="AM526" s="563"/>
      <c r="AN526" s="563"/>
      <c r="AO526" s="563"/>
      <c r="AP526" s="46"/>
      <c r="AQ526" s="46"/>
      <c r="AR526" s="46"/>
      <c r="AS526" s="46"/>
      <c r="AT526" s="46"/>
      <c r="AU526" s="46"/>
      <c r="AV526" s="46"/>
      <c r="AW526" s="46"/>
      <c r="AX526" s="46"/>
      <c r="AY526" s="46"/>
      <c r="AZ526" s="563"/>
      <c r="BA526" s="569"/>
      <c r="BB526" s="563"/>
      <c r="BC526" s="569"/>
      <c r="BD526" s="563"/>
      <c r="BE526" s="46"/>
      <c r="BF526" s="46"/>
      <c r="BG526" s="563"/>
      <c r="BH526" s="563"/>
      <c r="BI526" s="563"/>
      <c r="BJ526" s="563"/>
    </row>
    <row r="527" spans="2:62" x14ac:dyDescent="0.25">
      <c r="B527" s="569"/>
      <c r="C527" s="672"/>
      <c r="D527" s="563"/>
      <c r="E527" s="563"/>
      <c r="F527" s="569"/>
      <c r="G527" s="563"/>
      <c r="H527" s="563"/>
      <c r="I527" s="600"/>
      <c r="J527" s="569"/>
      <c r="K527" s="563"/>
      <c r="L527" s="563"/>
      <c r="M527" s="563"/>
      <c r="N527" s="563"/>
      <c r="O527" s="563"/>
      <c r="P527" s="563"/>
      <c r="Q527" s="563"/>
      <c r="R527" s="563"/>
      <c r="S527" s="563"/>
      <c r="T527" s="563"/>
      <c r="U527" s="563"/>
      <c r="V527" s="563"/>
      <c r="W527" s="563"/>
      <c r="X527" s="565"/>
      <c r="Y527" s="612"/>
      <c r="Z527" s="612"/>
      <c r="AA527" s="563"/>
      <c r="AB527" s="612"/>
      <c r="AC527" s="569"/>
      <c r="AD527" s="563"/>
      <c r="AE527" s="563"/>
      <c r="AF527" s="563"/>
      <c r="AG527" s="563"/>
      <c r="AH527" s="563"/>
      <c r="AI527" s="563"/>
      <c r="AJ527" s="680"/>
      <c r="AK527" s="563"/>
      <c r="AL527" s="563"/>
      <c r="AM527" s="563"/>
      <c r="AN527" s="563"/>
      <c r="AO527" s="563"/>
      <c r="AP527" s="46"/>
      <c r="AQ527" s="46"/>
      <c r="AR527" s="46"/>
      <c r="AS527" s="46"/>
      <c r="AT527" s="46"/>
      <c r="AU527" s="46"/>
      <c r="AV527" s="46"/>
      <c r="AW527" s="46"/>
      <c r="AX527" s="46"/>
      <c r="AY527" s="46"/>
      <c r="AZ527" s="563"/>
      <c r="BA527" s="569"/>
      <c r="BB527" s="563"/>
      <c r="BC527" s="569"/>
      <c r="BD527" s="563"/>
      <c r="BE527" s="46"/>
      <c r="BF527" s="46"/>
      <c r="BG527" s="563"/>
      <c r="BH527" s="563"/>
      <c r="BI527" s="563"/>
      <c r="BJ527" s="563"/>
    </row>
    <row r="528" spans="2:62" x14ac:dyDescent="0.25">
      <c r="B528" s="569"/>
      <c r="C528" s="672"/>
      <c r="D528" s="563"/>
      <c r="E528" s="563"/>
      <c r="F528" s="569"/>
      <c r="G528" s="563"/>
      <c r="H528" s="563"/>
      <c r="I528" s="600"/>
      <c r="J528" s="569"/>
      <c r="K528" s="563"/>
      <c r="L528" s="563"/>
      <c r="M528" s="563"/>
      <c r="N528" s="563"/>
      <c r="O528" s="563"/>
      <c r="P528" s="563"/>
      <c r="Q528" s="563"/>
      <c r="R528" s="563"/>
      <c r="S528" s="563"/>
      <c r="T528" s="563"/>
      <c r="U528" s="563"/>
      <c r="V528" s="563"/>
      <c r="W528" s="563"/>
      <c r="X528" s="565"/>
      <c r="Y528" s="612"/>
      <c r="Z528" s="612"/>
      <c r="AA528" s="563"/>
      <c r="AB528" s="612"/>
      <c r="AC528" s="569"/>
      <c r="AD528" s="563"/>
      <c r="AE528" s="563"/>
      <c r="AF528" s="563"/>
      <c r="AG528" s="563"/>
      <c r="AH528" s="563"/>
      <c r="AI528" s="563"/>
      <c r="AJ528" s="680"/>
      <c r="AK528" s="563"/>
      <c r="AL528" s="563"/>
      <c r="AM528" s="563"/>
      <c r="AN528" s="563"/>
      <c r="AO528" s="563"/>
      <c r="AP528" s="46"/>
      <c r="AQ528" s="46"/>
      <c r="AR528" s="46"/>
      <c r="AS528" s="46"/>
      <c r="AT528" s="46"/>
      <c r="AU528" s="46"/>
      <c r="AV528" s="46"/>
      <c r="AW528" s="46"/>
      <c r="AX528" s="46"/>
      <c r="AY528" s="46"/>
      <c r="AZ528" s="563"/>
      <c r="BA528" s="569"/>
      <c r="BB528" s="563"/>
      <c r="BC528" s="569"/>
      <c r="BD528" s="563"/>
      <c r="BE528" s="46"/>
      <c r="BF528" s="46"/>
      <c r="BG528" s="563"/>
      <c r="BH528" s="563"/>
      <c r="BI528" s="563"/>
      <c r="BJ528" s="563"/>
    </row>
    <row r="529" spans="2:62" x14ac:dyDescent="0.25">
      <c r="B529" s="569"/>
      <c r="C529" s="672"/>
      <c r="D529" s="563"/>
      <c r="E529" s="563"/>
      <c r="F529" s="569"/>
      <c r="G529" s="563"/>
      <c r="H529" s="563"/>
      <c r="I529" s="600"/>
      <c r="J529" s="569"/>
      <c r="K529" s="563"/>
      <c r="L529" s="563"/>
      <c r="M529" s="563"/>
      <c r="N529" s="563"/>
      <c r="O529" s="563"/>
      <c r="P529" s="563"/>
      <c r="Q529" s="563"/>
      <c r="R529" s="563"/>
      <c r="S529" s="563"/>
      <c r="T529" s="563"/>
      <c r="U529" s="563"/>
      <c r="V529" s="563"/>
      <c r="W529" s="563"/>
      <c r="X529" s="565"/>
      <c r="Y529" s="612"/>
      <c r="Z529" s="612"/>
      <c r="AA529" s="563"/>
      <c r="AB529" s="612"/>
      <c r="AC529" s="569"/>
      <c r="AD529" s="563"/>
      <c r="AE529" s="563"/>
      <c r="AF529" s="563"/>
      <c r="AG529" s="563"/>
      <c r="AH529" s="563"/>
      <c r="AI529" s="563"/>
      <c r="AJ529" s="680"/>
      <c r="AK529" s="563"/>
      <c r="AL529" s="563"/>
      <c r="AM529" s="563"/>
      <c r="AN529" s="563"/>
      <c r="AO529" s="563"/>
      <c r="AP529" s="46"/>
      <c r="AQ529" s="46"/>
      <c r="AR529" s="46"/>
      <c r="AS529" s="46"/>
      <c r="AT529" s="46"/>
      <c r="AU529" s="46"/>
      <c r="AV529" s="46"/>
      <c r="AW529" s="46"/>
      <c r="AX529" s="46"/>
      <c r="AY529" s="46"/>
      <c r="AZ529" s="563"/>
      <c r="BA529" s="569"/>
      <c r="BB529" s="563"/>
      <c r="BC529" s="569"/>
      <c r="BD529" s="563"/>
      <c r="BE529" s="46"/>
      <c r="BF529" s="46"/>
      <c r="BG529" s="563"/>
      <c r="BH529" s="563"/>
      <c r="BI529" s="563"/>
      <c r="BJ529" s="563"/>
    </row>
    <row r="530" spans="2:62" x14ac:dyDescent="0.25">
      <c r="B530" s="569"/>
      <c r="C530" s="672"/>
      <c r="D530" s="563"/>
      <c r="E530" s="563"/>
      <c r="F530" s="569"/>
      <c r="G530" s="563"/>
      <c r="H530" s="563"/>
      <c r="I530" s="600"/>
      <c r="J530" s="569"/>
      <c r="K530" s="563"/>
      <c r="L530" s="563"/>
      <c r="M530" s="563"/>
      <c r="N530" s="563"/>
      <c r="O530" s="563"/>
      <c r="P530" s="563"/>
      <c r="Q530" s="563"/>
      <c r="R530" s="563"/>
      <c r="S530" s="563"/>
      <c r="T530" s="563"/>
      <c r="U530" s="563"/>
      <c r="V530" s="563"/>
      <c r="W530" s="563"/>
      <c r="X530" s="565"/>
      <c r="Y530" s="612"/>
      <c r="Z530" s="612"/>
      <c r="AA530" s="563"/>
      <c r="AB530" s="612"/>
      <c r="AC530" s="569"/>
      <c r="AD530" s="563"/>
      <c r="AE530" s="563"/>
      <c r="AF530" s="563"/>
      <c r="AG530" s="563"/>
      <c r="AH530" s="563"/>
      <c r="AI530" s="563"/>
      <c r="AJ530" s="680"/>
      <c r="AK530" s="563"/>
      <c r="AL530" s="563"/>
      <c r="AM530" s="563"/>
      <c r="AN530" s="563"/>
      <c r="AO530" s="563"/>
      <c r="AP530" s="46"/>
      <c r="AQ530" s="46"/>
      <c r="AR530" s="46"/>
      <c r="AS530" s="46"/>
      <c r="AT530" s="46"/>
      <c r="AU530" s="46"/>
      <c r="AV530" s="46"/>
      <c r="AW530" s="46"/>
      <c r="AX530" s="46"/>
      <c r="AY530" s="46"/>
      <c r="AZ530" s="563"/>
      <c r="BA530" s="569"/>
      <c r="BB530" s="563"/>
      <c r="BC530" s="569"/>
      <c r="BD530" s="563"/>
      <c r="BE530" s="46"/>
      <c r="BF530" s="46"/>
      <c r="BG530" s="563"/>
      <c r="BH530" s="563"/>
      <c r="BI530" s="563"/>
      <c r="BJ530" s="563"/>
    </row>
    <row r="531" spans="2:62" x14ac:dyDescent="0.25">
      <c r="B531" s="569"/>
      <c r="C531" s="672"/>
      <c r="D531" s="563"/>
      <c r="E531" s="563"/>
      <c r="F531" s="569"/>
      <c r="G531" s="563"/>
      <c r="H531" s="563"/>
      <c r="I531" s="600"/>
      <c r="J531" s="569"/>
      <c r="K531" s="563"/>
      <c r="L531" s="563"/>
      <c r="M531" s="563"/>
      <c r="N531" s="563"/>
      <c r="O531" s="563"/>
      <c r="P531" s="563"/>
      <c r="Q531" s="563"/>
      <c r="R531" s="563"/>
      <c r="S531" s="563"/>
      <c r="T531" s="563"/>
      <c r="U531" s="563"/>
      <c r="V531" s="563"/>
      <c r="W531" s="563"/>
      <c r="X531" s="565"/>
      <c r="Y531" s="612"/>
      <c r="Z531" s="612"/>
      <c r="AA531" s="563"/>
      <c r="AB531" s="612"/>
      <c r="AC531" s="569"/>
      <c r="AD531" s="563"/>
      <c r="AE531" s="563"/>
      <c r="AF531" s="563"/>
      <c r="AG531" s="563"/>
      <c r="AH531" s="563"/>
      <c r="AI531" s="563"/>
      <c r="AJ531" s="680"/>
      <c r="AK531" s="563"/>
      <c r="AL531" s="563"/>
      <c r="AM531" s="563"/>
      <c r="AN531" s="563"/>
      <c r="AO531" s="563"/>
      <c r="AP531" s="46"/>
      <c r="AQ531" s="46"/>
      <c r="AR531" s="46"/>
      <c r="AS531" s="46"/>
      <c r="AT531" s="46"/>
      <c r="AU531" s="46"/>
      <c r="AV531" s="46"/>
      <c r="AW531" s="46"/>
      <c r="AX531" s="46"/>
      <c r="AY531" s="46"/>
      <c r="AZ531" s="563"/>
      <c r="BA531" s="569"/>
      <c r="BB531" s="563"/>
      <c r="BC531" s="569"/>
      <c r="BD531" s="563"/>
      <c r="BE531" s="46"/>
      <c r="BF531" s="46"/>
      <c r="BG531" s="563"/>
      <c r="BH531" s="563"/>
      <c r="BI531" s="563"/>
      <c r="BJ531" s="563"/>
    </row>
    <row r="532" spans="2:62" x14ac:dyDescent="0.25">
      <c r="B532" s="569"/>
      <c r="C532" s="672"/>
      <c r="D532" s="563"/>
      <c r="E532" s="563"/>
      <c r="F532" s="569"/>
      <c r="G532" s="563"/>
      <c r="H532" s="563"/>
      <c r="I532" s="600"/>
      <c r="J532" s="569"/>
      <c r="K532" s="563"/>
      <c r="L532" s="563"/>
      <c r="M532" s="563"/>
      <c r="N532" s="563"/>
      <c r="O532" s="563"/>
      <c r="P532" s="563"/>
      <c r="Q532" s="563"/>
      <c r="R532" s="563"/>
      <c r="S532" s="563"/>
      <c r="T532" s="563"/>
      <c r="U532" s="563"/>
      <c r="V532" s="563"/>
      <c r="W532" s="563"/>
      <c r="X532" s="565"/>
      <c r="Y532" s="612"/>
      <c r="Z532" s="612"/>
      <c r="AA532" s="563"/>
      <c r="AB532" s="612"/>
      <c r="AC532" s="569"/>
      <c r="AD532" s="563"/>
      <c r="AE532" s="563"/>
      <c r="AF532" s="563"/>
      <c r="AG532" s="563"/>
      <c r="AH532" s="563"/>
      <c r="AI532" s="563"/>
      <c r="AJ532" s="680"/>
      <c r="AK532" s="563"/>
      <c r="AL532" s="563"/>
      <c r="AM532" s="563"/>
      <c r="AN532" s="563"/>
      <c r="AO532" s="563"/>
      <c r="AP532" s="46"/>
      <c r="AQ532" s="46"/>
      <c r="AR532" s="46"/>
      <c r="AS532" s="46"/>
      <c r="AT532" s="46"/>
      <c r="AU532" s="46"/>
      <c r="AV532" s="46"/>
      <c r="AW532" s="46"/>
      <c r="AX532" s="46"/>
      <c r="AY532" s="46"/>
      <c r="AZ532" s="563"/>
      <c r="BA532" s="569"/>
      <c r="BB532" s="563"/>
      <c r="BC532" s="569"/>
      <c r="BD532" s="563"/>
      <c r="BE532" s="46"/>
      <c r="BF532" s="46"/>
      <c r="BG532" s="563"/>
      <c r="BH532" s="563"/>
      <c r="BI532" s="563"/>
      <c r="BJ532" s="563"/>
    </row>
    <row r="533" spans="2:62" x14ac:dyDescent="0.25">
      <c r="B533" s="569"/>
      <c r="C533" s="672"/>
      <c r="D533" s="563"/>
      <c r="E533" s="563"/>
      <c r="F533" s="569"/>
      <c r="G533" s="563"/>
      <c r="H533" s="563"/>
      <c r="I533" s="600"/>
      <c r="J533" s="569"/>
      <c r="K533" s="563"/>
      <c r="L533" s="563"/>
      <c r="M533" s="563"/>
      <c r="N533" s="563"/>
      <c r="O533" s="563"/>
      <c r="P533" s="563"/>
      <c r="Q533" s="563"/>
      <c r="R533" s="563"/>
      <c r="S533" s="563"/>
      <c r="T533" s="563"/>
      <c r="U533" s="563"/>
      <c r="V533" s="563"/>
      <c r="W533" s="563"/>
      <c r="X533" s="565"/>
      <c r="Y533" s="612"/>
      <c r="Z533" s="612"/>
      <c r="AA533" s="563"/>
      <c r="AB533" s="612"/>
      <c r="AC533" s="569"/>
      <c r="AD533" s="563"/>
      <c r="AE533" s="563"/>
      <c r="AF533" s="563"/>
      <c r="AG533" s="563"/>
      <c r="AH533" s="563"/>
      <c r="AI533" s="563"/>
      <c r="AJ533" s="680"/>
      <c r="AK533" s="563"/>
      <c r="AL533" s="563"/>
      <c r="AM533" s="563"/>
      <c r="AN533" s="563"/>
      <c r="AO533" s="563"/>
      <c r="AP533" s="46"/>
      <c r="AQ533" s="46"/>
      <c r="AR533" s="46"/>
      <c r="AS533" s="46"/>
      <c r="AT533" s="46"/>
      <c r="AU533" s="46"/>
      <c r="AV533" s="46"/>
      <c r="AW533" s="46"/>
      <c r="AX533" s="46"/>
      <c r="AY533" s="46"/>
      <c r="AZ533" s="563"/>
      <c r="BA533" s="569"/>
      <c r="BB533" s="563"/>
      <c r="BC533" s="569"/>
      <c r="BD533" s="563"/>
      <c r="BE533" s="46"/>
      <c r="BF533" s="46"/>
      <c r="BG533" s="563"/>
      <c r="BH533" s="563"/>
      <c r="BI533" s="563"/>
      <c r="BJ533" s="563"/>
    </row>
    <row r="534" spans="2:62" x14ac:dyDescent="0.25">
      <c r="B534" s="569"/>
      <c r="C534" s="672"/>
      <c r="D534" s="563"/>
      <c r="E534" s="563"/>
      <c r="F534" s="569"/>
      <c r="G534" s="563"/>
      <c r="H534" s="563"/>
      <c r="I534" s="600"/>
      <c r="J534" s="569"/>
      <c r="K534" s="563"/>
      <c r="L534" s="563"/>
      <c r="M534" s="563"/>
      <c r="N534" s="563"/>
      <c r="O534" s="563"/>
      <c r="P534" s="563"/>
      <c r="Q534" s="563"/>
      <c r="R534" s="563"/>
      <c r="S534" s="563"/>
      <c r="T534" s="563"/>
      <c r="U534" s="563"/>
      <c r="V534" s="563"/>
      <c r="W534" s="563"/>
      <c r="X534" s="565"/>
      <c r="Y534" s="612"/>
      <c r="Z534" s="612"/>
      <c r="AA534" s="563"/>
      <c r="AB534" s="612"/>
      <c r="AC534" s="569"/>
      <c r="AD534" s="563"/>
      <c r="AE534" s="563"/>
      <c r="AF534" s="563"/>
      <c r="AG534" s="563"/>
      <c r="AH534" s="563"/>
      <c r="AI534" s="563"/>
      <c r="AJ534" s="680"/>
      <c r="AK534" s="563"/>
      <c r="AL534" s="563"/>
      <c r="AM534" s="563"/>
      <c r="AN534" s="563"/>
      <c r="AO534" s="563"/>
      <c r="AP534" s="46"/>
      <c r="AQ534" s="46"/>
      <c r="AR534" s="46"/>
      <c r="AS534" s="46"/>
      <c r="AT534" s="46"/>
      <c r="AU534" s="46"/>
      <c r="AV534" s="46"/>
      <c r="AW534" s="46"/>
      <c r="AX534" s="46"/>
      <c r="AY534" s="46"/>
      <c r="AZ534" s="563"/>
      <c r="BA534" s="569"/>
      <c r="BB534" s="563"/>
      <c r="BC534" s="569"/>
      <c r="BD534" s="563"/>
      <c r="BE534" s="46"/>
      <c r="BF534" s="46"/>
      <c r="BG534" s="563"/>
      <c r="BH534" s="563"/>
      <c r="BI534" s="563"/>
      <c r="BJ534" s="563"/>
    </row>
    <row r="535" spans="2:62" x14ac:dyDescent="0.25">
      <c r="B535" s="569"/>
      <c r="C535" s="672"/>
      <c r="D535" s="563"/>
      <c r="E535" s="563"/>
      <c r="F535" s="569"/>
      <c r="G535" s="563"/>
      <c r="H535" s="563"/>
      <c r="I535" s="600"/>
      <c r="J535" s="569"/>
      <c r="K535" s="563"/>
      <c r="L535" s="563"/>
      <c r="M535" s="563"/>
      <c r="N535" s="563"/>
      <c r="O535" s="563"/>
      <c r="P535" s="563"/>
      <c r="Q535" s="563"/>
      <c r="R535" s="563"/>
      <c r="S535" s="563"/>
      <c r="T535" s="563"/>
      <c r="U535" s="563"/>
      <c r="V535" s="563"/>
      <c r="W535" s="563"/>
      <c r="X535" s="565"/>
      <c r="Y535" s="612"/>
      <c r="Z535" s="612"/>
      <c r="AA535" s="563"/>
      <c r="AB535" s="612"/>
      <c r="AC535" s="569"/>
      <c r="AD535" s="563"/>
      <c r="AE535" s="563"/>
      <c r="AF535" s="563"/>
      <c r="AG535" s="563"/>
      <c r="AH535" s="563"/>
      <c r="AI535" s="563"/>
      <c r="AJ535" s="680"/>
      <c r="AK535" s="563"/>
      <c r="AL535" s="563"/>
      <c r="AM535" s="563"/>
      <c r="AN535" s="563"/>
      <c r="AO535" s="563"/>
      <c r="AP535" s="46"/>
      <c r="AQ535" s="46"/>
      <c r="AR535" s="46"/>
      <c r="AS535" s="46"/>
      <c r="AT535" s="46"/>
      <c r="AU535" s="46"/>
      <c r="AV535" s="46"/>
      <c r="AW535" s="46"/>
      <c r="AX535" s="46"/>
      <c r="AY535" s="46"/>
      <c r="AZ535" s="563"/>
      <c r="BA535" s="569"/>
      <c r="BB535" s="563"/>
      <c r="BC535" s="569"/>
      <c r="BD535" s="563"/>
      <c r="BE535" s="46"/>
      <c r="BF535" s="46"/>
      <c r="BG535" s="563"/>
      <c r="BH535" s="563"/>
      <c r="BI535" s="563"/>
      <c r="BJ535" s="563"/>
    </row>
    <row r="536" spans="2:62" x14ac:dyDescent="0.25">
      <c r="B536" s="569"/>
      <c r="C536" s="672"/>
      <c r="D536" s="563"/>
      <c r="E536" s="563"/>
      <c r="F536" s="569"/>
      <c r="G536" s="563"/>
      <c r="H536" s="563"/>
      <c r="I536" s="600"/>
      <c r="J536" s="569"/>
      <c r="K536" s="563"/>
      <c r="L536" s="563"/>
      <c r="M536" s="563"/>
      <c r="N536" s="563"/>
      <c r="O536" s="563"/>
      <c r="P536" s="563"/>
      <c r="Q536" s="563"/>
      <c r="R536" s="563"/>
      <c r="S536" s="563"/>
      <c r="T536" s="563"/>
      <c r="U536" s="563"/>
      <c r="V536" s="563"/>
      <c r="W536" s="563"/>
      <c r="X536" s="565"/>
      <c r="Y536" s="612"/>
      <c r="Z536" s="612"/>
      <c r="AA536" s="563"/>
      <c r="AB536" s="612"/>
      <c r="AC536" s="569"/>
      <c r="AD536" s="563"/>
      <c r="AE536" s="563"/>
      <c r="AF536" s="563"/>
      <c r="AG536" s="563"/>
      <c r="AH536" s="563"/>
      <c r="AI536" s="563"/>
      <c r="AJ536" s="680"/>
      <c r="AK536" s="563"/>
      <c r="AL536" s="563"/>
      <c r="AM536" s="563"/>
      <c r="AN536" s="563"/>
      <c r="AO536" s="563"/>
      <c r="AP536" s="46"/>
      <c r="AQ536" s="46"/>
      <c r="AR536" s="46"/>
      <c r="AS536" s="46"/>
      <c r="AT536" s="46"/>
      <c r="AU536" s="46"/>
      <c r="AV536" s="46"/>
      <c r="AW536" s="46"/>
      <c r="AX536" s="46"/>
      <c r="AY536" s="46"/>
      <c r="AZ536" s="563"/>
      <c r="BA536" s="569"/>
      <c r="BB536" s="563"/>
      <c r="BC536" s="569"/>
      <c r="BD536" s="563"/>
      <c r="BE536" s="46"/>
      <c r="BF536" s="46"/>
      <c r="BG536" s="563"/>
      <c r="BH536" s="563"/>
      <c r="BI536" s="563"/>
      <c r="BJ536" s="563"/>
    </row>
    <row r="537" spans="2:62" x14ac:dyDescent="0.25">
      <c r="B537" s="569"/>
      <c r="C537" s="672"/>
      <c r="D537" s="563"/>
      <c r="E537" s="563"/>
      <c r="F537" s="569"/>
      <c r="G537" s="563"/>
      <c r="H537" s="563"/>
      <c r="I537" s="600"/>
      <c r="J537" s="569"/>
      <c r="K537" s="563"/>
      <c r="L537" s="563"/>
      <c r="M537" s="563"/>
      <c r="N537" s="563"/>
      <c r="O537" s="563"/>
      <c r="P537" s="563"/>
      <c r="Q537" s="563"/>
      <c r="R537" s="563"/>
      <c r="S537" s="563"/>
      <c r="T537" s="563"/>
      <c r="U537" s="563"/>
      <c r="V537" s="563"/>
      <c r="W537" s="563"/>
      <c r="X537" s="565"/>
      <c r="Y537" s="612"/>
      <c r="Z537" s="612"/>
      <c r="AA537" s="563"/>
      <c r="AB537" s="612"/>
      <c r="AC537" s="569"/>
      <c r="AD537" s="563"/>
      <c r="AE537" s="563"/>
      <c r="AF537" s="563"/>
      <c r="AG537" s="563"/>
      <c r="AH537" s="563"/>
      <c r="AI537" s="563"/>
      <c r="AJ537" s="680"/>
      <c r="AK537" s="563"/>
      <c r="AL537" s="563"/>
      <c r="AM537" s="563"/>
      <c r="AN537" s="563"/>
      <c r="AO537" s="563"/>
      <c r="AP537" s="46"/>
      <c r="AQ537" s="46"/>
      <c r="AR537" s="46"/>
      <c r="AS537" s="46"/>
      <c r="AT537" s="46"/>
      <c r="AU537" s="46"/>
      <c r="AV537" s="46"/>
      <c r="AW537" s="46"/>
      <c r="AX537" s="46"/>
      <c r="AY537" s="46"/>
      <c r="AZ537" s="563"/>
      <c r="BA537" s="569"/>
      <c r="BB537" s="563"/>
      <c r="BC537" s="569"/>
      <c r="BD537" s="563"/>
      <c r="BE537" s="46"/>
      <c r="BF537" s="46"/>
      <c r="BG537" s="563"/>
      <c r="BH537" s="563"/>
      <c r="BI537" s="563"/>
      <c r="BJ537" s="563"/>
    </row>
    <row r="538" spans="2:62" x14ac:dyDescent="0.25">
      <c r="B538" s="569"/>
      <c r="C538" s="672"/>
      <c r="D538" s="563"/>
      <c r="E538" s="563"/>
      <c r="F538" s="569"/>
      <c r="G538" s="563"/>
      <c r="H538" s="563"/>
      <c r="I538" s="600"/>
      <c r="J538" s="569"/>
      <c r="K538" s="563"/>
      <c r="L538" s="563"/>
      <c r="M538" s="563"/>
      <c r="N538" s="563"/>
      <c r="O538" s="563"/>
      <c r="P538" s="563"/>
      <c r="Q538" s="563"/>
      <c r="R538" s="563"/>
      <c r="S538" s="563"/>
      <c r="T538" s="563"/>
      <c r="U538" s="563"/>
      <c r="V538" s="563"/>
      <c r="W538" s="563"/>
      <c r="X538" s="565"/>
      <c r="Y538" s="612"/>
      <c r="Z538" s="612"/>
      <c r="AA538" s="563"/>
      <c r="AB538" s="612"/>
      <c r="AC538" s="569"/>
      <c r="AD538" s="563"/>
      <c r="AE538" s="563"/>
      <c r="AF538" s="563"/>
      <c r="AG538" s="563"/>
      <c r="AH538" s="563"/>
      <c r="AI538" s="563"/>
      <c r="AJ538" s="680"/>
      <c r="AK538" s="563"/>
      <c r="AL538" s="563"/>
      <c r="AM538" s="563"/>
      <c r="AN538" s="563"/>
      <c r="AO538" s="563"/>
      <c r="AP538" s="46"/>
      <c r="AQ538" s="46"/>
      <c r="AR538" s="46"/>
      <c r="AS538" s="46"/>
      <c r="AT538" s="46"/>
      <c r="AU538" s="46"/>
      <c r="AV538" s="46"/>
      <c r="AW538" s="46"/>
      <c r="AX538" s="46"/>
      <c r="AY538" s="46"/>
      <c r="AZ538" s="563"/>
      <c r="BA538" s="569"/>
      <c r="BB538" s="563"/>
      <c r="BC538" s="569"/>
      <c r="BD538" s="563"/>
      <c r="BE538" s="46"/>
      <c r="BF538" s="46"/>
      <c r="BG538" s="563"/>
      <c r="BH538" s="563"/>
      <c r="BI538" s="563"/>
      <c r="BJ538" s="563"/>
    </row>
    <row r="539" spans="2:62" x14ac:dyDescent="0.25">
      <c r="B539" s="569"/>
      <c r="C539" s="672"/>
      <c r="D539" s="563"/>
      <c r="E539" s="563"/>
      <c r="F539" s="569"/>
      <c r="G539" s="563"/>
      <c r="H539" s="563"/>
      <c r="I539" s="600"/>
      <c r="J539" s="569"/>
      <c r="K539" s="563"/>
      <c r="L539" s="563"/>
      <c r="M539" s="563"/>
      <c r="N539" s="563"/>
      <c r="O539" s="563"/>
      <c r="P539" s="563"/>
      <c r="Q539" s="563"/>
      <c r="R539" s="563"/>
      <c r="S539" s="563"/>
      <c r="T539" s="563"/>
      <c r="U539" s="563"/>
      <c r="V539" s="563"/>
      <c r="W539" s="563"/>
      <c r="X539" s="565"/>
      <c r="Y539" s="612"/>
      <c r="Z539" s="612"/>
      <c r="AA539" s="563"/>
      <c r="AB539" s="612"/>
      <c r="AC539" s="569"/>
      <c r="AD539" s="563"/>
      <c r="AE539" s="563"/>
      <c r="AF539" s="563"/>
      <c r="AG539" s="563"/>
      <c r="AH539" s="563"/>
      <c r="AI539" s="563"/>
      <c r="AJ539" s="680"/>
      <c r="AK539" s="563"/>
      <c r="AL539" s="563"/>
      <c r="AM539" s="563"/>
      <c r="AN539" s="563"/>
      <c r="AO539" s="563"/>
      <c r="AP539" s="46"/>
      <c r="AQ539" s="46"/>
      <c r="AR539" s="46"/>
      <c r="AS539" s="46"/>
      <c r="AT539" s="46"/>
      <c r="AU539" s="46"/>
      <c r="AV539" s="46"/>
      <c r="AW539" s="46"/>
      <c r="AX539" s="46"/>
      <c r="AY539" s="46"/>
      <c r="AZ539" s="563"/>
      <c r="BA539" s="569"/>
      <c r="BB539" s="563"/>
      <c r="BC539" s="569"/>
      <c r="BD539" s="563"/>
      <c r="BE539" s="46"/>
      <c r="BF539" s="46"/>
      <c r="BG539" s="563"/>
      <c r="BH539" s="563"/>
      <c r="BI539" s="563"/>
      <c r="BJ539" s="563"/>
    </row>
    <row r="540" spans="2:62" x14ac:dyDescent="0.25">
      <c r="B540" s="569"/>
      <c r="C540" s="672"/>
      <c r="D540" s="563"/>
      <c r="E540" s="563"/>
      <c r="F540" s="569"/>
      <c r="G540" s="563"/>
      <c r="H540" s="563"/>
      <c r="I540" s="600"/>
      <c r="J540" s="569"/>
      <c r="K540" s="563"/>
      <c r="L540" s="563"/>
      <c r="M540" s="563"/>
      <c r="N540" s="563"/>
      <c r="O540" s="563"/>
      <c r="P540" s="563"/>
      <c r="Q540" s="563"/>
      <c r="R540" s="563"/>
      <c r="S540" s="563"/>
      <c r="T540" s="563"/>
      <c r="U540" s="563"/>
      <c r="V540" s="563"/>
      <c r="W540" s="563"/>
      <c r="X540" s="565"/>
      <c r="Y540" s="612"/>
      <c r="Z540" s="612"/>
      <c r="AA540" s="563"/>
      <c r="AB540" s="612"/>
      <c r="AC540" s="569"/>
      <c r="AD540" s="563"/>
      <c r="AE540" s="563"/>
      <c r="AF540" s="563"/>
      <c r="AG540" s="563"/>
      <c r="AH540" s="563"/>
      <c r="AI540" s="563"/>
      <c r="AJ540" s="680"/>
      <c r="AK540" s="563"/>
      <c r="AL540" s="563"/>
      <c r="AM540" s="563"/>
      <c r="AN540" s="563"/>
      <c r="AO540" s="563"/>
      <c r="AP540" s="46"/>
      <c r="AQ540" s="46"/>
      <c r="AR540" s="46"/>
      <c r="AS540" s="46"/>
      <c r="AT540" s="46"/>
      <c r="AU540" s="46"/>
      <c r="AV540" s="46"/>
      <c r="AW540" s="46"/>
      <c r="AX540" s="46"/>
      <c r="AY540" s="46"/>
      <c r="AZ540" s="563"/>
      <c r="BA540" s="569"/>
      <c r="BB540" s="563"/>
      <c r="BC540" s="569"/>
      <c r="BD540" s="563"/>
      <c r="BE540" s="46"/>
      <c r="BF540" s="46"/>
      <c r="BG540" s="563"/>
      <c r="BH540" s="563"/>
      <c r="BI540" s="563"/>
      <c r="BJ540" s="563"/>
    </row>
    <row r="541" spans="2:62" x14ac:dyDescent="0.25">
      <c r="B541" s="569"/>
      <c r="C541" s="672"/>
      <c r="D541" s="563"/>
      <c r="E541" s="563"/>
      <c r="F541" s="569"/>
      <c r="G541" s="563"/>
      <c r="H541" s="563"/>
      <c r="I541" s="600"/>
      <c r="J541" s="569"/>
      <c r="K541" s="563"/>
      <c r="L541" s="563"/>
      <c r="M541" s="563"/>
      <c r="N541" s="563"/>
      <c r="O541" s="563"/>
      <c r="P541" s="563"/>
      <c r="Q541" s="563"/>
      <c r="R541" s="563"/>
      <c r="S541" s="563"/>
      <c r="T541" s="563"/>
      <c r="U541" s="563"/>
      <c r="V541" s="563"/>
      <c r="W541" s="563"/>
      <c r="X541" s="565"/>
      <c r="Y541" s="612"/>
      <c r="Z541" s="612"/>
      <c r="AA541" s="563"/>
      <c r="AB541" s="612"/>
      <c r="AC541" s="569"/>
      <c r="AD541" s="563"/>
      <c r="AE541" s="563"/>
      <c r="AF541" s="563"/>
      <c r="AG541" s="563"/>
      <c r="AH541" s="563"/>
      <c r="AI541" s="563"/>
      <c r="AJ541" s="680"/>
      <c r="AK541" s="563"/>
      <c r="AL541" s="563"/>
      <c r="AM541" s="563"/>
      <c r="AN541" s="563"/>
      <c r="AO541" s="563"/>
      <c r="AP541" s="46"/>
      <c r="AQ541" s="46"/>
      <c r="AR541" s="46"/>
      <c r="AS541" s="46"/>
      <c r="AT541" s="46"/>
      <c r="AU541" s="46"/>
      <c r="AV541" s="46"/>
      <c r="AW541" s="46"/>
      <c r="AX541" s="46"/>
      <c r="AY541" s="46"/>
      <c r="AZ541" s="563"/>
      <c r="BA541" s="569"/>
      <c r="BB541" s="563"/>
      <c r="BC541" s="569"/>
      <c r="BD541" s="563"/>
      <c r="BE541" s="46"/>
      <c r="BF541" s="46"/>
      <c r="BG541" s="563"/>
      <c r="BH541" s="563"/>
      <c r="BI541" s="563"/>
      <c r="BJ541" s="563"/>
    </row>
    <row r="542" spans="2:62" x14ac:dyDescent="0.25">
      <c r="B542" s="569"/>
      <c r="C542" s="672"/>
      <c r="D542" s="563"/>
      <c r="E542" s="563"/>
      <c r="F542" s="569"/>
      <c r="G542" s="563"/>
      <c r="H542" s="563"/>
      <c r="I542" s="600"/>
      <c r="J542" s="569"/>
      <c r="K542" s="563"/>
      <c r="L542" s="563"/>
      <c r="M542" s="563"/>
      <c r="N542" s="563"/>
      <c r="O542" s="563"/>
      <c r="P542" s="563"/>
      <c r="Q542" s="563"/>
      <c r="R542" s="563"/>
      <c r="S542" s="563"/>
      <c r="T542" s="563"/>
      <c r="U542" s="563"/>
      <c r="V542" s="563"/>
      <c r="W542" s="563"/>
      <c r="X542" s="565"/>
      <c r="Y542" s="612"/>
      <c r="Z542" s="612"/>
      <c r="AA542" s="563"/>
      <c r="AB542" s="612"/>
      <c r="AC542" s="569"/>
      <c r="AD542" s="563"/>
      <c r="AE542" s="563"/>
      <c r="AF542" s="563"/>
      <c r="AG542" s="563"/>
      <c r="AH542" s="563"/>
      <c r="AI542" s="563"/>
      <c r="AJ542" s="680"/>
      <c r="AK542" s="563"/>
      <c r="AL542" s="563"/>
      <c r="AM542" s="563"/>
      <c r="AN542" s="563"/>
      <c r="AO542" s="563"/>
      <c r="AP542" s="46"/>
      <c r="AQ542" s="46"/>
      <c r="AR542" s="46"/>
      <c r="AS542" s="46"/>
      <c r="AT542" s="46"/>
      <c r="AU542" s="46"/>
      <c r="AV542" s="46"/>
      <c r="AW542" s="46"/>
      <c r="AX542" s="46"/>
      <c r="AY542" s="46"/>
      <c r="AZ542" s="563"/>
      <c r="BA542" s="569"/>
      <c r="BB542" s="563"/>
      <c r="BC542" s="569"/>
      <c r="BD542" s="563"/>
      <c r="BE542" s="46"/>
      <c r="BF542" s="46"/>
      <c r="BG542" s="563"/>
      <c r="BH542" s="563"/>
      <c r="BI542" s="563"/>
      <c r="BJ542" s="563"/>
    </row>
    <row r="543" spans="2:62" x14ac:dyDescent="0.25">
      <c r="B543" s="569"/>
      <c r="C543" s="672"/>
      <c r="D543" s="563"/>
      <c r="E543" s="563"/>
      <c r="F543" s="569"/>
      <c r="G543" s="563"/>
      <c r="H543" s="563"/>
      <c r="I543" s="600"/>
      <c r="J543" s="569"/>
      <c r="K543" s="563"/>
      <c r="L543" s="563"/>
      <c r="M543" s="563"/>
      <c r="N543" s="563"/>
      <c r="O543" s="563"/>
      <c r="P543" s="563"/>
      <c r="Q543" s="563"/>
      <c r="R543" s="563"/>
      <c r="S543" s="563"/>
      <c r="T543" s="563"/>
      <c r="U543" s="563"/>
      <c r="V543" s="563"/>
      <c r="W543" s="563"/>
      <c r="X543" s="565"/>
      <c r="Y543" s="612"/>
      <c r="Z543" s="612"/>
      <c r="AA543" s="563"/>
      <c r="AB543" s="612"/>
      <c r="AC543" s="569"/>
      <c r="AD543" s="563"/>
      <c r="AE543" s="563"/>
      <c r="AF543" s="563"/>
      <c r="AG543" s="563"/>
      <c r="AH543" s="563"/>
      <c r="AI543" s="563"/>
      <c r="AJ543" s="680"/>
      <c r="AK543" s="563"/>
      <c r="AL543" s="563"/>
      <c r="AM543" s="563"/>
      <c r="AN543" s="563"/>
      <c r="AO543" s="563"/>
      <c r="AP543" s="46"/>
      <c r="AQ543" s="46"/>
      <c r="AR543" s="46"/>
      <c r="AS543" s="46"/>
      <c r="AT543" s="46"/>
      <c r="AU543" s="46"/>
      <c r="AV543" s="46"/>
      <c r="AW543" s="46"/>
      <c r="AX543" s="46"/>
      <c r="AY543" s="46"/>
      <c r="AZ543" s="563"/>
      <c r="BA543" s="569"/>
      <c r="BB543" s="563"/>
      <c r="BC543" s="569"/>
      <c r="BD543" s="563"/>
      <c r="BE543" s="46"/>
      <c r="BF543" s="46"/>
      <c r="BG543" s="563"/>
      <c r="BH543" s="563"/>
      <c r="BI543" s="563"/>
      <c r="BJ543" s="563"/>
    </row>
    <row r="544" spans="2:62" x14ac:dyDescent="0.25">
      <c r="B544" s="569"/>
      <c r="C544" s="672"/>
      <c r="D544" s="563"/>
      <c r="E544" s="563"/>
      <c r="F544" s="569"/>
      <c r="G544" s="563"/>
      <c r="H544" s="563"/>
      <c r="I544" s="600"/>
      <c r="J544" s="569"/>
      <c r="K544" s="563"/>
      <c r="L544" s="563"/>
      <c r="M544" s="563"/>
      <c r="N544" s="563"/>
      <c r="O544" s="563"/>
      <c r="P544" s="563"/>
      <c r="Q544" s="563"/>
      <c r="R544" s="563"/>
      <c r="S544" s="563"/>
      <c r="T544" s="563"/>
      <c r="U544" s="563"/>
      <c r="V544" s="563"/>
      <c r="W544" s="563"/>
      <c r="X544" s="565"/>
      <c r="Y544" s="612"/>
      <c r="Z544" s="612"/>
      <c r="AA544" s="563"/>
      <c r="AB544" s="612"/>
      <c r="AC544" s="569"/>
      <c r="AD544" s="563"/>
      <c r="AE544" s="563"/>
      <c r="AF544" s="563"/>
      <c r="AG544" s="563"/>
      <c r="AH544" s="563"/>
      <c r="AI544" s="563"/>
      <c r="AJ544" s="680"/>
      <c r="AK544" s="563"/>
      <c r="AL544" s="563"/>
      <c r="AM544" s="563"/>
      <c r="AN544" s="563"/>
      <c r="AO544" s="563"/>
      <c r="AP544" s="46"/>
      <c r="AQ544" s="46"/>
      <c r="AR544" s="46"/>
      <c r="AS544" s="46"/>
      <c r="AT544" s="46"/>
      <c r="AU544" s="46"/>
      <c r="AV544" s="46"/>
      <c r="AW544" s="46"/>
      <c r="AX544" s="46"/>
      <c r="AY544" s="46"/>
      <c r="AZ544" s="563"/>
      <c r="BA544" s="569"/>
      <c r="BB544" s="563"/>
      <c r="BC544" s="569"/>
      <c r="BD544" s="563"/>
      <c r="BE544" s="46"/>
      <c r="BF544" s="46"/>
      <c r="BG544" s="563"/>
      <c r="BH544" s="563"/>
      <c r="BI544" s="563"/>
      <c r="BJ544" s="563"/>
    </row>
    <row r="545" spans="2:62" x14ac:dyDescent="0.25">
      <c r="B545" s="569"/>
      <c r="C545" s="672"/>
      <c r="D545" s="563"/>
      <c r="E545" s="563"/>
      <c r="F545" s="569"/>
      <c r="G545" s="563"/>
      <c r="H545" s="563"/>
      <c r="I545" s="600"/>
      <c r="J545" s="569"/>
      <c r="K545" s="563"/>
      <c r="L545" s="563"/>
      <c r="M545" s="563"/>
      <c r="N545" s="563"/>
      <c r="O545" s="563"/>
      <c r="P545" s="563"/>
      <c r="Q545" s="563"/>
      <c r="R545" s="563"/>
      <c r="S545" s="563"/>
      <c r="T545" s="563"/>
      <c r="U545" s="563"/>
      <c r="V545" s="563"/>
      <c r="W545" s="563"/>
      <c r="X545" s="565"/>
      <c r="Y545" s="612"/>
      <c r="Z545" s="612"/>
      <c r="AA545" s="563"/>
      <c r="AB545" s="612"/>
      <c r="AC545" s="569"/>
      <c r="AD545" s="563"/>
      <c r="AE545" s="563"/>
      <c r="AF545" s="563"/>
      <c r="AG545" s="563"/>
      <c r="AH545" s="563"/>
      <c r="AI545" s="563"/>
      <c r="AJ545" s="680"/>
      <c r="AK545" s="563"/>
      <c r="AL545" s="563"/>
      <c r="AM545" s="563"/>
      <c r="AN545" s="563"/>
      <c r="AO545" s="563"/>
      <c r="AP545" s="46"/>
      <c r="AQ545" s="46"/>
      <c r="AR545" s="46"/>
      <c r="AS545" s="46"/>
      <c r="AT545" s="46"/>
      <c r="AU545" s="46"/>
      <c r="AV545" s="46"/>
      <c r="AW545" s="46"/>
      <c r="AX545" s="46"/>
      <c r="AY545" s="46"/>
      <c r="AZ545" s="563"/>
      <c r="BA545" s="569"/>
      <c r="BB545" s="563"/>
      <c r="BC545" s="569"/>
      <c r="BD545" s="563"/>
      <c r="BE545" s="46"/>
      <c r="BF545" s="46"/>
      <c r="BG545" s="563"/>
      <c r="BH545" s="563"/>
      <c r="BI545" s="563"/>
      <c r="BJ545" s="563"/>
    </row>
    <row r="546" spans="2:62" x14ac:dyDescent="0.25">
      <c r="B546" s="569"/>
      <c r="C546" s="672"/>
      <c r="D546" s="563"/>
      <c r="E546" s="563"/>
      <c r="F546" s="569"/>
      <c r="G546" s="563"/>
      <c r="H546" s="563"/>
      <c r="I546" s="600"/>
      <c r="J546" s="569"/>
      <c r="K546" s="563"/>
      <c r="L546" s="563"/>
      <c r="M546" s="563"/>
      <c r="N546" s="563"/>
      <c r="O546" s="563"/>
      <c r="P546" s="563"/>
      <c r="Q546" s="563"/>
      <c r="R546" s="563"/>
      <c r="S546" s="563"/>
      <c r="T546" s="563"/>
      <c r="U546" s="563"/>
      <c r="V546" s="563"/>
      <c r="W546" s="563"/>
      <c r="X546" s="565"/>
      <c r="Y546" s="612"/>
      <c r="Z546" s="612"/>
      <c r="AA546" s="563"/>
      <c r="AB546" s="612"/>
      <c r="AC546" s="569"/>
      <c r="AD546" s="563"/>
      <c r="AE546" s="563"/>
      <c r="AF546" s="563"/>
      <c r="AG546" s="563"/>
      <c r="AH546" s="563"/>
      <c r="AI546" s="563"/>
      <c r="AJ546" s="680"/>
      <c r="AK546" s="563"/>
      <c r="AL546" s="563"/>
      <c r="AM546" s="563"/>
      <c r="AN546" s="563"/>
      <c r="AO546" s="563"/>
      <c r="AP546" s="46"/>
      <c r="AQ546" s="46"/>
      <c r="AR546" s="46"/>
      <c r="AS546" s="46"/>
      <c r="AT546" s="46"/>
      <c r="AU546" s="46"/>
      <c r="AV546" s="46"/>
      <c r="AW546" s="46"/>
      <c r="AX546" s="46"/>
      <c r="AY546" s="46"/>
      <c r="AZ546" s="563"/>
      <c r="BA546" s="569"/>
      <c r="BB546" s="563"/>
      <c r="BC546" s="569"/>
      <c r="BD546" s="563"/>
      <c r="BE546" s="46"/>
      <c r="BF546" s="46"/>
      <c r="BG546" s="563"/>
      <c r="BH546" s="563"/>
      <c r="BI546" s="563"/>
      <c r="BJ546" s="563"/>
    </row>
    <row r="547" spans="2:62" x14ac:dyDescent="0.25">
      <c r="B547" s="569"/>
      <c r="C547" s="672"/>
      <c r="D547" s="563"/>
      <c r="E547" s="563"/>
      <c r="F547" s="569"/>
      <c r="G547" s="563"/>
      <c r="H547" s="563"/>
      <c r="I547" s="600"/>
      <c r="J547" s="569"/>
      <c r="K547" s="563"/>
      <c r="L547" s="563"/>
      <c r="M547" s="563"/>
      <c r="N547" s="563"/>
      <c r="O547" s="563"/>
      <c r="P547" s="563"/>
      <c r="Q547" s="563"/>
      <c r="R547" s="563"/>
      <c r="S547" s="563"/>
      <c r="T547" s="563"/>
      <c r="U547" s="563"/>
      <c r="V547" s="563"/>
      <c r="W547" s="563"/>
      <c r="X547" s="565"/>
      <c r="Y547" s="612"/>
      <c r="Z547" s="612"/>
      <c r="AA547" s="563"/>
      <c r="AB547" s="612"/>
      <c r="AC547" s="569"/>
      <c r="AD547" s="563"/>
      <c r="AE547" s="563"/>
      <c r="AF547" s="563"/>
      <c r="AG547" s="563"/>
      <c r="AH547" s="563"/>
      <c r="AI547" s="563"/>
      <c r="AJ547" s="680"/>
      <c r="AK547" s="563"/>
      <c r="AL547" s="563"/>
      <c r="AM547" s="563"/>
      <c r="AN547" s="563"/>
      <c r="AO547" s="563"/>
      <c r="AP547" s="46"/>
      <c r="AQ547" s="46"/>
      <c r="AR547" s="46"/>
      <c r="AS547" s="46"/>
      <c r="AT547" s="46"/>
      <c r="AU547" s="46"/>
      <c r="AV547" s="46"/>
      <c r="AW547" s="46"/>
      <c r="AX547" s="46"/>
      <c r="AY547" s="46"/>
      <c r="AZ547" s="563"/>
      <c r="BA547" s="569"/>
      <c r="BB547" s="563"/>
      <c r="BC547" s="569"/>
      <c r="BD547" s="563"/>
      <c r="BE547" s="46"/>
      <c r="BF547" s="46"/>
      <c r="BG547" s="563"/>
      <c r="BH547" s="563"/>
      <c r="BI547" s="563"/>
      <c r="BJ547" s="563"/>
    </row>
    <row r="548" spans="2:62" x14ac:dyDescent="0.25">
      <c r="B548" s="569"/>
      <c r="C548" s="672"/>
      <c r="D548" s="563"/>
      <c r="E548" s="563"/>
      <c r="F548" s="569"/>
      <c r="G548" s="563"/>
      <c r="H548" s="563"/>
      <c r="I548" s="600"/>
      <c r="J548" s="569"/>
      <c r="K548" s="563"/>
      <c r="L548" s="563"/>
      <c r="M548" s="563"/>
      <c r="N548" s="563"/>
      <c r="O548" s="563"/>
      <c r="P548" s="563"/>
      <c r="Q548" s="563"/>
      <c r="R548" s="563"/>
      <c r="S548" s="563"/>
      <c r="T548" s="563"/>
      <c r="U548" s="563"/>
      <c r="V548" s="563"/>
      <c r="W548" s="563"/>
      <c r="X548" s="565"/>
      <c r="Y548" s="612"/>
      <c r="Z548" s="612"/>
      <c r="AA548" s="563"/>
      <c r="AB548" s="612"/>
      <c r="AC548" s="569"/>
      <c r="AD548" s="563"/>
      <c r="AE548" s="563"/>
      <c r="AF548" s="563"/>
      <c r="AG548" s="563"/>
      <c r="AH548" s="563"/>
      <c r="AI548" s="563"/>
      <c r="AJ548" s="680"/>
      <c r="AK548" s="563"/>
      <c r="AL548" s="563"/>
      <c r="AM548" s="563"/>
      <c r="AN548" s="563"/>
      <c r="AO548" s="563"/>
      <c r="AP548" s="46"/>
      <c r="AQ548" s="46"/>
      <c r="AR548" s="46"/>
      <c r="AS548" s="46"/>
      <c r="AT548" s="46"/>
      <c r="AU548" s="46"/>
      <c r="AV548" s="46"/>
      <c r="AW548" s="46"/>
      <c r="AX548" s="46"/>
      <c r="AY548" s="46"/>
      <c r="AZ548" s="563"/>
      <c r="BA548" s="569"/>
      <c r="BB548" s="563"/>
      <c r="BC548" s="569"/>
      <c r="BD548" s="563"/>
      <c r="BE548" s="46"/>
      <c r="BF548" s="46"/>
      <c r="BG548" s="563"/>
      <c r="BH548" s="563"/>
      <c r="BI548" s="563"/>
      <c r="BJ548" s="563"/>
    </row>
    <row r="549" spans="2:62" x14ac:dyDescent="0.25">
      <c r="B549" s="569"/>
      <c r="C549" s="672"/>
      <c r="D549" s="563"/>
      <c r="E549" s="563"/>
      <c r="F549" s="569"/>
      <c r="G549" s="563"/>
      <c r="H549" s="563"/>
      <c r="I549" s="600"/>
      <c r="J549" s="569"/>
      <c r="K549" s="563"/>
      <c r="L549" s="563"/>
      <c r="M549" s="563"/>
      <c r="N549" s="563"/>
      <c r="O549" s="563"/>
      <c r="P549" s="563"/>
      <c r="Q549" s="563"/>
      <c r="R549" s="563"/>
      <c r="S549" s="563"/>
      <c r="T549" s="563"/>
      <c r="U549" s="563"/>
      <c r="V549" s="563"/>
      <c r="W549" s="563"/>
      <c r="X549" s="565"/>
      <c r="Y549" s="612"/>
      <c r="Z549" s="612"/>
      <c r="AA549" s="563"/>
      <c r="AB549" s="612"/>
      <c r="AC549" s="569"/>
      <c r="AD549" s="563"/>
      <c r="AE549" s="563"/>
      <c r="AF549" s="563"/>
      <c r="AG549" s="563"/>
      <c r="AH549" s="563"/>
      <c r="AI549" s="563"/>
      <c r="AJ549" s="680"/>
      <c r="AK549" s="563"/>
      <c r="AL549" s="563"/>
      <c r="AM549" s="563"/>
      <c r="AN549" s="563"/>
      <c r="AO549" s="563"/>
      <c r="AP549" s="46"/>
      <c r="AQ549" s="46"/>
      <c r="AR549" s="46"/>
      <c r="AS549" s="46"/>
      <c r="AT549" s="46"/>
      <c r="AU549" s="46"/>
      <c r="AV549" s="46"/>
      <c r="AW549" s="46"/>
      <c r="AX549" s="46"/>
      <c r="AY549" s="46"/>
      <c r="AZ549" s="563"/>
      <c r="BA549" s="569"/>
      <c r="BB549" s="563"/>
      <c r="BC549" s="569"/>
      <c r="BD549" s="563"/>
      <c r="BE549" s="46"/>
      <c r="BF549" s="46"/>
      <c r="BG549" s="563"/>
      <c r="BH549" s="563"/>
      <c r="BI549" s="563"/>
      <c r="BJ549" s="563"/>
    </row>
    <row r="550" spans="2:62" x14ac:dyDescent="0.25">
      <c r="B550" s="569"/>
      <c r="C550" s="672"/>
      <c r="D550" s="563"/>
      <c r="E550" s="563"/>
      <c r="F550" s="569"/>
      <c r="G550" s="563"/>
      <c r="H550" s="563"/>
      <c r="I550" s="600"/>
      <c r="J550" s="569"/>
      <c r="K550" s="563"/>
      <c r="L550" s="563"/>
      <c r="M550" s="563"/>
      <c r="N550" s="563"/>
      <c r="O550" s="563"/>
      <c r="P550" s="563"/>
      <c r="Q550" s="563"/>
      <c r="R550" s="563"/>
      <c r="S550" s="563"/>
      <c r="T550" s="563"/>
      <c r="U550" s="563"/>
      <c r="V550" s="563"/>
      <c r="W550" s="563"/>
      <c r="X550" s="565"/>
      <c r="Y550" s="612"/>
      <c r="Z550" s="612"/>
      <c r="AA550" s="563"/>
      <c r="AB550" s="612"/>
      <c r="AC550" s="569"/>
      <c r="AD550" s="563"/>
      <c r="AE550" s="563"/>
      <c r="AF550" s="563"/>
      <c r="AG550" s="563"/>
      <c r="AH550" s="563"/>
      <c r="AI550" s="563"/>
      <c r="AJ550" s="680"/>
      <c r="AK550" s="563"/>
      <c r="AL550" s="563"/>
      <c r="AM550" s="563"/>
      <c r="AN550" s="563"/>
      <c r="AO550" s="563"/>
      <c r="AP550" s="46"/>
      <c r="AQ550" s="46"/>
      <c r="AR550" s="46"/>
      <c r="AS550" s="46"/>
      <c r="AT550" s="46"/>
      <c r="AU550" s="46"/>
      <c r="AV550" s="46"/>
      <c r="AW550" s="46"/>
      <c r="AX550" s="46"/>
      <c r="AY550" s="46"/>
      <c r="AZ550" s="563"/>
      <c r="BA550" s="569"/>
      <c r="BB550" s="563"/>
      <c r="BC550" s="569"/>
      <c r="BD550" s="563"/>
      <c r="BE550" s="46"/>
      <c r="BF550" s="46"/>
      <c r="BG550" s="563"/>
      <c r="BH550" s="563"/>
      <c r="BI550" s="563"/>
      <c r="BJ550" s="563"/>
    </row>
    <row r="551" spans="2:62" x14ac:dyDescent="0.25">
      <c r="B551" s="569"/>
      <c r="C551" s="672"/>
      <c r="D551" s="563"/>
      <c r="E551" s="563"/>
      <c r="F551" s="569"/>
      <c r="G551" s="563"/>
      <c r="H551" s="563"/>
      <c r="I551" s="600"/>
      <c r="J551" s="569"/>
      <c r="K551" s="563"/>
      <c r="L551" s="563"/>
      <c r="M551" s="563"/>
      <c r="N551" s="563"/>
      <c r="O551" s="563"/>
      <c r="P551" s="563"/>
      <c r="Q551" s="563"/>
      <c r="R551" s="563"/>
      <c r="S551" s="563"/>
      <c r="T551" s="563"/>
      <c r="U551" s="563"/>
      <c r="V551" s="563"/>
      <c r="W551" s="563"/>
      <c r="X551" s="565"/>
      <c r="Y551" s="612"/>
      <c r="Z551" s="612"/>
      <c r="AA551" s="563"/>
      <c r="AB551" s="612"/>
      <c r="AC551" s="569"/>
      <c r="AD551" s="563"/>
      <c r="AE551" s="563"/>
      <c r="AF551" s="563"/>
      <c r="AG551" s="563"/>
      <c r="AH551" s="563"/>
      <c r="AI551" s="563"/>
      <c r="AJ551" s="680"/>
      <c r="AK551" s="563"/>
      <c r="AL551" s="563"/>
      <c r="AM551" s="563"/>
      <c r="AN551" s="563"/>
      <c r="AO551" s="563"/>
      <c r="AP551" s="46"/>
      <c r="AQ551" s="46"/>
      <c r="AR551" s="46"/>
      <c r="AS551" s="46"/>
      <c r="AT551" s="46"/>
      <c r="AU551" s="46"/>
      <c r="AV551" s="46"/>
      <c r="AW551" s="46"/>
      <c r="AX551" s="46"/>
      <c r="AY551" s="46"/>
      <c r="AZ551" s="563"/>
      <c r="BA551" s="569"/>
      <c r="BB551" s="563"/>
      <c r="BC551" s="569"/>
      <c r="BD551" s="563"/>
      <c r="BE551" s="46"/>
      <c r="BF551" s="46"/>
      <c r="BG551" s="563"/>
      <c r="BH551" s="563"/>
      <c r="BI551" s="563"/>
      <c r="BJ551" s="563"/>
    </row>
    <row r="552" spans="2:62" x14ac:dyDescent="0.25">
      <c r="B552" s="569"/>
      <c r="C552" s="672"/>
      <c r="D552" s="563"/>
      <c r="E552" s="563"/>
      <c r="F552" s="569"/>
      <c r="G552" s="563"/>
      <c r="H552" s="563"/>
      <c r="I552" s="600"/>
      <c r="J552" s="569"/>
      <c r="K552" s="563"/>
      <c r="L552" s="563"/>
      <c r="M552" s="563"/>
      <c r="N552" s="563"/>
      <c r="O552" s="563"/>
      <c r="P552" s="563"/>
      <c r="Q552" s="563"/>
      <c r="R552" s="563"/>
      <c r="S552" s="563"/>
      <c r="T552" s="563"/>
      <c r="U552" s="563"/>
      <c r="V552" s="563"/>
      <c r="W552" s="563"/>
      <c r="X552" s="565"/>
      <c r="Y552" s="612"/>
      <c r="Z552" s="612"/>
      <c r="AA552" s="563"/>
      <c r="AB552" s="612"/>
      <c r="AC552" s="569"/>
      <c r="AD552" s="563"/>
      <c r="AE552" s="563"/>
      <c r="AF552" s="563"/>
      <c r="AG552" s="563"/>
      <c r="AH552" s="563"/>
      <c r="AI552" s="563"/>
      <c r="AJ552" s="680"/>
      <c r="AK552" s="563"/>
      <c r="AL552" s="563"/>
      <c r="AM552" s="563"/>
      <c r="AN552" s="563"/>
      <c r="AO552" s="563"/>
      <c r="AP552" s="46"/>
      <c r="AQ552" s="46"/>
      <c r="AR552" s="46"/>
      <c r="AS552" s="46"/>
      <c r="AT552" s="46"/>
      <c r="AU552" s="46"/>
      <c r="AV552" s="46"/>
      <c r="AW552" s="46"/>
      <c r="AX552" s="46"/>
      <c r="AY552" s="46"/>
      <c r="AZ552" s="563"/>
      <c r="BA552" s="569"/>
      <c r="BB552" s="563"/>
      <c r="BC552" s="569"/>
      <c r="BD552" s="563"/>
      <c r="BE552" s="46"/>
      <c r="BF552" s="46"/>
      <c r="BG552" s="563"/>
      <c r="BH552" s="563"/>
      <c r="BI552" s="563"/>
      <c r="BJ552" s="563"/>
    </row>
    <row r="553" spans="2:62" x14ac:dyDescent="0.25">
      <c r="B553" s="569"/>
      <c r="C553" s="672"/>
      <c r="D553" s="563"/>
      <c r="E553" s="563"/>
      <c r="F553" s="569"/>
      <c r="G553" s="563"/>
      <c r="H553" s="563"/>
      <c r="I553" s="600"/>
      <c r="J553" s="569"/>
      <c r="K553" s="563"/>
      <c r="L553" s="563"/>
      <c r="M553" s="563"/>
      <c r="N553" s="563"/>
      <c r="O553" s="563"/>
      <c r="P553" s="563"/>
      <c r="Q553" s="563"/>
      <c r="R553" s="563"/>
      <c r="S553" s="563"/>
      <c r="T553" s="563"/>
      <c r="U553" s="563"/>
      <c r="V553" s="563"/>
      <c r="W553" s="563"/>
      <c r="X553" s="565"/>
      <c r="Y553" s="612"/>
      <c r="Z553" s="612"/>
      <c r="AA553" s="563"/>
      <c r="AB553" s="612"/>
      <c r="AC553" s="569"/>
      <c r="AD553" s="563"/>
      <c r="AE553" s="563"/>
      <c r="AF553" s="563"/>
      <c r="AG553" s="563"/>
      <c r="AH553" s="563"/>
      <c r="AI553" s="563"/>
      <c r="AJ553" s="680"/>
      <c r="AK553" s="563"/>
      <c r="AL553" s="563"/>
      <c r="AM553" s="563"/>
      <c r="AN553" s="563"/>
      <c r="AO553" s="563"/>
      <c r="AP553" s="46"/>
      <c r="AQ553" s="46"/>
      <c r="AR553" s="46"/>
      <c r="AS553" s="46"/>
      <c r="AT553" s="46"/>
      <c r="AU553" s="46"/>
      <c r="AV553" s="46"/>
      <c r="AW553" s="46"/>
      <c r="AX553" s="46"/>
      <c r="AY553" s="46"/>
      <c r="AZ553" s="563"/>
      <c r="BA553" s="569"/>
      <c r="BB553" s="563"/>
      <c r="BC553" s="569"/>
      <c r="BD553" s="563"/>
      <c r="BE553" s="46"/>
      <c r="BF553" s="46"/>
      <c r="BG553" s="563"/>
      <c r="BH553" s="563"/>
      <c r="BI553" s="563"/>
      <c r="BJ553" s="563"/>
    </row>
    <row r="554" spans="2:62" x14ac:dyDescent="0.25">
      <c r="B554" s="569"/>
      <c r="C554" s="672"/>
      <c r="D554" s="563"/>
      <c r="E554" s="563"/>
      <c r="F554" s="569"/>
      <c r="G554" s="563"/>
      <c r="H554" s="563"/>
      <c r="I554" s="600"/>
      <c r="J554" s="569"/>
      <c r="K554" s="563"/>
      <c r="L554" s="563"/>
      <c r="M554" s="563"/>
      <c r="N554" s="563"/>
      <c r="O554" s="563"/>
      <c r="P554" s="563"/>
      <c r="Q554" s="563"/>
      <c r="R554" s="563"/>
      <c r="S554" s="563"/>
      <c r="T554" s="563"/>
      <c r="U554" s="563"/>
      <c r="V554" s="563"/>
      <c r="W554" s="563"/>
      <c r="X554" s="565"/>
      <c r="Y554" s="612"/>
      <c r="Z554" s="612"/>
      <c r="AA554" s="563"/>
      <c r="AB554" s="612"/>
      <c r="AC554" s="569"/>
      <c r="AD554" s="563"/>
      <c r="AE554" s="563"/>
      <c r="AF554" s="563"/>
      <c r="AG554" s="563"/>
      <c r="AH554" s="563"/>
      <c r="AI554" s="563"/>
      <c r="AJ554" s="680"/>
      <c r="AK554" s="563"/>
      <c r="AL554" s="563"/>
      <c r="AM554" s="563"/>
      <c r="AN554" s="563"/>
      <c r="AO554" s="563"/>
      <c r="AP554" s="46"/>
      <c r="AQ554" s="46"/>
      <c r="AR554" s="46"/>
      <c r="AS554" s="46"/>
      <c r="AT554" s="46"/>
      <c r="AU554" s="46"/>
      <c r="AV554" s="46"/>
      <c r="AW554" s="46"/>
      <c r="AX554" s="46"/>
      <c r="AY554" s="46"/>
      <c r="AZ554" s="563"/>
      <c r="BA554" s="569"/>
      <c r="BB554" s="563"/>
      <c r="BC554" s="569"/>
      <c r="BD554" s="563"/>
      <c r="BE554" s="46"/>
      <c r="BF554" s="46"/>
      <c r="BG554" s="563"/>
      <c r="BH554" s="563"/>
      <c r="BI554" s="563"/>
      <c r="BJ554" s="563"/>
    </row>
    <row r="555" spans="2:62" x14ac:dyDescent="0.25">
      <c r="B555" s="569"/>
      <c r="C555" s="672"/>
      <c r="D555" s="563"/>
      <c r="E555" s="563"/>
      <c r="F555" s="569"/>
      <c r="G555" s="563"/>
      <c r="H555" s="563"/>
      <c r="I555" s="600"/>
      <c r="J555" s="569"/>
      <c r="K555" s="563"/>
      <c r="L555" s="563"/>
      <c r="M555" s="563"/>
      <c r="N555" s="563"/>
      <c r="O555" s="563"/>
      <c r="P555" s="563"/>
      <c r="Q555" s="563"/>
      <c r="R555" s="563"/>
      <c r="S555" s="563"/>
      <c r="T555" s="563"/>
      <c r="U555" s="563"/>
      <c r="V555" s="563"/>
      <c r="W555" s="563"/>
      <c r="X555" s="565"/>
      <c r="Y555" s="612"/>
      <c r="Z555" s="612"/>
      <c r="AA555" s="563"/>
      <c r="AB555" s="612"/>
      <c r="AC555" s="569"/>
      <c r="AD555" s="563"/>
      <c r="AE555" s="563"/>
      <c r="AF555" s="563"/>
      <c r="AG555" s="563"/>
      <c r="AH555" s="563"/>
      <c r="AI555" s="563"/>
      <c r="AJ555" s="680"/>
      <c r="AK555" s="563"/>
      <c r="AL555" s="563"/>
      <c r="AM555" s="563"/>
      <c r="AN555" s="563"/>
      <c r="AO555" s="563"/>
      <c r="AP555" s="46"/>
      <c r="AQ555" s="46"/>
      <c r="AR555" s="46"/>
      <c r="AS555" s="46"/>
      <c r="AT555" s="46"/>
      <c r="AU555" s="46"/>
      <c r="AV555" s="46"/>
      <c r="AW555" s="46"/>
      <c r="AX555" s="46"/>
      <c r="AY555" s="46"/>
      <c r="AZ555" s="563"/>
      <c r="BA555" s="569"/>
      <c r="BB555" s="563"/>
      <c r="BC555" s="569"/>
      <c r="BD555" s="563"/>
      <c r="BE555" s="46"/>
      <c r="BF555" s="46"/>
      <c r="BG555" s="563"/>
      <c r="BH555" s="563"/>
      <c r="BI555" s="563"/>
      <c r="BJ555" s="563"/>
    </row>
    <row r="556" spans="2:62" x14ac:dyDescent="0.25">
      <c r="B556" s="569"/>
      <c r="C556" s="672"/>
      <c r="D556" s="563"/>
      <c r="E556" s="563"/>
      <c r="F556" s="569"/>
      <c r="G556" s="563"/>
      <c r="H556" s="563"/>
      <c r="I556" s="600"/>
      <c r="J556" s="569"/>
      <c r="K556" s="563"/>
      <c r="L556" s="563"/>
      <c r="M556" s="563"/>
      <c r="N556" s="563"/>
      <c r="O556" s="563"/>
      <c r="P556" s="563"/>
      <c r="Q556" s="563"/>
      <c r="R556" s="563"/>
      <c r="S556" s="563"/>
      <c r="T556" s="563"/>
      <c r="U556" s="563"/>
      <c r="V556" s="563"/>
      <c r="W556" s="563"/>
      <c r="X556" s="565"/>
      <c r="Y556" s="612"/>
      <c r="Z556" s="612"/>
      <c r="AA556" s="563"/>
      <c r="AB556" s="612"/>
      <c r="AC556" s="569"/>
      <c r="AD556" s="563"/>
      <c r="AE556" s="563"/>
      <c r="AF556" s="563"/>
      <c r="AG556" s="563"/>
      <c r="AH556" s="563"/>
      <c r="AI556" s="563"/>
      <c r="AJ556" s="680"/>
      <c r="AK556" s="563"/>
      <c r="AL556" s="563"/>
      <c r="AM556" s="563"/>
      <c r="AN556" s="563"/>
      <c r="AO556" s="563"/>
      <c r="AP556" s="46"/>
      <c r="AQ556" s="46"/>
      <c r="AR556" s="46"/>
      <c r="AS556" s="46"/>
      <c r="AT556" s="46"/>
      <c r="AU556" s="46"/>
      <c r="AV556" s="46"/>
      <c r="AW556" s="46"/>
      <c r="AX556" s="46"/>
      <c r="AY556" s="46"/>
      <c r="AZ556" s="563"/>
      <c r="BA556" s="569"/>
      <c r="BB556" s="563"/>
      <c r="BC556" s="569"/>
      <c r="BD556" s="563"/>
      <c r="BE556" s="46"/>
      <c r="BF556" s="46"/>
      <c r="BG556" s="563"/>
      <c r="BH556" s="563"/>
      <c r="BI556" s="563"/>
      <c r="BJ556" s="563"/>
    </row>
    <row r="557" spans="2:62" x14ac:dyDescent="0.25">
      <c r="B557" s="569"/>
      <c r="C557" s="672"/>
      <c r="D557" s="563"/>
      <c r="E557" s="563"/>
      <c r="F557" s="569"/>
      <c r="G557" s="563"/>
      <c r="H557" s="563"/>
      <c r="I557" s="600"/>
      <c r="J557" s="569"/>
      <c r="K557" s="563"/>
      <c r="L557" s="563"/>
      <c r="M557" s="563"/>
      <c r="N557" s="563"/>
      <c r="O557" s="563"/>
      <c r="P557" s="563"/>
      <c r="Q557" s="563"/>
      <c r="R557" s="563"/>
      <c r="S557" s="563"/>
      <c r="T557" s="563"/>
      <c r="U557" s="563"/>
      <c r="V557" s="563"/>
      <c r="W557" s="563"/>
      <c r="X557" s="565"/>
      <c r="Y557" s="612"/>
      <c r="Z557" s="612"/>
      <c r="AA557" s="563"/>
      <c r="AB557" s="612"/>
      <c r="AC557" s="569"/>
      <c r="AD557" s="563"/>
      <c r="AE557" s="563"/>
      <c r="AF557" s="563"/>
      <c r="AG557" s="563"/>
      <c r="AH557" s="563"/>
      <c r="AI557" s="563"/>
      <c r="AJ557" s="680"/>
      <c r="AK557" s="563"/>
      <c r="AL557" s="563"/>
      <c r="AM557" s="563"/>
      <c r="AN557" s="563"/>
      <c r="AO557" s="563"/>
      <c r="AP557" s="46"/>
      <c r="AQ557" s="46"/>
      <c r="AR557" s="46"/>
      <c r="AS557" s="46"/>
      <c r="AT557" s="46"/>
      <c r="AU557" s="46"/>
      <c r="AV557" s="46"/>
      <c r="AW557" s="46"/>
      <c r="AX557" s="46"/>
      <c r="AY557" s="46"/>
      <c r="AZ557" s="563"/>
      <c r="BA557" s="569"/>
      <c r="BB557" s="563"/>
      <c r="BC557" s="569"/>
      <c r="BD557" s="563"/>
      <c r="BE557" s="46"/>
      <c r="BF557" s="46"/>
      <c r="BG557" s="563"/>
      <c r="BH557" s="563"/>
      <c r="BI557" s="563"/>
      <c r="BJ557" s="563"/>
    </row>
    <row r="558" spans="2:62" x14ac:dyDescent="0.25">
      <c r="B558" s="569"/>
      <c r="C558" s="672"/>
      <c r="D558" s="563"/>
      <c r="E558" s="563"/>
      <c r="F558" s="569"/>
      <c r="G558" s="563"/>
      <c r="H558" s="563"/>
      <c r="I558" s="600"/>
      <c r="J558" s="569"/>
      <c r="K558" s="563"/>
      <c r="L558" s="563"/>
      <c r="M558" s="563"/>
      <c r="N558" s="563"/>
      <c r="O558" s="563"/>
      <c r="P558" s="563"/>
      <c r="Q558" s="563"/>
      <c r="R558" s="563"/>
      <c r="S558" s="563"/>
      <c r="T558" s="563"/>
      <c r="U558" s="563"/>
      <c r="V558" s="563"/>
      <c r="W558" s="563"/>
      <c r="X558" s="565"/>
      <c r="Y558" s="612"/>
      <c r="Z558" s="612"/>
      <c r="AA558" s="563"/>
      <c r="AB558" s="612"/>
      <c r="AC558" s="569"/>
      <c r="AD558" s="563"/>
      <c r="AE558" s="563"/>
      <c r="AF558" s="563"/>
      <c r="AG558" s="563"/>
      <c r="AH558" s="563"/>
      <c r="AI558" s="563"/>
      <c r="AJ558" s="680"/>
      <c r="AK558" s="563"/>
      <c r="AL558" s="563"/>
      <c r="AM558" s="563"/>
      <c r="AN558" s="563"/>
      <c r="AO558" s="563"/>
      <c r="AP558" s="46"/>
      <c r="AQ558" s="46"/>
      <c r="AR558" s="46"/>
      <c r="AS558" s="46"/>
      <c r="AT558" s="46"/>
      <c r="AU558" s="46"/>
      <c r="AV558" s="46"/>
      <c r="AW558" s="46"/>
      <c r="AX558" s="46"/>
      <c r="AY558" s="46"/>
      <c r="AZ558" s="563"/>
      <c r="BA558" s="569"/>
      <c r="BB558" s="563"/>
      <c r="BC558" s="569"/>
      <c r="BD558" s="563"/>
      <c r="BE558" s="46"/>
      <c r="BF558" s="46"/>
      <c r="BG558" s="563"/>
      <c r="BH558" s="563"/>
      <c r="BI558" s="563"/>
      <c r="BJ558" s="563"/>
    </row>
    <row r="559" spans="2:62" x14ac:dyDescent="0.25">
      <c r="B559" s="569"/>
      <c r="C559" s="672"/>
      <c r="D559" s="563"/>
      <c r="E559" s="563"/>
      <c r="F559" s="569"/>
      <c r="G559" s="563"/>
      <c r="H559" s="563"/>
      <c r="I559" s="600"/>
      <c r="J559" s="569"/>
      <c r="K559" s="563"/>
      <c r="L559" s="563"/>
      <c r="M559" s="563"/>
      <c r="N559" s="563"/>
      <c r="O559" s="563"/>
      <c r="P559" s="563"/>
      <c r="Q559" s="563"/>
      <c r="R559" s="563"/>
      <c r="S559" s="563"/>
      <c r="T559" s="563"/>
      <c r="U559" s="563"/>
      <c r="V559" s="563"/>
      <c r="W559" s="563"/>
      <c r="X559" s="565"/>
      <c r="Y559" s="612"/>
      <c r="Z559" s="612"/>
      <c r="AA559" s="563"/>
      <c r="AB559" s="612"/>
      <c r="AC559" s="569"/>
      <c r="AD559" s="563"/>
      <c r="AE559" s="563"/>
      <c r="AF559" s="563"/>
      <c r="AG559" s="563"/>
      <c r="AH559" s="563"/>
      <c r="AI559" s="563"/>
      <c r="AJ559" s="680"/>
      <c r="AK559" s="563"/>
      <c r="AL559" s="563"/>
      <c r="AM559" s="563"/>
      <c r="AN559" s="563"/>
      <c r="AO559" s="563"/>
      <c r="AP559" s="46"/>
      <c r="AQ559" s="46"/>
      <c r="AR559" s="46"/>
      <c r="AS559" s="46"/>
      <c r="AT559" s="46"/>
      <c r="AU559" s="46"/>
      <c r="AV559" s="46"/>
      <c r="AW559" s="46"/>
      <c r="AX559" s="46"/>
      <c r="AY559" s="46"/>
      <c r="AZ559" s="563"/>
      <c r="BA559" s="569"/>
      <c r="BB559" s="563"/>
      <c r="BC559" s="569"/>
      <c r="BD559" s="563"/>
      <c r="BE559" s="46"/>
      <c r="BF559" s="46"/>
      <c r="BG559" s="563"/>
      <c r="BH559" s="563"/>
      <c r="BI559" s="563"/>
      <c r="BJ559" s="563"/>
    </row>
    <row r="560" spans="2:62" x14ac:dyDescent="0.25">
      <c r="B560" s="569"/>
      <c r="C560" s="672"/>
      <c r="D560" s="563"/>
      <c r="E560" s="563"/>
      <c r="F560" s="569"/>
      <c r="G560" s="563"/>
      <c r="H560" s="563"/>
      <c r="I560" s="600"/>
      <c r="J560" s="569"/>
      <c r="K560" s="563"/>
      <c r="L560" s="563"/>
      <c r="M560" s="563"/>
      <c r="N560" s="563"/>
      <c r="O560" s="563"/>
      <c r="P560" s="563"/>
      <c r="Q560" s="563"/>
      <c r="R560" s="563"/>
      <c r="S560" s="563"/>
      <c r="T560" s="563"/>
      <c r="U560" s="563"/>
      <c r="V560" s="563"/>
      <c r="W560" s="563"/>
      <c r="X560" s="565"/>
      <c r="Y560" s="612"/>
      <c r="Z560" s="612"/>
      <c r="AA560" s="563"/>
      <c r="AB560" s="612"/>
      <c r="AC560" s="569"/>
      <c r="AD560" s="563"/>
      <c r="AE560" s="563"/>
      <c r="AF560" s="563"/>
      <c r="AG560" s="563"/>
      <c r="AH560" s="563"/>
      <c r="AI560" s="563"/>
      <c r="AJ560" s="680"/>
      <c r="AK560" s="563"/>
      <c r="AL560" s="563"/>
      <c r="AM560" s="563"/>
      <c r="AN560" s="563"/>
      <c r="AO560" s="563"/>
      <c r="AP560" s="46"/>
      <c r="AQ560" s="46"/>
      <c r="AR560" s="46"/>
      <c r="AS560" s="46"/>
      <c r="AT560" s="46"/>
      <c r="AU560" s="46"/>
      <c r="AV560" s="46"/>
      <c r="AW560" s="46"/>
      <c r="AX560" s="46"/>
      <c r="AY560" s="46"/>
      <c r="AZ560" s="563"/>
      <c r="BA560" s="569"/>
      <c r="BB560" s="563"/>
      <c r="BC560" s="569"/>
      <c r="BD560" s="563"/>
      <c r="BE560" s="46"/>
      <c r="BF560" s="46"/>
      <c r="BG560" s="563"/>
      <c r="BH560" s="563"/>
      <c r="BI560" s="563"/>
      <c r="BJ560" s="563"/>
    </row>
    <row r="561" spans="2:62" x14ac:dyDescent="0.25">
      <c r="B561" s="569"/>
      <c r="C561" s="672"/>
      <c r="D561" s="563"/>
      <c r="E561" s="563"/>
      <c r="F561" s="569"/>
      <c r="G561" s="563"/>
      <c r="H561" s="563"/>
      <c r="I561" s="600"/>
      <c r="J561" s="569"/>
      <c r="K561" s="563"/>
      <c r="L561" s="563"/>
      <c r="M561" s="563"/>
      <c r="N561" s="563"/>
      <c r="O561" s="563"/>
      <c r="P561" s="563"/>
      <c r="Q561" s="563"/>
      <c r="R561" s="563"/>
      <c r="S561" s="563"/>
      <c r="T561" s="563"/>
      <c r="U561" s="563"/>
      <c r="V561" s="563"/>
      <c r="W561" s="563"/>
      <c r="X561" s="565"/>
      <c r="Y561" s="612"/>
      <c r="Z561" s="612"/>
      <c r="AA561" s="563"/>
      <c r="AB561" s="612"/>
      <c r="AC561" s="569"/>
      <c r="AD561" s="563"/>
      <c r="AE561" s="563"/>
      <c r="AF561" s="563"/>
      <c r="AG561" s="563"/>
      <c r="AH561" s="563"/>
      <c r="AI561" s="563"/>
      <c r="AJ561" s="680"/>
      <c r="AK561" s="563"/>
      <c r="AL561" s="563"/>
      <c r="AM561" s="563"/>
      <c r="AN561" s="563"/>
      <c r="AO561" s="563"/>
      <c r="AP561" s="46"/>
      <c r="AQ561" s="46"/>
      <c r="AR561" s="46"/>
      <c r="AS561" s="46"/>
      <c r="AT561" s="46"/>
      <c r="AU561" s="46"/>
      <c r="AV561" s="46"/>
      <c r="AW561" s="46"/>
      <c r="AX561" s="46"/>
      <c r="AY561" s="46"/>
      <c r="AZ561" s="563"/>
      <c r="BA561" s="569"/>
      <c r="BB561" s="563"/>
      <c r="BC561" s="569"/>
      <c r="BD561" s="563"/>
      <c r="BE561" s="46"/>
      <c r="BF561" s="46"/>
      <c r="BG561" s="563"/>
      <c r="BH561" s="563"/>
      <c r="BI561" s="563"/>
      <c r="BJ561" s="563"/>
    </row>
    <row r="562" spans="2:62" x14ac:dyDescent="0.25">
      <c r="B562" s="569"/>
      <c r="C562" s="672"/>
      <c r="D562" s="563"/>
      <c r="E562" s="563"/>
      <c r="F562" s="569"/>
      <c r="G562" s="563"/>
      <c r="H562" s="563"/>
      <c r="I562" s="600"/>
      <c r="J562" s="569"/>
      <c r="K562" s="563"/>
      <c r="L562" s="563"/>
      <c r="M562" s="563"/>
      <c r="N562" s="563"/>
      <c r="O562" s="563"/>
      <c r="P562" s="563"/>
      <c r="Q562" s="563"/>
      <c r="R562" s="563"/>
      <c r="S562" s="563"/>
      <c r="T562" s="563"/>
      <c r="U562" s="563"/>
      <c r="V562" s="563"/>
      <c r="W562" s="563"/>
      <c r="X562" s="565"/>
      <c r="Y562" s="612"/>
      <c r="Z562" s="612"/>
      <c r="AA562" s="563"/>
      <c r="AB562" s="612"/>
      <c r="AC562" s="569"/>
      <c r="AD562" s="563"/>
      <c r="AE562" s="563"/>
      <c r="AF562" s="563"/>
      <c r="AG562" s="563"/>
      <c r="AH562" s="563"/>
      <c r="AI562" s="563"/>
      <c r="AJ562" s="680"/>
      <c r="AK562" s="563"/>
      <c r="AL562" s="563"/>
      <c r="AM562" s="563"/>
      <c r="AN562" s="563"/>
      <c r="AO562" s="563"/>
      <c r="AP562" s="46"/>
      <c r="AQ562" s="46"/>
      <c r="AR562" s="46"/>
      <c r="AS562" s="46"/>
      <c r="AT562" s="46"/>
      <c r="AU562" s="46"/>
      <c r="AV562" s="46"/>
      <c r="AW562" s="46"/>
      <c r="AX562" s="46"/>
      <c r="AY562" s="46"/>
      <c r="AZ562" s="563"/>
      <c r="BA562" s="569"/>
      <c r="BB562" s="563"/>
      <c r="BC562" s="569"/>
      <c r="BD562" s="563"/>
      <c r="BE562" s="46"/>
      <c r="BF562" s="46"/>
      <c r="BG562" s="563"/>
      <c r="BH562" s="563"/>
      <c r="BI562" s="563"/>
      <c r="BJ562" s="563"/>
    </row>
    <row r="563" spans="2:62" x14ac:dyDescent="0.25">
      <c r="B563" s="569"/>
      <c r="C563" s="672"/>
      <c r="D563" s="563"/>
      <c r="E563" s="563"/>
      <c r="F563" s="569"/>
      <c r="G563" s="563"/>
      <c r="H563" s="563"/>
      <c r="I563" s="600"/>
      <c r="J563" s="569"/>
      <c r="K563" s="563"/>
      <c r="L563" s="563"/>
      <c r="M563" s="563"/>
      <c r="N563" s="563"/>
      <c r="O563" s="563"/>
      <c r="P563" s="563"/>
      <c r="Q563" s="563"/>
      <c r="R563" s="563"/>
      <c r="S563" s="563"/>
      <c r="T563" s="563"/>
      <c r="U563" s="563"/>
      <c r="V563" s="563"/>
      <c r="W563" s="563"/>
      <c r="X563" s="565"/>
      <c r="Y563" s="612"/>
      <c r="Z563" s="612"/>
      <c r="AA563" s="563"/>
      <c r="AB563" s="612"/>
      <c r="AC563" s="569"/>
      <c r="AD563" s="563"/>
      <c r="AE563" s="563"/>
      <c r="AF563" s="563"/>
      <c r="AG563" s="563"/>
      <c r="AH563" s="563"/>
      <c r="AI563" s="563"/>
      <c r="AJ563" s="680"/>
      <c r="AK563" s="563"/>
      <c r="AL563" s="563"/>
      <c r="AM563" s="563"/>
      <c r="AN563" s="563"/>
      <c r="AO563" s="563"/>
      <c r="AP563" s="46"/>
      <c r="AQ563" s="46"/>
      <c r="AR563" s="46"/>
      <c r="AS563" s="46"/>
      <c r="AT563" s="46"/>
      <c r="AU563" s="46"/>
      <c r="AV563" s="46"/>
      <c r="AW563" s="46"/>
      <c r="AX563" s="46"/>
      <c r="AY563" s="46"/>
      <c r="AZ563" s="563"/>
      <c r="BA563" s="569"/>
      <c r="BB563" s="563"/>
      <c r="BC563" s="569"/>
      <c r="BD563" s="563"/>
      <c r="BE563" s="46"/>
      <c r="BF563" s="46"/>
      <c r="BG563" s="563"/>
      <c r="BH563" s="563"/>
      <c r="BI563" s="563"/>
      <c r="BJ563" s="563"/>
    </row>
    <row r="564" spans="2:62" x14ac:dyDescent="0.25">
      <c r="B564" s="569"/>
      <c r="C564" s="672"/>
      <c r="D564" s="563"/>
      <c r="E564" s="563"/>
      <c r="F564" s="569"/>
      <c r="G564" s="563"/>
      <c r="H564" s="563"/>
      <c r="I564" s="600"/>
      <c r="J564" s="569"/>
      <c r="K564" s="563"/>
      <c r="L564" s="563"/>
      <c r="M564" s="563"/>
      <c r="N564" s="563"/>
      <c r="O564" s="563"/>
      <c r="P564" s="563"/>
      <c r="Q564" s="563"/>
      <c r="R564" s="563"/>
      <c r="S564" s="563"/>
      <c r="T564" s="563"/>
      <c r="U564" s="563"/>
      <c r="V564" s="563"/>
      <c r="W564" s="563"/>
      <c r="X564" s="565"/>
      <c r="Y564" s="612"/>
      <c r="Z564" s="612"/>
      <c r="AA564" s="563"/>
      <c r="AB564" s="612"/>
      <c r="AC564" s="569"/>
      <c r="AD564" s="563"/>
      <c r="AE564" s="563"/>
      <c r="AF564" s="563"/>
      <c r="AG564" s="563"/>
      <c r="AH564" s="563"/>
      <c r="AI564" s="563"/>
      <c r="AJ564" s="680"/>
      <c r="AK564" s="563"/>
      <c r="AL564" s="563"/>
      <c r="AM564" s="563"/>
      <c r="AN564" s="563"/>
      <c r="AO564" s="563"/>
      <c r="AP564" s="46"/>
      <c r="AQ564" s="46"/>
      <c r="AR564" s="46"/>
      <c r="AS564" s="46"/>
      <c r="AT564" s="46"/>
      <c r="AU564" s="46"/>
      <c r="AV564" s="46"/>
      <c r="AW564" s="46"/>
      <c r="AX564" s="46"/>
      <c r="AY564" s="46"/>
      <c r="AZ564" s="563"/>
      <c r="BA564" s="569"/>
      <c r="BB564" s="563"/>
      <c r="BC564" s="569"/>
      <c r="BD564" s="563"/>
      <c r="BE564" s="46"/>
      <c r="BF564" s="46"/>
      <c r="BG564" s="563"/>
      <c r="BH564" s="563"/>
      <c r="BI564" s="563"/>
      <c r="BJ564" s="563"/>
    </row>
    <row r="565" spans="2:62" x14ac:dyDescent="0.25">
      <c r="B565" s="569"/>
      <c r="C565" s="672"/>
      <c r="D565" s="563"/>
      <c r="E565" s="563"/>
      <c r="F565" s="569"/>
      <c r="G565" s="563"/>
      <c r="H565" s="563"/>
      <c r="I565" s="600"/>
      <c r="J565" s="569"/>
      <c r="K565" s="563"/>
      <c r="L565" s="563"/>
      <c r="M565" s="563"/>
      <c r="N565" s="563"/>
      <c r="O565" s="563"/>
      <c r="P565" s="563"/>
      <c r="Q565" s="563"/>
      <c r="R565" s="563"/>
      <c r="S565" s="563"/>
      <c r="T565" s="563"/>
      <c r="U565" s="563"/>
      <c r="V565" s="563"/>
      <c r="W565" s="563"/>
      <c r="X565" s="565"/>
      <c r="Y565" s="612"/>
      <c r="Z565" s="612"/>
      <c r="AA565" s="563"/>
      <c r="AB565" s="612"/>
      <c r="AC565" s="569"/>
      <c r="AD565" s="563"/>
      <c r="AE565" s="563"/>
      <c r="AF565" s="563"/>
      <c r="AG565" s="563"/>
      <c r="AH565" s="563"/>
      <c r="AI565" s="563"/>
      <c r="AJ565" s="680"/>
      <c r="AK565" s="563"/>
      <c r="AL565" s="563"/>
      <c r="AM565" s="563"/>
      <c r="AN565" s="563"/>
      <c r="AO565" s="563"/>
      <c r="AP565" s="46"/>
      <c r="AQ565" s="46"/>
      <c r="AR565" s="46"/>
      <c r="AS565" s="46"/>
      <c r="AT565" s="46"/>
      <c r="AU565" s="46"/>
      <c r="AV565" s="46"/>
      <c r="AW565" s="46"/>
      <c r="AX565" s="46"/>
      <c r="AY565" s="46"/>
      <c r="AZ565" s="563"/>
      <c r="BA565" s="569"/>
      <c r="BB565" s="563"/>
      <c r="BC565" s="569"/>
      <c r="BD565" s="563"/>
      <c r="BE565" s="46"/>
      <c r="BF565" s="46"/>
      <c r="BG565" s="563"/>
      <c r="BH565" s="563"/>
      <c r="BI565" s="563"/>
      <c r="BJ565" s="563"/>
    </row>
    <row r="566" spans="2:62" x14ac:dyDescent="0.25">
      <c r="B566" s="569"/>
      <c r="C566" s="672"/>
      <c r="D566" s="563"/>
      <c r="E566" s="563"/>
      <c r="F566" s="569"/>
      <c r="G566" s="563"/>
      <c r="H566" s="563"/>
      <c r="I566" s="600"/>
      <c r="J566" s="569"/>
      <c r="K566" s="563"/>
      <c r="L566" s="563"/>
      <c r="M566" s="563"/>
      <c r="N566" s="563"/>
      <c r="O566" s="563"/>
      <c r="P566" s="563"/>
      <c r="Q566" s="563"/>
      <c r="R566" s="563"/>
      <c r="S566" s="563"/>
      <c r="T566" s="563"/>
      <c r="U566" s="563"/>
      <c r="V566" s="563"/>
      <c r="W566" s="563"/>
      <c r="X566" s="565"/>
      <c r="Y566" s="612"/>
      <c r="Z566" s="612"/>
      <c r="AA566" s="563"/>
      <c r="AB566" s="612"/>
      <c r="AC566" s="569"/>
      <c r="AD566" s="563"/>
      <c r="AE566" s="563"/>
      <c r="AF566" s="563"/>
      <c r="AG566" s="563"/>
      <c r="AH566" s="563"/>
      <c r="AI566" s="563"/>
      <c r="AJ566" s="680"/>
      <c r="AK566" s="563"/>
      <c r="AL566" s="563"/>
      <c r="AM566" s="563"/>
      <c r="AN566" s="563"/>
      <c r="AO566" s="563"/>
      <c r="AP566" s="46"/>
      <c r="AQ566" s="46"/>
      <c r="AR566" s="46"/>
      <c r="AS566" s="46"/>
      <c r="AT566" s="46"/>
      <c r="AU566" s="46"/>
      <c r="AV566" s="46"/>
      <c r="AW566" s="46"/>
      <c r="AX566" s="46"/>
      <c r="AY566" s="46"/>
      <c r="AZ566" s="563"/>
      <c r="BA566" s="569"/>
      <c r="BB566" s="563"/>
      <c r="BC566" s="569"/>
      <c r="BD566" s="563"/>
      <c r="BE566" s="46"/>
      <c r="BF566" s="46"/>
      <c r="BG566" s="563"/>
      <c r="BH566" s="563"/>
      <c r="BI566" s="563"/>
      <c r="BJ566" s="563"/>
    </row>
    <row r="567" spans="2:62" x14ac:dyDescent="0.25">
      <c r="B567" s="569"/>
      <c r="C567" s="672"/>
      <c r="D567" s="563"/>
      <c r="E567" s="563"/>
      <c r="F567" s="569"/>
      <c r="G567" s="563"/>
      <c r="H567" s="563"/>
      <c r="I567" s="600"/>
      <c r="J567" s="569"/>
      <c r="K567" s="563"/>
      <c r="L567" s="563"/>
      <c r="M567" s="563"/>
      <c r="N567" s="563"/>
      <c r="O567" s="563"/>
      <c r="P567" s="563"/>
      <c r="Q567" s="563"/>
      <c r="R567" s="563"/>
      <c r="S567" s="563"/>
      <c r="T567" s="563"/>
      <c r="U567" s="563"/>
      <c r="V567" s="563"/>
      <c r="W567" s="563"/>
      <c r="X567" s="565"/>
      <c r="Y567" s="612"/>
      <c r="Z567" s="612"/>
      <c r="AA567" s="563"/>
      <c r="AB567" s="612"/>
      <c r="AC567" s="569"/>
      <c r="AD567" s="563"/>
      <c r="AE567" s="563"/>
      <c r="AF567" s="563"/>
      <c r="AG567" s="563"/>
      <c r="AH567" s="563"/>
      <c r="AI567" s="563"/>
      <c r="AJ567" s="680"/>
      <c r="AK567" s="563"/>
      <c r="AL567" s="563"/>
      <c r="AM567" s="563"/>
      <c r="AN567" s="563"/>
      <c r="AO567" s="563"/>
      <c r="AP567" s="46"/>
      <c r="AQ567" s="46"/>
      <c r="AR567" s="46"/>
      <c r="AS567" s="46"/>
      <c r="AT567" s="46"/>
      <c r="AU567" s="46"/>
      <c r="AV567" s="46"/>
      <c r="AW567" s="46"/>
      <c r="AX567" s="46"/>
      <c r="AY567" s="46"/>
      <c r="AZ567" s="563"/>
      <c r="BA567" s="569"/>
      <c r="BB567" s="563"/>
      <c r="BC567" s="569"/>
      <c r="BD567" s="563"/>
      <c r="BE567" s="46"/>
      <c r="BF567" s="46"/>
      <c r="BG567" s="563"/>
      <c r="BH567" s="563"/>
      <c r="BI567" s="563"/>
      <c r="BJ567" s="563"/>
    </row>
    <row r="568" spans="2:62" x14ac:dyDescent="0.25">
      <c r="B568" s="569"/>
      <c r="C568" s="672"/>
      <c r="D568" s="563"/>
      <c r="E568" s="563"/>
      <c r="F568" s="569"/>
      <c r="G568" s="563"/>
      <c r="H568" s="563"/>
      <c r="I568" s="600"/>
      <c r="J568" s="569"/>
      <c r="K568" s="563"/>
      <c r="L568" s="563"/>
      <c r="M568" s="563"/>
      <c r="N568" s="563"/>
      <c r="O568" s="563"/>
      <c r="P568" s="563"/>
      <c r="Q568" s="563"/>
      <c r="R568" s="563"/>
      <c r="S568" s="563"/>
      <c r="T568" s="563"/>
      <c r="U568" s="563"/>
      <c r="V568" s="563"/>
      <c r="W568" s="563"/>
      <c r="X568" s="565"/>
      <c r="Y568" s="612"/>
      <c r="Z568" s="612"/>
      <c r="AA568" s="563"/>
      <c r="AB568" s="612"/>
      <c r="AC568" s="569"/>
      <c r="AD568" s="563"/>
      <c r="AE568" s="563"/>
      <c r="AF568" s="563"/>
      <c r="AG568" s="563"/>
      <c r="AH568" s="563"/>
      <c r="AI568" s="563"/>
      <c r="AJ568" s="680"/>
      <c r="AK568" s="563"/>
      <c r="AL568" s="563"/>
      <c r="AM568" s="563"/>
      <c r="AN568" s="563"/>
      <c r="AO568" s="563"/>
      <c r="AP568" s="46"/>
      <c r="AQ568" s="46"/>
      <c r="AR568" s="46"/>
      <c r="AS568" s="46"/>
      <c r="AT568" s="46"/>
      <c r="AU568" s="46"/>
      <c r="AV568" s="46"/>
      <c r="AW568" s="46"/>
      <c r="AX568" s="46"/>
      <c r="AY568" s="46"/>
      <c r="AZ568" s="563"/>
      <c r="BA568" s="569"/>
      <c r="BB568" s="563"/>
      <c r="BC568" s="569"/>
      <c r="BD568" s="563"/>
      <c r="BE568" s="46"/>
      <c r="BF568" s="46"/>
      <c r="BG568" s="563"/>
      <c r="BH568" s="563"/>
      <c r="BI568" s="563"/>
      <c r="BJ568" s="563"/>
    </row>
    <row r="569" spans="2:62" x14ac:dyDescent="0.25">
      <c r="B569" s="569"/>
      <c r="C569" s="672"/>
      <c r="D569" s="563"/>
      <c r="E569" s="563"/>
      <c r="F569" s="569"/>
      <c r="G569" s="563"/>
      <c r="H569" s="563"/>
      <c r="I569" s="600"/>
      <c r="J569" s="569"/>
      <c r="K569" s="563"/>
      <c r="L569" s="563"/>
      <c r="M569" s="563"/>
      <c r="N569" s="563"/>
      <c r="O569" s="563"/>
      <c r="P569" s="563"/>
      <c r="Q569" s="563"/>
      <c r="R569" s="563"/>
      <c r="S569" s="563"/>
      <c r="T569" s="563"/>
      <c r="U569" s="563"/>
      <c r="V569" s="563"/>
      <c r="W569" s="563"/>
      <c r="X569" s="565"/>
      <c r="Y569" s="612"/>
      <c r="Z569" s="612"/>
      <c r="AA569" s="563"/>
      <c r="AB569" s="612"/>
      <c r="AC569" s="569"/>
      <c r="AD569" s="563"/>
      <c r="AE569" s="563"/>
      <c r="AF569" s="563"/>
      <c r="AG569" s="563"/>
      <c r="AH569" s="563"/>
      <c r="AI569" s="563"/>
      <c r="AJ569" s="680"/>
      <c r="AK569" s="563"/>
      <c r="AL569" s="563"/>
      <c r="AM569" s="563"/>
      <c r="AN569" s="563"/>
      <c r="AO569" s="563"/>
      <c r="AP569" s="46"/>
      <c r="AQ569" s="46"/>
      <c r="AR569" s="46"/>
      <c r="AS569" s="46"/>
      <c r="AT569" s="46"/>
      <c r="AU569" s="46"/>
      <c r="AV569" s="46"/>
      <c r="AW569" s="46"/>
      <c r="AX569" s="46"/>
      <c r="AY569" s="46"/>
      <c r="AZ569" s="563"/>
      <c r="BA569" s="569"/>
      <c r="BB569" s="563"/>
      <c r="BC569" s="569"/>
      <c r="BD569" s="563"/>
      <c r="BE569" s="46"/>
      <c r="BF569" s="46"/>
      <c r="BG569" s="563"/>
      <c r="BH569" s="563"/>
      <c r="BI569" s="563"/>
      <c r="BJ569" s="563"/>
    </row>
    <row r="570" spans="2:62" x14ac:dyDescent="0.25">
      <c r="B570" s="569"/>
      <c r="C570" s="672"/>
      <c r="D570" s="563"/>
      <c r="E570" s="563"/>
      <c r="F570" s="569"/>
      <c r="G570" s="563"/>
      <c r="H570" s="563"/>
      <c r="I570" s="600"/>
      <c r="J570" s="569"/>
      <c r="K570" s="563"/>
      <c r="L570" s="563"/>
      <c r="M570" s="563"/>
      <c r="N570" s="563"/>
      <c r="O570" s="563"/>
      <c r="P570" s="563"/>
      <c r="Q570" s="563"/>
      <c r="R570" s="563"/>
      <c r="S570" s="563"/>
      <c r="T570" s="563"/>
      <c r="U570" s="563"/>
      <c r="V570" s="563"/>
      <c r="W570" s="563"/>
      <c r="X570" s="565"/>
      <c r="Y570" s="612"/>
      <c r="Z570" s="612"/>
      <c r="AA570" s="563"/>
      <c r="AB570" s="612"/>
      <c r="AC570" s="569"/>
      <c r="AD570" s="563"/>
      <c r="AE570" s="563"/>
      <c r="AF570" s="563"/>
      <c r="AG570" s="563"/>
      <c r="AH570" s="563"/>
      <c r="AI570" s="563"/>
      <c r="AJ570" s="680"/>
      <c r="AK570" s="563"/>
      <c r="AL570" s="563"/>
      <c r="AM570" s="563"/>
      <c r="AN570" s="563"/>
      <c r="AO570" s="563"/>
      <c r="AP570" s="46"/>
      <c r="AQ570" s="46"/>
      <c r="AR570" s="46"/>
      <c r="AS570" s="46"/>
      <c r="AT570" s="46"/>
      <c r="AU570" s="46"/>
      <c r="AV570" s="46"/>
      <c r="AW570" s="46"/>
      <c r="AX570" s="46"/>
      <c r="AY570" s="46"/>
      <c r="AZ570" s="563"/>
      <c r="BA570" s="569"/>
      <c r="BB570" s="563"/>
      <c r="BC570" s="569"/>
      <c r="BD570" s="563"/>
      <c r="BE570" s="46"/>
      <c r="BF570" s="46"/>
      <c r="BG570" s="563"/>
      <c r="BH570" s="563"/>
      <c r="BI570" s="563"/>
      <c r="BJ570" s="563"/>
    </row>
    <row r="571" spans="2:62" x14ac:dyDescent="0.25">
      <c r="B571" s="569"/>
      <c r="C571" s="672"/>
      <c r="D571" s="563"/>
      <c r="E571" s="563"/>
      <c r="F571" s="569"/>
      <c r="G571" s="563"/>
      <c r="H571" s="563"/>
      <c r="I571" s="600"/>
      <c r="J571" s="569"/>
      <c r="K571" s="563"/>
      <c r="L571" s="563"/>
      <c r="M571" s="563"/>
      <c r="N571" s="563"/>
      <c r="O571" s="563"/>
      <c r="P571" s="563"/>
      <c r="Q571" s="563"/>
      <c r="R571" s="563"/>
      <c r="S571" s="563"/>
      <c r="T571" s="563"/>
      <c r="U571" s="563"/>
      <c r="V571" s="563"/>
      <c r="W571" s="563"/>
      <c r="X571" s="565"/>
      <c r="Y571" s="612"/>
      <c r="Z571" s="612"/>
      <c r="AA571" s="563"/>
      <c r="AB571" s="612"/>
      <c r="AC571" s="569"/>
      <c r="AD571" s="563"/>
      <c r="AE571" s="563"/>
      <c r="AF571" s="563"/>
      <c r="AG571" s="563"/>
      <c r="AH571" s="563"/>
      <c r="AI571" s="563"/>
      <c r="AJ571" s="680"/>
      <c r="AK571" s="563"/>
      <c r="AL571" s="563"/>
      <c r="AM571" s="563"/>
      <c r="AN571" s="563"/>
      <c r="AO571" s="563"/>
      <c r="AP571" s="46"/>
      <c r="AQ571" s="46"/>
      <c r="AR571" s="46"/>
      <c r="AS571" s="46"/>
      <c r="AT571" s="46"/>
      <c r="AU571" s="46"/>
      <c r="AV571" s="46"/>
      <c r="AW571" s="46"/>
      <c r="AX571" s="46"/>
      <c r="AY571" s="46"/>
      <c r="AZ571" s="563"/>
      <c r="BA571" s="569"/>
      <c r="BB571" s="563"/>
      <c r="BC571" s="569"/>
      <c r="BD571" s="563"/>
      <c r="BE571" s="46"/>
      <c r="BF571" s="46"/>
      <c r="BG571" s="563"/>
      <c r="BH571" s="563"/>
      <c r="BI571" s="563"/>
      <c r="BJ571" s="563"/>
    </row>
    <row r="572" spans="2:62" x14ac:dyDescent="0.25">
      <c r="B572" s="569"/>
      <c r="C572" s="672"/>
      <c r="D572" s="563"/>
      <c r="E572" s="563"/>
      <c r="F572" s="569"/>
      <c r="G572" s="563"/>
      <c r="H572" s="563"/>
      <c r="I572" s="600"/>
      <c r="J572" s="569"/>
      <c r="K572" s="563"/>
      <c r="L572" s="563"/>
      <c r="M572" s="563"/>
      <c r="N572" s="563"/>
      <c r="O572" s="563"/>
      <c r="P572" s="563"/>
      <c r="Q572" s="563"/>
      <c r="R572" s="563"/>
      <c r="S572" s="563"/>
      <c r="T572" s="563"/>
      <c r="U572" s="563"/>
      <c r="V572" s="563"/>
      <c r="W572" s="563"/>
      <c r="X572" s="565"/>
      <c r="Y572" s="612"/>
      <c r="Z572" s="612"/>
      <c r="AA572" s="563"/>
      <c r="AB572" s="612"/>
      <c r="AC572" s="569"/>
      <c r="AD572" s="563"/>
      <c r="AE572" s="563"/>
      <c r="AF572" s="563"/>
      <c r="AG572" s="563"/>
      <c r="AH572" s="563"/>
      <c r="AI572" s="563"/>
      <c r="AJ572" s="680"/>
      <c r="AK572" s="563"/>
      <c r="AL572" s="563"/>
      <c r="AM572" s="563"/>
      <c r="AN572" s="563"/>
      <c r="AO572" s="563"/>
      <c r="AP572" s="46"/>
      <c r="AQ572" s="46"/>
      <c r="AR572" s="46"/>
      <c r="AS572" s="46"/>
      <c r="AT572" s="46"/>
      <c r="AU572" s="46"/>
      <c r="AV572" s="46"/>
      <c r="AW572" s="46"/>
      <c r="AX572" s="46"/>
      <c r="AY572" s="46"/>
      <c r="AZ572" s="563"/>
      <c r="BA572" s="569"/>
      <c r="BB572" s="563"/>
      <c r="BC572" s="569"/>
      <c r="BD572" s="563"/>
      <c r="BE572" s="46"/>
      <c r="BF572" s="46"/>
      <c r="BG572" s="563"/>
      <c r="BH572" s="563"/>
      <c r="BI572" s="563"/>
      <c r="BJ572" s="563"/>
    </row>
    <row r="573" spans="2:62" x14ac:dyDescent="0.25">
      <c r="B573" s="569"/>
      <c r="C573" s="672"/>
      <c r="D573" s="563"/>
      <c r="E573" s="563"/>
      <c r="F573" s="569"/>
      <c r="G573" s="563"/>
      <c r="H573" s="563"/>
      <c r="I573" s="600"/>
      <c r="J573" s="569"/>
      <c r="K573" s="563"/>
      <c r="L573" s="563"/>
      <c r="M573" s="563"/>
      <c r="N573" s="563"/>
      <c r="O573" s="563"/>
      <c r="P573" s="563"/>
      <c r="Q573" s="563"/>
      <c r="R573" s="563"/>
      <c r="S573" s="563"/>
      <c r="T573" s="563"/>
      <c r="U573" s="563"/>
      <c r="V573" s="563"/>
      <c r="W573" s="563"/>
      <c r="X573" s="565"/>
      <c r="Y573" s="612"/>
      <c r="Z573" s="612"/>
      <c r="AA573" s="563"/>
      <c r="AB573" s="612"/>
      <c r="AC573" s="569"/>
      <c r="AD573" s="563"/>
      <c r="AE573" s="563"/>
      <c r="AF573" s="563"/>
      <c r="AG573" s="563"/>
      <c r="AH573" s="563"/>
      <c r="AI573" s="563"/>
      <c r="AJ573" s="680"/>
      <c r="AK573" s="563"/>
      <c r="AL573" s="563"/>
      <c r="AM573" s="563"/>
      <c r="AN573" s="563"/>
      <c r="AO573" s="563"/>
      <c r="AP573" s="46"/>
      <c r="AQ573" s="46"/>
      <c r="AR573" s="46"/>
      <c r="AS573" s="46"/>
      <c r="AT573" s="46"/>
      <c r="AU573" s="46"/>
      <c r="AV573" s="46"/>
      <c r="AW573" s="46"/>
      <c r="AX573" s="46"/>
      <c r="AY573" s="46"/>
      <c r="AZ573" s="563"/>
      <c r="BA573" s="569"/>
      <c r="BB573" s="563"/>
      <c r="BC573" s="569"/>
      <c r="BD573" s="563"/>
      <c r="BE573" s="46"/>
      <c r="BF573" s="46"/>
      <c r="BG573" s="563"/>
      <c r="BH573" s="563"/>
      <c r="BI573" s="563"/>
      <c r="BJ573" s="563"/>
    </row>
    <row r="574" spans="2:62" x14ac:dyDescent="0.25">
      <c r="B574" s="569"/>
      <c r="C574" s="672"/>
      <c r="D574" s="563"/>
      <c r="E574" s="563"/>
      <c r="F574" s="569"/>
      <c r="G574" s="563"/>
      <c r="H574" s="563"/>
      <c r="I574" s="600"/>
      <c r="J574" s="569"/>
      <c r="K574" s="563"/>
      <c r="L574" s="563"/>
      <c r="M574" s="563"/>
      <c r="N574" s="563"/>
      <c r="O574" s="563"/>
      <c r="P574" s="563"/>
      <c r="Q574" s="563"/>
      <c r="R574" s="563"/>
      <c r="S574" s="563"/>
      <c r="T574" s="563"/>
      <c r="U574" s="563"/>
      <c r="V574" s="563"/>
      <c r="W574" s="563"/>
      <c r="X574" s="565"/>
      <c r="Y574" s="612"/>
      <c r="Z574" s="612"/>
      <c r="AA574" s="563"/>
      <c r="AB574" s="612"/>
      <c r="AC574" s="569"/>
      <c r="AD574" s="563"/>
      <c r="AE574" s="563"/>
      <c r="AF574" s="563"/>
      <c r="AG574" s="563"/>
      <c r="AH574" s="563"/>
      <c r="AI574" s="563"/>
      <c r="AJ574" s="680"/>
      <c r="AK574" s="563"/>
      <c r="AL574" s="563"/>
      <c r="AM574" s="563"/>
      <c r="AN574" s="563"/>
      <c r="AO574" s="563"/>
      <c r="AP574" s="46"/>
      <c r="AQ574" s="46"/>
      <c r="AR574" s="46"/>
      <c r="AS574" s="46"/>
      <c r="AT574" s="46"/>
      <c r="AU574" s="46"/>
      <c r="AV574" s="46"/>
      <c r="AW574" s="46"/>
      <c r="AX574" s="46"/>
      <c r="AY574" s="46"/>
      <c r="AZ574" s="563"/>
      <c r="BA574" s="569"/>
      <c r="BB574" s="563"/>
      <c r="BC574" s="569"/>
      <c r="BD574" s="563"/>
      <c r="BE574" s="46"/>
      <c r="BF574" s="46"/>
      <c r="BG574" s="563"/>
      <c r="BH574" s="563"/>
      <c r="BI574" s="563"/>
      <c r="BJ574" s="563"/>
    </row>
    <row r="575" spans="2:62" x14ac:dyDescent="0.25">
      <c r="B575" s="569"/>
      <c r="C575" s="672"/>
      <c r="D575" s="563"/>
      <c r="E575" s="563"/>
      <c r="F575" s="569"/>
      <c r="G575" s="563"/>
      <c r="H575" s="563"/>
      <c r="I575" s="600"/>
      <c r="J575" s="569"/>
      <c r="K575" s="563"/>
      <c r="L575" s="563"/>
      <c r="M575" s="563"/>
      <c r="N575" s="563"/>
      <c r="O575" s="563"/>
      <c r="P575" s="563"/>
      <c r="Q575" s="563"/>
      <c r="R575" s="563"/>
      <c r="S575" s="563"/>
      <c r="T575" s="563"/>
      <c r="U575" s="563"/>
      <c r="V575" s="563"/>
      <c r="W575" s="563"/>
      <c r="X575" s="565"/>
      <c r="Y575" s="612"/>
      <c r="Z575" s="612"/>
      <c r="AA575" s="563"/>
      <c r="AB575" s="612"/>
      <c r="AC575" s="569"/>
      <c r="AD575" s="563"/>
      <c r="AE575" s="563"/>
      <c r="AF575" s="563"/>
      <c r="AG575" s="563"/>
      <c r="AH575" s="563"/>
      <c r="AI575" s="563"/>
      <c r="AJ575" s="680"/>
      <c r="AK575" s="563"/>
      <c r="AL575" s="563"/>
      <c r="AM575" s="563"/>
      <c r="AN575" s="563"/>
      <c r="AO575" s="563"/>
      <c r="AP575" s="46"/>
      <c r="AQ575" s="46"/>
      <c r="AR575" s="46"/>
      <c r="AS575" s="46"/>
      <c r="AT575" s="46"/>
      <c r="AU575" s="46"/>
      <c r="AV575" s="46"/>
      <c r="AW575" s="46"/>
      <c r="AX575" s="46"/>
      <c r="AY575" s="46"/>
      <c r="AZ575" s="563"/>
      <c r="BA575" s="569"/>
      <c r="BB575" s="563"/>
      <c r="BC575" s="569"/>
      <c r="BD575" s="563"/>
      <c r="BE575" s="46"/>
      <c r="BF575" s="46"/>
      <c r="BG575" s="563"/>
      <c r="BH575" s="563"/>
      <c r="BI575" s="563"/>
      <c r="BJ575" s="563"/>
    </row>
    <row r="576" spans="2:62" x14ac:dyDescent="0.25">
      <c r="B576" s="569"/>
      <c r="C576" s="672"/>
      <c r="D576" s="563"/>
      <c r="E576" s="563"/>
      <c r="F576" s="569"/>
      <c r="G576" s="563"/>
      <c r="H576" s="563"/>
      <c r="I576" s="600"/>
      <c r="J576" s="569"/>
      <c r="K576" s="563"/>
      <c r="L576" s="563"/>
      <c r="M576" s="563"/>
      <c r="N576" s="563"/>
      <c r="O576" s="563"/>
      <c r="P576" s="563"/>
      <c r="Q576" s="563"/>
      <c r="R576" s="563"/>
      <c r="S576" s="563"/>
      <c r="T576" s="563"/>
      <c r="U576" s="563"/>
      <c r="V576" s="563"/>
      <c r="W576" s="563"/>
      <c r="X576" s="565"/>
      <c r="Y576" s="612"/>
      <c r="Z576" s="612"/>
      <c r="AA576" s="563"/>
      <c r="AB576" s="612"/>
      <c r="AC576" s="569"/>
      <c r="AD576" s="563"/>
      <c r="AE576" s="563"/>
      <c r="AF576" s="563"/>
      <c r="AG576" s="563"/>
      <c r="AH576" s="563"/>
      <c r="AI576" s="563"/>
      <c r="AJ576" s="680"/>
      <c r="AK576" s="563"/>
      <c r="AL576" s="563"/>
      <c r="AM576" s="563"/>
      <c r="AN576" s="563"/>
      <c r="AO576" s="563"/>
      <c r="AP576" s="46"/>
      <c r="AQ576" s="46"/>
      <c r="AR576" s="46"/>
      <c r="AS576" s="46"/>
      <c r="AT576" s="46"/>
      <c r="AU576" s="46"/>
      <c r="AV576" s="46"/>
      <c r="AW576" s="46"/>
      <c r="AX576" s="46"/>
      <c r="AY576" s="46"/>
      <c r="AZ576" s="563"/>
      <c r="BA576" s="569"/>
      <c r="BB576" s="563"/>
      <c r="BC576" s="569"/>
      <c r="BD576" s="563"/>
      <c r="BE576" s="46"/>
      <c r="BF576" s="46"/>
      <c r="BG576" s="563"/>
      <c r="BH576" s="563"/>
      <c r="BI576" s="563"/>
      <c r="BJ576" s="563"/>
    </row>
    <row r="577" spans="2:62" x14ac:dyDescent="0.25">
      <c r="B577" s="569"/>
      <c r="C577" s="672"/>
      <c r="D577" s="563"/>
      <c r="E577" s="563"/>
      <c r="F577" s="569"/>
      <c r="G577" s="563"/>
      <c r="H577" s="563"/>
      <c r="I577" s="600"/>
      <c r="J577" s="569"/>
      <c r="K577" s="563"/>
      <c r="L577" s="563"/>
      <c r="M577" s="563"/>
      <c r="N577" s="563"/>
      <c r="O577" s="563"/>
      <c r="P577" s="563"/>
      <c r="Q577" s="563"/>
      <c r="R577" s="563"/>
      <c r="S577" s="563"/>
      <c r="T577" s="563"/>
      <c r="U577" s="563"/>
      <c r="V577" s="563"/>
      <c r="W577" s="563"/>
      <c r="X577" s="565"/>
      <c r="Y577" s="612"/>
      <c r="Z577" s="612"/>
      <c r="AA577" s="563"/>
      <c r="AB577" s="612"/>
      <c r="AC577" s="569"/>
      <c r="AD577" s="563"/>
      <c r="AE577" s="563"/>
      <c r="AF577" s="563"/>
      <c r="AG577" s="563"/>
      <c r="AH577" s="563"/>
      <c r="AI577" s="563"/>
      <c r="AJ577" s="680"/>
      <c r="AK577" s="563"/>
      <c r="AL577" s="563"/>
      <c r="AM577" s="563"/>
      <c r="AN577" s="563"/>
      <c r="AO577" s="563"/>
      <c r="AP577" s="46"/>
      <c r="AQ577" s="46"/>
      <c r="AR577" s="46"/>
      <c r="AS577" s="46"/>
      <c r="AT577" s="46"/>
      <c r="AU577" s="46"/>
      <c r="AV577" s="46"/>
      <c r="AW577" s="46"/>
      <c r="AX577" s="46"/>
      <c r="AY577" s="46"/>
      <c r="AZ577" s="563"/>
      <c r="BA577" s="569"/>
      <c r="BB577" s="563"/>
      <c r="BC577" s="569"/>
      <c r="BD577" s="563"/>
      <c r="BE577" s="46"/>
      <c r="BF577" s="46"/>
      <c r="BG577" s="563"/>
      <c r="BH577" s="563"/>
      <c r="BI577" s="563"/>
      <c r="BJ577" s="563"/>
    </row>
    <row r="578" spans="2:62" x14ac:dyDescent="0.25">
      <c r="B578" s="569"/>
      <c r="C578" s="672"/>
      <c r="D578" s="563"/>
      <c r="E578" s="563"/>
      <c r="F578" s="569"/>
      <c r="G578" s="563"/>
      <c r="H578" s="563"/>
      <c r="I578" s="600"/>
      <c r="J578" s="569"/>
      <c r="K578" s="563"/>
      <c r="L578" s="563"/>
      <c r="M578" s="563"/>
      <c r="N578" s="563"/>
      <c r="O578" s="563"/>
      <c r="P578" s="563"/>
      <c r="Q578" s="563"/>
      <c r="R578" s="563"/>
      <c r="S578" s="563"/>
      <c r="T578" s="563"/>
      <c r="U578" s="563"/>
      <c r="V578" s="563"/>
      <c r="W578" s="563"/>
      <c r="X578" s="565"/>
      <c r="Y578" s="612"/>
      <c r="Z578" s="612"/>
      <c r="AA578" s="563"/>
      <c r="AB578" s="612"/>
      <c r="AC578" s="569"/>
      <c r="AD578" s="563"/>
      <c r="AE578" s="563"/>
      <c r="AF578" s="563"/>
      <c r="AG578" s="563"/>
      <c r="AH578" s="563"/>
      <c r="AI578" s="563"/>
      <c r="AJ578" s="680"/>
      <c r="AK578" s="563"/>
      <c r="AL578" s="563"/>
      <c r="AM578" s="563"/>
      <c r="AN578" s="563"/>
      <c r="AO578" s="563"/>
      <c r="AP578" s="46"/>
      <c r="AQ578" s="46"/>
      <c r="AR578" s="46"/>
      <c r="AS578" s="46"/>
      <c r="AT578" s="46"/>
      <c r="AU578" s="46"/>
      <c r="AV578" s="46"/>
      <c r="AW578" s="46"/>
      <c r="AX578" s="46"/>
      <c r="AY578" s="46"/>
      <c r="AZ578" s="563"/>
      <c r="BA578" s="569"/>
      <c r="BB578" s="563"/>
      <c r="BC578" s="569"/>
      <c r="BD578" s="563"/>
      <c r="BE578" s="46"/>
      <c r="BF578" s="46"/>
      <c r="BG578" s="563"/>
      <c r="BH578" s="563"/>
      <c r="BI578" s="563"/>
      <c r="BJ578" s="563"/>
    </row>
    <row r="579" spans="2:62" x14ac:dyDescent="0.25">
      <c r="B579" s="569"/>
      <c r="C579" s="672"/>
      <c r="D579" s="563"/>
      <c r="E579" s="563"/>
      <c r="F579" s="569"/>
      <c r="G579" s="563"/>
      <c r="H579" s="563"/>
      <c r="I579" s="600"/>
      <c r="J579" s="569"/>
      <c r="K579" s="563"/>
      <c r="L579" s="563"/>
      <c r="M579" s="563"/>
      <c r="N579" s="563"/>
      <c r="O579" s="563"/>
      <c r="P579" s="563"/>
      <c r="Q579" s="563"/>
      <c r="R579" s="563"/>
      <c r="S579" s="563"/>
      <c r="T579" s="563"/>
      <c r="U579" s="563"/>
      <c r="V579" s="563"/>
      <c r="W579" s="563"/>
      <c r="X579" s="565"/>
      <c r="Y579" s="612"/>
      <c r="Z579" s="612"/>
      <c r="AA579" s="563"/>
      <c r="AB579" s="612"/>
      <c r="AC579" s="569"/>
      <c r="AD579" s="563"/>
      <c r="AE579" s="563"/>
      <c r="AF579" s="563"/>
      <c r="AG579" s="563"/>
      <c r="AH579" s="563"/>
      <c r="AI579" s="563"/>
      <c r="AJ579" s="680"/>
      <c r="AK579" s="563"/>
      <c r="AL579" s="563"/>
      <c r="AM579" s="563"/>
      <c r="AN579" s="563"/>
      <c r="AO579" s="563"/>
      <c r="AP579" s="46"/>
      <c r="AQ579" s="46"/>
      <c r="AR579" s="46"/>
      <c r="AS579" s="46"/>
      <c r="AT579" s="46"/>
      <c r="AU579" s="46"/>
      <c r="AV579" s="46"/>
      <c r="AW579" s="46"/>
      <c r="AX579" s="46"/>
      <c r="AY579" s="46"/>
      <c r="AZ579" s="563"/>
      <c r="BA579" s="569"/>
      <c r="BB579" s="563"/>
      <c r="BC579" s="569"/>
      <c r="BD579" s="563"/>
      <c r="BE579" s="46"/>
      <c r="BF579" s="46"/>
      <c r="BG579" s="563"/>
      <c r="BH579" s="563"/>
      <c r="BI579" s="563"/>
      <c r="BJ579" s="563"/>
    </row>
    <row r="580" spans="2:62" x14ac:dyDescent="0.25">
      <c r="B580" s="569"/>
      <c r="C580" s="672"/>
      <c r="D580" s="563"/>
      <c r="E580" s="563"/>
      <c r="F580" s="569"/>
      <c r="G580" s="563"/>
      <c r="H580" s="563"/>
      <c r="I580" s="600"/>
      <c r="J580" s="569"/>
      <c r="K580" s="563"/>
      <c r="L580" s="563"/>
      <c r="M580" s="563"/>
      <c r="N580" s="563"/>
      <c r="O580" s="563"/>
      <c r="P580" s="563"/>
      <c r="Q580" s="563"/>
      <c r="R580" s="563"/>
      <c r="S580" s="563"/>
      <c r="T580" s="563"/>
      <c r="U580" s="563"/>
      <c r="V580" s="563"/>
      <c r="W580" s="563"/>
      <c r="X580" s="565"/>
      <c r="Y580" s="612"/>
      <c r="Z580" s="612"/>
      <c r="AA580" s="563"/>
      <c r="AB580" s="612"/>
      <c r="AC580" s="569"/>
      <c r="AD580" s="563"/>
      <c r="AE580" s="563"/>
      <c r="AF580" s="563"/>
      <c r="AG580" s="563"/>
      <c r="AH580" s="563"/>
      <c r="AI580" s="563"/>
      <c r="AJ580" s="680"/>
      <c r="AK580" s="563"/>
      <c r="AL580" s="563"/>
      <c r="AM580" s="563"/>
      <c r="AN580" s="563"/>
      <c r="AO580" s="563"/>
      <c r="AP580" s="46"/>
      <c r="AQ580" s="46"/>
      <c r="AR580" s="46"/>
      <c r="AS580" s="46"/>
      <c r="AT580" s="46"/>
      <c r="AU580" s="46"/>
      <c r="AV580" s="46"/>
      <c r="AW580" s="46"/>
      <c r="AX580" s="46"/>
      <c r="AY580" s="46"/>
      <c r="AZ580" s="563"/>
      <c r="BA580" s="569"/>
      <c r="BB580" s="563"/>
      <c r="BC580" s="569"/>
      <c r="BD580" s="563"/>
      <c r="BE580" s="46"/>
      <c r="BF580" s="46"/>
      <c r="BG580" s="563"/>
      <c r="BH580" s="563"/>
      <c r="BI580" s="563"/>
      <c r="BJ580" s="563"/>
    </row>
    <row r="581" spans="2:62" x14ac:dyDescent="0.25">
      <c r="B581" s="569"/>
      <c r="C581" s="672"/>
      <c r="D581" s="563"/>
      <c r="E581" s="563"/>
      <c r="F581" s="569"/>
      <c r="G581" s="563"/>
      <c r="H581" s="563"/>
      <c r="I581" s="600"/>
      <c r="J581" s="569"/>
      <c r="K581" s="563"/>
      <c r="L581" s="563"/>
      <c r="M581" s="563"/>
      <c r="N581" s="563"/>
      <c r="O581" s="563"/>
      <c r="P581" s="563"/>
      <c r="Q581" s="563"/>
      <c r="R581" s="563"/>
      <c r="S581" s="563"/>
      <c r="T581" s="563"/>
      <c r="U581" s="563"/>
      <c r="V581" s="563"/>
      <c r="W581" s="563"/>
      <c r="X581" s="565"/>
      <c r="Y581" s="612"/>
      <c r="Z581" s="612"/>
      <c r="AA581" s="563"/>
      <c r="AB581" s="612"/>
      <c r="AC581" s="569"/>
      <c r="AD581" s="563"/>
      <c r="AE581" s="563"/>
      <c r="AF581" s="563"/>
      <c r="AG581" s="563"/>
      <c r="AH581" s="563"/>
      <c r="AI581" s="563"/>
      <c r="AJ581" s="680"/>
      <c r="AK581" s="563"/>
      <c r="AL581" s="563"/>
      <c r="AM581" s="563"/>
      <c r="AN581" s="563"/>
      <c r="AO581" s="563"/>
      <c r="AP581" s="46"/>
      <c r="AQ581" s="46"/>
      <c r="AR581" s="46"/>
      <c r="AS581" s="46"/>
      <c r="AT581" s="46"/>
      <c r="AU581" s="46"/>
      <c r="AV581" s="46"/>
      <c r="AW581" s="46"/>
      <c r="AX581" s="46"/>
      <c r="AY581" s="46"/>
      <c r="AZ581" s="563"/>
      <c r="BA581" s="569"/>
      <c r="BB581" s="563"/>
      <c r="BC581" s="569"/>
      <c r="BD581" s="563"/>
      <c r="BE581" s="46"/>
      <c r="BF581" s="46"/>
      <c r="BG581" s="563"/>
      <c r="BH581" s="563"/>
      <c r="BI581" s="563"/>
      <c r="BJ581" s="563"/>
    </row>
    <row r="582" spans="2:62" x14ac:dyDescent="0.25">
      <c r="B582" s="569"/>
      <c r="C582" s="672"/>
      <c r="D582" s="563"/>
      <c r="E582" s="563"/>
      <c r="F582" s="569"/>
      <c r="G582" s="563"/>
      <c r="H582" s="563"/>
      <c r="I582" s="600"/>
      <c r="J582" s="569"/>
      <c r="K582" s="563"/>
      <c r="L582" s="563"/>
      <c r="M582" s="563"/>
      <c r="N582" s="563"/>
      <c r="O582" s="563"/>
      <c r="P582" s="563"/>
      <c r="Q582" s="563"/>
      <c r="R582" s="563"/>
      <c r="S582" s="563"/>
      <c r="T582" s="563"/>
      <c r="U582" s="563"/>
      <c r="V582" s="563"/>
      <c r="W582" s="563"/>
      <c r="X582" s="565"/>
      <c r="Y582" s="612"/>
      <c r="Z582" s="612"/>
      <c r="AA582" s="563"/>
      <c r="AB582" s="612"/>
      <c r="AC582" s="569"/>
      <c r="AD582" s="563"/>
      <c r="AE582" s="563"/>
      <c r="AF582" s="563"/>
      <c r="AG582" s="563"/>
      <c r="AH582" s="563"/>
      <c r="AI582" s="563"/>
      <c r="AJ582" s="680"/>
      <c r="AK582" s="563"/>
      <c r="AL582" s="563"/>
      <c r="AM582" s="563"/>
      <c r="AN582" s="563"/>
      <c r="AO582" s="563"/>
      <c r="AP582" s="46"/>
      <c r="AQ582" s="46"/>
      <c r="AR582" s="46"/>
      <c r="AS582" s="46"/>
      <c r="AT582" s="46"/>
      <c r="AU582" s="46"/>
      <c r="AV582" s="46"/>
      <c r="AW582" s="46"/>
      <c r="AX582" s="46"/>
      <c r="AY582" s="46"/>
      <c r="AZ582" s="563"/>
      <c r="BA582" s="569"/>
      <c r="BB582" s="563"/>
      <c r="BC582" s="569"/>
      <c r="BD582" s="563"/>
      <c r="BE582" s="46"/>
      <c r="BF582" s="46"/>
      <c r="BG582" s="563"/>
      <c r="BH582" s="563"/>
      <c r="BI582" s="563"/>
      <c r="BJ582" s="563"/>
    </row>
    <row r="583" spans="2:62" x14ac:dyDescent="0.25">
      <c r="B583" s="569"/>
      <c r="C583" s="672"/>
      <c r="D583" s="563"/>
      <c r="E583" s="563"/>
      <c r="F583" s="569"/>
      <c r="G583" s="563"/>
      <c r="H583" s="563"/>
      <c r="I583" s="600"/>
      <c r="J583" s="569"/>
      <c r="K583" s="563"/>
      <c r="L583" s="563"/>
      <c r="M583" s="563"/>
      <c r="N583" s="563"/>
      <c r="O583" s="563"/>
      <c r="P583" s="563"/>
      <c r="Q583" s="563"/>
      <c r="R583" s="563"/>
      <c r="S583" s="563"/>
      <c r="T583" s="563"/>
      <c r="U583" s="563"/>
      <c r="V583" s="563"/>
      <c r="W583" s="563"/>
      <c r="X583" s="565"/>
      <c r="Y583" s="612"/>
      <c r="Z583" s="612"/>
      <c r="AA583" s="563"/>
      <c r="AB583" s="612"/>
      <c r="AC583" s="569"/>
      <c r="AD583" s="563"/>
      <c r="AE583" s="563"/>
      <c r="AF583" s="563"/>
      <c r="AG583" s="563"/>
      <c r="AH583" s="563"/>
      <c r="AI583" s="563"/>
      <c r="AJ583" s="680"/>
      <c r="AK583" s="563"/>
      <c r="AL583" s="563"/>
      <c r="AM583" s="563"/>
      <c r="AN583" s="563"/>
      <c r="AO583" s="563"/>
      <c r="AP583" s="46"/>
      <c r="AQ583" s="46"/>
      <c r="AR583" s="46"/>
      <c r="AS583" s="46"/>
      <c r="AT583" s="46"/>
      <c r="AU583" s="46"/>
      <c r="AV583" s="46"/>
      <c r="AW583" s="46"/>
      <c r="AX583" s="46"/>
      <c r="AY583" s="46"/>
      <c r="AZ583" s="563"/>
      <c r="BA583" s="569"/>
      <c r="BB583" s="563"/>
      <c r="BC583" s="569"/>
      <c r="BD583" s="563"/>
      <c r="BE583" s="46"/>
      <c r="BF583" s="46"/>
      <c r="BG583" s="563"/>
      <c r="BH583" s="563"/>
      <c r="BI583" s="563"/>
      <c r="BJ583" s="563"/>
    </row>
    <row r="584" spans="2:62" x14ac:dyDescent="0.25">
      <c r="B584" s="569"/>
      <c r="C584" s="672"/>
      <c r="D584" s="563"/>
      <c r="E584" s="563"/>
      <c r="F584" s="569"/>
      <c r="G584" s="563"/>
      <c r="H584" s="563"/>
      <c r="I584" s="600"/>
      <c r="J584" s="569"/>
      <c r="K584" s="563"/>
      <c r="L584" s="563"/>
      <c r="M584" s="563"/>
      <c r="N584" s="563"/>
      <c r="O584" s="563"/>
      <c r="P584" s="563"/>
      <c r="Q584" s="563"/>
      <c r="R584" s="563"/>
      <c r="S584" s="563"/>
      <c r="T584" s="563"/>
      <c r="U584" s="563"/>
      <c r="V584" s="563"/>
      <c r="W584" s="563"/>
      <c r="X584" s="565"/>
      <c r="Y584" s="612"/>
      <c r="Z584" s="612"/>
      <c r="AA584" s="563"/>
      <c r="AB584" s="612"/>
      <c r="AC584" s="569"/>
      <c r="AD584" s="563"/>
      <c r="AE584" s="563"/>
      <c r="AF584" s="563"/>
      <c r="AG584" s="563"/>
      <c r="AH584" s="563"/>
      <c r="AI584" s="563"/>
      <c r="AJ584" s="680"/>
      <c r="AK584" s="563"/>
      <c r="AL584" s="563"/>
      <c r="AM584" s="563"/>
      <c r="AN584" s="563"/>
      <c r="AO584" s="563"/>
      <c r="AP584" s="46"/>
      <c r="AQ584" s="46"/>
      <c r="AR584" s="46"/>
      <c r="AS584" s="46"/>
      <c r="AT584" s="46"/>
      <c r="AU584" s="46"/>
      <c r="AV584" s="46"/>
      <c r="AW584" s="46"/>
      <c r="AX584" s="46"/>
      <c r="AY584" s="46"/>
      <c r="AZ584" s="563"/>
      <c r="BA584" s="569"/>
      <c r="BB584" s="563"/>
      <c r="BC584" s="569"/>
      <c r="BD584" s="563"/>
      <c r="BE584" s="46"/>
      <c r="BF584" s="46"/>
      <c r="BG584" s="563"/>
      <c r="BH584" s="563"/>
      <c r="BI584" s="563"/>
      <c r="BJ584" s="563"/>
    </row>
    <row r="585" spans="2:62" x14ac:dyDescent="0.25">
      <c r="B585" s="569"/>
      <c r="C585" s="672"/>
      <c r="D585" s="563"/>
      <c r="E585" s="563"/>
      <c r="F585" s="569"/>
      <c r="G585" s="563"/>
      <c r="H585" s="563"/>
      <c r="I585" s="600"/>
      <c r="J585" s="569"/>
      <c r="K585" s="563"/>
      <c r="L585" s="563"/>
      <c r="M585" s="563"/>
      <c r="N585" s="563"/>
      <c r="O585" s="563"/>
      <c r="P585" s="563"/>
      <c r="Q585" s="563"/>
      <c r="R585" s="563"/>
      <c r="S585" s="563"/>
      <c r="T585" s="563"/>
      <c r="U585" s="563"/>
      <c r="V585" s="563"/>
      <c r="W585" s="563"/>
      <c r="X585" s="565"/>
      <c r="Y585" s="612"/>
      <c r="Z585" s="612"/>
      <c r="AA585" s="563"/>
      <c r="AB585" s="612"/>
      <c r="AC585" s="569"/>
      <c r="AD585" s="563"/>
      <c r="AE585" s="563"/>
      <c r="AF585" s="563"/>
      <c r="AG585" s="563"/>
      <c r="AH585" s="563"/>
      <c r="AI585" s="563"/>
      <c r="AJ585" s="680"/>
      <c r="AK585" s="563"/>
      <c r="AL585" s="563"/>
      <c r="AM585" s="563"/>
      <c r="AN585" s="563"/>
      <c r="AO585" s="563"/>
      <c r="AP585" s="46"/>
      <c r="AQ585" s="46"/>
      <c r="AR585" s="46"/>
      <c r="AS585" s="46"/>
      <c r="AT585" s="46"/>
      <c r="AU585" s="46"/>
      <c r="AV585" s="46"/>
      <c r="AW585" s="46"/>
      <c r="AX585" s="46"/>
      <c r="AY585" s="46"/>
      <c r="AZ585" s="563"/>
      <c r="BA585" s="569"/>
      <c r="BB585" s="563"/>
      <c r="BC585" s="569"/>
      <c r="BD585" s="563"/>
      <c r="BE585" s="46"/>
      <c r="BF585" s="46"/>
      <c r="BG585" s="563"/>
      <c r="BH585" s="563"/>
      <c r="BI585" s="563"/>
      <c r="BJ585" s="563"/>
    </row>
    <row r="586" spans="2:62" x14ac:dyDescent="0.25">
      <c r="B586" s="569"/>
      <c r="C586" s="672"/>
      <c r="D586" s="563"/>
      <c r="E586" s="563"/>
      <c r="F586" s="569"/>
      <c r="G586" s="563"/>
      <c r="H586" s="563"/>
      <c r="I586" s="600"/>
      <c r="J586" s="569"/>
      <c r="K586" s="563"/>
      <c r="L586" s="563"/>
      <c r="M586" s="563"/>
      <c r="N586" s="563"/>
      <c r="O586" s="563"/>
      <c r="P586" s="563"/>
      <c r="Q586" s="563"/>
      <c r="R586" s="563"/>
      <c r="S586" s="563"/>
      <c r="T586" s="563"/>
      <c r="U586" s="563"/>
      <c r="V586" s="563"/>
      <c r="W586" s="563"/>
      <c r="X586" s="565"/>
      <c r="Y586" s="612"/>
      <c r="Z586" s="612"/>
      <c r="AA586" s="563"/>
      <c r="AB586" s="612"/>
      <c r="AC586" s="569"/>
      <c r="AD586" s="563"/>
      <c r="AE586" s="563"/>
      <c r="AF586" s="563"/>
      <c r="AG586" s="563"/>
      <c r="AH586" s="563"/>
      <c r="AI586" s="563"/>
      <c r="AJ586" s="680"/>
      <c r="AK586" s="563"/>
      <c r="AL586" s="563"/>
      <c r="AM586" s="563"/>
      <c r="AN586" s="563"/>
      <c r="AO586" s="563"/>
      <c r="AP586" s="46"/>
      <c r="AQ586" s="46"/>
      <c r="AR586" s="46"/>
      <c r="AS586" s="46"/>
      <c r="AT586" s="46"/>
      <c r="AU586" s="46"/>
      <c r="AV586" s="46"/>
      <c r="AW586" s="46"/>
      <c r="AX586" s="46"/>
      <c r="AY586" s="46"/>
      <c r="AZ586" s="563"/>
      <c r="BA586" s="569"/>
      <c r="BB586" s="563"/>
      <c r="BC586" s="569"/>
      <c r="BD586" s="563"/>
      <c r="BE586" s="46"/>
      <c r="BF586" s="46"/>
      <c r="BG586" s="563"/>
      <c r="BH586" s="563"/>
      <c r="BI586" s="563"/>
      <c r="BJ586" s="563"/>
    </row>
    <row r="587" spans="2:62" x14ac:dyDescent="0.25">
      <c r="B587" s="569"/>
      <c r="C587" s="672"/>
      <c r="D587" s="563"/>
      <c r="E587" s="563"/>
      <c r="F587" s="569"/>
      <c r="G587" s="563"/>
      <c r="H587" s="563"/>
      <c r="I587" s="600"/>
      <c r="J587" s="569"/>
      <c r="K587" s="563"/>
      <c r="L587" s="563"/>
      <c r="M587" s="563"/>
      <c r="N587" s="563"/>
      <c r="O587" s="563"/>
      <c r="P587" s="563"/>
      <c r="Q587" s="563"/>
      <c r="R587" s="563"/>
      <c r="S587" s="563"/>
      <c r="T587" s="563"/>
      <c r="U587" s="563"/>
      <c r="V587" s="563"/>
      <c r="W587" s="563"/>
      <c r="X587" s="565"/>
      <c r="Y587" s="612"/>
      <c r="Z587" s="612"/>
      <c r="AA587" s="563"/>
      <c r="AB587" s="612"/>
      <c r="AC587" s="569"/>
      <c r="AD587" s="563"/>
      <c r="AE587" s="563"/>
      <c r="AF587" s="563"/>
      <c r="AG587" s="563"/>
      <c r="AH587" s="563"/>
      <c r="AI587" s="563"/>
      <c r="AJ587" s="680"/>
      <c r="AK587" s="563"/>
      <c r="AL587" s="563"/>
      <c r="AM587" s="563"/>
      <c r="AN587" s="563"/>
      <c r="AO587" s="563"/>
      <c r="AP587" s="46"/>
      <c r="AQ587" s="46"/>
      <c r="AR587" s="46"/>
      <c r="AS587" s="46"/>
      <c r="AT587" s="46"/>
      <c r="AU587" s="46"/>
      <c r="AV587" s="46"/>
      <c r="AW587" s="46"/>
      <c r="AX587" s="46"/>
      <c r="AY587" s="46"/>
      <c r="AZ587" s="563"/>
      <c r="BA587" s="569"/>
      <c r="BB587" s="563"/>
      <c r="BC587" s="569"/>
      <c r="BD587" s="563"/>
      <c r="BE587" s="46"/>
      <c r="BF587" s="46"/>
      <c r="BG587" s="563"/>
      <c r="BH587" s="563"/>
      <c r="BI587" s="563"/>
      <c r="BJ587" s="563"/>
    </row>
    <row r="588" spans="2:62" x14ac:dyDescent="0.25">
      <c r="B588" s="569"/>
      <c r="C588" s="672"/>
      <c r="D588" s="563"/>
      <c r="E588" s="563"/>
      <c r="F588" s="569"/>
      <c r="G588" s="563"/>
      <c r="H588" s="563"/>
      <c r="I588" s="600"/>
      <c r="J588" s="569"/>
      <c r="K588" s="563"/>
      <c r="L588" s="563"/>
      <c r="M588" s="563"/>
      <c r="N588" s="563"/>
      <c r="O588" s="563"/>
      <c r="P588" s="563"/>
      <c r="Q588" s="563"/>
      <c r="R588" s="563"/>
      <c r="S588" s="563"/>
      <c r="T588" s="563"/>
      <c r="U588" s="563"/>
      <c r="V588" s="563"/>
      <c r="W588" s="563"/>
      <c r="X588" s="565"/>
      <c r="Y588" s="612"/>
      <c r="Z588" s="612"/>
      <c r="AA588" s="563"/>
      <c r="AB588" s="612"/>
      <c r="AC588" s="569"/>
      <c r="AD588" s="563"/>
      <c r="AE588" s="563"/>
      <c r="AF588" s="563"/>
      <c r="AG588" s="563"/>
      <c r="AH588" s="563"/>
      <c r="AI588" s="563"/>
      <c r="AJ588" s="680"/>
      <c r="AK588" s="563"/>
      <c r="AL588" s="563"/>
      <c r="AM588" s="563"/>
      <c r="AN588" s="563"/>
      <c r="AO588" s="563"/>
      <c r="AP588" s="46"/>
      <c r="AQ588" s="46"/>
      <c r="AR588" s="46"/>
      <c r="AS588" s="46"/>
      <c r="AT588" s="46"/>
      <c r="AU588" s="46"/>
      <c r="AV588" s="46"/>
      <c r="AW588" s="46"/>
      <c r="AX588" s="46"/>
      <c r="AY588" s="46"/>
      <c r="AZ588" s="563"/>
      <c r="BA588" s="569"/>
      <c r="BB588" s="563"/>
      <c r="BC588" s="569"/>
      <c r="BD588" s="563"/>
      <c r="BE588" s="46"/>
      <c r="BF588" s="46"/>
      <c r="BG588" s="563"/>
      <c r="BH588" s="563"/>
      <c r="BI588" s="563"/>
      <c r="BJ588" s="563"/>
    </row>
    <row r="589" spans="2:62" x14ac:dyDescent="0.25">
      <c r="B589" s="569"/>
      <c r="C589" s="672"/>
      <c r="D589" s="563"/>
      <c r="E589" s="563"/>
      <c r="F589" s="569"/>
      <c r="G589" s="563"/>
      <c r="H589" s="563"/>
      <c r="I589" s="600"/>
      <c r="J589" s="569"/>
      <c r="K589" s="563"/>
      <c r="L589" s="563"/>
      <c r="M589" s="563"/>
      <c r="N589" s="563"/>
      <c r="O589" s="563"/>
      <c r="P589" s="563"/>
      <c r="Q589" s="563"/>
      <c r="R589" s="563"/>
      <c r="S589" s="563"/>
      <c r="T589" s="563"/>
      <c r="U589" s="563"/>
      <c r="V589" s="563"/>
      <c r="W589" s="563"/>
      <c r="X589" s="565"/>
      <c r="Y589" s="612"/>
      <c r="Z589" s="612"/>
      <c r="AA589" s="563"/>
      <c r="AB589" s="612"/>
      <c r="AC589" s="569"/>
      <c r="AD589" s="563"/>
      <c r="AE589" s="563"/>
      <c r="AF589" s="563"/>
      <c r="AG589" s="563"/>
      <c r="AH589" s="563"/>
      <c r="AI589" s="563"/>
      <c r="AJ589" s="680"/>
      <c r="AK589" s="563"/>
      <c r="AL589" s="563"/>
      <c r="AM589" s="563"/>
      <c r="AN589" s="563"/>
      <c r="AO589" s="563"/>
      <c r="AP589" s="46"/>
      <c r="AQ589" s="46"/>
      <c r="AR589" s="46"/>
      <c r="AS589" s="46"/>
      <c r="AT589" s="46"/>
      <c r="AU589" s="46"/>
      <c r="AV589" s="46"/>
      <c r="AW589" s="46"/>
      <c r="AX589" s="46"/>
      <c r="AY589" s="46"/>
      <c r="AZ589" s="563"/>
      <c r="BA589" s="569"/>
      <c r="BB589" s="563"/>
      <c r="BC589" s="569"/>
      <c r="BD589" s="563"/>
      <c r="BE589" s="46"/>
      <c r="BF589" s="46"/>
      <c r="BG589" s="563"/>
      <c r="BH589" s="563"/>
      <c r="BI589" s="563"/>
      <c r="BJ589" s="563"/>
    </row>
    <row r="590" spans="2:62" x14ac:dyDescent="0.25">
      <c r="B590" s="569"/>
      <c r="C590" s="672"/>
      <c r="D590" s="563"/>
      <c r="E590" s="563"/>
      <c r="F590" s="569"/>
      <c r="G590" s="563"/>
      <c r="H590" s="563"/>
      <c r="I590" s="600"/>
      <c r="J590" s="569"/>
      <c r="K590" s="563"/>
      <c r="L590" s="563"/>
      <c r="M590" s="563"/>
      <c r="N590" s="563"/>
      <c r="O590" s="563"/>
      <c r="P590" s="563"/>
      <c r="Q590" s="563"/>
      <c r="R590" s="563"/>
      <c r="S590" s="563"/>
      <c r="T590" s="563"/>
      <c r="U590" s="563"/>
      <c r="V590" s="563"/>
      <c r="W590" s="563"/>
      <c r="X590" s="565"/>
      <c r="Y590" s="612"/>
      <c r="Z590" s="612"/>
      <c r="AA590" s="563"/>
      <c r="AB590" s="612"/>
      <c r="AC590" s="569"/>
      <c r="AD590" s="563"/>
      <c r="AE590" s="563"/>
      <c r="AF590" s="563"/>
      <c r="AG590" s="563"/>
      <c r="AH590" s="563"/>
      <c r="AI590" s="563"/>
      <c r="AJ590" s="680"/>
      <c r="AK590" s="563"/>
      <c r="AL590" s="563"/>
      <c r="AM590" s="563"/>
      <c r="AN590" s="563"/>
      <c r="AO590" s="563"/>
      <c r="AP590" s="46"/>
      <c r="AQ590" s="46"/>
      <c r="AR590" s="46"/>
      <c r="AS590" s="46"/>
      <c r="AT590" s="46"/>
      <c r="AU590" s="46"/>
      <c r="AV590" s="46"/>
      <c r="AW590" s="46"/>
      <c r="AX590" s="46"/>
      <c r="AY590" s="46"/>
      <c r="AZ590" s="563"/>
      <c r="BA590" s="569"/>
      <c r="BB590" s="563"/>
      <c r="BC590" s="569"/>
      <c r="BD590" s="563"/>
      <c r="BE590" s="46"/>
      <c r="BF590" s="46"/>
      <c r="BG590" s="563"/>
      <c r="BH590" s="563"/>
      <c r="BI590" s="563"/>
      <c r="BJ590" s="563"/>
    </row>
    <row r="591" spans="2:62" x14ac:dyDescent="0.25">
      <c r="B591" s="569"/>
      <c r="C591" s="672"/>
      <c r="D591" s="563"/>
      <c r="E591" s="563"/>
      <c r="F591" s="569"/>
      <c r="G591" s="563"/>
      <c r="H591" s="563"/>
      <c r="I591" s="600"/>
      <c r="J591" s="569"/>
      <c r="K591" s="563"/>
      <c r="L591" s="563"/>
      <c r="M591" s="563"/>
      <c r="N591" s="563"/>
      <c r="O591" s="563"/>
      <c r="P591" s="563"/>
      <c r="Q591" s="563"/>
      <c r="R591" s="563"/>
      <c r="S591" s="563"/>
      <c r="T591" s="563"/>
      <c r="U591" s="563"/>
      <c r="V591" s="563"/>
      <c r="W591" s="563"/>
      <c r="X591" s="565"/>
      <c r="Y591" s="612"/>
      <c r="Z591" s="612"/>
      <c r="AA591" s="563"/>
      <c r="AB591" s="612"/>
      <c r="AC591" s="569"/>
      <c r="AD591" s="563"/>
      <c r="AE591" s="563"/>
      <c r="AF591" s="563"/>
      <c r="AG591" s="563"/>
      <c r="AH591" s="563"/>
      <c r="AI591" s="563"/>
      <c r="AJ591" s="680"/>
      <c r="AK591" s="563"/>
      <c r="AL591" s="563"/>
      <c r="AM591" s="563"/>
      <c r="AN591" s="563"/>
      <c r="AO591" s="563"/>
      <c r="AP591" s="46"/>
      <c r="AQ591" s="46"/>
      <c r="AR591" s="46"/>
      <c r="AS591" s="46"/>
      <c r="AT591" s="46"/>
      <c r="AU591" s="46"/>
      <c r="AV591" s="46"/>
      <c r="AW591" s="46"/>
      <c r="AX591" s="46"/>
      <c r="AY591" s="46"/>
      <c r="AZ591" s="563"/>
      <c r="BA591" s="569"/>
      <c r="BB591" s="563"/>
      <c r="BC591" s="569"/>
      <c r="BD591" s="563"/>
      <c r="BE591" s="46"/>
      <c r="BF591" s="46"/>
      <c r="BG591" s="563"/>
      <c r="BH591" s="563"/>
      <c r="BI591" s="563"/>
      <c r="BJ591" s="563"/>
    </row>
    <row r="592" spans="2:62" x14ac:dyDescent="0.25">
      <c r="B592" s="569"/>
      <c r="C592" s="672"/>
      <c r="D592" s="563"/>
      <c r="E592" s="563"/>
      <c r="F592" s="569"/>
      <c r="G592" s="563"/>
      <c r="H592" s="563"/>
      <c r="I592" s="600"/>
      <c r="J592" s="569"/>
      <c r="K592" s="563"/>
      <c r="L592" s="563"/>
      <c r="M592" s="563"/>
      <c r="N592" s="563"/>
      <c r="O592" s="563"/>
      <c r="P592" s="563"/>
      <c r="Q592" s="563"/>
      <c r="R592" s="563"/>
      <c r="S592" s="563"/>
      <c r="T592" s="563"/>
      <c r="U592" s="563"/>
      <c r="V592" s="563"/>
      <c r="W592" s="563"/>
      <c r="X592" s="565"/>
      <c r="Y592" s="612"/>
      <c r="Z592" s="612"/>
      <c r="AA592" s="563"/>
      <c r="AB592" s="612"/>
      <c r="AC592" s="569"/>
      <c r="AD592" s="563"/>
      <c r="AE592" s="563"/>
      <c r="AF592" s="563"/>
      <c r="AG592" s="563"/>
      <c r="AH592" s="563"/>
      <c r="AI592" s="563"/>
      <c r="AJ592" s="680"/>
      <c r="AK592" s="563"/>
      <c r="AL592" s="563"/>
      <c r="AM592" s="563"/>
      <c r="AN592" s="563"/>
      <c r="AO592" s="563"/>
      <c r="AP592" s="46"/>
      <c r="AQ592" s="46"/>
      <c r="AR592" s="46"/>
      <c r="AS592" s="46"/>
      <c r="AT592" s="46"/>
      <c r="AU592" s="46"/>
      <c r="AV592" s="46"/>
      <c r="AW592" s="46"/>
      <c r="AX592" s="46"/>
      <c r="AY592" s="46"/>
      <c r="AZ592" s="563"/>
      <c r="BA592" s="569"/>
      <c r="BB592" s="563"/>
      <c r="BC592" s="569"/>
      <c r="BD592" s="563"/>
      <c r="BE592" s="46"/>
      <c r="BF592" s="46"/>
      <c r="BG592" s="563"/>
      <c r="BH592" s="563"/>
      <c r="BI592" s="563"/>
      <c r="BJ592" s="563"/>
    </row>
    <row r="593" spans="2:62" x14ac:dyDescent="0.25">
      <c r="B593" s="569"/>
      <c r="C593" s="672"/>
      <c r="D593" s="563"/>
      <c r="E593" s="563"/>
      <c r="F593" s="569"/>
      <c r="G593" s="563"/>
      <c r="H593" s="563"/>
      <c r="I593" s="600"/>
      <c r="J593" s="569"/>
      <c r="K593" s="563"/>
      <c r="L593" s="563"/>
      <c r="M593" s="563"/>
      <c r="N593" s="563"/>
      <c r="O593" s="563"/>
      <c r="P593" s="563"/>
      <c r="Q593" s="563"/>
      <c r="R593" s="563"/>
      <c r="S593" s="563"/>
      <c r="T593" s="563"/>
      <c r="U593" s="563"/>
      <c r="V593" s="563"/>
      <c r="W593" s="563"/>
      <c r="X593" s="565"/>
      <c r="Y593" s="612"/>
      <c r="Z593" s="612"/>
      <c r="AA593" s="563"/>
      <c r="AB593" s="612"/>
      <c r="AC593" s="569"/>
      <c r="AD593" s="563"/>
      <c r="AE593" s="563"/>
      <c r="AF593" s="563"/>
      <c r="AG593" s="563"/>
      <c r="AH593" s="563"/>
      <c r="AI593" s="563"/>
      <c r="AJ593" s="680"/>
      <c r="AK593" s="563"/>
      <c r="AL593" s="563"/>
      <c r="AM593" s="563"/>
      <c r="AN593" s="563"/>
      <c r="AO593" s="563"/>
      <c r="AP593" s="46"/>
      <c r="AQ593" s="46"/>
      <c r="AR593" s="46"/>
      <c r="AS593" s="46"/>
      <c r="AT593" s="46"/>
      <c r="AU593" s="46"/>
      <c r="AV593" s="46"/>
      <c r="AW593" s="46"/>
      <c r="AX593" s="46"/>
      <c r="AY593" s="46"/>
      <c r="AZ593" s="563"/>
      <c r="BA593" s="569"/>
      <c r="BB593" s="563"/>
      <c r="BC593" s="569"/>
      <c r="BD593" s="563"/>
      <c r="BE593" s="46"/>
      <c r="BF593" s="46"/>
      <c r="BG593" s="563"/>
      <c r="BH593" s="563"/>
      <c r="BI593" s="563"/>
      <c r="BJ593" s="563"/>
    </row>
    <row r="594" spans="2:62" x14ac:dyDescent="0.25">
      <c r="B594" s="569"/>
      <c r="C594" s="672"/>
      <c r="D594" s="563"/>
      <c r="E594" s="563"/>
      <c r="F594" s="569"/>
      <c r="G594" s="563"/>
      <c r="H594" s="563"/>
      <c r="I594" s="600"/>
      <c r="J594" s="569"/>
      <c r="K594" s="563"/>
      <c r="L594" s="563"/>
      <c r="M594" s="563"/>
      <c r="N594" s="563"/>
      <c r="O594" s="563"/>
      <c r="P594" s="563"/>
      <c r="Q594" s="563"/>
      <c r="R594" s="563"/>
      <c r="S594" s="563"/>
      <c r="T594" s="563"/>
      <c r="U594" s="563"/>
      <c r="V594" s="563"/>
      <c r="W594" s="563"/>
      <c r="X594" s="565"/>
      <c r="Y594" s="612"/>
      <c r="Z594" s="612"/>
      <c r="AA594" s="563"/>
      <c r="AB594" s="612"/>
      <c r="AC594" s="569"/>
      <c r="AD594" s="563"/>
      <c r="AE594" s="563"/>
      <c r="AF594" s="563"/>
      <c r="AG594" s="563"/>
      <c r="AH594" s="563"/>
      <c r="AI594" s="563"/>
      <c r="AJ594" s="680"/>
      <c r="AK594" s="563"/>
      <c r="AL594" s="563"/>
      <c r="AM594" s="563"/>
      <c r="AN594" s="563"/>
      <c r="AO594" s="563"/>
      <c r="AP594" s="46"/>
      <c r="AQ594" s="46"/>
      <c r="AR594" s="46"/>
      <c r="AS594" s="46"/>
      <c r="AT594" s="46"/>
      <c r="AU594" s="46"/>
      <c r="AV594" s="46"/>
      <c r="AW594" s="46"/>
      <c r="AX594" s="46"/>
      <c r="AY594" s="46"/>
      <c r="AZ594" s="563"/>
      <c r="BA594" s="569"/>
      <c r="BB594" s="563"/>
      <c r="BC594" s="569"/>
      <c r="BD594" s="563"/>
      <c r="BE594" s="46"/>
      <c r="BF594" s="46"/>
      <c r="BG594" s="563"/>
      <c r="BH594" s="563"/>
      <c r="BI594" s="563"/>
      <c r="BJ594" s="563"/>
    </row>
    <row r="595" spans="2:62" x14ac:dyDescent="0.25">
      <c r="B595" s="569"/>
      <c r="C595" s="672"/>
      <c r="D595" s="563"/>
      <c r="E595" s="563"/>
      <c r="F595" s="569"/>
      <c r="G595" s="563"/>
      <c r="H595" s="563"/>
      <c r="I595" s="600"/>
      <c r="J595" s="569"/>
      <c r="K595" s="563"/>
      <c r="L595" s="563"/>
      <c r="M595" s="563"/>
      <c r="N595" s="563"/>
      <c r="O595" s="563"/>
      <c r="P595" s="563"/>
      <c r="Q595" s="563"/>
      <c r="R595" s="563"/>
      <c r="S595" s="563"/>
      <c r="T595" s="563"/>
      <c r="U595" s="563"/>
      <c r="V595" s="563"/>
      <c r="W595" s="563"/>
      <c r="X595" s="565"/>
      <c r="Y595" s="612"/>
      <c r="Z595" s="612"/>
      <c r="AA595" s="563"/>
      <c r="AB595" s="612"/>
      <c r="AC595" s="569"/>
      <c r="AD595" s="563"/>
      <c r="AE595" s="563"/>
      <c r="AF595" s="563"/>
      <c r="AG595" s="563"/>
      <c r="AH595" s="563"/>
      <c r="AI595" s="563"/>
      <c r="AJ595" s="680"/>
      <c r="AK595" s="563"/>
      <c r="AL595" s="563"/>
      <c r="AM595" s="563"/>
      <c r="AN595" s="563"/>
      <c r="AO595" s="563"/>
      <c r="AP595" s="46"/>
      <c r="AQ595" s="46"/>
      <c r="AR595" s="46"/>
      <c r="AS595" s="46"/>
      <c r="AT595" s="46"/>
      <c r="AU595" s="46"/>
      <c r="AV595" s="46"/>
      <c r="AW595" s="46"/>
      <c r="AX595" s="46"/>
      <c r="AY595" s="46"/>
      <c r="AZ595" s="563"/>
      <c r="BA595" s="569"/>
      <c r="BB595" s="563"/>
      <c r="BC595" s="569"/>
      <c r="BD595" s="563"/>
      <c r="BE595" s="46"/>
      <c r="BF595" s="46"/>
      <c r="BG595" s="563"/>
      <c r="BH595" s="563"/>
      <c r="BI595" s="563"/>
      <c r="BJ595" s="563"/>
    </row>
    <row r="596" spans="2:62" x14ac:dyDescent="0.25">
      <c r="B596" s="569"/>
      <c r="C596" s="672"/>
      <c r="D596" s="563"/>
      <c r="E596" s="563"/>
      <c r="F596" s="569"/>
      <c r="G596" s="563"/>
      <c r="H596" s="563"/>
      <c r="I596" s="600"/>
      <c r="J596" s="569"/>
      <c r="K596" s="563"/>
      <c r="L596" s="563"/>
      <c r="M596" s="563"/>
      <c r="N596" s="563"/>
      <c r="O596" s="563"/>
      <c r="P596" s="563"/>
      <c r="Q596" s="563"/>
      <c r="R596" s="563"/>
      <c r="S596" s="563"/>
      <c r="T596" s="563"/>
      <c r="U596" s="563"/>
      <c r="V596" s="563"/>
      <c r="W596" s="563"/>
      <c r="X596" s="565"/>
      <c r="Y596" s="612"/>
      <c r="Z596" s="612"/>
      <c r="AA596" s="563"/>
      <c r="AB596" s="612"/>
      <c r="AC596" s="569"/>
      <c r="AD596" s="563"/>
      <c r="AE596" s="563"/>
      <c r="AF596" s="563"/>
      <c r="AG596" s="563"/>
      <c r="AH596" s="563"/>
      <c r="AI596" s="563"/>
      <c r="AJ596" s="680"/>
      <c r="AK596" s="563"/>
      <c r="AL596" s="563"/>
      <c r="AM596" s="563"/>
      <c r="AN596" s="563"/>
      <c r="AO596" s="563"/>
      <c r="AP596" s="46"/>
      <c r="AQ596" s="46"/>
      <c r="AR596" s="46"/>
      <c r="AS596" s="46"/>
      <c r="AT596" s="46"/>
      <c r="AU596" s="46"/>
      <c r="AV596" s="46"/>
      <c r="AW596" s="46"/>
      <c r="AX596" s="46"/>
      <c r="AY596" s="46"/>
      <c r="AZ596" s="563"/>
      <c r="BA596" s="569"/>
      <c r="BB596" s="563"/>
      <c r="BC596" s="569"/>
      <c r="BD596" s="563"/>
      <c r="BE596" s="46"/>
      <c r="BF596" s="46"/>
      <c r="BG596" s="563"/>
      <c r="BH596" s="563"/>
      <c r="BI596" s="563"/>
      <c r="BJ596" s="563"/>
    </row>
    <row r="597" spans="2:62" x14ac:dyDescent="0.25">
      <c r="B597" s="569"/>
      <c r="C597" s="672"/>
      <c r="D597" s="563"/>
      <c r="E597" s="563"/>
      <c r="F597" s="569"/>
      <c r="G597" s="563"/>
      <c r="H597" s="563"/>
      <c r="I597" s="600"/>
      <c r="J597" s="569"/>
      <c r="K597" s="563"/>
      <c r="L597" s="563"/>
      <c r="M597" s="563"/>
      <c r="N597" s="563"/>
      <c r="O597" s="563"/>
      <c r="P597" s="563"/>
      <c r="Q597" s="563"/>
      <c r="R597" s="563"/>
      <c r="S597" s="563"/>
      <c r="T597" s="563"/>
      <c r="U597" s="563"/>
      <c r="V597" s="563"/>
      <c r="W597" s="563"/>
      <c r="X597" s="565"/>
      <c r="Y597" s="612"/>
      <c r="Z597" s="612"/>
      <c r="AA597" s="563"/>
      <c r="AB597" s="612"/>
      <c r="AC597" s="569"/>
      <c r="AD597" s="563"/>
      <c r="AE597" s="563"/>
      <c r="AF597" s="563"/>
      <c r="AG597" s="563"/>
      <c r="AH597" s="563"/>
      <c r="AI597" s="563"/>
      <c r="AJ597" s="680"/>
      <c r="AK597" s="563"/>
      <c r="AL597" s="563"/>
      <c r="AM597" s="563"/>
      <c r="AN597" s="563"/>
      <c r="AO597" s="563"/>
      <c r="AP597" s="46"/>
      <c r="AQ597" s="46"/>
      <c r="AR597" s="46"/>
      <c r="AS597" s="46"/>
      <c r="AT597" s="46"/>
      <c r="AU597" s="46"/>
      <c r="AV597" s="46"/>
      <c r="AW597" s="46"/>
      <c r="AX597" s="46"/>
      <c r="AY597" s="46"/>
      <c r="AZ597" s="563"/>
      <c r="BA597" s="569"/>
      <c r="BB597" s="563"/>
      <c r="BC597" s="569"/>
      <c r="BD597" s="563"/>
      <c r="BE597" s="46"/>
      <c r="BF597" s="46"/>
      <c r="BG597" s="563"/>
      <c r="BH597" s="563"/>
      <c r="BI597" s="563"/>
      <c r="BJ597" s="563"/>
    </row>
    <row r="598" spans="2:62" x14ac:dyDescent="0.25">
      <c r="B598" s="569"/>
      <c r="C598" s="672"/>
      <c r="D598" s="563"/>
      <c r="E598" s="563"/>
      <c r="F598" s="569"/>
      <c r="G598" s="563"/>
      <c r="H598" s="563"/>
      <c r="I598" s="600"/>
      <c r="J598" s="569"/>
      <c r="K598" s="563"/>
      <c r="L598" s="563"/>
      <c r="M598" s="563"/>
      <c r="N598" s="563"/>
      <c r="O598" s="563"/>
      <c r="P598" s="563"/>
      <c r="Q598" s="563"/>
      <c r="R598" s="563"/>
      <c r="S598" s="563"/>
      <c r="T598" s="563"/>
      <c r="U598" s="563"/>
      <c r="V598" s="563"/>
      <c r="W598" s="563"/>
      <c r="X598" s="565"/>
      <c r="Y598" s="612"/>
      <c r="Z598" s="612"/>
      <c r="AA598" s="563"/>
      <c r="AB598" s="612"/>
      <c r="AC598" s="569"/>
      <c r="AD598" s="563"/>
      <c r="AE598" s="563"/>
      <c r="AF598" s="563"/>
      <c r="AG598" s="563"/>
      <c r="AH598" s="563"/>
      <c r="AI598" s="563"/>
      <c r="AJ598" s="680"/>
      <c r="AK598" s="563"/>
      <c r="AL598" s="563"/>
      <c r="AM598" s="563"/>
      <c r="AN598" s="563"/>
      <c r="AO598" s="563"/>
      <c r="AP598" s="46"/>
      <c r="AQ598" s="46"/>
      <c r="AR598" s="46"/>
      <c r="AS598" s="46"/>
      <c r="AT598" s="46"/>
      <c r="AU598" s="46"/>
      <c r="AV598" s="46"/>
      <c r="AW598" s="46"/>
      <c r="AX598" s="46"/>
      <c r="AY598" s="46"/>
      <c r="AZ598" s="563"/>
      <c r="BA598" s="569"/>
      <c r="BB598" s="563"/>
      <c r="BC598" s="569"/>
      <c r="BD598" s="563"/>
      <c r="BE598" s="46"/>
      <c r="BF598" s="46"/>
      <c r="BG598" s="563"/>
      <c r="BH598" s="563"/>
      <c r="BI598" s="563"/>
      <c r="BJ598" s="563"/>
    </row>
    <row r="599" spans="2:62" x14ac:dyDescent="0.25">
      <c r="B599" s="569"/>
      <c r="C599" s="672"/>
      <c r="D599" s="563"/>
      <c r="E599" s="563"/>
      <c r="F599" s="569"/>
      <c r="G599" s="563"/>
      <c r="H599" s="563"/>
      <c r="I599" s="600"/>
      <c r="J599" s="569"/>
      <c r="K599" s="563"/>
      <c r="L599" s="563"/>
      <c r="M599" s="563"/>
      <c r="N599" s="563"/>
      <c r="O599" s="563"/>
      <c r="P599" s="563"/>
      <c r="Q599" s="563"/>
      <c r="R599" s="563"/>
      <c r="S599" s="563"/>
      <c r="T599" s="563"/>
      <c r="U599" s="563"/>
      <c r="V599" s="563"/>
      <c r="W599" s="563"/>
      <c r="X599" s="565"/>
      <c r="Y599" s="612"/>
      <c r="Z599" s="612"/>
      <c r="AA599" s="563"/>
      <c r="AB599" s="612"/>
      <c r="AC599" s="569"/>
      <c r="AD599" s="563"/>
      <c r="AE599" s="563"/>
      <c r="AF599" s="563"/>
      <c r="AG599" s="563"/>
      <c r="AH599" s="563"/>
      <c r="AI599" s="563"/>
      <c r="AJ599" s="680"/>
      <c r="AK599" s="563"/>
      <c r="AL599" s="563"/>
      <c r="AM599" s="563"/>
      <c r="AN599" s="563"/>
      <c r="AO599" s="563"/>
      <c r="AP599" s="46"/>
      <c r="AQ599" s="46"/>
      <c r="AR599" s="46"/>
      <c r="AS599" s="46"/>
      <c r="AT599" s="46"/>
      <c r="AU599" s="46"/>
      <c r="AV599" s="46"/>
      <c r="AW599" s="46"/>
      <c r="AX599" s="46"/>
      <c r="AY599" s="46"/>
      <c r="AZ599" s="563"/>
      <c r="BA599" s="569"/>
      <c r="BB599" s="563"/>
      <c r="BC599" s="569"/>
      <c r="BD599" s="563"/>
      <c r="BE599" s="46"/>
      <c r="BF599" s="46"/>
      <c r="BG599" s="563"/>
      <c r="BH599" s="563"/>
      <c r="BI599" s="563"/>
      <c r="BJ599" s="563"/>
    </row>
    <row r="600" spans="2:62" x14ac:dyDescent="0.25">
      <c r="B600" s="569"/>
      <c r="C600" s="672"/>
      <c r="D600" s="563"/>
      <c r="E600" s="563"/>
      <c r="F600" s="569"/>
      <c r="G600" s="563"/>
      <c r="H600" s="563"/>
      <c r="I600" s="600"/>
      <c r="J600" s="569"/>
      <c r="K600" s="563"/>
      <c r="L600" s="563"/>
      <c r="M600" s="563"/>
      <c r="N600" s="563"/>
      <c r="O600" s="563"/>
      <c r="P600" s="563"/>
      <c r="Q600" s="563"/>
      <c r="R600" s="563"/>
      <c r="S600" s="563"/>
      <c r="T600" s="563"/>
      <c r="U600" s="563"/>
      <c r="V600" s="563"/>
      <c r="W600" s="563"/>
      <c r="X600" s="565"/>
      <c r="Y600" s="612"/>
      <c r="Z600" s="612"/>
      <c r="AA600" s="563"/>
      <c r="AB600" s="612"/>
      <c r="AC600" s="569"/>
      <c r="AD600" s="563"/>
      <c r="AE600" s="563"/>
      <c r="AF600" s="563"/>
      <c r="AG600" s="563"/>
      <c r="AH600" s="563"/>
      <c r="AI600" s="563"/>
      <c r="AJ600" s="680"/>
      <c r="AK600" s="563"/>
      <c r="AL600" s="563"/>
      <c r="AM600" s="563"/>
      <c r="AN600" s="563"/>
      <c r="AO600" s="563"/>
      <c r="AP600" s="46"/>
      <c r="AQ600" s="46"/>
      <c r="AR600" s="46"/>
      <c r="AS600" s="46"/>
      <c r="AT600" s="46"/>
      <c r="AU600" s="46"/>
      <c r="AV600" s="46"/>
      <c r="AW600" s="46"/>
      <c r="AX600" s="46"/>
      <c r="AY600" s="46"/>
      <c r="AZ600" s="563"/>
      <c r="BA600" s="569"/>
      <c r="BB600" s="563"/>
      <c r="BC600" s="569"/>
      <c r="BD600" s="563"/>
      <c r="BE600" s="46"/>
      <c r="BF600" s="46"/>
      <c r="BG600" s="563"/>
      <c r="BH600" s="563"/>
      <c r="BI600" s="563"/>
      <c r="BJ600" s="563"/>
    </row>
    <row r="601" spans="2:62" x14ac:dyDescent="0.25">
      <c r="B601" s="569"/>
      <c r="C601" s="672"/>
      <c r="D601" s="563"/>
      <c r="E601" s="563"/>
      <c r="F601" s="569"/>
      <c r="G601" s="563"/>
      <c r="H601" s="563"/>
      <c r="I601" s="600"/>
      <c r="J601" s="569"/>
      <c r="K601" s="563"/>
      <c r="L601" s="563"/>
      <c r="M601" s="563"/>
      <c r="N601" s="563"/>
      <c r="O601" s="563"/>
      <c r="P601" s="563"/>
      <c r="Q601" s="563"/>
      <c r="R601" s="563"/>
      <c r="S601" s="563"/>
      <c r="T601" s="563"/>
      <c r="U601" s="563"/>
      <c r="V601" s="563"/>
      <c r="W601" s="563"/>
      <c r="X601" s="565"/>
      <c r="Y601" s="612"/>
      <c r="Z601" s="612"/>
      <c r="AA601" s="563"/>
      <c r="AB601" s="612"/>
      <c r="AC601" s="569"/>
      <c r="AD601" s="563"/>
      <c r="AE601" s="563"/>
      <c r="AF601" s="563"/>
      <c r="AG601" s="563"/>
      <c r="AH601" s="563"/>
      <c r="AI601" s="563"/>
      <c r="AJ601" s="680"/>
      <c r="AK601" s="563"/>
      <c r="AL601" s="563"/>
      <c r="AM601" s="563"/>
      <c r="AN601" s="563"/>
      <c r="AO601" s="563"/>
      <c r="AP601" s="46"/>
      <c r="AQ601" s="46"/>
      <c r="AR601" s="46"/>
      <c r="AS601" s="46"/>
      <c r="AT601" s="46"/>
      <c r="AU601" s="46"/>
      <c r="AV601" s="46"/>
      <c r="AW601" s="46"/>
      <c r="AX601" s="46"/>
      <c r="AY601" s="46"/>
      <c r="AZ601" s="563"/>
      <c r="BA601" s="569"/>
      <c r="BB601" s="563"/>
      <c r="BC601" s="569"/>
      <c r="BD601" s="563"/>
      <c r="BE601" s="46"/>
      <c r="BF601" s="46"/>
      <c r="BG601" s="563"/>
      <c r="BH601" s="563"/>
      <c r="BI601" s="563"/>
      <c r="BJ601" s="563"/>
    </row>
    <row r="602" spans="2:62" x14ac:dyDescent="0.25">
      <c r="B602" s="569"/>
      <c r="C602" s="672"/>
      <c r="D602" s="563"/>
      <c r="E602" s="563"/>
      <c r="F602" s="569"/>
      <c r="G602" s="563"/>
      <c r="H602" s="563"/>
      <c r="I602" s="600"/>
      <c r="J602" s="569"/>
      <c r="K602" s="563"/>
      <c r="L602" s="563"/>
      <c r="M602" s="563"/>
      <c r="N602" s="563"/>
      <c r="O602" s="563"/>
      <c r="P602" s="563"/>
      <c r="Q602" s="563"/>
      <c r="R602" s="563"/>
      <c r="S602" s="563"/>
      <c r="T602" s="563"/>
      <c r="U602" s="563"/>
      <c r="V602" s="563"/>
      <c r="W602" s="563"/>
      <c r="X602" s="565"/>
      <c r="Y602" s="612"/>
      <c r="Z602" s="612"/>
      <c r="AA602" s="563"/>
      <c r="AB602" s="612"/>
      <c r="AC602" s="569"/>
      <c r="AD602" s="563"/>
      <c r="AE602" s="563"/>
      <c r="AF602" s="563"/>
      <c r="AG602" s="563"/>
      <c r="AH602" s="563"/>
      <c r="AI602" s="563"/>
      <c r="AJ602" s="680"/>
      <c r="AK602" s="563"/>
      <c r="AL602" s="563"/>
      <c r="AM602" s="563"/>
      <c r="AN602" s="563"/>
      <c r="AO602" s="563"/>
      <c r="AP602" s="46"/>
      <c r="AQ602" s="46"/>
      <c r="AR602" s="46"/>
      <c r="AS602" s="46"/>
      <c r="AT602" s="46"/>
      <c r="AU602" s="46"/>
      <c r="AV602" s="46"/>
      <c r="AW602" s="46"/>
      <c r="AX602" s="46"/>
      <c r="AY602" s="46"/>
      <c r="AZ602" s="563"/>
      <c r="BA602" s="569"/>
      <c r="BB602" s="563"/>
      <c r="BC602" s="569"/>
      <c r="BD602" s="563"/>
      <c r="BE602" s="46"/>
      <c r="BF602" s="46"/>
      <c r="BG602" s="563"/>
      <c r="BH602" s="563"/>
      <c r="BI602" s="563"/>
      <c r="BJ602" s="563"/>
    </row>
    <row r="603" spans="2:62" x14ac:dyDescent="0.25">
      <c r="B603" s="569"/>
      <c r="C603" s="672"/>
      <c r="D603" s="563"/>
      <c r="E603" s="563"/>
      <c r="F603" s="569"/>
      <c r="G603" s="563"/>
      <c r="H603" s="563"/>
      <c r="I603" s="600"/>
      <c r="J603" s="569"/>
      <c r="K603" s="563"/>
      <c r="L603" s="563"/>
      <c r="M603" s="563"/>
      <c r="N603" s="563"/>
      <c r="O603" s="563"/>
      <c r="P603" s="563"/>
      <c r="Q603" s="563"/>
      <c r="R603" s="563"/>
      <c r="S603" s="563"/>
      <c r="T603" s="563"/>
      <c r="U603" s="563"/>
      <c r="V603" s="563"/>
      <c r="W603" s="563"/>
      <c r="X603" s="565"/>
      <c r="Y603" s="612"/>
      <c r="Z603" s="612"/>
      <c r="AA603" s="563"/>
      <c r="AB603" s="612"/>
      <c r="AC603" s="569"/>
      <c r="AD603" s="563"/>
      <c r="AE603" s="563"/>
      <c r="AF603" s="563"/>
      <c r="AG603" s="563"/>
      <c r="AH603" s="563"/>
      <c r="AI603" s="563"/>
      <c r="AJ603" s="680"/>
      <c r="AK603" s="563"/>
      <c r="AL603" s="563"/>
      <c r="AM603" s="563"/>
      <c r="AN603" s="563"/>
      <c r="AO603" s="563"/>
      <c r="AP603" s="46"/>
      <c r="AQ603" s="46"/>
      <c r="AR603" s="46"/>
      <c r="AS603" s="46"/>
      <c r="AT603" s="46"/>
      <c r="AU603" s="46"/>
      <c r="AV603" s="46"/>
      <c r="AW603" s="46"/>
      <c r="AX603" s="46"/>
      <c r="AY603" s="46"/>
      <c r="AZ603" s="563"/>
      <c r="BA603" s="569"/>
      <c r="BB603" s="563"/>
      <c r="BC603" s="569"/>
      <c r="BD603" s="563"/>
      <c r="BE603" s="46"/>
      <c r="BF603" s="46"/>
      <c r="BG603" s="563"/>
      <c r="BH603" s="563"/>
      <c r="BI603" s="563"/>
      <c r="BJ603" s="563"/>
    </row>
    <row r="604" spans="2:62" x14ac:dyDescent="0.25">
      <c r="B604" s="569"/>
      <c r="C604" s="672"/>
      <c r="D604" s="563"/>
      <c r="E604" s="563"/>
      <c r="F604" s="569"/>
      <c r="G604" s="563"/>
      <c r="H604" s="563"/>
      <c r="I604" s="600"/>
      <c r="J604" s="569"/>
      <c r="K604" s="563"/>
      <c r="L604" s="563"/>
      <c r="M604" s="563"/>
      <c r="N604" s="563"/>
      <c r="O604" s="563"/>
      <c r="P604" s="563"/>
      <c r="Q604" s="563"/>
      <c r="R604" s="563"/>
      <c r="S604" s="563"/>
      <c r="T604" s="563"/>
      <c r="U604" s="563"/>
      <c r="V604" s="563"/>
      <c r="W604" s="563"/>
      <c r="X604" s="565"/>
      <c r="Y604" s="612"/>
      <c r="Z604" s="612"/>
      <c r="AA604" s="563"/>
      <c r="AB604" s="612"/>
      <c r="AC604" s="569"/>
      <c r="AD604" s="563"/>
      <c r="AE604" s="563"/>
      <c r="AF604" s="563"/>
      <c r="AG604" s="563"/>
      <c r="AH604" s="563"/>
      <c r="AI604" s="563"/>
      <c r="AJ604" s="680"/>
      <c r="AK604" s="563"/>
      <c r="AL604" s="563"/>
      <c r="AM604" s="563"/>
      <c r="AN604" s="563"/>
      <c r="AO604" s="563"/>
      <c r="AP604" s="46"/>
      <c r="AQ604" s="46"/>
      <c r="AR604" s="46"/>
      <c r="AS604" s="46"/>
      <c r="AT604" s="46"/>
      <c r="AU604" s="46"/>
      <c r="AV604" s="46"/>
      <c r="AW604" s="46"/>
      <c r="AX604" s="46"/>
      <c r="AY604" s="46"/>
      <c r="AZ604" s="563"/>
      <c r="BA604" s="569"/>
      <c r="BB604" s="563"/>
      <c r="BC604" s="569"/>
      <c r="BD604" s="563"/>
      <c r="BE604" s="46"/>
      <c r="BF604" s="46"/>
      <c r="BG604" s="563"/>
      <c r="BH604" s="563"/>
      <c r="BI604" s="563"/>
      <c r="BJ604" s="563"/>
    </row>
    <row r="605" spans="2:62" x14ac:dyDescent="0.25">
      <c r="B605" s="569"/>
      <c r="C605" s="672"/>
      <c r="D605" s="563"/>
      <c r="E605" s="563"/>
      <c r="F605" s="569"/>
      <c r="G605" s="563"/>
      <c r="H605" s="563"/>
      <c r="I605" s="600"/>
      <c r="J605" s="569"/>
      <c r="K605" s="563"/>
      <c r="L605" s="563"/>
      <c r="M605" s="563"/>
      <c r="N605" s="563"/>
      <c r="O605" s="563"/>
      <c r="P605" s="563"/>
      <c r="Q605" s="563"/>
      <c r="R605" s="563"/>
      <c r="S605" s="563"/>
      <c r="T605" s="563"/>
      <c r="U605" s="563"/>
      <c r="V605" s="563"/>
      <c r="W605" s="563"/>
      <c r="X605" s="565"/>
      <c r="Y605" s="612"/>
      <c r="Z605" s="612"/>
      <c r="AA605" s="563"/>
      <c r="AB605" s="612"/>
      <c r="AC605" s="569"/>
      <c r="AD605" s="563"/>
      <c r="AE605" s="563"/>
      <c r="AF605" s="563"/>
      <c r="AG605" s="563"/>
      <c r="AH605" s="563"/>
      <c r="AI605" s="563"/>
      <c r="AJ605" s="680"/>
      <c r="AK605" s="563"/>
      <c r="AL605" s="563"/>
      <c r="AM605" s="563"/>
      <c r="AN605" s="563"/>
      <c r="AO605" s="563"/>
      <c r="AP605" s="46"/>
      <c r="AQ605" s="46"/>
      <c r="AR605" s="46"/>
      <c r="AS605" s="46"/>
      <c r="AT605" s="46"/>
      <c r="AU605" s="46"/>
      <c r="AV605" s="46"/>
      <c r="AW605" s="46"/>
      <c r="AX605" s="46"/>
      <c r="AY605" s="46"/>
      <c r="AZ605" s="563"/>
      <c r="BA605" s="569"/>
      <c r="BB605" s="563"/>
      <c r="BC605" s="569"/>
      <c r="BD605" s="563"/>
      <c r="BE605" s="46"/>
      <c r="BF605" s="46"/>
      <c r="BG605" s="563"/>
      <c r="BH605" s="563"/>
      <c r="BI605" s="563"/>
      <c r="BJ605" s="563"/>
    </row>
    <row r="606" spans="2:62" x14ac:dyDescent="0.25">
      <c r="B606" s="569"/>
      <c r="C606" s="672"/>
      <c r="D606" s="563"/>
      <c r="E606" s="563"/>
      <c r="F606" s="569"/>
      <c r="G606" s="563"/>
      <c r="H606" s="563"/>
      <c r="I606" s="600"/>
      <c r="J606" s="569"/>
      <c r="K606" s="563"/>
      <c r="L606" s="563"/>
      <c r="M606" s="563"/>
      <c r="N606" s="563"/>
      <c r="O606" s="563"/>
      <c r="P606" s="563"/>
      <c r="Q606" s="563"/>
      <c r="R606" s="563"/>
      <c r="S606" s="563"/>
      <c r="T606" s="563"/>
      <c r="U606" s="563"/>
      <c r="V606" s="563"/>
      <c r="W606" s="563"/>
      <c r="X606" s="565"/>
      <c r="Y606" s="612"/>
      <c r="Z606" s="612"/>
      <c r="AA606" s="563"/>
      <c r="AB606" s="612"/>
      <c r="AC606" s="569"/>
      <c r="AD606" s="563"/>
      <c r="AE606" s="563"/>
      <c r="AF606" s="563"/>
      <c r="AG606" s="563"/>
      <c r="AH606" s="563"/>
      <c r="AI606" s="563"/>
      <c r="AJ606" s="680"/>
      <c r="AK606" s="563"/>
      <c r="AL606" s="563"/>
      <c r="AM606" s="563"/>
      <c r="AN606" s="563"/>
      <c r="AO606" s="563"/>
      <c r="AP606" s="46"/>
      <c r="AQ606" s="46"/>
      <c r="AR606" s="46"/>
      <c r="AS606" s="46"/>
      <c r="AT606" s="46"/>
      <c r="AU606" s="46"/>
      <c r="AV606" s="46"/>
      <c r="AW606" s="46"/>
      <c r="AX606" s="46"/>
      <c r="AY606" s="46"/>
      <c r="AZ606" s="563"/>
      <c r="BA606" s="569"/>
      <c r="BB606" s="563"/>
      <c r="BC606" s="569"/>
      <c r="BD606" s="563"/>
      <c r="BE606" s="46"/>
      <c r="BF606" s="46"/>
      <c r="BG606" s="563"/>
      <c r="BH606" s="563"/>
      <c r="BI606" s="563"/>
      <c r="BJ606" s="563"/>
    </row>
    <row r="607" spans="2:62" x14ac:dyDescent="0.25">
      <c r="B607" s="569"/>
      <c r="C607" s="672"/>
      <c r="D607" s="563"/>
      <c r="E607" s="563"/>
      <c r="F607" s="569"/>
      <c r="G607" s="563"/>
      <c r="H607" s="563"/>
      <c r="I607" s="600"/>
      <c r="J607" s="569"/>
      <c r="K607" s="563"/>
      <c r="L607" s="563"/>
      <c r="M607" s="563"/>
      <c r="N607" s="563"/>
      <c r="O607" s="563"/>
      <c r="P607" s="563"/>
      <c r="Q607" s="563"/>
      <c r="R607" s="563"/>
      <c r="S607" s="563"/>
      <c r="T607" s="563"/>
      <c r="U607" s="563"/>
      <c r="V607" s="563"/>
      <c r="W607" s="563"/>
      <c r="X607" s="565"/>
      <c r="Y607" s="612"/>
      <c r="Z607" s="612"/>
      <c r="AA607" s="563"/>
      <c r="AB607" s="612"/>
      <c r="AC607" s="569"/>
      <c r="AD607" s="563"/>
      <c r="AE607" s="563"/>
      <c r="AF607" s="563"/>
      <c r="AG607" s="563"/>
      <c r="AH607" s="563"/>
      <c r="AI607" s="563"/>
      <c r="AJ607" s="680"/>
      <c r="AK607" s="563"/>
      <c r="AL607" s="563"/>
      <c r="AM607" s="563"/>
      <c r="AN607" s="563"/>
      <c r="AO607" s="563"/>
      <c r="AP607" s="46"/>
      <c r="AQ607" s="46"/>
      <c r="AR607" s="46"/>
      <c r="AS607" s="46"/>
      <c r="AT607" s="46"/>
      <c r="AU607" s="46"/>
      <c r="AV607" s="46"/>
      <c r="AW607" s="46"/>
      <c r="AX607" s="46"/>
      <c r="AY607" s="46"/>
      <c r="AZ607" s="563"/>
      <c r="BA607" s="569"/>
      <c r="BB607" s="563"/>
      <c r="BC607" s="569"/>
      <c r="BD607" s="563"/>
      <c r="BE607" s="46"/>
      <c r="BF607" s="46"/>
      <c r="BG607" s="563"/>
      <c r="BH607" s="563"/>
      <c r="BI607" s="563"/>
      <c r="BJ607" s="563"/>
    </row>
    <row r="608" spans="2:62" x14ac:dyDescent="0.25">
      <c r="B608" s="569"/>
      <c r="C608" s="672"/>
      <c r="D608" s="563"/>
      <c r="E608" s="563"/>
      <c r="F608" s="569"/>
      <c r="G608" s="563"/>
      <c r="H608" s="563"/>
      <c r="I608" s="600"/>
      <c r="J608" s="569"/>
      <c r="K608" s="563"/>
      <c r="L608" s="563"/>
      <c r="M608" s="563"/>
      <c r="N608" s="563"/>
      <c r="O608" s="563"/>
      <c r="P608" s="563"/>
      <c r="Q608" s="563"/>
      <c r="R608" s="563"/>
      <c r="S608" s="563"/>
      <c r="T608" s="563"/>
      <c r="U608" s="563"/>
      <c r="V608" s="563"/>
      <c r="W608" s="563"/>
      <c r="X608" s="565"/>
      <c r="Y608" s="612"/>
      <c r="Z608" s="612"/>
      <c r="AA608" s="563"/>
      <c r="AB608" s="612"/>
      <c r="AC608" s="569"/>
      <c r="AD608" s="563"/>
      <c r="AE608" s="563"/>
      <c r="AF608" s="563"/>
      <c r="AG608" s="563"/>
      <c r="AH608" s="563"/>
      <c r="AI608" s="563"/>
      <c r="AJ608" s="680"/>
      <c r="AK608" s="563"/>
      <c r="AL608" s="563"/>
      <c r="AM608" s="563"/>
      <c r="AN608" s="563"/>
      <c r="AO608" s="563"/>
      <c r="AP608" s="46"/>
      <c r="AQ608" s="46"/>
      <c r="AR608" s="46"/>
      <c r="AS608" s="46"/>
      <c r="AT608" s="46"/>
      <c r="AU608" s="46"/>
      <c r="AV608" s="46"/>
      <c r="AW608" s="46"/>
      <c r="AX608" s="46"/>
      <c r="AY608" s="46"/>
      <c r="AZ608" s="563"/>
      <c r="BA608" s="569"/>
      <c r="BB608" s="563"/>
      <c r="BC608" s="569"/>
      <c r="BD608" s="563"/>
      <c r="BE608" s="46"/>
      <c r="BF608" s="46"/>
      <c r="BG608" s="563"/>
      <c r="BH608" s="563"/>
      <c r="BI608" s="563"/>
      <c r="BJ608" s="563"/>
    </row>
    <row r="609" spans="2:62" x14ac:dyDescent="0.25">
      <c r="B609" s="569"/>
      <c r="C609" s="672"/>
      <c r="D609" s="563"/>
      <c r="E609" s="563"/>
      <c r="F609" s="569"/>
      <c r="G609" s="563"/>
      <c r="H609" s="563"/>
      <c r="I609" s="600"/>
      <c r="J609" s="569"/>
      <c r="K609" s="563"/>
      <c r="L609" s="563"/>
      <c r="M609" s="563"/>
      <c r="N609" s="563"/>
      <c r="O609" s="563"/>
      <c r="P609" s="563"/>
      <c r="Q609" s="563"/>
      <c r="R609" s="563"/>
      <c r="S609" s="563"/>
      <c r="T609" s="563"/>
      <c r="U609" s="563"/>
      <c r="V609" s="563"/>
      <c r="W609" s="563"/>
      <c r="X609" s="565"/>
      <c r="Y609" s="612"/>
      <c r="Z609" s="612"/>
      <c r="AA609" s="563"/>
      <c r="AB609" s="612"/>
      <c r="AC609" s="569"/>
      <c r="AD609" s="563"/>
      <c r="AE609" s="563"/>
      <c r="AF609" s="563"/>
      <c r="AG609" s="563"/>
      <c r="AH609" s="563"/>
      <c r="AI609" s="563"/>
      <c r="AJ609" s="680"/>
      <c r="AK609" s="563"/>
      <c r="AL609" s="563"/>
      <c r="AM609" s="563"/>
      <c r="AN609" s="563"/>
      <c r="AO609" s="563"/>
      <c r="AP609" s="46"/>
      <c r="AQ609" s="46"/>
      <c r="AR609" s="46"/>
      <c r="AS609" s="46"/>
      <c r="AT609" s="46"/>
      <c r="AU609" s="46"/>
      <c r="AV609" s="46"/>
      <c r="AW609" s="46"/>
      <c r="AX609" s="46"/>
      <c r="AY609" s="46"/>
      <c r="AZ609" s="563"/>
      <c r="BA609" s="569"/>
      <c r="BB609" s="563"/>
      <c r="BC609" s="569"/>
      <c r="BD609" s="563"/>
      <c r="BE609" s="46"/>
      <c r="BF609" s="46"/>
      <c r="BG609" s="563"/>
      <c r="BH609" s="563"/>
      <c r="BI609" s="563"/>
      <c r="BJ609" s="563"/>
    </row>
    <row r="610" spans="2:62" x14ac:dyDescent="0.25">
      <c r="B610" s="569"/>
      <c r="C610" s="672"/>
      <c r="D610" s="563"/>
      <c r="E610" s="563"/>
      <c r="F610" s="569"/>
      <c r="G610" s="563"/>
      <c r="H610" s="563"/>
      <c r="I610" s="600"/>
      <c r="J610" s="569"/>
      <c r="K610" s="563"/>
      <c r="L610" s="563"/>
      <c r="M610" s="563"/>
      <c r="N610" s="563"/>
      <c r="O610" s="563"/>
      <c r="P610" s="563"/>
      <c r="Q610" s="563"/>
      <c r="R610" s="563"/>
      <c r="S610" s="563"/>
      <c r="T610" s="563"/>
      <c r="U610" s="563"/>
      <c r="V610" s="563"/>
      <c r="W610" s="563"/>
      <c r="X610" s="565"/>
      <c r="Y610" s="612"/>
      <c r="Z610" s="612"/>
      <c r="AA610" s="563"/>
      <c r="AB610" s="612"/>
      <c r="AC610" s="569"/>
      <c r="AD610" s="563"/>
      <c r="AE610" s="563"/>
      <c r="AF610" s="563"/>
      <c r="AG610" s="563"/>
      <c r="AH610" s="563"/>
      <c r="AI610" s="563"/>
      <c r="AJ610" s="680"/>
      <c r="AK610" s="563"/>
      <c r="AL610" s="563"/>
      <c r="AM610" s="563"/>
      <c r="AN610" s="563"/>
      <c r="AO610" s="563"/>
      <c r="AP610" s="46"/>
      <c r="AQ610" s="46"/>
      <c r="AR610" s="46"/>
      <c r="AS610" s="46"/>
      <c r="AT610" s="46"/>
      <c r="AU610" s="46"/>
      <c r="AV610" s="46"/>
      <c r="AW610" s="46"/>
      <c r="AX610" s="46"/>
      <c r="AY610" s="46"/>
      <c r="AZ610" s="563"/>
      <c r="BA610" s="569"/>
      <c r="BB610" s="563"/>
      <c r="BC610" s="569"/>
      <c r="BD610" s="563"/>
      <c r="BE610" s="46"/>
      <c r="BF610" s="46"/>
      <c r="BG610" s="563"/>
      <c r="BH610" s="563"/>
      <c r="BI610" s="563"/>
      <c r="BJ610" s="563"/>
    </row>
    <row r="611" spans="2:62" x14ac:dyDescent="0.25">
      <c r="B611" s="569"/>
      <c r="C611" s="672"/>
      <c r="D611" s="563"/>
      <c r="E611" s="563"/>
      <c r="F611" s="569"/>
      <c r="G611" s="563"/>
      <c r="H611" s="563"/>
      <c r="I611" s="600"/>
      <c r="J611" s="569"/>
      <c r="K611" s="563"/>
      <c r="L611" s="563"/>
      <c r="M611" s="563"/>
      <c r="N611" s="563"/>
      <c r="O611" s="563"/>
      <c r="P611" s="563"/>
      <c r="Q611" s="563"/>
      <c r="R611" s="563"/>
      <c r="S611" s="563"/>
      <c r="T611" s="563"/>
      <c r="U611" s="563"/>
      <c r="V611" s="563"/>
      <c r="W611" s="563"/>
      <c r="X611" s="565"/>
      <c r="Y611" s="612"/>
      <c r="Z611" s="612"/>
      <c r="AA611" s="563"/>
      <c r="AB611" s="612"/>
      <c r="AC611" s="569"/>
      <c r="AD611" s="563"/>
      <c r="AE611" s="563"/>
      <c r="AF611" s="563"/>
      <c r="AG611" s="563"/>
      <c r="AH611" s="563"/>
      <c r="AI611" s="563"/>
      <c r="AJ611" s="680"/>
      <c r="AK611" s="563"/>
      <c r="AL611" s="563"/>
      <c r="AM611" s="563"/>
      <c r="AN611" s="563"/>
      <c r="AO611" s="563"/>
      <c r="AP611" s="46"/>
      <c r="AQ611" s="46"/>
      <c r="AR611" s="46"/>
      <c r="AS611" s="46"/>
      <c r="AT611" s="46"/>
      <c r="AU611" s="46"/>
      <c r="AV611" s="46"/>
      <c r="AW611" s="46"/>
      <c r="AX611" s="46"/>
      <c r="AY611" s="46"/>
      <c r="AZ611" s="563"/>
      <c r="BA611" s="569"/>
      <c r="BB611" s="563"/>
      <c r="BC611" s="569"/>
      <c r="BD611" s="563"/>
      <c r="BE611" s="46"/>
      <c r="BF611" s="46"/>
      <c r="BG611" s="563"/>
      <c r="BH611" s="563"/>
      <c r="BI611" s="563"/>
      <c r="BJ611" s="563"/>
    </row>
    <row r="612" spans="2:62" x14ac:dyDescent="0.25">
      <c r="B612" s="569"/>
      <c r="C612" s="672"/>
      <c r="D612" s="563"/>
      <c r="E612" s="563"/>
      <c r="F612" s="569"/>
      <c r="G612" s="563"/>
      <c r="H612" s="563"/>
      <c r="I612" s="600"/>
      <c r="J612" s="569"/>
      <c r="K612" s="563"/>
      <c r="L612" s="563"/>
      <c r="M612" s="563"/>
      <c r="N612" s="563"/>
      <c r="O612" s="563"/>
      <c r="P612" s="563"/>
      <c r="Q612" s="563"/>
      <c r="R612" s="563"/>
      <c r="S612" s="563"/>
      <c r="T612" s="563"/>
      <c r="U612" s="563"/>
      <c r="V612" s="563"/>
      <c r="W612" s="563"/>
      <c r="X612" s="565"/>
      <c r="Y612" s="612"/>
      <c r="Z612" s="612"/>
      <c r="AA612" s="563"/>
      <c r="AB612" s="612"/>
      <c r="AC612" s="569"/>
      <c r="AD612" s="563"/>
      <c r="AE612" s="563"/>
      <c r="AF612" s="563"/>
      <c r="AG612" s="563"/>
      <c r="AH612" s="563"/>
      <c r="AI612" s="563"/>
      <c r="AJ612" s="680"/>
      <c r="AK612" s="563"/>
      <c r="AL612" s="563"/>
      <c r="AM612" s="563"/>
      <c r="AN612" s="563"/>
      <c r="AO612" s="563"/>
      <c r="AP612" s="46"/>
      <c r="AQ612" s="46"/>
      <c r="AR612" s="46"/>
      <c r="AS612" s="46"/>
      <c r="AT612" s="46"/>
      <c r="AU612" s="46"/>
      <c r="AV612" s="46"/>
      <c r="AW612" s="46"/>
      <c r="AX612" s="46"/>
      <c r="AY612" s="46"/>
      <c r="AZ612" s="563"/>
      <c r="BA612" s="569"/>
      <c r="BB612" s="563"/>
      <c r="BC612" s="569"/>
      <c r="BD612" s="563"/>
      <c r="BE612" s="46"/>
      <c r="BF612" s="46"/>
      <c r="BG612" s="563"/>
      <c r="BH612" s="563"/>
      <c r="BI612" s="563"/>
      <c r="BJ612" s="563"/>
    </row>
    <row r="613" spans="2:62" x14ac:dyDescent="0.25">
      <c r="B613" s="569"/>
      <c r="C613" s="672"/>
      <c r="D613" s="563"/>
      <c r="E613" s="563"/>
      <c r="F613" s="569"/>
      <c r="G613" s="563"/>
      <c r="H613" s="563"/>
      <c r="I613" s="600"/>
      <c r="J613" s="569"/>
      <c r="K613" s="563"/>
      <c r="L613" s="563"/>
      <c r="M613" s="563"/>
      <c r="N613" s="563"/>
      <c r="O613" s="563"/>
      <c r="P613" s="563"/>
      <c r="Q613" s="563"/>
      <c r="R613" s="563"/>
      <c r="S613" s="563"/>
      <c r="T613" s="563"/>
      <c r="U613" s="563"/>
      <c r="V613" s="563"/>
      <c r="W613" s="563"/>
      <c r="X613" s="565"/>
      <c r="Y613" s="612"/>
      <c r="Z613" s="612"/>
      <c r="AA613" s="563"/>
      <c r="AB613" s="612"/>
      <c r="AC613" s="569"/>
      <c r="AD613" s="563"/>
      <c r="AE613" s="563"/>
      <c r="AF613" s="563"/>
      <c r="AG613" s="563"/>
      <c r="AH613" s="563"/>
      <c r="AI613" s="563"/>
      <c r="AJ613" s="680"/>
      <c r="AK613" s="563"/>
      <c r="AL613" s="563"/>
      <c r="AM613" s="563"/>
      <c r="AN613" s="563"/>
      <c r="AO613" s="563"/>
      <c r="AP613" s="46"/>
      <c r="AQ613" s="46"/>
      <c r="AR613" s="46"/>
      <c r="AS613" s="46"/>
      <c r="AT613" s="46"/>
      <c r="AU613" s="46"/>
      <c r="AV613" s="46"/>
      <c r="AW613" s="46"/>
      <c r="AX613" s="46"/>
      <c r="AY613" s="46"/>
      <c r="AZ613" s="563"/>
      <c r="BA613" s="569"/>
      <c r="BB613" s="563"/>
      <c r="BC613" s="569"/>
      <c r="BD613" s="563"/>
      <c r="BE613" s="46"/>
      <c r="BF613" s="46"/>
      <c r="BG613" s="563"/>
      <c r="BH613" s="563"/>
      <c r="BI613" s="563"/>
      <c r="BJ613" s="563"/>
    </row>
    <row r="614" spans="2:62" x14ac:dyDescent="0.25">
      <c r="B614" s="569"/>
      <c r="C614" s="672"/>
      <c r="D614" s="563"/>
      <c r="E614" s="563"/>
      <c r="F614" s="569"/>
      <c r="G614" s="563"/>
      <c r="H614" s="563"/>
      <c r="I614" s="600"/>
      <c r="J614" s="569"/>
      <c r="K614" s="563"/>
      <c r="L614" s="563"/>
      <c r="M614" s="563"/>
      <c r="N614" s="563"/>
      <c r="O614" s="563"/>
      <c r="P614" s="563"/>
      <c r="Q614" s="563"/>
      <c r="R614" s="563"/>
      <c r="S614" s="563"/>
      <c r="T614" s="563"/>
      <c r="U614" s="563"/>
      <c r="V614" s="563"/>
      <c r="W614" s="563"/>
      <c r="X614" s="565"/>
      <c r="Y614" s="612"/>
      <c r="Z614" s="612"/>
      <c r="AA614" s="563"/>
      <c r="AB614" s="612"/>
      <c r="AC614" s="569"/>
      <c r="AD614" s="563"/>
      <c r="AE614" s="563"/>
      <c r="AF614" s="563"/>
      <c r="AG614" s="563"/>
      <c r="AH614" s="563"/>
      <c r="AI614" s="563"/>
      <c r="AJ614" s="680"/>
      <c r="AK614" s="563"/>
      <c r="AL614" s="563"/>
      <c r="AM614" s="563"/>
      <c r="AN614" s="563"/>
      <c r="AO614" s="563"/>
      <c r="AP614" s="46"/>
      <c r="AQ614" s="46"/>
      <c r="AR614" s="46"/>
      <c r="AS614" s="46"/>
      <c r="AT614" s="46"/>
      <c r="AU614" s="46"/>
      <c r="AV614" s="46"/>
      <c r="AW614" s="46"/>
      <c r="AX614" s="46"/>
      <c r="AY614" s="46"/>
      <c r="AZ614" s="563"/>
      <c r="BA614" s="569"/>
      <c r="BB614" s="563"/>
      <c r="BC614" s="569"/>
      <c r="BD614" s="563"/>
      <c r="BE614" s="46"/>
      <c r="BF614" s="46"/>
      <c r="BG614" s="563"/>
      <c r="BH614" s="563"/>
      <c r="BI614" s="563"/>
      <c r="BJ614" s="563"/>
    </row>
    <row r="615" spans="2:62" x14ac:dyDescent="0.25">
      <c r="B615" s="569"/>
      <c r="C615" s="672"/>
      <c r="D615" s="563"/>
      <c r="E615" s="563"/>
      <c r="F615" s="569"/>
      <c r="G615" s="563"/>
      <c r="H615" s="563"/>
      <c r="I615" s="600"/>
      <c r="J615" s="569"/>
      <c r="K615" s="563"/>
      <c r="L615" s="563"/>
      <c r="M615" s="563"/>
      <c r="N615" s="563"/>
      <c r="O615" s="563"/>
      <c r="P615" s="563"/>
      <c r="Q615" s="563"/>
      <c r="R615" s="563"/>
      <c r="S615" s="563"/>
      <c r="T615" s="563"/>
      <c r="U615" s="563"/>
      <c r="V615" s="563"/>
      <c r="W615" s="563"/>
      <c r="X615" s="565"/>
      <c r="Y615" s="612"/>
      <c r="Z615" s="612"/>
      <c r="AA615" s="563"/>
      <c r="AB615" s="612"/>
      <c r="AC615" s="569"/>
      <c r="AD615" s="563"/>
      <c r="AE615" s="563"/>
      <c r="AF615" s="563"/>
      <c r="AG615" s="563"/>
      <c r="AH615" s="563"/>
      <c r="AI615" s="563"/>
      <c r="AJ615" s="680"/>
      <c r="AK615" s="563"/>
      <c r="AL615" s="563"/>
      <c r="AM615" s="563"/>
      <c r="AN615" s="563"/>
      <c r="AO615" s="563"/>
      <c r="AP615" s="46"/>
      <c r="AQ615" s="46"/>
      <c r="AR615" s="46"/>
      <c r="AS615" s="46"/>
      <c r="AT615" s="46"/>
      <c r="AU615" s="46"/>
      <c r="AV615" s="46"/>
      <c r="AW615" s="46"/>
      <c r="AX615" s="46"/>
      <c r="AY615" s="46"/>
      <c r="AZ615" s="563"/>
      <c r="BA615" s="569"/>
      <c r="BB615" s="563"/>
      <c r="BC615" s="569"/>
      <c r="BD615" s="563"/>
      <c r="BE615" s="46"/>
      <c r="BF615" s="46"/>
      <c r="BG615" s="563"/>
      <c r="BH615" s="563"/>
      <c r="BI615" s="563"/>
      <c r="BJ615" s="563"/>
    </row>
    <row r="616" spans="2:62" x14ac:dyDescent="0.25">
      <c r="B616" s="569"/>
      <c r="C616" s="672"/>
      <c r="D616" s="563"/>
      <c r="E616" s="563"/>
      <c r="F616" s="569"/>
      <c r="G616" s="563"/>
      <c r="H616" s="563"/>
      <c r="I616" s="600"/>
      <c r="J616" s="569"/>
      <c r="K616" s="563"/>
      <c r="L616" s="563"/>
      <c r="M616" s="563"/>
      <c r="N616" s="563"/>
      <c r="O616" s="563"/>
      <c r="P616" s="563"/>
      <c r="Q616" s="563"/>
      <c r="R616" s="563"/>
      <c r="S616" s="563"/>
      <c r="T616" s="563"/>
      <c r="U616" s="563"/>
      <c r="V616" s="563"/>
      <c r="W616" s="563"/>
      <c r="X616" s="565"/>
      <c r="Y616" s="612"/>
      <c r="Z616" s="612"/>
      <c r="AA616" s="563"/>
      <c r="AB616" s="612"/>
      <c r="AC616" s="569"/>
      <c r="AD616" s="563"/>
      <c r="AE616" s="563"/>
      <c r="AF616" s="563"/>
      <c r="AG616" s="563"/>
      <c r="AH616" s="563"/>
      <c r="AI616" s="563"/>
      <c r="AJ616" s="680"/>
      <c r="AK616" s="563"/>
      <c r="AL616" s="563"/>
      <c r="AM616" s="563"/>
      <c r="AN616" s="563"/>
      <c r="AO616" s="563"/>
      <c r="AP616" s="46"/>
      <c r="AQ616" s="46"/>
      <c r="AR616" s="46"/>
      <c r="AS616" s="46"/>
      <c r="AT616" s="46"/>
      <c r="AU616" s="46"/>
      <c r="AV616" s="46"/>
      <c r="AW616" s="46"/>
      <c r="AX616" s="46"/>
      <c r="AY616" s="46"/>
      <c r="AZ616" s="563"/>
      <c r="BA616" s="569"/>
      <c r="BB616" s="563"/>
      <c r="BC616" s="569"/>
      <c r="BD616" s="563"/>
      <c r="BE616" s="46"/>
      <c r="BF616" s="46"/>
      <c r="BG616" s="563"/>
      <c r="BH616" s="563"/>
      <c r="BI616" s="563"/>
      <c r="BJ616" s="563"/>
    </row>
    <row r="617" spans="2:62" x14ac:dyDescent="0.25">
      <c r="B617" s="569"/>
      <c r="C617" s="672"/>
      <c r="D617" s="563"/>
      <c r="E617" s="563"/>
      <c r="F617" s="569"/>
      <c r="G617" s="563"/>
      <c r="H617" s="563"/>
      <c r="I617" s="600"/>
      <c r="J617" s="569"/>
      <c r="K617" s="563"/>
      <c r="L617" s="563"/>
      <c r="M617" s="563"/>
      <c r="N617" s="563"/>
      <c r="O617" s="563"/>
      <c r="P617" s="563"/>
      <c r="Q617" s="563"/>
      <c r="R617" s="563"/>
      <c r="S617" s="563"/>
      <c r="T617" s="563"/>
      <c r="U617" s="563"/>
      <c r="V617" s="563"/>
      <c r="W617" s="563"/>
      <c r="X617" s="565"/>
      <c r="Y617" s="612"/>
      <c r="Z617" s="612"/>
      <c r="AA617" s="563"/>
      <c r="AB617" s="612"/>
      <c r="AC617" s="569"/>
      <c r="AD617" s="563"/>
      <c r="AE617" s="563"/>
      <c r="AF617" s="563"/>
      <c r="AG617" s="563"/>
      <c r="AH617" s="563"/>
      <c r="AI617" s="563"/>
      <c r="AJ617" s="680"/>
      <c r="AK617" s="563"/>
      <c r="AL617" s="563"/>
      <c r="AM617" s="563"/>
      <c r="AN617" s="563"/>
      <c r="AO617" s="563"/>
      <c r="AP617" s="46"/>
      <c r="AQ617" s="46"/>
      <c r="AR617" s="46"/>
      <c r="AS617" s="46"/>
      <c r="AT617" s="46"/>
      <c r="AU617" s="46"/>
      <c r="AV617" s="46"/>
      <c r="AW617" s="46"/>
      <c r="AX617" s="46"/>
      <c r="AY617" s="46"/>
      <c r="AZ617" s="563"/>
      <c r="BA617" s="569"/>
      <c r="BB617" s="563"/>
      <c r="BC617" s="569"/>
      <c r="BD617" s="563"/>
      <c r="BE617" s="46"/>
      <c r="BF617" s="46"/>
      <c r="BG617" s="563"/>
      <c r="BH617" s="563"/>
      <c r="BI617" s="563"/>
      <c r="BJ617" s="563"/>
    </row>
    <row r="618" spans="2:62" x14ac:dyDescent="0.25">
      <c r="B618" s="569"/>
      <c r="C618" s="672"/>
      <c r="D618" s="563"/>
      <c r="E618" s="563"/>
      <c r="F618" s="569"/>
      <c r="G618" s="563"/>
      <c r="H618" s="563"/>
      <c r="I618" s="600"/>
      <c r="J618" s="569"/>
      <c r="K618" s="563"/>
      <c r="L618" s="563"/>
      <c r="M618" s="563"/>
      <c r="N618" s="563"/>
      <c r="O618" s="563"/>
      <c r="P618" s="563"/>
      <c r="Q618" s="563"/>
      <c r="R618" s="563"/>
      <c r="S618" s="563"/>
      <c r="T618" s="563"/>
      <c r="U618" s="563"/>
      <c r="V618" s="563"/>
      <c r="W618" s="563"/>
      <c r="X618" s="565"/>
      <c r="Y618" s="612"/>
      <c r="Z618" s="612"/>
      <c r="AA618" s="563"/>
      <c r="AB618" s="612"/>
      <c r="AC618" s="569"/>
      <c r="AD618" s="563"/>
      <c r="AE618" s="563"/>
      <c r="AF618" s="563"/>
      <c r="AG618" s="563"/>
      <c r="AH618" s="563"/>
      <c r="AI618" s="563"/>
      <c r="AJ618" s="680"/>
      <c r="AK618" s="563"/>
      <c r="AL618" s="563"/>
      <c r="AM618" s="563"/>
      <c r="AN618" s="563"/>
      <c r="AO618" s="563"/>
      <c r="AP618" s="46"/>
      <c r="AQ618" s="46"/>
      <c r="AR618" s="46"/>
      <c r="AS618" s="46"/>
      <c r="AT618" s="46"/>
      <c r="AU618" s="46"/>
      <c r="AV618" s="46"/>
      <c r="AW618" s="46"/>
      <c r="AX618" s="46"/>
      <c r="AY618" s="46"/>
      <c r="AZ618" s="563"/>
      <c r="BA618" s="569"/>
      <c r="BB618" s="563"/>
      <c r="BC618" s="569"/>
      <c r="BD618" s="563"/>
      <c r="BE618" s="46"/>
      <c r="BF618" s="46"/>
      <c r="BG618" s="563"/>
      <c r="BH618" s="563"/>
      <c r="BI618" s="563"/>
      <c r="BJ618" s="563"/>
    </row>
    <row r="619" spans="2:62" x14ac:dyDescent="0.25">
      <c r="B619" s="569"/>
      <c r="C619" s="672"/>
      <c r="D619" s="563"/>
      <c r="E619" s="563"/>
      <c r="F619" s="569"/>
      <c r="G619" s="563"/>
      <c r="H619" s="563"/>
      <c r="I619" s="600"/>
      <c r="J619" s="569"/>
      <c r="K619" s="563"/>
      <c r="L619" s="563"/>
      <c r="M619" s="563"/>
      <c r="N619" s="563"/>
      <c r="O619" s="563"/>
      <c r="P619" s="563"/>
      <c r="Q619" s="563"/>
      <c r="R619" s="563"/>
      <c r="S619" s="563"/>
      <c r="T619" s="563"/>
      <c r="U619" s="563"/>
      <c r="V619" s="563"/>
      <c r="W619" s="563"/>
      <c r="X619" s="565"/>
      <c r="Y619" s="612"/>
      <c r="Z619" s="612"/>
      <c r="AA619" s="563"/>
      <c r="AB619" s="612"/>
      <c r="AC619" s="569"/>
      <c r="AD619" s="563"/>
      <c r="AE619" s="563"/>
      <c r="AF619" s="563"/>
      <c r="AG619" s="563"/>
      <c r="AH619" s="563"/>
      <c r="AI619" s="563"/>
      <c r="AJ619" s="680"/>
      <c r="AK619" s="563"/>
      <c r="AL619" s="563"/>
      <c r="AM619" s="563"/>
      <c r="AN619" s="563"/>
      <c r="AO619" s="563"/>
      <c r="AP619" s="46"/>
      <c r="AQ619" s="46"/>
      <c r="AR619" s="46"/>
      <c r="AS619" s="46"/>
      <c r="AT619" s="46"/>
      <c r="AU619" s="46"/>
      <c r="AV619" s="46"/>
      <c r="AW619" s="46"/>
      <c r="AX619" s="46"/>
      <c r="AY619" s="46"/>
      <c r="AZ619" s="563"/>
      <c r="BA619" s="569"/>
      <c r="BB619" s="563"/>
      <c r="BC619" s="569"/>
      <c r="BD619" s="563"/>
      <c r="BE619" s="46"/>
      <c r="BF619" s="46"/>
      <c r="BG619" s="563"/>
      <c r="BH619" s="563"/>
      <c r="BI619" s="563"/>
      <c r="BJ619" s="563"/>
    </row>
    <row r="620" spans="2:62" x14ac:dyDescent="0.25">
      <c r="B620" s="569"/>
      <c r="C620" s="672"/>
      <c r="D620" s="563"/>
      <c r="E620" s="563"/>
      <c r="F620" s="569"/>
      <c r="G620" s="563"/>
      <c r="H620" s="563"/>
      <c r="I620" s="600"/>
      <c r="J620" s="569"/>
      <c r="K620" s="563"/>
      <c r="L620" s="563"/>
      <c r="M620" s="563"/>
      <c r="N620" s="563"/>
      <c r="O620" s="563"/>
      <c r="P620" s="563"/>
      <c r="Q620" s="563"/>
      <c r="R620" s="563"/>
      <c r="S620" s="563"/>
      <c r="T620" s="563"/>
      <c r="U620" s="563"/>
      <c r="V620" s="563"/>
      <c r="W620" s="563"/>
      <c r="X620" s="565"/>
      <c r="Y620" s="612"/>
      <c r="Z620" s="612"/>
      <c r="AA620" s="563"/>
      <c r="AB620" s="612"/>
      <c r="AC620" s="569"/>
      <c r="AD620" s="563"/>
      <c r="AE620" s="563"/>
      <c r="AF620" s="563"/>
      <c r="AG620" s="563"/>
      <c r="AH620" s="563"/>
      <c r="AI620" s="563"/>
      <c r="AJ620" s="680"/>
      <c r="AK620" s="563"/>
      <c r="AL620" s="563"/>
      <c r="AM620" s="563"/>
      <c r="AN620" s="563"/>
      <c r="AO620" s="563"/>
      <c r="AP620" s="46"/>
      <c r="AQ620" s="46"/>
      <c r="AR620" s="46"/>
      <c r="AS620" s="46"/>
      <c r="AT620" s="46"/>
      <c r="AU620" s="46"/>
      <c r="AV620" s="46"/>
      <c r="AW620" s="46"/>
      <c r="AX620" s="46"/>
      <c r="AY620" s="46"/>
      <c r="AZ620" s="563"/>
      <c r="BA620" s="569"/>
      <c r="BB620" s="563"/>
      <c r="BC620" s="569"/>
      <c r="BD620" s="563"/>
      <c r="BE620" s="46"/>
      <c r="BF620" s="46"/>
      <c r="BG620" s="563"/>
      <c r="BH620" s="563"/>
      <c r="BI620" s="563"/>
      <c r="BJ620" s="563"/>
    </row>
    <row r="621" spans="2:62" x14ac:dyDescent="0.25">
      <c r="B621" s="569"/>
      <c r="C621" s="672"/>
      <c r="D621" s="563"/>
      <c r="E621" s="563"/>
      <c r="F621" s="569"/>
      <c r="G621" s="563"/>
      <c r="H621" s="563"/>
      <c r="I621" s="600"/>
      <c r="J621" s="569"/>
      <c r="K621" s="563"/>
      <c r="L621" s="563"/>
      <c r="M621" s="563"/>
      <c r="N621" s="563"/>
      <c r="O621" s="563"/>
      <c r="P621" s="563"/>
      <c r="Q621" s="563"/>
      <c r="R621" s="563"/>
      <c r="S621" s="563"/>
      <c r="T621" s="563"/>
      <c r="U621" s="563"/>
      <c r="V621" s="563"/>
      <c r="W621" s="563"/>
      <c r="X621" s="565"/>
      <c r="Y621" s="612"/>
      <c r="Z621" s="612"/>
      <c r="AA621" s="563"/>
      <c r="AB621" s="612"/>
      <c r="AC621" s="569"/>
      <c r="AD621" s="563"/>
      <c r="AE621" s="563"/>
      <c r="AF621" s="563"/>
      <c r="AG621" s="563"/>
      <c r="AH621" s="563"/>
      <c r="AI621" s="563"/>
      <c r="AJ621" s="680"/>
      <c r="AK621" s="563"/>
      <c r="AL621" s="563"/>
      <c r="AM621" s="563"/>
      <c r="AN621" s="563"/>
      <c r="AO621" s="563"/>
      <c r="AP621" s="46"/>
      <c r="AQ621" s="46"/>
      <c r="AR621" s="46"/>
      <c r="AS621" s="46"/>
      <c r="AT621" s="46"/>
      <c r="AU621" s="46"/>
      <c r="AV621" s="46"/>
      <c r="AW621" s="46"/>
      <c r="AX621" s="46"/>
      <c r="AY621" s="46"/>
      <c r="AZ621" s="563"/>
      <c r="BA621" s="569"/>
      <c r="BB621" s="563"/>
      <c r="BC621" s="569"/>
      <c r="BD621" s="563"/>
      <c r="BE621" s="46"/>
      <c r="BF621" s="46"/>
      <c r="BG621" s="563"/>
      <c r="BH621" s="563"/>
      <c r="BI621" s="563"/>
      <c r="BJ621" s="563"/>
    </row>
    <row r="622" spans="2:62" x14ac:dyDescent="0.25">
      <c r="B622" s="569"/>
      <c r="C622" s="672"/>
      <c r="D622" s="563"/>
      <c r="E622" s="563"/>
      <c r="F622" s="569"/>
      <c r="G622" s="563"/>
      <c r="H622" s="563"/>
      <c r="I622" s="600"/>
      <c r="J622" s="569"/>
      <c r="K622" s="563"/>
      <c r="L622" s="563"/>
      <c r="M622" s="563"/>
      <c r="N622" s="563"/>
      <c r="O622" s="563"/>
      <c r="P622" s="563"/>
      <c r="Q622" s="563"/>
      <c r="R622" s="563"/>
      <c r="S622" s="563"/>
      <c r="T622" s="563"/>
      <c r="U622" s="563"/>
      <c r="V622" s="563"/>
      <c r="W622" s="563"/>
      <c r="X622" s="565"/>
      <c r="Y622" s="612"/>
      <c r="Z622" s="612"/>
      <c r="AA622" s="563"/>
      <c r="AB622" s="612"/>
      <c r="AC622" s="569"/>
      <c r="AD622" s="563"/>
      <c r="AE622" s="563"/>
      <c r="AF622" s="563"/>
      <c r="AG622" s="563"/>
      <c r="AH622" s="563"/>
      <c r="AI622" s="563"/>
      <c r="AJ622" s="680"/>
      <c r="AK622" s="563"/>
      <c r="AL622" s="563"/>
      <c r="AM622" s="563"/>
      <c r="AN622" s="563"/>
      <c r="AO622" s="563"/>
      <c r="AP622" s="46"/>
      <c r="AQ622" s="46"/>
      <c r="AR622" s="46"/>
      <c r="AS622" s="46"/>
      <c r="AT622" s="46"/>
      <c r="AU622" s="46"/>
      <c r="AV622" s="46"/>
      <c r="AW622" s="46"/>
      <c r="AX622" s="46"/>
      <c r="AY622" s="46"/>
      <c r="AZ622" s="563"/>
      <c r="BA622" s="569"/>
      <c r="BB622" s="563"/>
      <c r="BC622" s="569"/>
      <c r="BD622" s="563"/>
      <c r="BE622" s="46"/>
      <c r="BF622" s="46"/>
      <c r="BG622" s="563"/>
      <c r="BH622" s="563"/>
      <c r="BI622" s="563"/>
      <c r="BJ622" s="563"/>
    </row>
    <row r="623" spans="2:62" x14ac:dyDescent="0.25">
      <c r="B623" s="569"/>
      <c r="C623" s="672"/>
      <c r="D623" s="563"/>
      <c r="E623" s="563"/>
      <c r="F623" s="569"/>
      <c r="G623" s="563"/>
      <c r="H623" s="563"/>
      <c r="I623" s="600"/>
      <c r="J623" s="569"/>
      <c r="K623" s="563"/>
      <c r="L623" s="563"/>
      <c r="M623" s="563"/>
      <c r="N623" s="563"/>
      <c r="O623" s="563"/>
      <c r="P623" s="563"/>
      <c r="Q623" s="563"/>
      <c r="R623" s="563"/>
      <c r="S623" s="563"/>
      <c r="T623" s="563"/>
      <c r="U623" s="563"/>
      <c r="V623" s="563"/>
      <c r="W623" s="563"/>
      <c r="X623" s="565"/>
      <c r="Y623" s="612"/>
      <c r="Z623" s="612"/>
      <c r="AA623" s="563"/>
      <c r="AB623" s="612"/>
      <c r="AC623" s="569"/>
      <c r="AD623" s="563"/>
      <c r="AE623" s="563"/>
      <c r="AF623" s="563"/>
      <c r="AG623" s="563"/>
      <c r="AH623" s="563"/>
      <c r="AI623" s="563"/>
      <c r="AJ623" s="680"/>
      <c r="AK623" s="563"/>
      <c r="AL623" s="563"/>
      <c r="AM623" s="563"/>
      <c r="AN623" s="563"/>
      <c r="AO623" s="563"/>
      <c r="AP623" s="46"/>
      <c r="AQ623" s="46"/>
      <c r="AR623" s="46"/>
      <c r="AS623" s="46"/>
      <c r="AT623" s="46"/>
      <c r="AU623" s="46"/>
      <c r="AV623" s="46"/>
      <c r="AW623" s="46"/>
      <c r="AX623" s="46"/>
      <c r="AY623" s="46"/>
      <c r="AZ623" s="563"/>
      <c r="BA623" s="569"/>
      <c r="BB623" s="563"/>
      <c r="BC623" s="569"/>
      <c r="BD623" s="563"/>
      <c r="BE623" s="46"/>
      <c r="BF623" s="46"/>
      <c r="BG623" s="563"/>
      <c r="BH623" s="563"/>
      <c r="BI623" s="563"/>
      <c r="BJ623" s="563"/>
    </row>
    <row r="624" spans="2:62" x14ac:dyDescent="0.25">
      <c r="B624" s="569"/>
      <c r="C624" s="672"/>
      <c r="D624" s="563"/>
      <c r="E624" s="563"/>
      <c r="F624" s="569"/>
      <c r="G624" s="563"/>
      <c r="H624" s="563"/>
      <c r="I624" s="600"/>
      <c r="J624" s="569"/>
      <c r="K624" s="563"/>
      <c r="L624" s="563"/>
      <c r="M624" s="563"/>
      <c r="N624" s="563"/>
      <c r="O624" s="563"/>
      <c r="P624" s="563"/>
      <c r="Q624" s="563"/>
      <c r="R624" s="563"/>
      <c r="S624" s="563"/>
      <c r="T624" s="563"/>
      <c r="U624" s="563"/>
      <c r="V624" s="563"/>
      <c r="W624" s="563"/>
      <c r="X624" s="565"/>
      <c r="Y624" s="612"/>
      <c r="Z624" s="612"/>
      <c r="AA624" s="563"/>
      <c r="AB624" s="612"/>
      <c r="AC624" s="569"/>
      <c r="AD624" s="563"/>
      <c r="AE624" s="563"/>
      <c r="AF624" s="563"/>
      <c r="AG624" s="563"/>
      <c r="AH624" s="563"/>
      <c r="AI624" s="563"/>
      <c r="AJ624" s="680"/>
      <c r="AK624" s="563"/>
      <c r="AL624" s="563"/>
      <c r="AM624" s="563"/>
      <c r="AN624" s="563"/>
      <c r="AO624" s="563"/>
      <c r="AP624" s="46"/>
      <c r="AQ624" s="46"/>
      <c r="AR624" s="46"/>
      <c r="AS624" s="46"/>
      <c r="AT624" s="46"/>
      <c r="AU624" s="46"/>
      <c r="AV624" s="46"/>
      <c r="AW624" s="46"/>
      <c r="AX624" s="46"/>
      <c r="AY624" s="46"/>
      <c r="AZ624" s="563"/>
      <c r="BA624" s="569"/>
      <c r="BB624" s="563"/>
      <c r="BC624" s="569"/>
      <c r="BD624" s="563"/>
      <c r="BE624" s="46"/>
      <c r="BF624" s="46"/>
      <c r="BG624" s="563"/>
      <c r="BH624" s="563"/>
      <c r="BI624" s="563"/>
      <c r="BJ624" s="563"/>
    </row>
    <row r="625" spans="2:62" x14ac:dyDescent="0.25">
      <c r="B625" s="569"/>
      <c r="C625" s="672"/>
      <c r="D625" s="563"/>
      <c r="E625" s="563"/>
      <c r="F625" s="569"/>
      <c r="G625" s="563"/>
      <c r="H625" s="563"/>
      <c r="I625" s="600"/>
      <c r="J625" s="569"/>
      <c r="K625" s="563"/>
      <c r="L625" s="563"/>
      <c r="M625" s="563"/>
      <c r="N625" s="563"/>
      <c r="O625" s="563"/>
      <c r="P625" s="563"/>
      <c r="Q625" s="563"/>
      <c r="R625" s="563"/>
      <c r="S625" s="563"/>
      <c r="T625" s="563"/>
      <c r="U625" s="563"/>
      <c r="V625" s="563"/>
      <c r="W625" s="563"/>
      <c r="X625" s="565"/>
      <c r="Y625" s="612"/>
      <c r="Z625" s="612"/>
      <c r="AA625" s="563"/>
      <c r="AB625" s="612"/>
      <c r="AC625" s="569"/>
      <c r="AD625" s="563"/>
      <c r="AE625" s="563"/>
      <c r="AF625" s="563"/>
      <c r="AG625" s="563"/>
      <c r="AH625" s="563"/>
      <c r="AI625" s="563"/>
      <c r="AJ625" s="680"/>
      <c r="AK625" s="563"/>
      <c r="AL625" s="563"/>
      <c r="AM625" s="563"/>
      <c r="AN625" s="563"/>
      <c r="AO625" s="563"/>
      <c r="AP625" s="46"/>
      <c r="AQ625" s="46"/>
      <c r="AR625" s="46"/>
      <c r="AS625" s="46"/>
      <c r="AT625" s="46"/>
      <c r="AU625" s="46"/>
      <c r="AV625" s="46"/>
      <c r="AW625" s="46"/>
      <c r="AX625" s="46"/>
      <c r="AY625" s="46"/>
      <c r="AZ625" s="563"/>
      <c r="BA625" s="569"/>
      <c r="BB625" s="563"/>
      <c r="BC625" s="569"/>
      <c r="BD625" s="563"/>
      <c r="BE625" s="46"/>
      <c r="BF625" s="46"/>
      <c r="BG625" s="563"/>
      <c r="BH625" s="563"/>
      <c r="BI625" s="563"/>
      <c r="BJ625" s="563"/>
    </row>
    <row r="626" spans="2:62" x14ac:dyDescent="0.25">
      <c r="B626" s="569"/>
      <c r="C626" s="672"/>
      <c r="D626" s="563"/>
      <c r="E626" s="563"/>
      <c r="F626" s="569"/>
      <c r="G626" s="563"/>
      <c r="H626" s="563"/>
      <c r="I626" s="600"/>
      <c r="J626" s="569"/>
      <c r="K626" s="563"/>
      <c r="L626" s="563"/>
      <c r="M626" s="563"/>
      <c r="N626" s="563"/>
      <c r="O626" s="563"/>
      <c r="P626" s="563"/>
      <c r="Q626" s="563"/>
      <c r="R626" s="563"/>
      <c r="S626" s="563"/>
      <c r="T626" s="563"/>
      <c r="U626" s="563"/>
      <c r="V626" s="563"/>
      <c r="W626" s="563"/>
      <c r="X626" s="565"/>
      <c r="Y626" s="612"/>
      <c r="Z626" s="612"/>
      <c r="AA626" s="563"/>
      <c r="AB626" s="612"/>
      <c r="AC626" s="569"/>
      <c r="AD626" s="563"/>
      <c r="AE626" s="563"/>
      <c r="AF626" s="563"/>
      <c r="AG626" s="563"/>
      <c r="AH626" s="563"/>
      <c r="AI626" s="563"/>
      <c r="AJ626" s="680"/>
      <c r="AK626" s="563"/>
      <c r="AL626" s="563"/>
      <c r="AM626" s="563"/>
      <c r="AN626" s="563"/>
      <c r="AO626" s="563"/>
      <c r="AP626" s="46"/>
      <c r="AQ626" s="46"/>
      <c r="AR626" s="46"/>
      <c r="AS626" s="46"/>
      <c r="AT626" s="46"/>
      <c r="AU626" s="46"/>
      <c r="AV626" s="46"/>
      <c r="AW626" s="46"/>
      <c r="AX626" s="46"/>
      <c r="AY626" s="46"/>
      <c r="AZ626" s="563"/>
      <c r="BA626" s="569"/>
      <c r="BB626" s="563"/>
      <c r="BC626" s="569"/>
      <c r="BD626" s="563"/>
      <c r="BE626" s="46"/>
      <c r="BF626" s="46"/>
      <c r="BG626" s="563"/>
      <c r="BH626" s="563"/>
      <c r="BI626" s="563"/>
      <c r="BJ626" s="563"/>
    </row>
    <row r="627" spans="2:62" x14ac:dyDescent="0.25">
      <c r="B627" s="569"/>
      <c r="C627" s="672"/>
      <c r="D627" s="563"/>
      <c r="E627" s="563"/>
      <c r="F627" s="569"/>
      <c r="G627" s="563"/>
      <c r="H627" s="563"/>
      <c r="I627" s="600"/>
      <c r="J627" s="569"/>
      <c r="K627" s="563"/>
      <c r="L627" s="563"/>
      <c r="M627" s="563"/>
      <c r="N627" s="563"/>
      <c r="O627" s="563"/>
      <c r="P627" s="563"/>
      <c r="Q627" s="563"/>
      <c r="R627" s="563"/>
      <c r="S627" s="563"/>
      <c r="T627" s="563"/>
      <c r="U627" s="563"/>
      <c r="V627" s="563"/>
      <c r="W627" s="563"/>
      <c r="X627" s="565"/>
      <c r="Y627" s="612"/>
      <c r="Z627" s="612"/>
      <c r="AA627" s="563"/>
      <c r="AB627" s="612"/>
      <c r="AC627" s="569"/>
      <c r="AD627" s="563"/>
      <c r="AE627" s="563"/>
      <c r="AF627" s="563"/>
      <c r="AG627" s="563"/>
      <c r="AH627" s="563"/>
      <c r="AI627" s="563"/>
      <c r="AJ627" s="680"/>
      <c r="AK627" s="563"/>
      <c r="AL627" s="563"/>
      <c r="AM627" s="563"/>
      <c r="AN627" s="563"/>
      <c r="AO627" s="563"/>
      <c r="AP627" s="46"/>
      <c r="AQ627" s="46"/>
      <c r="AR627" s="46"/>
      <c r="AS627" s="46"/>
      <c r="AT627" s="46"/>
      <c r="AU627" s="46"/>
      <c r="AV627" s="46"/>
      <c r="AW627" s="46"/>
      <c r="AX627" s="46"/>
      <c r="AY627" s="46"/>
      <c r="AZ627" s="563"/>
      <c r="BA627" s="569"/>
      <c r="BB627" s="563"/>
      <c r="BC627" s="569"/>
      <c r="BD627" s="563"/>
      <c r="BE627" s="46"/>
      <c r="BF627" s="46"/>
      <c r="BG627" s="563"/>
      <c r="BH627" s="563"/>
      <c r="BI627" s="563"/>
      <c r="BJ627" s="563"/>
    </row>
    <row r="628" spans="2:62" x14ac:dyDescent="0.25">
      <c r="B628" s="569"/>
      <c r="C628" s="672"/>
      <c r="D628" s="563"/>
      <c r="E628" s="563"/>
      <c r="F628" s="569"/>
      <c r="G628" s="563"/>
      <c r="H628" s="563"/>
      <c r="I628" s="600"/>
      <c r="J628" s="569"/>
      <c r="K628" s="563"/>
      <c r="L628" s="563"/>
      <c r="M628" s="563"/>
      <c r="N628" s="563"/>
      <c r="O628" s="563"/>
      <c r="P628" s="563"/>
      <c r="Q628" s="563"/>
      <c r="R628" s="563"/>
      <c r="S628" s="563"/>
      <c r="T628" s="563"/>
      <c r="U628" s="563"/>
      <c r="V628" s="563"/>
      <c r="W628" s="563"/>
      <c r="X628" s="565"/>
      <c r="Y628" s="612"/>
      <c r="Z628" s="612"/>
      <c r="AA628" s="563"/>
      <c r="AB628" s="612"/>
      <c r="AC628" s="569"/>
      <c r="AD628" s="563"/>
      <c r="AE628" s="563"/>
      <c r="AF628" s="563"/>
      <c r="AG628" s="563"/>
      <c r="AH628" s="563"/>
      <c r="AI628" s="563"/>
      <c r="AJ628" s="680"/>
      <c r="AK628" s="563"/>
      <c r="AL628" s="563"/>
      <c r="AM628" s="563"/>
      <c r="AN628" s="563"/>
      <c r="AO628" s="563"/>
      <c r="AP628" s="46"/>
      <c r="AQ628" s="46"/>
      <c r="AR628" s="46"/>
      <c r="AS628" s="46"/>
      <c r="AT628" s="46"/>
      <c r="AU628" s="46"/>
      <c r="AV628" s="46"/>
      <c r="AW628" s="46"/>
      <c r="AX628" s="46"/>
      <c r="AY628" s="46"/>
      <c r="AZ628" s="563"/>
      <c r="BA628" s="569"/>
      <c r="BB628" s="563"/>
      <c r="BC628" s="569"/>
      <c r="BD628" s="563"/>
      <c r="BE628" s="46"/>
      <c r="BF628" s="46"/>
      <c r="BG628" s="563"/>
      <c r="BH628" s="563"/>
      <c r="BI628" s="563"/>
      <c r="BJ628" s="563"/>
    </row>
    <row r="629" spans="2:62" x14ac:dyDescent="0.25">
      <c r="B629" s="569"/>
      <c r="C629" s="672"/>
      <c r="D629" s="563"/>
      <c r="E629" s="563"/>
      <c r="F629" s="569"/>
      <c r="G629" s="563"/>
      <c r="H629" s="563"/>
      <c r="I629" s="600"/>
      <c r="J629" s="569"/>
      <c r="K629" s="563"/>
      <c r="L629" s="563"/>
      <c r="M629" s="563"/>
      <c r="N629" s="563"/>
      <c r="O629" s="563"/>
      <c r="P629" s="563"/>
      <c r="Q629" s="563"/>
      <c r="R629" s="563"/>
      <c r="S629" s="563"/>
      <c r="T629" s="563"/>
      <c r="U629" s="563"/>
      <c r="V629" s="563"/>
      <c r="W629" s="563"/>
      <c r="X629" s="565"/>
      <c r="Y629" s="612"/>
      <c r="Z629" s="612"/>
      <c r="AA629" s="563"/>
      <c r="AB629" s="612"/>
      <c r="AC629" s="569"/>
      <c r="AD629" s="563"/>
      <c r="AE629" s="563"/>
      <c r="AF629" s="563"/>
      <c r="AG629" s="563"/>
      <c r="AH629" s="563"/>
      <c r="AI629" s="563"/>
      <c r="AJ629" s="680"/>
      <c r="AK629" s="563"/>
      <c r="AL629" s="563"/>
      <c r="AM629" s="563"/>
      <c r="AN629" s="563"/>
      <c r="AO629" s="563"/>
      <c r="AP629" s="46"/>
      <c r="AQ629" s="46"/>
      <c r="AR629" s="46"/>
      <c r="AS629" s="46"/>
      <c r="AT629" s="46"/>
      <c r="AU629" s="46"/>
      <c r="AV629" s="46"/>
      <c r="AW629" s="46"/>
      <c r="AX629" s="46"/>
      <c r="AY629" s="46"/>
      <c r="AZ629" s="563"/>
      <c r="BA629" s="569"/>
      <c r="BB629" s="563"/>
      <c r="BC629" s="569"/>
      <c r="BD629" s="563"/>
      <c r="BE629" s="46"/>
      <c r="BF629" s="46"/>
      <c r="BG629" s="563"/>
      <c r="BH629" s="563"/>
      <c r="BI629" s="563"/>
      <c r="BJ629" s="563"/>
    </row>
    <row r="630" spans="2:62" x14ac:dyDescent="0.25">
      <c r="B630" s="569"/>
      <c r="C630" s="672"/>
      <c r="D630" s="563"/>
      <c r="E630" s="563"/>
      <c r="F630" s="569"/>
      <c r="G630" s="563"/>
      <c r="H630" s="563"/>
      <c r="I630" s="600"/>
      <c r="J630" s="569"/>
      <c r="K630" s="563"/>
      <c r="L630" s="563"/>
      <c r="M630" s="563"/>
      <c r="N630" s="563"/>
      <c r="O630" s="563"/>
      <c r="P630" s="563"/>
      <c r="Q630" s="563"/>
      <c r="R630" s="563"/>
      <c r="S630" s="563"/>
      <c r="T630" s="563"/>
      <c r="U630" s="563"/>
      <c r="V630" s="563"/>
      <c r="W630" s="563"/>
      <c r="X630" s="565"/>
      <c r="Y630" s="612"/>
      <c r="Z630" s="612"/>
      <c r="AA630" s="563"/>
      <c r="AB630" s="612"/>
      <c r="AC630" s="569"/>
      <c r="AD630" s="563"/>
      <c r="AE630" s="563"/>
      <c r="AF630" s="563"/>
      <c r="AG630" s="563"/>
      <c r="AH630" s="563"/>
      <c r="AI630" s="563"/>
      <c r="AJ630" s="680"/>
      <c r="AK630" s="563"/>
      <c r="AL630" s="563"/>
      <c r="AM630" s="563"/>
      <c r="AN630" s="563"/>
      <c r="AO630" s="563"/>
      <c r="AP630" s="46"/>
      <c r="AQ630" s="46"/>
      <c r="AR630" s="46"/>
      <c r="AS630" s="46"/>
      <c r="AT630" s="46"/>
      <c r="AU630" s="46"/>
      <c r="AV630" s="46"/>
      <c r="AW630" s="46"/>
      <c r="AX630" s="46"/>
      <c r="AY630" s="46"/>
      <c r="AZ630" s="563"/>
      <c r="BA630" s="569"/>
      <c r="BB630" s="563"/>
      <c r="BC630" s="569"/>
      <c r="BD630" s="563"/>
      <c r="BE630" s="46"/>
      <c r="BF630" s="46"/>
      <c r="BG630" s="563"/>
      <c r="BH630" s="563"/>
      <c r="BI630" s="563"/>
      <c r="BJ630" s="563"/>
    </row>
    <row r="631" spans="2:62" x14ac:dyDescent="0.25">
      <c r="B631" s="569"/>
      <c r="C631" s="672"/>
      <c r="D631" s="563"/>
      <c r="E631" s="563"/>
      <c r="F631" s="569"/>
      <c r="G631" s="563"/>
      <c r="H631" s="563"/>
      <c r="I631" s="600"/>
      <c r="J631" s="569"/>
      <c r="K631" s="563"/>
      <c r="L631" s="563"/>
      <c r="M631" s="563"/>
      <c r="N631" s="563"/>
      <c r="O631" s="563"/>
      <c r="P631" s="563"/>
      <c r="Q631" s="563"/>
      <c r="R631" s="563"/>
      <c r="S631" s="563"/>
      <c r="T631" s="563"/>
      <c r="U631" s="563"/>
      <c r="V631" s="563"/>
      <c r="W631" s="563"/>
      <c r="X631" s="565"/>
      <c r="Y631" s="612"/>
      <c r="Z631" s="612"/>
      <c r="AA631" s="563"/>
      <c r="AB631" s="612"/>
      <c r="AC631" s="569"/>
      <c r="AD631" s="563"/>
      <c r="AE631" s="563"/>
      <c r="AF631" s="563"/>
      <c r="AG631" s="563"/>
      <c r="AH631" s="563"/>
      <c r="AI631" s="563"/>
      <c r="AJ631" s="680"/>
      <c r="AK631" s="563"/>
      <c r="AL631" s="563"/>
      <c r="AM631" s="563"/>
      <c r="AN631" s="563"/>
      <c r="AO631" s="563"/>
      <c r="AP631" s="46"/>
      <c r="AQ631" s="46"/>
      <c r="AR631" s="46"/>
      <c r="AS631" s="46"/>
      <c r="AT631" s="46"/>
      <c r="AU631" s="46"/>
      <c r="AV631" s="46"/>
      <c r="AW631" s="46"/>
      <c r="AX631" s="46"/>
      <c r="AY631" s="46"/>
      <c r="AZ631" s="563"/>
      <c r="BA631" s="569"/>
      <c r="BB631" s="563"/>
      <c r="BC631" s="569"/>
      <c r="BD631" s="563"/>
      <c r="BE631" s="46"/>
      <c r="BF631" s="46"/>
      <c r="BG631" s="563"/>
      <c r="BH631" s="563"/>
      <c r="BI631" s="563"/>
      <c r="BJ631" s="563"/>
    </row>
    <row r="632" spans="2:62" x14ac:dyDescent="0.25">
      <c r="B632" s="569"/>
      <c r="C632" s="672"/>
      <c r="D632" s="563"/>
      <c r="E632" s="563"/>
      <c r="F632" s="569"/>
      <c r="G632" s="563"/>
      <c r="H632" s="563"/>
      <c r="I632" s="600"/>
      <c r="J632" s="569"/>
      <c r="K632" s="563"/>
      <c r="L632" s="563"/>
      <c r="M632" s="563"/>
      <c r="N632" s="563"/>
      <c r="O632" s="563"/>
      <c r="P632" s="563"/>
      <c r="Q632" s="563"/>
      <c r="R632" s="563"/>
      <c r="S632" s="563"/>
      <c r="T632" s="563"/>
      <c r="U632" s="563"/>
      <c r="V632" s="563"/>
      <c r="W632" s="563"/>
      <c r="X632" s="565"/>
      <c r="Y632" s="612"/>
      <c r="Z632" s="612"/>
      <c r="AA632" s="563"/>
      <c r="AB632" s="612"/>
      <c r="AC632" s="569"/>
      <c r="AD632" s="563"/>
      <c r="AE632" s="563"/>
      <c r="AF632" s="563"/>
      <c r="AG632" s="563"/>
      <c r="AH632" s="563"/>
      <c r="AI632" s="563"/>
      <c r="AJ632" s="680"/>
      <c r="AK632" s="563"/>
      <c r="AL632" s="563"/>
      <c r="AM632" s="563"/>
      <c r="AN632" s="563"/>
      <c r="AO632" s="563"/>
      <c r="AP632" s="46"/>
      <c r="AQ632" s="46"/>
      <c r="AR632" s="46"/>
      <c r="AS632" s="46"/>
      <c r="AT632" s="46"/>
      <c r="AU632" s="46"/>
      <c r="AV632" s="46"/>
      <c r="AW632" s="46"/>
      <c r="AX632" s="46"/>
      <c r="AY632" s="46"/>
      <c r="AZ632" s="563"/>
      <c r="BA632" s="569"/>
      <c r="BB632" s="563"/>
      <c r="BC632" s="569"/>
      <c r="BD632" s="563"/>
      <c r="BE632" s="46"/>
      <c r="BF632" s="46"/>
      <c r="BG632" s="563"/>
      <c r="BH632" s="563"/>
      <c r="BI632" s="563"/>
      <c r="BJ632" s="563"/>
    </row>
    <row r="633" spans="2:62" x14ac:dyDescent="0.25">
      <c r="B633" s="569"/>
      <c r="C633" s="672"/>
      <c r="D633" s="563"/>
      <c r="E633" s="563"/>
      <c r="F633" s="569"/>
      <c r="G633" s="563"/>
      <c r="H633" s="563"/>
      <c r="I633" s="600"/>
      <c r="J633" s="569"/>
      <c r="K633" s="563"/>
      <c r="L633" s="563"/>
      <c r="M633" s="563"/>
      <c r="N633" s="563"/>
      <c r="O633" s="563"/>
      <c r="P633" s="563"/>
      <c r="Q633" s="563"/>
      <c r="R633" s="563"/>
      <c r="S633" s="563"/>
      <c r="T633" s="563"/>
      <c r="U633" s="563"/>
      <c r="V633" s="563"/>
      <c r="W633" s="563"/>
      <c r="X633" s="565"/>
      <c r="Y633" s="612"/>
      <c r="Z633" s="612"/>
      <c r="AA633" s="563"/>
      <c r="AB633" s="612"/>
      <c r="AC633" s="569"/>
      <c r="AD633" s="563"/>
      <c r="AE633" s="563"/>
      <c r="AF633" s="563"/>
      <c r="AG633" s="563"/>
      <c r="AH633" s="563"/>
      <c r="AI633" s="563"/>
      <c r="AJ633" s="680"/>
      <c r="AK633" s="563"/>
      <c r="AL633" s="563"/>
      <c r="AM633" s="563"/>
      <c r="AN633" s="563"/>
      <c r="AO633" s="563"/>
      <c r="AP633" s="46"/>
      <c r="AQ633" s="46"/>
      <c r="AR633" s="46"/>
      <c r="AS633" s="46"/>
      <c r="AT633" s="46"/>
      <c r="AU633" s="46"/>
      <c r="AV633" s="46"/>
      <c r="AW633" s="46"/>
      <c r="AX633" s="46"/>
      <c r="AY633" s="46"/>
      <c r="AZ633" s="563"/>
      <c r="BA633" s="569"/>
      <c r="BB633" s="563"/>
      <c r="BC633" s="569"/>
      <c r="BD633" s="563"/>
      <c r="BE633" s="46"/>
      <c r="BF633" s="46"/>
      <c r="BG633" s="563"/>
      <c r="BH633" s="563"/>
      <c r="BI633" s="563"/>
      <c r="BJ633" s="563"/>
    </row>
    <row r="634" spans="2:62" x14ac:dyDescent="0.25">
      <c r="B634" s="569"/>
      <c r="C634" s="672"/>
      <c r="D634" s="563"/>
      <c r="E634" s="563"/>
      <c r="F634" s="569"/>
      <c r="G634" s="563"/>
      <c r="H634" s="563"/>
      <c r="I634" s="600"/>
      <c r="J634" s="569"/>
      <c r="K634" s="563"/>
      <c r="L634" s="563"/>
      <c r="M634" s="563"/>
      <c r="N634" s="563"/>
      <c r="O634" s="563"/>
      <c r="P634" s="563"/>
      <c r="Q634" s="563"/>
      <c r="R634" s="563"/>
      <c r="S634" s="563"/>
      <c r="T634" s="563"/>
      <c r="U634" s="563"/>
      <c r="V634" s="563"/>
      <c r="W634" s="563"/>
      <c r="X634" s="565"/>
      <c r="Y634" s="612"/>
      <c r="Z634" s="612"/>
      <c r="AA634" s="563"/>
      <c r="AB634" s="612"/>
      <c r="AC634" s="569"/>
      <c r="AD634" s="563"/>
      <c r="AE634" s="563"/>
      <c r="AF634" s="563"/>
      <c r="AG634" s="563"/>
      <c r="AH634" s="563"/>
      <c r="AI634" s="563"/>
      <c r="AJ634" s="680"/>
      <c r="AK634" s="563"/>
      <c r="AL634" s="563"/>
      <c r="AM634" s="563"/>
      <c r="AN634" s="563"/>
      <c r="AO634" s="563"/>
      <c r="AP634" s="46"/>
      <c r="AQ634" s="46"/>
      <c r="AR634" s="46"/>
      <c r="AS634" s="46"/>
      <c r="AT634" s="46"/>
      <c r="AU634" s="46"/>
      <c r="AV634" s="46"/>
      <c r="AW634" s="46"/>
      <c r="AX634" s="46"/>
      <c r="AY634" s="46"/>
      <c r="AZ634" s="563"/>
      <c r="BA634" s="569"/>
      <c r="BB634" s="563"/>
      <c r="BC634" s="569"/>
      <c r="BD634" s="563"/>
      <c r="BE634" s="46"/>
      <c r="BF634" s="46"/>
      <c r="BG634" s="563"/>
      <c r="BH634" s="563"/>
      <c r="BI634" s="563"/>
      <c r="BJ634" s="563"/>
    </row>
    <row r="635" spans="2:62" x14ac:dyDescent="0.25">
      <c r="B635" s="569"/>
      <c r="C635" s="672"/>
      <c r="D635" s="563"/>
      <c r="E635" s="563"/>
      <c r="F635" s="569"/>
      <c r="G635" s="563"/>
      <c r="H635" s="563"/>
      <c r="I635" s="600"/>
      <c r="J635" s="569"/>
      <c r="K635" s="563"/>
      <c r="L635" s="563"/>
      <c r="M635" s="563"/>
      <c r="N635" s="563"/>
      <c r="O635" s="563"/>
      <c r="P635" s="563"/>
      <c r="Q635" s="563"/>
      <c r="R635" s="563"/>
      <c r="S635" s="563"/>
      <c r="T635" s="563"/>
      <c r="U635" s="563"/>
      <c r="V635" s="563"/>
      <c r="W635" s="563"/>
      <c r="X635" s="565"/>
      <c r="Y635" s="612"/>
      <c r="Z635" s="612"/>
      <c r="AA635" s="563"/>
      <c r="AB635" s="612"/>
      <c r="AC635" s="569"/>
      <c r="AD635" s="563"/>
      <c r="AE635" s="563"/>
      <c r="AF635" s="563"/>
      <c r="AG635" s="563"/>
      <c r="AH635" s="563"/>
      <c r="AI635" s="563"/>
      <c r="AJ635" s="680"/>
      <c r="AK635" s="563"/>
      <c r="AL635" s="563"/>
      <c r="AM635" s="563"/>
      <c r="AN635" s="563"/>
      <c r="AO635" s="563"/>
      <c r="AP635" s="46"/>
      <c r="AQ635" s="46"/>
      <c r="AR635" s="46"/>
      <c r="AS635" s="46"/>
      <c r="AT635" s="46"/>
      <c r="AU635" s="46"/>
      <c r="AV635" s="46"/>
      <c r="AW635" s="46"/>
      <c r="AX635" s="46"/>
      <c r="AY635" s="46"/>
      <c r="AZ635" s="563"/>
      <c r="BA635" s="569"/>
      <c r="BB635" s="563"/>
      <c r="BC635" s="569"/>
      <c r="BD635" s="563"/>
      <c r="BE635" s="46"/>
      <c r="BF635" s="46"/>
      <c r="BG635" s="563"/>
      <c r="BH635" s="563"/>
      <c r="BI635" s="563"/>
      <c r="BJ635" s="563"/>
    </row>
    <row r="636" spans="2:62" x14ac:dyDescent="0.25">
      <c r="B636" s="569"/>
      <c r="C636" s="672"/>
      <c r="D636" s="563"/>
      <c r="E636" s="563"/>
      <c r="F636" s="569"/>
      <c r="G636" s="563"/>
      <c r="H636" s="563"/>
      <c r="I636" s="600"/>
      <c r="J636" s="569"/>
      <c r="K636" s="563"/>
      <c r="L636" s="563"/>
      <c r="M636" s="563"/>
      <c r="N636" s="563"/>
      <c r="O636" s="563"/>
      <c r="P636" s="563"/>
      <c r="Q636" s="563"/>
      <c r="R636" s="563"/>
      <c r="S636" s="563"/>
      <c r="T636" s="563"/>
      <c r="U636" s="563"/>
      <c r="V636" s="563"/>
      <c r="W636" s="563"/>
      <c r="X636" s="565"/>
      <c r="Y636" s="612"/>
      <c r="Z636" s="612"/>
      <c r="AA636" s="563"/>
      <c r="AB636" s="612"/>
      <c r="AC636" s="569"/>
      <c r="AD636" s="563"/>
      <c r="AE636" s="563"/>
      <c r="AF636" s="563"/>
      <c r="AG636" s="563"/>
      <c r="AH636" s="563"/>
      <c r="AI636" s="563"/>
      <c r="AJ636" s="680"/>
      <c r="AK636" s="563"/>
      <c r="AL636" s="563"/>
      <c r="AM636" s="563"/>
      <c r="AN636" s="563"/>
      <c r="AO636" s="563"/>
      <c r="AP636" s="46"/>
      <c r="AQ636" s="46"/>
      <c r="AR636" s="46"/>
      <c r="AS636" s="46"/>
      <c r="AT636" s="46"/>
      <c r="AU636" s="46"/>
      <c r="AV636" s="46"/>
      <c r="AW636" s="46"/>
      <c r="AX636" s="46"/>
      <c r="AY636" s="46"/>
      <c r="AZ636" s="563"/>
      <c r="BA636" s="569"/>
      <c r="BB636" s="563"/>
      <c r="BC636" s="569"/>
      <c r="BD636" s="563"/>
      <c r="BE636" s="46"/>
      <c r="BF636" s="46"/>
      <c r="BG636" s="563"/>
      <c r="BH636" s="563"/>
      <c r="BI636" s="563"/>
      <c r="BJ636" s="563"/>
    </row>
    <row r="637" spans="2:62" x14ac:dyDescent="0.25">
      <c r="B637" s="569"/>
      <c r="C637" s="672"/>
      <c r="D637" s="563"/>
      <c r="E637" s="563"/>
      <c r="F637" s="569"/>
      <c r="G637" s="563"/>
      <c r="H637" s="563"/>
      <c r="I637" s="600"/>
      <c r="J637" s="569"/>
      <c r="K637" s="563"/>
      <c r="L637" s="563"/>
      <c r="M637" s="563"/>
      <c r="N637" s="563"/>
      <c r="O637" s="563"/>
      <c r="P637" s="563"/>
      <c r="Q637" s="563"/>
      <c r="R637" s="563"/>
      <c r="S637" s="563"/>
      <c r="T637" s="563"/>
      <c r="U637" s="563"/>
      <c r="V637" s="563"/>
      <c r="W637" s="563"/>
      <c r="X637" s="565"/>
      <c r="Y637" s="612"/>
      <c r="Z637" s="612"/>
      <c r="AA637" s="563"/>
      <c r="AB637" s="612"/>
      <c r="AC637" s="569"/>
      <c r="AD637" s="563"/>
      <c r="AE637" s="563"/>
      <c r="AF637" s="563"/>
      <c r="AG637" s="563"/>
      <c r="AH637" s="563"/>
      <c r="AI637" s="563"/>
      <c r="AJ637" s="680"/>
      <c r="AK637" s="563"/>
      <c r="AL637" s="563"/>
      <c r="AM637" s="563"/>
      <c r="AN637" s="563"/>
      <c r="AO637" s="563"/>
      <c r="AP637" s="46"/>
      <c r="AQ637" s="46"/>
      <c r="AR637" s="46"/>
      <c r="AS637" s="46"/>
      <c r="AT637" s="46"/>
      <c r="AU637" s="46"/>
      <c r="AV637" s="46"/>
      <c r="AW637" s="46"/>
      <c r="AX637" s="46"/>
      <c r="AY637" s="46"/>
      <c r="AZ637" s="563"/>
      <c r="BA637" s="569"/>
      <c r="BB637" s="563"/>
      <c r="BC637" s="569"/>
      <c r="BD637" s="563"/>
      <c r="BE637" s="46"/>
      <c r="BF637" s="46"/>
      <c r="BG637" s="563"/>
      <c r="BH637" s="563"/>
      <c r="BI637" s="563"/>
      <c r="BJ637" s="563"/>
    </row>
    <row r="638" spans="2:62" x14ac:dyDescent="0.25">
      <c r="B638" s="569"/>
      <c r="C638" s="672"/>
      <c r="D638" s="563"/>
      <c r="E638" s="563"/>
      <c r="F638" s="569"/>
      <c r="G638" s="563"/>
      <c r="H638" s="563"/>
      <c r="I638" s="600"/>
      <c r="J638" s="569"/>
      <c r="K638" s="563"/>
      <c r="L638" s="563"/>
      <c r="M638" s="563"/>
      <c r="N638" s="563"/>
      <c r="O638" s="563"/>
      <c r="P638" s="563"/>
      <c r="Q638" s="563"/>
      <c r="R638" s="563"/>
      <c r="S638" s="563"/>
      <c r="T638" s="563"/>
      <c r="U638" s="563"/>
      <c r="V638" s="563"/>
      <c r="W638" s="563"/>
      <c r="X638" s="565"/>
      <c r="Y638" s="612"/>
      <c r="Z638" s="612"/>
      <c r="AA638" s="563"/>
      <c r="AB638" s="612"/>
      <c r="AC638" s="569"/>
      <c r="AD638" s="563"/>
      <c r="AE638" s="563"/>
      <c r="AF638" s="563"/>
      <c r="AG638" s="563"/>
      <c r="AH638" s="563"/>
      <c r="AI638" s="563"/>
      <c r="AJ638" s="680"/>
      <c r="AK638" s="563"/>
      <c r="AL638" s="563"/>
      <c r="AM638" s="563"/>
      <c r="AN638" s="563"/>
      <c r="AO638" s="563"/>
      <c r="AP638" s="46"/>
      <c r="AQ638" s="46"/>
      <c r="AR638" s="46"/>
      <c r="AS638" s="46"/>
      <c r="AT638" s="46"/>
      <c r="AU638" s="46"/>
      <c r="AV638" s="46"/>
      <c r="AW638" s="46"/>
      <c r="AX638" s="46"/>
      <c r="AY638" s="46"/>
      <c r="AZ638" s="563"/>
      <c r="BA638" s="569"/>
      <c r="BB638" s="563"/>
      <c r="BC638" s="569"/>
      <c r="BD638" s="563"/>
      <c r="BE638" s="46"/>
      <c r="BF638" s="46"/>
      <c r="BG638" s="563"/>
      <c r="BH638" s="563"/>
      <c r="BI638" s="563"/>
      <c r="BJ638" s="563"/>
    </row>
    <row r="639" spans="2:62" x14ac:dyDescent="0.25">
      <c r="B639" s="569"/>
      <c r="C639" s="672"/>
      <c r="D639" s="563"/>
      <c r="E639" s="563"/>
      <c r="F639" s="569"/>
      <c r="G639" s="563"/>
      <c r="H639" s="563"/>
      <c r="I639" s="600"/>
      <c r="J639" s="569"/>
      <c r="K639" s="563"/>
      <c r="L639" s="563"/>
      <c r="M639" s="563"/>
      <c r="N639" s="563"/>
      <c r="O639" s="563"/>
      <c r="P639" s="563"/>
      <c r="Q639" s="563"/>
      <c r="R639" s="563"/>
      <c r="S639" s="563"/>
      <c r="T639" s="563"/>
      <c r="U639" s="563"/>
      <c r="V639" s="563"/>
      <c r="W639" s="563"/>
      <c r="X639" s="565"/>
      <c r="Y639" s="612"/>
      <c r="Z639" s="612"/>
      <c r="AA639" s="563"/>
      <c r="AB639" s="612"/>
      <c r="AC639" s="569"/>
      <c r="AD639" s="563"/>
      <c r="AE639" s="563"/>
      <c r="AF639" s="563"/>
      <c r="AG639" s="563"/>
      <c r="AH639" s="563"/>
      <c r="AI639" s="563"/>
      <c r="AJ639" s="680"/>
      <c r="AK639" s="563"/>
      <c r="AL639" s="563"/>
      <c r="AM639" s="563"/>
      <c r="AN639" s="563"/>
      <c r="AO639" s="563"/>
      <c r="AP639" s="46"/>
      <c r="AQ639" s="46"/>
      <c r="AR639" s="46"/>
      <c r="AS639" s="46"/>
      <c r="AT639" s="46"/>
      <c r="AU639" s="46"/>
      <c r="AV639" s="46"/>
      <c r="AW639" s="46"/>
      <c r="AX639" s="46"/>
      <c r="AY639" s="46"/>
      <c r="AZ639" s="563"/>
      <c r="BA639" s="569"/>
      <c r="BB639" s="563"/>
      <c r="BC639" s="569"/>
      <c r="BD639" s="563"/>
      <c r="BE639" s="46"/>
      <c r="BF639" s="46"/>
      <c r="BG639" s="563"/>
      <c r="BH639" s="563"/>
      <c r="BI639" s="563"/>
      <c r="BJ639" s="563"/>
    </row>
    <row r="640" spans="2:62" x14ac:dyDescent="0.25">
      <c r="B640" s="569"/>
      <c r="C640" s="672"/>
      <c r="D640" s="563"/>
      <c r="E640" s="563"/>
      <c r="F640" s="569"/>
      <c r="G640" s="563"/>
      <c r="H640" s="563"/>
      <c r="I640" s="600"/>
      <c r="J640" s="569"/>
      <c r="K640" s="563"/>
      <c r="L640" s="563"/>
      <c r="M640" s="563"/>
      <c r="N640" s="563"/>
      <c r="O640" s="563"/>
      <c r="P640" s="563"/>
      <c r="Q640" s="563"/>
      <c r="R640" s="563"/>
      <c r="S640" s="563"/>
      <c r="T640" s="563"/>
      <c r="U640" s="563"/>
      <c r="V640" s="563"/>
      <c r="W640" s="563"/>
      <c r="X640" s="565"/>
      <c r="Y640" s="612"/>
      <c r="Z640" s="612"/>
      <c r="AA640" s="563"/>
      <c r="AB640" s="612"/>
      <c r="AC640" s="569"/>
      <c r="AD640" s="563"/>
      <c r="AE640" s="563"/>
      <c r="AF640" s="563"/>
      <c r="AG640" s="563"/>
      <c r="AH640" s="563"/>
      <c r="AI640" s="563"/>
      <c r="AJ640" s="680"/>
      <c r="AK640" s="563"/>
      <c r="AL640" s="563"/>
      <c r="AM640" s="563"/>
      <c r="AN640" s="563"/>
      <c r="AO640" s="563"/>
      <c r="AP640" s="46"/>
      <c r="AQ640" s="46"/>
      <c r="AR640" s="46"/>
      <c r="AS640" s="46"/>
      <c r="AT640" s="46"/>
      <c r="AU640" s="46"/>
      <c r="AV640" s="46"/>
      <c r="AW640" s="46"/>
      <c r="AX640" s="46"/>
      <c r="AY640" s="46"/>
      <c r="AZ640" s="563"/>
      <c r="BA640" s="569"/>
      <c r="BB640" s="563"/>
      <c r="BC640" s="569"/>
      <c r="BD640" s="563"/>
      <c r="BE640" s="46"/>
      <c r="BF640" s="46"/>
      <c r="BG640" s="563"/>
      <c r="BH640" s="563"/>
      <c r="BI640" s="563"/>
      <c r="BJ640" s="563"/>
    </row>
    <row r="641" spans="2:62" x14ac:dyDescent="0.25">
      <c r="B641" s="569"/>
      <c r="C641" s="672"/>
      <c r="D641" s="563"/>
      <c r="E641" s="563"/>
      <c r="F641" s="569"/>
      <c r="G641" s="563"/>
      <c r="H641" s="563"/>
      <c r="I641" s="600"/>
      <c r="J641" s="569"/>
      <c r="K641" s="563"/>
      <c r="L641" s="563"/>
      <c r="M641" s="563"/>
      <c r="N641" s="563"/>
      <c r="O641" s="563"/>
      <c r="P641" s="563"/>
      <c r="Q641" s="563"/>
      <c r="R641" s="563"/>
      <c r="S641" s="563"/>
      <c r="T641" s="563"/>
      <c r="U641" s="563"/>
      <c r="V641" s="563"/>
      <c r="W641" s="563"/>
      <c r="X641" s="565"/>
      <c r="Y641" s="612"/>
      <c r="Z641" s="612"/>
      <c r="AA641" s="563"/>
      <c r="AB641" s="612"/>
      <c r="AC641" s="569"/>
      <c r="AD641" s="563"/>
      <c r="AE641" s="563"/>
      <c r="AF641" s="563"/>
      <c r="AG641" s="563"/>
      <c r="AH641" s="563"/>
      <c r="AI641" s="563"/>
      <c r="AJ641" s="680"/>
      <c r="AK641" s="563"/>
      <c r="AL641" s="563"/>
      <c r="AM641" s="563"/>
      <c r="AN641" s="563"/>
      <c r="AO641" s="563"/>
      <c r="AP641" s="46"/>
      <c r="AQ641" s="46"/>
      <c r="AR641" s="46"/>
      <c r="AS641" s="46"/>
      <c r="AT641" s="46"/>
      <c r="AU641" s="46"/>
      <c r="AV641" s="46"/>
      <c r="AW641" s="46"/>
      <c r="AX641" s="46"/>
      <c r="AY641" s="46"/>
      <c r="AZ641" s="563"/>
      <c r="BA641" s="569"/>
      <c r="BB641" s="563"/>
      <c r="BC641" s="569"/>
      <c r="BD641" s="563"/>
      <c r="BE641" s="46"/>
      <c r="BF641" s="46"/>
      <c r="BG641" s="563"/>
      <c r="BH641" s="563"/>
      <c r="BI641" s="563"/>
      <c r="BJ641" s="563"/>
    </row>
    <row r="642" spans="2:62" x14ac:dyDescent="0.25">
      <c r="B642" s="569"/>
      <c r="C642" s="672"/>
      <c r="D642" s="563"/>
      <c r="E642" s="563"/>
      <c r="F642" s="569"/>
      <c r="G642" s="563"/>
      <c r="H642" s="563"/>
      <c r="I642" s="600"/>
      <c r="J642" s="569"/>
      <c r="K642" s="563"/>
      <c r="L642" s="563"/>
      <c r="M642" s="563"/>
      <c r="N642" s="563"/>
      <c r="O642" s="563"/>
      <c r="P642" s="563"/>
      <c r="Q642" s="563"/>
      <c r="R642" s="563"/>
      <c r="S642" s="563"/>
      <c r="T642" s="563"/>
      <c r="U642" s="563"/>
      <c r="V642" s="563"/>
      <c r="W642" s="563"/>
      <c r="X642" s="565"/>
      <c r="Y642" s="612"/>
      <c r="Z642" s="612"/>
      <c r="AA642" s="563"/>
      <c r="AB642" s="612"/>
      <c r="AC642" s="569"/>
      <c r="AD642" s="563"/>
      <c r="AE642" s="563"/>
      <c r="AF642" s="563"/>
      <c r="AG642" s="563"/>
      <c r="AH642" s="563"/>
      <c r="AI642" s="563"/>
      <c r="AJ642" s="680"/>
      <c r="AK642" s="563"/>
      <c r="AL642" s="563"/>
      <c r="AM642" s="563"/>
      <c r="AN642" s="563"/>
      <c r="AO642" s="563"/>
      <c r="AP642" s="46"/>
      <c r="AQ642" s="46"/>
      <c r="AR642" s="46"/>
      <c r="AS642" s="46"/>
      <c r="AT642" s="46"/>
      <c r="AU642" s="46"/>
      <c r="AV642" s="46"/>
      <c r="AW642" s="46"/>
      <c r="AX642" s="46"/>
      <c r="AY642" s="46"/>
      <c r="AZ642" s="563"/>
      <c r="BA642" s="569"/>
      <c r="BB642" s="563"/>
      <c r="BC642" s="569"/>
      <c r="BD642" s="563"/>
      <c r="BE642" s="46"/>
      <c r="BF642" s="46"/>
      <c r="BG642" s="563"/>
      <c r="BH642" s="563"/>
      <c r="BI642" s="563"/>
      <c r="BJ642" s="563"/>
    </row>
    <row r="643" spans="2:62" x14ac:dyDescent="0.25">
      <c r="B643" s="569"/>
      <c r="C643" s="672"/>
      <c r="D643" s="563"/>
      <c r="E643" s="563"/>
      <c r="F643" s="569"/>
      <c r="G643" s="563"/>
      <c r="H643" s="563"/>
      <c r="I643" s="600"/>
      <c r="J643" s="569"/>
      <c r="K643" s="563"/>
      <c r="L643" s="563"/>
      <c r="M643" s="563"/>
      <c r="N643" s="563"/>
      <c r="O643" s="563"/>
      <c r="P643" s="563"/>
      <c r="Q643" s="563"/>
      <c r="R643" s="563"/>
      <c r="S643" s="563"/>
      <c r="T643" s="563"/>
      <c r="U643" s="563"/>
      <c r="V643" s="563"/>
      <c r="W643" s="563"/>
      <c r="X643" s="565"/>
      <c r="Y643" s="612"/>
      <c r="Z643" s="612"/>
      <c r="AA643" s="563"/>
      <c r="AB643" s="612"/>
      <c r="AC643" s="569"/>
      <c r="AD643" s="563"/>
      <c r="AE643" s="563"/>
      <c r="AF643" s="563"/>
      <c r="AG643" s="563"/>
      <c r="AH643" s="563"/>
      <c r="AI643" s="563"/>
      <c r="AJ643" s="680"/>
      <c r="AK643" s="563"/>
      <c r="AL643" s="563"/>
      <c r="AM643" s="563"/>
      <c r="AN643" s="563"/>
      <c r="AO643" s="563"/>
      <c r="AP643" s="46"/>
      <c r="AQ643" s="46"/>
      <c r="AR643" s="46"/>
      <c r="AS643" s="46"/>
      <c r="AT643" s="46"/>
      <c r="AU643" s="46"/>
      <c r="AV643" s="46"/>
      <c r="AW643" s="46"/>
      <c r="AX643" s="46"/>
      <c r="AY643" s="46"/>
      <c r="AZ643" s="563"/>
      <c r="BA643" s="569"/>
      <c r="BB643" s="563"/>
      <c r="BC643" s="569"/>
      <c r="BD643" s="563"/>
      <c r="BE643" s="46"/>
      <c r="BF643" s="46"/>
      <c r="BG643" s="563"/>
      <c r="BH643" s="563"/>
      <c r="BI643" s="563"/>
      <c r="BJ643" s="563"/>
    </row>
    <row r="644" spans="2:62" x14ac:dyDescent="0.25">
      <c r="B644" s="569"/>
      <c r="C644" s="672"/>
      <c r="D644" s="563"/>
      <c r="E644" s="563"/>
      <c r="F644" s="569"/>
      <c r="G644" s="563"/>
      <c r="H644" s="563"/>
      <c r="I644" s="600"/>
      <c r="J644" s="569"/>
      <c r="K644" s="563"/>
      <c r="L644" s="563"/>
      <c r="M644" s="563"/>
      <c r="N644" s="563"/>
      <c r="O644" s="563"/>
      <c r="P644" s="563"/>
      <c r="Q644" s="563"/>
      <c r="R644" s="563"/>
      <c r="S644" s="563"/>
      <c r="T644" s="563"/>
      <c r="U644" s="563"/>
      <c r="V644" s="563"/>
      <c r="W644" s="563"/>
      <c r="X644" s="565"/>
      <c r="Y644" s="612"/>
      <c r="Z644" s="612"/>
      <c r="AA644" s="563"/>
      <c r="AB644" s="612"/>
      <c r="AC644" s="569"/>
      <c r="AD644" s="563"/>
      <c r="AE644" s="563"/>
      <c r="AF644" s="563"/>
      <c r="AG644" s="563"/>
      <c r="AH644" s="563"/>
      <c r="AI644" s="563"/>
      <c r="AJ644" s="680"/>
      <c r="AK644" s="563"/>
      <c r="AL644" s="563"/>
      <c r="AM644" s="563"/>
      <c r="AN644" s="563"/>
      <c r="AO644" s="563"/>
      <c r="AP644" s="46"/>
      <c r="AQ644" s="46"/>
      <c r="AR644" s="46"/>
      <c r="AS644" s="46"/>
      <c r="AT644" s="46"/>
      <c r="AU644" s="46"/>
      <c r="AV644" s="46"/>
      <c r="AW644" s="46"/>
      <c r="AX644" s="46"/>
      <c r="AY644" s="46"/>
      <c r="AZ644" s="563"/>
      <c r="BA644" s="569"/>
      <c r="BB644" s="563"/>
      <c r="BC644" s="569"/>
      <c r="BD644" s="563"/>
      <c r="BE644" s="46"/>
      <c r="BF644" s="46"/>
      <c r="BG644" s="563"/>
      <c r="BH644" s="563"/>
      <c r="BI644" s="563"/>
      <c r="BJ644" s="563"/>
    </row>
    <row r="645" spans="2:62" x14ac:dyDescent="0.25">
      <c r="B645" s="569"/>
      <c r="C645" s="672"/>
      <c r="D645" s="563"/>
      <c r="E645" s="563"/>
      <c r="F645" s="569"/>
      <c r="G645" s="563"/>
      <c r="H645" s="563"/>
      <c r="I645" s="600"/>
      <c r="J645" s="569"/>
      <c r="K645" s="563"/>
      <c r="L645" s="563"/>
      <c r="M645" s="563"/>
      <c r="N645" s="563"/>
      <c r="O645" s="563"/>
      <c r="P645" s="563"/>
      <c r="Q645" s="563"/>
      <c r="R645" s="563"/>
      <c r="S645" s="563"/>
      <c r="T645" s="563"/>
      <c r="U645" s="563"/>
      <c r="V645" s="563"/>
      <c r="W645" s="563"/>
      <c r="X645" s="565"/>
      <c r="Y645" s="612"/>
      <c r="Z645" s="612"/>
      <c r="AA645" s="563"/>
      <c r="AB645" s="612"/>
      <c r="AC645" s="569"/>
      <c r="AD645" s="563"/>
      <c r="AE645" s="563"/>
      <c r="AF645" s="563"/>
      <c r="AG645" s="563"/>
      <c r="AH645" s="563"/>
      <c r="AI645" s="563"/>
      <c r="AJ645" s="680"/>
      <c r="AK645" s="563"/>
      <c r="AL645" s="563"/>
      <c r="AM645" s="563"/>
      <c r="AN645" s="563"/>
      <c r="AO645" s="563"/>
      <c r="AP645" s="46"/>
      <c r="AQ645" s="46"/>
      <c r="AR645" s="46"/>
      <c r="AS645" s="46"/>
      <c r="AT645" s="46"/>
      <c r="AU645" s="46"/>
      <c r="AV645" s="46"/>
      <c r="AW645" s="46"/>
      <c r="AX645" s="46"/>
      <c r="AY645" s="46"/>
      <c r="AZ645" s="563"/>
      <c r="BA645" s="569"/>
      <c r="BB645" s="563"/>
      <c r="BC645" s="569"/>
      <c r="BD645" s="563"/>
      <c r="BE645" s="46"/>
      <c r="BF645" s="46"/>
      <c r="BG645" s="563"/>
      <c r="BH645" s="563"/>
      <c r="BI645" s="563"/>
      <c r="BJ645" s="563"/>
    </row>
    <row r="646" spans="2:62" x14ac:dyDescent="0.25">
      <c r="B646" s="569"/>
      <c r="C646" s="672"/>
      <c r="D646" s="563"/>
      <c r="E646" s="563"/>
      <c r="F646" s="569"/>
      <c r="G646" s="563"/>
      <c r="H646" s="563"/>
      <c r="I646" s="600"/>
      <c r="J646" s="569"/>
      <c r="K646" s="563"/>
      <c r="L646" s="563"/>
      <c r="M646" s="563"/>
      <c r="N646" s="563"/>
      <c r="O646" s="563"/>
      <c r="P646" s="563"/>
      <c r="Q646" s="563"/>
      <c r="R646" s="563"/>
      <c r="S646" s="563"/>
      <c r="T646" s="563"/>
      <c r="U646" s="563"/>
      <c r="V646" s="563"/>
      <c r="W646" s="563"/>
      <c r="X646" s="565"/>
      <c r="Y646" s="612"/>
      <c r="Z646" s="612"/>
      <c r="AA646" s="563"/>
      <c r="AB646" s="612"/>
      <c r="AC646" s="569"/>
      <c r="AD646" s="563"/>
      <c r="AE646" s="563"/>
      <c r="AF646" s="563"/>
      <c r="AG646" s="563"/>
      <c r="AH646" s="563"/>
      <c r="AI646" s="563"/>
      <c r="AJ646" s="680"/>
      <c r="AK646" s="563"/>
      <c r="AL646" s="563"/>
      <c r="AM646" s="563"/>
      <c r="AN646" s="563"/>
      <c r="AO646" s="563"/>
      <c r="AP646" s="46"/>
      <c r="AQ646" s="46"/>
      <c r="AR646" s="46"/>
      <c r="AS646" s="46"/>
      <c r="AT646" s="46"/>
      <c r="AU646" s="46"/>
      <c r="AV646" s="46"/>
      <c r="AW646" s="46"/>
      <c r="AX646" s="46"/>
      <c r="AY646" s="46"/>
      <c r="AZ646" s="563"/>
      <c r="BA646" s="569"/>
      <c r="BB646" s="563"/>
      <c r="BC646" s="569"/>
      <c r="BD646" s="563"/>
      <c r="BE646" s="46"/>
      <c r="BF646" s="46"/>
      <c r="BG646" s="563"/>
      <c r="BH646" s="563"/>
      <c r="BI646" s="563"/>
      <c r="BJ646" s="563"/>
    </row>
    <row r="647" spans="2:62" x14ac:dyDescent="0.25">
      <c r="B647" s="569"/>
      <c r="C647" s="672"/>
      <c r="D647" s="563"/>
      <c r="E647" s="563"/>
      <c r="F647" s="569"/>
      <c r="G647" s="563"/>
      <c r="H647" s="563"/>
      <c r="I647" s="600"/>
      <c r="J647" s="569"/>
      <c r="K647" s="563"/>
      <c r="L647" s="563"/>
      <c r="M647" s="563"/>
      <c r="N647" s="563"/>
      <c r="O647" s="563"/>
      <c r="P647" s="563"/>
      <c r="Q647" s="563"/>
      <c r="R647" s="563"/>
      <c r="S647" s="563"/>
      <c r="T647" s="563"/>
      <c r="U647" s="563"/>
      <c r="V647" s="563"/>
      <c r="W647" s="563"/>
      <c r="X647" s="565"/>
      <c r="Y647" s="612"/>
      <c r="Z647" s="612"/>
      <c r="AA647" s="563"/>
      <c r="AB647" s="612"/>
      <c r="AC647" s="569"/>
      <c r="AD647" s="563"/>
      <c r="AE647" s="563"/>
      <c r="AF647" s="563"/>
      <c r="AG647" s="563"/>
      <c r="AH647" s="563"/>
      <c r="AI647" s="563"/>
      <c r="AJ647" s="680"/>
      <c r="AK647" s="563"/>
      <c r="AL647" s="563"/>
      <c r="AM647" s="563"/>
      <c r="AN647" s="563"/>
      <c r="AO647" s="563"/>
      <c r="AP647" s="46"/>
      <c r="AQ647" s="46"/>
      <c r="AR647" s="46"/>
      <c r="AS647" s="46"/>
      <c r="AT647" s="46"/>
      <c r="AU647" s="46"/>
      <c r="AV647" s="46"/>
      <c r="AW647" s="46"/>
      <c r="AX647" s="46"/>
      <c r="AY647" s="46"/>
      <c r="AZ647" s="563"/>
      <c r="BA647" s="569"/>
      <c r="BB647" s="563"/>
      <c r="BC647" s="569"/>
      <c r="BD647" s="563"/>
      <c r="BE647" s="46"/>
      <c r="BF647" s="46"/>
      <c r="BG647" s="563"/>
      <c r="BH647" s="563"/>
      <c r="BI647" s="563"/>
      <c r="BJ647" s="563"/>
    </row>
    <row r="648" spans="2:62" x14ac:dyDescent="0.25">
      <c r="B648" s="569"/>
      <c r="C648" s="672"/>
      <c r="D648" s="563"/>
      <c r="E648" s="563"/>
      <c r="F648" s="569"/>
      <c r="G648" s="563"/>
      <c r="H648" s="563"/>
      <c r="I648" s="600"/>
      <c r="J648" s="569"/>
      <c r="K648" s="563"/>
      <c r="L648" s="563"/>
      <c r="M648" s="563"/>
      <c r="N648" s="563"/>
      <c r="O648" s="563"/>
      <c r="P648" s="563"/>
      <c r="Q648" s="563"/>
      <c r="R648" s="563"/>
      <c r="S648" s="563"/>
      <c r="T648" s="563"/>
      <c r="U648" s="563"/>
      <c r="V648" s="563"/>
      <c r="W648" s="563"/>
      <c r="X648" s="565"/>
      <c r="Y648" s="612"/>
      <c r="Z648" s="612"/>
      <c r="AA648" s="563"/>
      <c r="AB648" s="612"/>
      <c r="AC648" s="569"/>
      <c r="AD648" s="563"/>
      <c r="AE648" s="563"/>
      <c r="AF648" s="563"/>
      <c r="AG648" s="563"/>
      <c r="AH648" s="563"/>
      <c r="AI648" s="563"/>
      <c r="AJ648" s="680"/>
      <c r="AK648" s="563"/>
      <c r="AL648" s="563"/>
      <c r="AM648" s="563"/>
      <c r="AN648" s="563"/>
      <c r="AO648" s="563"/>
      <c r="AP648" s="46"/>
      <c r="AQ648" s="46"/>
      <c r="AR648" s="46"/>
      <c r="AS648" s="46"/>
      <c r="AT648" s="46"/>
      <c r="AU648" s="46"/>
      <c r="AV648" s="46"/>
      <c r="AW648" s="46"/>
      <c r="AX648" s="46"/>
      <c r="AY648" s="46"/>
      <c r="AZ648" s="563"/>
      <c r="BA648" s="569"/>
      <c r="BB648" s="563"/>
      <c r="BC648" s="569"/>
      <c r="BD648" s="563"/>
      <c r="BE648" s="46"/>
      <c r="BF648" s="46"/>
      <c r="BG648" s="563"/>
      <c r="BH648" s="563"/>
      <c r="BI648" s="563"/>
      <c r="BJ648" s="563"/>
    </row>
    <row r="649" spans="2:62" x14ac:dyDescent="0.25">
      <c r="B649" s="569"/>
      <c r="C649" s="672"/>
      <c r="D649" s="563"/>
      <c r="E649" s="563"/>
      <c r="F649" s="569"/>
      <c r="G649" s="563"/>
      <c r="H649" s="563"/>
      <c r="I649" s="600"/>
      <c r="J649" s="569"/>
      <c r="K649" s="563"/>
      <c r="L649" s="563"/>
      <c r="M649" s="563"/>
      <c r="N649" s="563"/>
      <c r="O649" s="563"/>
      <c r="P649" s="563"/>
      <c r="Q649" s="563"/>
      <c r="R649" s="563"/>
      <c r="S649" s="563"/>
      <c r="T649" s="563"/>
      <c r="U649" s="563"/>
      <c r="V649" s="563"/>
      <c r="W649" s="563"/>
      <c r="X649" s="565"/>
      <c r="Y649" s="612"/>
      <c r="Z649" s="612"/>
      <c r="AA649" s="563"/>
      <c r="AB649" s="612"/>
      <c r="AC649" s="569"/>
      <c r="AD649" s="563"/>
      <c r="AE649" s="563"/>
      <c r="AF649" s="563"/>
      <c r="AG649" s="563"/>
      <c r="AH649" s="563"/>
      <c r="AI649" s="563"/>
      <c r="AJ649" s="680"/>
      <c r="AK649" s="563"/>
      <c r="AL649" s="563"/>
      <c r="AM649" s="563"/>
      <c r="AN649" s="563"/>
      <c r="AO649" s="563"/>
      <c r="AP649" s="46"/>
      <c r="AQ649" s="46"/>
      <c r="AR649" s="46"/>
      <c r="AS649" s="46"/>
      <c r="AT649" s="46"/>
      <c r="AU649" s="46"/>
      <c r="AV649" s="46"/>
      <c r="AW649" s="46"/>
      <c r="AX649" s="46"/>
      <c r="AY649" s="46"/>
      <c r="AZ649" s="563"/>
      <c r="BA649" s="569"/>
      <c r="BB649" s="563"/>
      <c r="BC649" s="569"/>
      <c r="BD649" s="563"/>
      <c r="BE649" s="46"/>
      <c r="BF649" s="46"/>
      <c r="BG649" s="563"/>
      <c r="BH649" s="563"/>
      <c r="BI649" s="563"/>
      <c r="BJ649" s="563"/>
    </row>
    <row r="650" spans="2:62" x14ac:dyDescent="0.25">
      <c r="B650" s="569"/>
      <c r="C650" s="672"/>
      <c r="D650" s="563"/>
      <c r="E650" s="563"/>
      <c r="F650" s="569"/>
      <c r="G650" s="563"/>
      <c r="H650" s="563"/>
      <c r="I650" s="600"/>
      <c r="J650" s="569"/>
      <c r="K650" s="563"/>
      <c r="L650" s="563"/>
      <c r="M650" s="563"/>
      <c r="N650" s="563"/>
      <c r="O650" s="563"/>
      <c r="P650" s="563"/>
      <c r="Q650" s="563"/>
      <c r="R650" s="563"/>
      <c r="S650" s="563"/>
      <c r="T650" s="563"/>
      <c r="U650" s="563"/>
      <c r="V650" s="563"/>
      <c r="W650" s="563"/>
      <c r="X650" s="565"/>
      <c r="Y650" s="612"/>
      <c r="Z650" s="612"/>
      <c r="AA650" s="563"/>
      <c r="AB650" s="612"/>
      <c r="AC650" s="569"/>
      <c r="AD650" s="563"/>
      <c r="AE650" s="563"/>
      <c r="AF650" s="563"/>
      <c r="AG650" s="563"/>
      <c r="AH650" s="563"/>
      <c r="AI650" s="563"/>
      <c r="AJ650" s="680"/>
      <c r="AK650" s="563"/>
      <c r="AL650" s="563"/>
      <c r="AM650" s="563"/>
      <c r="AN650" s="563"/>
      <c r="AO650" s="563"/>
      <c r="AP650" s="46"/>
      <c r="AQ650" s="46"/>
      <c r="AR650" s="46"/>
      <c r="AS650" s="46"/>
      <c r="AT650" s="46"/>
      <c r="AU650" s="46"/>
      <c r="AV650" s="46"/>
      <c r="AW650" s="46"/>
      <c r="AX650" s="46"/>
      <c r="AY650" s="46"/>
      <c r="AZ650" s="563"/>
      <c r="BA650" s="569"/>
      <c r="BB650" s="563"/>
      <c r="BC650" s="569"/>
      <c r="BD650" s="563"/>
      <c r="BE650" s="46"/>
      <c r="BF650" s="46"/>
      <c r="BG650" s="563"/>
      <c r="BH650" s="563"/>
      <c r="BI650" s="563"/>
      <c r="BJ650" s="563"/>
    </row>
    <row r="651" spans="2:62" x14ac:dyDescent="0.25">
      <c r="B651" s="569"/>
      <c r="C651" s="672"/>
      <c r="D651" s="563"/>
      <c r="E651" s="563"/>
      <c r="F651" s="569"/>
      <c r="G651" s="563"/>
      <c r="H651" s="563"/>
      <c r="I651" s="600"/>
      <c r="J651" s="569"/>
      <c r="K651" s="563"/>
      <c r="L651" s="563"/>
      <c r="M651" s="563"/>
      <c r="N651" s="563"/>
      <c r="O651" s="563"/>
      <c r="P651" s="563"/>
      <c r="Q651" s="563"/>
      <c r="R651" s="563"/>
      <c r="S651" s="563"/>
      <c r="T651" s="563"/>
      <c r="U651" s="563"/>
      <c r="V651" s="563"/>
      <c r="W651" s="563"/>
      <c r="X651" s="565"/>
      <c r="Y651" s="612"/>
      <c r="Z651" s="612"/>
      <c r="AA651" s="563"/>
      <c r="AB651" s="612"/>
      <c r="AC651" s="569"/>
      <c r="AD651" s="563"/>
      <c r="AE651" s="563"/>
      <c r="AF651" s="563"/>
      <c r="AG651" s="563"/>
      <c r="AH651" s="563"/>
      <c r="AI651" s="563"/>
      <c r="AJ651" s="680"/>
      <c r="AK651" s="563"/>
      <c r="AL651" s="563"/>
      <c r="AM651" s="563"/>
      <c r="AN651" s="563"/>
      <c r="AO651" s="563"/>
      <c r="AP651" s="46"/>
      <c r="AQ651" s="46"/>
      <c r="AR651" s="46"/>
      <c r="AS651" s="46"/>
      <c r="AT651" s="46"/>
      <c r="AU651" s="46"/>
      <c r="AV651" s="46"/>
      <c r="AW651" s="46"/>
      <c r="AX651" s="46"/>
      <c r="AY651" s="46"/>
      <c r="AZ651" s="563"/>
      <c r="BA651" s="569"/>
      <c r="BB651" s="563"/>
      <c r="BC651" s="569"/>
      <c r="BD651" s="563"/>
      <c r="BE651" s="46"/>
      <c r="BF651" s="46"/>
      <c r="BG651" s="563"/>
      <c r="BH651" s="563"/>
      <c r="BI651" s="563"/>
      <c r="BJ651" s="563"/>
    </row>
    <row r="652" spans="2:62" x14ac:dyDescent="0.25">
      <c r="B652" s="569"/>
      <c r="C652" s="672"/>
      <c r="D652" s="563"/>
      <c r="E652" s="563"/>
      <c r="F652" s="569"/>
      <c r="G652" s="563"/>
      <c r="H652" s="563"/>
      <c r="I652" s="600"/>
      <c r="J652" s="569"/>
      <c r="K652" s="563"/>
      <c r="L652" s="563"/>
      <c r="M652" s="563"/>
      <c r="N652" s="563"/>
      <c r="O652" s="563"/>
      <c r="P652" s="563"/>
      <c r="Q652" s="563"/>
      <c r="R652" s="563"/>
      <c r="S652" s="563"/>
      <c r="T652" s="563"/>
      <c r="U652" s="563"/>
      <c r="V652" s="563"/>
      <c r="W652" s="563"/>
      <c r="X652" s="565"/>
      <c r="Y652" s="612"/>
      <c r="Z652" s="612"/>
      <c r="AA652" s="563"/>
      <c r="AB652" s="612"/>
      <c r="AC652" s="569"/>
      <c r="AD652" s="563"/>
      <c r="AE652" s="563"/>
      <c r="AF652" s="563"/>
      <c r="AG652" s="563"/>
      <c r="AH652" s="563"/>
      <c r="AI652" s="563"/>
      <c r="AJ652" s="680"/>
      <c r="AK652" s="563"/>
      <c r="AL652" s="563"/>
      <c r="AM652" s="563"/>
      <c r="AN652" s="563"/>
      <c r="AO652" s="563"/>
      <c r="AP652" s="46"/>
      <c r="AQ652" s="46"/>
      <c r="AR652" s="46"/>
      <c r="AS652" s="46"/>
      <c r="AT652" s="46"/>
      <c r="AU652" s="46"/>
      <c r="AV652" s="46"/>
      <c r="AW652" s="46"/>
      <c r="AX652" s="46"/>
      <c r="AY652" s="46"/>
      <c r="AZ652" s="563"/>
      <c r="BA652" s="569"/>
      <c r="BB652" s="563"/>
      <c r="BC652" s="569"/>
      <c r="BD652" s="563"/>
      <c r="BE652" s="46"/>
      <c r="BF652" s="46"/>
      <c r="BG652" s="563"/>
      <c r="BH652" s="563"/>
      <c r="BI652" s="563"/>
      <c r="BJ652" s="563"/>
    </row>
    <row r="653" spans="2:62" x14ac:dyDescent="0.25">
      <c r="B653" s="569"/>
      <c r="C653" s="672"/>
      <c r="D653" s="563"/>
      <c r="E653" s="563"/>
      <c r="F653" s="569"/>
      <c r="G653" s="563"/>
      <c r="H653" s="563"/>
      <c r="I653" s="600"/>
      <c r="J653" s="569"/>
      <c r="K653" s="563"/>
      <c r="L653" s="563"/>
      <c r="M653" s="563"/>
      <c r="N653" s="563"/>
      <c r="O653" s="563"/>
      <c r="P653" s="563"/>
      <c r="Q653" s="563"/>
      <c r="R653" s="563"/>
      <c r="S653" s="563"/>
      <c r="T653" s="563"/>
      <c r="U653" s="563"/>
      <c r="V653" s="563"/>
      <c r="W653" s="563"/>
      <c r="X653" s="565"/>
      <c r="Y653" s="612"/>
      <c r="Z653" s="612"/>
      <c r="AA653" s="563"/>
      <c r="AB653" s="612"/>
      <c r="AC653" s="569"/>
      <c r="AD653" s="563"/>
      <c r="AE653" s="563"/>
      <c r="AF653" s="563"/>
      <c r="AG653" s="563"/>
      <c r="AH653" s="563"/>
      <c r="AI653" s="563"/>
      <c r="AJ653" s="680"/>
      <c r="AK653" s="563"/>
      <c r="AL653" s="563"/>
      <c r="AM653" s="563"/>
      <c r="AN653" s="563"/>
      <c r="AO653" s="563"/>
      <c r="AP653" s="46"/>
      <c r="AQ653" s="46"/>
      <c r="AR653" s="46"/>
      <c r="AS653" s="46"/>
      <c r="AT653" s="46"/>
      <c r="AU653" s="46"/>
      <c r="AV653" s="46"/>
      <c r="AW653" s="46"/>
      <c r="AX653" s="46"/>
      <c r="AY653" s="46"/>
      <c r="AZ653" s="563"/>
      <c r="BA653" s="569"/>
      <c r="BB653" s="563"/>
      <c r="BC653" s="569"/>
      <c r="BD653" s="563"/>
      <c r="BE653" s="46"/>
      <c r="BF653" s="46"/>
      <c r="BG653" s="563"/>
      <c r="BH653" s="563"/>
      <c r="BI653" s="563"/>
      <c r="BJ653" s="563"/>
    </row>
    <row r="654" spans="2:62" x14ac:dyDescent="0.25">
      <c r="B654" s="569"/>
      <c r="C654" s="672"/>
      <c r="D654" s="563"/>
      <c r="E654" s="563"/>
      <c r="F654" s="569"/>
      <c r="G654" s="563"/>
      <c r="H654" s="563"/>
      <c r="I654" s="600"/>
      <c r="J654" s="569"/>
      <c r="K654" s="563"/>
      <c r="L654" s="563"/>
      <c r="M654" s="563"/>
      <c r="N654" s="563"/>
      <c r="O654" s="563"/>
      <c r="P654" s="563"/>
      <c r="Q654" s="563"/>
      <c r="R654" s="563"/>
      <c r="S654" s="563"/>
      <c r="T654" s="563"/>
      <c r="U654" s="563"/>
      <c r="V654" s="563"/>
      <c r="W654" s="563"/>
      <c r="X654" s="565"/>
      <c r="Y654" s="612"/>
      <c r="Z654" s="612"/>
      <c r="AA654" s="563"/>
      <c r="AB654" s="612"/>
      <c r="AC654" s="569"/>
      <c r="AD654" s="563"/>
      <c r="AE654" s="563"/>
      <c r="AF654" s="563"/>
      <c r="AG654" s="563"/>
      <c r="AH654" s="563"/>
      <c r="AI654" s="563"/>
      <c r="AJ654" s="680"/>
      <c r="AK654" s="563"/>
      <c r="AL654" s="563"/>
      <c r="AM654" s="563"/>
      <c r="AN654" s="563"/>
      <c r="AO654" s="563"/>
      <c r="AP654" s="46"/>
      <c r="AQ654" s="46"/>
      <c r="AR654" s="46"/>
      <c r="AS654" s="46"/>
      <c r="AT654" s="46"/>
      <c r="AU654" s="46"/>
      <c r="AV654" s="46"/>
      <c r="AW654" s="46"/>
      <c r="AX654" s="46"/>
      <c r="AY654" s="46"/>
      <c r="AZ654" s="563"/>
      <c r="BA654" s="569"/>
      <c r="BB654" s="563"/>
      <c r="BC654" s="569"/>
      <c r="BD654" s="563"/>
      <c r="BE654" s="46"/>
      <c r="BF654" s="46"/>
      <c r="BG654" s="563"/>
      <c r="BH654" s="563"/>
      <c r="BI654" s="563"/>
      <c r="BJ654" s="563"/>
    </row>
    <row r="655" spans="2:62" x14ac:dyDescent="0.25">
      <c r="B655" s="569"/>
      <c r="C655" s="672"/>
      <c r="D655" s="563"/>
      <c r="E655" s="563"/>
      <c r="F655" s="569"/>
      <c r="G655" s="563"/>
      <c r="H655" s="563"/>
      <c r="I655" s="600"/>
      <c r="J655" s="569"/>
      <c r="K655" s="563"/>
      <c r="L655" s="563"/>
      <c r="M655" s="563"/>
      <c r="N655" s="563"/>
      <c r="O655" s="563"/>
      <c r="P655" s="563"/>
      <c r="Q655" s="563"/>
      <c r="R655" s="563"/>
      <c r="S655" s="563"/>
      <c r="T655" s="563"/>
      <c r="U655" s="563"/>
      <c r="V655" s="563"/>
      <c r="W655" s="563"/>
      <c r="X655" s="565"/>
      <c r="Y655" s="612"/>
      <c r="Z655" s="612"/>
      <c r="AA655" s="563"/>
      <c r="AB655" s="612"/>
      <c r="AC655" s="569"/>
      <c r="AD655" s="563"/>
      <c r="AE655" s="563"/>
      <c r="AF655" s="563"/>
      <c r="AG655" s="563"/>
      <c r="AH655" s="563"/>
      <c r="AI655" s="563"/>
      <c r="AJ655" s="680"/>
      <c r="AK655" s="563"/>
      <c r="AL655" s="563"/>
      <c r="AM655" s="563"/>
      <c r="AN655" s="563"/>
      <c r="AO655" s="563"/>
      <c r="AP655" s="46"/>
      <c r="AQ655" s="46"/>
      <c r="AR655" s="46"/>
      <c r="AS655" s="46"/>
      <c r="AT655" s="46"/>
      <c r="AU655" s="46"/>
      <c r="AV655" s="46"/>
      <c r="AW655" s="46"/>
      <c r="AX655" s="46"/>
      <c r="AY655" s="46"/>
      <c r="AZ655" s="563"/>
      <c r="BA655" s="569"/>
      <c r="BB655" s="563"/>
      <c r="BC655" s="569"/>
      <c r="BD655" s="563"/>
      <c r="BE655" s="46"/>
      <c r="BF655" s="46"/>
      <c r="BG655" s="563"/>
      <c r="BH655" s="563"/>
      <c r="BI655" s="563"/>
      <c r="BJ655" s="563"/>
    </row>
    <row r="656" spans="2:62" x14ac:dyDescent="0.25">
      <c r="B656" s="569"/>
      <c r="C656" s="672"/>
      <c r="D656" s="563"/>
      <c r="E656" s="563"/>
      <c r="F656" s="569"/>
      <c r="G656" s="563"/>
      <c r="H656" s="563"/>
      <c r="I656" s="600"/>
      <c r="J656" s="569"/>
      <c r="K656" s="563"/>
      <c r="L656" s="563"/>
      <c r="M656" s="563"/>
      <c r="N656" s="563"/>
      <c r="O656" s="563"/>
      <c r="P656" s="563"/>
      <c r="Q656" s="563"/>
      <c r="R656" s="563"/>
      <c r="S656" s="563"/>
      <c r="T656" s="563"/>
      <c r="U656" s="563"/>
      <c r="V656" s="563"/>
      <c r="W656" s="563"/>
      <c r="X656" s="565"/>
      <c r="Y656" s="612"/>
      <c r="Z656" s="612"/>
      <c r="AA656" s="563"/>
      <c r="AB656" s="612"/>
      <c r="AC656" s="569"/>
      <c r="AD656" s="563"/>
      <c r="AE656" s="563"/>
      <c r="AF656" s="563"/>
      <c r="AG656" s="563"/>
      <c r="AH656" s="563"/>
      <c r="AI656" s="563"/>
      <c r="AJ656" s="680"/>
      <c r="AK656" s="563"/>
      <c r="AL656" s="563"/>
      <c r="AM656" s="563"/>
      <c r="AN656" s="563"/>
      <c r="AO656" s="563"/>
      <c r="AP656" s="46"/>
      <c r="AQ656" s="46"/>
      <c r="AR656" s="46"/>
      <c r="AS656" s="46"/>
      <c r="AT656" s="46"/>
      <c r="AU656" s="46"/>
      <c r="AV656" s="46"/>
      <c r="AW656" s="46"/>
      <c r="AX656" s="46"/>
      <c r="AY656" s="46"/>
      <c r="AZ656" s="563"/>
      <c r="BA656" s="569"/>
      <c r="BB656" s="563"/>
      <c r="BC656" s="569"/>
      <c r="BD656" s="563"/>
      <c r="BE656" s="46"/>
      <c r="BF656" s="46"/>
      <c r="BG656" s="563"/>
      <c r="BH656" s="563"/>
      <c r="BI656" s="563"/>
      <c r="BJ656" s="563"/>
    </row>
    <row r="657" spans="2:62" x14ac:dyDescent="0.25">
      <c r="B657" s="569"/>
      <c r="C657" s="672"/>
      <c r="D657" s="563"/>
      <c r="E657" s="563"/>
      <c r="F657" s="569"/>
      <c r="G657" s="563"/>
      <c r="H657" s="563"/>
      <c r="I657" s="600"/>
      <c r="J657" s="569"/>
      <c r="K657" s="563"/>
      <c r="L657" s="563"/>
      <c r="M657" s="563"/>
      <c r="N657" s="563"/>
      <c r="O657" s="563"/>
      <c r="P657" s="563"/>
      <c r="Q657" s="563"/>
      <c r="R657" s="563"/>
      <c r="S657" s="563"/>
      <c r="T657" s="563"/>
      <c r="U657" s="563"/>
      <c r="V657" s="563"/>
      <c r="W657" s="563"/>
      <c r="X657" s="565"/>
      <c r="Y657" s="612"/>
      <c r="Z657" s="612"/>
      <c r="AA657" s="563"/>
      <c r="AB657" s="612"/>
      <c r="AC657" s="569"/>
      <c r="AD657" s="563"/>
      <c r="AE657" s="563"/>
      <c r="AF657" s="563"/>
      <c r="AG657" s="563"/>
      <c r="AH657" s="563"/>
      <c r="AI657" s="563"/>
      <c r="AJ657" s="680"/>
      <c r="AK657" s="563"/>
      <c r="AL657" s="563"/>
      <c r="AM657" s="563"/>
      <c r="AN657" s="563"/>
      <c r="AO657" s="563"/>
      <c r="AP657" s="46"/>
      <c r="AQ657" s="46"/>
      <c r="AR657" s="46"/>
      <c r="AS657" s="46"/>
      <c r="AT657" s="46"/>
      <c r="AU657" s="46"/>
      <c r="AV657" s="46"/>
      <c r="AW657" s="46"/>
      <c r="AX657" s="46"/>
      <c r="AY657" s="46"/>
      <c r="AZ657" s="563"/>
      <c r="BA657" s="569"/>
      <c r="BB657" s="563"/>
      <c r="BC657" s="569"/>
      <c r="BD657" s="563"/>
      <c r="BE657" s="46"/>
      <c r="BF657" s="46"/>
      <c r="BG657" s="563"/>
      <c r="BH657" s="563"/>
      <c r="BI657" s="563"/>
      <c r="BJ657" s="563"/>
    </row>
    <row r="658" spans="2:62" x14ac:dyDescent="0.25">
      <c r="B658" s="569"/>
      <c r="C658" s="672"/>
      <c r="D658" s="563"/>
      <c r="E658" s="563"/>
      <c r="F658" s="569"/>
      <c r="G658" s="563"/>
      <c r="H658" s="563"/>
      <c r="I658" s="600"/>
      <c r="J658" s="569"/>
      <c r="K658" s="563"/>
      <c r="L658" s="563"/>
      <c r="M658" s="563"/>
      <c r="N658" s="563"/>
      <c r="O658" s="563"/>
      <c r="P658" s="563"/>
      <c r="Q658" s="563"/>
      <c r="R658" s="563"/>
      <c r="S658" s="563"/>
      <c r="T658" s="563"/>
      <c r="U658" s="563"/>
      <c r="V658" s="563"/>
      <c r="W658" s="563"/>
      <c r="X658" s="565"/>
      <c r="Y658" s="612"/>
      <c r="Z658" s="612"/>
      <c r="AA658" s="563"/>
      <c r="AB658" s="612"/>
      <c r="AC658" s="569"/>
      <c r="AD658" s="563"/>
      <c r="AE658" s="563"/>
      <c r="AF658" s="563"/>
      <c r="AG658" s="563"/>
      <c r="AH658" s="563"/>
      <c r="AI658" s="563"/>
      <c r="AJ658" s="680"/>
      <c r="AK658" s="563"/>
      <c r="AL658" s="563"/>
      <c r="AM658" s="563"/>
      <c r="AN658" s="563"/>
      <c r="AO658" s="563"/>
      <c r="AP658" s="46"/>
      <c r="AQ658" s="46"/>
      <c r="AR658" s="46"/>
      <c r="AS658" s="46"/>
      <c r="AT658" s="46"/>
      <c r="AU658" s="46"/>
      <c r="AV658" s="46"/>
      <c r="AW658" s="46"/>
      <c r="AX658" s="46"/>
      <c r="AY658" s="46"/>
      <c r="AZ658" s="563"/>
      <c r="BA658" s="569"/>
      <c r="BB658" s="563"/>
      <c r="BC658" s="569"/>
      <c r="BD658" s="563"/>
      <c r="BE658" s="46"/>
      <c r="BF658" s="46"/>
      <c r="BG658" s="563"/>
      <c r="BH658" s="563"/>
      <c r="BI658" s="563"/>
      <c r="BJ658" s="563"/>
    </row>
    <row r="659" spans="2:62" x14ac:dyDescent="0.25">
      <c r="B659" s="569"/>
      <c r="C659" s="672"/>
      <c r="D659" s="563"/>
      <c r="E659" s="563"/>
      <c r="F659" s="569"/>
      <c r="G659" s="563"/>
      <c r="H659" s="563"/>
      <c r="I659" s="600"/>
      <c r="J659" s="569"/>
      <c r="K659" s="563"/>
      <c r="L659" s="563"/>
      <c r="M659" s="563"/>
      <c r="N659" s="563"/>
      <c r="O659" s="563"/>
      <c r="P659" s="563"/>
      <c r="Q659" s="563"/>
      <c r="R659" s="563"/>
      <c r="S659" s="563"/>
      <c r="T659" s="563"/>
      <c r="U659" s="563"/>
      <c r="V659" s="563"/>
      <c r="W659" s="563"/>
      <c r="X659" s="565"/>
      <c r="Y659" s="612"/>
      <c r="Z659" s="612"/>
      <c r="AA659" s="563"/>
      <c r="AB659" s="612"/>
      <c r="AC659" s="569"/>
      <c r="AD659" s="563"/>
      <c r="AE659" s="563"/>
      <c r="AF659" s="563"/>
      <c r="AG659" s="563"/>
      <c r="AH659" s="563"/>
      <c r="AI659" s="563"/>
      <c r="AJ659" s="680"/>
      <c r="AK659" s="563"/>
      <c r="AL659" s="563"/>
      <c r="AM659" s="563"/>
      <c r="AN659" s="563"/>
      <c r="AO659" s="563"/>
      <c r="AP659" s="46"/>
      <c r="AQ659" s="46"/>
      <c r="AR659" s="46"/>
      <c r="AS659" s="46"/>
      <c r="AT659" s="46"/>
      <c r="AU659" s="46"/>
      <c r="AV659" s="46"/>
      <c r="AW659" s="46"/>
      <c r="AX659" s="46"/>
      <c r="AY659" s="46"/>
      <c r="AZ659" s="563"/>
      <c r="BA659" s="569"/>
      <c r="BB659" s="563"/>
      <c r="BC659" s="569"/>
      <c r="BD659" s="563"/>
      <c r="BE659" s="46"/>
      <c r="BF659" s="46"/>
      <c r="BG659" s="563"/>
      <c r="BH659" s="563"/>
      <c r="BI659" s="563"/>
      <c r="BJ659" s="563"/>
    </row>
    <row r="660" spans="2:62" x14ac:dyDescent="0.25">
      <c r="B660" s="569"/>
      <c r="C660" s="672"/>
      <c r="D660" s="563"/>
      <c r="E660" s="563"/>
      <c r="F660" s="569"/>
      <c r="G660" s="563"/>
      <c r="H660" s="563"/>
      <c r="I660" s="600"/>
      <c r="J660" s="569"/>
      <c r="K660" s="563"/>
      <c r="L660" s="563"/>
      <c r="M660" s="563"/>
      <c r="N660" s="563"/>
      <c r="O660" s="563"/>
      <c r="P660" s="563"/>
      <c r="Q660" s="563"/>
      <c r="R660" s="563"/>
      <c r="S660" s="563"/>
      <c r="T660" s="563"/>
      <c r="U660" s="563"/>
      <c r="V660" s="563"/>
      <c r="W660" s="563"/>
      <c r="X660" s="565"/>
      <c r="Y660" s="612"/>
      <c r="Z660" s="612"/>
      <c r="AA660" s="563"/>
      <c r="AB660" s="612"/>
      <c r="AC660" s="569"/>
      <c r="AD660" s="563"/>
      <c r="AE660" s="563"/>
      <c r="AF660" s="563"/>
      <c r="AG660" s="563"/>
      <c r="AH660" s="563"/>
      <c r="AI660" s="563"/>
      <c r="AJ660" s="680"/>
      <c r="AK660" s="563"/>
      <c r="AL660" s="563"/>
      <c r="AM660" s="563"/>
      <c r="AN660" s="563"/>
      <c r="AO660" s="563"/>
      <c r="AP660" s="46"/>
      <c r="AQ660" s="46"/>
      <c r="AR660" s="46"/>
      <c r="AS660" s="46"/>
      <c r="AT660" s="46"/>
      <c r="AU660" s="46"/>
      <c r="AV660" s="46"/>
      <c r="AW660" s="46"/>
      <c r="AX660" s="46"/>
      <c r="AY660" s="46"/>
      <c r="AZ660" s="563"/>
      <c r="BA660" s="569"/>
      <c r="BB660" s="563"/>
      <c r="BC660" s="569"/>
      <c r="BD660" s="563"/>
      <c r="BE660" s="46"/>
      <c r="BF660" s="46"/>
      <c r="BG660" s="563"/>
      <c r="BH660" s="563"/>
      <c r="BI660" s="563"/>
      <c r="BJ660" s="563"/>
    </row>
    <row r="661" spans="2:62" x14ac:dyDescent="0.25">
      <c r="B661" s="569"/>
      <c r="C661" s="672"/>
      <c r="D661" s="563"/>
      <c r="E661" s="563"/>
      <c r="F661" s="569"/>
      <c r="G661" s="563"/>
      <c r="H661" s="563"/>
      <c r="I661" s="600"/>
      <c r="J661" s="569"/>
      <c r="K661" s="563"/>
      <c r="L661" s="563"/>
      <c r="M661" s="563"/>
      <c r="N661" s="563"/>
      <c r="O661" s="563"/>
      <c r="P661" s="563"/>
      <c r="Q661" s="563"/>
      <c r="R661" s="563"/>
      <c r="S661" s="563"/>
      <c r="T661" s="563"/>
      <c r="U661" s="563"/>
      <c r="V661" s="563"/>
      <c r="W661" s="563"/>
      <c r="X661" s="565"/>
      <c r="Y661" s="612"/>
      <c r="Z661" s="612"/>
      <c r="AA661" s="563"/>
      <c r="AB661" s="612"/>
      <c r="AC661" s="569"/>
      <c r="AD661" s="563"/>
      <c r="AE661" s="563"/>
      <c r="AF661" s="563"/>
      <c r="AG661" s="563"/>
      <c r="AH661" s="563"/>
      <c r="AI661" s="563"/>
      <c r="AJ661" s="680"/>
      <c r="AK661" s="563"/>
      <c r="AL661" s="563"/>
      <c r="AM661" s="563"/>
      <c r="AN661" s="563"/>
      <c r="AO661" s="563"/>
      <c r="AP661" s="46"/>
      <c r="AQ661" s="46"/>
      <c r="AR661" s="46"/>
      <c r="AS661" s="46"/>
      <c r="AT661" s="46"/>
      <c r="AU661" s="46"/>
      <c r="AV661" s="46"/>
      <c r="AW661" s="46"/>
      <c r="AX661" s="46"/>
      <c r="AY661" s="46"/>
      <c r="AZ661" s="563"/>
      <c r="BA661" s="569"/>
      <c r="BB661" s="563"/>
      <c r="BC661" s="569"/>
      <c r="BD661" s="563"/>
      <c r="BE661" s="46"/>
      <c r="BF661" s="46"/>
      <c r="BG661" s="563"/>
      <c r="BH661" s="563"/>
      <c r="BI661" s="563"/>
      <c r="BJ661" s="563"/>
    </row>
    <row r="662" spans="2:62" x14ac:dyDescent="0.25">
      <c r="B662" s="569"/>
      <c r="C662" s="672"/>
      <c r="D662" s="563"/>
      <c r="E662" s="563"/>
      <c r="F662" s="569"/>
      <c r="G662" s="563"/>
      <c r="H662" s="563"/>
      <c r="I662" s="600"/>
      <c r="J662" s="569"/>
      <c r="K662" s="563"/>
      <c r="L662" s="563"/>
      <c r="M662" s="563"/>
      <c r="N662" s="563"/>
      <c r="O662" s="563"/>
      <c r="P662" s="563"/>
      <c r="Q662" s="563"/>
      <c r="R662" s="563"/>
      <c r="S662" s="563"/>
      <c r="T662" s="563"/>
      <c r="U662" s="563"/>
      <c r="V662" s="563"/>
      <c r="W662" s="563"/>
      <c r="X662" s="565"/>
      <c r="Y662" s="612"/>
      <c r="Z662" s="612"/>
      <c r="AA662" s="563"/>
      <c r="AB662" s="612"/>
      <c r="AC662" s="569"/>
      <c r="AD662" s="563"/>
      <c r="AE662" s="563"/>
      <c r="AF662" s="563"/>
      <c r="AG662" s="563"/>
      <c r="AH662" s="563"/>
      <c r="AI662" s="563"/>
      <c r="AJ662" s="680"/>
      <c r="AK662" s="563"/>
      <c r="AL662" s="563"/>
      <c r="AM662" s="563"/>
      <c r="AN662" s="563"/>
      <c r="AO662" s="563"/>
      <c r="AP662" s="46"/>
      <c r="AQ662" s="46"/>
      <c r="AR662" s="46"/>
      <c r="AS662" s="46"/>
      <c r="AT662" s="46"/>
      <c r="AU662" s="46"/>
      <c r="AV662" s="46"/>
      <c r="AW662" s="46"/>
      <c r="AX662" s="46"/>
      <c r="AY662" s="46"/>
      <c r="AZ662" s="563"/>
      <c r="BA662" s="569"/>
      <c r="BB662" s="563"/>
      <c r="BC662" s="569"/>
      <c r="BD662" s="563"/>
      <c r="BE662" s="46"/>
      <c r="BF662" s="46"/>
      <c r="BG662" s="563"/>
      <c r="BH662" s="563"/>
      <c r="BI662" s="563"/>
      <c r="BJ662" s="563"/>
    </row>
    <row r="663" spans="2:62" x14ac:dyDescent="0.25">
      <c r="B663" s="569"/>
      <c r="C663" s="672"/>
      <c r="D663" s="563"/>
      <c r="E663" s="563"/>
      <c r="F663" s="569"/>
      <c r="G663" s="563"/>
      <c r="H663" s="563"/>
      <c r="I663" s="600"/>
      <c r="J663" s="569"/>
      <c r="K663" s="563"/>
      <c r="L663" s="563"/>
      <c r="M663" s="563"/>
      <c r="N663" s="563"/>
      <c r="O663" s="563"/>
      <c r="P663" s="563"/>
      <c r="Q663" s="563"/>
      <c r="R663" s="563"/>
      <c r="S663" s="563"/>
      <c r="T663" s="563"/>
      <c r="U663" s="563"/>
      <c r="V663" s="563"/>
      <c r="W663" s="563"/>
      <c r="X663" s="565"/>
      <c r="Y663" s="612"/>
      <c r="Z663" s="612"/>
      <c r="AA663" s="563"/>
      <c r="AB663" s="612"/>
      <c r="AC663" s="569"/>
      <c r="AD663" s="563"/>
      <c r="AE663" s="563"/>
      <c r="AF663" s="563"/>
      <c r="AG663" s="563"/>
      <c r="AH663" s="563"/>
      <c r="AI663" s="563"/>
      <c r="AJ663" s="680"/>
      <c r="AK663" s="563"/>
      <c r="AL663" s="563"/>
      <c r="AM663" s="563"/>
      <c r="AN663" s="563"/>
      <c r="AO663" s="563"/>
      <c r="AP663" s="46"/>
      <c r="AQ663" s="46"/>
      <c r="AR663" s="46"/>
      <c r="AS663" s="46"/>
      <c r="AT663" s="46"/>
      <c r="AU663" s="46"/>
      <c r="AV663" s="46"/>
      <c r="AW663" s="46"/>
      <c r="AX663" s="46"/>
      <c r="AY663" s="46"/>
      <c r="AZ663" s="563"/>
      <c r="BA663" s="569"/>
      <c r="BB663" s="563"/>
      <c r="BC663" s="569"/>
      <c r="BD663" s="563"/>
      <c r="BE663" s="46"/>
      <c r="BF663" s="46"/>
      <c r="BG663" s="563"/>
      <c r="BH663" s="563"/>
      <c r="BI663" s="563"/>
      <c r="BJ663" s="563"/>
    </row>
    <row r="664" spans="2:62" x14ac:dyDescent="0.25">
      <c r="B664" s="569"/>
      <c r="C664" s="672"/>
      <c r="D664" s="563"/>
      <c r="E664" s="563"/>
      <c r="F664" s="569"/>
      <c r="G664" s="563"/>
      <c r="H664" s="563"/>
      <c r="I664" s="600"/>
      <c r="J664" s="569"/>
      <c r="K664" s="563"/>
      <c r="L664" s="563"/>
      <c r="M664" s="563"/>
      <c r="N664" s="563"/>
      <c r="O664" s="563"/>
      <c r="P664" s="563"/>
      <c r="Q664" s="563"/>
      <c r="R664" s="563"/>
      <c r="S664" s="563"/>
      <c r="T664" s="563"/>
      <c r="U664" s="563"/>
      <c r="V664" s="563"/>
      <c r="W664" s="563"/>
      <c r="X664" s="565"/>
      <c r="Y664" s="612"/>
      <c r="Z664" s="612"/>
      <c r="AA664" s="563"/>
      <c r="AB664" s="612"/>
      <c r="AC664" s="569"/>
      <c r="AD664" s="563"/>
      <c r="AE664" s="563"/>
      <c r="AF664" s="563"/>
      <c r="AG664" s="563"/>
      <c r="AH664" s="563"/>
      <c r="AI664" s="563"/>
      <c r="AJ664" s="680"/>
      <c r="AK664" s="563"/>
      <c r="AL664" s="563"/>
      <c r="AM664" s="563"/>
      <c r="AN664" s="563"/>
      <c r="AO664" s="563"/>
      <c r="AP664" s="46"/>
      <c r="AQ664" s="46"/>
      <c r="AR664" s="46"/>
      <c r="AS664" s="46"/>
      <c r="AT664" s="46"/>
      <c r="AU664" s="46"/>
      <c r="AV664" s="46"/>
      <c r="AW664" s="46"/>
      <c r="AX664" s="46"/>
      <c r="AY664" s="46"/>
      <c r="AZ664" s="563"/>
      <c r="BA664" s="569"/>
      <c r="BB664" s="563"/>
      <c r="BC664" s="569"/>
      <c r="BD664" s="563"/>
      <c r="BE664" s="46"/>
      <c r="BF664" s="46"/>
      <c r="BG664" s="563"/>
      <c r="BH664" s="563"/>
      <c r="BI664" s="563"/>
      <c r="BJ664" s="563"/>
    </row>
    <row r="665" spans="2:62" x14ac:dyDescent="0.25">
      <c r="B665" s="569"/>
      <c r="C665" s="672"/>
      <c r="D665" s="563"/>
      <c r="E665" s="563"/>
      <c r="F665" s="569"/>
      <c r="G665" s="563"/>
      <c r="H665" s="563"/>
      <c r="I665" s="600"/>
      <c r="J665" s="569"/>
      <c r="K665" s="563"/>
      <c r="L665" s="563"/>
      <c r="M665" s="563"/>
      <c r="N665" s="563"/>
      <c r="O665" s="563"/>
      <c r="P665" s="563"/>
      <c r="Q665" s="563"/>
      <c r="R665" s="563"/>
      <c r="S665" s="563"/>
      <c r="T665" s="563"/>
      <c r="U665" s="563"/>
      <c r="V665" s="563"/>
      <c r="W665" s="563"/>
      <c r="X665" s="565"/>
      <c r="Y665" s="612"/>
      <c r="Z665" s="612"/>
      <c r="AA665" s="563"/>
      <c r="AB665" s="612"/>
      <c r="AC665" s="569"/>
      <c r="AD665" s="563"/>
      <c r="AE665" s="563"/>
      <c r="AF665" s="563"/>
      <c r="AG665" s="563"/>
      <c r="AH665" s="563"/>
      <c r="AI665" s="563"/>
      <c r="AJ665" s="680"/>
      <c r="AK665" s="563"/>
      <c r="AL665" s="563"/>
      <c r="AM665" s="563"/>
      <c r="AN665" s="563"/>
      <c r="AO665" s="563"/>
      <c r="AP665" s="46"/>
      <c r="AQ665" s="46"/>
      <c r="AR665" s="46"/>
      <c r="AS665" s="46"/>
      <c r="AT665" s="46"/>
      <c r="AU665" s="46"/>
      <c r="AV665" s="46"/>
      <c r="AW665" s="46"/>
      <c r="AX665" s="46"/>
      <c r="AY665" s="46"/>
      <c r="AZ665" s="563"/>
      <c r="BA665" s="569"/>
      <c r="BB665" s="563"/>
      <c r="BC665" s="569"/>
      <c r="BD665" s="563"/>
      <c r="BE665" s="46"/>
      <c r="BF665" s="46"/>
      <c r="BG665" s="563"/>
      <c r="BH665" s="563"/>
      <c r="BI665" s="563"/>
      <c r="BJ665" s="563"/>
    </row>
    <row r="666" spans="2:62" x14ac:dyDescent="0.25">
      <c r="B666" s="569"/>
      <c r="C666" s="672"/>
      <c r="D666" s="563"/>
      <c r="E666" s="563"/>
      <c r="F666" s="569"/>
      <c r="G666" s="563"/>
      <c r="H666" s="563"/>
      <c r="I666" s="600"/>
      <c r="J666" s="569"/>
      <c r="K666" s="563"/>
      <c r="L666" s="563"/>
      <c r="M666" s="563"/>
      <c r="N666" s="563"/>
      <c r="O666" s="563"/>
      <c r="P666" s="563"/>
      <c r="Q666" s="563"/>
      <c r="R666" s="563"/>
      <c r="S666" s="563"/>
      <c r="T666" s="563"/>
      <c r="U666" s="563"/>
      <c r="V666" s="563"/>
      <c r="W666" s="563"/>
      <c r="X666" s="565"/>
      <c r="Y666" s="612"/>
      <c r="Z666" s="612"/>
      <c r="AA666" s="563"/>
      <c r="AB666" s="612"/>
      <c r="AC666" s="569"/>
      <c r="AD666" s="563"/>
      <c r="AE666" s="563"/>
      <c r="AF666" s="563"/>
      <c r="AG666" s="563"/>
      <c r="AH666" s="563"/>
      <c r="AI666" s="563"/>
      <c r="AJ666" s="680"/>
      <c r="AK666" s="563"/>
      <c r="AL666" s="563"/>
      <c r="AM666" s="563"/>
      <c r="AN666" s="563"/>
      <c r="AO666" s="563"/>
      <c r="AP666" s="46"/>
      <c r="AQ666" s="46"/>
      <c r="AR666" s="46"/>
      <c r="AS666" s="46"/>
      <c r="AT666" s="46"/>
      <c r="AU666" s="46"/>
      <c r="AV666" s="46"/>
      <c r="AW666" s="46"/>
      <c r="AX666" s="46"/>
      <c r="AY666" s="46"/>
      <c r="AZ666" s="563"/>
      <c r="BA666" s="569"/>
      <c r="BB666" s="563"/>
      <c r="BC666" s="569"/>
      <c r="BD666" s="563"/>
      <c r="BE666" s="46"/>
      <c r="BF666" s="46"/>
      <c r="BG666" s="563"/>
      <c r="BH666" s="563"/>
      <c r="BI666" s="563"/>
      <c r="BJ666" s="563"/>
    </row>
    <row r="667" spans="2:62" x14ac:dyDescent="0.25">
      <c r="B667" s="569"/>
      <c r="C667" s="672"/>
      <c r="D667" s="563"/>
      <c r="E667" s="563"/>
      <c r="F667" s="569"/>
      <c r="G667" s="563"/>
      <c r="H667" s="563"/>
      <c r="I667" s="600"/>
      <c r="J667" s="569"/>
      <c r="K667" s="563"/>
      <c r="L667" s="563"/>
      <c r="M667" s="563"/>
      <c r="N667" s="563"/>
      <c r="O667" s="563"/>
      <c r="P667" s="563"/>
      <c r="Q667" s="563"/>
      <c r="R667" s="563"/>
      <c r="S667" s="563"/>
      <c r="T667" s="563"/>
      <c r="U667" s="563"/>
      <c r="V667" s="563"/>
      <c r="W667" s="563"/>
      <c r="X667" s="565"/>
      <c r="Y667" s="612"/>
      <c r="Z667" s="612"/>
      <c r="AA667" s="563"/>
      <c r="AB667" s="612"/>
      <c r="AC667" s="569"/>
      <c r="AD667" s="563"/>
      <c r="AE667" s="563"/>
      <c r="AF667" s="563"/>
      <c r="AG667" s="563"/>
      <c r="AH667" s="563"/>
      <c r="AI667" s="563"/>
      <c r="AJ667" s="680"/>
      <c r="AK667" s="563"/>
      <c r="AL667" s="563"/>
      <c r="AM667" s="563"/>
      <c r="AN667" s="563"/>
      <c r="AO667" s="563"/>
      <c r="AP667" s="46"/>
      <c r="AQ667" s="46"/>
      <c r="AR667" s="46"/>
      <c r="AS667" s="46"/>
      <c r="AT667" s="46"/>
      <c r="AU667" s="46"/>
      <c r="AV667" s="46"/>
      <c r="AW667" s="46"/>
      <c r="AX667" s="46"/>
      <c r="AY667" s="46"/>
      <c r="AZ667" s="563"/>
      <c r="BA667" s="569"/>
      <c r="BB667" s="563"/>
      <c r="BC667" s="569"/>
      <c r="BD667" s="563"/>
      <c r="BE667" s="46"/>
      <c r="BF667" s="46"/>
      <c r="BG667" s="563"/>
      <c r="BH667" s="563"/>
      <c r="BI667" s="563"/>
      <c r="BJ667" s="563"/>
    </row>
    <row r="668" spans="2:62" x14ac:dyDescent="0.25">
      <c r="B668" s="569"/>
      <c r="C668" s="672"/>
      <c r="D668" s="563"/>
      <c r="E668" s="563"/>
      <c r="F668" s="569"/>
      <c r="G668" s="563"/>
      <c r="H668" s="563"/>
      <c r="I668" s="600"/>
      <c r="J668" s="569"/>
      <c r="K668" s="563"/>
      <c r="L668" s="563"/>
      <c r="M668" s="563"/>
      <c r="N668" s="563"/>
      <c r="O668" s="563"/>
      <c r="P668" s="563"/>
      <c r="Q668" s="563"/>
      <c r="R668" s="563"/>
      <c r="S668" s="563"/>
      <c r="T668" s="563"/>
      <c r="U668" s="563"/>
      <c r="V668" s="563"/>
      <c r="W668" s="563"/>
      <c r="X668" s="565"/>
      <c r="Y668" s="612"/>
      <c r="Z668" s="612"/>
      <c r="AA668" s="563"/>
      <c r="AB668" s="612"/>
      <c r="AC668" s="569"/>
      <c r="AD668" s="563"/>
      <c r="AE668" s="563"/>
      <c r="AF668" s="563"/>
      <c r="AG668" s="563"/>
      <c r="AH668" s="563"/>
      <c r="AI668" s="563"/>
      <c r="AJ668" s="680"/>
      <c r="AK668" s="563"/>
      <c r="AL668" s="563"/>
      <c r="AM668" s="563"/>
      <c r="AN668" s="563"/>
      <c r="AO668" s="563"/>
      <c r="AP668" s="46"/>
      <c r="AQ668" s="46"/>
      <c r="AR668" s="46"/>
      <c r="AS668" s="46"/>
      <c r="AT668" s="46"/>
      <c r="AU668" s="46"/>
      <c r="AV668" s="46"/>
      <c r="AW668" s="46"/>
      <c r="AX668" s="46"/>
      <c r="AY668" s="46"/>
      <c r="AZ668" s="563"/>
      <c r="BA668" s="569"/>
      <c r="BB668" s="563"/>
      <c r="BC668" s="569"/>
      <c r="BD668" s="563"/>
      <c r="BE668" s="46"/>
      <c r="BF668" s="46"/>
      <c r="BG668" s="563"/>
      <c r="BH668" s="563"/>
      <c r="BI668" s="563"/>
      <c r="BJ668" s="563"/>
    </row>
    <row r="669" spans="2:62" x14ac:dyDescent="0.25">
      <c r="B669" s="569"/>
      <c r="C669" s="672"/>
      <c r="D669" s="563"/>
      <c r="E669" s="563"/>
      <c r="F669" s="569"/>
      <c r="G669" s="563"/>
      <c r="H669" s="563"/>
      <c r="I669" s="600"/>
      <c r="J669" s="569"/>
      <c r="K669" s="563"/>
      <c r="L669" s="563"/>
      <c r="M669" s="563"/>
      <c r="N669" s="563"/>
      <c r="O669" s="563"/>
      <c r="P669" s="563"/>
      <c r="Q669" s="563"/>
      <c r="R669" s="563"/>
      <c r="S669" s="563"/>
      <c r="T669" s="563"/>
      <c r="U669" s="563"/>
      <c r="V669" s="563"/>
      <c r="W669" s="563"/>
      <c r="X669" s="565"/>
      <c r="Y669" s="612"/>
      <c r="Z669" s="612"/>
      <c r="AA669" s="563"/>
      <c r="AB669" s="612"/>
      <c r="AC669" s="569"/>
      <c r="AD669" s="563"/>
      <c r="AE669" s="563"/>
      <c r="AF669" s="563"/>
      <c r="AG669" s="563"/>
      <c r="AH669" s="563"/>
      <c r="AI669" s="563"/>
      <c r="AJ669" s="680"/>
      <c r="AK669" s="563"/>
      <c r="AL669" s="563"/>
      <c r="AM669" s="563"/>
      <c r="AN669" s="563"/>
      <c r="AO669" s="563"/>
      <c r="AP669" s="46"/>
      <c r="AQ669" s="46"/>
      <c r="AR669" s="46"/>
      <c r="AS669" s="46"/>
      <c r="AT669" s="46"/>
      <c r="AU669" s="46"/>
      <c r="AV669" s="46"/>
      <c r="AW669" s="46"/>
      <c r="AX669" s="46"/>
      <c r="AY669" s="46"/>
      <c r="AZ669" s="563"/>
      <c r="BA669" s="569"/>
      <c r="BB669" s="563"/>
      <c r="BC669" s="569"/>
      <c r="BD669" s="563"/>
      <c r="BE669" s="46"/>
      <c r="BF669" s="46"/>
      <c r="BG669" s="563"/>
      <c r="BH669" s="563"/>
      <c r="BI669" s="563"/>
      <c r="BJ669" s="563"/>
    </row>
    <row r="670" spans="2:62" x14ac:dyDescent="0.25">
      <c r="B670" s="569"/>
      <c r="C670" s="672"/>
      <c r="D670" s="563"/>
      <c r="E670" s="563"/>
      <c r="F670" s="569"/>
      <c r="G670" s="563"/>
      <c r="H670" s="563"/>
      <c r="I670" s="600"/>
      <c r="J670" s="569"/>
      <c r="K670" s="563"/>
      <c r="L670" s="563"/>
      <c r="M670" s="563"/>
      <c r="N670" s="563"/>
      <c r="O670" s="563"/>
      <c r="P670" s="563"/>
      <c r="Q670" s="563"/>
      <c r="R670" s="563"/>
      <c r="S670" s="563"/>
      <c r="T670" s="563"/>
      <c r="U670" s="563"/>
      <c r="V670" s="563"/>
      <c r="W670" s="563"/>
      <c r="X670" s="565"/>
      <c r="Y670" s="612"/>
      <c r="Z670" s="612"/>
      <c r="AA670" s="563"/>
      <c r="AB670" s="612"/>
      <c r="AC670" s="569"/>
      <c r="AD670" s="563"/>
      <c r="AE670" s="563"/>
      <c r="AF670" s="563"/>
      <c r="AG670" s="563"/>
      <c r="AH670" s="563"/>
      <c r="AI670" s="563"/>
      <c r="AJ670" s="680"/>
      <c r="AK670" s="563"/>
      <c r="AL670" s="563"/>
      <c r="AM670" s="563"/>
      <c r="AN670" s="563"/>
      <c r="AO670" s="563"/>
      <c r="AP670" s="46"/>
      <c r="AQ670" s="46"/>
      <c r="AR670" s="46"/>
      <c r="AS670" s="46"/>
      <c r="AT670" s="46"/>
      <c r="AU670" s="46"/>
      <c r="AV670" s="46"/>
      <c r="AW670" s="46"/>
      <c r="AX670" s="46"/>
      <c r="AY670" s="46"/>
      <c r="AZ670" s="563"/>
      <c r="BA670" s="569"/>
      <c r="BB670" s="563"/>
      <c r="BC670" s="569"/>
      <c r="BD670" s="563"/>
      <c r="BE670" s="46"/>
      <c r="BF670" s="46"/>
      <c r="BG670" s="563"/>
      <c r="BH670" s="563"/>
      <c r="BI670" s="563"/>
      <c r="BJ670" s="563"/>
    </row>
    <row r="671" spans="2:62" x14ac:dyDescent="0.25">
      <c r="B671" s="569"/>
      <c r="C671" s="672"/>
      <c r="D671" s="563"/>
      <c r="E671" s="563"/>
      <c r="F671" s="569"/>
      <c r="G671" s="563"/>
      <c r="H671" s="563"/>
      <c r="I671" s="600"/>
      <c r="J671" s="569"/>
      <c r="K671" s="563"/>
      <c r="L671" s="563"/>
      <c r="M671" s="563"/>
      <c r="N671" s="563"/>
      <c r="O671" s="563"/>
      <c r="P671" s="563"/>
      <c r="Q671" s="563"/>
      <c r="R671" s="563"/>
      <c r="S671" s="563"/>
      <c r="T671" s="563"/>
      <c r="U671" s="563"/>
      <c r="V671" s="563"/>
      <c r="W671" s="563"/>
      <c r="X671" s="565"/>
      <c r="Y671" s="612"/>
      <c r="Z671" s="612"/>
      <c r="AA671" s="563"/>
      <c r="AB671" s="612"/>
      <c r="AC671" s="569"/>
      <c r="AD671" s="563"/>
      <c r="AE671" s="563"/>
      <c r="AF671" s="563"/>
      <c r="AG671" s="563"/>
      <c r="AH671" s="563"/>
      <c r="AI671" s="563"/>
      <c r="AJ671" s="680"/>
      <c r="AK671" s="563"/>
      <c r="AL671" s="563"/>
      <c r="AM671" s="563"/>
      <c r="AN671" s="563"/>
      <c r="AO671" s="563"/>
      <c r="AP671" s="46"/>
      <c r="AQ671" s="46"/>
      <c r="AR671" s="46"/>
      <c r="AS671" s="46"/>
      <c r="AT671" s="46"/>
      <c r="AU671" s="46"/>
      <c r="AV671" s="46"/>
      <c r="AW671" s="46"/>
      <c r="AX671" s="46"/>
      <c r="AY671" s="46"/>
      <c r="AZ671" s="563"/>
      <c r="BA671" s="569"/>
      <c r="BB671" s="563"/>
      <c r="BC671" s="569"/>
      <c r="BD671" s="563"/>
      <c r="BE671" s="46"/>
      <c r="BF671" s="46"/>
      <c r="BG671" s="563"/>
      <c r="BH671" s="563"/>
      <c r="BI671" s="563"/>
      <c r="BJ671" s="563"/>
    </row>
    <row r="672" spans="2:62" x14ac:dyDescent="0.25">
      <c r="B672" s="569"/>
      <c r="C672" s="672"/>
      <c r="D672" s="563"/>
      <c r="E672" s="563"/>
      <c r="F672" s="569"/>
      <c r="G672" s="563"/>
      <c r="H672" s="563"/>
      <c r="I672" s="600"/>
      <c r="J672" s="569"/>
      <c r="K672" s="563"/>
      <c r="L672" s="563"/>
      <c r="M672" s="563"/>
      <c r="N672" s="563"/>
      <c r="O672" s="563"/>
      <c r="P672" s="563"/>
      <c r="Q672" s="563"/>
      <c r="R672" s="563"/>
      <c r="S672" s="563"/>
      <c r="T672" s="563"/>
      <c r="U672" s="563"/>
      <c r="V672" s="563"/>
      <c r="W672" s="563"/>
      <c r="X672" s="565"/>
      <c r="Y672" s="612"/>
      <c r="Z672" s="612"/>
      <c r="AA672" s="563"/>
      <c r="AB672" s="612"/>
      <c r="AC672" s="569"/>
      <c r="AD672" s="563"/>
      <c r="AE672" s="563"/>
      <c r="AF672" s="563"/>
      <c r="AG672" s="563"/>
      <c r="AH672" s="563"/>
      <c r="AI672" s="563"/>
      <c r="AJ672" s="680"/>
      <c r="AK672" s="563"/>
      <c r="AL672" s="563"/>
      <c r="AM672" s="563"/>
      <c r="AN672" s="563"/>
      <c r="AO672" s="563"/>
      <c r="AP672" s="46"/>
      <c r="AQ672" s="46"/>
      <c r="AR672" s="46"/>
      <c r="AS672" s="46"/>
      <c r="AT672" s="46"/>
      <c r="AU672" s="46"/>
      <c r="AV672" s="46"/>
      <c r="AW672" s="46"/>
      <c r="AX672" s="46"/>
      <c r="AY672" s="46"/>
      <c r="AZ672" s="563"/>
      <c r="BA672" s="569"/>
      <c r="BB672" s="563"/>
      <c r="BC672" s="569"/>
      <c r="BD672" s="563"/>
      <c r="BE672" s="46"/>
      <c r="BF672" s="46"/>
      <c r="BG672" s="563"/>
      <c r="BH672" s="563"/>
      <c r="BI672" s="563"/>
      <c r="BJ672" s="563"/>
    </row>
    <row r="673" spans="2:62" x14ac:dyDescent="0.25">
      <c r="B673" s="569"/>
      <c r="C673" s="672"/>
      <c r="D673" s="563"/>
      <c r="E673" s="563"/>
      <c r="F673" s="569"/>
      <c r="G673" s="563"/>
      <c r="H673" s="563"/>
      <c r="I673" s="600"/>
      <c r="J673" s="569"/>
      <c r="K673" s="563"/>
      <c r="L673" s="563"/>
      <c r="M673" s="563"/>
      <c r="N673" s="563"/>
      <c r="O673" s="563"/>
      <c r="P673" s="563"/>
      <c r="Q673" s="563"/>
      <c r="R673" s="563"/>
      <c r="S673" s="563"/>
      <c r="T673" s="563"/>
      <c r="U673" s="563"/>
      <c r="V673" s="563"/>
      <c r="W673" s="563"/>
      <c r="X673" s="565"/>
      <c r="Y673" s="612"/>
      <c r="Z673" s="612"/>
      <c r="AA673" s="563"/>
      <c r="AB673" s="612"/>
      <c r="AC673" s="569"/>
      <c r="AD673" s="563"/>
      <c r="AE673" s="563"/>
      <c r="AF673" s="563"/>
      <c r="AG673" s="563"/>
      <c r="AH673" s="563"/>
      <c r="AI673" s="563"/>
      <c r="AJ673" s="680"/>
      <c r="AK673" s="563"/>
      <c r="AL673" s="563"/>
      <c r="AM673" s="563"/>
      <c r="AN673" s="563"/>
      <c r="AO673" s="563"/>
      <c r="AP673" s="46"/>
      <c r="AQ673" s="46"/>
      <c r="AR673" s="46"/>
      <c r="AS673" s="46"/>
      <c r="AT673" s="46"/>
      <c r="AU673" s="46"/>
      <c r="AV673" s="46"/>
      <c r="AW673" s="46"/>
      <c r="AX673" s="46"/>
      <c r="AY673" s="46"/>
      <c r="AZ673" s="563"/>
      <c r="BA673" s="569"/>
      <c r="BB673" s="563"/>
      <c r="BC673" s="569"/>
      <c r="BD673" s="563"/>
      <c r="BE673" s="46"/>
      <c r="BF673" s="46"/>
      <c r="BG673" s="563"/>
      <c r="BH673" s="563"/>
      <c r="BI673" s="563"/>
      <c r="BJ673" s="563"/>
    </row>
    <row r="674" spans="2:62" x14ac:dyDescent="0.25">
      <c r="B674" s="569"/>
      <c r="C674" s="672"/>
      <c r="D674" s="563"/>
      <c r="E674" s="563"/>
      <c r="F674" s="569"/>
      <c r="G674" s="563"/>
      <c r="H674" s="563"/>
      <c r="I674" s="600"/>
      <c r="J674" s="569"/>
      <c r="K674" s="563"/>
      <c r="L674" s="563"/>
      <c r="M674" s="563"/>
      <c r="N674" s="563"/>
      <c r="O674" s="563"/>
      <c r="P674" s="563"/>
      <c r="Q674" s="563"/>
      <c r="R674" s="563"/>
      <c r="S674" s="563"/>
      <c r="T674" s="563"/>
      <c r="U674" s="563"/>
      <c r="V674" s="563"/>
      <c r="W674" s="563"/>
      <c r="X674" s="565"/>
      <c r="Y674" s="612"/>
      <c r="Z674" s="612"/>
      <c r="AA674" s="563"/>
      <c r="AB674" s="612"/>
      <c r="AC674" s="569"/>
      <c r="AD674" s="563"/>
      <c r="AE674" s="563"/>
      <c r="AF674" s="563"/>
      <c r="AG674" s="563"/>
      <c r="AH674" s="563"/>
      <c r="AI674" s="563"/>
      <c r="AJ674" s="680"/>
      <c r="AK674" s="563"/>
      <c r="AL674" s="563"/>
      <c r="AM674" s="563"/>
      <c r="AN674" s="563"/>
      <c r="AO674" s="563"/>
      <c r="AP674" s="46"/>
      <c r="AQ674" s="46"/>
      <c r="AR674" s="46"/>
      <c r="AS674" s="46"/>
      <c r="AT674" s="46"/>
      <c r="AU674" s="46"/>
      <c r="AV674" s="46"/>
      <c r="AW674" s="46"/>
      <c r="AX674" s="46"/>
      <c r="AY674" s="46"/>
      <c r="AZ674" s="563"/>
      <c r="BA674" s="569"/>
      <c r="BB674" s="563"/>
      <c r="BC674" s="569"/>
      <c r="BD674" s="563"/>
      <c r="BE674" s="46"/>
      <c r="BF674" s="46"/>
      <c r="BG674" s="563"/>
      <c r="BH674" s="563"/>
      <c r="BI674" s="563"/>
      <c r="BJ674" s="563"/>
    </row>
    <row r="675" spans="2:62" x14ac:dyDescent="0.25">
      <c r="B675" s="569"/>
      <c r="C675" s="672"/>
      <c r="D675" s="563"/>
      <c r="E675" s="563"/>
      <c r="F675" s="569"/>
      <c r="G675" s="563"/>
      <c r="H675" s="563"/>
      <c r="I675" s="600"/>
      <c r="J675" s="569"/>
      <c r="K675" s="563"/>
      <c r="L675" s="563"/>
      <c r="M675" s="563"/>
      <c r="N675" s="563"/>
      <c r="O675" s="563"/>
      <c r="P675" s="563"/>
      <c r="Q675" s="563"/>
      <c r="R675" s="563"/>
      <c r="S675" s="563"/>
      <c r="T675" s="563"/>
      <c r="U675" s="563"/>
      <c r="V675" s="563"/>
      <c r="W675" s="563"/>
      <c r="X675" s="565"/>
      <c r="Y675" s="612"/>
      <c r="Z675" s="612"/>
      <c r="AA675" s="563"/>
      <c r="AB675" s="612"/>
      <c r="AC675" s="569"/>
      <c r="AD675" s="563"/>
      <c r="AE675" s="563"/>
      <c r="AF675" s="563"/>
      <c r="AG675" s="563"/>
      <c r="AH675" s="563"/>
      <c r="AI675" s="563"/>
      <c r="AJ675" s="680"/>
      <c r="AK675" s="563"/>
      <c r="AL675" s="563"/>
      <c r="AM675" s="563"/>
      <c r="AN675" s="563"/>
      <c r="AO675" s="563"/>
      <c r="AP675" s="46"/>
      <c r="AQ675" s="46"/>
      <c r="AR675" s="46"/>
      <c r="AS675" s="46"/>
      <c r="AT675" s="46"/>
      <c r="AU675" s="46"/>
      <c r="AV675" s="46"/>
      <c r="AW675" s="46"/>
      <c r="AX675" s="46"/>
      <c r="AY675" s="46"/>
      <c r="AZ675" s="563"/>
      <c r="BA675" s="569"/>
      <c r="BB675" s="563"/>
      <c r="BC675" s="569"/>
      <c r="BD675" s="563"/>
      <c r="BE675" s="46"/>
      <c r="BF675" s="46"/>
      <c r="BG675" s="563"/>
      <c r="BH675" s="563"/>
      <c r="BI675" s="563"/>
      <c r="BJ675" s="563"/>
    </row>
    <row r="676" spans="2:62" x14ac:dyDescent="0.25">
      <c r="B676" s="569"/>
      <c r="C676" s="672"/>
      <c r="D676" s="563"/>
      <c r="E676" s="563"/>
      <c r="F676" s="569"/>
      <c r="G676" s="563"/>
      <c r="H676" s="563"/>
      <c r="I676" s="600"/>
      <c r="J676" s="569"/>
      <c r="K676" s="563"/>
      <c r="L676" s="563"/>
      <c r="M676" s="563"/>
      <c r="N676" s="563"/>
      <c r="O676" s="563"/>
      <c r="P676" s="563"/>
      <c r="Q676" s="563"/>
      <c r="R676" s="563"/>
      <c r="S676" s="563"/>
      <c r="T676" s="563"/>
      <c r="U676" s="563"/>
      <c r="V676" s="563"/>
      <c r="W676" s="563"/>
      <c r="X676" s="565"/>
      <c r="Y676" s="612"/>
      <c r="Z676" s="612"/>
      <c r="AA676" s="563"/>
      <c r="AB676" s="612"/>
      <c r="AC676" s="569"/>
      <c r="AD676" s="563"/>
      <c r="AE676" s="563"/>
      <c r="AF676" s="563"/>
      <c r="AG676" s="563"/>
      <c r="AH676" s="563"/>
      <c r="AI676" s="563"/>
      <c r="AJ676" s="680"/>
      <c r="AK676" s="563"/>
      <c r="AL676" s="563"/>
      <c r="AM676" s="563"/>
      <c r="AN676" s="563"/>
      <c r="AO676" s="563"/>
      <c r="AP676" s="46"/>
      <c r="AQ676" s="46"/>
      <c r="AR676" s="46"/>
      <c r="AS676" s="46"/>
      <c r="AT676" s="46"/>
      <c r="AU676" s="46"/>
      <c r="AV676" s="46"/>
      <c r="AW676" s="46"/>
      <c r="AX676" s="46"/>
      <c r="AY676" s="46"/>
      <c r="AZ676" s="563"/>
      <c r="BA676" s="569"/>
      <c r="BB676" s="563"/>
      <c r="BC676" s="569"/>
      <c r="BD676" s="563"/>
      <c r="BE676" s="46"/>
      <c r="BF676" s="46"/>
      <c r="BG676" s="563"/>
      <c r="BH676" s="563"/>
      <c r="BI676" s="563"/>
      <c r="BJ676" s="563"/>
    </row>
    <row r="677" spans="2:62" x14ac:dyDescent="0.25">
      <c r="B677" s="569"/>
      <c r="C677" s="672"/>
      <c r="D677" s="563"/>
      <c r="E677" s="563"/>
      <c r="F677" s="569"/>
      <c r="G677" s="563"/>
      <c r="H677" s="563"/>
      <c r="I677" s="600"/>
      <c r="J677" s="569"/>
      <c r="K677" s="563"/>
      <c r="L677" s="563"/>
      <c r="M677" s="563"/>
      <c r="N677" s="563"/>
      <c r="O677" s="563"/>
      <c r="P677" s="563"/>
      <c r="Q677" s="563"/>
      <c r="R677" s="563"/>
      <c r="S677" s="563"/>
      <c r="T677" s="563"/>
      <c r="U677" s="563"/>
      <c r="V677" s="563"/>
      <c r="W677" s="563"/>
      <c r="X677" s="565"/>
      <c r="Y677" s="612"/>
      <c r="Z677" s="612"/>
      <c r="AA677" s="563"/>
      <c r="AB677" s="612"/>
      <c r="AC677" s="569"/>
      <c r="AD677" s="563"/>
      <c r="AE677" s="563"/>
      <c r="AF677" s="563"/>
      <c r="AG677" s="563"/>
      <c r="AH677" s="563"/>
      <c r="AI677" s="563"/>
      <c r="AJ677" s="680"/>
      <c r="AK677" s="563"/>
      <c r="AL677" s="563"/>
      <c r="AM677" s="563"/>
      <c r="AN677" s="563"/>
      <c r="AO677" s="563"/>
      <c r="AP677" s="46"/>
      <c r="AQ677" s="46"/>
      <c r="AR677" s="46"/>
      <c r="AS677" s="46"/>
      <c r="AT677" s="46"/>
      <c r="AU677" s="46"/>
      <c r="AV677" s="46"/>
      <c r="AW677" s="46"/>
      <c r="AX677" s="46"/>
      <c r="AY677" s="46"/>
      <c r="AZ677" s="563"/>
      <c r="BA677" s="569"/>
      <c r="BB677" s="563"/>
      <c r="BC677" s="569"/>
      <c r="BD677" s="563"/>
      <c r="BE677" s="46"/>
      <c r="BF677" s="46"/>
      <c r="BG677" s="563"/>
      <c r="BH677" s="563"/>
      <c r="BI677" s="563"/>
      <c r="BJ677" s="563"/>
    </row>
    <row r="678" spans="2:62" x14ac:dyDescent="0.25">
      <c r="B678" s="569"/>
      <c r="C678" s="672"/>
      <c r="D678" s="563"/>
      <c r="E678" s="563"/>
      <c r="F678" s="569"/>
      <c r="G678" s="563"/>
      <c r="H678" s="563"/>
      <c r="I678" s="600"/>
      <c r="J678" s="569"/>
      <c r="K678" s="563"/>
      <c r="L678" s="563"/>
      <c r="M678" s="563"/>
      <c r="N678" s="563"/>
      <c r="O678" s="563"/>
      <c r="P678" s="563"/>
      <c r="Q678" s="563"/>
      <c r="R678" s="563"/>
      <c r="S678" s="563"/>
      <c r="T678" s="563"/>
      <c r="U678" s="563"/>
      <c r="V678" s="563"/>
      <c r="W678" s="563"/>
      <c r="X678" s="565"/>
      <c r="Y678" s="612"/>
      <c r="Z678" s="612"/>
      <c r="AA678" s="563"/>
      <c r="AB678" s="612"/>
      <c r="AC678" s="569"/>
      <c r="AD678" s="563"/>
      <c r="AE678" s="563"/>
      <c r="AF678" s="563"/>
      <c r="AG678" s="563"/>
      <c r="AH678" s="563"/>
      <c r="AI678" s="563"/>
      <c r="AJ678" s="680"/>
      <c r="AK678" s="563"/>
      <c r="AL678" s="563"/>
      <c r="AM678" s="563"/>
      <c r="AN678" s="563"/>
      <c r="AO678" s="563"/>
      <c r="AP678" s="46"/>
      <c r="AQ678" s="46"/>
      <c r="AR678" s="46"/>
      <c r="AS678" s="46"/>
      <c r="AT678" s="46"/>
      <c r="AU678" s="46"/>
      <c r="AV678" s="46"/>
      <c r="AW678" s="46"/>
      <c r="AX678" s="46"/>
      <c r="AY678" s="46"/>
      <c r="AZ678" s="563"/>
      <c r="BA678" s="569"/>
      <c r="BB678" s="563"/>
      <c r="BC678" s="569"/>
      <c r="BD678" s="563"/>
      <c r="BE678" s="46"/>
      <c r="BF678" s="46"/>
      <c r="BG678" s="563"/>
      <c r="BH678" s="563"/>
      <c r="BI678" s="563"/>
      <c r="BJ678" s="563"/>
    </row>
    <row r="679" spans="2:62" x14ac:dyDescent="0.25">
      <c r="B679" s="569"/>
      <c r="C679" s="672"/>
      <c r="D679" s="563"/>
      <c r="E679" s="563"/>
      <c r="F679" s="569"/>
      <c r="G679" s="563"/>
      <c r="H679" s="563"/>
      <c r="I679" s="600"/>
      <c r="J679" s="569"/>
      <c r="K679" s="563"/>
      <c r="L679" s="563"/>
      <c r="M679" s="563"/>
      <c r="N679" s="563"/>
      <c r="O679" s="563"/>
      <c r="P679" s="563"/>
      <c r="Q679" s="563"/>
      <c r="R679" s="563"/>
      <c r="S679" s="563"/>
      <c r="T679" s="563"/>
      <c r="U679" s="563"/>
      <c r="V679" s="563"/>
      <c r="W679" s="563"/>
      <c r="X679" s="565"/>
      <c r="Y679" s="612"/>
      <c r="Z679" s="612"/>
      <c r="AA679" s="563"/>
      <c r="AB679" s="612"/>
      <c r="AC679" s="569"/>
      <c r="AD679" s="563"/>
      <c r="AE679" s="563"/>
      <c r="AF679" s="563"/>
      <c r="AG679" s="563"/>
      <c r="AH679" s="563"/>
      <c r="AI679" s="563"/>
      <c r="AJ679" s="680"/>
      <c r="AK679" s="563"/>
      <c r="AL679" s="563"/>
      <c r="AM679" s="563"/>
      <c r="AN679" s="563"/>
      <c r="AO679" s="563"/>
      <c r="AP679" s="46"/>
      <c r="AQ679" s="46"/>
      <c r="AR679" s="46"/>
      <c r="AS679" s="46"/>
      <c r="AT679" s="46"/>
      <c r="AU679" s="46"/>
      <c r="AV679" s="46"/>
      <c r="AW679" s="46"/>
      <c r="AX679" s="46"/>
      <c r="AY679" s="46"/>
      <c r="AZ679" s="563"/>
      <c r="BA679" s="569"/>
      <c r="BB679" s="563"/>
      <c r="BC679" s="569"/>
      <c r="BD679" s="563"/>
      <c r="BE679" s="46"/>
      <c r="BF679" s="46"/>
      <c r="BG679" s="563"/>
      <c r="BH679" s="563"/>
      <c r="BI679" s="563"/>
      <c r="BJ679" s="563"/>
    </row>
    <row r="680" spans="2:62" x14ac:dyDescent="0.25">
      <c r="B680" s="569"/>
      <c r="C680" s="672"/>
      <c r="D680" s="563"/>
      <c r="E680" s="563"/>
      <c r="F680" s="569"/>
      <c r="G680" s="563"/>
      <c r="H680" s="563"/>
      <c r="I680" s="600"/>
      <c r="J680" s="569"/>
      <c r="K680" s="563"/>
      <c r="L680" s="563"/>
      <c r="M680" s="563"/>
      <c r="N680" s="563"/>
      <c r="O680" s="563"/>
      <c r="P680" s="563"/>
      <c r="Q680" s="563"/>
      <c r="R680" s="563"/>
      <c r="S680" s="563"/>
      <c r="T680" s="563"/>
      <c r="U680" s="563"/>
      <c r="V680" s="563"/>
      <c r="W680" s="563"/>
      <c r="X680" s="565"/>
      <c r="Y680" s="612"/>
      <c r="Z680" s="612"/>
      <c r="AA680" s="563"/>
      <c r="AB680" s="612"/>
      <c r="AC680" s="569"/>
      <c r="AD680" s="563"/>
      <c r="AE680" s="563"/>
      <c r="AF680" s="563"/>
      <c r="AG680" s="563"/>
      <c r="AH680" s="563"/>
      <c r="AI680" s="563"/>
      <c r="AJ680" s="680"/>
      <c r="AK680" s="563"/>
      <c r="AL680" s="563"/>
      <c r="AM680" s="563"/>
      <c r="AN680" s="563"/>
      <c r="AO680" s="563"/>
      <c r="AP680" s="46"/>
      <c r="AQ680" s="46"/>
      <c r="AR680" s="46"/>
      <c r="AS680" s="46"/>
      <c r="AT680" s="46"/>
      <c r="AU680" s="46"/>
      <c r="AV680" s="46"/>
      <c r="AW680" s="46"/>
      <c r="AX680" s="46"/>
      <c r="AY680" s="46"/>
      <c r="AZ680" s="563"/>
      <c r="BA680" s="569"/>
      <c r="BB680" s="563"/>
      <c r="BC680" s="569"/>
      <c r="BD680" s="563"/>
      <c r="BE680" s="46"/>
      <c r="BF680" s="46"/>
      <c r="BG680" s="563"/>
      <c r="BH680" s="563"/>
      <c r="BI680" s="563"/>
      <c r="BJ680" s="563"/>
    </row>
    <row r="681" spans="2:62" x14ac:dyDescent="0.25">
      <c r="B681" s="569"/>
      <c r="C681" s="672"/>
      <c r="D681" s="563"/>
      <c r="E681" s="563"/>
      <c r="F681" s="569"/>
      <c r="G681" s="563"/>
      <c r="H681" s="563"/>
      <c r="I681" s="600"/>
      <c r="J681" s="569"/>
      <c r="K681" s="563"/>
      <c r="L681" s="563"/>
      <c r="M681" s="563"/>
      <c r="N681" s="563"/>
      <c r="O681" s="563"/>
      <c r="P681" s="563"/>
      <c r="Q681" s="563"/>
      <c r="R681" s="563"/>
      <c r="S681" s="563"/>
      <c r="T681" s="563"/>
      <c r="U681" s="563"/>
      <c r="V681" s="563"/>
      <c r="W681" s="563"/>
      <c r="X681" s="565"/>
      <c r="Y681" s="612"/>
      <c r="Z681" s="612"/>
      <c r="AA681" s="563"/>
      <c r="AB681" s="612"/>
      <c r="AC681" s="569"/>
      <c r="AD681" s="563"/>
      <c r="AE681" s="563"/>
      <c r="AF681" s="563"/>
      <c r="AG681" s="563"/>
      <c r="AH681" s="563"/>
      <c r="AI681" s="563"/>
      <c r="AJ681" s="680"/>
      <c r="AK681" s="563"/>
      <c r="AL681" s="563"/>
      <c r="AM681" s="563"/>
      <c r="AN681" s="563"/>
      <c r="AO681" s="563"/>
      <c r="AP681" s="46"/>
      <c r="AQ681" s="46"/>
      <c r="AR681" s="46"/>
      <c r="AS681" s="46"/>
      <c r="AT681" s="46"/>
      <c r="AU681" s="46"/>
      <c r="AV681" s="46"/>
      <c r="AW681" s="46"/>
      <c r="AX681" s="46"/>
      <c r="AY681" s="46"/>
      <c r="AZ681" s="563"/>
      <c r="BA681" s="569"/>
      <c r="BB681" s="563"/>
      <c r="BC681" s="569"/>
      <c r="BD681" s="563"/>
      <c r="BE681" s="46"/>
      <c r="BF681" s="46"/>
      <c r="BG681" s="563"/>
      <c r="BH681" s="563"/>
      <c r="BI681" s="563"/>
      <c r="BJ681" s="563"/>
    </row>
    <row r="682" spans="2:62" x14ac:dyDescent="0.25">
      <c r="B682" s="569"/>
      <c r="C682" s="672"/>
      <c r="D682" s="563"/>
      <c r="E682" s="563"/>
      <c r="F682" s="569"/>
      <c r="G682" s="563"/>
      <c r="H682" s="563"/>
      <c r="I682" s="600"/>
      <c r="J682" s="569"/>
      <c r="K682" s="563"/>
      <c r="L682" s="563"/>
      <c r="M682" s="563"/>
      <c r="N682" s="563"/>
      <c r="O682" s="563"/>
      <c r="P682" s="563"/>
      <c r="Q682" s="563"/>
      <c r="R682" s="563"/>
      <c r="S682" s="563"/>
      <c r="T682" s="563"/>
      <c r="U682" s="563"/>
      <c r="V682" s="563"/>
      <c r="W682" s="563"/>
      <c r="X682" s="565"/>
      <c r="Y682" s="612"/>
      <c r="Z682" s="612"/>
      <c r="AA682" s="563"/>
      <c r="AB682" s="612"/>
      <c r="AC682" s="569"/>
      <c r="AD682" s="563"/>
      <c r="AE682" s="563"/>
      <c r="AF682" s="563"/>
      <c r="AG682" s="563"/>
      <c r="AH682" s="563"/>
      <c r="AI682" s="563"/>
      <c r="AJ682" s="680"/>
      <c r="AK682" s="563"/>
      <c r="AL682" s="563"/>
      <c r="AM682" s="563"/>
      <c r="AN682" s="563"/>
      <c r="AO682" s="563"/>
      <c r="AP682" s="46"/>
      <c r="AQ682" s="46"/>
      <c r="AR682" s="46"/>
      <c r="AS682" s="46"/>
      <c r="AT682" s="46"/>
      <c r="AU682" s="46"/>
      <c r="AV682" s="46"/>
      <c r="AW682" s="46"/>
      <c r="AX682" s="46"/>
      <c r="AY682" s="46"/>
      <c r="AZ682" s="563"/>
      <c r="BA682" s="569"/>
      <c r="BB682" s="563"/>
      <c r="BC682" s="569"/>
      <c r="BD682" s="563"/>
      <c r="BE682" s="46"/>
      <c r="BF682" s="46"/>
      <c r="BG682" s="563"/>
      <c r="BH682" s="563"/>
      <c r="BI682" s="563"/>
      <c r="BJ682" s="563"/>
    </row>
    <row r="683" spans="2:62" x14ac:dyDescent="0.25">
      <c r="B683" s="569"/>
      <c r="C683" s="672"/>
      <c r="D683" s="563"/>
      <c r="E683" s="563"/>
      <c r="F683" s="569"/>
      <c r="G683" s="563"/>
      <c r="H683" s="563"/>
      <c r="I683" s="600"/>
      <c r="J683" s="569"/>
      <c r="K683" s="563"/>
      <c r="L683" s="563"/>
      <c r="M683" s="563"/>
      <c r="N683" s="563"/>
      <c r="O683" s="563"/>
      <c r="P683" s="563"/>
      <c r="Q683" s="563"/>
      <c r="R683" s="563"/>
      <c r="S683" s="563"/>
      <c r="T683" s="563"/>
      <c r="U683" s="563"/>
      <c r="V683" s="563"/>
      <c r="W683" s="563"/>
      <c r="X683" s="565"/>
      <c r="Y683" s="612"/>
      <c r="Z683" s="612"/>
      <c r="AA683" s="563"/>
      <c r="AB683" s="612"/>
      <c r="AC683" s="569"/>
      <c r="AD683" s="563"/>
      <c r="AE683" s="563"/>
      <c r="AF683" s="563"/>
      <c r="AG683" s="563"/>
      <c r="AH683" s="563"/>
      <c r="AI683" s="563"/>
      <c r="AJ683" s="680"/>
      <c r="AK683" s="563"/>
      <c r="AL683" s="563"/>
      <c r="AM683" s="563"/>
      <c r="AN683" s="563"/>
      <c r="AO683" s="563"/>
      <c r="AP683" s="46"/>
      <c r="AQ683" s="46"/>
      <c r="AR683" s="46"/>
      <c r="AS683" s="46"/>
      <c r="AT683" s="46"/>
      <c r="AU683" s="46"/>
      <c r="AV683" s="46"/>
      <c r="AW683" s="46"/>
      <c r="AX683" s="46"/>
      <c r="AY683" s="46"/>
      <c r="AZ683" s="563"/>
      <c r="BA683" s="569"/>
      <c r="BB683" s="563"/>
      <c r="BC683" s="569"/>
      <c r="BD683" s="563"/>
      <c r="BE683" s="46"/>
      <c r="BF683" s="46"/>
      <c r="BG683" s="563"/>
      <c r="BH683" s="563"/>
      <c r="BI683" s="563"/>
      <c r="BJ683" s="563"/>
    </row>
    <row r="684" spans="2:62" x14ac:dyDescent="0.25">
      <c r="B684" s="569"/>
      <c r="C684" s="672"/>
      <c r="D684" s="563"/>
      <c r="E684" s="563"/>
      <c r="F684" s="569"/>
      <c r="G684" s="563"/>
      <c r="H684" s="563"/>
      <c r="I684" s="600"/>
      <c r="J684" s="569"/>
      <c r="K684" s="563"/>
      <c r="L684" s="563"/>
      <c r="M684" s="563"/>
      <c r="N684" s="563"/>
      <c r="O684" s="563"/>
      <c r="P684" s="563"/>
      <c r="Q684" s="563"/>
      <c r="R684" s="563"/>
      <c r="S684" s="563"/>
      <c r="T684" s="563"/>
      <c r="U684" s="563"/>
      <c r="V684" s="563"/>
      <c r="W684" s="563"/>
      <c r="X684" s="565"/>
      <c r="Y684" s="612"/>
      <c r="Z684" s="612"/>
      <c r="AA684" s="563"/>
      <c r="AB684" s="612"/>
      <c r="AC684" s="569"/>
      <c r="AD684" s="563"/>
      <c r="AE684" s="563"/>
      <c r="AF684" s="563"/>
      <c r="AG684" s="563"/>
      <c r="AH684" s="563"/>
      <c r="AI684" s="563"/>
      <c r="AJ684" s="680"/>
      <c r="AK684" s="563"/>
      <c r="AL684" s="563"/>
      <c r="AM684" s="563"/>
      <c r="AN684" s="563"/>
      <c r="AO684" s="563"/>
      <c r="AP684" s="46"/>
      <c r="AQ684" s="46"/>
      <c r="AR684" s="46"/>
      <c r="AS684" s="46"/>
      <c r="AT684" s="46"/>
      <c r="AU684" s="46"/>
      <c r="AV684" s="46"/>
      <c r="AW684" s="46"/>
      <c r="AX684" s="46"/>
      <c r="AY684" s="46"/>
      <c r="AZ684" s="563"/>
      <c r="BA684" s="569"/>
      <c r="BB684" s="563"/>
      <c r="BC684" s="569"/>
      <c r="BD684" s="563"/>
      <c r="BE684" s="46"/>
      <c r="BF684" s="46"/>
      <c r="BG684" s="563"/>
      <c r="BH684" s="563"/>
      <c r="BI684" s="563"/>
      <c r="BJ684" s="563"/>
    </row>
    <row r="685" spans="2:62" x14ac:dyDescent="0.25">
      <c r="B685" s="569"/>
      <c r="C685" s="672"/>
      <c r="D685" s="563"/>
      <c r="E685" s="563"/>
      <c r="F685" s="569"/>
      <c r="G685" s="563"/>
      <c r="H685" s="563"/>
      <c r="I685" s="600"/>
      <c r="J685" s="569"/>
      <c r="K685" s="563"/>
      <c r="L685" s="563"/>
      <c r="M685" s="563"/>
      <c r="N685" s="563"/>
      <c r="O685" s="563"/>
      <c r="P685" s="563"/>
      <c r="Q685" s="563"/>
      <c r="R685" s="563"/>
      <c r="S685" s="563"/>
      <c r="T685" s="563"/>
      <c r="U685" s="563"/>
      <c r="V685" s="563"/>
      <c r="W685" s="563"/>
      <c r="X685" s="565"/>
      <c r="Y685" s="612"/>
      <c r="Z685" s="612"/>
      <c r="AA685" s="563"/>
      <c r="AB685" s="612"/>
      <c r="AC685" s="569"/>
      <c r="AD685" s="563"/>
      <c r="AE685" s="563"/>
      <c r="AF685" s="563"/>
      <c r="AG685" s="563"/>
      <c r="AH685" s="563"/>
      <c r="AI685" s="563"/>
      <c r="AJ685" s="680"/>
      <c r="AK685" s="563"/>
      <c r="AL685" s="563"/>
      <c r="AM685" s="563"/>
      <c r="AN685" s="563"/>
      <c r="AO685" s="563"/>
      <c r="AP685" s="46"/>
      <c r="AQ685" s="46"/>
      <c r="AR685" s="46"/>
      <c r="AS685" s="46"/>
      <c r="AT685" s="46"/>
      <c r="AU685" s="46"/>
      <c r="AV685" s="46"/>
      <c r="AW685" s="46"/>
      <c r="AX685" s="46"/>
      <c r="AY685" s="46"/>
      <c r="AZ685" s="563"/>
      <c r="BA685" s="569"/>
      <c r="BB685" s="563"/>
      <c r="BC685" s="569"/>
      <c r="BD685" s="563"/>
      <c r="BE685" s="46"/>
      <c r="BF685" s="46"/>
      <c r="BG685" s="563"/>
      <c r="BH685" s="563"/>
      <c r="BI685" s="563"/>
      <c r="BJ685" s="563"/>
    </row>
    <row r="686" spans="2:62" x14ac:dyDescent="0.25">
      <c r="B686" s="569"/>
      <c r="C686" s="672"/>
      <c r="D686" s="563"/>
      <c r="E686" s="563"/>
      <c r="F686" s="569"/>
      <c r="G686" s="563"/>
      <c r="H686" s="563"/>
      <c r="I686" s="600"/>
      <c r="J686" s="569"/>
      <c r="K686" s="563"/>
      <c r="L686" s="563"/>
      <c r="M686" s="563"/>
      <c r="N686" s="563"/>
      <c r="O686" s="563"/>
      <c r="P686" s="563"/>
      <c r="Q686" s="563"/>
      <c r="R686" s="563"/>
      <c r="S686" s="563"/>
      <c r="T686" s="563"/>
      <c r="U686" s="563"/>
      <c r="V686" s="563"/>
      <c r="W686" s="563"/>
      <c r="X686" s="565"/>
      <c r="Y686" s="612"/>
      <c r="Z686" s="612"/>
      <c r="AA686" s="563"/>
      <c r="AB686" s="612"/>
      <c r="AC686" s="569"/>
      <c r="AD686" s="563"/>
      <c r="AE686" s="563"/>
      <c r="AF686" s="563"/>
      <c r="AG686" s="563"/>
      <c r="AH686" s="563"/>
      <c r="AI686" s="563"/>
      <c r="AJ686" s="680"/>
      <c r="AK686" s="563"/>
      <c r="AL686" s="563"/>
      <c r="AM686" s="563"/>
      <c r="AN686" s="563"/>
      <c r="AO686" s="563"/>
      <c r="AP686" s="46"/>
      <c r="AQ686" s="46"/>
      <c r="AR686" s="46"/>
      <c r="AS686" s="46"/>
      <c r="AT686" s="46"/>
      <c r="AU686" s="46"/>
      <c r="AV686" s="46"/>
      <c r="AW686" s="46"/>
      <c r="AX686" s="46"/>
      <c r="AY686" s="46"/>
      <c r="AZ686" s="563"/>
      <c r="BA686" s="569"/>
      <c r="BB686" s="563"/>
      <c r="BC686" s="569"/>
      <c r="BD686" s="563"/>
      <c r="BE686" s="46"/>
      <c r="BF686" s="46"/>
      <c r="BG686" s="563"/>
      <c r="BH686" s="563"/>
      <c r="BI686" s="563"/>
      <c r="BJ686" s="563"/>
    </row>
    <row r="687" spans="2:62" x14ac:dyDescent="0.25">
      <c r="B687" s="569"/>
      <c r="C687" s="672"/>
      <c r="D687" s="563"/>
      <c r="E687" s="563"/>
      <c r="F687" s="569"/>
      <c r="G687" s="563"/>
      <c r="H687" s="563"/>
      <c r="I687" s="600"/>
      <c r="J687" s="569"/>
      <c r="K687" s="563"/>
      <c r="L687" s="563"/>
      <c r="M687" s="563"/>
      <c r="N687" s="563"/>
      <c r="O687" s="563"/>
      <c r="P687" s="563"/>
      <c r="Q687" s="563"/>
      <c r="R687" s="563"/>
      <c r="S687" s="563"/>
      <c r="T687" s="563"/>
      <c r="U687" s="563"/>
      <c r="V687" s="563"/>
      <c r="W687" s="563"/>
      <c r="X687" s="565"/>
      <c r="Y687" s="612"/>
      <c r="Z687" s="612"/>
      <c r="AA687" s="563"/>
      <c r="AB687" s="612"/>
      <c r="AC687" s="569"/>
      <c r="AD687" s="563"/>
      <c r="AE687" s="563"/>
      <c r="AF687" s="563"/>
      <c r="AG687" s="563"/>
      <c r="AH687" s="563"/>
      <c r="AI687" s="563"/>
      <c r="AJ687" s="680"/>
      <c r="AK687" s="563"/>
      <c r="AL687" s="563"/>
      <c r="AM687" s="563"/>
      <c r="AN687" s="563"/>
      <c r="AO687" s="563"/>
      <c r="AP687" s="46"/>
      <c r="AQ687" s="46"/>
      <c r="AR687" s="46"/>
      <c r="AS687" s="46"/>
      <c r="AT687" s="46"/>
      <c r="AU687" s="46"/>
      <c r="AV687" s="46"/>
      <c r="AW687" s="46"/>
      <c r="AX687" s="46"/>
      <c r="AY687" s="46"/>
      <c r="AZ687" s="563"/>
      <c r="BA687" s="569"/>
      <c r="BB687" s="563"/>
      <c r="BC687" s="569"/>
      <c r="BD687" s="563"/>
      <c r="BE687" s="46"/>
      <c r="BF687" s="46"/>
      <c r="BG687" s="563"/>
      <c r="BH687" s="563"/>
      <c r="BI687" s="563"/>
      <c r="BJ687" s="563"/>
    </row>
    <row r="688" spans="2:62" x14ac:dyDescent="0.25">
      <c r="B688" s="569"/>
      <c r="C688" s="672"/>
      <c r="D688" s="563"/>
      <c r="E688" s="563"/>
      <c r="F688" s="569"/>
      <c r="G688" s="563"/>
      <c r="H688" s="563"/>
      <c r="I688" s="600"/>
      <c r="J688" s="569"/>
      <c r="K688" s="563"/>
      <c r="L688" s="563"/>
      <c r="M688" s="563"/>
      <c r="N688" s="563"/>
      <c r="O688" s="563"/>
      <c r="P688" s="563"/>
      <c r="Q688" s="563"/>
      <c r="R688" s="563"/>
      <c r="S688" s="563"/>
      <c r="T688" s="563"/>
      <c r="U688" s="563"/>
      <c r="V688" s="563"/>
      <c r="W688" s="563"/>
      <c r="X688" s="565"/>
      <c r="Y688" s="612"/>
      <c r="Z688" s="612"/>
      <c r="AA688" s="563"/>
      <c r="AB688" s="612"/>
      <c r="AC688" s="569"/>
      <c r="AD688" s="563"/>
      <c r="AE688" s="563"/>
      <c r="AF688" s="563"/>
      <c r="AG688" s="563"/>
      <c r="AH688" s="563"/>
      <c r="AI688" s="563"/>
      <c r="AJ688" s="680"/>
      <c r="AK688" s="563"/>
      <c r="AL688" s="563"/>
      <c r="AM688" s="563"/>
      <c r="AN688" s="563"/>
      <c r="AO688" s="563"/>
      <c r="AP688" s="46"/>
      <c r="AQ688" s="46"/>
      <c r="AR688" s="46"/>
      <c r="AS688" s="46"/>
      <c r="AT688" s="46"/>
      <c r="AU688" s="46"/>
      <c r="AV688" s="46"/>
      <c r="AW688" s="46"/>
      <c r="AX688" s="46"/>
      <c r="AY688" s="46"/>
      <c r="AZ688" s="563"/>
      <c r="BA688" s="569"/>
      <c r="BB688" s="563"/>
      <c r="BC688" s="569"/>
      <c r="BD688" s="563"/>
      <c r="BE688" s="46"/>
      <c r="BF688" s="46"/>
      <c r="BG688" s="563"/>
      <c r="BH688" s="563"/>
      <c r="BI688" s="563"/>
      <c r="BJ688" s="563"/>
    </row>
    <row r="689" spans="2:62" x14ac:dyDescent="0.25">
      <c r="B689" s="569"/>
      <c r="C689" s="672"/>
      <c r="D689" s="563"/>
      <c r="E689" s="563"/>
      <c r="F689" s="569"/>
      <c r="G689" s="563"/>
      <c r="H689" s="563"/>
      <c r="I689" s="600"/>
      <c r="J689" s="569"/>
      <c r="K689" s="563"/>
      <c r="L689" s="563"/>
      <c r="M689" s="563"/>
      <c r="N689" s="563"/>
      <c r="O689" s="563"/>
      <c r="P689" s="563"/>
      <c r="Q689" s="563"/>
      <c r="R689" s="563"/>
      <c r="S689" s="563"/>
      <c r="T689" s="563"/>
      <c r="U689" s="563"/>
      <c r="V689" s="563"/>
      <c r="W689" s="563"/>
      <c r="X689" s="565"/>
      <c r="Y689" s="612"/>
      <c r="Z689" s="612"/>
      <c r="AA689" s="563"/>
      <c r="AB689" s="612"/>
      <c r="AC689" s="569"/>
      <c r="AD689" s="563"/>
      <c r="AE689" s="563"/>
      <c r="AF689" s="563"/>
      <c r="AG689" s="563"/>
      <c r="AH689" s="563"/>
      <c r="AI689" s="563"/>
      <c r="AJ689" s="680"/>
      <c r="AK689" s="563"/>
      <c r="AL689" s="563"/>
      <c r="AM689" s="563"/>
      <c r="AN689" s="563"/>
      <c r="AO689" s="563"/>
      <c r="AP689" s="46"/>
      <c r="AQ689" s="46"/>
      <c r="AR689" s="46"/>
      <c r="AS689" s="46"/>
      <c r="AT689" s="46"/>
      <c r="AU689" s="46"/>
      <c r="AV689" s="46"/>
      <c r="AW689" s="46"/>
      <c r="AX689" s="46"/>
      <c r="AY689" s="46"/>
      <c r="AZ689" s="563"/>
      <c r="BA689" s="569"/>
      <c r="BB689" s="563"/>
      <c r="BC689" s="569"/>
      <c r="BD689" s="563"/>
      <c r="BE689" s="46"/>
      <c r="BF689" s="46"/>
      <c r="BG689" s="563"/>
      <c r="BH689" s="563"/>
      <c r="BI689" s="563"/>
      <c r="BJ689" s="563"/>
    </row>
    <row r="690" spans="2:62" x14ac:dyDescent="0.25">
      <c r="B690" s="569"/>
      <c r="C690" s="672"/>
      <c r="D690" s="563"/>
      <c r="E690" s="563"/>
      <c r="F690" s="569"/>
      <c r="G690" s="563"/>
      <c r="H690" s="563"/>
      <c r="I690" s="600"/>
      <c r="J690" s="569"/>
      <c r="K690" s="563"/>
      <c r="L690" s="563"/>
      <c r="M690" s="563"/>
      <c r="N690" s="563"/>
      <c r="O690" s="563"/>
      <c r="P690" s="563"/>
      <c r="Q690" s="563"/>
      <c r="R690" s="563"/>
      <c r="S690" s="563"/>
      <c r="T690" s="563"/>
      <c r="U690" s="563"/>
      <c r="V690" s="563"/>
      <c r="W690" s="563"/>
      <c r="X690" s="565"/>
      <c r="Y690" s="612"/>
      <c r="Z690" s="612"/>
      <c r="AA690" s="563"/>
      <c r="AB690" s="612"/>
      <c r="AC690" s="569"/>
      <c r="AD690" s="563"/>
      <c r="AE690" s="563"/>
      <c r="AF690" s="563"/>
      <c r="AG690" s="563"/>
      <c r="AH690" s="563"/>
      <c r="AI690" s="563"/>
      <c r="AJ690" s="680"/>
      <c r="AK690" s="563"/>
      <c r="AL690" s="563"/>
      <c r="AM690" s="563"/>
      <c r="AN690" s="563"/>
      <c r="AO690" s="563"/>
      <c r="AP690" s="46"/>
      <c r="AQ690" s="46"/>
      <c r="AR690" s="46"/>
      <c r="AS690" s="46"/>
      <c r="AT690" s="46"/>
      <c r="AU690" s="46"/>
      <c r="AV690" s="46"/>
      <c r="AW690" s="46"/>
      <c r="AX690" s="46"/>
      <c r="AY690" s="46"/>
      <c r="AZ690" s="563"/>
      <c r="BA690" s="569"/>
      <c r="BB690" s="563"/>
      <c r="BC690" s="569"/>
      <c r="BD690" s="563"/>
      <c r="BE690" s="46"/>
      <c r="BF690" s="46"/>
      <c r="BG690" s="563"/>
      <c r="BH690" s="563"/>
      <c r="BI690" s="563"/>
      <c r="BJ690" s="563"/>
    </row>
    <row r="691" spans="2:62" x14ac:dyDescent="0.25">
      <c r="B691" s="569"/>
      <c r="C691" s="672"/>
      <c r="D691" s="563"/>
      <c r="E691" s="563"/>
      <c r="F691" s="569"/>
      <c r="G691" s="563"/>
      <c r="H691" s="563"/>
      <c r="I691" s="600"/>
      <c r="J691" s="569"/>
      <c r="K691" s="563"/>
      <c r="L691" s="563"/>
      <c r="M691" s="563"/>
      <c r="N691" s="563"/>
      <c r="O691" s="563"/>
      <c r="P691" s="563"/>
      <c r="Q691" s="563"/>
      <c r="R691" s="563"/>
      <c r="S691" s="563"/>
      <c r="T691" s="563"/>
      <c r="U691" s="563"/>
      <c r="V691" s="563"/>
      <c r="W691" s="563"/>
      <c r="X691" s="565"/>
      <c r="Y691" s="612"/>
      <c r="Z691" s="612"/>
      <c r="AA691" s="563"/>
      <c r="AB691" s="612"/>
      <c r="AC691" s="569"/>
      <c r="AD691" s="563"/>
      <c r="AE691" s="563"/>
      <c r="AF691" s="563"/>
      <c r="AG691" s="563"/>
      <c r="AH691" s="563"/>
      <c r="AI691" s="563"/>
      <c r="AJ691" s="680"/>
      <c r="AK691" s="563"/>
      <c r="AL691" s="563"/>
      <c r="AM691" s="563"/>
      <c r="AN691" s="563"/>
      <c r="AO691" s="563"/>
      <c r="AP691" s="46"/>
      <c r="AQ691" s="46"/>
      <c r="AR691" s="46"/>
      <c r="AS691" s="46"/>
      <c r="AT691" s="46"/>
      <c r="AU691" s="46"/>
      <c r="AV691" s="46"/>
      <c r="AW691" s="46"/>
      <c r="AX691" s="46"/>
      <c r="AY691" s="46"/>
      <c r="AZ691" s="563"/>
      <c r="BA691" s="569"/>
      <c r="BB691" s="563"/>
      <c r="BC691" s="569"/>
      <c r="BD691" s="563"/>
      <c r="BE691" s="46"/>
      <c r="BF691" s="46"/>
      <c r="BG691" s="563"/>
      <c r="BH691" s="563"/>
      <c r="BI691" s="563"/>
      <c r="BJ691" s="563"/>
    </row>
    <row r="692" spans="2:62" x14ac:dyDescent="0.25">
      <c r="B692" s="569"/>
      <c r="C692" s="672"/>
      <c r="D692" s="563"/>
      <c r="E692" s="563"/>
      <c r="F692" s="569"/>
      <c r="G692" s="563"/>
      <c r="H692" s="563"/>
      <c r="I692" s="600"/>
      <c r="J692" s="569"/>
      <c r="K692" s="563"/>
      <c r="L692" s="563"/>
      <c r="M692" s="563"/>
      <c r="N692" s="563"/>
      <c r="O692" s="563"/>
      <c r="P692" s="563"/>
      <c r="Q692" s="563"/>
      <c r="R692" s="563"/>
      <c r="S692" s="563"/>
      <c r="T692" s="563"/>
      <c r="U692" s="563"/>
      <c r="V692" s="563"/>
      <c r="W692" s="563"/>
      <c r="X692" s="565"/>
      <c r="Y692" s="612"/>
      <c r="Z692" s="612"/>
      <c r="AA692" s="563"/>
      <c r="AB692" s="612"/>
      <c r="AC692" s="569"/>
      <c r="AD692" s="563"/>
      <c r="AE692" s="563"/>
      <c r="AF692" s="563"/>
      <c r="AG692" s="563"/>
      <c r="AH692" s="563"/>
      <c r="AI692" s="563"/>
      <c r="AJ692" s="680"/>
      <c r="AK692" s="563"/>
      <c r="AL692" s="563"/>
      <c r="AM692" s="563"/>
      <c r="AN692" s="563"/>
      <c r="AO692" s="563"/>
      <c r="AP692" s="46"/>
      <c r="AQ692" s="46"/>
      <c r="AR692" s="46"/>
      <c r="AS692" s="46"/>
      <c r="AT692" s="46"/>
      <c r="AU692" s="46"/>
      <c r="AV692" s="46"/>
      <c r="AW692" s="46"/>
      <c r="AX692" s="46"/>
      <c r="AY692" s="46"/>
      <c r="AZ692" s="563"/>
      <c r="BA692" s="569"/>
      <c r="BB692" s="563"/>
      <c r="BC692" s="569"/>
      <c r="BD692" s="563"/>
      <c r="BE692" s="46"/>
      <c r="BF692" s="46"/>
      <c r="BG692" s="563"/>
      <c r="BH692" s="563"/>
      <c r="BI692" s="563"/>
      <c r="BJ692" s="563"/>
    </row>
    <row r="693" spans="2:62" x14ac:dyDescent="0.25">
      <c r="B693" s="569"/>
      <c r="C693" s="672"/>
      <c r="D693" s="563"/>
      <c r="E693" s="563"/>
      <c r="F693" s="569"/>
      <c r="G693" s="563"/>
      <c r="H693" s="563"/>
      <c r="I693" s="600"/>
      <c r="J693" s="569"/>
      <c r="K693" s="563"/>
      <c r="L693" s="563"/>
      <c r="M693" s="563"/>
      <c r="N693" s="563"/>
      <c r="O693" s="563"/>
      <c r="P693" s="563"/>
      <c r="Q693" s="563"/>
      <c r="R693" s="563"/>
      <c r="S693" s="563"/>
      <c r="T693" s="563"/>
      <c r="U693" s="563"/>
      <c r="V693" s="563"/>
      <c r="W693" s="563"/>
      <c r="X693" s="565"/>
      <c r="Y693" s="612"/>
      <c r="Z693" s="612"/>
      <c r="AA693" s="563"/>
      <c r="AB693" s="612"/>
      <c r="AC693" s="569"/>
      <c r="AD693" s="563"/>
      <c r="AE693" s="563"/>
      <c r="AF693" s="563"/>
      <c r="AG693" s="563"/>
      <c r="AH693" s="563"/>
      <c r="AI693" s="563"/>
      <c r="AJ693" s="680"/>
      <c r="AK693" s="563"/>
      <c r="AL693" s="563"/>
      <c r="AM693" s="563"/>
      <c r="AN693" s="563"/>
      <c r="AO693" s="563"/>
      <c r="AP693" s="46"/>
      <c r="AQ693" s="46"/>
      <c r="AR693" s="46"/>
      <c r="AS693" s="46"/>
      <c r="AT693" s="46"/>
      <c r="AU693" s="46"/>
      <c r="AV693" s="46"/>
      <c r="AW693" s="46"/>
      <c r="AX693" s="46"/>
      <c r="AY693" s="46"/>
      <c r="AZ693" s="563"/>
      <c r="BA693" s="569"/>
      <c r="BB693" s="563"/>
      <c r="BC693" s="569"/>
      <c r="BD693" s="563"/>
      <c r="BE693" s="46"/>
      <c r="BF693" s="46"/>
      <c r="BG693" s="563"/>
      <c r="BH693" s="563"/>
      <c r="BI693" s="563"/>
      <c r="BJ693" s="563"/>
    </row>
    <row r="694" spans="2:62" x14ac:dyDescent="0.25">
      <c r="B694" s="569"/>
      <c r="C694" s="672"/>
      <c r="D694" s="563"/>
      <c r="E694" s="563"/>
      <c r="F694" s="569"/>
      <c r="G694" s="563"/>
      <c r="H694" s="563"/>
      <c r="I694" s="600"/>
      <c r="J694" s="569"/>
      <c r="K694" s="563"/>
      <c r="L694" s="563"/>
      <c r="M694" s="563"/>
      <c r="N694" s="563"/>
      <c r="O694" s="563"/>
      <c r="P694" s="563"/>
      <c r="Q694" s="563"/>
      <c r="R694" s="563"/>
      <c r="S694" s="563"/>
      <c r="T694" s="563"/>
      <c r="U694" s="563"/>
      <c r="V694" s="563"/>
      <c r="W694" s="563"/>
      <c r="X694" s="565"/>
      <c r="Y694" s="612"/>
      <c r="Z694" s="612"/>
      <c r="AA694" s="563"/>
      <c r="AB694" s="612"/>
      <c r="AC694" s="569"/>
      <c r="AD694" s="563"/>
      <c r="AE694" s="563"/>
      <c r="AF694" s="563"/>
      <c r="AG694" s="563"/>
      <c r="AH694" s="563"/>
      <c r="AI694" s="563"/>
      <c r="AJ694" s="680"/>
      <c r="AK694" s="563"/>
      <c r="AL694" s="563"/>
      <c r="AM694" s="563"/>
      <c r="AN694" s="563"/>
      <c r="AO694" s="563"/>
      <c r="AP694" s="46"/>
      <c r="AQ694" s="46"/>
      <c r="AR694" s="46"/>
      <c r="AS694" s="46"/>
      <c r="AT694" s="46"/>
      <c r="AU694" s="46"/>
      <c r="AV694" s="46"/>
      <c r="AW694" s="46"/>
      <c r="AX694" s="46"/>
      <c r="AY694" s="46"/>
      <c r="AZ694" s="563"/>
      <c r="BA694" s="569"/>
      <c r="BB694" s="563"/>
      <c r="BC694" s="569"/>
      <c r="BD694" s="563"/>
      <c r="BE694" s="46"/>
      <c r="BF694" s="46"/>
      <c r="BG694" s="563"/>
      <c r="BH694" s="563"/>
      <c r="BI694" s="563"/>
      <c r="BJ694" s="563"/>
    </row>
    <row r="695" spans="2:62" x14ac:dyDescent="0.25">
      <c r="B695" s="569"/>
      <c r="C695" s="672"/>
      <c r="D695" s="563"/>
      <c r="E695" s="563"/>
      <c r="F695" s="569"/>
      <c r="G695" s="563"/>
      <c r="H695" s="563"/>
      <c r="I695" s="600"/>
      <c r="J695" s="569"/>
      <c r="K695" s="563"/>
      <c r="L695" s="563"/>
      <c r="M695" s="563"/>
      <c r="N695" s="563"/>
      <c r="O695" s="563"/>
      <c r="P695" s="563"/>
      <c r="Q695" s="563"/>
      <c r="R695" s="563"/>
      <c r="S695" s="563"/>
      <c r="T695" s="563"/>
      <c r="U695" s="563"/>
      <c r="V695" s="563"/>
      <c r="W695" s="563"/>
      <c r="X695" s="565"/>
      <c r="Y695" s="612"/>
      <c r="Z695" s="612"/>
      <c r="AA695" s="563"/>
      <c r="AB695" s="612"/>
      <c r="AC695" s="569"/>
      <c r="AD695" s="563"/>
      <c r="AE695" s="563"/>
      <c r="AF695" s="563"/>
      <c r="AG695" s="563"/>
      <c r="AH695" s="563"/>
      <c r="AI695" s="563"/>
      <c r="AJ695" s="680"/>
      <c r="AK695" s="563"/>
      <c r="AL695" s="563"/>
      <c r="AM695" s="563"/>
      <c r="AN695" s="563"/>
      <c r="AO695" s="563"/>
      <c r="AP695" s="46"/>
      <c r="AQ695" s="46"/>
      <c r="AR695" s="46"/>
      <c r="AS695" s="46"/>
      <c r="AT695" s="46"/>
      <c r="AU695" s="46"/>
      <c r="AV695" s="46"/>
      <c r="AW695" s="46"/>
      <c r="AX695" s="46"/>
      <c r="AY695" s="46"/>
      <c r="AZ695" s="563"/>
      <c r="BA695" s="569"/>
      <c r="BB695" s="563"/>
      <c r="BC695" s="569"/>
      <c r="BD695" s="563"/>
      <c r="BE695" s="46"/>
      <c r="BF695" s="46"/>
      <c r="BG695" s="563"/>
      <c r="BH695" s="563"/>
      <c r="BI695" s="563"/>
      <c r="BJ695" s="563"/>
    </row>
    <row r="696" spans="2:62" x14ac:dyDescent="0.25">
      <c r="B696" s="569"/>
      <c r="C696" s="672"/>
      <c r="D696" s="563"/>
      <c r="E696" s="563"/>
      <c r="F696" s="569"/>
      <c r="G696" s="563"/>
      <c r="H696" s="563"/>
      <c r="I696" s="600"/>
      <c r="J696" s="569"/>
      <c r="K696" s="563"/>
      <c r="L696" s="563"/>
      <c r="M696" s="563"/>
      <c r="N696" s="563"/>
      <c r="O696" s="563"/>
      <c r="P696" s="563"/>
      <c r="Q696" s="563"/>
      <c r="R696" s="563"/>
      <c r="S696" s="563"/>
      <c r="T696" s="563"/>
      <c r="U696" s="563"/>
      <c r="V696" s="563"/>
      <c r="W696" s="563"/>
      <c r="X696" s="565"/>
      <c r="Y696" s="612"/>
      <c r="Z696" s="612"/>
      <c r="AA696" s="563"/>
      <c r="AB696" s="612"/>
      <c r="AC696" s="569"/>
      <c r="AD696" s="563"/>
      <c r="AE696" s="563"/>
      <c r="AF696" s="563"/>
      <c r="AG696" s="563"/>
      <c r="AH696" s="563"/>
      <c r="AI696" s="563"/>
      <c r="AJ696" s="680"/>
      <c r="AK696" s="563"/>
      <c r="AL696" s="563"/>
      <c r="AM696" s="563"/>
      <c r="AN696" s="563"/>
      <c r="AO696" s="563"/>
      <c r="AP696" s="46"/>
      <c r="AQ696" s="46"/>
      <c r="AR696" s="46"/>
      <c r="AS696" s="46"/>
      <c r="AT696" s="46"/>
      <c r="AU696" s="46"/>
      <c r="AV696" s="46"/>
      <c r="AW696" s="46"/>
      <c r="AX696" s="46"/>
      <c r="AY696" s="46"/>
      <c r="AZ696" s="563"/>
      <c r="BA696" s="569"/>
      <c r="BB696" s="563"/>
      <c r="BC696" s="569"/>
      <c r="BD696" s="563"/>
      <c r="BE696" s="46"/>
      <c r="BF696" s="46"/>
      <c r="BG696" s="563"/>
      <c r="BH696" s="563"/>
      <c r="BI696" s="563"/>
      <c r="BJ696" s="563"/>
    </row>
    <row r="697" spans="2:62" x14ac:dyDescent="0.25">
      <c r="B697" s="569"/>
      <c r="C697" s="672"/>
      <c r="D697" s="563"/>
      <c r="E697" s="563"/>
      <c r="F697" s="569"/>
      <c r="G697" s="563"/>
      <c r="H697" s="563"/>
      <c r="I697" s="600"/>
      <c r="J697" s="569"/>
      <c r="K697" s="563"/>
      <c r="L697" s="563"/>
      <c r="M697" s="563"/>
      <c r="N697" s="563"/>
      <c r="O697" s="563"/>
      <c r="P697" s="563"/>
      <c r="Q697" s="563"/>
      <c r="R697" s="563"/>
      <c r="S697" s="563"/>
      <c r="T697" s="563"/>
      <c r="U697" s="563"/>
      <c r="V697" s="563"/>
      <c r="W697" s="563"/>
      <c r="X697" s="565"/>
      <c r="Y697" s="612"/>
      <c r="Z697" s="612"/>
      <c r="AA697" s="563"/>
      <c r="AB697" s="612"/>
      <c r="AC697" s="569"/>
      <c r="AD697" s="563"/>
      <c r="AE697" s="563"/>
      <c r="AF697" s="563"/>
      <c r="AG697" s="563"/>
      <c r="AH697" s="563"/>
      <c r="AI697" s="563"/>
      <c r="AJ697" s="680"/>
      <c r="AK697" s="563"/>
      <c r="AL697" s="563"/>
      <c r="AM697" s="563"/>
      <c r="AN697" s="563"/>
      <c r="AO697" s="563"/>
      <c r="AP697" s="46"/>
      <c r="AQ697" s="46"/>
      <c r="AR697" s="46"/>
      <c r="AS697" s="46"/>
      <c r="AT697" s="46"/>
      <c r="AU697" s="46"/>
      <c r="AV697" s="46"/>
      <c r="AW697" s="46"/>
      <c r="AX697" s="46"/>
      <c r="AY697" s="46"/>
      <c r="AZ697" s="563"/>
      <c r="BA697" s="569"/>
      <c r="BB697" s="563"/>
      <c r="BC697" s="569"/>
      <c r="BD697" s="563"/>
      <c r="BE697" s="46"/>
      <c r="BF697" s="46"/>
      <c r="BG697" s="563"/>
      <c r="BH697" s="563"/>
      <c r="BI697" s="563"/>
      <c r="BJ697" s="563"/>
    </row>
    <row r="698" spans="2:62" x14ac:dyDescent="0.25">
      <c r="B698" s="569"/>
      <c r="C698" s="672"/>
      <c r="D698" s="563"/>
      <c r="E698" s="563"/>
      <c r="F698" s="569"/>
      <c r="G698" s="563"/>
      <c r="H698" s="563"/>
      <c r="I698" s="600"/>
      <c r="J698" s="569"/>
      <c r="K698" s="563"/>
      <c r="L698" s="563"/>
      <c r="M698" s="563"/>
      <c r="N698" s="563"/>
      <c r="O698" s="563"/>
      <c r="P698" s="563"/>
      <c r="Q698" s="563"/>
      <c r="R698" s="563"/>
      <c r="S698" s="563"/>
      <c r="T698" s="563"/>
      <c r="U698" s="563"/>
      <c r="V698" s="563"/>
      <c r="W698" s="563"/>
      <c r="X698" s="565"/>
      <c r="Y698" s="612"/>
      <c r="Z698" s="612"/>
      <c r="AA698" s="563"/>
      <c r="AB698" s="612"/>
      <c r="AC698" s="569"/>
      <c r="AD698" s="563"/>
      <c r="AE698" s="563"/>
      <c r="AF698" s="563"/>
      <c r="AG698" s="563"/>
      <c r="AH698" s="563"/>
      <c r="AI698" s="563"/>
      <c r="AJ698" s="680"/>
      <c r="AK698" s="563"/>
      <c r="AL698" s="563"/>
      <c r="AM698" s="563"/>
      <c r="AN698" s="563"/>
      <c r="AO698" s="563"/>
      <c r="AP698" s="46"/>
      <c r="AQ698" s="46"/>
      <c r="AR698" s="46"/>
      <c r="AS698" s="46"/>
      <c r="AT698" s="46"/>
      <c r="AU698" s="46"/>
      <c r="AV698" s="46"/>
      <c r="AW698" s="46"/>
      <c r="AX698" s="46"/>
      <c r="AY698" s="46"/>
      <c r="AZ698" s="563"/>
      <c r="BA698" s="569"/>
      <c r="BB698" s="563"/>
      <c r="BC698" s="569"/>
      <c r="BD698" s="563"/>
      <c r="BE698" s="46"/>
      <c r="BF698" s="46"/>
      <c r="BG698" s="563"/>
      <c r="BH698" s="563"/>
      <c r="BI698" s="563"/>
      <c r="BJ698" s="563"/>
    </row>
    <row r="699" spans="2:62" x14ac:dyDescent="0.25">
      <c r="B699" s="569"/>
      <c r="C699" s="672"/>
      <c r="D699" s="563"/>
      <c r="E699" s="563"/>
      <c r="F699" s="569"/>
      <c r="G699" s="563"/>
      <c r="H699" s="563"/>
      <c r="I699" s="600"/>
      <c r="J699" s="569"/>
      <c r="K699" s="563"/>
      <c r="L699" s="563"/>
      <c r="M699" s="563"/>
      <c r="N699" s="563"/>
      <c r="O699" s="563"/>
      <c r="P699" s="563"/>
      <c r="Q699" s="563"/>
      <c r="R699" s="563"/>
      <c r="S699" s="563"/>
      <c r="T699" s="563"/>
      <c r="U699" s="563"/>
      <c r="V699" s="563"/>
      <c r="W699" s="563"/>
      <c r="X699" s="565"/>
      <c r="Y699" s="612"/>
      <c r="Z699" s="612"/>
      <c r="AA699" s="563"/>
      <c r="AB699" s="612"/>
      <c r="AC699" s="569"/>
      <c r="AD699" s="563"/>
      <c r="AE699" s="563"/>
      <c r="AF699" s="563"/>
      <c r="AG699" s="563"/>
      <c r="AH699" s="563"/>
      <c r="AI699" s="563"/>
      <c r="AJ699" s="680"/>
      <c r="AK699" s="563"/>
      <c r="AL699" s="563"/>
      <c r="AM699" s="563"/>
      <c r="AN699" s="563"/>
      <c r="AO699" s="563"/>
      <c r="AP699" s="46"/>
      <c r="AQ699" s="46"/>
      <c r="AR699" s="46"/>
      <c r="AS699" s="46"/>
      <c r="AT699" s="46"/>
      <c r="AU699" s="46"/>
      <c r="AV699" s="46"/>
      <c r="AW699" s="46"/>
      <c r="AX699" s="46"/>
      <c r="AY699" s="46"/>
      <c r="AZ699" s="563"/>
      <c r="BA699" s="569"/>
      <c r="BB699" s="563"/>
      <c r="BC699" s="569"/>
      <c r="BD699" s="563"/>
      <c r="BE699" s="46"/>
      <c r="BF699" s="46"/>
      <c r="BG699" s="563"/>
      <c r="BH699" s="563"/>
      <c r="BI699" s="563"/>
      <c r="BJ699" s="563"/>
    </row>
    <row r="700" spans="2:62" x14ac:dyDescent="0.25">
      <c r="B700" s="569"/>
      <c r="C700" s="672"/>
      <c r="D700" s="563"/>
      <c r="E700" s="563"/>
      <c r="F700" s="569"/>
      <c r="G700" s="563"/>
      <c r="H700" s="563"/>
      <c r="I700" s="600"/>
      <c r="J700" s="569"/>
      <c r="K700" s="563"/>
      <c r="L700" s="563"/>
      <c r="M700" s="563"/>
      <c r="N700" s="563"/>
      <c r="O700" s="563"/>
      <c r="P700" s="563"/>
      <c r="Q700" s="563"/>
      <c r="R700" s="563"/>
      <c r="S700" s="563"/>
      <c r="T700" s="563"/>
      <c r="U700" s="563"/>
      <c r="V700" s="563"/>
      <c r="W700" s="563"/>
      <c r="X700" s="565"/>
      <c r="Y700" s="612"/>
      <c r="Z700" s="612"/>
      <c r="AA700" s="563"/>
      <c r="AB700" s="612"/>
      <c r="AC700" s="569"/>
      <c r="AD700" s="563"/>
      <c r="AE700" s="563"/>
      <c r="AF700" s="563"/>
      <c r="AG700" s="563"/>
      <c r="AH700" s="563"/>
      <c r="AI700" s="563"/>
      <c r="AJ700" s="680"/>
      <c r="AK700" s="563"/>
      <c r="AL700" s="563"/>
      <c r="AM700" s="563"/>
      <c r="AN700" s="563"/>
      <c r="AO700" s="563"/>
      <c r="AP700" s="46"/>
      <c r="AQ700" s="46"/>
      <c r="AR700" s="46"/>
      <c r="AS700" s="46"/>
      <c r="AT700" s="46"/>
      <c r="AU700" s="46"/>
      <c r="AV700" s="46"/>
      <c r="AW700" s="46"/>
      <c r="AX700" s="46"/>
      <c r="AY700" s="46"/>
      <c r="AZ700" s="563"/>
      <c r="BA700" s="569"/>
      <c r="BB700" s="563"/>
      <c r="BC700" s="569"/>
      <c r="BD700" s="563"/>
      <c r="BE700" s="46"/>
      <c r="BF700" s="46"/>
      <c r="BG700" s="563"/>
      <c r="BH700" s="563"/>
      <c r="BI700" s="563"/>
      <c r="BJ700" s="563"/>
    </row>
    <row r="701" spans="2:62" x14ac:dyDescent="0.25">
      <c r="B701" s="569"/>
      <c r="C701" s="672"/>
      <c r="D701" s="563"/>
      <c r="E701" s="563"/>
      <c r="F701" s="569"/>
      <c r="G701" s="563"/>
      <c r="H701" s="563"/>
      <c r="I701" s="600"/>
      <c r="J701" s="569"/>
      <c r="K701" s="563"/>
      <c r="L701" s="563"/>
      <c r="M701" s="563"/>
      <c r="N701" s="563"/>
      <c r="O701" s="563"/>
      <c r="P701" s="563"/>
      <c r="Q701" s="563"/>
      <c r="R701" s="563"/>
      <c r="S701" s="563"/>
      <c r="T701" s="563"/>
      <c r="U701" s="563"/>
      <c r="V701" s="563"/>
      <c r="W701" s="563"/>
      <c r="X701" s="565"/>
      <c r="Y701" s="612"/>
      <c r="Z701" s="612"/>
      <c r="AA701" s="563"/>
      <c r="AB701" s="612"/>
      <c r="AC701" s="569"/>
      <c r="AD701" s="563"/>
      <c r="AE701" s="563"/>
      <c r="AF701" s="563"/>
      <c r="AG701" s="563"/>
      <c r="AH701" s="563"/>
      <c r="AI701" s="563"/>
      <c r="AJ701" s="680"/>
      <c r="AK701" s="563"/>
      <c r="AL701" s="563"/>
      <c r="AM701" s="563"/>
      <c r="AN701" s="563"/>
      <c r="AO701" s="563"/>
      <c r="AP701" s="46"/>
      <c r="AQ701" s="46"/>
      <c r="AR701" s="46"/>
      <c r="AS701" s="46"/>
      <c r="AT701" s="46"/>
      <c r="AU701" s="46"/>
      <c r="AV701" s="46"/>
      <c r="AW701" s="46"/>
      <c r="AX701" s="46"/>
      <c r="AY701" s="46"/>
      <c r="AZ701" s="563"/>
      <c r="BA701" s="569"/>
      <c r="BB701" s="563"/>
      <c r="BC701" s="569"/>
      <c r="BD701" s="563"/>
      <c r="BE701" s="46"/>
      <c r="BF701" s="46"/>
      <c r="BG701" s="563"/>
      <c r="BH701" s="563"/>
      <c r="BI701" s="563"/>
      <c r="BJ701" s="563"/>
    </row>
    <row r="702" spans="2:62" x14ac:dyDescent="0.25">
      <c r="B702" s="569"/>
      <c r="C702" s="672"/>
      <c r="D702" s="563"/>
      <c r="E702" s="563"/>
      <c r="F702" s="569"/>
      <c r="G702" s="563"/>
      <c r="H702" s="563"/>
      <c r="I702" s="600"/>
      <c r="J702" s="569"/>
      <c r="K702" s="563"/>
      <c r="L702" s="563"/>
      <c r="M702" s="563"/>
      <c r="N702" s="563"/>
      <c r="O702" s="563"/>
      <c r="P702" s="563"/>
      <c r="Q702" s="563"/>
      <c r="R702" s="563"/>
      <c r="S702" s="563"/>
      <c r="T702" s="563"/>
      <c r="U702" s="563"/>
      <c r="V702" s="563"/>
      <c r="W702" s="563"/>
      <c r="X702" s="565"/>
      <c r="Y702" s="612"/>
      <c r="Z702" s="612"/>
      <c r="AA702" s="563"/>
      <c r="AB702" s="612"/>
      <c r="AC702" s="569"/>
      <c r="AD702" s="563"/>
      <c r="AE702" s="563"/>
      <c r="AF702" s="563"/>
      <c r="AG702" s="563"/>
      <c r="AH702" s="563"/>
      <c r="AI702" s="563"/>
      <c r="AJ702" s="680"/>
      <c r="AK702" s="563"/>
      <c r="AL702" s="563"/>
      <c r="AM702" s="563"/>
      <c r="AN702" s="563"/>
      <c r="AO702" s="563"/>
      <c r="AP702" s="46"/>
      <c r="AQ702" s="46"/>
      <c r="AR702" s="46"/>
      <c r="AS702" s="46"/>
      <c r="AT702" s="46"/>
      <c r="AU702" s="46"/>
      <c r="AV702" s="46"/>
      <c r="AW702" s="46"/>
      <c r="AX702" s="46"/>
      <c r="AY702" s="46"/>
      <c r="AZ702" s="563"/>
      <c r="BA702" s="569"/>
      <c r="BB702" s="563"/>
      <c r="BC702" s="569"/>
      <c r="BD702" s="563"/>
      <c r="BE702" s="46"/>
      <c r="BF702" s="46"/>
      <c r="BG702" s="563"/>
      <c r="BH702" s="563"/>
      <c r="BI702" s="563"/>
      <c r="BJ702" s="563"/>
    </row>
    <row r="703" spans="2:62" x14ac:dyDescent="0.25">
      <c r="B703" s="569"/>
      <c r="C703" s="672"/>
      <c r="D703" s="563"/>
      <c r="E703" s="563"/>
      <c r="F703" s="569"/>
      <c r="G703" s="563"/>
      <c r="H703" s="563"/>
      <c r="I703" s="600"/>
      <c r="J703" s="569"/>
      <c r="K703" s="563"/>
      <c r="L703" s="563"/>
      <c r="M703" s="563"/>
      <c r="N703" s="563"/>
      <c r="O703" s="563"/>
      <c r="P703" s="563"/>
      <c r="Q703" s="563"/>
      <c r="R703" s="563"/>
      <c r="S703" s="563"/>
      <c r="T703" s="563"/>
      <c r="U703" s="563"/>
      <c r="V703" s="563"/>
      <c r="W703" s="563"/>
      <c r="X703" s="565"/>
      <c r="Y703" s="612"/>
      <c r="Z703" s="612"/>
      <c r="AA703" s="563"/>
      <c r="AB703" s="612"/>
      <c r="AC703" s="569"/>
      <c r="AD703" s="563"/>
      <c r="AE703" s="563"/>
      <c r="AF703" s="563"/>
      <c r="AG703" s="563"/>
      <c r="AH703" s="563"/>
      <c r="AI703" s="563"/>
      <c r="AJ703" s="680"/>
      <c r="AK703" s="563"/>
      <c r="AL703" s="563"/>
      <c r="AM703" s="563"/>
      <c r="AN703" s="563"/>
      <c r="AO703" s="563"/>
      <c r="AP703" s="46"/>
      <c r="AQ703" s="46"/>
      <c r="AR703" s="46"/>
      <c r="AS703" s="46"/>
      <c r="AT703" s="46"/>
      <c r="AU703" s="46"/>
      <c r="AV703" s="46"/>
      <c r="AW703" s="46"/>
      <c r="AX703" s="46"/>
      <c r="AY703" s="46"/>
      <c r="AZ703" s="563"/>
      <c r="BA703" s="569"/>
      <c r="BB703" s="563"/>
      <c r="BC703" s="569"/>
      <c r="BD703" s="563"/>
      <c r="BE703" s="46"/>
      <c r="BF703" s="46"/>
      <c r="BG703" s="563"/>
      <c r="BH703" s="563"/>
      <c r="BI703" s="563"/>
      <c r="BJ703" s="563"/>
    </row>
    <row r="704" spans="2:62" x14ac:dyDescent="0.25">
      <c r="B704" s="569"/>
      <c r="C704" s="672"/>
      <c r="D704" s="563"/>
      <c r="E704" s="563"/>
      <c r="F704" s="569"/>
      <c r="G704" s="563"/>
      <c r="H704" s="563"/>
      <c r="I704" s="600"/>
      <c r="J704" s="569"/>
      <c r="K704" s="563"/>
      <c r="L704" s="563"/>
      <c r="M704" s="563"/>
      <c r="N704" s="563"/>
      <c r="O704" s="563"/>
      <c r="P704" s="563"/>
      <c r="Q704" s="563"/>
      <c r="R704" s="563"/>
      <c r="S704" s="563"/>
      <c r="T704" s="563"/>
      <c r="U704" s="563"/>
      <c r="V704" s="563"/>
      <c r="W704" s="563"/>
      <c r="X704" s="565"/>
      <c r="Y704" s="612"/>
      <c r="Z704" s="612"/>
      <c r="AA704" s="563"/>
      <c r="AB704" s="612"/>
      <c r="AC704" s="569"/>
      <c r="AD704" s="563"/>
      <c r="AE704" s="563"/>
      <c r="AF704" s="563"/>
      <c r="AG704" s="563"/>
      <c r="AH704" s="563"/>
      <c r="AI704" s="563"/>
      <c r="AJ704" s="680"/>
      <c r="AK704" s="563"/>
      <c r="AL704" s="563"/>
      <c r="AM704" s="563"/>
      <c r="AN704" s="563"/>
      <c r="AO704" s="563"/>
      <c r="AP704" s="46"/>
      <c r="AQ704" s="46"/>
      <c r="AR704" s="46"/>
      <c r="AS704" s="46"/>
      <c r="AT704" s="46"/>
      <c r="AU704" s="46"/>
      <c r="AV704" s="46"/>
      <c r="AW704" s="46"/>
      <c r="AX704" s="46"/>
      <c r="AY704" s="46"/>
      <c r="AZ704" s="563"/>
      <c r="BA704" s="569"/>
      <c r="BB704" s="563"/>
      <c r="BC704" s="569"/>
      <c r="BD704" s="563"/>
      <c r="BE704" s="46"/>
      <c r="BF704" s="46"/>
      <c r="BG704" s="563"/>
      <c r="BH704" s="563"/>
      <c r="BI704" s="563"/>
      <c r="BJ704" s="563"/>
    </row>
    <row r="705" spans="2:62" x14ac:dyDescent="0.25">
      <c r="B705" s="569"/>
      <c r="C705" s="672"/>
      <c r="D705" s="563"/>
      <c r="E705" s="563"/>
      <c r="F705" s="569"/>
      <c r="G705" s="563"/>
      <c r="H705" s="563"/>
      <c r="I705" s="600"/>
      <c r="J705" s="569"/>
      <c r="K705" s="563"/>
      <c r="L705" s="563"/>
      <c r="M705" s="563"/>
      <c r="N705" s="563"/>
      <c r="O705" s="563"/>
      <c r="P705" s="563"/>
      <c r="Q705" s="563"/>
      <c r="R705" s="563"/>
      <c r="S705" s="563"/>
      <c r="T705" s="563"/>
      <c r="U705" s="563"/>
      <c r="V705" s="563"/>
      <c r="W705" s="563"/>
      <c r="X705" s="565"/>
      <c r="Y705" s="612"/>
      <c r="Z705" s="612"/>
      <c r="AA705" s="563"/>
      <c r="AB705" s="612"/>
      <c r="AC705" s="569"/>
      <c r="AD705" s="563"/>
      <c r="AE705" s="563"/>
      <c r="AF705" s="563"/>
      <c r="AG705" s="563"/>
      <c r="AH705" s="563"/>
      <c r="AI705" s="563"/>
      <c r="AJ705" s="680"/>
      <c r="AK705" s="563"/>
      <c r="AL705" s="563"/>
      <c r="AM705" s="563"/>
      <c r="AN705" s="563"/>
      <c r="AO705" s="563"/>
      <c r="AP705" s="46"/>
      <c r="AQ705" s="46"/>
      <c r="AR705" s="46"/>
      <c r="AS705" s="46"/>
      <c r="AT705" s="46"/>
      <c r="AU705" s="46"/>
      <c r="AV705" s="46"/>
      <c r="AW705" s="46"/>
      <c r="AX705" s="46"/>
      <c r="AY705" s="46"/>
      <c r="AZ705" s="563"/>
      <c r="BA705" s="569"/>
      <c r="BB705" s="563"/>
      <c r="BC705" s="569"/>
      <c r="BD705" s="563"/>
      <c r="BE705" s="46"/>
      <c r="BF705" s="46"/>
      <c r="BG705" s="563"/>
      <c r="BH705" s="563"/>
      <c r="BI705" s="563"/>
      <c r="BJ705" s="563"/>
    </row>
    <row r="706" spans="2:62" x14ac:dyDescent="0.25">
      <c r="B706" s="569"/>
      <c r="C706" s="672"/>
      <c r="D706" s="563"/>
      <c r="E706" s="563"/>
      <c r="F706" s="569"/>
      <c r="G706" s="563"/>
      <c r="H706" s="563"/>
      <c r="I706" s="600"/>
      <c r="J706" s="569"/>
      <c r="K706" s="563"/>
      <c r="L706" s="563"/>
      <c r="M706" s="563"/>
      <c r="N706" s="563"/>
      <c r="O706" s="563"/>
      <c r="P706" s="563"/>
      <c r="Q706" s="563"/>
      <c r="R706" s="563"/>
      <c r="S706" s="563"/>
      <c r="T706" s="563"/>
      <c r="U706" s="563"/>
      <c r="V706" s="563"/>
      <c r="W706" s="563"/>
      <c r="X706" s="565"/>
      <c r="Y706" s="612"/>
      <c r="Z706" s="612"/>
      <c r="AA706" s="563"/>
      <c r="AB706" s="612"/>
      <c r="AC706" s="569"/>
      <c r="AD706" s="563"/>
      <c r="AE706" s="563"/>
      <c r="AF706" s="563"/>
      <c r="AG706" s="563"/>
      <c r="AH706" s="563"/>
      <c r="AI706" s="563"/>
      <c r="AJ706" s="680"/>
      <c r="AK706" s="563"/>
      <c r="AL706" s="563"/>
      <c r="AM706" s="563"/>
      <c r="AN706" s="563"/>
      <c r="AO706" s="563"/>
      <c r="AP706" s="46"/>
      <c r="AQ706" s="46"/>
      <c r="AR706" s="46"/>
      <c r="AS706" s="46"/>
      <c r="AT706" s="46"/>
      <c r="AU706" s="46"/>
      <c r="AV706" s="46"/>
      <c r="AW706" s="46"/>
      <c r="AX706" s="46"/>
      <c r="AY706" s="46"/>
      <c r="AZ706" s="563"/>
      <c r="BA706" s="569"/>
      <c r="BB706" s="563"/>
      <c r="BC706" s="569"/>
      <c r="BD706" s="563"/>
      <c r="BE706" s="46"/>
      <c r="BF706" s="46"/>
      <c r="BG706" s="563"/>
      <c r="BH706" s="563"/>
      <c r="BI706" s="563"/>
      <c r="BJ706" s="563"/>
    </row>
    <row r="707" spans="2:62" x14ac:dyDescent="0.25">
      <c r="B707" s="569"/>
      <c r="C707" s="672"/>
      <c r="D707" s="563"/>
      <c r="E707" s="563"/>
      <c r="F707" s="569"/>
      <c r="G707" s="563"/>
      <c r="H707" s="563"/>
      <c r="I707" s="600"/>
      <c r="J707" s="569"/>
      <c r="K707" s="563"/>
      <c r="L707" s="563"/>
      <c r="M707" s="563"/>
      <c r="N707" s="563"/>
      <c r="O707" s="563"/>
      <c r="P707" s="563"/>
      <c r="Q707" s="563"/>
      <c r="R707" s="563"/>
      <c r="S707" s="563"/>
      <c r="T707" s="563"/>
      <c r="U707" s="563"/>
      <c r="V707" s="563"/>
      <c r="W707" s="563"/>
      <c r="X707" s="565"/>
      <c r="Y707" s="612"/>
      <c r="Z707" s="612"/>
      <c r="AA707" s="563"/>
      <c r="AB707" s="612"/>
      <c r="AC707" s="569"/>
      <c r="AD707" s="563"/>
      <c r="AE707" s="563"/>
      <c r="AF707" s="563"/>
      <c r="AG707" s="563"/>
      <c r="AH707" s="563"/>
      <c r="AI707" s="563"/>
      <c r="AJ707" s="680"/>
      <c r="AK707" s="563"/>
      <c r="AL707" s="563"/>
      <c r="AM707" s="563"/>
      <c r="AN707" s="563"/>
      <c r="AO707" s="563"/>
      <c r="AP707" s="46"/>
      <c r="AQ707" s="46"/>
      <c r="AR707" s="46"/>
      <c r="AS707" s="46"/>
      <c r="AT707" s="46"/>
      <c r="AU707" s="46"/>
      <c r="AV707" s="46"/>
      <c r="AW707" s="46"/>
      <c r="AX707" s="46"/>
      <c r="AY707" s="46"/>
      <c r="AZ707" s="563"/>
      <c r="BA707" s="569"/>
      <c r="BB707" s="563"/>
      <c r="BC707" s="569"/>
      <c r="BD707" s="563"/>
      <c r="BE707" s="46"/>
      <c r="BF707" s="46"/>
      <c r="BG707" s="563"/>
      <c r="BH707" s="563"/>
      <c r="BI707" s="563"/>
      <c r="BJ707" s="563"/>
    </row>
    <row r="708" spans="2:62" x14ac:dyDescent="0.25">
      <c r="B708" s="569"/>
      <c r="C708" s="672"/>
      <c r="D708" s="563"/>
      <c r="E708" s="563"/>
      <c r="F708" s="569"/>
      <c r="G708" s="563"/>
      <c r="H708" s="563"/>
      <c r="I708" s="600"/>
      <c r="J708" s="569"/>
      <c r="K708" s="563"/>
      <c r="L708" s="563"/>
      <c r="M708" s="563"/>
      <c r="N708" s="563"/>
      <c r="O708" s="563"/>
      <c r="P708" s="563"/>
      <c r="Q708" s="563"/>
      <c r="R708" s="563"/>
      <c r="S708" s="563"/>
      <c r="T708" s="563"/>
      <c r="U708" s="563"/>
      <c r="V708" s="563"/>
      <c r="W708" s="563"/>
      <c r="X708" s="565"/>
      <c r="Y708" s="612"/>
      <c r="Z708" s="612"/>
      <c r="AA708" s="563"/>
      <c r="AB708" s="612"/>
      <c r="AC708" s="569"/>
      <c r="AD708" s="563"/>
      <c r="AE708" s="563"/>
      <c r="AF708" s="563"/>
      <c r="AG708" s="563"/>
      <c r="AH708" s="563"/>
      <c r="AI708" s="563"/>
      <c r="AJ708" s="680"/>
      <c r="AK708" s="563"/>
      <c r="AL708" s="563"/>
      <c r="AM708" s="563"/>
      <c r="AN708" s="563"/>
      <c r="AO708" s="563"/>
      <c r="AP708" s="46"/>
      <c r="AQ708" s="46"/>
      <c r="AR708" s="46"/>
      <c r="AS708" s="46"/>
      <c r="AT708" s="46"/>
      <c r="AU708" s="46"/>
      <c r="AV708" s="46"/>
      <c r="AW708" s="46"/>
      <c r="AX708" s="46"/>
      <c r="AY708" s="46"/>
      <c r="AZ708" s="563"/>
      <c r="BA708" s="569"/>
      <c r="BB708" s="563"/>
      <c r="BC708" s="569"/>
      <c r="BD708" s="563"/>
      <c r="BE708" s="46"/>
      <c r="BF708" s="46"/>
      <c r="BG708" s="563"/>
      <c r="BH708" s="563"/>
      <c r="BI708" s="563"/>
      <c r="BJ708" s="563"/>
    </row>
    <row r="709" spans="2:62" x14ac:dyDescent="0.25">
      <c r="B709" s="569"/>
      <c r="C709" s="672"/>
      <c r="D709" s="563"/>
      <c r="E709" s="563"/>
      <c r="L709" s="639"/>
      <c r="AJ709" s="639"/>
      <c r="AK709" s="639"/>
      <c r="AL709" s="639"/>
      <c r="AP709" s="46"/>
      <c r="AQ709" s="46"/>
      <c r="AR709" s="46"/>
      <c r="AS709" s="46"/>
      <c r="AT709" s="46"/>
      <c r="AU709" s="46"/>
      <c r="AV709" s="46"/>
      <c r="AW709" s="46"/>
      <c r="AX709" s="46"/>
      <c r="AY709" s="46"/>
      <c r="AZ709" s="563"/>
      <c r="BA709" s="569"/>
      <c r="BB709" s="563"/>
      <c r="BC709" s="569"/>
      <c r="BD709" s="563"/>
      <c r="BE709" s="46"/>
      <c r="BF709" s="46"/>
      <c r="BG709" s="563"/>
      <c r="BH709" s="563"/>
      <c r="BI709" s="563"/>
      <c r="BJ709" s="563"/>
    </row>
  </sheetData>
  <autoFilter ref="A3:AO345" xr:uid="{00000000-0009-0000-0000-000002000000}">
    <sortState xmlns:xlrd2="http://schemas.microsoft.com/office/spreadsheetml/2017/richdata2" ref="A3:AO345">
      <sortCondition ref="K3:K345"/>
      <sortCondition ref="L3:L345"/>
      <sortCondition ref="T3:T345"/>
      <sortCondition ref="S3:S345"/>
      <sortCondition ref="N3:N345"/>
      <sortCondition ref="AM3:AM345"/>
      <sortCondition ref="W3:W345"/>
      <sortCondition ref="O3:O345"/>
      <sortCondition ref="M3:M345"/>
      <sortCondition ref="AJ3:AJ345"/>
      <sortCondition ref="Q3:Q345"/>
      <sortCondition ref="J3:J345"/>
      <sortCondition ref="P3:P345"/>
    </sortState>
  </autoFilter>
  <customSheetViews>
    <customSheetView guid="{304FEF84-1511-4335-89C7-29090AAE0925}" filter="1" showAutoFilter="1">
      <pageMargins left="0.7" right="0.7" top="0.75" bottom="0.75" header="0.3" footer="0.3"/>
      <autoFilter ref="F3:AN192" xr:uid="{072EBB1C-0188-4A7D-A9ED-E26FB0AADFB7}">
        <sortState xmlns:xlrd2="http://schemas.microsoft.com/office/spreadsheetml/2017/richdata2" ref="F3:AN192">
          <sortCondition ref="AJ3:AJ192"/>
        </sortState>
      </autoFilter>
    </customSheetView>
    <customSheetView guid="{14B6F14A-4D8D-470C-B497-D7D243BC6CF3}" filter="1" showAutoFilter="1">
      <pageMargins left="0.7" right="0.7" top="0.75" bottom="0.75" header="0.3" footer="0.3"/>
      <autoFilter ref="C3:AL192" xr:uid="{DCF08D24-45A7-42D0-A28F-71AF934DB596}">
        <sortState xmlns:xlrd2="http://schemas.microsoft.com/office/spreadsheetml/2017/richdata2" ref="C3:AL192">
          <sortCondition ref="AJ3:AJ192"/>
        </sortState>
      </autoFilter>
    </customSheetView>
  </customSheetViews>
  <mergeCells count="2">
    <mergeCell ref="G1:H1"/>
    <mergeCell ref="G2:H2"/>
  </mergeCells>
  <conditionalFormatting sqref="B1 J2 J4:J709 V327:V337 L327:M345 O327:U345 W327:X345 F377:F378">
    <cfRule type="cellIs" dxfId="15" priority="10" operator="equal">
      <formula>"loads USG"</formula>
    </cfRule>
    <cfRule type="cellIs" dxfId="14" priority="11" operator="equal">
      <formula>"loads WAF"</formula>
    </cfRule>
    <cfRule type="cellIs" dxfId="13" priority="12" operator="equal">
      <formula>"loads Bethioua"</formula>
    </cfRule>
    <cfRule type="cellIs" dxfId="12" priority="13" operator="equal">
      <formula>"loads AG"</formula>
    </cfRule>
    <cfRule type="cellIs" dxfId="11" priority="14" operator="equal">
      <formula>"loads MH"</formula>
    </cfRule>
  </conditionalFormatting>
  <conditionalFormatting sqref="B4:C508">
    <cfRule type="cellIs" dxfId="10" priority="15" operator="equal">
      <formula>"C"</formula>
    </cfRule>
  </conditionalFormatting>
  <conditionalFormatting sqref="C1:C2 F374:F379 F1:F2 B2 I4:I376 AV11 AV26:AV27 F321 I378:I709 F381:F383">
    <cfRule type="cellIs" dxfId="9" priority="5" operator="equal">
      <formula>"BW"</formula>
    </cfRule>
    <cfRule type="cellIs" dxfId="8" priority="9" operator="equal">
      <formula>"Raffles"</formula>
    </cfRule>
  </conditionalFormatting>
  <conditionalFormatting sqref="C4:C709">
    <cfRule type="cellIs" dxfId="7" priority="16" operator="equal">
      <formula>"US"</formula>
    </cfRule>
  </conditionalFormatting>
  <conditionalFormatting sqref="C1:E1 AB1 AU1">
    <cfRule type="notContainsBlanks" dxfId="6" priority="3">
      <formula>LEN(TRIM(C1))&gt;0</formula>
    </cfRule>
  </conditionalFormatting>
  <conditionalFormatting sqref="D316:F316">
    <cfRule type="expression" dxfId="5" priority="1">
      <formula>ISNA(MATCH(TRIM(LOWER(CLEAN(#REF!))), $AK$2:$AK$445, 0))</formula>
    </cfRule>
  </conditionalFormatting>
  <conditionalFormatting sqref="G2 AV23 F379">
    <cfRule type="cellIs" dxfId="4" priority="2" operator="lessThan">
      <formula>1998</formula>
    </cfRule>
  </conditionalFormatting>
  <conditionalFormatting sqref="I4:I376 F376:F377 I378:I469 F381:F383">
    <cfRule type="cellIs" dxfId="3" priority="6" operator="equal">
      <formula>"Helios"</formula>
    </cfRule>
    <cfRule type="cellIs" dxfId="2" priority="7" operator="equal">
      <formula>"Neptune"</formula>
    </cfRule>
    <cfRule type="cellIs" dxfId="1" priority="8" operator="equal">
      <formula>"Sinogas"</formula>
    </cfRule>
  </conditionalFormatting>
  <conditionalFormatting sqref="BG17">
    <cfRule type="notContainsBlanks" dxfId="0" priority="4">
      <formula>LEN(TRIM(BG17))&gt;0</formula>
    </cfRule>
  </conditionalFormatting>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Z1889"/>
  <sheetViews>
    <sheetView workbookViewId="0"/>
  </sheetViews>
  <sheetFormatPr defaultColWidth="14.42578125" defaultRowHeight="15" customHeight="1" x14ac:dyDescent="0.25"/>
  <cols>
    <col min="1" max="1" width="33.85546875" customWidth="1"/>
    <col min="2" max="2" width="22.7109375" customWidth="1"/>
    <col min="3" max="5" width="8.7109375" customWidth="1"/>
    <col min="6" max="6" width="32.28515625" customWidth="1"/>
    <col min="7" max="7" width="65.28515625" customWidth="1"/>
    <col min="8" max="8" width="8.85546875" customWidth="1"/>
    <col min="9" max="11" width="8.7109375" customWidth="1"/>
    <col min="12" max="12" width="14.140625" customWidth="1"/>
    <col min="13" max="13" width="22.42578125" customWidth="1"/>
    <col min="14" max="14" width="8.7109375" customWidth="1"/>
    <col min="15" max="15" width="13.7109375" customWidth="1"/>
    <col min="16" max="16" width="21.140625" customWidth="1"/>
    <col min="17" max="17" width="8.85546875" customWidth="1"/>
    <col min="18" max="18" width="8.7109375" customWidth="1"/>
    <col min="19" max="19" width="14.28515625" customWidth="1"/>
    <col min="20" max="21" width="8.7109375" customWidth="1"/>
    <col min="22" max="22" width="11.28515625" customWidth="1"/>
    <col min="23" max="25" width="8.7109375" customWidth="1"/>
    <col min="26" max="26" width="13.85546875" customWidth="1"/>
  </cols>
  <sheetData>
    <row r="1" spans="1:26" x14ac:dyDescent="0.25">
      <c r="A1" s="682"/>
      <c r="B1" s="683"/>
      <c r="C1" s="683"/>
      <c r="D1" s="3"/>
      <c r="E1" s="683"/>
      <c r="F1" s="3"/>
      <c r="G1" s="3"/>
      <c r="H1" s="684"/>
      <c r="I1" s="3"/>
      <c r="J1" s="683"/>
      <c r="K1" s="683"/>
      <c r="L1" s="9"/>
      <c r="M1" s="683"/>
      <c r="N1" s="685"/>
      <c r="O1" s="45"/>
      <c r="P1" s="683"/>
      <c r="Q1" s="683"/>
      <c r="R1" s="9"/>
      <c r="S1" s="3"/>
      <c r="T1" s="683"/>
      <c r="U1" s="683"/>
      <c r="V1" s="3"/>
      <c r="W1" s="683"/>
      <c r="X1" s="683"/>
      <c r="Y1" s="683"/>
      <c r="Z1" s="683"/>
    </row>
    <row r="2" spans="1:26" x14ac:dyDescent="0.25">
      <c r="A2" s="682" t="s">
        <v>1677</v>
      </c>
      <c r="B2" s="683"/>
      <c r="C2" s="683"/>
      <c r="D2" s="3"/>
      <c r="E2" s="683"/>
      <c r="F2" s="3"/>
      <c r="G2" s="3"/>
      <c r="H2" s="684"/>
      <c r="I2" s="3"/>
      <c r="J2" s="683"/>
      <c r="K2" s="683"/>
      <c r="L2" s="9" t="s">
        <v>1678</v>
      </c>
      <c r="M2" s="683"/>
      <c r="N2" s="685"/>
      <c r="O2" s="45"/>
      <c r="P2" s="683"/>
      <c r="Q2" s="683"/>
      <c r="R2" s="9" t="s">
        <v>1679</v>
      </c>
      <c r="S2" s="3"/>
      <c r="T2" s="683"/>
      <c r="U2" s="683"/>
      <c r="V2" s="3"/>
      <c r="W2" s="683"/>
      <c r="X2" s="683"/>
      <c r="Y2" s="683"/>
      <c r="Z2" s="683"/>
    </row>
    <row r="3" spans="1:26" x14ac:dyDescent="0.25">
      <c r="A3" s="3"/>
      <c r="B3" s="3"/>
      <c r="C3" s="683"/>
      <c r="D3" s="3"/>
      <c r="E3" s="683"/>
      <c r="F3" s="3" t="s">
        <v>1680</v>
      </c>
      <c r="G3" s="3"/>
      <c r="H3" s="684"/>
      <c r="I3" s="3"/>
      <c r="J3" s="683"/>
      <c r="K3" s="683"/>
      <c r="L3" s="683" t="s">
        <v>1681</v>
      </c>
      <c r="M3" s="683" t="s">
        <v>1682</v>
      </c>
      <c r="N3" s="685"/>
      <c r="O3" s="45"/>
      <c r="P3" s="683"/>
      <c r="Q3" s="683"/>
      <c r="R3" s="3"/>
      <c r="S3" s="683"/>
      <c r="T3" s="683"/>
      <c r="U3" s="683"/>
      <c r="V3" s="3"/>
      <c r="W3" s="683"/>
      <c r="X3" s="683"/>
      <c r="Y3" s="683"/>
      <c r="Z3" s="683"/>
    </row>
    <row r="4" spans="1:26" x14ac:dyDescent="0.25">
      <c r="A4" s="686" t="s">
        <v>1683</v>
      </c>
      <c r="B4" s="683"/>
      <c r="C4" s="683"/>
      <c r="D4" s="3"/>
      <c r="E4" s="683"/>
      <c r="F4" s="3" t="s">
        <v>1684</v>
      </c>
      <c r="G4" s="3"/>
      <c r="H4" s="684"/>
      <c r="I4" s="3"/>
      <c r="J4" s="687"/>
      <c r="K4" s="683"/>
      <c r="L4" s="3" t="s">
        <v>114</v>
      </c>
      <c r="M4" s="683" t="s">
        <v>1682</v>
      </c>
      <c r="N4" s="685"/>
      <c r="O4" s="683"/>
      <c r="P4" s="9"/>
      <c r="Q4" s="683"/>
      <c r="R4" s="3"/>
      <c r="S4" s="683"/>
      <c r="T4" s="683"/>
      <c r="U4" s="683"/>
      <c r="V4" s="3"/>
      <c r="W4" s="683"/>
      <c r="X4" s="683"/>
      <c r="Y4" s="683"/>
      <c r="Z4" s="9"/>
    </row>
    <row r="5" spans="1:26" x14ac:dyDescent="0.25">
      <c r="A5" s="3"/>
      <c r="B5" s="683"/>
      <c r="C5" s="683"/>
      <c r="D5" s="3"/>
      <c r="E5" s="683"/>
      <c r="F5" s="3" t="s">
        <v>1685</v>
      </c>
      <c r="G5" s="3"/>
      <c r="H5" s="684"/>
      <c r="I5" s="3"/>
      <c r="J5" s="688"/>
      <c r="K5" s="683"/>
      <c r="L5" s="3" t="s">
        <v>1686</v>
      </c>
      <c r="M5" s="683"/>
      <c r="N5" s="685"/>
      <c r="O5" s="683"/>
      <c r="P5" s="683"/>
      <c r="Q5" s="683"/>
      <c r="R5" s="3"/>
      <c r="S5" s="683"/>
      <c r="T5" s="683"/>
      <c r="U5" s="683"/>
      <c r="V5" s="3"/>
      <c r="W5" s="683"/>
      <c r="X5" s="683"/>
      <c r="Y5" s="683"/>
      <c r="Z5" s="683"/>
    </row>
    <row r="6" spans="1:26" x14ac:dyDescent="0.25">
      <c r="A6" s="3" t="s">
        <v>1687</v>
      </c>
      <c r="B6" s="683" t="s">
        <v>1317</v>
      </c>
      <c r="C6" s="683"/>
      <c r="D6" s="3"/>
      <c r="E6" s="683"/>
      <c r="F6" s="3" t="s">
        <v>810</v>
      </c>
      <c r="G6" s="3"/>
      <c r="H6" s="684"/>
      <c r="I6" s="3"/>
      <c r="J6" s="683"/>
      <c r="K6" s="683"/>
      <c r="L6" s="3" t="s">
        <v>1688</v>
      </c>
      <c r="M6" s="683"/>
      <c r="N6" s="685"/>
      <c r="O6" s="683"/>
      <c r="P6" s="683"/>
      <c r="Q6" s="683"/>
      <c r="R6" s="3"/>
      <c r="S6" s="683"/>
      <c r="T6" s="683"/>
      <c r="U6" s="683"/>
      <c r="V6" s="3"/>
      <c r="W6" s="683"/>
      <c r="X6" s="683"/>
      <c r="Y6" s="683"/>
      <c r="Z6" s="683"/>
    </row>
    <row r="7" spans="1:26" x14ac:dyDescent="0.25">
      <c r="A7" s="3" t="s">
        <v>1689</v>
      </c>
      <c r="B7" s="683" t="s">
        <v>1317</v>
      </c>
      <c r="C7" s="683"/>
      <c r="D7" s="3"/>
      <c r="E7" s="683"/>
      <c r="F7" s="3" t="s">
        <v>1690</v>
      </c>
      <c r="G7" s="3"/>
      <c r="H7" s="684"/>
      <c r="I7" s="3"/>
      <c r="J7" s="683"/>
      <c r="K7" s="683"/>
      <c r="L7" s="683" t="s">
        <v>1691</v>
      </c>
      <c r="M7" s="683" t="s">
        <v>1692</v>
      </c>
      <c r="N7" s="685"/>
      <c r="O7" s="683"/>
      <c r="P7" s="683"/>
      <c r="Q7" s="683"/>
      <c r="R7" s="3"/>
      <c r="S7" s="683"/>
      <c r="T7" s="683"/>
      <c r="U7" s="683"/>
      <c r="V7" s="3"/>
      <c r="W7" s="683"/>
      <c r="X7" s="683"/>
      <c r="Y7" s="683"/>
      <c r="Z7" s="683"/>
    </row>
    <row r="8" spans="1:26" x14ac:dyDescent="0.25">
      <c r="A8" s="3" t="s">
        <v>1693</v>
      </c>
      <c r="B8" s="683" t="s">
        <v>1317</v>
      </c>
      <c r="C8" s="683"/>
      <c r="D8" s="3"/>
      <c r="E8" s="683"/>
      <c r="F8" s="3" t="s">
        <v>874</v>
      </c>
      <c r="G8" s="3"/>
      <c r="H8" s="684"/>
      <c r="I8" s="3"/>
      <c r="J8" s="683"/>
      <c r="K8" s="683"/>
      <c r="L8" s="683" t="s">
        <v>1694</v>
      </c>
      <c r="M8" s="683" t="s">
        <v>1692</v>
      </c>
      <c r="N8" s="685"/>
      <c r="O8" s="683"/>
      <c r="P8" s="683"/>
      <c r="Q8" s="683"/>
      <c r="R8" s="3"/>
      <c r="S8" s="683"/>
      <c r="T8" s="683"/>
      <c r="U8" s="683"/>
      <c r="V8" s="3"/>
      <c r="W8" s="683"/>
      <c r="X8" s="683"/>
      <c r="Y8" s="683"/>
      <c r="Z8" s="683"/>
    </row>
    <row r="9" spans="1:26" x14ac:dyDescent="0.25">
      <c r="A9" s="3" t="s">
        <v>1695</v>
      </c>
      <c r="B9" s="683" t="s">
        <v>1317</v>
      </c>
      <c r="C9" s="683"/>
      <c r="D9" s="3"/>
      <c r="E9" s="683"/>
      <c r="F9" s="3" t="s">
        <v>1696</v>
      </c>
      <c r="G9" s="3"/>
      <c r="H9" s="684"/>
      <c r="I9" s="3"/>
      <c r="J9" s="683"/>
      <c r="K9" s="683"/>
      <c r="M9" s="683"/>
      <c r="N9" s="685"/>
      <c r="O9" s="683"/>
      <c r="P9" s="683"/>
      <c r="Q9" s="683"/>
      <c r="R9" s="3"/>
      <c r="S9" s="683"/>
      <c r="T9" s="683"/>
      <c r="U9" s="683"/>
      <c r="V9" s="9" t="s">
        <v>1697</v>
      </c>
      <c r="W9" s="683"/>
      <c r="X9" s="683"/>
      <c r="Y9" s="683"/>
      <c r="Z9" s="683"/>
    </row>
    <row r="10" spans="1:26" x14ac:dyDescent="0.25">
      <c r="A10" s="3" t="s">
        <v>61</v>
      </c>
      <c r="B10" s="683" t="s">
        <v>1317</v>
      </c>
      <c r="C10" s="683"/>
      <c r="D10" s="3"/>
      <c r="E10" s="683"/>
      <c r="F10" s="3" t="s">
        <v>1698</v>
      </c>
      <c r="G10" s="3"/>
      <c r="H10" s="684"/>
      <c r="I10" s="3"/>
      <c r="J10" s="683"/>
      <c r="K10" s="683"/>
      <c r="N10" s="685"/>
      <c r="O10" s="683"/>
      <c r="P10" s="683"/>
      <c r="Q10" s="683"/>
      <c r="R10" s="3"/>
      <c r="S10" s="3"/>
      <c r="T10" s="683"/>
      <c r="U10" s="683"/>
      <c r="V10" s="3" t="s">
        <v>807</v>
      </c>
      <c r="W10" s="683"/>
      <c r="X10" s="683"/>
      <c r="Y10" s="683"/>
      <c r="Z10" s="683"/>
    </row>
    <row r="11" spans="1:26" x14ac:dyDescent="0.25">
      <c r="A11" s="3" t="s">
        <v>38</v>
      </c>
      <c r="B11" s="683" t="s">
        <v>1317</v>
      </c>
      <c r="C11" s="683"/>
      <c r="D11" s="3"/>
      <c r="E11" s="683"/>
      <c r="F11" s="3" t="s">
        <v>1699</v>
      </c>
      <c r="G11" s="3"/>
      <c r="H11" s="684"/>
      <c r="I11" s="3"/>
      <c r="J11" s="683"/>
      <c r="K11" s="683"/>
      <c r="L11" s="683"/>
      <c r="M11" s="683"/>
      <c r="N11" s="685"/>
      <c r="O11" s="683"/>
      <c r="P11" s="683"/>
      <c r="Q11" s="683"/>
      <c r="R11" s="3"/>
      <c r="S11" s="3"/>
      <c r="T11" s="683"/>
      <c r="U11" s="683"/>
      <c r="V11" s="3" t="s">
        <v>1367</v>
      </c>
      <c r="W11" s="683"/>
      <c r="X11" s="683"/>
      <c r="Y11" s="683"/>
      <c r="Z11" s="683"/>
    </row>
    <row r="12" spans="1:26" x14ac:dyDescent="0.25">
      <c r="A12" s="3" t="s">
        <v>1700</v>
      </c>
      <c r="B12" s="683" t="s">
        <v>1317</v>
      </c>
      <c r="C12" s="683"/>
      <c r="D12" s="3"/>
      <c r="E12" s="683"/>
      <c r="F12" s="683"/>
      <c r="G12" s="3"/>
      <c r="H12" s="684"/>
      <c r="I12" s="3"/>
      <c r="J12" s="683"/>
      <c r="K12" s="683"/>
      <c r="L12" s="683"/>
      <c r="M12" s="683"/>
      <c r="N12" s="685"/>
      <c r="O12" s="683"/>
      <c r="P12" s="683"/>
      <c r="Q12" s="683"/>
      <c r="R12" s="3"/>
      <c r="S12" s="3"/>
      <c r="T12" s="683"/>
      <c r="U12" s="683"/>
      <c r="V12" s="683" t="s">
        <v>726</v>
      </c>
      <c r="W12" s="683"/>
      <c r="X12" s="683"/>
      <c r="Y12" s="683"/>
      <c r="Z12" s="683"/>
    </row>
    <row r="13" spans="1:26" x14ac:dyDescent="0.25">
      <c r="A13" s="683" t="s">
        <v>1701</v>
      </c>
      <c r="B13" s="683" t="s">
        <v>1702</v>
      </c>
      <c r="C13" s="683"/>
      <c r="D13" s="3"/>
      <c r="E13" s="683"/>
      <c r="F13" s="683"/>
      <c r="G13" s="683"/>
      <c r="H13" s="684"/>
      <c r="I13" s="3"/>
      <c r="J13" s="683"/>
      <c r="K13" s="683"/>
      <c r="L13" s="689" t="s">
        <v>1703</v>
      </c>
      <c r="M13" s="9"/>
      <c r="N13" s="690"/>
      <c r="O13" s="3"/>
      <c r="P13" s="683"/>
      <c r="Q13" s="683"/>
      <c r="R13" s="3"/>
      <c r="S13" s="3"/>
      <c r="T13" s="683"/>
      <c r="U13" s="683"/>
      <c r="V13" s="3" t="s">
        <v>739</v>
      </c>
      <c r="W13" s="683"/>
      <c r="X13" s="683"/>
      <c r="Y13" s="683"/>
      <c r="Z13" s="683"/>
    </row>
    <row r="14" spans="1:26" x14ac:dyDescent="0.25">
      <c r="A14" s="683" t="s">
        <v>1704</v>
      </c>
      <c r="B14" s="3" t="s">
        <v>1705</v>
      </c>
      <c r="C14" s="683"/>
      <c r="D14" s="3"/>
      <c r="E14" s="683"/>
      <c r="F14" s="3"/>
      <c r="H14" s="684"/>
      <c r="I14" s="3"/>
      <c r="J14" s="683"/>
      <c r="K14" s="683"/>
      <c r="L14" s="3"/>
      <c r="M14" s="9"/>
      <c r="N14" s="690"/>
      <c r="O14" s="3"/>
      <c r="P14" s="683"/>
      <c r="Q14" s="683"/>
      <c r="R14" s="3"/>
      <c r="S14" s="3"/>
      <c r="T14" s="683"/>
      <c r="U14" s="683"/>
      <c r="V14" s="9" t="s">
        <v>107</v>
      </c>
      <c r="W14" s="683"/>
      <c r="X14" s="683"/>
      <c r="Y14" s="683"/>
      <c r="Z14" s="683"/>
    </row>
    <row r="15" spans="1:26" x14ac:dyDescent="0.25">
      <c r="A15" s="3" t="s">
        <v>133</v>
      </c>
      <c r="B15" s="683" t="s">
        <v>1317</v>
      </c>
      <c r="C15" s="683"/>
      <c r="D15" s="3"/>
      <c r="E15" s="691" t="s">
        <v>1706</v>
      </c>
      <c r="H15" s="692"/>
      <c r="J15" s="683"/>
      <c r="K15" s="683"/>
      <c r="L15" s="3" t="s">
        <v>1707</v>
      </c>
      <c r="M15" s="9"/>
      <c r="N15" s="690"/>
      <c r="O15" s="3" t="s">
        <v>1708</v>
      </c>
      <c r="P15" s="683"/>
      <c r="Q15" s="683"/>
      <c r="R15" s="3"/>
      <c r="S15" s="3"/>
      <c r="T15" s="683"/>
      <c r="U15" s="683"/>
      <c r="V15" s="3"/>
      <c r="W15" s="683"/>
      <c r="X15" s="683"/>
      <c r="Y15" s="683"/>
      <c r="Z15" s="683"/>
    </row>
    <row r="16" spans="1:26" x14ac:dyDescent="0.25">
      <c r="A16" s="3" t="s">
        <v>1709</v>
      </c>
      <c r="B16" s="683" t="s">
        <v>1317</v>
      </c>
      <c r="C16" s="683"/>
      <c r="D16" s="3"/>
      <c r="E16" s="683"/>
      <c r="F16" s="38"/>
      <c r="H16" s="692"/>
      <c r="J16" s="683"/>
      <c r="K16" s="683"/>
      <c r="L16" s="3" t="s">
        <v>1710</v>
      </c>
      <c r="M16" s="9"/>
      <c r="N16" s="690"/>
      <c r="O16" s="3" t="s">
        <v>1711</v>
      </c>
      <c r="P16" s="683"/>
      <c r="Q16" s="683"/>
      <c r="R16" s="3"/>
      <c r="S16" s="3"/>
      <c r="T16" s="683"/>
      <c r="U16" s="683"/>
      <c r="V16" s="3"/>
      <c r="W16" s="683"/>
      <c r="X16" s="683"/>
      <c r="Y16" s="683"/>
      <c r="Z16" s="683"/>
    </row>
    <row r="17" spans="1:26" x14ac:dyDescent="0.25">
      <c r="A17" s="3" t="s">
        <v>718</v>
      </c>
      <c r="B17" s="683" t="s">
        <v>1317</v>
      </c>
      <c r="C17" s="683"/>
      <c r="D17" s="3"/>
      <c r="E17" s="683"/>
      <c r="F17" s="3" t="s">
        <v>1712</v>
      </c>
      <c r="H17" s="692"/>
      <c r="I17" s="38" t="s">
        <v>1713</v>
      </c>
      <c r="J17" s="683"/>
      <c r="K17" s="683"/>
      <c r="L17" s="3" t="s">
        <v>1714</v>
      </c>
      <c r="M17" s="9"/>
      <c r="N17" s="690"/>
      <c r="O17" s="3" t="s">
        <v>1715</v>
      </c>
      <c r="P17" s="683"/>
      <c r="Q17" s="683"/>
      <c r="R17" s="3"/>
      <c r="S17" s="3"/>
      <c r="T17" s="683"/>
      <c r="U17" s="683"/>
      <c r="V17" s="3"/>
      <c r="W17" s="683"/>
      <c r="X17" s="683"/>
      <c r="Y17" s="683"/>
      <c r="Z17" s="683"/>
    </row>
    <row r="18" spans="1:26" x14ac:dyDescent="0.25">
      <c r="A18" s="3" t="s">
        <v>1716</v>
      </c>
      <c r="B18" s="683" t="s">
        <v>1317</v>
      </c>
      <c r="C18" s="683"/>
      <c r="D18" s="3"/>
      <c r="E18" s="683"/>
      <c r="F18" s="683" t="s">
        <v>1717</v>
      </c>
      <c r="H18" s="692">
        <v>26</v>
      </c>
      <c r="J18" s="683"/>
      <c r="K18" s="683"/>
      <c r="L18" s="3" t="s">
        <v>1718</v>
      </c>
      <c r="M18" s="9"/>
      <c r="N18" s="690"/>
      <c r="O18" s="3"/>
      <c r="P18" s="683"/>
      <c r="Q18" s="683"/>
      <c r="R18" s="3"/>
      <c r="S18" s="3"/>
      <c r="T18" s="683"/>
      <c r="U18" s="683"/>
      <c r="V18" s="3"/>
      <c r="W18" s="683"/>
      <c r="X18" s="683"/>
      <c r="Y18" s="683"/>
      <c r="Z18" s="683"/>
    </row>
    <row r="19" spans="1:26" x14ac:dyDescent="0.25">
      <c r="A19" s="3" t="s">
        <v>1719</v>
      </c>
      <c r="B19" s="683" t="s">
        <v>1317</v>
      </c>
      <c r="C19" s="683"/>
      <c r="D19" s="3"/>
      <c r="F19" s="38" t="s">
        <v>1720</v>
      </c>
      <c r="H19" s="692">
        <v>24</v>
      </c>
      <c r="J19" s="683"/>
      <c r="K19" s="683"/>
      <c r="L19" s="683"/>
      <c r="M19" s="683"/>
      <c r="N19" s="685"/>
      <c r="O19" s="683"/>
      <c r="P19" s="683"/>
      <c r="Q19" s="683"/>
      <c r="R19" s="3"/>
      <c r="S19" s="3"/>
      <c r="T19" s="683"/>
      <c r="U19" s="683"/>
      <c r="V19" s="3"/>
      <c r="W19" s="683"/>
      <c r="X19" s="683"/>
      <c r="Y19" s="683"/>
      <c r="Z19" s="683"/>
    </row>
    <row r="20" spans="1:26" x14ac:dyDescent="0.25">
      <c r="A20" s="3" t="s">
        <v>1721</v>
      </c>
      <c r="B20" s="683" t="s">
        <v>1317</v>
      </c>
      <c r="C20" s="683"/>
      <c r="D20" s="3"/>
      <c r="E20" s="683"/>
      <c r="F20" s="3" t="s">
        <v>1722</v>
      </c>
      <c r="H20" s="692">
        <v>13</v>
      </c>
      <c r="J20" s="683"/>
      <c r="K20" s="683"/>
      <c r="L20" s="683"/>
      <c r="M20" s="683"/>
      <c r="N20" s="685"/>
      <c r="O20" s="683"/>
      <c r="P20" s="683"/>
      <c r="Q20" s="683"/>
      <c r="R20" s="3"/>
      <c r="S20" s="3"/>
      <c r="T20" s="683"/>
      <c r="U20" s="683"/>
      <c r="V20" s="3"/>
      <c r="W20" s="683"/>
      <c r="X20" s="683"/>
      <c r="Y20" s="683"/>
      <c r="Z20" s="683"/>
    </row>
    <row r="21" spans="1:26" x14ac:dyDescent="0.25">
      <c r="B21" s="683"/>
      <c r="C21" s="683"/>
      <c r="D21" s="3"/>
      <c r="E21" s="683"/>
      <c r="F21" s="3"/>
      <c r="H21" s="692"/>
      <c r="I21" s="3"/>
      <c r="J21" s="683"/>
      <c r="K21" s="683"/>
      <c r="L21" s="683"/>
      <c r="M21" s="683"/>
      <c r="N21" s="685"/>
      <c r="O21" s="683"/>
      <c r="P21" s="683"/>
      <c r="Q21" s="683"/>
      <c r="R21" s="3"/>
      <c r="S21" s="3"/>
      <c r="T21" s="683"/>
      <c r="U21" s="683"/>
      <c r="V21" s="3"/>
      <c r="W21" s="683"/>
      <c r="X21" s="683"/>
      <c r="Y21" s="683"/>
      <c r="Z21" s="683"/>
    </row>
    <row r="22" spans="1:26" x14ac:dyDescent="0.25">
      <c r="B22" s="683"/>
      <c r="C22" s="683"/>
      <c r="D22" s="3"/>
      <c r="E22" s="683"/>
      <c r="F22" s="683" t="s">
        <v>1723</v>
      </c>
      <c r="G22" s="9"/>
      <c r="H22" s="684">
        <v>12</v>
      </c>
      <c r="I22" s="3"/>
      <c r="J22" s="683"/>
      <c r="K22" s="683"/>
      <c r="L22" s="683"/>
      <c r="M22" s="683"/>
      <c r="N22" s="685"/>
      <c r="O22" s="683"/>
      <c r="P22" s="683"/>
      <c r="Q22" s="683"/>
      <c r="R22" s="3"/>
      <c r="S22" s="3"/>
      <c r="T22" s="683"/>
      <c r="U22" s="683"/>
      <c r="V22" s="3"/>
      <c r="W22" s="683"/>
      <c r="X22" s="683"/>
      <c r="Y22" s="683"/>
      <c r="Z22" s="683"/>
    </row>
    <row r="23" spans="1:26" x14ac:dyDescent="0.25">
      <c r="A23" s="38" t="s">
        <v>1724</v>
      </c>
      <c r="B23" s="683" t="s">
        <v>715</v>
      </c>
      <c r="C23" s="683"/>
      <c r="D23" s="3"/>
      <c r="E23" s="683"/>
      <c r="F23" s="683" t="s">
        <v>1725</v>
      </c>
      <c r="G23" s="9"/>
      <c r="H23" s="684">
        <v>27.832999999999998</v>
      </c>
      <c r="I23" s="3"/>
      <c r="J23" s="683"/>
      <c r="K23" s="683"/>
      <c r="L23" s="683"/>
      <c r="M23" s="683"/>
      <c r="N23" s="685"/>
      <c r="O23" s="683"/>
      <c r="P23" s="683"/>
      <c r="Q23" s="683"/>
      <c r="R23" s="3"/>
      <c r="S23" s="3"/>
      <c r="T23" s="683"/>
      <c r="U23" s="683"/>
      <c r="V23" s="3"/>
      <c r="W23" s="683"/>
      <c r="X23" s="683"/>
      <c r="Y23" s="683"/>
      <c r="Z23" s="683"/>
    </row>
    <row r="24" spans="1:26" x14ac:dyDescent="0.25">
      <c r="A24" s="3"/>
      <c r="B24" s="683"/>
      <c r="C24" s="683"/>
      <c r="D24" s="3"/>
      <c r="E24" s="683"/>
      <c r="F24" s="683" t="s">
        <v>1726</v>
      </c>
      <c r="G24" s="9"/>
      <c r="H24" s="684">
        <v>10</v>
      </c>
      <c r="I24" s="3" t="s">
        <v>1727</v>
      </c>
      <c r="J24" s="683"/>
      <c r="K24" s="683"/>
      <c r="L24" s="683"/>
      <c r="M24" s="683"/>
      <c r="N24" s="685"/>
      <c r="O24" s="683"/>
      <c r="P24" s="683"/>
      <c r="Q24" s="683"/>
      <c r="R24" s="3"/>
      <c r="S24" s="3"/>
      <c r="T24" s="683"/>
      <c r="U24" s="683"/>
      <c r="V24" s="3"/>
      <c r="W24" s="683"/>
      <c r="X24" s="683"/>
      <c r="Y24" s="683"/>
      <c r="Z24" s="683"/>
    </row>
    <row r="25" spans="1:26" ht="15.75" customHeight="1" x14ac:dyDescent="0.25">
      <c r="A25" s="3"/>
      <c r="B25" s="683"/>
      <c r="C25" s="683"/>
      <c r="D25" s="3"/>
      <c r="E25" s="683"/>
      <c r="F25" s="38" t="s">
        <v>1728</v>
      </c>
      <c r="G25" s="9"/>
      <c r="H25" s="684">
        <v>28</v>
      </c>
      <c r="I25" s="3"/>
      <c r="J25" s="683"/>
      <c r="K25" s="683"/>
      <c r="L25" s="683"/>
      <c r="M25" s="683"/>
      <c r="N25" s="685"/>
      <c r="O25" s="683"/>
      <c r="P25" s="683"/>
      <c r="Q25" s="683"/>
      <c r="R25" s="3"/>
      <c r="S25" s="3"/>
      <c r="T25" s="683"/>
      <c r="U25" s="683"/>
      <c r="V25" s="3"/>
      <c r="W25" s="683"/>
      <c r="X25" s="683"/>
      <c r="Y25" s="683"/>
      <c r="Z25" s="683"/>
    </row>
    <row r="26" spans="1:26" ht="15.75" customHeight="1" x14ac:dyDescent="0.25">
      <c r="A26" s="3"/>
      <c r="B26" s="683"/>
      <c r="C26" s="683"/>
      <c r="D26" s="3"/>
      <c r="E26" s="683"/>
      <c r="F26" s="3" t="s">
        <v>1729</v>
      </c>
      <c r="G26" s="9"/>
      <c r="H26" s="684">
        <v>21</v>
      </c>
      <c r="K26" s="683"/>
      <c r="L26" s="683"/>
      <c r="M26" s="683"/>
      <c r="N26" s="685"/>
      <c r="O26" s="683"/>
      <c r="P26" s="683"/>
      <c r="Q26" s="683"/>
      <c r="R26" s="3"/>
      <c r="S26" s="3"/>
      <c r="T26" s="683"/>
      <c r="U26" s="683"/>
      <c r="V26" s="3"/>
      <c r="W26" s="683"/>
      <c r="X26" s="683"/>
      <c r="Y26" s="683"/>
      <c r="Z26" s="683"/>
    </row>
    <row r="27" spans="1:26" ht="15.75" customHeight="1" x14ac:dyDescent="0.25">
      <c r="A27" s="3"/>
      <c r="B27" s="683"/>
      <c r="C27" s="683"/>
      <c r="D27" s="3"/>
      <c r="K27" s="683"/>
      <c r="L27" s="683"/>
      <c r="M27" s="683"/>
      <c r="N27" s="685"/>
      <c r="O27" s="683"/>
      <c r="P27" s="683"/>
      <c r="Q27" s="683"/>
      <c r="R27" s="3"/>
      <c r="S27" s="3"/>
      <c r="T27" s="683"/>
      <c r="U27" s="683"/>
      <c r="V27" s="3"/>
      <c r="W27" s="683"/>
      <c r="X27" s="683"/>
      <c r="Y27" s="683"/>
      <c r="Z27" s="683"/>
    </row>
    <row r="28" spans="1:26" ht="15.75" customHeight="1" x14ac:dyDescent="0.25">
      <c r="A28" s="3"/>
      <c r="B28" s="683"/>
      <c r="C28" s="683"/>
      <c r="D28" s="3"/>
      <c r="E28" s="683"/>
      <c r="F28" s="3"/>
      <c r="G28" s="693"/>
      <c r="H28" s="684"/>
      <c r="I28" s="3"/>
      <c r="J28" s="683"/>
      <c r="K28" s="683"/>
      <c r="L28" s="683"/>
      <c r="M28" s="683"/>
      <c r="N28" s="685"/>
      <c r="O28" s="683"/>
      <c r="P28" s="683"/>
      <c r="Q28" s="683"/>
      <c r="R28" s="3"/>
      <c r="S28" s="3"/>
      <c r="T28" s="683"/>
      <c r="U28" s="683"/>
      <c r="V28" s="3"/>
      <c r="W28" s="683"/>
      <c r="X28" s="683"/>
      <c r="Y28" s="683"/>
      <c r="Z28" s="683"/>
    </row>
    <row r="29" spans="1:26" ht="15.75" customHeight="1" x14ac:dyDescent="0.25">
      <c r="A29" s="3"/>
      <c r="B29" s="683"/>
      <c r="C29" s="683"/>
      <c r="D29" s="3"/>
      <c r="E29" s="683"/>
      <c r="F29" s="3"/>
      <c r="G29" s="694"/>
      <c r="H29" s="695"/>
      <c r="I29" s="696"/>
      <c r="J29" s="694"/>
      <c r="K29" s="465"/>
      <c r="L29" s="683"/>
      <c r="M29" s="683"/>
      <c r="N29" s="685"/>
      <c r="O29" s="683"/>
      <c r="P29" s="683"/>
      <c r="Q29" s="683"/>
      <c r="R29" s="3"/>
      <c r="S29" s="3"/>
      <c r="T29" s="683"/>
      <c r="U29" s="683"/>
      <c r="V29" s="3"/>
      <c r="W29" s="683"/>
      <c r="X29" s="683"/>
      <c r="Y29" s="683"/>
      <c r="Z29" s="683"/>
    </row>
    <row r="30" spans="1:26" ht="15.75" customHeight="1" x14ac:dyDescent="0.25">
      <c r="A30" s="3"/>
      <c r="B30" s="683"/>
      <c r="C30" s="683"/>
      <c r="D30" s="3"/>
      <c r="E30" s="683"/>
      <c r="F30" s="3"/>
      <c r="G30" s="9"/>
      <c r="H30" s="684"/>
      <c r="I30" s="3"/>
      <c r="J30" s="683"/>
      <c r="K30" s="683"/>
      <c r="L30" s="683"/>
      <c r="M30" s="683"/>
      <c r="N30" s="685"/>
      <c r="O30" s="683"/>
      <c r="P30" s="683"/>
      <c r="Q30" s="683"/>
      <c r="R30" s="3"/>
      <c r="S30" s="3"/>
      <c r="T30" s="683"/>
      <c r="U30" s="683"/>
      <c r="V30" s="3"/>
      <c r="W30" s="683"/>
      <c r="X30" s="683"/>
      <c r="Y30" s="683"/>
      <c r="Z30" s="683"/>
    </row>
    <row r="31" spans="1:26" ht="15.75" customHeight="1" x14ac:dyDescent="0.25">
      <c r="A31" s="3"/>
      <c r="B31" s="683"/>
      <c r="C31" s="683"/>
      <c r="D31" s="3"/>
      <c r="E31" s="683"/>
      <c r="F31" s="3"/>
      <c r="H31" s="684"/>
      <c r="K31" s="683"/>
      <c r="L31" s="697" t="s">
        <v>1730</v>
      </c>
      <c r="M31" s="698"/>
      <c r="N31" s="685"/>
      <c r="O31" s="683" t="s">
        <v>1731</v>
      </c>
      <c r="P31" s="683" t="s">
        <v>1732</v>
      </c>
      <c r="Q31" s="683"/>
      <c r="R31" s="3"/>
      <c r="S31" s="3"/>
      <c r="T31" s="683"/>
      <c r="U31" s="683"/>
      <c r="V31" s="3" t="s">
        <v>1733</v>
      </c>
      <c r="W31" s="683"/>
      <c r="X31" s="683"/>
      <c r="Y31" s="683"/>
      <c r="Z31" s="683"/>
    </row>
    <row r="32" spans="1:26" ht="15.75" customHeight="1" x14ac:dyDescent="0.25">
      <c r="A32" s="3"/>
      <c r="B32" s="683"/>
      <c r="C32" s="683"/>
      <c r="D32" s="3"/>
      <c r="E32" s="683"/>
      <c r="H32" s="684"/>
      <c r="K32" s="683"/>
      <c r="L32" s="699" t="s">
        <v>144</v>
      </c>
      <c r="M32" s="700">
        <v>10</v>
      </c>
      <c r="N32" s="685"/>
      <c r="O32" s="683"/>
      <c r="P32" s="683"/>
      <c r="Q32" s="683"/>
      <c r="R32" s="3"/>
      <c r="S32" s="3"/>
      <c r="T32" s="683"/>
      <c r="U32" s="683"/>
      <c r="V32" s="3"/>
      <c r="W32" s="683"/>
      <c r="X32" s="683"/>
      <c r="Y32" s="683"/>
      <c r="Z32" s="683"/>
    </row>
    <row r="33" spans="1:26" ht="15.75" customHeight="1" x14ac:dyDescent="0.25">
      <c r="A33" s="3"/>
      <c r="B33" s="683"/>
      <c r="C33" s="683"/>
      <c r="D33" s="3"/>
      <c r="E33" s="683"/>
      <c r="H33" s="684"/>
      <c r="K33" s="683"/>
      <c r="L33" s="699" t="s">
        <v>817</v>
      </c>
      <c r="M33" s="700">
        <v>16</v>
      </c>
      <c r="N33" s="685"/>
      <c r="O33" s="683"/>
      <c r="P33" s="683"/>
      <c r="Q33" s="683"/>
      <c r="R33" s="3"/>
      <c r="S33" s="3"/>
      <c r="T33" s="683"/>
      <c r="U33" s="683"/>
      <c r="V33" s="3"/>
      <c r="W33" s="683"/>
      <c r="X33" s="683"/>
      <c r="Y33" s="683"/>
      <c r="Z33" s="683"/>
    </row>
    <row r="34" spans="1:26" ht="15.75" customHeight="1" x14ac:dyDescent="0.25">
      <c r="A34" s="3"/>
      <c r="B34" s="683"/>
      <c r="C34" s="683"/>
      <c r="D34" s="3"/>
      <c r="E34" s="683"/>
      <c r="H34" s="684"/>
      <c r="K34" s="683"/>
      <c r="L34" s="699" t="s">
        <v>1734</v>
      </c>
      <c r="M34" s="700">
        <v>21</v>
      </c>
      <c r="N34" s="685"/>
      <c r="O34" s="683"/>
      <c r="P34" s="683"/>
      <c r="Q34" s="683"/>
      <c r="R34" s="3"/>
      <c r="S34" s="3"/>
      <c r="T34" s="683"/>
      <c r="U34" s="683"/>
      <c r="V34" s="3"/>
      <c r="W34" s="683"/>
      <c r="X34" s="683"/>
      <c r="Y34" s="683"/>
      <c r="Z34" s="683"/>
    </row>
    <row r="35" spans="1:26" ht="15.75" customHeight="1" x14ac:dyDescent="0.25">
      <c r="A35" s="3"/>
      <c r="B35" s="683"/>
      <c r="C35" s="683"/>
      <c r="D35" s="3"/>
      <c r="E35" s="683"/>
      <c r="H35" s="684"/>
      <c r="K35" s="683"/>
      <c r="L35" s="701" t="s">
        <v>1735</v>
      </c>
      <c r="M35" s="702">
        <f>M33+M34</f>
        <v>37</v>
      </c>
      <c r="N35" s="685"/>
      <c r="O35" s="683"/>
      <c r="P35" s="683"/>
      <c r="Q35" s="683"/>
      <c r="R35" s="3"/>
      <c r="S35" s="3"/>
      <c r="T35" s="683"/>
      <c r="U35" s="683"/>
      <c r="V35" s="3"/>
      <c r="W35" s="683"/>
      <c r="X35" s="683"/>
      <c r="Y35" s="683"/>
      <c r="Z35" s="683"/>
    </row>
    <row r="36" spans="1:26" ht="15.75" customHeight="1" x14ac:dyDescent="0.25">
      <c r="A36" s="3"/>
      <c r="B36" s="683"/>
      <c r="C36" s="683"/>
      <c r="D36" s="3"/>
      <c r="E36" s="683"/>
      <c r="F36" s="3"/>
      <c r="G36" s="9"/>
      <c r="H36" s="684"/>
      <c r="I36" s="3"/>
      <c r="J36" s="683"/>
      <c r="K36" s="683"/>
      <c r="L36" s="683"/>
      <c r="M36" s="683"/>
      <c r="N36" s="685"/>
      <c r="O36" s="683"/>
      <c r="P36" s="683"/>
      <c r="Q36" s="683"/>
      <c r="R36" s="3"/>
      <c r="S36" s="3"/>
      <c r="T36" s="683"/>
      <c r="U36" s="683"/>
      <c r="V36" s="3"/>
      <c r="W36" s="683"/>
      <c r="X36" s="683"/>
      <c r="Y36" s="683"/>
      <c r="Z36" s="683"/>
    </row>
    <row r="37" spans="1:26" ht="15.75" customHeight="1" x14ac:dyDescent="0.25">
      <c r="A37" s="3"/>
      <c r="B37" s="683"/>
      <c r="C37" s="683"/>
      <c r="D37" s="3"/>
      <c r="E37" s="683"/>
      <c r="F37" s="3"/>
      <c r="G37" s="693" t="s">
        <v>1736</v>
      </c>
      <c r="H37" s="684"/>
      <c r="I37" s="3"/>
      <c r="J37" s="683"/>
      <c r="K37" s="683"/>
      <c r="L37" s="683"/>
      <c r="M37" s="3" t="s">
        <v>1737</v>
      </c>
      <c r="N37" s="693" t="s">
        <v>1736</v>
      </c>
      <c r="O37" s="684"/>
      <c r="P37" s="683"/>
      <c r="Q37" s="683"/>
      <c r="R37" s="3"/>
      <c r="S37" s="3"/>
      <c r="T37" s="683"/>
      <c r="U37" s="683"/>
      <c r="V37" s="3"/>
      <c r="W37" s="683"/>
      <c r="X37" s="683"/>
      <c r="Y37" s="683"/>
      <c r="Z37" s="683"/>
    </row>
    <row r="38" spans="1:26" ht="15.75" customHeight="1" x14ac:dyDescent="0.25">
      <c r="A38" s="3"/>
      <c r="B38" s="683"/>
      <c r="C38" s="683"/>
      <c r="D38" s="3"/>
      <c r="E38" s="683"/>
      <c r="F38" s="3" t="s">
        <v>1243</v>
      </c>
      <c r="G38" s="3"/>
      <c r="H38" s="684">
        <v>0</v>
      </c>
      <c r="I38" s="683"/>
      <c r="K38" s="683"/>
      <c r="L38" s="683" t="s">
        <v>1738</v>
      </c>
      <c r="M38" s="703" t="s">
        <v>1243</v>
      </c>
      <c r="N38" s="3"/>
      <c r="O38" s="684">
        <v>25</v>
      </c>
      <c r="P38" s="683"/>
      <c r="Q38" s="683"/>
      <c r="R38" s="3"/>
      <c r="S38" s="3"/>
      <c r="T38" s="683"/>
      <c r="U38" s="683"/>
      <c r="V38" s="3"/>
      <c r="W38" s="683"/>
      <c r="X38" s="683"/>
      <c r="Y38" s="683"/>
      <c r="Z38" s="683"/>
    </row>
    <row r="39" spans="1:26" ht="15.75" customHeight="1" x14ac:dyDescent="0.25">
      <c r="A39" s="3"/>
      <c r="B39" s="683"/>
      <c r="C39" s="683"/>
      <c r="D39" s="3"/>
      <c r="E39" s="683"/>
      <c r="F39" s="3" t="s">
        <v>1739</v>
      </c>
      <c r="G39" s="3"/>
      <c r="H39" s="684">
        <v>0</v>
      </c>
      <c r="I39" s="683"/>
      <c r="J39" s="683"/>
      <c r="K39" s="683"/>
      <c r="L39" s="683"/>
      <c r="M39" s="3"/>
      <c r="N39" s="3"/>
      <c r="O39" s="684"/>
      <c r="P39" s="683"/>
      <c r="Q39" s="683"/>
      <c r="R39" s="3"/>
      <c r="S39" s="3"/>
      <c r="T39" s="683"/>
      <c r="U39" s="683"/>
      <c r="V39" s="3"/>
      <c r="W39" s="683"/>
      <c r="X39" s="683"/>
      <c r="Y39" s="683"/>
      <c r="Z39" s="683"/>
    </row>
    <row r="40" spans="1:26" ht="15.75" customHeight="1" x14ac:dyDescent="0.25">
      <c r="A40" s="3"/>
      <c r="B40" s="683"/>
      <c r="C40" s="683"/>
      <c r="D40" s="3"/>
      <c r="E40" s="683"/>
      <c r="F40" s="3" t="s">
        <v>1079</v>
      </c>
      <c r="G40" s="3" t="s">
        <v>1740</v>
      </c>
      <c r="H40" s="684">
        <v>5</v>
      </c>
      <c r="I40" s="683"/>
      <c r="J40" s="683"/>
      <c r="K40" s="683"/>
      <c r="L40" s="683"/>
      <c r="M40" s="3"/>
      <c r="N40" s="3"/>
      <c r="O40" s="684"/>
      <c r="P40" s="683"/>
      <c r="Q40" s="683"/>
      <c r="R40" s="3"/>
      <c r="S40" s="3"/>
      <c r="T40" s="683"/>
      <c r="U40" s="683"/>
      <c r="V40" s="3"/>
      <c r="W40" s="683"/>
      <c r="X40" s="683"/>
      <c r="Y40" s="683"/>
      <c r="Z40" s="683"/>
    </row>
    <row r="41" spans="1:26" ht="15.75" customHeight="1" x14ac:dyDescent="0.25">
      <c r="A41" s="3"/>
      <c r="B41" s="683"/>
      <c r="C41" s="683"/>
      <c r="D41" s="3"/>
      <c r="E41" s="683"/>
      <c r="F41" s="3" t="s">
        <v>217</v>
      </c>
      <c r="G41" s="3"/>
      <c r="H41" s="684">
        <v>5</v>
      </c>
      <c r="I41" s="683"/>
      <c r="J41" s="683"/>
      <c r="K41" s="683"/>
      <c r="L41" s="683"/>
      <c r="M41" s="3"/>
      <c r="N41" s="3"/>
      <c r="O41" s="684"/>
      <c r="P41" s="683"/>
      <c r="Q41" s="683"/>
      <c r="R41" s="3"/>
      <c r="S41" s="3"/>
      <c r="T41" s="683"/>
      <c r="U41" s="683"/>
      <c r="V41" s="3" t="s">
        <v>1741</v>
      </c>
      <c r="W41" s="683"/>
      <c r="X41" s="683"/>
      <c r="Y41" s="683"/>
      <c r="Z41" s="683"/>
    </row>
    <row r="42" spans="1:26" ht="18" customHeight="1" x14ac:dyDescent="0.25">
      <c r="A42" s="3"/>
      <c r="B42" s="683"/>
      <c r="C42" s="683"/>
      <c r="D42" s="3"/>
      <c r="E42" s="683"/>
      <c r="F42" s="3" t="s">
        <v>863</v>
      </c>
      <c r="G42" s="3" t="s">
        <v>1742</v>
      </c>
      <c r="H42" s="684">
        <v>9</v>
      </c>
      <c r="I42" s="683"/>
      <c r="J42" s="683"/>
      <c r="K42" s="683"/>
      <c r="L42" s="683"/>
      <c r="M42" s="3"/>
      <c r="N42" s="3"/>
      <c r="O42" s="684"/>
      <c r="P42" s="683"/>
      <c r="Q42" s="683"/>
      <c r="R42" s="683"/>
      <c r="S42" s="683"/>
      <c r="T42" s="683"/>
      <c r="U42" s="9"/>
      <c r="V42" s="9" t="s">
        <v>1743</v>
      </c>
      <c r="W42" s="3"/>
      <c r="X42" s="45"/>
      <c r="Y42" s="683"/>
      <c r="Z42" s="683"/>
    </row>
    <row r="43" spans="1:26" ht="15.75" customHeight="1" x14ac:dyDescent="0.25">
      <c r="A43" s="3"/>
      <c r="B43" s="683"/>
      <c r="C43" s="683"/>
      <c r="D43" s="3"/>
      <c r="E43" s="683"/>
      <c r="F43" s="3" t="s">
        <v>1744</v>
      </c>
      <c r="G43" s="683" t="s">
        <v>1745</v>
      </c>
      <c r="H43" s="684">
        <v>9.2899999999999991</v>
      </c>
      <c r="I43" s="683"/>
      <c r="J43" s="683"/>
      <c r="K43" s="683"/>
      <c r="L43" s="683"/>
      <c r="M43" s="3"/>
      <c r="N43" s="683"/>
      <c r="O43" s="684"/>
      <c r="P43" s="683"/>
      <c r="Q43" s="683"/>
      <c r="R43" s="683"/>
      <c r="S43" s="683"/>
      <c r="T43" s="683"/>
      <c r="U43" s="683"/>
      <c r="V43" s="3" t="s">
        <v>739</v>
      </c>
      <c r="W43" s="683"/>
      <c r="X43" s="683"/>
      <c r="Y43" s="683"/>
      <c r="Z43" s="683"/>
    </row>
    <row r="44" spans="1:26" ht="15.75" customHeight="1" x14ac:dyDescent="0.25">
      <c r="A44" s="3"/>
      <c r="B44" s="683"/>
      <c r="C44" s="683"/>
      <c r="D44" s="3"/>
      <c r="E44" s="683"/>
      <c r="F44" s="3" t="s">
        <v>797</v>
      </c>
      <c r="G44" s="3"/>
      <c r="H44" s="684">
        <v>9</v>
      </c>
      <c r="I44" s="683"/>
      <c r="J44" s="683"/>
      <c r="K44" s="683"/>
      <c r="L44" s="683"/>
      <c r="M44" s="3"/>
      <c r="N44" s="3"/>
      <c r="O44" s="684"/>
      <c r="P44" s="683"/>
      <c r="Q44" s="683"/>
      <c r="R44" s="683"/>
      <c r="S44" s="683"/>
      <c r="T44" s="683"/>
      <c r="U44" s="683"/>
      <c r="V44" s="3"/>
      <c r="W44" s="683"/>
      <c r="X44" s="45"/>
      <c r="Y44" s="683"/>
      <c r="Z44" s="683"/>
    </row>
    <row r="45" spans="1:26" ht="15.75" customHeight="1" x14ac:dyDescent="0.25">
      <c r="A45" s="3"/>
      <c r="B45" s="683"/>
      <c r="C45" s="683"/>
      <c r="D45" s="3"/>
      <c r="E45" s="683"/>
      <c r="F45" s="3" t="s">
        <v>1746</v>
      </c>
      <c r="G45" s="3"/>
      <c r="H45" s="684">
        <v>20</v>
      </c>
      <c r="I45" s="683"/>
      <c r="J45" s="683"/>
      <c r="K45" s="683"/>
      <c r="L45" s="683"/>
      <c r="M45" s="3"/>
      <c r="N45" s="3"/>
      <c r="O45" s="684"/>
      <c r="P45" s="683"/>
      <c r="Q45" s="683"/>
      <c r="R45" s="683"/>
      <c r="S45" s="683"/>
      <c r="T45" s="683"/>
      <c r="U45" s="683"/>
      <c r="V45" s="3"/>
      <c r="W45" s="683"/>
      <c r="X45" s="45"/>
      <c r="Y45" s="683"/>
      <c r="Z45" s="683"/>
    </row>
    <row r="46" spans="1:26" ht="15.75" customHeight="1" x14ac:dyDescent="0.25">
      <c r="A46" s="3"/>
      <c r="B46" s="683"/>
      <c r="C46" s="683"/>
      <c r="D46" s="3"/>
      <c r="E46" s="683"/>
      <c r="F46" s="3" t="s">
        <v>990</v>
      </c>
      <c r="G46" s="3"/>
      <c r="H46" s="684">
        <v>9</v>
      </c>
      <c r="I46" s="3" t="s">
        <v>1747</v>
      </c>
      <c r="J46" s="683"/>
      <c r="K46" s="683"/>
      <c r="L46" s="683"/>
      <c r="M46" s="3"/>
      <c r="N46" s="3"/>
      <c r="O46" s="684"/>
      <c r="P46" s="683"/>
      <c r="Q46" s="683"/>
      <c r="R46" s="683"/>
      <c r="S46" s="683"/>
      <c r="T46" s="683"/>
      <c r="U46" s="683"/>
      <c r="V46" s="3" t="s">
        <v>713</v>
      </c>
      <c r="W46" s="683"/>
      <c r="X46" s="45"/>
      <c r="Y46" s="683"/>
      <c r="Z46" s="683"/>
    </row>
    <row r="47" spans="1:26" ht="15.75" customHeight="1" x14ac:dyDescent="0.25">
      <c r="A47" s="3"/>
      <c r="B47" s="683"/>
      <c r="C47" s="683"/>
      <c r="D47" s="3"/>
      <c r="E47" s="683"/>
      <c r="F47" s="3" t="s">
        <v>1748</v>
      </c>
      <c r="G47" s="3"/>
      <c r="H47" s="684">
        <v>28.832999999999998</v>
      </c>
      <c r="I47" s="683"/>
      <c r="J47" s="683"/>
      <c r="K47" s="683"/>
      <c r="L47" s="683"/>
      <c r="M47" s="3"/>
      <c r="N47" s="3"/>
      <c r="O47" s="684"/>
      <c r="P47" s="45"/>
      <c r="Q47" s="683"/>
      <c r="R47" s="683"/>
      <c r="S47" s="683"/>
      <c r="T47" s="683"/>
      <c r="U47" s="683"/>
      <c r="V47" s="683"/>
      <c r="W47" s="683"/>
      <c r="X47" s="45"/>
      <c r="Y47" s="683"/>
      <c r="Z47" s="683"/>
    </row>
    <row r="48" spans="1:26" ht="15.75" customHeight="1" x14ac:dyDescent="0.25">
      <c r="A48" s="3"/>
      <c r="B48" s="683"/>
      <c r="C48" s="683"/>
      <c r="D48" s="3"/>
      <c r="E48" s="683"/>
      <c r="F48" s="704" t="s">
        <v>750</v>
      </c>
      <c r="G48" s="3"/>
      <c r="H48" s="684">
        <v>10</v>
      </c>
      <c r="I48" s="683"/>
      <c r="J48" s="683"/>
      <c r="K48" s="683"/>
      <c r="L48" s="683"/>
      <c r="M48" s="3"/>
      <c r="N48" s="3"/>
      <c r="O48" s="684"/>
      <c r="P48" s="683"/>
      <c r="Q48" s="683"/>
      <c r="R48" s="683"/>
      <c r="S48" s="683"/>
      <c r="T48" s="683"/>
      <c r="U48" s="683"/>
      <c r="V48" s="683"/>
      <c r="W48" s="683"/>
      <c r="X48" s="45"/>
      <c r="Y48" s="683"/>
      <c r="Z48" s="683"/>
    </row>
    <row r="49" spans="1:26" ht="15.75" customHeight="1" x14ac:dyDescent="0.25">
      <c r="A49" s="3"/>
      <c r="B49" s="683"/>
      <c r="C49" s="683"/>
      <c r="D49" s="3"/>
      <c r="E49" s="683"/>
      <c r="F49" s="41" t="s">
        <v>909</v>
      </c>
      <c r="H49" s="692">
        <v>15</v>
      </c>
      <c r="I49" s="683"/>
      <c r="J49" s="683"/>
      <c r="K49" s="683"/>
      <c r="L49" s="683"/>
      <c r="O49" s="692"/>
      <c r="P49" s="683"/>
      <c r="Q49" s="683"/>
      <c r="R49" s="683"/>
      <c r="S49" s="683"/>
      <c r="T49" s="683"/>
      <c r="U49" s="683"/>
      <c r="V49" s="683"/>
      <c r="W49" s="683"/>
      <c r="X49" s="45"/>
      <c r="Y49" s="683"/>
      <c r="Z49" s="683"/>
    </row>
    <row r="50" spans="1:26" ht="15.75" customHeight="1" x14ac:dyDescent="0.25">
      <c r="A50" s="3"/>
      <c r="B50" s="683"/>
      <c r="C50" s="683"/>
      <c r="D50" s="3"/>
      <c r="E50" s="683"/>
      <c r="F50" s="41" t="s">
        <v>1057</v>
      </c>
      <c r="G50" s="38" t="s">
        <v>1749</v>
      </c>
      <c r="H50" s="38">
        <v>31</v>
      </c>
      <c r="J50" s="683"/>
      <c r="K50" s="683"/>
      <c r="L50" s="683"/>
      <c r="M50" s="3"/>
      <c r="N50" s="3"/>
      <c r="O50" s="684"/>
      <c r="P50" s="683"/>
      <c r="Q50" s="683"/>
      <c r="R50" s="683"/>
      <c r="S50" s="683"/>
      <c r="T50" s="683"/>
      <c r="U50" s="683"/>
      <c r="V50" s="683"/>
      <c r="W50" s="683"/>
      <c r="X50" s="45"/>
      <c r="Y50" s="683"/>
      <c r="Z50" s="683"/>
    </row>
    <row r="51" spans="1:26" ht="15.75" customHeight="1" x14ac:dyDescent="0.25">
      <c r="A51" s="3"/>
      <c r="B51" s="683"/>
      <c r="C51" s="683"/>
      <c r="D51" s="3"/>
      <c r="E51" s="683"/>
      <c r="F51" s="41" t="s">
        <v>822</v>
      </c>
      <c r="G51" s="38" t="s">
        <v>1750</v>
      </c>
      <c r="H51" s="38">
        <v>26</v>
      </c>
      <c r="I51" s="683"/>
      <c r="J51" s="683"/>
      <c r="K51" s="683"/>
      <c r="L51" s="683"/>
      <c r="M51" s="3"/>
      <c r="N51" s="3"/>
      <c r="O51" s="684"/>
      <c r="P51" s="683"/>
      <c r="Q51" s="683"/>
      <c r="R51" s="683"/>
      <c r="S51" s="683"/>
      <c r="T51" s="683"/>
      <c r="U51" s="683"/>
      <c r="V51" s="683"/>
      <c r="W51" s="683"/>
      <c r="X51" s="45"/>
      <c r="Y51" s="683"/>
      <c r="Z51" s="683"/>
    </row>
    <row r="52" spans="1:26" ht="15.75" customHeight="1" x14ac:dyDescent="0.25">
      <c r="A52" s="3"/>
      <c r="B52" s="683"/>
      <c r="C52" s="683"/>
      <c r="D52" s="3"/>
      <c r="E52" s="683"/>
      <c r="F52" s="704" t="s">
        <v>1751</v>
      </c>
      <c r="G52" s="3"/>
      <c r="H52" s="684">
        <v>10</v>
      </c>
      <c r="I52" s="683"/>
      <c r="J52" s="683"/>
      <c r="K52" s="683"/>
      <c r="L52" s="683"/>
      <c r="M52" s="3"/>
      <c r="N52" s="3"/>
      <c r="O52" s="684"/>
      <c r="P52" s="683"/>
      <c r="Q52" s="683"/>
      <c r="R52" s="683"/>
      <c r="S52" s="683"/>
      <c r="T52" s="683"/>
      <c r="U52" s="683"/>
      <c r="V52" s="683"/>
      <c r="W52" s="683"/>
      <c r="X52" s="45"/>
      <c r="Y52" s="683"/>
      <c r="Z52" s="683"/>
    </row>
    <row r="53" spans="1:26" ht="15.75" customHeight="1" x14ac:dyDescent="0.25">
      <c r="A53" s="3"/>
      <c r="B53" s="683"/>
      <c r="C53" s="683"/>
      <c r="D53" s="3"/>
      <c r="E53" s="683"/>
      <c r="F53" s="41" t="s">
        <v>1196</v>
      </c>
      <c r="H53" s="38">
        <v>15</v>
      </c>
      <c r="I53" s="683"/>
      <c r="J53" s="683"/>
      <c r="K53" s="683"/>
      <c r="L53" s="683"/>
      <c r="M53" s="3"/>
      <c r="N53" s="3"/>
      <c r="O53" s="684"/>
      <c r="P53" s="683"/>
      <c r="Q53" s="683"/>
      <c r="R53" s="683"/>
      <c r="S53" s="683"/>
      <c r="T53" s="683"/>
      <c r="U53" s="683"/>
      <c r="V53" s="683"/>
      <c r="W53" s="683"/>
      <c r="X53" s="683"/>
      <c r="Y53" s="683"/>
      <c r="Z53" s="683"/>
    </row>
    <row r="54" spans="1:26" ht="15.75" customHeight="1" x14ac:dyDescent="0.25">
      <c r="A54" s="3"/>
      <c r="B54" s="683"/>
      <c r="C54" s="683"/>
      <c r="D54" s="3"/>
      <c r="E54" s="683"/>
      <c r="F54" s="3" t="s">
        <v>734</v>
      </c>
      <c r="G54" s="3" t="s">
        <v>1752</v>
      </c>
      <c r="H54" s="684">
        <v>11</v>
      </c>
      <c r="I54" s="683"/>
      <c r="J54" s="683"/>
      <c r="K54" s="683"/>
      <c r="L54" s="683"/>
      <c r="M54" s="3"/>
      <c r="N54" s="3"/>
      <c r="O54" s="684"/>
      <c r="P54" s="683"/>
      <c r="Q54" s="683"/>
      <c r="R54" s="683"/>
      <c r="S54" s="683"/>
      <c r="T54" s="683"/>
      <c r="U54" s="683"/>
      <c r="V54" s="683"/>
      <c r="W54" s="683"/>
      <c r="X54" s="683"/>
      <c r="Y54" s="683"/>
      <c r="Z54" s="683"/>
    </row>
    <row r="55" spans="1:26" ht="15.75" customHeight="1" x14ac:dyDescent="0.25">
      <c r="A55" s="3"/>
      <c r="B55" s="683"/>
      <c r="C55" s="683"/>
      <c r="D55" s="3"/>
      <c r="E55" s="683"/>
      <c r="F55" s="3" t="s">
        <v>1417</v>
      </c>
      <c r="G55" s="3" t="s">
        <v>1753</v>
      </c>
      <c r="H55" s="684">
        <v>13</v>
      </c>
      <c r="I55" s="683"/>
      <c r="J55" s="683"/>
      <c r="K55" s="683"/>
      <c r="L55" s="683"/>
      <c r="M55" s="3"/>
      <c r="N55" s="3"/>
      <c r="O55" s="684"/>
      <c r="P55" s="683"/>
      <c r="Q55" s="683"/>
      <c r="R55" s="683"/>
      <c r="S55" s="683"/>
      <c r="T55" s="683"/>
      <c r="U55" s="683"/>
      <c r="V55" s="683"/>
      <c r="W55" s="683"/>
      <c r="X55" s="683"/>
      <c r="Y55" s="683"/>
      <c r="Z55" s="683"/>
    </row>
    <row r="56" spans="1:26" ht="15.75" customHeight="1" x14ac:dyDescent="0.25">
      <c r="A56" s="3"/>
      <c r="B56" s="683"/>
      <c r="C56" s="683"/>
      <c r="D56" s="3"/>
      <c r="E56" s="683"/>
      <c r="F56" s="3" t="s">
        <v>860</v>
      </c>
      <c r="G56" s="3" t="s">
        <v>1754</v>
      </c>
      <c r="H56" s="684">
        <v>13</v>
      </c>
      <c r="I56" s="683"/>
      <c r="J56" s="683"/>
      <c r="K56" s="683"/>
      <c r="L56" s="683"/>
      <c r="M56" s="3"/>
      <c r="N56" s="3"/>
      <c r="O56" s="684"/>
      <c r="P56" s="683"/>
      <c r="Q56" s="683"/>
      <c r="R56" s="683"/>
      <c r="S56" s="683"/>
      <c r="T56" s="683"/>
      <c r="U56" s="683"/>
      <c r="V56" s="683"/>
      <c r="W56" s="683"/>
      <c r="X56" s="683"/>
      <c r="Y56" s="683"/>
      <c r="Z56" s="683"/>
    </row>
    <row r="57" spans="1:26" ht="15.75" customHeight="1" x14ac:dyDescent="0.25">
      <c r="A57" s="3"/>
      <c r="B57" s="683"/>
      <c r="C57" s="683"/>
      <c r="D57" s="3"/>
      <c r="E57" s="683"/>
      <c r="F57" s="3" t="s">
        <v>1373</v>
      </c>
      <c r="G57" s="3" t="s">
        <v>1755</v>
      </c>
      <c r="H57" s="684">
        <v>15</v>
      </c>
      <c r="I57" s="683"/>
      <c r="J57" s="683"/>
      <c r="K57" s="683"/>
      <c r="L57" s="683"/>
      <c r="M57" s="3"/>
      <c r="N57" s="3"/>
      <c r="O57" s="684"/>
      <c r="P57" s="683"/>
      <c r="Q57" s="683"/>
      <c r="R57" s="683"/>
      <c r="S57" s="683"/>
      <c r="T57" s="683"/>
      <c r="U57" s="683"/>
      <c r="V57" s="683"/>
      <c r="W57" s="683"/>
      <c r="X57" s="683"/>
      <c r="Y57" s="683"/>
      <c r="Z57" s="683"/>
    </row>
    <row r="58" spans="1:26" ht="15.75" customHeight="1" x14ac:dyDescent="0.25">
      <c r="A58" s="3"/>
      <c r="B58" s="683"/>
      <c r="C58" s="683"/>
      <c r="D58" s="3"/>
      <c r="E58" s="683"/>
      <c r="F58" s="3" t="s">
        <v>1004</v>
      </c>
      <c r="G58" s="3" t="s">
        <v>1756</v>
      </c>
      <c r="H58" s="684">
        <v>16</v>
      </c>
      <c r="I58" s="683"/>
      <c r="J58" s="683"/>
      <c r="K58" s="683"/>
      <c r="L58" s="683"/>
      <c r="M58" s="3"/>
      <c r="N58" s="3"/>
      <c r="O58" s="684"/>
      <c r="P58" s="683"/>
      <c r="Q58" s="683"/>
      <c r="R58" s="683"/>
      <c r="S58" s="683"/>
      <c r="T58" s="683"/>
      <c r="U58" s="683"/>
      <c r="V58" s="683"/>
      <c r="W58" s="683"/>
      <c r="X58" s="683"/>
      <c r="Y58" s="683"/>
      <c r="Z58" s="683"/>
    </row>
    <row r="59" spans="1:26" ht="15.75" customHeight="1" x14ac:dyDescent="0.25">
      <c r="A59" s="3"/>
      <c r="B59" s="683"/>
      <c r="C59" s="683"/>
      <c r="D59" s="3"/>
      <c r="E59" s="683"/>
      <c r="F59" s="3" t="s">
        <v>1757</v>
      </c>
      <c r="G59" s="3" t="s">
        <v>1758</v>
      </c>
      <c r="H59" s="684">
        <v>17</v>
      </c>
      <c r="I59" s="683"/>
      <c r="J59" s="683"/>
      <c r="K59" s="683"/>
      <c r="L59" s="683"/>
      <c r="M59" s="3"/>
      <c r="N59" s="3"/>
      <c r="O59" s="684"/>
      <c r="P59" s="683"/>
      <c r="Q59" s="683"/>
      <c r="R59" s="683"/>
      <c r="S59" s="683"/>
      <c r="T59" s="683"/>
      <c r="U59" s="683"/>
      <c r="V59" s="683"/>
      <c r="W59" s="683"/>
      <c r="X59" s="683"/>
      <c r="Y59" s="683"/>
      <c r="Z59" s="683"/>
    </row>
    <row r="60" spans="1:26" ht="15.75" customHeight="1" x14ac:dyDescent="0.25">
      <c r="A60" s="3"/>
      <c r="B60" s="683"/>
      <c r="C60" s="683"/>
      <c r="D60" s="3"/>
      <c r="E60" s="683"/>
      <c r="F60" s="3" t="s">
        <v>710</v>
      </c>
      <c r="G60" s="3" t="s">
        <v>1757</v>
      </c>
      <c r="H60" s="684">
        <v>17</v>
      </c>
      <c r="I60" s="683"/>
      <c r="J60" s="683"/>
      <c r="K60" s="683"/>
      <c r="L60" s="683"/>
      <c r="M60" s="3"/>
      <c r="N60" s="3"/>
      <c r="O60" s="684"/>
      <c r="P60" s="683"/>
      <c r="Q60" s="683"/>
      <c r="R60" s="683"/>
      <c r="S60" s="683"/>
      <c r="T60" s="683"/>
      <c r="U60" s="683"/>
      <c r="V60" s="683"/>
      <c r="W60" s="683"/>
      <c r="X60" s="683"/>
      <c r="Y60" s="683"/>
      <c r="Z60" s="683"/>
    </row>
    <row r="61" spans="1:26" ht="15.75" customHeight="1" x14ac:dyDescent="0.25">
      <c r="A61" s="3"/>
      <c r="B61" s="683"/>
      <c r="C61" s="683"/>
      <c r="D61" s="3"/>
      <c r="E61" s="683"/>
      <c r="F61" s="3" t="s">
        <v>192</v>
      </c>
      <c r="G61" s="3" t="s">
        <v>1757</v>
      </c>
      <c r="H61" s="684">
        <v>17</v>
      </c>
      <c r="I61" s="683"/>
      <c r="J61" s="683"/>
      <c r="K61" s="683"/>
      <c r="L61" s="683"/>
      <c r="M61" s="3"/>
      <c r="N61" s="3"/>
      <c r="O61" s="684"/>
      <c r="P61" s="683"/>
      <c r="Q61" s="683"/>
      <c r="R61" s="683"/>
      <c r="S61" s="683"/>
      <c r="T61" s="683"/>
      <c r="U61" s="683"/>
      <c r="V61" s="683"/>
      <c r="W61" s="683"/>
      <c r="X61" s="683"/>
      <c r="Y61" s="683"/>
      <c r="Z61" s="683"/>
    </row>
    <row r="62" spans="1:26" ht="15.75" customHeight="1" x14ac:dyDescent="0.25">
      <c r="A62" s="3"/>
      <c r="B62" s="683"/>
      <c r="C62" s="683"/>
      <c r="D62" s="3"/>
      <c r="E62" s="683"/>
      <c r="F62" s="3" t="s">
        <v>754</v>
      </c>
      <c r="G62" s="3" t="s">
        <v>1759</v>
      </c>
      <c r="H62" s="684">
        <v>15</v>
      </c>
      <c r="I62" s="683"/>
      <c r="J62" s="683"/>
      <c r="K62" s="683"/>
      <c r="L62" s="683"/>
      <c r="M62" s="3"/>
      <c r="N62" s="3"/>
      <c r="O62" s="684"/>
      <c r="P62" s="683"/>
      <c r="Q62" s="683"/>
      <c r="R62" s="683"/>
      <c r="S62" s="683"/>
      <c r="T62" s="683"/>
      <c r="U62" s="683"/>
      <c r="V62" s="683"/>
      <c r="W62" s="683"/>
      <c r="X62" s="683"/>
      <c r="Y62" s="683"/>
      <c r="Z62" s="683"/>
    </row>
    <row r="63" spans="1:26" ht="15.75" customHeight="1" x14ac:dyDescent="0.25">
      <c r="A63" s="3"/>
      <c r="B63" s="683"/>
      <c r="C63" s="683"/>
      <c r="D63" s="3"/>
      <c r="E63" s="683"/>
      <c r="F63" s="3" t="s">
        <v>770</v>
      </c>
      <c r="G63" s="3" t="s">
        <v>259</v>
      </c>
      <c r="H63" s="684">
        <v>18</v>
      </c>
      <c r="I63" s="683"/>
      <c r="J63" s="683"/>
      <c r="K63" s="683"/>
      <c r="L63" s="683"/>
      <c r="M63" s="3"/>
      <c r="N63" s="3"/>
      <c r="O63" s="684"/>
      <c r="P63" s="683"/>
      <c r="Q63" s="683"/>
      <c r="R63" s="683"/>
      <c r="S63" s="683"/>
      <c r="T63" s="683"/>
      <c r="U63" s="683"/>
      <c r="V63" s="683"/>
      <c r="W63" s="683"/>
      <c r="X63" s="683"/>
      <c r="Y63" s="683"/>
      <c r="Z63" s="683"/>
    </row>
    <row r="64" spans="1:26" ht="15.75" customHeight="1" x14ac:dyDescent="0.25">
      <c r="A64" s="3"/>
      <c r="B64" s="683"/>
      <c r="C64" s="683"/>
      <c r="D64" s="3"/>
      <c r="E64" s="683"/>
      <c r="F64" s="3" t="s">
        <v>704</v>
      </c>
      <c r="G64" s="3" t="s">
        <v>194</v>
      </c>
      <c r="H64" s="684">
        <v>18</v>
      </c>
      <c r="I64" s="683"/>
      <c r="J64" s="683"/>
      <c r="K64" s="683"/>
      <c r="L64" s="683"/>
      <c r="M64" s="3"/>
      <c r="N64" s="3"/>
      <c r="O64" s="684"/>
      <c r="P64" s="45"/>
      <c r="Q64" s="683"/>
      <c r="R64" s="683"/>
      <c r="S64" s="683"/>
      <c r="T64" s="683"/>
      <c r="U64" s="683"/>
      <c r="V64" s="683"/>
      <c r="W64" s="683"/>
      <c r="X64" s="683"/>
      <c r="Y64" s="683"/>
      <c r="Z64" s="683"/>
    </row>
    <row r="65" spans="1:26" ht="15.75" customHeight="1" x14ac:dyDescent="0.25">
      <c r="A65" s="3"/>
      <c r="B65" s="683"/>
      <c r="C65" s="683"/>
      <c r="D65" s="3"/>
      <c r="E65" s="683"/>
      <c r="F65" s="3" t="s">
        <v>715</v>
      </c>
      <c r="G65" s="3" t="s">
        <v>194</v>
      </c>
      <c r="H65" s="684">
        <v>18</v>
      </c>
      <c r="I65" s="683"/>
      <c r="J65" s="683"/>
      <c r="K65" s="683"/>
      <c r="L65" s="683"/>
      <c r="M65" s="3"/>
      <c r="N65" s="3"/>
      <c r="O65" s="684"/>
      <c r="P65" s="45"/>
      <c r="Q65" s="683"/>
      <c r="R65" s="683"/>
      <c r="S65" s="683"/>
      <c r="T65" s="683"/>
      <c r="U65" s="683"/>
      <c r="V65" s="683"/>
      <c r="W65" s="683"/>
      <c r="X65" s="683"/>
      <c r="Y65" s="683"/>
      <c r="Z65" s="683"/>
    </row>
    <row r="66" spans="1:26" ht="15.75" customHeight="1" x14ac:dyDescent="0.25">
      <c r="A66" s="3"/>
      <c r="B66" s="683"/>
      <c r="C66" s="683"/>
      <c r="D66" s="3"/>
      <c r="E66" s="683"/>
      <c r="F66" s="3" t="s">
        <v>901</v>
      </c>
      <c r="G66" s="3" t="s">
        <v>1760</v>
      </c>
      <c r="H66" s="684">
        <v>18</v>
      </c>
      <c r="I66" s="683"/>
      <c r="J66" s="683"/>
      <c r="K66" s="683"/>
      <c r="L66" s="683"/>
      <c r="M66" s="3"/>
      <c r="N66" s="3"/>
      <c r="O66" s="684"/>
      <c r="P66" s="45"/>
      <c r="Q66" s="683"/>
      <c r="R66" s="683"/>
      <c r="S66" s="683"/>
      <c r="T66" s="683"/>
      <c r="U66" s="683"/>
      <c r="V66" s="683"/>
      <c r="W66" s="683"/>
      <c r="X66" s="683"/>
      <c r="Y66" s="683"/>
      <c r="Z66" s="683"/>
    </row>
    <row r="67" spans="1:26" ht="15.75" customHeight="1" x14ac:dyDescent="0.25">
      <c r="A67" s="3"/>
      <c r="B67" s="683"/>
      <c r="C67" s="683"/>
      <c r="D67" s="3"/>
      <c r="E67" s="683"/>
      <c r="F67" s="3" t="s">
        <v>1761</v>
      </c>
      <c r="G67" s="3" t="s">
        <v>1762</v>
      </c>
      <c r="H67" s="684">
        <v>21</v>
      </c>
      <c r="I67" s="683"/>
      <c r="J67" s="683"/>
      <c r="K67" s="683"/>
      <c r="L67" s="683"/>
      <c r="M67" s="3"/>
      <c r="N67" s="3"/>
      <c r="O67" s="684"/>
      <c r="P67" s="45"/>
      <c r="Q67" s="683"/>
      <c r="R67" s="683"/>
      <c r="S67" s="683"/>
      <c r="T67" s="683"/>
      <c r="U67" s="683"/>
      <c r="V67" s="683"/>
      <c r="W67" s="683"/>
      <c r="X67" s="683"/>
      <c r="Y67" s="683"/>
      <c r="Z67" s="683"/>
    </row>
    <row r="68" spans="1:26" ht="15.75" customHeight="1" x14ac:dyDescent="0.25">
      <c r="A68" s="3"/>
      <c r="B68" s="683"/>
      <c r="C68" s="683"/>
      <c r="D68" s="3"/>
      <c r="E68" s="683"/>
      <c r="F68" s="3" t="s">
        <v>778</v>
      </c>
      <c r="G68" s="3" t="s">
        <v>1763</v>
      </c>
      <c r="H68" s="684">
        <v>10</v>
      </c>
      <c r="I68" s="683"/>
      <c r="J68" s="683"/>
      <c r="K68" s="683"/>
      <c r="L68" s="683"/>
      <c r="M68" s="3"/>
      <c r="N68" s="3"/>
      <c r="O68" s="684"/>
      <c r="P68" s="45"/>
      <c r="Q68" s="683"/>
      <c r="R68" s="683"/>
      <c r="S68" s="683"/>
      <c r="T68" s="683"/>
      <c r="U68" s="683"/>
      <c r="V68" s="683"/>
      <c r="W68" s="683"/>
      <c r="X68" s="683"/>
      <c r="Y68" s="683"/>
      <c r="Z68" s="683"/>
    </row>
    <row r="69" spans="1:26" ht="15.75" customHeight="1" x14ac:dyDescent="0.25">
      <c r="A69" s="3"/>
      <c r="B69" s="683"/>
      <c r="C69" s="683"/>
      <c r="D69" s="3"/>
      <c r="E69" s="683"/>
      <c r="F69" s="3" t="s">
        <v>1221</v>
      </c>
      <c r="G69" s="3" t="s">
        <v>1575</v>
      </c>
      <c r="H69" s="684">
        <v>24</v>
      </c>
      <c r="P69" s="45"/>
      <c r="Q69" s="683"/>
      <c r="R69" s="683"/>
      <c r="S69" s="683"/>
      <c r="T69" s="683"/>
      <c r="U69" s="683"/>
      <c r="V69" s="683"/>
      <c r="W69" s="683"/>
      <c r="X69" s="683"/>
      <c r="Y69" s="683"/>
      <c r="Z69" s="45"/>
    </row>
    <row r="70" spans="1:26" ht="15.75" customHeight="1" x14ac:dyDescent="0.25">
      <c r="A70" s="3"/>
      <c r="B70" s="683"/>
      <c r="C70" s="683"/>
      <c r="D70" s="3"/>
      <c r="E70" s="683"/>
      <c r="F70" s="38" t="s">
        <v>295</v>
      </c>
      <c r="G70" s="38" t="s">
        <v>295</v>
      </c>
      <c r="H70" s="38">
        <v>2.5830000000000002</v>
      </c>
      <c r="P70" s="683"/>
      <c r="Q70" s="683"/>
      <c r="R70" s="683"/>
      <c r="S70" s="683"/>
      <c r="T70" s="683"/>
      <c r="U70" s="683"/>
      <c r="V70" s="683"/>
      <c r="W70" s="683"/>
      <c r="X70" s="683"/>
      <c r="Y70" s="683"/>
      <c r="Z70" s="45"/>
    </row>
    <row r="71" spans="1:26" ht="15.75" customHeight="1" x14ac:dyDescent="0.25">
      <c r="A71" s="3"/>
      <c r="B71" s="683"/>
      <c r="C71" s="683"/>
      <c r="D71" s="3"/>
      <c r="E71" s="683"/>
      <c r="P71" s="683"/>
      <c r="Q71" s="683"/>
      <c r="R71" s="683"/>
      <c r="S71" s="683"/>
      <c r="T71" s="683"/>
      <c r="U71" s="683"/>
      <c r="V71" s="683"/>
      <c r="W71" s="683"/>
      <c r="X71" s="683"/>
      <c r="Y71" s="683"/>
      <c r="Z71" s="705"/>
    </row>
    <row r="72" spans="1:26" ht="15.75" customHeight="1" x14ac:dyDescent="0.25">
      <c r="A72" s="3"/>
      <c r="B72" s="683"/>
      <c r="C72" s="683"/>
      <c r="D72" s="3"/>
      <c r="E72" s="683"/>
      <c r="P72" s="683"/>
      <c r="Q72" s="683"/>
      <c r="R72" s="683"/>
      <c r="S72" s="683"/>
      <c r="T72" s="683"/>
      <c r="U72" s="683"/>
      <c r="V72" s="683"/>
      <c r="W72" s="683"/>
      <c r="X72" s="683"/>
      <c r="Y72" s="683"/>
      <c r="Z72" s="45"/>
    </row>
    <row r="73" spans="1:26" ht="15.75" customHeight="1" x14ac:dyDescent="0.25">
      <c r="A73" s="3"/>
      <c r="B73" s="683"/>
      <c r="C73" s="683"/>
      <c r="D73" s="3"/>
      <c r="E73" s="683"/>
      <c r="I73" s="683"/>
      <c r="J73" s="683"/>
      <c r="K73" s="683"/>
      <c r="L73" s="683"/>
      <c r="M73" s="683"/>
      <c r="N73" s="685"/>
      <c r="O73" s="683"/>
      <c r="P73" s="683"/>
      <c r="Q73" s="683"/>
      <c r="R73" s="683"/>
      <c r="S73" s="683"/>
      <c r="T73" s="683"/>
      <c r="U73" s="683"/>
      <c r="V73" s="683"/>
      <c r="W73" s="683"/>
      <c r="X73" s="683"/>
      <c r="Y73" s="683"/>
      <c r="Z73" s="45"/>
    </row>
    <row r="74" spans="1:26" ht="15.75" customHeight="1" x14ac:dyDescent="0.25">
      <c r="A74" s="3"/>
      <c r="B74" s="683"/>
      <c r="C74" s="683"/>
      <c r="D74" s="3"/>
      <c r="E74" s="683"/>
      <c r="I74" s="683"/>
      <c r="J74" s="683"/>
      <c r="K74" s="683"/>
      <c r="L74" s="683"/>
      <c r="M74" s="683"/>
      <c r="N74" s="685"/>
      <c r="O74" s="683"/>
      <c r="P74" s="683"/>
      <c r="Q74" s="683"/>
      <c r="R74" s="683"/>
      <c r="S74" s="683"/>
      <c r="T74" s="683"/>
      <c r="U74" s="683"/>
      <c r="V74" s="683"/>
      <c r="W74" s="683"/>
      <c r="X74" s="683"/>
      <c r="Y74" s="683"/>
      <c r="Z74" s="683"/>
    </row>
    <row r="75" spans="1:26" ht="15.75" customHeight="1" x14ac:dyDescent="0.25">
      <c r="A75" s="3"/>
      <c r="B75" s="683"/>
      <c r="C75" s="683"/>
      <c r="D75" s="3"/>
      <c r="E75" s="683"/>
      <c r="I75" s="683"/>
      <c r="J75" s="683"/>
      <c r="K75" s="683"/>
      <c r="L75" s="683"/>
      <c r="M75" s="683"/>
      <c r="N75" s="685"/>
      <c r="O75" s="683"/>
      <c r="P75" s="683"/>
      <c r="Q75" s="683"/>
      <c r="R75" s="683"/>
      <c r="S75" s="683"/>
      <c r="T75" s="683"/>
      <c r="U75" s="683"/>
      <c r="V75" s="683"/>
      <c r="W75" s="683"/>
      <c r="X75" s="683"/>
      <c r="Y75" s="683"/>
      <c r="Z75" s="683"/>
    </row>
    <row r="76" spans="1:26" ht="15.75" customHeight="1" x14ac:dyDescent="0.25">
      <c r="A76" s="3"/>
      <c r="B76" s="683"/>
      <c r="C76" s="683"/>
      <c r="D76" s="3"/>
      <c r="E76" s="683"/>
      <c r="I76" s="683"/>
      <c r="J76" s="683"/>
      <c r="K76" s="683"/>
      <c r="L76" s="683"/>
      <c r="M76" s="683"/>
      <c r="N76" s="685"/>
      <c r="O76" s="683"/>
      <c r="P76" s="683"/>
      <c r="Q76" s="683"/>
      <c r="R76" s="683"/>
      <c r="S76" s="683"/>
      <c r="T76" s="683"/>
      <c r="U76" s="683"/>
      <c r="V76" s="683"/>
      <c r="W76" s="683"/>
      <c r="X76" s="683"/>
      <c r="Y76" s="683"/>
      <c r="Z76" s="683"/>
    </row>
    <row r="77" spans="1:26" ht="15.75" customHeight="1" x14ac:dyDescent="0.25">
      <c r="A77" s="3"/>
      <c r="B77" s="683"/>
      <c r="C77" s="683"/>
      <c r="D77" s="3"/>
      <c r="E77" s="683"/>
      <c r="I77" s="683"/>
      <c r="J77" s="683"/>
      <c r="K77" s="683"/>
      <c r="L77" s="683"/>
      <c r="M77" s="683"/>
      <c r="N77" s="690"/>
      <c r="O77" s="683"/>
      <c r="P77" s="683"/>
      <c r="Q77" s="683"/>
      <c r="R77" s="683"/>
      <c r="S77" s="683"/>
      <c r="T77" s="683"/>
      <c r="U77" s="683"/>
      <c r="V77" s="683"/>
      <c r="W77" s="683"/>
      <c r="X77" s="683"/>
      <c r="Y77" s="683"/>
      <c r="Z77" s="683"/>
    </row>
    <row r="78" spans="1:26" ht="15.75" customHeight="1" x14ac:dyDescent="0.25">
      <c r="A78" s="3"/>
      <c r="B78" s="683"/>
      <c r="C78" s="683"/>
      <c r="D78" s="3"/>
      <c r="E78" s="683"/>
      <c r="I78" s="683"/>
      <c r="J78" s="683"/>
      <c r="K78" s="683"/>
      <c r="L78" s="683"/>
      <c r="M78" s="683"/>
      <c r="N78" s="685"/>
      <c r="O78" s="683"/>
      <c r="P78" s="683"/>
      <c r="Q78" s="683"/>
      <c r="R78" s="683"/>
      <c r="S78" s="683"/>
      <c r="T78" s="683"/>
      <c r="U78" s="683"/>
      <c r="V78" s="683"/>
      <c r="W78" s="683"/>
      <c r="X78" s="683"/>
      <c r="Y78" s="683"/>
      <c r="Z78" s="683"/>
    </row>
    <row r="79" spans="1:26" ht="15.75" customHeight="1" x14ac:dyDescent="0.25">
      <c r="A79" s="3"/>
      <c r="B79" s="683"/>
      <c r="C79" s="683"/>
      <c r="D79" s="3"/>
      <c r="E79" s="3"/>
      <c r="I79" s="683"/>
      <c r="J79" s="683"/>
      <c r="K79" s="683"/>
      <c r="L79" s="683"/>
      <c r="M79" s="683"/>
      <c r="N79" s="685"/>
      <c r="O79" s="683"/>
      <c r="P79" s="683"/>
      <c r="Q79" s="683"/>
      <c r="R79" s="683"/>
      <c r="S79" s="683"/>
      <c r="T79" s="683"/>
      <c r="U79" s="683"/>
      <c r="V79" s="683"/>
      <c r="W79" s="683"/>
      <c r="X79" s="683"/>
      <c r="Y79" s="683"/>
      <c r="Z79" s="683"/>
    </row>
    <row r="80" spans="1:26" ht="15.75" customHeight="1" x14ac:dyDescent="0.25">
      <c r="A80" s="3"/>
      <c r="B80" s="683"/>
      <c r="C80" s="683"/>
      <c r="D80" s="3"/>
      <c r="E80" s="683"/>
      <c r="I80" s="683"/>
      <c r="J80" s="683"/>
      <c r="K80" s="683"/>
      <c r="L80" s="683"/>
      <c r="M80" s="683"/>
      <c r="N80" s="685"/>
      <c r="O80" s="683"/>
      <c r="P80" s="683"/>
      <c r="Q80" s="683"/>
      <c r="R80" s="683"/>
      <c r="S80" s="683"/>
      <c r="T80" s="683"/>
      <c r="U80" s="683"/>
      <c r="V80" s="683"/>
      <c r="W80" s="683"/>
      <c r="X80" s="683"/>
      <c r="Y80" s="683"/>
      <c r="Z80" s="683"/>
    </row>
    <row r="81" spans="1:26" ht="15.75" customHeight="1" x14ac:dyDescent="0.25">
      <c r="A81" s="3"/>
      <c r="B81" s="683"/>
      <c r="C81" s="683"/>
      <c r="D81" s="3"/>
      <c r="E81" s="683"/>
      <c r="I81" s="683"/>
      <c r="J81" s="683"/>
      <c r="K81" s="683"/>
      <c r="L81" s="683"/>
      <c r="M81" s="683"/>
      <c r="N81" s="685"/>
      <c r="O81" s="683"/>
      <c r="P81" s="683"/>
      <c r="Q81" s="683"/>
      <c r="R81" s="683"/>
      <c r="S81" s="683"/>
      <c r="T81" s="683"/>
      <c r="U81" s="683"/>
      <c r="V81" s="683"/>
      <c r="W81" s="683"/>
      <c r="X81" s="683"/>
      <c r="Y81" s="683"/>
      <c r="Z81" s="683"/>
    </row>
    <row r="82" spans="1:26" ht="15.75" customHeight="1" x14ac:dyDescent="0.25">
      <c r="C82" s="683"/>
      <c r="D82" s="3"/>
      <c r="E82" s="683"/>
      <c r="I82" s="683"/>
      <c r="J82" s="683"/>
      <c r="K82" s="683"/>
      <c r="L82" s="683"/>
      <c r="M82" s="683"/>
      <c r="N82" s="685"/>
      <c r="O82" s="683"/>
      <c r="P82" s="683"/>
      <c r="Q82" s="683"/>
      <c r="R82" s="683"/>
      <c r="S82" s="683"/>
      <c r="T82" s="683"/>
      <c r="U82" s="683"/>
      <c r="V82" s="683"/>
      <c r="W82" s="683"/>
      <c r="X82" s="683"/>
      <c r="Y82" s="683"/>
      <c r="Z82" s="683"/>
    </row>
    <row r="83" spans="1:26" ht="15.75" customHeight="1" x14ac:dyDescent="0.25">
      <c r="C83" s="683"/>
      <c r="D83" s="3"/>
      <c r="E83" s="683"/>
      <c r="I83" s="683"/>
      <c r="J83" s="683"/>
      <c r="K83" s="683"/>
      <c r="L83" s="683"/>
      <c r="M83" s="683"/>
      <c r="N83" s="685"/>
      <c r="O83" s="683"/>
      <c r="P83" s="683"/>
      <c r="Q83" s="45"/>
      <c r="R83" s="683"/>
      <c r="S83" s="683"/>
      <c r="T83" s="683"/>
      <c r="U83" s="683"/>
      <c r="V83" s="683"/>
      <c r="W83" s="683"/>
      <c r="X83" s="683"/>
      <c r="Y83" s="683"/>
      <c r="Z83" s="683"/>
    </row>
    <row r="84" spans="1:26" ht="15.75" customHeight="1" x14ac:dyDescent="0.25">
      <c r="A84" s="3"/>
      <c r="B84" s="683"/>
      <c r="C84" s="683"/>
      <c r="D84" s="3"/>
      <c r="E84" s="683"/>
      <c r="I84" s="683"/>
      <c r="J84" s="683"/>
      <c r="K84" s="683"/>
      <c r="L84" s="683"/>
      <c r="M84" s="683"/>
      <c r="N84" s="685"/>
      <c r="O84" s="683"/>
      <c r="P84" s="683"/>
      <c r="Q84" s="45"/>
      <c r="R84" s="683"/>
      <c r="S84" s="683"/>
      <c r="T84" s="683"/>
      <c r="U84" s="683"/>
      <c r="V84" s="683"/>
      <c r="W84" s="683"/>
      <c r="X84" s="683"/>
      <c r="Y84" s="683"/>
      <c r="Z84" s="683"/>
    </row>
    <row r="85" spans="1:26" ht="15.75" customHeight="1" x14ac:dyDescent="0.25">
      <c r="A85" s="3"/>
      <c r="B85" s="683"/>
      <c r="C85" s="683"/>
      <c r="D85" s="3"/>
      <c r="E85" s="683"/>
      <c r="F85" s="3"/>
      <c r="G85" s="3"/>
      <c r="H85" s="684"/>
      <c r="I85" s="683"/>
      <c r="J85" s="683"/>
      <c r="K85" s="683"/>
      <c r="L85" s="683"/>
      <c r="M85" s="683"/>
      <c r="N85" s="685"/>
      <c r="O85" s="683"/>
      <c r="P85" s="683"/>
      <c r="Q85" s="45"/>
      <c r="R85" s="683"/>
      <c r="S85" s="683"/>
      <c r="T85" s="683"/>
      <c r="U85" s="683"/>
      <c r="V85" s="683"/>
      <c r="W85" s="683"/>
      <c r="X85" s="683"/>
      <c r="Y85" s="683"/>
      <c r="Z85" s="683"/>
    </row>
    <row r="86" spans="1:26" ht="15.75" customHeight="1" x14ac:dyDescent="0.25">
      <c r="A86" s="3"/>
      <c r="B86" s="683"/>
      <c r="C86" s="683"/>
      <c r="D86" s="3"/>
      <c r="E86" s="683"/>
      <c r="F86" s="3"/>
      <c r="G86" s="3"/>
      <c r="H86" s="684"/>
      <c r="I86" s="683"/>
      <c r="J86" s="683"/>
      <c r="K86" s="683"/>
      <c r="L86" s="683"/>
      <c r="M86" s="683"/>
      <c r="N86" s="685"/>
      <c r="O86" s="683"/>
      <c r="P86" s="683"/>
      <c r="Q86" s="45"/>
      <c r="R86" s="683"/>
      <c r="S86" s="683"/>
      <c r="T86" s="683"/>
      <c r="U86" s="683"/>
      <c r="V86" s="683"/>
      <c r="W86" s="683"/>
      <c r="X86" s="683"/>
      <c r="Y86" s="683"/>
      <c r="Z86" s="683"/>
    </row>
    <row r="87" spans="1:26" ht="15.75" customHeight="1" x14ac:dyDescent="0.25">
      <c r="A87" s="3"/>
      <c r="B87" s="683"/>
      <c r="C87" s="683"/>
      <c r="D87" s="3"/>
      <c r="E87" s="683"/>
      <c r="F87" s="3"/>
      <c r="G87" s="3"/>
      <c r="H87" s="684"/>
      <c r="I87" s="683"/>
      <c r="J87" s="683"/>
      <c r="K87" s="683"/>
      <c r="L87" s="683"/>
      <c r="M87" s="683"/>
      <c r="N87" s="685"/>
      <c r="O87" s="683"/>
      <c r="P87" s="683"/>
      <c r="Q87" s="45"/>
      <c r="R87" s="683"/>
      <c r="S87" s="683"/>
      <c r="T87" s="683"/>
      <c r="U87" s="683"/>
      <c r="V87" s="683"/>
      <c r="W87" s="683"/>
      <c r="X87" s="683"/>
      <c r="Y87" s="683"/>
      <c r="Z87" s="683"/>
    </row>
    <row r="88" spans="1:26" ht="15.75" customHeight="1" x14ac:dyDescent="0.25">
      <c r="A88" s="3"/>
      <c r="B88" s="683"/>
      <c r="C88" s="683"/>
      <c r="D88" s="3"/>
      <c r="E88" s="683"/>
      <c r="F88" s="3"/>
      <c r="G88" s="3"/>
      <c r="H88" s="684"/>
      <c r="I88" s="683"/>
      <c r="J88" s="683"/>
      <c r="K88" s="683"/>
      <c r="L88" s="683"/>
      <c r="M88" s="683"/>
      <c r="N88" s="685"/>
      <c r="O88" s="683"/>
      <c r="P88" s="683"/>
      <c r="Q88" s="45"/>
      <c r="R88" s="683"/>
      <c r="S88" s="683"/>
      <c r="T88" s="683"/>
      <c r="U88" s="683"/>
      <c r="V88" s="683"/>
      <c r="W88" s="683"/>
      <c r="X88" s="683"/>
      <c r="Y88" s="683"/>
      <c r="Z88" s="683"/>
    </row>
    <row r="89" spans="1:26" ht="15.75" customHeight="1" x14ac:dyDescent="0.25">
      <c r="A89" s="3"/>
      <c r="B89" s="683"/>
      <c r="C89" s="683"/>
      <c r="D89" s="3"/>
      <c r="E89" s="683"/>
      <c r="F89" s="3"/>
      <c r="G89" s="3"/>
      <c r="H89" s="684"/>
      <c r="I89" s="683"/>
      <c r="J89" s="683"/>
      <c r="K89" s="683"/>
      <c r="L89" s="683"/>
      <c r="M89" s="683"/>
      <c r="N89" s="685"/>
      <c r="O89" s="683"/>
      <c r="P89" s="683"/>
      <c r="Q89" s="45"/>
      <c r="R89" s="683"/>
      <c r="S89" s="683"/>
      <c r="T89" s="683"/>
      <c r="U89" s="683"/>
      <c r="V89" s="683"/>
      <c r="W89" s="683"/>
      <c r="X89" s="683"/>
      <c r="Y89" s="683"/>
      <c r="Z89" s="683"/>
    </row>
    <row r="90" spans="1:26" ht="15.75" customHeight="1" x14ac:dyDescent="0.25">
      <c r="C90" s="683"/>
      <c r="D90" s="3"/>
      <c r="E90" s="3"/>
      <c r="F90" s="3"/>
      <c r="G90" s="3"/>
      <c r="H90" s="684"/>
      <c r="I90" s="3"/>
      <c r="J90" s="683"/>
      <c r="K90" s="683"/>
      <c r="L90" s="683"/>
      <c r="M90" s="683"/>
      <c r="N90" s="685"/>
      <c r="O90" s="683"/>
      <c r="P90" s="683"/>
      <c r="Q90" s="45"/>
      <c r="R90" s="683"/>
      <c r="S90" s="683"/>
      <c r="T90" s="683"/>
      <c r="U90" s="683"/>
      <c r="V90" s="683"/>
      <c r="W90" s="683"/>
      <c r="X90" s="683"/>
      <c r="Y90" s="683"/>
      <c r="Z90" s="683"/>
    </row>
    <row r="91" spans="1:26" ht="15.75" customHeight="1" x14ac:dyDescent="0.25">
      <c r="A91" s="3"/>
      <c r="B91" s="683"/>
      <c r="C91" s="683"/>
      <c r="D91" s="3"/>
      <c r="E91" s="3"/>
      <c r="F91" s="3"/>
      <c r="G91" s="3"/>
      <c r="H91" s="684"/>
      <c r="I91" s="3"/>
      <c r="J91" s="683"/>
      <c r="K91" s="683"/>
      <c r="L91" s="683"/>
      <c r="M91" s="683"/>
      <c r="N91" s="685"/>
      <c r="O91" s="683"/>
      <c r="P91" s="683"/>
      <c r="Q91" s="45"/>
      <c r="R91" s="683"/>
      <c r="S91" s="683"/>
      <c r="T91" s="683"/>
      <c r="U91" s="683"/>
      <c r="V91" s="683"/>
      <c r="W91" s="683"/>
      <c r="X91" s="683"/>
      <c r="Y91" s="683"/>
      <c r="Z91" s="683"/>
    </row>
    <row r="92" spans="1:26" ht="15.75" customHeight="1" x14ac:dyDescent="0.25">
      <c r="A92" s="3"/>
      <c r="B92" s="683"/>
      <c r="C92" s="683"/>
      <c r="D92" s="3"/>
      <c r="E92" s="3"/>
      <c r="F92" s="683"/>
      <c r="G92" s="683"/>
      <c r="H92" s="684" t="s">
        <v>1764</v>
      </c>
      <c r="I92" s="3"/>
      <c r="J92" s="683"/>
      <c r="K92" s="683"/>
      <c r="L92" s="683"/>
      <c r="M92" s="683"/>
      <c r="N92" s="685" t="s">
        <v>1765</v>
      </c>
      <c r="O92" s="683"/>
      <c r="P92" s="683"/>
      <c r="Q92" s="45"/>
      <c r="R92" s="683"/>
      <c r="S92" s="683"/>
      <c r="T92" s="683"/>
      <c r="U92" s="683"/>
      <c r="V92" s="683"/>
      <c r="W92" s="683"/>
      <c r="X92" s="683"/>
      <c r="Y92" s="683"/>
      <c r="Z92" s="683"/>
    </row>
    <row r="93" spans="1:26" ht="15.75" customHeight="1" x14ac:dyDescent="0.25">
      <c r="C93" s="683"/>
      <c r="D93" s="3"/>
      <c r="E93" s="3"/>
      <c r="F93" s="3"/>
      <c r="G93" s="9" t="s">
        <v>1712</v>
      </c>
      <c r="H93" s="684"/>
      <c r="I93" s="3"/>
      <c r="J93" s="683"/>
      <c r="K93" s="683"/>
      <c r="L93" s="683"/>
      <c r="N93" s="685"/>
      <c r="O93" s="683"/>
      <c r="P93" s="683"/>
      <c r="Q93" s="45"/>
      <c r="R93" s="683"/>
      <c r="S93" s="683"/>
      <c r="T93" s="683"/>
      <c r="U93" s="683"/>
      <c r="V93" s="683"/>
      <c r="W93" s="683"/>
      <c r="X93" s="683"/>
      <c r="Y93" s="683"/>
      <c r="Z93" s="683"/>
    </row>
    <row r="94" spans="1:26" ht="15.75" customHeight="1" x14ac:dyDescent="0.25">
      <c r="C94" s="683"/>
      <c r="D94" s="3"/>
      <c r="E94" s="683"/>
      <c r="F94" s="3" t="s">
        <v>1766</v>
      </c>
      <c r="G94" s="3"/>
      <c r="H94" s="684">
        <v>0</v>
      </c>
      <c r="I94" s="683"/>
      <c r="J94" s="683"/>
      <c r="K94" s="683"/>
      <c r="L94" s="683"/>
      <c r="M94" s="683"/>
      <c r="N94" s="690">
        <v>0</v>
      </c>
      <c r="O94" s="683"/>
      <c r="P94" s="683"/>
      <c r="Q94" s="45"/>
      <c r="R94" s="683"/>
      <c r="S94" s="683"/>
      <c r="T94" s="683"/>
      <c r="U94" s="683"/>
      <c r="V94" s="683"/>
      <c r="W94" s="683"/>
      <c r="X94" s="683"/>
      <c r="Y94" s="683"/>
      <c r="Z94" s="683"/>
    </row>
    <row r="95" spans="1:26" ht="15.75" customHeight="1" x14ac:dyDescent="0.25">
      <c r="C95" s="683"/>
      <c r="D95" s="3"/>
      <c r="E95" s="683"/>
      <c r="F95" s="3" t="s">
        <v>718</v>
      </c>
      <c r="G95" s="3"/>
      <c r="H95" s="684">
        <v>0</v>
      </c>
      <c r="I95" s="683"/>
      <c r="J95" s="683" t="s">
        <v>1767</v>
      </c>
      <c r="K95" s="683"/>
      <c r="L95" s="683"/>
      <c r="M95" s="683"/>
      <c r="N95" s="690">
        <v>30</v>
      </c>
      <c r="O95" s="683"/>
      <c r="P95" s="683"/>
      <c r="Q95" s="45"/>
      <c r="R95" s="683"/>
      <c r="S95" s="683"/>
      <c r="T95" s="683"/>
      <c r="U95" s="683"/>
      <c r="V95" s="683"/>
      <c r="W95" s="683"/>
      <c r="X95" s="683"/>
      <c r="Y95" s="683"/>
      <c r="Z95" s="683"/>
    </row>
    <row r="96" spans="1:26" ht="15.75" customHeight="1" x14ac:dyDescent="0.25">
      <c r="C96" s="683"/>
      <c r="D96" s="3"/>
      <c r="E96" s="683"/>
      <c r="F96" s="3" t="s">
        <v>874</v>
      </c>
      <c r="G96" s="3"/>
      <c r="H96" s="684">
        <v>0</v>
      </c>
      <c r="I96" s="683"/>
      <c r="J96" s="683"/>
      <c r="K96" s="683"/>
      <c r="L96" s="683"/>
      <c r="M96" s="683"/>
      <c r="N96" s="690">
        <v>0</v>
      </c>
      <c r="O96" s="683"/>
      <c r="P96" s="683"/>
      <c r="Q96" s="45"/>
      <c r="R96" s="683"/>
      <c r="S96" s="683"/>
      <c r="T96" s="683"/>
      <c r="U96" s="683"/>
      <c r="V96" s="683"/>
      <c r="W96" s="683"/>
      <c r="X96" s="683"/>
      <c r="Y96" s="683"/>
      <c r="Z96" s="683"/>
    </row>
    <row r="97" spans="1:26" ht="15.75" customHeight="1" x14ac:dyDescent="0.25">
      <c r="C97" s="683"/>
      <c r="D97" s="3"/>
      <c r="E97" s="683"/>
      <c r="F97" s="3" t="s">
        <v>1317</v>
      </c>
      <c r="G97" s="3"/>
      <c r="H97" s="684">
        <v>0</v>
      </c>
      <c r="I97" s="683"/>
      <c r="J97" s="683"/>
      <c r="K97" s="683"/>
      <c r="L97" s="683"/>
      <c r="M97" s="683"/>
      <c r="N97" s="690">
        <v>5</v>
      </c>
      <c r="O97" s="683"/>
      <c r="P97" s="683"/>
      <c r="Q97" s="45"/>
      <c r="R97" s="683"/>
      <c r="S97" s="683"/>
      <c r="T97" s="683"/>
      <c r="U97" s="683"/>
      <c r="V97" s="683"/>
      <c r="W97" s="683"/>
      <c r="X97" s="683"/>
      <c r="Y97" s="683"/>
      <c r="Z97" s="683"/>
    </row>
    <row r="98" spans="1:26" ht="15.75" customHeight="1" x14ac:dyDescent="0.25">
      <c r="A98" s="3"/>
      <c r="B98" s="683"/>
      <c r="C98" s="683"/>
      <c r="D98" s="3"/>
      <c r="E98" s="683"/>
      <c r="M98" s="683"/>
      <c r="N98" s="690">
        <v>25</v>
      </c>
      <c r="O98" s="683"/>
      <c r="P98" s="3" t="s">
        <v>1057</v>
      </c>
      <c r="Q98" s="3" t="s">
        <v>94</v>
      </c>
      <c r="R98" s="684">
        <v>26</v>
      </c>
      <c r="T98" s="38" t="s">
        <v>1768</v>
      </c>
      <c r="U98" s="683"/>
      <c r="V98" s="683"/>
      <c r="W98" s="683"/>
      <c r="X98" s="683"/>
      <c r="Y98" s="683"/>
      <c r="Z98" s="683"/>
    </row>
    <row r="99" spans="1:26" ht="15.75" customHeight="1" x14ac:dyDescent="0.25">
      <c r="A99" s="3"/>
      <c r="B99" s="683"/>
      <c r="C99" s="683"/>
      <c r="D99" s="3"/>
      <c r="E99" s="683"/>
      <c r="F99" s="38" t="s">
        <v>725</v>
      </c>
      <c r="H99" s="684">
        <f>N97+'3) Sorter'!K2</f>
        <v>10</v>
      </c>
      <c r="M99" s="683"/>
      <c r="N99" s="690">
        <v>27</v>
      </c>
      <c r="O99" s="683"/>
      <c r="P99" s="38" t="s">
        <v>1138</v>
      </c>
      <c r="Q99" s="38" t="s">
        <v>94</v>
      </c>
      <c r="R99" s="38">
        <v>21</v>
      </c>
      <c r="U99" s="683"/>
      <c r="V99" s="683"/>
      <c r="W99" s="683"/>
      <c r="X99" s="683"/>
      <c r="Y99" s="683"/>
      <c r="Z99" s="683"/>
    </row>
    <row r="100" spans="1:26" ht="15.75" customHeight="1" x14ac:dyDescent="0.25">
      <c r="A100" s="3"/>
      <c r="B100" s="683"/>
      <c r="C100" s="683"/>
      <c r="D100" s="3"/>
      <c r="E100" s="683"/>
      <c r="F100" s="3" t="s">
        <v>704</v>
      </c>
      <c r="G100" s="3"/>
      <c r="H100" s="684">
        <f>N98+'3) Sorter'!K2</f>
        <v>30</v>
      </c>
      <c r="I100" s="683"/>
      <c r="J100" s="683"/>
      <c r="K100" s="683"/>
      <c r="L100" s="683"/>
      <c r="M100" s="683"/>
      <c r="N100" s="690">
        <v>26</v>
      </c>
      <c r="O100" s="683"/>
      <c r="P100" s="683"/>
      <c r="Q100" s="45"/>
      <c r="R100" s="683"/>
      <c r="S100" s="683"/>
      <c r="T100" s="683"/>
      <c r="U100" s="683"/>
      <c r="V100" s="683"/>
      <c r="W100" s="683"/>
      <c r="X100" s="683"/>
      <c r="Y100" s="683"/>
      <c r="Z100" s="683"/>
    </row>
    <row r="101" spans="1:26" ht="15.75" customHeight="1" x14ac:dyDescent="0.25">
      <c r="A101" s="3"/>
      <c r="B101" s="683"/>
      <c r="C101" s="683"/>
      <c r="D101" s="3"/>
      <c r="E101" s="683"/>
      <c r="F101" s="3" t="s">
        <v>901</v>
      </c>
      <c r="G101" s="3" t="s">
        <v>1769</v>
      </c>
      <c r="H101" s="684">
        <f>(N99+'3) Sorter'!K2)</f>
        <v>32</v>
      </c>
      <c r="I101" s="683"/>
      <c r="J101" s="683"/>
      <c r="K101" s="683"/>
      <c r="L101" s="683"/>
      <c r="M101" s="683"/>
      <c r="N101" s="690">
        <v>27</v>
      </c>
      <c r="O101" s="683"/>
      <c r="P101" s="683"/>
      <c r="Q101" s="45"/>
      <c r="R101" s="683"/>
      <c r="S101" s="683"/>
      <c r="T101" s="683"/>
      <c r="U101" s="683"/>
      <c r="V101" s="683"/>
      <c r="W101" s="683"/>
      <c r="X101" s="683"/>
      <c r="Y101" s="683"/>
      <c r="Z101" s="683"/>
    </row>
    <row r="102" spans="1:26" ht="15.75" customHeight="1" x14ac:dyDescent="0.25">
      <c r="C102" s="683"/>
      <c r="D102" s="3"/>
      <c r="E102" s="683"/>
      <c r="F102" s="3" t="s">
        <v>715</v>
      </c>
      <c r="G102" s="3" t="s">
        <v>194</v>
      </c>
      <c r="H102" s="684">
        <f>(N100+'3) Sorter'!K2)</f>
        <v>31</v>
      </c>
      <c r="I102" s="683"/>
      <c r="J102" s="683"/>
      <c r="K102" s="683"/>
      <c r="L102" s="683"/>
      <c r="M102" s="683"/>
      <c r="N102" s="690">
        <v>27</v>
      </c>
      <c r="O102" s="683"/>
      <c r="P102" s="683"/>
      <c r="Q102" s="45"/>
      <c r="R102" s="683"/>
      <c r="S102" s="683"/>
      <c r="T102" s="683"/>
      <c r="U102" s="683"/>
      <c r="V102" s="683"/>
      <c r="W102" s="683"/>
      <c r="X102" s="683"/>
      <c r="Y102" s="683"/>
      <c r="Z102" s="683"/>
    </row>
    <row r="103" spans="1:26" ht="15.75" customHeight="1" x14ac:dyDescent="0.25">
      <c r="A103" s="3" t="s">
        <v>1770</v>
      </c>
      <c r="B103" s="683" t="s">
        <v>1317</v>
      </c>
      <c r="C103" s="683"/>
      <c r="D103" s="3"/>
      <c r="E103" s="683"/>
      <c r="F103" s="3" t="s">
        <v>1757</v>
      </c>
      <c r="G103" s="3"/>
      <c r="H103" s="684">
        <f>(N101+'3) Sorter'!K2)</f>
        <v>32</v>
      </c>
      <c r="I103" s="683"/>
      <c r="J103" s="683"/>
      <c r="K103" s="683"/>
      <c r="L103" s="683"/>
      <c r="M103" s="683"/>
      <c r="N103" s="690">
        <v>27</v>
      </c>
      <c r="O103" s="683"/>
      <c r="P103" s="683"/>
      <c r="Q103" s="45"/>
      <c r="R103" s="683"/>
      <c r="S103" s="683"/>
      <c r="T103" s="683"/>
      <c r="U103" s="683"/>
      <c r="V103" s="683"/>
      <c r="W103" s="683"/>
      <c r="X103" s="683"/>
      <c r="Y103" s="683"/>
      <c r="Z103" s="683"/>
    </row>
    <row r="104" spans="1:26" ht="15.75" customHeight="1" x14ac:dyDescent="0.25">
      <c r="A104" s="3" t="s">
        <v>1771</v>
      </c>
      <c r="B104" s="683" t="s">
        <v>1317</v>
      </c>
      <c r="C104" s="683"/>
      <c r="D104" s="3"/>
      <c r="E104" s="683"/>
      <c r="F104" s="3" t="s">
        <v>710</v>
      </c>
      <c r="G104" s="3" t="s">
        <v>1757</v>
      </c>
      <c r="H104" s="684">
        <f>(N102+'3) Sorter'!K2)</f>
        <v>32</v>
      </c>
      <c r="I104" s="683"/>
      <c r="J104" s="683"/>
      <c r="K104" s="683"/>
      <c r="L104" s="683"/>
      <c r="M104" s="683"/>
      <c r="N104" s="690">
        <v>4</v>
      </c>
      <c r="O104" s="683"/>
      <c r="P104" s="683"/>
      <c r="Q104" s="45"/>
      <c r="R104" s="683"/>
      <c r="S104" s="683"/>
      <c r="T104" s="683"/>
      <c r="U104" s="683"/>
      <c r="V104" s="683"/>
      <c r="W104" s="683"/>
      <c r="X104" s="683"/>
      <c r="Y104" s="683"/>
      <c r="Z104" s="683"/>
    </row>
    <row r="105" spans="1:26" ht="15.75" customHeight="1" x14ac:dyDescent="0.25">
      <c r="A105" s="3" t="s">
        <v>1772</v>
      </c>
      <c r="B105" s="683" t="s">
        <v>1317</v>
      </c>
      <c r="C105" s="683"/>
      <c r="D105" s="3"/>
      <c r="E105" s="683"/>
      <c r="F105" s="3" t="s">
        <v>192</v>
      </c>
      <c r="G105" s="3"/>
      <c r="H105" s="684">
        <f>(N103+'3) Sorter'!K2)</f>
        <v>32</v>
      </c>
      <c r="I105" s="683"/>
      <c r="J105" s="683"/>
      <c r="K105" s="683"/>
      <c r="L105" s="683"/>
      <c r="M105" s="683"/>
      <c r="N105" s="690">
        <v>16.75</v>
      </c>
      <c r="O105" s="683"/>
      <c r="P105" s="683"/>
      <c r="Q105" s="683"/>
      <c r="R105" s="683"/>
      <c r="S105" s="683"/>
      <c r="T105" s="683"/>
      <c r="U105" s="683"/>
      <c r="V105" s="683"/>
      <c r="W105" s="683"/>
      <c r="X105" s="683"/>
      <c r="Y105" s="683"/>
      <c r="Z105" s="683"/>
    </row>
    <row r="106" spans="1:26" ht="15.75" customHeight="1" x14ac:dyDescent="0.25">
      <c r="A106" s="3" t="s">
        <v>1773</v>
      </c>
      <c r="B106" s="683" t="s">
        <v>1317</v>
      </c>
      <c r="C106" s="683"/>
      <c r="D106" s="3"/>
      <c r="E106" s="683"/>
      <c r="F106" s="3" t="s">
        <v>1774</v>
      </c>
      <c r="G106" s="3"/>
      <c r="H106" s="684">
        <v>4</v>
      </c>
      <c r="I106" s="683"/>
      <c r="J106" s="683"/>
      <c r="K106" s="683"/>
      <c r="L106" s="683"/>
      <c r="M106" s="683"/>
      <c r="N106" s="690">
        <v>28</v>
      </c>
      <c r="O106" s="683"/>
      <c r="P106" s="683"/>
      <c r="Q106" s="683"/>
      <c r="R106" s="683"/>
      <c r="S106" s="683"/>
      <c r="T106" s="683"/>
      <c r="U106" s="683"/>
      <c r="V106" s="683"/>
      <c r="W106" s="683"/>
      <c r="X106" s="683"/>
      <c r="Y106" s="683"/>
      <c r="Z106" s="683"/>
    </row>
    <row r="107" spans="1:26" ht="15" customHeight="1" x14ac:dyDescent="0.25">
      <c r="A107" s="3" t="s">
        <v>1775</v>
      </c>
      <c r="B107" s="683" t="s">
        <v>1317</v>
      </c>
      <c r="C107" s="683"/>
      <c r="D107" s="3"/>
      <c r="E107" s="683"/>
      <c r="F107" s="3"/>
      <c r="G107" s="3"/>
      <c r="H107" s="684"/>
      <c r="I107" s="683"/>
      <c r="J107" s="683">
        <f>18/24</f>
        <v>0.75</v>
      </c>
      <c r="K107" s="683"/>
      <c r="L107" s="683"/>
      <c r="M107" s="683"/>
      <c r="N107" s="690">
        <v>30</v>
      </c>
      <c r="O107" s="683"/>
      <c r="P107" s="683"/>
      <c r="Q107" s="683"/>
      <c r="R107" s="683"/>
      <c r="S107" s="683"/>
      <c r="T107" s="683"/>
      <c r="U107" s="683"/>
      <c r="V107" s="683"/>
      <c r="W107" s="683"/>
      <c r="X107" s="683"/>
      <c r="Y107" s="683"/>
      <c r="Z107" s="683"/>
    </row>
    <row r="108" spans="1:26" ht="15" customHeight="1" x14ac:dyDescent="0.25">
      <c r="A108" s="3" t="s">
        <v>1776</v>
      </c>
      <c r="B108" s="683" t="s">
        <v>1317</v>
      </c>
      <c r="C108" s="683"/>
      <c r="D108" s="3"/>
      <c r="E108" s="683"/>
      <c r="F108" s="3" t="s">
        <v>770</v>
      </c>
      <c r="G108" s="3" t="s">
        <v>259</v>
      </c>
      <c r="H108" s="684">
        <f>(N106+'3) Sorter'!K2)</f>
        <v>33</v>
      </c>
      <c r="I108" s="683"/>
      <c r="J108" s="683"/>
      <c r="K108" s="683"/>
      <c r="L108" s="683"/>
      <c r="M108" s="683"/>
      <c r="N108" s="690">
        <v>31</v>
      </c>
      <c r="O108" s="683"/>
      <c r="P108" s="683"/>
      <c r="Q108" s="683"/>
      <c r="R108" s="683"/>
      <c r="S108" s="683"/>
      <c r="T108" s="683"/>
      <c r="U108" s="683"/>
      <c r="V108" s="683"/>
      <c r="W108" s="683"/>
      <c r="X108" s="683"/>
      <c r="Y108" s="683"/>
      <c r="Z108" s="683"/>
    </row>
    <row r="109" spans="1:26" ht="15" customHeight="1" x14ac:dyDescent="0.25">
      <c r="A109" s="3" t="s">
        <v>1777</v>
      </c>
      <c r="B109" s="683" t="s">
        <v>1317</v>
      </c>
      <c r="C109" s="683"/>
      <c r="D109" s="3"/>
      <c r="E109" s="683"/>
      <c r="F109" s="3" t="s">
        <v>1004</v>
      </c>
      <c r="G109" s="3" t="s">
        <v>1778</v>
      </c>
      <c r="H109" s="684">
        <f>(N107+'3) Sorter'!K2)</f>
        <v>35</v>
      </c>
      <c r="I109" s="683"/>
      <c r="J109" s="683"/>
      <c r="K109" s="683"/>
      <c r="L109" s="683"/>
      <c r="M109" s="683"/>
      <c r="N109" s="690">
        <v>18</v>
      </c>
      <c r="O109" s="683"/>
      <c r="P109" s="683"/>
      <c r="Q109" s="683"/>
      <c r="R109" s="683"/>
      <c r="S109" s="683"/>
      <c r="T109" s="683"/>
      <c r="U109" s="683"/>
      <c r="V109" s="683"/>
      <c r="W109" s="683"/>
      <c r="X109" s="683"/>
      <c r="Y109" s="683"/>
      <c r="Z109" s="683"/>
    </row>
    <row r="110" spans="1:26" ht="15" customHeight="1" x14ac:dyDescent="0.25">
      <c r="A110" s="3" t="s">
        <v>1779</v>
      </c>
      <c r="B110" s="683" t="s">
        <v>1317</v>
      </c>
      <c r="C110" s="683"/>
      <c r="D110" s="3"/>
      <c r="E110" s="683"/>
      <c r="F110" s="3" t="s">
        <v>754</v>
      </c>
      <c r="G110" s="3" t="s">
        <v>1759</v>
      </c>
      <c r="H110" s="684">
        <f>(N108+'3) Sorter'!K2)</f>
        <v>36</v>
      </c>
      <c r="I110" s="683"/>
      <c r="J110" s="683"/>
      <c r="K110" s="683"/>
      <c r="L110" s="683"/>
      <c r="M110" s="683"/>
      <c r="N110" s="690">
        <v>31</v>
      </c>
      <c r="O110" s="683"/>
      <c r="P110" s="683"/>
      <c r="Q110" s="683"/>
      <c r="R110" s="683"/>
      <c r="S110" s="683"/>
      <c r="T110" s="683"/>
      <c r="U110" s="683"/>
      <c r="V110" s="683"/>
      <c r="W110" s="683"/>
      <c r="X110" s="683"/>
      <c r="Y110" s="683"/>
      <c r="Z110" s="683"/>
    </row>
    <row r="111" spans="1:26" ht="15" customHeight="1" x14ac:dyDescent="0.25">
      <c r="A111" s="3" t="s">
        <v>1780</v>
      </c>
      <c r="B111" s="683" t="s">
        <v>1317</v>
      </c>
      <c r="C111" s="683"/>
      <c r="D111" s="3"/>
      <c r="E111" s="683"/>
      <c r="F111" s="3" t="s">
        <v>797</v>
      </c>
      <c r="G111" s="3" t="s">
        <v>1781</v>
      </c>
      <c r="H111" s="684">
        <v>18</v>
      </c>
      <c r="I111" s="683"/>
      <c r="J111" s="683"/>
      <c r="K111" s="683"/>
      <c r="L111" s="683"/>
      <c r="M111" s="683"/>
      <c r="N111" s="690">
        <v>28</v>
      </c>
      <c r="O111" s="683"/>
      <c r="P111" s="683"/>
      <c r="Q111" s="683"/>
      <c r="R111" s="683"/>
      <c r="S111" s="683"/>
      <c r="T111" s="683"/>
      <c r="U111" s="683"/>
      <c r="V111" s="683"/>
      <c r="W111" s="683"/>
      <c r="X111" s="683"/>
      <c r="Y111" s="683"/>
      <c r="Z111" s="683"/>
    </row>
    <row r="112" spans="1:26" ht="15" customHeight="1" x14ac:dyDescent="0.25">
      <c r="A112" s="3" t="s">
        <v>1782</v>
      </c>
      <c r="B112" s="683" t="s">
        <v>1317</v>
      </c>
      <c r="C112" s="683"/>
      <c r="D112" s="3"/>
      <c r="E112" s="683"/>
      <c r="F112" s="3" t="s">
        <v>1373</v>
      </c>
      <c r="G112" s="3"/>
      <c r="H112" s="684">
        <f>(N110+'3) Sorter'!K2)</f>
        <v>36</v>
      </c>
      <c r="I112" s="683"/>
      <c r="J112" s="683"/>
      <c r="K112" s="683"/>
      <c r="L112" s="683"/>
      <c r="M112" s="683"/>
      <c r="N112" s="690">
        <v>33</v>
      </c>
      <c r="O112" s="683"/>
      <c r="P112" s="683"/>
      <c r="Q112" s="683"/>
      <c r="R112" s="683"/>
      <c r="S112" s="683"/>
      <c r="T112" s="683"/>
      <c r="U112" s="683"/>
      <c r="V112" s="683"/>
      <c r="W112" s="683"/>
      <c r="X112" s="683"/>
      <c r="Y112" s="683"/>
      <c r="Z112" s="683"/>
    </row>
    <row r="113" spans="1:26" ht="15" customHeight="1" x14ac:dyDescent="0.25">
      <c r="A113" s="3" t="s">
        <v>1783</v>
      </c>
      <c r="B113" s="683" t="s">
        <v>1317</v>
      </c>
      <c r="C113" s="683"/>
      <c r="D113" s="3"/>
      <c r="E113" s="683"/>
      <c r="F113" s="3" t="s">
        <v>715</v>
      </c>
      <c r="G113" s="3"/>
      <c r="H113" s="684">
        <f>(N111+'3) Sorter'!K2)</f>
        <v>33</v>
      </c>
      <c r="I113" s="683"/>
      <c r="J113" s="683"/>
      <c r="K113" s="683"/>
      <c r="L113" s="683"/>
      <c r="M113" s="683"/>
      <c r="N113" s="690">
        <v>31</v>
      </c>
      <c r="O113" s="683"/>
      <c r="P113" s="683"/>
      <c r="Q113" s="683"/>
      <c r="R113" s="683"/>
      <c r="S113" s="683"/>
      <c r="T113" s="683"/>
      <c r="U113" s="683"/>
      <c r="V113" s="683"/>
      <c r="W113" s="683"/>
      <c r="X113" s="683"/>
      <c r="Y113" s="683"/>
      <c r="Z113" s="683"/>
    </row>
    <row r="114" spans="1:26" ht="15" customHeight="1" x14ac:dyDescent="0.25">
      <c r="A114" s="3" t="s">
        <v>1784</v>
      </c>
      <c r="B114" s="683" t="s">
        <v>1317</v>
      </c>
      <c r="C114" s="683"/>
      <c r="D114" s="3"/>
      <c r="E114" s="683"/>
      <c r="F114" s="3" t="s">
        <v>734</v>
      </c>
      <c r="G114" s="3" t="s">
        <v>1752</v>
      </c>
      <c r="H114" s="684">
        <f>(N112+'3) Sorter'!K2)</f>
        <v>38</v>
      </c>
      <c r="I114" s="683"/>
      <c r="J114" s="683"/>
      <c r="K114" s="683"/>
      <c r="L114" s="683"/>
      <c r="M114" s="683"/>
      <c r="N114" s="690">
        <v>25</v>
      </c>
      <c r="O114" s="683"/>
      <c r="P114" s="683"/>
      <c r="Q114" s="683"/>
      <c r="R114" s="683"/>
      <c r="S114" s="683"/>
      <c r="T114" s="683"/>
      <c r="U114" s="683"/>
      <c r="V114" s="683"/>
      <c r="W114" s="683"/>
      <c r="X114" s="683"/>
      <c r="Y114" s="683"/>
      <c r="Z114" s="683"/>
    </row>
    <row r="115" spans="1:26" ht="15" customHeight="1" x14ac:dyDescent="0.25">
      <c r="A115" s="683" t="s">
        <v>1785</v>
      </c>
      <c r="B115" s="683" t="s">
        <v>1317</v>
      </c>
      <c r="C115" s="683"/>
      <c r="D115" s="3"/>
      <c r="E115" s="683"/>
      <c r="F115" s="3" t="s">
        <v>860</v>
      </c>
      <c r="G115" s="3" t="s">
        <v>1786</v>
      </c>
      <c r="H115" s="684">
        <f>(N113+'3) Sorter'!K2)</f>
        <v>36</v>
      </c>
      <c r="I115" s="683"/>
      <c r="J115" s="683"/>
      <c r="K115" s="683"/>
      <c r="L115" s="683"/>
      <c r="M115" s="683"/>
      <c r="N115" s="690">
        <v>14</v>
      </c>
      <c r="O115" s="683"/>
      <c r="P115" s="683"/>
      <c r="Q115" s="683"/>
      <c r="R115" s="683"/>
      <c r="S115" s="683"/>
      <c r="T115" s="683"/>
      <c r="U115" s="683"/>
      <c r="V115" s="683"/>
      <c r="W115" s="683"/>
      <c r="X115" s="683"/>
      <c r="Y115" s="683"/>
      <c r="Z115" s="683"/>
    </row>
    <row r="116" spans="1:26" ht="15" customHeight="1" x14ac:dyDescent="0.25">
      <c r="A116" s="3" t="s">
        <v>1787</v>
      </c>
      <c r="B116" s="683" t="s">
        <v>1317</v>
      </c>
      <c r="C116" s="683"/>
      <c r="D116" s="3"/>
      <c r="E116" s="683"/>
      <c r="F116" s="3" t="s">
        <v>1761</v>
      </c>
      <c r="G116" s="3" t="s">
        <v>1746</v>
      </c>
      <c r="H116" s="684">
        <f>(N114+'3) Sorter'!K2)</f>
        <v>30</v>
      </c>
      <c r="I116" s="683"/>
      <c r="J116" s="683"/>
      <c r="K116" s="683"/>
      <c r="L116" s="683"/>
      <c r="M116" s="683"/>
      <c r="N116" s="690"/>
      <c r="O116" s="683"/>
      <c r="P116" s="683"/>
      <c r="Q116" s="683"/>
      <c r="R116" s="683"/>
      <c r="S116" s="683"/>
      <c r="T116" s="683"/>
      <c r="U116" s="683"/>
      <c r="V116" s="683"/>
      <c r="W116" s="683"/>
      <c r="X116" s="683"/>
      <c r="Y116" s="683"/>
      <c r="Z116" s="683"/>
    </row>
    <row r="117" spans="1:26" ht="15" customHeight="1" x14ac:dyDescent="0.25">
      <c r="A117" s="3" t="s">
        <v>1788</v>
      </c>
      <c r="B117" s="683" t="s">
        <v>1317</v>
      </c>
      <c r="C117" s="683"/>
      <c r="D117" s="3"/>
      <c r="E117" s="683"/>
      <c r="F117" s="3" t="s">
        <v>778</v>
      </c>
      <c r="G117" s="3" t="s">
        <v>452</v>
      </c>
      <c r="H117" s="684">
        <v>14</v>
      </c>
      <c r="I117" s="683"/>
      <c r="J117" s="683"/>
      <c r="K117" s="683"/>
      <c r="L117" s="683"/>
      <c r="M117" s="683"/>
      <c r="N117" s="690">
        <v>42</v>
      </c>
      <c r="O117" s="683"/>
      <c r="P117" s="683"/>
      <c r="Q117" s="683"/>
      <c r="R117" s="683"/>
      <c r="S117" s="683"/>
      <c r="T117" s="683"/>
      <c r="U117" s="683"/>
      <c r="V117" s="683"/>
      <c r="W117" s="683"/>
      <c r="X117" s="683"/>
      <c r="Y117" s="683"/>
      <c r="Z117" s="683"/>
    </row>
    <row r="118" spans="1:26" ht="15" customHeight="1" x14ac:dyDescent="0.25">
      <c r="A118" s="3" t="s">
        <v>1789</v>
      </c>
      <c r="B118" s="683" t="s">
        <v>1317</v>
      </c>
      <c r="C118" s="683"/>
      <c r="D118" s="3"/>
      <c r="E118" s="683"/>
      <c r="F118" s="3"/>
      <c r="G118" s="3"/>
      <c r="H118" s="684"/>
      <c r="I118" s="683"/>
      <c r="J118" s="683"/>
      <c r="K118" s="683"/>
      <c r="L118" s="683"/>
      <c r="M118" s="683"/>
      <c r="N118" s="690">
        <v>12</v>
      </c>
      <c r="O118" s="683"/>
      <c r="P118" s="683"/>
      <c r="Q118" s="683"/>
      <c r="R118" s="683"/>
      <c r="S118" s="683"/>
      <c r="T118" s="683"/>
      <c r="U118" s="683"/>
      <c r="V118" s="683"/>
      <c r="W118" s="683"/>
      <c r="X118" s="683"/>
      <c r="Y118" s="683"/>
      <c r="Z118" s="683"/>
    </row>
    <row r="119" spans="1:26" ht="15" customHeight="1" x14ac:dyDescent="0.25">
      <c r="A119" s="3" t="s">
        <v>1790</v>
      </c>
      <c r="B119" s="683" t="s">
        <v>1317</v>
      </c>
      <c r="C119" s="683"/>
      <c r="D119" s="3"/>
      <c r="E119" s="683"/>
      <c r="F119" s="3" t="s">
        <v>990</v>
      </c>
      <c r="G119" s="3" t="s">
        <v>70</v>
      </c>
      <c r="H119" s="684">
        <f>(N117+'3) Sorter'!K2)</f>
        <v>47</v>
      </c>
      <c r="I119" s="683"/>
      <c r="J119" s="683"/>
      <c r="K119" s="683"/>
      <c r="L119" s="683"/>
      <c r="M119" s="683"/>
      <c r="N119" s="690"/>
      <c r="O119" s="683"/>
      <c r="P119" s="683"/>
      <c r="Q119" s="683"/>
      <c r="R119" s="683"/>
      <c r="S119" s="683"/>
      <c r="T119" s="683"/>
      <c r="U119" s="683"/>
      <c r="V119" s="683"/>
      <c r="W119" s="683"/>
      <c r="X119" s="683"/>
      <c r="Y119" s="683"/>
      <c r="Z119" s="683"/>
    </row>
    <row r="120" spans="1:26" ht="15" customHeight="1" x14ac:dyDescent="0.25">
      <c r="A120" s="3" t="s">
        <v>1791</v>
      </c>
      <c r="B120" s="683" t="s">
        <v>1317</v>
      </c>
      <c r="C120" s="683"/>
      <c r="D120" s="3"/>
      <c r="E120" s="683"/>
      <c r="F120" s="3" t="s">
        <v>1792</v>
      </c>
      <c r="G120" s="3" t="s">
        <v>1793</v>
      </c>
      <c r="H120" s="684">
        <f>(N118+'3) Sorter'!K2)</f>
        <v>17</v>
      </c>
      <c r="I120" s="683"/>
      <c r="J120" s="683"/>
      <c r="K120" s="683"/>
      <c r="L120" s="683"/>
      <c r="M120" s="683"/>
      <c r="N120" s="690">
        <v>2</v>
      </c>
      <c r="O120" s="683"/>
      <c r="P120" s="683"/>
      <c r="Q120" s="683"/>
      <c r="R120" s="683"/>
      <c r="S120" s="683"/>
      <c r="T120" s="683"/>
      <c r="U120" s="683"/>
      <c r="V120" s="683"/>
      <c r="W120" s="683"/>
      <c r="X120" s="683"/>
      <c r="Y120" s="683"/>
      <c r="Z120" s="683"/>
    </row>
    <row r="121" spans="1:26" ht="15" customHeight="1" x14ac:dyDescent="0.25">
      <c r="A121" s="3" t="s">
        <v>1794</v>
      </c>
      <c r="B121" s="683" t="s">
        <v>1317</v>
      </c>
      <c r="C121" s="683"/>
      <c r="D121" s="3"/>
      <c r="E121" s="683"/>
      <c r="F121" s="683" t="s">
        <v>1250</v>
      </c>
      <c r="G121" s="3" t="s">
        <v>1795</v>
      </c>
      <c r="H121" s="684">
        <v>2</v>
      </c>
      <c r="I121" s="683"/>
      <c r="J121" s="683"/>
      <c r="K121" s="683"/>
      <c r="L121" s="683"/>
      <c r="M121" s="683"/>
      <c r="N121" s="690">
        <v>5</v>
      </c>
      <c r="O121" s="683"/>
      <c r="P121" s="683"/>
      <c r="Q121" s="683"/>
      <c r="R121" s="683"/>
      <c r="S121" s="683"/>
      <c r="T121" s="683"/>
      <c r="U121" s="683"/>
      <c r="V121" s="683"/>
      <c r="W121" s="683"/>
      <c r="X121" s="683"/>
      <c r="Y121" s="683"/>
      <c r="Z121" s="683"/>
    </row>
    <row r="122" spans="1:26" ht="15" customHeight="1" x14ac:dyDescent="0.25">
      <c r="A122" s="3" t="s">
        <v>1796</v>
      </c>
      <c r="B122" s="683" t="s">
        <v>1317</v>
      </c>
      <c r="C122" s="683"/>
      <c r="D122" s="3"/>
      <c r="E122" s="683"/>
      <c r="F122" s="38" t="s">
        <v>1196</v>
      </c>
      <c r="H122" s="38">
        <v>38</v>
      </c>
      <c r="I122" s="683"/>
      <c r="J122" s="683"/>
      <c r="K122" s="683"/>
      <c r="L122" s="683"/>
      <c r="M122" s="683"/>
      <c r="N122" s="685"/>
      <c r="O122" s="683"/>
      <c r="P122" s="683"/>
      <c r="Q122" s="683"/>
      <c r="R122" s="683"/>
      <c r="S122" s="683"/>
      <c r="T122" s="683"/>
      <c r="U122" s="683"/>
      <c r="V122" s="683"/>
      <c r="W122" s="683"/>
      <c r="X122" s="683"/>
      <c r="Y122" s="683"/>
      <c r="Z122" s="683"/>
    </row>
    <row r="123" spans="1:26" ht="15" customHeight="1" x14ac:dyDescent="0.25">
      <c r="A123" s="3" t="s">
        <v>1797</v>
      </c>
      <c r="B123" s="683" t="s">
        <v>1317</v>
      </c>
      <c r="C123" s="683"/>
      <c r="D123" s="3"/>
      <c r="E123" s="683"/>
      <c r="F123" s="3" t="s">
        <v>1751</v>
      </c>
      <c r="G123" s="3"/>
      <c r="H123" s="684">
        <v>33</v>
      </c>
      <c r="I123" s="683"/>
      <c r="J123" s="683"/>
      <c r="K123" s="683"/>
      <c r="L123" s="683"/>
      <c r="M123" s="683"/>
      <c r="N123" s="685"/>
      <c r="O123" s="683"/>
      <c r="P123" s="683"/>
      <c r="Q123" s="683"/>
      <c r="R123" s="683"/>
      <c r="S123" s="683"/>
      <c r="T123" s="683"/>
      <c r="U123" s="683"/>
      <c r="V123" s="683"/>
      <c r="W123" s="683"/>
      <c r="X123" s="683"/>
      <c r="Y123" s="683"/>
      <c r="Z123" s="683"/>
    </row>
    <row r="124" spans="1:26" ht="15" customHeight="1" x14ac:dyDescent="0.25">
      <c r="A124" s="3" t="s">
        <v>1798</v>
      </c>
      <c r="B124" s="683" t="s">
        <v>1317</v>
      </c>
      <c r="C124" s="683"/>
      <c r="D124" s="3"/>
      <c r="E124" s="683"/>
      <c r="F124" s="704" t="s">
        <v>750</v>
      </c>
      <c r="G124" s="3"/>
      <c r="H124" s="684">
        <v>33</v>
      </c>
      <c r="I124" s="683"/>
      <c r="J124" s="683"/>
      <c r="K124" s="683"/>
      <c r="L124" s="683"/>
      <c r="M124" s="683"/>
      <c r="N124" s="685"/>
      <c r="O124" s="683"/>
      <c r="P124" s="683"/>
      <c r="Q124" s="683"/>
      <c r="R124" s="683"/>
      <c r="S124" s="683"/>
      <c r="T124" s="683"/>
      <c r="U124" s="683"/>
      <c r="V124" s="683"/>
      <c r="W124" s="683"/>
      <c r="X124" s="683"/>
      <c r="Y124" s="683"/>
      <c r="Z124" s="683"/>
    </row>
    <row r="125" spans="1:26" ht="15" customHeight="1" x14ac:dyDescent="0.25">
      <c r="A125" s="3" t="s">
        <v>1799</v>
      </c>
      <c r="B125" s="683" t="s">
        <v>1317</v>
      </c>
      <c r="C125" s="683"/>
      <c r="D125" s="3"/>
      <c r="E125" s="683"/>
      <c r="F125" s="704" t="s">
        <v>909</v>
      </c>
      <c r="G125" s="3"/>
      <c r="H125" s="684">
        <v>38</v>
      </c>
      <c r="I125" s="683" t="s">
        <v>1800</v>
      </c>
      <c r="J125" s="683"/>
      <c r="K125" s="683"/>
      <c r="L125" s="683"/>
      <c r="M125" s="683"/>
      <c r="N125" s="685"/>
      <c r="O125" s="683"/>
      <c r="P125" s="683"/>
      <c r="Q125" s="683"/>
      <c r="R125" s="683"/>
      <c r="S125" s="683"/>
      <c r="T125" s="683"/>
      <c r="U125" s="683"/>
      <c r="V125" s="683"/>
      <c r="W125" s="683"/>
      <c r="X125" s="683"/>
      <c r="Y125" s="683"/>
      <c r="Z125" s="683"/>
    </row>
    <row r="126" spans="1:26" ht="15" customHeight="1" x14ac:dyDescent="0.25">
      <c r="A126" s="88" t="s">
        <v>721</v>
      </c>
      <c r="B126" s="683" t="s">
        <v>1317</v>
      </c>
      <c r="C126" s="683"/>
      <c r="D126" s="3"/>
      <c r="E126" s="683"/>
      <c r="F126" s="704" t="s">
        <v>822</v>
      </c>
      <c r="H126" s="38">
        <v>46</v>
      </c>
      <c r="I126" s="683"/>
      <c r="J126" s="683"/>
      <c r="K126" s="683"/>
      <c r="L126" s="683"/>
      <c r="M126" s="683"/>
      <c r="N126" s="685"/>
      <c r="O126" s="683"/>
      <c r="P126" s="683"/>
      <c r="Q126" s="683"/>
      <c r="R126" s="683"/>
      <c r="S126" s="683"/>
      <c r="T126" s="683"/>
      <c r="U126" s="683"/>
      <c r="V126" s="683"/>
      <c r="W126" s="683"/>
      <c r="X126" s="683"/>
      <c r="Y126" s="683"/>
      <c r="Z126" s="683"/>
    </row>
    <row r="127" spans="1:26" ht="15" customHeight="1" x14ac:dyDescent="0.25">
      <c r="A127" s="3"/>
      <c r="B127" s="683"/>
      <c r="C127" s="683"/>
      <c r="D127" s="3"/>
      <c r="E127" s="683"/>
      <c r="F127" s="3" t="s">
        <v>1417</v>
      </c>
      <c r="G127" s="3" t="s">
        <v>1753</v>
      </c>
      <c r="H127" s="684">
        <v>34</v>
      </c>
      <c r="I127" s="683"/>
      <c r="J127" s="683"/>
      <c r="K127" s="683"/>
      <c r="L127" s="683"/>
      <c r="M127" s="683"/>
      <c r="N127" s="685"/>
      <c r="O127" s="683"/>
      <c r="P127" s="683"/>
      <c r="Q127" s="683"/>
      <c r="R127" s="683"/>
      <c r="S127" s="683"/>
      <c r="T127" s="683"/>
      <c r="U127" s="683"/>
      <c r="V127" s="683"/>
      <c r="W127" s="683"/>
      <c r="X127" s="683"/>
      <c r="Y127" s="683"/>
      <c r="Z127" s="683"/>
    </row>
    <row r="128" spans="1:26" ht="15" customHeight="1" x14ac:dyDescent="0.25">
      <c r="A128" s="3"/>
      <c r="B128" s="683"/>
      <c r="C128" s="683"/>
      <c r="D128" s="3"/>
      <c r="E128" s="683"/>
      <c r="F128" s="3" t="s">
        <v>790</v>
      </c>
      <c r="G128" s="3" t="s">
        <v>1801</v>
      </c>
      <c r="H128" s="684">
        <v>14</v>
      </c>
      <c r="I128" s="683"/>
      <c r="J128" s="683"/>
      <c r="K128" s="683"/>
      <c r="L128" s="683"/>
      <c r="M128" s="683"/>
      <c r="N128" s="685"/>
      <c r="O128" s="683"/>
      <c r="P128" s="683"/>
      <c r="Q128" s="683"/>
      <c r="R128" s="683"/>
      <c r="S128" s="683"/>
      <c r="T128" s="683"/>
      <c r="U128" s="683"/>
      <c r="V128" s="683"/>
      <c r="W128" s="683"/>
      <c r="X128" s="683"/>
      <c r="Y128" s="683"/>
      <c r="Z128" s="683"/>
    </row>
    <row r="129" spans="1:26" ht="15" customHeight="1" x14ac:dyDescent="0.25">
      <c r="A129" s="3"/>
      <c r="B129" s="683"/>
      <c r="C129" s="683"/>
      <c r="D129" s="3"/>
      <c r="E129" s="683"/>
      <c r="F129" s="3" t="s">
        <v>617</v>
      </c>
      <c r="G129" s="3"/>
      <c r="H129" s="684">
        <v>13</v>
      </c>
      <c r="I129" s="683"/>
      <c r="J129" s="683"/>
      <c r="K129" s="683"/>
      <c r="L129" s="683"/>
      <c r="M129" s="683"/>
      <c r="N129" s="685"/>
      <c r="O129" s="683"/>
      <c r="P129" s="683"/>
      <c r="Q129" s="683"/>
      <c r="R129" s="683"/>
      <c r="S129" s="683"/>
      <c r="T129" s="683"/>
      <c r="U129" s="683"/>
      <c r="V129" s="683"/>
      <c r="W129" s="683"/>
      <c r="X129" s="683"/>
      <c r="Y129" s="683"/>
      <c r="Z129" s="683"/>
    </row>
    <row r="130" spans="1:26" ht="15" customHeight="1" x14ac:dyDescent="0.25">
      <c r="A130" s="3"/>
      <c r="B130" s="683"/>
      <c r="C130" s="683"/>
      <c r="D130" s="3"/>
      <c r="E130" s="683"/>
      <c r="F130" s="3" t="s">
        <v>1293</v>
      </c>
      <c r="G130" s="3" t="s">
        <v>1802</v>
      </c>
      <c r="H130" s="684">
        <v>6</v>
      </c>
      <c r="I130" s="683"/>
      <c r="J130" s="683"/>
      <c r="K130" s="683"/>
      <c r="L130" s="683"/>
      <c r="M130" s="683"/>
      <c r="N130" s="685"/>
      <c r="O130" s="683"/>
      <c r="P130" s="683"/>
      <c r="Q130" s="683"/>
      <c r="R130" s="683"/>
      <c r="S130" s="683"/>
      <c r="T130" s="683"/>
      <c r="U130" s="683"/>
      <c r="V130" s="683"/>
      <c r="W130" s="683"/>
      <c r="X130" s="683"/>
      <c r="Y130" s="683"/>
      <c r="Z130" s="683"/>
    </row>
    <row r="131" spans="1:26" ht="15" customHeight="1" x14ac:dyDescent="0.25">
      <c r="A131" s="3"/>
      <c r="B131" s="683"/>
      <c r="C131" s="683"/>
      <c r="D131" s="3"/>
      <c r="E131" s="683"/>
      <c r="F131" s="3" t="s">
        <v>729</v>
      </c>
      <c r="G131" s="3" t="s">
        <v>1803</v>
      </c>
      <c r="H131" s="684">
        <v>13</v>
      </c>
      <c r="I131" s="683"/>
      <c r="J131" s="683"/>
      <c r="K131" s="683"/>
      <c r="L131" s="683"/>
      <c r="M131" s="683"/>
      <c r="N131" s="685"/>
      <c r="O131" s="683"/>
      <c r="P131" s="683"/>
      <c r="Q131" s="683"/>
      <c r="R131" s="683"/>
      <c r="S131" s="683"/>
      <c r="T131" s="683"/>
      <c r="U131" s="683"/>
      <c r="V131" s="683"/>
      <c r="W131" s="683"/>
      <c r="X131" s="683"/>
      <c r="Y131" s="683"/>
      <c r="Z131" s="683"/>
    </row>
    <row r="132" spans="1:26" ht="15" customHeight="1" x14ac:dyDescent="0.25">
      <c r="A132" s="3"/>
      <c r="B132" s="683"/>
      <c r="C132" s="683"/>
      <c r="D132" s="3"/>
      <c r="E132" s="683"/>
      <c r="F132" s="3" t="s">
        <v>1763</v>
      </c>
      <c r="G132" s="3"/>
      <c r="H132" s="684">
        <v>19</v>
      </c>
      <c r="I132" s="683"/>
      <c r="J132" s="683"/>
      <c r="K132" s="683"/>
      <c r="L132" s="683"/>
      <c r="M132" s="683"/>
      <c r="N132" s="685"/>
      <c r="O132" s="683"/>
      <c r="P132" s="683"/>
      <c r="Q132" s="683"/>
      <c r="R132" s="683"/>
      <c r="S132" s="683"/>
      <c r="T132" s="683"/>
      <c r="U132" s="683"/>
      <c r="V132" s="683"/>
      <c r="W132" s="683"/>
      <c r="X132" s="683"/>
      <c r="Y132" s="683"/>
      <c r="Z132" s="683"/>
    </row>
    <row r="133" spans="1:26" ht="15" customHeight="1" x14ac:dyDescent="0.25">
      <c r="A133" s="3"/>
      <c r="B133" s="683"/>
      <c r="C133" s="683"/>
      <c r="D133" s="3"/>
      <c r="E133" s="683"/>
      <c r="F133" s="3" t="s">
        <v>1793</v>
      </c>
      <c r="G133" s="3" t="s">
        <v>1804</v>
      </c>
      <c r="H133" s="684">
        <v>12</v>
      </c>
      <c r="I133" s="683"/>
      <c r="J133" s="683"/>
      <c r="K133" s="683"/>
      <c r="L133" s="683"/>
      <c r="M133" s="683"/>
      <c r="N133" s="685"/>
      <c r="O133" s="683"/>
      <c r="P133" s="683"/>
      <c r="Q133" s="683"/>
      <c r="R133" s="683"/>
      <c r="S133" s="683"/>
      <c r="T133" s="683"/>
      <c r="U133" s="683"/>
      <c r="V133" s="683"/>
      <c r="W133" s="683"/>
      <c r="X133" s="683"/>
      <c r="Y133" s="683"/>
      <c r="Z133" s="683"/>
    </row>
    <row r="134" spans="1:26" ht="15" customHeight="1" x14ac:dyDescent="0.25">
      <c r="A134" s="3"/>
      <c r="B134" s="683"/>
      <c r="C134" s="683"/>
      <c r="D134" s="3"/>
      <c r="E134" s="683"/>
      <c r="F134" s="3" t="s">
        <v>1477</v>
      </c>
      <c r="G134" s="3"/>
      <c r="H134" s="684">
        <v>12</v>
      </c>
      <c r="I134" s="3"/>
      <c r="J134" s="683"/>
      <c r="K134" s="683"/>
      <c r="L134" s="683"/>
      <c r="M134" s="683"/>
      <c r="N134" s="685"/>
      <c r="O134" s="683"/>
      <c r="P134" s="683"/>
      <c r="Q134" s="683"/>
      <c r="R134" s="683"/>
      <c r="S134" s="683"/>
      <c r="T134" s="683"/>
      <c r="U134" s="683"/>
      <c r="V134" s="683"/>
      <c r="W134" s="683"/>
      <c r="X134" s="683"/>
      <c r="Y134" s="683"/>
      <c r="Z134" s="683"/>
    </row>
    <row r="135" spans="1:26" ht="15" customHeight="1" x14ac:dyDescent="0.25">
      <c r="A135" s="3"/>
      <c r="B135" s="683"/>
      <c r="C135" s="683"/>
      <c r="D135" s="3"/>
      <c r="E135" s="683"/>
      <c r="F135" s="3" t="s">
        <v>1746</v>
      </c>
      <c r="G135" s="3" t="s">
        <v>1746</v>
      </c>
      <c r="H135" s="684">
        <v>25</v>
      </c>
      <c r="I135" s="3"/>
      <c r="J135" s="683"/>
      <c r="K135" s="683"/>
      <c r="L135" s="683"/>
      <c r="M135" s="683"/>
      <c r="N135" s="685"/>
      <c r="O135" s="683"/>
      <c r="P135" s="683"/>
      <c r="Q135" s="683"/>
      <c r="R135" s="683"/>
      <c r="S135" s="683"/>
      <c r="T135" s="683"/>
      <c r="U135" s="683"/>
      <c r="V135" s="683"/>
      <c r="W135" s="683"/>
      <c r="X135" s="683"/>
      <c r="Y135" s="683"/>
      <c r="Z135" s="683"/>
    </row>
    <row r="136" spans="1:26" ht="15" customHeight="1" x14ac:dyDescent="0.25">
      <c r="A136" s="3"/>
      <c r="B136" s="683"/>
      <c r="C136" s="683"/>
      <c r="D136" s="3"/>
      <c r="E136" s="683"/>
      <c r="F136" s="3" t="s">
        <v>1805</v>
      </c>
      <c r="G136" s="3"/>
      <c r="H136" s="684">
        <v>14</v>
      </c>
      <c r="I136" s="3"/>
      <c r="J136" s="683"/>
      <c r="K136" s="683"/>
      <c r="L136" s="683"/>
      <c r="M136" s="683"/>
      <c r="N136" s="685"/>
      <c r="O136" s="683"/>
      <c r="P136" s="683"/>
      <c r="Q136" s="683"/>
      <c r="R136" s="683"/>
      <c r="S136" s="683"/>
      <c r="T136" s="683"/>
      <c r="U136" s="683"/>
      <c r="V136" s="683"/>
      <c r="W136" s="683"/>
      <c r="X136" s="683"/>
      <c r="Y136" s="683"/>
      <c r="Z136" s="683"/>
    </row>
    <row r="137" spans="1:26" ht="15" customHeight="1" x14ac:dyDescent="0.25">
      <c r="A137" s="3"/>
      <c r="B137" s="683"/>
      <c r="C137" s="683"/>
      <c r="D137" s="3"/>
      <c r="E137" s="683"/>
      <c r="F137" s="3" t="s">
        <v>1806</v>
      </c>
      <c r="G137" s="3"/>
      <c r="H137" s="684">
        <v>15</v>
      </c>
      <c r="I137" s="3"/>
      <c r="J137" s="683"/>
      <c r="K137" s="683"/>
      <c r="L137" s="683"/>
      <c r="M137" s="683"/>
      <c r="N137" s="685"/>
      <c r="O137" s="683"/>
      <c r="P137" s="683"/>
      <c r="Q137" s="683"/>
      <c r="R137" s="683"/>
      <c r="S137" s="683"/>
      <c r="T137" s="683"/>
      <c r="U137" s="683"/>
      <c r="V137" s="683"/>
      <c r="W137" s="683"/>
      <c r="X137" s="683"/>
      <c r="Y137" s="683"/>
      <c r="Z137" s="683"/>
    </row>
    <row r="138" spans="1:26" ht="15" customHeight="1" x14ac:dyDescent="0.25">
      <c r="A138" s="3"/>
      <c r="B138" s="683"/>
      <c r="C138" s="683"/>
      <c r="D138" s="3"/>
      <c r="E138" s="683"/>
      <c r="F138" s="3" t="s">
        <v>936</v>
      </c>
      <c r="G138" s="3" t="s">
        <v>1807</v>
      </c>
      <c r="H138" s="684">
        <v>16</v>
      </c>
      <c r="I138" s="3"/>
      <c r="J138" s="683"/>
      <c r="K138" s="683"/>
      <c r="L138" s="683"/>
      <c r="M138" s="683"/>
      <c r="N138" s="685"/>
      <c r="O138" s="683"/>
      <c r="P138" s="683"/>
      <c r="Q138" s="683"/>
      <c r="R138" s="683"/>
      <c r="S138" s="683"/>
      <c r="T138" s="683"/>
      <c r="U138" s="683"/>
      <c r="V138" s="683"/>
      <c r="W138" s="683"/>
      <c r="X138" s="683"/>
      <c r="Y138" s="683"/>
      <c r="Z138" s="683"/>
    </row>
    <row r="139" spans="1:26" ht="15" customHeight="1" x14ac:dyDescent="0.25">
      <c r="A139" s="3"/>
      <c r="B139" s="683"/>
      <c r="C139" s="683"/>
      <c r="D139" s="3"/>
      <c r="E139" s="683"/>
      <c r="F139" s="3" t="s">
        <v>1808</v>
      </c>
      <c r="G139" s="3" t="s">
        <v>1809</v>
      </c>
      <c r="H139" s="684">
        <v>5</v>
      </c>
      <c r="I139" s="3"/>
      <c r="J139" s="683"/>
      <c r="K139" s="683"/>
      <c r="L139" s="683"/>
      <c r="M139" s="683"/>
      <c r="N139" s="685"/>
      <c r="O139" s="683"/>
      <c r="P139" s="683"/>
      <c r="Q139" s="683"/>
      <c r="R139" s="683"/>
      <c r="S139" s="683"/>
      <c r="T139" s="683"/>
      <c r="U139" s="683"/>
      <c r="V139" s="683"/>
      <c r="W139" s="683"/>
      <c r="X139" s="683"/>
      <c r="Y139" s="683"/>
      <c r="Z139" s="683"/>
    </row>
    <row r="140" spans="1:26" ht="15" customHeight="1" x14ac:dyDescent="0.25">
      <c r="A140" s="3"/>
      <c r="B140" s="683"/>
      <c r="C140" s="683"/>
      <c r="D140" s="3"/>
      <c r="E140" s="683"/>
      <c r="F140" s="38" t="s">
        <v>1810</v>
      </c>
      <c r="G140" s="38" t="s">
        <v>1810</v>
      </c>
      <c r="H140" s="38">
        <v>12.5</v>
      </c>
      <c r="I140" s="3"/>
      <c r="J140" s="683"/>
      <c r="K140" s="683"/>
      <c r="L140" s="683"/>
      <c r="M140" s="683"/>
      <c r="N140" s="685"/>
      <c r="O140" s="683"/>
      <c r="P140" s="683"/>
      <c r="Q140" s="683"/>
      <c r="R140" s="683"/>
      <c r="S140" s="683"/>
      <c r="T140" s="683"/>
      <c r="U140" s="683"/>
      <c r="V140" s="683"/>
      <c r="W140" s="683"/>
      <c r="X140" s="683"/>
      <c r="Y140" s="683"/>
      <c r="Z140" s="683"/>
    </row>
    <row r="141" spans="1:26" ht="15" customHeight="1" x14ac:dyDescent="0.25">
      <c r="A141" s="3"/>
      <c r="B141" s="683"/>
      <c r="C141" s="683"/>
      <c r="D141" s="3"/>
      <c r="E141" s="683"/>
      <c r="F141" s="3" t="s">
        <v>1302</v>
      </c>
      <c r="G141" s="3" t="s">
        <v>1811</v>
      </c>
      <c r="H141" s="684">
        <v>7</v>
      </c>
      <c r="I141" s="3"/>
      <c r="J141" s="683"/>
      <c r="K141" s="683"/>
      <c r="L141" s="683"/>
      <c r="M141" s="683"/>
      <c r="N141" s="685"/>
      <c r="O141" s="683"/>
      <c r="P141" s="683"/>
      <c r="Q141" s="683"/>
      <c r="R141" s="683"/>
      <c r="S141" s="683"/>
      <c r="T141" s="683"/>
      <c r="U141" s="683"/>
      <c r="V141" s="683"/>
      <c r="W141" s="683"/>
      <c r="X141" s="683"/>
      <c r="Y141" s="683"/>
      <c r="Z141" s="683"/>
    </row>
    <row r="142" spans="1:26" ht="15" customHeight="1" x14ac:dyDescent="0.25">
      <c r="A142" s="3"/>
      <c r="B142" s="683"/>
      <c r="C142" s="683"/>
      <c r="D142" s="3"/>
      <c r="E142" s="683"/>
      <c r="F142" s="3" t="s">
        <v>1250</v>
      </c>
      <c r="G142" s="3"/>
      <c r="H142" s="684">
        <v>2</v>
      </c>
      <c r="I142" s="3"/>
      <c r="J142" s="683"/>
      <c r="K142" s="683"/>
      <c r="L142" s="683"/>
      <c r="M142" s="683"/>
      <c r="N142" s="690"/>
      <c r="O142" s="683"/>
      <c r="P142" s="683"/>
      <c r="Q142" s="683"/>
      <c r="R142" s="683"/>
      <c r="S142" s="683"/>
      <c r="T142" s="683"/>
      <c r="U142" s="683"/>
      <c r="V142" s="683"/>
      <c r="W142" s="683"/>
      <c r="X142" s="683"/>
      <c r="Y142" s="683"/>
      <c r="Z142" s="683"/>
    </row>
    <row r="143" spans="1:26" ht="15" customHeight="1" x14ac:dyDescent="0.25">
      <c r="A143" s="3"/>
      <c r="B143" s="683"/>
      <c r="C143" s="683"/>
      <c r="D143" s="3"/>
      <c r="E143" s="683"/>
      <c r="F143" s="3" t="s">
        <v>1812</v>
      </c>
      <c r="G143" s="3"/>
      <c r="H143" s="684">
        <v>17</v>
      </c>
      <c r="I143" s="3"/>
      <c r="J143" s="683"/>
      <c r="K143" s="683"/>
      <c r="L143" s="683"/>
      <c r="M143" s="683"/>
      <c r="N143" s="690"/>
      <c r="O143" s="683"/>
      <c r="P143" s="683"/>
      <c r="Q143" s="683"/>
      <c r="R143" s="683"/>
      <c r="S143" s="683"/>
      <c r="T143" s="683"/>
      <c r="U143" s="683"/>
      <c r="V143" s="683"/>
      <c r="W143" s="683"/>
      <c r="X143" s="683"/>
      <c r="Y143" s="683"/>
      <c r="Z143" s="683"/>
    </row>
    <row r="144" spans="1:26" ht="15" customHeight="1" x14ac:dyDescent="0.25">
      <c r="A144" s="3"/>
      <c r="B144" s="683"/>
      <c r="C144" s="683"/>
      <c r="D144" s="3"/>
      <c r="E144" s="683"/>
      <c r="F144" s="3" t="s">
        <v>1792</v>
      </c>
      <c r="G144" s="3"/>
      <c r="H144" s="684">
        <v>12</v>
      </c>
      <c r="J144" s="683"/>
      <c r="K144" s="683"/>
      <c r="L144" s="683"/>
      <c r="M144" s="683"/>
      <c r="N144" s="690"/>
      <c r="O144" s="683"/>
      <c r="P144" s="683"/>
      <c r="Q144" s="683"/>
      <c r="R144" s="683"/>
      <c r="S144" s="683"/>
      <c r="T144" s="683"/>
      <c r="U144" s="683"/>
      <c r="V144" s="683"/>
      <c r="W144" s="683"/>
      <c r="X144" s="683"/>
      <c r="Y144" s="683"/>
      <c r="Z144" s="683"/>
    </row>
    <row r="145" spans="1:26" ht="15" customHeight="1" x14ac:dyDescent="0.25">
      <c r="A145" s="3"/>
      <c r="B145" s="683"/>
      <c r="C145" s="683"/>
      <c r="D145" s="3"/>
      <c r="E145" s="683"/>
      <c r="F145" s="38" t="s">
        <v>721</v>
      </c>
      <c r="H145" s="38">
        <v>17</v>
      </c>
      <c r="J145" s="683"/>
      <c r="K145" s="683"/>
      <c r="L145" s="683"/>
      <c r="M145" s="683"/>
      <c r="N145" s="690"/>
      <c r="O145" s="683"/>
      <c r="P145" s="683"/>
      <c r="Q145" s="683"/>
      <c r="R145" s="683"/>
      <c r="S145" s="683"/>
      <c r="T145" s="683"/>
      <c r="U145" s="683"/>
      <c r="V145" s="683"/>
      <c r="W145" s="683"/>
      <c r="X145" s="683"/>
      <c r="Y145" s="683"/>
      <c r="Z145" s="683"/>
    </row>
    <row r="146" spans="1:26" ht="15" customHeight="1" x14ac:dyDescent="0.25">
      <c r="A146" s="3"/>
      <c r="B146" s="683"/>
      <c r="C146" s="683"/>
      <c r="D146" s="3"/>
      <c r="E146" s="683"/>
      <c r="F146" s="38" t="s">
        <v>1813</v>
      </c>
      <c r="H146" s="38">
        <v>14.5</v>
      </c>
      <c r="J146" s="683"/>
      <c r="K146" s="683"/>
      <c r="L146" s="683"/>
      <c r="M146" s="683"/>
      <c r="N146" s="690"/>
      <c r="O146" s="683"/>
      <c r="P146" s="683"/>
      <c r="Q146" s="683"/>
      <c r="R146" s="683"/>
      <c r="S146" s="683"/>
      <c r="T146" s="683"/>
      <c r="U146" s="683"/>
      <c r="V146" s="683"/>
      <c r="W146" s="683"/>
      <c r="X146" s="683"/>
      <c r="Y146" s="683"/>
      <c r="Z146" s="683"/>
    </row>
    <row r="147" spans="1:26" ht="15" customHeight="1" x14ac:dyDescent="0.25">
      <c r="A147" s="3"/>
      <c r="B147" s="683"/>
      <c r="C147" s="683"/>
      <c r="D147" s="3"/>
      <c r="E147" s="683"/>
      <c r="J147" s="683"/>
      <c r="K147" s="683"/>
      <c r="L147" s="683"/>
      <c r="M147" s="683"/>
      <c r="N147" s="690"/>
      <c r="O147" s="683"/>
      <c r="P147" s="683"/>
      <c r="Q147" s="683"/>
      <c r="R147" s="683"/>
      <c r="S147" s="683"/>
      <c r="T147" s="683"/>
      <c r="U147" s="683"/>
      <c r="V147" s="683"/>
      <c r="W147" s="683"/>
      <c r="X147" s="683"/>
      <c r="Y147" s="683"/>
      <c r="Z147" s="683"/>
    </row>
    <row r="148" spans="1:26" ht="15" customHeight="1" x14ac:dyDescent="0.25">
      <c r="A148" s="3"/>
      <c r="B148" s="683"/>
      <c r="C148" s="683"/>
      <c r="D148" s="3"/>
      <c r="E148" s="683"/>
      <c r="J148" s="683"/>
      <c r="K148" s="683"/>
      <c r="L148" s="683"/>
      <c r="M148" s="683"/>
      <c r="N148" s="690"/>
      <c r="O148" s="683"/>
      <c r="P148" s="683"/>
      <c r="Q148" s="683"/>
      <c r="R148" s="683"/>
      <c r="S148" s="683"/>
      <c r="T148" s="683"/>
      <c r="U148" s="683"/>
      <c r="V148" s="683"/>
      <c r="W148" s="683"/>
      <c r="X148" s="683"/>
      <c r="Y148" s="683"/>
      <c r="Z148" s="683"/>
    </row>
    <row r="149" spans="1:26" ht="15" customHeight="1" x14ac:dyDescent="0.25">
      <c r="A149" s="3"/>
      <c r="B149" s="683"/>
      <c r="C149" s="683"/>
      <c r="D149" s="3"/>
      <c r="E149" s="683"/>
      <c r="J149" s="683"/>
      <c r="K149" s="683"/>
      <c r="L149" s="683"/>
      <c r="M149" s="683"/>
      <c r="N149" s="690"/>
      <c r="O149" s="683"/>
      <c r="P149" s="683"/>
      <c r="Q149" s="683"/>
      <c r="R149" s="683"/>
      <c r="S149" s="683"/>
      <c r="T149" s="683"/>
      <c r="U149" s="683"/>
      <c r="V149" s="683"/>
      <c r="W149" s="683"/>
      <c r="X149" s="683"/>
      <c r="Y149" s="683"/>
      <c r="Z149" s="683"/>
    </row>
    <row r="150" spans="1:26" ht="15" customHeight="1" x14ac:dyDescent="0.25">
      <c r="A150" s="3"/>
      <c r="B150" s="683"/>
      <c r="C150" s="683"/>
      <c r="D150" s="3"/>
      <c r="E150" s="683"/>
      <c r="J150" s="683"/>
      <c r="K150" s="683"/>
      <c r="L150" s="683"/>
      <c r="M150" s="683"/>
      <c r="N150" s="690"/>
      <c r="O150" s="683"/>
      <c r="P150" s="683"/>
      <c r="Q150" s="45"/>
      <c r="R150" s="683"/>
      <c r="S150" s="683"/>
      <c r="T150" s="683"/>
      <c r="U150" s="683"/>
      <c r="V150" s="683"/>
      <c r="W150" s="683"/>
      <c r="X150" s="683"/>
      <c r="Y150" s="683"/>
      <c r="Z150" s="683"/>
    </row>
    <row r="151" spans="1:26" ht="15" customHeight="1" x14ac:dyDescent="0.25">
      <c r="A151" s="3"/>
      <c r="B151" s="683"/>
      <c r="C151" s="683"/>
      <c r="D151" s="3"/>
      <c r="E151" s="683"/>
      <c r="J151" s="683"/>
      <c r="K151" s="683"/>
      <c r="L151" s="683"/>
      <c r="M151" s="683"/>
      <c r="N151" s="690"/>
      <c r="O151" s="683"/>
      <c r="P151" s="683"/>
      <c r="Q151" s="45"/>
      <c r="R151" s="683"/>
      <c r="S151" s="683"/>
      <c r="T151" s="683"/>
      <c r="U151" s="683"/>
      <c r="V151" s="683"/>
      <c r="W151" s="683"/>
      <c r="X151" s="683"/>
      <c r="Y151" s="683"/>
      <c r="Z151" s="683"/>
    </row>
    <row r="152" spans="1:26" ht="15.75" customHeight="1" x14ac:dyDescent="0.25">
      <c r="A152" s="3" t="s">
        <v>1814</v>
      </c>
      <c r="B152" s="683" t="s">
        <v>1317</v>
      </c>
      <c r="C152" s="683"/>
      <c r="D152" s="3"/>
      <c r="E152" s="683"/>
      <c r="J152" s="683"/>
      <c r="K152" s="683"/>
      <c r="L152" s="683"/>
      <c r="M152" s="683"/>
      <c r="N152" s="690"/>
      <c r="O152" s="683"/>
      <c r="P152" s="683"/>
      <c r="Q152" s="45"/>
      <c r="R152" s="683"/>
      <c r="S152" s="683"/>
      <c r="T152" s="683"/>
      <c r="U152" s="683"/>
      <c r="V152" s="683"/>
      <c r="W152" s="683"/>
      <c r="X152" s="683"/>
      <c r="Y152" s="683"/>
      <c r="Z152" s="683"/>
    </row>
    <row r="153" spans="1:26" ht="15.75" customHeight="1" x14ac:dyDescent="0.25">
      <c r="A153" s="3" t="s">
        <v>1815</v>
      </c>
      <c r="B153" s="683" t="s">
        <v>1317</v>
      </c>
      <c r="C153" s="3"/>
      <c r="D153" s="3"/>
      <c r="E153" s="683"/>
      <c r="J153" s="3"/>
      <c r="K153" s="683"/>
      <c r="L153" s="683"/>
      <c r="M153" s="683"/>
      <c r="N153" s="690"/>
      <c r="O153" s="683"/>
      <c r="P153" s="683"/>
      <c r="Q153" s="45"/>
      <c r="R153" s="683"/>
      <c r="S153" s="683"/>
      <c r="T153" s="683"/>
      <c r="U153" s="683"/>
      <c r="V153" s="683"/>
      <c r="W153" s="683"/>
      <c r="X153" s="683"/>
      <c r="Y153" s="683"/>
      <c r="Z153" s="683"/>
    </row>
    <row r="154" spans="1:26" ht="15.75" customHeight="1" x14ac:dyDescent="0.25">
      <c r="A154" s="3" t="s">
        <v>1816</v>
      </c>
      <c r="B154" s="683" t="s">
        <v>1317</v>
      </c>
      <c r="C154" s="683"/>
      <c r="D154" s="3"/>
      <c r="E154" s="683"/>
      <c r="J154" s="3"/>
      <c r="K154" s="3"/>
      <c r="L154" s="683"/>
      <c r="M154" s="683"/>
      <c r="N154" s="690"/>
      <c r="O154" s="683"/>
      <c r="P154" s="683"/>
      <c r="Q154" s="45"/>
      <c r="R154" s="683"/>
      <c r="S154" s="683"/>
      <c r="T154" s="683"/>
      <c r="U154" s="683"/>
      <c r="V154" s="683"/>
      <c r="W154" s="683"/>
      <c r="X154" s="683"/>
      <c r="Y154" s="683"/>
      <c r="Z154" s="683"/>
    </row>
    <row r="155" spans="1:26" ht="15.75" customHeight="1" x14ac:dyDescent="0.25">
      <c r="A155" s="3" t="s">
        <v>1817</v>
      </c>
      <c r="B155" s="683" t="s">
        <v>1317</v>
      </c>
      <c r="C155" s="683"/>
      <c r="D155" s="3"/>
      <c r="E155" s="683"/>
      <c r="J155" s="3"/>
      <c r="K155" s="3"/>
      <c r="L155" s="683"/>
      <c r="M155" s="683"/>
      <c r="N155" s="690"/>
      <c r="O155" s="683"/>
      <c r="P155" s="683"/>
      <c r="Q155" s="45"/>
      <c r="R155" s="683"/>
      <c r="S155" s="683"/>
      <c r="T155" s="683"/>
      <c r="U155" s="683"/>
      <c r="V155" s="683"/>
      <c r="W155" s="683"/>
      <c r="X155" s="683"/>
      <c r="Y155" s="683"/>
      <c r="Z155" s="683"/>
    </row>
    <row r="156" spans="1:26" ht="15.75" customHeight="1" x14ac:dyDescent="0.25">
      <c r="A156" s="3" t="s">
        <v>1702</v>
      </c>
      <c r="B156" s="683" t="s">
        <v>1317</v>
      </c>
      <c r="C156" s="683"/>
      <c r="D156" s="3"/>
      <c r="E156" s="683"/>
      <c r="J156" s="3"/>
      <c r="K156" s="3"/>
      <c r="L156" s="683"/>
      <c r="M156" s="683"/>
      <c r="N156" s="690"/>
      <c r="O156" s="683"/>
      <c r="P156" s="683"/>
      <c r="Q156" s="683"/>
      <c r="R156" s="683"/>
      <c r="S156" s="683"/>
      <c r="T156" s="683"/>
      <c r="U156" s="683"/>
      <c r="V156" s="683"/>
      <c r="W156" s="683"/>
      <c r="X156" s="683"/>
      <c r="Y156" s="683"/>
      <c r="Z156" s="683"/>
    </row>
    <row r="157" spans="1:26" ht="15.75" customHeight="1" x14ac:dyDescent="0.25">
      <c r="A157" s="3" t="s">
        <v>1818</v>
      </c>
      <c r="B157" s="683" t="s">
        <v>1317</v>
      </c>
      <c r="C157" s="683"/>
      <c r="D157" s="3"/>
      <c r="E157" s="683"/>
      <c r="J157" s="3"/>
      <c r="K157" s="3"/>
      <c r="L157" s="683"/>
      <c r="M157" s="683"/>
      <c r="N157" s="690"/>
      <c r="O157" s="683"/>
      <c r="P157" s="683"/>
      <c r="Q157" s="683"/>
      <c r="R157" s="683"/>
      <c r="S157" s="683"/>
      <c r="T157" s="683"/>
      <c r="U157" s="683"/>
      <c r="V157" s="683"/>
      <c r="W157" s="683"/>
      <c r="X157" s="683"/>
      <c r="Y157" s="683"/>
      <c r="Z157" s="683"/>
    </row>
    <row r="158" spans="1:26" ht="15.75" customHeight="1" x14ac:dyDescent="0.25">
      <c r="A158" s="3" t="s">
        <v>1819</v>
      </c>
      <c r="B158" s="683" t="s">
        <v>1317</v>
      </c>
      <c r="C158" s="683"/>
      <c r="D158" s="3"/>
      <c r="E158" s="683"/>
      <c r="J158" s="3"/>
      <c r="K158" s="3"/>
      <c r="L158" s="683"/>
      <c r="M158" s="683"/>
      <c r="N158" s="690"/>
      <c r="O158" s="683"/>
      <c r="P158" s="683"/>
      <c r="Q158" s="683"/>
      <c r="R158" s="683"/>
      <c r="S158" s="683"/>
      <c r="T158" s="683"/>
      <c r="U158" s="683"/>
      <c r="V158" s="683"/>
      <c r="W158" s="683"/>
      <c r="X158" s="683"/>
      <c r="Y158" s="683"/>
      <c r="Z158" s="683"/>
    </row>
    <row r="159" spans="1:26" ht="15.75" customHeight="1" x14ac:dyDescent="0.25">
      <c r="A159" s="3" t="s">
        <v>1820</v>
      </c>
      <c r="B159" s="683" t="s">
        <v>1317</v>
      </c>
      <c r="C159" s="683"/>
      <c r="D159" s="3"/>
      <c r="E159" s="683"/>
      <c r="J159" s="3"/>
      <c r="K159" s="3"/>
      <c r="L159" s="683"/>
      <c r="M159" s="683"/>
      <c r="N159" s="690"/>
      <c r="O159" s="683"/>
      <c r="P159" s="683"/>
      <c r="Q159" s="683"/>
      <c r="R159" s="683"/>
      <c r="S159" s="683"/>
      <c r="T159" s="683"/>
      <c r="U159" s="683"/>
      <c r="V159" s="683"/>
      <c r="W159" s="683"/>
      <c r="X159" s="683"/>
      <c r="Y159" s="683"/>
      <c r="Z159" s="683"/>
    </row>
    <row r="160" spans="1:26" ht="15.75" customHeight="1" x14ac:dyDescent="0.25">
      <c r="A160" s="3" t="s">
        <v>1821</v>
      </c>
      <c r="B160" s="683" t="s">
        <v>1317</v>
      </c>
      <c r="C160" s="683"/>
      <c r="D160" s="3"/>
      <c r="E160" s="683"/>
      <c r="J160" s="3"/>
      <c r="K160" s="3"/>
      <c r="L160" s="683"/>
      <c r="M160" s="683"/>
      <c r="N160" s="690"/>
      <c r="O160" s="683"/>
      <c r="P160" s="683"/>
      <c r="Q160" s="683"/>
      <c r="R160" s="683"/>
      <c r="S160" s="683"/>
      <c r="T160" s="683"/>
      <c r="U160" s="683"/>
      <c r="V160" s="683"/>
      <c r="W160" s="683"/>
      <c r="X160" s="683"/>
      <c r="Y160" s="683"/>
      <c r="Z160" s="683"/>
    </row>
    <row r="161" spans="1:26" ht="15.75" customHeight="1" x14ac:dyDescent="0.25">
      <c r="A161" s="3" t="s">
        <v>1822</v>
      </c>
      <c r="B161" s="683" t="s">
        <v>1317</v>
      </c>
      <c r="C161" s="683"/>
      <c r="D161" s="3"/>
      <c r="E161" s="683"/>
      <c r="J161" s="3"/>
      <c r="K161" s="3"/>
      <c r="L161" s="683"/>
      <c r="M161" s="683"/>
      <c r="N161" s="690"/>
      <c r="O161" s="683"/>
      <c r="P161" s="683"/>
      <c r="Q161" s="683"/>
      <c r="R161" s="683"/>
      <c r="S161" s="683"/>
      <c r="T161" s="683"/>
      <c r="U161" s="683"/>
      <c r="V161" s="683"/>
      <c r="W161" s="683"/>
      <c r="X161" s="683"/>
      <c r="Y161" s="683"/>
      <c r="Z161" s="683"/>
    </row>
    <row r="162" spans="1:26" ht="15.75" customHeight="1" x14ac:dyDescent="0.25">
      <c r="A162" s="683" t="s">
        <v>1823</v>
      </c>
      <c r="B162" s="683" t="s">
        <v>1317</v>
      </c>
      <c r="C162" s="683"/>
      <c r="D162" s="3"/>
      <c r="E162" s="683"/>
      <c r="J162" s="3"/>
      <c r="K162" s="3"/>
      <c r="L162" s="683"/>
      <c r="M162" s="683"/>
      <c r="N162" s="690"/>
      <c r="O162" s="683"/>
      <c r="P162" s="683"/>
      <c r="Q162" s="683"/>
      <c r="R162" s="683"/>
      <c r="S162" s="683"/>
      <c r="T162" s="683"/>
      <c r="U162" s="683"/>
      <c r="V162" s="683"/>
      <c r="W162" s="683"/>
      <c r="X162" s="683"/>
      <c r="Y162" s="683"/>
      <c r="Z162" s="683"/>
    </row>
    <row r="163" spans="1:26" ht="15.75" customHeight="1" x14ac:dyDescent="0.25">
      <c r="A163" s="683" t="s">
        <v>1824</v>
      </c>
      <c r="B163" s="683" t="s">
        <v>1317</v>
      </c>
      <c r="C163" s="683"/>
      <c r="D163" s="3"/>
      <c r="E163" s="683"/>
      <c r="I163" s="3"/>
      <c r="J163" s="3"/>
      <c r="K163" s="3"/>
      <c r="L163" s="683"/>
      <c r="M163" s="683"/>
      <c r="N163" s="690"/>
      <c r="O163" s="683"/>
      <c r="P163" s="683"/>
      <c r="Q163" s="683"/>
      <c r="R163" s="683"/>
      <c r="S163" s="683"/>
      <c r="T163" s="683"/>
      <c r="U163" s="683"/>
      <c r="V163" s="683"/>
      <c r="W163" s="683"/>
      <c r="X163" s="683"/>
      <c r="Y163" s="683"/>
      <c r="Z163" s="683"/>
    </row>
    <row r="164" spans="1:26" ht="15.75" customHeight="1" x14ac:dyDescent="0.25">
      <c r="A164" s="683" t="s">
        <v>1825</v>
      </c>
      <c r="B164" s="683" t="s">
        <v>1317</v>
      </c>
      <c r="C164" s="683"/>
      <c r="D164" s="3"/>
      <c r="E164" s="683"/>
      <c r="I164" s="3"/>
      <c r="J164" s="3"/>
      <c r="K164" s="3"/>
      <c r="L164" s="683"/>
      <c r="M164" s="683"/>
      <c r="N164" s="690"/>
      <c r="O164" s="683"/>
      <c r="P164" s="683"/>
      <c r="Q164" s="683"/>
      <c r="R164" s="683"/>
      <c r="S164" s="683"/>
      <c r="T164" s="683"/>
      <c r="U164" s="683"/>
      <c r="V164" s="683"/>
      <c r="W164" s="683"/>
      <c r="X164" s="683"/>
      <c r="Y164" s="683"/>
      <c r="Z164" s="683"/>
    </row>
    <row r="165" spans="1:26" ht="15.75" customHeight="1" x14ac:dyDescent="0.25">
      <c r="A165" s="683" t="s">
        <v>1826</v>
      </c>
      <c r="B165" s="683" t="s">
        <v>1317</v>
      </c>
      <c r="C165" s="683"/>
      <c r="D165" s="3"/>
      <c r="E165" s="683"/>
      <c r="I165" s="3"/>
      <c r="J165" s="3"/>
      <c r="K165" s="3"/>
      <c r="L165" s="683"/>
      <c r="M165" s="683"/>
      <c r="N165" s="690"/>
      <c r="O165" s="683"/>
      <c r="P165" s="683"/>
      <c r="Q165" s="683"/>
      <c r="R165" s="683"/>
      <c r="S165" s="683"/>
      <c r="T165" s="683"/>
      <c r="U165" s="683"/>
      <c r="V165" s="683"/>
      <c r="W165" s="683"/>
      <c r="X165" s="683"/>
      <c r="Y165" s="683"/>
      <c r="Z165" s="683"/>
    </row>
    <row r="166" spans="1:26" ht="15.75" customHeight="1" x14ac:dyDescent="0.25">
      <c r="A166" s="683" t="s">
        <v>1827</v>
      </c>
      <c r="B166" s="683" t="s">
        <v>1317</v>
      </c>
      <c r="C166" s="683"/>
      <c r="D166" s="3"/>
      <c r="E166" s="683"/>
      <c r="I166" s="3"/>
      <c r="J166" s="3"/>
      <c r="K166" s="3"/>
      <c r="L166" s="683"/>
      <c r="M166" s="683"/>
      <c r="N166" s="690"/>
      <c r="O166" s="683"/>
      <c r="P166" s="683"/>
      <c r="Q166" s="683"/>
      <c r="R166" s="683"/>
      <c r="S166" s="683"/>
      <c r="T166" s="683"/>
      <c r="U166" s="683"/>
      <c r="V166" s="683"/>
      <c r="W166" s="683"/>
      <c r="X166" s="683"/>
      <c r="Y166" s="683"/>
      <c r="Z166" s="683"/>
    </row>
    <row r="167" spans="1:26" ht="15.75" customHeight="1" x14ac:dyDescent="0.25">
      <c r="A167" s="683" t="s">
        <v>1828</v>
      </c>
      <c r="B167" s="683" t="s">
        <v>1317</v>
      </c>
      <c r="C167" s="683"/>
      <c r="D167" s="3"/>
      <c r="E167" s="683"/>
      <c r="I167" s="3"/>
      <c r="J167" s="3"/>
      <c r="K167" s="3"/>
      <c r="L167" s="683"/>
      <c r="M167" s="683"/>
      <c r="N167" s="690"/>
      <c r="O167" s="683"/>
      <c r="P167" s="683"/>
      <c r="Q167" s="683"/>
      <c r="R167" s="683"/>
      <c r="S167" s="683"/>
      <c r="T167" s="683"/>
      <c r="U167" s="683"/>
      <c r="V167" s="683"/>
      <c r="W167" s="683"/>
      <c r="X167" s="683"/>
      <c r="Y167" s="683"/>
      <c r="Z167" s="683"/>
    </row>
    <row r="168" spans="1:26" ht="15.75" customHeight="1" x14ac:dyDescent="0.25">
      <c r="A168" s="683" t="s">
        <v>1829</v>
      </c>
      <c r="B168" s="683" t="s">
        <v>1317</v>
      </c>
      <c r="C168" s="683"/>
      <c r="D168" s="3"/>
      <c r="E168" s="683"/>
      <c r="I168" s="3"/>
      <c r="J168" s="3"/>
      <c r="K168" s="3"/>
      <c r="L168" s="683"/>
      <c r="M168" s="683"/>
      <c r="N168" s="690"/>
      <c r="O168" s="683"/>
      <c r="P168" s="683"/>
      <c r="Q168" s="683"/>
      <c r="R168" s="683"/>
      <c r="S168" s="683"/>
      <c r="T168" s="683"/>
      <c r="U168" s="683"/>
      <c r="V168" s="683"/>
      <c r="W168" s="683"/>
      <c r="X168" s="683"/>
      <c r="Y168" s="683"/>
      <c r="Z168" s="683"/>
    </row>
    <row r="169" spans="1:26" ht="15.75" customHeight="1" x14ac:dyDescent="0.25">
      <c r="A169" s="683" t="s">
        <v>1830</v>
      </c>
      <c r="B169" s="683" t="s">
        <v>1317</v>
      </c>
      <c r="C169" s="683"/>
      <c r="D169" s="3"/>
      <c r="E169" s="683"/>
      <c r="I169" s="3"/>
      <c r="J169" s="3"/>
      <c r="K169" s="3"/>
      <c r="L169" s="683"/>
      <c r="M169" s="683"/>
      <c r="N169" s="690"/>
      <c r="O169" s="683"/>
      <c r="P169" s="683"/>
      <c r="Q169" s="45"/>
      <c r="R169" s="683"/>
      <c r="S169" s="683"/>
      <c r="T169" s="683"/>
      <c r="U169" s="683"/>
      <c r="V169" s="683"/>
      <c r="W169" s="683"/>
      <c r="X169" s="683"/>
      <c r="Y169" s="683"/>
      <c r="Z169" s="683"/>
    </row>
    <row r="170" spans="1:26" ht="15" customHeight="1" x14ac:dyDescent="0.25">
      <c r="A170" s="683" t="s">
        <v>1831</v>
      </c>
      <c r="B170" s="683" t="s">
        <v>1317</v>
      </c>
      <c r="C170" s="683"/>
      <c r="D170" s="3"/>
      <c r="E170" s="683"/>
      <c r="I170" s="3"/>
      <c r="J170" s="3"/>
      <c r="K170" s="3"/>
      <c r="L170" s="683"/>
      <c r="M170" s="683"/>
      <c r="N170" s="690"/>
      <c r="O170" s="683"/>
      <c r="P170" s="683"/>
      <c r="Q170" s="45"/>
      <c r="R170" s="683"/>
      <c r="S170" s="683"/>
      <c r="T170" s="683"/>
      <c r="U170" s="683"/>
      <c r="V170" s="683"/>
      <c r="W170" s="683"/>
      <c r="X170" s="683"/>
      <c r="Y170" s="683"/>
      <c r="Z170" s="683"/>
    </row>
    <row r="171" spans="1:26" ht="15" customHeight="1" x14ac:dyDescent="0.25">
      <c r="A171" s="683" t="s">
        <v>1832</v>
      </c>
      <c r="B171" s="683" t="s">
        <v>1317</v>
      </c>
      <c r="C171" s="683"/>
      <c r="D171" s="3"/>
      <c r="E171" s="683"/>
      <c r="I171" s="3"/>
      <c r="J171" s="3"/>
      <c r="K171" s="3"/>
      <c r="L171" s="683"/>
      <c r="M171" s="683"/>
      <c r="N171" s="690"/>
      <c r="O171" s="683"/>
      <c r="P171" s="683"/>
      <c r="Q171" s="45"/>
      <c r="R171" s="683"/>
      <c r="S171" s="683"/>
      <c r="T171" s="683"/>
      <c r="U171" s="683"/>
      <c r="V171" s="683"/>
      <c r="W171" s="683"/>
      <c r="X171" s="683"/>
      <c r="Y171" s="683"/>
      <c r="Z171" s="683"/>
    </row>
    <row r="172" spans="1:26" ht="15" customHeight="1" x14ac:dyDescent="0.25">
      <c r="A172" s="683" t="s">
        <v>1833</v>
      </c>
      <c r="B172" s="683" t="s">
        <v>1317</v>
      </c>
      <c r="C172" s="683"/>
      <c r="D172" s="3"/>
      <c r="E172" s="683"/>
      <c r="I172" s="3"/>
      <c r="J172" s="3"/>
      <c r="K172" s="3"/>
      <c r="L172" s="683"/>
      <c r="M172" s="683"/>
      <c r="N172" s="690"/>
      <c r="O172" s="683"/>
      <c r="P172" s="683"/>
      <c r="Q172" s="45"/>
      <c r="R172" s="683"/>
      <c r="S172" s="683"/>
      <c r="T172" s="683"/>
      <c r="U172" s="683"/>
      <c r="V172" s="683"/>
      <c r="W172" s="683"/>
      <c r="X172" s="683"/>
      <c r="Y172" s="683"/>
      <c r="Z172" s="683"/>
    </row>
    <row r="173" spans="1:26" ht="15.75" customHeight="1" x14ac:dyDescent="0.25">
      <c r="A173" s="683" t="s">
        <v>1834</v>
      </c>
      <c r="B173" s="683" t="s">
        <v>1317</v>
      </c>
      <c r="C173" s="683"/>
      <c r="D173" s="3"/>
      <c r="E173" s="683"/>
      <c r="I173" s="3"/>
      <c r="J173" s="3"/>
      <c r="K173" s="3"/>
      <c r="L173" s="683"/>
      <c r="M173" s="683"/>
      <c r="N173" s="690"/>
      <c r="O173" s="683"/>
      <c r="P173" s="683"/>
      <c r="Q173" s="45"/>
      <c r="R173" s="683"/>
      <c r="S173" s="683"/>
      <c r="T173" s="683"/>
      <c r="U173" s="683"/>
      <c r="V173" s="683"/>
      <c r="W173" s="683"/>
      <c r="X173" s="683"/>
      <c r="Y173" s="683"/>
      <c r="Z173" s="683"/>
    </row>
    <row r="174" spans="1:26" ht="15.75" customHeight="1" x14ac:dyDescent="0.25">
      <c r="A174" s="683" t="s">
        <v>1835</v>
      </c>
      <c r="B174" s="683" t="s">
        <v>1317</v>
      </c>
      <c r="C174" s="683"/>
      <c r="D174" s="3"/>
      <c r="E174" s="683"/>
      <c r="I174" s="3"/>
      <c r="J174" s="3"/>
      <c r="K174" s="3"/>
      <c r="L174" s="683"/>
      <c r="M174" s="683"/>
      <c r="N174" s="690"/>
      <c r="O174" s="683"/>
      <c r="P174" s="683"/>
      <c r="Q174" s="45"/>
      <c r="R174" s="683"/>
      <c r="S174" s="683"/>
      <c r="T174" s="683"/>
      <c r="U174" s="683"/>
      <c r="V174" s="683"/>
      <c r="W174" s="683"/>
      <c r="X174" s="683"/>
      <c r="Y174" s="683"/>
      <c r="Z174" s="683"/>
    </row>
    <row r="175" spans="1:26" ht="15.75" customHeight="1" x14ac:dyDescent="0.25">
      <c r="A175" s="683" t="s">
        <v>1317</v>
      </c>
      <c r="B175" s="3" t="s">
        <v>1317</v>
      </c>
      <c r="C175" s="683"/>
      <c r="D175" s="3"/>
      <c r="E175" s="683"/>
      <c r="I175" s="3"/>
      <c r="J175" s="3"/>
      <c r="K175" s="3"/>
      <c r="L175" s="683"/>
      <c r="M175" s="683"/>
      <c r="N175" s="690"/>
      <c r="O175" s="683"/>
      <c r="P175" s="683"/>
      <c r="Q175" s="45"/>
      <c r="R175" s="683"/>
      <c r="S175" s="683"/>
      <c r="T175" s="683"/>
      <c r="U175" s="683"/>
      <c r="V175" s="683"/>
      <c r="W175" s="683"/>
      <c r="X175" s="683"/>
      <c r="Y175" s="683"/>
      <c r="Z175" s="683"/>
    </row>
    <row r="176" spans="1:26" ht="15.75" customHeight="1" x14ac:dyDescent="0.25">
      <c r="A176" s="3" t="s">
        <v>1836</v>
      </c>
      <c r="B176" s="3" t="s">
        <v>1317</v>
      </c>
      <c r="C176" s="683"/>
      <c r="D176" s="3"/>
      <c r="E176" s="683"/>
      <c r="I176" s="683"/>
      <c r="J176" s="683"/>
      <c r="K176" s="3"/>
      <c r="L176" s="683"/>
      <c r="M176" s="683"/>
      <c r="N176" s="690"/>
      <c r="O176" s="683"/>
      <c r="P176" s="683"/>
      <c r="Q176" s="45"/>
      <c r="R176" s="683"/>
      <c r="S176" s="683"/>
      <c r="T176" s="683"/>
      <c r="U176" s="683"/>
      <c r="V176" s="683"/>
      <c r="W176" s="683"/>
      <c r="X176" s="683"/>
      <c r="Y176" s="683"/>
      <c r="Z176" s="683"/>
    </row>
    <row r="177" spans="1:26" ht="15.75" customHeight="1" x14ac:dyDescent="0.25">
      <c r="A177" s="3" t="s">
        <v>1837</v>
      </c>
      <c r="B177" s="3" t="s">
        <v>1317</v>
      </c>
      <c r="C177" s="683"/>
      <c r="D177" s="3"/>
      <c r="E177" s="683"/>
      <c r="I177" s="3"/>
      <c r="J177" s="3"/>
      <c r="K177" s="3"/>
      <c r="L177" s="683"/>
      <c r="M177" s="683"/>
      <c r="N177" s="690"/>
      <c r="O177" s="683"/>
      <c r="P177" s="683"/>
      <c r="Q177" s="45"/>
      <c r="R177" s="683"/>
      <c r="S177" s="683"/>
      <c r="T177" s="683"/>
      <c r="U177" s="683"/>
      <c r="V177" s="683"/>
      <c r="W177" s="683"/>
      <c r="X177" s="683"/>
      <c r="Y177" s="683"/>
      <c r="Z177" s="683"/>
    </row>
    <row r="178" spans="1:26" ht="15.75" customHeight="1" x14ac:dyDescent="0.25">
      <c r="A178" s="3" t="s">
        <v>1838</v>
      </c>
      <c r="B178" s="3" t="s">
        <v>1317</v>
      </c>
      <c r="C178" s="683"/>
      <c r="D178" s="3"/>
      <c r="E178" s="683"/>
      <c r="F178" s="3"/>
      <c r="G178" s="3"/>
      <c r="H178" s="684"/>
      <c r="I178" s="3"/>
      <c r="J178" s="3"/>
      <c r="K178" s="3"/>
      <c r="L178" s="683"/>
      <c r="M178" s="683"/>
      <c r="N178" s="685"/>
      <c r="O178" s="683"/>
      <c r="P178" s="683"/>
      <c r="Q178" s="683"/>
      <c r="R178" s="683"/>
      <c r="S178" s="683"/>
      <c r="T178" s="683"/>
      <c r="U178" s="683"/>
      <c r="V178" s="683"/>
      <c r="W178" s="683"/>
      <c r="X178" s="683"/>
      <c r="Y178" s="683"/>
      <c r="Z178" s="683"/>
    </row>
    <row r="179" spans="1:26" ht="15.75" customHeight="1" x14ac:dyDescent="0.25">
      <c r="A179" s="3" t="s">
        <v>1839</v>
      </c>
      <c r="B179" s="3" t="s">
        <v>1317</v>
      </c>
      <c r="C179" s="683"/>
      <c r="D179" s="3"/>
      <c r="E179" s="683"/>
      <c r="F179" s="3"/>
      <c r="G179" s="3"/>
      <c r="H179" s="684"/>
      <c r="I179" s="3"/>
      <c r="J179" s="3"/>
      <c r="K179" s="3"/>
      <c r="L179" s="683"/>
      <c r="M179" s="683"/>
      <c r="N179" s="685"/>
      <c r="O179" s="683"/>
      <c r="P179" s="683"/>
      <c r="Q179" s="45"/>
      <c r="R179" s="683"/>
      <c r="S179" s="683"/>
      <c r="T179" s="683"/>
      <c r="U179" s="683"/>
      <c r="V179" s="683"/>
      <c r="W179" s="683"/>
      <c r="X179" s="683"/>
      <c r="Y179" s="683"/>
      <c r="Z179" s="683"/>
    </row>
    <row r="180" spans="1:26" ht="15.75" customHeight="1" x14ac:dyDescent="0.25">
      <c r="A180" s="683" t="s">
        <v>1840</v>
      </c>
      <c r="B180" s="3" t="s">
        <v>1317</v>
      </c>
      <c r="C180" s="683"/>
      <c r="D180" s="3"/>
      <c r="E180" s="683"/>
      <c r="F180" s="3"/>
      <c r="G180" s="3"/>
      <c r="H180" s="684"/>
      <c r="I180" s="3"/>
      <c r="J180" s="3"/>
      <c r="K180" s="3"/>
      <c r="L180" s="683"/>
      <c r="M180" s="683"/>
      <c r="N180" s="685"/>
      <c r="O180" s="683"/>
      <c r="P180" s="683"/>
      <c r="Q180" s="45"/>
      <c r="R180" s="683"/>
      <c r="S180" s="683"/>
      <c r="T180" s="683"/>
      <c r="U180" s="683"/>
      <c r="V180" s="683"/>
      <c r="W180" s="683"/>
      <c r="X180" s="683"/>
      <c r="Y180" s="683"/>
      <c r="Z180" s="683"/>
    </row>
    <row r="181" spans="1:26" ht="15.75" customHeight="1" x14ac:dyDescent="0.25">
      <c r="A181" s="683" t="s">
        <v>1841</v>
      </c>
      <c r="B181" s="3" t="s">
        <v>1317</v>
      </c>
      <c r="C181" s="683"/>
      <c r="D181" s="3"/>
      <c r="E181" s="683"/>
      <c r="F181" s="3"/>
      <c r="G181" s="3"/>
      <c r="H181" s="684"/>
      <c r="I181" s="3"/>
      <c r="J181" s="3"/>
      <c r="K181" s="3"/>
      <c r="L181" s="683"/>
      <c r="M181" s="683"/>
      <c r="N181" s="685"/>
      <c r="O181" s="683"/>
      <c r="P181" s="683"/>
      <c r="Q181" s="45"/>
      <c r="R181" s="683"/>
      <c r="S181" s="683"/>
      <c r="T181" s="683"/>
      <c r="U181" s="683"/>
      <c r="V181" s="683"/>
      <c r="W181" s="683"/>
      <c r="X181" s="683"/>
      <c r="Y181" s="683"/>
      <c r="Z181" s="683"/>
    </row>
    <row r="182" spans="1:26" ht="15" customHeight="1" x14ac:dyDescent="0.25">
      <c r="A182" s="683" t="s">
        <v>1842</v>
      </c>
      <c r="B182" s="3" t="s">
        <v>1317</v>
      </c>
      <c r="C182" s="683"/>
      <c r="D182" s="3"/>
      <c r="E182" s="683"/>
      <c r="F182" s="3"/>
      <c r="G182" s="3"/>
      <c r="H182" s="684"/>
      <c r="I182" s="3"/>
      <c r="J182" s="3"/>
      <c r="K182" s="3"/>
      <c r="L182" s="683"/>
      <c r="M182" s="683"/>
      <c r="N182" s="685"/>
      <c r="O182" s="683"/>
      <c r="P182" s="683"/>
      <c r="Q182" s="45"/>
      <c r="R182" s="683"/>
      <c r="S182" s="683"/>
      <c r="T182" s="683"/>
      <c r="U182" s="683"/>
      <c r="V182" s="683"/>
      <c r="W182" s="683"/>
      <c r="X182" s="683"/>
      <c r="Y182" s="683"/>
      <c r="Z182" s="683"/>
    </row>
    <row r="183" spans="1:26" ht="15" customHeight="1" x14ac:dyDescent="0.25">
      <c r="A183" s="683" t="s">
        <v>1843</v>
      </c>
      <c r="B183" s="3" t="s">
        <v>1317</v>
      </c>
      <c r="C183" s="683"/>
      <c r="D183" s="3"/>
      <c r="E183" s="683"/>
      <c r="F183" s="3"/>
      <c r="G183" s="3"/>
      <c r="H183" s="684"/>
      <c r="I183" s="3"/>
      <c r="J183" s="3"/>
      <c r="K183" s="3"/>
      <c r="L183" s="683"/>
      <c r="M183" s="683"/>
      <c r="N183" s="685"/>
      <c r="O183" s="683"/>
      <c r="P183" s="683"/>
      <c r="Q183" s="45"/>
      <c r="R183" s="683"/>
      <c r="S183" s="683"/>
      <c r="T183" s="683"/>
      <c r="U183" s="683"/>
      <c r="V183" s="683"/>
      <c r="W183" s="683"/>
      <c r="X183" s="683"/>
      <c r="Y183" s="683"/>
      <c r="Z183" s="683"/>
    </row>
    <row r="184" spans="1:26" ht="15" customHeight="1" x14ac:dyDescent="0.25">
      <c r="A184" s="683" t="s">
        <v>1844</v>
      </c>
      <c r="B184" s="3" t="s">
        <v>1317</v>
      </c>
      <c r="C184" s="683"/>
      <c r="D184" s="3"/>
      <c r="E184" s="683"/>
      <c r="F184" s="3"/>
      <c r="G184" s="3"/>
      <c r="H184" s="684"/>
      <c r="I184" s="3"/>
      <c r="J184" s="3"/>
      <c r="K184" s="3"/>
      <c r="L184" s="683"/>
      <c r="M184" s="683"/>
      <c r="N184" s="685"/>
      <c r="O184" s="683"/>
      <c r="P184" s="683"/>
      <c r="Q184" s="45"/>
      <c r="R184" s="683"/>
      <c r="S184" s="683"/>
      <c r="T184" s="683"/>
      <c r="U184" s="683"/>
      <c r="V184" s="683"/>
      <c r="W184" s="683"/>
      <c r="X184" s="683"/>
      <c r="Y184" s="683"/>
      <c r="Z184" s="683"/>
    </row>
    <row r="185" spans="1:26" ht="15" customHeight="1" x14ac:dyDescent="0.25">
      <c r="A185" s="683" t="s">
        <v>1845</v>
      </c>
      <c r="B185" s="3" t="s">
        <v>1317</v>
      </c>
      <c r="C185" s="683"/>
      <c r="D185" s="3"/>
      <c r="E185" s="683"/>
      <c r="F185" s="3"/>
      <c r="G185" s="3"/>
      <c r="H185" s="684"/>
      <c r="I185" s="3"/>
      <c r="J185" s="3"/>
      <c r="K185" s="3"/>
      <c r="L185" s="683"/>
      <c r="M185" s="683"/>
      <c r="N185" s="685"/>
      <c r="O185" s="683"/>
      <c r="P185" s="683"/>
      <c r="Q185" s="45"/>
      <c r="R185" s="683"/>
      <c r="S185" s="683"/>
      <c r="T185" s="683"/>
      <c r="U185" s="683"/>
      <c r="V185" s="683"/>
      <c r="W185" s="683"/>
      <c r="X185" s="683"/>
      <c r="Y185" s="683"/>
      <c r="Z185" s="683"/>
    </row>
    <row r="186" spans="1:26" ht="15" customHeight="1" x14ac:dyDescent="0.25">
      <c r="A186" s="683" t="s">
        <v>332</v>
      </c>
      <c r="B186" s="3" t="s">
        <v>1317</v>
      </c>
      <c r="C186" s="683"/>
      <c r="D186" s="3"/>
      <c r="E186" s="683"/>
      <c r="F186" s="3"/>
      <c r="G186" s="3"/>
      <c r="H186" s="684"/>
      <c r="I186" s="3"/>
      <c r="J186" s="3"/>
      <c r="K186" s="3"/>
      <c r="L186" s="683"/>
      <c r="M186" s="683"/>
      <c r="N186" s="685"/>
      <c r="O186" s="683"/>
      <c r="P186" s="683"/>
      <c r="Q186" s="45"/>
      <c r="R186" s="683"/>
      <c r="S186" s="683"/>
      <c r="T186" s="683"/>
      <c r="U186" s="683"/>
      <c r="V186" s="683"/>
      <c r="W186" s="683"/>
      <c r="X186" s="683"/>
      <c r="Y186" s="683"/>
      <c r="Z186" s="683"/>
    </row>
    <row r="187" spans="1:26" ht="15.75" customHeight="1" x14ac:dyDescent="0.25">
      <c r="A187" s="683" t="s">
        <v>1846</v>
      </c>
      <c r="B187" s="3" t="s">
        <v>1317</v>
      </c>
      <c r="C187" s="683"/>
      <c r="D187" s="3"/>
      <c r="E187" s="683"/>
      <c r="F187" s="3"/>
      <c r="G187" s="3"/>
      <c r="H187" s="684"/>
      <c r="I187" s="3"/>
      <c r="J187" s="3"/>
      <c r="K187" s="683"/>
      <c r="L187" s="683"/>
      <c r="M187" s="683"/>
      <c r="N187" s="685"/>
      <c r="O187" s="683"/>
      <c r="P187" s="683"/>
      <c r="Q187" s="45"/>
      <c r="R187" s="683"/>
      <c r="S187" s="683"/>
      <c r="T187" s="683"/>
      <c r="U187" s="683"/>
      <c r="V187" s="683"/>
      <c r="W187" s="683"/>
      <c r="X187" s="683"/>
      <c r="Y187" s="683"/>
      <c r="Z187" s="683"/>
    </row>
    <row r="188" spans="1:26" ht="15.75" customHeight="1" x14ac:dyDescent="0.25">
      <c r="A188" s="683" t="s">
        <v>1847</v>
      </c>
      <c r="B188" s="3" t="s">
        <v>1317</v>
      </c>
      <c r="C188" s="683"/>
      <c r="D188" s="3"/>
      <c r="E188" s="683"/>
      <c r="F188" s="3"/>
      <c r="G188" s="3"/>
      <c r="H188" s="684"/>
      <c r="I188" s="3"/>
      <c r="J188" s="3"/>
      <c r="K188" s="683"/>
      <c r="L188" s="683"/>
      <c r="M188" s="683"/>
      <c r="N188" s="685"/>
      <c r="O188" s="683"/>
      <c r="P188" s="683"/>
      <c r="Q188" s="45"/>
      <c r="R188" s="683"/>
      <c r="S188" s="683"/>
      <c r="T188" s="683"/>
      <c r="U188" s="683"/>
      <c r="V188" s="683"/>
      <c r="W188" s="683"/>
      <c r="X188" s="683"/>
      <c r="Y188" s="683"/>
      <c r="Z188" s="683"/>
    </row>
    <row r="189" spans="1:26" ht="15.75" customHeight="1" x14ac:dyDescent="0.25">
      <c r="A189" s="683" t="s">
        <v>1848</v>
      </c>
      <c r="B189" s="3" t="s">
        <v>1317</v>
      </c>
      <c r="C189" s="683"/>
      <c r="D189" s="3"/>
      <c r="E189" s="683"/>
      <c r="F189" s="3"/>
      <c r="G189" s="3"/>
      <c r="H189" s="684"/>
      <c r="I189" s="3"/>
      <c r="J189" s="3"/>
      <c r="K189" s="683"/>
      <c r="L189" s="683"/>
      <c r="M189" s="683"/>
      <c r="N189" s="685"/>
      <c r="O189" s="683"/>
      <c r="P189" s="683"/>
      <c r="Q189" s="45"/>
      <c r="R189" s="683"/>
      <c r="S189" s="683"/>
      <c r="T189" s="683"/>
      <c r="U189" s="683"/>
      <c r="V189" s="683"/>
      <c r="W189" s="683"/>
      <c r="X189" s="683"/>
      <c r="Y189" s="683"/>
      <c r="Z189" s="683"/>
    </row>
    <row r="190" spans="1:26" ht="15.75" customHeight="1" x14ac:dyDescent="0.25">
      <c r="A190" s="683" t="s">
        <v>1849</v>
      </c>
      <c r="B190" s="3" t="s">
        <v>1317</v>
      </c>
      <c r="C190" s="683"/>
      <c r="D190" s="3"/>
      <c r="E190" s="683"/>
      <c r="F190" s="3"/>
      <c r="G190" s="3"/>
      <c r="H190" s="684"/>
      <c r="I190" s="3"/>
      <c r="J190" s="3"/>
      <c r="K190" s="683"/>
      <c r="L190" s="683"/>
      <c r="M190" s="683"/>
      <c r="N190" s="685"/>
      <c r="O190" s="683"/>
      <c r="P190" s="683"/>
      <c r="Q190" s="45"/>
      <c r="R190" s="683"/>
      <c r="S190" s="683"/>
      <c r="T190" s="683"/>
      <c r="U190" s="683"/>
      <c r="V190" s="683"/>
      <c r="W190" s="683"/>
      <c r="X190" s="683"/>
      <c r="Y190" s="683"/>
      <c r="Z190" s="683"/>
    </row>
    <row r="191" spans="1:26" ht="15.75" customHeight="1" x14ac:dyDescent="0.25">
      <c r="A191" s="683" t="s">
        <v>1850</v>
      </c>
      <c r="B191" s="3" t="s">
        <v>1317</v>
      </c>
      <c r="C191" s="683"/>
      <c r="D191" s="3"/>
      <c r="E191" s="683"/>
      <c r="F191" s="3"/>
      <c r="G191" s="3"/>
      <c r="H191" s="684"/>
      <c r="I191" s="3"/>
      <c r="J191" s="3"/>
      <c r="K191" s="683"/>
      <c r="L191" s="683"/>
      <c r="M191" s="683"/>
      <c r="N191" s="685"/>
      <c r="O191" s="683"/>
      <c r="P191" s="683"/>
      <c r="Q191" s="45"/>
      <c r="R191" s="683"/>
      <c r="S191" s="683"/>
      <c r="T191" s="683"/>
      <c r="U191" s="683"/>
      <c r="V191" s="683"/>
      <c r="W191" s="683"/>
      <c r="X191" s="683"/>
      <c r="Y191" s="683"/>
      <c r="Z191" s="683"/>
    </row>
    <row r="192" spans="1:26" ht="15.75" customHeight="1" x14ac:dyDescent="0.25">
      <c r="A192" s="683" t="s">
        <v>1851</v>
      </c>
      <c r="B192" s="3" t="s">
        <v>1317</v>
      </c>
      <c r="C192" s="683"/>
      <c r="D192" s="3"/>
      <c r="E192" s="683"/>
      <c r="F192" s="3"/>
      <c r="G192" s="3"/>
      <c r="H192" s="684"/>
      <c r="I192" s="3"/>
      <c r="J192" s="3"/>
      <c r="K192" s="683"/>
      <c r="L192" s="683"/>
      <c r="M192" s="683"/>
      <c r="N192" s="685"/>
      <c r="O192" s="683"/>
      <c r="P192" s="683"/>
      <c r="Q192" s="45"/>
      <c r="R192" s="683"/>
      <c r="S192" s="683"/>
      <c r="T192" s="683"/>
      <c r="U192" s="683"/>
      <c r="V192" s="683"/>
      <c r="W192" s="683"/>
      <c r="X192" s="683"/>
      <c r="Y192" s="683"/>
      <c r="Z192" s="683"/>
    </row>
    <row r="193" spans="1:26" ht="15.75" customHeight="1" x14ac:dyDescent="0.25">
      <c r="A193" s="683" t="s">
        <v>1852</v>
      </c>
      <c r="B193" s="3" t="s">
        <v>1317</v>
      </c>
      <c r="C193" s="683"/>
      <c r="D193" s="3"/>
      <c r="E193" s="683"/>
      <c r="F193" s="3"/>
      <c r="G193" s="3"/>
      <c r="H193" s="684"/>
      <c r="I193" s="3"/>
      <c r="J193" s="3"/>
      <c r="K193" s="683"/>
      <c r="L193" s="683"/>
      <c r="M193" s="683"/>
      <c r="N193" s="685"/>
      <c r="O193" s="683"/>
      <c r="P193" s="683"/>
      <c r="Q193" s="45"/>
      <c r="R193" s="683"/>
      <c r="S193" s="683"/>
      <c r="T193" s="683"/>
      <c r="U193" s="683"/>
      <c r="V193" s="683"/>
      <c r="W193" s="683"/>
      <c r="X193" s="683"/>
      <c r="Y193" s="683"/>
      <c r="Z193" s="683"/>
    </row>
    <row r="194" spans="1:26" ht="15.75" customHeight="1" x14ac:dyDescent="0.25">
      <c r="A194" s="683" t="s">
        <v>1853</v>
      </c>
      <c r="B194" s="3" t="s">
        <v>1317</v>
      </c>
      <c r="C194" s="683"/>
      <c r="D194" s="3"/>
      <c r="E194" s="683"/>
      <c r="F194" s="3"/>
      <c r="G194" s="3"/>
      <c r="H194" s="684"/>
      <c r="I194" s="3"/>
      <c r="J194" s="3"/>
      <c r="K194" s="683"/>
      <c r="L194" s="683"/>
      <c r="M194" s="683"/>
      <c r="N194" s="685"/>
      <c r="O194" s="683"/>
      <c r="P194" s="683"/>
      <c r="Q194" s="45"/>
      <c r="R194" s="683"/>
      <c r="S194" s="683"/>
      <c r="T194" s="683"/>
      <c r="U194" s="683"/>
      <c r="V194" s="683"/>
      <c r="W194" s="683"/>
      <c r="X194" s="683"/>
      <c r="Y194" s="683"/>
      <c r="Z194" s="683"/>
    </row>
    <row r="195" spans="1:26" ht="15.75" customHeight="1" x14ac:dyDescent="0.25">
      <c r="A195" s="683" t="s">
        <v>1854</v>
      </c>
      <c r="B195" s="3" t="s">
        <v>1317</v>
      </c>
      <c r="C195" s="683"/>
      <c r="D195" s="3"/>
      <c r="E195" s="683"/>
      <c r="F195" s="3"/>
      <c r="G195" s="3"/>
      <c r="H195" s="684"/>
      <c r="I195" s="3"/>
      <c r="J195" s="3"/>
      <c r="K195" s="683"/>
      <c r="L195" s="683"/>
      <c r="M195" s="683"/>
      <c r="N195" s="685"/>
      <c r="O195" s="683"/>
      <c r="P195" s="683"/>
      <c r="Q195" s="45"/>
      <c r="R195" s="683"/>
      <c r="S195" s="683"/>
      <c r="T195" s="683"/>
      <c r="U195" s="683"/>
      <c r="V195" s="683"/>
      <c r="W195" s="683"/>
      <c r="X195" s="683"/>
      <c r="Y195" s="683"/>
      <c r="Z195" s="683"/>
    </row>
    <row r="196" spans="1:26" ht="15.75" customHeight="1" x14ac:dyDescent="0.25">
      <c r="A196" s="683" t="s">
        <v>1855</v>
      </c>
      <c r="B196" s="3" t="s">
        <v>1317</v>
      </c>
      <c r="C196" s="683"/>
      <c r="D196" s="3"/>
      <c r="E196" s="683"/>
      <c r="F196" s="3"/>
      <c r="G196" s="3"/>
      <c r="H196" s="684"/>
      <c r="I196" s="3"/>
      <c r="J196" s="3"/>
      <c r="K196" s="683"/>
      <c r="L196" s="683"/>
      <c r="M196" s="683"/>
      <c r="N196" s="685"/>
      <c r="O196" s="683"/>
      <c r="P196" s="683"/>
      <c r="Q196" s="45"/>
      <c r="R196" s="683"/>
      <c r="S196" s="683"/>
      <c r="T196" s="683"/>
      <c r="U196" s="683"/>
      <c r="V196" s="683"/>
      <c r="W196" s="683"/>
      <c r="X196" s="683"/>
      <c r="Y196" s="683"/>
      <c r="Z196" s="683"/>
    </row>
    <row r="197" spans="1:26" ht="15.75" customHeight="1" x14ac:dyDescent="0.25">
      <c r="A197" s="683" t="s">
        <v>1856</v>
      </c>
      <c r="B197" s="3" t="s">
        <v>1317</v>
      </c>
      <c r="C197" s="683"/>
      <c r="D197" s="3"/>
      <c r="E197" s="683"/>
      <c r="F197" s="683"/>
      <c r="G197" s="683"/>
      <c r="H197" s="684"/>
      <c r="I197" s="3"/>
      <c r="J197" s="3"/>
      <c r="K197" s="683"/>
      <c r="L197" s="683"/>
      <c r="M197" s="683"/>
      <c r="N197" s="685"/>
      <c r="O197" s="683"/>
      <c r="P197" s="683"/>
      <c r="Q197" s="45"/>
      <c r="R197" s="683"/>
      <c r="S197" s="683"/>
      <c r="T197" s="683"/>
      <c r="U197" s="683"/>
      <c r="V197" s="683"/>
      <c r="W197" s="683"/>
      <c r="X197" s="683"/>
      <c r="Y197" s="683"/>
      <c r="Z197" s="683"/>
    </row>
    <row r="198" spans="1:26" ht="15.75" customHeight="1" x14ac:dyDescent="0.25">
      <c r="A198" s="683" t="s">
        <v>1857</v>
      </c>
      <c r="B198" s="3" t="s">
        <v>1317</v>
      </c>
      <c r="C198" s="683"/>
      <c r="D198" s="3"/>
      <c r="E198" s="683"/>
      <c r="F198" s="683"/>
      <c r="G198" s="683"/>
      <c r="H198" s="684"/>
      <c r="I198" s="3"/>
      <c r="J198" s="3"/>
      <c r="K198" s="683"/>
      <c r="L198" s="683"/>
      <c r="M198" s="683"/>
      <c r="N198" s="685"/>
      <c r="O198" s="683"/>
      <c r="P198" s="683"/>
      <c r="Q198" s="45"/>
      <c r="R198" s="683"/>
      <c r="S198" s="683"/>
      <c r="T198" s="683"/>
      <c r="U198" s="683"/>
      <c r="V198" s="683"/>
      <c r="W198" s="683"/>
      <c r="X198" s="683"/>
      <c r="Y198" s="683"/>
      <c r="Z198" s="683"/>
    </row>
    <row r="199" spans="1:26" ht="15.75" customHeight="1" x14ac:dyDescent="0.25">
      <c r="A199" s="683" t="s">
        <v>1858</v>
      </c>
      <c r="B199" s="3" t="s">
        <v>1317</v>
      </c>
      <c r="C199" s="683"/>
      <c r="D199" s="3"/>
      <c r="E199" s="683"/>
      <c r="F199" s="683"/>
      <c r="G199" s="683"/>
      <c r="H199" s="684"/>
      <c r="I199" s="3"/>
      <c r="J199" s="3"/>
      <c r="K199" s="683"/>
      <c r="L199" s="683"/>
      <c r="M199" s="683"/>
      <c r="N199" s="685"/>
      <c r="O199" s="683"/>
      <c r="P199" s="683"/>
      <c r="Q199" s="45"/>
      <c r="R199" s="683"/>
      <c r="S199" s="683"/>
      <c r="T199" s="683"/>
      <c r="U199" s="683"/>
      <c r="V199" s="683"/>
      <c r="W199" s="683"/>
      <c r="X199" s="683"/>
      <c r="Y199" s="683"/>
      <c r="Z199" s="683"/>
    </row>
    <row r="200" spans="1:26" ht="15.75" customHeight="1" x14ac:dyDescent="0.25">
      <c r="A200" s="683" t="s">
        <v>1859</v>
      </c>
      <c r="B200" s="3" t="s">
        <v>1317</v>
      </c>
      <c r="C200" s="683"/>
      <c r="D200" s="3"/>
      <c r="E200" s="683"/>
      <c r="F200" s="683"/>
      <c r="G200" s="683"/>
      <c r="H200" s="684"/>
      <c r="I200" s="3"/>
      <c r="J200" s="3"/>
      <c r="K200" s="683"/>
      <c r="L200" s="683"/>
      <c r="N200" s="685"/>
      <c r="O200" s="683"/>
      <c r="P200" s="683"/>
      <c r="Q200" s="45"/>
      <c r="R200" s="683"/>
      <c r="S200" s="683"/>
      <c r="T200" s="683"/>
      <c r="U200" s="683"/>
      <c r="V200" s="683"/>
      <c r="W200" s="683"/>
      <c r="X200" s="683"/>
      <c r="Y200" s="683"/>
      <c r="Z200" s="683"/>
    </row>
    <row r="201" spans="1:26" ht="15.75" customHeight="1" x14ac:dyDescent="0.25">
      <c r="A201" s="683" t="s">
        <v>1860</v>
      </c>
      <c r="B201" s="3" t="s">
        <v>1317</v>
      </c>
      <c r="C201" s="683"/>
      <c r="D201" s="3"/>
      <c r="E201" s="683"/>
      <c r="F201" s="3"/>
      <c r="G201" s="9" t="s">
        <v>1717</v>
      </c>
      <c r="H201" s="684"/>
      <c r="I201" s="3"/>
      <c r="J201" s="3"/>
      <c r="K201" s="683"/>
      <c r="L201" s="683"/>
      <c r="N201" s="685"/>
      <c r="O201" s="683"/>
      <c r="P201" s="683"/>
      <c r="Q201" s="45"/>
      <c r="R201" s="683"/>
      <c r="S201" s="683"/>
      <c r="T201" s="683"/>
      <c r="U201" s="683"/>
      <c r="V201" s="683"/>
      <c r="W201" s="683"/>
      <c r="X201" s="683"/>
      <c r="Y201" s="683"/>
      <c r="Z201" s="683"/>
    </row>
    <row r="202" spans="1:26" ht="15.75" customHeight="1" x14ac:dyDescent="0.25">
      <c r="A202" s="683" t="s">
        <v>1861</v>
      </c>
      <c r="B202" s="3" t="s">
        <v>1317</v>
      </c>
      <c r="C202" s="683"/>
      <c r="D202" s="3"/>
      <c r="E202" s="683"/>
      <c r="F202" s="3"/>
      <c r="G202" s="3"/>
      <c r="H202" s="684"/>
      <c r="I202" s="3"/>
      <c r="J202" s="683"/>
      <c r="K202" s="683"/>
      <c r="L202" s="3" t="s">
        <v>1862</v>
      </c>
      <c r="M202" s="3"/>
      <c r="N202" s="690"/>
      <c r="O202" s="683"/>
      <c r="P202" s="683"/>
      <c r="Q202" s="45"/>
      <c r="R202" s="683"/>
      <c r="S202" s="683"/>
      <c r="T202" s="683"/>
      <c r="U202" s="683"/>
      <c r="V202" s="683"/>
      <c r="W202" s="683"/>
      <c r="X202" s="683"/>
      <c r="Y202" s="683"/>
      <c r="Z202" s="683"/>
    </row>
    <row r="203" spans="1:26" ht="15.75" customHeight="1" x14ac:dyDescent="0.25">
      <c r="A203" s="683" t="s">
        <v>1863</v>
      </c>
      <c r="B203" s="3" t="s">
        <v>1317</v>
      </c>
      <c r="C203" s="683"/>
      <c r="D203" s="3"/>
      <c r="E203" s="683"/>
      <c r="F203" s="3" t="s">
        <v>718</v>
      </c>
      <c r="G203" s="3"/>
      <c r="H203" s="684">
        <v>0</v>
      </c>
      <c r="I203" s="3"/>
      <c r="J203" s="683"/>
      <c r="K203" s="683"/>
      <c r="L203" s="3" t="s">
        <v>718</v>
      </c>
      <c r="M203" s="3"/>
      <c r="N203" s="690">
        <v>32</v>
      </c>
      <c r="O203" s="683"/>
      <c r="P203" s="683"/>
      <c r="Q203" s="45"/>
      <c r="R203" s="683"/>
      <c r="S203" s="683"/>
      <c r="T203" s="683"/>
      <c r="U203" s="683"/>
      <c r="V203" s="683"/>
      <c r="W203" s="683"/>
      <c r="X203" s="683"/>
      <c r="Y203" s="683"/>
      <c r="Z203" s="683"/>
    </row>
    <row r="204" spans="1:26" ht="15.75" customHeight="1" x14ac:dyDescent="0.25">
      <c r="A204" s="3" t="s">
        <v>1864</v>
      </c>
      <c r="B204" s="3" t="s">
        <v>1317</v>
      </c>
      <c r="C204" s="683"/>
      <c r="D204" s="3"/>
      <c r="E204" s="683"/>
      <c r="F204" s="3" t="s">
        <v>1739</v>
      </c>
      <c r="G204" s="3"/>
      <c r="H204" s="684">
        <v>25</v>
      </c>
      <c r="O204" s="683"/>
      <c r="P204" s="683"/>
      <c r="Q204" s="45"/>
      <c r="R204" s="683"/>
      <c r="S204" s="683"/>
      <c r="T204" s="683"/>
      <c r="U204" s="683"/>
      <c r="V204" s="683"/>
      <c r="W204" s="683"/>
      <c r="X204" s="683"/>
      <c r="Y204" s="683"/>
      <c r="Z204" s="683"/>
    </row>
    <row r="205" spans="1:26" ht="15.75" customHeight="1" x14ac:dyDescent="0.25">
      <c r="A205" s="3" t="s">
        <v>1865</v>
      </c>
      <c r="B205" s="3" t="s">
        <v>1317</v>
      </c>
      <c r="C205" s="683"/>
      <c r="D205" s="3"/>
      <c r="E205" s="683"/>
      <c r="F205" s="3" t="s">
        <v>1766</v>
      </c>
      <c r="G205" s="3"/>
      <c r="H205" s="684">
        <v>0</v>
      </c>
      <c r="I205" s="683"/>
      <c r="J205" s="683"/>
      <c r="K205" s="683"/>
      <c r="L205" s="3"/>
      <c r="M205" s="3"/>
      <c r="N205" s="690"/>
      <c r="O205" s="683"/>
      <c r="P205" s="683"/>
      <c r="Q205" s="45"/>
      <c r="R205" s="683"/>
      <c r="S205" s="683"/>
      <c r="T205" s="683"/>
      <c r="U205" s="683"/>
      <c r="V205" s="683"/>
      <c r="W205" s="683"/>
      <c r="X205" s="683"/>
      <c r="Y205" s="683"/>
      <c r="Z205" s="683"/>
    </row>
    <row r="206" spans="1:26" ht="15.75" customHeight="1" x14ac:dyDescent="0.25">
      <c r="A206" s="3" t="s">
        <v>1317</v>
      </c>
      <c r="B206" s="3" t="s">
        <v>1317</v>
      </c>
      <c r="C206" s="683"/>
      <c r="D206" s="3"/>
      <c r="E206" s="683"/>
      <c r="F206" s="704" t="s">
        <v>750</v>
      </c>
      <c r="G206" s="3"/>
      <c r="H206" s="684">
        <v>34</v>
      </c>
      <c r="I206" s="3"/>
      <c r="K206" s="683"/>
      <c r="L206" s="3"/>
      <c r="M206" s="3"/>
      <c r="N206" s="690"/>
      <c r="O206" s="683"/>
      <c r="P206" s="683"/>
      <c r="Q206" s="45"/>
      <c r="R206" s="683"/>
      <c r="S206" s="683"/>
      <c r="T206" s="683"/>
      <c r="U206" s="683"/>
      <c r="V206" s="683"/>
      <c r="W206" s="683"/>
      <c r="X206" s="683"/>
      <c r="Y206" s="683"/>
      <c r="Z206" s="683"/>
    </row>
    <row r="207" spans="1:26" ht="15.75" customHeight="1" x14ac:dyDescent="0.25">
      <c r="A207" s="683" t="s">
        <v>1866</v>
      </c>
      <c r="B207" s="3" t="s">
        <v>1317</v>
      </c>
      <c r="C207" s="683"/>
      <c r="D207" s="3"/>
      <c r="E207" s="683"/>
      <c r="F207" s="704" t="s">
        <v>909</v>
      </c>
      <c r="G207" s="3"/>
      <c r="H207" s="684">
        <v>39</v>
      </c>
      <c r="I207" s="683"/>
      <c r="K207" s="683"/>
      <c r="L207" s="3"/>
      <c r="M207" s="3"/>
      <c r="N207" s="690"/>
      <c r="O207" s="683"/>
      <c r="P207" s="683"/>
      <c r="Q207" s="45"/>
      <c r="R207" s="683"/>
      <c r="S207" s="683"/>
      <c r="T207" s="683"/>
      <c r="U207" s="683"/>
      <c r="V207" s="683"/>
      <c r="W207" s="683"/>
      <c r="X207" s="683"/>
      <c r="Y207" s="683"/>
      <c r="Z207" s="683"/>
    </row>
    <row r="208" spans="1:26" ht="15.75" customHeight="1" x14ac:dyDescent="0.25">
      <c r="A208" s="683" t="s">
        <v>1867</v>
      </c>
      <c r="B208" s="3" t="s">
        <v>1317</v>
      </c>
      <c r="C208" s="683"/>
      <c r="D208" s="3"/>
      <c r="E208" s="683"/>
      <c r="F208" s="704" t="s">
        <v>759</v>
      </c>
      <c r="G208" s="3" t="s">
        <v>144</v>
      </c>
      <c r="H208" s="684">
        <v>26</v>
      </c>
      <c r="I208" s="683" t="s">
        <v>1868</v>
      </c>
      <c r="K208" s="683"/>
      <c r="L208" s="3"/>
      <c r="M208" s="3"/>
      <c r="N208" s="690"/>
      <c r="O208" s="683"/>
      <c r="P208" s="683"/>
      <c r="Q208" s="45"/>
      <c r="R208" s="683"/>
      <c r="S208" s="683"/>
      <c r="T208" s="683"/>
      <c r="U208" s="683"/>
      <c r="V208" s="683"/>
      <c r="W208" s="683"/>
      <c r="X208" s="683"/>
      <c r="Y208" s="683"/>
      <c r="Z208" s="683"/>
    </row>
    <row r="209" spans="1:26" ht="15.75" customHeight="1" x14ac:dyDescent="0.25">
      <c r="A209" s="683" t="s">
        <v>1869</v>
      </c>
      <c r="B209" s="3" t="s">
        <v>1317</v>
      </c>
      <c r="C209" s="683"/>
      <c r="D209" s="3"/>
      <c r="E209" s="683"/>
      <c r="F209" s="41" t="s">
        <v>822</v>
      </c>
      <c r="G209" s="38" t="s">
        <v>144</v>
      </c>
      <c r="H209" s="38">
        <v>54</v>
      </c>
      <c r="J209" s="683"/>
      <c r="K209" s="683"/>
      <c r="L209" s="3"/>
      <c r="M209" s="3"/>
      <c r="N209" s="690"/>
      <c r="O209" s="683"/>
      <c r="P209" s="683"/>
      <c r="Q209" s="45"/>
      <c r="R209" s="683"/>
      <c r="S209" s="683"/>
      <c r="T209" s="683"/>
      <c r="U209" s="683"/>
      <c r="V209" s="683"/>
      <c r="W209" s="683"/>
      <c r="X209" s="683"/>
      <c r="Y209" s="683"/>
      <c r="Z209" s="683"/>
    </row>
    <row r="210" spans="1:26" ht="15.75" customHeight="1" x14ac:dyDescent="0.25">
      <c r="A210" s="683" t="s">
        <v>1870</v>
      </c>
      <c r="B210" s="3" t="s">
        <v>1317</v>
      </c>
      <c r="C210" s="683"/>
      <c r="D210" s="3"/>
      <c r="E210" s="683"/>
      <c r="F210" s="704" t="s">
        <v>1138</v>
      </c>
      <c r="G210" s="3" t="s">
        <v>1871</v>
      </c>
      <c r="H210" s="684">
        <v>21</v>
      </c>
      <c r="I210" s="683" t="s">
        <v>1868</v>
      </c>
      <c r="J210" s="683"/>
      <c r="K210" s="683"/>
      <c r="L210" s="3"/>
      <c r="M210" s="3"/>
      <c r="N210" s="690"/>
      <c r="O210" s="683"/>
      <c r="P210" s="683"/>
      <c r="Q210" s="45"/>
      <c r="R210" s="683"/>
      <c r="S210" s="683"/>
      <c r="T210" s="683"/>
      <c r="U210" s="683"/>
      <c r="V210" s="683"/>
      <c r="W210" s="683"/>
      <c r="X210" s="683"/>
      <c r="Y210" s="683"/>
      <c r="Z210" s="683"/>
    </row>
    <row r="211" spans="1:26" ht="15.75" customHeight="1" x14ac:dyDescent="0.25">
      <c r="A211" s="683" t="s">
        <v>1872</v>
      </c>
      <c r="B211" s="3" t="s">
        <v>1317</v>
      </c>
      <c r="C211" s="683"/>
      <c r="D211" s="3"/>
      <c r="E211" s="683"/>
      <c r="F211" s="704" t="s">
        <v>1751</v>
      </c>
      <c r="G211" s="3"/>
      <c r="H211" s="684">
        <v>34</v>
      </c>
      <c r="J211" s="683"/>
      <c r="K211" s="683"/>
      <c r="L211" s="3"/>
      <c r="M211" s="3"/>
      <c r="N211" s="690"/>
      <c r="O211" s="683"/>
      <c r="P211" s="683"/>
      <c r="Q211" s="45"/>
      <c r="R211" s="683"/>
      <c r="S211" s="683"/>
      <c r="T211" s="683"/>
      <c r="U211" s="683"/>
      <c r="V211" s="683"/>
      <c r="W211" s="683"/>
      <c r="X211" s="683"/>
      <c r="Y211" s="683"/>
      <c r="Z211" s="683"/>
    </row>
    <row r="212" spans="1:26" ht="15.75" customHeight="1" x14ac:dyDescent="0.25">
      <c r="A212" s="683" t="s">
        <v>1873</v>
      </c>
      <c r="B212" s="3" t="s">
        <v>1317</v>
      </c>
      <c r="C212" s="683"/>
      <c r="D212" s="3"/>
      <c r="E212" s="683"/>
      <c r="F212" s="41" t="s">
        <v>1196</v>
      </c>
      <c r="H212" s="38">
        <v>39</v>
      </c>
      <c r="J212" s="683"/>
      <c r="K212" s="683"/>
      <c r="L212" s="3"/>
      <c r="M212" s="3"/>
      <c r="N212" s="690"/>
      <c r="O212" s="683"/>
      <c r="P212" s="683"/>
      <c r="Q212" s="45"/>
      <c r="R212" s="683"/>
      <c r="S212" s="683"/>
      <c r="T212" s="683"/>
      <c r="U212" s="683"/>
      <c r="V212" s="683"/>
      <c r="W212" s="683"/>
      <c r="X212" s="683"/>
      <c r="Y212" s="683"/>
      <c r="Z212" s="683"/>
    </row>
    <row r="213" spans="1:26" ht="15.75" customHeight="1" x14ac:dyDescent="0.25">
      <c r="A213" s="3" t="s">
        <v>1874</v>
      </c>
      <c r="B213" s="3" t="s">
        <v>1317</v>
      </c>
      <c r="C213" s="683"/>
      <c r="D213" s="3"/>
      <c r="E213" s="683"/>
      <c r="F213" s="3" t="s">
        <v>1875</v>
      </c>
      <c r="G213" s="3" t="s">
        <v>1876</v>
      </c>
      <c r="H213" s="684">
        <v>3</v>
      </c>
      <c r="I213" s="683"/>
      <c r="J213" s="683"/>
      <c r="K213" s="683"/>
      <c r="L213" s="3"/>
      <c r="M213" s="3"/>
      <c r="N213" s="690"/>
      <c r="O213" s="683"/>
      <c r="P213" s="683"/>
      <c r="Q213" s="45"/>
      <c r="R213" s="683"/>
      <c r="S213" s="683"/>
      <c r="T213" s="683"/>
      <c r="U213" s="683"/>
      <c r="V213" s="683"/>
      <c r="W213" s="683"/>
      <c r="X213" s="683"/>
      <c r="Y213" s="683"/>
      <c r="Z213" s="683"/>
    </row>
    <row r="214" spans="1:26" ht="15.75" customHeight="1" x14ac:dyDescent="0.25">
      <c r="A214" s="3" t="s">
        <v>1877</v>
      </c>
      <c r="B214" s="3" t="s">
        <v>1317</v>
      </c>
      <c r="C214" s="683"/>
      <c r="D214" s="3"/>
      <c r="E214" s="683"/>
      <c r="F214" s="3" t="s">
        <v>1250</v>
      </c>
      <c r="G214" s="3" t="s">
        <v>1878</v>
      </c>
      <c r="H214" s="684">
        <v>4</v>
      </c>
      <c r="I214" s="683"/>
      <c r="J214" s="683"/>
      <c r="K214" s="683"/>
      <c r="L214" s="3"/>
      <c r="M214" s="3"/>
      <c r="N214" s="690"/>
      <c r="O214" s="683"/>
      <c r="P214" s="683"/>
      <c r="Q214" s="45"/>
      <c r="R214" s="683"/>
      <c r="S214" s="683"/>
      <c r="T214" s="683"/>
      <c r="U214" s="683"/>
      <c r="V214" s="683"/>
      <c r="W214" s="683"/>
      <c r="X214" s="683"/>
      <c r="Y214" s="683"/>
      <c r="Z214" s="683"/>
    </row>
    <row r="215" spans="1:26" ht="15.75" customHeight="1" x14ac:dyDescent="0.25">
      <c r="A215" s="683" t="s">
        <v>1879</v>
      </c>
      <c r="B215" s="3" t="s">
        <v>1317</v>
      </c>
      <c r="C215" s="683"/>
      <c r="D215" s="3"/>
      <c r="E215" s="683"/>
      <c r="F215" s="3" t="s">
        <v>1068</v>
      </c>
      <c r="G215" s="3" t="s">
        <v>1880</v>
      </c>
      <c r="H215" s="684">
        <v>3</v>
      </c>
      <c r="I215" s="683"/>
      <c r="J215" s="683"/>
      <c r="K215" s="683"/>
      <c r="L215" s="3"/>
      <c r="M215" s="3"/>
      <c r="N215" s="690"/>
      <c r="O215" s="683"/>
      <c r="P215" s="683"/>
      <c r="Q215" s="45"/>
      <c r="R215" s="683"/>
      <c r="S215" s="683"/>
      <c r="T215" s="683"/>
      <c r="U215" s="683"/>
      <c r="V215" s="683"/>
      <c r="W215" s="683"/>
      <c r="X215" s="683"/>
      <c r="Y215" s="683"/>
      <c r="Z215" s="683"/>
    </row>
    <row r="216" spans="1:26" ht="15.75" customHeight="1" x14ac:dyDescent="0.25">
      <c r="A216" s="683" t="s">
        <v>1881</v>
      </c>
      <c r="B216" s="3" t="s">
        <v>1317</v>
      </c>
      <c r="C216" s="683"/>
      <c r="D216" s="3"/>
      <c r="E216" s="683"/>
      <c r="F216" s="3" t="s">
        <v>1774</v>
      </c>
      <c r="G216" s="3"/>
      <c r="H216" s="684">
        <v>4</v>
      </c>
      <c r="I216" s="683"/>
      <c r="J216" s="683"/>
      <c r="K216" s="683"/>
      <c r="L216" s="3"/>
      <c r="M216" s="3"/>
      <c r="N216" s="690"/>
      <c r="O216" s="683"/>
      <c r="P216" s="683"/>
      <c r="Q216" s="45"/>
      <c r="R216" s="683"/>
      <c r="S216" s="683"/>
      <c r="T216" s="683"/>
      <c r="U216" s="683"/>
      <c r="V216" s="683"/>
      <c r="W216" s="683"/>
      <c r="X216" s="683"/>
      <c r="Y216" s="683"/>
      <c r="Z216" s="683"/>
    </row>
    <row r="217" spans="1:26" ht="15.75" customHeight="1" x14ac:dyDescent="0.25">
      <c r="A217" s="683" t="s">
        <v>1882</v>
      </c>
      <c r="B217" s="3" t="s">
        <v>1317</v>
      </c>
      <c r="C217" s="683"/>
      <c r="D217" s="3"/>
      <c r="E217" s="683"/>
      <c r="F217" s="3" t="s">
        <v>770</v>
      </c>
      <c r="G217" s="3" t="s">
        <v>51</v>
      </c>
      <c r="H217" s="684">
        <v>41</v>
      </c>
      <c r="I217" s="683"/>
      <c r="J217" s="683"/>
      <c r="K217" s="683"/>
      <c r="L217" s="3"/>
      <c r="M217" s="3"/>
      <c r="N217" s="690"/>
      <c r="O217" s="683"/>
      <c r="P217" s="683"/>
      <c r="Q217" s="45"/>
      <c r="R217" s="683"/>
      <c r="S217" s="683"/>
      <c r="T217" s="683"/>
      <c r="U217" s="683"/>
      <c r="V217" s="683"/>
      <c r="W217" s="683"/>
      <c r="X217" s="683"/>
      <c r="Y217" s="683"/>
      <c r="Z217" s="683"/>
    </row>
    <row r="218" spans="1:26" ht="15.75" customHeight="1" x14ac:dyDescent="0.25">
      <c r="A218" s="683" t="s">
        <v>1883</v>
      </c>
      <c r="B218" s="3" t="s">
        <v>1317</v>
      </c>
      <c r="C218" s="683"/>
      <c r="D218" s="3"/>
      <c r="E218" s="683"/>
      <c r="F218" s="3" t="s">
        <v>1293</v>
      </c>
      <c r="G218" s="3" t="s">
        <v>1802</v>
      </c>
      <c r="H218" s="684">
        <v>6</v>
      </c>
      <c r="I218" s="683"/>
      <c r="J218" s="683"/>
      <c r="K218" s="683"/>
      <c r="L218" s="3"/>
      <c r="M218" s="3"/>
      <c r="N218" s="690"/>
      <c r="O218" s="683"/>
      <c r="P218" s="683"/>
      <c r="Q218" s="45"/>
      <c r="R218" s="683"/>
      <c r="S218" s="683"/>
      <c r="T218" s="683"/>
      <c r="U218" s="683"/>
      <c r="V218" s="683"/>
      <c r="W218" s="683"/>
      <c r="X218" s="683"/>
      <c r="Y218" s="683"/>
      <c r="Z218" s="683"/>
    </row>
    <row r="219" spans="1:26" ht="15.75" customHeight="1" x14ac:dyDescent="0.25">
      <c r="A219" s="683" t="s">
        <v>1884</v>
      </c>
      <c r="B219" s="3" t="s">
        <v>1317</v>
      </c>
      <c r="C219" s="683"/>
      <c r="D219" s="3"/>
      <c r="E219" s="683"/>
      <c r="F219" s="3" t="s">
        <v>797</v>
      </c>
      <c r="G219" s="3"/>
      <c r="H219" s="684">
        <v>21</v>
      </c>
      <c r="I219" s="683"/>
      <c r="J219" s="683"/>
      <c r="K219" s="683"/>
      <c r="L219" s="3"/>
      <c r="M219" s="3"/>
      <c r="N219" s="690"/>
      <c r="O219" s="683"/>
      <c r="P219" s="683"/>
      <c r="Q219" s="45"/>
      <c r="R219" s="683"/>
      <c r="S219" s="683"/>
      <c r="T219" s="683"/>
      <c r="U219" s="683"/>
      <c r="V219" s="683"/>
      <c r="W219" s="683"/>
      <c r="X219" s="683"/>
      <c r="Y219" s="683"/>
      <c r="Z219" s="683"/>
    </row>
    <row r="220" spans="1:26" ht="15.75" customHeight="1" x14ac:dyDescent="0.25">
      <c r="A220" s="683" t="s">
        <v>1885</v>
      </c>
      <c r="B220" s="3" t="s">
        <v>1317</v>
      </c>
      <c r="C220" s="683"/>
      <c r="D220" s="3"/>
      <c r="E220" s="683"/>
      <c r="F220" s="3" t="s">
        <v>990</v>
      </c>
      <c r="G220" s="3"/>
      <c r="H220" s="684">
        <v>27</v>
      </c>
      <c r="I220" s="683"/>
      <c r="J220" s="683"/>
      <c r="K220" s="683"/>
      <c r="L220" s="3"/>
      <c r="M220" s="3"/>
      <c r="N220" s="690"/>
      <c r="O220" s="683"/>
      <c r="P220" s="683"/>
      <c r="Q220" s="45"/>
      <c r="R220" s="683"/>
      <c r="S220" s="683"/>
      <c r="T220" s="683"/>
      <c r="U220" s="683"/>
      <c r="V220" s="683"/>
      <c r="W220" s="683"/>
      <c r="X220" s="683"/>
      <c r="Y220" s="683"/>
      <c r="Z220" s="683"/>
    </row>
    <row r="221" spans="1:26" ht="15.75" customHeight="1" x14ac:dyDescent="0.25">
      <c r="A221" s="683" t="s">
        <v>1886</v>
      </c>
      <c r="B221" s="3" t="s">
        <v>1317</v>
      </c>
      <c r="C221" s="683"/>
      <c r="D221" s="3"/>
      <c r="E221" s="683"/>
      <c r="F221" s="3" t="s">
        <v>715</v>
      </c>
      <c r="G221" s="3" t="s">
        <v>194</v>
      </c>
      <c r="H221" s="684">
        <v>42</v>
      </c>
      <c r="I221" s="683"/>
      <c r="J221" s="683"/>
      <c r="K221" s="683"/>
      <c r="L221" s="3"/>
      <c r="M221" s="3"/>
      <c r="N221" s="690"/>
      <c r="O221" s="683"/>
      <c r="P221" s="683"/>
      <c r="Q221" s="45"/>
      <c r="R221" s="683"/>
      <c r="S221" s="683"/>
      <c r="T221" s="683"/>
      <c r="U221" s="683"/>
      <c r="V221" s="683"/>
      <c r="W221" s="683"/>
      <c r="X221" s="683"/>
      <c r="Y221" s="683"/>
      <c r="Z221" s="683"/>
    </row>
    <row r="222" spans="1:26" ht="15.75" customHeight="1" x14ac:dyDescent="0.25">
      <c r="A222" s="683" t="s">
        <v>1887</v>
      </c>
      <c r="B222" s="3" t="s">
        <v>1317</v>
      </c>
      <c r="C222" s="683"/>
      <c r="D222" s="3"/>
      <c r="E222" s="683"/>
      <c r="F222" s="3" t="s">
        <v>901</v>
      </c>
      <c r="G222" s="3" t="s">
        <v>1888</v>
      </c>
      <c r="H222" s="684">
        <v>42</v>
      </c>
      <c r="I222" s="683"/>
      <c r="J222" s="683"/>
      <c r="K222" s="683"/>
      <c r="L222" s="3"/>
      <c r="M222" s="3"/>
      <c r="N222" s="690"/>
      <c r="O222" s="683"/>
      <c r="P222" s="683"/>
      <c r="Q222" s="45"/>
      <c r="R222" s="683"/>
      <c r="S222" s="683"/>
      <c r="T222" s="683"/>
      <c r="U222" s="683"/>
      <c r="V222" s="683"/>
      <c r="W222" s="683"/>
      <c r="X222" s="683"/>
      <c r="Y222" s="683"/>
      <c r="Z222" s="683"/>
    </row>
    <row r="223" spans="1:26" ht="15.75" customHeight="1" x14ac:dyDescent="0.25">
      <c r="A223" s="683" t="s">
        <v>1889</v>
      </c>
      <c r="B223" s="3" t="s">
        <v>1317</v>
      </c>
      <c r="C223" s="683"/>
      <c r="D223" s="3"/>
      <c r="E223" s="683"/>
      <c r="F223" s="3" t="s">
        <v>217</v>
      </c>
      <c r="G223" s="3"/>
      <c r="H223" s="684">
        <v>31</v>
      </c>
      <c r="I223" s="683"/>
      <c r="J223" s="683"/>
      <c r="K223" s="683"/>
      <c r="L223" s="3"/>
      <c r="M223" s="3"/>
      <c r="N223" s="690"/>
      <c r="O223" s="683"/>
      <c r="P223" s="683"/>
      <c r="Q223" s="45"/>
      <c r="R223" s="683"/>
      <c r="S223" s="683"/>
      <c r="T223" s="683"/>
      <c r="U223" s="683"/>
      <c r="V223" s="683"/>
      <c r="W223" s="683"/>
      <c r="X223" s="683"/>
      <c r="Y223" s="683"/>
      <c r="Z223" s="683"/>
    </row>
    <row r="224" spans="1:26" ht="15.75" customHeight="1" x14ac:dyDescent="0.25">
      <c r="A224" s="683" t="s">
        <v>1890</v>
      </c>
      <c r="B224" s="3" t="s">
        <v>1317</v>
      </c>
      <c r="C224" s="683"/>
      <c r="D224" s="3"/>
      <c r="E224" s="683"/>
      <c r="F224" s="3" t="s">
        <v>704</v>
      </c>
      <c r="G224" s="3"/>
      <c r="H224" s="684">
        <v>38</v>
      </c>
      <c r="I224" s="683"/>
      <c r="J224" s="683"/>
      <c r="K224" s="683"/>
      <c r="L224" s="3"/>
      <c r="M224" s="3"/>
      <c r="N224" s="690"/>
      <c r="O224" s="683"/>
      <c r="P224" s="683"/>
      <c r="Q224" s="45"/>
      <c r="R224" s="683"/>
      <c r="S224" s="683"/>
      <c r="T224" s="683"/>
      <c r="U224" s="683"/>
      <c r="V224" s="683"/>
      <c r="W224" s="683"/>
      <c r="X224" s="683"/>
      <c r="Y224" s="683"/>
      <c r="Z224" s="683"/>
    </row>
    <row r="225" spans="1:26" ht="15.75" customHeight="1" x14ac:dyDescent="0.25">
      <c r="A225" s="3" t="s">
        <v>1891</v>
      </c>
      <c r="B225" s="3" t="s">
        <v>1317</v>
      </c>
      <c r="C225" s="683"/>
      <c r="D225" s="3"/>
      <c r="E225" s="683"/>
      <c r="F225" s="3" t="s">
        <v>1250</v>
      </c>
      <c r="G225" s="3" t="s">
        <v>1795</v>
      </c>
      <c r="H225" s="684">
        <v>2</v>
      </c>
      <c r="I225" s="683"/>
      <c r="J225" s="683"/>
      <c r="K225" s="683"/>
      <c r="L225" s="3"/>
      <c r="M225" s="3"/>
      <c r="N225" s="690"/>
      <c r="O225" s="683"/>
      <c r="P225" s="683"/>
      <c r="Q225" s="45"/>
      <c r="R225" s="683"/>
      <c r="S225" s="683"/>
      <c r="T225" s="683"/>
      <c r="U225" s="683"/>
      <c r="V225" s="683"/>
      <c r="W225" s="683"/>
      <c r="X225" s="683"/>
      <c r="Y225" s="683"/>
      <c r="Z225" s="683"/>
    </row>
    <row r="226" spans="1:26" ht="15.75" customHeight="1" x14ac:dyDescent="0.25">
      <c r="A226" s="3" t="s">
        <v>1892</v>
      </c>
      <c r="B226" s="3" t="s">
        <v>1317</v>
      </c>
      <c r="C226" s="683"/>
      <c r="D226" s="3"/>
      <c r="E226" s="683"/>
      <c r="F226" s="3" t="s">
        <v>391</v>
      </c>
      <c r="G226" s="3"/>
      <c r="H226" s="684">
        <v>22</v>
      </c>
      <c r="I226" s="683"/>
      <c r="J226" s="683"/>
      <c r="K226" s="683"/>
      <c r="L226" s="3"/>
      <c r="M226" s="3"/>
      <c r="N226" s="690"/>
      <c r="O226" s="683"/>
      <c r="P226" s="683"/>
      <c r="Q226" s="45"/>
      <c r="R226" s="683"/>
      <c r="S226" s="683"/>
      <c r="T226" s="683"/>
      <c r="U226" s="683"/>
      <c r="V226" s="683"/>
      <c r="W226" s="683"/>
      <c r="X226" s="683"/>
      <c r="Y226" s="683"/>
      <c r="Z226" s="683"/>
    </row>
    <row r="227" spans="1:26" ht="15.75" customHeight="1" x14ac:dyDescent="0.25">
      <c r="A227" s="3" t="s">
        <v>1893</v>
      </c>
      <c r="B227" s="3" t="s">
        <v>1317</v>
      </c>
      <c r="C227" s="683"/>
      <c r="D227" s="3"/>
      <c r="E227" s="683"/>
      <c r="F227" s="3" t="s">
        <v>1793</v>
      </c>
      <c r="G227" s="3" t="s">
        <v>1804</v>
      </c>
      <c r="H227" s="684">
        <v>12</v>
      </c>
      <c r="I227" s="683"/>
      <c r="J227" s="683"/>
      <c r="K227" s="683"/>
      <c r="L227" s="3"/>
      <c r="M227" s="3"/>
      <c r="N227" s="690"/>
      <c r="O227" s="683"/>
      <c r="P227" s="683"/>
      <c r="Q227" s="45"/>
      <c r="R227" s="683"/>
      <c r="S227" s="683"/>
      <c r="T227" s="683"/>
      <c r="U227" s="683"/>
      <c r="V227" s="683"/>
      <c r="W227" s="683"/>
      <c r="X227" s="683"/>
      <c r="Y227" s="683"/>
      <c r="Z227" s="683"/>
    </row>
    <row r="228" spans="1:26" ht="15.75" customHeight="1" x14ac:dyDescent="0.25">
      <c r="A228" s="3" t="s">
        <v>1894</v>
      </c>
      <c r="B228" s="3" t="s">
        <v>1317</v>
      </c>
      <c r="C228" s="683"/>
      <c r="D228" s="3"/>
      <c r="E228" s="683"/>
      <c r="F228" s="3" t="s">
        <v>1477</v>
      </c>
      <c r="G228" s="3"/>
      <c r="H228" s="684">
        <v>12</v>
      </c>
      <c r="I228" s="683"/>
      <c r="J228" s="683"/>
      <c r="K228" s="683"/>
      <c r="L228" s="3"/>
      <c r="M228" s="3"/>
      <c r="N228" s="690"/>
      <c r="O228" s="683"/>
      <c r="P228" s="683"/>
      <c r="Q228" s="45"/>
      <c r="R228" s="683"/>
      <c r="S228" s="683"/>
      <c r="T228" s="683"/>
      <c r="U228" s="683"/>
      <c r="V228" s="683"/>
      <c r="W228" s="683"/>
      <c r="X228" s="683"/>
      <c r="Y228" s="683"/>
      <c r="Z228" s="683"/>
    </row>
    <row r="229" spans="1:26" ht="15.75" customHeight="1" x14ac:dyDescent="0.25">
      <c r="A229" s="3" t="s">
        <v>105</v>
      </c>
      <c r="B229" s="3" t="s">
        <v>1317</v>
      </c>
      <c r="C229" s="683"/>
      <c r="D229" s="3"/>
      <c r="E229" s="683"/>
      <c r="F229" s="3" t="s">
        <v>1806</v>
      </c>
      <c r="G229" s="3"/>
      <c r="H229" s="684">
        <v>15</v>
      </c>
      <c r="I229" s="683"/>
      <c r="J229" s="683"/>
      <c r="K229" s="683"/>
      <c r="L229" s="3"/>
      <c r="M229" s="3"/>
      <c r="N229" s="690"/>
      <c r="O229" s="683"/>
      <c r="P229" s="683"/>
      <c r="Q229" s="45"/>
      <c r="R229" s="683"/>
      <c r="S229" s="683"/>
      <c r="T229" s="683"/>
      <c r="U229" s="683"/>
      <c r="V229" s="683"/>
      <c r="W229" s="683"/>
      <c r="X229" s="683"/>
      <c r="Y229" s="683"/>
      <c r="Z229" s="683"/>
    </row>
    <row r="230" spans="1:26" ht="15.75" customHeight="1" x14ac:dyDescent="0.25">
      <c r="A230" s="683" t="s">
        <v>1895</v>
      </c>
      <c r="B230" s="3" t="s">
        <v>1317</v>
      </c>
      <c r="C230" s="683"/>
      <c r="D230" s="3"/>
      <c r="E230" s="683"/>
      <c r="F230" s="3" t="s">
        <v>729</v>
      </c>
      <c r="G230" s="3" t="s">
        <v>1803</v>
      </c>
      <c r="H230" s="684">
        <v>14</v>
      </c>
      <c r="I230" s="683"/>
      <c r="J230" s="683"/>
      <c r="K230" s="683"/>
      <c r="L230" s="3"/>
      <c r="M230" s="3"/>
      <c r="N230" s="690"/>
      <c r="O230" s="683"/>
      <c r="P230" s="683"/>
      <c r="Q230" s="45"/>
      <c r="R230" s="683"/>
      <c r="S230" s="683"/>
      <c r="T230" s="683"/>
      <c r="U230" s="683"/>
      <c r="V230" s="683"/>
      <c r="W230" s="683"/>
      <c r="X230" s="683"/>
      <c r="Y230" s="683"/>
      <c r="Z230" s="683"/>
    </row>
    <row r="231" spans="1:26" ht="15.75" customHeight="1" x14ac:dyDescent="0.25">
      <c r="A231" s="683" t="s">
        <v>1896</v>
      </c>
      <c r="B231" s="3" t="s">
        <v>1317</v>
      </c>
      <c r="C231" s="683"/>
      <c r="D231" s="3"/>
      <c r="E231" s="683"/>
      <c r="F231" s="3" t="s">
        <v>617</v>
      </c>
      <c r="G231" s="3"/>
      <c r="H231" s="684">
        <v>14</v>
      </c>
      <c r="I231" s="683"/>
      <c r="J231" s="683"/>
      <c r="K231" s="683"/>
      <c r="L231" s="3"/>
      <c r="M231" s="3"/>
      <c r="N231" s="690"/>
      <c r="O231" s="683"/>
      <c r="P231" s="683"/>
      <c r="Q231" s="45"/>
      <c r="R231" s="683"/>
      <c r="S231" s="683"/>
      <c r="T231" s="683"/>
      <c r="U231" s="683"/>
      <c r="V231" s="683"/>
      <c r="W231" s="683"/>
      <c r="X231" s="683"/>
      <c r="Y231" s="683"/>
      <c r="Z231" s="683"/>
    </row>
    <row r="232" spans="1:26" ht="15.75" customHeight="1" x14ac:dyDescent="0.25">
      <c r="A232" s="683" t="s">
        <v>1897</v>
      </c>
      <c r="B232" s="3" t="s">
        <v>1317</v>
      </c>
      <c r="C232" s="683"/>
      <c r="D232" s="3"/>
      <c r="E232" s="683"/>
      <c r="F232" s="3" t="s">
        <v>1744</v>
      </c>
      <c r="G232" s="3"/>
      <c r="H232" s="684">
        <v>31.2</v>
      </c>
      <c r="I232" s="683"/>
      <c r="J232" s="683"/>
      <c r="K232" s="683"/>
      <c r="L232" s="3"/>
      <c r="M232" s="3"/>
      <c r="N232" s="690"/>
      <c r="O232" s="683"/>
      <c r="P232" s="683"/>
      <c r="Q232" s="45"/>
      <c r="R232" s="683"/>
      <c r="S232" s="683"/>
      <c r="T232" s="683"/>
      <c r="U232" s="683"/>
      <c r="V232" s="683"/>
      <c r="W232" s="683"/>
      <c r="X232" s="683"/>
      <c r="Y232" s="683"/>
      <c r="Z232" s="683"/>
    </row>
    <row r="233" spans="1:26" ht="15.75" customHeight="1" x14ac:dyDescent="0.25">
      <c r="A233" s="683" t="s">
        <v>1898</v>
      </c>
      <c r="B233" s="3" t="s">
        <v>1317</v>
      </c>
      <c r="C233" s="683"/>
      <c r="D233" s="3"/>
      <c r="E233" s="683"/>
      <c r="F233" s="3" t="s">
        <v>1748</v>
      </c>
      <c r="G233" s="3"/>
      <c r="H233" s="684">
        <v>55</v>
      </c>
      <c r="I233" s="683" t="s">
        <v>1899</v>
      </c>
      <c r="J233" s="683"/>
      <c r="K233" s="683"/>
      <c r="L233" s="3"/>
      <c r="M233" s="3"/>
      <c r="N233" s="690"/>
      <c r="O233" s="683"/>
      <c r="P233" s="683"/>
      <c r="Q233" s="45"/>
      <c r="R233" s="683"/>
      <c r="S233" s="683"/>
      <c r="T233" s="683"/>
      <c r="U233" s="683"/>
      <c r="V233" s="683"/>
      <c r="W233" s="683"/>
      <c r="X233" s="683"/>
      <c r="Y233" s="683"/>
      <c r="Z233" s="683"/>
    </row>
    <row r="234" spans="1:26" ht="15.75" customHeight="1" x14ac:dyDescent="0.25">
      <c r="A234" s="683" t="s">
        <v>1900</v>
      </c>
      <c r="B234" s="3" t="s">
        <v>1317</v>
      </c>
      <c r="C234" s="683"/>
      <c r="D234" s="3"/>
      <c r="E234" s="683"/>
      <c r="F234" s="3" t="s">
        <v>1901</v>
      </c>
      <c r="G234" s="3"/>
      <c r="H234" s="684">
        <v>15</v>
      </c>
      <c r="I234" s="683"/>
      <c r="J234" s="683"/>
      <c r="K234" s="683"/>
      <c r="L234" s="3"/>
      <c r="M234" s="3"/>
      <c r="N234" s="690"/>
      <c r="O234" s="683"/>
      <c r="P234" s="683"/>
      <c r="Q234" s="45"/>
      <c r="R234" s="683"/>
      <c r="S234" s="683"/>
      <c r="T234" s="683"/>
      <c r="U234" s="683"/>
      <c r="V234" s="683"/>
      <c r="W234" s="683"/>
      <c r="X234" s="683"/>
      <c r="Y234" s="683"/>
      <c r="Z234" s="683"/>
    </row>
    <row r="235" spans="1:26" ht="15.75" customHeight="1" x14ac:dyDescent="0.25">
      <c r="A235" s="683" t="s">
        <v>1902</v>
      </c>
      <c r="B235" s="3" t="s">
        <v>1317</v>
      </c>
      <c r="C235" s="683"/>
      <c r="D235" s="3"/>
      <c r="E235" s="683"/>
      <c r="F235" s="3" t="s">
        <v>1763</v>
      </c>
      <c r="G235" s="3"/>
      <c r="H235" s="684">
        <v>20</v>
      </c>
      <c r="I235" s="683"/>
      <c r="J235" s="683"/>
      <c r="K235" s="683"/>
      <c r="L235" s="3"/>
      <c r="M235" s="3"/>
      <c r="N235" s="690"/>
      <c r="O235" s="683"/>
      <c r="P235" s="683"/>
      <c r="Q235" s="45"/>
      <c r="R235" s="683"/>
      <c r="S235" s="683"/>
      <c r="T235" s="683"/>
      <c r="U235" s="683"/>
      <c r="V235" s="683"/>
      <c r="W235" s="683"/>
      <c r="X235" s="683"/>
      <c r="Y235" s="683"/>
      <c r="Z235" s="683"/>
    </row>
    <row r="236" spans="1:26" ht="15.75" customHeight="1" x14ac:dyDescent="0.25">
      <c r="A236" s="683" t="s">
        <v>1903</v>
      </c>
      <c r="B236" s="3" t="s">
        <v>1317</v>
      </c>
      <c r="C236" s="683"/>
      <c r="D236" s="3"/>
      <c r="E236" s="683"/>
      <c r="F236" s="3" t="s">
        <v>790</v>
      </c>
      <c r="G236" s="3" t="s">
        <v>1801</v>
      </c>
      <c r="H236" s="684">
        <v>15</v>
      </c>
      <c r="I236" s="683"/>
      <c r="J236" s="683"/>
      <c r="K236" s="683"/>
      <c r="L236" s="3"/>
      <c r="M236" s="3"/>
      <c r="N236" s="690"/>
      <c r="O236" s="683"/>
      <c r="P236" s="683"/>
      <c r="Q236" s="45"/>
      <c r="R236" s="683"/>
      <c r="S236" s="683"/>
      <c r="T236" s="683"/>
      <c r="U236" s="683"/>
      <c r="V236" s="683"/>
      <c r="W236" s="683"/>
      <c r="X236" s="683"/>
      <c r="Y236" s="683"/>
      <c r="Z236" s="683"/>
    </row>
    <row r="237" spans="1:26" ht="15.75" customHeight="1" x14ac:dyDescent="0.25">
      <c r="A237" s="683" t="s">
        <v>1904</v>
      </c>
      <c r="B237" s="3" t="s">
        <v>1317</v>
      </c>
      <c r="C237" s="683"/>
      <c r="D237" s="3"/>
      <c r="E237" s="683"/>
      <c r="F237" s="3" t="s">
        <v>1905</v>
      </c>
      <c r="G237" s="3" t="s">
        <v>1906</v>
      </c>
      <c r="H237" s="684">
        <v>15</v>
      </c>
      <c r="I237" s="683"/>
      <c r="J237" s="683"/>
      <c r="K237" s="683"/>
      <c r="L237" s="3"/>
      <c r="M237" s="3"/>
      <c r="N237" s="690"/>
      <c r="O237" s="683"/>
      <c r="P237" s="683"/>
      <c r="Q237" s="45"/>
      <c r="R237" s="683"/>
      <c r="S237" s="683"/>
      <c r="T237" s="683"/>
      <c r="U237" s="683"/>
      <c r="V237" s="683"/>
      <c r="W237" s="683"/>
      <c r="X237" s="683"/>
      <c r="Y237" s="683"/>
      <c r="Z237" s="683"/>
    </row>
    <row r="238" spans="1:26" ht="15.75" customHeight="1" x14ac:dyDescent="0.25">
      <c r="A238" s="683" t="s">
        <v>1907</v>
      </c>
      <c r="B238" s="3" t="s">
        <v>1317</v>
      </c>
      <c r="C238" s="683"/>
      <c r="D238" s="3"/>
      <c r="E238" s="683"/>
      <c r="F238" s="3" t="s">
        <v>312</v>
      </c>
      <c r="G238" s="3" t="s">
        <v>312</v>
      </c>
      <c r="H238" s="684">
        <v>15</v>
      </c>
      <c r="I238" s="683"/>
      <c r="J238" s="683"/>
      <c r="K238" s="683"/>
      <c r="L238" s="3"/>
      <c r="M238" s="3"/>
      <c r="N238" s="690"/>
      <c r="O238" s="683"/>
      <c r="P238" s="683"/>
      <c r="Q238" s="45"/>
      <c r="R238" s="683"/>
      <c r="S238" s="683"/>
      <c r="T238" s="683"/>
      <c r="U238" s="683"/>
      <c r="V238" s="683"/>
      <c r="W238" s="683"/>
      <c r="X238" s="683"/>
      <c r="Y238" s="683"/>
      <c r="Z238" s="683"/>
    </row>
    <row r="239" spans="1:26" ht="15.75" customHeight="1" x14ac:dyDescent="0.25">
      <c r="A239" s="683" t="s">
        <v>1908</v>
      </c>
      <c r="B239" s="3" t="s">
        <v>1317</v>
      </c>
      <c r="C239" s="683"/>
      <c r="D239" s="3"/>
      <c r="E239" s="683"/>
      <c r="F239" s="3" t="s">
        <v>936</v>
      </c>
      <c r="G239" s="3" t="s">
        <v>1807</v>
      </c>
      <c r="H239" s="684">
        <v>17</v>
      </c>
      <c r="I239" s="683"/>
      <c r="J239" s="683"/>
      <c r="K239" s="683"/>
      <c r="L239" s="3"/>
      <c r="M239" s="3"/>
      <c r="N239" s="690"/>
      <c r="O239" s="683"/>
      <c r="P239" s="683"/>
      <c r="Q239" s="45"/>
      <c r="R239" s="683"/>
      <c r="S239" s="683"/>
      <c r="T239" s="683"/>
      <c r="U239" s="683"/>
      <c r="V239" s="683"/>
      <c r="W239" s="683"/>
      <c r="X239" s="683"/>
      <c r="Y239" s="683"/>
      <c r="Z239" s="683"/>
    </row>
    <row r="240" spans="1:26" ht="15.75" customHeight="1" x14ac:dyDescent="0.25">
      <c r="A240" s="683" t="s">
        <v>1909</v>
      </c>
      <c r="B240" s="683" t="s">
        <v>1317</v>
      </c>
      <c r="C240" s="683"/>
      <c r="D240" s="3"/>
      <c r="E240" s="683"/>
      <c r="F240" s="3" t="s">
        <v>778</v>
      </c>
      <c r="G240" s="3" t="s">
        <v>1763</v>
      </c>
      <c r="H240" s="684">
        <v>20</v>
      </c>
      <c r="I240" s="683"/>
      <c r="J240" s="683"/>
      <c r="K240" s="683"/>
      <c r="L240" s="3"/>
      <c r="M240" s="3"/>
      <c r="N240" s="690"/>
      <c r="O240" s="683"/>
      <c r="P240" s="683"/>
      <c r="Q240" s="45"/>
      <c r="R240" s="683"/>
      <c r="S240" s="683"/>
      <c r="T240" s="683"/>
      <c r="U240" s="683"/>
      <c r="V240" s="683"/>
      <c r="W240" s="683"/>
      <c r="X240" s="683"/>
      <c r="Y240" s="683"/>
      <c r="Z240" s="683"/>
    </row>
    <row r="241" spans="1:26" ht="15.75" customHeight="1" x14ac:dyDescent="0.25">
      <c r="A241" s="683" t="s">
        <v>1910</v>
      </c>
      <c r="B241" s="683" t="s">
        <v>1317</v>
      </c>
      <c r="C241" s="683"/>
      <c r="D241" s="3"/>
      <c r="E241" s="683"/>
      <c r="F241" s="3" t="s">
        <v>1808</v>
      </c>
      <c r="G241" s="3" t="s">
        <v>1809</v>
      </c>
      <c r="H241" s="684">
        <v>5</v>
      </c>
      <c r="I241" s="683"/>
      <c r="J241" s="683"/>
      <c r="K241" s="683"/>
      <c r="L241" s="3"/>
      <c r="M241" s="3"/>
      <c r="N241" s="690"/>
      <c r="O241" s="683"/>
      <c r="P241" s="683"/>
      <c r="Q241" s="45"/>
      <c r="R241" s="683"/>
      <c r="S241" s="683"/>
      <c r="T241" s="683"/>
      <c r="U241" s="683"/>
      <c r="V241" s="683"/>
      <c r="W241" s="683"/>
      <c r="X241" s="683"/>
      <c r="Y241" s="683"/>
      <c r="Z241" s="683"/>
    </row>
    <row r="242" spans="1:26" ht="15.75" customHeight="1" x14ac:dyDescent="0.25">
      <c r="A242" s="683" t="s">
        <v>1911</v>
      </c>
      <c r="B242" s="683" t="s">
        <v>1317</v>
      </c>
      <c r="C242" s="683"/>
      <c r="D242" s="3"/>
      <c r="E242" s="683"/>
      <c r="F242" s="3" t="s">
        <v>1757</v>
      </c>
      <c r="G242" s="3"/>
      <c r="H242" s="684">
        <v>44</v>
      </c>
      <c r="I242" s="683"/>
      <c r="J242" s="683"/>
      <c r="K242" s="683"/>
      <c r="L242" s="3"/>
      <c r="M242" s="3"/>
      <c r="N242" s="690"/>
      <c r="O242" s="683"/>
      <c r="P242" s="683"/>
      <c r="Q242" s="45"/>
      <c r="R242" s="683"/>
      <c r="S242" s="683"/>
      <c r="T242" s="683"/>
      <c r="U242" s="683"/>
      <c r="V242" s="683"/>
      <c r="W242" s="683"/>
      <c r="X242" s="683"/>
      <c r="Y242" s="683"/>
      <c r="Z242" s="683"/>
    </row>
    <row r="243" spans="1:26" ht="15.75" customHeight="1" x14ac:dyDescent="0.25">
      <c r="A243" s="683" t="s">
        <v>1912</v>
      </c>
      <c r="B243" s="683" t="s">
        <v>1317</v>
      </c>
      <c r="C243" s="683"/>
      <c r="D243" s="3"/>
      <c r="E243" s="683"/>
      <c r="F243" s="3" t="s">
        <v>710</v>
      </c>
      <c r="G243" s="3" t="s">
        <v>1757</v>
      </c>
      <c r="H243" s="684">
        <v>44</v>
      </c>
      <c r="I243" s="683"/>
      <c r="J243" s="683"/>
      <c r="K243" s="683"/>
      <c r="L243" s="3"/>
      <c r="M243" s="3"/>
      <c r="N243" s="690"/>
      <c r="O243" s="683"/>
      <c r="P243" s="683"/>
      <c r="Q243" s="45"/>
      <c r="R243" s="683"/>
      <c r="S243" s="683"/>
      <c r="T243" s="683"/>
      <c r="U243" s="683"/>
      <c r="V243" s="683"/>
      <c r="W243" s="683"/>
      <c r="X243" s="683"/>
      <c r="Y243" s="683"/>
      <c r="Z243" s="683"/>
    </row>
    <row r="244" spans="1:26" ht="15.75" customHeight="1" x14ac:dyDescent="0.25">
      <c r="A244" s="683" t="s">
        <v>43</v>
      </c>
      <c r="B244" s="683" t="s">
        <v>1317</v>
      </c>
      <c r="C244" s="683"/>
      <c r="D244" s="3"/>
      <c r="E244" s="683"/>
      <c r="F244" s="3" t="s">
        <v>1746</v>
      </c>
      <c r="G244" s="3" t="s">
        <v>1746</v>
      </c>
      <c r="H244" s="684">
        <v>38</v>
      </c>
      <c r="I244" s="683"/>
      <c r="J244" s="683"/>
      <c r="K244" s="683"/>
      <c r="L244" s="3"/>
      <c r="M244" s="3"/>
      <c r="N244" s="690"/>
      <c r="O244" s="683"/>
      <c r="P244" s="683"/>
      <c r="Q244" s="45"/>
      <c r="R244" s="683"/>
      <c r="S244" s="683"/>
      <c r="T244" s="683"/>
      <c r="U244" s="683"/>
      <c r="V244" s="683"/>
      <c r="W244" s="683"/>
      <c r="X244" s="683"/>
      <c r="Y244" s="683"/>
      <c r="Z244" s="683"/>
    </row>
    <row r="245" spans="1:26" ht="15.75" customHeight="1" x14ac:dyDescent="0.25">
      <c r="A245" s="3" t="s">
        <v>1913</v>
      </c>
      <c r="B245" s="683" t="s">
        <v>1317</v>
      </c>
      <c r="C245" s="683"/>
      <c r="D245" s="3"/>
      <c r="E245" s="683"/>
      <c r="F245" s="3" t="s">
        <v>192</v>
      </c>
      <c r="G245" s="3" t="s">
        <v>1757</v>
      </c>
      <c r="H245" s="684">
        <v>44</v>
      </c>
      <c r="I245" s="683"/>
      <c r="J245" s="683"/>
      <c r="K245" s="683"/>
      <c r="L245" s="3"/>
      <c r="M245" s="3"/>
      <c r="N245" s="690"/>
      <c r="O245" s="683"/>
      <c r="P245" s="683"/>
      <c r="Q245" s="45"/>
      <c r="R245" s="683"/>
      <c r="S245" s="683"/>
      <c r="T245" s="683"/>
      <c r="U245" s="683"/>
      <c r="V245" s="683"/>
      <c r="W245" s="683"/>
      <c r="X245" s="683"/>
      <c r="Y245" s="683"/>
      <c r="Z245" s="683"/>
    </row>
    <row r="246" spans="1:26" ht="15.75" customHeight="1" x14ac:dyDescent="0.25">
      <c r="A246" s="683" t="s">
        <v>1914</v>
      </c>
      <c r="B246" s="683" t="s">
        <v>1317</v>
      </c>
      <c r="C246" s="683"/>
      <c r="D246" s="3"/>
      <c r="E246" s="683"/>
      <c r="F246" s="3" t="s">
        <v>754</v>
      </c>
      <c r="G246" s="3" t="s">
        <v>1759</v>
      </c>
      <c r="H246" s="684">
        <v>42</v>
      </c>
      <c r="I246" s="683"/>
      <c r="J246" s="683"/>
      <c r="K246" s="683"/>
      <c r="L246" s="3"/>
      <c r="M246" s="3"/>
      <c r="N246" s="690"/>
      <c r="O246" s="683"/>
      <c r="P246" s="683"/>
      <c r="Q246" s="45"/>
      <c r="R246" s="683"/>
      <c r="S246" s="683"/>
      <c r="T246" s="683"/>
      <c r="U246" s="683"/>
      <c r="V246" s="683"/>
      <c r="W246" s="683"/>
      <c r="X246" s="683"/>
      <c r="Y246" s="683"/>
      <c r="Z246" s="683"/>
    </row>
    <row r="247" spans="1:26" ht="15.75" customHeight="1" x14ac:dyDescent="0.25">
      <c r="A247" s="683" t="s">
        <v>1915</v>
      </c>
      <c r="B247" s="3" t="s">
        <v>1317</v>
      </c>
      <c r="C247" s="683"/>
      <c r="D247" s="3"/>
      <c r="E247" s="683"/>
      <c r="F247" s="3" t="s">
        <v>734</v>
      </c>
      <c r="G247" s="3" t="s">
        <v>1916</v>
      </c>
      <c r="H247" s="684">
        <v>37</v>
      </c>
      <c r="I247" s="683"/>
      <c r="J247" s="683"/>
      <c r="K247" s="683"/>
      <c r="L247" s="3"/>
      <c r="M247" s="3"/>
      <c r="N247" s="690"/>
      <c r="O247" s="683"/>
      <c r="P247" s="683"/>
      <c r="Q247" s="683"/>
      <c r="R247" s="683"/>
      <c r="S247" s="683"/>
      <c r="T247" s="683"/>
      <c r="U247" s="683"/>
      <c r="V247" s="683"/>
      <c r="W247" s="683"/>
      <c r="X247" s="683"/>
      <c r="Y247" s="683"/>
      <c r="Z247" s="683"/>
    </row>
    <row r="248" spans="1:26" ht="15.75" customHeight="1" x14ac:dyDescent="0.25">
      <c r="A248" s="3" t="s">
        <v>1917</v>
      </c>
      <c r="B248" s="3" t="s">
        <v>1317</v>
      </c>
      <c r="C248" s="683"/>
      <c r="D248" s="3"/>
      <c r="E248" s="683"/>
      <c r="F248" s="3" t="s">
        <v>1004</v>
      </c>
      <c r="G248" s="3" t="s">
        <v>493</v>
      </c>
      <c r="H248" s="684">
        <v>44</v>
      </c>
      <c r="I248" s="683"/>
      <c r="J248" s="683"/>
      <c r="K248" s="683"/>
      <c r="L248" s="3"/>
      <c r="M248" s="3"/>
      <c r="N248" s="690"/>
      <c r="O248" s="683"/>
      <c r="P248" s="683"/>
      <c r="Q248" s="3"/>
      <c r="R248" s="3"/>
      <c r="S248" s="45"/>
      <c r="T248" s="683"/>
      <c r="U248" s="683"/>
      <c r="V248" s="683"/>
      <c r="W248" s="683"/>
      <c r="X248" s="683"/>
      <c r="Y248" s="683"/>
      <c r="Z248" s="683"/>
    </row>
    <row r="249" spans="1:26" ht="15.75" customHeight="1" x14ac:dyDescent="0.25">
      <c r="A249" s="683" t="s">
        <v>1918</v>
      </c>
      <c r="B249" s="683" t="s">
        <v>1317</v>
      </c>
      <c r="C249" s="683"/>
      <c r="D249" s="3"/>
      <c r="E249" s="683"/>
      <c r="F249" s="3" t="s">
        <v>1417</v>
      </c>
      <c r="G249" s="3" t="s">
        <v>1753</v>
      </c>
      <c r="H249" s="684">
        <v>40</v>
      </c>
      <c r="I249" s="683"/>
      <c r="J249" s="683"/>
      <c r="K249" s="683"/>
      <c r="L249" s="3"/>
      <c r="M249" s="3"/>
      <c r="N249" s="690"/>
      <c r="O249" s="683"/>
      <c r="P249" s="683"/>
      <c r="Q249" s="3"/>
      <c r="R249" s="3"/>
      <c r="S249" s="45"/>
      <c r="T249" s="683"/>
      <c r="U249" s="683"/>
      <c r="V249" s="683"/>
      <c r="W249" s="683"/>
      <c r="X249" s="683"/>
      <c r="Y249" s="683"/>
      <c r="Z249" s="683"/>
    </row>
    <row r="250" spans="1:26" ht="15" customHeight="1" x14ac:dyDescent="0.25">
      <c r="A250" s="683" t="s">
        <v>1919</v>
      </c>
      <c r="B250" s="683" t="s">
        <v>1317</v>
      </c>
      <c r="C250" s="683"/>
      <c r="D250" s="3"/>
      <c r="E250" s="683"/>
      <c r="F250" s="3" t="s">
        <v>860</v>
      </c>
      <c r="G250" s="3" t="s">
        <v>1920</v>
      </c>
      <c r="H250" s="684">
        <v>39</v>
      </c>
      <c r="I250" s="683"/>
      <c r="J250" s="683"/>
      <c r="K250" s="683"/>
      <c r="L250" s="3"/>
      <c r="M250" s="3"/>
      <c r="N250" s="690"/>
      <c r="O250" s="683"/>
      <c r="P250" s="683"/>
      <c r="Q250" s="3"/>
      <c r="R250" s="3"/>
      <c r="S250" s="45"/>
      <c r="T250" s="683"/>
      <c r="U250" s="683"/>
      <c r="V250" s="683"/>
      <c r="W250" s="683"/>
      <c r="X250" s="683"/>
      <c r="Y250" s="683"/>
      <c r="Z250" s="683"/>
    </row>
    <row r="251" spans="1:26" ht="15" customHeight="1" x14ac:dyDescent="0.25">
      <c r="A251" s="19" t="s">
        <v>1921</v>
      </c>
      <c r="B251" s="683" t="s">
        <v>1317</v>
      </c>
      <c r="C251" s="683"/>
      <c r="D251" s="3"/>
      <c r="E251" s="683"/>
      <c r="F251" s="38" t="s">
        <v>295</v>
      </c>
      <c r="G251" s="38" t="s">
        <v>295</v>
      </c>
      <c r="H251" s="38">
        <v>32.625</v>
      </c>
      <c r="I251" s="683"/>
      <c r="J251" s="683"/>
      <c r="K251" s="683"/>
      <c r="L251" s="3"/>
      <c r="M251" s="3"/>
      <c r="N251" s="690"/>
      <c r="O251" s="683"/>
      <c r="P251" s="683"/>
      <c r="Q251" s="3"/>
      <c r="R251" s="3"/>
      <c r="S251" s="45"/>
      <c r="T251" s="683"/>
      <c r="U251" s="683"/>
      <c r="V251" s="683"/>
      <c r="W251" s="683"/>
      <c r="X251" s="683"/>
      <c r="Y251" s="683"/>
      <c r="Z251" s="683"/>
    </row>
    <row r="252" spans="1:26" ht="15" customHeight="1" x14ac:dyDescent="0.25">
      <c r="A252" s="683" t="s">
        <v>1922</v>
      </c>
      <c r="B252" s="683" t="s">
        <v>1317</v>
      </c>
      <c r="C252" s="683"/>
      <c r="D252" s="3"/>
      <c r="E252" s="683"/>
      <c r="F252" s="3" t="s">
        <v>1373</v>
      </c>
      <c r="G252" s="3" t="s">
        <v>1755</v>
      </c>
      <c r="H252" s="684">
        <v>38</v>
      </c>
      <c r="I252" s="683"/>
      <c r="J252" s="683"/>
      <c r="K252" s="683"/>
      <c r="L252" s="3"/>
      <c r="M252" s="3"/>
      <c r="N252" s="690"/>
      <c r="O252" s="683"/>
      <c r="P252" s="683"/>
      <c r="Q252" s="3"/>
      <c r="R252" s="3"/>
      <c r="S252" s="45"/>
      <c r="T252" s="683"/>
      <c r="U252" s="683"/>
      <c r="V252" s="683"/>
      <c r="W252" s="683"/>
      <c r="X252" s="683"/>
      <c r="Y252" s="683"/>
      <c r="Z252" s="683"/>
    </row>
    <row r="253" spans="1:26" ht="15" customHeight="1" x14ac:dyDescent="0.25">
      <c r="A253" s="3" t="s">
        <v>1923</v>
      </c>
      <c r="B253" s="683" t="s">
        <v>1317</v>
      </c>
      <c r="C253" s="683"/>
      <c r="D253" s="3"/>
      <c r="E253" s="683"/>
      <c r="F253" s="3" t="s">
        <v>1761</v>
      </c>
      <c r="G253" s="3" t="s">
        <v>1762</v>
      </c>
      <c r="H253" s="684">
        <v>38</v>
      </c>
      <c r="I253" s="683"/>
      <c r="J253" s="683"/>
      <c r="K253" s="683"/>
      <c r="L253" s="3"/>
      <c r="M253" s="3"/>
      <c r="N253" s="690"/>
      <c r="O253" s="683"/>
      <c r="P253" s="683"/>
      <c r="Q253" s="3"/>
      <c r="R253" s="3"/>
      <c r="S253" s="45"/>
      <c r="T253" s="683"/>
      <c r="U253" s="683"/>
      <c r="V253" s="683"/>
      <c r="W253" s="683"/>
      <c r="X253" s="683"/>
      <c r="Y253" s="683"/>
      <c r="Z253" s="683"/>
    </row>
    <row r="254" spans="1:26" ht="15" customHeight="1" x14ac:dyDescent="0.25">
      <c r="A254" s="3" t="s">
        <v>1924</v>
      </c>
      <c r="B254" s="683" t="s">
        <v>1317</v>
      </c>
      <c r="C254" s="683"/>
      <c r="D254" s="3"/>
      <c r="E254" s="683"/>
      <c r="F254" s="3" t="s">
        <v>863</v>
      </c>
      <c r="G254" s="3" t="s">
        <v>1925</v>
      </c>
      <c r="H254" s="684">
        <v>36</v>
      </c>
      <c r="I254" s="3" t="s">
        <v>1868</v>
      </c>
      <c r="J254" s="683"/>
      <c r="K254" s="683"/>
      <c r="L254" s="3"/>
      <c r="M254" s="3"/>
      <c r="N254" s="690"/>
      <c r="O254" s="683"/>
      <c r="P254" s="683"/>
      <c r="Q254" s="3"/>
      <c r="R254" s="3"/>
      <c r="S254" s="45"/>
      <c r="T254" s="683"/>
      <c r="U254" s="683"/>
      <c r="V254" s="683"/>
      <c r="W254" s="683"/>
      <c r="X254" s="683"/>
      <c r="Y254" s="683"/>
      <c r="Z254" s="683"/>
    </row>
    <row r="255" spans="1:26" ht="15" customHeight="1" x14ac:dyDescent="0.25">
      <c r="A255" s="3" t="s">
        <v>1926</v>
      </c>
      <c r="B255" s="683" t="s">
        <v>1317</v>
      </c>
      <c r="C255" s="683"/>
      <c r="D255" s="3"/>
      <c r="E255" s="683"/>
      <c r="F255" s="3" t="s">
        <v>1079</v>
      </c>
      <c r="G255" s="3" t="s">
        <v>1740</v>
      </c>
      <c r="H255" s="684">
        <v>32</v>
      </c>
      <c r="I255" s="3"/>
      <c r="J255" s="683"/>
      <c r="K255" s="683"/>
      <c r="L255" s="3"/>
      <c r="M255" s="3"/>
      <c r="N255" s="690"/>
      <c r="O255" s="683"/>
      <c r="P255" s="683"/>
      <c r="Q255" s="3"/>
      <c r="R255" s="3"/>
      <c r="S255" s="45"/>
      <c r="T255" s="683"/>
      <c r="U255" s="683"/>
      <c r="V255" s="683"/>
      <c r="W255" s="683"/>
      <c r="X255" s="683"/>
      <c r="Y255" s="683"/>
      <c r="Z255" s="683"/>
    </row>
    <row r="256" spans="1:26" ht="15" customHeight="1" x14ac:dyDescent="0.25">
      <c r="A256" s="3" t="s">
        <v>1927</v>
      </c>
      <c r="B256" s="683" t="s">
        <v>1317</v>
      </c>
      <c r="C256" s="683"/>
      <c r="D256" s="3"/>
      <c r="E256" s="683"/>
      <c r="F256" s="3" t="s">
        <v>217</v>
      </c>
      <c r="G256" s="3" t="s">
        <v>1928</v>
      </c>
      <c r="H256" s="684">
        <v>31</v>
      </c>
      <c r="I256" s="3"/>
      <c r="J256" s="683"/>
      <c r="K256" s="683"/>
      <c r="L256" s="3"/>
      <c r="M256" s="3"/>
      <c r="N256" s="690"/>
      <c r="O256" s="683"/>
      <c r="P256" s="683"/>
      <c r="Q256" s="3"/>
      <c r="R256" s="3"/>
      <c r="S256" s="45"/>
      <c r="T256" s="683"/>
      <c r="U256" s="683"/>
      <c r="V256" s="683"/>
      <c r="W256" s="683"/>
      <c r="X256" s="683"/>
      <c r="Y256" s="683"/>
      <c r="Z256" s="683"/>
    </row>
    <row r="257" spans="1:26" ht="15" customHeight="1" x14ac:dyDescent="0.25">
      <c r="A257" s="3" t="s">
        <v>1929</v>
      </c>
      <c r="B257" s="683" t="s">
        <v>1317</v>
      </c>
      <c r="C257" s="683"/>
      <c r="D257" s="3"/>
      <c r="E257" s="683"/>
      <c r="J257" s="683"/>
      <c r="K257" s="683"/>
      <c r="L257" s="3"/>
      <c r="M257" s="3"/>
      <c r="N257" s="690"/>
      <c r="O257" s="683"/>
      <c r="P257" s="683"/>
      <c r="Q257" s="3"/>
      <c r="R257" s="3"/>
      <c r="S257" s="45"/>
      <c r="T257" s="683"/>
      <c r="U257" s="683"/>
      <c r="V257" s="683"/>
      <c r="W257" s="683"/>
      <c r="X257" s="683"/>
      <c r="Y257" s="683"/>
      <c r="Z257" s="683"/>
    </row>
    <row r="258" spans="1:26" ht="15" customHeight="1" x14ac:dyDescent="0.25">
      <c r="A258" s="3" t="s">
        <v>1930</v>
      </c>
      <c r="B258" s="683" t="s">
        <v>1317</v>
      </c>
      <c r="C258" s="683"/>
      <c r="D258" s="3"/>
      <c r="E258" s="683"/>
      <c r="J258" s="683"/>
      <c r="K258" s="683"/>
      <c r="L258" s="3"/>
      <c r="M258" s="3"/>
      <c r="N258" s="690"/>
      <c r="O258" s="683"/>
      <c r="P258" s="683"/>
      <c r="Q258" s="3"/>
      <c r="R258" s="3"/>
      <c r="S258" s="45"/>
      <c r="T258" s="683"/>
      <c r="U258" s="683"/>
      <c r="V258" s="683"/>
      <c r="W258" s="683"/>
      <c r="X258" s="683"/>
      <c r="Y258" s="683"/>
      <c r="Z258" s="683"/>
    </row>
    <row r="259" spans="1:26" ht="15" customHeight="1" x14ac:dyDescent="0.25">
      <c r="A259" s="3" t="s">
        <v>1931</v>
      </c>
      <c r="B259" s="683" t="s">
        <v>1317</v>
      </c>
      <c r="C259" s="683"/>
      <c r="D259" s="3"/>
      <c r="E259" s="683"/>
      <c r="J259" s="683"/>
      <c r="K259" s="683"/>
      <c r="L259" s="3"/>
      <c r="M259" s="3"/>
      <c r="N259" s="690"/>
      <c r="O259" s="683"/>
      <c r="P259" s="683"/>
      <c r="Q259" s="3"/>
      <c r="R259" s="3"/>
      <c r="S259" s="45"/>
      <c r="T259" s="683"/>
      <c r="U259" s="683"/>
      <c r="V259" s="683"/>
      <c r="W259" s="683"/>
      <c r="X259" s="683"/>
      <c r="Y259" s="683"/>
      <c r="Z259" s="683"/>
    </row>
    <row r="260" spans="1:26" ht="15" customHeight="1" x14ac:dyDescent="0.25">
      <c r="A260" s="3" t="s">
        <v>1932</v>
      </c>
      <c r="B260" s="683" t="s">
        <v>1317</v>
      </c>
      <c r="C260" s="683"/>
      <c r="D260" s="3"/>
      <c r="E260" s="683"/>
      <c r="J260" s="683"/>
      <c r="K260" s="683"/>
      <c r="L260" s="3"/>
      <c r="M260" s="3"/>
      <c r="N260" s="690"/>
      <c r="O260" s="683"/>
      <c r="P260" s="683"/>
      <c r="Q260" s="3"/>
      <c r="R260" s="3"/>
      <c r="S260" s="45"/>
      <c r="T260" s="683"/>
      <c r="U260" s="683"/>
      <c r="V260" s="683"/>
      <c r="W260" s="683"/>
      <c r="X260" s="683"/>
      <c r="Y260" s="683"/>
      <c r="Z260" s="683"/>
    </row>
    <row r="261" spans="1:26" ht="15" customHeight="1" x14ac:dyDescent="0.25">
      <c r="A261" s="3" t="s">
        <v>1933</v>
      </c>
      <c r="B261" s="683" t="s">
        <v>1317</v>
      </c>
      <c r="C261" s="683"/>
      <c r="D261" s="3"/>
      <c r="E261" s="683"/>
      <c r="J261" s="683"/>
      <c r="K261" s="683"/>
      <c r="L261" s="3"/>
      <c r="M261" s="3"/>
      <c r="N261" s="690"/>
      <c r="O261" s="683"/>
      <c r="P261" s="683"/>
      <c r="Q261" s="3"/>
      <c r="R261" s="3"/>
      <c r="S261" s="45"/>
      <c r="T261" s="683"/>
      <c r="U261" s="683"/>
      <c r="V261" s="683"/>
      <c r="W261" s="683"/>
      <c r="X261" s="683"/>
      <c r="Y261" s="683"/>
      <c r="Z261" s="683"/>
    </row>
    <row r="262" spans="1:26" ht="15" customHeight="1" x14ac:dyDescent="0.25">
      <c r="A262" s="3" t="s">
        <v>1934</v>
      </c>
      <c r="B262" s="683" t="s">
        <v>1317</v>
      </c>
      <c r="C262" s="683"/>
      <c r="D262" s="3"/>
      <c r="E262" s="683"/>
      <c r="J262" s="683"/>
      <c r="K262" s="683"/>
      <c r="L262" s="3"/>
      <c r="M262" s="3"/>
      <c r="N262" s="690"/>
      <c r="O262" s="683"/>
      <c r="P262" s="683"/>
      <c r="Q262" s="3"/>
      <c r="R262" s="3"/>
      <c r="S262" s="45"/>
      <c r="T262" s="683"/>
      <c r="U262" s="683"/>
      <c r="V262" s="683"/>
      <c r="W262" s="683"/>
      <c r="X262" s="683"/>
      <c r="Y262" s="683"/>
      <c r="Z262" s="683"/>
    </row>
    <row r="263" spans="1:26" ht="15" customHeight="1" x14ac:dyDescent="0.25">
      <c r="A263" s="3" t="s">
        <v>1935</v>
      </c>
      <c r="B263" s="683" t="s">
        <v>1317</v>
      </c>
      <c r="C263" s="683"/>
      <c r="D263" s="3"/>
      <c r="E263" s="683"/>
      <c r="J263" s="683"/>
      <c r="K263" s="683"/>
      <c r="L263" s="3"/>
      <c r="M263" s="3"/>
      <c r="N263" s="690"/>
      <c r="O263" s="683"/>
      <c r="P263" s="683"/>
      <c r="Q263" s="3"/>
      <c r="R263" s="3"/>
      <c r="S263" s="45"/>
      <c r="T263" s="683"/>
      <c r="U263" s="683"/>
      <c r="V263" s="683"/>
      <c r="W263" s="683"/>
      <c r="X263" s="683"/>
      <c r="Y263" s="683"/>
      <c r="Z263" s="683"/>
    </row>
    <row r="264" spans="1:26" ht="15" customHeight="1" x14ac:dyDescent="0.25">
      <c r="A264" s="3" t="s">
        <v>1936</v>
      </c>
      <c r="B264" s="683" t="s">
        <v>1317</v>
      </c>
      <c r="C264" s="683"/>
      <c r="D264" s="3"/>
      <c r="E264" s="683"/>
      <c r="J264" s="683"/>
      <c r="K264" s="683"/>
      <c r="L264" s="3"/>
      <c r="M264" s="3"/>
      <c r="N264" s="690"/>
      <c r="O264" s="683"/>
      <c r="P264" s="683"/>
      <c r="Q264" s="3"/>
      <c r="R264" s="3"/>
      <c r="S264" s="45"/>
      <c r="T264" s="683"/>
      <c r="U264" s="683"/>
      <c r="V264" s="683"/>
      <c r="W264" s="683"/>
      <c r="X264" s="683"/>
      <c r="Y264" s="683"/>
      <c r="Z264" s="683"/>
    </row>
    <row r="265" spans="1:26" ht="15" customHeight="1" x14ac:dyDescent="0.25">
      <c r="A265" s="3" t="s">
        <v>1937</v>
      </c>
      <c r="B265" s="683" t="s">
        <v>1317</v>
      </c>
      <c r="C265" s="683"/>
      <c r="D265" s="3"/>
      <c r="E265" s="683"/>
      <c r="J265" s="683"/>
      <c r="K265" s="683"/>
      <c r="L265" s="3"/>
      <c r="M265" s="3"/>
      <c r="N265" s="690"/>
      <c r="O265" s="683"/>
      <c r="P265" s="683"/>
      <c r="Q265" s="3"/>
      <c r="R265" s="3"/>
      <c r="S265" s="45"/>
      <c r="T265" s="683"/>
      <c r="U265" s="683"/>
      <c r="V265" s="683"/>
      <c r="W265" s="683"/>
      <c r="X265" s="683"/>
      <c r="Y265" s="683"/>
      <c r="Z265" s="683"/>
    </row>
    <row r="266" spans="1:26" ht="15" customHeight="1" x14ac:dyDescent="0.25">
      <c r="A266" s="3" t="s">
        <v>1938</v>
      </c>
      <c r="B266" s="683" t="s">
        <v>1317</v>
      </c>
      <c r="C266" s="683"/>
      <c r="D266" s="3"/>
      <c r="E266" s="683"/>
      <c r="J266" s="683"/>
      <c r="K266" s="683"/>
      <c r="L266" s="3"/>
      <c r="M266" s="3"/>
      <c r="N266" s="690"/>
      <c r="O266" s="683"/>
      <c r="P266" s="683"/>
      <c r="Q266" s="3"/>
      <c r="R266" s="3"/>
      <c r="S266" s="45"/>
      <c r="T266" s="683"/>
      <c r="U266" s="683"/>
      <c r="V266" s="683"/>
      <c r="W266" s="683"/>
      <c r="X266" s="683"/>
      <c r="Y266" s="683"/>
      <c r="Z266" s="683"/>
    </row>
    <row r="267" spans="1:26" ht="15" customHeight="1" x14ac:dyDescent="0.25">
      <c r="A267" s="3" t="s">
        <v>1939</v>
      </c>
      <c r="B267" s="683" t="s">
        <v>1317</v>
      </c>
      <c r="C267" s="683"/>
      <c r="D267" s="3"/>
      <c r="E267" s="683"/>
      <c r="J267" s="683"/>
      <c r="K267" s="683"/>
      <c r="L267" s="3"/>
      <c r="M267" s="3"/>
      <c r="N267" s="690"/>
      <c r="O267" s="683"/>
      <c r="P267" s="683"/>
      <c r="Q267" s="3"/>
      <c r="R267" s="3"/>
      <c r="S267" s="45"/>
      <c r="T267" s="683"/>
      <c r="U267" s="683"/>
      <c r="V267" s="683"/>
      <c r="W267" s="683"/>
      <c r="X267" s="683"/>
      <c r="Y267" s="683"/>
      <c r="Z267" s="683"/>
    </row>
    <row r="268" spans="1:26" ht="15" customHeight="1" x14ac:dyDescent="0.25">
      <c r="A268" s="3" t="s">
        <v>1940</v>
      </c>
      <c r="B268" s="683" t="s">
        <v>1317</v>
      </c>
      <c r="C268" s="683"/>
      <c r="D268" s="3"/>
      <c r="E268" s="683"/>
      <c r="J268" s="683"/>
      <c r="K268" s="683"/>
      <c r="L268" s="3"/>
      <c r="M268" s="3"/>
      <c r="N268" s="690"/>
      <c r="O268" s="683"/>
      <c r="P268" s="683"/>
      <c r="Q268" s="3"/>
      <c r="R268" s="3"/>
      <c r="S268" s="45"/>
      <c r="T268" s="683"/>
      <c r="U268" s="683"/>
      <c r="V268" s="683"/>
      <c r="W268" s="683"/>
      <c r="X268" s="683"/>
      <c r="Y268" s="683"/>
      <c r="Z268" s="683"/>
    </row>
    <row r="269" spans="1:26" ht="15" customHeight="1" x14ac:dyDescent="0.25">
      <c r="A269" s="3" t="s">
        <v>1941</v>
      </c>
      <c r="B269" s="683" t="s">
        <v>1317</v>
      </c>
      <c r="C269" s="683"/>
      <c r="D269" s="3"/>
      <c r="E269" s="683"/>
      <c r="J269" s="683"/>
      <c r="K269" s="683"/>
      <c r="L269" s="3"/>
      <c r="M269" s="3"/>
      <c r="N269" s="690"/>
      <c r="O269" s="683"/>
      <c r="P269" s="683"/>
      <c r="Q269" s="3"/>
      <c r="R269" s="3"/>
      <c r="S269" s="45"/>
      <c r="T269" s="683"/>
      <c r="U269" s="683"/>
      <c r="V269" s="683"/>
      <c r="W269" s="683"/>
      <c r="X269" s="683"/>
      <c r="Y269" s="683"/>
      <c r="Z269" s="683"/>
    </row>
    <row r="270" spans="1:26" ht="15" customHeight="1" x14ac:dyDescent="0.25">
      <c r="A270" s="3" t="s">
        <v>1942</v>
      </c>
      <c r="B270" s="683" t="s">
        <v>1317</v>
      </c>
      <c r="C270" s="683"/>
      <c r="D270" s="3"/>
      <c r="E270" s="683"/>
      <c r="J270" s="683"/>
      <c r="K270" s="683"/>
      <c r="L270" s="3"/>
      <c r="M270" s="3"/>
      <c r="N270" s="690"/>
      <c r="O270" s="683"/>
      <c r="P270" s="683"/>
      <c r="Q270" s="3"/>
      <c r="R270" s="3"/>
      <c r="S270" s="45"/>
      <c r="T270" s="683"/>
      <c r="U270" s="683"/>
      <c r="V270" s="683"/>
      <c r="W270" s="683"/>
      <c r="X270" s="683"/>
      <c r="Y270" s="683"/>
      <c r="Z270" s="683"/>
    </row>
    <row r="271" spans="1:26" ht="15" customHeight="1" x14ac:dyDescent="0.25">
      <c r="A271" s="3" t="s">
        <v>1943</v>
      </c>
      <c r="B271" s="683" t="s">
        <v>1317</v>
      </c>
      <c r="C271" s="683"/>
      <c r="D271" s="3"/>
      <c r="E271" s="683"/>
      <c r="J271" s="683"/>
      <c r="K271" s="683"/>
      <c r="L271" s="3"/>
      <c r="M271" s="3"/>
      <c r="N271" s="690"/>
      <c r="O271" s="683"/>
      <c r="P271" s="683"/>
      <c r="Q271" s="3"/>
      <c r="R271" s="3"/>
      <c r="S271" s="45"/>
      <c r="T271" s="683"/>
      <c r="U271" s="683"/>
      <c r="V271" s="683"/>
      <c r="W271" s="683"/>
      <c r="X271" s="683"/>
      <c r="Y271" s="683"/>
      <c r="Z271" s="683"/>
    </row>
    <row r="272" spans="1:26" ht="15" customHeight="1" x14ac:dyDescent="0.25">
      <c r="A272" s="3" t="s">
        <v>1944</v>
      </c>
      <c r="B272" s="683" t="s">
        <v>1317</v>
      </c>
      <c r="C272" s="683"/>
      <c r="D272" s="3"/>
      <c r="E272" s="683"/>
      <c r="J272" s="3"/>
      <c r="K272" s="3"/>
      <c r="L272" s="3"/>
      <c r="M272" s="3"/>
      <c r="N272" s="690"/>
      <c r="O272" s="683"/>
      <c r="P272" s="683"/>
      <c r="Q272" s="3"/>
      <c r="R272" s="3"/>
      <c r="S272" s="45"/>
      <c r="T272" s="683"/>
      <c r="U272" s="683"/>
      <c r="V272" s="683"/>
      <c r="W272" s="683"/>
      <c r="X272" s="683"/>
      <c r="Y272" s="683"/>
      <c r="Z272" s="683"/>
    </row>
    <row r="273" spans="1:26" ht="15" customHeight="1" x14ac:dyDescent="0.25">
      <c r="A273" s="3" t="s">
        <v>1945</v>
      </c>
      <c r="B273" s="683" t="s">
        <v>1317</v>
      </c>
      <c r="C273" s="683"/>
      <c r="D273" s="3"/>
      <c r="E273" s="683"/>
      <c r="J273" s="3"/>
      <c r="K273" s="3"/>
      <c r="L273" s="3"/>
      <c r="M273" s="3"/>
      <c r="N273" s="690"/>
      <c r="O273" s="683"/>
      <c r="P273" s="683"/>
      <c r="Q273" s="3"/>
      <c r="R273" s="3"/>
      <c r="S273" s="45"/>
      <c r="T273" s="683"/>
      <c r="U273" s="683"/>
      <c r="V273" s="683"/>
      <c r="W273" s="683"/>
      <c r="X273" s="683"/>
      <c r="Y273" s="683"/>
      <c r="Z273" s="683"/>
    </row>
    <row r="274" spans="1:26" ht="15" customHeight="1" x14ac:dyDescent="0.25">
      <c r="A274" s="3" t="s">
        <v>1946</v>
      </c>
      <c r="B274" s="683" t="s">
        <v>1317</v>
      </c>
      <c r="C274" s="683"/>
      <c r="D274" s="3"/>
      <c r="E274" s="683"/>
      <c r="J274" s="3"/>
      <c r="K274" s="3"/>
      <c r="L274" s="3"/>
      <c r="M274" s="3"/>
      <c r="N274" s="690"/>
      <c r="O274" s="683"/>
      <c r="P274" s="683"/>
      <c r="Q274" s="3"/>
      <c r="R274" s="3"/>
      <c r="S274" s="45"/>
      <c r="T274" s="683"/>
      <c r="U274" s="683"/>
      <c r="V274" s="683"/>
      <c r="W274" s="683"/>
      <c r="X274" s="683"/>
      <c r="Y274" s="683"/>
      <c r="Z274" s="683"/>
    </row>
    <row r="275" spans="1:26" ht="15" customHeight="1" x14ac:dyDescent="0.25">
      <c r="A275" s="3" t="s">
        <v>1947</v>
      </c>
      <c r="B275" s="683" t="s">
        <v>1317</v>
      </c>
      <c r="C275" s="683"/>
      <c r="D275" s="3"/>
      <c r="E275" s="683"/>
      <c r="J275" s="3"/>
      <c r="K275" s="3"/>
      <c r="L275" s="3"/>
      <c r="M275" s="3"/>
      <c r="N275" s="690"/>
      <c r="O275" s="683"/>
      <c r="P275" s="683"/>
      <c r="Q275" s="3"/>
      <c r="R275" s="3"/>
      <c r="S275" s="45"/>
      <c r="T275" s="683"/>
      <c r="U275" s="683"/>
      <c r="V275" s="683"/>
      <c r="W275" s="683"/>
      <c r="X275" s="683"/>
      <c r="Y275" s="683"/>
      <c r="Z275" s="683"/>
    </row>
    <row r="276" spans="1:26" ht="15" customHeight="1" x14ac:dyDescent="0.25">
      <c r="A276" s="3" t="s">
        <v>1948</v>
      </c>
      <c r="B276" s="683" t="s">
        <v>1317</v>
      </c>
      <c r="C276" s="683"/>
      <c r="D276" s="3"/>
      <c r="E276" s="683"/>
      <c r="F276" s="3"/>
      <c r="G276" s="3"/>
      <c r="H276" s="684"/>
      <c r="I276" s="3"/>
      <c r="J276" s="3"/>
      <c r="K276" s="3"/>
      <c r="L276" s="683"/>
      <c r="M276" s="683"/>
      <c r="N276" s="685"/>
      <c r="O276" s="683"/>
      <c r="P276" s="683"/>
      <c r="Q276" s="683"/>
      <c r="R276" s="683"/>
      <c r="S276" s="683"/>
      <c r="T276" s="683"/>
      <c r="U276" s="683"/>
      <c r="V276" s="683"/>
      <c r="W276" s="683"/>
      <c r="X276" s="683"/>
      <c r="Y276" s="683"/>
      <c r="Z276" s="683"/>
    </row>
    <row r="277" spans="1:26" ht="15" customHeight="1" x14ac:dyDescent="0.25">
      <c r="A277" s="683" t="s">
        <v>479</v>
      </c>
      <c r="B277" s="683" t="s">
        <v>1317</v>
      </c>
      <c r="C277" s="683"/>
      <c r="D277" s="3"/>
      <c r="E277" s="683"/>
      <c r="F277" s="3"/>
      <c r="G277" s="3"/>
      <c r="H277" s="684"/>
      <c r="I277" s="3"/>
      <c r="J277" s="3"/>
      <c r="K277" s="3"/>
      <c r="L277" s="683"/>
      <c r="M277" s="683"/>
      <c r="N277" s="685"/>
      <c r="O277" s="683"/>
      <c r="P277" s="683"/>
      <c r="Q277" s="683"/>
      <c r="R277" s="683"/>
      <c r="S277" s="683"/>
      <c r="T277" s="683"/>
      <c r="U277" s="683"/>
      <c r="V277" s="683"/>
      <c r="W277" s="683"/>
      <c r="X277" s="683"/>
      <c r="Y277" s="683"/>
      <c r="Z277" s="683"/>
    </row>
    <row r="278" spans="1:26" ht="15" customHeight="1" x14ac:dyDescent="0.25">
      <c r="A278" s="683" t="s">
        <v>1949</v>
      </c>
      <c r="B278" s="683" t="s">
        <v>1317</v>
      </c>
      <c r="C278" s="683"/>
      <c r="D278" s="3"/>
      <c r="E278" s="683"/>
      <c r="F278" s="3"/>
      <c r="G278" s="3"/>
      <c r="H278" s="684"/>
      <c r="I278" s="3"/>
      <c r="J278" s="3"/>
      <c r="K278" s="3"/>
      <c r="L278" s="683"/>
      <c r="M278" s="683"/>
      <c r="N278" s="685"/>
      <c r="O278" s="683"/>
      <c r="P278" s="683"/>
      <c r="Q278" s="683"/>
      <c r="R278" s="683"/>
      <c r="S278" s="683"/>
      <c r="T278" s="683"/>
      <c r="U278" s="683"/>
      <c r="V278" s="683"/>
      <c r="W278" s="683"/>
      <c r="X278" s="683"/>
      <c r="Y278" s="683"/>
      <c r="Z278" s="683"/>
    </row>
    <row r="279" spans="1:26" ht="15" customHeight="1" x14ac:dyDescent="0.25">
      <c r="C279" s="683"/>
      <c r="D279" s="3"/>
      <c r="E279" s="683"/>
      <c r="F279" s="3"/>
      <c r="G279" s="9"/>
      <c r="H279" s="684"/>
      <c r="I279" s="683"/>
      <c r="J279" s="3"/>
      <c r="K279" s="3"/>
      <c r="L279" s="683"/>
      <c r="M279" s="683"/>
      <c r="N279" s="685"/>
      <c r="O279" s="683"/>
      <c r="P279" s="683"/>
      <c r="Q279" s="683"/>
      <c r="R279" s="683"/>
      <c r="S279" s="683"/>
      <c r="T279" s="683"/>
      <c r="U279" s="683"/>
      <c r="V279" s="683"/>
      <c r="W279" s="683"/>
      <c r="X279" s="683"/>
      <c r="Y279" s="683"/>
      <c r="Z279" s="683"/>
    </row>
    <row r="280" spans="1:26" ht="15" customHeight="1" x14ac:dyDescent="0.25">
      <c r="A280" s="683"/>
      <c r="B280" s="3"/>
      <c r="C280" s="683"/>
      <c r="D280" s="3"/>
      <c r="E280" s="683"/>
      <c r="F280" s="3"/>
      <c r="G280" s="9"/>
      <c r="H280" s="684"/>
      <c r="I280" s="683"/>
      <c r="J280" s="3"/>
      <c r="K280" s="3"/>
      <c r="L280" s="683"/>
      <c r="M280" s="683"/>
      <c r="N280" s="685"/>
      <c r="O280" s="683"/>
      <c r="P280" s="683"/>
      <c r="Q280" s="683"/>
      <c r="R280" s="683"/>
      <c r="S280" s="683"/>
      <c r="T280" s="683"/>
      <c r="U280" s="683"/>
      <c r="V280" s="683"/>
      <c r="W280" s="683"/>
      <c r="X280" s="683"/>
      <c r="Y280" s="683"/>
      <c r="Z280" s="683"/>
    </row>
    <row r="281" spans="1:26" ht="15" customHeight="1" x14ac:dyDescent="0.25">
      <c r="A281" s="683"/>
      <c r="B281" s="3"/>
      <c r="C281" s="3"/>
      <c r="D281" s="3"/>
      <c r="E281" s="683"/>
      <c r="F281" s="3"/>
      <c r="G281" s="9"/>
      <c r="H281" s="684"/>
      <c r="I281" s="683"/>
      <c r="J281" s="3"/>
      <c r="K281" s="3"/>
      <c r="L281" s="683"/>
      <c r="M281" s="683"/>
      <c r="N281" s="685"/>
      <c r="O281" s="683"/>
      <c r="P281" s="683"/>
      <c r="Q281" s="683"/>
      <c r="R281" s="683"/>
      <c r="S281" s="683"/>
      <c r="T281" s="683"/>
      <c r="U281" s="683"/>
      <c r="V281" s="683"/>
      <c r="W281" s="683"/>
      <c r="X281" s="683"/>
      <c r="Y281" s="683"/>
      <c r="Z281" s="683"/>
    </row>
    <row r="282" spans="1:26" ht="15" customHeight="1" x14ac:dyDescent="0.25">
      <c r="A282" s="683"/>
      <c r="B282" s="3"/>
      <c r="C282" s="3"/>
      <c r="D282" s="3"/>
      <c r="E282" s="683"/>
      <c r="F282" s="3"/>
      <c r="G282" s="9"/>
      <c r="H282" s="684"/>
      <c r="I282" s="683"/>
      <c r="J282" s="3"/>
      <c r="K282" s="3"/>
      <c r="L282" s="683"/>
      <c r="M282" s="683"/>
      <c r="N282" s="685"/>
      <c r="O282" s="683"/>
      <c r="P282" s="683"/>
      <c r="Q282" s="683"/>
      <c r="R282" s="683"/>
      <c r="S282" s="683"/>
      <c r="T282" s="683"/>
      <c r="U282" s="683"/>
      <c r="V282" s="683"/>
      <c r="W282" s="683"/>
      <c r="X282" s="683"/>
      <c r="Y282" s="683"/>
      <c r="Z282" s="683"/>
    </row>
    <row r="283" spans="1:26" ht="15" customHeight="1" x14ac:dyDescent="0.25">
      <c r="A283" s="683"/>
      <c r="B283" s="3"/>
      <c r="C283" s="3"/>
      <c r="D283" s="3"/>
      <c r="E283" s="683"/>
      <c r="F283" s="3"/>
      <c r="G283" s="9"/>
      <c r="H283" s="684"/>
      <c r="I283" s="683"/>
      <c r="J283" s="3"/>
      <c r="K283" s="3"/>
      <c r="L283" s="683"/>
      <c r="M283" s="683"/>
      <c r="N283" s="685"/>
      <c r="O283" s="683"/>
      <c r="P283" s="683"/>
      <c r="Q283" s="683"/>
      <c r="R283" s="683"/>
      <c r="S283" s="683"/>
      <c r="T283" s="683"/>
      <c r="U283" s="683"/>
      <c r="V283" s="683"/>
      <c r="W283" s="683"/>
      <c r="X283" s="683"/>
      <c r="Y283" s="683"/>
      <c r="Z283" s="683"/>
    </row>
    <row r="284" spans="1:26" ht="15" customHeight="1" x14ac:dyDescent="0.25">
      <c r="A284" s="683"/>
      <c r="B284" s="3"/>
      <c r="C284" s="3"/>
      <c r="D284" s="3"/>
      <c r="E284" s="683"/>
      <c r="F284" s="3"/>
      <c r="G284" s="9"/>
      <c r="H284" s="684"/>
      <c r="I284" s="683"/>
      <c r="J284" s="3"/>
      <c r="K284" s="3"/>
      <c r="L284" s="683"/>
      <c r="M284" s="683"/>
      <c r="N284" s="685"/>
      <c r="O284" s="683"/>
      <c r="P284" s="683"/>
      <c r="Q284" s="683"/>
      <c r="R284" s="683"/>
      <c r="S284" s="683"/>
      <c r="T284" s="683"/>
      <c r="U284" s="683"/>
      <c r="V284" s="683"/>
      <c r="W284" s="683"/>
      <c r="X284" s="683"/>
      <c r="Y284" s="683"/>
      <c r="Z284" s="683"/>
    </row>
    <row r="285" spans="1:26" ht="15" customHeight="1" x14ac:dyDescent="0.25">
      <c r="A285" s="683"/>
      <c r="B285" s="3"/>
      <c r="C285" s="3"/>
      <c r="D285" s="3"/>
      <c r="E285" s="683"/>
      <c r="F285" s="3"/>
      <c r="G285" s="9"/>
      <c r="H285" s="684"/>
      <c r="I285" s="683"/>
      <c r="J285" s="3"/>
      <c r="K285" s="3"/>
      <c r="L285" s="683"/>
      <c r="M285" s="683"/>
      <c r="N285" s="685"/>
      <c r="O285" s="683"/>
      <c r="P285" s="683"/>
      <c r="Q285" s="683"/>
      <c r="R285" s="683"/>
      <c r="S285" s="683"/>
      <c r="T285" s="683"/>
      <c r="U285" s="683"/>
      <c r="V285" s="683"/>
      <c r="W285" s="683"/>
      <c r="X285" s="683"/>
      <c r="Y285" s="683"/>
      <c r="Z285" s="683"/>
    </row>
    <row r="286" spans="1:26" ht="15" customHeight="1" x14ac:dyDescent="0.25">
      <c r="A286" s="683"/>
      <c r="B286" s="3"/>
      <c r="C286" s="3"/>
      <c r="D286" s="3"/>
      <c r="E286" s="683"/>
      <c r="F286" s="3"/>
      <c r="G286" s="9"/>
      <c r="H286" s="684"/>
      <c r="I286" s="683"/>
      <c r="J286" s="3"/>
      <c r="K286" s="3"/>
      <c r="L286" s="683"/>
      <c r="M286" s="683"/>
      <c r="N286" s="685"/>
      <c r="O286" s="683"/>
      <c r="P286" s="683"/>
      <c r="Q286" s="683"/>
      <c r="R286" s="683"/>
      <c r="S286" s="683"/>
      <c r="T286" s="683"/>
      <c r="U286" s="683"/>
      <c r="V286" s="683"/>
      <c r="W286" s="683"/>
      <c r="X286" s="683"/>
      <c r="Y286" s="683"/>
      <c r="Z286" s="683"/>
    </row>
    <row r="287" spans="1:26" ht="15" customHeight="1" x14ac:dyDescent="0.25">
      <c r="A287" s="683"/>
      <c r="B287" s="3"/>
      <c r="C287" s="3"/>
      <c r="D287" s="3"/>
      <c r="E287" s="683"/>
      <c r="F287" s="3"/>
      <c r="G287" s="9"/>
      <c r="H287" s="684"/>
      <c r="I287" s="683"/>
      <c r="J287" s="3"/>
      <c r="K287" s="3"/>
      <c r="L287" s="683"/>
      <c r="M287" s="683"/>
      <c r="N287" s="685"/>
      <c r="O287" s="683"/>
      <c r="P287" s="683"/>
      <c r="Q287" s="683"/>
      <c r="R287" s="683"/>
      <c r="S287" s="683"/>
      <c r="T287" s="683"/>
      <c r="U287" s="683"/>
      <c r="V287" s="683"/>
      <c r="W287" s="683"/>
      <c r="X287" s="683"/>
      <c r="Y287" s="683"/>
      <c r="Z287" s="683"/>
    </row>
    <row r="288" spans="1:26" ht="15" customHeight="1" x14ac:dyDescent="0.25">
      <c r="A288" s="683"/>
      <c r="B288" s="3"/>
      <c r="C288" s="3"/>
      <c r="D288" s="3"/>
      <c r="E288" s="683"/>
      <c r="F288" s="3"/>
      <c r="G288" s="9"/>
      <c r="H288" s="684"/>
      <c r="I288" s="683"/>
      <c r="J288" s="3"/>
      <c r="K288" s="3"/>
      <c r="L288" s="683"/>
      <c r="M288" s="683"/>
      <c r="N288" s="685"/>
      <c r="O288" s="683"/>
      <c r="P288" s="683"/>
      <c r="Q288" s="683"/>
      <c r="R288" s="683"/>
      <c r="S288" s="683"/>
      <c r="T288" s="683"/>
      <c r="U288" s="683"/>
      <c r="V288" s="683"/>
      <c r="W288" s="683"/>
      <c r="X288" s="683"/>
      <c r="Y288" s="683"/>
      <c r="Z288" s="683"/>
    </row>
    <row r="289" spans="1:26" ht="15" customHeight="1" x14ac:dyDescent="0.25">
      <c r="A289" s="683"/>
      <c r="B289" s="3"/>
      <c r="C289" s="3"/>
      <c r="D289" s="3"/>
      <c r="E289" s="683"/>
      <c r="F289" s="3"/>
      <c r="G289" s="9"/>
      <c r="H289" s="684"/>
      <c r="I289" s="683"/>
      <c r="J289" s="3"/>
      <c r="K289" s="3"/>
      <c r="L289" s="683"/>
      <c r="M289" s="683"/>
      <c r="N289" s="685"/>
      <c r="O289" s="683"/>
      <c r="P289" s="683"/>
      <c r="Q289" s="683"/>
      <c r="R289" s="683"/>
      <c r="S289" s="683"/>
      <c r="T289" s="683"/>
      <c r="U289" s="683"/>
      <c r="V289" s="683"/>
      <c r="W289" s="683"/>
      <c r="X289" s="683"/>
      <c r="Y289" s="683"/>
      <c r="Z289" s="683"/>
    </row>
    <row r="290" spans="1:26" ht="15" customHeight="1" x14ac:dyDescent="0.25">
      <c r="A290" s="683"/>
      <c r="B290" s="3"/>
      <c r="C290" s="3"/>
      <c r="D290" s="3"/>
      <c r="E290" s="683"/>
      <c r="F290" s="3"/>
      <c r="G290" s="9"/>
      <c r="H290" s="684"/>
      <c r="I290" s="683"/>
      <c r="J290" s="3"/>
      <c r="K290" s="3"/>
      <c r="L290" s="683"/>
      <c r="M290" s="683"/>
      <c r="N290" s="685"/>
      <c r="O290" s="683"/>
      <c r="P290" s="683"/>
      <c r="Q290" s="683"/>
      <c r="R290" s="683"/>
      <c r="S290" s="683"/>
      <c r="T290" s="683"/>
      <c r="U290" s="683"/>
      <c r="V290" s="683"/>
      <c r="W290" s="683"/>
      <c r="X290" s="683"/>
      <c r="Y290" s="683"/>
      <c r="Z290" s="683"/>
    </row>
    <row r="291" spans="1:26" ht="15" customHeight="1" x14ac:dyDescent="0.25">
      <c r="A291" s="683"/>
      <c r="B291" s="3"/>
      <c r="C291" s="3"/>
      <c r="D291" s="3"/>
      <c r="E291" s="683"/>
      <c r="F291" s="3"/>
      <c r="G291" s="9"/>
      <c r="H291" s="684"/>
      <c r="I291" s="683"/>
      <c r="J291" s="3"/>
      <c r="K291" s="3"/>
      <c r="L291" s="683"/>
      <c r="N291" s="685"/>
      <c r="O291" s="683"/>
      <c r="P291" s="683"/>
      <c r="Q291" s="683"/>
      <c r="R291" s="683"/>
      <c r="S291" s="683"/>
      <c r="T291" s="683"/>
      <c r="U291" s="683"/>
      <c r="V291" s="683"/>
      <c r="W291" s="683"/>
      <c r="X291" s="683"/>
      <c r="Y291" s="683"/>
      <c r="Z291" s="683"/>
    </row>
    <row r="292" spans="1:26" ht="15" customHeight="1" x14ac:dyDescent="0.25">
      <c r="A292" s="683"/>
      <c r="B292" s="3"/>
      <c r="C292" s="3"/>
      <c r="D292" s="3"/>
      <c r="E292" s="683"/>
      <c r="F292" s="3"/>
      <c r="G292" s="9"/>
      <c r="H292" s="684"/>
      <c r="I292" s="683"/>
      <c r="J292" s="3"/>
      <c r="K292" s="3"/>
      <c r="L292" s="683"/>
      <c r="N292" s="685"/>
      <c r="O292" s="683"/>
      <c r="P292" s="683"/>
      <c r="Q292" s="683"/>
      <c r="R292" s="683"/>
      <c r="S292" s="683"/>
      <c r="T292" s="683"/>
      <c r="U292" s="683"/>
      <c r="V292" s="683"/>
      <c r="W292" s="683"/>
      <c r="X292" s="683"/>
      <c r="Y292" s="683"/>
      <c r="Z292" s="683"/>
    </row>
    <row r="293" spans="1:26" ht="15" customHeight="1" x14ac:dyDescent="0.25">
      <c r="A293" s="683"/>
      <c r="B293" s="3"/>
      <c r="C293" s="3"/>
      <c r="D293" s="3"/>
      <c r="E293" s="683"/>
      <c r="F293" s="3"/>
      <c r="G293" s="9" t="s">
        <v>1722</v>
      </c>
      <c r="H293" s="706" t="s">
        <v>1950</v>
      </c>
      <c r="I293" s="683"/>
      <c r="J293" s="3"/>
      <c r="K293" s="3"/>
      <c r="L293" s="683"/>
      <c r="N293" s="685"/>
      <c r="O293" s="683"/>
      <c r="P293" s="683"/>
      <c r="Q293" s="683"/>
      <c r="R293" s="683"/>
      <c r="S293" s="683"/>
      <c r="T293" s="683"/>
      <c r="U293" s="683"/>
      <c r="V293" s="683"/>
      <c r="W293" s="683"/>
      <c r="X293" s="683"/>
      <c r="Y293" s="683"/>
      <c r="Z293" s="683"/>
    </row>
    <row r="294" spans="1:26" ht="15" customHeight="1" x14ac:dyDescent="0.25">
      <c r="A294" s="683"/>
      <c r="B294" s="3"/>
      <c r="C294" s="3"/>
      <c r="D294" s="3"/>
      <c r="E294" s="3"/>
      <c r="F294" s="3" t="s">
        <v>1221</v>
      </c>
      <c r="G294" s="3"/>
      <c r="H294" s="684">
        <v>0</v>
      </c>
      <c r="I294" s="3"/>
      <c r="J294" s="3"/>
      <c r="K294" s="3"/>
      <c r="L294" s="683"/>
      <c r="M294" s="683"/>
      <c r="N294" s="685"/>
      <c r="O294" s="683"/>
      <c r="P294" s="683"/>
      <c r="Q294" s="683"/>
      <c r="R294" s="683"/>
      <c r="S294" s="683"/>
      <c r="T294" s="683"/>
      <c r="U294" s="683"/>
      <c r="V294" s="683"/>
      <c r="W294" s="683"/>
      <c r="X294" s="683"/>
      <c r="Y294" s="683"/>
      <c r="Z294" s="683"/>
    </row>
    <row r="295" spans="1:26" ht="15" customHeight="1" x14ac:dyDescent="0.25">
      <c r="A295" s="683"/>
      <c r="B295" s="3"/>
      <c r="C295" s="3"/>
      <c r="D295" s="3"/>
      <c r="E295" s="3"/>
      <c r="F295" s="3" t="s">
        <v>217</v>
      </c>
      <c r="G295" s="3"/>
      <c r="H295" s="684">
        <v>18</v>
      </c>
      <c r="I295" s="3"/>
      <c r="J295" s="3"/>
      <c r="K295" s="3"/>
      <c r="L295" s="683"/>
      <c r="M295" s="683"/>
      <c r="N295" s="685"/>
      <c r="O295" s="683"/>
      <c r="P295" s="683"/>
      <c r="Q295" s="683"/>
      <c r="R295" s="683"/>
      <c r="S295" s="683"/>
      <c r="T295" s="683"/>
      <c r="U295" s="683"/>
      <c r="V295" s="683"/>
      <c r="W295" s="683"/>
      <c r="X295" s="683"/>
      <c r="Y295" s="683"/>
      <c r="Z295" s="683"/>
    </row>
    <row r="296" spans="1:26" ht="15" customHeight="1" x14ac:dyDescent="0.25">
      <c r="A296" s="683"/>
      <c r="B296" s="3"/>
      <c r="C296" s="3"/>
      <c r="D296" s="3"/>
      <c r="E296" s="3"/>
      <c r="F296" s="3" t="s">
        <v>810</v>
      </c>
      <c r="G296" s="3"/>
      <c r="H296" s="684">
        <v>0</v>
      </c>
      <c r="I296" s="3"/>
      <c r="J296" s="3"/>
      <c r="K296" s="3"/>
      <c r="L296" s="683"/>
      <c r="M296" s="683"/>
      <c r="N296" s="685"/>
      <c r="O296" s="683"/>
      <c r="P296" s="683"/>
      <c r="Q296" s="45"/>
      <c r="R296" s="683"/>
      <c r="S296" s="683"/>
      <c r="T296" s="683"/>
      <c r="U296" s="683"/>
      <c r="V296" s="683"/>
      <c r="W296" s="683"/>
      <c r="X296" s="683"/>
      <c r="Y296" s="683"/>
      <c r="Z296" s="683"/>
    </row>
    <row r="297" spans="1:26" ht="15" customHeight="1" x14ac:dyDescent="0.25">
      <c r="A297" s="683"/>
      <c r="B297" s="3"/>
      <c r="C297" s="3"/>
      <c r="D297" s="3"/>
      <c r="E297" s="3"/>
      <c r="F297" s="3" t="s">
        <v>1746</v>
      </c>
      <c r="G297" s="3"/>
      <c r="H297" s="684">
        <v>24</v>
      </c>
      <c r="I297" s="3"/>
      <c r="J297" s="3"/>
      <c r="K297" s="3"/>
      <c r="L297" s="683"/>
      <c r="M297" s="683"/>
      <c r="N297" s="685"/>
      <c r="O297" s="683"/>
      <c r="P297" s="683"/>
      <c r="Q297" s="45"/>
      <c r="R297" s="683"/>
      <c r="S297" s="683"/>
      <c r="T297" s="683"/>
      <c r="U297" s="683"/>
      <c r="V297" s="683"/>
      <c r="W297" s="683"/>
      <c r="X297" s="683"/>
      <c r="Y297" s="683"/>
      <c r="Z297" s="683"/>
    </row>
    <row r="298" spans="1:26" ht="15" customHeight="1" x14ac:dyDescent="0.25">
      <c r="A298" s="683"/>
      <c r="B298" s="3"/>
      <c r="C298" s="3"/>
      <c r="D298" s="3"/>
      <c r="E298" s="3"/>
      <c r="F298" s="3" t="s">
        <v>901</v>
      </c>
      <c r="G298" s="3"/>
      <c r="H298" s="684">
        <v>29</v>
      </c>
      <c r="I298" s="3"/>
      <c r="J298" s="3"/>
      <c r="K298" s="3"/>
      <c r="L298" s="683"/>
      <c r="M298" s="683"/>
      <c r="N298" s="685"/>
      <c r="O298" s="683"/>
      <c r="P298" s="683"/>
      <c r="Q298" s="45"/>
      <c r="R298" s="683"/>
      <c r="S298" s="683"/>
      <c r="T298" s="683"/>
      <c r="U298" s="683"/>
      <c r="V298" s="683"/>
      <c r="W298" s="683"/>
      <c r="X298" s="683"/>
      <c r="Y298" s="683"/>
      <c r="Z298" s="683"/>
    </row>
    <row r="299" spans="1:26" ht="15" customHeight="1" x14ac:dyDescent="0.25">
      <c r="A299" s="683"/>
      <c r="B299" s="3"/>
      <c r="C299" s="3"/>
      <c r="D299" s="3"/>
      <c r="E299" s="3"/>
      <c r="F299" s="3" t="s">
        <v>1250</v>
      </c>
      <c r="G299" s="3" t="s">
        <v>1795</v>
      </c>
      <c r="H299" s="684">
        <v>18</v>
      </c>
      <c r="I299" s="3"/>
      <c r="J299" s="3"/>
      <c r="K299" s="3"/>
      <c r="L299" s="683"/>
      <c r="M299" s="683"/>
      <c r="N299" s="685"/>
      <c r="O299" s="683"/>
      <c r="P299" s="683"/>
      <c r="Q299" s="45"/>
      <c r="R299" s="683"/>
      <c r="S299" s="683"/>
      <c r="T299" s="683"/>
      <c r="U299" s="683"/>
      <c r="V299" s="683"/>
      <c r="W299" s="683"/>
      <c r="X299" s="683"/>
      <c r="Y299" s="683"/>
      <c r="Z299" s="683"/>
    </row>
    <row r="300" spans="1:26" ht="15" customHeight="1" x14ac:dyDescent="0.25">
      <c r="A300" s="683"/>
      <c r="B300" s="3"/>
      <c r="C300" s="3"/>
      <c r="D300" s="3"/>
      <c r="E300" s="3"/>
      <c r="F300" s="3"/>
      <c r="G300" s="3"/>
      <c r="H300" s="684"/>
      <c r="I300" s="3"/>
      <c r="J300" s="3"/>
      <c r="K300" s="3"/>
      <c r="L300" s="683"/>
      <c r="M300" s="683"/>
      <c r="N300" s="685"/>
      <c r="O300" s="683"/>
      <c r="P300" s="683"/>
      <c r="Q300" s="45"/>
      <c r="R300" s="683"/>
      <c r="S300" s="683"/>
      <c r="T300" s="683"/>
      <c r="U300" s="683"/>
      <c r="V300" s="683"/>
      <c r="W300" s="683"/>
      <c r="X300" s="683"/>
      <c r="Y300" s="683"/>
      <c r="Z300" s="683"/>
    </row>
    <row r="301" spans="1:26" ht="15" customHeight="1" x14ac:dyDescent="0.25">
      <c r="A301" s="683"/>
      <c r="B301" s="3"/>
      <c r="C301" s="3"/>
      <c r="D301" s="3"/>
      <c r="E301" s="3"/>
      <c r="F301" s="3" t="s">
        <v>1739</v>
      </c>
      <c r="G301" s="3"/>
      <c r="H301" s="684">
        <v>12</v>
      </c>
      <c r="I301" s="3"/>
      <c r="J301" s="3"/>
      <c r="K301" s="3"/>
      <c r="L301" s="683"/>
      <c r="M301" s="683"/>
      <c r="N301" s="685"/>
      <c r="O301" s="683"/>
      <c r="P301" s="683"/>
      <c r="Q301" s="45"/>
      <c r="R301" s="683"/>
      <c r="S301" s="683"/>
      <c r="T301" s="683"/>
      <c r="U301" s="683"/>
      <c r="V301" s="683"/>
      <c r="W301" s="683"/>
      <c r="X301" s="683"/>
      <c r="Y301" s="683"/>
      <c r="Z301" s="683"/>
    </row>
    <row r="302" spans="1:26" ht="15" customHeight="1" x14ac:dyDescent="0.25">
      <c r="A302" s="683"/>
      <c r="B302" s="3"/>
      <c r="C302" s="3"/>
      <c r="D302" s="3"/>
      <c r="E302" s="3"/>
      <c r="F302" s="3" t="s">
        <v>729</v>
      </c>
      <c r="G302" s="3" t="s">
        <v>1951</v>
      </c>
      <c r="H302" s="684">
        <v>9</v>
      </c>
      <c r="I302" s="3"/>
      <c r="J302" s="3"/>
      <c r="K302" s="3"/>
      <c r="L302" s="683"/>
      <c r="M302" s="683"/>
      <c r="N302" s="685"/>
      <c r="O302" s="683"/>
      <c r="P302" s="683"/>
      <c r="Q302" s="45"/>
      <c r="R302" s="683"/>
      <c r="S302" s="683"/>
      <c r="T302" s="683"/>
      <c r="U302" s="683"/>
      <c r="V302" s="683"/>
      <c r="W302" s="683"/>
      <c r="X302" s="683"/>
      <c r="Y302" s="683"/>
      <c r="Z302" s="683"/>
    </row>
    <row r="303" spans="1:26" ht="15" customHeight="1" x14ac:dyDescent="0.25">
      <c r="A303" s="683"/>
      <c r="B303" s="3"/>
      <c r="C303" s="3"/>
      <c r="D303" s="3"/>
      <c r="E303" s="3"/>
      <c r="F303" s="3" t="s">
        <v>617</v>
      </c>
      <c r="G303" s="3"/>
      <c r="H303" s="684">
        <v>10</v>
      </c>
      <c r="I303" s="3"/>
      <c r="J303" s="3"/>
      <c r="K303" s="3"/>
      <c r="L303" s="683"/>
      <c r="M303" s="683"/>
      <c r="N303" s="685"/>
      <c r="O303" s="683"/>
      <c r="P303" s="683"/>
      <c r="Q303" s="45"/>
      <c r="R303" s="683"/>
      <c r="S303" s="683"/>
      <c r="T303" s="683"/>
      <c r="U303" s="683"/>
      <c r="V303" s="683"/>
      <c r="W303" s="683"/>
      <c r="X303" s="683"/>
      <c r="Y303" s="683"/>
      <c r="Z303" s="683"/>
    </row>
    <row r="304" spans="1:26" ht="15" customHeight="1" x14ac:dyDescent="0.25">
      <c r="A304" s="683"/>
      <c r="B304" s="3"/>
      <c r="C304" s="3"/>
      <c r="D304" s="3"/>
      <c r="E304" s="3"/>
      <c r="F304" s="3" t="s">
        <v>778</v>
      </c>
      <c r="G304" s="3" t="s">
        <v>1952</v>
      </c>
      <c r="H304" s="684">
        <v>15</v>
      </c>
      <c r="I304" s="3"/>
      <c r="J304" s="3"/>
      <c r="K304" s="3"/>
      <c r="L304" s="683"/>
      <c r="M304" s="683"/>
      <c r="N304" s="685"/>
      <c r="O304" s="683"/>
      <c r="P304" s="683"/>
      <c r="Q304" s="45"/>
      <c r="R304" s="683"/>
      <c r="S304" s="683"/>
      <c r="T304" s="683"/>
      <c r="U304" s="683"/>
      <c r="V304" s="683"/>
      <c r="W304" s="683"/>
      <c r="X304" s="683"/>
      <c r="Y304" s="683"/>
      <c r="Z304" s="683"/>
    </row>
    <row r="305" spans="1:26" ht="15" customHeight="1" x14ac:dyDescent="0.25">
      <c r="A305" s="683"/>
      <c r="B305" s="3"/>
      <c r="C305" s="3"/>
      <c r="D305" s="3"/>
      <c r="E305" s="3"/>
      <c r="F305" s="3" t="s">
        <v>750</v>
      </c>
      <c r="G305" s="3"/>
      <c r="H305" s="684">
        <v>20</v>
      </c>
      <c r="I305" s="3"/>
      <c r="J305" s="683"/>
      <c r="K305" s="683"/>
      <c r="L305" s="683"/>
      <c r="M305" s="3"/>
      <c r="N305" s="685"/>
      <c r="O305" s="683"/>
      <c r="P305" s="683"/>
      <c r="Q305" s="45"/>
      <c r="R305" s="683"/>
      <c r="S305" s="683"/>
      <c r="T305" s="683"/>
      <c r="U305" s="683"/>
      <c r="V305" s="683"/>
      <c r="W305" s="683"/>
      <c r="X305" s="683"/>
      <c r="Y305" s="683"/>
      <c r="Z305" s="683"/>
    </row>
    <row r="306" spans="1:26" ht="15.75" customHeight="1" x14ac:dyDescent="0.25">
      <c r="A306" s="683"/>
      <c r="B306" s="3"/>
      <c r="C306" s="3"/>
      <c r="D306" s="3"/>
      <c r="E306" s="3"/>
      <c r="F306" s="38" t="s">
        <v>909</v>
      </c>
      <c r="H306" s="692">
        <v>25</v>
      </c>
      <c r="I306" s="683"/>
      <c r="J306" s="683"/>
      <c r="K306" s="683"/>
      <c r="L306" s="683"/>
      <c r="M306" s="683"/>
      <c r="N306" s="685"/>
      <c r="O306" s="683"/>
      <c r="P306" s="683"/>
      <c r="Q306" s="45"/>
      <c r="R306" s="683"/>
      <c r="S306" s="683"/>
      <c r="T306" s="683"/>
      <c r="U306" s="683"/>
      <c r="V306" s="683"/>
      <c r="W306" s="683"/>
      <c r="X306" s="683"/>
      <c r="Y306" s="683"/>
      <c r="Z306" s="683"/>
    </row>
    <row r="307" spans="1:26" ht="15.75" customHeight="1" x14ac:dyDescent="0.25">
      <c r="A307" s="683"/>
      <c r="B307" s="3"/>
      <c r="C307" s="3"/>
      <c r="D307" s="3"/>
      <c r="E307" s="683"/>
      <c r="F307" s="3" t="s">
        <v>759</v>
      </c>
      <c r="G307" s="38" t="s">
        <v>144</v>
      </c>
      <c r="H307" s="692">
        <v>13</v>
      </c>
      <c r="J307" s="683"/>
      <c r="K307" s="683"/>
      <c r="L307" s="683"/>
      <c r="M307" s="683"/>
      <c r="N307" s="685"/>
      <c r="O307" s="683"/>
      <c r="P307" s="683"/>
      <c r="Q307" s="45"/>
      <c r="R307" s="683"/>
      <c r="S307" s="683"/>
      <c r="T307" s="683"/>
      <c r="U307" s="683"/>
      <c r="V307" s="683"/>
      <c r="W307" s="683"/>
      <c r="X307" s="683"/>
      <c r="Y307" s="683"/>
      <c r="Z307" s="683"/>
    </row>
    <row r="308" spans="1:26" ht="15.75" customHeight="1" x14ac:dyDescent="0.25">
      <c r="A308" s="683"/>
      <c r="B308" s="3"/>
      <c r="C308" s="3"/>
      <c r="D308" s="3"/>
      <c r="E308" s="683"/>
      <c r="F308" s="38" t="s">
        <v>822</v>
      </c>
      <c r="G308" s="38" t="s">
        <v>144</v>
      </c>
      <c r="H308" s="38">
        <v>37</v>
      </c>
      <c r="I308" s="683">
        <f>10+5+2+20</f>
        <v>37</v>
      </c>
      <c r="J308" s="683"/>
      <c r="K308" s="683"/>
      <c r="L308" s="683"/>
      <c r="M308" s="683"/>
      <c r="N308" s="685"/>
      <c r="O308" s="683"/>
      <c r="P308" s="683"/>
      <c r="Q308" s="683"/>
      <c r="R308" s="683"/>
      <c r="S308" s="683"/>
      <c r="T308" s="683"/>
      <c r="U308" s="683"/>
      <c r="V308" s="683"/>
      <c r="W308" s="683"/>
      <c r="X308" s="683"/>
      <c r="Y308" s="683"/>
      <c r="Z308" s="683"/>
    </row>
    <row r="309" spans="1:26" ht="15" customHeight="1" x14ac:dyDescent="0.25">
      <c r="A309" s="683"/>
      <c r="B309" s="3"/>
      <c r="C309" s="3"/>
      <c r="D309" s="3"/>
      <c r="E309" s="683"/>
      <c r="F309" s="704" t="s">
        <v>1751</v>
      </c>
      <c r="G309" s="3"/>
      <c r="H309" s="684">
        <v>20</v>
      </c>
      <c r="I309" s="683"/>
      <c r="J309" s="683"/>
      <c r="K309" s="683"/>
      <c r="L309" s="683"/>
      <c r="M309" s="683"/>
      <c r="N309" s="685"/>
      <c r="O309" s="683"/>
      <c r="P309" s="683"/>
      <c r="Q309" s="683"/>
      <c r="R309" s="683"/>
      <c r="S309" s="683"/>
      <c r="T309" s="683"/>
      <c r="U309" s="683"/>
      <c r="V309" s="683"/>
      <c r="W309" s="683"/>
      <c r="X309" s="683"/>
      <c r="Y309" s="683"/>
      <c r="Z309" s="683"/>
    </row>
    <row r="310" spans="1:26" ht="15" customHeight="1" x14ac:dyDescent="0.25">
      <c r="A310" s="683"/>
      <c r="B310" s="3"/>
      <c r="C310" s="3"/>
      <c r="D310" s="3"/>
      <c r="E310" s="683"/>
      <c r="F310" s="41" t="s">
        <v>1196</v>
      </c>
      <c r="H310" s="38">
        <v>25</v>
      </c>
      <c r="I310" s="683"/>
      <c r="J310" s="683"/>
      <c r="K310" s="683"/>
      <c r="L310" s="683"/>
      <c r="M310" s="683"/>
      <c r="N310" s="685"/>
      <c r="O310" s="683"/>
      <c r="P310" s="683"/>
      <c r="Q310" s="683"/>
      <c r="R310" s="683"/>
      <c r="S310" s="683"/>
      <c r="T310" s="683"/>
      <c r="U310" s="683"/>
      <c r="V310" s="683"/>
      <c r="W310" s="683"/>
      <c r="X310" s="683"/>
      <c r="Y310" s="683"/>
      <c r="Z310" s="683"/>
    </row>
    <row r="311" spans="1:26" ht="15" customHeight="1" x14ac:dyDescent="0.25">
      <c r="A311" s="683"/>
      <c r="B311" s="3"/>
      <c r="C311" s="3"/>
      <c r="D311" s="3"/>
      <c r="E311" s="683"/>
      <c r="F311" s="3" t="s">
        <v>734</v>
      </c>
      <c r="G311" s="3" t="s">
        <v>1953</v>
      </c>
      <c r="H311" s="684">
        <v>20</v>
      </c>
      <c r="I311" s="683"/>
      <c r="J311" s="683"/>
      <c r="K311" s="683"/>
      <c r="L311" s="683"/>
      <c r="M311" s="683"/>
      <c r="N311" s="685"/>
      <c r="O311" s="683"/>
      <c r="P311" s="683"/>
      <c r="Q311" s="683"/>
      <c r="R311" s="683"/>
      <c r="S311" s="683"/>
      <c r="T311" s="683"/>
      <c r="U311" s="683"/>
      <c r="V311" s="683"/>
      <c r="W311" s="683"/>
      <c r="X311" s="683"/>
      <c r="Y311" s="683"/>
      <c r="Z311" s="683"/>
    </row>
    <row r="312" spans="1:26" ht="15" customHeight="1" x14ac:dyDescent="0.25">
      <c r="A312" s="683"/>
      <c r="B312" s="3"/>
      <c r="C312" s="3"/>
      <c r="D312" s="3"/>
      <c r="E312" s="683"/>
      <c r="F312" s="3" t="s">
        <v>1417</v>
      </c>
      <c r="G312" s="3" t="s">
        <v>1954</v>
      </c>
      <c r="H312" s="684">
        <v>22</v>
      </c>
      <c r="I312" s="683"/>
      <c r="J312" s="683"/>
      <c r="K312" s="683"/>
      <c r="L312" s="683"/>
      <c r="M312" s="683"/>
      <c r="N312" s="685"/>
      <c r="O312" s="683"/>
      <c r="P312" s="683"/>
      <c r="Q312" s="683"/>
      <c r="R312" s="683"/>
      <c r="S312" s="683"/>
      <c r="T312" s="683"/>
      <c r="U312" s="683"/>
      <c r="V312" s="683"/>
      <c r="W312" s="683"/>
      <c r="X312" s="683"/>
      <c r="Y312" s="683"/>
      <c r="Z312" s="683"/>
    </row>
    <row r="313" spans="1:26" ht="15" customHeight="1" x14ac:dyDescent="0.25">
      <c r="A313" s="683"/>
      <c r="B313" s="3"/>
      <c r="C313" s="3"/>
      <c r="D313" s="3"/>
      <c r="E313" s="683"/>
      <c r="F313" s="3" t="s">
        <v>1138</v>
      </c>
      <c r="G313" s="3"/>
      <c r="H313" s="684">
        <v>10</v>
      </c>
      <c r="I313" s="683"/>
      <c r="J313" s="683"/>
      <c r="K313" s="683"/>
      <c r="L313" s="683"/>
      <c r="M313" s="683"/>
      <c r="N313" s="685"/>
      <c r="O313" s="683"/>
      <c r="P313" s="683"/>
      <c r="Q313" s="683"/>
      <c r="R313" s="683"/>
      <c r="S313" s="683"/>
      <c r="T313" s="683"/>
      <c r="U313" s="683"/>
      <c r="V313" s="683"/>
      <c r="W313" s="683"/>
      <c r="X313" s="683"/>
      <c r="Y313" s="683"/>
      <c r="Z313" s="683"/>
    </row>
    <row r="314" spans="1:26" ht="15" customHeight="1" x14ac:dyDescent="0.25">
      <c r="A314" s="683"/>
      <c r="B314" s="3"/>
      <c r="C314" s="3"/>
      <c r="D314" s="3"/>
      <c r="E314" s="683"/>
      <c r="F314" s="3" t="s">
        <v>990</v>
      </c>
      <c r="G314" s="3"/>
      <c r="H314" s="684">
        <v>14</v>
      </c>
      <c r="I314" s="683"/>
      <c r="J314" s="683"/>
      <c r="K314" s="683"/>
      <c r="L314" s="683"/>
      <c r="M314" s="683"/>
      <c r="N314" s="685"/>
      <c r="O314" s="683"/>
      <c r="P314" s="683"/>
      <c r="Q314" s="683"/>
      <c r="R314" s="683"/>
      <c r="S314" s="683"/>
      <c r="T314" s="683"/>
      <c r="U314" s="683"/>
      <c r="V314" s="683"/>
      <c r="W314" s="683"/>
      <c r="X314" s="683"/>
      <c r="Y314" s="683"/>
      <c r="Z314" s="683"/>
    </row>
    <row r="315" spans="1:26" ht="15.75" customHeight="1" x14ac:dyDescent="0.25">
      <c r="A315" s="683"/>
      <c r="B315" s="3"/>
      <c r="C315" s="3"/>
      <c r="D315" s="3"/>
      <c r="E315" s="683"/>
      <c r="F315" s="3" t="s">
        <v>1739</v>
      </c>
      <c r="G315" s="3"/>
      <c r="H315" s="684">
        <v>21</v>
      </c>
      <c r="I315" s="683"/>
      <c r="J315" s="683"/>
      <c r="K315" s="683"/>
      <c r="L315" s="683"/>
      <c r="M315" s="683"/>
      <c r="N315" s="685"/>
      <c r="O315" s="683"/>
      <c r="P315" s="683"/>
      <c r="Q315" s="683"/>
      <c r="R315" s="683"/>
      <c r="S315" s="683"/>
      <c r="T315" s="683"/>
      <c r="U315" s="683"/>
      <c r="V315" s="683"/>
      <c r="W315" s="683"/>
      <c r="X315" s="683"/>
      <c r="Y315" s="683"/>
      <c r="Z315" s="683"/>
    </row>
    <row r="316" spans="1:26" ht="15" customHeight="1" x14ac:dyDescent="0.25">
      <c r="A316" s="683"/>
      <c r="B316" s="3"/>
      <c r="C316" s="3"/>
      <c r="D316" s="3"/>
      <c r="E316" s="683"/>
      <c r="F316" s="3" t="s">
        <v>860</v>
      </c>
      <c r="G316" s="3" t="s">
        <v>1754</v>
      </c>
      <c r="H316" s="684">
        <v>24</v>
      </c>
      <c r="I316" s="3"/>
      <c r="J316" s="683"/>
      <c r="K316" s="683"/>
      <c r="L316" s="683"/>
      <c r="M316" s="683"/>
      <c r="N316" s="685"/>
      <c r="O316" s="683"/>
      <c r="P316" s="683"/>
      <c r="Q316" s="683"/>
      <c r="R316" s="683"/>
      <c r="S316" s="683"/>
      <c r="T316" s="683"/>
      <c r="U316" s="683"/>
      <c r="V316" s="683"/>
      <c r="W316" s="683"/>
      <c r="X316" s="683"/>
      <c r="Y316" s="683"/>
      <c r="Z316" s="683"/>
    </row>
    <row r="317" spans="1:26" ht="15" customHeight="1" x14ac:dyDescent="0.25">
      <c r="A317" s="683"/>
      <c r="B317" s="3"/>
      <c r="C317" s="3"/>
      <c r="D317" s="3"/>
      <c r="E317" s="683"/>
      <c r="F317" s="3" t="s">
        <v>1373</v>
      </c>
      <c r="G317" s="3" t="s">
        <v>1755</v>
      </c>
      <c r="H317" s="684">
        <v>26</v>
      </c>
      <c r="I317" s="3"/>
      <c r="J317" s="683"/>
      <c r="K317" s="683"/>
      <c r="L317" s="683"/>
      <c r="M317" s="683"/>
      <c r="N317" s="685"/>
      <c r="O317" s="683"/>
      <c r="P317" s="683"/>
      <c r="Q317" s="683"/>
      <c r="R317" s="683"/>
      <c r="S317" s="683"/>
      <c r="T317" s="683"/>
      <c r="U317" s="683"/>
      <c r="V317" s="683"/>
      <c r="W317" s="683"/>
      <c r="X317" s="683"/>
      <c r="Y317" s="683"/>
      <c r="Z317" s="683"/>
    </row>
    <row r="318" spans="1:26" ht="15" customHeight="1" x14ac:dyDescent="0.25">
      <c r="A318" s="683"/>
      <c r="B318" s="3"/>
      <c r="C318" s="3"/>
      <c r="D318" s="3"/>
      <c r="E318" s="683"/>
      <c r="F318" s="3" t="s">
        <v>754</v>
      </c>
      <c r="G318" s="3" t="s">
        <v>1759</v>
      </c>
      <c r="H318" s="684">
        <v>26</v>
      </c>
      <c r="I318" s="3"/>
      <c r="J318" s="683"/>
      <c r="K318" s="683"/>
      <c r="L318" s="683"/>
      <c r="M318" s="683"/>
      <c r="N318" s="685"/>
      <c r="O318" s="683"/>
      <c r="P318" s="683"/>
      <c r="Q318" s="683"/>
      <c r="R318" s="683"/>
      <c r="S318" s="683"/>
      <c r="T318" s="683"/>
      <c r="U318" s="683"/>
      <c r="V318" s="683"/>
      <c r="W318" s="683"/>
      <c r="X318" s="683"/>
      <c r="Y318" s="683"/>
      <c r="Z318" s="683"/>
    </row>
    <row r="319" spans="1:26" ht="15" customHeight="1" x14ac:dyDescent="0.25">
      <c r="A319" s="683"/>
      <c r="B319" s="3"/>
      <c r="C319" s="3"/>
      <c r="D319" s="3"/>
      <c r="E319" s="683"/>
      <c r="F319" s="3" t="s">
        <v>1004</v>
      </c>
      <c r="G319" s="3" t="s">
        <v>493</v>
      </c>
      <c r="H319" s="684">
        <v>28</v>
      </c>
      <c r="I319" s="3"/>
      <c r="J319" s="683"/>
      <c r="K319" s="683"/>
      <c r="L319" s="683"/>
      <c r="M319" s="683"/>
      <c r="N319" s="685"/>
      <c r="O319" s="683"/>
      <c r="P319" s="683"/>
      <c r="Q319" s="683"/>
      <c r="R319" s="683"/>
      <c r="S319" s="683"/>
      <c r="T319" s="683"/>
      <c r="U319" s="683"/>
      <c r="V319" s="683"/>
      <c r="W319" s="683"/>
      <c r="X319" s="683"/>
      <c r="Y319" s="683"/>
      <c r="Z319" s="683"/>
    </row>
    <row r="320" spans="1:26" ht="15" customHeight="1" x14ac:dyDescent="0.25">
      <c r="A320" s="683"/>
      <c r="B320" s="3"/>
      <c r="C320" s="3"/>
      <c r="D320" s="3"/>
      <c r="E320" s="683"/>
      <c r="F320" s="3" t="s">
        <v>1757</v>
      </c>
      <c r="G320" s="3" t="s">
        <v>1758</v>
      </c>
      <c r="H320" s="684">
        <v>28</v>
      </c>
      <c r="I320" s="3"/>
      <c r="J320" s="683"/>
      <c r="K320" s="683"/>
      <c r="L320" s="683"/>
      <c r="M320" s="683"/>
      <c r="N320" s="685"/>
      <c r="O320" s="683"/>
      <c r="P320" s="683"/>
      <c r="Q320" s="683"/>
      <c r="R320" s="683"/>
      <c r="S320" s="683"/>
      <c r="T320" s="683"/>
      <c r="U320" s="683"/>
      <c r="V320" s="683"/>
      <c r="W320" s="683"/>
      <c r="X320" s="683"/>
      <c r="Y320" s="683"/>
      <c r="Z320" s="683"/>
    </row>
    <row r="321" spans="1:26" ht="15" customHeight="1" x14ac:dyDescent="0.25">
      <c r="A321" s="683"/>
      <c r="B321" s="3"/>
      <c r="C321" s="3"/>
      <c r="D321" s="3"/>
      <c r="E321" s="683"/>
      <c r="F321" s="3" t="s">
        <v>710</v>
      </c>
      <c r="G321" s="3"/>
      <c r="H321" s="684">
        <v>28</v>
      </c>
      <c r="I321" s="3"/>
      <c r="J321" s="683"/>
      <c r="K321" s="683"/>
      <c r="L321" s="683"/>
      <c r="M321" s="683"/>
      <c r="N321" s="685"/>
      <c r="O321" s="683"/>
      <c r="P321" s="683"/>
      <c r="Q321" s="683"/>
      <c r="R321" s="683"/>
      <c r="S321" s="683"/>
      <c r="T321" s="683"/>
      <c r="U321" s="683"/>
      <c r="V321" s="683"/>
      <c r="W321" s="683"/>
      <c r="X321" s="683"/>
      <c r="Y321" s="683"/>
      <c r="Z321" s="683"/>
    </row>
    <row r="322" spans="1:26" ht="15" customHeight="1" x14ac:dyDescent="0.25">
      <c r="A322" s="683"/>
      <c r="B322" s="3"/>
      <c r="C322" s="3"/>
      <c r="D322" s="3"/>
      <c r="E322" s="683"/>
      <c r="F322" s="3" t="s">
        <v>901</v>
      </c>
      <c r="G322" s="3" t="s">
        <v>1955</v>
      </c>
      <c r="H322" s="684">
        <v>29</v>
      </c>
      <c r="I322" s="3"/>
      <c r="J322" s="683"/>
      <c r="K322" s="683"/>
      <c r="L322" s="683"/>
      <c r="M322" s="683"/>
      <c r="N322" s="685"/>
      <c r="O322" s="683"/>
      <c r="P322" s="683"/>
      <c r="Q322" s="683"/>
      <c r="R322" s="683"/>
      <c r="S322" s="683"/>
      <c r="T322" s="683"/>
      <c r="U322" s="683"/>
      <c r="V322" s="683"/>
      <c r="W322" s="683"/>
      <c r="X322" s="683"/>
      <c r="Y322" s="683"/>
      <c r="Z322" s="683"/>
    </row>
    <row r="323" spans="1:26" ht="15" customHeight="1" x14ac:dyDescent="0.25">
      <c r="A323" s="683"/>
      <c r="B323" s="3"/>
      <c r="C323" s="3"/>
      <c r="D323" s="3"/>
      <c r="E323" s="683"/>
      <c r="I323" s="3"/>
      <c r="J323" s="683"/>
      <c r="K323" s="683"/>
      <c r="L323" s="683"/>
      <c r="M323" s="683"/>
      <c r="N323" s="685"/>
      <c r="O323" s="683"/>
      <c r="P323" s="683"/>
      <c r="Q323" s="683"/>
      <c r="R323" s="683"/>
      <c r="S323" s="683"/>
      <c r="T323" s="683"/>
      <c r="U323" s="683"/>
      <c r="V323" s="683"/>
      <c r="W323" s="683"/>
      <c r="X323" s="683"/>
      <c r="Y323" s="683"/>
      <c r="Z323" s="683"/>
    </row>
    <row r="324" spans="1:26" ht="15" customHeight="1" x14ac:dyDescent="0.25">
      <c r="A324" s="683"/>
      <c r="B324" s="3"/>
      <c r="C324" s="3"/>
      <c r="D324" s="3"/>
      <c r="E324" s="683"/>
      <c r="F324" s="3" t="s">
        <v>391</v>
      </c>
      <c r="G324" s="3"/>
      <c r="H324" s="684">
        <v>9</v>
      </c>
      <c r="I324" s="3"/>
      <c r="J324" s="683"/>
      <c r="K324" s="683"/>
      <c r="L324" s="683"/>
      <c r="M324" s="683"/>
      <c r="N324" s="685"/>
      <c r="O324" s="683"/>
      <c r="P324" s="683"/>
      <c r="Q324" s="683"/>
      <c r="R324" s="683"/>
      <c r="S324" s="683"/>
      <c r="T324" s="683"/>
      <c r="U324" s="683"/>
      <c r="V324" s="683"/>
      <c r="W324" s="683"/>
      <c r="X324" s="683"/>
      <c r="Y324" s="683"/>
      <c r="Z324" s="683"/>
    </row>
    <row r="325" spans="1:26" ht="15" customHeight="1" x14ac:dyDescent="0.25">
      <c r="A325" s="683"/>
      <c r="B325" s="3"/>
      <c r="C325" s="3"/>
      <c r="D325" s="3"/>
      <c r="E325" s="683"/>
      <c r="F325" s="3" t="s">
        <v>1744</v>
      </c>
      <c r="G325" s="3"/>
      <c r="H325" s="684">
        <v>21.42</v>
      </c>
      <c r="I325" s="3"/>
      <c r="J325" s="683"/>
      <c r="K325" s="683"/>
      <c r="L325" s="683"/>
      <c r="M325" s="683"/>
      <c r="N325" s="685"/>
      <c r="O325" s="683"/>
      <c r="P325" s="683"/>
      <c r="Q325" s="683"/>
      <c r="R325" s="683"/>
      <c r="S325" s="683"/>
      <c r="T325" s="683"/>
      <c r="U325" s="683"/>
      <c r="V325" s="683"/>
      <c r="W325" s="683"/>
      <c r="X325" s="683"/>
      <c r="Y325" s="683"/>
      <c r="Z325" s="683"/>
    </row>
    <row r="326" spans="1:26" ht="15" customHeight="1" x14ac:dyDescent="0.25">
      <c r="A326" s="683"/>
      <c r="B326" s="3"/>
      <c r="C326" s="3"/>
      <c r="D326" s="3"/>
      <c r="E326" s="683"/>
      <c r="F326" s="3" t="s">
        <v>1748</v>
      </c>
      <c r="G326" s="3"/>
      <c r="H326" s="684">
        <v>26.957999999999998</v>
      </c>
      <c r="I326" s="3"/>
      <c r="J326" s="683"/>
      <c r="K326" s="683"/>
      <c r="L326" s="683"/>
      <c r="M326" s="683"/>
      <c r="N326" s="685"/>
      <c r="O326" s="683"/>
      <c r="P326" s="683"/>
      <c r="Q326" s="683"/>
      <c r="R326" s="683"/>
      <c r="S326" s="683"/>
      <c r="T326" s="683"/>
      <c r="U326" s="683"/>
      <c r="V326" s="683"/>
      <c r="W326" s="683"/>
      <c r="X326" s="683"/>
      <c r="Y326" s="683"/>
      <c r="Z326" s="683"/>
    </row>
    <row r="327" spans="1:26" ht="15" customHeight="1" x14ac:dyDescent="0.25">
      <c r="A327" s="683"/>
      <c r="B327" s="3"/>
      <c r="C327" s="3"/>
      <c r="D327" s="3"/>
      <c r="E327" s="683"/>
      <c r="F327" s="38" t="s">
        <v>295</v>
      </c>
      <c r="G327" s="38" t="s">
        <v>295</v>
      </c>
      <c r="H327" s="38">
        <v>18.417000000000002</v>
      </c>
      <c r="I327" s="3"/>
      <c r="J327" s="683"/>
      <c r="K327" s="683"/>
      <c r="L327" s="683"/>
      <c r="M327" s="683"/>
      <c r="N327" s="685"/>
      <c r="O327" s="683"/>
      <c r="P327" s="683"/>
      <c r="Q327" s="683"/>
      <c r="R327" s="683"/>
      <c r="S327" s="683"/>
      <c r="T327" s="683"/>
      <c r="U327" s="683"/>
      <c r="V327" s="683"/>
      <c r="W327" s="683"/>
      <c r="X327" s="683"/>
      <c r="Y327" s="683"/>
      <c r="Z327" s="683"/>
    </row>
    <row r="328" spans="1:26" ht="15" customHeight="1" x14ac:dyDescent="0.25">
      <c r="A328" s="683"/>
      <c r="B328" s="3"/>
      <c r="C328" s="3"/>
      <c r="D328" s="3"/>
      <c r="E328" s="683"/>
      <c r="F328" s="3"/>
      <c r="G328" s="3"/>
      <c r="H328" s="684"/>
      <c r="I328" s="3"/>
      <c r="J328" s="683"/>
      <c r="K328" s="683"/>
      <c r="L328" s="683"/>
      <c r="M328" s="683"/>
      <c r="N328" s="685"/>
      <c r="O328" s="683"/>
      <c r="P328" s="683"/>
      <c r="Q328" s="683"/>
      <c r="R328" s="683"/>
      <c r="S328" s="683"/>
      <c r="T328" s="683"/>
      <c r="U328" s="683"/>
      <c r="V328" s="683"/>
      <c r="W328" s="683"/>
      <c r="X328" s="683"/>
      <c r="Y328" s="683"/>
      <c r="Z328" s="683"/>
    </row>
    <row r="329" spans="1:26" ht="15" customHeight="1" x14ac:dyDescent="0.25">
      <c r="A329" s="683"/>
      <c r="B329" s="3"/>
      <c r="C329" s="3"/>
      <c r="D329" s="3"/>
      <c r="E329" s="683"/>
      <c r="F329" s="3"/>
      <c r="G329" s="3"/>
      <c r="H329" s="684"/>
      <c r="I329" s="3"/>
      <c r="J329" s="683"/>
      <c r="K329" s="683"/>
      <c r="L329" s="683"/>
      <c r="M329" s="683"/>
      <c r="N329" s="685"/>
      <c r="O329" s="683"/>
      <c r="P329" s="683"/>
      <c r="Q329" s="683"/>
      <c r="R329" s="683"/>
      <c r="S329" s="683"/>
      <c r="T329" s="683"/>
      <c r="U329" s="683"/>
      <c r="V329" s="683"/>
      <c r="W329" s="683"/>
      <c r="X329" s="683"/>
      <c r="Y329" s="683"/>
      <c r="Z329" s="683"/>
    </row>
    <row r="330" spans="1:26" ht="15" customHeight="1" x14ac:dyDescent="0.25">
      <c r="A330" s="683"/>
      <c r="B330" s="3"/>
      <c r="C330" s="3"/>
      <c r="D330" s="3"/>
      <c r="E330" s="683"/>
      <c r="F330" s="3"/>
      <c r="G330" s="3"/>
      <c r="H330" s="684"/>
      <c r="I330" s="3"/>
      <c r="J330" s="683"/>
      <c r="K330" s="683"/>
      <c r="L330" s="683"/>
      <c r="M330" s="683"/>
      <c r="N330" s="685"/>
      <c r="O330" s="683"/>
      <c r="P330" s="683"/>
      <c r="Q330" s="683"/>
      <c r="R330" s="683"/>
      <c r="S330" s="683"/>
      <c r="T330" s="683"/>
      <c r="U330" s="683"/>
      <c r="V330" s="683"/>
      <c r="W330" s="683"/>
      <c r="X330" s="683"/>
      <c r="Y330" s="683"/>
      <c r="Z330" s="683"/>
    </row>
    <row r="331" spans="1:26" ht="15" customHeight="1" x14ac:dyDescent="0.25">
      <c r="A331" s="683"/>
      <c r="B331" s="3"/>
      <c r="C331" s="3"/>
      <c r="D331" s="3"/>
      <c r="E331" s="683"/>
      <c r="F331" s="3"/>
      <c r="G331" s="3"/>
      <c r="H331" s="684"/>
      <c r="I331" s="3"/>
      <c r="J331" s="683"/>
      <c r="K331" s="683"/>
      <c r="L331" s="683"/>
      <c r="M331" s="683"/>
      <c r="N331" s="685"/>
      <c r="O331" s="683"/>
      <c r="P331" s="683"/>
      <c r="Q331" s="683"/>
      <c r="R331" s="683"/>
      <c r="S331" s="683"/>
      <c r="T331" s="683"/>
      <c r="U331" s="683"/>
      <c r="V331" s="683"/>
      <c r="W331" s="683"/>
      <c r="X331" s="683"/>
      <c r="Y331" s="683"/>
      <c r="Z331" s="683"/>
    </row>
    <row r="332" spans="1:26" ht="15" customHeight="1" x14ac:dyDescent="0.25">
      <c r="A332" s="683"/>
      <c r="B332" s="3"/>
      <c r="C332" s="3"/>
      <c r="D332" s="3"/>
      <c r="E332" s="683"/>
      <c r="F332" s="3"/>
      <c r="G332" s="3"/>
      <c r="H332" s="684"/>
      <c r="I332" s="3"/>
      <c r="J332" s="683"/>
      <c r="K332" s="683"/>
      <c r="L332" s="683"/>
      <c r="M332" s="683"/>
      <c r="N332" s="685"/>
      <c r="O332" s="683"/>
      <c r="P332" s="683"/>
      <c r="Q332" s="683"/>
      <c r="R332" s="683"/>
      <c r="S332" s="683"/>
      <c r="T332" s="683"/>
      <c r="U332" s="683"/>
      <c r="V332" s="683"/>
      <c r="W332" s="683"/>
      <c r="X332" s="683"/>
      <c r="Y332" s="683"/>
      <c r="Z332" s="683"/>
    </row>
    <row r="333" spans="1:26" ht="15" customHeight="1" x14ac:dyDescent="0.25">
      <c r="A333" s="683"/>
      <c r="B333" s="3"/>
      <c r="C333" s="3"/>
      <c r="D333" s="3"/>
      <c r="E333" s="683"/>
      <c r="F333" s="3" t="s">
        <v>192</v>
      </c>
      <c r="G333" s="3"/>
      <c r="H333" s="684">
        <v>28</v>
      </c>
      <c r="I333" s="3"/>
      <c r="J333" s="683"/>
      <c r="K333" s="683"/>
      <c r="L333" s="683"/>
      <c r="M333" s="683"/>
      <c r="N333" s="685"/>
      <c r="O333" s="683"/>
      <c r="P333" s="683"/>
      <c r="Q333" s="683"/>
      <c r="R333" s="683"/>
      <c r="S333" s="683"/>
      <c r="T333" s="683"/>
      <c r="U333" s="683"/>
      <c r="V333" s="683"/>
      <c r="W333" s="683"/>
      <c r="X333" s="683"/>
      <c r="Y333" s="683"/>
      <c r="Z333" s="683"/>
    </row>
    <row r="334" spans="1:26" ht="15" customHeight="1" x14ac:dyDescent="0.25">
      <c r="A334" s="3"/>
      <c r="B334" s="3"/>
      <c r="C334" s="3"/>
      <c r="D334" s="3"/>
      <c r="E334" s="683"/>
      <c r="F334" s="3" t="s">
        <v>770</v>
      </c>
      <c r="G334" s="3" t="s">
        <v>259</v>
      </c>
      <c r="H334" s="684">
        <v>29</v>
      </c>
      <c r="I334" s="3"/>
      <c r="J334" s="683"/>
      <c r="K334" s="683"/>
      <c r="L334" s="683"/>
      <c r="M334" s="683"/>
      <c r="N334" s="685"/>
      <c r="O334" s="683"/>
      <c r="P334" s="683"/>
      <c r="Q334" s="683"/>
      <c r="R334" s="683"/>
      <c r="S334" s="683"/>
      <c r="T334" s="683"/>
      <c r="U334" s="683"/>
      <c r="V334" s="683"/>
      <c r="W334" s="683"/>
      <c r="X334" s="683"/>
      <c r="Y334" s="683"/>
      <c r="Z334" s="683"/>
    </row>
    <row r="335" spans="1:26" ht="15" customHeight="1" x14ac:dyDescent="0.25">
      <c r="A335" s="3"/>
      <c r="B335" s="3"/>
      <c r="C335" s="3"/>
      <c r="D335" s="3"/>
      <c r="E335" s="683"/>
      <c r="F335" s="3" t="s">
        <v>704</v>
      </c>
      <c r="G335" s="3" t="s">
        <v>194</v>
      </c>
      <c r="H335" s="684">
        <v>30</v>
      </c>
      <c r="I335" s="3"/>
      <c r="J335" s="683"/>
      <c r="K335" s="683"/>
      <c r="L335" s="683"/>
      <c r="M335" s="683"/>
      <c r="N335" s="685"/>
      <c r="O335" s="683"/>
      <c r="P335" s="683"/>
      <c r="Q335" s="683"/>
      <c r="R335" s="683"/>
      <c r="S335" s="683"/>
      <c r="T335" s="683"/>
      <c r="U335" s="683"/>
      <c r="V335" s="683"/>
      <c r="W335" s="683"/>
      <c r="X335" s="683"/>
      <c r="Y335" s="683"/>
      <c r="Z335" s="683"/>
    </row>
    <row r="336" spans="1:26" ht="15" customHeight="1" x14ac:dyDescent="0.25">
      <c r="A336" s="3"/>
      <c r="B336" s="3"/>
      <c r="C336" s="3"/>
      <c r="D336" s="3"/>
      <c r="E336" s="683"/>
      <c r="F336" s="3" t="s">
        <v>715</v>
      </c>
      <c r="G336" s="3" t="s">
        <v>194</v>
      </c>
      <c r="H336" s="684">
        <v>30</v>
      </c>
      <c r="I336" s="683"/>
      <c r="J336" s="683"/>
      <c r="K336" s="683"/>
      <c r="L336" s="683" t="s">
        <v>1956</v>
      </c>
      <c r="M336" s="683"/>
      <c r="N336" s="685"/>
      <c r="O336" s="683"/>
      <c r="P336" s="683"/>
      <c r="Q336" s="683"/>
      <c r="R336" s="683"/>
      <c r="S336" s="683"/>
      <c r="T336" s="683"/>
      <c r="U336" s="683"/>
      <c r="V336" s="683"/>
      <c r="W336" s="683"/>
      <c r="X336" s="683"/>
      <c r="Y336" s="683"/>
      <c r="Z336" s="683"/>
    </row>
    <row r="337" spans="1:26" ht="15" customHeight="1" x14ac:dyDescent="0.25">
      <c r="A337" s="3"/>
      <c r="B337" s="3"/>
      <c r="C337" s="3"/>
      <c r="D337" s="3"/>
      <c r="E337" s="683"/>
      <c r="F337" s="3"/>
      <c r="G337" s="3"/>
      <c r="H337" s="684"/>
      <c r="I337" s="683"/>
      <c r="J337" s="683"/>
      <c r="K337" s="683"/>
      <c r="L337" s="683"/>
      <c r="M337" s="683"/>
      <c r="N337" s="685"/>
      <c r="O337" s="683"/>
      <c r="P337" s="683"/>
      <c r="Q337" s="683"/>
      <c r="R337" s="683"/>
      <c r="S337" s="683"/>
      <c r="T337" s="683"/>
      <c r="U337" s="683"/>
      <c r="V337" s="683"/>
      <c r="W337" s="683"/>
      <c r="X337" s="683"/>
      <c r="Y337" s="683"/>
      <c r="Z337" s="683"/>
    </row>
    <row r="338" spans="1:26" ht="15" customHeight="1" x14ac:dyDescent="0.25">
      <c r="A338" s="3"/>
      <c r="B338" s="3"/>
      <c r="C338" s="3"/>
      <c r="D338" s="3"/>
      <c r="E338" s="683"/>
      <c r="F338" s="3"/>
      <c r="G338" s="3"/>
      <c r="H338" s="684"/>
      <c r="I338" s="683"/>
      <c r="J338" s="683"/>
      <c r="K338" s="683"/>
      <c r="L338" s="683"/>
      <c r="M338" s="683"/>
      <c r="N338" s="685"/>
      <c r="O338" s="683"/>
      <c r="P338" s="683"/>
      <c r="Q338" s="683"/>
      <c r="R338" s="683"/>
      <c r="S338" s="683"/>
      <c r="T338" s="683"/>
      <c r="U338" s="683"/>
      <c r="V338" s="683"/>
      <c r="W338" s="683"/>
      <c r="X338" s="683"/>
      <c r="Y338" s="683"/>
      <c r="Z338" s="683"/>
    </row>
    <row r="339" spans="1:26" ht="15" customHeight="1" x14ac:dyDescent="0.25">
      <c r="A339" s="3"/>
      <c r="B339" s="3"/>
      <c r="C339" s="3"/>
      <c r="D339" s="3"/>
      <c r="E339" s="683"/>
      <c r="F339" s="3"/>
      <c r="G339" s="3"/>
      <c r="H339" s="684"/>
      <c r="I339" s="683"/>
      <c r="J339" s="683"/>
      <c r="K339" s="683"/>
      <c r="L339" s="683"/>
      <c r="M339" s="683"/>
      <c r="N339" s="685"/>
      <c r="O339" s="683"/>
      <c r="P339" s="683"/>
      <c r="Q339" s="683"/>
      <c r="R339" s="683"/>
      <c r="S339" s="683"/>
      <c r="T339" s="683"/>
      <c r="U339" s="683"/>
      <c r="V339" s="683"/>
      <c r="W339" s="683"/>
      <c r="X339" s="683"/>
      <c r="Y339" s="683"/>
      <c r="Z339" s="683"/>
    </row>
    <row r="340" spans="1:26" ht="15" customHeight="1" x14ac:dyDescent="0.25">
      <c r="A340" s="3"/>
      <c r="B340" s="3"/>
      <c r="C340" s="3"/>
      <c r="D340" s="3"/>
      <c r="E340" s="683"/>
      <c r="F340" s="3"/>
      <c r="G340" s="3"/>
      <c r="H340" s="684"/>
      <c r="I340" s="683"/>
      <c r="J340" s="683"/>
      <c r="K340" s="683"/>
      <c r="L340" s="683"/>
      <c r="M340" s="683"/>
      <c r="N340" s="685"/>
      <c r="O340" s="683"/>
      <c r="P340" s="683"/>
      <c r="Q340" s="683"/>
      <c r="R340" s="683"/>
      <c r="S340" s="683"/>
      <c r="T340" s="683"/>
      <c r="U340" s="683"/>
      <c r="V340" s="683"/>
      <c r="W340" s="683"/>
      <c r="X340" s="683"/>
      <c r="Y340" s="683"/>
      <c r="Z340" s="683"/>
    </row>
    <row r="341" spans="1:26" ht="15" customHeight="1" x14ac:dyDescent="0.25">
      <c r="A341" s="3"/>
      <c r="B341" s="3"/>
      <c r="C341" s="3"/>
      <c r="D341" s="3"/>
      <c r="E341" s="683"/>
      <c r="F341" s="3"/>
      <c r="G341" s="3"/>
      <c r="H341" s="684"/>
      <c r="I341" s="683"/>
      <c r="J341" s="683"/>
      <c r="K341" s="683"/>
      <c r="L341" s="683"/>
      <c r="M341" s="683"/>
      <c r="N341" s="685"/>
      <c r="O341" s="683"/>
      <c r="P341" s="683"/>
      <c r="Q341" s="683"/>
      <c r="R341" s="683"/>
      <c r="S341" s="683"/>
      <c r="T341" s="683"/>
      <c r="U341" s="683"/>
      <c r="V341" s="683"/>
      <c r="W341" s="683"/>
      <c r="X341" s="683"/>
      <c r="Y341" s="683"/>
      <c r="Z341" s="683"/>
    </row>
    <row r="342" spans="1:26" ht="15" customHeight="1" x14ac:dyDescent="0.25">
      <c r="A342" s="3"/>
      <c r="B342" s="3"/>
      <c r="C342" s="3"/>
      <c r="D342" s="3"/>
      <c r="E342" s="683"/>
      <c r="F342" s="3"/>
      <c r="G342" s="3"/>
      <c r="H342" s="684"/>
      <c r="I342" s="683"/>
      <c r="J342" s="683"/>
      <c r="K342" s="683"/>
      <c r="L342" s="683"/>
      <c r="M342" s="683"/>
      <c r="N342" s="685"/>
      <c r="O342" s="683"/>
      <c r="P342" s="683"/>
      <c r="Q342" s="683"/>
      <c r="R342" s="683"/>
      <c r="S342" s="683"/>
      <c r="T342" s="683"/>
      <c r="U342" s="683"/>
      <c r="V342" s="683"/>
      <c r="W342" s="683"/>
      <c r="X342" s="683"/>
      <c r="Y342" s="683"/>
      <c r="Z342" s="683"/>
    </row>
    <row r="343" spans="1:26" ht="15" customHeight="1" x14ac:dyDescent="0.25">
      <c r="A343" s="3"/>
      <c r="B343" s="3"/>
      <c r="C343" s="3"/>
      <c r="D343" s="3"/>
      <c r="E343" s="683"/>
      <c r="F343" s="3"/>
      <c r="G343" s="3"/>
      <c r="H343" s="684"/>
      <c r="I343" s="683"/>
      <c r="J343" s="683"/>
      <c r="K343" s="683"/>
      <c r="L343" s="683"/>
      <c r="M343" s="683"/>
      <c r="N343" s="685"/>
      <c r="O343" s="683"/>
      <c r="P343" s="683"/>
      <c r="Q343" s="683"/>
      <c r="R343" s="683"/>
      <c r="S343" s="683"/>
      <c r="T343" s="683"/>
      <c r="U343" s="683"/>
      <c r="V343" s="683"/>
      <c r="W343" s="683"/>
      <c r="X343" s="683"/>
      <c r="Y343" s="683"/>
      <c r="Z343" s="683"/>
    </row>
    <row r="344" spans="1:26" ht="15" customHeight="1" x14ac:dyDescent="0.25">
      <c r="A344" s="3"/>
      <c r="B344" s="3"/>
      <c r="C344" s="3"/>
      <c r="D344" s="3"/>
      <c r="E344" s="683"/>
      <c r="F344" s="3" t="s">
        <v>901</v>
      </c>
      <c r="G344" s="3" t="s">
        <v>1760</v>
      </c>
      <c r="H344" s="684">
        <v>29</v>
      </c>
      <c r="I344" s="683"/>
      <c r="J344" s="683"/>
      <c r="K344" s="683"/>
      <c r="L344" s="683"/>
      <c r="M344" s="683"/>
      <c r="N344" s="685"/>
      <c r="O344" s="683"/>
      <c r="P344" s="683"/>
      <c r="Q344" s="683"/>
      <c r="R344" s="683"/>
      <c r="S344" s="683"/>
      <c r="T344" s="683"/>
      <c r="U344" s="683"/>
      <c r="V344" s="683"/>
      <c r="W344" s="683"/>
      <c r="X344" s="683"/>
      <c r="Y344" s="683"/>
      <c r="Z344" s="683"/>
    </row>
    <row r="345" spans="1:26" ht="15" customHeight="1" x14ac:dyDescent="0.25">
      <c r="A345" s="3"/>
      <c r="B345" s="3"/>
      <c r="C345" s="3"/>
      <c r="D345" s="3"/>
      <c r="E345" s="683"/>
      <c r="F345" s="3" t="s">
        <v>1761</v>
      </c>
      <c r="G345" s="3" t="s">
        <v>1762</v>
      </c>
      <c r="H345" s="684">
        <v>27</v>
      </c>
      <c r="I345" s="683"/>
      <c r="J345" s="683"/>
      <c r="K345" s="683"/>
      <c r="L345" s="683"/>
      <c r="M345" s="683"/>
      <c r="N345" s="685"/>
      <c r="O345" s="683"/>
      <c r="P345" s="683"/>
      <c r="Q345" s="683"/>
      <c r="R345" s="683"/>
      <c r="S345" s="683"/>
      <c r="T345" s="683"/>
      <c r="U345" s="683"/>
      <c r="V345" s="683"/>
      <c r="W345" s="683"/>
      <c r="X345" s="683"/>
      <c r="Y345" s="683"/>
      <c r="Z345" s="683"/>
    </row>
    <row r="346" spans="1:26" ht="15" customHeight="1" x14ac:dyDescent="0.25">
      <c r="A346" s="3"/>
      <c r="B346" s="3"/>
      <c r="C346" s="3"/>
      <c r="D346" s="3"/>
      <c r="E346" s="683"/>
      <c r="F346" s="3"/>
      <c r="G346" s="3"/>
      <c r="H346" s="684"/>
      <c r="I346" s="683"/>
      <c r="J346" s="683"/>
      <c r="K346" s="683"/>
      <c r="L346" s="683"/>
      <c r="M346" s="683"/>
      <c r="N346" s="685"/>
      <c r="O346" s="683"/>
      <c r="P346" s="683"/>
      <c r="Q346" s="683"/>
      <c r="R346" s="683"/>
      <c r="S346" s="683"/>
      <c r="T346" s="683"/>
      <c r="U346" s="683"/>
      <c r="V346" s="683"/>
      <c r="W346" s="683"/>
      <c r="X346" s="683"/>
      <c r="Y346" s="683"/>
      <c r="Z346" s="683"/>
    </row>
    <row r="347" spans="1:26" ht="15" customHeight="1" x14ac:dyDescent="0.25">
      <c r="A347" s="3"/>
      <c r="B347" s="3"/>
      <c r="C347" s="3"/>
      <c r="D347" s="3"/>
      <c r="E347" s="683"/>
      <c r="F347" s="3"/>
      <c r="G347" s="3"/>
      <c r="H347" s="684"/>
      <c r="I347" s="683"/>
      <c r="J347" s="683"/>
      <c r="K347" s="683"/>
      <c r="L347" s="683"/>
      <c r="M347" s="683"/>
      <c r="N347" s="685"/>
      <c r="O347" s="683"/>
      <c r="P347" s="683"/>
      <c r="Q347" s="683"/>
      <c r="R347" s="683"/>
      <c r="S347" s="683"/>
      <c r="T347" s="683"/>
      <c r="U347" s="683"/>
      <c r="V347" s="683"/>
      <c r="W347" s="683"/>
      <c r="X347" s="683"/>
      <c r="Y347" s="683"/>
      <c r="Z347" s="683"/>
    </row>
    <row r="348" spans="1:26" ht="15" customHeight="1" x14ac:dyDescent="0.25">
      <c r="A348" s="3"/>
      <c r="B348" s="683"/>
      <c r="C348" s="683"/>
      <c r="D348" s="3"/>
      <c r="E348" s="683"/>
      <c r="F348" s="3" t="s">
        <v>936</v>
      </c>
      <c r="G348" s="3" t="s">
        <v>1807</v>
      </c>
      <c r="H348" s="684">
        <v>12</v>
      </c>
      <c r="I348" s="683"/>
      <c r="J348" s="683"/>
      <c r="K348" s="683"/>
      <c r="L348" s="683"/>
      <c r="M348" s="683"/>
      <c r="N348" s="685"/>
      <c r="O348" s="683"/>
      <c r="P348" s="683"/>
      <c r="Q348" s="683"/>
      <c r="R348" s="683"/>
      <c r="S348" s="683"/>
      <c r="T348" s="683"/>
      <c r="U348" s="683"/>
      <c r="V348" s="683"/>
      <c r="W348" s="683"/>
      <c r="X348" s="683"/>
      <c r="Y348" s="683"/>
      <c r="Z348" s="683"/>
    </row>
    <row r="349" spans="1:26" ht="15" customHeight="1" x14ac:dyDescent="0.25">
      <c r="A349" s="3"/>
      <c r="B349" s="3"/>
      <c r="C349" s="3"/>
      <c r="D349" s="3"/>
      <c r="E349" s="683"/>
      <c r="F349" s="3" t="s">
        <v>790</v>
      </c>
      <c r="G349" s="3" t="s">
        <v>1957</v>
      </c>
      <c r="H349" s="684">
        <v>11</v>
      </c>
      <c r="I349" s="683"/>
      <c r="J349" s="683"/>
      <c r="K349" s="683"/>
      <c r="L349" s="683"/>
      <c r="M349" s="683"/>
      <c r="N349" s="685"/>
      <c r="O349" s="683"/>
      <c r="P349" s="683"/>
      <c r="Q349" s="683"/>
      <c r="R349" s="683"/>
      <c r="S349" s="683"/>
      <c r="T349" s="683"/>
      <c r="U349" s="683"/>
      <c r="V349" s="683"/>
      <c r="W349" s="683"/>
      <c r="X349" s="683"/>
      <c r="Y349" s="683"/>
      <c r="Z349" s="683"/>
    </row>
    <row r="350" spans="1:26" ht="15" customHeight="1" x14ac:dyDescent="0.25">
      <c r="A350" s="3"/>
      <c r="B350" s="3"/>
      <c r="C350" s="3"/>
      <c r="D350" s="3"/>
      <c r="E350" s="683"/>
      <c r="F350" s="3" t="s">
        <v>1079</v>
      </c>
      <c r="G350" s="3" t="s">
        <v>1740</v>
      </c>
      <c r="H350" s="684">
        <v>19</v>
      </c>
      <c r="I350" s="683"/>
      <c r="J350" s="683"/>
      <c r="K350" s="683"/>
      <c r="L350" s="683"/>
      <c r="M350" s="683"/>
      <c r="N350" s="685"/>
      <c r="O350" s="683"/>
      <c r="P350" s="683"/>
      <c r="Q350" s="683"/>
      <c r="R350" s="683"/>
      <c r="S350" s="683"/>
      <c r="T350" s="683"/>
      <c r="U350" s="683"/>
      <c r="V350" s="683"/>
      <c r="W350" s="683"/>
      <c r="X350" s="683"/>
      <c r="Y350" s="683"/>
      <c r="Z350" s="683"/>
    </row>
    <row r="351" spans="1:26" ht="15" customHeight="1" x14ac:dyDescent="0.25">
      <c r="A351" s="3"/>
      <c r="B351" s="3"/>
      <c r="C351" s="3"/>
      <c r="D351" s="3"/>
      <c r="E351" s="683"/>
      <c r="F351" s="3" t="s">
        <v>863</v>
      </c>
      <c r="G351" s="3" t="s">
        <v>1925</v>
      </c>
      <c r="H351" s="684">
        <v>21</v>
      </c>
      <c r="I351" s="683"/>
      <c r="J351" s="683"/>
      <c r="K351" s="683"/>
      <c r="L351" s="683"/>
      <c r="M351" s="683"/>
      <c r="N351" s="685"/>
      <c r="O351" s="683"/>
      <c r="P351" s="683"/>
      <c r="Q351" s="683"/>
      <c r="R351" s="683"/>
      <c r="S351" s="683"/>
      <c r="T351" s="683"/>
      <c r="U351" s="683"/>
      <c r="V351" s="683"/>
      <c r="W351" s="683"/>
      <c r="X351" s="683"/>
      <c r="Y351" s="683"/>
      <c r="Z351" s="683"/>
    </row>
    <row r="352" spans="1:26" ht="15" customHeight="1" x14ac:dyDescent="0.25">
      <c r="A352" s="3"/>
      <c r="B352" s="3"/>
      <c r="C352" s="3"/>
      <c r="D352" s="3"/>
      <c r="E352" s="683"/>
      <c r="F352" s="3"/>
      <c r="G352" s="3"/>
      <c r="H352" s="684"/>
      <c r="I352" s="683"/>
      <c r="J352" s="683"/>
      <c r="K352" s="683"/>
      <c r="L352" s="683"/>
      <c r="M352" s="683"/>
      <c r="N352" s="685"/>
      <c r="O352" s="683"/>
      <c r="P352" s="683"/>
      <c r="Q352" s="683"/>
      <c r="R352" s="683"/>
      <c r="S352" s="683"/>
      <c r="T352" s="683"/>
      <c r="U352" s="683"/>
      <c r="V352" s="683"/>
      <c r="W352" s="683"/>
      <c r="X352" s="683"/>
      <c r="Y352" s="683"/>
      <c r="Z352" s="683"/>
    </row>
    <row r="353" spans="1:26" ht="15" customHeight="1" x14ac:dyDescent="0.25">
      <c r="A353" s="3"/>
      <c r="B353" s="3"/>
      <c r="C353" s="3"/>
      <c r="D353" s="3"/>
      <c r="E353" s="683"/>
      <c r="F353" s="3"/>
      <c r="G353" s="3"/>
      <c r="H353" s="684"/>
      <c r="I353" s="3"/>
      <c r="J353" s="683"/>
      <c r="K353" s="683"/>
      <c r="L353" s="683"/>
      <c r="M353" s="683"/>
      <c r="N353" s="685"/>
      <c r="O353" s="683"/>
      <c r="P353" s="683"/>
      <c r="Q353" s="683"/>
      <c r="R353" s="683"/>
      <c r="S353" s="683"/>
      <c r="T353" s="683"/>
      <c r="U353" s="683"/>
      <c r="V353" s="683"/>
      <c r="W353" s="683"/>
      <c r="X353" s="683"/>
      <c r="Y353" s="683"/>
      <c r="Z353" s="683"/>
    </row>
    <row r="354" spans="1:26" ht="15" customHeight="1" x14ac:dyDescent="0.25">
      <c r="A354" s="3"/>
      <c r="B354" s="3"/>
      <c r="C354" s="3"/>
      <c r="D354" s="3"/>
      <c r="E354" s="683"/>
      <c r="F354" s="3"/>
      <c r="G354" s="3"/>
      <c r="H354" s="684"/>
      <c r="I354" s="683"/>
      <c r="J354" s="683"/>
      <c r="K354" s="683"/>
      <c r="L354" s="683"/>
      <c r="M354" s="683"/>
      <c r="N354" s="685"/>
      <c r="O354" s="683"/>
      <c r="P354" s="683"/>
      <c r="Q354" s="683"/>
      <c r="R354" s="683"/>
      <c r="S354" s="683"/>
      <c r="T354" s="683"/>
      <c r="U354" s="683"/>
      <c r="V354" s="683"/>
      <c r="W354" s="683"/>
      <c r="X354" s="683"/>
      <c r="Y354" s="683"/>
      <c r="Z354" s="683"/>
    </row>
    <row r="355" spans="1:26" ht="15" customHeight="1" x14ac:dyDescent="0.25">
      <c r="A355" s="3"/>
      <c r="B355" s="3"/>
      <c r="C355" s="3"/>
      <c r="D355" s="3"/>
      <c r="E355" s="683"/>
      <c r="F355" s="3"/>
      <c r="G355" s="3"/>
      <c r="H355" s="684"/>
      <c r="I355" s="683"/>
      <c r="J355" s="683"/>
      <c r="K355" s="683"/>
      <c r="L355" s="683"/>
      <c r="M355" s="683"/>
      <c r="N355" s="685"/>
      <c r="O355" s="683"/>
      <c r="P355" s="683"/>
      <c r="Q355" s="683"/>
      <c r="R355" s="683"/>
      <c r="S355" s="683"/>
      <c r="T355" s="683"/>
      <c r="U355" s="683"/>
      <c r="V355" s="683"/>
      <c r="W355" s="683"/>
      <c r="X355" s="683"/>
      <c r="Y355" s="683"/>
      <c r="Z355" s="683"/>
    </row>
    <row r="356" spans="1:26" ht="15" customHeight="1" x14ac:dyDescent="0.25">
      <c r="A356" s="3"/>
      <c r="B356" s="3"/>
      <c r="C356" s="3"/>
      <c r="D356" s="3"/>
      <c r="E356" s="683"/>
      <c r="F356" s="3"/>
      <c r="G356" s="3"/>
      <c r="H356" s="684"/>
      <c r="I356" s="683"/>
      <c r="J356" s="683"/>
      <c r="K356" s="683"/>
      <c r="L356" s="683"/>
      <c r="M356" s="683"/>
      <c r="N356" s="685"/>
      <c r="O356" s="683"/>
      <c r="P356" s="683"/>
      <c r="Q356" s="683"/>
      <c r="R356" s="683"/>
      <c r="S356" s="683"/>
      <c r="T356" s="683"/>
      <c r="U356" s="683"/>
      <c r="V356" s="683"/>
      <c r="W356" s="683"/>
      <c r="X356" s="683"/>
      <c r="Y356" s="683"/>
      <c r="Z356" s="683"/>
    </row>
    <row r="357" spans="1:26" ht="15" customHeight="1" x14ac:dyDescent="0.25">
      <c r="A357" s="3"/>
      <c r="B357" s="3"/>
      <c r="C357" s="3"/>
      <c r="D357" s="3"/>
      <c r="E357" s="683"/>
      <c r="F357" s="3"/>
      <c r="G357" s="3"/>
      <c r="H357" s="684"/>
      <c r="I357" s="683"/>
      <c r="J357" s="683"/>
      <c r="K357" s="683"/>
      <c r="L357" s="683"/>
      <c r="M357" s="683"/>
      <c r="N357" s="685"/>
      <c r="O357" s="683"/>
      <c r="P357" s="683"/>
      <c r="Q357" s="683"/>
      <c r="R357" s="683"/>
      <c r="S357" s="683"/>
      <c r="T357" s="683"/>
      <c r="U357" s="683"/>
      <c r="V357" s="683"/>
      <c r="W357" s="683"/>
      <c r="X357" s="683"/>
      <c r="Y357" s="683"/>
      <c r="Z357" s="683"/>
    </row>
    <row r="358" spans="1:26" ht="15" customHeight="1" x14ac:dyDescent="0.25">
      <c r="A358" s="3"/>
      <c r="B358" s="3"/>
      <c r="C358" s="3"/>
      <c r="D358" s="3"/>
      <c r="E358" s="683"/>
      <c r="F358" s="3"/>
      <c r="G358" s="3"/>
      <c r="H358" s="684"/>
      <c r="I358" s="683"/>
      <c r="J358" s="683"/>
      <c r="K358" s="683"/>
      <c r="L358" s="683"/>
      <c r="M358" s="683"/>
      <c r="N358" s="685"/>
      <c r="O358" s="683"/>
      <c r="P358" s="683"/>
      <c r="Q358" s="683"/>
      <c r="R358" s="683"/>
      <c r="S358" s="683"/>
      <c r="T358" s="683"/>
      <c r="U358" s="683"/>
      <c r="V358" s="683"/>
      <c r="W358" s="683"/>
      <c r="X358" s="683"/>
      <c r="Y358" s="683"/>
      <c r="Z358" s="683"/>
    </row>
    <row r="359" spans="1:26" ht="15" customHeight="1" x14ac:dyDescent="0.25">
      <c r="A359" s="3" t="s">
        <v>1958</v>
      </c>
      <c r="B359" s="3" t="s">
        <v>1293</v>
      </c>
      <c r="C359" s="3"/>
      <c r="D359" s="3"/>
      <c r="E359" s="683"/>
      <c r="F359" s="3"/>
      <c r="G359" s="3"/>
      <c r="H359" s="684"/>
      <c r="I359" s="683"/>
      <c r="J359" s="683"/>
      <c r="K359" s="683"/>
      <c r="L359" s="683"/>
      <c r="M359" s="683"/>
      <c r="N359" s="685"/>
      <c r="O359" s="683"/>
      <c r="P359" s="683"/>
      <c r="Q359" s="683"/>
      <c r="R359" s="683"/>
      <c r="S359" s="683"/>
      <c r="T359" s="683"/>
      <c r="U359" s="683"/>
      <c r="V359" s="683"/>
      <c r="W359" s="683"/>
      <c r="X359" s="683"/>
      <c r="Y359" s="683"/>
      <c r="Z359" s="683"/>
    </row>
    <row r="360" spans="1:26" ht="15" customHeight="1" x14ac:dyDescent="0.25">
      <c r="A360" s="3" t="s">
        <v>1959</v>
      </c>
      <c r="B360" s="3" t="s">
        <v>1293</v>
      </c>
      <c r="C360" s="3"/>
      <c r="D360" s="3"/>
      <c r="E360" s="683"/>
      <c r="F360" s="3"/>
      <c r="G360" s="3"/>
      <c r="H360" s="684"/>
      <c r="I360" s="683"/>
      <c r="J360" s="683"/>
      <c r="K360" s="683"/>
      <c r="L360" s="683"/>
      <c r="M360" s="683"/>
      <c r="N360" s="685"/>
      <c r="O360" s="683"/>
      <c r="P360" s="683"/>
      <c r="Q360" s="683"/>
      <c r="R360" s="683"/>
      <c r="S360" s="683"/>
      <c r="T360" s="683"/>
      <c r="U360" s="683"/>
      <c r="V360" s="683"/>
      <c r="W360" s="683"/>
      <c r="X360" s="683"/>
      <c r="Y360" s="683"/>
      <c r="Z360" s="683"/>
    </row>
    <row r="361" spans="1:26" ht="15" customHeight="1" x14ac:dyDescent="0.25">
      <c r="A361" s="3" t="s">
        <v>446</v>
      </c>
      <c r="B361" s="3" t="s">
        <v>1293</v>
      </c>
      <c r="C361" s="3"/>
      <c r="D361" s="3"/>
      <c r="E361" s="683"/>
      <c r="F361" s="3" t="s">
        <v>1477</v>
      </c>
      <c r="G361" s="3"/>
      <c r="H361" s="684">
        <v>7</v>
      </c>
      <c r="I361" s="683"/>
      <c r="J361" s="683"/>
      <c r="K361" s="683"/>
      <c r="L361" s="683"/>
      <c r="M361" s="683"/>
      <c r="N361" s="685"/>
      <c r="O361" s="683"/>
      <c r="P361" s="683"/>
      <c r="Q361" s="683"/>
      <c r="R361" s="683"/>
      <c r="S361" s="683"/>
      <c r="T361" s="683"/>
      <c r="U361" s="683"/>
      <c r="V361" s="683"/>
      <c r="W361" s="683"/>
      <c r="X361" s="683"/>
      <c r="Y361" s="683"/>
      <c r="Z361" s="683"/>
    </row>
    <row r="362" spans="1:26" ht="15" customHeight="1" x14ac:dyDescent="0.25">
      <c r="A362" s="3" t="s">
        <v>1960</v>
      </c>
      <c r="B362" s="3" t="s">
        <v>1293</v>
      </c>
      <c r="C362" s="3"/>
      <c r="D362" s="3"/>
      <c r="E362" s="683"/>
      <c r="F362" s="3" t="s">
        <v>1806</v>
      </c>
      <c r="G362" s="3"/>
      <c r="H362" s="684">
        <v>10</v>
      </c>
      <c r="I362" s="683"/>
      <c r="J362" s="683"/>
      <c r="K362" s="683"/>
      <c r="L362" s="683"/>
      <c r="M362" s="683"/>
      <c r="N362" s="685"/>
      <c r="O362" s="683"/>
      <c r="P362" s="683"/>
      <c r="Q362" s="683"/>
      <c r="R362" s="683"/>
      <c r="S362" s="683"/>
      <c r="T362" s="683"/>
      <c r="U362" s="683"/>
      <c r="V362" s="683"/>
      <c r="W362" s="683"/>
      <c r="X362" s="683"/>
      <c r="Y362" s="683"/>
      <c r="Z362" s="683"/>
    </row>
    <row r="363" spans="1:26" ht="15" customHeight="1" x14ac:dyDescent="0.25">
      <c r="A363" s="3" t="s">
        <v>1961</v>
      </c>
      <c r="B363" s="3" t="s">
        <v>1293</v>
      </c>
      <c r="C363" s="3"/>
      <c r="D363" s="3"/>
      <c r="E363" s="683"/>
      <c r="F363" s="3" t="s">
        <v>797</v>
      </c>
      <c r="G363" s="3"/>
      <c r="H363" s="684">
        <v>15</v>
      </c>
      <c r="I363" s="683"/>
      <c r="J363" s="683"/>
      <c r="K363" s="683"/>
      <c r="L363" s="683"/>
      <c r="M363" s="683"/>
      <c r="N363" s="685"/>
      <c r="O363" s="683"/>
      <c r="P363" s="683"/>
      <c r="Q363" s="683"/>
      <c r="R363" s="683"/>
      <c r="S363" s="683"/>
      <c r="T363" s="683"/>
      <c r="U363" s="683"/>
      <c r="V363" s="683"/>
      <c r="W363" s="683"/>
      <c r="X363" s="683"/>
      <c r="Y363" s="683"/>
      <c r="Z363" s="683"/>
    </row>
    <row r="364" spans="1:26" ht="15" customHeight="1" x14ac:dyDescent="0.25">
      <c r="A364" s="683" t="s">
        <v>347</v>
      </c>
      <c r="B364" s="683" t="s">
        <v>1068</v>
      </c>
      <c r="C364" s="683"/>
      <c r="D364" s="3"/>
      <c r="E364" s="683"/>
      <c r="F364" s="3" t="s">
        <v>1293</v>
      </c>
      <c r="G364" s="3" t="s">
        <v>1802</v>
      </c>
      <c r="H364" s="684">
        <v>12</v>
      </c>
      <c r="I364" s="683"/>
      <c r="J364" s="683"/>
      <c r="K364" s="683"/>
      <c r="L364" s="683"/>
      <c r="M364" s="683"/>
      <c r="N364" s="685"/>
      <c r="O364" s="683"/>
      <c r="P364" s="683"/>
      <c r="Q364" s="683"/>
      <c r="R364" s="683"/>
      <c r="S364" s="683"/>
      <c r="T364" s="683"/>
      <c r="U364" s="683"/>
      <c r="V364" s="683"/>
      <c r="W364" s="683"/>
      <c r="X364" s="683"/>
      <c r="Y364" s="683"/>
      <c r="Z364" s="683"/>
    </row>
    <row r="365" spans="1:26" ht="15" customHeight="1" x14ac:dyDescent="0.25">
      <c r="A365" s="3" t="s">
        <v>1962</v>
      </c>
      <c r="B365" s="683" t="s">
        <v>1068</v>
      </c>
      <c r="C365" s="3"/>
      <c r="D365" s="3"/>
      <c r="E365" s="683"/>
      <c r="F365" s="3" t="s">
        <v>729</v>
      </c>
      <c r="G365" s="3"/>
      <c r="H365" s="684">
        <v>10</v>
      </c>
      <c r="I365" s="683"/>
      <c r="J365" s="683"/>
      <c r="K365" s="683"/>
      <c r="L365" s="683"/>
      <c r="M365" s="683"/>
      <c r="N365" s="685"/>
      <c r="O365" s="683"/>
      <c r="P365" s="683"/>
      <c r="Q365" s="683"/>
      <c r="R365" s="683"/>
      <c r="S365" s="683"/>
      <c r="T365" s="683"/>
      <c r="U365" s="683"/>
      <c r="V365" s="683"/>
      <c r="W365" s="683"/>
      <c r="X365" s="683"/>
      <c r="Y365" s="683"/>
      <c r="Z365" s="683"/>
    </row>
    <row r="366" spans="1:26" ht="15" customHeight="1" x14ac:dyDescent="0.25">
      <c r="A366" s="683" t="s">
        <v>1963</v>
      </c>
      <c r="B366" s="683" t="s">
        <v>1964</v>
      </c>
      <c r="C366" s="3"/>
      <c r="D366" s="3"/>
      <c r="E366" s="683"/>
      <c r="F366" s="3" t="s">
        <v>1763</v>
      </c>
      <c r="G366" s="3"/>
      <c r="H366" s="684">
        <v>15</v>
      </c>
      <c r="I366" s="683"/>
      <c r="J366" s="683"/>
      <c r="K366" s="683"/>
      <c r="L366" s="683"/>
      <c r="M366" s="683"/>
      <c r="N366" s="685"/>
      <c r="O366" s="683"/>
      <c r="P366" s="683"/>
      <c r="Q366" s="683"/>
      <c r="R366" s="683"/>
      <c r="S366" s="683"/>
      <c r="T366" s="683"/>
      <c r="U366" s="683"/>
      <c r="V366" s="683"/>
      <c r="W366" s="683"/>
      <c r="X366" s="683"/>
      <c r="Y366" s="683"/>
      <c r="Z366" s="683"/>
    </row>
    <row r="367" spans="1:26" ht="15" customHeight="1" x14ac:dyDescent="0.25">
      <c r="A367" s="683" t="s">
        <v>1965</v>
      </c>
      <c r="B367" s="683" t="s">
        <v>952</v>
      </c>
      <c r="C367" s="3"/>
      <c r="D367" s="3"/>
      <c r="E367" s="683"/>
      <c r="F367" s="3" t="s">
        <v>1808</v>
      </c>
      <c r="G367" s="3" t="s">
        <v>1809</v>
      </c>
      <c r="H367" s="684">
        <v>13</v>
      </c>
      <c r="I367" s="683"/>
      <c r="J367" s="683"/>
      <c r="K367" s="683"/>
      <c r="L367" s="683"/>
      <c r="M367" s="683"/>
      <c r="N367" s="685"/>
      <c r="O367" s="683"/>
      <c r="P367" s="683"/>
      <c r="Q367" s="683"/>
      <c r="R367" s="683"/>
      <c r="S367" s="683"/>
      <c r="T367" s="683"/>
      <c r="U367" s="683"/>
      <c r="V367" s="683"/>
      <c r="W367" s="683"/>
      <c r="X367" s="683"/>
      <c r="Y367" s="683"/>
      <c r="Z367" s="683"/>
    </row>
    <row r="368" spans="1:26" ht="15" customHeight="1" x14ac:dyDescent="0.25">
      <c r="A368" s="3" t="s">
        <v>1966</v>
      </c>
      <c r="B368" s="3" t="s">
        <v>1964</v>
      </c>
      <c r="C368" s="3"/>
      <c r="D368" s="3"/>
      <c r="E368" s="683"/>
      <c r="F368" s="3"/>
      <c r="G368" s="3"/>
      <c r="H368" s="684"/>
      <c r="I368" s="683"/>
      <c r="J368" s="683"/>
      <c r="K368" s="683"/>
      <c r="L368" s="3"/>
      <c r="M368" s="3"/>
      <c r="N368" s="690"/>
      <c r="O368" s="3"/>
      <c r="P368" s="3"/>
      <c r="Q368" s="3"/>
      <c r="R368" s="3"/>
      <c r="S368" s="3"/>
      <c r="T368" s="3"/>
      <c r="U368" s="3"/>
      <c r="V368" s="3"/>
      <c r="W368" s="3"/>
      <c r="X368" s="3"/>
      <c r="Y368" s="3"/>
      <c r="Z368" s="3"/>
    </row>
    <row r="369" spans="1:26" ht="15" customHeight="1" x14ac:dyDescent="0.25">
      <c r="A369" s="3" t="s">
        <v>1967</v>
      </c>
      <c r="B369" s="3" t="s">
        <v>1964</v>
      </c>
      <c r="C369" s="3"/>
      <c r="D369" s="3"/>
      <c r="E369" s="683"/>
      <c r="F369" s="3"/>
      <c r="G369" s="3"/>
      <c r="H369" s="684"/>
      <c r="I369" s="683"/>
      <c r="J369" s="683"/>
      <c r="K369" s="683"/>
      <c r="L369" s="3"/>
      <c r="M369" s="3"/>
      <c r="N369" s="690"/>
      <c r="O369" s="3"/>
      <c r="P369" s="3"/>
      <c r="Q369" s="3"/>
      <c r="R369" s="3"/>
      <c r="S369" s="3"/>
      <c r="T369" s="3"/>
      <c r="U369" s="3"/>
      <c r="V369" s="3"/>
      <c r="W369" s="3"/>
      <c r="X369" s="3"/>
      <c r="Y369" s="3"/>
      <c r="Z369" s="3"/>
    </row>
    <row r="370" spans="1:26" ht="15" customHeight="1" x14ac:dyDescent="0.25">
      <c r="A370" s="3" t="s">
        <v>1968</v>
      </c>
      <c r="B370" s="683" t="s">
        <v>952</v>
      </c>
      <c r="C370" s="3"/>
      <c r="D370" s="3"/>
      <c r="E370" s="683"/>
      <c r="F370" s="3"/>
      <c r="G370" s="3"/>
      <c r="H370" s="684"/>
      <c r="I370" s="683"/>
      <c r="J370" s="683"/>
      <c r="K370" s="683"/>
      <c r="L370" s="3"/>
      <c r="M370" s="3"/>
      <c r="N370" s="690"/>
      <c r="O370" s="3"/>
      <c r="P370" s="3"/>
      <c r="Q370" s="3"/>
      <c r="R370" s="3"/>
      <c r="S370" s="3"/>
      <c r="T370" s="3"/>
      <c r="U370" s="3"/>
      <c r="V370" s="3"/>
      <c r="W370" s="3"/>
      <c r="X370" s="3"/>
      <c r="Y370" s="3"/>
      <c r="Z370" s="3"/>
    </row>
    <row r="371" spans="1:26" ht="15" customHeight="1" x14ac:dyDescent="0.25">
      <c r="A371" s="3" t="s">
        <v>1969</v>
      </c>
      <c r="B371" s="683" t="s">
        <v>952</v>
      </c>
      <c r="C371" s="3"/>
      <c r="D371" s="3"/>
      <c r="E371" s="683"/>
      <c r="F371" s="3"/>
      <c r="G371" s="3"/>
      <c r="H371" s="684"/>
      <c r="I371" s="683"/>
      <c r="J371" s="683"/>
      <c r="K371" s="683"/>
      <c r="L371" s="3"/>
      <c r="M371" s="3"/>
      <c r="N371" s="690"/>
      <c r="O371" s="3"/>
      <c r="P371" s="3"/>
      <c r="Q371" s="3"/>
      <c r="R371" s="3"/>
      <c r="S371" s="3"/>
      <c r="T371" s="3"/>
      <c r="U371" s="3"/>
      <c r="V371" s="3"/>
      <c r="W371" s="3"/>
      <c r="X371" s="3"/>
      <c r="Y371" s="3"/>
      <c r="Z371" s="3"/>
    </row>
    <row r="372" spans="1:26" ht="15" customHeight="1" x14ac:dyDescent="0.25">
      <c r="A372" s="683" t="s">
        <v>181</v>
      </c>
      <c r="B372" s="683" t="s">
        <v>952</v>
      </c>
      <c r="C372" s="3"/>
      <c r="D372" s="3"/>
      <c r="E372" s="683"/>
      <c r="F372" s="3"/>
      <c r="G372" s="3"/>
      <c r="H372" s="684"/>
      <c r="I372" s="683"/>
      <c r="J372" s="683"/>
      <c r="K372" s="683"/>
      <c r="L372" s="3"/>
      <c r="M372" s="3"/>
      <c r="N372" s="690"/>
      <c r="O372" s="3"/>
      <c r="P372" s="3"/>
      <c r="Q372" s="3"/>
      <c r="R372" s="3"/>
      <c r="S372" s="3"/>
      <c r="T372" s="3"/>
      <c r="U372" s="3"/>
      <c r="V372" s="3"/>
      <c r="W372" s="3"/>
      <c r="X372" s="3"/>
      <c r="Y372" s="3"/>
      <c r="Z372" s="3"/>
    </row>
    <row r="373" spans="1:26" ht="15" customHeight="1" x14ac:dyDescent="0.25">
      <c r="A373" s="683" t="s">
        <v>1970</v>
      </c>
      <c r="B373" s="3" t="s">
        <v>1964</v>
      </c>
      <c r="C373" s="3"/>
      <c r="D373" s="3"/>
      <c r="E373" s="683"/>
      <c r="F373" s="3" t="s">
        <v>1793</v>
      </c>
      <c r="G373" s="3"/>
      <c r="H373" s="684">
        <v>18</v>
      </c>
      <c r="I373" s="683"/>
      <c r="J373" s="683"/>
      <c r="K373" s="683"/>
      <c r="L373" s="3"/>
      <c r="M373" s="3"/>
      <c r="N373" s="690"/>
      <c r="O373" s="3"/>
      <c r="P373" s="3"/>
      <c r="Q373" s="3"/>
      <c r="R373" s="3"/>
      <c r="S373" s="3"/>
      <c r="T373" s="3"/>
      <c r="U373" s="3"/>
      <c r="V373" s="3"/>
      <c r="W373" s="3"/>
      <c r="X373" s="3"/>
      <c r="Y373" s="3"/>
      <c r="Z373" s="3"/>
    </row>
    <row r="374" spans="1:26" ht="15" customHeight="1" x14ac:dyDescent="0.25">
      <c r="A374" s="3" t="s">
        <v>1971</v>
      </c>
      <c r="B374" s="3" t="s">
        <v>952</v>
      </c>
      <c r="C374" s="3"/>
      <c r="D374" s="3"/>
      <c r="E374" s="683"/>
      <c r="F374" s="3"/>
      <c r="G374" s="3"/>
      <c r="H374" s="684"/>
      <c r="I374" s="683"/>
      <c r="J374" s="683"/>
      <c r="K374" s="683"/>
      <c r="L374" s="683"/>
      <c r="M374" s="683"/>
      <c r="N374" s="685"/>
      <c r="O374" s="683"/>
      <c r="P374" s="683"/>
      <c r="Q374" s="683"/>
      <c r="R374" s="683"/>
      <c r="S374" s="683"/>
      <c r="T374" s="683"/>
      <c r="U374" s="683"/>
      <c r="V374" s="683"/>
      <c r="W374" s="683"/>
      <c r="X374" s="683"/>
      <c r="Y374" s="683"/>
      <c r="Z374" s="683"/>
    </row>
    <row r="375" spans="1:26" ht="15" customHeight="1" x14ac:dyDescent="0.25">
      <c r="A375" s="683" t="s">
        <v>1972</v>
      </c>
      <c r="B375" s="683" t="s">
        <v>952</v>
      </c>
      <c r="C375" s="3"/>
      <c r="D375" s="3"/>
      <c r="E375" s="683"/>
      <c r="F375" s="3"/>
      <c r="G375" s="3"/>
      <c r="H375" s="684"/>
      <c r="I375" s="683"/>
      <c r="J375" s="683"/>
      <c r="K375" s="683"/>
      <c r="L375" s="683"/>
      <c r="M375" s="683"/>
      <c r="N375" s="685"/>
      <c r="O375" s="683"/>
      <c r="P375" s="683"/>
      <c r="Q375" s="683"/>
      <c r="R375" s="683"/>
      <c r="S375" s="683"/>
      <c r="T375" s="683"/>
      <c r="U375" s="683"/>
      <c r="V375" s="683"/>
      <c r="W375" s="683"/>
      <c r="X375" s="683"/>
      <c r="Y375" s="683"/>
      <c r="Z375" s="683"/>
    </row>
    <row r="376" spans="1:26" ht="15" customHeight="1" x14ac:dyDescent="0.25">
      <c r="A376" s="19" t="s">
        <v>1973</v>
      </c>
      <c r="B376" s="3" t="s">
        <v>1974</v>
      </c>
      <c r="C376" s="3"/>
      <c r="D376" s="3"/>
      <c r="E376" s="683"/>
      <c r="F376" s="3"/>
      <c r="G376" s="3"/>
      <c r="H376" s="684"/>
      <c r="I376" s="683"/>
      <c r="J376" s="683"/>
      <c r="K376" s="683"/>
      <c r="L376" s="683"/>
      <c r="M376" s="683"/>
      <c r="N376" s="685"/>
      <c r="O376" s="683"/>
      <c r="P376" s="683"/>
      <c r="Q376" s="683"/>
      <c r="R376" s="683"/>
      <c r="S376" s="683"/>
      <c r="T376" s="683"/>
      <c r="U376" s="683"/>
      <c r="V376" s="683"/>
      <c r="W376" s="683"/>
      <c r="X376" s="683"/>
      <c r="Y376" s="683"/>
      <c r="Z376" s="683"/>
    </row>
    <row r="377" spans="1:26" ht="15" customHeight="1" x14ac:dyDescent="0.25">
      <c r="A377" s="3" t="s">
        <v>1975</v>
      </c>
      <c r="B377" s="3" t="s">
        <v>1974</v>
      </c>
      <c r="C377" s="3"/>
      <c r="D377" s="3"/>
      <c r="E377" s="3"/>
      <c r="F377" s="3"/>
      <c r="G377" s="3"/>
      <c r="H377" s="684"/>
      <c r="I377" s="683"/>
      <c r="J377" s="683"/>
      <c r="K377" s="683"/>
      <c r="L377" s="683"/>
      <c r="M377" s="683"/>
      <c r="N377" s="685"/>
      <c r="O377" s="683"/>
      <c r="P377" s="683"/>
      <c r="Q377" s="683"/>
      <c r="R377" s="683"/>
      <c r="S377" s="683"/>
      <c r="T377" s="683"/>
      <c r="U377" s="683"/>
      <c r="V377" s="683"/>
      <c r="W377" s="683"/>
      <c r="X377" s="683"/>
      <c r="Y377" s="683"/>
      <c r="Z377" s="683"/>
    </row>
    <row r="378" spans="1:26" ht="15" customHeight="1" x14ac:dyDescent="0.25">
      <c r="A378" s="3" t="s">
        <v>1976</v>
      </c>
      <c r="B378" s="3" t="s">
        <v>1974</v>
      </c>
      <c r="C378" s="3"/>
      <c r="D378" s="3"/>
      <c r="E378" s="683"/>
      <c r="F378" s="683"/>
      <c r="G378" s="683"/>
      <c r="H378" s="684"/>
      <c r="I378" s="683"/>
      <c r="J378" s="683"/>
      <c r="K378" s="683"/>
      <c r="L378" s="683"/>
      <c r="M378" s="683"/>
      <c r="N378" s="685"/>
      <c r="O378" s="683"/>
      <c r="P378" s="683"/>
      <c r="Q378" s="683"/>
      <c r="R378" s="683"/>
      <c r="S378" s="683"/>
      <c r="T378" s="683"/>
      <c r="U378" s="683"/>
      <c r="V378" s="683"/>
      <c r="W378" s="683"/>
      <c r="X378" s="683"/>
      <c r="Y378" s="683"/>
      <c r="Z378" s="683"/>
    </row>
    <row r="379" spans="1:26" ht="15" customHeight="1" x14ac:dyDescent="0.25">
      <c r="A379" s="3" t="s">
        <v>1977</v>
      </c>
      <c r="B379" s="3" t="s">
        <v>1974</v>
      </c>
      <c r="C379" s="3"/>
      <c r="D379" s="3"/>
      <c r="E379" s="683"/>
      <c r="F379" s="683"/>
      <c r="G379" s="683"/>
      <c r="H379" s="684"/>
      <c r="I379" s="683"/>
      <c r="J379" s="683"/>
      <c r="K379" s="683"/>
      <c r="L379" s="683"/>
      <c r="M379" s="683"/>
      <c r="N379" s="685"/>
      <c r="O379" s="683"/>
      <c r="P379" s="683"/>
      <c r="Q379" s="683"/>
      <c r="R379" s="683"/>
      <c r="S379" s="683"/>
      <c r="T379" s="683"/>
      <c r="U379" s="683"/>
      <c r="V379" s="683"/>
      <c r="W379" s="683"/>
      <c r="X379" s="683"/>
      <c r="Y379" s="683"/>
      <c r="Z379" s="683"/>
    </row>
    <row r="380" spans="1:26" ht="15" customHeight="1" x14ac:dyDescent="0.25">
      <c r="A380" s="3"/>
      <c r="B380" s="3"/>
      <c r="C380" s="3"/>
      <c r="D380" s="3"/>
      <c r="E380" s="683"/>
      <c r="F380" s="683"/>
      <c r="G380" s="683"/>
      <c r="H380" s="684"/>
      <c r="I380" s="683"/>
      <c r="J380" s="683"/>
      <c r="K380" s="683"/>
      <c r="L380" s="683"/>
      <c r="M380" s="683"/>
      <c r="N380" s="685"/>
      <c r="O380" s="683"/>
      <c r="P380" s="683"/>
      <c r="Q380" s="683"/>
      <c r="R380" s="683"/>
      <c r="S380" s="683"/>
      <c r="T380" s="683"/>
      <c r="U380" s="683"/>
      <c r="V380" s="683"/>
      <c r="W380" s="683"/>
      <c r="X380" s="683"/>
      <c r="Y380" s="683"/>
      <c r="Z380" s="683"/>
    </row>
    <row r="381" spans="1:26" ht="15" customHeight="1" x14ac:dyDescent="0.25">
      <c r="A381" s="3"/>
      <c r="B381" s="3"/>
      <c r="C381" s="3"/>
      <c r="D381" s="3"/>
      <c r="E381" s="683"/>
      <c r="F381" s="3"/>
      <c r="G381" s="9" t="s">
        <v>1729</v>
      </c>
      <c r="H381" s="684"/>
      <c r="I381" s="683"/>
      <c r="J381" s="683"/>
      <c r="K381" s="683"/>
      <c r="L381" s="683"/>
      <c r="M381" s="683"/>
      <c r="N381" s="685"/>
      <c r="O381" s="683"/>
      <c r="P381" s="683"/>
      <c r="Q381" s="683"/>
      <c r="R381" s="683"/>
      <c r="S381" s="683"/>
      <c r="T381" s="683"/>
      <c r="U381" s="683"/>
      <c r="V381" s="683"/>
      <c r="W381" s="683"/>
      <c r="X381" s="683"/>
      <c r="Y381" s="683"/>
      <c r="Z381" s="683"/>
    </row>
    <row r="382" spans="1:26" ht="15" customHeight="1" x14ac:dyDescent="0.25">
      <c r="A382" s="3"/>
      <c r="B382" s="3"/>
      <c r="C382" s="3"/>
      <c r="D382" s="3"/>
      <c r="E382" s="683"/>
      <c r="F382" s="3" t="s">
        <v>1978</v>
      </c>
      <c r="G382" s="3"/>
      <c r="H382" s="684">
        <v>10</v>
      </c>
      <c r="I382" s="683"/>
      <c r="J382" s="683"/>
      <c r="K382" s="683"/>
      <c r="L382" s="683"/>
      <c r="M382" s="683"/>
      <c r="N382" s="685"/>
      <c r="O382" s="683"/>
      <c r="P382" s="683"/>
      <c r="Q382" s="683"/>
      <c r="R382" s="683"/>
      <c r="S382" s="683"/>
      <c r="T382" s="683"/>
      <c r="U382" s="683"/>
      <c r="V382" s="683"/>
      <c r="W382" s="683"/>
      <c r="X382" s="683"/>
      <c r="Y382" s="683"/>
      <c r="Z382" s="683"/>
    </row>
    <row r="383" spans="1:26" ht="15" customHeight="1" x14ac:dyDescent="0.25">
      <c r="A383" s="19"/>
      <c r="B383" s="3"/>
      <c r="C383" s="3"/>
      <c r="D383" s="3"/>
      <c r="E383" s="683"/>
      <c r="F383" s="3" t="s">
        <v>874</v>
      </c>
      <c r="G383" s="3"/>
      <c r="H383" s="684">
        <v>15</v>
      </c>
      <c r="I383" s="683" t="s">
        <v>1979</v>
      </c>
      <c r="J383" s="683"/>
      <c r="K383" s="683"/>
      <c r="L383" s="683"/>
      <c r="M383" s="683"/>
      <c r="N383" s="685"/>
      <c r="O383" s="683"/>
      <c r="P383" s="683"/>
      <c r="Q383" s="683"/>
      <c r="R383" s="683"/>
      <c r="S383" s="683"/>
      <c r="T383" s="683"/>
      <c r="U383" s="683"/>
      <c r="V383" s="683"/>
      <c r="W383" s="683"/>
      <c r="X383" s="683"/>
      <c r="Y383" s="683"/>
      <c r="Z383" s="683"/>
    </row>
    <row r="384" spans="1:26" ht="15" customHeight="1" x14ac:dyDescent="0.25">
      <c r="A384" s="3"/>
      <c r="B384" s="3"/>
      <c r="C384" s="3"/>
      <c r="D384" s="3"/>
      <c r="E384" s="683"/>
      <c r="F384" s="3" t="s">
        <v>718</v>
      </c>
      <c r="G384" s="3"/>
      <c r="H384" s="684">
        <v>20</v>
      </c>
      <c r="I384" s="683" t="s">
        <v>1980</v>
      </c>
      <c r="J384" s="683"/>
      <c r="K384" s="683"/>
      <c r="L384" s="683"/>
      <c r="M384" s="683"/>
      <c r="N384" s="685"/>
      <c r="O384" s="683"/>
      <c r="P384" s="683"/>
      <c r="Q384" s="683"/>
      <c r="R384" s="683"/>
      <c r="S384" s="683"/>
      <c r="T384" s="683"/>
      <c r="U384" s="683"/>
      <c r="V384" s="683"/>
      <c r="W384" s="683"/>
      <c r="X384" s="683"/>
      <c r="Y384" s="683"/>
      <c r="Z384" s="683"/>
    </row>
    <row r="385" spans="1:26" ht="15" customHeight="1" x14ac:dyDescent="0.25">
      <c r="A385" s="3"/>
      <c r="B385" s="3"/>
      <c r="C385" s="3"/>
      <c r="D385" s="3"/>
      <c r="E385" s="683"/>
      <c r="F385" s="3" t="s">
        <v>1317</v>
      </c>
      <c r="G385" s="3"/>
      <c r="H385" s="684">
        <v>14</v>
      </c>
      <c r="I385" s="683"/>
      <c r="J385" s="683"/>
      <c r="K385" s="683"/>
      <c r="L385" s="683"/>
      <c r="M385" s="683"/>
      <c r="N385" s="685"/>
      <c r="O385" s="683"/>
      <c r="P385" s="683"/>
      <c r="Q385" s="683"/>
      <c r="R385" s="683"/>
      <c r="S385" s="683"/>
      <c r="T385" s="683"/>
      <c r="U385" s="683"/>
      <c r="V385" s="683"/>
      <c r="W385" s="683"/>
      <c r="X385" s="683"/>
      <c r="Y385" s="683"/>
      <c r="Z385" s="683"/>
    </row>
    <row r="386" spans="1:26" ht="15" customHeight="1" x14ac:dyDescent="0.25">
      <c r="A386" s="3"/>
      <c r="B386" s="683"/>
      <c r="C386" s="3"/>
      <c r="D386" s="3"/>
      <c r="E386" s="683"/>
      <c r="F386" s="704" t="s">
        <v>1138</v>
      </c>
      <c r="G386" s="3" t="s">
        <v>94</v>
      </c>
      <c r="H386" s="684">
        <v>16</v>
      </c>
      <c r="I386" s="683"/>
      <c r="J386" s="683"/>
      <c r="K386" s="683"/>
      <c r="L386" s="683"/>
      <c r="M386" s="683"/>
      <c r="N386" s="685"/>
      <c r="O386" s="683"/>
      <c r="P386" s="683"/>
      <c r="Q386" s="683"/>
      <c r="R386" s="683"/>
      <c r="S386" s="683"/>
      <c r="T386" s="683"/>
      <c r="U386" s="683"/>
      <c r="V386" s="683"/>
      <c r="W386" s="683"/>
      <c r="X386" s="683"/>
      <c r="Y386" s="683"/>
      <c r="Z386" s="683"/>
    </row>
    <row r="387" spans="1:26" ht="15" customHeight="1" x14ac:dyDescent="0.25">
      <c r="A387" s="3"/>
      <c r="B387" s="683"/>
      <c r="C387" s="3"/>
      <c r="D387" s="3"/>
      <c r="E387" s="683"/>
      <c r="F387" s="38" t="s">
        <v>759</v>
      </c>
      <c r="H387" s="38">
        <v>22</v>
      </c>
      <c r="J387" s="683"/>
      <c r="K387" s="683"/>
      <c r="L387" s="683"/>
      <c r="M387" s="683"/>
      <c r="N387" s="685"/>
      <c r="O387" s="683"/>
      <c r="P387" s="683"/>
      <c r="Q387" s="683"/>
      <c r="R387" s="683"/>
      <c r="S387" s="683"/>
      <c r="T387" s="683"/>
      <c r="U387" s="683"/>
      <c r="V387" s="683"/>
      <c r="W387" s="683"/>
      <c r="X387" s="683"/>
      <c r="Y387" s="683"/>
      <c r="Z387" s="683"/>
    </row>
    <row r="388" spans="1:26" ht="15" customHeight="1" x14ac:dyDescent="0.25">
      <c r="A388" s="3"/>
      <c r="B388" s="683"/>
      <c r="C388" s="683"/>
      <c r="D388" s="3"/>
      <c r="E388" s="683"/>
      <c r="F388" s="38" t="s">
        <v>822</v>
      </c>
      <c r="H388" s="38">
        <v>45</v>
      </c>
      <c r="I388" s="38">
        <f>10+5+2+28</f>
        <v>45</v>
      </c>
      <c r="J388" s="683"/>
      <c r="K388" s="683"/>
      <c r="L388" s="683"/>
      <c r="M388" s="683"/>
      <c r="N388" s="685"/>
      <c r="O388" s="683"/>
      <c r="P388" s="683"/>
      <c r="Q388" s="683"/>
      <c r="R388" s="683"/>
      <c r="S388" s="683"/>
      <c r="T388" s="683"/>
      <c r="U388" s="683"/>
      <c r="V388" s="683"/>
      <c r="W388" s="683"/>
      <c r="X388" s="683"/>
      <c r="Y388" s="683"/>
      <c r="Z388" s="683"/>
    </row>
    <row r="389" spans="1:26" ht="15" customHeight="1" x14ac:dyDescent="0.25">
      <c r="A389" s="3"/>
      <c r="B389" s="683"/>
      <c r="C389" s="683"/>
      <c r="D389" s="3"/>
      <c r="E389" s="683"/>
      <c r="F389" s="3" t="s">
        <v>1875</v>
      </c>
      <c r="G389" s="3" t="s">
        <v>1876</v>
      </c>
      <c r="H389" s="684">
        <v>14</v>
      </c>
      <c r="I389" s="683"/>
      <c r="J389" s="683"/>
      <c r="K389" s="683"/>
      <c r="L389" s="683"/>
      <c r="M389" s="683"/>
      <c r="N389" s="685"/>
      <c r="O389" s="683"/>
      <c r="P389" s="683"/>
      <c r="Q389" s="683"/>
      <c r="R389" s="683"/>
      <c r="S389" s="683"/>
      <c r="T389" s="683"/>
      <c r="U389" s="683"/>
      <c r="V389" s="683"/>
      <c r="W389" s="683"/>
      <c r="X389" s="683"/>
      <c r="Y389" s="683"/>
      <c r="Z389" s="683"/>
    </row>
    <row r="390" spans="1:26" ht="15" customHeight="1" x14ac:dyDescent="0.25">
      <c r="A390" s="3"/>
      <c r="B390" s="683"/>
      <c r="C390" s="683"/>
      <c r="D390" s="3"/>
      <c r="E390" s="683"/>
      <c r="F390" s="3" t="s">
        <v>1250</v>
      </c>
      <c r="G390" s="3" t="s">
        <v>1878</v>
      </c>
      <c r="H390" s="684">
        <v>13</v>
      </c>
      <c r="I390" s="683"/>
      <c r="J390" s="683"/>
      <c r="K390" s="683"/>
      <c r="L390" s="683"/>
      <c r="M390" s="683"/>
      <c r="N390" s="685"/>
      <c r="O390" s="683"/>
      <c r="P390" s="683"/>
      <c r="Q390" s="683"/>
      <c r="R390" s="683"/>
      <c r="S390" s="683"/>
      <c r="T390" s="683"/>
      <c r="U390" s="683"/>
      <c r="V390" s="683"/>
      <c r="W390" s="683"/>
      <c r="X390" s="683"/>
      <c r="Y390" s="683"/>
      <c r="Z390" s="683"/>
    </row>
    <row r="391" spans="1:26" ht="15" customHeight="1" x14ac:dyDescent="0.25">
      <c r="A391" s="3"/>
      <c r="B391" s="683"/>
      <c r="C391" s="683"/>
      <c r="D391" s="3"/>
      <c r="E391" s="683"/>
      <c r="F391" s="3" t="s">
        <v>1068</v>
      </c>
      <c r="G391" s="3" t="s">
        <v>1880</v>
      </c>
      <c r="H391" s="684">
        <v>12</v>
      </c>
      <c r="I391" s="683"/>
      <c r="J391" s="683"/>
      <c r="K391" s="683"/>
      <c r="L391" s="683"/>
      <c r="M391" s="683"/>
      <c r="N391" s="685"/>
      <c r="O391" s="683"/>
      <c r="P391" s="683"/>
      <c r="Q391" s="683"/>
      <c r="R391" s="683"/>
      <c r="S391" s="683"/>
      <c r="T391" s="683"/>
      <c r="U391" s="683"/>
      <c r="V391" s="683"/>
      <c r="W391" s="683"/>
      <c r="X391" s="683"/>
      <c r="Y391" s="683"/>
      <c r="Z391" s="683"/>
    </row>
    <row r="392" spans="1:26" ht="15" customHeight="1" x14ac:dyDescent="0.25">
      <c r="A392" s="3"/>
      <c r="B392" s="683"/>
      <c r="C392" s="683"/>
      <c r="D392" s="3"/>
      <c r="E392" s="683"/>
      <c r="F392" s="3" t="s">
        <v>1293</v>
      </c>
      <c r="G392" s="3" t="s">
        <v>1802</v>
      </c>
      <c r="H392" s="684">
        <v>10</v>
      </c>
      <c r="I392" s="683"/>
      <c r="J392" s="683"/>
      <c r="K392" s="683"/>
      <c r="L392" s="683"/>
      <c r="M392" s="683"/>
      <c r="N392" s="685"/>
      <c r="O392" s="683"/>
      <c r="P392" s="683"/>
      <c r="Q392" s="683"/>
      <c r="R392" s="683"/>
      <c r="S392" s="683"/>
      <c r="T392" s="683"/>
      <c r="U392" s="683"/>
      <c r="V392" s="683"/>
      <c r="W392" s="683"/>
      <c r="X392" s="683"/>
      <c r="Y392" s="683"/>
      <c r="Z392" s="683"/>
    </row>
    <row r="393" spans="1:26" ht="15" customHeight="1" x14ac:dyDescent="0.25">
      <c r="A393" s="3"/>
      <c r="B393" s="683"/>
      <c r="C393" s="683"/>
      <c r="D393" s="3"/>
      <c r="E393" s="683"/>
      <c r="F393" s="3" t="s">
        <v>1793</v>
      </c>
      <c r="G393" s="3" t="s">
        <v>1804</v>
      </c>
      <c r="H393" s="684">
        <v>20</v>
      </c>
      <c r="I393" s="683"/>
      <c r="J393" s="683"/>
      <c r="K393" s="683"/>
      <c r="L393" s="683"/>
      <c r="M393" s="683"/>
      <c r="N393" s="685"/>
      <c r="O393" s="683"/>
      <c r="P393" s="683"/>
      <c r="Q393" s="683"/>
      <c r="R393" s="683"/>
      <c r="S393" s="683"/>
      <c r="T393" s="683"/>
      <c r="U393" s="683"/>
      <c r="V393" s="683"/>
      <c r="W393" s="683"/>
      <c r="X393" s="683"/>
      <c r="Y393" s="683"/>
      <c r="Z393" s="683"/>
    </row>
    <row r="394" spans="1:26" ht="15" customHeight="1" x14ac:dyDescent="0.25">
      <c r="A394" s="3"/>
      <c r="B394" s="683"/>
      <c r="C394" s="683"/>
      <c r="D394" s="3"/>
      <c r="E394" s="683"/>
      <c r="F394" s="3" t="s">
        <v>1477</v>
      </c>
      <c r="G394" s="3"/>
      <c r="H394" s="684">
        <v>10</v>
      </c>
      <c r="I394" s="683"/>
      <c r="J394" s="683"/>
      <c r="K394" s="683"/>
      <c r="L394" s="683"/>
      <c r="M394" s="683"/>
      <c r="N394" s="685"/>
      <c r="O394" s="683"/>
      <c r="P394" s="683"/>
      <c r="Q394" s="683"/>
      <c r="R394" s="683"/>
      <c r="S394" s="683"/>
      <c r="T394" s="683"/>
      <c r="U394" s="683"/>
      <c r="V394" s="683"/>
      <c r="W394" s="683"/>
      <c r="X394" s="683"/>
      <c r="Y394" s="683"/>
      <c r="Z394" s="683"/>
    </row>
    <row r="395" spans="1:26" ht="15" customHeight="1" x14ac:dyDescent="0.25">
      <c r="A395" s="3" t="s">
        <v>114</v>
      </c>
      <c r="B395" s="683" t="str">
        <f t="shared" ref="B395:B396" si="0">"+14 days open Far East"</f>
        <v>+14 days open Far East</v>
      </c>
      <c r="C395" s="683"/>
      <c r="D395" s="3"/>
      <c r="E395" s="683"/>
      <c r="F395" s="3" t="s">
        <v>1806</v>
      </c>
      <c r="G395" s="3"/>
      <c r="H395" s="684">
        <v>13</v>
      </c>
      <c r="I395" s="683"/>
      <c r="J395" s="683"/>
      <c r="K395" s="683"/>
      <c r="L395" s="683"/>
      <c r="M395" s="683"/>
      <c r="N395" s="685"/>
      <c r="O395" s="683"/>
      <c r="P395" s="683"/>
      <c r="Q395" s="683"/>
      <c r="R395" s="683"/>
      <c r="S395" s="683"/>
      <c r="T395" s="683"/>
      <c r="U395" s="683"/>
      <c r="V395" s="683"/>
      <c r="W395" s="683"/>
      <c r="X395" s="683"/>
      <c r="Y395" s="683"/>
      <c r="Z395" s="683"/>
    </row>
    <row r="396" spans="1:26" ht="15" customHeight="1" x14ac:dyDescent="0.25">
      <c r="A396" s="3" t="s">
        <v>1981</v>
      </c>
      <c r="B396" s="683" t="str">
        <f t="shared" si="0"/>
        <v>+14 days open Far East</v>
      </c>
      <c r="C396" s="683"/>
      <c r="D396" s="3"/>
      <c r="E396" s="683"/>
      <c r="F396" s="3" t="s">
        <v>729</v>
      </c>
      <c r="G396" s="3" t="s">
        <v>1803</v>
      </c>
      <c r="H396" s="684">
        <v>1</v>
      </c>
      <c r="I396" s="683"/>
      <c r="J396" s="683"/>
      <c r="K396" s="683"/>
      <c r="L396" s="683"/>
      <c r="M396" s="683"/>
      <c r="N396" s="685"/>
      <c r="O396" s="683"/>
      <c r="P396" s="683"/>
      <c r="Q396" s="683"/>
      <c r="R396" s="683"/>
      <c r="S396" s="683"/>
      <c r="T396" s="683"/>
      <c r="U396" s="683"/>
      <c r="V396" s="683"/>
      <c r="W396" s="683"/>
      <c r="X396" s="683"/>
      <c r="Y396" s="683"/>
      <c r="Z396" s="683"/>
    </row>
    <row r="397" spans="1:26" ht="15" customHeight="1" x14ac:dyDescent="0.25">
      <c r="A397" s="3"/>
      <c r="B397" s="683"/>
      <c r="C397" s="683"/>
      <c r="D397" s="3"/>
      <c r="E397" s="683"/>
      <c r="F397" s="3" t="s">
        <v>617</v>
      </c>
      <c r="G397" s="3"/>
      <c r="H397" s="684">
        <v>1</v>
      </c>
      <c r="I397" s="683"/>
      <c r="J397" s="683"/>
      <c r="K397" s="683"/>
      <c r="L397" s="683"/>
      <c r="M397" s="683"/>
      <c r="N397" s="685"/>
      <c r="O397" s="683"/>
      <c r="P397" s="683"/>
      <c r="Q397" s="683"/>
      <c r="R397" s="683"/>
      <c r="S397" s="683"/>
      <c r="T397" s="683"/>
      <c r="U397" s="683"/>
      <c r="V397" s="683"/>
      <c r="W397" s="683"/>
      <c r="X397" s="683"/>
      <c r="Y397" s="683"/>
      <c r="Z397" s="683"/>
    </row>
    <row r="398" spans="1:26" ht="15" customHeight="1" x14ac:dyDescent="0.25">
      <c r="A398" s="3"/>
      <c r="B398" s="683"/>
      <c r="C398" s="683"/>
      <c r="D398" s="3"/>
      <c r="E398" s="683"/>
      <c r="F398" s="3" t="s">
        <v>1901</v>
      </c>
      <c r="G398" s="3"/>
      <c r="H398" s="684">
        <v>5</v>
      </c>
      <c r="I398" s="683"/>
      <c r="J398" s="683"/>
      <c r="K398" s="683"/>
      <c r="L398" s="683"/>
      <c r="M398" s="683"/>
      <c r="N398" s="685"/>
      <c r="O398" s="683"/>
      <c r="P398" s="683"/>
      <c r="Q398" s="683"/>
      <c r="R398" s="683"/>
      <c r="S398" s="683"/>
      <c r="T398" s="683"/>
      <c r="U398" s="683"/>
      <c r="V398" s="683"/>
      <c r="W398" s="683"/>
      <c r="X398" s="683"/>
      <c r="Y398" s="683"/>
      <c r="Z398" s="683"/>
    </row>
    <row r="399" spans="1:26" ht="15" customHeight="1" x14ac:dyDescent="0.25">
      <c r="A399" s="3"/>
      <c r="B399" s="683"/>
      <c r="C399" s="683"/>
      <c r="D399" s="3"/>
      <c r="E399" s="683"/>
      <c r="F399" s="3" t="s">
        <v>1221</v>
      </c>
      <c r="G399" s="3"/>
      <c r="H399" s="684">
        <v>10</v>
      </c>
      <c r="I399" s="683"/>
      <c r="J399" s="683"/>
      <c r="K399" s="683"/>
      <c r="L399" s="683"/>
      <c r="M399" s="683"/>
      <c r="N399" s="685"/>
      <c r="O399" s="683"/>
      <c r="P399" s="683"/>
      <c r="Q399" s="683"/>
      <c r="R399" s="683"/>
      <c r="S399" s="683"/>
      <c r="T399" s="683"/>
      <c r="U399" s="683"/>
      <c r="V399" s="683"/>
      <c r="W399" s="683"/>
      <c r="X399" s="683"/>
      <c r="Y399" s="683"/>
      <c r="Z399" s="683"/>
    </row>
    <row r="400" spans="1:26" ht="15" customHeight="1" x14ac:dyDescent="0.25">
      <c r="A400" s="3"/>
      <c r="B400" s="683"/>
      <c r="C400" s="683"/>
      <c r="D400" s="3"/>
      <c r="E400" s="683"/>
      <c r="F400" s="3" t="s">
        <v>1982</v>
      </c>
      <c r="G400" s="3"/>
      <c r="H400" s="684">
        <v>0</v>
      </c>
      <c r="I400" s="683"/>
      <c r="J400" s="683"/>
      <c r="K400" s="683"/>
      <c r="L400" s="683"/>
      <c r="M400" s="683"/>
      <c r="N400" s="685"/>
      <c r="O400" s="683"/>
      <c r="P400" s="683"/>
      <c r="Q400" s="683"/>
      <c r="R400" s="683"/>
      <c r="S400" s="683"/>
      <c r="T400" s="683"/>
      <c r="U400" s="683"/>
      <c r="V400" s="683"/>
      <c r="W400" s="683"/>
      <c r="X400" s="683"/>
      <c r="Y400" s="683"/>
      <c r="Z400" s="683"/>
    </row>
    <row r="401" spans="1:26" ht="15" customHeight="1" x14ac:dyDescent="0.25">
      <c r="A401" s="3"/>
      <c r="B401" s="683"/>
      <c r="C401" s="683"/>
      <c r="D401" s="3"/>
      <c r="E401" s="683"/>
      <c r="F401" s="3" t="s">
        <v>1748</v>
      </c>
      <c r="G401" s="3"/>
      <c r="H401" s="684">
        <v>25.082999999999998</v>
      </c>
      <c r="I401" s="683"/>
      <c r="J401" s="683"/>
      <c r="K401" s="3"/>
      <c r="L401" s="683"/>
      <c r="M401" s="683"/>
      <c r="N401" s="685"/>
      <c r="O401" s="683"/>
      <c r="P401" s="683"/>
      <c r="Q401" s="683"/>
      <c r="R401" s="683"/>
      <c r="S401" s="683"/>
      <c r="T401" s="683"/>
      <c r="U401" s="683"/>
      <c r="V401" s="683"/>
      <c r="W401" s="683"/>
      <c r="X401" s="683"/>
      <c r="Y401" s="683"/>
      <c r="Z401" s="683"/>
    </row>
    <row r="402" spans="1:26" ht="15" customHeight="1" x14ac:dyDescent="0.25">
      <c r="A402" s="3" t="s">
        <v>1983</v>
      </c>
      <c r="B402" s="683" t="s">
        <v>1984</v>
      </c>
      <c r="C402" s="683"/>
      <c r="D402" s="3"/>
      <c r="E402" s="683"/>
      <c r="F402" s="3" t="s">
        <v>391</v>
      </c>
      <c r="G402" s="3"/>
      <c r="H402" s="684">
        <v>17</v>
      </c>
      <c r="I402" s="683"/>
      <c r="J402" s="683"/>
      <c r="K402" s="3"/>
      <c r="L402" s="683"/>
      <c r="M402" s="683"/>
      <c r="N402" s="685"/>
      <c r="O402" s="683"/>
      <c r="P402" s="683"/>
      <c r="Q402" s="683"/>
      <c r="R402" s="683"/>
      <c r="S402" s="683"/>
      <c r="T402" s="683"/>
      <c r="U402" s="683"/>
      <c r="V402" s="683"/>
      <c r="W402" s="683"/>
      <c r="X402" s="683"/>
      <c r="Y402" s="683"/>
      <c r="Z402" s="683"/>
    </row>
    <row r="403" spans="1:26" ht="15" customHeight="1" x14ac:dyDescent="0.25">
      <c r="A403" s="3" t="s">
        <v>725</v>
      </c>
      <c r="B403" s="683" t="s">
        <v>317</v>
      </c>
      <c r="C403" s="683"/>
      <c r="D403" s="3"/>
      <c r="E403" s="683"/>
      <c r="F403" s="3" t="s">
        <v>1763</v>
      </c>
      <c r="G403" s="3" t="s">
        <v>1985</v>
      </c>
      <c r="H403" s="684">
        <v>5</v>
      </c>
      <c r="I403" s="683"/>
      <c r="J403" s="683"/>
      <c r="K403" s="683"/>
      <c r="L403" s="683"/>
      <c r="M403" s="683"/>
      <c r="N403" s="685"/>
      <c r="O403" s="683"/>
      <c r="P403" s="683"/>
      <c r="Q403" s="683"/>
      <c r="R403" s="683"/>
      <c r="S403" s="683"/>
      <c r="T403" s="683"/>
      <c r="U403" s="683"/>
      <c r="V403" s="683"/>
      <c r="W403" s="683"/>
      <c r="X403" s="683"/>
      <c r="Y403" s="683"/>
      <c r="Z403" s="683"/>
    </row>
    <row r="404" spans="1:26" ht="15" customHeight="1" x14ac:dyDescent="0.25">
      <c r="A404" s="19" t="s">
        <v>1986</v>
      </c>
      <c r="B404" s="683" t="s">
        <v>317</v>
      </c>
      <c r="C404" s="683"/>
      <c r="D404" s="3"/>
      <c r="E404" s="683"/>
      <c r="F404" s="3" t="s">
        <v>778</v>
      </c>
      <c r="G404" s="3" t="s">
        <v>1763</v>
      </c>
      <c r="H404" s="684">
        <v>5</v>
      </c>
      <c r="I404" s="683"/>
      <c r="J404" s="683"/>
      <c r="K404" s="683"/>
      <c r="L404" s="683"/>
      <c r="M404" s="683"/>
      <c r="N404" s="685"/>
      <c r="O404" s="683"/>
      <c r="P404" s="683"/>
      <c r="Q404" s="683"/>
      <c r="R404" s="683"/>
      <c r="S404" s="683"/>
      <c r="T404" s="683"/>
      <c r="U404" s="683"/>
      <c r="V404" s="683"/>
      <c r="W404" s="683"/>
      <c r="X404" s="683"/>
      <c r="Y404" s="683"/>
      <c r="Z404" s="683"/>
    </row>
    <row r="405" spans="1:26" ht="15" customHeight="1" x14ac:dyDescent="0.25">
      <c r="A405" s="19"/>
      <c r="B405" s="683"/>
      <c r="C405" s="683"/>
      <c r="D405" s="3"/>
      <c r="E405" s="683"/>
      <c r="F405" s="3" t="s">
        <v>790</v>
      </c>
      <c r="G405" s="3" t="s">
        <v>1801</v>
      </c>
      <c r="H405" s="684">
        <v>2</v>
      </c>
      <c r="I405" s="683"/>
      <c r="J405" s="683"/>
      <c r="K405" s="683"/>
      <c r="L405" s="683"/>
      <c r="M405" s="683"/>
      <c r="N405" s="685"/>
      <c r="O405" s="683"/>
      <c r="P405" s="683"/>
      <c r="Q405" s="683"/>
      <c r="R405" s="683"/>
      <c r="S405" s="683"/>
      <c r="T405" s="683"/>
      <c r="U405" s="683"/>
      <c r="V405" s="683"/>
      <c r="W405" s="683"/>
      <c r="X405" s="683"/>
      <c r="Y405" s="683"/>
      <c r="Z405" s="683"/>
    </row>
    <row r="406" spans="1:26" ht="15" customHeight="1" x14ac:dyDescent="0.25">
      <c r="A406" s="19"/>
      <c r="B406" s="683"/>
      <c r="C406" s="683"/>
      <c r="D406" s="3"/>
      <c r="E406" s="683"/>
      <c r="F406" s="3" t="s">
        <v>1905</v>
      </c>
      <c r="G406" s="3" t="s">
        <v>1906</v>
      </c>
      <c r="H406" s="684">
        <v>0</v>
      </c>
      <c r="I406" s="683"/>
      <c r="J406" s="683"/>
      <c r="K406" s="683"/>
      <c r="L406" s="683"/>
      <c r="M406" s="683"/>
      <c r="N406" s="685"/>
      <c r="O406" s="683"/>
      <c r="P406" s="683"/>
      <c r="Q406" s="683"/>
      <c r="R406" s="683"/>
      <c r="S406" s="683"/>
      <c r="T406" s="683"/>
      <c r="U406" s="683"/>
      <c r="V406" s="683"/>
      <c r="W406" s="683"/>
      <c r="X406" s="683"/>
      <c r="Y406" s="683"/>
      <c r="Z406" s="683"/>
    </row>
    <row r="407" spans="1:26" ht="15" customHeight="1" x14ac:dyDescent="0.25">
      <c r="A407" s="3"/>
      <c r="B407" s="683"/>
      <c r="C407" s="683"/>
      <c r="D407" s="3"/>
      <c r="E407" s="683"/>
      <c r="F407" s="3" t="s">
        <v>312</v>
      </c>
      <c r="G407" s="3" t="s">
        <v>312</v>
      </c>
      <c r="H407" s="684">
        <v>5</v>
      </c>
      <c r="I407" s="683"/>
      <c r="J407" s="683"/>
      <c r="K407" s="683"/>
      <c r="L407" s="683"/>
      <c r="M407" s="683"/>
      <c r="N407" s="685"/>
      <c r="O407" s="683"/>
      <c r="P407" s="683"/>
      <c r="Q407" s="683"/>
      <c r="R407" s="683"/>
      <c r="S407" s="683"/>
      <c r="T407" s="683"/>
      <c r="U407" s="683"/>
      <c r="V407" s="683"/>
      <c r="W407" s="683"/>
      <c r="X407" s="683"/>
      <c r="Y407" s="683"/>
      <c r="Z407" s="683"/>
    </row>
    <row r="408" spans="1:26" ht="15" customHeight="1" x14ac:dyDescent="0.25">
      <c r="A408" s="3" t="s">
        <v>1987</v>
      </c>
      <c r="B408" s="683" t="s">
        <v>317</v>
      </c>
      <c r="C408" s="683"/>
      <c r="D408" s="3"/>
      <c r="E408" s="683"/>
      <c r="F408" s="3" t="s">
        <v>936</v>
      </c>
      <c r="G408" s="3" t="s">
        <v>1807</v>
      </c>
      <c r="H408" s="684">
        <v>3</v>
      </c>
      <c r="I408" s="683"/>
      <c r="J408" s="683"/>
      <c r="K408" s="683"/>
      <c r="L408" s="683"/>
      <c r="M408" s="683"/>
      <c r="N408" s="685"/>
      <c r="O408" s="683"/>
      <c r="P408" s="683"/>
      <c r="Q408" s="683"/>
      <c r="R408" s="683"/>
      <c r="S408" s="683"/>
      <c r="T408" s="683"/>
      <c r="U408" s="683"/>
      <c r="V408" s="683"/>
      <c r="W408" s="683"/>
      <c r="X408" s="683"/>
      <c r="Y408" s="683"/>
      <c r="Z408" s="683"/>
    </row>
    <row r="409" spans="1:26" ht="15" customHeight="1" x14ac:dyDescent="0.25">
      <c r="A409" s="3" t="s">
        <v>1988</v>
      </c>
      <c r="B409" s="683" t="s">
        <v>317</v>
      </c>
      <c r="C409" s="683"/>
      <c r="D409" s="3"/>
      <c r="E409" s="683"/>
      <c r="J409" s="683"/>
      <c r="K409" s="683"/>
      <c r="L409" s="683"/>
      <c r="M409" s="683"/>
      <c r="N409" s="685"/>
      <c r="O409" s="683"/>
      <c r="P409" s="683"/>
      <c r="Q409" s="683"/>
      <c r="R409" s="683"/>
      <c r="S409" s="683"/>
      <c r="T409" s="683"/>
      <c r="U409" s="683"/>
      <c r="V409" s="683"/>
      <c r="W409" s="683"/>
      <c r="X409" s="683"/>
      <c r="Y409" s="683"/>
      <c r="Z409" s="683"/>
    </row>
    <row r="410" spans="1:26" ht="15" customHeight="1" x14ac:dyDescent="0.25">
      <c r="A410" s="3" t="s">
        <v>1989</v>
      </c>
      <c r="B410" s="683" t="s">
        <v>317</v>
      </c>
      <c r="C410" s="683"/>
      <c r="D410" s="3"/>
      <c r="E410" s="683"/>
      <c r="F410" s="3" t="s">
        <v>990</v>
      </c>
      <c r="G410" s="3" t="s">
        <v>70</v>
      </c>
      <c r="H410" s="684">
        <v>15</v>
      </c>
      <c r="I410" s="683"/>
      <c r="J410" s="683"/>
      <c r="K410" s="683"/>
      <c r="L410" s="683"/>
      <c r="M410" s="683"/>
      <c r="N410" s="685"/>
      <c r="O410" s="683"/>
      <c r="P410" s="683"/>
      <c r="Q410" s="683"/>
      <c r="R410" s="683"/>
      <c r="S410" s="683"/>
      <c r="T410" s="683"/>
      <c r="U410" s="683"/>
      <c r="V410" s="683"/>
      <c r="W410" s="683"/>
      <c r="X410" s="683"/>
      <c r="Y410" s="683"/>
      <c r="Z410" s="683"/>
    </row>
    <row r="411" spans="1:26" ht="15" customHeight="1" x14ac:dyDescent="0.25">
      <c r="A411" s="3" t="s">
        <v>1990</v>
      </c>
      <c r="B411" s="683" t="s">
        <v>317</v>
      </c>
      <c r="C411" s="683"/>
      <c r="D411" s="3"/>
      <c r="E411" s="683"/>
      <c r="J411" s="683"/>
      <c r="K411" s="683"/>
      <c r="L411" s="683"/>
      <c r="M411" s="683"/>
      <c r="N411" s="685"/>
      <c r="O411" s="683"/>
      <c r="P411" s="683"/>
      <c r="Q411" s="683"/>
      <c r="R411" s="683"/>
      <c r="S411" s="683"/>
      <c r="T411" s="683"/>
      <c r="U411" s="683"/>
      <c r="V411" s="683"/>
      <c r="W411" s="683"/>
      <c r="X411" s="683"/>
      <c r="Y411" s="683"/>
      <c r="Z411" s="683"/>
    </row>
    <row r="412" spans="1:26" ht="15" customHeight="1" x14ac:dyDescent="0.25">
      <c r="A412" s="3" t="s">
        <v>1991</v>
      </c>
      <c r="B412" s="683" t="s">
        <v>317</v>
      </c>
      <c r="C412" s="683"/>
      <c r="D412" s="3"/>
      <c r="E412" s="683"/>
      <c r="F412" s="3"/>
      <c r="G412" s="3"/>
      <c r="H412" s="684" t="s">
        <v>1992</v>
      </c>
      <c r="I412" s="683" t="s">
        <v>1993</v>
      </c>
      <c r="J412" s="683"/>
      <c r="K412" s="683"/>
      <c r="L412" s="683"/>
      <c r="M412" s="683"/>
      <c r="N412" s="685"/>
      <c r="O412" s="683"/>
      <c r="P412" s="683"/>
      <c r="Q412" s="683"/>
      <c r="R412" s="683"/>
      <c r="S412" s="683"/>
      <c r="T412" s="683"/>
      <c r="U412" s="683"/>
      <c r="V412" s="683"/>
      <c r="W412" s="683"/>
      <c r="X412" s="683"/>
      <c r="Y412" s="683"/>
      <c r="Z412" s="683"/>
    </row>
    <row r="413" spans="1:26" ht="15" customHeight="1" x14ac:dyDescent="0.25">
      <c r="A413" s="3" t="s">
        <v>1994</v>
      </c>
      <c r="B413" s="683" t="s">
        <v>317</v>
      </c>
      <c r="C413" s="683"/>
      <c r="D413" s="3"/>
      <c r="E413" s="683"/>
      <c r="F413" s="704" t="s">
        <v>750</v>
      </c>
      <c r="G413" s="3"/>
      <c r="H413" s="684">
        <v>28</v>
      </c>
      <c r="I413" s="707">
        <v>19</v>
      </c>
      <c r="J413" s="683"/>
      <c r="K413" s="683"/>
      <c r="L413" s="683"/>
      <c r="M413" s="683"/>
      <c r="N413" s="685"/>
      <c r="O413" s="683"/>
      <c r="P413" s="683"/>
      <c r="Q413" s="683"/>
      <c r="R413" s="683"/>
      <c r="S413" s="683"/>
      <c r="T413" s="683"/>
      <c r="U413" s="683"/>
      <c r="V413" s="683"/>
      <c r="W413" s="683"/>
      <c r="X413" s="683"/>
      <c r="Y413" s="683"/>
      <c r="Z413" s="683"/>
    </row>
    <row r="414" spans="1:26" ht="15" customHeight="1" x14ac:dyDescent="0.25">
      <c r="A414" s="3" t="s">
        <v>1995</v>
      </c>
      <c r="B414" s="683" t="s">
        <v>317</v>
      </c>
      <c r="C414" s="683"/>
      <c r="D414" s="3"/>
      <c r="E414" s="683"/>
      <c r="F414" s="41" t="s">
        <v>909</v>
      </c>
      <c r="H414" s="692">
        <v>33</v>
      </c>
      <c r="I414" s="708"/>
      <c r="J414" s="683"/>
      <c r="K414" s="683"/>
      <c r="L414" s="683"/>
      <c r="M414" s="683"/>
      <c r="N414" s="685"/>
      <c r="O414" s="683"/>
      <c r="P414" s="683"/>
      <c r="Q414" s="683"/>
      <c r="R414" s="683"/>
      <c r="S414" s="683"/>
      <c r="T414" s="683"/>
      <c r="U414" s="683"/>
      <c r="V414" s="683"/>
      <c r="W414" s="683"/>
      <c r="X414" s="683"/>
      <c r="Y414" s="683"/>
      <c r="Z414" s="683"/>
    </row>
    <row r="415" spans="1:26" ht="15" customHeight="1" x14ac:dyDescent="0.25">
      <c r="A415" s="3" t="s">
        <v>152</v>
      </c>
      <c r="B415" s="683" t="s">
        <v>317</v>
      </c>
      <c r="C415" s="683"/>
      <c r="D415" s="3"/>
      <c r="E415" s="683"/>
      <c r="F415" s="3" t="s">
        <v>1751</v>
      </c>
      <c r="G415" s="3" t="s">
        <v>633</v>
      </c>
      <c r="H415" s="684">
        <v>28</v>
      </c>
      <c r="I415" s="707">
        <v>18</v>
      </c>
      <c r="J415" s="683"/>
      <c r="K415" s="683"/>
      <c r="L415" s="683"/>
      <c r="M415" s="683"/>
      <c r="N415" s="685"/>
      <c r="O415" s="683"/>
      <c r="P415" s="683"/>
      <c r="Q415" s="683"/>
      <c r="R415" s="683"/>
      <c r="S415" s="683"/>
      <c r="T415" s="683"/>
      <c r="U415" s="683"/>
      <c r="V415" s="683"/>
      <c r="W415" s="683"/>
      <c r="X415" s="683"/>
      <c r="Y415" s="683"/>
      <c r="Z415" s="683"/>
    </row>
    <row r="416" spans="1:26" ht="15" customHeight="1" x14ac:dyDescent="0.25">
      <c r="A416" s="3" t="s">
        <v>1996</v>
      </c>
      <c r="B416" s="683" t="s">
        <v>317</v>
      </c>
      <c r="C416" s="683"/>
      <c r="D416" s="3"/>
      <c r="E416" s="683"/>
      <c r="F416" s="38" t="s">
        <v>1196</v>
      </c>
      <c r="H416" s="38">
        <v>33</v>
      </c>
      <c r="J416" s="683"/>
      <c r="K416" s="683"/>
      <c r="L416" s="683"/>
      <c r="M416" s="683"/>
      <c r="N416" s="685"/>
      <c r="O416" s="683"/>
      <c r="P416" s="683"/>
      <c r="Q416" s="683"/>
      <c r="R416" s="683"/>
      <c r="S416" s="683"/>
      <c r="T416" s="683"/>
      <c r="U416" s="683"/>
      <c r="V416" s="683"/>
      <c r="W416" s="683"/>
      <c r="X416" s="683"/>
      <c r="Y416" s="683"/>
      <c r="Z416" s="683"/>
    </row>
    <row r="417" spans="1:26" ht="15" customHeight="1" x14ac:dyDescent="0.25">
      <c r="A417" s="88" t="s">
        <v>152</v>
      </c>
      <c r="B417" s="683" t="s">
        <v>317</v>
      </c>
      <c r="C417" s="683"/>
      <c r="D417" s="3"/>
      <c r="E417" s="683"/>
      <c r="F417" s="3" t="s">
        <v>734</v>
      </c>
      <c r="G417" s="3" t="s">
        <v>112</v>
      </c>
      <c r="H417" s="684">
        <v>29</v>
      </c>
      <c r="I417" s="707">
        <v>21</v>
      </c>
      <c r="J417" s="683"/>
      <c r="K417" s="683"/>
      <c r="L417" s="683"/>
      <c r="M417" s="683"/>
      <c r="N417" s="685"/>
      <c r="O417" s="683"/>
      <c r="P417" s="683"/>
      <c r="Q417" s="683"/>
      <c r="R417" s="683"/>
      <c r="S417" s="683"/>
      <c r="T417" s="683"/>
      <c r="U417" s="683"/>
      <c r="V417" s="683"/>
      <c r="W417" s="683"/>
      <c r="X417" s="683"/>
      <c r="Y417" s="683"/>
      <c r="Z417" s="683"/>
    </row>
    <row r="418" spans="1:26" ht="15" customHeight="1" x14ac:dyDescent="0.25">
      <c r="A418" s="3" t="s">
        <v>1997</v>
      </c>
      <c r="B418" s="683" t="s">
        <v>317</v>
      </c>
      <c r="C418" s="683"/>
      <c r="D418" s="3"/>
      <c r="E418" s="683"/>
      <c r="F418" s="3"/>
      <c r="G418" s="3"/>
      <c r="H418" s="684"/>
      <c r="I418" s="707"/>
      <c r="J418" s="683"/>
      <c r="K418" s="683"/>
      <c r="L418" s="683"/>
      <c r="M418" s="683"/>
      <c r="N418" s="685"/>
      <c r="O418" s="683"/>
      <c r="P418" s="683"/>
      <c r="Q418" s="683"/>
      <c r="R418" s="683"/>
      <c r="S418" s="683"/>
      <c r="T418" s="683"/>
      <c r="U418" s="683"/>
      <c r="V418" s="683"/>
      <c r="W418" s="683"/>
      <c r="X418" s="683"/>
      <c r="Y418" s="683"/>
      <c r="Z418" s="683"/>
    </row>
    <row r="419" spans="1:26" ht="15" customHeight="1" x14ac:dyDescent="0.25">
      <c r="A419" s="3" t="s">
        <v>107</v>
      </c>
      <c r="B419" s="3" t="s">
        <v>317</v>
      </c>
      <c r="C419" s="683"/>
      <c r="D419" s="3"/>
      <c r="E419" s="683"/>
      <c r="F419" s="3" t="s">
        <v>863</v>
      </c>
      <c r="G419" s="3" t="s">
        <v>1925</v>
      </c>
      <c r="H419" s="684">
        <v>28</v>
      </c>
      <c r="I419" s="707">
        <v>18</v>
      </c>
      <c r="J419" s="683"/>
      <c r="K419" s="683"/>
      <c r="L419" s="683"/>
      <c r="M419" s="683"/>
      <c r="N419" s="685"/>
      <c r="O419" s="683"/>
      <c r="P419" s="683"/>
      <c r="Q419" s="683"/>
      <c r="R419" s="683"/>
      <c r="S419" s="683"/>
      <c r="T419" s="683"/>
      <c r="U419" s="683"/>
      <c r="V419" s="683"/>
      <c r="W419" s="683"/>
      <c r="X419" s="683"/>
      <c r="Y419" s="683"/>
      <c r="Z419" s="683"/>
    </row>
    <row r="420" spans="1:26" ht="15" customHeight="1" x14ac:dyDescent="0.25">
      <c r="A420" s="3" t="s">
        <v>1998</v>
      </c>
      <c r="B420" s="3" t="s">
        <v>317</v>
      </c>
      <c r="C420" s="683"/>
      <c r="D420" s="3"/>
      <c r="E420" s="683"/>
      <c r="F420" s="3" t="s">
        <v>1079</v>
      </c>
      <c r="G420" s="3" t="s">
        <v>1999</v>
      </c>
      <c r="H420" s="684">
        <v>13</v>
      </c>
      <c r="I420" s="707">
        <v>14</v>
      </c>
      <c r="J420" s="683"/>
      <c r="K420" s="683"/>
      <c r="L420" s="683"/>
      <c r="M420" s="683"/>
      <c r="N420" s="685"/>
      <c r="O420" s="683"/>
      <c r="P420" s="683"/>
      <c r="Q420" s="683"/>
      <c r="R420" s="683"/>
      <c r="S420" s="683"/>
      <c r="T420" s="683"/>
      <c r="U420" s="683"/>
      <c r="V420" s="683"/>
      <c r="W420" s="683"/>
      <c r="X420" s="683"/>
      <c r="Y420" s="683"/>
      <c r="Z420" s="683"/>
    </row>
    <row r="421" spans="1:26" ht="15" customHeight="1" x14ac:dyDescent="0.25">
      <c r="A421" s="3" t="s">
        <v>317</v>
      </c>
      <c r="B421" s="683" t="s">
        <v>317</v>
      </c>
      <c r="C421" s="683"/>
      <c r="D421" s="3"/>
      <c r="E421" s="683"/>
      <c r="F421" s="3"/>
      <c r="G421" s="3"/>
      <c r="H421" s="684"/>
      <c r="I421" s="707"/>
      <c r="J421" s="683"/>
      <c r="K421" s="683"/>
      <c r="L421" s="683"/>
      <c r="M421" s="683"/>
      <c r="N421" s="685"/>
      <c r="O421" s="683"/>
      <c r="P421" s="683"/>
      <c r="Q421" s="683"/>
      <c r="R421" s="683"/>
      <c r="S421" s="683"/>
      <c r="T421" s="683"/>
      <c r="U421" s="683"/>
      <c r="V421" s="683"/>
      <c r="W421" s="683"/>
      <c r="X421" s="683"/>
      <c r="Y421" s="683"/>
      <c r="Z421" s="683"/>
    </row>
    <row r="422" spans="1:26" ht="15" customHeight="1" x14ac:dyDescent="0.25">
      <c r="A422" s="3" t="s">
        <v>2000</v>
      </c>
      <c r="B422" s="683" t="s">
        <v>317</v>
      </c>
      <c r="C422" s="683"/>
      <c r="D422" s="3"/>
      <c r="E422" s="683"/>
      <c r="F422" s="3" t="s">
        <v>1086</v>
      </c>
      <c r="G422" s="3" t="s">
        <v>163</v>
      </c>
      <c r="H422" s="684">
        <v>13</v>
      </c>
      <c r="I422" s="707"/>
      <c r="J422" s="683"/>
      <c r="K422" s="683"/>
      <c r="L422" s="683"/>
      <c r="M422" s="683"/>
      <c r="N422" s="685"/>
      <c r="O422" s="683"/>
      <c r="P422" s="683"/>
      <c r="Q422" s="683"/>
      <c r="R422" s="683"/>
      <c r="S422" s="683"/>
      <c r="T422" s="683"/>
      <c r="U422" s="683"/>
      <c r="V422" s="683"/>
      <c r="W422" s="683"/>
      <c r="X422" s="683"/>
      <c r="Y422" s="683"/>
      <c r="Z422" s="683"/>
    </row>
    <row r="423" spans="1:26" ht="15" customHeight="1" x14ac:dyDescent="0.25">
      <c r="A423" s="3" t="s">
        <v>2001</v>
      </c>
      <c r="B423" s="683" t="s">
        <v>317</v>
      </c>
      <c r="C423" s="683"/>
      <c r="D423" s="3"/>
      <c r="E423" s="683"/>
      <c r="F423" s="3" t="s">
        <v>797</v>
      </c>
      <c r="G423" s="3" t="s">
        <v>2002</v>
      </c>
      <c r="H423" s="684">
        <v>8</v>
      </c>
      <c r="I423" s="707"/>
      <c r="J423" s="683"/>
      <c r="K423" s="683"/>
      <c r="L423" s="683"/>
      <c r="M423" s="683"/>
      <c r="N423" s="685"/>
      <c r="O423" s="683"/>
      <c r="P423" s="683"/>
      <c r="Q423" s="683"/>
      <c r="R423" s="683"/>
      <c r="S423" s="683"/>
      <c r="T423" s="683"/>
      <c r="U423" s="683"/>
      <c r="V423" s="683"/>
      <c r="W423" s="683"/>
      <c r="X423" s="683"/>
      <c r="Y423" s="683"/>
      <c r="Z423" s="683"/>
    </row>
    <row r="424" spans="1:26" ht="15" customHeight="1" x14ac:dyDescent="0.25">
      <c r="A424" s="3" t="s">
        <v>2003</v>
      </c>
      <c r="B424" s="683" t="s">
        <v>317</v>
      </c>
      <c r="C424" s="683"/>
      <c r="D424" s="3"/>
      <c r="E424" s="683"/>
      <c r="F424" s="3" t="s">
        <v>217</v>
      </c>
      <c r="G424" s="3"/>
      <c r="H424" s="684">
        <v>26</v>
      </c>
      <c r="I424" s="707">
        <v>14</v>
      </c>
      <c r="J424" s="683"/>
      <c r="K424" s="683"/>
      <c r="L424" s="683"/>
      <c r="M424" s="683"/>
      <c r="N424" s="685"/>
      <c r="O424" s="683"/>
      <c r="P424" s="683"/>
      <c r="Q424" s="683"/>
      <c r="R424" s="683"/>
      <c r="S424" s="683"/>
      <c r="T424" s="683"/>
      <c r="U424" s="683"/>
      <c r="V424" s="683"/>
      <c r="W424" s="683"/>
      <c r="X424" s="683"/>
      <c r="Y424" s="683"/>
      <c r="Z424" s="683"/>
    </row>
    <row r="425" spans="1:26" ht="15" customHeight="1" x14ac:dyDescent="0.25">
      <c r="A425" s="3" t="s">
        <v>2004</v>
      </c>
      <c r="B425" s="683" t="s">
        <v>317</v>
      </c>
      <c r="C425" s="683"/>
      <c r="D425" s="3"/>
      <c r="E425" s="683"/>
      <c r="F425" s="3" t="s">
        <v>1808</v>
      </c>
      <c r="G425" s="3" t="s">
        <v>1809</v>
      </c>
      <c r="H425" s="684">
        <v>18</v>
      </c>
      <c r="I425" s="707"/>
      <c r="J425" s="683"/>
      <c r="K425" s="683"/>
      <c r="L425" s="683"/>
      <c r="M425" s="683"/>
      <c r="N425" s="685"/>
      <c r="O425" s="683"/>
      <c r="P425" s="683"/>
      <c r="Q425" s="683"/>
      <c r="R425" s="683"/>
      <c r="S425" s="683"/>
      <c r="T425" s="683"/>
      <c r="U425" s="683"/>
      <c r="V425" s="683"/>
      <c r="W425" s="683"/>
      <c r="X425" s="683"/>
      <c r="Y425" s="683"/>
      <c r="Z425" s="683"/>
    </row>
    <row r="426" spans="1:26" ht="15" customHeight="1" x14ac:dyDescent="0.25">
      <c r="A426" s="3" t="s">
        <v>2005</v>
      </c>
      <c r="B426" s="683" t="s">
        <v>2006</v>
      </c>
      <c r="C426" s="683"/>
      <c r="D426" s="3"/>
      <c r="E426" s="683"/>
      <c r="F426" s="3" t="s">
        <v>1757</v>
      </c>
      <c r="G426" s="3"/>
      <c r="H426" s="684">
        <v>35</v>
      </c>
      <c r="I426" s="707">
        <v>25</v>
      </c>
      <c r="J426" s="683"/>
      <c r="K426" s="683"/>
      <c r="L426" s="683"/>
      <c r="M426" s="683"/>
      <c r="N426" s="685"/>
      <c r="O426" s="683"/>
      <c r="P426" s="683"/>
      <c r="Q426" s="683"/>
      <c r="R426" s="683"/>
      <c r="S426" s="683"/>
      <c r="T426" s="683"/>
      <c r="U426" s="683"/>
      <c r="V426" s="683"/>
      <c r="W426" s="683"/>
      <c r="X426" s="683"/>
      <c r="Y426" s="683"/>
      <c r="Z426" s="683"/>
    </row>
    <row r="427" spans="1:26" ht="15" customHeight="1" x14ac:dyDescent="0.25">
      <c r="A427" s="3" t="s">
        <v>2007</v>
      </c>
      <c r="B427" s="683" t="s">
        <v>317</v>
      </c>
      <c r="C427" s="683"/>
      <c r="D427" s="3"/>
      <c r="E427" s="683"/>
      <c r="F427" s="3" t="s">
        <v>710</v>
      </c>
      <c r="G427" s="3" t="s">
        <v>1757</v>
      </c>
      <c r="H427" s="684">
        <v>35</v>
      </c>
      <c r="I427" s="707">
        <v>25</v>
      </c>
      <c r="J427" s="3"/>
      <c r="K427" s="683"/>
      <c r="L427" s="683"/>
      <c r="M427" s="683"/>
      <c r="N427" s="685"/>
      <c r="O427" s="683"/>
      <c r="P427" s="683"/>
      <c r="Q427" s="683"/>
      <c r="R427" s="683"/>
      <c r="S427" s="683"/>
      <c r="T427" s="683"/>
      <c r="U427" s="683"/>
      <c r="V427" s="683"/>
      <c r="W427" s="683"/>
      <c r="X427" s="683"/>
      <c r="Y427" s="683"/>
      <c r="Z427" s="683"/>
    </row>
    <row r="428" spans="1:26" ht="15" customHeight="1" x14ac:dyDescent="0.25">
      <c r="A428" s="3" t="s">
        <v>2008</v>
      </c>
      <c r="B428" s="683" t="s">
        <v>2006</v>
      </c>
      <c r="C428" s="683"/>
      <c r="D428" s="3"/>
      <c r="E428" s="683"/>
      <c r="F428" s="3" t="s">
        <v>754</v>
      </c>
      <c r="G428" s="3" t="s">
        <v>1759</v>
      </c>
      <c r="H428" s="684">
        <v>33</v>
      </c>
      <c r="I428" s="707">
        <v>23</v>
      </c>
      <c r="J428" s="683"/>
      <c r="K428" s="683"/>
      <c r="L428" s="683"/>
      <c r="M428" s="683"/>
      <c r="N428" s="685"/>
      <c r="O428" s="683"/>
      <c r="P428" s="683"/>
      <c r="Q428" s="683"/>
      <c r="R428" s="683"/>
      <c r="S428" s="683"/>
      <c r="T428" s="683"/>
      <c r="U428" s="683"/>
      <c r="V428" s="683"/>
      <c r="W428" s="683"/>
      <c r="X428" s="683"/>
      <c r="Y428" s="683"/>
      <c r="Z428" s="683"/>
    </row>
    <row r="429" spans="1:26" ht="15" customHeight="1" x14ac:dyDescent="0.25">
      <c r="A429" s="3" t="s">
        <v>2009</v>
      </c>
      <c r="B429" s="683" t="s">
        <v>2006</v>
      </c>
      <c r="C429" s="683"/>
      <c r="D429" s="3"/>
      <c r="E429" s="683"/>
      <c r="F429" s="3" t="s">
        <v>901</v>
      </c>
      <c r="G429" s="3" t="s">
        <v>1769</v>
      </c>
      <c r="H429" s="684">
        <v>35</v>
      </c>
      <c r="I429" s="707">
        <v>26</v>
      </c>
      <c r="J429" s="683"/>
      <c r="K429" s="683"/>
      <c r="L429" s="683"/>
      <c r="M429" s="683"/>
      <c r="N429" s="685"/>
      <c r="O429" s="683"/>
      <c r="P429" s="683"/>
      <c r="Q429" s="683"/>
      <c r="R429" s="683"/>
      <c r="S429" s="683"/>
      <c r="T429" s="683"/>
      <c r="U429" s="683"/>
      <c r="V429" s="683"/>
      <c r="W429" s="683"/>
      <c r="X429" s="683"/>
      <c r="Y429" s="683"/>
      <c r="Z429" s="683"/>
    </row>
    <row r="430" spans="1:26" ht="15" customHeight="1" x14ac:dyDescent="0.25">
      <c r="A430" s="3" t="s">
        <v>1876</v>
      </c>
      <c r="B430" s="683" t="s">
        <v>1875</v>
      </c>
      <c r="C430" s="683"/>
      <c r="D430" s="3"/>
      <c r="E430" s="683"/>
      <c r="F430" s="3" t="s">
        <v>1004</v>
      </c>
      <c r="G430" s="3" t="s">
        <v>493</v>
      </c>
      <c r="H430" s="684">
        <v>34</v>
      </c>
      <c r="I430" s="19">
        <v>24</v>
      </c>
      <c r="J430" s="683"/>
      <c r="K430" s="683"/>
      <c r="L430" s="683"/>
      <c r="M430" s="683"/>
      <c r="N430" s="685"/>
      <c r="O430" s="683"/>
      <c r="P430" s="683"/>
      <c r="Q430" s="683"/>
      <c r="R430" s="683"/>
      <c r="S430" s="683"/>
      <c r="T430" s="683"/>
      <c r="U430" s="683"/>
      <c r="V430" s="683"/>
      <c r="W430" s="683"/>
      <c r="X430" s="683"/>
      <c r="Y430" s="683"/>
      <c r="Z430" s="683"/>
    </row>
    <row r="431" spans="1:26" ht="15" customHeight="1" x14ac:dyDescent="0.25">
      <c r="A431" s="3" t="s">
        <v>2010</v>
      </c>
      <c r="B431" s="683" t="s">
        <v>2011</v>
      </c>
      <c r="C431" s="683"/>
      <c r="D431" s="3"/>
      <c r="E431" s="683"/>
      <c r="F431" s="3" t="s">
        <v>1417</v>
      </c>
      <c r="G431" s="3" t="s">
        <v>1753</v>
      </c>
      <c r="H431" s="684">
        <v>31</v>
      </c>
      <c r="I431" s="19">
        <v>21</v>
      </c>
      <c r="J431" s="683"/>
      <c r="K431" s="683"/>
      <c r="L431" s="683"/>
      <c r="M431" s="683"/>
      <c r="N431" s="685"/>
      <c r="O431" s="683"/>
      <c r="P431" s="683"/>
      <c r="Q431" s="683"/>
      <c r="R431" s="683"/>
      <c r="S431" s="683"/>
      <c r="T431" s="683"/>
      <c r="U431" s="683"/>
      <c r="V431" s="683"/>
      <c r="W431" s="683"/>
      <c r="X431" s="683"/>
      <c r="Y431" s="683"/>
      <c r="Z431" s="683"/>
    </row>
    <row r="432" spans="1:26" ht="15" customHeight="1" x14ac:dyDescent="0.25">
      <c r="A432" s="683" t="s">
        <v>2012</v>
      </c>
      <c r="B432" s="683"/>
      <c r="C432" s="683"/>
      <c r="D432" s="3"/>
      <c r="E432" s="683"/>
      <c r="F432" s="3" t="s">
        <v>860</v>
      </c>
      <c r="G432" s="3" t="s">
        <v>1754</v>
      </c>
      <c r="H432" s="684">
        <v>30</v>
      </c>
      <c r="I432" s="19">
        <v>20</v>
      </c>
      <c r="J432" s="683"/>
      <c r="K432" s="683"/>
      <c r="L432" s="683"/>
      <c r="M432" s="683"/>
      <c r="N432" s="685"/>
      <c r="O432" s="683"/>
      <c r="P432" s="683"/>
      <c r="Q432" s="683"/>
      <c r="R432" s="683"/>
      <c r="S432" s="683"/>
      <c r="T432" s="683"/>
      <c r="U432" s="683"/>
      <c r="V432" s="683"/>
      <c r="W432" s="683"/>
      <c r="X432" s="683"/>
      <c r="Y432" s="683"/>
      <c r="Z432" s="683"/>
    </row>
    <row r="433" spans="1:26" ht="15" customHeight="1" x14ac:dyDescent="0.25">
      <c r="A433" s="683"/>
      <c r="B433" s="683"/>
      <c r="C433" s="683"/>
      <c r="D433" s="3"/>
      <c r="E433" s="683"/>
      <c r="F433" s="3" t="s">
        <v>1373</v>
      </c>
      <c r="G433" s="3" t="s">
        <v>1755</v>
      </c>
      <c r="H433" s="684">
        <v>32</v>
      </c>
      <c r="I433" s="19">
        <v>22</v>
      </c>
      <c r="J433" s="683"/>
      <c r="K433" s="683"/>
      <c r="L433" s="683"/>
      <c r="M433" s="683"/>
      <c r="N433" s="685"/>
      <c r="O433" s="683"/>
      <c r="P433" s="683"/>
      <c r="Q433" s="683"/>
      <c r="R433" s="683"/>
      <c r="S433" s="683"/>
      <c r="T433" s="683"/>
      <c r="U433" s="683"/>
      <c r="V433" s="683"/>
      <c r="W433" s="683"/>
      <c r="X433" s="683"/>
      <c r="Y433" s="683"/>
      <c r="Z433" s="683"/>
    </row>
    <row r="434" spans="1:26" ht="15" customHeight="1" x14ac:dyDescent="0.25">
      <c r="A434" s="683" t="s">
        <v>2013</v>
      </c>
      <c r="B434" s="3" t="s">
        <v>2014</v>
      </c>
      <c r="C434" s="683"/>
      <c r="D434" s="3"/>
      <c r="E434" s="683"/>
      <c r="F434" s="3" t="s">
        <v>1761</v>
      </c>
      <c r="G434" s="683" t="s">
        <v>2015</v>
      </c>
      <c r="H434" s="684">
        <v>31</v>
      </c>
      <c r="I434" s="19">
        <v>28</v>
      </c>
      <c r="J434" s="683"/>
      <c r="K434" s="683"/>
      <c r="L434" s="683"/>
      <c r="M434" s="683"/>
      <c r="N434" s="685"/>
      <c r="O434" s="683"/>
      <c r="P434" s="683"/>
      <c r="Q434" s="683"/>
      <c r="R434" s="683"/>
      <c r="S434" s="683"/>
      <c r="T434" s="683"/>
      <c r="U434" s="683"/>
      <c r="V434" s="683"/>
      <c r="W434" s="683"/>
      <c r="X434" s="683"/>
      <c r="Y434" s="683"/>
      <c r="Z434" s="683"/>
    </row>
    <row r="435" spans="1:26" ht="15" customHeight="1" x14ac:dyDescent="0.25">
      <c r="A435" s="686" t="s">
        <v>2016</v>
      </c>
      <c r="B435" s="683" t="s">
        <v>1086</v>
      </c>
      <c r="C435" s="683"/>
      <c r="D435" s="3"/>
      <c r="E435" s="683"/>
      <c r="F435" s="3" t="s">
        <v>770</v>
      </c>
      <c r="G435" s="3" t="s">
        <v>259</v>
      </c>
      <c r="H435" s="684">
        <v>35</v>
      </c>
      <c r="I435" s="19">
        <v>26</v>
      </c>
      <c r="J435" s="683"/>
      <c r="K435" s="683"/>
      <c r="L435" s="683"/>
      <c r="M435" s="683"/>
      <c r="N435" s="685"/>
      <c r="O435" s="683"/>
      <c r="P435" s="683"/>
      <c r="Q435" s="683"/>
      <c r="R435" s="683"/>
      <c r="S435" s="683"/>
      <c r="T435" s="683"/>
      <c r="U435" s="683"/>
      <c r="V435" s="683"/>
      <c r="W435" s="683"/>
      <c r="X435" s="683"/>
      <c r="Y435" s="683"/>
      <c r="Z435" s="683"/>
    </row>
    <row r="436" spans="1:26" ht="15" customHeight="1" x14ac:dyDescent="0.25">
      <c r="A436" s="683" t="s">
        <v>2017</v>
      </c>
      <c r="B436" s="683" t="s">
        <v>1086</v>
      </c>
      <c r="C436" s="683"/>
      <c r="D436" s="3"/>
      <c r="E436" s="683"/>
      <c r="F436" s="3" t="s">
        <v>715</v>
      </c>
      <c r="G436" s="3" t="s">
        <v>194</v>
      </c>
      <c r="H436" s="684">
        <v>36</v>
      </c>
      <c r="I436" s="19">
        <v>27</v>
      </c>
      <c r="J436" s="683"/>
      <c r="K436" s="683"/>
      <c r="L436" s="683"/>
      <c r="M436" s="683"/>
      <c r="N436" s="685"/>
      <c r="O436" s="683"/>
      <c r="P436" s="683"/>
      <c r="Q436" s="683"/>
      <c r="R436" s="683"/>
      <c r="S436" s="683"/>
      <c r="T436" s="683"/>
      <c r="U436" s="683"/>
      <c r="V436" s="683"/>
      <c r="W436" s="683"/>
      <c r="X436" s="683"/>
      <c r="Y436" s="683"/>
      <c r="Z436" s="683"/>
    </row>
    <row r="437" spans="1:26" ht="15" customHeight="1" x14ac:dyDescent="0.25">
      <c r="A437" s="3" t="s">
        <v>2018</v>
      </c>
      <c r="B437" s="683" t="s">
        <v>1086</v>
      </c>
      <c r="C437" s="3"/>
      <c r="D437" s="3"/>
      <c r="E437" s="683"/>
      <c r="F437" s="3" t="s">
        <v>704</v>
      </c>
      <c r="G437" s="3"/>
      <c r="H437" s="684">
        <v>36</v>
      </c>
      <c r="I437" s="707"/>
      <c r="K437" s="683"/>
      <c r="L437" s="683"/>
      <c r="M437" s="683"/>
      <c r="N437" s="685"/>
      <c r="O437" s="683"/>
      <c r="P437" s="683"/>
      <c r="Q437" s="683"/>
      <c r="R437" s="683"/>
      <c r="S437" s="683"/>
      <c r="T437" s="683"/>
      <c r="U437" s="683"/>
      <c r="V437" s="683"/>
      <c r="W437" s="683"/>
      <c r="X437" s="683"/>
      <c r="Y437" s="683"/>
      <c r="Z437" s="683"/>
    </row>
    <row r="438" spans="1:26" ht="15" customHeight="1" x14ac:dyDescent="0.25">
      <c r="A438" s="3" t="s">
        <v>2019</v>
      </c>
      <c r="B438" s="683" t="s">
        <v>1086</v>
      </c>
      <c r="C438" s="683"/>
      <c r="D438" s="3"/>
      <c r="E438" s="683"/>
      <c r="F438" s="38" t="s">
        <v>295</v>
      </c>
      <c r="G438" s="38" t="s">
        <v>295</v>
      </c>
      <c r="H438" s="38">
        <v>26.625</v>
      </c>
      <c r="K438" s="683"/>
      <c r="L438" s="683"/>
      <c r="M438" s="683"/>
      <c r="N438" s="685"/>
      <c r="O438" s="683"/>
      <c r="P438" s="683"/>
      <c r="Q438" s="683"/>
      <c r="R438" s="683"/>
      <c r="S438" s="683"/>
      <c r="T438" s="683"/>
      <c r="U438" s="683"/>
      <c r="V438" s="683"/>
      <c r="W438" s="683"/>
      <c r="X438" s="683"/>
      <c r="Y438" s="683"/>
      <c r="Z438" s="683"/>
    </row>
    <row r="439" spans="1:26" ht="15" customHeight="1" x14ac:dyDescent="0.25">
      <c r="A439" s="3" t="s">
        <v>2020</v>
      </c>
      <c r="B439" s="683" t="s">
        <v>1086</v>
      </c>
      <c r="C439" s="683"/>
      <c r="D439" s="3"/>
      <c r="E439" s="683"/>
      <c r="K439" s="683"/>
      <c r="L439" s="683"/>
      <c r="M439" s="683"/>
      <c r="N439" s="685"/>
      <c r="O439" s="683"/>
      <c r="P439" s="683"/>
      <c r="Q439" s="683"/>
      <c r="R439" s="683"/>
      <c r="S439" s="683"/>
      <c r="T439" s="683"/>
      <c r="U439" s="683"/>
      <c r="V439" s="683"/>
      <c r="W439" s="683"/>
      <c r="X439" s="683"/>
      <c r="Y439" s="683"/>
      <c r="Z439" s="683"/>
    </row>
    <row r="440" spans="1:26" ht="15" customHeight="1" x14ac:dyDescent="0.25">
      <c r="A440" s="3" t="s">
        <v>2021</v>
      </c>
      <c r="B440" s="683" t="s">
        <v>1086</v>
      </c>
      <c r="C440" s="683"/>
      <c r="D440" s="3"/>
      <c r="E440" s="683"/>
      <c r="K440" s="683"/>
      <c r="L440" s="683"/>
      <c r="M440" s="683"/>
      <c r="N440" s="685"/>
      <c r="O440" s="683"/>
      <c r="P440" s="683"/>
      <c r="Q440" s="683"/>
      <c r="R440" s="683"/>
      <c r="S440" s="683"/>
      <c r="T440" s="683"/>
      <c r="U440" s="683"/>
      <c r="V440" s="683"/>
      <c r="W440" s="683"/>
      <c r="X440" s="683"/>
      <c r="Y440" s="683"/>
      <c r="Z440" s="683"/>
    </row>
    <row r="441" spans="1:26" ht="15" customHeight="1" x14ac:dyDescent="0.25">
      <c r="A441" s="19" t="s">
        <v>352</v>
      </c>
      <c r="B441" s="683" t="s">
        <v>1086</v>
      </c>
      <c r="C441" s="683"/>
      <c r="D441" s="3"/>
      <c r="E441" s="683"/>
      <c r="K441" s="683"/>
      <c r="L441" s="683"/>
      <c r="M441" s="683"/>
      <c r="N441" s="685"/>
      <c r="O441" s="683"/>
      <c r="P441" s="683"/>
      <c r="Q441" s="683"/>
      <c r="R441" s="683"/>
      <c r="S441" s="683"/>
      <c r="T441" s="683"/>
      <c r="U441" s="683"/>
      <c r="V441" s="683"/>
      <c r="W441" s="683"/>
      <c r="X441" s="683"/>
      <c r="Y441" s="683"/>
      <c r="Z441" s="683"/>
    </row>
    <row r="442" spans="1:26" ht="15" customHeight="1" x14ac:dyDescent="0.25">
      <c r="A442" s="3" t="s">
        <v>2022</v>
      </c>
      <c r="B442" s="683" t="s">
        <v>1086</v>
      </c>
      <c r="C442" s="683"/>
      <c r="D442" s="3"/>
      <c r="E442" s="683"/>
      <c r="J442" s="683"/>
      <c r="K442" s="683"/>
      <c r="L442" s="683"/>
      <c r="M442" s="683"/>
      <c r="N442" s="685"/>
      <c r="O442" s="683"/>
      <c r="P442" s="683"/>
      <c r="Q442" s="683"/>
      <c r="R442" s="683"/>
      <c r="S442" s="683"/>
      <c r="T442" s="683"/>
      <c r="U442" s="683"/>
      <c r="V442" s="683"/>
      <c r="W442" s="683"/>
      <c r="X442" s="683"/>
      <c r="Y442" s="683"/>
      <c r="Z442" s="683"/>
    </row>
    <row r="443" spans="1:26" ht="15" customHeight="1" x14ac:dyDescent="0.25">
      <c r="A443" s="3" t="s">
        <v>2023</v>
      </c>
      <c r="B443" s="683" t="s">
        <v>1086</v>
      </c>
      <c r="C443" s="683"/>
      <c r="D443" s="3"/>
      <c r="E443" s="683"/>
      <c r="J443" s="683"/>
      <c r="K443" s="683"/>
      <c r="L443" s="683"/>
      <c r="M443" s="683"/>
      <c r="N443" s="685"/>
      <c r="O443" s="683"/>
      <c r="P443" s="683"/>
      <c r="Q443" s="683"/>
      <c r="R443" s="683"/>
      <c r="S443" s="683"/>
      <c r="T443" s="683"/>
      <c r="U443" s="683"/>
      <c r="V443" s="683"/>
      <c r="W443" s="683"/>
      <c r="X443" s="683"/>
      <c r="Y443" s="683"/>
      <c r="Z443" s="683"/>
    </row>
    <row r="444" spans="1:26" ht="15" customHeight="1" x14ac:dyDescent="0.25">
      <c r="A444" s="3" t="s">
        <v>2024</v>
      </c>
      <c r="B444" s="683" t="s">
        <v>1086</v>
      </c>
      <c r="C444" s="683"/>
      <c r="D444" s="3"/>
      <c r="E444" s="683"/>
      <c r="J444" s="683"/>
      <c r="K444" s="683"/>
      <c r="L444" s="683"/>
      <c r="M444" s="683"/>
      <c r="N444" s="685"/>
      <c r="O444" s="683"/>
      <c r="P444" s="683"/>
      <c r="Q444" s="683"/>
      <c r="R444" s="683"/>
      <c r="S444" s="683"/>
      <c r="T444" s="683"/>
      <c r="U444" s="683"/>
      <c r="V444" s="683"/>
      <c r="W444" s="683"/>
      <c r="X444" s="683"/>
      <c r="Y444" s="683"/>
      <c r="Z444" s="683"/>
    </row>
    <row r="445" spans="1:26" ht="15" customHeight="1" x14ac:dyDescent="0.25">
      <c r="A445" s="3" t="s">
        <v>2025</v>
      </c>
      <c r="B445" s="683" t="s">
        <v>1086</v>
      </c>
      <c r="C445" s="683"/>
      <c r="D445" s="3"/>
      <c r="E445" s="683"/>
      <c r="F445" s="3"/>
      <c r="G445" s="3"/>
      <c r="H445" s="684"/>
      <c r="I445" s="683"/>
      <c r="J445" s="683"/>
      <c r="K445" s="683"/>
      <c r="L445" s="683"/>
      <c r="M445" s="683"/>
      <c r="N445" s="685"/>
      <c r="O445" s="683"/>
      <c r="P445" s="683"/>
      <c r="Q445" s="683"/>
      <c r="R445" s="683"/>
      <c r="S445" s="683"/>
      <c r="T445" s="683"/>
      <c r="U445" s="683"/>
      <c r="V445" s="683"/>
      <c r="W445" s="683"/>
      <c r="X445" s="683"/>
      <c r="Y445" s="683"/>
      <c r="Z445" s="683"/>
    </row>
    <row r="446" spans="1:26" ht="15" customHeight="1" x14ac:dyDescent="0.25">
      <c r="A446" s="3" t="s">
        <v>2026</v>
      </c>
      <c r="B446" s="683" t="s">
        <v>1086</v>
      </c>
      <c r="C446" s="683"/>
      <c r="D446" s="3"/>
      <c r="E446" s="683"/>
      <c r="F446" s="3"/>
      <c r="G446" s="3"/>
      <c r="H446" s="684"/>
      <c r="I446" s="683"/>
      <c r="J446" s="683"/>
      <c r="K446" s="683"/>
      <c r="L446" s="683"/>
      <c r="M446" s="683"/>
      <c r="N446" s="685"/>
      <c r="O446" s="683"/>
      <c r="P446" s="683"/>
      <c r="Q446" s="683"/>
      <c r="R446" s="683"/>
      <c r="S446" s="683"/>
      <c r="T446" s="683"/>
      <c r="U446" s="683"/>
      <c r="V446" s="683"/>
      <c r="W446" s="683"/>
      <c r="X446" s="683"/>
      <c r="Y446" s="683"/>
      <c r="Z446" s="683"/>
    </row>
    <row r="447" spans="1:26" ht="15" customHeight="1" x14ac:dyDescent="0.25">
      <c r="A447" s="3" t="s">
        <v>2027</v>
      </c>
      <c r="B447" s="683" t="s">
        <v>1086</v>
      </c>
      <c r="C447" s="683"/>
      <c r="D447" s="3"/>
      <c r="E447" s="683"/>
      <c r="F447" s="3"/>
      <c r="G447" s="9" t="s">
        <v>2028</v>
      </c>
      <c r="H447" s="690"/>
      <c r="I447" s="683"/>
      <c r="J447" s="683"/>
      <c r="K447" s="683"/>
      <c r="L447" s="683"/>
      <c r="M447" s="683"/>
      <c r="N447" s="685"/>
      <c r="O447" s="683"/>
      <c r="P447" s="683"/>
      <c r="Q447" s="683"/>
      <c r="R447" s="683"/>
      <c r="S447" s="683"/>
      <c r="T447" s="683"/>
      <c r="U447" s="683"/>
      <c r="V447" s="683"/>
      <c r="W447" s="683"/>
      <c r="X447" s="683"/>
      <c r="Y447" s="683"/>
      <c r="Z447" s="683"/>
    </row>
    <row r="448" spans="1:26" ht="15" customHeight="1" x14ac:dyDescent="0.25">
      <c r="A448" s="3" t="s">
        <v>2029</v>
      </c>
      <c r="B448" s="683" t="s">
        <v>1086</v>
      </c>
      <c r="C448" s="683"/>
      <c r="D448" s="3"/>
      <c r="E448" s="683"/>
      <c r="F448" s="683" t="s">
        <v>909</v>
      </c>
      <c r="G448" s="3"/>
      <c r="H448" s="709">
        <v>7</v>
      </c>
      <c r="I448" s="683"/>
      <c r="J448" s="683"/>
      <c r="K448" s="683"/>
      <c r="L448" s="683"/>
      <c r="M448" s="683"/>
      <c r="N448" s="685"/>
      <c r="O448" s="683"/>
      <c r="P448" s="683"/>
      <c r="Q448" s="683"/>
      <c r="R448" s="683"/>
      <c r="S448" s="683"/>
      <c r="T448" s="683"/>
      <c r="U448" s="683"/>
      <c r="V448" s="683"/>
      <c r="W448" s="683"/>
      <c r="X448" s="683"/>
      <c r="Y448" s="683"/>
      <c r="Z448" s="683"/>
    </row>
    <row r="449" spans="1:26" ht="15" customHeight="1" x14ac:dyDescent="0.25">
      <c r="A449" s="3" t="s">
        <v>2030</v>
      </c>
      <c r="B449" s="683" t="s">
        <v>1086</v>
      </c>
      <c r="C449" s="683"/>
      <c r="D449" s="3"/>
      <c r="E449" s="683"/>
      <c r="F449" s="38" t="s">
        <v>750</v>
      </c>
      <c r="H449" s="38">
        <v>0</v>
      </c>
      <c r="J449" s="683"/>
      <c r="K449" s="683"/>
      <c r="L449" s="683"/>
      <c r="M449" s="683"/>
      <c r="N449" s="685"/>
      <c r="O449" s="683"/>
      <c r="P449" s="683"/>
      <c r="Q449" s="683"/>
      <c r="R449" s="683"/>
      <c r="S449" s="683"/>
      <c r="T449" s="683"/>
      <c r="U449" s="683"/>
      <c r="V449" s="683"/>
      <c r="W449" s="683"/>
      <c r="X449" s="683"/>
      <c r="Y449" s="683"/>
      <c r="Z449" s="683"/>
    </row>
    <row r="450" spans="1:26" ht="15" customHeight="1" x14ac:dyDescent="0.25">
      <c r="A450" s="3" t="s">
        <v>2031</v>
      </c>
      <c r="B450" s="683" t="s">
        <v>1086</v>
      </c>
      <c r="C450" s="683"/>
      <c r="D450" s="3"/>
      <c r="E450" s="683"/>
      <c r="F450" s="683" t="s">
        <v>863</v>
      </c>
      <c r="G450" s="3"/>
      <c r="H450" s="709">
        <v>5</v>
      </c>
      <c r="I450" s="683"/>
      <c r="J450" s="683"/>
      <c r="K450" s="683"/>
      <c r="L450" s="683"/>
      <c r="M450" s="683"/>
      <c r="N450" s="685"/>
      <c r="O450" s="683"/>
      <c r="P450" s="683"/>
      <c r="Q450" s="683"/>
      <c r="R450" s="683"/>
      <c r="S450" s="683"/>
      <c r="T450" s="683"/>
      <c r="U450" s="683"/>
      <c r="V450" s="683"/>
      <c r="W450" s="683"/>
      <c r="X450" s="683"/>
      <c r="Y450" s="683"/>
      <c r="Z450" s="683"/>
    </row>
    <row r="451" spans="1:26" ht="15" customHeight="1" x14ac:dyDescent="0.25">
      <c r="A451" s="3" t="s">
        <v>2032</v>
      </c>
      <c r="B451" s="683" t="s">
        <v>1086</v>
      </c>
      <c r="C451" s="683"/>
      <c r="D451" s="3"/>
      <c r="E451" s="683"/>
      <c r="F451" s="683" t="s">
        <v>1746</v>
      </c>
      <c r="G451" s="3"/>
      <c r="H451" s="709">
        <v>12</v>
      </c>
      <c r="J451" s="683"/>
      <c r="K451" s="683"/>
      <c r="L451" s="683"/>
      <c r="M451" s="683"/>
      <c r="N451" s="685"/>
      <c r="O451" s="683"/>
      <c r="P451" s="683"/>
      <c r="Q451" s="683"/>
      <c r="R451" s="683"/>
      <c r="S451" s="683"/>
      <c r="T451" s="683"/>
      <c r="U451" s="683"/>
      <c r="V451" s="683"/>
      <c r="W451" s="683"/>
      <c r="X451" s="683"/>
      <c r="Y451" s="683"/>
      <c r="Z451" s="683"/>
    </row>
    <row r="452" spans="1:26" ht="15" customHeight="1" x14ac:dyDescent="0.25">
      <c r="A452" s="3" t="s">
        <v>2033</v>
      </c>
      <c r="B452" s="683" t="s">
        <v>1086</v>
      </c>
      <c r="C452" s="683"/>
      <c r="D452" s="3"/>
      <c r="E452" s="683"/>
      <c r="F452" s="704" t="s">
        <v>822</v>
      </c>
      <c r="G452" s="3"/>
      <c r="H452" s="709">
        <v>17</v>
      </c>
      <c r="J452" s="683"/>
      <c r="K452" s="683"/>
      <c r="L452" s="683"/>
      <c r="M452" s="683"/>
      <c r="N452" s="685"/>
      <c r="O452" s="683"/>
      <c r="P452" s="683"/>
      <c r="Q452" s="683"/>
      <c r="R452" s="683"/>
      <c r="S452" s="683"/>
      <c r="T452" s="683"/>
      <c r="U452" s="683"/>
      <c r="V452" s="683"/>
      <c r="W452" s="683"/>
      <c r="X452" s="683"/>
      <c r="Y452" s="683"/>
      <c r="Z452" s="683"/>
    </row>
    <row r="453" spans="1:26" ht="15" customHeight="1" x14ac:dyDescent="0.25">
      <c r="A453" s="3" t="s">
        <v>2034</v>
      </c>
      <c r="B453" s="683" t="s">
        <v>1086</v>
      </c>
      <c r="C453" s="683"/>
      <c r="D453" s="3"/>
      <c r="E453" s="683"/>
      <c r="F453" s="704" t="s">
        <v>1057</v>
      </c>
      <c r="G453" s="683" t="s">
        <v>94</v>
      </c>
      <c r="H453" s="710">
        <v>23</v>
      </c>
      <c r="J453" s="683"/>
      <c r="K453" s="683"/>
      <c r="L453" s="683"/>
      <c r="M453" s="683"/>
      <c r="N453" s="685"/>
      <c r="O453" s="683"/>
      <c r="P453" s="683"/>
      <c r="Q453" s="683"/>
      <c r="R453" s="683"/>
      <c r="S453" s="683"/>
      <c r="T453" s="683"/>
      <c r="U453" s="683"/>
      <c r="V453" s="683"/>
      <c r="W453" s="683"/>
      <c r="X453" s="683"/>
      <c r="Y453" s="683"/>
      <c r="Z453" s="683"/>
    </row>
    <row r="454" spans="1:26" ht="15" customHeight="1" x14ac:dyDescent="0.25">
      <c r="A454" s="3" t="s">
        <v>2035</v>
      </c>
      <c r="B454" s="683" t="s">
        <v>1086</v>
      </c>
      <c r="C454" s="683"/>
      <c r="D454" s="3"/>
      <c r="E454" s="683"/>
      <c r="F454" s="704" t="s">
        <v>1138</v>
      </c>
      <c r="G454" s="3" t="s">
        <v>94</v>
      </c>
      <c r="H454" s="710">
        <v>16</v>
      </c>
      <c r="J454" s="683"/>
      <c r="K454" s="683"/>
      <c r="L454" s="683"/>
      <c r="M454" s="683"/>
      <c r="N454" s="685"/>
      <c r="O454" s="683"/>
      <c r="P454" s="683"/>
      <c r="Q454" s="683"/>
      <c r="R454" s="683"/>
      <c r="S454" s="683"/>
      <c r="T454" s="683"/>
      <c r="U454" s="683"/>
      <c r="V454" s="683"/>
      <c r="W454" s="683"/>
      <c r="X454" s="683"/>
      <c r="Y454" s="683"/>
      <c r="Z454" s="683"/>
    </row>
    <row r="455" spans="1:26" ht="15" customHeight="1" x14ac:dyDescent="0.25">
      <c r="A455" s="3" t="s">
        <v>2036</v>
      </c>
      <c r="B455" s="683" t="s">
        <v>1086</v>
      </c>
      <c r="C455" s="683"/>
      <c r="D455" s="3"/>
      <c r="E455" s="683"/>
      <c r="F455" s="704" t="s">
        <v>1751</v>
      </c>
      <c r="G455" s="3"/>
      <c r="H455" s="709">
        <v>1</v>
      </c>
      <c r="J455" s="683"/>
      <c r="K455" s="683"/>
      <c r="L455" s="683"/>
      <c r="M455" s="683"/>
      <c r="N455" s="685"/>
      <c r="O455" s="683"/>
      <c r="P455" s="683"/>
      <c r="Q455" s="683"/>
      <c r="R455" s="683"/>
      <c r="S455" s="683"/>
      <c r="T455" s="683"/>
      <c r="U455" s="683"/>
      <c r="V455" s="683"/>
      <c r="W455" s="683"/>
      <c r="X455" s="683"/>
      <c r="Y455" s="683"/>
      <c r="Z455" s="683"/>
    </row>
    <row r="456" spans="1:26" ht="15" customHeight="1" x14ac:dyDescent="0.25">
      <c r="A456" s="3" t="s">
        <v>2037</v>
      </c>
      <c r="B456" s="683" t="s">
        <v>1086</v>
      </c>
      <c r="C456" s="683"/>
      <c r="D456" s="3"/>
      <c r="E456" s="683"/>
      <c r="F456" s="41" t="s">
        <v>1196</v>
      </c>
      <c r="H456" s="38">
        <v>5</v>
      </c>
      <c r="J456" s="683"/>
      <c r="K456" s="683"/>
      <c r="L456" s="683"/>
      <c r="M456" s="683"/>
      <c r="N456" s="685"/>
      <c r="O456" s="683"/>
      <c r="P456" s="683"/>
      <c r="Q456" s="683"/>
      <c r="R456" s="683"/>
      <c r="S456" s="683"/>
      <c r="T456" s="683"/>
      <c r="U456" s="683"/>
      <c r="V456" s="683"/>
      <c r="W456" s="683"/>
      <c r="X456" s="683"/>
      <c r="Y456" s="683"/>
      <c r="Z456" s="683"/>
    </row>
    <row r="457" spans="1:26" ht="15" customHeight="1" x14ac:dyDescent="0.25">
      <c r="A457" s="3" t="s">
        <v>2038</v>
      </c>
      <c r="B457" s="683" t="s">
        <v>1086</v>
      </c>
      <c r="C457" s="683"/>
      <c r="D457" s="3"/>
      <c r="E457" s="683"/>
      <c r="F457" s="683" t="s">
        <v>734</v>
      </c>
      <c r="G457" s="683" t="s">
        <v>1752</v>
      </c>
      <c r="H457" s="709">
        <v>3</v>
      </c>
      <c r="J457" s="683"/>
      <c r="K457" s="683"/>
      <c r="L457" s="683"/>
      <c r="M457" s="683"/>
      <c r="N457" s="685"/>
      <c r="O457" s="683"/>
      <c r="P457" s="683"/>
      <c r="Q457" s="683"/>
      <c r="R457" s="683"/>
      <c r="S457" s="683"/>
      <c r="T457" s="683"/>
      <c r="U457" s="683"/>
      <c r="V457" s="683"/>
      <c r="W457" s="683"/>
      <c r="X457" s="683"/>
      <c r="Y457" s="683"/>
      <c r="Z457" s="683"/>
    </row>
    <row r="458" spans="1:26" ht="15" customHeight="1" x14ac:dyDescent="0.25">
      <c r="A458" s="3" t="s">
        <v>2039</v>
      </c>
      <c r="B458" s="683" t="s">
        <v>1086</v>
      </c>
      <c r="C458" s="683"/>
      <c r="D458" s="3"/>
      <c r="E458" s="683"/>
      <c r="F458" s="683" t="s">
        <v>1417</v>
      </c>
      <c r="G458" s="683" t="s">
        <v>1753</v>
      </c>
      <c r="H458" s="710">
        <v>2</v>
      </c>
      <c r="J458" s="683"/>
      <c r="K458" s="683"/>
      <c r="L458" s="683"/>
      <c r="M458" s="683"/>
      <c r="N458" s="685"/>
      <c r="O458" s="683"/>
      <c r="P458" s="683"/>
      <c r="Q458" s="683"/>
      <c r="R458" s="683"/>
      <c r="S458" s="683"/>
      <c r="T458" s="683"/>
      <c r="U458" s="683"/>
      <c r="V458" s="683"/>
      <c r="W458" s="683"/>
      <c r="X458" s="683"/>
      <c r="Y458" s="683"/>
      <c r="Z458" s="683"/>
    </row>
    <row r="459" spans="1:26" ht="15" customHeight="1" x14ac:dyDescent="0.25">
      <c r="A459" s="3" t="s">
        <v>2040</v>
      </c>
      <c r="B459" s="683" t="s">
        <v>1086</v>
      </c>
      <c r="C459" s="683"/>
      <c r="D459" s="3"/>
      <c r="E459" s="683"/>
      <c r="F459" s="683" t="s">
        <v>217</v>
      </c>
      <c r="G459" s="683"/>
      <c r="H459" s="710">
        <v>6</v>
      </c>
      <c r="I459" s="45"/>
      <c r="J459" s="683"/>
      <c r="K459" s="683"/>
      <c r="L459" s="683"/>
      <c r="M459" s="683"/>
      <c r="N459" s="685"/>
      <c r="O459" s="683"/>
      <c r="P459" s="683"/>
      <c r="Q459" s="683"/>
      <c r="R459" s="683"/>
      <c r="S459" s="683"/>
      <c r="T459" s="683"/>
      <c r="U459" s="683"/>
      <c r="V459" s="683"/>
      <c r="W459" s="683"/>
      <c r="X459" s="683"/>
      <c r="Y459" s="683"/>
      <c r="Z459" s="683"/>
    </row>
    <row r="460" spans="1:26" ht="15" customHeight="1" x14ac:dyDescent="0.25">
      <c r="A460" s="3" t="s">
        <v>2041</v>
      </c>
      <c r="B460" s="683" t="s">
        <v>1086</v>
      </c>
      <c r="C460" s="683"/>
      <c r="D460" s="3"/>
      <c r="E460" s="683"/>
      <c r="F460" s="683" t="s">
        <v>391</v>
      </c>
      <c r="G460" s="683"/>
      <c r="H460" s="710">
        <v>13</v>
      </c>
      <c r="I460" s="45"/>
      <c r="J460" s="683"/>
      <c r="K460" s="683"/>
      <c r="L460" s="683"/>
      <c r="M460" s="683"/>
      <c r="N460" s="685"/>
      <c r="O460" s="683"/>
      <c r="P460" s="683"/>
      <c r="Q460" s="683"/>
      <c r="R460" s="683"/>
      <c r="S460" s="683"/>
      <c r="T460" s="683"/>
      <c r="U460" s="683"/>
      <c r="V460" s="683"/>
      <c r="W460" s="683"/>
      <c r="X460" s="683"/>
      <c r="Y460" s="683"/>
      <c r="Z460" s="683"/>
    </row>
    <row r="461" spans="1:26" ht="15" customHeight="1" x14ac:dyDescent="0.25">
      <c r="A461" s="3" t="s">
        <v>2042</v>
      </c>
      <c r="B461" s="683" t="s">
        <v>1086</v>
      </c>
      <c r="C461" s="683"/>
      <c r="D461" s="3"/>
      <c r="E461" s="683"/>
      <c r="F461" s="3" t="s">
        <v>1748</v>
      </c>
      <c r="G461" s="683"/>
      <c r="H461" s="710">
        <v>18.5</v>
      </c>
      <c r="I461" s="45"/>
      <c r="J461" s="683"/>
      <c r="K461" s="683"/>
      <c r="L461" s="683"/>
      <c r="M461" s="683"/>
      <c r="N461" s="685"/>
      <c r="O461" s="683"/>
      <c r="P461" s="683"/>
      <c r="Q461" s="683"/>
      <c r="R461" s="683"/>
      <c r="S461" s="683"/>
      <c r="T461" s="683"/>
      <c r="U461" s="683"/>
      <c r="V461" s="683"/>
      <c r="W461" s="683"/>
      <c r="X461" s="683"/>
      <c r="Y461" s="683"/>
      <c r="Z461" s="683"/>
    </row>
    <row r="462" spans="1:26" ht="15" customHeight="1" x14ac:dyDescent="0.25">
      <c r="A462" s="3" t="s">
        <v>2043</v>
      </c>
      <c r="B462" s="683" t="s">
        <v>1086</v>
      </c>
      <c r="C462" s="683"/>
      <c r="D462" s="3"/>
      <c r="E462" s="683"/>
      <c r="F462" s="683" t="s">
        <v>860</v>
      </c>
      <c r="G462" s="683" t="s">
        <v>1786</v>
      </c>
      <c r="H462" s="710">
        <v>2</v>
      </c>
      <c r="J462" s="683"/>
      <c r="K462" s="683"/>
      <c r="L462" s="683"/>
      <c r="M462" s="683"/>
      <c r="N462" s="685"/>
      <c r="O462" s="683"/>
      <c r="P462" s="683"/>
      <c r="Q462" s="683"/>
      <c r="R462" s="683"/>
      <c r="S462" s="683"/>
      <c r="T462" s="683"/>
      <c r="U462" s="683"/>
      <c r="V462" s="683"/>
      <c r="W462" s="683"/>
      <c r="X462" s="683"/>
      <c r="Y462" s="683"/>
      <c r="Z462" s="683"/>
    </row>
    <row r="463" spans="1:26" ht="15" customHeight="1" x14ac:dyDescent="0.25">
      <c r="A463" s="3" t="s">
        <v>2044</v>
      </c>
      <c r="B463" s="683" t="s">
        <v>1086</v>
      </c>
      <c r="C463" s="683"/>
      <c r="D463" s="3"/>
      <c r="E463" s="683"/>
      <c r="F463" s="683" t="s">
        <v>1373</v>
      </c>
      <c r="G463" s="683" t="s">
        <v>1755</v>
      </c>
      <c r="H463" s="710">
        <v>4</v>
      </c>
      <c r="J463" s="683"/>
      <c r="K463" s="683"/>
      <c r="L463" s="683"/>
      <c r="M463" s="683"/>
      <c r="N463" s="685"/>
      <c r="O463" s="683"/>
      <c r="P463" s="683"/>
      <c r="Q463" s="683"/>
      <c r="R463" s="683"/>
      <c r="S463" s="683"/>
      <c r="T463" s="683"/>
      <c r="U463" s="683"/>
      <c r="V463" s="683"/>
      <c r="W463" s="683"/>
      <c r="X463" s="683"/>
      <c r="Y463" s="683"/>
      <c r="Z463" s="683"/>
    </row>
    <row r="464" spans="1:26" ht="15" customHeight="1" x14ac:dyDescent="0.25">
      <c r="A464" s="3" t="s">
        <v>2045</v>
      </c>
      <c r="B464" s="683" t="s">
        <v>1086</v>
      </c>
      <c r="C464" s="683"/>
      <c r="D464" s="3"/>
      <c r="E464" s="683"/>
      <c r="F464" s="683" t="s">
        <v>1004</v>
      </c>
      <c r="G464" s="683" t="s">
        <v>1756</v>
      </c>
      <c r="H464" s="710">
        <v>6</v>
      </c>
      <c r="J464" s="683"/>
      <c r="K464" s="683"/>
      <c r="L464" s="683"/>
      <c r="M464" s="683"/>
      <c r="N464" s="685"/>
      <c r="O464" s="683"/>
      <c r="P464" s="683"/>
      <c r="Q464" s="683"/>
      <c r="R464" s="683"/>
      <c r="S464" s="683"/>
      <c r="T464" s="683"/>
      <c r="U464" s="683"/>
      <c r="V464" s="683"/>
      <c r="W464" s="683"/>
      <c r="X464" s="683"/>
      <c r="Y464" s="683"/>
      <c r="Z464" s="683"/>
    </row>
    <row r="465" spans="1:26" ht="15" customHeight="1" x14ac:dyDescent="0.25">
      <c r="A465" s="3" t="s">
        <v>2046</v>
      </c>
      <c r="B465" s="683" t="s">
        <v>1086</v>
      </c>
      <c r="C465" s="683"/>
      <c r="D465" s="3"/>
      <c r="E465" s="683"/>
      <c r="F465" s="683" t="s">
        <v>1757</v>
      </c>
      <c r="G465" s="3"/>
      <c r="H465" s="710">
        <v>6</v>
      </c>
      <c r="I465" s="683"/>
      <c r="J465" s="683"/>
      <c r="K465" s="683"/>
      <c r="L465" s="683"/>
      <c r="M465" s="683"/>
      <c r="N465" s="685"/>
      <c r="O465" s="683"/>
      <c r="P465" s="683"/>
      <c r="Q465" s="683"/>
      <c r="R465" s="683"/>
      <c r="S465" s="683"/>
      <c r="T465" s="683"/>
      <c r="U465" s="683"/>
      <c r="V465" s="683"/>
      <c r="W465" s="683"/>
      <c r="X465" s="683"/>
      <c r="Y465" s="683"/>
      <c r="Z465" s="683"/>
    </row>
    <row r="466" spans="1:26" ht="15" customHeight="1" x14ac:dyDescent="0.25">
      <c r="A466" s="3" t="s">
        <v>2047</v>
      </c>
      <c r="B466" s="683" t="s">
        <v>1086</v>
      </c>
      <c r="C466" s="683"/>
      <c r="D466" s="3"/>
      <c r="E466" s="683"/>
      <c r="F466" s="3" t="s">
        <v>710</v>
      </c>
      <c r="G466" s="3" t="s">
        <v>1757</v>
      </c>
      <c r="H466" s="710">
        <v>6</v>
      </c>
      <c r="I466" s="683"/>
      <c r="J466" s="683"/>
      <c r="K466" s="683"/>
      <c r="L466" s="683"/>
      <c r="M466" s="683"/>
      <c r="N466" s="685"/>
      <c r="O466" s="683"/>
      <c r="P466" s="683"/>
      <c r="Q466" s="683"/>
      <c r="R466" s="683"/>
      <c r="S466" s="683"/>
      <c r="T466" s="683"/>
      <c r="U466" s="683"/>
      <c r="V466" s="683"/>
      <c r="W466" s="683"/>
      <c r="X466" s="683"/>
      <c r="Y466" s="683"/>
      <c r="Z466" s="683"/>
    </row>
    <row r="467" spans="1:26" ht="15" customHeight="1" x14ac:dyDescent="0.25">
      <c r="A467" s="3" t="s">
        <v>2048</v>
      </c>
      <c r="B467" s="683" t="s">
        <v>1086</v>
      </c>
      <c r="C467" s="683"/>
      <c r="D467" s="3"/>
      <c r="E467" s="683"/>
      <c r="F467" s="683" t="s">
        <v>192</v>
      </c>
      <c r="G467" s="683" t="s">
        <v>1757</v>
      </c>
      <c r="H467" s="710">
        <v>6</v>
      </c>
      <c r="I467" s="683"/>
      <c r="J467" s="683"/>
      <c r="K467" s="683"/>
      <c r="L467" s="683"/>
      <c r="M467" s="683"/>
      <c r="N467" s="685"/>
      <c r="O467" s="683"/>
      <c r="P467" s="683"/>
      <c r="Q467" s="683"/>
      <c r="R467" s="683"/>
      <c r="S467" s="683"/>
      <c r="T467" s="683"/>
      <c r="U467" s="683"/>
      <c r="V467" s="683"/>
      <c r="W467" s="683"/>
      <c r="X467" s="683"/>
      <c r="Y467" s="683"/>
      <c r="Z467" s="683"/>
    </row>
    <row r="468" spans="1:26" ht="15" customHeight="1" x14ac:dyDescent="0.25">
      <c r="A468" s="3" t="s">
        <v>2049</v>
      </c>
      <c r="B468" s="683" t="s">
        <v>1086</v>
      </c>
      <c r="C468" s="683"/>
      <c r="D468" s="3"/>
      <c r="E468" s="683"/>
      <c r="F468" s="683" t="s">
        <v>754</v>
      </c>
      <c r="G468" s="683" t="s">
        <v>1759</v>
      </c>
      <c r="H468" s="710">
        <v>4</v>
      </c>
      <c r="I468" s="683"/>
      <c r="J468" s="683"/>
      <c r="K468" s="683"/>
      <c r="L468" s="683"/>
      <c r="M468" s="683"/>
      <c r="N468" s="685"/>
      <c r="O468" s="683"/>
      <c r="P468" s="683"/>
      <c r="Q468" s="683"/>
      <c r="R468" s="683"/>
      <c r="S468" s="683"/>
      <c r="T468" s="683"/>
      <c r="U468" s="683"/>
      <c r="V468" s="683"/>
      <c r="W468" s="683"/>
      <c r="X468" s="683"/>
      <c r="Y468" s="683"/>
      <c r="Z468" s="683"/>
    </row>
    <row r="469" spans="1:26" ht="15" customHeight="1" x14ac:dyDescent="0.25">
      <c r="A469" s="3" t="s">
        <v>2050</v>
      </c>
      <c r="B469" s="683" t="s">
        <v>1086</v>
      </c>
      <c r="C469" s="683"/>
      <c r="D469" s="3"/>
      <c r="E469" s="3"/>
      <c r="F469" s="683" t="s">
        <v>770</v>
      </c>
      <c r="G469" s="683" t="s">
        <v>259</v>
      </c>
      <c r="H469" s="710">
        <v>7</v>
      </c>
      <c r="I469" s="683"/>
      <c r="J469" s="3"/>
      <c r="K469" s="3"/>
      <c r="L469" s="3"/>
      <c r="M469" s="3"/>
      <c r="N469" s="690"/>
      <c r="O469" s="3"/>
      <c r="P469" s="3"/>
      <c r="Q469" s="3"/>
      <c r="R469" s="3"/>
      <c r="S469" s="3"/>
      <c r="T469" s="3"/>
      <c r="U469" s="3"/>
      <c r="V469" s="3"/>
      <c r="W469" s="3"/>
      <c r="X469" s="3"/>
      <c r="Y469" s="3"/>
      <c r="Z469" s="3"/>
    </row>
    <row r="470" spans="1:26" ht="15" customHeight="1" x14ac:dyDescent="0.25">
      <c r="A470" s="3" t="s">
        <v>2051</v>
      </c>
      <c r="B470" s="683" t="s">
        <v>1086</v>
      </c>
      <c r="C470" s="683"/>
      <c r="D470" s="3"/>
      <c r="E470" s="3"/>
      <c r="F470" s="683" t="s">
        <v>704</v>
      </c>
      <c r="G470" s="683" t="s">
        <v>194</v>
      </c>
      <c r="H470" s="710">
        <v>8</v>
      </c>
      <c r="I470" s="3"/>
      <c r="J470" s="3"/>
      <c r="K470" s="3"/>
      <c r="L470" s="3"/>
      <c r="M470" s="3"/>
      <c r="N470" s="690"/>
      <c r="O470" s="3"/>
      <c r="P470" s="3"/>
      <c r="Q470" s="3"/>
      <c r="R470" s="3"/>
      <c r="S470" s="3"/>
      <c r="T470" s="3"/>
      <c r="U470" s="3"/>
      <c r="V470" s="3"/>
      <c r="W470" s="3"/>
      <c r="X470" s="3"/>
      <c r="Y470" s="3"/>
      <c r="Z470" s="3"/>
    </row>
    <row r="471" spans="1:26" ht="15" customHeight="1" x14ac:dyDescent="0.25">
      <c r="A471" s="3" t="s">
        <v>2052</v>
      </c>
      <c r="B471" s="683" t="s">
        <v>1086</v>
      </c>
      <c r="C471" s="683"/>
      <c r="D471" s="3"/>
      <c r="E471" s="3"/>
      <c r="F471" s="683" t="s">
        <v>715</v>
      </c>
      <c r="G471" s="3"/>
      <c r="H471" s="710">
        <v>8</v>
      </c>
      <c r="I471" s="3"/>
      <c r="J471" s="3"/>
      <c r="K471" s="3"/>
      <c r="L471" s="3"/>
      <c r="M471" s="3"/>
      <c r="N471" s="690"/>
      <c r="O471" s="3"/>
      <c r="P471" s="3"/>
      <c r="Q471" s="3"/>
      <c r="R471" s="3"/>
      <c r="S471" s="3"/>
      <c r="T471" s="3"/>
      <c r="U471" s="3"/>
      <c r="V471" s="3"/>
      <c r="W471" s="3"/>
      <c r="X471" s="3"/>
      <c r="Y471" s="3"/>
      <c r="Z471" s="3"/>
    </row>
    <row r="472" spans="1:26" ht="15" customHeight="1" x14ac:dyDescent="0.25">
      <c r="A472" s="3" t="s">
        <v>2053</v>
      </c>
      <c r="B472" s="683" t="s">
        <v>1086</v>
      </c>
      <c r="C472" s="683"/>
      <c r="D472" s="3"/>
      <c r="E472" s="3"/>
      <c r="F472" s="683" t="s">
        <v>901</v>
      </c>
      <c r="G472" s="683" t="s">
        <v>1760</v>
      </c>
      <c r="H472" s="710">
        <v>8</v>
      </c>
      <c r="I472" s="3"/>
      <c r="J472" s="3"/>
      <c r="K472" s="3"/>
      <c r="L472" s="3"/>
      <c r="M472" s="3"/>
      <c r="N472" s="690"/>
      <c r="O472" s="3"/>
      <c r="P472" s="3"/>
      <c r="Q472" s="3"/>
      <c r="R472" s="3"/>
      <c r="S472" s="3"/>
      <c r="T472" s="3"/>
      <c r="U472" s="3"/>
      <c r="V472" s="3"/>
      <c r="W472" s="3"/>
      <c r="X472" s="3"/>
      <c r="Y472" s="3"/>
      <c r="Z472" s="3"/>
    </row>
    <row r="473" spans="1:26" ht="15" customHeight="1" x14ac:dyDescent="0.25">
      <c r="A473" s="3" t="s">
        <v>2054</v>
      </c>
      <c r="B473" s="683" t="s">
        <v>1086</v>
      </c>
      <c r="C473" s="683"/>
      <c r="D473" s="3"/>
      <c r="E473" s="3"/>
      <c r="F473" s="683" t="s">
        <v>1761</v>
      </c>
      <c r="G473" s="683" t="s">
        <v>2015</v>
      </c>
      <c r="H473" s="710">
        <v>2</v>
      </c>
      <c r="I473" s="3"/>
      <c r="J473" s="3"/>
      <c r="K473" s="3"/>
      <c r="L473" s="3"/>
      <c r="N473" s="690"/>
      <c r="O473" s="3"/>
      <c r="P473" s="3"/>
      <c r="Q473" s="3"/>
      <c r="R473" s="3"/>
      <c r="S473" s="3"/>
      <c r="T473" s="3"/>
      <c r="U473" s="3"/>
      <c r="V473" s="3"/>
      <c r="W473" s="3"/>
      <c r="X473" s="3"/>
      <c r="Y473" s="3"/>
      <c r="Z473" s="3"/>
    </row>
    <row r="474" spans="1:26" ht="15" customHeight="1" x14ac:dyDescent="0.25">
      <c r="A474" s="3" t="s">
        <v>2055</v>
      </c>
      <c r="B474" s="683" t="s">
        <v>1086</v>
      </c>
      <c r="C474" s="683"/>
      <c r="D474" s="3"/>
      <c r="E474" s="3"/>
      <c r="F474" s="3" t="s">
        <v>990</v>
      </c>
      <c r="G474" s="3"/>
      <c r="H474" s="710">
        <v>11</v>
      </c>
      <c r="I474" s="3"/>
      <c r="J474" s="3"/>
      <c r="K474" s="3"/>
      <c r="L474" s="3"/>
      <c r="N474" s="690"/>
      <c r="O474" s="3"/>
      <c r="P474" s="3"/>
      <c r="Q474" s="3"/>
      <c r="R474" s="3"/>
      <c r="S474" s="3"/>
      <c r="T474" s="3"/>
      <c r="U474" s="3"/>
      <c r="V474" s="3"/>
      <c r="W474" s="3"/>
      <c r="X474" s="3"/>
      <c r="Y474" s="3"/>
      <c r="Z474" s="3"/>
    </row>
    <row r="475" spans="1:26" ht="15" customHeight="1" x14ac:dyDescent="0.25">
      <c r="A475" s="3" t="s">
        <v>2056</v>
      </c>
      <c r="B475" s="683" t="s">
        <v>1086</v>
      </c>
      <c r="C475" s="683"/>
      <c r="D475" s="3"/>
      <c r="E475" s="3"/>
      <c r="F475" s="3"/>
      <c r="G475" s="3"/>
      <c r="H475" s="684"/>
      <c r="I475" s="3"/>
      <c r="J475" s="3"/>
      <c r="K475" s="3"/>
      <c r="L475" s="3"/>
      <c r="N475" s="690"/>
      <c r="O475" s="3"/>
      <c r="P475" s="3"/>
      <c r="Q475" s="3"/>
      <c r="R475" s="3"/>
      <c r="S475" s="3"/>
      <c r="T475" s="3"/>
      <c r="U475" s="3"/>
      <c r="V475" s="3"/>
      <c r="W475" s="3"/>
      <c r="X475" s="3"/>
      <c r="Y475" s="3"/>
      <c r="Z475" s="3"/>
    </row>
    <row r="476" spans="1:26" ht="15" customHeight="1" x14ac:dyDescent="0.25">
      <c r="A476" s="3" t="s">
        <v>2057</v>
      </c>
      <c r="B476" s="683" t="s">
        <v>1086</v>
      </c>
      <c r="C476" s="683"/>
      <c r="D476" s="3"/>
      <c r="E476" s="3"/>
      <c r="F476" s="3"/>
      <c r="G476" s="3"/>
      <c r="H476" s="684"/>
      <c r="I476" s="3"/>
      <c r="J476" s="3"/>
      <c r="K476" s="3"/>
      <c r="L476" s="3"/>
      <c r="N476" s="690"/>
      <c r="O476" s="3"/>
      <c r="P476" s="3"/>
      <c r="Q476" s="3"/>
      <c r="R476" s="3"/>
      <c r="S476" s="3"/>
      <c r="T476" s="3"/>
      <c r="U476" s="3"/>
      <c r="V476" s="3"/>
      <c r="W476" s="3"/>
      <c r="X476" s="3"/>
      <c r="Y476" s="3"/>
      <c r="Z476" s="3"/>
    </row>
    <row r="477" spans="1:26" ht="15" customHeight="1" x14ac:dyDescent="0.25">
      <c r="A477" s="3" t="s">
        <v>2058</v>
      </c>
      <c r="B477" s="683" t="s">
        <v>1086</v>
      </c>
      <c r="C477" s="683"/>
      <c r="D477" s="3"/>
      <c r="E477" s="3"/>
      <c r="F477" s="3"/>
      <c r="G477" s="3"/>
      <c r="H477" s="684"/>
      <c r="I477" s="3"/>
      <c r="J477" s="3"/>
      <c r="K477" s="3"/>
      <c r="L477" s="3"/>
      <c r="M477" s="3"/>
      <c r="N477" s="690"/>
      <c r="O477" s="3"/>
      <c r="P477" s="3"/>
      <c r="Q477" s="3"/>
      <c r="R477" s="3"/>
      <c r="S477" s="3"/>
      <c r="T477" s="3"/>
      <c r="U477" s="3"/>
      <c r="V477" s="3"/>
      <c r="W477" s="3"/>
      <c r="X477" s="3"/>
      <c r="Y477" s="3"/>
      <c r="Z477" s="3"/>
    </row>
    <row r="478" spans="1:26" ht="15" customHeight="1" x14ac:dyDescent="0.25">
      <c r="A478" s="3" t="s">
        <v>2059</v>
      </c>
      <c r="B478" s="683" t="s">
        <v>1086</v>
      </c>
      <c r="C478" s="683"/>
      <c r="D478" s="3"/>
      <c r="E478" s="3"/>
      <c r="F478" s="3"/>
      <c r="G478" s="3"/>
      <c r="H478" s="684"/>
      <c r="I478" s="3"/>
      <c r="J478" s="3"/>
      <c r="K478" s="3"/>
      <c r="L478" s="3"/>
      <c r="M478" s="3"/>
      <c r="N478" s="690"/>
      <c r="O478" s="3"/>
      <c r="P478" s="3"/>
      <c r="Q478" s="3"/>
      <c r="R478" s="3"/>
      <c r="S478" s="3"/>
      <c r="T478" s="3"/>
      <c r="U478" s="3"/>
      <c r="V478" s="3"/>
      <c r="W478" s="3"/>
      <c r="X478" s="3"/>
      <c r="Y478" s="3"/>
      <c r="Z478" s="3"/>
    </row>
    <row r="479" spans="1:26" ht="15" customHeight="1" x14ac:dyDescent="0.25">
      <c r="A479" s="3" t="s">
        <v>2060</v>
      </c>
      <c r="B479" s="683" t="s">
        <v>1086</v>
      </c>
      <c r="C479" s="683"/>
      <c r="D479" s="3"/>
      <c r="E479" s="683"/>
      <c r="F479" s="683"/>
      <c r="G479" s="683"/>
      <c r="H479" s="711"/>
      <c r="I479" s="683"/>
      <c r="J479" s="683"/>
      <c r="K479" s="683"/>
      <c r="L479" s="683"/>
      <c r="M479" s="683"/>
      <c r="N479" s="685"/>
      <c r="O479" s="683"/>
      <c r="P479" s="683"/>
      <c r="Q479" s="683"/>
      <c r="R479" s="683"/>
      <c r="S479" s="683"/>
      <c r="T479" s="683"/>
      <c r="U479" s="683"/>
      <c r="V479" s="683"/>
      <c r="W479" s="683"/>
      <c r="X479" s="683"/>
      <c r="Y479" s="683"/>
      <c r="Z479" s="683"/>
    </row>
    <row r="480" spans="1:26" ht="15" customHeight="1" x14ac:dyDescent="0.25">
      <c r="A480" s="3" t="s">
        <v>2061</v>
      </c>
      <c r="B480" s="683" t="s">
        <v>1086</v>
      </c>
      <c r="C480" s="683"/>
      <c r="D480" s="3"/>
      <c r="E480" s="683"/>
      <c r="F480" s="683"/>
      <c r="G480" s="683"/>
      <c r="H480" s="711"/>
      <c r="I480" s="683"/>
      <c r="J480" s="683"/>
      <c r="K480" s="683"/>
      <c r="L480" s="683"/>
      <c r="M480" s="683"/>
      <c r="N480" s="685"/>
      <c r="O480" s="683"/>
      <c r="P480" s="683"/>
      <c r="Q480" s="683"/>
      <c r="R480" s="683"/>
      <c r="S480" s="683"/>
      <c r="T480" s="683"/>
      <c r="U480" s="683"/>
      <c r="V480" s="683"/>
      <c r="W480" s="683"/>
      <c r="X480" s="683"/>
      <c r="Y480" s="683"/>
      <c r="Z480" s="683"/>
    </row>
    <row r="481" spans="1:26" ht="15" customHeight="1" x14ac:dyDescent="0.25">
      <c r="A481" s="3" t="s">
        <v>2062</v>
      </c>
      <c r="B481" s="683" t="s">
        <v>1086</v>
      </c>
      <c r="C481" s="683"/>
      <c r="D481" s="3"/>
      <c r="E481" s="683"/>
      <c r="F481" s="3"/>
      <c r="G481" s="9" t="s">
        <v>2063</v>
      </c>
      <c r="H481" s="684"/>
      <c r="I481" s="683"/>
      <c r="J481" s="683"/>
      <c r="K481" s="683"/>
      <c r="O481" s="683"/>
      <c r="P481" s="683"/>
      <c r="Q481" s="683"/>
      <c r="R481" s="683"/>
      <c r="S481" s="683"/>
      <c r="T481" s="683"/>
      <c r="U481" s="683"/>
      <c r="V481" s="683"/>
      <c r="W481" s="683"/>
      <c r="X481" s="683"/>
      <c r="Y481" s="683"/>
      <c r="Z481" s="683"/>
    </row>
    <row r="482" spans="1:26" ht="15" customHeight="1" x14ac:dyDescent="0.25">
      <c r="A482" s="3" t="s">
        <v>2064</v>
      </c>
      <c r="B482" s="683" t="s">
        <v>1086</v>
      </c>
      <c r="C482" s="683"/>
      <c r="D482" s="3"/>
      <c r="E482" s="683"/>
      <c r="F482" s="683"/>
      <c r="G482" s="3"/>
      <c r="H482" s="711"/>
      <c r="I482" s="683"/>
      <c r="J482" s="683"/>
      <c r="K482" s="683"/>
      <c r="O482" s="683"/>
      <c r="P482" s="683"/>
      <c r="Q482" s="683"/>
      <c r="R482" s="683"/>
      <c r="S482" s="683"/>
      <c r="T482" s="683"/>
      <c r="U482" s="683"/>
      <c r="V482" s="683"/>
      <c r="W482" s="683"/>
      <c r="X482" s="683"/>
      <c r="Y482" s="683"/>
      <c r="Z482" s="683"/>
    </row>
    <row r="483" spans="1:26" ht="15" customHeight="1" x14ac:dyDescent="0.25">
      <c r="A483" s="3" t="s">
        <v>2065</v>
      </c>
      <c r="B483" s="683" t="s">
        <v>1086</v>
      </c>
      <c r="C483" s="683"/>
      <c r="D483" s="3"/>
      <c r="E483" s="683"/>
      <c r="F483" s="683" t="s">
        <v>750</v>
      </c>
      <c r="G483" s="3"/>
      <c r="H483" s="711">
        <v>11</v>
      </c>
      <c r="I483" s="683"/>
      <c r="J483" s="683"/>
      <c r="K483" s="683"/>
      <c r="O483" s="683"/>
      <c r="P483" s="683"/>
      <c r="Q483" s="683"/>
      <c r="R483" s="683"/>
      <c r="S483" s="683"/>
      <c r="T483" s="683"/>
      <c r="U483" s="683"/>
      <c r="V483" s="683"/>
      <c r="W483" s="683"/>
      <c r="X483" s="683"/>
      <c r="Y483" s="683"/>
      <c r="Z483" s="683"/>
    </row>
    <row r="484" spans="1:26" ht="15" customHeight="1" x14ac:dyDescent="0.25">
      <c r="A484" s="3" t="s">
        <v>2066</v>
      </c>
      <c r="B484" s="683" t="s">
        <v>1086</v>
      </c>
      <c r="C484" s="683"/>
      <c r="D484" s="3"/>
      <c r="E484" s="683"/>
      <c r="F484" s="683" t="s">
        <v>909</v>
      </c>
      <c r="G484" s="3"/>
      <c r="H484" s="711">
        <v>16</v>
      </c>
      <c r="I484" s="683"/>
      <c r="J484" s="683"/>
      <c r="K484" s="683"/>
      <c r="O484" s="683"/>
      <c r="P484" s="683"/>
      <c r="Q484" s="683"/>
      <c r="R484" s="683"/>
      <c r="S484" s="683"/>
      <c r="T484" s="683"/>
      <c r="U484" s="683"/>
      <c r="V484" s="683"/>
      <c r="W484" s="683"/>
      <c r="X484" s="683"/>
      <c r="Y484" s="683"/>
      <c r="Z484" s="683"/>
    </row>
    <row r="485" spans="1:26" ht="15" customHeight="1" x14ac:dyDescent="0.25">
      <c r="A485" s="3" t="s">
        <v>2067</v>
      </c>
      <c r="B485" s="683" t="s">
        <v>1086</v>
      </c>
      <c r="C485" s="683"/>
      <c r="D485" s="3"/>
      <c r="E485" s="683"/>
      <c r="F485" s="683" t="s">
        <v>822</v>
      </c>
      <c r="G485" s="3"/>
      <c r="H485" s="711">
        <f>10+5+2+11</f>
        <v>28</v>
      </c>
      <c r="I485" s="683" t="s">
        <v>2068</v>
      </c>
      <c r="J485" s="683"/>
      <c r="K485" s="683"/>
      <c r="O485" s="683"/>
      <c r="P485" s="683"/>
      <c r="Q485" s="683"/>
      <c r="R485" s="683"/>
      <c r="S485" s="683"/>
      <c r="T485" s="683"/>
      <c r="U485" s="683"/>
      <c r="V485" s="683"/>
      <c r="W485" s="683"/>
      <c r="X485" s="683"/>
      <c r="Y485" s="683"/>
      <c r="Z485" s="683"/>
    </row>
    <row r="486" spans="1:26" ht="15" customHeight="1" x14ac:dyDescent="0.25">
      <c r="A486" s="3" t="s">
        <v>2069</v>
      </c>
      <c r="B486" s="683" t="s">
        <v>1086</v>
      </c>
      <c r="C486" s="683"/>
      <c r="D486" s="3"/>
      <c r="E486" s="683"/>
      <c r="F486" s="683"/>
      <c r="G486" s="3"/>
      <c r="H486" s="711"/>
      <c r="I486" s="683"/>
      <c r="J486" s="683"/>
      <c r="K486" s="683"/>
      <c r="O486" s="683"/>
      <c r="P486" s="683"/>
      <c r="Q486" s="683"/>
      <c r="R486" s="683"/>
      <c r="S486" s="683"/>
      <c r="T486" s="683"/>
      <c r="U486" s="683"/>
      <c r="V486" s="683"/>
      <c r="W486" s="683"/>
      <c r="X486" s="683"/>
      <c r="Y486" s="683"/>
      <c r="Z486" s="683"/>
    </row>
    <row r="487" spans="1:26" ht="15" customHeight="1" x14ac:dyDescent="0.25">
      <c r="A487" s="3" t="s">
        <v>2070</v>
      </c>
      <c r="B487" s="683" t="s">
        <v>1086</v>
      </c>
      <c r="C487" s="683"/>
      <c r="D487" s="3"/>
      <c r="E487" s="683"/>
      <c r="F487" s="704" t="s">
        <v>1751</v>
      </c>
      <c r="G487" s="3"/>
      <c r="H487" s="711">
        <v>11</v>
      </c>
      <c r="I487" s="683"/>
      <c r="J487" s="683"/>
      <c r="K487" s="683"/>
      <c r="O487" s="683"/>
      <c r="P487" s="683"/>
      <c r="Q487" s="683"/>
      <c r="R487" s="683"/>
      <c r="S487" s="683"/>
      <c r="T487" s="683"/>
      <c r="U487" s="683"/>
      <c r="V487" s="683"/>
      <c r="W487" s="683"/>
      <c r="X487" s="683"/>
      <c r="Y487" s="683"/>
      <c r="Z487" s="683"/>
    </row>
    <row r="488" spans="1:26" ht="15" customHeight="1" x14ac:dyDescent="0.25">
      <c r="A488" s="3" t="s">
        <v>2071</v>
      </c>
      <c r="B488" s="683" t="s">
        <v>1086</v>
      </c>
      <c r="C488" s="683"/>
      <c r="D488" s="3"/>
      <c r="E488" s="683"/>
      <c r="F488" s="704" t="s">
        <v>1196</v>
      </c>
      <c r="G488" s="683"/>
      <c r="H488" s="711">
        <v>16</v>
      </c>
      <c r="I488" s="683"/>
      <c r="J488" s="683"/>
      <c r="K488" s="683"/>
      <c r="O488" s="683"/>
      <c r="P488" s="683"/>
      <c r="Q488" s="683"/>
      <c r="R488" s="683"/>
      <c r="S488" s="683"/>
      <c r="T488" s="683"/>
      <c r="U488" s="683"/>
      <c r="V488" s="683"/>
      <c r="W488" s="683"/>
      <c r="X488" s="683"/>
      <c r="Y488" s="683"/>
      <c r="Z488" s="683"/>
    </row>
    <row r="489" spans="1:26" ht="15" customHeight="1" x14ac:dyDescent="0.25">
      <c r="A489" s="3" t="s">
        <v>2072</v>
      </c>
      <c r="B489" s="683" t="s">
        <v>1086</v>
      </c>
      <c r="C489" s="683"/>
      <c r="D489" s="3"/>
      <c r="E489" s="683"/>
      <c r="F489" s="683" t="s">
        <v>734</v>
      </c>
      <c r="G489" s="683" t="s">
        <v>1752</v>
      </c>
      <c r="H489" s="711">
        <v>9</v>
      </c>
      <c r="I489" s="683"/>
      <c r="J489" s="683"/>
      <c r="K489" s="683"/>
      <c r="O489" s="683"/>
      <c r="P489" s="683"/>
      <c r="Q489" s="683"/>
      <c r="R489" s="683"/>
      <c r="S489" s="683"/>
      <c r="T489" s="683"/>
      <c r="U489" s="683"/>
      <c r="V489" s="683"/>
      <c r="W489" s="683"/>
      <c r="X489" s="683"/>
      <c r="Y489" s="683"/>
      <c r="Z489" s="683"/>
    </row>
    <row r="490" spans="1:26" ht="15" customHeight="1" x14ac:dyDescent="0.25">
      <c r="A490" s="3" t="s">
        <v>163</v>
      </c>
      <c r="B490" s="683" t="s">
        <v>1086</v>
      </c>
      <c r="C490" s="683"/>
      <c r="D490" s="3"/>
      <c r="E490" s="683"/>
      <c r="F490" s="683" t="s">
        <v>1417</v>
      </c>
      <c r="G490" s="683" t="s">
        <v>1753</v>
      </c>
      <c r="H490" s="684">
        <v>13</v>
      </c>
      <c r="I490" s="683"/>
      <c r="J490" s="683"/>
      <c r="K490" s="683"/>
      <c r="O490" s="683"/>
      <c r="P490" s="683"/>
      <c r="Q490" s="683"/>
      <c r="R490" s="683"/>
      <c r="S490" s="683"/>
      <c r="T490" s="683"/>
      <c r="U490" s="683"/>
      <c r="V490" s="683"/>
      <c r="W490" s="683"/>
      <c r="X490" s="683"/>
      <c r="Y490" s="683"/>
      <c r="Z490" s="683"/>
    </row>
    <row r="491" spans="1:26" ht="15" customHeight="1" x14ac:dyDescent="0.25">
      <c r="A491" s="3" t="s">
        <v>2073</v>
      </c>
      <c r="B491" s="683" t="s">
        <v>1086</v>
      </c>
      <c r="C491" s="683"/>
      <c r="D491" s="3"/>
      <c r="E491" s="683"/>
      <c r="F491" s="683"/>
      <c r="G491" s="683"/>
      <c r="H491" s="684"/>
      <c r="I491" s="683"/>
      <c r="J491" s="683"/>
      <c r="K491" s="683"/>
      <c r="O491" s="683"/>
      <c r="P491" s="683"/>
      <c r="Q491" s="683"/>
      <c r="R491" s="683"/>
      <c r="S491" s="683"/>
      <c r="T491" s="683"/>
      <c r="U491" s="683"/>
      <c r="V491" s="683"/>
      <c r="W491" s="683"/>
      <c r="X491" s="683"/>
      <c r="Y491" s="683"/>
      <c r="Z491" s="683"/>
    </row>
    <row r="492" spans="1:26" ht="15" customHeight="1" x14ac:dyDescent="0.25">
      <c r="A492" s="19" t="s">
        <v>46</v>
      </c>
      <c r="B492" s="683" t="s">
        <v>1086</v>
      </c>
      <c r="C492" s="683"/>
      <c r="D492" s="3"/>
      <c r="E492" s="683"/>
      <c r="F492" s="683" t="s">
        <v>863</v>
      </c>
      <c r="G492" s="683" t="s">
        <v>1925</v>
      </c>
      <c r="H492" s="684"/>
      <c r="I492" s="683"/>
      <c r="J492" s="683"/>
      <c r="K492" s="683"/>
      <c r="O492" s="683"/>
      <c r="P492" s="683"/>
      <c r="Q492" s="683"/>
      <c r="R492" s="683"/>
      <c r="S492" s="683"/>
      <c r="T492" s="683"/>
      <c r="U492" s="683"/>
      <c r="V492" s="683"/>
      <c r="W492" s="683"/>
      <c r="X492" s="683"/>
      <c r="Y492" s="683"/>
      <c r="Z492" s="683"/>
    </row>
    <row r="493" spans="1:26" ht="15" customHeight="1" x14ac:dyDescent="0.25">
      <c r="A493" s="3" t="s">
        <v>2074</v>
      </c>
      <c r="B493" s="683" t="s">
        <v>1086</v>
      </c>
      <c r="C493" s="683"/>
      <c r="D493" s="3"/>
      <c r="E493" s="683"/>
      <c r="F493" s="683"/>
      <c r="G493" s="683"/>
      <c r="H493" s="684"/>
      <c r="I493" s="683"/>
      <c r="J493" s="683"/>
      <c r="K493" s="683"/>
      <c r="O493" s="683"/>
      <c r="P493" s="683"/>
      <c r="Q493" s="683"/>
      <c r="R493" s="683"/>
      <c r="S493" s="683"/>
      <c r="T493" s="683"/>
      <c r="U493" s="683"/>
      <c r="V493" s="683"/>
      <c r="W493" s="683"/>
      <c r="X493" s="683"/>
      <c r="Y493" s="683"/>
      <c r="Z493" s="683"/>
    </row>
    <row r="494" spans="1:26" ht="15" customHeight="1" x14ac:dyDescent="0.25">
      <c r="A494" s="3" t="s">
        <v>2075</v>
      </c>
      <c r="B494" s="683" t="s">
        <v>1086</v>
      </c>
      <c r="C494" s="683"/>
      <c r="D494" s="3"/>
      <c r="E494" s="683"/>
      <c r="F494" s="683" t="s">
        <v>860</v>
      </c>
      <c r="G494" s="683" t="s">
        <v>1786</v>
      </c>
      <c r="H494" s="684">
        <v>12</v>
      </c>
      <c r="I494" s="683"/>
      <c r="J494" s="683"/>
      <c r="K494" s="683"/>
      <c r="O494" s="683"/>
      <c r="P494" s="683"/>
      <c r="Q494" s="683"/>
      <c r="R494" s="683"/>
      <c r="S494" s="683"/>
      <c r="T494" s="683"/>
      <c r="U494" s="683"/>
      <c r="V494" s="683"/>
      <c r="W494" s="683"/>
      <c r="X494" s="683"/>
      <c r="Y494" s="683"/>
      <c r="Z494" s="683"/>
    </row>
    <row r="495" spans="1:26" ht="15" customHeight="1" x14ac:dyDescent="0.25">
      <c r="A495" s="3" t="s">
        <v>2076</v>
      </c>
      <c r="B495" s="683" t="s">
        <v>1086</v>
      </c>
      <c r="C495" s="683"/>
      <c r="D495" s="3"/>
      <c r="E495" s="683"/>
      <c r="F495" s="683" t="s">
        <v>1373</v>
      </c>
      <c r="G495" s="683" t="s">
        <v>1755</v>
      </c>
      <c r="H495" s="684">
        <v>16</v>
      </c>
      <c r="I495" s="683"/>
      <c r="J495" s="683"/>
      <c r="K495" s="683"/>
      <c r="O495" s="683"/>
      <c r="P495" s="683"/>
      <c r="Q495" s="683"/>
      <c r="R495" s="683"/>
      <c r="S495" s="683"/>
      <c r="T495" s="683"/>
      <c r="U495" s="683"/>
      <c r="V495" s="683"/>
      <c r="W495" s="683"/>
      <c r="X495" s="683"/>
      <c r="Y495" s="683"/>
      <c r="Z495" s="683"/>
    </row>
    <row r="496" spans="1:26" ht="15" customHeight="1" x14ac:dyDescent="0.25">
      <c r="A496" s="3" t="s">
        <v>109</v>
      </c>
      <c r="B496" s="683" t="s">
        <v>1086</v>
      </c>
      <c r="C496" s="683"/>
      <c r="D496" s="3"/>
      <c r="E496" s="683"/>
      <c r="F496" s="683" t="s">
        <v>1004</v>
      </c>
      <c r="G496" s="683" t="s">
        <v>1756</v>
      </c>
      <c r="H496" s="684">
        <v>13</v>
      </c>
      <c r="I496" s="683"/>
      <c r="J496" s="683"/>
      <c r="K496" s="683"/>
      <c r="O496" s="683"/>
      <c r="P496" s="683"/>
      <c r="Q496" s="683"/>
      <c r="R496" s="683"/>
      <c r="S496" s="683"/>
      <c r="T496" s="683"/>
      <c r="U496" s="683"/>
      <c r="V496" s="683"/>
      <c r="W496" s="683"/>
      <c r="X496" s="683"/>
      <c r="Y496" s="683"/>
      <c r="Z496" s="683"/>
    </row>
    <row r="497" spans="1:26" ht="15" customHeight="1" x14ac:dyDescent="0.25">
      <c r="A497" s="3" t="s">
        <v>2077</v>
      </c>
      <c r="B497" s="683" t="s">
        <v>1086</v>
      </c>
      <c r="C497" s="683"/>
      <c r="D497" s="3"/>
      <c r="E497" s="683"/>
      <c r="F497" s="683" t="s">
        <v>1757</v>
      </c>
      <c r="G497" s="3"/>
      <c r="H497" s="684">
        <v>14</v>
      </c>
      <c r="I497" s="683"/>
      <c r="J497" s="683"/>
      <c r="K497" s="683"/>
      <c r="O497" s="683"/>
      <c r="P497" s="683"/>
      <c r="Q497" s="683"/>
      <c r="R497" s="683"/>
      <c r="S497" s="683"/>
      <c r="T497" s="683"/>
      <c r="U497" s="683"/>
      <c r="V497" s="683"/>
      <c r="W497" s="683"/>
      <c r="X497" s="683"/>
      <c r="Y497" s="683"/>
      <c r="Z497" s="683"/>
    </row>
    <row r="498" spans="1:26" ht="15" customHeight="1" x14ac:dyDescent="0.25">
      <c r="A498" s="3" t="s">
        <v>2078</v>
      </c>
      <c r="B498" s="683" t="s">
        <v>1086</v>
      </c>
      <c r="C498" s="683"/>
      <c r="D498" s="3"/>
      <c r="E498" s="683"/>
      <c r="F498" s="3" t="s">
        <v>710</v>
      </c>
      <c r="G498" s="3" t="s">
        <v>1757</v>
      </c>
      <c r="H498" s="684">
        <v>14</v>
      </c>
      <c r="I498" s="683"/>
      <c r="J498" s="683"/>
      <c r="K498" s="683"/>
      <c r="O498" s="683"/>
      <c r="P498" s="683"/>
      <c r="Q498" s="683"/>
      <c r="R498" s="683"/>
      <c r="S498" s="683"/>
      <c r="T498" s="683"/>
      <c r="U498" s="683"/>
      <c r="V498" s="683"/>
      <c r="W498" s="683"/>
      <c r="X498" s="683"/>
      <c r="Y498" s="683"/>
      <c r="Z498" s="683"/>
    </row>
    <row r="499" spans="1:26" ht="15" customHeight="1" x14ac:dyDescent="0.25">
      <c r="A499" s="3" t="s">
        <v>2079</v>
      </c>
      <c r="B499" s="683" t="s">
        <v>1086</v>
      </c>
      <c r="C499" s="683"/>
      <c r="D499" s="3"/>
      <c r="E499" s="683"/>
      <c r="F499" s="683" t="s">
        <v>192</v>
      </c>
      <c r="G499" s="683" t="s">
        <v>1757</v>
      </c>
      <c r="H499" s="684">
        <v>14</v>
      </c>
      <c r="I499" s="683"/>
      <c r="J499" s="683"/>
      <c r="K499" s="683"/>
      <c r="O499" s="683"/>
      <c r="P499" s="683"/>
      <c r="Q499" s="683"/>
      <c r="R499" s="683"/>
      <c r="S499" s="683"/>
      <c r="T499" s="683"/>
      <c r="U499" s="683"/>
      <c r="V499" s="683"/>
      <c r="W499" s="683"/>
      <c r="X499" s="683"/>
      <c r="Y499" s="683"/>
      <c r="Z499" s="683"/>
    </row>
    <row r="500" spans="1:26" ht="15" customHeight="1" x14ac:dyDescent="0.25">
      <c r="A500" s="3" t="s">
        <v>2080</v>
      </c>
      <c r="B500" s="683" t="s">
        <v>1086</v>
      </c>
      <c r="C500" s="683"/>
      <c r="D500" s="3"/>
      <c r="E500" s="683"/>
      <c r="F500" s="683" t="s">
        <v>754</v>
      </c>
      <c r="G500" s="683" t="s">
        <v>1759</v>
      </c>
      <c r="H500" s="684">
        <v>14</v>
      </c>
      <c r="I500" s="683"/>
      <c r="J500" s="683"/>
      <c r="K500" s="683"/>
      <c r="O500" s="683"/>
      <c r="P500" s="683"/>
      <c r="Q500" s="683"/>
      <c r="R500" s="683"/>
      <c r="S500" s="683"/>
      <c r="T500" s="683"/>
      <c r="U500" s="683"/>
      <c r="V500" s="683"/>
      <c r="W500" s="683"/>
      <c r="X500" s="683"/>
      <c r="Y500" s="683"/>
      <c r="Z500" s="683"/>
    </row>
    <row r="501" spans="1:26" ht="15" customHeight="1" x14ac:dyDescent="0.25">
      <c r="A501" s="3" t="s">
        <v>2081</v>
      </c>
      <c r="B501" s="683" t="s">
        <v>1086</v>
      </c>
      <c r="C501" s="683"/>
      <c r="D501" s="3"/>
      <c r="E501" s="683"/>
      <c r="F501" s="683" t="s">
        <v>770</v>
      </c>
      <c r="G501" s="683" t="s">
        <v>259</v>
      </c>
      <c r="H501" s="684">
        <v>14</v>
      </c>
      <c r="I501" s="683"/>
      <c r="J501" s="683"/>
      <c r="K501" s="683"/>
      <c r="O501" s="683"/>
      <c r="P501" s="683"/>
      <c r="Q501" s="683"/>
      <c r="R501" s="683"/>
      <c r="S501" s="683"/>
      <c r="T501" s="683"/>
      <c r="U501" s="683"/>
      <c r="V501" s="683"/>
      <c r="W501" s="683"/>
      <c r="X501" s="683"/>
      <c r="Y501" s="683"/>
      <c r="Z501" s="683"/>
    </row>
    <row r="502" spans="1:26" ht="15" customHeight="1" x14ac:dyDescent="0.25">
      <c r="A502" s="3" t="s">
        <v>2082</v>
      </c>
      <c r="B502" s="683" t="s">
        <v>1086</v>
      </c>
      <c r="C502" s="683"/>
      <c r="D502" s="3"/>
      <c r="E502" s="683"/>
      <c r="F502" s="683" t="s">
        <v>704</v>
      </c>
      <c r="G502" s="683" t="s">
        <v>194</v>
      </c>
      <c r="H502" s="684">
        <v>13</v>
      </c>
      <c r="I502" s="683"/>
      <c r="J502" s="683"/>
      <c r="K502" s="683"/>
      <c r="O502" s="683"/>
      <c r="P502" s="683"/>
      <c r="Q502" s="683"/>
      <c r="R502" s="683"/>
      <c r="S502" s="683"/>
      <c r="T502" s="683"/>
      <c r="U502" s="683"/>
      <c r="V502" s="683"/>
      <c r="W502" s="683"/>
      <c r="X502" s="683"/>
      <c r="Y502" s="683"/>
      <c r="Z502" s="683"/>
    </row>
    <row r="503" spans="1:26" ht="15" customHeight="1" x14ac:dyDescent="0.25">
      <c r="A503" s="3" t="s">
        <v>2083</v>
      </c>
      <c r="B503" s="683" t="s">
        <v>1086</v>
      </c>
      <c r="C503" s="683"/>
      <c r="D503" s="3"/>
      <c r="E503" s="683"/>
      <c r="F503" s="683" t="s">
        <v>715</v>
      </c>
      <c r="G503" s="3"/>
      <c r="H503" s="684">
        <v>13</v>
      </c>
      <c r="I503" s="683"/>
      <c r="J503" s="683"/>
      <c r="K503" s="683"/>
      <c r="O503" s="683"/>
      <c r="P503" s="683"/>
      <c r="Q503" s="683"/>
      <c r="R503" s="683"/>
      <c r="S503" s="683"/>
      <c r="T503" s="683"/>
      <c r="U503" s="683"/>
      <c r="V503" s="683"/>
      <c r="W503" s="683"/>
      <c r="X503" s="683"/>
      <c r="Y503" s="683"/>
      <c r="Z503" s="683"/>
    </row>
    <row r="504" spans="1:26" ht="15" customHeight="1" x14ac:dyDescent="0.25">
      <c r="A504" s="3" t="s">
        <v>2084</v>
      </c>
      <c r="B504" s="683" t="s">
        <v>1086</v>
      </c>
      <c r="C504" s="683"/>
      <c r="D504" s="3"/>
      <c r="E504" s="683"/>
      <c r="F504" s="683"/>
      <c r="G504" s="683"/>
      <c r="H504" s="684"/>
      <c r="I504" s="683"/>
      <c r="J504" s="683"/>
      <c r="K504" s="683"/>
      <c r="O504" s="683"/>
      <c r="P504" s="683"/>
      <c r="Q504" s="683"/>
      <c r="R504" s="683"/>
      <c r="S504" s="683"/>
      <c r="T504" s="683"/>
      <c r="U504" s="683"/>
      <c r="V504" s="683"/>
      <c r="W504" s="683"/>
      <c r="X504" s="683"/>
      <c r="Y504" s="683"/>
      <c r="Z504" s="683"/>
    </row>
    <row r="505" spans="1:26" ht="15" customHeight="1" x14ac:dyDescent="0.25">
      <c r="A505" s="3" t="s">
        <v>2085</v>
      </c>
      <c r="B505" s="683" t="s">
        <v>1086</v>
      </c>
      <c r="C505" s="683"/>
      <c r="D505" s="3"/>
      <c r="E505" s="683"/>
      <c r="F505" s="683"/>
      <c r="G505" s="683"/>
      <c r="H505" s="684"/>
      <c r="I505" s="683"/>
      <c r="J505" s="683"/>
      <c r="K505" s="683"/>
      <c r="O505" s="683"/>
      <c r="P505" s="683"/>
      <c r="Q505" s="683"/>
      <c r="R505" s="683"/>
      <c r="S505" s="683"/>
      <c r="T505" s="683"/>
      <c r="U505" s="683"/>
      <c r="V505" s="683"/>
      <c r="W505" s="683"/>
      <c r="X505" s="683"/>
      <c r="Y505" s="683"/>
      <c r="Z505" s="683"/>
    </row>
    <row r="506" spans="1:26" ht="15" customHeight="1" x14ac:dyDescent="0.25">
      <c r="A506" s="3" t="s">
        <v>2086</v>
      </c>
      <c r="B506" s="683" t="s">
        <v>1086</v>
      </c>
      <c r="C506" s="683"/>
      <c r="D506" s="3"/>
      <c r="E506" s="683"/>
      <c r="F506" s="683" t="s">
        <v>901</v>
      </c>
      <c r="G506" s="683" t="s">
        <v>1760</v>
      </c>
      <c r="H506" s="684">
        <v>15</v>
      </c>
      <c r="I506" s="683"/>
      <c r="J506" s="683"/>
      <c r="K506" s="683"/>
      <c r="O506" s="683"/>
      <c r="P506" s="683"/>
      <c r="Q506" s="683"/>
      <c r="R506" s="683"/>
      <c r="S506" s="683"/>
      <c r="T506" s="683"/>
      <c r="U506" s="683"/>
      <c r="V506" s="683"/>
      <c r="W506" s="683"/>
      <c r="X506" s="683"/>
      <c r="Y506" s="683"/>
      <c r="Z506" s="683"/>
    </row>
    <row r="507" spans="1:26" ht="15" customHeight="1" x14ac:dyDescent="0.25">
      <c r="A507" s="3" t="s">
        <v>2087</v>
      </c>
      <c r="B507" s="683" t="s">
        <v>1086</v>
      </c>
      <c r="C507" s="683"/>
      <c r="D507" s="3"/>
      <c r="E507" s="683"/>
      <c r="F507" s="683" t="s">
        <v>1761</v>
      </c>
      <c r="G507" s="683" t="s">
        <v>2015</v>
      </c>
      <c r="H507" s="684">
        <v>2</v>
      </c>
      <c r="I507" s="683"/>
      <c r="J507" s="683"/>
      <c r="K507" s="683"/>
      <c r="O507" s="683"/>
      <c r="P507" s="683"/>
      <c r="Q507" s="683"/>
      <c r="R507" s="683"/>
      <c r="S507" s="683"/>
      <c r="T507" s="683"/>
      <c r="U507" s="683"/>
      <c r="V507" s="683"/>
      <c r="W507" s="683"/>
      <c r="X507" s="683"/>
      <c r="Y507" s="683"/>
      <c r="Z507" s="683"/>
    </row>
    <row r="508" spans="1:26" ht="15" customHeight="1" x14ac:dyDescent="0.25">
      <c r="A508" s="3" t="s">
        <v>67</v>
      </c>
      <c r="B508" s="683" t="s">
        <v>1086</v>
      </c>
      <c r="C508" s="683"/>
      <c r="D508" s="3"/>
      <c r="E508" s="683"/>
      <c r="F508" s="683" t="s">
        <v>1057</v>
      </c>
      <c r="G508" s="683" t="s">
        <v>94</v>
      </c>
      <c r="H508" s="684">
        <v>15</v>
      </c>
      <c r="I508" s="683"/>
      <c r="J508" s="683"/>
      <c r="K508" s="683"/>
      <c r="O508" s="683"/>
      <c r="P508" s="683"/>
      <c r="Q508" s="683"/>
      <c r="R508" s="683"/>
      <c r="S508" s="683"/>
      <c r="T508" s="683"/>
      <c r="U508" s="683"/>
      <c r="V508" s="683"/>
      <c r="W508" s="683"/>
      <c r="X508" s="683"/>
      <c r="Y508" s="683"/>
      <c r="Z508" s="683"/>
    </row>
    <row r="509" spans="1:26" ht="15" customHeight="1" x14ac:dyDescent="0.25">
      <c r="A509" s="3" t="s">
        <v>2088</v>
      </c>
      <c r="B509" s="683" t="s">
        <v>1086</v>
      </c>
      <c r="C509" s="683"/>
      <c r="D509" s="3"/>
      <c r="E509" s="683"/>
      <c r="F509" s="3"/>
      <c r="G509" s="3"/>
      <c r="H509" s="684"/>
      <c r="I509" s="683"/>
      <c r="J509" s="683"/>
      <c r="K509" s="683"/>
      <c r="O509" s="683"/>
      <c r="P509" s="683"/>
      <c r="Q509" s="683"/>
      <c r="R509" s="683"/>
      <c r="S509" s="683"/>
      <c r="T509" s="683"/>
      <c r="U509" s="683"/>
      <c r="V509" s="683"/>
      <c r="W509" s="683"/>
      <c r="X509" s="683"/>
      <c r="Y509" s="683"/>
      <c r="Z509" s="683"/>
    </row>
    <row r="510" spans="1:26" ht="15" customHeight="1" x14ac:dyDescent="0.25">
      <c r="A510" s="3" t="s">
        <v>2089</v>
      </c>
      <c r="B510" s="683" t="s">
        <v>1086</v>
      </c>
      <c r="C510" s="683"/>
      <c r="D510" s="3"/>
      <c r="E510" s="683"/>
      <c r="F510" s="3"/>
      <c r="G510" s="3"/>
      <c r="H510" s="684"/>
      <c r="I510" s="683"/>
      <c r="J510" s="683"/>
      <c r="K510" s="683"/>
      <c r="O510" s="683"/>
      <c r="P510" s="683"/>
      <c r="Q510" s="683"/>
      <c r="R510" s="683"/>
      <c r="S510" s="683"/>
      <c r="T510" s="683"/>
      <c r="U510" s="683"/>
      <c r="V510" s="683"/>
      <c r="W510" s="683"/>
      <c r="X510" s="683"/>
      <c r="Y510" s="683"/>
      <c r="Z510" s="683"/>
    </row>
    <row r="511" spans="1:26" ht="15" customHeight="1" x14ac:dyDescent="0.25">
      <c r="A511" s="3" t="s">
        <v>2090</v>
      </c>
      <c r="B511" s="683" t="s">
        <v>1086</v>
      </c>
      <c r="C511" s="683"/>
      <c r="D511" s="3"/>
      <c r="E511" s="683"/>
      <c r="F511" s="3" t="s">
        <v>990</v>
      </c>
      <c r="G511" s="3"/>
      <c r="H511" s="684">
        <v>17</v>
      </c>
      <c r="I511" s="683"/>
      <c r="J511" s="683"/>
      <c r="K511" s="683"/>
      <c r="O511" s="683"/>
      <c r="P511" s="683"/>
      <c r="Q511" s="683"/>
      <c r="R511" s="683"/>
      <c r="S511" s="683"/>
      <c r="T511" s="683"/>
      <c r="U511" s="683"/>
      <c r="V511" s="683"/>
      <c r="W511" s="683"/>
      <c r="X511" s="683"/>
      <c r="Y511" s="683"/>
      <c r="Z511" s="683"/>
    </row>
    <row r="512" spans="1:26" ht="15" customHeight="1" x14ac:dyDescent="0.25">
      <c r="A512" s="3" t="s">
        <v>2091</v>
      </c>
      <c r="B512" s="683" t="s">
        <v>1086</v>
      </c>
      <c r="C512" s="683"/>
      <c r="D512" s="3"/>
      <c r="E512" s="683"/>
      <c r="I512" s="683"/>
      <c r="J512" s="683"/>
      <c r="K512" s="683"/>
      <c r="O512" s="683"/>
      <c r="P512" s="683"/>
      <c r="Q512" s="683"/>
      <c r="R512" s="683"/>
      <c r="S512" s="683"/>
      <c r="T512" s="683"/>
      <c r="U512" s="683"/>
      <c r="V512" s="683"/>
      <c r="W512" s="683"/>
      <c r="X512" s="683"/>
      <c r="Y512" s="683"/>
      <c r="Z512" s="683"/>
    </row>
    <row r="513" spans="1:26" ht="15" customHeight="1" x14ac:dyDescent="0.25">
      <c r="A513" s="3" t="s">
        <v>2092</v>
      </c>
      <c r="B513" s="683" t="s">
        <v>1086</v>
      </c>
      <c r="C513" s="683"/>
      <c r="D513" s="3"/>
      <c r="E513" s="683"/>
      <c r="I513" s="683"/>
      <c r="J513" s="683"/>
      <c r="K513" s="683"/>
      <c r="N513" s="712"/>
      <c r="O513" s="683"/>
      <c r="P513" s="683"/>
      <c r="Q513" s="683"/>
      <c r="R513" s="683"/>
      <c r="S513" s="683"/>
      <c r="T513" s="683"/>
      <c r="U513" s="683"/>
      <c r="V513" s="683"/>
      <c r="W513" s="683"/>
      <c r="X513" s="683"/>
      <c r="Y513" s="683"/>
      <c r="Z513" s="683"/>
    </row>
    <row r="514" spans="1:26" ht="15" customHeight="1" x14ac:dyDescent="0.25">
      <c r="A514" s="3" t="s">
        <v>2093</v>
      </c>
      <c r="B514" s="683" t="s">
        <v>1086</v>
      </c>
      <c r="C514" s="683"/>
      <c r="D514" s="3"/>
      <c r="E514" s="683"/>
      <c r="I514" s="683"/>
      <c r="J514" s="683"/>
      <c r="K514" s="683"/>
      <c r="O514" s="683"/>
      <c r="P514" s="683"/>
      <c r="Q514" s="683"/>
      <c r="R514" s="683"/>
      <c r="S514" s="683"/>
      <c r="T514" s="683"/>
      <c r="U514" s="683"/>
      <c r="V514" s="683"/>
      <c r="W514" s="683"/>
      <c r="X514" s="683"/>
      <c r="Y514" s="683"/>
      <c r="Z514" s="683"/>
    </row>
    <row r="515" spans="1:26" ht="15" customHeight="1" x14ac:dyDescent="0.25">
      <c r="A515" s="3" t="s">
        <v>2094</v>
      </c>
      <c r="B515" s="683" t="s">
        <v>1086</v>
      </c>
      <c r="C515" s="683"/>
      <c r="D515" s="3"/>
      <c r="E515" s="683"/>
      <c r="I515" s="683"/>
      <c r="J515" s="683"/>
      <c r="K515" s="683"/>
      <c r="O515" s="683"/>
      <c r="P515" s="683"/>
      <c r="Q515" s="683"/>
      <c r="R515" s="683"/>
      <c r="S515" s="683"/>
      <c r="T515" s="683"/>
      <c r="U515" s="683"/>
      <c r="V515" s="683"/>
      <c r="W515" s="683"/>
      <c r="X515" s="683"/>
      <c r="Y515" s="683"/>
      <c r="Z515" s="683"/>
    </row>
    <row r="516" spans="1:26" ht="15" customHeight="1" x14ac:dyDescent="0.25">
      <c r="A516" s="3" t="s">
        <v>2095</v>
      </c>
      <c r="B516" s="683" t="s">
        <v>1086</v>
      </c>
      <c r="C516" s="683"/>
      <c r="D516" s="3"/>
      <c r="E516" s="683"/>
      <c r="I516" s="683"/>
      <c r="J516" s="683"/>
      <c r="K516" s="683"/>
      <c r="O516" s="683"/>
      <c r="P516" s="683"/>
      <c r="Q516" s="683"/>
      <c r="R516" s="683"/>
      <c r="S516" s="683"/>
      <c r="T516" s="683"/>
      <c r="U516" s="683"/>
      <c r="V516" s="683"/>
      <c r="W516" s="683"/>
      <c r="X516" s="683"/>
      <c r="Y516" s="683"/>
      <c r="Z516" s="683"/>
    </row>
    <row r="517" spans="1:26" ht="15" customHeight="1" x14ac:dyDescent="0.25">
      <c r="A517" s="3" t="s">
        <v>2096</v>
      </c>
      <c r="B517" s="683" t="s">
        <v>1086</v>
      </c>
      <c r="C517" s="683"/>
      <c r="D517" s="3"/>
      <c r="E517" s="683"/>
      <c r="I517" s="683"/>
      <c r="J517" s="683"/>
      <c r="K517" s="683"/>
      <c r="O517" s="683"/>
      <c r="P517" s="683"/>
      <c r="Q517" s="683"/>
      <c r="R517" s="683"/>
      <c r="S517" s="683"/>
      <c r="T517" s="683"/>
      <c r="U517" s="683"/>
      <c r="V517" s="683"/>
      <c r="W517" s="683"/>
      <c r="X517" s="683"/>
      <c r="Y517" s="683"/>
      <c r="Z517" s="683"/>
    </row>
    <row r="518" spans="1:26" ht="15" customHeight="1" x14ac:dyDescent="0.25">
      <c r="A518" s="3" t="s">
        <v>2097</v>
      </c>
      <c r="B518" s="683" t="s">
        <v>1086</v>
      </c>
      <c r="C518" s="683"/>
      <c r="D518" s="3"/>
      <c r="E518" s="683"/>
      <c r="I518" s="683"/>
      <c r="J518" s="683"/>
      <c r="K518" s="683"/>
      <c r="O518" s="683"/>
      <c r="P518" s="683"/>
      <c r="Q518" s="683"/>
      <c r="R518" s="683"/>
      <c r="S518" s="683"/>
      <c r="T518" s="683"/>
      <c r="U518" s="683"/>
      <c r="V518" s="683"/>
      <c r="W518" s="683"/>
      <c r="X518" s="683"/>
      <c r="Y518" s="683"/>
      <c r="Z518" s="683"/>
    </row>
    <row r="519" spans="1:26" ht="15" customHeight="1" x14ac:dyDescent="0.25">
      <c r="A519" s="3" t="s">
        <v>2098</v>
      </c>
      <c r="B519" s="683" t="s">
        <v>1086</v>
      </c>
      <c r="C519" s="683"/>
      <c r="D519" s="3"/>
      <c r="E519" s="683"/>
      <c r="F519" s="3"/>
      <c r="G519" s="3"/>
      <c r="H519" s="684"/>
      <c r="I519" s="683"/>
      <c r="J519" s="683"/>
      <c r="K519" s="683"/>
      <c r="L519" s="3"/>
      <c r="M519" s="3"/>
      <c r="N519" s="690"/>
      <c r="O519" s="683"/>
      <c r="P519" s="683"/>
      <c r="Q519" s="683"/>
      <c r="R519" s="683"/>
      <c r="S519" s="683"/>
      <c r="T519" s="683"/>
      <c r="U519" s="683"/>
      <c r="V519" s="683"/>
      <c r="W519" s="683"/>
      <c r="X519" s="683"/>
      <c r="Y519" s="683"/>
      <c r="Z519" s="683"/>
    </row>
    <row r="520" spans="1:26" ht="15" customHeight="1" x14ac:dyDescent="0.25">
      <c r="A520" s="3" t="s">
        <v>2099</v>
      </c>
      <c r="B520" s="683" t="s">
        <v>1086</v>
      </c>
      <c r="C520" s="683"/>
      <c r="D520" s="3"/>
      <c r="E520" s="683"/>
      <c r="F520" s="3"/>
      <c r="G520" s="3"/>
      <c r="H520" s="684"/>
      <c r="I520" s="683"/>
      <c r="J520" s="683"/>
      <c r="K520" s="683"/>
      <c r="L520" s="3"/>
      <c r="M520" s="3"/>
      <c r="N520" s="690"/>
      <c r="O520" s="683"/>
      <c r="P520" s="683"/>
      <c r="Q520" s="683"/>
      <c r="R520" s="683"/>
      <c r="S520" s="683"/>
      <c r="T520" s="683"/>
      <c r="U520" s="683"/>
      <c r="V520" s="683"/>
      <c r="W520" s="683"/>
      <c r="X520" s="683"/>
      <c r="Y520" s="683"/>
      <c r="Z520" s="683"/>
    </row>
    <row r="521" spans="1:26" ht="15" customHeight="1" x14ac:dyDescent="0.25">
      <c r="A521" s="3" t="s">
        <v>2100</v>
      </c>
      <c r="B521" s="683" t="s">
        <v>1086</v>
      </c>
      <c r="C521" s="683"/>
      <c r="D521" s="3"/>
      <c r="E521" s="683"/>
      <c r="F521" s="3"/>
      <c r="G521" s="3"/>
      <c r="H521" s="684"/>
      <c r="I521" s="683"/>
      <c r="J521" s="683"/>
      <c r="K521" s="683"/>
      <c r="L521" s="3"/>
      <c r="M521" s="3"/>
      <c r="N521" s="690"/>
      <c r="O521" s="683"/>
      <c r="P521" s="683"/>
      <c r="Q521" s="683"/>
      <c r="R521" s="683"/>
      <c r="S521" s="683"/>
      <c r="T521" s="683"/>
      <c r="U521" s="683"/>
      <c r="V521" s="683"/>
      <c r="W521" s="683"/>
      <c r="X521" s="683"/>
      <c r="Y521" s="683"/>
      <c r="Z521" s="683"/>
    </row>
    <row r="522" spans="1:26" ht="15" customHeight="1" x14ac:dyDescent="0.25">
      <c r="A522" s="3" t="s">
        <v>1086</v>
      </c>
      <c r="B522" s="683" t="s">
        <v>1086</v>
      </c>
      <c r="C522" s="683"/>
      <c r="D522" s="3"/>
      <c r="E522" s="683"/>
      <c r="F522" s="3"/>
      <c r="G522" s="3"/>
      <c r="H522" s="684"/>
      <c r="I522" s="683"/>
      <c r="J522" s="683"/>
      <c r="K522" s="683"/>
      <c r="L522" s="3"/>
      <c r="M522" s="3"/>
      <c r="N522" s="690"/>
      <c r="O522" s="683"/>
      <c r="P522" s="683"/>
      <c r="Q522" s="683"/>
      <c r="R522" s="683"/>
      <c r="S522" s="683"/>
      <c r="T522" s="683"/>
      <c r="U522" s="683"/>
      <c r="V522" s="683"/>
      <c r="W522" s="683"/>
      <c r="X522" s="683"/>
      <c r="Y522" s="683"/>
      <c r="Z522" s="683"/>
    </row>
    <row r="523" spans="1:26" ht="15" customHeight="1" x14ac:dyDescent="0.25">
      <c r="A523" s="3" t="s">
        <v>2101</v>
      </c>
      <c r="B523" s="683" t="s">
        <v>1086</v>
      </c>
      <c r="C523" s="683"/>
      <c r="D523" s="3"/>
      <c r="E523" s="683"/>
      <c r="F523" s="3"/>
      <c r="G523" s="3"/>
      <c r="H523" s="684"/>
      <c r="I523" s="683"/>
      <c r="J523" s="683"/>
      <c r="K523" s="683"/>
      <c r="L523" s="3"/>
      <c r="M523" s="3"/>
      <c r="N523" s="690"/>
      <c r="O523" s="683"/>
      <c r="P523" s="683"/>
      <c r="Q523" s="683"/>
      <c r="R523" s="683"/>
      <c r="S523" s="683"/>
      <c r="T523" s="683"/>
      <c r="U523" s="683"/>
      <c r="V523" s="683"/>
      <c r="W523" s="683"/>
      <c r="X523" s="683"/>
      <c r="Y523" s="683"/>
      <c r="Z523" s="683"/>
    </row>
    <row r="524" spans="1:26" ht="15" customHeight="1" x14ac:dyDescent="0.25">
      <c r="A524" s="3" t="s">
        <v>2102</v>
      </c>
      <c r="B524" s="3" t="s">
        <v>1086</v>
      </c>
      <c r="C524" s="683"/>
      <c r="D524" s="3"/>
      <c r="E524" s="683"/>
      <c r="F524" s="3"/>
      <c r="G524" s="3"/>
      <c r="H524" s="684"/>
      <c r="I524" s="683"/>
      <c r="J524" s="683"/>
      <c r="K524" s="683"/>
      <c r="L524" s="3"/>
      <c r="M524" s="3"/>
      <c r="N524" s="690"/>
      <c r="O524" s="683"/>
      <c r="P524" s="683"/>
      <c r="Q524" s="683"/>
      <c r="R524" s="683"/>
      <c r="S524" s="683"/>
      <c r="T524" s="683"/>
      <c r="U524" s="683"/>
      <c r="V524" s="683"/>
      <c r="W524" s="683"/>
      <c r="X524" s="683"/>
      <c r="Y524" s="683"/>
      <c r="Z524" s="683"/>
    </row>
    <row r="525" spans="1:26" ht="15" customHeight="1" x14ac:dyDescent="0.25">
      <c r="A525" s="3" t="s">
        <v>2103</v>
      </c>
      <c r="B525" s="3" t="s">
        <v>1086</v>
      </c>
      <c r="C525" s="683"/>
      <c r="D525" s="3"/>
      <c r="E525" s="683"/>
      <c r="F525" s="3"/>
      <c r="G525" s="3"/>
      <c r="H525" s="684"/>
      <c r="I525" s="683"/>
      <c r="J525" s="683"/>
      <c r="K525" s="683"/>
      <c r="L525" s="3"/>
      <c r="M525" s="3"/>
      <c r="N525" s="690"/>
      <c r="O525" s="683"/>
      <c r="P525" s="683"/>
      <c r="Q525" s="683"/>
      <c r="R525" s="683"/>
      <c r="S525" s="683"/>
      <c r="T525" s="683"/>
      <c r="U525" s="683"/>
      <c r="V525" s="683"/>
      <c r="W525" s="683"/>
      <c r="X525" s="683"/>
      <c r="Y525" s="683"/>
      <c r="Z525" s="683"/>
    </row>
    <row r="526" spans="1:26" ht="15" customHeight="1" x14ac:dyDescent="0.25">
      <c r="A526" s="3" t="s">
        <v>2104</v>
      </c>
      <c r="B526" s="3" t="s">
        <v>1086</v>
      </c>
      <c r="C526" s="683"/>
      <c r="D526" s="3"/>
      <c r="E526" s="683"/>
      <c r="F526" s="3"/>
      <c r="G526" s="3"/>
      <c r="H526" s="684"/>
      <c r="I526" s="683"/>
      <c r="J526" s="683"/>
      <c r="K526" s="683"/>
      <c r="L526" s="3"/>
      <c r="M526" s="3"/>
      <c r="N526" s="690"/>
      <c r="O526" s="683"/>
      <c r="P526" s="683"/>
      <c r="Q526" s="683"/>
      <c r="R526" s="683"/>
      <c r="S526" s="683"/>
      <c r="T526" s="683"/>
      <c r="U526" s="683"/>
      <c r="V526" s="683"/>
      <c r="W526" s="683"/>
      <c r="X526" s="683"/>
      <c r="Y526" s="683"/>
      <c r="Z526" s="683"/>
    </row>
    <row r="527" spans="1:26" ht="15" customHeight="1" x14ac:dyDescent="0.25">
      <c r="A527" s="3" t="s">
        <v>2105</v>
      </c>
      <c r="B527" s="3" t="s">
        <v>1086</v>
      </c>
      <c r="C527" s="683"/>
      <c r="D527" s="3"/>
      <c r="E527" s="683"/>
      <c r="F527" s="3"/>
      <c r="G527" s="3"/>
      <c r="H527" s="684"/>
      <c r="I527" s="683"/>
      <c r="J527" s="683"/>
      <c r="K527" s="683"/>
      <c r="L527" s="3"/>
      <c r="M527" s="3"/>
      <c r="N527" s="690"/>
      <c r="O527" s="683"/>
      <c r="P527" s="683"/>
      <c r="Q527" s="683"/>
      <c r="R527" s="683"/>
      <c r="S527" s="683"/>
      <c r="T527" s="683"/>
      <c r="U527" s="683"/>
      <c r="V527" s="683"/>
      <c r="W527" s="683"/>
      <c r="X527" s="683"/>
      <c r="Y527" s="683"/>
      <c r="Z527" s="683"/>
    </row>
    <row r="528" spans="1:26" ht="15" customHeight="1" x14ac:dyDescent="0.25">
      <c r="A528" s="3" t="s">
        <v>2106</v>
      </c>
      <c r="B528" s="3" t="s">
        <v>2107</v>
      </c>
      <c r="C528" s="683"/>
      <c r="D528" s="3"/>
      <c r="E528" s="683"/>
      <c r="F528" s="3"/>
      <c r="G528" s="3"/>
      <c r="H528" s="684"/>
      <c r="I528" s="683"/>
      <c r="J528" s="683"/>
      <c r="K528" s="683"/>
      <c r="L528" s="3"/>
      <c r="M528" s="3"/>
      <c r="N528" s="690"/>
      <c r="O528" s="683"/>
      <c r="P528" s="683"/>
      <c r="Q528" s="683"/>
      <c r="R528" s="683"/>
      <c r="S528" s="683"/>
      <c r="T528" s="683"/>
      <c r="U528" s="683"/>
      <c r="V528" s="683"/>
      <c r="W528" s="683"/>
      <c r="X528" s="683"/>
      <c r="Y528" s="683"/>
      <c r="Z528" s="683"/>
    </row>
    <row r="529" spans="1:26" ht="15" customHeight="1" x14ac:dyDescent="0.25">
      <c r="A529" s="3" t="s">
        <v>570</v>
      </c>
      <c r="B529" s="3" t="s">
        <v>1086</v>
      </c>
      <c r="C529" s="683"/>
      <c r="D529" s="3"/>
      <c r="E529" s="683"/>
      <c r="F529" s="3"/>
      <c r="G529" s="3"/>
      <c r="H529" s="684"/>
      <c r="I529" s="683"/>
      <c r="J529" s="683"/>
      <c r="K529" s="683"/>
      <c r="L529" s="3"/>
      <c r="M529" s="3"/>
      <c r="N529" s="690"/>
      <c r="O529" s="683"/>
      <c r="P529" s="683"/>
      <c r="Q529" s="683"/>
      <c r="R529" s="683"/>
      <c r="S529" s="683"/>
      <c r="T529" s="683"/>
      <c r="U529" s="683"/>
      <c r="V529" s="683"/>
      <c r="W529" s="683"/>
      <c r="X529" s="683"/>
      <c r="Y529" s="683"/>
      <c r="Z529" s="683"/>
    </row>
    <row r="530" spans="1:26" ht="15" customHeight="1" x14ac:dyDescent="0.25">
      <c r="A530" s="3" t="s">
        <v>2108</v>
      </c>
      <c r="B530" s="683" t="s">
        <v>1086</v>
      </c>
      <c r="C530" s="683"/>
      <c r="D530" s="3"/>
      <c r="E530" s="683"/>
      <c r="F530" s="3"/>
      <c r="G530" s="3"/>
      <c r="H530" s="684"/>
      <c r="I530" s="683"/>
      <c r="J530" s="683"/>
      <c r="K530" s="683"/>
      <c r="L530" s="3"/>
      <c r="M530" s="3"/>
      <c r="N530" s="690"/>
      <c r="O530" s="683"/>
      <c r="P530" s="683"/>
      <c r="Q530" s="683"/>
      <c r="R530" s="683"/>
      <c r="S530" s="683"/>
      <c r="T530" s="683"/>
      <c r="U530" s="683"/>
      <c r="V530" s="683"/>
      <c r="W530" s="683"/>
      <c r="X530" s="683"/>
      <c r="Y530" s="683"/>
      <c r="Z530" s="683"/>
    </row>
    <row r="531" spans="1:26" ht="15" customHeight="1" x14ac:dyDescent="0.25">
      <c r="A531" s="3" t="s">
        <v>2109</v>
      </c>
      <c r="B531" s="683" t="s">
        <v>1086</v>
      </c>
      <c r="C531" s="3"/>
      <c r="D531" s="3"/>
      <c r="E531" s="683"/>
      <c r="F531" s="3"/>
      <c r="G531" s="3"/>
      <c r="H531" s="684"/>
      <c r="I531" s="683"/>
      <c r="J531" s="683"/>
      <c r="K531" s="683"/>
      <c r="L531" s="3"/>
      <c r="M531" s="3"/>
      <c r="N531" s="690"/>
      <c r="O531" s="683"/>
      <c r="P531" s="683"/>
      <c r="Q531" s="683"/>
      <c r="R531" s="683"/>
      <c r="S531" s="683"/>
      <c r="T531" s="683"/>
      <c r="U531" s="683"/>
      <c r="V531" s="683"/>
      <c r="W531" s="683"/>
      <c r="X531" s="683"/>
      <c r="Y531" s="683"/>
      <c r="Z531" s="683"/>
    </row>
    <row r="532" spans="1:26" ht="15" customHeight="1" x14ac:dyDescent="0.25">
      <c r="A532" s="3" t="s">
        <v>2110</v>
      </c>
      <c r="B532" s="683" t="s">
        <v>1086</v>
      </c>
      <c r="C532" s="3"/>
      <c r="D532" s="3"/>
      <c r="E532" s="683"/>
      <c r="F532" s="3"/>
      <c r="G532" s="3"/>
      <c r="H532" s="684"/>
      <c r="I532" s="683"/>
      <c r="J532" s="683"/>
      <c r="K532" s="683"/>
      <c r="L532" s="3"/>
      <c r="M532" s="3"/>
      <c r="N532" s="690"/>
      <c r="O532" s="683"/>
      <c r="P532" s="683"/>
      <c r="Q532" s="683"/>
      <c r="R532" s="683"/>
      <c r="S532" s="683"/>
      <c r="T532" s="683"/>
      <c r="U532" s="683"/>
      <c r="V532" s="683"/>
      <c r="W532" s="683"/>
      <c r="X532" s="683"/>
      <c r="Y532" s="683"/>
      <c r="Z532" s="683"/>
    </row>
    <row r="533" spans="1:26" ht="15" customHeight="1" x14ac:dyDescent="0.25">
      <c r="A533" s="3" t="s">
        <v>2111</v>
      </c>
      <c r="B533" s="683" t="s">
        <v>1086</v>
      </c>
      <c r="C533" s="3"/>
      <c r="D533" s="3"/>
      <c r="E533" s="683"/>
      <c r="F533" s="3"/>
      <c r="G533" s="3"/>
      <c r="H533" s="684"/>
      <c r="I533" s="683"/>
      <c r="J533" s="683"/>
      <c r="K533" s="683"/>
      <c r="L533" s="3"/>
      <c r="M533" s="3"/>
      <c r="N533" s="690"/>
      <c r="O533" s="683"/>
      <c r="P533" s="683"/>
      <c r="Q533" s="683"/>
      <c r="R533" s="683"/>
      <c r="S533" s="683"/>
      <c r="T533" s="683"/>
      <c r="U533" s="683"/>
      <c r="V533" s="683"/>
      <c r="W533" s="683"/>
      <c r="X533" s="683"/>
      <c r="Y533" s="683"/>
      <c r="Z533" s="683"/>
    </row>
    <row r="534" spans="1:26" ht="15" customHeight="1" x14ac:dyDescent="0.25">
      <c r="A534" s="3" t="s">
        <v>2112</v>
      </c>
      <c r="B534" s="683" t="s">
        <v>1086</v>
      </c>
      <c r="C534" s="3"/>
      <c r="D534" s="3"/>
      <c r="E534" s="683"/>
      <c r="F534" s="3"/>
      <c r="G534" s="3"/>
      <c r="H534" s="684"/>
      <c r="I534" s="683"/>
      <c r="J534" s="683"/>
      <c r="K534" s="683"/>
      <c r="L534" s="3"/>
      <c r="M534" s="3"/>
      <c r="N534" s="690"/>
      <c r="O534" s="683"/>
      <c r="P534" s="683"/>
      <c r="Q534" s="683"/>
      <c r="R534" s="683"/>
      <c r="S534" s="683"/>
      <c r="T534" s="683"/>
      <c r="U534" s="683"/>
      <c r="V534" s="683"/>
      <c r="W534" s="683"/>
      <c r="X534" s="683"/>
      <c r="Y534" s="683"/>
      <c r="Z534" s="683"/>
    </row>
    <row r="535" spans="1:26" ht="15" customHeight="1" x14ac:dyDescent="0.25">
      <c r="A535" s="3" t="s">
        <v>2113</v>
      </c>
      <c r="B535" s="683" t="s">
        <v>1086</v>
      </c>
      <c r="C535" s="3"/>
      <c r="D535" s="3"/>
      <c r="E535" s="683"/>
      <c r="F535" s="3"/>
      <c r="G535" s="3"/>
      <c r="H535" s="684"/>
      <c r="I535" s="683"/>
      <c r="J535" s="683"/>
      <c r="K535" s="683"/>
      <c r="L535" s="3"/>
      <c r="M535" s="3"/>
      <c r="N535" s="690"/>
      <c r="O535" s="683"/>
      <c r="P535" s="683"/>
      <c r="Q535" s="683"/>
      <c r="R535" s="683"/>
      <c r="S535" s="683"/>
      <c r="T535" s="683"/>
      <c r="U535" s="683"/>
      <c r="V535" s="683"/>
      <c r="W535" s="683"/>
      <c r="X535" s="683"/>
      <c r="Y535" s="683"/>
      <c r="Z535" s="683"/>
    </row>
    <row r="536" spans="1:26" ht="15" customHeight="1" x14ac:dyDescent="0.25">
      <c r="A536" s="3" t="s">
        <v>2114</v>
      </c>
      <c r="B536" s="683" t="s">
        <v>1086</v>
      </c>
      <c r="C536" s="3"/>
      <c r="D536" s="3"/>
      <c r="E536" s="683"/>
      <c r="F536" s="683"/>
      <c r="G536" s="683"/>
      <c r="H536" s="684"/>
      <c r="I536" s="683"/>
      <c r="J536" s="683"/>
      <c r="K536" s="683"/>
      <c r="L536" s="683"/>
      <c r="M536" s="683"/>
      <c r="N536" s="685"/>
      <c r="O536" s="683"/>
      <c r="P536" s="683"/>
      <c r="Q536" s="683"/>
      <c r="R536" s="683"/>
      <c r="S536" s="683"/>
      <c r="T536" s="683"/>
      <c r="U536" s="683"/>
      <c r="V536" s="683"/>
      <c r="W536" s="683"/>
      <c r="X536" s="683"/>
      <c r="Y536" s="683"/>
      <c r="Z536" s="683"/>
    </row>
    <row r="537" spans="1:26" ht="15" customHeight="1" x14ac:dyDescent="0.25">
      <c r="A537" s="3" t="s">
        <v>619</v>
      </c>
      <c r="B537" s="683" t="s">
        <v>1086</v>
      </c>
      <c r="C537" s="3"/>
      <c r="D537" s="3"/>
      <c r="E537" s="683"/>
      <c r="F537" s="683"/>
      <c r="G537" s="683"/>
      <c r="H537" s="684"/>
      <c r="I537" s="683"/>
      <c r="J537" s="683"/>
      <c r="K537" s="683"/>
      <c r="L537" s="683"/>
      <c r="M537" s="683"/>
      <c r="N537" s="685"/>
      <c r="O537" s="683"/>
      <c r="P537" s="683"/>
      <c r="Q537" s="683"/>
      <c r="R537" s="683"/>
      <c r="S537" s="683"/>
      <c r="T537" s="683"/>
      <c r="U537" s="683"/>
      <c r="V537" s="683"/>
      <c r="W537" s="683"/>
      <c r="X537" s="683"/>
      <c r="Y537" s="683"/>
      <c r="Z537" s="683"/>
    </row>
    <row r="538" spans="1:26" ht="15" customHeight="1" x14ac:dyDescent="0.25">
      <c r="A538" s="3" t="s">
        <v>2115</v>
      </c>
      <c r="B538" s="683" t="s">
        <v>1086</v>
      </c>
      <c r="C538" s="3"/>
      <c r="D538" s="3"/>
      <c r="E538" s="683"/>
      <c r="F538" s="683"/>
      <c r="G538" s="683"/>
      <c r="H538" s="684"/>
      <c r="I538" s="683"/>
      <c r="J538" s="683"/>
      <c r="K538" s="683"/>
      <c r="L538" s="683"/>
      <c r="M538" s="683"/>
      <c r="N538" s="685"/>
      <c r="O538" s="683"/>
      <c r="P538" s="683"/>
      <c r="Q538" s="683"/>
      <c r="R538" s="683"/>
      <c r="S538" s="683"/>
      <c r="T538" s="683"/>
      <c r="U538" s="683"/>
      <c r="V538" s="683"/>
      <c r="W538" s="683"/>
      <c r="X538" s="683"/>
      <c r="Y538" s="683"/>
      <c r="Z538" s="683"/>
    </row>
    <row r="539" spans="1:26" ht="15" customHeight="1" x14ac:dyDescent="0.25">
      <c r="A539" s="3" t="s">
        <v>2116</v>
      </c>
      <c r="B539" s="683" t="s">
        <v>1086</v>
      </c>
      <c r="C539" s="3"/>
      <c r="D539" s="3"/>
      <c r="E539" s="683"/>
      <c r="F539" s="3"/>
      <c r="G539" s="691" t="s">
        <v>1723</v>
      </c>
      <c r="H539" s="684"/>
      <c r="I539" s="683"/>
      <c r="J539" s="683"/>
      <c r="K539" s="683"/>
      <c r="L539" s="683"/>
      <c r="N539" s="685"/>
      <c r="O539" s="683"/>
      <c r="P539" s="683"/>
      <c r="Q539" s="683"/>
      <c r="R539" s="683"/>
      <c r="S539" s="683"/>
      <c r="T539" s="683"/>
      <c r="U539" s="683"/>
      <c r="V539" s="683"/>
      <c r="W539" s="683"/>
      <c r="X539" s="683"/>
      <c r="Y539" s="683"/>
      <c r="Z539" s="683"/>
    </row>
    <row r="540" spans="1:26" ht="15" customHeight="1" x14ac:dyDescent="0.25">
      <c r="A540" s="3" t="s">
        <v>2117</v>
      </c>
      <c r="B540" s="683" t="s">
        <v>1086</v>
      </c>
      <c r="C540" s="683"/>
      <c r="D540" s="3"/>
      <c r="E540" s="683"/>
      <c r="F540" s="704" t="s">
        <v>750</v>
      </c>
      <c r="G540" s="3"/>
      <c r="H540" s="711">
        <v>5.25</v>
      </c>
      <c r="I540" s="683"/>
      <c r="J540" s="683"/>
      <c r="K540" s="683"/>
      <c r="L540" s="683"/>
      <c r="N540" s="685"/>
      <c r="O540" s="683"/>
      <c r="P540" s="683"/>
      <c r="Q540" s="683"/>
      <c r="R540" s="683"/>
      <c r="S540" s="683"/>
      <c r="T540" s="683"/>
      <c r="U540" s="683"/>
      <c r="V540" s="683"/>
      <c r="W540" s="683"/>
      <c r="X540" s="683"/>
      <c r="Y540" s="683"/>
      <c r="Z540" s="683"/>
    </row>
    <row r="541" spans="1:26" ht="15" customHeight="1" x14ac:dyDescent="0.25">
      <c r="A541" s="3" t="s">
        <v>2118</v>
      </c>
      <c r="B541" s="683" t="s">
        <v>1086</v>
      </c>
      <c r="C541" s="683"/>
      <c r="D541" s="3"/>
      <c r="E541" s="683"/>
      <c r="F541" s="683" t="s">
        <v>1746</v>
      </c>
      <c r="G541" s="3"/>
      <c r="H541" s="711">
        <v>10</v>
      </c>
      <c r="I541" s="683"/>
      <c r="J541" s="683"/>
      <c r="K541" s="683"/>
      <c r="L541" s="683"/>
      <c r="N541" s="685"/>
      <c r="O541" s="683"/>
      <c r="P541" s="683"/>
      <c r="Q541" s="683"/>
      <c r="R541" s="683"/>
      <c r="S541" s="683"/>
      <c r="T541" s="683"/>
      <c r="U541" s="683"/>
      <c r="V541" s="683"/>
      <c r="W541" s="683"/>
      <c r="X541" s="683"/>
      <c r="Y541" s="683"/>
      <c r="Z541" s="683"/>
    </row>
    <row r="542" spans="1:26" ht="15" customHeight="1" x14ac:dyDescent="0.25">
      <c r="A542" s="3" t="s">
        <v>2119</v>
      </c>
      <c r="B542" s="683" t="s">
        <v>1086</v>
      </c>
      <c r="C542" s="683"/>
      <c r="D542" s="3"/>
      <c r="E542" s="683"/>
      <c r="F542" s="683" t="s">
        <v>1751</v>
      </c>
      <c r="G542" s="3"/>
      <c r="H542" s="711">
        <v>5.5</v>
      </c>
      <c r="I542" s="683"/>
      <c r="J542" s="683"/>
      <c r="K542" s="683"/>
      <c r="L542" s="683"/>
      <c r="N542" s="685"/>
      <c r="O542" s="683"/>
      <c r="P542" s="683"/>
      <c r="Q542" s="683"/>
      <c r="R542" s="683"/>
      <c r="S542" s="683"/>
      <c r="T542" s="683"/>
      <c r="U542" s="683"/>
      <c r="V542" s="683"/>
      <c r="W542" s="683"/>
      <c r="X542" s="683"/>
      <c r="Y542" s="683"/>
      <c r="Z542" s="683"/>
    </row>
    <row r="543" spans="1:26" ht="15" customHeight="1" x14ac:dyDescent="0.25">
      <c r="A543" s="3" t="s">
        <v>2120</v>
      </c>
      <c r="B543" s="683" t="s">
        <v>1086</v>
      </c>
      <c r="C543" s="683"/>
      <c r="D543" s="3"/>
      <c r="E543" s="683"/>
      <c r="F543" s="38" t="s">
        <v>1196</v>
      </c>
      <c r="H543" s="38">
        <v>10</v>
      </c>
      <c r="I543" s="683"/>
      <c r="J543" s="683"/>
      <c r="K543" s="683"/>
      <c r="L543" s="683"/>
      <c r="N543" s="685"/>
      <c r="O543" s="683"/>
      <c r="P543" s="683"/>
      <c r="Q543" s="683"/>
      <c r="R543" s="683"/>
      <c r="S543" s="683"/>
      <c r="T543" s="683"/>
      <c r="U543" s="683"/>
      <c r="V543" s="683"/>
      <c r="W543" s="683"/>
      <c r="X543" s="683"/>
      <c r="Y543" s="683"/>
      <c r="Z543" s="683"/>
    </row>
    <row r="544" spans="1:26" ht="15" customHeight="1" x14ac:dyDescent="0.25">
      <c r="A544" s="3" t="s">
        <v>2121</v>
      </c>
      <c r="B544" s="3" t="s">
        <v>1086</v>
      </c>
      <c r="C544" s="683"/>
      <c r="D544" s="3"/>
      <c r="E544" s="683"/>
      <c r="F544" s="704" t="s">
        <v>909</v>
      </c>
      <c r="G544" s="683"/>
      <c r="H544" s="711">
        <v>10</v>
      </c>
      <c r="I544" s="683"/>
      <c r="J544" s="683"/>
      <c r="K544" s="683"/>
      <c r="L544" s="683"/>
      <c r="M544" s="683"/>
      <c r="N544" s="685"/>
      <c r="O544" s="683"/>
      <c r="P544" s="683"/>
      <c r="Q544" s="683"/>
      <c r="R544" s="683"/>
      <c r="S544" s="683"/>
      <c r="T544" s="683"/>
      <c r="U544" s="683"/>
      <c r="V544" s="683"/>
      <c r="W544" s="683"/>
      <c r="X544" s="683"/>
      <c r="Y544" s="683"/>
      <c r="Z544" s="683"/>
    </row>
    <row r="545" spans="1:26" ht="15" customHeight="1" x14ac:dyDescent="0.25">
      <c r="A545" s="683" t="s">
        <v>2122</v>
      </c>
      <c r="B545" s="3" t="s">
        <v>2123</v>
      </c>
      <c r="C545" s="683"/>
      <c r="D545" s="3"/>
      <c r="E545" s="683"/>
      <c r="F545" s="683" t="s">
        <v>1243</v>
      </c>
      <c r="G545" s="683"/>
      <c r="H545" s="711">
        <f>2+10+2+5</f>
        <v>19</v>
      </c>
      <c r="I545" s="683"/>
      <c r="J545" s="683"/>
      <c r="K545" s="683"/>
      <c r="L545" s="683"/>
      <c r="M545" s="683"/>
      <c r="N545" s="685"/>
      <c r="O545" s="683"/>
      <c r="P545" s="683"/>
      <c r="Q545" s="683"/>
      <c r="R545" s="683"/>
      <c r="S545" s="683"/>
      <c r="T545" s="683"/>
      <c r="U545" s="683"/>
      <c r="V545" s="683"/>
      <c r="W545" s="683"/>
      <c r="X545" s="683"/>
      <c r="Y545" s="683"/>
      <c r="Z545" s="683"/>
    </row>
    <row r="546" spans="1:26" ht="15" customHeight="1" x14ac:dyDescent="0.25">
      <c r="A546" s="683" t="s">
        <v>2124</v>
      </c>
      <c r="B546" s="3" t="s">
        <v>1086</v>
      </c>
      <c r="C546" s="683"/>
      <c r="D546" s="3"/>
      <c r="E546" s="683"/>
      <c r="F546" s="683" t="s">
        <v>734</v>
      </c>
      <c r="G546" s="683" t="s">
        <v>1752</v>
      </c>
      <c r="H546" s="711">
        <v>4</v>
      </c>
      <c r="I546" s="683"/>
      <c r="J546" s="683"/>
      <c r="K546" s="683"/>
      <c r="L546" s="683"/>
      <c r="M546" s="683"/>
      <c r="N546" s="685"/>
      <c r="O546" s="683"/>
      <c r="P546" s="683"/>
      <c r="Q546" s="683"/>
      <c r="R546" s="683"/>
      <c r="S546" s="683"/>
      <c r="T546" s="683"/>
      <c r="U546" s="683"/>
      <c r="V546" s="683"/>
      <c r="W546" s="683"/>
      <c r="X546" s="683"/>
      <c r="Y546" s="683"/>
      <c r="Z546" s="683"/>
    </row>
    <row r="547" spans="1:26" ht="15" customHeight="1" x14ac:dyDescent="0.25">
      <c r="A547" s="683" t="s">
        <v>547</v>
      </c>
      <c r="B547" s="3" t="s">
        <v>1086</v>
      </c>
      <c r="C547" s="683"/>
      <c r="D547" s="3"/>
      <c r="E547" s="683"/>
      <c r="F547" s="704" t="s">
        <v>1057</v>
      </c>
      <c r="G547" s="683" t="s">
        <v>94</v>
      </c>
      <c r="H547" s="711">
        <v>20</v>
      </c>
      <c r="I547" s="683"/>
      <c r="J547" s="683"/>
      <c r="K547" s="683"/>
      <c r="L547" s="683"/>
      <c r="M547" s="683"/>
      <c r="N547" s="685"/>
      <c r="O547" s="683"/>
      <c r="P547" s="683"/>
      <c r="Q547" s="683"/>
      <c r="R547" s="683"/>
      <c r="S547" s="683"/>
      <c r="T547" s="683"/>
      <c r="U547" s="683"/>
      <c r="V547" s="683"/>
      <c r="W547" s="683"/>
      <c r="X547" s="683"/>
      <c r="Y547" s="683"/>
      <c r="Z547" s="683"/>
    </row>
    <row r="548" spans="1:26" ht="15" customHeight="1" x14ac:dyDescent="0.25">
      <c r="A548" s="683" t="s">
        <v>2125</v>
      </c>
      <c r="B548" s="683" t="s">
        <v>1086</v>
      </c>
      <c r="C548" s="683"/>
      <c r="D548" s="3"/>
      <c r="E548" s="683"/>
      <c r="F548" s="704" t="s">
        <v>822</v>
      </c>
      <c r="G548" s="683"/>
      <c r="H548" s="711">
        <v>20</v>
      </c>
      <c r="I548" s="683"/>
      <c r="J548" s="683"/>
      <c r="K548" s="683"/>
      <c r="L548" s="683"/>
      <c r="M548" s="683"/>
      <c r="N548" s="685"/>
      <c r="O548" s="683"/>
      <c r="P548" s="683"/>
      <c r="Q548" s="683"/>
      <c r="R548" s="683"/>
      <c r="S548" s="683"/>
      <c r="T548" s="683"/>
      <c r="U548" s="683"/>
      <c r="V548" s="683"/>
      <c r="W548" s="683"/>
      <c r="X548" s="683"/>
      <c r="Y548" s="683"/>
      <c r="Z548" s="683"/>
    </row>
    <row r="549" spans="1:26" ht="15" customHeight="1" x14ac:dyDescent="0.25">
      <c r="A549" s="683" t="s">
        <v>2126</v>
      </c>
      <c r="B549" s="683" t="s">
        <v>1086</v>
      </c>
      <c r="C549" s="683"/>
      <c r="D549" s="3"/>
      <c r="E549" s="683"/>
      <c r="F549" s="683" t="s">
        <v>1417</v>
      </c>
      <c r="G549" s="683" t="s">
        <v>1753</v>
      </c>
      <c r="H549" s="711">
        <v>6.75</v>
      </c>
      <c r="I549" s="683"/>
      <c r="J549" s="683"/>
      <c r="K549" s="683"/>
      <c r="L549" s="683"/>
      <c r="M549" s="683"/>
      <c r="N549" s="685"/>
      <c r="O549" s="683"/>
      <c r="P549" s="683"/>
      <c r="Q549" s="683"/>
      <c r="R549" s="683"/>
      <c r="S549" s="683"/>
      <c r="T549" s="683"/>
      <c r="U549" s="683"/>
      <c r="V549" s="683"/>
      <c r="W549" s="683"/>
      <c r="X549" s="683"/>
      <c r="Y549" s="683"/>
      <c r="Z549" s="683"/>
    </row>
    <row r="550" spans="1:26" ht="15" customHeight="1" x14ac:dyDescent="0.25">
      <c r="A550" s="683" t="s">
        <v>2127</v>
      </c>
      <c r="B550" s="683" t="s">
        <v>1086</v>
      </c>
      <c r="C550" s="683"/>
      <c r="D550" s="3"/>
      <c r="E550" s="683"/>
      <c r="F550" s="683" t="s">
        <v>860</v>
      </c>
      <c r="G550" s="683" t="s">
        <v>1786</v>
      </c>
      <c r="H550" s="711">
        <v>6.25</v>
      </c>
      <c r="I550" s="683"/>
      <c r="J550" s="683"/>
      <c r="K550" s="683"/>
      <c r="L550" s="683"/>
      <c r="M550" s="683"/>
      <c r="N550" s="685"/>
      <c r="O550" s="683"/>
      <c r="P550" s="683"/>
      <c r="Q550" s="683"/>
      <c r="R550" s="683"/>
      <c r="S550" s="683"/>
      <c r="T550" s="683"/>
      <c r="U550" s="683"/>
      <c r="V550" s="683"/>
      <c r="W550" s="683"/>
      <c r="X550" s="683"/>
      <c r="Y550" s="683"/>
      <c r="Z550" s="683"/>
    </row>
    <row r="551" spans="1:26" ht="15" customHeight="1" x14ac:dyDescent="0.25">
      <c r="A551" s="683" t="s">
        <v>2128</v>
      </c>
      <c r="B551" s="683" t="s">
        <v>1086</v>
      </c>
      <c r="C551" s="683"/>
      <c r="D551" s="3"/>
      <c r="E551" s="683"/>
      <c r="F551" s="683" t="s">
        <v>1373</v>
      </c>
      <c r="G551" s="683" t="s">
        <v>1755</v>
      </c>
      <c r="H551" s="711">
        <v>5.25</v>
      </c>
      <c r="I551" s="683"/>
      <c r="J551" s="683"/>
      <c r="K551" s="683"/>
      <c r="L551" s="683"/>
      <c r="M551" s="683"/>
      <c r="N551" s="685"/>
      <c r="O551" s="683"/>
      <c r="P551" s="683"/>
      <c r="Q551" s="683"/>
      <c r="R551" s="683"/>
      <c r="S551" s="683"/>
      <c r="T551" s="683"/>
      <c r="U551" s="683"/>
      <c r="V551" s="683"/>
      <c r="W551" s="683"/>
      <c r="X551" s="683"/>
      <c r="Y551" s="683"/>
      <c r="Z551" s="683"/>
    </row>
    <row r="552" spans="1:26" ht="15" customHeight="1" x14ac:dyDescent="0.25">
      <c r="A552" s="683" t="s">
        <v>2129</v>
      </c>
      <c r="B552" s="683" t="s">
        <v>1086</v>
      </c>
      <c r="C552" s="683"/>
      <c r="D552" s="3"/>
      <c r="E552" s="683"/>
      <c r="F552" s="683" t="s">
        <v>1004</v>
      </c>
      <c r="G552" s="683" t="s">
        <v>1756</v>
      </c>
      <c r="H552" s="711">
        <v>7</v>
      </c>
      <c r="I552" s="683"/>
      <c r="J552" s="683"/>
      <c r="K552" s="683"/>
      <c r="L552" s="683"/>
      <c r="M552" s="683"/>
      <c r="N552" s="685"/>
      <c r="O552" s="683"/>
      <c r="P552" s="683"/>
      <c r="Q552" s="683"/>
      <c r="R552" s="683"/>
      <c r="S552" s="683"/>
      <c r="T552" s="683"/>
      <c r="U552" s="683"/>
      <c r="V552" s="683"/>
      <c r="W552" s="683"/>
      <c r="X552" s="683"/>
      <c r="Y552" s="683"/>
      <c r="Z552" s="683"/>
    </row>
    <row r="553" spans="1:26" ht="15" customHeight="1" x14ac:dyDescent="0.25">
      <c r="A553" s="683" t="s">
        <v>2130</v>
      </c>
      <c r="B553" s="3" t="s">
        <v>1086</v>
      </c>
      <c r="C553" s="683"/>
      <c r="D553" s="3"/>
      <c r="E553" s="683"/>
      <c r="F553" s="683" t="s">
        <v>1757</v>
      </c>
      <c r="G553" s="3"/>
      <c r="H553" s="711">
        <v>7.25</v>
      </c>
      <c r="I553" s="683"/>
      <c r="J553" s="683"/>
      <c r="K553" s="683"/>
      <c r="L553" s="683"/>
      <c r="M553" s="683"/>
      <c r="N553" s="685"/>
      <c r="O553" s="683"/>
      <c r="P553" s="683"/>
      <c r="Q553" s="683"/>
      <c r="R553" s="683"/>
      <c r="S553" s="683"/>
      <c r="T553" s="683"/>
      <c r="U553" s="683"/>
      <c r="V553" s="683"/>
      <c r="W553" s="683"/>
      <c r="X553" s="683"/>
      <c r="Y553" s="683"/>
      <c r="Z553" s="683"/>
    </row>
    <row r="554" spans="1:26" ht="15" customHeight="1" x14ac:dyDescent="0.25">
      <c r="A554" s="3" t="s">
        <v>2131</v>
      </c>
      <c r="B554" s="3" t="s">
        <v>1086</v>
      </c>
      <c r="C554" s="683"/>
      <c r="D554" s="3"/>
      <c r="E554" s="683"/>
      <c r="F554" s="3" t="s">
        <v>710</v>
      </c>
      <c r="G554" s="3" t="s">
        <v>1757</v>
      </c>
      <c r="H554" s="711">
        <v>7.25</v>
      </c>
      <c r="I554" s="683"/>
      <c r="J554" s="683"/>
      <c r="K554" s="683"/>
      <c r="L554" s="683"/>
      <c r="M554" s="683"/>
      <c r="N554" s="685"/>
      <c r="O554" s="683"/>
      <c r="P554" s="683"/>
      <c r="Q554" s="683"/>
      <c r="R554" s="683"/>
      <c r="S554" s="683"/>
      <c r="T554" s="683"/>
      <c r="U554" s="683"/>
      <c r="V554" s="683"/>
      <c r="W554" s="683"/>
      <c r="X554" s="683"/>
      <c r="Y554" s="683"/>
      <c r="Z554" s="683"/>
    </row>
    <row r="555" spans="1:26" ht="15" customHeight="1" x14ac:dyDescent="0.25">
      <c r="A555" s="683" t="s">
        <v>295</v>
      </c>
      <c r="B555" s="3" t="s">
        <v>1086</v>
      </c>
      <c r="C555" s="683"/>
      <c r="D555" s="3"/>
      <c r="E555" s="683"/>
      <c r="F555" s="683" t="s">
        <v>192</v>
      </c>
      <c r="G555" s="683" t="s">
        <v>1757</v>
      </c>
      <c r="H555" s="711">
        <v>7.25</v>
      </c>
      <c r="I555" s="683"/>
      <c r="J555" s="683"/>
      <c r="K555" s="683"/>
      <c r="L555" s="683"/>
      <c r="M555" s="683"/>
      <c r="N555" s="685"/>
      <c r="O555" s="683"/>
      <c r="P555" s="683"/>
      <c r="Q555" s="683"/>
      <c r="R555" s="683"/>
      <c r="S555" s="683"/>
      <c r="T555" s="683"/>
      <c r="U555" s="683"/>
      <c r="V555" s="683"/>
      <c r="W555" s="683"/>
      <c r="X555" s="683"/>
      <c r="Y555" s="683"/>
      <c r="Z555" s="683"/>
    </row>
    <row r="556" spans="1:26" ht="15" customHeight="1" x14ac:dyDescent="0.25">
      <c r="A556" s="3" t="s">
        <v>2132</v>
      </c>
      <c r="B556" s="683" t="s">
        <v>1086</v>
      </c>
      <c r="C556" s="683"/>
      <c r="D556" s="3"/>
      <c r="E556" s="683"/>
      <c r="F556" s="683" t="s">
        <v>754</v>
      </c>
      <c r="G556" s="683" t="s">
        <v>1759</v>
      </c>
      <c r="H556" s="711">
        <v>6.75</v>
      </c>
      <c r="I556" s="683"/>
      <c r="J556" s="683"/>
      <c r="K556" s="683"/>
      <c r="L556" s="683"/>
      <c r="M556" s="683"/>
      <c r="N556" s="685"/>
      <c r="O556" s="683"/>
      <c r="P556" s="683"/>
      <c r="Q556" s="683"/>
      <c r="R556" s="683"/>
      <c r="S556" s="683"/>
      <c r="T556" s="683"/>
      <c r="U556" s="683"/>
      <c r="V556" s="683"/>
      <c r="W556" s="683"/>
      <c r="X556" s="683"/>
      <c r="Y556" s="683"/>
      <c r="Z556" s="683"/>
    </row>
    <row r="557" spans="1:26" ht="15" customHeight="1" x14ac:dyDescent="0.25">
      <c r="A557" s="3" t="s">
        <v>2133</v>
      </c>
      <c r="B557" s="683" t="s">
        <v>1086</v>
      </c>
      <c r="C557" s="683"/>
      <c r="D557" s="3"/>
      <c r="E557" s="683"/>
      <c r="F557" s="683" t="s">
        <v>770</v>
      </c>
      <c r="G557" s="683" t="s">
        <v>259</v>
      </c>
      <c r="H557" s="711">
        <v>8</v>
      </c>
      <c r="I557" s="683"/>
      <c r="J557" s="683"/>
      <c r="K557" s="683"/>
      <c r="L557" s="683"/>
      <c r="M557" s="683"/>
      <c r="N557" s="685"/>
      <c r="O557" s="683"/>
      <c r="P557" s="683"/>
      <c r="Q557" s="683"/>
      <c r="R557" s="683"/>
      <c r="S557" s="683"/>
      <c r="T557" s="683"/>
      <c r="U557" s="683"/>
      <c r="V557" s="683"/>
      <c r="W557" s="683"/>
      <c r="X557" s="683"/>
      <c r="Y557" s="683"/>
      <c r="Z557" s="683"/>
    </row>
    <row r="558" spans="1:26" ht="15" customHeight="1" x14ac:dyDescent="0.25">
      <c r="A558" s="3" t="s">
        <v>2134</v>
      </c>
      <c r="B558" s="683" t="s">
        <v>1086</v>
      </c>
      <c r="C558" s="3"/>
      <c r="D558" s="3"/>
      <c r="E558" s="683"/>
      <c r="F558" s="683" t="s">
        <v>704</v>
      </c>
      <c r="G558" s="683" t="s">
        <v>194</v>
      </c>
      <c r="H558" s="711">
        <v>8.25</v>
      </c>
      <c r="I558" s="683"/>
      <c r="J558" s="683"/>
      <c r="K558" s="683"/>
      <c r="L558" s="683"/>
      <c r="M558" s="683"/>
      <c r="N558" s="685"/>
      <c r="O558" s="683"/>
      <c r="P558" s="683"/>
      <c r="Q558" s="683"/>
      <c r="R558" s="683"/>
      <c r="S558" s="683"/>
      <c r="T558" s="683"/>
      <c r="U558" s="683"/>
      <c r="V558" s="683"/>
      <c r="W558" s="683"/>
      <c r="X558" s="683"/>
      <c r="Y558" s="683"/>
      <c r="Z558" s="683"/>
    </row>
    <row r="559" spans="1:26" ht="15" customHeight="1" x14ac:dyDescent="0.25">
      <c r="A559" s="3" t="s">
        <v>2135</v>
      </c>
      <c r="B559" s="3" t="s">
        <v>1086</v>
      </c>
      <c r="C559" s="3"/>
      <c r="D559" s="3"/>
      <c r="E559" s="683"/>
      <c r="F559" s="683" t="s">
        <v>715</v>
      </c>
      <c r="G559" s="3"/>
      <c r="H559" s="711">
        <v>8.25</v>
      </c>
      <c r="I559" s="683"/>
      <c r="J559" s="683"/>
      <c r="K559" s="683"/>
      <c r="L559" s="683"/>
      <c r="M559" s="683"/>
      <c r="N559" s="685"/>
      <c r="O559" s="683"/>
      <c r="P559" s="683"/>
      <c r="Q559" s="683"/>
      <c r="R559" s="683"/>
      <c r="S559" s="683"/>
      <c r="T559" s="683"/>
      <c r="U559" s="683"/>
      <c r="V559" s="683"/>
      <c r="W559" s="683"/>
      <c r="X559" s="683"/>
      <c r="Y559" s="683"/>
      <c r="Z559" s="683"/>
    </row>
    <row r="560" spans="1:26" ht="15" customHeight="1" x14ac:dyDescent="0.25">
      <c r="A560" s="683" t="s">
        <v>2136</v>
      </c>
      <c r="B560" s="3" t="s">
        <v>1086</v>
      </c>
      <c r="C560" s="3"/>
      <c r="D560" s="3"/>
      <c r="E560" s="683"/>
      <c r="F560" s="683" t="s">
        <v>901</v>
      </c>
      <c r="G560" s="683" t="s">
        <v>1760</v>
      </c>
      <c r="H560" s="711">
        <v>9</v>
      </c>
      <c r="I560" s="683"/>
      <c r="J560" s="683"/>
      <c r="K560" s="683"/>
      <c r="L560" s="683"/>
      <c r="M560" s="683"/>
      <c r="N560" s="685"/>
      <c r="O560" s="683"/>
      <c r="P560" s="683"/>
      <c r="Q560" s="683"/>
      <c r="R560" s="683"/>
      <c r="S560" s="683"/>
      <c r="T560" s="683"/>
      <c r="U560" s="683"/>
      <c r="V560" s="683"/>
      <c r="W560" s="683"/>
      <c r="X560" s="683"/>
      <c r="Y560" s="683"/>
      <c r="Z560" s="683"/>
    </row>
    <row r="561" spans="1:26" ht="15" customHeight="1" x14ac:dyDescent="0.25">
      <c r="A561" s="683" t="s">
        <v>2137</v>
      </c>
      <c r="B561" s="3" t="s">
        <v>1086</v>
      </c>
      <c r="C561" s="3"/>
      <c r="D561" s="3"/>
      <c r="E561" s="683"/>
      <c r="F561" s="683"/>
      <c r="G561" s="683"/>
      <c r="H561" s="711"/>
      <c r="I561" s="683"/>
      <c r="J561" s="683"/>
      <c r="K561" s="683"/>
      <c r="L561" s="683"/>
      <c r="M561" s="683"/>
      <c r="N561" s="685"/>
      <c r="O561" s="683"/>
      <c r="P561" s="683"/>
      <c r="Q561" s="683"/>
      <c r="R561" s="683"/>
      <c r="S561" s="683"/>
      <c r="T561" s="683"/>
      <c r="U561" s="683"/>
      <c r="V561" s="683"/>
      <c r="W561" s="683"/>
      <c r="X561" s="683"/>
      <c r="Y561" s="683"/>
      <c r="Z561" s="683"/>
    </row>
    <row r="562" spans="1:26" ht="15" customHeight="1" x14ac:dyDescent="0.25">
      <c r="A562" s="3" t="s">
        <v>2138</v>
      </c>
      <c r="B562" s="3" t="s">
        <v>1086</v>
      </c>
      <c r="C562" s="3"/>
      <c r="D562" s="3"/>
      <c r="E562" s="683"/>
      <c r="F562" s="683" t="s">
        <v>1761</v>
      </c>
      <c r="G562" s="683" t="s">
        <v>2015</v>
      </c>
      <c r="H562" s="711">
        <v>7</v>
      </c>
      <c r="I562" s="683"/>
      <c r="J562" s="683"/>
      <c r="K562" s="683"/>
      <c r="L562" s="683"/>
      <c r="M562" s="683"/>
      <c r="N562" s="685"/>
      <c r="O562" s="683"/>
      <c r="P562" s="683"/>
      <c r="Q562" s="683"/>
      <c r="R562" s="683"/>
      <c r="S562" s="683"/>
      <c r="T562" s="683"/>
      <c r="U562" s="683"/>
      <c r="V562" s="683"/>
      <c r="W562" s="683"/>
      <c r="X562" s="683"/>
      <c r="Y562" s="683"/>
      <c r="Z562" s="683"/>
    </row>
    <row r="563" spans="1:26" ht="15" customHeight="1" x14ac:dyDescent="0.25">
      <c r="A563" s="3" t="s">
        <v>2139</v>
      </c>
      <c r="B563" s="3" t="s">
        <v>1086</v>
      </c>
      <c r="C563" s="3"/>
      <c r="D563" s="3"/>
      <c r="E563" s="683"/>
      <c r="I563" s="683"/>
      <c r="J563" s="683"/>
      <c r="K563" s="683"/>
      <c r="L563" s="683"/>
      <c r="M563" s="683"/>
      <c r="N563" s="685"/>
      <c r="O563" s="683"/>
      <c r="P563" s="683"/>
      <c r="Q563" s="683"/>
      <c r="R563" s="683"/>
      <c r="S563" s="683"/>
      <c r="T563" s="683"/>
      <c r="U563" s="683"/>
      <c r="V563" s="683"/>
      <c r="W563" s="683"/>
      <c r="X563" s="683"/>
      <c r="Y563" s="683"/>
      <c r="Z563" s="683"/>
    </row>
    <row r="564" spans="1:26" ht="15" customHeight="1" x14ac:dyDescent="0.25">
      <c r="A564" s="3" t="s">
        <v>2140</v>
      </c>
      <c r="B564" s="3" t="s">
        <v>1086</v>
      </c>
      <c r="C564" s="3"/>
      <c r="D564" s="3"/>
      <c r="E564" s="683"/>
      <c r="I564" s="683"/>
      <c r="J564" s="683"/>
      <c r="K564" s="683"/>
      <c r="L564" s="683"/>
      <c r="M564" s="683"/>
      <c r="N564" s="685"/>
      <c r="O564" s="683"/>
      <c r="P564" s="683"/>
      <c r="Q564" s="683"/>
      <c r="R564" s="683"/>
      <c r="S564" s="683"/>
      <c r="T564" s="683"/>
      <c r="U564" s="683"/>
      <c r="V564" s="683"/>
      <c r="W564" s="683"/>
      <c r="X564" s="683"/>
      <c r="Y564" s="683"/>
      <c r="Z564" s="683"/>
    </row>
    <row r="565" spans="1:26" ht="15" customHeight="1" x14ac:dyDescent="0.25">
      <c r="A565" s="3" t="s">
        <v>2141</v>
      </c>
      <c r="B565" s="3" t="s">
        <v>1086</v>
      </c>
      <c r="C565" s="3"/>
      <c r="D565" s="3"/>
      <c r="E565" s="683"/>
      <c r="I565" s="683"/>
      <c r="J565" s="683"/>
      <c r="K565" s="683"/>
      <c r="L565" s="683"/>
      <c r="M565" s="683"/>
      <c r="N565" s="685"/>
      <c r="O565" s="683"/>
      <c r="P565" s="683"/>
      <c r="Q565" s="683"/>
      <c r="R565" s="683"/>
      <c r="S565" s="683"/>
      <c r="T565" s="683"/>
      <c r="U565" s="683"/>
      <c r="V565" s="683"/>
      <c r="W565" s="683"/>
      <c r="X565" s="683"/>
      <c r="Y565" s="683"/>
      <c r="Z565" s="683"/>
    </row>
    <row r="566" spans="1:26" ht="15" customHeight="1" x14ac:dyDescent="0.25">
      <c r="A566" s="3" t="s">
        <v>2142</v>
      </c>
      <c r="B566" s="3" t="s">
        <v>1086</v>
      </c>
      <c r="C566" s="3"/>
      <c r="D566" s="3"/>
      <c r="E566" s="683"/>
      <c r="I566" s="683"/>
      <c r="J566" s="683"/>
      <c r="K566" s="683"/>
      <c r="L566" s="683"/>
      <c r="M566" s="683"/>
      <c r="N566" s="685"/>
      <c r="O566" s="683"/>
      <c r="P566" s="683"/>
      <c r="Q566" s="683"/>
      <c r="R566" s="683"/>
      <c r="S566" s="683"/>
      <c r="T566" s="683"/>
      <c r="U566" s="683"/>
      <c r="V566" s="683"/>
      <c r="W566" s="683"/>
      <c r="X566" s="683"/>
      <c r="Y566" s="683"/>
      <c r="Z566" s="683"/>
    </row>
    <row r="567" spans="1:26" ht="15" customHeight="1" x14ac:dyDescent="0.25">
      <c r="A567" s="3" t="s">
        <v>2143</v>
      </c>
      <c r="B567" s="3" t="s">
        <v>1086</v>
      </c>
      <c r="C567" s="3"/>
      <c r="D567" s="3"/>
      <c r="E567" s="683"/>
      <c r="F567" s="683"/>
      <c r="G567" s="683"/>
      <c r="H567" s="711"/>
      <c r="I567" s="683"/>
      <c r="J567" s="683"/>
      <c r="K567" s="683"/>
      <c r="L567" s="683"/>
      <c r="M567" s="683"/>
      <c r="N567" s="685"/>
      <c r="O567" s="683"/>
      <c r="P567" s="683"/>
      <c r="Q567" s="683"/>
      <c r="R567" s="683"/>
      <c r="S567" s="683"/>
      <c r="T567" s="683"/>
      <c r="U567" s="683"/>
      <c r="V567" s="683"/>
      <c r="W567" s="683"/>
      <c r="X567" s="683"/>
      <c r="Y567" s="683"/>
      <c r="Z567" s="683"/>
    </row>
    <row r="568" spans="1:26" ht="15" customHeight="1" x14ac:dyDescent="0.25">
      <c r="A568" s="683" t="s">
        <v>2144</v>
      </c>
      <c r="B568" s="3" t="s">
        <v>1086</v>
      </c>
      <c r="C568" s="3"/>
      <c r="D568" s="3" t="s">
        <v>2145</v>
      </c>
      <c r="E568" s="683"/>
      <c r="I568" s="683"/>
      <c r="J568" s="683"/>
      <c r="K568" s="683"/>
      <c r="L568" s="683"/>
      <c r="M568" s="683"/>
      <c r="N568" s="685"/>
      <c r="O568" s="683"/>
      <c r="P568" s="683"/>
      <c r="Q568" s="683"/>
      <c r="R568" s="683"/>
      <c r="S568" s="683"/>
      <c r="T568" s="683"/>
      <c r="U568" s="683"/>
      <c r="V568" s="683"/>
      <c r="W568" s="683"/>
      <c r="X568" s="683"/>
      <c r="Y568" s="683"/>
      <c r="Z568" s="683"/>
    </row>
    <row r="569" spans="1:26" ht="15" customHeight="1" x14ac:dyDescent="0.25">
      <c r="A569" s="683" t="s">
        <v>2146</v>
      </c>
      <c r="B569" s="3" t="s">
        <v>1086</v>
      </c>
      <c r="C569" s="3"/>
      <c r="D569" s="3"/>
      <c r="E569" s="683"/>
      <c r="F569" s="3" t="s">
        <v>990</v>
      </c>
      <c r="G569" s="3"/>
      <c r="H569" s="684">
        <v>15</v>
      </c>
      <c r="I569" s="683"/>
      <c r="J569" s="683"/>
      <c r="K569" s="683"/>
      <c r="L569" s="683"/>
      <c r="M569" s="683"/>
      <c r="N569" s="685"/>
      <c r="O569" s="683"/>
      <c r="P569" s="683"/>
      <c r="Q569" s="683"/>
      <c r="R569" s="683"/>
      <c r="S569" s="683"/>
      <c r="T569" s="683"/>
      <c r="U569" s="683"/>
      <c r="V569" s="683"/>
      <c r="W569" s="683"/>
      <c r="X569" s="683"/>
      <c r="Y569" s="683"/>
      <c r="Z569" s="683"/>
    </row>
    <row r="570" spans="1:26" ht="15" customHeight="1" x14ac:dyDescent="0.25">
      <c r="A570" s="683" t="s">
        <v>2147</v>
      </c>
      <c r="B570" s="3" t="s">
        <v>1086</v>
      </c>
      <c r="C570" s="3"/>
      <c r="H570" s="692"/>
      <c r="J570" s="683"/>
      <c r="K570" s="683"/>
      <c r="L570" s="683"/>
      <c r="M570" s="683"/>
      <c r="N570" s="685"/>
      <c r="O570" s="683"/>
      <c r="P570" s="683"/>
      <c r="Q570" s="683"/>
      <c r="R570" s="683"/>
      <c r="S570" s="683"/>
      <c r="T570" s="683"/>
      <c r="U570" s="683"/>
      <c r="V570" s="683"/>
      <c r="W570" s="683"/>
      <c r="X570" s="683"/>
      <c r="Y570" s="683"/>
      <c r="Z570" s="683"/>
    </row>
    <row r="571" spans="1:26" ht="15" customHeight="1" x14ac:dyDescent="0.25">
      <c r="A571" s="683" t="s">
        <v>2148</v>
      </c>
      <c r="B571" s="3" t="s">
        <v>1086</v>
      </c>
      <c r="C571" s="3"/>
      <c r="H571" s="692"/>
      <c r="J571" s="683"/>
      <c r="K571" s="683"/>
      <c r="L571" s="683"/>
      <c r="M571" s="683"/>
      <c r="N571" s="685"/>
      <c r="O571" s="683"/>
      <c r="P571" s="683"/>
      <c r="Q571" s="683"/>
      <c r="R571" s="683"/>
      <c r="S571" s="683"/>
      <c r="T571" s="683"/>
      <c r="U571" s="683"/>
      <c r="V571" s="683"/>
      <c r="W571" s="683"/>
      <c r="X571" s="683"/>
      <c r="Y571" s="683"/>
      <c r="Z571" s="683"/>
    </row>
    <row r="572" spans="1:26" ht="15" customHeight="1" x14ac:dyDescent="0.25">
      <c r="A572" s="683" t="s">
        <v>2149</v>
      </c>
      <c r="B572" s="683" t="s">
        <v>1086</v>
      </c>
      <c r="C572" s="3"/>
      <c r="D572" s="3"/>
      <c r="E572" s="683"/>
      <c r="F572" s="3" t="s">
        <v>1748</v>
      </c>
      <c r="H572" s="684"/>
      <c r="I572" s="683"/>
      <c r="J572" s="683"/>
      <c r="K572" s="683"/>
      <c r="L572" s="683"/>
      <c r="M572" s="683"/>
      <c r="N572" s="685"/>
      <c r="O572" s="683"/>
      <c r="P572" s="683"/>
      <c r="Q572" s="683"/>
      <c r="R572" s="683"/>
      <c r="S572" s="683"/>
      <c r="T572" s="683"/>
      <c r="U572" s="683"/>
      <c r="V572" s="683"/>
      <c r="W572" s="683"/>
      <c r="X572" s="683"/>
      <c r="Y572" s="683"/>
      <c r="Z572" s="683"/>
    </row>
    <row r="573" spans="1:26" ht="15" customHeight="1" x14ac:dyDescent="0.25">
      <c r="A573" s="683" t="s">
        <v>2150</v>
      </c>
      <c r="B573" s="683" t="s">
        <v>1086</v>
      </c>
      <c r="E573" s="38" t="s">
        <v>192</v>
      </c>
      <c r="F573" s="38" t="s">
        <v>710</v>
      </c>
      <c r="G573" s="38" t="s">
        <v>558</v>
      </c>
      <c r="H573" s="692">
        <v>13</v>
      </c>
      <c r="K573" s="683"/>
      <c r="L573" s="683"/>
      <c r="M573" s="683"/>
      <c r="N573" s="685"/>
      <c r="O573" s="683"/>
      <c r="P573" s="683"/>
      <c r="Q573" s="683"/>
      <c r="R573" s="683"/>
      <c r="S573" s="683"/>
      <c r="T573" s="683"/>
      <c r="U573" s="683"/>
      <c r="V573" s="683"/>
      <c r="W573" s="683"/>
      <c r="X573" s="683"/>
      <c r="Y573" s="683"/>
      <c r="Z573" s="683"/>
    </row>
    <row r="574" spans="1:26" ht="15" customHeight="1" x14ac:dyDescent="0.25">
      <c r="A574" s="683" t="s">
        <v>2151</v>
      </c>
      <c r="B574" s="683" t="s">
        <v>1086</v>
      </c>
      <c r="C574" s="3"/>
      <c r="E574" s="38" t="s">
        <v>192</v>
      </c>
      <c r="F574" s="38" t="s">
        <v>710</v>
      </c>
      <c r="G574" s="38" t="s">
        <v>2152</v>
      </c>
      <c r="H574" s="692">
        <v>12.833</v>
      </c>
      <c r="J574" s="683"/>
      <c r="K574" s="683"/>
      <c r="L574" s="683"/>
      <c r="M574" s="683"/>
      <c r="N574" s="685"/>
      <c r="O574" s="683"/>
      <c r="P574" s="683"/>
      <c r="Q574" s="683"/>
      <c r="R574" s="683"/>
      <c r="S574" s="683"/>
      <c r="T574" s="683"/>
      <c r="U574" s="683"/>
      <c r="V574" s="683"/>
      <c r="W574" s="683"/>
      <c r="X574" s="683"/>
      <c r="Y574" s="683"/>
      <c r="Z574" s="683"/>
    </row>
    <row r="575" spans="1:26" ht="15" customHeight="1" x14ac:dyDescent="0.25">
      <c r="A575" s="683" t="s">
        <v>2153</v>
      </c>
      <c r="B575" s="683" t="s">
        <v>1086</v>
      </c>
      <c r="C575" s="3"/>
      <c r="E575" s="38" t="s">
        <v>192</v>
      </c>
      <c r="F575" s="38" t="s">
        <v>710</v>
      </c>
      <c r="G575" s="38" t="s">
        <v>1757</v>
      </c>
      <c r="H575" s="692">
        <v>13.083</v>
      </c>
      <c r="J575" s="683"/>
      <c r="K575" s="683"/>
      <c r="L575" s="683"/>
      <c r="M575" s="683"/>
      <c r="N575" s="685"/>
      <c r="O575" s="683"/>
      <c r="P575" s="683"/>
      <c r="Q575" s="683"/>
      <c r="R575" s="683"/>
      <c r="S575" s="683"/>
      <c r="T575" s="683"/>
      <c r="U575" s="683"/>
      <c r="V575" s="683"/>
      <c r="W575" s="683"/>
      <c r="X575" s="683"/>
      <c r="Y575" s="683"/>
      <c r="Z575" s="683"/>
    </row>
    <row r="576" spans="1:26" ht="15" customHeight="1" x14ac:dyDescent="0.25">
      <c r="A576" s="683" t="s">
        <v>2154</v>
      </c>
      <c r="B576" s="683" t="s">
        <v>1086</v>
      </c>
      <c r="C576" s="3"/>
      <c r="E576" s="38" t="s">
        <v>192</v>
      </c>
      <c r="F576" s="38" t="s">
        <v>710</v>
      </c>
      <c r="G576" s="38" t="s">
        <v>469</v>
      </c>
      <c r="H576" s="692">
        <v>13.25</v>
      </c>
      <c r="J576" s="683"/>
      <c r="K576" s="683"/>
      <c r="L576" s="683"/>
      <c r="M576" s="683"/>
      <c r="N576" s="685"/>
      <c r="O576" s="683"/>
      <c r="P576" s="683"/>
      <c r="Q576" s="683"/>
      <c r="R576" s="683"/>
      <c r="S576" s="683"/>
      <c r="T576" s="683"/>
      <c r="U576" s="683"/>
      <c r="V576" s="683"/>
      <c r="W576" s="683"/>
      <c r="X576" s="683"/>
      <c r="Y576" s="683"/>
      <c r="Z576" s="683"/>
    </row>
    <row r="577" spans="1:26" ht="15" customHeight="1" x14ac:dyDescent="0.25">
      <c r="A577" s="683" t="s">
        <v>2155</v>
      </c>
      <c r="B577" s="683" t="s">
        <v>1086</v>
      </c>
      <c r="C577" s="3"/>
      <c r="D577" s="3"/>
      <c r="E577" s="683" t="s">
        <v>192</v>
      </c>
      <c r="F577" s="683" t="s">
        <v>901</v>
      </c>
      <c r="G577" s="683" t="s">
        <v>2156</v>
      </c>
      <c r="H577" s="711">
        <v>13.042</v>
      </c>
      <c r="I577" s="683"/>
      <c r="J577" s="683"/>
      <c r="K577" s="683"/>
      <c r="L577" s="683"/>
      <c r="M577" s="683"/>
      <c r="N577" s="685"/>
      <c r="O577" s="683"/>
      <c r="P577" s="683"/>
      <c r="Q577" s="683"/>
      <c r="R577" s="683"/>
      <c r="S577" s="683"/>
      <c r="T577" s="683"/>
      <c r="U577" s="683"/>
      <c r="V577" s="683"/>
      <c r="W577" s="683"/>
      <c r="X577" s="683"/>
      <c r="Y577" s="683"/>
      <c r="Z577" s="683"/>
    </row>
    <row r="578" spans="1:26" ht="15" customHeight="1" x14ac:dyDescent="0.25">
      <c r="A578" s="683" t="s">
        <v>2157</v>
      </c>
      <c r="B578" s="683" t="s">
        <v>1086</v>
      </c>
      <c r="C578" s="3"/>
      <c r="D578" s="3"/>
      <c r="E578" s="683" t="s">
        <v>192</v>
      </c>
      <c r="F578" s="683" t="s">
        <v>901</v>
      </c>
      <c r="G578" s="683" t="s">
        <v>2158</v>
      </c>
      <c r="H578" s="711">
        <v>13.625</v>
      </c>
      <c r="I578" s="683"/>
      <c r="J578" s="683"/>
      <c r="K578" s="683"/>
      <c r="L578" s="683"/>
      <c r="M578" s="683"/>
      <c r="N578" s="685"/>
      <c r="O578" s="683"/>
      <c r="P578" s="683"/>
      <c r="Q578" s="683"/>
      <c r="R578" s="683"/>
      <c r="S578" s="683"/>
      <c r="T578" s="683"/>
      <c r="U578" s="683"/>
      <c r="V578" s="683"/>
      <c r="W578" s="683"/>
      <c r="X578" s="683"/>
      <c r="Y578" s="683"/>
      <c r="Z578" s="683"/>
    </row>
    <row r="579" spans="1:26" ht="15" customHeight="1" x14ac:dyDescent="0.25">
      <c r="A579" s="683" t="s">
        <v>2159</v>
      </c>
      <c r="B579" s="683" t="s">
        <v>1086</v>
      </c>
      <c r="C579" s="3"/>
      <c r="D579" s="3"/>
      <c r="E579" s="683" t="s">
        <v>192</v>
      </c>
      <c r="F579" s="683" t="s">
        <v>901</v>
      </c>
      <c r="G579" s="683" t="s">
        <v>590</v>
      </c>
      <c r="H579" s="711">
        <v>13.167</v>
      </c>
      <c r="I579" s="683"/>
      <c r="J579" s="683"/>
      <c r="K579" s="683"/>
      <c r="L579" s="683"/>
      <c r="M579" s="683"/>
      <c r="N579" s="685"/>
      <c r="O579" s="683"/>
      <c r="P579" s="683"/>
      <c r="Q579" s="683"/>
      <c r="R579" s="683"/>
      <c r="S579" s="683"/>
      <c r="T579" s="683"/>
      <c r="U579" s="683"/>
      <c r="V579" s="683"/>
      <c r="W579" s="683"/>
      <c r="X579" s="683"/>
      <c r="Y579" s="683"/>
      <c r="Z579" s="683"/>
    </row>
    <row r="580" spans="1:26" ht="15" customHeight="1" x14ac:dyDescent="0.25">
      <c r="A580" s="683" t="s">
        <v>2160</v>
      </c>
      <c r="B580" s="683" t="s">
        <v>1086</v>
      </c>
      <c r="C580" s="3"/>
      <c r="E580" s="38" t="s">
        <v>192</v>
      </c>
      <c r="F580" s="38" t="s">
        <v>754</v>
      </c>
      <c r="G580" s="38" t="s">
        <v>2161</v>
      </c>
      <c r="H580" s="692">
        <v>13.75</v>
      </c>
      <c r="K580" s="683"/>
      <c r="L580" s="683"/>
      <c r="M580" s="683"/>
      <c r="N580" s="685"/>
      <c r="O580" s="683"/>
      <c r="P580" s="683"/>
      <c r="Q580" s="683"/>
      <c r="R580" s="683"/>
      <c r="S580" s="683"/>
      <c r="T580" s="683"/>
      <c r="U580" s="683"/>
      <c r="V580" s="683"/>
      <c r="W580" s="683"/>
      <c r="X580" s="683"/>
      <c r="Y580" s="683"/>
      <c r="Z580" s="683"/>
    </row>
    <row r="581" spans="1:26" ht="15" customHeight="1" x14ac:dyDescent="0.25">
      <c r="A581" s="683" t="s">
        <v>2162</v>
      </c>
      <c r="B581" s="683" t="s">
        <v>1086</v>
      </c>
      <c r="C581" s="3"/>
      <c r="E581" s="38" t="s">
        <v>192</v>
      </c>
      <c r="F581" s="38" t="s">
        <v>754</v>
      </c>
      <c r="G581" s="38" t="s">
        <v>2163</v>
      </c>
      <c r="H581" s="692">
        <v>14.833</v>
      </c>
      <c r="K581" s="683"/>
      <c r="L581" s="683"/>
      <c r="M581" s="683"/>
      <c r="N581" s="685"/>
      <c r="O581" s="683"/>
      <c r="P581" s="683"/>
      <c r="Q581" s="683"/>
      <c r="R581" s="683"/>
      <c r="S581" s="683"/>
      <c r="T581" s="683"/>
      <c r="U581" s="683"/>
      <c r="V581" s="683"/>
      <c r="W581" s="683"/>
      <c r="X581" s="683"/>
      <c r="Y581" s="683"/>
      <c r="Z581" s="683"/>
    </row>
    <row r="582" spans="1:26" ht="15" customHeight="1" x14ac:dyDescent="0.25">
      <c r="A582" s="683" t="s">
        <v>2164</v>
      </c>
      <c r="B582" s="683" t="s">
        <v>1086</v>
      </c>
      <c r="C582" s="3"/>
      <c r="E582" s="38" t="s">
        <v>192</v>
      </c>
      <c r="F582" s="38" t="s">
        <v>2165</v>
      </c>
      <c r="G582" s="38" t="s">
        <v>2166</v>
      </c>
      <c r="H582" s="692">
        <v>16.375</v>
      </c>
      <c r="K582" s="683"/>
      <c r="L582" s="683"/>
      <c r="M582" s="683"/>
      <c r="N582" s="685"/>
      <c r="O582" s="683"/>
      <c r="P582" s="683"/>
      <c r="Q582" s="683"/>
      <c r="R582" s="683"/>
      <c r="S582" s="683"/>
      <c r="T582" s="683"/>
      <c r="U582" s="683"/>
      <c r="V582" s="683"/>
      <c r="W582" s="683"/>
      <c r="X582" s="683"/>
      <c r="Y582" s="683"/>
      <c r="Z582" s="683"/>
    </row>
    <row r="583" spans="1:26" ht="15" customHeight="1" x14ac:dyDescent="0.25">
      <c r="A583" s="3" t="s">
        <v>2167</v>
      </c>
      <c r="B583" s="683" t="s">
        <v>1086</v>
      </c>
      <c r="C583" s="3"/>
      <c r="E583" s="38" t="s">
        <v>192</v>
      </c>
      <c r="F583" s="38" t="s">
        <v>2165</v>
      </c>
      <c r="G583" s="38" t="s">
        <v>2168</v>
      </c>
      <c r="H583" s="692">
        <v>16.375</v>
      </c>
      <c r="K583" s="683"/>
      <c r="L583" s="683"/>
      <c r="M583" s="683"/>
      <c r="N583" s="685"/>
      <c r="O583" s="683"/>
      <c r="P583" s="683"/>
      <c r="Q583" s="683"/>
      <c r="R583" s="683"/>
      <c r="S583" s="683"/>
      <c r="T583" s="683"/>
      <c r="U583" s="683"/>
      <c r="V583" s="683"/>
      <c r="W583" s="683"/>
      <c r="X583" s="683"/>
      <c r="Y583" s="683"/>
      <c r="Z583" s="683"/>
    </row>
    <row r="584" spans="1:26" ht="15" customHeight="1" x14ac:dyDescent="0.25">
      <c r="A584" s="3" t="s">
        <v>273</v>
      </c>
      <c r="B584" s="3" t="s">
        <v>1086</v>
      </c>
      <c r="C584" s="3"/>
      <c r="E584" s="38" t="s">
        <v>715</v>
      </c>
      <c r="F584" s="38" t="s">
        <v>715</v>
      </c>
      <c r="G584" s="38" t="s">
        <v>325</v>
      </c>
      <c r="H584" s="692">
        <v>9.875</v>
      </c>
      <c r="K584" s="683"/>
      <c r="L584" s="683"/>
      <c r="M584" s="683"/>
      <c r="N584" s="685"/>
      <c r="O584" s="683"/>
      <c r="P584" s="683"/>
      <c r="Q584" s="683"/>
      <c r="R584" s="683"/>
      <c r="S584" s="683"/>
      <c r="T584" s="683"/>
      <c r="U584" s="683"/>
      <c r="V584" s="683"/>
      <c r="W584" s="683"/>
      <c r="X584" s="683"/>
      <c r="Y584" s="683"/>
      <c r="Z584" s="683"/>
    </row>
    <row r="585" spans="1:26" ht="15" customHeight="1" x14ac:dyDescent="0.25">
      <c r="A585" s="3" t="s">
        <v>2169</v>
      </c>
      <c r="B585" s="3" t="s">
        <v>1086</v>
      </c>
      <c r="C585" s="3"/>
      <c r="E585" s="38" t="s">
        <v>715</v>
      </c>
      <c r="F585" s="38" t="s">
        <v>715</v>
      </c>
      <c r="G585" s="38" t="s">
        <v>2170</v>
      </c>
      <c r="H585" s="692">
        <v>11.042</v>
      </c>
      <c r="K585" s="683"/>
      <c r="L585" s="683"/>
      <c r="M585" s="683"/>
      <c r="N585" s="685"/>
      <c r="O585" s="683"/>
      <c r="P585" s="683"/>
      <c r="Q585" s="683"/>
      <c r="R585" s="683"/>
      <c r="S585" s="683"/>
      <c r="T585" s="683"/>
      <c r="U585" s="683"/>
      <c r="V585" s="683"/>
      <c r="W585" s="683"/>
      <c r="X585" s="683"/>
      <c r="Y585" s="683"/>
      <c r="Z585" s="683"/>
    </row>
    <row r="586" spans="1:26" ht="15" customHeight="1" x14ac:dyDescent="0.25">
      <c r="A586" s="3" t="s">
        <v>2171</v>
      </c>
      <c r="B586" s="3" t="s">
        <v>1086</v>
      </c>
      <c r="C586" s="3"/>
      <c r="E586" s="38" t="s">
        <v>715</v>
      </c>
      <c r="F586" s="38" t="s">
        <v>715</v>
      </c>
      <c r="G586" s="38" t="s">
        <v>2172</v>
      </c>
      <c r="H586" s="692">
        <v>11.083</v>
      </c>
      <c r="K586" s="683"/>
      <c r="L586" s="683"/>
      <c r="M586" s="683"/>
      <c r="N586" s="685"/>
      <c r="O586" s="683"/>
      <c r="P586" s="683"/>
      <c r="Q586" s="683"/>
      <c r="R586" s="683"/>
      <c r="S586" s="683"/>
      <c r="T586" s="683"/>
      <c r="U586" s="683"/>
      <c r="V586" s="683"/>
      <c r="W586" s="683"/>
      <c r="X586" s="683"/>
      <c r="Y586" s="683"/>
      <c r="Z586" s="683"/>
    </row>
    <row r="587" spans="1:26" ht="15" customHeight="1" x14ac:dyDescent="0.25">
      <c r="A587" s="683" t="s">
        <v>2173</v>
      </c>
      <c r="B587" s="3" t="s">
        <v>1086</v>
      </c>
      <c r="C587" s="3"/>
      <c r="E587" s="38" t="s">
        <v>715</v>
      </c>
      <c r="F587" s="38" t="s">
        <v>715</v>
      </c>
      <c r="G587" s="38" t="s">
        <v>2174</v>
      </c>
      <c r="H587" s="692">
        <v>11</v>
      </c>
      <c r="K587" s="683"/>
      <c r="L587" s="683"/>
      <c r="M587" s="683"/>
      <c r="N587" s="685"/>
      <c r="O587" s="683"/>
      <c r="P587" s="683"/>
      <c r="Q587" s="683"/>
      <c r="R587" s="683"/>
      <c r="S587" s="683"/>
      <c r="T587" s="683"/>
      <c r="U587" s="683"/>
      <c r="V587" s="683"/>
      <c r="W587" s="683"/>
      <c r="X587" s="683"/>
      <c r="Y587" s="683"/>
      <c r="Z587" s="683"/>
    </row>
    <row r="588" spans="1:26" ht="15" customHeight="1" x14ac:dyDescent="0.25">
      <c r="A588" s="3"/>
      <c r="B588" s="3"/>
      <c r="C588" s="3"/>
      <c r="E588" s="38" t="s">
        <v>715</v>
      </c>
      <c r="F588" s="38" t="s">
        <v>715</v>
      </c>
      <c r="G588" s="38" t="s">
        <v>2175</v>
      </c>
      <c r="H588" s="692">
        <v>10.708</v>
      </c>
      <c r="K588" s="683"/>
      <c r="L588" s="683"/>
      <c r="M588" s="683"/>
      <c r="N588" s="685"/>
      <c r="O588" s="683"/>
      <c r="P588" s="683"/>
      <c r="Q588" s="683"/>
      <c r="R588" s="683"/>
      <c r="S588" s="683"/>
      <c r="T588" s="683"/>
      <c r="U588" s="683"/>
      <c r="V588" s="683"/>
      <c r="W588" s="683"/>
      <c r="X588" s="683"/>
      <c r="Y588" s="683"/>
      <c r="Z588" s="683"/>
    </row>
    <row r="589" spans="1:26" ht="15" customHeight="1" x14ac:dyDescent="0.25">
      <c r="A589" s="3"/>
      <c r="B589" s="3"/>
      <c r="C589" s="3"/>
      <c r="E589" s="38" t="s">
        <v>715</v>
      </c>
      <c r="F589" s="38" t="s">
        <v>715</v>
      </c>
      <c r="G589" s="38" t="s">
        <v>371</v>
      </c>
      <c r="H589" s="692">
        <v>11.792</v>
      </c>
      <c r="K589" s="683"/>
      <c r="L589" s="683"/>
      <c r="M589" s="683"/>
      <c r="N589" s="685"/>
      <c r="O589" s="683"/>
      <c r="P589" s="683"/>
      <c r="Q589" s="683"/>
      <c r="R589" s="683"/>
      <c r="S589" s="683"/>
      <c r="T589" s="683"/>
      <c r="U589" s="683"/>
      <c r="V589" s="683"/>
      <c r="W589" s="683"/>
      <c r="X589" s="683"/>
      <c r="Y589" s="683"/>
      <c r="Z589" s="683"/>
    </row>
    <row r="590" spans="1:26" ht="15" customHeight="1" x14ac:dyDescent="0.25">
      <c r="A590" s="3"/>
      <c r="B590" s="3"/>
      <c r="C590" s="3"/>
      <c r="D590" s="3"/>
      <c r="E590" s="683" t="s">
        <v>715</v>
      </c>
      <c r="F590" s="3" t="s">
        <v>715</v>
      </c>
      <c r="G590" s="3" t="s">
        <v>2176</v>
      </c>
      <c r="H590" s="684">
        <v>11.458</v>
      </c>
      <c r="I590" s="683"/>
      <c r="J590" s="683"/>
      <c r="K590" s="683"/>
      <c r="L590" s="683"/>
      <c r="M590" s="683"/>
      <c r="N590" s="685"/>
      <c r="O590" s="683"/>
      <c r="P590" s="683"/>
      <c r="Q590" s="683"/>
      <c r="R590" s="683"/>
      <c r="S590" s="683"/>
      <c r="T590" s="683"/>
      <c r="U590" s="683"/>
      <c r="V590" s="683"/>
      <c r="W590" s="683"/>
      <c r="X590" s="683"/>
      <c r="Y590" s="683"/>
      <c r="Z590" s="683"/>
    </row>
    <row r="591" spans="1:26" ht="15" customHeight="1" x14ac:dyDescent="0.25">
      <c r="A591" s="3"/>
      <c r="B591" s="3"/>
      <c r="C591" s="3"/>
      <c r="D591" s="3"/>
      <c r="E591" s="683" t="s">
        <v>715</v>
      </c>
      <c r="F591" s="3" t="s">
        <v>715</v>
      </c>
      <c r="G591" s="3" t="s">
        <v>2177</v>
      </c>
      <c r="H591" s="684">
        <v>11.708</v>
      </c>
      <c r="I591" s="683"/>
      <c r="J591" s="683"/>
      <c r="K591" s="683"/>
      <c r="L591" s="683"/>
      <c r="M591" s="683"/>
      <c r="N591" s="685"/>
      <c r="O591" s="683"/>
      <c r="P591" s="683"/>
      <c r="Q591" s="683"/>
      <c r="R591" s="683"/>
      <c r="S591" s="683"/>
      <c r="T591" s="683"/>
      <c r="U591" s="683"/>
      <c r="V591" s="683"/>
      <c r="W591" s="683"/>
      <c r="X591" s="683"/>
      <c r="Y591" s="683"/>
      <c r="Z591" s="683"/>
    </row>
    <row r="592" spans="1:26" ht="15" customHeight="1" x14ac:dyDescent="0.25">
      <c r="A592" s="3"/>
      <c r="B592" s="3"/>
      <c r="E592" s="38" t="s">
        <v>715</v>
      </c>
      <c r="F592" s="38" t="s">
        <v>715</v>
      </c>
      <c r="G592" s="38" t="s">
        <v>2178</v>
      </c>
      <c r="H592" s="692">
        <v>10.375</v>
      </c>
      <c r="K592" s="683"/>
      <c r="L592" s="683"/>
      <c r="M592" s="683"/>
      <c r="N592" s="685"/>
      <c r="O592" s="683"/>
      <c r="P592" s="683"/>
      <c r="Q592" s="683"/>
      <c r="R592" s="683"/>
      <c r="S592" s="683"/>
      <c r="T592" s="683"/>
      <c r="U592" s="683"/>
      <c r="V592" s="683"/>
      <c r="W592" s="683"/>
      <c r="X592" s="683"/>
      <c r="Y592" s="683"/>
      <c r="Z592" s="683"/>
    </row>
    <row r="593" spans="1:26" ht="15" customHeight="1" x14ac:dyDescent="0.25">
      <c r="A593" s="683"/>
      <c r="B593" s="3"/>
      <c r="C593" s="3"/>
      <c r="D593" s="3"/>
      <c r="E593" s="683" t="s">
        <v>715</v>
      </c>
      <c r="F593" s="3" t="s">
        <v>715</v>
      </c>
      <c r="G593" s="3" t="s">
        <v>2179</v>
      </c>
      <c r="H593" s="684">
        <v>10.375</v>
      </c>
      <c r="I593" s="683"/>
      <c r="J593" s="683"/>
      <c r="K593" s="683"/>
      <c r="L593" s="683"/>
      <c r="M593" s="683"/>
      <c r="N593" s="685"/>
      <c r="O593" s="683"/>
      <c r="P593" s="683"/>
      <c r="Q593" s="683"/>
      <c r="R593" s="683"/>
      <c r="S593" s="683"/>
      <c r="T593" s="683"/>
      <c r="U593" s="683"/>
      <c r="V593" s="683"/>
      <c r="W593" s="683"/>
      <c r="X593" s="683"/>
      <c r="Y593" s="683"/>
      <c r="Z593" s="683"/>
    </row>
    <row r="594" spans="1:26" ht="15" customHeight="1" x14ac:dyDescent="0.25">
      <c r="A594" s="683"/>
      <c r="B594" s="3"/>
      <c r="C594" s="3"/>
      <c r="D594" s="3"/>
      <c r="E594" s="3" t="s">
        <v>715</v>
      </c>
      <c r="F594" s="3" t="s">
        <v>715</v>
      </c>
      <c r="G594" s="3" t="s">
        <v>2180</v>
      </c>
      <c r="H594" s="684">
        <v>10.667</v>
      </c>
      <c r="I594" s="3"/>
      <c r="J594" s="3"/>
      <c r="K594" s="3"/>
      <c r="L594" s="3"/>
      <c r="M594" s="3"/>
      <c r="N594" s="690"/>
      <c r="O594" s="3"/>
      <c r="P594" s="3"/>
      <c r="Q594" s="3"/>
      <c r="R594" s="3"/>
      <c r="S594" s="3"/>
      <c r="T594" s="3"/>
      <c r="U594" s="3"/>
      <c r="V594" s="3"/>
      <c r="W594" s="3"/>
      <c r="X594" s="3"/>
      <c r="Y594" s="3"/>
      <c r="Z594" s="3"/>
    </row>
    <row r="595" spans="1:26" ht="15" customHeight="1" x14ac:dyDescent="0.25">
      <c r="A595" s="683"/>
      <c r="B595" s="3"/>
      <c r="C595" s="3"/>
      <c r="D595" s="3"/>
      <c r="E595" s="3" t="s">
        <v>715</v>
      </c>
      <c r="F595" s="3" t="s">
        <v>715</v>
      </c>
      <c r="G595" s="3" t="s">
        <v>2181</v>
      </c>
      <c r="H595" s="684">
        <v>10.667</v>
      </c>
      <c r="I595" s="3"/>
      <c r="J595" s="3"/>
      <c r="K595" s="3"/>
      <c r="L595" s="3"/>
      <c r="M595" s="3"/>
      <c r="N595" s="690"/>
      <c r="O595" s="3"/>
      <c r="P595" s="3"/>
      <c r="Q595" s="3"/>
      <c r="R595" s="3"/>
      <c r="S595" s="3"/>
      <c r="T595" s="3"/>
      <c r="U595" s="3"/>
      <c r="V595" s="3"/>
      <c r="W595" s="3"/>
      <c r="X595" s="3"/>
      <c r="Y595" s="3"/>
      <c r="Z595" s="3"/>
    </row>
    <row r="596" spans="1:26" ht="15" customHeight="1" x14ac:dyDescent="0.25">
      <c r="A596" s="683"/>
      <c r="B596" s="3"/>
      <c r="C596" s="3"/>
      <c r="D596" s="3"/>
      <c r="E596" s="3" t="s">
        <v>715</v>
      </c>
      <c r="F596" s="3" t="s">
        <v>715</v>
      </c>
      <c r="G596" s="3" t="s">
        <v>2182</v>
      </c>
      <c r="H596" s="684">
        <v>10.667</v>
      </c>
      <c r="I596" s="3"/>
      <c r="J596" s="3"/>
      <c r="K596" s="3"/>
      <c r="L596" s="3"/>
      <c r="M596" s="3"/>
      <c r="N596" s="690"/>
      <c r="O596" s="3"/>
      <c r="P596" s="3"/>
      <c r="Q596" s="3"/>
      <c r="R596" s="3"/>
      <c r="S596" s="3"/>
      <c r="T596" s="3"/>
      <c r="U596" s="3"/>
      <c r="V596" s="3"/>
      <c r="W596" s="3"/>
      <c r="X596" s="3"/>
      <c r="Y596" s="3"/>
      <c r="Z596" s="3"/>
    </row>
    <row r="597" spans="1:26" ht="15" customHeight="1" x14ac:dyDescent="0.25">
      <c r="A597" s="683"/>
      <c r="B597" s="3"/>
      <c r="C597" s="3"/>
      <c r="D597" s="3"/>
      <c r="E597" s="3" t="s">
        <v>715</v>
      </c>
      <c r="F597" s="3" t="s">
        <v>715</v>
      </c>
      <c r="G597" s="3" t="s">
        <v>2183</v>
      </c>
      <c r="H597" s="684">
        <v>10.708</v>
      </c>
      <c r="I597" s="3"/>
      <c r="J597" s="3"/>
      <c r="K597" s="3"/>
      <c r="L597" s="3"/>
      <c r="M597" s="3"/>
      <c r="N597" s="690"/>
      <c r="O597" s="3"/>
      <c r="P597" s="3"/>
      <c r="Q597" s="3"/>
      <c r="R597" s="3"/>
      <c r="S597" s="3"/>
      <c r="T597" s="3"/>
      <c r="U597" s="3"/>
      <c r="V597" s="3"/>
      <c r="W597" s="3"/>
      <c r="X597" s="3"/>
      <c r="Y597" s="3"/>
      <c r="Z597" s="3"/>
    </row>
    <row r="598" spans="1:26" ht="15" customHeight="1" x14ac:dyDescent="0.25">
      <c r="A598" s="683" t="s">
        <v>2184</v>
      </c>
      <c r="B598" s="3" t="s">
        <v>1086</v>
      </c>
      <c r="C598" s="3"/>
      <c r="D598" s="3"/>
      <c r="E598" s="3" t="s">
        <v>715</v>
      </c>
      <c r="F598" s="3" t="s">
        <v>715</v>
      </c>
      <c r="G598" s="3" t="s">
        <v>2185</v>
      </c>
      <c r="H598" s="684">
        <v>11.792</v>
      </c>
      <c r="I598" s="3"/>
      <c r="J598" s="3"/>
      <c r="K598" s="3"/>
      <c r="L598" s="3"/>
      <c r="M598" s="3"/>
      <c r="N598" s="690"/>
      <c r="O598" s="3"/>
      <c r="P598" s="3"/>
      <c r="Q598" s="3"/>
      <c r="R598" s="3"/>
      <c r="S598" s="3"/>
      <c r="T598" s="3"/>
      <c r="U598" s="3"/>
      <c r="V598" s="3"/>
      <c r="W598" s="3"/>
      <c r="X598" s="3"/>
      <c r="Y598" s="3"/>
      <c r="Z598" s="3"/>
    </row>
    <row r="599" spans="1:26" ht="15" customHeight="1" x14ac:dyDescent="0.25">
      <c r="A599" s="683" t="s">
        <v>2186</v>
      </c>
      <c r="B599" s="3" t="s">
        <v>1086</v>
      </c>
      <c r="C599" s="3"/>
      <c r="D599" s="3"/>
      <c r="E599" s="3" t="s">
        <v>715</v>
      </c>
      <c r="F599" s="3" t="s">
        <v>715</v>
      </c>
      <c r="G599" s="3" t="s">
        <v>2187</v>
      </c>
      <c r="H599" s="684">
        <v>11.75</v>
      </c>
      <c r="I599" s="3"/>
      <c r="J599" s="3"/>
      <c r="K599" s="3"/>
      <c r="L599" s="3"/>
      <c r="M599" s="3"/>
      <c r="N599" s="690"/>
      <c r="O599" s="3"/>
      <c r="P599" s="3"/>
      <c r="Q599" s="3"/>
      <c r="R599" s="3"/>
      <c r="S599" s="3"/>
      <c r="T599" s="3"/>
      <c r="U599" s="3"/>
      <c r="V599" s="3"/>
      <c r="W599" s="3"/>
      <c r="X599" s="3"/>
      <c r="Y599" s="3"/>
      <c r="Z599" s="3"/>
    </row>
    <row r="600" spans="1:26" ht="15" customHeight="1" x14ac:dyDescent="0.25">
      <c r="A600" s="683" t="s">
        <v>2188</v>
      </c>
      <c r="B600" s="3" t="s">
        <v>1086</v>
      </c>
      <c r="C600" s="3"/>
      <c r="D600" s="3"/>
      <c r="E600" s="683" t="s">
        <v>715</v>
      </c>
      <c r="F600" s="3" t="s">
        <v>715</v>
      </c>
      <c r="G600" s="3" t="s">
        <v>2189</v>
      </c>
      <c r="H600" s="684">
        <v>10.667</v>
      </c>
      <c r="I600" s="683"/>
      <c r="J600" s="683"/>
      <c r="K600" s="683"/>
      <c r="L600" s="683"/>
      <c r="M600" s="683"/>
      <c r="N600" s="685"/>
      <c r="O600" s="683"/>
      <c r="P600" s="683"/>
      <c r="Q600" s="683"/>
      <c r="R600" s="683"/>
      <c r="S600" s="683"/>
      <c r="T600" s="683"/>
      <c r="U600" s="683"/>
      <c r="V600" s="683"/>
      <c r="W600" s="683"/>
      <c r="X600" s="683"/>
      <c r="Y600" s="683"/>
      <c r="Z600" s="683"/>
    </row>
    <row r="601" spans="1:26" ht="15" customHeight="1" x14ac:dyDescent="0.25">
      <c r="A601" s="683" t="s">
        <v>2190</v>
      </c>
      <c r="B601" s="3" t="s">
        <v>1086</v>
      </c>
      <c r="C601" s="3"/>
      <c r="D601" s="3"/>
      <c r="E601" s="683" t="s">
        <v>715</v>
      </c>
      <c r="F601" s="3" t="s">
        <v>715</v>
      </c>
      <c r="G601" s="3" t="s">
        <v>2191</v>
      </c>
      <c r="H601" s="684">
        <v>10.417</v>
      </c>
      <c r="I601" s="683"/>
      <c r="J601" s="683"/>
      <c r="K601" s="683"/>
      <c r="L601" s="683"/>
      <c r="M601" s="683"/>
      <c r="N601" s="685"/>
      <c r="O601" s="683"/>
      <c r="P601" s="683"/>
      <c r="Q601" s="683"/>
      <c r="R601" s="683"/>
      <c r="S601" s="683"/>
      <c r="T601" s="683"/>
      <c r="U601" s="683"/>
      <c r="V601" s="683"/>
      <c r="W601" s="683"/>
      <c r="X601" s="683"/>
      <c r="Y601" s="683"/>
      <c r="Z601" s="683"/>
    </row>
    <row r="602" spans="1:26" ht="15" customHeight="1" x14ac:dyDescent="0.25">
      <c r="A602" s="3" t="s">
        <v>2192</v>
      </c>
      <c r="B602" s="3" t="s">
        <v>1086</v>
      </c>
      <c r="C602" s="3"/>
      <c r="D602" s="3"/>
      <c r="E602" s="683" t="s">
        <v>715</v>
      </c>
      <c r="F602" s="3" t="s">
        <v>715</v>
      </c>
      <c r="G602" s="3" t="s">
        <v>2193</v>
      </c>
      <c r="H602" s="684">
        <v>11.625</v>
      </c>
      <c r="I602" s="683"/>
      <c r="J602" s="683"/>
      <c r="K602" s="683"/>
      <c r="L602" s="683"/>
      <c r="M602" s="683"/>
      <c r="N602" s="685"/>
      <c r="O602" s="683"/>
      <c r="P602" s="683"/>
      <c r="Q602" s="683"/>
      <c r="R602" s="683"/>
      <c r="S602" s="683"/>
      <c r="T602" s="683"/>
      <c r="U602" s="683"/>
      <c r="V602" s="683"/>
      <c r="W602" s="683"/>
      <c r="X602" s="683"/>
      <c r="Y602" s="683"/>
      <c r="Z602" s="683"/>
    </row>
    <row r="603" spans="1:26" ht="15" customHeight="1" x14ac:dyDescent="0.25">
      <c r="A603" s="3" t="s">
        <v>2194</v>
      </c>
      <c r="B603" s="3" t="s">
        <v>1086</v>
      </c>
      <c r="C603" s="3"/>
      <c r="D603" s="3"/>
      <c r="E603" s="683" t="s">
        <v>715</v>
      </c>
      <c r="F603" s="3" t="s">
        <v>715</v>
      </c>
      <c r="G603" s="3" t="s">
        <v>2195</v>
      </c>
      <c r="H603" s="684">
        <v>11.833</v>
      </c>
      <c r="I603" s="683"/>
      <c r="J603" s="683"/>
      <c r="K603" s="683"/>
      <c r="L603" s="683"/>
      <c r="M603" s="683"/>
      <c r="N603" s="685"/>
      <c r="O603" s="683"/>
      <c r="P603" s="683"/>
      <c r="Q603" s="683"/>
      <c r="R603" s="683"/>
      <c r="S603" s="683"/>
      <c r="T603" s="683"/>
      <c r="U603" s="683"/>
      <c r="V603" s="683"/>
      <c r="W603" s="683"/>
      <c r="X603" s="683"/>
      <c r="Y603" s="683"/>
      <c r="Z603" s="683"/>
    </row>
    <row r="604" spans="1:26" ht="15" customHeight="1" x14ac:dyDescent="0.25">
      <c r="A604" s="3" t="s">
        <v>2196</v>
      </c>
      <c r="B604" s="3" t="s">
        <v>1086</v>
      </c>
      <c r="C604" s="3"/>
      <c r="D604" s="3"/>
      <c r="E604" s="683" t="s">
        <v>715</v>
      </c>
      <c r="F604" s="3" t="s">
        <v>715</v>
      </c>
      <c r="G604" s="3" t="s">
        <v>2197</v>
      </c>
      <c r="H604" s="684">
        <v>11.833</v>
      </c>
      <c r="I604" s="683"/>
      <c r="J604" s="683"/>
      <c r="K604" s="683"/>
      <c r="L604" s="683"/>
      <c r="M604" s="683"/>
      <c r="N604" s="685"/>
      <c r="O604" s="683"/>
      <c r="P604" s="683"/>
      <c r="Q604" s="683"/>
      <c r="R604" s="683"/>
      <c r="S604" s="683"/>
      <c r="T604" s="683"/>
      <c r="U604" s="683"/>
      <c r="V604" s="683"/>
      <c r="W604" s="683"/>
      <c r="X604" s="683"/>
      <c r="Y604" s="683"/>
      <c r="Z604" s="683"/>
    </row>
    <row r="605" spans="1:26" ht="15" customHeight="1" x14ac:dyDescent="0.25">
      <c r="A605" s="3" t="s">
        <v>2198</v>
      </c>
      <c r="B605" s="3" t="s">
        <v>1086</v>
      </c>
      <c r="C605" s="3"/>
      <c r="D605" s="3"/>
      <c r="E605" s="683" t="s">
        <v>715</v>
      </c>
      <c r="F605" s="3" t="s">
        <v>715</v>
      </c>
      <c r="G605" s="3" t="s">
        <v>2199</v>
      </c>
      <c r="H605" s="684">
        <v>11.458</v>
      </c>
      <c r="I605" s="683"/>
      <c r="J605" s="683"/>
      <c r="K605" s="683"/>
      <c r="L605" s="683"/>
      <c r="M605" s="683"/>
      <c r="N605" s="685"/>
      <c r="O605" s="683"/>
      <c r="P605" s="683"/>
      <c r="Q605" s="683"/>
      <c r="R605" s="683"/>
      <c r="S605" s="683"/>
      <c r="T605" s="683"/>
      <c r="U605" s="683"/>
      <c r="V605" s="683"/>
      <c r="W605" s="683"/>
      <c r="X605" s="683"/>
      <c r="Y605" s="683"/>
      <c r="Z605" s="683"/>
    </row>
    <row r="606" spans="1:26" ht="15" customHeight="1" x14ac:dyDescent="0.25">
      <c r="A606" s="3" t="s">
        <v>2200</v>
      </c>
      <c r="B606" s="3" t="s">
        <v>1086</v>
      </c>
      <c r="C606" s="3"/>
      <c r="D606" s="3"/>
      <c r="E606" s="683" t="s">
        <v>715</v>
      </c>
      <c r="F606" s="3" t="s">
        <v>715</v>
      </c>
      <c r="G606" s="3" t="s">
        <v>2201</v>
      </c>
      <c r="H606" s="684">
        <v>11.458</v>
      </c>
      <c r="I606" s="683"/>
      <c r="J606" s="683"/>
      <c r="K606" s="683"/>
      <c r="L606" s="683"/>
      <c r="M606" s="683"/>
      <c r="N606" s="685"/>
      <c r="O606" s="683"/>
      <c r="P606" s="683"/>
      <c r="Q606" s="683"/>
      <c r="R606" s="683"/>
      <c r="S606" s="683"/>
      <c r="T606" s="683"/>
      <c r="U606" s="683"/>
      <c r="V606" s="683"/>
      <c r="W606" s="683"/>
      <c r="X606" s="683"/>
      <c r="Y606" s="683"/>
      <c r="Z606" s="683"/>
    </row>
    <row r="607" spans="1:26" ht="15" customHeight="1" x14ac:dyDescent="0.25">
      <c r="A607" s="3" t="s">
        <v>2202</v>
      </c>
      <c r="B607" s="3" t="s">
        <v>1086</v>
      </c>
      <c r="C607" s="3"/>
      <c r="D607" s="3"/>
      <c r="E607" s="683" t="s">
        <v>715</v>
      </c>
      <c r="F607" s="3" t="s">
        <v>715</v>
      </c>
      <c r="G607" s="3" t="s">
        <v>2203</v>
      </c>
      <c r="H607" s="684">
        <v>11.625</v>
      </c>
      <c r="I607" s="683"/>
      <c r="J607" s="683"/>
      <c r="K607" s="683"/>
      <c r="L607" s="683"/>
      <c r="M607" s="683"/>
      <c r="N607" s="685"/>
      <c r="O607" s="683"/>
      <c r="P607" s="683"/>
      <c r="Q607" s="683"/>
      <c r="R607" s="683"/>
      <c r="S607" s="683"/>
      <c r="T607" s="683"/>
      <c r="U607" s="683"/>
      <c r="V607" s="683"/>
      <c r="W607" s="683"/>
      <c r="X607" s="683"/>
      <c r="Y607" s="683"/>
      <c r="Z607" s="683"/>
    </row>
    <row r="608" spans="1:26" ht="15" customHeight="1" x14ac:dyDescent="0.25">
      <c r="A608" s="683" t="s">
        <v>2204</v>
      </c>
      <c r="B608" s="3" t="s">
        <v>1086</v>
      </c>
      <c r="C608" s="3"/>
      <c r="D608" s="3"/>
      <c r="E608" s="683" t="s">
        <v>715</v>
      </c>
      <c r="F608" s="3" t="s">
        <v>715</v>
      </c>
      <c r="G608" s="3" t="s">
        <v>197</v>
      </c>
      <c r="H608" s="684">
        <v>10.083</v>
      </c>
      <c r="I608" s="683"/>
      <c r="J608" s="683"/>
      <c r="K608" s="683"/>
      <c r="L608" s="683"/>
      <c r="M608" s="683"/>
      <c r="N608" s="685"/>
      <c r="O608" s="683"/>
      <c r="P608" s="683"/>
      <c r="Q608" s="683"/>
      <c r="R608" s="683"/>
      <c r="S608" s="683"/>
      <c r="T608" s="683"/>
      <c r="U608" s="683"/>
      <c r="V608" s="683"/>
      <c r="W608" s="683"/>
      <c r="X608" s="683"/>
      <c r="Y608" s="683"/>
      <c r="Z608" s="683"/>
    </row>
    <row r="609" spans="1:26" ht="15" customHeight="1" x14ac:dyDescent="0.25">
      <c r="A609" s="683" t="s">
        <v>2205</v>
      </c>
      <c r="B609" s="3" t="s">
        <v>1086</v>
      </c>
      <c r="C609" s="3"/>
      <c r="D609" s="3"/>
      <c r="E609" s="683" t="s">
        <v>715</v>
      </c>
      <c r="F609" s="3" t="s">
        <v>715</v>
      </c>
      <c r="G609" s="3" t="s">
        <v>2206</v>
      </c>
      <c r="H609" s="684">
        <v>11.458</v>
      </c>
      <c r="I609" s="683"/>
      <c r="J609" s="683"/>
      <c r="K609" s="683"/>
      <c r="L609" s="683"/>
      <c r="M609" s="683"/>
      <c r="N609" s="685"/>
      <c r="O609" s="683"/>
      <c r="P609" s="683"/>
      <c r="Q609" s="683"/>
      <c r="R609" s="683"/>
      <c r="S609" s="683"/>
      <c r="T609" s="683"/>
      <c r="U609" s="683"/>
      <c r="V609" s="683"/>
      <c r="W609" s="683"/>
      <c r="X609" s="683"/>
      <c r="Y609" s="683"/>
      <c r="Z609" s="683"/>
    </row>
    <row r="610" spans="1:26" ht="15" customHeight="1" x14ac:dyDescent="0.25">
      <c r="A610" s="683" t="s">
        <v>2207</v>
      </c>
      <c r="B610" s="3" t="s">
        <v>1086</v>
      </c>
      <c r="C610" s="3"/>
      <c r="D610" s="3"/>
      <c r="E610" s="683" t="s">
        <v>715</v>
      </c>
      <c r="F610" s="3" t="s">
        <v>715</v>
      </c>
      <c r="G610" s="3" t="s">
        <v>2208</v>
      </c>
      <c r="H610" s="684">
        <v>11.792</v>
      </c>
      <c r="I610" s="683"/>
      <c r="J610" s="683"/>
      <c r="K610" s="683"/>
      <c r="L610" s="683"/>
      <c r="M610" s="683"/>
      <c r="N610" s="685"/>
      <c r="O610" s="683"/>
      <c r="P610" s="683"/>
      <c r="Q610" s="683"/>
      <c r="R610" s="683"/>
      <c r="S610" s="683"/>
      <c r="T610" s="683"/>
      <c r="U610" s="683"/>
      <c r="V610" s="683"/>
      <c r="W610" s="683"/>
      <c r="X610" s="683"/>
      <c r="Y610" s="683"/>
      <c r="Z610" s="683"/>
    </row>
    <row r="611" spans="1:26" ht="15" customHeight="1" x14ac:dyDescent="0.25">
      <c r="A611" s="683" t="s">
        <v>2209</v>
      </c>
      <c r="B611" s="3" t="s">
        <v>1086</v>
      </c>
      <c r="C611" s="3"/>
      <c r="D611" s="3"/>
      <c r="E611" s="683" t="s">
        <v>715</v>
      </c>
      <c r="F611" s="3" t="s">
        <v>715</v>
      </c>
      <c r="G611" s="3" t="s">
        <v>2210</v>
      </c>
      <c r="H611" s="684">
        <v>11.042</v>
      </c>
      <c r="I611" s="683"/>
      <c r="J611" s="683"/>
      <c r="K611" s="683"/>
      <c r="L611" s="683"/>
      <c r="M611" s="683"/>
      <c r="N611" s="685"/>
      <c r="O611" s="683"/>
      <c r="P611" s="683"/>
      <c r="Q611" s="683"/>
      <c r="R611" s="683"/>
      <c r="S611" s="683"/>
      <c r="T611" s="683"/>
      <c r="U611" s="683"/>
      <c r="V611" s="683"/>
      <c r="W611" s="683"/>
      <c r="X611" s="683"/>
      <c r="Y611" s="683"/>
      <c r="Z611" s="683"/>
    </row>
    <row r="612" spans="1:26" ht="15" customHeight="1" x14ac:dyDescent="0.25">
      <c r="A612" s="683" t="s">
        <v>2211</v>
      </c>
      <c r="B612" s="3" t="s">
        <v>1086</v>
      </c>
      <c r="C612" s="3"/>
      <c r="D612" s="3"/>
      <c r="E612" s="683" t="s">
        <v>2212</v>
      </c>
      <c r="F612" s="3" t="s">
        <v>2212</v>
      </c>
      <c r="G612" s="3" t="s">
        <v>150</v>
      </c>
      <c r="H612" s="684">
        <v>12.792</v>
      </c>
      <c r="I612" s="683"/>
      <c r="J612" s="683"/>
      <c r="K612" s="683"/>
      <c r="L612" s="683"/>
      <c r="M612" s="683"/>
      <c r="N612" s="685"/>
      <c r="O612" s="683"/>
      <c r="P612" s="683"/>
      <c r="Q612" s="683"/>
      <c r="R612" s="683"/>
      <c r="S612" s="683"/>
      <c r="T612" s="683"/>
      <c r="U612" s="683"/>
      <c r="V612" s="683"/>
      <c r="W612" s="683"/>
      <c r="X612" s="683"/>
      <c r="Y612" s="683"/>
      <c r="Z612" s="683"/>
    </row>
    <row r="613" spans="1:26" ht="15" customHeight="1" x14ac:dyDescent="0.25">
      <c r="A613" s="3" t="s">
        <v>2213</v>
      </c>
      <c r="B613" s="3" t="s">
        <v>1086</v>
      </c>
      <c r="C613" s="3"/>
      <c r="D613" s="3"/>
      <c r="E613" s="683" t="s">
        <v>2212</v>
      </c>
      <c r="F613" s="3" t="s">
        <v>2212</v>
      </c>
      <c r="G613" s="3" t="s">
        <v>265</v>
      </c>
      <c r="H613" s="684">
        <v>12.792</v>
      </c>
      <c r="I613" s="683"/>
      <c r="J613" s="683"/>
      <c r="K613" s="683"/>
      <c r="L613" s="683"/>
      <c r="M613" s="683"/>
      <c r="N613" s="685"/>
      <c r="O613" s="683"/>
      <c r="P613" s="683"/>
      <c r="Q613" s="683"/>
      <c r="R613" s="683"/>
      <c r="S613" s="683"/>
      <c r="T613" s="683"/>
      <c r="U613" s="683"/>
      <c r="V613" s="683"/>
      <c r="W613" s="683"/>
      <c r="X613" s="683"/>
      <c r="Y613" s="683"/>
      <c r="Z613" s="683"/>
    </row>
    <row r="614" spans="1:26" ht="15" customHeight="1" x14ac:dyDescent="0.25">
      <c r="A614" s="683" t="s">
        <v>2214</v>
      </c>
      <c r="B614" s="3" t="s">
        <v>1086</v>
      </c>
      <c r="C614" s="3"/>
      <c r="D614" s="3"/>
      <c r="E614" s="683" t="s">
        <v>2212</v>
      </c>
      <c r="F614" s="683" t="s">
        <v>2212</v>
      </c>
      <c r="G614" s="683" t="s">
        <v>2215</v>
      </c>
      <c r="H614" s="684">
        <v>11.583</v>
      </c>
      <c r="I614" s="683"/>
      <c r="J614" s="683"/>
      <c r="K614" s="683"/>
      <c r="L614" s="683"/>
      <c r="M614" s="683"/>
      <c r="N614" s="685"/>
      <c r="O614" s="683"/>
      <c r="P614" s="683"/>
      <c r="Q614" s="683"/>
      <c r="R614" s="683"/>
      <c r="S614" s="683"/>
      <c r="T614" s="683"/>
      <c r="U614" s="683"/>
      <c r="V614" s="683"/>
      <c r="W614" s="683"/>
      <c r="X614" s="683"/>
      <c r="Y614" s="683"/>
      <c r="Z614" s="683"/>
    </row>
    <row r="615" spans="1:26" ht="15" customHeight="1" x14ac:dyDescent="0.25">
      <c r="A615" s="19" t="s">
        <v>2216</v>
      </c>
      <c r="B615" s="3" t="s">
        <v>1086</v>
      </c>
      <c r="C615" s="3"/>
      <c r="D615" s="3"/>
      <c r="E615" s="683" t="s">
        <v>2212</v>
      </c>
      <c r="F615" s="683" t="s">
        <v>2212</v>
      </c>
      <c r="G615" s="683" t="s">
        <v>2217</v>
      </c>
      <c r="H615" s="684">
        <v>11.583</v>
      </c>
      <c r="I615" s="683"/>
      <c r="J615" s="683"/>
      <c r="K615" s="683"/>
      <c r="L615" s="683"/>
      <c r="M615" s="683"/>
      <c r="N615" s="685"/>
      <c r="O615" s="683"/>
      <c r="P615" s="683"/>
      <c r="Q615" s="683"/>
      <c r="R615" s="683"/>
      <c r="S615" s="683"/>
      <c r="T615" s="683"/>
      <c r="U615" s="683"/>
      <c r="V615" s="683"/>
      <c r="W615" s="683"/>
      <c r="X615" s="683"/>
      <c r="Y615" s="683"/>
      <c r="Z615" s="683"/>
    </row>
    <row r="616" spans="1:26" ht="15" customHeight="1" x14ac:dyDescent="0.25">
      <c r="A616" s="683"/>
      <c r="B616" s="3"/>
      <c r="C616" s="3"/>
      <c r="D616" s="3"/>
      <c r="E616" s="683" t="s">
        <v>2212</v>
      </c>
      <c r="F616" s="683" t="s">
        <v>2212</v>
      </c>
      <c r="G616" s="683" t="s">
        <v>51</v>
      </c>
      <c r="H616" s="684">
        <v>11.917</v>
      </c>
      <c r="I616" s="683"/>
      <c r="J616" s="683"/>
      <c r="K616" s="683"/>
      <c r="L616" s="683"/>
      <c r="N616" s="685"/>
      <c r="O616" s="683"/>
      <c r="P616" s="683"/>
      <c r="Q616" s="683"/>
      <c r="R616" s="683"/>
      <c r="S616" s="683"/>
      <c r="T616" s="683"/>
      <c r="U616" s="683"/>
      <c r="V616" s="683"/>
      <c r="W616" s="683"/>
      <c r="X616" s="683"/>
      <c r="Y616" s="683"/>
      <c r="Z616" s="683"/>
    </row>
    <row r="617" spans="1:26" ht="15" customHeight="1" x14ac:dyDescent="0.25">
      <c r="A617" s="683"/>
      <c r="B617" s="3"/>
      <c r="C617" s="3"/>
      <c r="D617" s="3"/>
      <c r="E617" s="683"/>
      <c r="F617" s="683"/>
      <c r="G617" s="683"/>
      <c r="H617" s="684"/>
      <c r="I617" s="683"/>
      <c r="J617" s="683"/>
      <c r="K617" s="683"/>
      <c r="L617" s="683"/>
      <c r="N617" s="685"/>
      <c r="O617" s="683"/>
      <c r="P617" s="683"/>
      <c r="Q617" s="683"/>
      <c r="R617" s="683"/>
      <c r="S617" s="683"/>
      <c r="T617" s="683"/>
      <c r="U617" s="683"/>
      <c r="V617" s="683"/>
      <c r="W617" s="683"/>
      <c r="X617" s="683"/>
      <c r="Y617" s="683"/>
      <c r="Z617" s="683"/>
    </row>
    <row r="618" spans="1:26" ht="15" customHeight="1" x14ac:dyDescent="0.25">
      <c r="A618" s="683"/>
      <c r="B618" s="3"/>
      <c r="C618" s="3"/>
      <c r="D618" s="3"/>
      <c r="E618" s="683"/>
      <c r="F618" s="683"/>
      <c r="G618" s="683"/>
      <c r="H618" s="684"/>
      <c r="I618" s="683"/>
      <c r="J618" s="683"/>
      <c r="K618" s="683"/>
      <c r="L618" s="683"/>
      <c r="N618" s="685"/>
      <c r="O618" s="683"/>
      <c r="P618" s="683"/>
      <c r="Q618" s="683"/>
      <c r="R618" s="683"/>
      <c r="S618" s="683"/>
      <c r="T618" s="683"/>
      <c r="U618" s="683"/>
      <c r="V618" s="683"/>
      <c r="W618" s="683"/>
      <c r="X618" s="683"/>
      <c r="Y618" s="683"/>
      <c r="Z618" s="683"/>
    </row>
    <row r="619" spans="1:26" ht="15" customHeight="1" x14ac:dyDescent="0.25">
      <c r="A619" s="3" t="s">
        <v>2218</v>
      </c>
      <c r="B619" s="3" t="s">
        <v>1086</v>
      </c>
      <c r="E619" s="683"/>
      <c r="F619" s="713"/>
      <c r="G619" s="714" t="s">
        <v>1725</v>
      </c>
      <c r="H619" s="715"/>
      <c r="K619" s="683"/>
      <c r="L619" s="683"/>
      <c r="N619" s="685"/>
      <c r="O619" s="683"/>
      <c r="P619" s="683"/>
      <c r="Q619" s="683"/>
      <c r="R619" s="683"/>
      <c r="S619" s="683"/>
      <c r="T619" s="683"/>
      <c r="U619" s="683"/>
      <c r="V619" s="683"/>
      <c r="W619" s="683"/>
      <c r="X619" s="683"/>
      <c r="Y619" s="683"/>
      <c r="Z619" s="683"/>
    </row>
    <row r="620" spans="1:26" ht="15" customHeight="1" x14ac:dyDescent="0.25">
      <c r="A620" s="3"/>
      <c r="B620" s="3"/>
      <c r="C620" s="3"/>
      <c r="D620" s="3"/>
      <c r="F620" s="716" t="s">
        <v>1373</v>
      </c>
      <c r="G620" s="683" t="s">
        <v>1755</v>
      </c>
      <c r="H620" s="717">
        <v>15</v>
      </c>
      <c r="I620" s="683"/>
      <c r="J620" s="683"/>
      <c r="K620" s="683"/>
      <c r="L620" s="683"/>
      <c r="N620" s="685"/>
      <c r="O620" s="683"/>
      <c r="P620" s="683"/>
      <c r="Q620" s="683"/>
      <c r="R620" s="683"/>
      <c r="S620" s="683"/>
      <c r="T620" s="683"/>
      <c r="U620" s="683"/>
      <c r="V620" s="683"/>
      <c r="W620" s="683"/>
      <c r="X620" s="683"/>
      <c r="Y620" s="683"/>
      <c r="Z620" s="683"/>
    </row>
    <row r="621" spans="1:26" ht="15" customHeight="1" x14ac:dyDescent="0.25">
      <c r="A621" s="683"/>
      <c r="B621" s="3"/>
      <c r="C621" s="3"/>
      <c r="D621" s="3"/>
      <c r="F621" s="716" t="s">
        <v>1004</v>
      </c>
      <c r="G621" s="683" t="s">
        <v>1756</v>
      </c>
      <c r="H621" s="717">
        <v>14</v>
      </c>
      <c r="I621" s="683"/>
      <c r="J621" s="683"/>
      <c r="K621" s="683"/>
      <c r="L621" s="683"/>
      <c r="N621" s="685"/>
      <c r="O621" s="683"/>
      <c r="P621" s="683"/>
      <c r="Q621" s="683"/>
      <c r="R621" s="683"/>
      <c r="S621" s="683"/>
      <c r="T621" s="683"/>
      <c r="U621" s="683"/>
      <c r="V621" s="683"/>
      <c r="W621" s="683"/>
      <c r="X621" s="683"/>
      <c r="Y621" s="683"/>
      <c r="Z621" s="683"/>
    </row>
    <row r="622" spans="1:26" ht="15" customHeight="1" x14ac:dyDescent="0.25">
      <c r="A622" s="3"/>
      <c r="B622" s="3"/>
      <c r="C622" s="3"/>
      <c r="D622" s="3"/>
      <c r="F622" s="716"/>
      <c r="G622" s="3"/>
      <c r="H622" s="717"/>
      <c r="I622" s="683"/>
      <c r="J622" s="683"/>
      <c r="K622" s="683"/>
      <c r="L622" s="683"/>
      <c r="M622" s="683"/>
      <c r="N622" s="685"/>
      <c r="O622" s="683"/>
      <c r="P622" s="683"/>
      <c r="Q622" s="683"/>
      <c r="R622" s="683"/>
      <c r="S622" s="683"/>
      <c r="T622" s="683"/>
      <c r="U622" s="683"/>
      <c r="V622" s="683"/>
      <c r="W622" s="683"/>
      <c r="X622" s="683"/>
      <c r="Y622" s="683"/>
      <c r="Z622" s="683"/>
    </row>
    <row r="623" spans="1:26" ht="15" customHeight="1" x14ac:dyDescent="0.25">
      <c r="A623" s="3"/>
      <c r="B623" s="3"/>
      <c r="C623" s="3"/>
      <c r="D623" s="3"/>
      <c r="F623" s="699" t="s">
        <v>710</v>
      </c>
      <c r="G623" s="3" t="s">
        <v>1757</v>
      </c>
      <c r="H623" s="717">
        <v>13</v>
      </c>
      <c r="I623" s="683"/>
      <c r="J623" s="683"/>
      <c r="K623" s="683"/>
      <c r="L623" s="683"/>
      <c r="M623" s="683"/>
      <c r="N623" s="685"/>
      <c r="O623" s="683"/>
      <c r="P623" s="683"/>
      <c r="Q623" s="683"/>
      <c r="R623" s="683"/>
      <c r="S623" s="683"/>
      <c r="T623" s="683"/>
      <c r="U623" s="683"/>
      <c r="V623" s="683"/>
      <c r="W623" s="683"/>
      <c r="X623" s="683"/>
      <c r="Y623" s="683"/>
      <c r="Z623" s="683"/>
    </row>
    <row r="624" spans="1:26" ht="15" customHeight="1" x14ac:dyDescent="0.25">
      <c r="A624" s="683"/>
      <c r="B624" s="3"/>
      <c r="C624" s="3"/>
      <c r="D624" s="3"/>
      <c r="F624" s="699" t="s">
        <v>1757</v>
      </c>
      <c r="G624" s="683" t="s">
        <v>1757</v>
      </c>
      <c r="H624" s="717">
        <v>13</v>
      </c>
      <c r="I624" s="683"/>
      <c r="J624" s="683"/>
      <c r="K624" s="683"/>
      <c r="L624" s="683"/>
      <c r="M624" s="683"/>
      <c r="N624" s="685"/>
      <c r="O624" s="683"/>
      <c r="P624" s="683"/>
      <c r="Q624" s="683"/>
      <c r="R624" s="683"/>
      <c r="S624" s="683"/>
      <c r="T624" s="683"/>
      <c r="U624" s="683"/>
      <c r="V624" s="683"/>
      <c r="W624" s="683"/>
      <c r="X624" s="683"/>
      <c r="Y624" s="683"/>
      <c r="Z624" s="683"/>
    </row>
    <row r="625" spans="1:26" ht="15" customHeight="1" x14ac:dyDescent="0.25">
      <c r="A625" s="683" t="s">
        <v>2219</v>
      </c>
      <c r="B625" s="3" t="s">
        <v>1086</v>
      </c>
      <c r="C625" s="3"/>
      <c r="D625" s="3"/>
      <c r="F625" s="716" t="s">
        <v>192</v>
      </c>
      <c r="G625" s="683" t="s">
        <v>1757</v>
      </c>
      <c r="H625" s="717">
        <v>13</v>
      </c>
      <c r="I625" s="683"/>
      <c r="J625" s="683"/>
      <c r="K625" s="683"/>
      <c r="L625" s="683"/>
      <c r="M625" s="683"/>
      <c r="N625" s="685"/>
      <c r="O625" s="683"/>
      <c r="P625" s="683"/>
      <c r="Q625" s="683"/>
      <c r="R625" s="683"/>
      <c r="S625" s="683"/>
      <c r="T625" s="683"/>
      <c r="U625" s="683"/>
      <c r="V625" s="683"/>
      <c r="W625" s="683"/>
      <c r="X625" s="683"/>
      <c r="Y625" s="683"/>
      <c r="Z625" s="683"/>
    </row>
    <row r="626" spans="1:26" ht="15" customHeight="1" x14ac:dyDescent="0.25">
      <c r="A626" s="683" t="s">
        <v>2220</v>
      </c>
      <c r="B626" s="3" t="s">
        <v>1086</v>
      </c>
      <c r="C626" s="3"/>
      <c r="D626" s="3"/>
      <c r="F626" s="716" t="s">
        <v>770</v>
      </c>
      <c r="G626" s="683" t="s">
        <v>259</v>
      </c>
      <c r="H626" s="717">
        <v>11</v>
      </c>
      <c r="I626" s="683"/>
      <c r="J626" s="683"/>
      <c r="K626" s="683"/>
      <c r="L626" s="683"/>
      <c r="M626" s="683"/>
      <c r="N626" s="685"/>
      <c r="O626" s="683"/>
      <c r="P626" s="683"/>
      <c r="Q626" s="683"/>
      <c r="R626" s="683"/>
      <c r="S626" s="683"/>
      <c r="T626" s="683"/>
      <c r="U626" s="683"/>
      <c r="V626" s="683"/>
      <c r="W626" s="683"/>
      <c r="X626" s="683"/>
      <c r="Y626" s="683"/>
      <c r="Z626" s="683"/>
    </row>
    <row r="627" spans="1:26" ht="15" customHeight="1" x14ac:dyDescent="0.25">
      <c r="A627" s="683" t="s">
        <v>2221</v>
      </c>
      <c r="B627" s="3" t="s">
        <v>1086</v>
      </c>
      <c r="C627" s="3"/>
      <c r="D627" s="3"/>
      <c r="F627" s="716" t="s">
        <v>704</v>
      </c>
      <c r="G627" s="683" t="s">
        <v>194</v>
      </c>
      <c r="H627" s="717">
        <v>11</v>
      </c>
      <c r="I627" s="683"/>
      <c r="J627" s="683"/>
      <c r="K627" s="683"/>
      <c r="L627" s="683"/>
      <c r="M627" s="683"/>
      <c r="N627" s="685"/>
      <c r="O627" s="683"/>
      <c r="P627" s="683"/>
      <c r="Q627" s="683"/>
      <c r="R627" s="683"/>
      <c r="S627" s="683"/>
      <c r="T627" s="683"/>
      <c r="U627" s="683"/>
      <c r="V627" s="683"/>
      <c r="W627" s="683"/>
      <c r="X627" s="683"/>
      <c r="Y627" s="683"/>
      <c r="Z627" s="683"/>
    </row>
    <row r="628" spans="1:26" ht="15" customHeight="1" x14ac:dyDescent="0.25">
      <c r="A628" s="683" t="s">
        <v>2222</v>
      </c>
      <c r="B628" s="3" t="s">
        <v>1086</v>
      </c>
      <c r="C628" s="3"/>
      <c r="D628" s="3"/>
      <c r="F628" s="716" t="s">
        <v>715</v>
      </c>
      <c r="G628" s="683" t="s">
        <v>194</v>
      </c>
      <c r="H628" s="717">
        <v>11</v>
      </c>
      <c r="I628" s="683"/>
      <c r="J628" s="683"/>
      <c r="K628" s="683"/>
      <c r="L628" s="683"/>
      <c r="M628" s="683"/>
      <c r="N628" s="685"/>
      <c r="O628" s="683"/>
      <c r="P628" s="683"/>
      <c r="Q628" s="683"/>
      <c r="R628" s="683"/>
      <c r="S628" s="683"/>
      <c r="T628" s="683"/>
      <c r="U628" s="683"/>
      <c r="V628" s="683"/>
      <c r="W628" s="683"/>
      <c r="X628" s="683"/>
      <c r="Y628" s="683"/>
      <c r="Z628" s="683"/>
    </row>
    <row r="629" spans="1:26" ht="15" customHeight="1" x14ac:dyDescent="0.25">
      <c r="A629" s="683" t="s">
        <v>2223</v>
      </c>
      <c r="B629" s="3" t="s">
        <v>1086</v>
      </c>
      <c r="C629" s="3"/>
      <c r="D629" s="3"/>
      <c r="F629" s="716" t="s">
        <v>901</v>
      </c>
      <c r="G629" s="683" t="s">
        <v>1760</v>
      </c>
      <c r="H629" s="717">
        <v>13</v>
      </c>
      <c r="I629" s="683"/>
      <c r="J629" s="683"/>
      <c r="K629" s="683"/>
      <c r="L629" s="683"/>
      <c r="M629" s="683"/>
      <c r="N629" s="685"/>
      <c r="O629" s="683"/>
      <c r="P629" s="683"/>
      <c r="Q629" s="683"/>
      <c r="R629" s="683"/>
      <c r="S629" s="683"/>
      <c r="T629" s="683"/>
      <c r="U629" s="683"/>
      <c r="V629" s="683"/>
      <c r="W629" s="683"/>
      <c r="X629" s="683"/>
      <c r="Y629" s="683"/>
      <c r="Z629" s="683"/>
    </row>
    <row r="630" spans="1:26" ht="15" customHeight="1" x14ac:dyDescent="0.25">
      <c r="A630" s="683" t="s">
        <v>2224</v>
      </c>
      <c r="B630" s="3" t="s">
        <v>1086</v>
      </c>
      <c r="C630" s="3"/>
      <c r="D630" s="3"/>
      <c r="E630" s="683"/>
      <c r="F630" s="718"/>
      <c r="H630" s="719"/>
      <c r="I630" s="683"/>
      <c r="J630" s="683"/>
      <c r="K630" s="683"/>
      <c r="L630" s="683"/>
      <c r="M630" s="683"/>
      <c r="N630" s="685"/>
      <c r="O630" s="683"/>
      <c r="P630" s="683"/>
      <c r="Q630" s="683"/>
      <c r="R630" s="683"/>
      <c r="S630" s="683"/>
      <c r="T630" s="683"/>
      <c r="U630" s="683"/>
      <c r="V630" s="683"/>
      <c r="W630" s="683"/>
      <c r="X630" s="683"/>
      <c r="Y630" s="683"/>
      <c r="Z630" s="683"/>
    </row>
    <row r="631" spans="1:26" ht="15" customHeight="1" x14ac:dyDescent="0.25">
      <c r="A631" s="683" t="s">
        <v>2225</v>
      </c>
      <c r="B631" s="3" t="s">
        <v>1086</v>
      </c>
      <c r="C631" s="3"/>
      <c r="D631" s="3"/>
      <c r="E631" s="683"/>
      <c r="F631" s="718"/>
      <c r="H631" s="719"/>
      <c r="I631" s="683"/>
      <c r="J631" s="683"/>
      <c r="K631" s="683"/>
      <c r="L631" s="683"/>
      <c r="M631" s="683"/>
      <c r="N631" s="685"/>
      <c r="O631" s="683"/>
      <c r="P631" s="683"/>
      <c r="Q631" s="683"/>
      <c r="R631" s="683"/>
      <c r="S631" s="683"/>
      <c r="T631" s="683"/>
      <c r="U631" s="683"/>
      <c r="V631" s="683"/>
      <c r="W631" s="683"/>
      <c r="X631" s="683"/>
      <c r="Y631" s="683"/>
      <c r="Z631" s="683"/>
    </row>
    <row r="632" spans="1:26" ht="15" customHeight="1" x14ac:dyDescent="0.25">
      <c r="A632" s="683" t="s">
        <v>2226</v>
      </c>
      <c r="B632" s="3" t="s">
        <v>1086</v>
      </c>
      <c r="C632" s="3"/>
      <c r="D632" s="3"/>
      <c r="E632" s="683"/>
      <c r="F632" s="718"/>
      <c r="H632" s="719"/>
      <c r="I632" s="683"/>
      <c r="J632" s="683"/>
      <c r="K632" s="683"/>
      <c r="L632" s="683"/>
      <c r="M632" s="683"/>
      <c r="N632" s="685"/>
      <c r="O632" s="683"/>
      <c r="P632" s="683"/>
      <c r="Q632" s="683"/>
      <c r="R632" s="683"/>
      <c r="S632" s="683"/>
      <c r="T632" s="683"/>
      <c r="U632" s="683"/>
      <c r="V632" s="683"/>
      <c r="W632" s="683"/>
      <c r="X632" s="683"/>
      <c r="Y632" s="683"/>
      <c r="Z632" s="683"/>
    </row>
    <row r="633" spans="1:26" ht="15" customHeight="1" x14ac:dyDescent="0.25">
      <c r="A633" s="683" t="s">
        <v>2227</v>
      </c>
      <c r="B633" s="3" t="s">
        <v>1086</v>
      </c>
      <c r="C633" s="3"/>
      <c r="D633" s="3"/>
      <c r="E633" s="683"/>
      <c r="F633" s="718"/>
      <c r="H633" s="719"/>
      <c r="I633" s="683"/>
      <c r="J633" s="683"/>
      <c r="K633" s="683"/>
      <c r="L633" s="683"/>
      <c r="M633" s="683"/>
      <c r="N633" s="685"/>
      <c r="O633" s="683"/>
      <c r="P633" s="683"/>
      <c r="Q633" s="683"/>
      <c r="R633" s="683"/>
      <c r="S633" s="683"/>
      <c r="T633" s="683"/>
      <c r="U633" s="683"/>
      <c r="V633" s="683"/>
      <c r="W633" s="683"/>
      <c r="X633" s="683"/>
      <c r="Y633" s="683"/>
      <c r="Z633" s="683"/>
    </row>
    <row r="634" spans="1:26" ht="15" customHeight="1" x14ac:dyDescent="0.25">
      <c r="A634" s="683" t="s">
        <v>2228</v>
      </c>
      <c r="B634" s="3" t="s">
        <v>1086</v>
      </c>
      <c r="C634" s="3"/>
      <c r="D634" s="3"/>
      <c r="E634" s="683"/>
      <c r="F634" s="718"/>
      <c r="H634" s="719"/>
      <c r="I634" s="683"/>
      <c r="J634" s="683"/>
      <c r="K634" s="683"/>
      <c r="L634" s="683"/>
      <c r="M634" s="683"/>
      <c r="N634" s="685"/>
      <c r="O634" s="683"/>
      <c r="P634" s="683"/>
      <c r="Q634" s="683"/>
      <c r="R634" s="683"/>
      <c r="S634" s="683"/>
      <c r="T634" s="683"/>
      <c r="U634" s="683"/>
      <c r="V634" s="683"/>
      <c r="W634" s="683"/>
      <c r="X634" s="683"/>
      <c r="Y634" s="683"/>
      <c r="Z634" s="683"/>
    </row>
    <row r="635" spans="1:26" ht="15" customHeight="1" x14ac:dyDescent="0.25">
      <c r="A635" s="683" t="s">
        <v>2229</v>
      </c>
      <c r="B635" s="3" t="s">
        <v>1086</v>
      </c>
      <c r="C635" s="3"/>
      <c r="D635" s="3"/>
      <c r="E635" s="683"/>
      <c r="F635" s="718"/>
      <c r="H635" s="719"/>
      <c r="I635" s="683"/>
      <c r="J635" s="683"/>
      <c r="K635" s="683"/>
      <c r="L635" s="683"/>
      <c r="M635" s="683"/>
      <c r="N635" s="685"/>
      <c r="O635" s="683"/>
      <c r="P635" s="683"/>
      <c r="Q635" s="683"/>
      <c r="R635" s="683"/>
      <c r="S635" s="683"/>
      <c r="T635" s="683"/>
      <c r="U635" s="683"/>
      <c r="V635" s="683"/>
      <c r="W635" s="683"/>
      <c r="X635" s="683"/>
      <c r="Y635" s="683"/>
      <c r="Z635" s="683"/>
    </row>
    <row r="636" spans="1:26" ht="15" customHeight="1" x14ac:dyDescent="0.25">
      <c r="A636" s="683" t="s">
        <v>2230</v>
      </c>
      <c r="B636" s="683" t="s">
        <v>1086</v>
      </c>
      <c r="C636" s="3"/>
      <c r="D636" s="3"/>
      <c r="E636" s="683"/>
      <c r="F636" s="718"/>
      <c r="H636" s="719"/>
      <c r="I636" s="683"/>
      <c r="J636" s="683"/>
      <c r="K636" s="683"/>
      <c r="L636" s="683"/>
      <c r="M636" s="683"/>
      <c r="N636" s="685"/>
      <c r="O636" s="683"/>
      <c r="P636" s="683"/>
      <c r="Q636" s="683"/>
      <c r="R636" s="683"/>
      <c r="S636" s="683"/>
      <c r="T636" s="683"/>
      <c r="U636" s="683"/>
      <c r="V636" s="683"/>
      <c r="W636" s="683"/>
      <c r="X636" s="683"/>
      <c r="Y636" s="683"/>
      <c r="Z636" s="683"/>
    </row>
    <row r="637" spans="1:26" ht="15" customHeight="1" x14ac:dyDescent="0.25">
      <c r="A637" s="683" t="s">
        <v>2231</v>
      </c>
      <c r="B637" s="683" t="s">
        <v>1086</v>
      </c>
      <c r="C637" s="3"/>
      <c r="D637" s="3"/>
      <c r="E637" s="683"/>
      <c r="F637" s="699"/>
      <c r="G637" s="3"/>
      <c r="H637" s="720"/>
      <c r="I637" s="683"/>
      <c r="J637" s="683"/>
      <c r="K637" s="683"/>
      <c r="L637" s="721"/>
      <c r="M637" s="683"/>
      <c r="N637" s="685"/>
      <c r="O637" s="683"/>
      <c r="P637" s="683"/>
      <c r="Q637" s="683"/>
      <c r="R637" s="683"/>
      <c r="S637" s="683"/>
      <c r="T637" s="683"/>
      <c r="U637" s="683"/>
      <c r="V637" s="683"/>
      <c r="W637" s="683"/>
      <c r="X637" s="683"/>
      <c r="Y637" s="683"/>
      <c r="Z637" s="683"/>
    </row>
    <row r="638" spans="1:26" ht="15" customHeight="1" x14ac:dyDescent="0.25">
      <c r="A638" s="683" t="s">
        <v>2232</v>
      </c>
      <c r="B638" s="683" t="s">
        <v>1086</v>
      </c>
      <c r="C638" s="3"/>
      <c r="D638" s="3"/>
      <c r="E638" s="683"/>
      <c r="F638" s="718"/>
      <c r="H638" s="719"/>
      <c r="I638" s="683"/>
      <c r="J638" s="683"/>
      <c r="K638" s="683"/>
      <c r="L638" s="721"/>
      <c r="M638" s="683"/>
      <c r="N638" s="685"/>
      <c r="O638" s="683"/>
      <c r="P638" s="683"/>
      <c r="Q638" s="683"/>
      <c r="R638" s="683"/>
      <c r="S638" s="683"/>
      <c r="T638" s="683"/>
      <c r="U638" s="683"/>
      <c r="V638" s="683"/>
      <c r="W638" s="683"/>
      <c r="X638" s="683"/>
      <c r="Y638" s="683"/>
      <c r="Z638" s="683"/>
    </row>
    <row r="639" spans="1:26" ht="15" customHeight="1" x14ac:dyDescent="0.25">
      <c r="A639" s="683" t="s">
        <v>2233</v>
      </c>
      <c r="B639" s="683" t="s">
        <v>1086</v>
      </c>
      <c r="C639" s="683"/>
      <c r="D639" s="3"/>
      <c r="E639" s="683"/>
      <c r="F639" s="699"/>
      <c r="G639" s="3"/>
      <c r="H639" s="720"/>
      <c r="I639" s="683"/>
      <c r="J639" s="683"/>
      <c r="K639" s="683"/>
      <c r="L639" s="721"/>
      <c r="M639" s="683"/>
      <c r="N639" s="685"/>
      <c r="O639" s="683"/>
      <c r="P639" s="683"/>
      <c r="Q639" s="683"/>
      <c r="R639" s="683"/>
      <c r="S639" s="683"/>
      <c r="T639" s="683"/>
      <c r="U639" s="683"/>
      <c r="V639" s="683"/>
      <c r="W639" s="683"/>
      <c r="X639" s="683"/>
      <c r="Y639" s="683"/>
      <c r="Z639" s="683"/>
    </row>
    <row r="640" spans="1:26" ht="15" customHeight="1" x14ac:dyDescent="0.25">
      <c r="A640" s="683" t="s">
        <v>2234</v>
      </c>
      <c r="B640" s="683" t="s">
        <v>1086</v>
      </c>
      <c r="C640" s="683"/>
      <c r="D640" s="3"/>
      <c r="E640" s="683"/>
      <c r="F640" s="718"/>
      <c r="H640" s="719"/>
      <c r="I640" s="683"/>
      <c r="J640" s="683"/>
      <c r="K640" s="683"/>
      <c r="L640" s="683"/>
      <c r="M640" s="683"/>
      <c r="N640" s="685"/>
      <c r="O640" s="683"/>
      <c r="P640" s="683"/>
      <c r="Q640" s="683"/>
      <c r="R640" s="683"/>
      <c r="S640" s="683"/>
      <c r="T640" s="683"/>
      <c r="U640" s="683"/>
      <c r="V640" s="683"/>
      <c r="W640" s="683"/>
      <c r="X640" s="683"/>
      <c r="Y640" s="683"/>
      <c r="Z640" s="683"/>
    </row>
    <row r="641" spans="1:26" ht="15" customHeight="1" x14ac:dyDescent="0.25">
      <c r="A641" s="683" t="s">
        <v>2235</v>
      </c>
      <c r="B641" s="3" t="s">
        <v>2236</v>
      </c>
      <c r="C641" s="3"/>
      <c r="D641" s="3"/>
      <c r="E641" s="683"/>
      <c r="F641" s="718"/>
      <c r="H641" s="719"/>
      <c r="I641" s="683"/>
      <c r="J641" s="683"/>
      <c r="K641" s="683"/>
      <c r="L641" s="683"/>
      <c r="M641" s="683"/>
      <c r="N641" s="685"/>
      <c r="O641" s="683"/>
      <c r="P641" s="683"/>
      <c r="Q641" s="683"/>
      <c r="R641" s="683"/>
      <c r="S641" s="683"/>
      <c r="T641" s="683"/>
      <c r="U641" s="683"/>
      <c r="V641" s="683"/>
      <c r="W641" s="683"/>
      <c r="X641" s="683"/>
      <c r="Y641" s="683"/>
      <c r="Z641" s="683"/>
    </row>
    <row r="642" spans="1:26" ht="15" customHeight="1" x14ac:dyDescent="0.25">
      <c r="A642" s="3" t="s">
        <v>2237</v>
      </c>
      <c r="B642" s="3" t="s">
        <v>1086</v>
      </c>
      <c r="C642" s="3"/>
      <c r="D642" s="3"/>
      <c r="E642" s="683"/>
      <c r="F642" s="699"/>
      <c r="G642" s="3"/>
      <c r="H642" s="720"/>
      <c r="I642" s="683"/>
      <c r="J642" s="683"/>
      <c r="K642" s="683"/>
      <c r="L642" s="683"/>
      <c r="M642" s="683"/>
      <c r="N642" s="685"/>
      <c r="O642" s="683"/>
      <c r="P642" s="683"/>
      <c r="Q642" s="683"/>
      <c r="R642" s="683"/>
      <c r="S642" s="683"/>
      <c r="T642" s="683"/>
      <c r="U642" s="683"/>
      <c r="V642" s="683"/>
      <c r="W642" s="683"/>
      <c r="X642" s="683"/>
      <c r="Y642" s="683"/>
      <c r="Z642" s="683"/>
    </row>
    <row r="643" spans="1:26" ht="15" customHeight="1" x14ac:dyDescent="0.25">
      <c r="A643" s="3" t="s">
        <v>2238</v>
      </c>
      <c r="B643" s="3" t="s">
        <v>1086</v>
      </c>
      <c r="C643" s="3"/>
      <c r="D643" s="3"/>
      <c r="E643" s="683"/>
      <c r="F643" s="699"/>
      <c r="G643" s="3"/>
      <c r="H643" s="720"/>
      <c r="I643" s="683"/>
      <c r="J643" s="683"/>
      <c r="K643" s="683"/>
      <c r="L643" s="683"/>
      <c r="M643" s="683"/>
      <c r="N643" s="685"/>
      <c r="O643" s="683"/>
      <c r="P643" s="683"/>
      <c r="Q643" s="683"/>
      <c r="R643" s="683"/>
      <c r="S643" s="683"/>
      <c r="T643" s="683"/>
      <c r="U643" s="683"/>
      <c r="V643" s="683"/>
      <c r="W643" s="683"/>
      <c r="X643" s="683"/>
      <c r="Y643" s="683"/>
      <c r="Z643" s="683"/>
    </row>
    <row r="644" spans="1:26" ht="15" customHeight="1" x14ac:dyDescent="0.25">
      <c r="A644" s="3" t="s">
        <v>2239</v>
      </c>
      <c r="B644" s="3" t="s">
        <v>1086</v>
      </c>
      <c r="C644" s="3"/>
      <c r="D644" s="3"/>
      <c r="E644" s="683"/>
      <c r="F644" s="699"/>
      <c r="G644" s="3"/>
      <c r="H644" s="720"/>
      <c r="I644" s="683"/>
      <c r="J644" s="683"/>
      <c r="K644" s="683"/>
      <c r="L644" s="683"/>
      <c r="M644" s="683"/>
      <c r="N644" s="685"/>
      <c r="O644" s="683"/>
      <c r="P644" s="683"/>
      <c r="Q644" s="683"/>
      <c r="R644" s="683"/>
      <c r="S644" s="683"/>
      <c r="T644" s="683"/>
      <c r="U644" s="683"/>
      <c r="V644" s="683"/>
      <c r="W644" s="683"/>
      <c r="X644" s="683"/>
      <c r="Y644" s="683"/>
      <c r="Z644" s="683"/>
    </row>
    <row r="645" spans="1:26" ht="15" customHeight="1" x14ac:dyDescent="0.25">
      <c r="A645" s="3" t="s">
        <v>2240</v>
      </c>
      <c r="B645" s="3" t="s">
        <v>1086</v>
      </c>
      <c r="C645" s="3"/>
      <c r="D645" s="3"/>
      <c r="E645" s="683"/>
      <c r="F645" s="699"/>
      <c r="G645" s="3"/>
      <c r="H645" s="720"/>
      <c r="I645" s="683"/>
      <c r="J645" s="683"/>
      <c r="K645" s="683"/>
      <c r="L645" s="683"/>
      <c r="M645" s="683"/>
      <c r="N645" s="685"/>
      <c r="O645" s="683"/>
      <c r="P645" s="683"/>
      <c r="Q645" s="683"/>
      <c r="R645" s="683"/>
      <c r="S645" s="683"/>
      <c r="T645" s="683"/>
      <c r="U645" s="683"/>
      <c r="V645" s="683"/>
      <c r="W645" s="683"/>
      <c r="X645" s="683"/>
      <c r="Y645" s="683"/>
      <c r="Z645" s="683"/>
    </row>
    <row r="646" spans="1:26" ht="15" customHeight="1" x14ac:dyDescent="0.25">
      <c r="A646" s="3" t="s">
        <v>2241</v>
      </c>
      <c r="B646" s="3" t="s">
        <v>1086</v>
      </c>
      <c r="C646" s="3"/>
      <c r="D646" s="3"/>
      <c r="E646" s="683"/>
      <c r="F646" s="701"/>
      <c r="G646" s="722"/>
      <c r="H646" s="723"/>
      <c r="I646" s="683"/>
      <c r="J646" s="683"/>
      <c r="K646" s="683"/>
      <c r="L646" s="683"/>
      <c r="M646" s="683"/>
      <c r="N646" s="685"/>
      <c r="O646" s="683"/>
      <c r="P646" s="683"/>
      <c r="Q646" s="683"/>
      <c r="R646" s="683"/>
      <c r="S646" s="683"/>
      <c r="T646" s="683"/>
      <c r="U646" s="683"/>
      <c r="V646" s="683"/>
      <c r="W646" s="683"/>
      <c r="X646" s="683"/>
      <c r="Y646" s="683"/>
      <c r="Z646" s="683"/>
    </row>
    <row r="647" spans="1:26" ht="15" customHeight="1" x14ac:dyDescent="0.25">
      <c r="A647" s="3" t="s">
        <v>2242</v>
      </c>
      <c r="B647" s="3" t="s">
        <v>1086</v>
      </c>
      <c r="C647" s="3"/>
      <c r="D647" s="3"/>
      <c r="E647" s="683"/>
      <c r="H647" s="692"/>
      <c r="J647" s="683"/>
      <c r="K647" s="683"/>
      <c r="L647" s="683"/>
      <c r="M647" s="683"/>
      <c r="N647" s="685"/>
      <c r="O647" s="683"/>
      <c r="P647" s="683"/>
      <c r="Q647" s="683"/>
      <c r="R647" s="683"/>
      <c r="S647" s="683"/>
      <c r="T647" s="683"/>
      <c r="U647" s="683"/>
      <c r="V647" s="683"/>
      <c r="W647" s="683"/>
      <c r="X647" s="683"/>
      <c r="Y647" s="683"/>
      <c r="Z647" s="683"/>
    </row>
    <row r="648" spans="1:26" ht="15" customHeight="1" x14ac:dyDescent="0.25">
      <c r="A648" s="3" t="s">
        <v>2243</v>
      </c>
      <c r="B648" s="3" t="s">
        <v>1086</v>
      </c>
      <c r="C648" s="3"/>
      <c r="D648" s="3"/>
      <c r="E648" s="683"/>
      <c r="H648" s="692"/>
      <c r="J648" s="683"/>
      <c r="K648" s="683"/>
      <c r="L648" s="683"/>
      <c r="M648" s="683"/>
      <c r="N648" s="685"/>
      <c r="O648" s="683"/>
      <c r="P648" s="683"/>
      <c r="Q648" s="683"/>
      <c r="R648" s="683"/>
      <c r="S648" s="683"/>
      <c r="T648" s="683"/>
      <c r="U648" s="683"/>
      <c r="V648" s="683"/>
      <c r="W648" s="683"/>
      <c r="X648" s="683"/>
      <c r="Y648" s="683"/>
      <c r="Z648" s="683"/>
    </row>
    <row r="649" spans="1:26" ht="15" customHeight="1" x14ac:dyDescent="0.25">
      <c r="A649" s="3" t="s">
        <v>2244</v>
      </c>
      <c r="B649" s="3" t="s">
        <v>1086</v>
      </c>
      <c r="C649" s="3"/>
      <c r="D649" s="3"/>
      <c r="E649" s="683"/>
      <c r="H649" s="692"/>
      <c r="J649" s="683"/>
      <c r="K649" s="683"/>
      <c r="L649" s="683"/>
      <c r="M649" s="683"/>
      <c r="N649" s="685"/>
      <c r="O649" s="683"/>
      <c r="P649" s="683"/>
      <c r="Q649" s="683"/>
      <c r="R649" s="683"/>
      <c r="S649" s="683"/>
      <c r="T649" s="683"/>
      <c r="U649" s="683"/>
      <c r="V649" s="683"/>
      <c r="W649" s="683"/>
      <c r="X649" s="683"/>
      <c r="Y649" s="683"/>
      <c r="Z649" s="683"/>
    </row>
    <row r="650" spans="1:26" ht="15" customHeight="1" x14ac:dyDescent="0.25">
      <c r="A650" s="3" t="s">
        <v>2245</v>
      </c>
      <c r="B650" s="3" t="s">
        <v>1086</v>
      </c>
      <c r="C650" s="3"/>
      <c r="D650" s="3"/>
      <c r="E650" s="683"/>
      <c r="H650" s="692"/>
      <c r="J650" s="683"/>
      <c r="K650" s="683"/>
      <c r="L650" s="683"/>
      <c r="M650" s="683"/>
      <c r="N650" s="685"/>
      <c r="O650" s="683"/>
      <c r="P650" s="683"/>
      <c r="Q650" s="683"/>
      <c r="R650" s="683"/>
      <c r="S650" s="683"/>
      <c r="T650" s="683"/>
      <c r="U650" s="683"/>
      <c r="V650" s="683"/>
      <c r="W650" s="683"/>
      <c r="X650" s="683"/>
      <c r="Y650" s="683"/>
      <c r="Z650" s="683"/>
    </row>
    <row r="651" spans="1:26" ht="15" customHeight="1" x14ac:dyDescent="0.25">
      <c r="A651" s="3" t="s">
        <v>2246</v>
      </c>
      <c r="B651" s="3" t="s">
        <v>1086</v>
      </c>
      <c r="C651" s="3"/>
      <c r="D651" s="3"/>
      <c r="E651" s="683"/>
      <c r="H651" s="692"/>
      <c r="J651" s="683"/>
      <c r="K651" s="683"/>
      <c r="L651" s="683"/>
      <c r="M651" s="683"/>
      <c r="N651" s="685"/>
      <c r="O651" s="683"/>
      <c r="P651" s="683"/>
      <c r="Q651" s="683"/>
      <c r="R651" s="683"/>
      <c r="S651" s="683"/>
      <c r="T651" s="683"/>
      <c r="U651" s="683"/>
      <c r="V651" s="683"/>
      <c r="W651" s="683"/>
      <c r="X651" s="683"/>
      <c r="Y651" s="683"/>
      <c r="Z651" s="683"/>
    </row>
    <row r="652" spans="1:26" ht="15" customHeight="1" x14ac:dyDescent="0.25">
      <c r="A652" s="3" t="s">
        <v>2247</v>
      </c>
      <c r="B652" s="3" t="s">
        <v>1086</v>
      </c>
      <c r="C652" s="3"/>
      <c r="D652" s="3"/>
      <c r="E652" s="683"/>
      <c r="H652" s="692"/>
      <c r="J652" s="683"/>
      <c r="K652" s="683"/>
      <c r="L652" s="683"/>
      <c r="M652" s="683"/>
      <c r="N652" s="685"/>
      <c r="O652" s="683"/>
      <c r="P652" s="683"/>
      <c r="Q652" s="683"/>
      <c r="R652" s="683"/>
      <c r="S652" s="683"/>
      <c r="T652" s="683"/>
      <c r="U652" s="683"/>
      <c r="V652" s="683"/>
      <c r="W652" s="683"/>
      <c r="X652" s="683"/>
      <c r="Y652" s="683"/>
      <c r="Z652" s="683"/>
    </row>
    <row r="653" spans="1:26" ht="15" customHeight="1" x14ac:dyDescent="0.25">
      <c r="A653" s="3" t="s">
        <v>2248</v>
      </c>
      <c r="B653" s="3" t="s">
        <v>1086</v>
      </c>
      <c r="C653" s="3"/>
      <c r="D653" s="3"/>
      <c r="E653" s="683"/>
      <c r="H653" s="692"/>
      <c r="J653" s="683"/>
      <c r="K653" s="683"/>
      <c r="L653" s="683"/>
      <c r="M653" s="683"/>
      <c r="N653" s="685"/>
      <c r="O653" s="683"/>
      <c r="P653" s="683"/>
      <c r="Q653" s="683"/>
      <c r="R653" s="683"/>
      <c r="S653" s="683"/>
      <c r="T653" s="683"/>
      <c r="U653" s="683"/>
      <c r="V653" s="683"/>
      <c r="W653" s="683"/>
      <c r="X653" s="683"/>
      <c r="Y653" s="683"/>
      <c r="Z653" s="683"/>
    </row>
    <row r="654" spans="1:26" ht="15" customHeight="1" x14ac:dyDescent="0.25">
      <c r="A654" s="3" t="s">
        <v>2249</v>
      </c>
      <c r="B654" s="3" t="s">
        <v>1086</v>
      </c>
      <c r="C654" s="3"/>
      <c r="D654" s="3"/>
      <c r="E654" s="683"/>
      <c r="H654" s="692"/>
      <c r="J654" s="683"/>
      <c r="K654" s="683"/>
      <c r="L654" s="683"/>
      <c r="M654" s="683"/>
      <c r="N654" s="685"/>
      <c r="O654" s="683"/>
      <c r="P654" s="683"/>
      <c r="Q654" s="683"/>
      <c r="R654" s="683"/>
      <c r="S654" s="683"/>
      <c r="T654" s="683"/>
      <c r="U654" s="683"/>
      <c r="V654" s="683"/>
      <c r="W654" s="683"/>
      <c r="X654" s="683"/>
      <c r="Y654" s="683"/>
      <c r="Z654" s="683"/>
    </row>
    <row r="655" spans="1:26" ht="15" customHeight="1" x14ac:dyDescent="0.25">
      <c r="A655" s="3" t="s">
        <v>2250</v>
      </c>
      <c r="B655" s="3" t="s">
        <v>1086</v>
      </c>
      <c r="C655" s="3"/>
      <c r="D655" s="3"/>
      <c r="E655" s="683"/>
      <c r="H655" s="692"/>
      <c r="J655" s="683"/>
      <c r="K655" s="683"/>
      <c r="L655" s="683"/>
      <c r="M655" s="683"/>
      <c r="N655" s="685"/>
      <c r="O655" s="683"/>
      <c r="P655" s="683"/>
      <c r="Q655" s="683"/>
      <c r="R655" s="683"/>
      <c r="S655" s="683"/>
      <c r="T655" s="683"/>
      <c r="U655" s="683"/>
      <c r="V655" s="683"/>
      <c r="W655" s="683"/>
      <c r="X655" s="683"/>
      <c r="Y655" s="683"/>
      <c r="Z655" s="683"/>
    </row>
    <row r="656" spans="1:26" ht="15" customHeight="1" x14ac:dyDescent="0.25">
      <c r="A656" s="3" t="s">
        <v>2251</v>
      </c>
      <c r="B656" s="3" t="s">
        <v>1086</v>
      </c>
      <c r="C656" s="3"/>
      <c r="D656" s="3"/>
      <c r="E656" s="683"/>
      <c r="H656" s="692"/>
      <c r="J656" s="683"/>
      <c r="K656" s="683"/>
      <c r="L656" s="683"/>
      <c r="M656" s="683"/>
      <c r="N656" s="685"/>
      <c r="O656" s="683"/>
      <c r="P656" s="683"/>
      <c r="Q656" s="683"/>
      <c r="R656" s="683"/>
      <c r="S656" s="683"/>
      <c r="T656" s="683"/>
      <c r="U656" s="683"/>
      <c r="V656" s="683"/>
      <c r="W656" s="683"/>
      <c r="X656" s="683"/>
      <c r="Y656" s="683"/>
      <c r="Z656" s="683"/>
    </row>
    <row r="657" spans="1:26" ht="15" customHeight="1" x14ac:dyDescent="0.25">
      <c r="A657" s="3" t="s">
        <v>2252</v>
      </c>
      <c r="B657" s="3" t="s">
        <v>1086</v>
      </c>
      <c r="C657" s="3"/>
      <c r="D657" s="3"/>
      <c r="E657" s="683"/>
      <c r="F657" s="683"/>
      <c r="G657" s="683"/>
      <c r="H657" s="684"/>
      <c r="I657" s="683"/>
      <c r="J657" s="683"/>
      <c r="K657" s="683"/>
      <c r="L657" s="683"/>
      <c r="M657" s="683"/>
      <c r="N657" s="685"/>
      <c r="O657" s="683"/>
      <c r="P657" s="683"/>
      <c r="Q657" s="683"/>
      <c r="R657" s="683"/>
      <c r="S657" s="683"/>
      <c r="T657" s="683"/>
      <c r="U657" s="683"/>
      <c r="V657" s="683"/>
      <c r="W657" s="683"/>
      <c r="X657" s="683"/>
      <c r="Y657" s="683"/>
      <c r="Z657" s="683"/>
    </row>
    <row r="658" spans="1:26" ht="15" customHeight="1" x14ac:dyDescent="0.25">
      <c r="A658" s="683" t="s">
        <v>2253</v>
      </c>
      <c r="B658" s="3" t="s">
        <v>1086</v>
      </c>
      <c r="C658" s="3"/>
      <c r="D658" s="3"/>
      <c r="E658" s="683"/>
      <c r="F658" s="683"/>
      <c r="G658" s="683"/>
      <c r="H658" s="684"/>
      <c r="I658" s="683"/>
      <c r="J658" s="683"/>
      <c r="K658" s="683"/>
      <c r="L658" s="683"/>
      <c r="M658" s="683"/>
      <c r="N658" s="685"/>
      <c r="O658" s="683"/>
      <c r="P658" s="683"/>
      <c r="Q658" s="683"/>
      <c r="R658" s="683"/>
      <c r="S658" s="683"/>
      <c r="T658" s="683"/>
      <c r="U658" s="683"/>
      <c r="V658" s="683"/>
      <c r="W658" s="683"/>
      <c r="X658" s="683"/>
      <c r="Y658" s="683"/>
      <c r="Z658" s="683"/>
    </row>
    <row r="659" spans="1:26" ht="15" customHeight="1" x14ac:dyDescent="0.25">
      <c r="A659" s="683" t="s">
        <v>2254</v>
      </c>
      <c r="B659" s="683" t="s">
        <v>1086</v>
      </c>
      <c r="C659" s="3"/>
      <c r="D659" s="3"/>
      <c r="E659" s="683"/>
      <c r="F659" s="683"/>
      <c r="G659" s="683"/>
      <c r="H659" s="684"/>
      <c r="I659" s="683"/>
      <c r="J659" s="683"/>
      <c r="K659" s="683"/>
      <c r="L659" s="683"/>
      <c r="M659" s="683"/>
      <c r="N659" s="685"/>
      <c r="O659" s="683"/>
      <c r="P659" s="683"/>
      <c r="Q659" s="683"/>
      <c r="R659" s="683"/>
      <c r="S659" s="683"/>
      <c r="T659" s="683"/>
      <c r="U659" s="683"/>
      <c r="V659" s="683"/>
      <c r="W659" s="683"/>
      <c r="X659" s="683"/>
      <c r="Y659" s="683"/>
      <c r="Z659" s="683"/>
    </row>
    <row r="660" spans="1:26" ht="15" customHeight="1" x14ac:dyDescent="0.25">
      <c r="A660" s="683" t="s">
        <v>2255</v>
      </c>
      <c r="B660" s="683" t="s">
        <v>1086</v>
      </c>
      <c r="C660" s="3"/>
      <c r="D660" s="3"/>
      <c r="E660" s="683"/>
      <c r="H660" s="692"/>
      <c r="I660" s="683"/>
      <c r="J660" s="683"/>
      <c r="K660" s="683"/>
      <c r="L660" s="683"/>
      <c r="M660" s="683"/>
      <c r="N660" s="685"/>
      <c r="O660" s="683"/>
      <c r="P660" s="683"/>
      <c r="Q660" s="683"/>
      <c r="R660" s="683"/>
      <c r="S660" s="683"/>
      <c r="T660" s="683"/>
      <c r="U660" s="683"/>
      <c r="V660" s="683"/>
      <c r="W660" s="683"/>
      <c r="X660" s="683"/>
      <c r="Y660" s="683"/>
      <c r="Z660" s="683"/>
    </row>
    <row r="661" spans="1:26" ht="15" customHeight="1" x14ac:dyDescent="0.25">
      <c r="A661" s="683" t="s">
        <v>2256</v>
      </c>
      <c r="B661" s="3" t="s">
        <v>1086</v>
      </c>
      <c r="C661" s="3"/>
      <c r="D661" s="3"/>
      <c r="E661" s="683"/>
      <c r="H661" s="692"/>
      <c r="I661" s="683"/>
      <c r="J661" s="683"/>
      <c r="K661" s="683"/>
      <c r="L661" s="683"/>
      <c r="M661" s="683"/>
      <c r="N661" s="685"/>
      <c r="O661" s="683"/>
      <c r="P661" s="683"/>
      <c r="Q661" s="683"/>
      <c r="R661" s="683"/>
      <c r="S661" s="683"/>
      <c r="T661" s="683"/>
      <c r="U661" s="683"/>
      <c r="V661" s="683"/>
      <c r="W661" s="683"/>
      <c r="X661" s="683"/>
      <c r="Y661" s="683"/>
      <c r="Z661" s="683"/>
    </row>
    <row r="662" spans="1:26" ht="15" customHeight="1" x14ac:dyDescent="0.25">
      <c r="A662" s="683" t="s">
        <v>2257</v>
      </c>
      <c r="B662" s="3" t="s">
        <v>1086</v>
      </c>
      <c r="C662" s="3"/>
      <c r="D662" s="3"/>
      <c r="E662" s="683"/>
      <c r="H662" s="692"/>
      <c r="I662" s="683"/>
      <c r="J662" s="683"/>
      <c r="K662" s="683"/>
      <c r="L662" s="683"/>
      <c r="M662" s="683"/>
      <c r="N662" s="685"/>
      <c r="O662" s="683"/>
      <c r="P662" s="683"/>
      <c r="Q662" s="683"/>
      <c r="R662" s="683"/>
      <c r="S662" s="683"/>
      <c r="T662" s="683"/>
      <c r="U662" s="683"/>
      <c r="V662" s="683"/>
      <c r="W662" s="683"/>
      <c r="X662" s="683"/>
      <c r="Y662" s="683"/>
      <c r="Z662" s="683"/>
    </row>
    <row r="663" spans="1:26" ht="15" customHeight="1" x14ac:dyDescent="0.25">
      <c r="A663" s="683" t="s">
        <v>2258</v>
      </c>
      <c r="B663" s="3" t="s">
        <v>1086</v>
      </c>
      <c r="C663" s="3"/>
      <c r="D663" s="3"/>
      <c r="E663" s="683"/>
      <c r="H663" s="692"/>
      <c r="I663" s="683"/>
      <c r="J663" s="683"/>
      <c r="K663" s="683"/>
      <c r="L663" s="683"/>
      <c r="M663" s="683"/>
      <c r="N663" s="685"/>
      <c r="O663" s="683"/>
      <c r="P663" s="683"/>
      <c r="Q663" s="683"/>
      <c r="R663" s="683"/>
      <c r="S663" s="683"/>
      <c r="T663" s="683"/>
      <c r="U663" s="683"/>
      <c r="V663" s="683"/>
      <c r="W663" s="683"/>
      <c r="X663" s="683"/>
      <c r="Y663" s="683"/>
      <c r="Z663" s="683"/>
    </row>
    <row r="664" spans="1:26" ht="15" customHeight="1" x14ac:dyDescent="0.25">
      <c r="A664" s="683" t="s">
        <v>2259</v>
      </c>
      <c r="B664" s="3" t="s">
        <v>1086</v>
      </c>
      <c r="C664" s="3"/>
      <c r="D664" s="3"/>
      <c r="E664" s="683"/>
      <c r="H664" s="692"/>
      <c r="I664" s="683"/>
      <c r="J664" s="683"/>
      <c r="K664" s="683"/>
      <c r="L664" s="683"/>
      <c r="M664" s="683"/>
      <c r="N664" s="685"/>
      <c r="O664" s="683"/>
      <c r="P664" s="683"/>
      <c r="Q664" s="683"/>
      <c r="R664" s="683"/>
      <c r="S664" s="683"/>
      <c r="T664" s="683"/>
      <c r="U664" s="683"/>
      <c r="V664" s="683"/>
      <c r="W664" s="683"/>
      <c r="X664" s="683"/>
      <c r="Y664" s="683"/>
      <c r="Z664" s="683"/>
    </row>
    <row r="665" spans="1:26" ht="15" customHeight="1" x14ac:dyDescent="0.25">
      <c r="A665" s="683" t="s">
        <v>2260</v>
      </c>
      <c r="B665" s="3" t="s">
        <v>1086</v>
      </c>
      <c r="C665" s="3"/>
      <c r="D665" s="3"/>
      <c r="E665" s="683"/>
      <c r="H665" s="692"/>
      <c r="I665" s="683"/>
      <c r="J665" s="683"/>
      <c r="K665" s="683"/>
      <c r="L665" s="683"/>
      <c r="M665" s="683"/>
      <c r="N665" s="685"/>
      <c r="O665" s="683"/>
      <c r="P665" s="683"/>
      <c r="Q665" s="683"/>
      <c r="R665" s="683"/>
      <c r="S665" s="683"/>
      <c r="T665" s="683"/>
      <c r="U665" s="683"/>
      <c r="V665" s="683"/>
      <c r="W665" s="683"/>
      <c r="X665" s="683"/>
      <c r="Y665" s="683"/>
      <c r="Z665" s="683"/>
    </row>
    <row r="666" spans="1:26" ht="15.75" customHeight="1" x14ac:dyDescent="0.25">
      <c r="A666" s="683" t="s">
        <v>2261</v>
      </c>
      <c r="B666" s="3" t="s">
        <v>1086</v>
      </c>
      <c r="C666" s="3"/>
      <c r="D666" s="3"/>
      <c r="E666" s="683"/>
      <c r="H666" s="692"/>
      <c r="I666" s="683"/>
      <c r="J666" s="683"/>
      <c r="K666" s="683"/>
      <c r="L666" s="683"/>
      <c r="M666" s="683"/>
      <c r="N666" s="685"/>
      <c r="O666" s="683"/>
      <c r="P666" s="683"/>
      <c r="Q666" s="683"/>
      <c r="R666" s="683"/>
      <c r="S666" s="683"/>
      <c r="T666" s="683"/>
      <c r="U666" s="683"/>
      <c r="V666" s="683"/>
      <c r="W666" s="683"/>
      <c r="X666" s="683"/>
      <c r="Y666" s="683"/>
      <c r="Z666" s="683"/>
    </row>
    <row r="667" spans="1:26" ht="15.75" customHeight="1" x14ac:dyDescent="0.25">
      <c r="A667" s="683" t="s">
        <v>2262</v>
      </c>
      <c r="B667" s="3" t="s">
        <v>1086</v>
      </c>
      <c r="C667" s="3"/>
      <c r="D667" s="3"/>
      <c r="E667" s="683"/>
      <c r="H667" s="692"/>
      <c r="I667" s="683"/>
      <c r="J667" s="683"/>
      <c r="K667" s="683"/>
      <c r="L667" s="683"/>
      <c r="M667" s="683"/>
      <c r="N667" s="685"/>
      <c r="O667" s="683"/>
      <c r="P667" s="683"/>
      <c r="Q667" s="683"/>
      <c r="R667" s="683"/>
      <c r="S667" s="683"/>
      <c r="T667" s="683"/>
      <c r="U667" s="683"/>
      <c r="V667" s="683"/>
      <c r="W667" s="683"/>
      <c r="X667" s="683"/>
      <c r="Y667" s="683"/>
      <c r="Z667" s="683"/>
    </row>
    <row r="668" spans="1:26" ht="15.75" customHeight="1" x14ac:dyDescent="0.25">
      <c r="A668" s="683" t="s">
        <v>2263</v>
      </c>
      <c r="B668" s="3" t="s">
        <v>1086</v>
      </c>
      <c r="C668" s="3"/>
      <c r="D668" s="3"/>
      <c r="E668" s="683"/>
      <c r="H668" s="692"/>
      <c r="I668" s="683"/>
      <c r="J668" s="683"/>
      <c r="K668" s="683"/>
      <c r="L668" s="683"/>
      <c r="M668" s="683"/>
      <c r="N668" s="685"/>
      <c r="O668" s="683"/>
      <c r="P668" s="683"/>
      <c r="Q668" s="683"/>
      <c r="R668" s="683"/>
      <c r="S668" s="683"/>
      <c r="T668" s="683"/>
      <c r="U668" s="683"/>
      <c r="V668" s="683"/>
      <c r="W668" s="683"/>
      <c r="X668" s="683"/>
      <c r="Y668" s="683"/>
      <c r="Z668" s="683"/>
    </row>
    <row r="669" spans="1:26" ht="15.75" customHeight="1" x14ac:dyDescent="0.25">
      <c r="A669" s="683" t="s">
        <v>2264</v>
      </c>
      <c r="B669" s="3" t="s">
        <v>1086</v>
      </c>
      <c r="C669" s="3"/>
      <c r="D669" s="3"/>
      <c r="E669" s="683"/>
      <c r="H669" s="692"/>
      <c r="I669" s="683"/>
      <c r="J669" s="683"/>
      <c r="K669" s="683"/>
      <c r="L669" s="683"/>
      <c r="M669" s="683"/>
      <c r="N669" s="685"/>
      <c r="O669" s="683"/>
      <c r="P669" s="683"/>
      <c r="Q669" s="683"/>
      <c r="R669" s="683"/>
      <c r="S669" s="683"/>
      <c r="T669" s="683"/>
      <c r="U669" s="683"/>
      <c r="V669" s="683"/>
      <c r="W669" s="683"/>
      <c r="X669" s="683"/>
      <c r="Y669" s="683"/>
      <c r="Z669" s="683"/>
    </row>
    <row r="670" spans="1:26" ht="15.75" customHeight="1" x14ac:dyDescent="0.25">
      <c r="A670" s="683" t="s">
        <v>2265</v>
      </c>
      <c r="B670" s="3" t="s">
        <v>1086</v>
      </c>
      <c r="C670" s="3"/>
      <c r="D670" s="3"/>
      <c r="E670" s="683"/>
      <c r="H670" s="692"/>
      <c r="I670" s="683"/>
      <c r="J670" s="683"/>
      <c r="K670" s="683"/>
      <c r="L670" s="683"/>
      <c r="M670" s="683"/>
      <c r="N670" s="685"/>
      <c r="O670" s="683"/>
      <c r="P670" s="683"/>
      <c r="Q670" s="683"/>
      <c r="R670" s="683"/>
      <c r="S670" s="683"/>
      <c r="T670" s="683"/>
      <c r="U670" s="683"/>
      <c r="V670" s="683"/>
      <c r="W670" s="683"/>
      <c r="X670" s="683"/>
      <c r="Y670" s="683"/>
      <c r="Z670" s="683"/>
    </row>
    <row r="671" spans="1:26" ht="15.75" customHeight="1" x14ac:dyDescent="0.25">
      <c r="A671" s="683" t="s">
        <v>2266</v>
      </c>
      <c r="B671" s="3" t="s">
        <v>1086</v>
      </c>
      <c r="C671" s="3"/>
      <c r="D671" s="3"/>
      <c r="E671" s="683"/>
      <c r="H671" s="692"/>
      <c r="I671" s="683"/>
      <c r="J671" s="683"/>
      <c r="K671" s="683"/>
      <c r="L671" s="683"/>
      <c r="M671" s="683"/>
      <c r="N671" s="685"/>
      <c r="O671" s="683"/>
      <c r="P671" s="683"/>
      <c r="Q671" s="683"/>
      <c r="R671" s="683"/>
      <c r="S671" s="683"/>
      <c r="T671" s="683"/>
      <c r="U671" s="683"/>
      <c r="V671" s="683"/>
      <c r="W671" s="683"/>
      <c r="X671" s="683"/>
      <c r="Y671" s="683"/>
      <c r="Z671" s="683"/>
    </row>
    <row r="672" spans="1:26" ht="15.75" customHeight="1" x14ac:dyDescent="0.25">
      <c r="A672" s="683" t="s">
        <v>2267</v>
      </c>
      <c r="B672" s="3" t="s">
        <v>1086</v>
      </c>
      <c r="C672" s="3"/>
      <c r="D672" s="3"/>
      <c r="E672" s="683"/>
      <c r="H672" s="692"/>
      <c r="I672" s="683"/>
      <c r="J672" s="683"/>
      <c r="K672" s="683"/>
      <c r="L672" s="683"/>
      <c r="M672" s="683"/>
      <c r="N672" s="685"/>
      <c r="O672" s="683"/>
      <c r="P672" s="683"/>
      <c r="Q672" s="683"/>
      <c r="R672" s="683"/>
      <c r="S672" s="683"/>
      <c r="T672" s="683"/>
      <c r="U672" s="683"/>
      <c r="V672" s="683"/>
      <c r="W672" s="683"/>
      <c r="X672" s="683"/>
      <c r="Y672" s="683"/>
      <c r="Z672" s="683"/>
    </row>
    <row r="673" spans="1:26" ht="15.75" customHeight="1" x14ac:dyDescent="0.25">
      <c r="A673" s="683" t="s">
        <v>2268</v>
      </c>
      <c r="B673" s="3" t="s">
        <v>1086</v>
      </c>
      <c r="C673" s="3"/>
      <c r="D673" s="3"/>
      <c r="E673" s="683"/>
      <c r="H673" s="692"/>
      <c r="I673" s="683"/>
      <c r="J673" s="683"/>
      <c r="K673" s="683"/>
      <c r="L673" s="683"/>
      <c r="M673" s="683"/>
      <c r="N673" s="685"/>
      <c r="O673" s="683"/>
      <c r="P673" s="683"/>
      <c r="Q673" s="683"/>
      <c r="R673" s="683"/>
      <c r="S673" s="683"/>
      <c r="T673" s="683"/>
      <c r="U673" s="683"/>
      <c r="V673" s="683"/>
      <c r="W673" s="683"/>
      <c r="X673" s="683"/>
      <c r="Y673" s="683"/>
      <c r="Z673" s="683"/>
    </row>
    <row r="674" spans="1:26" ht="15.75" customHeight="1" x14ac:dyDescent="0.25">
      <c r="A674" s="683" t="s">
        <v>2269</v>
      </c>
      <c r="B674" s="3" t="s">
        <v>1086</v>
      </c>
      <c r="C674" s="3"/>
      <c r="D674" s="3"/>
      <c r="E674" s="683"/>
      <c r="H674" s="692"/>
      <c r="I674" s="683"/>
      <c r="J674" s="683"/>
      <c r="K674" s="683"/>
      <c r="L674" s="683"/>
      <c r="M674" s="683"/>
      <c r="N674" s="685"/>
      <c r="O674" s="683"/>
      <c r="P674" s="683"/>
      <c r="Q674" s="683"/>
      <c r="R674" s="683"/>
      <c r="S674" s="683"/>
      <c r="T674" s="683"/>
      <c r="U674" s="683"/>
      <c r="V674" s="683"/>
      <c r="W674" s="683"/>
      <c r="X674" s="683"/>
      <c r="Y674" s="683"/>
      <c r="Z674" s="683"/>
    </row>
    <row r="675" spans="1:26" ht="15.75" customHeight="1" x14ac:dyDescent="0.25">
      <c r="A675" s="683" t="s">
        <v>2270</v>
      </c>
      <c r="B675" s="3" t="s">
        <v>1086</v>
      </c>
      <c r="C675" s="3"/>
      <c r="D675" s="3"/>
      <c r="E675" s="683"/>
      <c r="H675" s="692"/>
      <c r="J675" s="683"/>
      <c r="K675" s="683"/>
      <c r="L675" s="683"/>
      <c r="M675" s="683"/>
      <c r="N675" s="685"/>
      <c r="O675" s="683"/>
      <c r="P675" s="683"/>
      <c r="Q675" s="683"/>
      <c r="R675" s="683"/>
      <c r="S675" s="683"/>
      <c r="T675" s="683"/>
      <c r="U675" s="683"/>
      <c r="V675" s="683"/>
      <c r="W675" s="683"/>
      <c r="X675" s="683"/>
      <c r="Y675" s="683"/>
      <c r="Z675" s="683"/>
    </row>
    <row r="676" spans="1:26" ht="15.75" customHeight="1" x14ac:dyDescent="0.25">
      <c r="A676" s="683" t="s">
        <v>2271</v>
      </c>
      <c r="B676" s="3" t="s">
        <v>1086</v>
      </c>
      <c r="C676" s="3"/>
      <c r="D676" s="3"/>
      <c r="E676" s="683"/>
      <c r="H676" s="692"/>
      <c r="J676" s="683"/>
      <c r="K676" s="683"/>
      <c r="L676" s="683"/>
      <c r="M676" s="683"/>
      <c r="N676" s="685"/>
      <c r="O676" s="683"/>
      <c r="P676" s="683"/>
      <c r="Q676" s="683"/>
      <c r="R676" s="683"/>
      <c r="S676" s="683"/>
      <c r="T676" s="683"/>
      <c r="U676" s="683"/>
      <c r="V676" s="683"/>
      <c r="W676" s="683"/>
      <c r="X676" s="683"/>
      <c r="Y676" s="683"/>
      <c r="Z676" s="683"/>
    </row>
    <row r="677" spans="1:26" ht="15.75" customHeight="1" x14ac:dyDescent="0.25">
      <c r="A677" s="683" t="s">
        <v>2272</v>
      </c>
      <c r="B677" s="3" t="s">
        <v>2273</v>
      </c>
      <c r="C677" s="3"/>
      <c r="D677" s="3"/>
      <c r="E677" s="683"/>
      <c r="H677" s="692"/>
      <c r="J677" s="683"/>
      <c r="K677" s="683"/>
      <c r="L677" s="683"/>
      <c r="M677" s="683"/>
      <c r="N677" s="685"/>
      <c r="O677" s="683"/>
      <c r="P677" s="683"/>
      <c r="Q677" s="683"/>
      <c r="R677" s="683"/>
      <c r="S677" s="683"/>
      <c r="T677" s="683"/>
      <c r="U677" s="683"/>
      <c r="V677" s="683"/>
      <c r="W677" s="683"/>
      <c r="X677" s="683"/>
      <c r="Y677" s="683"/>
      <c r="Z677" s="683"/>
    </row>
    <row r="678" spans="1:26" ht="15.75" customHeight="1" x14ac:dyDescent="0.25">
      <c r="A678" s="683" t="s">
        <v>2274</v>
      </c>
      <c r="B678" s="3" t="s">
        <v>2275</v>
      </c>
      <c r="C678" s="3"/>
      <c r="D678" s="3"/>
      <c r="E678" s="683"/>
      <c r="H678" s="692"/>
      <c r="J678" s="683"/>
      <c r="K678" s="683"/>
      <c r="L678" s="683"/>
      <c r="M678" s="683"/>
      <c r="N678" s="685"/>
      <c r="O678" s="683"/>
      <c r="P678" s="683"/>
      <c r="Q678" s="683"/>
      <c r="R678" s="683"/>
      <c r="S678" s="683"/>
      <c r="T678" s="683"/>
      <c r="U678" s="683"/>
      <c r="V678" s="683"/>
      <c r="W678" s="683"/>
      <c r="X678" s="683"/>
      <c r="Y678" s="683"/>
      <c r="Z678" s="683"/>
    </row>
    <row r="679" spans="1:26" ht="15.75" customHeight="1" x14ac:dyDescent="0.25">
      <c r="A679" s="683" t="s">
        <v>2276</v>
      </c>
      <c r="B679" s="3" t="s">
        <v>2273</v>
      </c>
      <c r="C679" s="3"/>
      <c r="D679" s="3"/>
      <c r="E679" s="683"/>
      <c r="H679" s="692"/>
      <c r="J679" s="683"/>
      <c r="K679" s="683"/>
      <c r="L679" s="683"/>
      <c r="M679" s="683"/>
      <c r="N679" s="685"/>
      <c r="O679" s="683"/>
      <c r="P679" s="683"/>
      <c r="Q679" s="683"/>
      <c r="R679" s="683"/>
      <c r="S679" s="683"/>
      <c r="T679" s="683"/>
      <c r="U679" s="683"/>
      <c r="V679" s="683"/>
      <c r="W679" s="683"/>
      <c r="X679" s="683"/>
      <c r="Y679" s="683"/>
      <c r="Z679" s="683"/>
    </row>
    <row r="680" spans="1:26" ht="15.75" customHeight="1" x14ac:dyDescent="0.25">
      <c r="A680" s="683" t="s">
        <v>2277</v>
      </c>
      <c r="B680" s="3" t="s">
        <v>2278</v>
      </c>
      <c r="C680" s="3"/>
      <c r="D680" s="3"/>
      <c r="E680" s="683"/>
      <c r="H680" s="692"/>
      <c r="J680" s="683"/>
      <c r="K680" s="683"/>
      <c r="L680" s="683"/>
      <c r="M680" s="683"/>
      <c r="N680" s="685"/>
      <c r="O680" s="683"/>
      <c r="P680" s="683"/>
      <c r="Q680" s="683"/>
      <c r="R680" s="683"/>
      <c r="S680" s="683"/>
      <c r="T680" s="683"/>
      <c r="U680" s="683"/>
      <c r="V680" s="683"/>
      <c r="W680" s="683"/>
      <c r="X680" s="683"/>
      <c r="Y680" s="683"/>
      <c r="Z680" s="683"/>
    </row>
    <row r="681" spans="1:26" ht="15.75" customHeight="1" x14ac:dyDescent="0.25">
      <c r="A681" s="683" t="s">
        <v>2279</v>
      </c>
      <c r="B681" s="3" t="s">
        <v>2280</v>
      </c>
      <c r="C681" s="683"/>
      <c r="D681" s="3"/>
      <c r="E681" s="683"/>
      <c r="H681" s="692"/>
      <c r="J681" s="683"/>
      <c r="K681" s="683"/>
      <c r="L681" s="683"/>
      <c r="M681" s="683"/>
      <c r="N681" s="685"/>
      <c r="O681" s="683"/>
      <c r="P681" s="683"/>
      <c r="Q681" s="683"/>
      <c r="R681" s="683"/>
      <c r="S681" s="683"/>
      <c r="T681" s="683"/>
      <c r="U681" s="683"/>
      <c r="V681" s="683"/>
      <c r="W681" s="683"/>
      <c r="X681" s="683"/>
      <c r="Y681" s="683"/>
      <c r="Z681" s="683"/>
    </row>
    <row r="682" spans="1:26" ht="15.75" customHeight="1" x14ac:dyDescent="0.25">
      <c r="A682" s="3" t="s">
        <v>2281</v>
      </c>
      <c r="B682" s="3" t="s">
        <v>2280</v>
      </c>
      <c r="C682" s="683"/>
      <c r="D682" s="3"/>
      <c r="E682" s="683"/>
      <c r="H682" s="692"/>
      <c r="J682" s="683"/>
      <c r="K682" s="683"/>
      <c r="L682" s="683"/>
      <c r="M682" s="683"/>
      <c r="N682" s="685"/>
      <c r="O682" s="683"/>
      <c r="P682" s="683"/>
      <c r="Q682" s="683"/>
      <c r="R682" s="683"/>
      <c r="S682" s="683"/>
      <c r="T682" s="683"/>
      <c r="U682" s="683"/>
      <c r="V682" s="683"/>
      <c r="W682" s="683"/>
      <c r="X682" s="683"/>
      <c r="Y682" s="683"/>
      <c r="Z682" s="683"/>
    </row>
    <row r="683" spans="1:26" ht="15.75" customHeight="1" x14ac:dyDescent="0.25">
      <c r="A683" s="3" t="s">
        <v>2282</v>
      </c>
      <c r="B683" s="3" t="s">
        <v>2280</v>
      </c>
      <c r="C683" s="683"/>
      <c r="D683" s="3"/>
      <c r="E683" s="683"/>
      <c r="H683" s="692"/>
      <c r="J683" s="683"/>
      <c r="K683" s="683"/>
      <c r="L683" s="683"/>
      <c r="M683" s="683"/>
      <c r="N683" s="685"/>
      <c r="O683" s="683"/>
      <c r="P683" s="683"/>
      <c r="Q683" s="683"/>
      <c r="R683" s="683"/>
      <c r="S683" s="683"/>
      <c r="T683" s="683"/>
      <c r="U683" s="683"/>
      <c r="V683" s="683"/>
      <c r="W683" s="683"/>
      <c r="X683" s="683"/>
      <c r="Y683" s="683"/>
      <c r="Z683" s="683"/>
    </row>
    <row r="684" spans="1:26" ht="15.75" customHeight="1" x14ac:dyDescent="0.25">
      <c r="A684" s="3" t="s">
        <v>474</v>
      </c>
      <c r="B684" s="3" t="s">
        <v>2280</v>
      </c>
      <c r="C684" s="683"/>
      <c r="D684" s="3"/>
      <c r="E684" s="683"/>
      <c r="H684" s="692"/>
      <c r="J684" s="683"/>
      <c r="K684" s="683"/>
      <c r="L684" s="683"/>
      <c r="M684" s="683"/>
      <c r="N684" s="685"/>
      <c r="O684" s="683"/>
      <c r="P684" s="683"/>
      <c r="Q684" s="683"/>
      <c r="R684" s="683"/>
      <c r="S684" s="683"/>
      <c r="T684" s="683"/>
      <c r="U684" s="683"/>
      <c r="V684" s="683"/>
      <c r="W684" s="683"/>
      <c r="X684" s="683"/>
      <c r="Y684" s="683"/>
      <c r="Z684" s="683"/>
    </row>
    <row r="685" spans="1:26" ht="15.75" customHeight="1" x14ac:dyDescent="0.25">
      <c r="A685" s="3" t="s">
        <v>2283</v>
      </c>
      <c r="B685" s="3" t="s">
        <v>2280</v>
      </c>
      <c r="C685" s="683"/>
      <c r="D685" s="3"/>
      <c r="E685" s="683"/>
      <c r="H685" s="692"/>
      <c r="I685" s="683"/>
      <c r="J685" s="683"/>
      <c r="K685" s="683"/>
      <c r="L685" s="683"/>
      <c r="M685" s="683"/>
      <c r="N685" s="685"/>
      <c r="O685" s="683"/>
      <c r="P685" s="683"/>
      <c r="Q685" s="683"/>
      <c r="R685" s="683"/>
      <c r="S685" s="683"/>
      <c r="T685" s="683"/>
      <c r="U685" s="683"/>
      <c r="V685" s="683"/>
      <c r="W685" s="683"/>
      <c r="X685" s="683"/>
      <c r="Y685" s="683"/>
      <c r="Z685" s="683"/>
    </row>
    <row r="686" spans="1:26" ht="15.75" customHeight="1" x14ac:dyDescent="0.25">
      <c r="A686" s="3" t="s">
        <v>2284</v>
      </c>
      <c r="B686" s="3" t="s">
        <v>2280</v>
      </c>
      <c r="C686" s="683"/>
      <c r="D686" s="3"/>
      <c r="E686" s="683"/>
      <c r="H686" s="692"/>
      <c r="I686" s="683"/>
      <c r="J686" s="683"/>
      <c r="K686" s="683"/>
      <c r="L686" s="683"/>
      <c r="M686" s="683"/>
      <c r="N686" s="685"/>
      <c r="O686" s="683"/>
      <c r="P686" s="683"/>
      <c r="Q686" s="683"/>
      <c r="R686" s="683"/>
      <c r="S686" s="683"/>
      <c r="T686" s="683"/>
      <c r="U686" s="683"/>
      <c r="V686" s="683"/>
      <c r="W686" s="683"/>
      <c r="X686" s="683"/>
      <c r="Y686" s="683"/>
      <c r="Z686" s="683"/>
    </row>
    <row r="687" spans="1:26" ht="15.75" customHeight="1" x14ac:dyDescent="0.25">
      <c r="A687" s="3" t="s">
        <v>2285</v>
      </c>
      <c r="B687" s="3" t="s">
        <v>2280</v>
      </c>
      <c r="C687" s="683"/>
      <c r="D687" s="3"/>
      <c r="E687" s="683"/>
      <c r="H687" s="692"/>
      <c r="I687" s="683"/>
      <c r="J687" s="683"/>
      <c r="K687" s="683"/>
      <c r="L687" s="683"/>
      <c r="M687" s="683"/>
      <c r="N687" s="685"/>
      <c r="O687" s="683"/>
      <c r="P687" s="683"/>
      <c r="Q687" s="683"/>
      <c r="R687" s="683"/>
      <c r="S687" s="683"/>
      <c r="T687" s="683"/>
      <c r="U687" s="683"/>
      <c r="V687" s="683"/>
      <c r="W687" s="683"/>
      <c r="X687" s="683"/>
      <c r="Y687" s="683"/>
      <c r="Z687" s="683"/>
    </row>
    <row r="688" spans="1:26" ht="15.75" customHeight="1" x14ac:dyDescent="0.25">
      <c r="A688" s="3" t="s">
        <v>2286</v>
      </c>
      <c r="B688" s="3" t="s">
        <v>2280</v>
      </c>
      <c r="C688" s="683"/>
      <c r="D688" s="3"/>
      <c r="E688" s="683"/>
      <c r="H688" s="692"/>
      <c r="I688" s="683"/>
      <c r="J688" s="683"/>
      <c r="K688" s="683"/>
      <c r="L688" s="683"/>
      <c r="M688" s="683"/>
      <c r="N688" s="685"/>
      <c r="O688" s="683"/>
      <c r="P688" s="683"/>
      <c r="Q688" s="683"/>
      <c r="R688" s="683"/>
      <c r="S688" s="683"/>
      <c r="T688" s="683"/>
      <c r="U688" s="683"/>
      <c r="V688" s="683"/>
      <c r="W688" s="683"/>
      <c r="X688" s="683"/>
      <c r="Y688" s="683"/>
      <c r="Z688" s="683"/>
    </row>
    <row r="689" spans="1:26" ht="15.75" customHeight="1" x14ac:dyDescent="0.25">
      <c r="A689" s="3" t="s">
        <v>797</v>
      </c>
      <c r="B689" s="3" t="s">
        <v>2280</v>
      </c>
      <c r="C689" s="683"/>
      <c r="D689" s="3"/>
      <c r="E689" s="683"/>
      <c r="H689" s="692"/>
      <c r="I689" s="683"/>
      <c r="J689" s="683"/>
      <c r="K689" s="683"/>
      <c r="L689" s="683"/>
      <c r="M689" s="683"/>
      <c r="N689" s="685"/>
      <c r="O689" s="683"/>
      <c r="P689" s="683"/>
      <c r="Q689" s="683"/>
      <c r="R689" s="683"/>
      <c r="S689" s="683"/>
      <c r="T689" s="683"/>
      <c r="U689" s="683"/>
      <c r="V689" s="683"/>
      <c r="W689" s="683"/>
      <c r="X689" s="683"/>
      <c r="Y689" s="683"/>
      <c r="Z689" s="683"/>
    </row>
    <row r="690" spans="1:26" ht="15.75" customHeight="1" x14ac:dyDescent="0.25">
      <c r="A690" s="3" t="s">
        <v>2287</v>
      </c>
      <c r="B690" s="3" t="s">
        <v>2280</v>
      </c>
      <c r="C690" s="683"/>
      <c r="D690" s="3"/>
      <c r="E690" s="683"/>
      <c r="F690" s="683" t="s">
        <v>1373</v>
      </c>
      <c r="G690" s="683" t="s">
        <v>1755</v>
      </c>
      <c r="H690" s="711">
        <v>15</v>
      </c>
      <c r="I690" s="683"/>
      <c r="J690" s="683"/>
      <c r="K690" s="683"/>
      <c r="L690" s="683"/>
      <c r="M690" s="683"/>
      <c r="N690" s="685"/>
      <c r="O690" s="683"/>
      <c r="P690" s="683"/>
      <c r="Q690" s="683"/>
      <c r="R690" s="683"/>
      <c r="S690" s="683"/>
      <c r="T690" s="683"/>
      <c r="U690" s="683"/>
      <c r="V690" s="683"/>
      <c r="W690" s="683"/>
      <c r="X690" s="683"/>
      <c r="Y690" s="683"/>
      <c r="Z690" s="683"/>
    </row>
    <row r="691" spans="1:26" ht="15.75" customHeight="1" x14ac:dyDescent="0.25">
      <c r="A691" s="3" t="s">
        <v>2288</v>
      </c>
      <c r="B691" s="3" t="s">
        <v>2280</v>
      </c>
      <c r="C691" s="683"/>
      <c r="D691" s="3"/>
      <c r="E691" s="683"/>
      <c r="F691" s="683" t="s">
        <v>1004</v>
      </c>
      <c r="G691" s="683" t="s">
        <v>1756</v>
      </c>
      <c r="H691" s="711">
        <v>14</v>
      </c>
      <c r="I691" s="683"/>
      <c r="J691" s="683"/>
      <c r="K691" s="683"/>
      <c r="L691" s="683"/>
      <c r="M691" s="683"/>
      <c r="N691" s="685"/>
      <c r="O691" s="683"/>
      <c r="P691" s="683"/>
      <c r="Q691" s="683"/>
      <c r="R691" s="683"/>
      <c r="S691" s="683"/>
      <c r="T691" s="683"/>
      <c r="U691" s="683"/>
      <c r="V691" s="683"/>
      <c r="W691" s="683"/>
      <c r="X691" s="683"/>
      <c r="Y691" s="683"/>
      <c r="Z691" s="683"/>
    </row>
    <row r="692" spans="1:26" ht="15.75" customHeight="1" x14ac:dyDescent="0.25">
      <c r="A692" s="3" t="s">
        <v>456</v>
      </c>
      <c r="B692" s="3" t="s">
        <v>2280</v>
      </c>
      <c r="C692" s="683"/>
      <c r="D692" s="3"/>
      <c r="E692" s="683"/>
      <c r="F692" s="683" t="s">
        <v>754</v>
      </c>
      <c r="G692" s="3" t="s">
        <v>1759</v>
      </c>
      <c r="H692" s="711"/>
      <c r="I692" s="683"/>
      <c r="J692" s="683"/>
      <c r="K692" s="683"/>
      <c r="L692" s="683"/>
      <c r="M692" s="683"/>
      <c r="N692" s="685"/>
      <c r="O692" s="683"/>
      <c r="P692" s="683"/>
      <c r="Q692" s="683"/>
      <c r="R692" s="683"/>
      <c r="S692" s="683"/>
      <c r="T692" s="683"/>
      <c r="U692" s="683"/>
      <c r="V692" s="683"/>
      <c r="W692" s="683"/>
      <c r="X692" s="683"/>
      <c r="Y692" s="683"/>
      <c r="Z692" s="683"/>
    </row>
    <row r="693" spans="1:26" ht="15.75" customHeight="1" x14ac:dyDescent="0.25">
      <c r="A693" s="3" t="s">
        <v>286</v>
      </c>
      <c r="B693" s="3" t="s">
        <v>2280</v>
      </c>
      <c r="C693" s="683"/>
      <c r="D693" s="3"/>
      <c r="E693" s="683"/>
      <c r="F693" s="3" t="s">
        <v>710</v>
      </c>
      <c r="G693" s="3" t="s">
        <v>1757</v>
      </c>
      <c r="H693" s="711">
        <v>13</v>
      </c>
      <c r="I693" s="683"/>
      <c r="J693" s="683"/>
      <c r="K693" s="683"/>
      <c r="L693" s="683"/>
      <c r="M693" s="683"/>
      <c r="N693" s="685"/>
      <c r="O693" s="683"/>
      <c r="P693" s="683"/>
      <c r="Q693" s="683"/>
      <c r="R693" s="683"/>
      <c r="S693" s="683"/>
      <c r="T693" s="683"/>
      <c r="U693" s="683"/>
      <c r="V693" s="683"/>
      <c r="W693" s="683"/>
      <c r="X693" s="683"/>
      <c r="Y693" s="683"/>
      <c r="Z693" s="683"/>
    </row>
    <row r="694" spans="1:26" ht="15.75" customHeight="1" x14ac:dyDescent="0.25">
      <c r="A694" s="683" t="s">
        <v>2289</v>
      </c>
      <c r="B694" s="3" t="s">
        <v>2280</v>
      </c>
      <c r="C694" s="683"/>
      <c r="D694" s="3"/>
      <c r="E694" s="683"/>
      <c r="F694" s="3" t="s">
        <v>1757</v>
      </c>
      <c r="G694" s="683" t="s">
        <v>1757</v>
      </c>
      <c r="H694" s="711">
        <v>13</v>
      </c>
      <c r="I694" s="683"/>
      <c r="J694" s="683"/>
      <c r="K694" s="683"/>
      <c r="L694" s="683"/>
      <c r="M694" s="683"/>
      <c r="N694" s="685"/>
      <c r="O694" s="683"/>
      <c r="P694" s="683"/>
      <c r="Q694" s="683"/>
      <c r="R694" s="683"/>
      <c r="S694" s="683"/>
      <c r="T694" s="683"/>
      <c r="U694" s="683"/>
      <c r="V694" s="683"/>
      <c r="W694" s="683"/>
      <c r="X694" s="683"/>
      <c r="Y694" s="683"/>
      <c r="Z694" s="683"/>
    </row>
    <row r="695" spans="1:26" ht="15.75" customHeight="1" x14ac:dyDescent="0.25">
      <c r="A695" s="683" t="s">
        <v>2290</v>
      </c>
      <c r="B695" s="3" t="s">
        <v>2280</v>
      </c>
      <c r="C695" s="683"/>
      <c r="D695" s="3"/>
      <c r="E695" s="683"/>
      <c r="F695" s="683" t="s">
        <v>192</v>
      </c>
      <c r="G695" s="683" t="s">
        <v>1757</v>
      </c>
      <c r="H695" s="711">
        <v>13</v>
      </c>
      <c r="I695" s="683"/>
      <c r="J695" s="683"/>
      <c r="K695" s="683"/>
      <c r="L695" s="683"/>
      <c r="M695" s="683"/>
      <c r="N695" s="685"/>
      <c r="O695" s="683"/>
      <c r="P695" s="683"/>
      <c r="Q695" s="683"/>
      <c r="R695" s="683"/>
      <c r="S695" s="683"/>
      <c r="T695" s="683"/>
      <c r="U695" s="683"/>
      <c r="V695" s="683"/>
      <c r="W695" s="683"/>
      <c r="X695" s="683"/>
      <c r="Y695" s="683"/>
      <c r="Z695" s="683"/>
    </row>
    <row r="696" spans="1:26" ht="15.75" customHeight="1" x14ac:dyDescent="0.25">
      <c r="A696" s="683" t="s">
        <v>2291</v>
      </c>
      <c r="B696" s="3" t="s">
        <v>2280</v>
      </c>
      <c r="C696" s="683"/>
      <c r="D696" s="3"/>
      <c r="E696" s="683"/>
      <c r="F696" s="683" t="s">
        <v>770</v>
      </c>
      <c r="G696" s="683" t="s">
        <v>259</v>
      </c>
      <c r="H696" s="711">
        <v>11</v>
      </c>
      <c r="I696" s="683"/>
      <c r="J696" s="683"/>
      <c r="K696" s="683"/>
      <c r="L696" s="683"/>
      <c r="M696" s="683"/>
      <c r="N696" s="685"/>
      <c r="O696" s="683"/>
      <c r="P696" s="683"/>
      <c r="Q696" s="683"/>
      <c r="R696" s="683"/>
      <c r="S696" s="683"/>
      <c r="T696" s="683"/>
      <c r="U696" s="683"/>
      <c r="V696" s="683"/>
      <c r="W696" s="683"/>
      <c r="X696" s="683"/>
      <c r="Y696" s="683"/>
      <c r="Z696" s="683"/>
    </row>
    <row r="697" spans="1:26" ht="15.75" customHeight="1" x14ac:dyDescent="0.25">
      <c r="A697" s="683" t="s">
        <v>2292</v>
      </c>
      <c r="B697" s="3" t="s">
        <v>2280</v>
      </c>
      <c r="C697" s="683"/>
      <c r="D697" s="3"/>
      <c r="E697" s="683"/>
      <c r="F697" s="683" t="s">
        <v>704</v>
      </c>
      <c r="G697" s="683" t="s">
        <v>194</v>
      </c>
      <c r="H697" s="711">
        <v>11</v>
      </c>
      <c r="I697" s="683"/>
      <c r="J697" s="683"/>
      <c r="K697" s="683"/>
      <c r="L697" s="683"/>
      <c r="M697" s="683"/>
      <c r="N697" s="685"/>
      <c r="O697" s="683"/>
      <c r="P697" s="683"/>
      <c r="Q697" s="683"/>
      <c r="R697" s="683"/>
      <c r="S697" s="683"/>
      <c r="T697" s="683"/>
      <c r="U697" s="683"/>
      <c r="V697" s="683"/>
      <c r="W697" s="683"/>
      <c r="X697" s="683"/>
      <c r="Y697" s="683"/>
      <c r="Z697" s="683"/>
    </row>
    <row r="698" spans="1:26" ht="15.75" customHeight="1" x14ac:dyDescent="0.25">
      <c r="A698" s="683" t="s">
        <v>2293</v>
      </c>
      <c r="B698" s="3" t="s">
        <v>2280</v>
      </c>
      <c r="C698" s="683"/>
      <c r="D698" s="3"/>
      <c r="E698" s="683"/>
      <c r="F698" s="683" t="s">
        <v>715</v>
      </c>
      <c r="G698" s="683" t="s">
        <v>194</v>
      </c>
      <c r="H698" s="711">
        <v>11</v>
      </c>
      <c r="I698" s="683"/>
      <c r="J698" s="683"/>
      <c r="K698" s="683"/>
      <c r="L698" s="683"/>
      <c r="M698" s="683"/>
      <c r="N698" s="685"/>
      <c r="O698" s="683"/>
      <c r="P698" s="683"/>
      <c r="Q698" s="683"/>
      <c r="R698" s="683"/>
      <c r="S698" s="683"/>
      <c r="T698" s="683"/>
      <c r="U698" s="683"/>
      <c r="V698" s="683"/>
      <c r="W698" s="683"/>
      <c r="X698" s="683"/>
      <c r="Y698" s="683"/>
      <c r="Z698" s="683"/>
    </row>
    <row r="699" spans="1:26" ht="15.75" customHeight="1" x14ac:dyDescent="0.25">
      <c r="A699" s="683" t="s">
        <v>2294</v>
      </c>
      <c r="B699" s="3" t="s">
        <v>2280</v>
      </c>
      <c r="C699" s="683"/>
      <c r="D699" s="3"/>
      <c r="E699" s="683"/>
      <c r="F699" s="683" t="s">
        <v>901</v>
      </c>
      <c r="G699" s="683" t="s">
        <v>1760</v>
      </c>
      <c r="H699" s="711">
        <v>13</v>
      </c>
      <c r="I699" s="683"/>
      <c r="J699" s="683"/>
      <c r="K699" s="683"/>
      <c r="L699" s="683"/>
      <c r="M699" s="683"/>
      <c r="N699" s="685"/>
      <c r="O699" s="683"/>
      <c r="P699" s="683"/>
      <c r="Q699" s="683"/>
      <c r="R699" s="683"/>
      <c r="S699" s="683"/>
      <c r="T699" s="683"/>
      <c r="U699" s="683"/>
      <c r="V699" s="683"/>
      <c r="W699" s="683"/>
      <c r="X699" s="683"/>
      <c r="Y699" s="683"/>
      <c r="Z699" s="683"/>
    </row>
    <row r="700" spans="1:26" ht="15.75" customHeight="1" x14ac:dyDescent="0.25">
      <c r="A700" s="683" t="s">
        <v>2295</v>
      </c>
      <c r="B700" s="3" t="s">
        <v>2280</v>
      </c>
      <c r="C700" s="683"/>
      <c r="D700" s="3"/>
      <c r="E700" s="683"/>
      <c r="H700" s="692"/>
      <c r="I700" s="683"/>
      <c r="J700" s="683"/>
      <c r="K700" s="683"/>
      <c r="L700" s="683"/>
      <c r="M700" s="683"/>
      <c r="N700" s="685"/>
      <c r="O700" s="683"/>
      <c r="P700" s="683"/>
      <c r="Q700" s="683"/>
      <c r="R700" s="683"/>
      <c r="S700" s="683"/>
      <c r="T700" s="683"/>
      <c r="U700" s="683"/>
      <c r="V700" s="683"/>
      <c r="W700" s="683"/>
      <c r="X700" s="683"/>
      <c r="Y700" s="683"/>
      <c r="Z700" s="683"/>
    </row>
    <row r="701" spans="1:26" ht="15.75" customHeight="1" x14ac:dyDescent="0.25">
      <c r="A701" s="683" t="s">
        <v>2296</v>
      </c>
      <c r="B701" s="3" t="s">
        <v>2280</v>
      </c>
      <c r="C701" s="683"/>
      <c r="D701" s="3"/>
      <c r="E701" s="683"/>
      <c r="F701" s="3"/>
      <c r="G701" s="724" t="s">
        <v>2297</v>
      </c>
      <c r="H701" s="684"/>
      <c r="I701" s="683"/>
      <c r="J701" s="683"/>
      <c r="K701" s="683"/>
      <c r="L701" s="683"/>
      <c r="M701" s="683"/>
      <c r="N701" s="685"/>
      <c r="O701" s="683"/>
      <c r="P701" s="683"/>
      <c r="Q701" s="683"/>
      <c r="R701" s="683"/>
      <c r="S701" s="683"/>
      <c r="T701" s="683"/>
      <c r="U701" s="683"/>
      <c r="V701" s="683"/>
      <c r="W701" s="683"/>
      <c r="X701" s="683"/>
      <c r="Y701" s="683"/>
      <c r="Z701" s="683"/>
    </row>
    <row r="702" spans="1:26" ht="15.75" customHeight="1" x14ac:dyDescent="0.25">
      <c r="A702" s="3" t="s">
        <v>2298</v>
      </c>
      <c r="B702" s="3" t="s">
        <v>2280</v>
      </c>
      <c r="C702" s="683"/>
      <c r="D702" s="3"/>
      <c r="E702" s="683"/>
      <c r="F702" s="683" t="s">
        <v>750</v>
      </c>
      <c r="G702" s="3"/>
      <c r="H702" s="711">
        <v>10</v>
      </c>
      <c r="I702" s="683"/>
      <c r="J702" s="683"/>
      <c r="K702" s="683"/>
      <c r="L702" s="683"/>
      <c r="M702" s="683"/>
      <c r="N702" s="685"/>
      <c r="O702" s="683"/>
      <c r="P702" s="683"/>
      <c r="Q702" s="683"/>
      <c r="R702" s="683"/>
      <c r="S702" s="683"/>
      <c r="T702" s="683"/>
      <c r="U702" s="683"/>
      <c r="V702" s="683"/>
      <c r="W702" s="683"/>
      <c r="X702" s="683"/>
      <c r="Y702" s="683"/>
      <c r="Z702" s="683"/>
    </row>
    <row r="703" spans="1:26" ht="15.75" customHeight="1" x14ac:dyDescent="0.25">
      <c r="A703" s="3" t="s">
        <v>2299</v>
      </c>
      <c r="B703" s="3" t="s">
        <v>2280</v>
      </c>
      <c r="C703" s="683"/>
      <c r="D703" s="3"/>
      <c r="E703" s="683"/>
      <c r="F703" s="38" t="s">
        <v>909</v>
      </c>
      <c r="H703" s="692">
        <v>15</v>
      </c>
      <c r="I703" s="683"/>
      <c r="J703" s="683"/>
      <c r="K703" s="683"/>
      <c r="L703" s="683"/>
      <c r="M703" s="683"/>
      <c r="N703" s="685"/>
      <c r="O703" s="683"/>
      <c r="P703" s="683"/>
      <c r="Q703" s="683"/>
      <c r="R703" s="683"/>
      <c r="S703" s="683"/>
      <c r="T703" s="683"/>
      <c r="U703" s="683"/>
      <c r="V703" s="683"/>
      <c r="W703" s="683"/>
      <c r="X703" s="683"/>
      <c r="Y703" s="683"/>
      <c r="Z703" s="683"/>
    </row>
    <row r="704" spans="1:26" ht="15.75" customHeight="1" x14ac:dyDescent="0.25">
      <c r="A704" s="3" t="s">
        <v>2300</v>
      </c>
      <c r="B704" s="3" t="s">
        <v>2280</v>
      </c>
      <c r="C704" s="683"/>
      <c r="D704" s="3"/>
      <c r="E704" s="683"/>
      <c r="F704" s="683" t="s">
        <v>1746</v>
      </c>
      <c r="G704" s="3"/>
      <c r="H704" s="711">
        <v>3</v>
      </c>
      <c r="I704" s="683"/>
      <c r="J704" s="683"/>
      <c r="K704" s="683"/>
      <c r="L704" s="683"/>
      <c r="M704" s="683"/>
      <c r="N704" s="685"/>
      <c r="O704" s="683"/>
      <c r="P704" s="683"/>
      <c r="Q704" s="683"/>
      <c r="R704" s="683"/>
      <c r="S704" s="683"/>
      <c r="T704" s="683"/>
      <c r="U704" s="683"/>
      <c r="V704" s="683"/>
      <c r="W704" s="683"/>
      <c r="X704" s="683"/>
      <c r="Y704" s="683"/>
      <c r="Z704" s="683"/>
    </row>
    <row r="705" spans="1:26" ht="15.75" customHeight="1" x14ac:dyDescent="0.25">
      <c r="A705" s="3" t="s">
        <v>2301</v>
      </c>
      <c r="B705" s="3" t="s">
        <v>2280</v>
      </c>
      <c r="C705" s="683"/>
      <c r="D705" s="3"/>
      <c r="E705" s="683"/>
      <c r="F705" s="704" t="s">
        <v>1751</v>
      </c>
      <c r="G705" s="3"/>
      <c r="H705" s="711">
        <v>11</v>
      </c>
      <c r="I705" s="683"/>
      <c r="J705" s="683"/>
      <c r="K705" s="683"/>
      <c r="L705" s="683"/>
      <c r="M705" s="683"/>
      <c r="N705" s="685"/>
      <c r="O705" s="683"/>
      <c r="P705" s="683"/>
      <c r="Q705" s="683"/>
      <c r="R705" s="683"/>
      <c r="S705" s="683"/>
      <c r="T705" s="683"/>
      <c r="U705" s="683"/>
      <c r="V705" s="683"/>
      <c r="W705" s="683"/>
      <c r="X705" s="683"/>
      <c r="Y705" s="683"/>
      <c r="Z705" s="683"/>
    </row>
    <row r="706" spans="1:26" ht="15.75" customHeight="1" x14ac:dyDescent="0.25">
      <c r="A706" s="3" t="s">
        <v>2302</v>
      </c>
      <c r="B706" s="3" t="s">
        <v>2280</v>
      </c>
      <c r="C706" s="683"/>
      <c r="D706" s="3"/>
      <c r="E706" s="683"/>
      <c r="F706" s="41" t="s">
        <v>1196</v>
      </c>
      <c r="H706" s="38">
        <v>15</v>
      </c>
      <c r="I706" s="683"/>
      <c r="J706" s="683"/>
      <c r="K706" s="683"/>
      <c r="L706" s="683"/>
      <c r="M706" s="683"/>
      <c r="N706" s="685"/>
      <c r="O706" s="683"/>
      <c r="P706" s="683"/>
      <c r="Q706" s="683"/>
      <c r="R706" s="683"/>
      <c r="S706" s="683"/>
      <c r="T706" s="683"/>
      <c r="U706" s="683"/>
      <c r="V706" s="683"/>
      <c r="W706" s="683"/>
      <c r="X706" s="683"/>
      <c r="Y706" s="683"/>
      <c r="Z706" s="683"/>
    </row>
    <row r="707" spans="1:26" ht="15.75" customHeight="1" x14ac:dyDescent="0.25">
      <c r="A707" s="3" t="s">
        <v>2303</v>
      </c>
      <c r="B707" s="3" t="s">
        <v>2280</v>
      </c>
      <c r="C707" s="683"/>
      <c r="D707" s="3"/>
      <c r="E707" s="683"/>
      <c r="F707" s="683" t="s">
        <v>734</v>
      </c>
      <c r="G707" s="683" t="s">
        <v>1752</v>
      </c>
      <c r="H707" s="711">
        <v>8</v>
      </c>
      <c r="I707" s="683"/>
      <c r="J707" s="683"/>
      <c r="K707" s="683"/>
      <c r="L707" s="683"/>
      <c r="M707" s="683"/>
      <c r="N707" s="685"/>
      <c r="O707" s="683"/>
      <c r="P707" s="683"/>
      <c r="Q707" s="683"/>
      <c r="R707" s="683"/>
      <c r="S707" s="683"/>
      <c r="T707" s="683"/>
      <c r="U707" s="683"/>
      <c r="V707" s="683"/>
      <c r="W707" s="683"/>
      <c r="X707" s="683"/>
      <c r="Y707" s="683"/>
      <c r="Z707" s="683"/>
    </row>
    <row r="708" spans="1:26" ht="15.75" customHeight="1" x14ac:dyDescent="0.25">
      <c r="A708" s="3" t="s">
        <v>2304</v>
      </c>
      <c r="B708" s="3" t="s">
        <v>2280</v>
      </c>
      <c r="C708" s="683"/>
      <c r="D708" s="3"/>
      <c r="E708" s="683"/>
      <c r="F708" s="683"/>
      <c r="G708" s="683"/>
      <c r="H708" s="711"/>
      <c r="I708" s="683"/>
      <c r="J708" s="683"/>
      <c r="K708" s="683"/>
      <c r="L708" s="683"/>
      <c r="M708" s="683"/>
      <c r="N708" s="685"/>
      <c r="O708" s="683"/>
      <c r="P708" s="683"/>
      <c r="Q708" s="683"/>
      <c r="R708" s="683"/>
      <c r="S708" s="683"/>
      <c r="T708" s="683"/>
      <c r="U708" s="683"/>
      <c r="V708" s="683"/>
      <c r="W708" s="683"/>
      <c r="X708" s="683"/>
      <c r="Y708" s="683"/>
      <c r="Z708" s="683"/>
    </row>
    <row r="709" spans="1:26" ht="15.75" customHeight="1" x14ac:dyDescent="0.25">
      <c r="A709" s="3" t="s">
        <v>2305</v>
      </c>
      <c r="B709" s="3" t="s">
        <v>2280</v>
      </c>
      <c r="C709" s="683"/>
      <c r="D709" s="3"/>
      <c r="E709" s="683"/>
      <c r="F709" s="683" t="s">
        <v>1417</v>
      </c>
      <c r="G709" s="683" t="s">
        <v>1753</v>
      </c>
      <c r="H709" s="711">
        <v>6.75</v>
      </c>
      <c r="I709" s="683"/>
      <c r="J709" s="683"/>
      <c r="K709" s="683"/>
      <c r="L709" s="683"/>
      <c r="M709" s="683"/>
      <c r="N709" s="685"/>
      <c r="O709" s="683"/>
      <c r="P709" s="683"/>
      <c r="Q709" s="683"/>
      <c r="R709" s="683"/>
      <c r="S709" s="683"/>
      <c r="T709" s="683"/>
      <c r="U709" s="683"/>
      <c r="V709" s="683"/>
      <c r="W709" s="683"/>
      <c r="X709" s="683"/>
      <c r="Y709" s="683"/>
      <c r="Z709" s="683"/>
    </row>
    <row r="710" spans="1:26" ht="15.75" customHeight="1" x14ac:dyDescent="0.25">
      <c r="A710" s="3" t="s">
        <v>2306</v>
      </c>
      <c r="B710" s="3" t="s">
        <v>2280</v>
      </c>
      <c r="C710" s="683"/>
      <c r="D710" s="3"/>
      <c r="E710" s="683"/>
      <c r="F710" s="683" t="s">
        <v>860</v>
      </c>
      <c r="G710" s="683" t="s">
        <v>1786</v>
      </c>
      <c r="H710" s="711">
        <v>6.25</v>
      </c>
      <c r="I710" s="683"/>
      <c r="J710" s="683"/>
      <c r="K710" s="683"/>
      <c r="L710" s="683"/>
      <c r="M710" s="683"/>
      <c r="N710" s="685"/>
      <c r="O710" s="683"/>
      <c r="P710" s="683"/>
      <c r="Q710" s="683"/>
      <c r="R710" s="683"/>
      <c r="S710" s="683"/>
      <c r="T710" s="683"/>
      <c r="U710" s="683"/>
      <c r="V710" s="683"/>
      <c r="W710" s="683"/>
      <c r="X710" s="683"/>
      <c r="Y710" s="683"/>
      <c r="Z710" s="683"/>
    </row>
    <row r="711" spans="1:26" ht="15.75" customHeight="1" x14ac:dyDescent="0.25">
      <c r="A711" s="3" t="s">
        <v>2307</v>
      </c>
      <c r="B711" s="3" t="s">
        <v>2280</v>
      </c>
      <c r="C711" s="683"/>
      <c r="D711" s="3"/>
      <c r="E711" s="683"/>
      <c r="F711" s="683" t="s">
        <v>1373</v>
      </c>
      <c r="G711" s="683" t="s">
        <v>1755</v>
      </c>
      <c r="H711" s="711">
        <v>5.25</v>
      </c>
      <c r="I711" s="683"/>
      <c r="J711" s="683"/>
      <c r="K711" s="683"/>
      <c r="L711" s="683"/>
      <c r="M711" s="683"/>
      <c r="N711" s="685"/>
      <c r="O711" s="683"/>
      <c r="P711" s="683"/>
      <c r="Q711" s="683"/>
      <c r="R711" s="683"/>
      <c r="S711" s="683"/>
      <c r="T711" s="683"/>
      <c r="U711" s="683"/>
      <c r="V711" s="683"/>
      <c r="W711" s="683"/>
      <c r="X711" s="683"/>
      <c r="Y711" s="683"/>
      <c r="Z711" s="683"/>
    </row>
    <row r="712" spans="1:26" ht="15.75" customHeight="1" x14ac:dyDescent="0.25">
      <c r="A712" s="3" t="s">
        <v>2308</v>
      </c>
      <c r="B712" s="3" t="s">
        <v>2280</v>
      </c>
      <c r="C712" s="683"/>
      <c r="D712" s="3"/>
      <c r="E712" s="683"/>
      <c r="F712" s="683" t="s">
        <v>1004</v>
      </c>
      <c r="G712" s="683" t="s">
        <v>1756</v>
      </c>
      <c r="H712" s="711">
        <v>7</v>
      </c>
      <c r="I712" s="683"/>
      <c r="J712" s="683"/>
      <c r="K712" s="683"/>
      <c r="L712" s="683"/>
      <c r="M712" s="683"/>
      <c r="N712" s="685"/>
      <c r="O712" s="683"/>
      <c r="P712" s="683"/>
      <c r="Q712" s="683"/>
      <c r="R712" s="683"/>
      <c r="S712" s="683"/>
      <c r="T712" s="683"/>
      <c r="U712" s="683"/>
      <c r="V712" s="683"/>
      <c r="W712" s="683"/>
      <c r="X712" s="683"/>
      <c r="Y712" s="683"/>
      <c r="Z712" s="683"/>
    </row>
    <row r="713" spans="1:26" ht="15.75" customHeight="1" x14ac:dyDescent="0.25">
      <c r="A713" s="3" t="s">
        <v>2309</v>
      </c>
      <c r="B713" s="3" t="s">
        <v>2280</v>
      </c>
      <c r="C713" s="683"/>
      <c r="D713" s="3"/>
      <c r="E713" s="683"/>
      <c r="F713" s="683"/>
      <c r="G713" s="3"/>
      <c r="H713" s="711"/>
      <c r="I713" s="683"/>
      <c r="J713" s="683"/>
      <c r="K713" s="683"/>
      <c r="L713" s="683"/>
      <c r="M713" s="683"/>
      <c r="N713" s="685"/>
      <c r="O713" s="683"/>
      <c r="P713" s="683"/>
      <c r="Q713" s="683"/>
      <c r="R713" s="683"/>
      <c r="S713" s="683"/>
      <c r="T713" s="683"/>
      <c r="U713" s="683"/>
      <c r="V713" s="683"/>
      <c r="W713" s="683"/>
      <c r="X713" s="683"/>
      <c r="Y713" s="683"/>
      <c r="Z713" s="683"/>
    </row>
    <row r="714" spans="1:26" ht="15.75" customHeight="1" x14ac:dyDescent="0.25">
      <c r="A714" s="3" t="s">
        <v>2310</v>
      </c>
      <c r="B714" s="3" t="s">
        <v>2280</v>
      </c>
      <c r="C714" s="683"/>
      <c r="D714" s="3"/>
      <c r="E714" s="683"/>
      <c r="F714" s="683" t="s">
        <v>1757</v>
      </c>
      <c r="G714" s="3"/>
      <c r="H714" s="711">
        <v>7.25</v>
      </c>
      <c r="I714" s="683"/>
      <c r="J714" s="683"/>
      <c r="K714" s="683"/>
      <c r="L714" s="683"/>
      <c r="M714" s="683"/>
      <c r="N714" s="685"/>
      <c r="O714" s="683"/>
      <c r="P714" s="683"/>
      <c r="Q714" s="683"/>
      <c r="R714" s="683"/>
      <c r="S714" s="683"/>
      <c r="T714" s="683"/>
      <c r="U714" s="683"/>
      <c r="V714" s="683"/>
      <c r="W714" s="683"/>
      <c r="X714" s="683"/>
      <c r="Y714" s="683"/>
      <c r="Z714" s="683"/>
    </row>
    <row r="715" spans="1:26" ht="15.75" customHeight="1" x14ac:dyDescent="0.25">
      <c r="A715" s="3" t="s">
        <v>2311</v>
      </c>
      <c r="B715" s="3" t="s">
        <v>2280</v>
      </c>
      <c r="C715" s="683"/>
      <c r="D715" s="3"/>
      <c r="E715" s="683"/>
      <c r="F715" s="3" t="s">
        <v>710</v>
      </c>
      <c r="G715" s="3" t="s">
        <v>1757</v>
      </c>
      <c r="H715" s="711">
        <v>7.25</v>
      </c>
      <c r="I715" s="683"/>
      <c r="J715" s="683"/>
      <c r="K715" s="683"/>
      <c r="L715" s="683"/>
      <c r="M715" s="683"/>
      <c r="N715" s="685"/>
      <c r="O715" s="683"/>
      <c r="P715" s="683"/>
      <c r="Q715" s="683"/>
      <c r="R715" s="683"/>
      <c r="S715" s="683"/>
      <c r="T715" s="683"/>
      <c r="U715" s="683"/>
      <c r="V715" s="683"/>
      <c r="W715" s="683"/>
      <c r="X715" s="683"/>
      <c r="Y715" s="683"/>
      <c r="Z715" s="683"/>
    </row>
    <row r="716" spans="1:26" ht="15.75" customHeight="1" x14ac:dyDescent="0.25">
      <c r="A716" s="3" t="s">
        <v>2312</v>
      </c>
      <c r="B716" s="3" t="s">
        <v>2280</v>
      </c>
      <c r="C716" s="683"/>
      <c r="D716" s="3"/>
      <c r="E716" s="683"/>
      <c r="F716" s="683" t="s">
        <v>192</v>
      </c>
      <c r="G716" s="683" t="s">
        <v>1757</v>
      </c>
      <c r="H716" s="711">
        <v>7.25</v>
      </c>
      <c r="I716" s="683"/>
      <c r="J716" s="683"/>
      <c r="K716" s="683"/>
      <c r="L716" s="683"/>
      <c r="M716" s="683"/>
      <c r="N716" s="685"/>
      <c r="O716" s="683"/>
      <c r="P716" s="683"/>
      <c r="Q716" s="683"/>
      <c r="R716" s="683"/>
      <c r="S716" s="683"/>
      <c r="T716" s="683"/>
      <c r="U716" s="683"/>
      <c r="V716" s="683"/>
      <c r="W716" s="683"/>
      <c r="X716" s="683"/>
      <c r="Y716" s="683"/>
      <c r="Z716" s="683"/>
    </row>
    <row r="717" spans="1:26" ht="15.75" customHeight="1" x14ac:dyDescent="0.25">
      <c r="A717" s="3" t="s">
        <v>2313</v>
      </c>
      <c r="B717" s="3" t="s">
        <v>2280</v>
      </c>
      <c r="C717" s="683"/>
      <c r="D717" s="3"/>
      <c r="E717" s="683"/>
      <c r="F717" s="683"/>
      <c r="G717" s="683"/>
      <c r="H717" s="711"/>
      <c r="I717" s="683"/>
      <c r="J717" s="683"/>
      <c r="K717" s="683"/>
      <c r="L717" s="683"/>
      <c r="M717" s="683"/>
      <c r="N717" s="685"/>
      <c r="O717" s="683"/>
      <c r="P717" s="683"/>
      <c r="Q717" s="683"/>
      <c r="R717" s="683"/>
      <c r="S717" s="683"/>
      <c r="T717" s="683"/>
      <c r="U717" s="683"/>
      <c r="V717" s="683"/>
      <c r="W717" s="683"/>
      <c r="X717" s="683"/>
      <c r="Y717" s="683"/>
      <c r="Z717" s="683"/>
    </row>
    <row r="718" spans="1:26" ht="15.75" customHeight="1" x14ac:dyDescent="0.25">
      <c r="A718" s="3" t="s">
        <v>2314</v>
      </c>
      <c r="B718" s="3" t="s">
        <v>2280</v>
      </c>
      <c r="C718" s="683"/>
      <c r="D718" s="3"/>
      <c r="E718" s="683"/>
      <c r="F718" s="683"/>
      <c r="G718" s="683"/>
      <c r="H718" s="711"/>
      <c r="I718" s="683"/>
      <c r="J718" s="683"/>
      <c r="K718" s="683"/>
      <c r="L718" s="683"/>
      <c r="M718" s="683"/>
      <c r="N718" s="685"/>
      <c r="O718" s="683"/>
      <c r="P718" s="683"/>
      <c r="Q718" s="683"/>
      <c r="R718" s="683"/>
      <c r="S718" s="683"/>
      <c r="T718" s="683"/>
      <c r="U718" s="683"/>
      <c r="V718" s="683"/>
      <c r="W718" s="683"/>
      <c r="X718" s="683"/>
      <c r="Y718" s="683"/>
      <c r="Z718" s="683"/>
    </row>
    <row r="719" spans="1:26" ht="15.75" customHeight="1" x14ac:dyDescent="0.25">
      <c r="A719" s="3" t="s">
        <v>2315</v>
      </c>
      <c r="B719" s="3" t="s">
        <v>2280</v>
      </c>
      <c r="C719" s="683"/>
      <c r="D719" s="3"/>
      <c r="E719" s="683"/>
      <c r="F719" s="683" t="s">
        <v>754</v>
      </c>
      <c r="G719" s="683" t="s">
        <v>1759</v>
      </c>
      <c r="H719" s="711">
        <v>6.75</v>
      </c>
      <c r="I719" s="683"/>
      <c r="J719" s="683"/>
      <c r="K719" s="683"/>
      <c r="L719" s="683"/>
      <c r="M719" s="683"/>
      <c r="N719" s="685"/>
      <c r="O719" s="683"/>
      <c r="P719" s="683"/>
      <c r="Q719" s="683"/>
      <c r="R719" s="683"/>
      <c r="S719" s="683"/>
      <c r="T719" s="683"/>
      <c r="U719" s="683"/>
      <c r="V719" s="683"/>
      <c r="W719" s="683"/>
      <c r="X719" s="683"/>
      <c r="Y719" s="683"/>
      <c r="Z719" s="683"/>
    </row>
    <row r="720" spans="1:26" ht="15.75" customHeight="1" x14ac:dyDescent="0.25">
      <c r="A720" s="3" t="s">
        <v>2316</v>
      </c>
      <c r="B720" s="3" t="s">
        <v>2280</v>
      </c>
      <c r="C720" s="683"/>
      <c r="D720" s="3"/>
      <c r="E720" s="683"/>
      <c r="F720" s="683" t="s">
        <v>770</v>
      </c>
      <c r="G720" s="683" t="s">
        <v>259</v>
      </c>
      <c r="H720" s="711">
        <v>8</v>
      </c>
      <c r="I720" s="683"/>
      <c r="J720" s="683"/>
      <c r="K720" s="683"/>
      <c r="L720" s="683"/>
      <c r="M720" s="683"/>
      <c r="N720" s="685"/>
      <c r="O720" s="683"/>
      <c r="P720" s="683"/>
      <c r="Q720" s="683"/>
      <c r="R720" s="683"/>
      <c r="S720" s="683"/>
      <c r="T720" s="683"/>
      <c r="U720" s="683"/>
      <c r="V720" s="683"/>
      <c r="W720" s="683"/>
      <c r="X720" s="683"/>
      <c r="Y720" s="683"/>
      <c r="Z720" s="683"/>
    </row>
    <row r="721" spans="1:26" ht="15.75" customHeight="1" x14ac:dyDescent="0.25">
      <c r="A721" s="3" t="s">
        <v>2317</v>
      </c>
      <c r="B721" s="3" t="s">
        <v>2280</v>
      </c>
      <c r="C721" s="683"/>
      <c r="D721" s="3"/>
      <c r="E721" s="683"/>
      <c r="F721" s="683" t="s">
        <v>704</v>
      </c>
      <c r="G721" s="683" t="s">
        <v>194</v>
      </c>
      <c r="H721" s="711">
        <v>8.25</v>
      </c>
      <c r="I721" s="683"/>
      <c r="J721" s="683"/>
      <c r="K721" s="683"/>
      <c r="L721" s="683"/>
      <c r="M721" s="683"/>
      <c r="N721" s="685"/>
      <c r="O721" s="683"/>
      <c r="P721" s="683"/>
      <c r="Q721" s="683"/>
      <c r="R721" s="683"/>
      <c r="S721" s="683"/>
      <c r="T721" s="683"/>
      <c r="U721" s="683"/>
      <c r="V721" s="683"/>
      <c r="W721" s="683"/>
      <c r="X721" s="683"/>
      <c r="Y721" s="683"/>
      <c r="Z721" s="683"/>
    </row>
    <row r="722" spans="1:26" ht="15.75" customHeight="1" x14ac:dyDescent="0.25">
      <c r="A722" s="3" t="s">
        <v>2318</v>
      </c>
      <c r="B722" s="3" t="s">
        <v>2280</v>
      </c>
      <c r="C722" s="683"/>
      <c r="D722" s="3"/>
      <c r="E722" s="683"/>
      <c r="F722" s="683" t="s">
        <v>715</v>
      </c>
      <c r="G722" s="3"/>
      <c r="H722" s="711">
        <v>8.25</v>
      </c>
      <c r="I722" s="683"/>
      <c r="J722" s="683"/>
      <c r="K722" s="683"/>
      <c r="L722" s="683"/>
      <c r="M722" s="683"/>
      <c r="N722" s="685"/>
      <c r="O722" s="683"/>
      <c r="P722" s="683"/>
      <c r="Q722" s="683"/>
      <c r="R722" s="683"/>
      <c r="S722" s="683"/>
      <c r="T722" s="683"/>
      <c r="U722" s="683"/>
      <c r="V722" s="683"/>
      <c r="W722" s="683"/>
      <c r="X722" s="683"/>
      <c r="Y722" s="683"/>
      <c r="Z722" s="683"/>
    </row>
    <row r="723" spans="1:26" ht="15.75" customHeight="1" x14ac:dyDescent="0.25">
      <c r="A723" s="3" t="s">
        <v>2319</v>
      </c>
      <c r="B723" s="3" t="s">
        <v>2280</v>
      </c>
      <c r="C723" s="683"/>
      <c r="D723" s="3"/>
      <c r="E723" s="683"/>
      <c r="F723" s="683" t="s">
        <v>901</v>
      </c>
      <c r="G723" s="683" t="s">
        <v>1760</v>
      </c>
      <c r="H723" s="711">
        <v>9</v>
      </c>
      <c r="I723" s="683"/>
      <c r="J723" s="683"/>
      <c r="K723" s="683"/>
      <c r="L723" s="683"/>
      <c r="M723" s="683"/>
      <c r="N723" s="685"/>
      <c r="O723" s="683"/>
      <c r="P723" s="683"/>
      <c r="Q723" s="683"/>
      <c r="R723" s="683"/>
      <c r="S723" s="683"/>
      <c r="T723" s="683"/>
      <c r="U723" s="683"/>
      <c r="V723" s="683"/>
      <c r="W723" s="683"/>
      <c r="X723" s="683"/>
      <c r="Y723" s="683"/>
      <c r="Z723" s="683"/>
    </row>
    <row r="724" spans="1:26" ht="15.75" customHeight="1" x14ac:dyDescent="0.25">
      <c r="A724" s="3" t="s">
        <v>2320</v>
      </c>
      <c r="B724" s="3" t="s">
        <v>2280</v>
      </c>
      <c r="C724" s="683"/>
      <c r="D724" s="3"/>
      <c r="E724" s="683"/>
      <c r="F724" s="683" t="s">
        <v>1761</v>
      </c>
      <c r="G724" s="683" t="s">
        <v>2015</v>
      </c>
      <c r="H724" s="711">
        <v>7</v>
      </c>
      <c r="I724" s="683"/>
      <c r="J724" s="683"/>
      <c r="K724" s="683"/>
      <c r="L724" s="683"/>
      <c r="M724" s="683"/>
      <c r="N724" s="685"/>
      <c r="O724" s="683"/>
      <c r="P724" s="683"/>
      <c r="Q724" s="683"/>
      <c r="R724" s="683"/>
      <c r="S724" s="683"/>
      <c r="T724" s="683"/>
      <c r="U724" s="683"/>
      <c r="V724" s="683"/>
      <c r="W724" s="683"/>
      <c r="X724" s="683"/>
      <c r="Y724" s="683"/>
      <c r="Z724" s="683"/>
    </row>
    <row r="725" spans="1:26" ht="15.75" customHeight="1" x14ac:dyDescent="0.25">
      <c r="A725" s="3" t="s">
        <v>2321</v>
      </c>
      <c r="B725" s="3" t="s">
        <v>2280</v>
      </c>
      <c r="C725" s="683"/>
      <c r="D725" s="3"/>
      <c r="E725" s="683"/>
      <c r="F725" s="683"/>
      <c r="G725" s="683"/>
      <c r="H725" s="711"/>
      <c r="I725" s="683"/>
      <c r="J725" s="683"/>
      <c r="K725" s="683"/>
      <c r="L725" s="683"/>
      <c r="M725" s="683"/>
      <c r="N725" s="685"/>
      <c r="O725" s="683"/>
      <c r="P725" s="683"/>
      <c r="Q725" s="683"/>
      <c r="R725" s="683"/>
      <c r="S725" s="683"/>
      <c r="T725" s="683"/>
      <c r="U725" s="683"/>
      <c r="V725" s="683"/>
      <c r="W725" s="683"/>
      <c r="X725" s="683"/>
      <c r="Y725" s="683"/>
      <c r="Z725" s="683"/>
    </row>
    <row r="726" spans="1:26" ht="15.75" customHeight="1" x14ac:dyDescent="0.25">
      <c r="A726" s="3" t="s">
        <v>2322</v>
      </c>
      <c r="B726" s="3" t="s">
        <v>2280</v>
      </c>
      <c r="C726" s="683"/>
      <c r="D726" s="3"/>
      <c r="E726" s="683"/>
      <c r="F726" s="683" t="s">
        <v>1057</v>
      </c>
      <c r="G726" s="683" t="s">
        <v>94</v>
      </c>
      <c r="H726" s="711">
        <v>20</v>
      </c>
      <c r="I726" s="683" t="s">
        <v>2323</v>
      </c>
      <c r="J726" s="683"/>
      <c r="K726" s="683"/>
      <c r="L726" s="683"/>
      <c r="M726" s="683"/>
      <c r="N726" s="685"/>
      <c r="O726" s="683"/>
      <c r="P726" s="683"/>
      <c r="Q726" s="683"/>
      <c r="R726" s="683"/>
      <c r="S726" s="683"/>
      <c r="T726" s="683"/>
      <c r="U726" s="683"/>
      <c r="V726" s="683"/>
      <c r="W726" s="683"/>
      <c r="X726" s="683"/>
      <c r="Y726" s="683"/>
      <c r="Z726" s="683"/>
    </row>
    <row r="727" spans="1:26" ht="15.75" customHeight="1" x14ac:dyDescent="0.25">
      <c r="A727" s="3" t="s">
        <v>2324</v>
      </c>
      <c r="B727" s="3" t="s">
        <v>2280</v>
      </c>
      <c r="C727" s="683"/>
      <c r="D727" s="3"/>
      <c r="E727" s="683"/>
      <c r="F727" s="3" t="s">
        <v>990</v>
      </c>
      <c r="G727" s="3"/>
      <c r="H727" s="684">
        <v>15</v>
      </c>
      <c r="I727" s="683"/>
      <c r="J727" s="683"/>
      <c r="K727" s="683"/>
      <c r="L727" s="683"/>
      <c r="M727" s="683"/>
      <c r="N727" s="685"/>
      <c r="O727" s="683"/>
      <c r="P727" s="683"/>
      <c r="Q727" s="683"/>
      <c r="R727" s="683"/>
      <c r="S727" s="683"/>
      <c r="T727" s="683"/>
      <c r="U727" s="683"/>
      <c r="V727" s="683"/>
      <c r="W727" s="683"/>
      <c r="X727" s="683"/>
      <c r="Y727" s="683"/>
      <c r="Z727" s="683"/>
    </row>
    <row r="728" spans="1:26" ht="15.75" customHeight="1" x14ac:dyDescent="0.25">
      <c r="A728" s="3" t="s">
        <v>2325</v>
      </c>
      <c r="B728" s="3" t="s">
        <v>2280</v>
      </c>
      <c r="C728" s="683"/>
      <c r="D728" s="3"/>
      <c r="E728" s="683"/>
      <c r="I728" s="683"/>
      <c r="J728" s="683"/>
      <c r="K728" s="683"/>
      <c r="L728" s="683"/>
      <c r="M728" s="683"/>
      <c r="N728" s="685"/>
      <c r="O728" s="683"/>
      <c r="P728" s="683"/>
      <c r="Q728" s="683"/>
      <c r="R728" s="683"/>
      <c r="S728" s="683"/>
      <c r="T728" s="683"/>
      <c r="U728" s="683"/>
      <c r="V728" s="683"/>
      <c r="W728" s="683"/>
      <c r="X728" s="683"/>
      <c r="Y728" s="683"/>
      <c r="Z728" s="683"/>
    </row>
    <row r="729" spans="1:26" ht="15.75" customHeight="1" x14ac:dyDescent="0.25">
      <c r="A729" s="683" t="s">
        <v>2326</v>
      </c>
      <c r="B729" s="3" t="s">
        <v>2280</v>
      </c>
      <c r="C729" s="683"/>
      <c r="D729" s="3"/>
      <c r="E729" s="683"/>
      <c r="I729" s="683"/>
      <c r="J729" s="683"/>
      <c r="K729" s="683"/>
      <c r="L729" s="683"/>
      <c r="M729" s="683"/>
      <c r="N729" s="685"/>
      <c r="O729" s="683"/>
      <c r="P729" s="683"/>
      <c r="Q729" s="683"/>
      <c r="R729" s="683"/>
      <c r="S729" s="683"/>
      <c r="T729" s="683"/>
      <c r="U729" s="683"/>
      <c r="V729" s="683"/>
      <c r="W729" s="683"/>
      <c r="X729" s="683"/>
      <c r="Y729" s="683"/>
      <c r="Z729" s="683"/>
    </row>
    <row r="730" spans="1:26" ht="15.75" customHeight="1" x14ac:dyDescent="0.25">
      <c r="A730" s="3" t="s">
        <v>2327</v>
      </c>
      <c r="B730" s="3" t="s">
        <v>2280</v>
      </c>
      <c r="C730" s="683"/>
      <c r="D730" s="3"/>
      <c r="E730" s="683"/>
      <c r="F730" s="683"/>
      <c r="G730" s="683"/>
      <c r="H730" s="684"/>
      <c r="I730" s="683"/>
      <c r="J730" s="683"/>
      <c r="K730" s="683"/>
      <c r="L730" s="683"/>
      <c r="M730" s="683"/>
      <c r="N730" s="685"/>
      <c r="O730" s="683"/>
      <c r="P730" s="683"/>
      <c r="Q730" s="683"/>
      <c r="R730" s="683"/>
      <c r="S730" s="683"/>
      <c r="T730" s="683"/>
      <c r="U730" s="683"/>
      <c r="V730" s="683"/>
      <c r="W730" s="683"/>
      <c r="X730" s="683"/>
      <c r="Y730" s="683"/>
      <c r="Z730" s="683"/>
    </row>
    <row r="731" spans="1:26" ht="15.75" customHeight="1" x14ac:dyDescent="0.25">
      <c r="A731" s="3" t="s">
        <v>2328</v>
      </c>
      <c r="B731" s="3" t="s">
        <v>2280</v>
      </c>
      <c r="C731" s="683"/>
      <c r="D731" s="3"/>
      <c r="E731" s="683"/>
      <c r="F731" s="683"/>
      <c r="G731" s="683"/>
      <c r="H731" s="711"/>
      <c r="I731" s="683"/>
      <c r="J731" s="683"/>
      <c r="K731" s="683"/>
      <c r="L731" s="683"/>
      <c r="M731" s="683"/>
      <c r="N731" s="685"/>
      <c r="O731" s="683"/>
      <c r="P731" s="683"/>
      <c r="Q731" s="683"/>
      <c r="R731" s="683"/>
      <c r="S731" s="683"/>
      <c r="T731" s="683"/>
      <c r="U731" s="683"/>
      <c r="V731" s="683"/>
      <c r="W731" s="683"/>
      <c r="X731" s="683"/>
      <c r="Y731" s="683"/>
      <c r="Z731" s="683"/>
    </row>
    <row r="732" spans="1:26" ht="15.75" customHeight="1" x14ac:dyDescent="0.25">
      <c r="A732" s="3" t="s">
        <v>2329</v>
      </c>
      <c r="B732" s="3" t="s">
        <v>2280</v>
      </c>
      <c r="C732" s="683"/>
      <c r="D732" s="3"/>
      <c r="E732" s="683"/>
      <c r="F732" s="3"/>
      <c r="G732" s="691" t="s">
        <v>2330</v>
      </c>
      <c r="H732" s="684"/>
      <c r="I732" s="683"/>
      <c r="J732" s="683"/>
      <c r="K732" s="683"/>
      <c r="L732" s="683"/>
      <c r="M732" s="683"/>
      <c r="N732" s="685"/>
      <c r="O732" s="683"/>
      <c r="P732" s="683"/>
      <c r="Q732" s="683"/>
      <c r="R732" s="683"/>
      <c r="S732" s="683"/>
      <c r="T732" s="683"/>
      <c r="U732" s="683"/>
      <c r="V732" s="683"/>
      <c r="W732" s="683"/>
      <c r="X732" s="683"/>
      <c r="Y732" s="683"/>
      <c r="Z732" s="683"/>
    </row>
    <row r="733" spans="1:26" ht="15.75" customHeight="1" x14ac:dyDescent="0.25">
      <c r="A733" s="3" t="s">
        <v>2331</v>
      </c>
      <c r="B733" s="3" t="s">
        <v>2280</v>
      </c>
      <c r="C733" s="683"/>
      <c r="D733" s="3"/>
      <c r="E733" s="683"/>
      <c r="F733" s="704" t="s">
        <v>750</v>
      </c>
      <c r="G733" s="3"/>
      <c r="H733" s="711">
        <v>5</v>
      </c>
      <c r="I733" s="683"/>
      <c r="J733" s="683"/>
      <c r="K733" s="683"/>
      <c r="L733" s="683"/>
      <c r="M733" s="683"/>
      <c r="N733" s="685"/>
      <c r="O733" s="683"/>
      <c r="P733" s="683"/>
      <c r="Q733" s="683"/>
      <c r="R733" s="683"/>
      <c r="S733" s="683"/>
      <c r="T733" s="683"/>
      <c r="U733" s="683"/>
      <c r="V733" s="683"/>
      <c r="W733" s="683"/>
      <c r="X733" s="683"/>
      <c r="Y733" s="683"/>
      <c r="Z733" s="683"/>
    </row>
    <row r="734" spans="1:26" ht="15.75" customHeight="1" x14ac:dyDescent="0.25">
      <c r="A734" s="3" t="s">
        <v>2332</v>
      </c>
      <c r="B734" s="3" t="s">
        <v>2280</v>
      </c>
      <c r="C734" s="683"/>
      <c r="D734" s="3"/>
      <c r="E734" s="683"/>
      <c r="F734" s="41" t="s">
        <v>909</v>
      </c>
      <c r="H734" s="692">
        <v>10</v>
      </c>
      <c r="I734" s="683"/>
      <c r="J734" s="683"/>
      <c r="K734" s="683"/>
      <c r="L734" s="683"/>
      <c r="M734" s="683"/>
      <c r="N734" s="685"/>
      <c r="O734" s="683"/>
      <c r="P734" s="683"/>
      <c r="Q734" s="683"/>
      <c r="R734" s="683"/>
      <c r="S734" s="683"/>
      <c r="T734" s="683"/>
      <c r="U734" s="683"/>
      <c r="V734" s="683"/>
      <c r="W734" s="683"/>
      <c r="X734" s="683"/>
      <c r="Y734" s="683"/>
      <c r="Z734" s="683"/>
    </row>
    <row r="735" spans="1:26" ht="15.75" customHeight="1" x14ac:dyDescent="0.25">
      <c r="A735" s="3" t="s">
        <v>2333</v>
      </c>
      <c r="B735" s="3" t="s">
        <v>2280</v>
      </c>
      <c r="C735" s="683"/>
      <c r="D735" s="3"/>
      <c r="E735" s="683"/>
      <c r="F735" s="683" t="s">
        <v>1746</v>
      </c>
      <c r="G735" s="3"/>
      <c r="H735" s="711">
        <v>8</v>
      </c>
      <c r="I735" s="683"/>
      <c r="J735" s="683"/>
      <c r="K735" s="683"/>
      <c r="L735" s="683"/>
      <c r="M735" s="683"/>
      <c r="N735" s="685"/>
      <c r="O735" s="683"/>
      <c r="P735" s="683"/>
      <c r="Q735" s="683"/>
      <c r="R735" s="683"/>
      <c r="S735" s="683"/>
      <c r="T735" s="683"/>
      <c r="U735" s="683"/>
      <c r="V735" s="683"/>
      <c r="W735" s="683"/>
      <c r="X735" s="683"/>
      <c r="Y735" s="683"/>
      <c r="Z735" s="683"/>
    </row>
    <row r="736" spans="1:26" ht="15.75" customHeight="1" x14ac:dyDescent="0.25">
      <c r="A736" s="3" t="s">
        <v>2334</v>
      </c>
      <c r="B736" s="3" t="s">
        <v>2280</v>
      </c>
      <c r="C736" s="683"/>
      <c r="D736" s="3"/>
      <c r="E736" s="683"/>
      <c r="F736" s="704" t="s">
        <v>1751</v>
      </c>
      <c r="G736" s="3"/>
      <c r="H736" s="711">
        <v>5</v>
      </c>
      <c r="I736" s="683"/>
      <c r="J736" s="683"/>
      <c r="K736" s="683"/>
      <c r="L736" s="683"/>
      <c r="M736" s="683"/>
      <c r="N736" s="685"/>
      <c r="O736" s="683"/>
      <c r="P736" s="683"/>
      <c r="Q736" s="683"/>
      <c r="R736" s="683"/>
      <c r="S736" s="683"/>
      <c r="T736" s="683"/>
      <c r="U736" s="683"/>
      <c r="V736" s="683"/>
      <c r="W736" s="683"/>
      <c r="X736" s="683"/>
      <c r="Y736" s="683"/>
      <c r="Z736" s="683"/>
    </row>
    <row r="737" spans="1:26" ht="15.75" customHeight="1" x14ac:dyDescent="0.25">
      <c r="A737" s="3" t="s">
        <v>2335</v>
      </c>
      <c r="B737" s="3" t="s">
        <v>2280</v>
      </c>
      <c r="C737" s="683"/>
      <c r="D737" s="3"/>
      <c r="E737" s="683"/>
      <c r="F737" s="704" t="s">
        <v>1196</v>
      </c>
      <c r="G737" s="683"/>
      <c r="H737" s="711">
        <v>9</v>
      </c>
      <c r="I737" s="683"/>
      <c r="J737" s="683"/>
      <c r="K737" s="683"/>
      <c r="L737" s="683"/>
      <c r="M737" s="683"/>
      <c r="N737" s="685"/>
      <c r="O737" s="683"/>
      <c r="P737" s="683"/>
      <c r="Q737" s="683"/>
      <c r="R737" s="683"/>
      <c r="S737" s="683"/>
      <c r="T737" s="683"/>
      <c r="U737" s="683"/>
      <c r="V737" s="683"/>
      <c r="W737" s="683"/>
      <c r="X737" s="683"/>
      <c r="Y737" s="683"/>
      <c r="Z737" s="683"/>
    </row>
    <row r="738" spans="1:26" ht="15.75" customHeight="1" x14ac:dyDescent="0.25">
      <c r="A738" s="3" t="s">
        <v>2336</v>
      </c>
      <c r="B738" s="3" t="s">
        <v>2280</v>
      </c>
      <c r="C738" s="683"/>
      <c r="D738" s="3"/>
      <c r="E738" s="683"/>
      <c r="F738" s="683" t="s">
        <v>734</v>
      </c>
      <c r="G738" s="683" t="s">
        <v>1752</v>
      </c>
      <c r="H738" s="711">
        <v>4</v>
      </c>
      <c r="I738" s="683"/>
      <c r="J738" s="683"/>
      <c r="K738" s="683"/>
      <c r="L738" s="683"/>
      <c r="M738" s="683"/>
      <c r="N738" s="685"/>
      <c r="O738" s="683"/>
      <c r="P738" s="683"/>
      <c r="Q738" s="683"/>
      <c r="R738" s="683"/>
      <c r="S738" s="683"/>
      <c r="T738" s="683"/>
      <c r="U738" s="683"/>
      <c r="V738" s="683"/>
      <c r="W738" s="683"/>
      <c r="X738" s="683"/>
      <c r="Y738" s="683"/>
      <c r="Z738" s="683"/>
    </row>
    <row r="739" spans="1:26" ht="15.75" customHeight="1" x14ac:dyDescent="0.25">
      <c r="A739" s="3" t="s">
        <v>2337</v>
      </c>
      <c r="B739" s="3" t="s">
        <v>2280</v>
      </c>
      <c r="C739" s="683"/>
      <c r="D739" s="3"/>
      <c r="E739" s="683"/>
      <c r="F739" s="683"/>
      <c r="G739" s="683"/>
      <c r="H739" s="711"/>
      <c r="I739" s="683"/>
      <c r="J739" s="683"/>
      <c r="K739" s="683"/>
      <c r="L739" s="683"/>
      <c r="M739" s="683"/>
      <c r="N739" s="685"/>
      <c r="O739" s="683"/>
      <c r="P739" s="683"/>
      <c r="Q739" s="683"/>
      <c r="R739" s="683"/>
      <c r="S739" s="683"/>
      <c r="T739" s="683"/>
      <c r="U739" s="683"/>
      <c r="V739" s="683"/>
      <c r="W739" s="683"/>
      <c r="X739" s="683"/>
      <c r="Y739" s="683"/>
      <c r="Z739" s="683"/>
    </row>
    <row r="740" spans="1:26" ht="15.75" customHeight="1" x14ac:dyDescent="0.25">
      <c r="A740" s="3" t="s">
        <v>2338</v>
      </c>
      <c r="B740" s="3" t="s">
        <v>2280</v>
      </c>
      <c r="C740" s="683"/>
      <c r="D740" s="3"/>
      <c r="E740" s="683"/>
      <c r="F740" s="3"/>
      <c r="G740" s="683"/>
      <c r="H740" s="711"/>
      <c r="I740" s="683"/>
      <c r="J740" s="683"/>
      <c r="K740" s="683"/>
      <c r="L740" s="683"/>
      <c r="M740" s="683"/>
      <c r="N740" s="685"/>
      <c r="O740" s="683"/>
      <c r="P740" s="683"/>
      <c r="Q740" s="683"/>
      <c r="R740" s="683"/>
      <c r="S740" s="683"/>
      <c r="T740" s="683"/>
      <c r="U740" s="683"/>
      <c r="V740" s="683"/>
      <c r="W740" s="683"/>
      <c r="X740" s="683"/>
      <c r="Y740" s="683"/>
      <c r="Z740" s="683"/>
    </row>
    <row r="741" spans="1:26" ht="15.75" customHeight="1" x14ac:dyDescent="0.25">
      <c r="A741" s="3" t="s">
        <v>2339</v>
      </c>
      <c r="B741" s="3" t="s">
        <v>2280</v>
      </c>
      <c r="C741" s="683"/>
      <c r="D741" s="3"/>
      <c r="E741" s="683"/>
      <c r="F741" s="683"/>
      <c r="G741" s="683"/>
      <c r="H741" s="711"/>
      <c r="I741" s="683"/>
      <c r="J741" s="683"/>
      <c r="K741" s="683"/>
      <c r="L741" s="683"/>
      <c r="M741" s="683"/>
      <c r="N741" s="685"/>
      <c r="O741" s="683"/>
      <c r="P741" s="683"/>
      <c r="Q741" s="683"/>
      <c r="R741" s="683"/>
      <c r="S741" s="683"/>
      <c r="T741" s="683"/>
      <c r="U741" s="683"/>
      <c r="V741" s="683"/>
      <c r="W741" s="683"/>
      <c r="X741" s="683"/>
      <c r="Y741" s="683"/>
      <c r="Z741" s="683"/>
    </row>
    <row r="742" spans="1:26" ht="15.75" customHeight="1" x14ac:dyDescent="0.25">
      <c r="A742" s="3" t="s">
        <v>2340</v>
      </c>
      <c r="B742" s="3" t="s">
        <v>2280</v>
      </c>
      <c r="C742" s="683"/>
      <c r="D742" s="3"/>
      <c r="E742" s="683"/>
      <c r="F742" s="683"/>
      <c r="G742" s="683"/>
      <c r="H742" s="711"/>
      <c r="I742" s="683"/>
      <c r="J742" s="683"/>
      <c r="K742" s="683"/>
      <c r="L742" s="683"/>
      <c r="M742" s="683"/>
      <c r="N742" s="685"/>
      <c r="O742" s="683"/>
      <c r="P742" s="683"/>
      <c r="Q742" s="683"/>
      <c r="R742" s="683"/>
      <c r="S742" s="683"/>
      <c r="T742" s="683"/>
      <c r="U742" s="683"/>
      <c r="V742" s="683"/>
      <c r="W742" s="683"/>
      <c r="X742" s="683"/>
      <c r="Y742" s="683"/>
      <c r="Z742" s="683"/>
    </row>
    <row r="743" spans="1:26" ht="15.75" customHeight="1" x14ac:dyDescent="0.25">
      <c r="A743" s="683" t="s">
        <v>2341</v>
      </c>
      <c r="B743" s="3" t="s">
        <v>2280</v>
      </c>
      <c r="C743" s="683"/>
      <c r="D743" s="3"/>
      <c r="E743" s="683"/>
      <c r="F743" s="683"/>
      <c r="G743" s="683"/>
      <c r="H743" s="711"/>
      <c r="I743" s="683"/>
      <c r="J743" s="683"/>
      <c r="K743" s="683"/>
      <c r="L743" s="683"/>
      <c r="M743" s="683"/>
      <c r="N743" s="685"/>
      <c r="O743" s="683"/>
      <c r="P743" s="683"/>
      <c r="Q743" s="683"/>
      <c r="R743" s="683"/>
      <c r="S743" s="683"/>
      <c r="T743" s="683"/>
      <c r="U743" s="683"/>
      <c r="V743" s="683"/>
      <c r="W743" s="683"/>
      <c r="X743" s="683"/>
      <c r="Y743" s="683"/>
      <c r="Z743" s="683"/>
    </row>
    <row r="744" spans="1:26" ht="15.75" customHeight="1" x14ac:dyDescent="0.25">
      <c r="A744" s="683" t="s">
        <v>2342</v>
      </c>
      <c r="B744" s="3" t="s">
        <v>2280</v>
      </c>
      <c r="C744" s="683"/>
      <c r="D744" s="3"/>
      <c r="E744" s="683"/>
      <c r="F744" s="683"/>
      <c r="G744" s="683"/>
      <c r="H744" s="711"/>
      <c r="I744" s="683"/>
      <c r="J744" s="683"/>
      <c r="K744" s="683"/>
      <c r="L744" s="683"/>
      <c r="M744" s="683"/>
      <c r="N744" s="685"/>
      <c r="O744" s="683"/>
      <c r="P744" s="683"/>
      <c r="Q744" s="683"/>
      <c r="R744" s="683"/>
      <c r="S744" s="683"/>
      <c r="T744" s="683"/>
      <c r="U744" s="683"/>
      <c r="V744" s="683"/>
      <c r="W744" s="683"/>
      <c r="X744" s="683"/>
      <c r="Y744" s="683"/>
      <c r="Z744" s="683"/>
    </row>
    <row r="745" spans="1:26" ht="15.75" customHeight="1" x14ac:dyDescent="0.25">
      <c r="A745" s="683" t="s">
        <v>600</v>
      </c>
      <c r="B745" s="3" t="s">
        <v>2280</v>
      </c>
      <c r="C745" s="683"/>
      <c r="D745" s="3"/>
      <c r="E745" s="683"/>
      <c r="F745" s="683"/>
      <c r="G745" s="683"/>
      <c r="H745" s="711"/>
      <c r="I745" s="683"/>
      <c r="J745" s="683"/>
      <c r="K745" s="683"/>
      <c r="L745" s="683"/>
      <c r="M745" s="683"/>
      <c r="N745" s="685"/>
      <c r="O745" s="683"/>
      <c r="P745" s="683"/>
      <c r="Q745" s="683"/>
      <c r="R745" s="683"/>
      <c r="S745" s="683"/>
      <c r="T745" s="683"/>
      <c r="U745" s="683"/>
      <c r="V745" s="683"/>
      <c r="W745" s="683"/>
      <c r="X745" s="683"/>
      <c r="Y745" s="683"/>
      <c r="Z745" s="683"/>
    </row>
    <row r="746" spans="1:26" ht="15.75" customHeight="1" x14ac:dyDescent="0.25">
      <c r="A746" s="683" t="s">
        <v>2343</v>
      </c>
      <c r="B746" s="3" t="s">
        <v>2280</v>
      </c>
      <c r="C746" s="683"/>
      <c r="D746" s="3"/>
      <c r="E746" s="683"/>
      <c r="F746" s="683"/>
      <c r="G746" s="683"/>
      <c r="H746" s="711"/>
      <c r="I746" s="683"/>
      <c r="J746" s="683"/>
      <c r="K746" s="683"/>
      <c r="L746" s="683"/>
      <c r="M746" s="683"/>
      <c r="N746" s="685"/>
      <c r="O746" s="683"/>
      <c r="P746" s="683"/>
      <c r="Q746" s="683"/>
      <c r="R746" s="683"/>
      <c r="S746" s="683"/>
      <c r="T746" s="683"/>
      <c r="U746" s="683"/>
      <c r="V746" s="683"/>
      <c r="W746" s="683"/>
      <c r="X746" s="683"/>
      <c r="Y746" s="683"/>
      <c r="Z746" s="683"/>
    </row>
    <row r="747" spans="1:26" ht="15.75" customHeight="1" x14ac:dyDescent="0.25">
      <c r="A747" s="683" t="s">
        <v>2344</v>
      </c>
      <c r="B747" s="3" t="s">
        <v>2280</v>
      </c>
      <c r="C747" s="683"/>
      <c r="D747" s="3"/>
      <c r="E747" s="683"/>
      <c r="F747" s="683"/>
      <c r="G747" s="683"/>
      <c r="H747" s="711"/>
      <c r="I747" s="683"/>
      <c r="J747" s="683"/>
      <c r="K747" s="683"/>
      <c r="L747" s="683"/>
      <c r="M747" s="683"/>
      <c r="N747" s="685"/>
      <c r="O747" s="683"/>
      <c r="P747" s="683"/>
      <c r="Q747" s="683"/>
      <c r="R747" s="683"/>
      <c r="S747" s="683"/>
      <c r="T747" s="683"/>
      <c r="U747" s="683"/>
      <c r="V747" s="683"/>
      <c r="W747" s="683"/>
      <c r="X747" s="683"/>
      <c r="Y747" s="683"/>
      <c r="Z747" s="683"/>
    </row>
    <row r="748" spans="1:26" ht="15.75" customHeight="1" x14ac:dyDescent="0.25">
      <c r="A748" s="683" t="s">
        <v>2345</v>
      </c>
      <c r="B748" s="3" t="s">
        <v>2280</v>
      </c>
      <c r="C748" s="683"/>
      <c r="D748" s="3"/>
      <c r="E748" s="683"/>
      <c r="F748" s="683"/>
      <c r="G748" s="683"/>
      <c r="H748" s="711"/>
      <c r="I748" s="683"/>
      <c r="J748" s="683"/>
      <c r="K748" s="683"/>
      <c r="L748" s="683"/>
      <c r="M748" s="683"/>
      <c r="N748" s="685"/>
      <c r="O748" s="683"/>
      <c r="P748" s="683"/>
      <c r="Q748" s="683"/>
      <c r="R748" s="683"/>
      <c r="S748" s="683"/>
      <c r="T748" s="683"/>
      <c r="U748" s="683"/>
      <c r="V748" s="683"/>
      <c r="W748" s="683"/>
      <c r="X748" s="683"/>
      <c r="Y748" s="683"/>
      <c r="Z748" s="683"/>
    </row>
    <row r="749" spans="1:26" ht="15.75" customHeight="1" x14ac:dyDescent="0.25">
      <c r="A749" s="683" t="s">
        <v>2333</v>
      </c>
      <c r="B749" s="3" t="s">
        <v>2280</v>
      </c>
      <c r="C749" s="683"/>
      <c r="D749" s="3"/>
      <c r="E749" s="683"/>
      <c r="F749" s="683"/>
      <c r="G749" s="683"/>
      <c r="H749" s="711"/>
      <c r="I749" s="683"/>
      <c r="J749" s="683"/>
      <c r="K749" s="683"/>
      <c r="L749" s="683"/>
      <c r="M749" s="683"/>
      <c r="N749" s="685"/>
      <c r="O749" s="683"/>
      <c r="P749" s="683"/>
      <c r="Q749" s="683"/>
      <c r="R749" s="683"/>
      <c r="S749" s="683"/>
      <c r="T749" s="683"/>
      <c r="U749" s="683"/>
      <c r="V749" s="683"/>
      <c r="W749" s="683"/>
      <c r="X749" s="683"/>
      <c r="Y749" s="683"/>
      <c r="Z749" s="683"/>
    </row>
    <row r="750" spans="1:26" ht="15.75" customHeight="1" x14ac:dyDescent="0.25">
      <c r="A750" s="683" t="s">
        <v>2346</v>
      </c>
      <c r="B750" s="3" t="s">
        <v>2280</v>
      </c>
      <c r="C750" s="683"/>
      <c r="D750" s="3"/>
      <c r="E750" s="683"/>
      <c r="F750" s="683" t="s">
        <v>1417</v>
      </c>
      <c r="G750" s="683" t="s">
        <v>1753</v>
      </c>
      <c r="H750" s="711">
        <v>7</v>
      </c>
      <c r="I750" s="683"/>
      <c r="J750" s="683"/>
      <c r="K750" s="683"/>
      <c r="L750" s="683"/>
      <c r="M750" s="683"/>
      <c r="N750" s="685"/>
      <c r="O750" s="683"/>
      <c r="P750" s="683"/>
      <c r="Q750" s="683"/>
      <c r="R750" s="683"/>
      <c r="S750" s="683"/>
      <c r="T750" s="683"/>
      <c r="U750" s="683"/>
      <c r="V750" s="683"/>
      <c r="W750" s="683"/>
      <c r="X750" s="683"/>
      <c r="Y750" s="683"/>
      <c r="Z750" s="683"/>
    </row>
    <row r="751" spans="1:26" ht="15.75" customHeight="1" x14ac:dyDescent="0.25">
      <c r="A751" s="683" t="s">
        <v>2347</v>
      </c>
      <c r="B751" s="3" t="s">
        <v>2280</v>
      </c>
      <c r="C751" s="683"/>
      <c r="D751" s="3"/>
      <c r="E751" s="683"/>
      <c r="F751" s="683" t="s">
        <v>860</v>
      </c>
      <c r="G751" s="683" t="s">
        <v>1786</v>
      </c>
      <c r="H751" s="711">
        <v>6</v>
      </c>
      <c r="I751" s="683"/>
      <c r="J751" s="683"/>
      <c r="K751" s="683"/>
      <c r="L751" s="683"/>
      <c r="M751" s="683"/>
      <c r="N751" s="685"/>
      <c r="O751" s="683"/>
      <c r="P751" s="683"/>
      <c r="Q751" s="683"/>
      <c r="R751" s="683"/>
      <c r="S751" s="683"/>
      <c r="T751" s="683"/>
      <c r="U751" s="683"/>
      <c r="V751" s="683"/>
      <c r="W751" s="683"/>
      <c r="X751" s="683"/>
      <c r="Y751" s="683"/>
      <c r="Z751" s="683"/>
    </row>
    <row r="752" spans="1:26" ht="15.75" customHeight="1" x14ac:dyDescent="0.25">
      <c r="A752" s="683" t="s">
        <v>2348</v>
      </c>
      <c r="B752" s="3" t="s">
        <v>2280</v>
      </c>
      <c r="C752" s="683"/>
      <c r="D752" s="3"/>
      <c r="E752" s="683"/>
      <c r="F752" s="683" t="s">
        <v>1373</v>
      </c>
      <c r="G752" s="683" t="s">
        <v>1755</v>
      </c>
      <c r="H752" s="711">
        <v>6</v>
      </c>
      <c r="I752" s="683"/>
      <c r="J752" s="683"/>
      <c r="K752" s="683"/>
      <c r="L752" s="683"/>
      <c r="M752" s="683"/>
      <c r="N752" s="685"/>
      <c r="O752" s="683"/>
      <c r="P752" s="683"/>
      <c r="Q752" s="683"/>
      <c r="R752" s="683"/>
      <c r="S752" s="683"/>
      <c r="T752" s="683"/>
      <c r="U752" s="683"/>
      <c r="V752" s="683"/>
      <c r="W752" s="683"/>
      <c r="X752" s="683"/>
      <c r="Y752" s="683"/>
      <c r="Z752" s="683"/>
    </row>
    <row r="753" spans="1:26" ht="15.75" customHeight="1" x14ac:dyDescent="0.25">
      <c r="A753" s="683" t="s">
        <v>2349</v>
      </c>
      <c r="B753" s="3" t="s">
        <v>2280</v>
      </c>
      <c r="C753" s="683"/>
      <c r="D753" s="3"/>
      <c r="E753" s="683"/>
      <c r="F753" s="683" t="s">
        <v>1004</v>
      </c>
      <c r="G753" s="683" t="s">
        <v>624</v>
      </c>
      <c r="H753" s="711">
        <v>8</v>
      </c>
      <c r="I753" s="683"/>
      <c r="J753" s="683"/>
      <c r="K753" s="683"/>
      <c r="L753" s="683"/>
      <c r="M753" s="683"/>
      <c r="N753" s="685"/>
      <c r="O753" s="683"/>
      <c r="P753" s="683"/>
      <c r="Q753" s="683"/>
      <c r="R753" s="683"/>
      <c r="S753" s="683"/>
      <c r="T753" s="683"/>
      <c r="U753" s="683"/>
      <c r="V753" s="683"/>
      <c r="W753" s="683"/>
      <c r="X753" s="683"/>
      <c r="Y753" s="683"/>
      <c r="Z753" s="683"/>
    </row>
    <row r="754" spans="1:26" ht="15.75" customHeight="1" x14ac:dyDescent="0.25">
      <c r="A754" s="683" t="s">
        <v>2350</v>
      </c>
      <c r="B754" s="3" t="s">
        <v>2280</v>
      </c>
      <c r="C754" s="683"/>
      <c r="D754" s="3"/>
      <c r="E754" s="683"/>
      <c r="F754" s="683"/>
      <c r="G754" s="3" t="s">
        <v>2351</v>
      </c>
      <c r="H754" s="711">
        <v>8</v>
      </c>
      <c r="I754" s="683"/>
      <c r="J754" s="683"/>
      <c r="K754" s="683"/>
      <c r="L754" s="683"/>
      <c r="M754" s="683"/>
      <c r="N754" s="685"/>
      <c r="O754" s="683"/>
      <c r="P754" s="683"/>
      <c r="Q754" s="683"/>
      <c r="R754" s="683"/>
      <c r="S754" s="683"/>
      <c r="T754" s="683"/>
      <c r="U754" s="683"/>
      <c r="V754" s="683"/>
      <c r="W754" s="683"/>
      <c r="X754" s="683"/>
      <c r="Y754" s="683"/>
      <c r="Z754" s="683"/>
    </row>
    <row r="755" spans="1:26" ht="15.75" customHeight="1" x14ac:dyDescent="0.25">
      <c r="A755" s="683" t="s">
        <v>2352</v>
      </c>
      <c r="B755" s="3" t="s">
        <v>2280</v>
      </c>
      <c r="C755" s="683"/>
      <c r="D755" s="3"/>
      <c r="E755" s="683"/>
      <c r="F755" s="683" t="s">
        <v>1757</v>
      </c>
      <c r="G755" s="3"/>
      <c r="H755" s="711"/>
      <c r="I755" s="683"/>
      <c r="J755" s="683"/>
      <c r="K755" s="683"/>
      <c r="L755" s="683"/>
      <c r="M755" s="683"/>
      <c r="N755" s="685"/>
      <c r="O755" s="683"/>
      <c r="P755" s="683"/>
      <c r="Q755" s="683"/>
      <c r="R755" s="683"/>
      <c r="S755" s="683"/>
      <c r="T755" s="683"/>
      <c r="U755" s="683"/>
      <c r="V755" s="683"/>
      <c r="W755" s="683"/>
      <c r="X755" s="683"/>
      <c r="Y755" s="683"/>
      <c r="Z755" s="683"/>
    </row>
    <row r="756" spans="1:26" ht="15.75" customHeight="1" x14ac:dyDescent="0.25">
      <c r="A756" s="683" t="s">
        <v>2353</v>
      </c>
      <c r="B756" s="3" t="s">
        <v>2280</v>
      </c>
      <c r="C756" s="683"/>
      <c r="D756" s="3"/>
      <c r="E756" s="683"/>
      <c r="F756" s="3" t="s">
        <v>710</v>
      </c>
      <c r="G756" s="3" t="s">
        <v>1757</v>
      </c>
      <c r="H756" s="711">
        <v>9</v>
      </c>
      <c r="I756" s="683"/>
      <c r="J756" s="683"/>
      <c r="K756" s="683"/>
      <c r="L756" s="683"/>
      <c r="M756" s="683"/>
      <c r="N756" s="685"/>
      <c r="O756" s="683"/>
      <c r="P756" s="683"/>
      <c r="Q756" s="683"/>
      <c r="R756" s="683"/>
      <c r="S756" s="683"/>
      <c r="T756" s="683"/>
      <c r="U756" s="683"/>
      <c r="V756" s="683"/>
      <c r="W756" s="683"/>
      <c r="X756" s="683"/>
      <c r="Y756" s="683"/>
      <c r="Z756" s="683"/>
    </row>
    <row r="757" spans="1:26" ht="15.75" customHeight="1" x14ac:dyDescent="0.25">
      <c r="A757" s="683" t="s">
        <v>2354</v>
      </c>
      <c r="B757" s="3" t="s">
        <v>2280</v>
      </c>
      <c r="C757" s="683"/>
      <c r="D757" s="3"/>
      <c r="E757" s="683"/>
      <c r="F757" s="683" t="s">
        <v>192</v>
      </c>
      <c r="G757" s="683" t="s">
        <v>1757</v>
      </c>
      <c r="H757" s="711">
        <v>9</v>
      </c>
      <c r="I757" s="683"/>
      <c r="J757" s="683"/>
      <c r="K757" s="683"/>
      <c r="L757" s="683"/>
      <c r="M757" s="683"/>
      <c r="N757" s="685"/>
      <c r="O757" s="683"/>
      <c r="P757" s="683"/>
      <c r="Q757" s="683"/>
      <c r="R757" s="683"/>
      <c r="S757" s="683"/>
      <c r="T757" s="683"/>
      <c r="U757" s="683"/>
      <c r="V757" s="683"/>
      <c r="W757" s="683"/>
      <c r="X757" s="683"/>
      <c r="Y757" s="683"/>
      <c r="Z757" s="683"/>
    </row>
    <row r="758" spans="1:26" ht="15.75" customHeight="1" x14ac:dyDescent="0.25">
      <c r="A758" s="683" t="s">
        <v>2355</v>
      </c>
      <c r="B758" s="3" t="s">
        <v>2280</v>
      </c>
      <c r="C758" s="683"/>
      <c r="D758" s="3"/>
      <c r="E758" s="683"/>
      <c r="F758" s="683"/>
      <c r="G758" s="683"/>
      <c r="H758" s="711"/>
      <c r="I758" s="683"/>
      <c r="J758" s="683"/>
      <c r="K758" s="683"/>
      <c r="L758" s="683"/>
      <c r="M758" s="683"/>
      <c r="N758" s="685"/>
      <c r="O758" s="683"/>
      <c r="P758" s="683"/>
      <c r="Q758" s="683"/>
      <c r="R758" s="683"/>
      <c r="S758" s="683"/>
      <c r="T758" s="683"/>
      <c r="U758" s="683"/>
      <c r="V758" s="683"/>
      <c r="W758" s="683"/>
      <c r="X758" s="683"/>
      <c r="Y758" s="683"/>
      <c r="Z758" s="683"/>
    </row>
    <row r="759" spans="1:26" ht="15.75" customHeight="1" x14ac:dyDescent="0.25">
      <c r="A759" s="683" t="s">
        <v>2356</v>
      </c>
      <c r="B759" s="3" t="s">
        <v>1086</v>
      </c>
      <c r="C759" s="683"/>
      <c r="D759" s="3"/>
      <c r="E759" s="683"/>
      <c r="F759" s="683"/>
      <c r="G759" s="683"/>
      <c r="H759" s="711"/>
      <c r="I759" s="683"/>
      <c r="J759" s="683"/>
      <c r="K759" s="683"/>
      <c r="L759" s="683"/>
      <c r="M759" s="683"/>
      <c r="N759" s="685"/>
      <c r="O759" s="683"/>
      <c r="P759" s="683"/>
      <c r="Q759" s="683"/>
      <c r="R759" s="683"/>
      <c r="S759" s="683"/>
      <c r="T759" s="683"/>
      <c r="U759" s="683"/>
      <c r="V759" s="683"/>
      <c r="W759" s="683"/>
      <c r="X759" s="683"/>
      <c r="Y759" s="683"/>
      <c r="Z759" s="683"/>
    </row>
    <row r="760" spans="1:26" ht="15.75" customHeight="1" x14ac:dyDescent="0.25">
      <c r="A760" s="3" t="s">
        <v>2357</v>
      </c>
      <c r="B760" s="38" t="s">
        <v>2358</v>
      </c>
      <c r="C760" s="683"/>
      <c r="D760" s="3"/>
      <c r="E760" s="683"/>
      <c r="F760" s="683"/>
      <c r="G760" s="683"/>
      <c r="H760" s="711"/>
      <c r="I760" s="683"/>
      <c r="J760" s="683"/>
      <c r="K760" s="683"/>
      <c r="L760" s="683"/>
      <c r="M760" s="683"/>
      <c r="N760" s="685"/>
      <c r="O760" s="683"/>
      <c r="P760" s="683"/>
      <c r="Q760" s="683"/>
      <c r="R760" s="683"/>
      <c r="S760" s="683"/>
      <c r="T760" s="683"/>
      <c r="U760" s="683"/>
      <c r="V760" s="683"/>
      <c r="W760" s="683"/>
      <c r="X760" s="683"/>
      <c r="Y760" s="683"/>
      <c r="Z760" s="683"/>
    </row>
    <row r="761" spans="1:26" ht="15.75" customHeight="1" x14ac:dyDescent="0.25">
      <c r="A761" s="3" t="s">
        <v>320</v>
      </c>
      <c r="B761" s="3" t="s">
        <v>2359</v>
      </c>
      <c r="C761" s="683"/>
      <c r="D761" s="3"/>
      <c r="E761" s="683"/>
      <c r="F761" s="683"/>
      <c r="G761" s="683"/>
      <c r="H761" s="711"/>
      <c r="I761" s="683"/>
      <c r="J761" s="683"/>
      <c r="K761" s="683"/>
      <c r="L761" s="683"/>
      <c r="M761" s="683"/>
      <c r="N761" s="685"/>
      <c r="O761" s="683"/>
      <c r="P761" s="683"/>
      <c r="Q761" s="683"/>
      <c r="R761" s="683"/>
      <c r="S761" s="683"/>
      <c r="T761" s="683"/>
      <c r="U761" s="683"/>
      <c r="V761" s="683"/>
      <c r="W761" s="683"/>
      <c r="X761" s="683"/>
      <c r="Y761" s="683"/>
      <c r="Z761" s="683"/>
    </row>
    <row r="762" spans="1:26" ht="15.75" customHeight="1" x14ac:dyDescent="0.25">
      <c r="A762" s="683" t="s">
        <v>2360</v>
      </c>
      <c r="B762" s="3" t="s">
        <v>2361</v>
      </c>
      <c r="C762" s="683"/>
      <c r="D762" s="3"/>
      <c r="E762" s="683"/>
      <c r="F762" s="683"/>
      <c r="G762" s="683"/>
      <c r="H762" s="711"/>
      <c r="I762" s="683"/>
      <c r="J762" s="683"/>
      <c r="K762" s="683"/>
      <c r="L762" s="683"/>
      <c r="M762" s="683"/>
      <c r="N762" s="685"/>
      <c r="O762" s="683"/>
      <c r="P762" s="683"/>
      <c r="Q762" s="683"/>
      <c r="R762" s="683"/>
      <c r="S762" s="683"/>
      <c r="T762" s="683"/>
      <c r="U762" s="683"/>
      <c r="V762" s="683"/>
      <c r="W762" s="683"/>
      <c r="X762" s="683"/>
      <c r="Y762" s="683"/>
      <c r="Z762" s="683"/>
    </row>
    <row r="763" spans="1:26" ht="15.75" customHeight="1" x14ac:dyDescent="0.25">
      <c r="A763" s="683" t="s">
        <v>2362</v>
      </c>
      <c r="B763" s="3" t="s">
        <v>2361</v>
      </c>
      <c r="C763" s="683"/>
      <c r="D763" s="3"/>
      <c r="E763" s="683"/>
      <c r="F763" s="683"/>
      <c r="G763" s="683"/>
      <c r="H763" s="711"/>
      <c r="I763" s="683"/>
      <c r="J763" s="683"/>
      <c r="K763" s="683"/>
      <c r="L763" s="683"/>
      <c r="M763" s="683"/>
      <c r="N763" s="685"/>
      <c r="O763" s="683"/>
      <c r="P763" s="683"/>
      <c r="Q763" s="683"/>
      <c r="R763" s="683"/>
      <c r="S763" s="683"/>
      <c r="T763" s="683"/>
      <c r="U763" s="683"/>
      <c r="V763" s="683"/>
      <c r="W763" s="683"/>
      <c r="X763" s="683"/>
      <c r="Y763" s="683"/>
      <c r="Z763" s="683"/>
    </row>
    <row r="764" spans="1:26" ht="15.75" customHeight="1" x14ac:dyDescent="0.25">
      <c r="A764" s="683" t="s">
        <v>1905</v>
      </c>
      <c r="B764" s="3" t="s">
        <v>2361</v>
      </c>
      <c r="C764" s="683"/>
      <c r="D764" s="3"/>
      <c r="E764" s="683"/>
      <c r="F764" s="683"/>
      <c r="G764" s="683"/>
      <c r="H764" s="711"/>
      <c r="I764" s="683"/>
      <c r="J764" s="683"/>
      <c r="K764" s="683"/>
      <c r="L764" s="683"/>
      <c r="M764" s="683"/>
      <c r="N764" s="685"/>
      <c r="O764" s="683"/>
      <c r="P764" s="683"/>
      <c r="Q764" s="683"/>
      <c r="R764" s="683"/>
      <c r="S764" s="683"/>
      <c r="T764" s="683"/>
      <c r="U764" s="683"/>
      <c r="V764" s="683"/>
      <c r="W764" s="683"/>
      <c r="X764" s="683"/>
      <c r="Y764" s="683"/>
      <c r="Z764" s="683"/>
    </row>
    <row r="765" spans="1:26" ht="15.75" customHeight="1" x14ac:dyDescent="0.25">
      <c r="A765" s="3" t="s">
        <v>2363</v>
      </c>
      <c r="B765" s="3" t="s">
        <v>2361</v>
      </c>
      <c r="C765" s="683"/>
      <c r="D765" s="3"/>
      <c r="E765" s="683"/>
      <c r="F765" s="683"/>
      <c r="G765" s="683"/>
      <c r="H765" s="711"/>
      <c r="I765" s="683"/>
      <c r="J765" s="683"/>
      <c r="K765" s="683"/>
      <c r="L765" s="683"/>
      <c r="M765" s="683"/>
      <c r="N765" s="685"/>
      <c r="O765" s="683"/>
      <c r="P765" s="683"/>
      <c r="Q765" s="683"/>
      <c r="R765" s="683"/>
      <c r="S765" s="683"/>
      <c r="T765" s="683"/>
      <c r="U765" s="683"/>
      <c r="V765" s="683"/>
      <c r="W765" s="683"/>
      <c r="X765" s="683"/>
      <c r="Y765" s="683"/>
      <c r="Z765" s="683"/>
    </row>
    <row r="766" spans="1:26" ht="15.75" customHeight="1" x14ac:dyDescent="0.25">
      <c r="A766" s="3" t="s">
        <v>2364</v>
      </c>
      <c r="B766" s="3" t="s">
        <v>2361</v>
      </c>
      <c r="C766" s="683"/>
      <c r="D766" s="3"/>
      <c r="E766" s="683"/>
      <c r="F766" s="683"/>
      <c r="G766" s="683"/>
      <c r="H766" s="711"/>
      <c r="I766" s="683"/>
      <c r="J766" s="683"/>
      <c r="K766" s="683"/>
      <c r="L766" s="683"/>
      <c r="M766" s="683"/>
      <c r="N766" s="685"/>
      <c r="O766" s="683"/>
      <c r="P766" s="683"/>
      <c r="Q766" s="683"/>
      <c r="R766" s="683"/>
      <c r="S766" s="683"/>
      <c r="T766" s="683"/>
      <c r="U766" s="683"/>
      <c r="V766" s="683"/>
      <c r="W766" s="683"/>
      <c r="X766" s="683"/>
      <c r="Y766" s="683"/>
      <c r="Z766" s="683"/>
    </row>
    <row r="767" spans="1:26" ht="15.75" customHeight="1" x14ac:dyDescent="0.25">
      <c r="A767" s="3" t="s">
        <v>2365</v>
      </c>
      <c r="B767" s="3" t="s">
        <v>2361</v>
      </c>
      <c r="C767" s="683"/>
      <c r="D767" s="3"/>
      <c r="E767" s="683"/>
      <c r="F767" s="683"/>
      <c r="G767" s="683"/>
      <c r="H767" s="711"/>
      <c r="I767" s="683"/>
      <c r="J767" s="683"/>
      <c r="K767" s="683"/>
      <c r="L767" s="683"/>
      <c r="M767" s="683"/>
      <c r="N767" s="685"/>
      <c r="O767" s="683"/>
      <c r="P767" s="683"/>
      <c r="Q767" s="683"/>
      <c r="R767" s="683"/>
      <c r="S767" s="683"/>
      <c r="T767" s="683"/>
      <c r="U767" s="683"/>
      <c r="V767" s="683"/>
      <c r="W767" s="683"/>
      <c r="X767" s="683"/>
      <c r="Y767" s="683"/>
      <c r="Z767" s="683"/>
    </row>
    <row r="768" spans="1:26" ht="15.75" customHeight="1" x14ac:dyDescent="0.25">
      <c r="A768" s="3" t="s">
        <v>2366</v>
      </c>
      <c r="B768" s="3" t="s">
        <v>2361</v>
      </c>
      <c r="C768" s="683"/>
      <c r="D768" s="3"/>
      <c r="E768" s="683"/>
      <c r="F768" s="683"/>
      <c r="G768" s="683"/>
      <c r="H768" s="711"/>
      <c r="I768" s="683"/>
      <c r="J768" s="683"/>
      <c r="K768" s="683"/>
      <c r="L768" s="683"/>
      <c r="M768" s="683"/>
      <c r="N768" s="685"/>
      <c r="O768" s="683"/>
      <c r="P768" s="683"/>
      <c r="Q768" s="683"/>
      <c r="R768" s="683"/>
      <c r="S768" s="683"/>
      <c r="T768" s="683"/>
      <c r="U768" s="683"/>
      <c r="V768" s="683"/>
      <c r="W768" s="683"/>
      <c r="X768" s="683"/>
      <c r="Y768" s="683"/>
      <c r="Z768" s="683"/>
    </row>
    <row r="769" spans="1:26" ht="15.75" customHeight="1" x14ac:dyDescent="0.25">
      <c r="A769" s="3" t="s">
        <v>2367</v>
      </c>
      <c r="B769" s="3" t="s">
        <v>2361</v>
      </c>
      <c r="C769" s="683"/>
      <c r="D769" s="3"/>
      <c r="E769" s="683"/>
      <c r="F769" s="683"/>
      <c r="G769" s="683"/>
      <c r="H769" s="711"/>
      <c r="I769" s="683"/>
      <c r="J769" s="683"/>
      <c r="K769" s="683"/>
      <c r="L769" s="683"/>
      <c r="M769" s="683"/>
      <c r="N769" s="685"/>
      <c r="O769" s="683"/>
      <c r="P769" s="683"/>
      <c r="Q769" s="683"/>
      <c r="R769" s="683"/>
      <c r="S769" s="683"/>
      <c r="T769" s="683"/>
      <c r="U769" s="683"/>
      <c r="V769" s="683"/>
      <c r="W769" s="683"/>
      <c r="X769" s="683"/>
      <c r="Y769" s="683"/>
      <c r="Z769" s="683"/>
    </row>
    <row r="770" spans="1:26" ht="15.75" customHeight="1" x14ac:dyDescent="0.25">
      <c r="A770" s="3" t="s">
        <v>120</v>
      </c>
      <c r="B770" s="3" t="s">
        <v>2361</v>
      </c>
      <c r="C770" s="3"/>
      <c r="D770" s="3"/>
      <c r="E770" s="683"/>
      <c r="F770" s="683"/>
      <c r="G770" s="683"/>
      <c r="H770" s="711"/>
      <c r="I770" s="683"/>
      <c r="J770" s="683"/>
      <c r="K770" s="683"/>
      <c r="L770" s="683"/>
      <c r="M770" s="683"/>
      <c r="N770" s="685"/>
      <c r="O770" s="683"/>
      <c r="P770" s="683"/>
      <c r="Q770" s="683"/>
      <c r="R770" s="683"/>
      <c r="S770" s="683"/>
      <c r="T770" s="683"/>
      <c r="U770" s="683"/>
      <c r="V770" s="683"/>
      <c r="W770" s="683"/>
      <c r="X770" s="683"/>
      <c r="Y770" s="683"/>
      <c r="Z770" s="683"/>
    </row>
    <row r="771" spans="1:26" ht="15.75" customHeight="1" x14ac:dyDescent="0.25">
      <c r="A771" s="3" t="s">
        <v>2368</v>
      </c>
      <c r="B771" s="3" t="s">
        <v>2361</v>
      </c>
      <c r="C771" s="3"/>
      <c r="D771" s="3"/>
      <c r="E771" s="683"/>
      <c r="F771" s="683" t="s">
        <v>754</v>
      </c>
      <c r="G771" s="683" t="s">
        <v>1759</v>
      </c>
      <c r="H771" s="711">
        <v>8</v>
      </c>
      <c r="I771" s="683"/>
      <c r="J771" s="683"/>
      <c r="K771" s="683"/>
      <c r="L771" s="683"/>
      <c r="M771" s="683"/>
      <c r="N771" s="685"/>
      <c r="O771" s="683"/>
      <c r="P771" s="683"/>
      <c r="Q771" s="683"/>
      <c r="R771" s="683"/>
      <c r="S771" s="683"/>
      <c r="T771" s="683"/>
      <c r="U771" s="683"/>
      <c r="V771" s="683"/>
      <c r="W771" s="683"/>
      <c r="X771" s="683"/>
      <c r="Y771" s="683"/>
      <c r="Z771" s="683"/>
    </row>
    <row r="772" spans="1:26" ht="15.75" customHeight="1" x14ac:dyDescent="0.25">
      <c r="A772" s="3" t="s">
        <v>2369</v>
      </c>
      <c r="B772" s="3" t="s">
        <v>2361</v>
      </c>
      <c r="C772" s="3"/>
      <c r="D772" s="3"/>
      <c r="E772" s="683"/>
      <c r="F772" s="683" t="s">
        <v>770</v>
      </c>
      <c r="G772" s="683" t="s">
        <v>259</v>
      </c>
      <c r="H772" s="711">
        <v>10</v>
      </c>
      <c r="I772" s="683"/>
      <c r="J772" s="683"/>
      <c r="K772" s="683"/>
      <c r="L772" s="683"/>
      <c r="M772" s="683"/>
      <c r="N772" s="685"/>
      <c r="O772" s="683"/>
      <c r="P772" s="683"/>
      <c r="Q772" s="683"/>
      <c r="R772" s="683"/>
      <c r="S772" s="683"/>
      <c r="T772" s="683"/>
      <c r="U772" s="683"/>
      <c r="V772" s="683"/>
      <c r="W772" s="683"/>
      <c r="X772" s="683"/>
      <c r="Y772" s="683"/>
      <c r="Z772" s="683"/>
    </row>
    <row r="773" spans="1:26" ht="15.75" customHeight="1" x14ac:dyDescent="0.25">
      <c r="A773" s="3" t="s">
        <v>2370</v>
      </c>
      <c r="B773" s="3" t="s">
        <v>2361</v>
      </c>
      <c r="C773" s="3"/>
      <c r="D773" s="3"/>
      <c r="E773" s="683"/>
      <c r="F773" s="683" t="s">
        <v>704</v>
      </c>
      <c r="G773" s="683" t="s">
        <v>194</v>
      </c>
      <c r="H773" s="711">
        <v>10</v>
      </c>
      <c r="I773" s="683"/>
      <c r="J773" s="683"/>
      <c r="K773" s="683"/>
      <c r="L773" s="683"/>
      <c r="M773" s="683"/>
      <c r="N773" s="685"/>
      <c r="O773" s="683"/>
      <c r="P773" s="683"/>
      <c r="Q773" s="683"/>
      <c r="R773" s="683"/>
      <c r="S773" s="683"/>
      <c r="T773" s="683"/>
      <c r="U773" s="683"/>
      <c r="V773" s="683"/>
      <c r="W773" s="683"/>
      <c r="X773" s="683"/>
      <c r="Y773" s="683"/>
      <c r="Z773" s="683"/>
    </row>
    <row r="774" spans="1:26" ht="15.75" customHeight="1" x14ac:dyDescent="0.25">
      <c r="A774" s="3" t="s">
        <v>2371</v>
      </c>
      <c r="B774" s="683" t="s">
        <v>1221</v>
      </c>
      <c r="C774" s="3"/>
      <c r="D774" s="3"/>
      <c r="E774" s="683"/>
      <c r="F774" s="683" t="s">
        <v>715</v>
      </c>
      <c r="G774" s="3"/>
      <c r="H774" s="711"/>
      <c r="I774" s="683"/>
      <c r="J774" s="683"/>
      <c r="K774" s="683"/>
      <c r="L774" s="683"/>
      <c r="M774" s="683"/>
      <c r="N774" s="685"/>
      <c r="O774" s="683"/>
      <c r="P774" s="683"/>
      <c r="Q774" s="683"/>
      <c r="R774" s="683"/>
      <c r="S774" s="683"/>
      <c r="T774" s="683"/>
      <c r="U774" s="683"/>
      <c r="V774" s="683"/>
      <c r="W774" s="683"/>
      <c r="X774" s="683"/>
      <c r="Y774" s="683"/>
      <c r="Z774" s="683"/>
    </row>
    <row r="775" spans="1:26" ht="15.75" customHeight="1" x14ac:dyDescent="0.25">
      <c r="A775" s="3" t="s">
        <v>2372</v>
      </c>
      <c r="B775" s="683" t="s">
        <v>1221</v>
      </c>
      <c r="C775" s="3"/>
      <c r="D775" s="3"/>
      <c r="E775" s="683"/>
      <c r="F775" s="683"/>
      <c r="G775" s="683"/>
      <c r="H775" s="711"/>
      <c r="I775" s="683"/>
      <c r="J775" s="683"/>
      <c r="K775" s="683"/>
      <c r="L775" s="683"/>
      <c r="M775" s="683"/>
      <c r="N775" s="685"/>
      <c r="O775" s="683"/>
      <c r="P775" s="683"/>
      <c r="Q775" s="683"/>
      <c r="R775" s="683"/>
      <c r="S775" s="683"/>
      <c r="T775" s="683"/>
      <c r="U775" s="683"/>
      <c r="V775" s="683"/>
      <c r="W775" s="683"/>
      <c r="X775" s="683"/>
      <c r="Y775" s="683"/>
      <c r="Z775" s="683"/>
    </row>
    <row r="776" spans="1:26" ht="15.75" customHeight="1" x14ac:dyDescent="0.25">
      <c r="A776" s="3" t="s">
        <v>2373</v>
      </c>
      <c r="B776" s="683" t="s">
        <v>1221</v>
      </c>
      <c r="C776" s="3"/>
      <c r="D776" s="3"/>
      <c r="E776" s="683"/>
      <c r="F776" s="683" t="s">
        <v>901</v>
      </c>
      <c r="G776" s="683" t="s">
        <v>1955</v>
      </c>
      <c r="H776" s="711">
        <v>11</v>
      </c>
      <c r="I776" s="683"/>
      <c r="J776" s="683"/>
      <c r="K776" s="683"/>
      <c r="L776" s="683"/>
      <c r="M776" s="683"/>
      <c r="N776" s="685"/>
      <c r="O776" s="683"/>
      <c r="P776" s="683"/>
      <c r="Q776" s="683"/>
      <c r="R776" s="683"/>
      <c r="S776" s="683"/>
      <c r="T776" s="683"/>
      <c r="U776" s="683"/>
      <c r="V776" s="683"/>
      <c r="W776" s="683"/>
      <c r="X776" s="683"/>
      <c r="Y776" s="683"/>
      <c r="Z776" s="683"/>
    </row>
    <row r="777" spans="1:26" ht="15.75" customHeight="1" x14ac:dyDescent="0.25">
      <c r="A777" s="3" t="s">
        <v>2374</v>
      </c>
      <c r="B777" s="683" t="s">
        <v>1221</v>
      </c>
      <c r="C777" s="683"/>
      <c r="D777" s="3"/>
      <c r="E777" s="683"/>
      <c r="F777" s="683"/>
      <c r="G777" s="683" t="s">
        <v>1769</v>
      </c>
      <c r="H777" s="711">
        <v>10</v>
      </c>
      <c r="I777" s="683"/>
      <c r="J777" s="683"/>
      <c r="K777" s="683"/>
      <c r="L777" s="683"/>
      <c r="M777" s="683"/>
      <c r="N777" s="685"/>
      <c r="O777" s="683"/>
      <c r="P777" s="683"/>
      <c r="Q777" s="683"/>
      <c r="R777" s="683"/>
      <c r="S777" s="683"/>
      <c r="T777" s="683"/>
      <c r="U777" s="683"/>
      <c r="V777" s="683"/>
      <c r="W777" s="683"/>
      <c r="X777" s="683"/>
      <c r="Y777" s="683"/>
      <c r="Z777" s="683"/>
    </row>
    <row r="778" spans="1:26" ht="15.75" customHeight="1" x14ac:dyDescent="0.25">
      <c r="A778" s="3" t="s">
        <v>2375</v>
      </c>
      <c r="B778" s="3" t="s">
        <v>2376</v>
      </c>
      <c r="C778" s="683"/>
      <c r="D778" s="3"/>
      <c r="E778" s="683"/>
      <c r="F778" s="683" t="s">
        <v>1761</v>
      </c>
      <c r="G778" s="683" t="s">
        <v>2015</v>
      </c>
      <c r="H778" s="711">
        <v>8</v>
      </c>
      <c r="I778" s="683"/>
      <c r="J778" s="683"/>
      <c r="K778" s="683"/>
      <c r="L778" s="683"/>
      <c r="M778" s="683"/>
      <c r="N778" s="685"/>
      <c r="O778" s="683"/>
      <c r="P778" s="683"/>
      <c r="Q778" s="683"/>
      <c r="R778" s="683"/>
      <c r="S778" s="683"/>
      <c r="T778" s="683"/>
      <c r="U778" s="683"/>
      <c r="V778" s="683"/>
      <c r="W778" s="683"/>
      <c r="X778" s="683"/>
      <c r="Y778" s="683"/>
      <c r="Z778" s="683"/>
    </row>
    <row r="779" spans="1:26" ht="15.75" customHeight="1" x14ac:dyDescent="0.25">
      <c r="A779" s="3" t="s">
        <v>2377</v>
      </c>
      <c r="B779" s="3" t="s">
        <v>1221</v>
      </c>
      <c r="C779" s="683"/>
      <c r="D779" s="3"/>
      <c r="E779" s="683"/>
      <c r="F779" s="683"/>
      <c r="G779" s="683"/>
      <c r="H779" s="711"/>
      <c r="I779" s="683"/>
      <c r="J779" s="683"/>
      <c r="K779" s="683"/>
      <c r="L779" s="683"/>
      <c r="M779" s="683"/>
      <c r="N779" s="685"/>
      <c r="O779" s="683"/>
      <c r="P779" s="683"/>
      <c r="Q779" s="683"/>
      <c r="R779" s="683"/>
      <c r="S779" s="683"/>
      <c r="T779" s="683"/>
      <c r="U779" s="683"/>
      <c r="V779" s="683"/>
      <c r="W779" s="683"/>
      <c r="X779" s="683"/>
      <c r="Y779" s="683"/>
      <c r="Z779" s="683"/>
    </row>
    <row r="780" spans="1:26" ht="15.75" customHeight="1" x14ac:dyDescent="0.25">
      <c r="A780" s="3"/>
      <c r="B780" s="3" t="s">
        <v>1221</v>
      </c>
      <c r="C780" s="683"/>
      <c r="D780" s="3"/>
      <c r="E780" s="683"/>
      <c r="F780" s="683" t="s">
        <v>1057</v>
      </c>
      <c r="G780" s="683" t="s">
        <v>94</v>
      </c>
      <c r="H780" s="711">
        <v>18</v>
      </c>
      <c r="I780" s="683" t="s">
        <v>2378</v>
      </c>
      <c r="J780" s="683"/>
      <c r="K780" s="683"/>
      <c r="L780" s="683"/>
      <c r="M780" s="683"/>
      <c r="N780" s="685"/>
      <c r="O780" s="683"/>
      <c r="P780" s="683"/>
      <c r="Q780" s="683"/>
      <c r="R780" s="683"/>
      <c r="S780" s="683"/>
      <c r="T780" s="683"/>
      <c r="U780" s="683"/>
      <c r="V780" s="683"/>
      <c r="W780" s="683"/>
      <c r="X780" s="683"/>
      <c r="Y780" s="683"/>
      <c r="Z780" s="683"/>
    </row>
    <row r="781" spans="1:26" ht="15.75" customHeight="1" x14ac:dyDescent="0.25">
      <c r="A781" s="3" t="s">
        <v>2379</v>
      </c>
      <c r="B781" s="3" t="s">
        <v>1221</v>
      </c>
      <c r="C781" s="683"/>
      <c r="D781" s="3"/>
      <c r="E781" s="683"/>
      <c r="F781" s="3" t="s">
        <v>990</v>
      </c>
      <c r="G781" s="3"/>
      <c r="H781" s="684">
        <v>13</v>
      </c>
      <c r="I781" s="683"/>
      <c r="J781" s="683"/>
      <c r="K781" s="683"/>
      <c r="L781" s="683"/>
      <c r="M781" s="683"/>
      <c r="N781" s="685"/>
      <c r="O781" s="683"/>
      <c r="P781" s="683"/>
      <c r="Q781" s="683"/>
      <c r="R781" s="683"/>
      <c r="S781" s="683"/>
      <c r="T781" s="683"/>
      <c r="U781" s="683"/>
      <c r="V781" s="683"/>
      <c r="W781" s="683"/>
      <c r="X781" s="683"/>
      <c r="Y781" s="683"/>
      <c r="Z781" s="683"/>
    </row>
    <row r="782" spans="1:26" ht="15.75" customHeight="1" x14ac:dyDescent="0.25">
      <c r="A782" s="3" t="s">
        <v>2380</v>
      </c>
      <c r="B782" s="3" t="s">
        <v>1221</v>
      </c>
      <c r="C782" s="683"/>
      <c r="D782" s="3"/>
      <c r="E782" s="683"/>
      <c r="F782" s="3"/>
      <c r="G782" s="3"/>
      <c r="H782" s="684"/>
      <c r="I782" s="683"/>
      <c r="J782" s="683"/>
      <c r="K782" s="683"/>
      <c r="L782" s="683"/>
      <c r="M782" s="683"/>
      <c r="N782" s="685"/>
      <c r="O782" s="683"/>
      <c r="P782" s="683"/>
      <c r="Q782" s="683"/>
      <c r="R782" s="683"/>
      <c r="S782" s="683"/>
      <c r="T782" s="683"/>
      <c r="U782" s="683"/>
      <c r="V782" s="683"/>
      <c r="W782" s="683"/>
      <c r="X782" s="683"/>
      <c r="Y782" s="683"/>
      <c r="Z782" s="683"/>
    </row>
    <row r="783" spans="1:26" ht="15.75" customHeight="1" x14ac:dyDescent="0.25">
      <c r="A783" s="683" t="s">
        <v>2381</v>
      </c>
      <c r="B783" s="3" t="s">
        <v>1221</v>
      </c>
      <c r="C783" s="683"/>
      <c r="D783" s="3"/>
      <c r="E783" s="683"/>
      <c r="F783" s="3"/>
      <c r="G783" s="3"/>
      <c r="H783" s="684"/>
      <c r="I783" s="683"/>
      <c r="J783" s="683"/>
      <c r="K783" s="683"/>
      <c r="L783" s="683"/>
      <c r="M783" s="683"/>
      <c r="N783" s="685"/>
      <c r="O783" s="683"/>
      <c r="P783" s="683"/>
      <c r="Q783" s="683"/>
      <c r="R783" s="683"/>
      <c r="S783" s="683"/>
      <c r="T783" s="683"/>
      <c r="U783" s="683"/>
      <c r="V783" s="683"/>
      <c r="W783" s="683"/>
      <c r="X783" s="683"/>
      <c r="Y783" s="683"/>
      <c r="Z783" s="683"/>
    </row>
    <row r="784" spans="1:26" ht="15.75" customHeight="1" x14ac:dyDescent="0.25">
      <c r="A784" s="683" t="s">
        <v>2382</v>
      </c>
      <c r="B784" s="3" t="s">
        <v>1221</v>
      </c>
      <c r="C784" s="683"/>
      <c r="D784" s="3"/>
      <c r="E784" s="683"/>
      <c r="F784" s="3"/>
      <c r="G784" s="3"/>
      <c r="H784" s="684"/>
      <c r="I784" s="683"/>
      <c r="J784" s="683"/>
      <c r="K784" s="683"/>
      <c r="L784" s="683"/>
      <c r="M784" s="683"/>
      <c r="N784" s="685"/>
      <c r="O784" s="683"/>
      <c r="P784" s="683"/>
      <c r="Q784" s="683"/>
      <c r="R784" s="683"/>
      <c r="S784" s="683"/>
      <c r="T784" s="683"/>
      <c r="U784" s="683"/>
      <c r="V784" s="683"/>
      <c r="W784" s="683"/>
      <c r="X784" s="683"/>
      <c r="Y784" s="683"/>
      <c r="Z784" s="683"/>
    </row>
    <row r="785" spans="1:26" ht="15.75" customHeight="1" x14ac:dyDescent="0.25">
      <c r="A785" s="683" t="s">
        <v>2383</v>
      </c>
      <c r="B785" s="3" t="s">
        <v>1221</v>
      </c>
      <c r="C785" s="683"/>
      <c r="D785" s="3"/>
      <c r="E785" s="683"/>
      <c r="F785" s="3"/>
      <c r="G785" s="3"/>
      <c r="H785" s="684"/>
      <c r="I785" s="683"/>
      <c r="J785" s="683"/>
      <c r="K785" s="683"/>
      <c r="L785" s="683"/>
      <c r="M785" s="683"/>
      <c r="N785" s="685"/>
      <c r="O785" s="683"/>
      <c r="P785" s="683"/>
      <c r="Q785" s="683"/>
      <c r="R785" s="683"/>
      <c r="S785" s="683"/>
      <c r="T785" s="683"/>
      <c r="U785" s="683"/>
      <c r="V785" s="683"/>
      <c r="W785" s="683"/>
      <c r="X785" s="683"/>
      <c r="Y785" s="683"/>
      <c r="Z785" s="683"/>
    </row>
    <row r="786" spans="1:26" ht="15.75" customHeight="1" x14ac:dyDescent="0.25">
      <c r="A786" s="683" t="s">
        <v>2384</v>
      </c>
      <c r="B786" s="3" t="s">
        <v>1221</v>
      </c>
      <c r="C786" s="683"/>
      <c r="D786" s="3"/>
      <c r="E786" s="683"/>
      <c r="F786" s="3"/>
      <c r="G786" s="3"/>
      <c r="H786" s="684"/>
      <c r="I786" s="683"/>
      <c r="J786" s="683"/>
      <c r="K786" s="683"/>
      <c r="L786" s="683"/>
      <c r="M786" s="683"/>
      <c r="N786" s="685"/>
      <c r="O786" s="683"/>
      <c r="P786" s="683"/>
      <c r="Q786" s="683"/>
      <c r="R786" s="683"/>
      <c r="S786" s="683"/>
      <c r="T786" s="683"/>
      <c r="U786" s="683"/>
      <c r="V786" s="683"/>
      <c r="W786" s="683"/>
      <c r="X786" s="683"/>
      <c r="Y786" s="683"/>
      <c r="Z786" s="683"/>
    </row>
    <row r="787" spans="1:26" ht="15.75" customHeight="1" x14ac:dyDescent="0.25">
      <c r="A787" s="683" t="s">
        <v>2385</v>
      </c>
      <c r="B787" s="3" t="s">
        <v>1221</v>
      </c>
      <c r="C787" s="683"/>
      <c r="D787" s="3"/>
      <c r="E787" s="683"/>
      <c r="F787" s="3"/>
      <c r="G787" s="3"/>
      <c r="H787" s="684"/>
      <c r="I787" s="683"/>
      <c r="J787" s="683"/>
      <c r="K787" s="683"/>
      <c r="L787" s="683"/>
      <c r="M787" s="683"/>
      <c r="N787" s="685"/>
      <c r="O787" s="683"/>
      <c r="P787" s="683"/>
      <c r="Q787" s="683"/>
      <c r="R787" s="683"/>
      <c r="S787" s="683"/>
      <c r="T787" s="683"/>
      <c r="U787" s="683"/>
      <c r="V787" s="683"/>
      <c r="W787" s="683"/>
      <c r="X787" s="683"/>
      <c r="Y787" s="683"/>
      <c r="Z787" s="683"/>
    </row>
    <row r="788" spans="1:26" ht="15.75" customHeight="1" x14ac:dyDescent="0.25">
      <c r="A788" s="3" t="s">
        <v>2386</v>
      </c>
      <c r="B788" s="3" t="s">
        <v>1221</v>
      </c>
      <c r="C788" s="683"/>
      <c r="D788" s="3"/>
      <c r="E788" s="683"/>
      <c r="F788" s="3"/>
      <c r="G788" s="3"/>
      <c r="H788" s="684"/>
      <c r="I788" s="683"/>
      <c r="J788" s="683"/>
      <c r="K788" s="683"/>
      <c r="L788" s="683"/>
      <c r="M788" s="683"/>
      <c r="N788" s="685"/>
      <c r="O788" s="683"/>
      <c r="P788" s="683"/>
      <c r="Q788" s="683"/>
      <c r="R788" s="683"/>
      <c r="S788" s="683"/>
      <c r="T788" s="683"/>
      <c r="U788" s="683"/>
      <c r="V788" s="683"/>
      <c r="W788" s="683"/>
      <c r="X788" s="683"/>
      <c r="Y788" s="683"/>
      <c r="Z788" s="683"/>
    </row>
    <row r="789" spans="1:26" ht="15.75" customHeight="1" x14ac:dyDescent="0.25">
      <c r="A789" s="3" t="s">
        <v>2387</v>
      </c>
      <c r="B789" s="3" t="s">
        <v>1221</v>
      </c>
      <c r="C789" s="683"/>
      <c r="D789" s="3"/>
      <c r="E789" s="683"/>
      <c r="F789" s="3"/>
      <c r="G789" s="3"/>
      <c r="H789" s="684"/>
      <c r="I789" s="683"/>
      <c r="J789" s="683"/>
      <c r="K789" s="683"/>
      <c r="L789" s="683"/>
      <c r="M789" s="683"/>
      <c r="N789" s="685"/>
      <c r="O789" s="683"/>
      <c r="P789" s="683"/>
      <c r="Q789" s="683"/>
      <c r="R789" s="683"/>
      <c r="S789" s="683"/>
      <c r="T789" s="683"/>
      <c r="U789" s="683"/>
      <c r="V789" s="683"/>
      <c r="W789" s="683"/>
      <c r="X789" s="683"/>
      <c r="Y789" s="683"/>
      <c r="Z789" s="683"/>
    </row>
    <row r="790" spans="1:26" ht="15.75" customHeight="1" x14ac:dyDescent="0.25">
      <c r="A790" s="3" t="s">
        <v>2388</v>
      </c>
      <c r="B790" s="3" t="s">
        <v>1221</v>
      </c>
      <c r="C790" s="683"/>
      <c r="D790" s="3"/>
      <c r="E790" s="683"/>
      <c r="F790" s="3"/>
      <c r="G790" s="3"/>
      <c r="H790" s="684"/>
      <c r="I790" s="683"/>
      <c r="J790" s="683"/>
      <c r="K790" s="683"/>
      <c r="L790" s="683"/>
      <c r="M790" s="683"/>
      <c r="N790" s="685"/>
      <c r="O790" s="683"/>
      <c r="P790" s="683"/>
      <c r="Q790" s="683"/>
      <c r="R790" s="683"/>
      <c r="S790" s="683"/>
      <c r="T790" s="683"/>
      <c r="U790" s="683"/>
      <c r="V790" s="683"/>
      <c r="W790" s="683"/>
      <c r="X790" s="683"/>
      <c r="Y790" s="683"/>
      <c r="Z790" s="683"/>
    </row>
    <row r="791" spans="1:26" ht="15.75" customHeight="1" x14ac:dyDescent="0.25">
      <c r="A791" s="3" t="s">
        <v>2389</v>
      </c>
      <c r="B791" s="3" t="s">
        <v>1221</v>
      </c>
      <c r="C791" s="683"/>
      <c r="D791" s="3"/>
      <c r="E791" s="683"/>
      <c r="F791" s="3"/>
      <c r="G791" s="3"/>
      <c r="H791" s="684"/>
      <c r="I791" s="683"/>
      <c r="J791" s="683"/>
      <c r="K791" s="683"/>
      <c r="L791" s="683"/>
      <c r="M791" s="683"/>
      <c r="N791" s="685"/>
      <c r="O791" s="683"/>
      <c r="P791" s="683"/>
      <c r="Q791" s="683"/>
      <c r="R791" s="683"/>
      <c r="S791" s="683"/>
      <c r="T791" s="683"/>
      <c r="U791" s="683"/>
      <c r="V791" s="683"/>
      <c r="W791" s="683"/>
      <c r="X791" s="683"/>
      <c r="Y791" s="683"/>
      <c r="Z791" s="683"/>
    </row>
    <row r="792" spans="1:26" ht="15.75" customHeight="1" x14ac:dyDescent="0.25">
      <c r="A792" s="3" t="s">
        <v>2390</v>
      </c>
      <c r="B792" s="3" t="s">
        <v>1221</v>
      </c>
      <c r="C792" s="683"/>
      <c r="D792" s="3"/>
      <c r="E792" s="683"/>
      <c r="F792" s="3"/>
      <c r="G792" s="3"/>
      <c r="H792" s="684"/>
      <c r="I792" s="683"/>
      <c r="J792" s="683"/>
      <c r="K792" s="683"/>
      <c r="L792" s="683"/>
      <c r="M792" s="683"/>
      <c r="N792" s="685"/>
      <c r="O792" s="683"/>
      <c r="P792" s="683"/>
      <c r="Q792" s="683"/>
      <c r="R792" s="683"/>
      <c r="S792" s="683"/>
      <c r="T792" s="683"/>
      <c r="U792" s="683"/>
      <c r="V792" s="683"/>
      <c r="W792" s="683"/>
      <c r="X792" s="683"/>
      <c r="Y792" s="683"/>
      <c r="Z792" s="683"/>
    </row>
    <row r="793" spans="1:26" ht="15.75" customHeight="1" x14ac:dyDescent="0.25">
      <c r="A793" s="3" t="s">
        <v>2391</v>
      </c>
      <c r="B793" s="3" t="s">
        <v>1221</v>
      </c>
      <c r="C793" s="683"/>
      <c r="D793" s="3"/>
      <c r="E793" s="683"/>
      <c r="F793" s="3"/>
      <c r="G793" s="3"/>
      <c r="H793" s="684"/>
      <c r="I793" s="683"/>
      <c r="J793" s="683"/>
      <c r="K793" s="683"/>
      <c r="L793" s="683"/>
      <c r="M793" s="683"/>
      <c r="N793" s="685"/>
      <c r="O793" s="683"/>
      <c r="P793" s="683"/>
      <c r="Q793" s="683"/>
      <c r="R793" s="683"/>
      <c r="S793" s="683"/>
      <c r="T793" s="683"/>
      <c r="U793" s="683"/>
      <c r="V793" s="683"/>
      <c r="W793" s="683"/>
      <c r="X793" s="683"/>
      <c r="Y793" s="683"/>
      <c r="Z793" s="683"/>
    </row>
    <row r="794" spans="1:26" ht="15.75" customHeight="1" x14ac:dyDescent="0.25">
      <c r="A794" s="3" t="s">
        <v>2392</v>
      </c>
      <c r="B794" s="683" t="s">
        <v>1221</v>
      </c>
      <c r="C794" s="683"/>
      <c r="D794" s="3"/>
      <c r="E794" s="683"/>
      <c r="F794" s="3"/>
      <c r="G794" s="3"/>
      <c r="H794" s="684"/>
      <c r="I794" s="683"/>
      <c r="J794" s="683"/>
      <c r="K794" s="683"/>
      <c r="L794" s="683"/>
      <c r="M794" s="683"/>
      <c r="N794" s="685"/>
      <c r="O794" s="683"/>
      <c r="P794" s="683"/>
      <c r="Q794" s="683"/>
      <c r="R794" s="683"/>
      <c r="S794" s="683"/>
      <c r="T794" s="683"/>
      <c r="U794" s="683"/>
      <c r="V794" s="683"/>
      <c r="W794" s="683"/>
      <c r="X794" s="683"/>
      <c r="Y794" s="683"/>
      <c r="Z794" s="683"/>
    </row>
    <row r="795" spans="1:26" ht="15.75" customHeight="1" x14ac:dyDescent="0.25">
      <c r="A795" s="3" t="s">
        <v>378</v>
      </c>
      <c r="B795" s="683" t="s">
        <v>1221</v>
      </c>
      <c r="C795" s="683"/>
      <c r="D795" s="3"/>
      <c r="E795" s="683"/>
      <c r="F795" s="3"/>
      <c r="G795" s="3"/>
      <c r="H795" s="684"/>
      <c r="I795" s="683"/>
      <c r="J795" s="683"/>
      <c r="K795" s="683"/>
      <c r="L795" s="683"/>
      <c r="M795" s="683"/>
      <c r="N795" s="685"/>
      <c r="O795" s="683"/>
      <c r="P795" s="683"/>
      <c r="Q795" s="683"/>
      <c r="R795" s="683"/>
      <c r="S795" s="683"/>
      <c r="T795" s="683"/>
      <c r="U795" s="683"/>
      <c r="V795" s="683"/>
      <c r="W795" s="683"/>
      <c r="X795" s="683"/>
      <c r="Y795" s="683"/>
      <c r="Z795" s="683"/>
    </row>
    <row r="796" spans="1:26" ht="15.75" customHeight="1" x14ac:dyDescent="0.25">
      <c r="A796" s="3" t="s">
        <v>2393</v>
      </c>
      <c r="B796" s="683" t="s">
        <v>1221</v>
      </c>
      <c r="C796" s="683"/>
      <c r="D796" s="3"/>
      <c r="E796" s="683"/>
      <c r="F796" s="3"/>
      <c r="G796" s="3"/>
      <c r="H796" s="684"/>
      <c r="I796" s="683"/>
      <c r="J796" s="683"/>
      <c r="K796" s="683"/>
      <c r="L796" s="683"/>
      <c r="N796" s="685"/>
      <c r="O796" s="683"/>
      <c r="P796" s="683"/>
      <c r="Q796" s="683"/>
      <c r="R796" s="683"/>
      <c r="S796" s="683"/>
      <c r="T796" s="683"/>
      <c r="U796" s="683"/>
      <c r="V796" s="683"/>
      <c r="W796" s="683"/>
      <c r="X796" s="683"/>
      <c r="Y796" s="683"/>
      <c r="Z796" s="683"/>
    </row>
    <row r="797" spans="1:26" ht="15.75" customHeight="1" x14ac:dyDescent="0.25">
      <c r="A797" s="3" t="s">
        <v>2394</v>
      </c>
      <c r="B797" s="683" t="s">
        <v>1221</v>
      </c>
      <c r="C797" s="683"/>
      <c r="D797" s="3"/>
      <c r="E797" s="683"/>
      <c r="F797" s="3"/>
      <c r="G797" s="3"/>
      <c r="H797" s="684"/>
      <c r="I797" s="683"/>
      <c r="J797" s="683"/>
      <c r="K797" s="683"/>
      <c r="L797" s="683"/>
      <c r="N797" s="685"/>
      <c r="O797" s="683"/>
      <c r="P797" s="683"/>
      <c r="Q797" s="683"/>
      <c r="R797" s="683"/>
      <c r="S797" s="683"/>
      <c r="T797" s="683"/>
      <c r="U797" s="683"/>
      <c r="V797" s="683"/>
      <c r="W797" s="683"/>
      <c r="X797" s="683"/>
      <c r="Y797" s="683"/>
      <c r="Z797" s="683"/>
    </row>
    <row r="798" spans="1:26" ht="15.75" customHeight="1" x14ac:dyDescent="0.25">
      <c r="A798" s="3" t="s">
        <v>2395</v>
      </c>
      <c r="B798" s="683" t="s">
        <v>1221</v>
      </c>
      <c r="C798" s="683"/>
      <c r="D798" s="3"/>
      <c r="E798" s="683"/>
      <c r="F798" s="3"/>
      <c r="G798" s="3"/>
      <c r="H798" s="684"/>
      <c r="I798" s="683"/>
      <c r="J798" s="683"/>
      <c r="K798" s="683"/>
      <c r="L798" s="683"/>
      <c r="N798" s="685"/>
      <c r="O798" s="683"/>
      <c r="P798" s="683"/>
      <c r="Q798" s="683"/>
      <c r="R798" s="683"/>
      <c r="S798" s="683"/>
      <c r="T798" s="683"/>
      <c r="U798" s="683"/>
      <c r="V798" s="683"/>
      <c r="W798" s="683"/>
      <c r="X798" s="683"/>
      <c r="Y798" s="683"/>
      <c r="Z798" s="683"/>
    </row>
    <row r="799" spans="1:26" ht="15.75" customHeight="1" x14ac:dyDescent="0.25">
      <c r="A799" s="3" t="s">
        <v>2396</v>
      </c>
      <c r="B799" s="683" t="s">
        <v>1221</v>
      </c>
      <c r="C799" s="683"/>
      <c r="D799" s="3"/>
      <c r="E799" s="683"/>
      <c r="F799" s="3"/>
      <c r="G799" s="3"/>
      <c r="H799" s="684"/>
      <c r="I799" s="683"/>
      <c r="J799" s="683"/>
      <c r="K799" s="683"/>
      <c r="L799" s="683"/>
      <c r="N799" s="685"/>
      <c r="O799" s="683"/>
      <c r="P799" s="683"/>
      <c r="Q799" s="683"/>
      <c r="R799" s="683"/>
      <c r="S799" s="683"/>
      <c r="T799" s="683"/>
      <c r="U799" s="683"/>
      <c r="V799" s="683"/>
      <c r="W799" s="683"/>
      <c r="X799" s="683"/>
      <c r="Y799" s="683"/>
      <c r="Z799" s="683"/>
    </row>
    <row r="800" spans="1:26" ht="15.75" customHeight="1" x14ac:dyDescent="0.25">
      <c r="A800" s="3" t="s">
        <v>2397</v>
      </c>
      <c r="B800" s="683" t="s">
        <v>1221</v>
      </c>
      <c r="C800" s="683"/>
      <c r="D800" s="3"/>
      <c r="E800" s="683"/>
      <c r="F800" s="3"/>
      <c r="G800" s="3"/>
      <c r="H800" s="684"/>
      <c r="I800" s="683"/>
      <c r="J800" s="683"/>
      <c r="K800" s="683"/>
      <c r="L800" s="683"/>
      <c r="N800" s="685"/>
      <c r="O800" s="683"/>
      <c r="P800" s="683"/>
      <c r="Q800" s="683"/>
      <c r="R800" s="683"/>
      <c r="S800" s="683"/>
      <c r="T800" s="683"/>
      <c r="U800" s="683"/>
      <c r="V800" s="683"/>
      <c r="W800" s="683"/>
      <c r="X800" s="683"/>
      <c r="Y800" s="683"/>
      <c r="Z800" s="683"/>
    </row>
    <row r="801" spans="1:26" ht="15.75" customHeight="1" x14ac:dyDescent="0.25">
      <c r="A801" s="3" t="s">
        <v>391</v>
      </c>
      <c r="B801" s="683" t="s">
        <v>391</v>
      </c>
      <c r="C801" s="683"/>
      <c r="D801" s="3"/>
      <c r="E801" s="683"/>
      <c r="F801" s="3"/>
      <c r="G801" s="3"/>
      <c r="H801" s="684"/>
      <c r="I801" s="683"/>
      <c r="J801" s="683"/>
      <c r="K801" s="683"/>
      <c r="L801" s="683"/>
      <c r="N801" s="685"/>
      <c r="O801" s="683"/>
      <c r="P801" s="683"/>
      <c r="Q801" s="683"/>
      <c r="R801" s="683"/>
      <c r="S801" s="683"/>
      <c r="T801" s="683"/>
      <c r="U801" s="683"/>
      <c r="V801" s="683"/>
      <c r="W801" s="683"/>
      <c r="X801" s="683"/>
      <c r="Y801" s="683"/>
      <c r="Z801" s="683"/>
    </row>
    <row r="802" spans="1:26" ht="15.75" customHeight="1" x14ac:dyDescent="0.25">
      <c r="A802" s="3" t="s">
        <v>2398</v>
      </c>
      <c r="B802" s="683" t="s">
        <v>1221</v>
      </c>
      <c r="C802" s="683"/>
      <c r="D802" s="3"/>
      <c r="E802" s="683"/>
      <c r="F802" s="3"/>
      <c r="G802" s="3"/>
      <c r="H802" s="684"/>
      <c r="I802" s="683"/>
      <c r="J802" s="683"/>
      <c r="K802" s="683"/>
      <c r="L802" s="683"/>
      <c r="N802" s="685"/>
      <c r="O802" s="683"/>
      <c r="P802" s="683"/>
      <c r="Q802" s="683"/>
      <c r="R802" s="683"/>
      <c r="S802" s="683"/>
      <c r="T802" s="683"/>
      <c r="U802" s="683"/>
      <c r="V802" s="683"/>
      <c r="W802" s="683"/>
      <c r="X802" s="683"/>
      <c r="Y802" s="683"/>
      <c r="Z802" s="683"/>
    </row>
    <row r="803" spans="1:26" ht="15.75" customHeight="1" x14ac:dyDescent="0.25">
      <c r="A803" s="3" t="s">
        <v>2399</v>
      </c>
      <c r="B803" s="683" t="s">
        <v>1221</v>
      </c>
      <c r="C803" s="683"/>
      <c r="D803" s="3"/>
      <c r="E803" s="683"/>
      <c r="F803" s="683"/>
      <c r="G803" s="683"/>
      <c r="H803" s="711"/>
      <c r="I803" s="683"/>
      <c r="J803" s="683"/>
      <c r="K803" s="683"/>
      <c r="L803" s="683"/>
      <c r="M803" s="683"/>
      <c r="N803" s="685"/>
      <c r="O803" s="683"/>
      <c r="P803" s="683"/>
      <c r="Q803" s="683"/>
      <c r="R803" s="683"/>
      <c r="S803" s="683"/>
      <c r="T803" s="683"/>
      <c r="U803" s="683"/>
      <c r="V803" s="683"/>
      <c r="W803" s="683"/>
      <c r="X803" s="683"/>
      <c r="Y803" s="683"/>
      <c r="Z803" s="683"/>
    </row>
    <row r="804" spans="1:26" ht="15.75" customHeight="1" x14ac:dyDescent="0.25">
      <c r="A804" s="3"/>
      <c r="B804" s="683" t="s">
        <v>1221</v>
      </c>
      <c r="C804" s="683"/>
      <c r="D804" s="3"/>
      <c r="E804" s="683"/>
      <c r="F804" s="683"/>
      <c r="G804" s="683"/>
      <c r="H804" s="711"/>
      <c r="I804" s="683"/>
      <c r="J804" s="683"/>
      <c r="K804" s="683"/>
      <c r="L804" s="683"/>
      <c r="M804" s="683"/>
      <c r="N804" s="685"/>
      <c r="O804" s="683"/>
      <c r="P804" s="683"/>
      <c r="Q804" s="683"/>
      <c r="R804" s="683"/>
      <c r="S804" s="683"/>
      <c r="T804" s="683"/>
      <c r="U804" s="683"/>
      <c r="V804" s="683"/>
      <c r="W804" s="683"/>
      <c r="X804" s="683"/>
      <c r="Y804" s="683"/>
      <c r="Z804" s="683"/>
    </row>
    <row r="805" spans="1:26" ht="15.75" customHeight="1" x14ac:dyDescent="0.25">
      <c r="A805" s="3" t="s">
        <v>2400</v>
      </c>
      <c r="B805" s="683" t="s">
        <v>1221</v>
      </c>
      <c r="C805" s="683"/>
      <c r="D805" s="3"/>
      <c r="E805" s="683"/>
      <c r="F805" s="683"/>
      <c r="G805" s="683"/>
      <c r="H805" s="711"/>
      <c r="I805" s="683"/>
      <c r="J805" s="683"/>
      <c r="K805" s="683"/>
      <c r="L805" s="683"/>
      <c r="M805" s="683"/>
      <c r="N805" s="685"/>
      <c r="O805" s="683"/>
      <c r="P805" s="683"/>
      <c r="Q805" s="683"/>
      <c r="R805" s="683"/>
      <c r="S805" s="683"/>
      <c r="T805" s="683"/>
      <c r="U805" s="683"/>
      <c r="V805" s="683"/>
      <c r="W805" s="683"/>
      <c r="X805" s="683"/>
      <c r="Y805" s="683"/>
      <c r="Z805" s="683"/>
    </row>
    <row r="806" spans="1:26" ht="15.75" customHeight="1" x14ac:dyDescent="0.25">
      <c r="A806" s="3" t="s">
        <v>2401</v>
      </c>
      <c r="B806" s="683" t="s">
        <v>1221</v>
      </c>
      <c r="C806" s="683"/>
      <c r="D806" s="3"/>
      <c r="E806" s="683"/>
      <c r="F806" s="683"/>
      <c r="G806" s="683"/>
      <c r="H806" s="711"/>
      <c r="I806" s="683"/>
      <c r="J806" s="683"/>
      <c r="K806" s="683"/>
      <c r="L806" s="683"/>
      <c r="M806" s="683"/>
      <c r="N806" s="685"/>
      <c r="O806" s="683"/>
      <c r="P806" s="683"/>
      <c r="Q806" s="683"/>
      <c r="R806" s="683"/>
      <c r="S806" s="683"/>
      <c r="T806" s="683"/>
      <c r="U806" s="683"/>
      <c r="V806" s="683"/>
      <c r="W806" s="683"/>
      <c r="X806" s="683"/>
      <c r="Y806" s="683"/>
      <c r="Z806" s="683"/>
    </row>
    <row r="807" spans="1:26" ht="15.75" customHeight="1" x14ac:dyDescent="0.25">
      <c r="A807" s="3" t="s">
        <v>2402</v>
      </c>
      <c r="B807" s="683" t="s">
        <v>1221</v>
      </c>
      <c r="C807" s="683"/>
      <c r="D807" s="3"/>
      <c r="E807" s="683"/>
      <c r="F807" s="697"/>
      <c r="G807" s="714" t="s">
        <v>2403</v>
      </c>
      <c r="H807" s="725"/>
      <c r="I807" s="726"/>
      <c r="J807" s="726"/>
      <c r="K807" s="727" t="s">
        <v>2404</v>
      </c>
      <c r="L807" s="728"/>
      <c r="M807" s="689" t="s">
        <v>2405</v>
      </c>
      <c r="N807" s="685"/>
      <c r="O807" s="683"/>
      <c r="P807" s="38"/>
      <c r="Q807" s="683"/>
      <c r="R807" s="683"/>
      <c r="S807" s="683"/>
      <c r="T807" s="683"/>
      <c r="U807" s="683"/>
      <c r="V807" s="683"/>
      <c r="W807" s="683"/>
      <c r="X807" s="683"/>
      <c r="Y807" s="683"/>
      <c r="Z807" s="683"/>
    </row>
    <row r="808" spans="1:26" ht="15.75" customHeight="1" x14ac:dyDescent="0.25">
      <c r="A808" s="3" t="s">
        <v>2406</v>
      </c>
      <c r="B808" s="683" t="s">
        <v>1221</v>
      </c>
      <c r="C808" s="683"/>
      <c r="D808" s="3"/>
      <c r="E808" s="683"/>
      <c r="F808" s="729" t="s">
        <v>2407</v>
      </c>
      <c r="G808" s="3"/>
      <c r="H808" s="711"/>
      <c r="I808" s="683"/>
      <c r="J808" s="683"/>
      <c r="L808" s="730"/>
      <c r="M808" s="731" t="s">
        <v>19</v>
      </c>
      <c r="N808" s="38">
        <v>1</v>
      </c>
      <c r="O808" s="683"/>
      <c r="P808" s="38"/>
      <c r="Q808" s="683"/>
      <c r="R808" s="683"/>
      <c r="S808" s="683"/>
      <c r="T808" s="683"/>
      <c r="U808" s="683"/>
      <c r="V808" s="683"/>
      <c r="W808" s="683"/>
      <c r="X808" s="683"/>
      <c r="Y808" s="683"/>
      <c r="Z808" s="683"/>
    </row>
    <row r="809" spans="1:26" ht="15.75" customHeight="1" x14ac:dyDescent="0.25">
      <c r="A809" s="3" t="s">
        <v>2408</v>
      </c>
      <c r="B809" s="683" t="s">
        <v>2409</v>
      </c>
      <c r="C809" s="683"/>
      <c r="D809" s="3"/>
      <c r="E809" s="683"/>
      <c r="F809" s="732" t="s">
        <v>750</v>
      </c>
      <c r="G809" s="3" t="s">
        <v>101</v>
      </c>
      <c r="H809" s="711">
        <v>37</v>
      </c>
      <c r="I809" s="683"/>
      <c r="J809" s="683"/>
      <c r="K809" s="3">
        <v>13</v>
      </c>
      <c r="L809" s="730"/>
      <c r="M809" s="731" t="s">
        <v>32</v>
      </c>
      <c r="N809" s="711">
        <v>1</v>
      </c>
      <c r="O809" s="683"/>
      <c r="P809" s="38"/>
      <c r="Q809" s="683"/>
      <c r="R809" s="683"/>
      <c r="S809" s="683"/>
      <c r="T809" s="683"/>
      <c r="U809" s="683"/>
      <c r="V809" s="683"/>
      <c r="W809" s="683"/>
      <c r="X809" s="683"/>
      <c r="Y809" s="683"/>
      <c r="Z809" s="683"/>
    </row>
    <row r="810" spans="1:26" ht="15.75" customHeight="1" x14ac:dyDescent="0.25">
      <c r="A810" s="3" t="s">
        <v>2410</v>
      </c>
      <c r="B810" s="683" t="s">
        <v>1221</v>
      </c>
      <c r="C810" s="683"/>
      <c r="D810" s="3"/>
      <c r="E810" s="683"/>
      <c r="F810" s="733" t="s">
        <v>909</v>
      </c>
      <c r="G810" s="38" t="s">
        <v>101</v>
      </c>
      <c r="H810" s="692">
        <v>43</v>
      </c>
      <c r="I810" s="683"/>
      <c r="J810" s="683"/>
      <c r="K810" s="3">
        <v>19</v>
      </c>
      <c r="L810" s="730"/>
      <c r="M810" s="731" t="s">
        <v>88</v>
      </c>
      <c r="N810" s="711">
        <v>1</v>
      </c>
      <c r="O810" s="683"/>
      <c r="P810" s="38"/>
      <c r="Q810" s="683"/>
      <c r="R810" s="683"/>
      <c r="S810" s="683"/>
      <c r="T810" s="683"/>
      <c r="U810" s="683"/>
      <c r="V810" s="683"/>
      <c r="W810" s="683"/>
      <c r="X810" s="683"/>
      <c r="Y810" s="683"/>
      <c r="Z810" s="683"/>
    </row>
    <row r="811" spans="1:26" ht="15.75" customHeight="1" x14ac:dyDescent="0.25">
      <c r="A811" s="3" t="s">
        <v>2411</v>
      </c>
      <c r="B811" s="683" t="s">
        <v>1221</v>
      </c>
      <c r="C811" s="683"/>
      <c r="D811" s="3"/>
      <c r="E811" s="683"/>
      <c r="F811" s="733" t="s">
        <v>759</v>
      </c>
      <c r="H811" s="38">
        <v>27</v>
      </c>
      <c r="L811" s="730"/>
      <c r="M811" s="731" t="s">
        <v>224</v>
      </c>
      <c r="N811" s="711">
        <v>1</v>
      </c>
      <c r="O811" s="683"/>
      <c r="P811" s="38"/>
      <c r="Q811" s="683"/>
      <c r="R811" s="683"/>
      <c r="S811" s="683"/>
      <c r="T811" s="683"/>
      <c r="U811" s="683"/>
      <c r="V811" s="683"/>
      <c r="W811" s="683"/>
      <c r="X811" s="683"/>
      <c r="Y811" s="683"/>
      <c r="Z811" s="683"/>
    </row>
    <row r="812" spans="1:26" ht="15.75" customHeight="1" x14ac:dyDescent="0.25">
      <c r="A812" s="3" t="s">
        <v>2412</v>
      </c>
      <c r="B812" s="683" t="s">
        <v>1221</v>
      </c>
      <c r="C812" s="683"/>
      <c r="D812" s="3"/>
      <c r="E812" s="683"/>
      <c r="F812" s="733" t="s">
        <v>822</v>
      </c>
      <c r="H812" s="38">
        <v>53</v>
      </c>
      <c r="L812" s="730"/>
      <c r="M812" s="734" t="s">
        <v>270</v>
      </c>
      <c r="N812" s="711">
        <v>1</v>
      </c>
      <c r="O812" s="683"/>
      <c r="P812" s="38"/>
      <c r="Q812" s="683"/>
      <c r="R812" s="683"/>
      <c r="S812" s="683"/>
      <c r="T812" s="683"/>
      <c r="U812" s="683"/>
      <c r="V812" s="683"/>
      <c r="W812" s="683"/>
      <c r="X812" s="683"/>
      <c r="Y812" s="683"/>
      <c r="Z812" s="683"/>
    </row>
    <row r="813" spans="1:26" ht="15.75" customHeight="1" x14ac:dyDescent="0.25">
      <c r="A813" s="3" t="s">
        <v>2413</v>
      </c>
      <c r="B813" s="683" t="s">
        <v>1221</v>
      </c>
      <c r="C813" s="683"/>
      <c r="D813" s="3"/>
      <c r="E813" s="683"/>
      <c r="F813" s="733" t="s">
        <v>1751</v>
      </c>
      <c r="H813" s="38">
        <v>38</v>
      </c>
      <c r="K813" s="38">
        <v>12</v>
      </c>
      <c r="M813" s="735" t="s">
        <v>1665</v>
      </c>
      <c r="N813" s="711">
        <v>1</v>
      </c>
      <c r="O813" s="683"/>
      <c r="P813" s="38"/>
      <c r="Q813" s="683"/>
      <c r="R813" s="683"/>
      <c r="S813" s="683"/>
      <c r="T813" s="683"/>
      <c r="U813" s="683"/>
      <c r="V813" s="683"/>
      <c r="W813" s="683"/>
      <c r="X813" s="683"/>
      <c r="Y813" s="683"/>
      <c r="Z813" s="683"/>
    </row>
    <row r="814" spans="1:26" ht="15.75" customHeight="1" x14ac:dyDescent="0.25">
      <c r="A814" s="3" t="s">
        <v>2414</v>
      </c>
      <c r="B814" s="683" t="s">
        <v>1221</v>
      </c>
      <c r="C814" s="683"/>
      <c r="D814" s="3"/>
      <c r="E814" s="683"/>
      <c r="F814" s="733" t="s">
        <v>1196</v>
      </c>
      <c r="H814" s="38">
        <v>43</v>
      </c>
      <c r="K814" s="38">
        <v>17</v>
      </c>
      <c r="M814" s="731" t="s">
        <v>272</v>
      </c>
      <c r="N814" s="711">
        <v>1</v>
      </c>
      <c r="O814" s="683"/>
      <c r="P814" s="38"/>
      <c r="Q814" s="683"/>
      <c r="R814" s="683"/>
      <c r="S814" s="683"/>
      <c r="T814" s="683"/>
      <c r="U814" s="683"/>
      <c r="V814" s="683"/>
      <c r="W814" s="683"/>
      <c r="X814" s="683"/>
      <c r="Y814" s="683"/>
      <c r="Z814" s="683"/>
    </row>
    <row r="815" spans="1:26" ht="15.75" customHeight="1" x14ac:dyDescent="0.25">
      <c r="A815" s="3" t="s">
        <v>2415</v>
      </c>
      <c r="B815" s="683" t="s">
        <v>1221</v>
      </c>
      <c r="C815" s="683"/>
      <c r="D815" s="3"/>
      <c r="E815" s="683"/>
      <c r="F815" s="732" t="s">
        <v>1138</v>
      </c>
      <c r="G815" s="3" t="s">
        <v>94</v>
      </c>
      <c r="H815" s="684">
        <v>23</v>
      </c>
      <c r="I815" s="683"/>
      <c r="J815" s="683"/>
      <c r="K815" s="3"/>
      <c r="L815" s="730"/>
      <c r="M815" s="734" t="s">
        <v>334</v>
      </c>
      <c r="N815" s="711">
        <v>1</v>
      </c>
      <c r="O815" s="683"/>
      <c r="P815" s="38"/>
      <c r="Q815" s="683"/>
      <c r="R815" s="683"/>
      <c r="S815" s="683"/>
      <c r="T815" s="683"/>
      <c r="U815" s="683"/>
      <c r="V815" s="683"/>
      <c r="W815" s="683"/>
      <c r="X815" s="683"/>
      <c r="Y815" s="683"/>
      <c r="Z815" s="683"/>
    </row>
    <row r="816" spans="1:26" ht="15.75" customHeight="1" x14ac:dyDescent="0.25">
      <c r="A816" s="3" t="s">
        <v>2416</v>
      </c>
      <c r="B816" s="683" t="s">
        <v>1221</v>
      </c>
      <c r="C816" s="683"/>
      <c r="D816" s="3"/>
      <c r="E816" s="683"/>
      <c r="F816" s="733" t="s">
        <v>1057</v>
      </c>
      <c r="L816" s="730"/>
      <c r="M816" s="731" t="s">
        <v>344</v>
      </c>
      <c r="N816" s="711">
        <v>1</v>
      </c>
      <c r="O816" s="683"/>
      <c r="P816" s="38"/>
      <c r="Q816" s="683"/>
      <c r="R816" s="683"/>
      <c r="S816" s="683"/>
      <c r="T816" s="683"/>
      <c r="U816" s="683"/>
      <c r="V816" s="683"/>
      <c r="W816" s="683"/>
      <c r="X816" s="683"/>
      <c r="Y816" s="683"/>
      <c r="Z816" s="683"/>
    </row>
    <row r="817" spans="1:26" ht="15.75" customHeight="1" x14ac:dyDescent="0.25">
      <c r="A817" s="3" t="s">
        <v>2417</v>
      </c>
      <c r="B817" s="683" t="s">
        <v>817</v>
      </c>
      <c r="C817" s="3"/>
      <c r="D817" s="3"/>
      <c r="E817" s="683"/>
      <c r="F817" s="716" t="s">
        <v>1761</v>
      </c>
      <c r="G817" s="3" t="s">
        <v>2015</v>
      </c>
      <c r="H817" s="711">
        <v>41</v>
      </c>
      <c r="I817" s="683"/>
      <c r="J817" s="683"/>
      <c r="K817" s="3">
        <v>22</v>
      </c>
      <c r="L817" s="730"/>
      <c r="M817" s="736" t="s">
        <v>481</v>
      </c>
      <c r="N817" s="711">
        <v>1</v>
      </c>
      <c r="O817" s="683"/>
      <c r="P817" s="38"/>
      <c r="Q817" s="683"/>
      <c r="R817" s="683"/>
      <c r="S817" s="683"/>
      <c r="T817" s="683"/>
      <c r="U817" s="683"/>
      <c r="V817" s="683"/>
      <c r="W817" s="683"/>
      <c r="X817" s="683"/>
      <c r="Y817" s="683"/>
      <c r="Z817" s="683"/>
    </row>
    <row r="818" spans="1:26" ht="15.75" customHeight="1" x14ac:dyDescent="0.25">
      <c r="A818" s="3" t="s">
        <v>2418</v>
      </c>
      <c r="B818" s="683" t="s">
        <v>817</v>
      </c>
      <c r="C818" s="3"/>
      <c r="D818" s="3"/>
      <c r="E818" s="683"/>
      <c r="F818" s="716" t="s">
        <v>1243</v>
      </c>
      <c r="G818" s="3"/>
      <c r="H818" s="711"/>
      <c r="I818" s="683"/>
      <c r="J818" s="683"/>
      <c r="K818" s="3">
        <v>3</v>
      </c>
      <c r="L818" s="730"/>
      <c r="M818" s="731" t="s">
        <v>555</v>
      </c>
      <c r="N818" s="711">
        <v>1</v>
      </c>
      <c r="O818" s="683"/>
      <c r="P818" s="38"/>
      <c r="Q818" s="683"/>
      <c r="R818" s="683"/>
      <c r="S818" s="683"/>
      <c r="T818" s="683"/>
      <c r="U818" s="683"/>
      <c r="V818" s="683"/>
      <c r="W818" s="683"/>
      <c r="X818" s="683"/>
      <c r="Y818" s="683"/>
      <c r="Z818" s="683"/>
    </row>
    <row r="819" spans="1:26" ht="15.75" customHeight="1" x14ac:dyDescent="0.25">
      <c r="A819" s="3"/>
      <c r="B819" s="683"/>
      <c r="C819" s="683"/>
      <c r="D819" s="3"/>
      <c r="E819" s="683"/>
      <c r="F819" s="716" t="s">
        <v>734</v>
      </c>
      <c r="G819" s="683" t="s">
        <v>1916</v>
      </c>
      <c r="H819" s="711">
        <v>37</v>
      </c>
      <c r="I819" s="683"/>
      <c r="J819" s="683"/>
      <c r="K819" s="3">
        <v>13</v>
      </c>
      <c r="L819" s="730"/>
      <c r="M819" s="731" t="s">
        <v>640</v>
      </c>
      <c r="N819" s="711">
        <v>1</v>
      </c>
      <c r="O819" s="683"/>
      <c r="P819" s="38"/>
      <c r="Q819" s="683"/>
      <c r="R819" s="683"/>
      <c r="S819" s="683"/>
      <c r="T819" s="683"/>
      <c r="U819" s="683"/>
      <c r="V819" s="683"/>
      <c r="W819" s="683"/>
      <c r="X819" s="683"/>
      <c r="Y819" s="683"/>
      <c r="Z819" s="683"/>
    </row>
    <row r="820" spans="1:26" ht="15.75" customHeight="1" x14ac:dyDescent="0.25">
      <c r="A820" s="3"/>
      <c r="B820" s="683"/>
      <c r="C820" s="683"/>
      <c r="D820" s="3"/>
      <c r="E820" s="683"/>
      <c r="F820" s="716" t="s">
        <v>1417</v>
      </c>
      <c r="G820" s="683" t="s">
        <v>2419</v>
      </c>
      <c r="H820" s="711">
        <v>41</v>
      </c>
      <c r="I820" s="683"/>
      <c r="J820" s="683"/>
      <c r="K820" s="3">
        <v>15</v>
      </c>
      <c r="L820" s="730"/>
      <c r="M820" s="731" t="s">
        <v>25</v>
      </c>
      <c r="N820" s="711">
        <v>1</v>
      </c>
      <c r="O820" s="683"/>
      <c r="P820" s="683"/>
      <c r="Q820" s="683"/>
      <c r="R820" s="683"/>
      <c r="S820" s="683"/>
      <c r="T820" s="683"/>
      <c r="U820" s="683"/>
      <c r="V820" s="683"/>
      <c r="W820" s="683"/>
      <c r="X820" s="683"/>
      <c r="Y820" s="683"/>
      <c r="Z820" s="683"/>
    </row>
    <row r="821" spans="1:26" ht="15.75" customHeight="1" x14ac:dyDescent="0.25">
      <c r="A821" s="3"/>
      <c r="B821" s="3"/>
      <c r="C821" s="683"/>
      <c r="D821" s="3"/>
      <c r="E821" s="683"/>
      <c r="F821" s="716" t="s">
        <v>860</v>
      </c>
      <c r="G821" s="683" t="s">
        <v>1786</v>
      </c>
      <c r="H821" s="711">
        <v>40</v>
      </c>
      <c r="I821" s="683"/>
      <c r="J821" s="683"/>
      <c r="K821" s="3">
        <v>14</v>
      </c>
      <c r="L821" s="730"/>
      <c r="M821" s="731" t="s">
        <v>308</v>
      </c>
      <c r="N821" s="711">
        <v>1</v>
      </c>
      <c r="O821" s="683"/>
      <c r="P821" s="683"/>
      <c r="Q821" s="683"/>
      <c r="R821" s="683"/>
      <c r="S821" s="683"/>
      <c r="T821" s="683"/>
      <c r="U821" s="683"/>
      <c r="V821" s="683"/>
      <c r="W821" s="683"/>
      <c r="X821" s="683"/>
      <c r="Y821" s="683"/>
      <c r="Z821" s="683"/>
    </row>
    <row r="822" spans="1:26" ht="15.75" customHeight="1" x14ac:dyDescent="0.25">
      <c r="A822" s="3" t="s">
        <v>94</v>
      </c>
      <c r="B822" s="3" t="s">
        <v>2420</v>
      </c>
      <c r="C822" s="683"/>
      <c r="D822" s="3"/>
      <c r="E822" s="683"/>
      <c r="F822" s="716" t="s">
        <v>1373</v>
      </c>
      <c r="G822" s="683" t="s">
        <v>1755</v>
      </c>
      <c r="H822" s="711">
        <v>42</v>
      </c>
      <c r="I822" s="683"/>
      <c r="J822" s="683"/>
      <c r="K822" s="3">
        <v>16</v>
      </c>
      <c r="L822" s="730"/>
      <c r="M822" s="731" t="s">
        <v>516</v>
      </c>
      <c r="N822" s="711">
        <v>1</v>
      </c>
      <c r="O822" s="683"/>
      <c r="P822" s="683"/>
      <c r="Q822" s="683"/>
      <c r="R822" s="683"/>
      <c r="S822" s="683"/>
      <c r="T822" s="683"/>
      <c r="U822" s="683"/>
      <c r="V822" s="683"/>
      <c r="W822" s="683"/>
      <c r="X822" s="683"/>
      <c r="Y822" s="683"/>
      <c r="Z822" s="683"/>
    </row>
    <row r="823" spans="1:26" ht="15.75" customHeight="1" x14ac:dyDescent="0.25">
      <c r="A823" s="3" t="s">
        <v>2421</v>
      </c>
      <c r="B823" s="683" t="s">
        <v>2420</v>
      </c>
      <c r="C823" s="683"/>
      <c r="D823" s="3"/>
      <c r="E823" s="683"/>
      <c r="F823" s="716" t="s">
        <v>1004</v>
      </c>
      <c r="G823" s="683" t="s">
        <v>624</v>
      </c>
      <c r="H823" s="711">
        <v>44</v>
      </c>
      <c r="I823" s="683"/>
      <c r="J823" s="683"/>
      <c r="K823" s="3">
        <v>17</v>
      </c>
      <c r="L823" s="730"/>
      <c r="M823" s="731" t="s">
        <v>282</v>
      </c>
      <c r="N823" s="711">
        <v>1</v>
      </c>
      <c r="O823" s="683"/>
      <c r="P823" s="683"/>
      <c r="Q823" s="683"/>
      <c r="R823" s="683"/>
      <c r="S823" s="683"/>
      <c r="T823" s="683"/>
      <c r="U823" s="683"/>
      <c r="V823" s="683"/>
      <c r="W823" s="683"/>
      <c r="X823" s="683"/>
      <c r="Y823" s="683"/>
      <c r="Z823" s="683"/>
    </row>
    <row r="824" spans="1:26" ht="15.75" customHeight="1" x14ac:dyDescent="0.25">
      <c r="A824" s="683" t="s">
        <v>289</v>
      </c>
      <c r="B824" s="683" t="s">
        <v>2420</v>
      </c>
      <c r="C824" s="3"/>
      <c r="D824" s="3"/>
      <c r="E824" s="683"/>
      <c r="F824" s="699" t="s">
        <v>710</v>
      </c>
      <c r="G824" s="3" t="s">
        <v>1757</v>
      </c>
      <c r="H824" s="711">
        <v>44</v>
      </c>
      <c r="I824" s="683"/>
      <c r="J824" s="683"/>
      <c r="K824" s="3">
        <v>18</v>
      </c>
      <c r="L824" s="730"/>
      <c r="M824" s="731" t="s">
        <v>310</v>
      </c>
      <c r="N824" s="711">
        <v>1</v>
      </c>
      <c r="O824" s="683"/>
      <c r="P824" s="683"/>
      <c r="Q824" s="683"/>
      <c r="R824" s="683"/>
      <c r="S824" s="683"/>
      <c r="T824" s="683"/>
      <c r="U824" s="683"/>
      <c r="V824" s="683"/>
      <c r="W824" s="683"/>
      <c r="X824" s="683"/>
      <c r="Y824" s="683"/>
      <c r="Z824" s="683"/>
    </row>
    <row r="825" spans="1:26" ht="15.75" customHeight="1" x14ac:dyDescent="0.25">
      <c r="A825" s="683" t="s">
        <v>2422</v>
      </c>
      <c r="B825" s="683" t="s">
        <v>2420</v>
      </c>
      <c r="C825" s="3"/>
      <c r="D825" s="3"/>
      <c r="E825" s="683"/>
      <c r="F825" s="716" t="s">
        <v>192</v>
      </c>
      <c r="G825" s="683" t="s">
        <v>1757</v>
      </c>
      <c r="H825" s="711">
        <v>44</v>
      </c>
      <c r="I825" s="683"/>
      <c r="J825" s="683"/>
      <c r="K825" s="3">
        <v>18</v>
      </c>
      <c r="L825" s="730"/>
      <c r="M825" s="731" t="s">
        <v>311</v>
      </c>
      <c r="N825" s="711">
        <v>1</v>
      </c>
      <c r="O825" s="683"/>
      <c r="P825" s="683"/>
      <c r="Q825" s="683"/>
      <c r="R825" s="683"/>
      <c r="S825" s="683"/>
      <c r="T825" s="683"/>
      <c r="U825" s="683"/>
      <c r="V825" s="683"/>
      <c r="W825" s="683"/>
      <c r="X825" s="683"/>
      <c r="Y825" s="683"/>
      <c r="Z825" s="683"/>
    </row>
    <row r="826" spans="1:26" ht="15.75" customHeight="1" x14ac:dyDescent="0.25">
      <c r="A826" s="683" t="s">
        <v>2423</v>
      </c>
      <c r="B826" s="683" t="s">
        <v>2424</v>
      </c>
      <c r="C826" s="3"/>
      <c r="D826" s="3"/>
      <c r="E826" s="683"/>
      <c r="F826" s="718" t="s">
        <v>1757</v>
      </c>
      <c r="H826" s="692">
        <v>44</v>
      </c>
      <c r="I826" s="683"/>
      <c r="J826" s="683"/>
      <c r="K826" s="3">
        <v>18</v>
      </c>
      <c r="L826" s="730"/>
      <c r="M826" s="731" t="s">
        <v>315</v>
      </c>
      <c r="N826" s="711">
        <v>1</v>
      </c>
      <c r="O826" s="683"/>
      <c r="P826" s="683"/>
      <c r="Q826" s="683"/>
      <c r="R826" s="683"/>
      <c r="S826" s="683"/>
      <c r="T826" s="683"/>
      <c r="U826" s="683"/>
      <c r="V826" s="683"/>
      <c r="W826" s="683"/>
      <c r="X826" s="683"/>
      <c r="Y826" s="683"/>
      <c r="Z826" s="683"/>
    </row>
    <row r="827" spans="1:26" ht="15.75" customHeight="1" x14ac:dyDescent="0.25">
      <c r="A827" s="3" t="s">
        <v>2425</v>
      </c>
      <c r="B827" s="683" t="s">
        <v>817</v>
      </c>
      <c r="C827" s="3"/>
      <c r="D827" s="3"/>
      <c r="E827" s="683"/>
      <c r="F827" s="716" t="s">
        <v>754</v>
      </c>
      <c r="G827" s="683" t="s">
        <v>1759</v>
      </c>
      <c r="H827" s="711">
        <v>42</v>
      </c>
      <c r="I827" s="683"/>
      <c r="J827" s="683"/>
      <c r="K827" s="3">
        <v>17</v>
      </c>
      <c r="L827" s="730"/>
      <c r="M827" s="731" t="s">
        <v>327</v>
      </c>
      <c r="N827" s="711">
        <v>1</v>
      </c>
      <c r="O827" s="683"/>
      <c r="P827" s="683"/>
      <c r="Q827" s="683"/>
      <c r="R827" s="683"/>
      <c r="S827" s="683"/>
      <c r="T827" s="683"/>
      <c r="U827" s="683"/>
      <c r="V827" s="683"/>
      <c r="W827" s="683"/>
      <c r="X827" s="683"/>
      <c r="Y827" s="683"/>
      <c r="Z827" s="683"/>
    </row>
    <row r="828" spans="1:26" ht="15.75" customHeight="1" x14ac:dyDescent="0.25">
      <c r="A828" s="3"/>
      <c r="B828" s="683"/>
      <c r="C828" s="3"/>
      <c r="D828" s="3"/>
      <c r="E828" s="683"/>
      <c r="F828" s="716" t="s">
        <v>901</v>
      </c>
      <c r="G828" s="683" t="s">
        <v>1955</v>
      </c>
      <c r="H828" s="711">
        <v>46</v>
      </c>
      <c r="I828" s="683"/>
      <c r="J828" s="683"/>
      <c r="K828" s="3">
        <v>20</v>
      </c>
      <c r="L828" s="730"/>
      <c r="M828" s="731" t="s">
        <v>335</v>
      </c>
      <c r="N828" s="711">
        <v>1</v>
      </c>
      <c r="O828" s="683"/>
      <c r="P828" s="683"/>
      <c r="Q828" s="683"/>
      <c r="R828" s="683"/>
      <c r="S828" s="683"/>
      <c r="T828" s="683"/>
      <c r="U828" s="683"/>
      <c r="V828" s="683"/>
      <c r="W828" s="683"/>
      <c r="X828" s="683"/>
      <c r="Y828" s="683"/>
      <c r="Z828" s="683"/>
    </row>
    <row r="829" spans="1:26" ht="15.75" customHeight="1" x14ac:dyDescent="0.25">
      <c r="A829" s="3" t="s">
        <v>144</v>
      </c>
      <c r="B829" s="683" t="s">
        <v>144</v>
      </c>
      <c r="C829" s="3"/>
      <c r="D829" s="3"/>
      <c r="E829" s="683"/>
      <c r="F829" s="716" t="s">
        <v>770</v>
      </c>
      <c r="G829" s="683" t="s">
        <v>259</v>
      </c>
      <c r="H829" s="711">
        <v>45</v>
      </c>
      <c r="I829" s="683"/>
      <c r="J829" s="683"/>
      <c r="K829" s="3">
        <v>19</v>
      </c>
      <c r="L829" s="730"/>
      <c r="M829" s="683"/>
      <c r="N829" s="685"/>
      <c r="O829" s="683"/>
      <c r="P829" s="683"/>
      <c r="Q829" s="683"/>
      <c r="R829" s="683"/>
      <c r="S829" s="683"/>
      <c r="T829" s="683"/>
      <c r="U829" s="683"/>
      <c r="V829" s="683"/>
      <c r="W829" s="683"/>
      <c r="X829" s="683"/>
      <c r="Y829" s="683"/>
      <c r="Z829" s="683"/>
    </row>
    <row r="830" spans="1:26" ht="15.75" customHeight="1" x14ac:dyDescent="0.25">
      <c r="A830" s="683" t="s">
        <v>2426</v>
      </c>
      <c r="B830" s="683" t="s">
        <v>817</v>
      </c>
      <c r="C830" s="3"/>
      <c r="D830" s="3"/>
      <c r="E830" s="683"/>
      <c r="F830" s="716" t="s">
        <v>704</v>
      </c>
      <c r="G830" s="683" t="s">
        <v>194</v>
      </c>
      <c r="H830" s="711">
        <v>46</v>
      </c>
      <c r="I830" s="683"/>
      <c r="J830" s="683"/>
      <c r="K830" s="3">
        <v>20</v>
      </c>
      <c r="L830" s="730"/>
      <c r="M830" s="683"/>
      <c r="N830" s="685"/>
      <c r="O830" s="683"/>
      <c r="P830" s="683"/>
      <c r="Q830" s="683"/>
      <c r="R830" s="683"/>
      <c r="S830" s="683"/>
      <c r="T830" s="683"/>
      <c r="U830" s="683"/>
      <c r="V830" s="683"/>
      <c r="W830" s="683"/>
      <c r="X830" s="683"/>
      <c r="Y830" s="683"/>
      <c r="Z830" s="683"/>
    </row>
    <row r="831" spans="1:26" ht="15.75" customHeight="1" x14ac:dyDescent="0.25">
      <c r="A831" s="683" t="s">
        <v>2427</v>
      </c>
      <c r="B831" s="683" t="s">
        <v>817</v>
      </c>
      <c r="C831" s="3"/>
      <c r="D831" s="3"/>
      <c r="E831" s="683"/>
      <c r="F831" s="716" t="s">
        <v>715</v>
      </c>
      <c r="G831" s="3" t="s">
        <v>194</v>
      </c>
      <c r="H831" s="711">
        <v>46</v>
      </c>
      <c r="I831" s="683"/>
      <c r="J831" s="683"/>
      <c r="K831" s="3">
        <v>20</v>
      </c>
      <c r="L831" s="730"/>
      <c r="M831" s="683"/>
      <c r="N831" s="685"/>
      <c r="O831" s="683"/>
      <c r="P831" s="683"/>
      <c r="Q831" s="683"/>
      <c r="R831" s="683"/>
      <c r="S831" s="683"/>
      <c r="T831" s="683"/>
      <c r="U831" s="683"/>
      <c r="V831" s="683"/>
      <c r="W831" s="683"/>
      <c r="X831" s="683"/>
      <c r="Y831" s="683"/>
      <c r="Z831" s="683"/>
    </row>
    <row r="832" spans="1:26" ht="15.75" customHeight="1" x14ac:dyDescent="0.25">
      <c r="A832" s="683" t="s">
        <v>2428</v>
      </c>
      <c r="B832" s="683" t="s">
        <v>817</v>
      </c>
      <c r="C832" s="3"/>
      <c r="D832" s="3"/>
      <c r="E832" s="683"/>
      <c r="F832" s="716" t="s">
        <v>1079</v>
      </c>
      <c r="G832" s="683" t="s">
        <v>430</v>
      </c>
      <c r="H832" s="711">
        <v>35</v>
      </c>
      <c r="I832" s="683"/>
      <c r="J832" s="683"/>
      <c r="K832" s="3">
        <v>7</v>
      </c>
      <c r="L832" s="730"/>
      <c r="M832" s="683"/>
      <c r="N832" s="685"/>
      <c r="O832" s="683"/>
      <c r="P832" s="683"/>
      <c r="Q832" s="683"/>
      <c r="R832" s="683"/>
      <c r="S832" s="683"/>
      <c r="T832" s="683"/>
      <c r="U832" s="683"/>
      <c r="V832" s="683"/>
      <c r="W832" s="683"/>
      <c r="X832" s="683"/>
      <c r="Y832" s="683"/>
      <c r="Z832" s="683"/>
    </row>
    <row r="833" spans="1:26" ht="15.75" customHeight="1" x14ac:dyDescent="0.25">
      <c r="A833" s="683" t="s">
        <v>2429</v>
      </c>
      <c r="B833" s="683" t="s">
        <v>817</v>
      </c>
      <c r="C833" s="3"/>
      <c r="D833" s="3"/>
      <c r="E833" s="683"/>
      <c r="F833" s="716" t="s">
        <v>863</v>
      </c>
      <c r="G833" s="683" t="s">
        <v>1925</v>
      </c>
      <c r="H833" s="711">
        <v>38</v>
      </c>
      <c r="I833" s="683"/>
      <c r="J833" s="683"/>
      <c r="K833" s="3">
        <v>12</v>
      </c>
      <c r="L833" s="730"/>
      <c r="M833" s="683"/>
      <c r="N833" s="685"/>
      <c r="O833" s="683"/>
      <c r="P833" s="683"/>
      <c r="Q833" s="683"/>
      <c r="R833" s="683"/>
      <c r="S833" s="683"/>
      <c r="T833" s="683"/>
      <c r="U833" s="683"/>
      <c r="V833" s="683"/>
      <c r="W833" s="683"/>
      <c r="X833" s="683"/>
      <c r="Y833" s="683"/>
      <c r="Z833" s="683"/>
    </row>
    <row r="834" spans="1:26" ht="15.75" customHeight="1" x14ac:dyDescent="0.25">
      <c r="A834" s="683" t="s">
        <v>2430</v>
      </c>
      <c r="B834" s="683" t="s">
        <v>2431</v>
      </c>
      <c r="C834" s="3"/>
      <c r="D834" s="3"/>
      <c r="E834" s="683"/>
      <c r="F834" s="718" t="s">
        <v>217</v>
      </c>
      <c r="G834" s="38" t="s">
        <v>217</v>
      </c>
      <c r="H834" s="38">
        <v>43</v>
      </c>
      <c r="I834" s="683"/>
      <c r="J834" s="683"/>
      <c r="K834" s="3">
        <v>8</v>
      </c>
      <c r="L834" s="730"/>
      <c r="M834" s="683"/>
      <c r="N834" s="685"/>
      <c r="O834" s="683"/>
      <c r="P834" s="683"/>
      <c r="Q834" s="683"/>
      <c r="R834" s="683"/>
      <c r="S834" s="683"/>
      <c r="T834" s="683"/>
      <c r="U834" s="683"/>
      <c r="V834" s="683"/>
      <c r="W834" s="683"/>
      <c r="X834" s="683"/>
      <c r="Y834" s="683"/>
      <c r="Z834" s="683"/>
    </row>
    <row r="835" spans="1:26" ht="15.75" customHeight="1" x14ac:dyDescent="0.25">
      <c r="A835" s="683" t="s">
        <v>2432</v>
      </c>
      <c r="B835" s="683" t="s">
        <v>2431</v>
      </c>
      <c r="C835" s="3"/>
      <c r="D835" s="3"/>
      <c r="E835" s="683"/>
      <c r="F835" s="38" t="s">
        <v>1739</v>
      </c>
      <c r="G835" s="38" t="s">
        <v>1739</v>
      </c>
      <c r="H835" s="38">
        <v>35</v>
      </c>
      <c r="K835" s="38">
        <v>7</v>
      </c>
      <c r="L835" s="730"/>
      <c r="M835" s="683"/>
      <c r="N835" s="685"/>
      <c r="O835" s="683"/>
      <c r="P835" s="683"/>
      <c r="Q835" s="683"/>
      <c r="R835" s="683"/>
      <c r="S835" s="683"/>
      <c r="T835" s="683"/>
      <c r="U835" s="683"/>
      <c r="V835" s="683"/>
      <c r="W835" s="683"/>
      <c r="X835" s="683"/>
      <c r="Y835" s="683"/>
      <c r="Z835" s="683"/>
    </row>
    <row r="836" spans="1:26" ht="15.75" customHeight="1" x14ac:dyDescent="0.25">
      <c r="A836" s="683" t="s">
        <v>2433</v>
      </c>
      <c r="B836" s="683" t="s">
        <v>2431</v>
      </c>
      <c r="C836" s="3"/>
      <c r="D836" s="3"/>
      <c r="E836" s="683"/>
      <c r="F836" s="729" t="s">
        <v>2434</v>
      </c>
      <c r="G836" s="683"/>
      <c r="H836" s="711"/>
      <c r="I836" s="683"/>
      <c r="J836" s="683"/>
      <c r="K836" s="3"/>
      <c r="L836" s="730"/>
      <c r="M836" s="683"/>
      <c r="N836" s="685"/>
      <c r="O836" s="683"/>
      <c r="P836" s="683"/>
      <c r="Q836" s="683"/>
      <c r="R836" s="683"/>
      <c r="S836" s="683"/>
      <c r="T836" s="683"/>
      <c r="U836" s="683"/>
      <c r="V836" s="683"/>
      <c r="W836" s="683"/>
      <c r="X836" s="683"/>
      <c r="Y836" s="683"/>
      <c r="Z836" s="683"/>
    </row>
    <row r="837" spans="1:26" ht="15.75" customHeight="1" x14ac:dyDescent="0.25">
      <c r="A837" s="683" t="s">
        <v>2435</v>
      </c>
      <c r="B837" s="683" t="s">
        <v>2431</v>
      </c>
      <c r="C837" s="3"/>
      <c r="D837" s="3"/>
      <c r="E837" s="683"/>
      <c r="F837" s="699" t="s">
        <v>990</v>
      </c>
      <c r="G837" s="3"/>
      <c r="H837" s="684"/>
      <c r="I837" s="683"/>
      <c r="J837" s="683"/>
      <c r="K837" s="3">
        <v>13</v>
      </c>
      <c r="L837" s="730"/>
      <c r="M837" s="683"/>
      <c r="N837" s="685"/>
      <c r="O837" s="683"/>
      <c r="P837" s="683"/>
      <c r="Q837" s="683"/>
      <c r="R837" s="683"/>
      <c r="S837" s="683"/>
      <c r="T837" s="683"/>
      <c r="U837" s="683"/>
      <c r="V837" s="683"/>
      <c r="W837" s="683"/>
      <c r="X837" s="683"/>
      <c r="Y837" s="683"/>
      <c r="Z837" s="683"/>
    </row>
    <row r="838" spans="1:26" ht="15.75" customHeight="1" x14ac:dyDescent="0.25">
      <c r="A838" s="683" t="s">
        <v>2436</v>
      </c>
      <c r="B838" s="683" t="s">
        <v>2431</v>
      </c>
      <c r="C838" s="3"/>
      <c r="D838" s="3"/>
      <c r="E838" s="683"/>
      <c r="F838" s="699" t="s">
        <v>391</v>
      </c>
      <c r="G838" s="3" t="s">
        <v>391</v>
      </c>
      <c r="H838" s="684">
        <v>24</v>
      </c>
      <c r="I838" s="683"/>
      <c r="J838" s="683"/>
      <c r="K838" s="3"/>
      <c r="L838" s="730"/>
      <c r="M838" s="683"/>
      <c r="N838" s="685"/>
      <c r="O838" s="683"/>
      <c r="P838" s="683"/>
      <c r="Q838" s="683"/>
      <c r="R838" s="683"/>
      <c r="S838" s="683"/>
      <c r="T838" s="683"/>
      <c r="U838" s="683"/>
      <c r="V838" s="683"/>
      <c r="W838" s="683"/>
      <c r="X838" s="683"/>
      <c r="Y838" s="683"/>
      <c r="Z838" s="683"/>
    </row>
    <row r="839" spans="1:26" ht="15.75" customHeight="1" x14ac:dyDescent="0.25">
      <c r="A839" s="683" t="s">
        <v>2437</v>
      </c>
      <c r="B839" s="683" t="s">
        <v>2431</v>
      </c>
      <c r="C839" s="3"/>
      <c r="D839" s="3"/>
      <c r="E839" s="683"/>
      <c r="F839" s="699" t="s">
        <v>1875</v>
      </c>
      <c r="G839" s="3" t="s">
        <v>1876</v>
      </c>
      <c r="H839" s="684">
        <v>17</v>
      </c>
      <c r="I839" s="683"/>
      <c r="J839" s="683"/>
      <c r="K839" s="3"/>
      <c r="L839" s="730"/>
      <c r="M839" s="683"/>
      <c r="N839" s="685"/>
      <c r="O839" s="683"/>
      <c r="P839" s="683"/>
      <c r="Q839" s="683"/>
      <c r="R839" s="683"/>
      <c r="S839" s="683"/>
      <c r="T839" s="683"/>
      <c r="U839" s="683"/>
      <c r="V839" s="683"/>
      <c r="W839" s="683"/>
      <c r="X839" s="683"/>
      <c r="Y839" s="683"/>
      <c r="Z839" s="683"/>
    </row>
    <row r="840" spans="1:26" ht="15.75" customHeight="1" x14ac:dyDescent="0.25">
      <c r="A840" s="683" t="s">
        <v>2438</v>
      </c>
      <c r="B840" s="683" t="s">
        <v>2431</v>
      </c>
      <c r="C840" s="3"/>
      <c r="D840" s="3"/>
      <c r="E840" s="683"/>
      <c r="F840" s="699" t="s">
        <v>1250</v>
      </c>
      <c r="G840" s="3" t="s">
        <v>1878</v>
      </c>
      <c r="H840" s="684">
        <v>20</v>
      </c>
      <c r="I840" s="683"/>
      <c r="J840" s="683"/>
      <c r="K840" s="3"/>
      <c r="L840" s="730"/>
      <c r="M840" s="683"/>
      <c r="N840" s="685"/>
      <c r="O840" s="683"/>
      <c r="P840" s="683"/>
      <c r="Q840" s="683"/>
      <c r="R840" s="683"/>
      <c r="S840" s="683"/>
      <c r="T840" s="683"/>
      <c r="U840" s="683"/>
      <c r="V840" s="683"/>
      <c r="W840" s="683"/>
      <c r="X840" s="683"/>
      <c r="Y840" s="683"/>
      <c r="Z840" s="683"/>
    </row>
    <row r="841" spans="1:26" ht="15.75" customHeight="1" x14ac:dyDescent="0.25">
      <c r="A841" s="683" t="s">
        <v>990</v>
      </c>
      <c r="B841" s="683" t="s">
        <v>2431</v>
      </c>
      <c r="C841" s="3"/>
      <c r="D841" s="3"/>
      <c r="E841" s="683"/>
      <c r="F841" s="699" t="s">
        <v>1068</v>
      </c>
      <c r="G841" s="3" t="s">
        <v>1880</v>
      </c>
      <c r="H841" s="684">
        <v>19</v>
      </c>
      <c r="I841" s="683"/>
      <c r="J841" s="683"/>
      <c r="K841" s="3"/>
      <c r="L841" s="730"/>
      <c r="M841" s="683"/>
      <c r="N841" s="685"/>
      <c r="O841" s="683"/>
      <c r="P841" s="683"/>
      <c r="Q841" s="683"/>
      <c r="R841" s="683"/>
      <c r="S841" s="683"/>
      <c r="T841" s="683"/>
      <c r="U841" s="683"/>
      <c r="V841" s="683"/>
      <c r="W841" s="683"/>
      <c r="X841" s="683"/>
      <c r="Y841" s="683"/>
      <c r="Z841" s="683"/>
    </row>
    <row r="842" spans="1:26" ht="15.75" customHeight="1" x14ac:dyDescent="0.25">
      <c r="A842" s="19" t="s">
        <v>2439</v>
      </c>
      <c r="B842" s="683" t="s">
        <v>2431</v>
      </c>
      <c r="C842" s="3"/>
      <c r="D842" s="3"/>
      <c r="E842" s="683"/>
      <c r="F842" s="699" t="s">
        <v>2440</v>
      </c>
      <c r="G842" s="3" t="s">
        <v>1802</v>
      </c>
      <c r="H842" s="684">
        <v>16</v>
      </c>
      <c r="I842" s="683"/>
      <c r="J842" s="683"/>
      <c r="K842" s="3"/>
      <c r="L842" s="730"/>
      <c r="M842" s="683"/>
      <c r="N842" s="685"/>
      <c r="O842" s="683"/>
      <c r="P842" s="683"/>
      <c r="Q842" s="683"/>
      <c r="R842" s="683"/>
      <c r="S842" s="683"/>
      <c r="T842" s="683"/>
      <c r="U842" s="683"/>
      <c r="V842" s="683"/>
      <c r="W842" s="683"/>
      <c r="X842" s="683"/>
      <c r="Y842" s="683"/>
      <c r="Z842" s="683"/>
    </row>
    <row r="843" spans="1:26" ht="15.75" customHeight="1" x14ac:dyDescent="0.25">
      <c r="A843" s="3" t="s">
        <v>2441</v>
      </c>
      <c r="B843" s="683" t="s">
        <v>2431</v>
      </c>
      <c r="C843" s="3"/>
      <c r="D843" s="3"/>
      <c r="E843" s="683"/>
      <c r="F843" s="699" t="s">
        <v>1793</v>
      </c>
      <c r="G843" s="3" t="s">
        <v>1804</v>
      </c>
      <c r="H843" s="684">
        <v>28</v>
      </c>
      <c r="I843" s="683"/>
      <c r="J843" s="683"/>
      <c r="K843" s="3"/>
      <c r="L843" s="730"/>
      <c r="M843" s="683"/>
      <c r="N843" s="685"/>
      <c r="O843" s="683"/>
      <c r="P843" s="683"/>
      <c r="Q843" s="683"/>
      <c r="R843" s="683"/>
      <c r="S843" s="683"/>
      <c r="T843" s="683"/>
      <c r="U843" s="683"/>
      <c r="V843" s="683"/>
      <c r="W843" s="683"/>
      <c r="X843" s="683"/>
      <c r="Y843" s="683"/>
      <c r="Z843" s="683"/>
    </row>
    <row r="844" spans="1:26" ht="15.75" customHeight="1" x14ac:dyDescent="0.25">
      <c r="A844" s="3" t="s">
        <v>2442</v>
      </c>
      <c r="B844" s="683" t="s">
        <v>2431</v>
      </c>
      <c r="C844" s="3"/>
      <c r="D844" s="3"/>
      <c r="E844" s="683"/>
      <c r="F844" s="699" t="s">
        <v>2443</v>
      </c>
      <c r="G844" s="3" t="s">
        <v>1477</v>
      </c>
      <c r="H844" s="684">
        <v>16</v>
      </c>
      <c r="I844" s="683"/>
      <c r="J844" s="683"/>
      <c r="K844" s="3"/>
      <c r="L844" s="730"/>
      <c r="M844" s="683"/>
      <c r="N844" s="685"/>
      <c r="O844" s="683"/>
      <c r="P844" s="683"/>
      <c r="Q844" s="683"/>
      <c r="R844" s="683"/>
      <c r="S844" s="683"/>
      <c r="T844" s="683"/>
      <c r="U844" s="683"/>
      <c r="V844" s="683"/>
      <c r="W844" s="683"/>
      <c r="X844" s="683"/>
      <c r="Y844" s="683"/>
      <c r="Z844" s="683"/>
    </row>
    <row r="845" spans="1:26" ht="15.75" customHeight="1" x14ac:dyDescent="0.25">
      <c r="A845" s="3" t="s">
        <v>2444</v>
      </c>
      <c r="B845" s="683" t="s">
        <v>2431</v>
      </c>
      <c r="C845" s="683"/>
      <c r="D845" s="3"/>
      <c r="E845" s="683"/>
      <c r="F845" s="699" t="s">
        <v>729</v>
      </c>
      <c r="G845" s="3" t="s">
        <v>1803</v>
      </c>
      <c r="H845" s="684">
        <v>8</v>
      </c>
      <c r="I845" s="683"/>
      <c r="J845" s="683"/>
      <c r="K845" s="3"/>
      <c r="L845" s="730"/>
      <c r="M845" s="683"/>
      <c r="N845" s="685"/>
      <c r="O845" s="683"/>
      <c r="P845" s="683"/>
      <c r="Q845" s="683"/>
      <c r="R845" s="683"/>
      <c r="S845" s="683"/>
      <c r="T845" s="683"/>
      <c r="U845" s="683"/>
      <c r="V845" s="683"/>
      <c r="W845" s="683"/>
      <c r="X845" s="683"/>
      <c r="Y845" s="683"/>
      <c r="Z845" s="683"/>
    </row>
    <row r="846" spans="1:26" ht="15.75" customHeight="1" x14ac:dyDescent="0.25">
      <c r="A846" s="3" t="s">
        <v>2445</v>
      </c>
      <c r="B846" s="683" t="s">
        <v>2431</v>
      </c>
      <c r="C846" s="683"/>
      <c r="D846" s="3"/>
      <c r="E846" s="683"/>
      <c r="F846" s="699" t="s">
        <v>617</v>
      </c>
      <c r="G846" s="3"/>
      <c r="H846" s="684">
        <v>8</v>
      </c>
      <c r="I846" s="683"/>
      <c r="J846" s="683"/>
      <c r="K846" s="3"/>
      <c r="L846" s="730"/>
      <c r="M846" s="683"/>
      <c r="N846" s="685"/>
      <c r="O846" s="683"/>
      <c r="P846" s="683"/>
      <c r="Q846" s="683"/>
      <c r="R846" s="683"/>
      <c r="S846" s="683"/>
      <c r="T846" s="683"/>
      <c r="U846" s="683"/>
      <c r="V846" s="683"/>
      <c r="W846" s="683"/>
      <c r="X846" s="683"/>
      <c r="Y846" s="683"/>
      <c r="Z846" s="683"/>
    </row>
    <row r="847" spans="1:26" ht="15.75" customHeight="1" x14ac:dyDescent="0.25">
      <c r="A847" s="3" t="s">
        <v>2446</v>
      </c>
      <c r="B847" s="683" t="s">
        <v>2431</v>
      </c>
      <c r="C847" s="683"/>
      <c r="D847" s="3"/>
      <c r="E847" s="683"/>
      <c r="F847" s="699" t="s">
        <v>1901</v>
      </c>
      <c r="G847" s="3"/>
      <c r="H847" s="684">
        <v>11</v>
      </c>
      <c r="I847" s="683"/>
      <c r="J847" s="683"/>
      <c r="K847" s="3"/>
      <c r="L847" s="730"/>
      <c r="M847" s="683"/>
      <c r="N847" s="685"/>
      <c r="O847" s="683"/>
      <c r="P847" s="683"/>
      <c r="Q847" s="683"/>
      <c r="R847" s="683"/>
      <c r="S847" s="683"/>
      <c r="T847" s="683"/>
      <c r="U847" s="683"/>
      <c r="V847" s="683"/>
      <c r="W847" s="683"/>
      <c r="X847" s="683"/>
      <c r="Y847" s="683"/>
      <c r="Z847" s="683"/>
    </row>
    <row r="848" spans="1:26" ht="15.75" customHeight="1" x14ac:dyDescent="0.25">
      <c r="A848" s="3" t="s">
        <v>2447</v>
      </c>
      <c r="B848" s="683" t="s">
        <v>2431</v>
      </c>
      <c r="C848" s="683"/>
      <c r="D848" s="3"/>
      <c r="E848" s="683"/>
      <c r="F848" s="699" t="s">
        <v>778</v>
      </c>
      <c r="G848" s="3" t="s">
        <v>1763</v>
      </c>
      <c r="H848" s="684">
        <v>4</v>
      </c>
      <c r="I848" s="683"/>
      <c r="J848" s="683"/>
      <c r="K848" s="3"/>
      <c r="L848" s="730"/>
      <c r="M848" s="683"/>
      <c r="N848" s="685"/>
      <c r="O848" s="683"/>
      <c r="P848" s="683"/>
      <c r="Q848" s="683"/>
      <c r="R848" s="683"/>
      <c r="S848" s="683"/>
      <c r="T848" s="683"/>
      <c r="U848" s="683"/>
      <c r="V848" s="683"/>
      <c r="W848" s="683"/>
      <c r="X848" s="683"/>
      <c r="Y848" s="683"/>
      <c r="Z848" s="683"/>
    </row>
    <row r="849" spans="1:26" ht="15.75" customHeight="1" x14ac:dyDescent="0.25">
      <c r="A849" s="3" t="s">
        <v>2433</v>
      </c>
      <c r="B849" s="683" t="s">
        <v>2431</v>
      </c>
      <c r="C849" s="683"/>
      <c r="D849" s="3"/>
      <c r="E849" s="683"/>
      <c r="F849" s="699" t="s">
        <v>790</v>
      </c>
      <c r="G849" s="3" t="s">
        <v>2448</v>
      </c>
      <c r="H849" s="684">
        <v>14</v>
      </c>
      <c r="I849" s="683"/>
      <c r="J849" s="683"/>
      <c r="K849" s="3"/>
      <c r="L849" s="730"/>
      <c r="M849" s="683"/>
      <c r="N849" s="685"/>
      <c r="O849" s="683"/>
      <c r="P849" s="683"/>
      <c r="Q849" s="683"/>
      <c r="R849" s="683"/>
      <c r="S849" s="683"/>
      <c r="T849" s="683"/>
      <c r="U849" s="683"/>
      <c r="V849" s="683"/>
      <c r="W849" s="683"/>
      <c r="X849" s="683"/>
      <c r="Y849" s="683"/>
      <c r="Z849" s="683"/>
    </row>
    <row r="850" spans="1:26" ht="15.75" customHeight="1" x14ac:dyDescent="0.25">
      <c r="A850" s="3" t="s">
        <v>2449</v>
      </c>
      <c r="B850" s="683" t="s">
        <v>2431</v>
      </c>
      <c r="C850" s="683"/>
      <c r="D850" s="3"/>
      <c r="E850" s="683"/>
      <c r="F850" s="699" t="s">
        <v>2450</v>
      </c>
      <c r="G850" s="3" t="s">
        <v>2451</v>
      </c>
      <c r="H850" s="684">
        <v>4</v>
      </c>
      <c r="I850" s="683"/>
      <c r="J850" s="683"/>
      <c r="K850" s="3"/>
      <c r="L850" s="730"/>
      <c r="M850" s="683"/>
      <c r="N850" s="685"/>
      <c r="O850" s="683"/>
      <c r="P850" s="683"/>
      <c r="Q850" s="683"/>
      <c r="R850" s="683"/>
      <c r="S850" s="683"/>
      <c r="T850" s="683"/>
      <c r="U850" s="683"/>
      <c r="V850" s="683"/>
      <c r="W850" s="683"/>
      <c r="X850" s="683"/>
      <c r="Y850" s="683"/>
      <c r="Z850" s="683"/>
    </row>
    <row r="851" spans="1:26" ht="15.75" customHeight="1" x14ac:dyDescent="0.25">
      <c r="A851" s="3" t="s">
        <v>2452</v>
      </c>
      <c r="B851" s="683" t="s">
        <v>2431</v>
      </c>
      <c r="C851" s="683"/>
      <c r="D851" s="683"/>
      <c r="E851" s="683"/>
      <c r="F851" s="699" t="s">
        <v>936</v>
      </c>
      <c r="G851" s="3" t="s">
        <v>1807</v>
      </c>
      <c r="H851" s="684">
        <v>5</v>
      </c>
      <c r="I851" s="683"/>
      <c r="J851" s="683"/>
      <c r="K851" s="3"/>
      <c r="L851" s="730"/>
      <c r="M851" s="683"/>
      <c r="N851" s="685"/>
      <c r="O851" s="683"/>
      <c r="P851" s="683"/>
      <c r="Q851" s="683"/>
      <c r="R851" s="683"/>
      <c r="S851" s="683"/>
      <c r="T851" s="683"/>
      <c r="U851" s="683"/>
      <c r="V851" s="683"/>
      <c r="W851" s="683"/>
      <c r="X851" s="683"/>
      <c r="Y851" s="683"/>
      <c r="Z851" s="683"/>
    </row>
    <row r="852" spans="1:26" ht="15.75" customHeight="1" x14ac:dyDescent="0.25">
      <c r="A852" s="3" t="s">
        <v>2453</v>
      </c>
      <c r="B852" s="683" t="s">
        <v>101</v>
      </c>
      <c r="C852" s="683"/>
      <c r="D852" s="683"/>
      <c r="E852" s="683"/>
      <c r="F852" s="699" t="s">
        <v>797</v>
      </c>
      <c r="G852" s="3" t="s">
        <v>456</v>
      </c>
      <c r="H852" s="684">
        <v>1.5</v>
      </c>
      <c r="I852" s="683"/>
      <c r="J852" s="683"/>
      <c r="K852" s="3"/>
      <c r="L852" s="730"/>
      <c r="M852" s="683"/>
      <c r="N852" s="685"/>
      <c r="O852" s="683"/>
      <c r="P852" s="683"/>
      <c r="Q852" s="683"/>
      <c r="R852" s="683"/>
      <c r="S852" s="683"/>
      <c r="T852" s="683"/>
      <c r="U852" s="683"/>
      <c r="V852" s="683"/>
      <c r="W852" s="683"/>
      <c r="X852" s="683"/>
      <c r="Y852" s="683"/>
      <c r="Z852" s="683"/>
    </row>
    <row r="853" spans="1:26" ht="15.75" customHeight="1" x14ac:dyDescent="0.25">
      <c r="A853" s="3" t="s">
        <v>2454</v>
      </c>
      <c r="B853" s="683" t="s">
        <v>101</v>
      </c>
      <c r="C853" s="683"/>
      <c r="D853" s="683"/>
      <c r="E853" s="683"/>
      <c r="F853" s="699" t="s">
        <v>952</v>
      </c>
      <c r="G853" s="3" t="s">
        <v>2455</v>
      </c>
      <c r="H853" s="684">
        <v>17</v>
      </c>
      <c r="I853" s="683"/>
      <c r="J853" s="683"/>
      <c r="K853" s="3"/>
      <c r="L853" s="737"/>
      <c r="M853" s="683"/>
      <c r="N853" s="685"/>
      <c r="O853" s="683"/>
      <c r="P853" s="683"/>
      <c r="Q853" s="683"/>
      <c r="R853" s="683"/>
      <c r="S853" s="683"/>
      <c r="T853" s="683"/>
      <c r="U853" s="683"/>
      <c r="V853" s="683"/>
      <c r="W853" s="683"/>
      <c r="X853" s="683"/>
      <c r="Y853" s="683"/>
      <c r="Z853" s="683"/>
    </row>
    <row r="854" spans="1:26" ht="15.75" customHeight="1" x14ac:dyDescent="0.25">
      <c r="A854" s="3" t="s">
        <v>2456</v>
      </c>
      <c r="B854" s="683" t="s">
        <v>101</v>
      </c>
      <c r="C854" s="683"/>
      <c r="D854" s="683"/>
      <c r="E854" s="683"/>
      <c r="F854" s="699" t="s">
        <v>1293</v>
      </c>
      <c r="G854" s="683"/>
      <c r="H854" s="684"/>
      <c r="I854" s="683"/>
      <c r="J854" s="683"/>
      <c r="K854" s="3"/>
      <c r="L854" s="3"/>
      <c r="M854" s="683"/>
      <c r="N854" s="685"/>
      <c r="O854" s="683"/>
      <c r="P854" s="683"/>
      <c r="Q854" s="683"/>
      <c r="R854" s="683"/>
      <c r="S854" s="683"/>
      <c r="T854" s="683"/>
      <c r="U854" s="683"/>
      <c r="V854" s="683"/>
      <c r="W854" s="683"/>
      <c r="X854" s="683"/>
      <c r="Y854" s="683"/>
      <c r="Z854" s="683"/>
    </row>
    <row r="855" spans="1:26" ht="15.75" customHeight="1" x14ac:dyDescent="0.25">
      <c r="A855" s="3" t="s">
        <v>2457</v>
      </c>
      <c r="B855" s="683" t="s">
        <v>101</v>
      </c>
      <c r="C855" s="683"/>
      <c r="D855" s="683"/>
      <c r="E855" s="683"/>
      <c r="F855" s="699" t="s">
        <v>1748</v>
      </c>
      <c r="G855" s="738"/>
      <c r="H855" s="711">
        <v>31.332999999999998</v>
      </c>
      <c r="I855" s="683"/>
      <c r="J855" s="683"/>
      <c r="K855" s="3"/>
      <c r="M855" s="683"/>
      <c r="N855" s="685"/>
      <c r="O855" s="683"/>
      <c r="P855" s="683"/>
      <c r="Q855" s="683"/>
      <c r="R855" s="683"/>
      <c r="S855" s="683"/>
      <c r="T855" s="683"/>
      <c r="U855" s="683"/>
      <c r="V855" s="683"/>
      <c r="W855" s="683"/>
      <c r="X855" s="683"/>
      <c r="Y855" s="683"/>
      <c r="Z855" s="683"/>
    </row>
    <row r="856" spans="1:26" ht="15.75" customHeight="1" x14ac:dyDescent="0.25">
      <c r="A856" s="3" t="s">
        <v>2458</v>
      </c>
      <c r="B856" s="683" t="s">
        <v>101</v>
      </c>
      <c r="C856" s="683"/>
      <c r="D856" s="683"/>
      <c r="E856" s="683"/>
      <c r="M856" s="683"/>
      <c r="N856" s="685"/>
      <c r="O856" s="683"/>
      <c r="P856" s="683"/>
      <c r="Q856" s="683"/>
      <c r="R856" s="683"/>
      <c r="S856" s="683"/>
      <c r="T856" s="683"/>
      <c r="U856" s="683"/>
      <c r="V856" s="683"/>
      <c r="W856" s="683"/>
      <c r="X856" s="683"/>
      <c r="Y856" s="683"/>
      <c r="Z856" s="683"/>
    </row>
    <row r="857" spans="1:26" ht="15.75" customHeight="1" x14ac:dyDescent="0.25">
      <c r="A857" s="3" t="s">
        <v>2459</v>
      </c>
      <c r="B857" s="683" t="s">
        <v>101</v>
      </c>
      <c r="C857" s="683"/>
      <c r="D857" s="683"/>
      <c r="E857" s="683"/>
      <c r="F857" s="3"/>
      <c r="G857" s="3"/>
      <c r="H857" s="684"/>
      <c r="I857" s="683"/>
      <c r="J857" s="683"/>
      <c r="K857" s="3"/>
      <c r="L857" s="3"/>
      <c r="M857" s="683"/>
      <c r="N857" s="685"/>
      <c r="O857" s="683"/>
      <c r="P857" s="683"/>
      <c r="Q857" s="683"/>
      <c r="R857" s="683"/>
      <c r="S857" s="683"/>
      <c r="T857" s="683"/>
      <c r="U857" s="683"/>
      <c r="V857" s="683"/>
      <c r="W857" s="683"/>
      <c r="X857" s="683"/>
      <c r="Y857" s="683"/>
      <c r="Z857" s="683"/>
    </row>
    <row r="858" spans="1:26" ht="15.75" customHeight="1" x14ac:dyDescent="0.25">
      <c r="A858" s="3" t="s">
        <v>2460</v>
      </c>
      <c r="B858" s="683" t="s">
        <v>101</v>
      </c>
      <c r="C858" s="683"/>
      <c r="D858" s="683"/>
      <c r="E858" s="683"/>
      <c r="F858" s="3"/>
      <c r="G858" s="3"/>
      <c r="H858" s="684"/>
      <c r="I858" s="683"/>
      <c r="J858" s="683"/>
      <c r="K858" s="3"/>
      <c r="L858" s="3"/>
      <c r="M858" s="683"/>
      <c r="N858" s="685"/>
      <c r="O858" s="683"/>
      <c r="P858" s="683"/>
      <c r="Q858" s="683"/>
      <c r="R858" s="683"/>
      <c r="S858" s="683"/>
      <c r="T858" s="683"/>
      <c r="U858" s="683"/>
      <c r="V858" s="683"/>
      <c r="W858" s="683"/>
      <c r="X858" s="683"/>
      <c r="Y858" s="683"/>
      <c r="Z858" s="683"/>
    </row>
    <row r="859" spans="1:26" ht="15.75" customHeight="1" x14ac:dyDescent="0.25">
      <c r="A859" s="3" t="s">
        <v>2461</v>
      </c>
      <c r="B859" s="683" t="s">
        <v>101</v>
      </c>
      <c r="C859" s="683"/>
      <c r="D859" s="683"/>
      <c r="E859" s="683"/>
      <c r="F859" s="3"/>
      <c r="G859" s="3"/>
      <c r="H859" s="684"/>
      <c r="I859" s="683"/>
      <c r="J859" s="683"/>
      <c r="K859" s="3"/>
      <c r="L859" s="3"/>
      <c r="M859" s="683"/>
      <c r="N859" s="685"/>
      <c r="O859" s="683"/>
      <c r="P859" s="683"/>
      <c r="Q859" s="683"/>
      <c r="R859" s="683"/>
      <c r="S859" s="683"/>
      <c r="T859" s="683"/>
      <c r="U859" s="683"/>
      <c r="V859" s="683"/>
      <c r="W859" s="683"/>
      <c r="X859" s="683"/>
      <c r="Y859" s="683"/>
      <c r="Z859" s="683"/>
    </row>
    <row r="860" spans="1:26" ht="15.75" customHeight="1" x14ac:dyDescent="0.25">
      <c r="A860" s="3" t="s">
        <v>2462</v>
      </c>
      <c r="B860" s="683" t="s">
        <v>101</v>
      </c>
      <c r="C860" s="683"/>
      <c r="D860" s="683"/>
      <c r="E860" s="683"/>
      <c r="F860" s="3"/>
      <c r="G860" s="3"/>
      <c r="H860" s="684"/>
      <c r="I860" s="683"/>
      <c r="J860" s="683"/>
      <c r="K860" s="3"/>
      <c r="L860" s="3"/>
      <c r="M860" s="683"/>
      <c r="N860" s="685"/>
      <c r="O860" s="683"/>
      <c r="P860" s="683"/>
      <c r="Q860" s="683"/>
      <c r="R860" s="683"/>
      <c r="S860" s="683"/>
      <c r="T860" s="683"/>
      <c r="U860" s="683"/>
      <c r="V860" s="683"/>
      <c r="W860" s="683"/>
      <c r="X860" s="683"/>
      <c r="Y860" s="683"/>
      <c r="Z860" s="683"/>
    </row>
    <row r="861" spans="1:26" ht="15.75" customHeight="1" x14ac:dyDescent="0.25">
      <c r="A861" s="3" t="s">
        <v>101</v>
      </c>
      <c r="B861" s="683" t="s">
        <v>101</v>
      </c>
      <c r="C861" s="683"/>
      <c r="D861" s="683"/>
      <c r="E861" s="683"/>
      <c r="F861" s="3"/>
      <c r="G861" s="3"/>
      <c r="H861" s="684"/>
      <c r="I861" s="683"/>
      <c r="J861" s="683"/>
      <c r="K861" s="3"/>
      <c r="L861" s="3"/>
      <c r="M861" s="683"/>
      <c r="N861" s="685"/>
      <c r="O861" s="683"/>
      <c r="P861" s="683"/>
      <c r="Q861" s="683"/>
      <c r="R861" s="683"/>
      <c r="S861" s="683"/>
      <c r="T861" s="683"/>
      <c r="U861" s="683"/>
      <c r="V861" s="683"/>
      <c r="W861" s="683"/>
      <c r="X861" s="683"/>
      <c r="Y861" s="683"/>
      <c r="Z861" s="683"/>
    </row>
    <row r="862" spans="1:26" ht="15.75" customHeight="1" x14ac:dyDescent="0.25">
      <c r="A862" s="3" t="s">
        <v>2463</v>
      </c>
      <c r="B862" s="683" t="s">
        <v>101</v>
      </c>
      <c r="C862" s="683"/>
      <c r="D862" s="683"/>
      <c r="E862" s="683"/>
      <c r="F862" s="3"/>
      <c r="G862" s="3"/>
      <c r="H862" s="684"/>
      <c r="I862" s="683"/>
      <c r="J862" s="683"/>
      <c r="K862" s="3"/>
      <c r="L862" s="3"/>
      <c r="M862" s="683"/>
      <c r="N862" s="685"/>
      <c r="O862" s="683"/>
      <c r="P862" s="683"/>
      <c r="Q862" s="683"/>
      <c r="R862" s="683"/>
      <c r="S862" s="683"/>
      <c r="T862" s="683"/>
      <c r="U862" s="683"/>
      <c r="V862" s="683"/>
      <c r="W862" s="683"/>
      <c r="X862" s="683"/>
      <c r="Y862" s="683"/>
      <c r="Z862" s="683"/>
    </row>
    <row r="863" spans="1:26" ht="15.75" customHeight="1" x14ac:dyDescent="0.25">
      <c r="A863" s="683" t="s">
        <v>2464</v>
      </c>
      <c r="B863" s="683" t="s">
        <v>101</v>
      </c>
      <c r="C863" s="683"/>
      <c r="D863" s="683"/>
      <c r="E863" s="683"/>
      <c r="F863" s="3"/>
      <c r="G863" s="3"/>
      <c r="H863" s="684"/>
      <c r="I863" s="683"/>
      <c r="J863" s="683"/>
      <c r="K863" s="3"/>
      <c r="L863" s="3"/>
      <c r="M863" s="683"/>
      <c r="N863" s="685"/>
      <c r="O863" s="683"/>
      <c r="P863" s="683"/>
      <c r="Q863" s="683"/>
      <c r="R863" s="683"/>
      <c r="S863" s="683"/>
      <c r="T863" s="683"/>
      <c r="U863" s="683"/>
      <c r="V863" s="683"/>
      <c r="W863" s="683"/>
      <c r="X863" s="683"/>
      <c r="Y863" s="683"/>
      <c r="Z863" s="683"/>
    </row>
    <row r="864" spans="1:26" ht="15.75" customHeight="1" x14ac:dyDescent="0.25">
      <c r="A864" s="683" t="s">
        <v>2465</v>
      </c>
      <c r="B864" s="683" t="s">
        <v>101</v>
      </c>
      <c r="C864" s="683"/>
      <c r="D864" s="683"/>
      <c r="E864" s="683"/>
      <c r="F864" s="3"/>
      <c r="G864" s="3"/>
      <c r="H864" s="684"/>
      <c r="I864" s="683"/>
      <c r="J864" s="683"/>
      <c r="K864" s="3"/>
      <c r="L864" s="3"/>
      <c r="M864" s="683"/>
      <c r="N864" s="685"/>
      <c r="O864" s="683"/>
      <c r="P864" s="683"/>
      <c r="Q864" s="683"/>
      <c r="R864" s="683"/>
      <c r="S864" s="683"/>
      <c r="T864" s="683"/>
      <c r="U864" s="683"/>
      <c r="V864" s="683"/>
      <c r="W864" s="683"/>
      <c r="X864" s="683"/>
      <c r="Y864" s="683"/>
      <c r="Z864" s="683"/>
    </row>
    <row r="865" spans="1:26" ht="15.75" customHeight="1" x14ac:dyDescent="0.25">
      <c r="A865" s="683" t="s">
        <v>2466</v>
      </c>
      <c r="B865" s="683" t="s">
        <v>101</v>
      </c>
      <c r="C865" s="683"/>
      <c r="D865" s="683"/>
      <c r="E865" s="683"/>
      <c r="F865" s="3"/>
      <c r="G865" s="3"/>
      <c r="H865" s="684"/>
      <c r="I865" s="683"/>
      <c r="J865" s="683"/>
      <c r="K865" s="3"/>
      <c r="L865" s="3"/>
      <c r="M865" s="683"/>
      <c r="N865" s="685"/>
      <c r="O865" s="683"/>
      <c r="P865" s="683"/>
      <c r="Q865" s="683"/>
      <c r="R865" s="683"/>
      <c r="S865" s="683"/>
      <c r="T865" s="683"/>
      <c r="U865" s="683"/>
      <c r="V865" s="683"/>
      <c r="W865" s="683"/>
      <c r="X865" s="683"/>
      <c r="Y865" s="683"/>
      <c r="Z865" s="683"/>
    </row>
    <row r="866" spans="1:26" ht="15.75" customHeight="1" x14ac:dyDescent="0.25">
      <c r="A866" s="683" t="s">
        <v>2467</v>
      </c>
      <c r="B866" s="683" t="s">
        <v>101</v>
      </c>
      <c r="C866" s="683"/>
      <c r="D866" s="683"/>
      <c r="E866" s="683"/>
      <c r="F866" s="3"/>
      <c r="G866" s="3"/>
      <c r="H866" s="684"/>
      <c r="I866" s="683"/>
      <c r="J866" s="683"/>
      <c r="K866" s="3"/>
      <c r="L866" s="3"/>
      <c r="M866" s="683"/>
      <c r="N866" s="685"/>
      <c r="O866" s="683"/>
      <c r="P866" s="683"/>
      <c r="Q866" s="683"/>
      <c r="R866" s="683"/>
      <c r="S866" s="683"/>
      <c r="T866" s="683"/>
      <c r="U866" s="683"/>
      <c r="V866" s="683"/>
      <c r="W866" s="683"/>
      <c r="X866" s="683"/>
      <c r="Y866" s="683"/>
      <c r="Z866" s="683"/>
    </row>
    <row r="867" spans="1:26" ht="15.75" customHeight="1" x14ac:dyDescent="0.25">
      <c r="A867" s="683" t="s">
        <v>2468</v>
      </c>
      <c r="B867" s="683" t="s">
        <v>101</v>
      </c>
      <c r="C867" s="683"/>
      <c r="D867" s="683"/>
      <c r="E867" s="683"/>
      <c r="F867" s="3"/>
      <c r="G867" s="3"/>
      <c r="H867" s="684"/>
      <c r="I867" s="683"/>
      <c r="J867" s="683"/>
      <c r="K867" s="3"/>
      <c r="L867" s="3"/>
      <c r="M867" s="683"/>
      <c r="N867" s="685"/>
      <c r="O867" s="683"/>
      <c r="P867" s="683"/>
      <c r="Q867" s="683"/>
      <c r="R867" s="683"/>
      <c r="S867" s="683"/>
      <c r="T867" s="683"/>
      <c r="U867" s="683"/>
      <c r="V867" s="683"/>
      <c r="W867" s="683"/>
      <c r="X867" s="683"/>
      <c r="Y867" s="683"/>
      <c r="Z867" s="683"/>
    </row>
    <row r="868" spans="1:26" ht="15.75" customHeight="1" x14ac:dyDescent="0.25">
      <c r="A868" s="683" t="s">
        <v>582</v>
      </c>
      <c r="B868" s="683" t="s">
        <v>101</v>
      </c>
      <c r="C868" s="683"/>
      <c r="D868" s="683"/>
      <c r="E868" s="683"/>
      <c r="F868" s="3"/>
      <c r="G868" s="3"/>
      <c r="H868" s="684"/>
      <c r="I868" s="683"/>
      <c r="J868" s="683"/>
      <c r="K868" s="3"/>
      <c r="L868" s="3"/>
      <c r="M868" s="683"/>
      <c r="N868" s="685"/>
      <c r="O868" s="683"/>
      <c r="P868" s="683"/>
      <c r="Q868" s="683"/>
      <c r="R868" s="683"/>
      <c r="S868" s="683"/>
      <c r="T868" s="683"/>
      <c r="U868" s="683"/>
      <c r="V868" s="683"/>
      <c r="W868" s="683"/>
      <c r="X868" s="683"/>
      <c r="Y868" s="683"/>
      <c r="Z868" s="683"/>
    </row>
    <row r="869" spans="1:26" ht="15.75" customHeight="1" x14ac:dyDescent="0.25">
      <c r="A869" s="683" t="s">
        <v>2469</v>
      </c>
      <c r="B869" s="683" t="s">
        <v>101</v>
      </c>
      <c r="C869" s="683"/>
      <c r="D869" s="683"/>
      <c r="E869" s="683"/>
      <c r="F869" s="3"/>
      <c r="G869" s="3"/>
      <c r="H869" s="684"/>
      <c r="I869" s="683"/>
      <c r="J869" s="683"/>
      <c r="K869" s="3"/>
      <c r="L869" s="3"/>
      <c r="M869" s="683"/>
      <c r="N869" s="685"/>
      <c r="O869" s="683"/>
      <c r="P869" s="683"/>
      <c r="Q869" s="683"/>
      <c r="R869" s="683"/>
      <c r="S869" s="683"/>
      <c r="T869" s="683"/>
      <c r="U869" s="683"/>
      <c r="V869" s="683"/>
      <c r="W869" s="683"/>
      <c r="X869" s="683"/>
      <c r="Y869" s="683"/>
      <c r="Z869" s="683"/>
    </row>
    <row r="870" spans="1:26" ht="15.75" customHeight="1" x14ac:dyDescent="0.25">
      <c r="A870" s="683" t="s">
        <v>2470</v>
      </c>
      <c r="B870" s="683" t="s">
        <v>101</v>
      </c>
      <c r="C870" s="683"/>
      <c r="D870" s="683"/>
      <c r="E870" s="683"/>
      <c r="F870" s="3"/>
      <c r="G870" s="3"/>
      <c r="H870" s="684"/>
      <c r="I870" s="683"/>
      <c r="J870" s="683"/>
      <c r="K870" s="3"/>
      <c r="L870" s="3"/>
      <c r="M870" s="683"/>
      <c r="N870" s="685"/>
      <c r="O870" s="683"/>
      <c r="P870" s="683"/>
      <c r="Q870" s="683"/>
      <c r="R870" s="683"/>
      <c r="S870" s="683"/>
      <c r="T870" s="683"/>
      <c r="U870" s="683"/>
      <c r="V870" s="683"/>
      <c r="W870" s="683"/>
      <c r="X870" s="683"/>
      <c r="Y870" s="683"/>
      <c r="Z870" s="683"/>
    </row>
    <row r="871" spans="1:26" ht="15.75" customHeight="1" x14ac:dyDescent="0.25">
      <c r="A871" s="683" t="s">
        <v>2471</v>
      </c>
      <c r="B871" s="683" t="s">
        <v>101</v>
      </c>
      <c r="C871" s="683"/>
      <c r="D871" s="683"/>
      <c r="E871" s="683"/>
      <c r="F871" s="3"/>
      <c r="G871" s="3"/>
      <c r="H871" s="684"/>
      <c r="I871" s="683"/>
      <c r="J871" s="683"/>
      <c r="K871" s="3"/>
      <c r="L871" s="3"/>
      <c r="M871" s="683"/>
      <c r="N871" s="685"/>
      <c r="O871" s="683"/>
      <c r="P871" s="683"/>
      <c r="Q871" s="683"/>
      <c r="R871" s="683"/>
      <c r="S871" s="683"/>
      <c r="T871" s="683"/>
      <c r="U871" s="683"/>
      <c r="V871" s="683"/>
      <c r="W871" s="683"/>
      <c r="X871" s="683"/>
      <c r="Y871" s="683"/>
      <c r="Z871" s="683"/>
    </row>
    <row r="872" spans="1:26" ht="15.75" customHeight="1" x14ac:dyDescent="0.25">
      <c r="A872" s="683" t="s">
        <v>2472</v>
      </c>
      <c r="B872" s="683" t="s">
        <v>101</v>
      </c>
      <c r="C872" s="683"/>
      <c r="D872" s="683"/>
      <c r="E872" s="683"/>
      <c r="F872" s="3"/>
      <c r="G872" s="3"/>
      <c r="H872" s="684"/>
      <c r="I872" s="683"/>
      <c r="J872" s="683"/>
      <c r="K872" s="3"/>
      <c r="L872" s="3"/>
      <c r="M872" s="683"/>
      <c r="N872" s="685"/>
      <c r="O872" s="683"/>
      <c r="P872" s="683"/>
      <c r="Q872" s="683"/>
      <c r="R872" s="683"/>
      <c r="S872" s="683"/>
      <c r="T872" s="683"/>
      <c r="U872" s="683"/>
      <c r="V872" s="683"/>
      <c r="W872" s="683"/>
      <c r="X872" s="683"/>
      <c r="Y872" s="683"/>
      <c r="Z872" s="683"/>
    </row>
    <row r="873" spans="1:26" ht="15.75" customHeight="1" x14ac:dyDescent="0.25">
      <c r="A873" s="683" t="s">
        <v>2473</v>
      </c>
      <c r="B873" s="683" t="s">
        <v>101</v>
      </c>
      <c r="C873" s="683"/>
      <c r="D873" s="683"/>
      <c r="E873" s="683"/>
      <c r="H873" s="684"/>
      <c r="I873" s="683"/>
      <c r="J873" s="683"/>
      <c r="K873" s="3"/>
      <c r="L873" s="3"/>
      <c r="M873" s="683"/>
      <c r="N873" s="685"/>
      <c r="O873" s="683"/>
      <c r="P873" s="683"/>
      <c r="Q873" s="683"/>
      <c r="R873" s="683"/>
      <c r="S873" s="683"/>
      <c r="T873" s="683"/>
      <c r="U873" s="683"/>
      <c r="V873" s="683"/>
      <c r="W873" s="683"/>
      <c r="X873" s="683"/>
      <c r="Y873" s="683"/>
      <c r="Z873" s="683"/>
    </row>
    <row r="874" spans="1:26" ht="15.75" customHeight="1" x14ac:dyDescent="0.25">
      <c r="A874" s="683" t="s">
        <v>2474</v>
      </c>
      <c r="B874" s="3" t="s">
        <v>2475</v>
      </c>
      <c r="C874" s="683"/>
      <c r="D874" s="683"/>
      <c r="E874" s="683"/>
      <c r="H874" s="684"/>
      <c r="I874" s="683"/>
      <c r="J874" s="683"/>
      <c r="K874" s="3"/>
      <c r="L874" s="3"/>
      <c r="M874" s="683"/>
      <c r="N874" s="685"/>
      <c r="O874" s="683"/>
      <c r="P874" s="683"/>
      <c r="Q874" s="683"/>
      <c r="R874" s="683"/>
      <c r="S874" s="683"/>
      <c r="T874" s="683"/>
      <c r="U874" s="683"/>
      <c r="V874" s="683"/>
      <c r="W874" s="683"/>
      <c r="X874" s="683"/>
      <c r="Y874" s="683"/>
      <c r="Z874" s="683"/>
    </row>
    <row r="875" spans="1:26" ht="15.75" customHeight="1" x14ac:dyDescent="0.25">
      <c r="A875" s="683" t="s">
        <v>2476</v>
      </c>
      <c r="B875" s="3" t="s">
        <v>2475</v>
      </c>
      <c r="C875" s="683"/>
      <c r="D875" s="683"/>
      <c r="E875" s="683"/>
      <c r="H875" s="684"/>
      <c r="I875" s="683"/>
      <c r="J875" s="683"/>
      <c r="K875" s="3"/>
      <c r="L875" s="3"/>
      <c r="M875" s="683"/>
      <c r="N875" s="685"/>
      <c r="O875" s="683"/>
      <c r="P875" s="683"/>
      <c r="Q875" s="683"/>
      <c r="R875" s="683"/>
      <c r="S875" s="683"/>
      <c r="T875" s="683"/>
      <c r="U875" s="683"/>
      <c r="V875" s="683"/>
      <c r="W875" s="683"/>
      <c r="X875" s="683"/>
      <c r="Y875" s="683"/>
      <c r="Z875" s="683"/>
    </row>
    <row r="876" spans="1:26" ht="15.75" customHeight="1" x14ac:dyDescent="0.25">
      <c r="A876" s="683" t="s">
        <v>2477</v>
      </c>
      <c r="B876" s="3" t="s">
        <v>2475</v>
      </c>
      <c r="C876" s="683"/>
      <c r="D876" s="683"/>
      <c r="E876" s="683"/>
      <c r="H876" s="684"/>
      <c r="I876" s="683"/>
      <c r="J876" s="683"/>
      <c r="K876" s="3"/>
      <c r="L876" s="3"/>
      <c r="M876" s="683"/>
      <c r="N876" s="685"/>
      <c r="O876" s="683"/>
      <c r="P876" s="683"/>
      <c r="Q876" s="683"/>
      <c r="R876" s="683"/>
      <c r="S876" s="683"/>
      <c r="T876" s="683"/>
      <c r="U876" s="683"/>
      <c r="V876" s="683"/>
      <c r="W876" s="683"/>
      <c r="X876" s="683"/>
      <c r="Y876" s="683"/>
      <c r="Z876" s="683"/>
    </row>
    <row r="877" spans="1:26" ht="15.75" customHeight="1" x14ac:dyDescent="0.25">
      <c r="A877" s="683" t="s">
        <v>2478</v>
      </c>
      <c r="B877" s="3" t="s">
        <v>101</v>
      </c>
      <c r="C877" s="683"/>
      <c r="D877" s="683"/>
      <c r="E877" s="683"/>
      <c r="H877" s="684"/>
      <c r="I877" s="683"/>
      <c r="J877" s="683"/>
      <c r="K877" s="3"/>
      <c r="L877" s="3"/>
      <c r="M877" s="683"/>
      <c r="N877" s="685"/>
      <c r="O877" s="683"/>
      <c r="P877" s="683"/>
      <c r="Q877" s="683"/>
      <c r="R877" s="683"/>
      <c r="S877" s="683"/>
      <c r="T877" s="683"/>
      <c r="U877" s="683"/>
      <c r="V877" s="683"/>
      <c r="W877" s="683"/>
      <c r="X877" s="683"/>
      <c r="Y877" s="683"/>
      <c r="Z877" s="683"/>
    </row>
    <row r="878" spans="1:26" ht="15.75" customHeight="1" x14ac:dyDescent="0.25">
      <c r="A878" s="683" t="s">
        <v>2479</v>
      </c>
      <c r="B878" s="3" t="s">
        <v>101</v>
      </c>
      <c r="C878" s="683"/>
      <c r="D878" s="683"/>
      <c r="E878" s="683"/>
      <c r="F878" s="3"/>
      <c r="G878" s="3"/>
      <c r="H878" s="684"/>
      <c r="I878" s="683"/>
      <c r="J878" s="683"/>
      <c r="K878" s="3"/>
      <c r="L878" s="683"/>
      <c r="M878" s="683"/>
      <c r="N878" s="685"/>
      <c r="O878" s="683"/>
      <c r="P878" s="683"/>
      <c r="Q878" s="683"/>
      <c r="R878" s="683"/>
      <c r="S878" s="683"/>
      <c r="T878" s="683"/>
      <c r="U878" s="683"/>
      <c r="V878" s="683"/>
      <c r="W878" s="683"/>
      <c r="X878" s="683"/>
      <c r="Y878" s="683"/>
      <c r="Z878" s="683"/>
    </row>
    <row r="879" spans="1:26" ht="15.75" customHeight="1" x14ac:dyDescent="0.25">
      <c r="A879" s="683" t="s">
        <v>2480</v>
      </c>
      <c r="B879" s="3" t="s">
        <v>101</v>
      </c>
      <c r="C879" s="683"/>
      <c r="D879" s="683"/>
      <c r="E879" s="683"/>
      <c r="F879" s="683"/>
      <c r="G879" s="683"/>
      <c r="H879" s="711"/>
      <c r="I879" s="683"/>
      <c r="J879" s="683"/>
      <c r="K879" s="3"/>
      <c r="L879" s="3"/>
      <c r="M879" s="683"/>
      <c r="N879" s="685"/>
      <c r="O879" s="683"/>
      <c r="P879" s="683"/>
      <c r="Q879" s="683"/>
      <c r="R879" s="683"/>
      <c r="S879" s="683"/>
      <c r="T879" s="683"/>
      <c r="U879" s="683"/>
      <c r="V879" s="683"/>
      <c r="W879" s="683"/>
      <c r="X879" s="683"/>
      <c r="Y879" s="683"/>
      <c r="Z879" s="683"/>
    </row>
    <row r="880" spans="1:26" ht="15.75" customHeight="1" x14ac:dyDescent="0.25">
      <c r="A880" s="683" t="s">
        <v>2481</v>
      </c>
      <c r="B880" s="3" t="s">
        <v>101</v>
      </c>
      <c r="C880" s="683"/>
      <c r="D880" s="683"/>
      <c r="E880" s="683"/>
      <c r="F880" s="683"/>
      <c r="G880" s="683"/>
      <c r="H880" s="711"/>
      <c r="I880" s="683"/>
      <c r="J880" s="683"/>
      <c r="K880" s="3"/>
      <c r="L880" s="3"/>
      <c r="M880" s="683"/>
      <c r="N880" s="685"/>
      <c r="O880" s="683"/>
      <c r="P880" s="683"/>
      <c r="Q880" s="683"/>
      <c r="R880" s="683"/>
      <c r="S880" s="683"/>
      <c r="T880" s="683"/>
      <c r="U880" s="683"/>
      <c r="V880" s="683"/>
      <c r="W880" s="683"/>
      <c r="X880" s="683"/>
      <c r="Y880" s="683"/>
      <c r="Z880" s="683"/>
    </row>
    <row r="881" spans="1:26" ht="15.75" customHeight="1" x14ac:dyDescent="0.25">
      <c r="A881" s="683" t="s">
        <v>2482</v>
      </c>
      <c r="B881" s="3" t="s">
        <v>101</v>
      </c>
      <c r="C881" s="683"/>
      <c r="D881" s="683"/>
      <c r="E881" s="683"/>
      <c r="F881" s="683"/>
      <c r="G881" s="683"/>
      <c r="H881" s="711"/>
      <c r="I881" s="683"/>
      <c r="J881" s="683"/>
      <c r="K881" s="3"/>
      <c r="L881" s="3"/>
      <c r="M881" s="683"/>
      <c r="N881" s="685"/>
      <c r="O881" s="683"/>
      <c r="P881" s="683"/>
      <c r="Q881" s="683"/>
      <c r="R881" s="683"/>
      <c r="S881" s="683"/>
      <c r="T881" s="683"/>
      <c r="U881" s="683"/>
      <c r="V881" s="683"/>
      <c r="W881" s="683"/>
      <c r="X881" s="683"/>
      <c r="Y881" s="683"/>
      <c r="Z881" s="683"/>
    </row>
    <row r="882" spans="1:26" ht="15.75" customHeight="1" x14ac:dyDescent="0.25">
      <c r="A882" s="683" t="s">
        <v>2483</v>
      </c>
      <c r="B882" s="3" t="s">
        <v>101</v>
      </c>
      <c r="C882" s="683"/>
      <c r="D882" s="683"/>
      <c r="E882" s="683"/>
      <c r="F882" s="683"/>
      <c r="G882" s="683"/>
      <c r="H882" s="711"/>
      <c r="I882" s="683"/>
      <c r="J882" s="683"/>
      <c r="K882" s="3"/>
      <c r="L882" s="3"/>
      <c r="M882" s="683"/>
      <c r="N882" s="685"/>
      <c r="O882" s="683"/>
      <c r="P882" s="683"/>
      <c r="Q882" s="683"/>
      <c r="R882" s="683"/>
      <c r="S882" s="683"/>
      <c r="T882" s="683"/>
      <c r="U882" s="683"/>
      <c r="V882" s="683"/>
      <c r="W882" s="683"/>
      <c r="X882" s="683"/>
      <c r="Y882" s="683"/>
      <c r="Z882" s="683"/>
    </row>
    <row r="883" spans="1:26" ht="15.75" customHeight="1" x14ac:dyDescent="0.25">
      <c r="A883" s="683" t="s">
        <v>2484</v>
      </c>
      <c r="B883" s="3" t="s">
        <v>101</v>
      </c>
      <c r="C883" s="683"/>
      <c r="D883" s="683"/>
      <c r="E883" s="683"/>
      <c r="F883" s="683"/>
      <c r="G883" s="683"/>
      <c r="H883" s="711"/>
      <c r="I883" s="683"/>
      <c r="J883" s="683"/>
      <c r="K883" s="3"/>
      <c r="L883" s="3"/>
      <c r="M883" s="683"/>
      <c r="N883" s="685"/>
      <c r="O883" s="683"/>
      <c r="P883" s="683"/>
      <c r="Q883" s="683"/>
      <c r="R883" s="683"/>
      <c r="S883" s="683"/>
      <c r="T883" s="683"/>
      <c r="U883" s="683"/>
      <c r="V883" s="683"/>
      <c r="W883" s="683"/>
      <c r="X883" s="683"/>
      <c r="Y883" s="683"/>
      <c r="Z883" s="683"/>
    </row>
    <row r="884" spans="1:26" ht="15.75" customHeight="1" x14ac:dyDescent="0.25">
      <c r="A884" s="683" t="s">
        <v>2485</v>
      </c>
      <c r="B884" s="3" t="s">
        <v>101</v>
      </c>
      <c r="C884" s="683"/>
      <c r="D884" s="683"/>
      <c r="E884" s="683"/>
      <c r="F884" s="683"/>
      <c r="G884" s="683"/>
      <c r="H884" s="711"/>
      <c r="I884" s="683"/>
      <c r="J884" s="683"/>
      <c r="K884" s="3"/>
      <c r="L884" s="3"/>
      <c r="M884" s="683"/>
      <c r="N884" s="685"/>
      <c r="O884" s="683"/>
      <c r="P884" s="683"/>
      <c r="Q884" s="683"/>
      <c r="R884" s="683"/>
      <c r="S884" s="683"/>
      <c r="T884" s="683"/>
      <c r="U884" s="683"/>
      <c r="V884" s="683"/>
      <c r="W884" s="683"/>
      <c r="X884" s="683"/>
      <c r="Y884" s="683"/>
      <c r="Z884" s="683"/>
    </row>
    <row r="885" spans="1:26" ht="15.75" customHeight="1" x14ac:dyDescent="0.25">
      <c r="A885" s="683" t="s">
        <v>2486</v>
      </c>
      <c r="B885" s="3" t="s">
        <v>101</v>
      </c>
      <c r="C885" s="683"/>
      <c r="D885" s="683"/>
      <c r="E885" s="683"/>
      <c r="F885" s="683"/>
      <c r="G885" s="683"/>
      <c r="H885" s="711"/>
      <c r="I885" s="683"/>
      <c r="J885" s="683"/>
      <c r="K885" s="3"/>
      <c r="L885" s="3"/>
      <c r="M885" s="683"/>
      <c r="N885" s="685"/>
      <c r="O885" s="683"/>
      <c r="P885" s="683"/>
      <c r="Q885" s="683"/>
      <c r="R885" s="683"/>
      <c r="S885" s="683"/>
      <c r="T885" s="683"/>
      <c r="U885" s="683"/>
      <c r="V885" s="683"/>
      <c r="W885" s="683"/>
      <c r="X885" s="683"/>
      <c r="Y885" s="683"/>
      <c r="Z885" s="683"/>
    </row>
    <row r="886" spans="1:26" ht="15.75" customHeight="1" x14ac:dyDescent="0.25">
      <c r="A886" s="683" t="s">
        <v>2487</v>
      </c>
      <c r="B886" s="3" t="s">
        <v>101</v>
      </c>
      <c r="C886" s="683"/>
      <c r="D886" s="683"/>
      <c r="E886" s="683"/>
      <c r="F886" s="683"/>
      <c r="G886" s="739"/>
      <c r="H886" s="711"/>
      <c r="I886" s="683"/>
      <c r="J886" s="683"/>
      <c r="K886" s="3"/>
      <c r="L886" s="3"/>
      <c r="M886" s="683"/>
      <c r="N886" s="685"/>
      <c r="O886" s="683"/>
      <c r="P886" s="683"/>
      <c r="Q886" s="683"/>
      <c r="R886" s="683"/>
      <c r="S886" s="683"/>
      <c r="T886" s="683"/>
      <c r="U886" s="683"/>
      <c r="V886" s="683"/>
      <c r="W886" s="683"/>
      <c r="X886" s="683"/>
      <c r="Y886" s="683"/>
      <c r="Z886" s="683"/>
    </row>
    <row r="887" spans="1:26" ht="15.75" customHeight="1" x14ac:dyDescent="0.25">
      <c r="A887" s="683" t="s">
        <v>2488</v>
      </c>
      <c r="B887" s="3" t="s">
        <v>101</v>
      </c>
      <c r="C887" s="683"/>
      <c r="D887" s="683"/>
      <c r="E887" s="683"/>
      <c r="F887" s="683"/>
      <c r="G887" s="683"/>
      <c r="H887" s="711"/>
      <c r="I887" s="683"/>
      <c r="J887" s="683"/>
      <c r="K887" s="3"/>
      <c r="L887" s="3"/>
      <c r="M887" s="683"/>
      <c r="N887" s="685"/>
      <c r="O887" s="683"/>
      <c r="P887" s="683"/>
      <c r="Q887" s="683"/>
      <c r="R887" s="683"/>
      <c r="S887" s="683"/>
      <c r="T887" s="683"/>
      <c r="U887" s="683"/>
      <c r="V887" s="683"/>
      <c r="W887" s="683"/>
      <c r="X887" s="683"/>
      <c r="Y887" s="683"/>
      <c r="Z887" s="683"/>
    </row>
    <row r="888" spans="1:26" ht="15.75" customHeight="1" x14ac:dyDescent="0.25">
      <c r="A888" s="683" t="s">
        <v>2489</v>
      </c>
      <c r="B888" s="3" t="s">
        <v>101</v>
      </c>
      <c r="C888" s="683"/>
      <c r="D888" s="683"/>
      <c r="E888" s="683"/>
      <c r="F888" s="683"/>
      <c r="G888" s="683"/>
      <c r="H888" s="711"/>
      <c r="I888" s="683"/>
      <c r="J888" s="683"/>
      <c r="K888" s="3"/>
      <c r="L888" s="3"/>
      <c r="M888" s="683"/>
      <c r="N888" s="685"/>
      <c r="O888" s="683"/>
      <c r="P888" s="683"/>
      <c r="Q888" s="683"/>
      <c r="R888" s="683"/>
      <c r="S888" s="683"/>
      <c r="T888" s="683"/>
      <c r="U888" s="683"/>
      <c r="V888" s="683"/>
      <c r="W888" s="683"/>
      <c r="X888" s="683"/>
      <c r="Y888" s="683"/>
      <c r="Z888" s="683"/>
    </row>
    <row r="889" spans="1:26" ht="15.75" customHeight="1" x14ac:dyDescent="0.25">
      <c r="A889" s="683" t="s">
        <v>2490</v>
      </c>
      <c r="B889" s="3" t="s">
        <v>101</v>
      </c>
      <c r="C889" s="683"/>
      <c r="D889" s="683"/>
      <c r="E889" s="683"/>
      <c r="F889" s="683"/>
      <c r="G889" s="683"/>
      <c r="H889" s="711"/>
      <c r="I889" s="683"/>
      <c r="J889" s="683"/>
      <c r="K889" s="3"/>
      <c r="L889" s="3"/>
      <c r="M889" s="683"/>
      <c r="N889" s="685"/>
      <c r="O889" s="683"/>
      <c r="P889" s="683"/>
      <c r="Q889" s="683"/>
      <c r="R889" s="683"/>
      <c r="S889" s="683"/>
      <c r="T889" s="683"/>
      <c r="U889" s="683"/>
      <c r="V889" s="683"/>
      <c r="W889" s="683"/>
      <c r="X889" s="683"/>
      <c r="Y889" s="683"/>
      <c r="Z889" s="683"/>
    </row>
    <row r="890" spans="1:26" ht="15.75" customHeight="1" x14ac:dyDescent="0.25">
      <c r="A890" s="683" t="s">
        <v>2491</v>
      </c>
      <c r="B890" s="3" t="s">
        <v>2492</v>
      </c>
      <c r="C890" s="683"/>
      <c r="D890" s="683"/>
      <c r="E890" s="683"/>
      <c r="F890" s="683"/>
      <c r="G890" s="683"/>
      <c r="H890" s="711"/>
      <c r="I890" s="683"/>
      <c r="J890" s="683"/>
      <c r="K890" s="3"/>
      <c r="L890" s="3"/>
      <c r="M890" s="683"/>
      <c r="N890" s="685"/>
      <c r="O890" s="683"/>
      <c r="P890" s="683"/>
      <c r="Q890" s="683"/>
      <c r="R890" s="683"/>
      <c r="S890" s="683"/>
      <c r="T890" s="683"/>
      <c r="U890" s="683"/>
      <c r="V890" s="683"/>
      <c r="W890" s="683"/>
      <c r="X890" s="683"/>
      <c r="Y890" s="683"/>
      <c r="Z890" s="683"/>
    </row>
    <row r="891" spans="1:26" ht="15.75" customHeight="1" x14ac:dyDescent="0.25">
      <c r="A891" s="683" t="s">
        <v>2493</v>
      </c>
      <c r="B891" s="3" t="s">
        <v>2475</v>
      </c>
      <c r="C891" s="683"/>
      <c r="D891" s="683"/>
      <c r="E891" s="683"/>
      <c r="F891" s="683"/>
      <c r="G891" s="683"/>
      <c r="H891" s="711"/>
      <c r="I891" s="683"/>
      <c r="J891" s="683"/>
      <c r="K891" s="683"/>
      <c r="L891" s="683"/>
      <c r="M891" s="683"/>
      <c r="N891" s="685"/>
      <c r="O891" s="683"/>
      <c r="P891" s="683"/>
      <c r="Q891" s="683"/>
      <c r="R891" s="683"/>
      <c r="S891" s="683"/>
      <c r="T891" s="683"/>
      <c r="U891" s="683"/>
      <c r="V891" s="683"/>
      <c r="W891" s="683"/>
      <c r="X891" s="683"/>
      <c r="Y891" s="683"/>
      <c r="Z891" s="683"/>
    </row>
    <row r="892" spans="1:26" ht="15.75" customHeight="1" x14ac:dyDescent="0.25">
      <c r="A892" s="683" t="s">
        <v>2494</v>
      </c>
      <c r="B892" s="3" t="s">
        <v>2475</v>
      </c>
      <c r="C892" s="683"/>
      <c r="D892" s="683"/>
      <c r="E892" s="683"/>
      <c r="F892" s="683"/>
      <c r="G892" s="683"/>
      <c r="H892" s="711"/>
      <c r="I892" s="683"/>
      <c r="J892" s="683"/>
      <c r="K892" s="683"/>
      <c r="L892" s="683"/>
      <c r="M892" s="683"/>
      <c r="N892" s="685"/>
      <c r="O892" s="683"/>
      <c r="P892" s="683"/>
      <c r="Q892" s="683"/>
      <c r="R892" s="683"/>
      <c r="S892" s="683"/>
      <c r="T892" s="683"/>
      <c r="U892" s="683"/>
      <c r="V892" s="683"/>
      <c r="W892" s="683"/>
      <c r="X892" s="683"/>
      <c r="Y892" s="683"/>
      <c r="Z892" s="683"/>
    </row>
    <row r="893" spans="1:26" ht="15.75" customHeight="1" x14ac:dyDescent="0.25">
      <c r="A893" s="683" t="s">
        <v>2495</v>
      </c>
      <c r="B893" s="3" t="s">
        <v>2475</v>
      </c>
      <c r="C893" s="683"/>
      <c r="D893" s="683"/>
      <c r="E893" s="683"/>
      <c r="F893" s="683"/>
      <c r="G893" s="683"/>
      <c r="H893" s="711"/>
      <c r="I893" s="683"/>
      <c r="J893" s="683"/>
      <c r="K893" s="683"/>
      <c r="L893" s="683"/>
      <c r="M893" s="683"/>
      <c r="N893" s="685"/>
      <c r="O893" s="683"/>
      <c r="P893" s="683"/>
      <c r="Q893" s="683"/>
      <c r="R893" s="683"/>
      <c r="S893" s="683"/>
      <c r="T893" s="683"/>
      <c r="U893" s="683"/>
      <c r="V893" s="683"/>
      <c r="W893" s="683"/>
      <c r="X893" s="683"/>
      <c r="Y893" s="683"/>
      <c r="Z893" s="683"/>
    </row>
    <row r="894" spans="1:26" ht="15.75" customHeight="1" x14ac:dyDescent="0.25">
      <c r="A894" s="683" t="s">
        <v>2496</v>
      </c>
      <c r="B894" s="3" t="s">
        <v>2475</v>
      </c>
      <c r="C894" s="683"/>
      <c r="D894" s="683"/>
      <c r="E894" s="683"/>
      <c r="F894" s="683"/>
      <c r="G894" s="683"/>
      <c r="H894" s="711"/>
      <c r="I894" s="683"/>
      <c r="J894" s="683"/>
      <c r="K894" s="683"/>
      <c r="L894" s="683"/>
      <c r="M894" s="683"/>
      <c r="N894" s="685"/>
      <c r="O894" s="683"/>
      <c r="P894" s="683"/>
      <c r="Q894" s="683"/>
      <c r="R894" s="683"/>
      <c r="S894" s="683"/>
      <c r="T894" s="683"/>
      <c r="U894" s="683"/>
      <c r="V894" s="683"/>
      <c r="W894" s="683"/>
      <c r="X894" s="683"/>
      <c r="Y894" s="683"/>
      <c r="Z894" s="683"/>
    </row>
    <row r="895" spans="1:26" ht="15.75" customHeight="1" x14ac:dyDescent="0.25">
      <c r="A895" s="683" t="s">
        <v>2497</v>
      </c>
      <c r="B895" s="683" t="s">
        <v>2475</v>
      </c>
      <c r="C895" s="683"/>
      <c r="D895" s="683"/>
      <c r="E895" s="683"/>
      <c r="F895" s="683"/>
      <c r="G895" s="683"/>
      <c r="H895" s="711"/>
      <c r="I895" s="683"/>
      <c r="J895" s="683"/>
      <c r="K895" s="683"/>
      <c r="L895" s="683"/>
      <c r="M895" s="683"/>
      <c r="N895" s="685"/>
      <c r="O895" s="683"/>
      <c r="P895" s="683"/>
      <c r="Q895" s="683"/>
      <c r="R895" s="683"/>
      <c r="S895" s="683"/>
      <c r="T895" s="683"/>
      <c r="U895" s="683"/>
      <c r="V895" s="683"/>
      <c r="W895" s="683"/>
      <c r="X895" s="683"/>
      <c r="Y895" s="683"/>
      <c r="Z895" s="683"/>
    </row>
    <row r="896" spans="1:26" ht="15.75" customHeight="1" x14ac:dyDescent="0.25">
      <c r="A896" s="3" t="s">
        <v>2498</v>
      </c>
      <c r="B896" s="683" t="s">
        <v>101</v>
      </c>
      <c r="C896" s="683"/>
      <c r="D896" s="683"/>
      <c r="E896" s="683"/>
      <c r="F896" s="683"/>
      <c r="G896" s="683"/>
      <c r="H896" s="711"/>
      <c r="I896" s="683"/>
      <c r="J896" s="683"/>
      <c r="K896" s="683"/>
      <c r="L896" s="683"/>
      <c r="M896" s="683"/>
      <c r="N896" s="685"/>
      <c r="O896" s="683"/>
      <c r="P896" s="683"/>
      <c r="Q896" s="683"/>
      <c r="R896" s="683"/>
      <c r="S896" s="683"/>
      <c r="T896" s="683"/>
      <c r="U896" s="683"/>
      <c r="V896" s="683"/>
      <c r="W896" s="683"/>
      <c r="X896" s="683"/>
      <c r="Y896" s="683"/>
      <c r="Z896" s="683"/>
    </row>
    <row r="897" spans="1:26" ht="15.75" customHeight="1" x14ac:dyDescent="0.25">
      <c r="A897" s="3" t="s">
        <v>2499</v>
      </c>
      <c r="B897" s="683" t="s">
        <v>2500</v>
      </c>
      <c r="C897" s="683"/>
      <c r="D897" s="683"/>
      <c r="E897" s="683"/>
      <c r="F897" s="683"/>
      <c r="G897" s="683"/>
      <c r="H897" s="711"/>
      <c r="I897" s="683"/>
      <c r="J897" s="683"/>
      <c r="K897" s="683"/>
      <c r="L897" s="683"/>
      <c r="M897" s="683"/>
      <c r="N897" s="685"/>
      <c r="O897" s="683"/>
      <c r="P897" s="683"/>
      <c r="Q897" s="683"/>
      <c r="R897" s="683"/>
      <c r="S897" s="683"/>
      <c r="T897" s="683"/>
      <c r="U897" s="683"/>
      <c r="V897" s="683"/>
      <c r="W897" s="683"/>
      <c r="X897" s="683"/>
      <c r="Y897" s="683"/>
      <c r="Z897" s="683"/>
    </row>
    <row r="898" spans="1:26" ht="15.75" customHeight="1" x14ac:dyDescent="0.25">
      <c r="A898" s="3" t="s">
        <v>2501</v>
      </c>
      <c r="B898" s="683" t="s">
        <v>101</v>
      </c>
      <c r="C898" s="683"/>
      <c r="D898" s="683"/>
      <c r="E898" s="683"/>
      <c r="F898" s="683"/>
      <c r="G898" s="683"/>
      <c r="H898" s="711"/>
      <c r="I898" s="683"/>
      <c r="J898" s="683"/>
      <c r="K898" s="683"/>
      <c r="L898" s="683"/>
      <c r="M898" s="683"/>
      <c r="N898" s="685"/>
      <c r="O898" s="683"/>
      <c r="P898" s="683"/>
      <c r="Q898" s="683"/>
      <c r="R898" s="683"/>
      <c r="S898" s="683"/>
      <c r="T898" s="683"/>
      <c r="U898" s="683"/>
      <c r="V898" s="683"/>
      <c r="W898" s="683"/>
      <c r="X898" s="683"/>
      <c r="Y898" s="683"/>
      <c r="Z898" s="683"/>
    </row>
    <row r="899" spans="1:26" ht="15.75" customHeight="1" x14ac:dyDescent="0.25">
      <c r="A899" s="3" t="s">
        <v>2502</v>
      </c>
      <c r="B899" s="683" t="s">
        <v>101</v>
      </c>
      <c r="C899" s="683"/>
      <c r="D899" s="683"/>
      <c r="E899" s="683"/>
      <c r="F899" s="683"/>
      <c r="G899" s="683"/>
      <c r="H899" s="711"/>
      <c r="I899" s="683"/>
      <c r="J899" s="683"/>
      <c r="K899" s="683"/>
      <c r="L899" s="683"/>
      <c r="M899" s="683"/>
      <c r="N899" s="685"/>
      <c r="O899" s="683"/>
      <c r="P899" s="683"/>
      <c r="Q899" s="683"/>
      <c r="R899" s="683"/>
      <c r="S899" s="683"/>
      <c r="T899" s="683"/>
      <c r="U899" s="683"/>
      <c r="V899" s="683"/>
      <c r="W899" s="683"/>
      <c r="X899" s="683"/>
      <c r="Y899" s="683"/>
      <c r="Z899" s="683"/>
    </row>
    <row r="900" spans="1:26" ht="15.75" customHeight="1" x14ac:dyDescent="0.25">
      <c r="A900" s="3" t="s">
        <v>2503</v>
      </c>
      <c r="B900" s="683" t="s">
        <v>101</v>
      </c>
      <c r="C900" s="683"/>
      <c r="D900" s="683"/>
      <c r="E900" s="683"/>
      <c r="F900" s="683"/>
      <c r="G900" s="683"/>
      <c r="H900" s="711"/>
      <c r="I900" s="683"/>
      <c r="J900" s="683"/>
      <c r="K900" s="683"/>
      <c r="L900" s="683"/>
      <c r="M900" s="683"/>
      <c r="N900" s="685"/>
      <c r="O900" s="683"/>
      <c r="P900" s="683"/>
      <c r="Q900" s="683"/>
      <c r="R900" s="683"/>
      <c r="S900" s="683"/>
      <c r="T900" s="683"/>
      <c r="U900" s="683"/>
      <c r="V900" s="683"/>
      <c r="W900" s="683"/>
      <c r="X900" s="683"/>
      <c r="Y900" s="683"/>
      <c r="Z900" s="683"/>
    </row>
    <row r="901" spans="1:26" ht="15.75" customHeight="1" x14ac:dyDescent="0.25">
      <c r="A901" s="3" t="s">
        <v>2504</v>
      </c>
      <c r="B901" s="3" t="s">
        <v>2505</v>
      </c>
      <c r="C901" s="683"/>
      <c r="D901" s="683"/>
      <c r="E901" s="683"/>
      <c r="F901" s="683"/>
      <c r="G901" s="683"/>
      <c r="H901" s="711"/>
      <c r="I901" s="683"/>
      <c r="J901" s="683"/>
      <c r="K901" s="683"/>
      <c r="L901" s="683"/>
      <c r="M901" s="683"/>
      <c r="N901" s="685"/>
      <c r="O901" s="683"/>
      <c r="P901" s="683"/>
      <c r="Q901" s="683"/>
      <c r="R901" s="683"/>
      <c r="S901" s="683"/>
      <c r="T901" s="683"/>
      <c r="U901" s="683"/>
      <c r="V901" s="683"/>
      <c r="W901" s="683"/>
      <c r="X901" s="683"/>
      <c r="Y901" s="683"/>
      <c r="Z901" s="683"/>
    </row>
    <row r="902" spans="1:26" ht="15.75" customHeight="1" x14ac:dyDescent="0.25">
      <c r="A902" s="683" t="s">
        <v>2506</v>
      </c>
      <c r="B902" s="3" t="s">
        <v>2505</v>
      </c>
      <c r="C902" s="683"/>
      <c r="D902" s="683"/>
      <c r="E902" s="683"/>
      <c r="F902" s="683"/>
      <c r="G902" s="683"/>
      <c r="H902" s="711"/>
      <c r="I902" s="683"/>
      <c r="J902" s="683"/>
      <c r="K902" s="683"/>
      <c r="L902" s="683"/>
      <c r="M902" s="683"/>
      <c r="N902" s="685"/>
      <c r="O902" s="683"/>
      <c r="P902" s="683"/>
      <c r="Q902" s="683"/>
      <c r="R902" s="683"/>
      <c r="S902" s="683"/>
      <c r="T902" s="683"/>
      <c r="U902" s="683"/>
      <c r="V902" s="683"/>
      <c r="W902" s="683"/>
      <c r="X902" s="683"/>
      <c r="Y902" s="683"/>
      <c r="Z902" s="683"/>
    </row>
    <row r="903" spans="1:26" ht="15.75" customHeight="1" x14ac:dyDescent="0.25">
      <c r="A903" s="683" t="s">
        <v>633</v>
      </c>
      <c r="B903" s="3" t="s">
        <v>2507</v>
      </c>
      <c r="C903" s="683"/>
      <c r="D903" s="683"/>
      <c r="E903" s="683"/>
      <c r="F903" s="683"/>
      <c r="G903" s="683"/>
      <c r="H903" s="711"/>
      <c r="I903" s="683"/>
      <c r="J903" s="683"/>
      <c r="K903" s="683"/>
      <c r="L903" s="683"/>
      <c r="M903" s="683"/>
      <c r="N903" s="685"/>
      <c r="O903" s="683"/>
      <c r="P903" s="683"/>
      <c r="Q903" s="683"/>
      <c r="R903" s="683"/>
      <c r="S903" s="683"/>
      <c r="T903" s="683"/>
      <c r="U903" s="683"/>
      <c r="V903" s="683"/>
      <c r="W903" s="683"/>
      <c r="X903" s="683"/>
      <c r="Y903" s="683"/>
      <c r="Z903" s="683"/>
    </row>
    <row r="904" spans="1:26" ht="15.75" customHeight="1" x14ac:dyDescent="0.25">
      <c r="A904" s="683" t="s">
        <v>2508</v>
      </c>
      <c r="B904" s="3" t="s">
        <v>2509</v>
      </c>
      <c r="C904" s="683"/>
      <c r="D904" s="683"/>
      <c r="E904" s="683"/>
      <c r="F904" s="683"/>
      <c r="G904" s="683"/>
      <c r="H904" s="711"/>
      <c r="I904" s="683"/>
      <c r="J904" s="683"/>
      <c r="K904" s="683"/>
      <c r="L904" s="683"/>
      <c r="M904" s="683"/>
      <c r="N904" s="685"/>
      <c r="O904" s="683"/>
      <c r="P904" s="683"/>
      <c r="Q904" s="683"/>
      <c r="R904" s="683"/>
      <c r="S904" s="683"/>
      <c r="T904" s="683"/>
      <c r="U904" s="683"/>
      <c r="V904" s="683"/>
      <c r="W904" s="683"/>
      <c r="X904" s="683"/>
      <c r="Y904" s="683"/>
      <c r="Z904" s="683"/>
    </row>
    <row r="905" spans="1:26" ht="15.75" customHeight="1" x14ac:dyDescent="0.25">
      <c r="A905" s="683" t="s">
        <v>2510</v>
      </c>
      <c r="B905" s="3" t="s">
        <v>2505</v>
      </c>
      <c r="C905" s="683"/>
      <c r="D905" s="683"/>
      <c r="E905" s="683"/>
      <c r="F905" s="683"/>
      <c r="G905" s="683"/>
      <c r="H905" s="711"/>
      <c r="I905" s="683"/>
      <c r="J905" s="683"/>
      <c r="K905" s="683"/>
      <c r="L905" s="683"/>
      <c r="M905" s="683"/>
      <c r="N905" s="685"/>
      <c r="O905" s="683"/>
      <c r="P905" s="683"/>
      <c r="Q905" s="683"/>
      <c r="R905" s="683"/>
      <c r="S905" s="683"/>
      <c r="T905" s="683"/>
      <c r="U905" s="683"/>
      <c r="V905" s="683"/>
      <c r="W905" s="683"/>
      <c r="X905" s="683"/>
      <c r="Y905" s="683"/>
      <c r="Z905" s="683"/>
    </row>
    <row r="906" spans="1:26" ht="15.75" customHeight="1" x14ac:dyDescent="0.25">
      <c r="A906" s="683" t="s">
        <v>2511</v>
      </c>
      <c r="B906" s="3" t="s">
        <v>2505</v>
      </c>
      <c r="C906" s="683"/>
      <c r="D906" s="683"/>
      <c r="E906" s="683"/>
      <c r="F906" s="683"/>
      <c r="G906" s="683"/>
      <c r="H906" s="711"/>
      <c r="I906" s="683"/>
      <c r="J906" s="683"/>
      <c r="K906" s="683"/>
      <c r="L906" s="683"/>
      <c r="M906" s="683"/>
      <c r="N906" s="685"/>
      <c r="O906" s="683"/>
      <c r="P906" s="683"/>
      <c r="Q906" s="683"/>
      <c r="R906" s="683"/>
      <c r="S906" s="683"/>
      <c r="T906" s="683"/>
      <c r="U906" s="683"/>
      <c r="V906" s="683"/>
      <c r="W906" s="683"/>
      <c r="X906" s="683"/>
      <c r="Y906" s="683"/>
      <c r="Z906" s="683"/>
    </row>
    <row r="907" spans="1:26" ht="15.75" customHeight="1" x14ac:dyDescent="0.25">
      <c r="A907" s="3" t="s">
        <v>2512</v>
      </c>
      <c r="B907" s="3" t="s">
        <v>2509</v>
      </c>
      <c r="C907" s="683"/>
      <c r="D907" s="683"/>
      <c r="E907" s="683"/>
      <c r="F907" s="683"/>
      <c r="G907" s="683"/>
      <c r="H907" s="711"/>
      <c r="I907" s="683"/>
      <c r="J907" s="683"/>
      <c r="K907" s="683"/>
      <c r="L907" s="683"/>
      <c r="M907" s="683"/>
      <c r="N907" s="685"/>
      <c r="O907" s="683"/>
      <c r="P907" s="683"/>
      <c r="Q907" s="683"/>
      <c r="R907" s="683"/>
      <c r="S907" s="683"/>
      <c r="T907" s="683"/>
      <c r="U907" s="683"/>
      <c r="V907" s="683"/>
      <c r="W907" s="683"/>
      <c r="X907" s="683"/>
      <c r="Y907" s="683"/>
      <c r="Z907" s="683"/>
    </row>
    <row r="908" spans="1:26" ht="15.75" customHeight="1" x14ac:dyDescent="0.25">
      <c r="A908" s="3" t="s">
        <v>2513</v>
      </c>
      <c r="B908" s="3" t="s">
        <v>2509</v>
      </c>
      <c r="C908" s="683"/>
      <c r="D908" s="683"/>
      <c r="E908" s="683"/>
      <c r="F908" s="683"/>
      <c r="G908" s="683"/>
      <c r="H908" s="711"/>
      <c r="I908" s="683"/>
      <c r="J908" s="683"/>
      <c r="K908" s="683"/>
      <c r="L908" s="683"/>
      <c r="M908" s="683"/>
      <c r="N908" s="685"/>
      <c r="O908" s="683"/>
      <c r="P908" s="683"/>
      <c r="Q908" s="683"/>
      <c r="R908" s="683"/>
      <c r="S908" s="683"/>
      <c r="T908" s="683"/>
      <c r="U908" s="683"/>
      <c r="V908" s="683"/>
      <c r="W908" s="683"/>
      <c r="X908" s="683"/>
      <c r="Y908" s="683"/>
      <c r="Z908" s="683"/>
    </row>
    <row r="909" spans="1:26" ht="15.75" customHeight="1" x14ac:dyDescent="0.25">
      <c r="A909" s="3" t="s">
        <v>2505</v>
      </c>
      <c r="B909" s="3" t="s">
        <v>2505</v>
      </c>
      <c r="C909" s="683"/>
      <c r="D909" s="683"/>
      <c r="E909" s="683"/>
      <c r="F909" s="683"/>
      <c r="G909" s="683"/>
      <c r="H909" s="711"/>
      <c r="I909" s="683"/>
      <c r="J909" s="683"/>
      <c r="K909" s="683"/>
      <c r="L909" s="683"/>
      <c r="M909" s="683"/>
      <c r="N909" s="685"/>
      <c r="O909" s="683"/>
      <c r="P909" s="683"/>
      <c r="Q909" s="683"/>
      <c r="R909" s="683"/>
      <c r="S909" s="683"/>
      <c r="T909" s="683"/>
      <c r="U909" s="683"/>
      <c r="V909" s="683"/>
      <c r="W909" s="683"/>
      <c r="X909" s="683"/>
      <c r="Y909" s="683"/>
      <c r="Z909" s="683"/>
    </row>
    <row r="910" spans="1:26" ht="15.75" customHeight="1" x14ac:dyDescent="0.25">
      <c r="A910" s="3" t="s">
        <v>2514</v>
      </c>
      <c r="B910" s="3" t="s">
        <v>2509</v>
      </c>
      <c r="C910" s="683"/>
      <c r="D910" s="683"/>
      <c r="E910" s="683"/>
      <c r="F910" s="683"/>
      <c r="G910" s="683"/>
      <c r="H910" s="711"/>
      <c r="I910" s="683"/>
      <c r="J910" s="683"/>
      <c r="K910" s="683"/>
      <c r="L910" s="683"/>
      <c r="M910" s="683"/>
      <c r="N910" s="685"/>
      <c r="O910" s="683"/>
      <c r="P910" s="683"/>
      <c r="Q910" s="683"/>
      <c r="R910" s="683"/>
      <c r="S910" s="683"/>
      <c r="T910" s="683"/>
      <c r="U910" s="683"/>
      <c r="V910" s="683"/>
      <c r="W910" s="683"/>
      <c r="X910" s="683"/>
      <c r="Y910" s="683"/>
      <c r="Z910" s="683"/>
    </row>
    <row r="911" spans="1:26" ht="15.75" customHeight="1" x14ac:dyDescent="0.25">
      <c r="A911" s="3" t="s">
        <v>704</v>
      </c>
      <c r="B911" s="683" t="s">
        <v>704</v>
      </c>
      <c r="C911" s="683"/>
      <c r="D911" s="683"/>
      <c r="E911" s="683"/>
      <c r="F911" s="683"/>
      <c r="G911" s="683"/>
      <c r="H911" s="711"/>
      <c r="I911" s="683"/>
      <c r="J911" s="683"/>
      <c r="K911" s="683"/>
      <c r="L911" s="683"/>
      <c r="M911" s="683"/>
      <c r="N911" s="685"/>
      <c r="O911" s="683"/>
      <c r="P911" s="683"/>
      <c r="Q911" s="683"/>
      <c r="R911" s="683"/>
      <c r="S911" s="683"/>
      <c r="T911" s="683"/>
      <c r="U911" s="683"/>
      <c r="V911" s="683"/>
      <c r="W911" s="683"/>
      <c r="X911" s="683"/>
      <c r="Y911" s="683"/>
      <c r="Z911" s="683"/>
    </row>
    <row r="912" spans="1:26" ht="15.75" customHeight="1" x14ac:dyDescent="0.25">
      <c r="A912" s="3" t="s">
        <v>238</v>
      </c>
      <c r="B912" s="683" t="s">
        <v>2515</v>
      </c>
      <c r="C912" s="683"/>
      <c r="D912" s="683"/>
      <c r="E912" s="683"/>
      <c r="F912" s="683"/>
      <c r="G912" s="683"/>
      <c r="H912" s="711"/>
      <c r="I912" s="683"/>
      <c r="J912" s="683"/>
      <c r="K912" s="683"/>
      <c r="L912" s="683"/>
      <c r="M912" s="683"/>
      <c r="N912" s="685"/>
      <c r="O912" s="683"/>
      <c r="P912" s="683"/>
      <c r="Q912" s="683"/>
      <c r="R912" s="683"/>
      <c r="S912" s="683"/>
      <c r="T912" s="683"/>
      <c r="U912" s="683"/>
      <c r="V912" s="683"/>
      <c r="W912" s="683"/>
      <c r="X912" s="683"/>
      <c r="Y912" s="683"/>
      <c r="Z912" s="683"/>
    </row>
    <row r="913" spans="1:26" ht="15.75" customHeight="1" x14ac:dyDescent="0.25">
      <c r="A913" s="3" t="s">
        <v>2516</v>
      </c>
      <c r="B913" s="683" t="s">
        <v>704</v>
      </c>
      <c r="C913" s="683"/>
      <c r="D913" s="683"/>
      <c r="E913" s="683"/>
      <c r="F913" s="683"/>
      <c r="G913" s="683"/>
      <c r="H913" s="711"/>
      <c r="I913" s="683"/>
      <c r="J913" s="683"/>
      <c r="K913" s="683"/>
      <c r="L913" s="683"/>
      <c r="M913" s="683"/>
      <c r="N913" s="685"/>
      <c r="O913" s="683"/>
      <c r="P913" s="683"/>
      <c r="Q913" s="683"/>
      <c r="R913" s="683"/>
      <c r="S913" s="683"/>
      <c r="T913" s="683"/>
      <c r="U913" s="683"/>
      <c r="V913" s="683"/>
      <c r="W913" s="683"/>
      <c r="X913" s="683"/>
      <c r="Y913" s="683"/>
      <c r="Z913" s="683"/>
    </row>
    <row r="914" spans="1:26" ht="15.75" customHeight="1" x14ac:dyDescent="0.25">
      <c r="A914" s="3" t="s">
        <v>2517</v>
      </c>
      <c r="B914" s="3" t="s">
        <v>2518</v>
      </c>
      <c r="C914" s="683"/>
      <c r="D914" s="683"/>
      <c r="E914" s="683"/>
      <c r="F914" s="683"/>
      <c r="G914" s="683"/>
      <c r="H914" s="711"/>
      <c r="I914" s="683"/>
      <c r="J914" s="683"/>
      <c r="K914" s="683"/>
      <c r="L914" s="683"/>
      <c r="M914" s="683"/>
      <c r="N914" s="685"/>
      <c r="O914" s="683"/>
      <c r="P914" s="683"/>
      <c r="Q914" s="683"/>
      <c r="R914" s="683"/>
      <c r="S914" s="683"/>
      <c r="T914" s="683"/>
      <c r="U914" s="683"/>
      <c r="V914" s="683"/>
      <c r="W914" s="683"/>
      <c r="X914" s="683"/>
      <c r="Y914" s="683"/>
      <c r="Z914" s="683"/>
    </row>
    <row r="915" spans="1:26" ht="15.75" customHeight="1" x14ac:dyDescent="0.25">
      <c r="A915" s="3" t="s">
        <v>2519</v>
      </c>
      <c r="B915" s="3" t="s">
        <v>2518</v>
      </c>
      <c r="C915" s="683"/>
      <c r="D915" s="683"/>
      <c r="E915" s="683"/>
      <c r="F915" s="683"/>
      <c r="G915" s="683"/>
      <c r="H915" s="711"/>
      <c r="I915" s="683"/>
      <c r="J915" s="683"/>
      <c r="K915" s="683"/>
      <c r="L915" s="683"/>
      <c r="M915" s="683"/>
      <c r="N915" s="685"/>
      <c r="O915" s="683"/>
      <c r="P915" s="683"/>
      <c r="Q915" s="683"/>
      <c r="R915" s="683"/>
      <c r="S915" s="683"/>
      <c r="T915" s="683"/>
      <c r="U915" s="683"/>
      <c r="V915" s="683"/>
      <c r="W915" s="683"/>
      <c r="X915" s="683"/>
      <c r="Y915" s="683"/>
      <c r="Z915" s="683"/>
    </row>
    <row r="916" spans="1:26" ht="15.75" customHeight="1" x14ac:dyDescent="0.25">
      <c r="A916" s="3" t="s">
        <v>2520</v>
      </c>
      <c r="B916" s="3" t="s">
        <v>2518</v>
      </c>
      <c r="C916" s="683"/>
      <c r="D916" s="683"/>
      <c r="E916" s="683"/>
      <c r="F916" s="683"/>
      <c r="G916" s="683"/>
      <c r="H916" s="711"/>
      <c r="I916" s="683"/>
      <c r="J916" s="683"/>
      <c r="K916" s="683"/>
      <c r="L916" s="683"/>
      <c r="M916" s="683"/>
      <c r="N916" s="685"/>
      <c r="O916" s="683"/>
      <c r="P916" s="683"/>
      <c r="Q916" s="683"/>
      <c r="R916" s="683"/>
      <c r="S916" s="683"/>
      <c r="T916" s="683"/>
      <c r="U916" s="683"/>
      <c r="V916" s="683"/>
      <c r="W916" s="683"/>
      <c r="X916" s="683"/>
      <c r="Y916" s="683"/>
      <c r="Z916" s="683"/>
    </row>
    <row r="917" spans="1:26" ht="15.75" customHeight="1" x14ac:dyDescent="0.25">
      <c r="A917" s="3" t="s">
        <v>2521</v>
      </c>
      <c r="B917" s="3" t="s">
        <v>2518</v>
      </c>
      <c r="C917" s="683"/>
      <c r="D917" s="683"/>
      <c r="E917" s="683"/>
      <c r="F917" s="683"/>
      <c r="G917" s="683"/>
      <c r="H917" s="711"/>
      <c r="I917" s="683"/>
      <c r="J917" s="683"/>
      <c r="K917" s="683"/>
      <c r="L917" s="683"/>
      <c r="M917" s="683"/>
      <c r="N917" s="685"/>
      <c r="O917" s="683"/>
      <c r="P917" s="683"/>
      <c r="Q917" s="683"/>
      <c r="R917" s="683"/>
      <c r="S917" s="683"/>
      <c r="T917" s="683"/>
      <c r="U917" s="683"/>
      <c r="V917" s="683"/>
      <c r="W917" s="683"/>
      <c r="X917" s="683"/>
      <c r="Y917" s="683"/>
      <c r="Z917" s="683"/>
    </row>
    <row r="918" spans="1:26" ht="15.75" customHeight="1" x14ac:dyDescent="0.25">
      <c r="A918" s="3" t="s">
        <v>2522</v>
      </c>
      <c r="B918" s="3" t="s">
        <v>2518</v>
      </c>
      <c r="C918" s="683"/>
      <c r="D918" s="683"/>
      <c r="E918" s="683"/>
      <c r="F918" s="683"/>
      <c r="G918" s="683"/>
      <c r="H918" s="711"/>
      <c r="I918" s="683"/>
      <c r="J918" s="683"/>
      <c r="K918" s="683"/>
      <c r="L918" s="683"/>
      <c r="M918" s="683"/>
      <c r="N918" s="685"/>
      <c r="O918" s="683"/>
      <c r="P918" s="683"/>
      <c r="Q918" s="683"/>
      <c r="R918" s="683"/>
      <c r="S918" s="683"/>
      <c r="T918" s="683"/>
      <c r="U918" s="683"/>
      <c r="V918" s="683"/>
      <c r="W918" s="683"/>
      <c r="X918" s="683"/>
      <c r="Y918" s="683"/>
      <c r="Z918" s="683"/>
    </row>
    <row r="919" spans="1:26" ht="15.75" customHeight="1" x14ac:dyDescent="0.25">
      <c r="A919" s="3" t="s">
        <v>624</v>
      </c>
      <c r="B919" s="3" t="s">
        <v>2518</v>
      </c>
      <c r="C919" s="683"/>
      <c r="D919" s="683"/>
      <c r="E919" s="683"/>
      <c r="F919" s="683"/>
      <c r="G919" s="683"/>
      <c r="H919" s="711"/>
      <c r="I919" s="683"/>
      <c r="J919" s="683"/>
      <c r="K919" s="683"/>
      <c r="L919" s="683"/>
      <c r="M919" s="683"/>
      <c r="N919" s="685"/>
      <c r="O919" s="683"/>
      <c r="P919" s="683"/>
      <c r="Q919" s="683"/>
      <c r="R919" s="683"/>
      <c r="S919" s="683"/>
      <c r="T919" s="683"/>
      <c r="U919" s="683"/>
      <c r="V919" s="683"/>
      <c r="W919" s="683"/>
      <c r="X919" s="683"/>
      <c r="Y919" s="683"/>
      <c r="Z919" s="683"/>
    </row>
    <row r="920" spans="1:26" ht="15.75" customHeight="1" x14ac:dyDescent="0.25">
      <c r="A920" s="3" t="s">
        <v>2523</v>
      </c>
      <c r="B920" s="3" t="s">
        <v>2518</v>
      </c>
      <c r="C920" s="683"/>
      <c r="D920" s="683"/>
      <c r="E920" s="683"/>
      <c r="F920" s="683"/>
      <c r="G920" s="683"/>
      <c r="H920" s="711"/>
      <c r="I920" s="683"/>
      <c r="J920" s="683"/>
      <c r="K920" s="683"/>
      <c r="L920" s="683"/>
      <c r="M920" s="683"/>
      <c r="N920" s="685"/>
      <c r="O920" s="683"/>
      <c r="P920" s="683"/>
      <c r="Q920" s="683"/>
      <c r="R920" s="683"/>
      <c r="S920" s="683"/>
      <c r="T920" s="683"/>
      <c r="U920" s="683"/>
      <c r="V920" s="683"/>
      <c r="W920" s="683"/>
      <c r="X920" s="683"/>
      <c r="Y920" s="683"/>
      <c r="Z920" s="683"/>
    </row>
    <row r="921" spans="1:26" ht="15.75" customHeight="1" x14ac:dyDescent="0.25">
      <c r="A921" s="683" t="s">
        <v>1004</v>
      </c>
      <c r="B921" s="3" t="s">
        <v>2518</v>
      </c>
      <c r="C921" s="683"/>
      <c r="D921" s="683"/>
      <c r="E921" s="683"/>
      <c r="F921" s="683"/>
      <c r="G921" s="683"/>
      <c r="H921" s="711"/>
      <c r="I921" s="683"/>
      <c r="J921" s="683"/>
      <c r="K921" s="683"/>
      <c r="L921" s="683"/>
      <c r="M921" s="683"/>
      <c r="N921" s="685"/>
      <c r="O921" s="683"/>
      <c r="P921" s="683"/>
      <c r="Q921" s="683"/>
      <c r="R921" s="683"/>
      <c r="S921" s="683"/>
      <c r="T921" s="683"/>
      <c r="U921" s="683"/>
      <c r="V921" s="683"/>
      <c r="W921" s="683"/>
      <c r="X921" s="683"/>
      <c r="Y921" s="683"/>
      <c r="Z921" s="683"/>
    </row>
    <row r="922" spans="1:26" ht="15.75" customHeight="1" x14ac:dyDescent="0.25">
      <c r="A922" s="3" t="s">
        <v>493</v>
      </c>
      <c r="B922" s="3" t="s">
        <v>2518</v>
      </c>
      <c r="C922" s="683"/>
      <c r="D922" s="683"/>
      <c r="E922" s="683"/>
      <c r="F922" s="683"/>
      <c r="G922" s="683"/>
      <c r="H922" s="711"/>
      <c r="I922" s="683"/>
      <c r="J922" s="683"/>
      <c r="K922" s="683"/>
      <c r="L922" s="683"/>
      <c r="M922" s="683"/>
      <c r="N922" s="685"/>
      <c r="O922" s="683"/>
      <c r="P922" s="683"/>
      <c r="Q922" s="683"/>
      <c r="R922" s="683"/>
      <c r="S922" s="683"/>
      <c r="T922" s="683"/>
      <c r="U922" s="683"/>
      <c r="V922" s="683"/>
      <c r="W922" s="683"/>
      <c r="X922" s="683"/>
      <c r="Y922" s="683"/>
      <c r="Z922" s="683"/>
    </row>
    <row r="923" spans="1:26" ht="15.75" customHeight="1" x14ac:dyDescent="0.25">
      <c r="A923" s="3" t="s">
        <v>2524</v>
      </c>
      <c r="B923" s="3" t="s">
        <v>2518</v>
      </c>
      <c r="C923" s="683"/>
      <c r="D923" s="683"/>
      <c r="E923" s="683"/>
      <c r="F923" s="683"/>
      <c r="G923" s="683"/>
      <c r="H923" s="711"/>
      <c r="I923" s="683"/>
      <c r="J923" s="683"/>
      <c r="K923" s="683"/>
      <c r="L923" s="683"/>
      <c r="M923" s="683"/>
      <c r="N923" s="685"/>
      <c r="O923" s="683"/>
      <c r="P923" s="683"/>
      <c r="Q923" s="683"/>
      <c r="R923" s="683"/>
      <c r="S923" s="683"/>
      <c r="T923" s="683"/>
      <c r="U923" s="683"/>
      <c r="V923" s="683"/>
      <c r="W923" s="683"/>
      <c r="X923" s="683"/>
      <c r="Y923" s="683"/>
      <c r="Z923" s="683"/>
    </row>
    <row r="924" spans="1:26" ht="15.75" customHeight="1" x14ac:dyDescent="0.25">
      <c r="A924" s="683" t="s">
        <v>2525</v>
      </c>
      <c r="B924" s="3" t="s">
        <v>2518</v>
      </c>
      <c r="C924" s="683"/>
      <c r="D924" s="683"/>
      <c r="E924" s="683"/>
      <c r="F924" s="683"/>
      <c r="G924" s="683"/>
      <c r="H924" s="711"/>
      <c r="I924" s="683"/>
      <c r="J924" s="683"/>
      <c r="K924" s="683"/>
      <c r="L924" s="683"/>
      <c r="M924" s="683"/>
      <c r="N924" s="685"/>
      <c r="O924" s="683"/>
      <c r="P924" s="683"/>
      <c r="Q924" s="683"/>
      <c r="R924" s="683"/>
      <c r="S924" s="683"/>
      <c r="T924" s="683"/>
      <c r="U924" s="683"/>
      <c r="V924" s="683"/>
      <c r="W924" s="683"/>
      <c r="X924" s="683"/>
      <c r="Y924" s="683"/>
      <c r="Z924" s="683"/>
    </row>
    <row r="925" spans="1:26" ht="15.75" customHeight="1" x14ac:dyDescent="0.25">
      <c r="A925" s="683" t="s">
        <v>2156</v>
      </c>
      <c r="B925" s="683" t="s">
        <v>2526</v>
      </c>
      <c r="C925" s="683"/>
      <c r="D925" s="683"/>
      <c r="E925" s="683"/>
      <c r="F925" s="683"/>
      <c r="G925" s="683"/>
      <c r="H925" s="711"/>
      <c r="I925" s="683"/>
      <c r="J925" s="683"/>
      <c r="K925" s="683"/>
      <c r="L925" s="683"/>
      <c r="M925" s="683"/>
      <c r="N925" s="685"/>
      <c r="O925" s="683"/>
      <c r="P925" s="683"/>
      <c r="Q925" s="683"/>
      <c r="R925" s="683"/>
      <c r="S925" s="683"/>
      <c r="T925" s="683"/>
      <c r="U925" s="683"/>
      <c r="V925" s="683"/>
      <c r="W925" s="683"/>
      <c r="X925" s="683"/>
      <c r="Y925" s="683"/>
      <c r="Z925" s="683"/>
    </row>
    <row r="926" spans="1:26" ht="15.75" customHeight="1" x14ac:dyDescent="0.25">
      <c r="A926" s="683" t="s">
        <v>2527</v>
      </c>
      <c r="B926" s="683" t="s">
        <v>2526</v>
      </c>
      <c r="C926" s="683"/>
      <c r="D926" s="683"/>
      <c r="E926" s="683"/>
      <c r="F926" s="683"/>
      <c r="G926" s="683"/>
      <c r="H926" s="711"/>
      <c r="I926" s="683"/>
      <c r="J926" s="683"/>
      <c r="K926" s="683"/>
      <c r="L926" s="683"/>
      <c r="M926" s="683"/>
      <c r="N926" s="685"/>
      <c r="O926" s="683"/>
      <c r="P926" s="683"/>
      <c r="Q926" s="683"/>
      <c r="R926" s="683"/>
      <c r="S926" s="683"/>
      <c r="T926" s="683"/>
      <c r="U926" s="683"/>
      <c r="V926" s="683"/>
      <c r="W926" s="683"/>
      <c r="X926" s="683"/>
      <c r="Y926" s="683"/>
      <c r="Z926" s="683"/>
    </row>
    <row r="927" spans="1:26" ht="15.75" customHeight="1" x14ac:dyDescent="0.25">
      <c r="A927" s="683" t="s">
        <v>2528</v>
      </c>
      <c r="B927" s="683" t="s">
        <v>2526</v>
      </c>
      <c r="C927" s="683"/>
      <c r="D927" s="683"/>
      <c r="E927" s="683"/>
      <c r="F927" s="683"/>
      <c r="G927" s="683"/>
      <c r="H927" s="711"/>
      <c r="I927" s="683"/>
      <c r="J927" s="683"/>
      <c r="K927" s="683"/>
      <c r="L927" s="683"/>
      <c r="M927" s="683"/>
      <c r="N927" s="685"/>
      <c r="O927" s="683"/>
      <c r="P927" s="683"/>
      <c r="Q927" s="683"/>
      <c r="R927" s="683"/>
      <c r="S927" s="683"/>
      <c r="T927" s="683"/>
      <c r="U927" s="683"/>
      <c r="V927" s="683"/>
      <c r="W927" s="683"/>
      <c r="X927" s="683"/>
      <c r="Y927" s="683"/>
      <c r="Z927" s="683"/>
    </row>
    <row r="928" spans="1:26" ht="15.75" customHeight="1" x14ac:dyDescent="0.25">
      <c r="A928" s="683" t="s">
        <v>2529</v>
      </c>
      <c r="B928" s="683" t="s">
        <v>2526</v>
      </c>
      <c r="C928" s="683"/>
      <c r="D928" s="683"/>
      <c r="E928" s="683"/>
      <c r="F928" s="683"/>
      <c r="G928" s="683"/>
      <c r="H928" s="711"/>
      <c r="I928" s="683"/>
      <c r="J928" s="683"/>
      <c r="K928" s="683"/>
      <c r="L928" s="683"/>
      <c r="M928" s="683"/>
      <c r="N928" s="685"/>
      <c r="O928" s="683"/>
      <c r="P928" s="683"/>
      <c r="Q928" s="683"/>
      <c r="R928" s="683"/>
      <c r="S928" s="683"/>
      <c r="T928" s="683"/>
      <c r="U928" s="683"/>
      <c r="V928" s="683"/>
      <c r="W928" s="683"/>
      <c r="X928" s="683"/>
      <c r="Y928" s="683"/>
      <c r="Z928" s="683"/>
    </row>
    <row r="929" spans="1:26" ht="15.75" customHeight="1" x14ac:dyDescent="0.25">
      <c r="A929" s="683" t="s">
        <v>2530</v>
      </c>
      <c r="B929" s="683" t="s">
        <v>2526</v>
      </c>
      <c r="C929" s="3"/>
      <c r="D929" s="683"/>
      <c r="E929" s="683"/>
      <c r="F929" s="683"/>
      <c r="G929" s="683"/>
      <c r="H929" s="711"/>
      <c r="I929" s="683"/>
      <c r="J929" s="683"/>
      <c r="K929" s="683"/>
      <c r="L929" s="683"/>
      <c r="M929" s="683"/>
      <c r="N929" s="685"/>
      <c r="O929" s="683"/>
      <c r="P929" s="683"/>
      <c r="Q929" s="683"/>
      <c r="R929" s="683"/>
      <c r="S929" s="683"/>
      <c r="T929" s="683"/>
      <c r="U929" s="683"/>
      <c r="V929" s="683"/>
      <c r="W929" s="683"/>
      <c r="X929" s="683"/>
      <c r="Y929" s="683"/>
      <c r="Z929" s="683"/>
    </row>
    <row r="930" spans="1:26" ht="15.75" customHeight="1" x14ac:dyDescent="0.25">
      <c r="A930" s="683" t="s">
        <v>2531</v>
      </c>
      <c r="B930" s="683" t="s">
        <v>2526</v>
      </c>
      <c r="C930" s="3"/>
      <c r="D930" s="683"/>
      <c r="E930" s="683"/>
      <c r="F930" s="683"/>
      <c r="G930" s="683"/>
      <c r="H930" s="711"/>
      <c r="I930" s="683"/>
      <c r="J930" s="683"/>
      <c r="K930" s="683"/>
      <c r="L930" s="683"/>
      <c r="M930" s="683"/>
      <c r="N930" s="685"/>
      <c r="O930" s="683"/>
      <c r="P930" s="683"/>
      <c r="Q930" s="683"/>
      <c r="R930" s="683"/>
      <c r="S930" s="683"/>
      <c r="T930" s="683"/>
      <c r="U930" s="683"/>
      <c r="V930" s="683"/>
      <c r="W930" s="683"/>
      <c r="X930" s="683"/>
      <c r="Y930" s="683"/>
      <c r="Z930" s="683"/>
    </row>
    <row r="931" spans="1:26" ht="15.75" customHeight="1" x14ac:dyDescent="0.25">
      <c r="A931" s="683" t="s">
        <v>2532</v>
      </c>
      <c r="B931" s="683" t="s">
        <v>2526</v>
      </c>
      <c r="C931" s="3"/>
      <c r="D931" s="683"/>
      <c r="E931" s="683"/>
      <c r="F931" s="683"/>
      <c r="G931" s="683"/>
      <c r="H931" s="711"/>
      <c r="I931" s="683"/>
      <c r="J931" s="683"/>
      <c r="K931" s="683"/>
      <c r="L931" s="683"/>
      <c r="M931" s="683"/>
      <c r="N931" s="685"/>
      <c r="O931" s="683"/>
      <c r="P931" s="683"/>
      <c r="Q931" s="683"/>
      <c r="R931" s="683"/>
      <c r="S931" s="683"/>
      <c r="T931" s="683"/>
      <c r="U931" s="683"/>
      <c r="V931" s="683"/>
      <c r="W931" s="683"/>
      <c r="X931" s="683"/>
      <c r="Y931" s="683"/>
      <c r="Z931" s="683"/>
    </row>
    <row r="932" spans="1:26" ht="15.75" customHeight="1" x14ac:dyDescent="0.25">
      <c r="A932" s="683" t="s">
        <v>901</v>
      </c>
      <c r="B932" s="683" t="s">
        <v>2526</v>
      </c>
      <c r="C932" s="3"/>
      <c r="D932" s="683"/>
      <c r="E932" s="683"/>
      <c r="F932" s="683"/>
      <c r="G932" s="683"/>
      <c r="H932" s="711"/>
      <c r="I932" s="683"/>
      <c r="J932" s="683"/>
      <c r="K932" s="683"/>
      <c r="L932" s="683"/>
      <c r="M932" s="683"/>
      <c r="N932" s="685"/>
      <c r="O932" s="683"/>
      <c r="P932" s="683"/>
      <c r="Q932" s="683"/>
      <c r="R932" s="683"/>
      <c r="S932" s="683"/>
      <c r="T932" s="683"/>
      <c r="U932" s="683"/>
      <c r="V932" s="683"/>
      <c r="W932" s="683"/>
      <c r="X932" s="683"/>
      <c r="Y932" s="683"/>
      <c r="Z932" s="683"/>
    </row>
    <row r="933" spans="1:26" ht="15.75" customHeight="1" x14ac:dyDescent="0.25">
      <c r="A933" s="3" t="s">
        <v>2533</v>
      </c>
      <c r="B933" s="683" t="s">
        <v>2526</v>
      </c>
      <c r="C933" s="3"/>
      <c r="D933" s="683"/>
      <c r="E933" s="683"/>
      <c r="F933" s="683"/>
      <c r="G933" s="683"/>
      <c r="H933" s="711"/>
      <c r="I933" s="683"/>
      <c r="J933" s="683"/>
      <c r="K933" s="683"/>
      <c r="L933" s="683"/>
      <c r="M933" s="683"/>
      <c r="N933" s="685"/>
      <c r="O933" s="683"/>
      <c r="P933" s="683"/>
      <c r="Q933" s="683"/>
      <c r="R933" s="683"/>
      <c r="S933" s="683"/>
      <c r="T933" s="683"/>
      <c r="U933" s="683"/>
      <c r="V933" s="683"/>
      <c r="W933" s="683"/>
      <c r="X933" s="683"/>
      <c r="Y933" s="683"/>
      <c r="Z933" s="683"/>
    </row>
    <row r="934" spans="1:26" ht="15.75" customHeight="1" x14ac:dyDescent="0.25">
      <c r="A934" s="3" t="s">
        <v>2534</v>
      </c>
      <c r="B934" s="683" t="s">
        <v>2526</v>
      </c>
      <c r="C934" s="683"/>
      <c r="D934" s="683"/>
      <c r="E934" s="683"/>
      <c r="F934" s="683"/>
      <c r="G934" s="683"/>
      <c r="H934" s="711"/>
      <c r="I934" s="683"/>
      <c r="J934" s="683"/>
      <c r="K934" s="683"/>
      <c r="L934" s="683"/>
      <c r="M934" s="683"/>
      <c r="N934" s="685"/>
      <c r="O934" s="683"/>
      <c r="P934" s="683"/>
      <c r="Q934" s="683"/>
      <c r="R934" s="683"/>
      <c r="S934" s="683"/>
      <c r="T934" s="683"/>
      <c r="U934" s="683"/>
      <c r="V934" s="683"/>
      <c r="W934" s="683"/>
      <c r="X934" s="683"/>
      <c r="Y934" s="683"/>
      <c r="Z934" s="683"/>
    </row>
    <row r="935" spans="1:26" ht="15.75" customHeight="1" x14ac:dyDescent="0.25">
      <c r="A935" s="3" t="s">
        <v>2535</v>
      </c>
      <c r="B935" s="683" t="s">
        <v>2526</v>
      </c>
      <c r="C935" s="683"/>
      <c r="D935" s="683"/>
      <c r="E935" s="683"/>
      <c r="F935" s="683"/>
      <c r="G935" s="683"/>
      <c r="H935" s="711"/>
      <c r="I935" s="683"/>
      <c r="J935" s="683"/>
      <c r="K935" s="683"/>
      <c r="L935" s="683"/>
      <c r="M935" s="683"/>
      <c r="N935" s="685"/>
      <c r="O935" s="683"/>
      <c r="P935" s="683"/>
      <c r="Q935" s="683"/>
      <c r="R935" s="683"/>
      <c r="S935" s="683"/>
      <c r="T935" s="683"/>
      <c r="U935" s="683"/>
      <c r="V935" s="683"/>
      <c r="W935" s="683"/>
      <c r="X935" s="683"/>
      <c r="Y935" s="683"/>
      <c r="Z935" s="683"/>
    </row>
    <row r="936" spans="1:26" ht="15.75" customHeight="1" x14ac:dyDescent="0.25">
      <c r="A936" s="3" t="s">
        <v>2536</v>
      </c>
      <c r="B936" s="683" t="s">
        <v>2526</v>
      </c>
      <c r="C936" s="683"/>
      <c r="D936" s="683"/>
      <c r="E936" s="683"/>
      <c r="F936" s="683"/>
      <c r="G936" s="683"/>
      <c r="H936" s="711"/>
      <c r="I936" s="683"/>
      <c r="J936" s="683"/>
      <c r="K936" s="683"/>
      <c r="L936" s="683"/>
      <c r="M936" s="683"/>
      <c r="N936" s="685"/>
      <c r="O936" s="683"/>
      <c r="P936" s="683"/>
      <c r="Q936" s="683"/>
      <c r="R936" s="683"/>
      <c r="S936" s="683"/>
      <c r="T936" s="683"/>
      <c r="U936" s="683"/>
      <c r="V936" s="683"/>
      <c r="W936" s="683"/>
      <c r="X936" s="683"/>
      <c r="Y936" s="683"/>
      <c r="Z936" s="683"/>
    </row>
    <row r="937" spans="1:26" ht="15.75" customHeight="1" x14ac:dyDescent="0.25">
      <c r="A937" s="3" t="s">
        <v>2537</v>
      </c>
      <c r="B937" s="683" t="s">
        <v>2526</v>
      </c>
      <c r="C937" s="683"/>
      <c r="D937" s="683"/>
      <c r="E937" s="683"/>
      <c r="F937" s="683"/>
      <c r="G937" s="683"/>
      <c r="H937" s="711"/>
      <c r="I937" s="683"/>
      <c r="J937" s="683"/>
      <c r="K937" s="683"/>
      <c r="L937" s="683"/>
      <c r="M937" s="683"/>
      <c r="N937" s="685"/>
      <c r="O937" s="683"/>
      <c r="P937" s="683"/>
      <c r="Q937" s="683"/>
      <c r="R937" s="683"/>
      <c r="S937" s="683"/>
      <c r="T937" s="683"/>
      <c r="U937" s="683"/>
      <c r="V937" s="683"/>
      <c r="W937" s="683"/>
      <c r="X937" s="683"/>
      <c r="Y937" s="683"/>
      <c r="Z937" s="683"/>
    </row>
    <row r="938" spans="1:26" ht="15.75" customHeight="1" x14ac:dyDescent="0.25">
      <c r="A938" s="3" t="s">
        <v>2538</v>
      </c>
      <c r="B938" s="683" t="s">
        <v>2526</v>
      </c>
      <c r="C938" s="683"/>
      <c r="D938" s="683"/>
      <c r="E938" s="683"/>
      <c r="F938" s="683"/>
      <c r="G938" s="683"/>
      <c r="H938" s="711"/>
      <c r="I938" s="683"/>
      <c r="J938" s="683"/>
      <c r="K938" s="683"/>
      <c r="L938" s="683"/>
      <c r="M938" s="683"/>
      <c r="N938" s="685"/>
      <c r="O938" s="683"/>
      <c r="P938" s="683"/>
      <c r="Q938" s="683"/>
      <c r="R938" s="683"/>
      <c r="S938" s="683"/>
      <c r="T938" s="683"/>
      <c r="U938" s="683"/>
      <c r="V938" s="683"/>
      <c r="W938" s="683"/>
      <c r="X938" s="683"/>
      <c r="Y938" s="683"/>
      <c r="Z938" s="683"/>
    </row>
    <row r="939" spans="1:26" ht="15.75" customHeight="1" x14ac:dyDescent="0.25">
      <c r="A939" s="3" t="s">
        <v>1955</v>
      </c>
      <c r="B939" s="683" t="s">
        <v>2526</v>
      </c>
      <c r="C939" s="683"/>
      <c r="D939" s="683"/>
      <c r="E939" s="683"/>
      <c r="F939" s="683"/>
      <c r="G939" s="683"/>
      <c r="H939" s="711"/>
      <c r="I939" s="683"/>
      <c r="J939" s="683"/>
      <c r="K939" s="683"/>
      <c r="L939" s="683"/>
      <c r="M939" s="683"/>
      <c r="N939" s="685"/>
      <c r="O939" s="683"/>
      <c r="P939" s="683"/>
      <c r="Q939" s="683"/>
      <c r="R939" s="683"/>
      <c r="S939" s="683"/>
      <c r="T939" s="683"/>
      <c r="U939" s="683"/>
      <c r="V939" s="683"/>
      <c r="W939" s="683"/>
      <c r="X939" s="683"/>
      <c r="Y939" s="683"/>
      <c r="Z939" s="683"/>
    </row>
    <row r="940" spans="1:26" ht="15.75" customHeight="1" x14ac:dyDescent="0.25">
      <c r="A940" s="3" t="s">
        <v>2539</v>
      </c>
      <c r="B940" s="683" t="s">
        <v>2526</v>
      </c>
      <c r="C940" s="683"/>
      <c r="D940" s="683"/>
      <c r="E940" s="683"/>
      <c r="F940" s="683"/>
      <c r="G940" s="683"/>
      <c r="H940" s="711"/>
      <c r="I940" s="683"/>
      <c r="J940" s="683"/>
      <c r="K940" s="683"/>
      <c r="L940" s="683"/>
      <c r="M940" s="683"/>
      <c r="N940" s="685"/>
      <c r="O940" s="683"/>
      <c r="P940" s="683"/>
      <c r="Q940" s="683"/>
      <c r="R940" s="683"/>
      <c r="S940" s="683"/>
      <c r="T940" s="683"/>
      <c r="U940" s="683"/>
      <c r="V940" s="683"/>
      <c r="W940" s="683"/>
      <c r="X940" s="683"/>
      <c r="Y940" s="683"/>
      <c r="Z940" s="683"/>
    </row>
    <row r="941" spans="1:26" ht="15.75" customHeight="1" x14ac:dyDescent="0.25">
      <c r="A941" s="3" t="s">
        <v>2540</v>
      </c>
      <c r="B941" s="683" t="s">
        <v>2526</v>
      </c>
      <c r="C941" s="683"/>
      <c r="D941" s="683"/>
      <c r="E941" s="683"/>
      <c r="F941" s="683"/>
      <c r="G941" s="683"/>
      <c r="H941" s="711"/>
      <c r="I941" s="683"/>
      <c r="J941" s="683"/>
      <c r="K941" s="683"/>
      <c r="L941" s="683"/>
      <c r="M941" s="683"/>
      <c r="N941" s="685"/>
      <c r="O941" s="683"/>
      <c r="P941" s="683"/>
      <c r="Q941" s="683"/>
      <c r="R941" s="683"/>
      <c r="S941" s="683"/>
      <c r="T941" s="683"/>
      <c r="U941" s="683"/>
      <c r="V941" s="683"/>
      <c r="W941" s="683"/>
      <c r="X941" s="683"/>
      <c r="Y941" s="683"/>
      <c r="Z941" s="683"/>
    </row>
    <row r="942" spans="1:26" ht="15.75" customHeight="1" x14ac:dyDescent="0.25">
      <c r="A942" s="3" t="s">
        <v>2541</v>
      </c>
      <c r="B942" s="683" t="s">
        <v>2526</v>
      </c>
      <c r="C942" s="683"/>
      <c r="D942" s="683"/>
      <c r="E942" s="683"/>
      <c r="F942" s="683"/>
      <c r="G942" s="683"/>
      <c r="H942" s="711"/>
      <c r="I942" s="683"/>
      <c r="J942" s="683"/>
      <c r="K942" s="683"/>
      <c r="L942" s="683"/>
      <c r="M942" s="683"/>
      <c r="N942" s="685"/>
      <c r="O942" s="683"/>
      <c r="P942" s="683"/>
      <c r="Q942" s="683"/>
      <c r="R942" s="683"/>
      <c r="S942" s="683"/>
      <c r="T942" s="683"/>
      <c r="U942" s="683"/>
      <c r="V942" s="683"/>
      <c r="W942" s="683"/>
      <c r="X942" s="683"/>
      <c r="Y942" s="683"/>
      <c r="Z942" s="683"/>
    </row>
    <row r="943" spans="1:26" ht="15.75" customHeight="1" x14ac:dyDescent="0.25">
      <c r="A943" s="3" t="s">
        <v>734</v>
      </c>
      <c r="B943" s="683" t="s">
        <v>2526</v>
      </c>
      <c r="C943" s="683"/>
      <c r="D943" s="683"/>
      <c r="E943" s="683"/>
      <c r="F943" s="683"/>
      <c r="G943" s="683"/>
      <c r="H943" s="711"/>
      <c r="I943" s="683"/>
      <c r="J943" s="683"/>
      <c r="K943" s="683"/>
      <c r="L943" s="683"/>
      <c r="M943" s="683"/>
      <c r="N943" s="685"/>
      <c r="O943" s="683"/>
      <c r="P943" s="683"/>
      <c r="Q943" s="683"/>
      <c r="R943" s="683"/>
      <c r="S943" s="683"/>
      <c r="T943" s="683"/>
      <c r="U943" s="683"/>
      <c r="V943" s="683"/>
      <c r="W943" s="683"/>
      <c r="X943" s="683"/>
      <c r="Y943" s="683"/>
      <c r="Z943" s="683"/>
    </row>
    <row r="944" spans="1:26" ht="15.75" customHeight="1" x14ac:dyDescent="0.25">
      <c r="A944" s="3" t="s">
        <v>2542</v>
      </c>
      <c r="B944" s="683" t="s">
        <v>2526</v>
      </c>
      <c r="C944" s="683"/>
      <c r="D944" s="683"/>
      <c r="E944" s="683"/>
      <c r="F944" s="683"/>
      <c r="G944" s="683"/>
      <c r="H944" s="711"/>
      <c r="I944" s="683"/>
      <c r="J944" s="683"/>
      <c r="K944" s="683"/>
      <c r="L944" s="683"/>
      <c r="M944" s="683"/>
      <c r="N944" s="685"/>
      <c r="O944" s="683"/>
      <c r="P944" s="683"/>
      <c r="Q944" s="683"/>
      <c r="R944" s="683"/>
      <c r="S944" s="683"/>
      <c r="T944" s="683"/>
      <c r="U944" s="683"/>
      <c r="V944" s="683"/>
      <c r="W944" s="683"/>
      <c r="X944" s="683"/>
      <c r="Y944" s="683"/>
      <c r="Z944" s="683"/>
    </row>
    <row r="945" spans="1:26" ht="15.75" customHeight="1" x14ac:dyDescent="0.25">
      <c r="A945" s="683" t="s">
        <v>2543</v>
      </c>
      <c r="B945" s="683" t="s">
        <v>2526</v>
      </c>
      <c r="C945" s="683"/>
      <c r="D945" s="683"/>
      <c r="E945" s="683"/>
      <c r="F945" s="683"/>
      <c r="G945" s="683"/>
      <c r="H945" s="711"/>
      <c r="I945" s="683"/>
      <c r="J945" s="683"/>
      <c r="K945" s="683"/>
      <c r="L945" s="683"/>
      <c r="M945" s="683"/>
      <c r="N945" s="685"/>
      <c r="O945" s="683"/>
      <c r="P945" s="683"/>
      <c r="Q945" s="683"/>
      <c r="R945" s="683"/>
      <c r="S945" s="683"/>
      <c r="T945" s="683"/>
      <c r="U945" s="683"/>
      <c r="V945" s="683"/>
      <c r="W945" s="683"/>
      <c r="X945" s="683"/>
      <c r="Y945" s="683"/>
      <c r="Z945" s="683"/>
    </row>
    <row r="946" spans="1:26" ht="15.75" customHeight="1" x14ac:dyDescent="0.25">
      <c r="A946" s="683" t="s">
        <v>1888</v>
      </c>
      <c r="B946" s="683" t="s">
        <v>2526</v>
      </c>
      <c r="C946" s="683"/>
      <c r="D946" s="683"/>
      <c r="E946" s="683"/>
      <c r="F946" s="683"/>
      <c r="G946" s="683"/>
      <c r="H946" s="711"/>
      <c r="I946" s="683"/>
      <c r="J946" s="683"/>
      <c r="K946" s="683"/>
      <c r="L946" s="683"/>
      <c r="M946" s="683"/>
      <c r="N946" s="685"/>
      <c r="O946" s="683"/>
      <c r="P946" s="683"/>
      <c r="Q946" s="683"/>
      <c r="R946" s="683"/>
      <c r="S946" s="683"/>
      <c r="T946" s="683"/>
      <c r="U946" s="683"/>
      <c r="V946" s="683"/>
      <c r="W946" s="683"/>
      <c r="X946" s="683"/>
      <c r="Y946" s="683"/>
      <c r="Z946" s="683"/>
    </row>
    <row r="947" spans="1:26" ht="15.75" customHeight="1" x14ac:dyDescent="0.25">
      <c r="A947" s="683" t="s">
        <v>2544</v>
      </c>
      <c r="B947" s="683" t="s">
        <v>2526</v>
      </c>
      <c r="C947" s="683"/>
      <c r="D947" s="683"/>
      <c r="E947" s="683"/>
      <c r="F947" s="683"/>
      <c r="G947" s="683"/>
      <c r="H947" s="711"/>
      <c r="I947" s="683"/>
      <c r="J947" s="683"/>
      <c r="K947" s="683"/>
      <c r="L947" s="683"/>
      <c r="M947" s="683"/>
      <c r="N947" s="685"/>
      <c r="O947" s="683"/>
      <c r="P947" s="683"/>
      <c r="Q947" s="683"/>
      <c r="R947" s="683"/>
      <c r="S947" s="683"/>
      <c r="T947" s="683"/>
      <c r="U947" s="683"/>
      <c r="V947" s="683"/>
      <c r="W947" s="683"/>
      <c r="X947" s="683"/>
      <c r="Y947" s="683"/>
      <c r="Z947" s="683"/>
    </row>
    <row r="948" spans="1:26" ht="15.75" customHeight="1" x14ac:dyDescent="0.25">
      <c r="A948" s="683" t="s">
        <v>2545</v>
      </c>
      <c r="B948" s="683" t="s">
        <v>2526</v>
      </c>
      <c r="C948" s="683"/>
      <c r="D948" s="683"/>
      <c r="E948" s="683"/>
      <c r="F948" s="683"/>
      <c r="G948" s="683"/>
      <c r="H948" s="711"/>
      <c r="I948" s="683"/>
      <c r="J948" s="683"/>
      <c r="K948" s="683"/>
      <c r="L948" s="683"/>
      <c r="M948" s="683"/>
      <c r="N948" s="685"/>
      <c r="O948" s="683"/>
      <c r="P948" s="683"/>
      <c r="Q948" s="683"/>
      <c r="R948" s="683"/>
      <c r="S948" s="683"/>
      <c r="T948" s="683"/>
      <c r="U948" s="683"/>
      <c r="V948" s="683"/>
      <c r="W948" s="683"/>
      <c r="X948" s="683"/>
      <c r="Y948" s="683"/>
      <c r="Z948" s="683"/>
    </row>
    <row r="949" spans="1:26" ht="15.75" customHeight="1" x14ac:dyDescent="0.25">
      <c r="A949" s="683" t="s">
        <v>2546</v>
      </c>
      <c r="B949" s="683" t="s">
        <v>2526</v>
      </c>
      <c r="C949" s="683"/>
      <c r="D949" s="683"/>
      <c r="E949" s="683"/>
      <c r="F949" s="683"/>
      <c r="G949" s="683"/>
      <c r="H949" s="711"/>
      <c r="I949" s="683"/>
      <c r="J949" s="683"/>
      <c r="K949" s="683"/>
      <c r="L949" s="683"/>
      <c r="M949" s="683"/>
      <c r="N949" s="685"/>
      <c r="O949" s="683"/>
      <c r="P949" s="683"/>
      <c r="Q949" s="683"/>
      <c r="R949" s="683"/>
      <c r="S949" s="683"/>
      <c r="T949" s="683"/>
      <c r="U949" s="683"/>
      <c r="V949" s="683"/>
      <c r="W949" s="683"/>
      <c r="X949" s="683"/>
      <c r="Y949" s="683"/>
      <c r="Z949" s="683"/>
    </row>
    <row r="950" spans="1:26" ht="15.75" customHeight="1" x14ac:dyDescent="0.25">
      <c r="A950" s="683" t="s">
        <v>540</v>
      </c>
      <c r="B950" s="683" t="s">
        <v>2526</v>
      </c>
      <c r="C950" s="683"/>
      <c r="D950" s="683"/>
      <c r="E950" s="683"/>
      <c r="F950" s="683"/>
      <c r="G950" s="683"/>
      <c r="H950" s="711"/>
      <c r="I950" s="683"/>
      <c r="J950" s="683"/>
      <c r="K950" s="683"/>
      <c r="L950" s="683"/>
      <c r="M950" s="683"/>
      <c r="N950" s="685"/>
      <c r="O950" s="683"/>
      <c r="P950" s="683"/>
      <c r="Q950" s="683"/>
      <c r="R950" s="683"/>
      <c r="S950" s="683"/>
      <c r="T950" s="683"/>
      <c r="U950" s="683"/>
      <c r="V950" s="683"/>
      <c r="W950" s="683"/>
      <c r="X950" s="683"/>
      <c r="Y950" s="683"/>
      <c r="Z950" s="683"/>
    </row>
    <row r="951" spans="1:26" ht="15.75" customHeight="1" x14ac:dyDescent="0.25">
      <c r="A951" s="683" t="s">
        <v>2547</v>
      </c>
      <c r="B951" s="683" t="s">
        <v>2526</v>
      </c>
      <c r="C951" s="683"/>
      <c r="D951" s="683"/>
      <c r="E951" s="683"/>
      <c r="F951" s="683"/>
      <c r="G951" s="683"/>
      <c r="H951" s="711"/>
      <c r="I951" s="683"/>
      <c r="J951" s="683"/>
      <c r="K951" s="683"/>
      <c r="L951" s="683"/>
      <c r="M951" s="683"/>
      <c r="N951" s="685"/>
      <c r="O951" s="683"/>
      <c r="P951" s="683"/>
      <c r="Q951" s="683"/>
      <c r="R951" s="683"/>
      <c r="S951" s="683"/>
      <c r="T951" s="683"/>
      <c r="U951" s="683"/>
      <c r="V951" s="683"/>
      <c r="W951" s="683"/>
      <c r="X951" s="683"/>
      <c r="Y951" s="683"/>
      <c r="Z951" s="683"/>
    </row>
    <row r="952" spans="1:26" ht="15.75" customHeight="1" x14ac:dyDescent="0.25">
      <c r="A952" s="683" t="s">
        <v>2548</v>
      </c>
      <c r="B952" s="683" t="s">
        <v>2526</v>
      </c>
      <c r="C952" s="683"/>
      <c r="D952" s="683"/>
      <c r="E952" s="683"/>
      <c r="F952" s="683"/>
      <c r="G952" s="683"/>
      <c r="H952" s="711"/>
      <c r="I952" s="683"/>
      <c r="J952" s="683"/>
      <c r="K952" s="683"/>
      <c r="L952" s="683"/>
      <c r="M952" s="683"/>
      <c r="N952" s="685"/>
      <c r="O952" s="683"/>
      <c r="P952" s="683"/>
      <c r="Q952" s="683"/>
      <c r="R952" s="683"/>
      <c r="S952" s="683"/>
      <c r="T952" s="683"/>
      <c r="U952" s="683"/>
      <c r="V952" s="683"/>
      <c r="W952" s="683"/>
      <c r="X952" s="683"/>
      <c r="Y952" s="683"/>
      <c r="Z952" s="683"/>
    </row>
    <row r="953" spans="1:26" ht="15.75" customHeight="1" x14ac:dyDescent="0.25">
      <c r="A953" s="683" t="s">
        <v>127</v>
      </c>
      <c r="B953" s="683" t="s">
        <v>2526</v>
      </c>
      <c r="C953" s="683"/>
      <c r="D953" s="683"/>
      <c r="E953" s="683"/>
      <c r="F953" s="683"/>
      <c r="G953" s="683"/>
      <c r="H953" s="711"/>
      <c r="I953" s="683"/>
      <c r="J953" s="683"/>
      <c r="K953" s="683"/>
      <c r="L953" s="683"/>
      <c r="M953" s="683"/>
      <c r="N953" s="685"/>
      <c r="O953" s="683"/>
      <c r="P953" s="683"/>
      <c r="Q953" s="683"/>
      <c r="R953" s="683"/>
      <c r="S953" s="683"/>
      <c r="T953" s="683"/>
      <c r="U953" s="683"/>
      <c r="V953" s="683"/>
      <c r="W953" s="683"/>
      <c r="X953" s="683"/>
      <c r="Y953" s="683"/>
      <c r="Z953" s="683"/>
    </row>
    <row r="954" spans="1:26" ht="15.75" customHeight="1" x14ac:dyDescent="0.25">
      <c r="A954" s="683" t="s">
        <v>427</v>
      </c>
      <c r="B954" s="683" t="s">
        <v>2526</v>
      </c>
      <c r="C954" s="683"/>
      <c r="D954" s="683"/>
      <c r="E954" s="683"/>
      <c r="F954" s="683"/>
      <c r="G954" s="683"/>
      <c r="H954" s="711"/>
      <c r="I954" s="683"/>
      <c r="J954" s="683"/>
      <c r="K954" s="683"/>
      <c r="L954" s="683"/>
      <c r="M954" s="683"/>
      <c r="N954" s="685"/>
      <c r="O954" s="683"/>
      <c r="P954" s="683"/>
      <c r="Q954" s="683"/>
      <c r="R954" s="683"/>
      <c r="S954" s="683"/>
      <c r="T954" s="683"/>
      <c r="U954" s="683"/>
      <c r="V954" s="683"/>
      <c r="W954" s="683"/>
      <c r="X954" s="683"/>
      <c r="Y954" s="683"/>
      <c r="Z954" s="683"/>
    </row>
    <row r="955" spans="1:26" ht="15.75" customHeight="1" x14ac:dyDescent="0.25">
      <c r="A955" s="683" t="s">
        <v>293</v>
      </c>
      <c r="B955" s="683" t="s">
        <v>2526</v>
      </c>
      <c r="C955" s="683"/>
      <c r="D955" s="683"/>
      <c r="E955" s="683"/>
      <c r="F955" s="683"/>
      <c r="G955" s="683"/>
      <c r="H955" s="711"/>
      <c r="I955" s="683"/>
      <c r="J955" s="683"/>
      <c r="K955" s="683"/>
      <c r="L955" s="683"/>
      <c r="M955" s="683"/>
      <c r="N955" s="685"/>
      <c r="O955" s="683"/>
      <c r="P955" s="683"/>
      <c r="Q955" s="683"/>
      <c r="R955" s="683"/>
      <c r="S955" s="683"/>
      <c r="T955" s="683"/>
      <c r="U955" s="683"/>
      <c r="V955" s="683"/>
      <c r="W955" s="683"/>
      <c r="X955" s="683"/>
      <c r="Y955" s="683"/>
      <c r="Z955" s="683"/>
    </row>
    <row r="956" spans="1:26" ht="15.75" customHeight="1" x14ac:dyDescent="0.25">
      <c r="A956" s="683" t="s">
        <v>2549</v>
      </c>
      <c r="B956" s="683" t="s">
        <v>2526</v>
      </c>
      <c r="C956" s="683"/>
      <c r="D956" s="683"/>
      <c r="E956" s="683"/>
      <c r="F956" s="683"/>
      <c r="G956" s="683"/>
      <c r="H956" s="711"/>
      <c r="I956" s="683"/>
      <c r="J956" s="683"/>
      <c r="K956" s="683"/>
      <c r="L956" s="683"/>
      <c r="M956" s="683"/>
      <c r="N956" s="685"/>
      <c r="O956" s="683"/>
      <c r="P956" s="683"/>
      <c r="Q956" s="683"/>
      <c r="R956" s="683"/>
      <c r="S956" s="683"/>
      <c r="T956" s="683"/>
      <c r="U956" s="683"/>
      <c r="V956" s="683"/>
      <c r="W956" s="683"/>
      <c r="X956" s="683"/>
      <c r="Y956" s="683"/>
      <c r="Z956" s="683"/>
    </row>
    <row r="957" spans="1:26" ht="15.75" customHeight="1" x14ac:dyDescent="0.25">
      <c r="A957" s="683" t="s">
        <v>2550</v>
      </c>
      <c r="B957" s="683" t="s">
        <v>2551</v>
      </c>
      <c r="C957" s="683"/>
      <c r="D957" s="683"/>
      <c r="E957" s="683"/>
      <c r="F957" s="683"/>
      <c r="G957" s="683"/>
      <c r="H957" s="711"/>
      <c r="I957" s="683"/>
      <c r="J957" s="683"/>
      <c r="K957" s="683"/>
      <c r="L957" s="683"/>
      <c r="M957" s="683"/>
      <c r="N957" s="685"/>
      <c r="O957" s="683"/>
      <c r="P957" s="683"/>
      <c r="Q957" s="683"/>
      <c r="R957" s="683"/>
      <c r="S957" s="683"/>
      <c r="T957" s="683"/>
      <c r="U957" s="683"/>
      <c r="V957" s="683"/>
      <c r="W957" s="683"/>
      <c r="X957" s="683"/>
      <c r="Y957" s="683"/>
      <c r="Z957" s="683"/>
    </row>
    <row r="958" spans="1:26" ht="15.75" customHeight="1" x14ac:dyDescent="0.25">
      <c r="A958" s="683" t="s">
        <v>2552</v>
      </c>
      <c r="B958" s="683" t="s">
        <v>2551</v>
      </c>
      <c r="C958" s="683"/>
      <c r="D958" s="683"/>
      <c r="E958" s="683"/>
      <c r="F958" s="683"/>
      <c r="G958" s="683"/>
      <c r="H958" s="711"/>
      <c r="I958" s="683"/>
      <c r="J958" s="683"/>
      <c r="K958" s="683"/>
      <c r="L958" s="683"/>
      <c r="M958" s="683"/>
      <c r="N958" s="685"/>
      <c r="O958" s="683"/>
      <c r="P958" s="683"/>
      <c r="Q958" s="683"/>
      <c r="R958" s="683"/>
      <c r="S958" s="683"/>
      <c r="T958" s="683"/>
      <c r="U958" s="683"/>
      <c r="V958" s="683"/>
      <c r="W958" s="683"/>
      <c r="X958" s="683"/>
      <c r="Y958" s="683"/>
      <c r="Z958" s="683"/>
    </row>
    <row r="959" spans="1:26" ht="15.75" customHeight="1" x14ac:dyDescent="0.25">
      <c r="A959" s="683" t="s">
        <v>2553</v>
      </c>
      <c r="B959" s="683" t="s">
        <v>2551</v>
      </c>
      <c r="C959" s="683"/>
      <c r="D959" s="683"/>
      <c r="E959" s="683"/>
      <c r="F959" s="683"/>
      <c r="G959" s="683"/>
      <c r="H959" s="711"/>
      <c r="I959" s="683"/>
      <c r="J959" s="683"/>
      <c r="K959" s="683"/>
      <c r="L959" s="683"/>
      <c r="M959" s="683"/>
      <c r="N959" s="685"/>
      <c r="O959" s="683"/>
      <c r="P959" s="683"/>
      <c r="Q959" s="683"/>
      <c r="R959" s="683"/>
      <c r="S959" s="683"/>
      <c r="T959" s="683"/>
      <c r="U959" s="683"/>
      <c r="V959" s="683"/>
      <c r="W959" s="683"/>
      <c r="X959" s="683"/>
      <c r="Y959" s="683"/>
      <c r="Z959" s="683"/>
    </row>
    <row r="960" spans="1:26" ht="15.75" customHeight="1" x14ac:dyDescent="0.25">
      <c r="A960" s="683" t="s">
        <v>2554</v>
      </c>
      <c r="B960" s="683" t="s">
        <v>2551</v>
      </c>
      <c r="C960" s="683"/>
      <c r="D960" s="683"/>
      <c r="E960" s="683"/>
      <c r="F960" s="683"/>
      <c r="G960" s="683"/>
      <c r="H960" s="711"/>
      <c r="I960" s="683"/>
      <c r="J960" s="683"/>
      <c r="K960" s="683"/>
      <c r="L960" s="683"/>
      <c r="M960" s="683"/>
      <c r="N960" s="685"/>
      <c r="O960" s="683"/>
      <c r="P960" s="683"/>
      <c r="Q960" s="683"/>
      <c r="R960" s="683"/>
      <c r="S960" s="683"/>
      <c r="T960" s="683"/>
      <c r="U960" s="683"/>
      <c r="V960" s="683"/>
      <c r="W960" s="683"/>
      <c r="X960" s="683"/>
      <c r="Y960" s="683"/>
      <c r="Z960" s="683"/>
    </row>
    <row r="961" spans="1:26" ht="15.75" customHeight="1" x14ac:dyDescent="0.25">
      <c r="A961" s="3" t="s">
        <v>573</v>
      </c>
      <c r="B961" s="683" t="s">
        <v>2551</v>
      </c>
      <c r="C961" s="683"/>
      <c r="D961" s="683"/>
      <c r="E961" s="683"/>
      <c r="F961" s="683"/>
      <c r="G961" s="683"/>
      <c r="H961" s="711"/>
      <c r="I961" s="683"/>
      <c r="J961" s="683"/>
      <c r="K961" s="683"/>
      <c r="L961" s="683"/>
      <c r="M961" s="683"/>
      <c r="N961" s="685"/>
      <c r="O961" s="683"/>
      <c r="P961" s="683"/>
      <c r="Q961" s="683"/>
      <c r="R961" s="683"/>
      <c r="S961" s="683"/>
      <c r="T961" s="683"/>
      <c r="U961" s="683"/>
      <c r="V961" s="683"/>
      <c r="W961" s="683"/>
      <c r="X961" s="683"/>
      <c r="Y961" s="683"/>
      <c r="Z961" s="683"/>
    </row>
    <row r="962" spans="1:26" ht="15.75" customHeight="1" x14ac:dyDescent="0.25">
      <c r="A962" s="3" t="s">
        <v>76</v>
      </c>
      <c r="B962" s="683" t="s">
        <v>2551</v>
      </c>
      <c r="C962" s="683"/>
      <c r="D962" s="683"/>
      <c r="E962" s="683"/>
      <c r="F962" s="683"/>
      <c r="G962" s="683"/>
      <c r="H962" s="711"/>
      <c r="I962" s="683"/>
      <c r="J962" s="683"/>
      <c r="K962" s="683"/>
      <c r="L962" s="683"/>
      <c r="M962" s="683"/>
      <c r="N962" s="685"/>
      <c r="O962" s="683"/>
      <c r="P962" s="683"/>
      <c r="Q962" s="683"/>
      <c r="R962" s="683"/>
      <c r="S962" s="683"/>
      <c r="T962" s="683"/>
      <c r="U962" s="683"/>
      <c r="V962" s="683"/>
      <c r="W962" s="683"/>
      <c r="X962" s="683"/>
      <c r="Y962" s="683"/>
      <c r="Z962" s="683"/>
    </row>
    <row r="963" spans="1:26" ht="15.75" customHeight="1" x14ac:dyDescent="0.25">
      <c r="A963" s="3" t="s">
        <v>2555</v>
      </c>
      <c r="B963" s="683" t="s">
        <v>2551</v>
      </c>
      <c r="C963" s="683"/>
      <c r="D963" s="683"/>
      <c r="E963" s="683"/>
      <c r="F963" s="683"/>
      <c r="G963" s="683"/>
      <c r="H963" s="711"/>
      <c r="I963" s="683"/>
      <c r="J963" s="683"/>
      <c r="K963" s="683"/>
      <c r="L963" s="683"/>
      <c r="M963" s="683"/>
      <c r="N963" s="685"/>
      <c r="O963" s="683"/>
      <c r="P963" s="683"/>
      <c r="Q963" s="683"/>
      <c r="R963" s="683"/>
      <c r="S963" s="683"/>
      <c r="T963" s="683"/>
      <c r="U963" s="683"/>
      <c r="V963" s="683"/>
      <c r="W963" s="683"/>
      <c r="X963" s="683"/>
      <c r="Y963" s="683"/>
      <c r="Z963" s="683"/>
    </row>
    <row r="964" spans="1:26" ht="15.75" customHeight="1" x14ac:dyDescent="0.25">
      <c r="A964" s="683" t="s">
        <v>2556</v>
      </c>
      <c r="B964" s="683" t="s">
        <v>2551</v>
      </c>
      <c r="C964" s="683"/>
      <c r="D964" s="683"/>
      <c r="E964" s="683"/>
      <c r="F964" s="683"/>
      <c r="G964" s="683"/>
      <c r="H964" s="711"/>
      <c r="I964" s="683"/>
      <c r="J964" s="683"/>
      <c r="K964" s="683"/>
      <c r="L964" s="683"/>
      <c r="M964" s="683"/>
      <c r="N964" s="685"/>
      <c r="O964" s="683"/>
      <c r="P964" s="683"/>
      <c r="Q964" s="683"/>
      <c r="R964" s="683"/>
      <c r="S964" s="683"/>
      <c r="T964" s="683"/>
      <c r="U964" s="683"/>
      <c r="V964" s="683"/>
      <c r="W964" s="683"/>
      <c r="X964" s="683"/>
      <c r="Y964" s="683"/>
      <c r="Z964" s="683"/>
    </row>
    <row r="965" spans="1:26" ht="15.75" customHeight="1" x14ac:dyDescent="0.25">
      <c r="A965" s="3" t="s">
        <v>2557</v>
      </c>
      <c r="B965" s="683" t="s">
        <v>2551</v>
      </c>
      <c r="C965" s="683"/>
      <c r="D965" s="683"/>
      <c r="E965" s="683"/>
      <c r="F965" s="683"/>
      <c r="G965" s="683"/>
      <c r="H965" s="711"/>
      <c r="I965" s="683"/>
      <c r="J965" s="683"/>
      <c r="K965" s="683"/>
      <c r="L965" s="683"/>
      <c r="M965" s="683"/>
      <c r="N965" s="685"/>
      <c r="O965" s="683"/>
      <c r="P965" s="683"/>
      <c r="Q965" s="683"/>
      <c r="R965" s="683"/>
      <c r="S965" s="683"/>
      <c r="T965" s="683"/>
      <c r="U965" s="683"/>
      <c r="V965" s="683"/>
      <c r="W965" s="683"/>
      <c r="X965" s="683"/>
      <c r="Y965" s="683"/>
      <c r="Z965" s="683"/>
    </row>
    <row r="966" spans="1:26" ht="15.75" customHeight="1" x14ac:dyDescent="0.25">
      <c r="A966" s="3" t="s">
        <v>2558</v>
      </c>
      <c r="B966" s="683" t="s">
        <v>2551</v>
      </c>
      <c r="C966" s="683"/>
      <c r="D966" s="683"/>
      <c r="E966" s="683"/>
      <c r="F966" s="683"/>
      <c r="G966" s="683"/>
      <c r="H966" s="711"/>
      <c r="I966" s="683"/>
      <c r="J966" s="683"/>
      <c r="K966" s="683"/>
      <c r="L966" s="683"/>
      <c r="M966" s="683"/>
      <c r="N966" s="685"/>
      <c r="O966" s="683"/>
      <c r="P966" s="683"/>
      <c r="Q966" s="683"/>
      <c r="R966" s="683"/>
      <c r="S966" s="683"/>
      <c r="T966" s="683"/>
      <c r="U966" s="683"/>
      <c r="V966" s="683"/>
      <c r="W966" s="683"/>
      <c r="X966" s="683"/>
      <c r="Y966" s="683"/>
      <c r="Z966" s="683"/>
    </row>
    <row r="967" spans="1:26" ht="15.75" customHeight="1" x14ac:dyDescent="0.25">
      <c r="A967" s="3" t="s">
        <v>2559</v>
      </c>
      <c r="B967" s="683" t="s">
        <v>2551</v>
      </c>
      <c r="C967" s="683"/>
      <c r="D967" s="683"/>
      <c r="E967" s="683"/>
      <c r="F967" s="683"/>
      <c r="G967" s="683"/>
      <c r="H967" s="711"/>
      <c r="I967" s="683"/>
      <c r="J967" s="683"/>
      <c r="K967" s="683"/>
      <c r="L967" s="683"/>
      <c r="M967" s="683"/>
      <c r="N967" s="685"/>
      <c r="O967" s="683"/>
      <c r="P967" s="683"/>
      <c r="Q967" s="683"/>
      <c r="R967" s="683"/>
      <c r="S967" s="683"/>
      <c r="T967" s="683"/>
      <c r="U967" s="683"/>
      <c r="V967" s="683"/>
      <c r="W967" s="683"/>
      <c r="X967" s="683"/>
      <c r="Y967" s="683"/>
      <c r="Z967" s="683"/>
    </row>
    <row r="968" spans="1:26" ht="15.75" customHeight="1" x14ac:dyDescent="0.25">
      <c r="A968" s="683" t="s">
        <v>2560</v>
      </c>
      <c r="B968" s="683" t="s">
        <v>2551</v>
      </c>
      <c r="C968" s="683"/>
      <c r="D968" s="683"/>
      <c r="E968" s="683"/>
      <c r="F968" s="683"/>
      <c r="G968" s="683"/>
      <c r="H968" s="711"/>
      <c r="I968" s="683"/>
      <c r="J968" s="683"/>
      <c r="K968" s="683"/>
      <c r="L968" s="683"/>
      <c r="M968" s="683"/>
      <c r="N968" s="685"/>
      <c r="O968" s="683"/>
      <c r="P968" s="683"/>
      <c r="Q968" s="683"/>
      <c r="R968" s="683"/>
      <c r="S968" s="683"/>
      <c r="T968" s="683"/>
      <c r="U968" s="683"/>
      <c r="V968" s="683"/>
      <c r="W968" s="683"/>
      <c r="X968" s="683"/>
      <c r="Y968" s="683"/>
      <c r="Z968" s="683"/>
    </row>
    <row r="969" spans="1:26" ht="15.75" customHeight="1" x14ac:dyDescent="0.25">
      <c r="A969" s="683" t="s">
        <v>2561</v>
      </c>
      <c r="B969" s="683" t="s">
        <v>2551</v>
      </c>
      <c r="C969" s="683"/>
      <c r="D969" s="683"/>
      <c r="E969" s="683"/>
      <c r="F969" s="683"/>
      <c r="G969" s="683"/>
      <c r="H969" s="711"/>
      <c r="I969" s="683"/>
      <c r="J969" s="683"/>
      <c r="K969" s="683"/>
      <c r="L969" s="683"/>
      <c r="M969" s="683"/>
      <c r="N969" s="685"/>
      <c r="O969" s="683"/>
      <c r="P969" s="683"/>
      <c r="Q969" s="683"/>
      <c r="R969" s="683"/>
      <c r="S969" s="683"/>
      <c r="T969" s="683"/>
      <c r="U969" s="683"/>
      <c r="V969" s="683"/>
      <c r="W969" s="683"/>
      <c r="X969" s="683"/>
      <c r="Y969" s="683"/>
      <c r="Z969" s="683"/>
    </row>
    <row r="970" spans="1:26" ht="15.75" customHeight="1" x14ac:dyDescent="0.25">
      <c r="A970" s="683" t="s">
        <v>2562</v>
      </c>
      <c r="B970" s="683" t="s">
        <v>2551</v>
      </c>
      <c r="C970" s="683"/>
      <c r="D970" s="683"/>
      <c r="E970" s="683"/>
      <c r="F970" s="683"/>
      <c r="G970" s="683"/>
      <c r="H970" s="711"/>
      <c r="I970" s="683"/>
      <c r="J970" s="683"/>
      <c r="K970" s="683"/>
      <c r="L970" s="683"/>
      <c r="M970" s="683"/>
      <c r="N970" s="685"/>
      <c r="O970" s="683"/>
      <c r="P970" s="683"/>
      <c r="Q970" s="683"/>
      <c r="R970" s="683"/>
      <c r="S970" s="683"/>
      <c r="T970" s="683"/>
      <c r="U970" s="683"/>
      <c r="V970" s="683"/>
      <c r="W970" s="683"/>
      <c r="X970" s="683"/>
      <c r="Y970" s="683"/>
      <c r="Z970" s="683"/>
    </row>
    <row r="971" spans="1:26" ht="15.75" customHeight="1" x14ac:dyDescent="0.25">
      <c r="A971" s="3" t="s">
        <v>2563</v>
      </c>
      <c r="B971" s="683" t="s">
        <v>2551</v>
      </c>
      <c r="C971" s="683"/>
      <c r="D971" s="683"/>
      <c r="E971" s="683"/>
      <c r="F971" s="683"/>
      <c r="G971" s="683"/>
      <c r="H971" s="711"/>
      <c r="I971" s="683"/>
      <c r="J971" s="683"/>
      <c r="K971" s="683"/>
      <c r="L971" s="683"/>
      <c r="M971" s="683"/>
      <c r="N971" s="685"/>
      <c r="O971" s="683"/>
      <c r="P971" s="683"/>
      <c r="Q971" s="683"/>
      <c r="R971" s="683"/>
      <c r="S971" s="683"/>
      <c r="T971" s="683"/>
      <c r="U971" s="683"/>
      <c r="V971" s="683"/>
      <c r="W971" s="683"/>
      <c r="X971" s="683"/>
      <c r="Y971" s="683"/>
      <c r="Z971" s="683"/>
    </row>
    <row r="972" spans="1:26" ht="15.75" customHeight="1" x14ac:dyDescent="0.25">
      <c r="A972" s="3" t="s">
        <v>2163</v>
      </c>
      <c r="B972" s="683" t="s">
        <v>2551</v>
      </c>
      <c r="C972" s="683"/>
      <c r="D972" s="683"/>
      <c r="E972" s="683"/>
      <c r="F972" s="683"/>
      <c r="G972" s="683"/>
      <c r="H972" s="711"/>
      <c r="I972" s="683"/>
      <c r="J972" s="683"/>
      <c r="K972" s="683"/>
      <c r="L972" s="683"/>
      <c r="M972" s="683"/>
      <c r="N972" s="685"/>
      <c r="O972" s="683"/>
      <c r="P972" s="683"/>
      <c r="Q972" s="683"/>
      <c r="R972" s="683"/>
      <c r="S972" s="683"/>
      <c r="T972" s="683"/>
      <c r="U972" s="683"/>
      <c r="V972" s="683"/>
      <c r="W972" s="683"/>
      <c r="X972" s="683"/>
      <c r="Y972" s="683"/>
      <c r="Z972" s="683"/>
    </row>
    <row r="973" spans="1:26" ht="15.75" customHeight="1" x14ac:dyDescent="0.25">
      <c r="A973" s="3" t="s">
        <v>486</v>
      </c>
      <c r="B973" s="683" t="s">
        <v>2551</v>
      </c>
      <c r="C973" s="683"/>
      <c r="D973" s="683"/>
      <c r="E973" s="683"/>
      <c r="F973" s="683"/>
      <c r="G973" s="683"/>
      <c r="H973" s="711"/>
      <c r="I973" s="683"/>
      <c r="J973" s="683"/>
      <c r="K973" s="683"/>
      <c r="L973" s="683"/>
      <c r="M973" s="683"/>
      <c r="N973" s="685"/>
      <c r="O973" s="683"/>
      <c r="P973" s="683"/>
      <c r="Q973" s="683"/>
      <c r="R973" s="683"/>
      <c r="S973" s="683"/>
      <c r="T973" s="683"/>
      <c r="U973" s="683"/>
      <c r="V973" s="683"/>
      <c r="W973" s="683"/>
      <c r="X973" s="683"/>
      <c r="Y973" s="683"/>
      <c r="Z973" s="683"/>
    </row>
    <row r="974" spans="1:26" ht="15.75" customHeight="1" x14ac:dyDescent="0.25">
      <c r="A974" s="3" t="s">
        <v>2564</v>
      </c>
      <c r="B974" s="683" t="s">
        <v>2551</v>
      </c>
      <c r="C974" s="683"/>
      <c r="D974" s="683"/>
      <c r="E974" s="683"/>
      <c r="F974" s="683"/>
      <c r="G974" s="683"/>
      <c r="H974" s="711"/>
      <c r="I974" s="683"/>
      <c r="J974" s="683"/>
      <c r="K974" s="683"/>
      <c r="L974" s="683"/>
      <c r="M974" s="683"/>
      <c r="N974" s="685"/>
      <c r="O974" s="683"/>
      <c r="P974" s="683"/>
      <c r="Q974" s="683"/>
      <c r="R974" s="683"/>
      <c r="S974" s="683"/>
      <c r="T974" s="683"/>
      <c r="U974" s="683"/>
      <c r="V974" s="683"/>
      <c r="W974" s="683"/>
      <c r="X974" s="683"/>
      <c r="Y974" s="683"/>
      <c r="Z974" s="683"/>
    </row>
    <row r="975" spans="1:26" ht="15.75" customHeight="1" x14ac:dyDescent="0.25">
      <c r="A975" s="683" t="s">
        <v>2565</v>
      </c>
      <c r="B975" s="683" t="s">
        <v>2551</v>
      </c>
      <c r="C975" s="683"/>
      <c r="D975" s="683"/>
      <c r="E975" s="683"/>
      <c r="F975" s="683"/>
      <c r="G975" s="683"/>
      <c r="H975" s="711"/>
      <c r="I975" s="683"/>
      <c r="J975" s="683"/>
      <c r="K975" s="683"/>
      <c r="L975" s="683"/>
      <c r="M975" s="683"/>
      <c r="N975" s="685"/>
      <c r="O975" s="683"/>
      <c r="P975" s="683"/>
      <c r="Q975" s="683"/>
      <c r="R975" s="683"/>
      <c r="S975" s="683"/>
      <c r="T975" s="683"/>
      <c r="U975" s="683"/>
      <c r="V975" s="683"/>
      <c r="W975" s="683"/>
      <c r="X975" s="683"/>
      <c r="Y975" s="683"/>
      <c r="Z975" s="683"/>
    </row>
    <row r="976" spans="1:26" ht="15.75" customHeight="1" x14ac:dyDescent="0.25">
      <c r="A976" s="683" t="s">
        <v>2566</v>
      </c>
      <c r="B976" s="683" t="s">
        <v>2551</v>
      </c>
      <c r="C976" s="683"/>
      <c r="D976" s="683"/>
      <c r="E976" s="683"/>
      <c r="F976" s="683"/>
      <c r="G976" s="683"/>
      <c r="H976" s="711"/>
      <c r="I976" s="683"/>
      <c r="J976" s="683"/>
      <c r="K976" s="683"/>
      <c r="L976" s="683"/>
      <c r="M976" s="683"/>
      <c r="N976" s="685"/>
      <c r="O976" s="683"/>
      <c r="P976" s="683"/>
      <c r="Q976" s="683"/>
      <c r="R976" s="683"/>
      <c r="S976" s="683"/>
      <c r="T976" s="683"/>
      <c r="U976" s="683"/>
      <c r="V976" s="683"/>
      <c r="W976" s="683"/>
      <c r="X976" s="683"/>
      <c r="Y976" s="683"/>
      <c r="Z976" s="683"/>
    </row>
    <row r="977" spans="1:26" ht="15.75" customHeight="1" x14ac:dyDescent="0.25">
      <c r="A977" s="683" t="s">
        <v>2567</v>
      </c>
      <c r="B977" s="683" t="s">
        <v>2551</v>
      </c>
      <c r="C977" s="683"/>
      <c r="D977" s="683"/>
      <c r="E977" s="683"/>
      <c r="F977" s="683"/>
      <c r="G977" s="683"/>
      <c r="H977" s="711"/>
      <c r="I977" s="683"/>
      <c r="J977" s="683"/>
      <c r="K977" s="683"/>
      <c r="L977" s="683"/>
      <c r="M977" s="683"/>
      <c r="N977" s="685"/>
      <c r="O977" s="683"/>
      <c r="P977" s="683"/>
      <c r="Q977" s="683"/>
      <c r="R977" s="683"/>
      <c r="S977" s="683"/>
      <c r="T977" s="683"/>
      <c r="U977" s="683"/>
      <c r="V977" s="683"/>
      <c r="W977" s="683"/>
      <c r="X977" s="683"/>
      <c r="Y977" s="683"/>
      <c r="Z977" s="683"/>
    </row>
    <row r="978" spans="1:26" ht="15.75" customHeight="1" x14ac:dyDescent="0.25">
      <c r="A978" s="683" t="s">
        <v>2568</v>
      </c>
      <c r="B978" s="683" t="s">
        <v>2551</v>
      </c>
      <c r="C978" s="683"/>
      <c r="D978" s="683"/>
      <c r="E978" s="683"/>
      <c r="F978" s="683"/>
      <c r="G978" s="683"/>
      <c r="H978" s="711"/>
      <c r="I978" s="683"/>
      <c r="J978" s="683"/>
      <c r="K978" s="683"/>
      <c r="L978" s="683"/>
      <c r="M978" s="683"/>
      <c r="N978" s="685"/>
      <c r="O978" s="683"/>
      <c r="P978" s="683"/>
      <c r="Q978" s="683"/>
      <c r="R978" s="683"/>
      <c r="S978" s="683"/>
      <c r="T978" s="683"/>
      <c r="U978" s="683"/>
      <c r="V978" s="683"/>
      <c r="W978" s="683"/>
      <c r="X978" s="683"/>
      <c r="Y978" s="683"/>
      <c r="Z978" s="683"/>
    </row>
    <row r="979" spans="1:26" ht="15.75" customHeight="1" x14ac:dyDescent="0.25">
      <c r="A979" s="683" t="s">
        <v>2569</v>
      </c>
      <c r="B979" s="683" t="s">
        <v>2551</v>
      </c>
      <c r="C979" s="683"/>
      <c r="D979" s="683"/>
      <c r="E979" s="683"/>
      <c r="F979" s="683"/>
      <c r="G979" s="683"/>
      <c r="H979" s="711"/>
      <c r="I979" s="683"/>
      <c r="J979" s="683"/>
      <c r="K979" s="683"/>
      <c r="L979" s="683"/>
      <c r="M979" s="683"/>
      <c r="N979" s="685"/>
      <c r="O979" s="683"/>
      <c r="P979" s="683"/>
      <c r="Q979" s="683"/>
      <c r="R979" s="683"/>
      <c r="S979" s="683"/>
      <c r="T979" s="683"/>
      <c r="U979" s="683"/>
      <c r="V979" s="683"/>
      <c r="W979" s="683"/>
      <c r="X979" s="683"/>
      <c r="Y979" s="683"/>
      <c r="Z979" s="683"/>
    </row>
    <row r="980" spans="1:26" ht="15.75" customHeight="1" x14ac:dyDescent="0.25">
      <c r="A980" s="3" t="s">
        <v>91</v>
      </c>
      <c r="B980" s="683" t="s">
        <v>2551</v>
      </c>
      <c r="C980" s="683"/>
      <c r="D980" s="683"/>
      <c r="E980" s="683"/>
      <c r="F980" s="683"/>
      <c r="G980" s="683"/>
      <c r="H980" s="711"/>
      <c r="I980" s="683"/>
      <c r="J980" s="683"/>
      <c r="K980" s="683"/>
      <c r="L980" s="683"/>
      <c r="M980" s="683"/>
      <c r="N980" s="685"/>
      <c r="O980" s="683"/>
      <c r="P980" s="683"/>
      <c r="Q980" s="683"/>
      <c r="R980" s="683"/>
      <c r="S980" s="683"/>
      <c r="T980" s="683"/>
      <c r="U980" s="683"/>
      <c r="V980" s="683"/>
      <c r="W980" s="683"/>
      <c r="X980" s="683"/>
      <c r="Y980" s="683"/>
      <c r="Z980" s="683"/>
    </row>
    <row r="981" spans="1:26" ht="15.75" customHeight="1" x14ac:dyDescent="0.25">
      <c r="A981" s="683" t="s">
        <v>754</v>
      </c>
      <c r="B981" s="683" t="s">
        <v>2551</v>
      </c>
      <c r="C981" s="683"/>
      <c r="D981" s="683"/>
      <c r="E981" s="683"/>
      <c r="F981" s="683"/>
      <c r="G981" s="683"/>
      <c r="H981" s="711"/>
      <c r="I981" s="683"/>
      <c r="J981" s="683"/>
      <c r="K981" s="683"/>
      <c r="L981" s="683"/>
      <c r="M981" s="683"/>
      <c r="N981" s="685"/>
      <c r="O981" s="683"/>
      <c r="P981" s="683"/>
      <c r="Q981" s="683"/>
      <c r="R981" s="683"/>
      <c r="S981" s="683"/>
      <c r="T981" s="683"/>
      <c r="U981" s="683"/>
      <c r="V981" s="683"/>
      <c r="W981" s="683"/>
      <c r="X981" s="683"/>
      <c r="Y981" s="683"/>
      <c r="Z981" s="683"/>
    </row>
    <row r="982" spans="1:26" ht="15.75" customHeight="1" x14ac:dyDescent="0.25">
      <c r="A982" s="683" t="s">
        <v>2570</v>
      </c>
      <c r="B982" s="683" t="s">
        <v>2551</v>
      </c>
      <c r="C982" s="683"/>
      <c r="D982" s="683"/>
      <c r="E982" s="683"/>
      <c r="F982" s="683"/>
      <c r="G982" s="683"/>
      <c r="H982" s="711"/>
      <c r="I982" s="683"/>
      <c r="J982" s="683"/>
      <c r="K982" s="683"/>
      <c r="L982" s="683"/>
      <c r="M982" s="683"/>
      <c r="N982" s="685"/>
      <c r="O982" s="683"/>
      <c r="P982" s="683"/>
      <c r="Q982" s="683"/>
      <c r="R982" s="683"/>
      <c r="S982" s="683"/>
      <c r="T982" s="683"/>
      <c r="U982" s="683"/>
      <c r="V982" s="683"/>
      <c r="W982" s="683"/>
      <c r="X982" s="683"/>
      <c r="Y982" s="683"/>
      <c r="Z982" s="683"/>
    </row>
    <row r="983" spans="1:26" ht="15.75" customHeight="1" x14ac:dyDescent="0.25">
      <c r="A983" s="683" t="s">
        <v>2161</v>
      </c>
      <c r="B983" s="683" t="s">
        <v>2551</v>
      </c>
      <c r="C983" s="683"/>
      <c r="D983" s="683"/>
      <c r="E983" s="683"/>
      <c r="F983" s="683"/>
      <c r="G983" s="683"/>
      <c r="H983" s="711"/>
      <c r="I983" s="683"/>
      <c r="J983" s="683"/>
      <c r="K983" s="683"/>
      <c r="L983" s="683"/>
      <c r="M983" s="683"/>
      <c r="N983" s="685"/>
      <c r="O983" s="683"/>
      <c r="P983" s="683"/>
      <c r="Q983" s="683"/>
      <c r="R983" s="683"/>
      <c r="S983" s="683"/>
      <c r="T983" s="683"/>
      <c r="U983" s="683"/>
      <c r="V983" s="683"/>
      <c r="W983" s="683"/>
      <c r="X983" s="683"/>
      <c r="Y983" s="683"/>
      <c r="Z983" s="683"/>
    </row>
    <row r="984" spans="1:26" ht="15.75" customHeight="1" x14ac:dyDescent="0.25">
      <c r="A984" s="3" t="s">
        <v>2571</v>
      </c>
      <c r="B984" s="683" t="s">
        <v>2551</v>
      </c>
      <c r="C984" s="683"/>
      <c r="D984" s="683"/>
      <c r="E984" s="683"/>
      <c r="F984" s="683"/>
      <c r="G984" s="683"/>
      <c r="H984" s="711"/>
      <c r="I984" s="683"/>
      <c r="J984" s="683"/>
      <c r="K984" s="683"/>
      <c r="L984" s="683"/>
      <c r="M984" s="683"/>
      <c r="N984" s="685"/>
      <c r="O984" s="683"/>
      <c r="P984" s="683"/>
      <c r="Q984" s="683"/>
      <c r="R984" s="683"/>
      <c r="S984" s="683"/>
      <c r="T984" s="683"/>
      <c r="U984" s="683"/>
      <c r="V984" s="683"/>
      <c r="W984" s="683"/>
      <c r="X984" s="683"/>
      <c r="Y984" s="683"/>
      <c r="Z984" s="683"/>
    </row>
    <row r="985" spans="1:26" ht="15.75" customHeight="1" x14ac:dyDescent="0.25">
      <c r="A985" s="3" t="s">
        <v>2572</v>
      </c>
      <c r="B985" s="683" t="s">
        <v>2551</v>
      </c>
      <c r="C985" s="683"/>
      <c r="D985" s="683"/>
      <c r="E985" s="683"/>
      <c r="F985" s="683"/>
      <c r="G985" s="683"/>
      <c r="H985" s="711"/>
      <c r="I985" s="683"/>
      <c r="J985" s="683"/>
      <c r="K985" s="683"/>
      <c r="L985" s="683"/>
      <c r="M985" s="683"/>
      <c r="N985" s="685"/>
      <c r="O985" s="683"/>
      <c r="P985" s="683"/>
      <c r="Q985" s="683"/>
      <c r="R985" s="683"/>
      <c r="S985" s="683"/>
      <c r="T985" s="683"/>
      <c r="U985" s="683"/>
      <c r="V985" s="683"/>
      <c r="W985" s="683"/>
      <c r="X985" s="683"/>
      <c r="Y985" s="683"/>
      <c r="Z985" s="683"/>
    </row>
    <row r="986" spans="1:26" ht="15.75" customHeight="1" x14ac:dyDescent="0.25">
      <c r="A986" s="3" t="s">
        <v>2573</v>
      </c>
      <c r="B986" s="683" t="s">
        <v>2551</v>
      </c>
      <c r="C986" s="683"/>
      <c r="D986" s="683"/>
      <c r="E986" s="683"/>
      <c r="F986" s="683"/>
      <c r="G986" s="683"/>
      <c r="H986" s="711"/>
      <c r="I986" s="683"/>
      <c r="J986" s="683"/>
      <c r="K986" s="683"/>
      <c r="L986" s="683"/>
      <c r="M986" s="683"/>
      <c r="N986" s="685"/>
      <c r="O986" s="683"/>
      <c r="P986" s="683"/>
      <c r="Q986" s="683"/>
      <c r="R986" s="683"/>
      <c r="S986" s="683"/>
      <c r="T986" s="683"/>
      <c r="U986" s="683"/>
      <c r="V986" s="683"/>
      <c r="W986" s="683"/>
      <c r="X986" s="683"/>
      <c r="Y986" s="683"/>
      <c r="Z986" s="683"/>
    </row>
    <row r="987" spans="1:26" ht="15.75" customHeight="1" x14ac:dyDescent="0.25">
      <c r="A987" s="3" t="s">
        <v>2166</v>
      </c>
      <c r="B987" s="683" t="s">
        <v>2551</v>
      </c>
      <c r="C987" s="683"/>
      <c r="D987" s="683"/>
      <c r="E987" s="683"/>
      <c r="F987" s="683"/>
      <c r="G987" s="683"/>
      <c r="H987" s="711"/>
      <c r="I987" s="683"/>
      <c r="J987" s="683"/>
      <c r="K987" s="683"/>
      <c r="L987" s="683"/>
      <c r="M987" s="683"/>
      <c r="N987" s="685"/>
      <c r="O987" s="683"/>
      <c r="P987" s="683"/>
      <c r="Q987" s="683"/>
      <c r="R987" s="683"/>
      <c r="S987" s="683"/>
      <c r="T987" s="683"/>
      <c r="U987" s="683"/>
      <c r="V987" s="683"/>
      <c r="W987" s="683"/>
      <c r="X987" s="683"/>
      <c r="Y987" s="683"/>
      <c r="Z987" s="683"/>
    </row>
    <row r="988" spans="1:26" ht="15.75" customHeight="1" x14ac:dyDescent="0.25">
      <c r="A988" s="3" t="s">
        <v>503</v>
      </c>
      <c r="B988" s="683" t="s">
        <v>2551</v>
      </c>
      <c r="C988" s="683"/>
      <c r="D988" s="683"/>
      <c r="E988" s="683"/>
      <c r="F988" s="683"/>
      <c r="G988" s="683"/>
      <c r="H988" s="711"/>
      <c r="I988" s="683"/>
      <c r="J988" s="683"/>
      <c r="K988" s="683"/>
      <c r="L988" s="683"/>
      <c r="M988" s="683"/>
      <c r="N988" s="685"/>
      <c r="O988" s="683"/>
      <c r="P988" s="683"/>
      <c r="Q988" s="683"/>
      <c r="R988" s="683"/>
      <c r="S988" s="683"/>
      <c r="T988" s="683"/>
      <c r="U988" s="683"/>
      <c r="V988" s="683"/>
      <c r="W988" s="683"/>
      <c r="X988" s="683"/>
      <c r="Y988" s="683"/>
      <c r="Z988" s="683"/>
    </row>
    <row r="989" spans="1:26" ht="15.75" customHeight="1" x14ac:dyDescent="0.25">
      <c r="A989" s="3" t="s">
        <v>2574</v>
      </c>
      <c r="B989" s="683" t="s">
        <v>2551</v>
      </c>
      <c r="C989" s="683"/>
      <c r="D989" s="683"/>
      <c r="E989" s="683"/>
      <c r="F989" s="683"/>
      <c r="G989" s="683"/>
      <c r="H989" s="711"/>
      <c r="I989" s="683"/>
      <c r="J989" s="683"/>
      <c r="K989" s="683"/>
      <c r="L989" s="683"/>
      <c r="M989" s="683"/>
      <c r="N989" s="685"/>
      <c r="O989" s="683"/>
      <c r="P989" s="683"/>
      <c r="Q989" s="683"/>
      <c r="R989" s="683"/>
      <c r="S989" s="683"/>
      <c r="T989" s="683"/>
      <c r="U989" s="683"/>
      <c r="V989" s="683"/>
      <c r="W989" s="683"/>
      <c r="X989" s="683"/>
      <c r="Y989" s="683"/>
      <c r="Z989" s="683"/>
    </row>
    <row r="990" spans="1:26" ht="15.75" customHeight="1" x14ac:dyDescent="0.25">
      <c r="A990" s="3" t="s">
        <v>2575</v>
      </c>
      <c r="B990" s="683" t="s">
        <v>2551</v>
      </c>
      <c r="C990" s="683"/>
      <c r="D990" s="683"/>
      <c r="E990" s="683"/>
      <c r="F990" s="683"/>
      <c r="G990" s="683"/>
      <c r="H990" s="711"/>
      <c r="I990" s="683"/>
      <c r="J990" s="683"/>
      <c r="K990" s="683"/>
      <c r="L990" s="683"/>
      <c r="M990" s="683"/>
      <c r="N990" s="685"/>
      <c r="O990" s="683"/>
      <c r="P990" s="683"/>
      <c r="Q990" s="683"/>
      <c r="R990" s="683"/>
      <c r="S990" s="683"/>
      <c r="T990" s="683"/>
      <c r="U990" s="683"/>
      <c r="V990" s="683"/>
      <c r="W990" s="683"/>
      <c r="X990" s="683"/>
      <c r="Y990" s="683"/>
      <c r="Z990" s="683"/>
    </row>
    <row r="991" spans="1:26" ht="15.75" customHeight="1" x14ac:dyDescent="0.25">
      <c r="A991" s="3" t="s">
        <v>2576</v>
      </c>
      <c r="B991" s="683" t="s">
        <v>2551</v>
      </c>
      <c r="C991" s="683"/>
      <c r="D991" s="683"/>
      <c r="E991" s="683"/>
      <c r="F991" s="683"/>
      <c r="G991" s="683"/>
      <c r="H991" s="711"/>
      <c r="I991" s="683"/>
      <c r="J991" s="683"/>
      <c r="K991" s="683"/>
      <c r="L991" s="683"/>
      <c r="M991" s="683"/>
      <c r="N991" s="685"/>
      <c r="O991" s="683"/>
      <c r="P991" s="683"/>
      <c r="Q991" s="683"/>
      <c r="R991" s="683"/>
      <c r="S991" s="683"/>
      <c r="T991" s="683"/>
      <c r="U991" s="683"/>
      <c r="V991" s="683"/>
      <c r="W991" s="683"/>
      <c r="X991" s="683"/>
      <c r="Y991" s="683"/>
      <c r="Z991" s="683"/>
    </row>
    <row r="992" spans="1:26" ht="15.75" customHeight="1" x14ac:dyDescent="0.25">
      <c r="A992" s="683" t="s">
        <v>2577</v>
      </c>
      <c r="B992" s="683" t="s">
        <v>2551</v>
      </c>
      <c r="C992" s="683"/>
      <c r="D992" s="683"/>
      <c r="E992" s="683"/>
      <c r="F992" s="683"/>
      <c r="G992" s="683"/>
      <c r="H992" s="711"/>
      <c r="I992" s="683"/>
      <c r="J992" s="683"/>
      <c r="K992" s="683"/>
      <c r="L992" s="683"/>
      <c r="M992" s="683"/>
      <c r="N992" s="685"/>
      <c r="O992" s="683"/>
      <c r="P992" s="683"/>
      <c r="Q992" s="683"/>
      <c r="R992" s="683"/>
      <c r="S992" s="683"/>
      <c r="T992" s="683"/>
      <c r="U992" s="683"/>
      <c r="V992" s="683"/>
      <c r="W992" s="683"/>
      <c r="X992" s="683"/>
      <c r="Y992" s="683"/>
      <c r="Z992" s="683"/>
    </row>
    <row r="993" spans="1:26" ht="15.75" customHeight="1" x14ac:dyDescent="0.25">
      <c r="A993" s="3" t="s">
        <v>2578</v>
      </c>
      <c r="B993" s="683" t="s">
        <v>2579</v>
      </c>
      <c r="C993" s="683"/>
      <c r="D993" s="683"/>
      <c r="E993" s="683"/>
      <c r="F993" s="683"/>
      <c r="G993" s="683"/>
      <c r="H993" s="711"/>
      <c r="I993" s="683"/>
      <c r="J993" s="683"/>
      <c r="K993" s="683"/>
      <c r="L993" s="683"/>
      <c r="M993" s="683"/>
      <c r="N993" s="685"/>
      <c r="O993" s="683"/>
      <c r="P993" s="683"/>
      <c r="Q993" s="683"/>
      <c r="R993" s="683"/>
      <c r="S993" s="683"/>
      <c r="T993" s="683"/>
      <c r="U993" s="683"/>
      <c r="V993" s="683"/>
      <c r="W993" s="683"/>
      <c r="X993" s="683"/>
      <c r="Y993" s="683"/>
      <c r="Z993" s="683"/>
    </row>
    <row r="994" spans="1:26" ht="15.75" customHeight="1" x14ac:dyDescent="0.25">
      <c r="A994" s="3" t="s">
        <v>187</v>
      </c>
      <c r="B994" s="683" t="s">
        <v>2551</v>
      </c>
      <c r="C994" s="683"/>
      <c r="D994" s="683"/>
      <c r="E994" s="683"/>
      <c r="F994" s="683"/>
      <c r="G994" s="683"/>
      <c r="H994" s="711"/>
      <c r="I994" s="683"/>
      <c r="J994" s="683"/>
      <c r="K994" s="683"/>
      <c r="L994" s="683"/>
      <c r="M994" s="683"/>
      <c r="N994" s="685"/>
      <c r="O994" s="683"/>
      <c r="P994" s="683"/>
      <c r="Q994" s="683"/>
      <c r="R994" s="683"/>
      <c r="S994" s="683"/>
      <c r="T994" s="683"/>
      <c r="U994" s="683"/>
      <c r="V994" s="683"/>
      <c r="W994" s="683"/>
      <c r="X994" s="683"/>
      <c r="Y994" s="683"/>
      <c r="Z994" s="683"/>
    </row>
    <row r="995" spans="1:26" ht="15.75" customHeight="1" x14ac:dyDescent="0.25">
      <c r="A995" s="3" t="s">
        <v>2580</v>
      </c>
      <c r="B995" s="683" t="s">
        <v>2551</v>
      </c>
      <c r="C995" s="683"/>
      <c r="D995" s="683"/>
      <c r="E995" s="683"/>
      <c r="F995" s="683"/>
      <c r="G995" s="683"/>
      <c r="H995" s="711"/>
      <c r="I995" s="683"/>
      <c r="J995" s="683"/>
      <c r="K995" s="683"/>
      <c r="L995" s="683"/>
      <c r="M995" s="683"/>
      <c r="N995" s="685"/>
      <c r="O995" s="683"/>
      <c r="P995" s="683"/>
      <c r="Q995" s="683"/>
      <c r="R995" s="683"/>
      <c r="S995" s="683"/>
      <c r="T995" s="683"/>
      <c r="U995" s="683"/>
      <c r="V995" s="683"/>
      <c r="W995" s="683"/>
      <c r="X995" s="683"/>
      <c r="Y995" s="683"/>
      <c r="Z995" s="683"/>
    </row>
    <row r="996" spans="1:26" ht="15.75" customHeight="1" x14ac:dyDescent="0.25">
      <c r="A996" s="3" t="s">
        <v>2581</v>
      </c>
      <c r="B996" s="683" t="s">
        <v>2551</v>
      </c>
      <c r="C996" s="683"/>
      <c r="D996" s="683"/>
      <c r="E996" s="683"/>
      <c r="F996" s="683"/>
      <c r="G996" s="683"/>
      <c r="H996" s="711"/>
      <c r="I996" s="683"/>
      <c r="J996" s="683"/>
      <c r="K996" s="683"/>
      <c r="L996" s="683"/>
      <c r="M996" s="683"/>
      <c r="N996" s="685"/>
      <c r="O996" s="683"/>
      <c r="P996" s="683"/>
      <c r="Q996" s="683"/>
      <c r="R996" s="683"/>
      <c r="S996" s="683"/>
      <c r="T996" s="683"/>
      <c r="U996" s="683"/>
      <c r="V996" s="683"/>
      <c r="W996" s="683"/>
      <c r="X996" s="683"/>
      <c r="Y996" s="683"/>
      <c r="Z996" s="683"/>
    </row>
    <row r="997" spans="1:26" ht="15.75" customHeight="1" x14ac:dyDescent="0.25">
      <c r="A997" s="3" t="s">
        <v>2582</v>
      </c>
      <c r="B997" s="3" t="s">
        <v>2583</v>
      </c>
      <c r="C997" s="683"/>
      <c r="D997" s="683"/>
      <c r="E997" s="683"/>
      <c r="F997" s="683"/>
      <c r="G997" s="683"/>
      <c r="H997" s="711"/>
      <c r="I997" s="683"/>
      <c r="J997" s="683"/>
      <c r="K997" s="683"/>
      <c r="L997" s="683"/>
      <c r="M997" s="683"/>
      <c r="N997" s="685"/>
      <c r="O997" s="683"/>
      <c r="P997" s="683"/>
      <c r="Q997" s="683"/>
      <c r="R997" s="683"/>
      <c r="S997" s="683"/>
      <c r="T997" s="683"/>
      <c r="U997" s="683"/>
      <c r="V997" s="683"/>
      <c r="W997" s="683"/>
      <c r="X997" s="683"/>
      <c r="Y997" s="683"/>
      <c r="Z997" s="683"/>
    </row>
    <row r="998" spans="1:26" ht="15.75" customHeight="1" x14ac:dyDescent="0.25">
      <c r="A998" s="3" t="s">
        <v>2584</v>
      </c>
      <c r="B998" s="3" t="s">
        <v>2585</v>
      </c>
      <c r="C998" s="683"/>
      <c r="D998" s="683"/>
      <c r="E998" s="683"/>
      <c r="F998" s="683"/>
      <c r="G998" s="683"/>
      <c r="H998" s="711"/>
      <c r="I998" s="683"/>
      <c r="J998" s="683"/>
      <c r="K998" s="683"/>
      <c r="L998" s="683"/>
      <c r="M998" s="683"/>
      <c r="N998" s="685"/>
      <c r="O998" s="683"/>
      <c r="P998" s="683"/>
      <c r="Q998" s="683"/>
      <c r="R998" s="683"/>
      <c r="S998" s="683"/>
      <c r="T998" s="683"/>
      <c r="U998" s="683"/>
      <c r="V998" s="683"/>
      <c r="W998" s="683"/>
      <c r="X998" s="683"/>
      <c r="Y998" s="683"/>
      <c r="Z998" s="683"/>
    </row>
    <row r="999" spans="1:26" ht="15.75" customHeight="1" x14ac:dyDescent="0.25">
      <c r="A999" s="3" t="s">
        <v>2586</v>
      </c>
      <c r="B999" s="3" t="s">
        <v>2583</v>
      </c>
      <c r="C999" s="683"/>
      <c r="D999" s="683"/>
      <c r="E999" s="683"/>
      <c r="F999" s="683"/>
      <c r="G999" s="683"/>
      <c r="H999" s="711"/>
      <c r="I999" s="683"/>
      <c r="J999" s="683"/>
      <c r="K999" s="683"/>
      <c r="L999" s="683"/>
      <c r="M999" s="683"/>
      <c r="N999" s="685"/>
      <c r="O999" s="683"/>
      <c r="P999" s="683"/>
      <c r="Q999" s="683"/>
      <c r="R999" s="683"/>
      <c r="S999" s="683"/>
      <c r="T999" s="683"/>
      <c r="U999" s="683"/>
      <c r="V999" s="683"/>
      <c r="W999" s="683"/>
      <c r="X999" s="683"/>
      <c r="Y999" s="683"/>
      <c r="Z999" s="683"/>
    </row>
    <row r="1000" spans="1:26" ht="15.75" customHeight="1" x14ac:dyDescent="0.25">
      <c r="A1000" s="3" t="s">
        <v>469</v>
      </c>
      <c r="B1000" s="3" t="s">
        <v>2583</v>
      </c>
      <c r="C1000" s="683"/>
      <c r="D1000" s="683"/>
      <c r="E1000" s="683"/>
      <c r="F1000" s="683"/>
      <c r="G1000" s="683"/>
      <c r="H1000" s="711"/>
      <c r="I1000" s="683"/>
      <c r="J1000" s="683"/>
      <c r="K1000" s="683"/>
      <c r="L1000" s="683"/>
      <c r="M1000" s="683"/>
      <c r="N1000" s="685"/>
      <c r="O1000" s="683"/>
      <c r="P1000" s="683"/>
      <c r="Q1000" s="683"/>
      <c r="R1000" s="683"/>
      <c r="S1000" s="683"/>
      <c r="T1000" s="683"/>
      <c r="U1000" s="683"/>
      <c r="V1000" s="683"/>
      <c r="W1000" s="683"/>
      <c r="X1000" s="683"/>
      <c r="Y1000" s="683"/>
      <c r="Z1000" s="683"/>
    </row>
    <row r="1001" spans="1:26" ht="15.75" customHeight="1" x14ac:dyDescent="0.25">
      <c r="A1001" s="3" t="s">
        <v>2587</v>
      </c>
      <c r="B1001" s="3" t="s">
        <v>2583</v>
      </c>
      <c r="C1001" s="683"/>
      <c r="D1001" s="683"/>
      <c r="E1001" s="683"/>
      <c r="F1001" s="683"/>
      <c r="G1001" s="683"/>
      <c r="H1001" s="711"/>
      <c r="I1001" s="683"/>
      <c r="J1001" s="683"/>
      <c r="K1001" s="683"/>
      <c r="L1001" s="683"/>
      <c r="M1001" s="683"/>
      <c r="N1001" s="685"/>
      <c r="O1001" s="683"/>
      <c r="P1001" s="683"/>
      <c r="Q1001" s="683"/>
      <c r="R1001" s="683"/>
      <c r="S1001" s="683"/>
      <c r="T1001" s="683"/>
      <c r="U1001" s="683"/>
      <c r="V1001" s="683"/>
      <c r="W1001" s="683"/>
      <c r="X1001" s="683"/>
      <c r="Y1001" s="683"/>
      <c r="Z1001" s="683"/>
    </row>
    <row r="1002" spans="1:26" ht="15.75" customHeight="1" x14ac:dyDescent="0.25">
      <c r="A1002" s="683" t="s">
        <v>558</v>
      </c>
      <c r="B1002" s="3" t="s">
        <v>2583</v>
      </c>
      <c r="C1002" s="683"/>
      <c r="D1002" s="683"/>
      <c r="E1002" s="683"/>
      <c r="F1002" s="683"/>
      <c r="G1002" s="683"/>
      <c r="H1002" s="711"/>
      <c r="I1002" s="683"/>
      <c r="J1002" s="683"/>
      <c r="K1002" s="683"/>
      <c r="L1002" s="683"/>
      <c r="M1002" s="683"/>
      <c r="N1002" s="685"/>
      <c r="O1002" s="683"/>
      <c r="P1002" s="683"/>
      <c r="Q1002" s="683"/>
      <c r="R1002" s="683"/>
      <c r="S1002" s="683"/>
      <c r="T1002" s="683"/>
      <c r="U1002" s="683"/>
      <c r="V1002" s="683"/>
      <c r="W1002" s="683"/>
      <c r="X1002" s="683"/>
      <c r="Y1002" s="683"/>
      <c r="Z1002" s="683"/>
    </row>
    <row r="1003" spans="1:26" ht="15.75" customHeight="1" x14ac:dyDescent="0.25">
      <c r="A1003" s="683" t="s">
        <v>73</v>
      </c>
      <c r="B1003" s="3" t="s">
        <v>2583</v>
      </c>
      <c r="C1003" s="683"/>
      <c r="D1003" s="683"/>
      <c r="E1003" s="683"/>
      <c r="F1003" s="683"/>
      <c r="G1003" s="683"/>
      <c r="H1003" s="711"/>
      <c r="I1003" s="683"/>
      <c r="J1003" s="683"/>
      <c r="K1003" s="683"/>
      <c r="L1003" s="683"/>
      <c r="M1003" s="683"/>
      <c r="N1003" s="685"/>
      <c r="O1003" s="683"/>
      <c r="P1003" s="683"/>
      <c r="Q1003" s="683"/>
      <c r="R1003" s="683"/>
      <c r="S1003" s="683"/>
      <c r="T1003" s="683"/>
      <c r="U1003" s="683"/>
      <c r="V1003" s="683"/>
      <c r="W1003" s="683"/>
      <c r="X1003" s="683"/>
      <c r="Y1003" s="683"/>
      <c r="Z1003" s="683"/>
    </row>
    <row r="1004" spans="1:26" ht="15.75" customHeight="1" x14ac:dyDescent="0.25">
      <c r="A1004" s="3" t="s">
        <v>2588</v>
      </c>
      <c r="B1004" s="3" t="s">
        <v>2583</v>
      </c>
      <c r="C1004" s="683"/>
      <c r="D1004" s="683"/>
      <c r="E1004" s="683"/>
      <c r="F1004" s="683"/>
      <c r="G1004" s="683"/>
      <c r="H1004" s="711"/>
      <c r="I1004" s="683"/>
      <c r="J1004" s="683"/>
      <c r="K1004" s="683"/>
      <c r="L1004" s="683"/>
      <c r="M1004" s="683"/>
      <c r="N1004" s="685"/>
      <c r="O1004" s="683"/>
      <c r="P1004" s="683"/>
      <c r="Q1004" s="683"/>
      <c r="R1004" s="683"/>
      <c r="S1004" s="683"/>
      <c r="T1004" s="683"/>
      <c r="U1004" s="683"/>
      <c r="V1004" s="683"/>
      <c r="W1004" s="683"/>
      <c r="X1004" s="683"/>
      <c r="Y1004" s="683"/>
      <c r="Z1004" s="683"/>
    </row>
    <row r="1005" spans="1:26" ht="15.75" customHeight="1" x14ac:dyDescent="0.25">
      <c r="A1005" s="3" t="s">
        <v>1757</v>
      </c>
      <c r="B1005" s="3" t="s">
        <v>2583</v>
      </c>
      <c r="C1005" s="683"/>
      <c r="D1005" s="683"/>
      <c r="E1005" s="683"/>
      <c r="F1005" s="683"/>
      <c r="G1005" s="683"/>
      <c r="H1005" s="711"/>
      <c r="I1005" s="683"/>
      <c r="J1005" s="683"/>
      <c r="K1005" s="683"/>
      <c r="L1005" s="683"/>
      <c r="M1005" s="683"/>
      <c r="N1005" s="685"/>
      <c r="O1005" s="683"/>
      <c r="P1005" s="683"/>
      <c r="Q1005" s="683"/>
      <c r="R1005" s="683"/>
      <c r="S1005" s="683"/>
      <c r="T1005" s="683"/>
      <c r="U1005" s="683"/>
      <c r="V1005" s="683"/>
      <c r="W1005" s="683"/>
      <c r="X1005" s="683"/>
      <c r="Y1005" s="683"/>
      <c r="Z1005" s="683"/>
    </row>
    <row r="1006" spans="1:26" ht="15.75" customHeight="1" x14ac:dyDescent="0.25">
      <c r="A1006" s="3" t="s">
        <v>2589</v>
      </c>
      <c r="B1006" s="3" t="s">
        <v>2583</v>
      </c>
      <c r="C1006" s="683"/>
      <c r="D1006" s="683"/>
      <c r="E1006" s="683"/>
      <c r="F1006" s="683"/>
      <c r="G1006" s="683"/>
      <c r="H1006" s="711"/>
      <c r="I1006" s="683"/>
      <c r="J1006" s="683"/>
      <c r="K1006" s="683"/>
      <c r="L1006" s="683"/>
      <c r="M1006" s="683"/>
      <c r="N1006" s="685"/>
      <c r="O1006" s="683"/>
      <c r="P1006" s="683"/>
      <c r="Q1006" s="683"/>
      <c r="R1006" s="683"/>
      <c r="S1006" s="683"/>
      <c r="T1006" s="683"/>
      <c r="U1006" s="683"/>
      <c r="V1006" s="683"/>
      <c r="W1006" s="683"/>
      <c r="X1006" s="683"/>
      <c r="Y1006" s="683"/>
      <c r="Z1006" s="683"/>
    </row>
    <row r="1007" spans="1:26" ht="15.75" customHeight="1" x14ac:dyDescent="0.25">
      <c r="A1007" s="3" t="s">
        <v>2590</v>
      </c>
      <c r="B1007" s="3" t="s">
        <v>2583</v>
      </c>
      <c r="C1007" s="683"/>
      <c r="D1007" s="683"/>
      <c r="E1007" s="683"/>
      <c r="F1007" s="683"/>
      <c r="G1007" s="683"/>
      <c r="H1007" s="711"/>
      <c r="I1007" s="683"/>
      <c r="J1007" s="683"/>
      <c r="K1007" s="683"/>
      <c r="L1007" s="683"/>
      <c r="M1007" s="683"/>
      <c r="N1007" s="685"/>
      <c r="O1007" s="683"/>
      <c r="P1007" s="683"/>
      <c r="Q1007" s="683"/>
      <c r="R1007" s="683"/>
      <c r="S1007" s="683"/>
      <c r="T1007" s="683"/>
      <c r="U1007" s="683"/>
      <c r="V1007" s="683"/>
      <c r="W1007" s="683"/>
      <c r="X1007" s="683"/>
      <c r="Y1007" s="683"/>
      <c r="Z1007" s="683"/>
    </row>
    <row r="1008" spans="1:26" ht="15.75" customHeight="1" x14ac:dyDescent="0.25">
      <c r="A1008" s="3" t="s">
        <v>2591</v>
      </c>
      <c r="B1008" s="3" t="s">
        <v>2583</v>
      </c>
      <c r="C1008" s="683"/>
      <c r="D1008" s="683"/>
      <c r="E1008" s="683"/>
      <c r="F1008" s="683"/>
      <c r="G1008" s="683"/>
      <c r="H1008" s="711"/>
      <c r="I1008" s="683"/>
      <c r="J1008" s="683"/>
      <c r="K1008" s="683"/>
      <c r="L1008" s="683"/>
      <c r="M1008" s="683"/>
      <c r="N1008" s="685"/>
      <c r="O1008" s="683"/>
      <c r="P1008" s="683"/>
      <c r="Q1008" s="683"/>
      <c r="R1008" s="683"/>
      <c r="S1008" s="683"/>
      <c r="T1008" s="683"/>
      <c r="U1008" s="683"/>
      <c r="V1008" s="683"/>
      <c r="W1008" s="683"/>
      <c r="X1008" s="683"/>
      <c r="Y1008" s="683"/>
      <c r="Z1008" s="683"/>
    </row>
    <row r="1009" spans="1:26" ht="15.75" customHeight="1" x14ac:dyDescent="0.25">
      <c r="A1009" s="3" t="s">
        <v>98</v>
      </c>
      <c r="B1009" s="3" t="s">
        <v>2583</v>
      </c>
      <c r="C1009" s="683"/>
      <c r="D1009" s="683"/>
      <c r="E1009" s="683"/>
      <c r="F1009" s="683"/>
      <c r="G1009" s="683"/>
      <c r="H1009" s="711"/>
      <c r="I1009" s="683"/>
      <c r="J1009" s="683"/>
      <c r="K1009" s="683"/>
      <c r="L1009" s="683"/>
      <c r="M1009" s="683"/>
      <c r="N1009" s="685"/>
      <c r="O1009" s="683"/>
      <c r="P1009" s="683"/>
      <c r="Q1009" s="683"/>
      <c r="R1009" s="683"/>
      <c r="S1009" s="683"/>
      <c r="T1009" s="683"/>
      <c r="U1009" s="683"/>
      <c r="V1009" s="683"/>
      <c r="W1009" s="683"/>
      <c r="X1009" s="683"/>
      <c r="Y1009" s="683"/>
      <c r="Z1009" s="683"/>
    </row>
    <row r="1010" spans="1:26" ht="15.75" customHeight="1" x14ac:dyDescent="0.25">
      <c r="A1010" s="3" t="s">
        <v>2592</v>
      </c>
      <c r="B1010" s="3" t="s">
        <v>2583</v>
      </c>
      <c r="C1010" s="3"/>
      <c r="D1010" s="683"/>
      <c r="E1010" s="683"/>
      <c r="F1010" s="683"/>
      <c r="G1010" s="683"/>
      <c r="H1010" s="711"/>
      <c r="I1010" s="683"/>
      <c r="J1010" s="683"/>
      <c r="K1010" s="683"/>
      <c r="L1010" s="683"/>
      <c r="M1010" s="683"/>
      <c r="N1010" s="685"/>
      <c r="O1010" s="683"/>
      <c r="P1010" s="683"/>
      <c r="Q1010" s="683"/>
      <c r="R1010" s="683"/>
      <c r="S1010" s="683"/>
      <c r="T1010" s="683"/>
      <c r="U1010" s="683"/>
      <c r="V1010" s="683"/>
      <c r="W1010" s="683"/>
      <c r="X1010" s="683"/>
      <c r="Y1010" s="683"/>
      <c r="Z1010" s="683"/>
    </row>
    <row r="1011" spans="1:26" ht="15.75" customHeight="1" x14ac:dyDescent="0.25">
      <c r="A1011" s="3" t="s">
        <v>2593</v>
      </c>
      <c r="B1011" s="3" t="s">
        <v>2583</v>
      </c>
      <c r="C1011" s="3"/>
      <c r="D1011" s="683"/>
      <c r="E1011" s="683"/>
      <c r="F1011" s="683"/>
      <c r="G1011" s="683"/>
      <c r="H1011" s="711"/>
      <c r="I1011" s="683"/>
      <c r="J1011" s="683"/>
      <c r="K1011" s="683"/>
      <c r="L1011" s="683"/>
      <c r="M1011" s="683"/>
      <c r="N1011" s="685"/>
      <c r="O1011" s="683"/>
      <c r="P1011" s="683"/>
      <c r="Q1011" s="683"/>
      <c r="R1011" s="683"/>
      <c r="S1011" s="683"/>
      <c r="T1011" s="683"/>
      <c r="U1011" s="683"/>
      <c r="V1011" s="683"/>
      <c r="W1011" s="683"/>
      <c r="X1011" s="683"/>
      <c r="Y1011" s="683"/>
      <c r="Z1011" s="683"/>
    </row>
    <row r="1012" spans="1:26" ht="15.75" customHeight="1" x14ac:dyDescent="0.25">
      <c r="A1012" s="3" t="s">
        <v>355</v>
      </c>
      <c r="B1012" s="3" t="s">
        <v>2583</v>
      </c>
      <c r="C1012" s="3"/>
      <c r="D1012" s="683"/>
      <c r="E1012" s="683"/>
      <c r="F1012" s="683"/>
      <c r="G1012" s="683"/>
      <c r="H1012" s="711"/>
      <c r="I1012" s="683"/>
      <c r="J1012" s="683"/>
      <c r="K1012" s="683"/>
      <c r="L1012" s="683"/>
      <c r="M1012" s="683"/>
      <c r="N1012" s="685"/>
      <c r="O1012" s="683"/>
      <c r="P1012" s="683"/>
      <c r="Q1012" s="683"/>
      <c r="R1012" s="683"/>
      <c r="S1012" s="683"/>
      <c r="T1012" s="683"/>
      <c r="U1012" s="683"/>
      <c r="V1012" s="683"/>
      <c r="W1012" s="683"/>
      <c r="X1012" s="683"/>
      <c r="Y1012" s="683"/>
      <c r="Z1012" s="683"/>
    </row>
    <row r="1013" spans="1:26" ht="15.75" customHeight="1" x14ac:dyDescent="0.25">
      <c r="A1013" s="3" t="s">
        <v>192</v>
      </c>
      <c r="B1013" s="3" t="s">
        <v>2583</v>
      </c>
      <c r="C1013" s="3"/>
      <c r="D1013" s="683"/>
      <c r="E1013" s="683"/>
      <c r="F1013" s="683"/>
      <c r="G1013" s="683"/>
      <c r="H1013" s="711"/>
      <c r="I1013" s="683"/>
      <c r="J1013" s="683"/>
      <c r="K1013" s="683"/>
      <c r="L1013" s="683"/>
      <c r="M1013" s="683"/>
      <c r="N1013" s="685"/>
      <c r="O1013" s="683"/>
      <c r="P1013" s="683"/>
      <c r="Q1013" s="683"/>
      <c r="R1013" s="683"/>
      <c r="S1013" s="683"/>
      <c r="T1013" s="683"/>
      <c r="U1013" s="683"/>
      <c r="V1013" s="683"/>
      <c r="W1013" s="683"/>
      <c r="X1013" s="683"/>
      <c r="Y1013" s="683"/>
      <c r="Z1013" s="683"/>
    </row>
    <row r="1014" spans="1:26" ht="15.75" customHeight="1" x14ac:dyDescent="0.25">
      <c r="A1014" s="683" t="s">
        <v>2594</v>
      </c>
      <c r="B1014" s="3" t="s">
        <v>2583</v>
      </c>
      <c r="C1014" s="3"/>
      <c r="D1014" s="683"/>
      <c r="E1014" s="683"/>
      <c r="F1014" s="683"/>
      <c r="G1014" s="683"/>
      <c r="H1014" s="711"/>
      <c r="I1014" s="683"/>
      <c r="J1014" s="683"/>
      <c r="K1014" s="683"/>
      <c r="L1014" s="683"/>
      <c r="M1014" s="683"/>
      <c r="N1014" s="685"/>
      <c r="O1014" s="683"/>
      <c r="P1014" s="683"/>
      <c r="Q1014" s="683"/>
      <c r="R1014" s="683"/>
      <c r="S1014" s="683"/>
      <c r="T1014" s="683"/>
      <c r="U1014" s="683"/>
      <c r="V1014" s="683"/>
      <c r="W1014" s="683"/>
      <c r="X1014" s="683"/>
      <c r="Y1014" s="683"/>
      <c r="Z1014" s="683"/>
    </row>
    <row r="1015" spans="1:26" ht="15.75" customHeight="1" x14ac:dyDescent="0.25">
      <c r="A1015" s="3" t="s">
        <v>2595</v>
      </c>
      <c r="B1015" s="3" t="s">
        <v>2583</v>
      </c>
      <c r="C1015" s="683"/>
      <c r="D1015" s="683"/>
      <c r="E1015" s="683"/>
      <c r="F1015" s="683"/>
      <c r="G1015" s="683"/>
      <c r="H1015" s="711"/>
      <c r="I1015" s="683"/>
      <c r="J1015" s="683"/>
      <c r="K1015" s="683"/>
      <c r="L1015" s="683"/>
      <c r="M1015" s="683"/>
      <c r="N1015" s="685"/>
      <c r="O1015" s="683"/>
      <c r="P1015" s="683"/>
      <c r="Q1015" s="683"/>
      <c r="R1015" s="683"/>
      <c r="S1015" s="683"/>
      <c r="T1015" s="683"/>
      <c r="U1015" s="683"/>
      <c r="V1015" s="683"/>
      <c r="W1015" s="683"/>
      <c r="X1015" s="683"/>
      <c r="Y1015" s="683"/>
      <c r="Z1015" s="683"/>
    </row>
    <row r="1016" spans="1:26" ht="15.75" customHeight="1" x14ac:dyDescent="0.25">
      <c r="A1016" s="683" t="s">
        <v>2152</v>
      </c>
      <c r="B1016" s="3" t="s">
        <v>2583</v>
      </c>
      <c r="C1016" s="683"/>
      <c r="D1016" s="683"/>
      <c r="E1016" s="683"/>
      <c r="F1016" s="683"/>
      <c r="G1016" s="683"/>
      <c r="H1016" s="711"/>
      <c r="I1016" s="683"/>
      <c r="J1016" s="683"/>
      <c r="K1016" s="683"/>
      <c r="L1016" s="683"/>
      <c r="M1016" s="683"/>
      <c r="N1016" s="685"/>
      <c r="O1016" s="683"/>
      <c r="P1016" s="683"/>
      <c r="Q1016" s="683"/>
      <c r="R1016" s="683"/>
      <c r="S1016" s="683"/>
      <c r="T1016" s="683"/>
      <c r="U1016" s="683"/>
      <c r="V1016" s="683"/>
      <c r="W1016" s="683"/>
      <c r="X1016" s="683"/>
      <c r="Y1016" s="683"/>
      <c r="Z1016" s="683"/>
    </row>
    <row r="1017" spans="1:26" ht="15.75" customHeight="1" x14ac:dyDescent="0.25">
      <c r="A1017" s="19" t="s">
        <v>2596</v>
      </c>
      <c r="B1017" s="3" t="s">
        <v>2583</v>
      </c>
      <c r="C1017" s="683"/>
      <c r="D1017" s="683"/>
      <c r="E1017" s="683"/>
      <c r="F1017" s="683"/>
      <c r="G1017" s="683"/>
      <c r="H1017" s="711"/>
      <c r="I1017" s="683"/>
      <c r="J1017" s="683"/>
      <c r="K1017" s="683"/>
      <c r="L1017" s="683"/>
      <c r="M1017" s="683"/>
      <c r="N1017" s="685"/>
      <c r="O1017" s="683"/>
      <c r="P1017" s="683"/>
      <c r="Q1017" s="683"/>
      <c r="R1017" s="683"/>
      <c r="S1017" s="683"/>
      <c r="T1017" s="683"/>
      <c r="U1017" s="683"/>
      <c r="V1017" s="683"/>
      <c r="W1017" s="683"/>
      <c r="X1017" s="683"/>
      <c r="Y1017" s="683"/>
      <c r="Z1017" s="683"/>
    </row>
    <row r="1018" spans="1:26" ht="15.75" customHeight="1" x14ac:dyDescent="0.25">
      <c r="A1018" s="3" t="s">
        <v>710</v>
      </c>
      <c r="B1018" s="3" t="s">
        <v>2583</v>
      </c>
      <c r="C1018" s="683"/>
      <c r="D1018" s="683"/>
      <c r="E1018" s="683"/>
      <c r="F1018" s="683"/>
      <c r="G1018" s="683"/>
      <c r="H1018" s="711"/>
      <c r="I1018" s="683"/>
      <c r="J1018" s="683"/>
      <c r="K1018" s="683"/>
      <c r="L1018" s="683"/>
      <c r="M1018" s="683"/>
      <c r="N1018" s="685"/>
      <c r="O1018" s="683"/>
      <c r="P1018" s="683"/>
      <c r="Q1018" s="683"/>
      <c r="R1018" s="683"/>
      <c r="S1018" s="683"/>
      <c r="T1018" s="683"/>
      <c r="U1018" s="683"/>
      <c r="V1018" s="683"/>
      <c r="W1018" s="683"/>
      <c r="X1018" s="683"/>
      <c r="Y1018" s="683"/>
      <c r="Z1018" s="683"/>
    </row>
    <row r="1019" spans="1:26" ht="15.75" customHeight="1" x14ac:dyDescent="0.25">
      <c r="A1019" s="683" t="s">
        <v>2597</v>
      </c>
      <c r="B1019" s="3" t="s">
        <v>2583</v>
      </c>
      <c r="C1019" s="683"/>
      <c r="D1019" s="683"/>
      <c r="E1019" s="683"/>
      <c r="F1019" s="683"/>
      <c r="G1019" s="683"/>
      <c r="H1019" s="711"/>
      <c r="I1019" s="683"/>
      <c r="J1019" s="683"/>
      <c r="K1019" s="683"/>
      <c r="L1019" s="683"/>
      <c r="M1019" s="683"/>
      <c r="N1019" s="685"/>
      <c r="O1019" s="683"/>
      <c r="P1019" s="683"/>
      <c r="Q1019" s="683"/>
      <c r="R1019" s="683"/>
      <c r="S1019" s="683"/>
      <c r="T1019" s="683"/>
      <c r="U1019" s="683"/>
      <c r="V1019" s="683"/>
      <c r="W1019" s="683"/>
      <c r="X1019" s="683"/>
      <c r="Y1019" s="683"/>
      <c r="Z1019" s="683"/>
    </row>
    <row r="1020" spans="1:26" ht="15.75" customHeight="1" x14ac:dyDescent="0.25">
      <c r="A1020" s="3" t="s">
        <v>590</v>
      </c>
      <c r="B1020" s="3" t="s">
        <v>2583</v>
      </c>
      <c r="C1020" s="683"/>
      <c r="D1020" s="683"/>
      <c r="E1020" s="683"/>
      <c r="F1020" s="683"/>
      <c r="G1020" s="683"/>
      <c r="H1020" s="711"/>
      <c r="I1020" s="683"/>
      <c r="J1020" s="683"/>
      <c r="K1020" s="683"/>
      <c r="L1020" s="683"/>
      <c r="M1020" s="683"/>
      <c r="N1020" s="685"/>
      <c r="O1020" s="683"/>
      <c r="P1020" s="683"/>
      <c r="Q1020" s="683"/>
      <c r="R1020" s="683"/>
      <c r="S1020" s="683"/>
      <c r="T1020" s="683"/>
      <c r="U1020" s="683"/>
      <c r="V1020" s="683"/>
      <c r="W1020" s="683"/>
      <c r="X1020" s="683"/>
      <c r="Y1020" s="683"/>
      <c r="Z1020" s="683"/>
    </row>
    <row r="1021" spans="1:26" ht="15.75" customHeight="1" x14ac:dyDescent="0.25">
      <c r="A1021" s="3" t="s">
        <v>2598</v>
      </c>
      <c r="B1021" s="3" t="s">
        <v>2583</v>
      </c>
      <c r="C1021" s="683"/>
      <c r="D1021" s="683"/>
      <c r="E1021" s="683"/>
      <c r="F1021" s="683"/>
      <c r="G1021" s="683"/>
      <c r="H1021" s="711"/>
      <c r="I1021" s="683"/>
      <c r="J1021" s="683"/>
      <c r="K1021" s="683"/>
      <c r="L1021" s="683"/>
      <c r="M1021" s="683"/>
      <c r="N1021" s="685"/>
      <c r="O1021" s="683"/>
      <c r="P1021" s="683"/>
      <c r="Q1021" s="683"/>
      <c r="R1021" s="683"/>
      <c r="S1021" s="683"/>
      <c r="T1021" s="683"/>
      <c r="U1021" s="683"/>
      <c r="V1021" s="683"/>
      <c r="W1021" s="683"/>
      <c r="X1021" s="683"/>
      <c r="Y1021" s="683"/>
      <c r="Z1021" s="683"/>
    </row>
    <row r="1022" spans="1:26" ht="15.75" customHeight="1" x14ac:dyDescent="0.25">
      <c r="A1022" s="3" t="s">
        <v>2599</v>
      </c>
      <c r="B1022" s="3" t="s">
        <v>2583</v>
      </c>
      <c r="C1022" s="683"/>
      <c r="D1022" s="683"/>
      <c r="E1022" s="683"/>
      <c r="F1022" s="683"/>
      <c r="G1022" s="683"/>
      <c r="H1022" s="711"/>
      <c r="I1022" s="683"/>
      <c r="J1022" s="683"/>
      <c r="K1022" s="683"/>
      <c r="L1022" s="683"/>
      <c r="M1022" s="683"/>
      <c r="N1022" s="685"/>
      <c r="O1022" s="683"/>
      <c r="P1022" s="683"/>
      <c r="Q1022" s="683"/>
      <c r="R1022" s="683"/>
      <c r="S1022" s="683"/>
      <c r="T1022" s="683"/>
      <c r="U1022" s="683"/>
      <c r="V1022" s="683"/>
      <c r="W1022" s="683"/>
      <c r="X1022" s="683"/>
      <c r="Y1022" s="683"/>
      <c r="Z1022" s="683"/>
    </row>
    <row r="1023" spans="1:26" ht="15.75" customHeight="1" x14ac:dyDescent="0.25">
      <c r="A1023" s="3" t="s">
        <v>2600</v>
      </c>
      <c r="B1023" s="3" t="s">
        <v>2583</v>
      </c>
      <c r="C1023" s="683"/>
      <c r="D1023" s="683"/>
      <c r="E1023" s="683"/>
      <c r="F1023" s="683"/>
      <c r="G1023" s="683"/>
      <c r="H1023" s="711"/>
      <c r="I1023" s="683"/>
      <c r="J1023" s="683"/>
      <c r="K1023" s="683"/>
      <c r="L1023" s="683"/>
      <c r="M1023" s="683"/>
      <c r="N1023" s="685"/>
      <c r="O1023" s="683"/>
      <c r="P1023" s="683"/>
      <c r="Q1023" s="683"/>
      <c r="R1023" s="683"/>
      <c r="S1023" s="683"/>
      <c r="T1023" s="683"/>
      <c r="U1023" s="683"/>
      <c r="V1023" s="683"/>
      <c r="W1023" s="683"/>
      <c r="X1023" s="683"/>
      <c r="Y1023" s="683"/>
      <c r="Z1023" s="683"/>
    </row>
    <row r="1024" spans="1:26" ht="15.75" customHeight="1" x14ac:dyDescent="0.25">
      <c r="A1024" s="683" t="s">
        <v>2601</v>
      </c>
      <c r="B1024" s="3" t="s">
        <v>2579</v>
      </c>
      <c r="C1024" s="683"/>
      <c r="D1024" s="683"/>
      <c r="E1024" s="683"/>
      <c r="F1024" s="683"/>
      <c r="G1024" s="683"/>
      <c r="H1024" s="711"/>
      <c r="I1024" s="683"/>
      <c r="J1024" s="683"/>
      <c r="K1024" s="683"/>
      <c r="L1024" s="683"/>
      <c r="M1024" s="683"/>
      <c r="N1024" s="685"/>
      <c r="O1024" s="683"/>
      <c r="P1024" s="683"/>
      <c r="Q1024" s="683"/>
      <c r="R1024" s="683"/>
      <c r="S1024" s="683"/>
      <c r="T1024" s="683"/>
      <c r="U1024" s="683"/>
      <c r="V1024" s="683"/>
      <c r="W1024" s="683"/>
      <c r="X1024" s="683"/>
      <c r="Y1024" s="683"/>
      <c r="Z1024" s="683"/>
    </row>
    <row r="1025" spans="1:26" ht="15.75" customHeight="1" x14ac:dyDescent="0.25">
      <c r="A1025" s="683" t="s">
        <v>2602</v>
      </c>
      <c r="B1025" s="3" t="s">
        <v>2583</v>
      </c>
      <c r="C1025" s="683"/>
      <c r="D1025" s="683"/>
      <c r="E1025" s="683"/>
      <c r="F1025" s="683"/>
      <c r="G1025" s="683"/>
      <c r="H1025" s="711"/>
      <c r="I1025" s="683"/>
      <c r="J1025" s="683"/>
      <c r="K1025" s="683"/>
      <c r="L1025" s="683"/>
      <c r="M1025" s="683"/>
      <c r="N1025" s="685"/>
      <c r="O1025" s="683"/>
      <c r="P1025" s="683"/>
      <c r="Q1025" s="683"/>
      <c r="R1025" s="683"/>
      <c r="S1025" s="683"/>
      <c r="T1025" s="683"/>
      <c r="U1025" s="683"/>
      <c r="V1025" s="683"/>
      <c r="W1025" s="683"/>
      <c r="X1025" s="683"/>
      <c r="Y1025" s="683"/>
      <c r="Z1025" s="683"/>
    </row>
    <row r="1026" spans="1:26" ht="15.75" customHeight="1" x14ac:dyDescent="0.25">
      <c r="A1026" s="683" t="s">
        <v>2603</v>
      </c>
      <c r="B1026" s="3" t="s">
        <v>2583</v>
      </c>
      <c r="C1026" s="683"/>
      <c r="D1026" s="683"/>
      <c r="E1026" s="683"/>
      <c r="F1026" s="683"/>
      <c r="G1026" s="683"/>
      <c r="H1026" s="711"/>
      <c r="I1026" s="683"/>
      <c r="J1026" s="683"/>
      <c r="K1026" s="683"/>
      <c r="L1026" s="683"/>
      <c r="M1026" s="683"/>
      <c r="N1026" s="685"/>
      <c r="O1026" s="683"/>
      <c r="P1026" s="683"/>
      <c r="Q1026" s="683"/>
      <c r="R1026" s="683"/>
      <c r="S1026" s="683"/>
      <c r="T1026" s="683"/>
      <c r="U1026" s="683"/>
      <c r="V1026" s="683"/>
      <c r="W1026" s="683"/>
      <c r="X1026" s="683"/>
      <c r="Y1026" s="683"/>
      <c r="Z1026" s="683"/>
    </row>
    <row r="1027" spans="1:26" ht="15.75" customHeight="1" x14ac:dyDescent="0.25">
      <c r="A1027" s="683" t="s">
        <v>2604</v>
      </c>
      <c r="B1027" s="3" t="s">
        <v>2583</v>
      </c>
      <c r="C1027" s="683"/>
      <c r="D1027" s="683"/>
      <c r="E1027" s="683"/>
      <c r="F1027" s="683"/>
      <c r="G1027" s="683"/>
      <c r="H1027" s="711"/>
      <c r="I1027" s="683"/>
      <c r="J1027" s="683"/>
      <c r="K1027" s="683"/>
      <c r="L1027" s="683"/>
      <c r="M1027" s="683"/>
      <c r="N1027" s="685"/>
      <c r="O1027" s="683"/>
      <c r="P1027" s="683"/>
      <c r="Q1027" s="683"/>
      <c r="R1027" s="683"/>
      <c r="S1027" s="683"/>
      <c r="T1027" s="683"/>
      <c r="U1027" s="683"/>
      <c r="V1027" s="683"/>
      <c r="W1027" s="683"/>
      <c r="X1027" s="683"/>
      <c r="Y1027" s="683"/>
      <c r="Z1027" s="683"/>
    </row>
    <row r="1028" spans="1:26" ht="15.75" customHeight="1" x14ac:dyDescent="0.25">
      <c r="A1028" s="683" t="s">
        <v>2605</v>
      </c>
      <c r="B1028" s="3" t="s">
        <v>2583</v>
      </c>
      <c r="C1028" s="683"/>
      <c r="D1028" s="683"/>
      <c r="E1028" s="683"/>
      <c r="F1028" s="683"/>
      <c r="G1028" s="683"/>
      <c r="H1028" s="711"/>
      <c r="I1028" s="683"/>
      <c r="J1028" s="683"/>
      <c r="K1028" s="683"/>
      <c r="L1028" s="683"/>
      <c r="M1028" s="683"/>
      <c r="N1028" s="685"/>
      <c r="O1028" s="683"/>
      <c r="P1028" s="683"/>
      <c r="Q1028" s="683"/>
      <c r="R1028" s="683"/>
      <c r="S1028" s="683"/>
      <c r="T1028" s="683"/>
      <c r="U1028" s="683"/>
      <c r="V1028" s="683"/>
      <c r="W1028" s="683"/>
      <c r="X1028" s="683"/>
      <c r="Y1028" s="683"/>
      <c r="Z1028" s="683"/>
    </row>
    <row r="1029" spans="1:26" ht="15.75" customHeight="1" x14ac:dyDescent="0.25">
      <c r="A1029" s="683" t="s">
        <v>2606</v>
      </c>
      <c r="B1029" s="3" t="s">
        <v>2607</v>
      </c>
      <c r="C1029" s="683"/>
      <c r="D1029" s="683"/>
      <c r="E1029" s="683"/>
      <c r="F1029" s="683"/>
      <c r="G1029" s="683"/>
      <c r="H1029" s="711"/>
      <c r="I1029" s="683"/>
      <c r="J1029" s="683"/>
      <c r="K1029" s="683"/>
      <c r="L1029" s="683"/>
      <c r="M1029" s="683"/>
      <c r="N1029" s="685"/>
      <c r="O1029" s="683"/>
      <c r="P1029" s="683"/>
      <c r="Q1029" s="683"/>
      <c r="R1029" s="683"/>
      <c r="S1029" s="683"/>
      <c r="T1029" s="683"/>
      <c r="U1029" s="683"/>
      <c r="V1029" s="683"/>
      <c r="W1029" s="683"/>
      <c r="X1029" s="683"/>
      <c r="Y1029" s="683"/>
      <c r="Z1029" s="683"/>
    </row>
    <row r="1030" spans="1:26" ht="15.75" customHeight="1" x14ac:dyDescent="0.25">
      <c r="A1030" s="3" t="s">
        <v>2608</v>
      </c>
      <c r="B1030" s="3" t="s">
        <v>2583</v>
      </c>
      <c r="C1030" s="683"/>
      <c r="D1030" s="683"/>
      <c r="E1030" s="683"/>
      <c r="F1030" s="683"/>
      <c r="G1030" s="683"/>
      <c r="H1030" s="711"/>
      <c r="I1030" s="683"/>
      <c r="J1030" s="683"/>
      <c r="K1030" s="683"/>
      <c r="L1030" s="683"/>
      <c r="M1030" s="683"/>
      <c r="N1030" s="685"/>
      <c r="O1030" s="683"/>
      <c r="P1030" s="683"/>
      <c r="Q1030" s="683"/>
      <c r="R1030" s="683"/>
      <c r="S1030" s="683"/>
      <c r="T1030" s="683"/>
      <c r="U1030" s="683"/>
      <c r="V1030" s="683"/>
      <c r="W1030" s="683"/>
      <c r="X1030" s="683"/>
      <c r="Y1030" s="683"/>
      <c r="Z1030" s="683"/>
    </row>
    <row r="1031" spans="1:26" ht="15.75" customHeight="1" x14ac:dyDescent="0.25">
      <c r="A1031" s="683" t="s">
        <v>2609</v>
      </c>
      <c r="B1031" s="3" t="s">
        <v>2583</v>
      </c>
      <c r="C1031" s="683"/>
      <c r="D1031" s="683"/>
      <c r="E1031" s="683"/>
      <c r="F1031" s="683"/>
      <c r="G1031" s="683"/>
      <c r="H1031" s="711"/>
      <c r="I1031" s="683"/>
      <c r="J1031" s="683"/>
      <c r="K1031" s="683"/>
      <c r="L1031" s="683"/>
      <c r="M1031" s="683"/>
      <c r="N1031" s="685"/>
      <c r="O1031" s="683"/>
      <c r="P1031" s="683"/>
      <c r="Q1031" s="683"/>
      <c r="R1031" s="683"/>
      <c r="S1031" s="683"/>
      <c r="T1031" s="683"/>
      <c r="U1031" s="683"/>
      <c r="V1031" s="683"/>
      <c r="W1031" s="683"/>
      <c r="X1031" s="683"/>
      <c r="Y1031" s="683"/>
      <c r="Z1031" s="683"/>
    </row>
    <row r="1032" spans="1:26" ht="15.75" customHeight="1" x14ac:dyDescent="0.25">
      <c r="A1032" s="683" t="s">
        <v>2610</v>
      </c>
      <c r="B1032" s="3" t="s">
        <v>2583</v>
      </c>
      <c r="C1032" s="683"/>
      <c r="D1032" s="683"/>
      <c r="E1032" s="683"/>
      <c r="F1032" s="683"/>
      <c r="G1032" s="683"/>
      <c r="H1032" s="711"/>
      <c r="I1032" s="683"/>
      <c r="J1032" s="683"/>
      <c r="K1032" s="683"/>
      <c r="L1032" s="683"/>
      <c r="M1032" s="683"/>
      <c r="N1032" s="685"/>
      <c r="O1032" s="683"/>
      <c r="P1032" s="683"/>
      <c r="Q1032" s="683"/>
      <c r="R1032" s="683"/>
      <c r="S1032" s="683"/>
      <c r="T1032" s="683"/>
      <c r="U1032" s="683"/>
      <c r="V1032" s="683"/>
      <c r="W1032" s="683"/>
      <c r="X1032" s="683"/>
      <c r="Y1032" s="683"/>
      <c r="Z1032" s="683"/>
    </row>
    <row r="1033" spans="1:26" ht="15.75" customHeight="1" x14ac:dyDescent="0.25">
      <c r="A1033" s="683" t="s">
        <v>2611</v>
      </c>
      <c r="B1033" s="3" t="s">
        <v>2583</v>
      </c>
      <c r="C1033" s="683"/>
      <c r="D1033" s="683"/>
      <c r="E1033" s="683"/>
      <c r="F1033" s="683"/>
      <c r="G1033" s="683"/>
      <c r="H1033" s="711"/>
      <c r="I1033" s="683"/>
      <c r="J1033" s="683"/>
      <c r="K1033" s="683"/>
      <c r="L1033" s="683"/>
      <c r="M1033" s="683"/>
      <c r="N1033" s="685"/>
      <c r="O1033" s="683"/>
      <c r="P1033" s="683"/>
      <c r="Q1033" s="683"/>
      <c r="R1033" s="683"/>
      <c r="S1033" s="683"/>
      <c r="T1033" s="683"/>
      <c r="U1033" s="683"/>
      <c r="V1033" s="683"/>
      <c r="W1033" s="683"/>
      <c r="X1033" s="683"/>
      <c r="Y1033" s="683"/>
      <c r="Z1033" s="683"/>
    </row>
    <row r="1034" spans="1:26" ht="15.75" customHeight="1" x14ac:dyDescent="0.25">
      <c r="A1034" s="683" t="s">
        <v>2612</v>
      </c>
      <c r="B1034" s="3" t="s">
        <v>2583</v>
      </c>
      <c r="C1034" s="683"/>
      <c r="D1034" s="683"/>
      <c r="E1034" s="683"/>
      <c r="F1034" s="683"/>
      <c r="G1034" s="683"/>
      <c r="H1034" s="711"/>
      <c r="I1034" s="683"/>
      <c r="J1034" s="683"/>
      <c r="K1034" s="683"/>
      <c r="L1034" s="683"/>
      <c r="M1034" s="683"/>
      <c r="N1034" s="685"/>
      <c r="O1034" s="683"/>
      <c r="P1034" s="683"/>
      <c r="Q1034" s="683"/>
      <c r="R1034" s="683"/>
      <c r="S1034" s="683"/>
      <c r="T1034" s="683"/>
      <c r="U1034" s="683"/>
      <c r="V1034" s="683"/>
      <c r="W1034" s="683"/>
      <c r="X1034" s="683"/>
      <c r="Y1034" s="683"/>
      <c r="Z1034" s="683"/>
    </row>
    <row r="1035" spans="1:26" ht="15.75" customHeight="1" x14ac:dyDescent="0.25">
      <c r="A1035" s="683" t="s">
        <v>2613</v>
      </c>
      <c r="B1035" s="3" t="s">
        <v>2579</v>
      </c>
      <c r="C1035" s="683"/>
      <c r="D1035" s="683"/>
      <c r="E1035" s="683"/>
      <c r="F1035" s="683"/>
      <c r="G1035" s="683"/>
      <c r="H1035" s="711"/>
      <c r="I1035" s="683"/>
      <c r="J1035" s="683"/>
      <c r="K1035" s="683"/>
      <c r="L1035" s="683"/>
      <c r="M1035" s="683"/>
      <c r="N1035" s="685"/>
      <c r="O1035" s="683"/>
      <c r="P1035" s="683"/>
      <c r="Q1035" s="683"/>
      <c r="R1035" s="683"/>
      <c r="S1035" s="683"/>
      <c r="T1035" s="683"/>
      <c r="U1035" s="683"/>
      <c r="V1035" s="683"/>
      <c r="W1035" s="683"/>
      <c r="X1035" s="683"/>
      <c r="Y1035" s="683"/>
      <c r="Z1035" s="683"/>
    </row>
    <row r="1036" spans="1:26" ht="15.75" customHeight="1" x14ac:dyDescent="0.25">
      <c r="A1036" s="683" t="s">
        <v>2614</v>
      </c>
      <c r="B1036" s="3" t="s">
        <v>2583</v>
      </c>
      <c r="C1036" s="683"/>
      <c r="D1036" s="683"/>
      <c r="E1036" s="683"/>
      <c r="F1036" s="683"/>
      <c r="G1036" s="683"/>
      <c r="H1036" s="711"/>
      <c r="I1036" s="683"/>
      <c r="J1036" s="683"/>
      <c r="K1036" s="683"/>
      <c r="L1036" s="683"/>
      <c r="M1036" s="683"/>
      <c r="N1036" s="685"/>
      <c r="O1036" s="683"/>
      <c r="P1036" s="683"/>
      <c r="Q1036" s="683"/>
      <c r="R1036" s="683"/>
      <c r="S1036" s="683"/>
      <c r="T1036" s="683"/>
      <c r="U1036" s="683"/>
      <c r="V1036" s="683"/>
      <c r="W1036" s="683"/>
      <c r="X1036" s="683"/>
      <c r="Y1036" s="683"/>
      <c r="Z1036" s="683"/>
    </row>
    <row r="1037" spans="1:26" ht="15.75" customHeight="1" x14ac:dyDescent="0.25">
      <c r="A1037" s="683" t="s">
        <v>710</v>
      </c>
      <c r="B1037" s="3" t="s">
        <v>2583</v>
      </c>
      <c r="C1037" s="683"/>
      <c r="D1037" s="683"/>
      <c r="E1037" s="683"/>
      <c r="F1037" s="683"/>
      <c r="G1037" s="683"/>
      <c r="H1037" s="711"/>
      <c r="I1037" s="683"/>
      <c r="J1037" s="683"/>
      <c r="K1037" s="683"/>
      <c r="L1037" s="683"/>
      <c r="M1037" s="683"/>
      <c r="N1037" s="685"/>
      <c r="O1037" s="683"/>
      <c r="P1037" s="683"/>
      <c r="Q1037" s="683"/>
      <c r="R1037" s="683"/>
      <c r="S1037" s="683"/>
      <c r="T1037" s="683"/>
      <c r="U1037" s="683"/>
      <c r="V1037" s="683"/>
      <c r="W1037" s="683"/>
      <c r="X1037" s="683"/>
      <c r="Y1037" s="683"/>
      <c r="Z1037" s="683"/>
    </row>
    <row r="1038" spans="1:26" ht="15.75" customHeight="1" x14ac:dyDescent="0.25">
      <c r="A1038" s="683" t="s">
        <v>2615</v>
      </c>
      <c r="B1038" s="3" t="s">
        <v>2583</v>
      </c>
      <c r="C1038" s="683"/>
      <c r="D1038" s="683"/>
      <c r="E1038" s="683"/>
      <c r="F1038" s="683"/>
      <c r="G1038" s="683"/>
      <c r="H1038" s="711"/>
      <c r="I1038" s="683"/>
      <c r="J1038" s="683"/>
      <c r="K1038" s="683"/>
      <c r="L1038" s="683"/>
      <c r="M1038" s="683"/>
      <c r="N1038" s="685"/>
      <c r="O1038" s="683"/>
      <c r="P1038" s="683"/>
      <c r="Q1038" s="683"/>
      <c r="R1038" s="683"/>
      <c r="S1038" s="683"/>
      <c r="T1038" s="683"/>
      <c r="U1038" s="683"/>
      <c r="V1038" s="683"/>
      <c r="W1038" s="683"/>
      <c r="X1038" s="683"/>
      <c r="Y1038" s="683"/>
      <c r="Z1038" s="683"/>
    </row>
    <row r="1039" spans="1:26" ht="15.75" customHeight="1" x14ac:dyDescent="0.25">
      <c r="A1039" s="3" t="s">
        <v>1956</v>
      </c>
      <c r="B1039" s="3" t="s">
        <v>2585</v>
      </c>
      <c r="C1039" s="683"/>
      <c r="D1039" s="683"/>
      <c r="E1039" s="683"/>
      <c r="F1039" s="683"/>
      <c r="G1039" s="683"/>
      <c r="H1039" s="711"/>
      <c r="I1039" s="683"/>
      <c r="J1039" s="683"/>
      <c r="K1039" s="683"/>
      <c r="L1039" s="683"/>
      <c r="M1039" s="683"/>
      <c r="N1039" s="685"/>
      <c r="O1039" s="683"/>
      <c r="P1039" s="683"/>
      <c r="Q1039" s="683"/>
      <c r="R1039" s="683"/>
      <c r="S1039" s="683"/>
      <c r="T1039" s="683"/>
      <c r="U1039" s="683"/>
      <c r="V1039" s="683"/>
      <c r="W1039" s="683"/>
      <c r="X1039" s="683"/>
      <c r="Y1039" s="683"/>
      <c r="Z1039" s="683"/>
    </row>
    <row r="1040" spans="1:26" ht="15.75" customHeight="1" x14ac:dyDescent="0.25">
      <c r="A1040" s="3" t="s">
        <v>2616</v>
      </c>
      <c r="B1040" s="3" t="s">
        <v>2583</v>
      </c>
      <c r="C1040" s="683"/>
      <c r="D1040" s="683"/>
      <c r="E1040" s="683"/>
      <c r="F1040" s="683"/>
      <c r="G1040" s="683"/>
      <c r="H1040" s="711"/>
      <c r="I1040" s="683"/>
      <c r="J1040" s="683"/>
      <c r="K1040" s="683"/>
      <c r="L1040" s="683"/>
      <c r="M1040" s="683"/>
      <c r="N1040" s="685"/>
      <c r="O1040" s="683"/>
      <c r="P1040" s="683"/>
      <c r="Q1040" s="683"/>
      <c r="R1040" s="683"/>
      <c r="S1040" s="683"/>
      <c r="T1040" s="683"/>
      <c r="U1040" s="683"/>
      <c r="V1040" s="683"/>
      <c r="W1040" s="683"/>
      <c r="X1040" s="683"/>
      <c r="Y1040" s="683"/>
      <c r="Z1040" s="683"/>
    </row>
    <row r="1041" spans="1:26" ht="15.75" customHeight="1" x14ac:dyDescent="0.25">
      <c r="A1041" s="3" t="s">
        <v>2617</v>
      </c>
      <c r="B1041" s="3" t="s">
        <v>2583</v>
      </c>
      <c r="C1041" s="683"/>
      <c r="D1041" s="683"/>
      <c r="E1041" s="683"/>
      <c r="F1041" s="683"/>
      <c r="G1041" s="683"/>
      <c r="H1041" s="711"/>
      <c r="I1041" s="683"/>
      <c r="J1041" s="683"/>
      <c r="K1041" s="683"/>
      <c r="L1041" s="683"/>
      <c r="M1041" s="683"/>
      <c r="N1041" s="685"/>
      <c r="O1041" s="683"/>
      <c r="P1041" s="683"/>
      <c r="Q1041" s="683"/>
      <c r="R1041" s="683"/>
      <c r="S1041" s="683"/>
      <c r="T1041" s="683"/>
      <c r="U1041" s="683"/>
      <c r="V1041" s="683"/>
      <c r="W1041" s="683"/>
      <c r="X1041" s="683"/>
      <c r="Y1041" s="683"/>
      <c r="Z1041" s="683"/>
    </row>
    <row r="1042" spans="1:26" ht="15.75" customHeight="1" x14ac:dyDescent="0.25">
      <c r="A1042" s="3" t="s">
        <v>2618</v>
      </c>
      <c r="B1042" s="3" t="s">
        <v>2583</v>
      </c>
      <c r="C1042" s="683"/>
      <c r="D1042" s="683"/>
      <c r="E1042" s="683"/>
      <c r="F1042" s="683"/>
      <c r="G1042" s="683"/>
      <c r="H1042" s="711"/>
      <c r="I1042" s="683"/>
      <c r="J1042" s="683"/>
      <c r="K1042" s="683"/>
      <c r="L1042" s="683"/>
      <c r="M1042" s="683"/>
      <c r="N1042" s="685"/>
      <c r="O1042" s="683"/>
      <c r="P1042" s="683"/>
      <c r="Q1042" s="683"/>
      <c r="R1042" s="683"/>
      <c r="S1042" s="683"/>
      <c r="T1042" s="683"/>
      <c r="U1042" s="683"/>
      <c r="V1042" s="683"/>
      <c r="W1042" s="683"/>
      <c r="X1042" s="683"/>
      <c r="Y1042" s="683"/>
      <c r="Z1042" s="683"/>
    </row>
    <row r="1043" spans="1:26" ht="15.75" customHeight="1" x14ac:dyDescent="0.25">
      <c r="A1043" s="3" t="s">
        <v>2619</v>
      </c>
      <c r="B1043" s="3" t="s">
        <v>2583</v>
      </c>
      <c r="C1043" s="683"/>
      <c r="D1043" s="683"/>
      <c r="E1043" s="683"/>
      <c r="F1043" s="683"/>
      <c r="G1043" s="683"/>
      <c r="H1043" s="711"/>
      <c r="I1043" s="683"/>
      <c r="J1043" s="683"/>
      <c r="K1043" s="683"/>
      <c r="L1043" s="683"/>
      <c r="M1043" s="683"/>
      <c r="N1043" s="685"/>
      <c r="O1043" s="683"/>
      <c r="P1043" s="683"/>
      <c r="Q1043" s="683"/>
      <c r="R1043" s="683"/>
      <c r="S1043" s="683"/>
      <c r="T1043" s="683"/>
      <c r="U1043" s="683"/>
      <c r="V1043" s="683"/>
      <c r="W1043" s="683"/>
      <c r="X1043" s="683"/>
      <c r="Y1043" s="683"/>
      <c r="Z1043" s="683"/>
    </row>
    <row r="1044" spans="1:26" ht="15.75" customHeight="1" x14ac:dyDescent="0.25">
      <c r="A1044" s="3" t="s">
        <v>397</v>
      </c>
      <c r="B1044" s="3" t="s">
        <v>2583</v>
      </c>
      <c r="C1044" s="683"/>
      <c r="D1044" s="683"/>
      <c r="E1044" s="683"/>
      <c r="F1044" s="683"/>
      <c r="G1044" s="683"/>
      <c r="H1044" s="711"/>
      <c r="I1044" s="683"/>
      <c r="J1044" s="683"/>
      <c r="K1044" s="683"/>
      <c r="L1044" s="683"/>
      <c r="M1044" s="683"/>
      <c r="N1044" s="685"/>
      <c r="O1044" s="683"/>
      <c r="P1044" s="683"/>
      <c r="Q1044" s="683"/>
      <c r="R1044" s="683"/>
      <c r="S1044" s="683"/>
      <c r="T1044" s="683"/>
      <c r="U1044" s="683"/>
      <c r="V1044" s="683"/>
      <c r="W1044" s="683"/>
      <c r="X1044" s="683"/>
      <c r="Y1044" s="683"/>
      <c r="Z1044" s="683"/>
    </row>
    <row r="1045" spans="1:26" ht="15.75" customHeight="1" x14ac:dyDescent="0.25">
      <c r="A1045" s="3" t="s">
        <v>2620</v>
      </c>
      <c r="B1045" s="683" t="s">
        <v>2621</v>
      </c>
      <c r="C1045" s="683"/>
      <c r="D1045" s="683"/>
      <c r="E1045" s="683"/>
      <c r="F1045" s="683"/>
      <c r="G1045" s="683"/>
      <c r="H1045" s="711"/>
      <c r="I1045" s="683"/>
      <c r="J1045" s="683"/>
      <c r="K1045" s="683"/>
      <c r="L1045" s="683"/>
      <c r="M1045" s="683"/>
      <c r="N1045" s="685"/>
      <c r="O1045" s="683"/>
      <c r="P1045" s="683"/>
      <c r="Q1045" s="683"/>
      <c r="R1045" s="683"/>
      <c r="S1045" s="683"/>
      <c r="T1045" s="683"/>
      <c r="U1045" s="683"/>
      <c r="V1045" s="683"/>
      <c r="W1045" s="683"/>
      <c r="X1045" s="683"/>
      <c r="Y1045" s="683"/>
      <c r="Z1045" s="683"/>
    </row>
    <row r="1046" spans="1:26" ht="15.75" customHeight="1" x14ac:dyDescent="0.25">
      <c r="A1046" s="683" t="s">
        <v>2215</v>
      </c>
      <c r="B1046" s="683" t="s">
        <v>2621</v>
      </c>
      <c r="C1046" s="683"/>
      <c r="D1046" s="683"/>
      <c r="E1046" s="683"/>
      <c r="F1046" s="683"/>
      <c r="G1046" s="683"/>
      <c r="H1046" s="711"/>
      <c r="I1046" s="683"/>
      <c r="J1046" s="683"/>
      <c r="K1046" s="683"/>
      <c r="L1046" s="683"/>
      <c r="M1046" s="683"/>
      <c r="N1046" s="685"/>
      <c r="O1046" s="683"/>
      <c r="P1046" s="683"/>
      <c r="Q1046" s="683"/>
      <c r="R1046" s="683"/>
      <c r="S1046" s="683"/>
      <c r="T1046" s="683"/>
      <c r="U1046" s="683"/>
      <c r="V1046" s="683"/>
      <c r="W1046" s="683"/>
      <c r="X1046" s="683"/>
      <c r="Y1046" s="683"/>
      <c r="Z1046" s="683"/>
    </row>
    <row r="1047" spans="1:26" ht="15.75" customHeight="1" x14ac:dyDescent="0.25">
      <c r="A1047" s="3" t="s">
        <v>2212</v>
      </c>
      <c r="B1047" s="683" t="s">
        <v>2621</v>
      </c>
      <c r="C1047" s="683"/>
      <c r="D1047" s="683"/>
      <c r="E1047" s="683"/>
      <c r="F1047" s="683"/>
      <c r="G1047" s="683"/>
      <c r="H1047" s="711"/>
      <c r="I1047" s="683"/>
      <c r="J1047" s="683"/>
      <c r="K1047" s="683"/>
      <c r="L1047" s="683"/>
      <c r="M1047" s="683"/>
      <c r="N1047" s="685"/>
      <c r="O1047" s="683"/>
      <c r="P1047" s="683"/>
      <c r="Q1047" s="683"/>
      <c r="R1047" s="683"/>
      <c r="S1047" s="683"/>
      <c r="T1047" s="683"/>
      <c r="U1047" s="683"/>
      <c r="V1047" s="683"/>
      <c r="W1047" s="683"/>
      <c r="X1047" s="683"/>
      <c r="Y1047" s="683"/>
      <c r="Z1047" s="683"/>
    </row>
    <row r="1048" spans="1:26" ht="15.75" customHeight="1" x14ac:dyDescent="0.25">
      <c r="A1048" s="3" t="s">
        <v>259</v>
      </c>
      <c r="B1048" s="683" t="s">
        <v>2621</v>
      </c>
      <c r="C1048" s="683"/>
      <c r="D1048" s="683"/>
      <c r="E1048" s="683"/>
      <c r="F1048" s="683"/>
      <c r="G1048" s="683"/>
      <c r="H1048" s="711"/>
      <c r="I1048" s="683"/>
      <c r="J1048" s="683"/>
      <c r="K1048" s="683"/>
      <c r="L1048" s="683"/>
      <c r="M1048" s="683"/>
      <c r="N1048" s="685"/>
      <c r="O1048" s="683"/>
      <c r="P1048" s="683"/>
      <c r="Q1048" s="683"/>
      <c r="R1048" s="683"/>
      <c r="S1048" s="683"/>
      <c r="T1048" s="683"/>
      <c r="U1048" s="683"/>
      <c r="V1048" s="683"/>
      <c r="W1048" s="683"/>
      <c r="X1048" s="683"/>
      <c r="Y1048" s="683"/>
      <c r="Z1048" s="683"/>
    </row>
    <row r="1049" spans="1:26" ht="15.75" customHeight="1" x14ac:dyDescent="0.25">
      <c r="A1049" s="3" t="s">
        <v>150</v>
      </c>
      <c r="B1049" s="683" t="s">
        <v>2621</v>
      </c>
      <c r="C1049" s="683"/>
      <c r="D1049" s="683"/>
      <c r="E1049" s="683"/>
      <c r="F1049" s="683"/>
      <c r="G1049" s="683"/>
      <c r="H1049" s="711"/>
      <c r="I1049" s="683"/>
      <c r="J1049" s="683"/>
      <c r="K1049" s="683"/>
      <c r="L1049" s="683"/>
      <c r="M1049" s="683"/>
      <c r="N1049" s="685"/>
      <c r="O1049" s="683"/>
      <c r="P1049" s="683"/>
      <c r="Q1049" s="683"/>
      <c r="R1049" s="683"/>
      <c r="S1049" s="683"/>
      <c r="T1049" s="683"/>
      <c r="U1049" s="683"/>
      <c r="V1049" s="683"/>
      <c r="W1049" s="683"/>
      <c r="X1049" s="683"/>
      <c r="Y1049" s="683"/>
      <c r="Z1049" s="683"/>
    </row>
    <row r="1050" spans="1:26" ht="15.75" customHeight="1" x14ac:dyDescent="0.25">
      <c r="A1050" s="3" t="s">
        <v>51</v>
      </c>
      <c r="B1050" s="683" t="s">
        <v>2622</v>
      </c>
      <c r="C1050" s="683"/>
      <c r="D1050" s="683"/>
      <c r="E1050" s="683"/>
      <c r="F1050" s="683"/>
      <c r="G1050" s="683"/>
      <c r="H1050" s="711"/>
      <c r="I1050" s="683"/>
      <c r="J1050" s="683"/>
      <c r="K1050" s="683"/>
      <c r="L1050" s="683"/>
      <c r="M1050" s="683"/>
      <c r="N1050" s="685"/>
      <c r="O1050" s="683"/>
      <c r="P1050" s="683"/>
      <c r="Q1050" s="683"/>
      <c r="R1050" s="683"/>
      <c r="S1050" s="683"/>
      <c r="T1050" s="683"/>
      <c r="U1050" s="683"/>
      <c r="V1050" s="683"/>
      <c r="W1050" s="683"/>
      <c r="X1050" s="683"/>
      <c r="Y1050" s="683"/>
      <c r="Z1050" s="683"/>
    </row>
    <row r="1051" spans="1:26" ht="15.75" customHeight="1" x14ac:dyDescent="0.25">
      <c r="A1051" s="683" t="s">
        <v>2623</v>
      </c>
      <c r="B1051" s="683" t="s">
        <v>2622</v>
      </c>
      <c r="C1051" s="683"/>
      <c r="D1051" s="683"/>
      <c r="E1051" s="683"/>
      <c r="F1051" s="683"/>
      <c r="G1051" s="683"/>
      <c r="H1051" s="711"/>
      <c r="I1051" s="683"/>
      <c r="J1051" s="683"/>
      <c r="K1051" s="683"/>
      <c r="L1051" s="683"/>
      <c r="M1051" s="683"/>
      <c r="N1051" s="685"/>
      <c r="O1051" s="683"/>
      <c r="P1051" s="683"/>
      <c r="Q1051" s="683"/>
      <c r="R1051" s="683"/>
      <c r="S1051" s="683"/>
      <c r="T1051" s="683"/>
      <c r="U1051" s="683"/>
      <c r="V1051" s="683"/>
      <c r="W1051" s="683"/>
      <c r="X1051" s="683"/>
      <c r="Y1051" s="683"/>
      <c r="Z1051" s="683"/>
    </row>
    <row r="1052" spans="1:26" ht="15.75" customHeight="1" x14ac:dyDescent="0.25">
      <c r="A1052" s="3" t="s">
        <v>265</v>
      </c>
      <c r="B1052" s="683" t="s">
        <v>2621</v>
      </c>
      <c r="C1052" s="683"/>
      <c r="D1052" s="683"/>
      <c r="E1052" s="683"/>
      <c r="F1052" s="683"/>
      <c r="G1052" s="683"/>
      <c r="H1052" s="711"/>
      <c r="I1052" s="683"/>
      <c r="J1052" s="683"/>
      <c r="K1052" s="683"/>
      <c r="L1052" s="683"/>
      <c r="M1052" s="683"/>
      <c r="N1052" s="685"/>
      <c r="O1052" s="683"/>
      <c r="P1052" s="683"/>
      <c r="Q1052" s="683"/>
      <c r="R1052" s="683"/>
      <c r="S1052" s="683"/>
      <c r="T1052" s="683"/>
      <c r="U1052" s="683"/>
      <c r="V1052" s="683"/>
      <c r="W1052" s="683"/>
      <c r="X1052" s="683"/>
      <c r="Y1052" s="683"/>
      <c r="Z1052" s="683"/>
    </row>
    <row r="1053" spans="1:26" ht="15.75" customHeight="1" x14ac:dyDescent="0.25">
      <c r="A1053" s="3" t="s">
        <v>172</v>
      </c>
      <c r="B1053" s="683" t="s">
        <v>2621</v>
      </c>
      <c r="C1053" s="683"/>
      <c r="D1053" s="683"/>
      <c r="E1053" s="683"/>
      <c r="F1053" s="683"/>
      <c r="G1053" s="683"/>
      <c r="H1053" s="711"/>
      <c r="I1053" s="683"/>
      <c r="J1053" s="683"/>
      <c r="K1053" s="683"/>
      <c r="L1053" s="683"/>
      <c r="M1053" s="683"/>
      <c r="N1053" s="685"/>
      <c r="O1053" s="683"/>
      <c r="P1053" s="683"/>
      <c r="Q1053" s="683"/>
      <c r="R1053" s="683"/>
      <c r="S1053" s="683"/>
      <c r="T1053" s="683"/>
      <c r="U1053" s="683"/>
      <c r="V1053" s="683"/>
      <c r="W1053" s="683"/>
      <c r="X1053" s="683"/>
      <c r="Y1053" s="683"/>
      <c r="Z1053" s="683"/>
    </row>
    <row r="1054" spans="1:26" ht="15.75" customHeight="1" x14ac:dyDescent="0.25">
      <c r="A1054" s="3" t="s">
        <v>2624</v>
      </c>
      <c r="B1054" s="683" t="s">
        <v>2621</v>
      </c>
      <c r="C1054" s="683"/>
      <c r="D1054" s="683"/>
      <c r="E1054" s="683"/>
      <c r="F1054" s="683"/>
      <c r="G1054" s="683"/>
      <c r="H1054" s="711"/>
      <c r="I1054" s="683"/>
      <c r="J1054" s="683"/>
      <c r="K1054" s="683"/>
      <c r="L1054" s="683"/>
      <c r="M1054" s="683"/>
      <c r="N1054" s="685"/>
      <c r="O1054" s="683"/>
      <c r="P1054" s="683"/>
      <c r="Q1054" s="683"/>
      <c r="R1054" s="683"/>
      <c r="S1054" s="683"/>
      <c r="T1054" s="683"/>
      <c r="U1054" s="683"/>
      <c r="V1054" s="683"/>
      <c r="W1054" s="683"/>
      <c r="X1054" s="683"/>
      <c r="Y1054" s="683"/>
      <c r="Z1054" s="683"/>
    </row>
    <row r="1055" spans="1:26" ht="15.75" customHeight="1" x14ac:dyDescent="0.25">
      <c r="A1055" s="3" t="s">
        <v>2625</v>
      </c>
      <c r="B1055" s="683" t="s">
        <v>2621</v>
      </c>
      <c r="C1055" s="683"/>
      <c r="D1055" s="683"/>
      <c r="E1055" s="683"/>
      <c r="F1055" s="683"/>
      <c r="G1055" s="683"/>
      <c r="H1055" s="711"/>
      <c r="I1055" s="683"/>
      <c r="J1055" s="683"/>
      <c r="K1055" s="683"/>
      <c r="L1055" s="683"/>
      <c r="M1055" s="683"/>
      <c r="N1055" s="685"/>
      <c r="O1055" s="683"/>
      <c r="P1055" s="683"/>
      <c r="Q1055" s="683"/>
      <c r="R1055" s="683"/>
      <c r="S1055" s="683"/>
      <c r="T1055" s="683"/>
      <c r="U1055" s="683"/>
      <c r="V1055" s="683"/>
      <c r="W1055" s="683"/>
      <c r="X1055" s="683"/>
      <c r="Y1055" s="683"/>
      <c r="Z1055" s="683"/>
    </row>
    <row r="1056" spans="1:26" ht="15.75" customHeight="1" x14ac:dyDescent="0.25">
      <c r="A1056" s="683" t="s">
        <v>2626</v>
      </c>
      <c r="B1056" s="683" t="s">
        <v>2621</v>
      </c>
      <c r="C1056" s="683"/>
      <c r="D1056" s="683"/>
      <c r="E1056" s="683"/>
      <c r="F1056" s="683"/>
      <c r="G1056" s="683"/>
      <c r="H1056" s="711"/>
      <c r="I1056" s="683"/>
      <c r="J1056" s="683"/>
      <c r="K1056" s="683"/>
      <c r="L1056" s="683"/>
      <c r="M1056" s="683"/>
      <c r="N1056" s="685"/>
      <c r="O1056" s="683"/>
      <c r="P1056" s="683"/>
      <c r="Q1056" s="683"/>
      <c r="R1056" s="683"/>
      <c r="S1056" s="683"/>
      <c r="T1056" s="683"/>
      <c r="U1056" s="683"/>
      <c r="V1056" s="683"/>
      <c r="W1056" s="683"/>
      <c r="X1056" s="683"/>
      <c r="Y1056" s="683"/>
      <c r="Z1056" s="683"/>
    </row>
    <row r="1057" spans="1:26" ht="15.75" customHeight="1" x14ac:dyDescent="0.25">
      <c r="A1057" s="3" t="s">
        <v>2627</v>
      </c>
      <c r="B1057" s="683" t="s">
        <v>2621</v>
      </c>
      <c r="C1057" s="683"/>
      <c r="D1057" s="683"/>
      <c r="E1057" s="683"/>
      <c r="F1057" s="683"/>
      <c r="G1057" s="683"/>
      <c r="H1057" s="711"/>
      <c r="I1057" s="683"/>
      <c r="J1057" s="683"/>
      <c r="K1057" s="683"/>
      <c r="L1057" s="683"/>
      <c r="M1057" s="683"/>
      <c r="N1057" s="685"/>
      <c r="O1057" s="683"/>
      <c r="P1057" s="683"/>
      <c r="Q1057" s="683"/>
      <c r="R1057" s="683"/>
      <c r="S1057" s="683"/>
      <c r="T1057" s="683"/>
      <c r="U1057" s="683"/>
      <c r="V1057" s="683"/>
      <c r="W1057" s="683"/>
      <c r="X1057" s="683"/>
      <c r="Y1057" s="683"/>
      <c r="Z1057" s="683"/>
    </row>
    <row r="1058" spans="1:26" ht="15.75" customHeight="1" x14ac:dyDescent="0.25">
      <c r="A1058" s="3" t="s">
        <v>2628</v>
      </c>
      <c r="B1058" s="683" t="s">
        <v>2621</v>
      </c>
      <c r="C1058" s="683"/>
      <c r="D1058" s="683"/>
      <c r="E1058" s="683"/>
      <c r="F1058" s="683"/>
      <c r="G1058" s="683"/>
      <c r="H1058" s="711"/>
      <c r="I1058" s="683"/>
      <c r="J1058" s="683"/>
      <c r="K1058" s="683"/>
      <c r="L1058" s="683"/>
      <c r="M1058" s="683"/>
      <c r="N1058" s="685"/>
      <c r="O1058" s="683"/>
      <c r="P1058" s="683"/>
      <c r="Q1058" s="683"/>
      <c r="R1058" s="683"/>
      <c r="S1058" s="683"/>
      <c r="T1058" s="683"/>
      <c r="U1058" s="683"/>
      <c r="V1058" s="683"/>
      <c r="W1058" s="683"/>
      <c r="X1058" s="683"/>
      <c r="Y1058" s="683"/>
      <c r="Z1058" s="683"/>
    </row>
    <row r="1059" spans="1:26" ht="15.75" customHeight="1" x14ac:dyDescent="0.25">
      <c r="A1059" s="3" t="s">
        <v>2629</v>
      </c>
      <c r="B1059" s="683" t="s">
        <v>2621</v>
      </c>
      <c r="C1059" s="683"/>
      <c r="D1059" s="683"/>
      <c r="E1059" s="683"/>
      <c r="F1059" s="683"/>
      <c r="G1059" s="683"/>
      <c r="H1059" s="711"/>
      <c r="I1059" s="683"/>
      <c r="J1059" s="683"/>
      <c r="K1059" s="683"/>
      <c r="L1059" s="683"/>
      <c r="M1059" s="683"/>
      <c r="N1059" s="685"/>
      <c r="O1059" s="683"/>
      <c r="P1059" s="683"/>
      <c r="Q1059" s="683"/>
      <c r="R1059" s="683"/>
      <c r="S1059" s="683"/>
      <c r="T1059" s="683"/>
      <c r="U1059" s="683"/>
      <c r="V1059" s="683"/>
      <c r="W1059" s="683"/>
      <c r="X1059" s="683"/>
      <c r="Y1059" s="683"/>
      <c r="Z1059" s="683"/>
    </row>
    <row r="1060" spans="1:26" ht="15.75" customHeight="1" x14ac:dyDescent="0.25">
      <c r="A1060" s="19" t="s">
        <v>2630</v>
      </c>
      <c r="B1060" s="683" t="s">
        <v>2621</v>
      </c>
      <c r="C1060" s="683"/>
      <c r="D1060" s="683"/>
      <c r="E1060" s="683"/>
      <c r="F1060" s="683"/>
      <c r="G1060" s="683"/>
      <c r="H1060" s="711"/>
      <c r="I1060" s="683"/>
      <c r="J1060" s="683"/>
      <c r="K1060" s="683"/>
      <c r="L1060" s="683"/>
      <c r="M1060" s="683"/>
      <c r="N1060" s="685"/>
      <c r="O1060" s="683"/>
      <c r="P1060" s="683"/>
      <c r="Q1060" s="683"/>
      <c r="R1060" s="683"/>
      <c r="S1060" s="683"/>
      <c r="T1060" s="683"/>
      <c r="U1060" s="683"/>
      <c r="V1060" s="683"/>
      <c r="W1060" s="683"/>
      <c r="X1060" s="683"/>
      <c r="Y1060" s="683"/>
      <c r="Z1060" s="683"/>
    </row>
    <row r="1061" spans="1:26" ht="15.75" customHeight="1" x14ac:dyDescent="0.25">
      <c r="A1061" s="3" t="s">
        <v>2631</v>
      </c>
      <c r="B1061" s="683" t="s">
        <v>2621</v>
      </c>
      <c r="C1061" s="683"/>
      <c r="D1061" s="683"/>
      <c r="E1061" s="683"/>
      <c r="F1061" s="683"/>
      <c r="G1061" s="683"/>
      <c r="H1061" s="711"/>
      <c r="I1061" s="683"/>
      <c r="J1061" s="683"/>
      <c r="K1061" s="683"/>
      <c r="L1061" s="683"/>
      <c r="M1061" s="683"/>
      <c r="N1061" s="685"/>
      <c r="O1061" s="683"/>
      <c r="P1061" s="683"/>
      <c r="Q1061" s="683"/>
      <c r="R1061" s="683"/>
      <c r="S1061" s="683"/>
      <c r="T1061" s="683"/>
      <c r="U1061" s="683"/>
      <c r="V1061" s="683"/>
      <c r="W1061" s="683"/>
      <c r="X1061" s="683"/>
      <c r="Y1061" s="683"/>
      <c r="Z1061" s="683"/>
    </row>
    <row r="1062" spans="1:26" ht="15.75" customHeight="1" x14ac:dyDescent="0.25">
      <c r="A1062" s="3" t="s">
        <v>2632</v>
      </c>
      <c r="B1062" s="683" t="s">
        <v>2621</v>
      </c>
      <c r="C1062" s="683"/>
      <c r="D1062" s="683"/>
      <c r="E1062" s="683"/>
      <c r="F1062" s="683"/>
      <c r="G1062" s="683"/>
      <c r="H1062" s="711"/>
      <c r="I1062" s="683"/>
      <c r="J1062" s="683"/>
      <c r="K1062" s="683"/>
      <c r="L1062" s="683"/>
      <c r="M1062" s="683"/>
      <c r="N1062" s="685"/>
      <c r="O1062" s="683"/>
      <c r="P1062" s="683"/>
      <c r="Q1062" s="683"/>
      <c r="R1062" s="683"/>
      <c r="S1062" s="683"/>
      <c r="T1062" s="683"/>
      <c r="U1062" s="683"/>
      <c r="V1062" s="683"/>
      <c r="W1062" s="683"/>
      <c r="X1062" s="683"/>
      <c r="Y1062" s="683"/>
      <c r="Z1062" s="683"/>
    </row>
    <row r="1063" spans="1:26" ht="15.75" customHeight="1" x14ac:dyDescent="0.25">
      <c r="A1063" s="3" t="s">
        <v>2633</v>
      </c>
      <c r="B1063" s="683" t="s">
        <v>2634</v>
      </c>
      <c r="C1063" s="683"/>
      <c r="D1063" s="683"/>
      <c r="E1063" s="683"/>
      <c r="F1063" s="683"/>
      <c r="G1063" s="683"/>
      <c r="H1063" s="711"/>
      <c r="I1063" s="683"/>
      <c r="J1063" s="683"/>
      <c r="K1063" s="683"/>
      <c r="L1063" s="683"/>
      <c r="M1063" s="683"/>
      <c r="N1063" s="685"/>
      <c r="O1063" s="683"/>
      <c r="P1063" s="683"/>
      <c r="Q1063" s="683"/>
      <c r="R1063" s="683"/>
      <c r="S1063" s="683"/>
      <c r="T1063" s="683"/>
      <c r="U1063" s="683"/>
      <c r="V1063" s="683"/>
      <c r="W1063" s="683"/>
      <c r="X1063" s="683"/>
      <c r="Y1063" s="683"/>
      <c r="Z1063" s="683"/>
    </row>
    <row r="1064" spans="1:26" ht="15.75" customHeight="1" x14ac:dyDescent="0.25">
      <c r="A1064" s="3" t="s">
        <v>2635</v>
      </c>
      <c r="B1064" s="683" t="s">
        <v>2634</v>
      </c>
      <c r="C1064" s="683"/>
      <c r="D1064" s="683"/>
      <c r="E1064" s="683"/>
      <c r="F1064" s="683"/>
      <c r="G1064" s="683"/>
      <c r="H1064" s="711"/>
      <c r="I1064" s="683"/>
      <c r="J1064" s="683"/>
      <c r="K1064" s="683"/>
      <c r="L1064" s="683"/>
      <c r="M1064" s="683"/>
      <c r="N1064" s="685"/>
      <c r="O1064" s="683"/>
      <c r="P1064" s="683"/>
      <c r="Q1064" s="683"/>
      <c r="R1064" s="683"/>
      <c r="S1064" s="683"/>
      <c r="T1064" s="683"/>
      <c r="U1064" s="683"/>
      <c r="V1064" s="683"/>
      <c r="W1064" s="683"/>
      <c r="X1064" s="683"/>
      <c r="Y1064" s="683"/>
      <c r="Z1064" s="683"/>
    </row>
    <row r="1065" spans="1:26" ht="15.75" customHeight="1" x14ac:dyDescent="0.25">
      <c r="A1065" s="3" t="s">
        <v>2636</v>
      </c>
      <c r="B1065" s="683" t="s">
        <v>2585</v>
      </c>
      <c r="C1065" s="683"/>
      <c r="D1065" s="683"/>
      <c r="E1065" s="683"/>
      <c r="F1065" s="683"/>
      <c r="G1065" s="683"/>
      <c r="H1065" s="711"/>
      <c r="I1065" s="683"/>
      <c r="J1065" s="683"/>
      <c r="K1065" s="683"/>
      <c r="L1065" s="683"/>
      <c r="M1065" s="683"/>
      <c r="N1065" s="685"/>
      <c r="O1065" s="683"/>
      <c r="P1065" s="683"/>
      <c r="Q1065" s="683"/>
      <c r="R1065" s="683"/>
      <c r="S1065" s="683"/>
      <c r="T1065" s="683"/>
      <c r="U1065" s="683"/>
      <c r="V1065" s="683"/>
      <c r="W1065" s="683"/>
      <c r="X1065" s="683"/>
      <c r="Y1065" s="683"/>
      <c r="Z1065" s="683"/>
    </row>
    <row r="1066" spans="1:26" ht="15.75" customHeight="1" x14ac:dyDescent="0.25">
      <c r="A1066" s="683" t="s">
        <v>2203</v>
      </c>
      <c r="B1066" s="683" t="s">
        <v>2634</v>
      </c>
      <c r="C1066" s="683"/>
      <c r="D1066" s="683"/>
      <c r="E1066" s="683"/>
      <c r="F1066" s="683"/>
      <c r="G1066" s="683"/>
      <c r="H1066" s="711"/>
      <c r="I1066" s="683"/>
      <c r="J1066" s="683"/>
      <c r="K1066" s="683"/>
      <c r="L1066" s="683"/>
      <c r="M1066" s="683"/>
      <c r="N1066" s="685"/>
      <c r="O1066" s="683"/>
      <c r="P1066" s="683"/>
      <c r="Q1066" s="683"/>
      <c r="R1066" s="683"/>
      <c r="S1066" s="683"/>
      <c r="T1066" s="683"/>
      <c r="U1066" s="683"/>
      <c r="V1066" s="683"/>
      <c r="W1066" s="683"/>
      <c r="X1066" s="683"/>
      <c r="Y1066" s="683"/>
      <c r="Z1066" s="683"/>
    </row>
    <row r="1067" spans="1:26" ht="15.75" customHeight="1" x14ac:dyDescent="0.25">
      <c r="A1067" s="683" t="s">
        <v>233</v>
      </c>
      <c r="B1067" s="683" t="s">
        <v>2634</v>
      </c>
      <c r="C1067" s="683"/>
      <c r="D1067" s="683"/>
      <c r="E1067" s="683"/>
      <c r="F1067" s="683"/>
      <c r="G1067" s="683"/>
      <c r="H1067" s="711"/>
      <c r="I1067" s="683"/>
      <c r="J1067" s="683"/>
      <c r="K1067" s="683"/>
      <c r="L1067" s="683"/>
      <c r="M1067" s="683"/>
      <c r="N1067" s="685"/>
      <c r="O1067" s="683"/>
      <c r="P1067" s="683"/>
      <c r="Q1067" s="683"/>
      <c r="R1067" s="683"/>
      <c r="S1067" s="683"/>
      <c r="T1067" s="683"/>
      <c r="U1067" s="683"/>
      <c r="V1067" s="683"/>
      <c r="W1067" s="683"/>
      <c r="X1067" s="683"/>
      <c r="Y1067" s="683"/>
      <c r="Z1067" s="683"/>
    </row>
    <row r="1068" spans="1:26" ht="15.75" customHeight="1" x14ac:dyDescent="0.25">
      <c r="A1068" s="3" t="s">
        <v>2637</v>
      </c>
      <c r="B1068" s="683" t="s">
        <v>2634</v>
      </c>
      <c r="C1068" s="683"/>
      <c r="D1068" s="683"/>
      <c r="E1068" s="683"/>
      <c r="F1068" s="683"/>
      <c r="G1068" s="683"/>
      <c r="H1068" s="711"/>
      <c r="I1068" s="683"/>
      <c r="J1068" s="683"/>
      <c r="K1068" s="683"/>
      <c r="L1068" s="683"/>
      <c r="M1068" s="683"/>
      <c r="N1068" s="685"/>
      <c r="O1068" s="683"/>
      <c r="P1068" s="683"/>
      <c r="Q1068" s="683"/>
      <c r="R1068" s="683"/>
      <c r="S1068" s="683"/>
      <c r="T1068" s="683"/>
      <c r="U1068" s="683"/>
      <c r="V1068" s="683"/>
      <c r="W1068" s="683"/>
      <c r="X1068" s="683"/>
      <c r="Y1068" s="683"/>
      <c r="Z1068" s="683"/>
    </row>
    <row r="1069" spans="1:26" ht="15.75" customHeight="1" x14ac:dyDescent="0.25">
      <c r="A1069" s="3" t="s">
        <v>2638</v>
      </c>
      <c r="B1069" s="683" t="s">
        <v>2634</v>
      </c>
      <c r="C1069" s="683"/>
      <c r="D1069" s="683"/>
      <c r="E1069" s="683"/>
      <c r="F1069" s="683"/>
      <c r="G1069" s="683"/>
      <c r="H1069" s="711"/>
      <c r="I1069" s="683"/>
      <c r="J1069" s="683"/>
      <c r="K1069" s="683"/>
      <c r="L1069" s="683"/>
      <c r="M1069" s="683"/>
      <c r="N1069" s="685"/>
      <c r="O1069" s="683"/>
      <c r="P1069" s="683"/>
      <c r="Q1069" s="683"/>
      <c r="R1069" s="683"/>
      <c r="S1069" s="683"/>
      <c r="T1069" s="683"/>
      <c r="U1069" s="683"/>
      <c r="V1069" s="683"/>
      <c r="W1069" s="683"/>
      <c r="X1069" s="683"/>
      <c r="Y1069" s="683"/>
      <c r="Z1069" s="683"/>
    </row>
    <row r="1070" spans="1:26" ht="15.75" customHeight="1" x14ac:dyDescent="0.25">
      <c r="A1070" s="3" t="s">
        <v>2639</v>
      </c>
      <c r="B1070" s="683" t="s">
        <v>2634</v>
      </c>
      <c r="C1070" s="683"/>
      <c r="D1070" s="683"/>
      <c r="E1070" s="683"/>
      <c r="F1070" s="683"/>
      <c r="G1070" s="683"/>
      <c r="H1070" s="711"/>
      <c r="I1070" s="683"/>
      <c r="J1070" s="683"/>
      <c r="K1070" s="683"/>
      <c r="L1070" s="683"/>
      <c r="M1070" s="683"/>
      <c r="N1070" s="685"/>
      <c r="O1070" s="683"/>
      <c r="P1070" s="683"/>
      <c r="Q1070" s="683"/>
      <c r="R1070" s="683"/>
      <c r="S1070" s="683"/>
      <c r="T1070" s="683"/>
      <c r="U1070" s="683"/>
      <c r="V1070" s="683"/>
      <c r="W1070" s="683"/>
      <c r="X1070" s="683"/>
      <c r="Y1070" s="683"/>
      <c r="Z1070" s="683"/>
    </row>
    <row r="1071" spans="1:26" ht="15.75" customHeight="1" x14ac:dyDescent="0.25">
      <c r="A1071" s="3" t="s">
        <v>254</v>
      </c>
      <c r="B1071" s="683" t="s">
        <v>2634</v>
      </c>
      <c r="C1071" s="683"/>
      <c r="D1071" s="683"/>
      <c r="E1071" s="683"/>
      <c r="F1071" s="683"/>
      <c r="G1071" s="683"/>
      <c r="H1071" s="711"/>
      <c r="I1071" s="683"/>
      <c r="J1071" s="683"/>
      <c r="K1071" s="683"/>
      <c r="L1071" s="683"/>
      <c r="M1071" s="683"/>
      <c r="N1071" s="685"/>
      <c r="O1071" s="683"/>
      <c r="P1071" s="683"/>
      <c r="Q1071" s="683"/>
      <c r="R1071" s="683"/>
      <c r="S1071" s="683"/>
      <c r="T1071" s="683"/>
      <c r="U1071" s="683"/>
      <c r="V1071" s="683"/>
      <c r="W1071" s="683"/>
      <c r="X1071" s="683"/>
      <c r="Y1071" s="683"/>
      <c r="Z1071" s="683"/>
    </row>
    <row r="1072" spans="1:26" ht="15.75" customHeight="1" x14ac:dyDescent="0.25">
      <c r="A1072" s="3" t="s">
        <v>2640</v>
      </c>
      <c r="B1072" s="683" t="s">
        <v>2634</v>
      </c>
      <c r="C1072" s="683"/>
      <c r="D1072" s="683"/>
      <c r="E1072" s="683"/>
      <c r="F1072" s="683"/>
      <c r="G1072" s="683"/>
      <c r="H1072" s="711"/>
      <c r="I1072" s="683"/>
      <c r="J1072" s="683"/>
      <c r="K1072" s="683"/>
      <c r="L1072" s="683"/>
      <c r="M1072" s="683"/>
      <c r="N1072" s="685"/>
      <c r="O1072" s="683"/>
      <c r="P1072" s="683"/>
      <c r="Q1072" s="683"/>
      <c r="R1072" s="683"/>
      <c r="S1072" s="683"/>
      <c r="T1072" s="683"/>
      <c r="U1072" s="683"/>
      <c r="V1072" s="683"/>
      <c r="W1072" s="683"/>
      <c r="X1072" s="683"/>
      <c r="Y1072" s="683"/>
      <c r="Z1072" s="683"/>
    </row>
    <row r="1073" spans="1:26" ht="15.75" customHeight="1" x14ac:dyDescent="0.25">
      <c r="A1073" s="3" t="s">
        <v>194</v>
      </c>
      <c r="B1073" s="683" t="s">
        <v>2634</v>
      </c>
      <c r="C1073" s="683"/>
      <c r="D1073" s="683"/>
      <c r="E1073" s="683"/>
      <c r="F1073" s="683"/>
      <c r="G1073" s="683"/>
      <c r="H1073" s="711"/>
      <c r="I1073" s="683"/>
      <c r="J1073" s="683"/>
      <c r="K1073" s="683"/>
      <c r="L1073" s="683"/>
      <c r="M1073" s="683"/>
      <c r="N1073" s="685"/>
      <c r="O1073" s="683"/>
      <c r="P1073" s="683"/>
      <c r="Q1073" s="683"/>
      <c r="R1073" s="683"/>
      <c r="S1073" s="683"/>
      <c r="T1073" s="683"/>
      <c r="U1073" s="683"/>
      <c r="V1073" s="683"/>
      <c r="W1073" s="683"/>
      <c r="X1073" s="683"/>
      <c r="Y1073" s="683"/>
      <c r="Z1073" s="683"/>
    </row>
    <row r="1074" spans="1:26" ht="15.75" customHeight="1" x14ac:dyDescent="0.25">
      <c r="A1074" s="3" t="s">
        <v>2641</v>
      </c>
      <c r="B1074" s="683" t="s">
        <v>2634</v>
      </c>
      <c r="C1074" s="683"/>
      <c r="D1074" s="683"/>
      <c r="E1074" s="683"/>
      <c r="F1074" s="683"/>
      <c r="G1074" s="683"/>
      <c r="H1074" s="711"/>
      <c r="I1074" s="683"/>
      <c r="J1074" s="683"/>
      <c r="K1074" s="683"/>
      <c r="L1074" s="683"/>
      <c r="M1074" s="683"/>
      <c r="N1074" s="685"/>
      <c r="O1074" s="683"/>
      <c r="P1074" s="683"/>
      <c r="Q1074" s="683"/>
      <c r="R1074" s="683"/>
      <c r="S1074" s="683"/>
      <c r="T1074" s="683"/>
      <c r="U1074" s="683"/>
      <c r="V1074" s="683"/>
      <c r="W1074" s="683"/>
      <c r="X1074" s="683"/>
      <c r="Y1074" s="683"/>
      <c r="Z1074" s="683"/>
    </row>
    <row r="1075" spans="1:26" ht="15.75" customHeight="1" x14ac:dyDescent="0.25">
      <c r="A1075" s="3" t="s">
        <v>2642</v>
      </c>
      <c r="B1075" s="683" t="s">
        <v>2634</v>
      </c>
      <c r="C1075" s="683"/>
      <c r="D1075" s="683"/>
      <c r="E1075" s="683"/>
      <c r="F1075" s="683"/>
      <c r="G1075" s="683"/>
      <c r="H1075" s="711"/>
      <c r="I1075" s="683"/>
      <c r="J1075" s="683"/>
      <c r="K1075" s="683"/>
      <c r="L1075" s="683"/>
      <c r="M1075" s="683"/>
      <c r="N1075" s="685"/>
      <c r="O1075" s="683"/>
      <c r="P1075" s="683"/>
      <c r="Q1075" s="683"/>
      <c r="R1075" s="683"/>
      <c r="S1075" s="683"/>
      <c r="T1075" s="683"/>
      <c r="U1075" s="683"/>
      <c r="V1075" s="683"/>
      <c r="W1075" s="683"/>
      <c r="X1075" s="683"/>
      <c r="Y1075" s="683"/>
      <c r="Z1075" s="683"/>
    </row>
    <row r="1076" spans="1:26" ht="15.75" customHeight="1" x14ac:dyDescent="0.25">
      <c r="A1076" s="3" t="s">
        <v>2206</v>
      </c>
      <c r="B1076" s="683" t="s">
        <v>2634</v>
      </c>
      <c r="C1076" s="683"/>
      <c r="D1076" s="683"/>
      <c r="E1076" s="683"/>
      <c r="F1076" s="683"/>
      <c r="G1076" s="683"/>
      <c r="H1076" s="711"/>
      <c r="I1076" s="683"/>
      <c r="J1076" s="683"/>
      <c r="K1076" s="683"/>
      <c r="L1076" s="683"/>
      <c r="M1076" s="683"/>
      <c r="N1076" s="685"/>
      <c r="O1076" s="683"/>
      <c r="P1076" s="683"/>
      <c r="Q1076" s="683"/>
      <c r="R1076" s="683"/>
      <c r="S1076" s="683"/>
      <c r="T1076" s="683"/>
      <c r="U1076" s="683"/>
      <c r="V1076" s="683"/>
      <c r="W1076" s="683"/>
      <c r="X1076" s="683"/>
      <c r="Y1076" s="683"/>
      <c r="Z1076" s="683"/>
    </row>
    <row r="1077" spans="1:26" ht="15.75" customHeight="1" x14ac:dyDescent="0.25">
      <c r="A1077" s="3" t="s">
        <v>371</v>
      </c>
      <c r="B1077" s="683" t="s">
        <v>2634</v>
      </c>
      <c r="C1077" s="683"/>
      <c r="D1077" s="683"/>
      <c r="E1077" s="683"/>
      <c r="F1077" s="683"/>
      <c r="G1077" s="683"/>
      <c r="H1077" s="711"/>
      <c r="I1077" s="683"/>
      <c r="J1077" s="683"/>
      <c r="K1077" s="683"/>
      <c r="L1077" s="683"/>
      <c r="M1077" s="683"/>
      <c r="N1077" s="685"/>
      <c r="O1077" s="683"/>
      <c r="P1077" s="683"/>
      <c r="Q1077" s="683"/>
      <c r="R1077" s="683"/>
      <c r="S1077" s="683"/>
      <c r="T1077" s="683"/>
      <c r="U1077" s="683"/>
      <c r="V1077" s="683"/>
      <c r="W1077" s="683"/>
      <c r="X1077" s="683"/>
      <c r="Y1077" s="683"/>
      <c r="Z1077" s="683"/>
    </row>
    <row r="1078" spans="1:26" ht="15.75" customHeight="1" x14ac:dyDescent="0.25">
      <c r="A1078" s="3" t="s">
        <v>2643</v>
      </c>
      <c r="B1078" s="683" t="s">
        <v>2634</v>
      </c>
      <c r="C1078" s="683"/>
      <c r="D1078" s="683"/>
      <c r="E1078" s="683"/>
      <c r="F1078" s="683"/>
      <c r="G1078" s="683"/>
      <c r="H1078" s="711"/>
      <c r="I1078" s="683"/>
      <c r="J1078" s="683"/>
      <c r="K1078" s="683"/>
      <c r="L1078" s="683"/>
      <c r="M1078" s="683"/>
      <c r="N1078" s="685"/>
      <c r="O1078" s="683"/>
      <c r="P1078" s="683"/>
      <c r="Q1078" s="683"/>
      <c r="R1078" s="683"/>
      <c r="S1078" s="683"/>
      <c r="T1078" s="683"/>
      <c r="U1078" s="683"/>
      <c r="V1078" s="683"/>
      <c r="W1078" s="683"/>
      <c r="X1078" s="683"/>
      <c r="Y1078" s="683"/>
      <c r="Z1078" s="683"/>
    </row>
    <row r="1079" spans="1:26" ht="15.75" customHeight="1" x14ac:dyDescent="0.25">
      <c r="A1079" s="3" t="s">
        <v>197</v>
      </c>
      <c r="B1079" s="683" t="s">
        <v>2634</v>
      </c>
      <c r="C1079" s="683"/>
      <c r="D1079" s="683"/>
      <c r="E1079" s="683"/>
      <c r="F1079" s="683"/>
      <c r="G1079" s="683"/>
      <c r="H1079" s="711"/>
      <c r="I1079" s="683"/>
      <c r="J1079" s="683"/>
      <c r="K1079" s="683"/>
      <c r="L1079" s="683"/>
      <c r="M1079" s="683"/>
      <c r="N1079" s="685"/>
      <c r="O1079" s="683"/>
      <c r="P1079" s="683"/>
      <c r="Q1079" s="683"/>
      <c r="R1079" s="683"/>
      <c r="S1079" s="683"/>
      <c r="T1079" s="683"/>
      <c r="U1079" s="683"/>
      <c r="V1079" s="683"/>
      <c r="W1079" s="683"/>
      <c r="X1079" s="683"/>
      <c r="Y1079" s="683"/>
      <c r="Z1079" s="683"/>
    </row>
    <row r="1080" spans="1:26" ht="15.75" customHeight="1" x14ac:dyDescent="0.25">
      <c r="A1080" s="3" t="s">
        <v>2644</v>
      </c>
      <c r="B1080" s="683" t="s">
        <v>2634</v>
      </c>
      <c r="C1080" s="683"/>
      <c r="D1080" s="683"/>
      <c r="E1080" s="683"/>
      <c r="F1080" s="683"/>
      <c r="G1080" s="683"/>
      <c r="H1080" s="711"/>
      <c r="I1080" s="683"/>
      <c r="J1080" s="683"/>
      <c r="K1080" s="683"/>
      <c r="L1080" s="683"/>
      <c r="M1080" s="683"/>
      <c r="N1080" s="685"/>
      <c r="O1080" s="683"/>
      <c r="P1080" s="683"/>
      <c r="Q1080" s="683"/>
      <c r="R1080" s="683"/>
      <c r="S1080" s="683"/>
      <c r="T1080" s="683"/>
      <c r="U1080" s="683"/>
      <c r="V1080" s="683"/>
      <c r="W1080" s="683"/>
      <c r="X1080" s="683"/>
      <c r="Y1080" s="683"/>
      <c r="Z1080" s="683"/>
    </row>
    <row r="1081" spans="1:26" ht="15.75" customHeight="1" x14ac:dyDescent="0.25">
      <c r="A1081" s="3" t="s">
        <v>2645</v>
      </c>
      <c r="B1081" s="683" t="s">
        <v>2634</v>
      </c>
      <c r="C1081" s="683"/>
      <c r="D1081" s="683"/>
      <c r="E1081" s="683"/>
      <c r="F1081" s="683"/>
      <c r="G1081" s="683"/>
      <c r="H1081" s="711"/>
      <c r="I1081" s="683"/>
      <c r="J1081" s="683"/>
      <c r="K1081" s="683"/>
      <c r="L1081" s="683"/>
      <c r="M1081" s="683"/>
      <c r="N1081" s="685"/>
      <c r="O1081" s="683"/>
      <c r="P1081" s="683"/>
      <c r="Q1081" s="683"/>
      <c r="R1081" s="683"/>
      <c r="S1081" s="683"/>
      <c r="T1081" s="683"/>
      <c r="U1081" s="683"/>
      <c r="V1081" s="683"/>
      <c r="W1081" s="683"/>
      <c r="X1081" s="683"/>
      <c r="Y1081" s="683"/>
      <c r="Z1081" s="683"/>
    </row>
    <row r="1082" spans="1:26" ht="15.75" customHeight="1" x14ac:dyDescent="0.25">
      <c r="A1082" s="3" t="s">
        <v>2646</v>
      </c>
      <c r="B1082" s="683" t="s">
        <v>2634</v>
      </c>
      <c r="C1082" s="683"/>
      <c r="D1082" s="683"/>
      <c r="E1082" s="683"/>
      <c r="F1082" s="683"/>
      <c r="G1082" s="683"/>
      <c r="H1082" s="711"/>
      <c r="I1082" s="683"/>
      <c r="J1082" s="683"/>
      <c r="K1082" s="683"/>
      <c r="L1082" s="683"/>
      <c r="M1082" s="683"/>
      <c r="N1082" s="685"/>
      <c r="O1082" s="683"/>
      <c r="P1082" s="683"/>
      <c r="Q1082" s="683"/>
      <c r="R1082" s="683"/>
      <c r="S1082" s="683"/>
      <c r="T1082" s="683"/>
      <c r="U1082" s="683"/>
      <c r="V1082" s="683"/>
      <c r="W1082" s="683"/>
      <c r="X1082" s="683"/>
      <c r="Y1082" s="683"/>
      <c r="Z1082" s="683"/>
    </row>
    <row r="1083" spans="1:26" ht="15.75" customHeight="1" x14ac:dyDescent="0.25">
      <c r="A1083" s="3" t="s">
        <v>715</v>
      </c>
      <c r="B1083" s="683" t="s">
        <v>2634</v>
      </c>
      <c r="C1083" s="683"/>
      <c r="D1083" s="683"/>
      <c r="E1083" s="683"/>
      <c r="F1083" s="683"/>
      <c r="G1083" s="683"/>
      <c r="H1083" s="711"/>
      <c r="I1083" s="683"/>
      <c r="J1083" s="683"/>
      <c r="K1083" s="683"/>
      <c r="L1083" s="683"/>
      <c r="M1083" s="683"/>
      <c r="N1083" s="685"/>
      <c r="O1083" s="683"/>
      <c r="P1083" s="683"/>
      <c r="Q1083" s="683"/>
      <c r="R1083" s="683"/>
      <c r="S1083" s="683"/>
      <c r="T1083" s="683"/>
      <c r="U1083" s="683"/>
      <c r="V1083" s="683"/>
      <c r="W1083" s="683"/>
      <c r="X1083" s="683"/>
      <c r="Y1083" s="683"/>
      <c r="Z1083" s="683"/>
    </row>
    <row r="1084" spans="1:26" ht="15.75" customHeight="1" x14ac:dyDescent="0.25">
      <c r="A1084" s="19" t="s">
        <v>280</v>
      </c>
      <c r="B1084" s="683" t="s">
        <v>2634</v>
      </c>
      <c r="C1084" s="683"/>
      <c r="D1084" s="683"/>
      <c r="E1084" s="683"/>
      <c r="F1084" s="683"/>
      <c r="G1084" s="683"/>
      <c r="H1084" s="711"/>
      <c r="I1084" s="683"/>
      <c r="J1084" s="683"/>
      <c r="K1084" s="683"/>
      <c r="L1084" s="683"/>
      <c r="M1084" s="683"/>
      <c r="N1084" s="685"/>
      <c r="O1084" s="683"/>
      <c r="P1084" s="683"/>
      <c r="Q1084" s="683"/>
      <c r="R1084" s="683"/>
      <c r="S1084" s="683"/>
      <c r="T1084" s="683"/>
      <c r="U1084" s="683"/>
      <c r="V1084" s="683"/>
      <c r="W1084" s="683"/>
      <c r="X1084" s="683"/>
      <c r="Y1084" s="683"/>
      <c r="Z1084" s="683"/>
    </row>
    <row r="1085" spans="1:26" ht="15.75" customHeight="1" x14ac:dyDescent="0.25">
      <c r="A1085" s="3" t="s">
        <v>325</v>
      </c>
      <c r="B1085" s="683" t="s">
        <v>2634</v>
      </c>
      <c r="C1085" s="683"/>
      <c r="D1085" s="683"/>
      <c r="E1085" s="683"/>
      <c r="F1085" s="683"/>
      <c r="G1085" s="683"/>
      <c r="H1085" s="711"/>
      <c r="I1085" s="683"/>
      <c r="J1085" s="683"/>
      <c r="K1085" s="683"/>
      <c r="L1085" s="683"/>
      <c r="M1085" s="683"/>
      <c r="N1085" s="685"/>
      <c r="O1085" s="683"/>
      <c r="P1085" s="683"/>
      <c r="Q1085" s="683"/>
      <c r="R1085" s="683"/>
      <c r="S1085" s="683"/>
      <c r="T1085" s="683"/>
      <c r="U1085" s="683"/>
      <c r="V1085" s="683"/>
      <c r="W1085" s="683"/>
      <c r="X1085" s="683"/>
      <c r="Y1085" s="683"/>
      <c r="Z1085" s="683"/>
    </row>
    <row r="1086" spans="1:26" ht="15.75" customHeight="1" x14ac:dyDescent="0.25">
      <c r="A1086" s="3" t="s">
        <v>2647</v>
      </c>
      <c r="B1086" s="683" t="s">
        <v>2634</v>
      </c>
      <c r="C1086" s="683"/>
      <c r="D1086" s="683"/>
      <c r="E1086" s="683"/>
      <c r="F1086" s="683"/>
      <c r="G1086" s="683"/>
      <c r="H1086" s="711"/>
      <c r="I1086" s="683"/>
      <c r="J1086" s="683"/>
      <c r="K1086" s="683"/>
      <c r="L1086" s="683"/>
      <c r="M1086" s="683"/>
      <c r="N1086" s="685"/>
      <c r="O1086" s="683"/>
      <c r="P1086" s="683"/>
      <c r="Q1086" s="683"/>
      <c r="R1086" s="683"/>
      <c r="S1086" s="683"/>
      <c r="T1086" s="683"/>
      <c r="U1086" s="683"/>
      <c r="V1086" s="683"/>
      <c r="W1086" s="683"/>
      <c r="X1086" s="683"/>
      <c r="Y1086" s="683"/>
      <c r="Z1086" s="683"/>
    </row>
    <row r="1087" spans="1:26" ht="15.75" customHeight="1" x14ac:dyDescent="0.25">
      <c r="A1087" s="3" t="s">
        <v>2648</v>
      </c>
      <c r="B1087" s="683" t="s">
        <v>2634</v>
      </c>
      <c r="C1087" s="683"/>
      <c r="D1087" s="683"/>
      <c r="E1087" s="683"/>
      <c r="F1087" s="683"/>
      <c r="G1087" s="683"/>
      <c r="H1087" s="711"/>
      <c r="I1087" s="683"/>
      <c r="J1087" s="683"/>
      <c r="K1087" s="683"/>
      <c r="L1087" s="683"/>
      <c r="M1087" s="683"/>
      <c r="N1087" s="685"/>
      <c r="O1087" s="683"/>
      <c r="P1087" s="683"/>
      <c r="Q1087" s="683"/>
      <c r="R1087" s="683"/>
      <c r="S1087" s="683"/>
      <c r="T1087" s="683"/>
      <c r="U1087" s="683"/>
      <c r="V1087" s="683"/>
      <c r="W1087" s="683"/>
      <c r="X1087" s="683"/>
      <c r="Y1087" s="683"/>
      <c r="Z1087" s="683"/>
    </row>
    <row r="1088" spans="1:26" ht="15.75" customHeight="1" x14ac:dyDescent="0.25">
      <c r="A1088" s="3" t="s">
        <v>2649</v>
      </c>
      <c r="B1088" s="683" t="s">
        <v>2634</v>
      </c>
      <c r="C1088" s="683"/>
      <c r="D1088" s="683"/>
      <c r="E1088" s="683"/>
      <c r="F1088" s="683"/>
      <c r="G1088" s="683"/>
      <c r="H1088" s="711"/>
      <c r="I1088" s="683"/>
      <c r="J1088" s="683"/>
      <c r="K1088" s="683"/>
      <c r="L1088" s="683"/>
      <c r="M1088" s="683"/>
      <c r="N1088" s="685"/>
      <c r="O1088" s="683"/>
      <c r="P1088" s="683"/>
      <c r="Q1088" s="683"/>
      <c r="R1088" s="683"/>
      <c r="S1088" s="683"/>
      <c r="T1088" s="683"/>
      <c r="U1088" s="683"/>
      <c r="V1088" s="683"/>
      <c r="W1088" s="683"/>
      <c r="X1088" s="683"/>
      <c r="Y1088" s="683"/>
      <c r="Z1088" s="683"/>
    </row>
    <row r="1089" spans="1:26" ht="15.75" customHeight="1" x14ac:dyDescent="0.25">
      <c r="A1089" s="3" t="s">
        <v>2187</v>
      </c>
      <c r="B1089" s="683" t="s">
        <v>2634</v>
      </c>
      <c r="C1089" s="683"/>
      <c r="D1089" s="683"/>
      <c r="E1089" s="683"/>
      <c r="F1089" s="683"/>
      <c r="G1089" s="683"/>
      <c r="H1089" s="711"/>
      <c r="I1089" s="683"/>
      <c r="J1089" s="683"/>
      <c r="K1089" s="683"/>
      <c r="L1089" s="683"/>
      <c r="M1089" s="683"/>
      <c r="N1089" s="685"/>
      <c r="O1089" s="683"/>
      <c r="P1089" s="683"/>
      <c r="Q1089" s="683"/>
      <c r="R1089" s="683"/>
      <c r="S1089" s="683"/>
      <c r="T1089" s="683"/>
      <c r="U1089" s="683"/>
      <c r="V1089" s="683"/>
      <c r="W1089" s="683"/>
      <c r="X1089" s="683"/>
      <c r="Y1089" s="683"/>
      <c r="Z1089" s="683"/>
    </row>
    <row r="1090" spans="1:26" ht="15.75" customHeight="1" x14ac:dyDescent="0.25">
      <c r="A1090" s="3" t="s">
        <v>2650</v>
      </c>
      <c r="B1090" s="683" t="s">
        <v>2634</v>
      </c>
      <c r="C1090" s="683"/>
      <c r="D1090" s="683"/>
      <c r="E1090" s="683"/>
      <c r="F1090" s="683"/>
      <c r="G1090" s="683"/>
      <c r="H1090" s="711"/>
      <c r="I1090" s="683"/>
      <c r="J1090" s="683"/>
      <c r="K1090" s="683"/>
      <c r="L1090" s="683"/>
      <c r="M1090" s="683"/>
      <c r="N1090" s="685"/>
      <c r="O1090" s="683"/>
      <c r="P1090" s="683"/>
      <c r="Q1090" s="683"/>
      <c r="R1090" s="683"/>
      <c r="S1090" s="683"/>
      <c r="T1090" s="683"/>
      <c r="U1090" s="683"/>
      <c r="V1090" s="683"/>
      <c r="W1090" s="683"/>
      <c r="X1090" s="683"/>
      <c r="Y1090" s="683"/>
      <c r="Z1090" s="683"/>
    </row>
    <row r="1091" spans="1:26" ht="15.75" customHeight="1" x14ac:dyDescent="0.25">
      <c r="A1091" s="3" t="s">
        <v>2651</v>
      </c>
      <c r="B1091" s="683" t="s">
        <v>2634</v>
      </c>
      <c r="C1091" s="683"/>
      <c r="D1091" s="683"/>
      <c r="E1091" s="683"/>
      <c r="F1091" s="683"/>
      <c r="G1091" s="683"/>
      <c r="H1091" s="711"/>
      <c r="I1091" s="683"/>
      <c r="J1091" s="683"/>
      <c r="K1091" s="683"/>
      <c r="L1091" s="683"/>
      <c r="M1091" s="683"/>
      <c r="N1091" s="685"/>
      <c r="O1091" s="683"/>
      <c r="P1091" s="683"/>
      <c r="Q1091" s="683"/>
      <c r="R1091" s="683"/>
      <c r="S1091" s="683"/>
      <c r="T1091" s="683"/>
      <c r="U1091" s="683"/>
      <c r="V1091" s="683"/>
      <c r="W1091" s="683"/>
      <c r="X1091" s="683"/>
      <c r="Y1091" s="683"/>
      <c r="Z1091" s="683"/>
    </row>
    <row r="1092" spans="1:26" ht="15.75" customHeight="1" x14ac:dyDescent="0.25">
      <c r="A1092" s="683" t="s">
        <v>598</v>
      </c>
      <c r="B1092" s="683" t="s">
        <v>2634</v>
      </c>
      <c r="C1092" s="683"/>
      <c r="D1092" s="683"/>
      <c r="E1092" s="683"/>
      <c r="F1092" s="683"/>
      <c r="G1092" s="683"/>
      <c r="H1092" s="711"/>
      <c r="I1092" s="683"/>
      <c r="J1092" s="683"/>
      <c r="K1092" s="683"/>
      <c r="L1092" s="683"/>
      <c r="M1092" s="683"/>
      <c r="N1092" s="685"/>
      <c r="O1092" s="683"/>
      <c r="P1092" s="683"/>
      <c r="Q1092" s="683"/>
      <c r="R1092" s="683"/>
      <c r="S1092" s="683"/>
      <c r="T1092" s="683"/>
      <c r="U1092" s="683"/>
      <c r="V1092" s="683"/>
      <c r="W1092" s="683"/>
      <c r="X1092" s="683"/>
      <c r="Y1092" s="683"/>
      <c r="Z1092" s="683"/>
    </row>
    <row r="1093" spans="1:26" ht="15.75" customHeight="1" x14ac:dyDescent="0.25">
      <c r="A1093" s="683" t="s">
        <v>2652</v>
      </c>
      <c r="B1093" s="683" t="s">
        <v>2634</v>
      </c>
      <c r="C1093" s="3"/>
      <c r="D1093" s="683"/>
      <c r="E1093" s="683"/>
      <c r="F1093" s="683"/>
      <c r="G1093" s="683"/>
      <c r="H1093" s="711"/>
      <c r="I1093" s="683"/>
      <c r="J1093" s="683"/>
      <c r="K1093" s="683"/>
      <c r="L1093" s="683"/>
      <c r="M1093" s="683"/>
      <c r="N1093" s="685"/>
      <c r="O1093" s="683"/>
      <c r="P1093" s="683"/>
      <c r="Q1093" s="683"/>
      <c r="R1093" s="683"/>
      <c r="S1093" s="683"/>
      <c r="T1093" s="683"/>
      <c r="U1093" s="683"/>
      <c r="V1093" s="683"/>
      <c r="W1093" s="683"/>
      <c r="X1093" s="683"/>
      <c r="Y1093" s="683"/>
      <c r="Z1093" s="683"/>
    </row>
    <row r="1094" spans="1:26" ht="15.75" customHeight="1" x14ac:dyDescent="0.25">
      <c r="A1094" s="683" t="s">
        <v>2189</v>
      </c>
      <c r="B1094" s="683" t="s">
        <v>2634</v>
      </c>
      <c r="C1094" s="683"/>
      <c r="D1094" s="683"/>
      <c r="E1094" s="683"/>
      <c r="F1094" s="683"/>
      <c r="G1094" s="683"/>
      <c r="H1094" s="711"/>
      <c r="I1094" s="683"/>
      <c r="J1094" s="683"/>
      <c r="K1094" s="683"/>
      <c r="L1094" s="683"/>
      <c r="M1094" s="683"/>
      <c r="N1094" s="685"/>
      <c r="O1094" s="683"/>
      <c r="P1094" s="683"/>
      <c r="Q1094" s="683"/>
      <c r="R1094" s="683"/>
      <c r="S1094" s="683"/>
      <c r="T1094" s="683"/>
      <c r="U1094" s="683"/>
      <c r="V1094" s="683"/>
      <c r="W1094" s="683"/>
      <c r="X1094" s="683"/>
      <c r="Y1094" s="683"/>
      <c r="Z1094" s="683"/>
    </row>
    <row r="1095" spans="1:26" ht="15.75" customHeight="1" x14ac:dyDescent="0.25">
      <c r="A1095" s="683" t="s">
        <v>2210</v>
      </c>
      <c r="B1095" s="683" t="s">
        <v>2634</v>
      </c>
      <c r="C1095" s="683"/>
      <c r="D1095" s="683"/>
      <c r="E1095" s="683"/>
      <c r="F1095" s="683"/>
      <c r="G1095" s="683"/>
      <c r="H1095" s="711"/>
      <c r="I1095" s="683"/>
      <c r="J1095" s="683"/>
      <c r="K1095" s="683"/>
      <c r="L1095" s="683"/>
      <c r="M1095" s="683"/>
      <c r="N1095" s="685"/>
      <c r="O1095" s="683"/>
      <c r="P1095" s="683"/>
      <c r="Q1095" s="683"/>
      <c r="R1095" s="683"/>
      <c r="S1095" s="683"/>
      <c r="T1095" s="683"/>
      <c r="U1095" s="683"/>
      <c r="V1095" s="683"/>
      <c r="W1095" s="683"/>
      <c r="X1095" s="683"/>
      <c r="Y1095" s="683"/>
      <c r="Z1095" s="683"/>
    </row>
    <row r="1096" spans="1:26" ht="15.75" customHeight="1" x14ac:dyDescent="0.25">
      <c r="A1096" s="3" t="s">
        <v>2653</v>
      </c>
      <c r="B1096" s="683" t="s">
        <v>2634</v>
      </c>
      <c r="C1096" s="683"/>
      <c r="D1096" s="683"/>
      <c r="E1096" s="683"/>
      <c r="F1096" s="683"/>
      <c r="G1096" s="683"/>
      <c r="H1096" s="711"/>
      <c r="I1096" s="683"/>
      <c r="J1096" s="683"/>
      <c r="K1096" s="683"/>
      <c r="L1096" s="683"/>
      <c r="M1096" s="683"/>
      <c r="N1096" s="685"/>
      <c r="O1096" s="683"/>
      <c r="P1096" s="683"/>
      <c r="Q1096" s="683"/>
      <c r="R1096" s="683"/>
      <c r="S1096" s="683"/>
      <c r="T1096" s="683"/>
      <c r="U1096" s="683"/>
      <c r="V1096" s="683"/>
      <c r="W1096" s="683"/>
      <c r="X1096" s="683"/>
      <c r="Y1096" s="683"/>
      <c r="Z1096" s="683"/>
    </row>
    <row r="1097" spans="1:26" ht="15.75" customHeight="1" x14ac:dyDescent="0.25">
      <c r="A1097" s="683" t="s">
        <v>2177</v>
      </c>
      <c r="B1097" s="683" t="s">
        <v>2634</v>
      </c>
      <c r="C1097" s="683"/>
      <c r="D1097" s="683"/>
      <c r="E1097" s="683"/>
      <c r="F1097" s="683"/>
      <c r="G1097" s="683"/>
      <c r="H1097" s="711"/>
      <c r="I1097" s="683"/>
      <c r="J1097" s="683"/>
      <c r="K1097" s="683"/>
      <c r="L1097" s="683"/>
      <c r="M1097" s="683"/>
      <c r="N1097" s="685"/>
      <c r="O1097" s="683"/>
      <c r="P1097" s="683"/>
      <c r="Q1097" s="683"/>
      <c r="R1097" s="683"/>
      <c r="S1097" s="683"/>
      <c r="T1097" s="683"/>
      <c r="U1097" s="683"/>
      <c r="V1097" s="683"/>
      <c r="W1097" s="683"/>
      <c r="X1097" s="683"/>
      <c r="Y1097" s="683"/>
      <c r="Z1097" s="683"/>
    </row>
    <row r="1098" spans="1:26" ht="15.75" customHeight="1" x14ac:dyDescent="0.25">
      <c r="A1098" s="683" t="s">
        <v>2654</v>
      </c>
      <c r="B1098" s="683" t="s">
        <v>2634</v>
      </c>
      <c r="C1098" s="683"/>
      <c r="D1098" s="683"/>
      <c r="E1098" s="683"/>
      <c r="F1098" s="683"/>
      <c r="G1098" s="683"/>
      <c r="H1098" s="711"/>
      <c r="I1098" s="683"/>
      <c r="J1098" s="683"/>
      <c r="K1098" s="683"/>
      <c r="L1098" s="683"/>
      <c r="M1098" s="683"/>
      <c r="N1098" s="685"/>
      <c r="O1098" s="683"/>
      <c r="P1098" s="683"/>
      <c r="Q1098" s="683"/>
      <c r="R1098" s="683"/>
      <c r="S1098" s="683"/>
      <c r="T1098" s="683"/>
      <c r="U1098" s="683"/>
      <c r="V1098" s="683"/>
      <c r="W1098" s="683"/>
      <c r="X1098" s="683"/>
      <c r="Y1098" s="683"/>
      <c r="Z1098" s="683"/>
    </row>
    <row r="1099" spans="1:26" ht="15.75" customHeight="1" x14ac:dyDescent="0.25">
      <c r="A1099" s="683" t="s">
        <v>2655</v>
      </c>
      <c r="B1099" s="683" t="s">
        <v>2634</v>
      </c>
      <c r="C1099" s="683"/>
      <c r="D1099" s="683"/>
      <c r="E1099" s="683"/>
      <c r="F1099" s="683"/>
      <c r="G1099" s="683"/>
      <c r="H1099" s="711"/>
      <c r="I1099" s="683"/>
      <c r="J1099" s="683"/>
      <c r="K1099" s="683"/>
      <c r="L1099" s="683"/>
      <c r="M1099" s="683"/>
      <c r="N1099" s="685"/>
      <c r="O1099" s="683"/>
      <c r="P1099" s="683"/>
      <c r="Q1099" s="683"/>
      <c r="R1099" s="683"/>
      <c r="S1099" s="683"/>
      <c r="T1099" s="683"/>
      <c r="U1099" s="683"/>
      <c r="V1099" s="683"/>
      <c r="W1099" s="683"/>
      <c r="X1099" s="683"/>
      <c r="Y1099" s="683"/>
      <c r="Z1099" s="683"/>
    </row>
    <row r="1100" spans="1:26" ht="15.75" customHeight="1" x14ac:dyDescent="0.25">
      <c r="A1100" s="683" t="s">
        <v>2656</v>
      </c>
      <c r="B1100" s="683" t="s">
        <v>2634</v>
      </c>
      <c r="C1100" s="683"/>
      <c r="D1100" s="683"/>
      <c r="E1100" s="683"/>
      <c r="F1100" s="683"/>
      <c r="G1100" s="683"/>
      <c r="H1100" s="711"/>
      <c r="I1100" s="683"/>
      <c r="J1100" s="683"/>
      <c r="K1100" s="683"/>
      <c r="L1100" s="683"/>
      <c r="M1100" s="683"/>
      <c r="N1100" s="685"/>
      <c r="O1100" s="683"/>
      <c r="P1100" s="683"/>
      <c r="Q1100" s="683"/>
      <c r="R1100" s="683"/>
      <c r="S1100" s="683"/>
      <c r="T1100" s="683"/>
      <c r="U1100" s="683"/>
      <c r="V1100" s="683"/>
      <c r="W1100" s="683"/>
      <c r="X1100" s="683"/>
      <c r="Y1100" s="683"/>
      <c r="Z1100" s="683"/>
    </row>
    <row r="1101" spans="1:26" ht="15.75" customHeight="1" x14ac:dyDescent="0.25">
      <c r="A1101" s="683" t="s">
        <v>2195</v>
      </c>
      <c r="B1101" s="683" t="s">
        <v>2634</v>
      </c>
      <c r="C1101" s="683"/>
      <c r="D1101" s="683"/>
      <c r="E1101" s="683"/>
      <c r="F1101" s="683"/>
      <c r="G1101" s="683"/>
      <c r="H1101" s="711"/>
      <c r="I1101" s="683"/>
      <c r="J1101" s="683"/>
      <c r="K1101" s="683"/>
      <c r="L1101" s="683"/>
      <c r="M1101" s="683"/>
      <c r="N1101" s="685"/>
      <c r="O1101" s="683"/>
      <c r="P1101" s="683"/>
      <c r="Q1101" s="683"/>
      <c r="R1101" s="683"/>
      <c r="S1101" s="683"/>
      <c r="T1101" s="683"/>
      <c r="U1101" s="683"/>
      <c r="V1101" s="683"/>
      <c r="W1101" s="683"/>
      <c r="X1101" s="683"/>
      <c r="Y1101" s="683"/>
      <c r="Z1101" s="683"/>
    </row>
    <row r="1102" spans="1:26" ht="15.75" customHeight="1" x14ac:dyDescent="0.25">
      <c r="A1102" s="683" t="s">
        <v>2208</v>
      </c>
      <c r="B1102" s="683" t="s">
        <v>2634</v>
      </c>
      <c r="C1102" s="683"/>
      <c r="D1102" s="683"/>
      <c r="E1102" s="683"/>
      <c r="F1102" s="683"/>
      <c r="G1102" s="683"/>
      <c r="H1102" s="711"/>
      <c r="I1102" s="683"/>
      <c r="J1102" s="683"/>
      <c r="K1102" s="683"/>
      <c r="L1102" s="683"/>
      <c r="M1102" s="683"/>
      <c r="N1102" s="685"/>
      <c r="O1102" s="683"/>
      <c r="P1102" s="683"/>
      <c r="Q1102" s="683"/>
      <c r="R1102" s="683"/>
      <c r="S1102" s="683"/>
      <c r="T1102" s="683"/>
      <c r="U1102" s="683"/>
      <c r="V1102" s="683"/>
      <c r="W1102" s="683"/>
      <c r="X1102" s="683"/>
      <c r="Y1102" s="683"/>
      <c r="Z1102" s="683"/>
    </row>
    <row r="1103" spans="1:26" ht="15.75" customHeight="1" x14ac:dyDescent="0.25">
      <c r="A1103" s="3" t="s">
        <v>2657</v>
      </c>
      <c r="B1103" s="683" t="s">
        <v>2634</v>
      </c>
      <c r="C1103" s="683"/>
      <c r="D1103" s="683"/>
      <c r="E1103" s="683"/>
      <c r="F1103" s="683"/>
      <c r="G1103" s="683"/>
      <c r="H1103" s="711"/>
      <c r="I1103" s="683"/>
      <c r="J1103" s="683"/>
      <c r="K1103" s="683"/>
      <c r="L1103" s="683"/>
      <c r="M1103" s="683"/>
      <c r="N1103" s="685"/>
      <c r="O1103" s="683"/>
      <c r="P1103" s="683"/>
      <c r="Q1103" s="683"/>
      <c r="R1103" s="683"/>
      <c r="S1103" s="683"/>
      <c r="T1103" s="683"/>
      <c r="U1103" s="683"/>
      <c r="V1103" s="683"/>
      <c r="W1103" s="683"/>
      <c r="X1103" s="683"/>
      <c r="Y1103" s="683"/>
      <c r="Z1103" s="683"/>
    </row>
    <row r="1104" spans="1:26" ht="15.75" customHeight="1" x14ac:dyDescent="0.25">
      <c r="A1104" s="683" t="s">
        <v>2658</v>
      </c>
      <c r="B1104" s="683" t="s">
        <v>2634</v>
      </c>
      <c r="C1104" s="683"/>
      <c r="D1104" s="683"/>
      <c r="E1104" s="683"/>
      <c r="F1104" s="683"/>
      <c r="G1104" s="683"/>
      <c r="H1104" s="711"/>
      <c r="I1104" s="683"/>
      <c r="J1104" s="683"/>
      <c r="K1104" s="683"/>
      <c r="L1104" s="683"/>
      <c r="M1104" s="683"/>
      <c r="N1104" s="685"/>
      <c r="O1104" s="683"/>
      <c r="P1104" s="683"/>
      <c r="Q1104" s="683"/>
      <c r="R1104" s="683"/>
      <c r="S1104" s="683"/>
      <c r="T1104" s="683"/>
      <c r="U1104" s="683"/>
      <c r="V1104" s="683"/>
      <c r="W1104" s="683"/>
      <c r="X1104" s="683"/>
      <c r="Y1104" s="683"/>
      <c r="Z1104" s="683"/>
    </row>
    <row r="1105" spans="1:26" ht="15.75" customHeight="1" x14ac:dyDescent="0.25">
      <c r="A1105" s="683" t="s">
        <v>2659</v>
      </c>
      <c r="B1105" s="683" t="s">
        <v>2634</v>
      </c>
      <c r="C1105" s="683"/>
      <c r="D1105" s="683"/>
      <c r="E1105" s="683"/>
      <c r="F1105" s="683"/>
      <c r="G1105" s="683"/>
      <c r="H1105" s="711"/>
      <c r="I1105" s="683"/>
      <c r="J1105" s="683"/>
      <c r="K1105" s="683"/>
      <c r="L1105" s="683"/>
      <c r="M1105" s="683"/>
      <c r="N1105" s="685"/>
      <c r="O1105" s="683"/>
      <c r="P1105" s="683"/>
      <c r="Q1105" s="683"/>
      <c r="R1105" s="683"/>
      <c r="S1105" s="683"/>
      <c r="T1105" s="683"/>
      <c r="U1105" s="683"/>
      <c r="V1105" s="683"/>
      <c r="W1105" s="683"/>
      <c r="X1105" s="683"/>
      <c r="Y1105" s="683"/>
      <c r="Z1105" s="683"/>
    </row>
    <row r="1106" spans="1:26" ht="15.75" customHeight="1" x14ac:dyDescent="0.25">
      <c r="A1106" s="19" t="s">
        <v>2660</v>
      </c>
      <c r="B1106" s="683" t="s">
        <v>2634</v>
      </c>
      <c r="C1106" s="683"/>
      <c r="D1106" s="683"/>
      <c r="E1106" s="683"/>
      <c r="F1106" s="683"/>
      <c r="G1106" s="683"/>
      <c r="H1106" s="711"/>
      <c r="I1106" s="683"/>
      <c r="J1106" s="683"/>
      <c r="K1106" s="683"/>
      <c r="L1106" s="683"/>
      <c r="M1106" s="683"/>
      <c r="N1106" s="685"/>
      <c r="O1106" s="683"/>
      <c r="P1106" s="683"/>
      <c r="Q1106" s="683"/>
      <c r="R1106" s="683"/>
      <c r="S1106" s="683"/>
      <c r="T1106" s="683"/>
      <c r="U1106" s="683"/>
      <c r="V1106" s="683"/>
      <c r="W1106" s="683"/>
      <c r="X1106" s="683"/>
      <c r="Y1106" s="683"/>
      <c r="Z1106" s="683"/>
    </row>
    <row r="1107" spans="1:26" ht="15.75" customHeight="1" x14ac:dyDescent="0.25">
      <c r="A1107" s="683" t="s">
        <v>2661</v>
      </c>
      <c r="B1107" s="683" t="s">
        <v>2634</v>
      </c>
      <c r="C1107" s="683"/>
      <c r="D1107" s="683"/>
      <c r="E1107" s="683"/>
      <c r="F1107" s="683"/>
      <c r="G1107" s="683"/>
      <c r="H1107" s="711"/>
      <c r="I1107" s="683"/>
      <c r="J1107" s="683"/>
      <c r="K1107" s="683"/>
      <c r="L1107" s="683"/>
      <c r="M1107" s="683"/>
      <c r="N1107" s="685"/>
      <c r="O1107" s="683"/>
      <c r="P1107" s="683"/>
      <c r="Q1107" s="683"/>
      <c r="R1107" s="683"/>
      <c r="S1107" s="683"/>
      <c r="T1107" s="683"/>
      <c r="U1107" s="683"/>
      <c r="V1107" s="683"/>
      <c r="W1107" s="683"/>
      <c r="X1107" s="683"/>
      <c r="Y1107" s="683"/>
      <c r="Z1107" s="683"/>
    </row>
    <row r="1108" spans="1:26" ht="15.75" customHeight="1" x14ac:dyDescent="0.25">
      <c r="A1108" s="683" t="s">
        <v>2191</v>
      </c>
      <c r="B1108" s="683" t="s">
        <v>2634</v>
      </c>
      <c r="C1108" s="683"/>
      <c r="D1108" s="683"/>
      <c r="E1108" s="683"/>
      <c r="F1108" s="683"/>
      <c r="G1108" s="683"/>
      <c r="H1108" s="711"/>
      <c r="I1108" s="683"/>
      <c r="J1108" s="683"/>
      <c r="K1108" s="683"/>
      <c r="L1108" s="683"/>
      <c r="M1108" s="683"/>
      <c r="N1108" s="685"/>
      <c r="O1108" s="683"/>
      <c r="P1108" s="683"/>
      <c r="Q1108" s="683"/>
      <c r="R1108" s="683"/>
      <c r="S1108" s="683"/>
      <c r="T1108" s="683"/>
      <c r="U1108" s="683"/>
      <c r="V1108" s="683"/>
      <c r="W1108" s="683"/>
      <c r="X1108" s="683"/>
      <c r="Y1108" s="683"/>
      <c r="Z1108" s="683"/>
    </row>
    <row r="1109" spans="1:26" ht="15.75" customHeight="1" x14ac:dyDescent="0.25">
      <c r="A1109" s="683" t="s">
        <v>2185</v>
      </c>
      <c r="B1109" s="683" t="s">
        <v>2634</v>
      </c>
      <c r="C1109" s="683"/>
      <c r="D1109" s="683"/>
      <c r="E1109" s="683"/>
      <c r="F1109" s="683"/>
      <c r="G1109" s="683"/>
      <c r="H1109" s="711"/>
      <c r="I1109" s="683"/>
      <c r="J1109" s="683"/>
      <c r="K1109" s="683"/>
      <c r="L1109" s="683"/>
      <c r="M1109" s="683"/>
      <c r="N1109" s="685"/>
      <c r="O1109" s="683"/>
      <c r="P1109" s="683"/>
      <c r="Q1109" s="683"/>
      <c r="R1109" s="683"/>
      <c r="S1109" s="683"/>
      <c r="T1109" s="683"/>
      <c r="U1109" s="683"/>
      <c r="V1109" s="683"/>
      <c r="W1109" s="683"/>
      <c r="X1109" s="683"/>
      <c r="Y1109" s="683"/>
      <c r="Z1109" s="683"/>
    </row>
    <row r="1110" spans="1:26" ht="15.75" customHeight="1" x14ac:dyDescent="0.25">
      <c r="A1110" s="683" t="s">
        <v>2662</v>
      </c>
      <c r="B1110" s="683" t="s">
        <v>2634</v>
      </c>
      <c r="C1110" s="683"/>
      <c r="D1110" s="683"/>
      <c r="E1110" s="683"/>
      <c r="F1110" s="683"/>
      <c r="G1110" s="683"/>
      <c r="H1110" s="711"/>
      <c r="I1110" s="683"/>
      <c r="J1110" s="683"/>
      <c r="K1110" s="683"/>
      <c r="L1110" s="683"/>
      <c r="M1110" s="683"/>
      <c r="N1110" s="685"/>
      <c r="O1110" s="683"/>
      <c r="P1110" s="683"/>
      <c r="Q1110" s="683"/>
      <c r="R1110" s="683"/>
      <c r="S1110" s="683"/>
      <c r="T1110" s="683"/>
      <c r="U1110" s="683"/>
      <c r="V1110" s="683"/>
      <c r="W1110" s="683"/>
      <c r="X1110" s="683"/>
      <c r="Y1110" s="683"/>
      <c r="Z1110" s="683"/>
    </row>
    <row r="1111" spans="1:26" ht="15.75" customHeight="1" x14ac:dyDescent="0.25">
      <c r="A1111" s="683" t="s">
        <v>2663</v>
      </c>
      <c r="B1111" s="683" t="s">
        <v>2634</v>
      </c>
      <c r="C1111" s="683"/>
      <c r="D1111" s="683"/>
      <c r="E1111" s="683"/>
      <c r="F1111" s="683"/>
      <c r="G1111" s="683"/>
      <c r="H1111" s="711"/>
      <c r="I1111" s="683"/>
      <c r="J1111" s="683"/>
      <c r="K1111" s="683"/>
      <c r="L1111" s="683"/>
      <c r="M1111" s="683"/>
      <c r="N1111" s="685"/>
      <c r="O1111" s="683"/>
      <c r="P1111" s="683"/>
      <c r="Q1111" s="683"/>
      <c r="R1111" s="683"/>
      <c r="S1111" s="683"/>
      <c r="T1111" s="683"/>
      <c r="U1111" s="683"/>
      <c r="V1111" s="683"/>
      <c r="W1111" s="683"/>
      <c r="X1111" s="683"/>
      <c r="Y1111" s="683"/>
      <c r="Z1111" s="683"/>
    </row>
    <row r="1112" spans="1:26" ht="15.75" customHeight="1" x14ac:dyDescent="0.25">
      <c r="A1112" s="683" t="s">
        <v>2176</v>
      </c>
      <c r="B1112" s="683" t="s">
        <v>2634</v>
      </c>
      <c r="C1112" s="683"/>
      <c r="D1112" s="683"/>
      <c r="E1112" s="683"/>
      <c r="F1112" s="683"/>
      <c r="G1112" s="683"/>
      <c r="H1112" s="711"/>
      <c r="I1112" s="683"/>
      <c r="J1112" s="683"/>
      <c r="K1112" s="683"/>
      <c r="L1112" s="683"/>
      <c r="M1112" s="683"/>
      <c r="N1112" s="685"/>
      <c r="O1112" s="683"/>
      <c r="P1112" s="683"/>
      <c r="Q1112" s="683"/>
      <c r="R1112" s="683"/>
      <c r="S1112" s="683"/>
      <c r="T1112" s="683"/>
      <c r="U1112" s="683"/>
      <c r="V1112" s="683"/>
      <c r="W1112" s="683"/>
      <c r="X1112" s="683"/>
      <c r="Y1112" s="683"/>
      <c r="Z1112" s="683"/>
    </row>
    <row r="1113" spans="1:26" ht="15.75" customHeight="1" x14ac:dyDescent="0.25">
      <c r="A1113" s="683" t="s">
        <v>2664</v>
      </c>
      <c r="B1113" s="683" t="s">
        <v>2634</v>
      </c>
      <c r="C1113" s="683"/>
      <c r="D1113" s="683"/>
      <c r="E1113" s="683"/>
      <c r="F1113" s="683"/>
      <c r="G1113" s="683"/>
      <c r="H1113" s="711"/>
      <c r="I1113" s="683"/>
      <c r="J1113" s="683"/>
      <c r="K1113" s="683"/>
      <c r="L1113" s="683"/>
      <c r="M1113" s="683"/>
      <c r="N1113" s="685"/>
      <c r="O1113" s="683"/>
      <c r="P1113" s="683"/>
      <c r="Q1113" s="683"/>
      <c r="R1113" s="683"/>
      <c r="S1113" s="683"/>
      <c r="T1113" s="683"/>
      <c r="U1113" s="683"/>
      <c r="V1113" s="683"/>
      <c r="W1113" s="683"/>
      <c r="X1113" s="683"/>
      <c r="Y1113" s="683"/>
      <c r="Z1113" s="683"/>
    </row>
    <row r="1114" spans="1:26" ht="15.75" customHeight="1" x14ac:dyDescent="0.25">
      <c r="A1114" s="683" t="s">
        <v>2174</v>
      </c>
      <c r="B1114" s="683" t="s">
        <v>2634</v>
      </c>
      <c r="C1114" s="683"/>
      <c r="D1114" s="683"/>
      <c r="E1114" s="683"/>
      <c r="F1114" s="683"/>
      <c r="G1114" s="683"/>
      <c r="H1114" s="711"/>
      <c r="I1114" s="683"/>
      <c r="J1114" s="683"/>
      <c r="K1114" s="683"/>
      <c r="L1114" s="683"/>
      <c r="M1114" s="683"/>
      <c r="N1114" s="685"/>
      <c r="O1114" s="683"/>
      <c r="P1114" s="683"/>
      <c r="Q1114" s="683"/>
      <c r="R1114" s="683"/>
      <c r="S1114" s="683"/>
      <c r="T1114" s="683"/>
      <c r="U1114" s="683"/>
      <c r="V1114" s="683"/>
      <c r="W1114" s="683"/>
      <c r="X1114" s="683"/>
      <c r="Y1114" s="683"/>
      <c r="Z1114" s="683"/>
    </row>
    <row r="1115" spans="1:26" ht="15.75" customHeight="1" x14ac:dyDescent="0.25">
      <c r="A1115" s="683" t="s">
        <v>2665</v>
      </c>
      <c r="B1115" s="683" t="s">
        <v>2634</v>
      </c>
      <c r="C1115" s="683"/>
      <c r="D1115" s="683"/>
      <c r="E1115" s="683"/>
      <c r="F1115" s="683"/>
      <c r="G1115" s="683"/>
      <c r="H1115" s="711"/>
      <c r="I1115" s="683"/>
      <c r="J1115" s="683"/>
      <c r="K1115" s="683"/>
      <c r="L1115" s="683"/>
      <c r="M1115" s="683"/>
      <c r="N1115" s="685"/>
      <c r="O1115" s="683"/>
      <c r="P1115" s="683"/>
      <c r="Q1115" s="683"/>
      <c r="R1115" s="683"/>
      <c r="S1115" s="683"/>
      <c r="T1115" s="683"/>
      <c r="U1115" s="683"/>
      <c r="V1115" s="683"/>
      <c r="W1115" s="683"/>
      <c r="X1115" s="683"/>
      <c r="Y1115" s="683"/>
      <c r="Z1115" s="683"/>
    </row>
    <row r="1116" spans="1:26" ht="15.75" customHeight="1" x14ac:dyDescent="0.25">
      <c r="A1116" s="3" t="s">
        <v>2666</v>
      </c>
      <c r="B1116" s="683" t="s">
        <v>2667</v>
      </c>
      <c r="C1116" s="683"/>
      <c r="D1116" s="683"/>
      <c r="E1116" s="683"/>
      <c r="F1116" s="683"/>
      <c r="G1116" s="683"/>
      <c r="H1116" s="711"/>
      <c r="I1116" s="683"/>
      <c r="J1116" s="683"/>
      <c r="K1116" s="683"/>
      <c r="L1116" s="683"/>
      <c r="M1116" s="683"/>
      <c r="N1116" s="685"/>
      <c r="O1116" s="683"/>
      <c r="P1116" s="683"/>
      <c r="Q1116" s="683"/>
      <c r="R1116" s="683"/>
      <c r="S1116" s="683"/>
      <c r="T1116" s="683"/>
      <c r="U1116" s="683"/>
      <c r="V1116" s="683"/>
      <c r="W1116" s="683"/>
      <c r="X1116" s="683"/>
      <c r="Y1116" s="683"/>
      <c r="Z1116" s="683"/>
    </row>
    <row r="1117" spans="1:26" ht="15.75" customHeight="1" x14ac:dyDescent="0.25">
      <c r="A1117" s="3" t="s">
        <v>2668</v>
      </c>
      <c r="B1117" s="683" t="s">
        <v>2667</v>
      </c>
      <c r="C1117" s="683"/>
      <c r="D1117" s="683"/>
      <c r="E1117" s="683"/>
      <c r="F1117" s="683"/>
      <c r="G1117" s="683"/>
      <c r="H1117" s="711"/>
      <c r="I1117" s="683"/>
      <c r="J1117" s="683"/>
      <c r="K1117" s="683"/>
      <c r="L1117" s="683"/>
      <c r="M1117" s="683"/>
      <c r="N1117" s="685"/>
      <c r="O1117" s="683"/>
      <c r="P1117" s="683"/>
      <c r="Q1117" s="683"/>
      <c r="R1117" s="683"/>
      <c r="S1117" s="683"/>
      <c r="T1117" s="683"/>
      <c r="U1117" s="683"/>
      <c r="V1117" s="683"/>
      <c r="W1117" s="683"/>
      <c r="X1117" s="683"/>
      <c r="Y1117" s="683"/>
      <c r="Z1117" s="683"/>
    </row>
    <row r="1118" spans="1:26" ht="15.75" customHeight="1" x14ac:dyDescent="0.25">
      <c r="A1118" s="3" t="s">
        <v>2669</v>
      </c>
      <c r="B1118" s="683" t="s">
        <v>2667</v>
      </c>
      <c r="C1118" s="683"/>
      <c r="D1118" s="683"/>
      <c r="E1118" s="683"/>
      <c r="F1118" s="683"/>
      <c r="G1118" s="683"/>
      <c r="H1118" s="711"/>
      <c r="I1118" s="683"/>
      <c r="J1118" s="683"/>
      <c r="K1118" s="683"/>
      <c r="L1118" s="683"/>
      <c r="M1118" s="683"/>
      <c r="N1118" s="685"/>
      <c r="O1118" s="683"/>
      <c r="P1118" s="683"/>
      <c r="Q1118" s="683"/>
      <c r="R1118" s="683"/>
      <c r="S1118" s="683"/>
      <c r="T1118" s="683"/>
      <c r="U1118" s="683"/>
      <c r="V1118" s="683"/>
      <c r="W1118" s="683"/>
      <c r="X1118" s="683"/>
      <c r="Y1118" s="683"/>
      <c r="Z1118" s="683"/>
    </row>
    <row r="1119" spans="1:26" ht="15.75" customHeight="1" x14ac:dyDescent="0.25">
      <c r="A1119" s="3" t="s">
        <v>2670</v>
      </c>
      <c r="B1119" s="683" t="s">
        <v>2667</v>
      </c>
      <c r="C1119" s="683"/>
      <c r="D1119" s="683"/>
      <c r="E1119" s="683"/>
      <c r="F1119" s="683"/>
      <c r="G1119" s="683"/>
      <c r="H1119" s="711"/>
      <c r="I1119" s="683"/>
      <c r="J1119" s="683"/>
      <c r="K1119" s="683"/>
      <c r="L1119" s="683"/>
      <c r="M1119" s="683"/>
      <c r="N1119" s="685"/>
      <c r="O1119" s="683"/>
      <c r="P1119" s="683"/>
      <c r="Q1119" s="683"/>
      <c r="R1119" s="683"/>
      <c r="S1119" s="683"/>
      <c r="T1119" s="683"/>
      <c r="U1119" s="683"/>
      <c r="V1119" s="683"/>
      <c r="W1119" s="683"/>
      <c r="X1119" s="683"/>
      <c r="Y1119" s="683"/>
      <c r="Z1119" s="683"/>
    </row>
    <row r="1120" spans="1:26" ht="15.75" customHeight="1" x14ac:dyDescent="0.25">
      <c r="A1120" s="3" t="s">
        <v>2671</v>
      </c>
      <c r="B1120" s="683" t="s">
        <v>2667</v>
      </c>
      <c r="C1120" s="683"/>
      <c r="D1120" s="683"/>
      <c r="E1120" s="683"/>
      <c r="F1120" s="683"/>
      <c r="G1120" s="683"/>
      <c r="H1120" s="711"/>
      <c r="I1120" s="683"/>
      <c r="J1120" s="683"/>
      <c r="K1120" s="683"/>
      <c r="L1120" s="683"/>
      <c r="M1120" s="683"/>
      <c r="N1120" s="685"/>
      <c r="O1120" s="683"/>
      <c r="P1120" s="683"/>
      <c r="Q1120" s="683"/>
      <c r="R1120" s="683"/>
      <c r="S1120" s="683"/>
      <c r="T1120" s="683"/>
      <c r="U1120" s="683"/>
      <c r="V1120" s="683"/>
      <c r="W1120" s="683"/>
      <c r="X1120" s="683"/>
      <c r="Y1120" s="683"/>
      <c r="Z1120" s="683"/>
    </row>
    <row r="1121" spans="1:26" ht="15.75" customHeight="1" x14ac:dyDescent="0.25">
      <c r="A1121" s="3" t="s">
        <v>2672</v>
      </c>
      <c r="B1121" s="683" t="s">
        <v>2667</v>
      </c>
      <c r="C1121" s="683"/>
      <c r="D1121" s="683"/>
      <c r="E1121" s="683"/>
      <c r="F1121" s="683"/>
      <c r="G1121" s="683"/>
      <c r="H1121" s="711"/>
      <c r="I1121" s="683"/>
      <c r="J1121" s="683"/>
      <c r="K1121" s="683"/>
      <c r="L1121" s="683"/>
      <c r="M1121" s="683"/>
      <c r="N1121" s="685"/>
      <c r="O1121" s="683"/>
      <c r="P1121" s="683"/>
      <c r="Q1121" s="683"/>
      <c r="R1121" s="683"/>
      <c r="S1121" s="683"/>
      <c r="T1121" s="683"/>
      <c r="U1121" s="683"/>
      <c r="V1121" s="683"/>
      <c r="W1121" s="683"/>
      <c r="X1121" s="683"/>
      <c r="Y1121" s="683"/>
      <c r="Z1121" s="683"/>
    </row>
    <row r="1122" spans="1:26" ht="15.75" customHeight="1" x14ac:dyDescent="0.25">
      <c r="A1122" s="3" t="s">
        <v>130</v>
      </c>
      <c r="B1122" s="683" t="s">
        <v>2667</v>
      </c>
      <c r="C1122" s="683"/>
      <c r="D1122" s="683"/>
      <c r="E1122" s="683"/>
      <c r="F1122" s="683"/>
      <c r="G1122" s="683"/>
      <c r="H1122" s="711"/>
      <c r="I1122" s="683"/>
      <c r="J1122" s="683"/>
      <c r="K1122" s="683"/>
      <c r="L1122" s="683"/>
      <c r="M1122" s="683"/>
      <c r="N1122" s="685"/>
      <c r="O1122" s="683"/>
      <c r="P1122" s="683"/>
      <c r="Q1122" s="683"/>
      <c r="R1122" s="683"/>
      <c r="S1122" s="683"/>
      <c r="T1122" s="683"/>
      <c r="U1122" s="683"/>
      <c r="V1122" s="683"/>
      <c r="W1122" s="683"/>
      <c r="X1122" s="683"/>
      <c r="Y1122" s="683"/>
      <c r="Z1122" s="683"/>
    </row>
    <row r="1123" spans="1:26" ht="15.75" customHeight="1" x14ac:dyDescent="0.25">
      <c r="A1123" s="3" t="s">
        <v>2673</v>
      </c>
      <c r="B1123" s="683" t="s">
        <v>2667</v>
      </c>
      <c r="C1123" s="683"/>
      <c r="D1123" s="683"/>
      <c r="E1123" s="683"/>
      <c r="F1123" s="683"/>
      <c r="G1123" s="683"/>
      <c r="H1123" s="711"/>
      <c r="I1123" s="683"/>
      <c r="J1123" s="683"/>
      <c r="K1123" s="683"/>
      <c r="L1123" s="683"/>
      <c r="M1123" s="683"/>
      <c r="N1123" s="685"/>
      <c r="O1123" s="683"/>
      <c r="P1123" s="683"/>
      <c r="Q1123" s="683"/>
      <c r="R1123" s="683"/>
      <c r="S1123" s="683"/>
      <c r="T1123" s="683"/>
      <c r="U1123" s="683"/>
      <c r="V1123" s="683"/>
      <c r="W1123" s="683"/>
      <c r="X1123" s="683"/>
      <c r="Y1123" s="683"/>
      <c r="Z1123" s="683"/>
    </row>
    <row r="1124" spans="1:26" ht="15.75" customHeight="1" x14ac:dyDescent="0.25">
      <c r="A1124" s="3" t="s">
        <v>2674</v>
      </c>
      <c r="B1124" s="683" t="s">
        <v>2667</v>
      </c>
      <c r="C1124" s="683"/>
      <c r="D1124" s="683"/>
      <c r="E1124" s="683"/>
      <c r="F1124" s="683"/>
      <c r="G1124" s="683"/>
      <c r="H1124" s="711"/>
      <c r="I1124" s="683"/>
      <c r="J1124" s="683"/>
      <c r="K1124" s="683"/>
      <c r="L1124" s="683"/>
      <c r="M1124" s="683"/>
      <c r="N1124" s="685"/>
      <c r="O1124" s="683"/>
      <c r="P1124" s="683"/>
      <c r="Q1124" s="683"/>
      <c r="R1124" s="683"/>
      <c r="S1124" s="683"/>
      <c r="T1124" s="683"/>
      <c r="U1124" s="683"/>
      <c r="V1124" s="683"/>
      <c r="W1124" s="683"/>
      <c r="X1124" s="683"/>
      <c r="Y1124" s="683"/>
      <c r="Z1124" s="683"/>
    </row>
    <row r="1125" spans="1:26" ht="15.75" customHeight="1" x14ac:dyDescent="0.25">
      <c r="A1125" s="3" t="s">
        <v>2675</v>
      </c>
      <c r="B1125" s="683" t="s">
        <v>2667</v>
      </c>
      <c r="C1125" s="683"/>
      <c r="D1125" s="683"/>
      <c r="E1125" s="683"/>
      <c r="F1125" s="683"/>
      <c r="G1125" s="683"/>
      <c r="H1125" s="711"/>
      <c r="I1125" s="683"/>
      <c r="J1125" s="683"/>
      <c r="K1125" s="683"/>
      <c r="L1125" s="683"/>
      <c r="M1125" s="683"/>
      <c r="N1125" s="685"/>
      <c r="O1125" s="683"/>
      <c r="P1125" s="683"/>
      <c r="Q1125" s="683"/>
      <c r="R1125" s="683"/>
      <c r="S1125" s="683"/>
      <c r="T1125" s="683"/>
      <c r="U1125" s="683"/>
      <c r="V1125" s="683"/>
      <c r="W1125" s="683"/>
      <c r="X1125" s="683"/>
      <c r="Y1125" s="683"/>
      <c r="Z1125" s="683"/>
    </row>
    <row r="1126" spans="1:26" ht="15.75" customHeight="1" x14ac:dyDescent="0.25">
      <c r="A1126" s="3" t="s">
        <v>1745</v>
      </c>
      <c r="B1126" s="683" t="s">
        <v>2676</v>
      </c>
      <c r="C1126" s="683"/>
      <c r="D1126" s="683"/>
      <c r="E1126" s="683"/>
      <c r="F1126" s="683"/>
      <c r="G1126" s="683"/>
      <c r="H1126" s="711"/>
      <c r="I1126" s="683"/>
      <c r="J1126" s="683"/>
      <c r="K1126" s="683"/>
      <c r="L1126" s="683"/>
      <c r="M1126" s="683"/>
      <c r="N1126" s="685"/>
      <c r="O1126" s="683"/>
      <c r="P1126" s="683"/>
      <c r="Q1126" s="683"/>
      <c r="R1126" s="683"/>
      <c r="S1126" s="683"/>
      <c r="T1126" s="683"/>
      <c r="U1126" s="683"/>
      <c r="V1126" s="683"/>
      <c r="W1126" s="683"/>
      <c r="X1126" s="683"/>
      <c r="Y1126" s="683"/>
      <c r="Z1126" s="683"/>
    </row>
    <row r="1127" spans="1:26" ht="15.75" customHeight="1" x14ac:dyDescent="0.25">
      <c r="A1127" s="683" t="s">
        <v>2677</v>
      </c>
      <c r="B1127" s="683" t="s">
        <v>2667</v>
      </c>
      <c r="C1127" s="683"/>
      <c r="D1127" s="683"/>
      <c r="E1127" s="683"/>
      <c r="F1127" s="683"/>
      <c r="G1127" s="683"/>
      <c r="H1127" s="711"/>
      <c r="I1127" s="683"/>
      <c r="J1127" s="683"/>
      <c r="K1127" s="683"/>
      <c r="L1127" s="683"/>
      <c r="M1127" s="683"/>
      <c r="N1127" s="685"/>
      <c r="O1127" s="683"/>
      <c r="P1127" s="683"/>
      <c r="Q1127" s="683"/>
      <c r="R1127" s="683"/>
      <c r="S1127" s="683"/>
      <c r="T1127" s="683"/>
      <c r="U1127" s="683"/>
      <c r="V1127" s="683"/>
      <c r="W1127" s="683"/>
      <c r="X1127" s="683"/>
      <c r="Y1127" s="683"/>
      <c r="Z1127" s="683"/>
    </row>
    <row r="1128" spans="1:26" ht="15.75" customHeight="1" x14ac:dyDescent="0.25">
      <c r="A1128" s="3" t="s">
        <v>797</v>
      </c>
      <c r="B1128" s="683" t="s">
        <v>2667</v>
      </c>
      <c r="C1128" s="683"/>
      <c r="D1128" s="683"/>
      <c r="E1128" s="683"/>
      <c r="F1128" s="683"/>
      <c r="G1128" s="683"/>
      <c r="H1128" s="711"/>
      <c r="I1128" s="683"/>
      <c r="J1128" s="683"/>
      <c r="K1128" s="683"/>
      <c r="L1128" s="683"/>
      <c r="M1128" s="683"/>
      <c r="N1128" s="685"/>
      <c r="O1128" s="683"/>
      <c r="P1128" s="683"/>
      <c r="Q1128" s="683"/>
      <c r="R1128" s="683"/>
      <c r="S1128" s="683"/>
      <c r="T1128" s="683"/>
      <c r="U1128" s="683"/>
      <c r="V1128" s="683"/>
      <c r="W1128" s="683"/>
      <c r="X1128" s="683"/>
      <c r="Y1128" s="683"/>
      <c r="Z1128" s="683"/>
    </row>
    <row r="1129" spans="1:26" ht="15.75" customHeight="1" x14ac:dyDescent="0.25">
      <c r="A1129" s="3" t="s">
        <v>1744</v>
      </c>
      <c r="B1129" s="683" t="s">
        <v>2667</v>
      </c>
      <c r="C1129" s="683"/>
      <c r="D1129" s="683"/>
      <c r="E1129" s="683"/>
      <c r="F1129" s="683"/>
      <c r="G1129" s="683"/>
      <c r="H1129" s="711"/>
      <c r="I1129" s="683"/>
      <c r="J1129" s="683"/>
      <c r="K1129" s="683"/>
      <c r="L1129" s="683"/>
      <c r="M1129" s="683"/>
      <c r="N1129" s="685"/>
      <c r="O1129" s="683"/>
      <c r="P1129" s="683"/>
      <c r="Q1129" s="683"/>
      <c r="R1129" s="683"/>
      <c r="S1129" s="683"/>
      <c r="T1129" s="683"/>
      <c r="U1129" s="683"/>
      <c r="V1129" s="683"/>
      <c r="W1129" s="683"/>
      <c r="X1129" s="683"/>
      <c r="Y1129" s="683"/>
      <c r="Z1129" s="683"/>
    </row>
    <row r="1130" spans="1:26" ht="15.75" customHeight="1" x14ac:dyDescent="0.25">
      <c r="A1130" s="3" t="s">
        <v>387</v>
      </c>
      <c r="B1130" s="683" t="s">
        <v>2667</v>
      </c>
      <c r="C1130" s="683"/>
      <c r="D1130" s="683"/>
      <c r="E1130" s="683"/>
      <c r="F1130" s="683"/>
      <c r="G1130" s="683"/>
      <c r="H1130" s="711"/>
      <c r="I1130" s="683"/>
      <c r="J1130" s="683"/>
      <c r="K1130" s="683"/>
      <c r="L1130" s="683"/>
      <c r="M1130" s="683"/>
      <c r="N1130" s="685"/>
      <c r="O1130" s="683"/>
      <c r="P1130" s="683"/>
      <c r="Q1130" s="683"/>
      <c r="R1130" s="683"/>
      <c r="S1130" s="683"/>
      <c r="T1130" s="683"/>
      <c r="U1130" s="683"/>
      <c r="V1130" s="683"/>
      <c r="W1130" s="683"/>
      <c r="X1130" s="683"/>
      <c r="Y1130" s="683"/>
      <c r="Z1130" s="683"/>
    </row>
    <row r="1131" spans="1:26" ht="15.75" customHeight="1" x14ac:dyDescent="0.25">
      <c r="A1131" s="3" t="s">
        <v>2678</v>
      </c>
      <c r="B1131" s="683" t="s">
        <v>2667</v>
      </c>
      <c r="C1131" s="683"/>
      <c r="D1131" s="683"/>
      <c r="E1131" s="683"/>
      <c r="F1131" s="683"/>
      <c r="G1131" s="683"/>
      <c r="H1131" s="711"/>
      <c r="I1131" s="683"/>
      <c r="J1131" s="683"/>
      <c r="K1131" s="683"/>
      <c r="L1131" s="683"/>
      <c r="M1131" s="683"/>
      <c r="N1131" s="685"/>
      <c r="O1131" s="683"/>
      <c r="P1131" s="683"/>
      <c r="Q1131" s="683"/>
      <c r="R1131" s="683"/>
      <c r="S1131" s="683"/>
      <c r="T1131" s="683"/>
      <c r="U1131" s="683"/>
      <c r="V1131" s="683"/>
      <c r="W1131" s="683"/>
      <c r="X1131" s="683"/>
      <c r="Y1131" s="683"/>
      <c r="Z1131" s="683"/>
    </row>
    <row r="1132" spans="1:26" ht="15.75" customHeight="1" x14ac:dyDescent="0.25">
      <c r="A1132" s="683" t="s">
        <v>2679</v>
      </c>
      <c r="B1132" s="3" t="s">
        <v>2680</v>
      </c>
      <c r="C1132" s="683"/>
      <c r="D1132" s="683"/>
      <c r="E1132" s="683"/>
      <c r="F1132" s="683"/>
      <c r="G1132" s="683"/>
      <c r="H1132" s="711"/>
      <c r="I1132" s="683"/>
      <c r="J1132" s="683"/>
      <c r="K1132" s="683"/>
      <c r="L1132" s="683"/>
      <c r="M1132" s="683"/>
      <c r="N1132" s="685"/>
      <c r="O1132" s="683"/>
      <c r="P1132" s="683"/>
      <c r="Q1132" s="683"/>
      <c r="R1132" s="683"/>
      <c r="S1132" s="683"/>
      <c r="T1132" s="683"/>
      <c r="U1132" s="683"/>
      <c r="V1132" s="683"/>
      <c r="W1132" s="683"/>
      <c r="X1132" s="683"/>
      <c r="Y1132" s="683"/>
      <c r="Z1132" s="683"/>
    </row>
    <row r="1133" spans="1:26" ht="15.75" customHeight="1" x14ac:dyDescent="0.25">
      <c r="A1133" s="683" t="s">
        <v>2681</v>
      </c>
      <c r="B1133" s="3" t="s">
        <v>2680</v>
      </c>
      <c r="C1133" s="683"/>
      <c r="D1133" s="683"/>
      <c r="E1133" s="683"/>
      <c r="F1133" s="683"/>
      <c r="G1133" s="683"/>
      <c r="H1133" s="711"/>
      <c r="I1133" s="683"/>
      <c r="J1133" s="683"/>
      <c r="K1133" s="683"/>
      <c r="L1133" s="683"/>
      <c r="M1133" s="683"/>
      <c r="N1133" s="685"/>
      <c r="O1133" s="683"/>
      <c r="P1133" s="683"/>
      <c r="Q1133" s="683"/>
      <c r="R1133" s="683"/>
      <c r="S1133" s="683"/>
      <c r="T1133" s="683"/>
      <c r="U1133" s="683"/>
      <c r="V1133" s="683"/>
      <c r="W1133" s="683"/>
      <c r="X1133" s="683"/>
      <c r="Y1133" s="683"/>
      <c r="Z1133" s="683"/>
    </row>
    <row r="1134" spans="1:26" ht="15.75" customHeight="1" x14ac:dyDescent="0.25">
      <c r="A1134" s="683" t="s">
        <v>2682</v>
      </c>
      <c r="B1134" s="3" t="s">
        <v>2680</v>
      </c>
      <c r="C1134" s="683"/>
      <c r="D1134" s="683"/>
      <c r="E1134" s="683"/>
      <c r="F1134" s="683"/>
      <c r="G1134" s="683"/>
      <c r="H1134" s="711"/>
      <c r="I1134" s="683"/>
      <c r="J1134" s="683"/>
      <c r="K1134" s="683"/>
      <c r="L1134" s="683"/>
      <c r="M1134" s="683"/>
      <c r="N1134" s="685"/>
      <c r="O1134" s="683"/>
      <c r="P1134" s="683"/>
      <c r="Q1134" s="683"/>
      <c r="R1134" s="683"/>
      <c r="S1134" s="683"/>
      <c r="T1134" s="683"/>
      <c r="U1134" s="683"/>
      <c r="V1134" s="683"/>
      <c r="W1134" s="683"/>
      <c r="X1134" s="683"/>
      <c r="Y1134" s="683"/>
      <c r="Z1134" s="683"/>
    </row>
    <row r="1135" spans="1:26" ht="15.75" customHeight="1" x14ac:dyDescent="0.25">
      <c r="A1135" s="3" t="s">
        <v>2683</v>
      </c>
      <c r="B1135" s="3" t="s">
        <v>2680</v>
      </c>
      <c r="C1135" s="683"/>
      <c r="D1135" s="683"/>
      <c r="E1135" s="683"/>
      <c r="F1135" s="683"/>
      <c r="G1135" s="683"/>
      <c r="H1135" s="711"/>
      <c r="I1135" s="683"/>
      <c r="J1135" s="683"/>
      <c r="K1135" s="683"/>
      <c r="L1135" s="683"/>
      <c r="M1135" s="683"/>
      <c r="N1135" s="685"/>
      <c r="O1135" s="683"/>
      <c r="P1135" s="683"/>
      <c r="Q1135" s="683"/>
      <c r="R1135" s="683"/>
      <c r="S1135" s="683"/>
      <c r="T1135" s="683"/>
      <c r="U1135" s="683"/>
      <c r="V1135" s="683"/>
      <c r="W1135" s="683"/>
      <c r="X1135" s="683"/>
      <c r="Y1135" s="683"/>
      <c r="Z1135" s="683"/>
    </row>
    <row r="1136" spans="1:26" ht="15.75" customHeight="1" x14ac:dyDescent="0.25">
      <c r="A1136" s="3" t="s">
        <v>1740</v>
      </c>
      <c r="B1136" s="3" t="s">
        <v>2680</v>
      </c>
      <c r="C1136" s="683"/>
      <c r="D1136" s="683"/>
      <c r="E1136" s="683"/>
      <c r="F1136" s="683"/>
      <c r="G1136" s="683"/>
      <c r="H1136" s="711"/>
      <c r="I1136" s="683"/>
      <c r="J1136" s="683"/>
      <c r="K1136" s="683"/>
      <c r="L1136" s="683"/>
      <c r="M1136" s="683"/>
      <c r="N1136" s="685"/>
      <c r="O1136" s="683"/>
      <c r="P1136" s="683"/>
      <c r="Q1136" s="683"/>
      <c r="R1136" s="683"/>
      <c r="S1136" s="683"/>
      <c r="T1136" s="683"/>
      <c r="U1136" s="683"/>
      <c r="V1136" s="683"/>
      <c r="W1136" s="683"/>
      <c r="X1136" s="683"/>
      <c r="Y1136" s="683"/>
      <c r="Z1136" s="683"/>
    </row>
    <row r="1137" spans="1:26" ht="15.75" customHeight="1" x14ac:dyDescent="0.25">
      <c r="A1137" s="3" t="s">
        <v>2684</v>
      </c>
      <c r="B1137" s="3" t="s">
        <v>2680</v>
      </c>
      <c r="C1137" s="683"/>
      <c r="D1137" s="683"/>
      <c r="E1137" s="683"/>
      <c r="F1137" s="683"/>
      <c r="G1137" s="683"/>
      <c r="H1137" s="711"/>
      <c r="I1137" s="683"/>
      <c r="J1137" s="683"/>
      <c r="K1137" s="683"/>
      <c r="L1137" s="683"/>
      <c r="M1137" s="683"/>
      <c r="N1137" s="685"/>
      <c r="O1137" s="683"/>
      <c r="P1137" s="683"/>
      <c r="Q1137" s="683"/>
      <c r="R1137" s="683"/>
      <c r="S1137" s="683"/>
      <c r="T1137" s="683"/>
      <c r="U1137" s="683"/>
      <c r="V1137" s="683"/>
      <c r="W1137" s="683"/>
      <c r="X1137" s="683"/>
      <c r="Y1137" s="683"/>
      <c r="Z1137" s="683"/>
    </row>
    <row r="1138" spans="1:26" ht="15.75" customHeight="1" x14ac:dyDescent="0.25">
      <c r="A1138" s="3" t="s">
        <v>2685</v>
      </c>
      <c r="B1138" s="3" t="s">
        <v>2680</v>
      </c>
      <c r="C1138" s="683"/>
      <c r="D1138" s="683"/>
      <c r="E1138" s="683"/>
      <c r="F1138" s="683"/>
      <c r="G1138" s="683"/>
      <c r="H1138" s="711"/>
      <c r="I1138" s="683"/>
      <c r="J1138" s="683"/>
      <c r="K1138" s="683"/>
      <c r="L1138" s="683"/>
      <c r="M1138" s="683"/>
      <c r="N1138" s="685"/>
      <c r="O1138" s="683"/>
      <c r="P1138" s="683"/>
      <c r="Q1138" s="683"/>
      <c r="R1138" s="683"/>
      <c r="S1138" s="683"/>
      <c r="T1138" s="683"/>
      <c r="U1138" s="683"/>
      <c r="V1138" s="683"/>
      <c r="W1138" s="683"/>
      <c r="X1138" s="683"/>
      <c r="Y1138" s="683"/>
      <c r="Z1138" s="683"/>
    </row>
    <row r="1139" spans="1:26" ht="15.75" customHeight="1" x14ac:dyDescent="0.25">
      <c r="A1139" s="3" t="s">
        <v>2686</v>
      </c>
      <c r="B1139" s="3" t="s">
        <v>2680</v>
      </c>
      <c r="C1139" s="683"/>
      <c r="D1139" s="683"/>
      <c r="E1139" s="683"/>
      <c r="F1139" s="683"/>
      <c r="G1139" s="683"/>
      <c r="H1139" s="711"/>
      <c r="I1139" s="683"/>
      <c r="J1139" s="683"/>
      <c r="K1139" s="683"/>
      <c r="L1139" s="683"/>
      <c r="M1139" s="683"/>
      <c r="N1139" s="685"/>
      <c r="O1139" s="683"/>
      <c r="P1139" s="683"/>
      <c r="Q1139" s="683"/>
      <c r="R1139" s="683"/>
      <c r="S1139" s="683"/>
      <c r="T1139" s="683"/>
      <c r="U1139" s="683"/>
      <c r="V1139" s="683"/>
      <c r="W1139" s="683"/>
      <c r="X1139" s="683"/>
      <c r="Y1139" s="683"/>
      <c r="Z1139" s="683"/>
    </row>
    <row r="1140" spans="1:26" ht="15.75" customHeight="1" x14ac:dyDescent="0.25">
      <c r="A1140" s="3" t="s">
        <v>2687</v>
      </c>
      <c r="B1140" s="3" t="s">
        <v>2680</v>
      </c>
      <c r="C1140" s="683"/>
      <c r="D1140" s="683"/>
      <c r="E1140" s="683"/>
      <c r="F1140" s="683"/>
      <c r="G1140" s="683"/>
      <c r="H1140" s="711"/>
      <c r="I1140" s="683"/>
      <c r="J1140" s="683"/>
      <c r="K1140" s="683"/>
      <c r="L1140" s="683"/>
      <c r="M1140" s="683"/>
      <c r="N1140" s="685"/>
      <c r="O1140" s="683"/>
      <c r="P1140" s="683"/>
      <c r="Q1140" s="683"/>
      <c r="R1140" s="683"/>
      <c r="S1140" s="683"/>
      <c r="T1140" s="683"/>
      <c r="U1140" s="683"/>
      <c r="V1140" s="683"/>
      <c r="W1140" s="683"/>
      <c r="X1140" s="683"/>
      <c r="Y1140" s="683"/>
      <c r="Z1140" s="683"/>
    </row>
    <row r="1141" spans="1:26" ht="15.75" customHeight="1" x14ac:dyDescent="0.25">
      <c r="A1141" s="3" t="s">
        <v>2688</v>
      </c>
      <c r="B1141" s="3" t="s">
        <v>2680</v>
      </c>
      <c r="C1141" s="683"/>
      <c r="D1141" s="683"/>
      <c r="E1141" s="683"/>
      <c r="F1141" s="683"/>
      <c r="G1141" s="683"/>
      <c r="H1141" s="711"/>
      <c r="I1141" s="683"/>
      <c r="J1141" s="683"/>
      <c r="K1141" s="683"/>
      <c r="L1141" s="683"/>
      <c r="M1141" s="683"/>
      <c r="N1141" s="685"/>
      <c r="O1141" s="683"/>
      <c r="P1141" s="683"/>
      <c r="Q1141" s="683"/>
      <c r="R1141" s="683"/>
      <c r="S1141" s="683"/>
      <c r="T1141" s="683"/>
      <c r="U1141" s="683"/>
      <c r="V1141" s="683"/>
      <c r="W1141" s="683"/>
      <c r="X1141" s="683"/>
      <c r="Y1141" s="683"/>
      <c r="Z1141" s="683"/>
    </row>
    <row r="1142" spans="1:26" ht="15.75" customHeight="1" x14ac:dyDescent="0.25">
      <c r="A1142" s="3" t="s">
        <v>85</v>
      </c>
      <c r="B1142" s="3" t="s">
        <v>2680</v>
      </c>
      <c r="C1142" s="683"/>
      <c r="D1142" s="683"/>
      <c r="E1142" s="683"/>
      <c r="F1142" s="683"/>
      <c r="G1142" s="683"/>
      <c r="H1142" s="711"/>
      <c r="I1142" s="683"/>
      <c r="J1142" s="683"/>
      <c r="K1142" s="683"/>
      <c r="L1142" s="683"/>
      <c r="M1142" s="683"/>
      <c r="N1142" s="685"/>
      <c r="O1142" s="683"/>
      <c r="P1142" s="683"/>
      <c r="Q1142" s="683"/>
      <c r="R1142" s="683"/>
      <c r="S1142" s="683"/>
      <c r="T1142" s="683"/>
      <c r="U1142" s="683"/>
      <c r="V1142" s="683"/>
      <c r="W1142" s="683"/>
      <c r="X1142" s="683"/>
      <c r="Y1142" s="683"/>
      <c r="Z1142" s="683"/>
    </row>
    <row r="1143" spans="1:26" ht="15.75" customHeight="1" x14ac:dyDescent="0.25">
      <c r="A1143" s="683" t="s">
        <v>2689</v>
      </c>
      <c r="B1143" s="3" t="s">
        <v>2680</v>
      </c>
      <c r="C1143" s="683"/>
      <c r="D1143" s="683"/>
      <c r="E1143" s="683"/>
      <c r="F1143" s="683"/>
      <c r="G1143" s="683"/>
      <c r="H1143" s="711"/>
      <c r="I1143" s="683"/>
      <c r="J1143" s="683"/>
      <c r="K1143" s="683"/>
      <c r="L1143" s="683"/>
      <c r="M1143" s="683"/>
      <c r="N1143" s="685"/>
      <c r="O1143" s="683"/>
      <c r="P1143" s="683"/>
      <c r="Q1143" s="683"/>
      <c r="R1143" s="683"/>
      <c r="S1143" s="683"/>
      <c r="T1143" s="683"/>
      <c r="U1143" s="683"/>
      <c r="V1143" s="683"/>
      <c r="W1143" s="683"/>
      <c r="X1143" s="683"/>
      <c r="Y1143" s="683"/>
      <c r="Z1143" s="683"/>
    </row>
    <row r="1144" spans="1:26" ht="15.75" customHeight="1" x14ac:dyDescent="0.25">
      <c r="A1144" s="683" t="s">
        <v>2690</v>
      </c>
      <c r="B1144" s="3" t="s">
        <v>2680</v>
      </c>
      <c r="C1144" s="683"/>
      <c r="D1144" s="683"/>
      <c r="E1144" s="683"/>
      <c r="F1144" s="683"/>
      <c r="G1144" s="683"/>
      <c r="H1144" s="711"/>
      <c r="I1144" s="683"/>
      <c r="J1144" s="683"/>
      <c r="K1144" s="683"/>
      <c r="L1144" s="683"/>
      <c r="M1144" s="683"/>
      <c r="N1144" s="685"/>
      <c r="O1144" s="683"/>
      <c r="P1144" s="683"/>
      <c r="Q1144" s="683"/>
      <c r="R1144" s="683"/>
      <c r="S1144" s="683"/>
      <c r="T1144" s="683"/>
      <c r="U1144" s="683"/>
      <c r="V1144" s="683"/>
      <c r="W1144" s="683"/>
      <c r="X1144" s="683"/>
      <c r="Y1144" s="683"/>
      <c r="Z1144" s="683"/>
    </row>
    <row r="1145" spans="1:26" ht="15.75" customHeight="1" x14ac:dyDescent="0.25">
      <c r="A1145" s="3" t="s">
        <v>2691</v>
      </c>
      <c r="B1145" s="3" t="s">
        <v>2680</v>
      </c>
      <c r="C1145" s="683"/>
      <c r="D1145" s="683"/>
      <c r="E1145" s="683"/>
      <c r="F1145" s="683"/>
      <c r="G1145" s="683"/>
      <c r="H1145" s="711"/>
      <c r="I1145" s="683"/>
      <c r="J1145" s="683"/>
      <c r="K1145" s="683"/>
      <c r="L1145" s="683"/>
      <c r="M1145" s="683"/>
      <c r="N1145" s="685"/>
      <c r="O1145" s="683"/>
      <c r="P1145" s="683"/>
      <c r="Q1145" s="683"/>
      <c r="R1145" s="683"/>
      <c r="S1145" s="683"/>
      <c r="T1145" s="683"/>
      <c r="U1145" s="683"/>
      <c r="V1145" s="683"/>
      <c r="W1145" s="683"/>
      <c r="X1145" s="683"/>
      <c r="Y1145" s="683"/>
      <c r="Z1145" s="683"/>
    </row>
    <row r="1146" spans="1:26" ht="15.75" customHeight="1" x14ac:dyDescent="0.25">
      <c r="A1146" s="3" t="s">
        <v>140</v>
      </c>
      <c r="B1146" s="3" t="s">
        <v>2680</v>
      </c>
      <c r="C1146" s="683"/>
      <c r="D1146" s="683"/>
      <c r="E1146" s="683"/>
      <c r="F1146" s="683"/>
      <c r="G1146" s="683"/>
      <c r="H1146" s="711"/>
      <c r="I1146" s="683"/>
      <c r="J1146" s="683"/>
      <c r="K1146" s="683"/>
      <c r="L1146" s="683"/>
      <c r="M1146" s="683"/>
      <c r="N1146" s="685"/>
      <c r="O1146" s="683"/>
      <c r="P1146" s="683"/>
      <c r="Q1146" s="683"/>
      <c r="R1146" s="683"/>
      <c r="S1146" s="683"/>
      <c r="T1146" s="683"/>
      <c r="U1146" s="683"/>
      <c r="V1146" s="683"/>
      <c r="W1146" s="683"/>
      <c r="X1146" s="683"/>
      <c r="Y1146" s="683"/>
      <c r="Z1146" s="683"/>
    </row>
    <row r="1147" spans="1:26" ht="15.75" customHeight="1" x14ac:dyDescent="0.25">
      <c r="A1147" s="3" t="s">
        <v>2692</v>
      </c>
      <c r="B1147" s="3" t="s">
        <v>2680</v>
      </c>
      <c r="C1147" s="683"/>
      <c r="D1147" s="683"/>
      <c r="E1147" s="683"/>
      <c r="F1147" s="683"/>
      <c r="G1147" s="683"/>
      <c r="H1147" s="711"/>
      <c r="I1147" s="683"/>
      <c r="J1147" s="683"/>
      <c r="K1147" s="683"/>
      <c r="L1147" s="683"/>
      <c r="M1147" s="683"/>
      <c r="N1147" s="685"/>
      <c r="O1147" s="683"/>
      <c r="P1147" s="683"/>
      <c r="Q1147" s="683"/>
      <c r="R1147" s="683"/>
      <c r="S1147" s="683"/>
      <c r="T1147" s="683"/>
      <c r="U1147" s="683"/>
      <c r="V1147" s="683"/>
      <c r="W1147" s="683"/>
      <c r="X1147" s="683"/>
      <c r="Y1147" s="683"/>
      <c r="Z1147" s="683"/>
    </row>
    <row r="1148" spans="1:26" ht="15.75" customHeight="1" x14ac:dyDescent="0.25">
      <c r="A1148" s="3" t="s">
        <v>2693</v>
      </c>
      <c r="B1148" s="3" t="s">
        <v>2680</v>
      </c>
      <c r="C1148" s="683"/>
      <c r="D1148" s="683"/>
      <c r="E1148" s="683"/>
      <c r="F1148" s="683"/>
      <c r="G1148" s="683"/>
      <c r="H1148" s="711"/>
      <c r="I1148" s="683"/>
      <c r="J1148" s="683"/>
      <c r="K1148" s="683"/>
      <c r="L1148" s="683"/>
      <c r="M1148" s="683"/>
      <c r="N1148" s="685"/>
      <c r="O1148" s="683"/>
      <c r="P1148" s="683"/>
      <c r="Q1148" s="683"/>
      <c r="R1148" s="683"/>
      <c r="S1148" s="683"/>
      <c r="T1148" s="683"/>
      <c r="U1148" s="683"/>
      <c r="V1148" s="683"/>
      <c r="W1148" s="683"/>
      <c r="X1148" s="683"/>
      <c r="Y1148" s="683"/>
      <c r="Z1148" s="683"/>
    </row>
    <row r="1149" spans="1:26" ht="15.75" customHeight="1" x14ac:dyDescent="0.25">
      <c r="A1149" s="3" t="s">
        <v>430</v>
      </c>
      <c r="B1149" s="3" t="s">
        <v>2680</v>
      </c>
      <c r="C1149" s="683"/>
      <c r="D1149" s="683"/>
      <c r="E1149" s="683"/>
      <c r="F1149" s="683"/>
      <c r="G1149" s="683"/>
      <c r="H1149" s="711"/>
      <c r="I1149" s="683"/>
      <c r="J1149" s="683"/>
      <c r="K1149" s="683"/>
      <c r="L1149" s="683"/>
      <c r="M1149" s="683"/>
      <c r="N1149" s="685"/>
      <c r="O1149" s="683"/>
      <c r="P1149" s="683"/>
      <c r="Q1149" s="683"/>
      <c r="R1149" s="683"/>
      <c r="S1149" s="683"/>
      <c r="T1149" s="683"/>
      <c r="U1149" s="683"/>
      <c r="V1149" s="683"/>
      <c r="W1149" s="683"/>
      <c r="X1149" s="683"/>
      <c r="Y1149" s="683"/>
      <c r="Z1149" s="683"/>
    </row>
    <row r="1150" spans="1:26" ht="15.75" customHeight="1" x14ac:dyDescent="0.25">
      <c r="A1150" s="683" t="s">
        <v>2694</v>
      </c>
      <c r="B1150" s="3" t="s">
        <v>2680</v>
      </c>
      <c r="C1150" s="3"/>
      <c r="D1150" s="683"/>
      <c r="E1150" s="683"/>
      <c r="F1150" s="683"/>
      <c r="G1150" s="683"/>
      <c r="H1150" s="711"/>
      <c r="I1150" s="683"/>
      <c r="J1150" s="683"/>
      <c r="K1150" s="683"/>
      <c r="L1150" s="683"/>
      <c r="M1150" s="683"/>
      <c r="N1150" s="685"/>
      <c r="O1150" s="683"/>
      <c r="P1150" s="683"/>
      <c r="Q1150" s="683"/>
      <c r="R1150" s="683"/>
      <c r="S1150" s="683"/>
      <c r="T1150" s="683"/>
      <c r="U1150" s="683"/>
      <c r="V1150" s="683"/>
      <c r="W1150" s="683"/>
      <c r="X1150" s="683"/>
      <c r="Y1150" s="683"/>
      <c r="Z1150" s="683"/>
    </row>
    <row r="1151" spans="1:26" ht="15.75" customHeight="1" x14ac:dyDescent="0.25">
      <c r="A1151" s="683" t="s">
        <v>2695</v>
      </c>
      <c r="B1151" s="3" t="s">
        <v>2680</v>
      </c>
      <c r="C1151" s="3"/>
      <c r="D1151" s="683"/>
      <c r="E1151" s="683"/>
      <c r="F1151" s="683"/>
      <c r="G1151" s="683"/>
      <c r="H1151" s="711"/>
      <c r="I1151" s="683"/>
      <c r="J1151" s="683"/>
      <c r="K1151" s="683"/>
      <c r="L1151" s="683"/>
      <c r="M1151" s="683"/>
      <c r="N1151" s="685"/>
      <c r="O1151" s="683"/>
      <c r="P1151" s="683"/>
      <c r="Q1151" s="683"/>
      <c r="R1151" s="683"/>
      <c r="S1151" s="683"/>
      <c r="T1151" s="683"/>
      <c r="U1151" s="683"/>
      <c r="V1151" s="683"/>
      <c r="W1151" s="683"/>
      <c r="X1151" s="683"/>
      <c r="Y1151" s="683"/>
      <c r="Z1151" s="683"/>
    </row>
    <row r="1152" spans="1:26" ht="15.75" customHeight="1" x14ac:dyDescent="0.25">
      <c r="A1152" s="3" t="s">
        <v>362</v>
      </c>
      <c r="B1152" s="3" t="s">
        <v>2680</v>
      </c>
      <c r="C1152" s="683"/>
      <c r="D1152" s="683"/>
      <c r="E1152" s="683"/>
      <c r="F1152" s="683"/>
      <c r="G1152" s="683"/>
      <c r="H1152" s="711"/>
      <c r="I1152" s="683"/>
      <c r="J1152" s="683"/>
      <c r="K1152" s="683"/>
      <c r="L1152" s="683"/>
      <c r="M1152" s="683"/>
      <c r="N1152" s="685"/>
      <c r="O1152" s="683"/>
      <c r="P1152" s="683"/>
      <c r="Q1152" s="683"/>
      <c r="R1152" s="683"/>
      <c r="S1152" s="683"/>
      <c r="T1152" s="683"/>
      <c r="U1152" s="683"/>
      <c r="V1152" s="683"/>
      <c r="W1152" s="683"/>
      <c r="X1152" s="683"/>
      <c r="Y1152" s="683"/>
      <c r="Z1152" s="683"/>
    </row>
    <row r="1153" spans="1:26" ht="15.75" customHeight="1" x14ac:dyDescent="0.25">
      <c r="A1153" s="683" t="s">
        <v>2696</v>
      </c>
      <c r="B1153" s="3" t="s">
        <v>2697</v>
      </c>
      <c r="C1153" s="683"/>
      <c r="D1153" s="683"/>
      <c r="E1153" s="683"/>
      <c r="F1153" s="683"/>
      <c r="G1153" s="683"/>
      <c r="H1153" s="711"/>
      <c r="I1153" s="683"/>
      <c r="J1153" s="683"/>
      <c r="K1153" s="683"/>
      <c r="L1153" s="683"/>
      <c r="M1153" s="683"/>
      <c r="N1153" s="685"/>
      <c r="O1153" s="683"/>
      <c r="P1153" s="683"/>
      <c r="Q1153" s="683"/>
      <c r="R1153" s="683"/>
      <c r="S1153" s="683"/>
      <c r="T1153" s="683"/>
      <c r="U1153" s="683"/>
      <c r="V1153" s="683"/>
      <c r="W1153" s="683"/>
      <c r="X1153" s="683"/>
      <c r="Y1153" s="683"/>
      <c r="Z1153" s="683"/>
    </row>
    <row r="1154" spans="1:26" ht="15.75" customHeight="1" x14ac:dyDescent="0.25">
      <c r="A1154" s="683" t="s">
        <v>2698</v>
      </c>
      <c r="B1154" s="3" t="s">
        <v>2697</v>
      </c>
      <c r="C1154" s="683"/>
      <c r="D1154" s="683"/>
      <c r="E1154" s="683"/>
      <c r="F1154" s="683"/>
      <c r="G1154" s="683"/>
      <c r="H1154" s="711"/>
      <c r="I1154" s="683"/>
      <c r="J1154" s="683"/>
      <c r="K1154" s="683"/>
      <c r="L1154" s="683"/>
      <c r="M1154" s="683"/>
      <c r="N1154" s="685"/>
      <c r="O1154" s="683"/>
      <c r="P1154" s="683"/>
      <c r="Q1154" s="683"/>
      <c r="R1154" s="683"/>
      <c r="S1154" s="683"/>
      <c r="T1154" s="683"/>
      <c r="U1154" s="683"/>
      <c r="V1154" s="683"/>
      <c r="W1154" s="683"/>
      <c r="X1154" s="683"/>
      <c r="Y1154" s="683"/>
      <c r="Z1154" s="683"/>
    </row>
    <row r="1155" spans="1:26" ht="15.75" customHeight="1" x14ac:dyDescent="0.25">
      <c r="A1155" s="683" t="s">
        <v>2699</v>
      </c>
      <c r="B1155" s="3" t="s">
        <v>2697</v>
      </c>
      <c r="C1155" s="683"/>
      <c r="D1155" s="683"/>
      <c r="E1155" s="683"/>
      <c r="F1155" s="683"/>
      <c r="G1155" s="683"/>
      <c r="H1155" s="711"/>
      <c r="I1155" s="683"/>
      <c r="J1155" s="683"/>
      <c r="K1155" s="683"/>
      <c r="L1155" s="683"/>
      <c r="M1155" s="683"/>
      <c r="N1155" s="685"/>
      <c r="O1155" s="683"/>
      <c r="P1155" s="683"/>
      <c r="Q1155" s="683"/>
      <c r="R1155" s="683"/>
      <c r="S1155" s="683"/>
      <c r="T1155" s="683"/>
      <c r="U1155" s="683"/>
      <c r="V1155" s="683"/>
      <c r="W1155" s="683"/>
      <c r="X1155" s="683"/>
      <c r="Y1155" s="683"/>
      <c r="Z1155" s="683"/>
    </row>
    <row r="1156" spans="1:26" ht="15.75" customHeight="1" x14ac:dyDescent="0.25">
      <c r="A1156" s="3" t="s">
        <v>2700</v>
      </c>
      <c r="B1156" s="3" t="s">
        <v>2697</v>
      </c>
      <c r="C1156" s="683"/>
      <c r="D1156" s="683"/>
      <c r="E1156" s="683"/>
      <c r="F1156" s="683"/>
      <c r="G1156" s="683"/>
      <c r="H1156" s="711"/>
      <c r="I1156" s="683"/>
      <c r="J1156" s="683"/>
      <c r="K1156" s="683"/>
      <c r="L1156" s="683"/>
      <c r="M1156" s="683"/>
      <c r="N1156" s="685"/>
      <c r="O1156" s="683"/>
      <c r="P1156" s="683"/>
      <c r="Q1156" s="683"/>
      <c r="R1156" s="683"/>
      <c r="S1156" s="683"/>
      <c r="T1156" s="683"/>
      <c r="U1156" s="683"/>
      <c r="V1156" s="683"/>
      <c r="W1156" s="683"/>
      <c r="X1156" s="683"/>
      <c r="Y1156" s="683"/>
      <c r="Z1156" s="683"/>
    </row>
    <row r="1157" spans="1:26" ht="15.75" customHeight="1" x14ac:dyDescent="0.25">
      <c r="A1157" s="3" t="s">
        <v>2701</v>
      </c>
      <c r="B1157" s="3" t="s">
        <v>2697</v>
      </c>
      <c r="C1157" s="683"/>
      <c r="D1157" s="683"/>
      <c r="E1157" s="683"/>
      <c r="F1157" s="683"/>
      <c r="G1157" s="683"/>
      <c r="H1157" s="711"/>
      <c r="I1157" s="683"/>
      <c r="J1157" s="683"/>
      <c r="K1157" s="683"/>
      <c r="L1157" s="683"/>
      <c r="M1157" s="683"/>
      <c r="N1157" s="685"/>
      <c r="O1157" s="683"/>
      <c r="P1157" s="683"/>
      <c r="Q1157" s="683"/>
      <c r="R1157" s="683"/>
      <c r="S1157" s="683"/>
      <c r="T1157" s="683"/>
      <c r="U1157" s="683"/>
      <c r="V1157" s="683"/>
      <c r="W1157" s="683"/>
      <c r="X1157" s="683"/>
      <c r="Y1157" s="683"/>
      <c r="Z1157" s="683"/>
    </row>
    <row r="1158" spans="1:26" ht="15.75" customHeight="1" x14ac:dyDescent="0.25">
      <c r="A1158" s="3" t="s">
        <v>217</v>
      </c>
      <c r="B1158" s="3" t="s">
        <v>2697</v>
      </c>
      <c r="C1158" s="683"/>
      <c r="D1158" s="683"/>
      <c r="E1158" s="683"/>
      <c r="F1158" s="683"/>
      <c r="G1158" s="683"/>
      <c r="H1158" s="711"/>
      <c r="I1158" s="683"/>
      <c r="J1158" s="683"/>
      <c r="K1158" s="683"/>
      <c r="L1158" s="683"/>
      <c r="M1158" s="683"/>
      <c r="N1158" s="685"/>
      <c r="O1158" s="683"/>
      <c r="P1158" s="683"/>
      <c r="Q1158" s="683"/>
      <c r="R1158" s="683"/>
      <c r="S1158" s="683"/>
      <c r="T1158" s="683"/>
      <c r="U1158" s="683"/>
      <c r="V1158" s="683"/>
      <c r="W1158" s="683"/>
      <c r="X1158" s="683"/>
      <c r="Y1158" s="683"/>
      <c r="Z1158" s="683"/>
    </row>
    <row r="1159" spans="1:26" ht="15.75" customHeight="1" x14ac:dyDescent="0.25">
      <c r="A1159" s="3" t="s">
        <v>2702</v>
      </c>
      <c r="B1159" s="3" t="s">
        <v>2697</v>
      </c>
      <c r="C1159" s="683"/>
      <c r="D1159" s="683"/>
      <c r="E1159" s="683"/>
      <c r="F1159" s="683"/>
      <c r="G1159" s="683"/>
      <c r="H1159" s="711"/>
      <c r="I1159" s="683"/>
      <c r="J1159" s="683"/>
      <c r="K1159" s="683"/>
      <c r="L1159" s="683"/>
      <c r="M1159" s="683"/>
      <c r="N1159" s="685"/>
      <c r="O1159" s="683"/>
      <c r="P1159" s="683"/>
      <c r="Q1159" s="683"/>
      <c r="R1159" s="683"/>
      <c r="S1159" s="683"/>
      <c r="T1159" s="683"/>
      <c r="U1159" s="683"/>
      <c r="V1159" s="683"/>
      <c r="W1159" s="683"/>
      <c r="X1159" s="683"/>
      <c r="Y1159" s="683"/>
      <c r="Z1159" s="683"/>
    </row>
    <row r="1160" spans="1:26" ht="15.75" customHeight="1" x14ac:dyDescent="0.25">
      <c r="A1160" s="3" t="s">
        <v>2703</v>
      </c>
      <c r="B1160" s="3" t="s">
        <v>2697</v>
      </c>
      <c r="C1160" s="683"/>
      <c r="D1160" s="683"/>
      <c r="E1160" s="683"/>
      <c r="F1160" s="683"/>
      <c r="G1160" s="683"/>
      <c r="H1160" s="711"/>
      <c r="I1160" s="683"/>
      <c r="J1160" s="683"/>
      <c r="K1160" s="683"/>
      <c r="L1160" s="683"/>
      <c r="M1160" s="683"/>
      <c r="N1160" s="685"/>
      <c r="O1160" s="683"/>
      <c r="P1160" s="683"/>
      <c r="Q1160" s="683"/>
      <c r="R1160" s="683"/>
      <c r="S1160" s="683"/>
      <c r="T1160" s="683"/>
      <c r="U1160" s="683"/>
      <c r="V1160" s="683"/>
      <c r="W1160" s="683"/>
      <c r="X1160" s="683"/>
      <c r="Y1160" s="683"/>
      <c r="Z1160" s="683"/>
    </row>
    <row r="1161" spans="1:26" ht="15.75" customHeight="1" x14ac:dyDescent="0.25">
      <c r="A1161" s="3" t="s">
        <v>437</v>
      </c>
      <c r="B1161" s="3" t="s">
        <v>2697</v>
      </c>
      <c r="C1161" s="683"/>
      <c r="D1161" s="683"/>
      <c r="E1161" s="683"/>
      <c r="F1161" s="683"/>
      <c r="G1161" s="683"/>
      <c r="H1161" s="711"/>
      <c r="I1161" s="683"/>
      <c r="J1161" s="683"/>
      <c r="K1161" s="683"/>
      <c r="L1161" s="683"/>
      <c r="M1161" s="683"/>
      <c r="N1161" s="685"/>
      <c r="O1161" s="683"/>
      <c r="P1161" s="683"/>
      <c r="Q1161" s="683"/>
      <c r="R1161" s="683"/>
      <c r="S1161" s="683"/>
      <c r="T1161" s="683"/>
      <c r="U1161" s="683"/>
      <c r="V1161" s="683"/>
      <c r="W1161" s="683"/>
      <c r="X1161" s="683"/>
      <c r="Y1161" s="683"/>
      <c r="Z1161" s="683"/>
    </row>
    <row r="1162" spans="1:26" ht="15.75" customHeight="1" x14ac:dyDescent="0.25">
      <c r="A1162" s="3" t="s">
        <v>2704</v>
      </c>
      <c r="B1162" s="3" t="s">
        <v>2697</v>
      </c>
      <c r="C1162" s="683"/>
      <c r="D1162" s="683"/>
      <c r="E1162" s="683"/>
      <c r="F1162" s="683"/>
      <c r="G1162" s="683"/>
      <c r="H1162" s="711"/>
      <c r="I1162" s="683"/>
      <c r="J1162" s="683"/>
      <c r="K1162" s="683"/>
      <c r="L1162" s="683"/>
      <c r="M1162" s="683"/>
      <c r="N1162" s="685"/>
      <c r="O1162" s="683"/>
      <c r="P1162" s="683"/>
      <c r="Q1162" s="683"/>
      <c r="R1162" s="683"/>
      <c r="S1162" s="683"/>
      <c r="T1162" s="683"/>
      <c r="U1162" s="683"/>
      <c r="V1162" s="683"/>
      <c r="W1162" s="683"/>
      <c r="X1162" s="683"/>
      <c r="Y1162" s="683"/>
      <c r="Z1162" s="683"/>
    </row>
    <row r="1163" spans="1:26" ht="15.75" customHeight="1" x14ac:dyDescent="0.25">
      <c r="A1163" s="3" t="s">
        <v>495</v>
      </c>
      <c r="B1163" s="3" t="s">
        <v>2697</v>
      </c>
      <c r="C1163" s="683"/>
      <c r="D1163" s="683"/>
      <c r="E1163" s="683"/>
      <c r="F1163" s="683"/>
      <c r="G1163" s="683"/>
      <c r="H1163" s="711"/>
      <c r="I1163" s="683"/>
      <c r="J1163" s="683"/>
      <c r="K1163" s="683"/>
      <c r="L1163" s="683"/>
      <c r="M1163" s="683"/>
      <c r="N1163" s="685"/>
      <c r="O1163" s="683"/>
      <c r="P1163" s="683"/>
      <c r="Q1163" s="683"/>
      <c r="R1163" s="683"/>
      <c r="S1163" s="683"/>
      <c r="T1163" s="683"/>
      <c r="U1163" s="683"/>
      <c r="V1163" s="683"/>
      <c r="W1163" s="683"/>
      <c r="X1163" s="683"/>
      <c r="Y1163" s="683"/>
      <c r="Z1163" s="683"/>
    </row>
    <row r="1164" spans="1:26" ht="15.75" customHeight="1" x14ac:dyDescent="0.25">
      <c r="A1164" s="3" t="s">
        <v>2705</v>
      </c>
      <c r="B1164" s="3" t="s">
        <v>2706</v>
      </c>
      <c r="C1164" s="683"/>
      <c r="D1164" s="683"/>
      <c r="E1164" s="683"/>
      <c r="F1164" s="683"/>
      <c r="G1164" s="683"/>
      <c r="H1164" s="711"/>
      <c r="I1164" s="683"/>
      <c r="J1164" s="683"/>
      <c r="K1164" s="683"/>
      <c r="L1164" s="683"/>
      <c r="M1164" s="683"/>
      <c r="N1164" s="685"/>
      <c r="O1164" s="683"/>
      <c r="P1164" s="683"/>
      <c r="Q1164" s="683"/>
      <c r="R1164" s="683"/>
      <c r="S1164" s="683"/>
      <c r="T1164" s="683"/>
      <c r="U1164" s="683"/>
      <c r="V1164" s="683"/>
      <c r="W1164" s="683"/>
      <c r="X1164" s="683"/>
      <c r="Y1164" s="683"/>
      <c r="Z1164" s="683"/>
    </row>
    <row r="1165" spans="1:26" ht="15.75" customHeight="1" x14ac:dyDescent="0.25">
      <c r="A1165" s="3" t="s">
        <v>2707</v>
      </c>
      <c r="B1165" s="3" t="s">
        <v>2706</v>
      </c>
      <c r="C1165" s="683"/>
      <c r="D1165" s="683"/>
      <c r="E1165" s="683"/>
      <c r="F1165" s="683"/>
      <c r="G1165" s="683"/>
      <c r="H1165" s="711"/>
      <c r="I1165" s="683"/>
      <c r="J1165" s="683"/>
      <c r="K1165" s="683"/>
      <c r="L1165" s="683"/>
      <c r="M1165" s="683"/>
      <c r="N1165" s="685"/>
      <c r="O1165" s="683"/>
      <c r="P1165" s="683"/>
      <c r="Q1165" s="683"/>
      <c r="R1165" s="683"/>
      <c r="S1165" s="683"/>
      <c r="T1165" s="683"/>
      <c r="U1165" s="683"/>
      <c r="V1165" s="683"/>
      <c r="W1165" s="683"/>
      <c r="X1165" s="683"/>
      <c r="Y1165" s="683"/>
      <c r="Z1165" s="683"/>
    </row>
    <row r="1166" spans="1:26" ht="15.75" customHeight="1" x14ac:dyDescent="0.25">
      <c r="A1166" s="3" t="s">
        <v>1373</v>
      </c>
      <c r="B1166" s="3" t="s">
        <v>2706</v>
      </c>
      <c r="C1166" s="683"/>
      <c r="D1166" s="683"/>
      <c r="E1166" s="683"/>
      <c r="F1166" s="683"/>
      <c r="G1166" s="683"/>
      <c r="H1166" s="711"/>
      <c r="I1166" s="683"/>
      <c r="J1166" s="683"/>
      <c r="K1166" s="683"/>
      <c r="L1166" s="683"/>
      <c r="M1166" s="683"/>
      <c r="N1166" s="685"/>
      <c r="O1166" s="683"/>
      <c r="P1166" s="683"/>
      <c r="Q1166" s="683"/>
      <c r="R1166" s="683"/>
      <c r="S1166" s="683"/>
      <c r="T1166" s="683"/>
      <c r="U1166" s="683"/>
      <c r="V1166" s="683"/>
      <c r="W1166" s="683"/>
      <c r="X1166" s="683"/>
      <c r="Y1166" s="683"/>
      <c r="Z1166" s="683"/>
    </row>
    <row r="1167" spans="1:26" ht="15.75" customHeight="1" x14ac:dyDescent="0.25">
      <c r="A1167" s="3" t="s">
        <v>2708</v>
      </c>
      <c r="B1167" s="3" t="s">
        <v>2706</v>
      </c>
      <c r="C1167" s="683"/>
      <c r="D1167" s="683"/>
      <c r="E1167" s="683"/>
      <c r="F1167" s="683"/>
      <c r="G1167" s="683"/>
      <c r="H1167" s="711"/>
      <c r="I1167" s="683"/>
      <c r="J1167" s="683"/>
      <c r="K1167" s="683"/>
      <c r="L1167" s="683"/>
      <c r="M1167" s="683"/>
      <c r="N1167" s="685"/>
      <c r="O1167" s="683"/>
      <c r="P1167" s="683"/>
      <c r="Q1167" s="683"/>
      <c r="R1167" s="683"/>
      <c r="S1167" s="683"/>
      <c r="T1167" s="683"/>
      <c r="U1167" s="683"/>
      <c r="V1167" s="683"/>
      <c r="W1167" s="683"/>
      <c r="X1167" s="683"/>
      <c r="Y1167" s="683"/>
      <c r="Z1167" s="683"/>
    </row>
    <row r="1168" spans="1:26" ht="15.75" customHeight="1" x14ac:dyDescent="0.25">
      <c r="A1168" s="3" t="s">
        <v>2709</v>
      </c>
      <c r="B1168" s="3" t="s">
        <v>2706</v>
      </c>
      <c r="C1168" s="683"/>
      <c r="D1168" s="683"/>
      <c r="E1168" s="683"/>
      <c r="F1168" s="683"/>
      <c r="G1168" s="683"/>
      <c r="H1168" s="711"/>
      <c r="I1168" s="683"/>
      <c r="J1168" s="683"/>
      <c r="K1168" s="683"/>
      <c r="L1168" s="683"/>
      <c r="M1168" s="683"/>
      <c r="N1168" s="685"/>
      <c r="O1168" s="683"/>
      <c r="P1168" s="683"/>
      <c r="Q1168" s="683"/>
      <c r="R1168" s="683"/>
      <c r="S1168" s="683"/>
      <c r="T1168" s="683"/>
      <c r="U1168" s="683"/>
      <c r="V1168" s="683"/>
      <c r="W1168" s="683"/>
      <c r="X1168" s="683"/>
      <c r="Y1168" s="683"/>
      <c r="Z1168" s="683"/>
    </row>
    <row r="1169" spans="1:26" ht="15.75" customHeight="1" x14ac:dyDescent="0.25">
      <c r="A1169" s="3" t="s">
        <v>2710</v>
      </c>
      <c r="B1169" s="3" t="s">
        <v>2706</v>
      </c>
      <c r="C1169" s="683"/>
      <c r="D1169" s="683"/>
      <c r="E1169" s="683"/>
      <c r="F1169" s="683"/>
      <c r="G1169" s="683"/>
      <c r="H1169" s="711"/>
      <c r="I1169" s="683"/>
      <c r="J1169" s="683"/>
      <c r="K1169" s="683"/>
      <c r="L1169" s="683"/>
      <c r="M1169" s="683"/>
      <c r="N1169" s="685"/>
      <c r="O1169" s="683"/>
      <c r="P1169" s="683"/>
      <c r="Q1169" s="683"/>
      <c r="R1169" s="683"/>
      <c r="S1169" s="683"/>
      <c r="T1169" s="683"/>
      <c r="U1169" s="683"/>
      <c r="V1169" s="683"/>
      <c r="W1169" s="683"/>
      <c r="X1169" s="683"/>
      <c r="Y1169" s="683"/>
      <c r="Z1169" s="683"/>
    </row>
    <row r="1170" spans="1:26" ht="15.75" customHeight="1" x14ac:dyDescent="0.25">
      <c r="A1170" s="683" t="s">
        <v>2711</v>
      </c>
      <c r="B1170" s="3" t="s">
        <v>2706</v>
      </c>
      <c r="C1170" s="683"/>
      <c r="D1170" s="683"/>
      <c r="E1170" s="683"/>
      <c r="F1170" s="683"/>
      <c r="G1170" s="683"/>
      <c r="H1170" s="711"/>
      <c r="I1170" s="683"/>
      <c r="J1170" s="683"/>
      <c r="K1170" s="683"/>
      <c r="L1170" s="683"/>
      <c r="M1170" s="683"/>
      <c r="N1170" s="685"/>
      <c r="O1170" s="683"/>
      <c r="P1170" s="683"/>
      <c r="Q1170" s="683"/>
      <c r="R1170" s="683"/>
      <c r="S1170" s="683"/>
      <c r="T1170" s="683"/>
      <c r="U1170" s="683"/>
      <c r="V1170" s="683"/>
      <c r="W1170" s="683"/>
      <c r="X1170" s="683"/>
      <c r="Y1170" s="683"/>
      <c r="Z1170" s="683"/>
    </row>
    <row r="1171" spans="1:26" ht="15.75" customHeight="1" x14ac:dyDescent="0.25">
      <c r="A1171" s="683" t="s">
        <v>2712</v>
      </c>
      <c r="B1171" s="3" t="s">
        <v>2706</v>
      </c>
      <c r="C1171" s="683"/>
      <c r="D1171" s="683"/>
      <c r="E1171" s="683"/>
      <c r="F1171" s="683"/>
      <c r="G1171" s="683"/>
      <c r="H1171" s="711"/>
      <c r="I1171" s="683"/>
      <c r="J1171" s="683"/>
      <c r="K1171" s="683"/>
      <c r="L1171" s="683"/>
      <c r="M1171" s="683"/>
      <c r="N1171" s="685"/>
      <c r="O1171" s="683"/>
      <c r="P1171" s="683"/>
      <c r="Q1171" s="683"/>
      <c r="R1171" s="683"/>
      <c r="S1171" s="683"/>
      <c r="T1171" s="683"/>
      <c r="U1171" s="683"/>
      <c r="V1171" s="683"/>
      <c r="W1171" s="683"/>
      <c r="X1171" s="683"/>
      <c r="Y1171" s="683"/>
      <c r="Z1171" s="683"/>
    </row>
    <row r="1172" spans="1:26" ht="15.75" customHeight="1" x14ac:dyDescent="0.25">
      <c r="A1172" s="3" t="s">
        <v>2713</v>
      </c>
      <c r="B1172" s="3" t="s">
        <v>2706</v>
      </c>
      <c r="C1172" s="683"/>
      <c r="D1172" s="683"/>
      <c r="E1172" s="683"/>
      <c r="F1172" s="683"/>
      <c r="G1172" s="683"/>
      <c r="H1172" s="711"/>
      <c r="I1172" s="683"/>
      <c r="J1172" s="683"/>
      <c r="K1172" s="683"/>
      <c r="L1172" s="683"/>
      <c r="M1172" s="683"/>
      <c r="N1172" s="685"/>
      <c r="O1172" s="683"/>
      <c r="P1172" s="683"/>
      <c r="Q1172" s="683"/>
      <c r="R1172" s="683"/>
      <c r="S1172" s="683"/>
      <c r="T1172" s="683"/>
      <c r="U1172" s="683"/>
      <c r="V1172" s="683"/>
      <c r="W1172" s="683"/>
      <c r="X1172" s="683"/>
      <c r="Y1172" s="683"/>
      <c r="Z1172" s="683"/>
    </row>
    <row r="1173" spans="1:26" ht="15.75" customHeight="1" x14ac:dyDescent="0.25">
      <c r="A1173" s="683" t="s">
        <v>2714</v>
      </c>
      <c r="B1173" s="3" t="s">
        <v>2706</v>
      </c>
      <c r="C1173" s="683"/>
      <c r="D1173" s="683"/>
      <c r="E1173" s="683"/>
      <c r="F1173" s="683"/>
      <c r="G1173" s="683"/>
      <c r="H1173" s="711"/>
      <c r="I1173" s="683"/>
      <c r="J1173" s="683"/>
      <c r="K1173" s="683"/>
      <c r="L1173" s="683"/>
      <c r="M1173" s="683"/>
      <c r="N1173" s="685"/>
      <c r="O1173" s="683"/>
      <c r="P1173" s="683"/>
      <c r="Q1173" s="683"/>
      <c r="R1173" s="683"/>
      <c r="S1173" s="683"/>
      <c r="T1173" s="683"/>
      <c r="U1173" s="683"/>
      <c r="V1173" s="683"/>
      <c r="W1173" s="683"/>
      <c r="X1173" s="683"/>
      <c r="Y1173" s="683"/>
      <c r="Z1173" s="683"/>
    </row>
    <row r="1174" spans="1:26" ht="15.75" customHeight="1" x14ac:dyDescent="0.25">
      <c r="A1174" s="683" t="s">
        <v>2715</v>
      </c>
      <c r="B1174" s="3" t="s">
        <v>2706</v>
      </c>
      <c r="C1174" s="683"/>
      <c r="D1174" s="683"/>
      <c r="E1174" s="683"/>
      <c r="F1174" s="683"/>
      <c r="G1174" s="683"/>
      <c r="H1174" s="711"/>
      <c r="I1174" s="683"/>
      <c r="J1174" s="683"/>
      <c r="K1174" s="683"/>
      <c r="L1174" s="683"/>
      <c r="M1174" s="683"/>
      <c r="N1174" s="685"/>
      <c r="O1174" s="683"/>
      <c r="P1174" s="683"/>
      <c r="Q1174" s="683"/>
      <c r="R1174" s="683"/>
      <c r="S1174" s="683"/>
      <c r="T1174" s="683"/>
      <c r="U1174" s="683"/>
      <c r="V1174" s="683"/>
      <c r="W1174" s="683"/>
      <c r="X1174" s="683"/>
      <c r="Y1174" s="683"/>
      <c r="Z1174" s="683"/>
    </row>
    <row r="1175" spans="1:26" ht="15.75" customHeight="1" x14ac:dyDescent="0.25">
      <c r="A1175" s="683" t="s">
        <v>2716</v>
      </c>
      <c r="B1175" s="3" t="s">
        <v>2706</v>
      </c>
      <c r="C1175" s="683"/>
      <c r="D1175" s="683"/>
      <c r="E1175" s="683"/>
      <c r="F1175" s="683"/>
      <c r="G1175" s="683"/>
      <c r="H1175" s="711"/>
      <c r="I1175" s="683"/>
      <c r="J1175" s="683"/>
      <c r="K1175" s="683"/>
      <c r="L1175" s="683"/>
      <c r="M1175" s="683"/>
      <c r="N1175" s="685"/>
      <c r="O1175" s="683"/>
      <c r="P1175" s="683"/>
      <c r="Q1175" s="683"/>
      <c r="R1175" s="683"/>
      <c r="S1175" s="683"/>
      <c r="T1175" s="683"/>
      <c r="U1175" s="683"/>
      <c r="V1175" s="683"/>
      <c r="W1175" s="683"/>
      <c r="X1175" s="683"/>
      <c r="Y1175" s="683"/>
      <c r="Z1175" s="683"/>
    </row>
    <row r="1176" spans="1:26" ht="15.75" customHeight="1" x14ac:dyDescent="0.25">
      <c r="A1176" s="683" t="s">
        <v>1755</v>
      </c>
      <c r="B1176" s="3" t="s">
        <v>2706</v>
      </c>
      <c r="C1176" s="683"/>
      <c r="D1176" s="683"/>
      <c r="E1176" s="683"/>
      <c r="F1176" s="683"/>
      <c r="G1176" s="683"/>
      <c r="H1176" s="711"/>
      <c r="I1176" s="683"/>
      <c r="J1176" s="683"/>
      <c r="K1176" s="683"/>
      <c r="L1176" s="683"/>
      <c r="M1176" s="683"/>
      <c r="N1176" s="685"/>
      <c r="O1176" s="683"/>
      <c r="P1176" s="683"/>
      <c r="Q1176" s="683"/>
      <c r="R1176" s="683"/>
      <c r="S1176" s="683"/>
      <c r="T1176" s="683"/>
      <c r="U1176" s="683"/>
      <c r="V1176" s="683"/>
      <c r="W1176" s="683"/>
      <c r="X1176" s="683"/>
      <c r="Y1176" s="683"/>
      <c r="Z1176" s="683"/>
    </row>
    <row r="1177" spans="1:26" ht="15.75" customHeight="1" x14ac:dyDescent="0.25">
      <c r="A1177" s="683" t="s">
        <v>2717</v>
      </c>
      <c r="B1177" s="3" t="s">
        <v>2718</v>
      </c>
      <c r="C1177" s="683"/>
      <c r="D1177" s="683"/>
      <c r="E1177" s="683"/>
      <c r="F1177" s="683"/>
      <c r="G1177" s="683"/>
      <c r="H1177" s="711"/>
      <c r="I1177" s="683"/>
      <c r="J1177" s="683"/>
      <c r="K1177" s="683"/>
      <c r="L1177" s="683"/>
      <c r="M1177" s="683"/>
      <c r="N1177" s="685"/>
      <c r="O1177" s="683"/>
      <c r="P1177" s="683"/>
      <c r="Q1177" s="683"/>
      <c r="R1177" s="683"/>
      <c r="S1177" s="683"/>
      <c r="T1177" s="683"/>
      <c r="U1177" s="683"/>
      <c r="V1177" s="683"/>
      <c r="W1177" s="683"/>
      <c r="X1177" s="683"/>
      <c r="Y1177" s="683"/>
      <c r="Z1177" s="683"/>
    </row>
    <row r="1178" spans="1:26" ht="15.75" customHeight="1" x14ac:dyDescent="0.25">
      <c r="A1178" s="683" t="s">
        <v>299</v>
      </c>
      <c r="B1178" s="3" t="s">
        <v>2718</v>
      </c>
      <c r="C1178" s="683"/>
      <c r="D1178" s="683"/>
      <c r="E1178" s="683"/>
      <c r="F1178" s="683"/>
      <c r="G1178" s="683"/>
      <c r="H1178" s="711"/>
      <c r="I1178" s="683"/>
      <c r="J1178" s="683"/>
      <c r="K1178" s="683"/>
      <c r="L1178" s="683"/>
      <c r="M1178" s="683"/>
      <c r="N1178" s="685"/>
      <c r="O1178" s="683"/>
      <c r="P1178" s="683"/>
      <c r="Q1178" s="683"/>
      <c r="R1178" s="683"/>
      <c r="S1178" s="683"/>
      <c r="T1178" s="683"/>
      <c r="U1178" s="683"/>
      <c r="V1178" s="683"/>
      <c r="W1178" s="683"/>
      <c r="X1178" s="683"/>
      <c r="Y1178" s="683"/>
      <c r="Z1178" s="683"/>
    </row>
    <row r="1179" spans="1:26" ht="15.75" customHeight="1" x14ac:dyDescent="0.25">
      <c r="A1179" s="683" t="s">
        <v>1786</v>
      </c>
      <c r="B1179" s="3" t="s">
        <v>2718</v>
      </c>
      <c r="C1179" s="683"/>
      <c r="D1179" s="683"/>
      <c r="E1179" s="683"/>
      <c r="F1179" s="683"/>
      <c r="G1179" s="683"/>
      <c r="H1179" s="711"/>
      <c r="I1179" s="683"/>
      <c r="J1179" s="683"/>
      <c r="K1179" s="683"/>
      <c r="L1179" s="683"/>
      <c r="M1179" s="683"/>
      <c r="N1179" s="685"/>
      <c r="O1179" s="683"/>
      <c r="P1179" s="683"/>
      <c r="Q1179" s="683"/>
      <c r="R1179" s="683"/>
      <c r="S1179" s="683"/>
      <c r="T1179" s="683"/>
      <c r="U1179" s="683"/>
      <c r="V1179" s="683"/>
      <c r="W1179" s="683"/>
      <c r="X1179" s="683"/>
      <c r="Y1179" s="683"/>
      <c r="Z1179" s="683"/>
    </row>
    <row r="1180" spans="1:26" ht="15.75" customHeight="1" x14ac:dyDescent="0.25">
      <c r="A1180" s="683" t="s">
        <v>2719</v>
      </c>
      <c r="B1180" s="3" t="s">
        <v>2718</v>
      </c>
      <c r="C1180" s="683"/>
      <c r="D1180" s="683"/>
      <c r="E1180" s="683"/>
      <c r="F1180" s="683"/>
      <c r="G1180" s="683"/>
      <c r="H1180" s="711"/>
      <c r="I1180" s="683"/>
      <c r="J1180" s="683"/>
      <c r="K1180" s="683"/>
      <c r="L1180" s="683"/>
      <c r="M1180" s="683"/>
      <c r="N1180" s="685"/>
      <c r="O1180" s="683"/>
      <c r="P1180" s="683"/>
      <c r="Q1180" s="683"/>
      <c r="R1180" s="683"/>
      <c r="S1180" s="683"/>
      <c r="T1180" s="683"/>
      <c r="U1180" s="683"/>
      <c r="V1180" s="683"/>
      <c r="W1180" s="683"/>
      <c r="X1180" s="683"/>
      <c r="Y1180" s="683"/>
      <c r="Z1180" s="683"/>
    </row>
    <row r="1181" spans="1:26" ht="15.75" customHeight="1" x14ac:dyDescent="0.25">
      <c r="A1181" s="683" t="s">
        <v>2720</v>
      </c>
      <c r="B1181" s="3" t="s">
        <v>2718</v>
      </c>
      <c r="C1181" s="683"/>
      <c r="D1181" s="683"/>
      <c r="E1181" s="683"/>
      <c r="F1181" s="683"/>
      <c r="G1181" s="683"/>
      <c r="H1181" s="711"/>
      <c r="I1181" s="683"/>
      <c r="J1181" s="683"/>
      <c r="K1181" s="683"/>
      <c r="L1181" s="683"/>
      <c r="M1181" s="683"/>
      <c r="N1181" s="685"/>
      <c r="O1181" s="683"/>
      <c r="P1181" s="683"/>
      <c r="Q1181" s="683"/>
      <c r="R1181" s="683"/>
      <c r="S1181" s="683"/>
      <c r="T1181" s="683"/>
      <c r="U1181" s="683"/>
      <c r="V1181" s="683"/>
      <c r="W1181" s="683"/>
      <c r="X1181" s="683"/>
      <c r="Y1181" s="683"/>
      <c r="Z1181" s="683"/>
    </row>
    <row r="1182" spans="1:26" ht="15.75" customHeight="1" x14ac:dyDescent="0.25">
      <c r="A1182" s="3" t="s">
        <v>860</v>
      </c>
      <c r="B1182" s="3" t="s">
        <v>2718</v>
      </c>
      <c r="C1182" s="683"/>
      <c r="D1182" s="683"/>
      <c r="E1182" s="683"/>
      <c r="F1182" s="683"/>
      <c r="G1182" s="683"/>
      <c r="H1182" s="711"/>
      <c r="I1182" s="683"/>
      <c r="J1182" s="683"/>
      <c r="K1182" s="683"/>
      <c r="L1182" s="683"/>
      <c r="M1182" s="683"/>
      <c r="N1182" s="685"/>
      <c r="O1182" s="683"/>
      <c r="P1182" s="683"/>
      <c r="Q1182" s="683"/>
      <c r="R1182" s="683"/>
      <c r="S1182" s="683"/>
      <c r="T1182" s="683"/>
      <c r="U1182" s="683"/>
      <c r="V1182" s="683"/>
      <c r="W1182" s="683"/>
      <c r="X1182" s="683"/>
      <c r="Y1182" s="683"/>
      <c r="Z1182" s="683"/>
    </row>
    <row r="1183" spans="1:26" ht="15.75" customHeight="1" x14ac:dyDescent="0.25">
      <c r="A1183" s="3" t="s">
        <v>2721</v>
      </c>
      <c r="B1183" s="3" t="s">
        <v>2718</v>
      </c>
      <c r="C1183" s="683"/>
      <c r="D1183" s="683"/>
      <c r="E1183" s="683"/>
      <c r="F1183" s="683"/>
      <c r="G1183" s="683"/>
      <c r="H1183" s="711"/>
      <c r="I1183" s="683"/>
      <c r="J1183" s="683"/>
      <c r="K1183" s="683"/>
      <c r="L1183" s="683"/>
      <c r="M1183" s="683"/>
      <c r="N1183" s="685"/>
      <c r="O1183" s="683"/>
      <c r="P1183" s="683"/>
      <c r="Q1183" s="683"/>
      <c r="R1183" s="683"/>
      <c r="S1183" s="683"/>
      <c r="T1183" s="683"/>
      <c r="U1183" s="683"/>
      <c r="V1183" s="683"/>
      <c r="W1183" s="683"/>
      <c r="X1183" s="683"/>
      <c r="Y1183" s="683"/>
      <c r="Z1183" s="683"/>
    </row>
    <row r="1184" spans="1:26" ht="15.75" customHeight="1" x14ac:dyDescent="0.25">
      <c r="A1184" s="3" t="s">
        <v>2722</v>
      </c>
      <c r="B1184" s="3" t="s">
        <v>2718</v>
      </c>
      <c r="C1184" s="683"/>
      <c r="D1184" s="683"/>
      <c r="E1184" s="683"/>
      <c r="F1184" s="683"/>
      <c r="G1184" s="683"/>
      <c r="H1184" s="711"/>
      <c r="I1184" s="683"/>
      <c r="J1184" s="683"/>
      <c r="K1184" s="683"/>
      <c r="L1184" s="683"/>
      <c r="M1184" s="683"/>
      <c r="N1184" s="685"/>
      <c r="O1184" s="683"/>
      <c r="P1184" s="683"/>
      <c r="Q1184" s="683"/>
      <c r="R1184" s="683"/>
      <c r="S1184" s="683"/>
      <c r="T1184" s="683"/>
      <c r="U1184" s="683"/>
      <c r="V1184" s="683"/>
      <c r="W1184" s="683"/>
      <c r="X1184" s="683"/>
      <c r="Y1184" s="683"/>
      <c r="Z1184" s="683"/>
    </row>
    <row r="1185" spans="1:26" ht="15.75" customHeight="1" x14ac:dyDescent="0.25">
      <c r="A1185" s="3" t="s">
        <v>2723</v>
      </c>
      <c r="B1185" s="3" t="s">
        <v>2718</v>
      </c>
      <c r="C1185" s="683"/>
      <c r="D1185" s="683"/>
      <c r="E1185" s="683"/>
      <c r="F1185" s="683"/>
      <c r="G1185" s="683"/>
      <c r="H1185" s="711"/>
      <c r="I1185" s="683"/>
      <c r="J1185" s="683"/>
      <c r="K1185" s="683"/>
      <c r="L1185" s="683"/>
      <c r="M1185" s="683"/>
      <c r="N1185" s="685"/>
      <c r="O1185" s="683"/>
      <c r="P1185" s="683"/>
      <c r="Q1185" s="683"/>
      <c r="R1185" s="683"/>
      <c r="S1185" s="683"/>
      <c r="T1185" s="683"/>
      <c r="U1185" s="683"/>
      <c r="V1185" s="683"/>
      <c r="W1185" s="683"/>
      <c r="X1185" s="683"/>
      <c r="Y1185" s="683"/>
      <c r="Z1185" s="683"/>
    </row>
    <row r="1186" spans="1:26" ht="15.75" customHeight="1" x14ac:dyDescent="0.25">
      <c r="A1186" s="3" t="s">
        <v>2724</v>
      </c>
      <c r="B1186" s="683" t="s">
        <v>2725</v>
      </c>
      <c r="C1186" s="683"/>
      <c r="D1186" s="683"/>
      <c r="E1186" s="683"/>
      <c r="F1186" s="683"/>
      <c r="G1186" s="683"/>
      <c r="H1186" s="711"/>
      <c r="I1186" s="683"/>
      <c r="J1186" s="683"/>
      <c r="K1186" s="683"/>
      <c r="L1186" s="683"/>
      <c r="M1186" s="683"/>
      <c r="N1186" s="685"/>
      <c r="O1186" s="683"/>
      <c r="P1186" s="683"/>
      <c r="Q1186" s="683"/>
      <c r="R1186" s="683"/>
      <c r="S1186" s="683"/>
      <c r="T1186" s="683"/>
      <c r="U1186" s="683"/>
      <c r="V1186" s="683"/>
      <c r="W1186" s="683"/>
      <c r="X1186" s="683"/>
      <c r="Y1186" s="683"/>
      <c r="Z1186" s="683"/>
    </row>
    <row r="1187" spans="1:26" ht="15.75" customHeight="1" x14ac:dyDescent="0.25">
      <c r="A1187" s="3" t="s">
        <v>2726</v>
      </c>
      <c r="B1187" s="683" t="s">
        <v>2725</v>
      </c>
      <c r="C1187" s="683"/>
      <c r="D1187" s="683"/>
      <c r="E1187" s="683"/>
      <c r="F1187" s="683"/>
      <c r="G1187" s="683"/>
      <c r="H1187" s="711"/>
      <c r="I1187" s="683"/>
      <c r="J1187" s="683"/>
      <c r="K1187" s="683"/>
      <c r="L1187" s="683"/>
      <c r="M1187" s="683"/>
      <c r="N1187" s="685"/>
      <c r="O1187" s="683"/>
      <c r="P1187" s="683"/>
      <c r="Q1187" s="683"/>
      <c r="R1187" s="683"/>
      <c r="S1187" s="683"/>
      <c r="T1187" s="683"/>
      <c r="U1187" s="683"/>
      <c r="V1187" s="683"/>
      <c r="W1187" s="683"/>
      <c r="X1187" s="683"/>
      <c r="Y1187" s="683"/>
      <c r="Z1187" s="683"/>
    </row>
    <row r="1188" spans="1:26" ht="15.75" customHeight="1" x14ac:dyDescent="0.25">
      <c r="A1188" s="3" t="s">
        <v>2727</v>
      </c>
      <c r="B1188" s="683" t="s">
        <v>2725</v>
      </c>
      <c r="C1188" s="683"/>
      <c r="D1188" s="683"/>
      <c r="E1188" s="683"/>
      <c r="F1188" s="683"/>
      <c r="G1188" s="683"/>
      <c r="H1188" s="711"/>
      <c r="I1188" s="683"/>
      <c r="J1188" s="683"/>
      <c r="K1188" s="683"/>
      <c r="L1188" s="683"/>
      <c r="M1188" s="683"/>
      <c r="N1188" s="685"/>
      <c r="O1188" s="683"/>
      <c r="P1188" s="683"/>
      <c r="Q1188" s="683"/>
      <c r="R1188" s="683"/>
      <c r="S1188" s="683"/>
      <c r="T1188" s="683"/>
      <c r="U1188" s="683"/>
      <c r="V1188" s="683"/>
      <c r="W1188" s="683"/>
      <c r="X1188" s="683"/>
      <c r="Y1188" s="683"/>
      <c r="Z1188" s="683"/>
    </row>
    <row r="1189" spans="1:26" ht="15.75" customHeight="1" x14ac:dyDescent="0.25">
      <c r="A1189" s="3" t="s">
        <v>226</v>
      </c>
      <c r="B1189" s="683" t="s">
        <v>2728</v>
      </c>
      <c r="C1189" s="683"/>
      <c r="D1189" s="683"/>
      <c r="E1189" s="683"/>
      <c r="F1189" s="683"/>
      <c r="G1189" s="683"/>
      <c r="H1189" s="711"/>
      <c r="I1189" s="683"/>
      <c r="J1189" s="683"/>
      <c r="K1189" s="683"/>
      <c r="L1189" s="683"/>
      <c r="M1189" s="683"/>
      <c r="N1189" s="685"/>
      <c r="O1189" s="683"/>
      <c r="P1189" s="683"/>
      <c r="Q1189" s="683"/>
      <c r="R1189" s="683"/>
      <c r="S1189" s="683"/>
      <c r="T1189" s="683"/>
      <c r="U1189" s="683"/>
      <c r="V1189" s="683"/>
      <c r="W1189" s="683"/>
      <c r="X1189" s="683"/>
      <c r="Y1189" s="683"/>
      <c r="Z1189" s="683"/>
    </row>
    <row r="1190" spans="1:26" ht="15.75" customHeight="1" x14ac:dyDescent="0.25">
      <c r="A1190" s="19" t="s">
        <v>464</v>
      </c>
      <c r="B1190" s="683" t="s">
        <v>2728</v>
      </c>
      <c r="C1190" s="683"/>
      <c r="D1190" s="683"/>
      <c r="E1190" s="683"/>
      <c r="F1190" s="683"/>
      <c r="G1190" s="683"/>
      <c r="H1190" s="711"/>
      <c r="I1190" s="683"/>
      <c r="J1190" s="683"/>
      <c r="K1190" s="683"/>
      <c r="L1190" s="683"/>
      <c r="M1190" s="683"/>
      <c r="N1190" s="685"/>
      <c r="O1190" s="683"/>
      <c r="P1190" s="683"/>
      <c r="Q1190" s="683"/>
      <c r="R1190" s="683"/>
      <c r="S1190" s="683"/>
      <c r="T1190" s="683"/>
      <c r="U1190" s="683"/>
      <c r="V1190" s="683"/>
      <c r="W1190" s="683"/>
      <c r="X1190" s="683"/>
      <c r="Y1190" s="683"/>
      <c r="Z1190" s="683"/>
    </row>
    <row r="1191" spans="1:26" ht="15.75" customHeight="1" x14ac:dyDescent="0.25">
      <c r="A1191" s="3" t="s">
        <v>491</v>
      </c>
      <c r="B1191" s="683" t="s">
        <v>2728</v>
      </c>
      <c r="C1191" s="683"/>
      <c r="D1191" s="683"/>
      <c r="E1191" s="683"/>
      <c r="F1191" s="683"/>
      <c r="G1191" s="683"/>
      <c r="H1191" s="711"/>
      <c r="I1191" s="683"/>
      <c r="J1191" s="683"/>
      <c r="K1191" s="683"/>
      <c r="L1191" s="683"/>
      <c r="M1191" s="683"/>
      <c r="N1191" s="685"/>
      <c r="O1191" s="683"/>
      <c r="P1191" s="683"/>
      <c r="Q1191" s="683"/>
      <c r="R1191" s="683"/>
      <c r="S1191" s="683"/>
      <c r="T1191" s="683"/>
      <c r="U1191" s="683"/>
      <c r="V1191" s="683"/>
      <c r="W1191" s="683"/>
      <c r="X1191" s="683"/>
      <c r="Y1191" s="683"/>
      <c r="Z1191" s="683"/>
    </row>
    <row r="1192" spans="1:26" ht="15.75" customHeight="1" x14ac:dyDescent="0.25">
      <c r="A1192" s="3" t="s">
        <v>2729</v>
      </c>
      <c r="B1192" s="683" t="s">
        <v>2728</v>
      </c>
      <c r="C1192" s="683"/>
      <c r="D1192" s="683"/>
      <c r="E1192" s="683"/>
      <c r="F1192" s="683"/>
      <c r="G1192" s="683"/>
      <c r="H1192" s="711"/>
      <c r="I1192" s="683"/>
      <c r="J1192" s="683"/>
      <c r="K1192" s="683"/>
      <c r="L1192" s="683"/>
      <c r="M1192" s="683"/>
      <c r="N1192" s="685"/>
      <c r="O1192" s="683"/>
      <c r="P1192" s="683"/>
      <c r="Q1192" s="683"/>
      <c r="R1192" s="683"/>
      <c r="S1192" s="683"/>
      <c r="T1192" s="683"/>
      <c r="U1192" s="683"/>
      <c r="V1192" s="683"/>
      <c r="W1192" s="683"/>
      <c r="X1192" s="683"/>
      <c r="Y1192" s="683"/>
      <c r="Z1192" s="683"/>
    </row>
    <row r="1193" spans="1:26" ht="15.75" customHeight="1" x14ac:dyDescent="0.25">
      <c r="A1193" s="3" t="s">
        <v>2730</v>
      </c>
      <c r="B1193" s="683" t="s">
        <v>2728</v>
      </c>
      <c r="C1193" s="683"/>
      <c r="D1193" s="683"/>
      <c r="E1193" s="683"/>
      <c r="F1193" s="683"/>
      <c r="G1193" s="683"/>
      <c r="H1193" s="711"/>
      <c r="I1193" s="683"/>
      <c r="J1193" s="683"/>
      <c r="K1193" s="683"/>
      <c r="L1193" s="683"/>
      <c r="M1193" s="683"/>
      <c r="N1193" s="685"/>
      <c r="O1193" s="683"/>
      <c r="P1193" s="683"/>
      <c r="Q1193" s="683"/>
      <c r="R1193" s="683"/>
      <c r="S1193" s="683"/>
      <c r="T1193" s="683"/>
      <c r="U1193" s="683"/>
      <c r="V1193" s="683"/>
      <c r="W1193" s="683"/>
      <c r="X1193" s="683"/>
      <c r="Y1193" s="683"/>
      <c r="Z1193" s="683"/>
    </row>
    <row r="1194" spans="1:26" ht="15.75" customHeight="1" x14ac:dyDescent="0.25">
      <c r="A1194" s="3" t="s">
        <v>112</v>
      </c>
      <c r="B1194" s="3" t="s">
        <v>2731</v>
      </c>
      <c r="C1194" s="683"/>
      <c r="D1194" s="683"/>
      <c r="E1194" s="683"/>
      <c r="F1194" s="683"/>
      <c r="G1194" s="683"/>
      <c r="H1194" s="711"/>
      <c r="I1194" s="683"/>
      <c r="J1194" s="683"/>
      <c r="K1194" s="683"/>
      <c r="L1194" s="683"/>
      <c r="M1194" s="683"/>
      <c r="N1194" s="685"/>
      <c r="O1194" s="683"/>
      <c r="P1194" s="683"/>
      <c r="Q1194" s="683"/>
      <c r="R1194" s="683"/>
      <c r="S1194" s="683"/>
      <c r="T1194" s="683"/>
      <c r="U1194" s="683"/>
      <c r="V1194" s="683"/>
      <c r="W1194" s="683"/>
      <c r="X1194" s="683"/>
      <c r="Y1194" s="683"/>
      <c r="Z1194" s="683"/>
    </row>
    <row r="1195" spans="1:26" ht="15.75" customHeight="1" x14ac:dyDescent="0.25">
      <c r="A1195" s="3" t="s">
        <v>2732</v>
      </c>
      <c r="B1195" s="683" t="s">
        <v>2728</v>
      </c>
      <c r="C1195" s="683"/>
      <c r="D1195" s="683"/>
      <c r="E1195" s="683"/>
      <c r="F1195" s="683"/>
      <c r="G1195" s="683"/>
      <c r="H1195" s="711"/>
      <c r="I1195" s="683"/>
      <c r="J1195" s="683"/>
      <c r="K1195" s="683"/>
      <c r="L1195" s="683"/>
      <c r="M1195" s="683"/>
      <c r="N1195" s="685"/>
      <c r="O1195" s="683"/>
      <c r="P1195" s="683"/>
      <c r="Q1195" s="683"/>
      <c r="R1195" s="683"/>
      <c r="S1195" s="683"/>
      <c r="T1195" s="683"/>
      <c r="U1195" s="683"/>
      <c r="V1195" s="683"/>
      <c r="W1195" s="683"/>
      <c r="X1195" s="683"/>
      <c r="Y1195" s="683"/>
      <c r="Z1195" s="683"/>
    </row>
    <row r="1196" spans="1:26" ht="15.75" customHeight="1" x14ac:dyDescent="0.25">
      <c r="A1196" s="3" t="s">
        <v>2733</v>
      </c>
      <c r="B1196" s="683" t="s">
        <v>2728</v>
      </c>
      <c r="C1196" s="683"/>
      <c r="D1196" s="683"/>
      <c r="E1196" s="683"/>
      <c r="F1196" s="683"/>
      <c r="G1196" s="683"/>
      <c r="H1196" s="711"/>
      <c r="I1196" s="683"/>
      <c r="J1196" s="683"/>
      <c r="K1196" s="683"/>
      <c r="L1196" s="683"/>
      <c r="M1196" s="683"/>
      <c r="N1196" s="685"/>
      <c r="O1196" s="683"/>
      <c r="P1196" s="683"/>
      <c r="Q1196" s="683"/>
      <c r="R1196" s="683"/>
      <c r="S1196" s="683"/>
      <c r="T1196" s="683"/>
      <c r="U1196" s="683"/>
      <c r="V1196" s="683"/>
      <c r="W1196" s="683"/>
      <c r="X1196" s="683"/>
      <c r="Y1196" s="683"/>
      <c r="Z1196" s="683"/>
    </row>
    <row r="1197" spans="1:26" ht="15.75" customHeight="1" x14ac:dyDescent="0.25">
      <c r="A1197" s="3" t="s">
        <v>2734</v>
      </c>
      <c r="B1197" s="683" t="s">
        <v>2728</v>
      </c>
      <c r="C1197" s="683"/>
      <c r="D1197" s="683"/>
      <c r="E1197" s="683"/>
      <c r="F1197" s="683"/>
      <c r="G1197" s="683"/>
      <c r="H1197" s="711"/>
      <c r="I1197" s="683"/>
      <c r="J1197" s="683"/>
      <c r="K1197" s="683"/>
      <c r="L1197" s="683"/>
      <c r="M1197" s="683"/>
      <c r="N1197" s="685"/>
      <c r="O1197" s="683"/>
      <c r="P1197" s="683"/>
      <c r="Q1197" s="683"/>
      <c r="R1197" s="683"/>
      <c r="S1197" s="683"/>
      <c r="T1197" s="683"/>
      <c r="U1197" s="683"/>
      <c r="V1197" s="683"/>
      <c r="W1197" s="683"/>
      <c r="X1197" s="683"/>
      <c r="Y1197" s="683"/>
      <c r="Z1197" s="683"/>
    </row>
    <row r="1198" spans="1:26" ht="15.75" customHeight="1" x14ac:dyDescent="0.25">
      <c r="A1198" s="3" t="s">
        <v>2735</v>
      </c>
      <c r="B1198" s="683" t="s">
        <v>2728</v>
      </c>
      <c r="C1198" s="683"/>
      <c r="D1198" s="683"/>
      <c r="E1198" s="683"/>
      <c r="F1198" s="683"/>
      <c r="G1198" s="683"/>
      <c r="H1198" s="711"/>
      <c r="I1198" s="683"/>
      <c r="J1198" s="683"/>
      <c r="K1198" s="683"/>
      <c r="L1198" s="683"/>
      <c r="M1198" s="683"/>
      <c r="N1198" s="685"/>
      <c r="O1198" s="683"/>
      <c r="P1198" s="683"/>
      <c r="Q1198" s="683"/>
      <c r="R1198" s="683"/>
      <c r="S1198" s="683"/>
      <c r="T1198" s="683"/>
      <c r="U1198" s="683"/>
      <c r="V1198" s="683"/>
      <c r="W1198" s="683"/>
      <c r="X1198" s="683"/>
      <c r="Y1198" s="683"/>
      <c r="Z1198" s="683"/>
    </row>
    <row r="1199" spans="1:26" ht="15.75" customHeight="1" x14ac:dyDescent="0.25">
      <c r="A1199" s="3" t="s">
        <v>2736</v>
      </c>
      <c r="B1199" s="683" t="s">
        <v>2728</v>
      </c>
      <c r="C1199" s="683"/>
      <c r="D1199" s="683"/>
      <c r="E1199" s="683"/>
      <c r="F1199" s="683"/>
      <c r="G1199" s="683"/>
      <c r="H1199" s="711"/>
      <c r="I1199" s="683"/>
      <c r="J1199" s="683"/>
      <c r="K1199" s="683"/>
      <c r="L1199" s="683"/>
      <c r="M1199" s="683"/>
      <c r="N1199" s="685"/>
      <c r="O1199" s="683"/>
      <c r="P1199" s="683"/>
      <c r="Q1199" s="683"/>
      <c r="R1199" s="683"/>
      <c r="S1199" s="683"/>
      <c r="T1199" s="683"/>
      <c r="U1199" s="683"/>
      <c r="V1199" s="683"/>
      <c r="W1199" s="683"/>
      <c r="X1199" s="683"/>
      <c r="Y1199" s="683"/>
      <c r="Z1199" s="683"/>
    </row>
    <row r="1200" spans="1:26" ht="15.75" customHeight="1" x14ac:dyDescent="0.25">
      <c r="A1200" s="683" t="s">
        <v>2737</v>
      </c>
      <c r="B1200" s="683" t="s">
        <v>2728</v>
      </c>
      <c r="C1200" s="683"/>
      <c r="D1200" s="683"/>
      <c r="E1200" s="683"/>
      <c r="F1200" s="683"/>
      <c r="G1200" s="683"/>
      <c r="H1200" s="711"/>
      <c r="I1200" s="683"/>
      <c r="J1200" s="683"/>
      <c r="K1200" s="683"/>
      <c r="L1200" s="683"/>
      <c r="M1200" s="683"/>
      <c r="N1200" s="685"/>
      <c r="O1200" s="683"/>
      <c r="P1200" s="683"/>
      <c r="Q1200" s="683"/>
      <c r="R1200" s="683"/>
      <c r="S1200" s="683"/>
      <c r="T1200" s="683"/>
      <c r="U1200" s="683"/>
      <c r="V1200" s="683"/>
      <c r="W1200" s="683"/>
      <c r="X1200" s="683"/>
      <c r="Y1200" s="683"/>
      <c r="Z1200" s="683"/>
    </row>
    <row r="1201" spans="1:26" ht="15.75" customHeight="1" x14ac:dyDescent="0.25">
      <c r="A1201" s="3" t="s">
        <v>1752</v>
      </c>
      <c r="B1201" s="683" t="s">
        <v>2728</v>
      </c>
      <c r="C1201" s="683"/>
      <c r="D1201" s="683"/>
      <c r="E1201" s="683"/>
      <c r="F1201" s="683"/>
      <c r="G1201" s="683"/>
      <c r="H1201" s="711"/>
      <c r="I1201" s="683"/>
      <c r="J1201" s="683"/>
      <c r="K1201" s="683"/>
      <c r="L1201" s="683"/>
      <c r="M1201" s="683"/>
      <c r="N1201" s="685"/>
      <c r="O1201" s="683"/>
      <c r="P1201" s="683"/>
      <c r="Q1201" s="683"/>
      <c r="R1201" s="683"/>
      <c r="S1201" s="683"/>
      <c r="T1201" s="683"/>
      <c r="U1201" s="683"/>
      <c r="V1201" s="683"/>
      <c r="W1201" s="683"/>
      <c r="X1201" s="683"/>
      <c r="Y1201" s="683"/>
      <c r="Z1201" s="683"/>
    </row>
    <row r="1202" spans="1:26" ht="15.75" customHeight="1" x14ac:dyDescent="0.25">
      <c r="A1202" s="3" t="s">
        <v>2738</v>
      </c>
      <c r="B1202" s="683" t="s">
        <v>2728</v>
      </c>
      <c r="C1202" s="683"/>
      <c r="D1202" s="683"/>
      <c r="E1202" s="683"/>
      <c r="F1202" s="683"/>
      <c r="G1202" s="683"/>
      <c r="H1202" s="711"/>
      <c r="I1202" s="683"/>
      <c r="J1202" s="683"/>
      <c r="K1202" s="683"/>
      <c r="L1202" s="683"/>
      <c r="M1202" s="683"/>
      <c r="N1202" s="685"/>
      <c r="O1202" s="683"/>
      <c r="P1202" s="683"/>
      <c r="Q1202" s="683"/>
      <c r="R1202" s="683"/>
      <c r="S1202" s="683"/>
      <c r="T1202" s="683"/>
      <c r="U1202" s="683"/>
      <c r="V1202" s="683"/>
      <c r="W1202" s="683"/>
      <c r="X1202" s="683"/>
      <c r="Y1202" s="683"/>
      <c r="Z1202" s="683"/>
    </row>
    <row r="1203" spans="1:26" ht="15.75" customHeight="1" x14ac:dyDescent="0.25">
      <c r="A1203" s="683" t="s">
        <v>157</v>
      </c>
      <c r="B1203" s="683" t="s">
        <v>2728</v>
      </c>
      <c r="C1203" s="683"/>
      <c r="D1203" s="683"/>
      <c r="E1203" s="683"/>
      <c r="F1203" s="683"/>
      <c r="G1203" s="683"/>
      <c r="H1203" s="711"/>
      <c r="I1203" s="683"/>
      <c r="J1203" s="683"/>
      <c r="K1203" s="683"/>
      <c r="L1203" s="683"/>
      <c r="M1203" s="683"/>
      <c r="N1203" s="685"/>
      <c r="O1203" s="683"/>
      <c r="P1203" s="683"/>
      <c r="Q1203" s="683"/>
      <c r="R1203" s="683"/>
      <c r="S1203" s="683"/>
      <c r="T1203" s="683"/>
      <c r="U1203" s="683"/>
      <c r="V1203" s="683"/>
      <c r="W1203" s="683"/>
      <c r="X1203" s="683"/>
      <c r="Y1203" s="683"/>
      <c r="Z1203" s="683"/>
    </row>
    <row r="1204" spans="1:26" ht="15.75" customHeight="1" x14ac:dyDescent="0.25">
      <c r="A1204" s="683" t="s">
        <v>2739</v>
      </c>
      <c r="B1204" s="683" t="s">
        <v>2728</v>
      </c>
      <c r="C1204" s="683"/>
      <c r="D1204" s="683"/>
      <c r="E1204" s="683"/>
      <c r="F1204" s="683"/>
      <c r="G1204" s="683"/>
      <c r="H1204" s="711"/>
      <c r="I1204" s="683"/>
      <c r="J1204" s="683"/>
      <c r="K1204" s="683"/>
      <c r="L1204" s="683"/>
      <c r="M1204" s="683"/>
      <c r="N1204" s="685"/>
      <c r="O1204" s="683"/>
      <c r="P1204" s="683"/>
      <c r="Q1204" s="683"/>
      <c r="R1204" s="683"/>
      <c r="S1204" s="683"/>
      <c r="T1204" s="683"/>
      <c r="U1204" s="683"/>
      <c r="V1204" s="683"/>
      <c r="W1204" s="683"/>
      <c r="X1204" s="683"/>
      <c r="Y1204" s="683"/>
      <c r="Z1204" s="683"/>
    </row>
    <row r="1205" spans="1:26" ht="15.75" customHeight="1" x14ac:dyDescent="0.25">
      <c r="A1205" s="3" t="s">
        <v>278</v>
      </c>
      <c r="B1205" s="3" t="s">
        <v>2731</v>
      </c>
      <c r="C1205" s="683"/>
      <c r="D1205" s="683"/>
      <c r="E1205" s="683"/>
      <c r="F1205" s="683"/>
      <c r="G1205" s="683"/>
      <c r="H1205" s="711"/>
      <c r="I1205" s="683"/>
      <c r="J1205" s="683"/>
      <c r="K1205" s="683"/>
      <c r="L1205" s="683"/>
      <c r="M1205" s="683"/>
      <c r="N1205" s="685"/>
      <c r="O1205" s="683"/>
      <c r="P1205" s="683"/>
      <c r="Q1205" s="683"/>
      <c r="R1205" s="683"/>
      <c r="S1205" s="683"/>
      <c r="T1205" s="683"/>
      <c r="U1205" s="683"/>
      <c r="V1205" s="683"/>
      <c r="W1205" s="683"/>
      <c r="X1205" s="683"/>
      <c r="Y1205" s="683"/>
      <c r="Z1205" s="683"/>
    </row>
    <row r="1206" spans="1:26" ht="15.75" customHeight="1" x14ac:dyDescent="0.25">
      <c r="A1206" s="3" t="s">
        <v>2740</v>
      </c>
      <c r="B1206" s="683" t="s">
        <v>2728</v>
      </c>
      <c r="C1206" s="683"/>
      <c r="D1206" s="683"/>
      <c r="E1206" s="683"/>
      <c r="F1206" s="683"/>
      <c r="G1206" s="683"/>
      <c r="H1206" s="711"/>
      <c r="I1206" s="683"/>
      <c r="J1206" s="683"/>
      <c r="K1206" s="683"/>
      <c r="L1206" s="683"/>
      <c r="M1206" s="683"/>
      <c r="N1206" s="685"/>
      <c r="O1206" s="683"/>
      <c r="P1206" s="683"/>
      <c r="Q1206" s="683"/>
      <c r="R1206" s="683"/>
      <c r="S1206" s="683"/>
      <c r="T1206" s="683"/>
      <c r="U1206" s="683"/>
      <c r="V1206" s="683"/>
      <c r="W1206" s="683"/>
      <c r="X1206" s="683"/>
      <c r="Y1206" s="683"/>
      <c r="Z1206" s="683"/>
    </row>
    <row r="1207" spans="1:26" ht="15.75" customHeight="1" x14ac:dyDescent="0.25">
      <c r="A1207" s="3" t="s">
        <v>2741</v>
      </c>
      <c r="B1207" s="683" t="s">
        <v>2728</v>
      </c>
      <c r="C1207" s="683"/>
      <c r="D1207" s="683"/>
      <c r="E1207" s="683"/>
      <c r="F1207" s="683"/>
      <c r="G1207" s="683"/>
      <c r="H1207" s="711"/>
      <c r="I1207" s="683"/>
      <c r="J1207" s="683"/>
      <c r="K1207" s="683"/>
      <c r="L1207" s="683"/>
      <c r="M1207" s="683"/>
      <c r="N1207" s="685"/>
      <c r="O1207" s="683"/>
      <c r="P1207" s="683"/>
      <c r="Q1207" s="683"/>
      <c r="R1207" s="683"/>
      <c r="S1207" s="683"/>
      <c r="T1207" s="683"/>
      <c r="U1207" s="683"/>
      <c r="V1207" s="683"/>
      <c r="W1207" s="683"/>
      <c r="X1207" s="683"/>
      <c r="Y1207" s="683"/>
      <c r="Z1207" s="683"/>
    </row>
    <row r="1208" spans="1:26" ht="15.75" customHeight="1" x14ac:dyDescent="0.25">
      <c r="A1208" s="3" t="s">
        <v>2742</v>
      </c>
      <c r="B1208" s="683" t="s">
        <v>2728</v>
      </c>
      <c r="C1208" s="683"/>
      <c r="D1208" s="683"/>
      <c r="E1208" s="683"/>
      <c r="F1208" s="683"/>
      <c r="G1208" s="683"/>
      <c r="H1208" s="711"/>
      <c r="I1208" s="683"/>
      <c r="J1208" s="683"/>
      <c r="K1208" s="683"/>
      <c r="L1208" s="683"/>
      <c r="M1208" s="683"/>
      <c r="N1208" s="685"/>
      <c r="O1208" s="683"/>
      <c r="P1208" s="683"/>
      <c r="Q1208" s="683"/>
      <c r="R1208" s="683"/>
      <c r="S1208" s="683"/>
      <c r="T1208" s="683"/>
      <c r="U1208" s="683"/>
      <c r="V1208" s="683"/>
      <c r="W1208" s="683"/>
      <c r="X1208" s="683"/>
      <c r="Y1208" s="683"/>
      <c r="Z1208" s="683"/>
    </row>
    <row r="1209" spans="1:26" ht="15.75" customHeight="1" x14ac:dyDescent="0.25">
      <c r="A1209" s="3" t="s">
        <v>2743</v>
      </c>
      <c r="B1209" s="3" t="s">
        <v>2731</v>
      </c>
      <c r="C1209" s="683"/>
      <c r="D1209" s="683"/>
      <c r="E1209" s="683"/>
      <c r="F1209" s="683"/>
      <c r="G1209" s="683"/>
      <c r="H1209" s="711"/>
      <c r="I1209" s="683"/>
      <c r="J1209" s="683"/>
      <c r="K1209" s="683"/>
      <c r="L1209" s="683"/>
      <c r="M1209" s="683"/>
      <c r="N1209" s="685"/>
      <c r="O1209" s="683"/>
      <c r="P1209" s="683"/>
      <c r="Q1209" s="683"/>
      <c r="R1209" s="683"/>
      <c r="S1209" s="683"/>
      <c r="T1209" s="683"/>
      <c r="U1209" s="683"/>
      <c r="V1209" s="683"/>
      <c r="W1209" s="683"/>
      <c r="X1209" s="683"/>
      <c r="Y1209" s="683"/>
      <c r="Z1209" s="683"/>
    </row>
    <row r="1210" spans="1:26" ht="15.75" customHeight="1" x14ac:dyDescent="0.25">
      <c r="A1210" s="3" t="s">
        <v>2744</v>
      </c>
      <c r="B1210" s="683" t="s">
        <v>2728</v>
      </c>
      <c r="C1210" s="683"/>
      <c r="D1210" s="683"/>
      <c r="E1210" s="683"/>
      <c r="F1210" s="683"/>
      <c r="G1210" s="683"/>
      <c r="H1210" s="711"/>
      <c r="I1210" s="683"/>
      <c r="J1210" s="683"/>
      <c r="K1210" s="683"/>
      <c r="L1210" s="683"/>
      <c r="M1210" s="683"/>
      <c r="N1210" s="685"/>
      <c r="O1210" s="683"/>
      <c r="P1210" s="683"/>
      <c r="Q1210" s="683"/>
      <c r="R1210" s="683"/>
      <c r="S1210" s="683"/>
      <c r="T1210" s="683"/>
      <c r="U1210" s="683"/>
      <c r="V1210" s="683"/>
      <c r="W1210" s="683"/>
      <c r="X1210" s="683"/>
      <c r="Y1210" s="683"/>
      <c r="Z1210" s="683"/>
    </row>
    <row r="1211" spans="1:26" ht="15.75" customHeight="1" x14ac:dyDescent="0.25">
      <c r="A1211" s="3" t="s">
        <v>2745</v>
      </c>
      <c r="B1211" s="683" t="s">
        <v>2728</v>
      </c>
      <c r="C1211" s="683"/>
      <c r="D1211" s="683"/>
      <c r="E1211" s="683"/>
      <c r="F1211" s="683"/>
      <c r="G1211" s="683"/>
      <c r="H1211" s="711"/>
      <c r="I1211" s="683"/>
      <c r="J1211" s="683"/>
      <c r="K1211" s="683"/>
      <c r="L1211" s="683"/>
      <c r="M1211" s="683"/>
      <c r="N1211" s="685"/>
      <c r="O1211" s="683"/>
      <c r="P1211" s="683"/>
      <c r="Q1211" s="683"/>
      <c r="R1211" s="683"/>
      <c r="S1211" s="683"/>
      <c r="T1211" s="683"/>
      <c r="U1211" s="683"/>
      <c r="V1211" s="683"/>
      <c r="W1211" s="683"/>
      <c r="X1211" s="683"/>
      <c r="Y1211" s="683"/>
      <c r="Z1211" s="683"/>
    </row>
    <row r="1212" spans="1:26" ht="15.75" customHeight="1" x14ac:dyDescent="0.25">
      <c r="A1212" s="3" t="s">
        <v>2746</v>
      </c>
      <c r="B1212" s="683" t="s">
        <v>2728</v>
      </c>
      <c r="C1212" s="683"/>
      <c r="D1212" s="683"/>
      <c r="E1212" s="683"/>
      <c r="F1212" s="683"/>
      <c r="G1212" s="683"/>
      <c r="H1212" s="711"/>
      <c r="I1212" s="683"/>
      <c r="J1212" s="683"/>
      <c r="K1212" s="683"/>
      <c r="L1212" s="683"/>
      <c r="M1212" s="683"/>
      <c r="N1212" s="685"/>
      <c r="O1212" s="683"/>
      <c r="P1212" s="683"/>
      <c r="Q1212" s="683"/>
      <c r="R1212" s="683"/>
      <c r="S1212" s="683"/>
      <c r="T1212" s="683"/>
      <c r="U1212" s="683"/>
      <c r="V1212" s="683"/>
      <c r="W1212" s="683"/>
      <c r="X1212" s="683"/>
      <c r="Y1212" s="683"/>
      <c r="Z1212" s="683"/>
    </row>
    <row r="1213" spans="1:26" ht="15.75" customHeight="1" x14ac:dyDescent="0.25">
      <c r="A1213" s="3" t="s">
        <v>2747</v>
      </c>
      <c r="B1213" s="683" t="s">
        <v>2728</v>
      </c>
      <c r="C1213" s="683"/>
      <c r="D1213" s="683"/>
      <c r="E1213" s="683"/>
      <c r="F1213" s="683"/>
      <c r="G1213" s="683"/>
      <c r="H1213" s="711"/>
      <c r="I1213" s="683"/>
      <c r="J1213" s="683"/>
      <c r="K1213" s="683"/>
      <c r="L1213" s="683"/>
      <c r="M1213" s="683"/>
      <c r="N1213" s="685"/>
      <c r="O1213" s="683"/>
      <c r="P1213" s="683"/>
      <c r="Q1213" s="683"/>
      <c r="R1213" s="683"/>
      <c r="S1213" s="683"/>
      <c r="T1213" s="683"/>
      <c r="U1213" s="683"/>
      <c r="V1213" s="683"/>
      <c r="W1213" s="683"/>
      <c r="X1213" s="683"/>
      <c r="Y1213" s="683"/>
      <c r="Z1213" s="683"/>
    </row>
    <row r="1214" spans="1:26" ht="15.75" customHeight="1" x14ac:dyDescent="0.25">
      <c r="A1214" s="3" t="s">
        <v>2748</v>
      </c>
      <c r="B1214" s="3" t="s">
        <v>2749</v>
      </c>
      <c r="C1214" s="683"/>
      <c r="D1214" s="683"/>
      <c r="E1214" s="683"/>
      <c r="F1214" s="683"/>
      <c r="G1214" s="683"/>
      <c r="H1214" s="711"/>
      <c r="I1214" s="683"/>
      <c r="J1214" s="683"/>
      <c r="K1214" s="683"/>
      <c r="L1214" s="683"/>
      <c r="M1214" s="683"/>
      <c r="N1214" s="685"/>
      <c r="O1214" s="683"/>
      <c r="P1214" s="683"/>
      <c r="Q1214" s="683"/>
      <c r="R1214" s="683"/>
      <c r="S1214" s="683"/>
      <c r="T1214" s="683"/>
      <c r="U1214" s="683"/>
      <c r="V1214" s="683"/>
      <c r="W1214" s="683"/>
      <c r="X1214" s="683"/>
      <c r="Y1214" s="683"/>
      <c r="Z1214" s="683"/>
    </row>
    <row r="1215" spans="1:26" ht="15.75" customHeight="1" x14ac:dyDescent="0.25">
      <c r="A1215" s="3" t="s">
        <v>1417</v>
      </c>
      <c r="B1215" s="3" t="s">
        <v>2749</v>
      </c>
      <c r="C1215" s="683"/>
      <c r="D1215" s="683"/>
      <c r="E1215" s="683"/>
      <c r="F1215" s="683"/>
      <c r="G1215" s="683"/>
      <c r="H1215" s="711"/>
      <c r="I1215" s="683"/>
      <c r="J1215" s="683"/>
      <c r="K1215" s="683"/>
      <c r="L1215" s="683"/>
      <c r="M1215" s="683"/>
      <c r="N1215" s="685"/>
      <c r="O1215" s="683"/>
      <c r="P1215" s="683"/>
      <c r="Q1215" s="683"/>
      <c r="R1215" s="683"/>
      <c r="S1215" s="683"/>
      <c r="T1215" s="683"/>
      <c r="U1215" s="683"/>
      <c r="V1215" s="683"/>
      <c r="W1215" s="683"/>
      <c r="X1215" s="683"/>
      <c r="Y1215" s="683"/>
      <c r="Z1215" s="683"/>
    </row>
    <row r="1216" spans="1:26" ht="15.75" customHeight="1" x14ac:dyDescent="0.25">
      <c r="A1216" s="3" t="s">
        <v>136</v>
      </c>
      <c r="B1216" s="3" t="s">
        <v>2749</v>
      </c>
      <c r="C1216" s="683"/>
      <c r="D1216" s="683"/>
      <c r="E1216" s="683"/>
      <c r="F1216" s="683"/>
      <c r="G1216" s="683"/>
      <c r="H1216" s="711"/>
      <c r="I1216" s="683"/>
      <c r="J1216" s="683"/>
      <c r="K1216" s="683"/>
      <c r="L1216" s="683"/>
      <c r="M1216" s="683"/>
      <c r="N1216" s="685"/>
      <c r="O1216" s="683"/>
      <c r="P1216" s="683"/>
      <c r="Q1216" s="683"/>
      <c r="R1216" s="683"/>
      <c r="S1216" s="683"/>
      <c r="T1216" s="683"/>
      <c r="U1216" s="683"/>
      <c r="V1216" s="683"/>
      <c r="W1216" s="683"/>
      <c r="X1216" s="683"/>
      <c r="Y1216" s="683"/>
      <c r="Z1216" s="683"/>
    </row>
    <row r="1217" spans="1:26" ht="15.75" customHeight="1" x14ac:dyDescent="0.25">
      <c r="A1217" s="3" t="s">
        <v>2750</v>
      </c>
      <c r="B1217" s="3" t="s">
        <v>2751</v>
      </c>
      <c r="C1217" s="683"/>
      <c r="D1217" s="683"/>
      <c r="E1217" s="683"/>
      <c r="F1217" s="683"/>
      <c r="G1217" s="683"/>
      <c r="H1217" s="711"/>
      <c r="I1217" s="683"/>
      <c r="J1217" s="683"/>
      <c r="K1217" s="683"/>
      <c r="L1217" s="683"/>
      <c r="M1217" s="683"/>
      <c r="N1217" s="685"/>
      <c r="O1217" s="683"/>
      <c r="P1217" s="683"/>
      <c r="Q1217" s="683"/>
      <c r="R1217" s="683"/>
      <c r="S1217" s="683"/>
      <c r="T1217" s="683"/>
      <c r="U1217" s="683"/>
      <c r="V1217" s="683"/>
      <c r="W1217" s="683"/>
      <c r="X1217" s="683"/>
      <c r="Y1217" s="683"/>
      <c r="Z1217" s="683"/>
    </row>
    <row r="1218" spans="1:26" ht="15.75" customHeight="1" x14ac:dyDescent="0.25">
      <c r="A1218" s="3" t="s">
        <v>1746</v>
      </c>
      <c r="B1218" s="3" t="s">
        <v>2752</v>
      </c>
      <c r="C1218" s="683"/>
      <c r="D1218" s="683"/>
      <c r="E1218" s="683"/>
      <c r="F1218" s="683"/>
      <c r="G1218" s="683"/>
      <c r="H1218" s="711"/>
      <c r="I1218" s="683"/>
      <c r="J1218" s="683"/>
      <c r="K1218" s="683"/>
      <c r="L1218" s="683"/>
      <c r="M1218" s="683"/>
      <c r="N1218" s="685"/>
      <c r="O1218" s="683"/>
      <c r="P1218" s="683"/>
      <c r="Q1218" s="683"/>
      <c r="R1218" s="683"/>
      <c r="S1218" s="683"/>
      <c r="T1218" s="683"/>
      <c r="U1218" s="683"/>
      <c r="V1218" s="683"/>
      <c r="W1218" s="683"/>
      <c r="X1218" s="683"/>
      <c r="Y1218" s="683"/>
      <c r="Z1218" s="683"/>
    </row>
    <row r="1219" spans="1:26" ht="15.75" customHeight="1" x14ac:dyDescent="0.25">
      <c r="A1219" s="3" t="s">
        <v>2753</v>
      </c>
      <c r="B1219" s="3" t="s">
        <v>1761</v>
      </c>
      <c r="C1219" s="683"/>
      <c r="D1219" s="683"/>
      <c r="E1219" s="683"/>
      <c r="F1219" s="683"/>
      <c r="G1219" s="683"/>
      <c r="H1219" s="711"/>
      <c r="I1219" s="683"/>
      <c r="J1219" s="683"/>
      <c r="K1219" s="683"/>
      <c r="L1219" s="683"/>
      <c r="M1219" s="683"/>
      <c r="N1219" s="685"/>
      <c r="O1219" s="683"/>
      <c r="P1219" s="683"/>
      <c r="Q1219" s="683"/>
      <c r="R1219" s="683"/>
      <c r="S1219" s="683"/>
      <c r="T1219" s="683"/>
      <c r="U1219" s="683"/>
      <c r="V1219" s="683"/>
      <c r="W1219" s="683"/>
      <c r="X1219" s="683"/>
      <c r="Y1219" s="683"/>
      <c r="Z1219" s="683"/>
    </row>
    <row r="1220" spans="1:26" ht="15.75" customHeight="1" x14ac:dyDescent="0.25">
      <c r="A1220" s="3" t="s">
        <v>2754</v>
      </c>
      <c r="B1220" s="3" t="s">
        <v>1761</v>
      </c>
      <c r="C1220" s="683"/>
      <c r="D1220" s="683"/>
      <c r="E1220" s="683"/>
      <c r="F1220" s="683"/>
      <c r="G1220" s="683"/>
      <c r="H1220" s="711"/>
      <c r="I1220" s="683"/>
      <c r="J1220" s="683"/>
      <c r="K1220" s="683"/>
      <c r="L1220" s="683"/>
      <c r="M1220" s="683"/>
      <c r="N1220" s="685"/>
      <c r="O1220" s="683"/>
      <c r="P1220" s="683"/>
      <c r="Q1220" s="683"/>
      <c r="R1220" s="683"/>
      <c r="S1220" s="683"/>
      <c r="T1220" s="683"/>
      <c r="U1220" s="683"/>
      <c r="V1220" s="683"/>
      <c r="W1220" s="683"/>
      <c r="X1220" s="683"/>
      <c r="Y1220" s="683"/>
      <c r="Z1220" s="683"/>
    </row>
    <row r="1221" spans="1:26" ht="15.75" customHeight="1" x14ac:dyDescent="0.25">
      <c r="A1221" s="3" t="s">
        <v>2755</v>
      </c>
      <c r="B1221" s="3" t="s">
        <v>1761</v>
      </c>
      <c r="C1221" s="683"/>
      <c r="D1221" s="683"/>
      <c r="E1221" s="683"/>
      <c r="F1221" s="683"/>
      <c r="G1221" s="683"/>
      <c r="H1221" s="711"/>
      <c r="I1221" s="683"/>
      <c r="J1221" s="683"/>
      <c r="K1221" s="683"/>
      <c r="L1221" s="683"/>
      <c r="M1221" s="683"/>
      <c r="N1221" s="685"/>
      <c r="O1221" s="683"/>
      <c r="P1221" s="683"/>
      <c r="Q1221" s="683"/>
      <c r="R1221" s="683"/>
      <c r="S1221" s="683"/>
      <c r="T1221" s="683"/>
      <c r="U1221" s="683"/>
      <c r="V1221" s="683"/>
      <c r="W1221" s="683"/>
      <c r="X1221" s="683"/>
      <c r="Y1221" s="683"/>
      <c r="Z1221" s="683"/>
    </row>
    <row r="1222" spans="1:26" ht="15.75" customHeight="1" x14ac:dyDescent="0.25">
      <c r="A1222" s="3" t="s">
        <v>2756</v>
      </c>
      <c r="B1222" s="3" t="s">
        <v>1761</v>
      </c>
      <c r="C1222" s="683"/>
      <c r="D1222" s="683"/>
      <c r="E1222" s="683"/>
      <c r="F1222" s="683"/>
      <c r="G1222" s="683"/>
      <c r="H1222" s="711"/>
      <c r="I1222" s="683"/>
      <c r="J1222" s="683"/>
      <c r="K1222" s="683"/>
      <c r="L1222" s="683"/>
      <c r="M1222" s="683"/>
      <c r="N1222" s="685"/>
      <c r="O1222" s="683"/>
      <c r="P1222" s="683"/>
      <c r="Q1222" s="683"/>
      <c r="R1222" s="683"/>
      <c r="S1222" s="683"/>
      <c r="T1222" s="683"/>
      <c r="U1222" s="683"/>
      <c r="V1222" s="683"/>
      <c r="W1222" s="683"/>
      <c r="X1222" s="683"/>
      <c r="Y1222" s="683"/>
      <c r="Z1222" s="683"/>
    </row>
    <row r="1223" spans="1:26" ht="15.75" customHeight="1" x14ac:dyDescent="0.25">
      <c r="A1223" s="3" t="s">
        <v>1577</v>
      </c>
      <c r="B1223" s="3" t="s">
        <v>1761</v>
      </c>
      <c r="C1223" s="683"/>
      <c r="D1223" s="683"/>
      <c r="E1223" s="683"/>
      <c r="F1223" s="683"/>
      <c r="G1223" s="683"/>
      <c r="H1223" s="711"/>
      <c r="I1223" s="683"/>
      <c r="J1223" s="683"/>
      <c r="K1223" s="683"/>
      <c r="L1223" s="683"/>
      <c r="M1223" s="683"/>
      <c r="N1223" s="685"/>
      <c r="O1223" s="683"/>
      <c r="P1223" s="683"/>
      <c r="Q1223" s="683"/>
      <c r="R1223" s="683"/>
      <c r="S1223" s="683"/>
      <c r="T1223" s="683"/>
      <c r="U1223" s="683"/>
      <c r="V1223" s="683"/>
      <c r="W1223" s="683"/>
      <c r="X1223" s="683"/>
      <c r="Y1223" s="683"/>
      <c r="Z1223" s="683"/>
    </row>
    <row r="1224" spans="1:26" ht="15.75" customHeight="1" x14ac:dyDescent="0.25">
      <c r="A1224" s="3" t="s">
        <v>1761</v>
      </c>
      <c r="B1224" s="3" t="s">
        <v>1761</v>
      </c>
      <c r="C1224" s="683"/>
      <c r="D1224" s="683"/>
      <c r="E1224" s="683"/>
      <c r="F1224" s="683"/>
      <c r="G1224" s="683"/>
      <c r="H1224" s="711"/>
      <c r="I1224" s="683"/>
      <c r="J1224" s="683"/>
      <c r="K1224" s="683"/>
      <c r="L1224" s="683"/>
      <c r="M1224" s="683"/>
      <c r="N1224" s="685"/>
      <c r="O1224" s="683"/>
      <c r="P1224" s="683"/>
      <c r="Q1224" s="683"/>
      <c r="R1224" s="683"/>
      <c r="S1224" s="683"/>
      <c r="T1224" s="683"/>
      <c r="U1224" s="683"/>
      <c r="V1224" s="683"/>
      <c r="W1224" s="683"/>
      <c r="X1224" s="683"/>
      <c r="Y1224" s="683"/>
      <c r="Z1224" s="683"/>
    </row>
    <row r="1225" spans="1:26" ht="15.75" customHeight="1" x14ac:dyDescent="0.25">
      <c r="A1225" s="3" t="s">
        <v>2757</v>
      </c>
      <c r="B1225" s="3" t="s">
        <v>1761</v>
      </c>
      <c r="C1225" s="683"/>
      <c r="D1225" s="683"/>
      <c r="E1225" s="683"/>
      <c r="F1225" s="683"/>
      <c r="G1225" s="683"/>
      <c r="H1225" s="711"/>
      <c r="I1225" s="683"/>
      <c r="J1225" s="683"/>
      <c r="K1225" s="683"/>
      <c r="L1225" s="683"/>
      <c r="M1225" s="683"/>
      <c r="N1225" s="685"/>
      <c r="O1225" s="683"/>
      <c r="P1225" s="683"/>
      <c r="Q1225" s="683"/>
      <c r="R1225" s="683"/>
      <c r="S1225" s="683"/>
      <c r="T1225" s="683"/>
      <c r="U1225" s="683"/>
      <c r="V1225" s="683"/>
      <c r="W1225" s="683"/>
      <c r="X1225" s="683"/>
      <c r="Y1225" s="683"/>
      <c r="Z1225" s="683"/>
    </row>
    <row r="1226" spans="1:26" ht="15.75" customHeight="1" x14ac:dyDescent="0.25">
      <c r="A1226" s="3" t="s">
        <v>2758</v>
      </c>
      <c r="B1226" s="3" t="s">
        <v>1761</v>
      </c>
      <c r="C1226" s="683"/>
      <c r="D1226" s="683"/>
      <c r="E1226" s="683"/>
      <c r="F1226" s="683"/>
      <c r="G1226" s="683"/>
      <c r="H1226" s="711"/>
      <c r="I1226" s="683"/>
      <c r="J1226" s="683"/>
      <c r="K1226" s="683"/>
      <c r="L1226" s="683"/>
      <c r="M1226" s="683"/>
      <c r="N1226" s="685"/>
      <c r="O1226" s="683"/>
      <c r="P1226" s="683"/>
      <c r="Q1226" s="683"/>
      <c r="R1226" s="683"/>
      <c r="S1226" s="683"/>
      <c r="T1226" s="683"/>
      <c r="U1226" s="683"/>
      <c r="V1226" s="683"/>
      <c r="W1226" s="683"/>
      <c r="X1226" s="683"/>
      <c r="Y1226" s="683"/>
      <c r="Z1226" s="683"/>
    </row>
    <row r="1227" spans="1:26" ht="15.75" customHeight="1" x14ac:dyDescent="0.25">
      <c r="A1227" s="683" t="s">
        <v>2759</v>
      </c>
      <c r="B1227" s="3" t="str">
        <f t="shared" ref="B1227:B1228" si="1">"+5 days open Indo"</f>
        <v>+5 days open Indo</v>
      </c>
      <c r="C1227" s="683"/>
      <c r="D1227" s="683"/>
      <c r="E1227" s="683"/>
      <c r="F1227" s="683"/>
      <c r="G1227" s="683"/>
      <c r="H1227" s="711"/>
      <c r="I1227" s="683"/>
      <c r="J1227" s="683"/>
      <c r="K1227" s="683"/>
      <c r="L1227" s="683"/>
      <c r="M1227" s="683"/>
      <c r="N1227" s="685"/>
      <c r="O1227" s="683"/>
      <c r="P1227" s="683"/>
      <c r="Q1227" s="683"/>
      <c r="R1227" s="683"/>
      <c r="S1227" s="683"/>
      <c r="T1227" s="683"/>
      <c r="U1227" s="683"/>
      <c r="V1227" s="683"/>
      <c r="W1227" s="683"/>
      <c r="X1227" s="683"/>
      <c r="Y1227" s="683"/>
      <c r="Z1227" s="683"/>
    </row>
    <row r="1228" spans="1:26" ht="15.75" customHeight="1" x14ac:dyDescent="0.25">
      <c r="A1228" s="683" t="s">
        <v>2760</v>
      </c>
      <c r="B1228" s="3" t="str">
        <f t="shared" si="1"/>
        <v>+5 days open Indo</v>
      </c>
      <c r="C1228" s="683"/>
      <c r="D1228" s="683"/>
      <c r="E1228" s="683"/>
      <c r="F1228" s="683"/>
      <c r="G1228" s="683"/>
      <c r="H1228" s="711"/>
      <c r="I1228" s="683"/>
      <c r="J1228" s="683"/>
      <c r="K1228" s="683"/>
      <c r="L1228" s="683"/>
      <c r="M1228" s="683"/>
      <c r="N1228" s="685"/>
      <c r="O1228" s="683"/>
      <c r="P1228" s="683"/>
      <c r="Q1228" s="683"/>
      <c r="R1228" s="683"/>
      <c r="S1228" s="683"/>
      <c r="T1228" s="683"/>
      <c r="U1228" s="683"/>
      <c r="V1228" s="683"/>
      <c r="W1228" s="683"/>
      <c r="X1228" s="683"/>
      <c r="Y1228" s="683"/>
      <c r="Z1228" s="683"/>
    </row>
    <row r="1229" spans="1:26" ht="15.75" customHeight="1" x14ac:dyDescent="0.25">
      <c r="A1229" s="683" t="s">
        <v>2761</v>
      </c>
      <c r="B1229" s="3" t="s">
        <v>1761</v>
      </c>
      <c r="C1229" s="683"/>
      <c r="D1229" s="683"/>
      <c r="E1229" s="683"/>
      <c r="F1229" s="683"/>
      <c r="G1229" s="683"/>
      <c r="H1229" s="711"/>
      <c r="I1229" s="683"/>
      <c r="J1229" s="683"/>
      <c r="K1229" s="683"/>
      <c r="L1229" s="683"/>
      <c r="M1229" s="683"/>
      <c r="N1229" s="685"/>
      <c r="O1229" s="683"/>
      <c r="P1229" s="683"/>
      <c r="Q1229" s="683"/>
      <c r="R1229" s="683"/>
      <c r="S1229" s="683"/>
      <c r="T1229" s="683"/>
      <c r="U1229" s="683"/>
      <c r="V1229" s="683"/>
      <c r="W1229" s="683"/>
      <c r="X1229" s="683"/>
      <c r="Y1229" s="683"/>
      <c r="Z1229" s="683"/>
    </row>
    <row r="1230" spans="1:26" ht="15.75" customHeight="1" x14ac:dyDescent="0.25">
      <c r="A1230" s="683" t="s">
        <v>2762</v>
      </c>
      <c r="B1230" s="683" t="s">
        <v>2763</v>
      </c>
      <c r="C1230" s="683"/>
      <c r="D1230" s="683"/>
      <c r="E1230" s="683"/>
      <c r="F1230" s="683"/>
      <c r="G1230" s="683"/>
      <c r="H1230" s="711"/>
      <c r="I1230" s="683"/>
      <c r="J1230" s="683"/>
      <c r="K1230" s="683"/>
      <c r="L1230" s="683"/>
      <c r="M1230" s="683"/>
      <c r="N1230" s="685"/>
      <c r="O1230" s="683"/>
      <c r="P1230" s="683"/>
      <c r="Q1230" s="683"/>
      <c r="R1230" s="683"/>
      <c r="S1230" s="683"/>
      <c r="T1230" s="683"/>
      <c r="U1230" s="683"/>
      <c r="V1230" s="683"/>
      <c r="W1230" s="683"/>
      <c r="X1230" s="683"/>
      <c r="Y1230" s="683"/>
      <c r="Z1230" s="683"/>
    </row>
    <row r="1231" spans="1:26" ht="15.75" customHeight="1" x14ac:dyDescent="0.25">
      <c r="A1231" s="3" t="s">
        <v>1578</v>
      </c>
      <c r="B1231" s="3" t="s">
        <v>2764</v>
      </c>
      <c r="C1231" s="683"/>
      <c r="D1231" s="683"/>
      <c r="E1231" s="683"/>
      <c r="F1231" s="683"/>
      <c r="G1231" s="683"/>
      <c r="H1231" s="711"/>
      <c r="I1231" s="683"/>
      <c r="J1231" s="683"/>
      <c r="K1231" s="683"/>
      <c r="L1231" s="683"/>
      <c r="M1231" s="683"/>
      <c r="N1231" s="685"/>
      <c r="O1231" s="683"/>
      <c r="P1231" s="683"/>
      <c r="Q1231" s="683"/>
      <c r="R1231" s="683"/>
      <c r="S1231" s="683"/>
      <c r="T1231" s="683"/>
      <c r="U1231" s="683"/>
      <c r="V1231" s="683"/>
      <c r="W1231" s="683"/>
      <c r="X1231" s="683"/>
      <c r="Y1231" s="683"/>
      <c r="Z1231" s="683"/>
    </row>
    <row r="1232" spans="1:26" ht="15.75" customHeight="1" x14ac:dyDescent="0.25">
      <c r="A1232" s="3" t="s">
        <v>2765</v>
      </c>
      <c r="B1232" s="3" t="s">
        <v>2766</v>
      </c>
      <c r="C1232" s="683"/>
      <c r="D1232" s="683"/>
      <c r="E1232" s="683"/>
      <c r="F1232" s="683"/>
      <c r="G1232" s="683"/>
      <c r="H1232" s="711"/>
      <c r="I1232" s="683"/>
      <c r="J1232" s="683"/>
      <c r="K1232" s="683"/>
      <c r="L1232" s="683"/>
      <c r="M1232" s="683"/>
      <c r="N1232" s="685"/>
      <c r="O1232" s="683"/>
      <c r="P1232" s="683"/>
      <c r="Q1232" s="683"/>
      <c r="R1232" s="683"/>
      <c r="S1232" s="683"/>
      <c r="T1232" s="683"/>
      <c r="U1232" s="683"/>
      <c r="V1232" s="683"/>
      <c r="W1232" s="683"/>
      <c r="X1232" s="683"/>
      <c r="Y1232" s="683"/>
      <c r="Z1232" s="683"/>
    </row>
    <row r="1233" spans="1:26" ht="15.75" customHeight="1" x14ac:dyDescent="0.25">
      <c r="A1233" s="3" t="s">
        <v>2767</v>
      </c>
      <c r="B1233" s="3" t="s">
        <v>2766</v>
      </c>
      <c r="C1233" s="683"/>
      <c r="D1233" s="683"/>
      <c r="E1233" s="683"/>
      <c r="F1233" s="683"/>
      <c r="G1233" s="683"/>
      <c r="H1233" s="711"/>
      <c r="I1233" s="683"/>
      <c r="J1233" s="683"/>
      <c r="K1233" s="683"/>
      <c r="L1233" s="683"/>
      <c r="M1233" s="683"/>
      <c r="N1233" s="685"/>
      <c r="O1233" s="683"/>
      <c r="P1233" s="683"/>
      <c r="Q1233" s="683"/>
      <c r="R1233" s="683"/>
      <c r="S1233" s="683"/>
      <c r="T1233" s="683"/>
      <c r="U1233" s="683"/>
      <c r="V1233" s="683"/>
      <c r="W1233" s="683"/>
      <c r="X1233" s="683"/>
      <c r="Y1233" s="683"/>
      <c r="Z1233" s="683"/>
    </row>
    <row r="1234" spans="1:26" ht="15.75" customHeight="1" x14ac:dyDescent="0.25">
      <c r="A1234" s="3" t="s">
        <v>2768</v>
      </c>
      <c r="B1234" s="3" t="s">
        <v>2769</v>
      </c>
      <c r="C1234" s="683"/>
      <c r="D1234" s="683"/>
      <c r="E1234" s="683"/>
      <c r="F1234" s="683"/>
      <c r="G1234" s="683"/>
      <c r="H1234" s="711"/>
      <c r="I1234" s="683"/>
      <c r="J1234" s="683"/>
      <c r="K1234" s="683"/>
      <c r="L1234" s="683"/>
      <c r="M1234" s="683"/>
      <c r="N1234" s="685"/>
      <c r="O1234" s="683"/>
      <c r="P1234" s="683"/>
      <c r="Q1234" s="683"/>
      <c r="R1234" s="683"/>
      <c r="S1234" s="683"/>
      <c r="T1234" s="683"/>
      <c r="U1234" s="683"/>
      <c r="V1234" s="683"/>
      <c r="W1234" s="683"/>
      <c r="X1234" s="683"/>
      <c r="Y1234" s="683"/>
      <c r="Z1234" s="683"/>
    </row>
    <row r="1235" spans="1:26" ht="15.75" customHeight="1" x14ac:dyDescent="0.25">
      <c r="A1235" s="3" t="s">
        <v>2770</v>
      </c>
      <c r="B1235" s="3" t="s">
        <v>2769</v>
      </c>
      <c r="C1235" s="683"/>
      <c r="D1235" s="683"/>
      <c r="E1235" s="683"/>
      <c r="F1235" s="683"/>
      <c r="G1235" s="683"/>
      <c r="H1235" s="711"/>
      <c r="I1235" s="683"/>
      <c r="J1235" s="683"/>
      <c r="K1235" s="683"/>
      <c r="L1235" s="683"/>
      <c r="M1235" s="683"/>
      <c r="N1235" s="685"/>
      <c r="O1235" s="683"/>
      <c r="P1235" s="683"/>
      <c r="Q1235" s="683"/>
      <c r="R1235" s="683"/>
      <c r="S1235" s="683"/>
      <c r="T1235" s="683"/>
      <c r="U1235" s="683"/>
      <c r="V1235" s="683"/>
      <c r="W1235" s="683"/>
      <c r="X1235" s="683"/>
      <c r="Y1235" s="683"/>
      <c r="Z1235" s="683"/>
    </row>
    <row r="1236" spans="1:26" ht="15.75" customHeight="1" x14ac:dyDescent="0.25">
      <c r="A1236" s="683" t="s">
        <v>2771</v>
      </c>
      <c r="B1236" s="3" t="s">
        <v>2769</v>
      </c>
      <c r="C1236" s="683"/>
      <c r="D1236" s="683"/>
      <c r="E1236" s="683"/>
      <c r="F1236" s="683"/>
      <c r="G1236" s="683"/>
      <c r="H1236" s="711"/>
      <c r="I1236" s="683"/>
      <c r="J1236" s="683"/>
      <c r="K1236" s="683"/>
      <c r="L1236" s="683"/>
      <c r="M1236" s="683"/>
      <c r="N1236" s="685"/>
      <c r="O1236" s="683"/>
      <c r="P1236" s="683"/>
      <c r="Q1236" s="683"/>
      <c r="R1236" s="683"/>
      <c r="S1236" s="683"/>
      <c r="T1236" s="683"/>
      <c r="U1236" s="683"/>
      <c r="V1236" s="683"/>
      <c r="W1236" s="683"/>
      <c r="X1236" s="683"/>
      <c r="Y1236" s="683"/>
      <c r="Z1236" s="683"/>
    </row>
    <row r="1237" spans="1:26" ht="15.75" customHeight="1" x14ac:dyDescent="0.25">
      <c r="A1237" s="683" t="s">
        <v>2772</v>
      </c>
      <c r="B1237" s="3" t="s">
        <v>2769</v>
      </c>
      <c r="C1237" s="683"/>
      <c r="D1237" s="683"/>
      <c r="E1237" s="683"/>
      <c r="F1237" s="683"/>
      <c r="G1237" s="683"/>
      <c r="H1237" s="711"/>
      <c r="I1237" s="683"/>
      <c r="J1237" s="683"/>
      <c r="K1237" s="683"/>
      <c r="L1237" s="683"/>
      <c r="M1237" s="683"/>
      <c r="N1237" s="685"/>
      <c r="O1237" s="683"/>
      <c r="P1237" s="683"/>
      <c r="Q1237" s="683"/>
      <c r="R1237" s="683"/>
      <c r="S1237" s="683"/>
      <c r="T1237" s="683"/>
      <c r="U1237" s="683"/>
      <c r="V1237" s="683"/>
      <c r="W1237" s="683"/>
      <c r="X1237" s="683"/>
      <c r="Y1237" s="683"/>
      <c r="Z1237" s="683"/>
    </row>
    <row r="1238" spans="1:26" ht="15.75" customHeight="1" x14ac:dyDescent="0.25">
      <c r="A1238" s="3" t="s">
        <v>2773</v>
      </c>
      <c r="B1238" s="3" t="s">
        <v>2769</v>
      </c>
      <c r="C1238" s="683"/>
      <c r="D1238" s="683"/>
      <c r="E1238" s="683"/>
      <c r="F1238" s="683"/>
      <c r="G1238" s="683"/>
      <c r="H1238" s="711"/>
      <c r="I1238" s="683"/>
      <c r="J1238" s="683"/>
      <c r="K1238" s="683"/>
      <c r="L1238" s="683"/>
      <c r="M1238" s="683"/>
      <c r="N1238" s="685"/>
      <c r="O1238" s="683"/>
      <c r="P1238" s="683"/>
      <c r="Q1238" s="683"/>
      <c r="R1238" s="683"/>
      <c r="S1238" s="683"/>
      <c r="T1238" s="683"/>
      <c r="U1238" s="683"/>
      <c r="V1238" s="683"/>
      <c r="W1238" s="683"/>
      <c r="X1238" s="683"/>
      <c r="Y1238" s="683"/>
      <c r="Z1238" s="683"/>
    </row>
    <row r="1239" spans="1:26" ht="15.75" customHeight="1" x14ac:dyDescent="0.25">
      <c r="A1239" s="3" t="s">
        <v>312</v>
      </c>
      <c r="B1239" s="3" t="s">
        <v>2769</v>
      </c>
      <c r="C1239" s="683"/>
      <c r="D1239" s="683"/>
      <c r="E1239" s="683"/>
      <c r="F1239" s="683"/>
      <c r="G1239" s="683"/>
      <c r="H1239" s="711"/>
      <c r="I1239" s="683"/>
      <c r="J1239" s="683"/>
      <c r="K1239" s="683"/>
      <c r="L1239" s="683"/>
      <c r="M1239" s="683"/>
      <c r="N1239" s="685"/>
      <c r="O1239" s="683"/>
      <c r="P1239" s="683"/>
      <c r="Q1239" s="683"/>
      <c r="R1239" s="683"/>
      <c r="S1239" s="683"/>
      <c r="T1239" s="683"/>
      <c r="U1239" s="683"/>
      <c r="V1239" s="683"/>
      <c r="W1239" s="683"/>
      <c r="X1239" s="683"/>
      <c r="Y1239" s="683"/>
      <c r="Z1239" s="683"/>
    </row>
    <row r="1240" spans="1:26" ht="15.75" customHeight="1" x14ac:dyDescent="0.25">
      <c r="A1240" s="3" t="s">
        <v>2774</v>
      </c>
      <c r="B1240" s="3" t="s">
        <v>2769</v>
      </c>
      <c r="C1240" s="683"/>
      <c r="D1240" s="683"/>
      <c r="E1240" s="683"/>
      <c r="F1240" s="683"/>
      <c r="G1240" s="683"/>
      <c r="H1240" s="711"/>
      <c r="I1240" s="683"/>
      <c r="J1240" s="683"/>
      <c r="K1240" s="683"/>
      <c r="L1240" s="683"/>
      <c r="M1240" s="683"/>
      <c r="N1240" s="685"/>
      <c r="O1240" s="683"/>
      <c r="P1240" s="683"/>
      <c r="Q1240" s="683"/>
      <c r="R1240" s="683"/>
      <c r="S1240" s="683"/>
      <c r="T1240" s="683"/>
      <c r="U1240" s="683"/>
      <c r="V1240" s="683"/>
      <c r="W1240" s="683"/>
      <c r="X1240" s="683"/>
      <c r="Y1240" s="683"/>
      <c r="Z1240" s="683"/>
    </row>
    <row r="1241" spans="1:26" ht="15.75" customHeight="1" x14ac:dyDescent="0.25">
      <c r="A1241" s="3" t="s">
        <v>2775</v>
      </c>
      <c r="B1241" s="3" t="s">
        <v>2769</v>
      </c>
      <c r="C1241" s="683"/>
      <c r="D1241" s="683"/>
      <c r="E1241" s="683"/>
      <c r="F1241" s="683"/>
      <c r="G1241" s="683"/>
      <c r="H1241" s="711"/>
      <c r="I1241" s="683"/>
      <c r="J1241" s="683"/>
      <c r="K1241" s="683"/>
      <c r="L1241" s="683"/>
      <c r="M1241" s="683"/>
      <c r="N1241" s="685"/>
      <c r="O1241" s="683"/>
      <c r="P1241" s="683"/>
      <c r="Q1241" s="683"/>
      <c r="R1241" s="683"/>
      <c r="S1241" s="683"/>
      <c r="T1241" s="683"/>
      <c r="U1241" s="683"/>
      <c r="V1241" s="683"/>
      <c r="W1241" s="683"/>
      <c r="X1241" s="683"/>
      <c r="Y1241" s="683"/>
      <c r="Z1241" s="683"/>
    </row>
    <row r="1242" spans="1:26" ht="15.75" customHeight="1" x14ac:dyDescent="0.25">
      <c r="A1242" s="3" t="s">
        <v>2776</v>
      </c>
      <c r="B1242" s="3" t="s">
        <v>2769</v>
      </c>
      <c r="C1242" s="683"/>
      <c r="D1242" s="683"/>
      <c r="E1242" s="683"/>
      <c r="F1242" s="683"/>
      <c r="G1242" s="683"/>
      <c r="H1242" s="711"/>
      <c r="I1242" s="683"/>
      <c r="J1242" s="683"/>
      <c r="K1242" s="683"/>
      <c r="L1242" s="683"/>
      <c r="M1242" s="683"/>
      <c r="N1242" s="685"/>
      <c r="O1242" s="683"/>
      <c r="P1242" s="683"/>
      <c r="Q1242" s="683"/>
      <c r="R1242" s="683"/>
      <c r="S1242" s="683"/>
      <c r="T1242" s="683"/>
      <c r="U1242" s="683"/>
      <c r="V1242" s="683"/>
      <c r="W1242" s="683"/>
      <c r="X1242" s="683"/>
      <c r="Y1242" s="683"/>
      <c r="Z1242" s="683"/>
    </row>
    <row r="1243" spans="1:26" ht="15.75" customHeight="1" x14ac:dyDescent="0.25">
      <c r="A1243" s="3" t="s">
        <v>2777</v>
      </c>
      <c r="B1243" s="3" t="s">
        <v>2769</v>
      </c>
      <c r="C1243" s="683"/>
      <c r="D1243" s="683"/>
      <c r="E1243" s="683"/>
      <c r="F1243" s="683"/>
      <c r="G1243" s="683"/>
      <c r="H1243" s="711"/>
      <c r="I1243" s="683"/>
      <c r="J1243" s="683"/>
      <c r="K1243" s="683"/>
      <c r="L1243" s="683"/>
      <c r="M1243" s="683"/>
      <c r="N1243" s="685"/>
      <c r="O1243" s="683"/>
      <c r="P1243" s="683"/>
      <c r="Q1243" s="683"/>
      <c r="R1243" s="683"/>
      <c r="S1243" s="683"/>
      <c r="T1243" s="683"/>
      <c r="U1243" s="683"/>
      <c r="V1243" s="683"/>
      <c r="W1243" s="683"/>
      <c r="X1243" s="683"/>
      <c r="Y1243" s="683"/>
      <c r="Z1243" s="683"/>
    </row>
    <row r="1244" spans="1:26" ht="15.75" customHeight="1" x14ac:dyDescent="0.25">
      <c r="A1244" s="3" t="s">
        <v>2778</v>
      </c>
      <c r="B1244" s="3" t="s">
        <v>2769</v>
      </c>
      <c r="C1244" s="683"/>
      <c r="D1244" s="683"/>
      <c r="E1244" s="683"/>
      <c r="F1244" s="683"/>
      <c r="G1244" s="683"/>
      <c r="H1244" s="711"/>
      <c r="I1244" s="683"/>
      <c r="J1244" s="683"/>
      <c r="K1244" s="683"/>
      <c r="L1244" s="683"/>
      <c r="M1244" s="683"/>
      <c r="N1244" s="685"/>
      <c r="O1244" s="683"/>
      <c r="P1244" s="683"/>
      <c r="Q1244" s="683"/>
      <c r="R1244" s="683"/>
      <c r="S1244" s="683"/>
      <c r="T1244" s="683"/>
      <c r="U1244" s="683"/>
      <c r="V1244" s="683"/>
      <c r="W1244" s="683"/>
      <c r="X1244" s="683"/>
      <c r="Y1244" s="683"/>
      <c r="Z1244" s="683"/>
    </row>
    <row r="1245" spans="1:26" ht="15.75" customHeight="1" x14ac:dyDescent="0.25">
      <c r="A1245" s="3" t="s">
        <v>2779</v>
      </c>
      <c r="B1245" s="3" t="s">
        <v>2769</v>
      </c>
      <c r="C1245" s="683"/>
      <c r="D1245" s="683"/>
      <c r="E1245" s="683"/>
      <c r="F1245" s="683"/>
      <c r="G1245" s="683"/>
      <c r="H1245" s="711"/>
      <c r="I1245" s="683"/>
      <c r="J1245" s="683"/>
      <c r="K1245" s="683"/>
      <c r="L1245" s="683"/>
      <c r="M1245" s="683"/>
      <c r="N1245" s="685"/>
      <c r="O1245" s="683"/>
      <c r="P1245" s="683"/>
      <c r="Q1245" s="683"/>
      <c r="R1245" s="683"/>
      <c r="S1245" s="683"/>
      <c r="T1245" s="683"/>
      <c r="U1245" s="683"/>
      <c r="V1245" s="683"/>
      <c r="W1245" s="683"/>
      <c r="X1245" s="683"/>
      <c r="Y1245" s="683"/>
      <c r="Z1245" s="683"/>
    </row>
    <row r="1246" spans="1:26" ht="15.75" customHeight="1" x14ac:dyDescent="0.25">
      <c r="A1246" s="3" t="s">
        <v>2780</v>
      </c>
      <c r="B1246" s="3" t="s">
        <v>2769</v>
      </c>
      <c r="C1246" s="683"/>
      <c r="D1246" s="683"/>
      <c r="E1246" s="683"/>
      <c r="F1246" s="683"/>
      <c r="G1246" s="683"/>
      <c r="H1246" s="711"/>
      <c r="I1246" s="683"/>
      <c r="J1246" s="683"/>
      <c r="K1246" s="683"/>
      <c r="L1246" s="683"/>
      <c r="M1246" s="683"/>
      <c r="N1246" s="685"/>
      <c r="O1246" s="683"/>
      <c r="P1246" s="683"/>
      <c r="Q1246" s="683"/>
      <c r="R1246" s="683"/>
      <c r="S1246" s="683"/>
      <c r="T1246" s="683"/>
      <c r="U1246" s="683"/>
      <c r="V1246" s="683"/>
      <c r="W1246" s="683"/>
      <c r="X1246" s="683"/>
      <c r="Y1246" s="683"/>
      <c r="Z1246" s="683"/>
    </row>
    <row r="1247" spans="1:26" ht="15.75" customHeight="1" x14ac:dyDescent="0.25">
      <c r="A1247" s="3" t="s">
        <v>2781</v>
      </c>
      <c r="B1247" s="3" t="s">
        <v>2769</v>
      </c>
      <c r="C1247" s="683"/>
      <c r="D1247" s="683"/>
      <c r="E1247" s="683"/>
      <c r="F1247" s="683"/>
      <c r="G1247" s="683"/>
      <c r="H1247" s="711"/>
      <c r="I1247" s="683"/>
      <c r="J1247" s="683"/>
      <c r="K1247" s="683"/>
      <c r="L1247" s="683"/>
      <c r="M1247" s="683"/>
      <c r="N1247" s="685"/>
      <c r="O1247" s="683"/>
      <c r="P1247" s="683"/>
      <c r="Q1247" s="683"/>
      <c r="R1247" s="683"/>
      <c r="S1247" s="683"/>
      <c r="T1247" s="683"/>
      <c r="U1247" s="683"/>
      <c r="V1247" s="683"/>
      <c r="W1247" s="683"/>
      <c r="X1247" s="683"/>
      <c r="Y1247" s="683"/>
      <c r="Z1247" s="683"/>
    </row>
    <row r="1248" spans="1:26" ht="15.75" customHeight="1" x14ac:dyDescent="0.25">
      <c r="A1248" s="3" t="s">
        <v>2782</v>
      </c>
      <c r="B1248" s="3" t="s">
        <v>2769</v>
      </c>
      <c r="C1248" s="683"/>
      <c r="D1248" s="683"/>
      <c r="E1248" s="683"/>
      <c r="F1248" s="683"/>
      <c r="G1248" s="683"/>
      <c r="H1248" s="711"/>
      <c r="I1248" s="683"/>
      <c r="J1248" s="683"/>
      <c r="K1248" s="683"/>
      <c r="L1248" s="683"/>
      <c r="M1248" s="683"/>
      <c r="N1248" s="685"/>
      <c r="O1248" s="683"/>
      <c r="P1248" s="683"/>
      <c r="Q1248" s="683"/>
      <c r="R1248" s="683"/>
      <c r="S1248" s="683"/>
      <c r="T1248" s="683"/>
      <c r="U1248" s="683"/>
      <c r="V1248" s="683"/>
      <c r="W1248" s="683"/>
      <c r="X1248" s="683"/>
      <c r="Y1248" s="683"/>
      <c r="Z1248" s="683"/>
    </row>
    <row r="1249" spans="1:26" ht="15.75" customHeight="1" x14ac:dyDescent="0.25">
      <c r="A1249" s="3" t="s">
        <v>2783</v>
      </c>
      <c r="B1249" s="3" t="s">
        <v>2769</v>
      </c>
      <c r="C1249" s="683"/>
      <c r="D1249" s="683"/>
      <c r="E1249" s="683"/>
      <c r="F1249" s="683"/>
      <c r="G1249" s="683"/>
      <c r="H1249" s="711"/>
      <c r="I1249" s="683"/>
      <c r="J1249" s="683"/>
      <c r="K1249" s="683"/>
      <c r="L1249" s="683"/>
      <c r="M1249" s="683"/>
      <c r="N1249" s="685"/>
      <c r="O1249" s="683"/>
      <c r="P1249" s="683"/>
      <c r="Q1249" s="683"/>
      <c r="R1249" s="683"/>
      <c r="S1249" s="683"/>
      <c r="T1249" s="683"/>
      <c r="U1249" s="683"/>
      <c r="V1249" s="683"/>
      <c r="W1249" s="683"/>
      <c r="X1249" s="683"/>
      <c r="Y1249" s="683"/>
      <c r="Z1249" s="683"/>
    </row>
    <row r="1250" spans="1:26" ht="15.75" customHeight="1" x14ac:dyDescent="0.25">
      <c r="A1250" s="3" t="s">
        <v>2784</v>
      </c>
      <c r="B1250" s="3" t="s">
        <v>2769</v>
      </c>
      <c r="C1250" s="683"/>
      <c r="D1250" s="683"/>
      <c r="E1250" s="683"/>
      <c r="F1250" s="683"/>
      <c r="G1250" s="683"/>
      <c r="H1250" s="711"/>
      <c r="I1250" s="683"/>
      <c r="J1250" s="683"/>
      <c r="K1250" s="683"/>
      <c r="L1250" s="683"/>
      <c r="M1250" s="683"/>
      <c r="N1250" s="685"/>
      <c r="O1250" s="683"/>
      <c r="P1250" s="683"/>
      <c r="Q1250" s="683"/>
      <c r="R1250" s="683"/>
      <c r="S1250" s="683"/>
      <c r="T1250" s="683"/>
      <c r="U1250" s="683"/>
      <c r="V1250" s="683"/>
      <c r="W1250" s="683"/>
      <c r="X1250" s="683"/>
      <c r="Y1250" s="683"/>
      <c r="Z1250" s="683"/>
    </row>
    <row r="1251" spans="1:26" ht="15.75" customHeight="1" x14ac:dyDescent="0.25">
      <c r="A1251" s="3" t="s">
        <v>2785</v>
      </c>
      <c r="B1251" s="3" t="s">
        <v>2769</v>
      </c>
      <c r="C1251" s="683"/>
      <c r="D1251" s="683"/>
      <c r="E1251" s="683"/>
      <c r="F1251" s="683"/>
      <c r="G1251" s="683"/>
      <c r="H1251" s="711"/>
      <c r="I1251" s="683"/>
      <c r="J1251" s="683"/>
      <c r="K1251" s="683"/>
      <c r="L1251" s="683"/>
      <c r="M1251" s="683"/>
      <c r="N1251" s="685"/>
      <c r="O1251" s="683"/>
      <c r="P1251" s="683"/>
      <c r="Q1251" s="683"/>
      <c r="R1251" s="683"/>
      <c r="S1251" s="683"/>
      <c r="T1251" s="683"/>
      <c r="U1251" s="683"/>
      <c r="V1251" s="683"/>
      <c r="W1251" s="683"/>
      <c r="X1251" s="683"/>
      <c r="Y1251" s="683"/>
      <c r="Z1251" s="683"/>
    </row>
    <row r="1252" spans="1:26" ht="15.75" customHeight="1" x14ac:dyDescent="0.25">
      <c r="A1252" s="19" t="s">
        <v>2786</v>
      </c>
      <c r="B1252" s="3" t="s">
        <v>2769</v>
      </c>
      <c r="C1252" s="683"/>
      <c r="D1252" s="683"/>
      <c r="E1252" s="683"/>
      <c r="F1252" s="683"/>
      <c r="G1252" s="683"/>
      <c r="H1252" s="711"/>
      <c r="I1252" s="683"/>
      <c r="J1252" s="683"/>
      <c r="K1252" s="683"/>
      <c r="L1252" s="683"/>
      <c r="M1252" s="683"/>
      <c r="N1252" s="685"/>
      <c r="O1252" s="683"/>
      <c r="P1252" s="683"/>
      <c r="Q1252" s="683"/>
      <c r="R1252" s="683"/>
      <c r="S1252" s="683"/>
      <c r="T1252" s="683"/>
      <c r="U1252" s="683"/>
      <c r="V1252" s="683"/>
      <c r="W1252" s="683"/>
      <c r="X1252" s="683"/>
      <c r="Y1252" s="683"/>
      <c r="Z1252" s="683"/>
    </row>
    <row r="1253" spans="1:26" ht="15.75" customHeight="1" x14ac:dyDescent="0.25">
      <c r="A1253" s="3" t="s">
        <v>2787</v>
      </c>
      <c r="B1253" s="3" t="s">
        <v>2769</v>
      </c>
      <c r="C1253" s="683"/>
      <c r="D1253" s="683"/>
      <c r="E1253" s="683"/>
      <c r="F1253" s="683"/>
      <c r="G1253" s="683"/>
      <c r="H1253" s="711"/>
      <c r="I1253" s="683"/>
      <c r="J1253" s="683"/>
      <c r="K1253" s="683"/>
      <c r="L1253" s="683"/>
      <c r="M1253" s="683"/>
      <c r="N1253" s="685"/>
      <c r="O1253" s="683"/>
      <c r="P1253" s="683"/>
      <c r="Q1253" s="683"/>
      <c r="R1253" s="683"/>
      <c r="S1253" s="683"/>
      <c r="T1253" s="683"/>
      <c r="U1253" s="683"/>
      <c r="V1253" s="683"/>
      <c r="W1253" s="683"/>
      <c r="X1253" s="683"/>
      <c r="Y1253" s="683"/>
      <c r="Z1253" s="683"/>
    </row>
    <row r="1254" spans="1:26" ht="15.75" customHeight="1" x14ac:dyDescent="0.25">
      <c r="A1254" s="3" t="s">
        <v>2788</v>
      </c>
      <c r="B1254" s="3" t="s">
        <v>2769</v>
      </c>
      <c r="C1254" s="683"/>
      <c r="D1254" s="683"/>
      <c r="E1254" s="683"/>
      <c r="F1254" s="683"/>
      <c r="G1254" s="683"/>
      <c r="H1254" s="711"/>
      <c r="I1254" s="683"/>
      <c r="J1254" s="683"/>
      <c r="K1254" s="683"/>
      <c r="L1254" s="683"/>
      <c r="M1254" s="683"/>
      <c r="N1254" s="685"/>
      <c r="O1254" s="683"/>
      <c r="P1254" s="683"/>
      <c r="Q1254" s="683"/>
      <c r="R1254" s="683"/>
      <c r="S1254" s="683"/>
      <c r="T1254" s="683"/>
      <c r="U1254" s="683"/>
      <c r="V1254" s="683"/>
      <c r="W1254" s="683"/>
      <c r="X1254" s="683"/>
      <c r="Y1254" s="683"/>
      <c r="Z1254" s="683"/>
    </row>
    <row r="1255" spans="1:26" ht="15.75" customHeight="1" x14ac:dyDescent="0.25">
      <c r="A1255" s="3" t="s">
        <v>2789</v>
      </c>
      <c r="B1255" s="3" t="s">
        <v>2769</v>
      </c>
      <c r="C1255" s="683"/>
      <c r="D1255" s="683"/>
      <c r="E1255" s="683"/>
      <c r="F1255" s="683"/>
      <c r="G1255" s="683"/>
      <c r="H1255" s="711"/>
      <c r="I1255" s="683"/>
      <c r="J1255" s="683"/>
      <c r="K1255" s="683"/>
      <c r="L1255" s="683"/>
      <c r="M1255" s="683"/>
      <c r="N1255" s="685"/>
      <c r="O1255" s="683"/>
      <c r="P1255" s="683"/>
      <c r="Q1255" s="683"/>
      <c r="R1255" s="683"/>
      <c r="S1255" s="683"/>
      <c r="T1255" s="683"/>
      <c r="U1255" s="683"/>
      <c r="V1255" s="683"/>
      <c r="W1255" s="683"/>
      <c r="X1255" s="683"/>
      <c r="Y1255" s="683"/>
      <c r="Z1255" s="683"/>
    </row>
    <row r="1256" spans="1:26" ht="15.75" customHeight="1" x14ac:dyDescent="0.25">
      <c r="A1256" s="683" t="s">
        <v>2790</v>
      </c>
      <c r="B1256" s="3" t="s">
        <v>2769</v>
      </c>
      <c r="C1256" s="683"/>
      <c r="D1256" s="683"/>
      <c r="E1256" s="683"/>
      <c r="F1256" s="683"/>
      <c r="G1256" s="683"/>
      <c r="H1256" s="711"/>
      <c r="I1256" s="683"/>
      <c r="J1256" s="683"/>
      <c r="K1256" s="683"/>
      <c r="L1256" s="683"/>
      <c r="M1256" s="683"/>
      <c r="N1256" s="685"/>
      <c r="O1256" s="683"/>
      <c r="P1256" s="683"/>
      <c r="Q1256" s="683"/>
      <c r="R1256" s="683"/>
      <c r="S1256" s="683"/>
      <c r="T1256" s="683"/>
      <c r="U1256" s="683"/>
      <c r="V1256" s="683"/>
      <c r="W1256" s="683"/>
      <c r="X1256" s="683"/>
      <c r="Y1256" s="683"/>
      <c r="Z1256" s="683"/>
    </row>
    <row r="1257" spans="1:26" ht="15.75" customHeight="1" x14ac:dyDescent="0.25">
      <c r="A1257" s="683" t="s">
        <v>2791</v>
      </c>
      <c r="B1257" s="3" t="s">
        <v>2769</v>
      </c>
      <c r="C1257" s="683"/>
      <c r="D1257" s="683"/>
      <c r="E1257" s="683"/>
      <c r="F1257" s="683"/>
      <c r="G1257" s="683"/>
      <c r="H1257" s="711"/>
      <c r="I1257" s="683"/>
      <c r="J1257" s="683"/>
      <c r="K1257" s="683"/>
      <c r="L1257" s="683"/>
      <c r="M1257" s="683"/>
      <c r="N1257" s="685"/>
      <c r="O1257" s="683"/>
      <c r="P1257" s="683"/>
      <c r="Q1257" s="683"/>
      <c r="R1257" s="683"/>
      <c r="S1257" s="683"/>
      <c r="T1257" s="683"/>
      <c r="U1257" s="683"/>
      <c r="V1257" s="683"/>
      <c r="W1257" s="683"/>
      <c r="X1257" s="683"/>
      <c r="Y1257" s="683"/>
      <c r="Z1257" s="683"/>
    </row>
    <row r="1258" spans="1:26" ht="15.75" customHeight="1" x14ac:dyDescent="0.25">
      <c r="A1258" s="3" t="s">
        <v>2792</v>
      </c>
      <c r="B1258" s="3" t="s">
        <v>2769</v>
      </c>
      <c r="C1258" s="683"/>
      <c r="D1258" s="683"/>
      <c r="E1258" s="683"/>
      <c r="F1258" s="683"/>
      <c r="G1258" s="683"/>
      <c r="H1258" s="711"/>
      <c r="I1258" s="683"/>
      <c r="J1258" s="683"/>
      <c r="K1258" s="683"/>
      <c r="L1258" s="683"/>
      <c r="M1258" s="683"/>
      <c r="N1258" s="685"/>
      <c r="O1258" s="683"/>
      <c r="P1258" s="683"/>
      <c r="Q1258" s="683"/>
      <c r="R1258" s="683"/>
      <c r="S1258" s="683"/>
      <c r="T1258" s="683"/>
      <c r="U1258" s="683"/>
      <c r="V1258" s="683"/>
      <c r="W1258" s="683"/>
      <c r="X1258" s="683"/>
      <c r="Y1258" s="683"/>
      <c r="Z1258" s="683"/>
    </row>
    <row r="1259" spans="1:26" ht="15.75" customHeight="1" x14ac:dyDescent="0.25">
      <c r="A1259" s="3" t="s">
        <v>2793</v>
      </c>
      <c r="B1259" s="3" t="s">
        <v>2769</v>
      </c>
      <c r="C1259" s="683"/>
      <c r="D1259" s="683"/>
      <c r="E1259" s="683"/>
      <c r="F1259" s="683"/>
      <c r="G1259" s="683"/>
      <c r="H1259" s="711"/>
      <c r="I1259" s="683"/>
      <c r="J1259" s="683"/>
      <c r="K1259" s="683"/>
      <c r="L1259" s="683"/>
      <c r="M1259" s="683"/>
      <c r="N1259" s="685"/>
      <c r="O1259" s="683"/>
      <c r="P1259" s="683"/>
      <c r="Q1259" s="683"/>
      <c r="R1259" s="683"/>
      <c r="S1259" s="683"/>
      <c r="T1259" s="683"/>
      <c r="U1259" s="683"/>
      <c r="V1259" s="683"/>
      <c r="W1259" s="683"/>
      <c r="X1259" s="683"/>
      <c r="Y1259" s="683"/>
      <c r="Z1259" s="683"/>
    </row>
    <row r="1260" spans="1:26" ht="15.75" customHeight="1" x14ac:dyDescent="0.25">
      <c r="A1260" s="3" t="s">
        <v>2794</v>
      </c>
      <c r="B1260" s="3" t="s">
        <v>2769</v>
      </c>
      <c r="C1260" s="683"/>
      <c r="D1260" s="683"/>
      <c r="E1260" s="683"/>
      <c r="F1260" s="683"/>
      <c r="G1260" s="683"/>
      <c r="H1260" s="711"/>
      <c r="I1260" s="683"/>
      <c r="J1260" s="683"/>
      <c r="K1260" s="683"/>
      <c r="L1260" s="683"/>
      <c r="M1260" s="683"/>
      <c r="N1260" s="685"/>
      <c r="O1260" s="683"/>
      <c r="P1260" s="683"/>
      <c r="Q1260" s="683"/>
      <c r="R1260" s="683"/>
      <c r="S1260" s="683"/>
      <c r="T1260" s="683"/>
      <c r="U1260" s="683"/>
      <c r="V1260" s="683"/>
      <c r="W1260" s="683"/>
      <c r="X1260" s="683"/>
      <c r="Y1260" s="683"/>
      <c r="Z1260" s="683"/>
    </row>
    <row r="1261" spans="1:26" ht="15.75" customHeight="1" x14ac:dyDescent="0.25">
      <c r="A1261" s="3" t="s">
        <v>395</v>
      </c>
      <c r="B1261" s="3" t="s">
        <v>2769</v>
      </c>
      <c r="C1261" s="683"/>
      <c r="D1261" s="683"/>
      <c r="E1261" s="683"/>
      <c r="F1261" s="683"/>
      <c r="G1261" s="683"/>
      <c r="H1261" s="711"/>
      <c r="I1261" s="683"/>
      <c r="J1261" s="683"/>
      <c r="K1261" s="683"/>
      <c r="L1261" s="683"/>
      <c r="M1261" s="683"/>
      <c r="N1261" s="685"/>
      <c r="O1261" s="683"/>
      <c r="P1261" s="683"/>
      <c r="Q1261" s="683"/>
      <c r="R1261" s="683"/>
      <c r="S1261" s="683"/>
      <c r="T1261" s="683"/>
      <c r="U1261" s="683"/>
      <c r="V1261" s="683"/>
      <c r="W1261" s="683"/>
      <c r="X1261" s="683"/>
      <c r="Y1261" s="683"/>
      <c r="Z1261" s="683"/>
    </row>
    <row r="1262" spans="1:26" ht="15.75" customHeight="1" x14ac:dyDescent="0.25">
      <c r="A1262" s="3" t="s">
        <v>2795</v>
      </c>
      <c r="B1262" s="3" t="s">
        <v>2769</v>
      </c>
      <c r="C1262" s="683"/>
      <c r="D1262" s="683"/>
      <c r="E1262" s="683"/>
      <c r="F1262" s="683"/>
      <c r="G1262" s="683"/>
      <c r="H1262" s="711"/>
      <c r="I1262" s="683"/>
      <c r="J1262" s="683"/>
      <c r="K1262" s="683"/>
      <c r="L1262" s="683"/>
      <c r="M1262" s="683"/>
      <c r="N1262" s="685"/>
      <c r="O1262" s="683"/>
      <c r="P1262" s="683"/>
      <c r="Q1262" s="683"/>
      <c r="R1262" s="683"/>
      <c r="S1262" s="683"/>
      <c r="T1262" s="683"/>
      <c r="U1262" s="683"/>
      <c r="V1262" s="683"/>
      <c r="W1262" s="683"/>
      <c r="X1262" s="683"/>
      <c r="Y1262" s="683"/>
      <c r="Z1262" s="683"/>
    </row>
    <row r="1263" spans="1:26" ht="15.75" customHeight="1" x14ac:dyDescent="0.25">
      <c r="A1263" s="3" t="s">
        <v>2796</v>
      </c>
      <c r="B1263" s="3" t="s">
        <v>2769</v>
      </c>
      <c r="C1263" s="683"/>
      <c r="D1263" s="683"/>
      <c r="E1263" s="683"/>
      <c r="F1263" s="683"/>
      <c r="G1263" s="683"/>
      <c r="H1263" s="711"/>
      <c r="I1263" s="683"/>
      <c r="J1263" s="683"/>
      <c r="K1263" s="683"/>
      <c r="L1263" s="683"/>
      <c r="M1263" s="683"/>
      <c r="N1263" s="685"/>
      <c r="O1263" s="683"/>
      <c r="P1263" s="683"/>
      <c r="Q1263" s="683"/>
      <c r="R1263" s="683"/>
      <c r="S1263" s="683"/>
      <c r="T1263" s="683"/>
      <c r="U1263" s="683"/>
      <c r="V1263" s="683"/>
      <c r="W1263" s="683"/>
      <c r="X1263" s="683"/>
      <c r="Y1263" s="683"/>
      <c r="Z1263" s="683"/>
    </row>
    <row r="1264" spans="1:26" ht="15.75" customHeight="1" x14ac:dyDescent="0.25">
      <c r="A1264" s="683" t="s">
        <v>2797</v>
      </c>
      <c r="B1264" s="3" t="s">
        <v>2769</v>
      </c>
      <c r="C1264" s="683"/>
      <c r="D1264" s="683"/>
      <c r="E1264" s="683"/>
      <c r="F1264" s="683"/>
      <c r="G1264" s="683"/>
      <c r="H1264" s="711"/>
      <c r="I1264" s="683"/>
      <c r="J1264" s="683"/>
      <c r="K1264" s="683"/>
      <c r="L1264" s="683"/>
      <c r="M1264" s="683"/>
      <c r="N1264" s="685"/>
      <c r="O1264" s="683"/>
      <c r="P1264" s="683"/>
      <c r="Q1264" s="683"/>
      <c r="R1264" s="683"/>
      <c r="S1264" s="683"/>
      <c r="T1264" s="683"/>
      <c r="U1264" s="683"/>
      <c r="V1264" s="683"/>
      <c r="W1264" s="683"/>
      <c r="X1264" s="683"/>
      <c r="Y1264" s="683"/>
      <c r="Z1264" s="683"/>
    </row>
    <row r="1265" spans="1:26" ht="15.75" customHeight="1" x14ac:dyDescent="0.25">
      <c r="A1265" s="683" t="s">
        <v>2798</v>
      </c>
      <c r="B1265" s="3" t="s">
        <v>2769</v>
      </c>
      <c r="C1265" s="683"/>
      <c r="D1265" s="683"/>
      <c r="E1265" s="683"/>
      <c r="F1265" s="683"/>
      <c r="G1265" s="683"/>
      <c r="H1265" s="711"/>
      <c r="I1265" s="683"/>
      <c r="J1265" s="683"/>
      <c r="K1265" s="683"/>
      <c r="L1265" s="683"/>
      <c r="M1265" s="683"/>
      <c r="N1265" s="685"/>
      <c r="O1265" s="683"/>
      <c r="P1265" s="683"/>
      <c r="Q1265" s="683"/>
      <c r="R1265" s="683"/>
      <c r="S1265" s="683"/>
      <c r="T1265" s="683"/>
      <c r="U1265" s="683"/>
      <c r="V1265" s="683"/>
      <c r="W1265" s="683"/>
      <c r="X1265" s="683"/>
      <c r="Y1265" s="683"/>
      <c r="Z1265" s="683"/>
    </row>
    <row r="1266" spans="1:26" ht="15.75" customHeight="1" x14ac:dyDescent="0.25">
      <c r="A1266" s="3" t="s">
        <v>2799</v>
      </c>
      <c r="B1266" s="3" t="s">
        <v>2769</v>
      </c>
      <c r="C1266" s="683"/>
      <c r="D1266" s="683"/>
      <c r="E1266" s="683"/>
      <c r="F1266" s="683"/>
      <c r="G1266" s="683"/>
      <c r="H1266" s="711"/>
      <c r="I1266" s="683"/>
      <c r="J1266" s="683"/>
      <c r="K1266" s="683"/>
      <c r="L1266" s="683"/>
      <c r="M1266" s="683"/>
      <c r="N1266" s="685"/>
      <c r="O1266" s="683"/>
      <c r="P1266" s="683"/>
      <c r="Q1266" s="683"/>
      <c r="R1266" s="683"/>
      <c r="S1266" s="683"/>
      <c r="T1266" s="683"/>
      <c r="U1266" s="683"/>
      <c r="V1266" s="683"/>
      <c r="W1266" s="683"/>
      <c r="X1266" s="683"/>
      <c r="Y1266" s="683"/>
      <c r="Z1266" s="683"/>
    </row>
    <row r="1267" spans="1:26" ht="15.75" customHeight="1" x14ac:dyDescent="0.25">
      <c r="A1267" s="3" t="s">
        <v>2800</v>
      </c>
      <c r="B1267" s="3" t="s">
        <v>2769</v>
      </c>
      <c r="C1267" s="683"/>
      <c r="D1267" s="683"/>
      <c r="E1267" s="683"/>
      <c r="F1267" s="683"/>
      <c r="G1267" s="683"/>
      <c r="H1267" s="711"/>
      <c r="I1267" s="683"/>
      <c r="J1267" s="683"/>
      <c r="K1267" s="683"/>
      <c r="L1267" s="683"/>
      <c r="M1267" s="683"/>
      <c r="N1267" s="685"/>
      <c r="O1267" s="683"/>
      <c r="P1267" s="683"/>
      <c r="Q1267" s="683"/>
      <c r="R1267" s="683"/>
      <c r="S1267" s="683"/>
      <c r="T1267" s="683"/>
      <c r="U1267" s="683"/>
      <c r="V1267" s="683"/>
      <c r="W1267" s="683"/>
      <c r="X1267" s="683"/>
      <c r="Y1267" s="683"/>
      <c r="Z1267" s="683"/>
    </row>
    <row r="1268" spans="1:26" ht="15.75" customHeight="1" x14ac:dyDescent="0.25">
      <c r="A1268" s="3" t="s">
        <v>2767</v>
      </c>
      <c r="B1268" s="3" t="s">
        <v>2769</v>
      </c>
      <c r="C1268" s="683"/>
      <c r="D1268" s="683"/>
      <c r="E1268" s="683"/>
      <c r="F1268" s="683"/>
      <c r="G1268" s="683"/>
      <c r="H1268" s="711"/>
      <c r="I1268" s="683"/>
      <c r="J1268" s="683"/>
      <c r="K1268" s="683"/>
      <c r="L1268" s="683"/>
      <c r="M1268" s="683"/>
      <c r="N1268" s="685"/>
      <c r="O1268" s="683"/>
      <c r="P1268" s="683"/>
      <c r="Q1268" s="683"/>
      <c r="R1268" s="683"/>
      <c r="S1268" s="683"/>
      <c r="T1268" s="683"/>
      <c r="U1268" s="683"/>
      <c r="V1268" s="683"/>
      <c r="W1268" s="683"/>
      <c r="X1268" s="683"/>
      <c r="Y1268" s="683"/>
      <c r="Z1268" s="683"/>
    </row>
    <row r="1269" spans="1:26" ht="15.75" customHeight="1" x14ac:dyDescent="0.25">
      <c r="A1269" s="3" t="s">
        <v>2801</v>
      </c>
      <c r="B1269" s="3" t="s">
        <v>2769</v>
      </c>
      <c r="C1269" s="683"/>
      <c r="D1269" s="683"/>
      <c r="E1269" s="683"/>
      <c r="F1269" s="683"/>
      <c r="G1269" s="683"/>
      <c r="H1269" s="711"/>
      <c r="I1269" s="683"/>
      <c r="J1269" s="683"/>
      <c r="K1269" s="683"/>
      <c r="L1269" s="683"/>
      <c r="M1269" s="683"/>
      <c r="N1269" s="685"/>
      <c r="O1269" s="683"/>
      <c r="P1269" s="683"/>
      <c r="Q1269" s="683"/>
      <c r="R1269" s="683"/>
      <c r="S1269" s="683"/>
      <c r="T1269" s="683"/>
      <c r="U1269" s="683"/>
      <c r="V1269" s="683"/>
      <c r="W1269" s="683"/>
      <c r="X1269" s="683"/>
      <c r="Y1269" s="683"/>
      <c r="Z1269" s="683"/>
    </row>
    <row r="1270" spans="1:26" ht="15.75" customHeight="1" x14ac:dyDescent="0.25">
      <c r="A1270" s="3" t="s">
        <v>2802</v>
      </c>
      <c r="B1270" s="3" t="s">
        <v>2769</v>
      </c>
      <c r="C1270" s="683"/>
      <c r="D1270" s="683"/>
      <c r="E1270" s="683"/>
      <c r="F1270" s="683"/>
      <c r="G1270" s="683"/>
      <c r="H1270" s="711"/>
      <c r="I1270" s="683"/>
      <c r="J1270" s="683"/>
      <c r="K1270" s="683"/>
      <c r="L1270" s="683"/>
      <c r="M1270" s="683"/>
      <c r="N1270" s="685"/>
      <c r="O1270" s="683"/>
      <c r="P1270" s="683"/>
      <c r="Q1270" s="683"/>
      <c r="R1270" s="683"/>
      <c r="S1270" s="683"/>
      <c r="T1270" s="683"/>
      <c r="U1270" s="683"/>
      <c r="V1270" s="683"/>
      <c r="W1270" s="683"/>
      <c r="X1270" s="683"/>
      <c r="Y1270" s="683"/>
      <c r="Z1270" s="683"/>
    </row>
    <row r="1271" spans="1:26" ht="15.75" customHeight="1" x14ac:dyDescent="0.25">
      <c r="A1271" s="683" t="s">
        <v>2803</v>
      </c>
      <c r="B1271" s="3" t="s">
        <v>2769</v>
      </c>
      <c r="C1271" s="683"/>
      <c r="D1271" s="683"/>
      <c r="E1271" s="683"/>
      <c r="F1271" s="683"/>
      <c r="G1271" s="683"/>
      <c r="H1271" s="711"/>
      <c r="I1271" s="683"/>
      <c r="J1271" s="683"/>
      <c r="K1271" s="683"/>
      <c r="L1271" s="683"/>
      <c r="M1271" s="683"/>
      <c r="N1271" s="685"/>
      <c r="O1271" s="683"/>
      <c r="P1271" s="683"/>
      <c r="Q1271" s="683"/>
      <c r="R1271" s="683"/>
      <c r="S1271" s="683"/>
      <c r="T1271" s="683"/>
      <c r="U1271" s="683"/>
      <c r="V1271" s="683"/>
      <c r="W1271" s="683"/>
      <c r="X1271" s="683"/>
      <c r="Y1271" s="683"/>
      <c r="Z1271" s="683"/>
    </row>
    <row r="1272" spans="1:26" ht="15.75" customHeight="1" x14ac:dyDescent="0.25">
      <c r="A1272" s="683" t="s">
        <v>2804</v>
      </c>
      <c r="B1272" s="3" t="s">
        <v>2769</v>
      </c>
      <c r="C1272" s="683"/>
      <c r="D1272" s="683"/>
      <c r="E1272" s="683"/>
      <c r="F1272" s="683"/>
      <c r="G1272" s="683"/>
      <c r="H1272" s="711"/>
      <c r="I1272" s="683"/>
      <c r="J1272" s="683"/>
      <c r="K1272" s="683"/>
      <c r="L1272" s="683"/>
      <c r="M1272" s="683"/>
      <c r="N1272" s="685"/>
      <c r="O1272" s="683"/>
      <c r="P1272" s="683"/>
      <c r="Q1272" s="683"/>
      <c r="R1272" s="683"/>
      <c r="S1272" s="683"/>
      <c r="T1272" s="683"/>
      <c r="U1272" s="683"/>
      <c r="V1272" s="683"/>
      <c r="W1272" s="683"/>
      <c r="X1272" s="683"/>
      <c r="Y1272" s="683"/>
      <c r="Z1272" s="683"/>
    </row>
    <row r="1273" spans="1:26" ht="15.75" customHeight="1" x14ac:dyDescent="0.25">
      <c r="A1273" s="3" t="s">
        <v>2805</v>
      </c>
      <c r="B1273" s="3" t="s">
        <v>2769</v>
      </c>
      <c r="C1273" s="683"/>
      <c r="D1273" s="683"/>
      <c r="E1273" s="683"/>
      <c r="F1273" s="683"/>
      <c r="G1273" s="683"/>
      <c r="H1273" s="711"/>
      <c r="I1273" s="683"/>
      <c r="J1273" s="683"/>
      <c r="K1273" s="683"/>
      <c r="L1273" s="683"/>
      <c r="M1273" s="683"/>
      <c r="N1273" s="685"/>
      <c r="O1273" s="683"/>
      <c r="P1273" s="683"/>
      <c r="Q1273" s="683"/>
      <c r="R1273" s="683"/>
      <c r="S1273" s="683"/>
      <c r="T1273" s="683"/>
      <c r="U1273" s="683"/>
      <c r="V1273" s="683"/>
      <c r="W1273" s="683"/>
      <c r="X1273" s="683"/>
      <c r="Y1273" s="683"/>
      <c r="Z1273" s="683"/>
    </row>
    <row r="1274" spans="1:26" ht="15.75" customHeight="1" x14ac:dyDescent="0.25">
      <c r="A1274" s="3" t="s">
        <v>2806</v>
      </c>
      <c r="B1274" s="3" t="s">
        <v>2769</v>
      </c>
      <c r="C1274" s="683"/>
      <c r="D1274" s="683"/>
      <c r="E1274" s="683"/>
      <c r="F1274" s="683"/>
      <c r="G1274" s="683"/>
      <c r="H1274" s="711"/>
      <c r="I1274" s="683"/>
      <c r="J1274" s="683"/>
      <c r="K1274" s="683"/>
      <c r="L1274" s="683"/>
      <c r="M1274" s="683"/>
      <c r="N1274" s="685"/>
      <c r="O1274" s="683"/>
      <c r="P1274" s="683"/>
      <c r="Q1274" s="683"/>
      <c r="R1274" s="683"/>
      <c r="S1274" s="683"/>
      <c r="T1274" s="683"/>
      <c r="U1274" s="683"/>
      <c r="V1274" s="683"/>
      <c r="W1274" s="683"/>
      <c r="X1274" s="683"/>
      <c r="Y1274" s="683"/>
      <c r="Z1274" s="683"/>
    </row>
    <row r="1275" spans="1:26" ht="15.75" customHeight="1" x14ac:dyDescent="0.25">
      <c r="A1275" s="3" t="s">
        <v>329</v>
      </c>
      <c r="B1275" s="3" t="s">
        <v>2769</v>
      </c>
      <c r="C1275" s="683"/>
      <c r="D1275" s="683"/>
      <c r="E1275" s="683"/>
      <c r="F1275" s="683"/>
      <c r="G1275" s="683"/>
      <c r="H1275" s="711"/>
      <c r="I1275" s="683"/>
      <c r="J1275" s="683"/>
      <c r="K1275" s="683"/>
      <c r="L1275" s="683"/>
      <c r="M1275" s="683"/>
      <c r="N1275" s="685"/>
      <c r="O1275" s="683"/>
      <c r="P1275" s="683"/>
      <c r="Q1275" s="683"/>
      <c r="R1275" s="683"/>
      <c r="S1275" s="683"/>
      <c r="T1275" s="683"/>
      <c r="U1275" s="683"/>
      <c r="V1275" s="683"/>
      <c r="W1275" s="683"/>
      <c r="X1275" s="683"/>
      <c r="Y1275" s="683"/>
      <c r="Z1275" s="683"/>
    </row>
    <row r="1276" spans="1:26" ht="15.75" customHeight="1" x14ac:dyDescent="0.25">
      <c r="A1276" s="3" t="s">
        <v>2807</v>
      </c>
      <c r="B1276" s="3" t="s">
        <v>2769</v>
      </c>
      <c r="C1276" s="683"/>
      <c r="D1276" s="683"/>
      <c r="E1276" s="683"/>
      <c r="F1276" s="683"/>
      <c r="G1276" s="683"/>
      <c r="H1276" s="711"/>
      <c r="I1276" s="683"/>
      <c r="J1276" s="683"/>
      <c r="K1276" s="683"/>
      <c r="L1276" s="683"/>
      <c r="M1276" s="683"/>
      <c r="N1276" s="685"/>
      <c r="O1276" s="683"/>
      <c r="P1276" s="683"/>
      <c r="Q1276" s="683"/>
      <c r="R1276" s="683"/>
      <c r="S1276" s="683"/>
      <c r="T1276" s="683"/>
      <c r="U1276" s="683"/>
      <c r="V1276" s="683"/>
      <c r="W1276" s="683"/>
      <c r="X1276" s="683"/>
      <c r="Y1276" s="683"/>
      <c r="Z1276" s="683"/>
    </row>
    <row r="1277" spans="1:26" ht="15.75" customHeight="1" x14ac:dyDescent="0.25">
      <c r="A1277" s="683" t="s">
        <v>2808</v>
      </c>
      <c r="B1277" s="3" t="s">
        <v>2769</v>
      </c>
      <c r="C1277" s="683"/>
      <c r="D1277" s="683"/>
      <c r="E1277" s="683"/>
      <c r="F1277" s="683"/>
      <c r="G1277" s="683"/>
      <c r="H1277" s="711"/>
      <c r="I1277" s="683"/>
      <c r="J1277" s="683"/>
      <c r="K1277" s="683"/>
      <c r="L1277" s="683"/>
      <c r="M1277" s="683"/>
      <c r="N1277" s="685"/>
      <c r="O1277" s="683"/>
      <c r="P1277" s="683"/>
      <c r="Q1277" s="683"/>
      <c r="R1277" s="683"/>
      <c r="S1277" s="683"/>
      <c r="T1277" s="683"/>
      <c r="U1277" s="683"/>
      <c r="V1277" s="683"/>
      <c r="W1277" s="683"/>
      <c r="X1277" s="683"/>
      <c r="Y1277" s="683"/>
      <c r="Z1277" s="683"/>
    </row>
    <row r="1278" spans="1:26" ht="15.75" customHeight="1" x14ac:dyDescent="0.25">
      <c r="A1278" s="683" t="s">
        <v>2809</v>
      </c>
      <c r="B1278" s="3" t="s">
        <v>2769</v>
      </c>
      <c r="C1278" s="683"/>
      <c r="D1278" s="683"/>
      <c r="E1278" s="683"/>
      <c r="F1278" s="683"/>
      <c r="G1278" s="683"/>
      <c r="H1278" s="711"/>
      <c r="I1278" s="683"/>
      <c r="J1278" s="683"/>
      <c r="K1278" s="683"/>
      <c r="L1278" s="683"/>
      <c r="M1278" s="683"/>
      <c r="N1278" s="685"/>
      <c r="O1278" s="683"/>
      <c r="P1278" s="683"/>
      <c r="Q1278" s="683"/>
      <c r="R1278" s="683"/>
      <c r="S1278" s="683"/>
      <c r="T1278" s="683"/>
      <c r="U1278" s="683"/>
      <c r="V1278" s="683"/>
      <c r="W1278" s="683"/>
      <c r="X1278" s="683"/>
      <c r="Y1278" s="683"/>
      <c r="Z1278" s="683"/>
    </row>
    <row r="1279" spans="1:26" ht="15.75" customHeight="1" x14ac:dyDescent="0.25">
      <c r="A1279" s="3" t="s">
        <v>2810</v>
      </c>
      <c r="B1279" s="3" t="s">
        <v>2769</v>
      </c>
      <c r="C1279" s="683"/>
      <c r="D1279" s="683"/>
      <c r="E1279" s="683"/>
      <c r="F1279" s="683"/>
      <c r="G1279" s="683"/>
      <c r="H1279" s="711"/>
      <c r="I1279" s="683"/>
      <c r="J1279" s="683"/>
      <c r="K1279" s="683"/>
      <c r="L1279" s="683"/>
      <c r="M1279" s="683"/>
      <c r="N1279" s="685"/>
      <c r="O1279" s="683"/>
      <c r="P1279" s="683"/>
      <c r="Q1279" s="683"/>
      <c r="R1279" s="683"/>
      <c r="S1279" s="683"/>
      <c r="T1279" s="683"/>
      <c r="U1279" s="683"/>
      <c r="V1279" s="683"/>
      <c r="W1279" s="683"/>
      <c r="X1279" s="683"/>
      <c r="Y1279" s="683"/>
      <c r="Z1279" s="683"/>
    </row>
    <row r="1280" spans="1:26" ht="15.75" customHeight="1" x14ac:dyDescent="0.25">
      <c r="A1280" s="3" t="s">
        <v>2811</v>
      </c>
      <c r="B1280" s="3" t="s">
        <v>2812</v>
      </c>
      <c r="C1280" s="683"/>
      <c r="D1280" s="683"/>
      <c r="E1280" s="683"/>
      <c r="F1280" s="683"/>
      <c r="G1280" s="683"/>
      <c r="H1280" s="711"/>
      <c r="I1280" s="683"/>
      <c r="J1280" s="683"/>
      <c r="K1280" s="683"/>
      <c r="L1280" s="683"/>
      <c r="M1280" s="683"/>
      <c r="N1280" s="685"/>
      <c r="O1280" s="683"/>
      <c r="P1280" s="683"/>
      <c r="Q1280" s="683"/>
      <c r="R1280" s="683"/>
      <c r="S1280" s="683"/>
      <c r="T1280" s="683"/>
      <c r="U1280" s="683"/>
      <c r="V1280" s="683"/>
      <c r="W1280" s="683"/>
      <c r="X1280" s="683"/>
      <c r="Y1280" s="683"/>
      <c r="Z1280" s="683"/>
    </row>
    <row r="1281" spans="1:26" ht="15.75" customHeight="1" x14ac:dyDescent="0.25">
      <c r="A1281" s="3" t="s">
        <v>2813</v>
      </c>
      <c r="B1281" s="3" t="s">
        <v>2769</v>
      </c>
      <c r="C1281" s="683"/>
      <c r="D1281" s="683"/>
      <c r="E1281" s="683"/>
      <c r="F1281" s="683"/>
      <c r="G1281" s="683"/>
      <c r="H1281" s="711"/>
      <c r="I1281" s="683"/>
      <c r="J1281" s="683"/>
      <c r="K1281" s="683"/>
      <c r="L1281" s="683"/>
      <c r="M1281" s="683"/>
      <c r="N1281" s="685"/>
      <c r="O1281" s="683"/>
      <c r="P1281" s="683"/>
      <c r="Q1281" s="683"/>
      <c r="R1281" s="683"/>
      <c r="S1281" s="683"/>
      <c r="T1281" s="683"/>
      <c r="U1281" s="683"/>
      <c r="V1281" s="683"/>
      <c r="W1281" s="683"/>
      <c r="X1281" s="683"/>
      <c r="Y1281" s="683"/>
      <c r="Z1281" s="683"/>
    </row>
    <row r="1282" spans="1:26" ht="15.75" customHeight="1" x14ac:dyDescent="0.25">
      <c r="A1282" s="3" t="s">
        <v>2814</v>
      </c>
      <c r="B1282" s="3" t="s">
        <v>2769</v>
      </c>
      <c r="C1282" s="683"/>
      <c r="D1282" s="683"/>
      <c r="E1282" s="683"/>
      <c r="F1282" s="683"/>
      <c r="G1282" s="683"/>
      <c r="H1282" s="711"/>
      <c r="I1282" s="683"/>
      <c r="J1282" s="683"/>
      <c r="K1282" s="683"/>
      <c r="L1282" s="683"/>
      <c r="M1282" s="683"/>
      <c r="N1282" s="685"/>
      <c r="O1282" s="683"/>
      <c r="P1282" s="683"/>
      <c r="Q1282" s="683"/>
      <c r="R1282" s="683"/>
      <c r="S1282" s="683"/>
      <c r="T1282" s="683"/>
      <c r="U1282" s="683"/>
      <c r="V1282" s="683"/>
      <c r="W1282" s="683"/>
      <c r="X1282" s="683"/>
      <c r="Y1282" s="683"/>
      <c r="Z1282" s="683"/>
    </row>
    <row r="1283" spans="1:26" ht="15.75" customHeight="1" x14ac:dyDescent="0.25">
      <c r="A1283" s="3" t="s">
        <v>2815</v>
      </c>
      <c r="B1283" s="3" t="s">
        <v>2769</v>
      </c>
      <c r="C1283" s="683"/>
      <c r="D1283" s="683"/>
      <c r="E1283" s="683"/>
      <c r="F1283" s="683"/>
      <c r="G1283" s="683"/>
      <c r="H1283" s="711"/>
      <c r="I1283" s="683"/>
      <c r="J1283" s="683"/>
      <c r="K1283" s="683"/>
      <c r="L1283" s="683"/>
      <c r="M1283" s="683"/>
      <c r="N1283" s="685"/>
      <c r="O1283" s="683"/>
      <c r="P1283" s="683"/>
      <c r="Q1283" s="683"/>
      <c r="R1283" s="683"/>
      <c r="S1283" s="683"/>
      <c r="T1283" s="683"/>
      <c r="U1283" s="683"/>
      <c r="V1283" s="683"/>
      <c r="W1283" s="683"/>
      <c r="X1283" s="683"/>
      <c r="Y1283" s="683"/>
      <c r="Z1283" s="683"/>
    </row>
    <row r="1284" spans="1:26" ht="15.75" customHeight="1" x14ac:dyDescent="0.25">
      <c r="A1284" s="3" t="s">
        <v>2816</v>
      </c>
      <c r="B1284" s="3" t="s">
        <v>2769</v>
      </c>
      <c r="C1284" s="683"/>
      <c r="D1284" s="683"/>
      <c r="E1284" s="683"/>
      <c r="F1284" s="683"/>
      <c r="G1284" s="683"/>
      <c r="H1284" s="711"/>
      <c r="I1284" s="683"/>
      <c r="J1284" s="683"/>
      <c r="K1284" s="683"/>
      <c r="L1284" s="683"/>
      <c r="M1284" s="683"/>
      <c r="N1284" s="685"/>
      <c r="O1284" s="683"/>
      <c r="P1284" s="683"/>
      <c r="Q1284" s="683"/>
      <c r="R1284" s="683"/>
      <c r="S1284" s="683"/>
      <c r="T1284" s="683"/>
      <c r="U1284" s="683"/>
      <c r="V1284" s="683"/>
      <c r="W1284" s="683"/>
      <c r="X1284" s="683"/>
      <c r="Y1284" s="683"/>
      <c r="Z1284" s="683"/>
    </row>
    <row r="1285" spans="1:26" ht="15.75" customHeight="1" x14ac:dyDescent="0.25">
      <c r="A1285" s="3" t="s">
        <v>2817</v>
      </c>
      <c r="B1285" s="3" t="s">
        <v>2769</v>
      </c>
      <c r="C1285" s="683"/>
      <c r="D1285" s="683"/>
      <c r="E1285" s="683"/>
      <c r="F1285" s="683"/>
      <c r="G1285" s="683"/>
      <c r="H1285" s="711"/>
      <c r="I1285" s="683"/>
      <c r="J1285" s="683"/>
      <c r="K1285" s="683"/>
      <c r="L1285" s="683"/>
      <c r="M1285" s="683"/>
      <c r="N1285" s="685"/>
      <c r="O1285" s="683"/>
      <c r="P1285" s="683"/>
      <c r="Q1285" s="683"/>
      <c r="R1285" s="683"/>
      <c r="S1285" s="683"/>
      <c r="T1285" s="683"/>
      <c r="U1285" s="683"/>
      <c r="V1285" s="683"/>
      <c r="W1285" s="683"/>
      <c r="X1285" s="683"/>
      <c r="Y1285" s="683"/>
      <c r="Z1285" s="683"/>
    </row>
    <row r="1286" spans="1:26" ht="15.75" customHeight="1" x14ac:dyDescent="0.25">
      <c r="A1286" s="3" t="s">
        <v>2818</v>
      </c>
      <c r="B1286" s="3" t="s">
        <v>2769</v>
      </c>
      <c r="C1286" s="683"/>
      <c r="D1286" s="683"/>
      <c r="E1286" s="683"/>
      <c r="F1286" s="683"/>
      <c r="G1286" s="683"/>
      <c r="H1286" s="711"/>
      <c r="I1286" s="683"/>
      <c r="J1286" s="683"/>
      <c r="K1286" s="683"/>
      <c r="L1286" s="683"/>
      <c r="M1286" s="683"/>
      <c r="N1286" s="685"/>
      <c r="O1286" s="683"/>
      <c r="P1286" s="683"/>
      <c r="Q1286" s="683"/>
      <c r="R1286" s="683"/>
      <c r="S1286" s="683"/>
      <c r="T1286" s="683"/>
      <c r="U1286" s="683"/>
      <c r="V1286" s="683"/>
      <c r="W1286" s="683"/>
      <c r="X1286" s="683"/>
      <c r="Y1286" s="683"/>
      <c r="Z1286" s="683"/>
    </row>
    <row r="1287" spans="1:26" ht="15.75" customHeight="1" x14ac:dyDescent="0.25">
      <c r="A1287" s="3" t="s">
        <v>2819</v>
      </c>
      <c r="B1287" s="3" t="s">
        <v>2769</v>
      </c>
      <c r="C1287" s="683"/>
      <c r="D1287" s="683"/>
      <c r="E1287" s="683"/>
      <c r="F1287" s="683"/>
      <c r="G1287" s="683"/>
      <c r="H1287" s="711"/>
      <c r="I1287" s="683"/>
      <c r="J1287" s="683"/>
      <c r="K1287" s="683"/>
      <c r="L1287" s="683"/>
      <c r="M1287" s="683"/>
      <c r="N1287" s="685"/>
      <c r="O1287" s="683"/>
      <c r="P1287" s="683"/>
      <c r="Q1287" s="683"/>
      <c r="R1287" s="683"/>
      <c r="S1287" s="683"/>
      <c r="T1287" s="683"/>
      <c r="U1287" s="683"/>
      <c r="V1287" s="683"/>
      <c r="W1287" s="683"/>
      <c r="X1287" s="683"/>
      <c r="Y1287" s="683"/>
      <c r="Z1287" s="683"/>
    </row>
    <row r="1288" spans="1:26" ht="15.75" customHeight="1" x14ac:dyDescent="0.25">
      <c r="A1288" s="3" t="s">
        <v>2820</v>
      </c>
      <c r="B1288" s="3" t="s">
        <v>2769</v>
      </c>
      <c r="C1288" s="683"/>
      <c r="D1288" s="683"/>
      <c r="E1288" s="683"/>
      <c r="F1288" s="683"/>
      <c r="G1288" s="683"/>
      <c r="H1288" s="711"/>
      <c r="I1288" s="683"/>
      <c r="J1288" s="683"/>
      <c r="K1288" s="683"/>
      <c r="L1288" s="683"/>
      <c r="M1288" s="683"/>
      <c r="N1288" s="685"/>
      <c r="O1288" s="683"/>
      <c r="P1288" s="683"/>
      <c r="Q1288" s="683"/>
      <c r="R1288" s="683"/>
      <c r="S1288" s="683"/>
      <c r="T1288" s="683"/>
      <c r="U1288" s="683"/>
      <c r="V1288" s="683"/>
      <c r="W1288" s="683"/>
      <c r="X1288" s="683"/>
      <c r="Y1288" s="683"/>
      <c r="Z1288" s="683"/>
    </row>
    <row r="1289" spans="1:26" ht="15.75" customHeight="1" x14ac:dyDescent="0.25">
      <c r="A1289" s="3" t="s">
        <v>2821</v>
      </c>
      <c r="B1289" s="3" t="s">
        <v>2769</v>
      </c>
      <c r="C1289" s="683"/>
      <c r="D1289" s="683"/>
      <c r="E1289" s="683"/>
      <c r="F1289" s="683"/>
      <c r="G1289" s="683"/>
      <c r="H1289" s="711"/>
      <c r="I1289" s="683"/>
      <c r="J1289" s="683"/>
      <c r="K1289" s="683"/>
      <c r="L1289" s="683"/>
      <c r="M1289" s="683"/>
      <c r="N1289" s="685"/>
      <c r="O1289" s="683"/>
      <c r="P1289" s="683"/>
      <c r="Q1289" s="683"/>
      <c r="R1289" s="683"/>
      <c r="S1289" s="683"/>
      <c r="T1289" s="683"/>
      <c r="U1289" s="683"/>
      <c r="V1289" s="683"/>
      <c r="W1289" s="683"/>
      <c r="X1289" s="683"/>
      <c r="Y1289" s="683"/>
      <c r="Z1289" s="683"/>
    </row>
    <row r="1290" spans="1:26" ht="15.75" customHeight="1" x14ac:dyDescent="0.25">
      <c r="A1290" s="3" t="s">
        <v>2822</v>
      </c>
      <c r="B1290" s="3" t="s">
        <v>2769</v>
      </c>
      <c r="C1290" s="683"/>
      <c r="D1290" s="683"/>
      <c r="E1290" s="683"/>
      <c r="F1290" s="683"/>
      <c r="G1290" s="683"/>
      <c r="H1290" s="711"/>
      <c r="I1290" s="683"/>
      <c r="J1290" s="683"/>
      <c r="K1290" s="683"/>
      <c r="L1290" s="683"/>
      <c r="M1290" s="683"/>
      <c r="N1290" s="685"/>
      <c r="O1290" s="683"/>
      <c r="P1290" s="683"/>
      <c r="Q1290" s="683"/>
      <c r="R1290" s="683"/>
      <c r="S1290" s="683"/>
      <c r="T1290" s="683"/>
      <c r="U1290" s="683"/>
      <c r="V1290" s="683"/>
      <c r="W1290" s="683"/>
      <c r="X1290" s="683"/>
      <c r="Y1290" s="683"/>
      <c r="Z1290" s="683"/>
    </row>
    <row r="1291" spans="1:26" ht="15.75" customHeight="1" x14ac:dyDescent="0.25">
      <c r="A1291" s="683" t="s">
        <v>2823</v>
      </c>
      <c r="B1291" s="3" t="s">
        <v>2769</v>
      </c>
      <c r="C1291" s="683"/>
      <c r="D1291" s="683"/>
      <c r="E1291" s="683"/>
      <c r="F1291" s="683"/>
      <c r="G1291" s="683"/>
      <c r="H1291" s="711"/>
      <c r="I1291" s="683"/>
      <c r="J1291" s="683"/>
      <c r="K1291" s="683"/>
      <c r="L1291" s="683"/>
      <c r="M1291" s="683"/>
      <c r="N1291" s="685"/>
      <c r="O1291" s="683"/>
      <c r="P1291" s="683"/>
      <c r="Q1291" s="683"/>
      <c r="R1291" s="683"/>
      <c r="S1291" s="683"/>
      <c r="T1291" s="683"/>
      <c r="U1291" s="683"/>
      <c r="V1291" s="683"/>
      <c r="W1291" s="683"/>
      <c r="X1291" s="683"/>
      <c r="Y1291" s="683"/>
      <c r="Z1291" s="683"/>
    </row>
    <row r="1292" spans="1:26" ht="15.75" customHeight="1" x14ac:dyDescent="0.25">
      <c r="A1292" s="683" t="s">
        <v>2824</v>
      </c>
      <c r="B1292" s="3" t="s">
        <v>2769</v>
      </c>
      <c r="C1292" s="683"/>
      <c r="D1292" s="683"/>
      <c r="E1292" s="683"/>
      <c r="F1292" s="683"/>
      <c r="G1292" s="683"/>
      <c r="H1292" s="711"/>
      <c r="I1292" s="683"/>
      <c r="J1292" s="683"/>
      <c r="K1292" s="683"/>
      <c r="L1292" s="683"/>
      <c r="M1292" s="683"/>
      <c r="N1292" s="685"/>
      <c r="O1292" s="683"/>
      <c r="P1292" s="683"/>
      <c r="Q1292" s="683"/>
      <c r="R1292" s="683"/>
      <c r="S1292" s="683"/>
      <c r="T1292" s="683"/>
      <c r="U1292" s="683"/>
      <c r="V1292" s="683"/>
      <c r="W1292" s="683"/>
      <c r="X1292" s="683"/>
      <c r="Y1292" s="683"/>
      <c r="Z1292" s="683"/>
    </row>
    <row r="1293" spans="1:26" ht="15.75" customHeight="1" x14ac:dyDescent="0.25">
      <c r="A1293" s="683" t="s">
        <v>2825</v>
      </c>
      <c r="B1293" s="3" t="s">
        <v>2769</v>
      </c>
      <c r="C1293" s="683"/>
      <c r="D1293" s="683"/>
      <c r="E1293" s="683"/>
      <c r="F1293" s="683"/>
      <c r="G1293" s="683"/>
      <c r="H1293" s="711"/>
      <c r="I1293" s="683"/>
      <c r="J1293" s="683"/>
      <c r="K1293" s="683"/>
      <c r="L1293" s="683"/>
      <c r="M1293" s="683"/>
      <c r="N1293" s="685"/>
      <c r="O1293" s="683"/>
      <c r="P1293" s="683"/>
      <c r="Q1293" s="683"/>
      <c r="R1293" s="683"/>
      <c r="S1293" s="683"/>
      <c r="T1293" s="683"/>
      <c r="U1293" s="683"/>
      <c r="V1293" s="683"/>
      <c r="W1293" s="683"/>
      <c r="X1293" s="683"/>
      <c r="Y1293" s="683"/>
      <c r="Z1293" s="683"/>
    </row>
    <row r="1294" spans="1:26" ht="15.75" customHeight="1" x14ac:dyDescent="0.25">
      <c r="A1294" s="683" t="s">
        <v>2826</v>
      </c>
      <c r="B1294" s="3" t="s">
        <v>2769</v>
      </c>
      <c r="C1294" s="683"/>
      <c r="D1294" s="683"/>
      <c r="E1294" s="683"/>
      <c r="F1294" s="683"/>
      <c r="G1294" s="683"/>
      <c r="H1294" s="711"/>
      <c r="I1294" s="683"/>
      <c r="J1294" s="683"/>
      <c r="K1294" s="683"/>
      <c r="L1294" s="683"/>
      <c r="M1294" s="683"/>
      <c r="N1294" s="685"/>
      <c r="O1294" s="683"/>
      <c r="P1294" s="683"/>
      <c r="Q1294" s="683"/>
      <c r="R1294" s="683"/>
      <c r="S1294" s="683"/>
      <c r="T1294" s="683"/>
      <c r="U1294" s="683"/>
      <c r="V1294" s="683"/>
      <c r="W1294" s="683"/>
      <c r="X1294" s="683"/>
      <c r="Y1294" s="683"/>
      <c r="Z1294" s="683"/>
    </row>
    <row r="1295" spans="1:26" ht="15.75" customHeight="1" x14ac:dyDescent="0.25">
      <c r="A1295" s="683" t="s">
        <v>2827</v>
      </c>
      <c r="B1295" s="3" t="s">
        <v>2769</v>
      </c>
      <c r="C1295" s="683"/>
      <c r="D1295" s="683"/>
      <c r="E1295" s="683"/>
      <c r="F1295" s="683"/>
      <c r="G1295" s="683"/>
      <c r="H1295" s="711"/>
      <c r="I1295" s="683"/>
      <c r="J1295" s="683"/>
      <c r="K1295" s="683"/>
      <c r="L1295" s="683"/>
      <c r="M1295" s="683"/>
      <c r="N1295" s="685"/>
      <c r="O1295" s="683"/>
      <c r="P1295" s="683"/>
      <c r="Q1295" s="683"/>
      <c r="R1295" s="683"/>
      <c r="S1295" s="683"/>
      <c r="T1295" s="683"/>
      <c r="U1295" s="683"/>
      <c r="V1295" s="683"/>
      <c r="W1295" s="683"/>
      <c r="X1295" s="683"/>
      <c r="Y1295" s="683"/>
      <c r="Z1295" s="683"/>
    </row>
    <row r="1296" spans="1:26" ht="15.75" customHeight="1" x14ac:dyDescent="0.25">
      <c r="A1296" s="683" t="s">
        <v>2828</v>
      </c>
      <c r="B1296" s="3" t="s">
        <v>2769</v>
      </c>
      <c r="C1296" s="683"/>
      <c r="D1296" s="683"/>
      <c r="E1296" s="683"/>
      <c r="F1296" s="683"/>
      <c r="G1296" s="683"/>
      <c r="H1296" s="711"/>
      <c r="I1296" s="683"/>
      <c r="J1296" s="683"/>
      <c r="K1296" s="683"/>
      <c r="L1296" s="683"/>
      <c r="M1296" s="683"/>
      <c r="N1296" s="685"/>
      <c r="O1296" s="683"/>
      <c r="P1296" s="683"/>
      <c r="Q1296" s="683"/>
      <c r="R1296" s="683"/>
      <c r="S1296" s="683"/>
      <c r="T1296" s="683"/>
      <c r="U1296" s="683"/>
      <c r="V1296" s="683"/>
      <c r="W1296" s="683"/>
      <c r="X1296" s="683"/>
      <c r="Y1296" s="683"/>
      <c r="Z1296" s="683"/>
    </row>
    <row r="1297" spans="1:26" ht="15.75" customHeight="1" x14ac:dyDescent="0.25">
      <c r="A1297" s="683" t="s">
        <v>2829</v>
      </c>
      <c r="B1297" s="3" t="s">
        <v>2769</v>
      </c>
      <c r="C1297" s="683"/>
      <c r="D1297" s="683"/>
      <c r="E1297" s="683"/>
      <c r="F1297" s="683"/>
      <c r="G1297" s="683"/>
      <c r="H1297" s="711"/>
      <c r="I1297" s="683"/>
      <c r="J1297" s="683"/>
      <c r="K1297" s="683"/>
      <c r="L1297" s="683"/>
      <c r="M1297" s="683"/>
      <c r="N1297" s="685"/>
      <c r="O1297" s="683"/>
      <c r="P1297" s="683"/>
      <c r="Q1297" s="683"/>
      <c r="R1297" s="683"/>
      <c r="S1297" s="683"/>
      <c r="T1297" s="683"/>
      <c r="U1297" s="683"/>
      <c r="V1297" s="683"/>
      <c r="W1297" s="683"/>
      <c r="X1297" s="683"/>
      <c r="Y1297" s="683"/>
      <c r="Z1297" s="683"/>
    </row>
    <row r="1298" spans="1:26" ht="15.75" customHeight="1" x14ac:dyDescent="0.25">
      <c r="A1298" s="3" t="s">
        <v>2830</v>
      </c>
      <c r="B1298" s="3" t="s">
        <v>2769</v>
      </c>
      <c r="C1298" s="683"/>
      <c r="D1298" s="683"/>
      <c r="E1298" s="683"/>
      <c r="F1298" s="683"/>
      <c r="G1298" s="683"/>
      <c r="H1298" s="711"/>
      <c r="I1298" s="683"/>
      <c r="J1298" s="683"/>
      <c r="K1298" s="683"/>
      <c r="L1298" s="683"/>
      <c r="M1298" s="683"/>
      <c r="N1298" s="685"/>
      <c r="O1298" s="683"/>
      <c r="P1298" s="683"/>
      <c r="Q1298" s="683"/>
      <c r="R1298" s="683"/>
      <c r="S1298" s="683"/>
      <c r="T1298" s="683"/>
      <c r="U1298" s="683"/>
      <c r="V1298" s="683"/>
      <c r="W1298" s="683"/>
      <c r="X1298" s="683"/>
      <c r="Y1298" s="683"/>
      <c r="Z1298" s="683"/>
    </row>
    <row r="1299" spans="1:26" ht="15.75" customHeight="1" x14ac:dyDescent="0.25">
      <c r="A1299" s="3" t="s">
        <v>452</v>
      </c>
      <c r="B1299" s="3" t="s">
        <v>2769</v>
      </c>
      <c r="C1299" s="683"/>
      <c r="D1299" s="683"/>
      <c r="E1299" s="683"/>
      <c r="F1299" s="683"/>
      <c r="G1299" s="683"/>
      <c r="H1299" s="711"/>
      <c r="I1299" s="683"/>
      <c r="J1299" s="683"/>
      <c r="K1299" s="683"/>
      <c r="L1299" s="683"/>
      <c r="M1299" s="683"/>
      <c r="N1299" s="685"/>
      <c r="O1299" s="683"/>
      <c r="P1299" s="683"/>
      <c r="Q1299" s="683"/>
      <c r="R1299" s="683"/>
      <c r="S1299" s="683"/>
      <c r="T1299" s="683"/>
      <c r="U1299" s="683"/>
      <c r="V1299" s="683"/>
      <c r="W1299" s="683"/>
      <c r="X1299" s="683"/>
      <c r="Y1299" s="683"/>
      <c r="Z1299" s="683"/>
    </row>
    <row r="1300" spans="1:26" ht="15.75" customHeight="1" x14ac:dyDescent="0.25">
      <c r="A1300" s="683" t="s">
        <v>2831</v>
      </c>
      <c r="B1300" s="3" t="s">
        <v>2769</v>
      </c>
      <c r="C1300" s="683"/>
      <c r="D1300" s="683"/>
      <c r="E1300" s="683"/>
      <c r="F1300" s="683"/>
      <c r="G1300" s="683"/>
      <c r="H1300" s="711"/>
      <c r="I1300" s="683"/>
      <c r="J1300" s="683"/>
      <c r="K1300" s="683"/>
      <c r="L1300" s="683"/>
      <c r="M1300" s="683"/>
      <c r="N1300" s="685"/>
      <c r="O1300" s="683"/>
      <c r="P1300" s="683"/>
      <c r="Q1300" s="683"/>
      <c r="R1300" s="683"/>
      <c r="S1300" s="683"/>
      <c r="T1300" s="683"/>
      <c r="U1300" s="683"/>
      <c r="V1300" s="683"/>
      <c r="W1300" s="683"/>
      <c r="X1300" s="683"/>
      <c r="Y1300" s="683"/>
      <c r="Z1300" s="683"/>
    </row>
    <row r="1301" spans="1:26" ht="15.75" customHeight="1" x14ac:dyDescent="0.25">
      <c r="A1301" s="683" t="s">
        <v>2832</v>
      </c>
      <c r="B1301" s="3" t="s">
        <v>2769</v>
      </c>
      <c r="C1301" s="683"/>
      <c r="D1301" s="683"/>
      <c r="E1301" s="683"/>
      <c r="F1301" s="683"/>
      <c r="G1301" s="683"/>
      <c r="H1301" s="711"/>
      <c r="I1301" s="683"/>
      <c r="J1301" s="683"/>
      <c r="K1301" s="683"/>
      <c r="L1301" s="683"/>
      <c r="M1301" s="683"/>
      <c r="N1301" s="685"/>
      <c r="O1301" s="683"/>
      <c r="P1301" s="683"/>
      <c r="Q1301" s="683"/>
      <c r="R1301" s="683"/>
      <c r="S1301" s="683"/>
      <c r="T1301" s="683"/>
      <c r="U1301" s="683"/>
      <c r="V1301" s="683"/>
      <c r="W1301" s="683"/>
      <c r="X1301" s="683"/>
      <c r="Y1301" s="683"/>
      <c r="Z1301" s="683"/>
    </row>
    <row r="1302" spans="1:26" ht="15.75" customHeight="1" x14ac:dyDescent="0.25">
      <c r="A1302" s="683" t="s">
        <v>2833</v>
      </c>
      <c r="B1302" s="3" t="s">
        <v>2769</v>
      </c>
      <c r="C1302" s="683"/>
      <c r="D1302" s="683"/>
      <c r="E1302" s="683"/>
      <c r="F1302" s="683"/>
      <c r="G1302" s="683"/>
      <c r="H1302" s="711"/>
      <c r="I1302" s="683"/>
      <c r="J1302" s="683"/>
      <c r="K1302" s="683"/>
      <c r="L1302" s="683"/>
      <c r="M1302" s="683"/>
      <c r="N1302" s="685"/>
      <c r="O1302" s="683"/>
      <c r="P1302" s="683"/>
      <c r="Q1302" s="683"/>
      <c r="R1302" s="683"/>
      <c r="S1302" s="683"/>
      <c r="T1302" s="683"/>
      <c r="U1302" s="683"/>
      <c r="V1302" s="683"/>
      <c r="W1302" s="683"/>
      <c r="X1302" s="683"/>
      <c r="Y1302" s="683"/>
      <c r="Z1302" s="683"/>
    </row>
    <row r="1303" spans="1:26" ht="15.75" customHeight="1" x14ac:dyDescent="0.25">
      <c r="A1303" s="683" t="s">
        <v>2834</v>
      </c>
      <c r="B1303" s="683" t="s">
        <v>2835</v>
      </c>
      <c r="C1303" s="683"/>
      <c r="D1303" s="683"/>
      <c r="E1303" s="683"/>
      <c r="F1303" s="683"/>
      <c r="G1303" s="683"/>
      <c r="H1303" s="711"/>
      <c r="I1303" s="683"/>
      <c r="J1303" s="683"/>
      <c r="K1303" s="683"/>
      <c r="L1303" s="683"/>
      <c r="M1303" s="683"/>
      <c r="N1303" s="685"/>
      <c r="O1303" s="683"/>
      <c r="P1303" s="683"/>
      <c r="Q1303" s="683"/>
      <c r="R1303" s="683"/>
      <c r="S1303" s="683"/>
      <c r="T1303" s="683"/>
      <c r="U1303" s="683"/>
      <c r="V1303" s="683"/>
      <c r="W1303" s="683"/>
      <c r="X1303" s="683"/>
      <c r="Y1303" s="683"/>
      <c r="Z1303" s="683"/>
    </row>
    <row r="1304" spans="1:26" ht="15.75" customHeight="1" x14ac:dyDescent="0.25">
      <c r="A1304" s="683" t="s">
        <v>2836</v>
      </c>
      <c r="B1304" s="683" t="s">
        <v>2835</v>
      </c>
      <c r="C1304" s="683"/>
      <c r="D1304" s="683"/>
      <c r="E1304" s="683"/>
      <c r="F1304" s="683"/>
      <c r="G1304" s="683"/>
      <c r="H1304" s="711"/>
      <c r="I1304" s="683"/>
      <c r="J1304" s="683"/>
      <c r="K1304" s="683"/>
      <c r="L1304" s="683"/>
      <c r="M1304" s="683"/>
      <c r="N1304" s="685"/>
      <c r="O1304" s="683"/>
      <c r="P1304" s="683"/>
      <c r="Q1304" s="683"/>
      <c r="R1304" s="683"/>
      <c r="S1304" s="683"/>
      <c r="T1304" s="683"/>
      <c r="U1304" s="683"/>
      <c r="V1304" s="683"/>
      <c r="W1304" s="683"/>
      <c r="X1304" s="683"/>
      <c r="Y1304" s="683"/>
      <c r="Z1304" s="683"/>
    </row>
    <row r="1305" spans="1:26" ht="15.75" customHeight="1" x14ac:dyDescent="0.25">
      <c r="A1305" s="683" t="s">
        <v>2837</v>
      </c>
      <c r="B1305" s="683" t="s">
        <v>2835</v>
      </c>
      <c r="C1305" s="683"/>
      <c r="D1305" s="683"/>
      <c r="E1305" s="683"/>
      <c r="F1305" s="683"/>
      <c r="G1305" s="683"/>
      <c r="H1305" s="711"/>
      <c r="I1305" s="683"/>
      <c r="J1305" s="683"/>
      <c r="K1305" s="683"/>
      <c r="L1305" s="683"/>
      <c r="M1305" s="683"/>
      <c r="N1305" s="685"/>
      <c r="O1305" s="683"/>
      <c r="P1305" s="683"/>
      <c r="Q1305" s="683"/>
      <c r="R1305" s="683"/>
      <c r="S1305" s="683"/>
      <c r="T1305" s="683"/>
      <c r="U1305" s="683"/>
      <c r="V1305" s="683"/>
      <c r="W1305" s="683"/>
      <c r="X1305" s="683"/>
      <c r="Y1305" s="683"/>
      <c r="Z1305" s="683"/>
    </row>
    <row r="1306" spans="1:26" ht="15.75" customHeight="1" x14ac:dyDescent="0.25">
      <c r="A1306" s="3" t="s">
        <v>2838</v>
      </c>
      <c r="B1306" s="683" t="s">
        <v>2835</v>
      </c>
      <c r="C1306" s="683"/>
      <c r="D1306" s="683"/>
      <c r="E1306" s="683"/>
      <c r="F1306" s="683"/>
      <c r="G1306" s="683"/>
      <c r="H1306" s="711"/>
      <c r="I1306" s="683"/>
      <c r="J1306" s="683"/>
      <c r="K1306" s="683"/>
      <c r="L1306" s="683"/>
      <c r="M1306" s="683"/>
      <c r="N1306" s="685"/>
      <c r="O1306" s="683"/>
      <c r="P1306" s="683"/>
      <c r="Q1306" s="683"/>
      <c r="R1306" s="683"/>
      <c r="S1306" s="683"/>
      <c r="T1306" s="683"/>
      <c r="U1306" s="683"/>
      <c r="V1306" s="683"/>
      <c r="W1306" s="683"/>
      <c r="X1306" s="683"/>
      <c r="Y1306" s="683"/>
      <c r="Z1306" s="683"/>
    </row>
    <row r="1307" spans="1:26" ht="15.75" customHeight="1" x14ac:dyDescent="0.25">
      <c r="A1307" s="3" t="s">
        <v>2839</v>
      </c>
      <c r="B1307" s="683" t="s">
        <v>2835</v>
      </c>
      <c r="C1307" s="683"/>
      <c r="D1307" s="683"/>
      <c r="E1307" s="683"/>
      <c r="F1307" s="683"/>
      <c r="G1307" s="683"/>
      <c r="H1307" s="711"/>
      <c r="I1307" s="683"/>
      <c r="J1307" s="683"/>
      <c r="K1307" s="683"/>
      <c r="L1307" s="683"/>
      <c r="M1307" s="683"/>
      <c r="N1307" s="685"/>
      <c r="O1307" s="683"/>
      <c r="P1307" s="683"/>
      <c r="Q1307" s="683"/>
      <c r="R1307" s="683"/>
      <c r="S1307" s="683"/>
      <c r="T1307" s="683"/>
      <c r="U1307" s="683"/>
      <c r="V1307" s="683"/>
      <c r="W1307" s="683"/>
      <c r="X1307" s="683"/>
      <c r="Y1307" s="683"/>
      <c r="Z1307" s="683"/>
    </row>
    <row r="1308" spans="1:26" ht="15.75" customHeight="1" x14ac:dyDescent="0.25">
      <c r="A1308" s="683" t="s">
        <v>2840</v>
      </c>
      <c r="B1308" s="683" t="s">
        <v>2835</v>
      </c>
      <c r="C1308" s="683"/>
      <c r="D1308" s="683"/>
      <c r="E1308" s="683"/>
      <c r="F1308" s="683"/>
      <c r="G1308" s="683"/>
      <c r="H1308" s="711"/>
      <c r="I1308" s="683"/>
      <c r="J1308" s="683"/>
      <c r="K1308" s="683"/>
      <c r="L1308" s="683"/>
      <c r="M1308" s="683"/>
      <c r="N1308" s="685"/>
      <c r="O1308" s="683"/>
      <c r="P1308" s="683"/>
      <c r="Q1308" s="683"/>
      <c r="R1308" s="683"/>
      <c r="S1308" s="683"/>
      <c r="T1308" s="683"/>
      <c r="U1308" s="683"/>
      <c r="V1308" s="683"/>
      <c r="W1308" s="683"/>
      <c r="X1308" s="683"/>
      <c r="Y1308" s="683"/>
      <c r="Z1308" s="683"/>
    </row>
    <row r="1309" spans="1:26" ht="15.75" customHeight="1" x14ac:dyDescent="0.25">
      <c r="A1309" s="683" t="s">
        <v>2841</v>
      </c>
      <c r="B1309" s="683" t="s">
        <v>2835</v>
      </c>
      <c r="C1309" s="683"/>
      <c r="D1309" s="683"/>
      <c r="E1309" s="683"/>
      <c r="F1309" s="683"/>
      <c r="G1309" s="683"/>
      <c r="H1309" s="711"/>
      <c r="I1309" s="683"/>
      <c r="J1309" s="683"/>
      <c r="K1309" s="683"/>
      <c r="L1309" s="683"/>
      <c r="M1309" s="683"/>
      <c r="N1309" s="685"/>
      <c r="O1309" s="683"/>
      <c r="P1309" s="683"/>
      <c r="Q1309" s="683"/>
      <c r="R1309" s="683"/>
      <c r="S1309" s="683"/>
      <c r="T1309" s="683"/>
      <c r="U1309" s="683"/>
      <c r="V1309" s="683"/>
      <c r="W1309" s="683"/>
      <c r="X1309" s="683"/>
      <c r="Y1309" s="683"/>
      <c r="Z1309" s="683"/>
    </row>
    <row r="1310" spans="1:26" ht="15.75" customHeight="1" x14ac:dyDescent="0.25">
      <c r="A1310" s="683" t="s">
        <v>2832</v>
      </c>
      <c r="B1310" s="683" t="s">
        <v>2835</v>
      </c>
      <c r="C1310" s="683"/>
      <c r="D1310" s="683"/>
      <c r="E1310" s="683"/>
      <c r="F1310" s="683"/>
      <c r="G1310" s="683"/>
      <c r="H1310" s="711"/>
      <c r="I1310" s="683"/>
      <c r="J1310" s="683"/>
      <c r="K1310" s="683"/>
      <c r="L1310" s="683"/>
      <c r="M1310" s="683"/>
      <c r="N1310" s="685"/>
      <c r="O1310" s="683"/>
      <c r="P1310" s="683"/>
      <c r="Q1310" s="683"/>
      <c r="R1310" s="683"/>
      <c r="S1310" s="683"/>
      <c r="T1310" s="683"/>
      <c r="U1310" s="683"/>
      <c r="V1310" s="683"/>
      <c r="W1310" s="683"/>
      <c r="X1310" s="683"/>
      <c r="Y1310" s="683"/>
      <c r="Z1310" s="683"/>
    </row>
    <row r="1311" spans="1:26" ht="15.75" customHeight="1" x14ac:dyDescent="0.25">
      <c r="A1311" s="3" t="s">
        <v>2842</v>
      </c>
      <c r="B1311" s="683" t="s">
        <v>2835</v>
      </c>
      <c r="C1311" s="683"/>
      <c r="D1311" s="683"/>
      <c r="E1311" s="683"/>
      <c r="F1311" s="683"/>
      <c r="G1311" s="683"/>
      <c r="H1311" s="711"/>
      <c r="I1311" s="683"/>
      <c r="J1311" s="683"/>
      <c r="K1311" s="683"/>
      <c r="L1311" s="683"/>
      <c r="M1311" s="683"/>
      <c r="N1311" s="685"/>
      <c r="O1311" s="683"/>
      <c r="P1311" s="683"/>
      <c r="Q1311" s="683"/>
      <c r="R1311" s="683"/>
      <c r="S1311" s="683"/>
      <c r="T1311" s="683"/>
      <c r="U1311" s="683"/>
      <c r="V1311" s="683"/>
      <c r="W1311" s="683"/>
      <c r="X1311" s="683"/>
      <c r="Y1311" s="683"/>
      <c r="Z1311" s="683"/>
    </row>
    <row r="1312" spans="1:26" ht="15.75" customHeight="1" x14ac:dyDescent="0.25">
      <c r="A1312" s="3" t="s">
        <v>2843</v>
      </c>
      <c r="B1312" s="683" t="s">
        <v>2835</v>
      </c>
      <c r="C1312" s="683"/>
      <c r="D1312" s="683"/>
      <c r="E1312" s="683"/>
      <c r="F1312" s="683"/>
      <c r="G1312" s="683"/>
      <c r="H1312" s="711"/>
      <c r="I1312" s="683"/>
      <c r="J1312" s="683"/>
      <c r="K1312" s="683"/>
      <c r="L1312" s="683"/>
      <c r="M1312" s="683"/>
      <c r="N1312" s="685"/>
      <c r="O1312" s="683"/>
      <c r="P1312" s="683"/>
      <c r="Q1312" s="683"/>
      <c r="R1312" s="683"/>
      <c r="S1312" s="683"/>
      <c r="T1312" s="683"/>
      <c r="U1312" s="683"/>
      <c r="V1312" s="683"/>
      <c r="W1312" s="683"/>
      <c r="X1312" s="683"/>
      <c r="Y1312" s="683"/>
      <c r="Z1312" s="683"/>
    </row>
    <row r="1313" spans="1:26" ht="15.75" customHeight="1" x14ac:dyDescent="0.25">
      <c r="A1313" s="3" t="s">
        <v>2844</v>
      </c>
      <c r="B1313" s="683" t="s">
        <v>2579</v>
      </c>
      <c r="C1313" s="683"/>
      <c r="D1313" s="683"/>
      <c r="E1313" s="683"/>
      <c r="F1313" s="683"/>
      <c r="G1313" s="683"/>
      <c r="H1313" s="711"/>
      <c r="I1313" s="683"/>
      <c r="J1313" s="683"/>
      <c r="K1313" s="683"/>
      <c r="L1313" s="683"/>
      <c r="M1313" s="683"/>
      <c r="N1313" s="685"/>
      <c r="O1313" s="683"/>
      <c r="P1313" s="683"/>
      <c r="Q1313" s="683"/>
      <c r="R1313" s="683"/>
      <c r="S1313" s="683"/>
      <c r="T1313" s="683"/>
      <c r="U1313" s="683"/>
      <c r="V1313" s="683"/>
      <c r="W1313" s="683"/>
      <c r="X1313" s="683"/>
      <c r="Y1313" s="683"/>
      <c r="Z1313" s="683"/>
    </row>
    <row r="1314" spans="1:26" ht="15.75" customHeight="1" x14ac:dyDescent="0.25">
      <c r="A1314" s="3" t="s">
        <v>2845</v>
      </c>
      <c r="B1314" s="683" t="s">
        <v>2835</v>
      </c>
      <c r="C1314" s="683"/>
      <c r="D1314" s="683"/>
      <c r="E1314" s="683"/>
      <c r="F1314" s="683"/>
      <c r="G1314" s="683"/>
      <c r="H1314" s="711"/>
      <c r="I1314" s="683"/>
      <c r="J1314" s="683"/>
      <c r="K1314" s="683"/>
      <c r="L1314" s="683"/>
      <c r="M1314" s="683"/>
      <c r="N1314" s="685"/>
      <c r="O1314" s="683"/>
      <c r="P1314" s="683"/>
      <c r="Q1314" s="683"/>
      <c r="R1314" s="683"/>
      <c r="S1314" s="683"/>
      <c r="T1314" s="683"/>
      <c r="U1314" s="683"/>
      <c r="V1314" s="683"/>
      <c r="W1314" s="683"/>
      <c r="X1314" s="683"/>
      <c r="Y1314" s="683"/>
      <c r="Z1314" s="683"/>
    </row>
    <row r="1315" spans="1:26" ht="15.75" customHeight="1" x14ac:dyDescent="0.25">
      <c r="A1315" s="3" t="s">
        <v>2846</v>
      </c>
      <c r="B1315" s="683" t="s">
        <v>2835</v>
      </c>
      <c r="C1315" s="683"/>
      <c r="D1315" s="683"/>
      <c r="E1315" s="683"/>
      <c r="F1315" s="683"/>
      <c r="G1315" s="683"/>
      <c r="H1315" s="711"/>
      <c r="I1315" s="683"/>
      <c r="J1315" s="683"/>
      <c r="K1315" s="683"/>
      <c r="L1315" s="683"/>
      <c r="M1315" s="683"/>
      <c r="N1315" s="685"/>
      <c r="O1315" s="683"/>
      <c r="P1315" s="683"/>
      <c r="Q1315" s="683"/>
      <c r="R1315" s="683"/>
      <c r="S1315" s="683"/>
      <c r="T1315" s="683"/>
      <c r="U1315" s="683"/>
      <c r="V1315" s="683"/>
      <c r="W1315" s="683"/>
      <c r="X1315" s="683"/>
      <c r="Y1315" s="683"/>
      <c r="Z1315" s="683"/>
    </row>
    <row r="1316" spans="1:26" ht="15.75" customHeight="1" x14ac:dyDescent="0.25">
      <c r="A1316" s="3" t="s">
        <v>2847</v>
      </c>
      <c r="B1316" s="683" t="s">
        <v>2835</v>
      </c>
      <c r="C1316" s="683"/>
      <c r="D1316" s="683"/>
      <c r="E1316" s="683"/>
      <c r="F1316" s="683"/>
      <c r="G1316" s="683"/>
      <c r="H1316" s="711"/>
      <c r="I1316" s="683"/>
      <c r="J1316" s="683"/>
      <c r="K1316" s="683"/>
      <c r="L1316" s="683"/>
      <c r="M1316" s="683"/>
      <c r="N1316" s="685"/>
      <c r="O1316" s="683"/>
      <c r="P1316" s="683"/>
      <c r="Q1316" s="683"/>
      <c r="R1316" s="683"/>
      <c r="S1316" s="683"/>
      <c r="T1316" s="683"/>
      <c r="U1316" s="683"/>
      <c r="V1316" s="683"/>
      <c r="W1316" s="683"/>
      <c r="X1316" s="683"/>
      <c r="Y1316" s="683"/>
      <c r="Z1316" s="683"/>
    </row>
    <row r="1317" spans="1:26" ht="15.75" customHeight="1" x14ac:dyDescent="0.25">
      <c r="A1317" s="3" t="s">
        <v>2848</v>
      </c>
      <c r="B1317" s="683" t="s">
        <v>2835</v>
      </c>
      <c r="C1317" s="683"/>
      <c r="D1317" s="683"/>
      <c r="E1317" s="683"/>
      <c r="F1317" s="683"/>
      <c r="G1317" s="683"/>
      <c r="H1317" s="711"/>
      <c r="I1317" s="683"/>
      <c r="J1317" s="683"/>
      <c r="K1317" s="683"/>
      <c r="L1317" s="683"/>
      <c r="M1317" s="683"/>
      <c r="N1317" s="685"/>
      <c r="O1317" s="683"/>
      <c r="P1317" s="683"/>
      <c r="Q1317" s="683"/>
      <c r="R1317" s="683"/>
      <c r="S1317" s="683"/>
      <c r="T1317" s="683"/>
      <c r="U1317" s="683"/>
      <c r="V1317" s="683"/>
      <c r="W1317" s="683"/>
      <c r="X1317" s="683"/>
      <c r="Y1317" s="683"/>
      <c r="Z1317" s="683"/>
    </row>
    <row r="1318" spans="1:26" ht="15.75" customHeight="1" x14ac:dyDescent="0.25">
      <c r="A1318" s="3" t="s">
        <v>2849</v>
      </c>
      <c r="B1318" s="683" t="s">
        <v>2835</v>
      </c>
      <c r="C1318" s="683"/>
      <c r="D1318" s="683"/>
      <c r="E1318" s="683"/>
      <c r="F1318" s="683"/>
      <c r="G1318" s="683"/>
      <c r="H1318" s="711"/>
      <c r="I1318" s="683"/>
      <c r="J1318" s="683"/>
      <c r="K1318" s="683"/>
      <c r="L1318" s="683"/>
      <c r="M1318" s="683"/>
      <c r="N1318" s="685"/>
      <c r="O1318" s="683"/>
      <c r="P1318" s="683"/>
      <c r="Q1318" s="683"/>
      <c r="R1318" s="683"/>
      <c r="S1318" s="683"/>
      <c r="T1318" s="683"/>
      <c r="U1318" s="683"/>
      <c r="V1318" s="683"/>
      <c r="W1318" s="683"/>
      <c r="X1318" s="683"/>
      <c r="Y1318" s="683"/>
      <c r="Z1318" s="683"/>
    </row>
    <row r="1319" spans="1:26" ht="15.75" customHeight="1" x14ac:dyDescent="0.25">
      <c r="A1319" s="3" t="s">
        <v>2850</v>
      </c>
      <c r="B1319" s="683" t="s">
        <v>2835</v>
      </c>
      <c r="C1319" s="683"/>
      <c r="D1319" s="683"/>
      <c r="E1319" s="683"/>
      <c r="F1319" s="683"/>
      <c r="G1319" s="683"/>
      <c r="H1319" s="711"/>
      <c r="I1319" s="683"/>
      <c r="J1319" s="683"/>
      <c r="K1319" s="683"/>
      <c r="L1319" s="683"/>
      <c r="M1319" s="683"/>
      <c r="N1319" s="685"/>
      <c r="O1319" s="683"/>
      <c r="P1319" s="683"/>
      <c r="Q1319" s="683"/>
      <c r="R1319" s="683"/>
      <c r="S1319" s="683"/>
      <c r="T1319" s="683"/>
      <c r="U1319" s="683"/>
      <c r="V1319" s="683"/>
      <c r="W1319" s="683"/>
      <c r="X1319" s="683"/>
      <c r="Y1319" s="683"/>
      <c r="Z1319" s="683"/>
    </row>
    <row r="1320" spans="1:26" ht="15.75" customHeight="1" x14ac:dyDescent="0.25">
      <c r="A1320" s="683" t="s">
        <v>778</v>
      </c>
      <c r="B1320" s="683" t="s">
        <v>2835</v>
      </c>
      <c r="C1320" s="683"/>
      <c r="D1320" s="683"/>
      <c r="E1320" s="683"/>
      <c r="F1320" s="683"/>
      <c r="G1320" s="683"/>
      <c r="H1320" s="711"/>
      <c r="I1320" s="683"/>
      <c r="J1320" s="683"/>
      <c r="K1320" s="683"/>
      <c r="L1320" s="683"/>
      <c r="M1320" s="683"/>
      <c r="N1320" s="685"/>
      <c r="O1320" s="683"/>
      <c r="P1320" s="683"/>
      <c r="Q1320" s="683"/>
      <c r="R1320" s="683"/>
      <c r="S1320" s="683"/>
      <c r="T1320" s="683"/>
      <c r="U1320" s="683"/>
      <c r="V1320" s="683"/>
      <c r="W1320" s="683"/>
      <c r="X1320" s="683"/>
      <c r="Y1320" s="683"/>
      <c r="Z1320" s="683"/>
    </row>
    <row r="1321" spans="1:26" ht="15.75" customHeight="1" x14ac:dyDescent="0.25">
      <c r="A1321" s="3" t="s">
        <v>2851</v>
      </c>
      <c r="B1321" s="683" t="s">
        <v>2835</v>
      </c>
      <c r="C1321" s="683"/>
      <c r="D1321" s="683"/>
      <c r="E1321" s="683"/>
      <c r="F1321" s="683"/>
      <c r="G1321" s="683"/>
      <c r="H1321" s="711"/>
      <c r="I1321" s="683"/>
      <c r="J1321" s="683"/>
      <c r="K1321" s="683"/>
      <c r="L1321" s="683"/>
      <c r="M1321" s="683"/>
      <c r="N1321" s="685"/>
      <c r="O1321" s="683"/>
      <c r="P1321" s="683"/>
      <c r="Q1321" s="683"/>
      <c r="R1321" s="683"/>
      <c r="S1321" s="683"/>
      <c r="T1321" s="683"/>
      <c r="U1321" s="683"/>
      <c r="V1321" s="683"/>
      <c r="W1321" s="683"/>
      <c r="X1321" s="683"/>
      <c r="Y1321" s="683"/>
      <c r="Z1321" s="683"/>
    </row>
    <row r="1322" spans="1:26" ht="15.75" customHeight="1" x14ac:dyDescent="0.25">
      <c r="A1322" s="3" t="s">
        <v>2852</v>
      </c>
      <c r="B1322" s="3" t="s">
        <v>2579</v>
      </c>
      <c r="C1322" s="683"/>
      <c r="D1322" s="683"/>
      <c r="E1322" s="683"/>
      <c r="F1322" s="683"/>
      <c r="G1322" s="683"/>
      <c r="H1322" s="711"/>
      <c r="I1322" s="683"/>
      <c r="J1322" s="683"/>
      <c r="K1322" s="683"/>
      <c r="L1322" s="683"/>
      <c r="M1322" s="683"/>
      <c r="N1322" s="685"/>
      <c r="O1322" s="683"/>
      <c r="P1322" s="683"/>
      <c r="Q1322" s="683"/>
      <c r="R1322" s="683"/>
      <c r="S1322" s="683"/>
      <c r="T1322" s="683"/>
      <c r="U1322" s="683"/>
      <c r="V1322" s="683"/>
      <c r="W1322" s="683"/>
      <c r="X1322" s="683"/>
      <c r="Y1322" s="683"/>
      <c r="Z1322" s="683"/>
    </row>
    <row r="1323" spans="1:26" ht="15.75" customHeight="1" x14ac:dyDescent="0.25">
      <c r="A1323" s="3" t="s">
        <v>2853</v>
      </c>
      <c r="B1323" s="3" t="s">
        <v>2854</v>
      </c>
      <c r="C1323" s="683"/>
      <c r="D1323" s="683"/>
      <c r="E1323" s="683"/>
      <c r="F1323" s="683"/>
      <c r="G1323" s="683"/>
      <c r="H1323" s="711"/>
      <c r="I1323" s="683"/>
      <c r="J1323" s="683"/>
      <c r="K1323" s="683"/>
      <c r="L1323" s="683"/>
      <c r="M1323" s="683"/>
      <c r="N1323" s="685"/>
      <c r="O1323" s="683"/>
      <c r="P1323" s="683"/>
      <c r="Q1323" s="683"/>
      <c r="R1323" s="683"/>
      <c r="S1323" s="683"/>
      <c r="T1323" s="683"/>
      <c r="U1323" s="683"/>
      <c r="V1323" s="683"/>
      <c r="W1323" s="683"/>
      <c r="X1323" s="683"/>
      <c r="Y1323" s="683"/>
      <c r="Z1323" s="683"/>
    </row>
    <row r="1324" spans="1:26" ht="15.75" customHeight="1" x14ac:dyDescent="0.25">
      <c r="A1324" s="19" t="s">
        <v>2855</v>
      </c>
      <c r="B1324" s="3" t="s">
        <v>2854</v>
      </c>
      <c r="C1324" s="683"/>
      <c r="D1324" s="683"/>
      <c r="E1324" s="683"/>
      <c r="F1324" s="683"/>
      <c r="G1324" s="683"/>
      <c r="H1324" s="711"/>
      <c r="I1324" s="683"/>
      <c r="J1324" s="683"/>
      <c r="K1324" s="683"/>
      <c r="L1324" s="683"/>
      <c r="M1324" s="683"/>
      <c r="N1324" s="685"/>
      <c r="O1324" s="683"/>
      <c r="P1324" s="683"/>
      <c r="Q1324" s="683"/>
      <c r="R1324" s="683"/>
      <c r="S1324" s="683"/>
      <c r="T1324" s="683"/>
      <c r="U1324" s="683"/>
      <c r="V1324" s="683"/>
      <c r="W1324" s="683"/>
      <c r="X1324" s="683"/>
      <c r="Y1324" s="683"/>
      <c r="Z1324" s="683"/>
    </row>
    <row r="1325" spans="1:26" ht="15.75" customHeight="1" x14ac:dyDescent="0.25">
      <c r="A1325" s="3" t="s">
        <v>2856</v>
      </c>
      <c r="B1325" s="683" t="s">
        <v>1901</v>
      </c>
      <c r="C1325" s="683"/>
      <c r="D1325" s="683"/>
      <c r="E1325" s="683"/>
      <c r="F1325" s="683"/>
      <c r="G1325" s="683"/>
      <c r="H1325" s="711"/>
      <c r="I1325" s="683"/>
      <c r="J1325" s="683"/>
      <c r="K1325" s="683"/>
      <c r="L1325" s="683"/>
      <c r="M1325" s="683"/>
      <c r="N1325" s="685"/>
      <c r="O1325" s="683"/>
      <c r="P1325" s="683"/>
      <c r="Q1325" s="683"/>
      <c r="R1325" s="683"/>
      <c r="S1325" s="683"/>
      <c r="T1325" s="683"/>
      <c r="U1325" s="683"/>
      <c r="V1325" s="683"/>
      <c r="W1325" s="683"/>
      <c r="X1325" s="683"/>
      <c r="Y1325" s="683"/>
      <c r="Z1325" s="683"/>
    </row>
    <row r="1326" spans="1:26" ht="15.75" customHeight="1" x14ac:dyDescent="0.25">
      <c r="A1326" s="3" t="s">
        <v>2857</v>
      </c>
      <c r="B1326" s="3" t="s">
        <v>1901</v>
      </c>
      <c r="C1326" s="683"/>
      <c r="D1326" s="683"/>
      <c r="E1326" s="683"/>
      <c r="F1326" s="683"/>
      <c r="G1326" s="683"/>
      <c r="H1326" s="711"/>
      <c r="I1326" s="683"/>
      <c r="J1326" s="683"/>
      <c r="K1326" s="683"/>
      <c r="L1326" s="683"/>
      <c r="M1326" s="683"/>
      <c r="N1326" s="685"/>
      <c r="O1326" s="683"/>
      <c r="P1326" s="683"/>
      <c r="Q1326" s="683"/>
      <c r="R1326" s="683"/>
      <c r="S1326" s="683"/>
      <c r="T1326" s="683"/>
      <c r="U1326" s="683"/>
      <c r="V1326" s="683"/>
      <c r="W1326" s="683"/>
      <c r="X1326" s="683"/>
      <c r="Y1326" s="683"/>
      <c r="Z1326" s="683"/>
    </row>
    <row r="1327" spans="1:26" ht="15.75" customHeight="1" x14ac:dyDescent="0.25">
      <c r="A1327" s="683" t="s">
        <v>2858</v>
      </c>
      <c r="B1327" s="3" t="s">
        <v>617</v>
      </c>
      <c r="C1327" s="683"/>
      <c r="D1327" s="683"/>
      <c r="E1327" s="683"/>
      <c r="F1327" s="683"/>
      <c r="G1327" s="683"/>
      <c r="H1327" s="711"/>
      <c r="I1327" s="683"/>
      <c r="J1327" s="683"/>
      <c r="K1327" s="683"/>
      <c r="L1327" s="683"/>
      <c r="M1327" s="683"/>
      <c r="N1327" s="685"/>
      <c r="O1327" s="683"/>
      <c r="P1327" s="683"/>
      <c r="Q1327" s="683"/>
      <c r="R1327" s="683"/>
      <c r="S1327" s="683"/>
      <c r="T1327" s="683"/>
      <c r="U1327" s="683"/>
      <c r="V1327" s="683"/>
      <c r="W1327" s="683"/>
      <c r="X1327" s="683"/>
      <c r="Y1327" s="683"/>
      <c r="Z1327" s="683"/>
    </row>
    <row r="1328" spans="1:26" ht="15.75" customHeight="1" x14ac:dyDescent="0.25">
      <c r="A1328" s="683" t="s">
        <v>2450</v>
      </c>
      <c r="B1328" s="3" t="s">
        <v>617</v>
      </c>
      <c r="C1328" s="683"/>
      <c r="D1328" s="683"/>
      <c r="E1328" s="683"/>
      <c r="F1328" s="683"/>
      <c r="G1328" s="683"/>
      <c r="H1328" s="711"/>
      <c r="I1328" s="683"/>
      <c r="J1328" s="683"/>
      <c r="K1328" s="683"/>
      <c r="L1328" s="683"/>
      <c r="M1328" s="683"/>
      <c r="N1328" s="685"/>
      <c r="O1328" s="683"/>
      <c r="P1328" s="683"/>
      <c r="Q1328" s="683"/>
      <c r="R1328" s="683"/>
      <c r="S1328" s="683"/>
      <c r="T1328" s="683"/>
      <c r="U1328" s="683"/>
      <c r="V1328" s="683"/>
      <c r="W1328" s="683"/>
      <c r="X1328" s="683"/>
      <c r="Y1328" s="683"/>
      <c r="Z1328" s="683"/>
    </row>
    <row r="1329" spans="1:26" ht="15.75" customHeight="1" x14ac:dyDescent="0.25">
      <c r="A1329" s="3" t="s">
        <v>2859</v>
      </c>
      <c r="B1329" s="683" t="s">
        <v>617</v>
      </c>
      <c r="C1329" s="683"/>
      <c r="D1329" s="683"/>
      <c r="E1329" s="683"/>
      <c r="F1329" s="683"/>
      <c r="G1329" s="683"/>
      <c r="H1329" s="711"/>
      <c r="I1329" s="683"/>
      <c r="J1329" s="683"/>
      <c r="K1329" s="683"/>
      <c r="L1329" s="683"/>
      <c r="M1329" s="683"/>
      <c r="N1329" s="685"/>
      <c r="O1329" s="683"/>
      <c r="P1329" s="683"/>
      <c r="Q1329" s="683"/>
      <c r="R1329" s="683"/>
      <c r="S1329" s="683"/>
      <c r="T1329" s="683"/>
      <c r="U1329" s="683"/>
      <c r="V1329" s="683"/>
      <c r="W1329" s="683"/>
      <c r="X1329" s="683"/>
      <c r="Y1329" s="683"/>
      <c r="Z1329" s="683"/>
    </row>
    <row r="1330" spans="1:26" ht="15.75" customHeight="1" x14ac:dyDescent="0.25">
      <c r="A1330" s="3" t="s">
        <v>215</v>
      </c>
      <c r="B1330" s="683" t="s">
        <v>617</v>
      </c>
      <c r="C1330" s="683"/>
      <c r="D1330" s="683"/>
      <c r="E1330" s="683"/>
      <c r="F1330" s="683"/>
      <c r="G1330" s="683"/>
      <c r="H1330" s="711"/>
      <c r="I1330" s="683"/>
      <c r="J1330" s="683"/>
      <c r="K1330" s="683"/>
      <c r="L1330" s="683"/>
      <c r="M1330" s="683"/>
      <c r="N1330" s="685"/>
      <c r="O1330" s="683"/>
      <c r="P1330" s="683"/>
      <c r="Q1330" s="683"/>
      <c r="R1330" s="683"/>
      <c r="S1330" s="683"/>
      <c r="T1330" s="683"/>
      <c r="U1330" s="683"/>
      <c r="V1330" s="683"/>
      <c r="W1330" s="683"/>
      <c r="X1330" s="683"/>
      <c r="Y1330" s="683"/>
      <c r="Z1330" s="683"/>
    </row>
    <row r="1331" spans="1:26" ht="15.75" customHeight="1" x14ac:dyDescent="0.25">
      <c r="A1331" s="3" t="s">
        <v>2860</v>
      </c>
      <c r="B1331" s="3" t="s">
        <v>936</v>
      </c>
      <c r="C1331" s="683"/>
      <c r="D1331" s="683"/>
      <c r="E1331" s="683"/>
      <c r="F1331" s="683"/>
      <c r="G1331" s="683"/>
      <c r="H1331" s="711"/>
      <c r="I1331" s="683"/>
      <c r="J1331" s="683"/>
      <c r="K1331" s="683"/>
      <c r="L1331" s="683"/>
      <c r="M1331" s="683"/>
      <c r="N1331" s="685"/>
      <c r="O1331" s="683"/>
      <c r="P1331" s="683"/>
      <c r="Q1331" s="683"/>
      <c r="R1331" s="683"/>
      <c r="S1331" s="683"/>
      <c r="T1331" s="683"/>
      <c r="U1331" s="683"/>
      <c r="V1331" s="683"/>
      <c r="W1331" s="683"/>
      <c r="X1331" s="683"/>
      <c r="Y1331" s="683"/>
      <c r="Z1331" s="683"/>
    </row>
    <row r="1332" spans="1:26" ht="15.75" customHeight="1" x14ac:dyDescent="0.25">
      <c r="A1332" s="3" t="s">
        <v>2861</v>
      </c>
      <c r="B1332" s="3" t="s">
        <v>936</v>
      </c>
      <c r="C1332" s="683"/>
      <c r="D1332" s="683"/>
      <c r="E1332" s="683"/>
      <c r="F1332" s="683"/>
      <c r="G1332" s="683"/>
      <c r="H1332" s="711"/>
      <c r="I1332" s="683"/>
      <c r="J1332" s="683"/>
      <c r="K1332" s="683"/>
      <c r="L1332" s="683"/>
      <c r="M1332" s="683"/>
      <c r="N1332" s="685"/>
      <c r="O1332" s="683"/>
      <c r="P1332" s="683"/>
      <c r="Q1332" s="683"/>
      <c r="R1332" s="683"/>
      <c r="S1332" s="683"/>
      <c r="T1332" s="683"/>
      <c r="U1332" s="683"/>
      <c r="V1332" s="683"/>
      <c r="W1332" s="683"/>
      <c r="X1332" s="683"/>
      <c r="Y1332" s="683"/>
      <c r="Z1332" s="683"/>
    </row>
    <row r="1333" spans="1:26" ht="15.75" customHeight="1" x14ac:dyDescent="0.25">
      <c r="A1333" s="3" t="s">
        <v>2862</v>
      </c>
      <c r="B1333" s="3" t="s">
        <v>936</v>
      </c>
      <c r="C1333" s="683"/>
      <c r="D1333" s="683"/>
      <c r="E1333" s="683"/>
      <c r="F1333" s="683"/>
      <c r="G1333" s="683"/>
      <c r="H1333" s="711"/>
      <c r="I1333" s="683"/>
      <c r="J1333" s="683"/>
      <c r="K1333" s="683"/>
      <c r="L1333" s="683"/>
      <c r="M1333" s="683"/>
      <c r="N1333" s="685"/>
      <c r="O1333" s="683"/>
      <c r="P1333" s="683"/>
      <c r="Q1333" s="683"/>
      <c r="R1333" s="683"/>
      <c r="S1333" s="683"/>
      <c r="T1333" s="683"/>
      <c r="U1333" s="683"/>
      <c r="V1333" s="683"/>
      <c r="W1333" s="683"/>
      <c r="X1333" s="683"/>
      <c r="Y1333" s="683"/>
      <c r="Z1333" s="683"/>
    </row>
    <row r="1334" spans="1:26" ht="15.75" customHeight="1" x14ac:dyDescent="0.25">
      <c r="A1334" s="3" t="s">
        <v>2863</v>
      </c>
      <c r="B1334" s="3" t="s">
        <v>936</v>
      </c>
      <c r="C1334" s="683"/>
      <c r="D1334" s="683"/>
      <c r="E1334" s="683"/>
      <c r="F1334" s="683"/>
      <c r="G1334" s="683"/>
      <c r="H1334" s="711"/>
      <c r="I1334" s="683"/>
      <c r="J1334" s="683"/>
      <c r="K1334" s="683"/>
      <c r="L1334" s="683"/>
      <c r="M1334" s="683"/>
      <c r="N1334" s="685"/>
      <c r="O1334" s="683"/>
      <c r="P1334" s="683"/>
      <c r="Q1334" s="683"/>
      <c r="R1334" s="683"/>
      <c r="S1334" s="683"/>
      <c r="T1334" s="683"/>
      <c r="U1334" s="683"/>
      <c r="V1334" s="683"/>
      <c r="W1334" s="683"/>
      <c r="X1334" s="683"/>
      <c r="Y1334" s="683"/>
      <c r="Z1334" s="683"/>
    </row>
    <row r="1335" spans="1:26" ht="15.75" customHeight="1" x14ac:dyDescent="0.25">
      <c r="A1335" s="3" t="s">
        <v>617</v>
      </c>
      <c r="B1335" s="3" t="s">
        <v>936</v>
      </c>
      <c r="C1335" s="683"/>
      <c r="D1335" s="683"/>
      <c r="E1335" s="683"/>
      <c r="F1335" s="683"/>
      <c r="G1335" s="683"/>
      <c r="H1335" s="711"/>
      <c r="I1335" s="683"/>
      <c r="J1335" s="683"/>
      <c r="K1335" s="683"/>
      <c r="L1335" s="683"/>
      <c r="M1335" s="683"/>
      <c r="N1335" s="685"/>
      <c r="O1335" s="683"/>
      <c r="P1335" s="683"/>
      <c r="Q1335" s="683"/>
      <c r="R1335" s="683"/>
      <c r="S1335" s="683"/>
      <c r="T1335" s="683"/>
      <c r="U1335" s="683"/>
      <c r="V1335" s="683"/>
      <c r="W1335" s="683"/>
      <c r="X1335" s="683"/>
      <c r="Y1335" s="683"/>
      <c r="Z1335" s="683"/>
    </row>
    <row r="1336" spans="1:26" ht="15.75" customHeight="1" x14ac:dyDescent="0.25">
      <c r="A1336" s="3" t="s">
        <v>2864</v>
      </c>
      <c r="B1336" s="3" t="s">
        <v>936</v>
      </c>
      <c r="C1336" s="683"/>
      <c r="D1336" s="683"/>
      <c r="E1336" s="683"/>
      <c r="F1336" s="683"/>
      <c r="G1336" s="683"/>
      <c r="H1336" s="711"/>
      <c r="I1336" s="683"/>
      <c r="J1336" s="683"/>
      <c r="K1336" s="683"/>
      <c r="L1336" s="683"/>
      <c r="M1336" s="683"/>
      <c r="N1336" s="685"/>
      <c r="O1336" s="683"/>
      <c r="P1336" s="683"/>
      <c r="Q1336" s="683"/>
      <c r="R1336" s="683"/>
      <c r="S1336" s="683"/>
      <c r="T1336" s="683"/>
      <c r="U1336" s="683"/>
      <c r="V1336" s="683"/>
      <c r="W1336" s="683"/>
      <c r="X1336" s="683"/>
      <c r="Y1336" s="683"/>
      <c r="Z1336" s="683"/>
    </row>
    <row r="1337" spans="1:26" ht="15.75" customHeight="1" x14ac:dyDescent="0.25">
      <c r="A1337" s="3" t="s">
        <v>2865</v>
      </c>
      <c r="B1337" s="3" t="s">
        <v>936</v>
      </c>
      <c r="C1337" s="683"/>
      <c r="D1337" s="683"/>
      <c r="E1337" s="683"/>
      <c r="F1337" s="683"/>
      <c r="G1337" s="683"/>
      <c r="H1337" s="711"/>
      <c r="I1337" s="683"/>
      <c r="J1337" s="683"/>
      <c r="K1337" s="683"/>
      <c r="L1337" s="683"/>
      <c r="M1337" s="683"/>
      <c r="N1337" s="685"/>
      <c r="O1337" s="683"/>
      <c r="P1337" s="683"/>
      <c r="Q1337" s="683"/>
      <c r="R1337" s="683"/>
      <c r="S1337" s="683"/>
      <c r="T1337" s="683"/>
      <c r="U1337" s="683"/>
      <c r="V1337" s="683"/>
      <c r="W1337" s="683"/>
      <c r="X1337" s="683"/>
      <c r="Y1337" s="683"/>
      <c r="Z1337" s="683"/>
    </row>
    <row r="1338" spans="1:26" ht="15.75" customHeight="1" x14ac:dyDescent="0.25">
      <c r="A1338" s="3" t="s">
        <v>165</v>
      </c>
      <c r="B1338" s="3" t="s">
        <v>936</v>
      </c>
      <c r="C1338" s="683"/>
      <c r="D1338" s="683"/>
      <c r="E1338" s="683"/>
      <c r="F1338" s="683"/>
      <c r="G1338" s="683"/>
      <c r="H1338" s="711"/>
      <c r="I1338" s="683"/>
      <c r="J1338" s="683"/>
      <c r="K1338" s="683"/>
      <c r="L1338" s="683"/>
      <c r="M1338" s="683"/>
      <c r="N1338" s="685"/>
      <c r="O1338" s="683"/>
      <c r="P1338" s="683"/>
      <c r="Q1338" s="683"/>
      <c r="R1338" s="683"/>
      <c r="S1338" s="683"/>
      <c r="T1338" s="683"/>
      <c r="U1338" s="683"/>
      <c r="V1338" s="683"/>
      <c r="W1338" s="683"/>
      <c r="X1338" s="683"/>
      <c r="Y1338" s="683"/>
      <c r="Z1338" s="683"/>
    </row>
    <row r="1339" spans="1:26" ht="15.75" customHeight="1" x14ac:dyDescent="0.25">
      <c r="A1339" s="3" t="s">
        <v>2866</v>
      </c>
      <c r="B1339" s="3" t="s">
        <v>936</v>
      </c>
      <c r="C1339" s="683"/>
      <c r="D1339" s="683"/>
      <c r="E1339" s="683"/>
      <c r="F1339" s="683"/>
      <c r="G1339" s="683"/>
      <c r="H1339" s="711"/>
      <c r="I1339" s="683"/>
      <c r="J1339" s="683"/>
      <c r="K1339" s="683"/>
      <c r="L1339" s="683"/>
      <c r="M1339" s="683"/>
      <c r="N1339" s="685"/>
      <c r="O1339" s="683"/>
      <c r="P1339" s="683"/>
      <c r="Q1339" s="683"/>
      <c r="R1339" s="683"/>
      <c r="S1339" s="683"/>
      <c r="T1339" s="683"/>
      <c r="U1339" s="683"/>
      <c r="V1339" s="683"/>
      <c r="W1339" s="683"/>
      <c r="X1339" s="683"/>
      <c r="Y1339" s="683"/>
      <c r="Z1339" s="683"/>
    </row>
    <row r="1340" spans="1:26" ht="15.75" customHeight="1" x14ac:dyDescent="0.25">
      <c r="A1340" s="3" t="s">
        <v>2867</v>
      </c>
      <c r="B1340" s="3" t="s">
        <v>2868</v>
      </c>
      <c r="C1340" s="683"/>
      <c r="D1340" s="683"/>
      <c r="E1340" s="683"/>
      <c r="F1340" s="683"/>
      <c r="G1340" s="683"/>
      <c r="H1340" s="711"/>
      <c r="I1340" s="683"/>
      <c r="J1340" s="683"/>
      <c r="K1340" s="683"/>
      <c r="L1340" s="683"/>
      <c r="M1340" s="683"/>
      <c r="N1340" s="685"/>
      <c r="O1340" s="683"/>
      <c r="P1340" s="683"/>
      <c r="Q1340" s="683"/>
      <c r="R1340" s="683"/>
      <c r="S1340" s="683"/>
      <c r="T1340" s="683"/>
      <c r="U1340" s="683"/>
      <c r="V1340" s="683"/>
      <c r="W1340" s="683"/>
      <c r="X1340" s="683"/>
      <c r="Y1340" s="683"/>
      <c r="Z1340" s="683"/>
    </row>
    <row r="1341" spans="1:26" ht="15.75" customHeight="1" x14ac:dyDescent="0.25">
      <c r="A1341" s="3" t="s">
        <v>2869</v>
      </c>
      <c r="B1341" s="3" t="s">
        <v>2870</v>
      </c>
      <c r="C1341" s="683"/>
      <c r="D1341" s="683"/>
      <c r="E1341" s="683"/>
      <c r="F1341" s="683"/>
      <c r="G1341" s="683"/>
      <c r="H1341" s="711"/>
      <c r="I1341" s="683"/>
      <c r="J1341" s="683"/>
      <c r="K1341" s="683"/>
      <c r="L1341" s="683"/>
      <c r="M1341" s="683"/>
      <c r="N1341" s="685"/>
      <c r="O1341" s="683"/>
      <c r="P1341" s="683"/>
      <c r="Q1341" s="683"/>
      <c r="R1341" s="683"/>
      <c r="S1341" s="683"/>
      <c r="T1341" s="683"/>
      <c r="U1341" s="683"/>
      <c r="V1341" s="683"/>
      <c r="W1341" s="683"/>
      <c r="X1341" s="683"/>
      <c r="Y1341" s="683"/>
      <c r="Z1341" s="683"/>
    </row>
    <row r="1342" spans="1:26" ht="15.75" customHeight="1" x14ac:dyDescent="0.25">
      <c r="A1342" s="3" t="s">
        <v>1807</v>
      </c>
      <c r="B1342" s="3" t="s">
        <v>2871</v>
      </c>
      <c r="C1342" s="683"/>
      <c r="D1342" s="683"/>
      <c r="E1342" s="683"/>
      <c r="F1342" s="683"/>
      <c r="G1342" s="683"/>
      <c r="H1342" s="711"/>
      <c r="I1342" s="683"/>
      <c r="J1342" s="683"/>
      <c r="K1342" s="683"/>
      <c r="L1342" s="683"/>
      <c r="M1342" s="683"/>
      <c r="N1342" s="685"/>
      <c r="O1342" s="683"/>
      <c r="P1342" s="683"/>
      <c r="Q1342" s="683"/>
      <c r="R1342" s="683"/>
      <c r="S1342" s="683"/>
      <c r="T1342" s="683"/>
      <c r="U1342" s="683"/>
      <c r="V1342" s="683"/>
      <c r="W1342" s="683"/>
      <c r="X1342" s="683"/>
      <c r="Y1342" s="683"/>
      <c r="Z1342" s="683"/>
    </row>
    <row r="1343" spans="1:26" ht="15.75" customHeight="1" x14ac:dyDescent="0.25">
      <c r="A1343" s="3" t="s">
        <v>2872</v>
      </c>
      <c r="B1343" s="3" t="s">
        <v>2871</v>
      </c>
      <c r="C1343" s="683"/>
      <c r="D1343" s="683"/>
      <c r="E1343" s="683"/>
      <c r="F1343" s="683"/>
      <c r="G1343" s="683"/>
      <c r="H1343" s="711"/>
      <c r="I1343" s="683"/>
      <c r="J1343" s="683"/>
      <c r="K1343" s="683"/>
      <c r="L1343" s="683"/>
      <c r="M1343" s="683"/>
      <c r="N1343" s="685"/>
      <c r="O1343" s="683"/>
      <c r="P1343" s="683"/>
      <c r="Q1343" s="683"/>
      <c r="R1343" s="683"/>
      <c r="S1343" s="683"/>
      <c r="T1343" s="683"/>
      <c r="U1343" s="683"/>
      <c r="V1343" s="683"/>
      <c r="W1343" s="683"/>
      <c r="X1343" s="683"/>
      <c r="Y1343" s="683"/>
      <c r="Z1343" s="683"/>
    </row>
    <row r="1344" spans="1:26" ht="15.75" customHeight="1" x14ac:dyDescent="0.25">
      <c r="A1344" s="683" t="s">
        <v>2873</v>
      </c>
      <c r="B1344" s="683" t="s">
        <v>729</v>
      </c>
      <c r="C1344" s="683"/>
      <c r="D1344" s="683"/>
      <c r="E1344" s="683"/>
      <c r="F1344" s="683"/>
      <c r="G1344" s="683"/>
      <c r="H1344" s="711"/>
      <c r="I1344" s="683"/>
      <c r="J1344" s="683"/>
      <c r="K1344" s="683"/>
      <c r="L1344" s="683"/>
      <c r="M1344" s="683"/>
      <c r="N1344" s="685"/>
      <c r="O1344" s="683"/>
      <c r="P1344" s="683"/>
      <c r="Q1344" s="683"/>
      <c r="R1344" s="683"/>
      <c r="S1344" s="683"/>
      <c r="T1344" s="683"/>
      <c r="U1344" s="683"/>
      <c r="V1344" s="683"/>
      <c r="W1344" s="683"/>
      <c r="X1344" s="683"/>
      <c r="Y1344" s="683"/>
      <c r="Z1344" s="683"/>
    </row>
    <row r="1345" spans="1:26" ht="15.75" customHeight="1" x14ac:dyDescent="0.25">
      <c r="A1345" s="3" t="s">
        <v>2874</v>
      </c>
      <c r="B1345" s="683" t="s">
        <v>729</v>
      </c>
      <c r="C1345" s="3"/>
      <c r="D1345" s="683"/>
      <c r="E1345" s="683"/>
      <c r="F1345" s="683"/>
      <c r="G1345" s="683"/>
      <c r="H1345" s="711"/>
      <c r="I1345" s="683"/>
      <c r="J1345" s="683"/>
      <c r="K1345" s="683"/>
      <c r="L1345" s="683"/>
      <c r="M1345" s="683"/>
      <c r="N1345" s="685"/>
      <c r="O1345" s="683"/>
      <c r="P1345" s="683"/>
      <c r="Q1345" s="683"/>
      <c r="R1345" s="683"/>
      <c r="S1345" s="683"/>
      <c r="T1345" s="683"/>
      <c r="U1345" s="683"/>
      <c r="V1345" s="683"/>
      <c r="W1345" s="683"/>
      <c r="X1345" s="683"/>
      <c r="Y1345" s="683"/>
      <c r="Z1345" s="683"/>
    </row>
    <row r="1346" spans="1:26" ht="15.75" customHeight="1" x14ac:dyDescent="0.25">
      <c r="A1346" s="3" t="s">
        <v>2451</v>
      </c>
      <c r="B1346" s="683" t="s">
        <v>729</v>
      </c>
      <c r="C1346" s="683"/>
      <c r="D1346" s="683"/>
      <c r="E1346" s="683"/>
      <c r="F1346" s="683"/>
      <c r="G1346" s="683"/>
      <c r="H1346" s="711"/>
      <c r="I1346" s="683"/>
      <c r="J1346" s="683"/>
      <c r="K1346" s="683"/>
      <c r="L1346" s="683"/>
      <c r="M1346" s="683"/>
      <c r="N1346" s="685"/>
      <c r="O1346" s="683"/>
      <c r="P1346" s="683"/>
      <c r="Q1346" s="683"/>
      <c r="R1346" s="683"/>
      <c r="S1346" s="683"/>
      <c r="T1346" s="683"/>
      <c r="U1346" s="683"/>
      <c r="V1346" s="683"/>
      <c r="W1346" s="683"/>
      <c r="X1346" s="683"/>
      <c r="Y1346" s="683"/>
      <c r="Z1346" s="683"/>
    </row>
    <row r="1347" spans="1:26" ht="15.75" customHeight="1" x14ac:dyDescent="0.25">
      <c r="A1347" s="3" t="s">
        <v>2875</v>
      </c>
      <c r="B1347" s="683" t="s">
        <v>729</v>
      </c>
      <c r="C1347" s="683"/>
      <c r="D1347" s="683"/>
      <c r="E1347" s="683"/>
      <c r="F1347" s="683"/>
      <c r="G1347" s="683"/>
      <c r="H1347" s="711"/>
      <c r="I1347" s="683"/>
      <c r="J1347" s="683"/>
      <c r="K1347" s="683"/>
      <c r="L1347" s="683"/>
      <c r="M1347" s="683"/>
      <c r="N1347" s="685"/>
      <c r="O1347" s="683"/>
      <c r="P1347" s="683"/>
      <c r="Q1347" s="683"/>
      <c r="R1347" s="683"/>
      <c r="S1347" s="683"/>
      <c r="T1347" s="683"/>
      <c r="U1347" s="683"/>
      <c r="V1347" s="683"/>
      <c r="W1347" s="683"/>
      <c r="X1347" s="683"/>
      <c r="Y1347" s="683"/>
      <c r="Z1347" s="683"/>
    </row>
    <row r="1348" spans="1:26" ht="15.75" customHeight="1" x14ac:dyDescent="0.25">
      <c r="A1348" s="3" t="s">
        <v>2876</v>
      </c>
      <c r="B1348" s="683" t="s">
        <v>729</v>
      </c>
      <c r="C1348" s="683"/>
      <c r="D1348" s="683"/>
      <c r="E1348" s="683"/>
      <c r="F1348" s="683"/>
      <c r="G1348" s="683"/>
      <c r="H1348" s="711"/>
      <c r="I1348" s="683"/>
      <c r="J1348" s="683"/>
      <c r="K1348" s="683"/>
      <c r="L1348" s="683"/>
      <c r="M1348" s="683"/>
      <c r="N1348" s="685"/>
      <c r="O1348" s="683"/>
      <c r="P1348" s="683"/>
      <c r="Q1348" s="683"/>
      <c r="R1348" s="683"/>
      <c r="S1348" s="683"/>
      <c r="T1348" s="683"/>
      <c r="U1348" s="683"/>
      <c r="V1348" s="683"/>
      <c r="W1348" s="683"/>
      <c r="X1348" s="683"/>
      <c r="Y1348" s="683"/>
      <c r="Z1348" s="683"/>
    </row>
    <row r="1349" spans="1:26" ht="15.75" customHeight="1" x14ac:dyDescent="0.25">
      <c r="A1349" s="3" t="s">
        <v>2877</v>
      </c>
      <c r="B1349" s="683" t="s">
        <v>2878</v>
      </c>
      <c r="C1349" s="683"/>
      <c r="D1349" s="683"/>
      <c r="E1349" s="683"/>
      <c r="F1349" s="683"/>
      <c r="G1349" s="683"/>
      <c r="H1349" s="711"/>
      <c r="I1349" s="683"/>
      <c r="J1349" s="683"/>
      <c r="K1349" s="683"/>
      <c r="L1349" s="683"/>
      <c r="M1349" s="683"/>
      <c r="N1349" s="685"/>
      <c r="O1349" s="683"/>
      <c r="P1349" s="683"/>
      <c r="Q1349" s="683"/>
      <c r="R1349" s="683"/>
      <c r="S1349" s="683"/>
      <c r="T1349" s="683"/>
      <c r="U1349" s="683"/>
      <c r="V1349" s="683"/>
      <c r="W1349" s="683"/>
      <c r="X1349" s="683"/>
      <c r="Y1349" s="683"/>
      <c r="Z1349" s="683"/>
    </row>
    <row r="1350" spans="1:26" ht="15.75" customHeight="1" x14ac:dyDescent="0.25">
      <c r="A1350" s="3" t="s">
        <v>2365</v>
      </c>
      <c r="B1350" s="683" t="s">
        <v>729</v>
      </c>
      <c r="C1350" s="683"/>
      <c r="D1350" s="683"/>
      <c r="E1350" s="683"/>
      <c r="F1350" s="683"/>
      <c r="G1350" s="683"/>
      <c r="H1350" s="711"/>
      <c r="I1350" s="683"/>
      <c r="J1350" s="683"/>
      <c r="K1350" s="683"/>
      <c r="L1350" s="683"/>
      <c r="M1350" s="683"/>
      <c r="N1350" s="685"/>
      <c r="O1350" s="683"/>
      <c r="P1350" s="683"/>
      <c r="Q1350" s="683"/>
      <c r="R1350" s="683"/>
      <c r="S1350" s="683"/>
      <c r="T1350" s="683"/>
      <c r="U1350" s="683"/>
      <c r="V1350" s="683"/>
      <c r="W1350" s="683"/>
      <c r="X1350" s="683"/>
      <c r="Y1350" s="683"/>
      <c r="Z1350" s="683"/>
    </row>
    <row r="1351" spans="1:26" ht="15.75" customHeight="1" x14ac:dyDescent="0.25">
      <c r="A1351" s="19" t="s">
        <v>2879</v>
      </c>
      <c r="B1351" s="683" t="s">
        <v>729</v>
      </c>
      <c r="C1351" s="683"/>
      <c r="D1351" s="683"/>
      <c r="E1351" s="683"/>
      <c r="F1351" s="683"/>
      <c r="G1351" s="683"/>
      <c r="H1351" s="711"/>
      <c r="I1351" s="683"/>
      <c r="J1351" s="683"/>
      <c r="K1351" s="683"/>
      <c r="L1351" s="683"/>
      <c r="M1351" s="683"/>
      <c r="N1351" s="685"/>
      <c r="O1351" s="683"/>
      <c r="P1351" s="683"/>
      <c r="Q1351" s="683"/>
      <c r="R1351" s="683"/>
      <c r="S1351" s="683"/>
      <c r="T1351" s="683"/>
      <c r="U1351" s="683"/>
      <c r="V1351" s="683"/>
      <c r="W1351" s="683"/>
      <c r="X1351" s="683"/>
      <c r="Y1351" s="683"/>
      <c r="Z1351" s="683"/>
    </row>
    <row r="1352" spans="1:26" ht="15.75" customHeight="1" x14ac:dyDescent="0.25">
      <c r="A1352" s="3" t="s">
        <v>2880</v>
      </c>
      <c r="B1352" s="683" t="s">
        <v>2881</v>
      </c>
      <c r="C1352" s="683"/>
      <c r="D1352" s="683"/>
      <c r="E1352" s="683"/>
      <c r="F1352" s="683"/>
      <c r="G1352" s="683"/>
      <c r="H1352" s="711"/>
      <c r="I1352" s="683"/>
      <c r="J1352" s="683"/>
      <c r="K1352" s="683"/>
      <c r="L1352" s="683"/>
      <c r="M1352" s="683"/>
      <c r="N1352" s="685"/>
      <c r="O1352" s="683"/>
      <c r="P1352" s="683"/>
      <c r="Q1352" s="683"/>
      <c r="R1352" s="683"/>
      <c r="S1352" s="683"/>
      <c r="T1352" s="683"/>
      <c r="U1352" s="683"/>
      <c r="V1352" s="683"/>
      <c r="W1352" s="683"/>
      <c r="X1352" s="683"/>
      <c r="Y1352" s="683"/>
      <c r="Z1352" s="683"/>
    </row>
    <row r="1353" spans="1:26" ht="15.75" customHeight="1" x14ac:dyDescent="0.25">
      <c r="A1353" s="3" t="s">
        <v>2882</v>
      </c>
      <c r="B1353" s="683" t="s">
        <v>2881</v>
      </c>
      <c r="C1353" s="683"/>
      <c r="D1353" s="683"/>
      <c r="E1353" s="683"/>
      <c r="F1353" s="683"/>
      <c r="G1353" s="683"/>
      <c r="H1353" s="711"/>
      <c r="I1353" s="683"/>
      <c r="J1353" s="683"/>
      <c r="K1353" s="683"/>
      <c r="L1353" s="683"/>
      <c r="M1353" s="683"/>
      <c r="N1353" s="685"/>
      <c r="O1353" s="683"/>
      <c r="P1353" s="683"/>
      <c r="Q1353" s="683"/>
      <c r="R1353" s="683"/>
      <c r="S1353" s="683"/>
      <c r="T1353" s="683"/>
      <c r="U1353" s="683"/>
      <c r="V1353" s="683"/>
      <c r="W1353" s="683"/>
      <c r="X1353" s="683"/>
      <c r="Y1353" s="683"/>
      <c r="Z1353" s="683"/>
    </row>
    <row r="1354" spans="1:26" ht="15.75" customHeight="1" x14ac:dyDescent="0.25">
      <c r="A1354" s="683" t="s">
        <v>2883</v>
      </c>
      <c r="B1354" s="683" t="s">
        <v>2881</v>
      </c>
      <c r="C1354" s="683"/>
      <c r="D1354" s="683"/>
      <c r="E1354" s="683"/>
      <c r="F1354" s="683"/>
      <c r="G1354" s="683"/>
      <c r="H1354" s="711"/>
      <c r="I1354" s="683"/>
      <c r="J1354" s="683"/>
      <c r="K1354" s="683"/>
      <c r="L1354" s="683"/>
      <c r="M1354" s="683"/>
      <c r="N1354" s="685"/>
      <c r="O1354" s="683"/>
      <c r="P1354" s="683"/>
      <c r="Q1354" s="683"/>
      <c r="R1354" s="683"/>
      <c r="S1354" s="683"/>
      <c r="T1354" s="683"/>
      <c r="U1354" s="683"/>
      <c r="V1354" s="683"/>
      <c r="W1354" s="683"/>
      <c r="X1354" s="683"/>
      <c r="Y1354" s="683"/>
      <c r="Z1354" s="683"/>
    </row>
    <row r="1355" spans="1:26" ht="15.75" customHeight="1" x14ac:dyDescent="0.25">
      <c r="A1355" s="683" t="s">
        <v>2884</v>
      </c>
      <c r="B1355" s="3" t="s">
        <v>1792</v>
      </c>
      <c r="C1355" s="683"/>
      <c r="D1355" s="683"/>
      <c r="E1355" s="683"/>
      <c r="F1355" s="683"/>
      <c r="G1355" s="683"/>
      <c r="H1355" s="711"/>
      <c r="I1355" s="683"/>
      <c r="J1355" s="683"/>
      <c r="K1355" s="683"/>
      <c r="L1355" s="683"/>
      <c r="M1355" s="683"/>
      <c r="N1355" s="685"/>
      <c r="O1355" s="683"/>
      <c r="P1355" s="683"/>
      <c r="Q1355" s="683"/>
      <c r="R1355" s="683"/>
      <c r="S1355" s="683"/>
      <c r="T1355" s="683"/>
      <c r="U1355" s="683"/>
      <c r="V1355" s="683"/>
      <c r="W1355" s="683"/>
      <c r="X1355" s="683"/>
      <c r="Y1355" s="683"/>
      <c r="Z1355" s="683"/>
    </row>
    <row r="1356" spans="1:26" ht="15.75" customHeight="1" x14ac:dyDescent="0.25">
      <c r="A1356" s="3" t="s">
        <v>2885</v>
      </c>
      <c r="B1356" s="3" t="s">
        <v>1792</v>
      </c>
      <c r="C1356" s="683"/>
      <c r="D1356" s="683"/>
      <c r="E1356" s="683"/>
      <c r="F1356" s="683"/>
      <c r="G1356" s="683"/>
      <c r="H1356" s="711"/>
      <c r="I1356" s="683"/>
      <c r="J1356" s="683"/>
      <c r="K1356" s="683"/>
      <c r="L1356" s="683"/>
      <c r="M1356" s="683"/>
      <c r="N1356" s="685"/>
      <c r="O1356" s="683"/>
      <c r="P1356" s="683"/>
      <c r="Q1356" s="683"/>
      <c r="R1356" s="683"/>
      <c r="S1356" s="683"/>
      <c r="T1356" s="683"/>
      <c r="U1356" s="683"/>
      <c r="V1356" s="683"/>
      <c r="W1356" s="683"/>
      <c r="X1356" s="683"/>
      <c r="Y1356" s="683"/>
      <c r="Z1356" s="683"/>
    </row>
    <row r="1357" spans="1:26" ht="15.75" customHeight="1" x14ac:dyDescent="0.25">
      <c r="A1357" s="683" t="s">
        <v>2886</v>
      </c>
      <c r="B1357" s="3" t="s">
        <v>1792</v>
      </c>
      <c r="C1357" s="683"/>
      <c r="D1357" s="683"/>
      <c r="E1357" s="683"/>
      <c r="F1357" s="683"/>
      <c r="G1357" s="683"/>
      <c r="H1357" s="711"/>
      <c r="I1357" s="683"/>
      <c r="J1357" s="683"/>
      <c r="K1357" s="683"/>
      <c r="L1357" s="683"/>
      <c r="M1357" s="683"/>
      <c r="N1357" s="685"/>
      <c r="O1357" s="683"/>
      <c r="P1357" s="683"/>
      <c r="Q1357" s="683"/>
      <c r="R1357" s="683"/>
      <c r="S1357" s="683"/>
      <c r="T1357" s="683"/>
      <c r="U1357" s="683"/>
      <c r="V1357" s="683"/>
      <c r="W1357" s="683"/>
      <c r="X1357" s="683"/>
      <c r="Y1357" s="683"/>
      <c r="Z1357" s="683"/>
    </row>
    <row r="1358" spans="1:26" ht="15.75" customHeight="1" x14ac:dyDescent="0.25">
      <c r="A1358" s="683" t="s">
        <v>1793</v>
      </c>
      <c r="B1358" s="3" t="s">
        <v>1792</v>
      </c>
      <c r="C1358" s="683"/>
      <c r="D1358" s="683"/>
      <c r="E1358" s="683"/>
      <c r="F1358" s="683"/>
      <c r="G1358" s="683"/>
      <c r="H1358" s="711"/>
      <c r="I1358" s="683"/>
      <c r="J1358" s="683"/>
      <c r="K1358" s="683"/>
      <c r="L1358" s="683"/>
      <c r="M1358" s="683"/>
      <c r="N1358" s="685"/>
      <c r="O1358" s="683"/>
      <c r="P1358" s="683"/>
      <c r="Q1358" s="683"/>
      <c r="R1358" s="683"/>
      <c r="S1358" s="683"/>
      <c r="T1358" s="683"/>
      <c r="U1358" s="683"/>
      <c r="V1358" s="683"/>
      <c r="W1358" s="683"/>
      <c r="X1358" s="683"/>
      <c r="Y1358" s="683"/>
      <c r="Z1358" s="683"/>
    </row>
    <row r="1359" spans="1:26" ht="15.75" customHeight="1" x14ac:dyDescent="0.25">
      <c r="A1359" s="683" t="s">
        <v>2887</v>
      </c>
      <c r="B1359" s="3" t="s">
        <v>1792</v>
      </c>
      <c r="C1359" s="683"/>
      <c r="D1359" s="683"/>
      <c r="E1359" s="683"/>
      <c r="F1359" s="683"/>
      <c r="G1359" s="683"/>
      <c r="H1359" s="711"/>
      <c r="I1359" s="683"/>
      <c r="J1359" s="683"/>
      <c r="K1359" s="683"/>
      <c r="L1359" s="683"/>
      <c r="M1359" s="683"/>
      <c r="N1359" s="685"/>
      <c r="O1359" s="683"/>
      <c r="P1359" s="683"/>
      <c r="Q1359" s="683"/>
      <c r="R1359" s="683"/>
      <c r="S1359" s="683"/>
      <c r="T1359" s="683"/>
      <c r="U1359" s="683"/>
      <c r="V1359" s="683"/>
      <c r="W1359" s="683"/>
      <c r="X1359" s="683"/>
      <c r="Y1359" s="683"/>
      <c r="Z1359" s="683"/>
    </row>
    <row r="1360" spans="1:26" ht="15.75" customHeight="1" x14ac:dyDescent="0.25">
      <c r="A1360" s="3" t="s">
        <v>2888</v>
      </c>
      <c r="B1360" s="683" t="s">
        <v>1250</v>
      </c>
      <c r="C1360" s="683"/>
      <c r="D1360" s="683"/>
      <c r="E1360" s="683"/>
      <c r="F1360" s="683"/>
      <c r="G1360" s="683"/>
      <c r="H1360" s="711"/>
      <c r="I1360" s="683"/>
      <c r="J1360" s="683"/>
      <c r="K1360" s="683"/>
      <c r="L1360" s="683"/>
      <c r="M1360" s="683"/>
      <c r="N1360" s="685"/>
      <c r="O1360" s="683"/>
      <c r="P1360" s="683"/>
      <c r="Q1360" s="683"/>
      <c r="R1360" s="683"/>
      <c r="S1360" s="683"/>
      <c r="T1360" s="683"/>
      <c r="U1360" s="683"/>
      <c r="V1360" s="683"/>
      <c r="W1360" s="683"/>
      <c r="X1360" s="683"/>
      <c r="Y1360" s="683"/>
      <c r="Z1360" s="683"/>
    </row>
    <row r="1361" spans="1:26" ht="15.75" customHeight="1" x14ac:dyDescent="0.25">
      <c r="A1361" s="683" t="s">
        <v>40</v>
      </c>
      <c r="B1361" s="683" t="s">
        <v>1250</v>
      </c>
      <c r="C1361" s="683"/>
      <c r="D1361" s="683"/>
      <c r="E1361" s="683"/>
      <c r="F1361" s="683"/>
      <c r="G1361" s="683"/>
      <c r="H1361" s="711"/>
      <c r="I1361" s="683"/>
      <c r="J1361" s="683"/>
      <c r="K1361" s="683"/>
      <c r="L1361" s="683"/>
      <c r="M1361" s="683"/>
      <c r="N1361" s="685"/>
      <c r="O1361" s="683"/>
      <c r="P1361" s="683"/>
      <c r="Q1361" s="683"/>
      <c r="R1361" s="683"/>
      <c r="S1361" s="683"/>
      <c r="T1361" s="683"/>
      <c r="U1361" s="683"/>
      <c r="V1361" s="683"/>
      <c r="W1361" s="683"/>
      <c r="X1361" s="683"/>
      <c r="Y1361" s="683"/>
      <c r="Z1361" s="683"/>
    </row>
    <row r="1362" spans="1:26" ht="15.75" customHeight="1" x14ac:dyDescent="0.25">
      <c r="A1362" s="3" t="s">
        <v>2889</v>
      </c>
      <c r="B1362" s="683" t="s">
        <v>1250</v>
      </c>
      <c r="C1362" s="683"/>
      <c r="D1362" s="683"/>
      <c r="E1362" s="683"/>
      <c r="F1362" s="683"/>
      <c r="G1362" s="683"/>
      <c r="H1362" s="711"/>
      <c r="I1362" s="683"/>
      <c r="J1362" s="683"/>
      <c r="K1362" s="683"/>
      <c r="L1362" s="683"/>
      <c r="M1362" s="683"/>
      <c r="N1362" s="685"/>
      <c r="O1362" s="683"/>
      <c r="P1362" s="683"/>
      <c r="Q1362" s="683"/>
      <c r="R1362" s="683"/>
      <c r="S1362" s="683"/>
      <c r="T1362" s="683"/>
      <c r="U1362" s="683"/>
      <c r="V1362" s="683"/>
      <c r="W1362" s="683"/>
      <c r="X1362" s="683"/>
      <c r="Y1362" s="683"/>
      <c r="Z1362" s="683"/>
    </row>
    <row r="1363" spans="1:26" ht="15.75" customHeight="1" x14ac:dyDescent="0.25">
      <c r="A1363" s="3" t="s">
        <v>2890</v>
      </c>
      <c r="B1363" s="683" t="s">
        <v>1250</v>
      </c>
      <c r="C1363" s="683"/>
      <c r="D1363" s="683"/>
      <c r="E1363" s="683"/>
      <c r="F1363" s="683"/>
      <c r="G1363" s="683"/>
      <c r="H1363" s="711"/>
      <c r="I1363" s="683"/>
      <c r="J1363" s="683"/>
      <c r="K1363" s="683"/>
      <c r="L1363" s="683"/>
      <c r="M1363" s="683"/>
      <c r="N1363" s="685"/>
      <c r="O1363" s="683"/>
      <c r="P1363" s="683"/>
      <c r="Q1363" s="683"/>
      <c r="R1363" s="683"/>
      <c r="S1363" s="683"/>
      <c r="T1363" s="683"/>
      <c r="U1363" s="683"/>
      <c r="V1363" s="683"/>
      <c r="W1363" s="683"/>
      <c r="X1363" s="683"/>
      <c r="Y1363" s="683"/>
      <c r="Z1363" s="683"/>
    </row>
    <row r="1364" spans="1:26" ht="15.75" customHeight="1" x14ac:dyDescent="0.25">
      <c r="A1364" s="3" t="s">
        <v>1250</v>
      </c>
      <c r="B1364" s="683" t="s">
        <v>1477</v>
      </c>
      <c r="C1364" s="683"/>
      <c r="D1364" s="683"/>
      <c r="E1364" s="683"/>
      <c r="F1364" s="683"/>
      <c r="G1364" s="683"/>
      <c r="H1364" s="711"/>
      <c r="I1364" s="683"/>
      <c r="J1364" s="683"/>
      <c r="K1364" s="683"/>
      <c r="L1364" s="683"/>
      <c r="M1364" s="683"/>
      <c r="N1364" s="685"/>
      <c r="O1364" s="683"/>
      <c r="P1364" s="683"/>
      <c r="Q1364" s="683"/>
      <c r="R1364" s="683"/>
      <c r="S1364" s="683"/>
      <c r="T1364" s="683"/>
      <c r="U1364" s="683"/>
      <c r="V1364" s="683"/>
      <c r="W1364" s="683"/>
      <c r="X1364" s="683"/>
      <c r="Y1364" s="683"/>
      <c r="Z1364" s="683"/>
    </row>
    <row r="1365" spans="1:26" ht="15.75" customHeight="1" x14ac:dyDescent="0.25">
      <c r="A1365" s="3" t="s">
        <v>2891</v>
      </c>
      <c r="B1365" s="683" t="s">
        <v>1806</v>
      </c>
      <c r="C1365" s="683"/>
      <c r="D1365" s="683"/>
      <c r="E1365" s="683"/>
      <c r="F1365" s="683"/>
      <c r="G1365" s="683"/>
      <c r="H1365" s="711"/>
      <c r="I1365" s="683"/>
      <c r="J1365" s="683"/>
      <c r="K1365" s="683"/>
      <c r="L1365" s="683"/>
      <c r="M1365" s="683"/>
      <c r="N1365" s="685"/>
      <c r="O1365" s="683"/>
      <c r="P1365" s="683"/>
      <c r="Q1365" s="683"/>
      <c r="R1365" s="683"/>
      <c r="S1365" s="683"/>
      <c r="T1365" s="683"/>
      <c r="U1365" s="683"/>
      <c r="V1365" s="683"/>
      <c r="W1365" s="683"/>
      <c r="X1365" s="683"/>
      <c r="Y1365" s="683"/>
      <c r="Z1365" s="683"/>
    </row>
    <row r="1366" spans="1:26" ht="15.75" customHeight="1" x14ac:dyDescent="0.25">
      <c r="A1366" s="3" t="s">
        <v>2892</v>
      </c>
      <c r="B1366" s="683" t="s">
        <v>1477</v>
      </c>
      <c r="C1366" s="683"/>
      <c r="D1366" s="683"/>
      <c r="E1366" s="683"/>
      <c r="F1366" s="683"/>
      <c r="G1366" s="683"/>
      <c r="H1366" s="711"/>
      <c r="I1366" s="683"/>
      <c r="J1366" s="683"/>
      <c r="K1366" s="683"/>
      <c r="L1366" s="683"/>
      <c r="M1366" s="683"/>
      <c r="N1366" s="685"/>
      <c r="O1366" s="683"/>
      <c r="P1366" s="683"/>
      <c r="Q1366" s="683"/>
      <c r="R1366" s="683"/>
      <c r="S1366" s="683"/>
      <c r="T1366" s="683"/>
      <c r="U1366" s="683"/>
      <c r="V1366" s="683"/>
      <c r="W1366" s="683"/>
      <c r="X1366" s="683"/>
      <c r="Y1366" s="683"/>
      <c r="Z1366" s="683"/>
    </row>
    <row r="1367" spans="1:26" ht="15.75" customHeight="1" x14ac:dyDescent="0.25">
      <c r="A1367" s="3" t="s">
        <v>1795</v>
      </c>
      <c r="B1367" s="3" t="s">
        <v>1477</v>
      </c>
      <c r="C1367" s="683"/>
      <c r="D1367" s="683"/>
      <c r="E1367" s="683"/>
      <c r="F1367" s="683"/>
      <c r="G1367" s="683"/>
      <c r="H1367" s="711"/>
      <c r="I1367" s="683"/>
      <c r="J1367" s="683"/>
      <c r="K1367" s="683"/>
      <c r="L1367" s="683"/>
      <c r="M1367" s="683"/>
      <c r="N1367" s="685"/>
      <c r="O1367" s="683"/>
      <c r="P1367" s="683"/>
      <c r="Q1367" s="683"/>
      <c r="R1367" s="683"/>
      <c r="S1367" s="683"/>
      <c r="T1367" s="683"/>
      <c r="U1367" s="683"/>
      <c r="V1367" s="683"/>
      <c r="W1367" s="683"/>
      <c r="X1367" s="683"/>
      <c r="Y1367" s="683"/>
      <c r="Z1367" s="683"/>
    </row>
    <row r="1368" spans="1:26" ht="15.75" customHeight="1" x14ac:dyDescent="0.25">
      <c r="A1368" s="683" t="s">
        <v>2893</v>
      </c>
      <c r="B1368" s="3" t="s">
        <v>1477</v>
      </c>
      <c r="C1368" s="683"/>
      <c r="D1368" s="683"/>
      <c r="E1368" s="683"/>
      <c r="F1368" s="683"/>
      <c r="G1368" s="683"/>
      <c r="H1368" s="711"/>
      <c r="I1368" s="683"/>
      <c r="J1368" s="683"/>
      <c r="K1368" s="683"/>
      <c r="L1368" s="683"/>
      <c r="M1368" s="683"/>
      <c r="N1368" s="685"/>
      <c r="O1368" s="683"/>
      <c r="P1368" s="683"/>
      <c r="Q1368" s="683"/>
      <c r="R1368" s="683"/>
      <c r="S1368" s="683"/>
      <c r="T1368" s="683"/>
      <c r="U1368" s="683"/>
      <c r="V1368" s="683"/>
      <c r="W1368" s="683"/>
      <c r="X1368" s="683"/>
      <c r="Y1368" s="683"/>
      <c r="Z1368" s="683"/>
    </row>
    <row r="1369" spans="1:26" ht="15.75" customHeight="1" x14ac:dyDescent="0.25">
      <c r="A1369" s="683" t="s">
        <v>2894</v>
      </c>
      <c r="B1369" s="683" t="s">
        <v>1806</v>
      </c>
      <c r="C1369" s="683"/>
      <c r="D1369" s="683"/>
      <c r="E1369" s="683"/>
      <c r="F1369" s="683"/>
      <c r="G1369" s="683"/>
      <c r="H1369" s="711"/>
      <c r="I1369" s="683"/>
      <c r="J1369" s="683"/>
      <c r="K1369" s="683"/>
      <c r="L1369" s="683"/>
      <c r="M1369" s="683"/>
      <c r="N1369" s="685"/>
      <c r="O1369" s="683"/>
      <c r="P1369" s="683"/>
      <c r="Q1369" s="683"/>
      <c r="R1369" s="683"/>
      <c r="S1369" s="683"/>
      <c r="T1369" s="683"/>
      <c r="U1369" s="683"/>
      <c r="V1369" s="683"/>
      <c r="W1369" s="683"/>
      <c r="X1369" s="683"/>
      <c r="Y1369" s="683"/>
      <c r="Z1369" s="683"/>
    </row>
    <row r="1370" spans="1:26" ht="15.75" customHeight="1" x14ac:dyDescent="0.25">
      <c r="A1370" s="683" t="s">
        <v>2895</v>
      </c>
      <c r="B1370" s="683" t="s">
        <v>1477</v>
      </c>
      <c r="C1370" s="683"/>
      <c r="D1370" s="683"/>
      <c r="E1370" s="683"/>
      <c r="F1370" s="683"/>
      <c r="G1370" s="683"/>
      <c r="H1370" s="711"/>
      <c r="I1370" s="683"/>
      <c r="J1370" s="683"/>
      <c r="K1370" s="683"/>
      <c r="L1370" s="683"/>
      <c r="M1370" s="683"/>
      <c r="N1370" s="685"/>
      <c r="O1370" s="683"/>
      <c r="P1370" s="683"/>
      <c r="Q1370" s="683"/>
      <c r="R1370" s="683"/>
      <c r="S1370" s="683"/>
      <c r="T1370" s="683"/>
      <c r="U1370" s="683"/>
      <c r="V1370" s="683"/>
      <c r="W1370" s="683"/>
      <c r="X1370" s="683"/>
      <c r="Y1370" s="683"/>
      <c r="Z1370" s="683"/>
    </row>
    <row r="1371" spans="1:26" ht="15.75" customHeight="1" x14ac:dyDescent="0.25">
      <c r="A1371" s="3" t="s">
        <v>2896</v>
      </c>
      <c r="B1371" s="3" t="s">
        <v>2897</v>
      </c>
      <c r="C1371" s="683"/>
      <c r="D1371" s="683"/>
      <c r="E1371" s="683"/>
      <c r="F1371" s="683"/>
      <c r="G1371" s="683"/>
      <c r="H1371" s="711"/>
      <c r="I1371" s="683"/>
      <c r="J1371" s="683"/>
      <c r="K1371" s="683"/>
      <c r="L1371" s="683"/>
      <c r="M1371" s="683"/>
      <c r="N1371" s="685"/>
      <c r="O1371" s="683"/>
      <c r="P1371" s="683"/>
      <c r="Q1371" s="683"/>
      <c r="R1371" s="683"/>
      <c r="S1371" s="683"/>
      <c r="T1371" s="683"/>
      <c r="U1371" s="683"/>
      <c r="V1371" s="683"/>
      <c r="W1371" s="683"/>
      <c r="X1371" s="683"/>
      <c r="Y1371" s="683"/>
      <c r="Z1371" s="683"/>
    </row>
    <row r="1372" spans="1:26" ht="15.75" customHeight="1" x14ac:dyDescent="0.25">
      <c r="A1372" s="3" t="s">
        <v>2898</v>
      </c>
      <c r="B1372" s="3" t="s">
        <v>1302</v>
      </c>
      <c r="C1372" s="683"/>
      <c r="D1372" s="683"/>
      <c r="E1372" s="683"/>
      <c r="F1372" s="683"/>
      <c r="G1372" s="683"/>
      <c r="H1372" s="711"/>
      <c r="I1372" s="683"/>
      <c r="J1372" s="683"/>
      <c r="K1372" s="683"/>
      <c r="L1372" s="683"/>
      <c r="M1372" s="683"/>
      <c r="N1372" s="685"/>
      <c r="O1372" s="683"/>
      <c r="P1372" s="683"/>
      <c r="Q1372" s="683"/>
      <c r="R1372" s="683"/>
      <c r="S1372" s="683"/>
      <c r="T1372" s="683"/>
      <c r="U1372" s="683"/>
      <c r="V1372" s="683"/>
      <c r="W1372" s="683"/>
      <c r="X1372" s="683"/>
      <c r="Y1372" s="683"/>
      <c r="Z1372" s="683"/>
    </row>
    <row r="1373" spans="1:26" ht="15.75" customHeight="1" x14ac:dyDescent="0.25">
      <c r="A1373" s="3" t="s">
        <v>1477</v>
      </c>
      <c r="B1373" s="683" t="s">
        <v>2899</v>
      </c>
      <c r="C1373" s="683"/>
      <c r="D1373" s="683"/>
      <c r="E1373" s="683"/>
      <c r="F1373" s="683"/>
      <c r="G1373" s="683"/>
      <c r="H1373" s="711"/>
      <c r="I1373" s="683"/>
      <c r="J1373" s="683"/>
      <c r="K1373" s="683"/>
      <c r="L1373" s="683"/>
      <c r="M1373" s="683"/>
      <c r="N1373" s="685"/>
      <c r="O1373" s="683"/>
      <c r="P1373" s="683"/>
      <c r="Q1373" s="683"/>
      <c r="R1373" s="683"/>
      <c r="S1373" s="683"/>
      <c r="T1373" s="683"/>
      <c r="U1373" s="683"/>
      <c r="V1373" s="683"/>
      <c r="W1373" s="683"/>
      <c r="X1373" s="683"/>
      <c r="Y1373" s="683"/>
      <c r="Z1373" s="683"/>
    </row>
    <row r="1374" spans="1:26" ht="15.75" customHeight="1" x14ac:dyDescent="0.25">
      <c r="A1374" s="3" t="s">
        <v>1806</v>
      </c>
      <c r="B1374" s="3" t="s">
        <v>1806</v>
      </c>
      <c r="C1374" s="683"/>
      <c r="D1374" s="683"/>
      <c r="E1374" s="683"/>
      <c r="F1374" s="683"/>
      <c r="G1374" s="683"/>
      <c r="H1374" s="711"/>
      <c r="I1374" s="683"/>
      <c r="J1374" s="683"/>
      <c r="K1374" s="683"/>
      <c r="L1374" s="683"/>
      <c r="M1374" s="683"/>
      <c r="N1374" s="685"/>
      <c r="O1374" s="683"/>
      <c r="P1374" s="683"/>
      <c r="Q1374" s="683"/>
      <c r="R1374" s="683"/>
      <c r="S1374" s="683"/>
      <c r="T1374" s="683"/>
      <c r="U1374" s="683"/>
      <c r="V1374" s="683"/>
      <c r="W1374" s="683"/>
      <c r="X1374" s="683"/>
      <c r="Y1374" s="683"/>
      <c r="Z1374" s="683"/>
    </row>
    <row r="1375" spans="1:26" ht="15.75" customHeight="1" x14ac:dyDescent="0.25">
      <c r="A1375" s="3" t="s">
        <v>2900</v>
      </c>
      <c r="B1375" s="683" t="s">
        <v>2899</v>
      </c>
      <c r="C1375" s="683"/>
      <c r="D1375" s="683"/>
      <c r="E1375" s="683"/>
      <c r="F1375" s="683"/>
      <c r="G1375" s="683"/>
      <c r="H1375" s="711"/>
      <c r="I1375" s="683"/>
      <c r="J1375" s="683"/>
      <c r="K1375" s="683"/>
      <c r="L1375" s="683"/>
      <c r="M1375" s="683"/>
      <c r="N1375" s="685"/>
      <c r="O1375" s="683"/>
      <c r="P1375" s="683"/>
      <c r="Q1375" s="683"/>
      <c r="R1375" s="683"/>
      <c r="S1375" s="683"/>
      <c r="T1375" s="683"/>
      <c r="U1375" s="683"/>
      <c r="V1375" s="683"/>
      <c r="W1375" s="683"/>
      <c r="X1375" s="683"/>
      <c r="Y1375" s="683"/>
      <c r="Z1375" s="683"/>
    </row>
    <row r="1376" spans="1:26" ht="15.75" customHeight="1" x14ac:dyDescent="0.25">
      <c r="A1376" s="3" t="s">
        <v>2901</v>
      </c>
      <c r="B1376" s="683" t="s">
        <v>2899</v>
      </c>
      <c r="C1376" s="683"/>
      <c r="D1376" s="683"/>
      <c r="E1376" s="683"/>
      <c r="F1376" s="683"/>
      <c r="G1376" s="683"/>
      <c r="H1376" s="711"/>
      <c r="I1376" s="683"/>
      <c r="J1376" s="683"/>
      <c r="K1376" s="683"/>
      <c r="L1376" s="683"/>
      <c r="M1376" s="683"/>
      <c r="N1376" s="685"/>
      <c r="O1376" s="683"/>
      <c r="P1376" s="683"/>
      <c r="Q1376" s="683"/>
      <c r="R1376" s="683"/>
      <c r="S1376" s="683"/>
      <c r="T1376" s="683"/>
      <c r="U1376" s="683"/>
      <c r="V1376" s="683"/>
      <c r="W1376" s="683"/>
      <c r="X1376" s="683"/>
      <c r="Y1376" s="683"/>
      <c r="Z1376" s="683"/>
    </row>
    <row r="1377" spans="1:26" ht="15.75" customHeight="1" x14ac:dyDescent="0.25">
      <c r="A1377" s="3" t="s">
        <v>2902</v>
      </c>
      <c r="B1377" s="683" t="s">
        <v>2899</v>
      </c>
      <c r="C1377" s="683"/>
      <c r="D1377" s="683"/>
      <c r="E1377" s="683"/>
      <c r="F1377" s="683"/>
      <c r="G1377" s="683"/>
      <c r="H1377" s="711"/>
      <c r="I1377" s="683"/>
      <c r="J1377" s="683"/>
      <c r="K1377" s="683"/>
      <c r="L1377" s="683"/>
      <c r="M1377" s="683"/>
      <c r="N1377" s="685"/>
      <c r="O1377" s="683"/>
      <c r="P1377" s="683"/>
      <c r="Q1377" s="683"/>
      <c r="R1377" s="683"/>
      <c r="S1377" s="683"/>
      <c r="T1377" s="683"/>
      <c r="U1377" s="683"/>
      <c r="V1377" s="683"/>
      <c r="W1377" s="683"/>
      <c r="X1377" s="683"/>
      <c r="Y1377" s="683"/>
      <c r="Z1377" s="683"/>
    </row>
    <row r="1378" spans="1:26" ht="15.75" customHeight="1" x14ac:dyDescent="0.25">
      <c r="A1378" s="3" t="s">
        <v>2443</v>
      </c>
      <c r="B1378" s="683" t="s">
        <v>2899</v>
      </c>
      <c r="C1378" s="683"/>
      <c r="D1378" s="683"/>
      <c r="E1378" s="683"/>
      <c r="F1378" s="683"/>
      <c r="G1378" s="683"/>
      <c r="H1378" s="711"/>
      <c r="I1378" s="683"/>
      <c r="J1378" s="683"/>
      <c r="K1378" s="683"/>
      <c r="L1378" s="683"/>
      <c r="M1378" s="683"/>
      <c r="N1378" s="685"/>
      <c r="O1378" s="683"/>
      <c r="P1378" s="683"/>
      <c r="Q1378" s="683"/>
      <c r="R1378" s="683"/>
      <c r="S1378" s="683"/>
      <c r="T1378" s="683"/>
      <c r="U1378" s="683"/>
      <c r="V1378" s="683"/>
      <c r="W1378" s="683"/>
      <c r="X1378" s="683"/>
      <c r="Y1378" s="683"/>
      <c r="Z1378" s="683"/>
    </row>
    <row r="1379" spans="1:26" ht="15.75" customHeight="1" x14ac:dyDescent="0.25">
      <c r="A1379" s="3" t="s">
        <v>1302</v>
      </c>
      <c r="B1379" s="683" t="s">
        <v>2897</v>
      </c>
      <c r="C1379" s="683"/>
      <c r="D1379" s="683"/>
      <c r="E1379" s="683"/>
      <c r="F1379" s="683"/>
      <c r="G1379" s="683"/>
      <c r="H1379" s="711"/>
      <c r="I1379" s="683"/>
      <c r="J1379" s="683"/>
      <c r="K1379" s="683"/>
      <c r="L1379" s="683"/>
      <c r="M1379" s="683"/>
      <c r="N1379" s="685"/>
      <c r="O1379" s="683"/>
      <c r="P1379" s="683"/>
      <c r="Q1379" s="683"/>
      <c r="R1379" s="683"/>
      <c r="S1379" s="683"/>
      <c r="T1379" s="683"/>
      <c r="U1379" s="683"/>
      <c r="V1379" s="683"/>
      <c r="W1379" s="683"/>
      <c r="X1379" s="683"/>
      <c r="Y1379" s="683"/>
      <c r="Z1379" s="683"/>
    </row>
    <row r="1380" spans="1:26" ht="15.75" customHeight="1" x14ac:dyDescent="0.25">
      <c r="A1380" s="3" t="s">
        <v>2903</v>
      </c>
      <c r="B1380" s="683" t="s">
        <v>2897</v>
      </c>
      <c r="C1380" s="683"/>
      <c r="D1380" s="683"/>
      <c r="E1380" s="683"/>
      <c r="F1380" s="683"/>
      <c r="G1380" s="683"/>
      <c r="H1380" s="711"/>
      <c r="I1380" s="683"/>
      <c r="J1380" s="683"/>
      <c r="K1380" s="683"/>
      <c r="L1380" s="683"/>
      <c r="M1380" s="683"/>
      <c r="N1380" s="685"/>
      <c r="O1380" s="683"/>
      <c r="P1380" s="683"/>
      <c r="Q1380" s="683"/>
      <c r="R1380" s="683"/>
      <c r="S1380" s="683"/>
      <c r="T1380" s="683"/>
      <c r="U1380" s="683"/>
      <c r="V1380" s="683"/>
      <c r="W1380" s="683"/>
      <c r="X1380" s="683"/>
      <c r="Y1380" s="683"/>
      <c r="Z1380" s="683"/>
    </row>
    <row r="1381" spans="1:26" ht="15.75" customHeight="1" x14ac:dyDescent="0.25">
      <c r="A1381" s="3" t="s">
        <v>2904</v>
      </c>
      <c r="B1381" s="683" t="s">
        <v>2897</v>
      </c>
      <c r="C1381" s="683"/>
      <c r="D1381" s="683"/>
      <c r="E1381" s="683"/>
      <c r="F1381" s="683"/>
      <c r="G1381" s="683"/>
      <c r="H1381" s="711"/>
      <c r="I1381" s="683"/>
      <c r="J1381" s="683"/>
      <c r="K1381" s="683"/>
      <c r="L1381" s="683"/>
      <c r="M1381" s="683"/>
      <c r="N1381" s="685"/>
      <c r="O1381" s="683"/>
      <c r="P1381" s="683"/>
      <c r="Q1381" s="683"/>
      <c r="R1381" s="683"/>
      <c r="S1381" s="683"/>
      <c r="T1381" s="683"/>
      <c r="U1381" s="683"/>
      <c r="V1381" s="683"/>
      <c r="W1381" s="683"/>
      <c r="X1381" s="683"/>
      <c r="Y1381" s="683"/>
      <c r="Z1381" s="683"/>
    </row>
    <row r="1382" spans="1:26" ht="15.75" customHeight="1" x14ac:dyDescent="0.25">
      <c r="A1382" s="3" t="s">
        <v>1694</v>
      </c>
      <c r="B1382" s="683" t="s">
        <v>2899</v>
      </c>
      <c r="C1382" s="683"/>
      <c r="D1382" s="683"/>
      <c r="E1382" s="683"/>
      <c r="F1382" s="683"/>
      <c r="G1382" s="683"/>
      <c r="H1382" s="711"/>
      <c r="I1382" s="683"/>
      <c r="J1382" s="683"/>
      <c r="K1382" s="683"/>
      <c r="L1382" s="683"/>
      <c r="M1382" s="683"/>
      <c r="N1382" s="685"/>
      <c r="O1382" s="683"/>
      <c r="P1382" s="683"/>
      <c r="Q1382" s="683"/>
      <c r="R1382" s="683"/>
      <c r="S1382" s="683"/>
      <c r="T1382" s="683"/>
      <c r="U1382" s="683"/>
      <c r="V1382" s="683"/>
      <c r="W1382" s="683"/>
      <c r="X1382" s="683"/>
      <c r="Y1382" s="683"/>
      <c r="Z1382" s="683"/>
    </row>
    <row r="1383" spans="1:26" ht="15.75" customHeight="1" x14ac:dyDescent="0.25">
      <c r="A1383" s="3" t="s">
        <v>2905</v>
      </c>
      <c r="B1383" s="683" t="s">
        <v>2899</v>
      </c>
      <c r="C1383" s="683"/>
      <c r="D1383" s="683"/>
      <c r="E1383" s="683"/>
      <c r="F1383" s="683"/>
      <c r="G1383" s="683"/>
      <c r="H1383" s="711"/>
      <c r="I1383" s="683"/>
      <c r="J1383" s="683"/>
      <c r="K1383" s="683"/>
      <c r="L1383" s="683"/>
      <c r="M1383" s="683"/>
      <c r="N1383" s="685"/>
      <c r="O1383" s="683"/>
      <c r="P1383" s="683"/>
      <c r="Q1383" s="683"/>
      <c r="R1383" s="683"/>
      <c r="S1383" s="683"/>
      <c r="T1383" s="683"/>
      <c r="U1383" s="683"/>
      <c r="V1383" s="683"/>
      <c r="W1383" s="683"/>
      <c r="X1383" s="683"/>
      <c r="Y1383" s="683"/>
      <c r="Z1383" s="683"/>
    </row>
    <row r="1384" spans="1:26" ht="15.75" customHeight="1" x14ac:dyDescent="0.25">
      <c r="A1384" s="3" t="s">
        <v>1691</v>
      </c>
      <c r="B1384" s="683" t="s">
        <v>2899</v>
      </c>
      <c r="C1384" s="683"/>
      <c r="D1384" s="683"/>
      <c r="E1384" s="683"/>
      <c r="F1384" s="683"/>
      <c r="G1384" s="683"/>
      <c r="H1384" s="711"/>
      <c r="I1384" s="683"/>
      <c r="J1384" s="683"/>
      <c r="K1384" s="683"/>
      <c r="L1384" s="683"/>
      <c r="M1384" s="683"/>
      <c r="N1384" s="685"/>
      <c r="O1384" s="683"/>
      <c r="P1384" s="683"/>
      <c r="Q1384" s="683"/>
      <c r="R1384" s="683"/>
      <c r="S1384" s="683"/>
      <c r="T1384" s="683"/>
      <c r="U1384" s="683"/>
      <c r="V1384" s="683"/>
      <c r="W1384" s="683"/>
      <c r="X1384" s="683"/>
      <c r="Y1384" s="683"/>
      <c r="Z1384" s="683"/>
    </row>
    <row r="1385" spans="1:26" ht="15.75" customHeight="1" x14ac:dyDescent="0.25">
      <c r="A1385" s="683" t="s">
        <v>2906</v>
      </c>
      <c r="B1385" s="3" t="s">
        <v>1806</v>
      </c>
      <c r="C1385" s="683"/>
      <c r="D1385" s="683"/>
      <c r="E1385" s="683"/>
      <c r="F1385" s="683"/>
      <c r="G1385" s="683"/>
      <c r="H1385" s="711"/>
      <c r="I1385" s="683"/>
      <c r="J1385" s="683"/>
      <c r="K1385" s="683"/>
      <c r="L1385" s="683"/>
      <c r="M1385" s="683"/>
      <c r="N1385" s="685"/>
      <c r="O1385" s="683"/>
      <c r="P1385" s="683"/>
      <c r="Q1385" s="683"/>
      <c r="R1385" s="683"/>
      <c r="S1385" s="683"/>
      <c r="T1385" s="683"/>
      <c r="U1385" s="683"/>
      <c r="V1385" s="683"/>
      <c r="W1385" s="683"/>
      <c r="X1385" s="683"/>
      <c r="Y1385" s="683"/>
      <c r="Z1385" s="683"/>
    </row>
    <row r="1386" spans="1:26" ht="15.75" customHeight="1" x14ac:dyDescent="0.25">
      <c r="A1386" s="38" t="s">
        <v>2907</v>
      </c>
      <c r="B1386" s="3" t="s">
        <v>2908</v>
      </c>
      <c r="C1386" s="683"/>
      <c r="D1386" s="683"/>
      <c r="E1386" s="683"/>
      <c r="F1386" s="683"/>
      <c r="G1386" s="683"/>
      <c r="H1386" s="711"/>
      <c r="I1386" s="683"/>
      <c r="J1386" s="683"/>
      <c r="K1386" s="683"/>
      <c r="L1386" s="683"/>
      <c r="M1386" s="683"/>
      <c r="N1386" s="685"/>
      <c r="O1386" s="683"/>
      <c r="P1386" s="683"/>
      <c r="Q1386" s="683"/>
      <c r="R1386" s="683"/>
      <c r="S1386" s="683"/>
      <c r="T1386" s="683"/>
      <c r="U1386" s="683"/>
      <c r="V1386" s="683"/>
      <c r="W1386" s="683"/>
      <c r="X1386" s="683"/>
      <c r="Y1386" s="683"/>
      <c r="Z1386" s="683"/>
    </row>
    <row r="1387" spans="1:26" ht="15.75" customHeight="1" x14ac:dyDescent="0.25">
      <c r="A1387" s="38" t="s">
        <v>80</v>
      </c>
      <c r="B1387" s="740" t="s">
        <v>2909</v>
      </c>
      <c r="C1387" s="683"/>
      <c r="D1387" s="683"/>
      <c r="E1387" s="683"/>
      <c r="F1387" s="683"/>
      <c r="G1387" s="683"/>
      <c r="H1387" s="711"/>
      <c r="I1387" s="683"/>
      <c r="J1387" s="683"/>
      <c r="K1387" s="683"/>
      <c r="L1387" s="683"/>
      <c r="M1387" s="683"/>
      <c r="N1387" s="685"/>
      <c r="O1387" s="683"/>
      <c r="P1387" s="683"/>
      <c r="Q1387" s="683"/>
      <c r="R1387" s="683"/>
      <c r="S1387" s="683"/>
      <c r="T1387" s="683"/>
      <c r="U1387" s="683"/>
      <c r="V1387" s="683"/>
      <c r="W1387" s="683"/>
      <c r="X1387" s="683"/>
      <c r="Y1387" s="683"/>
      <c r="Z1387" s="683"/>
    </row>
    <row r="1388" spans="1:26" ht="15.75" customHeight="1" x14ac:dyDescent="0.25">
      <c r="A1388" s="38" t="s">
        <v>2910</v>
      </c>
      <c r="B1388" s="3" t="s">
        <v>2908</v>
      </c>
      <c r="C1388" s="683"/>
      <c r="D1388" s="683"/>
      <c r="E1388" s="683"/>
      <c r="F1388" s="683"/>
      <c r="G1388" s="683"/>
      <c r="H1388" s="711"/>
      <c r="I1388" s="683"/>
      <c r="J1388" s="683"/>
      <c r="K1388" s="683"/>
      <c r="L1388" s="683"/>
      <c r="M1388" s="683"/>
      <c r="N1388" s="685"/>
      <c r="O1388" s="683"/>
      <c r="P1388" s="683"/>
      <c r="Q1388" s="683"/>
      <c r="R1388" s="683"/>
      <c r="S1388" s="683"/>
      <c r="T1388" s="683"/>
      <c r="U1388" s="683"/>
      <c r="V1388" s="683"/>
      <c r="W1388" s="683"/>
      <c r="X1388" s="683"/>
      <c r="Y1388" s="683"/>
      <c r="Z1388" s="683"/>
    </row>
    <row r="1389" spans="1:26" ht="15.75" customHeight="1" x14ac:dyDescent="0.25">
      <c r="A1389" s="38" t="s">
        <v>1686</v>
      </c>
      <c r="B1389" s="19" t="s">
        <v>1686</v>
      </c>
      <c r="C1389" s="683"/>
      <c r="D1389" s="683"/>
      <c r="E1389" s="683"/>
      <c r="F1389" s="683"/>
      <c r="G1389" s="683"/>
      <c r="H1389" s="711"/>
      <c r="I1389" s="683"/>
      <c r="J1389" s="683"/>
      <c r="K1389" s="683"/>
      <c r="L1389" s="683"/>
      <c r="M1389" s="683"/>
      <c r="N1389" s="685"/>
      <c r="O1389" s="683"/>
      <c r="P1389" s="683"/>
      <c r="Q1389" s="683"/>
      <c r="R1389" s="683"/>
      <c r="S1389" s="683"/>
      <c r="T1389" s="683"/>
      <c r="U1389" s="683"/>
      <c r="V1389" s="683"/>
      <c r="W1389" s="683"/>
      <c r="X1389" s="683"/>
      <c r="Y1389" s="683"/>
      <c r="Z1389" s="683"/>
    </row>
    <row r="1390" spans="1:26" ht="15.75" customHeight="1" x14ac:dyDescent="0.25">
      <c r="A1390" s="3" t="s">
        <v>2911</v>
      </c>
      <c r="B1390" s="683" t="s">
        <v>1250</v>
      </c>
      <c r="C1390" s="683"/>
      <c r="D1390" s="683"/>
      <c r="E1390" s="683"/>
      <c r="F1390" s="683"/>
      <c r="G1390" s="683"/>
      <c r="H1390" s="711"/>
      <c r="I1390" s="683"/>
      <c r="J1390" s="683"/>
      <c r="K1390" s="683"/>
      <c r="L1390" s="683"/>
      <c r="M1390" s="683"/>
      <c r="N1390" s="685"/>
      <c r="O1390" s="683"/>
      <c r="P1390" s="683"/>
      <c r="Q1390" s="683"/>
      <c r="R1390" s="683"/>
      <c r="S1390" s="683"/>
      <c r="T1390" s="683"/>
      <c r="U1390" s="683"/>
      <c r="V1390" s="683"/>
      <c r="W1390" s="683"/>
      <c r="X1390" s="683"/>
      <c r="Y1390" s="683"/>
      <c r="Z1390" s="683"/>
    </row>
    <row r="1391" spans="1:26" ht="15.75" customHeight="1" x14ac:dyDescent="0.25">
      <c r="A1391" s="3"/>
      <c r="B1391" s="683"/>
      <c r="C1391" s="683"/>
      <c r="D1391" s="683"/>
      <c r="E1391" s="683"/>
      <c r="F1391" s="683"/>
      <c r="G1391" s="683"/>
      <c r="H1391" s="711"/>
      <c r="I1391" s="683"/>
      <c r="J1391" s="683"/>
      <c r="K1391" s="683"/>
      <c r="L1391" s="683"/>
      <c r="M1391" s="683"/>
      <c r="N1391" s="685"/>
      <c r="O1391" s="683"/>
      <c r="P1391" s="683"/>
      <c r="Q1391" s="683"/>
      <c r="R1391" s="683"/>
      <c r="S1391" s="683"/>
      <c r="T1391" s="683"/>
      <c r="U1391" s="683"/>
      <c r="V1391" s="683"/>
      <c r="W1391" s="683"/>
      <c r="X1391" s="683"/>
      <c r="Y1391" s="683"/>
      <c r="Z1391" s="683"/>
    </row>
    <row r="1392" spans="1:26" ht="15.75" customHeight="1" x14ac:dyDescent="0.25">
      <c r="A1392" s="3"/>
      <c r="B1392" s="683"/>
      <c r="C1392" s="683"/>
      <c r="D1392" s="683"/>
      <c r="E1392" s="683"/>
      <c r="F1392" s="683"/>
      <c r="G1392" s="683"/>
      <c r="H1392" s="711"/>
      <c r="I1392" s="683"/>
      <c r="J1392" s="683"/>
      <c r="K1392" s="683"/>
      <c r="L1392" s="683"/>
      <c r="M1392" s="683"/>
      <c r="N1392" s="685"/>
      <c r="O1392" s="683"/>
      <c r="P1392" s="683"/>
      <c r="Q1392" s="683"/>
      <c r="R1392" s="683"/>
      <c r="S1392" s="683"/>
      <c r="T1392" s="683"/>
      <c r="U1392" s="683"/>
      <c r="V1392" s="683"/>
      <c r="W1392" s="683"/>
      <c r="X1392" s="683"/>
      <c r="Y1392" s="683"/>
      <c r="Z1392" s="683"/>
    </row>
    <row r="1393" spans="1:26" ht="15.75" customHeight="1" x14ac:dyDescent="0.25">
      <c r="A1393" s="3"/>
      <c r="B1393" s="683"/>
      <c r="C1393" s="683"/>
      <c r="D1393" s="683"/>
      <c r="E1393" s="683"/>
      <c r="F1393" s="683"/>
      <c r="G1393" s="683"/>
      <c r="H1393" s="711"/>
      <c r="I1393" s="683"/>
      <c r="J1393" s="683"/>
      <c r="K1393" s="683"/>
      <c r="L1393" s="683"/>
      <c r="M1393" s="683"/>
      <c r="N1393" s="685"/>
      <c r="O1393" s="683"/>
      <c r="P1393" s="683"/>
      <c r="Q1393" s="683"/>
      <c r="R1393" s="683"/>
      <c r="S1393" s="683"/>
      <c r="T1393" s="683"/>
      <c r="U1393" s="683"/>
      <c r="V1393" s="683"/>
      <c r="W1393" s="683"/>
      <c r="X1393" s="683"/>
      <c r="Y1393" s="683"/>
      <c r="Z1393" s="683"/>
    </row>
    <row r="1394" spans="1:26" ht="15.75" customHeight="1" x14ac:dyDescent="0.25">
      <c r="A1394" s="3"/>
      <c r="B1394" s="683"/>
      <c r="C1394" s="683"/>
      <c r="D1394" s="683"/>
      <c r="E1394" s="683"/>
      <c r="F1394" s="683"/>
      <c r="G1394" s="683"/>
      <c r="H1394" s="711"/>
      <c r="I1394" s="683"/>
      <c r="J1394" s="683"/>
      <c r="K1394" s="683"/>
      <c r="L1394" s="683"/>
      <c r="M1394" s="683"/>
      <c r="N1394" s="685"/>
      <c r="O1394" s="683"/>
      <c r="P1394" s="683"/>
      <c r="Q1394" s="683"/>
      <c r="R1394" s="683"/>
      <c r="S1394" s="683"/>
      <c r="T1394" s="683"/>
      <c r="U1394" s="683"/>
      <c r="V1394" s="683"/>
      <c r="W1394" s="683"/>
      <c r="X1394" s="683"/>
      <c r="Y1394" s="683"/>
      <c r="Z1394" s="683"/>
    </row>
    <row r="1395" spans="1:26" ht="15.75" customHeight="1" x14ac:dyDescent="0.25">
      <c r="A1395" s="3"/>
      <c r="B1395" s="683"/>
      <c r="C1395" s="683"/>
      <c r="D1395" s="683"/>
      <c r="E1395" s="683"/>
      <c r="F1395" s="683"/>
      <c r="G1395" s="683"/>
      <c r="H1395" s="711"/>
      <c r="I1395" s="683"/>
      <c r="J1395" s="683"/>
      <c r="K1395" s="683"/>
      <c r="L1395" s="683"/>
      <c r="M1395" s="683"/>
      <c r="N1395" s="685"/>
      <c r="O1395" s="683"/>
      <c r="P1395" s="683"/>
      <c r="Q1395" s="683"/>
      <c r="R1395" s="683"/>
      <c r="S1395" s="683"/>
      <c r="T1395" s="683"/>
      <c r="U1395" s="683"/>
      <c r="V1395" s="683"/>
      <c r="W1395" s="683"/>
      <c r="X1395" s="683"/>
      <c r="Y1395" s="683"/>
      <c r="Z1395" s="683"/>
    </row>
    <row r="1396" spans="1:26" ht="15.75" customHeight="1" x14ac:dyDescent="0.25">
      <c r="A1396" s="3"/>
      <c r="B1396" s="683"/>
      <c r="C1396" s="683"/>
      <c r="D1396" s="683"/>
      <c r="E1396" s="683"/>
      <c r="F1396" s="683"/>
      <c r="G1396" s="683"/>
      <c r="H1396" s="711"/>
      <c r="I1396" s="683"/>
      <c r="J1396" s="683"/>
      <c r="K1396" s="683"/>
      <c r="L1396" s="683"/>
      <c r="M1396" s="683"/>
      <c r="N1396" s="685"/>
      <c r="O1396" s="683"/>
      <c r="P1396" s="683"/>
      <c r="Q1396" s="683"/>
      <c r="R1396" s="683"/>
      <c r="S1396" s="683"/>
      <c r="T1396" s="683"/>
      <c r="U1396" s="683"/>
      <c r="V1396" s="683"/>
      <c r="W1396" s="683"/>
      <c r="X1396" s="683"/>
      <c r="Y1396" s="683"/>
      <c r="Z1396" s="683"/>
    </row>
    <row r="1397" spans="1:26" ht="15.75" customHeight="1" x14ac:dyDescent="0.25">
      <c r="A1397" s="3"/>
      <c r="B1397" s="683"/>
      <c r="C1397" s="683"/>
      <c r="D1397" s="683"/>
      <c r="E1397" s="683"/>
      <c r="F1397" s="683"/>
      <c r="G1397" s="683"/>
      <c r="H1397" s="711"/>
      <c r="I1397" s="683"/>
      <c r="J1397" s="683"/>
      <c r="K1397" s="683"/>
      <c r="L1397" s="683"/>
      <c r="M1397" s="683"/>
      <c r="N1397" s="685"/>
      <c r="O1397" s="683"/>
      <c r="P1397" s="683"/>
      <c r="Q1397" s="683"/>
      <c r="R1397" s="683"/>
      <c r="S1397" s="683"/>
      <c r="T1397" s="683"/>
      <c r="U1397" s="683"/>
      <c r="V1397" s="683"/>
      <c r="W1397" s="683"/>
      <c r="X1397" s="683"/>
      <c r="Y1397" s="683"/>
      <c r="Z1397" s="683"/>
    </row>
    <row r="1398" spans="1:26" ht="15.75" customHeight="1" x14ac:dyDescent="0.25">
      <c r="A1398" s="3"/>
      <c r="B1398" s="683"/>
      <c r="C1398" s="683"/>
      <c r="D1398" s="683"/>
      <c r="E1398" s="683"/>
      <c r="F1398" s="683"/>
      <c r="G1398" s="683"/>
      <c r="H1398" s="711"/>
      <c r="I1398" s="683"/>
      <c r="J1398" s="683"/>
      <c r="K1398" s="683"/>
      <c r="L1398" s="683"/>
      <c r="M1398" s="683"/>
      <c r="N1398" s="685"/>
      <c r="O1398" s="683"/>
      <c r="P1398" s="683"/>
      <c r="Q1398" s="683"/>
      <c r="R1398" s="683"/>
      <c r="S1398" s="683"/>
      <c r="T1398" s="683"/>
      <c r="U1398" s="683"/>
      <c r="V1398" s="683"/>
      <c r="W1398" s="683"/>
      <c r="X1398" s="683"/>
      <c r="Y1398" s="683"/>
      <c r="Z1398" s="683"/>
    </row>
    <row r="1399" spans="1:26" ht="15.75" customHeight="1" x14ac:dyDescent="0.25">
      <c r="A1399" s="3"/>
      <c r="B1399" s="683"/>
      <c r="C1399" s="683"/>
      <c r="D1399" s="683"/>
      <c r="E1399" s="683"/>
      <c r="F1399" s="683"/>
      <c r="G1399" s="683"/>
      <c r="H1399" s="711"/>
      <c r="I1399" s="683"/>
      <c r="J1399" s="683"/>
      <c r="K1399" s="683"/>
      <c r="L1399" s="683"/>
      <c r="M1399" s="683"/>
      <c r="N1399" s="685"/>
      <c r="O1399" s="683"/>
      <c r="P1399" s="683"/>
      <c r="Q1399" s="683"/>
      <c r="R1399" s="683"/>
      <c r="S1399" s="683"/>
      <c r="T1399" s="683"/>
      <c r="U1399" s="683"/>
      <c r="V1399" s="683"/>
      <c r="W1399" s="683"/>
      <c r="X1399" s="683"/>
      <c r="Y1399" s="683"/>
      <c r="Z1399" s="683"/>
    </row>
    <row r="1400" spans="1:26" ht="15.75" customHeight="1" x14ac:dyDescent="0.25">
      <c r="A1400" s="3"/>
      <c r="B1400" s="683"/>
      <c r="C1400" s="683"/>
      <c r="D1400" s="683"/>
      <c r="E1400" s="683"/>
      <c r="F1400" s="683"/>
      <c r="G1400" s="683"/>
      <c r="H1400" s="711"/>
      <c r="I1400" s="683"/>
      <c r="J1400" s="683"/>
      <c r="K1400" s="683"/>
      <c r="L1400" s="683"/>
      <c r="M1400" s="683"/>
      <c r="N1400" s="685"/>
      <c r="O1400" s="683"/>
      <c r="P1400" s="683"/>
      <c r="Q1400" s="683"/>
      <c r="R1400" s="683"/>
      <c r="S1400" s="683"/>
      <c r="T1400" s="683"/>
      <c r="U1400" s="683"/>
      <c r="V1400" s="683"/>
      <c r="W1400" s="683"/>
      <c r="X1400" s="683"/>
      <c r="Y1400" s="683"/>
      <c r="Z1400" s="683"/>
    </row>
    <row r="1401" spans="1:26" ht="15.75" customHeight="1" x14ac:dyDescent="0.25">
      <c r="A1401" s="3"/>
      <c r="B1401" s="683"/>
      <c r="C1401" s="683"/>
      <c r="D1401" s="683"/>
      <c r="E1401" s="683"/>
      <c r="F1401" s="683"/>
      <c r="G1401" s="683"/>
      <c r="H1401" s="711"/>
      <c r="I1401" s="683"/>
      <c r="J1401" s="683"/>
      <c r="K1401" s="683"/>
      <c r="L1401" s="683"/>
      <c r="M1401" s="683"/>
      <c r="N1401" s="685"/>
      <c r="O1401" s="683"/>
      <c r="P1401" s="683"/>
      <c r="Q1401" s="683"/>
      <c r="R1401" s="683"/>
      <c r="S1401" s="683"/>
      <c r="T1401" s="683"/>
      <c r="U1401" s="683"/>
      <c r="V1401" s="683"/>
      <c r="W1401" s="683"/>
      <c r="X1401" s="683"/>
      <c r="Y1401" s="683"/>
      <c r="Z1401" s="683"/>
    </row>
    <row r="1402" spans="1:26" ht="15.75" customHeight="1" x14ac:dyDescent="0.25">
      <c r="A1402" s="3"/>
      <c r="B1402" s="683"/>
      <c r="C1402" s="683"/>
      <c r="D1402" s="683"/>
      <c r="E1402" s="683"/>
      <c r="F1402" s="683"/>
      <c r="G1402" s="683"/>
      <c r="H1402" s="711"/>
      <c r="I1402" s="683"/>
      <c r="J1402" s="683"/>
      <c r="K1402" s="683"/>
      <c r="L1402" s="683"/>
      <c r="M1402" s="683"/>
      <c r="N1402" s="685"/>
      <c r="O1402" s="683"/>
      <c r="P1402" s="683"/>
      <c r="Q1402" s="683"/>
      <c r="R1402" s="683"/>
      <c r="S1402" s="683"/>
      <c r="T1402" s="683"/>
      <c r="U1402" s="683"/>
      <c r="V1402" s="683"/>
      <c r="W1402" s="683"/>
      <c r="X1402" s="683"/>
      <c r="Y1402" s="683"/>
      <c r="Z1402" s="683"/>
    </row>
    <row r="1403" spans="1:26" ht="15.75" customHeight="1" x14ac:dyDescent="0.25">
      <c r="A1403" s="3"/>
      <c r="B1403" s="683"/>
      <c r="C1403" s="683"/>
      <c r="D1403" s="683"/>
      <c r="E1403" s="683"/>
      <c r="F1403" s="683"/>
      <c r="G1403" s="683"/>
      <c r="H1403" s="711"/>
      <c r="I1403" s="683"/>
      <c r="J1403" s="683"/>
      <c r="K1403" s="683"/>
      <c r="L1403" s="683"/>
      <c r="M1403" s="683"/>
      <c r="N1403" s="685"/>
      <c r="O1403" s="683"/>
      <c r="P1403" s="683"/>
      <c r="Q1403" s="683"/>
      <c r="R1403" s="683"/>
      <c r="S1403" s="683"/>
      <c r="T1403" s="683"/>
      <c r="U1403" s="683"/>
      <c r="V1403" s="683"/>
      <c r="W1403" s="683"/>
      <c r="X1403" s="683"/>
      <c r="Y1403" s="683"/>
      <c r="Z1403" s="683"/>
    </row>
    <row r="1404" spans="1:26" ht="15.75" customHeight="1" x14ac:dyDescent="0.25">
      <c r="A1404" s="3"/>
      <c r="B1404" s="683"/>
      <c r="C1404" s="683"/>
      <c r="D1404" s="683"/>
      <c r="E1404" s="683"/>
      <c r="F1404" s="683"/>
      <c r="G1404" s="683"/>
      <c r="H1404" s="711"/>
      <c r="I1404" s="683"/>
      <c r="J1404" s="683"/>
      <c r="K1404" s="683"/>
      <c r="L1404" s="683"/>
      <c r="M1404" s="683"/>
      <c r="N1404" s="685"/>
      <c r="O1404" s="683"/>
      <c r="P1404" s="683"/>
      <c r="Q1404" s="683"/>
      <c r="R1404" s="683"/>
      <c r="S1404" s="683"/>
      <c r="T1404" s="683"/>
      <c r="U1404" s="683"/>
      <c r="V1404" s="683"/>
      <c r="W1404" s="683"/>
      <c r="X1404" s="683"/>
      <c r="Y1404" s="683"/>
      <c r="Z1404" s="683"/>
    </row>
    <row r="1405" spans="1:26" ht="15.75" customHeight="1" x14ac:dyDescent="0.25">
      <c r="A1405" s="3"/>
      <c r="B1405" s="683"/>
      <c r="C1405" s="683"/>
      <c r="D1405" s="683"/>
      <c r="E1405" s="683"/>
      <c r="F1405" s="683"/>
      <c r="G1405" s="683"/>
      <c r="H1405" s="711"/>
      <c r="I1405" s="683"/>
      <c r="J1405" s="683"/>
      <c r="K1405" s="683"/>
      <c r="L1405" s="683"/>
      <c r="M1405" s="683"/>
      <c r="N1405" s="685"/>
      <c r="O1405" s="683"/>
      <c r="P1405" s="683"/>
      <c r="Q1405" s="683"/>
      <c r="R1405" s="683"/>
      <c r="S1405" s="683"/>
      <c r="T1405" s="683"/>
      <c r="U1405" s="683"/>
      <c r="V1405" s="683"/>
      <c r="W1405" s="683"/>
      <c r="X1405" s="683"/>
      <c r="Y1405" s="683"/>
      <c r="Z1405" s="683"/>
    </row>
    <row r="1406" spans="1:26" ht="15.75" customHeight="1" x14ac:dyDescent="0.25">
      <c r="A1406" s="3"/>
      <c r="B1406" s="683"/>
      <c r="C1406" s="683"/>
      <c r="D1406" s="683"/>
      <c r="E1406" s="683"/>
      <c r="F1406" s="683"/>
      <c r="G1406" s="683"/>
      <c r="H1406" s="711"/>
      <c r="I1406" s="683"/>
      <c r="J1406" s="683"/>
      <c r="K1406" s="683"/>
      <c r="L1406" s="683"/>
      <c r="M1406" s="683"/>
      <c r="N1406" s="685"/>
      <c r="O1406" s="683"/>
      <c r="P1406" s="683"/>
      <c r="Q1406" s="683"/>
      <c r="R1406" s="683"/>
      <c r="S1406" s="683"/>
      <c r="T1406" s="683"/>
      <c r="U1406" s="683"/>
      <c r="V1406" s="683"/>
      <c r="W1406" s="683"/>
      <c r="X1406" s="683"/>
      <c r="Y1406" s="683"/>
      <c r="Z1406" s="683"/>
    </row>
    <row r="1407" spans="1:26" ht="15.75" customHeight="1" x14ac:dyDescent="0.25">
      <c r="A1407" s="3"/>
      <c r="B1407" s="683"/>
      <c r="C1407" s="683"/>
      <c r="D1407" s="683"/>
      <c r="E1407" s="683"/>
      <c r="F1407" s="683"/>
      <c r="G1407" s="683"/>
      <c r="H1407" s="711"/>
      <c r="I1407" s="683"/>
      <c r="J1407" s="683"/>
      <c r="K1407" s="683"/>
      <c r="L1407" s="683"/>
      <c r="M1407" s="683"/>
      <c r="N1407" s="685"/>
      <c r="O1407" s="683"/>
      <c r="P1407" s="683"/>
      <c r="Q1407" s="683"/>
      <c r="R1407" s="683"/>
      <c r="S1407" s="683"/>
      <c r="T1407" s="683"/>
      <c r="U1407" s="683"/>
      <c r="V1407" s="683"/>
      <c r="W1407" s="683"/>
      <c r="X1407" s="683"/>
      <c r="Y1407" s="683"/>
      <c r="Z1407" s="683"/>
    </row>
    <row r="1408" spans="1:26" ht="15.75" customHeight="1" x14ac:dyDescent="0.25">
      <c r="A1408" s="3"/>
      <c r="B1408" s="683"/>
      <c r="C1408" s="683"/>
      <c r="D1408" s="683"/>
      <c r="E1408" s="683"/>
      <c r="F1408" s="683"/>
      <c r="G1408" s="683"/>
      <c r="H1408" s="711"/>
      <c r="I1408" s="683"/>
      <c r="J1408" s="683"/>
      <c r="K1408" s="683"/>
      <c r="L1408" s="683"/>
      <c r="M1408" s="683"/>
      <c r="N1408" s="685"/>
      <c r="O1408" s="683"/>
      <c r="P1408" s="683"/>
      <c r="Q1408" s="683"/>
      <c r="R1408" s="683"/>
      <c r="S1408" s="683"/>
      <c r="T1408" s="683"/>
      <c r="U1408" s="683"/>
      <c r="V1408" s="683"/>
      <c r="W1408" s="683"/>
      <c r="X1408" s="683"/>
      <c r="Y1408" s="683"/>
      <c r="Z1408" s="683"/>
    </row>
    <row r="1409" spans="1:26" ht="15.75" customHeight="1" x14ac:dyDescent="0.25">
      <c r="A1409" s="3"/>
      <c r="B1409" s="683"/>
      <c r="C1409" s="683"/>
      <c r="D1409" s="683"/>
      <c r="E1409" s="683"/>
      <c r="F1409" s="683"/>
      <c r="G1409" s="683"/>
      <c r="H1409" s="711"/>
      <c r="I1409" s="683"/>
      <c r="J1409" s="683"/>
      <c r="K1409" s="683"/>
      <c r="L1409" s="683"/>
      <c r="M1409" s="683"/>
      <c r="N1409" s="685"/>
      <c r="O1409" s="683"/>
      <c r="P1409" s="683"/>
      <c r="Q1409" s="683"/>
      <c r="R1409" s="683"/>
      <c r="S1409" s="683"/>
      <c r="T1409" s="683"/>
      <c r="U1409" s="683"/>
      <c r="V1409" s="683"/>
      <c r="W1409" s="683"/>
      <c r="X1409" s="683"/>
      <c r="Y1409" s="683"/>
      <c r="Z1409" s="683"/>
    </row>
    <row r="1410" spans="1:26" ht="15.75" customHeight="1" x14ac:dyDescent="0.25">
      <c r="A1410" s="3"/>
      <c r="B1410" s="683"/>
      <c r="C1410" s="683"/>
      <c r="D1410" s="683"/>
      <c r="E1410" s="683"/>
      <c r="F1410" s="683"/>
      <c r="G1410" s="683"/>
      <c r="H1410" s="711"/>
      <c r="I1410" s="683"/>
      <c r="J1410" s="683"/>
      <c r="K1410" s="683"/>
      <c r="L1410" s="683"/>
      <c r="M1410" s="683"/>
      <c r="N1410" s="685"/>
      <c r="O1410" s="683"/>
      <c r="P1410" s="683"/>
      <c r="Q1410" s="683"/>
      <c r="R1410" s="683"/>
      <c r="S1410" s="683"/>
      <c r="T1410" s="683"/>
      <c r="U1410" s="683"/>
      <c r="V1410" s="683"/>
      <c r="W1410" s="683"/>
      <c r="X1410" s="683"/>
      <c r="Y1410" s="683"/>
      <c r="Z1410" s="683"/>
    </row>
    <row r="1411" spans="1:26" ht="15.75" customHeight="1" x14ac:dyDescent="0.25">
      <c r="A1411" s="3"/>
      <c r="B1411" s="683"/>
      <c r="C1411" s="683"/>
      <c r="D1411" s="683"/>
      <c r="E1411" s="683"/>
      <c r="F1411" s="683"/>
      <c r="G1411" s="683"/>
      <c r="H1411" s="711"/>
      <c r="I1411" s="683"/>
      <c r="J1411" s="683"/>
      <c r="K1411" s="683"/>
      <c r="L1411" s="683"/>
      <c r="M1411" s="683"/>
      <c r="N1411" s="685"/>
      <c r="O1411" s="683"/>
      <c r="P1411" s="683"/>
      <c r="Q1411" s="683"/>
      <c r="R1411" s="683"/>
      <c r="S1411" s="683"/>
      <c r="T1411" s="683"/>
      <c r="U1411" s="683"/>
      <c r="V1411" s="683"/>
      <c r="W1411" s="683"/>
      <c r="X1411" s="683"/>
      <c r="Y1411" s="683"/>
      <c r="Z1411" s="683"/>
    </row>
    <row r="1412" spans="1:26" ht="15.75" customHeight="1" x14ac:dyDescent="0.25">
      <c r="A1412" s="3"/>
      <c r="B1412" s="683"/>
      <c r="C1412" s="683"/>
      <c r="D1412" s="683"/>
      <c r="E1412" s="683"/>
      <c r="F1412" s="683"/>
      <c r="G1412" s="683"/>
      <c r="H1412" s="711"/>
      <c r="I1412" s="683"/>
      <c r="J1412" s="683"/>
      <c r="K1412" s="683"/>
      <c r="L1412" s="683"/>
      <c r="M1412" s="683"/>
      <c r="N1412" s="685"/>
      <c r="O1412" s="683"/>
      <c r="P1412" s="683"/>
      <c r="Q1412" s="683"/>
      <c r="R1412" s="683"/>
      <c r="S1412" s="683"/>
      <c r="T1412" s="683"/>
      <c r="U1412" s="683"/>
      <c r="V1412" s="683"/>
      <c r="W1412" s="683"/>
      <c r="X1412" s="683"/>
      <c r="Y1412" s="683"/>
      <c r="Z1412" s="683"/>
    </row>
    <row r="1413" spans="1:26" ht="15.75" customHeight="1" x14ac:dyDescent="0.25">
      <c r="A1413" s="3"/>
      <c r="B1413" s="683"/>
      <c r="C1413" s="683"/>
      <c r="D1413" s="683"/>
      <c r="E1413" s="683"/>
      <c r="F1413" s="683"/>
      <c r="G1413" s="683"/>
      <c r="H1413" s="711"/>
      <c r="I1413" s="683"/>
      <c r="J1413" s="683"/>
      <c r="K1413" s="683"/>
      <c r="L1413" s="683"/>
      <c r="M1413" s="683"/>
      <c r="N1413" s="685"/>
      <c r="O1413" s="683"/>
      <c r="P1413" s="683"/>
      <c r="Q1413" s="683"/>
      <c r="R1413" s="683"/>
      <c r="S1413" s="683"/>
      <c r="T1413" s="683"/>
      <c r="U1413" s="683"/>
      <c r="V1413" s="683"/>
      <c r="W1413" s="683"/>
      <c r="X1413" s="683"/>
      <c r="Y1413" s="683"/>
      <c r="Z1413" s="683"/>
    </row>
    <row r="1414" spans="1:26" ht="15.75" customHeight="1" x14ac:dyDescent="0.25">
      <c r="A1414" s="3"/>
      <c r="B1414" s="683"/>
      <c r="C1414" s="683"/>
      <c r="D1414" s="683"/>
      <c r="E1414" s="683"/>
      <c r="F1414" s="683"/>
      <c r="G1414" s="683"/>
      <c r="H1414" s="711"/>
      <c r="I1414" s="683"/>
      <c r="J1414" s="683"/>
      <c r="K1414" s="683"/>
      <c r="L1414" s="683"/>
      <c r="M1414" s="683"/>
      <c r="N1414" s="685"/>
      <c r="O1414" s="683"/>
      <c r="P1414" s="683"/>
      <c r="Q1414" s="683"/>
      <c r="R1414" s="683"/>
      <c r="S1414" s="683"/>
      <c r="T1414" s="683"/>
      <c r="U1414" s="683"/>
      <c r="V1414" s="683"/>
      <c r="W1414" s="683"/>
      <c r="X1414" s="683"/>
      <c r="Y1414" s="683"/>
      <c r="Z1414" s="683"/>
    </row>
    <row r="1415" spans="1:26" ht="15.75" customHeight="1" x14ac:dyDescent="0.25">
      <c r="A1415" s="3"/>
      <c r="B1415" s="683"/>
      <c r="C1415" s="683"/>
      <c r="D1415" s="683"/>
      <c r="E1415" s="683"/>
      <c r="F1415" s="683"/>
      <c r="G1415" s="683"/>
      <c r="H1415" s="711"/>
      <c r="I1415" s="683"/>
      <c r="J1415" s="683"/>
      <c r="K1415" s="683"/>
      <c r="L1415" s="683"/>
      <c r="M1415" s="683"/>
      <c r="N1415" s="685"/>
      <c r="O1415" s="683"/>
      <c r="P1415" s="683"/>
      <c r="Q1415" s="683"/>
      <c r="R1415" s="683"/>
      <c r="S1415" s="683"/>
      <c r="T1415" s="683"/>
      <c r="U1415" s="683"/>
      <c r="V1415" s="683"/>
      <c r="W1415" s="683"/>
      <c r="X1415" s="683"/>
      <c r="Y1415" s="683"/>
      <c r="Z1415" s="683"/>
    </row>
    <row r="1416" spans="1:26" ht="15.75" customHeight="1" x14ac:dyDescent="0.25">
      <c r="A1416" s="3"/>
      <c r="B1416" s="683"/>
      <c r="C1416" s="683"/>
      <c r="D1416" s="683"/>
      <c r="E1416" s="683"/>
      <c r="F1416" s="683"/>
      <c r="G1416" s="683"/>
      <c r="H1416" s="711"/>
      <c r="I1416" s="683"/>
      <c r="J1416" s="683"/>
      <c r="K1416" s="683"/>
      <c r="L1416" s="683"/>
      <c r="M1416" s="683"/>
      <c r="N1416" s="685"/>
      <c r="O1416" s="683"/>
      <c r="P1416" s="683"/>
      <c r="Q1416" s="683"/>
      <c r="R1416" s="683"/>
      <c r="S1416" s="683"/>
      <c r="T1416" s="683"/>
      <c r="U1416" s="683"/>
      <c r="V1416" s="683"/>
      <c r="W1416" s="683"/>
      <c r="X1416" s="683"/>
      <c r="Y1416" s="683"/>
      <c r="Z1416" s="683"/>
    </row>
    <row r="1417" spans="1:26" ht="15.75" customHeight="1" x14ac:dyDescent="0.25">
      <c r="A1417" s="3"/>
      <c r="B1417" s="683"/>
      <c r="C1417" s="683"/>
      <c r="D1417" s="683"/>
      <c r="E1417" s="683"/>
      <c r="F1417" s="683"/>
      <c r="G1417" s="683"/>
      <c r="H1417" s="711"/>
      <c r="I1417" s="683"/>
      <c r="J1417" s="683"/>
      <c r="K1417" s="683"/>
      <c r="L1417" s="683"/>
      <c r="M1417" s="683"/>
      <c r="N1417" s="685"/>
      <c r="O1417" s="683"/>
      <c r="P1417" s="683"/>
      <c r="Q1417" s="683"/>
      <c r="R1417" s="683"/>
      <c r="S1417" s="683"/>
      <c r="T1417" s="683"/>
      <c r="U1417" s="683"/>
      <c r="V1417" s="683"/>
      <c r="W1417" s="683"/>
      <c r="X1417" s="683"/>
      <c r="Y1417" s="683"/>
      <c r="Z1417" s="683"/>
    </row>
    <row r="1418" spans="1:26" ht="15.75" customHeight="1" x14ac:dyDescent="0.25">
      <c r="A1418" s="3"/>
      <c r="B1418" s="683"/>
      <c r="C1418" s="683"/>
      <c r="D1418" s="683"/>
      <c r="E1418" s="683"/>
      <c r="F1418" s="683"/>
      <c r="G1418" s="683"/>
      <c r="H1418" s="711"/>
      <c r="I1418" s="683"/>
      <c r="J1418" s="683"/>
      <c r="K1418" s="683"/>
      <c r="L1418" s="683"/>
      <c r="M1418" s="683"/>
      <c r="N1418" s="685"/>
      <c r="O1418" s="683"/>
      <c r="P1418" s="683"/>
      <c r="Q1418" s="683"/>
      <c r="R1418" s="683"/>
      <c r="S1418" s="683"/>
      <c r="T1418" s="683"/>
      <c r="U1418" s="683"/>
      <c r="V1418" s="683"/>
      <c r="W1418" s="683"/>
      <c r="X1418" s="683"/>
      <c r="Y1418" s="683"/>
      <c r="Z1418" s="683"/>
    </row>
    <row r="1419" spans="1:26" ht="15.75" customHeight="1" x14ac:dyDescent="0.25">
      <c r="A1419" s="3"/>
      <c r="B1419" s="683"/>
      <c r="C1419" s="683"/>
      <c r="D1419" s="683"/>
      <c r="E1419" s="683"/>
      <c r="F1419" s="683"/>
      <c r="G1419" s="683"/>
      <c r="H1419" s="711"/>
      <c r="I1419" s="683"/>
      <c r="J1419" s="683"/>
      <c r="K1419" s="683"/>
      <c r="L1419" s="683"/>
      <c r="M1419" s="683"/>
      <c r="N1419" s="685"/>
      <c r="O1419" s="683"/>
      <c r="P1419" s="683"/>
      <c r="Q1419" s="683"/>
      <c r="R1419" s="683"/>
      <c r="S1419" s="683"/>
      <c r="T1419" s="683"/>
      <c r="U1419" s="683"/>
      <c r="V1419" s="683"/>
      <c r="W1419" s="683"/>
      <c r="X1419" s="683"/>
      <c r="Y1419" s="683"/>
      <c r="Z1419" s="683"/>
    </row>
    <row r="1420" spans="1:26" ht="15.75" customHeight="1" x14ac:dyDescent="0.25">
      <c r="A1420" s="3"/>
      <c r="B1420" s="683"/>
      <c r="C1420" s="683"/>
      <c r="D1420" s="683"/>
      <c r="E1420" s="683"/>
      <c r="F1420" s="683"/>
      <c r="G1420" s="683"/>
      <c r="H1420" s="711"/>
      <c r="I1420" s="683"/>
      <c r="J1420" s="683"/>
      <c r="K1420" s="683"/>
      <c r="L1420" s="683"/>
      <c r="M1420" s="683"/>
      <c r="N1420" s="685"/>
      <c r="O1420" s="683"/>
      <c r="P1420" s="683"/>
      <c r="Q1420" s="683"/>
      <c r="R1420" s="683"/>
      <c r="S1420" s="683"/>
      <c r="T1420" s="683"/>
      <c r="U1420" s="683"/>
      <c r="V1420" s="683"/>
      <c r="W1420" s="683"/>
      <c r="X1420" s="683"/>
      <c r="Y1420" s="683"/>
      <c r="Z1420" s="683"/>
    </row>
    <row r="1421" spans="1:26" ht="15.75" customHeight="1" x14ac:dyDescent="0.25">
      <c r="A1421" s="3"/>
      <c r="B1421" s="683"/>
      <c r="C1421" s="683"/>
      <c r="D1421" s="683"/>
      <c r="E1421" s="683"/>
      <c r="F1421" s="683"/>
      <c r="G1421" s="683"/>
      <c r="H1421" s="711"/>
      <c r="I1421" s="683"/>
      <c r="J1421" s="683"/>
      <c r="K1421" s="683"/>
      <c r="L1421" s="683"/>
      <c r="M1421" s="683"/>
      <c r="N1421" s="685"/>
      <c r="O1421" s="683"/>
      <c r="P1421" s="683"/>
      <c r="Q1421" s="683"/>
      <c r="R1421" s="683"/>
      <c r="S1421" s="683"/>
      <c r="T1421" s="683"/>
      <c r="U1421" s="683"/>
      <c r="V1421" s="683"/>
      <c r="W1421" s="683"/>
      <c r="X1421" s="683"/>
      <c r="Y1421" s="683"/>
      <c r="Z1421" s="683"/>
    </row>
    <row r="1422" spans="1:26" ht="15.75" customHeight="1" x14ac:dyDescent="0.25">
      <c r="A1422" s="3"/>
      <c r="B1422" s="683"/>
      <c r="C1422" s="683"/>
      <c r="D1422" s="683"/>
      <c r="E1422" s="683"/>
      <c r="F1422" s="683"/>
      <c r="G1422" s="683"/>
      <c r="H1422" s="711"/>
      <c r="I1422" s="683"/>
      <c r="J1422" s="683"/>
      <c r="K1422" s="683"/>
      <c r="L1422" s="683"/>
      <c r="M1422" s="683"/>
      <c r="N1422" s="685"/>
      <c r="O1422" s="683"/>
      <c r="P1422" s="683"/>
      <c r="Q1422" s="683"/>
      <c r="R1422" s="683"/>
      <c r="S1422" s="683"/>
      <c r="T1422" s="683"/>
      <c r="U1422" s="683"/>
      <c r="V1422" s="683"/>
      <c r="W1422" s="683"/>
      <c r="X1422" s="683"/>
      <c r="Y1422" s="683"/>
      <c r="Z1422" s="683"/>
    </row>
    <row r="1423" spans="1:26" ht="15.75" customHeight="1" x14ac:dyDescent="0.25">
      <c r="A1423" s="3"/>
      <c r="B1423" s="683"/>
      <c r="C1423" s="683"/>
      <c r="D1423" s="683"/>
      <c r="E1423" s="683"/>
      <c r="F1423" s="683"/>
      <c r="G1423" s="683"/>
      <c r="H1423" s="711"/>
      <c r="I1423" s="683"/>
      <c r="J1423" s="683"/>
      <c r="K1423" s="683"/>
      <c r="L1423" s="683"/>
      <c r="M1423" s="683"/>
      <c r="N1423" s="685"/>
      <c r="O1423" s="683"/>
      <c r="P1423" s="683"/>
      <c r="Q1423" s="683"/>
      <c r="R1423" s="683"/>
      <c r="S1423" s="683"/>
      <c r="T1423" s="683"/>
      <c r="U1423" s="683"/>
      <c r="V1423" s="683"/>
      <c r="W1423" s="683"/>
      <c r="X1423" s="683"/>
      <c r="Y1423" s="683"/>
      <c r="Z1423" s="683"/>
    </row>
    <row r="1424" spans="1:26" ht="15.75" customHeight="1" x14ac:dyDescent="0.25">
      <c r="A1424" s="3"/>
      <c r="B1424" s="683"/>
      <c r="C1424" s="683"/>
      <c r="D1424" s="683"/>
      <c r="E1424" s="683"/>
      <c r="F1424" s="683"/>
      <c r="G1424" s="683"/>
      <c r="H1424" s="711"/>
      <c r="I1424" s="683"/>
      <c r="J1424" s="683"/>
      <c r="K1424" s="683"/>
      <c r="L1424" s="683"/>
      <c r="M1424" s="683"/>
      <c r="N1424" s="685"/>
      <c r="O1424" s="683"/>
      <c r="P1424" s="683"/>
      <c r="Q1424" s="683"/>
      <c r="R1424" s="683"/>
      <c r="S1424" s="683"/>
      <c r="T1424" s="683"/>
      <c r="U1424" s="683"/>
      <c r="V1424" s="683"/>
      <c r="W1424" s="683"/>
      <c r="X1424" s="683"/>
      <c r="Y1424" s="683"/>
      <c r="Z1424" s="683"/>
    </row>
    <row r="1425" spans="1:26" ht="15.75" customHeight="1" x14ac:dyDescent="0.25">
      <c r="A1425" s="3"/>
      <c r="B1425" s="683"/>
      <c r="C1425" s="683"/>
      <c r="D1425" s="683"/>
      <c r="E1425" s="683"/>
      <c r="F1425" s="683"/>
      <c r="G1425" s="683"/>
      <c r="H1425" s="711"/>
      <c r="I1425" s="683"/>
      <c r="J1425" s="683"/>
      <c r="K1425" s="683"/>
      <c r="L1425" s="683"/>
      <c r="M1425" s="683"/>
      <c r="N1425" s="685"/>
      <c r="O1425" s="683"/>
      <c r="P1425" s="683"/>
      <c r="Q1425" s="683"/>
      <c r="R1425" s="683"/>
      <c r="S1425" s="683"/>
      <c r="T1425" s="683"/>
      <c r="U1425" s="683"/>
      <c r="V1425" s="683"/>
      <c r="W1425" s="683"/>
      <c r="X1425" s="683"/>
      <c r="Y1425" s="683"/>
      <c r="Z1425" s="683"/>
    </row>
    <row r="1426" spans="1:26" ht="15.75" customHeight="1" x14ac:dyDescent="0.25">
      <c r="A1426" s="683"/>
      <c r="B1426" s="683"/>
      <c r="C1426" s="683"/>
      <c r="D1426" s="683"/>
      <c r="E1426" s="683"/>
      <c r="F1426" s="683"/>
      <c r="G1426" s="683"/>
      <c r="H1426" s="711"/>
      <c r="I1426" s="683"/>
      <c r="J1426" s="683"/>
      <c r="K1426" s="683"/>
      <c r="L1426" s="683"/>
      <c r="M1426" s="683"/>
      <c r="N1426" s="685"/>
      <c r="O1426" s="683"/>
      <c r="P1426" s="683"/>
      <c r="Q1426" s="683"/>
      <c r="R1426" s="683"/>
      <c r="S1426" s="683"/>
      <c r="T1426" s="683"/>
      <c r="U1426" s="683"/>
      <c r="V1426" s="683"/>
      <c r="W1426" s="683"/>
      <c r="X1426" s="683"/>
      <c r="Y1426" s="683"/>
      <c r="Z1426" s="683"/>
    </row>
    <row r="1427" spans="1:26" ht="15.75" customHeight="1" x14ac:dyDescent="0.25">
      <c r="A1427" s="683"/>
      <c r="B1427" s="683"/>
      <c r="C1427" s="683"/>
      <c r="D1427" s="683"/>
      <c r="E1427" s="683"/>
      <c r="F1427" s="683"/>
      <c r="G1427" s="683"/>
      <c r="H1427" s="711"/>
      <c r="I1427" s="683"/>
      <c r="J1427" s="683"/>
      <c r="K1427" s="683"/>
      <c r="L1427" s="683"/>
      <c r="M1427" s="683"/>
      <c r="N1427" s="685"/>
      <c r="O1427" s="683"/>
      <c r="P1427" s="683"/>
      <c r="Q1427" s="683"/>
      <c r="R1427" s="683"/>
      <c r="S1427" s="683"/>
      <c r="T1427" s="683"/>
      <c r="U1427" s="683"/>
      <c r="V1427" s="683"/>
      <c r="W1427" s="683"/>
      <c r="X1427" s="683"/>
      <c r="Y1427" s="683"/>
      <c r="Z1427" s="683"/>
    </row>
    <row r="1428" spans="1:26" ht="15.75" customHeight="1" x14ac:dyDescent="0.25">
      <c r="A1428" s="683"/>
      <c r="B1428" s="683"/>
      <c r="C1428" s="683"/>
      <c r="D1428" s="683"/>
      <c r="E1428" s="683"/>
      <c r="F1428" s="683"/>
      <c r="G1428" s="683"/>
      <c r="H1428" s="711"/>
      <c r="I1428" s="683"/>
      <c r="J1428" s="683"/>
      <c r="K1428" s="683"/>
      <c r="L1428" s="683"/>
      <c r="M1428" s="683"/>
      <c r="N1428" s="685"/>
      <c r="O1428" s="683"/>
      <c r="P1428" s="683"/>
      <c r="Q1428" s="683"/>
      <c r="R1428" s="683"/>
      <c r="S1428" s="683"/>
      <c r="T1428" s="683"/>
      <c r="U1428" s="683"/>
      <c r="V1428" s="683"/>
      <c r="W1428" s="683"/>
      <c r="X1428" s="683"/>
      <c r="Y1428" s="683"/>
      <c r="Z1428" s="683"/>
    </row>
    <row r="1429" spans="1:26" ht="15.75" customHeight="1" x14ac:dyDescent="0.25">
      <c r="A1429" s="683"/>
      <c r="B1429" s="683"/>
      <c r="C1429" s="683"/>
      <c r="D1429" s="683"/>
      <c r="E1429" s="683"/>
      <c r="F1429" s="683"/>
      <c r="G1429" s="683"/>
      <c r="H1429" s="711"/>
      <c r="I1429" s="683"/>
      <c r="J1429" s="683"/>
      <c r="K1429" s="683"/>
      <c r="L1429" s="683"/>
      <c r="M1429" s="683"/>
      <c r="N1429" s="685"/>
      <c r="O1429" s="683"/>
      <c r="P1429" s="683"/>
      <c r="Q1429" s="683"/>
      <c r="R1429" s="683"/>
      <c r="S1429" s="683"/>
      <c r="T1429" s="683"/>
      <c r="U1429" s="683"/>
      <c r="V1429" s="683"/>
      <c r="W1429" s="683"/>
      <c r="X1429" s="683"/>
      <c r="Y1429" s="683"/>
      <c r="Z1429" s="683"/>
    </row>
    <row r="1430" spans="1:26" ht="15.75" customHeight="1" x14ac:dyDescent="0.25">
      <c r="A1430" s="683"/>
      <c r="B1430" s="683"/>
      <c r="C1430" s="683"/>
      <c r="D1430" s="683"/>
      <c r="E1430" s="683"/>
      <c r="F1430" s="683"/>
      <c r="G1430" s="683"/>
      <c r="H1430" s="711"/>
      <c r="I1430" s="683"/>
      <c r="J1430" s="683"/>
      <c r="K1430" s="683"/>
      <c r="L1430" s="683"/>
      <c r="M1430" s="683"/>
      <c r="N1430" s="685"/>
      <c r="O1430" s="683"/>
      <c r="P1430" s="683"/>
      <c r="Q1430" s="683"/>
      <c r="R1430" s="683"/>
      <c r="S1430" s="683"/>
      <c r="T1430" s="683"/>
      <c r="U1430" s="683"/>
      <c r="V1430" s="683"/>
      <c r="W1430" s="683"/>
      <c r="X1430" s="683"/>
      <c r="Y1430" s="683"/>
      <c r="Z1430" s="683"/>
    </row>
    <row r="1431" spans="1:26" ht="15.75" customHeight="1" x14ac:dyDescent="0.25">
      <c r="A1431" s="683"/>
      <c r="B1431" s="683"/>
      <c r="C1431" s="683"/>
      <c r="D1431" s="683"/>
      <c r="E1431" s="683"/>
      <c r="F1431" s="683"/>
      <c r="G1431" s="683"/>
      <c r="H1431" s="711"/>
      <c r="I1431" s="683"/>
      <c r="J1431" s="683"/>
      <c r="K1431" s="683"/>
      <c r="L1431" s="683"/>
      <c r="M1431" s="683"/>
      <c r="N1431" s="685"/>
      <c r="O1431" s="683"/>
      <c r="P1431" s="683"/>
      <c r="Q1431" s="683"/>
      <c r="R1431" s="683"/>
      <c r="S1431" s="683"/>
      <c r="T1431" s="683"/>
      <c r="U1431" s="683"/>
      <c r="V1431" s="683"/>
      <c r="W1431" s="683"/>
      <c r="X1431" s="683"/>
      <c r="Y1431" s="683"/>
      <c r="Z1431" s="683"/>
    </row>
    <row r="1432" spans="1:26" ht="15.75" customHeight="1" x14ac:dyDescent="0.25">
      <c r="A1432" s="683"/>
      <c r="B1432" s="683"/>
      <c r="C1432" s="683"/>
      <c r="D1432" s="683"/>
      <c r="E1432" s="683"/>
      <c r="F1432" s="683"/>
      <c r="G1432" s="683"/>
      <c r="H1432" s="711"/>
      <c r="I1432" s="683"/>
      <c r="J1432" s="683"/>
      <c r="K1432" s="683"/>
      <c r="L1432" s="683"/>
      <c r="M1432" s="683"/>
      <c r="N1432" s="685"/>
      <c r="O1432" s="683"/>
      <c r="P1432" s="683"/>
      <c r="Q1432" s="683"/>
      <c r="R1432" s="683"/>
      <c r="S1432" s="683"/>
      <c r="T1432" s="683"/>
      <c r="U1432" s="683"/>
      <c r="V1432" s="683"/>
      <c r="W1432" s="683"/>
      <c r="X1432" s="683"/>
      <c r="Y1432" s="683"/>
      <c r="Z1432" s="683"/>
    </row>
    <row r="1433" spans="1:26" ht="15.75" customHeight="1" x14ac:dyDescent="0.25">
      <c r="A1433" s="683"/>
      <c r="B1433" s="683"/>
      <c r="C1433" s="683"/>
      <c r="D1433" s="683"/>
      <c r="E1433" s="683"/>
      <c r="F1433" s="683"/>
      <c r="G1433" s="683"/>
      <c r="H1433" s="711"/>
      <c r="I1433" s="683"/>
      <c r="J1433" s="683"/>
      <c r="K1433" s="683"/>
      <c r="L1433" s="683"/>
      <c r="M1433" s="683"/>
      <c r="N1433" s="685"/>
      <c r="O1433" s="683"/>
      <c r="P1433" s="683"/>
      <c r="Q1433" s="683"/>
      <c r="R1433" s="683"/>
      <c r="S1433" s="683"/>
      <c r="T1433" s="683"/>
      <c r="U1433" s="683"/>
      <c r="V1433" s="683"/>
      <c r="W1433" s="683"/>
      <c r="X1433" s="683"/>
      <c r="Y1433" s="683"/>
      <c r="Z1433" s="683"/>
    </row>
    <row r="1434" spans="1:26" ht="15.75" customHeight="1" x14ac:dyDescent="0.25">
      <c r="A1434" s="683"/>
      <c r="B1434" s="683"/>
      <c r="C1434" s="683"/>
      <c r="D1434" s="683"/>
      <c r="E1434" s="683"/>
      <c r="F1434" s="683"/>
      <c r="G1434" s="683"/>
      <c r="H1434" s="711"/>
      <c r="I1434" s="683"/>
      <c r="J1434" s="683"/>
      <c r="K1434" s="683"/>
      <c r="L1434" s="683"/>
      <c r="M1434" s="683"/>
      <c r="N1434" s="685"/>
      <c r="O1434" s="683"/>
      <c r="P1434" s="683"/>
      <c r="Q1434" s="683"/>
      <c r="R1434" s="683"/>
      <c r="S1434" s="683"/>
      <c r="T1434" s="683"/>
      <c r="U1434" s="683"/>
      <c r="V1434" s="683"/>
      <c r="W1434" s="683"/>
      <c r="X1434" s="683"/>
      <c r="Y1434" s="683"/>
      <c r="Z1434" s="683"/>
    </row>
    <row r="1435" spans="1:26" ht="15.75" customHeight="1" x14ac:dyDescent="0.25">
      <c r="A1435" s="683"/>
      <c r="B1435" s="683"/>
      <c r="C1435" s="683"/>
      <c r="D1435" s="683"/>
      <c r="E1435" s="683"/>
      <c r="F1435" s="683"/>
      <c r="G1435" s="683"/>
      <c r="H1435" s="711"/>
      <c r="I1435" s="683"/>
      <c r="J1435" s="683"/>
      <c r="K1435" s="683"/>
      <c r="L1435" s="683"/>
      <c r="M1435" s="683"/>
      <c r="N1435" s="685"/>
      <c r="O1435" s="683"/>
      <c r="P1435" s="683"/>
      <c r="Q1435" s="683"/>
      <c r="R1435" s="683"/>
      <c r="S1435" s="683"/>
      <c r="T1435" s="683"/>
      <c r="U1435" s="683"/>
      <c r="V1435" s="683"/>
      <c r="W1435" s="683"/>
      <c r="X1435" s="683"/>
      <c r="Y1435" s="683"/>
      <c r="Z1435" s="683"/>
    </row>
    <row r="1436" spans="1:26" ht="15.75" customHeight="1" x14ac:dyDescent="0.25">
      <c r="A1436" s="683"/>
      <c r="B1436" s="683"/>
      <c r="C1436" s="683"/>
      <c r="D1436" s="683"/>
      <c r="E1436" s="683"/>
      <c r="F1436" s="683"/>
      <c r="G1436" s="683"/>
      <c r="H1436" s="711"/>
      <c r="I1436" s="683"/>
      <c r="J1436" s="683"/>
      <c r="K1436" s="683"/>
      <c r="L1436" s="683"/>
      <c r="M1436" s="683"/>
      <c r="N1436" s="685"/>
      <c r="O1436" s="683"/>
      <c r="P1436" s="683"/>
      <c r="Q1436" s="683"/>
      <c r="R1436" s="683"/>
      <c r="S1436" s="683"/>
      <c r="T1436" s="683"/>
      <c r="U1436" s="683"/>
      <c r="V1436" s="683"/>
      <c r="W1436" s="683"/>
      <c r="X1436" s="683"/>
      <c r="Y1436" s="683"/>
      <c r="Z1436" s="683"/>
    </row>
    <row r="1437" spans="1:26" ht="15.75" customHeight="1" x14ac:dyDescent="0.25">
      <c r="A1437" s="683"/>
      <c r="B1437" s="683"/>
      <c r="C1437" s="683"/>
      <c r="D1437" s="683"/>
      <c r="E1437" s="683"/>
      <c r="F1437" s="683"/>
      <c r="G1437" s="683"/>
      <c r="H1437" s="711"/>
      <c r="I1437" s="683"/>
      <c r="J1437" s="683"/>
      <c r="K1437" s="683"/>
      <c r="L1437" s="683"/>
      <c r="M1437" s="683"/>
      <c r="N1437" s="685"/>
      <c r="O1437" s="683"/>
      <c r="P1437" s="683"/>
      <c r="Q1437" s="683"/>
      <c r="R1437" s="683"/>
      <c r="S1437" s="683"/>
      <c r="T1437" s="683"/>
      <c r="U1437" s="683"/>
      <c r="V1437" s="683"/>
      <c r="W1437" s="683"/>
      <c r="X1437" s="683"/>
      <c r="Y1437" s="683"/>
      <c r="Z1437" s="683"/>
    </row>
    <row r="1438" spans="1:26" ht="15.75" customHeight="1" x14ac:dyDescent="0.25">
      <c r="A1438" s="683"/>
      <c r="B1438" s="683"/>
      <c r="C1438" s="683"/>
      <c r="D1438" s="683"/>
      <c r="E1438" s="683"/>
      <c r="F1438" s="683"/>
      <c r="G1438" s="683"/>
      <c r="H1438" s="711"/>
      <c r="I1438" s="683"/>
      <c r="J1438" s="683"/>
      <c r="K1438" s="683"/>
      <c r="L1438" s="683"/>
      <c r="M1438" s="683"/>
      <c r="N1438" s="685"/>
      <c r="O1438" s="683"/>
      <c r="P1438" s="683"/>
      <c r="Q1438" s="683"/>
      <c r="R1438" s="683"/>
      <c r="S1438" s="683"/>
      <c r="T1438" s="683"/>
      <c r="U1438" s="683"/>
      <c r="V1438" s="683"/>
      <c r="W1438" s="683"/>
      <c r="X1438" s="683"/>
      <c r="Y1438" s="683"/>
      <c r="Z1438" s="683"/>
    </row>
    <row r="1439" spans="1:26" ht="15.75" customHeight="1" x14ac:dyDescent="0.25">
      <c r="A1439" s="683"/>
      <c r="B1439" s="683"/>
      <c r="C1439" s="683"/>
      <c r="D1439" s="683"/>
      <c r="E1439" s="683"/>
      <c r="F1439" s="683"/>
      <c r="G1439" s="683"/>
      <c r="H1439" s="711"/>
      <c r="I1439" s="683"/>
      <c r="J1439" s="683"/>
      <c r="K1439" s="683"/>
      <c r="L1439" s="683"/>
      <c r="M1439" s="683"/>
      <c r="N1439" s="685"/>
      <c r="O1439" s="683"/>
      <c r="P1439" s="683"/>
      <c r="Q1439" s="683"/>
      <c r="R1439" s="683"/>
      <c r="S1439" s="683"/>
      <c r="T1439" s="683"/>
      <c r="U1439" s="683"/>
      <c r="V1439" s="683"/>
      <c r="W1439" s="683"/>
      <c r="X1439" s="683"/>
      <c r="Y1439" s="683"/>
      <c r="Z1439" s="683"/>
    </row>
    <row r="1440" spans="1:26" ht="15.75" customHeight="1" x14ac:dyDescent="0.25">
      <c r="A1440" s="683"/>
      <c r="B1440" s="683"/>
      <c r="C1440" s="683"/>
      <c r="D1440" s="683"/>
      <c r="E1440" s="683"/>
      <c r="F1440" s="683"/>
      <c r="G1440" s="683"/>
      <c r="H1440" s="711"/>
      <c r="I1440" s="683"/>
      <c r="J1440" s="683"/>
      <c r="K1440" s="683"/>
      <c r="L1440" s="683"/>
      <c r="M1440" s="683"/>
      <c r="N1440" s="685"/>
      <c r="O1440" s="683"/>
      <c r="P1440" s="683"/>
      <c r="Q1440" s="683"/>
      <c r="R1440" s="683"/>
      <c r="S1440" s="683"/>
      <c r="T1440" s="683"/>
      <c r="U1440" s="683"/>
      <c r="V1440" s="683"/>
      <c r="W1440" s="683"/>
      <c r="X1440" s="683"/>
      <c r="Y1440" s="683"/>
      <c r="Z1440" s="683"/>
    </row>
    <row r="1441" spans="1:26" ht="15.75" customHeight="1" x14ac:dyDescent="0.25">
      <c r="A1441" s="683"/>
      <c r="B1441" s="683"/>
      <c r="C1441" s="683"/>
      <c r="D1441" s="683"/>
      <c r="E1441" s="683"/>
      <c r="F1441" s="683"/>
      <c r="G1441" s="683"/>
      <c r="H1441" s="711"/>
      <c r="I1441" s="683"/>
      <c r="J1441" s="683"/>
      <c r="K1441" s="683"/>
      <c r="L1441" s="683"/>
      <c r="M1441" s="683"/>
      <c r="N1441" s="685"/>
      <c r="O1441" s="683"/>
      <c r="P1441" s="683"/>
      <c r="Q1441" s="683"/>
      <c r="R1441" s="683"/>
      <c r="S1441" s="683"/>
      <c r="T1441" s="683"/>
      <c r="U1441" s="683"/>
      <c r="V1441" s="683"/>
      <c r="W1441" s="683"/>
      <c r="X1441" s="683"/>
      <c r="Y1441" s="683"/>
      <c r="Z1441" s="683"/>
    </row>
    <row r="1442" spans="1:26" ht="15.75" customHeight="1" x14ac:dyDescent="0.25">
      <c r="A1442" s="683"/>
      <c r="B1442" s="683"/>
      <c r="C1442" s="683"/>
      <c r="D1442" s="683"/>
      <c r="E1442" s="683"/>
      <c r="F1442" s="683"/>
      <c r="G1442" s="683"/>
      <c r="H1442" s="711"/>
      <c r="I1442" s="683"/>
      <c r="J1442" s="683"/>
      <c r="K1442" s="683"/>
      <c r="L1442" s="683"/>
      <c r="M1442" s="683"/>
      <c r="N1442" s="685"/>
      <c r="O1442" s="683"/>
      <c r="P1442" s="683"/>
      <c r="Q1442" s="683"/>
      <c r="R1442" s="683"/>
      <c r="S1442" s="683"/>
      <c r="T1442" s="683"/>
      <c r="U1442" s="683"/>
      <c r="V1442" s="683"/>
      <c r="W1442" s="683"/>
      <c r="X1442" s="683"/>
      <c r="Y1442" s="683"/>
      <c r="Z1442" s="683"/>
    </row>
    <row r="1443" spans="1:26" ht="15.75" customHeight="1" x14ac:dyDescent="0.25">
      <c r="A1443" s="683"/>
      <c r="B1443" s="683"/>
      <c r="C1443" s="683"/>
      <c r="D1443" s="683"/>
      <c r="E1443" s="683"/>
      <c r="F1443" s="683"/>
      <c r="G1443" s="683"/>
      <c r="H1443" s="711"/>
      <c r="I1443" s="683"/>
      <c r="J1443" s="683"/>
      <c r="K1443" s="683"/>
      <c r="L1443" s="683"/>
      <c r="M1443" s="683"/>
      <c r="N1443" s="685"/>
      <c r="O1443" s="683"/>
      <c r="P1443" s="683"/>
      <c r="Q1443" s="683"/>
      <c r="R1443" s="683"/>
      <c r="S1443" s="683"/>
      <c r="T1443" s="683"/>
      <c r="U1443" s="683"/>
      <c r="V1443" s="683"/>
      <c r="W1443" s="683"/>
      <c r="X1443" s="683"/>
      <c r="Y1443" s="683"/>
      <c r="Z1443" s="683"/>
    </row>
    <row r="1444" spans="1:26" ht="15.75" customHeight="1" x14ac:dyDescent="0.25">
      <c r="A1444" s="683"/>
      <c r="B1444" s="683"/>
      <c r="C1444" s="683"/>
      <c r="D1444" s="683"/>
      <c r="E1444" s="683"/>
      <c r="F1444" s="683"/>
      <c r="G1444" s="683"/>
      <c r="H1444" s="711"/>
      <c r="I1444" s="683"/>
      <c r="J1444" s="683"/>
      <c r="K1444" s="683"/>
      <c r="L1444" s="683"/>
      <c r="M1444" s="683"/>
      <c r="N1444" s="685"/>
      <c r="O1444" s="683"/>
      <c r="P1444" s="683"/>
      <c r="Q1444" s="683"/>
      <c r="R1444" s="683"/>
      <c r="S1444" s="683"/>
      <c r="T1444" s="683"/>
      <c r="U1444" s="683"/>
      <c r="V1444" s="683"/>
      <c r="W1444" s="683"/>
      <c r="X1444" s="683"/>
      <c r="Y1444" s="683"/>
      <c r="Z1444" s="683"/>
    </row>
    <row r="1445" spans="1:26" ht="15.75" customHeight="1" x14ac:dyDescent="0.25">
      <c r="A1445" s="683"/>
      <c r="B1445" s="683"/>
      <c r="C1445" s="683"/>
      <c r="D1445" s="683"/>
      <c r="E1445" s="683"/>
      <c r="F1445" s="683"/>
      <c r="G1445" s="683"/>
      <c r="H1445" s="711"/>
      <c r="I1445" s="683"/>
      <c r="J1445" s="683"/>
      <c r="K1445" s="683"/>
      <c r="L1445" s="683"/>
      <c r="M1445" s="683"/>
      <c r="N1445" s="685"/>
      <c r="O1445" s="683"/>
      <c r="P1445" s="683"/>
      <c r="Q1445" s="683"/>
      <c r="R1445" s="683"/>
      <c r="S1445" s="683"/>
      <c r="T1445" s="683"/>
      <c r="U1445" s="683"/>
      <c r="V1445" s="683"/>
      <c r="W1445" s="683"/>
      <c r="X1445" s="683"/>
      <c r="Y1445" s="683"/>
      <c r="Z1445" s="683"/>
    </row>
    <row r="1446" spans="1:26" ht="15.75" customHeight="1" x14ac:dyDescent="0.25">
      <c r="A1446" s="683"/>
      <c r="B1446" s="683"/>
      <c r="C1446" s="683"/>
      <c r="D1446" s="683"/>
      <c r="E1446" s="683"/>
      <c r="F1446" s="683"/>
      <c r="G1446" s="683"/>
      <c r="H1446" s="711"/>
      <c r="I1446" s="683"/>
      <c r="J1446" s="683"/>
      <c r="K1446" s="683"/>
      <c r="L1446" s="683"/>
      <c r="M1446" s="683"/>
      <c r="N1446" s="685"/>
      <c r="O1446" s="683"/>
      <c r="P1446" s="683"/>
      <c r="Q1446" s="683"/>
      <c r="R1446" s="683"/>
      <c r="S1446" s="683"/>
      <c r="T1446" s="683"/>
      <c r="U1446" s="683"/>
      <c r="V1446" s="683"/>
      <c r="W1446" s="683"/>
      <c r="X1446" s="683"/>
      <c r="Y1446" s="683"/>
      <c r="Z1446" s="683"/>
    </row>
    <row r="1447" spans="1:26" ht="15.75" customHeight="1" x14ac:dyDescent="0.25">
      <c r="A1447" s="683"/>
      <c r="B1447" s="683"/>
      <c r="C1447" s="683"/>
      <c r="D1447" s="683"/>
      <c r="E1447" s="683"/>
      <c r="F1447" s="683"/>
      <c r="G1447" s="683"/>
      <c r="H1447" s="711"/>
      <c r="I1447" s="683"/>
      <c r="J1447" s="683"/>
      <c r="K1447" s="683"/>
      <c r="L1447" s="683"/>
      <c r="M1447" s="683"/>
      <c r="N1447" s="685"/>
      <c r="O1447" s="683"/>
      <c r="P1447" s="683"/>
      <c r="Q1447" s="683"/>
      <c r="R1447" s="683"/>
      <c r="S1447" s="683"/>
      <c r="T1447" s="683"/>
      <c r="U1447" s="683"/>
      <c r="V1447" s="683"/>
      <c r="W1447" s="683"/>
      <c r="X1447" s="683"/>
      <c r="Y1447" s="683"/>
      <c r="Z1447" s="683"/>
    </row>
    <row r="1448" spans="1:26" ht="15.75" customHeight="1" x14ac:dyDescent="0.25">
      <c r="A1448" s="683"/>
      <c r="B1448" s="683"/>
      <c r="C1448" s="683"/>
      <c r="D1448" s="683"/>
      <c r="E1448" s="683"/>
      <c r="F1448" s="683"/>
      <c r="G1448" s="683"/>
      <c r="H1448" s="711"/>
      <c r="I1448" s="683"/>
      <c r="J1448" s="683"/>
      <c r="K1448" s="683"/>
      <c r="L1448" s="683"/>
      <c r="M1448" s="683"/>
      <c r="N1448" s="685"/>
      <c r="O1448" s="683"/>
      <c r="P1448" s="683"/>
      <c r="Q1448" s="683"/>
      <c r="R1448" s="683"/>
      <c r="S1448" s="683"/>
      <c r="T1448" s="683"/>
      <c r="U1448" s="683"/>
      <c r="V1448" s="683"/>
      <c r="W1448" s="683"/>
      <c r="X1448" s="683"/>
      <c r="Y1448" s="683"/>
      <c r="Z1448" s="683"/>
    </row>
    <row r="1449" spans="1:26" ht="15.75" customHeight="1" x14ac:dyDescent="0.25">
      <c r="A1449" s="683"/>
      <c r="B1449" s="683"/>
      <c r="C1449" s="683"/>
      <c r="D1449" s="683"/>
      <c r="E1449" s="683"/>
      <c r="F1449" s="683"/>
      <c r="G1449" s="683"/>
      <c r="H1449" s="711"/>
      <c r="I1449" s="683"/>
      <c r="J1449" s="683"/>
      <c r="K1449" s="683"/>
      <c r="L1449" s="683"/>
      <c r="M1449" s="683"/>
      <c r="N1449" s="685"/>
      <c r="O1449" s="683"/>
      <c r="P1449" s="683"/>
      <c r="Q1449" s="683"/>
      <c r="R1449" s="683"/>
      <c r="S1449" s="683"/>
      <c r="T1449" s="683"/>
      <c r="U1449" s="683"/>
      <c r="V1449" s="683"/>
      <c r="W1449" s="683"/>
      <c r="X1449" s="683"/>
      <c r="Y1449" s="683"/>
      <c r="Z1449" s="683"/>
    </row>
    <row r="1450" spans="1:26" ht="15.75" customHeight="1" x14ac:dyDescent="0.25">
      <c r="A1450" s="683"/>
      <c r="B1450" s="683"/>
      <c r="C1450" s="683"/>
      <c r="D1450" s="683"/>
      <c r="E1450" s="683"/>
      <c r="F1450" s="683"/>
      <c r="G1450" s="683"/>
      <c r="H1450" s="711"/>
      <c r="I1450" s="683"/>
      <c r="J1450" s="683"/>
      <c r="K1450" s="683"/>
      <c r="L1450" s="683"/>
      <c r="M1450" s="683"/>
      <c r="N1450" s="685"/>
      <c r="O1450" s="683"/>
      <c r="P1450" s="683"/>
      <c r="Q1450" s="683"/>
      <c r="R1450" s="683"/>
      <c r="S1450" s="683"/>
      <c r="T1450" s="683"/>
      <c r="U1450" s="683"/>
      <c r="V1450" s="683"/>
      <c r="W1450" s="683"/>
      <c r="X1450" s="683"/>
      <c r="Y1450" s="683"/>
      <c r="Z1450" s="683"/>
    </row>
    <row r="1451" spans="1:26" ht="15.75" customHeight="1" x14ac:dyDescent="0.25">
      <c r="A1451" s="683"/>
      <c r="B1451" s="683"/>
      <c r="C1451" s="683"/>
      <c r="D1451" s="683"/>
      <c r="E1451" s="683"/>
      <c r="F1451" s="683"/>
      <c r="G1451" s="683"/>
      <c r="H1451" s="711"/>
      <c r="I1451" s="683"/>
      <c r="J1451" s="683"/>
      <c r="K1451" s="683"/>
      <c r="L1451" s="683"/>
      <c r="M1451" s="683"/>
      <c r="N1451" s="685"/>
      <c r="O1451" s="683"/>
      <c r="P1451" s="683"/>
      <c r="Q1451" s="683"/>
      <c r="R1451" s="683"/>
      <c r="S1451" s="683"/>
      <c r="T1451" s="683"/>
      <c r="U1451" s="683"/>
      <c r="V1451" s="683"/>
      <c r="W1451" s="683"/>
      <c r="X1451" s="683"/>
      <c r="Y1451" s="683"/>
      <c r="Z1451" s="683"/>
    </row>
    <row r="1452" spans="1:26" ht="15.75" customHeight="1" x14ac:dyDescent="0.25">
      <c r="A1452" s="683"/>
      <c r="B1452" s="683"/>
      <c r="C1452" s="683"/>
      <c r="D1452" s="683"/>
      <c r="E1452" s="683"/>
      <c r="F1452" s="683"/>
      <c r="G1452" s="683"/>
      <c r="H1452" s="711"/>
      <c r="I1452" s="683"/>
      <c r="J1452" s="683"/>
      <c r="K1452" s="683"/>
      <c r="L1452" s="683"/>
      <c r="M1452" s="683"/>
      <c r="N1452" s="685"/>
      <c r="O1452" s="683"/>
      <c r="P1452" s="683"/>
      <c r="Q1452" s="683"/>
      <c r="R1452" s="683"/>
      <c r="S1452" s="683"/>
      <c r="T1452" s="683"/>
      <c r="U1452" s="683"/>
      <c r="V1452" s="683"/>
      <c r="W1452" s="683"/>
      <c r="X1452" s="683"/>
      <c r="Y1452" s="683"/>
      <c r="Z1452" s="683"/>
    </row>
    <row r="1453" spans="1:26" ht="15.75" customHeight="1" x14ac:dyDescent="0.25">
      <c r="A1453" s="683"/>
      <c r="B1453" s="683"/>
      <c r="C1453" s="683"/>
      <c r="D1453" s="683"/>
      <c r="E1453" s="683"/>
      <c r="F1453" s="683"/>
      <c r="G1453" s="683"/>
      <c r="H1453" s="711"/>
      <c r="I1453" s="683"/>
      <c r="J1453" s="683"/>
      <c r="K1453" s="683"/>
      <c r="L1453" s="683"/>
      <c r="M1453" s="683"/>
      <c r="N1453" s="685"/>
      <c r="O1453" s="683"/>
      <c r="P1453" s="683"/>
      <c r="Q1453" s="683"/>
      <c r="R1453" s="683"/>
      <c r="S1453" s="683"/>
      <c r="T1453" s="683"/>
      <c r="U1453" s="683"/>
      <c r="V1453" s="683"/>
      <c r="W1453" s="683"/>
      <c r="X1453" s="683"/>
      <c r="Y1453" s="683"/>
      <c r="Z1453" s="683"/>
    </row>
    <row r="1454" spans="1:26" ht="15.75" customHeight="1" x14ac:dyDescent="0.25">
      <c r="A1454" s="683"/>
      <c r="B1454" s="683"/>
      <c r="C1454" s="683"/>
      <c r="D1454" s="683"/>
      <c r="E1454" s="683"/>
      <c r="F1454" s="683"/>
      <c r="G1454" s="683"/>
      <c r="H1454" s="711"/>
      <c r="I1454" s="683"/>
      <c r="J1454" s="683"/>
      <c r="K1454" s="683"/>
      <c r="L1454" s="683"/>
      <c r="M1454" s="683"/>
      <c r="N1454" s="685"/>
      <c r="O1454" s="683"/>
      <c r="P1454" s="683"/>
      <c r="Q1454" s="683"/>
      <c r="R1454" s="683"/>
      <c r="S1454" s="683"/>
      <c r="T1454" s="683"/>
      <c r="U1454" s="683"/>
      <c r="V1454" s="683"/>
      <c r="W1454" s="683"/>
      <c r="X1454" s="683"/>
      <c r="Y1454" s="683"/>
      <c r="Z1454" s="683"/>
    </row>
    <row r="1455" spans="1:26" ht="15.75" customHeight="1" x14ac:dyDescent="0.25">
      <c r="A1455" s="683"/>
      <c r="B1455" s="683"/>
      <c r="C1455" s="683"/>
      <c r="D1455" s="683"/>
      <c r="E1455" s="683"/>
      <c r="F1455" s="683"/>
      <c r="G1455" s="683"/>
      <c r="H1455" s="711"/>
      <c r="I1455" s="683"/>
      <c r="J1455" s="683"/>
      <c r="K1455" s="683"/>
      <c r="L1455" s="683"/>
      <c r="M1455" s="683"/>
      <c r="N1455" s="685"/>
      <c r="O1455" s="683"/>
      <c r="P1455" s="683"/>
      <c r="Q1455" s="683"/>
      <c r="R1455" s="683"/>
      <c r="S1455" s="683"/>
      <c r="T1455" s="683"/>
      <c r="U1455" s="683"/>
      <c r="V1455" s="683"/>
      <c r="W1455" s="683"/>
      <c r="X1455" s="683"/>
      <c r="Y1455" s="683"/>
      <c r="Z1455" s="683"/>
    </row>
    <row r="1456" spans="1:26" ht="15.75" customHeight="1" x14ac:dyDescent="0.25">
      <c r="A1456" s="683"/>
      <c r="B1456" s="683"/>
      <c r="C1456" s="683"/>
      <c r="D1456" s="683"/>
      <c r="E1456" s="683"/>
      <c r="F1456" s="683"/>
      <c r="G1456" s="683"/>
      <c r="H1456" s="711"/>
      <c r="I1456" s="683"/>
      <c r="J1456" s="683"/>
      <c r="K1456" s="683"/>
      <c r="L1456" s="683"/>
      <c r="M1456" s="683"/>
      <c r="N1456" s="685"/>
      <c r="O1456" s="683"/>
      <c r="P1456" s="683"/>
      <c r="Q1456" s="683"/>
      <c r="R1456" s="683"/>
      <c r="S1456" s="683"/>
      <c r="T1456" s="683"/>
      <c r="U1456" s="683"/>
      <c r="V1456" s="683"/>
      <c r="W1456" s="683"/>
      <c r="X1456" s="683"/>
      <c r="Y1456" s="683"/>
      <c r="Z1456" s="683"/>
    </row>
    <row r="1457" spans="1:26" ht="15.75" customHeight="1" x14ac:dyDescent="0.25">
      <c r="A1457" s="683"/>
      <c r="B1457" s="683"/>
      <c r="C1457" s="683"/>
      <c r="D1457" s="683"/>
      <c r="E1457" s="683"/>
      <c r="F1457" s="683"/>
      <c r="G1457" s="683"/>
      <c r="H1457" s="711"/>
      <c r="I1457" s="683"/>
      <c r="J1457" s="683"/>
      <c r="K1457" s="683"/>
      <c r="L1457" s="683"/>
      <c r="M1457" s="683"/>
      <c r="N1457" s="685"/>
      <c r="O1457" s="683"/>
      <c r="P1457" s="683"/>
      <c r="Q1457" s="683"/>
      <c r="R1457" s="683"/>
      <c r="S1457" s="683"/>
      <c r="T1457" s="683"/>
      <c r="U1457" s="683"/>
      <c r="V1457" s="683"/>
      <c r="W1457" s="683"/>
      <c r="X1457" s="683"/>
      <c r="Y1457" s="683"/>
      <c r="Z1457" s="683"/>
    </row>
    <row r="1458" spans="1:26" ht="15.75" customHeight="1" x14ac:dyDescent="0.25">
      <c r="A1458" s="683"/>
      <c r="B1458" s="683"/>
      <c r="C1458" s="683"/>
      <c r="D1458" s="683"/>
      <c r="E1458" s="683"/>
      <c r="F1458" s="683"/>
      <c r="G1458" s="683"/>
      <c r="H1458" s="711"/>
      <c r="I1458" s="683"/>
      <c r="J1458" s="683"/>
      <c r="K1458" s="683"/>
      <c r="L1458" s="683"/>
      <c r="M1458" s="683"/>
      <c r="N1458" s="685"/>
      <c r="O1458" s="683"/>
      <c r="P1458" s="683"/>
      <c r="Q1458" s="683"/>
      <c r="R1458" s="683"/>
      <c r="S1458" s="683"/>
      <c r="T1458" s="683"/>
      <c r="U1458" s="683"/>
      <c r="V1458" s="683"/>
      <c r="W1458" s="683"/>
      <c r="X1458" s="683"/>
      <c r="Y1458" s="683"/>
      <c r="Z1458" s="683"/>
    </row>
    <row r="1459" spans="1:26" ht="15.75" customHeight="1" x14ac:dyDescent="0.25">
      <c r="A1459" s="683"/>
      <c r="B1459" s="683"/>
      <c r="C1459" s="683"/>
      <c r="D1459" s="683"/>
      <c r="E1459" s="683"/>
      <c r="F1459" s="683"/>
      <c r="G1459" s="683"/>
      <c r="H1459" s="711"/>
      <c r="I1459" s="683"/>
      <c r="J1459" s="683"/>
      <c r="K1459" s="683"/>
      <c r="L1459" s="683"/>
      <c r="M1459" s="683"/>
      <c r="N1459" s="685"/>
      <c r="O1459" s="683"/>
      <c r="P1459" s="683"/>
      <c r="Q1459" s="683"/>
      <c r="R1459" s="683"/>
      <c r="S1459" s="683"/>
      <c r="T1459" s="683"/>
      <c r="U1459" s="683"/>
      <c r="V1459" s="683"/>
      <c r="W1459" s="683"/>
      <c r="X1459" s="683"/>
      <c r="Y1459" s="683"/>
      <c r="Z1459" s="683"/>
    </row>
    <row r="1460" spans="1:26" ht="15.75" customHeight="1" x14ac:dyDescent="0.25">
      <c r="A1460" s="683"/>
      <c r="B1460" s="683"/>
      <c r="C1460" s="683"/>
      <c r="D1460" s="683"/>
      <c r="E1460" s="683"/>
      <c r="F1460" s="683"/>
      <c r="G1460" s="683"/>
      <c r="H1460" s="711"/>
      <c r="I1460" s="683"/>
      <c r="J1460" s="683"/>
      <c r="K1460" s="683"/>
      <c r="L1460" s="683"/>
      <c r="M1460" s="683"/>
      <c r="N1460" s="685"/>
      <c r="O1460" s="683"/>
      <c r="P1460" s="683"/>
      <c r="Q1460" s="683"/>
      <c r="R1460" s="683"/>
      <c r="S1460" s="683"/>
      <c r="T1460" s="683"/>
      <c r="U1460" s="683"/>
      <c r="V1460" s="683"/>
      <c r="W1460" s="683"/>
      <c r="X1460" s="683"/>
      <c r="Y1460" s="683"/>
      <c r="Z1460" s="683"/>
    </row>
    <row r="1461" spans="1:26" ht="15.75" customHeight="1" x14ac:dyDescent="0.25">
      <c r="A1461" s="683"/>
      <c r="B1461" s="683"/>
      <c r="C1461" s="683"/>
      <c r="D1461" s="683"/>
      <c r="E1461" s="683"/>
      <c r="F1461" s="683"/>
      <c r="G1461" s="683"/>
      <c r="H1461" s="711"/>
      <c r="I1461" s="683"/>
      <c r="J1461" s="683"/>
      <c r="K1461" s="683"/>
      <c r="L1461" s="683"/>
      <c r="M1461" s="683"/>
      <c r="N1461" s="685"/>
      <c r="O1461" s="683"/>
      <c r="P1461" s="683"/>
      <c r="Q1461" s="683"/>
      <c r="R1461" s="683"/>
      <c r="S1461" s="683"/>
      <c r="T1461" s="683"/>
      <c r="U1461" s="683"/>
      <c r="V1461" s="683"/>
      <c r="W1461" s="683"/>
      <c r="X1461" s="683"/>
      <c r="Y1461" s="683"/>
      <c r="Z1461" s="683"/>
    </row>
    <row r="1462" spans="1:26" ht="15.75" customHeight="1" x14ac:dyDescent="0.25">
      <c r="A1462" s="683"/>
      <c r="B1462" s="683"/>
      <c r="C1462" s="683"/>
      <c r="D1462" s="683"/>
      <c r="E1462" s="683"/>
      <c r="F1462" s="683"/>
      <c r="G1462" s="683"/>
      <c r="H1462" s="711"/>
      <c r="I1462" s="683"/>
      <c r="J1462" s="683"/>
      <c r="K1462" s="683"/>
      <c r="L1462" s="683"/>
      <c r="M1462" s="683"/>
      <c r="N1462" s="685"/>
      <c r="O1462" s="683"/>
      <c r="P1462" s="683"/>
      <c r="Q1462" s="683"/>
      <c r="R1462" s="683"/>
      <c r="S1462" s="683"/>
      <c r="T1462" s="683"/>
      <c r="U1462" s="683"/>
      <c r="V1462" s="683"/>
      <c r="W1462" s="683"/>
      <c r="X1462" s="683"/>
      <c r="Y1462" s="683"/>
      <c r="Z1462" s="683"/>
    </row>
    <row r="1463" spans="1:26" ht="15.75" customHeight="1" x14ac:dyDescent="0.25">
      <c r="A1463" s="683"/>
      <c r="B1463" s="683"/>
      <c r="C1463" s="683"/>
      <c r="D1463" s="683"/>
      <c r="E1463" s="683"/>
      <c r="F1463" s="683"/>
      <c r="G1463" s="683"/>
      <c r="H1463" s="711"/>
      <c r="I1463" s="683"/>
      <c r="J1463" s="683"/>
      <c r="K1463" s="683"/>
      <c r="L1463" s="683"/>
      <c r="M1463" s="683"/>
      <c r="N1463" s="685"/>
      <c r="O1463" s="683"/>
      <c r="P1463" s="683"/>
      <c r="Q1463" s="683"/>
      <c r="R1463" s="683"/>
      <c r="S1463" s="683"/>
      <c r="T1463" s="683"/>
      <c r="U1463" s="683"/>
      <c r="V1463" s="683"/>
      <c r="W1463" s="683"/>
      <c r="X1463" s="683"/>
      <c r="Y1463" s="683"/>
      <c r="Z1463" s="683"/>
    </row>
    <row r="1464" spans="1:26" ht="15.75" customHeight="1" x14ac:dyDescent="0.25">
      <c r="A1464" s="683"/>
      <c r="B1464" s="683"/>
      <c r="C1464" s="683"/>
      <c r="D1464" s="683"/>
      <c r="E1464" s="683"/>
      <c r="F1464" s="683"/>
      <c r="G1464" s="683"/>
      <c r="H1464" s="711"/>
      <c r="I1464" s="683"/>
      <c r="J1464" s="683"/>
      <c r="K1464" s="683"/>
      <c r="L1464" s="683"/>
      <c r="M1464" s="683"/>
      <c r="N1464" s="685"/>
      <c r="O1464" s="683"/>
      <c r="P1464" s="683"/>
      <c r="Q1464" s="683"/>
      <c r="R1464" s="683"/>
      <c r="S1464" s="683"/>
      <c r="T1464" s="683"/>
      <c r="U1464" s="683"/>
      <c r="V1464" s="683"/>
      <c r="W1464" s="683"/>
      <c r="X1464" s="683"/>
      <c r="Y1464" s="683"/>
      <c r="Z1464" s="683"/>
    </row>
    <row r="1465" spans="1:26" ht="15.75" customHeight="1" x14ac:dyDescent="0.25">
      <c r="A1465" s="683"/>
      <c r="B1465" s="683"/>
      <c r="C1465" s="683"/>
      <c r="D1465" s="683"/>
      <c r="E1465" s="683"/>
      <c r="F1465" s="683"/>
      <c r="G1465" s="683"/>
      <c r="H1465" s="711"/>
      <c r="I1465" s="683"/>
      <c r="J1465" s="683"/>
      <c r="K1465" s="683"/>
      <c r="L1465" s="683"/>
      <c r="M1465" s="683"/>
      <c r="N1465" s="685"/>
      <c r="O1465" s="683"/>
      <c r="P1465" s="683"/>
      <c r="Q1465" s="683"/>
      <c r="R1465" s="683"/>
      <c r="S1465" s="683"/>
      <c r="T1465" s="683"/>
      <c r="U1465" s="683"/>
      <c r="V1465" s="683"/>
      <c r="W1465" s="683"/>
      <c r="X1465" s="683"/>
      <c r="Y1465" s="683"/>
      <c r="Z1465" s="683"/>
    </row>
    <row r="1466" spans="1:26" ht="15.75" customHeight="1" x14ac:dyDescent="0.25">
      <c r="A1466" s="683"/>
      <c r="B1466" s="683"/>
      <c r="C1466" s="683"/>
      <c r="D1466" s="683"/>
      <c r="E1466" s="683"/>
      <c r="F1466" s="683"/>
      <c r="G1466" s="683"/>
      <c r="H1466" s="711"/>
      <c r="I1466" s="683"/>
      <c r="J1466" s="683"/>
      <c r="K1466" s="683"/>
      <c r="L1466" s="683"/>
      <c r="M1466" s="683"/>
      <c r="N1466" s="685"/>
      <c r="O1466" s="683"/>
      <c r="P1466" s="683"/>
      <c r="Q1466" s="683"/>
      <c r="R1466" s="683"/>
      <c r="S1466" s="683"/>
      <c r="T1466" s="683"/>
      <c r="U1466" s="683"/>
      <c r="V1466" s="683"/>
      <c r="W1466" s="683"/>
      <c r="X1466" s="683"/>
      <c r="Y1466" s="683"/>
      <c r="Z1466" s="683"/>
    </row>
    <row r="1467" spans="1:26" ht="15.75" customHeight="1" x14ac:dyDescent="0.25">
      <c r="A1467" s="683"/>
      <c r="B1467" s="683"/>
      <c r="C1467" s="683"/>
      <c r="D1467" s="683"/>
      <c r="E1467" s="683"/>
      <c r="F1467" s="683"/>
      <c r="G1467" s="683"/>
      <c r="H1467" s="711"/>
      <c r="I1467" s="683"/>
      <c r="J1467" s="683"/>
      <c r="K1467" s="683"/>
      <c r="L1467" s="683"/>
      <c r="M1467" s="683"/>
      <c r="N1467" s="685"/>
      <c r="O1467" s="683"/>
      <c r="P1467" s="683"/>
      <c r="Q1467" s="683"/>
      <c r="R1467" s="683"/>
      <c r="S1467" s="683"/>
      <c r="T1467" s="683"/>
      <c r="U1467" s="683"/>
      <c r="V1467" s="683"/>
      <c r="W1467" s="683"/>
      <c r="X1467" s="683"/>
      <c r="Y1467" s="683"/>
      <c r="Z1467" s="683"/>
    </row>
    <row r="1468" spans="1:26" ht="15.75" customHeight="1" x14ac:dyDescent="0.25">
      <c r="A1468" s="683"/>
      <c r="B1468" s="683"/>
      <c r="C1468" s="683"/>
      <c r="D1468" s="683"/>
      <c r="E1468" s="683"/>
      <c r="F1468" s="683"/>
      <c r="G1468" s="683"/>
      <c r="H1468" s="711"/>
      <c r="I1468" s="683"/>
      <c r="J1468" s="683"/>
      <c r="K1468" s="683"/>
      <c r="L1468" s="683"/>
      <c r="M1468" s="683"/>
      <c r="N1468" s="685"/>
      <c r="O1468" s="683"/>
      <c r="P1468" s="683"/>
      <c r="Q1468" s="683"/>
      <c r="R1468" s="683"/>
      <c r="S1468" s="683"/>
      <c r="T1468" s="683"/>
      <c r="U1468" s="683"/>
      <c r="V1468" s="683"/>
      <c r="W1468" s="683"/>
      <c r="X1468" s="683"/>
      <c r="Y1468" s="683"/>
      <c r="Z1468" s="683"/>
    </row>
    <row r="1469" spans="1:26" ht="15.75" customHeight="1" x14ac:dyDescent="0.25">
      <c r="A1469" s="683"/>
      <c r="B1469" s="683"/>
      <c r="C1469" s="683"/>
      <c r="D1469" s="683"/>
      <c r="E1469" s="683"/>
      <c r="F1469" s="683"/>
      <c r="G1469" s="683"/>
      <c r="H1469" s="711"/>
      <c r="I1469" s="683"/>
      <c r="J1469" s="683"/>
      <c r="K1469" s="683"/>
      <c r="L1469" s="683"/>
      <c r="M1469" s="683"/>
      <c r="N1469" s="685"/>
      <c r="O1469" s="683"/>
      <c r="P1469" s="683"/>
      <c r="Q1469" s="683"/>
      <c r="R1469" s="683"/>
      <c r="S1469" s="683"/>
      <c r="T1469" s="683"/>
      <c r="U1469" s="683"/>
      <c r="V1469" s="683"/>
      <c r="W1469" s="683"/>
      <c r="X1469" s="683"/>
      <c r="Y1469" s="683"/>
      <c r="Z1469" s="683"/>
    </row>
    <row r="1470" spans="1:26" ht="15.75" customHeight="1" x14ac:dyDescent="0.25">
      <c r="A1470" s="683"/>
      <c r="B1470" s="683"/>
      <c r="C1470" s="683"/>
      <c r="D1470" s="683"/>
      <c r="E1470" s="683"/>
      <c r="F1470" s="683"/>
      <c r="G1470" s="683"/>
      <c r="H1470" s="711"/>
      <c r="I1470" s="683"/>
      <c r="J1470" s="683"/>
      <c r="K1470" s="683"/>
      <c r="L1470" s="683"/>
      <c r="M1470" s="683"/>
      <c r="N1470" s="685"/>
      <c r="O1470" s="683"/>
      <c r="P1470" s="683"/>
      <c r="Q1470" s="683"/>
      <c r="R1470" s="683"/>
      <c r="S1470" s="683"/>
      <c r="T1470" s="683"/>
      <c r="U1470" s="683"/>
      <c r="V1470" s="683"/>
      <c r="W1470" s="683"/>
      <c r="X1470" s="683"/>
      <c r="Y1470" s="683"/>
      <c r="Z1470" s="683"/>
    </row>
    <row r="1471" spans="1:26" ht="15.75" customHeight="1" x14ac:dyDescent="0.25">
      <c r="A1471" s="683"/>
      <c r="B1471" s="683"/>
      <c r="C1471" s="683"/>
      <c r="D1471" s="683"/>
      <c r="E1471" s="683"/>
      <c r="F1471" s="683"/>
      <c r="G1471" s="683"/>
      <c r="H1471" s="711"/>
      <c r="I1471" s="683"/>
      <c r="J1471" s="683"/>
      <c r="K1471" s="683"/>
      <c r="L1471" s="683"/>
      <c r="M1471" s="683"/>
      <c r="N1471" s="685"/>
      <c r="O1471" s="683"/>
      <c r="P1471" s="683"/>
      <c r="Q1471" s="683"/>
      <c r="R1471" s="683"/>
      <c r="S1471" s="683"/>
      <c r="T1471" s="683"/>
      <c r="U1471" s="683"/>
      <c r="V1471" s="683"/>
      <c r="W1471" s="683"/>
      <c r="X1471" s="683"/>
      <c r="Y1471" s="683"/>
      <c r="Z1471" s="683"/>
    </row>
    <row r="1472" spans="1:26" ht="15.75" customHeight="1" x14ac:dyDescent="0.25">
      <c r="A1472" s="683"/>
      <c r="B1472" s="683"/>
      <c r="C1472" s="683"/>
      <c r="D1472" s="683"/>
      <c r="E1472" s="683"/>
      <c r="F1472" s="683"/>
      <c r="G1472" s="683"/>
      <c r="H1472" s="711"/>
      <c r="I1472" s="683"/>
      <c r="J1472" s="683"/>
      <c r="K1472" s="683"/>
      <c r="L1472" s="683"/>
      <c r="M1472" s="683"/>
      <c r="N1472" s="685"/>
      <c r="O1472" s="683"/>
      <c r="P1472" s="683"/>
      <c r="Q1472" s="683"/>
      <c r="R1472" s="683"/>
      <c r="S1472" s="683"/>
      <c r="T1472" s="683"/>
      <c r="U1472" s="683"/>
      <c r="V1472" s="683"/>
      <c r="W1472" s="683"/>
      <c r="X1472" s="683"/>
      <c r="Y1472" s="683"/>
      <c r="Z1472" s="683"/>
    </row>
    <row r="1473" spans="1:26" ht="15.75" customHeight="1" x14ac:dyDescent="0.25">
      <c r="A1473" s="683"/>
      <c r="B1473" s="683"/>
      <c r="C1473" s="683"/>
      <c r="D1473" s="683"/>
      <c r="E1473" s="683"/>
      <c r="F1473" s="683"/>
      <c r="G1473" s="683"/>
      <c r="H1473" s="711"/>
      <c r="I1473" s="683"/>
      <c r="J1473" s="683"/>
      <c r="K1473" s="683"/>
      <c r="L1473" s="683"/>
      <c r="M1473" s="683"/>
      <c r="N1473" s="685"/>
      <c r="O1473" s="683"/>
      <c r="P1473" s="683"/>
      <c r="Q1473" s="683"/>
      <c r="R1473" s="683"/>
      <c r="S1473" s="683"/>
      <c r="T1473" s="683"/>
      <c r="U1473" s="683"/>
      <c r="V1473" s="683"/>
      <c r="W1473" s="683"/>
      <c r="X1473" s="683"/>
      <c r="Y1473" s="683"/>
      <c r="Z1473" s="683"/>
    </row>
    <row r="1474" spans="1:26" ht="15.75" customHeight="1" x14ac:dyDescent="0.25">
      <c r="A1474" s="683"/>
      <c r="B1474" s="683"/>
      <c r="C1474" s="683"/>
      <c r="D1474" s="683"/>
      <c r="E1474" s="683"/>
      <c r="F1474" s="683"/>
      <c r="G1474" s="683"/>
      <c r="H1474" s="711"/>
      <c r="I1474" s="683"/>
      <c r="J1474" s="683"/>
      <c r="K1474" s="683"/>
      <c r="L1474" s="683"/>
      <c r="M1474" s="683"/>
      <c r="N1474" s="685"/>
      <c r="O1474" s="683"/>
      <c r="P1474" s="683"/>
      <c r="Q1474" s="683"/>
      <c r="R1474" s="683"/>
      <c r="S1474" s="683"/>
      <c r="T1474" s="683"/>
      <c r="U1474" s="683"/>
      <c r="V1474" s="683"/>
      <c r="W1474" s="683"/>
      <c r="X1474" s="683"/>
      <c r="Y1474" s="683"/>
      <c r="Z1474" s="683"/>
    </row>
    <row r="1475" spans="1:26" ht="15.75" customHeight="1" x14ac:dyDescent="0.25">
      <c r="A1475" s="683"/>
      <c r="B1475" s="683"/>
      <c r="C1475" s="683"/>
      <c r="D1475" s="683"/>
      <c r="E1475" s="683"/>
      <c r="F1475" s="683"/>
      <c r="G1475" s="683"/>
      <c r="H1475" s="711"/>
      <c r="I1475" s="683"/>
      <c r="J1475" s="683"/>
      <c r="K1475" s="683"/>
      <c r="L1475" s="683"/>
      <c r="M1475" s="683"/>
      <c r="N1475" s="685"/>
      <c r="O1475" s="683"/>
      <c r="P1475" s="683"/>
      <c r="Q1475" s="683"/>
      <c r="R1475" s="683"/>
      <c r="S1475" s="683"/>
      <c r="T1475" s="683"/>
      <c r="U1475" s="683"/>
      <c r="V1475" s="683"/>
      <c r="W1475" s="683"/>
      <c r="X1475" s="683"/>
      <c r="Y1475" s="683"/>
      <c r="Z1475" s="683"/>
    </row>
    <row r="1476" spans="1:26" ht="15.75" customHeight="1" x14ac:dyDescent="0.25">
      <c r="A1476" s="683"/>
      <c r="B1476" s="683"/>
      <c r="C1476" s="683"/>
      <c r="D1476" s="683"/>
      <c r="E1476" s="683"/>
      <c r="F1476" s="683"/>
      <c r="G1476" s="683"/>
      <c r="H1476" s="711"/>
      <c r="I1476" s="683"/>
      <c r="J1476" s="683"/>
      <c r="K1476" s="683"/>
      <c r="L1476" s="683"/>
      <c r="M1476" s="683"/>
      <c r="N1476" s="685"/>
      <c r="O1476" s="683"/>
      <c r="P1476" s="683"/>
      <c r="Q1476" s="683"/>
      <c r="R1476" s="683"/>
      <c r="S1476" s="683"/>
      <c r="T1476" s="683"/>
      <c r="U1476" s="683"/>
      <c r="V1476" s="683"/>
      <c r="W1476" s="683"/>
      <c r="X1476" s="683"/>
      <c r="Y1476" s="683"/>
      <c r="Z1476" s="683"/>
    </row>
    <row r="1477" spans="1:26" ht="15.75" customHeight="1" x14ac:dyDescent="0.25">
      <c r="A1477" s="683"/>
      <c r="B1477" s="683"/>
      <c r="C1477" s="683"/>
      <c r="D1477" s="683"/>
      <c r="E1477" s="683"/>
      <c r="F1477" s="683"/>
      <c r="G1477" s="683"/>
      <c r="H1477" s="711"/>
      <c r="I1477" s="683"/>
      <c r="J1477" s="683"/>
      <c r="K1477" s="683"/>
      <c r="L1477" s="683"/>
      <c r="M1477" s="683"/>
      <c r="N1477" s="685"/>
      <c r="O1477" s="683"/>
      <c r="P1477" s="683"/>
      <c r="Q1477" s="683"/>
      <c r="R1477" s="683"/>
      <c r="S1477" s="683"/>
      <c r="T1477" s="683"/>
      <c r="U1477" s="683"/>
      <c r="V1477" s="683"/>
      <c r="W1477" s="683"/>
      <c r="X1477" s="683"/>
      <c r="Y1477" s="683"/>
      <c r="Z1477" s="683"/>
    </row>
    <row r="1478" spans="1:26" ht="15.75" customHeight="1" x14ac:dyDescent="0.25">
      <c r="A1478" s="683"/>
      <c r="B1478" s="683"/>
      <c r="C1478" s="683"/>
      <c r="D1478" s="683"/>
      <c r="E1478" s="683"/>
      <c r="F1478" s="683"/>
      <c r="G1478" s="683"/>
      <c r="H1478" s="711"/>
      <c r="I1478" s="683"/>
      <c r="J1478" s="683"/>
      <c r="K1478" s="683"/>
      <c r="L1478" s="683"/>
      <c r="M1478" s="683"/>
      <c r="N1478" s="685"/>
      <c r="O1478" s="683"/>
      <c r="P1478" s="683"/>
      <c r="Q1478" s="683"/>
      <c r="R1478" s="683"/>
      <c r="S1478" s="683"/>
      <c r="T1478" s="683"/>
      <c r="U1478" s="683"/>
      <c r="V1478" s="683"/>
      <c r="W1478" s="683"/>
      <c r="X1478" s="683"/>
      <c r="Y1478" s="683"/>
      <c r="Z1478" s="683"/>
    </row>
    <row r="1479" spans="1:26" ht="15.75" customHeight="1" x14ac:dyDescent="0.25">
      <c r="A1479" s="683"/>
      <c r="B1479" s="683"/>
      <c r="C1479" s="683"/>
      <c r="D1479" s="683"/>
      <c r="E1479" s="683"/>
      <c r="F1479" s="683"/>
      <c r="G1479" s="683"/>
      <c r="H1479" s="711"/>
      <c r="I1479" s="683"/>
      <c r="J1479" s="683"/>
      <c r="K1479" s="683"/>
      <c r="L1479" s="683"/>
      <c r="M1479" s="683"/>
      <c r="N1479" s="685"/>
      <c r="O1479" s="683"/>
      <c r="P1479" s="683"/>
      <c r="Q1479" s="683"/>
      <c r="R1479" s="683"/>
      <c r="S1479" s="683"/>
      <c r="T1479" s="683"/>
      <c r="U1479" s="683"/>
      <c r="V1479" s="683"/>
      <c r="W1479" s="683"/>
      <c r="X1479" s="683"/>
      <c r="Y1479" s="683"/>
      <c r="Z1479" s="683"/>
    </row>
    <row r="1480" spans="1:26" ht="15.75" customHeight="1" x14ac:dyDescent="0.25">
      <c r="A1480" s="683"/>
      <c r="B1480" s="683"/>
      <c r="C1480" s="683"/>
      <c r="D1480" s="683"/>
      <c r="E1480" s="683"/>
      <c r="F1480" s="683"/>
      <c r="G1480" s="683"/>
      <c r="H1480" s="711"/>
      <c r="I1480" s="683"/>
      <c r="J1480" s="683"/>
      <c r="K1480" s="683"/>
      <c r="L1480" s="683"/>
      <c r="M1480" s="683"/>
      <c r="N1480" s="685"/>
      <c r="O1480" s="683"/>
      <c r="P1480" s="683"/>
      <c r="Q1480" s="683"/>
      <c r="R1480" s="683"/>
      <c r="S1480" s="683"/>
      <c r="T1480" s="683"/>
      <c r="U1480" s="683"/>
      <c r="V1480" s="683"/>
      <c r="W1480" s="683"/>
      <c r="X1480" s="683"/>
      <c r="Y1480" s="683"/>
      <c r="Z1480" s="683"/>
    </row>
    <row r="1481" spans="1:26" ht="15.75" customHeight="1" x14ac:dyDescent="0.25">
      <c r="A1481" s="683"/>
      <c r="B1481" s="683"/>
      <c r="C1481" s="683"/>
      <c r="D1481" s="683"/>
      <c r="E1481" s="683"/>
      <c r="F1481" s="683"/>
      <c r="G1481" s="683"/>
      <c r="H1481" s="711"/>
      <c r="I1481" s="683"/>
      <c r="J1481" s="683"/>
      <c r="K1481" s="683"/>
      <c r="L1481" s="683"/>
      <c r="M1481" s="683"/>
      <c r="N1481" s="685"/>
      <c r="O1481" s="683"/>
      <c r="P1481" s="683"/>
      <c r="Q1481" s="683"/>
      <c r="R1481" s="683"/>
      <c r="S1481" s="683"/>
      <c r="T1481" s="683"/>
      <c r="U1481" s="683"/>
      <c r="V1481" s="683"/>
      <c r="W1481" s="683"/>
      <c r="X1481" s="683"/>
      <c r="Y1481" s="683"/>
      <c r="Z1481" s="683"/>
    </row>
    <row r="1482" spans="1:26" ht="15.75" customHeight="1" x14ac:dyDescent="0.25">
      <c r="A1482" s="683"/>
      <c r="B1482" s="683"/>
      <c r="C1482" s="683"/>
      <c r="D1482" s="683"/>
      <c r="E1482" s="683"/>
      <c r="F1482" s="683"/>
      <c r="G1482" s="683"/>
      <c r="H1482" s="711"/>
      <c r="I1482" s="683"/>
      <c r="J1482" s="683"/>
      <c r="K1482" s="683"/>
      <c r="L1482" s="683"/>
      <c r="M1482" s="683"/>
      <c r="N1482" s="685"/>
      <c r="O1482" s="683"/>
      <c r="P1482" s="683"/>
      <c r="Q1482" s="683"/>
      <c r="R1482" s="683"/>
      <c r="S1482" s="683"/>
      <c r="T1482" s="683"/>
      <c r="U1482" s="683"/>
      <c r="V1482" s="683"/>
      <c r="W1482" s="683"/>
      <c r="X1482" s="683"/>
      <c r="Y1482" s="683"/>
      <c r="Z1482" s="683"/>
    </row>
    <row r="1483" spans="1:26" ht="15.75" customHeight="1" x14ac:dyDescent="0.25">
      <c r="A1483" s="683"/>
      <c r="B1483" s="683"/>
      <c r="C1483" s="683"/>
      <c r="D1483" s="683"/>
      <c r="E1483" s="683"/>
      <c r="F1483" s="683"/>
      <c r="G1483" s="683"/>
      <c r="H1483" s="711"/>
      <c r="I1483" s="683"/>
      <c r="J1483" s="683"/>
      <c r="K1483" s="683"/>
      <c r="L1483" s="683"/>
      <c r="M1483" s="683"/>
      <c r="N1483" s="685"/>
      <c r="O1483" s="683"/>
      <c r="P1483" s="683"/>
      <c r="Q1483" s="683"/>
      <c r="R1483" s="683"/>
      <c r="S1483" s="683"/>
      <c r="T1483" s="683"/>
      <c r="U1483" s="683"/>
      <c r="V1483" s="683"/>
      <c r="W1483" s="683"/>
      <c r="X1483" s="683"/>
      <c r="Y1483" s="683"/>
      <c r="Z1483" s="683"/>
    </row>
    <row r="1484" spans="1:26" ht="15.75" customHeight="1" x14ac:dyDescent="0.25">
      <c r="A1484" s="683"/>
      <c r="B1484" s="683"/>
      <c r="C1484" s="683"/>
      <c r="D1484" s="683"/>
      <c r="E1484" s="683"/>
      <c r="F1484" s="683"/>
      <c r="G1484" s="683"/>
      <c r="H1484" s="711"/>
      <c r="I1484" s="683"/>
      <c r="J1484" s="683"/>
      <c r="K1484" s="683"/>
      <c r="L1484" s="683"/>
      <c r="M1484" s="683"/>
      <c r="N1484" s="685"/>
      <c r="O1484" s="683"/>
      <c r="P1484" s="683"/>
      <c r="Q1484" s="683"/>
      <c r="R1484" s="683"/>
      <c r="S1484" s="683"/>
      <c r="T1484" s="683"/>
      <c r="U1484" s="683"/>
      <c r="V1484" s="683"/>
      <c r="W1484" s="683"/>
      <c r="X1484" s="683"/>
      <c r="Y1484" s="683"/>
      <c r="Z1484" s="683"/>
    </row>
    <row r="1485" spans="1:26" ht="15.75" customHeight="1" x14ac:dyDescent="0.25">
      <c r="A1485" s="683"/>
      <c r="B1485" s="683"/>
      <c r="C1485" s="683"/>
      <c r="D1485" s="683"/>
      <c r="E1485" s="683"/>
      <c r="F1485" s="683"/>
      <c r="G1485" s="683"/>
      <c r="H1485" s="711"/>
      <c r="I1485" s="683"/>
      <c r="J1485" s="683"/>
      <c r="K1485" s="683"/>
      <c r="L1485" s="683"/>
      <c r="M1485" s="683"/>
      <c r="N1485" s="685"/>
      <c r="O1485" s="683"/>
      <c r="P1485" s="683"/>
      <c r="Q1485" s="683"/>
      <c r="R1485" s="683"/>
      <c r="S1485" s="683"/>
      <c r="T1485" s="683"/>
      <c r="U1485" s="683"/>
      <c r="V1485" s="683"/>
      <c r="W1485" s="683"/>
      <c r="X1485" s="683"/>
      <c r="Y1485" s="683"/>
      <c r="Z1485" s="683"/>
    </row>
    <row r="1486" spans="1:26" ht="15.75" customHeight="1" x14ac:dyDescent="0.25">
      <c r="A1486" s="683"/>
      <c r="B1486" s="683"/>
      <c r="C1486" s="683"/>
      <c r="D1486" s="683"/>
      <c r="E1486" s="683"/>
      <c r="F1486" s="683"/>
      <c r="G1486" s="683"/>
      <c r="H1486" s="711"/>
      <c r="I1486" s="683"/>
      <c r="J1486" s="683"/>
      <c r="K1486" s="683"/>
      <c r="L1486" s="683"/>
      <c r="M1486" s="683"/>
      <c r="N1486" s="685"/>
      <c r="O1486" s="683"/>
      <c r="P1486" s="683"/>
      <c r="Q1486" s="683"/>
      <c r="R1486" s="683"/>
      <c r="S1486" s="683"/>
      <c r="T1486" s="683"/>
      <c r="U1486" s="683"/>
      <c r="V1486" s="683"/>
      <c r="W1486" s="683"/>
      <c r="X1486" s="683"/>
      <c r="Y1486" s="683"/>
      <c r="Z1486" s="683"/>
    </row>
    <row r="1487" spans="1:26" ht="15.75" customHeight="1" x14ac:dyDescent="0.25">
      <c r="A1487" s="683"/>
      <c r="B1487" s="683"/>
      <c r="C1487" s="683"/>
      <c r="D1487" s="683"/>
      <c r="E1487" s="683"/>
      <c r="F1487" s="683"/>
      <c r="G1487" s="683"/>
      <c r="H1487" s="711"/>
      <c r="I1487" s="683"/>
      <c r="J1487" s="683"/>
      <c r="K1487" s="683"/>
      <c r="L1487" s="683"/>
      <c r="M1487" s="683"/>
      <c r="N1487" s="685"/>
      <c r="O1487" s="683"/>
      <c r="P1487" s="683"/>
      <c r="Q1487" s="683"/>
      <c r="R1487" s="683"/>
      <c r="S1487" s="683"/>
      <c r="T1487" s="683"/>
      <c r="U1487" s="683"/>
      <c r="V1487" s="683"/>
      <c r="W1487" s="683"/>
      <c r="X1487" s="683"/>
      <c r="Y1487" s="683"/>
      <c r="Z1487" s="683"/>
    </row>
    <row r="1488" spans="1:26" ht="15.75" customHeight="1" x14ac:dyDescent="0.25">
      <c r="A1488" s="683"/>
      <c r="B1488" s="683"/>
      <c r="C1488" s="683"/>
      <c r="D1488" s="683"/>
      <c r="E1488" s="683"/>
      <c r="F1488" s="683"/>
      <c r="G1488" s="683"/>
      <c r="H1488" s="711"/>
      <c r="I1488" s="683"/>
      <c r="J1488" s="683"/>
      <c r="K1488" s="683"/>
      <c r="L1488" s="683"/>
      <c r="M1488" s="683"/>
      <c r="N1488" s="685"/>
      <c r="O1488" s="683"/>
      <c r="P1488" s="683"/>
      <c r="Q1488" s="683"/>
      <c r="R1488" s="683"/>
      <c r="S1488" s="683"/>
      <c r="T1488" s="683"/>
      <c r="U1488" s="683"/>
      <c r="V1488" s="683"/>
      <c r="W1488" s="683"/>
      <c r="X1488" s="683"/>
      <c r="Y1488" s="683"/>
      <c r="Z1488" s="683"/>
    </row>
    <row r="1489" spans="1:26" ht="15.75" customHeight="1" x14ac:dyDescent="0.25">
      <c r="A1489" s="683"/>
      <c r="B1489" s="683"/>
      <c r="C1489" s="683"/>
      <c r="D1489" s="683"/>
      <c r="E1489" s="683"/>
      <c r="F1489" s="683"/>
      <c r="G1489" s="683"/>
      <c r="H1489" s="711"/>
      <c r="I1489" s="683"/>
      <c r="J1489" s="683"/>
      <c r="K1489" s="683"/>
      <c r="L1489" s="683"/>
      <c r="M1489" s="683"/>
      <c r="N1489" s="685"/>
      <c r="O1489" s="683"/>
      <c r="P1489" s="683"/>
      <c r="Q1489" s="683"/>
      <c r="R1489" s="683"/>
      <c r="S1489" s="683"/>
      <c r="T1489" s="683"/>
      <c r="U1489" s="683"/>
      <c r="V1489" s="683"/>
      <c r="W1489" s="683"/>
      <c r="X1489" s="683"/>
      <c r="Y1489" s="683"/>
      <c r="Z1489" s="683"/>
    </row>
    <row r="1490" spans="1:26" ht="15.75" customHeight="1" x14ac:dyDescent="0.25">
      <c r="A1490" s="683"/>
      <c r="B1490" s="683"/>
      <c r="C1490" s="683"/>
      <c r="D1490" s="683"/>
      <c r="E1490" s="683"/>
      <c r="F1490" s="683"/>
      <c r="G1490" s="683"/>
      <c r="H1490" s="711"/>
      <c r="I1490" s="683"/>
      <c r="J1490" s="683"/>
      <c r="K1490" s="683"/>
      <c r="L1490" s="683"/>
      <c r="M1490" s="683"/>
      <c r="N1490" s="685"/>
      <c r="O1490" s="683"/>
      <c r="P1490" s="683"/>
      <c r="Q1490" s="683"/>
      <c r="R1490" s="683"/>
      <c r="S1490" s="683"/>
      <c r="T1490" s="683"/>
      <c r="U1490" s="683"/>
      <c r="V1490" s="683"/>
      <c r="W1490" s="683"/>
      <c r="X1490" s="683"/>
      <c r="Y1490" s="683"/>
      <c r="Z1490" s="683"/>
    </row>
    <row r="1491" spans="1:26" ht="15.75" customHeight="1" x14ac:dyDescent="0.25">
      <c r="A1491" s="683"/>
      <c r="B1491" s="683"/>
      <c r="C1491" s="683"/>
      <c r="D1491" s="683"/>
      <c r="E1491" s="683"/>
      <c r="F1491" s="683"/>
      <c r="G1491" s="683"/>
      <c r="H1491" s="711"/>
      <c r="I1491" s="683"/>
      <c r="J1491" s="683"/>
      <c r="K1491" s="683"/>
      <c r="L1491" s="683"/>
      <c r="M1491" s="683"/>
      <c r="N1491" s="685"/>
      <c r="O1491" s="683"/>
      <c r="P1491" s="683"/>
      <c r="Q1491" s="683"/>
      <c r="R1491" s="683"/>
      <c r="S1491" s="683"/>
      <c r="T1491" s="683"/>
      <c r="U1491" s="683"/>
      <c r="V1491" s="683"/>
      <c r="W1491" s="683"/>
      <c r="X1491" s="683"/>
      <c r="Y1491" s="683"/>
      <c r="Z1491" s="683"/>
    </row>
    <row r="1492" spans="1:26" ht="15.75" customHeight="1" x14ac:dyDescent="0.25">
      <c r="A1492" s="683"/>
      <c r="B1492" s="683"/>
      <c r="C1492" s="683"/>
      <c r="D1492" s="683"/>
      <c r="E1492" s="683"/>
      <c r="F1492" s="683"/>
      <c r="G1492" s="683"/>
      <c r="H1492" s="711"/>
      <c r="I1492" s="683"/>
      <c r="J1492" s="683"/>
      <c r="K1492" s="683"/>
      <c r="L1492" s="683"/>
      <c r="M1492" s="683"/>
      <c r="N1492" s="685"/>
      <c r="O1492" s="683"/>
      <c r="P1492" s="683"/>
      <c r="Q1492" s="683"/>
      <c r="R1492" s="683"/>
      <c r="S1492" s="683"/>
      <c r="T1492" s="683"/>
      <c r="U1492" s="683"/>
      <c r="V1492" s="683"/>
      <c r="W1492" s="683"/>
      <c r="X1492" s="683"/>
      <c r="Y1492" s="683"/>
      <c r="Z1492" s="683"/>
    </row>
    <row r="1493" spans="1:26" ht="15.75" customHeight="1" x14ac:dyDescent="0.25">
      <c r="A1493" s="683"/>
      <c r="B1493" s="683"/>
      <c r="C1493" s="683"/>
      <c r="D1493" s="683"/>
      <c r="E1493" s="683"/>
      <c r="F1493" s="683"/>
      <c r="G1493" s="683"/>
      <c r="H1493" s="711"/>
      <c r="I1493" s="683"/>
      <c r="J1493" s="683"/>
      <c r="K1493" s="683"/>
      <c r="L1493" s="683"/>
      <c r="M1493" s="683"/>
      <c r="N1493" s="685"/>
      <c r="O1493" s="683"/>
      <c r="P1493" s="683"/>
      <c r="Q1493" s="683"/>
      <c r="R1493" s="683"/>
      <c r="S1493" s="683"/>
      <c r="T1493" s="683"/>
      <c r="U1493" s="683"/>
      <c r="V1493" s="683"/>
      <c r="W1493" s="683"/>
      <c r="X1493" s="683"/>
      <c r="Y1493" s="683"/>
      <c r="Z1493" s="683"/>
    </row>
    <row r="1494" spans="1:26" ht="15.75" customHeight="1" x14ac:dyDescent="0.25">
      <c r="A1494" s="683"/>
      <c r="B1494" s="683"/>
      <c r="C1494" s="683"/>
      <c r="D1494" s="683"/>
      <c r="E1494" s="683"/>
      <c r="F1494" s="683"/>
      <c r="G1494" s="683"/>
      <c r="H1494" s="711"/>
      <c r="I1494" s="683"/>
      <c r="J1494" s="683"/>
      <c r="K1494" s="683"/>
      <c r="L1494" s="683"/>
      <c r="M1494" s="683"/>
      <c r="N1494" s="685"/>
      <c r="O1494" s="683"/>
      <c r="P1494" s="683"/>
      <c r="Q1494" s="683"/>
      <c r="R1494" s="683"/>
      <c r="S1494" s="683"/>
      <c r="T1494" s="683"/>
      <c r="U1494" s="683"/>
      <c r="V1494" s="683"/>
      <c r="W1494" s="683"/>
      <c r="X1494" s="683"/>
      <c r="Y1494" s="683"/>
      <c r="Z1494" s="683"/>
    </row>
    <row r="1495" spans="1:26" ht="15.75" customHeight="1" x14ac:dyDescent="0.25">
      <c r="A1495" s="683"/>
      <c r="B1495" s="683"/>
      <c r="C1495" s="683"/>
      <c r="D1495" s="683"/>
      <c r="E1495" s="683"/>
      <c r="F1495" s="683"/>
      <c r="G1495" s="683"/>
      <c r="H1495" s="711"/>
      <c r="I1495" s="683"/>
      <c r="J1495" s="683"/>
      <c r="K1495" s="683"/>
      <c r="L1495" s="683"/>
      <c r="M1495" s="683"/>
      <c r="N1495" s="685"/>
      <c r="O1495" s="683"/>
      <c r="P1495" s="683"/>
      <c r="Q1495" s="683"/>
      <c r="R1495" s="683"/>
      <c r="S1495" s="683"/>
      <c r="T1495" s="683"/>
      <c r="U1495" s="683"/>
      <c r="V1495" s="683"/>
      <c r="W1495" s="683"/>
      <c r="X1495" s="683"/>
      <c r="Y1495" s="683"/>
      <c r="Z1495" s="683"/>
    </row>
    <row r="1496" spans="1:26" ht="15.75" customHeight="1" x14ac:dyDescent="0.25">
      <c r="A1496" s="683"/>
      <c r="B1496" s="683"/>
      <c r="C1496" s="683"/>
      <c r="D1496" s="683"/>
      <c r="E1496" s="683"/>
      <c r="F1496" s="683"/>
      <c r="G1496" s="683"/>
      <c r="H1496" s="711"/>
      <c r="I1496" s="683"/>
      <c r="J1496" s="683"/>
      <c r="K1496" s="683"/>
      <c r="L1496" s="683"/>
      <c r="M1496" s="683"/>
      <c r="N1496" s="685"/>
      <c r="O1496" s="683"/>
      <c r="P1496" s="683"/>
      <c r="Q1496" s="683"/>
      <c r="R1496" s="683"/>
      <c r="S1496" s="683"/>
      <c r="T1496" s="683"/>
      <c r="U1496" s="683"/>
      <c r="V1496" s="683"/>
      <c r="W1496" s="683"/>
      <c r="X1496" s="683"/>
      <c r="Y1496" s="683"/>
      <c r="Z1496" s="683"/>
    </row>
    <row r="1497" spans="1:26" ht="15.75" customHeight="1" x14ac:dyDescent="0.25">
      <c r="A1497" s="683"/>
      <c r="B1497" s="683"/>
      <c r="C1497" s="683"/>
      <c r="D1497" s="683"/>
      <c r="E1497" s="683"/>
      <c r="F1497" s="683"/>
      <c r="G1497" s="683"/>
      <c r="H1497" s="711"/>
      <c r="I1497" s="683"/>
      <c r="J1497" s="683"/>
      <c r="K1497" s="683"/>
      <c r="L1497" s="683"/>
      <c r="M1497" s="683"/>
      <c r="N1497" s="685"/>
      <c r="O1497" s="683"/>
      <c r="P1497" s="683"/>
      <c r="Q1497" s="683"/>
      <c r="R1497" s="683"/>
      <c r="S1497" s="683"/>
      <c r="T1497" s="683"/>
      <c r="U1497" s="683"/>
      <c r="V1497" s="683"/>
      <c r="W1497" s="683"/>
      <c r="X1497" s="683"/>
      <c r="Y1497" s="683"/>
      <c r="Z1497" s="683"/>
    </row>
    <row r="1498" spans="1:26" ht="15.75" customHeight="1" x14ac:dyDescent="0.25">
      <c r="A1498" s="683"/>
      <c r="B1498" s="683"/>
      <c r="C1498" s="683"/>
      <c r="D1498" s="683"/>
      <c r="E1498" s="683"/>
      <c r="F1498" s="683"/>
      <c r="G1498" s="683"/>
      <c r="H1498" s="711"/>
      <c r="I1498" s="683"/>
      <c r="J1498" s="683"/>
      <c r="K1498" s="683"/>
      <c r="L1498" s="683"/>
      <c r="M1498" s="683"/>
      <c r="N1498" s="685"/>
      <c r="O1498" s="683"/>
      <c r="P1498" s="683"/>
      <c r="Q1498" s="683"/>
      <c r="R1498" s="683"/>
      <c r="S1498" s="683"/>
      <c r="T1498" s="683"/>
      <c r="U1498" s="683"/>
      <c r="V1498" s="683"/>
      <c r="W1498" s="683"/>
      <c r="X1498" s="683"/>
      <c r="Y1498" s="683"/>
      <c r="Z1498" s="683"/>
    </row>
    <row r="1499" spans="1:26" ht="15.75" customHeight="1" x14ac:dyDescent="0.25">
      <c r="A1499" s="683"/>
      <c r="B1499" s="683"/>
      <c r="C1499" s="683"/>
      <c r="D1499" s="683"/>
      <c r="E1499" s="683"/>
      <c r="F1499" s="683"/>
      <c r="G1499" s="683"/>
      <c r="H1499" s="711"/>
      <c r="I1499" s="683"/>
      <c r="J1499" s="683"/>
      <c r="K1499" s="683"/>
      <c r="L1499" s="683"/>
      <c r="M1499" s="683"/>
      <c r="N1499" s="685"/>
      <c r="O1499" s="683"/>
      <c r="P1499" s="683"/>
      <c r="Q1499" s="683"/>
      <c r="R1499" s="683"/>
      <c r="S1499" s="683"/>
      <c r="T1499" s="683"/>
      <c r="U1499" s="683"/>
      <c r="V1499" s="683"/>
      <c r="W1499" s="683"/>
      <c r="X1499" s="683"/>
      <c r="Y1499" s="683"/>
      <c r="Z1499" s="683"/>
    </row>
    <row r="1500" spans="1:26" ht="15.75" customHeight="1" x14ac:dyDescent="0.25">
      <c r="A1500" s="683"/>
      <c r="B1500" s="683"/>
      <c r="C1500" s="683"/>
      <c r="D1500" s="683"/>
      <c r="E1500" s="683"/>
      <c r="F1500" s="683"/>
      <c r="G1500" s="683"/>
      <c r="H1500" s="711"/>
      <c r="I1500" s="683"/>
      <c r="J1500" s="683"/>
      <c r="K1500" s="683"/>
      <c r="L1500" s="683"/>
      <c r="M1500" s="683"/>
      <c r="N1500" s="685"/>
      <c r="O1500" s="683"/>
      <c r="P1500" s="683"/>
      <c r="Q1500" s="683"/>
      <c r="R1500" s="683"/>
      <c r="S1500" s="683"/>
      <c r="T1500" s="683"/>
      <c r="U1500" s="683"/>
      <c r="V1500" s="683"/>
      <c r="W1500" s="683"/>
      <c r="X1500" s="683"/>
      <c r="Y1500" s="683"/>
      <c r="Z1500" s="683"/>
    </row>
    <row r="1501" spans="1:26" ht="15.75" customHeight="1" x14ac:dyDescent="0.25">
      <c r="A1501" s="683"/>
      <c r="B1501" s="683"/>
      <c r="C1501" s="683"/>
      <c r="D1501" s="683"/>
      <c r="E1501" s="683"/>
      <c r="F1501" s="683"/>
      <c r="G1501" s="683"/>
      <c r="H1501" s="711"/>
      <c r="I1501" s="683"/>
      <c r="J1501" s="683"/>
      <c r="K1501" s="683"/>
      <c r="L1501" s="683"/>
      <c r="M1501" s="683"/>
      <c r="N1501" s="685"/>
      <c r="O1501" s="683"/>
      <c r="P1501" s="683"/>
      <c r="Q1501" s="683"/>
      <c r="R1501" s="683"/>
      <c r="S1501" s="683"/>
      <c r="T1501" s="683"/>
      <c r="U1501" s="683"/>
      <c r="V1501" s="683"/>
      <c r="W1501" s="683"/>
      <c r="X1501" s="683"/>
      <c r="Y1501" s="683"/>
      <c r="Z1501" s="683"/>
    </row>
    <row r="1502" spans="1:26" ht="15.75" customHeight="1" x14ac:dyDescent="0.25">
      <c r="A1502" s="683"/>
      <c r="B1502" s="683"/>
      <c r="C1502" s="683"/>
      <c r="D1502" s="683"/>
      <c r="E1502" s="683"/>
      <c r="F1502" s="683"/>
      <c r="G1502" s="683"/>
      <c r="H1502" s="711"/>
      <c r="I1502" s="683"/>
      <c r="J1502" s="683"/>
      <c r="K1502" s="683"/>
      <c r="L1502" s="683"/>
      <c r="M1502" s="683"/>
      <c r="N1502" s="685"/>
      <c r="O1502" s="683"/>
      <c r="P1502" s="683"/>
      <c r="Q1502" s="683"/>
      <c r="R1502" s="683"/>
      <c r="S1502" s="683"/>
      <c r="T1502" s="683"/>
      <c r="U1502" s="683"/>
      <c r="V1502" s="683"/>
      <c r="W1502" s="683"/>
      <c r="X1502" s="683"/>
      <c r="Y1502" s="683"/>
      <c r="Z1502" s="683"/>
    </row>
    <row r="1503" spans="1:26" ht="15.75" customHeight="1" x14ac:dyDescent="0.25">
      <c r="A1503" s="683"/>
      <c r="B1503" s="683"/>
      <c r="C1503" s="683"/>
      <c r="D1503" s="683"/>
      <c r="E1503" s="683"/>
      <c r="F1503" s="683"/>
      <c r="G1503" s="683"/>
      <c r="H1503" s="711"/>
      <c r="I1503" s="683"/>
      <c r="J1503" s="683"/>
      <c r="K1503" s="683"/>
      <c r="L1503" s="683"/>
      <c r="M1503" s="683"/>
      <c r="N1503" s="685"/>
      <c r="O1503" s="683"/>
      <c r="P1503" s="683"/>
      <c r="Q1503" s="683"/>
      <c r="R1503" s="683"/>
      <c r="S1503" s="683"/>
      <c r="T1503" s="683"/>
      <c r="U1503" s="683"/>
      <c r="V1503" s="683"/>
      <c r="W1503" s="683"/>
      <c r="X1503" s="683"/>
      <c r="Y1503" s="683"/>
      <c r="Z1503" s="683"/>
    </row>
    <row r="1504" spans="1:26" ht="15.75" customHeight="1" x14ac:dyDescent="0.25">
      <c r="A1504" s="683"/>
      <c r="B1504" s="683"/>
      <c r="C1504" s="683"/>
      <c r="D1504" s="683"/>
      <c r="E1504" s="683"/>
      <c r="F1504" s="683"/>
      <c r="G1504" s="683"/>
      <c r="H1504" s="711"/>
      <c r="I1504" s="683"/>
      <c r="J1504" s="683"/>
      <c r="K1504" s="683"/>
      <c r="L1504" s="683"/>
      <c r="M1504" s="683"/>
      <c r="N1504" s="685"/>
      <c r="O1504" s="683"/>
      <c r="P1504" s="683"/>
      <c r="Q1504" s="683"/>
      <c r="R1504" s="683"/>
      <c r="S1504" s="683"/>
      <c r="T1504" s="683"/>
      <c r="U1504" s="683"/>
      <c r="V1504" s="683"/>
      <c r="W1504" s="683"/>
      <c r="X1504" s="683"/>
      <c r="Y1504" s="683"/>
      <c r="Z1504" s="683"/>
    </row>
    <row r="1505" spans="1:26" ht="15.75" customHeight="1" x14ac:dyDescent="0.25">
      <c r="A1505" s="683"/>
      <c r="B1505" s="683"/>
      <c r="C1505" s="683"/>
      <c r="D1505" s="683"/>
      <c r="E1505" s="683"/>
      <c r="F1505" s="683"/>
      <c r="G1505" s="683"/>
      <c r="H1505" s="711"/>
      <c r="I1505" s="683"/>
      <c r="J1505" s="683"/>
      <c r="K1505" s="683"/>
      <c r="L1505" s="683"/>
      <c r="M1505" s="683"/>
      <c r="N1505" s="685"/>
      <c r="O1505" s="683"/>
      <c r="P1505" s="683"/>
      <c r="Q1505" s="683"/>
      <c r="R1505" s="683"/>
      <c r="S1505" s="683"/>
      <c r="T1505" s="683"/>
      <c r="U1505" s="683"/>
      <c r="V1505" s="683"/>
      <c r="W1505" s="683"/>
      <c r="X1505" s="683"/>
      <c r="Y1505" s="683"/>
      <c r="Z1505" s="683"/>
    </row>
    <row r="1506" spans="1:26" ht="15.75" customHeight="1" x14ac:dyDescent="0.25">
      <c r="A1506" s="683"/>
      <c r="B1506" s="683"/>
      <c r="C1506" s="683"/>
      <c r="D1506" s="683"/>
      <c r="E1506" s="683"/>
      <c r="F1506" s="683"/>
      <c r="G1506" s="683"/>
      <c r="H1506" s="711"/>
      <c r="I1506" s="683"/>
      <c r="J1506" s="683"/>
      <c r="K1506" s="683"/>
      <c r="L1506" s="683"/>
      <c r="M1506" s="683"/>
      <c r="N1506" s="685"/>
      <c r="O1506" s="683"/>
      <c r="P1506" s="683"/>
      <c r="Q1506" s="683"/>
      <c r="R1506" s="683"/>
      <c r="S1506" s="683"/>
      <c r="T1506" s="683"/>
      <c r="U1506" s="683"/>
      <c r="V1506" s="683"/>
      <c r="W1506" s="683"/>
      <c r="X1506" s="683"/>
      <c r="Y1506" s="683"/>
      <c r="Z1506" s="683"/>
    </row>
    <row r="1507" spans="1:26" ht="15.75" customHeight="1" x14ac:dyDescent="0.25">
      <c r="A1507" s="683"/>
      <c r="B1507" s="683"/>
      <c r="C1507" s="683"/>
      <c r="D1507" s="683"/>
      <c r="E1507" s="683"/>
      <c r="F1507" s="683"/>
      <c r="G1507" s="683"/>
      <c r="H1507" s="711"/>
      <c r="I1507" s="683"/>
      <c r="J1507" s="683"/>
      <c r="K1507" s="683"/>
      <c r="L1507" s="683"/>
      <c r="M1507" s="683"/>
      <c r="N1507" s="685"/>
      <c r="O1507" s="683"/>
      <c r="P1507" s="683"/>
      <c r="Q1507" s="683"/>
      <c r="R1507" s="683"/>
      <c r="S1507" s="683"/>
      <c r="T1507" s="683"/>
      <c r="U1507" s="683"/>
      <c r="V1507" s="683"/>
      <c r="W1507" s="683"/>
      <c r="X1507" s="683"/>
      <c r="Y1507" s="683"/>
      <c r="Z1507" s="683"/>
    </row>
    <row r="1508" spans="1:26" ht="15.75" customHeight="1" x14ac:dyDescent="0.25">
      <c r="A1508" s="683"/>
      <c r="B1508" s="683"/>
      <c r="C1508" s="683"/>
      <c r="D1508" s="683"/>
      <c r="E1508" s="683"/>
      <c r="F1508" s="683"/>
      <c r="G1508" s="683"/>
      <c r="H1508" s="711"/>
      <c r="I1508" s="683"/>
      <c r="J1508" s="683"/>
      <c r="K1508" s="683"/>
      <c r="L1508" s="683"/>
      <c r="M1508" s="683"/>
      <c r="N1508" s="685"/>
      <c r="O1508" s="683"/>
      <c r="P1508" s="683"/>
      <c r="Q1508" s="683"/>
      <c r="R1508" s="683"/>
      <c r="S1508" s="683"/>
      <c r="T1508" s="683"/>
      <c r="U1508" s="683"/>
      <c r="V1508" s="683"/>
      <c r="W1508" s="683"/>
      <c r="X1508" s="683"/>
      <c r="Y1508" s="683"/>
      <c r="Z1508" s="683"/>
    </row>
    <row r="1509" spans="1:26" ht="15.75" customHeight="1" x14ac:dyDescent="0.25">
      <c r="A1509" s="683"/>
      <c r="B1509" s="683"/>
      <c r="C1509" s="683"/>
      <c r="D1509" s="683"/>
      <c r="E1509" s="683"/>
      <c r="F1509" s="683"/>
      <c r="G1509" s="683"/>
      <c r="H1509" s="711"/>
      <c r="I1509" s="683"/>
      <c r="J1509" s="683"/>
      <c r="K1509" s="683"/>
      <c r="L1509" s="683"/>
      <c r="M1509" s="683"/>
      <c r="N1509" s="685"/>
      <c r="O1509" s="683"/>
      <c r="P1509" s="683"/>
      <c r="Q1509" s="683"/>
      <c r="R1509" s="683"/>
      <c r="S1509" s="683"/>
      <c r="T1509" s="683"/>
      <c r="U1509" s="683"/>
      <c r="V1509" s="683"/>
      <c r="W1509" s="683"/>
      <c r="X1509" s="683"/>
      <c r="Y1509" s="683"/>
      <c r="Z1509" s="683"/>
    </row>
    <row r="1510" spans="1:26" ht="15.75" customHeight="1" x14ac:dyDescent="0.25">
      <c r="A1510" s="683"/>
      <c r="B1510" s="683"/>
      <c r="C1510" s="683"/>
      <c r="D1510" s="683"/>
      <c r="E1510" s="683"/>
      <c r="F1510" s="683"/>
      <c r="G1510" s="683"/>
      <c r="H1510" s="711"/>
      <c r="I1510" s="683"/>
      <c r="J1510" s="683"/>
      <c r="K1510" s="683"/>
      <c r="L1510" s="683"/>
      <c r="M1510" s="683"/>
      <c r="N1510" s="685"/>
      <c r="O1510" s="683"/>
      <c r="P1510" s="683"/>
      <c r="Q1510" s="683"/>
      <c r="R1510" s="683"/>
      <c r="S1510" s="683"/>
      <c r="T1510" s="683"/>
      <c r="U1510" s="683"/>
      <c r="V1510" s="683"/>
      <c r="W1510" s="683"/>
      <c r="X1510" s="683"/>
      <c r="Y1510" s="683"/>
      <c r="Z1510" s="683"/>
    </row>
    <row r="1511" spans="1:26" ht="15.75" customHeight="1" x14ac:dyDescent="0.25">
      <c r="A1511" s="683"/>
      <c r="B1511" s="683"/>
      <c r="C1511" s="683"/>
      <c r="D1511" s="683"/>
      <c r="E1511" s="683"/>
      <c r="F1511" s="683"/>
      <c r="G1511" s="683"/>
      <c r="H1511" s="711"/>
      <c r="I1511" s="683"/>
      <c r="J1511" s="683"/>
      <c r="K1511" s="683"/>
      <c r="L1511" s="683"/>
      <c r="M1511" s="683"/>
      <c r="N1511" s="685"/>
      <c r="O1511" s="683"/>
      <c r="P1511" s="683"/>
      <c r="Q1511" s="683"/>
      <c r="R1511" s="683"/>
      <c r="S1511" s="683"/>
      <c r="T1511" s="683"/>
      <c r="U1511" s="683"/>
      <c r="V1511" s="683"/>
      <c r="W1511" s="683"/>
      <c r="X1511" s="683"/>
      <c r="Y1511" s="683"/>
      <c r="Z1511" s="683"/>
    </row>
    <row r="1512" spans="1:26" ht="15.75" customHeight="1" x14ac:dyDescent="0.25">
      <c r="A1512" s="683"/>
      <c r="B1512" s="683"/>
      <c r="C1512" s="683"/>
      <c r="D1512" s="683"/>
      <c r="E1512" s="683"/>
      <c r="F1512" s="683"/>
      <c r="G1512" s="683"/>
      <c r="H1512" s="711"/>
      <c r="I1512" s="683"/>
      <c r="J1512" s="683"/>
      <c r="K1512" s="683"/>
      <c r="L1512" s="683"/>
      <c r="M1512" s="683"/>
      <c r="N1512" s="685"/>
      <c r="O1512" s="683"/>
      <c r="P1512" s="683"/>
      <c r="Q1512" s="683"/>
      <c r="R1512" s="683"/>
      <c r="S1512" s="683"/>
      <c r="T1512" s="683"/>
      <c r="U1512" s="683"/>
      <c r="V1512" s="683"/>
      <c r="W1512" s="683"/>
      <c r="X1512" s="683"/>
      <c r="Y1512" s="683"/>
      <c r="Z1512" s="683"/>
    </row>
    <row r="1513" spans="1:26" ht="15.75" customHeight="1" x14ac:dyDescent="0.25">
      <c r="A1513" s="683"/>
      <c r="B1513" s="683"/>
      <c r="C1513" s="683"/>
      <c r="D1513" s="683"/>
      <c r="E1513" s="683"/>
      <c r="F1513" s="683"/>
      <c r="G1513" s="683"/>
      <c r="H1513" s="711"/>
      <c r="I1513" s="683"/>
      <c r="J1513" s="683"/>
      <c r="K1513" s="683"/>
      <c r="L1513" s="683"/>
      <c r="M1513" s="683"/>
      <c r="N1513" s="685"/>
      <c r="O1513" s="683"/>
      <c r="P1513" s="683"/>
      <c r="Q1513" s="683"/>
      <c r="R1513" s="683"/>
      <c r="S1513" s="683"/>
      <c r="T1513" s="683"/>
      <c r="U1513" s="683"/>
      <c r="V1513" s="683"/>
      <c r="W1513" s="683"/>
      <c r="X1513" s="683"/>
      <c r="Y1513" s="683"/>
      <c r="Z1513" s="683"/>
    </row>
    <row r="1514" spans="1:26" ht="15.75" customHeight="1" x14ac:dyDescent="0.25">
      <c r="A1514" s="683"/>
      <c r="B1514" s="683"/>
      <c r="C1514" s="683"/>
      <c r="D1514" s="683"/>
      <c r="E1514" s="683"/>
      <c r="F1514" s="683"/>
      <c r="G1514" s="683"/>
      <c r="H1514" s="711"/>
      <c r="I1514" s="683"/>
      <c r="J1514" s="683"/>
      <c r="K1514" s="683"/>
      <c r="L1514" s="683"/>
      <c r="M1514" s="683"/>
      <c r="N1514" s="685"/>
      <c r="O1514" s="683"/>
      <c r="P1514" s="683"/>
      <c r="Q1514" s="683"/>
      <c r="R1514" s="683"/>
      <c r="S1514" s="683"/>
      <c r="T1514" s="683"/>
      <c r="U1514" s="683"/>
      <c r="V1514" s="683"/>
      <c r="W1514" s="683"/>
      <c r="X1514" s="683"/>
      <c r="Y1514" s="683"/>
      <c r="Z1514" s="683"/>
    </row>
    <row r="1515" spans="1:26" ht="15.75" customHeight="1" x14ac:dyDescent="0.25">
      <c r="A1515" s="683"/>
      <c r="B1515" s="683"/>
      <c r="C1515" s="683"/>
      <c r="D1515" s="683"/>
      <c r="E1515" s="683"/>
      <c r="F1515" s="683"/>
      <c r="G1515" s="683"/>
      <c r="H1515" s="711"/>
      <c r="I1515" s="683"/>
      <c r="J1515" s="683"/>
      <c r="K1515" s="683"/>
      <c r="L1515" s="683"/>
      <c r="M1515" s="683"/>
      <c r="N1515" s="685"/>
      <c r="O1515" s="683"/>
      <c r="P1515" s="683"/>
      <c r="Q1515" s="683"/>
      <c r="R1515" s="683"/>
      <c r="S1515" s="683"/>
      <c r="T1515" s="683"/>
      <c r="U1515" s="683"/>
      <c r="V1515" s="683"/>
      <c r="W1515" s="683"/>
      <c r="X1515" s="683"/>
      <c r="Y1515" s="683"/>
      <c r="Z1515" s="683"/>
    </row>
    <row r="1516" spans="1:26" ht="15.75" customHeight="1" x14ac:dyDescent="0.25">
      <c r="A1516" s="683"/>
      <c r="B1516" s="683"/>
      <c r="C1516" s="683"/>
      <c r="D1516" s="683"/>
      <c r="E1516" s="683"/>
      <c r="F1516" s="683"/>
      <c r="G1516" s="683"/>
      <c r="H1516" s="711"/>
      <c r="I1516" s="683"/>
      <c r="J1516" s="683"/>
      <c r="K1516" s="683"/>
      <c r="L1516" s="683"/>
      <c r="M1516" s="683"/>
      <c r="N1516" s="685"/>
      <c r="O1516" s="683"/>
      <c r="P1516" s="683"/>
      <c r="Q1516" s="683"/>
      <c r="R1516" s="683"/>
      <c r="S1516" s="683"/>
      <c r="T1516" s="683"/>
      <c r="U1516" s="683"/>
      <c r="V1516" s="683"/>
      <c r="W1516" s="683"/>
      <c r="X1516" s="683"/>
      <c r="Y1516" s="683"/>
      <c r="Z1516" s="683"/>
    </row>
    <row r="1517" spans="1:26" ht="15.75" customHeight="1" x14ac:dyDescent="0.25">
      <c r="A1517" s="683"/>
      <c r="B1517" s="683"/>
      <c r="C1517" s="683"/>
      <c r="D1517" s="683"/>
      <c r="E1517" s="683"/>
      <c r="F1517" s="683"/>
      <c r="G1517" s="683"/>
      <c r="H1517" s="711"/>
      <c r="I1517" s="683"/>
      <c r="J1517" s="683"/>
      <c r="K1517" s="683"/>
      <c r="L1517" s="683"/>
      <c r="M1517" s="683"/>
      <c r="N1517" s="685"/>
      <c r="O1517" s="683"/>
      <c r="P1517" s="683"/>
      <c r="Q1517" s="683"/>
      <c r="R1517" s="683"/>
      <c r="S1517" s="683"/>
      <c r="T1517" s="683"/>
      <c r="U1517" s="683"/>
      <c r="V1517" s="683"/>
      <c r="W1517" s="683"/>
      <c r="X1517" s="683"/>
      <c r="Y1517" s="683"/>
      <c r="Z1517" s="683"/>
    </row>
    <row r="1518" spans="1:26" ht="15.75" customHeight="1" x14ac:dyDescent="0.25">
      <c r="A1518" s="683"/>
      <c r="B1518" s="683"/>
      <c r="C1518" s="683"/>
      <c r="D1518" s="683"/>
      <c r="E1518" s="683"/>
      <c r="F1518" s="683"/>
      <c r="G1518" s="683"/>
      <c r="H1518" s="711"/>
      <c r="I1518" s="683"/>
      <c r="J1518" s="683"/>
      <c r="K1518" s="683"/>
      <c r="L1518" s="683"/>
      <c r="M1518" s="683"/>
      <c r="N1518" s="685"/>
      <c r="O1518" s="683"/>
      <c r="P1518" s="683"/>
      <c r="Q1518" s="683"/>
      <c r="R1518" s="683"/>
      <c r="S1518" s="683"/>
      <c r="T1518" s="683"/>
      <c r="U1518" s="683"/>
      <c r="V1518" s="683"/>
      <c r="W1518" s="683"/>
      <c r="X1518" s="683"/>
      <c r="Y1518" s="683"/>
      <c r="Z1518" s="683"/>
    </row>
    <row r="1519" spans="1:26" ht="15.75" customHeight="1" x14ac:dyDescent="0.25">
      <c r="A1519" s="683"/>
      <c r="B1519" s="683"/>
      <c r="C1519" s="683"/>
      <c r="D1519" s="683"/>
      <c r="E1519" s="683"/>
      <c r="F1519" s="683"/>
      <c r="G1519" s="683"/>
      <c r="H1519" s="711"/>
      <c r="I1519" s="683"/>
      <c r="J1519" s="683"/>
      <c r="K1519" s="683"/>
      <c r="L1519" s="683"/>
      <c r="M1519" s="683"/>
      <c r="N1519" s="685"/>
      <c r="O1519" s="683"/>
      <c r="P1519" s="683"/>
      <c r="Q1519" s="683"/>
      <c r="R1519" s="683"/>
      <c r="S1519" s="683"/>
      <c r="T1519" s="683"/>
      <c r="U1519" s="683"/>
      <c r="V1519" s="683"/>
      <c r="W1519" s="683"/>
      <c r="X1519" s="683"/>
      <c r="Y1519" s="683"/>
      <c r="Z1519" s="683"/>
    </row>
    <row r="1520" spans="1:26" ht="15.75" customHeight="1" x14ac:dyDescent="0.25">
      <c r="A1520" s="683"/>
      <c r="B1520" s="683"/>
      <c r="C1520" s="683"/>
      <c r="D1520" s="683"/>
      <c r="E1520" s="683"/>
      <c r="F1520" s="683"/>
      <c r="G1520" s="683"/>
      <c r="H1520" s="711"/>
      <c r="I1520" s="683"/>
      <c r="J1520" s="683"/>
      <c r="K1520" s="683"/>
      <c r="L1520" s="683"/>
      <c r="M1520" s="683"/>
      <c r="N1520" s="685"/>
      <c r="O1520" s="683"/>
      <c r="P1520" s="683"/>
      <c r="Q1520" s="683"/>
      <c r="R1520" s="683"/>
      <c r="S1520" s="683"/>
      <c r="T1520" s="683"/>
      <c r="U1520" s="683"/>
      <c r="V1520" s="683"/>
      <c r="W1520" s="683"/>
      <c r="X1520" s="683"/>
      <c r="Y1520" s="683"/>
      <c r="Z1520" s="683"/>
    </row>
    <row r="1521" spans="1:26" ht="15.75" customHeight="1" x14ac:dyDescent="0.25">
      <c r="A1521" s="683"/>
      <c r="B1521" s="683"/>
      <c r="C1521" s="683"/>
      <c r="D1521" s="683"/>
      <c r="E1521" s="683"/>
      <c r="F1521" s="683"/>
      <c r="G1521" s="683"/>
      <c r="H1521" s="711"/>
      <c r="I1521" s="683"/>
      <c r="J1521" s="683"/>
      <c r="K1521" s="683"/>
      <c r="L1521" s="683"/>
      <c r="M1521" s="683"/>
      <c r="N1521" s="685"/>
      <c r="O1521" s="683"/>
      <c r="P1521" s="683"/>
      <c r="Q1521" s="683"/>
      <c r="R1521" s="683"/>
      <c r="S1521" s="683"/>
      <c r="T1521" s="683"/>
      <c r="U1521" s="683"/>
      <c r="V1521" s="683"/>
      <c r="W1521" s="683"/>
      <c r="X1521" s="683"/>
      <c r="Y1521" s="683"/>
      <c r="Z1521" s="683"/>
    </row>
    <row r="1522" spans="1:26" ht="15.75" customHeight="1" x14ac:dyDescent="0.25">
      <c r="A1522" s="683"/>
      <c r="B1522" s="683"/>
      <c r="C1522" s="683"/>
      <c r="D1522" s="683"/>
      <c r="E1522" s="683"/>
      <c r="F1522" s="683"/>
      <c r="G1522" s="683"/>
      <c r="H1522" s="711"/>
      <c r="I1522" s="683"/>
      <c r="J1522" s="683"/>
      <c r="K1522" s="683"/>
      <c r="L1522" s="683"/>
      <c r="M1522" s="683"/>
      <c r="N1522" s="685"/>
      <c r="O1522" s="683"/>
      <c r="P1522" s="683"/>
      <c r="Q1522" s="683"/>
      <c r="R1522" s="683"/>
      <c r="S1522" s="683"/>
      <c r="T1522" s="683"/>
      <c r="U1522" s="683"/>
      <c r="V1522" s="683"/>
      <c r="W1522" s="683"/>
      <c r="X1522" s="683"/>
      <c r="Y1522" s="683"/>
      <c r="Z1522" s="683"/>
    </row>
    <row r="1523" spans="1:26" ht="15.75" customHeight="1" x14ac:dyDescent="0.25">
      <c r="A1523" s="683"/>
      <c r="B1523" s="683"/>
      <c r="C1523" s="683"/>
      <c r="D1523" s="683"/>
      <c r="E1523" s="683"/>
      <c r="F1523" s="683"/>
      <c r="G1523" s="683"/>
      <c r="H1523" s="711"/>
      <c r="I1523" s="683"/>
      <c r="J1523" s="683"/>
      <c r="K1523" s="683"/>
      <c r="L1523" s="683"/>
      <c r="M1523" s="683"/>
      <c r="N1523" s="685"/>
      <c r="O1523" s="683"/>
      <c r="P1523" s="683"/>
      <c r="Q1523" s="683"/>
      <c r="R1523" s="683"/>
      <c r="S1523" s="683"/>
      <c r="T1523" s="683"/>
      <c r="U1523" s="683"/>
      <c r="V1523" s="683"/>
      <c r="W1523" s="683"/>
      <c r="X1523" s="683"/>
      <c r="Y1523" s="683"/>
      <c r="Z1523" s="683"/>
    </row>
    <row r="1524" spans="1:26" ht="15.75" customHeight="1" x14ac:dyDescent="0.25">
      <c r="A1524" s="683"/>
      <c r="B1524" s="683"/>
      <c r="C1524" s="683"/>
      <c r="D1524" s="683"/>
      <c r="E1524" s="683"/>
      <c r="F1524" s="683"/>
      <c r="G1524" s="683"/>
      <c r="H1524" s="711"/>
      <c r="I1524" s="683"/>
      <c r="J1524" s="683"/>
      <c r="K1524" s="683"/>
      <c r="L1524" s="683"/>
      <c r="M1524" s="683"/>
      <c r="N1524" s="685"/>
      <c r="O1524" s="683"/>
      <c r="P1524" s="683"/>
      <c r="Q1524" s="683"/>
      <c r="R1524" s="683"/>
      <c r="S1524" s="683"/>
      <c r="T1524" s="683"/>
      <c r="U1524" s="683"/>
      <c r="V1524" s="683"/>
      <c r="W1524" s="683"/>
      <c r="X1524" s="683"/>
      <c r="Y1524" s="683"/>
      <c r="Z1524" s="683"/>
    </row>
    <row r="1525" spans="1:26" ht="15.75" customHeight="1" x14ac:dyDescent="0.25">
      <c r="A1525" s="683"/>
      <c r="B1525" s="683"/>
      <c r="C1525" s="683"/>
      <c r="D1525" s="683"/>
      <c r="E1525" s="683"/>
      <c r="F1525" s="683"/>
      <c r="G1525" s="683"/>
      <c r="H1525" s="711"/>
      <c r="I1525" s="683"/>
      <c r="J1525" s="683"/>
      <c r="K1525" s="683"/>
      <c r="L1525" s="683"/>
      <c r="M1525" s="683"/>
      <c r="N1525" s="685"/>
      <c r="O1525" s="683"/>
      <c r="P1525" s="683"/>
      <c r="Q1525" s="683"/>
      <c r="R1525" s="683"/>
      <c r="S1525" s="683"/>
      <c r="T1525" s="683"/>
      <c r="U1525" s="683"/>
      <c r="V1525" s="683"/>
      <c r="W1525" s="683"/>
      <c r="X1525" s="683"/>
      <c r="Y1525" s="683"/>
      <c r="Z1525" s="683"/>
    </row>
    <row r="1526" spans="1:26" ht="15.75" customHeight="1" x14ac:dyDescent="0.25">
      <c r="A1526" s="683"/>
      <c r="B1526" s="683"/>
      <c r="C1526" s="683"/>
      <c r="D1526" s="683"/>
      <c r="E1526" s="683"/>
      <c r="F1526" s="683"/>
      <c r="G1526" s="683"/>
      <c r="H1526" s="711"/>
      <c r="I1526" s="683"/>
      <c r="J1526" s="683"/>
      <c r="K1526" s="683"/>
      <c r="L1526" s="683"/>
      <c r="M1526" s="683"/>
      <c r="N1526" s="685"/>
      <c r="O1526" s="683"/>
      <c r="P1526" s="683"/>
      <c r="Q1526" s="683"/>
      <c r="R1526" s="683"/>
      <c r="S1526" s="683"/>
      <c r="T1526" s="683"/>
      <c r="U1526" s="683"/>
      <c r="V1526" s="683"/>
      <c r="W1526" s="683"/>
      <c r="X1526" s="683"/>
      <c r="Y1526" s="683"/>
      <c r="Z1526" s="683"/>
    </row>
    <row r="1527" spans="1:26" ht="15.75" customHeight="1" x14ac:dyDescent="0.25">
      <c r="A1527" s="683"/>
      <c r="B1527" s="683"/>
      <c r="C1527" s="683"/>
      <c r="D1527" s="683"/>
      <c r="E1527" s="683"/>
      <c r="F1527" s="683"/>
      <c r="G1527" s="683"/>
      <c r="H1527" s="711"/>
      <c r="I1527" s="683"/>
      <c r="J1527" s="683"/>
      <c r="K1527" s="683"/>
      <c r="L1527" s="683"/>
      <c r="M1527" s="683"/>
      <c r="N1527" s="685"/>
      <c r="O1527" s="683"/>
      <c r="P1527" s="683"/>
      <c r="Q1527" s="683"/>
      <c r="R1527" s="683"/>
      <c r="S1527" s="683"/>
      <c r="T1527" s="683"/>
      <c r="U1527" s="683"/>
      <c r="V1527" s="683"/>
      <c r="W1527" s="683"/>
      <c r="X1527" s="683"/>
      <c r="Y1527" s="683"/>
      <c r="Z1527" s="683"/>
    </row>
    <row r="1528" spans="1:26" ht="15.75" customHeight="1" x14ac:dyDescent="0.25">
      <c r="A1528" s="683"/>
      <c r="B1528" s="683"/>
      <c r="C1528" s="683"/>
      <c r="D1528" s="683"/>
      <c r="E1528" s="683"/>
      <c r="F1528" s="683"/>
      <c r="G1528" s="683"/>
      <c r="H1528" s="711"/>
      <c r="I1528" s="683"/>
      <c r="J1528" s="683"/>
      <c r="K1528" s="683"/>
      <c r="L1528" s="683"/>
      <c r="M1528" s="683"/>
      <c r="N1528" s="685"/>
      <c r="O1528" s="683"/>
      <c r="P1528" s="683"/>
      <c r="Q1528" s="683"/>
      <c r="R1528" s="683"/>
      <c r="S1528" s="683"/>
      <c r="T1528" s="683"/>
      <c r="U1528" s="683"/>
      <c r="V1528" s="683"/>
      <c r="W1528" s="683"/>
      <c r="X1528" s="683"/>
      <c r="Y1528" s="683"/>
      <c r="Z1528" s="683"/>
    </row>
    <row r="1529" spans="1:26" ht="15.75" customHeight="1" x14ac:dyDescent="0.25">
      <c r="A1529" s="683"/>
      <c r="B1529" s="683"/>
      <c r="C1529" s="683"/>
      <c r="D1529" s="683"/>
      <c r="E1529" s="683"/>
      <c r="F1529" s="683"/>
      <c r="G1529" s="683"/>
      <c r="H1529" s="711"/>
      <c r="I1529" s="683"/>
      <c r="J1529" s="683"/>
      <c r="K1529" s="683"/>
      <c r="L1529" s="683"/>
      <c r="M1529" s="683"/>
      <c r="N1529" s="685"/>
      <c r="O1529" s="683"/>
      <c r="P1529" s="683"/>
      <c r="Q1529" s="683"/>
      <c r="R1529" s="683"/>
      <c r="S1529" s="683"/>
      <c r="T1529" s="683"/>
      <c r="U1529" s="683"/>
      <c r="V1529" s="683"/>
      <c r="W1529" s="683"/>
      <c r="X1529" s="683"/>
      <c r="Y1529" s="683"/>
      <c r="Z1529" s="683"/>
    </row>
    <row r="1530" spans="1:26" ht="15.75" customHeight="1" x14ac:dyDescent="0.25">
      <c r="A1530" s="683"/>
      <c r="B1530" s="683"/>
      <c r="C1530" s="683"/>
      <c r="D1530" s="683"/>
      <c r="E1530" s="683"/>
      <c r="F1530" s="683"/>
      <c r="G1530" s="683"/>
      <c r="H1530" s="711"/>
      <c r="I1530" s="683"/>
      <c r="J1530" s="683"/>
      <c r="K1530" s="683"/>
      <c r="L1530" s="683"/>
      <c r="M1530" s="683"/>
      <c r="N1530" s="685"/>
      <c r="O1530" s="683"/>
      <c r="P1530" s="683"/>
      <c r="Q1530" s="683"/>
      <c r="R1530" s="683"/>
      <c r="S1530" s="683"/>
      <c r="T1530" s="683"/>
      <c r="U1530" s="683"/>
      <c r="V1530" s="683"/>
      <c r="W1530" s="683"/>
      <c r="X1530" s="683"/>
      <c r="Y1530" s="683"/>
      <c r="Z1530" s="683"/>
    </row>
    <row r="1531" spans="1:26" ht="15.75" customHeight="1" x14ac:dyDescent="0.25">
      <c r="A1531" s="683"/>
      <c r="B1531" s="683"/>
      <c r="C1531" s="683"/>
      <c r="D1531" s="683"/>
      <c r="E1531" s="683"/>
      <c r="F1531" s="683"/>
      <c r="G1531" s="683"/>
      <c r="H1531" s="711"/>
      <c r="I1531" s="683"/>
      <c r="J1531" s="683"/>
      <c r="K1531" s="683"/>
      <c r="L1531" s="683"/>
      <c r="M1531" s="683"/>
      <c r="N1531" s="685"/>
      <c r="O1531" s="683"/>
      <c r="P1531" s="683"/>
      <c r="Q1531" s="683"/>
      <c r="R1531" s="683"/>
      <c r="S1531" s="683"/>
      <c r="T1531" s="683"/>
      <c r="U1531" s="683"/>
      <c r="V1531" s="683"/>
      <c r="W1531" s="683"/>
      <c r="X1531" s="683"/>
      <c r="Y1531" s="683"/>
      <c r="Z1531" s="683"/>
    </row>
    <row r="1532" spans="1:26" ht="15.75" customHeight="1" x14ac:dyDescent="0.25">
      <c r="A1532" s="683"/>
      <c r="B1532" s="683"/>
      <c r="C1532" s="683"/>
      <c r="D1532" s="683"/>
      <c r="E1532" s="683"/>
      <c r="F1532" s="683"/>
      <c r="G1532" s="683"/>
      <c r="H1532" s="711"/>
      <c r="I1532" s="683"/>
      <c r="J1532" s="683"/>
      <c r="K1532" s="683"/>
      <c r="L1532" s="683"/>
      <c r="M1532" s="683"/>
      <c r="N1532" s="685"/>
      <c r="O1532" s="683"/>
      <c r="P1532" s="683"/>
      <c r="Q1532" s="683"/>
      <c r="R1532" s="683"/>
      <c r="S1532" s="683"/>
      <c r="T1532" s="683"/>
      <c r="U1532" s="683"/>
      <c r="V1532" s="683"/>
      <c r="W1532" s="683"/>
      <c r="X1532" s="683"/>
      <c r="Y1532" s="683"/>
      <c r="Z1532" s="683"/>
    </row>
    <row r="1533" spans="1:26" ht="15.75" customHeight="1" x14ac:dyDescent="0.25">
      <c r="A1533" s="683"/>
      <c r="B1533" s="683"/>
      <c r="C1533" s="683"/>
      <c r="D1533" s="683"/>
      <c r="E1533" s="683"/>
      <c r="F1533" s="683"/>
      <c r="G1533" s="683"/>
      <c r="H1533" s="711"/>
      <c r="I1533" s="683"/>
      <c r="J1533" s="683"/>
      <c r="K1533" s="683"/>
      <c r="L1533" s="683"/>
      <c r="M1533" s="683"/>
      <c r="N1533" s="685"/>
      <c r="O1533" s="683"/>
      <c r="P1533" s="683"/>
      <c r="Q1533" s="683"/>
      <c r="R1533" s="683"/>
      <c r="S1533" s="683"/>
      <c r="T1533" s="683"/>
      <c r="U1533" s="683"/>
      <c r="V1533" s="683"/>
      <c r="W1533" s="683"/>
      <c r="X1533" s="683"/>
      <c r="Y1533" s="683"/>
      <c r="Z1533" s="683"/>
    </row>
    <row r="1534" spans="1:26" ht="15.75" customHeight="1" x14ac:dyDescent="0.25">
      <c r="A1534" s="683"/>
      <c r="B1534" s="683"/>
      <c r="C1534" s="683"/>
      <c r="D1534" s="683"/>
      <c r="E1534" s="683"/>
      <c r="F1534" s="683"/>
      <c r="G1534" s="683"/>
      <c r="H1534" s="711"/>
      <c r="I1534" s="683"/>
      <c r="J1534" s="683"/>
      <c r="K1534" s="683"/>
      <c r="L1534" s="683"/>
      <c r="M1534" s="683"/>
      <c r="N1534" s="685"/>
      <c r="O1534" s="683"/>
      <c r="P1534" s="683"/>
      <c r="Q1534" s="683"/>
      <c r="R1534" s="683"/>
      <c r="S1534" s="683"/>
      <c r="T1534" s="683"/>
      <c r="U1534" s="683"/>
      <c r="V1534" s="683"/>
      <c r="W1534" s="683"/>
      <c r="X1534" s="683"/>
      <c r="Y1534" s="683"/>
      <c r="Z1534" s="683"/>
    </row>
    <row r="1535" spans="1:26" ht="15.75" customHeight="1" x14ac:dyDescent="0.25">
      <c r="A1535" s="683"/>
      <c r="B1535" s="683"/>
      <c r="C1535" s="683"/>
      <c r="D1535" s="683"/>
      <c r="E1535" s="683"/>
      <c r="F1535" s="683"/>
      <c r="G1535" s="683"/>
      <c r="H1535" s="711"/>
      <c r="I1535" s="683"/>
      <c r="J1535" s="683"/>
      <c r="K1535" s="683"/>
      <c r="L1535" s="683"/>
      <c r="M1535" s="683"/>
      <c r="N1535" s="685"/>
      <c r="O1535" s="683"/>
      <c r="P1535" s="683"/>
      <c r="Q1535" s="683"/>
      <c r="R1535" s="683"/>
      <c r="S1535" s="683"/>
      <c r="T1535" s="683"/>
      <c r="U1535" s="683"/>
      <c r="V1535" s="683"/>
      <c r="W1535" s="683"/>
      <c r="X1535" s="683"/>
      <c r="Y1535" s="683"/>
      <c r="Z1535" s="683"/>
    </row>
    <row r="1536" spans="1:26" ht="15.75" customHeight="1" x14ac:dyDescent="0.25">
      <c r="A1536" s="683"/>
      <c r="B1536" s="683"/>
      <c r="C1536" s="683"/>
      <c r="D1536" s="683"/>
      <c r="E1536" s="683"/>
      <c r="F1536" s="683"/>
      <c r="G1536" s="683"/>
      <c r="H1536" s="711"/>
      <c r="I1536" s="683"/>
      <c r="J1536" s="683"/>
      <c r="K1536" s="683"/>
      <c r="L1536" s="683"/>
      <c r="M1536" s="683"/>
      <c r="N1536" s="685"/>
      <c r="O1536" s="683"/>
      <c r="P1536" s="683"/>
      <c r="Q1536" s="683"/>
      <c r="R1536" s="683"/>
      <c r="S1536" s="683"/>
      <c r="T1536" s="683"/>
      <c r="U1536" s="683"/>
      <c r="V1536" s="683"/>
      <c r="W1536" s="683"/>
      <c r="X1536" s="683"/>
      <c r="Y1536" s="683"/>
      <c r="Z1536" s="683"/>
    </row>
    <row r="1537" spans="1:26" ht="15.75" customHeight="1" x14ac:dyDescent="0.25">
      <c r="A1537" s="683"/>
      <c r="B1537" s="683"/>
      <c r="C1537" s="683"/>
      <c r="D1537" s="683"/>
      <c r="E1537" s="683"/>
      <c r="F1537" s="683"/>
      <c r="G1537" s="683"/>
      <c r="H1537" s="711"/>
      <c r="I1537" s="683"/>
      <c r="J1537" s="683"/>
      <c r="K1537" s="683"/>
      <c r="L1537" s="683"/>
      <c r="M1537" s="683"/>
      <c r="N1537" s="685"/>
      <c r="O1537" s="683"/>
      <c r="P1537" s="683"/>
      <c r="Q1537" s="683"/>
      <c r="R1537" s="683"/>
      <c r="S1537" s="683"/>
      <c r="T1537" s="683"/>
      <c r="U1537" s="683"/>
      <c r="V1537" s="683"/>
      <c r="W1537" s="683"/>
      <c r="X1537" s="683"/>
      <c r="Y1537" s="683"/>
      <c r="Z1537" s="683"/>
    </row>
    <row r="1538" spans="1:26" ht="15.75" customHeight="1" x14ac:dyDescent="0.25">
      <c r="A1538" s="683"/>
      <c r="B1538" s="683"/>
      <c r="C1538" s="683"/>
      <c r="D1538" s="683"/>
      <c r="E1538" s="683"/>
      <c r="F1538" s="683"/>
      <c r="G1538" s="683"/>
      <c r="H1538" s="711"/>
      <c r="I1538" s="683"/>
      <c r="J1538" s="683"/>
      <c r="K1538" s="683"/>
      <c r="L1538" s="683"/>
      <c r="M1538" s="683"/>
      <c r="N1538" s="685"/>
      <c r="O1538" s="683"/>
      <c r="P1538" s="683"/>
      <c r="Q1538" s="683"/>
      <c r="R1538" s="683"/>
      <c r="S1538" s="683"/>
      <c r="T1538" s="683"/>
      <c r="U1538" s="683"/>
      <c r="V1538" s="683"/>
      <c r="W1538" s="683"/>
      <c r="X1538" s="683"/>
      <c r="Y1538" s="683"/>
      <c r="Z1538" s="683"/>
    </row>
    <row r="1539" spans="1:26" ht="15.75" customHeight="1" x14ac:dyDescent="0.25">
      <c r="A1539" s="683"/>
      <c r="B1539" s="683"/>
      <c r="C1539" s="683"/>
      <c r="D1539" s="683"/>
      <c r="E1539" s="683"/>
      <c r="F1539" s="683"/>
      <c r="G1539" s="683"/>
      <c r="H1539" s="711"/>
      <c r="I1539" s="683"/>
      <c r="J1539" s="683"/>
      <c r="K1539" s="683"/>
      <c r="L1539" s="683"/>
      <c r="M1539" s="683"/>
      <c r="N1539" s="685"/>
      <c r="O1539" s="683"/>
      <c r="P1539" s="683"/>
      <c r="Q1539" s="683"/>
      <c r="R1539" s="683"/>
      <c r="S1539" s="683"/>
      <c r="T1539" s="683"/>
      <c r="U1539" s="683"/>
      <c r="V1539" s="683"/>
      <c r="W1539" s="683"/>
      <c r="X1539" s="683"/>
      <c r="Y1539" s="683"/>
      <c r="Z1539" s="683"/>
    </row>
    <row r="1540" spans="1:26" ht="15.75" customHeight="1" x14ac:dyDescent="0.25">
      <c r="A1540" s="683"/>
      <c r="B1540" s="683"/>
      <c r="C1540" s="683"/>
      <c r="D1540" s="683"/>
      <c r="E1540" s="683"/>
      <c r="F1540" s="683"/>
      <c r="G1540" s="683"/>
      <c r="H1540" s="711"/>
      <c r="I1540" s="683"/>
      <c r="J1540" s="683"/>
      <c r="K1540" s="683"/>
      <c r="L1540" s="683"/>
      <c r="M1540" s="683"/>
      <c r="N1540" s="685"/>
      <c r="O1540" s="683"/>
      <c r="P1540" s="683"/>
      <c r="Q1540" s="683"/>
      <c r="R1540" s="683"/>
      <c r="S1540" s="683"/>
      <c r="T1540" s="683"/>
      <c r="U1540" s="683"/>
      <c r="V1540" s="683"/>
      <c r="W1540" s="683"/>
      <c r="X1540" s="683"/>
      <c r="Y1540" s="683"/>
      <c r="Z1540" s="683"/>
    </row>
    <row r="1541" spans="1:26" ht="15.75" customHeight="1" x14ac:dyDescent="0.25">
      <c r="A1541" s="683"/>
      <c r="B1541" s="683"/>
      <c r="C1541" s="683"/>
      <c r="D1541" s="683"/>
      <c r="E1541" s="683"/>
      <c r="F1541" s="683"/>
      <c r="G1541" s="683"/>
      <c r="H1541" s="711"/>
      <c r="I1541" s="683"/>
      <c r="J1541" s="683"/>
      <c r="K1541" s="683"/>
      <c r="L1541" s="683"/>
      <c r="M1541" s="683"/>
      <c r="N1541" s="685"/>
      <c r="O1541" s="683"/>
      <c r="P1541" s="683"/>
      <c r="Q1541" s="683"/>
      <c r="R1541" s="683"/>
      <c r="S1541" s="683"/>
      <c r="T1541" s="683"/>
      <c r="U1541" s="683"/>
      <c r="V1541" s="683"/>
      <c r="W1541" s="683"/>
      <c r="X1541" s="683"/>
      <c r="Y1541" s="683"/>
      <c r="Z1541" s="683"/>
    </row>
    <row r="1542" spans="1:26" ht="15.75" customHeight="1" x14ac:dyDescent="0.25">
      <c r="A1542" s="683"/>
      <c r="B1542" s="683"/>
      <c r="C1542" s="683"/>
      <c r="D1542" s="683"/>
      <c r="E1542" s="683"/>
      <c r="F1542" s="683"/>
      <c r="G1542" s="683"/>
      <c r="H1542" s="711"/>
      <c r="I1542" s="683"/>
      <c r="J1542" s="683"/>
      <c r="K1542" s="683"/>
      <c r="L1542" s="683"/>
      <c r="M1542" s="683"/>
      <c r="N1542" s="685"/>
      <c r="O1542" s="683"/>
      <c r="P1542" s="683"/>
      <c r="Q1542" s="683"/>
      <c r="R1542" s="683"/>
      <c r="S1542" s="683"/>
      <c r="T1542" s="683"/>
      <c r="U1542" s="683"/>
      <c r="V1542" s="683"/>
      <c r="W1542" s="683"/>
      <c r="X1542" s="683"/>
      <c r="Y1542" s="683"/>
      <c r="Z1542" s="683"/>
    </row>
    <row r="1543" spans="1:26" ht="15.75" customHeight="1" x14ac:dyDescent="0.25">
      <c r="A1543" s="683"/>
      <c r="B1543" s="683"/>
      <c r="C1543" s="683"/>
      <c r="D1543" s="683"/>
      <c r="E1543" s="683"/>
      <c r="F1543" s="683"/>
      <c r="G1543" s="683"/>
      <c r="H1543" s="711"/>
      <c r="I1543" s="683"/>
      <c r="J1543" s="683"/>
      <c r="K1543" s="683"/>
      <c r="L1543" s="683"/>
      <c r="M1543" s="683"/>
      <c r="N1543" s="685"/>
      <c r="O1543" s="683"/>
      <c r="P1543" s="683"/>
      <c r="Q1543" s="683"/>
      <c r="R1543" s="683"/>
      <c r="S1543" s="683"/>
      <c r="T1543" s="683"/>
      <c r="U1543" s="683"/>
      <c r="V1543" s="683"/>
      <c r="W1543" s="683"/>
      <c r="X1543" s="683"/>
      <c r="Y1543" s="683"/>
      <c r="Z1543" s="683"/>
    </row>
    <row r="1544" spans="1:26" ht="15.75" customHeight="1" x14ac:dyDescent="0.25">
      <c r="A1544" s="683"/>
      <c r="B1544" s="683"/>
      <c r="C1544" s="683"/>
      <c r="D1544" s="683"/>
      <c r="E1544" s="683"/>
      <c r="F1544" s="683"/>
      <c r="G1544" s="683"/>
      <c r="H1544" s="711"/>
      <c r="I1544" s="683"/>
      <c r="J1544" s="683"/>
      <c r="K1544" s="683"/>
      <c r="L1544" s="683"/>
      <c r="M1544" s="683"/>
      <c r="N1544" s="685"/>
      <c r="O1544" s="683"/>
      <c r="P1544" s="683"/>
      <c r="Q1544" s="683"/>
      <c r="R1544" s="683"/>
      <c r="S1544" s="683"/>
      <c r="T1544" s="683"/>
      <c r="U1544" s="683"/>
      <c r="V1544" s="683"/>
      <c r="W1544" s="683"/>
      <c r="X1544" s="683"/>
      <c r="Y1544" s="683"/>
      <c r="Z1544" s="683"/>
    </row>
    <row r="1545" spans="1:26" ht="15.75" customHeight="1" x14ac:dyDescent="0.25">
      <c r="A1545" s="683"/>
      <c r="B1545" s="683"/>
      <c r="C1545" s="683"/>
      <c r="D1545" s="683"/>
      <c r="E1545" s="683"/>
      <c r="F1545" s="683"/>
      <c r="G1545" s="683"/>
      <c r="H1545" s="711"/>
      <c r="I1545" s="683"/>
      <c r="J1545" s="683"/>
      <c r="K1545" s="683"/>
      <c r="L1545" s="683"/>
      <c r="M1545" s="683"/>
      <c r="N1545" s="685"/>
      <c r="O1545" s="683"/>
      <c r="P1545" s="683"/>
      <c r="Q1545" s="683"/>
      <c r="R1545" s="683"/>
      <c r="S1545" s="683"/>
      <c r="T1545" s="683"/>
      <c r="U1545" s="683"/>
      <c r="V1545" s="683"/>
      <c r="W1545" s="683"/>
      <c r="X1545" s="683"/>
      <c r="Y1545" s="683"/>
      <c r="Z1545" s="683"/>
    </row>
    <row r="1546" spans="1:26" ht="15.75" customHeight="1" x14ac:dyDescent="0.25">
      <c r="A1546" s="683"/>
      <c r="B1546" s="683"/>
      <c r="C1546" s="683"/>
      <c r="D1546" s="683"/>
      <c r="E1546" s="683"/>
      <c r="F1546" s="683"/>
      <c r="G1546" s="683"/>
      <c r="H1546" s="711"/>
      <c r="I1546" s="683"/>
      <c r="J1546" s="683"/>
      <c r="K1546" s="683"/>
      <c r="L1546" s="683"/>
      <c r="M1546" s="683"/>
      <c r="N1546" s="685"/>
      <c r="O1546" s="683"/>
      <c r="P1546" s="683"/>
      <c r="Q1546" s="683"/>
      <c r="R1546" s="683"/>
      <c r="S1546" s="683"/>
      <c r="T1546" s="683"/>
      <c r="U1546" s="683"/>
      <c r="V1546" s="683"/>
      <c r="W1546" s="683"/>
      <c r="X1546" s="683"/>
      <c r="Y1546" s="683"/>
      <c r="Z1546" s="683"/>
    </row>
    <row r="1547" spans="1:26" ht="15.75" customHeight="1" x14ac:dyDescent="0.25">
      <c r="A1547" s="683"/>
      <c r="B1547" s="683"/>
      <c r="C1547" s="683"/>
      <c r="D1547" s="683"/>
      <c r="E1547" s="683"/>
      <c r="F1547" s="683"/>
      <c r="G1547" s="683"/>
      <c r="H1547" s="711"/>
      <c r="I1547" s="683"/>
      <c r="J1547" s="683"/>
      <c r="K1547" s="683"/>
      <c r="L1547" s="683"/>
      <c r="M1547" s="683"/>
      <c r="N1547" s="685"/>
      <c r="O1547" s="683"/>
      <c r="P1547" s="683"/>
      <c r="Q1547" s="683"/>
      <c r="R1547" s="683"/>
      <c r="S1547" s="683"/>
      <c r="T1547" s="683"/>
      <c r="U1547" s="683"/>
      <c r="V1547" s="683"/>
      <c r="W1547" s="683"/>
      <c r="X1547" s="683"/>
      <c r="Y1547" s="683"/>
      <c r="Z1547" s="683"/>
    </row>
    <row r="1548" spans="1:26" ht="15.75" customHeight="1" x14ac:dyDescent="0.25">
      <c r="A1548" s="683"/>
      <c r="B1548" s="683"/>
      <c r="C1548" s="683"/>
      <c r="D1548" s="683"/>
      <c r="E1548" s="683"/>
      <c r="F1548" s="683"/>
      <c r="G1548" s="683"/>
      <c r="H1548" s="711"/>
      <c r="I1548" s="683"/>
      <c r="J1548" s="683"/>
      <c r="K1548" s="683"/>
      <c r="L1548" s="683"/>
      <c r="M1548" s="683"/>
      <c r="N1548" s="685"/>
      <c r="O1548" s="683"/>
      <c r="P1548" s="683"/>
      <c r="Q1548" s="683"/>
      <c r="R1548" s="683"/>
      <c r="S1548" s="683"/>
      <c r="T1548" s="683"/>
      <c r="U1548" s="683"/>
      <c r="V1548" s="683"/>
      <c r="W1548" s="683"/>
      <c r="X1548" s="683"/>
      <c r="Y1548" s="683"/>
      <c r="Z1548" s="683"/>
    </row>
    <row r="1549" spans="1:26" ht="15.75" customHeight="1" x14ac:dyDescent="0.25">
      <c r="A1549" s="683"/>
      <c r="B1549" s="683"/>
      <c r="C1549" s="683"/>
      <c r="D1549" s="683"/>
      <c r="E1549" s="683"/>
      <c r="F1549" s="683"/>
      <c r="G1549" s="683"/>
      <c r="H1549" s="711"/>
      <c r="I1549" s="683"/>
      <c r="J1549" s="683"/>
      <c r="K1549" s="683"/>
      <c r="L1549" s="683"/>
      <c r="M1549" s="683"/>
      <c r="N1549" s="685"/>
      <c r="O1549" s="683"/>
      <c r="P1549" s="683"/>
      <c r="Q1549" s="683"/>
      <c r="R1549" s="683"/>
      <c r="S1549" s="683"/>
      <c r="T1549" s="683"/>
      <c r="U1549" s="683"/>
      <c r="V1549" s="683"/>
      <c r="W1549" s="683"/>
      <c r="X1549" s="683"/>
      <c r="Y1549" s="683"/>
      <c r="Z1549" s="683"/>
    </row>
    <row r="1550" spans="1:26" ht="15.75" customHeight="1" x14ac:dyDescent="0.25">
      <c r="A1550" s="683"/>
      <c r="B1550" s="683"/>
      <c r="C1550" s="683"/>
      <c r="D1550" s="683"/>
      <c r="E1550" s="683"/>
      <c r="F1550" s="683"/>
      <c r="G1550" s="683"/>
      <c r="H1550" s="711"/>
      <c r="I1550" s="683"/>
      <c r="J1550" s="683"/>
      <c r="K1550" s="683"/>
      <c r="L1550" s="683"/>
      <c r="M1550" s="683"/>
      <c r="N1550" s="685"/>
      <c r="O1550" s="683"/>
      <c r="P1550" s="683"/>
      <c r="Q1550" s="683"/>
      <c r="R1550" s="683"/>
      <c r="S1550" s="683"/>
      <c r="T1550" s="683"/>
      <c r="U1550" s="683"/>
      <c r="V1550" s="683"/>
      <c r="W1550" s="683"/>
      <c r="X1550" s="683"/>
      <c r="Y1550" s="683"/>
      <c r="Z1550" s="683"/>
    </row>
    <row r="1551" spans="1:26" ht="15.75" customHeight="1" x14ac:dyDescent="0.25">
      <c r="A1551" s="683"/>
      <c r="B1551" s="683"/>
      <c r="C1551" s="683"/>
      <c r="D1551" s="683"/>
      <c r="E1551" s="683"/>
      <c r="F1551" s="683"/>
      <c r="G1551" s="683"/>
      <c r="H1551" s="711"/>
      <c r="I1551" s="683"/>
      <c r="J1551" s="683"/>
      <c r="K1551" s="683"/>
      <c r="L1551" s="683"/>
      <c r="M1551" s="683"/>
      <c r="N1551" s="685"/>
      <c r="O1551" s="683"/>
      <c r="P1551" s="683"/>
      <c r="Q1551" s="683"/>
      <c r="R1551" s="683"/>
      <c r="S1551" s="683"/>
      <c r="T1551" s="683"/>
      <c r="U1551" s="683"/>
      <c r="V1551" s="683"/>
      <c r="W1551" s="683"/>
      <c r="X1551" s="683"/>
      <c r="Y1551" s="683"/>
      <c r="Z1551" s="683"/>
    </row>
    <row r="1552" spans="1:26" ht="15.75" customHeight="1" x14ac:dyDescent="0.25">
      <c r="A1552" s="683"/>
      <c r="B1552" s="683"/>
      <c r="C1552" s="683"/>
      <c r="D1552" s="683"/>
      <c r="E1552" s="683"/>
      <c r="F1552" s="683"/>
      <c r="G1552" s="683"/>
      <c r="H1552" s="711"/>
      <c r="I1552" s="683"/>
      <c r="J1552" s="683"/>
      <c r="K1552" s="683"/>
      <c r="L1552" s="683"/>
      <c r="M1552" s="683"/>
      <c r="N1552" s="685"/>
      <c r="O1552" s="683"/>
      <c r="P1552" s="683"/>
      <c r="Q1552" s="683"/>
      <c r="R1552" s="683"/>
      <c r="S1552" s="683"/>
      <c r="T1552" s="683"/>
      <c r="U1552" s="683"/>
      <c r="V1552" s="683"/>
      <c r="W1552" s="683"/>
      <c r="X1552" s="683"/>
      <c r="Y1552" s="683"/>
      <c r="Z1552" s="683"/>
    </row>
    <row r="1553" spans="1:26" ht="15.75" customHeight="1" x14ac:dyDescent="0.25">
      <c r="A1553" s="683"/>
      <c r="B1553" s="683"/>
      <c r="C1553" s="683"/>
      <c r="D1553" s="683"/>
      <c r="E1553" s="683"/>
      <c r="F1553" s="683"/>
      <c r="G1553" s="683"/>
      <c r="H1553" s="711"/>
      <c r="I1553" s="683"/>
      <c r="J1553" s="683"/>
      <c r="K1553" s="683"/>
      <c r="L1553" s="683"/>
      <c r="M1553" s="683"/>
      <c r="N1553" s="685"/>
      <c r="O1553" s="683"/>
      <c r="P1553" s="683"/>
      <c r="Q1553" s="683"/>
      <c r="R1553" s="683"/>
      <c r="S1553" s="683"/>
      <c r="T1553" s="683"/>
      <c r="U1553" s="683"/>
      <c r="V1553" s="683"/>
      <c r="W1553" s="683"/>
      <c r="X1553" s="683"/>
      <c r="Y1553" s="683"/>
      <c r="Z1553" s="683"/>
    </row>
    <row r="1554" spans="1:26" ht="15.75" customHeight="1" x14ac:dyDescent="0.25">
      <c r="A1554" s="683"/>
      <c r="B1554" s="683"/>
      <c r="C1554" s="683"/>
      <c r="D1554" s="683"/>
      <c r="E1554" s="683"/>
      <c r="F1554" s="683"/>
      <c r="G1554" s="683"/>
      <c r="H1554" s="711"/>
      <c r="I1554" s="683"/>
      <c r="J1554" s="683"/>
      <c r="K1554" s="683"/>
      <c r="L1554" s="683"/>
      <c r="M1554" s="683"/>
      <c r="N1554" s="685"/>
      <c r="O1554" s="683"/>
      <c r="P1554" s="683"/>
      <c r="Q1554" s="683"/>
      <c r="R1554" s="683"/>
      <c r="S1554" s="683"/>
      <c r="T1554" s="683"/>
      <c r="U1554" s="683"/>
      <c r="V1554" s="683"/>
      <c r="W1554" s="683"/>
      <c r="X1554" s="683"/>
      <c r="Y1554" s="683"/>
      <c r="Z1554" s="683"/>
    </row>
    <row r="1555" spans="1:26" ht="15.75" customHeight="1" x14ac:dyDescent="0.25">
      <c r="A1555" s="683"/>
      <c r="B1555" s="683"/>
      <c r="C1555" s="683"/>
      <c r="D1555" s="683"/>
      <c r="E1555" s="683"/>
      <c r="F1555" s="683"/>
      <c r="G1555" s="683"/>
      <c r="H1555" s="711"/>
      <c r="I1555" s="683"/>
      <c r="J1555" s="683"/>
      <c r="K1555" s="683"/>
      <c r="L1555" s="683"/>
      <c r="M1555" s="683"/>
      <c r="N1555" s="685"/>
      <c r="O1555" s="683"/>
      <c r="P1555" s="683"/>
      <c r="Q1555" s="683"/>
      <c r="R1555" s="683"/>
      <c r="S1555" s="683"/>
      <c r="T1555" s="683"/>
      <c r="U1555" s="683"/>
      <c r="V1555" s="683"/>
      <c r="W1555" s="683"/>
      <c r="X1555" s="683"/>
      <c r="Y1555" s="683"/>
      <c r="Z1555" s="683"/>
    </row>
    <row r="1556" spans="1:26" ht="15.75" customHeight="1" x14ac:dyDescent="0.25">
      <c r="A1556" s="683"/>
      <c r="B1556" s="683"/>
      <c r="C1556" s="683"/>
      <c r="D1556" s="683"/>
      <c r="E1556" s="683"/>
      <c r="F1556" s="683"/>
      <c r="G1556" s="683"/>
      <c r="H1556" s="711"/>
      <c r="I1556" s="683"/>
      <c r="J1556" s="683"/>
      <c r="K1556" s="683"/>
      <c r="L1556" s="683"/>
      <c r="M1556" s="683"/>
      <c r="N1556" s="685"/>
      <c r="O1556" s="683"/>
      <c r="P1556" s="683"/>
      <c r="Q1556" s="683"/>
      <c r="R1556" s="683"/>
      <c r="S1556" s="683"/>
      <c r="T1556" s="683"/>
      <c r="U1556" s="683"/>
      <c r="V1556" s="683"/>
      <c r="W1556" s="683"/>
      <c r="X1556" s="683"/>
      <c r="Y1556" s="683"/>
      <c r="Z1556" s="683"/>
    </row>
    <row r="1557" spans="1:26" ht="15.75" customHeight="1" x14ac:dyDescent="0.25">
      <c r="A1557" s="683"/>
      <c r="B1557" s="683"/>
      <c r="C1557" s="683"/>
      <c r="D1557" s="683"/>
      <c r="E1557" s="683"/>
      <c r="F1557" s="683"/>
      <c r="G1557" s="683"/>
      <c r="H1557" s="711"/>
      <c r="I1557" s="683"/>
      <c r="J1557" s="683"/>
      <c r="K1557" s="683"/>
      <c r="L1557" s="683"/>
      <c r="M1557" s="683"/>
      <c r="N1557" s="685"/>
      <c r="O1557" s="683"/>
      <c r="P1557" s="683"/>
      <c r="Q1557" s="683"/>
      <c r="R1557" s="683"/>
      <c r="S1557" s="683"/>
      <c r="T1557" s="683"/>
      <c r="U1557" s="683"/>
      <c r="V1557" s="683"/>
      <c r="W1557" s="683"/>
      <c r="X1557" s="683"/>
      <c r="Y1557" s="683"/>
      <c r="Z1557" s="683"/>
    </row>
    <row r="1558" spans="1:26" ht="15.75" customHeight="1" x14ac:dyDescent="0.25">
      <c r="A1558" s="683"/>
      <c r="B1558" s="683"/>
      <c r="C1558" s="683"/>
      <c r="D1558" s="683"/>
      <c r="E1558" s="683"/>
      <c r="F1558" s="683"/>
      <c r="G1558" s="683"/>
      <c r="H1558" s="711"/>
      <c r="I1558" s="683"/>
      <c r="J1558" s="683"/>
      <c r="K1558" s="683"/>
      <c r="L1558" s="683"/>
      <c r="M1558" s="683"/>
      <c r="N1558" s="685"/>
      <c r="O1558" s="683"/>
      <c r="P1558" s="683"/>
      <c r="Q1558" s="683"/>
      <c r="R1558" s="683"/>
      <c r="S1558" s="683"/>
      <c r="T1558" s="683"/>
      <c r="U1558" s="683"/>
      <c r="V1558" s="683"/>
      <c r="W1558" s="683"/>
      <c r="X1558" s="683"/>
      <c r="Y1558" s="683"/>
      <c r="Z1558" s="683"/>
    </row>
    <row r="1559" spans="1:26" ht="15.75" customHeight="1" x14ac:dyDescent="0.25">
      <c r="A1559" s="683"/>
      <c r="B1559" s="683"/>
      <c r="C1559" s="683"/>
      <c r="D1559" s="683"/>
      <c r="E1559" s="683"/>
      <c r="F1559" s="683"/>
      <c r="G1559" s="683"/>
      <c r="H1559" s="711"/>
      <c r="I1559" s="683"/>
      <c r="J1559" s="683"/>
      <c r="K1559" s="683"/>
      <c r="L1559" s="683"/>
      <c r="M1559" s="683"/>
      <c r="N1559" s="685"/>
      <c r="O1559" s="683"/>
      <c r="P1559" s="683"/>
      <c r="Q1559" s="683"/>
      <c r="R1559" s="683"/>
      <c r="S1559" s="683"/>
      <c r="T1559" s="683"/>
      <c r="U1559" s="683"/>
      <c r="V1559" s="683"/>
      <c r="W1559" s="683"/>
      <c r="X1559" s="683"/>
      <c r="Y1559" s="683"/>
      <c r="Z1559" s="683"/>
    </row>
    <row r="1560" spans="1:26" ht="15.75" customHeight="1" x14ac:dyDescent="0.25">
      <c r="A1560" s="683"/>
      <c r="B1560" s="683"/>
      <c r="C1560" s="683"/>
      <c r="D1560" s="683"/>
      <c r="E1560" s="683"/>
      <c r="F1560" s="683"/>
      <c r="G1560" s="683"/>
      <c r="H1560" s="711"/>
      <c r="I1560" s="683"/>
      <c r="J1560" s="683"/>
      <c r="K1560" s="683"/>
      <c r="L1560" s="683"/>
      <c r="M1560" s="683"/>
      <c r="N1560" s="685"/>
      <c r="O1560" s="683"/>
      <c r="P1560" s="683"/>
      <c r="Q1560" s="683"/>
      <c r="R1560" s="683"/>
      <c r="S1560" s="683"/>
      <c r="T1560" s="683"/>
      <c r="U1560" s="683"/>
      <c r="V1560" s="683"/>
      <c r="W1560" s="683"/>
      <c r="X1560" s="683"/>
      <c r="Y1560" s="683"/>
      <c r="Z1560" s="683"/>
    </row>
    <row r="1561" spans="1:26" ht="15.75" customHeight="1" x14ac:dyDescent="0.25">
      <c r="A1561" s="683"/>
      <c r="B1561" s="683"/>
      <c r="C1561" s="683"/>
      <c r="D1561" s="683"/>
      <c r="E1561" s="683"/>
      <c r="F1561" s="683"/>
      <c r="G1561" s="683"/>
      <c r="H1561" s="711"/>
      <c r="I1561" s="683"/>
      <c r="J1561" s="683"/>
      <c r="K1561" s="683"/>
      <c r="L1561" s="683"/>
      <c r="M1561" s="683"/>
      <c r="N1561" s="685"/>
      <c r="O1561" s="683"/>
      <c r="P1561" s="683"/>
      <c r="Q1561" s="683"/>
      <c r="R1561" s="683"/>
      <c r="S1561" s="683"/>
      <c r="T1561" s="683"/>
      <c r="U1561" s="683"/>
      <c r="V1561" s="683"/>
      <c r="W1561" s="683"/>
      <c r="X1561" s="683"/>
      <c r="Y1561" s="683"/>
      <c r="Z1561" s="683"/>
    </row>
    <row r="1562" spans="1:26" ht="15.75" customHeight="1" x14ac:dyDescent="0.25">
      <c r="A1562" s="683"/>
      <c r="B1562" s="683"/>
      <c r="C1562" s="683"/>
      <c r="D1562" s="683"/>
      <c r="E1562" s="683"/>
      <c r="F1562" s="683"/>
      <c r="G1562" s="683"/>
      <c r="H1562" s="711"/>
      <c r="I1562" s="683"/>
      <c r="J1562" s="683"/>
      <c r="K1562" s="683"/>
      <c r="L1562" s="683"/>
      <c r="M1562" s="683"/>
      <c r="N1562" s="685"/>
      <c r="O1562" s="683"/>
      <c r="P1562" s="683"/>
      <c r="Q1562" s="683"/>
      <c r="R1562" s="683"/>
      <c r="S1562" s="683"/>
      <c r="T1562" s="683"/>
      <c r="U1562" s="683"/>
      <c r="V1562" s="683"/>
      <c r="W1562" s="683"/>
      <c r="X1562" s="683"/>
      <c r="Y1562" s="683"/>
      <c r="Z1562" s="683"/>
    </row>
    <row r="1563" spans="1:26" ht="15.75" customHeight="1" x14ac:dyDescent="0.25">
      <c r="A1563" s="683"/>
      <c r="B1563" s="683"/>
      <c r="C1563" s="683"/>
      <c r="D1563" s="683"/>
      <c r="E1563" s="683"/>
      <c r="F1563" s="683"/>
      <c r="G1563" s="683"/>
      <c r="H1563" s="711"/>
      <c r="I1563" s="683"/>
      <c r="J1563" s="683"/>
      <c r="K1563" s="683"/>
      <c r="L1563" s="683"/>
      <c r="M1563" s="683"/>
      <c r="N1563" s="685"/>
      <c r="O1563" s="683"/>
      <c r="P1563" s="683"/>
      <c r="Q1563" s="683"/>
      <c r="R1563" s="683"/>
      <c r="S1563" s="683"/>
      <c r="T1563" s="683"/>
      <c r="U1563" s="683"/>
      <c r="V1563" s="683"/>
      <c r="W1563" s="683"/>
      <c r="X1563" s="683"/>
      <c r="Y1563" s="683"/>
      <c r="Z1563" s="683"/>
    </row>
    <row r="1564" spans="1:26" ht="15.75" customHeight="1" x14ac:dyDescent="0.25">
      <c r="A1564" s="683"/>
      <c r="B1564" s="683"/>
      <c r="C1564" s="683"/>
      <c r="D1564" s="683"/>
      <c r="E1564" s="683"/>
      <c r="F1564" s="683"/>
      <c r="G1564" s="683"/>
      <c r="H1564" s="711"/>
      <c r="I1564" s="683"/>
      <c r="J1564" s="683"/>
      <c r="K1564" s="683"/>
      <c r="L1564" s="683"/>
      <c r="M1564" s="683"/>
      <c r="N1564" s="685"/>
      <c r="O1564" s="683"/>
      <c r="P1564" s="683"/>
      <c r="Q1564" s="683"/>
      <c r="R1564" s="683"/>
      <c r="S1564" s="683"/>
      <c r="T1564" s="683"/>
      <c r="U1564" s="683"/>
      <c r="V1564" s="683"/>
      <c r="W1564" s="683"/>
      <c r="X1564" s="683"/>
      <c r="Y1564" s="683"/>
      <c r="Z1564" s="683"/>
    </row>
    <row r="1565" spans="1:26" ht="15.75" customHeight="1" x14ac:dyDescent="0.25">
      <c r="A1565" s="683"/>
      <c r="B1565" s="683"/>
      <c r="C1565" s="683"/>
      <c r="D1565" s="683"/>
      <c r="E1565" s="683"/>
      <c r="F1565" s="683"/>
      <c r="G1565" s="683"/>
      <c r="H1565" s="711"/>
      <c r="I1565" s="683"/>
      <c r="J1565" s="683"/>
      <c r="K1565" s="683"/>
      <c r="L1565" s="683"/>
      <c r="M1565" s="683"/>
      <c r="N1565" s="685"/>
      <c r="O1565" s="683"/>
      <c r="P1565" s="683"/>
      <c r="Q1565" s="683"/>
      <c r="R1565" s="683"/>
      <c r="S1565" s="683"/>
      <c r="T1565" s="683"/>
      <c r="U1565" s="683"/>
      <c r="V1565" s="683"/>
      <c r="W1565" s="683"/>
      <c r="X1565" s="683"/>
      <c r="Y1565" s="683"/>
      <c r="Z1565" s="683"/>
    </row>
    <row r="1566" spans="1:26" ht="15.75" customHeight="1" x14ac:dyDescent="0.25">
      <c r="A1566" s="683"/>
      <c r="B1566" s="683"/>
      <c r="C1566" s="683"/>
      <c r="D1566" s="683"/>
      <c r="E1566" s="683"/>
      <c r="F1566" s="683"/>
      <c r="G1566" s="683"/>
      <c r="H1566" s="711"/>
      <c r="I1566" s="683"/>
      <c r="J1566" s="683"/>
      <c r="K1566" s="683"/>
      <c r="L1566" s="683"/>
      <c r="M1566" s="683"/>
      <c r="N1566" s="685"/>
      <c r="O1566" s="683"/>
      <c r="P1566" s="683"/>
      <c r="Q1566" s="683"/>
      <c r="R1566" s="683"/>
      <c r="S1566" s="683"/>
      <c r="T1566" s="683"/>
      <c r="U1566" s="683"/>
      <c r="V1566" s="683"/>
      <c r="W1566" s="683"/>
      <c r="X1566" s="683"/>
      <c r="Y1566" s="683"/>
      <c r="Z1566" s="683"/>
    </row>
    <row r="1567" spans="1:26" ht="15.75" customHeight="1" x14ac:dyDescent="0.25">
      <c r="A1567" s="683"/>
      <c r="B1567" s="683"/>
      <c r="C1567" s="683"/>
      <c r="D1567" s="683"/>
      <c r="E1567" s="683"/>
      <c r="F1567" s="683"/>
      <c r="G1567" s="683"/>
      <c r="H1567" s="711"/>
      <c r="I1567" s="683"/>
      <c r="J1567" s="683"/>
      <c r="K1567" s="683"/>
      <c r="L1567" s="683"/>
      <c r="M1567" s="683"/>
      <c r="N1567" s="685"/>
      <c r="O1567" s="683"/>
      <c r="P1567" s="683"/>
      <c r="Q1567" s="683"/>
      <c r="R1567" s="683"/>
      <c r="S1567" s="683"/>
      <c r="T1567" s="683"/>
      <c r="U1567" s="683"/>
      <c r="V1567" s="683"/>
      <c r="W1567" s="683"/>
      <c r="X1567" s="683"/>
      <c r="Y1567" s="683"/>
      <c r="Z1567" s="683"/>
    </row>
    <row r="1568" spans="1:26" ht="15.75" customHeight="1" x14ac:dyDescent="0.25">
      <c r="A1568" s="683"/>
      <c r="B1568" s="683"/>
      <c r="C1568" s="683"/>
      <c r="D1568" s="683"/>
      <c r="E1568" s="683"/>
      <c r="F1568" s="683"/>
      <c r="G1568" s="683"/>
      <c r="H1568" s="711"/>
      <c r="I1568" s="683"/>
      <c r="J1568" s="683"/>
      <c r="K1568" s="683"/>
      <c r="L1568" s="683"/>
      <c r="M1568" s="683"/>
      <c r="N1568" s="685"/>
      <c r="O1568" s="683"/>
      <c r="P1568" s="683"/>
      <c r="Q1568" s="683"/>
      <c r="R1568" s="683"/>
      <c r="S1568" s="683"/>
      <c r="T1568" s="683"/>
      <c r="U1568" s="683"/>
      <c r="V1568" s="683"/>
      <c r="W1568" s="683"/>
      <c r="X1568" s="683"/>
      <c r="Y1568" s="683"/>
      <c r="Z1568" s="683"/>
    </row>
    <row r="1569" spans="1:26" ht="15.75" customHeight="1" x14ac:dyDescent="0.25">
      <c r="A1569" s="683"/>
      <c r="B1569" s="683"/>
      <c r="C1569" s="683"/>
      <c r="D1569" s="683"/>
      <c r="E1569" s="683"/>
      <c r="F1569" s="683"/>
      <c r="G1569" s="683"/>
      <c r="H1569" s="711"/>
      <c r="I1569" s="683"/>
      <c r="J1569" s="683"/>
      <c r="K1569" s="683"/>
      <c r="L1569" s="683"/>
      <c r="M1569" s="683"/>
      <c r="N1569" s="685"/>
      <c r="O1569" s="683"/>
      <c r="P1569" s="683"/>
      <c r="Q1569" s="683"/>
      <c r="R1569" s="683"/>
      <c r="S1569" s="683"/>
      <c r="T1569" s="683"/>
      <c r="U1569" s="683"/>
      <c r="V1569" s="683"/>
      <c r="W1569" s="683"/>
      <c r="X1569" s="683"/>
      <c r="Y1569" s="683"/>
      <c r="Z1569" s="683"/>
    </row>
    <row r="1570" spans="1:26" ht="15.75" customHeight="1" x14ac:dyDescent="0.25">
      <c r="A1570" s="683"/>
      <c r="B1570" s="683"/>
      <c r="C1570" s="683"/>
      <c r="D1570" s="683"/>
      <c r="E1570" s="683"/>
      <c r="F1570" s="683"/>
      <c r="G1570" s="683"/>
      <c r="H1570" s="711"/>
      <c r="I1570" s="683"/>
      <c r="J1570" s="683"/>
      <c r="K1570" s="683"/>
      <c r="L1570" s="683"/>
      <c r="M1570" s="683"/>
      <c r="N1570" s="685"/>
      <c r="O1570" s="683"/>
      <c r="P1570" s="683"/>
      <c r="Q1570" s="683"/>
      <c r="R1570" s="683"/>
      <c r="S1570" s="683"/>
      <c r="T1570" s="683"/>
      <c r="U1570" s="683"/>
      <c r="V1570" s="683"/>
      <c r="W1570" s="683"/>
      <c r="X1570" s="683"/>
      <c r="Y1570" s="683"/>
      <c r="Z1570" s="683"/>
    </row>
    <row r="1571" spans="1:26" ht="15.75" customHeight="1" x14ac:dyDescent="0.25">
      <c r="A1571" s="683"/>
      <c r="B1571" s="683"/>
      <c r="C1571" s="683"/>
      <c r="D1571" s="683"/>
      <c r="E1571" s="683"/>
      <c r="F1571" s="683"/>
      <c r="G1571" s="683"/>
      <c r="H1571" s="711"/>
      <c r="I1571" s="683"/>
      <c r="J1571" s="683"/>
      <c r="K1571" s="683"/>
      <c r="L1571" s="683"/>
      <c r="M1571" s="683"/>
      <c r="N1571" s="685"/>
      <c r="O1571" s="683"/>
      <c r="P1571" s="683"/>
      <c r="Q1571" s="683"/>
      <c r="R1571" s="683"/>
      <c r="S1571" s="683"/>
      <c r="T1571" s="683"/>
      <c r="U1571" s="683"/>
      <c r="V1571" s="683"/>
      <c r="W1571" s="683"/>
      <c r="X1571" s="683"/>
      <c r="Y1571" s="683"/>
      <c r="Z1571" s="683"/>
    </row>
    <row r="1572" spans="1:26" ht="15.75" customHeight="1" x14ac:dyDescent="0.25">
      <c r="A1572" s="683"/>
      <c r="B1572" s="683"/>
      <c r="C1572" s="683"/>
      <c r="D1572" s="683"/>
      <c r="E1572" s="683"/>
      <c r="F1572" s="683"/>
      <c r="G1572" s="683"/>
      <c r="H1572" s="711"/>
      <c r="I1572" s="683"/>
      <c r="J1572" s="683"/>
      <c r="K1572" s="683"/>
      <c r="L1572" s="683"/>
      <c r="M1572" s="683"/>
      <c r="N1572" s="685"/>
      <c r="O1572" s="683"/>
      <c r="P1572" s="683"/>
      <c r="Q1572" s="683"/>
      <c r="R1572" s="683"/>
      <c r="S1572" s="683"/>
      <c r="T1572" s="683"/>
      <c r="U1572" s="683"/>
      <c r="V1572" s="683"/>
      <c r="W1572" s="683"/>
      <c r="X1572" s="683"/>
      <c r="Y1572" s="683"/>
      <c r="Z1572" s="683"/>
    </row>
    <row r="1573" spans="1:26" ht="15.75" customHeight="1" x14ac:dyDescent="0.25">
      <c r="A1573" s="683"/>
      <c r="B1573" s="683"/>
      <c r="C1573" s="683"/>
      <c r="D1573" s="683"/>
      <c r="E1573" s="683"/>
      <c r="F1573" s="683"/>
      <c r="G1573" s="683"/>
      <c r="H1573" s="711"/>
      <c r="I1573" s="683"/>
      <c r="J1573" s="683"/>
      <c r="K1573" s="683"/>
      <c r="L1573" s="683"/>
      <c r="M1573" s="683"/>
      <c r="N1573" s="685"/>
      <c r="O1573" s="683"/>
      <c r="P1573" s="683"/>
      <c r="Q1573" s="683"/>
      <c r="R1573" s="683"/>
      <c r="S1573" s="683"/>
      <c r="T1573" s="683"/>
      <c r="U1573" s="683"/>
      <c r="V1573" s="683"/>
      <c r="W1573" s="683"/>
      <c r="X1573" s="683"/>
      <c r="Y1573" s="683"/>
      <c r="Z1573" s="683"/>
    </row>
    <row r="1574" spans="1:26" ht="15.75" customHeight="1" x14ac:dyDescent="0.25">
      <c r="A1574" s="683"/>
      <c r="B1574" s="683"/>
      <c r="C1574" s="683"/>
      <c r="D1574" s="683"/>
      <c r="E1574" s="683"/>
      <c r="F1574" s="683"/>
      <c r="G1574" s="683"/>
      <c r="H1574" s="711"/>
      <c r="I1574" s="683"/>
      <c r="J1574" s="683"/>
      <c r="K1574" s="683"/>
      <c r="L1574" s="683"/>
      <c r="M1574" s="683"/>
      <c r="N1574" s="685"/>
      <c r="O1574" s="683"/>
      <c r="P1574" s="683"/>
      <c r="Q1574" s="683"/>
      <c r="R1574" s="683"/>
      <c r="S1574" s="683"/>
      <c r="T1574" s="683"/>
      <c r="U1574" s="683"/>
      <c r="V1574" s="683"/>
      <c r="W1574" s="683"/>
      <c r="X1574" s="683"/>
      <c r="Y1574" s="683"/>
      <c r="Z1574" s="683"/>
    </row>
    <row r="1575" spans="1:26" ht="15.75" customHeight="1" x14ac:dyDescent="0.25">
      <c r="A1575" s="683"/>
      <c r="B1575" s="683"/>
      <c r="C1575" s="683"/>
      <c r="D1575" s="683"/>
      <c r="E1575" s="683"/>
      <c r="F1575" s="683"/>
      <c r="G1575" s="683"/>
      <c r="H1575" s="711"/>
      <c r="I1575" s="683"/>
      <c r="J1575" s="683"/>
      <c r="K1575" s="683"/>
      <c r="L1575" s="683"/>
      <c r="M1575" s="683"/>
      <c r="N1575" s="685"/>
      <c r="O1575" s="683"/>
      <c r="P1575" s="683"/>
      <c r="Q1575" s="683"/>
      <c r="R1575" s="683"/>
      <c r="S1575" s="683"/>
      <c r="T1575" s="683"/>
      <c r="U1575" s="683"/>
      <c r="V1575" s="683"/>
      <c r="W1575" s="683"/>
      <c r="X1575" s="683"/>
      <c r="Y1575" s="683"/>
      <c r="Z1575" s="683"/>
    </row>
    <row r="1576" spans="1:26" ht="15.75" customHeight="1" x14ac:dyDescent="0.25">
      <c r="A1576" s="683"/>
      <c r="B1576" s="683"/>
      <c r="C1576" s="683"/>
      <c r="D1576" s="683"/>
      <c r="E1576" s="683"/>
      <c r="F1576" s="683"/>
      <c r="G1576" s="683"/>
      <c r="H1576" s="711"/>
      <c r="I1576" s="683"/>
      <c r="J1576" s="683"/>
      <c r="K1576" s="683"/>
      <c r="L1576" s="683"/>
      <c r="M1576" s="683"/>
      <c r="N1576" s="685"/>
      <c r="O1576" s="683"/>
      <c r="P1576" s="683"/>
      <c r="Q1576" s="683"/>
      <c r="R1576" s="683"/>
      <c r="S1576" s="683"/>
      <c r="T1576" s="683"/>
      <c r="U1576" s="683"/>
      <c r="V1576" s="683"/>
      <c r="W1576" s="683"/>
      <c r="X1576" s="683"/>
      <c r="Y1576" s="683"/>
      <c r="Z1576" s="683"/>
    </row>
    <row r="1577" spans="1:26" ht="15.75" customHeight="1" x14ac:dyDescent="0.25">
      <c r="A1577" s="683"/>
      <c r="B1577" s="683"/>
      <c r="C1577" s="683"/>
      <c r="D1577" s="683"/>
      <c r="E1577" s="683"/>
      <c r="F1577" s="683"/>
      <c r="G1577" s="683"/>
      <c r="H1577" s="711"/>
      <c r="I1577" s="683"/>
      <c r="J1577" s="683"/>
      <c r="K1577" s="683"/>
      <c r="L1577" s="683"/>
      <c r="M1577" s="683"/>
      <c r="N1577" s="685"/>
      <c r="O1577" s="683"/>
      <c r="P1577" s="683"/>
      <c r="Q1577" s="683"/>
      <c r="R1577" s="683"/>
      <c r="S1577" s="683"/>
      <c r="T1577" s="683"/>
      <c r="U1577" s="683"/>
      <c r="V1577" s="683"/>
      <c r="W1577" s="683"/>
      <c r="X1577" s="683"/>
      <c r="Y1577" s="683"/>
      <c r="Z1577" s="683"/>
    </row>
    <row r="1578" spans="1:26" ht="15.75" customHeight="1" x14ac:dyDescent="0.25">
      <c r="A1578" s="683"/>
      <c r="B1578" s="683"/>
      <c r="C1578" s="683"/>
      <c r="D1578" s="683"/>
      <c r="E1578" s="683"/>
      <c r="F1578" s="683"/>
      <c r="G1578" s="683"/>
      <c r="H1578" s="711"/>
      <c r="I1578" s="683"/>
      <c r="J1578" s="683"/>
      <c r="K1578" s="683"/>
      <c r="L1578" s="683"/>
      <c r="M1578" s="683"/>
      <c r="N1578" s="685"/>
      <c r="O1578" s="683"/>
      <c r="P1578" s="683"/>
      <c r="Q1578" s="683"/>
      <c r="R1578" s="683"/>
      <c r="S1578" s="683"/>
      <c r="T1578" s="683"/>
      <c r="U1578" s="683"/>
      <c r="V1578" s="683"/>
      <c r="W1578" s="683"/>
      <c r="X1578" s="683"/>
      <c r="Y1578" s="683"/>
      <c r="Z1578" s="683"/>
    </row>
    <row r="1579" spans="1:26" ht="15.75" customHeight="1" x14ac:dyDescent="0.25">
      <c r="A1579" s="683"/>
      <c r="B1579" s="683"/>
      <c r="C1579" s="683"/>
      <c r="D1579" s="683"/>
      <c r="E1579" s="683"/>
      <c r="F1579" s="683"/>
      <c r="G1579" s="683"/>
      <c r="H1579" s="711"/>
      <c r="I1579" s="683"/>
      <c r="J1579" s="683"/>
      <c r="K1579" s="683"/>
      <c r="L1579" s="683"/>
      <c r="M1579" s="683"/>
      <c r="N1579" s="685"/>
      <c r="O1579" s="683"/>
      <c r="P1579" s="683"/>
      <c r="Q1579" s="683"/>
      <c r="R1579" s="683"/>
      <c r="S1579" s="683"/>
      <c r="T1579" s="683"/>
      <c r="U1579" s="683"/>
      <c r="V1579" s="683"/>
      <c r="W1579" s="683"/>
      <c r="X1579" s="683"/>
      <c r="Y1579" s="683"/>
      <c r="Z1579" s="683"/>
    </row>
    <row r="1580" spans="1:26" ht="15.75" customHeight="1" x14ac:dyDescent="0.25">
      <c r="A1580" s="683"/>
      <c r="B1580" s="683"/>
      <c r="C1580" s="683"/>
      <c r="D1580" s="683"/>
      <c r="E1580" s="683"/>
      <c r="F1580" s="683"/>
      <c r="G1580" s="683"/>
      <c r="H1580" s="711"/>
      <c r="I1580" s="683"/>
      <c r="J1580" s="683"/>
      <c r="K1580" s="683"/>
      <c r="L1580" s="683"/>
      <c r="M1580" s="683"/>
      <c r="N1580" s="685"/>
      <c r="O1580" s="683"/>
      <c r="P1580" s="683"/>
      <c r="Q1580" s="683"/>
      <c r="R1580" s="683"/>
      <c r="S1580" s="683"/>
      <c r="T1580" s="683"/>
      <c r="U1580" s="683"/>
      <c r="V1580" s="683"/>
      <c r="W1580" s="683"/>
      <c r="X1580" s="683"/>
      <c r="Y1580" s="683"/>
      <c r="Z1580" s="683"/>
    </row>
    <row r="1581" spans="1:26" ht="15.75" customHeight="1" x14ac:dyDescent="0.25">
      <c r="A1581" s="683"/>
      <c r="B1581" s="683"/>
      <c r="C1581" s="683"/>
      <c r="D1581" s="683"/>
      <c r="E1581" s="683"/>
      <c r="F1581" s="683"/>
      <c r="G1581" s="683"/>
      <c r="H1581" s="711"/>
      <c r="I1581" s="683"/>
      <c r="J1581" s="683"/>
      <c r="K1581" s="683"/>
      <c r="L1581" s="683"/>
      <c r="M1581" s="683"/>
      <c r="N1581" s="685"/>
      <c r="O1581" s="683"/>
      <c r="P1581" s="683"/>
      <c r="Q1581" s="683"/>
      <c r="R1581" s="683"/>
      <c r="S1581" s="683"/>
      <c r="T1581" s="683"/>
      <c r="U1581" s="683"/>
      <c r="V1581" s="683"/>
      <c r="W1581" s="683"/>
      <c r="X1581" s="683"/>
      <c r="Y1581" s="683"/>
      <c r="Z1581" s="683"/>
    </row>
    <row r="1582" spans="1:26" ht="15.75" customHeight="1" x14ac:dyDescent="0.25">
      <c r="A1582" s="683"/>
      <c r="B1582" s="683"/>
      <c r="C1582" s="683"/>
      <c r="D1582" s="683"/>
      <c r="E1582" s="683"/>
      <c r="F1582" s="683"/>
      <c r="G1582" s="683"/>
      <c r="H1582" s="711"/>
      <c r="I1582" s="683"/>
      <c r="J1582" s="683"/>
      <c r="K1582" s="683"/>
      <c r="L1582" s="683"/>
      <c r="M1582" s="683"/>
      <c r="N1582" s="685"/>
      <c r="O1582" s="683"/>
      <c r="P1582" s="683"/>
      <c r="Q1582" s="683"/>
      <c r="R1582" s="683"/>
      <c r="S1582" s="683"/>
      <c r="T1582" s="683"/>
      <c r="U1582" s="683"/>
      <c r="V1582" s="683"/>
      <c r="W1582" s="683"/>
      <c r="X1582" s="683"/>
      <c r="Y1582" s="683"/>
      <c r="Z1582" s="683"/>
    </row>
    <row r="1583" spans="1:26" ht="15.75" customHeight="1" x14ac:dyDescent="0.25">
      <c r="A1583" s="683"/>
      <c r="B1583" s="683"/>
      <c r="C1583" s="683"/>
      <c r="D1583" s="683"/>
      <c r="E1583" s="683"/>
      <c r="F1583" s="683"/>
      <c r="G1583" s="683"/>
      <c r="H1583" s="711"/>
      <c r="I1583" s="683"/>
      <c r="J1583" s="683"/>
      <c r="K1583" s="683"/>
      <c r="L1583" s="683"/>
      <c r="M1583" s="683"/>
      <c r="N1583" s="685"/>
      <c r="O1583" s="683"/>
      <c r="P1583" s="683"/>
      <c r="Q1583" s="683"/>
      <c r="R1583" s="683"/>
      <c r="S1583" s="683"/>
      <c r="T1583" s="683"/>
      <c r="U1583" s="683"/>
      <c r="V1583" s="683"/>
      <c r="W1583" s="683"/>
      <c r="X1583" s="683"/>
      <c r="Y1583" s="683"/>
      <c r="Z1583" s="683"/>
    </row>
    <row r="1584" spans="1:26" ht="15.75" customHeight="1" x14ac:dyDescent="0.25">
      <c r="A1584" s="683"/>
      <c r="B1584" s="683"/>
      <c r="C1584" s="683"/>
      <c r="D1584" s="683"/>
      <c r="E1584" s="683"/>
      <c r="F1584" s="683"/>
      <c r="G1584" s="683"/>
      <c r="H1584" s="711"/>
      <c r="I1584" s="683"/>
      <c r="J1584" s="683"/>
      <c r="K1584" s="683"/>
      <c r="L1584" s="683"/>
      <c r="M1584" s="683"/>
      <c r="N1584" s="685"/>
      <c r="O1584" s="683"/>
      <c r="P1584" s="683"/>
      <c r="Q1584" s="683"/>
      <c r="R1584" s="683"/>
      <c r="S1584" s="683"/>
      <c r="T1584" s="683"/>
      <c r="U1584" s="683"/>
      <c r="V1584" s="683"/>
      <c r="W1584" s="683"/>
      <c r="X1584" s="683"/>
      <c r="Y1584" s="683"/>
      <c r="Z1584" s="683"/>
    </row>
    <row r="1585" spans="1:26" ht="15.75" customHeight="1" x14ac:dyDescent="0.25">
      <c r="A1585" s="683"/>
      <c r="B1585" s="683"/>
      <c r="C1585" s="683"/>
      <c r="D1585" s="683"/>
      <c r="E1585" s="683"/>
      <c r="F1585" s="683"/>
      <c r="G1585" s="683"/>
      <c r="H1585" s="711"/>
      <c r="I1585" s="683"/>
      <c r="J1585" s="683"/>
      <c r="K1585" s="683"/>
      <c r="L1585" s="683"/>
      <c r="M1585" s="683"/>
      <c r="N1585" s="685"/>
      <c r="O1585" s="683"/>
      <c r="P1585" s="683"/>
      <c r="Q1585" s="683"/>
      <c r="R1585" s="683"/>
      <c r="S1585" s="683"/>
      <c r="T1585" s="683"/>
      <c r="U1585" s="683"/>
      <c r="V1585" s="683"/>
      <c r="W1585" s="683"/>
      <c r="X1585" s="683"/>
      <c r="Y1585" s="683"/>
      <c r="Z1585" s="683"/>
    </row>
    <row r="1586" spans="1:26" ht="15.75" customHeight="1" x14ac:dyDescent="0.25">
      <c r="A1586" s="683"/>
      <c r="B1586" s="683"/>
      <c r="C1586" s="683"/>
      <c r="D1586" s="683"/>
      <c r="E1586" s="683"/>
      <c r="F1586" s="683"/>
      <c r="G1586" s="683"/>
      <c r="H1586" s="711"/>
      <c r="I1586" s="683"/>
      <c r="J1586" s="683"/>
      <c r="K1586" s="683"/>
      <c r="L1586" s="683"/>
      <c r="M1586" s="683"/>
      <c r="N1586" s="685"/>
      <c r="O1586" s="683"/>
      <c r="P1586" s="683"/>
      <c r="Q1586" s="683"/>
      <c r="R1586" s="683"/>
      <c r="S1586" s="683"/>
      <c r="T1586" s="683"/>
      <c r="U1586" s="683"/>
      <c r="V1586" s="683"/>
      <c r="W1586" s="683"/>
      <c r="X1586" s="683"/>
      <c r="Y1586" s="683"/>
      <c r="Z1586" s="683"/>
    </row>
    <row r="1587" spans="1:26" ht="15.75" customHeight="1" x14ac:dyDescent="0.25">
      <c r="A1587" s="683"/>
      <c r="B1587" s="683"/>
      <c r="C1587" s="683"/>
      <c r="D1587" s="683"/>
      <c r="E1587" s="683"/>
      <c r="F1587" s="683"/>
      <c r="G1587" s="683"/>
      <c r="H1587" s="711"/>
      <c r="I1587" s="683"/>
      <c r="J1587" s="683"/>
      <c r="K1587" s="683"/>
      <c r="L1587" s="683"/>
      <c r="M1587" s="683"/>
      <c r="N1587" s="685"/>
      <c r="O1587" s="683"/>
      <c r="P1587" s="683"/>
      <c r="Q1587" s="683"/>
      <c r="R1587" s="683"/>
      <c r="S1587" s="683"/>
      <c r="T1587" s="683"/>
      <c r="U1587" s="683"/>
      <c r="V1587" s="683"/>
      <c r="W1587" s="683"/>
      <c r="X1587" s="683"/>
      <c r="Y1587" s="683"/>
      <c r="Z1587" s="683"/>
    </row>
    <row r="1588" spans="1:26" ht="15.75" customHeight="1" x14ac:dyDescent="0.25">
      <c r="A1588" s="683"/>
      <c r="B1588" s="683"/>
      <c r="C1588" s="683"/>
      <c r="D1588" s="683"/>
      <c r="E1588" s="683"/>
      <c r="F1588" s="683"/>
      <c r="G1588" s="683"/>
      <c r="H1588" s="711"/>
      <c r="I1588" s="683"/>
      <c r="J1588" s="683"/>
      <c r="K1588" s="683"/>
      <c r="L1588" s="683"/>
      <c r="M1588" s="683"/>
      <c r="N1588" s="685"/>
      <c r="O1588" s="683"/>
      <c r="P1588" s="683"/>
      <c r="Q1588" s="683"/>
      <c r="R1588" s="683"/>
      <c r="S1588" s="683"/>
      <c r="T1588" s="683"/>
      <c r="U1588" s="683"/>
      <c r="V1588" s="683"/>
      <c r="W1588" s="683"/>
      <c r="X1588" s="683"/>
      <c r="Y1588" s="683"/>
      <c r="Z1588" s="683"/>
    </row>
    <row r="1589" spans="1:26" ht="15.75" customHeight="1" x14ac:dyDescent="0.25">
      <c r="A1589" s="683"/>
      <c r="B1589" s="683"/>
      <c r="C1589" s="683"/>
      <c r="D1589" s="683"/>
      <c r="E1589" s="683"/>
      <c r="F1589" s="683"/>
      <c r="G1589" s="683"/>
      <c r="H1589" s="711"/>
      <c r="I1589" s="683"/>
      <c r="J1589" s="683"/>
      <c r="K1589" s="683"/>
      <c r="L1589" s="683"/>
      <c r="M1589" s="683"/>
      <c r="N1589" s="685"/>
      <c r="O1589" s="683"/>
      <c r="P1589" s="683"/>
      <c r="Q1589" s="683"/>
      <c r="R1589" s="683"/>
      <c r="S1589" s="683"/>
      <c r="T1589" s="683"/>
      <c r="U1589" s="683"/>
      <c r="V1589" s="683"/>
      <c r="W1589" s="683"/>
      <c r="X1589" s="683"/>
      <c r="Y1589" s="683"/>
      <c r="Z1589" s="683"/>
    </row>
    <row r="1590" spans="1:26" ht="15.75" customHeight="1" x14ac:dyDescent="0.25">
      <c r="A1590" s="683"/>
      <c r="B1590" s="683"/>
      <c r="C1590" s="683"/>
      <c r="D1590" s="683"/>
      <c r="E1590" s="683"/>
      <c r="F1590" s="683"/>
      <c r="G1590" s="683"/>
      <c r="H1590" s="711"/>
      <c r="I1590" s="683"/>
      <c r="J1590" s="683"/>
      <c r="K1590" s="683"/>
      <c r="L1590" s="683"/>
      <c r="M1590" s="683"/>
      <c r="N1590" s="685"/>
      <c r="O1590" s="683"/>
      <c r="P1590" s="683"/>
      <c r="Q1590" s="683"/>
      <c r="R1590" s="683"/>
      <c r="S1590" s="683"/>
      <c r="T1590" s="683"/>
      <c r="U1590" s="683"/>
      <c r="V1590" s="683"/>
      <c r="W1590" s="683"/>
      <c r="X1590" s="683"/>
      <c r="Y1590" s="683"/>
      <c r="Z1590" s="683"/>
    </row>
    <row r="1591" spans="1:26" ht="15.75" customHeight="1" x14ac:dyDescent="0.25">
      <c r="A1591" s="683"/>
      <c r="B1591" s="683"/>
      <c r="C1591" s="683"/>
      <c r="D1591" s="683"/>
      <c r="E1591" s="683"/>
      <c r="F1591" s="683"/>
      <c r="G1591" s="683"/>
      <c r="H1591" s="711"/>
      <c r="I1591" s="683"/>
      <c r="J1591" s="683"/>
      <c r="K1591" s="683"/>
      <c r="L1591" s="683"/>
      <c r="M1591" s="683"/>
      <c r="N1591" s="685"/>
      <c r="O1591" s="683"/>
      <c r="P1591" s="683"/>
      <c r="Q1591" s="683"/>
      <c r="R1591" s="683"/>
      <c r="S1591" s="683"/>
      <c r="T1591" s="683"/>
      <c r="U1591" s="683"/>
      <c r="V1591" s="683"/>
      <c r="W1591" s="683"/>
      <c r="X1591" s="683"/>
      <c r="Y1591" s="683"/>
      <c r="Z1591" s="683"/>
    </row>
    <row r="1592" spans="1:26" ht="15.75" customHeight="1" x14ac:dyDescent="0.25">
      <c r="A1592" s="683"/>
      <c r="B1592" s="683"/>
      <c r="C1592" s="683"/>
      <c r="D1592" s="683"/>
      <c r="E1592" s="683"/>
      <c r="F1592" s="683"/>
      <c r="G1592" s="683"/>
      <c r="H1592" s="711"/>
      <c r="I1592" s="683"/>
      <c r="J1592" s="683"/>
      <c r="K1592" s="683"/>
      <c r="L1592" s="683"/>
      <c r="M1592" s="683"/>
      <c r="N1592" s="685"/>
      <c r="O1592" s="683"/>
      <c r="P1592" s="683"/>
      <c r="Q1592" s="683"/>
      <c r="R1592" s="683"/>
      <c r="S1592" s="683"/>
      <c r="T1592" s="683"/>
      <c r="U1592" s="683"/>
      <c r="V1592" s="683"/>
      <c r="W1592" s="683"/>
      <c r="X1592" s="683"/>
      <c r="Y1592" s="683"/>
      <c r="Z1592" s="683"/>
    </row>
    <row r="1593" spans="1:26" ht="15.75" customHeight="1" x14ac:dyDescent="0.25">
      <c r="A1593" s="683"/>
      <c r="B1593" s="683"/>
      <c r="C1593" s="683"/>
      <c r="D1593" s="683"/>
      <c r="E1593" s="683"/>
      <c r="F1593" s="683"/>
      <c r="G1593" s="683"/>
      <c r="H1593" s="711"/>
      <c r="I1593" s="683"/>
      <c r="J1593" s="683"/>
      <c r="K1593" s="683"/>
      <c r="L1593" s="683"/>
      <c r="M1593" s="683"/>
      <c r="N1593" s="685"/>
      <c r="O1593" s="683"/>
      <c r="P1593" s="683"/>
      <c r="Q1593" s="683"/>
      <c r="R1593" s="683"/>
      <c r="S1593" s="683"/>
      <c r="T1593" s="683"/>
      <c r="U1593" s="683"/>
      <c r="V1593" s="683"/>
      <c r="W1593" s="683"/>
      <c r="X1593" s="683"/>
      <c r="Y1593" s="683"/>
      <c r="Z1593" s="683"/>
    </row>
    <row r="1594" spans="1:26" ht="15.75" customHeight="1" x14ac:dyDescent="0.25">
      <c r="A1594" s="683"/>
      <c r="B1594" s="683"/>
      <c r="C1594" s="683"/>
      <c r="D1594" s="683"/>
      <c r="E1594" s="683"/>
      <c r="F1594" s="683"/>
      <c r="G1594" s="683"/>
      <c r="H1594" s="711"/>
      <c r="I1594" s="683"/>
      <c r="J1594" s="683"/>
      <c r="K1594" s="683"/>
      <c r="L1594" s="683"/>
      <c r="M1594" s="683"/>
      <c r="N1594" s="685"/>
      <c r="O1594" s="683"/>
      <c r="P1594" s="683"/>
      <c r="Q1594" s="683"/>
      <c r="R1594" s="683"/>
      <c r="S1594" s="683"/>
      <c r="T1594" s="683"/>
      <c r="U1594" s="683"/>
      <c r="V1594" s="683"/>
      <c r="W1594" s="683"/>
      <c r="X1594" s="683"/>
      <c r="Y1594" s="683"/>
      <c r="Z1594" s="683"/>
    </row>
    <row r="1595" spans="1:26" ht="15.75" customHeight="1" x14ac:dyDescent="0.25">
      <c r="A1595" s="683"/>
      <c r="B1595" s="683"/>
      <c r="C1595" s="683"/>
      <c r="D1595" s="683"/>
      <c r="E1595" s="683"/>
      <c r="F1595" s="683"/>
      <c r="G1595" s="683"/>
      <c r="H1595" s="711"/>
      <c r="I1595" s="683"/>
      <c r="J1595" s="683"/>
      <c r="K1595" s="683"/>
      <c r="L1595" s="683"/>
      <c r="M1595" s="683"/>
      <c r="N1595" s="685"/>
      <c r="O1595" s="683"/>
      <c r="P1595" s="683"/>
      <c r="Q1595" s="683"/>
      <c r="R1595" s="683"/>
      <c r="S1595" s="683"/>
      <c r="T1595" s="683"/>
      <c r="U1595" s="683"/>
      <c r="V1595" s="683"/>
      <c r="W1595" s="683"/>
      <c r="X1595" s="683"/>
      <c r="Y1595" s="683"/>
      <c r="Z1595" s="683"/>
    </row>
    <row r="1596" spans="1:26" ht="15.75" customHeight="1" x14ac:dyDescent="0.25">
      <c r="A1596" s="683"/>
      <c r="B1596" s="683"/>
      <c r="C1596" s="683"/>
      <c r="D1596" s="683"/>
      <c r="E1596" s="683"/>
      <c r="F1596" s="683"/>
      <c r="G1596" s="683"/>
      <c r="H1596" s="711"/>
      <c r="I1596" s="683"/>
      <c r="J1596" s="683"/>
      <c r="K1596" s="683"/>
      <c r="L1596" s="683"/>
      <c r="M1596" s="683"/>
      <c r="N1596" s="685"/>
      <c r="O1596" s="683"/>
      <c r="P1596" s="683"/>
      <c r="Q1596" s="683"/>
      <c r="R1596" s="683"/>
      <c r="S1596" s="683"/>
      <c r="T1596" s="683"/>
      <c r="U1596" s="683"/>
      <c r="V1596" s="683"/>
      <c r="W1596" s="683"/>
      <c r="X1596" s="683"/>
      <c r="Y1596" s="683"/>
      <c r="Z1596" s="683"/>
    </row>
    <row r="1597" spans="1:26" ht="15.75" customHeight="1" x14ac:dyDescent="0.25">
      <c r="A1597" s="683"/>
      <c r="B1597" s="683"/>
      <c r="C1597" s="683"/>
      <c r="D1597" s="683"/>
      <c r="E1597" s="683"/>
      <c r="F1597" s="683"/>
      <c r="G1597" s="683"/>
      <c r="H1597" s="711"/>
      <c r="I1597" s="683"/>
      <c r="J1597" s="683"/>
      <c r="K1597" s="683"/>
      <c r="L1597" s="683"/>
      <c r="M1597" s="683"/>
      <c r="N1597" s="685"/>
      <c r="O1597" s="683"/>
      <c r="P1597" s="683"/>
      <c r="Q1597" s="683"/>
      <c r="R1597" s="683"/>
      <c r="S1597" s="683"/>
      <c r="T1597" s="683"/>
      <c r="U1597" s="683"/>
      <c r="V1597" s="683"/>
      <c r="W1597" s="683"/>
      <c r="X1597" s="683"/>
      <c r="Y1597" s="683"/>
      <c r="Z1597" s="683"/>
    </row>
    <row r="1598" spans="1:26" ht="15.75" customHeight="1" x14ac:dyDescent="0.25">
      <c r="A1598" s="683"/>
      <c r="B1598" s="683"/>
      <c r="C1598" s="683"/>
      <c r="D1598" s="683"/>
      <c r="E1598" s="683"/>
      <c r="F1598" s="683"/>
      <c r="G1598" s="683"/>
      <c r="H1598" s="711"/>
      <c r="I1598" s="683"/>
      <c r="J1598" s="683"/>
      <c r="K1598" s="683"/>
      <c r="L1598" s="683"/>
      <c r="M1598" s="683"/>
      <c r="N1598" s="685"/>
      <c r="O1598" s="683"/>
      <c r="P1598" s="683"/>
      <c r="Q1598" s="683"/>
      <c r="R1598" s="683"/>
      <c r="S1598" s="683"/>
      <c r="T1598" s="683"/>
      <c r="U1598" s="683"/>
      <c r="V1598" s="683"/>
      <c r="W1598" s="683"/>
      <c r="X1598" s="683"/>
      <c r="Y1598" s="683"/>
      <c r="Z1598" s="683"/>
    </row>
    <row r="1599" spans="1:26" ht="15.75" customHeight="1" x14ac:dyDescent="0.25">
      <c r="A1599" s="683"/>
      <c r="B1599" s="683"/>
      <c r="C1599" s="683"/>
      <c r="D1599" s="683"/>
      <c r="E1599" s="683"/>
      <c r="F1599" s="683"/>
      <c r="G1599" s="683"/>
      <c r="H1599" s="711"/>
      <c r="I1599" s="683"/>
      <c r="J1599" s="683"/>
      <c r="K1599" s="683"/>
      <c r="L1599" s="683"/>
      <c r="M1599" s="683"/>
      <c r="N1599" s="685"/>
      <c r="O1599" s="683"/>
      <c r="P1599" s="683"/>
      <c r="Q1599" s="683"/>
      <c r="R1599" s="683"/>
      <c r="S1599" s="683"/>
      <c r="T1599" s="683"/>
      <c r="U1599" s="683"/>
      <c r="V1599" s="683"/>
      <c r="W1599" s="683"/>
      <c r="X1599" s="683"/>
      <c r="Y1599" s="683"/>
      <c r="Z1599" s="683"/>
    </row>
    <row r="1600" spans="1:26" ht="15.75" customHeight="1" x14ac:dyDescent="0.25">
      <c r="A1600" s="683"/>
      <c r="B1600" s="683"/>
      <c r="C1600" s="683"/>
      <c r="D1600" s="683"/>
      <c r="E1600" s="683"/>
      <c r="F1600" s="683"/>
      <c r="G1600" s="683"/>
      <c r="H1600" s="711"/>
      <c r="I1600" s="683"/>
      <c r="J1600" s="683"/>
      <c r="K1600" s="683"/>
      <c r="L1600" s="683"/>
      <c r="M1600" s="683"/>
      <c r="N1600" s="685"/>
      <c r="O1600" s="683"/>
      <c r="P1600" s="683"/>
      <c r="Q1600" s="683"/>
      <c r="R1600" s="683"/>
      <c r="S1600" s="683"/>
      <c r="T1600" s="683"/>
      <c r="U1600" s="683"/>
      <c r="V1600" s="683"/>
      <c r="W1600" s="683"/>
      <c r="X1600" s="683"/>
      <c r="Y1600" s="683"/>
      <c r="Z1600" s="683"/>
    </row>
    <row r="1601" spans="1:26" ht="15.75" customHeight="1" x14ac:dyDescent="0.25">
      <c r="A1601" s="683"/>
      <c r="B1601" s="683"/>
      <c r="C1601" s="683"/>
      <c r="D1601" s="683"/>
      <c r="E1601" s="683"/>
      <c r="F1601" s="683"/>
      <c r="G1601" s="683"/>
      <c r="H1601" s="711"/>
      <c r="I1601" s="683"/>
      <c r="J1601" s="683"/>
      <c r="K1601" s="683"/>
      <c r="L1601" s="683"/>
      <c r="M1601" s="683"/>
      <c r="N1601" s="685"/>
      <c r="O1601" s="683"/>
      <c r="P1601" s="683"/>
      <c r="Q1601" s="683"/>
      <c r="R1601" s="683"/>
      <c r="S1601" s="683"/>
      <c r="T1601" s="683"/>
      <c r="U1601" s="683"/>
      <c r="V1601" s="683"/>
      <c r="W1601" s="683"/>
      <c r="X1601" s="683"/>
      <c r="Y1601" s="683"/>
      <c r="Z1601" s="683"/>
    </row>
    <row r="1602" spans="1:26" ht="15.75" customHeight="1" x14ac:dyDescent="0.25">
      <c r="A1602" s="683"/>
      <c r="B1602" s="683"/>
      <c r="C1602" s="683"/>
      <c r="D1602" s="683"/>
      <c r="E1602" s="683"/>
      <c r="F1602" s="683"/>
      <c r="G1602" s="683"/>
      <c r="H1602" s="711"/>
      <c r="I1602" s="683"/>
      <c r="J1602" s="683"/>
      <c r="K1602" s="683"/>
      <c r="L1602" s="683"/>
      <c r="M1602" s="683"/>
      <c r="N1602" s="685"/>
      <c r="O1602" s="683"/>
      <c r="P1602" s="683"/>
      <c r="Q1602" s="683"/>
      <c r="R1602" s="683"/>
      <c r="S1602" s="683"/>
      <c r="T1602" s="683"/>
      <c r="U1602" s="683"/>
      <c r="V1602" s="683"/>
      <c r="W1602" s="683"/>
      <c r="X1602" s="683"/>
      <c r="Y1602" s="683"/>
      <c r="Z1602" s="683"/>
    </row>
    <row r="1603" spans="1:26" ht="15.75" customHeight="1" x14ac:dyDescent="0.25">
      <c r="A1603" s="683"/>
      <c r="B1603" s="683"/>
      <c r="C1603" s="683"/>
      <c r="D1603" s="683"/>
      <c r="E1603" s="683"/>
      <c r="F1603" s="683"/>
      <c r="G1603" s="683"/>
      <c r="H1603" s="711"/>
      <c r="I1603" s="683"/>
      <c r="J1603" s="683"/>
      <c r="K1603" s="683"/>
      <c r="L1603" s="683"/>
      <c r="M1603" s="683"/>
      <c r="N1603" s="685"/>
      <c r="O1603" s="683"/>
      <c r="P1603" s="683"/>
      <c r="Q1603" s="683"/>
      <c r="R1603" s="683"/>
      <c r="S1603" s="683"/>
      <c r="T1603" s="683"/>
      <c r="U1603" s="683"/>
      <c r="V1603" s="683"/>
      <c r="W1603" s="683"/>
      <c r="X1603" s="683"/>
      <c r="Y1603" s="683"/>
      <c r="Z1603" s="683"/>
    </row>
    <row r="1604" spans="1:26" ht="15.75" customHeight="1" x14ac:dyDescent="0.25">
      <c r="A1604" s="683"/>
      <c r="B1604" s="683"/>
      <c r="C1604" s="683"/>
      <c r="D1604" s="683"/>
      <c r="E1604" s="683"/>
      <c r="F1604" s="683"/>
      <c r="G1604" s="683"/>
      <c r="H1604" s="711"/>
      <c r="I1604" s="683"/>
      <c r="J1604" s="683"/>
      <c r="K1604" s="683"/>
      <c r="L1604" s="683"/>
      <c r="M1604" s="683"/>
      <c r="N1604" s="685"/>
      <c r="O1604" s="683"/>
      <c r="P1604" s="683"/>
      <c r="Q1604" s="683"/>
      <c r="R1604" s="683"/>
      <c r="S1604" s="683"/>
      <c r="T1604" s="683"/>
      <c r="U1604" s="683"/>
      <c r="V1604" s="683"/>
      <c r="W1604" s="683"/>
      <c r="X1604" s="683"/>
      <c r="Y1604" s="683"/>
      <c r="Z1604" s="683"/>
    </row>
    <row r="1605" spans="1:26" ht="15.75" customHeight="1" x14ac:dyDescent="0.25">
      <c r="A1605" s="683"/>
      <c r="B1605" s="683"/>
      <c r="C1605" s="683"/>
      <c r="D1605" s="683"/>
      <c r="E1605" s="683"/>
      <c r="F1605" s="683"/>
      <c r="G1605" s="683"/>
      <c r="H1605" s="711"/>
      <c r="I1605" s="683"/>
      <c r="J1605" s="683"/>
      <c r="K1605" s="683"/>
      <c r="L1605" s="683"/>
      <c r="M1605" s="683"/>
      <c r="N1605" s="685"/>
      <c r="O1605" s="683"/>
      <c r="P1605" s="683"/>
      <c r="Q1605" s="683"/>
      <c r="R1605" s="683"/>
      <c r="S1605" s="683"/>
      <c r="T1605" s="683"/>
      <c r="U1605" s="683"/>
      <c r="V1605" s="683"/>
      <c r="W1605" s="683"/>
      <c r="X1605" s="683"/>
      <c r="Y1605" s="683"/>
      <c r="Z1605" s="683"/>
    </row>
    <row r="1606" spans="1:26" ht="15.75" customHeight="1" x14ac:dyDescent="0.25">
      <c r="A1606" s="683"/>
      <c r="B1606" s="683"/>
      <c r="C1606" s="683"/>
      <c r="D1606" s="683"/>
      <c r="E1606" s="683"/>
      <c r="F1606" s="683"/>
      <c r="G1606" s="683"/>
      <c r="H1606" s="711"/>
      <c r="I1606" s="683"/>
      <c r="J1606" s="683"/>
      <c r="K1606" s="683"/>
      <c r="L1606" s="683"/>
      <c r="M1606" s="683"/>
      <c r="N1606" s="685"/>
      <c r="O1606" s="683"/>
      <c r="P1606" s="683"/>
      <c r="Q1606" s="683"/>
      <c r="R1606" s="683"/>
      <c r="S1606" s="683"/>
      <c r="T1606" s="683"/>
      <c r="U1606" s="683"/>
      <c r="V1606" s="683"/>
      <c r="W1606" s="683"/>
      <c r="X1606" s="683"/>
      <c r="Y1606" s="683"/>
      <c r="Z1606" s="683"/>
    </row>
    <row r="1607" spans="1:26" ht="15.75" customHeight="1" x14ac:dyDescent="0.25">
      <c r="A1607" s="683"/>
      <c r="B1607" s="683"/>
      <c r="C1607" s="683"/>
      <c r="D1607" s="683"/>
      <c r="E1607" s="683"/>
      <c r="F1607" s="683"/>
      <c r="G1607" s="683"/>
      <c r="H1607" s="711"/>
      <c r="I1607" s="683"/>
      <c r="J1607" s="683"/>
      <c r="K1607" s="683"/>
      <c r="L1607" s="683"/>
      <c r="M1607" s="683"/>
      <c r="N1607" s="685"/>
      <c r="O1607" s="683"/>
      <c r="P1607" s="683"/>
      <c r="Q1607" s="683"/>
      <c r="R1607" s="683"/>
      <c r="S1607" s="683"/>
      <c r="T1607" s="683"/>
      <c r="U1607" s="683"/>
      <c r="V1607" s="683"/>
      <c r="W1607" s="683"/>
      <c r="X1607" s="683"/>
      <c r="Y1607" s="683"/>
      <c r="Z1607" s="683"/>
    </row>
    <row r="1608" spans="1:26" ht="15.75" customHeight="1" x14ac:dyDescent="0.25">
      <c r="A1608" s="683"/>
      <c r="B1608" s="683"/>
      <c r="C1608" s="683"/>
      <c r="D1608" s="683"/>
      <c r="E1608" s="683"/>
      <c r="F1608" s="683"/>
      <c r="G1608" s="683"/>
      <c r="H1608" s="711"/>
      <c r="I1608" s="683"/>
      <c r="J1608" s="683"/>
      <c r="K1608" s="683"/>
      <c r="L1608" s="683"/>
      <c r="M1608" s="683"/>
      <c r="N1608" s="685"/>
      <c r="O1608" s="683"/>
      <c r="P1608" s="683"/>
      <c r="Q1608" s="683"/>
      <c r="R1608" s="683"/>
      <c r="S1608" s="683"/>
      <c r="T1608" s="683"/>
      <c r="U1608" s="683"/>
      <c r="V1608" s="683"/>
      <c r="W1608" s="683"/>
      <c r="X1608" s="683"/>
      <c r="Y1608" s="683"/>
      <c r="Z1608" s="683"/>
    </row>
    <row r="1609" spans="1:26" ht="15.75" customHeight="1" x14ac:dyDescent="0.25">
      <c r="A1609" s="683"/>
      <c r="B1609" s="683"/>
      <c r="C1609" s="683"/>
      <c r="D1609" s="683"/>
      <c r="E1609" s="683"/>
      <c r="F1609" s="683"/>
      <c r="G1609" s="683"/>
      <c r="H1609" s="711"/>
      <c r="I1609" s="683"/>
      <c r="J1609" s="683"/>
      <c r="K1609" s="683"/>
      <c r="L1609" s="683"/>
      <c r="M1609" s="683"/>
      <c r="N1609" s="685"/>
      <c r="O1609" s="683"/>
      <c r="P1609" s="683"/>
      <c r="Q1609" s="683"/>
      <c r="R1609" s="683"/>
      <c r="S1609" s="683"/>
      <c r="T1609" s="683"/>
      <c r="U1609" s="683"/>
      <c r="V1609" s="683"/>
      <c r="W1609" s="683"/>
      <c r="X1609" s="683"/>
      <c r="Y1609" s="683"/>
      <c r="Z1609" s="683"/>
    </row>
    <row r="1610" spans="1:26" ht="15.75" customHeight="1" x14ac:dyDescent="0.25">
      <c r="A1610" s="683"/>
      <c r="B1610" s="683"/>
      <c r="C1610" s="683"/>
      <c r="D1610" s="683"/>
      <c r="E1610" s="683"/>
      <c r="F1610" s="683"/>
      <c r="G1610" s="683"/>
      <c r="H1610" s="711"/>
      <c r="I1610" s="683"/>
      <c r="J1610" s="683"/>
      <c r="K1610" s="683"/>
      <c r="L1610" s="683"/>
      <c r="M1610" s="683"/>
      <c r="N1610" s="685"/>
      <c r="O1610" s="683"/>
      <c r="P1610" s="683"/>
      <c r="Q1610" s="683"/>
      <c r="R1610" s="683"/>
      <c r="S1610" s="683"/>
      <c r="T1610" s="683"/>
      <c r="U1610" s="683"/>
      <c r="V1610" s="683"/>
      <c r="W1610" s="683"/>
      <c r="X1610" s="683"/>
      <c r="Y1610" s="683"/>
      <c r="Z1610" s="683"/>
    </row>
    <row r="1611" spans="1:26" ht="15.75" customHeight="1" x14ac:dyDescent="0.25">
      <c r="A1611" s="683"/>
      <c r="B1611" s="683"/>
      <c r="C1611" s="683"/>
      <c r="D1611" s="683"/>
      <c r="E1611" s="683"/>
      <c r="F1611" s="683"/>
      <c r="G1611" s="683"/>
      <c r="H1611" s="711"/>
      <c r="I1611" s="683"/>
      <c r="J1611" s="683"/>
      <c r="K1611" s="683"/>
      <c r="L1611" s="683"/>
      <c r="M1611" s="683"/>
      <c r="N1611" s="685"/>
      <c r="O1611" s="683"/>
      <c r="P1611" s="683"/>
      <c r="Q1611" s="683"/>
      <c r="R1611" s="683"/>
      <c r="S1611" s="683"/>
      <c r="T1611" s="683"/>
      <c r="U1611" s="683"/>
      <c r="V1611" s="683"/>
      <c r="W1611" s="683"/>
      <c r="X1611" s="683"/>
      <c r="Y1611" s="683"/>
      <c r="Z1611" s="683"/>
    </row>
    <row r="1612" spans="1:26" ht="15.75" customHeight="1" x14ac:dyDescent="0.25">
      <c r="A1612" s="683"/>
      <c r="B1612" s="683"/>
      <c r="C1612" s="683"/>
      <c r="D1612" s="683"/>
      <c r="E1612" s="683"/>
      <c r="F1612" s="683"/>
      <c r="G1612" s="683"/>
      <c r="H1612" s="711"/>
      <c r="I1612" s="683"/>
      <c r="J1612" s="683"/>
      <c r="K1612" s="683"/>
      <c r="L1612" s="683"/>
      <c r="M1612" s="683"/>
      <c r="N1612" s="685"/>
      <c r="O1612" s="683"/>
      <c r="P1612" s="683"/>
      <c r="Q1612" s="683"/>
      <c r="R1612" s="683"/>
      <c r="S1612" s="683"/>
      <c r="T1612" s="683"/>
      <c r="U1612" s="683"/>
      <c r="V1612" s="683"/>
      <c r="W1612" s="683"/>
      <c r="X1612" s="683"/>
      <c r="Y1612" s="683"/>
      <c r="Z1612" s="683"/>
    </row>
    <row r="1613" spans="1:26" ht="15.75" customHeight="1" x14ac:dyDescent="0.25">
      <c r="A1613" s="683"/>
      <c r="B1613" s="683"/>
      <c r="C1613" s="683"/>
      <c r="D1613" s="683"/>
      <c r="E1613" s="683"/>
      <c r="F1613" s="683"/>
      <c r="G1613" s="683"/>
      <c r="H1613" s="711"/>
      <c r="I1613" s="683"/>
      <c r="J1613" s="683"/>
      <c r="K1613" s="683"/>
      <c r="L1613" s="683"/>
      <c r="M1613" s="683"/>
      <c r="N1613" s="685"/>
      <c r="O1613" s="683"/>
      <c r="P1613" s="683"/>
      <c r="Q1613" s="683"/>
      <c r="R1613" s="683"/>
      <c r="S1613" s="683"/>
      <c r="T1613" s="683"/>
      <c r="U1613" s="683"/>
      <c r="V1613" s="683"/>
      <c r="W1613" s="683"/>
      <c r="X1613" s="683"/>
      <c r="Y1613" s="683"/>
      <c r="Z1613" s="683"/>
    </row>
    <row r="1614" spans="1:26" ht="15.75" customHeight="1" x14ac:dyDescent="0.25">
      <c r="A1614" s="683"/>
      <c r="B1614" s="683"/>
      <c r="C1614" s="683"/>
      <c r="D1614" s="683"/>
      <c r="E1614" s="683"/>
      <c r="F1614" s="683"/>
      <c r="G1614" s="683"/>
      <c r="H1614" s="711"/>
      <c r="I1614" s="683"/>
      <c r="J1614" s="683"/>
      <c r="K1614" s="683"/>
      <c r="L1614" s="683"/>
      <c r="M1614" s="683"/>
      <c r="N1614" s="685"/>
      <c r="O1614" s="683"/>
      <c r="P1614" s="683"/>
      <c r="Q1614" s="683"/>
      <c r="R1614" s="683"/>
      <c r="S1614" s="683"/>
      <c r="T1614" s="683"/>
      <c r="U1614" s="683"/>
      <c r="V1614" s="683"/>
      <c r="W1614" s="683"/>
      <c r="X1614" s="683"/>
      <c r="Y1614" s="683"/>
      <c r="Z1614" s="683"/>
    </row>
    <row r="1615" spans="1:26" ht="15.75" customHeight="1" x14ac:dyDescent="0.25">
      <c r="A1615" s="683"/>
      <c r="B1615" s="683"/>
      <c r="C1615" s="683"/>
      <c r="D1615" s="683"/>
      <c r="E1615" s="683"/>
      <c r="F1615" s="683"/>
      <c r="G1615" s="683"/>
      <c r="H1615" s="711"/>
      <c r="I1615" s="683"/>
      <c r="J1615" s="683"/>
      <c r="K1615" s="683"/>
      <c r="L1615" s="683"/>
      <c r="M1615" s="683"/>
      <c r="N1615" s="685"/>
      <c r="O1615" s="683"/>
      <c r="P1615" s="683"/>
      <c r="Q1615" s="683"/>
      <c r="R1615" s="683"/>
      <c r="S1615" s="683"/>
      <c r="T1615" s="683"/>
      <c r="U1615" s="683"/>
      <c r="V1615" s="683"/>
      <c r="W1615" s="683"/>
      <c r="X1615" s="683"/>
      <c r="Y1615" s="683"/>
      <c r="Z1615" s="683"/>
    </row>
    <row r="1616" spans="1:26" ht="15.75" customHeight="1" x14ac:dyDescent="0.25">
      <c r="A1616" s="683"/>
      <c r="B1616" s="683"/>
      <c r="C1616" s="683"/>
      <c r="D1616" s="683"/>
      <c r="E1616" s="683"/>
      <c r="F1616" s="683"/>
      <c r="G1616" s="683"/>
      <c r="H1616" s="711"/>
      <c r="I1616" s="683"/>
      <c r="J1616" s="683"/>
      <c r="K1616" s="683"/>
      <c r="L1616" s="683"/>
      <c r="M1616" s="683"/>
      <c r="N1616" s="685"/>
      <c r="O1616" s="683"/>
      <c r="P1616" s="683"/>
      <c r="Q1616" s="683"/>
      <c r="R1616" s="683"/>
      <c r="S1616" s="683"/>
      <c r="T1616" s="683"/>
      <c r="U1616" s="683"/>
      <c r="V1616" s="683"/>
      <c r="W1616" s="683"/>
      <c r="X1616" s="683"/>
      <c r="Y1616" s="683"/>
      <c r="Z1616" s="683"/>
    </row>
    <row r="1617" spans="1:26" ht="15.75" customHeight="1" x14ac:dyDescent="0.25">
      <c r="A1617" s="683"/>
      <c r="B1617" s="683"/>
      <c r="C1617" s="683"/>
      <c r="D1617" s="683"/>
      <c r="E1617" s="683"/>
      <c r="F1617" s="683"/>
      <c r="G1617" s="683"/>
      <c r="H1617" s="711"/>
      <c r="I1617" s="683"/>
      <c r="J1617" s="683"/>
      <c r="K1617" s="683"/>
      <c r="L1617" s="683"/>
      <c r="M1617" s="683"/>
      <c r="N1617" s="685"/>
      <c r="O1617" s="683"/>
      <c r="P1617" s="683"/>
      <c r="Q1617" s="683"/>
      <c r="R1617" s="683"/>
      <c r="S1617" s="683"/>
      <c r="T1617" s="683"/>
      <c r="U1617" s="683"/>
      <c r="V1617" s="683"/>
      <c r="W1617" s="683"/>
      <c r="X1617" s="683"/>
      <c r="Y1617" s="683"/>
      <c r="Z1617" s="683"/>
    </row>
    <row r="1618" spans="1:26" ht="15.75" customHeight="1" x14ac:dyDescent="0.25">
      <c r="A1618" s="683"/>
      <c r="B1618" s="683"/>
      <c r="C1618" s="683"/>
      <c r="D1618" s="683"/>
      <c r="E1618" s="683"/>
      <c r="F1618" s="683"/>
      <c r="G1618" s="683"/>
      <c r="H1618" s="711"/>
      <c r="I1618" s="683"/>
      <c r="J1618" s="683"/>
      <c r="K1618" s="683"/>
      <c r="L1618" s="683"/>
      <c r="M1618" s="683"/>
      <c r="N1618" s="685"/>
      <c r="O1618" s="683"/>
      <c r="P1618" s="683"/>
      <c r="Q1618" s="683"/>
      <c r="R1618" s="683"/>
      <c r="S1618" s="683"/>
      <c r="T1618" s="683"/>
      <c r="U1618" s="683"/>
      <c r="V1618" s="683"/>
      <c r="W1618" s="683"/>
      <c r="X1618" s="683"/>
      <c r="Y1618" s="683"/>
      <c r="Z1618" s="683"/>
    </row>
    <row r="1619" spans="1:26" ht="15.75" customHeight="1" x14ac:dyDescent="0.25">
      <c r="A1619" s="683"/>
      <c r="B1619" s="683"/>
      <c r="C1619" s="683"/>
      <c r="D1619" s="683"/>
      <c r="E1619" s="683"/>
      <c r="F1619" s="683"/>
      <c r="G1619" s="683"/>
      <c r="H1619" s="711"/>
      <c r="I1619" s="683"/>
      <c r="J1619" s="683"/>
      <c r="K1619" s="683"/>
      <c r="L1619" s="683"/>
      <c r="M1619" s="683"/>
      <c r="N1619" s="685"/>
      <c r="O1619" s="683"/>
      <c r="P1619" s="683"/>
      <c r="Q1619" s="683"/>
      <c r="R1619" s="683"/>
      <c r="S1619" s="683"/>
      <c r="T1619" s="683"/>
      <c r="U1619" s="683"/>
      <c r="V1619" s="683"/>
      <c r="W1619" s="683"/>
      <c r="X1619" s="683"/>
      <c r="Y1619" s="683"/>
      <c r="Z1619" s="683"/>
    </row>
    <row r="1620" spans="1:26" ht="15.75" customHeight="1" x14ac:dyDescent="0.25">
      <c r="A1620" s="683"/>
      <c r="B1620" s="683"/>
      <c r="C1620" s="683"/>
      <c r="D1620" s="683"/>
      <c r="E1620" s="683"/>
      <c r="F1620" s="683"/>
      <c r="G1620" s="683"/>
      <c r="H1620" s="711"/>
      <c r="I1620" s="683"/>
      <c r="J1620" s="683"/>
      <c r="K1620" s="683"/>
      <c r="L1620" s="683"/>
      <c r="M1620" s="683"/>
      <c r="N1620" s="685"/>
      <c r="O1620" s="683"/>
      <c r="P1620" s="683"/>
      <c r="Q1620" s="683"/>
      <c r="R1620" s="683"/>
      <c r="S1620" s="683"/>
      <c r="T1620" s="683"/>
      <c r="U1620" s="683"/>
      <c r="V1620" s="683"/>
      <c r="W1620" s="683"/>
      <c r="X1620" s="683"/>
      <c r="Y1620" s="683"/>
      <c r="Z1620" s="683"/>
    </row>
    <row r="1621" spans="1:26" ht="15.75" customHeight="1" x14ac:dyDescent="0.25">
      <c r="A1621" s="683"/>
      <c r="B1621" s="683"/>
      <c r="C1621" s="683"/>
      <c r="D1621" s="683"/>
      <c r="E1621" s="683"/>
      <c r="F1621" s="683"/>
      <c r="G1621" s="683"/>
      <c r="H1621" s="711"/>
      <c r="I1621" s="683"/>
      <c r="J1621" s="683"/>
      <c r="K1621" s="683"/>
      <c r="L1621" s="683"/>
      <c r="M1621" s="683"/>
      <c r="N1621" s="685"/>
      <c r="O1621" s="683"/>
      <c r="P1621" s="683"/>
      <c r="Q1621" s="683"/>
      <c r="R1621" s="683"/>
      <c r="S1621" s="683"/>
      <c r="T1621" s="683"/>
      <c r="U1621" s="683"/>
      <c r="V1621" s="683"/>
      <c r="W1621" s="683"/>
      <c r="X1621" s="683"/>
      <c r="Y1621" s="683"/>
      <c r="Z1621" s="683"/>
    </row>
    <row r="1622" spans="1:26" ht="15.75" customHeight="1" x14ac:dyDescent="0.25">
      <c r="A1622" s="683"/>
      <c r="B1622" s="683"/>
      <c r="C1622" s="683"/>
      <c r="D1622" s="683"/>
      <c r="E1622" s="683"/>
      <c r="F1622" s="683"/>
      <c r="G1622" s="683"/>
      <c r="H1622" s="711"/>
      <c r="I1622" s="683"/>
      <c r="J1622" s="683"/>
      <c r="K1622" s="683"/>
      <c r="L1622" s="683"/>
      <c r="M1622" s="683"/>
      <c r="N1622" s="685"/>
      <c r="O1622" s="683"/>
      <c r="P1622" s="683"/>
      <c r="Q1622" s="683"/>
      <c r="R1622" s="683"/>
      <c r="S1622" s="683"/>
      <c r="T1622" s="683"/>
      <c r="U1622" s="683"/>
      <c r="V1622" s="683"/>
      <c r="W1622" s="683"/>
      <c r="X1622" s="683"/>
      <c r="Y1622" s="683"/>
      <c r="Z1622" s="683"/>
    </row>
    <row r="1623" spans="1:26" ht="15.75" customHeight="1" x14ac:dyDescent="0.25">
      <c r="A1623" s="683"/>
      <c r="B1623" s="683"/>
      <c r="C1623" s="683"/>
      <c r="D1623" s="683"/>
      <c r="E1623" s="683"/>
      <c r="F1623" s="683"/>
      <c r="G1623" s="683"/>
      <c r="H1623" s="711"/>
      <c r="I1623" s="683"/>
      <c r="J1623" s="683"/>
      <c r="K1623" s="683"/>
      <c r="L1623" s="683"/>
      <c r="M1623" s="683"/>
      <c r="N1623" s="685"/>
      <c r="O1623" s="683"/>
      <c r="P1623" s="683"/>
      <c r="Q1623" s="683"/>
      <c r="R1623" s="683"/>
      <c r="S1623" s="683"/>
      <c r="T1623" s="683"/>
      <c r="U1623" s="683"/>
      <c r="V1623" s="683"/>
      <c r="W1623" s="683"/>
      <c r="X1623" s="683"/>
      <c r="Y1623" s="683"/>
      <c r="Z1623" s="683"/>
    </row>
    <row r="1624" spans="1:26" ht="15.75" customHeight="1" x14ac:dyDescent="0.25">
      <c r="A1624" s="683"/>
      <c r="B1624" s="683"/>
      <c r="C1624" s="683"/>
      <c r="D1624" s="683"/>
      <c r="E1624" s="683"/>
      <c r="F1624" s="683"/>
      <c r="G1624" s="683"/>
      <c r="H1624" s="711"/>
      <c r="I1624" s="683"/>
      <c r="J1624" s="683"/>
      <c r="K1624" s="683"/>
      <c r="L1624" s="683"/>
      <c r="M1624" s="683"/>
      <c r="N1624" s="685"/>
      <c r="O1624" s="683"/>
      <c r="P1624" s="683"/>
      <c r="Q1624" s="683"/>
      <c r="R1624" s="683"/>
      <c r="S1624" s="683"/>
      <c r="T1624" s="683"/>
      <c r="U1624" s="683"/>
      <c r="V1624" s="683"/>
      <c r="W1624" s="683"/>
      <c r="X1624" s="683"/>
      <c r="Y1624" s="683"/>
      <c r="Z1624" s="683"/>
    </row>
    <row r="1625" spans="1:26" ht="15.75" customHeight="1" x14ac:dyDescent="0.25">
      <c r="A1625" s="683"/>
      <c r="B1625" s="683"/>
      <c r="C1625" s="683"/>
      <c r="D1625" s="683"/>
      <c r="E1625" s="683"/>
      <c r="F1625" s="683"/>
      <c r="G1625" s="683"/>
      <c r="H1625" s="711"/>
      <c r="I1625" s="683"/>
      <c r="J1625" s="683"/>
      <c r="K1625" s="683"/>
      <c r="L1625" s="683"/>
      <c r="M1625" s="683"/>
      <c r="N1625" s="685"/>
      <c r="O1625" s="683"/>
      <c r="P1625" s="683"/>
      <c r="Q1625" s="683"/>
      <c r="R1625" s="683"/>
      <c r="S1625" s="683"/>
      <c r="T1625" s="683"/>
      <c r="U1625" s="683"/>
      <c r="V1625" s="683"/>
      <c r="W1625" s="683"/>
      <c r="X1625" s="683"/>
      <c r="Y1625" s="683"/>
      <c r="Z1625" s="683"/>
    </row>
    <row r="1626" spans="1:26" ht="15.75" customHeight="1" x14ac:dyDescent="0.25">
      <c r="A1626" s="683"/>
      <c r="B1626" s="683"/>
      <c r="C1626" s="683"/>
      <c r="D1626" s="683"/>
      <c r="E1626" s="683"/>
      <c r="F1626" s="683"/>
      <c r="G1626" s="683"/>
      <c r="H1626" s="711"/>
      <c r="I1626" s="683"/>
      <c r="J1626" s="683"/>
      <c r="K1626" s="683"/>
      <c r="L1626" s="683"/>
      <c r="M1626" s="683"/>
      <c r="N1626" s="685"/>
      <c r="O1626" s="683"/>
      <c r="P1626" s="683"/>
      <c r="Q1626" s="683"/>
      <c r="R1626" s="683"/>
      <c r="S1626" s="683"/>
      <c r="T1626" s="683"/>
      <c r="U1626" s="683"/>
      <c r="V1626" s="683"/>
      <c r="W1626" s="683"/>
      <c r="X1626" s="683"/>
      <c r="Y1626" s="683"/>
      <c r="Z1626" s="683"/>
    </row>
    <row r="1627" spans="1:26" ht="15.75" customHeight="1" x14ac:dyDescent="0.25">
      <c r="A1627" s="683"/>
      <c r="B1627" s="683"/>
      <c r="C1627" s="683"/>
      <c r="D1627" s="683"/>
      <c r="E1627" s="683"/>
      <c r="F1627" s="683"/>
      <c r="G1627" s="683"/>
      <c r="H1627" s="711"/>
      <c r="I1627" s="683"/>
      <c r="J1627" s="683"/>
      <c r="K1627" s="683"/>
      <c r="L1627" s="683"/>
      <c r="M1627" s="683"/>
      <c r="N1627" s="685"/>
      <c r="O1627" s="683"/>
      <c r="P1627" s="683"/>
      <c r="Q1627" s="683"/>
      <c r="R1627" s="683"/>
      <c r="S1627" s="683"/>
      <c r="T1627" s="683"/>
      <c r="U1627" s="683"/>
      <c r="V1627" s="683"/>
      <c r="W1627" s="683"/>
      <c r="X1627" s="683"/>
      <c r="Y1627" s="683"/>
      <c r="Z1627" s="683"/>
    </row>
    <row r="1628" spans="1:26" ht="15.75" customHeight="1" x14ac:dyDescent="0.25">
      <c r="A1628" s="683"/>
      <c r="B1628" s="683"/>
      <c r="C1628" s="683"/>
      <c r="D1628" s="683"/>
      <c r="E1628" s="683"/>
      <c r="F1628" s="683"/>
      <c r="G1628" s="683"/>
      <c r="H1628" s="711"/>
      <c r="I1628" s="683"/>
      <c r="J1628" s="683"/>
      <c r="K1628" s="683"/>
      <c r="L1628" s="683"/>
      <c r="M1628" s="683"/>
      <c r="N1628" s="685"/>
      <c r="O1628" s="683"/>
      <c r="P1628" s="683"/>
      <c r="Q1628" s="683"/>
      <c r="R1628" s="683"/>
      <c r="S1628" s="683"/>
      <c r="T1628" s="683"/>
      <c r="U1628" s="683"/>
      <c r="V1628" s="683"/>
      <c r="W1628" s="683"/>
      <c r="X1628" s="683"/>
      <c r="Y1628" s="683"/>
      <c r="Z1628" s="683"/>
    </row>
    <row r="1629" spans="1:26" ht="15.75" customHeight="1" x14ac:dyDescent="0.25">
      <c r="A1629" s="683"/>
      <c r="B1629" s="683"/>
      <c r="C1629" s="683"/>
      <c r="D1629" s="683"/>
      <c r="E1629" s="683"/>
      <c r="F1629" s="683"/>
      <c r="G1629" s="683"/>
      <c r="H1629" s="711"/>
      <c r="I1629" s="683"/>
      <c r="J1629" s="683"/>
      <c r="K1629" s="683"/>
      <c r="L1629" s="683"/>
      <c r="M1629" s="683"/>
      <c r="N1629" s="685"/>
      <c r="O1629" s="683"/>
      <c r="P1629" s="683"/>
      <c r="Q1629" s="683"/>
      <c r="R1629" s="683"/>
      <c r="S1629" s="683"/>
      <c r="T1629" s="683"/>
      <c r="U1629" s="683"/>
      <c r="V1629" s="683"/>
      <c r="W1629" s="683"/>
      <c r="X1629" s="683"/>
      <c r="Y1629" s="683"/>
      <c r="Z1629" s="683"/>
    </row>
    <row r="1630" spans="1:26" ht="15.75" customHeight="1" x14ac:dyDescent="0.25">
      <c r="A1630" s="683"/>
      <c r="B1630" s="683"/>
      <c r="C1630" s="683"/>
      <c r="D1630" s="683"/>
      <c r="E1630" s="683"/>
      <c r="F1630" s="683"/>
      <c r="G1630" s="683"/>
      <c r="H1630" s="711"/>
      <c r="I1630" s="683"/>
      <c r="J1630" s="683"/>
      <c r="K1630" s="683"/>
      <c r="L1630" s="683"/>
      <c r="M1630" s="683"/>
      <c r="N1630" s="685"/>
      <c r="O1630" s="683"/>
      <c r="P1630" s="683"/>
      <c r="Q1630" s="683"/>
      <c r="R1630" s="683"/>
      <c r="S1630" s="683"/>
      <c r="T1630" s="683"/>
      <c r="U1630" s="683"/>
      <c r="V1630" s="683"/>
      <c r="W1630" s="683"/>
      <c r="X1630" s="683"/>
      <c r="Y1630" s="683"/>
      <c r="Z1630" s="683"/>
    </row>
    <row r="1631" spans="1:26" ht="15.75" customHeight="1" x14ac:dyDescent="0.25">
      <c r="A1631" s="683"/>
      <c r="B1631" s="683"/>
      <c r="C1631" s="683"/>
      <c r="D1631" s="683"/>
      <c r="E1631" s="683"/>
      <c r="F1631" s="683"/>
      <c r="G1631" s="683"/>
      <c r="H1631" s="711"/>
      <c r="I1631" s="683"/>
      <c r="J1631" s="683"/>
      <c r="K1631" s="683"/>
      <c r="L1631" s="683"/>
      <c r="M1631" s="683"/>
      <c r="N1631" s="685"/>
      <c r="O1631" s="683"/>
      <c r="P1631" s="683"/>
      <c r="Q1631" s="683"/>
      <c r="R1631" s="683"/>
      <c r="S1631" s="683"/>
      <c r="T1631" s="683"/>
      <c r="U1631" s="683"/>
      <c r="V1631" s="683"/>
      <c r="W1631" s="683"/>
      <c r="X1631" s="683"/>
      <c r="Y1631" s="683"/>
      <c r="Z1631" s="683"/>
    </row>
    <row r="1632" spans="1:26" ht="15.75" customHeight="1" x14ac:dyDescent="0.25">
      <c r="A1632" s="683"/>
      <c r="B1632" s="683"/>
      <c r="C1632" s="683"/>
      <c r="D1632" s="683"/>
      <c r="E1632" s="683"/>
      <c r="F1632" s="683"/>
      <c r="G1632" s="683"/>
      <c r="H1632" s="711"/>
      <c r="I1632" s="683"/>
      <c r="J1632" s="683"/>
      <c r="K1632" s="683"/>
      <c r="L1632" s="683"/>
      <c r="M1632" s="683"/>
      <c r="N1632" s="685"/>
      <c r="O1632" s="683"/>
      <c r="P1632" s="683"/>
      <c r="Q1632" s="683"/>
      <c r="R1632" s="683"/>
      <c r="S1632" s="683"/>
      <c r="T1632" s="683"/>
      <c r="U1632" s="683"/>
      <c r="V1632" s="683"/>
      <c r="W1632" s="683"/>
      <c r="X1632" s="683"/>
      <c r="Y1632" s="683"/>
      <c r="Z1632" s="683"/>
    </row>
    <row r="1633" spans="1:26" ht="15.75" customHeight="1" x14ac:dyDescent="0.25">
      <c r="A1633" s="683"/>
      <c r="B1633" s="683"/>
      <c r="C1633" s="683"/>
      <c r="D1633" s="683"/>
      <c r="E1633" s="683"/>
      <c r="F1633" s="683"/>
      <c r="G1633" s="683"/>
      <c r="H1633" s="711"/>
      <c r="I1633" s="683"/>
      <c r="J1633" s="683"/>
      <c r="K1633" s="683"/>
      <c r="L1633" s="683"/>
      <c r="M1633" s="683"/>
      <c r="N1633" s="685"/>
      <c r="O1633" s="683"/>
      <c r="P1633" s="683"/>
      <c r="Q1633" s="683"/>
      <c r="R1633" s="683"/>
      <c r="S1633" s="683"/>
      <c r="T1633" s="683"/>
      <c r="U1633" s="683"/>
      <c r="V1633" s="683"/>
      <c r="W1633" s="683"/>
      <c r="X1633" s="683"/>
      <c r="Y1633" s="683"/>
      <c r="Z1633" s="683"/>
    </row>
    <row r="1634" spans="1:26" ht="15.75" customHeight="1" x14ac:dyDescent="0.25">
      <c r="A1634" s="683"/>
      <c r="B1634" s="683"/>
      <c r="C1634" s="683"/>
      <c r="D1634" s="683"/>
      <c r="E1634" s="683"/>
      <c r="F1634" s="683"/>
      <c r="G1634" s="683"/>
      <c r="H1634" s="711"/>
      <c r="I1634" s="683"/>
      <c r="J1634" s="683"/>
      <c r="K1634" s="683"/>
      <c r="L1634" s="683"/>
      <c r="M1634" s="683"/>
      <c r="N1634" s="685"/>
      <c r="O1634" s="683"/>
      <c r="P1634" s="683"/>
      <c r="Q1634" s="683"/>
      <c r="R1634" s="683"/>
      <c r="S1634" s="683"/>
      <c r="T1634" s="683"/>
      <c r="U1634" s="683"/>
      <c r="V1634" s="683"/>
      <c r="W1634" s="683"/>
      <c r="X1634" s="683"/>
      <c r="Y1634" s="683"/>
      <c r="Z1634" s="683"/>
    </row>
    <row r="1635" spans="1:26" ht="15.75" customHeight="1" x14ac:dyDescent="0.25">
      <c r="A1635" s="683"/>
      <c r="B1635" s="683"/>
      <c r="C1635" s="683"/>
      <c r="D1635" s="683"/>
      <c r="E1635" s="683"/>
      <c r="F1635" s="683"/>
      <c r="G1635" s="683"/>
      <c r="H1635" s="711"/>
      <c r="I1635" s="683"/>
      <c r="J1635" s="683"/>
      <c r="K1635" s="683"/>
      <c r="L1635" s="683"/>
      <c r="M1635" s="683"/>
      <c r="N1635" s="685"/>
      <c r="O1635" s="683"/>
      <c r="P1635" s="683"/>
      <c r="Q1635" s="683"/>
      <c r="R1635" s="683"/>
      <c r="S1635" s="683"/>
      <c r="T1635" s="683"/>
      <c r="U1635" s="683"/>
      <c r="V1635" s="683"/>
      <c r="W1635" s="683"/>
      <c r="X1635" s="683"/>
      <c r="Y1635" s="683"/>
      <c r="Z1635" s="683"/>
    </row>
    <row r="1636" spans="1:26" ht="15.75" customHeight="1" x14ac:dyDescent="0.25">
      <c r="A1636" s="683"/>
      <c r="B1636" s="683"/>
      <c r="C1636" s="683"/>
      <c r="D1636" s="683"/>
      <c r="E1636" s="683"/>
      <c r="F1636" s="683"/>
      <c r="G1636" s="683"/>
      <c r="H1636" s="711"/>
      <c r="I1636" s="683"/>
      <c r="J1636" s="683"/>
      <c r="K1636" s="683"/>
      <c r="L1636" s="683"/>
      <c r="M1636" s="683"/>
      <c r="N1636" s="685"/>
      <c r="O1636" s="683"/>
      <c r="P1636" s="683"/>
      <c r="Q1636" s="683"/>
      <c r="R1636" s="683"/>
      <c r="S1636" s="683"/>
      <c r="T1636" s="683"/>
      <c r="U1636" s="683"/>
      <c r="V1636" s="683"/>
      <c r="W1636" s="683"/>
      <c r="X1636" s="683"/>
      <c r="Y1636" s="683"/>
      <c r="Z1636" s="683"/>
    </row>
    <row r="1637" spans="1:26" ht="15.75" customHeight="1" x14ac:dyDescent="0.25">
      <c r="A1637" s="683"/>
      <c r="B1637" s="683"/>
      <c r="C1637" s="683"/>
      <c r="D1637" s="683"/>
      <c r="E1637" s="683"/>
      <c r="F1637" s="683"/>
      <c r="G1637" s="683"/>
      <c r="H1637" s="711"/>
      <c r="I1637" s="683"/>
      <c r="J1637" s="683"/>
      <c r="K1637" s="683"/>
      <c r="L1637" s="683"/>
      <c r="M1637" s="683"/>
      <c r="N1637" s="685"/>
      <c r="O1637" s="683"/>
      <c r="P1637" s="683"/>
      <c r="Q1637" s="683"/>
      <c r="R1637" s="683"/>
      <c r="S1637" s="683"/>
      <c r="T1637" s="683"/>
      <c r="U1637" s="683"/>
      <c r="V1637" s="683"/>
      <c r="W1637" s="683"/>
      <c r="X1637" s="683"/>
      <c r="Y1637" s="683"/>
      <c r="Z1637" s="683"/>
    </row>
    <row r="1638" spans="1:26" ht="15.75" customHeight="1" x14ac:dyDescent="0.25">
      <c r="A1638" s="683"/>
      <c r="B1638" s="683"/>
      <c r="C1638" s="683"/>
      <c r="D1638" s="683"/>
      <c r="E1638" s="683"/>
      <c r="F1638" s="683"/>
      <c r="G1638" s="683"/>
      <c r="H1638" s="711"/>
      <c r="I1638" s="683"/>
      <c r="J1638" s="683"/>
      <c r="K1638" s="683"/>
      <c r="L1638" s="683"/>
      <c r="M1638" s="683"/>
      <c r="N1638" s="685"/>
      <c r="O1638" s="683"/>
      <c r="P1638" s="683"/>
      <c r="Q1638" s="683"/>
      <c r="R1638" s="683"/>
      <c r="S1638" s="683"/>
      <c r="T1638" s="683"/>
      <c r="U1638" s="683"/>
      <c r="V1638" s="683"/>
      <c r="W1638" s="683"/>
      <c r="X1638" s="683"/>
      <c r="Y1638" s="683"/>
      <c r="Z1638" s="683"/>
    </row>
    <row r="1639" spans="1:26" ht="15.75" customHeight="1" x14ac:dyDescent="0.25">
      <c r="A1639" s="683"/>
      <c r="B1639" s="683"/>
      <c r="C1639" s="683"/>
      <c r="D1639" s="683"/>
      <c r="E1639" s="683"/>
      <c r="F1639" s="683"/>
      <c r="G1639" s="683"/>
      <c r="H1639" s="711"/>
      <c r="I1639" s="683"/>
      <c r="J1639" s="683"/>
      <c r="K1639" s="683"/>
      <c r="L1639" s="683"/>
      <c r="M1639" s="683"/>
      <c r="N1639" s="685"/>
      <c r="O1639" s="683"/>
      <c r="P1639" s="683"/>
      <c r="Q1639" s="683"/>
      <c r="R1639" s="683"/>
      <c r="S1639" s="683"/>
      <c r="T1639" s="683"/>
      <c r="U1639" s="683"/>
      <c r="V1639" s="683"/>
      <c r="W1639" s="683"/>
      <c r="X1639" s="683"/>
      <c r="Y1639" s="683"/>
      <c r="Z1639" s="683"/>
    </row>
    <row r="1640" spans="1:26" ht="15.75" customHeight="1" x14ac:dyDescent="0.25">
      <c r="A1640" s="683"/>
      <c r="B1640" s="683"/>
      <c r="C1640" s="683"/>
      <c r="D1640" s="683"/>
      <c r="E1640" s="683"/>
      <c r="F1640" s="683"/>
      <c r="G1640" s="683"/>
      <c r="H1640" s="711"/>
      <c r="I1640" s="683"/>
      <c r="J1640" s="683"/>
      <c r="K1640" s="683"/>
      <c r="L1640" s="683"/>
      <c r="M1640" s="683"/>
      <c r="N1640" s="685"/>
      <c r="O1640" s="683"/>
      <c r="P1640" s="683"/>
      <c r="Q1640" s="683"/>
      <c r="R1640" s="683"/>
      <c r="S1640" s="683"/>
      <c r="T1640" s="683"/>
      <c r="U1640" s="683"/>
      <c r="V1640" s="683"/>
      <c r="W1640" s="683"/>
      <c r="X1640" s="683"/>
      <c r="Y1640" s="683"/>
      <c r="Z1640" s="683"/>
    </row>
    <row r="1641" spans="1:26" ht="15.75" customHeight="1" x14ac:dyDescent="0.25">
      <c r="A1641" s="683"/>
      <c r="B1641" s="683"/>
      <c r="C1641" s="683"/>
      <c r="D1641" s="683"/>
      <c r="E1641" s="683"/>
      <c r="F1641" s="683"/>
      <c r="G1641" s="683"/>
      <c r="H1641" s="711"/>
      <c r="I1641" s="683"/>
      <c r="J1641" s="683"/>
      <c r="K1641" s="683"/>
      <c r="L1641" s="683"/>
      <c r="M1641" s="683"/>
      <c r="N1641" s="685"/>
      <c r="O1641" s="683"/>
      <c r="P1641" s="683"/>
      <c r="Q1641" s="683"/>
      <c r="R1641" s="683"/>
      <c r="S1641" s="683"/>
      <c r="T1641" s="683"/>
      <c r="U1641" s="683"/>
      <c r="V1641" s="683"/>
      <c r="W1641" s="683"/>
      <c r="X1641" s="683"/>
      <c r="Y1641" s="683"/>
      <c r="Z1641" s="683"/>
    </row>
    <row r="1642" spans="1:26" ht="15.75" customHeight="1" x14ac:dyDescent="0.25">
      <c r="A1642" s="683"/>
      <c r="B1642" s="683"/>
      <c r="C1642" s="683"/>
      <c r="D1642" s="683"/>
      <c r="E1642" s="683"/>
      <c r="F1642" s="683"/>
      <c r="G1642" s="683"/>
      <c r="H1642" s="711"/>
      <c r="I1642" s="683"/>
      <c r="J1642" s="683"/>
      <c r="K1642" s="683"/>
      <c r="L1642" s="683"/>
      <c r="M1642" s="683"/>
      <c r="N1642" s="685"/>
      <c r="O1642" s="683"/>
      <c r="P1642" s="683"/>
      <c r="Q1642" s="683"/>
      <c r="R1642" s="683"/>
      <c r="S1642" s="683"/>
      <c r="T1642" s="683"/>
      <c r="U1642" s="683"/>
      <c r="V1642" s="683"/>
      <c r="W1642" s="683"/>
      <c r="X1642" s="683"/>
      <c r="Y1642" s="683"/>
      <c r="Z1642" s="683"/>
    </row>
    <row r="1643" spans="1:26" ht="15.75" customHeight="1" x14ac:dyDescent="0.25">
      <c r="A1643" s="683"/>
      <c r="B1643" s="683"/>
      <c r="C1643" s="683"/>
      <c r="D1643" s="683"/>
      <c r="E1643" s="683"/>
      <c r="F1643" s="683"/>
      <c r="G1643" s="683"/>
      <c r="H1643" s="711"/>
      <c r="I1643" s="683"/>
      <c r="J1643" s="683"/>
      <c r="K1643" s="683"/>
      <c r="L1643" s="683"/>
      <c r="M1643" s="683"/>
      <c r="N1643" s="685"/>
      <c r="O1643" s="683"/>
      <c r="P1643" s="683"/>
      <c r="Q1643" s="683"/>
      <c r="R1643" s="683"/>
      <c r="S1643" s="683"/>
      <c r="T1643" s="683"/>
      <c r="U1643" s="683"/>
      <c r="V1643" s="683"/>
      <c r="W1643" s="683"/>
      <c r="X1643" s="683"/>
      <c r="Y1643" s="683"/>
      <c r="Z1643" s="683"/>
    </row>
    <row r="1644" spans="1:26" ht="15.75" customHeight="1" x14ac:dyDescent="0.25">
      <c r="A1644" s="683"/>
      <c r="B1644" s="683"/>
      <c r="C1644" s="683"/>
      <c r="D1644" s="683"/>
      <c r="E1644" s="683"/>
      <c r="F1644" s="683"/>
      <c r="G1644" s="683"/>
      <c r="H1644" s="711"/>
      <c r="I1644" s="683"/>
      <c r="J1644" s="683"/>
      <c r="K1644" s="683"/>
      <c r="L1644" s="683"/>
      <c r="M1644" s="683"/>
      <c r="N1644" s="685"/>
      <c r="O1644" s="683"/>
      <c r="P1644" s="683"/>
      <c r="Q1644" s="683"/>
      <c r="R1644" s="683"/>
      <c r="S1644" s="683"/>
      <c r="T1644" s="683"/>
      <c r="U1644" s="683"/>
      <c r="V1644" s="683"/>
      <c r="W1644" s="683"/>
      <c r="X1644" s="683"/>
      <c r="Y1644" s="683"/>
      <c r="Z1644" s="683"/>
    </row>
    <row r="1645" spans="1:26" ht="15.75" customHeight="1" x14ac:dyDescent="0.25">
      <c r="A1645" s="683"/>
      <c r="B1645" s="683"/>
      <c r="C1645" s="683"/>
      <c r="D1645" s="683"/>
      <c r="E1645" s="683"/>
      <c r="F1645" s="683"/>
      <c r="G1645" s="683"/>
      <c r="H1645" s="711"/>
      <c r="I1645" s="683"/>
      <c r="J1645" s="683"/>
      <c r="K1645" s="683"/>
      <c r="L1645" s="683"/>
      <c r="M1645" s="683"/>
      <c r="N1645" s="685"/>
      <c r="O1645" s="683"/>
      <c r="P1645" s="683"/>
      <c r="Q1645" s="683"/>
      <c r="R1645" s="683"/>
      <c r="S1645" s="683"/>
      <c r="T1645" s="683"/>
      <c r="U1645" s="683"/>
      <c r="V1645" s="683"/>
      <c r="W1645" s="683"/>
      <c r="X1645" s="683"/>
      <c r="Y1645" s="683"/>
      <c r="Z1645" s="683"/>
    </row>
    <row r="1646" spans="1:26" ht="15.75" customHeight="1" x14ac:dyDescent="0.25">
      <c r="A1646" s="683"/>
      <c r="B1646" s="683"/>
      <c r="C1646" s="683"/>
      <c r="D1646" s="683"/>
      <c r="E1646" s="683"/>
      <c r="F1646" s="683"/>
      <c r="G1646" s="683"/>
      <c r="H1646" s="711"/>
      <c r="I1646" s="683"/>
      <c r="J1646" s="683"/>
      <c r="K1646" s="683"/>
      <c r="L1646" s="683"/>
      <c r="M1646" s="683"/>
      <c r="N1646" s="685"/>
      <c r="O1646" s="683"/>
      <c r="P1646" s="683"/>
      <c r="Q1646" s="683"/>
      <c r="R1646" s="683"/>
      <c r="S1646" s="683"/>
      <c r="T1646" s="683"/>
      <c r="U1646" s="683"/>
      <c r="V1646" s="683"/>
      <c r="W1646" s="683"/>
      <c r="X1646" s="683"/>
      <c r="Y1646" s="683"/>
      <c r="Z1646" s="683"/>
    </row>
    <row r="1647" spans="1:26" ht="15.75" customHeight="1" x14ac:dyDescent="0.25">
      <c r="A1647" s="683"/>
      <c r="B1647" s="683"/>
      <c r="C1647" s="683"/>
      <c r="D1647" s="683"/>
      <c r="E1647" s="683"/>
      <c r="F1647" s="683"/>
      <c r="G1647" s="683"/>
      <c r="H1647" s="711"/>
      <c r="I1647" s="683"/>
      <c r="J1647" s="683"/>
      <c r="K1647" s="683"/>
      <c r="L1647" s="683"/>
      <c r="M1647" s="683"/>
      <c r="N1647" s="685"/>
      <c r="O1647" s="683"/>
      <c r="P1647" s="683"/>
      <c r="Q1647" s="683"/>
      <c r="R1647" s="683"/>
      <c r="S1647" s="683"/>
      <c r="T1647" s="683"/>
      <c r="U1647" s="683"/>
      <c r="V1647" s="683"/>
      <c r="W1647" s="683"/>
      <c r="X1647" s="683"/>
      <c r="Y1647" s="683"/>
      <c r="Z1647" s="683"/>
    </row>
    <row r="1648" spans="1:26" ht="15.75" customHeight="1" x14ac:dyDescent="0.25">
      <c r="A1648" s="683"/>
      <c r="B1648" s="683"/>
      <c r="C1648" s="683"/>
      <c r="D1648" s="683"/>
      <c r="E1648" s="683"/>
      <c r="F1648" s="683"/>
      <c r="G1648" s="683"/>
      <c r="H1648" s="711"/>
      <c r="I1648" s="683"/>
      <c r="J1648" s="683"/>
      <c r="K1648" s="683"/>
      <c r="L1648" s="683"/>
      <c r="M1648" s="683"/>
      <c r="N1648" s="685"/>
      <c r="O1648" s="683"/>
      <c r="P1648" s="683"/>
      <c r="Q1648" s="683"/>
      <c r="R1648" s="683"/>
      <c r="S1648" s="683"/>
      <c r="T1648" s="683"/>
      <c r="U1648" s="683"/>
      <c r="V1648" s="683"/>
      <c r="W1648" s="683"/>
      <c r="X1648" s="683"/>
      <c r="Y1648" s="683"/>
      <c r="Z1648" s="683"/>
    </row>
    <row r="1649" spans="1:26" ht="15.75" customHeight="1" x14ac:dyDescent="0.25">
      <c r="A1649" s="683"/>
      <c r="B1649" s="683"/>
      <c r="C1649" s="683"/>
      <c r="D1649" s="683"/>
      <c r="E1649" s="683"/>
      <c r="F1649" s="683"/>
      <c r="G1649" s="683"/>
      <c r="H1649" s="711"/>
      <c r="I1649" s="683"/>
      <c r="J1649" s="683"/>
      <c r="K1649" s="683"/>
      <c r="L1649" s="683"/>
      <c r="M1649" s="683"/>
      <c r="N1649" s="685"/>
      <c r="O1649" s="683"/>
      <c r="P1649" s="683"/>
      <c r="Q1649" s="683"/>
      <c r="R1649" s="683"/>
      <c r="S1649" s="683"/>
      <c r="T1649" s="683"/>
      <c r="U1649" s="683"/>
      <c r="V1649" s="683"/>
      <c r="W1649" s="683"/>
      <c r="X1649" s="683"/>
      <c r="Y1649" s="683"/>
      <c r="Z1649" s="683"/>
    </row>
    <row r="1650" spans="1:26" ht="15.75" customHeight="1" x14ac:dyDescent="0.25">
      <c r="A1650" s="683"/>
      <c r="B1650" s="683"/>
      <c r="C1650" s="683"/>
      <c r="D1650" s="683"/>
      <c r="E1650" s="683"/>
      <c r="F1650" s="683"/>
      <c r="G1650" s="683"/>
      <c r="H1650" s="711"/>
      <c r="I1650" s="683"/>
      <c r="J1650" s="683"/>
      <c r="K1650" s="683"/>
      <c r="L1650" s="683"/>
      <c r="M1650" s="683"/>
      <c r="N1650" s="685"/>
      <c r="O1650" s="683"/>
      <c r="P1650" s="683"/>
      <c r="Q1650" s="683"/>
      <c r="R1650" s="683"/>
      <c r="S1650" s="683"/>
      <c r="T1650" s="683"/>
      <c r="U1650" s="683"/>
      <c r="V1650" s="683"/>
      <c r="W1650" s="683"/>
      <c r="X1650" s="683"/>
      <c r="Y1650" s="683"/>
      <c r="Z1650" s="683"/>
    </row>
    <row r="1651" spans="1:26" ht="15.75" customHeight="1" x14ac:dyDescent="0.25">
      <c r="A1651" s="683"/>
      <c r="B1651" s="683"/>
      <c r="C1651" s="683"/>
      <c r="D1651" s="683"/>
      <c r="E1651" s="683"/>
      <c r="F1651" s="683"/>
      <c r="G1651" s="683"/>
      <c r="H1651" s="711"/>
      <c r="I1651" s="683"/>
      <c r="J1651" s="683"/>
      <c r="K1651" s="683"/>
      <c r="L1651" s="683"/>
      <c r="M1651" s="683"/>
      <c r="N1651" s="685"/>
      <c r="O1651" s="683"/>
      <c r="P1651" s="683"/>
      <c r="Q1651" s="683"/>
      <c r="R1651" s="683"/>
      <c r="S1651" s="683"/>
      <c r="T1651" s="683"/>
      <c r="U1651" s="683"/>
      <c r="V1651" s="683"/>
      <c r="W1651" s="683"/>
      <c r="X1651" s="683"/>
      <c r="Y1651" s="683"/>
      <c r="Z1651" s="683"/>
    </row>
    <row r="1652" spans="1:26" ht="15.75" customHeight="1" x14ac:dyDescent="0.25">
      <c r="A1652" s="683"/>
      <c r="B1652" s="683"/>
      <c r="C1652" s="683"/>
      <c r="D1652" s="683"/>
      <c r="E1652" s="683"/>
      <c r="F1652" s="683"/>
      <c r="G1652" s="683"/>
      <c r="H1652" s="711"/>
      <c r="I1652" s="683"/>
      <c r="J1652" s="683"/>
      <c r="K1652" s="683"/>
      <c r="L1652" s="683"/>
      <c r="M1652" s="683"/>
      <c r="N1652" s="685"/>
      <c r="O1652" s="683"/>
      <c r="P1652" s="683"/>
      <c r="Q1652" s="683"/>
      <c r="R1652" s="683"/>
      <c r="S1652" s="683"/>
      <c r="T1652" s="683"/>
      <c r="U1652" s="683"/>
      <c r="V1652" s="683"/>
      <c r="W1652" s="683"/>
      <c r="X1652" s="683"/>
      <c r="Y1652" s="683"/>
      <c r="Z1652" s="683"/>
    </row>
    <row r="1653" spans="1:26" ht="15.75" customHeight="1" x14ac:dyDescent="0.25">
      <c r="A1653" s="683"/>
      <c r="B1653" s="683"/>
      <c r="C1653" s="683"/>
      <c r="D1653" s="683"/>
      <c r="E1653" s="683"/>
      <c r="F1653" s="683"/>
      <c r="G1653" s="683"/>
      <c r="H1653" s="711"/>
      <c r="I1653" s="683"/>
      <c r="J1653" s="683"/>
      <c r="K1653" s="683"/>
      <c r="L1653" s="683"/>
      <c r="M1653" s="683"/>
      <c r="N1653" s="685"/>
      <c r="O1653" s="683"/>
      <c r="P1653" s="683"/>
      <c r="Q1653" s="683"/>
      <c r="R1653" s="683"/>
      <c r="S1653" s="683"/>
      <c r="T1653" s="683"/>
      <c r="U1653" s="683"/>
      <c r="V1653" s="683"/>
      <c r="W1653" s="683"/>
      <c r="X1653" s="683"/>
      <c r="Y1653" s="683"/>
      <c r="Z1653" s="683"/>
    </row>
    <row r="1654" spans="1:26" ht="15.75" customHeight="1" x14ac:dyDescent="0.25">
      <c r="A1654" s="683"/>
      <c r="B1654" s="683"/>
      <c r="C1654" s="683"/>
      <c r="D1654" s="683"/>
      <c r="E1654" s="683"/>
      <c r="F1654" s="683"/>
      <c r="G1654" s="683"/>
      <c r="H1654" s="711"/>
      <c r="I1654" s="683"/>
      <c r="J1654" s="683"/>
      <c r="K1654" s="683"/>
      <c r="L1654" s="683"/>
      <c r="M1654" s="683"/>
      <c r="N1654" s="685"/>
      <c r="O1654" s="683"/>
      <c r="P1654" s="683"/>
      <c r="Q1654" s="683"/>
      <c r="R1654" s="683"/>
      <c r="S1654" s="683"/>
      <c r="T1654" s="683"/>
      <c r="U1654" s="683"/>
      <c r="V1654" s="683"/>
      <c r="W1654" s="683"/>
      <c r="X1654" s="683"/>
      <c r="Y1654" s="683"/>
      <c r="Z1654" s="683"/>
    </row>
    <row r="1655" spans="1:26" ht="15.75" customHeight="1" x14ac:dyDescent="0.25">
      <c r="A1655" s="683"/>
      <c r="B1655" s="683"/>
      <c r="C1655" s="683"/>
      <c r="D1655" s="683"/>
      <c r="E1655" s="683"/>
      <c r="F1655" s="683"/>
      <c r="G1655" s="683"/>
      <c r="H1655" s="711"/>
      <c r="I1655" s="683"/>
      <c r="J1655" s="683"/>
      <c r="K1655" s="683"/>
      <c r="L1655" s="683"/>
      <c r="M1655" s="683"/>
      <c r="N1655" s="685"/>
      <c r="O1655" s="683"/>
      <c r="P1655" s="683"/>
      <c r="Q1655" s="683"/>
      <c r="R1655" s="683"/>
      <c r="S1655" s="683"/>
      <c r="T1655" s="683"/>
      <c r="U1655" s="683"/>
      <c r="V1655" s="683"/>
      <c r="W1655" s="683"/>
      <c r="X1655" s="683"/>
      <c r="Y1655" s="683"/>
      <c r="Z1655" s="683"/>
    </row>
    <row r="1656" spans="1:26" ht="15.75" customHeight="1" x14ac:dyDescent="0.25">
      <c r="A1656" s="683"/>
      <c r="B1656" s="683"/>
      <c r="C1656" s="683"/>
      <c r="D1656" s="683"/>
      <c r="E1656" s="683"/>
      <c r="F1656" s="683"/>
      <c r="G1656" s="683"/>
      <c r="H1656" s="711"/>
      <c r="I1656" s="683"/>
      <c r="J1656" s="683"/>
      <c r="K1656" s="683"/>
      <c r="L1656" s="683"/>
      <c r="M1656" s="683"/>
      <c r="N1656" s="685"/>
      <c r="O1656" s="683"/>
      <c r="P1656" s="683"/>
      <c r="Q1656" s="683"/>
      <c r="R1656" s="683"/>
      <c r="S1656" s="683"/>
      <c r="T1656" s="683"/>
      <c r="U1656" s="683"/>
      <c r="V1656" s="683"/>
      <c r="W1656" s="683"/>
      <c r="X1656" s="683"/>
      <c r="Y1656" s="683"/>
      <c r="Z1656" s="683"/>
    </row>
    <row r="1657" spans="1:26" ht="15.75" customHeight="1" x14ac:dyDescent="0.25">
      <c r="A1657" s="683"/>
      <c r="B1657" s="683"/>
      <c r="C1657" s="683"/>
      <c r="D1657" s="683"/>
      <c r="E1657" s="683"/>
      <c r="F1657" s="683"/>
      <c r="G1657" s="683"/>
      <c r="H1657" s="711"/>
      <c r="I1657" s="683"/>
      <c r="J1657" s="683"/>
      <c r="K1657" s="683"/>
      <c r="L1657" s="683"/>
      <c r="M1657" s="683"/>
      <c r="N1657" s="685"/>
      <c r="O1657" s="683"/>
      <c r="P1657" s="683"/>
      <c r="Q1657" s="683"/>
      <c r="R1657" s="683"/>
      <c r="S1657" s="683"/>
      <c r="T1657" s="683"/>
      <c r="U1657" s="683"/>
      <c r="V1657" s="683"/>
      <c r="W1657" s="683"/>
      <c r="X1657" s="683"/>
      <c r="Y1657" s="683"/>
      <c r="Z1657" s="683"/>
    </row>
    <row r="1658" spans="1:26" ht="15.75" customHeight="1" x14ac:dyDescent="0.25">
      <c r="A1658" s="683"/>
      <c r="B1658" s="683"/>
      <c r="C1658" s="683"/>
      <c r="D1658" s="683"/>
      <c r="E1658" s="683"/>
      <c r="F1658" s="683"/>
      <c r="G1658" s="683"/>
      <c r="H1658" s="711"/>
      <c r="I1658" s="683"/>
      <c r="J1658" s="683"/>
      <c r="K1658" s="683"/>
      <c r="L1658" s="683"/>
      <c r="M1658" s="683"/>
      <c r="N1658" s="685"/>
      <c r="O1658" s="683"/>
      <c r="P1658" s="683"/>
      <c r="Q1658" s="683"/>
      <c r="R1658" s="683"/>
      <c r="S1658" s="683"/>
      <c r="T1658" s="683"/>
      <c r="U1658" s="683"/>
      <c r="V1658" s="683"/>
      <c r="W1658" s="683"/>
      <c r="X1658" s="683"/>
      <c r="Y1658" s="683"/>
      <c r="Z1658" s="683"/>
    </row>
    <row r="1659" spans="1:26" ht="15.75" customHeight="1" x14ac:dyDescent="0.25">
      <c r="A1659" s="683"/>
      <c r="B1659" s="683"/>
      <c r="C1659" s="683"/>
      <c r="D1659" s="683"/>
      <c r="E1659" s="683"/>
      <c r="F1659" s="683"/>
      <c r="G1659" s="683"/>
      <c r="H1659" s="711"/>
      <c r="I1659" s="683"/>
      <c r="J1659" s="683"/>
      <c r="K1659" s="683"/>
      <c r="L1659" s="683"/>
      <c r="M1659" s="683"/>
      <c r="N1659" s="685"/>
      <c r="O1659" s="683"/>
      <c r="P1659" s="683"/>
      <c r="Q1659" s="683"/>
      <c r="R1659" s="683"/>
      <c r="S1659" s="683"/>
      <c r="T1659" s="683"/>
      <c r="U1659" s="683"/>
      <c r="V1659" s="683"/>
      <c r="W1659" s="683"/>
      <c r="X1659" s="683"/>
      <c r="Y1659" s="683"/>
      <c r="Z1659" s="683"/>
    </row>
    <row r="1660" spans="1:26" ht="15.75" customHeight="1" x14ac:dyDescent="0.25">
      <c r="A1660" s="683"/>
      <c r="B1660" s="683"/>
      <c r="C1660" s="683"/>
      <c r="D1660" s="683"/>
      <c r="E1660" s="683"/>
      <c r="F1660" s="683"/>
      <c r="G1660" s="683"/>
      <c r="H1660" s="711"/>
      <c r="I1660" s="683"/>
      <c r="J1660" s="683"/>
      <c r="K1660" s="683"/>
      <c r="L1660" s="683"/>
      <c r="M1660" s="683"/>
      <c r="N1660" s="685"/>
      <c r="O1660" s="683"/>
      <c r="P1660" s="683"/>
      <c r="Q1660" s="683"/>
      <c r="R1660" s="683"/>
      <c r="S1660" s="683"/>
      <c r="T1660" s="683"/>
      <c r="U1660" s="683"/>
      <c r="V1660" s="683"/>
      <c r="W1660" s="683"/>
      <c r="X1660" s="683"/>
      <c r="Y1660" s="683"/>
      <c r="Z1660" s="683"/>
    </row>
    <row r="1661" spans="1:26" ht="15.75" customHeight="1" x14ac:dyDescent="0.25">
      <c r="A1661" s="683"/>
      <c r="B1661" s="683"/>
      <c r="C1661" s="683"/>
      <c r="D1661" s="683"/>
      <c r="E1661" s="683"/>
      <c r="F1661" s="683"/>
      <c r="G1661" s="683"/>
      <c r="H1661" s="711"/>
      <c r="I1661" s="683"/>
      <c r="J1661" s="683"/>
      <c r="K1661" s="683"/>
      <c r="L1661" s="683"/>
      <c r="M1661" s="683"/>
      <c r="N1661" s="685"/>
      <c r="O1661" s="683"/>
      <c r="P1661" s="683"/>
      <c r="Q1661" s="683"/>
      <c r="R1661" s="683"/>
      <c r="S1661" s="683"/>
      <c r="T1661" s="683"/>
      <c r="U1661" s="683"/>
      <c r="V1661" s="683"/>
      <c r="W1661" s="683"/>
      <c r="X1661" s="683"/>
      <c r="Y1661" s="683"/>
      <c r="Z1661" s="683"/>
    </row>
    <row r="1662" spans="1:26" ht="15.75" customHeight="1" x14ac:dyDescent="0.25">
      <c r="A1662" s="683"/>
      <c r="B1662" s="683"/>
      <c r="C1662" s="683"/>
      <c r="D1662" s="683"/>
      <c r="E1662" s="683"/>
      <c r="F1662" s="683"/>
      <c r="G1662" s="683"/>
      <c r="H1662" s="711"/>
      <c r="I1662" s="683"/>
      <c r="J1662" s="683"/>
      <c r="K1662" s="683"/>
      <c r="L1662" s="683"/>
      <c r="M1662" s="683"/>
      <c r="N1662" s="685"/>
      <c r="O1662" s="683"/>
      <c r="P1662" s="683"/>
      <c r="Q1662" s="683"/>
      <c r="R1662" s="683"/>
      <c r="S1662" s="683"/>
      <c r="T1662" s="683"/>
      <c r="U1662" s="683"/>
      <c r="V1662" s="683"/>
      <c r="W1662" s="683"/>
      <c r="X1662" s="683"/>
      <c r="Y1662" s="683"/>
      <c r="Z1662" s="683"/>
    </row>
    <row r="1663" spans="1:26" ht="15.75" customHeight="1" x14ac:dyDescent="0.25">
      <c r="A1663" s="683"/>
      <c r="B1663" s="683"/>
      <c r="C1663" s="683"/>
      <c r="D1663" s="683"/>
      <c r="E1663" s="683"/>
      <c r="F1663" s="683"/>
      <c r="G1663" s="683"/>
      <c r="H1663" s="711"/>
      <c r="I1663" s="683"/>
      <c r="J1663" s="683"/>
      <c r="K1663" s="683"/>
      <c r="L1663" s="683"/>
      <c r="M1663" s="683"/>
      <c r="N1663" s="685"/>
      <c r="O1663" s="683"/>
      <c r="P1663" s="683"/>
      <c r="Q1663" s="683"/>
      <c r="R1663" s="683"/>
      <c r="S1663" s="683"/>
      <c r="T1663" s="683"/>
      <c r="U1663" s="683"/>
      <c r="V1663" s="683"/>
      <c r="W1663" s="683"/>
      <c r="X1663" s="683"/>
      <c r="Y1663" s="683"/>
      <c r="Z1663" s="683"/>
    </row>
    <row r="1664" spans="1:26" ht="15.75" customHeight="1" x14ac:dyDescent="0.25">
      <c r="A1664" s="683"/>
      <c r="B1664" s="683"/>
      <c r="C1664" s="683"/>
      <c r="D1664" s="683"/>
      <c r="E1664" s="683"/>
      <c r="F1664" s="683"/>
      <c r="G1664" s="683"/>
      <c r="H1664" s="711"/>
      <c r="I1664" s="683"/>
      <c r="J1664" s="683"/>
      <c r="K1664" s="683"/>
      <c r="L1664" s="683"/>
      <c r="M1664" s="683"/>
      <c r="N1664" s="685"/>
      <c r="O1664" s="683"/>
      <c r="P1664" s="683"/>
      <c r="Q1664" s="683"/>
      <c r="R1664" s="683"/>
      <c r="S1664" s="683"/>
      <c r="T1664" s="683"/>
      <c r="U1664" s="683"/>
      <c r="V1664" s="683"/>
      <c r="W1664" s="683"/>
      <c r="X1664" s="683"/>
      <c r="Y1664" s="683"/>
      <c r="Z1664" s="683"/>
    </row>
    <row r="1665" spans="1:26" ht="15.75" customHeight="1" x14ac:dyDescent="0.25">
      <c r="A1665" s="683"/>
      <c r="B1665" s="683"/>
      <c r="C1665" s="683"/>
      <c r="D1665" s="683"/>
      <c r="E1665" s="683"/>
      <c r="F1665" s="683"/>
      <c r="G1665" s="683"/>
      <c r="H1665" s="711"/>
      <c r="I1665" s="683"/>
      <c r="J1665" s="683"/>
      <c r="K1665" s="683"/>
      <c r="L1665" s="683"/>
      <c r="M1665" s="683"/>
      <c r="N1665" s="685"/>
      <c r="O1665" s="683"/>
      <c r="P1665" s="683"/>
      <c r="Q1665" s="683"/>
      <c r="R1665" s="683"/>
      <c r="S1665" s="683"/>
      <c r="T1665" s="683"/>
      <c r="U1665" s="683"/>
      <c r="V1665" s="683"/>
      <c r="W1665" s="683"/>
      <c r="X1665" s="683"/>
      <c r="Y1665" s="683"/>
      <c r="Z1665" s="683"/>
    </row>
    <row r="1666" spans="1:26" ht="15.75" customHeight="1" x14ac:dyDescent="0.25">
      <c r="A1666" s="683"/>
      <c r="B1666" s="683"/>
      <c r="C1666" s="683"/>
      <c r="D1666" s="683"/>
      <c r="E1666" s="683"/>
      <c r="F1666" s="683"/>
      <c r="G1666" s="683"/>
      <c r="H1666" s="711"/>
      <c r="I1666" s="683"/>
      <c r="J1666" s="683"/>
      <c r="K1666" s="683"/>
      <c r="L1666" s="683"/>
      <c r="M1666" s="683"/>
      <c r="N1666" s="685"/>
      <c r="O1666" s="683"/>
      <c r="P1666" s="683"/>
      <c r="Q1666" s="683"/>
      <c r="R1666" s="683"/>
      <c r="S1666" s="683"/>
      <c r="T1666" s="683"/>
      <c r="U1666" s="683"/>
      <c r="V1666" s="683"/>
      <c r="W1666" s="683"/>
      <c r="X1666" s="683"/>
      <c r="Y1666" s="683"/>
      <c r="Z1666" s="683"/>
    </row>
    <row r="1667" spans="1:26" ht="15.75" customHeight="1" x14ac:dyDescent="0.25">
      <c r="A1667" s="683"/>
      <c r="B1667" s="683"/>
      <c r="C1667" s="683"/>
      <c r="D1667" s="683"/>
      <c r="E1667" s="683"/>
      <c r="F1667" s="683"/>
      <c r="G1667" s="683"/>
      <c r="H1667" s="711"/>
      <c r="I1667" s="683"/>
      <c r="J1667" s="683"/>
      <c r="K1667" s="683"/>
      <c r="L1667" s="683"/>
      <c r="M1667" s="683"/>
      <c r="N1667" s="685"/>
      <c r="O1667" s="683"/>
      <c r="P1667" s="683"/>
      <c r="Q1667" s="683"/>
      <c r="R1667" s="683"/>
      <c r="S1667" s="683"/>
      <c r="T1667" s="683"/>
      <c r="U1667" s="683"/>
      <c r="V1667" s="683"/>
      <c r="W1667" s="683"/>
      <c r="X1667" s="683"/>
      <c r="Y1667" s="683"/>
      <c r="Z1667" s="683"/>
    </row>
    <row r="1668" spans="1:26" ht="15.75" customHeight="1" x14ac:dyDescent="0.25">
      <c r="A1668" s="683"/>
      <c r="B1668" s="683"/>
      <c r="C1668" s="683"/>
      <c r="D1668" s="683"/>
      <c r="E1668" s="683"/>
      <c r="F1668" s="683"/>
      <c r="G1668" s="683"/>
      <c r="H1668" s="711"/>
      <c r="I1668" s="683"/>
      <c r="J1668" s="683"/>
      <c r="K1668" s="683"/>
      <c r="L1668" s="683"/>
      <c r="M1668" s="683"/>
      <c r="N1668" s="685"/>
      <c r="O1668" s="683"/>
      <c r="P1668" s="683"/>
      <c r="Q1668" s="683"/>
      <c r="R1668" s="683"/>
      <c r="S1668" s="683"/>
      <c r="T1668" s="683"/>
      <c r="U1668" s="683"/>
      <c r="V1668" s="683"/>
      <c r="W1668" s="683"/>
      <c r="X1668" s="683"/>
      <c r="Y1668" s="683"/>
      <c r="Z1668" s="683"/>
    </row>
    <row r="1669" spans="1:26" ht="15.75" customHeight="1" x14ac:dyDescent="0.25">
      <c r="A1669" s="683"/>
      <c r="B1669" s="683"/>
      <c r="C1669" s="683"/>
      <c r="D1669" s="683"/>
      <c r="E1669" s="683"/>
      <c r="F1669" s="683"/>
      <c r="G1669" s="683"/>
      <c r="H1669" s="711"/>
      <c r="I1669" s="683"/>
      <c r="J1669" s="683"/>
      <c r="K1669" s="683"/>
      <c r="L1669" s="683"/>
      <c r="M1669" s="683"/>
      <c r="N1669" s="685"/>
      <c r="O1669" s="683"/>
      <c r="P1669" s="683"/>
      <c r="Q1669" s="683"/>
      <c r="R1669" s="683"/>
      <c r="S1669" s="683"/>
      <c r="T1669" s="683"/>
      <c r="U1669" s="683"/>
      <c r="V1669" s="683"/>
      <c r="W1669" s="683"/>
      <c r="X1669" s="683"/>
      <c r="Y1669" s="683"/>
      <c r="Z1669" s="683"/>
    </row>
    <row r="1670" spans="1:26" ht="15.75" customHeight="1" x14ac:dyDescent="0.25">
      <c r="A1670" s="683"/>
      <c r="B1670" s="683"/>
      <c r="C1670" s="683"/>
      <c r="D1670" s="683"/>
      <c r="E1670" s="683"/>
      <c r="F1670" s="683"/>
      <c r="G1670" s="683"/>
      <c r="H1670" s="711"/>
      <c r="I1670" s="683"/>
      <c r="J1670" s="683"/>
      <c r="K1670" s="683"/>
      <c r="L1670" s="683"/>
      <c r="M1670" s="683"/>
      <c r="N1670" s="685"/>
      <c r="O1670" s="683"/>
      <c r="P1670" s="683"/>
      <c r="Q1670" s="683"/>
      <c r="R1670" s="683"/>
      <c r="S1670" s="683"/>
      <c r="T1670" s="683"/>
      <c r="U1670" s="683"/>
      <c r="V1670" s="683"/>
      <c r="W1670" s="683"/>
      <c r="X1670" s="683"/>
      <c r="Y1670" s="683"/>
      <c r="Z1670" s="683"/>
    </row>
    <row r="1671" spans="1:26" ht="15.75" customHeight="1" x14ac:dyDescent="0.25">
      <c r="A1671" s="683"/>
      <c r="B1671" s="683"/>
      <c r="C1671" s="683"/>
      <c r="D1671" s="683"/>
      <c r="E1671" s="683"/>
      <c r="F1671" s="683"/>
      <c r="G1671" s="683"/>
      <c r="H1671" s="711"/>
      <c r="I1671" s="683"/>
      <c r="J1671" s="683"/>
      <c r="K1671" s="683"/>
      <c r="L1671" s="683"/>
      <c r="M1671" s="683"/>
      <c r="N1671" s="685"/>
      <c r="O1671" s="683"/>
      <c r="P1671" s="683"/>
      <c r="Q1671" s="683"/>
      <c r="R1671" s="683"/>
      <c r="S1671" s="683"/>
      <c r="T1671" s="683"/>
      <c r="U1671" s="683"/>
      <c r="V1671" s="683"/>
      <c r="W1671" s="683"/>
      <c r="X1671" s="683"/>
      <c r="Y1671" s="683"/>
      <c r="Z1671" s="683"/>
    </row>
    <row r="1672" spans="1:26" ht="15.75" customHeight="1" x14ac:dyDescent="0.25">
      <c r="A1672" s="683"/>
      <c r="B1672" s="683"/>
      <c r="C1672" s="683"/>
      <c r="D1672" s="683"/>
      <c r="E1672" s="683"/>
      <c r="F1672" s="683"/>
      <c r="G1672" s="683"/>
      <c r="H1672" s="711"/>
      <c r="I1672" s="683"/>
      <c r="J1672" s="683"/>
      <c r="K1672" s="683"/>
      <c r="L1672" s="683"/>
      <c r="M1672" s="683"/>
      <c r="N1672" s="685"/>
      <c r="O1672" s="683"/>
      <c r="P1672" s="683"/>
      <c r="Q1672" s="683"/>
      <c r="R1672" s="683"/>
      <c r="S1672" s="683"/>
      <c r="T1672" s="683"/>
      <c r="U1672" s="683"/>
      <c r="V1672" s="683"/>
      <c r="W1672" s="683"/>
      <c r="X1672" s="683"/>
      <c r="Y1672" s="683"/>
      <c r="Z1672" s="683"/>
    </row>
    <row r="1673" spans="1:26" ht="15.75" customHeight="1" x14ac:dyDescent="0.25">
      <c r="A1673" s="683"/>
      <c r="B1673" s="683"/>
      <c r="C1673" s="683"/>
      <c r="D1673" s="683"/>
      <c r="E1673" s="683"/>
      <c r="F1673" s="683"/>
      <c r="G1673" s="683"/>
      <c r="H1673" s="711"/>
      <c r="I1673" s="683"/>
      <c r="J1673" s="683"/>
      <c r="K1673" s="683"/>
      <c r="L1673" s="683"/>
      <c r="M1673" s="683"/>
      <c r="N1673" s="685"/>
      <c r="O1673" s="683"/>
      <c r="P1673" s="683"/>
      <c r="Q1673" s="683"/>
      <c r="R1673" s="683"/>
      <c r="S1673" s="683"/>
      <c r="T1673" s="683"/>
      <c r="U1673" s="683"/>
      <c r="V1673" s="683"/>
      <c r="W1673" s="683"/>
      <c r="X1673" s="683"/>
      <c r="Y1673" s="683"/>
      <c r="Z1673" s="683"/>
    </row>
    <row r="1674" spans="1:26" ht="15.75" customHeight="1" x14ac:dyDescent="0.25">
      <c r="A1674" s="683"/>
      <c r="B1674" s="683"/>
      <c r="C1674" s="683"/>
      <c r="D1674" s="683"/>
      <c r="E1674" s="683"/>
      <c r="F1674" s="683"/>
      <c r="G1674" s="683"/>
      <c r="H1674" s="711"/>
      <c r="I1674" s="683"/>
      <c r="J1674" s="683"/>
      <c r="K1674" s="683"/>
      <c r="L1674" s="683"/>
      <c r="M1674" s="683"/>
      <c r="N1674" s="685"/>
      <c r="O1674" s="683"/>
      <c r="P1674" s="683"/>
      <c r="Q1674" s="683"/>
      <c r="R1674" s="683"/>
      <c r="S1674" s="683"/>
      <c r="T1674" s="683"/>
      <c r="U1674" s="683"/>
      <c r="V1674" s="683"/>
      <c r="W1674" s="683"/>
      <c r="X1674" s="683"/>
      <c r="Y1674" s="683"/>
      <c r="Z1674" s="683"/>
    </row>
    <row r="1675" spans="1:26" ht="15.75" customHeight="1" x14ac:dyDescent="0.25">
      <c r="A1675" s="683"/>
      <c r="B1675" s="683"/>
      <c r="C1675" s="683"/>
      <c r="D1675" s="683"/>
      <c r="E1675" s="683"/>
      <c r="F1675" s="683"/>
      <c r="G1675" s="683"/>
      <c r="H1675" s="711"/>
      <c r="I1675" s="683"/>
      <c r="J1675" s="683"/>
      <c r="K1675" s="683"/>
      <c r="L1675" s="683"/>
      <c r="M1675" s="683"/>
      <c r="N1675" s="685"/>
      <c r="O1675" s="683"/>
      <c r="P1675" s="683"/>
      <c r="Q1675" s="683"/>
      <c r="R1675" s="683"/>
      <c r="S1675" s="683"/>
      <c r="T1675" s="683"/>
      <c r="U1675" s="683"/>
      <c r="V1675" s="683"/>
      <c r="W1675" s="683"/>
      <c r="X1675" s="683"/>
      <c r="Y1675" s="683"/>
      <c r="Z1675" s="683"/>
    </row>
    <row r="1676" spans="1:26" ht="15.75" customHeight="1" x14ac:dyDescent="0.25">
      <c r="A1676" s="683"/>
      <c r="B1676" s="683"/>
      <c r="C1676" s="683"/>
      <c r="D1676" s="683"/>
      <c r="E1676" s="683"/>
      <c r="F1676" s="683"/>
      <c r="G1676" s="683"/>
      <c r="H1676" s="711"/>
      <c r="I1676" s="683"/>
      <c r="J1676" s="683"/>
      <c r="K1676" s="683"/>
      <c r="L1676" s="683"/>
      <c r="M1676" s="683"/>
      <c r="N1676" s="685"/>
      <c r="O1676" s="683"/>
      <c r="P1676" s="683"/>
      <c r="Q1676" s="683"/>
      <c r="R1676" s="683"/>
      <c r="S1676" s="683"/>
      <c r="T1676" s="683"/>
      <c r="U1676" s="683"/>
      <c r="V1676" s="683"/>
      <c r="W1676" s="683"/>
      <c r="X1676" s="683"/>
      <c r="Y1676" s="683"/>
      <c r="Z1676" s="683"/>
    </row>
    <row r="1677" spans="1:26" ht="15.75" customHeight="1" x14ac:dyDescent="0.25">
      <c r="A1677" s="683"/>
      <c r="B1677" s="683"/>
      <c r="C1677" s="683"/>
      <c r="D1677" s="683"/>
      <c r="E1677" s="683"/>
      <c r="F1677" s="683"/>
      <c r="G1677" s="683"/>
      <c r="H1677" s="711"/>
      <c r="I1677" s="683"/>
      <c r="J1677" s="683"/>
      <c r="K1677" s="683"/>
      <c r="L1677" s="683"/>
      <c r="M1677" s="683"/>
      <c r="N1677" s="685"/>
      <c r="O1677" s="683"/>
      <c r="P1677" s="683"/>
      <c r="Q1677" s="683"/>
      <c r="R1677" s="683"/>
      <c r="S1677" s="683"/>
      <c r="T1677" s="683"/>
      <c r="U1677" s="683"/>
      <c r="V1677" s="683"/>
      <c r="W1677" s="683"/>
      <c r="X1677" s="683"/>
      <c r="Y1677" s="683"/>
      <c r="Z1677" s="683"/>
    </row>
    <row r="1678" spans="1:26" ht="15.75" customHeight="1" x14ac:dyDescent="0.25">
      <c r="A1678" s="683"/>
      <c r="B1678" s="683"/>
      <c r="C1678" s="683"/>
      <c r="D1678" s="683"/>
      <c r="E1678" s="683"/>
      <c r="F1678" s="683"/>
      <c r="G1678" s="683"/>
      <c r="H1678" s="711"/>
      <c r="I1678" s="683"/>
      <c r="J1678" s="683"/>
      <c r="K1678" s="683"/>
      <c r="L1678" s="683"/>
      <c r="M1678" s="683"/>
      <c r="N1678" s="685"/>
      <c r="O1678" s="683"/>
      <c r="P1678" s="683"/>
      <c r="Q1678" s="683"/>
      <c r="R1678" s="683"/>
      <c r="S1678" s="683"/>
      <c r="T1678" s="683"/>
      <c r="U1678" s="683"/>
      <c r="V1678" s="683"/>
      <c r="W1678" s="683"/>
      <c r="X1678" s="683"/>
      <c r="Y1678" s="683"/>
      <c r="Z1678" s="683"/>
    </row>
    <row r="1679" spans="1:26" ht="15.75" customHeight="1" x14ac:dyDescent="0.25">
      <c r="A1679" s="683"/>
      <c r="B1679" s="683"/>
      <c r="C1679" s="683"/>
      <c r="D1679" s="683"/>
      <c r="E1679" s="683"/>
      <c r="F1679" s="683"/>
      <c r="G1679" s="683"/>
      <c r="H1679" s="711"/>
      <c r="I1679" s="683"/>
      <c r="J1679" s="683"/>
      <c r="K1679" s="683"/>
      <c r="L1679" s="683"/>
      <c r="M1679" s="683"/>
      <c r="N1679" s="685"/>
      <c r="O1679" s="683"/>
      <c r="P1679" s="683"/>
      <c r="Q1679" s="683"/>
      <c r="R1679" s="683"/>
      <c r="S1679" s="683"/>
      <c r="T1679" s="683"/>
      <c r="U1679" s="683"/>
      <c r="V1679" s="683"/>
      <c r="W1679" s="683"/>
      <c r="X1679" s="683"/>
      <c r="Y1679" s="683"/>
      <c r="Z1679" s="683"/>
    </row>
    <row r="1680" spans="1:26" ht="15.75" customHeight="1" x14ac:dyDescent="0.25">
      <c r="A1680" s="683"/>
      <c r="B1680" s="683"/>
      <c r="C1680" s="683"/>
      <c r="D1680" s="683"/>
      <c r="E1680" s="683"/>
      <c r="F1680" s="683"/>
      <c r="G1680" s="683"/>
      <c r="H1680" s="711"/>
      <c r="I1680" s="683"/>
      <c r="J1680" s="683"/>
      <c r="K1680" s="683"/>
      <c r="L1680" s="683"/>
      <c r="M1680" s="683"/>
      <c r="N1680" s="685"/>
      <c r="O1680" s="683"/>
      <c r="P1680" s="683"/>
      <c r="Q1680" s="683"/>
      <c r="R1680" s="683"/>
      <c r="S1680" s="683"/>
      <c r="T1680" s="683"/>
      <c r="U1680" s="683"/>
      <c r="V1680" s="683"/>
      <c r="W1680" s="683"/>
      <c r="X1680" s="683"/>
      <c r="Y1680" s="683"/>
      <c r="Z1680" s="683"/>
    </row>
    <row r="1681" spans="1:26" ht="15.75" customHeight="1" x14ac:dyDescent="0.25">
      <c r="A1681" s="683"/>
      <c r="B1681" s="683"/>
      <c r="C1681" s="683"/>
      <c r="D1681" s="683"/>
      <c r="E1681" s="683"/>
      <c r="F1681" s="683"/>
      <c r="G1681" s="683"/>
      <c r="H1681" s="711"/>
      <c r="I1681" s="683"/>
      <c r="J1681" s="683"/>
      <c r="K1681" s="683"/>
      <c r="L1681" s="683"/>
      <c r="M1681" s="683"/>
      <c r="N1681" s="685"/>
      <c r="O1681" s="683"/>
      <c r="P1681" s="683"/>
      <c r="Q1681" s="683"/>
      <c r="R1681" s="683"/>
      <c r="S1681" s="683"/>
      <c r="T1681" s="683"/>
      <c r="U1681" s="683"/>
      <c r="V1681" s="683"/>
      <c r="W1681" s="683"/>
      <c r="X1681" s="683"/>
      <c r="Y1681" s="683"/>
      <c r="Z1681" s="683"/>
    </row>
    <row r="1682" spans="1:26" ht="15.75" customHeight="1" x14ac:dyDescent="0.25">
      <c r="A1682" s="683"/>
      <c r="B1682" s="683"/>
      <c r="C1682" s="683"/>
      <c r="D1682" s="683"/>
      <c r="E1682" s="683"/>
      <c r="F1682" s="683"/>
      <c r="G1682" s="683"/>
      <c r="H1682" s="711"/>
      <c r="I1682" s="683"/>
      <c r="J1682" s="683"/>
      <c r="K1682" s="683"/>
      <c r="L1682" s="683"/>
      <c r="M1682" s="683"/>
      <c r="N1682" s="685"/>
      <c r="O1682" s="683"/>
      <c r="P1682" s="683"/>
      <c r="Q1682" s="683"/>
      <c r="R1682" s="683"/>
      <c r="S1682" s="683"/>
      <c r="T1682" s="683"/>
      <c r="U1682" s="683"/>
      <c r="V1682" s="683"/>
      <c r="W1682" s="683"/>
      <c r="X1682" s="683"/>
      <c r="Y1682" s="683"/>
      <c r="Z1682" s="683"/>
    </row>
    <row r="1683" spans="1:26" ht="15.75" customHeight="1" x14ac:dyDescent="0.25">
      <c r="A1683" s="683"/>
      <c r="B1683" s="683"/>
      <c r="C1683" s="683"/>
      <c r="D1683" s="683"/>
      <c r="E1683" s="683"/>
      <c r="F1683" s="683"/>
      <c r="G1683" s="683"/>
      <c r="H1683" s="711"/>
      <c r="I1683" s="683"/>
      <c r="J1683" s="683"/>
      <c r="K1683" s="683"/>
      <c r="L1683" s="683"/>
      <c r="M1683" s="683"/>
      <c r="N1683" s="685"/>
      <c r="O1683" s="683"/>
      <c r="P1683" s="683"/>
      <c r="Q1683" s="683"/>
      <c r="R1683" s="683"/>
      <c r="S1683" s="683"/>
      <c r="T1683" s="683"/>
      <c r="U1683" s="683"/>
      <c r="V1683" s="683"/>
      <c r="W1683" s="683"/>
      <c r="X1683" s="683"/>
      <c r="Y1683" s="683"/>
      <c r="Z1683" s="683"/>
    </row>
    <row r="1684" spans="1:26" ht="15.75" customHeight="1" x14ac:dyDescent="0.25">
      <c r="A1684" s="683"/>
      <c r="B1684" s="683"/>
      <c r="C1684" s="683"/>
      <c r="D1684" s="683"/>
      <c r="E1684" s="683"/>
      <c r="F1684" s="683"/>
      <c r="G1684" s="683"/>
      <c r="H1684" s="711"/>
      <c r="I1684" s="683"/>
      <c r="J1684" s="683"/>
      <c r="K1684" s="683"/>
      <c r="L1684" s="683"/>
      <c r="M1684" s="683"/>
      <c r="N1684" s="685"/>
      <c r="O1684" s="683"/>
      <c r="P1684" s="683"/>
      <c r="Q1684" s="683"/>
      <c r="R1684" s="683"/>
      <c r="S1684" s="683"/>
      <c r="T1684" s="683"/>
      <c r="U1684" s="683"/>
      <c r="V1684" s="683"/>
      <c r="W1684" s="683"/>
      <c r="X1684" s="683"/>
      <c r="Y1684" s="683"/>
      <c r="Z1684" s="683"/>
    </row>
    <row r="1685" spans="1:26" ht="15.75" customHeight="1" x14ac:dyDescent="0.25">
      <c r="A1685" s="683"/>
      <c r="B1685" s="683"/>
      <c r="C1685" s="683"/>
      <c r="D1685" s="683"/>
      <c r="E1685" s="683"/>
      <c r="F1685" s="683"/>
      <c r="G1685" s="683"/>
      <c r="H1685" s="711"/>
      <c r="I1685" s="683"/>
      <c r="J1685" s="683"/>
      <c r="K1685" s="683"/>
      <c r="L1685" s="683"/>
      <c r="M1685" s="683"/>
      <c r="N1685" s="685"/>
      <c r="O1685" s="683"/>
      <c r="P1685" s="683"/>
      <c r="Q1685" s="683"/>
      <c r="R1685" s="683"/>
      <c r="S1685" s="683"/>
      <c r="T1685" s="683"/>
      <c r="U1685" s="683"/>
      <c r="V1685" s="683"/>
      <c r="W1685" s="683"/>
      <c r="X1685" s="683"/>
      <c r="Y1685" s="683"/>
      <c r="Z1685" s="683"/>
    </row>
    <row r="1686" spans="1:26" ht="15.75" customHeight="1" x14ac:dyDescent="0.25">
      <c r="A1686" s="683"/>
      <c r="B1686" s="683"/>
      <c r="C1686" s="683"/>
      <c r="D1686" s="683"/>
      <c r="E1686" s="683"/>
      <c r="F1686" s="683"/>
      <c r="G1686" s="683"/>
      <c r="H1686" s="711"/>
      <c r="I1686" s="683"/>
      <c r="J1686" s="683"/>
      <c r="K1686" s="683"/>
      <c r="L1686" s="683"/>
      <c r="M1686" s="683"/>
      <c r="N1686" s="685"/>
      <c r="O1686" s="683"/>
      <c r="P1686" s="683"/>
      <c r="Q1686" s="683"/>
      <c r="R1686" s="683"/>
      <c r="S1686" s="683"/>
      <c r="T1686" s="683"/>
      <c r="U1686" s="683"/>
      <c r="V1686" s="683"/>
      <c r="W1686" s="683"/>
      <c r="X1686" s="683"/>
      <c r="Y1686" s="683"/>
      <c r="Z1686" s="683"/>
    </row>
    <row r="1687" spans="1:26" ht="15.75" customHeight="1" x14ac:dyDescent="0.25">
      <c r="A1687" s="683"/>
      <c r="B1687" s="683"/>
      <c r="C1687" s="683"/>
      <c r="D1687" s="683"/>
      <c r="E1687" s="683"/>
      <c r="F1687" s="683"/>
      <c r="G1687" s="683"/>
      <c r="H1687" s="711"/>
      <c r="I1687" s="683"/>
      <c r="J1687" s="683"/>
      <c r="K1687" s="683"/>
      <c r="L1687" s="683"/>
      <c r="M1687" s="683"/>
      <c r="N1687" s="685"/>
      <c r="O1687" s="683"/>
      <c r="P1687" s="683"/>
      <c r="Q1687" s="683"/>
      <c r="R1687" s="683"/>
      <c r="S1687" s="683"/>
      <c r="T1687" s="683"/>
      <c r="U1687" s="683"/>
      <c r="V1687" s="683"/>
      <c r="W1687" s="683"/>
      <c r="X1687" s="683"/>
      <c r="Y1687" s="683"/>
      <c r="Z1687" s="683"/>
    </row>
    <row r="1688" spans="1:26" ht="15.75" customHeight="1" x14ac:dyDescent="0.25">
      <c r="A1688" s="683"/>
      <c r="B1688" s="683"/>
      <c r="C1688" s="683"/>
      <c r="D1688" s="683"/>
      <c r="E1688" s="683"/>
      <c r="F1688" s="683"/>
      <c r="G1688" s="683"/>
      <c r="H1688" s="711"/>
      <c r="I1688" s="683"/>
      <c r="J1688" s="683"/>
      <c r="K1688" s="683"/>
      <c r="L1688" s="683"/>
      <c r="M1688" s="683"/>
      <c r="N1688" s="685"/>
      <c r="O1688" s="683"/>
      <c r="P1688" s="683"/>
      <c r="Q1688" s="683"/>
      <c r="R1688" s="683"/>
      <c r="S1688" s="683"/>
      <c r="T1688" s="683"/>
      <c r="U1688" s="683"/>
      <c r="V1688" s="683"/>
      <c r="W1688" s="683"/>
      <c r="X1688" s="683"/>
      <c r="Y1688" s="683"/>
      <c r="Z1688" s="683"/>
    </row>
    <row r="1689" spans="1:26" ht="15.75" customHeight="1" x14ac:dyDescent="0.25">
      <c r="A1689" s="683"/>
      <c r="B1689" s="683"/>
      <c r="C1689" s="683"/>
      <c r="D1689" s="683"/>
      <c r="E1689" s="683"/>
      <c r="F1689" s="683"/>
      <c r="G1689" s="683"/>
      <c r="H1689" s="711"/>
      <c r="I1689" s="683"/>
      <c r="J1689" s="683"/>
      <c r="K1689" s="683"/>
      <c r="L1689" s="683"/>
      <c r="M1689" s="683"/>
      <c r="N1689" s="685"/>
      <c r="O1689" s="683"/>
      <c r="P1689" s="683"/>
      <c r="Q1689" s="683"/>
      <c r="R1689" s="683"/>
      <c r="S1689" s="683"/>
      <c r="T1689" s="683"/>
      <c r="U1689" s="683"/>
      <c r="V1689" s="683"/>
      <c r="W1689" s="683"/>
      <c r="X1689" s="683"/>
      <c r="Y1689" s="683"/>
      <c r="Z1689" s="683"/>
    </row>
    <row r="1690" spans="1:26" ht="15.75" customHeight="1" x14ac:dyDescent="0.25">
      <c r="A1690" s="683"/>
      <c r="B1690" s="683"/>
      <c r="C1690" s="683"/>
      <c r="D1690" s="683"/>
      <c r="E1690" s="683"/>
      <c r="F1690" s="683"/>
      <c r="G1690" s="683"/>
      <c r="H1690" s="711"/>
      <c r="I1690" s="683"/>
      <c r="J1690" s="683"/>
      <c r="K1690" s="683"/>
      <c r="L1690" s="683"/>
      <c r="M1690" s="683"/>
      <c r="N1690" s="685"/>
      <c r="O1690" s="683"/>
      <c r="P1690" s="683"/>
      <c r="Q1690" s="683"/>
      <c r="R1690" s="683"/>
      <c r="S1690" s="683"/>
      <c r="T1690" s="683"/>
      <c r="U1690" s="683"/>
      <c r="V1690" s="683"/>
      <c r="W1690" s="683"/>
      <c r="X1690" s="683"/>
      <c r="Y1690" s="683"/>
      <c r="Z1690" s="683"/>
    </row>
    <row r="1691" spans="1:26" ht="15.75" customHeight="1" x14ac:dyDescent="0.25">
      <c r="A1691" s="683"/>
      <c r="B1691" s="683"/>
      <c r="C1691" s="683"/>
      <c r="D1691" s="683"/>
      <c r="E1691" s="683"/>
      <c r="F1691" s="683"/>
      <c r="G1691" s="683"/>
      <c r="H1691" s="711"/>
      <c r="I1691" s="683"/>
      <c r="J1691" s="683"/>
      <c r="K1691" s="683"/>
      <c r="L1691" s="683"/>
      <c r="M1691" s="683"/>
      <c r="N1691" s="685"/>
      <c r="O1691" s="683"/>
      <c r="P1691" s="683"/>
      <c r="Q1691" s="683"/>
      <c r="R1691" s="683"/>
      <c r="S1691" s="683"/>
      <c r="T1691" s="683"/>
      <c r="U1691" s="683"/>
      <c r="V1691" s="683"/>
      <c r="W1691" s="683"/>
      <c r="X1691" s="683"/>
      <c r="Y1691" s="683"/>
      <c r="Z1691" s="683"/>
    </row>
    <row r="1692" spans="1:26" ht="15.75" customHeight="1" x14ac:dyDescent="0.25">
      <c r="A1692" s="683"/>
      <c r="B1692" s="683"/>
      <c r="C1692" s="683"/>
      <c r="D1692" s="683"/>
      <c r="E1692" s="683"/>
      <c r="F1692" s="683"/>
      <c r="G1692" s="683"/>
      <c r="H1692" s="711"/>
      <c r="I1692" s="683"/>
      <c r="J1692" s="683"/>
      <c r="K1692" s="683"/>
      <c r="L1692" s="683"/>
      <c r="M1692" s="683"/>
      <c r="N1692" s="685"/>
      <c r="O1692" s="683"/>
      <c r="P1692" s="683"/>
      <c r="Q1692" s="683"/>
      <c r="R1692" s="683"/>
      <c r="S1692" s="683"/>
      <c r="T1692" s="683"/>
      <c r="U1692" s="683"/>
      <c r="V1692" s="683"/>
      <c r="W1692" s="683"/>
      <c r="X1692" s="683"/>
      <c r="Y1692" s="683"/>
      <c r="Z1692" s="683"/>
    </row>
    <row r="1693" spans="1:26" ht="15.75" customHeight="1" x14ac:dyDescent="0.25">
      <c r="A1693" s="683"/>
      <c r="B1693" s="683"/>
      <c r="C1693" s="683"/>
      <c r="D1693" s="683"/>
      <c r="E1693" s="683"/>
      <c r="F1693" s="683"/>
      <c r="G1693" s="683"/>
      <c r="H1693" s="711"/>
      <c r="I1693" s="683"/>
      <c r="J1693" s="683"/>
      <c r="K1693" s="683"/>
      <c r="L1693" s="683"/>
      <c r="M1693" s="683"/>
      <c r="N1693" s="685"/>
      <c r="O1693" s="683"/>
      <c r="P1693" s="683"/>
      <c r="Q1693" s="683"/>
      <c r="R1693" s="683"/>
      <c r="S1693" s="683"/>
      <c r="T1693" s="683"/>
      <c r="U1693" s="683"/>
      <c r="V1693" s="683"/>
      <c r="W1693" s="683"/>
      <c r="X1693" s="683"/>
      <c r="Y1693" s="683"/>
      <c r="Z1693" s="683"/>
    </row>
    <row r="1694" spans="1:26" ht="15.75" customHeight="1" x14ac:dyDescent="0.25">
      <c r="A1694" s="683"/>
      <c r="B1694" s="683"/>
      <c r="C1694" s="683"/>
      <c r="D1694" s="683"/>
      <c r="E1694" s="683"/>
      <c r="F1694" s="683"/>
      <c r="G1694" s="683"/>
      <c r="H1694" s="711"/>
      <c r="I1694" s="683"/>
      <c r="J1694" s="683"/>
      <c r="K1694" s="683"/>
      <c r="L1694" s="683"/>
      <c r="M1694" s="683"/>
      <c r="N1694" s="685"/>
      <c r="O1694" s="683"/>
      <c r="P1694" s="683"/>
      <c r="Q1694" s="683"/>
      <c r="R1694" s="683"/>
      <c r="S1694" s="683"/>
      <c r="T1694" s="683"/>
      <c r="U1694" s="683"/>
      <c r="V1694" s="683"/>
      <c r="W1694" s="683"/>
      <c r="X1694" s="683"/>
      <c r="Y1694" s="683"/>
      <c r="Z1694" s="683"/>
    </row>
    <row r="1695" spans="1:26" ht="15.75" customHeight="1" x14ac:dyDescent="0.25">
      <c r="A1695" s="683"/>
      <c r="B1695" s="683"/>
      <c r="C1695" s="683"/>
      <c r="D1695" s="683"/>
      <c r="E1695" s="683"/>
      <c r="F1695" s="683"/>
      <c r="G1695" s="683"/>
      <c r="H1695" s="711"/>
      <c r="I1695" s="683"/>
      <c r="J1695" s="683"/>
      <c r="K1695" s="683"/>
      <c r="L1695" s="683"/>
      <c r="M1695" s="683"/>
      <c r="N1695" s="685"/>
      <c r="O1695" s="683"/>
      <c r="P1695" s="683"/>
      <c r="Q1695" s="683"/>
      <c r="R1695" s="683"/>
      <c r="S1695" s="683"/>
      <c r="T1695" s="683"/>
      <c r="U1695" s="683"/>
      <c r="V1695" s="683"/>
      <c r="W1695" s="683"/>
      <c r="X1695" s="683"/>
      <c r="Y1695" s="683"/>
      <c r="Z1695" s="683"/>
    </row>
    <row r="1696" spans="1:26" ht="15.75" customHeight="1" x14ac:dyDescent="0.25">
      <c r="A1696" s="683"/>
      <c r="B1696" s="683"/>
      <c r="C1696" s="683"/>
      <c r="D1696" s="683"/>
      <c r="E1696" s="683"/>
      <c r="F1696" s="683"/>
      <c r="G1696" s="683"/>
      <c r="H1696" s="711"/>
      <c r="I1696" s="683"/>
      <c r="J1696" s="683"/>
      <c r="K1696" s="683"/>
      <c r="L1696" s="683"/>
      <c r="M1696" s="683"/>
      <c r="N1696" s="685"/>
      <c r="O1696" s="683"/>
      <c r="P1696" s="683"/>
      <c r="Q1696" s="683"/>
      <c r="R1696" s="683"/>
      <c r="S1696" s="683"/>
      <c r="T1696" s="683"/>
      <c r="U1696" s="683"/>
      <c r="V1696" s="683"/>
      <c r="W1696" s="683"/>
      <c r="X1696" s="683"/>
      <c r="Y1696" s="683"/>
      <c r="Z1696" s="683"/>
    </row>
    <row r="1697" spans="1:26" ht="15.75" customHeight="1" x14ac:dyDescent="0.25">
      <c r="A1697" s="683"/>
      <c r="B1697" s="683"/>
      <c r="C1697" s="683"/>
      <c r="D1697" s="683"/>
      <c r="E1697" s="683"/>
      <c r="F1697" s="683"/>
      <c r="G1697" s="683"/>
      <c r="H1697" s="711"/>
      <c r="I1697" s="683"/>
      <c r="J1697" s="683"/>
      <c r="K1697" s="683"/>
      <c r="L1697" s="683"/>
      <c r="M1697" s="683"/>
      <c r="N1697" s="685"/>
      <c r="O1697" s="683"/>
      <c r="P1697" s="683"/>
      <c r="Q1697" s="683"/>
      <c r="R1697" s="683"/>
      <c r="S1697" s="683"/>
      <c r="T1697" s="683"/>
      <c r="U1697" s="683"/>
      <c r="V1697" s="683"/>
      <c r="W1697" s="683"/>
      <c r="X1697" s="683"/>
      <c r="Y1697" s="683"/>
      <c r="Z1697" s="683"/>
    </row>
    <row r="1698" spans="1:26" ht="15.75" customHeight="1" x14ac:dyDescent="0.25">
      <c r="A1698" s="683"/>
      <c r="B1698" s="683"/>
      <c r="C1698" s="683"/>
      <c r="D1698" s="683"/>
      <c r="E1698" s="683"/>
      <c r="F1698" s="683"/>
      <c r="G1698" s="683"/>
      <c r="H1698" s="711"/>
      <c r="I1698" s="683"/>
      <c r="J1698" s="683"/>
      <c r="K1698" s="683"/>
      <c r="L1698" s="683"/>
      <c r="M1698" s="683"/>
      <c r="N1698" s="685"/>
      <c r="O1698" s="683"/>
      <c r="P1698" s="683"/>
      <c r="Q1698" s="683"/>
      <c r="R1698" s="683"/>
      <c r="S1698" s="683"/>
      <c r="T1698" s="683"/>
      <c r="U1698" s="683"/>
      <c r="V1698" s="683"/>
      <c r="W1698" s="683"/>
      <c r="X1698" s="683"/>
      <c r="Y1698" s="683"/>
      <c r="Z1698" s="683"/>
    </row>
    <row r="1699" spans="1:26" ht="15.75" customHeight="1" x14ac:dyDescent="0.25">
      <c r="A1699" s="683"/>
      <c r="B1699" s="683"/>
      <c r="C1699" s="683"/>
      <c r="D1699" s="683"/>
      <c r="E1699" s="683"/>
      <c r="F1699" s="683"/>
      <c r="G1699" s="683"/>
      <c r="H1699" s="711"/>
      <c r="I1699" s="683"/>
      <c r="J1699" s="683"/>
      <c r="K1699" s="683"/>
      <c r="L1699" s="683"/>
      <c r="M1699" s="683"/>
      <c r="N1699" s="685"/>
      <c r="O1699" s="683"/>
      <c r="P1699" s="683"/>
      <c r="Q1699" s="683"/>
      <c r="R1699" s="683"/>
      <c r="S1699" s="683"/>
      <c r="T1699" s="683"/>
      <c r="U1699" s="683"/>
      <c r="V1699" s="683"/>
      <c r="W1699" s="683"/>
      <c r="X1699" s="683"/>
      <c r="Y1699" s="683"/>
      <c r="Z1699" s="683"/>
    </row>
    <row r="1700" spans="1:26" ht="15.75" customHeight="1" x14ac:dyDescent="0.25">
      <c r="A1700" s="683"/>
      <c r="B1700" s="683"/>
      <c r="C1700" s="683"/>
      <c r="D1700" s="683"/>
      <c r="E1700" s="683"/>
      <c r="F1700" s="683"/>
      <c r="G1700" s="683"/>
      <c r="H1700" s="711"/>
      <c r="I1700" s="683"/>
      <c r="J1700" s="683"/>
      <c r="K1700" s="683"/>
      <c r="L1700" s="683"/>
      <c r="M1700" s="683"/>
      <c r="N1700" s="685"/>
      <c r="O1700" s="683"/>
      <c r="P1700" s="683"/>
      <c r="Q1700" s="683"/>
      <c r="R1700" s="683"/>
      <c r="S1700" s="683"/>
      <c r="T1700" s="683"/>
      <c r="U1700" s="683"/>
      <c r="V1700" s="683"/>
      <c r="W1700" s="683"/>
      <c r="X1700" s="683"/>
      <c r="Y1700" s="683"/>
      <c r="Z1700" s="683"/>
    </row>
    <row r="1701" spans="1:26" ht="15.75" customHeight="1" x14ac:dyDescent="0.25">
      <c r="A1701" s="683"/>
      <c r="B1701" s="683"/>
      <c r="C1701" s="683"/>
      <c r="D1701" s="683"/>
      <c r="E1701" s="683"/>
      <c r="F1701" s="683"/>
      <c r="G1701" s="683"/>
      <c r="H1701" s="711"/>
      <c r="I1701" s="683"/>
      <c r="J1701" s="683"/>
      <c r="K1701" s="683"/>
      <c r="L1701" s="683"/>
      <c r="M1701" s="683"/>
      <c r="N1701" s="685"/>
      <c r="O1701" s="683"/>
      <c r="P1701" s="683"/>
      <c r="Q1701" s="683"/>
      <c r="R1701" s="683"/>
      <c r="S1701" s="683"/>
      <c r="T1701" s="683"/>
      <c r="U1701" s="683"/>
      <c r="V1701" s="683"/>
      <c r="W1701" s="683"/>
      <c r="X1701" s="683"/>
      <c r="Y1701" s="683"/>
      <c r="Z1701" s="683"/>
    </row>
    <row r="1702" spans="1:26" ht="15.75" customHeight="1" x14ac:dyDescent="0.25">
      <c r="A1702" s="683"/>
      <c r="B1702" s="683"/>
      <c r="C1702" s="683"/>
      <c r="D1702" s="683"/>
      <c r="E1702" s="683"/>
      <c r="F1702" s="683"/>
      <c r="G1702" s="683"/>
      <c r="H1702" s="711"/>
      <c r="I1702" s="683"/>
      <c r="J1702" s="683"/>
      <c r="K1702" s="683"/>
      <c r="L1702" s="683"/>
      <c r="M1702" s="683"/>
      <c r="N1702" s="685"/>
      <c r="O1702" s="683"/>
      <c r="P1702" s="683"/>
      <c r="Q1702" s="683"/>
      <c r="R1702" s="683"/>
      <c r="S1702" s="683"/>
      <c r="T1702" s="683"/>
      <c r="U1702" s="683"/>
      <c r="V1702" s="683"/>
      <c r="W1702" s="683"/>
      <c r="X1702" s="683"/>
      <c r="Y1702" s="683"/>
      <c r="Z1702" s="683"/>
    </row>
    <row r="1703" spans="1:26" ht="15.75" customHeight="1" x14ac:dyDescent="0.25">
      <c r="A1703" s="683"/>
      <c r="B1703" s="683"/>
      <c r="C1703" s="683"/>
      <c r="D1703" s="683"/>
      <c r="E1703" s="683"/>
      <c r="F1703" s="683"/>
      <c r="G1703" s="683"/>
      <c r="H1703" s="711"/>
      <c r="I1703" s="683"/>
      <c r="J1703" s="683"/>
      <c r="K1703" s="683"/>
      <c r="L1703" s="683"/>
      <c r="M1703" s="683"/>
      <c r="N1703" s="685"/>
      <c r="O1703" s="683"/>
      <c r="P1703" s="683"/>
      <c r="Q1703" s="683"/>
      <c r="R1703" s="683"/>
      <c r="S1703" s="683"/>
      <c r="T1703" s="683"/>
      <c r="U1703" s="683"/>
      <c r="V1703" s="683"/>
      <c r="W1703" s="683"/>
      <c r="X1703" s="683"/>
      <c r="Y1703" s="683"/>
      <c r="Z1703" s="683"/>
    </row>
    <row r="1704" spans="1:26" ht="15.75" customHeight="1" x14ac:dyDescent="0.25">
      <c r="A1704" s="683"/>
      <c r="B1704" s="683"/>
      <c r="C1704" s="683"/>
      <c r="D1704" s="683"/>
      <c r="E1704" s="683"/>
      <c r="F1704" s="683"/>
      <c r="G1704" s="683"/>
      <c r="H1704" s="711"/>
      <c r="I1704" s="683"/>
      <c r="J1704" s="683"/>
      <c r="K1704" s="683"/>
      <c r="L1704" s="683"/>
      <c r="M1704" s="683"/>
      <c r="N1704" s="685"/>
      <c r="O1704" s="683"/>
      <c r="P1704" s="683"/>
      <c r="Q1704" s="683"/>
      <c r="R1704" s="683"/>
      <c r="S1704" s="683"/>
      <c r="T1704" s="683"/>
      <c r="U1704" s="683"/>
      <c r="V1704" s="683"/>
      <c r="W1704" s="683"/>
      <c r="X1704" s="683"/>
      <c r="Y1704" s="683"/>
      <c r="Z1704" s="683"/>
    </row>
    <row r="1705" spans="1:26" ht="15.75" customHeight="1" x14ac:dyDescent="0.25">
      <c r="A1705" s="683"/>
      <c r="B1705" s="683"/>
      <c r="C1705" s="683"/>
      <c r="D1705" s="683"/>
      <c r="E1705" s="683"/>
      <c r="F1705" s="683"/>
      <c r="G1705" s="683"/>
      <c r="H1705" s="711"/>
      <c r="I1705" s="683"/>
      <c r="J1705" s="683"/>
      <c r="K1705" s="683"/>
      <c r="L1705" s="683"/>
      <c r="M1705" s="683"/>
      <c r="N1705" s="685"/>
      <c r="O1705" s="683"/>
      <c r="P1705" s="683"/>
      <c r="Q1705" s="683"/>
      <c r="R1705" s="683"/>
      <c r="S1705" s="683"/>
      <c r="T1705" s="683"/>
      <c r="U1705" s="683"/>
      <c r="V1705" s="683"/>
      <c r="W1705" s="683"/>
      <c r="X1705" s="683"/>
      <c r="Y1705" s="683"/>
      <c r="Z1705" s="683"/>
    </row>
    <row r="1706" spans="1:26" ht="15.75" customHeight="1" x14ac:dyDescent="0.25">
      <c r="A1706" s="683"/>
      <c r="B1706" s="683"/>
      <c r="C1706" s="683"/>
      <c r="D1706" s="683"/>
      <c r="E1706" s="683"/>
      <c r="F1706" s="683"/>
      <c r="G1706" s="683"/>
      <c r="H1706" s="711"/>
      <c r="I1706" s="683"/>
      <c r="J1706" s="683"/>
      <c r="K1706" s="683"/>
      <c r="L1706" s="683"/>
      <c r="M1706" s="683"/>
      <c r="N1706" s="685"/>
      <c r="O1706" s="683"/>
      <c r="P1706" s="683"/>
      <c r="Q1706" s="683"/>
      <c r="R1706" s="683"/>
      <c r="S1706" s="683"/>
      <c r="T1706" s="683"/>
      <c r="U1706" s="683"/>
      <c r="V1706" s="683"/>
      <c r="W1706" s="683"/>
      <c r="X1706" s="683"/>
      <c r="Y1706" s="683"/>
      <c r="Z1706" s="683"/>
    </row>
    <row r="1707" spans="1:26" ht="15.75" customHeight="1" x14ac:dyDescent="0.25">
      <c r="A1707" s="683"/>
      <c r="B1707" s="683"/>
      <c r="C1707" s="683"/>
      <c r="D1707" s="683"/>
      <c r="E1707" s="683"/>
      <c r="F1707" s="683"/>
      <c r="G1707" s="683"/>
      <c r="H1707" s="711"/>
      <c r="I1707" s="683"/>
      <c r="J1707" s="683"/>
      <c r="K1707" s="683"/>
      <c r="L1707" s="683"/>
      <c r="M1707" s="683"/>
      <c r="N1707" s="685"/>
      <c r="O1707" s="683"/>
      <c r="P1707" s="683"/>
      <c r="Q1707" s="683"/>
      <c r="R1707" s="683"/>
      <c r="S1707" s="683"/>
      <c r="T1707" s="683"/>
      <c r="U1707" s="683"/>
      <c r="V1707" s="683"/>
      <c r="W1707" s="683"/>
      <c r="X1707" s="683"/>
      <c r="Y1707" s="683"/>
      <c r="Z1707" s="683"/>
    </row>
    <row r="1708" spans="1:26" ht="15.75" customHeight="1" x14ac:dyDescent="0.25">
      <c r="A1708" s="683"/>
      <c r="B1708" s="683"/>
      <c r="C1708" s="683"/>
      <c r="D1708" s="683"/>
      <c r="E1708" s="683"/>
      <c r="F1708" s="683"/>
      <c r="G1708" s="683"/>
      <c r="H1708" s="711"/>
      <c r="I1708" s="683"/>
      <c r="J1708" s="683"/>
      <c r="K1708" s="683"/>
      <c r="L1708" s="683"/>
      <c r="M1708" s="683"/>
      <c r="N1708" s="685"/>
      <c r="O1708" s="683"/>
      <c r="P1708" s="683"/>
      <c r="Q1708" s="683"/>
      <c r="R1708" s="683"/>
      <c r="S1708" s="683"/>
      <c r="T1708" s="683"/>
      <c r="U1708" s="683"/>
      <c r="V1708" s="683"/>
      <c r="W1708" s="683"/>
      <c r="X1708" s="683"/>
      <c r="Y1708" s="683"/>
      <c r="Z1708" s="683"/>
    </row>
    <row r="1709" spans="1:26" ht="15.75" customHeight="1" x14ac:dyDescent="0.25">
      <c r="A1709" s="683"/>
      <c r="B1709" s="683"/>
      <c r="C1709" s="683"/>
      <c r="D1709" s="683"/>
      <c r="E1709" s="683"/>
      <c r="F1709" s="683"/>
      <c r="G1709" s="683"/>
      <c r="H1709" s="711"/>
      <c r="I1709" s="683"/>
      <c r="J1709" s="683"/>
      <c r="K1709" s="683"/>
      <c r="L1709" s="683"/>
      <c r="M1709" s="683"/>
      <c r="N1709" s="685"/>
      <c r="O1709" s="683"/>
      <c r="P1709" s="683"/>
      <c r="Q1709" s="683"/>
      <c r="R1709" s="683"/>
      <c r="S1709" s="683"/>
      <c r="T1709" s="683"/>
      <c r="U1709" s="683"/>
      <c r="V1709" s="683"/>
      <c r="W1709" s="683"/>
      <c r="X1709" s="683"/>
      <c r="Y1709" s="683"/>
      <c r="Z1709" s="683"/>
    </row>
    <row r="1710" spans="1:26" ht="15.75" customHeight="1" x14ac:dyDescent="0.25">
      <c r="A1710" s="683"/>
      <c r="B1710" s="683"/>
      <c r="C1710" s="683"/>
      <c r="D1710" s="683"/>
      <c r="E1710" s="683"/>
      <c r="F1710" s="683"/>
      <c r="G1710" s="683"/>
      <c r="H1710" s="711"/>
      <c r="I1710" s="683"/>
      <c r="J1710" s="683"/>
      <c r="K1710" s="683"/>
      <c r="L1710" s="683"/>
      <c r="M1710" s="683"/>
      <c r="N1710" s="685"/>
      <c r="O1710" s="683"/>
      <c r="P1710" s="683"/>
      <c r="Q1710" s="683"/>
      <c r="R1710" s="683"/>
      <c r="S1710" s="683"/>
      <c r="T1710" s="683"/>
      <c r="U1710" s="683"/>
      <c r="V1710" s="683"/>
      <c r="W1710" s="683"/>
      <c r="X1710" s="683"/>
      <c r="Y1710" s="683"/>
      <c r="Z1710" s="683"/>
    </row>
    <row r="1711" spans="1:26" ht="15.75" customHeight="1" x14ac:dyDescent="0.25">
      <c r="A1711" s="683"/>
      <c r="B1711" s="683"/>
      <c r="C1711" s="683"/>
      <c r="D1711" s="683"/>
      <c r="E1711" s="683"/>
      <c r="F1711" s="683"/>
      <c r="G1711" s="683"/>
      <c r="H1711" s="711"/>
      <c r="I1711" s="683"/>
      <c r="J1711" s="683"/>
      <c r="K1711" s="683"/>
      <c r="L1711" s="683"/>
      <c r="M1711" s="683"/>
      <c r="N1711" s="685"/>
      <c r="O1711" s="683"/>
      <c r="P1711" s="683"/>
      <c r="Q1711" s="683"/>
      <c r="R1711" s="683"/>
      <c r="S1711" s="683"/>
      <c r="T1711" s="683"/>
      <c r="U1711" s="683"/>
      <c r="V1711" s="683"/>
      <c r="W1711" s="683"/>
      <c r="X1711" s="683"/>
      <c r="Y1711" s="683"/>
      <c r="Z1711" s="683"/>
    </row>
    <row r="1712" spans="1:26" ht="15.75" customHeight="1" x14ac:dyDescent="0.25">
      <c r="A1712" s="683"/>
      <c r="B1712" s="683"/>
      <c r="C1712" s="683"/>
      <c r="D1712" s="683"/>
      <c r="E1712" s="683"/>
      <c r="F1712" s="683"/>
      <c r="G1712" s="683"/>
      <c r="H1712" s="711"/>
      <c r="I1712" s="683"/>
      <c r="J1712" s="683"/>
      <c r="K1712" s="683"/>
      <c r="L1712" s="683"/>
      <c r="M1712" s="683"/>
      <c r="N1712" s="685"/>
      <c r="O1712" s="683"/>
      <c r="P1712" s="683"/>
      <c r="Q1712" s="683"/>
      <c r="R1712" s="683"/>
      <c r="S1712" s="683"/>
      <c r="T1712" s="683"/>
      <c r="U1712" s="683"/>
      <c r="V1712" s="683"/>
      <c r="W1712" s="683"/>
      <c r="X1712" s="683"/>
      <c r="Y1712" s="683"/>
      <c r="Z1712" s="683"/>
    </row>
    <row r="1713" spans="1:26" ht="15.75" customHeight="1" x14ac:dyDescent="0.25">
      <c r="A1713" s="683"/>
      <c r="B1713" s="683"/>
      <c r="C1713" s="683"/>
      <c r="D1713" s="683"/>
      <c r="E1713" s="683"/>
      <c r="F1713" s="683"/>
      <c r="G1713" s="683"/>
      <c r="H1713" s="711"/>
      <c r="I1713" s="683"/>
      <c r="J1713" s="683"/>
      <c r="K1713" s="683"/>
      <c r="L1713" s="683"/>
      <c r="M1713" s="683"/>
      <c r="N1713" s="685"/>
      <c r="O1713" s="683"/>
      <c r="P1713" s="683"/>
      <c r="Q1713" s="683"/>
      <c r="R1713" s="683"/>
      <c r="S1713" s="683"/>
      <c r="T1713" s="683"/>
      <c r="U1713" s="683"/>
      <c r="V1713" s="683"/>
      <c r="W1713" s="683"/>
      <c r="X1713" s="683"/>
      <c r="Y1713" s="683"/>
      <c r="Z1713" s="683"/>
    </row>
    <row r="1714" spans="1:26" ht="15.75" customHeight="1" x14ac:dyDescent="0.25">
      <c r="A1714" s="683"/>
      <c r="B1714" s="683"/>
      <c r="C1714" s="683"/>
      <c r="D1714" s="683"/>
      <c r="E1714" s="683"/>
      <c r="F1714" s="683"/>
      <c r="G1714" s="683"/>
      <c r="H1714" s="711"/>
      <c r="I1714" s="683"/>
      <c r="J1714" s="683"/>
      <c r="K1714" s="683"/>
      <c r="L1714" s="683"/>
      <c r="M1714" s="683"/>
      <c r="N1714" s="685"/>
      <c r="O1714" s="683"/>
      <c r="P1714" s="683"/>
      <c r="Q1714" s="683"/>
      <c r="R1714" s="683"/>
      <c r="S1714" s="683"/>
      <c r="T1714" s="683"/>
      <c r="U1714" s="683"/>
      <c r="V1714" s="683"/>
      <c r="W1714" s="683"/>
      <c r="X1714" s="683"/>
      <c r="Y1714" s="683"/>
      <c r="Z1714" s="683"/>
    </row>
    <row r="1715" spans="1:26" ht="15.75" customHeight="1" x14ac:dyDescent="0.25">
      <c r="A1715" s="683"/>
      <c r="B1715" s="683"/>
      <c r="C1715" s="683"/>
      <c r="D1715" s="683"/>
      <c r="E1715" s="683"/>
      <c r="F1715" s="683"/>
      <c r="G1715" s="683"/>
      <c r="H1715" s="711"/>
      <c r="I1715" s="683"/>
      <c r="J1715" s="683"/>
      <c r="K1715" s="683"/>
      <c r="L1715" s="683"/>
      <c r="M1715" s="683"/>
      <c r="N1715" s="685"/>
      <c r="O1715" s="683"/>
      <c r="P1715" s="683"/>
      <c r="Q1715" s="683"/>
      <c r="R1715" s="683"/>
      <c r="S1715" s="683"/>
      <c r="T1715" s="683"/>
      <c r="U1715" s="683"/>
      <c r="V1715" s="683"/>
      <c r="W1715" s="683"/>
      <c r="X1715" s="683"/>
      <c r="Y1715" s="683"/>
      <c r="Z1715" s="683"/>
    </row>
    <row r="1716" spans="1:26" ht="15.75" customHeight="1" x14ac:dyDescent="0.25">
      <c r="A1716" s="683"/>
      <c r="B1716" s="683"/>
      <c r="C1716" s="683"/>
      <c r="D1716" s="683"/>
      <c r="E1716" s="683"/>
      <c r="F1716" s="683"/>
      <c r="G1716" s="683"/>
      <c r="H1716" s="711"/>
      <c r="I1716" s="683"/>
      <c r="J1716" s="683"/>
      <c r="K1716" s="683"/>
      <c r="L1716" s="683"/>
      <c r="M1716" s="683"/>
      <c r="N1716" s="685"/>
      <c r="O1716" s="683"/>
      <c r="P1716" s="683"/>
      <c r="Q1716" s="683"/>
      <c r="R1716" s="683"/>
      <c r="S1716" s="683"/>
      <c r="T1716" s="683"/>
      <c r="U1716" s="683"/>
      <c r="V1716" s="683"/>
      <c r="W1716" s="683"/>
      <c r="X1716" s="683"/>
      <c r="Y1716" s="683"/>
      <c r="Z1716" s="683"/>
    </row>
    <row r="1717" spans="1:26" ht="15.75" customHeight="1" x14ac:dyDescent="0.25">
      <c r="A1717" s="683"/>
      <c r="B1717" s="683"/>
      <c r="C1717" s="683"/>
      <c r="D1717" s="683"/>
      <c r="E1717" s="683"/>
      <c r="F1717" s="683"/>
      <c r="G1717" s="683"/>
      <c r="H1717" s="711"/>
      <c r="I1717" s="683"/>
      <c r="J1717" s="683"/>
      <c r="K1717" s="683"/>
      <c r="L1717" s="683"/>
      <c r="M1717" s="683"/>
      <c r="N1717" s="685"/>
      <c r="O1717" s="683"/>
      <c r="P1717" s="683"/>
      <c r="Q1717" s="683"/>
      <c r="R1717" s="683"/>
      <c r="S1717" s="683"/>
      <c r="T1717" s="683"/>
      <c r="U1717" s="683"/>
      <c r="V1717" s="683"/>
      <c r="W1717" s="683"/>
      <c r="X1717" s="683"/>
      <c r="Y1717" s="683"/>
      <c r="Z1717" s="683"/>
    </row>
    <row r="1718" spans="1:26" ht="15.75" customHeight="1" x14ac:dyDescent="0.25">
      <c r="A1718" s="683"/>
      <c r="B1718" s="683"/>
      <c r="C1718" s="683"/>
      <c r="D1718" s="683"/>
      <c r="E1718" s="683"/>
      <c r="F1718" s="683"/>
      <c r="G1718" s="683"/>
      <c r="H1718" s="711"/>
      <c r="I1718" s="683"/>
      <c r="J1718" s="683"/>
      <c r="K1718" s="683"/>
      <c r="L1718" s="683"/>
      <c r="M1718" s="683"/>
      <c r="N1718" s="685"/>
      <c r="O1718" s="683"/>
      <c r="P1718" s="683"/>
      <c r="Q1718" s="683"/>
      <c r="R1718" s="683"/>
      <c r="S1718" s="683"/>
      <c r="T1718" s="683"/>
      <c r="U1718" s="683"/>
      <c r="V1718" s="683"/>
      <c r="W1718" s="683"/>
      <c r="X1718" s="683"/>
      <c r="Y1718" s="683"/>
      <c r="Z1718" s="683"/>
    </row>
    <row r="1719" spans="1:26" ht="15.75" customHeight="1" x14ac:dyDescent="0.25">
      <c r="A1719" s="683"/>
      <c r="B1719" s="683"/>
      <c r="C1719" s="683"/>
      <c r="D1719" s="683"/>
      <c r="E1719" s="683"/>
      <c r="F1719" s="683"/>
      <c r="G1719" s="683"/>
      <c r="H1719" s="711"/>
      <c r="I1719" s="683"/>
      <c r="J1719" s="683"/>
      <c r="K1719" s="683"/>
      <c r="L1719" s="683"/>
      <c r="M1719" s="683"/>
      <c r="N1719" s="685"/>
      <c r="O1719" s="683"/>
      <c r="P1719" s="683"/>
      <c r="Q1719" s="683"/>
      <c r="R1719" s="683"/>
      <c r="S1719" s="683"/>
      <c r="T1719" s="683"/>
      <c r="U1719" s="683"/>
      <c r="V1719" s="683"/>
      <c r="W1719" s="683"/>
      <c r="X1719" s="683"/>
      <c r="Y1719" s="683"/>
      <c r="Z1719" s="683"/>
    </row>
    <row r="1720" spans="1:26" ht="15.75" customHeight="1" x14ac:dyDescent="0.25">
      <c r="A1720" s="683"/>
      <c r="B1720" s="683"/>
      <c r="C1720" s="683"/>
      <c r="D1720" s="683"/>
      <c r="E1720" s="683"/>
      <c r="F1720" s="683"/>
      <c r="G1720" s="683"/>
      <c r="H1720" s="711"/>
      <c r="I1720" s="683"/>
      <c r="J1720" s="683"/>
      <c r="K1720" s="683"/>
      <c r="L1720" s="683"/>
      <c r="M1720" s="683"/>
      <c r="N1720" s="685"/>
      <c r="O1720" s="683"/>
      <c r="P1720" s="683"/>
      <c r="Q1720" s="683"/>
      <c r="R1720" s="683"/>
      <c r="S1720" s="683"/>
      <c r="T1720" s="683"/>
      <c r="U1720" s="683"/>
      <c r="V1720" s="683"/>
      <c r="W1720" s="683"/>
      <c r="X1720" s="683"/>
      <c r="Y1720" s="683"/>
      <c r="Z1720" s="683"/>
    </row>
    <row r="1721" spans="1:26" ht="15.75" customHeight="1" x14ac:dyDescent="0.25">
      <c r="A1721" s="683"/>
      <c r="B1721" s="683"/>
      <c r="C1721" s="683"/>
      <c r="D1721" s="683"/>
      <c r="E1721" s="683"/>
      <c r="F1721" s="683"/>
      <c r="G1721" s="683"/>
      <c r="H1721" s="711"/>
      <c r="I1721" s="683"/>
      <c r="J1721" s="683"/>
      <c r="K1721" s="683"/>
      <c r="L1721" s="683"/>
      <c r="M1721" s="683"/>
      <c r="N1721" s="685"/>
      <c r="O1721" s="683"/>
      <c r="P1721" s="683"/>
      <c r="Q1721" s="683"/>
      <c r="R1721" s="683"/>
      <c r="S1721" s="683"/>
      <c r="T1721" s="683"/>
      <c r="U1721" s="683"/>
      <c r="V1721" s="683"/>
      <c r="W1721" s="683"/>
      <c r="X1721" s="683"/>
      <c r="Y1721" s="683"/>
      <c r="Z1721" s="683"/>
    </row>
    <row r="1722" spans="1:26" ht="15.75" customHeight="1" x14ac:dyDescent="0.25">
      <c r="A1722" s="683"/>
      <c r="B1722" s="683"/>
      <c r="C1722" s="683"/>
      <c r="D1722" s="683"/>
      <c r="E1722" s="683"/>
      <c r="F1722" s="683"/>
      <c r="G1722" s="683"/>
      <c r="H1722" s="711"/>
      <c r="I1722" s="683"/>
      <c r="J1722" s="683"/>
      <c r="K1722" s="683"/>
      <c r="L1722" s="683"/>
      <c r="M1722" s="683"/>
      <c r="N1722" s="685"/>
      <c r="O1722" s="683"/>
      <c r="P1722" s="683"/>
      <c r="Q1722" s="683"/>
      <c r="R1722" s="683"/>
      <c r="S1722" s="683"/>
      <c r="T1722" s="683"/>
      <c r="U1722" s="683"/>
      <c r="V1722" s="683"/>
      <c r="W1722" s="683"/>
      <c r="X1722" s="683"/>
      <c r="Y1722" s="683"/>
      <c r="Z1722" s="683"/>
    </row>
    <row r="1723" spans="1:26" ht="15.75" customHeight="1" x14ac:dyDescent="0.25">
      <c r="A1723" s="683"/>
      <c r="B1723" s="683"/>
      <c r="C1723" s="683"/>
      <c r="D1723" s="683"/>
      <c r="E1723" s="683"/>
      <c r="F1723" s="683"/>
      <c r="G1723" s="683"/>
      <c r="H1723" s="711"/>
      <c r="I1723" s="683"/>
      <c r="J1723" s="683"/>
      <c r="K1723" s="683"/>
      <c r="L1723" s="683"/>
      <c r="M1723" s="683"/>
      <c r="N1723" s="685"/>
      <c r="O1723" s="683"/>
      <c r="P1723" s="683"/>
      <c r="Q1723" s="683"/>
      <c r="R1723" s="683"/>
      <c r="S1723" s="683"/>
      <c r="T1723" s="683"/>
      <c r="U1723" s="683"/>
      <c r="V1723" s="683"/>
      <c r="W1723" s="683"/>
      <c r="X1723" s="683"/>
      <c r="Y1723" s="683"/>
      <c r="Z1723" s="683"/>
    </row>
    <row r="1724" spans="1:26" ht="15.75" customHeight="1" x14ac:dyDescent="0.25">
      <c r="A1724" s="683"/>
      <c r="B1724" s="683"/>
      <c r="C1724" s="683"/>
      <c r="D1724" s="683"/>
      <c r="E1724" s="683"/>
      <c r="F1724" s="683"/>
      <c r="G1724" s="683"/>
      <c r="H1724" s="711"/>
      <c r="I1724" s="683"/>
      <c r="J1724" s="683"/>
      <c r="K1724" s="683"/>
      <c r="L1724" s="683"/>
      <c r="M1724" s="683"/>
      <c r="N1724" s="685"/>
      <c r="O1724" s="683"/>
      <c r="P1724" s="683"/>
      <c r="Q1724" s="683"/>
      <c r="R1724" s="683"/>
      <c r="S1724" s="683"/>
      <c r="T1724" s="683"/>
      <c r="U1724" s="683"/>
      <c r="V1724" s="683"/>
      <c r="W1724" s="683"/>
      <c r="X1724" s="683"/>
      <c r="Y1724" s="683"/>
      <c r="Z1724" s="683"/>
    </row>
    <row r="1725" spans="1:26" ht="15.75" customHeight="1" x14ac:dyDescent="0.25">
      <c r="A1725" s="683"/>
      <c r="B1725" s="683"/>
      <c r="C1725" s="683"/>
      <c r="D1725" s="683"/>
      <c r="E1725" s="683"/>
      <c r="F1725" s="683"/>
      <c r="G1725" s="683"/>
      <c r="H1725" s="711"/>
      <c r="I1725" s="683"/>
      <c r="J1725" s="683"/>
      <c r="K1725" s="683"/>
      <c r="L1725" s="683"/>
      <c r="M1725" s="683"/>
      <c r="N1725" s="685"/>
      <c r="O1725" s="683"/>
      <c r="P1725" s="683"/>
      <c r="Q1725" s="683"/>
      <c r="R1725" s="683"/>
      <c r="S1725" s="683"/>
      <c r="T1725" s="683"/>
      <c r="U1725" s="683"/>
      <c r="V1725" s="683"/>
      <c r="W1725" s="683"/>
      <c r="X1725" s="683"/>
      <c r="Y1725" s="683"/>
      <c r="Z1725" s="683"/>
    </row>
    <row r="1726" spans="1:26" ht="15.75" customHeight="1" x14ac:dyDescent="0.25">
      <c r="A1726" s="683"/>
      <c r="B1726" s="683"/>
      <c r="C1726" s="683"/>
      <c r="D1726" s="683"/>
      <c r="E1726" s="683"/>
      <c r="F1726" s="683"/>
      <c r="G1726" s="683"/>
      <c r="H1726" s="711"/>
      <c r="I1726" s="683"/>
      <c r="J1726" s="683"/>
      <c r="K1726" s="683"/>
      <c r="L1726" s="683"/>
      <c r="M1726" s="683"/>
      <c r="N1726" s="685"/>
      <c r="O1726" s="683"/>
      <c r="P1726" s="683"/>
      <c r="Q1726" s="683"/>
      <c r="R1726" s="683"/>
      <c r="S1726" s="683"/>
      <c r="T1726" s="683"/>
      <c r="U1726" s="683"/>
      <c r="V1726" s="683"/>
      <c r="W1726" s="683"/>
      <c r="X1726" s="683"/>
      <c r="Y1726" s="683"/>
      <c r="Z1726" s="683"/>
    </row>
    <row r="1727" spans="1:26" ht="15.75" customHeight="1" x14ac:dyDescent="0.25">
      <c r="A1727" s="683"/>
      <c r="B1727" s="683"/>
      <c r="C1727" s="683"/>
      <c r="D1727" s="683"/>
      <c r="E1727" s="683"/>
      <c r="F1727" s="683"/>
      <c r="G1727" s="683"/>
      <c r="H1727" s="711"/>
      <c r="I1727" s="683"/>
      <c r="J1727" s="683"/>
      <c r="K1727" s="683"/>
      <c r="L1727" s="683"/>
      <c r="M1727" s="683"/>
      <c r="N1727" s="685"/>
      <c r="O1727" s="683"/>
      <c r="P1727" s="683"/>
      <c r="Q1727" s="683"/>
      <c r="R1727" s="683"/>
      <c r="S1727" s="683"/>
      <c r="T1727" s="683"/>
      <c r="U1727" s="683"/>
      <c r="V1727" s="683"/>
      <c r="W1727" s="683"/>
      <c r="X1727" s="683"/>
      <c r="Y1727" s="683"/>
      <c r="Z1727" s="683"/>
    </row>
    <row r="1728" spans="1:26" ht="15.75" customHeight="1" x14ac:dyDescent="0.25">
      <c r="A1728" s="683"/>
      <c r="B1728" s="683"/>
      <c r="C1728" s="683"/>
      <c r="D1728" s="683"/>
      <c r="E1728" s="683"/>
      <c r="F1728" s="683"/>
      <c r="G1728" s="683"/>
      <c r="H1728" s="711"/>
      <c r="I1728" s="683"/>
      <c r="J1728" s="683"/>
      <c r="K1728" s="683"/>
      <c r="L1728" s="683"/>
      <c r="M1728" s="683"/>
      <c r="N1728" s="685"/>
      <c r="O1728" s="683"/>
      <c r="P1728" s="683"/>
      <c r="Q1728" s="683"/>
      <c r="R1728" s="683"/>
      <c r="S1728" s="683"/>
      <c r="T1728" s="683"/>
      <c r="U1728" s="683"/>
      <c r="V1728" s="683"/>
      <c r="W1728" s="683"/>
      <c r="X1728" s="683"/>
      <c r="Y1728" s="683"/>
      <c r="Z1728" s="683"/>
    </row>
    <row r="1729" spans="1:26" ht="15.75" customHeight="1" x14ac:dyDescent="0.25">
      <c r="A1729" s="683"/>
      <c r="B1729" s="683"/>
      <c r="C1729" s="683"/>
      <c r="D1729" s="683"/>
      <c r="E1729" s="683"/>
      <c r="F1729" s="683"/>
      <c r="G1729" s="683"/>
      <c r="H1729" s="711"/>
      <c r="I1729" s="683"/>
      <c r="J1729" s="683"/>
      <c r="K1729" s="683"/>
      <c r="L1729" s="683"/>
      <c r="M1729" s="683"/>
      <c r="N1729" s="685"/>
      <c r="O1729" s="683"/>
      <c r="P1729" s="683"/>
      <c r="Q1729" s="683"/>
      <c r="R1729" s="683"/>
      <c r="S1729" s="683"/>
      <c r="T1729" s="683"/>
      <c r="U1729" s="683"/>
      <c r="V1729" s="683"/>
      <c r="W1729" s="683"/>
      <c r="X1729" s="683"/>
      <c r="Y1729" s="683"/>
      <c r="Z1729" s="683"/>
    </row>
    <row r="1730" spans="1:26" ht="15.75" customHeight="1" x14ac:dyDescent="0.25">
      <c r="A1730" s="683"/>
      <c r="B1730" s="683"/>
      <c r="C1730" s="683"/>
      <c r="D1730" s="683"/>
      <c r="E1730" s="683"/>
      <c r="F1730" s="683"/>
      <c r="G1730" s="683"/>
      <c r="H1730" s="711"/>
      <c r="I1730" s="683"/>
      <c r="J1730" s="683"/>
      <c r="K1730" s="683"/>
      <c r="L1730" s="683"/>
      <c r="M1730" s="683"/>
      <c r="N1730" s="685"/>
      <c r="O1730" s="683"/>
      <c r="P1730" s="683"/>
      <c r="Q1730" s="683"/>
      <c r="R1730" s="683"/>
      <c r="S1730" s="683"/>
      <c r="T1730" s="683"/>
      <c r="U1730" s="683"/>
      <c r="V1730" s="683"/>
      <c r="W1730" s="683"/>
      <c r="X1730" s="683"/>
      <c r="Y1730" s="683"/>
      <c r="Z1730" s="683"/>
    </row>
    <row r="1731" spans="1:26" ht="15.75" customHeight="1" x14ac:dyDescent="0.25">
      <c r="A1731" s="683"/>
      <c r="B1731" s="683"/>
      <c r="C1731" s="683"/>
      <c r="D1731" s="683"/>
      <c r="E1731" s="683"/>
      <c r="F1731" s="683"/>
      <c r="G1731" s="683"/>
      <c r="H1731" s="711"/>
      <c r="I1731" s="683"/>
      <c r="J1731" s="683"/>
      <c r="K1731" s="683"/>
      <c r="L1731" s="683"/>
      <c r="M1731" s="683"/>
      <c r="N1731" s="685"/>
      <c r="O1731" s="683"/>
      <c r="P1731" s="683"/>
      <c r="Q1731" s="683"/>
      <c r="R1731" s="683"/>
      <c r="S1731" s="683"/>
      <c r="T1731" s="683"/>
      <c r="U1731" s="683"/>
      <c r="V1731" s="683"/>
      <c r="W1731" s="683"/>
      <c r="X1731" s="683"/>
      <c r="Y1731" s="683"/>
      <c r="Z1731" s="683"/>
    </row>
    <row r="1732" spans="1:26" ht="15.75" customHeight="1" x14ac:dyDescent="0.25">
      <c r="A1732" s="683"/>
      <c r="B1732" s="683"/>
      <c r="C1732" s="683"/>
      <c r="D1732" s="683"/>
      <c r="E1732" s="683"/>
      <c r="F1732" s="683"/>
      <c r="G1732" s="683"/>
      <c r="H1732" s="711"/>
      <c r="I1732" s="683"/>
      <c r="J1732" s="683"/>
      <c r="K1732" s="683"/>
      <c r="L1732" s="683"/>
      <c r="M1732" s="683"/>
      <c r="N1732" s="685"/>
      <c r="O1732" s="683"/>
      <c r="P1732" s="683"/>
      <c r="Q1732" s="683"/>
      <c r="R1732" s="683"/>
      <c r="S1732" s="683"/>
      <c r="T1732" s="683"/>
      <c r="U1732" s="683"/>
      <c r="V1732" s="683"/>
      <c r="W1732" s="683"/>
      <c r="X1732" s="683"/>
      <c r="Y1732" s="683"/>
      <c r="Z1732" s="683"/>
    </row>
    <row r="1733" spans="1:26" ht="15.75" customHeight="1" x14ac:dyDescent="0.25">
      <c r="A1733" s="683"/>
      <c r="B1733" s="683"/>
      <c r="C1733" s="683"/>
      <c r="D1733" s="683"/>
      <c r="E1733" s="683"/>
      <c r="F1733" s="683"/>
      <c r="G1733" s="683"/>
      <c r="H1733" s="711"/>
      <c r="I1733" s="683"/>
      <c r="J1733" s="683"/>
      <c r="K1733" s="683"/>
      <c r="L1733" s="683"/>
      <c r="M1733" s="683"/>
      <c r="N1733" s="685"/>
      <c r="O1733" s="683"/>
      <c r="P1733" s="683"/>
      <c r="Q1733" s="683"/>
      <c r="R1733" s="683"/>
      <c r="S1733" s="683"/>
      <c r="T1733" s="683"/>
      <c r="U1733" s="683"/>
      <c r="V1733" s="683"/>
      <c r="W1733" s="683"/>
      <c r="X1733" s="683"/>
      <c r="Y1733" s="683"/>
      <c r="Z1733" s="683"/>
    </row>
    <row r="1734" spans="1:26" ht="15.75" customHeight="1" x14ac:dyDescent="0.25">
      <c r="A1734" s="683"/>
      <c r="B1734" s="683"/>
      <c r="C1734" s="683"/>
      <c r="D1734" s="683"/>
      <c r="E1734" s="683"/>
      <c r="F1734" s="683"/>
      <c r="G1734" s="683"/>
      <c r="H1734" s="711"/>
      <c r="I1734" s="683"/>
      <c r="J1734" s="683"/>
      <c r="K1734" s="683"/>
      <c r="L1734" s="683"/>
      <c r="M1734" s="683"/>
      <c r="N1734" s="685"/>
      <c r="O1734" s="683"/>
      <c r="P1734" s="683"/>
      <c r="Q1734" s="683"/>
      <c r="R1734" s="683"/>
      <c r="S1734" s="683"/>
      <c r="T1734" s="683"/>
      <c r="U1734" s="683"/>
      <c r="V1734" s="683"/>
      <c r="W1734" s="683"/>
      <c r="X1734" s="683"/>
      <c r="Y1734" s="683"/>
      <c r="Z1734" s="683"/>
    </row>
    <row r="1735" spans="1:26" ht="15.75" customHeight="1" x14ac:dyDescent="0.25">
      <c r="A1735" s="683"/>
      <c r="B1735" s="683"/>
      <c r="C1735" s="683"/>
      <c r="D1735" s="683"/>
      <c r="E1735" s="683"/>
      <c r="F1735" s="683"/>
      <c r="G1735" s="683"/>
      <c r="H1735" s="711"/>
      <c r="I1735" s="683"/>
      <c r="J1735" s="683"/>
      <c r="K1735" s="683"/>
      <c r="L1735" s="683"/>
      <c r="M1735" s="683"/>
      <c r="N1735" s="685"/>
      <c r="O1735" s="683"/>
      <c r="P1735" s="683"/>
      <c r="Q1735" s="683"/>
      <c r="R1735" s="683"/>
      <c r="S1735" s="683"/>
      <c r="T1735" s="683"/>
      <c r="U1735" s="683"/>
      <c r="V1735" s="683"/>
      <c r="W1735" s="683"/>
      <c r="X1735" s="683"/>
      <c r="Y1735" s="683"/>
      <c r="Z1735" s="683"/>
    </row>
    <row r="1736" spans="1:26" ht="15.75" customHeight="1" x14ac:dyDescent="0.25">
      <c r="A1736" s="683"/>
      <c r="B1736" s="683"/>
      <c r="C1736" s="683"/>
      <c r="D1736" s="683"/>
      <c r="E1736" s="683"/>
      <c r="F1736" s="683"/>
      <c r="G1736" s="683"/>
      <c r="H1736" s="711"/>
      <c r="I1736" s="683"/>
      <c r="J1736" s="683"/>
      <c r="K1736" s="683"/>
      <c r="L1736" s="683"/>
      <c r="M1736" s="683"/>
      <c r="N1736" s="685"/>
      <c r="O1736" s="683"/>
      <c r="P1736" s="683"/>
      <c r="Q1736" s="683"/>
      <c r="R1736" s="683"/>
      <c r="S1736" s="683"/>
      <c r="T1736" s="683"/>
      <c r="U1736" s="683"/>
      <c r="V1736" s="683"/>
      <c r="W1736" s="683"/>
      <c r="X1736" s="683"/>
      <c r="Y1736" s="683"/>
      <c r="Z1736" s="683"/>
    </row>
    <row r="1737" spans="1:26" ht="15.75" customHeight="1" x14ac:dyDescent="0.25">
      <c r="A1737" s="683"/>
      <c r="B1737" s="683"/>
      <c r="C1737" s="683"/>
      <c r="D1737" s="683"/>
      <c r="E1737" s="683"/>
      <c r="F1737" s="683"/>
      <c r="G1737" s="683"/>
      <c r="H1737" s="711"/>
      <c r="I1737" s="683"/>
      <c r="J1737" s="683"/>
      <c r="K1737" s="683"/>
      <c r="L1737" s="683"/>
      <c r="M1737" s="683"/>
      <c r="N1737" s="685"/>
      <c r="O1737" s="683"/>
      <c r="P1737" s="683"/>
      <c r="Q1737" s="683"/>
      <c r="R1737" s="683"/>
      <c r="S1737" s="683"/>
      <c r="T1737" s="683"/>
      <c r="U1737" s="683"/>
      <c r="V1737" s="683"/>
      <c r="W1737" s="683"/>
      <c r="X1737" s="683"/>
      <c r="Y1737" s="683"/>
      <c r="Z1737" s="683"/>
    </row>
    <row r="1738" spans="1:26" ht="15.75" customHeight="1" x14ac:dyDescent="0.25">
      <c r="A1738" s="683"/>
      <c r="B1738" s="683"/>
      <c r="C1738" s="683"/>
      <c r="D1738" s="683"/>
      <c r="E1738" s="683"/>
      <c r="F1738" s="683"/>
      <c r="G1738" s="683"/>
      <c r="H1738" s="711"/>
      <c r="I1738" s="683"/>
      <c r="J1738" s="683"/>
      <c r="K1738" s="683"/>
      <c r="L1738" s="683"/>
      <c r="M1738" s="683"/>
      <c r="N1738" s="685"/>
      <c r="O1738" s="683"/>
      <c r="P1738" s="683"/>
      <c r="Q1738" s="683"/>
      <c r="R1738" s="683"/>
      <c r="S1738" s="683"/>
      <c r="T1738" s="683"/>
      <c r="U1738" s="683"/>
      <c r="V1738" s="683"/>
      <c r="W1738" s="683"/>
      <c r="X1738" s="683"/>
      <c r="Y1738" s="683"/>
      <c r="Z1738" s="683"/>
    </row>
    <row r="1739" spans="1:26" ht="15.75" customHeight="1" x14ac:dyDescent="0.25">
      <c r="A1739" s="683"/>
      <c r="B1739" s="683"/>
      <c r="C1739" s="683"/>
      <c r="D1739" s="683"/>
      <c r="E1739" s="683"/>
      <c r="F1739" s="683"/>
      <c r="G1739" s="683"/>
      <c r="H1739" s="711"/>
      <c r="I1739" s="683"/>
      <c r="J1739" s="683"/>
      <c r="K1739" s="683"/>
      <c r="L1739" s="683"/>
      <c r="M1739" s="683"/>
      <c r="N1739" s="685"/>
      <c r="O1739" s="683"/>
      <c r="P1739" s="683"/>
      <c r="Q1739" s="683"/>
      <c r="R1739" s="683"/>
      <c r="S1739" s="683"/>
      <c r="T1739" s="683"/>
      <c r="U1739" s="683"/>
      <c r="V1739" s="683"/>
      <c r="W1739" s="683"/>
      <c r="X1739" s="683"/>
      <c r="Y1739" s="683"/>
      <c r="Z1739" s="683"/>
    </row>
    <row r="1740" spans="1:26" ht="15.75" customHeight="1" x14ac:dyDescent="0.25">
      <c r="A1740" s="683"/>
      <c r="B1740" s="683"/>
      <c r="C1740" s="683"/>
      <c r="D1740" s="683"/>
      <c r="E1740" s="683"/>
      <c r="F1740" s="683"/>
      <c r="G1740" s="683"/>
      <c r="H1740" s="711"/>
      <c r="I1740" s="683"/>
      <c r="J1740" s="683"/>
      <c r="K1740" s="683"/>
      <c r="L1740" s="683"/>
      <c r="M1740" s="683"/>
      <c r="N1740" s="685"/>
      <c r="O1740" s="683"/>
      <c r="P1740" s="683"/>
      <c r="Q1740" s="683"/>
      <c r="R1740" s="683"/>
      <c r="S1740" s="683"/>
      <c r="T1740" s="683"/>
      <c r="U1740" s="683"/>
      <c r="V1740" s="683"/>
      <c r="W1740" s="683"/>
      <c r="X1740" s="683"/>
      <c r="Y1740" s="683"/>
      <c r="Z1740" s="683"/>
    </row>
    <row r="1741" spans="1:26" ht="15.75" customHeight="1" x14ac:dyDescent="0.25">
      <c r="A1741" s="683"/>
      <c r="B1741" s="683"/>
      <c r="C1741" s="683"/>
      <c r="D1741" s="683"/>
      <c r="E1741" s="683"/>
      <c r="F1741" s="683"/>
      <c r="G1741" s="683"/>
      <c r="H1741" s="711"/>
      <c r="I1741" s="683"/>
      <c r="J1741" s="683"/>
      <c r="K1741" s="683"/>
      <c r="L1741" s="683"/>
      <c r="M1741" s="683"/>
      <c r="N1741" s="685"/>
      <c r="O1741" s="683"/>
      <c r="P1741" s="683"/>
      <c r="Q1741" s="683"/>
      <c r="R1741" s="683"/>
      <c r="S1741" s="683"/>
      <c r="T1741" s="683"/>
      <c r="U1741" s="683"/>
      <c r="V1741" s="683"/>
      <c r="W1741" s="683"/>
      <c r="X1741" s="683"/>
      <c r="Y1741" s="683"/>
      <c r="Z1741" s="683"/>
    </row>
    <row r="1742" spans="1:26" ht="15.75" customHeight="1" x14ac:dyDescent="0.25">
      <c r="A1742" s="683"/>
      <c r="B1742" s="683"/>
      <c r="C1742" s="683"/>
      <c r="D1742" s="683"/>
      <c r="E1742" s="683"/>
      <c r="F1742" s="683"/>
      <c r="G1742" s="683"/>
      <c r="H1742" s="711"/>
      <c r="I1742" s="683"/>
      <c r="J1742" s="683"/>
      <c r="K1742" s="683"/>
      <c r="L1742" s="683"/>
      <c r="M1742" s="683"/>
      <c r="N1742" s="685"/>
      <c r="O1742" s="683"/>
      <c r="P1742" s="683"/>
      <c r="Q1742" s="683"/>
      <c r="R1742" s="683"/>
      <c r="S1742" s="683"/>
      <c r="T1742" s="683"/>
      <c r="U1742" s="683"/>
      <c r="V1742" s="683"/>
      <c r="W1742" s="683"/>
      <c r="X1742" s="683"/>
      <c r="Y1742" s="683"/>
      <c r="Z1742" s="683"/>
    </row>
    <row r="1743" spans="1:26" ht="15.75" customHeight="1" x14ac:dyDescent="0.25">
      <c r="A1743" s="683"/>
      <c r="B1743" s="683"/>
      <c r="C1743" s="683"/>
      <c r="D1743" s="683"/>
      <c r="E1743" s="683"/>
      <c r="F1743" s="683"/>
      <c r="G1743" s="683"/>
      <c r="H1743" s="711"/>
      <c r="I1743" s="683"/>
      <c r="J1743" s="683"/>
      <c r="K1743" s="683"/>
      <c r="L1743" s="683"/>
      <c r="M1743" s="683"/>
      <c r="N1743" s="685"/>
      <c r="O1743" s="683"/>
      <c r="P1743" s="683"/>
      <c r="Q1743" s="683"/>
      <c r="R1743" s="683"/>
      <c r="S1743" s="683"/>
      <c r="T1743" s="683"/>
      <c r="U1743" s="683"/>
      <c r="V1743" s="683"/>
      <c r="W1743" s="683"/>
      <c r="X1743" s="683"/>
      <c r="Y1743" s="683"/>
      <c r="Z1743" s="683"/>
    </row>
    <row r="1744" spans="1:26" ht="15.75" customHeight="1" x14ac:dyDescent="0.25">
      <c r="A1744" s="683"/>
      <c r="B1744" s="683"/>
      <c r="C1744" s="683"/>
      <c r="D1744" s="683"/>
      <c r="E1744" s="683"/>
      <c r="F1744" s="683"/>
      <c r="G1744" s="683"/>
      <c r="H1744" s="711"/>
      <c r="I1744" s="683"/>
      <c r="J1744" s="683"/>
      <c r="K1744" s="683"/>
      <c r="L1744" s="683"/>
      <c r="M1744" s="683"/>
      <c r="N1744" s="685"/>
      <c r="O1744" s="683"/>
      <c r="P1744" s="683"/>
      <c r="Q1744" s="683"/>
      <c r="R1744" s="683"/>
      <c r="S1744" s="683"/>
      <c r="T1744" s="683"/>
      <c r="U1744" s="683"/>
      <c r="V1744" s="683"/>
      <c r="W1744" s="683"/>
      <c r="X1744" s="683"/>
      <c r="Y1744" s="683"/>
      <c r="Z1744" s="683"/>
    </row>
    <row r="1745" spans="1:26" ht="15.75" customHeight="1" x14ac:dyDescent="0.25">
      <c r="A1745" s="683"/>
      <c r="B1745" s="683"/>
      <c r="C1745" s="683"/>
      <c r="D1745" s="683"/>
      <c r="E1745" s="683"/>
      <c r="F1745" s="683"/>
      <c r="G1745" s="683"/>
      <c r="H1745" s="711"/>
      <c r="I1745" s="683"/>
      <c r="J1745" s="683"/>
      <c r="K1745" s="683"/>
      <c r="L1745" s="683"/>
      <c r="M1745" s="683"/>
      <c r="N1745" s="685"/>
      <c r="O1745" s="683"/>
      <c r="P1745" s="683"/>
      <c r="Q1745" s="683"/>
      <c r="R1745" s="683"/>
      <c r="S1745" s="683"/>
      <c r="T1745" s="683"/>
      <c r="U1745" s="683"/>
      <c r="V1745" s="683"/>
      <c r="W1745" s="683"/>
      <c r="X1745" s="683"/>
      <c r="Y1745" s="683"/>
      <c r="Z1745" s="683"/>
    </row>
    <row r="1746" spans="1:26" ht="15.75" customHeight="1" x14ac:dyDescent="0.25">
      <c r="A1746" s="683"/>
      <c r="B1746" s="683"/>
      <c r="C1746" s="683"/>
      <c r="D1746" s="683"/>
      <c r="E1746" s="683"/>
      <c r="F1746" s="683"/>
      <c r="G1746" s="683"/>
      <c r="H1746" s="711"/>
      <c r="I1746" s="683"/>
      <c r="J1746" s="683"/>
      <c r="K1746" s="683"/>
      <c r="L1746" s="683"/>
      <c r="M1746" s="683"/>
      <c r="N1746" s="685"/>
      <c r="O1746" s="683"/>
      <c r="P1746" s="683"/>
      <c r="Q1746" s="683"/>
      <c r="R1746" s="683"/>
      <c r="S1746" s="683"/>
      <c r="T1746" s="683"/>
      <c r="U1746" s="683"/>
      <c r="V1746" s="683"/>
      <c r="W1746" s="683"/>
      <c r="X1746" s="683"/>
      <c r="Y1746" s="683"/>
      <c r="Z1746" s="683"/>
    </row>
    <row r="1747" spans="1:26" ht="15.75" customHeight="1" x14ac:dyDescent="0.25">
      <c r="A1747" s="683"/>
      <c r="B1747" s="683"/>
      <c r="C1747" s="683"/>
      <c r="D1747" s="683"/>
      <c r="E1747" s="683"/>
      <c r="F1747" s="683"/>
      <c r="G1747" s="683"/>
      <c r="H1747" s="711"/>
      <c r="I1747" s="683"/>
      <c r="J1747" s="683"/>
      <c r="K1747" s="683"/>
      <c r="L1747" s="683"/>
      <c r="M1747" s="683"/>
      <c r="N1747" s="685"/>
      <c r="O1747" s="683"/>
      <c r="P1747" s="683"/>
      <c r="Q1747" s="683"/>
      <c r="R1747" s="683"/>
      <c r="S1747" s="683"/>
      <c r="T1747" s="683"/>
      <c r="U1747" s="683"/>
      <c r="V1747" s="683"/>
      <c r="W1747" s="683"/>
      <c r="X1747" s="683"/>
      <c r="Y1747" s="683"/>
      <c r="Z1747" s="683"/>
    </row>
    <row r="1748" spans="1:26" ht="15.75" customHeight="1" x14ac:dyDescent="0.25">
      <c r="A1748" s="683"/>
      <c r="B1748" s="683"/>
      <c r="C1748" s="683"/>
      <c r="D1748" s="683"/>
      <c r="E1748" s="683"/>
      <c r="F1748" s="683"/>
      <c r="G1748" s="683"/>
      <c r="H1748" s="711"/>
      <c r="I1748" s="683"/>
      <c r="J1748" s="683"/>
      <c r="K1748" s="683"/>
      <c r="L1748" s="683"/>
      <c r="M1748" s="683"/>
      <c r="N1748" s="685"/>
      <c r="O1748" s="683"/>
      <c r="P1748" s="683"/>
      <c r="Q1748" s="683"/>
      <c r="R1748" s="683"/>
      <c r="S1748" s="683"/>
      <c r="T1748" s="683"/>
      <c r="U1748" s="683"/>
      <c r="V1748" s="683"/>
      <c r="W1748" s="683"/>
      <c r="X1748" s="683"/>
      <c r="Y1748" s="683"/>
      <c r="Z1748" s="683"/>
    </row>
    <row r="1749" spans="1:26" ht="15.75" customHeight="1" x14ac:dyDescent="0.25">
      <c r="A1749" s="683"/>
      <c r="B1749" s="683"/>
      <c r="C1749" s="683"/>
      <c r="D1749" s="683"/>
      <c r="E1749" s="683"/>
      <c r="F1749" s="683"/>
      <c r="G1749" s="683"/>
      <c r="H1749" s="711"/>
      <c r="I1749" s="683"/>
      <c r="J1749" s="683"/>
      <c r="K1749" s="683"/>
      <c r="L1749" s="683"/>
      <c r="M1749" s="683"/>
      <c r="N1749" s="685"/>
      <c r="O1749" s="683"/>
      <c r="P1749" s="683"/>
      <c r="Q1749" s="683"/>
      <c r="R1749" s="683"/>
      <c r="S1749" s="683"/>
      <c r="T1749" s="683"/>
      <c r="U1749" s="683"/>
      <c r="V1749" s="683"/>
      <c r="W1749" s="683"/>
      <c r="X1749" s="683"/>
      <c r="Y1749" s="683"/>
      <c r="Z1749" s="683"/>
    </row>
    <row r="1750" spans="1:26" ht="15.75" customHeight="1" x14ac:dyDescent="0.25">
      <c r="A1750" s="683"/>
      <c r="B1750" s="683"/>
      <c r="C1750" s="683"/>
      <c r="D1750" s="683"/>
      <c r="E1750" s="683"/>
      <c r="F1750" s="683"/>
      <c r="G1750" s="683"/>
      <c r="H1750" s="711"/>
      <c r="I1750" s="683"/>
      <c r="J1750" s="683"/>
      <c r="K1750" s="683"/>
      <c r="L1750" s="683"/>
      <c r="M1750" s="683"/>
      <c r="N1750" s="685"/>
      <c r="O1750" s="683"/>
      <c r="P1750" s="683"/>
      <c r="Q1750" s="683"/>
      <c r="R1750" s="683"/>
      <c r="S1750" s="683"/>
      <c r="T1750" s="683"/>
      <c r="U1750" s="683"/>
      <c r="V1750" s="683"/>
      <c r="W1750" s="683"/>
      <c r="X1750" s="683"/>
      <c r="Y1750" s="683"/>
      <c r="Z1750" s="683"/>
    </row>
    <row r="1751" spans="1:26" ht="15.75" customHeight="1" x14ac:dyDescent="0.25">
      <c r="A1751" s="683"/>
      <c r="B1751" s="683"/>
      <c r="C1751" s="683"/>
      <c r="D1751" s="683"/>
      <c r="E1751" s="683"/>
      <c r="F1751" s="683"/>
      <c r="G1751" s="683"/>
      <c r="H1751" s="711"/>
      <c r="I1751" s="683"/>
      <c r="J1751" s="683"/>
      <c r="K1751" s="683"/>
      <c r="L1751" s="683"/>
      <c r="M1751" s="683"/>
      <c r="N1751" s="685"/>
      <c r="O1751" s="683"/>
      <c r="P1751" s="683"/>
      <c r="Q1751" s="683"/>
      <c r="R1751" s="683"/>
      <c r="S1751" s="683"/>
      <c r="T1751" s="683"/>
      <c r="U1751" s="683"/>
      <c r="V1751" s="683"/>
      <c r="W1751" s="683"/>
      <c r="X1751" s="683"/>
      <c r="Y1751" s="683"/>
      <c r="Z1751" s="683"/>
    </row>
    <row r="1752" spans="1:26" ht="15.75" customHeight="1" x14ac:dyDescent="0.25">
      <c r="A1752" s="683"/>
      <c r="B1752" s="683"/>
      <c r="C1752" s="683"/>
      <c r="D1752" s="683"/>
      <c r="E1752" s="683"/>
      <c r="F1752" s="683"/>
      <c r="G1752" s="683"/>
      <c r="H1752" s="711"/>
      <c r="I1752" s="683"/>
      <c r="J1752" s="683"/>
      <c r="K1752" s="683"/>
      <c r="L1752" s="683"/>
      <c r="M1752" s="683"/>
      <c r="N1752" s="685"/>
      <c r="O1752" s="683"/>
      <c r="P1752" s="683"/>
      <c r="Q1752" s="683"/>
      <c r="R1752" s="683"/>
      <c r="S1752" s="683"/>
      <c r="T1752" s="683"/>
      <c r="U1752" s="683"/>
      <c r="V1752" s="683"/>
      <c r="W1752" s="683"/>
      <c r="X1752" s="683"/>
      <c r="Y1752" s="683"/>
      <c r="Z1752" s="683"/>
    </row>
    <row r="1753" spans="1:26" ht="15.75" customHeight="1" x14ac:dyDescent="0.25">
      <c r="A1753" s="683"/>
      <c r="B1753" s="683"/>
      <c r="C1753" s="683"/>
      <c r="D1753" s="683"/>
      <c r="E1753" s="683"/>
      <c r="F1753" s="683"/>
      <c r="G1753" s="683"/>
      <c r="H1753" s="711"/>
      <c r="I1753" s="683"/>
      <c r="J1753" s="683"/>
      <c r="K1753" s="683"/>
      <c r="L1753" s="683"/>
      <c r="M1753" s="683"/>
      <c r="N1753" s="685"/>
      <c r="O1753" s="683"/>
      <c r="P1753" s="683"/>
      <c r="Q1753" s="683"/>
      <c r="R1753" s="683"/>
      <c r="S1753" s="683"/>
      <c r="T1753" s="683"/>
      <c r="U1753" s="683"/>
      <c r="V1753" s="683"/>
      <c r="W1753" s="683"/>
      <c r="X1753" s="683"/>
      <c r="Y1753" s="683"/>
      <c r="Z1753" s="683"/>
    </row>
    <row r="1754" spans="1:26" ht="15.75" customHeight="1" x14ac:dyDescent="0.25">
      <c r="A1754" s="683"/>
      <c r="B1754" s="683"/>
      <c r="C1754" s="683"/>
      <c r="D1754" s="683"/>
      <c r="E1754" s="683"/>
      <c r="F1754" s="683"/>
      <c r="G1754" s="683"/>
      <c r="H1754" s="711"/>
      <c r="I1754" s="683"/>
      <c r="J1754" s="683"/>
      <c r="K1754" s="683"/>
      <c r="L1754" s="683"/>
      <c r="M1754" s="683"/>
      <c r="N1754" s="685"/>
      <c r="O1754" s="683"/>
      <c r="P1754" s="683"/>
      <c r="Q1754" s="683"/>
      <c r="R1754" s="683"/>
      <c r="S1754" s="683"/>
      <c r="T1754" s="683"/>
      <c r="U1754" s="683"/>
      <c r="V1754" s="683"/>
      <c r="W1754" s="683"/>
      <c r="X1754" s="683"/>
      <c r="Y1754" s="683"/>
      <c r="Z1754" s="683"/>
    </row>
    <row r="1755" spans="1:26" ht="15.75" customHeight="1" x14ac:dyDescent="0.25">
      <c r="A1755" s="683"/>
      <c r="B1755" s="683"/>
      <c r="C1755" s="683"/>
      <c r="D1755" s="683"/>
      <c r="E1755" s="683"/>
      <c r="F1755" s="683"/>
      <c r="G1755" s="683"/>
      <c r="H1755" s="711"/>
      <c r="I1755" s="683"/>
      <c r="J1755" s="683"/>
      <c r="K1755" s="683"/>
      <c r="L1755" s="683"/>
      <c r="M1755" s="683"/>
      <c r="N1755" s="685"/>
      <c r="O1755" s="683"/>
      <c r="P1755" s="683"/>
      <c r="Q1755" s="683"/>
      <c r="R1755" s="683"/>
      <c r="S1755" s="683"/>
      <c r="T1755" s="683"/>
      <c r="U1755" s="683"/>
      <c r="V1755" s="683"/>
      <c r="W1755" s="683"/>
      <c r="X1755" s="683"/>
      <c r="Y1755" s="683"/>
      <c r="Z1755" s="683"/>
    </row>
    <row r="1756" spans="1:26" ht="15.75" customHeight="1" x14ac:dyDescent="0.25">
      <c r="A1756" s="683"/>
      <c r="B1756" s="683"/>
      <c r="C1756" s="683"/>
      <c r="D1756" s="683"/>
      <c r="E1756" s="683"/>
      <c r="F1756" s="683"/>
      <c r="G1756" s="683"/>
      <c r="H1756" s="711"/>
      <c r="I1756" s="683"/>
      <c r="J1756" s="683"/>
      <c r="K1756" s="683"/>
      <c r="L1756" s="683"/>
      <c r="M1756" s="683"/>
      <c r="N1756" s="685"/>
      <c r="O1756" s="683"/>
      <c r="P1756" s="683"/>
      <c r="Q1756" s="683"/>
      <c r="R1756" s="683"/>
      <c r="S1756" s="683"/>
      <c r="T1756" s="683"/>
      <c r="U1756" s="683"/>
      <c r="V1756" s="683"/>
      <c r="W1756" s="683"/>
      <c r="X1756" s="683"/>
      <c r="Y1756" s="683"/>
      <c r="Z1756" s="683"/>
    </row>
    <row r="1757" spans="1:26" ht="15.75" customHeight="1" x14ac:dyDescent="0.25">
      <c r="A1757" s="683"/>
      <c r="B1757" s="683"/>
      <c r="C1757" s="683"/>
      <c r="D1757" s="683"/>
      <c r="E1757" s="683"/>
      <c r="F1757" s="683"/>
      <c r="G1757" s="683"/>
      <c r="H1757" s="711"/>
      <c r="I1757" s="683"/>
      <c r="J1757" s="683"/>
      <c r="K1757" s="683"/>
      <c r="L1757" s="683"/>
      <c r="M1757" s="683"/>
      <c r="N1757" s="685"/>
      <c r="O1757" s="683"/>
      <c r="P1757" s="683"/>
      <c r="Q1757" s="683"/>
      <c r="R1757" s="683"/>
      <c r="S1757" s="683"/>
      <c r="T1757" s="683"/>
      <c r="U1757" s="683"/>
      <c r="V1757" s="683"/>
      <c r="W1757" s="683"/>
      <c r="X1757" s="683"/>
      <c r="Y1757" s="683"/>
      <c r="Z1757" s="683"/>
    </row>
    <row r="1758" spans="1:26" ht="15.75" customHeight="1" x14ac:dyDescent="0.25">
      <c r="A1758" s="683"/>
      <c r="B1758" s="683"/>
      <c r="C1758" s="683"/>
      <c r="D1758" s="683"/>
      <c r="E1758" s="683"/>
      <c r="F1758" s="683"/>
      <c r="G1758" s="683"/>
      <c r="H1758" s="711"/>
      <c r="I1758" s="683"/>
      <c r="J1758" s="683"/>
      <c r="K1758" s="683"/>
      <c r="L1758" s="683"/>
      <c r="M1758" s="683"/>
      <c r="N1758" s="685"/>
      <c r="O1758" s="683"/>
      <c r="P1758" s="683"/>
      <c r="Q1758" s="683"/>
      <c r="R1758" s="683"/>
      <c r="S1758" s="683"/>
      <c r="T1758" s="683"/>
      <c r="U1758" s="683"/>
      <c r="V1758" s="683"/>
      <c r="W1758" s="683"/>
      <c r="X1758" s="683"/>
      <c r="Y1758" s="683"/>
      <c r="Z1758" s="683"/>
    </row>
    <row r="1759" spans="1:26" ht="15.75" customHeight="1" x14ac:dyDescent="0.25">
      <c r="A1759" s="683"/>
      <c r="B1759" s="683"/>
      <c r="C1759" s="683"/>
      <c r="D1759" s="683"/>
      <c r="E1759" s="683"/>
      <c r="F1759" s="683"/>
      <c r="G1759" s="683"/>
      <c r="H1759" s="711"/>
      <c r="I1759" s="683"/>
      <c r="J1759" s="683"/>
      <c r="K1759" s="683"/>
      <c r="L1759" s="683"/>
      <c r="M1759" s="683"/>
      <c r="N1759" s="685"/>
      <c r="O1759" s="683"/>
      <c r="P1759" s="683"/>
      <c r="Q1759" s="683"/>
      <c r="R1759" s="683"/>
      <c r="S1759" s="683"/>
      <c r="T1759" s="683"/>
      <c r="U1759" s="683"/>
      <c r="V1759" s="683"/>
      <c r="W1759" s="683"/>
      <c r="X1759" s="683"/>
      <c r="Y1759" s="683"/>
      <c r="Z1759" s="683"/>
    </row>
    <row r="1760" spans="1:26" ht="15.75" customHeight="1" x14ac:dyDescent="0.25">
      <c r="A1760" s="683"/>
      <c r="B1760" s="683"/>
      <c r="C1760" s="683"/>
      <c r="D1760" s="683"/>
      <c r="E1760" s="683"/>
      <c r="F1760" s="683"/>
      <c r="G1760" s="683"/>
      <c r="H1760" s="711"/>
      <c r="I1760" s="683"/>
      <c r="J1760" s="683"/>
      <c r="K1760" s="683"/>
      <c r="L1760" s="683"/>
      <c r="M1760" s="683"/>
      <c r="N1760" s="685"/>
      <c r="O1760" s="683"/>
      <c r="P1760" s="683"/>
      <c r="Q1760" s="683"/>
      <c r="R1760" s="683"/>
      <c r="S1760" s="683"/>
      <c r="T1760" s="683"/>
      <c r="U1760" s="683"/>
      <c r="V1760" s="683"/>
      <c r="W1760" s="683"/>
      <c r="X1760" s="683"/>
      <c r="Y1760" s="683"/>
      <c r="Z1760" s="683"/>
    </row>
    <row r="1761" spans="1:26" ht="15.75" customHeight="1" x14ac:dyDescent="0.25">
      <c r="A1761" s="683"/>
      <c r="B1761" s="683"/>
      <c r="C1761" s="683"/>
      <c r="D1761" s="683"/>
      <c r="E1761" s="683"/>
      <c r="F1761" s="683"/>
      <c r="G1761" s="683"/>
      <c r="H1761" s="711"/>
      <c r="I1761" s="683"/>
      <c r="J1761" s="683"/>
      <c r="K1761" s="683"/>
      <c r="L1761" s="683"/>
      <c r="M1761" s="683"/>
      <c r="N1761" s="685"/>
      <c r="O1761" s="683"/>
      <c r="P1761" s="683"/>
      <c r="Q1761" s="683"/>
      <c r="R1761" s="683"/>
      <c r="S1761" s="683"/>
      <c r="T1761" s="683"/>
      <c r="U1761" s="683"/>
      <c r="V1761" s="683"/>
      <c r="W1761" s="683"/>
      <c r="X1761" s="683"/>
      <c r="Y1761" s="683"/>
      <c r="Z1761" s="683"/>
    </row>
    <row r="1762" spans="1:26" ht="15.75" customHeight="1" x14ac:dyDescent="0.25">
      <c r="A1762" s="683"/>
      <c r="B1762" s="683"/>
      <c r="C1762" s="683"/>
      <c r="D1762" s="683"/>
      <c r="E1762" s="683"/>
      <c r="F1762" s="683"/>
      <c r="G1762" s="683"/>
      <c r="H1762" s="711"/>
      <c r="I1762" s="683"/>
      <c r="J1762" s="683"/>
      <c r="K1762" s="683"/>
      <c r="L1762" s="683"/>
      <c r="M1762" s="683"/>
      <c r="N1762" s="685"/>
      <c r="O1762" s="683"/>
      <c r="P1762" s="683"/>
      <c r="Q1762" s="683"/>
      <c r="R1762" s="683"/>
      <c r="S1762" s="683"/>
      <c r="T1762" s="683"/>
      <c r="U1762" s="683"/>
      <c r="V1762" s="683"/>
      <c r="W1762" s="683"/>
      <c r="X1762" s="683"/>
      <c r="Y1762" s="683"/>
      <c r="Z1762" s="683"/>
    </row>
    <row r="1763" spans="1:26" ht="15.75" customHeight="1" x14ac:dyDescent="0.25">
      <c r="A1763" s="683"/>
      <c r="B1763" s="683"/>
      <c r="C1763" s="683"/>
      <c r="D1763" s="683"/>
      <c r="E1763" s="683"/>
      <c r="F1763" s="683"/>
      <c r="G1763" s="683"/>
      <c r="H1763" s="711"/>
      <c r="I1763" s="683"/>
      <c r="J1763" s="683"/>
      <c r="K1763" s="683"/>
      <c r="L1763" s="683"/>
      <c r="M1763" s="683"/>
      <c r="N1763" s="685"/>
      <c r="O1763" s="683"/>
      <c r="P1763" s="683"/>
      <c r="Q1763" s="683"/>
      <c r="R1763" s="683"/>
      <c r="S1763" s="683"/>
      <c r="T1763" s="683"/>
      <c r="U1763" s="683"/>
      <c r="V1763" s="683"/>
      <c r="W1763" s="683"/>
      <c r="X1763" s="683"/>
      <c r="Y1763" s="683"/>
      <c r="Z1763" s="683"/>
    </row>
    <row r="1764" spans="1:26" ht="15.75" customHeight="1" x14ac:dyDescent="0.25">
      <c r="A1764" s="683"/>
      <c r="B1764" s="683"/>
      <c r="C1764" s="683"/>
      <c r="D1764" s="683"/>
      <c r="E1764" s="683"/>
      <c r="F1764" s="683"/>
      <c r="G1764" s="683"/>
      <c r="H1764" s="711"/>
      <c r="I1764" s="683"/>
      <c r="J1764" s="683"/>
      <c r="K1764" s="683"/>
      <c r="L1764" s="683"/>
      <c r="M1764" s="683"/>
      <c r="N1764" s="685"/>
      <c r="O1764" s="683"/>
      <c r="P1764" s="683"/>
      <c r="Q1764" s="683"/>
      <c r="R1764" s="683"/>
      <c r="S1764" s="683"/>
      <c r="T1764" s="683"/>
      <c r="U1764" s="683"/>
      <c r="V1764" s="683"/>
      <c r="W1764" s="683"/>
      <c r="X1764" s="683"/>
      <c r="Y1764" s="683"/>
      <c r="Z1764" s="683"/>
    </row>
    <row r="1765" spans="1:26" ht="15.75" customHeight="1" x14ac:dyDescent="0.25">
      <c r="A1765" s="683"/>
      <c r="B1765" s="683"/>
      <c r="C1765" s="683"/>
      <c r="D1765" s="683"/>
      <c r="E1765" s="683"/>
      <c r="F1765" s="683"/>
      <c r="G1765" s="683"/>
      <c r="H1765" s="711"/>
      <c r="I1765" s="683"/>
      <c r="J1765" s="683"/>
      <c r="K1765" s="683"/>
      <c r="L1765" s="683"/>
      <c r="M1765" s="683"/>
      <c r="N1765" s="685"/>
      <c r="O1765" s="683"/>
      <c r="P1765" s="683"/>
      <c r="Q1765" s="683"/>
      <c r="R1765" s="683"/>
      <c r="S1765" s="683"/>
      <c r="T1765" s="683"/>
      <c r="U1765" s="683"/>
      <c r="V1765" s="683"/>
      <c r="W1765" s="683"/>
      <c r="X1765" s="683"/>
      <c r="Y1765" s="683"/>
      <c r="Z1765" s="683"/>
    </row>
    <row r="1766" spans="1:26" ht="15.75" customHeight="1" x14ac:dyDescent="0.25">
      <c r="A1766" s="683"/>
      <c r="B1766" s="683"/>
      <c r="C1766" s="683"/>
      <c r="D1766" s="683"/>
      <c r="E1766" s="683"/>
      <c r="F1766" s="683"/>
      <c r="G1766" s="683"/>
      <c r="H1766" s="711"/>
      <c r="I1766" s="683"/>
      <c r="J1766" s="683"/>
      <c r="K1766" s="683"/>
      <c r="L1766" s="683"/>
      <c r="M1766" s="683"/>
      <c r="N1766" s="685"/>
      <c r="O1766" s="683"/>
      <c r="P1766" s="683"/>
      <c r="Q1766" s="683"/>
      <c r="R1766" s="683"/>
      <c r="S1766" s="683"/>
      <c r="T1766" s="683"/>
      <c r="U1766" s="683"/>
      <c r="V1766" s="683"/>
      <c r="W1766" s="683"/>
      <c r="X1766" s="683"/>
      <c r="Y1766" s="683"/>
      <c r="Z1766" s="683"/>
    </row>
    <row r="1767" spans="1:26" ht="15.75" customHeight="1" x14ac:dyDescent="0.25">
      <c r="A1767" s="683"/>
      <c r="B1767" s="683"/>
      <c r="C1767" s="683"/>
      <c r="D1767" s="683"/>
      <c r="E1767" s="683"/>
      <c r="F1767" s="683"/>
      <c r="G1767" s="683"/>
      <c r="H1767" s="711"/>
      <c r="I1767" s="683"/>
      <c r="J1767" s="683"/>
      <c r="K1767" s="683"/>
      <c r="L1767" s="683"/>
      <c r="M1767" s="683"/>
      <c r="N1767" s="685"/>
      <c r="O1767" s="683"/>
      <c r="P1767" s="683"/>
      <c r="Q1767" s="683"/>
      <c r="R1767" s="683"/>
      <c r="S1767" s="683"/>
      <c r="T1767" s="683"/>
      <c r="U1767" s="683"/>
      <c r="V1767" s="683"/>
      <c r="W1767" s="683"/>
      <c r="X1767" s="683"/>
      <c r="Y1767" s="683"/>
      <c r="Z1767" s="683"/>
    </row>
    <row r="1768" spans="1:26" ht="15.75" customHeight="1" x14ac:dyDescent="0.25">
      <c r="A1768" s="683"/>
      <c r="B1768" s="683"/>
      <c r="C1768" s="683"/>
      <c r="D1768" s="683"/>
      <c r="E1768" s="683"/>
      <c r="F1768" s="683"/>
      <c r="G1768" s="683"/>
      <c r="H1768" s="711"/>
      <c r="I1768" s="683"/>
      <c r="J1768" s="683"/>
      <c r="K1768" s="683"/>
      <c r="L1768" s="683"/>
      <c r="M1768" s="683"/>
      <c r="N1768" s="685"/>
      <c r="O1768" s="683"/>
      <c r="P1768" s="683"/>
      <c r="Q1768" s="683"/>
      <c r="R1768" s="683"/>
      <c r="S1768" s="683"/>
      <c r="T1768" s="683"/>
      <c r="U1768" s="683"/>
      <c r="V1768" s="683"/>
      <c r="W1768" s="683"/>
      <c r="X1768" s="683"/>
      <c r="Y1768" s="683"/>
      <c r="Z1768" s="683"/>
    </row>
    <row r="1769" spans="1:26" ht="15.75" customHeight="1" x14ac:dyDescent="0.25">
      <c r="A1769" s="683"/>
      <c r="B1769" s="683"/>
      <c r="C1769" s="683"/>
      <c r="D1769" s="683"/>
      <c r="E1769" s="683"/>
      <c r="F1769" s="683"/>
      <c r="G1769" s="683"/>
      <c r="H1769" s="711"/>
      <c r="I1769" s="683"/>
      <c r="J1769" s="683"/>
      <c r="K1769" s="683"/>
      <c r="L1769" s="683"/>
      <c r="M1769" s="683"/>
      <c r="N1769" s="685"/>
      <c r="O1769" s="683"/>
      <c r="P1769" s="683"/>
      <c r="Q1769" s="683"/>
      <c r="R1769" s="683"/>
      <c r="S1769" s="683"/>
      <c r="T1769" s="683"/>
      <c r="U1769" s="683"/>
      <c r="V1769" s="683"/>
      <c r="W1769" s="683"/>
      <c r="X1769" s="683"/>
      <c r="Y1769" s="683"/>
      <c r="Z1769" s="683"/>
    </row>
    <row r="1770" spans="1:26" ht="15.75" customHeight="1" x14ac:dyDescent="0.25">
      <c r="A1770" s="683"/>
      <c r="B1770" s="683"/>
      <c r="C1770" s="683"/>
      <c r="D1770" s="683"/>
      <c r="E1770" s="683"/>
      <c r="F1770" s="683"/>
      <c r="G1770" s="683"/>
      <c r="H1770" s="711"/>
      <c r="I1770" s="683"/>
      <c r="J1770" s="683"/>
      <c r="K1770" s="683"/>
      <c r="L1770" s="683"/>
      <c r="M1770" s="683"/>
      <c r="N1770" s="685"/>
      <c r="O1770" s="683"/>
      <c r="P1770" s="683"/>
      <c r="Q1770" s="683"/>
      <c r="R1770" s="683"/>
      <c r="S1770" s="683"/>
      <c r="T1770" s="683"/>
      <c r="U1770" s="683"/>
      <c r="V1770" s="683"/>
      <c r="W1770" s="683"/>
      <c r="X1770" s="683"/>
      <c r="Y1770" s="683"/>
      <c r="Z1770" s="683"/>
    </row>
    <row r="1771" spans="1:26" ht="15.75" customHeight="1" x14ac:dyDescent="0.25">
      <c r="A1771" s="683"/>
      <c r="B1771" s="683"/>
      <c r="C1771" s="683"/>
      <c r="D1771" s="683"/>
      <c r="E1771" s="683"/>
      <c r="F1771" s="683"/>
      <c r="G1771" s="683"/>
      <c r="H1771" s="711"/>
      <c r="I1771" s="683"/>
      <c r="J1771" s="683"/>
      <c r="K1771" s="683"/>
      <c r="L1771" s="683"/>
      <c r="M1771" s="683"/>
      <c r="N1771" s="685"/>
      <c r="O1771" s="683"/>
      <c r="P1771" s="683"/>
      <c r="Q1771" s="683"/>
      <c r="R1771" s="683"/>
      <c r="S1771" s="683"/>
      <c r="T1771" s="683"/>
      <c r="U1771" s="683"/>
      <c r="V1771" s="683"/>
      <c r="W1771" s="683"/>
      <c r="X1771" s="683"/>
      <c r="Y1771" s="683"/>
      <c r="Z1771" s="683"/>
    </row>
    <row r="1772" spans="1:26" ht="15.75" customHeight="1" x14ac:dyDescent="0.25">
      <c r="A1772" s="683"/>
      <c r="B1772" s="683"/>
      <c r="C1772" s="683"/>
      <c r="D1772" s="683"/>
      <c r="E1772" s="683"/>
      <c r="F1772" s="683"/>
      <c r="G1772" s="683"/>
      <c r="H1772" s="711"/>
      <c r="I1772" s="683"/>
      <c r="J1772" s="683"/>
      <c r="K1772" s="683"/>
      <c r="L1772" s="683"/>
      <c r="M1772" s="683"/>
      <c r="N1772" s="685"/>
      <c r="O1772" s="683"/>
      <c r="P1772" s="683"/>
      <c r="Q1772" s="683"/>
      <c r="R1772" s="683"/>
      <c r="S1772" s="683"/>
      <c r="T1772" s="683"/>
      <c r="U1772" s="683"/>
      <c r="V1772" s="683"/>
      <c r="W1772" s="683"/>
      <c r="X1772" s="683"/>
      <c r="Y1772" s="683"/>
      <c r="Z1772" s="683"/>
    </row>
    <row r="1773" spans="1:26" ht="15.75" customHeight="1" x14ac:dyDescent="0.25">
      <c r="A1773" s="683"/>
      <c r="B1773" s="683"/>
      <c r="C1773" s="683"/>
      <c r="D1773" s="683"/>
      <c r="E1773" s="683"/>
      <c r="F1773" s="683"/>
      <c r="G1773" s="683"/>
      <c r="H1773" s="711"/>
      <c r="I1773" s="683"/>
      <c r="J1773" s="683"/>
      <c r="K1773" s="683"/>
      <c r="L1773" s="683"/>
      <c r="M1773" s="683"/>
      <c r="N1773" s="685"/>
      <c r="O1773" s="683"/>
      <c r="P1773" s="683"/>
      <c r="Q1773" s="683"/>
      <c r="R1773" s="683"/>
      <c r="S1773" s="683"/>
      <c r="T1773" s="683"/>
      <c r="U1773" s="683"/>
      <c r="V1773" s="683"/>
      <c r="W1773" s="683"/>
      <c r="X1773" s="683"/>
      <c r="Y1773" s="683"/>
      <c r="Z1773" s="683"/>
    </row>
    <row r="1774" spans="1:26" ht="15.75" customHeight="1" x14ac:dyDescent="0.25">
      <c r="A1774" s="683"/>
      <c r="B1774" s="683"/>
      <c r="C1774" s="683"/>
      <c r="D1774" s="683"/>
      <c r="E1774" s="683"/>
      <c r="F1774" s="683"/>
      <c r="G1774" s="683"/>
      <c r="H1774" s="711"/>
      <c r="I1774" s="683"/>
      <c r="J1774" s="683"/>
      <c r="K1774" s="683"/>
      <c r="L1774" s="683"/>
      <c r="M1774" s="683"/>
      <c r="N1774" s="685"/>
      <c r="O1774" s="683"/>
      <c r="P1774" s="683"/>
      <c r="Q1774" s="683"/>
      <c r="R1774" s="683"/>
      <c r="S1774" s="683"/>
      <c r="T1774" s="683"/>
      <c r="U1774" s="683"/>
      <c r="V1774" s="683"/>
      <c r="W1774" s="683"/>
      <c r="X1774" s="683"/>
      <c r="Y1774" s="683"/>
      <c r="Z1774" s="683"/>
    </row>
    <row r="1775" spans="1:26" ht="15.75" customHeight="1" x14ac:dyDescent="0.25">
      <c r="A1775" s="683"/>
      <c r="B1775" s="683"/>
      <c r="C1775" s="683"/>
      <c r="D1775" s="683"/>
      <c r="E1775" s="683"/>
      <c r="F1775" s="683"/>
      <c r="G1775" s="683"/>
      <c r="H1775" s="711"/>
      <c r="I1775" s="683"/>
      <c r="J1775" s="683"/>
      <c r="K1775" s="683"/>
      <c r="L1775" s="683"/>
      <c r="M1775" s="683"/>
      <c r="N1775" s="685"/>
      <c r="O1775" s="683"/>
      <c r="P1775" s="683"/>
      <c r="Q1775" s="683"/>
      <c r="R1775" s="683"/>
      <c r="S1775" s="683"/>
      <c r="T1775" s="683"/>
      <c r="U1775" s="683"/>
      <c r="V1775" s="683"/>
      <c r="W1775" s="683"/>
      <c r="X1775" s="683"/>
      <c r="Y1775" s="683"/>
      <c r="Z1775" s="683"/>
    </row>
    <row r="1776" spans="1:26" ht="15.75" customHeight="1" x14ac:dyDescent="0.25">
      <c r="A1776" s="683"/>
      <c r="B1776" s="683"/>
      <c r="C1776" s="683"/>
      <c r="D1776" s="683"/>
      <c r="E1776" s="683"/>
      <c r="F1776" s="683"/>
      <c r="G1776" s="683"/>
      <c r="H1776" s="711"/>
      <c r="I1776" s="683"/>
      <c r="J1776" s="683"/>
      <c r="K1776" s="683"/>
      <c r="L1776" s="683"/>
      <c r="M1776" s="683"/>
      <c r="N1776" s="685"/>
      <c r="O1776" s="683"/>
      <c r="P1776" s="683"/>
      <c r="Q1776" s="683"/>
      <c r="R1776" s="683"/>
      <c r="S1776" s="683"/>
      <c r="T1776" s="683"/>
      <c r="U1776" s="683"/>
      <c r="V1776" s="683"/>
      <c r="W1776" s="683"/>
      <c r="X1776" s="683"/>
      <c r="Y1776" s="683"/>
      <c r="Z1776" s="683"/>
    </row>
    <row r="1777" spans="1:26" ht="15.75" customHeight="1" x14ac:dyDescent="0.25">
      <c r="A1777" s="683"/>
      <c r="B1777" s="683"/>
      <c r="C1777" s="683"/>
      <c r="D1777" s="683"/>
      <c r="E1777" s="683"/>
      <c r="F1777" s="683"/>
      <c r="G1777" s="683"/>
      <c r="H1777" s="711"/>
      <c r="I1777" s="683"/>
      <c r="J1777" s="683"/>
      <c r="K1777" s="683"/>
      <c r="L1777" s="683"/>
      <c r="M1777" s="683"/>
      <c r="N1777" s="685"/>
      <c r="O1777" s="683"/>
      <c r="P1777" s="683"/>
      <c r="Q1777" s="683"/>
      <c r="R1777" s="683"/>
      <c r="S1777" s="683"/>
      <c r="T1777" s="683"/>
      <c r="U1777" s="683"/>
      <c r="V1777" s="683"/>
      <c r="W1777" s="683"/>
      <c r="X1777" s="683"/>
      <c r="Y1777" s="683"/>
      <c r="Z1777" s="683"/>
    </row>
    <row r="1778" spans="1:26" ht="15.75" customHeight="1" x14ac:dyDescent="0.25">
      <c r="A1778" s="683"/>
      <c r="B1778" s="683"/>
      <c r="C1778" s="683"/>
      <c r="D1778" s="683"/>
      <c r="E1778" s="683"/>
      <c r="F1778" s="683"/>
      <c r="G1778" s="683"/>
      <c r="H1778" s="711"/>
      <c r="I1778" s="683"/>
      <c r="J1778" s="683"/>
      <c r="K1778" s="683"/>
      <c r="L1778" s="683"/>
      <c r="M1778" s="683"/>
      <c r="N1778" s="685"/>
      <c r="O1778" s="683"/>
      <c r="P1778" s="683"/>
      <c r="Q1778" s="683"/>
      <c r="R1778" s="683"/>
      <c r="S1778" s="683"/>
      <c r="T1778" s="683"/>
      <c r="U1778" s="683"/>
      <c r="V1778" s="683"/>
      <c r="W1778" s="683"/>
      <c r="X1778" s="683"/>
      <c r="Y1778" s="683"/>
      <c r="Z1778" s="683"/>
    </row>
    <row r="1779" spans="1:26" ht="15.75" customHeight="1" x14ac:dyDescent="0.25">
      <c r="A1779" s="683"/>
      <c r="B1779" s="683"/>
      <c r="C1779" s="683"/>
      <c r="D1779" s="683"/>
      <c r="E1779" s="683"/>
      <c r="F1779" s="683"/>
      <c r="G1779" s="683"/>
      <c r="H1779" s="711"/>
      <c r="I1779" s="683"/>
      <c r="J1779" s="683"/>
      <c r="K1779" s="683"/>
      <c r="L1779" s="683"/>
      <c r="M1779" s="683"/>
      <c r="N1779" s="685"/>
      <c r="O1779" s="683"/>
      <c r="P1779" s="683"/>
      <c r="Q1779" s="683"/>
      <c r="R1779" s="683"/>
      <c r="S1779" s="683"/>
      <c r="T1779" s="683"/>
      <c r="U1779" s="683"/>
      <c r="V1779" s="683"/>
      <c r="W1779" s="683"/>
      <c r="X1779" s="683"/>
      <c r="Y1779" s="683"/>
      <c r="Z1779" s="683"/>
    </row>
    <row r="1780" spans="1:26" ht="15.75" customHeight="1" x14ac:dyDescent="0.25">
      <c r="A1780" s="683"/>
      <c r="B1780" s="683"/>
      <c r="C1780" s="683"/>
      <c r="D1780" s="683"/>
      <c r="E1780" s="683"/>
      <c r="F1780" s="683"/>
      <c r="G1780" s="683"/>
      <c r="H1780" s="711"/>
      <c r="I1780" s="683"/>
      <c r="J1780" s="683"/>
      <c r="K1780" s="683"/>
      <c r="L1780" s="683"/>
      <c r="M1780" s="683"/>
      <c r="N1780" s="685"/>
      <c r="O1780" s="683"/>
      <c r="P1780" s="683"/>
      <c r="Q1780" s="683"/>
      <c r="R1780" s="683"/>
      <c r="S1780" s="683"/>
      <c r="T1780" s="683"/>
      <c r="U1780" s="683"/>
      <c r="V1780" s="683"/>
      <c r="W1780" s="683"/>
      <c r="X1780" s="683"/>
      <c r="Y1780" s="683"/>
      <c r="Z1780" s="683"/>
    </row>
    <row r="1781" spans="1:26" ht="15.75" customHeight="1" x14ac:dyDescent="0.25">
      <c r="A1781" s="683"/>
      <c r="B1781" s="683"/>
      <c r="C1781" s="683"/>
      <c r="D1781" s="683"/>
      <c r="E1781" s="683"/>
      <c r="F1781" s="683"/>
      <c r="G1781" s="683"/>
      <c r="H1781" s="711"/>
      <c r="I1781" s="683"/>
      <c r="J1781" s="683"/>
      <c r="K1781" s="683"/>
      <c r="L1781" s="683"/>
      <c r="M1781" s="683"/>
      <c r="N1781" s="685"/>
      <c r="O1781" s="683"/>
      <c r="P1781" s="683"/>
      <c r="Q1781" s="683"/>
      <c r="R1781" s="683"/>
      <c r="S1781" s="683"/>
      <c r="T1781" s="683"/>
      <c r="U1781" s="683"/>
      <c r="V1781" s="683"/>
      <c r="W1781" s="683"/>
      <c r="X1781" s="683"/>
      <c r="Y1781" s="683"/>
      <c r="Z1781" s="683"/>
    </row>
    <row r="1782" spans="1:26" ht="15.75" customHeight="1" x14ac:dyDescent="0.25">
      <c r="A1782" s="683"/>
      <c r="B1782" s="683"/>
      <c r="C1782" s="683"/>
      <c r="D1782" s="683"/>
      <c r="E1782" s="683"/>
      <c r="F1782" s="683"/>
      <c r="G1782" s="683"/>
      <c r="H1782" s="711"/>
      <c r="I1782" s="683"/>
      <c r="J1782" s="683"/>
      <c r="K1782" s="683"/>
      <c r="L1782" s="683"/>
      <c r="M1782" s="683"/>
      <c r="N1782" s="685"/>
      <c r="O1782" s="683"/>
      <c r="P1782" s="683"/>
      <c r="Q1782" s="683"/>
      <c r="R1782" s="683"/>
      <c r="S1782" s="683"/>
      <c r="T1782" s="683"/>
      <c r="U1782" s="683"/>
      <c r="V1782" s="683"/>
      <c r="W1782" s="683"/>
      <c r="X1782" s="683"/>
      <c r="Y1782" s="683"/>
      <c r="Z1782" s="683"/>
    </row>
    <row r="1783" spans="1:26" ht="15.75" customHeight="1" x14ac:dyDescent="0.25">
      <c r="A1783" s="683"/>
      <c r="B1783" s="683"/>
      <c r="C1783" s="683"/>
      <c r="D1783" s="683"/>
      <c r="E1783" s="683"/>
      <c r="F1783" s="683"/>
      <c r="G1783" s="683"/>
      <c r="H1783" s="711"/>
      <c r="I1783" s="683"/>
      <c r="J1783" s="683"/>
      <c r="K1783" s="683"/>
      <c r="L1783" s="683"/>
      <c r="M1783" s="683"/>
      <c r="N1783" s="685"/>
      <c r="O1783" s="683"/>
      <c r="P1783" s="683"/>
      <c r="Q1783" s="683"/>
      <c r="R1783" s="683"/>
      <c r="S1783" s="683"/>
      <c r="T1783" s="683"/>
      <c r="U1783" s="683"/>
      <c r="V1783" s="683"/>
      <c r="W1783" s="683"/>
      <c r="X1783" s="683"/>
      <c r="Y1783" s="683"/>
      <c r="Z1783" s="683"/>
    </row>
    <row r="1784" spans="1:26" ht="15.75" customHeight="1" x14ac:dyDescent="0.25">
      <c r="A1784" s="683"/>
      <c r="B1784" s="683"/>
      <c r="C1784" s="683"/>
      <c r="D1784" s="683"/>
      <c r="E1784" s="683"/>
      <c r="F1784" s="683"/>
      <c r="G1784" s="683"/>
      <c r="H1784" s="711"/>
      <c r="I1784" s="683"/>
      <c r="J1784" s="683"/>
      <c r="K1784" s="683"/>
      <c r="L1784" s="683"/>
      <c r="M1784" s="683"/>
      <c r="N1784" s="685"/>
      <c r="O1784" s="683"/>
      <c r="P1784" s="683"/>
      <c r="Q1784" s="683"/>
      <c r="R1784" s="683"/>
      <c r="S1784" s="683"/>
      <c r="T1784" s="683"/>
      <c r="U1784" s="683"/>
      <c r="V1784" s="683"/>
      <c r="W1784" s="683"/>
      <c r="X1784" s="683"/>
      <c r="Y1784" s="683"/>
      <c r="Z1784" s="683"/>
    </row>
    <row r="1785" spans="1:26" ht="15.75" customHeight="1" x14ac:dyDescent="0.25">
      <c r="A1785" s="683"/>
      <c r="B1785" s="683"/>
      <c r="C1785" s="683"/>
      <c r="D1785" s="683"/>
      <c r="E1785" s="683"/>
      <c r="F1785" s="683"/>
      <c r="G1785" s="683"/>
      <c r="H1785" s="711"/>
      <c r="I1785" s="683"/>
      <c r="J1785" s="683"/>
      <c r="K1785" s="683"/>
      <c r="L1785" s="683"/>
      <c r="M1785" s="683"/>
      <c r="N1785" s="685"/>
      <c r="O1785" s="683"/>
      <c r="P1785" s="683"/>
      <c r="Q1785" s="683"/>
      <c r="R1785" s="683"/>
      <c r="S1785" s="683"/>
      <c r="T1785" s="683"/>
      <c r="U1785" s="683"/>
      <c r="V1785" s="683"/>
      <c r="W1785" s="683"/>
      <c r="X1785" s="683"/>
      <c r="Y1785" s="683"/>
      <c r="Z1785" s="683"/>
    </row>
    <row r="1786" spans="1:26" ht="15.75" customHeight="1" x14ac:dyDescent="0.25">
      <c r="A1786" s="683"/>
      <c r="B1786" s="683"/>
      <c r="C1786" s="683"/>
      <c r="D1786" s="683"/>
      <c r="E1786" s="683"/>
      <c r="F1786" s="683"/>
      <c r="G1786" s="683"/>
      <c r="H1786" s="711"/>
      <c r="I1786" s="683"/>
      <c r="J1786" s="683"/>
      <c r="K1786" s="683"/>
      <c r="L1786" s="683"/>
      <c r="M1786" s="683"/>
      <c r="N1786" s="685"/>
      <c r="O1786" s="683"/>
      <c r="P1786" s="683"/>
      <c r="Q1786" s="683"/>
      <c r="R1786" s="683"/>
      <c r="S1786" s="683"/>
      <c r="T1786" s="683"/>
      <c r="U1786" s="683"/>
      <c r="V1786" s="683"/>
      <c r="W1786" s="683"/>
      <c r="X1786" s="683"/>
      <c r="Y1786" s="683"/>
      <c r="Z1786" s="683"/>
    </row>
    <row r="1787" spans="1:26" ht="15.75" customHeight="1" x14ac:dyDescent="0.25">
      <c r="A1787" s="683"/>
      <c r="B1787" s="683"/>
      <c r="C1787" s="683"/>
      <c r="D1787" s="683"/>
      <c r="E1787" s="683"/>
      <c r="F1787" s="683"/>
      <c r="G1787" s="683"/>
      <c r="H1787" s="711"/>
      <c r="I1787" s="683"/>
      <c r="J1787" s="683"/>
      <c r="K1787" s="683"/>
      <c r="L1787" s="683"/>
      <c r="M1787" s="683"/>
      <c r="N1787" s="685"/>
      <c r="O1787" s="683"/>
      <c r="P1787" s="683"/>
      <c r="Q1787" s="683"/>
      <c r="R1787" s="683"/>
      <c r="S1787" s="683"/>
      <c r="T1787" s="683"/>
      <c r="U1787" s="683"/>
      <c r="V1787" s="683"/>
      <c r="W1787" s="683"/>
      <c r="X1787" s="683"/>
      <c r="Y1787" s="683"/>
      <c r="Z1787" s="683"/>
    </row>
    <row r="1788" spans="1:26" ht="15.75" customHeight="1" x14ac:dyDescent="0.25">
      <c r="A1788" s="683"/>
      <c r="B1788" s="683"/>
      <c r="C1788" s="683"/>
      <c r="D1788" s="683"/>
      <c r="E1788" s="683"/>
      <c r="F1788" s="683"/>
      <c r="G1788" s="683"/>
      <c r="H1788" s="711"/>
      <c r="I1788" s="683"/>
      <c r="J1788" s="683"/>
      <c r="K1788" s="683"/>
      <c r="L1788" s="683"/>
      <c r="M1788" s="683"/>
      <c r="N1788" s="685"/>
      <c r="O1788" s="683"/>
      <c r="P1788" s="683"/>
      <c r="Q1788" s="683"/>
      <c r="R1788" s="683"/>
      <c r="S1788" s="683"/>
      <c r="T1788" s="683"/>
      <c r="U1788" s="683"/>
      <c r="V1788" s="683"/>
      <c r="W1788" s="683"/>
      <c r="X1788" s="683"/>
      <c r="Y1788" s="683"/>
      <c r="Z1788" s="683"/>
    </row>
    <row r="1789" spans="1:26" ht="15.75" customHeight="1" x14ac:dyDescent="0.25">
      <c r="A1789" s="683"/>
      <c r="B1789" s="683"/>
      <c r="C1789" s="683"/>
      <c r="D1789" s="683"/>
      <c r="E1789" s="683"/>
      <c r="F1789" s="683"/>
      <c r="G1789" s="683"/>
      <c r="H1789" s="711"/>
      <c r="I1789" s="683"/>
      <c r="J1789" s="683"/>
      <c r="K1789" s="683"/>
      <c r="L1789" s="683"/>
      <c r="M1789" s="683"/>
      <c r="N1789" s="685"/>
      <c r="O1789" s="683"/>
      <c r="P1789" s="683"/>
      <c r="Q1789" s="683"/>
      <c r="R1789" s="683"/>
      <c r="S1789" s="683"/>
      <c r="T1789" s="683"/>
      <c r="U1789" s="683"/>
      <c r="V1789" s="683"/>
      <c r="W1789" s="683"/>
      <c r="X1789" s="683"/>
      <c r="Y1789" s="683"/>
      <c r="Z1789" s="683"/>
    </row>
    <row r="1790" spans="1:26" ht="15.75" customHeight="1" x14ac:dyDescent="0.25">
      <c r="A1790" s="683"/>
      <c r="B1790" s="683"/>
      <c r="C1790" s="683"/>
      <c r="D1790" s="683"/>
      <c r="E1790" s="683"/>
      <c r="F1790" s="683"/>
      <c r="G1790" s="683"/>
      <c r="H1790" s="711"/>
      <c r="I1790" s="683"/>
      <c r="J1790" s="683"/>
      <c r="K1790" s="683"/>
      <c r="L1790" s="683"/>
      <c r="M1790" s="683"/>
      <c r="N1790" s="685"/>
      <c r="O1790" s="683"/>
      <c r="P1790" s="683"/>
      <c r="Q1790" s="683"/>
      <c r="R1790" s="683"/>
      <c r="S1790" s="683"/>
      <c r="T1790" s="683"/>
      <c r="U1790" s="683"/>
      <c r="V1790" s="683"/>
      <c r="W1790" s="683"/>
      <c r="X1790" s="683"/>
      <c r="Y1790" s="683"/>
      <c r="Z1790" s="683"/>
    </row>
    <row r="1791" spans="1:26" ht="15.75" customHeight="1" x14ac:dyDescent="0.25">
      <c r="A1791" s="683"/>
      <c r="B1791" s="683"/>
      <c r="C1791" s="683"/>
      <c r="D1791" s="683"/>
      <c r="E1791" s="683"/>
      <c r="F1791" s="683"/>
      <c r="G1791" s="683"/>
      <c r="H1791" s="711"/>
      <c r="I1791" s="683"/>
      <c r="J1791" s="683"/>
      <c r="K1791" s="683"/>
      <c r="L1791" s="683"/>
      <c r="M1791" s="683"/>
      <c r="N1791" s="685"/>
      <c r="O1791" s="683"/>
      <c r="P1791" s="683"/>
      <c r="Q1791" s="683"/>
      <c r="R1791" s="683"/>
      <c r="S1791" s="683"/>
      <c r="T1791" s="683"/>
      <c r="U1791" s="683"/>
      <c r="V1791" s="683"/>
      <c r="W1791" s="683"/>
      <c r="X1791" s="683"/>
      <c r="Y1791" s="683"/>
      <c r="Z1791" s="683"/>
    </row>
    <row r="1792" spans="1:26" ht="15.75" customHeight="1" x14ac:dyDescent="0.25">
      <c r="A1792" s="683"/>
      <c r="B1792" s="683"/>
      <c r="C1792" s="683"/>
      <c r="D1792" s="683"/>
      <c r="E1792" s="683"/>
      <c r="F1792" s="683"/>
      <c r="G1792" s="683"/>
      <c r="H1792" s="711"/>
      <c r="I1792" s="683"/>
      <c r="J1792" s="683"/>
      <c r="K1792" s="683"/>
      <c r="L1792" s="683"/>
      <c r="M1792" s="683"/>
      <c r="N1792" s="685"/>
      <c r="O1792" s="683"/>
      <c r="P1792" s="683"/>
      <c r="Q1792" s="683"/>
      <c r="R1792" s="683"/>
      <c r="S1792" s="683"/>
      <c r="T1792" s="683"/>
      <c r="U1792" s="683"/>
      <c r="V1792" s="683"/>
      <c r="W1792" s="683"/>
      <c r="X1792" s="683"/>
      <c r="Y1792" s="683"/>
      <c r="Z1792" s="683"/>
    </row>
    <row r="1793" spans="1:26" ht="15.75" customHeight="1" x14ac:dyDescent="0.25">
      <c r="A1793" s="683"/>
      <c r="B1793" s="683"/>
      <c r="C1793" s="683"/>
      <c r="D1793" s="683"/>
      <c r="E1793" s="683"/>
      <c r="F1793" s="683"/>
      <c r="G1793" s="683"/>
      <c r="H1793" s="711"/>
      <c r="I1793" s="683"/>
      <c r="J1793" s="683"/>
      <c r="K1793" s="683"/>
      <c r="L1793" s="683"/>
      <c r="M1793" s="683"/>
      <c r="N1793" s="685"/>
      <c r="O1793" s="683"/>
      <c r="P1793" s="683"/>
      <c r="Q1793" s="683"/>
      <c r="R1793" s="683"/>
      <c r="S1793" s="683"/>
      <c r="T1793" s="683"/>
      <c r="U1793" s="683"/>
      <c r="V1793" s="683"/>
      <c r="W1793" s="683"/>
      <c r="X1793" s="683"/>
      <c r="Y1793" s="683"/>
      <c r="Z1793" s="683"/>
    </row>
    <row r="1794" spans="1:26" ht="15.75" customHeight="1" x14ac:dyDescent="0.25">
      <c r="A1794" s="683"/>
      <c r="B1794" s="683"/>
      <c r="C1794" s="683"/>
      <c r="D1794" s="683"/>
      <c r="E1794" s="683"/>
      <c r="F1794" s="683"/>
      <c r="G1794" s="683"/>
      <c r="H1794" s="711"/>
      <c r="I1794" s="683"/>
      <c r="J1794" s="683"/>
      <c r="K1794" s="683"/>
      <c r="L1794" s="683"/>
      <c r="M1794" s="683"/>
      <c r="N1794" s="685"/>
      <c r="O1794" s="683"/>
      <c r="P1794" s="683"/>
      <c r="Q1794" s="683"/>
      <c r="R1794" s="683"/>
      <c r="S1794" s="683"/>
      <c r="T1794" s="683"/>
      <c r="U1794" s="683"/>
      <c r="V1794" s="683"/>
      <c r="W1794" s="683"/>
      <c r="X1794" s="683"/>
      <c r="Y1794" s="683"/>
      <c r="Z1794" s="683"/>
    </row>
    <row r="1795" spans="1:26" ht="15.75" customHeight="1" x14ac:dyDescent="0.25">
      <c r="A1795" s="683"/>
      <c r="B1795" s="683"/>
      <c r="C1795" s="683"/>
      <c r="D1795" s="683"/>
      <c r="E1795" s="683"/>
      <c r="F1795" s="683"/>
      <c r="G1795" s="683"/>
      <c r="H1795" s="711"/>
      <c r="I1795" s="683"/>
      <c r="J1795" s="683"/>
      <c r="K1795" s="683"/>
      <c r="L1795" s="683"/>
      <c r="M1795" s="683"/>
      <c r="N1795" s="685"/>
      <c r="O1795" s="683"/>
      <c r="P1795" s="683"/>
      <c r="Q1795" s="683"/>
      <c r="R1795" s="683"/>
      <c r="S1795" s="683"/>
      <c r="T1795" s="683"/>
      <c r="U1795" s="683"/>
      <c r="V1795" s="683"/>
      <c r="W1795" s="683"/>
      <c r="X1795" s="683"/>
      <c r="Y1795" s="683"/>
      <c r="Z1795" s="683"/>
    </row>
    <row r="1796" spans="1:26" ht="15.75" customHeight="1" x14ac:dyDescent="0.25">
      <c r="A1796" s="683"/>
      <c r="B1796" s="683"/>
      <c r="C1796" s="683"/>
      <c r="D1796" s="683"/>
      <c r="E1796" s="683"/>
      <c r="F1796" s="683"/>
      <c r="G1796" s="683"/>
      <c r="H1796" s="711"/>
      <c r="I1796" s="683"/>
      <c r="J1796" s="683"/>
      <c r="K1796" s="683"/>
      <c r="L1796" s="683"/>
      <c r="M1796" s="683"/>
      <c r="N1796" s="685"/>
      <c r="O1796" s="683"/>
      <c r="P1796" s="683"/>
      <c r="Q1796" s="683"/>
      <c r="R1796" s="683"/>
      <c r="S1796" s="683"/>
      <c r="T1796" s="683"/>
      <c r="U1796" s="683"/>
      <c r="V1796" s="683"/>
      <c r="W1796" s="683"/>
      <c r="X1796" s="683"/>
      <c r="Y1796" s="683"/>
      <c r="Z1796" s="683"/>
    </row>
    <row r="1797" spans="1:26" ht="15.75" customHeight="1" x14ac:dyDescent="0.25">
      <c r="A1797" s="683"/>
      <c r="B1797" s="683"/>
      <c r="C1797" s="683"/>
      <c r="D1797" s="683"/>
      <c r="E1797" s="683"/>
      <c r="F1797" s="683"/>
      <c r="G1797" s="683"/>
      <c r="H1797" s="711"/>
      <c r="I1797" s="683"/>
      <c r="J1797" s="683"/>
      <c r="K1797" s="683"/>
      <c r="L1797" s="683"/>
      <c r="M1797" s="683"/>
      <c r="N1797" s="685"/>
      <c r="O1797" s="683"/>
      <c r="P1797" s="683"/>
      <c r="Q1797" s="683"/>
      <c r="R1797" s="683"/>
      <c r="S1797" s="683"/>
      <c r="T1797" s="683"/>
      <c r="U1797" s="683"/>
      <c r="V1797" s="683"/>
      <c r="W1797" s="683"/>
      <c r="X1797" s="683"/>
      <c r="Y1797" s="683"/>
      <c r="Z1797" s="683"/>
    </row>
    <row r="1798" spans="1:26" ht="15.75" customHeight="1" x14ac:dyDescent="0.25">
      <c r="A1798" s="683"/>
      <c r="B1798" s="683"/>
      <c r="C1798" s="683"/>
      <c r="D1798" s="683"/>
      <c r="E1798" s="683"/>
      <c r="F1798" s="683"/>
      <c r="G1798" s="683"/>
      <c r="H1798" s="711"/>
      <c r="I1798" s="683"/>
      <c r="J1798" s="683"/>
      <c r="K1798" s="683"/>
      <c r="L1798" s="683"/>
      <c r="M1798" s="683"/>
      <c r="N1798" s="685"/>
      <c r="O1798" s="683"/>
      <c r="P1798" s="683"/>
      <c r="Q1798" s="683"/>
      <c r="R1798" s="683"/>
      <c r="S1798" s="683"/>
      <c r="T1798" s="683"/>
      <c r="U1798" s="683"/>
      <c r="V1798" s="683"/>
      <c r="W1798" s="683"/>
      <c r="X1798" s="683"/>
      <c r="Y1798" s="683"/>
      <c r="Z1798" s="683"/>
    </row>
    <row r="1799" spans="1:26" ht="15.75" customHeight="1" x14ac:dyDescent="0.25">
      <c r="A1799" s="683"/>
      <c r="B1799" s="683"/>
      <c r="C1799" s="683"/>
      <c r="D1799" s="683"/>
      <c r="E1799" s="683"/>
      <c r="F1799" s="683"/>
      <c r="G1799" s="683"/>
      <c r="H1799" s="711"/>
      <c r="I1799" s="683"/>
      <c r="J1799" s="683"/>
      <c r="K1799" s="683"/>
      <c r="L1799" s="683"/>
      <c r="M1799" s="683"/>
      <c r="N1799" s="685"/>
      <c r="O1799" s="683"/>
      <c r="P1799" s="683"/>
      <c r="Q1799" s="683"/>
      <c r="R1799" s="683"/>
      <c r="S1799" s="683"/>
      <c r="T1799" s="683"/>
      <c r="U1799" s="683"/>
      <c r="V1799" s="683"/>
      <c r="W1799" s="683"/>
      <c r="X1799" s="683"/>
      <c r="Y1799" s="683"/>
      <c r="Z1799" s="683"/>
    </row>
    <row r="1800" spans="1:26" ht="15.75" customHeight="1" x14ac:dyDescent="0.25">
      <c r="A1800" s="683"/>
      <c r="B1800" s="683"/>
      <c r="C1800" s="683"/>
      <c r="D1800" s="683"/>
      <c r="E1800" s="683"/>
      <c r="F1800" s="683"/>
      <c r="G1800" s="683"/>
      <c r="H1800" s="711"/>
      <c r="I1800" s="683"/>
      <c r="J1800" s="683"/>
      <c r="K1800" s="683"/>
      <c r="L1800" s="683"/>
      <c r="M1800" s="683"/>
      <c r="N1800" s="685"/>
      <c r="O1800" s="683"/>
      <c r="P1800" s="683"/>
      <c r="Q1800" s="683"/>
      <c r="R1800" s="683"/>
      <c r="S1800" s="683"/>
      <c r="T1800" s="683"/>
      <c r="U1800" s="683"/>
      <c r="V1800" s="683"/>
      <c r="W1800" s="683"/>
      <c r="X1800" s="683"/>
      <c r="Y1800" s="683"/>
      <c r="Z1800" s="683"/>
    </row>
    <row r="1801" spans="1:26" ht="15.75" customHeight="1" x14ac:dyDescent="0.25">
      <c r="A1801" s="683"/>
      <c r="B1801" s="683"/>
      <c r="C1801" s="683"/>
      <c r="D1801" s="683"/>
      <c r="E1801" s="683"/>
      <c r="F1801" s="683"/>
      <c r="G1801" s="683"/>
      <c r="H1801" s="711"/>
      <c r="I1801" s="683"/>
      <c r="J1801" s="683"/>
      <c r="K1801" s="683"/>
      <c r="L1801" s="683"/>
      <c r="M1801" s="683"/>
      <c r="N1801" s="685"/>
      <c r="O1801" s="683"/>
      <c r="P1801" s="683"/>
      <c r="Q1801" s="683"/>
      <c r="R1801" s="683"/>
      <c r="S1801" s="683"/>
      <c r="T1801" s="683"/>
      <c r="U1801" s="683"/>
      <c r="V1801" s="683"/>
      <c r="W1801" s="683"/>
      <c r="X1801" s="683"/>
      <c r="Y1801" s="683"/>
      <c r="Z1801" s="683"/>
    </row>
    <row r="1802" spans="1:26" ht="15.75" customHeight="1" x14ac:dyDescent="0.25">
      <c r="A1802" s="683"/>
      <c r="B1802" s="683"/>
      <c r="C1802" s="683"/>
      <c r="D1802" s="683"/>
      <c r="E1802" s="683"/>
      <c r="F1802" s="683"/>
      <c r="G1802" s="683"/>
      <c r="H1802" s="711"/>
      <c r="I1802" s="683"/>
      <c r="J1802" s="683"/>
      <c r="K1802" s="683"/>
      <c r="L1802" s="683"/>
      <c r="M1802" s="683"/>
      <c r="N1802" s="685"/>
      <c r="O1802" s="683"/>
      <c r="P1802" s="683"/>
      <c r="Q1802" s="683"/>
      <c r="R1802" s="683"/>
      <c r="S1802" s="683"/>
      <c r="T1802" s="683"/>
      <c r="U1802" s="683"/>
      <c r="V1802" s="683"/>
      <c r="W1802" s="683"/>
      <c r="X1802" s="683"/>
      <c r="Y1802" s="683"/>
      <c r="Z1802" s="683"/>
    </row>
    <row r="1803" spans="1:26" ht="15.75" customHeight="1" x14ac:dyDescent="0.25">
      <c r="A1803" s="683"/>
      <c r="B1803" s="683"/>
      <c r="C1803" s="683"/>
      <c r="D1803" s="683"/>
      <c r="E1803" s="683"/>
      <c r="F1803" s="683"/>
      <c r="G1803" s="683"/>
      <c r="H1803" s="711"/>
      <c r="I1803" s="683"/>
      <c r="J1803" s="683"/>
      <c r="K1803" s="683"/>
      <c r="L1803" s="683"/>
      <c r="M1803" s="683"/>
      <c r="N1803" s="685"/>
      <c r="O1803" s="683"/>
      <c r="P1803" s="683"/>
      <c r="Q1803" s="683"/>
      <c r="R1803" s="683"/>
      <c r="S1803" s="683"/>
      <c r="T1803" s="683"/>
      <c r="U1803" s="683"/>
      <c r="V1803" s="683"/>
      <c r="W1803" s="683"/>
      <c r="X1803" s="683"/>
      <c r="Y1803" s="683"/>
      <c r="Z1803" s="683"/>
    </row>
    <row r="1804" spans="1:26" ht="15.75" customHeight="1" x14ac:dyDescent="0.25">
      <c r="A1804" s="683"/>
      <c r="B1804" s="683"/>
      <c r="C1804" s="683"/>
      <c r="D1804" s="683"/>
      <c r="E1804" s="683"/>
      <c r="F1804" s="683"/>
      <c r="G1804" s="683"/>
      <c r="H1804" s="711"/>
      <c r="I1804" s="683"/>
      <c r="J1804" s="683"/>
      <c r="K1804" s="683"/>
      <c r="L1804" s="683"/>
      <c r="M1804" s="683"/>
      <c r="N1804" s="685"/>
      <c r="O1804" s="683"/>
      <c r="P1804" s="683"/>
      <c r="Q1804" s="683"/>
      <c r="R1804" s="683"/>
      <c r="S1804" s="683"/>
      <c r="T1804" s="683"/>
      <c r="U1804" s="683"/>
      <c r="V1804" s="683"/>
      <c r="W1804" s="683"/>
      <c r="X1804" s="683"/>
      <c r="Y1804" s="683"/>
      <c r="Z1804" s="683"/>
    </row>
    <row r="1805" spans="1:26" ht="15.75" customHeight="1" x14ac:dyDescent="0.25">
      <c r="A1805" s="683"/>
      <c r="B1805" s="683"/>
      <c r="C1805" s="683"/>
      <c r="D1805" s="683"/>
      <c r="E1805" s="683"/>
      <c r="F1805" s="683"/>
      <c r="G1805" s="683"/>
      <c r="H1805" s="711"/>
      <c r="I1805" s="683"/>
      <c r="J1805" s="683"/>
      <c r="K1805" s="683"/>
      <c r="L1805" s="683"/>
      <c r="M1805" s="683"/>
      <c r="N1805" s="685"/>
      <c r="O1805" s="683"/>
      <c r="P1805" s="683"/>
      <c r="Q1805" s="683"/>
      <c r="R1805" s="683"/>
      <c r="S1805" s="683"/>
      <c r="T1805" s="683"/>
      <c r="U1805" s="683"/>
      <c r="V1805" s="683"/>
      <c r="W1805" s="683"/>
      <c r="X1805" s="683"/>
      <c r="Y1805" s="683"/>
      <c r="Z1805" s="683"/>
    </row>
    <row r="1806" spans="1:26" ht="15.75" customHeight="1" x14ac:dyDescent="0.25">
      <c r="A1806" s="683"/>
      <c r="B1806" s="683"/>
      <c r="C1806" s="683"/>
      <c r="D1806" s="683"/>
      <c r="E1806" s="683"/>
      <c r="F1806" s="683"/>
      <c r="G1806" s="683"/>
      <c r="H1806" s="711"/>
      <c r="I1806" s="683"/>
      <c r="J1806" s="683"/>
      <c r="K1806" s="683"/>
      <c r="L1806" s="683"/>
      <c r="M1806" s="683"/>
      <c r="N1806" s="685"/>
      <c r="O1806" s="683"/>
      <c r="P1806" s="683"/>
      <c r="Q1806" s="683"/>
      <c r="R1806" s="683"/>
      <c r="S1806" s="683"/>
      <c r="T1806" s="683"/>
      <c r="U1806" s="683"/>
      <c r="V1806" s="683"/>
      <c r="W1806" s="683"/>
      <c r="X1806" s="683"/>
      <c r="Y1806" s="683"/>
      <c r="Z1806" s="683"/>
    </row>
    <row r="1807" spans="1:26" ht="15.75" customHeight="1" x14ac:dyDescent="0.25">
      <c r="A1807" s="683"/>
      <c r="B1807" s="683"/>
      <c r="C1807" s="683"/>
      <c r="D1807" s="683"/>
      <c r="E1807" s="683"/>
      <c r="F1807" s="683"/>
      <c r="G1807" s="683"/>
      <c r="H1807" s="711"/>
      <c r="I1807" s="683"/>
      <c r="J1807" s="683"/>
      <c r="K1807" s="683"/>
      <c r="L1807" s="683"/>
      <c r="M1807" s="683"/>
      <c r="N1807" s="685"/>
      <c r="O1807" s="683"/>
      <c r="P1807" s="683"/>
      <c r="Q1807" s="683"/>
      <c r="R1807" s="683"/>
      <c r="S1807" s="683"/>
      <c r="T1807" s="683"/>
      <c r="U1807" s="683"/>
      <c r="V1807" s="683"/>
      <c r="W1807" s="683"/>
      <c r="X1807" s="683"/>
      <c r="Y1807" s="683"/>
      <c r="Z1807" s="683"/>
    </row>
    <row r="1808" spans="1:26" ht="15.75" customHeight="1" x14ac:dyDescent="0.25">
      <c r="A1808" s="683"/>
      <c r="B1808" s="683"/>
      <c r="C1808" s="683"/>
      <c r="D1808" s="683"/>
      <c r="E1808" s="683"/>
      <c r="F1808" s="683"/>
      <c r="G1808" s="683"/>
      <c r="H1808" s="711"/>
      <c r="I1808" s="683"/>
      <c r="J1808" s="683"/>
      <c r="K1808" s="683"/>
      <c r="L1808" s="683"/>
      <c r="M1808" s="683"/>
      <c r="N1808" s="685"/>
      <c r="O1808" s="683"/>
      <c r="P1808" s="683"/>
      <c r="Q1808" s="683"/>
      <c r="R1808" s="683"/>
      <c r="S1808" s="683"/>
      <c r="T1808" s="683"/>
      <c r="U1808" s="683"/>
      <c r="V1808" s="683"/>
      <c r="W1808" s="683"/>
      <c r="X1808" s="683"/>
      <c r="Y1808" s="683"/>
      <c r="Z1808" s="683"/>
    </row>
    <row r="1809" spans="1:26" ht="15.75" customHeight="1" x14ac:dyDescent="0.25">
      <c r="A1809" s="683"/>
      <c r="B1809" s="683"/>
      <c r="C1809" s="683"/>
      <c r="D1809" s="683"/>
      <c r="E1809" s="683"/>
      <c r="F1809" s="683"/>
      <c r="G1809" s="683"/>
      <c r="H1809" s="711"/>
      <c r="I1809" s="683"/>
      <c r="J1809" s="683"/>
      <c r="K1809" s="683"/>
      <c r="L1809" s="683"/>
      <c r="M1809" s="683"/>
      <c r="N1809" s="685"/>
      <c r="O1809" s="683"/>
      <c r="P1809" s="683"/>
      <c r="Q1809" s="683"/>
      <c r="R1809" s="683"/>
      <c r="S1809" s="683"/>
      <c r="T1809" s="683"/>
      <c r="U1809" s="683"/>
      <c r="V1809" s="683"/>
      <c r="W1809" s="683"/>
      <c r="X1809" s="683"/>
      <c r="Y1809" s="683"/>
      <c r="Z1809" s="683"/>
    </row>
    <row r="1810" spans="1:26" ht="15.75" customHeight="1" x14ac:dyDescent="0.25">
      <c r="A1810" s="683"/>
      <c r="B1810" s="683"/>
      <c r="C1810" s="683"/>
      <c r="D1810" s="683"/>
      <c r="E1810" s="683"/>
      <c r="F1810" s="683"/>
      <c r="G1810" s="683"/>
      <c r="H1810" s="711"/>
      <c r="I1810" s="683"/>
      <c r="J1810" s="683"/>
      <c r="K1810" s="683"/>
      <c r="L1810" s="683"/>
      <c r="M1810" s="683"/>
      <c r="N1810" s="685"/>
      <c r="O1810" s="683"/>
      <c r="P1810" s="683"/>
      <c r="Q1810" s="683"/>
      <c r="R1810" s="683"/>
      <c r="S1810" s="683"/>
      <c r="T1810" s="683"/>
      <c r="U1810" s="683"/>
      <c r="V1810" s="683"/>
      <c r="W1810" s="683"/>
      <c r="X1810" s="683"/>
      <c r="Y1810" s="683"/>
      <c r="Z1810" s="683"/>
    </row>
    <row r="1811" spans="1:26" ht="15.75" customHeight="1" x14ac:dyDescent="0.25">
      <c r="A1811" s="683"/>
      <c r="B1811" s="683"/>
      <c r="C1811" s="683"/>
      <c r="D1811" s="683"/>
      <c r="E1811" s="683"/>
      <c r="F1811" s="683"/>
      <c r="G1811" s="683"/>
      <c r="H1811" s="711"/>
      <c r="I1811" s="683"/>
      <c r="J1811" s="683"/>
      <c r="K1811" s="683"/>
      <c r="L1811" s="683"/>
      <c r="M1811" s="683"/>
      <c r="N1811" s="685"/>
      <c r="O1811" s="683"/>
      <c r="P1811" s="683"/>
      <c r="Q1811" s="683"/>
      <c r="R1811" s="683"/>
      <c r="S1811" s="683"/>
      <c r="T1811" s="683"/>
      <c r="U1811" s="683"/>
      <c r="V1811" s="683"/>
      <c r="W1811" s="683"/>
      <c r="X1811" s="683"/>
      <c r="Y1811" s="683"/>
      <c r="Z1811" s="683"/>
    </row>
    <row r="1812" spans="1:26" ht="15.75" customHeight="1" x14ac:dyDescent="0.25">
      <c r="A1812" s="683"/>
      <c r="B1812" s="683"/>
      <c r="C1812" s="683"/>
      <c r="D1812" s="683"/>
      <c r="E1812" s="683"/>
      <c r="F1812" s="683"/>
      <c r="G1812" s="683"/>
      <c r="H1812" s="711"/>
      <c r="I1812" s="683"/>
      <c r="J1812" s="683"/>
      <c r="K1812" s="683"/>
      <c r="L1812" s="683"/>
      <c r="M1812" s="683"/>
      <c r="N1812" s="685"/>
      <c r="O1812" s="683"/>
      <c r="P1812" s="683"/>
      <c r="Q1812" s="683"/>
      <c r="R1812" s="683"/>
      <c r="S1812" s="683"/>
      <c r="T1812" s="683"/>
      <c r="U1812" s="683"/>
      <c r="V1812" s="683"/>
      <c r="W1812" s="683"/>
      <c r="X1812" s="683"/>
      <c r="Y1812" s="683"/>
      <c r="Z1812" s="683"/>
    </row>
    <row r="1813" spans="1:26" ht="15.75" customHeight="1" x14ac:dyDescent="0.25">
      <c r="A1813" s="683"/>
      <c r="B1813" s="683"/>
      <c r="C1813" s="683"/>
      <c r="D1813" s="683"/>
      <c r="E1813" s="683"/>
      <c r="F1813" s="683"/>
      <c r="G1813" s="683"/>
      <c r="H1813" s="711"/>
      <c r="I1813" s="683"/>
      <c r="J1813" s="683"/>
      <c r="K1813" s="683"/>
      <c r="L1813" s="683"/>
      <c r="M1813" s="683"/>
      <c r="N1813" s="685"/>
      <c r="O1813" s="683"/>
      <c r="P1813" s="683"/>
      <c r="Q1813" s="683"/>
      <c r="R1813" s="683"/>
      <c r="S1813" s="683"/>
      <c r="T1813" s="683"/>
      <c r="U1813" s="683"/>
      <c r="V1813" s="683"/>
      <c r="W1813" s="683"/>
      <c r="X1813" s="683"/>
      <c r="Y1813" s="683"/>
      <c r="Z1813" s="683"/>
    </row>
    <row r="1814" spans="1:26" ht="15.75" customHeight="1" x14ac:dyDescent="0.25">
      <c r="A1814" s="683"/>
      <c r="B1814" s="683"/>
      <c r="C1814" s="683"/>
      <c r="D1814" s="683"/>
      <c r="E1814" s="683"/>
      <c r="F1814" s="683"/>
      <c r="G1814" s="683"/>
      <c r="H1814" s="711"/>
      <c r="I1814" s="683"/>
      <c r="J1814" s="683"/>
      <c r="K1814" s="683"/>
      <c r="L1814" s="683"/>
      <c r="M1814" s="683"/>
      <c r="N1814" s="685"/>
      <c r="O1814" s="683"/>
      <c r="P1814" s="683"/>
      <c r="Q1814" s="683"/>
      <c r="R1814" s="683"/>
      <c r="S1814" s="683"/>
      <c r="T1814" s="683"/>
      <c r="U1814" s="683"/>
      <c r="V1814" s="683"/>
      <c r="W1814" s="683"/>
      <c r="X1814" s="683"/>
      <c r="Y1814" s="683"/>
      <c r="Z1814" s="683"/>
    </row>
    <row r="1815" spans="1:26" ht="15.75" customHeight="1" x14ac:dyDescent="0.25">
      <c r="A1815" s="683"/>
      <c r="B1815" s="683"/>
      <c r="C1815" s="683"/>
      <c r="D1815" s="683"/>
      <c r="E1815" s="683"/>
      <c r="F1815" s="683"/>
      <c r="G1815" s="683"/>
      <c r="H1815" s="711"/>
      <c r="I1815" s="683"/>
      <c r="J1815" s="683"/>
      <c r="K1815" s="683"/>
      <c r="L1815" s="683"/>
      <c r="M1815" s="683"/>
      <c r="N1815" s="685"/>
      <c r="O1815" s="683"/>
      <c r="P1815" s="683"/>
      <c r="Q1815" s="683"/>
      <c r="R1815" s="683"/>
      <c r="S1815" s="683"/>
      <c r="T1815" s="683"/>
      <c r="U1815" s="683"/>
      <c r="V1815" s="683"/>
      <c r="W1815" s="683"/>
      <c r="X1815" s="683"/>
      <c r="Y1815" s="683"/>
      <c r="Z1815" s="683"/>
    </row>
    <row r="1816" spans="1:26" ht="15.75" customHeight="1" x14ac:dyDescent="0.25">
      <c r="A1816" s="683"/>
      <c r="B1816" s="683"/>
      <c r="C1816" s="683"/>
      <c r="D1816" s="683"/>
      <c r="E1816" s="683"/>
      <c r="F1816" s="683"/>
      <c r="G1816" s="683"/>
      <c r="H1816" s="711"/>
      <c r="I1816" s="683"/>
      <c r="J1816" s="683"/>
      <c r="K1816" s="683"/>
      <c r="L1816" s="683"/>
      <c r="M1816" s="683"/>
      <c r="N1816" s="685"/>
      <c r="O1816" s="683"/>
      <c r="P1816" s="683"/>
      <c r="Q1816" s="683"/>
      <c r="R1816" s="683"/>
      <c r="S1816" s="683"/>
      <c r="T1816" s="683"/>
      <c r="U1816" s="683"/>
      <c r="V1816" s="683"/>
      <c r="W1816" s="683"/>
      <c r="X1816" s="683"/>
      <c r="Y1816" s="683"/>
      <c r="Z1816" s="683"/>
    </row>
    <row r="1817" spans="1:26" ht="15.75" customHeight="1" x14ac:dyDescent="0.25">
      <c r="A1817" s="683"/>
      <c r="B1817" s="683"/>
      <c r="C1817" s="683"/>
      <c r="D1817" s="683"/>
      <c r="E1817" s="683"/>
      <c r="F1817" s="683"/>
      <c r="G1817" s="683"/>
      <c r="H1817" s="711"/>
      <c r="I1817" s="683"/>
      <c r="J1817" s="683"/>
      <c r="K1817" s="683"/>
      <c r="L1817" s="683"/>
      <c r="M1817" s="683"/>
      <c r="N1817" s="685"/>
      <c r="O1817" s="683"/>
      <c r="P1817" s="683"/>
      <c r="Q1817" s="683"/>
      <c r="R1817" s="683"/>
      <c r="S1817" s="683"/>
      <c r="T1817" s="683"/>
      <c r="U1817" s="683"/>
      <c r="V1817" s="683"/>
      <c r="W1817" s="683"/>
      <c r="X1817" s="683"/>
      <c r="Y1817" s="683"/>
      <c r="Z1817" s="683"/>
    </row>
    <row r="1818" spans="1:26" ht="15.75" customHeight="1" x14ac:dyDescent="0.25">
      <c r="A1818" s="683"/>
      <c r="B1818" s="683"/>
      <c r="C1818" s="683"/>
      <c r="D1818" s="683"/>
      <c r="E1818" s="683"/>
      <c r="F1818" s="683"/>
      <c r="G1818" s="683"/>
      <c r="H1818" s="711"/>
      <c r="I1818" s="683"/>
      <c r="J1818" s="683"/>
      <c r="K1818" s="683"/>
      <c r="L1818" s="683"/>
      <c r="M1818" s="683"/>
      <c r="N1818" s="685"/>
      <c r="O1818" s="683"/>
      <c r="P1818" s="683"/>
      <c r="Q1818" s="683"/>
      <c r="R1818" s="683"/>
      <c r="S1818" s="683"/>
      <c r="T1818" s="683"/>
      <c r="U1818" s="683"/>
      <c r="V1818" s="683"/>
      <c r="W1818" s="683"/>
      <c r="X1818" s="683"/>
      <c r="Y1818" s="683"/>
      <c r="Z1818" s="683"/>
    </row>
    <row r="1819" spans="1:26" ht="15.75" customHeight="1" x14ac:dyDescent="0.25">
      <c r="A1819" s="683"/>
      <c r="B1819" s="683"/>
      <c r="C1819" s="683"/>
      <c r="D1819" s="683"/>
      <c r="E1819" s="683"/>
      <c r="F1819" s="683"/>
      <c r="G1819" s="683"/>
      <c r="H1819" s="711"/>
      <c r="I1819" s="683"/>
      <c r="J1819" s="683"/>
      <c r="K1819" s="683"/>
      <c r="L1819" s="683"/>
      <c r="M1819" s="683"/>
      <c r="N1819" s="685"/>
      <c r="O1819" s="683"/>
      <c r="P1819" s="683"/>
      <c r="Q1819" s="683"/>
      <c r="R1819" s="683"/>
      <c r="S1819" s="683"/>
      <c r="T1819" s="683"/>
      <c r="U1819" s="683"/>
      <c r="V1819" s="683"/>
      <c r="W1819" s="683"/>
      <c r="X1819" s="683"/>
      <c r="Y1819" s="683"/>
      <c r="Z1819" s="683"/>
    </row>
    <row r="1820" spans="1:26" ht="15.75" customHeight="1" x14ac:dyDescent="0.25">
      <c r="A1820" s="683"/>
      <c r="B1820" s="683"/>
      <c r="C1820" s="683"/>
      <c r="D1820" s="683"/>
      <c r="E1820" s="683"/>
      <c r="F1820" s="683"/>
      <c r="G1820" s="683"/>
      <c r="H1820" s="711"/>
      <c r="I1820" s="683"/>
      <c r="J1820" s="683"/>
      <c r="K1820" s="683"/>
      <c r="L1820" s="683"/>
      <c r="M1820" s="683"/>
      <c r="N1820" s="685"/>
      <c r="O1820" s="683"/>
      <c r="P1820" s="683"/>
      <c r="Q1820" s="683"/>
      <c r="R1820" s="683"/>
      <c r="S1820" s="683"/>
      <c r="T1820" s="683"/>
      <c r="U1820" s="683"/>
      <c r="V1820" s="683"/>
      <c r="W1820" s="683"/>
      <c r="X1820" s="683"/>
      <c r="Y1820" s="683"/>
      <c r="Z1820" s="683"/>
    </row>
    <row r="1821" spans="1:26" ht="15.75" customHeight="1" x14ac:dyDescent="0.25">
      <c r="A1821" s="683"/>
      <c r="B1821" s="683"/>
      <c r="C1821" s="683"/>
      <c r="D1821" s="683"/>
      <c r="E1821" s="683"/>
      <c r="F1821" s="683"/>
      <c r="G1821" s="683"/>
      <c r="H1821" s="711"/>
      <c r="I1821" s="683"/>
      <c r="J1821" s="683"/>
      <c r="K1821" s="683"/>
      <c r="L1821" s="683"/>
      <c r="M1821" s="683"/>
      <c r="N1821" s="685"/>
      <c r="O1821" s="683"/>
      <c r="P1821" s="683"/>
      <c r="Q1821" s="683"/>
      <c r="R1821" s="683"/>
      <c r="S1821" s="683"/>
      <c r="T1821" s="683"/>
      <c r="U1821" s="683"/>
      <c r="V1821" s="683"/>
      <c r="W1821" s="683"/>
      <c r="X1821" s="683"/>
      <c r="Y1821" s="683"/>
      <c r="Z1821" s="683"/>
    </row>
    <row r="1822" spans="1:26" ht="15.75" customHeight="1" x14ac:dyDescent="0.25">
      <c r="A1822" s="683"/>
      <c r="B1822" s="683"/>
      <c r="C1822" s="683"/>
      <c r="D1822" s="683"/>
      <c r="E1822" s="683"/>
      <c r="F1822" s="683"/>
      <c r="G1822" s="683"/>
      <c r="H1822" s="711"/>
      <c r="I1822" s="683"/>
      <c r="J1822" s="683"/>
      <c r="K1822" s="683"/>
      <c r="L1822" s="683"/>
      <c r="M1822" s="683"/>
      <c r="N1822" s="685"/>
      <c r="O1822" s="683"/>
      <c r="P1822" s="683"/>
      <c r="Q1822" s="683"/>
      <c r="R1822" s="683"/>
      <c r="S1822" s="683"/>
      <c r="T1822" s="683"/>
      <c r="U1822" s="683"/>
      <c r="V1822" s="683"/>
      <c r="W1822" s="683"/>
      <c r="X1822" s="683"/>
      <c r="Y1822" s="683"/>
      <c r="Z1822" s="683"/>
    </row>
    <row r="1823" spans="1:26" ht="15.75" customHeight="1" x14ac:dyDescent="0.25">
      <c r="A1823" s="683"/>
      <c r="B1823" s="683"/>
      <c r="C1823" s="683"/>
      <c r="D1823" s="683"/>
      <c r="E1823" s="683"/>
      <c r="F1823" s="683"/>
      <c r="G1823" s="683"/>
      <c r="H1823" s="711"/>
      <c r="I1823" s="683"/>
      <c r="J1823" s="683"/>
      <c r="K1823" s="683"/>
      <c r="L1823" s="683"/>
      <c r="M1823" s="683"/>
      <c r="N1823" s="685"/>
      <c r="O1823" s="683"/>
      <c r="P1823" s="683"/>
      <c r="Q1823" s="683"/>
      <c r="R1823" s="683"/>
      <c r="S1823" s="683"/>
      <c r="T1823" s="683"/>
      <c r="U1823" s="683"/>
      <c r="V1823" s="683"/>
      <c r="W1823" s="683"/>
      <c r="X1823" s="683"/>
      <c r="Y1823" s="683"/>
      <c r="Z1823" s="683"/>
    </row>
    <row r="1824" spans="1:26" ht="15.75" customHeight="1" x14ac:dyDescent="0.25">
      <c r="A1824" s="683"/>
      <c r="B1824" s="683"/>
      <c r="C1824" s="683"/>
      <c r="D1824" s="683"/>
      <c r="E1824" s="683"/>
      <c r="F1824" s="683"/>
      <c r="G1824" s="683"/>
      <c r="H1824" s="711"/>
      <c r="I1824" s="683"/>
      <c r="J1824" s="683"/>
      <c r="K1824" s="683"/>
      <c r="L1824" s="683"/>
      <c r="M1824" s="683"/>
      <c r="N1824" s="685"/>
      <c r="O1824" s="683"/>
      <c r="P1824" s="683"/>
      <c r="Q1824" s="683"/>
      <c r="R1824" s="683"/>
      <c r="S1824" s="683"/>
      <c r="T1824" s="683"/>
      <c r="U1824" s="683"/>
      <c r="V1824" s="683"/>
      <c r="W1824" s="683"/>
      <c r="X1824" s="683"/>
      <c r="Y1824" s="683"/>
      <c r="Z1824" s="683"/>
    </row>
    <row r="1825" spans="1:26" ht="15.75" customHeight="1" x14ac:dyDescent="0.25">
      <c r="A1825" s="683"/>
      <c r="B1825" s="683"/>
      <c r="C1825" s="683"/>
      <c r="D1825" s="683"/>
      <c r="E1825" s="683"/>
      <c r="F1825" s="683"/>
      <c r="G1825" s="683"/>
      <c r="H1825" s="711"/>
      <c r="I1825" s="683"/>
      <c r="J1825" s="683"/>
      <c r="K1825" s="683"/>
      <c r="L1825" s="683"/>
      <c r="M1825" s="683"/>
      <c r="N1825" s="685"/>
      <c r="O1825" s="683"/>
      <c r="P1825" s="683"/>
      <c r="Q1825" s="683"/>
      <c r="R1825" s="683"/>
      <c r="S1825" s="683"/>
      <c r="T1825" s="683"/>
      <c r="U1825" s="683"/>
      <c r="V1825" s="683"/>
      <c r="W1825" s="683"/>
      <c r="X1825" s="683"/>
      <c r="Y1825" s="683"/>
      <c r="Z1825" s="683"/>
    </row>
    <row r="1826" spans="1:26" ht="15.75" customHeight="1" x14ac:dyDescent="0.25">
      <c r="A1826" s="683"/>
      <c r="B1826" s="683"/>
      <c r="C1826" s="683"/>
      <c r="D1826" s="683"/>
      <c r="E1826" s="683"/>
      <c r="F1826" s="683"/>
      <c r="G1826" s="683"/>
      <c r="H1826" s="711"/>
      <c r="I1826" s="683"/>
      <c r="J1826" s="683"/>
      <c r="K1826" s="683"/>
      <c r="L1826" s="683"/>
      <c r="M1826" s="683"/>
      <c r="N1826" s="685"/>
      <c r="O1826" s="683"/>
      <c r="P1826" s="683"/>
      <c r="Q1826" s="683"/>
      <c r="R1826" s="683"/>
      <c r="S1826" s="683"/>
      <c r="T1826" s="683"/>
      <c r="U1826" s="683"/>
      <c r="V1826" s="683"/>
      <c r="W1826" s="683"/>
      <c r="X1826" s="683"/>
      <c r="Y1826" s="683"/>
      <c r="Z1826" s="683"/>
    </row>
    <row r="1827" spans="1:26" ht="15.75" customHeight="1" x14ac:dyDescent="0.25">
      <c r="A1827" s="683"/>
      <c r="B1827" s="683"/>
      <c r="C1827" s="683"/>
      <c r="D1827" s="683"/>
      <c r="E1827" s="683"/>
      <c r="F1827" s="683"/>
      <c r="G1827" s="683"/>
      <c r="H1827" s="711"/>
      <c r="I1827" s="683"/>
      <c r="J1827" s="683"/>
      <c r="K1827" s="683"/>
      <c r="L1827" s="683"/>
      <c r="M1827" s="683"/>
      <c r="N1827" s="685"/>
      <c r="O1827" s="683"/>
      <c r="P1827" s="683"/>
      <c r="Q1827" s="683"/>
      <c r="R1827" s="683"/>
      <c r="S1827" s="683"/>
      <c r="T1827" s="683"/>
      <c r="U1827" s="683"/>
      <c r="V1827" s="683"/>
      <c r="W1827" s="683"/>
      <c r="X1827" s="683"/>
      <c r="Y1827" s="683"/>
      <c r="Z1827" s="683"/>
    </row>
    <row r="1828" spans="1:26" ht="15.75" customHeight="1" x14ac:dyDescent="0.25">
      <c r="A1828" s="683"/>
      <c r="B1828" s="683"/>
      <c r="C1828" s="683"/>
      <c r="D1828" s="683"/>
      <c r="E1828" s="683"/>
      <c r="F1828" s="683"/>
      <c r="G1828" s="683"/>
      <c r="H1828" s="711"/>
      <c r="I1828" s="683"/>
      <c r="J1828" s="683"/>
      <c r="K1828" s="683"/>
      <c r="L1828" s="683"/>
      <c r="M1828" s="683"/>
      <c r="N1828" s="685"/>
      <c r="O1828" s="683"/>
      <c r="P1828" s="683"/>
      <c r="Q1828" s="683"/>
      <c r="R1828" s="683"/>
      <c r="S1828" s="683"/>
      <c r="T1828" s="683"/>
      <c r="U1828" s="683"/>
      <c r="V1828" s="683"/>
      <c r="W1828" s="683"/>
      <c r="X1828" s="683"/>
      <c r="Y1828" s="683"/>
      <c r="Z1828" s="683"/>
    </row>
    <row r="1829" spans="1:26" ht="15.75" customHeight="1" x14ac:dyDescent="0.25">
      <c r="A1829" s="683"/>
      <c r="B1829" s="683"/>
      <c r="C1829" s="683"/>
      <c r="D1829" s="683"/>
      <c r="E1829" s="683"/>
      <c r="F1829" s="683"/>
      <c r="G1829" s="683"/>
      <c r="H1829" s="711"/>
      <c r="I1829" s="683"/>
      <c r="J1829" s="683"/>
      <c r="K1829" s="683"/>
      <c r="L1829" s="683"/>
      <c r="M1829" s="683"/>
      <c r="N1829" s="685"/>
      <c r="O1829" s="683"/>
      <c r="P1829" s="683"/>
      <c r="Q1829" s="683"/>
      <c r="R1829" s="683"/>
      <c r="S1829" s="683"/>
      <c r="T1829" s="683"/>
      <c r="U1829" s="683"/>
      <c r="V1829" s="683"/>
      <c r="W1829" s="683"/>
      <c r="X1829" s="683"/>
      <c r="Y1829" s="683"/>
      <c r="Z1829" s="683"/>
    </row>
    <row r="1830" spans="1:26" ht="15.75" customHeight="1" x14ac:dyDescent="0.25">
      <c r="A1830" s="683"/>
      <c r="B1830" s="683"/>
      <c r="C1830" s="683"/>
      <c r="D1830" s="683"/>
      <c r="E1830" s="683"/>
      <c r="F1830" s="683"/>
      <c r="G1830" s="683"/>
      <c r="H1830" s="711"/>
      <c r="I1830" s="683"/>
      <c r="J1830" s="683"/>
      <c r="K1830" s="683"/>
      <c r="L1830" s="683"/>
      <c r="M1830" s="683"/>
      <c r="N1830" s="685"/>
      <c r="O1830" s="683"/>
      <c r="P1830" s="683"/>
      <c r="Q1830" s="683"/>
      <c r="R1830" s="683"/>
      <c r="S1830" s="683"/>
      <c r="T1830" s="683"/>
      <c r="U1830" s="683"/>
      <c r="V1830" s="683"/>
      <c r="W1830" s="683"/>
      <c r="X1830" s="683"/>
      <c r="Y1830" s="683"/>
      <c r="Z1830" s="683"/>
    </row>
    <row r="1831" spans="1:26" ht="15.75" customHeight="1" x14ac:dyDescent="0.25">
      <c r="A1831" s="683"/>
      <c r="B1831" s="683"/>
      <c r="C1831" s="683"/>
      <c r="D1831" s="683"/>
      <c r="E1831" s="683"/>
      <c r="F1831" s="683"/>
      <c r="G1831" s="683"/>
      <c r="H1831" s="711"/>
      <c r="I1831" s="683"/>
      <c r="J1831" s="683"/>
      <c r="K1831" s="683"/>
      <c r="L1831" s="683"/>
      <c r="M1831" s="683"/>
      <c r="N1831" s="685"/>
      <c r="O1831" s="683"/>
      <c r="P1831" s="683"/>
      <c r="Q1831" s="683"/>
      <c r="R1831" s="683"/>
      <c r="S1831" s="683"/>
      <c r="T1831" s="683"/>
      <c r="U1831" s="683"/>
      <c r="V1831" s="683"/>
      <c r="W1831" s="683"/>
      <c r="X1831" s="683"/>
      <c r="Y1831" s="683"/>
      <c r="Z1831" s="683"/>
    </row>
    <row r="1832" spans="1:26" ht="15.75" customHeight="1" x14ac:dyDescent="0.25">
      <c r="A1832" s="683"/>
      <c r="B1832" s="683"/>
      <c r="C1832" s="683"/>
      <c r="D1832" s="683"/>
      <c r="E1832" s="683"/>
      <c r="F1832" s="683"/>
      <c r="G1832" s="683"/>
      <c r="H1832" s="711"/>
      <c r="I1832" s="683"/>
      <c r="J1832" s="683"/>
      <c r="K1832" s="683"/>
      <c r="L1832" s="683"/>
      <c r="M1832" s="683"/>
      <c r="N1832" s="685"/>
      <c r="O1832" s="683"/>
      <c r="P1832" s="683"/>
      <c r="Q1832" s="683"/>
      <c r="R1832" s="683"/>
      <c r="S1832" s="683"/>
      <c r="T1832" s="683"/>
      <c r="U1832" s="683"/>
      <c r="V1832" s="683"/>
      <c r="W1832" s="683"/>
      <c r="X1832" s="683"/>
      <c r="Y1832" s="683"/>
      <c r="Z1832" s="683"/>
    </row>
    <row r="1833" spans="1:26" ht="15.75" customHeight="1" x14ac:dyDescent="0.25">
      <c r="A1833" s="683"/>
      <c r="B1833" s="683"/>
      <c r="C1833" s="683"/>
      <c r="D1833" s="683"/>
      <c r="E1833" s="683"/>
      <c r="F1833" s="683"/>
      <c r="G1833" s="683"/>
      <c r="H1833" s="711"/>
      <c r="I1833" s="683"/>
      <c r="J1833" s="683"/>
      <c r="K1833" s="683"/>
      <c r="L1833" s="683"/>
      <c r="M1833" s="683"/>
      <c r="N1833" s="685"/>
      <c r="O1833" s="683"/>
      <c r="P1833" s="683"/>
      <c r="Q1833" s="683"/>
      <c r="R1833" s="683"/>
      <c r="S1833" s="683"/>
      <c r="T1833" s="683"/>
      <c r="U1833" s="683"/>
      <c r="V1833" s="683"/>
      <c r="W1833" s="683"/>
      <c r="X1833" s="683"/>
      <c r="Y1833" s="683"/>
      <c r="Z1833" s="683"/>
    </row>
    <row r="1834" spans="1:26" ht="15.75" customHeight="1" x14ac:dyDescent="0.25">
      <c r="A1834" s="683"/>
      <c r="B1834" s="683"/>
      <c r="C1834" s="683"/>
      <c r="D1834" s="683"/>
      <c r="E1834" s="683"/>
      <c r="F1834" s="683"/>
      <c r="G1834" s="683"/>
      <c r="H1834" s="711"/>
      <c r="I1834" s="683"/>
      <c r="J1834" s="683"/>
      <c r="K1834" s="683"/>
      <c r="L1834" s="683"/>
      <c r="M1834" s="683"/>
      <c r="N1834" s="685"/>
      <c r="O1834" s="683"/>
      <c r="P1834" s="683"/>
      <c r="Q1834" s="683"/>
      <c r="R1834" s="683"/>
      <c r="S1834" s="683"/>
      <c r="T1834" s="683"/>
      <c r="U1834" s="683"/>
      <c r="V1834" s="683"/>
      <c r="W1834" s="683"/>
      <c r="X1834" s="683"/>
      <c r="Y1834" s="683"/>
      <c r="Z1834" s="683"/>
    </row>
    <row r="1835" spans="1:26" ht="15.75" customHeight="1" x14ac:dyDescent="0.25">
      <c r="A1835" s="683"/>
      <c r="B1835" s="683"/>
      <c r="C1835" s="683"/>
      <c r="D1835" s="683"/>
      <c r="E1835" s="683"/>
      <c r="F1835" s="683"/>
      <c r="G1835" s="683"/>
      <c r="H1835" s="711"/>
      <c r="I1835" s="683"/>
      <c r="J1835" s="683"/>
      <c r="K1835" s="683"/>
      <c r="L1835" s="683"/>
      <c r="M1835" s="683"/>
      <c r="N1835" s="685"/>
      <c r="O1835" s="683"/>
      <c r="P1835" s="683"/>
      <c r="Q1835" s="683"/>
      <c r="R1835" s="683"/>
      <c r="S1835" s="683"/>
      <c r="T1835" s="683"/>
      <c r="U1835" s="683"/>
      <c r="V1835" s="683"/>
      <c r="W1835" s="683"/>
      <c r="X1835" s="683"/>
      <c r="Y1835" s="683"/>
      <c r="Z1835" s="683"/>
    </row>
    <row r="1836" spans="1:26" ht="15.75" customHeight="1" x14ac:dyDescent="0.25">
      <c r="A1836" s="683"/>
      <c r="B1836" s="683"/>
      <c r="C1836" s="683"/>
      <c r="D1836" s="683"/>
      <c r="E1836" s="683"/>
      <c r="F1836" s="683"/>
      <c r="G1836" s="683"/>
      <c r="H1836" s="711"/>
      <c r="I1836" s="683"/>
      <c r="J1836" s="683"/>
      <c r="K1836" s="683"/>
      <c r="L1836" s="683"/>
      <c r="M1836" s="683"/>
      <c r="N1836" s="685"/>
      <c r="O1836" s="683"/>
      <c r="P1836" s="683"/>
      <c r="Q1836" s="683"/>
      <c r="R1836" s="683"/>
      <c r="S1836" s="683"/>
      <c r="T1836" s="683"/>
      <c r="U1836" s="683"/>
      <c r="V1836" s="683"/>
      <c r="W1836" s="683"/>
      <c r="X1836" s="683"/>
      <c r="Y1836" s="683"/>
      <c r="Z1836" s="683"/>
    </row>
    <row r="1837" spans="1:26" ht="15.75" customHeight="1" x14ac:dyDescent="0.25">
      <c r="A1837" s="683"/>
      <c r="B1837" s="683"/>
      <c r="C1837" s="683"/>
      <c r="D1837" s="683"/>
      <c r="E1837" s="683"/>
      <c r="F1837" s="683"/>
      <c r="G1837" s="683"/>
      <c r="H1837" s="711"/>
      <c r="I1837" s="683"/>
      <c r="J1837" s="683"/>
      <c r="K1837" s="683"/>
      <c r="L1837" s="683"/>
      <c r="M1837" s="683"/>
      <c r="N1837" s="685"/>
      <c r="O1837" s="683"/>
      <c r="P1837" s="683"/>
      <c r="Q1837" s="683"/>
      <c r="R1837" s="683"/>
      <c r="S1837" s="683"/>
      <c r="T1837" s="683"/>
      <c r="U1837" s="683"/>
      <c r="V1837" s="683"/>
      <c r="W1837" s="683"/>
      <c r="X1837" s="683"/>
      <c r="Y1837" s="683"/>
      <c r="Z1837" s="683"/>
    </row>
    <row r="1838" spans="1:26" ht="15.75" customHeight="1" x14ac:dyDescent="0.25">
      <c r="A1838" s="683"/>
      <c r="B1838" s="683"/>
      <c r="C1838" s="683"/>
      <c r="D1838" s="683"/>
      <c r="E1838" s="683"/>
      <c r="F1838" s="683"/>
      <c r="G1838" s="683"/>
      <c r="H1838" s="711"/>
      <c r="I1838" s="683"/>
      <c r="J1838" s="683"/>
      <c r="K1838" s="683"/>
      <c r="L1838" s="683"/>
      <c r="M1838" s="683"/>
      <c r="N1838" s="685"/>
      <c r="O1838" s="683"/>
      <c r="P1838" s="683"/>
      <c r="Q1838" s="683"/>
      <c r="R1838" s="683"/>
      <c r="S1838" s="683"/>
      <c r="T1838" s="683"/>
      <c r="U1838" s="683"/>
      <c r="V1838" s="683"/>
      <c r="W1838" s="683"/>
      <c r="X1838" s="683"/>
      <c r="Y1838" s="683"/>
      <c r="Z1838" s="683"/>
    </row>
    <row r="1839" spans="1:26" ht="15.75" customHeight="1" x14ac:dyDescent="0.25">
      <c r="A1839" s="683"/>
      <c r="B1839" s="683"/>
      <c r="C1839" s="683"/>
      <c r="D1839" s="683"/>
      <c r="E1839" s="683"/>
      <c r="F1839" s="683"/>
      <c r="G1839" s="683"/>
      <c r="H1839" s="711"/>
      <c r="I1839" s="683"/>
      <c r="J1839" s="683"/>
      <c r="K1839" s="683"/>
      <c r="L1839" s="683"/>
      <c r="M1839" s="683"/>
      <c r="N1839" s="685"/>
      <c r="O1839" s="683"/>
      <c r="P1839" s="683"/>
      <c r="Q1839" s="683"/>
      <c r="R1839" s="683"/>
      <c r="S1839" s="683"/>
      <c r="T1839" s="683"/>
      <c r="U1839" s="683"/>
      <c r="V1839" s="683"/>
      <c r="W1839" s="683"/>
      <c r="X1839" s="683"/>
      <c r="Y1839" s="683"/>
      <c r="Z1839" s="683"/>
    </row>
    <row r="1840" spans="1:26" ht="15.75" customHeight="1" x14ac:dyDescent="0.25">
      <c r="A1840" s="683"/>
      <c r="B1840" s="683"/>
      <c r="C1840" s="683"/>
      <c r="D1840" s="683"/>
      <c r="E1840" s="683"/>
      <c r="F1840" s="683"/>
      <c r="G1840" s="683"/>
      <c r="H1840" s="711"/>
      <c r="I1840" s="683"/>
      <c r="J1840" s="683"/>
      <c r="K1840" s="683"/>
      <c r="L1840" s="683"/>
      <c r="M1840" s="683"/>
      <c r="N1840" s="685"/>
      <c r="O1840" s="683"/>
      <c r="P1840" s="683"/>
      <c r="Q1840" s="683"/>
      <c r="R1840" s="683"/>
      <c r="S1840" s="683"/>
      <c r="T1840" s="683"/>
      <c r="U1840" s="683"/>
      <c r="V1840" s="683"/>
      <c r="W1840" s="683"/>
      <c r="X1840" s="683"/>
      <c r="Y1840" s="683"/>
      <c r="Z1840" s="683"/>
    </row>
    <row r="1841" spans="1:26" ht="15.75" customHeight="1" x14ac:dyDescent="0.25">
      <c r="A1841" s="683"/>
      <c r="B1841" s="683"/>
      <c r="C1841" s="683"/>
      <c r="D1841" s="683"/>
      <c r="E1841" s="683"/>
      <c r="F1841" s="683"/>
      <c r="G1841" s="683"/>
      <c r="H1841" s="711"/>
      <c r="I1841" s="683"/>
      <c r="J1841" s="683"/>
      <c r="K1841" s="683"/>
      <c r="L1841" s="683"/>
      <c r="M1841" s="683"/>
      <c r="N1841" s="685"/>
      <c r="O1841" s="683"/>
      <c r="P1841" s="683"/>
      <c r="Q1841" s="683"/>
      <c r="R1841" s="683"/>
      <c r="S1841" s="683"/>
      <c r="T1841" s="683"/>
      <c r="U1841" s="683"/>
      <c r="V1841" s="683"/>
      <c r="W1841" s="683"/>
      <c r="X1841" s="683"/>
      <c r="Y1841" s="683"/>
      <c r="Z1841" s="683"/>
    </row>
    <row r="1842" spans="1:26" ht="15.75" customHeight="1" x14ac:dyDescent="0.25">
      <c r="A1842" s="683"/>
      <c r="B1842" s="683"/>
      <c r="C1842" s="683"/>
      <c r="D1842" s="683"/>
      <c r="E1842" s="683"/>
      <c r="F1842" s="683"/>
      <c r="G1842" s="683"/>
      <c r="H1842" s="711"/>
      <c r="I1842" s="683"/>
      <c r="J1842" s="683"/>
      <c r="K1842" s="683"/>
      <c r="L1842" s="683"/>
      <c r="M1842" s="683"/>
      <c r="N1842" s="685"/>
      <c r="O1842" s="683"/>
      <c r="P1842" s="683"/>
      <c r="Q1842" s="683"/>
      <c r="R1842" s="683"/>
      <c r="S1842" s="683"/>
      <c r="T1842" s="683"/>
      <c r="U1842" s="683"/>
      <c r="V1842" s="683"/>
      <c r="W1842" s="683"/>
      <c r="X1842" s="683"/>
      <c r="Y1842" s="683"/>
      <c r="Z1842" s="683"/>
    </row>
    <row r="1843" spans="1:26" ht="15.75" customHeight="1" x14ac:dyDescent="0.25">
      <c r="A1843" s="683"/>
      <c r="B1843" s="683"/>
      <c r="C1843" s="683"/>
      <c r="D1843" s="683"/>
      <c r="E1843" s="683"/>
      <c r="F1843" s="683"/>
      <c r="G1843" s="683"/>
      <c r="H1843" s="711"/>
      <c r="I1843" s="683"/>
      <c r="J1843" s="683"/>
      <c r="K1843" s="683"/>
      <c r="L1843" s="683"/>
      <c r="M1843" s="683"/>
      <c r="N1843" s="685"/>
      <c r="O1843" s="683"/>
      <c r="P1843" s="683"/>
      <c r="Q1843" s="683"/>
      <c r="R1843" s="683"/>
      <c r="S1843" s="683"/>
      <c r="T1843" s="683"/>
      <c r="U1843" s="683"/>
      <c r="V1843" s="683"/>
      <c r="W1843" s="683"/>
      <c r="X1843" s="683"/>
      <c r="Y1843" s="683"/>
      <c r="Z1843" s="683"/>
    </row>
    <row r="1844" spans="1:26" ht="15.75" customHeight="1" x14ac:dyDescent="0.25">
      <c r="A1844" s="683"/>
      <c r="B1844" s="683"/>
      <c r="C1844" s="683"/>
      <c r="D1844" s="683"/>
      <c r="E1844" s="683"/>
      <c r="F1844" s="683"/>
      <c r="G1844" s="683"/>
      <c r="H1844" s="711"/>
      <c r="I1844" s="683"/>
      <c r="J1844" s="683"/>
      <c r="K1844" s="683"/>
      <c r="L1844" s="683"/>
      <c r="M1844" s="683"/>
      <c r="N1844" s="685"/>
      <c r="O1844" s="683"/>
      <c r="P1844" s="683"/>
      <c r="Q1844" s="683"/>
      <c r="R1844" s="683"/>
      <c r="S1844" s="683"/>
      <c r="T1844" s="683"/>
      <c r="U1844" s="683"/>
      <c r="V1844" s="683"/>
      <c r="W1844" s="683"/>
      <c r="X1844" s="683"/>
      <c r="Y1844" s="683"/>
      <c r="Z1844" s="683"/>
    </row>
    <row r="1845" spans="1:26" ht="15.75" customHeight="1" x14ac:dyDescent="0.25">
      <c r="A1845" s="683"/>
      <c r="B1845" s="683"/>
      <c r="C1845" s="683"/>
      <c r="D1845" s="683"/>
      <c r="E1845" s="683"/>
      <c r="F1845" s="683"/>
      <c r="G1845" s="683"/>
      <c r="H1845" s="711"/>
      <c r="I1845" s="683"/>
      <c r="J1845" s="683"/>
      <c r="K1845" s="683"/>
      <c r="L1845" s="683"/>
      <c r="M1845" s="683"/>
      <c r="N1845" s="685"/>
      <c r="O1845" s="683"/>
      <c r="P1845" s="683"/>
      <c r="Q1845" s="683"/>
      <c r="R1845" s="683"/>
      <c r="S1845" s="683"/>
      <c r="T1845" s="683"/>
      <c r="U1845" s="683"/>
      <c r="V1845" s="683"/>
      <c r="W1845" s="683"/>
      <c r="X1845" s="683"/>
      <c r="Y1845" s="683"/>
      <c r="Z1845" s="683"/>
    </row>
    <row r="1846" spans="1:26" ht="15.75" customHeight="1" x14ac:dyDescent="0.25">
      <c r="A1846" s="683"/>
      <c r="B1846" s="683"/>
      <c r="C1846" s="683"/>
      <c r="D1846" s="683"/>
      <c r="E1846" s="683"/>
      <c r="F1846" s="683"/>
      <c r="G1846" s="683"/>
      <c r="H1846" s="711"/>
      <c r="I1846" s="683"/>
      <c r="J1846" s="683"/>
      <c r="K1846" s="683"/>
      <c r="L1846" s="683"/>
      <c r="M1846" s="683"/>
      <c r="N1846" s="685"/>
      <c r="O1846" s="683"/>
      <c r="P1846" s="683"/>
      <c r="Q1846" s="683"/>
      <c r="R1846" s="683"/>
      <c r="S1846" s="683"/>
      <c r="T1846" s="683"/>
      <c r="U1846" s="683"/>
      <c r="V1846" s="683"/>
      <c r="W1846" s="683"/>
      <c r="X1846" s="683"/>
      <c r="Y1846" s="683"/>
      <c r="Z1846" s="683"/>
    </row>
    <row r="1847" spans="1:26" ht="15.75" customHeight="1" x14ac:dyDescent="0.25">
      <c r="A1847" s="683"/>
      <c r="B1847" s="683"/>
      <c r="C1847" s="683"/>
      <c r="D1847" s="683"/>
      <c r="E1847" s="683"/>
      <c r="F1847" s="683"/>
      <c r="G1847" s="683"/>
      <c r="H1847" s="711"/>
      <c r="I1847" s="683"/>
      <c r="J1847" s="683"/>
      <c r="K1847" s="683"/>
      <c r="L1847" s="683"/>
      <c r="M1847" s="683"/>
      <c r="N1847" s="685"/>
      <c r="O1847" s="683"/>
      <c r="P1847" s="683"/>
      <c r="Q1847" s="683"/>
      <c r="R1847" s="683"/>
      <c r="S1847" s="683"/>
      <c r="T1847" s="683"/>
      <c r="U1847" s="683"/>
      <c r="V1847" s="683"/>
      <c r="W1847" s="683"/>
      <c r="X1847" s="683"/>
      <c r="Y1847" s="683"/>
      <c r="Z1847" s="683"/>
    </row>
    <row r="1848" spans="1:26" ht="15.75" customHeight="1" x14ac:dyDescent="0.25">
      <c r="A1848" s="683"/>
      <c r="B1848" s="683"/>
      <c r="C1848" s="683"/>
      <c r="D1848" s="683"/>
      <c r="E1848" s="683"/>
      <c r="F1848" s="683"/>
      <c r="G1848" s="683"/>
      <c r="H1848" s="711"/>
      <c r="I1848" s="683"/>
      <c r="J1848" s="683"/>
      <c r="K1848" s="683"/>
      <c r="L1848" s="683"/>
      <c r="M1848" s="683"/>
      <c r="N1848" s="685"/>
      <c r="O1848" s="683"/>
      <c r="P1848" s="683"/>
      <c r="Q1848" s="683"/>
      <c r="R1848" s="683"/>
      <c r="S1848" s="683"/>
      <c r="T1848" s="683"/>
      <c r="U1848" s="683"/>
      <c r="V1848" s="683"/>
      <c r="W1848" s="683"/>
      <c r="X1848" s="683"/>
      <c r="Y1848" s="683"/>
      <c r="Z1848" s="683"/>
    </row>
    <row r="1849" spans="1:26" ht="15.75" customHeight="1" x14ac:dyDescent="0.25">
      <c r="A1849" s="683"/>
      <c r="B1849" s="683"/>
      <c r="C1849" s="683"/>
      <c r="D1849" s="683"/>
      <c r="E1849" s="683"/>
      <c r="F1849" s="683"/>
      <c r="G1849" s="683"/>
      <c r="H1849" s="711"/>
      <c r="I1849" s="683"/>
      <c r="J1849" s="683"/>
      <c r="K1849" s="683"/>
      <c r="L1849" s="683"/>
      <c r="M1849" s="683"/>
      <c r="N1849" s="685"/>
      <c r="O1849" s="683"/>
      <c r="P1849" s="683"/>
      <c r="Q1849" s="683"/>
      <c r="R1849" s="683"/>
      <c r="S1849" s="683"/>
      <c r="T1849" s="683"/>
      <c r="U1849" s="683"/>
      <c r="V1849" s="683"/>
      <c r="W1849" s="683"/>
      <c r="X1849" s="683"/>
      <c r="Y1849" s="683"/>
      <c r="Z1849" s="683"/>
    </row>
    <row r="1850" spans="1:26" ht="15.75" customHeight="1" x14ac:dyDescent="0.25">
      <c r="A1850" s="683"/>
      <c r="B1850" s="683"/>
      <c r="C1850" s="683"/>
      <c r="D1850" s="683"/>
      <c r="E1850" s="683"/>
      <c r="F1850" s="683"/>
      <c r="G1850" s="683"/>
      <c r="H1850" s="711"/>
      <c r="I1850" s="683"/>
      <c r="J1850" s="683"/>
      <c r="K1850" s="683"/>
      <c r="L1850" s="683"/>
      <c r="M1850" s="683"/>
      <c r="N1850" s="685"/>
      <c r="O1850" s="683"/>
      <c r="P1850" s="683"/>
      <c r="Q1850" s="683"/>
      <c r="R1850" s="683"/>
      <c r="S1850" s="683"/>
      <c r="T1850" s="683"/>
      <c r="U1850" s="683"/>
      <c r="V1850" s="683"/>
      <c r="W1850" s="683"/>
      <c r="X1850" s="683"/>
      <c r="Y1850" s="683"/>
      <c r="Z1850" s="683"/>
    </row>
    <row r="1851" spans="1:26" ht="15.75" customHeight="1" x14ac:dyDescent="0.25">
      <c r="A1851" s="683"/>
      <c r="B1851" s="683"/>
      <c r="C1851" s="683"/>
      <c r="D1851" s="683"/>
      <c r="E1851" s="683"/>
      <c r="F1851" s="683"/>
      <c r="G1851" s="683"/>
      <c r="H1851" s="711"/>
      <c r="I1851" s="683"/>
      <c r="J1851" s="683"/>
      <c r="K1851" s="683"/>
      <c r="L1851" s="683"/>
      <c r="M1851" s="683"/>
      <c r="N1851" s="685"/>
      <c r="O1851" s="683"/>
      <c r="P1851" s="683"/>
      <c r="Q1851" s="683"/>
      <c r="R1851" s="683"/>
      <c r="S1851" s="683"/>
      <c r="T1851" s="683"/>
      <c r="U1851" s="683"/>
      <c r="V1851" s="683"/>
      <c r="W1851" s="683"/>
      <c r="X1851" s="683"/>
      <c r="Y1851" s="683"/>
      <c r="Z1851" s="683"/>
    </row>
    <row r="1852" spans="1:26" ht="15.75" customHeight="1" x14ac:dyDescent="0.25">
      <c r="A1852" s="683"/>
      <c r="B1852" s="683"/>
      <c r="C1852" s="683"/>
      <c r="D1852" s="683"/>
      <c r="E1852" s="683"/>
      <c r="F1852" s="683"/>
      <c r="G1852" s="683"/>
      <c r="H1852" s="711"/>
      <c r="I1852" s="683"/>
      <c r="J1852" s="683"/>
      <c r="K1852" s="683"/>
      <c r="L1852" s="683"/>
      <c r="M1852" s="683"/>
      <c r="N1852" s="685"/>
      <c r="O1852" s="683"/>
      <c r="P1852" s="683"/>
      <c r="Q1852" s="683"/>
      <c r="R1852" s="683"/>
      <c r="S1852" s="683"/>
      <c r="T1852" s="683"/>
      <c r="U1852" s="683"/>
      <c r="V1852" s="683"/>
      <c r="W1852" s="683"/>
      <c r="X1852" s="683"/>
      <c r="Y1852" s="683"/>
      <c r="Z1852" s="683"/>
    </row>
    <row r="1853" spans="1:26" ht="15.75" customHeight="1" x14ac:dyDescent="0.25">
      <c r="A1853" s="683"/>
      <c r="B1853" s="683"/>
      <c r="C1853" s="683"/>
      <c r="D1853" s="683"/>
      <c r="E1853" s="683"/>
      <c r="F1853" s="683"/>
      <c r="G1853" s="683"/>
      <c r="H1853" s="711"/>
      <c r="I1853" s="683"/>
      <c r="J1853" s="683"/>
      <c r="K1853" s="683"/>
      <c r="L1853" s="683"/>
      <c r="M1853" s="683"/>
      <c r="N1853" s="685"/>
      <c r="O1853" s="683"/>
      <c r="P1853" s="683"/>
      <c r="Q1853" s="683"/>
      <c r="R1853" s="683"/>
      <c r="S1853" s="683"/>
      <c r="T1853" s="683"/>
      <c r="U1853" s="683"/>
      <c r="V1853" s="683"/>
      <c r="W1853" s="683"/>
      <c r="X1853" s="683"/>
      <c r="Y1853" s="683"/>
      <c r="Z1853" s="683"/>
    </row>
    <row r="1854" spans="1:26" ht="15.75" customHeight="1" x14ac:dyDescent="0.25">
      <c r="A1854" s="683"/>
      <c r="B1854" s="683"/>
      <c r="C1854" s="683"/>
      <c r="D1854" s="683"/>
      <c r="E1854" s="683"/>
      <c r="F1854" s="683"/>
      <c r="G1854" s="683"/>
      <c r="H1854" s="711"/>
      <c r="I1854" s="683"/>
      <c r="J1854" s="683"/>
      <c r="K1854" s="683"/>
      <c r="L1854" s="683"/>
      <c r="M1854" s="683"/>
      <c r="N1854" s="685"/>
      <c r="O1854" s="683"/>
      <c r="P1854" s="683"/>
      <c r="Q1854" s="683"/>
      <c r="R1854" s="683"/>
      <c r="S1854" s="683"/>
      <c r="T1854" s="683"/>
      <c r="U1854" s="683"/>
      <c r="V1854" s="683"/>
      <c r="W1854" s="683"/>
      <c r="X1854" s="683"/>
      <c r="Y1854" s="683"/>
      <c r="Z1854" s="683"/>
    </row>
    <row r="1855" spans="1:26" ht="15.75" customHeight="1" x14ac:dyDescent="0.25">
      <c r="A1855" s="683"/>
      <c r="B1855" s="683"/>
      <c r="C1855" s="683"/>
      <c r="D1855" s="683"/>
      <c r="E1855" s="683"/>
      <c r="F1855" s="683"/>
      <c r="G1855" s="683"/>
      <c r="H1855" s="711"/>
      <c r="I1855" s="683"/>
      <c r="J1855" s="683"/>
      <c r="K1855" s="683"/>
      <c r="L1855" s="683"/>
      <c r="M1855" s="683"/>
      <c r="N1855" s="685"/>
      <c r="O1855" s="683"/>
      <c r="P1855" s="683"/>
      <c r="Q1855" s="683"/>
      <c r="R1855" s="683"/>
      <c r="S1855" s="683"/>
      <c r="T1855" s="683"/>
      <c r="U1855" s="683"/>
      <c r="V1855" s="683"/>
      <c r="W1855" s="683"/>
      <c r="X1855" s="683"/>
      <c r="Y1855" s="683"/>
      <c r="Z1855" s="683"/>
    </row>
    <row r="1856" spans="1:26" ht="15.75" customHeight="1" x14ac:dyDescent="0.25">
      <c r="A1856" s="683"/>
      <c r="B1856" s="683"/>
      <c r="C1856" s="683"/>
      <c r="D1856" s="683"/>
      <c r="E1856" s="683"/>
      <c r="F1856" s="683"/>
      <c r="G1856" s="683"/>
      <c r="H1856" s="711"/>
      <c r="I1856" s="683"/>
      <c r="J1856" s="683"/>
      <c r="K1856" s="683"/>
      <c r="L1856" s="683"/>
      <c r="M1856" s="683"/>
      <c r="N1856" s="685"/>
      <c r="O1856" s="683"/>
      <c r="P1856" s="683"/>
      <c r="Q1856" s="683"/>
      <c r="R1856" s="683"/>
      <c r="S1856" s="683"/>
      <c r="T1856" s="683"/>
      <c r="U1856" s="683"/>
      <c r="V1856" s="683"/>
      <c r="W1856" s="683"/>
      <c r="X1856" s="683"/>
      <c r="Y1856" s="683"/>
      <c r="Z1856" s="683"/>
    </row>
    <row r="1857" spans="1:26" ht="15.75" customHeight="1" x14ac:dyDescent="0.25">
      <c r="A1857" s="683"/>
      <c r="B1857" s="683"/>
      <c r="C1857" s="683"/>
      <c r="D1857" s="683"/>
      <c r="E1857" s="683"/>
      <c r="F1857" s="683"/>
      <c r="G1857" s="683"/>
      <c r="H1857" s="711"/>
      <c r="I1857" s="683"/>
      <c r="J1857" s="683"/>
      <c r="K1857" s="683"/>
      <c r="L1857" s="683"/>
      <c r="M1857" s="683"/>
      <c r="N1857" s="685"/>
      <c r="O1857" s="683"/>
      <c r="P1857" s="683"/>
      <c r="Q1857" s="683"/>
      <c r="R1857" s="683"/>
      <c r="S1857" s="683"/>
      <c r="T1857" s="683"/>
      <c r="U1857" s="683"/>
      <c r="V1857" s="683"/>
      <c r="W1857" s="683"/>
      <c r="X1857" s="683"/>
      <c r="Y1857" s="683"/>
      <c r="Z1857" s="683"/>
    </row>
    <row r="1858" spans="1:26" ht="15.75" customHeight="1" x14ac:dyDescent="0.25">
      <c r="A1858" s="683"/>
      <c r="B1858" s="683"/>
      <c r="C1858" s="683"/>
      <c r="D1858" s="683"/>
      <c r="E1858" s="683"/>
      <c r="F1858" s="683"/>
      <c r="G1858" s="683"/>
      <c r="H1858" s="711"/>
      <c r="I1858" s="683"/>
      <c r="J1858" s="683"/>
      <c r="K1858" s="683"/>
      <c r="L1858" s="683"/>
      <c r="M1858" s="683"/>
      <c r="N1858" s="685"/>
      <c r="O1858" s="683"/>
      <c r="P1858" s="683"/>
      <c r="Q1858" s="683"/>
      <c r="R1858" s="683"/>
      <c r="S1858" s="683"/>
      <c r="T1858" s="683"/>
      <c r="U1858" s="683"/>
      <c r="V1858" s="683"/>
      <c r="W1858" s="683"/>
      <c r="X1858" s="683"/>
      <c r="Y1858" s="683"/>
      <c r="Z1858" s="683"/>
    </row>
    <row r="1859" spans="1:26" ht="15.75" customHeight="1" x14ac:dyDescent="0.25">
      <c r="A1859" s="683"/>
      <c r="B1859" s="683"/>
      <c r="C1859" s="683"/>
      <c r="D1859" s="683"/>
      <c r="E1859" s="683"/>
      <c r="F1859" s="683"/>
      <c r="G1859" s="683"/>
      <c r="H1859" s="711"/>
      <c r="I1859" s="683"/>
      <c r="J1859" s="683"/>
      <c r="K1859" s="683"/>
      <c r="L1859" s="683"/>
      <c r="M1859" s="683"/>
      <c r="N1859" s="685"/>
      <c r="O1859" s="683"/>
      <c r="P1859" s="683"/>
      <c r="Q1859" s="683"/>
      <c r="R1859" s="683"/>
      <c r="S1859" s="683"/>
      <c r="T1859" s="683"/>
      <c r="U1859" s="683"/>
      <c r="V1859" s="683"/>
      <c r="W1859" s="683"/>
      <c r="X1859" s="683"/>
      <c r="Y1859" s="683"/>
      <c r="Z1859" s="683"/>
    </row>
    <row r="1860" spans="1:26" ht="15.75" customHeight="1" x14ac:dyDescent="0.25">
      <c r="A1860" s="683"/>
      <c r="B1860" s="683"/>
      <c r="C1860" s="683"/>
      <c r="D1860" s="683"/>
      <c r="E1860" s="683"/>
      <c r="F1860" s="683"/>
      <c r="G1860" s="683"/>
      <c r="H1860" s="711"/>
      <c r="I1860" s="683"/>
      <c r="J1860" s="683"/>
      <c r="K1860" s="683"/>
      <c r="L1860" s="683"/>
      <c r="M1860" s="683"/>
      <c r="N1860" s="685"/>
      <c r="O1860" s="683"/>
      <c r="P1860" s="683"/>
      <c r="Q1860" s="683"/>
      <c r="R1860" s="683"/>
      <c r="S1860" s="683"/>
      <c r="T1860" s="683"/>
      <c r="U1860" s="683"/>
      <c r="V1860" s="683"/>
      <c r="W1860" s="683"/>
      <c r="X1860" s="683"/>
      <c r="Y1860" s="683"/>
      <c r="Z1860" s="683"/>
    </row>
    <row r="1861" spans="1:26" ht="15.75" customHeight="1" x14ac:dyDescent="0.25">
      <c r="A1861" s="683"/>
      <c r="B1861" s="683"/>
      <c r="C1861" s="683"/>
      <c r="D1861" s="683"/>
      <c r="E1861" s="683"/>
      <c r="F1861" s="683"/>
      <c r="G1861" s="683"/>
      <c r="H1861" s="711"/>
      <c r="I1861" s="683"/>
      <c r="J1861" s="683"/>
      <c r="K1861" s="683"/>
      <c r="L1861" s="683"/>
      <c r="M1861" s="683"/>
      <c r="N1861" s="685"/>
      <c r="O1861" s="683"/>
      <c r="P1861" s="683"/>
      <c r="Q1861" s="683"/>
      <c r="R1861" s="683"/>
      <c r="S1861" s="683"/>
      <c r="T1861" s="683"/>
      <c r="U1861" s="683"/>
      <c r="V1861" s="683"/>
      <c r="W1861" s="683"/>
      <c r="X1861" s="683"/>
      <c r="Y1861" s="683"/>
      <c r="Z1861" s="683"/>
    </row>
    <row r="1862" spans="1:26" ht="15.75" customHeight="1" x14ac:dyDescent="0.25">
      <c r="A1862" s="683"/>
      <c r="B1862" s="683"/>
      <c r="C1862" s="683"/>
      <c r="D1862" s="683"/>
      <c r="E1862" s="683"/>
      <c r="F1862" s="683"/>
      <c r="G1862" s="683"/>
      <c r="H1862" s="711"/>
      <c r="I1862" s="683"/>
      <c r="J1862" s="683"/>
      <c r="K1862" s="683"/>
      <c r="L1862" s="683"/>
      <c r="M1862" s="683"/>
      <c r="N1862" s="685"/>
      <c r="O1862" s="683"/>
      <c r="P1862" s="683"/>
      <c r="Q1862" s="683"/>
      <c r="R1862" s="683"/>
      <c r="S1862" s="683"/>
      <c r="T1862" s="683"/>
      <c r="U1862" s="683"/>
      <c r="V1862" s="683"/>
      <c r="W1862" s="683"/>
      <c r="X1862" s="683"/>
      <c r="Y1862" s="683"/>
      <c r="Z1862" s="683"/>
    </row>
    <row r="1863" spans="1:26" ht="15.75" customHeight="1" x14ac:dyDescent="0.25">
      <c r="A1863" s="683"/>
      <c r="B1863" s="683"/>
      <c r="C1863" s="683"/>
      <c r="D1863" s="683"/>
      <c r="E1863" s="683"/>
      <c r="F1863" s="683"/>
      <c r="G1863" s="683"/>
      <c r="H1863" s="711"/>
      <c r="I1863" s="683"/>
      <c r="J1863" s="683"/>
      <c r="K1863" s="683"/>
      <c r="L1863" s="683"/>
      <c r="M1863" s="683"/>
      <c r="N1863" s="685"/>
      <c r="O1863" s="683"/>
      <c r="P1863" s="683"/>
      <c r="Q1863" s="683"/>
      <c r="R1863" s="683"/>
      <c r="S1863" s="683"/>
      <c r="T1863" s="683"/>
      <c r="U1863" s="683"/>
      <c r="V1863" s="683"/>
      <c r="W1863" s="683"/>
      <c r="X1863" s="683"/>
      <c r="Y1863" s="683"/>
      <c r="Z1863" s="683"/>
    </row>
    <row r="1864" spans="1:26" ht="15.75" customHeight="1" x14ac:dyDescent="0.25">
      <c r="A1864" s="683"/>
      <c r="B1864" s="683"/>
      <c r="C1864" s="683"/>
      <c r="D1864" s="683"/>
      <c r="E1864" s="683"/>
      <c r="F1864" s="683"/>
      <c r="G1864" s="683"/>
      <c r="H1864" s="711"/>
      <c r="I1864" s="683"/>
      <c r="J1864" s="683"/>
      <c r="K1864" s="683"/>
      <c r="L1864" s="683"/>
      <c r="M1864" s="683"/>
      <c r="N1864" s="685"/>
      <c r="O1864" s="683"/>
      <c r="P1864" s="683"/>
      <c r="Q1864" s="683"/>
      <c r="R1864" s="683"/>
      <c r="S1864" s="683"/>
      <c r="T1864" s="683"/>
      <c r="U1864" s="683"/>
      <c r="V1864" s="683"/>
      <c r="W1864" s="683"/>
      <c r="X1864" s="683"/>
      <c r="Y1864" s="683"/>
      <c r="Z1864" s="683"/>
    </row>
    <row r="1865" spans="1:26" ht="15.75" customHeight="1" x14ac:dyDescent="0.25">
      <c r="A1865" s="683"/>
      <c r="B1865" s="683"/>
      <c r="C1865" s="683"/>
      <c r="D1865" s="683"/>
      <c r="E1865" s="683"/>
      <c r="F1865" s="683"/>
      <c r="G1865" s="683"/>
      <c r="H1865" s="711"/>
      <c r="I1865" s="683"/>
      <c r="J1865" s="683"/>
      <c r="K1865" s="683"/>
      <c r="L1865" s="683"/>
      <c r="M1865" s="683"/>
      <c r="N1865" s="685"/>
      <c r="O1865" s="683"/>
      <c r="P1865" s="683"/>
      <c r="Q1865" s="683"/>
      <c r="R1865" s="683"/>
      <c r="S1865" s="683"/>
      <c r="T1865" s="683"/>
      <c r="U1865" s="683"/>
      <c r="V1865" s="683"/>
      <c r="W1865" s="683"/>
      <c r="X1865" s="683"/>
      <c r="Y1865" s="683"/>
      <c r="Z1865" s="683"/>
    </row>
    <row r="1866" spans="1:26" ht="15.75" customHeight="1" x14ac:dyDescent="0.25">
      <c r="A1866" s="683"/>
      <c r="B1866" s="683"/>
      <c r="C1866" s="683"/>
      <c r="D1866" s="683"/>
      <c r="E1866" s="683"/>
      <c r="F1866" s="683"/>
      <c r="G1866" s="683"/>
      <c r="H1866" s="711"/>
      <c r="I1866" s="683"/>
      <c r="J1866" s="683"/>
      <c r="K1866" s="683"/>
      <c r="L1866" s="683"/>
      <c r="M1866" s="683"/>
      <c r="N1866" s="685"/>
      <c r="O1866" s="683"/>
      <c r="P1866" s="683"/>
      <c r="Q1866" s="683"/>
      <c r="R1866" s="683"/>
      <c r="S1866" s="683"/>
      <c r="T1866" s="683"/>
      <c r="U1866" s="683"/>
      <c r="V1866" s="683"/>
      <c r="W1866" s="683"/>
      <c r="X1866" s="683"/>
      <c r="Y1866" s="683"/>
      <c r="Z1866" s="683"/>
    </row>
    <row r="1867" spans="1:26" ht="15.75" customHeight="1" x14ac:dyDescent="0.25">
      <c r="A1867" s="683"/>
      <c r="B1867" s="683"/>
      <c r="C1867" s="683"/>
      <c r="D1867" s="683"/>
      <c r="E1867" s="683"/>
      <c r="F1867" s="683"/>
      <c r="G1867" s="683"/>
      <c r="H1867" s="711"/>
      <c r="I1867" s="683"/>
      <c r="J1867" s="683"/>
      <c r="K1867" s="683"/>
      <c r="L1867" s="683"/>
      <c r="M1867" s="683"/>
      <c r="N1867" s="685"/>
      <c r="O1867" s="683"/>
      <c r="P1867" s="683"/>
      <c r="Q1867" s="683"/>
      <c r="R1867" s="683"/>
      <c r="S1867" s="683"/>
      <c r="T1867" s="683"/>
      <c r="U1867" s="683"/>
      <c r="V1867" s="683"/>
      <c r="W1867" s="683"/>
      <c r="X1867" s="683"/>
      <c r="Y1867" s="683"/>
      <c r="Z1867" s="683"/>
    </row>
    <row r="1868" spans="1:26" ht="15.75" customHeight="1" x14ac:dyDescent="0.25">
      <c r="A1868" s="683"/>
      <c r="B1868" s="683"/>
      <c r="C1868" s="683"/>
      <c r="D1868" s="683"/>
      <c r="E1868" s="683"/>
      <c r="F1868" s="683"/>
      <c r="G1868" s="683"/>
      <c r="H1868" s="711"/>
      <c r="I1868" s="683"/>
      <c r="J1868" s="683"/>
      <c r="K1868" s="683"/>
      <c r="L1868" s="683"/>
      <c r="M1868" s="683"/>
      <c r="N1868" s="685"/>
      <c r="O1868" s="683"/>
      <c r="P1868" s="683"/>
      <c r="Q1868" s="683"/>
      <c r="R1868" s="683"/>
      <c r="S1868" s="683"/>
      <c r="T1868" s="683"/>
      <c r="U1868" s="683"/>
      <c r="V1868" s="683"/>
      <c r="W1868" s="683"/>
      <c r="X1868" s="683"/>
      <c r="Y1868" s="683"/>
      <c r="Z1868" s="683"/>
    </row>
    <row r="1869" spans="1:26" ht="15.75" customHeight="1" x14ac:dyDescent="0.25">
      <c r="A1869" s="683"/>
      <c r="B1869" s="683"/>
      <c r="C1869" s="683"/>
      <c r="D1869" s="683"/>
      <c r="E1869" s="683"/>
      <c r="F1869" s="683"/>
      <c r="G1869" s="683"/>
      <c r="H1869" s="711"/>
      <c r="I1869" s="683"/>
      <c r="J1869" s="683"/>
      <c r="K1869" s="683"/>
      <c r="L1869" s="683"/>
      <c r="M1869" s="683"/>
      <c r="N1869" s="685"/>
      <c r="O1869" s="683"/>
      <c r="P1869" s="683"/>
      <c r="Q1869" s="683"/>
      <c r="R1869" s="683"/>
      <c r="S1869" s="683"/>
      <c r="T1869" s="683"/>
      <c r="U1869" s="683"/>
      <c r="V1869" s="683"/>
      <c r="W1869" s="683"/>
      <c r="X1869" s="683"/>
      <c r="Y1869" s="683"/>
      <c r="Z1869" s="683"/>
    </row>
    <row r="1870" spans="1:26" ht="15.75" customHeight="1" x14ac:dyDescent="0.25">
      <c r="A1870" s="683"/>
      <c r="B1870" s="683"/>
      <c r="C1870" s="683"/>
      <c r="D1870" s="683"/>
      <c r="E1870" s="683"/>
      <c r="F1870" s="683"/>
      <c r="G1870" s="683"/>
      <c r="H1870" s="711"/>
      <c r="I1870" s="683"/>
      <c r="J1870" s="683"/>
      <c r="K1870" s="683"/>
      <c r="L1870" s="683"/>
      <c r="M1870" s="683"/>
      <c r="N1870" s="685"/>
      <c r="O1870" s="683"/>
      <c r="P1870" s="683"/>
      <c r="Q1870" s="683"/>
      <c r="R1870" s="683"/>
      <c r="S1870" s="683"/>
      <c r="T1870" s="683"/>
      <c r="U1870" s="683"/>
      <c r="V1870" s="683"/>
      <c r="W1870" s="683"/>
      <c r="X1870" s="683"/>
      <c r="Y1870" s="683"/>
      <c r="Z1870" s="683"/>
    </row>
    <row r="1871" spans="1:26" ht="15.75" customHeight="1" x14ac:dyDescent="0.25">
      <c r="A1871" s="683"/>
      <c r="B1871" s="683"/>
      <c r="C1871" s="683"/>
      <c r="D1871" s="683"/>
      <c r="E1871" s="683"/>
      <c r="F1871" s="683"/>
      <c r="G1871" s="683"/>
      <c r="H1871" s="711"/>
      <c r="I1871" s="683"/>
      <c r="J1871" s="683"/>
      <c r="K1871" s="683"/>
      <c r="L1871" s="683"/>
      <c r="M1871" s="683"/>
      <c r="N1871" s="685"/>
      <c r="O1871" s="683"/>
      <c r="P1871" s="683"/>
      <c r="Q1871" s="683"/>
      <c r="R1871" s="683"/>
      <c r="S1871" s="683"/>
      <c r="T1871" s="683"/>
      <c r="U1871" s="683"/>
      <c r="V1871" s="683"/>
      <c r="W1871" s="683"/>
      <c r="X1871" s="683"/>
      <c r="Y1871" s="683"/>
      <c r="Z1871" s="683"/>
    </row>
    <row r="1872" spans="1:26" ht="15.75" customHeight="1" x14ac:dyDescent="0.25">
      <c r="A1872" s="683"/>
      <c r="B1872" s="683"/>
      <c r="C1872" s="683"/>
      <c r="D1872" s="683"/>
      <c r="E1872" s="683"/>
      <c r="F1872" s="683"/>
      <c r="G1872" s="683"/>
      <c r="H1872" s="711"/>
      <c r="I1872" s="683"/>
      <c r="J1872" s="683"/>
      <c r="K1872" s="683"/>
      <c r="L1872" s="683"/>
      <c r="M1872" s="683"/>
      <c r="N1872" s="685"/>
      <c r="O1872" s="683"/>
      <c r="P1872" s="683"/>
      <c r="Q1872" s="683"/>
      <c r="R1872" s="683"/>
      <c r="S1872" s="683"/>
      <c r="T1872" s="683"/>
      <c r="U1872" s="683"/>
      <c r="V1872" s="683"/>
      <c r="W1872" s="683"/>
      <c r="X1872" s="683"/>
      <c r="Y1872" s="683"/>
      <c r="Z1872" s="683"/>
    </row>
    <row r="1873" spans="1:26" ht="15.75" customHeight="1" x14ac:dyDescent="0.25">
      <c r="A1873" s="683"/>
      <c r="B1873" s="683"/>
      <c r="C1873" s="683"/>
      <c r="D1873" s="683"/>
      <c r="E1873" s="683"/>
      <c r="F1873" s="683"/>
      <c r="G1873" s="683"/>
      <c r="H1873" s="711"/>
      <c r="I1873" s="683"/>
      <c r="J1873" s="683"/>
      <c r="K1873" s="683"/>
      <c r="L1873" s="683"/>
      <c r="M1873" s="683"/>
      <c r="N1873" s="685"/>
      <c r="O1873" s="683"/>
      <c r="P1873" s="683"/>
      <c r="Q1873" s="683"/>
      <c r="R1873" s="683"/>
      <c r="S1873" s="683"/>
      <c r="T1873" s="683"/>
      <c r="U1873" s="683"/>
      <c r="V1873" s="683"/>
      <c r="W1873" s="683"/>
      <c r="X1873" s="683"/>
      <c r="Y1873" s="683"/>
      <c r="Z1873" s="683"/>
    </row>
    <row r="1874" spans="1:26" ht="15.75" customHeight="1" x14ac:dyDescent="0.25">
      <c r="A1874" s="683"/>
      <c r="B1874" s="683"/>
      <c r="C1874" s="683"/>
      <c r="D1874" s="683"/>
      <c r="E1874" s="683"/>
      <c r="F1874" s="683"/>
      <c r="G1874" s="683"/>
      <c r="H1874" s="711"/>
      <c r="I1874" s="683"/>
      <c r="J1874" s="683"/>
      <c r="K1874" s="683"/>
      <c r="L1874" s="683"/>
      <c r="M1874" s="683"/>
      <c r="N1874" s="685"/>
      <c r="O1874" s="683"/>
      <c r="P1874" s="683"/>
      <c r="Q1874" s="683"/>
      <c r="R1874" s="683"/>
      <c r="S1874" s="683"/>
      <c r="T1874" s="683"/>
      <c r="U1874" s="683"/>
      <c r="V1874" s="683"/>
      <c r="W1874" s="683"/>
      <c r="X1874" s="683"/>
      <c r="Y1874" s="683"/>
      <c r="Z1874" s="683"/>
    </row>
    <row r="1875" spans="1:26" ht="15.75" customHeight="1" x14ac:dyDescent="0.25">
      <c r="A1875" s="683"/>
      <c r="B1875" s="683"/>
      <c r="C1875" s="683"/>
      <c r="D1875" s="683"/>
      <c r="E1875" s="683"/>
      <c r="F1875" s="683"/>
      <c r="G1875" s="683"/>
      <c r="H1875" s="711"/>
      <c r="I1875" s="683"/>
      <c r="J1875" s="683"/>
      <c r="K1875" s="683"/>
      <c r="L1875" s="683"/>
      <c r="M1875" s="683"/>
      <c r="N1875" s="685"/>
      <c r="O1875" s="683"/>
      <c r="P1875" s="683"/>
      <c r="Q1875" s="683"/>
      <c r="R1875" s="683"/>
      <c r="S1875" s="683"/>
      <c r="T1875" s="683"/>
      <c r="U1875" s="683"/>
      <c r="V1875" s="683"/>
      <c r="W1875" s="683"/>
      <c r="X1875" s="683"/>
      <c r="Y1875" s="683"/>
      <c r="Z1875" s="683"/>
    </row>
    <row r="1876" spans="1:26" ht="15.75" customHeight="1" x14ac:dyDescent="0.25">
      <c r="A1876" s="683"/>
      <c r="B1876" s="683"/>
      <c r="C1876" s="683"/>
      <c r="D1876" s="683"/>
      <c r="E1876" s="683"/>
      <c r="F1876" s="683"/>
      <c r="G1876" s="683"/>
      <c r="H1876" s="711"/>
      <c r="I1876" s="683"/>
      <c r="J1876" s="683"/>
      <c r="K1876" s="683"/>
      <c r="L1876" s="683"/>
      <c r="M1876" s="683"/>
      <c r="N1876" s="685"/>
      <c r="O1876" s="683"/>
      <c r="P1876" s="683"/>
      <c r="Q1876" s="683"/>
      <c r="R1876" s="683"/>
      <c r="S1876" s="683"/>
      <c r="T1876" s="683"/>
      <c r="U1876" s="683"/>
      <c r="V1876" s="683"/>
      <c r="W1876" s="683"/>
      <c r="X1876" s="683"/>
      <c r="Y1876" s="683"/>
      <c r="Z1876" s="683"/>
    </row>
    <row r="1877" spans="1:26" ht="15.75" customHeight="1" x14ac:dyDescent="0.25">
      <c r="A1877" s="683"/>
      <c r="B1877" s="683"/>
      <c r="C1877" s="683"/>
      <c r="D1877" s="683"/>
      <c r="E1877" s="683"/>
      <c r="F1877" s="683"/>
      <c r="G1877" s="683"/>
      <c r="H1877" s="711"/>
      <c r="I1877" s="683"/>
      <c r="J1877" s="683"/>
      <c r="K1877" s="683"/>
      <c r="L1877" s="683"/>
      <c r="M1877" s="683"/>
      <c r="N1877" s="685"/>
      <c r="O1877" s="683"/>
      <c r="P1877" s="683"/>
      <c r="Q1877" s="683"/>
      <c r="R1877" s="683"/>
      <c r="S1877" s="683"/>
      <c r="T1877" s="683"/>
      <c r="U1877" s="683"/>
      <c r="V1877" s="683"/>
      <c r="W1877" s="683"/>
      <c r="X1877" s="683"/>
      <c r="Y1877" s="683"/>
      <c r="Z1877" s="683"/>
    </row>
    <row r="1878" spans="1:26" ht="15.75" customHeight="1" x14ac:dyDescent="0.25">
      <c r="A1878" s="683"/>
      <c r="B1878" s="683"/>
      <c r="C1878" s="683"/>
      <c r="D1878" s="683"/>
      <c r="E1878" s="683"/>
      <c r="F1878" s="683"/>
      <c r="G1878" s="683"/>
      <c r="H1878" s="711"/>
      <c r="I1878" s="683"/>
      <c r="J1878" s="683"/>
      <c r="K1878" s="683"/>
      <c r="L1878" s="683"/>
      <c r="M1878" s="683"/>
      <c r="N1878" s="685"/>
      <c r="O1878" s="683"/>
      <c r="P1878" s="683"/>
      <c r="Q1878" s="683"/>
      <c r="R1878" s="683"/>
      <c r="S1878" s="683"/>
      <c r="T1878" s="683"/>
      <c r="U1878" s="683"/>
      <c r="V1878" s="683"/>
      <c r="W1878" s="683"/>
      <c r="X1878" s="683"/>
      <c r="Y1878" s="683"/>
      <c r="Z1878" s="683"/>
    </row>
    <row r="1879" spans="1:26" ht="15.75" customHeight="1" x14ac:dyDescent="0.25">
      <c r="A1879" s="683"/>
      <c r="B1879" s="683"/>
      <c r="C1879" s="683"/>
      <c r="D1879" s="683"/>
      <c r="E1879" s="683"/>
      <c r="F1879" s="683"/>
      <c r="G1879" s="683"/>
      <c r="H1879" s="711"/>
      <c r="I1879" s="683"/>
      <c r="J1879" s="683"/>
      <c r="K1879" s="683"/>
      <c r="L1879" s="683"/>
      <c r="M1879" s="683"/>
      <c r="N1879" s="685"/>
      <c r="O1879" s="683"/>
      <c r="P1879" s="683"/>
      <c r="Q1879" s="683"/>
      <c r="R1879" s="683"/>
      <c r="S1879" s="683"/>
      <c r="T1879" s="683"/>
      <c r="U1879" s="683"/>
      <c r="V1879" s="683"/>
      <c r="W1879" s="683"/>
      <c r="X1879" s="683"/>
      <c r="Y1879" s="683"/>
      <c r="Z1879" s="683"/>
    </row>
    <row r="1880" spans="1:26" ht="15.75" customHeight="1" x14ac:dyDescent="0.25">
      <c r="A1880" s="683"/>
      <c r="B1880" s="683"/>
      <c r="C1880" s="683"/>
      <c r="D1880" s="683"/>
      <c r="E1880" s="683"/>
      <c r="F1880" s="683"/>
      <c r="G1880" s="683"/>
      <c r="H1880" s="711"/>
      <c r="I1880" s="683"/>
      <c r="J1880" s="683"/>
      <c r="K1880" s="683"/>
      <c r="L1880" s="683"/>
      <c r="M1880" s="683"/>
      <c r="N1880" s="685"/>
      <c r="O1880" s="683"/>
      <c r="P1880" s="683"/>
      <c r="Q1880" s="683"/>
      <c r="R1880" s="683"/>
      <c r="S1880" s="683"/>
      <c r="T1880" s="683"/>
      <c r="U1880" s="683"/>
      <c r="V1880" s="683"/>
      <c r="W1880" s="683"/>
      <c r="X1880" s="683"/>
      <c r="Y1880" s="683"/>
      <c r="Z1880" s="683"/>
    </row>
    <row r="1881" spans="1:26" ht="15.75" customHeight="1" x14ac:dyDescent="0.25">
      <c r="A1881" s="683"/>
      <c r="B1881" s="683"/>
      <c r="C1881" s="683"/>
      <c r="D1881" s="683"/>
      <c r="E1881" s="683"/>
      <c r="F1881" s="683"/>
      <c r="G1881" s="683"/>
      <c r="H1881" s="711"/>
      <c r="I1881" s="683"/>
      <c r="J1881" s="683"/>
      <c r="K1881" s="683"/>
      <c r="L1881" s="683"/>
      <c r="M1881" s="683"/>
      <c r="N1881" s="685"/>
      <c r="O1881" s="683"/>
      <c r="P1881" s="683"/>
      <c r="Q1881" s="683"/>
      <c r="R1881" s="683"/>
      <c r="S1881" s="683"/>
      <c r="T1881" s="683"/>
      <c r="U1881" s="683"/>
      <c r="V1881" s="683"/>
      <c r="W1881" s="683"/>
      <c r="X1881" s="683"/>
      <c r="Y1881" s="683"/>
      <c r="Z1881" s="683"/>
    </row>
    <row r="1882" spans="1:26" ht="15.75" customHeight="1" x14ac:dyDescent="0.25">
      <c r="A1882" s="683"/>
      <c r="B1882" s="683"/>
      <c r="C1882" s="683"/>
      <c r="D1882" s="683"/>
      <c r="E1882" s="683"/>
      <c r="F1882" s="683"/>
      <c r="G1882" s="683"/>
      <c r="H1882" s="711"/>
      <c r="I1882" s="683"/>
      <c r="J1882" s="683"/>
      <c r="K1882" s="683"/>
      <c r="L1882" s="683"/>
      <c r="M1882" s="683"/>
      <c r="N1882" s="685"/>
      <c r="O1882" s="683"/>
      <c r="P1882" s="683"/>
      <c r="Q1882" s="683"/>
      <c r="R1882" s="683"/>
      <c r="S1882" s="683"/>
      <c r="T1882" s="683"/>
      <c r="U1882" s="683"/>
      <c r="V1882" s="683"/>
      <c r="W1882" s="683"/>
      <c r="X1882" s="683"/>
      <c r="Y1882" s="683"/>
      <c r="Z1882" s="683"/>
    </row>
    <row r="1883" spans="1:26" ht="15.75" customHeight="1" x14ac:dyDescent="0.25">
      <c r="A1883" s="683"/>
      <c r="B1883" s="683"/>
      <c r="C1883" s="683"/>
      <c r="D1883" s="683"/>
      <c r="E1883" s="683"/>
      <c r="F1883" s="683"/>
      <c r="G1883" s="683"/>
      <c r="H1883" s="711"/>
      <c r="I1883" s="683"/>
      <c r="J1883" s="683"/>
      <c r="K1883" s="683"/>
      <c r="L1883" s="683"/>
      <c r="M1883" s="683"/>
      <c r="N1883" s="685"/>
      <c r="O1883" s="683"/>
      <c r="P1883" s="683"/>
      <c r="Q1883" s="683"/>
      <c r="R1883" s="683"/>
      <c r="S1883" s="683"/>
      <c r="T1883" s="683"/>
      <c r="U1883" s="683"/>
      <c r="V1883" s="683"/>
      <c r="W1883" s="683"/>
      <c r="X1883" s="683"/>
      <c r="Y1883" s="683"/>
      <c r="Z1883" s="683"/>
    </row>
    <row r="1884" spans="1:26" ht="15.75" customHeight="1" x14ac:dyDescent="0.25">
      <c r="A1884" s="683"/>
      <c r="B1884" s="683"/>
      <c r="C1884" s="683"/>
      <c r="D1884" s="683"/>
      <c r="E1884" s="683"/>
      <c r="F1884" s="683"/>
      <c r="G1884" s="683"/>
      <c r="H1884" s="711"/>
      <c r="I1884" s="683"/>
      <c r="J1884" s="683"/>
      <c r="K1884" s="683"/>
      <c r="L1884" s="683"/>
      <c r="M1884" s="683"/>
      <c r="N1884" s="685"/>
      <c r="O1884" s="683"/>
      <c r="P1884" s="683"/>
      <c r="Q1884" s="683"/>
      <c r="R1884" s="683"/>
      <c r="S1884" s="683"/>
      <c r="T1884" s="683"/>
      <c r="U1884" s="683"/>
      <c r="V1884" s="683"/>
      <c r="W1884" s="683"/>
      <c r="X1884" s="683"/>
      <c r="Y1884" s="683"/>
      <c r="Z1884" s="683"/>
    </row>
    <row r="1885" spans="1:26" ht="15.75" customHeight="1" x14ac:dyDescent="0.25">
      <c r="A1885" s="683"/>
      <c r="B1885" s="683"/>
      <c r="C1885" s="683"/>
      <c r="D1885" s="683"/>
      <c r="E1885" s="683"/>
      <c r="F1885" s="683"/>
      <c r="G1885" s="683"/>
      <c r="H1885" s="711"/>
      <c r="I1885" s="683"/>
      <c r="J1885" s="683"/>
      <c r="K1885" s="683"/>
      <c r="L1885" s="683"/>
      <c r="M1885" s="683"/>
      <c r="N1885" s="685"/>
      <c r="O1885" s="683"/>
      <c r="P1885" s="683"/>
      <c r="Q1885" s="683"/>
      <c r="R1885" s="683"/>
      <c r="S1885" s="683"/>
      <c r="T1885" s="683"/>
      <c r="U1885" s="683"/>
      <c r="V1885" s="683"/>
      <c r="W1885" s="683"/>
      <c r="X1885" s="683"/>
      <c r="Y1885" s="683"/>
      <c r="Z1885" s="683"/>
    </row>
    <row r="1886" spans="1:26" ht="15.75" customHeight="1" x14ac:dyDescent="0.25">
      <c r="A1886" s="683"/>
      <c r="B1886" s="683"/>
      <c r="C1886" s="683"/>
      <c r="D1886" s="683"/>
      <c r="E1886" s="683"/>
      <c r="F1886" s="683"/>
      <c r="G1886" s="683"/>
      <c r="H1886" s="711"/>
      <c r="I1886" s="683"/>
      <c r="J1886" s="683"/>
      <c r="K1886" s="683"/>
      <c r="L1886" s="683"/>
      <c r="M1886" s="683"/>
      <c r="N1886" s="685"/>
      <c r="O1886" s="683"/>
      <c r="P1886" s="683"/>
      <c r="Q1886" s="683"/>
      <c r="R1886" s="683"/>
      <c r="S1886" s="683"/>
      <c r="T1886" s="683"/>
      <c r="U1886" s="683"/>
      <c r="V1886" s="683"/>
      <c r="W1886" s="683"/>
      <c r="X1886" s="683"/>
      <c r="Y1886" s="683"/>
      <c r="Z1886" s="683"/>
    </row>
    <row r="1887" spans="1:26" ht="15.75" customHeight="1" x14ac:dyDescent="0.25">
      <c r="A1887" s="683"/>
      <c r="B1887" s="683"/>
      <c r="C1887" s="683"/>
      <c r="D1887" s="683"/>
      <c r="E1887" s="683"/>
      <c r="F1887" s="683"/>
      <c r="G1887" s="683"/>
      <c r="H1887" s="711"/>
      <c r="I1887" s="683"/>
      <c r="J1887" s="683"/>
      <c r="K1887" s="683"/>
      <c r="L1887" s="683"/>
      <c r="M1887" s="683"/>
      <c r="N1887" s="685"/>
      <c r="O1887" s="683"/>
      <c r="P1887" s="683"/>
      <c r="Q1887" s="683"/>
      <c r="R1887" s="683"/>
      <c r="S1887" s="683"/>
      <c r="T1887" s="683"/>
      <c r="U1887" s="683"/>
      <c r="V1887" s="683"/>
      <c r="W1887" s="683"/>
      <c r="X1887" s="683"/>
      <c r="Y1887" s="683"/>
      <c r="Z1887" s="683"/>
    </row>
    <row r="1888" spans="1:26" ht="15.75" customHeight="1" x14ac:dyDescent="0.25">
      <c r="A1888" s="683"/>
      <c r="B1888" s="683"/>
      <c r="C1888" s="683"/>
      <c r="D1888" s="683"/>
      <c r="E1888" s="683"/>
      <c r="F1888" s="683"/>
      <c r="G1888" s="683"/>
      <c r="H1888" s="711"/>
      <c r="I1888" s="683"/>
      <c r="J1888" s="683"/>
      <c r="K1888" s="683"/>
      <c r="L1888" s="683"/>
      <c r="M1888" s="683"/>
      <c r="N1888" s="685"/>
      <c r="O1888" s="683"/>
      <c r="P1888" s="683"/>
      <c r="Q1888" s="683"/>
      <c r="R1888" s="683"/>
      <c r="S1888" s="683"/>
      <c r="T1888" s="683"/>
      <c r="U1888" s="683"/>
      <c r="V1888" s="683"/>
      <c r="W1888" s="683"/>
      <c r="X1888" s="683"/>
      <c r="Y1888" s="683"/>
      <c r="Z1888" s="683"/>
    </row>
    <row r="1889" spans="1:26" ht="15.75" customHeight="1" x14ac:dyDescent="0.25">
      <c r="A1889" s="683"/>
      <c r="B1889" s="683"/>
      <c r="C1889" s="683"/>
      <c r="D1889" s="683"/>
      <c r="E1889" s="683"/>
      <c r="F1889" s="683"/>
      <c r="G1889" s="683"/>
      <c r="H1889" s="711"/>
      <c r="I1889" s="683"/>
      <c r="J1889" s="683"/>
      <c r="K1889" s="683"/>
      <c r="L1889" s="683"/>
      <c r="M1889" s="683"/>
      <c r="N1889" s="685"/>
      <c r="O1889" s="683"/>
      <c r="P1889" s="683"/>
      <c r="Q1889" s="683"/>
      <c r="R1889" s="683"/>
      <c r="S1889" s="683"/>
      <c r="T1889" s="683"/>
      <c r="U1889" s="683"/>
      <c r="V1889" s="683"/>
      <c r="W1889" s="683"/>
      <c r="X1889" s="683"/>
      <c r="Y1889" s="683"/>
      <c r="Z1889" s="683"/>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Kpler</vt:lpstr>
      <vt:lpstr>2) Tracker</vt:lpstr>
      <vt:lpstr>3) Sorter</vt:lpstr>
      <vt:lpstr>Voyage days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Gina Peng</cp:lastModifiedBy>
  <dcterms:created xsi:type="dcterms:W3CDTF">2026-04-20T04:39:02Z</dcterms:created>
  <dcterms:modified xsi:type="dcterms:W3CDTF">2026-04-20T04:39:03Z</dcterms:modified>
</cp:coreProperties>
</file>